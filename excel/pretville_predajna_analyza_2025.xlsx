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zka\Desktop\"/>
    </mc:Choice>
  </mc:AlternateContent>
  <xr:revisionPtr revIDLastSave="0" documentId="8_{4595E6A8-E998-4F93-90A4-EFCF5EEA1F27}" xr6:coauthVersionLast="47" xr6:coauthVersionMax="47" xr10:uidLastSave="{00000000-0000-0000-0000-000000000000}"/>
  <bookViews>
    <workbookView xWindow="-120" yWindow="-120" windowWidth="20730" windowHeight="11040" xr2:uid="{96B513A4-41B8-4F6A-A1D0-72AE7C4AA8B7}"/>
  </bookViews>
  <sheets>
    <sheet name="Data" sheetId="2" r:id="rId1"/>
    <sheet name="Data Júl" sheetId="8" r:id="rId2"/>
    <sheet name="Tržby" sheetId="3" r:id="rId3"/>
    <sheet name="Tržby mesiace" sheetId="4" r:id="rId4"/>
    <sheet name="Tržby zviera" sheetId="5" r:id="rId5"/>
    <sheet name="Tržby produkty" sheetId="6" r:id="rId6"/>
    <sheet name="Produkty zviera" sheetId="7" r:id="rId7"/>
    <sheet name="Produkty Júl" sheetId="9" r:id="rId8"/>
    <sheet name="Hodnotenie Histogram" sheetId="10" r:id="rId9"/>
    <sheet name="Produkty top-bottom" sheetId="11" r:id="rId10"/>
    <sheet name="Hodnotenie bottom produktov" sheetId="13" r:id="rId11"/>
    <sheet name="Ttest zviera" sheetId="14" r:id="rId12"/>
  </sheets>
  <definedNames>
    <definedName name="ExternéÚdaje_1" localSheetId="0" hidden="1">Data!$A$1:$K$5953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14" l="1"/>
  <c r="B21" i="4"/>
  <c r="B19" i="4" a="1"/>
  <c r="B19" i="4" s="1"/>
  <c r="F4" i="7"/>
  <c r="F5" i="7"/>
  <c r="F3" i="7"/>
  <c r="E6" i="7"/>
  <c r="G5893" i="3"/>
  <c r="G5892" i="3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582EBC-3F67-4DF0-8885-5149C506B925}" keepAlive="1" name="Dotaz – petville_products_2025_sk" description="Pripojenie k dotazu petville_products_2025_sk v zošite." type="5" refreshedVersion="8" background="1" saveData="1">
    <dbPr connection="Provider=Microsoft.Mashup.OleDb.1;Data Source=$Workbook$;Location=petville_products_2025_sk;Extended Properties=&quot;&quot;" command="SELECT * FROM [petville_products_2025_s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<sst xmlns="http://schemas.openxmlformats.org/spreadsheetml/2006/main" count="36303" uniqueCount="1360">
  <si>
    <t>ID objednávky</t>
  </si>
  <si>
    <t>EAN kód</t>
  </si>
  <si>
    <t>Názov produktu</t>
  </si>
  <si>
    <t>Kategória</t>
  </si>
  <si>
    <t>Značka</t>
  </si>
  <si>
    <t>Cena</t>
  </si>
  <si>
    <t>Počet ks</t>
  </si>
  <si>
    <t>Hodnotenie produktu</t>
  </si>
  <si>
    <t>Recenzie</t>
  </si>
  <si>
    <t>Dátum nákupu</t>
  </si>
  <si>
    <t>Vrátené</t>
  </si>
  <si>
    <t>Maškrty Snouty Training Bites 200g</t>
  </si>
  <si>
    <t>Krmivo a maškrty – Psy</t>
  </si>
  <si>
    <t>Snouty</t>
  </si>
  <si>
    <t>NULL</t>
  </si>
  <si>
    <t/>
  </si>
  <si>
    <t>Konzerva Pup Republic Beef Stew 400g</t>
  </si>
  <si>
    <t>Pup Republic</t>
  </si>
  <si>
    <t>4</t>
  </si>
  <si>
    <t>Pes to zhltol hneď, dobré zloženie</t>
  </si>
  <si>
    <t>Šampón Dogissimo Sensitive 300ml</t>
  </si>
  <si>
    <t>Starostlivosť a hygiena – Psy</t>
  </si>
  <si>
    <t>Dogissimo</t>
  </si>
  <si>
    <t>5</t>
  </si>
  <si>
    <t>Srsť lesklá, žiadne podráždenie</t>
  </si>
  <si>
    <t>Vôdzka Tail Trend RopeWalk 5m</t>
  </si>
  <si>
    <t>Oblečenie a doplnky – Psy</t>
  </si>
  <si>
    <t>Tail Trend</t>
  </si>
  <si>
    <t>Granuly Catissime Premium Salmon 2kg</t>
  </si>
  <si>
    <t>Krmivo a maškrty – Mačky</t>
  </si>
  <si>
    <t>Catissime</t>
  </si>
  <si>
    <t>Vrecúška Mr. Whiskers Mixed Selection 12×85g</t>
  </si>
  <si>
    <t>Mr. Whiskers</t>
  </si>
  <si>
    <t>3</t>
  </si>
  <si>
    <t>Za tú cenu ok</t>
  </si>
  <si>
    <t>Podstielka BellaMeow Silica Fresh 7,6l</t>
  </si>
  <si>
    <t>Starostlivosť a hygiena – Mačky</t>
  </si>
  <si>
    <t>BellaMeow</t>
  </si>
  <si>
    <t>Hračka Snouty ToughBone TPR</t>
  </si>
  <si>
    <t>Hračky – Psy</t>
  </si>
  <si>
    <t>Pevná, vydrží aj silné hryzenie</t>
  </si>
  <si>
    <t>Šampón Nordic Tail GentleCat 250ml</t>
  </si>
  <si>
    <t>Nordic Tail</t>
  </si>
  <si>
    <t>Šampón Dogissimo Natural 250ml</t>
  </si>
  <si>
    <t>Praktické balenie, kupujem opakovane</t>
  </si>
  <si>
    <t>Podstielka Mr. Whiskers Bentonit 10l</t>
  </si>
  <si>
    <t>Bez zápachu, vydrží dlho</t>
  </si>
  <si>
    <t>Konzerva BellaMeow Turkey Pâté 400g</t>
  </si>
  <si>
    <t>2</t>
  </si>
  <si>
    <t>Mačka nechcela, vrátené</t>
  </si>
  <si>
    <t>Pekne vonia, dobre umýva</t>
  </si>
  <si>
    <t>Pevné, dobre sa drží aj v zime</t>
  </si>
  <si>
    <t>Miska SmallPet 250 ml</t>
  </si>
  <si>
    <t>Misky a kŕmne doplnky – Ostatné</t>
  </si>
  <si>
    <t>Pawsitive Gear</t>
  </si>
  <si>
    <t>Maškrty Mr. Whiskers Freeze-Dried Chicken 40g</t>
  </si>
  <si>
    <t>Mačka spokojná, dobrá odmena</t>
  </si>
  <si>
    <t>Kefa Pawtastic SoftBrush</t>
  </si>
  <si>
    <t>Pawtastic</t>
  </si>
  <si>
    <t>Kvalitné, neškriabe, odporúčam</t>
  </si>
  <si>
    <t>Granuly Pupco Adult Chicken 3kg</t>
  </si>
  <si>
    <t>Pupco</t>
  </si>
  <si>
    <t>Dobré do zásoby</t>
  </si>
  <si>
    <t>1</t>
  </si>
  <si>
    <t>Mačka odmietla, vrátené</t>
  </si>
  <si>
    <t>Hračka Dogissimo Pískacia Donut</t>
  </si>
  <si>
    <t>Fajn pre krátkosrsté psy</t>
  </si>
  <si>
    <t>Pes reaguje výborne</t>
  </si>
  <si>
    <t>Granuly PawStyle Indoor Hairball 2kg</t>
  </si>
  <si>
    <t>PawStyle</t>
  </si>
  <si>
    <t>Obľúbená klasika</t>
  </si>
  <si>
    <t>Mačka nejedla, vrátené</t>
  </si>
  <si>
    <t>Za tú cenu dobré</t>
  </si>
  <si>
    <t>Ideálne na výcvik</t>
  </si>
  <si>
    <t>Priemer, ale pes sa nebráni</t>
  </si>
  <si>
    <t>Pes poslúcha lepšie</t>
  </si>
  <si>
    <t>Zábava na celé popoludnie</t>
  </si>
  <si>
    <t>Mačka úplne odmietla</t>
  </si>
  <si>
    <t>Pomáha s bezoármi</t>
  </si>
  <si>
    <t>Sprej PawStyle OdorControl 500ml</t>
  </si>
  <si>
    <t>Dobre drží, pohodlné</t>
  </si>
  <si>
    <t>Pomáha s lupinami</t>
  </si>
  <si>
    <t>Mačka nezjedla všetko</t>
  </si>
  <si>
    <t>Vydrží aj ťah psa</t>
  </si>
  <si>
    <t>Štandardné maškrty, nič extra</t>
  </si>
  <si>
    <t>Pes sa teší na každé kŕmenie</t>
  </si>
  <si>
    <t>Mačka krásne vonia</t>
  </si>
  <si>
    <t>Obľúbené u psa</t>
  </si>
  <si>
    <t>Skvelá odmena pri tréningu</t>
  </si>
  <si>
    <t>Ľahké a pevné</t>
  </si>
  <si>
    <t>Vyhovuje, ale mohla by byť lacnejšia</t>
  </si>
  <si>
    <t>Mačka trochu sklamaná</t>
  </si>
  <si>
    <t>Pes spokojný</t>
  </si>
  <si>
    <t>Pes žerie s chuťou, objednám znova</t>
  </si>
  <si>
    <t>Kvalita za rozumnú cenu</t>
  </si>
  <si>
    <t>Najlepší šampón, aký sme mali</t>
  </si>
  <si>
    <t>Pes spokojný, balenie vydrží</t>
  </si>
  <si>
    <t>Mačka zje, ale ne nadšene</t>
  </si>
  <si>
    <t>Zábava pre malého psa</t>
  </si>
  <si>
    <t>Levné a chutné</t>
  </si>
  <si>
    <t>Naše klasika</t>
  </si>
  <si>
    <t>Pes má energii</t>
  </si>
  <si>
    <t>Mačka to nechce</t>
  </si>
  <si>
    <t>Výborné ako vždy</t>
  </si>
  <si>
    <t>Sní, ale ne s chuťou</t>
  </si>
  <si>
    <t>Pes nadšený, levné kŕmenie</t>
  </si>
  <si>
    <t>Pesovaj chutí, žiadne problémy</t>
  </si>
  <si>
    <t>Pesovaj chutí, dobrá kvalita</t>
  </si>
  <si>
    <t>Pes sa s tým hraje stále</t>
  </si>
  <si>
    <t>Pes to miluje</t>
  </si>
  <si>
    <t>Obľúbené</t>
  </si>
  <si>
    <t>Mačka nechce</t>
  </si>
  <si>
    <t>Skvelý šampón, srsť mäkká a lesklá.</t>
  </si>
  <si>
    <t>Za tú cenu ok.</t>
  </si>
  <si>
    <t>Drží pevne, používam denne.</t>
  </si>
  <si>
    <t>Mačka to nechcela.</t>
  </si>
  <si>
    <t>Pes sa môže utĺcť, výborné.</t>
  </si>
  <si>
    <t>Moc hezké, kvalitné vôdzka.</t>
  </si>
  <si>
    <t>Zápach sa neodstranil, vrátené.</t>
  </si>
  <si>
    <t>Jsem nadšený, kupuju znovu.</t>
  </si>
  <si>
    <t>Najobľúbenejšie konzerva, výborná kvalita.</t>
  </si>
  <si>
    <t>Pes ju miluje, objednávám po krabicích.</t>
  </si>
  <si>
    <t>Pes spokojný, kupuju pravidelne.</t>
  </si>
  <si>
    <t>Drží pevne aj aj v zimnom daždi.</t>
  </si>
  <si>
    <t>Moc pekné, kvalitné vôdzka aj v zime.</t>
  </si>
  <si>
    <t>Pes sa s tým hraje aj v snehu.</t>
  </si>
  <si>
    <t>Pes ju zbožňuje.</t>
  </si>
  <si>
    <t>Pevná a obľúbená aj v zime.</t>
  </si>
  <si>
    <t>Dobre vonia, používame často.</t>
  </si>
  <si>
    <t>Granuly výborné, pes prospieva.</t>
  </si>
  <si>
    <t>Pes ju zbožňuje, objednávám často.</t>
  </si>
  <si>
    <t>Skvelý, šetrný k pokožce psa.</t>
  </si>
  <si>
    <t>Pelech Canine Craft Industries CozyDream L</t>
  </si>
  <si>
    <t>Pelechy a nábytok – Psy</t>
  </si>
  <si>
    <t>Canine Craft Industries</t>
  </si>
  <si>
    <t>Pelech je teplý, vhodný na zimu.</t>
  </si>
  <si>
    <t>Deka Tail Trend WarmTail 90×70 cm</t>
  </si>
  <si>
    <t>Mäkká, ideálne do mrazov.</t>
  </si>
  <si>
    <t>Bouda Pup Republic HomeWood M</t>
  </si>
  <si>
    <t>Deka CozyNest WarmWhisker 80×60 cm</t>
  </si>
  <si>
    <t>Pelechy a nábytok – Mačky</t>
  </si>
  <si>
    <t>CozyNest</t>
  </si>
  <si>
    <t>Mačka sa ju hneď obľúbila.</t>
  </si>
  <si>
    <t>Svetrík Catissime Knit Cozy</t>
  </si>
  <si>
    <t>Oblečenie a doplnky – Mačky</t>
  </si>
  <si>
    <t>Mačke sedí perfektne, krásny svetr.</t>
  </si>
  <si>
    <t>Obojok Canine Craft Industries DenimLine modrý</t>
  </si>
  <si>
    <t>Pes nadšený, objednávám znova.</t>
  </si>
  <si>
    <t>Velký a teplý, pes v ňom rád spí.</t>
  </si>
  <si>
    <t>Postroj Catissime SoftHarness S</t>
  </si>
  <si>
    <t>Naprosto boží, mačka vyzerá luxusne.</t>
  </si>
  <si>
    <t>Teplý, mäkký, odporúčam.</t>
  </si>
  <si>
    <t>Výborne sedí, pekný dizajn.</t>
  </si>
  <si>
    <t>Pes sa môže utĺcť, najlepšia konzerva.</t>
  </si>
  <si>
    <t>Krásny svetr, ideálne na zimu.</t>
  </si>
  <si>
    <t>Pes má lesklú srsť.</t>
  </si>
  <si>
    <t>Najobľúbenejšie značka u našeho psa.</t>
  </si>
  <si>
    <t>Pes ju miluje, žiaden problém.</t>
  </si>
  <si>
    <t>Dobre pení, príjemná vôňa.</t>
  </si>
  <si>
    <t>Výborné granuly, pes prospieva.</t>
  </si>
  <si>
    <t>Mačka vyzerá úžasne, odporúčam.</t>
  </si>
  <si>
    <t>Pes to miluje, super zloženie.</t>
  </si>
  <si>
    <t>Odolné aj pri zimnom počasí.</t>
  </si>
  <si>
    <t>Dobre neutralizuje pachy.</t>
  </si>
  <si>
    <t>Pes ju zbožňuje, kupujem opakovane.</t>
  </si>
  <si>
    <t>Pevné, pohodlné držení.</t>
  </si>
  <si>
    <t>Pes má krásnou srsť.</t>
  </si>
  <si>
    <t>Krásny, hrejivý svetr.</t>
  </si>
  <si>
    <t>Granuly výborné, pes spokojen.</t>
  </si>
  <si>
    <t>Pevné, pekne drží.</t>
  </si>
  <si>
    <t>Pes to miluje, žiadne problémy.</t>
  </si>
  <si>
    <t>Moc pekný, ale menší veľkosť.</t>
  </si>
  <si>
    <t>Dobré zloženie.</t>
  </si>
  <si>
    <t>Pomáha sa zápachem.</t>
  </si>
  <si>
    <t>Pes má po koupelaj hebkou srsť.</t>
  </si>
  <si>
    <t>Ešte chladno, svetr sa hodí.</t>
  </si>
  <si>
    <t>Pes má energiaj a lesklú srsť.</t>
  </si>
  <si>
    <t>Hezky vonia a čistí.</t>
  </si>
  <si>
    <t>Najlepšia konzerva, kupujem stále.</t>
  </si>
  <si>
    <t>Dobré krmivo, žiadne potíže.</t>
  </si>
  <si>
    <t>Pes ju žerie s chuťou.</t>
  </si>
  <si>
    <t>Lacná a chutí, spokojenost.</t>
  </si>
  <si>
    <t>Pes sa po nich zlepšil, odporúčam.</t>
  </si>
  <si>
    <t>Zatiaľ najlepšie, čo sme mali.</t>
  </si>
  <si>
    <t>Pes sa po nich môže utĺcť.</t>
  </si>
  <si>
    <t>Chutí, pes prospieva.</t>
  </si>
  <si>
    <t>Pes sa je žiada každý deň.</t>
  </si>
  <si>
    <t>Spokojený pes, dobré zloženie.</t>
  </si>
  <si>
    <t>Výborná kvalita, odporúčam.</t>
  </si>
  <si>
    <t>Pes to miluje, kupujem často.</t>
  </si>
  <si>
    <t>Pes sa olizuje až za ušima.</t>
  </si>
  <si>
    <t>Pes to miluje, bez problémov.</t>
  </si>
  <si>
    <t>Kupujem opakovane, spokojenost.</t>
  </si>
  <si>
    <t>Dobré zloženie, žiadne problémy.</t>
  </si>
  <si>
    <t>Bezkonkurenční konzerva, chutí všetkým.</t>
  </si>
  <si>
    <t>Vždy čerstvé, kvalitné maso.</t>
  </si>
  <si>
    <t>Môj pes iné nechce.</t>
  </si>
  <si>
    <t>Praktické maškrty na tréning.</t>
  </si>
  <si>
    <t>Pes má po nich viac energie.</t>
  </si>
  <si>
    <t>Drží aj pri delší procházce.</t>
  </si>
  <si>
    <t>Pes sa môže utĺcť, beriem do zásoby.</t>
  </si>
  <si>
    <t>Pes prospieva, granuly sedí.</t>
  </si>
  <si>
    <t>Podstielka práší, vrátené.</t>
  </si>
  <si>
    <t>Príjemný do ruky.</t>
  </si>
  <si>
    <t>Granuly sedí, bez zažívacích potíží.</t>
  </si>
  <si>
    <t>Šetrný a dobre pení.</t>
  </si>
  <si>
    <t>Konzerva Catissime Tuna Fillets 85g</t>
  </si>
  <si>
    <t>Mačky sa na výbere pochutili.</t>
  </si>
  <si>
    <t>Najlepší pomer cena/výkon, beriem balenie.</t>
  </si>
  <si>
    <t>Pes nadšený, kupujeme pravidelne.</t>
  </si>
  <si>
    <t>Skvelo pohlcuje pachy.</t>
  </si>
  <si>
    <t>Za tu cenu fajn.</t>
  </si>
  <si>
    <t>Mačka spokojná, pekne vonia.</t>
  </si>
  <si>
    <t>Neprašné a vydrží.</t>
  </si>
  <si>
    <t>Moc mastné, ale pes spokojen.</t>
  </si>
  <si>
    <t>Pesovaj chutí, dobré granuly.</t>
  </si>
  <si>
    <t>Top kvalita, pes vždy šťastný.</t>
  </si>
  <si>
    <t>Vonia jemne, účinný.</t>
  </si>
  <si>
    <t>Pes krásne vonia a srsť mäkká.</t>
  </si>
  <si>
    <t>Mačka zjedla len část.</t>
  </si>
  <si>
    <t>Zdravá srsť, dobrá stolice.</t>
  </si>
  <si>
    <t>Funguje skvelo, žiaden zápach.</t>
  </si>
  <si>
    <t>Skvelá kvalita.</t>
  </si>
  <si>
    <t>Mačka sa pochutnala.</t>
  </si>
  <si>
    <t>Hezky pení, príjemná vôňa.</t>
  </si>
  <si>
    <t>Mačka zjedla polovinu.</t>
  </si>
  <si>
    <t>Skvelá chuť, odporúčam.</t>
  </si>
  <si>
    <t>Odstraní zápach okamžite.</t>
  </si>
  <si>
    <t>Dobrý pomer cena/výkon.</t>
  </si>
  <si>
    <t>Trochu suchá paštika.</t>
  </si>
  <si>
    <t>Pes vyzerá zdravo a má energii.</t>
  </si>
  <si>
    <t>Obľúbené krmivo.</t>
  </si>
  <si>
    <t>Dobre čistí srsť, jemná vôňa.</t>
  </si>
  <si>
    <t>Výborná chuť, mačka spokojená.</t>
  </si>
  <si>
    <t>Trochu prašné, ale OK.</t>
  </si>
  <si>
    <t>Pes spokojen, rychlé dodání.</t>
  </si>
  <si>
    <t>Najlepšie čo som mal, odporúčam!</t>
  </si>
  <si>
    <t>Skvelá granuly, pes ju zbožňuje.</t>
  </si>
  <si>
    <t>Pes je má rád, dobré na tréning.</t>
  </si>
  <si>
    <t>Najlepšia konzerva, čo znám.</t>
  </si>
  <si>
    <t>Pes sa po ňom krásne leskne.</t>
  </si>
  <si>
    <t>Bez zápachu, vydrží dlho.</t>
  </si>
  <si>
    <t>Pes ju miluje, odporúčam.</t>
  </si>
  <si>
    <t>Výborný sprej, funguje perfektne.</t>
  </si>
  <si>
    <t>Pes má po nich lesklú srsť.</t>
  </si>
  <si>
    <t>Dlouhá výdrž, skvelá absorpce.</t>
  </si>
  <si>
    <t>Pes to zbožňuje, kupujem často.</t>
  </si>
  <si>
    <t>Vonia silno, mačka zjedla polovicu.</t>
  </si>
  <si>
    <t>Pes je miluje, super zloženie.</t>
  </si>
  <si>
    <t>Funguje dobre, príjemná vôňa.</t>
  </si>
  <si>
    <t>Pes to zjedol, ale moc ho to nenadchlo.</t>
  </si>
  <si>
    <t>Perfektní granuly pre aktivní psy.</t>
  </si>
  <si>
    <t>Funguje výborne, objednám znova.</t>
  </si>
  <si>
    <t>Dobré granuly, pes sa teší na jedlo.</t>
  </si>
  <si>
    <t>Funguje, ale vonia silno.</t>
  </si>
  <si>
    <t>Perfektní účinok, bez zápachu.</t>
  </si>
  <si>
    <t>Výborne neutralizuje pachy.</t>
  </si>
  <si>
    <t>Skvelé granuly, kupujem pravidelne.</t>
  </si>
  <si>
    <t>Pes nadšený, dobrá konzistence.</t>
  </si>
  <si>
    <t>Funguje, ale nič extra.</t>
  </si>
  <si>
    <t>Perfektní krmivo, pes prospieva.</t>
  </si>
  <si>
    <t>Pes ju zbožňuje, top kvalita.</t>
  </si>
  <si>
    <t>Funguje, používam denne.</t>
  </si>
  <si>
    <t>Top krmivo, odporúčam.</t>
  </si>
  <si>
    <t>Pes je má rád, ideálne odmena.</t>
  </si>
  <si>
    <t>Skvelé vôdzka, pevné a ľahké.</t>
  </si>
  <si>
    <t>Hračka BellaMeow SpringyMouse</t>
  </si>
  <si>
    <t>Hračky – Mačky</t>
  </si>
  <si>
    <t>Deka Catissime WarmWhisker 80×60 cm</t>
  </si>
  <si>
    <t>Dobre myje, príjemná vôňa.</t>
  </si>
  <si>
    <t>Funguje, ale mohol by voňať lepšie.</t>
  </si>
  <si>
    <t>Miska super, ľahko sa čistí.</t>
  </si>
  <si>
    <t>Mačka to miluje, objednám znova.</t>
  </si>
  <si>
    <t>Výborná konzerva, mačka spokojená.</t>
  </si>
  <si>
    <t>Pesovaj chutí, odporúčam.</t>
  </si>
  <si>
    <t>Pes nadšený, kupujem opakovane.</t>
  </si>
  <si>
    <t>Dobrá kvalita, používame denne.</t>
  </si>
  <si>
    <t>Bez prachu, dobre saje.</t>
  </si>
  <si>
    <t>Pes ju miluje, bez problémov.</t>
  </si>
  <si>
    <t>Pes to je, ale balenie by mohlo byť väčšie.</t>
  </si>
  <si>
    <t>Pes to zbožňuje, výborná cena.</t>
  </si>
  <si>
    <t>Dobrá miska, stabilní.</t>
  </si>
  <si>
    <t>Pes spokojný, kupujeme stále.</t>
  </si>
  <si>
    <t>Pes to zbožňuje, odporúčam!</t>
  </si>
  <si>
    <t>Výborná chuť, odporúčam.</t>
  </si>
  <si>
    <t>Mačka to miluje, kupujeme pravidelne.</t>
  </si>
  <si>
    <t>Dobrá veľkosť, stabilní.</t>
  </si>
  <si>
    <t>Príjemná vôňa, funguje dobre.</t>
  </si>
  <si>
    <t>Pes to je, ale občas zbytky nechá.</t>
  </si>
  <si>
    <t>Miska pevná, kvalitné plast.</t>
  </si>
  <si>
    <t>Pes vonia celý deň, super!</t>
  </si>
  <si>
    <t>Mačka spokojná, príjemná vôňa.</t>
  </si>
  <si>
    <t>Super miska, nešmýka sa.</t>
  </si>
  <si>
    <t>Pes to je, ale mohlo by byť lacnejší.</t>
  </si>
  <si>
    <t>Pes spokojen, levné a chutné.</t>
  </si>
  <si>
    <t>Perfektní kvalita, odporúčam všetkým.</t>
  </si>
  <si>
    <t>Pes sa po tom môže utĺcť.</t>
  </si>
  <si>
    <t>Skvelé krmivo, pes je zdravý a aktivní.</t>
  </si>
  <si>
    <t>Príjemná veľkosť kúskov, pes sa na tréning teší.</t>
  </si>
  <si>
    <t>Skvelé granuly pre aktivního psa, srsť sa zlepšila a porce mu viac sedí ako skôr.</t>
  </si>
  <si>
    <t>Ľahké a pevné, na delší procházky ideál; karabina drží aj keď pes škubne.</t>
  </si>
  <si>
    <t>Mačka sa hrá každý deň, pierko je zatiaľ v poriadku.</t>
  </si>
  <si>
    <t>Kefa Tlapka design SoftBrush</t>
  </si>
  <si>
    <t>Tlapka design</t>
  </si>
  <si>
    <t>Loptička Pupco BounceBall</t>
  </si>
  <si>
    <t>Sprej Tail Trend PawClean 250ml</t>
  </si>
  <si>
    <t>Dobrá cena, pes misku vylíže dočista; beriem do zásoby.</t>
  </si>
  <si>
    <t>Hračka Bark&amp;Bone Dental Ring</t>
  </si>
  <si>
    <t>Bark&amp;Bone</t>
  </si>
  <si>
    <t>Kroužek je fajn, ale mohol by byť tvrdší, pes ho rýchlo okousal.</t>
  </si>
  <si>
    <t>Konzerva Mr. Whiskers Tuna Fillets 85g</t>
  </si>
  <si>
    <t>Mačke chutí, srsť je lesklá a menej pĺzne; dobrá voľba na leto.</t>
  </si>
  <si>
    <t>Obojok PawStyle ShineCat reflexný</t>
  </si>
  <si>
    <t>Menej prachu ako iné, jednoduchá údržba.</t>
  </si>
  <si>
    <t>Granuly Catissime Sterilized Chicken 1,5kg</t>
  </si>
  <si>
    <t>Pre kastrovanú mačku super, drží sa váhu a chutí.</t>
  </si>
  <si>
    <t>Miska Pawtastic CeramicPaw 400 ml</t>
  </si>
  <si>
    <t>Misky a kŕmne doplnky – Mačky</t>
  </si>
  <si>
    <t>Granuly Catissime Grain-Free Duck 1,5kg</t>
  </si>
  <si>
    <t>Mäkká, ale v lete je mačka radšaj mimo pelech.</t>
  </si>
  <si>
    <t>Fontána Catissime AquaFlow 2l</t>
  </si>
  <si>
    <t>Vodní fontána primäla mačku viac pít, montáž aj čistenie bez potíží.</t>
  </si>
  <si>
    <t>Jemný, nespôsobuje svrbenie; používame po kúpaní v rybníku.</t>
  </si>
  <si>
    <t>Fontána Nordic Tail AquaFlow 2l</t>
  </si>
  <si>
    <t>Tichý chod a pítko v viac úrovních; mačky u toho tráví pol dne.</t>
  </si>
  <si>
    <t>Vôdzka Pawtastic CatLeash 1,5m</t>
  </si>
  <si>
    <t>Ľahké vôdzka na balkon a krátké vycházky, dobre sa drží.</t>
  </si>
  <si>
    <t>Tričko Pup Republic SportDog oranžové</t>
  </si>
  <si>
    <t>Tričko Pup Republic WildDog zelené</t>
  </si>
  <si>
    <t>Lehký materiál, na letní behanie fajn, sedí podle tabulky.</t>
  </si>
  <si>
    <t>Bunda HafHaf Couture RainGuard modrá</t>
  </si>
  <si>
    <t>HafHaf Couture</t>
  </si>
  <si>
    <t>Klietka Lapa Home HamsterHome S kovová</t>
  </si>
  <si>
    <t>Pelechy a nábytok – Hlodavce</t>
  </si>
  <si>
    <t>Lapa Home</t>
  </si>
  <si>
    <t>Granuly SmallPet HerbMix 1kg</t>
  </si>
  <si>
    <t>Krmivo a maškrty – Králiky</t>
  </si>
  <si>
    <t>Bylinková zmes králikom vonia, bobky sú pevné a srsť je lesklá.</t>
  </si>
  <si>
    <t>Pes má viac energie a nemá citlivé brucho ako skôr.</t>
  </si>
  <si>
    <t>Krmivo SmallPet Mix 800g</t>
  </si>
  <si>
    <t>Krmivo a maškrty – Ostatné</t>
  </si>
  <si>
    <t>Kefa Tlapka design GroomPro 2v1</t>
  </si>
  <si>
    <t>Funguje, ale rukojeť šmýka sa v ruky; lepší na krátkou srsť.</t>
  </si>
  <si>
    <t>Obojok Dogissimo LeatherLine hnedý</t>
  </si>
  <si>
    <t>Slušná hrudkovatost, zápach drží; beriem opakovane.</t>
  </si>
  <si>
    <t>Vôdzka Tail Trend UrbanFlex 3m</t>
  </si>
  <si>
    <t>Vráceno – popruh sa strapkal po pár procházkách, výmena za RopeWalk.</t>
  </si>
  <si>
    <t>Maškrty vonia masem, pes cvičí ochotnejšie a bere je aj z ruky detí.</t>
  </si>
  <si>
    <t>Pes má po týchto granulích lesklú srsť, kupujeme pravidelne.</t>
  </si>
  <si>
    <t>Mačka sa hrala dva dni, potom ju prestalo baviť. Asi spíš pre mačiatka.</t>
  </si>
  <si>
    <t>Super odraz, skáče vysoko, pes sa unaví po piatich minutách.</t>
  </si>
  <si>
    <t>Výborné pre kastrované mačky, bez zápachu, srsť sa zlepšila.</t>
  </si>
  <si>
    <t>Hračka Pawtastic CatMaze interaktivní</t>
  </si>
  <si>
    <t>Dávkovač Nordic Tail AutoFeeder Mini</t>
  </si>
  <si>
    <t>Perfektní dávkování a tichý chod. Nastavení jednoduché, skvelá voľba.</t>
  </si>
  <si>
    <t>Pelech SmallPet Nest</t>
  </si>
  <si>
    <t>Pelechy a nábytok – Ostatné</t>
  </si>
  <si>
    <t>Pelech fajn, ale výplň by mohla byť pevnejší, inak spokojenost.</t>
  </si>
  <si>
    <t>Najlepšie šampón pre citlivou koži, srsť jemná a voňavá.</t>
  </si>
  <si>
    <t>Miska stabilní, dobre sa myje, vhodná aj ven.</t>
  </si>
  <si>
    <t>Pelech BellaMeow SoftCat L</t>
  </si>
  <si>
    <t>Tichý provoz a pekný dizajn, mačka u toho sedí pol dne.</t>
  </si>
  <si>
    <t>Hračka Nordic Tail Laser Chase</t>
  </si>
  <si>
    <t>Klieštiky PawStyle CareCut</t>
  </si>
  <si>
    <t>Pes sa na ne teší, ideálne odmena.</t>
  </si>
  <si>
    <t>Pevné vôdzka, ale lehce ťažší na menší psy.</t>
  </si>
  <si>
    <t>Pes to zbožňuje tyto granuly, balenie vydrží dlho.</t>
  </si>
  <si>
    <t>Dobrý pomer ceny a kvality, pes sa učí rád.</t>
  </si>
  <si>
    <t>Skvelý balonek na hru v parku, vydržel celé leto.</t>
  </si>
  <si>
    <t>Pes vyzerá zdravo, dobre tráví, spokojenost.</t>
  </si>
  <si>
    <t>Reflexný prúžok je vidieť aj večer, drží sa pohodlne.</t>
  </si>
  <si>
    <t>Perfektná odmena pri tréningu, pes sa viac sústredí.</t>
  </si>
  <si>
    <t>Granuly vonia masem, pes žerie bez problémov a má lesklú srsť.</t>
  </si>
  <si>
    <t>Veľmi pohodlné vôdzka, používam každý deň.</t>
  </si>
  <si>
    <t>Kefa dobrý, ale mačka sa po chvílaj brání, asi škriabe.</t>
  </si>
  <si>
    <t>Mačke chutnají viac ako jakékoliv iné, výborná kvalita.</t>
  </si>
  <si>
    <t>Dávkuje presne, žiadne zaseknutí, spokojenost po týždni používání.</t>
  </si>
  <si>
    <t>Jemný, vhodný pre šteniatko aj dospelého psa.</t>
  </si>
  <si>
    <t>Mačka sa s tým hraje krátce, ale občas sa k tomu vrátí.</t>
  </si>
  <si>
    <t>Pes šťastný, miska prázdna za minutu, výborné zloženie.</t>
  </si>
  <si>
    <t>Skvelé krmivo, žiadne trávicí potíže, odporúčam.</t>
  </si>
  <si>
    <t>Pekný dizajn, mačka konečne nevylieva vodu von.</t>
  </si>
  <si>
    <t>Dokonalé riešenie na leto, mačky pijú viac ako skôr.</t>
  </si>
  <si>
    <t>Pekne vonia a čistí, pes nemá lupiny.</t>
  </si>
  <si>
    <t>Najlepšie maškrty, čo sme zkusili, pes skáče radostí.</t>
  </si>
  <si>
    <t>Pes prospieva, žiadne problémy s trávením.</t>
  </si>
  <si>
    <t>Vôdzka sa dobre drží, pohodlné aj pri delších procházkách.</t>
  </si>
  <si>
    <t>Pes poslúcha lepšie, ideálne veľkosť kúskov.</t>
  </si>
  <si>
    <t>Pes to je, ale nič extra.</t>
  </si>
  <si>
    <t>Veľmi pevné, napriek tomu ľahké, ideálne na výlety.</t>
  </si>
  <si>
    <t>Pes to miluje, kupujem pravidelne.</t>
  </si>
  <si>
    <t>Maškrty dobré, bez zápachu, pes spokojený.</t>
  </si>
  <si>
    <t>Pes šťastný, kupujeme pravidelne.</t>
  </si>
  <si>
    <t>Chladiaca podložka Pup Republic CoolMat L</t>
  </si>
  <si>
    <t>Perfektní pre horké dni, pes na nej spí celé odpoledne.</t>
  </si>
  <si>
    <t>Pes aj mačka ju milují, výborne chladí a ľahko sa čistí.</t>
  </si>
  <si>
    <t>Výborná kvalita, materiál odolný, pes sa ju hneď obľúbil.</t>
  </si>
  <si>
    <t>Kupuju pravidelne, pes vždy spokojen.</t>
  </si>
  <si>
    <t>Funguje skvelo, náš retrívr je vďačný za každý chladivý dotyk.</t>
  </si>
  <si>
    <t>Príjemný materiál, nešmýka sa na podlaze.</t>
  </si>
  <si>
    <t>Zázrak! Môj pes už neleží v kúpeľni, ale len na tejto podložce.</t>
  </si>
  <si>
    <t>Perfektní produkt, kúpim aj menší pre druhého psa.</t>
  </si>
  <si>
    <t>Fajn pre letní cesty autem, ľahko sa složí.</t>
  </si>
  <si>
    <t>Najlepšie nákup leta! Vydrží chladná aj po hodinách.</t>
  </si>
  <si>
    <t>Dobre funguje, len trochu šmýka sa na dlažbe.</t>
  </si>
  <si>
    <t>Pes sa ju okamžite obľúbil, ideálne aj do auta.</t>
  </si>
  <si>
    <t>Skvelá vec, koupilaj sme hneď druhou pre chatu.</t>
  </si>
  <si>
    <t>Príjemná na dotyk, pomáha aj starším psom.</t>
  </si>
  <si>
    <t>Naše fenka na nej leží celý deň, chladí okamžite.</t>
  </si>
  <si>
    <t>Najlepšie pomocník do letních veder. Odporúčam každému!</t>
  </si>
  <si>
    <t>Príjemne mäkká a lehká, ľahko sa čistí.</t>
  </si>
  <si>
    <t>Pes sa konečne prestal váľať u ventilátore. Super!</t>
  </si>
  <si>
    <t>Díky tejto podložce máme klidného psa aj v tropických dnech.</t>
  </si>
  <si>
    <t>Pes už nechce spát nikde jinde, naozaj chladí.</t>
  </si>
  <si>
    <t>Skvelý produkt, pes sa na nej ochladí počas chvíľky.</t>
  </si>
  <si>
    <t>Používáme aj venku na terase, drží teplotu.</t>
  </si>
  <si>
    <t>Náš buldoček sa konečne prestal prehrievať. Super produkt.</t>
  </si>
  <si>
    <t>Fajn doplnok do psího pelechu, vyzerá kvalitne.</t>
  </si>
  <si>
    <t>Najlepšie kúpa tohto leta, pes sa ju stráži ako poklad.</t>
  </si>
  <si>
    <t>Funguje výborne aj pri 30 °C, pes je v pohode.</t>
  </si>
  <si>
    <t>Dobrá kvalita, funguje aj po týdnech používání.</t>
  </si>
  <si>
    <t>Materiál je pevný, pes ho nepoškodil anaj pazúriky.</t>
  </si>
  <si>
    <t>Dáváme ju do auta, výborná chladicí schopnost.</t>
  </si>
  <si>
    <t>Chladí dostatočne, ideálne do bytu bez klimatizácie.</t>
  </si>
  <si>
    <t>Fakt pomáha, pes sa už neprehrieva anaj pri 35 °C.</t>
  </si>
  <si>
    <t>Dobre sa prenáša, odporúčam na dovolenou sa psem.</t>
  </si>
  <si>
    <t>Pes na nej tráví celé dni, chladí skvelo.</t>
  </si>
  <si>
    <t>Výborné zloženie, chutí aj vyberavému psovi.</t>
  </si>
  <si>
    <t>Pes sa po nich môže utĺcť, ideálne na výcvik.</t>
  </si>
  <si>
    <t>Vôňa mohla byť jemnejší, ale inak funguje.</t>
  </si>
  <si>
    <t>Vydržela už mesiac, pes ju miluje!</t>
  </si>
  <si>
    <t>Mačky nadšené, miska prázdna za minutu.</t>
  </si>
  <si>
    <t>Na dovolené u more sa osvedčila, lehká a skladná.</t>
  </si>
  <si>
    <t>Pomáha aj našemu starému psovaj s klouby.</t>
  </si>
  <si>
    <t>Pekne vonia a nezanechává zbytky.</t>
  </si>
  <si>
    <t>Koupila som aj pre kamarátku, psy sú nadšení.</t>
  </si>
  <si>
    <t>Bez prachu a zápachu, najlepšia podstielka.</t>
  </si>
  <si>
    <t>Pes sa na nej upokojí počas pár minut, odporúčam.</t>
  </si>
  <si>
    <t>Zvuk pískání drží aj po týždni, pes ju má rád.</t>
  </si>
  <si>
    <t>Priemerné, pes je zje, ale žiadne nadšení.</t>
  </si>
  <si>
    <t>Fantastická kvalita, lehká údržba.</t>
  </si>
  <si>
    <t>Pevná, stabilní miska, dobre sa myje.</t>
  </si>
  <si>
    <t>Maso šťavnaté, pes sa vždy olíže až za ušima.</t>
  </si>
  <si>
    <t>Vôňa dlho vydrží, neutralizuje pachy.</t>
  </si>
  <si>
    <t>Mačka zjedla len polovicu, ale inak dobré zloženie.</t>
  </si>
  <si>
    <t>Najlepšie odmena pri tréningu, bez cukru.</t>
  </si>
  <si>
    <t>Pes je má rád, skvelá veľkosť na cvičenie.</t>
  </si>
  <si>
    <t>Skvelé aj pre šteniatko, krásne sa vyspí bez potíží.</t>
  </si>
  <si>
    <t>Príjemný materiál, ale mohol by byť silnejší.</t>
  </si>
  <si>
    <t>Pes sa ju nosí všade, výborná kvalita.</t>
  </si>
  <si>
    <t>Nečekal som, že bude tak efektivní. Výborné!</t>
  </si>
  <si>
    <t>Dobré konzervy, pes je papá pravidelne.</t>
  </si>
  <si>
    <t>Malé, mäkké kousky, ideálne na cvičák.</t>
  </si>
  <si>
    <t>Fenka ju ťahá aj do postele, skvelá hračka.</t>
  </si>
  <si>
    <t>Dobre sa čistí, ale trochu šmýka sa po podlaze.</t>
  </si>
  <si>
    <t>Mäkké maškrty, super motivace pri výcviku.</t>
  </si>
  <si>
    <t>Skvelá vec pre psy s hustou srstí.</t>
  </si>
  <si>
    <t>Pomáha, ale rozprašovač by mohol byť lepší.</t>
  </si>
  <si>
    <t>Vysoká kvalita, pes má hezčí srsť.</t>
  </si>
  <si>
    <t>Vyhovuje, ale sklouzává po kachličkách.</t>
  </si>
  <si>
    <t>Mačka spokojná, kupujem opakovane.</t>
  </si>
  <si>
    <t>Pes sa na nej válí celé dni, výborná kúpa.</t>
  </si>
  <si>
    <t>Na väčší zápach nestačí, inak dobrý.</t>
  </si>
  <si>
    <t>Najobľúbenejšie konzerva našeho psa, krásne vonia.</t>
  </si>
  <si>
    <t>Kvalitné granuly, pekná srsť aj energie.</t>
  </si>
  <si>
    <t>Pes sa na nej okamžite upokojí, funguje skvelo.</t>
  </si>
  <si>
    <t>Pekne pení, pes vonia niekoľko dní.</t>
  </si>
  <si>
    <t>Pes ju nechce opustit, chladí celý deň.</t>
  </si>
  <si>
    <t>Pes reaguje skvelo, odporúčam.</t>
  </si>
  <si>
    <t>Super kvalita, žiadne zažívací problémy.</t>
  </si>
  <si>
    <t>Píská akorát, vydrží aj tahání.</t>
  </si>
  <si>
    <t>Dokonalé riešenie protaj prehriatiu, chválím!</t>
  </si>
  <si>
    <t>Vydrží naozaj dlho, skvelý pomer cena/výkon.</t>
  </si>
  <si>
    <t>Dobre zabaleno, pes spokojeny.</t>
  </si>
  <si>
    <t>Pes je zbožňuje, žiadne trávicí potíže.</t>
  </si>
  <si>
    <t>Príjemná vôňa, po kúpaní hladká srsť.</t>
  </si>
  <si>
    <t>Perfektní na balkon aj do auta, odporúčam!</t>
  </si>
  <si>
    <t>Pes má po nich skvelú kondici.</t>
  </si>
  <si>
    <t>Dobre vonia, eliminuje zápach rýchlo.</t>
  </si>
  <si>
    <t>Pes sa vždy teší, keď vytiahnem vrecko.</t>
  </si>
  <si>
    <t>Skvelo chladí aj na balkóne, pes je pokojnejší.</t>
  </si>
  <si>
    <t>Ideálne veľkosť na tréning.</t>
  </si>
  <si>
    <t>Nezanechává mokré fleky, jednoduchá údržba.</t>
  </si>
  <si>
    <t>Pomohla aj staršímu psovaj lépe spát.</t>
  </si>
  <si>
    <t>Drží už týden každodenního žužlání.</t>
  </si>
  <si>
    <t>Pevná miska, dobre sa myje.</t>
  </si>
  <si>
    <t>Funguje, ale mohla by byť mäkší.</t>
  </si>
  <si>
    <t>Srsť sa zlepšila, odporúčam.</t>
  </si>
  <si>
    <t>Ve horúčav na nezaplatenie, skvelý pomer cena/výkon.</t>
  </si>
  <si>
    <t>Jednoduché čistenie vlhkým hadrem.</t>
  </si>
  <si>
    <t>Pes misku vylíže dočista.</t>
  </si>
  <si>
    <t>Vôňa fajn, pení spíš míň.</t>
  </si>
  <si>
    <t>Pes sa neprehrieva anaj pri dlouhé ceste autem.</t>
  </si>
  <si>
    <t>Dlouho vydrží, pachy potlačí.</t>
  </si>
  <si>
    <t>Pohodlná, ale šmýka sa na hladké podlaze.</t>
  </si>
  <si>
    <t>Pohodlný úchop, pevná karabina.</t>
  </si>
  <si>
    <t>Pes sa na ne vždy teší.</t>
  </si>
  <si>
    <t>Mačka prestala zvracet, super krmivo.</t>
  </si>
  <si>
    <t>Chladí dobre, ale poťah by mohol byť mäkší.</t>
  </si>
  <si>
    <t>Mačka sa k misce vrací, chutí.</t>
  </si>
  <si>
    <t>Vráceno – popruh sa po týždni strapkal.</t>
  </si>
  <si>
    <t>Pes na nej leží celé dni, výborný produkt na leto.</t>
  </si>
  <si>
    <t>Pes je miluje, používam pri výcviku.</t>
  </si>
  <si>
    <t>Nečekal som, že bude tak účinná, skvelá kúpa.</t>
  </si>
  <si>
    <t>Obľúbená hračka našeho šteniatka, odporúčam!</t>
  </si>
  <si>
    <t>Pes sa ju obľúbil, chladí rovnomerne.</t>
  </si>
  <si>
    <t>Pomohla aj v aute, kde sa pes prehrieval.</t>
  </si>
  <si>
    <t>Srsť je hebká a voňavá.</t>
  </si>
  <si>
    <t>Príjemný materiál, pes sa ju hneď obľúbil.</t>
  </si>
  <si>
    <t>Pes pribral svaly a má lesklú srsť.</t>
  </si>
  <si>
    <t>Funguje, ale mohla by byť väčšia.</t>
  </si>
  <si>
    <t>Pevný materiál, píska hlasno.</t>
  </si>
  <si>
    <t>Prekvapivo odolná voči škrabaniu pazúrmi.</t>
  </si>
  <si>
    <t>Výborný chladicí efekt, odporúčam na cesty.</t>
  </si>
  <si>
    <t>Pes má viac energie a hezčí srsť.</t>
  </si>
  <si>
    <t>Pes ju používá aj v noci, príjemná na dotyk.</t>
  </si>
  <si>
    <t>Malé a mäkké, ideálne na tréning.</t>
  </si>
  <si>
    <t>Zatiaľ drží, pes ju má rád.</t>
  </si>
  <si>
    <t>Mačka ju je beze zvyškov.</t>
  </si>
  <si>
    <t>Píská silno, pes nadšený.</t>
  </si>
  <si>
    <t>Chladí okamžite, jednoduché čistenie.</t>
  </si>
  <si>
    <t>Super granuly, bez zápachu, chutnají.</t>
  </si>
  <si>
    <t>Výborná na balkon aj do auta, náš pes ju miluje.</t>
  </si>
  <si>
    <t>Mäkké a voňavé, ideálne pre šteniatko.</t>
  </si>
  <si>
    <t>Pes sa zlepšil po zdravotní stránce.</t>
  </si>
  <si>
    <t>Praktická, stačí utrieť hadrem, pes ju má rád.</t>
  </si>
  <si>
    <t>Píská trochu hlasno, ale pes nadšený.</t>
  </si>
  <si>
    <t>Kupuju opakovane, pes spokojený.</t>
  </si>
  <si>
    <t>Najlepšie maškrty, čo sme zkusili.</t>
  </si>
  <si>
    <t>Pevná, prežila aj aportování v parku.</t>
  </si>
  <si>
    <t>Pes je zdravšie, srsť krásne lesklá.</t>
  </si>
  <si>
    <t>Skladná a chladí hneď po vybalení.</t>
  </si>
  <si>
    <t>Fajn maškrty, pes poslúcha ako hodinky.</t>
  </si>
  <si>
    <t>Kupujem často, spokojenost.</t>
  </si>
  <si>
    <t>Perfektná veľkosť pre stredného psa.</t>
  </si>
  <si>
    <t>Výborné krmivo, žiadne zažívací potíže.</t>
  </si>
  <si>
    <t>Pes sa na nej okamžite natáhne.</t>
  </si>
  <si>
    <t>Pevný materiál, zvládá aj velké psy.</t>
  </si>
  <si>
    <t>Vždy čerstvá a vonia, pes sa teší na každé kŕmenie.</t>
  </si>
  <si>
    <t>Dobrá cena aj kvalita, náš favorit.</t>
  </si>
  <si>
    <t>Zlepšila sa kondice psa, super.</t>
  </si>
  <si>
    <t>Funguje skvelo aj po niekoľkých týdnech používání.</t>
  </si>
  <si>
    <t>Mačka ju má ráda, príjemná vôňa.</t>
  </si>
  <si>
    <t>Obľúbená hračka, len trochu hlučná.</t>
  </si>
  <si>
    <t>Vydrží dlho, bez zápachu, top podstielka.</t>
  </si>
  <si>
    <t>Pes sa ju chráni ako svoj poklad.</t>
  </si>
  <si>
    <t>Mačka zje polovicu, zbytek nechá, priemer.</t>
  </si>
  <si>
    <t>Pes ju ťahá po byte, stále drží.</t>
  </si>
  <si>
    <t>Hezká vôňa, pení akorát.</t>
  </si>
  <si>
    <t>Výborne neutralizuje pachy, odporúčam.</t>
  </si>
  <si>
    <t>Skvelá kvalita, pes ju využívá denne.</t>
  </si>
  <si>
    <t>Skvelá absorpce, žiaden zápach.</t>
  </si>
  <si>
    <t>Voňavé maso, pes sa olizuje.</t>
  </si>
  <si>
    <t>Zatiaľ prežila aj tahání venku.</t>
  </si>
  <si>
    <t>Mačka spokojná, miska prázdna.</t>
  </si>
  <si>
    <t>Pes ju okusuje, ale zatiaľ drží.</t>
  </si>
  <si>
    <t>Najlepšia podstielka, které sme mali.</t>
  </si>
  <si>
    <t>Pes nadšený, miska vždy prázdna.</t>
  </si>
  <si>
    <t>Skvelá v aute aj doma, odporúčam.</t>
  </si>
  <si>
    <t>Pes sa môže zblázniť od radosti.</t>
  </si>
  <si>
    <t>Obľúbená hračka, výborná kvalita.</t>
  </si>
  <si>
    <t>Naše mačka ju chce denne.</t>
  </si>
  <si>
    <t>Výborné, žiadna chemie.</t>
  </si>
  <si>
    <t>Skvelo absorbuje vlhkosť, vydrží týdny.</t>
  </si>
  <si>
    <t>Pes sa teší na každé kŕmenie.</t>
  </si>
  <si>
    <t>Pes je bere ako odmenu.</t>
  </si>
  <si>
    <t>Vhodná aj pre malé psy, super.</t>
  </si>
  <si>
    <t>Pevný materiál, pes ju ťahá všade.</t>
  </si>
  <si>
    <t>Skvelo pohlcuje pachy, odporúčam.</t>
  </si>
  <si>
    <t>Pes sa môže zbláznit, ako mu chutnají.</t>
  </si>
  <si>
    <t>Pekne vonia, ale mohol by viac peniť.</t>
  </si>
  <si>
    <t>Funguje aj po 3 týdnech, super chladí.</t>
  </si>
  <si>
    <t>Pes ju má od rána do večera.</t>
  </si>
  <si>
    <t>Výborné pre výcvik, skvelo sa lámou.</t>
  </si>
  <si>
    <t>Pes ju používá aj na cestách, praktická.</t>
  </si>
  <si>
    <t>Výborný produkt, odstraní pach okamžite.</t>
  </si>
  <si>
    <t>Perfektní kvalita, už iné nekupuji.</t>
  </si>
  <si>
    <t>Pes poslúcha len keď je mám v kapse.</t>
  </si>
  <si>
    <t>Srsť lesklá, trávenie v pohode.</t>
  </si>
  <si>
    <t>Chladí okamžite, pes sa ju stráži.</t>
  </si>
  <si>
    <t>Mäkké, voňavé, pes sa je zamiloval.</t>
  </si>
  <si>
    <t>Hezky čistí, srsť lesklá.</t>
  </si>
  <si>
    <t>Skvelé podstielka, žiaden prach.</t>
  </si>
  <si>
    <t>Pes ju zbožňuje, ideálne do vedra.</t>
  </si>
  <si>
    <t>Dobré zloženie, pes má viac energie.</t>
  </si>
  <si>
    <t>Výdrž zatiaľ super, pes ju nosí všade.</t>
  </si>
  <si>
    <t>Bezchybné, pes sa naučil povel „lehni“.</t>
  </si>
  <si>
    <t>Pomáha s pachy po čistenie záchodu.</t>
  </si>
  <si>
    <t>Nezanechává prach, skvelá kvalita.</t>
  </si>
  <si>
    <t>Dobrá zábava pre psa aj páníčka.</t>
  </si>
  <si>
    <t>Pes reaguje okamžite, chutnají mu.</t>
  </si>
  <si>
    <t>Obľúbená hračka, zatiaľ drží.</t>
  </si>
  <si>
    <t>Vysoká kvalita, bezprašné.</t>
  </si>
  <si>
    <t>Pes sa môže pretrhnúť, ako mu chutnají.</t>
  </si>
  <si>
    <t>Hezky čistí, krásne vonia.</t>
  </si>
  <si>
    <t>Chladí aj po hodinách, ideálne do horúčavy.</t>
  </si>
  <si>
    <t>Pes ju ťahá aj na procházky.</t>
  </si>
  <si>
    <t>Pes reaguje rýchlejšie pri výcviku.</t>
  </si>
  <si>
    <t>Pes spokojný, voňavá konzerva.</t>
  </si>
  <si>
    <t>Pes sa na nej chladí po procházkách.</t>
  </si>
  <si>
    <t>Účinný a príjemne vonia.</t>
  </si>
  <si>
    <t>Skvelá absorpce, používam roky.</t>
  </si>
  <si>
    <t>Vynikající krmivo, pes prospieva.</t>
  </si>
  <si>
    <t>Výborne chladí, spokojenost.</t>
  </si>
  <si>
    <t>Pes sa učí rýchlejšie, chutnají mu.</t>
  </si>
  <si>
    <t>Mačka ju miluje, miska prázdna.</t>
  </si>
  <si>
    <t>Hezká vôňa, pekná srsť po použití.</t>
  </si>
  <si>
    <t>Dlouhá výdrž, bez zápachu.</t>
  </si>
  <si>
    <t>Pes ju využívá aj na spaní.</t>
  </si>
  <si>
    <t>Pes prospieva, krásna srsť.</t>
  </si>
  <si>
    <t>Mačka ju je pravidelne.</t>
  </si>
  <si>
    <t>Výborný produkt, funguje ako má.</t>
  </si>
  <si>
    <t>Pes plný energie, super granuly.</t>
  </si>
  <si>
    <t>Pes sa teší na každé cvičenie.</t>
  </si>
  <si>
    <t>Mačka sa môže utĺcť.</t>
  </si>
  <si>
    <t>Pes má krásnou srsť, chutí mu.</t>
  </si>
  <si>
    <t>Vonia skvelo a dobre pení.</t>
  </si>
  <si>
    <t>Skvelý produkt, pes sa na nej chladí celý deň.</t>
  </si>
  <si>
    <t>Dobré krmivo, pes má viac energie.</t>
  </si>
  <si>
    <t>Pes spokojný, ideálne do horúčavy.</t>
  </si>
  <si>
    <t>Výborný materiál, ľahko sa čistí.</t>
  </si>
  <si>
    <t>Nevoní, nepráší, skvelé podstielka.</t>
  </si>
  <si>
    <t>Kvalitné zloženie, pes sa teší na jedlo.</t>
  </si>
  <si>
    <t>Vydrží aj silné čelisti.</t>
  </si>
  <si>
    <t>Pes plní povely s radostí.</t>
  </si>
  <si>
    <t>Pesovaj chutí, občas prázdna miska skôr ako čekám.</t>
  </si>
  <si>
    <t>Najobľúbenejšie hračka mého psa.</t>
  </si>
  <si>
    <t>Mačka spokojná, podstielka vydrží dlho.</t>
  </si>
  <si>
    <t>Dobre pení, pekne čistí srsť.</t>
  </si>
  <si>
    <t>Pes sa na nej rozvaľuje celý deň, výborný produkt.</t>
  </si>
  <si>
    <t>Pes sa z nej nehýbe, naprostá spokojenost.</t>
  </si>
  <si>
    <t>Kvalitné a chutné, odporúčam.</t>
  </si>
  <si>
    <t>Mačka sa k misce vrací, chutí jí.</t>
  </si>
  <si>
    <t>Vydrží dlho a nezapáchá.</t>
  </si>
  <si>
    <t>Príjemná vôňa, jednoduché mytí.</t>
  </si>
  <si>
    <t>Dobre hrudkuje, minimální prach.</t>
  </si>
  <si>
    <t>Šetrný k citlivé koži.</t>
  </si>
  <si>
    <t>Pelech CozyNest DreamCat sivý</t>
  </si>
  <si>
    <t>Škrabadlo Catissime TowerMax 140cm</t>
  </si>
  <si>
    <t>Stabilní, mačka ho miluje.</t>
  </si>
  <si>
    <t>Miska Canine Craft Industries DuoMeal 2×350 ml</t>
  </si>
  <si>
    <t>Misky a kŕmne doplnky – Psy</t>
  </si>
  <si>
    <t>Pevná miska, nešmýka sa.</t>
  </si>
  <si>
    <t>Ľahké, ale šmýka sa v ruky.</t>
  </si>
  <si>
    <t>Tichá a ľahko sa čistí.</t>
  </si>
  <si>
    <t>Sedí pekne, prodyšné.</t>
  </si>
  <si>
    <t>Vráceno – strapká sa švy.</t>
  </si>
  <si>
    <t>Miska Urban paw ElegantCat nerez</t>
  </si>
  <si>
    <t>Urban paw</t>
  </si>
  <si>
    <t>Škrabadlo PawStyle MiniTower 100cm</t>
  </si>
  <si>
    <t>Pevná, zatiaľ drží.</t>
  </si>
  <si>
    <t>Maškrty Mr. Whiskers Crunchy Bites 150g</t>
  </si>
  <si>
    <t>Miska PawStyle KittyMeal 500 ml</t>
  </si>
  <si>
    <t>Stabilní, nešmýka sa.</t>
  </si>
  <si>
    <t>Klieštiky Pupco CareCut</t>
  </si>
  <si>
    <t>Podstielka BellaMeow Lavender Fresh 7l</t>
  </si>
  <si>
    <t>Príjemná vôňa, neslepuje sa.</t>
  </si>
  <si>
    <t>Škrabadlo Nordic Tail CornerKing 150cm</t>
  </si>
  <si>
    <t>Ľahké a pružné.</t>
  </si>
  <si>
    <t>Interaktívna hračka Pawtastic BallTrack</t>
  </si>
  <si>
    <t>Hračka Mr. Whiskers Catnip Mouse</t>
  </si>
  <si>
    <t>Dv strany, výborné na línání.</t>
  </si>
  <si>
    <t>Postroj Tlapka design SoftHarness XS</t>
  </si>
  <si>
    <t>Škrabadlo CozyNest WallClimb béžové</t>
  </si>
  <si>
    <t>Robustní, montáž jednoduchá.</t>
  </si>
  <si>
    <t>Pelech Dogissimo RoundSleep XL</t>
  </si>
  <si>
    <t>Kvalitné koža, pohodlný.</t>
  </si>
  <si>
    <t>Tričko Bark&amp;Bone CoolPaw zelené</t>
  </si>
  <si>
    <t>Tričko Bark&amp;Bone StreetPaw čierne</t>
  </si>
  <si>
    <t>Pes má viac energie, super.</t>
  </si>
  <si>
    <t>Mäkká, mačka sa ju obľúbila.</t>
  </si>
  <si>
    <t>Vrecúška Pawtastic Ocean Mix 12×85g</t>
  </si>
  <si>
    <t>Srsť hebká, žiadne podráždenie.</t>
  </si>
  <si>
    <t>Dobre skáče, pes nadšený.</t>
  </si>
  <si>
    <t>Konzerva BellaMeow Tuna Fillets 85g</t>
  </si>
  <si>
    <t>Kvalitné kousky, beriem do zásoby.</t>
  </si>
  <si>
    <t>Odolný, čistí zuby pri hre.</t>
  </si>
  <si>
    <t>Nepráší, super absorpce.</t>
  </si>
  <si>
    <t>Malé kousky, ideálne na tréning.</t>
  </si>
  <si>
    <t>Vráceno – karabina sa zasekává.</t>
  </si>
  <si>
    <t>Postroj Mr. Whiskers SoftHarness M</t>
  </si>
  <si>
    <t>Granuly BellaMeow Indoor Hairball 2kg</t>
  </si>
  <si>
    <t>Granuly Canine Craft Industries Sensitive Lamb 2,5kg</t>
  </si>
  <si>
    <t>Pes bez potíží, super krmivo.</t>
  </si>
  <si>
    <t>Skvelo vyčeše podsadu.</t>
  </si>
  <si>
    <t>Granuly Nordic Tail Indoor Hairball 2kg</t>
  </si>
  <si>
    <t>Snížila sa tvorba bezoárov.</t>
  </si>
  <si>
    <t>Drží pachy, super.</t>
  </si>
  <si>
    <t>Pes poslúcha ako hodinky.</t>
  </si>
  <si>
    <t>Vráceno – nekvalitní prošití.</t>
  </si>
  <si>
    <t>Dobre hrudkuje a nepáchne.</t>
  </si>
  <si>
    <t>Pevná, pes ju nosí ven aj domov.</t>
  </si>
  <si>
    <t>Ťažká a stabilní, nemlátí o podlahu.</t>
  </si>
  <si>
    <t>Vôňa jemná, mačke nevadí.</t>
  </si>
  <si>
    <t>Mačka tanier vylízla, beriem znova.</t>
  </si>
  <si>
    <t>Kočku zabaví na dlho.</t>
  </si>
  <si>
    <t>Odolná, pes ju neprehrýzol.</t>
  </si>
  <si>
    <t>Nedráždí, pekne vonia.</t>
  </si>
  <si>
    <t>Menej bezoárov, spokojenost.</t>
  </si>
  <si>
    <t>Zábava aj pre mačiatka.</t>
  </si>
  <si>
    <t>Pes ju chce stále házet.</t>
  </si>
  <si>
    <t>Mäkký a drží tvar.</t>
  </si>
  <si>
    <t>Dobre sa láme na malé kousky.</t>
  </si>
  <si>
    <t>Nepráší a vydrží.</t>
  </si>
  <si>
    <t>Dobre skáče, pes sa hrá.</t>
  </si>
  <si>
    <t>Lépe sa rozčesává srsť.</t>
  </si>
  <si>
    <t>Menej chlpov po byte.</t>
  </si>
  <si>
    <t>Minimum prachu.</t>
  </si>
  <si>
    <t>Pes sa do neho rád vrací.</t>
  </si>
  <si>
    <t>Pes misku nekompromisne čistí.</t>
  </si>
  <si>
    <t>Funguje na chlupové koule.</t>
  </si>
  <si>
    <t>Srsť sa leskne, pes žerie s chuťou.</t>
  </si>
  <si>
    <t>Zápach výrazne menší.</t>
  </si>
  <si>
    <t>Mačka sa vybláznaj každý večer.</t>
  </si>
  <si>
    <t>Menej chlpov na koberci.</t>
  </si>
  <si>
    <t>Rychle potlačí pachy, odporúčam.</t>
  </si>
  <si>
    <t>Najlepšia podstielka, čo sme zatiaľ mali.</t>
  </si>
  <si>
    <t>Skvelé na tréning.</t>
  </si>
  <si>
    <t>Ťažká a stabilní, nešmýka sa.</t>
  </si>
  <si>
    <t>Výborná absorpce, žiaden zápach.</t>
  </si>
  <si>
    <t>Kočku baví honit kuličku.</t>
  </si>
  <si>
    <t>Príjemná vôňa a jednoduché rozčesání.</t>
  </si>
  <si>
    <t>Vráceno – karabina drhne.</t>
  </si>
  <si>
    <t>Pes v ňom okamžite usíná.</t>
  </si>
  <si>
    <t>Vráceno – nesedla vôňa.</t>
  </si>
  <si>
    <t>Pes sa môže utĺcť, ideálne odmeny.</t>
  </si>
  <si>
    <t>Srsť lesklá, trávenie v poriadku.</t>
  </si>
  <si>
    <t>Pes má rád chuť, žiadne problémy.</t>
  </si>
  <si>
    <t>Pes misku neodtrhne, odporúčam.</t>
  </si>
  <si>
    <t>Kočku baví celé hodiny.</t>
  </si>
  <si>
    <t>Mačka sa po nich môže utĺcť.</t>
  </si>
  <si>
    <t>Vráceno – slabá karabina.</t>
  </si>
  <si>
    <t>Príjemne vonia, srsť mäkká.</t>
  </si>
  <si>
    <t>Pes sa do nich zamiloval.</t>
  </si>
  <si>
    <t>Mäkký a kvalitné materiál.</t>
  </si>
  <si>
    <t>Dobrá odmena pri výcviku.</t>
  </si>
  <si>
    <t>Skvelo pohlcuje pachy a dlho vydrží.</t>
  </si>
  <si>
    <t>Dobre čistí labky po procházce.</t>
  </si>
  <si>
    <t>Pes reaguje výborne pri tréningu.</t>
  </si>
  <si>
    <t>Mäkučký pelech, mačka ho miluje.</t>
  </si>
  <si>
    <t>Za tu cenu ujdou.</t>
  </si>
  <si>
    <t>Dobré granuly, pes má energii.</t>
  </si>
  <si>
    <t>Obľúbená hračka na dvorku!</t>
  </si>
  <si>
    <t>Pes nadšený, kupujem znovu.</t>
  </si>
  <si>
    <t>Na výcvik ideálne.</t>
  </si>
  <si>
    <t>Perfektní savost.</t>
  </si>
  <si>
    <t>Vôňa nič moc, ale funguje.</t>
  </si>
  <si>
    <t>Super kvalita, beriem pravidelne.</t>
  </si>
  <si>
    <t>Mačky to milují, pekná konzistence.</t>
  </si>
  <si>
    <t>Podstielka CozyNest Natural 10l</t>
  </si>
  <si>
    <t>Bez zápachu, dobre saje.</t>
  </si>
  <si>
    <t>Pes spokojný, beriem opakovane.</t>
  </si>
  <si>
    <t>Pekne hrudkuje.</t>
  </si>
  <si>
    <t>Mohlo by viac peniť.</t>
  </si>
  <si>
    <t>Srsť sa zlepšila, chutí.</t>
  </si>
  <si>
    <t>Kocour šílí radostí.</t>
  </si>
  <si>
    <t>Fajn maškrty, bez zápachu.</t>
  </si>
  <si>
    <t>Škrabadlo Lapa Home CatCastle 160cm</t>
  </si>
  <si>
    <t>Tichý chod, kocúr pije viac.</t>
  </si>
  <si>
    <t>Kvalitné, mačka má menej chlpov.</t>
  </si>
  <si>
    <t>Maškrty Catissime Crunchy Bites 150g</t>
  </si>
  <si>
    <t>Mačky to chrumkajú stále.</t>
  </si>
  <si>
    <t>Obojok Dogissimo ReflectiveLine oranžový</t>
  </si>
  <si>
    <t>Mačka nadšená, krehké kousky.</t>
  </si>
  <si>
    <t>Mäkší by mohol byť viac.</t>
  </si>
  <si>
    <t>Piesok pre drobné hlodavce 1kg</t>
  </si>
  <si>
    <t>Starostlivosť a hygiena – Ostatné</t>
  </si>
  <si>
    <t>Pekne svítí v noci.</t>
  </si>
  <si>
    <t>Pes má viac energie.</t>
  </si>
  <si>
    <t>Hezky vonia, drží pachy.</t>
  </si>
  <si>
    <t>Slabý karabina, vrátené.</t>
  </si>
  <si>
    <t>Dobré zloženie, chutí.</t>
  </si>
  <si>
    <t>Použitelné, trochu malé.</t>
  </si>
  <si>
    <t>Masívna, stabilní konstrukce.</t>
  </si>
  <si>
    <t>Tichá, jednoduché čistenie.</t>
  </si>
  <si>
    <t>Mäkučký, ideálne na podzim.</t>
  </si>
  <si>
    <t>Mačky ju rýchlo zjedli.</t>
  </si>
  <si>
    <t>Míček tvrdší, ale drží.</t>
  </si>
  <si>
    <t>Mačky ho milují, robustní.</t>
  </si>
  <si>
    <t>Ideálne veľkosť pre tréning.</t>
  </si>
  <si>
    <t>Znovu objednáno, pes nadšený.</t>
  </si>
  <si>
    <t>Funguje skvelo, kocúr sa naučil rýchlo.</t>
  </si>
  <si>
    <t>Mohla by byť ťažší.</t>
  </si>
  <si>
    <t>Vôňa drží dlho.</t>
  </si>
  <si>
    <t>Kocour sa po nich môže utĺcť.</t>
  </si>
  <si>
    <t>Najobľúbenejšie kapsičky u našich mačiek.</t>
  </si>
  <si>
    <t>Teplý, krásne sedí.</t>
  </si>
  <si>
    <t>Šnúrka sa hneď pretrhla, vrátené.</t>
  </si>
  <si>
    <t>Pes reaguje pri výcviku skvelo.</t>
  </si>
  <si>
    <t>Vôňa vydrží celý deň.</t>
  </si>
  <si>
    <t>Pekný tichý chod.</t>
  </si>
  <si>
    <t>Výborný, používam opakovane.</t>
  </si>
  <si>
    <t>Mačky nadšené.</t>
  </si>
  <si>
    <t>Drží, ale neprerezáva hustou srsť.</t>
  </si>
  <si>
    <t>Mačka sa to nechá líbit.</t>
  </si>
  <si>
    <t>Oblíbený, pes ho ťahá všade.</t>
  </si>
  <si>
    <t>Perfektní kvalita.</t>
  </si>
  <si>
    <t>Pes v suchu aj v lijáku.</t>
  </si>
  <si>
    <t>Fajn konstrukce, odporúčam.</t>
  </si>
  <si>
    <t>Funguje skvelo na citlivou pokožku.</t>
  </si>
  <si>
    <t>Robustné, perfektní.</t>
  </si>
  <si>
    <t>Pes s nej behá po byte stále.</t>
  </si>
  <si>
    <t>Mačka ju stále nosí späť.</t>
  </si>
  <si>
    <t>Mohl by viac voňať.</t>
  </si>
  <si>
    <t>Pes sa po koupelaj neškriabe.</t>
  </si>
  <si>
    <t>Zásoba na mesiac.</t>
  </si>
  <si>
    <t>Pre škrečka akorát.</t>
  </si>
  <si>
    <t>Skvelé zpracování.</t>
  </si>
  <si>
    <t>Pes ju ťahá všade s sebou.</t>
  </si>
  <si>
    <t>Výborný pre citlivou srsť.</t>
  </si>
  <si>
    <t>Kvalitné materiál, stabilní.</t>
  </si>
  <si>
    <t>Vôňa trochu silnejší.</t>
  </si>
  <si>
    <t>Výborná textura, chutí.</t>
  </si>
  <si>
    <t>Pes je miluje.</t>
  </si>
  <si>
    <t>Pekný dizajn a pevný.</t>
  </si>
  <si>
    <t>Pes sa neškriabe, krásne čistý.</t>
  </si>
  <si>
    <t>Mix chutí, mačka spokojená.</t>
  </si>
  <si>
    <t>Mäkký, mačke sluší.</t>
  </si>
  <si>
    <t>Fungujú pri výcviku.</t>
  </si>
  <si>
    <t>Mohla by byť menej tučná.</t>
  </si>
  <si>
    <t>Skvelý pelech na zimu.</t>
  </si>
  <si>
    <t>Pevné a vysoké, odporúčam.</t>
  </si>
  <si>
    <t>Zasekl sa naviják, vrátené.</t>
  </si>
  <si>
    <t>Dobre sa oplachuje.</t>
  </si>
  <si>
    <t>Bez chyby.</t>
  </si>
  <si>
    <t>Mačka sa baví celé hodiny.</t>
  </si>
  <si>
    <t>Jde to ztuha, ale použitelné.</t>
  </si>
  <si>
    <t>Pes to zbožňuje.</t>
  </si>
  <si>
    <t>Najlepšie motivace pri tréningu.</t>
  </si>
  <si>
    <t>Zklamání, karabina slabá.</t>
  </si>
  <si>
    <t>Kocour to okupuje.</t>
  </si>
  <si>
    <t>Pes sa je sám nosí.</t>
  </si>
  <si>
    <t>Dobre sedí do ruky.</t>
  </si>
  <si>
    <t>Najlepšie, čo sme zkusili.</t>
  </si>
  <si>
    <t>Pes ju žerie s nadšením.</t>
  </si>
  <si>
    <t>Spokojenost, jemný šampón.</t>
  </si>
  <si>
    <t>Pes sa zlepšil, krásna srsť.</t>
  </si>
  <si>
    <t>Miska pevná, ideálne pre škrečka.</t>
  </si>
  <si>
    <t>Kvalita, rychlé doručení.</t>
  </si>
  <si>
    <t>Skvelý produkt, odporúčam.</t>
  </si>
  <si>
    <t>Pekne čistí, nezanechává mastnotu.</t>
  </si>
  <si>
    <t>Výborný, náš pes spí len v ňom.</t>
  </si>
  <si>
    <t>Pes ju zbožňuje, kupujem často.</t>
  </si>
  <si>
    <t>Výborné zloženie.</t>
  </si>
  <si>
    <t>Skvelý, beriem pravidelne.</t>
  </si>
  <si>
    <t>Zdravé, chutné.</t>
  </si>
  <si>
    <t>Dlouho vydrží.</t>
  </si>
  <si>
    <t>Pes to má najradšej.</t>
  </si>
  <si>
    <t>Mačka inú nechce.</t>
  </si>
  <si>
    <t>Pes ju nepustí z tlamy.</t>
  </si>
  <si>
    <t>Mačka spokojná.</t>
  </si>
  <si>
    <t>Mohla byť odolnejšie.</t>
  </si>
  <si>
    <t>Miska menší, ale praktická.</t>
  </si>
  <si>
    <t>Nádherný kousek!</t>
  </si>
  <si>
    <t>Zlomilo sa po týždni.</t>
  </si>
  <si>
    <t>Mačka šťastná.</t>
  </si>
  <si>
    <t>Vždy čerstvé.</t>
  </si>
  <si>
    <t>Hezky vonia.</t>
  </si>
  <si>
    <t>Vydrží dlho a bez zápachu.</t>
  </si>
  <si>
    <t>Zvuk drží, pes nadšený.</t>
  </si>
  <si>
    <t>Vôňa výborná, hrudkuje dobre.</t>
  </si>
  <si>
    <t>Zdravé a levné.</t>
  </si>
  <si>
    <t>Na malé zviera ideálne.</t>
  </si>
  <si>
    <t>Pes sa prestal škrábat.</t>
  </si>
  <si>
    <t>Kvalitné maso, mačka nadšená.</t>
  </si>
  <si>
    <t>Pes ju zhltne hneď.</t>
  </si>
  <si>
    <t>Mohla by byť odolnejšie.</t>
  </si>
  <si>
    <t>Skvelý produkt!</t>
  </si>
  <si>
    <t>Mačka vyzerá skvelo.</t>
  </si>
  <si>
    <t>Čistí dobre a vonia.</t>
  </si>
  <si>
    <t>Pes nadšený!</t>
  </si>
  <si>
    <t>Kvalitné, pes spokojený.</t>
  </si>
  <si>
    <t>Výborne pení.</t>
  </si>
  <si>
    <t>Pes sa môže utĺcť.</t>
  </si>
  <si>
    <t>Fungujú dobre.</t>
  </si>
  <si>
    <t>Vôňa jemná, pení dosť.</t>
  </si>
  <si>
    <t>Trochu silná vôňa.</t>
  </si>
  <si>
    <t>Pes to miluje.</t>
  </si>
  <si>
    <t>Ideálne veľkosť.</t>
  </si>
  <si>
    <t>Spokojenost.</t>
  </si>
  <si>
    <t>Kvalitné maso.</t>
  </si>
  <si>
    <t>Pes to žerie, ale drobí sa.</t>
  </si>
  <si>
    <t>Pes sa s tým vyblbne.</t>
  </si>
  <si>
    <t>Pes to miluje, dobrá cena.</t>
  </si>
  <si>
    <t>Mierne vysušuje srsť.</t>
  </si>
  <si>
    <t>Výborné krmivo.</t>
  </si>
  <si>
    <t>Hezky čistí srsť.</t>
  </si>
  <si>
    <t>Pes po ňom krásne vonia.</t>
  </si>
  <si>
    <t>Pískání po čase prestalo.</t>
  </si>
  <si>
    <t>Dobre sa myje.</t>
  </si>
  <si>
    <t>Výborne hrudkuje.</t>
  </si>
  <si>
    <t>Pes sa po tom môže utĺcť, miska je vždy vylízaná do čista. Kupujem pravidelne, nikdy nezklamalo.</t>
  </si>
  <si>
    <t>Jemný šampón, pekne pení a pes po ňom vonia. Srsť sa dobre rozčesává.</t>
  </si>
  <si>
    <t>Mačka sa nemôže dočkat, až otvorím konzervu. Krásne vonia a vyzerá čerstvo.</t>
  </si>
  <si>
    <t>Pes žerie, ale občas nechá pár granulí. Možno by chcel inú príchuť.</t>
  </si>
  <si>
    <t>Konečne pije viac vody! Fontána je tichá a ľahko sa čistí. Odporúčam.</t>
  </si>
  <si>
    <t>Skvelý svetrík! Mačka vyzerá roztomile a v zime sa netrasie.</t>
  </si>
  <si>
    <t>Kupujem opakovane, pes spokojen, cena prijateľná.</t>
  </si>
  <si>
    <t>Mačka šťastná, miska prázdna počas chvíle.</t>
  </si>
  <si>
    <t>Na tréning ideálne veľkosť kúskov.</t>
  </si>
  <si>
    <t>Pes sa teší na každé kŕmenie, granuly sú voňavé a kvalitné.</t>
  </si>
  <si>
    <t>Drží dlho, pes sa čistí zuby hraním.</t>
  </si>
  <si>
    <t>Vyzkoušeno poprvé, moc chutí. Budeme brát znovu.</t>
  </si>
  <si>
    <t>Mačka sa cíti pohodlne, materiál je mäkký, úžasná kvalita.</t>
  </si>
  <si>
    <t>Pes sa na to trasie, berieme každý mesiac.</t>
  </si>
  <si>
    <t>Výborný šampón, srsť hebká a lesklá, žiadne lupiny.</t>
  </si>
  <si>
    <t>Kvalita masa výborná, mačka to hneď sežere.</t>
  </si>
  <si>
    <t>Vonia dosť silno, ale účinok v poriadku.</t>
  </si>
  <si>
    <t>Pes to zbožňuje, miska prázdna počas minúty. Kupujem opakovane.</t>
  </si>
  <si>
    <t>Mačka sa oblizuje ešte pol hodiny, vonia výborne.</t>
  </si>
  <si>
    <t>Materiál úžasný, hreje a mačka sa v ňom cíti dobre.</t>
  </si>
  <si>
    <t>Kupujem každý mesiac, kocúr iné nechce.</t>
  </si>
  <si>
    <t>Dobrá konzerva, pes ju má rád, ale mohla by mít viac masa.</t>
  </si>
  <si>
    <t>Pes má po týchto granulích krásnou srsť a viac energie.</t>
  </si>
  <si>
    <t>Mačka spokojná, nezapáchá a má peknú konzistenci.</t>
  </si>
  <si>
    <t>Výborná kvalita, kupujem po kartonech, pes ju miluje.</t>
  </si>
  <si>
    <t>Pes to zbožňuje, konzerva nevysychá anaj po otvorení, vôňa výborná.</t>
  </si>
  <si>
    <t>Jemný šampón, po koupelaj krásne voňavý pes.</t>
  </si>
  <si>
    <t>Mačka sa ju vyžaduje pokaždé, keď slyší otvírák.</t>
  </si>
  <si>
    <t>Levné a chutné, pes spokojený, objednám znova.</t>
  </si>
  <si>
    <t>Mačka sa po nej môže utĺcť, kupujem pravidelne.</t>
  </si>
  <si>
    <t>Pes to sice zje, ale preferuje iné maškrty.</t>
  </si>
  <si>
    <t>Pes sa teší na kŕmenie, balenie by mohlo byť znovu uzatvárateľné.</t>
  </si>
  <si>
    <t>Pes sa naučil „sedni“ za dva dni, výborné na výcvik.</t>
  </si>
  <si>
    <t>Dobre hrudkuje, vôňa by mohla byť jemnejší.</t>
  </si>
  <si>
    <t>Nádherná vôňa, krásna konzistence, mačka sa olizuje.</t>
  </si>
  <si>
    <t>Mäkké kousky, pes je má rád.</t>
  </si>
  <si>
    <t>Dobrá konzerva, spokojenost.</t>
  </si>
  <si>
    <t>Skvelá kvalita, voňavá, pes ju je s chuťou každý deň.</t>
  </si>
  <si>
    <t>Moc pekne vonia, srsť je hebká na dotyk.</t>
  </si>
  <si>
    <t>Mačka to zje, ale už sa nevezme toľko ako skôr.</t>
  </si>
  <si>
    <t>Najlepšie šampón čo som zkusil. Pes sa po ňom neškriabe a srsť sa leskne.</t>
  </si>
  <si>
    <t>Drží aj po týždni hraní, dobrá kvalita gumy.</t>
  </si>
  <si>
    <t>Pes ju miluje, aj keď inak bývá vybíravý.</t>
  </si>
  <si>
    <t>Kupujem pravidelne, mačka spokojená, konzistence dobrá.</t>
  </si>
  <si>
    <t>Môj pes tuhle hračku miluje, spí s nej v pelechu.</t>
  </si>
  <si>
    <t>Pes sa po nich menej drbe, asi kvalitné zloženie.</t>
  </si>
  <si>
    <t>Používám už dlho, pes má krásnou srsť a žiadne lupiny.</t>
  </si>
  <si>
    <t>V zime ideálne, mačka sa v ňom cíti teple a pokojne.</t>
  </si>
  <si>
    <t>Pes po tejto konzerv vždy vyzerá spokojne a má lesklú srsť. Kupujem pravidelne.</t>
  </si>
  <si>
    <t>Dobre čistí a nevysušuje koži, odporúčam.</t>
  </si>
  <si>
    <t>Hrudkuje výborne, vôňa jemná a prirodzená.</t>
  </si>
  <si>
    <t>Pes ju nosí všade, píska aj po niekoľkých týdnech.</t>
  </si>
  <si>
    <t>Mačka ju miluje, výborná kvalita masa a vôňa.</t>
  </si>
  <si>
    <t>Po týždni trochu menej píska, ale pes ju stále ťahá.</t>
  </si>
  <si>
    <t>Kupujem opakovane, pes sa ju vyžaduje každý večer.</t>
  </si>
  <si>
    <t>Pes má viac energie, žiadne zažívací potíže.</t>
  </si>
  <si>
    <t>Moc nevoní, ale pes má čistou srsť.</t>
  </si>
  <si>
    <t>Výborné, pes sa teší na každé kŕmenie.</t>
  </si>
  <si>
    <t>Najobľúbenejšie konzerva, mačka inú nechce.</t>
  </si>
  <si>
    <t>Pes sa môže zblázniť od radosti, keď vidí tu konzervu. Výborné zloženie.</t>
  </si>
  <si>
    <t>Po koupelaj srsť krásne vonia a je mäkká.</t>
  </si>
  <si>
    <t>Po dvou týdnech stále drží, odporúčam.</t>
  </si>
  <si>
    <t>Mäkké kousky, ideálne odmena pre malého psa.</t>
  </si>
  <si>
    <t>Po delší čase stále výborné, žiaden zápach.</t>
  </si>
  <si>
    <t>Výborná konzerva, pes sa po nej len oblizuje.</t>
  </si>
  <si>
    <t>Pes má lesklú srsť a je s chuťou.</t>
  </si>
  <si>
    <t>Dobrá odolnost, pes s nej behá po byte stále.</t>
  </si>
  <si>
    <t>Perfektní – pes sa po ňom neškriabe a krásne vonia.</t>
  </si>
  <si>
    <t>Vyvážené krmivo, psovaj chutí.</t>
  </si>
  <si>
    <t>Pes po tejto konzerv úplne ožil, má viac energie a srsť sa mu leskne.</t>
  </si>
  <si>
    <t>Mírná vôňa, ale účinok výborný – srsť hebká a čistá.</t>
  </si>
  <si>
    <t>Pes ju neodkládá anaj na spaní, zatiaľ stále píska.</t>
  </si>
  <si>
    <t>Skvelý na citlivou pokožku, žiadne svrbenie po kúpaní.</t>
  </si>
  <si>
    <t>Pes sa po nich teší k misce, kvalitné zloženie aj vôňa.</t>
  </si>
  <si>
    <t>Kvalitné maso, mačka spokojená, kupujem znovu.</t>
  </si>
  <si>
    <t>Najlepšia konzerva, jakou sme zatiaľ mali. Pes sa na ňu teší každý deň.</t>
  </si>
  <si>
    <t>Pes je spokojný a má lepší trávenie.</t>
  </si>
  <si>
    <t>Pes ju ťahá všade, obľúbená hračka už traj týdny.</t>
  </si>
  <si>
    <t>Výborné na výcvik, pes sa rýchlo učí.</t>
  </si>
  <si>
    <t>Pes sa na kŕmenie doslova teší, výborná kvalita.</t>
  </si>
  <si>
    <t>Vôňa slabší, ale pes čistý, účel splnený.</t>
  </si>
  <si>
    <t>Pes ju úplne zbožňuje, miska je vždycky prázdna.</t>
  </si>
  <si>
    <t>Dobre čistí, zviera sa po ňom neškriabe, takže za ma super.</t>
  </si>
  <si>
    <t>Skvelá kvalita, po týdnech používání stále drží.</t>
  </si>
  <si>
    <t>Pes má po ňom mäkkú srsť a zdravou koži.</t>
  </si>
  <si>
    <t>Výborne pohlcuje pachy, skvelá kúpa.</t>
  </si>
  <si>
    <t>Malé kousky ideálne pre výcvik, pes je zbožňuje.</t>
  </si>
  <si>
    <t>Pes ju má neustále pri sebe, najlepší nákup.</t>
  </si>
  <si>
    <t>Výborné zloženie a vôňa, pes sa na ňu teší.</t>
  </si>
  <si>
    <t>Kvalitné maso, žiadne zbytky, mačka spokojená.</t>
  </si>
  <si>
    <t>Pes ju má rád, ale po čase prestala pískat.</t>
  </si>
  <si>
    <t>Pes je na nich závislý, bez nich necvičí.</t>
  </si>
  <si>
    <t>Mačka vrní už keď otvírám konzervu. Kvalita skvelé.</t>
  </si>
  <si>
    <t>Pes ju zhltol počas chvíľky, ideálne na chladné večery.</t>
  </si>
  <si>
    <t>Voňavý, neštípe a pes má hebkou srsť.</t>
  </si>
  <si>
    <t>Mačky spokojené, pekne lesklá srsť.</t>
  </si>
  <si>
    <t>Kvalitné, praktické balenie.</t>
  </si>
  <si>
    <t>Príjemná vôňa, dobre saje vlhkosť.</t>
  </si>
  <si>
    <t>Skvelá do dažďa aj zimy, dobre padne.</t>
  </si>
  <si>
    <t>Mäkučká a hrejivá, ideálne na gauč.</t>
  </si>
  <si>
    <t>Mačka sa ho zamilovala.</t>
  </si>
  <si>
    <t>Pekný dizajn, kvalitné koža.</t>
  </si>
  <si>
    <t>Fakt roztomilý, mačke sedí perfektne.</t>
  </si>
  <si>
    <t>Velké a stabilní, ideálne na zimu.</t>
  </si>
  <si>
    <t>Pes ju ťahá po byte nonstop, výdrž dobrá.</t>
  </si>
  <si>
    <t>Dobré zloženie, mačky pribralaj po zime.</t>
  </si>
  <si>
    <t>Mačky konečne pijú viac vody.</t>
  </si>
  <si>
    <t>Ideálne k radiátoru, mäkká a teplá.</t>
  </si>
  <si>
    <t>Mačka sa po ňom leskne, odporúčam.</t>
  </si>
  <si>
    <t>Chutí aj vyberavej mačke.</t>
  </si>
  <si>
    <t>Prekvapivo stabilní, ideálne pre byt.</t>
  </si>
  <si>
    <t>Dobre vyčesává zimní podsadu.</t>
  </si>
  <si>
    <t>Výborné granuly, pes má energiaj v zime.</t>
  </si>
  <si>
    <t>Skvelé místo pre kočičí zimní lenošení.</t>
  </si>
  <si>
    <t>Šatka CozyNest MeowBandana</t>
  </si>
  <si>
    <t>Lacná a výborná konzerva, pes sa teší na každé kŕmenie.</t>
  </si>
  <si>
    <t>Dobrá odmena po očkování.</t>
  </si>
  <si>
    <t>Pekná miska, lehce sa čistí.</t>
  </si>
  <si>
    <t>Mačka po koupelaj krásne vonia.</t>
  </si>
  <si>
    <t>Pes v ňom tráví celé večery.</t>
  </si>
  <si>
    <t>Masívna, krásna bouda, pes ju miluje.</t>
  </si>
  <si>
    <t>Mäkká, mačka ju hneď zabrala.</t>
  </si>
  <si>
    <t>Mačkám chutí, menej chlpov po byte.</t>
  </si>
  <si>
    <t>Dobre drží aj po týždni hry.</t>
  </si>
  <si>
    <t>Mačky sa o ne perou, voňavé a šťavnaté.</t>
  </si>
  <si>
    <t>Pes ju má aj do mrazu, super strih.</t>
  </si>
  <si>
    <t>Pes vonia a srsť sa leskne.</t>
  </si>
  <si>
    <t>Po otvorení príjemne vonia, mačka spokojená.</t>
  </si>
  <si>
    <t>Pekný a pevný materiál.</t>
  </si>
  <si>
    <t>Vyšší cena, ale výborná kvalita.</t>
  </si>
  <si>
    <t>Pes sa ju nosí aj do postele.</t>
  </si>
  <si>
    <t>Hrejivý, ideálne na zimu.</t>
  </si>
  <si>
    <t>Mačka behá po byte ako šílená.</t>
  </si>
  <si>
    <t>Hlodavcaj sa ho hneď oblíbili.</t>
  </si>
  <si>
    <t>Neutralizuje pachy skvelo.</t>
  </si>
  <si>
    <t>Zabaví mačku celé hodiny.</t>
  </si>
  <si>
    <t>Príjemne hreje, pes na nej spí stále.</t>
  </si>
  <si>
    <t>Dobre rozčesává hustou srsť.</t>
  </si>
  <si>
    <t>Stylový a kvalitné, vyzerá skvelo.</t>
  </si>
  <si>
    <t>Mačka vrní už keď otvírám konzervu.</t>
  </si>
  <si>
    <t>Na tréning ideálne veľkosť, pes nadšený.</t>
  </si>
  <si>
    <t>V zime pes nesvrbí, skvelý produkt.</t>
  </si>
  <si>
    <t>Mačky sa pochutnávají, dobrá cena.</t>
  </si>
  <si>
    <t>Dobre hrudkuje, bez zápachu.</t>
  </si>
  <si>
    <t>Kvalitné maso, mačky spokojené.</t>
  </si>
  <si>
    <t>I do snehu ideálne, nepromokne.</t>
  </si>
  <si>
    <t>Teplý, pes na ňom tráví celé dni.</t>
  </si>
  <si>
    <t>Presné a pohodlné do ruky.</t>
  </si>
  <si>
    <t>Mačky milují, vonia prírodne.</t>
  </si>
  <si>
    <t>Dobrá konzerva, ale rýchlo mizí.</t>
  </si>
  <si>
    <t>Mačky ju zbožňují, skvelá vôňa a textura.</t>
  </si>
  <si>
    <t>Kvalita odpovídá cene, spokojenost.</t>
  </si>
  <si>
    <t>Hezky sedí, stylový.</t>
  </si>
  <si>
    <t>Pes vyzerá skvelo a je mu teplo.</t>
  </si>
  <si>
    <t>Sedí perfektne, krásne hreje.</t>
  </si>
  <si>
    <t>Mäkučká a teplá, pes ju miluje.</t>
  </si>
  <si>
    <t>Pes sa s nej nenudí, výdrž super.</t>
  </si>
  <si>
    <t>Jemný, ideálne po zimní procházce.</t>
  </si>
  <si>
    <t>Na zimu ideálne, výborná kvalita.</t>
  </si>
  <si>
    <t>Kvalitné drevo, pes v nej rád spí.</t>
  </si>
  <si>
    <t>Vysoce kvalitné, mačky sú spokojené.</t>
  </si>
  <si>
    <t>Pes má energii, srsť lesklá.</t>
  </si>
  <si>
    <t>Mačky sa na ňom vybláznaj celé hodiny.</t>
  </si>
  <si>
    <t>Dobre sedí, vhodné na podzimní chlad.</t>
  </si>
  <si>
    <t>Mäkká, ideálne na okno alebo gauč.</t>
  </si>
  <si>
    <t>Chrumkavé, mačka sa je žiada každý deň.</t>
  </si>
  <si>
    <t>Pevné a príjemné do ruky aj v zime.</t>
  </si>
  <si>
    <t>Vysoce kvalitné, vodeodolná, odporúčam.</t>
  </si>
  <si>
    <t>Dobre sa čistí, stabilní.</t>
  </si>
  <si>
    <t>Mačka miluje rybaciu príchuť.</t>
  </si>
  <si>
    <t>Pekne vonia, srsť sa leskne.</t>
  </si>
  <si>
    <t>Mäkučká deka pre chladné noci.</t>
  </si>
  <si>
    <t>Voňavý a jemný k srsti.</t>
  </si>
  <si>
    <t>Pes v ňom spí celou noc, hrejivý.</t>
  </si>
  <si>
    <t>Mačky sa mohou utĺcť, šťavnaté maso.</t>
  </si>
  <si>
    <t>Pomohly s chlupovýmaj koulemi, chutnají.</t>
  </si>
  <si>
    <t>V zime perfektní, voda stále čerstvá.</t>
  </si>
  <si>
    <t>Mäkký, mačka v ňom spí celé dni.</t>
  </si>
  <si>
    <t>Perfektní na zimní srsť, bez podráždenie.</t>
  </si>
  <si>
    <t>Skvelá kvalita, výborné pre zimní období.</t>
  </si>
  <si>
    <t>Obľúbená hračka, píska aj po týždni.</t>
  </si>
  <si>
    <t>Jemný, srsť sa krásne leskne.</t>
  </si>
  <si>
    <t>Vonia čerstvo, mačky sa o ne perou.</t>
  </si>
  <si>
    <t>Vonia po levanduli, ideálne na zimu.</t>
  </si>
  <si>
    <t>Skvelo pohlcuje pachy, spokojenost.</t>
  </si>
  <si>
    <t>Perfektná odmena po procházce.</t>
  </si>
  <si>
    <t>Roztomilý doplnok pre focení.</t>
  </si>
  <si>
    <t>Ostré a dobre padnou do ruky.</t>
  </si>
  <si>
    <t>Velké, pevné, mačky nadšené.</t>
  </si>
  <si>
    <t>Mačka nadšená, objednám znova.</t>
  </si>
  <si>
    <t>Funguje tiše, výborný produkt.</t>
  </si>
  <si>
    <t>Skvelá vôňa, pes sa olizoval.</t>
  </si>
  <si>
    <t>Výborné granuly, srsť bez chlpov všade.</t>
  </si>
  <si>
    <t>Hreje a pekne sedí.</t>
  </si>
  <si>
    <t>Vysoce funkční, pes nezmokl.</t>
  </si>
  <si>
    <t>Mäkký a teplý, pes v ňom rád leží.</t>
  </si>
  <si>
    <t>Mačka sa pochutnává, príjemná vôňa.</t>
  </si>
  <si>
    <t>V zime ideálne, pes sa vždy teší.</t>
  </si>
  <si>
    <t>Robustní, vhodné aj do mrazu.</t>
  </si>
  <si>
    <t>Skvelo padne, mäkký materiál.</t>
  </si>
  <si>
    <t>Mačka ho snese aj venku, moc pekný.</t>
  </si>
  <si>
    <t>Pes ju ťahá všade, výdrž super.</t>
  </si>
  <si>
    <t>Príjemná vôňa, vhodný aj pre citlivou koži.</t>
  </si>
  <si>
    <t>Kvalitné drevo, ideálne pre zimu.</t>
  </si>
  <si>
    <t>Dobre pohlcuje pachy, krásne vonia.</t>
  </si>
  <si>
    <t>Výborné zloženie, krásna srsť.</t>
  </si>
  <si>
    <t>Mačka nadšená, výborná konzistence.</t>
  </si>
  <si>
    <t>Krásny dizajn, ľahko sa čistí.</t>
  </si>
  <si>
    <t>Výborný pre zimní péči, hebká srsť.</t>
  </si>
  <si>
    <t>Pevné, mačky sa ho oblíbily.</t>
  </si>
  <si>
    <t>Mäkký a útulný, ideálne na zimu.</t>
  </si>
  <si>
    <t>Mačky pijú viac, výborný produkt.</t>
  </si>
  <si>
    <t>Mačka sa krásne leskne, vonia.</t>
  </si>
  <si>
    <t>Perfektná veľkosť, stabilní.</t>
  </si>
  <si>
    <t>Pes má lesklú srsť a energii.</t>
  </si>
  <si>
    <t>Voňavý, pekne čistí.</t>
  </si>
  <si>
    <t>Zábavná a trvanlivá hračka.</t>
  </si>
  <si>
    <t>Kvalitné, pes v ňom spí rád.</t>
  </si>
  <si>
    <t>Mačka ju má nejradši.</t>
  </si>
  <si>
    <t>Pevná konstrukce, ideálne pre škrečka.</t>
  </si>
  <si>
    <t>Vonia a dobre absorbuje.</t>
  </si>
  <si>
    <t>Pes ju zbožňuje, voňavá a vydatná.</t>
  </si>
  <si>
    <t>Ideálne na zimní výcvik.</t>
  </si>
  <si>
    <t>Snadno omyvatelná, stabilní.</t>
  </si>
  <si>
    <t>Perfektní útočisko, pes spokojený.</t>
  </si>
  <si>
    <t>Hezky pení, pekne vonia.</t>
  </si>
  <si>
    <t>Vysoce kvalitné maso, mačky nadšené.</t>
  </si>
  <si>
    <t>Krásne hreje, ideálne do zimy.</t>
  </si>
  <si>
    <t>Dobre stravitelné, pes plný energie.</t>
  </si>
  <si>
    <t>Výborné krmivo, odporúčam.</t>
  </si>
  <si>
    <t>Mačka sa vždy žiada prídavok.</t>
  </si>
  <si>
    <t>Pes poslúcha ako nikdy skôr.</t>
  </si>
  <si>
    <t>Perfektní pre zimní kúpaní.</t>
  </si>
  <si>
    <t>Pes v ňom spí pokojne celou noc.</t>
  </si>
  <si>
    <t>Veľmi savé, bez zápachu.</t>
  </si>
  <si>
    <t>Stabilní konstrukce, mačky spokojené.</t>
  </si>
  <si>
    <t>Pohodlné aj s rukavicemi.</t>
  </si>
  <si>
    <t>Miska sa nešmýka sa, ideálne.</t>
  </si>
  <si>
    <t>Skvelé zateplení, perfektní na zimu.</t>
  </si>
  <si>
    <t>Dobrá veľkosť pre škrečka.</t>
  </si>
  <si>
    <t>Mačka vyzerá ako modelka.</t>
  </si>
  <si>
    <t>Pekný materiál, mäkká.</t>
  </si>
  <si>
    <t>Vždy sa po nej olizuje.</t>
  </si>
  <si>
    <t>Obľúbené maškrty, ideálne odmena.</t>
  </si>
  <si>
    <t>Veľmi šetrný, odporúčam.</t>
  </si>
  <si>
    <t>Vonia a chutí, top produkt.</t>
  </si>
  <si>
    <t>Dlouho vydrží, krásne vonia.</t>
  </si>
  <si>
    <t>Stabilní, výborné pre dv mačky.</t>
  </si>
  <si>
    <t>Skvelé pre aktivní mačky.</t>
  </si>
  <si>
    <t>Funkční materiál, pes v teple.</t>
  </si>
  <si>
    <t>Pohodlné držení, kvalitné provaz.</t>
  </si>
  <si>
    <t>Bez zápachu, dobre hrudkuje.</t>
  </si>
  <si>
    <t>Výborný aj pre citlivou srsť.</t>
  </si>
  <si>
    <t>Pes motivovaný ako nikdy.</t>
  </si>
  <si>
    <t>Voňavý a jemný k pokožce.</t>
  </si>
  <si>
    <t>Výborná chuť, kvalitné maso.</t>
  </si>
  <si>
    <t>Tichá a praktická fontána.</t>
  </si>
  <si>
    <t>Mäkká a hrejivá, ideálne pre zimní večery.</t>
  </si>
  <si>
    <t>Dobre čistí, zjemňuje srsť.</t>
  </si>
  <si>
    <t>Velký a mäkký, ideálne pre velké psy.</t>
  </si>
  <si>
    <t>Bez prachu, skvelo pohlcuje pachy.</t>
  </si>
  <si>
    <t>Kvalitné granuly bez obilovin.</t>
  </si>
  <si>
    <t>Dlouho vydrží, mačka spokojená.</t>
  </si>
  <si>
    <t>Vynikající kvalita, kupujem pravidelne.</t>
  </si>
  <si>
    <t>Pevné, pekne vyzerá v obýváku.</t>
  </si>
  <si>
    <t>Skvelá délka, kvalitné materiál.</t>
  </si>
  <si>
    <t>Pes má hebkou srsť a krásne vonia.</t>
  </si>
  <si>
    <t>Stabilní a obľúbené u všech mačiek.</t>
  </si>
  <si>
    <t>Príjemná vôňa, dobre pení.</t>
  </si>
  <si>
    <t>Výborná, kupujem opakovane.</t>
  </si>
  <si>
    <t>Mačka šťastná, miska prázdna.</t>
  </si>
  <si>
    <t>Mačka sa po ňom nádherne leskne.</t>
  </si>
  <si>
    <t>Pes je bere ako najväčší odmenu.</t>
  </si>
  <si>
    <t>Perfektní pelech, hreje aj na podlaze.</t>
  </si>
  <si>
    <t>Tichý chod, mačky pijú viac.</t>
  </si>
  <si>
    <t>Pes konečne spí celou noc v teple.</t>
  </si>
  <si>
    <t>Skvelé krmivo na zimu, pes nadšený.</t>
  </si>
  <si>
    <t>Skvelá bunda na podzimní déšť, dobre sedí.</t>
  </si>
  <si>
    <t>Pes je miluje, berieme opakovane!</t>
  </si>
  <si>
    <t>Kocour ho okupoval hneď, vyzerá luxusne.</t>
  </si>
  <si>
    <t>Pes má citlivé trávenie, tohle mu sedlo.</t>
  </si>
  <si>
    <t>Perfektní mäkký pelech, pes ho zbožňuje.</t>
  </si>
  <si>
    <t>Skvelé, stabilní, montáž jednoduchá.</t>
  </si>
  <si>
    <t>Mačke sluší, hreje a nevadí jí.</t>
  </si>
  <si>
    <t>Sprej Bark&amp;Bone Coat Fresh 300ml</t>
  </si>
  <si>
    <t>Zápach srstaj zmizel, dobré.</t>
  </si>
  <si>
    <t>Šampón Catissime GentleCat 250ml</t>
  </si>
  <si>
    <t>Najlepšie šampón, pes má krásnou srsť.</t>
  </si>
  <si>
    <t>Hračka PawStyle MirrorFun závesné zrkadielko</t>
  </si>
  <si>
    <t>Hračky – Vtáky</t>
  </si>
  <si>
    <t>Pekne pohlcuje zápach.</t>
  </si>
  <si>
    <t>Super kvalita, pohodlné držení.</t>
  </si>
  <si>
    <t>Skvelo saje, bez zápachu.</t>
  </si>
  <si>
    <t>Kocour miluje šplhat, parádní kvalita!</t>
  </si>
  <si>
    <t>Dobre urobený, morče spokojeno.</t>
  </si>
  <si>
    <t>Hračka Tail Trend TugRope preťahovadlo</t>
  </si>
  <si>
    <t>Skvelý darček, bouda vyzerá prémiovo.</t>
  </si>
  <si>
    <t>Funguje, menej chlpov doma.</t>
  </si>
  <si>
    <t>Pekný doplnok, ale menší ako čekáno.</t>
  </si>
  <si>
    <t>Mačka nadšená, krásna srsť.</t>
  </si>
  <si>
    <t>Kvalitné provedení, pevné a stabilní.</t>
  </si>
  <si>
    <t>Pes sa už neškriabe, paráda.</t>
  </si>
  <si>
    <t>Pes je z nej nadšený, ale rýchlo ju rozhrýzol.</t>
  </si>
  <si>
    <t>Mačka prestala zvracet chlupy, spokojenost.</t>
  </si>
  <si>
    <t>Obľúbená konzerva, dobrá cena.</t>
  </si>
  <si>
    <t>Mačke chutí, ale balenie malé.</t>
  </si>
  <si>
    <t>Mačka má lesklú srsť, spokojeni.</t>
  </si>
  <si>
    <t>Náš labrador sa môže zbláznit, fakt top.</t>
  </si>
  <si>
    <t>Mačka sa s tým vyhraje hodiny.</t>
  </si>
  <si>
    <t>Dobre pení a vonia.</t>
  </si>
  <si>
    <t>Velký a pohodlný, za super cenu.</t>
  </si>
  <si>
    <t>Pes prospieva, skvelé krmivo.</t>
  </si>
  <si>
    <t>V zime nutnost, vyzerá skvelo!</t>
  </si>
  <si>
    <t>Chutí a nezapáchá.</t>
  </si>
  <si>
    <t>Kvalita odpovídá cene, mačka nadšená.</t>
  </si>
  <si>
    <t>Dobre vonia, dlho vydrží.</t>
  </si>
  <si>
    <t>Najlepšie krmivo, mačka prospieva.</t>
  </si>
  <si>
    <t>Pes sa je žiada po každé procházce.</t>
  </si>
  <si>
    <t>Mäkký, pes nechce jiný.</t>
  </si>
  <si>
    <t>Pes je len tyhle, takže berieme znovu.</t>
  </si>
  <si>
    <t>Pes nadšený, kupujeme znovu.</t>
  </si>
  <si>
    <t>Nezapáchá anaj po týždni, odporúčam.</t>
  </si>
  <si>
    <t>Vynikající kvalita, pes spí ako král.</t>
  </si>
  <si>
    <t>Príjemná vôňa, srsť hebká.</t>
  </si>
  <si>
    <t>Náš pes ju zbožňuje, kupujeme stále.</t>
  </si>
  <si>
    <t>Krásny darček pre našu mačku k Vianociam.</t>
  </si>
  <si>
    <t>Mačka má lesklú srsť, dobré krmivo.</t>
  </si>
  <si>
    <t>Pes konečne spí v teple, super pelech.</t>
  </si>
  <si>
    <t>Dobré krmivo, chlupy po byte mizí.</t>
  </si>
  <si>
    <t>Najobľúbenejšie maškrty, používame pri výcviku.</t>
  </si>
  <si>
    <t>Obľúbená hračka, trochu hlučná.</t>
  </si>
  <si>
    <t>Pes ho miluje, hneď sa do neho lehl.</t>
  </si>
  <si>
    <t>Skvelý, po koupelaj srsť hebká.</t>
  </si>
  <si>
    <t>Pes šílí radostí.</t>
  </si>
  <si>
    <t>Bez zápachu, dobrá kvalita.</t>
  </si>
  <si>
    <t>Pes v ňom tráví celé dni.</t>
  </si>
  <si>
    <t>Najlepšie, čo sme kdy mali.</t>
  </si>
  <si>
    <t>Top kvalita, mačka nadšená.</t>
  </si>
  <si>
    <t>Na tréninky ideálne veľkosť.</t>
  </si>
  <si>
    <t>Pes sa prestal drbat.</t>
  </si>
  <si>
    <t>Vyzerá roztomile, ideálne darček.</t>
  </si>
  <si>
    <t>Mačka sa ho okamžite zamilovala.</t>
  </si>
  <si>
    <t>Mäkký a pekný dizajn.</t>
  </si>
  <si>
    <t>Dobrá vôňa, pes sa krásne leskne.</t>
  </si>
  <si>
    <t>Skvelý darček pre mačku.</t>
  </si>
  <si>
    <t>Pes vonia čistotou, super.</t>
  </si>
  <si>
    <t>Za tu cenu super.</t>
  </si>
  <si>
    <t>Top kvalita, kupujeme pravidelne.</t>
  </si>
  <si>
    <t>Pes vyzerá štýlovo.</t>
  </si>
  <si>
    <t>Kvalitné, teplý a mäkký.</t>
  </si>
  <si>
    <t>Dobre myje, vôňa jemná.</t>
  </si>
  <si>
    <t>Perfektní zimní darček.</t>
  </si>
  <si>
    <t>Pes je žerie ako o život.</t>
  </si>
  <si>
    <t>Mäkký a teplý, mačka v ňom spí nonstop.</t>
  </si>
  <si>
    <t>Dobre vonia a neštípe.</t>
  </si>
  <si>
    <t>Pes je zdravý, dobré krmivo.</t>
  </si>
  <si>
    <t>Výborný pre citlivou koži.</t>
  </si>
  <si>
    <t>Príjemná vôňa.</t>
  </si>
  <si>
    <t>Náš druhý, naprostá spokojenost.</t>
  </si>
  <si>
    <t>Dobre čistí, srsť lesklá.</t>
  </si>
  <si>
    <t>Kupuju to už tretíkrát, tentokrát aj ako darček pre sestru – jej pes to miluje.</t>
  </si>
  <si>
    <t>Kúpil som balenie navíc ako vianočný darček pre kamaráda sa šteniatkom, vždycky sa hodí.</t>
  </si>
  <si>
    <t>Dalaj sme pelech ako darček rodičom pre jejich mačku a okamžite sa ho zamilovala. Kvalita aj dizajn skvelý.</t>
  </si>
  <si>
    <t>Vzal som ho ako doplnok k darčeku pre priateľke, má nového pejska. Príjemná vôňa, dobre sa používá.</t>
  </si>
  <si>
    <t>Kúpil som ho ako darček pre tchána, jeho retrívr v ňom spí od rozbalení. Fakt mäkký.</t>
  </si>
  <si>
    <t>Kupuju pravidelne, tentokrát aj pre sousedku ako darček – má stejnou značku mačky.</t>
  </si>
  <si>
    <t>Kúpil som pre bratrova psa ako vianočný darček, skvelá kvalita – vonia po mandlích a srsť je hebká.</t>
  </si>
  <si>
    <t>Kúpené ako darček pre mačku mojej netere, úplne nadšená – krásny materiál a teplý.</t>
  </si>
  <si>
    <t>Kúpil som pre kamaráda ako vianočný darček pre jeho psa, vtipný tvar a pes ju nosí všade.</t>
  </si>
  <si>
    <t>Drobnosť k darčeku pre priateľke, praktické nožničky – nevypadají lacno.</t>
  </si>
  <si>
    <t>Dalaj sme babičke pre jej mačku, která sa do neho okamžite uvelebila. Fakt krásny darček.</t>
  </si>
  <si>
    <t>Maškrty k vánočnímu balíčku pre pejska od rodičov – vždycky sa osvedčí.</t>
  </si>
  <si>
    <t>Kupuju to v velkém, tento rok aj do balíčku pre sousedy, mají stejného psa.</t>
  </si>
  <si>
    <t>Vánoční nákup pre psa mojej sestry, vždycky sa osvedčí.</t>
  </si>
  <si>
    <t>Kúpil som pre známého ako darček, protože jeho starý pelech už dosluhoval. Super kvalita.</t>
  </si>
  <si>
    <t>Krásne vonia, objednal som aj pre mámu ako darček – má stejného psa.</t>
  </si>
  <si>
    <t>Kúpené ako darček pre kolegyni, vyzerá naozaj luxusne.</t>
  </si>
  <si>
    <t>Kúpil som ako drobný darček k pelechu, pekne ladí a pôsobí kvalitne.</t>
  </si>
  <si>
    <t>Pelech kúpila dcera pre našu mačku, hovorí, že je to vianočný darček. Mačka z neho nevylezie.</t>
  </si>
  <si>
    <t>Maškrty ako darček pre sousedku, která má šteniatko – hodí sa vždycky.</t>
  </si>
  <si>
    <t>Kúpil som pre kolegyni ako vianočný darček pre jej kokeršpaniela, krásne vonia.</t>
  </si>
  <si>
    <t>Pridal som do darčekového koša pre kamarátku sa psem – praktické.</t>
  </si>
  <si>
    <t>Vzalaj sme 10 ks, část ako darčeky pre známé. Kvalitné konzervy, obľúbené.</t>
  </si>
  <si>
    <t>Kúpené ako darček pre bratra – jeho pes vyzerá parádne!</t>
  </si>
  <si>
    <t>Kúpil som ako vianočnú doplnok, ideálne veľkosť.</t>
  </si>
  <si>
    <t>Dáváme ako darček rodičom pre jejich mačku – osvedčená kvalita.</t>
  </si>
  <si>
    <t>Pridané do vánočního balíčku pre psa, klasika.</t>
  </si>
  <si>
    <t>Kupuju každý rok na Vianoce, tentokrát aj pre kamarátku.</t>
  </si>
  <si>
    <t>Dalaj sme rodičom pre jejich mačku – krásne mäkký, ideálne vianočný darček.</t>
  </si>
  <si>
    <t>Prekvapil ma, kvalita výborná – kúpil som ako darček pre kolegyni.</t>
  </si>
  <si>
    <t>Vánoční balíček pre pejsky, osvedčené konzervy.</t>
  </si>
  <si>
    <t>Kúpené ako darček pre kamarátku, používá ho roky a je nadšená.</t>
  </si>
  <si>
    <t>Kúpil som viac kusov ako drobné darčeky pre známé sa psy.</t>
  </si>
  <si>
    <t>Kúpené k pelechu ako darček pre rodiče – praktický doplnok.</t>
  </si>
  <si>
    <t>Mačka sa ho okamžite obľúbila.</t>
  </si>
  <si>
    <t>Priemer, ale použitelné.</t>
  </si>
  <si>
    <t>Vždy kupujeme znovu.</t>
  </si>
  <si>
    <t>Priemerný, ale neurazí.</t>
  </si>
  <si>
    <t>Fajn produkt.</t>
  </si>
  <si>
    <t>Používám opakovane.</t>
  </si>
  <si>
    <t>Pekný, ale mohol byť väčší.</t>
  </si>
  <si>
    <t>Kupujem pravidelne, tento rok aj ako darček.</t>
  </si>
  <si>
    <t>Mačka v ňom hneď spala, skvelý vianočný darček.</t>
  </si>
  <si>
    <t>Dávám ako darček rodičom pre jejich mačku.</t>
  </si>
  <si>
    <t>Kupujeme pre viac psov, tento rok aj ako malé darčeky.</t>
  </si>
  <si>
    <t>Dávám ako doplnok k darčeku, kvalitné produkt.</t>
  </si>
  <si>
    <t>Pes sa hrá, ale pískátko vydrželo len pár dní.</t>
  </si>
  <si>
    <t>Kupujeme pre každého psa v rodine, tento rok opäť.</t>
  </si>
  <si>
    <t>Kúpené k vánočnímu darčeku pre pejska od priateľka.</t>
  </si>
  <si>
    <t>Vždy dáváme ako darček rodičom, osvedčené krmivo.</t>
  </si>
  <si>
    <t>Dobrý pomer cena/výkon, dávám ako darček.</t>
  </si>
  <si>
    <t>Berieme ako vianočnú zásobu.</t>
  </si>
  <si>
    <t>Koupilaj sme ako darček rodičom pre jejich mačku.</t>
  </si>
  <si>
    <t>Vzalaj sme ako zásobu na svátky.</t>
  </si>
  <si>
    <t>Vonia krásne, kupuju aj ako darček.</t>
  </si>
  <si>
    <t>Pes sa chvílaj hrál, ale brzo sa rozpadla.</t>
  </si>
  <si>
    <t>Kúpil som k pelechu ako doplnok pre darček.</t>
  </si>
  <si>
    <t>Pelech ako darček pre mamku, krásny a mäkký.</t>
  </si>
  <si>
    <t>Berieme každý rok, ideálne ako drobný darček.</t>
  </si>
  <si>
    <t>Berieme každé Vianoce, osvedčená klasika.</t>
  </si>
  <si>
    <t>Pes je má v balíčku pod stromček.</t>
  </si>
  <si>
    <t>Kupujeme ako darček, nikdy nezklame.</t>
  </si>
  <si>
    <t>Pohodlný pelech, vhodný ako darček.</t>
  </si>
  <si>
    <t>Dalaj sme ho mačke pod stromček, spokojenost.</t>
  </si>
  <si>
    <t>Pes ju dostal dárkem, okamžite ju rozbalil a behal s ní.</t>
  </si>
  <si>
    <t>Dáváme do balíčku pre sousedku, má ráda tu vôňu.</t>
  </si>
  <si>
    <t>Vánoční balíček pre pejska, nezklamal.</t>
  </si>
  <si>
    <t>Pes to dostane pod stromček, víme, že to miluje.</t>
  </si>
  <si>
    <t>Dávám ako darček kamarádovi, vyzerá kvalitne.</t>
  </si>
  <si>
    <t>Vzalaj sme ako doplnok k darčeku.</t>
  </si>
  <si>
    <t>Vyzerá luxusne, kúpil som ako vianočný darček.</t>
  </si>
  <si>
    <t>Dáváme do vianočnú krabice pre útulek.</t>
  </si>
  <si>
    <t>Nákup po svátcích, pes sa konzervy obľúbil.</t>
  </si>
  <si>
    <t>Pes ju dostal o Vánocích, teď objednávám další.</t>
  </si>
  <si>
    <t>Dokupujeme po svátcích, kvalitné.</t>
  </si>
  <si>
    <t>Použito po Vánocích, pekne vonia.</t>
  </si>
  <si>
    <t>Pouze doplnenie zásob po svátcích.</t>
  </si>
  <si>
    <t>Nakoupeno po svátcích, výhodná sleva.</t>
  </si>
  <si>
    <t>Zásoba na Silvestra, pes sa pochutná.</t>
  </si>
  <si>
    <t>Darček sa líbil, kupujem znovu.</t>
  </si>
  <si>
    <t>Nakoupeno v zľave, berieme do zásoby.</t>
  </si>
  <si>
    <t>Výhodná cena pred Silvestrem, beriem do zásoby.</t>
  </si>
  <si>
    <t>Celková tržba</t>
  </si>
  <si>
    <t>Hodnotenie vyčistené</t>
  </si>
  <si>
    <t>Mesiac rok</t>
  </si>
  <si>
    <t>Zviera</t>
  </si>
  <si>
    <t>Označenia riadkov</t>
  </si>
  <si>
    <t>Celkový súčet</t>
  </si>
  <si>
    <t>Súčet z Počet ks</t>
  </si>
  <si>
    <t>Súčet z Celková tržba</t>
  </si>
  <si>
    <t>Počet z EAN kód</t>
  </si>
  <si>
    <t>Priemerny počet produktov v objednávke</t>
  </si>
  <si>
    <t>Periemerná tržba na objednávku</t>
  </si>
  <si>
    <t>iné</t>
  </si>
  <si>
    <t>mačka</t>
  </si>
  <si>
    <t>pes</t>
  </si>
  <si>
    <t>Počet z Zviera</t>
  </si>
  <si>
    <t xml:space="preserve">Kategórie produktov </t>
  </si>
  <si>
    <t>%</t>
  </si>
  <si>
    <t>Celkom</t>
  </si>
  <si>
    <t>Počet z Hodnotenie vyčistené</t>
  </si>
  <si>
    <t>Priemer z Hodnotenie vyčistené</t>
  </si>
  <si>
    <t>Tržby Júl</t>
  </si>
  <si>
    <t>Priemerné tržby okrem Júla</t>
  </si>
  <si>
    <t>Júl  vporovnaní s priemerom iných mesiacov v %</t>
  </si>
  <si>
    <t>Celková tržba mačky</t>
  </si>
  <si>
    <t>Celková tržba psy</t>
  </si>
  <si>
    <t>t-test</t>
  </si>
  <si>
    <t>Nehodnotené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</si>
</sst>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;@"/>
    <numFmt numFmtId="165" formatCode="0.00000"/>
    <numFmt numFmtId="166" formatCode="0.0000"/>
    <numFmt numFmtId="167" formatCode="0.00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3" borderId="3" xfId="0" applyFont="1" applyFill="1" applyBorder="1"/>
    <xf numFmtId="0" fontId="0" fillId="0" borderId="3" xfId="0" applyFont="1" applyBorder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left"/>
    </xf>
    <xf numFmtId="10" fontId="0" fillId="0" borderId="0" xfId="0" applyNumberFormat="1"/>
    <xf numFmtId="1" fontId="0" fillId="3" borderId="2" xfId="0" applyNumberFormat="1" applyFont="1" applyFill="1" applyBorder="1"/>
    <xf numFmtId="0" fontId="0" fillId="3" borderId="2" xfId="0" applyNumberFormat="1" applyFont="1" applyFill="1" applyBorder="1"/>
    <xf numFmtId="164" fontId="0" fillId="3" borderId="2" xfId="0" applyNumberFormat="1" applyFont="1" applyFill="1" applyBorder="1"/>
    <xf numFmtId="14" fontId="0" fillId="3" borderId="2" xfId="0" applyNumberFormat="1" applyFont="1" applyFill="1" applyBorder="1"/>
    <xf numFmtId="1" fontId="0" fillId="0" borderId="2" xfId="0" applyNumberFormat="1" applyFont="1" applyBorder="1"/>
    <xf numFmtId="0" fontId="0" fillId="0" borderId="2" xfId="0" applyNumberFormat="1" applyFont="1" applyBorder="1"/>
    <xf numFmtId="164" fontId="0" fillId="0" borderId="2" xfId="0" applyNumberFormat="1" applyFont="1" applyBorder="1"/>
    <xf numFmtId="14" fontId="0" fillId="0" borderId="2" xfId="0" applyNumberFormat="1" applyFont="1" applyBorder="1"/>
    <xf numFmtId="1" fontId="1" fillId="2" borderId="2" xfId="0" applyNumberFormat="1" applyFont="1" applyFill="1" applyBorder="1"/>
    <xf numFmtId="164" fontId="1" fillId="2" borderId="2" xfId="0" applyNumberFormat="1" applyFont="1" applyFill="1" applyBorder="1"/>
    <xf numFmtId="0" fontId="0" fillId="0" borderId="0" xfId="0" applyAlignment="1">
      <alignment wrapText="1"/>
    </xf>
    <xf numFmtId="167" fontId="0" fillId="0" borderId="0" xfId="0" applyNumberFormat="1"/>
  </cellXfs>
  <cellStyles count="1">
    <cellStyle name="Normálna" xfId="0" builtinId="0"/>
  </cellStyles>
  <dxfs count="11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164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[pretville_predajna_analyza_2025.xlsx]Tržby mesiace!Kontingenčná tabuľka2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Tržby</a:t>
            </a:r>
            <a:r>
              <a:rPr lang="sk-SK" baseline="0"/>
              <a:t> za jednotlivé mesiace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'Tržby mesiace'!$B$3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'Tržby mesiace'!$A$4:$A$16</c:f>
              <c:strCache>
                <c:ptCount val="12"/>
                <c:pt idx="0">
                  <c:v>1.1.2025</c:v>
                </c:pt>
                <c:pt idx="1">
                  <c:v>1.2.2025</c:v>
                </c:pt>
                <c:pt idx="2">
                  <c:v>1.3.2025</c:v>
                </c:pt>
                <c:pt idx="3">
                  <c:v>1.4.2025</c:v>
                </c:pt>
                <c:pt idx="4">
                  <c:v>1.5.2025</c:v>
                </c:pt>
                <c:pt idx="5">
                  <c:v>1.6.2025</c:v>
                </c:pt>
                <c:pt idx="6">
                  <c:v>1.7.2025</c:v>
                </c:pt>
                <c:pt idx="7">
                  <c:v>1.8.2025</c:v>
                </c:pt>
                <c:pt idx="8">
                  <c:v>1.9.2025</c:v>
                </c:pt>
                <c:pt idx="9">
                  <c:v>1.10.2025</c:v>
                </c:pt>
                <c:pt idx="10">
                  <c:v>1.11.2025</c:v>
                </c:pt>
                <c:pt idx="11">
                  <c:v>1.12.2025</c:v>
                </c:pt>
              </c:strCache>
            </c:strRef>
          </c:cat>
          <c:val>
            <c:numRef>
              <c:f>'Tržby mesiace'!$B$4:$B$16</c:f>
              <c:numCache>
                <c:formatCode>General</c:formatCode>
                <c:ptCount val="12"/>
                <c:pt idx="0">
                  <c:v>5604.4000000000005</c:v>
                </c:pt>
                <c:pt idx="1">
                  <c:v>5533.0400000000063</c:v>
                </c:pt>
                <c:pt idx="2">
                  <c:v>6461.6000000000076</c:v>
                </c:pt>
                <c:pt idx="3">
                  <c:v>6259.2000000000126</c:v>
                </c:pt>
                <c:pt idx="4">
                  <c:v>6700.0000000000118</c:v>
                </c:pt>
                <c:pt idx="5">
                  <c:v>5270.3600000000033</c:v>
                </c:pt>
                <c:pt idx="6">
                  <c:v>15220.799999999943</c:v>
                </c:pt>
                <c:pt idx="7">
                  <c:v>6873.2800000000079</c:v>
                </c:pt>
                <c:pt idx="8">
                  <c:v>7349.4800000000178</c:v>
                </c:pt>
                <c:pt idx="9">
                  <c:v>5174.3600000000033</c:v>
                </c:pt>
                <c:pt idx="10">
                  <c:v>12225.16000000002</c:v>
                </c:pt>
                <c:pt idx="11">
                  <c:v>13999.319999999962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4-4D73-B088-42C7D679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8077088"/>
        <c:axId val="466491776"/>
      </c:barChart>
      <c:catAx>
        <c:axId val="838077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466491776"/>
        <c:crosses val="autoZero"/>
        <c:auto val="1"/>
        <c:lblAlgn val="ctr"/>
        <c:lblOffset val="100"/>
        <c:noMultiLvlLbl val="0"/>
      </c:catAx>
      <c:valAx>
        <c:axId val="4664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3807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[pretville_predajna_analyza_2025.xlsx]Tržby zviera!Kontingenčná tabuľka3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Predaje</a:t>
            </a:r>
            <a:r>
              <a:rPr lang="sk-SK" baseline="0"/>
              <a:t> podľa kategórií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151476377952756E-2"/>
              <c:y val="0.163181765740820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127734033245847E-2"/>
              <c:y val="-5.49115254823916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'Tržby zviera'!$B$3</c:f>
              <c:strCache>
                <c:ptCount val="1"/>
                <c:pt idx="0">
                  <c:v>Celková hodnota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7-4131-A434-93D996F135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C7-4131-A434-93D996F135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C7-4131-A434-93D996F1359B}"/>
              </c:ext>
            </c:extLst>
          </c:dPt>
          <c:dLbls>
            <c:dLbl>
              <c:idx val="1"/>
              <c:layout>
                <c:manualLayout>
                  <c:x val="2.151476377952756E-2"/>
                  <c:y val="0.1631817657408208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C7-4131-A434-93D996F1359B}"/>
                </c:ext>
              </c:extLst>
            </c:dLbl>
            <c:dLbl>
              <c:idx val="2"/>
              <c:layout>
                <c:manualLayout>
                  <c:x val="-4.6127734033245847E-2"/>
                  <c:y val="-5.491152548239162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C7-4131-A434-93D996F13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'Tržby zviera'!$A$4:$A$7</c:f>
              <c:strCache>
                <c:ptCount val="3"/>
                <c:pt idx="0">
                  <c:v>iné</c:v>
                </c:pt>
                <c:pt idx="1">
                  <c:v>mačka</c:v>
                </c:pt>
                <c:pt idx="2">
                  <c:v>pes</c:v>
                </c:pt>
              </c:strCache>
            </c:strRef>
          </c:cat>
          <c:val>
            <c:numRef>
              <c:f>'Tržby zviera'!$B$4:$B$7</c:f>
              <c:numCache>
                <c:formatCode>0.00%</c:formatCode>
                <c:ptCount val="3"/>
                <c:pt idx="0">
                  <c:v>2.8413484912745229E-2</c:v>
                </c:pt>
                <c:pt idx="1">
                  <c:v>0.34866754248947396</c:v>
                </c:pt>
                <c:pt idx="2">
                  <c:v>0.62291897259778084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3-4AA0-83D0-0777BC1DF8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55096237970243"/>
          <c:y val="0.14374837760664533"/>
          <c:w val="0.16544903762029747"/>
          <c:h val="0.32479111986001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Ponúkaný</a:t>
            </a:r>
            <a:r>
              <a:rPr lang="sk-SK" baseline="0"/>
              <a:t> sortiment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811789151356086"/>
          <c:y val="6.46352723915050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D1-40C1-9EAB-B8AA5313C2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D1-40C1-9EAB-B8AA5313C2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D1-40C1-9EAB-B8AA5313C249}"/>
              </c:ext>
            </c:extLst>
          </c:dPt>
          <c:cat>
            <c:strRef>
              <c:f>'Produkty zviera'!$D$3:$D$5</c:f>
              <c:strCache>
                <c:ptCount val="3"/>
                <c:pt idx="0">
                  <c:v>pes</c:v>
                </c:pt>
                <c:pt idx="1">
                  <c:v>mačka</c:v>
                </c:pt>
                <c:pt idx="2">
                  <c:v>iné</c:v>
                </c:pt>
              </c:strCache>
            </c:strRef>
          </c:cat>
          <c:val>
            <c:numRef>
              <c:f>'Produkty zviera'!$E$3:$E$5</c:f>
              <c:numCache>
                <c:formatCode>General</c:formatCode>
                <c:ptCount val="3"/>
                <c:pt idx="0">
                  <c:v>32</c:v>
                </c:pt>
                <c:pt idx="1">
                  <c:v>51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F-4696-AF0B-00B60B93BC6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D1-40C1-9EAB-B8AA5313C2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D1-40C1-9EAB-B8AA5313C2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D1-40C1-9EAB-B8AA5313C249}"/>
              </c:ext>
            </c:extLst>
          </c:dPt>
          <c:cat>
            <c:strRef>
              <c:f>'Produkty zviera'!$D$3:$D$5</c:f>
              <c:strCache>
                <c:ptCount val="3"/>
                <c:pt idx="0">
                  <c:v>pes</c:v>
                </c:pt>
                <c:pt idx="1">
                  <c:v>mačka</c:v>
                </c:pt>
                <c:pt idx="2">
                  <c:v>iné</c:v>
                </c:pt>
              </c:strCache>
            </c:strRef>
          </c:cat>
          <c:val>
            <c:numRef>
              <c:f>'Produkty zviera'!$F$3:$F$5</c:f>
              <c:numCache>
                <c:formatCode>0.00000</c:formatCode>
                <c:ptCount val="3"/>
                <c:pt idx="0">
                  <c:v>35.555555555555557</c:v>
                </c:pt>
                <c:pt idx="1">
                  <c:v>56.666666666666664</c:v>
                </c:pt>
                <c:pt idx="2">
                  <c:v>7.7777777777777777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F-4696-AF0B-00B60B93B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[pretville_predajna_analyza_2025.xlsx]Hodnotenie Histogram!Kontingenčná tabuľka7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/>
              <a:t>Histogram - Hodnotenie</a:t>
            </a:r>
            <a:r>
              <a:rPr lang="sk-SK" baseline="0"/>
              <a:t> produktov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'Hodnotenie Histogram'!$B$3</c:f>
              <c:strCache>
                <c:ptCount val="1"/>
                <c:pt idx="0">
                  <c:v>Celková hodnota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'Hodnotenie Histogram'!$A$4:$A$9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'Hodnotenie Histogram'!$B$4:$B$9</c:f>
              <c:numCache>
                <c:formatCode>General</c:formatCode>
                <c:ptCount val="5"/>
                <c:pt idx="0">
                  <c:v>7</c:v>
                </c:pt>
                <c:pt idx="1">
                  <c:v>18</c:v>
                </c:pt>
                <c:pt idx="2">
                  <c:v>109</c:v>
                </c:pt>
                <c:pt idx="3">
                  <c:v>594</c:v>
                </c:pt>
                <c:pt idx="4">
                  <c:v>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A-4DE6-91C2-74C6DC2E6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1755632"/>
        <c:axId val="1511743152"/>
      </c:barChart>
      <c:catAx>
        <c:axId val="15117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11743152"/>
        <c:crosses val="autoZero"/>
        <c:auto val="1"/>
        <c:lblAlgn val="ctr"/>
        <c:lblOffset val="100"/>
        <c:noMultiLvlLbl val="0"/>
      </c:catAx>
      <c:valAx>
        <c:axId val="15117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1175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10477</xdr:rowOff>
    </xdr:from>
    <xdr:to>
      <xdr:col>11</xdr:col>
      <xdr:colOff>295275</xdr:colOff>
      <xdr:row>16</xdr:row>
      <xdr:rowOff>39052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CFC4381D-2AEE-6739-AEDA-9110B4A0D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162877</xdr:rowOff>
    </xdr:from>
    <xdr:to>
      <xdr:col>10</xdr:col>
      <xdr:colOff>361950</xdr:colOff>
      <xdr:row>17</xdr:row>
      <xdr:rowOff>10477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109DAA7-69A3-9CEE-F5FA-C6B7F11669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569595</xdr:colOff>
      <xdr:row>1</xdr:row>
      <xdr:rowOff>162877</xdr:rowOff>
    </xdr:from>
    <xdr:to>
      <xdr:col>14</xdr:col>
      <xdr:colOff>264795</xdr:colOff>
      <xdr:row>17</xdr:row>
      <xdr:rowOff>8572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F2E2A0A6-E250-53D3-347C-AE1BEBDF8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20002</xdr:rowOff>
    </xdr:from>
    <xdr:to>
      <xdr:col>10</xdr:col>
      <xdr:colOff>323850</xdr:colOff>
      <xdr:row>17</xdr:row>
      <xdr:rowOff>48577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6CE94A6-F558-D677-CE34-DE2E87D0F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 Corba" refreshedDate="46313.561502314813" createdVersion="8" refreshedVersion="8" minRefreshableVersion="3" recordCount="5952" xr:uid="{1B6CA4C3-53B4-4F95-A306-CA3829E0D287}">
  <cacheSource type="worksheet">
    <worksheetSource name="petville_products_2025_sk"/>
  </cacheSource>
  <cacheFields count="17">
    <cacheField name="ID objednávky" numFmtId="0">
      <sharedItems containsSemiMixedTypes="0" containsString="0" containsNumber="1" containsInteger="1" minValue="7524" maxValue="13412" count="5887"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</sharedItems>
    </cacheField>
    <cacheField name="EAN kód" numFmtId="1">
      <sharedItems containsSemiMixedTypes="0" containsString="0" containsNumber="1" containsInteger="1" minValue="4000123456786" maxValue="8599988776654"/>
    </cacheField>
    <cacheField name="Názov produktu" numFmtId="0">
      <sharedItems count="90">
        <s v="Maškrty Snouty Training Bites 200g"/>
        <s v="Konzerva Pup Republic Beef Stew 400g"/>
        <s v="Šampón Dogissimo Sensitive 300ml"/>
        <s v="Vôdzka Tail Trend RopeWalk 5m"/>
        <s v="Granuly Catissime Premium Salmon 2kg"/>
        <s v="Vrecúška Mr. Whiskers Mixed Selection 12×85g"/>
        <s v="Podstielka BellaMeow Silica Fresh 7,6l"/>
        <s v="Hračka Snouty ToughBone TPR"/>
        <s v="Šampón Nordic Tail GentleCat 250ml"/>
        <s v="Šampón Dogissimo Natural 250ml"/>
        <s v="Podstielka Mr. Whiskers Bentonit 10l"/>
        <s v="Konzerva BellaMeow Turkey Pâté 400g"/>
        <s v="Miska SmallPet 250 ml"/>
        <s v="Maškrty Mr. Whiskers Freeze-Dried Chicken 40g"/>
        <s v="Kefa Pawtastic SoftBrush"/>
        <s v="Granuly Pupco Adult Chicken 3kg"/>
        <s v="Hračka Dogissimo Pískacia Donut"/>
        <s v="Granuly PawStyle Indoor Hairball 2kg"/>
        <s v="Sprej PawStyle OdorControl 500ml"/>
        <s v="Pelech Canine Craft Industries CozyDream L"/>
        <s v="Deka Tail Trend WarmTail 90×70 cm"/>
        <s v="Bouda Pup Republic HomeWood M"/>
        <s v="Deka CozyNest WarmWhisker 80×60 cm"/>
        <s v="Svetrík Catissime Knit Cozy"/>
        <s v="Obojok Canine Craft Industries DenimLine modrý"/>
        <s v="Postroj Catissime SoftHarness S"/>
        <s v="Konzerva Catissime Tuna Fillets 85g"/>
        <s v="Hračka BellaMeow SpringyMouse"/>
        <s v="Deka Catissime WarmWhisker 80×60 cm"/>
        <s v="Kefa Tlapka design SoftBrush"/>
        <s v="Loptička Pupco BounceBall"/>
        <s v="Sprej Tail Trend PawClean 250ml"/>
        <s v="Hračka Bark&amp;Bone Dental Ring"/>
        <s v="Konzerva Mr. Whiskers Tuna Fillets 85g"/>
        <s v="Obojok PawStyle ShineCat reflexný"/>
        <s v="Granuly Catissime Sterilized Chicken 1,5kg"/>
        <s v="Miska Pawtastic CeramicPaw 400 ml"/>
        <s v="Granuly Catissime Grain-Free Duck 1,5kg"/>
        <s v="Fontána Catissime AquaFlow 2l"/>
        <s v="Fontána Nordic Tail AquaFlow 2l"/>
        <s v="Vôdzka Pawtastic CatLeash 1,5m"/>
        <s v="Tričko Pup Republic SportDog oranžové"/>
        <s v="Tričko Pup Republic WildDog zelené"/>
        <s v="Bunda HafHaf Couture RainGuard modrá"/>
        <s v="Klietka Lapa Home HamsterHome S kovová"/>
        <s v="Granuly SmallPet HerbMix 1kg"/>
        <s v="Krmivo SmallPet Mix 800g"/>
        <s v="Kefa Tlapka design GroomPro 2v1"/>
        <s v="Obojok Dogissimo LeatherLine hnedý"/>
        <s v="Vôdzka Tail Trend UrbanFlex 3m"/>
        <s v="Hračka Pawtastic CatMaze interaktivní"/>
        <s v="Dávkovač Nordic Tail AutoFeeder Mini"/>
        <s v="Pelech SmallPet Nest"/>
        <s v="Pelech BellaMeow SoftCat L"/>
        <s v="Hračka Nordic Tail Laser Chase"/>
        <s v="Klieštiky PawStyle CareCut"/>
        <s v="Chladiaca podložka Pup Republic CoolMat L"/>
        <s v="Pelech CozyNest DreamCat sivý"/>
        <s v="Škrabadlo Catissime TowerMax 140cm"/>
        <s v="Miska Canine Craft Industries DuoMeal 2×350 ml"/>
        <s v="Miska Urban paw ElegantCat nerez"/>
        <s v="Škrabadlo PawStyle MiniTower 100cm"/>
        <s v="Maškrty Mr. Whiskers Crunchy Bites 150g"/>
        <s v="Miska PawStyle KittyMeal 500 ml"/>
        <s v="Klieštiky Pupco CareCut"/>
        <s v="Podstielka BellaMeow Lavender Fresh 7l"/>
        <s v="Škrabadlo Nordic Tail CornerKing 150cm"/>
        <s v="Interaktívna hračka Pawtastic BallTrack"/>
        <s v="Hračka Mr. Whiskers Catnip Mouse"/>
        <s v="Postroj Tlapka design SoftHarness XS"/>
        <s v="Škrabadlo CozyNest WallClimb béžové"/>
        <s v="Pelech Dogissimo RoundSleep XL"/>
        <s v="Tričko Bark&amp;Bone CoolPaw zelené"/>
        <s v="Tričko Bark&amp;Bone StreetPaw čierne"/>
        <s v="Vrecúška Pawtastic Ocean Mix 12×85g"/>
        <s v="Konzerva BellaMeow Tuna Fillets 85g"/>
        <s v="Postroj Mr. Whiskers SoftHarness M"/>
        <s v="Granuly BellaMeow Indoor Hairball 2kg"/>
        <s v="Granuly Canine Craft Industries Sensitive Lamb 2,5kg"/>
        <s v="Granuly Nordic Tail Indoor Hairball 2kg"/>
        <s v="Podstielka CozyNest Natural 10l"/>
        <s v="Škrabadlo Lapa Home CatCastle 160cm"/>
        <s v="Maškrty Catissime Crunchy Bites 150g"/>
        <s v="Obojok Dogissimo ReflectiveLine oranžový"/>
        <s v="Piesok pre drobné hlodavce 1kg"/>
        <s v="Šatka CozyNest MeowBandana"/>
        <s v="Sprej Bark&amp;Bone Coat Fresh 300ml"/>
        <s v="Šampón Catissime GentleCat 250ml"/>
        <s v="Hračka PawStyle MirrorFun závesné zrkadielko"/>
        <s v="Hračka Tail Trend TugRope preťahovadlo"/>
      </sharedItems>
    </cacheField>
    <cacheField name="Kategória" numFmtId="0">
      <sharedItems/>
    </cacheField>
    <cacheField name="Značka" numFmtId="0">
      <sharedItems/>
    </cacheField>
    <cacheField name="Cena" numFmtId="0">
      <sharedItems containsSemiMixedTypes="0" containsString="0" containsNumber="1" minValue="1.84" maxValue="79.64"/>
    </cacheField>
    <cacheField name="Počet ks" numFmtId="0">
      <sharedItems containsSemiMixedTypes="0" containsString="0" containsNumber="1" containsInteger="1" minValue="1" maxValue="6"/>
    </cacheField>
    <cacheField name="Hodnotenie produktu" numFmtId="0">
      <sharedItems/>
    </cacheField>
    <cacheField name="Recenzie" numFmtId="0">
      <sharedItems/>
    </cacheField>
    <cacheField name="Dátum nákupu" numFmtId="164">
      <sharedItems containsSemiMixedTypes="0" containsNonDate="0" containsDate="1" containsString="0" minDate="2025-01-01T00:00:00" maxDate="2026-01-01T00:00:00"/>
    </cacheField>
    <cacheField name="Vrátené" numFmtId="0">
      <sharedItems containsSemiMixedTypes="0" containsString="0" containsNumber="1" containsInteger="1" minValue="0" maxValue="1"/>
    </cacheField>
    <cacheField name="Celková tržba" numFmtId="0">
      <sharedItems containsSemiMixedTypes="0" containsString="0" containsNumber="1" minValue="1.84" maxValue="79.64"/>
    </cacheField>
    <cacheField name="Hodnotenie vyčistené" numFmtId="0">
      <sharedItems containsMixedTypes="1" containsNumber="1" containsInteger="1" minValue="1" maxValue="5" count="6">
        <s v=""/>
        <n v="4"/>
        <n v="5"/>
        <n v="3"/>
        <n v="2"/>
        <n v="1"/>
      </sharedItems>
    </cacheField>
    <cacheField name="Mesiac rok" numFmtId="14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  <fieldGroup par="16"/>
    </cacheField>
    <cacheField name="Zviera" numFmtId="0">
      <sharedItems count="3">
        <s v="pes"/>
        <s v="mačka"/>
        <s v="iné"/>
      </sharedItems>
    </cacheField>
    <cacheField name="Dni (Mesiac rok)" numFmtId="0" databaseField="0">
      <fieldGroup base="13">
        <rangePr groupBy="days" startDate="2025-01-01T00:00:00" endDate="2025-12-02T00:00:00"/>
        <groupItems count="368">
          <s v="&lt;1.1.2025"/>
          <s v="1.1"/>
          <s v="2.1"/>
          <s v="3.1"/>
          <s v="4.1"/>
          <s v="5.1"/>
          <s v="6.1"/>
          <s v="7.1"/>
          <s v="8.1"/>
          <s v="9.1"/>
          <s v="10.1"/>
          <s v="11.1"/>
          <s v="12.1"/>
          <s v="13.1"/>
          <s v="14.1"/>
          <s v="15.1"/>
          <s v="16.1"/>
          <s v="17.1"/>
          <s v="18.1"/>
          <s v="19.1"/>
          <s v="20.1"/>
          <s v="21.1"/>
          <s v="22.1"/>
          <s v="23.1"/>
          <s v="24.1"/>
          <s v="25.1"/>
          <s v="26.1"/>
          <s v="27.1"/>
          <s v="28.1"/>
          <s v="29.1"/>
          <s v="30.1"/>
          <s v="31.1"/>
          <s v="1.2"/>
          <s v="2.2"/>
          <s v="3.2"/>
          <s v="4.2"/>
          <s v="5.2"/>
          <s v="6.2"/>
          <s v="7.2"/>
          <s v="8.2"/>
          <s v="9.2"/>
          <s v="10.2"/>
          <s v="11.2"/>
          <s v="12.2"/>
          <s v="13.2"/>
          <s v="14.2"/>
          <s v="15.2"/>
          <s v="16.2"/>
          <s v="17.2"/>
          <s v="18.2"/>
          <s v="19.2"/>
          <s v="20.2"/>
          <s v="21.2"/>
          <s v="22.2"/>
          <s v="23.2"/>
          <s v="24.2"/>
          <s v="25.2"/>
          <s v="26.2"/>
          <s v="27.2"/>
          <s v="28.2"/>
          <s v="29.2"/>
          <s v="1.3"/>
          <s v="2.3"/>
          <s v="3.3"/>
          <s v="4.3"/>
          <s v="5.3"/>
          <s v="6.3"/>
          <s v="7.3"/>
          <s v="8.3"/>
          <s v="9.3"/>
          <s v="10.3"/>
          <s v="11.3"/>
          <s v="12.3"/>
          <s v="13.3"/>
          <s v="14.3"/>
          <s v="15.3"/>
          <s v="16.3"/>
          <s v="17.3"/>
          <s v="18.3"/>
          <s v="19.3"/>
          <s v="20.3"/>
          <s v="21.3"/>
          <s v="22.3"/>
          <s v="23.3"/>
          <s v="24.3"/>
          <s v="25.3"/>
          <s v="26.3"/>
          <s v="27.3"/>
          <s v="28.3"/>
          <s v="29.3"/>
          <s v="30.3"/>
          <s v="31.3"/>
          <s v="1.4"/>
          <s v="2.4"/>
          <s v="3.4"/>
          <s v="4.4"/>
          <s v="5.4"/>
          <s v="6.4"/>
          <s v="7.4"/>
          <s v="8.4"/>
          <s v="9.4"/>
          <s v="10.4"/>
          <s v="11.4"/>
          <s v="12.4"/>
          <s v="13.4"/>
          <s v="14.4"/>
          <s v="15.4"/>
          <s v="16.4"/>
          <s v="17.4"/>
          <s v="18.4"/>
          <s v="19.4"/>
          <s v="20.4"/>
          <s v="21.4"/>
          <s v="22.4"/>
          <s v="23.4"/>
          <s v="24.4"/>
          <s v="25.4"/>
          <s v="26.4"/>
          <s v="27.4"/>
          <s v="28.4"/>
          <s v="29.4"/>
          <s v="30.4"/>
          <s v="1.5"/>
          <s v="2.5"/>
          <s v="3.5"/>
          <s v="4.5"/>
          <s v="5.5"/>
          <s v="6.5"/>
          <s v="7.5"/>
          <s v="8.5"/>
          <s v="9.5"/>
          <s v="10.5"/>
          <s v="11.5"/>
          <s v="12.5"/>
          <s v="13.5"/>
          <s v="14.5"/>
          <s v="15.5"/>
          <s v="16.5"/>
          <s v="17.5"/>
          <s v="18.5"/>
          <s v="19.5"/>
          <s v="20.5"/>
          <s v="21.5"/>
          <s v="22.5"/>
          <s v="23.5"/>
          <s v="24.5"/>
          <s v="25.5"/>
          <s v="26.5"/>
          <s v="27.5"/>
          <s v="28.5"/>
          <s v="29.5"/>
          <s v="30.5"/>
          <s v="31.5"/>
          <s v="1.6"/>
          <s v="2.6"/>
          <s v="3.6"/>
          <s v="4.6"/>
          <s v="5.6"/>
          <s v="6.6"/>
          <s v="7.6"/>
          <s v="8.6"/>
          <s v="9.6"/>
          <s v="10.6"/>
          <s v="11.6"/>
          <s v="12.6"/>
          <s v="13.6"/>
          <s v="14.6"/>
          <s v="15.6"/>
          <s v="16.6"/>
          <s v="17.6"/>
          <s v="18.6"/>
          <s v="19.6"/>
          <s v="20.6"/>
          <s v="21.6"/>
          <s v="22.6"/>
          <s v="23.6"/>
          <s v="24.6"/>
          <s v="25.6"/>
          <s v="26.6"/>
          <s v="27.6"/>
          <s v="28.6"/>
          <s v="29.6"/>
          <s v="30.6"/>
          <s v="1.7"/>
          <s v="2.7"/>
          <s v="3.7"/>
          <s v="4.7"/>
          <s v="5.7"/>
          <s v="6.7"/>
          <s v="7.7"/>
          <s v="8.7"/>
          <s v="9.7"/>
          <s v="10.7"/>
          <s v="11.7"/>
          <s v="12.7"/>
          <s v="13.7"/>
          <s v="14.7"/>
          <s v="15.7"/>
          <s v="16.7"/>
          <s v="17.7"/>
          <s v="18.7"/>
          <s v="19.7"/>
          <s v="20.7"/>
          <s v="21.7"/>
          <s v="22.7"/>
          <s v="23.7"/>
          <s v="24.7"/>
          <s v="25.7"/>
          <s v="26.7"/>
          <s v="27.7"/>
          <s v="28.7"/>
          <s v="29.7"/>
          <s v="30.7"/>
          <s v="31.7"/>
          <s v="1.8"/>
          <s v="2.8"/>
          <s v="3.8"/>
          <s v="4.8"/>
          <s v="5.8"/>
          <s v="6.8"/>
          <s v="7.8"/>
          <s v="8.8"/>
          <s v="9.8"/>
          <s v="10.8"/>
          <s v="11.8"/>
          <s v="12.8"/>
          <s v="13.8"/>
          <s v="14.8"/>
          <s v="15.8"/>
          <s v="16.8"/>
          <s v="17.8"/>
          <s v="18.8"/>
          <s v="19.8"/>
          <s v="20.8"/>
          <s v="21.8"/>
          <s v="22.8"/>
          <s v="23.8"/>
          <s v="24.8"/>
          <s v="25.8"/>
          <s v="26.8"/>
          <s v="27.8"/>
          <s v="28.8"/>
          <s v="29.8"/>
          <s v="30.8"/>
          <s v="31.8"/>
          <s v="1.9"/>
          <s v="2.9"/>
          <s v="3.9"/>
          <s v="4.9"/>
          <s v="5.9"/>
          <s v="6.9"/>
          <s v="7.9"/>
          <s v="8.9"/>
          <s v="9.9"/>
          <s v="10.9"/>
          <s v="11.9"/>
          <s v="12.9"/>
          <s v="13.9"/>
          <s v="14.9"/>
          <s v="15.9"/>
          <s v="16.9"/>
          <s v="17.9"/>
          <s v="18.9"/>
          <s v="19.9"/>
          <s v="20.9"/>
          <s v="21.9"/>
          <s v="22.9"/>
          <s v="23.9"/>
          <s v="24.9"/>
          <s v="25.9"/>
          <s v="26.9"/>
          <s v="27.9"/>
          <s v="28.9"/>
          <s v="29.9"/>
          <s v="30.9"/>
          <s v="1.10"/>
          <s v="2.10"/>
          <s v="3.10"/>
          <s v="4.10"/>
          <s v="5.10"/>
          <s v="6.10"/>
          <s v="7.10"/>
          <s v="8.10"/>
          <s v="9.10"/>
          <s v="10.10"/>
          <s v="11.10"/>
          <s v="12.10"/>
          <s v="13.10"/>
          <s v="14.10"/>
          <s v="15.10"/>
          <s v="16.10"/>
          <s v="17.10"/>
          <s v="18.10"/>
          <s v="19.10"/>
          <s v="20.10"/>
          <s v="21.10"/>
          <s v="22.10"/>
          <s v="23.10"/>
          <s v="24.10"/>
          <s v="25.10"/>
          <s v="26.10"/>
          <s v="27.10"/>
          <s v="28.10"/>
          <s v="29.10"/>
          <s v="30.10"/>
          <s v="31.10"/>
          <s v="1.11"/>
          <s v="2.11"/>
          <s v="3.11"/>
          <s v="4.11"/>
          <s v="5.11"/>
          <s v="6.11"/>
          <s v="7.11"/>
          <s v="8.11"/>
          <s v="9.11"/>
          <s v="10.11"/>
          <s v="11.11"/>
          <s v="12.11"/>
          <s v="13.11"/>
          <s v="14.11"/>
          <s v="15.11"/>
          <s v="16.11"/>
          <s v="17.11"/>
          <s v="18.11"/>
          <s v="19.11"/>
          <s v="20.11"/>
          <s v="21.11"/>
          <s v="22.11"/>
          <s v="23.11"/>
          <s v="24.11"/>
          <s v="25.11"/>
          <s v="26.11"/>
          <s v="27.11"/>
          <s v="28.11"/>
          <s v="29.11"/>
          <s v="30.11"/>
          <s v="1.12"/>
          <s v="2.12"/>
          <s v="3.12"/>
          <s v="4.12"/>
          <s v="5.12"/>
          <s v="6.12"/>
          <s v="7.12"/>
          <s v="8.12"/>
          <s v="9.12"/>
          <s v="10.12"/>
          <s v="11.12"/>
          <s v="12.12"/>
          <s v="13.12"/>
          <s v="14.12"/>
          <s v="15.12"/>
          <s v="16.12"/>
          <s v="17.12"/>
          <s v="18.12"/>
          <s v="19.12"/>
          <s v="20.12"/>
          <s v="21.12"/>
          <s v="22.12"/>
          <s v="23.12"/>
          <s v="24.12"/>
          <s v="25.12"/>
          <s v="26.12"/>
          <s v="27.12"/>
          <s v="28.12"/>
          <s v="29.12"/>
          <s v="30.12"/>
          <s v="31.12"/>
          <s v="&gt;2.12.2025"/>
        </groupItems>
      </fieldGroup>
    </cacheField>
    <cacheField name="Mesiace (Mesiac rok)" numFmtId="0" databaseField="0">
      <fieldGroup base="13">
        <rangePr groupBy="months" startDate="2025-01-01T00:00:00" endDate="2025-12-02T00:00:00"/>
        <groupItems count="14">
          <s v="&lt;1.1.2025"/>
          <s v="1"/>
          <s v="2"/>
          <s v="3"/>
          <s v="4"/>
          <s v="5"/>
          <s v="6"/>
          <s v="7"/>
          <s v="8"/>
          <s v="9"/>
          <s v="10"/>
          <s v="11"/>
          <s v="12"/>
          <s v="&gt;2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o Corba" refreshedDate="46313.589183912038" createdVersion="8" refreshedVersion="8" minRefreshableVersion="3" recordCount="908" xr:uid="{B452578C-F649-4110-AFF2-AA7F7E5B95F0}">
  <cacheSource type="worksheet">
    <worksheetSource ref="A1:O909" sheet="Data Júl"/>
  </cacheSource>
  <cacheFields count="15">
    <cacheField name="ID objednávky" numFmtId="0">
      <sharedItems containsSemiMixedTypes="0" containsString="0" containsNumber="1" containsInteger="1" minValue="10033" maxValue="10937"/>
    </cacheField>
    <cacheField name="EAN kód" numFmtId="1">
      <sharedItems containsSemiMixedTypes="0" containsString="0" containsNumber="1" containsInteger="1" minValue="4010123456783" maxValue="8599988776654"/>
    </cacheField>
    <cacheField name="Názov produktu" numFmtId="0">
      <sharedItems count="14">
        <s v="Chladiaca podložka Pup Republic CoolMat L"/>
        <s v="Konzerva Pup Republic Beef Stew 400g"/>
        <s v="Maškrty Snouty Training Bites 200g"/>
        <s v="Podstielka BellaMeow Silica Fresh 7,6l"/>
        <s v="Konzerva BellaMeow Turkey Pâté 400g"/>
        <s v="Šampón Dogissimo Natural 250ml"/>
        <s v="Vôdzka Tail Trend RopeWalk 5m"/>
        <s v="Sprej PawStyle OdorControl 500ml"/>
        <s v="Hračka Dogissimo Pískacia Donut"/>
        <s v="Granuly Pupco Adult Chicken 3kg"/>
        <s v="Miska SmallPet 250 ml"/>
        <s v="Miska Pawtastic CeramicPaw 400 ml"/>
        <s v="Granuly Catissime Grain-Free Duck 1,5kg"/>
        <s v="Vôdzka Tail Trend UrbanFlex 3m"/>
      </sharedItems>
    </cacheField>
    <cacheField name="Kategória" numFmtId="0">
      <sharedItems/>
    </cacheField>
    <cacheField name="Značka" numFmtId="0">
      <sharedItems/>
    </cacheField>
    <cacheField name="Cena" numFmtId="0">
      <sharedItems containsSemiMixedTypes="0" containsString="0" containsNumber="1" minValue="2.4" maxValue="36"/>
    </cacheField>
    <cacheField name="Počet ks" numFmtId="0">
      <sharedItems containsSemiMixedTypes="0" containsString="0" containsNumber="1" containsInteger="1" minValue="1" maxValue="4"/>
    </cacheField>
    <cacheField name="Hodnotenie produktu" numFmtId="0">
      <sharedItems/>
    </cacheField>
    <cacheField name="Recenzie" numFmtId="0">
      <sharedItems containsBlank="1"/>
    </cacheField>
    <cacheField name="Dátum nákupu" numFmtId="164">
      <sharedItems containsSemiMixedTypes="0" containsNonDate="0" containsDate="1" containsString="0" minDate="2025-07-01T00:00:00" maxDate="2025-08-01T00:00:00"/>
    </cacheField>
    <cacheField name="Vrátené" numFmtId="0">
      <sharedItems containsSemiMixedTypes="0" containsString="0" containsNumber="1" containsInteger="1" minValue="0" maxValue="1"/>
    </cacheField>
    <cacheField name="Celková tržba" numFmtId="0">
      <sharedItems containsSemiMixedTypes="0" containsString="0" containsNumber="1" minValue="2.4" maxValue="50.400000000000006"/>
    </cacheField>
    <cacheField name="Hodnotenie vyčistené" numFmtId="0">
      <sharedItems containsMixedTypes="1" containsNumber="1" containsInteger="1" minValue="2" maxValue="5"/>
    </cacheField>
    <cacheField name="Mesiac rok" numFmtId="14">
      <sharedItems containsSemiMixedTypes="0" containsNonDate="0" containsDate="1" containsString="0" minDate="2025-07-01T00:00:00" maxDate="2025-07-02T00:00:00"/>
    </cacheField>
    <cacheField name="Zvie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52">
  <r>
    <x v="0"/>
    <n v="4013456789017"/>
    <x v="0"/>
    <s v="Krmivo a maškrty – Psy"/>
    <s v="Snouty"/>
    <n v="6"/>
    <n v="1"/>
    <s v="NULL"/>
    <s v=""/>
    <d v="2025-01-01T00:00:00"/>
    <n v="0"/>
    <n v="6"/>
    <x v="0"/>
    <x v="0"/>
    <x v="0"/>
  </r>
  <r>
    <x v="0"/>
    <n v="4028899001126"/>
    <x v="1"/>
    <s v="Krmivo a maškrty – Psy"/>
    <s v="Pup Republic"/>
    <n v="2.8"/>
    <n v="3"/>
    <s v="4"/>
    <s v="Pes to zhltol hneď, dobré zloženie"/>
    <d v="2025-01-01T00:00:00"/>
    <n v="0"/>
    <n v="8.3999999999999986"/>
    <x v="1"/>
    <x v="0"/>
    <x v="0"/>
  </r>
  <r>
    <x v="1"/>
    <n v="4040123456795"/>
    <x v="2"/>
    <s v="Starostlivosť a hygiena – Psy"/>
    <s v="Dogissimo"/>
    <n v="8.8000000000000007"/>
    <n v="1"/>
    <s v="5"/>
    <s v="Srsť lesklá, žiadne podráždenie"/>
    <d v="2025-01-01T00:00:00"/>
    <n v="0"/>
    <n v="8.8000000000000007"/>
    <x v="2"/>
    <x v="0"/>
    <x v="0"/>
  </r>
  <r>
    <x v="2"/>
    <n v="4061011223346"/>
    <x v="3"/>
    <s v="Oblečenie a doplnky – Psy"/>
    <s v="Tail Trend"/>
    <n v="19.600000000000001"/>
    <n v="1"/>
    <s v="NULL"/>
    <s v=""/>
    <d v="2025-01-02T00:00:00"/>
    <n v="0"/>
    <n v="19.600000000000001"/>
    <x v="0"/>
    <x v="0"/>
    <x v="0"/>
  </r>
  <r>
    <x v="3"/>
    <n v="8593456789012"/>
    <x v="4"/>
    <s v="Krmivo a maškrty – Mačky"/>
    <s v="Catissime"/>
    <n v="42"/>
    <n v="1"/>
    <s v="NULL"/>
    <s v=""/>
    <d v="2025-01-02T00:00:00"/>
    <n v="0"/>
    <n v="42"/>
    <x v="0"/>
    <x v="0"/>
    <x v="1"/>
  </r>
  <r>
    <x v="4"/>
    <n v="4001234567893"/>
    <x v="5"/>
    <s v="Krmivo a maškrty – Mačky"/>
    <s v="Mr. Whiskers"/>
    <n v="9.1999999999999993"/>
    <n v="2"/>
    <s v="3"/>
    <s v="Za tú cenu ok"/>
    <d v="2025-01-02T00:00:00"/>
    <n v="0"/>
    <n v="18.399999999999999"/>
    <x v="3"/>
    <x v="0"/>
    <x v="1"/>
  </r>
  <r>
    <x v="5"/>
    <n v="4010123456783"/>
    <x v="6"/>
    <s v="Starostlivosť a hygiena – Mačky"/>
    <s v="BellaMeow"/>
    <n v="14"/>
    <n v="2"/>
    <s v="NULL"/>
    <s v=""/>
    <d v="2025-01-02T00:00:00"/>
    <n v="0"/>
    <n v="28"/>
    <x v="0"/>
    <x v="0"/>
    <x v="1"/>
  </r>
  <r>
    <x v="6"/>
    <n v="4028899001126"/>
    <x v="1"/>
    <s v="Krmivo a maškrty – Psy"/>
    <s v="Pup Republic"/>
    <n v="2.8"/>
    <n v="4"/>
    <s v="NULL"/>
    <s v=""/>
    <d v="2025-01-03T00:00:00"/>
    <n v="0"/>
    <n v="11.2"/>
    <x v="0"/>
    <x v="0"/>
    <x v="0"/>
  </r>
  <r>
    <x v="7"/>
    <n v="4006789012349"/>
    <x v="7"/>
    <s v="Hračky – Psy"/>
    <s v="Snouty"/>
    <n v="12"/>
    <n v="1"/>
    <s v="4"/>
    <s v="Pevná, vydrží aj silné hryzenie"/>
    <d v="2025-01-03T00:00:00"/>
    <n v="0"/>
    <n v="12"/>
    <x v="1"/>
    <x v="0"/>
    <x v="0"/>
  </r>
  <r>
    <x v="8"/>
    <n v="4050123456794"/>
    <x v="8"/>
    <s v="Starostlivosť a hygiena – Mačky"/>
    <s v="Nordic Tail"/>
    <n v="7.2"/>
    <n v="1"/>
    <s v="NULL"/>
    <s v=""/>
    <d v="2025-01-03T00:00:00"/>
    <n v="0"/>
    <n v="7.2"/>
    <x v="0"/>
    <x v="0"/>
    <x v="1"/>
  </r>
  <r>
    <x v="9"/>
    <n v="4027788990013"/>
    <x v="9"/>
    <s v="Starostlivosť a hygiena – Psy"/>
    <s v="Dogissimo"/>
    <n v="8"/>
    <n v="1"/>
    <s v="NULL"/>
    <s v=""/>
    <d v="2025-01-03T00:00:00"/>
    <n v="0"/>
    <n v="8"/>
    <x v="0"/>
    <x v="0"/>
    <x v="0"/>
  </r>
  <r>
    <x v="10"/>
    <n v="4028899001126"/>
    <x v="1"/>
    <s v="Krmivo a maškrty – Psy"/>
    <s v="Pup Republic"/>
    <n v="2.8"/>
    <n v="5"/>
    <s v="3"/>
    <s v="Praktické balenie, kupujem opakovane"/>
    <d v="2025-01-03T00:00:00"/>
    <n v="0"/>
    <n v="14"/>
    <x v="3"/>
    <x v="0"/>
    <x v="0"/>
  </r>
  <r>
    <x v="11"/>
    <n v="4009012345672"/>
    <x v="10"/>
    <s v="Starostlivosť a hygiena – Mačky"/>
    <s v="Mr. Whiskers"/>
    <n v="11.2"/>
    <n v="2"/>
    <s v="4"/>
    <s v="Bez zápachu, vydrží dlho"/>
    <d v="2025-01-04T00:00:00"/>
    <n v="0"/>
    <n v="22.4"/>
    <x v="1"/>
    <x v="0"/>
    <x v="1"/>
  </r>
  <r>
    <x v="12"/>
    <n v="4013456789017"/>
    <x v="0"/>
    <s v="Krmivo a maškrty – Psy"/>
    <s v="Snouty"/>
    <n v="6"/>
    <n v="1"/>
    <s v="NULL"/>
    <s v=""/>
    <d v="2025-01-04T00:00:00"/>
    <n v="0"/>
    <n v="6"/>
    <x v="0"/>
    <x v="0"/>
    <x v="0"/>
  </r>
  <r>
    <x v="13"/>
    <n v="4056789012345"/>
    <x v="11"/>
    <s v="Krmivo a maškrty – Mačky"/>
    <s v="BellaMeow"/>
    <n v="2.4"/>
    <n v="3"/>
    <s v="2"/>
    <s v="Mačka nechcela, vrátené"/>
    <d v="2025-01-04T00:00:00"/>
    <n v="1"/>
    <n v="7.1999999999999993"/>
    <x v="4"/>
    <x v="0"/>
    <x v="1"/>
  </r>
  <r>
    <x v="14"/>
    <n v="4028899001126"/>
    <x v="1"/>
    <s v="Krmivo a maškrty – Psy"/>
    <s v="Pup Republic"/>
    <n v="2.8"/>
    <n v="2"/>
    <s v="NULL"/>
    <s v=""/>
    <d v="2025-01-05T00:00:00"/>
    <n v="0"/>
    <n v="5.6"/>
    <x v="0"/>
    <x v="0"/>
    <x v="0"/>
  </r>
  <r>
    <x v="14"/>
    <n v="4013456789017"/>
    <x v="0"/>
    <s v="Krmivo a maškrty – Psy"/>
    <s v="Snouty"/>
    <n v="6"/>
    <n v="1"/>
    <s v="NULL"/>
    <s v=""/>
    <d v="2025-01-05T00:00:00"/>
    <n v="0"/>
    <n v="6"/>
    <x v="0"/>
    <x v="0"/>
    <x v="0"/>
  </r>
  <r>
    <x v="15"/>
    <n v="4040123456795"/>
    <x v="2"/>
    <s v="Starostlivosť a hygiena – Psy"/>
    <s v="Dogissimo"/>
    <n v="8.8000000000000007"/>
    <n v="1"/>
    <s v="4"/>
    <s v="Pekne vonia, dobre umýva"/>
    <d v="2025-01-05T00:00:00"/>
    <n v="0"/>
    <n v="8.8000000000000007"/>
    <x v="1"/>
    <x v="0"/>
    <x v="0"/>
  </r>
  <r>
    <x v="16"/>
    <n v="4010123456783"/>
    <x v="6"/>
    <s v="Starostlivosť a hygiena – Mačky"/>
    <s v="BellaMeow"/>
    <n v="14"/>
    <n v="2"/>
    <s v="NULL"/>
    <s v=""/>
    <d v="2025-01-05T00:00:00"/>
    <n v="0"/>
    <n v="28"/>
    <x v="0"/>
    <x v="0"/>
    <x v="1"/>
  </r>
  <r>
    <x v="17"/>
    <n v="4028899001126"/>
    <x v="1"/>
    <s v="Krmivo a maškrty – Psy"/>
    <s v="Pup Republic"/>
    <n v="2.8"/>
    <n v="4"/>
    <s v="NULL"/>
    <s v=""/>
    <d v="2025-01-06T00:00:00"/>
    <n v="0"/>
    <n v="11.2"/>
    <x v="0"/>
    <x v="0"/>
    <x v="0"/>
  </r>
  <r>
    <x v="18"/>
    <n v="4061011223346"/>
    <x v="3"/>
    <s v="Oblečenie a doplnky – Psy"/>
    <s v="Tail Trend"/>
    <n v="19.600000000000001"/>
    <n v="1"/>
    <s v="5"/>
    <s v="Pevné, dobre sa drží aj v zime"/>
    <d v="2025-01-06T00:00:00"/>
    <n v="0"/>
    <n v="19.600000000000001"/>
    <x v="2"/>
    <x v="0"/>
    <x v="0"/>
  </r>
  <r>
    <x v="19"/>
    <n v="8593456789012"/>
    <x v="4"/>
    <s v="Krmivo a maškrty – Mačky"/>
    <s v="Catissime"/>
    <n v="42"/>
    <n v="1"/>
    <s v="NULL"/>
    <s v=""/>
    <d v="2025-01-06T00:00:00"/>
    <n v="0"/>
    <n v="42"/>
    <x v="0"/>
    <x v="0"/>
    <x v="1"/>
  </r>
  <r>
    <x v="20"/>
    <n v="4026677889902"/>
    <x v="12"/>
    <s v="Misky a kŕmne doplnky – Ostatné"/>
    <s v="Pawsitive Gear"/>
    <n v="7.6"/>
    <n v="1"/>
    <s v="NULL"/>
    <s v=""/>
    <d v="2025-01-07T00:00:00"/>
    <n v="0"/>
    <n v="7.6"/>
    <x v="0"/>
    <x v="0"/>
    <x v="2"/>
  </r>
  <r>
    <x v="21"/>
    <n v="4023456789012"/>
    <x v="13"/>
    <s v="Krmivo a maškrty – Mačky"/>
    <s v="Mr. Whiskers"/>
    <n v="4"/>
    <n v="3"/>
    <s v="4"/>
    <s v="Mačka spokojná, dobrá odmena"/>
    <d v="2025-01-07T00:00:00"/>
    <n v="0"/>
    <n v="12"/>
    <x v="1"/>
    <x v="0"/>
    <x v="1"/>
  </r>
  <r>
    <x v="22"/>
    <n v="4049012345683"/>
    <x v="14"/>
    <s v="Starostlivosť a hygiena – Mačky"/>
    <s v="Pawtastic"/>
    <n v="9.1999999999999993"/>
    <n v="1"/>
    <s v="5"/>
    <s v="Kvalitné, neškriabe, odporúčam"/>
    <d v="2025-01-07T00:00:00"/>
    <n v="0"/>
    <n v="9.1999999999999993"/>
    <x v="2"/>
    <x v="0"/>
    <x v="1"/>
  </r>
  <r>
    <x v="23"/>
    <n v="4063456789014"/>
    <x v="15"/>
    <s v="Krmivo a maškrty – Psy"/>
    <s v="Pupco"/>
    <n v="36"/>
    <n v="1"/>
    <s v="NULL"/>
    <s v=""/>
    <d v="2025-01-08T00:00:00"/>
    <n v="0"/>
    <n v="36"/>
    <x v="0"/>
    <x v="0"/>
    <x v="0"/>
  </r>
  <r>
    <x v="24"/>
    <n v="4028899001126"/>
    <x v="1"/>
    <s v="Krmivo a maškrty – Psy"/>
    <s v="Pup Republic"/>
    <n v="2.8"/>
    <n v="4"/>
    <s v="3"/>
    <s v="Dobré do zásoby"/>
    <d v="2025-01-08T00:00:00"/>
    <n v="0"/>
    <n v="11.2"/>
    <x v="3"/>
    <x v="0"/>
    <x v="0"/>
  </r>
  <r>
    <x v="25"/>
    <n v="4013456789017"/>
    <x v="0"/>
    <s v="Krmivo a maškrty – Psy"/>
    <s v="Snouty"/>
    <n v="6"/>
    <n v="2"/>
    <s v="NULL"/>
    <s v=""/>
    <d v="2025-01-08T00:00:00"/>
    <n v="0"/>
    <n v="12"/>
    <x v="0"/>
    <x v="0"/>
    <x v="0"/>
  </r>
  <r>
    <x v="26"/>
    <n v="4009012345672"/>
    <x v="10"/>
    <s v="Starostlivosť a hygiena – Mačky"/>
    <s v="Mr. Whiskers"/>
    <n v="11.2"/>
    <n v="2"/>
    <s v="NULL"/>
    <s v=""/>
    <d v="2025-01-08T00:00:00"/>
    <n v="0"/>
    <n v="22.4"/>
    <x v="0"/>
    <x v="0"/>
    <x v="1"/>
  </r>
  <r>
    <x v="27"/>
    <n v="4056789012345"/>
    <x v="11"/>
    <s v="Krmivo a maškrty – Mačky"/>
    <s v="BellaMeow"/>
    <n v="2.4"/>
    <n v="2"/>
    <s v="1"/>
    <s v="Mačka odmietla, vrátené"/>
    <d v="2025-01-08T00:00:00"/>
    <n v="1"/>
    <n v="4.8"/>
    <x v="5"/>
    <x v="0"/>
    <x v="1"/>
  </r>
  <r>
    <x v="28"/>
    <n v="4028899001126"/>
    <x v="1"/>
    <s v="Krmivo a maškrty – Psy"/>
    <s v="Pup Republic"/>
    <n v="2.8"/>
    <n v="3"/>
    <s v="NULL"/>
    <s v=""/>
    <d v="2025-01-09T00:00:00"/>
    <n v="0"/>
    <n v="8.3999999999999986"/>
    <x v="0"/>
    <x v="0"/>
    <x v="0"/>
  </r>
  <r>
    <x v="29"/>
    <n v="4061011223346"/>
    <x v="3"/>
    <s v="Oblečenie a doplnky – Psy"/>
    <s v="Tail Trend"/>
    <n v="19.600000000000001"/>
    <n v="1"/>
    <s v="NULL"/>
    <s v=""/>
    <d v="2025-01-09T00:00:00"/>
    <n v="0"/>
    <n v="19.600000000000001"/>
    <x v="0"/>
    <x v="0"/>
    <x v="0"/>
  </r>
  <r>
    <x v="30"/>
    <n v="4017890123450"/>
    <x v="16"/>
    <s v="Hračky – Psy"/>
    <s v="Dogissimo"/>
    <n v="7.6"/>
    <n v="1"/>
    <s v="NULL"/>
    <s v=""/>
    <d v="2025-01-09T00:00:00"/>
    <n v="0"/>
    <n v="7.6"/>
    <x v="0"/>
    <x v="0"/>
    <x v="0"/>
  </r>
  <r>
    <x v="31"/>
    <n v="4040123456795"/>
    <x v="2"/>
    <s v="Starostlivosť a hygiena – Psy"/>
    <s v="Dogissimo"/>
    <n v="8.8000000000000007"/>
    <n v="1"/>
    <s v="5"/>
    <s v="Fajn pre krátkosrsté psy"/>
    <d v="2025-01-09T00:00:00"/>
    <n v="0"/>
    <n v="8.8000000000000007"/>
    <x v="2"/>
    <x v="0"/>
    <x v="0"/>
  </r>
  <r>
    <x v="32"/>
    <n v="4010123456783"/>
    <x v="6"/>
    <s v="Starostlivosť a hygiena – Mačky"/>
    <s v="BellaMeow"/>
    <n v="14"/>
    <n v="2"/>
    <s v="NULL"/>
    <s v=""/>
    <d v="2025-01-09T00:00:00"/>
    <n v="0"/>
    <n v="28"/>
    <x v="0"/>
    <x v="0"/>
    <x v="1"/>
  </r>
  <r>
    <x v="33"/>
    <n v="4028899001126"/>
    <x v="1"/>
    <s v="Krmivo a maškrty – Psy"/>
    <s v="Pup Republic"/>
    <n v="2.8"/>
    <n v="5"/>
    <s v="NULL"/>
    <s v=""/>
    <d v="2025-01-10T00:00:00"/>
    <n v="0"/>
    <n v="14"/>
    <x v="0"/>
    <x v="0"/>
    <x v="0"/>
  </r>
  <r>
    <x v="34"/>
    <n v="4013456789017"/>
    <x v="0"/>
    <s v="Krmivo a maškrty – Psy"/>
    <s v="Snouty"/>
    <n v="6"/>
    <n v="1"/>
    <s v="4"/>
    <s v="Pes reaguje výborne"/>
    <d v="2025-01-10T00:00:00"/>
    <n v="0"/>
    <n v="6"/>
    <x v="1"/>
    <x v="0"/>
    <x v="0"/>
  </r>
  <r>
    <x v="35"/>
    <n v="4067890123456"/>
    <x v="17"/>
    <s v="Krmivo a maškrty – Mačky"/>
    <s v="PawStyle"/>
    <n v="36"/>
    <n v="1"/>
    <s v="NULL"/>
    <s v=""/>
    <d v="2025-01-10T00:00:00"/>
    <n v="0"/>
    <n v="36"/>
    <x v="0"/>
    <x v="0"/>
    <x v="1"/>
  </r>
  <r>
    <x v="36"/>
    <n v="4028899001126"/>
    <x v="1"/>
    <s v="Krmivo a maškrty – Psy"/>
    <s v="Pup Republic"/>
    <n v="2.8"/>
    <n v="3"/>
    <s v="NULL"/>
    <s v=""/>
    <d v="2025-01-11T00:00:00"/>
    <n v="0"/>
    <n v="8.3999999999999986"/>
    <x v="0"/>
    <x v="0"/>
    <x v="0"/>
  </r>
  <r>
    <x v="37"/>
    <n v="4013456789017"/>
    <x v="0"/>
    <s v="Krmivo a maškrty – Psy"/>
    <s v="Snouty"/>
    <n v="6"/>
    <n v="2"/>
    <s v="NULL"/>
    <s v=""/>
    <d v="2025-01-11T00:00:00"/>
    <n v="0"/>
    <n v="12"/>
    <x v="0"/>
    <x v="0"/>
    <x v="0"/>
  </r>
  <r>
    <x v="38"/>
    <n v="4061011223346"/>
    <x v="3"/>
    <s v="Oblečenie a doplnky – Psy"/>
    <s v="Tail Trend"/>
    <n v="19.600000000000001"/>
    <n v="1"/>
    <s v="NULL"/>
    <s v=""/>
    <d v="2025-01-11T00:00:00"/>
    <n v="0"/>
    <n v="19.600000000000001"/>
    <x v="0"/>
    <x v="0"/>
    <x v="0"/>
  </r>
  <r>
    <x v="39"/>
    <n v="4028899001126"/>
    <x v="1"/>
    <s v="Krmivo a maškrty – Psy"/>
    <s v="Pup Republic"/>
    <n v="2.8"/>
    <n v="4"/>
    <s v="4"/>
    <s v="Obľúbená klasika"/>
    <d v="2025-01-12T00:00:00"/>
    <n v="0"/>
    <n v="11.2"/>
    <x v="1"/>
    <x v="0"/>
    <x v="0"/>
  </r>
  <r>
    <x v="40"/>
    <n v="4013456789017"/>
    <x v="0"/>
    <s v="Krmivo a maškrty – Psy"/>
    <s v="Snouty"/>
    <n v="6"/>
    <n v="2"/>
    <s v="NULL"/>
    <s v=""/>
    <d v="2025-01-12T00:00:00"/>
    <n v="0"/>
    <n v="12"/>
    <x v="0"/>
    <x v="0"/>
    <x v="0"/>
  </r>
  <r>
    <x v="41"/>
    <n v="4040123456795"/>
    <x v="2"/>
    <s v="Starostlivosť a hygiena – Psy"/>
    <s v="Dogissimo"/>
    <n v="8.8000000000000007"/>
    <n v="1"/>
    <s v="NULL"/>
    <s v=""/>
    <d v="2025-01-12T00:00:00"/>
    <n v="0"/>
    <n v="8.8000000000000007"/>
    <x v="0"/>
    <x v="0"/>
    <x v="0"/>
  </r>
  <r>
    <x v="42"/>
    <n v="4017890123450"/>
    <x v="16"/>
    <s v="Hračky – Psy"/>
    <s v="Dogissimo"/>
    <n v="7.6"/>
    <n v="1"/>
    <s v="NULL"/>
    <s v=""/>
    <d v="2025-01-12T00:00:00"/>
    <n v="0"/>
    <n v="7.6"/>
    <x v="0"/>
    <x v="0"/>
    <x v="0"/>
  </r>
  <r>
    <x v="43"/>
    <n v="4056789012345"/>
    <x v="11"/>
    <s v="Krmivo a maškrty – Mačky"/>
    <s v="BellaMeow"/>
    <n v="2.4"/>
    <n v="2"/>
    <s v="2"/>
    <s v="Mačka nejedla, vrátené"/>
    <d v="2025-01-13T00:00:00"/>
    <n v="1"/>
    <n v="4.8"/>
    <x v="4"/>
    <x v="0"/>
    <x v="1"/>
  </r>
  <r>
    <x v="44"/>
    <n v="4067890123456"/>
    <x v="17"/>
    <s v="Krmivo a maškrty – Mačky"/>
    <s v="PawStyle"/>
    <n v="36"/>
    <n v="1"/>
    <s v="NULL"/>
    <s v=""/>
    <d v="2025-01-13T00:00:00"/>
    <n v="0"/>
    <n v="36"/>
    <x v="0"/>
    <x v="0"/>
    <x v="1"/>
  </r>
  <r>
    <x v="45"/>
    <n v="4009012345672"/>
    <x v="10"/>
    <s v="Starostlivosť a hygiena – Mačky"/>
    <s v="Mr. Whiskers"/>
    <n v="11.2"/>
    <n v="2"/>
    <s v="3"/>
    <s v="Za tú cenu dobré"/>
    <d v="2025-01-13T00:00:00"/>
    <n v="0"/>
    <n v="22.4"/>
    <x v="3"/>
    <x v="0"/>
    <x v="1"/>
  </r>
  <r>
    <x v="46"/>
    <n v="4028899001126"/>
    <x v="1"/>
    <s v="Krmivo a maškrty – Psy"/>
    <s v="Pup Republic"/>
    <n v="2.8"/>
    <n v="4"/>
    <s v="NULL"/>
    <s v=""/>
    <d v="2025-01-14T00:00:00"/>
    <n v="0"/>
    <n v="11.2"/>
    <x v="0"/>
    <x v="0"/>
    <x v="0"/>
  </r>
  <r>
    <x v="47"/>
    <n v="4013456789017"/>
    <x v="0"/>
    <s v="Krmivo a maškrty – Psy"/>
    <s v="Snouty"/>
    <n v="6"/>
    <n v="1"/>
    <s v="5"/>
    <s v="Ideálne na výcvik"/>
    <d v="2025-01-14T00:00:00"/>
    <n v="0"/>
    <n v="6"/>
    <x v="2"/>
    <x v="0"/>
    <x v="0"/>
  </r>
  <r>
    <x v="48"/>
    <n v="4027788990013"/>
    <x v="9"/>
    <s v="Starostlivosť a hygiena – Psy"/>
    <s v="Dogissimo"/>
    <n v="8"/>
    <n v="1"/>
    <s v="NULL"/>
    <s v=""/>
    <d v="2025-01-14T00:00:00"/>
    <n v="0"/>
    <n v="8"/>
    <x v="0"/>
    <x v="0"/>
    <x v="0"/>
  </r>
  <r>
    <x v="49"/>
    <n v="4010123456783"/>
    <x v="6"/>
    <s v="Starostlivosť a hygiena – Mačky"/>
    <s v="BellaMeow"/>
    <n v="14"/>
    <n v="1"/>
    <s v="NULL"/>
    <s v=""/>
    <d v="2025-01-14T00:00:00"/>
    <n v="0"/>
    <n v="14"/>
    <x v="0"/>
    <x v="0"/>
    <x v="1"/>
  </r>
  <r>
    <x v="50"/>
    <n v="4028899001126"/>
    <x v="1"/>
    <s v="Krmivo a maškrty – Psy"/>
    <s v="Pup Republic"/>
    <n v="2.8"/>
    <n v="3"/>
    <s v="3"/>
    <s v="Priemer, ale pes sa nebráni"/>
    <d v="2025-01-15T00:00:00"/>
    <n v="0"/>
    <n v="8.3999999999999986"/>
    <x v="3"/>
    <x v="0"/>
    <x v="0"/>
  </r>
  <r>
    <x v="51"/>
    <n v="4061011223346"/>
    <x v="3"/>
    <s v="Oblečenie a doplnky – Psy"/>
    <s v="Tail Trend"/>
    <n v="19.600000000000001"/>
    <n v="1"/>
    <s v="NULL"/>
    <s v=""/>
    <d v="2025-01-15T00:00:00"/>
    <n v="0"/>
    <n v="19.600000000000001"/>
    <x v="0"/>
    <x v="0"/>
    <x v="0"/>
  </r>
  <r>
    <x v="52"/>
    <n v="4006789012349"/>
    <x v="7"/>
    <s v="Hračky – Psy"/>
    <s v="Snouty"/>
    <n v="12"/>
    <n v="1"/>
    <s v="NULL"/>
    <s v=""/>
    <d v="2025-01-15T00:00:00"/>
    <n v="0"/>
    <n v="12"/>
    <x v="0"/>
    <x v="0"/>
    <x v="0"/>
  </r>
  <r>
    <x v="53"/>
    <n v="4026677889902"/>
    <x v="12"/>
    <s v="Misky a kŕmne doplnky – Ostatné"/>
    <s v="Pawsitive Gear"/>
    <n v="7.6"/>
    <n v="1"/>
    <s v="NULL"/>
    <s v=""/>
    <d v="2025-01-16T00:00:00"/>
    <n v="0"/>
    <n v="7.6"/>
    <x v="0"/>
    <x v="0"/>
    <x v="2"/>
  </r>
  <r>
    <x v="54"/>
    <n v="4013456789017"/>
    <x v="0"/>
    <s v="Krmivo a maškrty – Psy"/>
    <s v="Snouty"/>
    <n v="6"/>
    <n v="2"/>
    <s v="4"/>
    <s v="Pes poslúcha lepšie"/>
    <d v="2025-01-16T00:00:00"/>
    <n v="0"/>
    <n v="12"/>
    <x v="1"/>
    <x v="0"/>
    <x v="0"/>
  </r>
  <r>
    <x v="55"/>
    <n v="4023456789012"/>
    <x v="13"/>
    <s v="Krmivo a maškrty – Mačky"/>
    <s v="Mr. Whiskers"/>
    <n v="4"/>
    <n v="2"/>
    <s v="NULL"/>
    <s v=""/>
    <d v="2025-01-16T00:00:00"/>
    <n v="0"/>
    <n v="8"/>
    <x v="0"/>
    <x v="0"/>
    <x v="1"/>
  </r>
  <r>
    <x v="56"/>
    <n v="4050123456794"/>
    <x v="8"/>
    <s v="Starostlivosť a hygiena – Mačky"/>
    <s v="Nordic Tail"/>
    <n v="7.2"/>
    <n v="1"/>
    <s v="NULL"/>
    <s v=""/>
    <d v="2025-01-16T00:00:00"/>
    <n v="0"/>
    <n v="7.2"/>
    <x v="0"/>
    <x v="0"/>
    <x v="1"/>
  </r>
  <r>
    <x v="57"/>
    <n v="4028899001126"/>
    <x v="1"/>
    <s v="Krmivo a maškrty – Psy"/>
    <s v="Pup Republic"/>
    <n v="2.8"/>
    <n v="4"/>
    <s v="NULL"/>
    <s v=""/>
    <d v="2025-01-17T00:00:00"/>
    <n v="0"/>
    <n v="11.2"/>
    <x v="0"/>
    <x v="0"/>
    <x v="0"/>
  </r>
  <r>
    <x v="58"/>
    <n v="4017890123450"/>
    <x v="16"/>
    <s v="Hračky – Psy"/>
    <s v="Dogissimo"/>
    <n v="7.6"/>
    <n v="1"/>
    <s v="4"/>
    <s v="Zábava na celé popoludnie"/>
    <d v="2025-01-17T00:00:00"/>
    <n v="0"/>
    <n v="7.6"/>
    <x v="1"/>
    <x v="0"/>
    <x v="0"/>
  </r>
  <r>
    <x v="59"/>
    <n v="4013456789017"/>
    <x v="0"/>
    <s v="Krmivo a maškrty – Psy"/>
    <s v="Snouty"/>
    <n v="6"/>
    <n v="1"/>
    <s v="NULL"/>
    <s v=""/>
    <d v="2025-01-17T00:00:00"/>
    <n v="0"/>
    <n v="6"/>
    <x v="0"/>
    <x v="0"/>
    <x v="0"/>
  </r>
  <r>
    <x v="60"/>
    <n v="4056789012345"/>
    <x v="11"/>
    <s v="Krmivo a maškrty – Mačky"/>
    <s v="BellaMeow"/>
    <n v="2.4"/>
    <n v="2"/>
    <s v="1"/>
    <s v="Mačka úplne odmietla"/>
    <d v="2025-01-18T00:00:00"/>
    <n v="1"/>
    <n v="4.8"/>
    <x v="5"/>
    <x v="0"/>
    <x v="1"/>
  </r>
  <r>
    <x v="61"/>
    <n v="4067890123456"/>
    <x v="17"/>
    <s v="Krmivo a maškrty – Mačky"/>
    <s v="PawStyle"/>
    <n v="36"/>
    <n v="1"/>
    <s v="4"/>
    <s v="Pomáha s bezoármi"/>
    <d v="2025-01-18T00:00:00"/>
    <n v="0"/>
    <n v="36"/>
    <x v="1"/>
    <x v="0"/>
    <x v="1"/>
  </r>
  <r>
    <x v="62"/>
    <n v="4063456789014"/>
    <x v="15"/>
    <s v="Krmivo a maškrty – Psy"/>
    <s v="Pupco"/>
    <n v="36"/>
    <n v="1"/>
    <s v="NULL"/>
    <s v=""/>
    <d v="2025-01-18T00:00:00"/>
    <n v="0"/>
    <n v="36"/>
    <x v="0"/>
    <x v="0"/>
    <x v="0"/>
  </r>
  <r>
    <x v="63"/>
    <n v="4028899001126"/>
    <x v="1"/>
    <s v="Krmivo a maškrty – Psy"/>
    <s v="Pup Republic"/>
    <n v="2.8"/>
    <n v="3"/>
    <s v="NULL"/>
    <s v=""/>
    <d v="2025-01-19T00:00:00"/>
    <n v="0"/>
    <n v="8.3999999999999986"/>
    <x v="0"/>
    <x v="0"/>
    <x v="0"/>
  </r>
  <r>
    <x v="64"/>
    <n v="4010123456783"/>
    <x v="6"/>
    <s v="Starostlivosť a hygiena – Mačky"/>
    <s v="BellaMeow"/>
    <n v="14"/>
    <n v="2"/>
    <s v="NULL"/>
    <s v=""/>
    <d v="2025-01-19T00:00:00"/>
    <n v="0"/>
    <n v="28"/>
    <x v="0"/>
    <x v="0"/>
    <x v="1"/>
  </r>
  <r>
    <x v="65"/>
    <n v="4021234567894"/>
    <x v="18"/>
    <s v="Starostlivosť a hygiena – Mačky"/>
    <s v="PawStyle"/>
    <n v="8"/>
    <n v="1"/>
    <s v="NULL"/>
    <s v=""/>
    <d v="2025-01-19T00:00:00"/>
    <n v="0"/>
    <n v="8"/>
    <x v="0"/>
    <x v="0"/>
    <x v="1"/>
  </r>
  <r>
    <x v="66"/>
    <n v="4061011223346"/>
    <x v="3"/>
    <s v="Oblečenie a doplnky – Psy"/>
    <s v="Tail Trend"/>
    <n v="19.600000000000001"/>
    <n v="1"/>
    <s v="4"/>
    <s v="Dobre drží, pohodlné"/>
    <d v="2025-01-20T00:00:00"/>
    <n v="0"/>
    <n v="19.600000000000001"/>
    <x v="1"/>
    <x v="0"/>
    <x v="0"/>
  </r>
  <r>
    <x v="67"/>
    <n v="4028899001126"/>
    <x v="1"/>
    <s v="Krmivo a maškrty – Psy"/>
    <s v="Pup Republic"/>
    <n v="2.8"/>
    <n v="5"/>
    <s v="NULL"/>
    <s v=""/>
    <d v="2025-01-20T00:00:00"/>
    <n v="0"/>
    <n v="14"/>
    <x v="0"/>
    <x v="0"/>
    <x v="0"/>
  </r>
  <r>
    <x v="68"/>
    <n v="4013456789017"/>
    <x v="0"/>
    <s v="Krmivo a maškrty – Psy"/>
    <s v="Snouty"/>
    <n v="6"/>
    <n v="1"/>
    <s v="NULL"/>
    <s v=""/>
    <d v="2025-01-21T00:00:00"/>
    <n v="0"/>
    <n v="6"/>
    <x v="0"/>
    <x v="0"/>
    <x v="0"/>
  </r>
  <r>
    <x v="69"/>
    <n v="4040123456795"/>
    <x v="2"/>
    <s v="Starostlivosť a hygiena – Psy"/>
    <s v="Dogissimo"/>
    <n v="8.8000000000000007"/>
    <n v="1"/>
    <s v="4"/>
    <s v="Pomáha s lupinami"/>
    <d v="2025-01-21T00:00:00"/>
    <n v="0"/>
    <n v="8.8000000000000007"/>
    <x v="1"/>
    <x v="0"/>
    <x v="0"/>
  </r>
  <r>
    <x v="70"/>
    <n v="4010123456783"/>
    <x v="6"/>
    <s v="Starostlivosť a hygiena – Mačky"/>
    <s v="BellaMeow"/>
    <n v="14"/>
    <n v="1"/>
    <s v="NULL"/>
    <s v=""/>
    <d v="2025-01-21T00:00:00"/>
    <n v="0"/>
    <n v="14"/>
    <x v="0"/>
    <x v="0"/>
    <x v="1"/>
  </r>
  <r>
    <x v="71"/>
    <n v="4028899001126"/>
    <x v="1"/>
    <s v="Krmivo a maškrty – Psy"/>
    <s v="Pup Republic"/>
    <n v="2.8"/>
    <n v="3"/>
    <s v="NULL"/>
    <s v=""/>
    <d v="2025-01-22T00:00:00"/>
    <n v="0"/>
    <n v="8.3999999999999986"/>
    <x v="0"/>
    <x v="0"/>
    <x v="0"/>
  </r>
  <r>
    <x v="72"/>
    <n v="4067890123456"/>
    <x v="17"/>
    <s v="Krmivo a maškrty – Mačky"/>
    <s v="PawStyle"/>
    <n v="36"/>
    <n v="1"/>
    <s v="NULL"/>
    <s v=""/>
    <d v="2025-01-22T00:00:00"/>
    <n v="0"/>
    <n v="36"/>
    <x v="0"/>
    <x v="0"/>
    <x v="1"/>
  </r>
  <r>
    <x v="73"/>
    <n v="4017890123450"/>
    <x v="16"/>
    <s v="Hračky – Psy"/>
    <s v="Dogissimo"/>
    <n v="7.6"/>
    <n v="1"/>
    <s v="NULL"/>
    <s v=""/>
    <d v="2025-01-22T00:00:00"/>
    <n v="0"/>
    <n v="7.6"/>
    <x v="0"/>
    <x v="0"/>
    <x v="0"/>
  </r>
  <r>
    <x v="74"/>
    <n v="4013456789017"/>
    <x v="0"/>
    <s v="Krmivo a maškrty – Psy"/>
    <s v="Snouty"/>
    <n v="6"/>
    <n v="2"/>
    <s v="NULL"/>
    <s v=""/>
    <d v="2025-01-23T00:00:00"/>
    <n v="0"/>
    <n v="12"/>
    <x v="0"/>
    <x v="0"/>
    <x v="0"/>
  </r>
  <r>
    <x v="75"/>
    <n v="4056789012345"/>
    <x v="11"/>
    <s v="Krmivo a maškrty – Mačky"/>
    <s v="BellaMeow"/>
    <n v="2.4"/>
    <n v="2"/>
    <s v="2"/>
    <s v="Mačka nezjedla všetko"/>
    <d v="2025-01-23T00:00:00"/>
    <n v="0"/>
    <n v="4.8"/>
    <x v="4"/>
    <x v="0"/>
    <x v="1"/>
  </r>
  <r>
    <x v="76"/>
    <n v="4061011223346"/>
    <x v="3"/>
    <s v="Oblečenie a doplnky – Psy"/>
    <s v="Tail Trend"/>
    <n v="19.600000000000001"/>
    <n v="1"/>
    <s v="5"/>
    <s v="Vydrží aj ťah psa"/>
    <d v="2025-01-24T00:00:00"/>
    <n v="0"/>
    <n v="19.600000000000001"/>
    <x v="2"/>
    <x v="0"/>
    <x v="0"/>
  </r>
  <r>
    <x v="77"/>
    <n v="4028899001126"/>
    <x v="1"/>
    <s v="Krmivo a maškrty – Psy"/>
    <s v="Pup Republic"/>
    <n v="2.8"/>
    <n v="3"/>
    <s v="NULL"/>
    <s v=""/>
    <d v="2025-01-24T00:00:00"/>
    <n v="0"/>
    <n v="8.3999999999999986"/>
    <x v="0"/>
    <x v="0"/>
    <x v="0"/>
  </r>
  <r>
    <x v="78"/>
    <n v="4013456789017"/>
    <x v="0"/>
    <s v="Krmivo a maškrty – Psy"/>
    <s v="Snouty"/>
    <n v="6"/>
    <n v="1"/>
    <s v="3"/>
    <s v="Štandardné maškrty, nič extra"/>
    <d v="2025-01-25T00:00:00"/>
    <n v="0"/>
    <n v="6"/>
    <x v="3"/>
    <x v="0"/>
    <x v="0"/>
  </r>
  <r>
    <x v="79"/>
    <n v="4061011223346"/>
    <x v="3"/>
    <s v="Oblečenie a doplnky – Psy"/>
    <s v="Tail Trend"/>
    <n v="19.600000000000001"/>
    <n v="1"/>
    <s v="NULL"/>
    <s v=""/>
    <d v="2025-01-25T00:00:00"/>
    <n v="0"/>
    <n v="19.600000000000001"/>
    <x v="0"/>
    <x v="0"/>
    <x v="0"/>
  </r>
  <r>
    <x v="80"/>
    <n v="4056789012345"/>
    <x v="11"/>
    <s v="Krmivo a maškrty – Mačky"/>
    <s v="BellaMeow"/>
    <n v="2.4"/>
    <n v="3"/>
    <s v="NULL"/>
    <s v=""/>
    <d v="2025-01-25T00:00:00"/>
    <n v="0"/>
    <n v="7.1999999999999993"/>
    <x v="0"/>
    <x v="0"/>
    <x v="1"/>
  </r>
  <r>
    <x v="81"/>
    <n v="4028899001126"/>
    <x v="1"/>
    <s v="Krmivo a maškrty – Psy"/>
    <s v="Pup Republic"/>
    <n v="2.8"/>
    <n v="4"/>
    <s v="NULL"/>
    <s v=""/>
    <d v="2025-01-25T00:00:00"/>
    <n v="0"/>
    <n v="11.2"/>
    <x v="0"/>
    <x v="0"/>
    <x v="0"/>
  </r>
  <r>
    <x v="82"/>
    <n v="4013456789017"/>
    <x v="0"/>
    <s v="Krmivo a maškrty – Psy"/>
    <s v="Snouty"/>
    <n v="6"/>
    <n v="1"/>
    <s v="NULL"/>
    <s v=""/>
    <d v="2025-01-26T00:00:00"/>
    <n v="0"/>
    <n v="6"/>
    <x v="0"/>
    <x v="0"/>
    <x v="0"/>
  </r>
  <r>
    <x v="83"/>
    <n v="4028899001126"/>
    <x v="1"/>
    <s v="Krmivo a maškrty – Psy"/>
    <s v="Pup Republic"/>
    <n v="2.8"/>
    <n v="5"/>
    <s v="4"/>
    <s v="Pes sa teší na každé kŕmenie"/>
    <d v="2025-01-26T00:00:00"/>
    <n v="0"/>
    <n v="14"/>
    <x v="1"/>
    <x v="0"/>
    <x v="0"/>
  </r>
  <r>
    <x v="84"/>
    <n v="4009012345672"/>
    <x v="10"/>
    <s v="Starostlivosť a hygiena – Mačky"/>
    <s v="Mr. Whiskers"/>
    <n v="11.2"/>
    <n v="1"/>
    <s v="NULL"/>
    <s v=""/>
    <d v="2025-01-26T00:00:00"/>
    <n v="0"/>
    <n v="11.2"/>
    <x v="0"/>
    <x v="0"/>
    <x v="1"/>
  </r>
  <r>
    <x v="85"/>
    <n v="4021234567894"/>
    <x v="18"/>
    <s v="Starostlivosť a hygiena – Mačky"/>
    <s v="PawStyle"/>
    <n v="8"/>
    <n v="1"/>
    <s v="NULL"/>
    <s v=""/>
    <d v="2025-01-26T00:00:00"/>
    <n v="0"/>
    <n v="8"/>
    <x v="0"/>
    <x v="0"/>
    <x v="1"/>
  </r>
  <r>
    <x v="86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87"/>
    <n v="4026677889902"/>
    <x v="12"/>
    <s v="Misky a kŕmne doplnky – Ostatné"/>
    <s v="Pawsitive Gear"/>
    <n v="7.6"/>
    <n v="1"/>
    <s v="NULL"/>
    <s v=""/>
    <d v="2025-01-27T00:00:00"/>
    <n v="0"/>
    <n v="7.6"/>
    <x v="0"/>
    <x v="0"/>
    <x v="2"/>
  </r>
  <r>
    <x v="88"/>
    <n v="4050123456794"/>
    <x v="8"/>
    <s v="Starostlivosť a hygiena – Mačky"/>
    <s v="Nordic Tail"/>
    <n v="7.2"/>
    <n v="1"/>
    <s v="5"/>
    <s v="Mačka krásne vonia"/>
    <d v="2025-01-27T00:00:00"/>
    <n v="0"/>
    <n v="7.2"/>
    <x v="2"/>
    <x v="0"/>
    <x v="1"/>
  </r>
  <r>
    <x v="89"/>
    <n v="4061011223346"/>
    <x v="3"/>
    <s v="Oblečenie a doplnky – Psy"/>
    <s v="Tail Trend"/>
    <n v="19.600000000000001"/>
    <n v="1"/>
    <s v="NULL"/>
    <s v=""/>
    <d v="2025-01-27T00:00:00"/>
    <n v="0"/>
    <n v="19.600000000000001"/>
    <x v="0"/>
    <x v="0"/>
    <x v="0"/>
  </r>
  <r>
    <x v="90"/>
    <n v="4028899001126"/>
    <x v="1"/>
    <s v="Krmivo a maškrty – Psy"/>
    <s v="Pup Republic"/>
    <n v="2.8"/>
    <n v="2"/>
    <s v="NULL"/>
    <s v=""/>
    <d v="2025-01-28T00:00:00"/>
    <n v="0"/>
    <n v="5.6"/>
    <x v="0"/>
    <x v="0"/>
    <x v="0"/>
  </r>
  <r>
    <x v="91"/>
    <n v="4013456789017"/>
    <x v="0"/>
    <s v="Krmivo a maškrty – Psy"/>
    <s v="Snouty"/>
    <n v="6"/>
    <n v="2"/>
    <s v="4"/>
    <s v="Obľúbené u psa"/>
    <d v="2025-01-28T00:00:00"/>
    <n v="0"/>
    <n v="12"/>
    <x v="1"/>
    <x v="0"/>
    <x v="0"/>
  </r>
  <r>
    <x v="92"/>
    <n v="4056789012345"/>
    <x v="11"/>
    <s v="Krmivo a maškrty – Mačky"/>
    <s v="BellaMeow"/>
    <n v="2.4"/>
    <n v="3"/>
    <s v="NULL"/>
    <s v=""/>
    <d v="2025-01-28T00:00:00"/>
    <n v="0"/>
    <n v="7.1999999999999993"/>
    <x v="0"/>
    <x v="0"/>
    <x v="1"/>
  </r>
  <r>
    <x v="93"/>
    <n v="4063456789014"/>
    <x v="15"/>
    <s v="Krmivo a maškrty – Psy"/>
    <s v="Pupco"/>
    <n v="36"/>
    <n v="1"/>
    <s v="NULL"/>
    <s v=""/>
    <d v="2025-01-29T00:00:00"/>
    <n v="0"/>
    <n v="36"/>
    <x v="0"/>
    <x v="0"/>
    <x v="0"/>
  </r>
  <r>
    <x v="94"/>
    <n v="4028899001126"/>
    <x v="1"/>
    <s v="Krmivo a maškrty – Psy"/>
    <s v="Pup Republic"/>
    <n v="2.8"/>
    <n v="3"/>
    <s v="NULL"/>
    <s v=""/>
    <d v="2025-01-29T00:00:00"/>
    <n v="0"/>
    <n v="8.3999999999999986"/>
    <x v="0"/>
    <x v="0"/>
    <x v="0"/>
  </r>
  <r>
    <x v="95"/>
    <n v="4013456789017"/>
    <x v="0"/>
    <s v="Krmivo a maškrty – Psy"/>
    <s v="Snouty"/>
    <n v="6"/>
    <n v="1"/>
    <s v="5"/>
    <s v="Skvelá odmena pri tréningu"/>
    <d v="2025-01-29T00:00:00"/>
    <n v="0"/>
    <n v="6"/>
    <x v="2"/>
    <x v="0"/>
    <x v="0"/>
  </r>
  <r>
    <x v="96"/>
    <n v="4040123456795"/>
    <x v="2"/>
    <s v="Starostlivosť a hygiena – Psy"/>
    <s v="Dogissimo"/>
    <n v="8.8000000000000007"/>
    <n v="1"/>
    <s v="NULL"/>
    <s v=""/>
    <d v="2025-01-29T00:00:00"/>
    <n v="0"/>
    <n v="8.8000000000000007"/>
    <x v="0"/>
    <x v="0"/>
    <x v="0"/>
  </r>
  <r>
    <x v="97"/>
    <n v="4010123456783"/>
    <x v="6"/>
    <s v="Starostlivosť a hygiena – Mačky"/>
    <s v="BellaMeow"/>
    <n v="14"/>
    <n v="1"/>
    <s v="NULL"/>
    <s v=""/>
    <d v="2025-01-29T00:00:00"/>
    <n v="0"/>
    <n v="14"/>
    <x v="0"/>
    <x v="0"/>
    <x v="1"/>
  </r>
  <r>
    <x v="98"/>
    <n v="4028899001126"/>
    <x v="1"/>
    <s v="Krmivo a maškrty – Psy"/>
    <s v="Pup Republic"/>
    <n v="2.8"/>
    <n v="4"/>
    <s v="NULL"/>
    <s v=""/>
    <d v="2025-01-30T00:00:00"/>
    <n v="0"/>
    <n v="11.2"/>
    <x v="0"/>
    <x v="0"/>
    <x v="0"/>
  </r>
  <r>
    <x v="99"/>
    <n v="4013456789017"/>
    <x v="0"/>
    <s v="Krmivo a maškrty – Psy"/>
    <s v="Snouty"/>
    <n v="6"/>
    <n v="1"/>
    <s v="NULL"/>
    <s v=""/>
    <d v="2025-01-30T00:00:00"/>
    <n v="0"/>
    <n v="6"/>
    <x v="0"/>
    <x v="0"/>
    <x v="0"/>
  </r>
  <r>
    <x v="100"/>
    <n v="4061011223346"/>
    <x v="3"/>
    <s v="Oblečenie a doplnky – Psy"/>
    <s v="Tail Trend"/>
    <n v="19.600000000000001"/>
    <n v="1"/>
    <s v="4"/>
    <s v="Ľahké a pevné"/>
    <d v="2025-01-30T00:00:00"/>
    <n v="0"/>
    <n v="19.600000000000001"/>
    <x v="1"/>
    <x v="0"/>
    <x v="0"/>
  </r>
  <r>
    <x v="101"/>
    <n v="4023456789012"/>
    <x v="13"/>
    <s v="Krmivo a maškrty – Mačky"/>
    <s v="Mr. Whiskers"/>
    <n v="4"/>
    <n v="2"/>
    <s v="NULL"/>
    <s v=""/>
    <d v="2025-01-30T00:00:00"/>
    <n v="0"/>
    <n v="8"/>
    <x v="0"/>
    <x v="0"/>
    <x v="1"/>
  </r>
  <r>
    <x v="102"/>
    <n v="4028899001126"/>
    <x v="1"/>
    <s v="Krmivo a maškrty – Psy"/>
    <s v="Pup Republic"/>
    <n v="2.8"/>
    <n v="5"/>
    <s v="3"/>
    <s v="Vyhovuje, ale mohla by byť lacnejšia"/>
    <d v="2025-01-30T00:00:00"/>
    <n v="0"/>
    <n v="14"/>
    <x v="3"/>
    <x v="0"/>
    <x v="0"/>
  </r>
  <r>
    <x v="103"/>
    <n v="4013456789017"/>
    <x v="0"/>
    <s v="Krmivo a maškrty – Psy"/>
    <s v="Snouty"/>
    <n v="6"/>
    <n v="1"/>
    <s v="NULL"/>
    <s v=""/>
    <d v="2025-01-30T00:00:00"/>
    <n v="0"/>
    <n v="6"/>
    <x v="0"/>
    <x v="0"/>
    <x v="0"/>
  </r>
  <r>
    <x v="104"/>
    <n v="4056789012345"/>
    <x v="11"/>
    <s v="Krmivo a maškrty – Mačky"/>
    <s v="BellaMeow"/>
    <n v="2.4"/>
    <n v="3"/>
    <s v="2"/>
    <s v="Mačka trochu sklamaná"/>
    <d v="2025-01-30T00:00:00"/>
    <n v="0"/>
    <n v="7.1999999999999993"/>
    <x v="4"/>
    <x v="0"/>
    <x v="1"/>
  </r>
  <r>
    <x v="105"/>
    <n v="4067890123456"/>
    <x v="17"/>
    <s v="Krmivo a maškrty – Mačky"/>
    <s v="PawStyle"/>
    <n v="36"/>
    <n v="1"/>
    <s v="NULL"/>
    <s v=""/>
    <d v="2025-01-30T00:00:00"/>
    <n v="0"/>
    <n v="36"/>
    <x v="0"/>
    <x v="0"/>
    <x v="1"/>
  </r>
  <r>
    <x v="106"/>
    <n v="4063456789014"/>
    <x v="15"/>
    <s v="Krmivo a maškrty – Psy"/>
    <s v="Pupco"/>
    <n v="36"/>
    <n v="1"/>
    <s v="NULL"/>
    <s v=""/>
    <d v="2025-01-30T00:00:00"/>
    <n v="0"/>
    <n v="36"/>
    <x v="0"/>
    <x v="0"/>
    <x v="0"/>
  </r>
  <r>
    <x v="107"/>
    <n v="4028899001126"/>
    <x v="1"/>
    <s v="Krmivo a maškrty – Psy"/>
    <s v="Pup Republic"/>
    <n v="2.8"/>
    <n v="4"/>
    <s v="NULL"/>
    <s v=""/>
    <d v="2025-01-31T00:00:00"/>
    <n v="0"/>
    <n v="11.2"/>
    <x v="0"/>
    <x v="0"/>
    <x v="0"/>
  </r>
  <r>
    <x v="108"/>
    <n v="4013456789017"/>
    <x v="0"/>
    <s v="Krmivo a maškrty – Psy"/>
    <s v="Snouty"/>
    <n v="6"/>
    <n v="2"/>
    <s v="4"/>
    <s v="Pes spokojný"/>
    <d v="2025-01-31T00:00:00"/>
    <n v="0"/>
    <n v="12"/>
    <x v="1"/>
    <x v="0"/>
    <x v="0"/>
  </r>
  <r>
    <x v="109"/>
    <n v="4040123456795"/>
    <x v="2"/>
    <s v="Starostlivosť a hygiena – Psy"/>
    <s v="Dogissimo"/>
    <n v="8.8000000000000007"/>
    <n v="1"/>
    <s v="NULL"/>
    <s v=""/>
    <d v="2025-01-31T00:00:00"/>
    <n v="0"/>
    <n v="8.8000000000000007"/>
    <x v="0"/>
    <x v="0"/>
    <x v="0"/>
  </r>
  <r>
    <x v="110"/>
    <n v="4061011223346"/>
    <x v="3"/>
    <s v="Oblečenie a doplnky – Psy"/>
    <s v="Tail Trend"/>
    <n v="19.600000000000001"/>
    <n v="1"/>
    <s v="NULL"/>
    <s v=""/>
    <d v="2025-01-31T00:00:00"/>
    <n v="0"/>
    <n v="19.600000000000001"/>
    <x v="0"/>
    <x v="0"/>
    <x v="0"/>
  </r>
  <r>
    <x v="111"/>
    <n v="4010123456783"/>
    <x v="6"/>
    <s v="Starostlivosť a hygiena – Mačky"/>
    <s v="BellaMeow"/>
    <n v="14"/>
    <n v="2"/>
    <s v="NULL"/>
    <s v=""/>
    <d v="2025-01-31T00:00:00"/>
    <n v="0"/>
    <n v="28"/>
    <x v="0"/>
    <x v="0"/>
    <x v="1"/>
  </r>
  <r>
    <x v="112"/>
    <n v="4028899001126"/>
    <x v="1"/>
    <s v="Krmivo a maškrty – Psy"/>
    <s v="Pup Republic"/>
    <n v="2.8"/>
    <n v="5"/>
    <s v="3"/>
    <s v="Pes žerie s chuťou, objednám znova"/>
    <d v="2025-01-31T00:00:00"/>
    <n v="0"/>
    <n v="14"/>
    <x v="3"/>
    <x v="0"/>
    <x v="0"/>
  </r>
  <r>
    <x v="113"/>
    <n v="4013456789017"/>
    <x v="0"/>
    <s v="Krmivo a maškrty – Psy"/>
    <s v="Snouty"/>
    <n v="6"/>
    <n v="1"/>
    <s v="NULL"/>
    <s v=""/>
    <d v="2025-01-31T00:00:00"/>
    <n v="0"/>
    <n v="6"/>
    <x v="0"/>
    <x v="0"/>
    <x v="0"/>
  </r>
  <r>
    <x v="114"/>
    <n v="4056789012345"/>
    <x v="11"/>
    <s v="Krmivo a maškrty – Mačky"/>
    <s v="BellaMeow"/>
    <n v="2.4"/>
    <n v="2"/>
    <s v="NULL"/>
    <s v=""/>
    <d v="2025-01-31T00:00:00"/>
    <n v="0"/>
    <n v="4.8"/>
    <x v="0"/>
    <x v="0"/>
    <x v="1"/>
  </r>
  <r>
    <x v="115"/>
    <n v="4063456789014"/>
    <x v="15"/>
    <s v="Krmivo a maškrty – Psy"/>
    <s v="Pupco"/>
    <n v="36"/>
    <n v="1"/>
    <s v="4"/>
    <s v="Kvalita za rozumnú cenu"/>
    <d v="2025-01-31T00:00:00"/>
    <n v="0"/>
    <n v="36"/>
    <x v="1"/>
    <x v="0"/>
    <x v="0"/>
  </r>
  <r>
    <x v="116"/>
    <n v="4028899001126"/>
    <x v="1"/>
    <s v="Krmivo a maškrty – Psy"/>
    <s v="Pup Republic"/>
    <n v="2.8"/>
    <n v="3"/>
    <s v="NULL"/>
    <s v=""/>
    <d v="2025-01-31T00:00:00"/>
    <n v="0"/>
    <n v="8.3999999999999986"/>
    <x v="0"/>
    <x v="0"/>
    <x v="0"/>
  </r>
  <r>
    <x v="117"/>
    <n v="4061011223346"/>
    <x v="3"/>
    <s v="Oblečenie a doplnky – Psy"/>
    <s v="Tail Trend"/>
    <n v="19.600000000000001"/>
    <n v="1"/>
    <s v="NULL"/>
    <s v=""/>
    <d v="2025-01-21T00:00:00"/>
    <n v="0"/>
    <n v="19.600000000000001"/>
    <x v="0"/>
    <x v="0"/>
    <x v="0"/>
  </r>
  <r>
    <x v="117"/>
    <n v="4013456789017"/>
    <x v="0"/>
    <s v="Krmivo a maškrty – Psy"/>
    <s v="Snouty"/>
    <n v="6"/>
    <n v="2"/>
    <s v="NULL"/>
    <s v=""/>
    <d v="2025-01-31T00:00:00"/>
    <n v="0"/>
    <n v="12"/>
    <x v="0"/>
    <x v="0"/>
    <x v="0"/>
  </r>
  <r>
    <x v="118"/>
    <n v="4028899001126"/>
    <x v="1"/>
    <s v="Krmivo a maškrty – Psy"/>
    <s v="Pup Republic"/>
    <n v="2.8"/>
    <n v="5"/>
    <s v="NULL"/>
    <s v=""/>
    <d v="2025-01-21T00:00:00"/>
    <n v="0"/>
    <n v="14"/>
    <x v="0"/>
    <x v="0"/>
    <x v="0"/>
  </r>
  <r>
    <x v="118"/>
    <n v="4040123456795"/>
    <x v="2"/>
    <s v="Starostlivosť a hygiena – Psy"/>
    <s v="Dogissimo"/>
    <n v="8.8000000000000007"/>
    <n v="1"/>
    <s v="5"/>
    <s v="Najlepší šampón, aký sme mali"/>
    <d v="2025-01-31T00:00:00"/>
    <n v="0"/>
    <n v="8.8000000000000007"/>
    <x v="2"/>
    <x v="0"/>
    <x v="0"/>
  </r>
  <r>
    <x v="119"/>
    <n v="4013456789017"/>
    <x v="0"/>
    <s v="Krmivo a maškrty – Psy"/>
    <s v="Snouty"/>
    <n v="6"/>
    <n v="2"/>
    <s v="NULL"/>
    <s v=""/>
    <d v="2025-01-21T00:00:00"/>
    <n v="0"/>
    <n v="12"/>
    <x v="0"/>
    <x v="0"/>
    <x v="0"/>
  </r>
  <r>
    <x v="119"/>
    <n v="4061011223346"/>
    <x v="3"/>
    <s v="Oblečenie a doplnky – Psy"/>
    <s v="Tail Trend"/>
    <n v="19.600000000000001"/>
    <n v="1"/>
    <s v="NULL"/>
    <s v=""/>
    <d v="2025-01-31T00:00:00"/>
    <n v="0"/>
    <n v="19.600000000000001"/>
    <x v="0"/>
    <x v="0"/>
    <x v="0"/>
  </r>
  <r>
    <x v="120"/>
    <n v="4017890123450"/>
    <x v="16"/>
    <s v="Hračky – Psy"/>
    <s v="Dogissimo"/>
    <n v="7.6"/>
    <n v="1"/>
    <s v="NULL"/>
    <s v=""/>
    <d v="2025-01-31T00:00:00"/>
    <n v="0"/>
    <n v="7.6"/>
    <x v="0"/>
    <x v="0"/>
    <x v="0"/>
  </r>
  <r>
    <x v="120"/>
    <n v="4063456789014"/>
    <x v="15"/>
    <s v="Krmivo a maškrty – Psy"/>
    <s v="Pupco"/>
    <n v="36"/>
    <n v="1"/>
    <s v="4"/>
    <s v="Pes spokojný, balenie vydrží"/>
    <d v="2025-01-21T00:00:00"/>
    <n v="0"/>
    <n v="36"/>
    <x v="1"/>
    <x v="0"/>
    <x v="0"/>
  </r>
  <r>
    <x v="121"/>
    <n v="4056789012345"/>
    <x v="11"/>
    <s v="Krmivo a maškrty – Mačky"/>
    <s v="BellaMeow"/>
    <n v="2.4"/>
    <n v="3"/>
    <s v="3"/>
    <s v="Mačka zje, ale ne nadšene"/>
    <d v="2025-01-31T00:00:00"/>
    <n v="0"/>
    <n v="7.1999999999999993"/>
    <x v="3"/>
    <x v="0"/>
    <x v="1"/>
  </r>
  <r>
    <x v="121"/>
    <n v="4010123456783"/>
    <x v="6"/>
    <s v="Starostlivosť a hygiena – Mačky"/>
    <s v="BellaMeow"/>
    <n v="14"/>
    <n v="1"/>
    <s v="NULL"/>
    <s v=""/>
    <d v="2025-01-21T00:00:00"/>
    <n v="0"/>
    <n v="14"/>
    <x v="0"/>
    <x v="0"/>
    <x v="1"/>
  </r>
  <r>
    <x v="122"/>
    <n v="4063456789014"/>
    <x v="15"/>
    <s v="Krmivo a maškrty – Psy"/>
    <s v="Pupco"/>
    <n v="36"/>
    <n v="1"/>
    <s v="NULL"/>
    <s v=""/>
    <d v="2025-01-31T00:00:00"/>
    <n v="0"/>
    <n v="36"/>
    <x v="0"/>
    <x v="0"/>
    <x v="0"/>
  </r>
  <r>
    <x v="122"/>
    <n v="4028899001126"/>
    <x v="1"/>
    <s v="Krmivo a maškrty – Psy"/>
    <s v="Pup Republic"/>
    <n v="2.8"/>
    <n v="3"/>
    <s v="NULL"/>
    <s v=""/>
    <d v="2025-01-21T00:00:00"/>
    <n v="0"/>
    <n v="8.3999999999999986"/>
    <x v="0"/>
    <x v="0"/>
    <x v="0"/>
  </r>
  <r>
    <x v="123"/>
    <n v="4013456789017"/>
    <x v="0"/>
    <s v="Krmivo a maškrty – Psy"/>
    <s v="Snouty"/>
    <n v="6"/>
    <n v="2"/>
    <s v="NULL"/>
    <s v=""/>
    <d v="2025-01-21T00:00:00"/>
    <n v="0"/>
    <n v="12"/>
    <x v="0"/>
    <x v="0"/>
    <x v="0"/>
  </r>
  <r>
    <x v="124"/>
    <n v="4028899001126"/>
    <x v="1"/>
    <s v="Krmivo a maškrty – Psy"/>
    <s v="Pup Republic"/>
    <n v="2.8"/>
    <n v="3"/>
    <s v="NULL"/>
    <s v=""/>
    <d v="2025-01-21T00:00:00"/>
    <n v="0"/>
    <n v="8.3999999999999986"/>
    <x v="0"/>
    <x v="0"/>
    <x v="0"/>
  </r>
  <r>
    <x v="125"/>
    <n v="4040123456795"/>
    <x v="2"/>
    <s v="Starostlivosť a hygiena – Psy"/>
    <s v="Dogissimo"/>
    <n v="8.8000000000000007"/>
    <n v="1"/>
    <s v="NULL"/>
    <s v=""/>
    <d v="2025-01-21T00:00:00"/>
    <n v="0"/>
    <n v="8.8000000000000007"/>
    <x v="0"/>
    <x v="0"/>
    <x v="0"/>
  </r>
  <r>
    <x v="126"/>
    <n v="4056789012345"/>
    <x v="11"/>
    <s v="Krmivo a maškrty – Mačky"/>
    <s v="BellaMeow"/>
    <n v="2.4"/>
    <n v="3"/>
    <s v="NULL"/>
    <s v=""/>
    <d v="2025-01-21T00:00:00"/>
    <n v="0"/>
    <n v="7.1999999999999993"/>
    <x v="0"/>
    <x v="0"/>
    <x v="1"/>
  </r>
  <r>
    <x v="127"/>
    <n v="4017890123450"/>
    <x v="16"/>
    <s v="Hračky – Psy"/>
    <s v="Dogissimo"/>
    <n v="7.6"/>
    <n v="1"/>
    <s v="4"/>
    <s v="Zábava pre malého psa"/>
    <d v="2025-01-21T00:00:00"/>
    <n v="0"/>
    <n v="7.6"/>
    <x v="1"/>
    <x v="0"/>
    <x v="0"/>
  </r>
  <r>
    <x v="128"/>
    <n v="4067890123456"/>
    <x v="17"/>
    <s v="Krmivo a maškrty – Mačky"/>
    <s v="PawStyle"/>
    <n v="36"/>
    <n v="1"/>
    <s v="NULL"/>
    <s v=""/>
    <d v="2025-01-21T00:00:00"/>
    <n v="0"/>
    <n v="36"/>
    <x v="0"/>
    <x v="0"/>
    <x v="1"/>
  </r>
  <r>
    <x v="129"/>
    <n v="4023456789012"/>
    <x v="13"/>
    <s v="Krmivo a maškrty – Mačky"/>
    <s v="Mr. Whiskers"/>
    <n v="4"/>
    <n v="2"/>
    <s v="NULL"/>
    <s v=""/>
    <d v="2025-01-21T00:00:00"/>
    <n v="0"/>
    <n v="8"/>
    <x v="0"/>
    <x v="0"/>
    <x v="1"/>
  </r>
  <r>
    <x v="130"/>
    <n v="4021234567894"/>
    <x v="18"/>
    <s v="Starostlivosť a hygiena – Mačky"/>
    <s v="PawStyle"/>
    <n v="8"/>
    <n v="1"/>
    <s v="NULL"/>
    <s v=""/>
    <d v="2025-01-21T00:00:00"/>
    <n v="0"/>
    <n v="8"/>
    <x v="0"/>
    <x v="0"/>
    <x v="1"/>
  </r>
  <r>
    <x v="131"/>
    <n v="4028899001126"/>
    <x v="1"/>
    <s v="Krmivo a maškrty – Psy"/>
    <s v="Pup Republic"/>
    <n v="2.8"/>
    <n v="4"/>
    <s v="NULL"/>
    <s v=""/>
    <d v="2025-01-21T00:00:00"/>
    <n v="0"/>
    <n v="11.2"/>
    <x v="0"/>
    <x v="0"/>
    <x v="0"/>
  </r>
  <r>
    <x v="132"/>
    <n v="4013456789017"/>
    <x v="0"/>
    <s v="Krmivo a maškrty – Psy"/>
    <s v="Snouty"/>
    <n v="6"/>
    <n v="2"/>
    <s v="NULL"/>
    <s v=""/>
    <d v="2025-01-21T00:00:00"/>
    <n v="0"/>
    <n v="12"/>
    <x v="0"/>
    <x v="0"/>
    <x v="0"/>
  </r>
  <r>
    <x v="133"/>
    <n v="4056789012345"/>
    <x v="11"/>
    <s v="Krmivo a maškrty – Mačky"/>
    <s v="BellaMeow"/>
    <n v="2.4"/>
    <n v="2"/>
    <s v="NULL"/>
    <s v=""/>
    <d v="2025-01-21T00:00:00"/>
    <n v="0"/>
    <n v="4.8"/>
    <x v="0"/>
    <x v="0"/>
    <x v="1"/>
  </r>
  <r>
    <x v="134"/>
    <n v="4063456789014"/>
    <x v="15"/>
    <s v="Krmivo a maškrty – Psy"/>
    <s v="Pupco"/>
    <n v="36"/>
    <n v="1"/>
    <s v="NULL"/>
    <s v=""/>
    <d v="2025-01-21T00:00:00"/>
    <n v="0"/>
    <n v="36"/>
    <x v="0"/>
    <x v="0"/>
    <x v="0"/>
  </r>
  <r>
    <x v="135"/>
    <n v="4028899001126"/>
    <x v="1"/>
    <s v="Krmivo a maškrty – Psy"/>
    <s v="Pup Republic"/>
    <n v="2.8"/>
    <n v="3"/>
    <s v="3"/>
    <s v="Levné a chutné"/>
    <d v="2025-01-22T00:00:00"/>
    <n v="0"/>
    <n v="8.3999999999999986"/>
    <x v="3"/>
    <x v="0"/>
    <x v="0"/>
  </r>
  <r>
    <x v="136"/>
    <n v="4013456789017"/>
    <x v="0"/>
    <s v="Krmivo a maškrty – Psy"/>
    <s v="Snouty"/>
    <n v="6"/>
    <n v="1"/>
    <s v="NULL"/>
    <s v=""/>
    <d v="2025-01-22T00:00:00"/>
    <n v="0"/>
    <n v="6"/>
    <x v="0"/>
    <x v="0"/>
    <x v="0"/>
  </r>
  <r>
    <x v="137"/>
    <n v="4040123456795"/>
    <x v="2"/>
    <s v="Starostlivosť a hygiena – Psy"/>
    <s v="Dogissimo"/>
    <n v="8.8000000000000007"/>
    <n v="1"/>
    <s v="NULL"/>
    <s v=""/>
    <d v="2025-01-22T00:00:00"/>
    <n v="0"/>
    <n v="8.8000000000000007"/>
    <x v="0"/>
    <x v="0"/>
    <x v="0"/>
  </r>
  <r>
    <x v="138"/>
    <n v="4010123456783"/>
    <x v="6"/>
    <s v="Starostlivosť a hygiena – Mačky"/>
    <s v="BellaMeow"/>
    <n v="14"/>
    <n v="1"/>
    <s v="NULL"/>
    <s v=""/>
    <d v="2025-01-22T00:00:00"/>
    <n v="0"/>
    <n v="14"/>
    <x v="0"/>
    <x v="0"/>
    <x v="1"/>
  </r>
  <r>
    <x v="139"/>
    <n v="4028899001126"/>
    <x v="1"/>
    <s v="Krmivo a maškrty – Psy"/>
    <s v="Pup Republic"/>
    <n v="2.8"/>
    <n v="3"/>
    <s v="NULL"/>
    <s v=""/>
    <d v="2025-01-22T00:00:00"/>
    <n v="0"/>
    <n v="8.3999999999999986"/>
    <x v="0"/>
    <x v="0"/>
    <x v="0"/>
  </r>
  <r>
    <x v="140"/>
    <n v="4013456789017"/>
    <x v="0"/>
    <s v="Krmivo a maškrty – Psy"/>
    <s v="Snouty"/>
    <n v="6"/>
    <n v="1"/>
    <s v="NULL"/>
    <s v=""/>
    <d v="2025-01-22T00:00:00"/>
    <n v="0"/>
    <n v="6"/>
    <x v="0"/>
    <x v="0"/>
    <x v="0"/>
  </r>
  <r>
    <x v="141"/>
    <n v="4063456789014"/>
    <x v="15"/>
    <s v="Krmivo a maškrty – Psy"/>
    <s v="Pupco"/>
    <n v="36"/>
    <n v="1"/>
    <s v="NULL"/>
    <s v=""/>
    <d v="2025-01-22T00:00:00"/>
    <n v="0"/>
    <n v="36"/>
    <x v="0"/>
    <x v="0"/>
    <x v="0"/>
  </r>
  <r>
    <x v="142"/>
    <n v="4021234567894"/>
    <x v="18"/>
    <s v="Starostlivosť a hygiena – Mačky"/>
    <s v="PawStyle"/>
    <n v="8"/>
    <n v="1"/>
    <s v="NULL"/>
    <s v=""/>
    <d v="2025-01-22T00:00:00"/>
    <n v="0"/>
    <n v="8"/>
    <x v="0"/>
    <x v="0"/>
    <x v="1"/>
  </r>
  <r>
    <x v="143"/>
    <n v="4061011223346"/>
    <x v="3"/>
    <s v="Oblečenie a doplnky – Psy"/>
    <s v="Tail Trend"/>
    <n v="19.600000000000001"/>
    <n v="1"/>
    <s v="NULL"/>
    <s v=""/>
    <d v="2025-01-22T00:00:00"/>
    <n v="0"/>
    <n v="19.600000000000001"/>
    <x v="0"/>
    <x v="0"/>
    <x v="0"/>
  </r>
  <r>
    <x v="144"/>
    <n v="4028899001126"/>
    <x v="1"/>
    <s v="Krmivo a maškrty – Psy"/>
    <s v="Pup Republic"/>
    <n v="2.8"/>
    <n v="4"/>
    <s v="4"/>
    <s v="Naše klasika"/>
    <d v="2025-01-22T00:00:00"/>
    <n v="0"/>
    <n v="11.2"/>
    <x v="1"/>
    <x v="0"/>
    <x v="0"/>
  </r>
  <r>
    <x v="145"/>
    <n v="4013456789017"/>
    <x v="0"/>
    <s v="Krmivo a maškrty – Psy"/>
    <s v="Snouty"/>
    <n v="6"/>
    <n v="2"/>
    <s v="NULL"/>
    <s v=""/>
    <d v="2025-01-22T00:00:00"/>
    <n v="0"/>
    <n v="12"/>
    <x v="0"/>
    <x v="0"/>
    <x v="0"/>
  </r>
  <r>
    <x v="146"/>
    <n v="4056789012345"/>
    <x v="11"/>
    <s v="Krmivo a maškrty – Mačky"/>
    <s v="BellaMeow"/>
    <n v="2.4"/>
    <n v="2"/>
    <s v="NULL"/>
    <s v=""/>
    <d v="2025-01-22T00:00:00"/>
    <n v="0"/>
    <n v="4.8"/>
    <x v="0"/>
    <x v="0"/>
    <x v="1"/>
  </r>
  <r>
    <x v="147"/>
    <n v="4063456789014"/>
    <x v="15"/>
    <s v="Krmivo a maškrty – Psy"/>
    <s v="Pupco"/>
    <n v="36"/>
    <n v="1"/>
    <s v="4"/>
    <s v="Pes má energii"/>
    <d v="2025-01-22T00:00:00"/>
    <n v="0"/>
    <n v="36"/>
    <x v="1"/>
    <x v="0"/>
    <x v="0"/>
  </r>
  <r>
    <x v="148"/>
    <n v="4026677889902"/>
    <x v="12"/>
    <s v="Misky a kŕmne doplnky – Ostatné"/>
    <s v="Pawsitive Gear"/>
    <n v="7.6"/>
    <n v="1"/>
    <s v="NULL"/>
    <s v=""/>
    <d v="2025-01-22T00:00:00"/>
    <n v="0"/>
    <n v="7.6"/>
    <x v="0"/>
    <x v="0"/>
    <x v="2"/>
  </r>
  <r>
    <x v="149"/>
    <n v="4028899001126"/>
    <x v="1"/>
    <s v="Krmivo a maškrty – Psy"/>
    <s v="Pup Republic"/>
    <n v="2.8"/>
    <n v="3"/>
    <s v="NULL"/>
    <s v=""/>
    <d v="2025-01-22T00:00:00"/>
    <n v="0"/>
    <n v="8.3999999999999986"/>
    <x v="0"/>
    <x v="0"/>
    <x v="0"/>
  </r>
  <r>
    <x v="150"/>
    <n v="4013456789017"/>
    <x v="0"/>
    <s v="Krmivo a maškrty – Psy"/>
    <s v="Snouty"/>
    <n v="6"/>
    <n v="2"/>
    <s v="NULL"/>
    <s v=""/>
    <d v="2025-01-22T00:00:00"/>
    <n v="0"/>
    <n v="12"/>
    <x v="0"/>
    <x v="0"/>
    <x v="0"/>
  </r>
  <r>
    <x v="151"/>
    <n v="4017890123450"/>
    <x v="16"/>
    <s v="Hračky – Psy"/>
    <s v="Dogissimo"/>
    <n v="7.6"/>
    <n v="1"/>
    <s v="NULL"/>
    <s v=""/>
    <d v="2025-01-22T00:00:00"/>
    <n v="0"/>
    <n v="7.6"/>
    <x v="0"/>
    <x v="0"/>
    <x v="0"/>
  </r>
  <r>
    <x v="152"/>
    <n v="4056789012345"/>
    <x v="11"/>
    <s v="Krmivo a maškrty – Mačky"/>
    <s v="BellaMeow"/>
    <n v="2.4"/>
    <n v="2"/>
    <s v="2"/>
    <s v="Mačka to nechce"/>
    <d v="2025-01-22T00:00:00"/>
    <n v="1"/>
    <n v="4.8"/>
    <x v="4"/>
    <x v="0"/>
    <x v="1"/>
  </r>
  <r>
    <x v="153"/>
    <n v="4028899001126"/>
    <x v="1"/>
    <s v="Krmivo a maškrty – Psy"/>
    <s v="Pup Republic"/>
    <n v="2.8"/>
    <n v="5"/>
    <s v="5"/>
    <s v="Výborné ako vždy"/>
    <d v="2025-01-23T00:00:00"/>
    <n v="0"/>
    <n v="14"/>
    <x v="2"/>
    <x v="0"/>
    <x v="0"/>
  </r>
  <r>
    <x v="154"/>
    <n v="4013456789017"/>
    <x v="0"/>
    <s v="Krmivo a maškrty – Psy"/>
    <s v="Snouty"/>
    <n v="6"/>
    <n v="2"/>
    <s v="NULL"/>
    <s v=""/>
    <d v="2025-01-23T00:00:00"/>
    <n v="0"/>
    <n v="12"/>
    <x v="0"/>
    <x v="0"/>
    <x v="0"/>
  </r>
  <r>
    <x v="155"/>
    <n v="4040123456795"/>
    <x v="2"/>
    <s v="Starostlivosť a hygiena – Psy"/>
    <s v="Dogissimo"/>
    <n v="8.8000000000000007"/>
    <n v="1"/>
    <s v="NULL"/>
    <s v=""/>
    <d v="2025-01-23T00:00:00"/>
    <n v="0"/>
    <n v="8.8000000000000007"/>
    <x v="0"/>
    <x v="0"/>
    <x v="0"/>
  </r>
  <r>
    <x v="156"/>
    <n v="4010123456783"/>
    <x v="6"/>
    <s v="Starostlivosť a hygiena – Mačky"/>
    <s v="BellaMeow"/>
    <n v="14"/>
    <n v="1"/>
    <s v="NULL"/>
    <s v=""/>
    <d v="2025-01-23T00:00:00"/>
    <n v="0"/>
    <n v="14"/>
    <x v="0"/>
    <x v="0"/>
    <x v="1"/>
  </r>
  <r>
    <x v="157"/>
    <n v="4028899001126"/>
    <x v="1"/>
    <s v="Krmivo a maškrty – Psy"/>
    <s v="Pup Republic"/>
    <n v="2.8"/>
    <n v="3"/>
    <s v="NULL"/>
    <s v=""/>
    <d v="2025-01-23T00:00:00"/>
    <n v="0"/>
    <n v="8.3999999999999986"/>
    <x v="0"/>
    <x v="0"/>
    <x v="0"/>
  </r>
  <r>
    <x v="158"/>
    <n v="4013456789017"/>
    <x v="0"/>
    <s v="Krmivo a maškrty – Psy"/>
    <s v="Snouty"/>
    <n v="6"/>
    <n v="1"/>
    <s v="NULL"/>
    <s v=""/>
    <d v="2025-01-23T00:00:00"/>
    <n v="0"/>
    <n v="6"/>
    <x v="0"/>
    <x v="0"/>
    <x v="0"/>
  </r>
  <r>
    <x v="159"/>
    <n v="4063456789014"/>
    <x v="15"/>
    <s v="Krmivo a maškrty – Psy"/>
    <s v="Pupco"/>
    <n v="36"/>
    <n v="1"/>
    <s v="NULL"/>
    <s v=""/>
    <d v="2025-01-23T00:00:00"/>
    <n v="0"/>
    <n v="36"/>
    <x v="0"/>
    <x v="0"/>
    <x v="0"/>
  </r>
  <r>
    <x v="160"/>
    <n v="4021234567894"/>
    <x v="18"/>
    <s v="Starostlivosť a hygiena – Mačky"/>
    <s v="PawStyle"/>
    <n v="8"/>
    <n v="1"/>
    <s v="NULL"/>
    <s v=""/>
    <d v="2025-01-23T00:00:00"/>
    <n v="0"/>
    <n v="8"/>
    <x v="0"/>
    <x v="0"/>
    <x v="1"/>
  </r>
  <r>
    <x v="161"/>
    <n v="4061011223346"/>
    <x v="3"/>
    <s v="Oblečenie a doplnky – Psy"/>
    <s v="Tail Trend"/>
    <n v="19.600000000000001"/>
    <n v="1"/>
    <s v="NULL"/>
    <s v=""/>
    <d v="2025-01-23T00:00:00"/>
    <n v="0"/>
    <n v="19.600000000000001"/>
    <x v="0"/>
    <x v="0"/>
    <x v="0"/>
  </r>
  <r>
    <x v="162"/>
    <n v="4028899001126"/>
    <x v="1"/>
    <s v="Krmivo a maškrty – Psy"/>
    <s v="Pup Republic"/>
    <n v="2.8"/>
    <n v="4"/>
    <s v="NULL"/>
    <s v=""/>
    <d v="2025-01-23T00:00:00"/>
    <n v="0"/>
    <n v="11.2"/>
    <x v="0"/>
    <x v="0"/>
    <x v="0"/>
  </r>
  <r>
    <x v="163"/>
    <n v="4013456789017"/>
    <x v="0"/>
    <s v="Krmivo a maškrty – Psy"/>
    <s v="Snouty"/>
    <n v="6"/>
    <n v="2"/>
    <s v="NULL"/>
    <s v=""/>
    <d v="2025-01-23T00:00:00"/>
    <n v="0"/>
    <n v="12"/>
    <x v="0"/>
    <x v="0"/>
    <x v="0"/>
  </r>
  <r>
    <x v="164"/>
    <n v="4056789012345"/>
    <x v="11"/>
    <s v="Krmivo a maškrty – Mačky"/>
    <s v="BellaMeow"/>
    <n v="2.4"/>
    <n v="3"/>
    <s v="3"/>
    <s v="Sní, ale ne s chuťou"/>
    <d v="2025-01-23T00:00:00"/>
    <n v="0"/>
    <n v="7.1999999999999993"/>
    <x v="3"/>
    <x v="0"/>
    <x v="1"/>
  </r>
  <r>
    <x v="165"/>
    <n v="4063456789014"/>
    <x v="15"/>
    <s v="Krmivo a maškrty – Psy"/>
    <s v="Pupco"/>
    <n v="36"/>
    <n v="1"/>
    <s v="NULL"/>
    <s v=""/>
    <d v="2025-01-23T00:00:00"/>
    <n v="0"/>
    <n v="36"/>
    <x v="0"/>
    <x v="0"/>
    <x v="0"/>
  </r>
  <r>
    <x v="166"/>
    <n v="4026677889902"/>
    <x v="12"/>
    <s v="Misky a kŕmne doplnky – Ostatné"/>
    <s v="Pawsitive Gear"/>
    <n v="7.6"/>
    <n v="1"/>
    <s v="NULL"/>
    <s v=""/>
    <d v="2025-01-23T00:00:00"/>
    <n v="0"/>
    <n v="7.6"/>
    <x v="0"/>
    <x v="0"/>
    <x v="2"/>
  </r>
  <r>
    <x v="167"/>
    <n v="4028899001126"/>
    <x v="1"/>
    <s v="Krmivo a maškrty – Psy"/>
    <s v="Pup Republic"/>
    <n v="2.8"/>
    <n v="5"/>
    <s v="4"/>
    <s v="Pes nadšený, levné kŕmenie"/>
    <d v="2025-01-24T00:00:00"/>
    <n v="0"/>
    <n v="14"/>
    <x v="1"/>
    <x v="0"/>
    <x v="0"/>
  </r>
  <r>
    <x v="168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169"/>
    <n v="4040123456795"/>
    <x v="2"/>
    <s v="Starostlivosť a hygiena – Psy"/>
    <s v="Dogissimo"/>
    <n v="8.8000000000000007"/>
    <n v="1"/>
    <s v="NULL"/>
    <s v=""/>
    <d v="2025-01-24T00:00:00"/>
    <n v="0"/>
    <n v="8.8000000000000007"/>
    <x v="0"/>
    <x v="0"/>
    <x v="0"/>
  </r>
  <r>
    <x v="170"/>
    <n v="4010123456783"/>
    <x v="6"/>
    <s v="Starostlivosť a hygiena – Mačky"/>
    <s v="BellaMeow"/>
    <n v="14"/>
    <n v="1"/>
    <s v="NULL"/>
    <s v=""/>
    <d v="2025-01-24T00:00:00"/>
    <n v="0"/>
    <n v="14"/>
    <x v="0"/>
    <x v="0"/>
    <x v="1"/>
  </r>
  <r>
    <x v="171"/>
    <n v="4028899001126"/>
    <x v="1"/>
    <s v="Krmivo a maškrty – Psy"/>
    <s v="Pup Republic"/>
    <n v="2.8"/>
    <n v="3"/>
    <s v="NULL"/>
    <s v=""/>
    <d v="2025-01-24T00:00:00"/>
    <n v="0"/>
    <n v="8.3999999999999986"/>
    <x v="0"/>
    <x v="0"/>
    <x v="0"/>
  </r>
  <r>
    <x v="172"/>
    <n v="4013456789017"/>
    <x v="0"/>
    <s v="Krmivo a maškrty – Psy"/>
    <s v="Snouty"/>
    <n v="6"/>
    <n v="1"/>
    <s v="NULL"/>
    <s v=""/>
    <d v="2025-01-24T00:00:00"/>
    <n v="0"/>
    <n v="6"/>
    <x v="0"/>
    <x v="0"/>
    <x v="0"/>
  </r>
  <r>
    <x v="173"/>
    <n v="4063456789014"/>
    <x v="15"/>
    <s v="Krmivo a maškrty – Psy"/>
    <s v="Pupco"/>
    <n v="36"/>
    <n v="1"/>
    <s v="4"/>
    <s v="Pesovaj chutí, žiadne problémy"/>
    <d v="2025-01-24T00:00:00"/>
    <n v="0"/>
    <n v="36"/>
    <x v="1"/>
    <x v="0"/>
    <x v="0"/>
  </r>
  <r>
    <x v="174"/>
    <n v="4021234567894"/>
    <x v="18"/>
    <s v="Starostlivosť a hygiena – Mačky"/>
    <s v="PawStyle"/>
    <n v="8"/>
    <n v="1"/>
    <s v="NULL"/>
    <s v=""/>
    <d v="2025-01-24T00:00:00"/>
    <n v="0"/>
    <n v="8"/>
    <x v="0"/>
    <x v="0"/>
    <x v="1"/>
  </r>
  <r>
    <x v="175"/>
    <n v="4061011223346"/>
    <x v="3"/>
    <s v="Oblečenie a doplnky – Psy"/>
    <s v="Tail Trend"/>
    <n v="19.600000000000001"/>
    <n v="1"/>
    <s v="NULL"/>
    <s v=""/>
    <d v="2025-01-24T00:00:00"/>
    <n v="0"/>
    <n v="19.600000000000001"/>
    <x v="0"/>
    <x v="0"/>
    <x v="0"/>
  </r>
  <r>
    <x v="176"/>
    <n v="4028899001126"/>
    <x v="1"/>
    <s v="Krmivo a maškrty – Psy"/>
    <s v="Pup Republic"/>
    <n v="2.8"/>
    <n v="4"/>
    <s v="NULL"/>
    <s v=""/>
    <d v="2025-01-24T00:00:00"/>
    <n v="0"/>
    <n v="11.2"/>
    <x v="0"/>
    <x v="0"/>
    <x v="0"/>
  </r>
  <r>
    <x v="177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178"/>
    <n v="4056789012345"/>
    <x v="11"/>
    <s v="Krmivo a maškrty – Mačky"/>
    <s v="BellaMeow"/>
    <n v="2.4"/>
    <n v="3"/>
    <s v="NULL"/>
    <s v=""/>
    <d v="2025-01-24T00:00:00"/>
    <n v="0"/>
    <n v="7.1999999999999993"/>
    <x v="0"/>
    <x v="0"/>
    <x v="1"/>
  </r>
  <r>
    <x v="179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180"/>
    <n v="4026677889902"/>
    <x v="12"/>
    <s v="Misky a kŕmne doplnky – Ostatné"/>
    <s v="Pawsitive Gear"/>
    <n v="7.6"/>
    <n v="1"/>
    <s v="NULL"/>
    <s v=""/>
    <d v="2025-01-24T00:00:00"/>
    <n v="0"/>
    <n v="7.6"/>
    <x v="0"/>
    <x v="0"/>
    <x v="2"/>
  </r>
  <r>
    <x v="181"/>
    <n v="4028899001126"/>
    <x v="1"/>
    <s v="Krmivo a maškrty – Psy"/>
    <s v="Pup Republic"/>
    <n v="2.8"/>
    <n v="5"/>
    <s v="NULL"/>
    <s v=""/>
    <d v="2025-01-24T00:00:00"/>
    <n v="0"/>
    <n v="14"/>
    <x v="0"/>
    <x v="0"/>
    <x v="0"/>
  </r>
  <r>
    <x v="182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183"/>
    <n v="4040123456795"/>
    <x v="2"/>
    <s v="Starostlivosť a hygiena – Psy"/>
    <s v="Dogissimo"/>
    <n v="8.8000000000000007"/>
    <n v="1"/>
    <s v="NULL"/>
    <s v=""/>
    <d v="2025-01-24T00:00:00"/>
    <n v="0"/>
    <n v="8.8000000000000007"/>
    <x v="0"/>
    <x v="0"/>
    <x v="0"/>
  </r>
  <r>
    <x v="184"/>
    <n v="4010123456783"/>
    <x v="6"/>
    <s v="Starostlivosť a hygiena – Mačky"/>
    <s v="BellaMeow"/>
    <n v="14"/>
    <n v="1"/>
    <s v="NULL"/>
    <s v=""/>
    <d v="2025-01-24T00:00:00"/>
    <n v="0"/>
    <n v="14"/>
    <x v="0"/>
    <x v="0"/>
    <x v="1"/>
  </r>
  <r>
    <x v="185"/>
    <n v="4028899001126"/>
    <x v="1"/>
    <s v="Krmivo a maškrty – Psy"/>
    <s v="Pup Republic"/>
    <n v="2.8"/>
    <n v="3"/>
    <s v="NULL"/>
    <s v=""/>
    <d v="2025-01-24T00:00:00"/>
    <n v="0"/>
    <n v="8.3999999999999986"/>
    <x v="0"/>
    <x v="0"/>
    <x v="0"/>
  </r>
  <r>
    <x v="186"/>
    <n v="4013456789017"/>
    <x v="0"/>
    <s v="Krmivo a maškrty – Psy"/>
    <s v="Snouty"/>
    <n v="6"/>
    <n v="1"/>
    <s v="NULL"/>
    <s v=""/>
    <d v="2025-01-24T00:00:00"/>
    <n v="0"/>
    <n v="6"/>
    <x v="0"/>
    <x v="0"/>
    <x v="0"/>
  </r>
  <r>
    <x v="187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188"/>
    <n v="4021234567894"/>
    <x v="18"/>
    <s v="Starostlivosť a hygiena – Mačky"/>
    <s v="PawStyle"/>
    <n v="8"/>
    <n v="1"/>
    <s v="NULL"/>
    <s v=""/>
    <d v="2025-01-24T00:00:00"/>
    <n v="0"/>
    <n v="8"/>
    <x v="0"/>
    <x v="0"/>
    <x v="1"/>
  </r>
  <r>
    <x v="189"/>
    <n v="4061011223346"/>
    <x v="3"/>
    <s v="Oblečenie a doplnky – Psy"/>
    <s v="Tail Trend"/>
    <n v="19.600000000000001"/>
    <n v="1"/>
    <s v="NULL"/>
    <s v=""/>
    <d v="2025-01-24T00:00:00"/>
    <n v="0"/>
    <n v="19.600000000000001"/>
    <x v="0"/>
    <x v="0"/>
    <x v="0"/>
  </r>
  <r>
    <x v="190"/>
    <n v="4028899001126"/>
    <x v="1"/>
    <s v="Krmivo a maškrty – Psy"/>
    <s v="Pup Republic"/>
    <n v="2.8"/>
    <n v="4"/>
    <s v="NULL"/>
    <s v=""/>
    <d v="2025-01-24T00:00:00"/>
    <n v="0"/>
    <n v="11.2"/>
    <x v="0"/>
    <x v="0"/>
    <x v="0"/>
  </r>
  <r>
    <x v="191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192"/>
    <n v="4056789012345"/>
    <x v="11"/>
    <s v="Krmivo a maškrty – Mačky"/>
    <s v="BellaMeow"/>
    <n v="2.4"/>
    <n v="3"/>
    <s v="NULL"/>
    <s v=""/>
    <d v="2025-01-24T00:00:00"/>
    <n v="0"/>
    <n v="7.1999999999999993"/>
    <x v="0"/>
    <x v="0"/>
    <x v="1"/>
  </r>
  <r>
    <x v="193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194"/>
    <n v="4026677889902"/>
    <x v="12"/>
    <s v="Misky a kŕmne doplnky – Ostatné"/>
    <s v="Pawsitive Gear"/>
    <n v="7.6"/>
    <n v="1"/>
    <s v="NULL"/>
    <s v=""/>
    <d v="2025-01-24T00:00:00"/>
    <n v="0"/>
    <n v="7.6"/>
    <x v="0"/>
    <x v="0"/>
    <x v="2"/>
  </r>
  <r>
    <x v="195"/>
    <n v="4028899001126"/>
    <x v="1"/>
    <s v="Krmivo a maškrty – Psy"/>
    <s v="Pup Republic"/>
    <n v="2.8"/>
    <n v="5"/>
    <s v="NULL"/>
    <s v=""/>
    <d v="2025-01-24T00:00:00"/>
    <n v="0"/>
    <n v="14"/>
    <x v="0"/>
    <x v="0"/>
    <x v="0"/>
  </r>
  <r>
    <x v="196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197"/>
    <n v="4040123456795"/>
    <x v="2"/>
    <s v="Starostlivosť a hygiena – Psy"/>
    <s v="Dogissimo"/>
    <n v="8.8000000000000007"/>
    <n v="1"/>
    <s v="NULL"/>
    <s v=""/>
    <d v="2025-01-24T00:00:00"/>
    <n v="0"/>
    <n v="8.8000000000000007"/>
    <x v="0"/>
    <x v="0"/>
    <x v="0"/>
  </r>
  <r>
    <x v="198"/>
    <n v="4010123456783"/>
    <x v="6"/>
    <s v="Starostlivosť a hygiena – Mačky"/>
    <s v="BellaMeow"/>
    <n v="14"/>
    <n v="1"/>
    <s v="NULL"/>
    <s v=""/>
    <d v="2025-01-24T00:00:00"/>
    <n v="0"/>
    <n v="14"/>
    <x v="0"/>
    <x v="0"/>
    <x v="1"/>
  </r>
  <r>
    <x v="199"/>
    <n v="4028899001126"/>
    <x v="1"/>
    <s v="Krmivo a maškrty – Psy"/>
    <s v="Pup Republic"/>
    <n v="2.8"/>
    <n v="3"/>
    <s v="NULL"/>
    <s v=""/>
    <d v="2025-01-24T00:00:00"/>
    <n v="0"/>
    <n v="8.3999999999999986"/>
    <x v="0"/>
    <x v="0"/>
    <x v="0"/>
  </r>
  <r>
    <x v="200"/>
    <n v="4013456789017"/>
    <x v="0"/>
    <s v="Krmivo a maškrty – Psy"/>
    <s v="Snouty"/>
    <n v="6"/>
    <n v="1"/>
    <s v="NULL"/>
    <s v=""/>
    <d v="2025-01-24T00:00:00"/>
    <n v="0"/>
    <n v="6"/>
    <x v="0"/>
    <x v="0"/>
    <x v="0"/>
  </r>
  <r>
    <x v="201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202"/>
    <n v="4021234567894"/>
    <x v="18"/>
    <s v="Starostlivosť a hygiena – Mačky"/>
    <s v="PawStyle"/>
    <n v="8"/>
    <n v="1"/>
    <s v="NULL"/>
    <s v=""/>
    <d v="2025-01-24T00:00:00"/>
    <n v="0"/>
    <n v="8"/>
    <x v="0"/>
    <x v="0"/>
    <x v="1"/>
  </r>
  <r>
    <x v="203"/>
    <n v="4061011223346"/>
    <x v="3"/>
    <s v="Oblečenie a doplnky – Psy"/>
    <s v="Tail Trend"/>
    <n v="19.600000000000001"/>
    <n v="1"/>
    <s v="NULL"/>
    <s v=""/>
    <d v="2025-01-24T00:00:00"/>
    <n v="0"/>
    <n v="19.600000000000001"/>
    <x v="0"/>
    <x v="0"/>
    <x v="0"/>
  </r>
  <r>
    <x v="204"/>
    <n v="4028899001126"/>
    <x v="1"/>
    <s v="Krmivo a maškrty – Psy"/>
    <s v="Pup Republic"/>
    <n v="2.8"/>
    <n v="4"/>
    <s v="NULL"/>
    <s v=""/>
    <d v="2025-01-24T00:00:00"/>
    <n v="0"/>
    <n v="11.2"/>
    <x v="0"/>
    <x v="0"/>
    <x v="0"/>
  </r>
  <r>
    <x v="205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206"/>
    <n v="4056789012345"/>
    <x v="11"/>
    <s v="Krmivo a maškrty – Mačky"/>
    <s v="BellaMeow"/>
    <n v="2.4"/>
    <n v="3"/>
    <s v="NULL"/>
    <s v=""/>
    <d v="2025-01-24T00:00:00"/>
    <n v="0"/>
    <n v="7.1999999999999993"/>
    <x v="0"/>
    <x v="0"/>
    <x v="1"/>
  </r>
  <r>
    <x v="207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208"/>
    <n v="4026677889902"/>
    <x v="12"/>
    <s v="Misky a kŕmne doplnky – Ostatné"/>
    <s v="Pawsitive Gear"/>
    <n v="7.6"/>
    <n v="1"/>
    <s v="NULL"/>
    <s v=""/>
    <d v="2025-01-24T00:00:00"/>
    <n v="0"/>
    <n v="7.6"/>
    <x v="0"/>
    <x v="0"/>
    <x v="2"/>
  </r>
  <r>
    <x v="209"/>
    <n v="4028899001126"/>
    <x v="1"/>
    <s v="Krmivo a maškrty – Psy"/>
    <s v="Pup Republic"/>
    <n v="2.8"/>
    <n v="5"/>
    <s v="NULL"/>
    <s v=""/>
    <d v="2025-01-24T00:00:00"/>
    <n v="0"/>
    <n v="14"/>
    <x v="0"/>
    <x v="0"/>
    <x v="0"/>
  </r>
  <r>
    <x v="210"/>
    <n v="4013456789017"/>
    <x v="0"/>
    <s v="Krmivo a maškrty – Psy"/>
    <s v="Snouty"/>
    <n v="6"/>
    <n v="2"/>
    <s v="NULL"/>
    <s v=""/>
    <d v="2025-01-24T00:00:00"/>
    <n v="0"/>
    <n v="12"/>
    <x v="0"/>
    <x v="0"/>
    <x v="0"/>
  </r>
  <r>
    <x v="211"/>
    <n v="4040123456795"/>
    <x v="2"/>
    <s v="Starostlivosť a hygiena – Psy"/>
    <s v="Dogissimo"/>
    <n v="8.8000000000000007"/>
    <n v="1"/>
    <s v="NULL"/>
    <s v=""/>
    <d v="2025-01-24T00:00:00"/>
    <n v="0"/>
    <n v="8.8000000000000007"/>
    <x v="0"/>
    <x v="0"/>
    <x v="0"/>
  </r>
  <r>
    <x v="212"/>
    <n v="4010123456783"/>
    <x v="6"/>
    <s v="Starostlivosť a hygiena – Mačky"/>
    <s v="BellaMeow"/>
    <n v="14"/>
    <n v="1"/>
    <s v="NULL"/>
    <s v=""/>
    <d v="2025-01-24T00:00:00"/>
    <n v="0"/>
    <n v="14"/>
    <x v="0"/>
    <x v="0"/>
    <x v="1"/>
  </r>
  <r>
    <x v="213"/>
    <n v="4028899001126"/>
    <x v="1"/>
    <s v="Krmivo a maškrty – Psy"/>
    <s v="Pup Republic"/>
    <n v="2.8"/>
    <n v="3"/>
    <s v="NULL"/>
    <s v=""/>
    <d v="2025-01-24T00:00:00"/>
    <n v="0"/>
    <n v="8.3999999999999986"/>
    <x v="0"/>
    <x v="0"/>
    <x v="0"/>
  </r>
  <r>
    <x v="214"/>
    <n v="4013456789017"/>
    <x v="0"/>
    <s v="Krmivo a maškrty – Psy"/>
    <s v="Snouty"/>
    <n v="6"/>
    <n v="1"/>
    <s v="NULL"/>
    <s v=""/>
    <d v="2025-01-24T00:00:00"/>
    <n v="0"/>
    <n v="6"/>
    <x v="0"/>
    <x v="0"/>
    <x v="0"/>
  </r>
  <r>
    <x v="215"/>
    <n v="4063456789014"/>
    <x v="15"/>
    <s v="Krmivo a maškrty – Psy"/>
    <s v="Pupco"/>
    <n v="36"/>
    <n v="1"/>
    <s v="NULL"/>
    <s v=""/>
    <d v="2025-01-24T00:00:00"/>
    <n v="0"/>
    <n v="36"/>
    <x v="0"/>
    <x v="0"/>
    <x v="0"/>
  </r>
  <r>
    <x v="216"/>
    <n v="4021234567894"/>
    <x v="18"/>
    <s v="Starostlivosť a hygiena – Mačky"/>
    <s v="PawStyle"/>
    <n v="8"/>
    <n v="1"/>
    <s v="NULL"/>
    <s v=""/>
    <d v="2025-01-24T00:00:00"/>
    <n v="0"/>
    <n v="8"/>
    <x v="0"/>
    <x v="0"/>
    <x v="1"/>
  </r>
  <r>
    <x v="217"/>
    <n v="4061011223346"/>
    <x v="3"/>
    <s v="Oblečenie a doplnky – Psy"/>
    <s v="Tail Trend"/>
    <n v="19.600000000000001"/>
    <n v="1"/>
    <s v="NULL"/>
    <s v=""/>
    <d v="2025-01-25T00:00:00"/>
    <n v="0"/>
    <n v="19.600000000000001"/>
    <x v="0"/>
    <x v="0"/>
    <x v="0"/>
  </r>
  <r>
    <x v="218"/>
    <n v="4028899001126"/>
    <x v="1"/>
    <s v="Krmivo a maškrty – Psy"/>
    <s v="Pup Republic"/>
    <n v="2.8"/>
    <n v="5"/>
    <s v="NULL"/>
    <s v=""/>
    <d v="2025-01-25T00:00:00"/>
    <n v="0"/>
    <n v="14"/>
    <x v="0"/>
    <x v="0"/>
    <x v="0"/>
  </r>
  <r>
    <x v="219"/>
    <n v="4013456789017"/>
    <x v="0"/>
    <s v="Krmivo a maškrty – Psy"/>
    <s v="Snouty"/>
    <n v="6"/>
    <n v="2"/>
    <s v="NULL"/>
    <s v=""/>
    <d v="2025-01-25T00:00:00"/>
    <n v="0"/>
    <n v="12"/>
    <x v="0"/>
    <x v="0"/>
    <x v="0"/>
  </r>
  <r>
    <x v="220"/>
    <n v="4063456789014"/>
    <x v="15"/>
    <s v="Krmivo a maškrty – Psy"/>
    <s v="Pupco"/>
    <n v="36"/>
    <n v="1"/>
    <s v="4"/>
    <s v="Pesovaj chutí, dobrá kvalita"/>
    <d v="2025-01-25T00:00:00"/>
    <n v="0"/>
    <n v="36"/>
    <x v="1"/>
    <x v="0"/>
    <x v="0"/>
  </r>
  <r>
    <x v="221"/>
    <n v="4010123456783"/>
    <x v="6"/>
    <s v="Starostlivosť a hygiena – Mačky"/>
    <s v="BellaMeow"/>
    <n v="14"/>
    <n v="1"/>
    <s v="NULL"/>
    <s v=""/>
    <d v="2025-01-25T00:00:00"/>
    <n v="0"/>
    <n v="14"/>
    <x v="0"/>
    <x v="0"/>
    <x v="1"/>
  </r>
  <r>
    <x v="222"/>
    <n v="4028899001126"/>
    <x v="1"/>
    <s v="Krmivo a maškrty – Psy"/>
    <s v="Pup Republic"/>
    <n v="2.8"/>
    <n v="3"/>
    <s v="NULL"/>
    <s v=""/>
    <d v="2025-01-25T00:00:00"/>
    <n v="0"/>
    <n v="8.3999999999999986"/>
    <x v="0"/>
    <x v="0"/>
    <x v="0"/>
  </r>
  <r>
    <x v="223"/>
    <n v="4013456789017"/>
    <x v="0"/>
    <s v="Krmivo a maškrty – Psy"/>
    <s v="Snouty"/>
    <n v="6"/>
    <n v="2"/>
    <s v="NULL"/>
    <s v=""/>
    <d v="2025-01-25T00:00:00"/>
    <n v="0"/>
    <n v="12"/>
    <x v="0"/>
    <x v="0"/>
    <x v="0"/>
  </r>
  <r>
    <x v="224"/>
    <n v="4040123456795"/>
    <x v="2"/>
    <s v="Starostlivosť a hygiena – Psy"/>
    <s v="Dogissimo"/>
    <n v="8.8000000000000007"/>
    <n v="1"/>
    <s v="NULL"/>
    <s v=""/>
    <d v="2025-01-25T00:00:00"/>
    <n v="0"/>
    <n v="8.8000000000000007"/>
    <x v="0"/>
    <x v="0"/>
    <x v="0"/>
  </r>
  <r>
    <x v="225"/>
    <n v="4056789012345"/>
    <x v="11"/>
    <s v="Krmivo a maškrty – Mačky"/>
    <s v="BellaMeow"/>
    <n v="2.4"/>
    <n v="3"/>
    <s v="NULL"/>
    <s v=""/>
    <d v="2025-01-25T00:00:00"/>
    <n v="0"/>
    <n v="7.1999999999999993"/>
    <x v="0"/>
    <x v="0"/>
    <x v="1"/>
  </r>
  <r>
    <x v="226"/>
    <n v="4017890123450"/>
    <x v="16"/>
    <s v="Hračky – Psy"/>
    <s v="Dogissimo"/>
    <n v="7.6"/>
    <n v="1"/>
    <s v="5"/>
    <s v="Pes sa s tým hraje stále"/>
    <d v="2025-01-25T00:00:00"/>
    <n v="0"/>
    <n v="7.6"/>
    <x v="2"/>
    <x v="0"/>
    <x v="0"/>
  </r>
  <r>
    <x v="227"/>
    <n v="4067890123456"/>
    <x v="17"/>
    <s v="Krmivo a maškrty – Mačky"/>
    <s v="PawStyle"/>
    <n v="36"/>
    <n v="1"/>
    <s v="NULL"/>
    <s v=""/>
    <d v="2025-01-25T00:00:00"/>
    <n v="0"/>
    <n v="36"/>
    <x v="0"/>
    <x v="0"/>
    <x v="1"/>
  </r>
  <r>
    <x v="228"/>
    <n v="4023456789012"/>
    <x v="13"/>
    <s v="Krmivo a maškrty – Mačky"/>
    <s v="Mr. Whiskers"/>
    <n v="4"/>
    <n v="2"/>
    <s v="NULL"/>
    <s v=""/>
    <d v="2025-01-25T00:00:00"/>
    <n v="0"/>
    <n v="8"/>
    <x v="0"/>
    <x v="0"/>
    <x v="1"/>
  </r>
  <r>
    <x v="229"/>
    <n v="4021234567894"/>
    <x v="18"/>
    <s v="Starostlivosť a hygiena – Mačky"/>
    <s v="PawStyle"/>
    <n v="8"/>
    <n v="1"/>
    <s v="NULL"/>
    <s v=""/>
    <d v="2025-01-25T00:00:00"/>
    <n v="0"/>
    <n v="8"/>
    <x v="0"/>
    <x v="0"/>
    <x v="1"/>
  </r>
  <r>
    <x v="230"/>
    <n v="4028899001126"/>
    <x v="1"/>
    <s v="Krmivo a maškrty – Psy"/>
    <s v="Pup Republic"/>
    <n v="2.8"/>
    <n v="4"/>
    <s v="NULL"/>
    <s v=""/>
    <d v="2025-01-25T00:00:00"/>
    <n v="0"/>
    <n v="11.2"/>
    <x v="0"/>
    <x v="0"/>
    <x v="0"/>
  </r>
  <r>
    <x v="231"/>
    <n v="4013456789017"/>
    <x v="0"/>
    <s v="Krmivo a maškrty – Psy"/>
    <s v="Snouty"/>
    <n v="6"/>
    <n v="2"/>
    <s v="NULL"/>
    <s v=""/>
    <d v="2025-01-25T00:00:00"/>
    <n v="0"/>
    <n v="12"/>
    <x v="0"/>
    <x v="0"/>
    <x v="0"/>
  </r>
  <r>
    <x v="232"/>
    <n v="4056789012345"/>
    <x v="11"/>
    <s v="Krmivo a maškrty – Mačky"/>
    <s v="BellaMeow"/>
    <n v="2.4"/>
    <n v="2"/>
    <s v="NULL"/>
    <s v=""/>
    <d v="2025-01-25T00:00:00"/>
    <n v="0"/>
    <n v="4.8"/>
    <x v="0"/>
    <x v="0"/>
    <x v="1"/>
  </r>
  <r>
    <x v="233"/>
    <n v="4063456789014"/>
    <x v="15"/>
    <s v="Krmivo a maškrty – Psy"/>
    <s v="Pupco"/>
    <n v="36"/>
    <n v="1"/>
    <s v="NULL"/>
    <s v=""/>
    <d v="2025-01-25T00:00:00"/>
    <n v="0"/>
    <n v="36"/>
    <x v="0"/>
    <x v="0"/>
    <x v="0"/>
  </r>
  <r>
    <x v="234"/>
    <n v="4028899001126"/>
    <x v="1"/>
    <s v="Krmivo a maškrty – Psy"/>
    <s v="Pup Republic"/>
    <n v="2.8"/>
    <n v="3"/>
    <s v="4"/>
    <s v="Pes to miluje"/>
    <d v="2025-01-25T00:00:00"/>
    <n v="0"/>
    <n v="8.3999999999999986"/>
    <x v="1"/>
    <x v="0"/>
    <x v="0"/>
  </r>
  <r>
    <x v="235"/>
    <n v="4013456789017"/>
    <x v="0"/>
    <s v="Krmivo a maškrty – Psy"/>
    <s v="Snouty"/>
    <n v="6"/>
    <n v="1"/>
    <s v="NULL"/>
    <s v=""/>
    <d v="2025-01-25T00:00:00"/>
    <n v="0"/>
    <n v="6"/>
    <x v="0"/>
    <x v="0"/>
    <x v="0"/>
  </r>
  <r>
    <x v="236"/>
    <n v="4040123456795"/>
    <x v="2"/>
    <s v="Starostlivosť a hygiena – Psy"/>
    <s v="Dogissimo"/>
    <n v="8.8000000000000007"/>
    <n v="1"/>
    <s v="NULL"/>
    <s v=""/>
    <d v="2025-01-25T00:00:00"/>
    <n v="0"/>
    <n v="8.8000000000000007"/>
    <x v="0"/>
    <x v="0"/>
    <x v="0"/>
  </r>
  <r>
    <x v="237"/>
    <n v="4010123456783"/>
    <x v="6"/>
    <s v="Starostlivosť a hygiena – Mačky"/>
    <s v="BellaMeow"/>
    <n v="14"/>
    <n v="1"/>
    <s v="NULL"/>
    <s v=""/>
    <d v="2025-01-25T00:00:00"/>
    <n v="0"/>
    <n v="14"/>
    <x v="0"/>
    <x v="0"/>
    <x v="1"/>
  </r>
  <r>
    <x v="238"/>
    <n v="4028899001126"/>
    <x v="1"/>
    <s v="Krmivo a maškrty – Psy"/>
    <s v="Pup Republic"/>
    <n v="2.8"/>
    <n v="3"/>
    <s v="NULL"/>
    <s v=""/>
    <d v="2025-01-25T00:00:00"/>
    <n v="0"/>
    <n v="8.3999999999999986"/>
    <x v="0"/>
    <x v="0"/>
    <x v="0"/>
  </r>
  <r>
    <x v="239"/>
    <n v="4013456789017"/>
    <x v="0"/>
    <s v="Krmivo a maškrty – Psy"/>
    <s v="Snouty"/>
    <n v="6"/>
    <n v="1"/>
    <s v="NULL"/>
    <s v=""/>
    <d v="2025-01-25T00:00:00"/>
    <n v="0"/>
    <n v="6"/>
    <x v="0"/>
    <x v="0"/>
    <x v="0"/>
  </r>
  <r>
    <x v="240"/>
    <n v="4063456789014"/>
    <x v="15"/>
    <s v="Krmivo a maškrty – Psy"/>
    <s v="Pupco"/>
    <n v="36"/>
    <n v="1"/>
    <s v="NULL"/>
    <s v=""/>
    <d v="2025-01-25T00:00:00"/>
    <n v="0"/>
    <n v="36"/>
    <x v="0"/>
    <x v="0"/>
    <x v="0"/>
  </r>
  <r>
    <x v="241"/>
    <n v="4021234567894"/>
    <x v="18"/>
    <s v="Starostlivosť a hygiena – Mačky"/>
    <s v="PawStyle"/>
    <n v="8"/>
    <n v="1"/>
    <s v="NULL"/>
    <s v=""/>
    <d v="2025-01-25T00:00:00"/>
    <n v="0"/>
    <n v="8"/>
    <x v="0"/>
    <x v="0"/>
    <x v="1"/>
  </r>
  <r>
    <x v="242"/>
    <n v="4061011223346"/>
    <x v="3"/>
    <s v="Oblečenie a doplnky – Psy"/>
    <s v="Tail Trend"/>
    <n v="19.600000000000001"/>
    <n v="1"/>
    <s v="NULL"/>
    <s v=""/>
    <d v="2025-01-26T00:00:00"/>
    <n v="0"/>
    <n v="19.600000000000001"/>
    <x v="0"/>
    <x v="0"/>
    <x v="0"/>
  </r>
  <r>
    <x v="243"/>
    <n v="4028899001126"/>
    <x v="1"/>
    <s v="Krmivo a maškrty – Psy"/>
    <s v="Pup Republic"/>
    <n v="2.8"/>
    <n v="5"/>
    <s v="NULL"/>
    <s v=""/>
    <d v="2025-01-26T00:00:00"/>
    <n v="0"/>
    <n v="14"/>
    <x v="0"/>
    <x v="0"/>
    <x v="0"/>
  </r>
  <r>
    <x v="244"/>
    <n v="4013456789017"/>
    <x v="0"/>
    <s v="Krmivo a maškrty – Psy"/>
    <s v="Snouty"/>
    <n v="6"/>
    <n v="2"/>
    <s v="NULL"/>
    <s v=""/>
    <d v="2025-01-26T00:00:00"/>
    <n v="0"/>
    <n v="12"/>
    <x v="0"/>
    <x v="0"/>
    <x v="0"/>
  </r>
  <r>
    <x v="245"/>
    <n v="4063456789014"/>
    <x v="15"/>
    <s v="Krmivo a maškrty – Psy"/>
    <s v="Pupco"/>
    <n v="36"/>
    <n v="1"/>
    <s v="NULL"/>
    <s v=""/>
    <d v="2025-01-26T00:00:00"/>
    <n v="0"/>
    <n v="36"/>
    <x v="0"/>
    <x v="0"/>
    <x v="0"/>
  </r>
  <r>
    <x v="246"/>
    <n v="4010123456783"/>
    <x v="6"/>
    <s v="Starostlivosť a hygiena – Mačky"/>
    <s v="BellaMeow"/>
    <n v="14"/>
    <n v="1"/>
    <s v="NULL"/>
    <s v=""/>
    <d v="2025-01-26T00:00:00"/>
    <n v="0"/>
    <n v="14"/>
    <x v="0"/>
    <x v="0"/>
    <x v="1"/>
  </r>
  <r>
    <x v="247"/>
    <n v="4028899001126"/>
    <x v="1"/>
    <s v="Krmivo a maškrty – Psy"/>
    <s v="Pup Republic"/>
    <n v="2.8"/>
    <n v="3"/>
    <s v="NULL"/>
    <s v=""/>
    <d v="2025-01-26T00:00:00"/>
    <n v="0"/>
    <n v="8.3999999999999986"/>
    <x v="0"/>
    <x v="0"/>
    <x v="0"/>
  </r>
  <r>
    <x v="248"/>
    <n v="4013456789017"/>
    <x v="0"/>
    <s v="Krmivo a maškrty – Psy"/>
    <s v="Snouty"/>
    <n v="6"/>
    <n v="2"/>
    <s v="NULL"/>
    <s v=""/>
    <d v="2025-01-26T00:00:00"/>
    <n v="0"/>
    <n v="12"/>
    <x v="0"/>
    <x v="0"/>
    <x v="0"/>
  </r>
  <r>
    <x v="249"/>
    <n v="4040123456795"/>
    <x v="2"/>
    <s v="Starostlivosť a hygiena – Psy"/>
    <s v="Dogissimo"/>
    <n v="8.8000000000000007"/>
    <n v="1"/>
    <s v="NULL"/>
    <s v=""/>
    <d v="2025-01-26T00:00:00"/>
    <n v="0"/>
    <n v="8.8000000000000007"/>
    <x v="0"/>
    <x v="0"/>
    <x v="0"/>
  </r>
  <r>
    <x v="250"/>
    <n v="4056789012345"/>
    <x v="11"/>
    <s v="Krmivo a maškrty – Mačky"/>
    <s v="BellaMeow"/>
    <n v="2.4"/>
    <n v="3"/>
    <s v="NULL"/>
    <s v=""/>
    <d v="2025-01-26T00:00:00"/>
    <n v="0"/>
    <n v="7.1999999999999993"/>
    <x v="0"/>
    <x v="0"/>
    <x v="1"/>
  </r>
  <r>
    <x v="251"/>
    <n v="4017890123450"/>
    <x v="16"/>
    <s v="Hračky – Psy"/>
    <s v="Dogissimo"/>
    <n v="7.6"/>
    <n v="1"/>
    <s v="NULL"/>
    <s v=""/>
    <d v="2025-01-26T00:00:00"/>
    <n v="0"/>
    <n v="7.6"/>
    <x v="0"/>
    <x v="0"/>
    <x v="0"/>
  </r>
  <r>
    <x v="252"/>
    <n v="4067890123456"/>
    <x v="17"/>
    <s v="Krmivo a maškrty – Mačky"/>
    <s v="PawStyle"/>
    <n v="36"/>
    <n v="1"/>
    <s v="NULL"/>
    <s v=""/>
    <d v="2025-01-26T00:00:00"/>
    <n v="0"/>
    <n v="36"/>
    <x v="0"/>
    <x v="0"/>
    <x v="1"/>
  </r>
  <r>
    <x v="253"/>
    <n v="4023456789012"/>
    <x v="13"/>
    <s v="Krmivo a maškrty – Mačky"/>
    <s v="Mr. Whiskers"/>
    <n v="4"/>
    <n v="2"/>
    <s v="NULL"/>
    <s v=""/>
    <d v="2025-01-26T00:00:00"/>
    <n v="0"/>
    <n v="8"/>
    <x v="0"/>
    <x v="0"/>
    <x v="1"/>
  </r>
  <r>
    <x v="254"/>
    <n v="4021234567894"/>
    <x v="18"/>
    <s v="Starostlivosť a hygiena – Mačky"/>
    <s v="PawStyle"/>
    <n v="8"/>
    <n v="1"/>
    <s v="NULL"/>
    <s v=""/>
    <d v="2025-01-26T00:00:00"/>
    <n v="0"/>
    <n v="8"/>
    <x v="0"/>
    <x v="0"/>
    <x v="1"/>
  </r>
  <r>
    <x v="255"/>
    <n v="4028899001126"/>
    <x v="1"/>
    <s v="Krmivo a maškrty – Psy"/>
    <s v="Pup Republic"/>
    <n v="2.8"/>
    <n v="4"/>
    <s v="5"/>
    <s v="Obľúbené"/>
    <d v="2025-01-26T00:00:00"/>
    <n v="0"/>
    <n v="11.2"/>
    <x v="2"/>
    <x v="0"/>
    <x v="0"/>
  </r>
  <r>
    <x v="256"/>
    <n v="4013456789017"/>
    <x v="0"/>
    <s v="Krmivo a maškrty – Psy"/>
    <s v="Snouty"/>
    <n v="6"/>
    <n v="2"/>
    <s v="NULL"/>
    <s v=""/>
    <d v="2025-01-26T00:00:00"/>
    <n v="0"/>
    <n v="12"/>
    <x v="0"/>
    <x v="0"/>
    <x v="0"/>
  </r>
  <r>
    <x v="257"/>
    <n v="4056789012345"/>
    <x v="11"/>
    <s v="Krmivo a maškrty – Mačky"/>
    <s v="BellaMeow"/>
    <n v="2.4"/>
    <n v="2"/>
    <s v="NULL"/>
    <s v=""/>
    <d v="2025-01-26T00:00:00"/>
    <n v="0"/>
    <n v="4.8"/>
    <x v="0"/>
    <x v="0"/>
    <x v="1"/>
  </r>
  <r>
    <x v="258"/>
    <n v="4063456789014"/>
    <x v="15"/>
    <s v="Krmivo a maškrty – Psy"/>
    <s v="Pupco"/>
    <n v="36"/>
    <n v="1"/>
    <s v="NULL"/>
    <s v=""/>
    <d v="2025-01-26T00:00:00"/>
    <n v="0"/>
    <n v="36"/>
    <x v="0"/>
    <x v="0"/>
    <x v="0"/>
  </r>
  <r>
    <x v="259"/>
    <n v="4026677889902"/>
    <x v="12"/>
    <s v="Misky a kŕmne doplnky – Ostatné"/>
    <s v="Pawsitive Gear"/>
    <n v="7.6"/>
    <n v="1"/>
    <s v="NULL"/>
    <s v=""/>
    <d v="2025-01-26T00:00:00"/>
    <n v="0"/>
    <n v="7.6"/>
    <x v="0"/>
    <x v="0"/>
    <x v="2"/>
  </r>
  <r>
    <x v="260"/>
    <n v="4028899001126"/>
    <x v="1"/>
    <s v="Krmivo a maškrty – Psy"/>
    <s v="Pup Republic"/>
    <n v="2.8"/>
    <n v="3"/>
    <s v="NULL"/>
    <s v=""/>
    <d v="2025-01-26T00:00:00"/>
    <n v="0"/>
    <n v="8.3999999999999986"/>
    <x v="0"/>
    <x v="0"/>
    <x v="0"/>
  </r>
  <r>
    <x v="261"/>
    <n v="4013456789017"/>
    <x v="0"/>
    <s v="Krmivo a maškrty – Psy"/>
    <s v="Snouty"/>
    <n v="6"/>
    <n v="2"/>
    <s v="NULL"/>
    <s v=""/>
    <d v="2025-01-26T00:00:00"/>
    <n v="0"/>
    <n v="12"/>
    <x v="0"/>
    <x v="0"/>
    <x v="0"/>
  </r>
  <r>
    <x v="262"/>
    <n v="4017890123450"/>
    <x v="16"/>
    <s v="Hračky – Psy"/>
    <s v="Dogissimo"/>
    <n v="7.6"/>
    <n v="1"/>
    <s v="NULL"/>
    <s v=""/>
    <d v="2025-01-26T00:00:00"/>
    <n v="0"/>
    <n v="7.6"/>
    <x v="0"/>
    <x v="0"/>
    <x v="0"/>
  </r>
  <r>
    <x v="263"/>
    <n v="4056789012345"/>
    <x v="11"/>
    <s v="Krmivo a maškrty – Mačky"/>
    <s v="BellaMeow"/>
    <n v="2.4"/>
    <n v="3"/>
    <s v="2"/>
    <s v="Mačka nechce"/>
    <d v="2025-01-26T00:00:00"/>
    <n v="1"/>
    <n v="7.1999999999999993"/>
    <x v="4"/>
    <x v="0"/>
    <x v="1"/>
  </r>
  <r>
    <x v="264"/>
    <n v="4028899001126"/>
    <x v="1"/>
    <s v="Krmivo a maškrty – Psy"/>
    <s v="Pup Republic"/>
    <n v="2.8"/>
    <n v="5"/>
    <s v="NULL"/>
    <s v=""/>
    <d v="2025-01-27T00:00:00"/>
    <n v="0"/>
    <n v="14"/>
    <x v="0"/>
    <x v="0"/>
    <x v="0"/>
  </r>
  <r>
    <x v="265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266"/>
    <n v="4040123456795"/>
    <x v="2"/>
    <s v="Starostlivosť a hygiena – Psy"/>
    <s v="Dogissimo"/>
    <n v="8.8000000000000007"/>
    <n v="1"/>
    <s v="NULL"/>
    <s v=""/>
    <d v="2025-01-27T00:00:00"/>
    <n v="0"/>
    <n v="8.8000000000000007"/>
    <x v="0"/>
    <x v="0"/>
    <x v="0"/>
  </r>
  <r>
    <x v="267"/>
    <n v="4010123456783"/>
    <x v="6"/>
    <s v="Starostlivosť a hygiena – Mačky"/>
    <s v="BellaMeow"/>
    <n v="14"/>
    <n v="1"/>
    <s v="NULL"/>
    <s v=""/>
    <d v="2025-01-27T00:00:00"/>
    <n v="0"/>
    <n v="14"/>
    <x v="0"/>
    <x v="0"/>
    <x v="1"/>
  </r>
  <r>
    <x v="268"/>
    <n v="4028899001126"/>
    <x v="1"/>
    <s v="Krmivo a maškrty – Psy"/>
    <s v="Pup Republic"/>
    <n v="2.8"/>
    <n v="3"/>
    <s v="NULL"/>
    <s v=""/>
    <d v="2025-01-27T00:00:00"/>
    <n v="0"/>
    <n v="8.3999999999999986"/>
    <x v="0"/>
    <x v="0"/>
    <x v="0"/>
  </r>
  <r>
    <x v="269"/>
    <n v="4013456789017"/>
    <x v="0"/>
    <s v="Krmivo a maškrty – Psy"/>
    <s v="Snouty"/>
    <n v="6"/>
    <n v="1"/>
    <s v="NULL"/>
    <s v=""/>
    <d v="2025-01-27T00:00:00"/>
    <n v="0"/>
    <n v="6"/>
    <x v="0"/>
    <x v="0"/>
    <x v="0"/>
  </r>
  <r>
    <x v="270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271"/>
    <n v="4021234567894"/>
    <x v="18"/>
    <s v="Starostlivosť a hygiena – Mačky"/>
    <s v="PawStyle"/>
    <n v="8"/>
    <n v="1"/>
    <s v="NULL"/>
    <s v=""/>
    <d v="2025-01-27T00:00:00"/>
    <n v="0"/>
    <n v="8"/>
    <x v="0"/>
    <x v="0"/>
    <x v="1"/>
  </r>
  <r>
    <x v="272"/>
    <n v="4061011223346"/>
    <x v="3"/>
    <s v="Oblečenie a doplnky – Psy"/>
    <s v="Tail Trend"/>
    <n v="19.600000000000001"/>
    <n v="1"/>
    <s v="NULL"/>
    <s v=""/>
    <d v="2025-01-27T00:00:00"/>
    <n v="0"/>
    <n v="19.600000000000001"/>
    <x v="0"/>
    <x v="0"/>
    <x v="0"/>
  </r>
  <r>
    <x v="273"/>
    <n v="4028899001126"/>
    <x v="1"/>
    <s v="Krmivo a maškrty – Psy"/>
    <s v="Pup Republic"/>
    <n v="2.8"/>
    <n v="4"/>
    <s v="NULL"/>
    <s v=""/>
    <d v="2025-01-27T00:00:00"/>
    <n v="0"/>
    <n v="11.2"/>
    <x v="0"/>
    <x v="0"/>
    <x v="0"/>
  </r>
  <r>
    <x v="274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275"/>
    <n v="4056789012345"/>
    <x v="11"/>
    <s v="Krmivo a maškrty – Mačky"/>
    <s v="BellaMeow"/>
    <n v="2.4"/>
    <n v="3"/>
    <s v="NULL"/>
    <s v=""/>
    <d v="2025-01-27T00:00:00"/>
    <n v="0"/>
    <n v="7.1999999999999993"/>
    <x v="0"/>
    <x v="0"/>
    <x v="1"/>
  </r>
  <r>
    <x v="276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277"/>
    <n v="4026677889902"/>
    <x v="12"/>
    <s v="Misky a kŕmne doplnky – Ostatné"/>
    <s v="Pawsitive Gear"/>
    <n v="7.6"/>
    <n v="1"/>
    <s v="NULL"/>
    <s v=""/>
    <d v="2025-01-27T00:00:00"/>
    <n v="0"/>
    <n v="7.6"/>
    <x v="0"/>
    <x v="0"/>
    <x v="2"/>
  </r>
  <r>
    <x v="278"/>
    <n v="4028899001126"/>
    <x v="1"/>
    <s v="Krmivo a maškrty – Psy"/>
    <s v="Pup Republic"/>
    <n v="2.8"/>
    <n v="5"/>
    <s v="NULL"/>
    <s v=""/>
    <d v="2025-01-27T00:00:00"/>
    <n v="0"/>
    <n v="14"/>
    <x v="0"/>
    <x v="0"/>
    <x v="0"/>
  </r>
  <r>
    <x v="279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280"/>
    <n v="4040123456795"/>
    <x v="2"/>
    <s v="Starostlivosť a hygiena – Psy"/>
    <s v="Dogissimo"/>
    <n v="8.8000000000000007"/>
    <n v="1"/>
    <s v="NULL"/>
    <s v=""/>
    <d v="2025-01-27T00:00:00"/>
    <n v="0"/>
    <n v="8.8000000000000007"/>
    <x v="0"/>
    <x v="0"/>
    <x v="0"/>
  </r>
  <r>
    <x v="281"/>
    <n v="4010123456783"/>
    <x v="6"/>
    <s v="Starostlivosť a hygiena – Mačky"/>
    <s v="BellaMeow"/>
    <n v="14"/>
    <n v="1"/>
    <s v="NULL"/>
    <s v=""/>
    <d v="2025-01-27T00:00:00"/>
    <n v="0"/>
    <n v="14"/>
    <x v="0"/>
    <x v="0"/>
    <x v="1"/>
  </r>
  <r>
    <x v="282"/>
    <n v="4028899001126"/>
    <x v="1"/>
    <s v="Krmivo a maškrty – Psy"/>
    <s v="Pup Republic"/>
    <n v="2.8"/>
    <n v="3"/>
    <s v="NULL"/>
    <s v=""/>
    <d v="2025-01-27T00:00:00"/>
    <n v="0"/>
    <n v="8.3999999999999986"/>
    <x v="0"/>
    <x v="0"/>
    <x v="0"/>
  </r>
  <r>
    <x v="283"/>
    <n v="4013456789017"/>
    <x v="0"/>
    <s v="Krmivo a maškrty – Psy"/>
    <s v="Snouty"/>
    <n v="6"/>
    <n v="1"/>
    <s v="NULL"/>
    <s v=""/>
    <d v="2025-01-27T00:00:00"/>
    <n v="0"/>
    <n v="6"/>
    <x v="0"/>
    <x v="0"/>
    <x v="0"/>
  </r>
  <r>
    <x v="284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285"/>
    <n v="4021234567894"/>
    <x v="18"/>
    <s v="Starostlivosť a hygiena – Mačky"/>
    <s v="PawStyle"/>
    <n v="8"/>
    <n v="1"/>
    <s v="NULL"/>
    <s v=""/>
    <d v="2025-01-27T00:00:00"/>
    <n v="0"/>
    <n v="8"/>
    <x v="0"/>
    <x v="0"/>
    <x v="1"/>
  </r>
  <r>
    <x v="286"/>
    <n v="4061011223346"/>
    <x v="3"/>
    <s v="Oblečenie a doplnky – Psy"/>
    <s v="Tail Trend"/>
    <n v="19.600000000000001"/>
    <n v="1"/>
    <s v="NULL"/>
    <s v=""/>
    <d v="2025-01-27T00:00:00"/>
    <n v="0"/>
    <n v="19.600000000000001"/>
    <x v="0"/>
    <x v="0"/>
    <x v="0"/>
  </r>
  <r>
    <x v="287"/>
    <n v="4028899001126"/>
    <x v="1"/>
    <s v="Krmivo a maškrty – Psy"/>
    <s v="Pup Republic"/>
    <n v="2.8"/>
    <n v="4"/>
    <s v="NULL"/>
    <s v=""/>
    <d v="2025-01-27T00:00:00"/>
    <n v="0"/>
    <n v="11.2"/>
    <x v="0"/>
    <x v="0"/>
    <x v="0"/>
  </r>
  <r>
    <x v="288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289"/>
    <n v="4056789012345"/>
    <x v="11"/>
    <s v="Krmivo a maškrty – Mačky"/>
    <s v="BellaMeow"/>
    <n v="2.4"/>
    <n v="3"/>
    <s v="NULL"/>
    <s v=""/>
    <d v="2025-01-27T00:00:00"/>
    <n v="0"/>
    <n v="7.1999999999999993"/>
    <x v="0"/>
    <x v="0"/>
    <x v="1"/>
  </r>
  <r>
    <x v="290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291"/>
    <n v="4026677889902"/>
    <x v="12"/>
    <s v="Misky a kŕmne doplnky – Ostatné"/>
    <s v="Pawsitive Gear"/>
    <n v="7.6"/>
    <n v="1"/>
    <s v="NULL"/>
    <s v=""/>
    <d v="2025-01-27T00:00:00"/>
    <n v="0"/>
    <n v="7.6"/>
    <x v="0"/>
    <x v="0"/>
    <x v="2"/>
  </r>
  <r>
    <x v="292"/>
    <n v="4028899001126"/>
    <x v="1"/>
    <s v="Krmivo a maškrty – Psy"/>
    <s v="Pup Republic"/>
    <n v="2.8"/>
    <n v="5"/>
    <s v="NULL"/>
    <s v=""/>
    <d v="2025-01-27T00:00:00"/>
    <n v="0"/>
    <n v="14"/>
    <x v="0"/>
    <x v="0"/>
    <x v="0"/>
  </r>
  <r>
    <x v="293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294"/>
    <n v="4040123456795"/>
    <x v="2"/>
    <s v="Starostlivosť a hygiena – Psy"/>
    <s v="Dogissimo"/>
    <n v="8.8000000000000007"/>
    <n v="1"/>
    <s v="NULL"/>
    <s v=""/>
    <d v="2025-01-27T00:00:00"/>
    <n v="0"/>
    <n v="8.8000000000000007"/>
    <x v="0"/>
    <x v="0"/>
    <x v="0"/>
  </r>
  <r>
    <x v="295"/>
    <n v="4010123456783"/>
    <x v="6"/>
    <s v="Starostlivosť a hygiena – Mačky"/>
    <s v="BellaMeow"/>
    <n v="14"/>
    <n v="1"/>
    <s v="NULL"/>
    <s v=""/>
    <d v="2025-01-27T00:00:00"/>
    <n v="0"/>
    <n v="14"/>
    <x v="0"/>
    <x v="0"/>
    <x v="1"/>
  </r>
  <r>
    <x v="296"/>
    <n v="4028899001126"/>
    <x v="1"/>
    <s v="Krmivo a maškrty – Psy"/>
    <s v="Pup Republic"/>
    <n v="2.8"/>
    <n v="3"/>
    <s v="NULL"/>
    <s v=""/>
    <d v="2025-01-27T00:00:00"/>
    <n v="0"/>
    <n v="8.3999999999999986"/>
    <x v="0"/>
    <x v="0"/>
    <x v="0"/>
  </r>
  <r>
    <x v="297"/>
    <n v="4013456789017"/>
    <x v="0"/>
    <s v="Krmivo a maškrty – Psy"/>
    <s v="Snouty"/>
    <n v="6"/>
    <n v="1"/>
    <s v="NULL"/>
    <s v=""/>
    <d v="2025-01-27T00:00:00"/>
    <n v="0"/>
    <n v="6"/>
    <x v="0"/>
    <x v="0"/>
    <x v="0"/>
  </r>
  <r>
    <x v="298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299"/>
    <n v="4021234567894"/>
    <x v="18"/>
    <s v="Starostlivosť a hygiena – Mačky"/>
    <s v="PawStyle"/>
    <n v="8"/>
    <n v="1"/>
    <s v="NULL"/>
    <s v=""/>
    <d v="2025-01-27T00:00:00"/>
    <n v="0"/>
    <n v="8"/>
    <x v="0"/>
    <x v="0"/>
    <x v="1"/>
  </r>
  <r>
    <x v="300"/>
    <n v="4061011223346"/>
    <x v="3"/>
    <s v="Oblečenie a doplnky – Psy"/>
    <s v="Tail Trend"/>
    <n v="19.600000000000001"/>
    <n v="1"/>
    <s v="NULL"/>
    <s v=""/>
    <d v="2025-01-27T00:00:00"/>
    <n v="0"/>
    <n v="19.600000000000001"/>
    <x v="0"/>
    <x v="0"/>
    <x v="0"/>
  </r>
  <r>
    <x v="301"/>
    <n v="4028899001126"/>
    <x v="1"/>
    <s v="Krmivo a maškrty – Psy"/>
    <s v="Pup Republic"/>
    <n v="2.8"/>
    <n v="4"/>
    <s v="NULL"/>
    <s v=""/>
    <d v="2025-01-27T00:00:00"/>
    <n v="0"/>
    <n v="11.2"/>
    <x v="0"/>
    <x v="0"/>
    <x v="0"/>
  </r>
  <r>
    <x v="302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303"/>
    <n v="4056789012345"/>
    <x v="11"/>
    <s v="Krmivo a maškrty – Mačky"/>
    <s v="BellaMeow"/>
    <n v="2.4"/>
    <n v="3"/>
    <s v="NULL"/>
    <s v=""/>
    <d v="2025-01-27T00:00:00"/>
    <n v="0"/>
    <n v="7.1999999999999993"/>
    <x v="0"/>
    <x v="0"/>
    <x v="1"/>
  </r>
  <r>
    <x v="304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305"/>
    <n v="4026677889902"/>
    <x v="12"/>
    <s v="Misky a kŕmne doplnky – Ostatné"/>
    <s v="Pawsitive Gear"/>
    <n v="7.6"/>
    <n v="1"/>
    <s v="NULL"/>
    <s v=""/>
    <d v="2025-01-27T00:00:00"/>
    <n v="0"/>
    <n v="7.6"/>
    <x v="0"/>
    <x v="0"/>
    <x v="2"/>
  </r>
  <r>
    <x v="306"/>
    <n v="4028899001126"/>
    <x v="1"/>
    <s v="Krmivo a maškrty – Psy"/>
    <s v="Pup Republic"/>
    <n v="2.8"/>
    <n v="5"/>
    <s v="NULL"/>
    <s v=""/>
    <d v="2025-01-27T00:00:00"/>
    <n v="0"/>
    <n v="14"/>
    <x v="0"/>
    <x v="0"/>
    <x v="0"/>
  </r>
  <r>
    <x v="307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308"/>
    <n v="4040123456795"/>
    <x v="2"/>
    <s v="Starostlivosť a hygiena – Psy"/>
    <s v="Dogissimo"/>
    <n v="8.8000000000000007"/>
    <n v="1"/>
    <s v="NULL"/>
    <s v=""/>
    <d v="2025-01-27T00:00:00"/>
    <n v="0"/>
    <n v="8.8000000000000007"/>
    <x v="0"/>
    <x v="0"/>
    <x v="0"/>
  </r>
  <r>
    <x v="309"/>
    <n v="4010123456783"/>
    <x v="6"/>
    <s v="Starostlivosť a hygiena – Mačky"/>
    <s v="BellaMeow"/>
    <n v="14"/>
    <n v="1"/>
    <s v="NULL"/>
    <s v=""/>
    <d v="2025-01-27T00:00:00"/>
    <n v="0"/>
    <n v="14"/>
    <x v="0"/>
    <x v="0"/>
    <x v="1"/>
  </r>
  <r>
    <x v="310"/>
    <n v="4028899001126"/>
    <x v="1"/>
    <s v="Krmivo a maškrty – Psy"/>
    <s v="Pup Republic"/>
    <n v="2.8"/>
    <n v="3"/>
    <s v="NULL"/>
    <s v=""/>
    <d v="2025-01-27T00:00:00"/>
    <n v="0"/>
    <n v="8.3999999999999986"/>
    <x v="0"/>
    <x v="0"/>
    <x v="0"/>
  </r>
  <r>
    <x v="311"/>
    <n v="4013456789017"/>
    <x v="0"/>
    <s v="Krmivo a maškrty – Psy"/>
    <s v="Snouty"/>
    <n v="6"/>
    <n v="1"/>
    <s v="NULL"/>
    <s v=""/>
    <d v="2025-01-27T00:00:00"/>
    <n v="0"/>
    <n v="6"/>
    <x v="0"/>
    <x v="0"/>
    <x v="0"/>
  </r>
  <r>
    <x v="312"/>
    <n v="4063456789014"/>
    <x v="15"/>
    <s v="Krmivo a maškrty – Psy"/>
    <s v="Pupco"/>
    <n v="36"/>
    <n v="1"/>
    <s v="NULL"/>
    <s v=""/>
    <d v="2025-01-27T00:00:00"/>
    <n v="0"/>
    <n v="36"/>
    <x v="0"/>
    <x v="0"/>
    <x v="0"/>
  </r>
  <r>
    <x v="313"/>
    <n v="4021234567894"/>
    <x v="18"/>
    <s v="Starostlivosť a hygiena – Mačky"/>
    <s v="PawStyle"/>
    <n v="8"/>
    <n v="1"/>
    <s v="NULL"/>
    <s v=""/>
    <d v="2025-01-27T00:00:00"/>
    <n v="0"/>
    <n v="8"/>
    <x v="0"/>
    <x v="0"/>
    <x v="1"/>
  </r>
  <r>
    <x v="314"/>
    <n v="4061011223346"/>
    <x v="3"/>
    <s v="Oblečenie a doplnky – Psy"/>
    <s v="Tail Trend"/>
    <n v="19.600000000000001"/>
    <n v="1"/>
    <s v="NULL"/>
    <s v=""/>
    <d v="2025-01-27T00:00:00"/>
    <n v="0"/>
    <n v="19.600000000000001"/>
    <x v="0"/>
    <x v="0"/>
    <x v="0"/>
  </r>
  <r>
    <x v="315"/>
    <n v="4028899001126"/>
    <x v="1"/>
    <s v="Krmivo a maškrty – Psy"/>
    <s v="Pup Republic"/>
    <n v="2.8"/>
    <n v="4"/>
    <s v="NULL"/>
    <s v=""/>
    <d v="2025-01-27T00:00:00"/>
    <n v="0"/>
    <n v="11.2"/>
    <x v="0"/>
    <x v="0"/>
    <x v="0"/>
  </r>
  <r>
    <x v="316"/>
    <n v="4013456789017"/>
    <x v="0"/>
    <s v="Krmivo a maškrty – Psy"/>
    <s v="Snouty"/>
    <n v="6"/>
    <n v="2"/>
    <s v="NULL"/>
    <s v=""/>
    <d v="2025-01-27T00:00:00"/>
    <n v="0"/>
    <n v="12"/>
    <x v="0"/>
    <x v="0"/>
    <x v="0"/>
  </r>
  <r>
    <x v="317"/>
    <n v="4040123456795"/>
    <x v="2"/>
    <s v="Starostlivosť a hygiena – Psy"/>
    <s v="Dogissimo"/>
    <n v="8.8000000000000007"/>
    <n v="1"/>
    <s v="5"/>
    <s v="Skvelý šampón, srsť mäkká a lesklá."/>
    <d v="2025-01-28T00:00:00"/>
    <n v="0"/>
    <n v="8.8000000000000007"/>
    <x v="2"/>
    <x v="0"/>
    <x v="0"/>
  </r>
  <r>
    <x v="318"/>
    <n v="4010123456783"/>
    <x v="6"/>
    <s v="Starostlivosť a hygiena – Mačky"/>
    <s v="BellaMeow"/>
    <n v="14"/>
    <n v="1"/>
    <s v="NULL"/>
    <s v=""/>
    <d v="2025-01-28T00:00:00"/>
    <n v="0"/>
    <n v="14"/>
    <x v="0"/>
    <x v="0"/>
    <x v="1"/>
  </r>
  <r>
    <x v="319"/>
    <n v="4028899001126"/>
    <x v="1"/>
    <s v="Krmivo a maškrty – Psy"/>
    <s v="Pup Republic"/>
    <n v="2.8"/>
    <n v="3"/>
    <s v="NULL"/>
    <s v=""/>
    <d v="2025-01-28T00:00:00"/>
    <n v="0"/>
    <n v="8.3999999999999986"/>
    <x v="0"/>
    <x v="0"/>
    <x v="0"/>
  </r>
  <r>
    <x v="320"/>
    <n v="4013456789017"/>
    <x v="0"/>
    <s v="Krmivo a maškrty – Psy"/>
    <s v="Snouty"/>
    <n v="6"/>
    <n v="1"/>
    <s v="3"/>
    <s v="Za tú cenu ok."/>
    <d v="2025-01-28T00:00:00"/>
    <n v="0"/>
    <n v="6"/>
    <x v="3"/>
    <x v="0"/>
    <x v="0"/>
  </r>
  <r>
    <x v="321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22"/>
    <n v="4021234567894"/>
    <x v="18"/>
    <s v="Starostlivosť a hygiena – Mačky"/>
    <s v="PawStyle"/>
    <n v="8"/>
    <n v="1"/>
    <s v="NULL"/>
    <s v=""/>
    <d v="2025-01-28T00:00:00"/>
    <n v="0"/>
    <n v="8"/>
    <x v="0"/>
    <x v="0"/>
    <x v="1"/>
  </r>
  <r>
    <x v="323"/>
    <n v="4061011223346"/>
    <x v="3"/>
    <s v="Oblečenie a doplnky – Psy"/>
    <s v="Tail Trend"/>
    <n v="19.600000000000001"/>
    <n v="1"/>
    <s v="4"/>
    <s v="Drží pevne, používam denne."/>
    <d v="2025-01-28T00:00:00"/>
    <n v="0"/>
    <n v="19.600000000000001"/>
    <x v="1"/>
    <x v="0"/>
    <x v="0"/>
  </r>
  <r>
    <x v="324"/>
    <n v="4028899001126"/>
    <x v="1"/>
    <s v="Krmivo a maškrty – Psy"/>
    <s v="Pup Republic"/>
    <n v="2.8"/>
    <n v="4"/>
    <s v="NULL"/>
    <s v=""/>
    <d v="2025-01-28T00:00:00"/>
    <n v="0"/>
    <n v="11.2"/>
    <x v="0"/>
    <x v="0"/>
    <x v="0"/>
  </r>
  <r>
    <x v="325"/>
    <n v="4013456789017"/>
    <x v="0"/>
    <s v="Krmivo a maškrty – Psy"/>
    <s v="Snouty"/>
    <n v="6"/>
    <n v="2"/>
    <s v="NULL"/>
    <s v=""/>
    <d v="2025-01-28T00:00:00"/>
    <n v="0"/>
    <n v="12"/>
    <x v="0"/>
    <x v="0"/>
    <x v="0"/>
  </r>
  <r>
    <x v="326"/>
    <n v="4056789012345"/>
    <x v="11"/>
    <s v="Krmivo a maškrty – Mačky"/>
    <s v="BellaMeow"/>
    <n v="2.4"/>
    <n v="3"/>
    <s v="2"/>
    <s v="Mačka to nechcela."/>
    <d v="2025-01-28T00:00:00"/>
    <n v="1"/>
    <n v="7.1999999999999993"/>
    <x v="4"/>
    <x v="0"/>
    <x v="1"/>
  </r>
  <r>
    <x v="327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28"/>
    <n v="4026677889902"/>
    <x v="12"/>
    <s v="Misky a kŕmne doplnky – Ostatné"/>
    <s v="Pawsitive Gear"/>
    <n v="7.6"/>
    <n v="1"/>
    <s v="4"/>
    <s v="NULL"/>
    <d v="2025-01-28T00:00:00"/>
    <n v="0"/>
    <n v="7.6"/>
    <x v="1"/>
    <x v="0"/>
    <x v="2"/>
  </r>
  <r>
    <x v="329"/>
    <n v="4028899001126"/>
    <x v="1"/>
    <s v="Krmivo a maškrty – Psy"/>
    <s v="Pup Republic"/>
    <n v="2.8"/>
    <n v="5"/>
    <s v="5"/>
    <s v="Pes sa môže utĺcť, výborné."/>
    <d v="2025-01-28T00:00:00"/>
    <n v="0"/>
    <n v="14"/>
    <x v="2"/>
    <x v="0"/>
    <x v="0"/>
  </r>
  <r>
    <x v="330"/>
    <n v="4013456789017"/>
    <x v="0"/>
    <s v="Krmivo a maškrty – Psy"/>
    <s v="Snouty"/>
    <n v="6"/>
    <n v="2"/>
    <s v="NULL"/>
    <s v=""/>
    <d v="2025-01-28T00:00:00"/>
    <n v="0"/>
    <n v="12"/>
    <x v="0"/>
    <x v="0"/>
    <x v="0"/>
  </r>
  <r>
    <x v="331"/>
    <n v="4040123456795"/>
    <x v="2"/>
    <s v="Starostlivosť a hygiena – Psy"/>
    <s v="Dogissimo"/>
    <n v="8.8000000000000007"/>
    <n v="1"/>
    <s v="NULL"/>
    <s v=""/>
    <d v="2025-01-28T00:00:00"/>
    <n v="0"/>
    <n v="8.8000000000000007"/>
    <x v="0"/>
    <x v="0"/>
    <x v="0"/>
  </r>
  <r>
    <x v="332"/>
    <n v="4010123456783"/>
    <x v="6"/>
    <s v="Starostlivosť a hygiena – Mačky"/>
    <s v="BellaMeow"/>
    <n v="14"/>
    <n v="1"/>
    <s v="NULL"/>
    <s v=""/>
    <d v="2025-01-28T00:00:00"/>
    <n v="0"/>
    <n v="14"/>
    <x v="0"/>
    <x v="0"/>
    <x v="1"/>
  </r>
  <r>
    <x v="333"/>
    <n v="4028899001126"/>
    <x v="1"/>
    <s v="Krmivo a maškrty – Psy"/>
    <s v="Pup Republic"/>
    <n v="2.8"/>
    <n v="3"/>
    <s v="NULL"/>
    <s v=""/>
    <d v="2025-01-28T00:00:00"/>
    <n v="0"/>
    <n v="8.3999999999999986"/>
    <x v="0"/>
    <x v="0"/>
    <x v="0"/>
  </r>
  <r>
    <x v="334"/>
    <n v="4013456789017"/>
    <x v="0"/>
    <s v="Krmivo a maškrty – Psy"/>
    <s v="Snouty"/>
    <n v="6"/>
    <n v="1"/>
    <s v="3"/>
    <s v="NULL"/>
    <d v="2025-01-28T00:00:00"/>
    <n v="0"/>
    <n v="6"/>
    <x v="3"/>
    <x v="0"/>
    <x v="0"/>
  </r>
  <r>
    <x v="335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36"/>
    <n v="4021234567894"/>
    <x v="18"/>
    <s v="Starostlivosť a hygiena – Mačky"/>
    <s v="PawStyle"/>
    <n v="8"/>
    <n v="1"/>
    <s v="NULL"/>
    <s v=""/>
    <d v="2025-01-28T00:00:00"/>
    <n v="0"/>
    <n v="8"/>
    <x v="0"/>
    <x v="0"/>
    <x v="1"/>
  </r>
  <r>
    <x v="337"/>
    <n v="4061011223346"/>
    <x v="3"/>
    <s v="Oblečenie a doplnky – Psy"/>
    <s v="Tail Trend"/>
    <n v="19.600000000000001"/>
    <n v="1"/>
    <s v="5"/>
    <s v="Moc hezké, kvalitné vôdzka."/>
    <d v="2025-01-28T00:00:00"/>
    <n v="0"/>
    <n v="19.600000000000001"/>
    <x v="2"/>
    <x v="0"/>
    <x v="0"/>
  </r>
  <r>
    <x v="338"/>
    <n v="4028899001126"/>
    <x v="1"/>
    <s v="Krmivo a maškrty – Psy"/>
    <s v="Pup Republic"/>
    <n v="2.8"/>
    <n v="4"/>
    <s v="NULL"/>
    <s v=""/>
    <d v="2025-01-28T00:00:00"/>
    <n v="0"/>
    <n v="11.2"/>
    <x v="0"/>
    <x v="0"/>
    <x v="0"/>
  </r>
  <r>
    <x v="339"/>
    <n v="4013456789017"/>
    <x v="0"/>
    <s v="Krmivo a maškrty – Psy"/>
    <s v="Snouty"/>
    <n v="6"/>
    <n v="2"/>
    <s v="NULL"/>
    <s v=""/>
    <d v="2025-01-28T00:00:00"/>
    <n v="0"/>
    <n v="12"/>
    <x v="0"/>
    <x v="0"/>
    <x v="0"/>
  </r>
  <r>
    <x v="340"/>
    <n v="4056789012345"/>
    <x v="11"/>
    <s v="Krmivo a maškrty – Mačky"/>
    <s v="BellaMeow"/>
    <n v="2.4"/>
    <n v="3"/>
    <s v="NULL"/>
    <s v=""/>
    <d v="2025-01-28T00:00:00"/>
    <n v="0"/>
    <n v="7.1999999999999993"/>
    <x v="0"/>
    <x v="0"/>
    <x v="1"/>
  </r>
  <r>
    <x v="341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42"/>
    <n v="4026677889902"/>
    <x v="12"/>
    <s v="Misky a kŕmne doplnky – Ostatné"/>
    <s v="Pawsitive Gear"/>
    <n v="7.6"/>
    <n v="1"/>
    <s v="NULL"/>
    <s v=""/>
    <d v="2025-01-28T00:00:00"/>
    <n v="0"/>
    <n v="7.6"/>
    <x v="0"/>
    <x v="0"/>
    <x v="2"/>
  </r>
  <r>
    <x v="343"/>
    <n v="4028899001126"/>
    <x v="1"/>
    <s v="Krmivo a maškrty – Psy"/>
    <s v="Pup Republic"/>
    <n v="2.8"/>
    <n v="5"/>
    <s v="NULL"/>
    <s v=""/>
    <d v="2025-01-28T00:00:00"/>
    <n v="0"/>
    <n v="14"/>
    <x v="0"/>
    <x v="0"/>
    <x v="0"/>
  </r>
  <r>
    <x v="344"/>
    <n v="4013456789017"/>
    <x v="0"/>
    <s v="Krmivo a maškrty – Psy"/>
    <s v="Snouty"/>
    <n v="6"/>
    <n v="2"/>
    <s v="NULL"/>
    <s v=""/>
    <d v="2025-01-28T00:00:00"/>
    <n v="0"/>
    <n v="12"/>
    <x v="0"/>
    <x v="0"/>
    <x v="0"/>
  </r>
  <r>
    <x v="345"/>
    <n v="4040123456795"/>
    <x v="2"/>
    <s v="Starostlivosť a hygiena – Psy"/>
    <s v="Dogissimo"/>
    <n v="8.8000000000000007"/>
    <n v="1"/>
    <s v="NULL"/>
    <s v=""/>
    <d v="2025-01-28T00:00:00"/>
    <n v="0"/>
    <n v="8.8000000000000007"/>
    <x v="0"/>
    <x v="0"/>
    <x v="0"/>
  </r>
  <r>
    <x v="346"/>
    <n v="4010123456783"/>
    <x v="6"/>
    <s v="Starostlivosť a hygiena – Mačky"/>
    <s v="BellaMeow"/>
    <n v="14"/>
    <n v="1"/>
    <s v="4"/>
    <s v="NULL"/>
    <d v="2025-01-28T00:00:00"/>
    <n v="0"/>
    <n v="14"/>
    <x v="1"/>
    <x v="0"/>
    <x v="1"/>
  </r>
  <r>
    <x v="347"/>
    <n v="4028899001126"/>
    <x v="1"/>
    <s v="Krmivo a maškrty – Psy"/>
    <s v="Pup Republic"/>
    <n v="2.8"/>
    <n v="3"/>
    <s v="NULL"/>
    <s v=""/>
    <d v="2025-01-28T00:00:00"/>
    <n v="0"/>
    <n v="8.3999999999999986"/>
    <x v="0"/>
    <x v="0"/>
    <x v="0"/>
  </r>
  <r>
    <x v="348"/>
    <n v="4013456789017"/>
    <x v="0"/>
    <s v="Krmivo a maškrty – Psy"/>
    <s v="Snouty"/>
    <n v="6"/>
    <n v="1"/>
    <s v="NULL"/>
    <s v=""/>
    <d v="2025-01-28T00:00:00"/>
    <n v="0"/>
    <n v="6"/>
    <x v="0"/>
    <x v="0"/>
    <x v="0"/>
  </r>
  <r>
    <x v="349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50"/>
    <n v="4021234567894"/>
    <x v="18"/>
    <s v="Starostlivosť a hygiena – Mačky"/>
    <s v="PawStyle"/>
    <n v="8"/>
    <n v="1"/>
    <s v="2"/>
    <s v="Zápach sa neodstranil, vrátené."/>
    <d v="2025-01-28T00:00:00"/>
    <n v="1"/>
    <n v="8"/>
    <x v="4"/>
    <x v="0"/>
    <x v="1"/>
  </r>
  <r>
    <x v="351"/>
    <n v="4061011223346"/>
    <x v="3"/>
    <s v="Oblečenie a doplnky – Psy"/>
    <s v="Tail Trend"/>
    <n v="19.600000000000001"/>
    <n v="1"/>
    <s v="NULL"/>
    <s v=""/>
    <d v="2025-01-28T00:00:00"/>
    <n v="0"/>
    <n v="19.600000000000001"/>
    <x v="0"/>
    <x v="0"/>
    <x v="0"/>
  </r>
  <r>
    <x v="352"/>
    <n v="4028899001126"/>
    <x v="1"/>
    <s v="Krmivo a maškrty – Psy"/>
    <s v="Pup Republic"/>
    <n v="2.8"/>
    <n v="4"/>
    <s v="NULL"/>
    <s v=""/>
    <d v="2025-01-28T00:00:00"/>
    <n v="0"/>
    <n v="11.2"/>
    <x v="0"/>
    <x v="0"/>
    <x v="0"/>
  </r>
  <r>
    <x v="353"/>
    <n v="4013456789017"/>
    <x v="0"/>
    <s v="Krmivo a maškrty – Psy"/>
    <s v="Snouty"/>
    <n v="6"/>
    <n v="2"/>
    <s v="NULL"/>
    <s v=""/>
    <d v="2025-01-28T00:00:00"/>
    <n v="0"/>
    <n v="12"/>
    <x v="0"/>
    <x v="0"/>
    <x v="0"/>
  </r>
  <r>
    <x v="354"/>
    <n v="4056789012345"/>
    <x v="11"/>
    <s v="Krmivo a maškrty – Mačky"/>
    <s v="BellaMeow"/>
    <n v="2.4"/>
    <n v="3"/>
    <s v="NULL"/>
    <s v=""/>
    <d v="2025-01-28T00:00:00"/>
    <n v="0"/>
    <n v="7.1999999999999993"/>
    <x v="0"/>
    <x v="0"/>
    <x v="1"/>
  </r>
  <r>
    <x v="355"/>
    <n v="4063456789014"/>
    <x v="15"/>
    <s v="Krmivo a maškrty – Psy"/>
    <s v="Pupco"/>
    <n v="36"/>
    <n v="1"/>
    <s v="NULL"/>
    <s v=""/>
    <d v="2025-01-28T00:00:00"/>
    <n v="0"/>
    <n v="36"/>
    <x v="0"/>
    <x v="0"/>
    <x v="0"/>
  </r>
  <r>
    <x v="356"/>
    <n v="4026677889902"/>
    <x v="12"/>
    <s v="Misky a kŕmne doplnky – Ostatné"/>
    <s v="Pawsitive Gear"/>
    <n v="7.6"/>
    <n v="1"/>
    <s v="NULL"/>
    <s v=""/>
    <d v="2025-01-28T00:00:00"/>
    <n v="0"/>
    <n v="7.6"/>
    <x v="0"/>
    <x v="0"/>
    <x v="2"/>
  </r>
  <r>
    <x v="357"/>
    <n v="4028899001126"/>
    <x v="1"/>
    <s v="Krmivo a maškrty – Psy"/>
    <s v="Pup Republic"/>
    <n v="2.8"/>
    <n v="5"/>
    <s v="5"/>
    <s v="Jsem nadšený, kupuju znovu."/>
    <d v="2025-01-29T00:00:00"/>
    <n v="0"/>
    <n v="14"/>
    <x v="2"/>
    <x v="0"/>
    <x v="0"/>
  </r>
  <r>
    <x v="358"/>
    <n v="4013456789017"/>
    <x v="0"/>
    <s v="Krmivo a maškrty – Psy"/>
    <s v="Snouty"/>
    <n v="6"/>
    <n v="2"/>
    <s v="NULL"/>
    <s v=""/>
    <d v="2025-01-29T00:00:00"/>
    <n v="0"/>
    <n v="12"/>
    <x v="0"/>
    <x v="0"/>
    <x v="0"/>
  </r>
  <r>
    <x v="359"/>
    <n v="4040123456795"/>
    <x v="2"/>
    <s v="Starostlivosť a hygiena – Psy"/>
    <s v="Dogissimo"/>
    <n v="8.8000000000000007"/>
    <n v="1"/>
    <s v="NULL"/>
    <s v=""/>
    <d v="2025-01-29T00:00:00"/>
    <n v="0"/>
    <n v="8.8000000000000007"/>
    <x v="0"/>
    <x v="0"/>
    <x v="0"/>
  </r>
  <r>
    <x v="360"/>
    <n v="4010123456783"/>
    <x v="6"/>
    <s v="Starostlivosť a hygiena – Mačky"/>
    <s v="BellaMeow"/>
    <n v="14"/>
    <n v="1"/>
    <s v="NULL"/>
    <s v=""/>
    <d v="2025-01-29T00:00:00"/>
    <n v="0"/>
    <n v="14"/>
    <x v="0"/>
    <x v="0"/>
    <x v="1"/>
  </r>
  <r>
    <x v="361"/>
    <n v="4028899001126"/>
    <x v="1"/>
    <s v="Krmivo a maškrty – Psy"/>
    <s v="Pup Republic"/>
    <n v="2.8"/>
    <n v="3"/>
    <s v="NULL"/>
    <s v=""/>
    <d v="2025-01-29T00:00:00"/>
    <n v="0"/>
    <n v="8.3999999999999986"/>
    <x v="0"/>
    <x v="0"/>
    <x v="0"/>
  </r>
  <r>
    <x v="362"/>
    <n v="4013456789017"/>
    <x v="0"/>
    <s v="Krmivo a maškrty – Psy"/>
    <s v="Snouty"/>
    <n v="6"/>
    <n v="1"/>
    <s v="NULL"/>
    <s v=""/>
    <d v="2025-01-29T00:00:00"/>
    <n v="0"/>
    <n v="6"/>
    <x v="0"/>
    <x v="0"/>
    <x v="0"/>
  </r>
  <r>
    <x v="363"/>
    <n v="4063456789014"/>
    <x v="15"/>
    <s v="Krmivo a maškrty – Psy"/>
    <s v="Pupco"/>
    <n v="36"/>
    <n v="1"/>
    <s v="4"/>
    <s v="NULL"/>
    <d v="2025-01-29T00:00:00"/>
    <n v="0"/>
    <n v="36"/>
    <x v="1"/>
    <x v="0"/>
    <x v="0"/>
  </r>
  <r>
    <x v="364"/>
    <n v="4021234567894"/>
    <x v="18"/>
    <s v="Starostlivosť a hygiena – Mačky"/>
    <s v="PawStyle"/>
    <n v="8"/>
    <n v="1"/>
    <s v="NULL"/>
    <s v=""/>
    <d v="2025-01-29T00:00:00"/>
    <n v="0"/>
    <n v="8"/>
    <x v="0"/>
    <x v="0"/>
    <x v="1"/>
  </r>
  <r>
    <x v="365"/>
    <n v="4061011223346"/>
    <x v="3"/>
    <s v="Oblečenie a doplnky – Psy"/>
    <s v="Tail Trend"/>
    <n v="19.600000000000001"/>
    <n v="1"/>
    <s v="NULL"/>
    <s v=""/>
    <d v="2025-01-29T00:00:00"/>
    <n v="0"/>
    <n v="19.600000000000001"/>
    <x v="0"/>
    <x v="0"/>
    <x v="0"/>
  </r>
  <r>
    <x v="366"/>
    <n v="4028899001126"/>
    <x v="1"/>
    <s v="Krmivo a maškrty – Psy"/>
    <s v="Pup Republic"/>
    <n v="2.8"/>
    <n v="4"/>
    <s v="NULL"/>
    <s v=""/>
    <d v="2025-01-29T00:00:00"/>
    <n v="0"/>
    <n v="11.2"/>
    <x v="0"/>
    <x v="0"/>
    <x v="0"/>
  </r>
  <r>
    <x v="367"/>
    <n v="4013456789017"/>
    <x v="0"/>
    <s v="Krmivo a maškrty – Psy"/>
    <s v="Snouty"/>
    <n v="6"/>
    <n v="2"/>
    <s v="NULL"/>
    <s v=""/>
    <d v="2025-01-29T00:00:00"/>
    <n v="0"/>
    <n v="12"/>
    <x v="0"/>
    <x v="0"/>
    <x v="0"/>
  </r>
  <r>
    <x v="368"/>
    <n v="4056789012345"/>
    <x v="11"/>
    <s v="Krmivo a maškrty – Mačky"/>
    <s v="BellaMeow"/>
    <n v="2.4"/>
    <n v="3"/>
    <s v="3"/>
    <s v="NULL"/>
    <d v="2025-01-29T00:00:00"/>
    <n v="0"/>
    <n v="7.1999999999999993"/>
    <x v="3"/>
    <x v="0"/>
    <x v="1"/>
  </r>
  <r>
    <x v="369"/>
    <n v="4063456789014"/>
    <x v="15"/>
    <s v="Krmivo a maškrty – Psy"/>
    <s v="Pupco"/>
    <n v="36"/>
    <n v="1"/>
    <s v="NULL"/>
    <s v=""/>
    <d v="2025-01-29T00:00:00"/>
    <n v="0"/>
    <n v="36"/>
    <x v="0"/>
    <x v="0"/>
    <x v="0"/>
  </r>
  <r>
    <x v="370"/>
    <n v="4026677889902"/>
    <x v="12"/>
    <s v="Misky a kŕmne doplnky – Ostatné"/>
    <s v="Pawsitive Gear"/>
    <n v="7.6"/>
    <n v="1"/>
    <s v="NULL"/>
    <s v=""/>
    <d v="2025-01-29T00:00:00"/>
    <n v="0"/>
    <n v="7.6"/>
    <x v="0"/>
    <x v="0"/>
    <x v="2"/>
  </r>
  <r>
    <x v="371"/>
    <n v="4028899001126"/>
    <x v="1"/>
    <s v="Krmivo a maškrty – Psy"/>
    <s v="Pup Republic"/>
    <n v="2.8"/>
    <n v="5"/>
    <s v="5"/>
    <s v="Najobľúbenejšie konzerva, výborná kvalita."/>
    <d v="2025-01-29T00:00:00"/>
    <n v="0"/>
    <n v="14"/>
    <x v="2"/>
    <x v="0"/>
    <x v="0"/>
  </r>
  <r>
    <x v="372"/>
    <n v="4013456789017"/>
    <x v="0"/>
    <s v="Krmivo a maškrty – Psy"/>
    <s v="Snouty"/>
    <n v="6"/>
    <n v="2"/>
    <s v="NULL"/>
    <s v=""/>
    <d v="2025-01-29T00:00:00"/>
    <n v="0"/>
    <n v="12"/>
    <x v="0"/>
    <x v="0"/>
    <x v="0"/>
  </r>
  <r>
    <x v="373"/>
    <n v="4040123456795"/>
    <x v="2"/>
    <s v="Starostlivosť a hygiena – Psy"/>
    <s v="Dogissimo"/>
    <n v="8.8000000000000007"/>
    <n v="1"/>
    <s v="NULL"/>
    <s v=""/>
    <d v="2025-01-29T00:00:00"/>
    <n v="0"/>
    <n v="8.8000000000000007"/>
    <x v="0"/>
    <x v="0"/>
    <x v="0"/>
  </r>
  <r>
    <x v="374"/>
    <n v="4010123456783"/>
    <x v="6"/>
    <s v="Starostlivosť a hygiena – Mačky"/>
    <s v="BellaMeow"/>
    <n v="14"/>
    <n v="1"/>
    <s v="NULL"/>
    <s v=""/>
    <d v="2025-01-29T00:00:00"/>
    <n v="0"/>
    <n v="14"/>
    <x v="0"/>
    <x v="0"/>
    <x v="1"/>
  </r>
  <r>
    <x v="375"/>
    <n v="4028899001126"/>
    <x v="1"/>
    <s v="Krmivo a maškrty – Psy"/>
    <s v="Pup Republic"/>
    <n v="2.8"/>
    <n v="3"/>
    <s v="NULL"/>
    <s v=""/>
    <d v="2025-01-29T00:00:00"/>
    <n v="0"/>
    <n v="8.3999999999999986"/>
    <x v="0"/>
    <x v="0"/>
    <x v="0"/>
  </r>
  <r>
    <x v="376"/>
    <n v="4013456789017"/>
    <x v="0"/>
    <s v="Krmivo a maškrty – Psy"/>
    <s v="Snouty"/>
    <n v="6"/>
    <n v="1"/>
    <s v="NULL"/>
    <s v=""/>
    <d v="2025-01-29T00:00:00"/>
    <n v="0"/>
    <n v="6"/>
    <x v="0"/>
    <x v="0"/>
    <x v="0"/>
  </r>
  <r>
    <x v="377"/>
    <n v="4063456789014"/>
    <x v="15"/>
    <s v="Krmivo a maškrty – Psy"/>
    <s v="Pupco"/>
    <n v="36"/>
    <n v="1"/>
    <s v="NULL"/>
    <s v=""/>
    <d v="2025-01-29T00:00:00"/>
    <n v="0"/>
    <n v="36"/>
    <x v="0"/>
    <x v="0"/>
    <x v="0"/>
  </r>
  <r>
    <x v="378"/>
    <n v="4021234567894"/>
    <x v="18"/>
    <s v="Starostlivosť a hygiena – Mačky"/>
    <s v="PawStyle"/>
    <n v="8"/>
    <n v="1"/>
    <s v="NULL"/>
    <s v=""/>
    <d v="2025-01-29T00:00:00"/>
    <n v="0"/>
    <n v="8"/>
    <x v="0"/>
    <x v="0"/>
    <x v="1"/>
  </r>
  <r>
    <x v="379"/>
    <n v="4061011223346"/>
    <x v="3"/>
    <s v="Oblečenie a doplnky – Psy"/>
    <s v="Tail Trend"/>
    <n v="19.600000000000001"/>
    <n v="1"/>
    <s v="NULL"/>
    <s v=""/>
    <d v="2025-01-29T00:00:00"/>
    <n v="0"/>
    <n v="19.600000000000001"/>
    <x v="0"/>
    <x v="0"/>
    <x v="0"/>
  </r>
  <r>
    <x v="380"/>
    <n v="4028899001126"/>
    <x v="1"/>
    <s v="Krmivo a maškrty – Psy"/>
    <s v="Pup Republic"/>
    <n v="2.8"/>
    <n v="4"/>
    <s v="NULL"/>
    <s v=""/>
    <d v="2025-01-29T00:00:00"/>
    <n v="0"/>
    <n v="11.2"/>
    <x v="0"/>
    <x v="0"/>
    <x v="0"/>
  </r>
  <r>
    <x v="381"/>
    <n v="4013456789017"/>
    <x v="0"/>
    <s v="Krmivo a maškrty – Psy"/>
    <s v="Snouty"/>
    <n v="6"/>
    <n v="2"/>
    <s v="NULL"/>
    <s v=""/>
    <d v="2025-01-29T00:00:00"/>
    <n v="0"/>
    <n v="12"/>
    <x v="0"/>
    <x v="0"/>
    <x v="0"/>
  </r>
  <r>
    <x v="382"/>
    <n v="4056789012345"/>
    <x v="11"/>
    <s v="Krmivo a maškrty – Mačky"/>
    <s v="BellaMeow"/>
    <n v="2.4"/>
    <n v="3"/>
    <s v="NULL"/>
    <s v=""/>
    <d v="2025-01-29T00:00:00"/>
    <n v="0"/>
    <n v="7.1999999999999993"/>
    <x v="0"/>
    <x v="0"/>
    <x v="1"/>
  </r>
  <r>
    <x v="383"/>
    <n v="4063456789014"/>
    <x v="15"/>
    <s v="Krmivo a maškrty – Psy"/>
    <s v="Pupco"/>
    <n v="36"/>
    <n v="1"/>
    <s v="NULL"/>
    <s v=""/>
    <d v="2025-01-29T00:00:00"/>
    <n v="0"/>
    <n v="36"/>
    <x v="0"/>
    <x v="0"/>
    <x v="0"/>
  </r>
  <r>
    <x v="384"/>
    <n v="4026677889902"/>
    <x v="12"/>
    <s v="Misky a kŕmne doplnky – Ostatné"/>
    <s v="Pawsitive Gear"/>
    <n v="7.6"/>
    <n v="1"/>
    <s v="4"/>
    <s v="NULL"/>
    <d v="2025-01-29T00:00:00"/>
    <n v="0"/>
    <n v="7.6"/>
    <x v="1"/>
    <x v="0"/>
    <x v="2"/>
  </r>
  <r>
    <x v="385"/>
    <n v="4028899001126"/>
    <x v="1"/>
    <s v="Krmivo a maškrty – Psy"/>
    <s v="Pup Republic"/>
    <n v="2.8"/>
    <n v="5"/>
    <s v="5"/>
    <s v="Pes ju miluje, objednávám po krabicích."/>
    <d v="2025-01-30T00:00:00"/>
    <n v="0"/>
    <n v="14"/>
    <x v="2"/>
    <x v="0"/>
    <x v="0"/>
  </r>
  <r>
    <x v="386"/>
    <n v="4013456789017"/>
    <x v="0"/>
    <s v="Krmivo a maškrty – Psy"/>
    <s v="Snouty"/>
    <n v="6"/>
    <n v="2"/>
    <s v="NULL"/>
    <s v=""/>
    <d v="2025-01-30T00:00:00"/>
    <n v="0"/>
    <n v="12"/>
    <x v="0"/>
    <x v="0"/>
    <x v="0"/>
  </r>
  <r>
    <x v="387"/>
    <n v="4040123456795"/>
    <x v="2"/>
    <s v="Starostlivosť a hygiena – Psy"/>
    <s v="Dogissimo"/>
    <n v="8.8000000000000007"/>
    <n v="1"/>
    <s v="NULL"/>
    <s v=""/>
    <d v="2025-01-30T00:00:00"/>
    <n v="0"/>
    <n v="8.8000000000000007"/>
    <x v="0"/>
    <x v="0"/>
    <x v="0"/>
  </r>
  <r>
    <x v="388"/>
    <n v="4010123456783"/>
    <x v="6"/>
    <s v="Starostlivosť a hygiena – Mačky"/>
    <s v="BellaMeow"/>
    <n v="14"/>
    <n v="1"/>
    <s v="4"/>
    <s v="NULL"/>
    <d v="2025-01-30T00:00:00"/>
    <n v="0"/>
    <n v="14"/>
    <x v="1"/>
    <x v="0"/>
    <x v="1"/>
  </r>
  <r>
    <x v="389"/>
    <n v="4028899001126"/>
    <x v="1"/>
    <s v="Krmivo a maškrty – Psy"/>
    <s v="Pup Republic"/>
    <n v="2.8"/>
    <n v="4"/>
    <s v="5"/>
    <s v="Pes spokojný, kupuju pravidelne."/>
    <d v="2025-02-01T00:00:00"/>
    <n v="0"/>
    <n v="11.2"/>
    <x v="2"/>
    <x v="1"/>
    <x v="0"/>
  </r>
  <r>
    <x v="390"/>
    <n v="4013456789017"/>
    <x v="0"/>
    <s v="Krmivo a maškrty – Psy"/>
    <s v="Snouty"/>
    <n v="6"/>
    <n v="2"/>
    <s v="NULL"/>
    <s v=""/>
    <d v="2025-02-01T00:00:00"/>
    <n v="0"/>
    <n v="12"/>
    <x v="0"/>
    <x v="1"/>
    <x v="0"/>
  </r>
  <r>
    <x v="391"/>
    <n v="4040123456795"/>
    <x v="2"/>
    <s v="Starostlivosť a hygiena – Psy"/>
    <s v="Dogissimo"/>
    <n v="8.8000000000000007"/>
    <n v="1"/>
    <s v="NULL"/>
    <s v=""/>
    <d v="2025-02-01T00:00:00"/>
    <n v="0"/>
    <n v="8.8000000000000007"/>
    <x v="0"/>
    <x v="1"/>
    <x v="0"/>
  </r>
  <r>
    <x v="392"/>
    <n v="4010123456783"/>
    <x v="6"/>
    <s v="Starostlivosť a hygiena – Mačky"/>
    <s v="BellaMeow"/>
    <n v="14"/>
    <n v="2"/>
    <s v="NULL"/>
    <s v=""/>
    <d v="2025-02-01T00:00:00"/>
    <n v="0"/>
    <n v="28"/>
    <x v="0"/>
    <x v="1"/>
    <x v="1"/>
  </r>
  <r>
    <x v="393"/>
    <n v="4063456789014"/>
    <x v="15"/>
    <s v="Krmivo a maškrty – Psy"/>
    <s v="Pupco"/>
    <n v="36"/>
    <n v="1"/>
    <s v="NULL"/>
    <s v=""/>
    <d v="2025-02-01T00:00:00"/>
    <n v="0"/>
    <n v="36"/>
    <x v="0"/>
    <x v="1"/>
    <x v="0"/>
  </r>
  <r>
    <x v="394"/>
    <n v="4056789012345"/>
    <x v="11"/>
    <s v="Krmivo a maškrty – Mačky"/>
    <s v="BellaMeow"/>
    <n v="2.4"/>
    <n v="3"/>
    <s v="NULL"/>
    <s v=""/>
    <d v="2025-02-01T00:00:00"/>
    <n v="0"/>
    <n v="7.1999999999999993"/>
    <x v="0"/>
    <x v="1"/>
    <x v="1"/>
  </r>
  <r>
    <x v="395"/>
    <n v="4061011223346"/>
    <x v="3"/>
    <s v="Oblečenie a doplnky – Psy"/>
    <s v="Tail Trend"/>
    <n v="19.600000000000001"/>
    <n v="1"/>
    <s v="4"/>
    <s v="Drží pevne aj aj v zimnom daždi."/>
    <d v="2025-02-01T00:00:00"/>
    <n v="0"/>
    <n v="19.600000000000001"/>
    <x v="1"/>
    <x v="1"/>
    <x v="0"/>
  </r>
  <r>
    <x v="396"/>
    <n v="4021234567894"/>
    <x v="18"/>
    <s v="Starostlivosť a hygiena – Mačky"/>
    <s v="PawStyle"/>
    <n v="8"/>
    <n v="1"/>
    <s v="NULL"/>
    <s v=""/>
    <d v="2025-02-01T00:00:00"/>
    <n v="0"/>
    <n v="8"/>
    <x v="0"/>
    <x v="1"/>
    <x v="1"/>
  </r>
  <r>
    <x v="397"/>
    <n v="4017890123450"/>
    <x v="16"/>
    <s v="Hračky – Psy"/>
    <s v="Dogissimo"/>
    <n v="7.6"/>
    <n v="1"/>
    <s v="NULL"/>
    <s v=""/>
    <d v="2025-02-01T00:00:00"/>
    <n v="0"/>
    <n v="7.6"/>
    <x v="0"/>
    <x v="1"/>
    <x v="0"/>
  </r>
  <r>
    <x v="398"/>
    <n v="4026677889902"/>
    <x v="12"/>
    <s v="Misky a kŕmne doplnky – Ostatné"/>
    <s v="Pawsitive Gear"/>
    <n v="7.6"/>
    <n v="1"/>
    <s v="NULL"/>
    <s v=""/>
    <d v="2025-02-01T00:00:00"/>
    <n v="0"/>
    <n v="7.6"/>
    <x v="0"/>
    <x v="1"/>
    <x v="2"/>
  </r>
  <r>
    <x v="399"/>
    <n v="4028899001126"/>
    <x v="1"/>
    <s v="Krmivo a maškrty – Psy"/>
    <s v="Pup Republic"/>
    <n v="2.8"/>
    <n v="5"/>
    <s v="NULL"/>
    <s v=""/>
    <d v="2025-02-02T00:00:00"/>
    <n v="0"/>
    <n v="14"/>
    <x v="0"/>
    <x v="1"/>
    <x v="0"/>
  </r>
  <r>
    <x v="400"/>
    <n v="4013456789017"/>
    <x v="0"/>
    <s v="Krmivo a maškrty – Psy"/>
    <s v="Snouty"/>
    <n v="6"/>
    <n v="1"/>
    <s v="NULL"/>
    <s v=""/>
    <d v="2025-02-02T00:00:00"/>
    <n v="0"/>
    <n v="6"/>
    <x v="0"/>
    <x v="1"/>
    <x v="0"/>
  </r>
  <r>
    <x v="401"/>
    <n v="4040123456795"/>
    <x v="2"/>
    <s v="Starostlivosť a hygiena – Psy"/>
    <s v="Dogissimo"/>
    <n v="8.8000000000000007"/>
    <n v="1"/>
    <s v="NULL"/>
    <s v=""/>
    <d v="2025-02-02T00:00:00"/>
    <n v="0"/>
    <n v="8.8000000000000007"/>
    <x v="0"/>
    <x v="1"/>
    <x v="0"/>
  </r>
  <r>
    <x v="402"/>
    <n v="4010123456783"/>
    <x v="6"/>
    <s v="Starostlivosť a hygiena – Mačky"/>
    <s v="BellaMeow"/>
    <n v="14"/>
    <n v="1"/>
    <s v="NULL"/>
    <s v=""/>
    <d v="2025-02-02T00:00:00"/>
    <n v="0"/>
    <n v="14"/>
    <x v="0"/>
    <x v="1"/>
    <x v="1"/>
  </r>
  <r>
    <x v="403"/>
    <n v="4056789012345"/>
    <x v="11"/>
    <s v="Krmivo a maškrty – Mačky"/>
    <s v="BellaMeow"/>
    <n v="2.4"/>
    <n v="2"/>
    <s v="NULL"/>
    <s v=""/>
    <d v="2025-02-02T00:00:00"/>
    <n v="0"/>
    <n v="4.8"/>
    <x v="0"/>
    <x v="1"/>
    <x v="1"/>
  </r>
  <r>
    <x v="404"/>
    <n v="4063456789014"/>
    <x v="15"/>
    <s v="Krmivo a maškrty – Psy"/>
    <s v="Pupco"/>
    <n v="36"/>
    <n v="1"/>
    <s v="NULL"/>
    <s v=""/>
    <d v="2025-02-02T00:00:00"/>
    <n v="0"/>
    <n v="36"/>
    <x v="0"/>
    <x v="1"/>
    <x v="0"/>
  </r>
  <r>
    <x v="405"/>
    <n v="4021234567894"/>
    <x v="18"/>
    <s v="Starostlivosť a hygiena – Mačky"/>
    <s v="PawStyle"/>
    <n v="8"/>
    <n v="1"/>
    <s v="NULL"/>
    <s v=""/>
    <d v="2025-02-02T00:00:00"/>
    <n v="0"/>
    <n v="8"/>
    <x v="0"/>
    <x v="1"/>
    <x v="1"/>
  </r>
  <r>
    <x v="406"/>
    <n v="4061011223346"/>
    <x v="3"/>
    <s v="Oblečenie a doplnky – Psy"/>
    <s v="Tail Trend"/>
    <n v="19.600000000000001"/>
    <n v="1"/>
    <s v="5"/>
    <s v="Moc pekné, kvalitné vôdzka aj v zime."/>
    <d v="2025-02-02T00:00:00"/>
    <n v="0"/>
    <n v="19.600000000000001"/>
    <x v="2"/>
    <x v="1"/>
    <x v="0"/>
  </r>
  <r>
    <x v="407"/>
    <n v="4013456789017"/>
    <x v="0"/>
    <s v="Krmivo a maškrty – Psy"/>
    <s v="Snouty"/>
    <n v="6"/>
    <n v="1"/>
    <s v="NULL"/>
    <s v=""/>
    <d v="2025-02-02T00:00:00"/>
    <n v="0"/>
    <n v="6"/>
    <x v="0"/>
    <x v="1"/>
    <x v="0"/>
  </r>
  <r>
    <x v="408"/>
    <n v="4028899001126"/>
    <x v="1"/>
    <s v="Krmivo a maškrty – Psy"/>
    <s v="Pup Republic"/>
    <n v="2.8"/>
    <n v="4"/>
    <s v="NULL"/>
    <s v=""/>
    <d v="2025-02-02T00:00:00"/>
    <n v="0"/>
    <n v="11.2"/>
    <x v="0"/>
    <x v="1"/>
    <x v="0"/>
  </r>
  <r>
    <x v="409"/>
    <n v="4010123456783"/>
    <x v="6"/>
    <s v="Starostlivosť a hygiena – Mačky"/>
    <s v="BellaMeow"/>
    <n v="14"/>
    <n v="2"/>
    <s v="NULL"/>
    <s v=""/>
    <d v="2025-02-03T00:00:00"/>
    <n v="0"/>
    <n v="28"/>
    <x v="0"/>
    <x v="1"/>
    <x v="1"/>
  </r>
  <r>
    <x v="410"/>
    <n v="4056789012345"/>
    <x v="11"/>
    <s v="Krmivo a maškrty – Mačky"/>
    <s v="BellaMeow"/>
    <n v="2.4"/>
    <n v="2"/>
    <s v="NULL"/>
    <s v=""/>
    <d v="2025-02-03T00:00:00"/>
    <n v="0"/>
    <n v="4.8"/>
    <x v="0"/>
    <x v="1"/>
    <x v="1"/>
  </r>
  <r>
    <x v="411"/>
    <n v="4063456789014"/>
    <x v="15"/>
    <s v="Krmivo a maškrty – Psy"/>
    <s v="Pupco"/>
    <n v="36"/>
    <n v="1"/>
    <s v="NULL"/>
    <s v=""/>
    <d v="2025-02-03T00:00:00"/>
    <n v="0"/>
    <n v="36"/>
    <x v="0"/>
    <x v="1"/>
    <x v="0"/>
  </r>
  <r>
    <x v="412"/>
    <n v="4021234567894"/>
    <x v="18"/>
    <s v="Starostlivosť a hygiena – Mačky"/>
    <s v="PawStyle"/>
    <n v="8"/>
    <n v="1"/>
    <s v="NULL"/>
    <s v=""/>
    <d v="2025-02-03T00:00:00"/>
    <n v="0"/>
    <n v="8"/>
    <x v="0"/>
    <x v="1"/>
    <x v="1"/>
  </r>
  <r>
    <x v="413"/>
    <n v="4017890123450"/>
    <x v="16"/>
    <s v="Hračky – Psy"/>
    <s v="Dogissimo"/>
    <n v="7.6"/>
    <n v="1"/>
    <s v="4"/>
    <s v="Pes sa s tým hraje aj v snehu."/>
    <d v="2025-02-03T00:00:00"/>
    <n v="0"/>
    <n v="7.6"/>
    <x v="1"/>
    <x v="1"/>
    <x v="0"/>
  </r>
  <r>
    <x v="414"/>
    <n v="4028899001126"/>
    <x v="1"/>
    <s v="Krmivo a maškrty – Psy"/>
    <s v="Pup Republic"/>
    <n v="2.8"/>
    <n v="5"/>
    <s v="NULL"/>
    <s v=""/>
    <d v="2025-02-03T00:00:00"/>
    <n v="0"/>
    <n v="14"/>
    <x v="0"/>
    <x v="1"/>
    <x v="0"/>
  </r>
  <r>
    <x v="415"/>
    <n v="4013456789017"/>
    <x v="0"/>
    <s v="Krmivo a maškrty – Psy"/>
    <s v="Snouty"/>
    <n v="6"/>
    <n v="2"/>
    <s v="NULL"/>
    <s v=""/>
    <d v="2025-02-03T00:00:00"/>
    <n v="0"/>
    <n v="12"/>
    <x v="0"/>
    <x v="1"/>
    <x v="0"/>
  </r>
  <r>
    <x v="416"/>
    <n v="4040123456795"/>
    <x v="2"/>
    <s v="Starostlivosť a hygiena – Psy"/>
    <s v="Dogissimo"/>
    <n v="8.8000000000000007"/>
    <n v="1"/>
    <s v="NULL"/>
    <s v=""/>
    <d v="2025-02-03T00:00:00"/>
    <n v="0"/>
    <n v="8.8000000000000007"/>
    <x v="0"/>
    <x v="1"/>
    <x v="0"/>
  </r>
  <r>
    <x v="417"/>
    <n v="4010123456783"/>
    <x v="6"/>
    <s v="Starostlivosť a hygiena – Mačky"/>
    <s v="BellaMeow"/>
    <n v="14"/>
    <n v="1"/>
    <s v="NULL"/>
    <s v=""/>
    <d v="2025-02-03T00:00:00"/>
    <n v="0"/>
    <n v="14"/>
    <x v="0"/>
    <x v="1"/>
    <x v="1"/>
  </r>
  <r>
    <x v="418"/>
    <n v="4063456789014"/>
    <x v="15"/>
    <s v="Krmivo a maškrty – Psy"/>
    <s v="Pupco"/>
    <n v="36"/>
    <n v="1"/>
    <s v="NULL"/>
    <s v=""/>
    <d v="2025-02-03T00:00:00"/>
    <n v="0"/>
    <n v="36"/>
    <x v="0"/>
    <x v="1"/>
    <x v="0"/>
  </r>
  <r>
    <x v="419"/>
    <n v="4021234567894"/>
    <x v="18"/>
    <s v="Starostlivosť a hygiena – Mačky"/>
    <s v="PawStyle"/>
    <n v="8"/>
    <n v="1"/>
    <s v="NULL"/>
    <s v=""/>
    <d v="2025-02-03T00:00:00"/>
    <n v="0"/>
    <n v="8"/>
    <x v="0"/>
    <x v="1"/>
    <x v="1"/>
  </r>
  <r>
    <x v="420"/>
    <n v="4028899001126"/>
    <x v="1"/>
    <s v="Krmivo a maškrty – Psy"/>
    <s v="Pup Republic"/>
    <n v="2.8"/>
    <n v="3"/>
    <s v="NULL"/>
    <s v=""/>
    <d v="2025-02-03T00:00:00"/>
    <n v="0"/>
    <n v="8.3999999999999986"/>
    <x v="0"/>
    <x v="1"/>
    <x v="0"/>
  </r>
  <r>
    <x v="421"/>
    <n v="4013456789017"/>
    <x v="0"/>
    <s v="Krmivo a maškrty – Psy"/>
    <s v="Snouty"/>
    <n v="6"/>
    <n v="2"/>
    <s v="NULL"/>
    <s v=""/>
    <d v="2025-02-04T00:00:00"/>
    <n v="0"/>
    <n v="12"/>
    <x v="0"/>
    <x v="1"/>
    <x v="0"/>
  </r>
  <r>
    <x v="422"/>
    <n v="4040123456795"/>
    <x v="2"/>
    <s v="Starostlivosť a hygiena – Psy"/>
    <s v="Dogissimo"/>
    <n v="8.8000000000000007"/>
    <n v="1"/>
    <s v="NULL"/>
    <s v=""/>
    <d v="2025-02-04T00:00:00"/>
    <n v="0"/>
    <n v="8.8000000000000007"/>
    <x v="0"/>
    <x v="1"/>
    <x v="0"/>
  </r>
  <r>
    <x v="423"/>
    <n v="4010123456783"/>
    <x v="6"/>
    <s v="Starostlivosť a hygiena – Mačky"/>
    <s v="BellaMeow"/>
    <n v="14"/>
    <n v="1"/>
    <s v="NULL"/>
    <s v=""/>
    <d v="2025-02-04T00:00:00"/>
    <n v="0"/>
    <n v="14"/>
    <x v="0"/>
    <x v="1"/>
    <x v="1"/>
  </r>
  <r>
    <x v="424"/>
    <n v="4028899001126"/>
    <x v="1"/>
    <s v="Krmivo a maškrty – Psy"/>
    <s v="Pup Republic"/>
    <n v="2.8"/>
    <n v="3"/>
    <s v="4"/>
    <s v="Pes ju zbožňuje."/>
    <d v="2025-02-04T00:00:00"/>
    <n v="0"/>
    <n v="8.3999999999999986"/>
    <x v="1"/>
    <x v="1"/>
    <x v="0"/>
  </r>
  <r>
    <x v="425"/>
    <n v="4013456789017"/>
    <x v="0"/>
    <s v="Krmivo a maškrty – Psy"/>
    <s v="Snouty"/>
    <n v="6"/>
    <n v="1"/>
    <s v="NULL"/>
    <s v=""/>
    <d v="2025-02-04T00:00:00"/>
    <n v="0"/>
    <n v="6"/>
    <x v="0"/>
    <x v="1"/>
    <x v="0"/>
  </r>
  <r>
    <x v="426"/>
    <n v="4063456789014"/>
    <x v="15"/>
    <s v="Krmivo a maškrty – Psy"/>
    <s v="Pupco"/>
    <n v="36"/>
    <n v="1"/>
    <s v="NULL"/>
    <s v=""/>
    <d v="2025-02-04T00:00:00"/>
    <n v="0"/>
    <n v="36"/>
    <x v="0"/>
    <x v="1"/>
    <x v="0"/>
  </r>
  <r>
    <x v="427"/>
    <n v="4056789012345"/>
    <x v="11"/>
    <s v="Krmivo a maškrty – Mačky"/>
    <s v="BellaMeow"/>
    <n v="2.4"/>
    <n v="2"/>
    <s v="NULL"/>
    <s v=""/>
    <d v="2025-02-04T00:00:00"/>
    <n v="0"/>
    <n v="4.8"/>
    <x v="0"/>
    <x v="1"/>
    <x v="1"/>
  </r>
  <r>
    <x v="428"/>
    <n v="4061011223346"/>
    <x v="3"/>
    <s v="Oblečenie a doplnky – Psy"/>
    <s v="Tail Trend"/>
    <n v="19.600000000000001"/>
    <n v="1"/>
    <s v="NULL"/>
    <s v=""/>
    <d v="2025-02-04T00:00:00"/>
    <n v="0"/>
    <n v="19.600000000000001"/>
    <x v="0"/>
    <x v="1"/>
    <x v="0"/>
  </r>
  <r>
    <x v="429"/>
    <n v="4021234567894"/>
    <x v="18"/>
    <s v="Starostlivosť a hygiena – Mačky"/>
    <s v="PawStyle"/>
    <n v="8"/>
    <n v="1"/>
    <s v="NULL"/>
    <s v=""/>
    <d v="2025-02-04T00:00:00"/>
    <n v="0"/>
    <n v="8"/>
    <x v="0"/>
    <x v="1"/>
    <x v="1"/>
  </r>
  <r>
    <x v="430"/>
    <n v="4026677889902"/>
    <x v="12"/>
    <s v="Misky a kŕmne doplnky – Ostatné"/>
    <s v="Pawsitive Gear"/>
    <n v="7.6"/>
    <n v="1"/>
    <s v="NULL"/>
    <s v=""/>
    <d v="2025-02-04T00:00:00"/>
    <n v="0"/>
    <n v="7.6"/>
    <x v="0"/>
    <x v="1"/>
    <x v="2"/>
  </r>
  <r>
    <x v="431"/>
    <n v="4028899001126"/>
    <x v="1"/>
    <s v="Krmivo a maškrty – Psy"/>
    <s v="Pup Republic"/>
    <n v="2.8"/>
    <n v="4"/>
    <s v="NULL"/>
    <s v=""/>
    <d v="2025-02-05T00:00:00"/>
    <n v="0"/>
    <n v="11.2"/>
    <x v="0"/>
    <x v="1"/>
    <x v="0"/>
  </r>
  <r>
    <x v="432"/>
    <n v="4013456789017"/>
    <x v="0"/>
    <s v="Krmivo a maškrty – Psy"/>
    <s v="Snouty"/>
    <n v="6"/>
    <n v="1"/>
    <s v="NULL"/>
    <s v=""/>
    <d v="2025-02-05T00:00:00"/>
    <n v="0"/>
    <n v="6"/>
    <x v="0"/>
    <x v="1"/>
    <x v="0"/>
  </r>
  <r>
    <x v="433"/>
    <n v="4040123456795"/>
    <x v="2"/>
    <s v="Starostlivosť a hygiena – Psy"/>
    <s v="Dogissimo"/>
    <n v="8.8000000000000007"/>
    <n v="1"/>
    <s v="NULL"/>
    <s v=""/>
    <d v="2025-02-05T00:00:00"/>
    <n v="0"/>
    <n v="8.8000000000000007"/>
    <x v="0"/>
    <x v="1"/>
    <x v="0"/>
  </r>
  <r>
    <x v="434"/>
    <n v="4010123456783"/>
    <x v="6"/>
    <s v="Starostlivosť a hygiena – Mačky"/>
    <s v="BellaMeow"/>
    <n v="14"/>
    <n v="1"/>
    <s v="3"/>
    <s v="NULL"/>
    <d v="2025-02-05T00:00:00"/>
    <n v="0"/>
    <n v="14"/>
    <x v="3"/>
    <x v="1"/>
    <x v="1"/>
  </r>
  <r>
    <x v="435"/>
    <n v="4063456789014"/>
    <x v="15"/>
    <s v="Krmivo a maškrty – Psy"/>
    <s v="Pupco"/>
    <n v="36"/>
    <n v="1"/>
    <s v="NULL"/>
    <s v=""/>
    <d v="2025-02-05T00:00:00"/>
    <n v="0"/>
    <n v="36"/>
    <x v="0"/>
    <x v="1"/>
    <x v="0"/>
  </r>
  <r>
    <x v="436"/>
    <n v="4021234567894"/>
    <x v="18"/>
    <s v="Starostlivosť a hygiena – Mačky"/>
    <s v="PawStyle"/>
    <n v="8"/>
    <n v="1"/>
    <s v="NULL"/>
    <s v=""/>
    <d v="2025-02-05T00:00:00"/>
    <n v="0"/>
    <n v="8"/>
    <x v="0"/>
    <x v="1"/>
    <x v="1"/>
  </r>
  <r>
    <x v="437"/>
    <n v="4017890123450"/>
    <x v="16"/>
    <s v="Hračky – Psy"/>
    <s v="Dogissimo"/>
    <n v="7.6"/>
    <n v="1"/>
    <s v="4"/>
    <s v="Pevná a obľúbená aj v zime."/>
    <d v="2025-02-05T00:00:00"/>
    <n v="0"/>
    <n v="7.6"/>
    <x v="1"/>
    <x v="1"/>
    <x v="0"/>
  </r>
  <r>
    <x v="438"/>
    <n v="4028899001126"/>
    <x v="1"/>
    <s v="Krmivo a maškrty – Psy"/>
    <s v="Pup Republic"/>
    <n v="2.8"/>
    <n v="4"/>
    <s v="NULL"/>
    <s v=""/>
    <d v="2025-02-05T00:00:00"/>
    <n v="0"/>
    <n v="11.2"/>
    <x v="0"/>
    <x v="1"/>
    <x v="0"/>
  </r>
  <r>
    <x v="439"/>
    <n v="4013456789017"/>
    <x v="0"/>
    <s v="Krmivo a maškrty – Psy"/>
    <s v="Snouty"/>
    <n v="6"/>
    <n v="2"/>
    <s v="NULL"/>
    <s v=""/>
    <d v="2025-02-05T00:00:00"/>
    <n v="0"/>
    <n v="12"/>
    <x v="0"/>
    <x v="1"/>
    <x v="0"/>
  </r>
  <r>
    <x v="440"/>
    <n v="4040123456795"/>
    <x v="2"/>
    <s v="Starostlivosť a hygiena – Psy"/>
    <s v="Dogissimo"/>
    <n v="8.8000000000000007"/>
    <n v="1"/>
    <s v="NULL"/>
    <s v=""/>
    <d v="2025-02-05T00:00:00"/>
    <n v="0"/>
    <n v="8.8000000000000007"/>
    <x v="0"/>
    <x v="1"/>
    <x v="0"/>
  </r>
  <r>
    <x v="441"/>
    <n v="4010123456783"/>
    <x v="6"/>
    <s v="Starostlivosť a hygiena – Mačky"/>
    <s v="BellaMeow"/>
    <n v="14"/>
    <n v="2"/>
    <s v="NULL"/>
    <s v=""/>
    <d v="2025-02-05T00:00:00"/>
    <n v="0"/>
    <n v="28"/>
    <x v="0"/>
    <x v="1"/>
    <x v="1"/>
  </r>
  <r>
    <x v="442"/>
    <n v="4056789012345"/>
    <x v="11"/>
    <s v="Krmivo a maškrty – Mačky"/>
    <s v="BellaMeow"/>
    <n v="2.4"/>
    <n v="2"/>
    <s v="NULL"/>
    <s v=""/>
    <d v="2025-02-05T00:00:00"/>
    <n v="0"/>
    <n v="4.8"/>
    <x v="0"/>
    <x v="1"/>
    <x v="1"/>
  </r>
  <r>
    <x v="443"/>
    <n v="4063456789014"/>
    <x v="15"/>
    <s v="Krmivo a maškrty – Psy"/>
    <s v="Pupco"/>
    <n v="36"/>
    <n v="1"/>
    <s v="NULL"/>
    <s v=""/>
    <d v="2025-02-05T00:00:00"/>
    <n v="0"/>
    <n v="36"/>
    <x v="0"/>
    <x v="1"/>
    <x v="0"/>
  </r>
  <r>
    <x v="444"/>
    <n v="4028899001126"/>
    <x v="1"/>
    <s v="Krmivo a maškrty – Psy"/>
    <s v="Pup Republic"/>
    <n v="2.8"/>
    <n v="5"/>
    <s v="NULL"/>
    <s v=""/>
    <d v="2025-02-06T00:00:00"/>
    <n v="0"/>
    <n v="14"/>
    <x v="0"/>
    <x v="1"/>
    <x v="0"/>
  </r>
  <r>
    <x v="445"/>
    <n v="4013456789017"/>
    <x v="0"/>
    <s v="Krmivo a maškrty – Psy"/>
    <s v="Snouty"/>
    <n v="6"/>
    <n v="1"/>
    <s v="NULL"/>
    <s v=""/>
    <d v="2025-02-06T00:00:00"/>
    <n v="0"/>
    <n v="6"/>
    <x v="0"/>
    <x v="1"/>
    <x v="0"/>
  </r>
  <r>
    <x v="446"/>
    <n v="4040123456795"/>
    <x v="2"/>
    <s v="Starostlivosť a hygiena – Psy"/>
    <s v="Dogissimo"/>
    <n v="8.8000000000000007"/>
    <n v="1"/>
    <s v="4"/>
    <s v="Dobre vonia, používame často."/>
    <d v="2025-02-06T00:00:00"/>
    <n v="0"/>
    <n v="8.8000000000000007"/>
    <x v="1"/>
    <x v="1"/>
    <x v="0"/>
  </r>
  <r>
    <x v="447"/>
    <n v="4010123456783"/>
    <x v="6"/>
    <s v="Starostlivosť a hygiena – Mačky"/>
    <s v="BellaMeow"/>
    <n v="14"/>
    <n v="1"/>
    <s v="NULL"/>
    <s v=""/>
    <d v="2025-02-06T00:00:00"/>
    <n v="0"/>
    <n v="14"/>
    <x v="0"/>
    <x v="1"/>
    <x v="1"/>
  </r>
  <r>
    <x v="448"/>
    <n v="4056789012345"/>
    <x v="11"/>
    <s v="Krmivo a maškrty – Mačky"/>
    <s v="BellaMeow"/>
    <n v="2.4"/>
    <n v="2"/>
    <s v="NULL"/>
    <s v=""/>
    <d v="2025-02-06T00:00:00"/>
    <n v="0"/>
    <n v="4.8"/>
    <x v="0"/>
    <x v="1"/>
    <x v="1"/>
  </r>
  <r>
    <x v="449"/>
    <n v="4063456789014"/>
    <x v="15"/>
    <s v="Krmivo a maškrty – Psy"/>
    <s v="Pupco"/>
    <n v="36"/>
    <n v="1"/>
    <s v="NULL"/>
    <s v=""/>
    <d v="2025-02-06T00:00:00"/>
    <n v="0"/>
    <n v="36"/>
    <x v="0"/>
    <x v="1"/>
    <x v="0"/>
  </r>
  <r>
    <x v="450"/>
    <n v="4021234567894"/>
    <x v="18"/>
    <s v="Starostlivosť a hygiena – Mačky"/>
    <s v="PawStyle"/>
    <n v="8"/>
    <n v="1"/>
    <s v="NULL"/>
    <s v=""/>
    <d v="2025-02-06T00:00:00"/>
    <n v="0"/>
    <n v="8"/>
    <x v="0"/>
    <x v="1"/>
    <x v="1"/>
  </r>
  <r>
    <x v="451"/>
    <n v="4061011223346"/>
    <x v="3"/>
    <s v="Oblečenie a doplnky – Psy"/>
    <s v="Tail Trend"/>
    <n v="19.600000000000001"/>
    <n v="1"/>
    <s v="NULL"/>
    <s v=""/>
    <d v="2025-02-06T00:00:00"/>
    <n v="0"/>
    <n v="19.600000000000001"/>
    <x v="0"/>
    <x v="1"/>
    <x v="0"/>
  </r>
  <r>
    <x v="452"/>
    <n v="4026677889902"/>
    <x v="12"/>
    <s v="Misky a kŕmne doplnky – Ostatné"/>
    <s v="Pawsitive Gear"/>
    <n v="7.6"/>
    <n v="1"/>
    <s v="NULL"/>
    <s v=""/>
    <d v="2025-02-06T00:00:00"/>
    <n v="0"/>
    <n v="7.6"/>
    <x v="0"/>
    <x v="1"/>
    <x v="2"/>
  </r>
  <r>
    <x v="453"/>
    <n v="4028899001126"/>
    <x v="1"/>
    <s v="Krmivo a maškrty – Psy"/>
    <s v="Pup Republic"/>
    <n v="2.8"/>
    <n v="3"/>
    <s v="NULL"/>
    <s v=""/>
    <d v="2025-02-06T00:00:00"/>
    <n v="0"/>
    <n v="8.3999999999999986"/>
    <x v="0"/>
    <x v="1"/>
    <x v="0"/>
  </r>
  <r>
    <x v="454"/>
    <n v="4013456789017"/>
    <x v="0"/>
    <s v="Krmivo a maškrty – Psy"/>
    <s v="Snouty"/>
    <n v="6"/>
    <n v="2"/>
    <s v="NULL"/>
    <s v=""/>
    <d v="2025-02-06T00:00:00"/>
    <n v="0"/>
    <n v="12"/>
    <x v="0"/>
    <x v="1"/>
    <x v="0"/>
  </r>
  <r>
    <x v="455"/>
    <n v="4040123456795"/>
    <x v="2"/>
    <s v="Starostlivosť a hygiena – Psy"/>
    <s v="Dogissimo"/>
    <n v="8.8000000000000007"/>
    <n v="1"/>
    <s v="NULL"/>
    <s v=""/>
    <d v="2025-02-06T00:00:00"/>
    <n v="0"/>
    <n v="8.8000000000000007"/>
    <x v="0"/>
    <x v="1"/>
    <x v="0"/>
  </r>
  <r>
    <x v="456"/>
    <n v="4010123456783"/>
    <x v="6"/>
    <s v="Starostlivosť a hygiena – Mačky"/>
    <s v="BellaMeow"/>
    <n v="14"/>
    <n v="1"/>
    <s v="NULL"/>
    <s v=""/>
    <d v="2025-02-06T00:00:00"/>
    <n v="0"/>
    <n v="14"/>
    <x v="0"/>
    <x v="1"/>
    <x v="1"/>
  </r>
  <r>
    <x v="457"/>
    <n v="4063456789014"/>
    <x v="15"/>
    <s v="Krmivo a maškrty – Psy"/>
    <s v="Pupco"/>
    <n v="36"/>
    <n v="1"/>
    <s v="5"/>
    <s v="Granuly výborné, pes prospieva."/>
    <d v="2025-02-06T00:00:00"/>
    <n v="0"/>
    <n v="36"/>
    <x v="2"/>
    <x v="1"/>
    <x v="0"/>
  </r>
  <r>
    <x v="458"/>
    <n v="4021234567894"/>
    <x v="18"/>
    <s v="Starostlivosť a hygiena – Mačky"/>
    <s v="PawStyle"/>
    <n v="8"/>
    <n v="1"/>
    <s v="NULL"/>
    <s v=""/>
    <d v="2025-02-06T00:00:00"/>
    <n v="0"/>
    <n v="8"/>
    <x v="0"/>
    <x v="1"/>
    <x v="1"/>
  </r>
  <r>
    <x v="459"/>
    <n v="4061011223346"/>
    <x v="3"/>
    <s v="Oblečenie a doplnky – Psy"/>
    <s v="Tail Trend"/>
    <n v="19.600000000000001"/>
    <n v="1"/>
    <s v="NULL"/>
    <s v=""/>
    <d v="2025-02-06T00:00:00"/>
    <n v="0"/>
    <n v="19.600000000000001"/>
    <x v="0"/>
    <x v="1"/>
    <x v="0"/>
  </r>
  <r>
    <x v="460"/>
    <n v="4028899001126"/>
    <x v="1"/>
    <s v="Krmivo a maškrty – Psy"/>
    <s v="Pup Republic"/>
    <n v="2.8"/>
    <n v="4"/>
    <s v="NULL"/>
    <s v=""/>
    <d v="2025-02-07T00:00:00"/>
    <n v="0"/>
    <n v="11.2"/>
    <x v="0"/>
    <x v="1"/>
    <x v="0"/>
  </r>
  <r>
    <x v="461"/>
    <n v="4013456789017"/>
    <x v="0"/>
    <s v="Krmivo a maškrty – Psy"/>
    <s v="Snouty"/>
    <n v="6"/>
    <n v="2"/>
    <s v="NULL"/>
    <s v=""/>
    <d v="2025-02-07T00:00:00"/>
    <n v="0"/>
    <n v="12"/>
    <x v="0"/>
    <x v="1"/>
    <x v="0"/>
  </r>
  <r>
    <x v="462"/>
    <n v="4040123456795"/>
    <x v="2"/>
    <s v="Starostlivosť a hygiena – Psy"/>
    <s v="Dogissimo"/>
    <n v="8.8000000000000007"/>
    <n v="1"/>
    <s v="NULL"/>
    <s v=""/>
    <d v="2025-02-07T00:00:00"/>
    <n v="0"/>
    <n v="8.8000000000000007"/>
    <x v="0"/>
    <x v="1"/>
    <x v="0"/>
  </r>
  <r>
    <x v="463"/>
    <n v="4010123456783"/>
    <x v="6"/>
    <s v="Starostlivosť a hygiena – Mačky"/>
    <s v="BellaMeow"/>
    <n v="14"/>
    <n v="1"/>
    <s v="NULL"/>
    <s v=""/>
    <d v="2025-02-07T00:00:00"/>
    <n v="0"/>
    <n v="14"/>
    <x v="0"/>
    <x v="1"/>
    <x v="1"/>
  </r>
  <r>
    <x v="464"/>
    <n v="4063456789014"/>
    <x v="15"/>
    <s v="Krmivo a maškrty – Psy"/>
    <s v="Pupco"/>
    <n v="36"/>
    <n v="1"/>
    <s v="NULL"/>
    <s v=""/>
    <d v="2025-02-07T00:00:00"/>
    <n v="0"/>
    <n v="36"/>
    <x v="0"/>
    <x v="1"/>
    <x v="0"/>
  </r>
  <r>
    <x v="465"/>
    <n v="4056789012345"/>
    <x v="11"/>
    <s v="Krmivo a maškrty – Mačky"/>
    <s v="BellaMeow"/>
    <n v="2.4"/>
    <n v="3"/>
    <s v="NULL"/>
    <s v=""/>
    <d v="2025-02-07T00:00:00"/>
    <n v="0"/>
    <n v="7.1999999999999993"/>
    <x v="0"/>
    <x v="1"/>
    <x v="1"/>
  </r>
  <r>
    <x v="466"/>
    <n v="4021234567894"/>
    <x v="18"/>
    <s v="Starostlivosť a hygiena – Mačky"/>
    <s v="PawStyle"/>
    <n v="8"/>
    <n v="1"/>
    <s v="NULL"/>
    <s v=""/>
    <d v="2025-02-07T00:00:00"/>
    <n v="0"/>
    <n v="8"/>
    <x v="0"/>
    <x v="1"/>
    <x v="1"/>
  </r>
  <r>
    <x v="467"/>
    <n v="4017890123450"/>
    <x v="16"/>
    <s v="Hračky – Psy"/>
    <s v="Dogissimo"/>
    <n v="7.6"/>
    <n v="1"/>
    <s v="NULL"/>
    <s v=""/>
    <d v="2025-02-07T00:00:00"/>
    <n v="0"/>
    <n v="7.6"/>
    <x v="0"/>
    <x v="1"/>
    <x v="0"/>
  </r>
  <r>
    <x v="468"/>
    <n v="4026677889902"/>
    <x v="12"/>
    <s v="Misky a kŕmne doplnky – Ostatné"/>
    <s v="Pawsitive Gear"/>
    <n v="7.6"/>
    <n v="1"/>
    <s v="NULL"/>
    <s v=""/>
    <d v="2025-02-07T00:00:00"/>
    <n v="0"/>
    <n v="7.6"/>
    <x v="0"/>
    <x v="1"/>
    <x v="2"/>
  </r>
  <r>
    <x v="469"/>
    <n v="4028899001126"/>
    <x v="1"/>
    <s v="Krmivo a maškrty – Psy"/>
    <s v="Pup Republic"/>
    <n v="2.8"/>
    <n v="3"/>
    <s v="NULL"/>
    <s v=""/>
    <d v="2025-02-07T00:00:00"/>
    <n v="0"/>
    <n v="8.3999999999999986"/>
    <x v="0"/>
    <x v="1"/>
    <x v="0"/>
  </r>
  <r>
    <x v="470"/>
    <n v="4013456789017"/>
    <x v="0"/>
    <s v="Krmivo a maškrty – Psy"/>
    <s v="Snouty"/>
    <n v="6"/>
    <n v="1"/>
    <s v="NULL"/>
    <s v=""/>
    <d v="2025-02-07T00:00:00"/>
    <n v="0"/>
    <n v="6"/>
    <x v="0"/>
    <x v="1"/>
    <x v="0"/>
  </r>
  <r>
    <x v="471"/>
    <n v="4040123456795"/>
    <x v="2"/>
    <s v="Starostlivosť a hygiena – Psy"/>
    <s v="Dogissimo"/>
    <n v="8.8000000000000007"/>
    <n v="1"/>
    <s v="NULL"/>
    <s v=""/>
    <d v="2025-02-07T00:00:00"/>
    <n v="0"/>
    <n v="8.8000000000000007"/>
    <x v="0"/>
    <x v="1"/>
    <x v="0"/>
  </r>
  <r>
    <x v="472"/>
    <n v="4010123456783"/>
    <x v="6"/>
    <s v="Starostlivosť a hygiena – Mačky"/>
    <s v="BellaMeow"/>
    <n v="14"/>
    <n v="1"/>
    <s v="NULL"/>
    <s v=""/>
    <d v="2025-02-07T00:00:00"/>
    <n v="0"/>
    <n v="14"/>
    <x v="0"/>
    <x v="1"/>
    <x v="1"/>
  </r>
  <r>
    <x v="473"/>
    <n v="4056789012345"/>
    <x v="11"/>
    <s v="Krmivo a maškrty – Mačky"/>
    <s v="BellaMeow"/>
    <n v="2.4"/>
    <n v="2"/>
    <s v="NULL"/>
    <s v=""/>
    <d v="2025-02-07T00:00:00"/>
    <n v="0"/>
    <n v="4.8"/>
    <x v="0"/>
    <x v="1"/>
    <x v="1"/>
  </r>
  <r>
    <x v="474"/>
    <n v="4063456789014"/>
    <x v="15"/>
    <s v="Krmivo a maškrty – Psy"/>
    <s v="Pupco"/>
    <n v="36"/>
    <n v="1"/>
    <s v="4"/>
    <s v="NULL"/>
    <d v="2025-02-07T00:00:00"/>
    <n v="0"/>
    <n v="36"/>
    <x v="1"/>
    <x v="1"/>
    <x v="0"/>
  </r>
  <r>
    <x v="475"/>
    <n v="4021234567894"/>
    <x v="18"/>
    <s v="Starostlivosť a hygiena – Mačky"/>
    <s v="PawStyle"/>
    <n v="8"/>
    <n v="1"/>
    <s v="NULL"/>
    <s v=""/>
    <d v="2025-02-07T00:00:00"/>
    <n v="0"/>
    <n v="8"/>
    <x v="0"/>
    <x v="1"/>
    <x v="1"/>
  </r>
  <r>
    <x v="476"/>
    <n v="4061011223346"/>
    <x v="3"/>
    <s v="Oblečenie a doplnky – Psy"/>
    <s v="Tail Trend"/>
    <n v="19.600000000000001"/>
    <n v="1"/>
    <s v="NULL"/>
    <s v=""/>
    <d v="2025-02-07T00:00:00"/>
    <n v="0"/>
    <n v="19.600000000000001"/>
    <x v="0"/>
    <x v="1"/>
    <x v="0"/>
  </r>
  <r>
    <x v="477"/>
    <n v="4028899001126"/>
    <x v="1"/>
    <s v="Krmivo a maškrty – Psy"/>
    <s v="Pup Republic"/>
    <n v="2.8"/>
    <n v="3"/>
    <s v="NULL"/>
    <s v=""/>
    <d v="2025-02-07T00:00:00"/>
    <n v="0"/>
    <n v="8.3999999999999986"/>
    <x v="0"/>
    <x v="1"/>
    <x v="0"/>
  </r>
  <r>
    <x v="478"/>
    <n v="4013456789017"/>
    <x v="0"/>
    <s v="Krmivo a maškrty – Psy"/>
    <s v="Snouty"/>
    <n v="6"/>
    <n v="2"/>
    <s v="NULL"/>
    <s v=""/>
    <d v="2025-02-07T00:00:00"/>
    <n v="0"/>
    <n v="12"/>
    <x v="0"/>
    <x v="1"/>
    <x v="0"/>
  </r>
  <r>
    <x v="479"/>
    <n v="4040123456795"/>
    <x v="2"/>
    <s v="Starostlivosť a hygiena – Psy"/>
    <s v="Dogissimo"/>
    <n v="8.8000000000000007"/>
    <n v="1"/>
    <s v="NULL"/>
    <s v=""/>
    <d v="2025-02-07T00:00:00"/>
    <n v="0"/>
    <n v="8.8000000000000007"/>
    <x v="0"/>
    <x v="1"/>
    <x v="0"/>
  </r>
  <r>
    <x v="480"/>
    <n v="4010123456783"/>
    <x v="6"/>
    <s v="Starostlivosť a hygiena – Mačky"/>
    <s v="BellaMeow"/>
    <n v="14"/>
    <n v="1"/>
    <s v="NULL"/>
    <s v=""/>
    <d v="2025-02-07T00:00:00"/>
    <n v="0"/>
    <n v="14"/>
    <x v="0"/>
    <x v="1"/>
    <x v="1"/>
  </r>
  <r>
    <x v="481"/>
    <n v="4063456789014"/>
    <x v="15"/>
    <s v="Krmivo a maškrty – Psy"/>
    <s v="Pupco"/>
    <n v="36"/>
    <n v="1"/>
    <s v="NULL"/>
    <s v=""/>
    <d v="2025-02-07T00:00:00"/>
    <n v="0"/>
    <n v="36"/>
    <x v="0"/>
    <x v="1"/>
    <x v="0"/>
  </r>
  <r>
    <x v="482"/>
    <n v="4056789012345"/>
    <x v="11"/>
    <s v="Krmivo a maškrty – Mačky"/>
    <s v="BellaMeow"/>
    <n v="2.4"/>
    <n v="3"/>
    <s v="NULL"/>
    <s v=""/>
    <d v="2025-02-07T00:00:00"/>
    <n v="0"/>
    <n v="7.1999999999999993"/>
    <x v="0"/>
    <x v="1"/>
    <x v="1"/>
  </r>
  <r>
    <x v="483"/>
    <n v="4061011223346"/>
    <x v="3"/>
    <s v="Oblečenie a doplnky – Psy"/>
    <s v="Tail Trend"/>
    <n v="19.600000000000001"/>
    <n v="1"/>
    <s v="NULL"/>
    <s v=""/>
    <d v="2025-02-07T00:00:00"/>
    <n v="0"/>
    <n v="19.600000000000001"/>
    <x v="0"/>
    <x v="1"/>
    <x v="0"/>
  </r>
  <r>
    <x v="484"/>
    <n v="4021234567894"/>
    <x v="18"/>
    <s v="Starostlivosť a hygiena – Mačky"/>
    <s v="PawStyle"/>
    <n v="8"/>
    <n v="1"/>
    <s v="NULL"/>
    <s v=""/>
    <d v="2025-02-07T00:00:00"/>
    <n v="0"/>
    <n v="8"/>
    <x v="0"/>
    <x v="1"/>
    <x v="1"/>
  </r>
  <r>
    <x v="485"/>
    <n v="4017890123450"/>
    <x v="16"/>
    <s v="Hračky – Psy"/>
    <s v="Dogissimo"/>
    <n v="7.6"/>
    <n v="1"/>
    <s v="NULL"/>
    <s v=""/>
    <d v="2025-02-07T00:00:00"/>
    <n v="0"/>
    <n v="7.6"/>
    <x v="0"/>
    <x v="1"/>
    <x v="0"/>
  </r>
  <r>
    <x v="486"/>
    <n v="4026677889902"/>
    <x v="12"/>
    <s v="Misky a kŕmne doplnky – Ostatné"/>
    <s v="Pawsitive Gear"/>
    <n v="7.6"/>
    <n v="1"/>
    <s v="NULL"/>
    <s v=""/>
    <d v="2025-02-07T00:00:00"/>
    <n v="0"/>
    <n v="7.6"/>
    <x v="0"/>
    <x v="1"/>
    <x v="2"/>
  </r>
  <r>
    <x v="487"/>
    <n v="4028899001126"/>
    <x v="1"/>
    <s v="Krmivo a maškrty – Psy"/>
    <s v="Pup Republic"/>
    <n v="2.8"/>
    <n v="3"/>
    <s v="5"/>
    <s v="Pes ju zbožňuje, objednávám často."/>
    <d v="2025-02-07T00:00:00"/>
    <n v="0"/>
    <n v="8.3999999999999986"/>
    <x v="2"/>
    <x v="1"/>
    <x v="0"/>
  </r>
  <r>
    <x v="488"/>
    <n v="4013456789017"/>
    <x v="0"/>
    <s v="Krmivo a maškrty – Psy"/>
    <s v="Snouty"/>
    <n v="6"/>
    <n v="2"/>
    <s v="NULL"/>
    <s v=""/>
    <d v="2025-02-07T00:00:00"/>
    <n v="0"/>
    <n v="12"/>
    <x v="0"/>
    <x v="1"/>
    <x v="0"/>
  </r>
  <r>
    <x v="489"/>
    <n v="4028899001126"/>
    <x v="1"/>
    <s v="Krmivo a maškrty – Psy"/>
    <s v="Pup Republic"/>
    <n v="2.8"/>
    <n v="5"/>
    <s v="NULL"/>
    <s v=""/>
    <d v="2025-02-08T00:00:00"/>
    <n v="0"/>
    <n v="14"/>
    <x v="0"/>
    <x v="1"/>
    <x v="0"/>
  </r>
  <r>
    <x v="490"/>
    <n v="4013456789017"/>
    <x v="0"/>
    <s v="Krmivo a maškrty – Psy"/>
    <s v="Snouty"/>
    <n v="6"/>
    <n v="1"/>
    <s v="NULL"/>
    <s v=""/>
    <d v="2025-02-08T00:00:00"/>
    <n v="0"/>
    <n v="6"/>
    <x v="0"/>
    <x v="1"/>
    <x v="0"/>
  </r>
  <r>
    <x v="491"/>
    <n v="4040123456795"/>
    <x v="2"/>
    <s v="Starostlivosť a hygiena – Psy"/>
    <s v="Dogissimo"/>
    <n v="8.8000000000000007"/>
    <n v="1"/>
    <s v="4"/>
    <s v="Skvelý, šetrný k pokožce psa."/>
    <d v="2025-02-08T00:00:00"/>
    <n v="0"/>
    <n v="8.8000000000000007"/>
    <x v="1"/>
    <x v="1"/>
    <x v="0"/>
  </r>
  <r>
    <x v="492"/>
    <n v="4010123456783"/>
    <x v="6"/>
    <s v="Starostlivosť a hygiena – Mačky"/>
    <s v="BellaMeow"/>
    <n v="14"/>
    <n v="2"/>
    <s v="NULL"/>
    <s v=""/>
    <d v="2025-02-08T00:00:00"/>
    <n v="0"/>
    <n v="28"/>
    <x v="0"/>
    <x v="1"/>
    <x v="1"/>
  </r>
  <r>
    <x v="493"/>
    <n v="4056789012345"/>
    <x v="11"/>
    <s v="Krmivo a maškrty – Mačky"/>
    <s v="BellaMeow"/>
    <n v="2.4"/>
    <n v="3"/>
    <s v="NULL"/>
    <s v=""/>
    <d v="2025-02-08T00:00:00"/>
    <n v="0"/>
    <n v="7.1999999999999993"/>
    <x v="0"/>
    <x v="1"/>
    <x v="1"/>
  </r>
  <r>
    <x v="494"/>
    <n v="4063456789014"/>
    <x v="15"/>
    <s v="Krmivo a maškrty – Psy"/>
    <s v="Pupco"/>
    <n v="36"/>
    <n v="1"/>
    <s v="NULL"/>
    <s v=""/>
    <d v="2025-02-08T00:00:00"/>
    <n v="0"/>
    <n v="36"/>
    <x v="0"/>
    <x v="1"/>
    <x v="0"/>
  </r>
  <r>
    <x v="495"/>
    <n v="4021234567894"/>
    <x v="18"/>
    <s v="Starostlivosť a hygiena – Mačky"/>
    <s v="PawStyle"/>
    <n v="8"/>
    <n v="1"/>
    <s v="NULL"/>
    <s v=""/>
    <d v="2025-02-08T00:00:00"/>
    <n v="0"/>
    <n v="8"/>
    <x v="0"/>
    <x v="1"/>
    <x v="1"/>
  </r>
  <r>
    <x v="496"/>
    <n v="4003344556679"/>
    <x v="19"/>
    <s v="Pelechy a nábytok – Psy"/>
    <s v="Canine Craft Industries"/>
    <n v="51.64"/>
    <n v="1"/>
    <s v="4"/>
    <s v="Pelech je teplý, vhodný na zimu."/>
    <d v="2025-02-08T00:00:00"/>
    <n v="0"/>
    <n v="51.64"/>
    <x v="1"/>
    <x v="1"/>
    <x v="0"/>
  </r>
  <r>
    <x v="497"/>
    <n v="8008901234561"/>
    <x v="20"/>
    <s v="Pelechy a nábytok – Psy"/>
    <s v="Tail Trend"/>
    <n v="28"/>
    <n v="1"/>
    <s v="5"/>
    <s v="Mäkká, ideálne do mrazov."/>
    <d v="2025-02-08T00:00:00"/>
    <n v="0"/>
    <n v="28"/>
    <x v="2"/>
    <x v="1"/>
    <x v="0"/>
  </r>
  <r>
    <x v="498"/>
    <n v="8592233445568"/>
    <x v="21"/>
    <s v="Pelechy a nábytok – Psy"/>
    <s v="Pup Republic"/>
    <n v="79.64"/>
    <n v="1"/>
    <s v="NULL"/>
    <s v=""/>
    <d v="2025-02-08T00:00:00"/>
    <n v="0"/>
    <n v="79.64"/>
    <x v="0"/>
    <x v="1"/>
    <x v="0"/>
  </r>
  <r>
    <x v="499"/>
    <n v="4028899001126"/>
    <x v="1"/>
    <s v="Krmivo a maškrty – Psy"/>
    <s v="Pup Republic"/>
    <n v="2.8"/>
    <n v="3"/>
    <s v="NULL"/>
    <s v=""/>
    <d v="2025-02-08T00:00:00"/>
    <n v="0"/>
    <n v="8.3999999999999986"/>
    <x v="0"/>
    <x v="1"/>
    <x v="0"/>
  </r>
  <r>
    <x v="500"/>
    <n v="4013456789017"/>
    <x v="0"/>
    <s v="Krmivo a maškrty – Psy"/>
    <s v="Snouty"/>
    <n v="6"/>
    <n v="1"/>
    <s v="NULL"/>
    <s v=""/>
    <d v="2025-02-08T00:00:00"/>
    <n v="0"/>
    <n v="6"/>
    <x v="0"/>
    <x v="1"/>
    <x v="0"/>
  </r>
  <r>
    <x v="501"/>
    <n v="8593456789012"/>
    <x v="4"/>
    <s v="Krmivo a maškrty – Mačky"/>
    <s v="Catissime"/>
    <n v="42"/>
    <n v="1"/>
    <s v="NULL"/>
    <s v=""/>
    <d v="2025-02-08T00:00:00"/>
    <n v="0"/>
    <n v="42"/>
    <x v="0"/>
    <x v="1"/>
    <x v="1"/>
  </r>
  <r>
    <x v="502"/>
    <n v="4069900112236"/>
    <x v="22"/>
    <s v="Pelechy a nábytok – Mačky"/>
    <s v="CozyNest"/>
    <n v="20.8"/>
    <n v="1"/>
    <s v="5"/>
    <s v="Mačka sa ju hneď obľúbila."/>
    <d v="2025-02-08T00:00:00"/>
    <n v="0"/>
    <n v="20.8"/>
    <x v="2"/>
    <x v="1"/>
    <x v="1"/>
  </r>
  <r>
    <x v="503"/>
    <n v="4017890123450"/>
    <x v="16"/>
    <s v="Hračky – Psy"/>
    <s v="Dogissimo"/>
    <n v="7.6"/>
    <n v="1"/>
    <s v="NULL"/>
    <s v=""/>
    <d v="2025-02-08T00:00:00"/>
    <n v="0"/>
    <n v="7.6"/>
    <x v="0"/>
    <x v="1"/>
    <x v="0"/>
  </r>
  <r>
    <x v="504"/>
    <n v="4026677889902"/>
    <x v="12"/>
    <s v="Misky a kŕmne doplnky – Ostatné"/>
    <s v="Pawsitive Gear"/>
    <n v="7.6"/>
    <n v="1"/>
    <s v="NULL"/>
    <s v=""/>
    <d v="2025-02-08T00:00:00"/>
    <n v="0"/>
    <n v="7.6"/>
    <x v="0"/>
    <x v="1"/>
    <x v="2"/>
  </r>
  <r>
    <x v="505"/>
    <n v="4028899001126"/>
    <x v="1"/>
    <s v="Krmivo a maškrty – Psy"/>
    <s v="Pup Republic"/>
    <n v="2.8"/>
    <n v="4"/>
    <s v="NULL"/>
    <s v=""/>
    <d v="2025-02-09T00:00:00"/>
    <n v="0"/>
    <n v="11.2"/>
    <x v="0"/>
    <x v="1"/>
    <x v="0"/>
  </r>
  <r>
    <x v="506"/>
    <n v="4013456789017"/>
    <x v="0"/>
    <s v="Krmivo a maškrty – Psy"/>
    <s v="Snouty"/>
    <n v="6"/>
    <n v="2"/>
    <s v="NULL"/>
    <s v=""/>
    <d v="2025-02-09T00:00:00"/>
    <n v="0"/>
    <n v="12"/>
    <x v="0"/>
    <x v="1"/>
    <x v="0"/>
  </r>
  <r>
    <x v="507"/>
    <n v="4040123456795"/>
    <x v="2"/>
    <s v="Starostlivosť a hygiena – Psy"/>
    <s v="Dogissimo"/>
    <n v="8.8000000000000007"/>
    <n v="1"/>
    <s v="NULL"/>
    <s v=""/>
    <d v="2025-02-09T00:00:00"/>
    <n v="0"/>
    <n v="8.8000000000000007"/>
    <x v="0"/>
    <x v="1"/>
    <x v="0"/>
  </r>
  <r>
    <x v="508"/>
    <n v="4010123456783"/>
    <x v="6"/>
    <s v="Starostlivosť a hygiena – Mačky"/>
    <s v="BellaMeow"/>
    <n v="14"/>
    <n v="1"/>
    <s v="NULL"/>
    <s v=""/>
    <d v="2025-02-09T00:00:00"/>
    <n v="0"/>
    <n v="14"/>
    <x v="0"/>
    <x v="1"/>
    <x v="1"/>
  </r>
  <r>
    <x v="509"/>
    <n v="4069012345682"/>
    <x v="23"/>
    <s v="Oblečenie a doplnky – Mačky"/>
    <s v="Catissime"/>
    <n v="26"/>
    <n v="1"/>
    <s v="5"/>
    <s v="Mačke sedí perfektne, krásny svetr."/>
    <d v="2025-02-09T00:00:00"/>
    <n v="0"/>
    <n v="26"/>
    <x v="2"/>
    <x v="1"/>
    <x v="1"/>
  </r>
  <r>
    <x v="510"/>
    <n v="4005566778891"/>
    <x v="24"/>
    <s v="Oblečenie a doplnky – Psy"/>
    <s v="Canine Craft Industries"/>
    <n v="18"/>
    <n v="1"/>
    <s v="NULL"/>
    <s v=""/>
    <d v="2025-02-09T00:00:00"/>
    <n v="0"/>
    <n v="18"/>
    <x v="0"/>
    <x v="1"/>
    <x v="0"/>
  </r>
  <r>
    <x v="511"/>
    <n v="4028899001126"/>
    <x v="1"/>
    <s v="Krmivo a maškrty – Psy"/>
    <s v="Pup Republic"/>
    <n v="2.8"/>
    <n v="3"/>
    <s v="NULL"/>
    <s v=""/>
    <d v="2025-02-09T00:00:00"/>
    <n v="0"/>
    <n v="8.3999999999999986"/>
    <x v="0"/>
    <x v="1"/>
    <x v="0"/>
  </r>
  <r>
    <x v="512"/>
    <n v="4013456789017"/>
    <x v="0"/>
    <s v="Krmivo a maškrty – Psy"/>
    <s v="Snouty"/>
    <n v="6"/>
    <n v="1"/>
    <s v="NULL"/>
    <s v=""/>
    <d v="2025-02-09T00:00:00"/>
    <n v="0"/>
    <n v="6"/>
    <x v="0"/>
    <x v="1"/>
    <x v="0"/>
  </r>
  <r>
    <x v="513"/>
    <n v="4040123456795"/>
    <x v="2"/>
    <s v="Starostlivosť a hygiena – Psy"/>
    <s v="Dogissimo"/>
    <n v="8.8000000000000007"/>
    <n v="1"/>
    <s v="NULL"/>
    <s v=""/>
    <d v="2025-02-09T00:00:00"/>
    <n v="0"/>
    <n v="8.8000000000000007"/>
    <x v="0"/>
    <x v="1"/>
    <x v="0"/>
  </r>
  <r>
    <x v="514"/>
    <n v="4010123456783"/>
    <x v="6"/>
    <s v="Starostlivosť a hygiena – Mačky"/>
    <s v="BellaMeow"/>
    <n v="14"/>
    <n v="1"/>
    <s v="NULL"/>
    <s v=""/>
    <d v="2025-02-09T00:00:00"/>
    <n v="0"/>
    <n v="14"/>
    <x v="0"/>
    <x v="1"/>
    <x v="1"/>
  </r>
  <r>
    <x v="515"/>
    <n v="4056789012345"/>
    <x v="11"/>
    <s v="Krmivo a maškrty – Mačky"/>
    <s v="BellaMeow"/>
    <n v="2.4"/>
    <n v="3"/>
    <s v="NULL"/>
    <s v=""/>
    <d v="2025-02-09T00:00:00"/>
    <n v="0"/>
    <n v="7.1999999999999993"/>
    <x v="0"/>
    <x v="1"/>
    <x v="1"/>
  </r>
  <r>
    <x v="516"/>
    <n v="4028899001126"/>
    <x v="1"/>
    <s v="Krmivo a maškrty – Psy"/>
    <s v="Pup Republic"/>
    <n v="2.8"/>
    <n v="4"/>
    <s v="5"/>
    <s v="Pes nadšený, objednávám znova."/>
    <d v="2025-02-09T00:00:00"/>
    <n v="0"/>
    <n v="11.2"/>
    <x v="2"/>
    <x v="1"/>
    <x v="0"/>
  </r>
  <r>
    <x v="517"/>
    <n v="4063456789014"/>
    <x v="15"/>
    <s v="Krmivo a maškrty – Psy"/>
    <s v="Pupco"/>
    <n v="36"/>
    <n v="1"/>
    <s v="NULL"/>
    <s v=""/>
    <d v="2025-02-09T00:00:00"/>
    <n v="0"/>
    <n v="36"/>
    <x v="0"/>
    <x v="1"/>
    <x v="0"/>
  </r>
  <r>
    <x v="518"/>
    <n v="4021234567894"/>
    <x v="18"/>
    <s v="Starostlivosť a hygiena – Mačky"/>
    <s v="PawStyle"/>
    <n v="8"/>
    <n v="1"/>
    <s v="NULL"/>
    <s v=""/>
    <d v="2025-02-09T00:00:00"/>
    <n v="0"/>
    <n v="8"/>
    <x v="0"/>
    <x v="1"/>
    <x v="1"/>
  </r>
  <r>
    <x v="519"/>
    <n v="4003344556679"/>
    <x v="19"/>
    <s v="Pelechy a nábytok – Psy"/>
    <s v="Canine Craft Industries"/>
    <n v="51.64"/>
    <n v="1"/>
    <s v="4"/>
    <s v="Velký a teplý, pes v ňom rád spí."/>
    <d v="2025-02-10T00:00:00"/>
    <n v="0"/>
    <n v="51.64"/>
    <x v="1"/>
    <x v="1"/>
    <x v="0"/>
  </r>
  <r>
    <x v="520"/>
    <n v="8008901234561"/>
    <x v="20"/>
    <s v="Pelechy a nábytok – Psy"/>
    <s v="Tail Trend"/>
    <n v="28"/>
    <n v="1"/>
    <s v="NULL"/>
    <s v=""/>
    <d v="2025-02-10T00:00:00"/>
    <n v="0"/>
    <n v="28"/>
    <x v="0"/>
    <x v="1"/>
    <x v="0"/>
  </r>
  <r>
    <x v="521"/>
    <n v="8592233445568"/>
    <x v="21"/>
    <s v="Pelechy a nábytok – Psy"/>
    <s v="Pup Republic"/>
    <n v="79.64"/>
    <n v="1"/>
    <s v="NULL"/>
    <s v=""/>
    <d v="2025-02-10T00:00:00"/>
    <n v="0"/>
    <n v="79.64"/>
    <x v="0"/>
    <x v="1"/>
    <x v="0"/>
  </r>
  <r>
    <x v="522"/>
    <n v="8597890123456"/>
    <x v="25"/>
    <s v="Oblečenie a doplnky – Mačky"/>
    <s v="Catissime"/>
    <n v="18.8"/>
    <n v="1"/>
    <s v="NULL"/>
    <s v=""/>
    <d v="2025-02-10T00:00:00"/>
    <n v="0"/>
    <n v="18.8"/>
    <x v="0"/>
    <x v="1"/>
    <x v="1"/>
  </r>
  <r>
    <x v="523"/>
    <n v="4028899001126"/>
    <x v="1"/>
    <s v="Krmivo a maškrty – Psy"/>
    <s v="Pup Republic"/>
    <n v="2.8"/>
    <n v="3"/>
    <s v="NULL"/>
    <s v=""/>
    <d v="2025-02-10T00:00:00"/>
    <n v="0"/>
    <n v="8.3999999999999986"/>
    <x v="0"/>
    <x v="1"/>
    <x v="0"/>
  </r>
  <r>
    <x v="524"/>
    <n v="4013456789017"/>
    <x v="0"/>
    <s v="Krmivo a maškrty – Psy"/>
    <s v="Snouty"/>
    <n v="6"/>
    <n v="1"/>
    <s v="NULL"/>
    <s v=""/>
    <d v="2025-02-10T00:00:00"/>
    <n v="0"/>
    <n v="6"/>
    <x v="0"/>
    <x v="1"/>
    <x v="0"/>
  </r>
  <r>
    <x v="525"/>
    <n v="4040123456795"/>
    <x v="2"/>
    <s v="Starostlivosť a hygiena – Psy"/>
    <s v="Dogissimo"/>
    <n v="8.8000000000000007"/>
    <n v="1"/>
    <s v="NULL"/>
    <s v=""/>
    <d v="2025-02-10T00:00:00"/>
    <n v="0"/>
    <n v="8.8000000000000007"/>
    <x v="0"/>
    <x v="1"/>
    <x v="0"/>
  </r>
  <r>
    <x v="526"/>
    <n v="4010123456783"/>
    <x v="6"/>
    <s v="Starostlivosť a hygiena – Mačky"/>
    <s v="BellaMeow"/>
    <n v="14"/>
    <n v="1"/>
    <s v="NULL"/>
    <s v=""/>
    <d v="2025-02-10T00:00:00"/>
    <n v="0"/>
    <n v="14"/>
    <x v="0"/>
    <x v="1"/>
    <x v="1"/>
  </r>
  <r>
    <x v="527"/>
    <n v="4056789012345"/>
    <x v="11"/>
    <s v="Krmivo a maškrty – Mačky"/>
    <s v="BellaMeow"/>
    <n v="2.4"/>
    <n v="3"/>
    <s v="NULL"/>
    <s v=""/>
    <d v="2025-02-10T00:00:00"/>
    <n v="0"/>
    <n v="7.1999999999999993"/>
    <x v="0"/>
    <x v="1"/>
    <x v="1"/>
  </r>
  <r>
    <x v="528"/>
    <n v="4063456789014"/>
    <x v="15"/>
    <s v="Krmivo a maškrty – Psy"/>
    <s v="Pupco"/>
    <n v="36"/>
    <n v="1"/>
    <s v="4"/>
    <s v="NULL"/>
    <d v="2025-02-10T00:00:00"/>
    <n v="0"/>
    <n v="36"/>
    <x v="1"/>
    <x v="1"/>
    <x v="0"/>
  </r>
  <r>
    <x v="529"/>
    <n v="4028899001126"/>
    <x v="1"/>
    <s v="Krmivo a maškrty – Psy"/>
    <s v="Pup Republic"/>
    <n v="2.8"/>
    <n v="4"/>
    <s v="NULL"/>
    <s v=""/>
    <d v="2025-02-11T00:00:00"/>
    <n v="0"/>
    <n v="11.2"/>
    <x v="0"/>
    <x v="1"/>
    <x v="0"/>
  </r>
  <r>
    <x v="530"/>
    <n v="4013456789017"/>
    <x v="0"/>
    <s v="Krmivo a maškrty – Psy"/>
    <s v="Snouty"/>
    <n v="6"/>
    <n v="2"/>
    <s v="NULL"/>
    <s v=""/>
    <d v="2025-02-11T00:00:00"/>
    <n v="0"/>
    <n v="12"/>
    <x v="0"/>
    <x v="1"/>
    <x v="0"/>
  </r>
  <r>
    <x v="531"/>
    <n v="4040123456795"/>
    <x v="2"/>
    <s v="Starostlivosť a hygiena – Psy"/>
    <s v="Dogissimo"/>
    <n v="8.8000000000000007"/>
    <n v="1"/>
    <s v="NULL"/>
    <s v=""/>
    <d v="2025-02-11T00:00:00"/>
    <n v="0"/>
    <n v="8.8000000000000007"/>
    <x v="0"/>
    <x v="1"/>
    <x v="0"/>
  </r>
  <r>
    <x v="532"/>
    <n v="4010123456783"/>
    <x v="6"/>
    <s v="Starostlivosť a hygiena – Mačky"/>
    <s v="BellaMeow"/>
    <n v="14"/>
    <n v="1"/>
    <s v="NULL"/>
    <s v=""/>
    <d v="2025-02-11T00:00:00"/>
    <n v="0"/>
    <n v="14"/>
    <x v="0"/>
    <x v="1"/>
    <x v="1"/>
  </r>
  <r>
    <x v="533"/>
    <n v="4069012345682"/>
    <x v="23"/>
    <s v="Oblečenie a doplnky – Mačky"/>
    <s v="Catissime"/>
    <n v="26"/>
    <n v="1"/>
    <s v="5"/>
    <s v="Naprosto boží, mačka vyzerá luxusne."/>
    <d v="2025-02-11T00:00:00"/>
    <n v="0"/>
    <n v="26"/>
    <x v="2"/>
    <x v="1"/>
    <x v="1"/>
  </r>
  <r>
    <x v="534"/>
    <n v="4005566778891"/>
    <x v="24"/>
    <s v="Oblečenie a doplnky – Psy"/>
    <s v="Canine Craft Industries"/>
    <n v="18"/>
    <n v="1"/>
    <s v="NULL"/>
    <s v=""/>
    <d v="2025-02-11T00:00:00"/>
    <n v="0"/>
    <n v="18"/>
    <x v="0"/>
    <x v="1"/>
    <x v="0"/>
  </r>
  <r>
    <x v="535"/>
    <n v="4028899001126"/>
    <x v="1"/>
    <s v="Krmivo a maškrty – Psy"/>
    <s v="Pup Republic"/>
    <n v="2.8"/>
    <n v="3"/>
    <s v="NULL"/>
    <s v=""/>
    <d v="2025-02-11T00:00:00"/>
    <n v="0"/>
    <n v="8.3999999999999986"/>
    <x v="0"/>
    <x v="1"/>
    <x v="0"/>
  </r>
  <r>
    <x v="536"/>
    <n v="4013456789017"/>
    <x v="0"/>
    <s v="Krmivo a maškrty – Psy"/>
    <s v="Snouty"/>
    <n v="6"/>
    <n v="1"/>
    <s v="NULL"/>
    <s v=""/>
    <d v="2025-02-11T00:00:00"/>
    <n v="0"/>
    <n v="6"/>
    <x v="0"/>
    <x v="1"/>
    <x v="0"/>
  </r>
  <r>
    <x v="537"/>
    <n v="4040123456795"/>
    <x v="2"/>
    <s v="Starostlivosť a hygiena – Psy"/>
    <s v="Dogissimo"/>
    <n v="8.8000000000000007"/>
    <n v="1"/>
    <s v="NULL"/>
    <s v=""/>
    <d v="2025-02-11T00:00:00"/>
    <n v="0"/>
    <n v="8.8000000000000007"/>
    <x v="0"/>
    <x v="1"/>
    <x v="0"/>
  </r>
  <r>
    <x v="538"/>
    <n v="4010123456783"/>
    <x v="6"/>
    <s v="Starostlivosť a hygiena – Mačky"/>
    <s v="BellaMeow"/>
    <n v="14"/>
    <n v="1"/>
    <s v="NULL"/>
    <s v=""/>
    <d v="2025-02-11T00:00:00"/>
    <n v="0"/>
    <n v="14"/>
    <x v="0"/>
    <x v="1"/>
    <x v="1"/>
  </r>
  <r>
    <x v="539"/>
    <n v="4028899001126"/>
    <x v="1"/>
    <s v="Krmivo a maškrty – Psy"/>
    <s v="Pup Republic"/>
    <n v="2.8"/>
    <n v="4"/>
    <s v="NULL"/>
    <s v=""/>
    <d v="2025-02-12T00:00:00"/>
    <n v="0"/>
    <n v="11.2"/>
    <x v="0"/>
    <x v="1"/>
    <x v="0"/>
  </r>
  <r>
    <x v="540"/>
    <n v="4013456789017"/>
    <x v="0"/>
    <s v="Krmivo a maškrty – Psy"/>
    <s v="Snouty"/>
    <n v="6"/>
    <n v="2"/>
    <s v="NULL"/>
    <s v=""/>
    <d v="2025-02-12T00:00:00"/>
    <n v="0"/>
    <n v="12"/>
    <x v="0"/>
    <x v="1"/>
    <x v="0"/>
  </r>
  <r>
    <x v="541"/>
    <n v="4040123456795"/>
    <x v="2"/>
    <s v="Starostlivosť a hygiena – Psy"/>
    <s v="Dogissimo"/>
    <n v="8.8000000000000007"/>
    <n v="1"/>
    <s v="NULL"/>
    <s v=""/>
    <d v="2025-02-12T00:00:00"/>
    <n v="0"/>
    <n v="8.8000000000000007"/>
    <x v="0"/>
    <x v="1"/>
    <x v="0"/>
  </r>
  <r>
    <x v="542"/>
    <n v="4010123456783"/>
    <x v="6"/>
    <s v="Starostlivosť a hygiena – Mačky"/>
    <s v="BellaMeow"/>
    <n v="14"/>
    <n v="2"/>
    <s v="NULL"/>
    <s v=""/>
    <d v="2025-02-12T00:00:00"/>
    <n v="0"/>
    <n v="28"/>
    <x v="0"/>
    <x v="1"/>
    <x v="1"/>
  </r>
  <r>
    <x v="543"/>
    <n v="4003344556679"/>
    <x v="19"/>
    <s v="Pelechy a nábytok – Psy"/>
    <s v="Canine Craft Industries"/>
    <n v="51.64"/>
    <n v="1"/>
    <s v="4"/>
    <s v="Teplý, mäkký, odporúčam."/>
    <d v="2025-02-12T00:00:00"/>
    <n v="0"/>
    <n v="51.64"/>
    <x v="1"/>
    <x v="1"/>
    <x v="0"/>
  </r>
  <r>
    <x v="544"/>
    <n v="8008901234561"/>
    <x v="20"/>
    <s v="Pelechy a nábytok – Psy"/>
    <s v="Tail Trend"/>
    <n v="28"/>
    <n v="1"/>
    <s v="NULL"/>
    <s v=""/>
    <d v="2025-02-12T00:00:00"/>
    <n v="0"/>
    <n v="28"/>
    <x v="0"/>
    <x v="1"/>
    <x v="0"/>
  </r>
  <r>
    <x v="545"/>
    <n v="8592233445568"/>
    <x v="21"/>
    <s v="Pelechy a nábytok – Psy"/>
    <s v="Pup Republic"/>
    <n v="79.64"/>
    <n v="1"/>
    <s v="NULL"/>
    <s v=""/>
    <d v="2025-02-12T00:00:00"/>
    <n v="0"/>
    <n v="79.64"/>
    <x v="0"/>
    <x v="1"/>
    <x v="0"/>
  </r>
  <r>
    <x v="546"/>
    <n v="8597890123456"/>
    <x v="25"/>
    <s v="Oblečenie a doplnky – Mačky"/>
    <s v="Catissime"/>
    <n v="18.8"/>
    <n v="1"/>
    <s v="5"/>
    <s v="Výborne sedí, pekný dizajn."/>
    <d v="2025-02-12T00:00:00"/>
    <n v="0"/>
    <n v="18.8"/>
    <x v="2"/>
    <x v="1"/>
    <x v="1"/>
  </r>
  <r>
    <x v="547"/>
    <n v="4028899001126"/>
    <x v="1"/>
    <s v="Krmivo a maškrty – Psy"/>
    <s v="Pup Republic"/>
    <n v="2.8"/>
    <n v="3"/>
    <s v="NULL"/>
    <s v=""/>
    <d v="2025-02-12T00:00:00"/>
    <n v="0"/>
    <n v="8.3999999999999986"/>
    <x v="0"/>
    <x v="1"/>
    <x v="0"/>
  </r>
  <r>
    <x v="548"/>
    <n v="4013456789017"/>
    <x v="0"/>
    <s v="Krmivo a maškrty – Psy"/>
    <s v="Snouty"/>
    <n v="6"/>
    <n v="1"/>
    <s v="NULL"/>
    <s v=""/>
    <d v="2025-02-12T00:00:00"/>
    <n v="0"/>
    <n v="6"/>
    <x v="0"/>
    <x v="1"/>
    <x v="0"/>
  </r>
  <r>
    <x v="549"/>
    <n v="4040123456795"/>
    <x v="2"/>
    <s v="Starostlivosť a hygiena – Psy"/>
    <s v="Dogissimo"/>
    <n v="8.8000000000000007"/>
    <n v="1"/>
    <s v="NULL"/>
    <s v=""/>
    <d v="2025-02-12T00:00:00"/>
    <n v="0"/>
    <n v="8.8000000000000007"/>
    <x v="0"/>
    <x v="1"/>
    <x v="0"/>
  </r>
  <r>
    <x v="550"/>
    <n v="4010123456783"/>
    <x v="6"/>
    <s v="Starostlivosť a hygiena – Mačky"/>
    <s v="BellaMeow"/>
    <n v="14"/>
    <n v="1"/>
    <s v="NULL"/>
    <s v=""/>
    <d v="2025-02-12T00:00:00"/>
    <n v="0"/>
    <n v="14"/>
    <x v="0"/>
    <x v="1"/>
    <x v="1"/>
  </r>
  <r>
    <x v="551"/>
    <n v="4056789012345"/>
    <x v="11"/>
    <s v="Krmivo a maškrty – Mačky"/>
    <s v="BellaMeow"/>
    <n v="2.4"/>
    <n v="2"/>
    <s v="NULL"/>
    <s v=""/>
    <d v="2025-02-12T00:00:00"/>
    <n v="0"/>
    <n v="4.8"/>
    <x v="0"/>
    <x v="1"/>
    <x v="1"/>
  </r>
  <r>
    <x v="552"/>
    <n v="4028899001126"/>
    <x v="1"/>
    <s v="Krmivo a maškrty – Psy"/>
    <s v="Pup Republic"/>
    <n v="2.8"/>
    <n v="5"/>
    <s v="5"/>
    <s v="Pes sa môže utĺcť, najlepšia konzerva."/>
    <d v="2025-02-12T00:00:00"/>
    <n v="0"/>
    <n v="14"/>
    <x v="2"/>
    <x v="1"/>
    <x v="0"/>
  </r>
  <r>
    <x v="553"/>
    <n v="4063456789014"/>
    <x v="15"/>
    <s v="Krmivo a maškrty – Psy"/>
    <s v="Pupco"/>
    <n v="36"/>
    <n v="1"/>
    <s v="NULL"/>
    <s v=""/>
    <d v="2025-02-12T00:00:00"/>
    <n v="0"/>
    <n v="36"/>
    <x v="0"/>
    <x v="1"/>
    <x v="0"/>
  </r>
  <r>
    <x v="554"/>
    <n v="4021234567894"/>
    <x v="18"/>
    <s v="Starostlivosť a hygiena – Mačky"/>
    <s v="PawStyle"/>
    <n v="8"/>
    <n v="1"/>
    <s v="NULL"/>
    <s v=""/>
    <d v="2025-02-12T00:00:00"/>
    <n v="0"/>
    <n v="8"/>
    <x v="0"/>
    <x v="1"/>
    <x v="1"/>
  </r>
  <r>
    <x v="555"/>
    <n v="4069012345682"/>
    <x v="23"/>
    <s v="Oblečenie a doplnky – Mačky"/>
    <s v="Catissime"/>
    <n v="26"/>
    <n v="1"/>
    <s v="5"/>
    <s v="Krásny svetr, ideálne na zimu."/>
    <d v="2025-02-12T00:00:00"/>
    <n v="0"/>
    <n v="26"/>
    <x v="2"/>
    <x v="1"/>
    <x v="1"/>
  </r>
  <r>
    <x v="556"/>
    <n v="4005566778891"/>
    <x v="24"/>
    <s v="Oblečenie a doplnky – Psy"/>
    <s v="Canine Craft Industries"/>
    <n v="18"/>
    <n v="1"/>
    <s v="NULL"/>
    <s v=""/>
    <d v="2025-02-12T00:00:00"/>
    <n v="0"/>
    <n v="18"/>
    <x v="0"/>
    <x v="1"/>
    <x v="0"/>
  </r>
  <r>
    <x v="557"/>
    <n v="4028899001126"/>
    <x v="1"/>
    <s v="Krmivo a maškrty – Psy"/>
    <s v="Pup Republic"/>
    <n v="2.8"/>
    <n v="3"/>
    <s v="NULL"/>
    <s v=""/>
    <d v="2025-02-13T00:00:00"/>
    <n v="0"/>
    <n v="8.3999999999999986"/>
    <x v="0"/>
    <x v="1"/>
    <x v="0"/>
  </r>
  <r>
    <x v="558"/>
    <n v="4013456789017"/>
    <x v="0"/>
    <s v="Krmivo a maškrty – Psy"/>
    <s v="Snouty"/>
    <n v="6"/>
    <n v="2"/>
    <s v="NULL"/>
    <s v=""/>
    <d v="2025-02-13T00:00:00"/>
    <n v="0"/>
    <n v="12"/>
    <x v="0"/>
    <x v="1"/>
    <x v="0"/>
  </r>
  <r>
    <x v="559"/>
    <n v="4040123456795"/>
    <x v="2"/>
    <s v="Starostlivosť a hygiena – Psy"/>
    <s v="Dogissimo"/>
    <n v="8.8000000000000007"/>
    <n v="1"/>
    <s v="NULL"/>
    <s v=""/>
    <d v="2025-02-13T00:00:00"/>
    <n v="0"/>
    <n v="8.8000000000000007"/>
    <x v="0"/>
    <x v="1"/>
    <x v="0"/>
  </r>
  <r>
    <x v="560"/>
    <n v="4010123456783"/>
    <x v="6"/>
    <s v="Starostlivosť a hygiena – Mačky"/>
    <s v="BellaMeow"/>
    <n v="14"/>
    <n v="1"/>
    <s v="NULL"/>
    <s v=""/>
    <d v="2025-02-13T00:00:00"/>
    <n v="0"/>
    <n v="14"/>
    <x v="0"/>
    <x v="1"/>
    <x v="1"/>
  </r>
  <r>
    <x v="561"/>
    <n v="4063456789014"/>
    <x v="15"/>
    <s v="Krmivo a maškrty – Psy"/>
    <s v="Pupco"/>
    <n v="36"/>
    <n v="1"/>
    <s v="4"/>
    <s v="Pes má lesklú srsť."/>
    <d v="2025-02-13T00:00:00"/>
    <n v="0"/>
    <n v="36"/>
    <x v="1"/>
    <x v="1"/>
    <x v="0"/>
  </r>
  <r>
    <x v="562"/>
    <n v="4021234567894"/>
    <x v="18"/>
    <s v="Starostlivosť a hygiena – Mačky"/>
    <s v="PawStyle"/>
    <n v="8"/>
    <n v="1"/>
    <s v="NULL"/>
    <s v=""/>
    <d v="2025-02-13T00:00:00"/>
    <n v="0"/>
    <n v="8"/>
    <x v="0"/>
    <x v="1"/>
    <x v="1"/>
  </r>
  <r>
    <x v="563"/>
    <n v="4061011223346"/>
    <x v="3"/>
    <s v="Oblečenie a doplnky – Psy"/>
    <s v="Tail Trend"/>
    <n v="19.600000000000001"/>
    <n v="1"/>
    <s v="NULL"/>
    <s v=""/>
    <d v="2025-02-13T00:00:00"/>
    <n v="0"/>
    <n v="19.600000000000001"/>
    <x v="0"/>
    <x v="1"/>
    <x v="0"/>
  </r>
  <r>
    <x v="564"/>
    <n v="4026677889902"/>
    <x v="12"/>
    <s v="Misky a kŕmne doplnky – Ostatné"/>
    <s v="Pawsitive Gear"/>
    <n v="7.6"/>
    <n v="1"/>
    <s v="NULL"/>
    <s v=""/>
    <d v="2025-02-13T00:00:00"/>
    <n v="0"/>
    <n v="7.6"/>
    <x v="0"/>
    <x v="1"/>
    <x v="2"/>
  </r>
  <r>
    <x v="565"/>
    <n v="4028899001126"/>
    <x v="1"/>
    <s v="Krmivo a maškrty – Psy"/>
    <s v="Pup Republic"/>
    <n v="2.8"/>
    <n v="4"/>
    <s v="NULL"/>
    <s v=""/>
    <d v="2025-02-13T00:00:00"/>
    <n v="0"/>
    <n v="11.2"/>
    <x v="0"/>
    <x v="1"/>
    <x v="0"/>
  </r>
  <r>
    <x v="566"/>
    <n v="4013456789017"/>
    <x v="0"/>
    <s v="Krmivo a maškrty – Psy"/>
    <s v="Snouty"/>
    <n v="6"/>
    <n v="1"/>
    <s v="NULL"/>
    <s v=""/>
    <d v="2025-02-13T00:00:00"/>
    <n v="0"/>
    <n v="6"/>
    <x v="0"/>
    <x v="1"/>
    <x v="0"/>
  </r>
  <r>
    <x v="567"/>
    <n v="4040123456795"/>
    <x v="2"/>
    <s v="Starostlivosť a hygiena – Psy"/>
    <s v="Dogissimo"/>
    <n v="8.8000000000000007"/>
    <n v="1"/>
    <s v="NULL"/>
    <s v=""/>
    <d v="2025-02-13T00:00:00"/>
    <n v="0"/>
    <n v="8.8000000000000007"/>
    <x v="0"/>
    <x v="1"/>
    <x v="0"/>
  </r>
  <r>
    <x v="568"/>
    <n v="4010123456783"/>
    <x v="6"/>
    <s v="Starostlivosť a hygiena – Mačky"/>
    <s v="BellaMeow"/>
    <n v="14"/>
    <n v="1"/>
    <s v="NULL"/>
    <s v=""/>
    <d v="2025-02-13T00:00:00"/>
    <n v="0"/>
    <n v="14"/>
    <x v="0"/>
    <x v="1"/>
    <x v="1"/>
  </r>
  <r>
    <x v="569"/>
    <n v="4063456789014"/>
    <x v="15"/>
    <s v="Krmivo a maškrty – Psy"/>
    <s v="Pupco"/>
    <n v="36"/>
    <n v="1"/>
    <s v="NULL"/>
    <s v=""/>
    <d v="2025-02-13T00:00:00"/>
    <n v="0"/>
    <n v="36"/>
    <x v="0"/>
    <x v="1"/>
    <x v="0"/>
  </r>
  <r>
    <x v="570"/>
    <n v="4028899001126"/>
    <x v="1"/>
    <s v="Krmivo a maškrty – Psy"/>
    <s v="Pup Republic"/>
    <n v="2.8"/>
    <n v="3"/>
    <s v="5"/>
    <s v="Najobľúbenejšie značka u našeho psa."/>
    <d v="2025-02-13T00:00:00"/>
    <n v="0"/>
    <n v="8.3999999999999986"/>
    <x v="2"/>
    <x v="1"/>
    <x v="0"/>
  </r>
  <r>
    <x v="571"/>
    <n v="4013456789017"/>
    <x v="0"/>
    <s v="Krmivo a maškrty – Psy"/>
    <s v="Snouty"/>
    <n v="6"/>
    <n v="2"/>
    <s v="NULL"/>
    <s v=""/>
    <d v="2025-02-13T00:00:00"/>
    <n v="0"/>
    <n v="12"/>
    <x v="0"/>
    <x v="1"/>
    <x v="0"/>
  </r>
  <r>
    <x v="572"/>
    <n v="4040123456795"/>
    <x v="2"/>
    <s v="Starostlivosť a hygiena – Psy"/>
    <s v="Dogissimo"/>
    <n v="8.8000000000000007"/>
    <n v="1"/>
    <s v="NULL"/>
    <s v=""/>
    <d v="2025-02-13T00:00:00"/>
    <n v="0"/>
    <n v="8.8000000000000007"/>
    <x v="0"/>
    <x v="1"/>
    <x v="0"/>
  </r>
  <r>
    <x v="573"/>
    <n v="4010123456783"/>
    <x v="6"/>
    <s v="Starostlivosť a hygiena – Mačky"/>
    <s v="BellaMeow"/>
    <n v="14"/>
    <n v="1"/>
    <s v="NULL"/>
    <s v=""/>
    <d v="2025-02-13T00:00:00"/>
    <n v="0"/>
    <n v="14"/>
    <x v="0"/>
    <x v="1"/>
    <x v="1"/>
  </r>
  <r>
    <x v="574"/>
    <n v="4026677889902"/>
    <x v="12"/>
    <s v="Misky a kŕmne doplnky – Ostatné"/>
    <s v="Pawsitive Gear"/>
    <n v="7.6"/>
    <n v="1"/>
    <s v="NULL"/>
    <s v=""/>
    <d v="2025-02-13T00:00:00"/>
    <n v="0"/>
    <n v="7.6"/>
    <x v="0"/>
    <x v="1"/>
    <x v="2"/>
  </r>
  <r>
    <x v="575"/>
    <n v="4028899001126"/>
    <x v="1"/>
    <s v="Krmivo a maškrty – Psy"/>
    <s v="Pup Republic"/>
    <n v="2.8"/>
    <n v="5"/>
    <s v="NULL"/>
    <s v=""/>
    <d v="2025-02-14T00:00:00"/>
    <n v="0"/>
    <n v="14"/>
    <x v="0"/>
    <x v="1"/>
    <x v="0"/>
  </r>
  <r>
    <x v="576"/>
    <n v="4013456789017"/>
    <x v="0"/>
    <s v="Krmivo a maškrty – Psy"/>
    <s v="Snouty"/>
    <n v="6"/>
    <n v="2"/>
    <s v="NULL"/>
    <s v=""/>
    <d v="2025-02-14T00:00:00"/>
    <n v="0"/>
    <n v="12"/>
    <x v="0"/>
    <x v="1"/>
    <x v="0"/>
  </r>
  <r>
    <x v="577"/>
    <n v="4040123456795"/>
    <x v="2"/>
    <s v="Starostlivosť a hygiena – Psy"/>
    <s v="Dogissimo"/>
    <n v="8.8000000000000007"/>
    <n v="1"/>
    <s v="NULL"/>
    <s v=""/>
    <d v="2025-02-14T00:00:00"/>
    <n v="0"/>
    <n v="8.8000000000000007"/>
    <x v="0"/>
    <x v="1"/>
    <x v="0"/>
  </r>
  <r>
    <x v="578"/>
    <n v="4010123456783"/>
    <x v="6"/>
    <s v="Starostlivosť a hygiena – Mačky"/>
    <s v="BellaMeow"/>
    <n v="14"/>
    <n v="1"/>
    <s v="3"/>
    <s v="NULL"/>
    <d v="2025-02-14T00:00:00"/>
    <n v="0"/>
    <n v="14"/>
    <x v="3"/>
    <x v="1"/>
    <x v="1"/>
  </r>
  <r>
    <x v="579"/>
    <n v="4056789012345"/>
    <x v="11"/>
    <s v="Krmivo a maškrty – Mačky"/>
    <s v="BellaMeow"/>
    <n v="2.4"/>
    <n v="2"/>
    <s v="NULL"/>
    <s v=""/>
    <d v="2025-02-14T00:00:00"/>
    <n v="0"/>
    <n v="4.8"/>
    <x v="0"/>
    <x v="1"/>
    <x v="1"/>
  </r>
  <r>
    <x v="580"/>
    <n v="4063456789014"/>
    <x v="15"/>
    <s v="Krmivo a maškrty – Psy"/>
    <s v="Pupco"/>
    <n v="36"/>
    <n v="1"/>
    <s v="NULL"/>
    <s v=""/>
    <d v="2025-02-14T00:00:00"/>
    <n v="0"/>
    <n v="36"/>
    <x v="0"/>
    <x v="1"/>
    <x v="0"/>
  </r>
  <r>
    <x v="581"/>
    <n v="4021234567894"/>
    <x v="18"/>
    <s v="Starostlivosť a hygiena – Mačky"/>
    <s v="PawStyle"/>
    <n v="8"/>
    <n v="1"/>
    <s v="NULL"/>
    <s v=""/>
    <d v="2025-02-14T00:00:00"/>
    <n v="0"/>
    <n v="8"/>
    <x v="0"/>
    <x v="1"/>
    <x v="1"/>
  </r>
  <r>
    <x v="582"/>
    <n v="4061011223346"/>
    <x v="3"/>
    <s v="Oblečenie a doplnky – Psy"/>
    <s v="Tail Trend"/>
    <n v="19.600000000000001"/>
    <n v="1"/>
    <s v="NULL"/>
    <s v=""/>
    <d v="2025-02-14T00:00:00"/>
    <n v="0"/>
    <n v="19.600000000000001"/>
    <x v="0"/>
    <x v="1"/>
    <x v="0"/>
  </r>
  <r>
    <x v="583"/>
    <n v="4026677889902"/>
    <x v="12"/>
    <s v="Misky a kŕmne doplnky – Ostatné"/>
    <s v="Pawsitive Gear"/>
    <n v="7.6"/>
    <n v="1"/>
    <s v="NULL"/>
    <s v=""/>
    <d v="2025-02-14T00:00:00"/>
    <n v="0"/>
    <n v="7.6"/>
    <x v="0"/>
    <x v="1"/>
    <x v="2"/>
  </r>
  <r>
    <x v="584"/>
    <n v="4028899001126"/>
    <x v="1"/>
    <s v="Krmivo a maškrty – Psy"/>
    <s v="Pup Republic"/>
    <n v="2.8"/>
    <n v="3"/>
    <s v="5"/>
    <s v="Pes ju miluje, žiaden problém."/>
    <d v="2025-02-14T00:00:00"/>
    <n v="0"/>
    <n v="8.3999999999999986"/>
    <x v="2"/>
    <x v="1"/>
    <x v="0"/>
  </r>
  <r>
    <x v="585"/>
    <n v="4013456789017"/>
    <x v="0"/>
    <s v="Krmivo a maškrty – Psy"/>
    <s v="Snouty"/>
    <n v="6"/>
    <n v="1"/>
    <s v="NULL"/>
    <s v=""/>
    <d v="2025-02-14T00:00:00"/>
    <n v="0"/>
    <n v="6"/>
    <x v="0"/>
    <x v="1"/>
    <x v="0"/>
  </r>
  <r>
    <x v="586"/>
    <n v="4040123456795"/>
    <x v="2"/>
    <s v="Starostlivosť a hygiena – Psy"/>
    <s v="Dogissimo"/>
    <n v="8.8000000000000007"/>
    <n v="1"/>
    <s v="NULL"/>
    <s v=""/>
    <d v="2025-02-14T00:00:00"/>
    <n v="0"/>
    <n v="8.8000000000000007"/>
    <x v="0"/>
    <x v="1"/>
    <x v="0"/>
  </r>
  <r>
    <x v="587"/>
    <n v="4010123456783"/>
    <x v="6"/>
    <s v="Starostlivosť a hygiena – Mačky"/>
    <s v="BellaMeow"/>
    <n v="14"/>
    <n v="1"/>
    <s v="NULL"/>
    <s v=""/>
    <d v="2025-02-14T00:00:00"/>
    <n v="0"/>
    <n v="14"/>
    <x v="0"/>
    <x v="1"/>
    <x v="1"/>
  </r>
  <r>
    <x v="588"/>
    <n v="4056789012345"/>
    <x v="11"/>
    <s v="Krmivo a maškrty – Mačky"/>
    <s v="BellaMeow"/>
    <n v="2.4"/>
    <n v="2"/>
    <s v="NULL"/>
    <s v=""/>
    <d v="2025-02-14T00:00:00"/>
    <n v="0"/>
    <n v="4.8"/>
    <x v="0"/>
    <x v="1"/>
    <x v="1"/>
  </r>
  <r>
    <x v="589"/>
    <n v="4028899001126"/>
    <x v="1"/>
    <s v="Krmivo a maškrty – Psy"/>
    <s v="Pup Republic"/>
    <n v="2.8"/>
    <n v="4"/>
    <s v="NULL"/>
    <s v=""/>
    <d v="2025-02-19T00:00:00"/>
    <n v="0"/>
    <n v="11.2"/>
    <x v="0"/>
    <x v="1"/>
    <x v="0"/>
  </r>
  <r>
    <x v="590"/>
    <n v="4013456789017"/>
    <x v="0"/>
    <s v="Krmivo a maškrty – Psy"/>
    <s v="Snouty"/>
    <n v="6"/>
    <n v="2"/>
    <s v="NULL"/>
    <s v=""/>
    <d v="2025-02-19T00:00:00"/>
    <n v="0"/>
    <n v="12"/>
    <x v="0"/>
    <x v="1"/>
    <x v="0"/>
  </r>
  <r>
    <x v="591"/>
    <n v="4040123456795"/>
    <x v="2"/>
    <s v="Starostlivosť a hygiena – Psy"/>
    <s v="Dogissimo"/>
    <n v="8.8000000000000007"/>
    <n v="1"/>
    <s v="4"/>
    <s v="Dobre pení, príjemná vôňa."/>
    <d v="2025-02-19T00:00:00"/>
    <n v="0"/>
    <n v="8.8000000000000007"/>
    <x v="1"/>
    <x v="1"/>
    <x v="0"/>
  </r>
  <r>
    <x v="592"/>
    <n v="4010123456783"/>
    <x v="6"/>
    <s v="Starostlivosť a hygiena – Mačky"/>
    <s v="BellaMeow"/>
    <n v="14"/>
    <n v="1"/>
    <s v="NULL"/>
    <s v=""/>
    <d v="2025-02-19T00:00:00"/>
    <n v="0"/>
    <n v="14"/>
    <x v="0"/>
    <x v="1"/>
    <x v="1"/>
  </r>
  <r>
    <x v="593"/>
    <n v="4069012345682"/>
    <x v="23"/>
    <s v="Oblečenie a doplnky – Mačky"/>
    <s v="Catissime"/>
    <n v="26"/>
    <n v="1"/>
    <s v="NULL"/>
    <s v=""/>
    <d v="2025-02-19T00:00:00"/>
    <n v="0"/>
    <n v="26"/>
    <x v="0"/>
    <x v="1"/>
    <x v="1"/>
  </r>
  <r>
    <x v="594"/>
    <n v="4005566778891"/>
    <x v="24"/>
    <s v="Oblečenie a doplnky – Psy"/>
    <s v="Canine Craft Industries"/>
    <n v="18"/>
    <n v="1"/>
    <s v="NULL"/>
    <s v=""/>
    <d v="2025-02-19T00:00:00"/>
    <n v="0"/>
    <n v="18"/>
    <x v="0"/>
    <x v="1"/>
    <x v="0"/>
  </r>
  <r>
    <x v="595"/>
    <n v="4028899001126"/>
    <x v="1"/>
    <s v="Krmivo a maškrty – Psy"/>
    <s v="Pup Republic"/>
    <n v="2.8"/>
    <n v="3"/>
    <s v="NULL"/>
    <s v=""/>
    <d v="2025-02-19T00:00:00"/>
    <n v="0"/>
    <n v="8.3999999999999986"/>
    <x v="0"/>
    <x v="1"/>
    <x v="0"/>
  </r>
  <r>
    <x v="596"/>
    <n v="4013456789017"/>
    <x v="0"/>
    <s v="Krmivo a maškrty – Psy"/>
    <s v="Snouty"/>
    <n v="6"/>
    <n v="1"/>
    <s v="NULL"/>
    <s v=""/>
    <d v="2025-02-19T00:00:00"/>
    <n v="0"/>
    <n v="6"/>
    <x v="0"/>
    <x v="1"/>
    <x v="0"/>
  </r>
  <r>
    <x v="597"/>
    <n v="4040123456795"/>
    <x v="2"/>
    <s v="Starostlivosť a hygiena – Psy"/>
    <s v="Dogissimo"/>
    <n v="8.8000000000000007"/>
    <n v="1"/>
    <s v="NULL"/>
    <s v=""/>
    <d v="2025-02-19T00:00:00"/>
    <n v="0"/>
    <n v="8.8000000000000007"/>
    <x v="0"/>
    <x v="1"/>
    <x v="0"/>
  </r>
  <r>
    <x v="598"/>
    <n v="4010123456783"/>
    <x v="6"/>
    <s v="Starostlivosť a hygiena – Mačky"/>
    <s v="BellaMeow"/>
    <n v="14"/>
    <n v="2"/>
    <s v="NULL"/>
    <s v=""/>
    <d v="2025-02-19T00:00:00"/>
    <n v="0"/>
    <n v="28"/>
    <x v="0"/>
    <x v="1"/>
    <x v="1"/>
  </r>
  <r>
    <x v="599"/>
    <n v="4056789012345"/>
    <x v="11"/>
    <s v="Krmivo a maškrty – Mačky"/>
    <s v="BellaMeow"/>
    <n v="2.4"/>
    <n v="2"/>
    <s v="NULL"/>
    <s v=""/>
    <d v="2025-02-19T00:00:00"/>
    <n v="0"/>
    <n v="4.8"/>
    <x v="0"/>
    <x v="1"/>
    <x v="1"/>
  </r>
  <r>
    <x v="600"/>
    <n v="4063456789014"/>
    <x v="15"/>
    <s v="Krmivo a maškrty – Psy"/>
    <s v="Pupco"/>
    <n v="36"/>
    <n v="1"/>
    <s v="5"/>
    <s v="Výborné granuly, pes prospieva."/>
    <d v="2025-02-19T00:00:00"/>
    <n v="0"/>
    <n v="36"/>
    <x v="2"/>
    <x v="1"/>
    <x v="0"/>
  </r>
  <r>
    <x v="601"/>
    <n v="4021234567894"/>
    <x v="18"/>
    <s v="Starostlivosť a hygiena – Mačky"/>
    <s v="PawStyle"/>
    <n v="8"/>
    <n v="1"/>
    <s v="NULL"/>
    <s v=""/>
    <d v="2025-02-19T00:00:00"/>
    <n v="0"/>
    <n v="8"/>
    <x v="0"/>
    <x v="1"/>
    <x v="1"/>
  </r>
  <r>
    <x v="602"/>
    <n v="4061011223346"/>
    <x v="3"/>
    <s v="Oblečenie a doplnky – Psy"/>
    <s v="Tail Trend"/>
    <n v="19.600000000000001"/>
    <n v="1"/>
    <s v="NULL"/>
    <s v=""/>
    <d v="2025-02-19T00:00:00"/>
    <n v="0"/>
    <n v="19.600000000000001"/>
    <x v="0"/>
    <x v="1"/>
    <x v="0"/>
  </r>
  <r>
    <x v="603"/>
    <n v="4026677889902"/>
    <x v="12"/>
    <s v="Misky a kŕmne doplnky – Ostatné"/>
    <s v="Pawsitive Gear"/>
    <n v="7.6"/>
    <n v="1"/>
    <s v="NULL"/>
    <s v=""/>
    <d v="2025-02-19T00:00:00"/>
    <n v="0"/>
    <n v="7.6"/>
    <x v="0"/>
    <x v="1"/>
    <x v="2"/>
  </r>
  <r>
    <x v="604"/>
    <n v="4028899001126"/>
    <x v="1"/>
    <s v="Krmivo a maškrty – Psy"/>
    <s v="Pup Republic"/>
    <n v="2.8"/>
    <n v="3"/>
    <s v="NULL"/>
    <s v=""/>
    <d v="2025-02-20T00:00:00"/>
    <n v="0"/>
    <n v="8.3999999999999986"/>
    <x v="0"/>
    <x v="1"/>
    <x v="0"/>
  </r>
  <r>
    <x v="605"/>
    <n v="4013456789017"/>
    <x v="0"/>
    <s v="Krmivo a maškrty – Psy"/>
    <s v="Snouty"/>
    <n v="6"/>
    <n v="2"/>
    <s v="NULL"/>
    <s v=""/>
    <d v="2025-02-20T00:00:00"/>
    <n v="0"/>
    <n v="12"/>
    <x v="0"/>
    <x v="1"/>
    <x v="0"/>
  </r>
  <r>
    <x v="606"/>
    <n v="4040123456795"/>
    <x v="2"/>
    <s v="Starostlivosť a hygiena – Psy"/>
    <s v="Dogissimo"/>
    <n v="8.8000000000000007"/>
    <n v="1"/>
    <s v="NULL"/>
    <s v=""/>
    <d v="2025-02-20T00:00:00"/>
    <n v="0"/>
    <n v="8.8000000000000007"/>
    <x v="0"/>
    <x v="1"/>
    <x v="0"/>
  </r>
  <r>
    <x v="607"/>
    <n v="4010123456783"/>
    <x v="6"/>
    <s v="Starostlivosť a hygiena – Mačky"/>
    <s v="BellaMeow"/>
    <n v="14"/>
    <n v="1"/>
    <s v="NULL"/>
    <s v=""/>
    <d v="2025-02-20T00:00:00"/>
    <n v="0"/>
    <n v="14"/>
    <x v="0"/>
    <x v="1"/>
    <x v="1"/>
  </r>
  <r>
    <x v="608"/>
    <n v="4063456789014"/>
    <x v="15"/>
    <s v="Krmivo a maškrty – Psy"/>
    <s v="Pupco"/>
    <n v="36"/>
    <n v="1"/>
    <s v="NULL"/>
    <s v=""/>
    <d v="2025-02-20T00:00:00"/>
    <n v="0"/>
    <n v="36"/>
    <x v="0"/>
    <x v="1"/>
    <x v="0"/>
  </r>
  <r>
    <x v="609"/>
    <n v="4021234567894"/>
    <x v="18"/>
    <s v="Starostlivosť a hygiena – Mačky"/>
    <s v="PawStyle"/>
    <n v="8"/>
    <n v="1"/>
    <s v="3"/>
    <s v="NULL"/>
    <d v="2025-02-20T00:00:00"/>
    <n v="0"/>
    <n v="8"/>
    <x v="3"/>
    <x v="1"/>
    <x v="1"/>
  </r>
  <r>
    <x v="610"/>
    <n v="4069012345682"/>
    <x v="23"/>
    <s v="Oblečenie a doplnky – Mačky"/>
    <s v="Catissime"/>
    <n v="26"/>
    <n v="1"/>
    <s v="5"/>
    <s v="Mačka vyzerá úžasne, odporúčam."/>
    <d v="2025-02-20T00:00:00"/>
    <n v="0"/>
    <n v="26"/>
    <x v="2"/>
    <x v="1"/>
    <x v="1"/>
  </r>
  <r>
    <x v="611"/>
    <n v="4005566778891"/>
    <x v="24"/>
    <s v="Oblečenie a doplnky – Psy"/>
    <s v="Canine Craft Industries"/>
    <n v="18"/>
    <n v="1"/>
    <s v="NULL"/>
    <s v=""/>
    <d v="2025-02-20T00:00:00"/>
    <n v="0"/>
    <n v="18"/>
    <x v="0"/>
    <x v="1"/>
    <x v="0"/>
  </r>
  <r>
    <x v="612"/>
    <n v="4028899001126"/>
    <x v="1"/>
    <s v="Krmivo a maškrty – Psy"/>
    <s v="Pup Republic"/>
    <n v="2.8"/>
    <n v="5"/>
    <s v="NULL"/>
    <s v=""/>
    <d v="2025-02-20T00:00:00"/>
    <n v="0"/>
    <n v="14"/>
    <x v="0"/>
    <x v="1"/>
    <x v="0"/>
  </r>
  <r>
    <x v="613"/>
    <n v="4013456789017"/>
    <x v="0"/>
    <s v="Krmivo a maškrty – Psy"/>
    <s v="Snouty"/>
    <n v="6"/>
    <n v="2"/>
    <s v="NULL"/>
    <s v=""/>
    <d v="2025-02-20T00:00:00"/>
    <n v="0"/>
    <n v="12"/>
    <x v="0"/>
    <x v="1"/>
    <x v="0"/>
  </r>
  <r>
    <x v="614"/>
    <n v="4040123456795"/>
    <x v="2"/>
    <s v="Starostlivosť a hygiena – Psy"/>
    <s v="Dogissimo"/>
    <n v="8.8000000000000007"/>
    <n v="1"/>
    <s v="NULL"/>
    <s v=""/>
    <d v="2025-02-20T00:00:00"/>
    <n v="0"/>
    <n v="8.8000000000000007"/>
    <x v="0"/>
    <x v="1"/>
    <x v="0"/>
  </r>
  <r>
    <x v="615"/>
    <n v="4010123456783"/>
    <x v="6"/>
    <s v="Starostlivosť a hygiena – Mačky"/>
    <s v="BellaMeow"/>
    <n v="14"/>
    <n v="2"/>
    <s v="NULL"/>
    <s v=""/>
    <d v="2025-02-20T00:00:00"/>
    <n v="0"/>
    <n v="28"/>
    <x v="0"/>
    <x v="1"/>
    <x v="1"/>
  </r>
  <r>
    <x v="616"/>
    <n v="4056789012345"/>
    <x v="11"/>
    <s v="Krmivo a maškrty – Mačky"/>
    <s v="BellaMeow"/>
    <n v="2.4"/>
    <n v="3"/>
    <s v="NULL"/>
    <s v=""/>
    <d v="2025-02-20T00:00:00"/>
    <n v="0"/>
    <n v="7.1999999999999993"/>
    <x v="0"/>
    <x v="1"/>
    <x v="1"/>
  </r>
  <r>
    <x v="617"/>
    <n v="4063456789014"/>
    <x v="15"/>
    <s v="Krmivo a maškrty – Psy"/>
    <s v="Pupco"/>
    <n v="36"/>
    <n v="1"/>
    <s v="NULL"/>
    <s v=""/>
    <d v="2025-02-20T00:00:00"/>
    <n v="0"/>
    <n v="36"/>
    <x v="0"/>
    <x v="1"/>
    <x v="0"/>
  </r>
  <r>
    <x v="618"/>
    <n v="4028899001126"/>
    <x v="1"/>
    <s v="Krmivo a maškrty – Psy"/>
    <s v="Pup Republic"/>
    <n v="2.8"/>
    <n v="4"/>
    <s v="5"/>
    <s v="Pes to miluje, super zloženie."/>
    <d v="2025-02-21T00:00:00"/>
    <n v="0"/>
    <n v="11.2"/>
    <x v="2"/>
    <x v="1"/>
    <x v="0"/>
  </r>
  <r>
    <x v="619"/>
    <n v="4013456789017"/>
    <x v="0"/>
    <s v="Krmivo a maškrty – Psy"/>
    <s v="Snouty"/>
    <n v="6"/>
    <n v="1"/>
    <s v="NULL"/>
    <s v=""/>
    <d v="2025-02-21T00:00:00"/>
    <n v="0"/>
    <n v="6"/>
    <x v="0"/>
    <x v="1"/>
    <x v="0"/>
  </r>
  <r>
    <x v="620"/>
    <n v="4040123456795"/>
    <x v="2"/>
    <s v="Starostlivosť a hygiena – Psy"/>
    <s v="Dogissimo"/>
    <n v="8.8000000000000007"/>
    <n v="1"/>
    <s v="NULL"/>
    <s v=""/>
    <d v="2025-02-21T00:00:00"/>
    <n v="0"/>
    <n v="8.8000000000000007"/>
    <x v="0"/>
    <x v="1"/>
    <x v="0"/>
  </r>
  <r>
    <x v="621"/>
    <n v="4010123456783"/>
    <x v="6"/>
    <s v="Starostlivosť a hygiena – Mačky"/>
    <s v="BellaMeow"/>
    <n v="14"/>
    <n v="1"/>
    <s v="NULL"/>
    <s v=""/>
    <d v="2025-02-21T00:00:00"/>
    <n v="0"/>
    <n v="14"/>
    <x v="0"/>
    <x v="1"/>
    <x v="1"/>
  </r>
  <r>
    <x v="622"/>
    <n v="4063456789014"/>
    <x v="15"/>
    <s v="Krmivo a maškrty – Psy"/>
    <s v="Pupco"/>
    <n v="36"/>
    <n v="1"/>
    <s v="NULL"/>
    <s v=""/>
    <d v="2025-02-21T00:00:00"/>
    <n v="0"/>
    <n v="36"/>
    <x v="0"/>
    <x v="1"/>
    <x v="0"/>
  </r>
  <r>
    <x v="623"/>
    <n v="4021234567894"/>
    <x v="18"/>
    <s v="Starostlivosť a hygiena – Mačky"/>
    <s v="PawStyle"/>
    <n v="8"/>
    <n v="1"/>
    <s v="NULL"/>
    <s v=""/>
    <d v="2025-02-21T00:00:00"/>
    <n v="0"/>
    <n v="8"/>
    <x v="0"/>
    <x v="1"/>
    <x v="1"/>
  </r>
  <r>
    <x v="624"/>
    <n v="4061011223346"/>
    <x v="3"/>
    <s v="Oblečenie a doplnky – Psy"/>
    <s v="Tail Trend"/>
    <n v="19.600000000000001"/>
    <n v="1"/>
    <s v="4"/>
    <s v="Odolné aj pri zimnom počasí."/>
    <d v="2025-02-21T00:00:00"/>
    <n v="0"/>
    <n v="19.600000000000001"/>
    <x v="1"/>
    <x v="1"/>
    <x v="0"/>
  </r>
  <r>
    <x v="625"/>
    <n v="4026677889902"/>
    <x v="12"/>
    <s v="Misky a kŕmne doplnky – Ostatné"/>
    <s v="Pawsitive Gear"/>
    <n v="7.6"/>
    <n v="1"/>
    <s v="NULL"/>
    <s v=""/>
    <d v="2025-02-21T00:00:00"/>
    <n v="0"/>
    <n v="7.6"/>
    <x v="0"/>
    <x v="1"/>
    <x v="2"/>
  </r>
  <r>
    <x v="626"/>
    <n v="4028899001126"/>
    <x v="1"/>
    <s v="Krmivo a maškrty – Psy"/>
    <s v="Pup Republic"/>
    <n v="2.8"/>
    <n v="5"/>
    <s v="NULL"/>
    <s v=""/>
    <d v="2025-02-21T00:00:00"/>
    <n v="0"/>
    <n v="14"/>
    <x v="0"/>
    <x v="1"/>
    <x v="0"/>
  </r>
  <r>
    <x v="627"/>
    <n v="4013456789017"/>
    <x v="0"/>
    <s v="Krmivo a maškrty – Psy"/>
    <s v="Snouty"/>
    <n v="6"/>
    <n v="2"/>
    <s v="NULL"/>
    <s v=""/>
    <d v="2025-02-21T00:00:00"/>
    <n v="0"/>
    <n v="12"/>
    <x v="0"/>
    <x v="1"/>
    <x v="0"/>
  </r>
  <r>
    <x v="628"/>
    <n v="4040123456795"/>
    <x v="2"/>
    <s v="Starostlivosť a hygiena – Psy"/>
    <s v="Dogissimo"/>
    <n v="8.8000000000000007"/>
    <n v="1"/>
    <s v="NULL"/>
    <s v=""/>
    <d v="2025-02-21T00:00:00"/>
    <n v="0"/>
    <n v="8.8000000000000007"/>
    <x v="0"/>
    <x v="1"/>
    <x v="0"/>
  </r>
  <r>
    <x v="629"/>
    <n v="4010123456783"/>
    <x v="6"/>
    <s v="Starostlivosť a hygiena – Mačky"/>
    <s v="BellaMeow"/>
    <n v="14"/>
    <n v="2"/>
    <s v="NULL"/>
    <s v=""/>
    <d v="2025-02-21T00:00:00"/>
    <n v="0"/>
    <n v="28"/>
    <x v="0"/>
    <x v="1"/>
    <x v="1"/>
  </r>
  <r>
    <x v="630"/>
    <n v="4069012345682"/>
    <x v="23"/>
    <s v="Oblečenie a doplnky – Mačky"/>
    <s v="Catissime"/>
    <n v="26"/>
    <n v="1"/>
    <s v="NULL"/>
    <s v=""/>
    <d v="2025-02-21T00:00:00"/>
    <n v="0"/>
    <n v="26"/>
    <x v="0"/>
    <x v="1"/>
    <x v="1"/>
  </r>
  <r>
    <x v="631"/>
    <n v="4005566778891"/>
    <x v="24"/>
    <s v="Oblečenie a doplnky – Psy"/>
    <s v="Canine Craft Industries"/>
    <n v="18"/>
    <n v="1"/>
    <s v="NULL"/>
    <s v=""/>
    <d v="2025-02-21T00:00:00"/>
    <n v="0"/>
    <n v="18"/>
    <x v="0"/>
    <x v="1"/>
    <x v="0"/>
  </r>
  <r>
    <x v="632"/>
    <n v="4028899001126"/>
    <x v="1"/>
    <s v="Krmivo a maškrty – Psy"/>
    <s v="Pup Republic"/>
    <n v="2.8"/>
    <n v="3"/>
    <s v="NULL"/>
    <s v=""/>
    <d v="2025-02-22T00:00:00"/>
    <n v="0"/>
    <n v="8.3999999999999986"/>
    <x v="0"/>
    <x v="1"/>
    <x v="0"/>
  </r>
  <r>
    <x v="633"/>
    <n v="4013456789017"/>
    <x v="0"/>
    <s v="Krmivo a maškrty – Psy"/>
    <s v="Snouty"/>
    <n v="6"/>
    <n v="1"/>
    <s v="NULL"/>
    <s v=""/>
    <d v="2025-02-22T00:00:00"/>
    <n v="0"/>
    <n v="6"/>
    <x v="0"/>
    <x v="1"/>
    <x v="0"/>
  </r>
  <r>
    <x v="634"/>
    <n v="4040123456795"/>
    <x v="2"/>
    <s v="Starostlivosť a hygiena – Psy"/>
    <s v="Dogissimo"/>
    <n v="8.8000000000000007"/>
    <n v="1"/>
    <s v="NULL"/>
    <s v=""/>
    <d v="2025-02-22T00:00:00"/>
    <n v="0"/>
    <n v="8.8000000000000007"/>
    <x v="0"/>
    <x v="1"/>
    <x v="0"/>
  </r>
  <r>
    <x v="635"/>
    <n v="4010123456783"/>
    <x v="6"/>
    <s v="Starostlivosť a hygiena – Mačky"/>
    <s v="BellaMeow"/>
    <n v="14"/>
    <n v="1"/>
    <s v="NULL"/>
    <s v=""/>
    <d v="2025-02-22T00:00:00"/>
    <n v="0"/>
    <n v="14"/>
    <x v="0"/>
    <x v="1"/>
    <x v="1"/>
  </r>
  <r>
    <x v="636"/>
    <n v="4063456789014"/>
    <x v="15"/>
    <s v="Krmivo a maškrty – Psy"/>
    <s v="Pupco"/>
    <n v="36"/>
    <n v="1"/>
    <s v="NULL"/>
    <s v=""/>
    <d v="2025-02-22T00:00:00"/>
    <n v="0"/>
    <n v="36"/>
    <x v="0"/>
    <x v="1"/>
    <x v="0"/>
  </r>
  <r>
    <x v="637"/>
    <n v="4056789012345"/>
    <x v="11"/>
    <s v="Krmivo a maškrty – Mačky"/>
    <s v="BellaMeow"/>
    <n v="2.4"/>
    <n v="3"/>
    <s v="NULL"/>
    <s v=""/>
    <d v="2025-02-22T00:00:00"/>
    <n v="0"/>
    <n v="7.1999999999999993"/>
    <x v="0"/>
    <x v="1"/>
    <x v="1"/>
  </r>
  <r>
    <x v="638"/>
    <n v="4021234567894"/>
    <x v="18"/>
    <s v="Starostlivosť a hygiena – Mačky"/>
    <s v="PawStyle"/>
    <n v="8"/>
    <n v="1"/>
    <s v="4"/>
    <s v="Dobre neutralizuje pachy."/>
    <d v="2025-02-22T00:00:00"/>
    <n v="0"/>
    <n v="8"/>
    <x v="1"/>
    <x v="1"/>
    <x v="1"/>
  </r>
  <r>
    <x v="639"/>
    <n v="4061011223346"/>
    <x v="3"/>
    <s v="Oblečenie a doplnky – Psy"/>
    <s v="Tail Trend"/>
    <n v="19.600000000000001"/>
    <n v="1"/>
    <s v="NULL"/>
    <s v=""/>
    <d v="2025-02-22T00:00:00"/>
    <n v="0"/>
    <n v="19.600000000000001"/>
    <x v="0"/>
    <x v="1"/>
    <x v="0"/>
  </r>
  <r>
    <x v="640"/>
    <n v="4028899001126"/>
    <x v="1"/>
    <s v="Krmivo a maškrty – Psy"/>
    <s v="Pup Republic"/>
    <n v="2.8"/>
    <n v="4"/>
    <s v="NULL"/>
    <s v=""/>
    <d v="2025-02-22T00:00:00"/>
    <n v="0"/>
    <n v="11.2"/>
    <x v="0"/>
    <x v="1"/>
    <x v="0"/>
  </r>
  <r>
    <x v="641"/>
    <n v="4013456789017"/>
    <x v="0"/>
    <s v="Krmivo a maškrty – Psy"/>
    <s v="Snouty"/>
    <n v="6"/>
    <n v="2"/>
    <s v="NULL"/>
    <s v=""/>
    <d v="2025-02-22T00:00:00"/>
    <n v="0"/>
    <n v="12"/>
    <x v="0"/>
    <x v="1"/>
    <x v="0"/>
  </r>
  <r>
    <x v="642"/>
    <n v="4040123456795"/>
    <x v="2"/>
    <s v="Starostlivosť a hygiena – Psy"/>
    <s v="Dogissimo"/>
    <n v="8.8000000000000007"/>
    <n v="1"/>
    <s v="NULL"/>
    <s v=""/>
    <d v="2025-02-22T00:00:00"/>
    <n v="0"/>
    <n v="8.8000000000000007"/>
    <x v="0"/>
    <x v="1"/>
    <x v="0"/>
  </r>
  <r>
    <x v="643"/>
    <n v="4010123456783"/>
    <x v="6"/>
    <s v="Starostlivosť a hygiena – Mačky"/>
    <s v="BellaMeow"/>
    <n v="14"/>
    <n v="2"/>
    <s v="NULL"/>
    <s v=""/>
    <d v="2025-02-22T00:00:00"/>
    <n v="0"/>
    <n v="28"/>
    <x v="0"/>
    <x v="1"/>
    <x v="1"/>
  </r>
  <r>
    <x v="644"/>
    <n v="4063456789014"/>
    <x v="15"/>
    <s v="Krmivo a maškrty – Psy"/>
    <s v="Pupco"/>
    <n v="36"/>
    <n v="1"/>
    <s v="NULL"/>
    <s v=""/>
    <d v="2025-02-22T00:00:00"/>
    <n v="0"/>
    <n v="36"/>
    <x v="0"/>
    <x v="1"/>
    <x v="0"/>
  </r>
  <r>
    <x v="645"/>
    <n v="4028899001126"/>
    <x v="1"/>
    <s v="Krmivo a maškrty – Psy"/>
    <s v="Pup Republic"/>
    <n v="2.8"/>
    <n v="3"/>
    <s v="5"/>
    <s v="Pes ju zbožňuje, kupujem opakovane."/>
    <d v="2025-02-23T00:00:00"/>
    <n v="0"/>
    <n v="8.3999999999999986"/>
    <x v="2"/>
    <x v="1"/>
    <x v="0"/>
  </r>
  <r>
    <x v="646"/>
    <n v="4013456789017"/>
    <x v="0"/>
    <s v="Krmivo a maškrty – Psy"/>
    <s v="Snouty"/>
    <n v="6"/>
    <n v="1"/>
    <s v="NULL"/>
    <s v=""/>
    <d v="2025-02-23T00:00:00"/>
    <n v="0"/>
    <n v="6"/>
    <x v="0"/>
    <x v="1"/>
    <x v="0"/>
  </r>
  <r>
    <x v="647"/>
    <n v="4040123456795"/>
    <x v="2"/>
    <s v="Starostlivosť a hygiena – Psy"/>
    <s v="Dogissimo"/>
    <n v="8.8000000000000007"/>
    <n v="1"/>
    <s v="NULL"/>
    <s v=""/>
    <d v="2025-02-23T00:00:00"/>
    <n v="0"/>
    <n v="8.8000000000000007"/>
    <x v="0"/>
    <x v="1"/>
    <x v="0"/>
  </r>
  <r>
    <x v="648"/>
    <n v="4010123456783"/>
    <x v="6"/>
    <s v="Starostlivosť a hygiena – Mačky"/>
    <s v="BellaMeow"/>
    <n v="14"/>
    <n v="1"/>
    <s v="NULL"/>
    <s v=""/>
    <d v="2025-02-23T00:00:00"/>
    <n v="0"/>
    <n v="14"/>
    <x v="0"/>
    <x v="1"/>
    <x v="1"/>
  </r>
  <r>
    <x v="649"/>
    <n v="4063456789014"/>
    <x v="15"/>
    <s v="Krmivo a maškrty – Psy"/>
    <s v="Pupco"/>
    <n v="36"/>
    <n v="1"/>
    <s v="NULL"/>
    <s v=""/>
    <d v="2025-02-23T00:00:00"/>
    <n v="0"/>
    <n v="36"/>
    <x v="0"/>
    <x v="1"/>
    <x v="0"/>
  </r>
  <r>
    <x v="650"/>
    <n v="4021234567894"/>
    <x v="18"/>
    <s v="Starostlivosť a hygiena – Mačky"/>
    <s v="PawStyle"/>
    <n v="8"/>
    <n v="1"/>
    <s v="NULL"/>
    <s v=""/>
    <d v="2025-02-23T00:00:00"/>
    <n v="0"/>
    <n v="8"/>
    <x v="0"/>
    <x v="1"/>
    <x v="1"/>
  </r>
  <r>
    <x v="651"/>
    <n v="4061011223346"/>
    <x v="3"/>
    <s v="Oblečenie a doplnky – Psy"/>
    <s v="Tail Trend"/>
    <n v="19.600000000000001"/>
    <n v="1"/>
    <s v="NULL"/>
    <s v=""/>
    <d v="2025-02-23T00:00:00"/>
    <n v="0"/>
    <n v="19.600000000000001"/>
    <x v="0"/>
    <x v="1"/>
    <x v="0"/>
  </r>
  <r>
    <x v="652"/>
    <n v="4026677889902"/>
    <x v="12"/>
    <s v="Misky a kŕmne doplnky – Ostatné"/>
    <s v="Pawsitive Gear"/>
    <n v="7.6"/>
    <n v="1"/>
    <s v="NULL"/>
    <s v=""/>
    <d v="2025-02-23T00:00:00"/>
    <n v="0"/>
    <n v="7.6"/>
    <x v="0"/>
    <x v="1"/>
    <x v="2"/>
  </r>
  <r>
    <x v="653"/>
    <n v="4028899001126"/>
    <x v="1"/>
    <s v="Krmivo a maškrty – Psy"/>
    <s v="Pup Republic"/>
    <n v="2.8"/>
    <n v="3"/>
    <s v="NULL"/>
    <s v=""/>
    <d v="2025-02-23T00:00:00"/>
    <n v="0"/>
    <n v="8.3999999999999986"/>
    <x v="0"/>
    <x v="1"/>
    <x v="0"/>
  </r>
  <r>
    <x v="654"/>
    <n v="4013456789017"/>
    <x v="0"/>
    <s v="Krmivo a maškrty – Psy"/>
    <s v="Snouty"/>
    <n v="6"/>
    <n v="2"/>
    <s v="NULL"/>
    <s v=""/>
    <d v="2025-02-23T00:00:00"/>
    <n v="0"/>
    <n v="12"/>
    <x v="0"/>
    <x v="1"/>
    <x v="0"/>
  </r>
  <r>
    <x v="655"/>
    <n v="4040123456795"/>
    <x v="2"/>
    <s v="Starostlivosť a hygiena – Psy"/>
    <s v="Dogissimo"/>
    <n v="8.8000000000000007"/>
    <n v="1"/>
    <s v="NULL"/>
    <s v=""/>
    <d v="2025-02-23T00:00:00"/>
    <n v="0"/>
    <n v="8.8000000000000007"/>
    <x v="0"/>
    <x v="1"/>
    <x v="0"/>
  </r>
  <r>
    <x v="656"/>
    <n v="4010123456783"/>
    <x v="6"/>
    <s v="Starostlivosť a hygiena – Mačky"/>
    <s v="BellaMeow"/>
    <n v="14"/>
    <n v="1"/>
    <s v="NULL"/>
    <s v=""/>
    <d v="2025-02-23T00:00:00"/>
    <n v="0"/>
    <n v="14"/>
    <x v="0"/>
    <x v="1"/>
    <x v="1"/>
  </r>
  <r>
    <x v="657"/>
    <n v="4056789012345"/>
    <x v="11"/>
    <s v="Krmivo a maškrty – Mačky"/>
    <s v="BellaMeow"/>
    <n v="2.4"/>
    <n v="2"/>
    <s v="NULL"/>
    <s v=""/>
    <d v="2025-02-23T00:00:00"/>
    <n v="0"/>
    <n v="4.8"/>
    <x v="0"/>
    <x v="1"/>
    <x v="1"/>
  </r>
  <r>
    <x v="658"/>
    <n v="4063456789014"/>
    <x v="15"/>
    <s v="Krmivo a maškrty – Psy"/>
    <s v="Pupco"/>
    <n v="36"/>
    <n v="1"/>
    <s v="4"/>
    <s v="NULL"/>
    <d v="2025-02-23T00:00:00"/>
    <n v="0"/>
    <n v="36"/>
    <x v="1"/>
    <x v="1"/>
    <x v="0"/>
  </r>
  <r>
    <x v="659"/>
    <n v="4028899001126"/>
    <x v="1"/>
    <s v="Krmivo a maškrty – Psy"/>
    <s v="Pup Republic"/>
    <n v="2.8"/>
    <n v="4"/>
    <s v="NULL"/>
    <s v=""/>
    <d v="2025-02-24T00:00:00"/>
    <n v="0"/>
    <n v="11.2"/>
    <x v="0"/>
    <x v="1"/>
    <x v="0"/>
  </r>
  <r>
    <x v="660"/>
    <n v="4013456789017"/>
    <x v="0"/>
    <s v="Krmivo a maškrty – Psy"/>
    <s v="Snouty"/>
    <n v="6"/>
    <n v="2"/>
    <s v="NULL"/>
    <s v=""/>
    <d v="2025-02-24T00:00:00"/>
    <n v="0"/>
    <n v="12"/>
    <x v="0"/>
    <x v="1"/>
    <x v="0"/>
  </r>
  <r>
    <x v="661"/>
    <n v="4040123456795"/>
    <x v="2"/>
    <s v="Starostlivosť a hygiena – Psy"/>
    <s v="Dogissimo"/>
    <n v="8.8000000000000007"/>
    <n v="1"/>
    <s v="NULL"/>
    <s v=""/>
    <d v="2025-02-24T00:00:00"/>
    <n v="0"/>
    <n v="8.8000000000000007"/>
    <x v="0"/>
    <x v="1"/>
    <x v="0"/>
  </r>
  <r>
    <x v="662"/>
    <n v="4010123456783"/>
    <x v="6"/>
    <s v="Starostlivosť a hygiena – Mačky"/>
    <s v="BellaMeow"/>
    <n v="14"/>
    <n v="1"/>
    <s v="NULL"/>
    <s v=""/>
    <d v="2025-02-24T00:00:00"/>
    <n v="0"/>
    <n v="14"/>
    <x v="0"/>
    <x v="1"/>
    <x v="1"/>
  </r>
  <r>
    <x v="663"/>
    <n v="4063456789014"/>
    <x v="15"/>
    <s v="Krmivo a maškrty – Psy"/>
    <s v="Pupco"/>
    <n v="36"/>
    <n v="1"/>
    <s v="NULL"/>
    <s v=""/>
    <d v="2025-02-24T00:00:00"/>
    <n v="0"/>
    <n v="36"/>
    <x v="0"/>
    <x v="1"/>
    <x v="0"/>
  </r>
  <r>
    <x v="664"/>
    <n v="4021234567894"/>
    <x v="18"/>
    <s v="Starostlivosť a hygiena – Mačky"/>
    <s v="PawStyle"/>
    <n v="8"/>
    <n v="1"/>
    <s v="NULL"/>
    <s v=""/>
    <d v="2025-02-24T00:00:00"/>
    <n v="0"/>
    <n v="8"/>
    <x v="0"/>
    <x v="1"/>
    <x v="1"/>
  </r>
  <r>
    <x v="665"/>
    <n v="4061011223346"/>
    <x v="3"/>
    <s v="Oblečenie a doplnky – Psy"/>
    <s v="Tail Trend"/>
    <n v="19.600000000000001"/>
    <n v="1"/>
    <s v="4"/>
    <s v="Pevné, pohodlné držení."/>
    <d v="2025-02-24T00:00:00"/>
    <n v="0"/>
    <n v="19.600000000000001"/>
    <x v="1"/>
    <x v="1"/>
    <x v="0"/>
  </r>
  <r>
    <x v="666"/>
    <n v="4026677889902"/>
    <x v="12"/>
    <s v="Misky a kŕmne doplnky – Ostatné"/>
    <s v="Pawsitive Gear"/>
    <n v="7.6"/>
    <n v="1"/>
    <s v="NULL"/>
    <s v=""/>
    <d v="2025-02-24T00:00:00"/>
    <n v="0"/>
    <n v="7.6"/>
    <x v="0"/>
    <x v="1"/>
    <x v="2"/>
  </r>
  <r>
    <x v="667"/>
    <n v="4028899001126"/>
    <x v="1"/>
    <s v="Krmivo a maškrty – Psy"/>
    <s v="Pup Republic"/>
    <n v="2.8"/>
    <n v="3"/>
    <s v="NULL"/>
    <s v=""/>
    <d v="2025-02-25T00:00:00"/>
    <n v="0"/>
    <n v="8.3999999999999986"/>
    <x v="0"/>
    <x v="1"/>
    <x v="0"/>
  </r>
  <r>
    <x v="668"/>
    <n v="4013456789017"/>
    <x v="0"/>
    <s v="Krmivo a maškrty – Psy"/>
    <s v="Snouty"/>
    <n v="6"/>
    <n v="2"/>
    <s v="NULL"/>
    <s v=""/>
    <d v="2025-02-25T00:00:00"/>
    <n v="0"/>
    <n v="12"/>
    <x v="0"/>
    <x v="1"/>
    <x v="0"/>
  </r>
  <r>
    <x v="669"/>
    <n v="4040123456795"/>
    <x v="2"/>
    <s v="Starostlivosť a hygiena – Psy"/>
    <s v="Dogissimo"/>
    <n v="8.8000000000000007"/>
    <n v="1"/>
    <s v="NULL"/>
    <s v=""/>
    <d v="2025-02-25T00:00:00"/>
    <n v="0"/>
    <n v="8.8000000000000007"/>
    <x v="0"/>
    <x v="1"/>
    <x v="0"/>
  </r>
  <r>
    <x v="670"/>
    <n v="4010123456783"/>
    <x v="6"/>
    <s v="Starostlivosť a hygiena – Mačky"/>
    <s v="BellaMeow"/>
    <n v="14"/>
    <n v="1"/>
    <s v="NULL"/>
    <s v=""/>
    <d v="2025-02-25T00:00:00"/>
    <n v="0"/>
    <n v="14"/>
    <x v="0"/>
    <x v="1"/>
    <x v="1"/>
  </r>
  <r>
    <x v="671"/>
    <n v="4063456789014"/>
    <x v="15"/>
    <s v="Krmivo a maškrty – Psy"/>
    <s v="Pupco"/>
    <n v="36"/>
    <n v="1"/>
    <s v="4"/>
    <s v="Pes má krásnou srsť."/>
    <d v="2025-02-25T00:00:00"/>
    <n v="0"/>
    <n v="36"/>
    <x v="1"/>
    <x v="1"/>
    <x v="0"/>
  </r>
  <r>
    <x v="672"/>
    <n v="4021234567894"/>
    <x v="18"/>
    <s v="Starostlivosť a hygiena – Mačky"/>
    <s v="PawStyle"/>
    <n v="8"/>
    <n v="1"/>
    <s v="NULL"/>
    <s v=""/>
    <d v="2025-02-25T00:00:00"/>
    <n v="0"/>
    <n v="8"/>
    <x v="0"/>
    <x v="1"/>
    <x v="1"/>
  </r>
  <r>
    <x v="673"/>
    <n v="4069012345682"/>
    <x v="23"/>
    <s v="Oblečenie a doplnky – Mačky"/>
    <s v="Catissime"/>
    <n v="26"/>
    <n v="1"/>
    <s v="5"/>
    <s v="Krásny, hrejivý svetr."/>
    <d v="2025-02-25T00:00:00"/>
    <n v="0"/>
    <n v="26"/>
    <x v="2"/>
    <x v="1"/>
    <x v="1"/>
  </r>
  <r>
    <x v="674"/>
    <n v="4005566778891"/>
    <x v="24"/>
    <s v="Oblečenie a doplnky – Psy"/>
    <s v="Canine Craft Industries"/>
    <n v="18"/>
    <n v="1"/>
    <s v="NULL"/>
    <s v=""/>
    <d v="2025-02-25T00:00:00"/>
    <n v="0"/>
    <n v="18"/>
    <x v="0"/>
    <x v="1"/>
    <x v="0"/>
  </r>
  <r>
    <x v="675"/>
    <n v="4028899001126"/>
    <x v="1"/>
    <s v="Krmivo a maškrty – Psy"/>
    <s v="Pup Republic"/>
    <n v="2.8"/>
    <n v="3"/>
    <s v="NULL"/>
    <s v=""/>
    <d v="2025-02-26T00:00:00"/>
    <n v="0"/>
    <n v="8.3999999999999986"/>
    <x v="0"/>
    <x v="1"/>
    <x v="0"/>
  </r>
  <r>
    <x v="676"/>
    <n v="4013456789017"/>
    <x v="0"/>
    <s v="Krmivo a maškrty – Psy"/>
    <s v="Snouty"/>
    <n v="6"/>
    <n v="1"/>
    <s v="NULL"/>
    <s v=""/>
    <d v="2025-02-26T00:00:00"/>
    <n v="0"/>
    <n v="6"/>
    <x v="0"/>
    <x v="1"/>
    <x v="0"/>
  </r>
  <r>
    <x v="677"/>
    <n v="4040123456795"/>
    <x v="2"/>
    <s v="Starostlivosť a hygiena – Psy"/>
    <s v="Dogissimo"/>
    <n v="8.8000000000000007"/>
    <n v="1"/>
    <s v="NULL"/>
    <s v=""/>
    <d v="2025-02-26T00:00:00"/>
    <n v="0"/>
    <n v="8.8000000000000007"/>
    <x v="0"/>
    <x v="1"/>
    <x v="0"/>
  </r>
  <r>
    <x v="678"/>
    <n v="4010123456783"/>
    <x v="6"/>
    <s v="Starostlivosť a hygiena – Mačky"/>
    <s v="BellaMeow"/>
    <n v="14"/>
    <n v="2"/>
    <s v="NULL"/>
    <s v=""/>
    <d v="2025-02-26T00:00:00"/>
    <n v="0"/>
    <n v="28"/>
    <x v="0"/>
    <x v="1"/>
    <x v="1"/>
  </r>
  <r>
    <x v="679"/>
    <n v="4056789012345"/>
    <x v="11"/>
    <s v="Krmivo a maškrty – Mačky"/>
    <s v="BellaMeow"/>
    <n v="2.4"/>
    <n v="2"/>
    <s v="NULL"/>
    <s v=""/>
    <d v="2025-02-26T00:00:00"/>
    <n v="0"/>
    <n v="4.8"/>
    <x v="0"/>
    <x v="1"/>
    <x v="1"/>
  </r>
  <r>
    <x v="680"/>
    <n v="4063456789014"/>
    <x v="15"/>
    <s v="Krmivo a maškrty – Psy"/>
    <s v="Pupco"/>
    <n v="36"/>
    <n v="1"/>
    <s v="5"/>
    <s v="Granuly výborné, pes spokojen."/>
    <d v="2025-02-26T00:00:00"/>
    <n v="0"/>
    <n v="36"/>
    <x v="2"/>
    <x v="1"/>
    <x v="0"/>
  </r>
  <r>
    <x v="681"/>
    <n v="4021234567894"/>
    <x v="18"/>
    <s v="Starostlivosť a hygiena – Mačky"/>
    <s v="PawStyle"/>
    <n v="8"/>
    <n v="1"/>
    <s v="NULL"/>
    <s v=""/>
    <d v="2025-02-26T00:00:00"/>
    <n v="0"/>
    <n v="8"/>
    <x v="0"/>
    <x v="1"/>
    <x v="1"/>
  </r>
  <r>
    <x v="682"/>
    <n v="4061011223346"/>
    <x v="3"/>
    <s v="Oblečenie a doplnky – Psy"/>
    <s v="Tail Trend"/>
    <n v="19.600000000000001"/>
    <n v="1"/>
    <s v="4"/>
    <s v="Pevné, pekne drží."/>
    <d v="2025-02-26T00:00:00"/>
    <n v="0"/>
    <n v="19.600000000000001"/>
    <x v="1"/>
    <x v="1"/>
    <x v="0"/>
  </r>
  <r>
    <x v="683"/>
    <n v="4026677889902"/>
    <x v="12"/>
    <s v="Misky a kŕmne doplnky – Ostatné"/>
    <s v="Pawsitive Gear"/>
    <n v="7.6"/>
    <n v="1"/>
    <s v="NULL"/>
    <s v=""/>
    <d v="2025-02-26T00:00:00"/>
    <n v="0"/>
    <n v="7.6"/>
    <x v="0"/>
    <x v="1"/>
    <x v="2"/>
  </r>
  <r>
    <x v="684"/>
    <n v="4028899001126"/>
    <x v="1"/>
    <s v="Krmivo a maškrty – Psy"/>
    <s v="Pup Republic"/>
    <n v="2.8"/>
    <n v="5"/>
    <s v="NULL"/>
    <s v=""/>
    <d v="2025-02-26T00:00:00"/>
    <n v="0"/>
    <n v="14"/>
    <x v="0"/>
    <x v="1"/>
    <x v="0"/>
  </r>
  <r>
    <x v="685"/>
    <n v="4013456789017"/>
    <x v="0"/>
    <s v="Krmivo a maškrty – Psy"/>
    <s v="Snouty"/>
    <n v="6"/>
    <n v="2"/>
    <s v="NULL"/>
    <s v=""/>
    <d v="2025-02-26T00:00:00"/>
    <n v="0"/>
    <n v="12"/>
    <x v="0"/>
    <x v="1"/>
    <x v="0"/>
  </r>
  <r>
    <x v="686"/>
    <n v="4040123456795"/>
    <x v="2"/>
    <s v="Starostlivosť a hygiena – Psy"/>
    <s v="Dogissimo"/>
    <n v="8.8000000000000007"/>
    <n v="1"/>
    <s v="NULL"/>
    <s v=""/>
    <d v="2025-02-26T00:00:00"/>
    <n v="0"/>
    <n v="8.8000000000000007"/>
    <x v="0"/>
    <x v="1"/>
    <x v="0"/>
  </r>
  <r>
    <x v="687"/>
    <n v="4010123456783"/>
    <x v="6"/>
    <s v="Starostlivosť a hygiena – Mačky"/>
    <s v="BellaMeow"/>
    <n v="14"/>
    <n v="1"/>
    <s v="NULL"/>
    <s v=""/>
    <d v="2025-02-26T00:00:00"/>
    <n v="0"/>
    <n v="14"/>
    <x v="0"/>
    <x v="1"/>
    <x v="1"/>
  </r>
  <r>
    <x v="688"/>
    <n v="4063456789014"/>
    <x v="15"/>
    <s v="Krmivo a maškrty – Psy"/>
    <s v="Pupco"/>
    <n v="36"/>
    <n v="1"/>
    <s v="NULL"/>
    <s v=""/>
    <d v="2025-02-26T00:00:00"/>
    <n v="0"/>
    <n v="36"/>
    <x v="0"/>
    <x v="1"/>
    <x v="0"/>
  </r>
  <r>
    <x v="689"/>
    <n v="4028899001126"/>
    <x v="1"/>
    <s v="Krmivo a maškrty – Psy"/>
    <s v="Pup Republic"/>
    <n v="2.8"/>
    <n v="3"/>
    <s v="5"/>
    <s v="Pes to miluje, žiadne problémy."/>
    <d v="2025-02-27T00:00:00"/>
    <n v="0"/>
    <n v="8.3999999999999986"/>
    <x v="2"/>
    <x v="1"/>
    <x v="0"/>
  </r>
  <r>
    <x v="690"/>
    <n v="4013456789017"/>
    <x v="0"/>
    <s v="Krmivo a maškrty – Psy"/>
    <s v="Snouty"/>
    <n v="6"/>
    <n v="2"/>
    <s v="NULL"/>
    <s v=""/>
    <d v="2025-02-27T00:00:00"/>
    <n v="0"/>
    <n v="12"/>
    <x v="0"/>
    <x v="1"/>
    <x v="0"/>
  </r>
  <r>
    <x v="691"/>
    <n v="4040123456795"/>
    <x v="2"/>
    <s v="Starostlivosť a hygiena – Psy"/>
    <s v="Dogissimo"/>
    <n v="8.8000000000000007"/>
    <n v="1"/>
    <s v="NULL"/>
    <s v=""/>
    <d v="2025-02-27T00:00:00"/>
    <n v="0"/>
    <n v="8.8000000000000007"/>
    <x v="0"/>
    <x v="1"/>
    <x v="0"/>
  </r>
  <r>
    <x v="692"/>
    <n v="4010123456783"/>
    <x v="6"/>
    <s v="Starostlivosť a hygiena – Mačky"/>
    <s v="BellaMeow"/>
    <n v="14"/>
    <n v="2"/>
    <s v="NULL"/>
    <s v=""/>
    <d v="2025-02-27T00:00:00"/>
    <n v="0"/>
    <n v="28"/>
    <x v="0"/>
    <x v="1"/>
    <x v="1"/>
  </r>
  <r>
    <x v="693"/>
    <n v="4056789012345"/>
    <x v="11"/>
    <s v="Krmivo a maškrty – Mačky"/>
    <s v="BellaMeow"/>
    <n v="2.4"/>
    <n v="3"/>
    <s v="NULL"/>
    <s v=""/>
    <d v="2025-02-27T00:00:00"/>
    <n v="0"/>
    <n v="7.1999999999999993"/>
    <x v="0"/>
    <x v="1"/>
    <x v="1"/>
  </r>
  <r>
    <x v="694"/>
    <n v="4063456789014"/>
    <x v="15"/>
    <s v="Krmivo a maškrty – Psy"/>
    <s v="Pupco"/>
    <n v="36"/>
    <n v="1"/>
    <s v="NULL"/>
    <s v=""/>
    <d v="2025-02-27T00:00:00"/>
    <n v="0"/>
    <n v="36"/>
    <x v="0"/>
    <x v="1"/>
    <x v="0"/>
  </r>
  <r>
    <x v="695"/>
    <n v="4021234567894"/>
    <x v="18"/>
    <s v="Starostlivosť a hygiena – Mačky"/>
    <s v="PawStyle"/>
    <n v="8"/>
    <n v="1"/>
    <s v="NULL"/>
    <s v=""/>
    <d v="2025-02-27T00:00:00"/>
    <n v="0"/>
    <n v="8"/>
    <x v="0"/>
    <x v="1"/>
    <x v="1"/>
  </r>
  <r>
    <x v="696"/>
    <n v="4069012345682"/>
    <x v="23"/>
    <s v="Oblečenie a doplnky – Mačky"/>
    <s v="Catissime"/>
    <n v="26"/>
    <n v="1"/>
    <s v="4"/>
    <s v="Moc pekný, ale menší veľkosť."/>
    <d v="2025-02-27T00:00:00"/>
    <n v="0"/>
    <n v="26"/>
    <x v="1"/>
    <x v="1"/>
    <x v="1"/>
  </r>
  <r>
    <x v="697"/>
    <n v="4026677889902"/>
    <x v="12"/>
    <s v="Misky a kŕmne doplnky – Ostatné"/>
    <s v="Pawsitive Gear"/>
    <n v="7.6"/>
    <n v="1"/>
    <s v="NULL"/>
    <s v=""/>
    <d v="2025-02-27T00:00:00"/>
    <n v="0"/>
    <n v="7.6"/>
    <x v="0"/>
    <x v="1"/>
    <x v="2"/>
  </r>
  <r>
    <x v="698"/>
    <n v="4028899001126"/>
    <x v="1"/>
    <s v="Krmivo a maškrty – Psy"/>
    <s v="Pup Republic"/>
    <n v="2.8"/>
    <n v="4"/>
    <s v="NULL"/>
    <s v=""/>
    <d v="2025-02-28T00:00:00"/>
    <n v="0"/>
    <n v="11.2"/>
    <x v="0"/>
    <x v="1"/>
    <x v="0"/>
  </r>
  <r>
    <x v="699"/>
    <n v="4013456789017"/>
    <x v="0"/>
    <s v="Krmivo a maškrty – Psy"/>
    <s v="Snouty"/>
    <n v="6"/>
    <n v="2"/>
    <s v="NULL"/>
    <s v=""/>
    <d v="2025-02-28T00:00:00"/>
    <n v="0"/>
    <n v="12"/>
    <x v="0"/>
    <x v="1"/>
    <x v="0"/>
  </r>
  <r>
    <x v="700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01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02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03"/>
    <n v="4021234567894"/>
    <x v="18"/>
    <s v="Starostlivosť a hygiena – Mačky"/>
    <s v="PawStyle"/>
    <n v="8"/>
    <n v="1"/>
    <s v="3"/>
    <s v="NULL"/>
    <d v="2025-02-28T00:00:00"/>
    <n v="0"/>
    <n v="8"/>
    <x v="3"/>
    <x v="1"/>
    <x v="1"/>
  </r>
  <r>
    <x v="704"/>
    <n v="4061011223346"/>
    <x v="3"/>
    <s v="Oblečenie a doplnky – Psy"/>
    <s v="Tail Trend"/>
    <n v="19.600000000000001"/>
    <n v="1"/>
    <s v="NULL"/>
    <s v=""/>
    <d v="2025-02-28T00:00:00"/>
    <n v="0"/>
    <n v="19.600000000000001"/>
    <x v="0"/>
    <x v="1"/>
    <x v="0"/>
  </r>
  <r>
    <x v="705"/>
    <n v="4026677889902"/>
    <x v="12"/>
    <s v="Misky a kŕmne doplnky – Ostatné"/>
    <s v="Pawsitive Gear"/>
    <n v="7.6"/>
    <n v="1"/>
    <s v="NULL"/>
    <s v=""/>
    <d v="2025-02-28T00:00:00"/>
    <n v="0"/>
    <n v="7.6"/>
    <x v="0"/>
    <x v="1"/>
    <x v="2"/>
  </r>
  <r>
    <x v="706"/>
    <n v="4028899001126"/>
    <x v="1"/>
    <s v="Krmivo a maškrty – Psy"/>
    <s v="Pup Republic"/>
    <n v="2.8"/>
    <n v="3"/>
    <s v="NULL"/>
    <s v=""/>
    <d v="2025-02-28T00:00:00"/>
    <n v="0"/>
    <n v="8.3999999999999986"/>
    <x v="0"/>
    <x v="1"/>
    <x v="0"/>
  </r>
  <r>
    <x v="707"/>
    <n v="4013456789017"/>
    <x v="0"/>
    <s v="Krmivo a maškrty – Psy"/>
    <s v="Snouty"/>
    <n v="6"/>
    <n v="2"/>
    <s v="NULL"/>
    <s v=""/>
    <d v="2025-02-28T00:00:00"/>
    <n v="0"/>
    <n v="12"/>
    <x v="0"/>
    <x v="1"/>
    <x v="0"/>
  </r>
  <r>
    <x v="708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09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10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11"/>
    <n v="4028899001126"/>
    <x v="1"/>
    <s v="Krmivo a maškrty – Psy"/>
    <s v="Pup Republic"/>
    <n v="2.8"/>
    <n v="5"/>
    <s v="NULL"/>
    <s v=""/>
    <d v="2025-02-28T00:00:00"/>
    <n v="0"/>
    <n v="14"/>
    <x v="0"/>
    <x v="1"/>
    <x v="0"/>
  </r>
  <r>
    <x v="712"/>
    <n v="4013456789017"/>
    <x v="0"/>
    <s v="Krmivo a maškrty – Psy"/>
    <s v="Snouty"/>
    <n v="6"/>
    <n v="1"/>
    <s v="NULL"/>
    <s v=""/>
    <d v="2025-02-28T00:00:00"/>
    <n v="0"/>
    <n v="6"/>
    <x v="0"/>
    <x v="1"/>
    <x v="0"/>
  </r>
  <r>
    <x v="713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14"/>
    <n v="4010123456783"/>
    <x v="6"/>
    <s v="Starostlivosť a hygiena – Mačky"/>
    <s v="BellaMeow"/>
    <n v="14"/>
    <n v="2"/>
    <s v="NULL"/>
    <s v=""/>
    <d v="2025-02-28T00:00:00"/>
    <n v="0"/>
    <n v="28"/>
    <x v="0"/>
    <x v="1"/>
    <x v="1"/>
  </r>
  <r>
    <x v="715"/>
    <n v="4056789012345"/>
    <x v="11"/>
    <s v="Krmivo a maškrty – Mačky"/>
    <s v="BellaMeow"/>
    <n v="2.4"/>
    <n v="3"/>
    <s v="NULL"/>
    <s v=""/>
    <d v="2025-02-28T00:00:00"/>
    <n v="0"/>
    <n v="7.1999999999999993"/>
    <x v="0"/>
    <x v="1"/>
    <x v="1"/>
  </r>
  <r>
    <x v="716"/>
    <n v="4063456789014"/>
    <x v="15"/>
    <s v="Krmivo a maškrty – Psy"/>
    <s v="Pupco"/>
    <n v="36"/>
    <n v="1"/>
    <s v="4"/>
    <s v="Dobré zloženie."/>
    <d v="2025-02-28T00:00:00"/>
    <n v="0"/>
    <n v="36"/>
    <x v="1"/>
    <x v="1"/>
    <x v="0"/>
  </r>
  <r>
    <x v="717"/>
    <n v="4028899001126"/>
    <x v="1"/>
    <s v="Krmivo a maškrty – Psy"/>
    <s v="Pup Republic"/>
    <n v="2.8"/>
    <n v="4"/>
    <s v="NULL"/>
    <s v=""/>
    <d v="2025-02-28T00:00:00"/>
    <n v="0"/>
    <n v="11.2"/>
    <x v="0"/>
    <x v="1"/>
    <x v="0"/>
  </r>
  <r>
    <x v="718"/>
    <n v="4013456789017"/>
    <x v="0"/>
    <s v="Krmivo a maškrty – Psy"/>
    <s v="Snouty"/>
    <n v="6"/>
    <n v="2"/>
    <s v="NULL"/>
    <s v=""/>
    <d v="2025-02-28T00:00:00"/>
    <n v="0"/>
    <n v="12"/>
    <x v="0"/>
    <x v="1"/>
    <x v="0"/>
  </r>
  <r>
    <x v="719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20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21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22"/>
    <n v="4021234567894"/>
    <x v="18"/>
    <s v="Starostlivosť a hygiena – Mačky"/>
    <s v="PawStyle"/>
    <n v="8"/>
    <n v="1"/>
    <s v="NULL"/>
    <s v=""/>
    <d v="2025-02-28T00:00:00"/>
    <n v="0"/>
    <n v="8"/>
    <x v="0"/>
    <x v="1"/>
    <x v="1"/>
  </r>
  <r>
    <x v="723"/>
    <n v="4061011223346"/>
    <x v="3"/>
    <s v="Oblečenie a doplnky – Psy"/>
    <s v="Tail Trend"/>
    <n v="19.600000000000001"/>
    <n v="1"/>
    <s v="NULL"/>
    <s v=""/>
    <d v="2025-02-28T00:00:00"/>
    <n v="0"/>
    <n v="19.600000000000001"/>
    <x v="0"/>
    <x v="1"/>
    <x v="0"/>
  </r>
  <r>
    <x v="724"/>
    <n v="4026677889902"/>
    <x v="12"/>
    <s v="Misky a kŕmne doplnky – Ostatné"/>
    <s v="Pawsitive Gear"/>
    <n v="7.6"/>
    <n v="1"/>
    <s v="NULL"/>
    <s v=""/>
    <d v="2025-02-28T00:00:00"/>
    <n v="0"/>
    <n v="7.6"/>
    <x v="0"/>
    <x v="1"/>
    <x v="2"/>
  </r>
  <r>
    <x v="725"/>
    <n v="4028899001126"/>
    <x v="1"/>
    <s v="Krmivo a maškrty – Psy"/>
    <s v="Pup Republic"/>
    <n v="2.8"/>
    <n v="3"/>
    <s v="NULL"/>
    <s v=""/>
    <d v="2025-02-28T00:00:00"/>
    <n v="0"/>
    <n v="8.3999999999999986"/>
    <x v="0"/>
    <x v="1"/>
    <x v="0"/>
  </r>
  <r>
    <x v="726"/>
    <n v="4013456789017"/>
    <x v="0"/>
    <s v="Krmivo a maškrty – Psy"/>
    <s v="Snouty"/>
    <n v="6"/>
    <n v="1"/>
    <s v="NULL"/>
    <s v=""/>
    <d v="2025-02-28T00:00:00"/>
    <n v="0"/>
    <n v="6"/>
    <x v="0"/>
    <x v="1"/>
    <x v="0"/>
  </r>
  <r>
    <x v="727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28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29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30"/>
    <n v="4028899001126"/>
    <x v="1"/>
    <s v="Krmivo a maškrty – Psy"/>
    <s v="Pup Republic"/>
    <n v="2.8"/>
    <n v="3"/>
    <s v="NULL"/>
    <s v=""/>
    <d v="2025-02-28T00:00:00"/>
    <n v="0"/>
    <n v="8.3999999999999986"/>
    <x v="0"/>
    <x v="1"/>
    <x v="0"/>
  </r>
  <r>
    <x v="731"/>
    <n v="4013456789017"/>
    <x v="0"/>
    <s v="Krmivo a maškrty – Psy"/>
    <s v="Snouty"/>
    <n v="6"/>
    <n v="1"/>
    <s v="NULL"/>
    <s v=""/>
    <d v="2025-02-28T00:00:00"/>
    <n v="0"/>
    <n v="6"/>
    <x v="0"/>
    <x v="1"/>
    <x v="0"/>
  </r>
  <r>
    <x v="732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33"/>
    <n v="4010123456783"/>
    <x v="6"/>
    <s v="Starostlivosť a hygiena – Mačky"/>
    <s v="BellaMeow"/>
    <n v="14"/>
    <n v="2"/>
    <s v="NULL"/>
    <s v=""/>
    <d v="2025-02-28T00:00:00"/>
    <n v="0"/>
    <n v="28"/>
    <x v="0"/>
    <x v="1"/>
    <x v="1"/>
  </r>
  <r>
    <x v="734"/>
    <n v="4056789012345"/>
    <x v="11"/>
    <s v="Krmivo a maškrty – Mačky"/>
    <s v="BellaMeow"/>
    <n v="2.4"/>
    <n v="2"/>
    <s v="NULL"/>
    <s v=""/>
    <d v="2025-02-28T00:00:00"/>
    <n v="0"/>
    <n v="4.8"/>
    <x v="0"/>
    <x v="1"/>
    <x v="1"/>
  </r>
  <r>
    <x v="735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36"/>
    <n v="4028899001126"/>
    <x v="1"/>
    <s v="Krmivo a maškrty – Psy"/>
    <s v="Pup Republic"/>
    <n v="2.8"/>
    <n v="5"/>
    <s v="NULL"/>
    <s v=""/>
    <d v="2025-02-28T00:00:00"/>
    <n v="0"/>
    <n v="14"/>
    <x v="0"/>
    <x v="1"/>
    <x v="0"/>
  </r>
  <r>
    <x v="737"/>
    <n v="4013456789017"/>
    <x v="0"/>
    <s v="Krmivo a maškrty – Psy"/>
    <s v="Snouty"/>
    <n v="6"/>
    <n v="1"/>
    <s v="NULL"/>
    <s v=""/>
    <d v="2025-02-28T00:00:00"/>
    <n v="0"/>
    <n v="6"/>
    <x v="0"/>
    <x v="1"/>
    <x v="0"/>
  </r>
  <r>
    <x v="738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39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40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41"/>
    <n v="4021234567894"/>
    <x v="18"/>
    <s v="Starostlivosť a hygiena – Mačky"/>
    <s v="PawStyle"/>
    <n v="8"/>
    <n v="1"/>
    <s v="4"/>
    <s v="Pomáha sa zápachem."/>
    <d v="2025-02-28T00:00:00"/>
    <n v="0"/>
    <n v="8"/>
    <x v="1"/>
    <x v="1"/>
    <x v="1"/>
  </r>
  <r>
    <x v="742"/>
    <n v="4061011223346"/>
    <x v="3"/>
    <s v="Oblečenie a doplnky – Psy"/>
    <s v="Tail Trend"/>
    <n v="19.600000000000001"/>
    <n v="1"/>
    <s v="NULL"/>
    <s v=""/>
    <d v="2025-02-28T00:00:00"/>
    <n v="0"/>
    <n v="19.600000000000001"/>
    <x v="0"/>
    <x v="1"/>
    <x v="0"/>
  </r>
  <r>
    <x v="743"/>
    <n v="4026677889902"/>
    <x v="12"/>
    <s v="Misky a kŕmne doplnky – Ostatné"/>
    <s v="Pawsitive Gear"/>
    <n v="7.6"/>
    <n v="1"/>
    <s v="NULL"/>
    <s v=""/>
    <d v="2025-02-28T00:00:00"/>
    <n v="0"/>
    <n v="7.6"/>
    <x v="0"/>
    <x v="1"/>
    <x v="2"/>
  </r>
  <r>
    <x v="744"/>
    <n v="4028899001126"/>
    <x v="1"/>
    <s v="Krmivo a maškrty – Psy"/>
    <s v="Pup Republic"/>
    <n v="2.8"/>
    <n v="3"/>
    <s v="NULL"/>
    <s v=""/>
    <d v="2025-02-28T00:00:00"/>
    <n v="0"/>
    <n v="8.3999999999999986"/>
    <x v="0"/>
    <x v="1"/>
    <x v="0"/>
  </r>
  <r>
    <x v="745"/>
    <n v="4013456789017"/>
    <x v="0"/>
    <s v="Krmivo a maškrty – Psy"/>
    <s v="Snouty"/>
    <n v="6"/>
    <n v="1"/>
    <s v="NULL"/>
    <s v=""/>
    <d v="2025-02-28T00:00:00"/>
    <n v="0"/>
    <n v="6"/>
    <x v="0"/>
    <x v="1"/>
    <x v="0"/>
  </r>
  <r>
    <x v="746"/>
    <n v="4040123456795"/>
    <x v="2"/>
    <s v="Starostlivosť a hygiena – Psy"/>
    <s v="Dogissimo"/>
    <n v="8.8000000000000007"/>
    <n v="1"/>
    <s v="NULL"/>
    <s v=""/>
    <d v="2025-02-28T00:00:00"/>
    <n v="0"/>
    <n v="8.8000000000000007"/>
    <x v="0"/>
    <x v="1"/>
    <x v="0"/>
  </r>
  <r>
    <x v="747"/>
    <n v="4010123456783"/>
    <x v="6"/>
    <s v="Starostlivosť a hygiena – Mačky"/>
    <s v="BellaMeow"/>
    <n v="14"/>
    <n v="1"/>
    <s v="NULL"/>
    <s v=""/>
    <d v="2025-02-28T00:00:00"/>
    <n v="0"/>
    <n v="14"/>
    <x v="0"/>
    <x v="1"/>
    <x v="1"/>
  </r>
  <r>
    <x v="748"/>
    <n v="4063456789014"/>
    <x v="15"/>
    <s v="Krmivo a maškrty – Psy"/>
    <s v="Pupco"/>
    <n v="36"/>
    <n v="1"/>
    <s v="NULL"/>
    <s v=""/>
    <d v="2025-02-28T00:00:00"/>
    <n v="0"/>
    <n v="36"/>
    <x v="0"/>
    <x v="1"/>
    <x v="0"/>
  </r>
  <r>
    <x v="749"/>
    <n v="4028899001126"/>
    <x v="1"/>
    <s v="Krmivo a maškrty – Psy"/>
    <s v="Pup Republic"/>
    <n v="2.8"/>
    <n v="4"/>
    <s v="NULL"/>
    <s v=""/>
    <d v="2025-03-01T00:00:00"/>
    <n v="0"/>
    <n v="11.2"/>
    <x v="0"/>
    <x v="2"/>
    <x v="0"/>
  </r>
  <r>
    <x v="750"/>
    <n v="4013456789017"/>
    <x v="0"/>
    <s v="Krmivo a maškrty – Psy"/>
    <s v="Snouty"/>
    <n v="6"/>
    <n v="2"/>
    <s v="NULL"/>
    <s v=""/>
    <d v="2025-03-01T00:00:00"/>
    <n v="0"/>
    <n v="12"/>
    <x v="0"/>
    <x v="2"/>
    <x v="0"/>
  </r>
  <r>
    <x v="751"/>
    <n v="4040123456795"/>
    <x v="2"/>
    <s v="Starostlivosť a hygiena – Psy"/>
    <s v="Dogissimo"/>
    <n v="8.8000000000000007"/>
    <n v="1"/>
    <s v="5"/>
    <s v="Pes má po koupelaj hebkou srsť."/>
    <d v="2025-03-01T00:00:00"/>
    <n v="0"/>
    <n v="8.8000000000000007"/>
    <x v="2"/>
    <x v="2"/>
    <x v="0"/>
  </r>
  <r>
    <x v="752"/>
    <n v="4010123456783"/>
    <x v="6"/>
    <s v="Starostlivosť a hygiena – Mačky"/>
    <s v="BellaMeow"/>
    <n v="14"/>
    <n v="2"/>
    <s v="NULL"/>
    <s v=""/>
    <d v="2025-03-01T00:00:00"/>
    <n v="0"/>
    <n v="28"/>
    <x v="0"/>
    <x v="2"/>
    <x v="1"/>
  </r>
  <r>
    <x v="753"/>
    <n v="4063456789014"/>
    <x v="15"/>
    <s v="Krmivo a maškrty – Psy"/>
    <s v="Pupco"/>
    <n v="36"/>
    <n v="1"/>
    <s v="NULL"/>
    <s v=""/>
    <d v="2025-03-01T00:00:00"/>
    <n v="0"/>
    <n v="36"/>
    <x v="0"/>
    <x v="2"/>
    <x v="0"/>
  </r>
  <r>
    <x v="754"/>
    <n v="4021234567894"/>
    <x v="18"/>
    <s v="Starostlivosť a hygiena – Mačky"/>
    <s v="PawStyle"/>
    <n v="8"/>
    <n v="1"/>
    <s v="NULL"/>
    <s v=""/>
    <d v="2025-03-01T00:00:00"/>
    <n v="0"/>
    <n v="8"/>
    <x v="0"/>
    <x v="2"/>
    <x v="1"/>
  </r>
  <r>
    <x v="755"/>
    <n v="4028899001126"/>
    <x v="1"/>
    <s v="Krmivo a maškrty – Psy"/>
    <s v="Pup Republic"/>
    <n v="2.8"/>
    <n v="3"/>
    <s v="NULL"/>
    <s v=""/>
    <d v="2025-03-01T00:00:00"/>
    <n v="0"/>
    <n v="8.3999999999999986"/>
    <x v="0"/>
    <x v="2"/>
    <x v="0"/>
  </r>
  <r>
    <x v="756"/>
    <n v="4013456789017"/>
    <x v="0"/>
    <s v="Krmivo a maškrty – Psy"/>
    <s v="Snouty"/>
    <n v="6"/>
    <n v="2"/>
    <s v="NULL"/>
    <s v=""/>
    <d v="2025-03-01T00:00:00"/>
    <n v="0"/>
    <n v="12"/>
    <x v="0"/>
    <x v="2"/>
    <x v="0"/>
  </r>
  <r>
    <x v="757"/>
    <n v="4040123456795"/>
    <x v="2"/>
    <s v="Starostlivosť a hygiena – Psy"/>
    <s v="Dogissimo"/>
    <n v="8.8000000000000007"/>
    <n v="1"/>
    <s v="NULL"/>
    <s v=""/>
    <d v="2025-03-01T00:00:00"/>
    <n v="0"/>
    <n v="8.8000000000000007"/>
    <x v="0"/>
    <x v="2"/>
    <x v="0"/>
  </r>
  <r>
    <x v="758"/>
    <n v="4010123456783"/>
    <x v="6"/>
    <s v="Starostlivosť a hygiena – Mačky"/>
    <s v="BellaMeow"/>
    <n v="14"/>
    <n v="1"/>
    <s v="NULL"/>
    <s v=""/>
    <d v="2025-03-01T00:00:00"/>
    <n v="0"/>
    <n v="14"/>
    <x v="0"/>
    <x v="2"/>
    <x v="1"/>
  </r>
  <r>
    <x v="759"/>
    <n v="4056789012345"/>
    <x v="11"/>
    <s v="Krmivo a maškrty – Mačky"/>
    <s v="BellaMeow"/>
    <n v="2.4"/>
    <n v="3"/>
    <s v="NULL"/>
    <s v=""/>
    <d v="2025-03-01T00:00:00"/>
    <n v="0"/>
    <n v="7.1999999999999993"/>
    <x v="0"/>
    <x v="2"/>
    <x v="1"/>
  </r>
  <r>
    <x v="760"/>
    <n v="4069012345682"/>
    <x v="23"/>
    <s v="Oblečenie a doplnky – Mačky"/>
    <s v="Catissime"/>
    <n v="26"/>
    <n v="1"/>
    <s v="4"/>
    <s v="Ešte chladno, svetr sa hodí."/>
    <d v="2025-03-01T00:00:00"/>
    <n v="0"/>
    <n v="26"/>
    <x v="1"/>
    <x v="2"/>
    <x v="1"/>
  </r>
  <r>
    <x v="761"/>
    <n v="4005566778891"/>
    <x v="24"/>
    <s v="Oblečenie a doplnky – Psy"/>
    <s v="Canine Craft Industries"/>
    <n v="18"/>
    <n v="1"/>
    <s v="NULL"/>
    <s v=""/>
    <d v="2025-03-01T00:00:00"/>
    <n v="0"/>
    <n v="18"/>
    <x v="0"/>
    <x v="2"/>
    <x v="0"/>
  </r>
  <r>
    <x v="762"/>
    <n v="4028899001126"/>
    <x v="1"/>
    <s v="Krmivo a maškrty – Psy"/>
    <s v="Pup Republic"/>
    <n v="2.8"/>
    <n v="5"/>
    <s v="NULL"/>
    <s v=""/>
    <d v="2025-03-02T00:00:00"/>
    <n v="0"/>
    <n v="14"/>
    <x v="0"/>
    <x v="2"/>
    <x v="0"/>
  </r>
  <r>
    <x v="763"/>
    <n v="4013456789017"/>
    <x v="0"/>
    <s v="Krmivo a maškrty – Psy"/>
    <s v="Snouty"/>
    <n v="6"/>
    <n v="1"/>
    <s v="NULL"/>
    <s v=""/>
    <d v="2025-03-02T00:00:00"/>
    <n v="0"/>
    <n v="6"/>
    <x v="0"/>
    <x v="2"/>
    <x v="0"/>
  </r>
  <r>
    <x v="764"/>
    <n v="4040123456795"/>
    <x v="2"/>
    <s v="Starostlivosť a hygiena – Psy"/>
    <s v="Dogissimo"/>
    <n v="8.8000000000000007"/>
    <n v="1"/>
    <s v="NULL"/>
    <s v=""/>
    <d v="2025-03-02T00:00:00"/>
    <n v="0"/>
    <n v="8.8000000000000007"/>
    <x v="0"/>
    <x v="2"/>
    <x v="0"/>
  </r>
  <r>
    <x v="765"/>
    <n v="4010123456783"/>
    <x v="6"/>
    <s v="Starostlivosť a hygiena – Mačky"/>
    <s v="BellaMeow"/>
    <n v="14"/>
    <n v="2"/>
    <s v="NULL"/>
    <s v=""/>
    <d v="2025-03-02T00:00:00"/>
    <n v="0"/>
    <n v="28"/>
    <x v="0"/>
    <x v="2"/>
    <x v="1"/>
  </r>
  <r>
    <x v="766"/>
    <n v="4063456789014"/>
    <x v="15"/>
    <s v="Krmivo a maškrty – Psy"/>
    <s v="Pupco"/>
    <n v="36"/>
    <n v="1"/>
    <s v="5"/>
    <s v="Pes má energiaj a lesklú srsť."/>
    <d v="2025-03-02T00:00:00"/>
    <n v="0"/>
    <n v="36"/>
    <x v="2"/>
    <x v="2"/>
    <x v="0"/>
  </r>
  <r>
    <x v="767"/>
    <n v="4021234567894"/>
    <x v="18"/>
    <s v="Starostlivosť a hygiena – Mačky"/>
    <s v="PawStyle"/>
    <n v="8"/>
    <n v="1"/>
    <s v="NULL"/>
    <s v=""/>
    <d v="2025-03-02T00:00:00"/>
    <n v="0"/>
    <n v="8"/>
    <x v="0"/>
    <x v="2"/>
    <x v="1"/>
  </r>
  <r>
    <x v="768"/>
    <n v="4061011223346"/>
    <x v="3"/>
    <s v="Oblečenie a doplnky – Psy"/>
    <s v="Tail Trend"/>
    <n v="19.600000000000001"/>
    <n v="1"/>
    <s v="NULL"/>
    <s v=""/>
    <d v="2025-03-02T00:00:00"/>
    <n v="0"/>
    <n v="19.600000000000001"/>
    <x v="0"/>
    <x v="2"/>
    <x v="0"/>
  </r>
  <r>
    <x v="769"/>
    <n v="4026677889902"/>
    <x v="12"/>
    <s v="Misky a kŕmne doplnky – Ostatné"/>
    <s v="Pawsitive Gear"/>
    <n v="7.6"/>
    <n v="1"/>
    <s v="NULL"/>
    <s v=""/>
    <d v="2025-03-02T00:00:00"/>
    <n v="0"/>
    <n v="7.6"/>
    <x v="0"/>
    <x v="2"/>
    <x v="2"/>
  </r>
  <r>
    <x v="770"/>
    <n v="4028899001126"/>
    <x v="1"/>
    <s v="Krmivo a maškrty – Psy"/>
    <s v="Pup Republic"/>
    <n v="2.8"/>
    <n v="3"/>
    <s v="NULL"/>
    <s v=""/>
    <d v="2025-03-02T00:00:00"/>
    <n v="0"/>
    <n v="8.3999999999999986"/>
    <x v="0"/>
    <x v="2"/>
    <x v="0"/>
  </r>
  <r>
    <x v="771"/>
    <n v="4013456789017"/>
    <x v="0"/>
    <s v="Krmivo a maškrty – Psy"/>
    <s v="Snouty"/>
    <n v="6"/>
    <n v="1"/>
    <s v="NULL"/>
    <s v=""/>
    <d v="2025-03-02T00:00:00"/>
    <n v="0"/>
    <n v="6"/>
    <x v="0"/>
    <x v="2"/>
    <x v="0"/>
  </r>
  <r>
    <x v="772"/>
    <n v="4040123456795"/>
    <x v="2"/>
    <s v="Starostlivosť a hygiena – Psy"/>
    <s v="Dogissimo"/>
    <n v="8.8000000000000007"/>
    <n v="1"/>
    <s v="NULL"/>
    <s v=""/>
    <d v="2025-03-02T00:00:00"/>
    <n v="0"/>
    <n v="8.8000000000000007"/>
    <x v="0"/>
    <x v="2"/>
    <x v="0"/>
  </r>
  <r>
    <x v="773"/>
    <n v="4010123456783"/>
    <x v="6"/>
    <s v="Starostlivosť a hygiena – Mačky"/>
    <s v="BellaMeow"/>
    <n v="14"/>
    <n v="2"/>
    <s v="NULL"/>
    <s v=""/>
    <d v="2025-03-02T00:00:00"/>
    <n v="0"/>
    <n v="28"/>
    <x v="0"/>
    <x v="2"/>
    <x v="1"/>
  </r>
  <r>
    <x v="774"/>
    <n v="4063456789014"/>
    <x v="15"/>
    <s v="Krmivo a maškrty – Psy"/>
    <s v="Pupco"/>
    <n v="36"/>
    <n v="1"/>
    <s v="NULL"/>
    <s v=""/>
    <d v="2025-03-02T00:00:00"/>
    <n v="0"/>
    <n v="36"/>
    <x v="0"/>
    <x v="2"/>
    <x v="0"/>
  </r>
  <r>
    <x v="775"/>
    <n v="4028899001126"/>
    <x v="1"/>
    <s v="Krmivo a maškrty – Psy"/>
    <s v="Pup Republic"/>
    <n v="2.8"/>
    <n v="4"/>
    <s v="NULL"/>
    <s v=""/>
    <d v="2025-03-03T00:00:00"/>
    <n v="0"/>
    <n v="11.2"/>
    <x v="0"/>
    <x v="2"/>
    <x v="0"/>
  </r>
  <r>
    <x v="776"/>
    <n v="4013456789017"/>
    <x v="0"/>
    <s v="Krmivo a maškrty – Psy"/>
    <s v="Snouty"/>
    <n v="6"/>
    <n v="2"/>
    <s v="NULL"/>
    <s v=""/>
    <d v="2025-03-03T00:00:00"/>
    <n v="0"/>
    <n v="12"/>
    <x v="0"/>
    <x v="2"/>
    <x v="0"/>
  </r>
  <r>
    <x v="777"/>
    <n v="4040123456795"/>
    <x v="2"/>
    <s v="Starostlivosť a hygiena – Psy"/>
    <s v="Dogissimo"/>
    <n v="8.8000000000000007"/>
    <n v="1"/>
    <s v="4"/>
    <s v="Hezky vonia a čistí."/>
    <d v="2025-03-03T00:00:00"/>
    <n v="0"/>
    <n v="8.8000000000000007"/>
    <x v="1"/>
    <x v="2"/>
    <x v="0"/>
  </r>
  <r>
    <x v="778"/>
    <n v="4010123456783"/>
    <x v="6"/>
    <s v="Starostlivosť a hygiena – Mačky"/>
    <s v="BellaMeow"/>
    <n v="14"/>
    <n v="2"/>
    <s v="NULL"/>
    <s v=""/>
    <d v="2025-03-03T00:00:00"/>
    <n v="0"/>
    <n v="28"/>
    <x v="0"/>
    <x v="2"/>
    <x v="1"/>
  </r>
  <r>
    <x v="779"/>
    <n v="4056789012345"/>
    <x v="11"/>
    <s v="Krmivo a maškrty – Mačky"/>
    <s v="BellaMeow"/>
    <n v="2.4"/>
    <n v="2"/>
    <s v="NULL"/>
    <s v=""/>
    <d v="2025-03-03T00:00:00"/>
    <n v="0"/>
    <n v="4.8"/>
    <x v="0"/>
    <x v="2"/>
    <x v="1"/>
  </r>
  <r>
    <x v="780"/>
    <n v="4063456789014"/>
    <x v="15"/>
    <s v="Krmivo a maškrty – Psy"/>
    <s v="Pupco"/>
    <n v="36"/>
    <n v="1"/>
    <s v="NULL"/>
    <s v=""/>
    <d v="2025-03-03T00:00:00"/>
    <n v="0"/>
    <n v="36"/>
    <x v="0"/>
    <x v="2"/>
    <x v="0"/>
  </r>
  <r>
    <x v="781"/>
    <n v="4021234567894"/>
    <x v="18"/>
    <s v="Starostlivosť a hygiena – Mačky"/>
    <s v="PawStyle"/>
    <n v="8"/>
    <n v="1"/>
    <s v="NULL"/>
    <s v=""/>
    <d v="2025-03-03T00:00:00"/>
    <n v="0"/>
    <n v="8"/>
    <x v="0"/>
    <x v="2"/>
    <x v="1"/>
  </r>
  <r>
    <x v="782"/>
    <n v="4061011223346"/>
    <x v="3"/>
    <s v="Oblečenie a doplnky – Psy"/>
    <s v="Tail Trend"/>
    <n v="19.600000000000001"/>
    <n v="1"/>
    <s v="NULL"/>
    <s v=""/>
    <d v="2025-03-03T00:00:00"/>
    <n v="0"/>
    <n v="19.600000000000001"/>
    <x v="0"/>
    <x v="2"/>
    <x v="0"/>
  </r>
  <r>
    <x v="783"/>
    <n v="4026677889902"/>
    <x v="12"/>
    <s v="Misky a kŕmne doplnky – Ostatné"/>
    <s v="Pawsitive Gear"/>
    <n v="7.6"/>
    <n v="1"/>
    <s v="NULL"/>
    <s v=""/>
    <d v="2025-03-03T00:00:00"/>
    <n v="0"/>
    <n v="7.6"/>
    <x v="0"/>
    <x v="2"/>
    <x v="2"/>
  </r>
  <r>
    <x v="784"/>
    <n v="4028899001126"/>
    <x v="1"/>
    <s v="Krmivo a maškrty – Psy"/>
    <s v="Pup Republic"/>
    <n v="2.8"/>
    <n v="3"/>
    <s v="NULL"/>
    <s v=""/>
    <d v="2025-03-03T00:00:00"/>
    <n v="0"/>
    <n v="8.3999999999999986"/>
    <x v="0"/>
    <x v="2"/>
    <x v="0"/>
  </r>
  <r>
    <x v="785"/>
    <n v="4013456789017"/>
    <x v="0"/>
    <s v="Krmivo a maškrty – Psy"/>
    <s v="Snouty"/>
    <n v="6"/>
    <n v="2"/>
    <s v="NULL"/>
    <s v=""/>
    <d v="2025-03-03T00:00:00"/>
    <n v="0"/>
    <n v="12"/>
    <x v="0"/>
    <x v="2"/>
    <x v="0"/>
  </r>
  <r>
    <x v="786"/>
    <n v="4040123456795"/>
    <x v="2"/>
    <s v="Starostlivosť a hygiena – Psy"/>
    <s v="Dogissimo"/>
    <n v="8.8000000000000007"/>
    <n v="1"/>
    <s v="NULL"/>
    <s v=""/>
    <d v="2025-03-03T00:00:00"/>
    <n v="0"/>
    <n v="8.8000000000000007"/>
    <x v="0"/>
    <x v="2"/>
    <x v="0"/>
  </r>
  <r>
    <x v="787"/>
    <n v="4010123456783"/>
    <x v="6"/>
    <s v="Starostlivosť a hygiena – Mačky"/>
    <s v="BellaMeow"/>
    <n v="14"/>
    <n v="2"/>
    <s v="NULL"/>
    <s v=""/>
    <d v="2025-03-03T00:00:00"/>
    <n v="0"/>
    <n v="28"/>
    <x v="0"/>
    <x v="2"/>
    <x v="1"/>
  </r>
  <r>
    <x v="788"/>
    <n v="4063456789014"/>
    <x v="15"/>
    <s v="Krmivo a maškrty – Psy"/>
    <s v="Pupco"/>
    <n v="36"/>
    <n v="1"/>
    <s v="NULL"/>
    <s v=""/>
    <d v="2025-03-03T00:00:00"/>
    <n v="0"/>
    <n v="36"/>
    <x v="0"/>
    <x v="2"/>
    <x v="0"/>
  </r>
  <r>
    <x v="789"/>
    <n v="4028899001126"/>
    <x v="1"/>
    <s v="Krmivo a maškrty – Psy"/>
    <s v="Pup Republic"/>
    <n v="2.8"/>
    <n v="4"/>
    <s v="5"/>
    <s v="Najlepšia konzerva, kupujem stále."/>
    <d v="2025-03-04T00:00:00"/>
    <n v="0"/>
    <n v="11.2"/>
    <x v="2"/>
    <x v="2"/>
    <x v="0"/>
  </r>
  <r>
    <x v="790"/>
    <n v="4013456789017"/>
    <x v="0"/>
    <s v="Krmivo a maškrty – Psy"/>
    <s v="Snouty"/>
    <n v="6"/>
    <n v="1"/>
    <s v="NULL"/>
    <s v=""/>
    <d v="2025-03-04T00:00:00"/>
    <n v="0"/>
    <n v="6"/>
    <x v="0"/>
    <x v="2"/>
    <x v="0"/>
  </r>
  <r>
    <x v="791"/>
    <n v="4040123456795"/>
    <x v="2"/>
    <s v="Starostlivosť a hygiena – Psy"/>
    <s v="Dogissimo"/>
    <n v="8.8000000000000007"/>
    <n v="1"/>
    <s v="NULL"/>
    <s v=""/>
    <d v="2025-03-04T00:00:00"/>
    <n v="0"/>
    <n v="8.8000000000000007"/>
    <x v="0"/>
    <x v="2"/>
    <x v="0"/>
  </r>
  <r>
    <x v="792"/>
    <n v="4010123456783"/>
    <x v="6"/>
    <s v="Starostlivosť a hygiena – Mačky"/>
    <s v="BellaMeow"/>
    <n v="14"/>
    <n v="1"/>
    <s v="NULL"/>
    <s v=""/>
    <d v="2025-03-04T00:00:00"/>
    <n v="0"/>
    <n v="14"/>
    <x v="0"/>
    <x v="2"/>
    <x v="1"/>
  </r>
  <r>
    <x v="793"/>
    <n v="4056789012345"/>
    <x v="11"/>
    <s v="Krmivo a maškrty – Mačky"/>
    <s v="BellaMeow"/>
    <n v="2.4"/>
    <n v="2"/>
    <s v="NULL"/>
    <s v=""/>
    <d v="2025-03-04T00:00:00"/>
    <n v="0"/>
    <n v="4.8"/>
    <x v="0"/>
    <x v="2"/>
    <x v="1"/>
  </r>
  <r>
    <x v="794"/>
    <n v="4063456789014"/>
    <x v="15"/>
    <s v="Krmivo a maškrty – Psy"/>
    <s v="Pupco"/>
    <n v="36"/>
    <n v="1"/>
    <s v="NULL"/>
    <s v=""/>
    <d v="2025-03-04T00:00:00"/>
    <n v="0"/>
    <n v="36"/>
    <x v="0"/>
    <x v="2"/>
    <x v="0"/>
  </r>
  <r>
    <x v="795"/>
    <n v="4021234567894"/>
    <x v="18"/>
    <s v="Starostlivosť a hygiena – Mačky"/>
    <s v="PawStyle"/>
    <n v="8"/>
    <n v="1"/>
    <s v="NULL"/>
    <s v=""/>
    <d v="2025-03-04T00:00:00"/>
    <n v="0"/>
    <n v="8"/>
    <x v="0"/>
    <x v="2"/>
    <x v="1"/>
  </r>
  <r>
    <x v="796"/>
    <n v="4069012345682"/>
    <x v="23"/>
    <s v="Oblečenie a doplnky – Mačky"/>
    <s v="Catissime"/>
    <n v="26"/>
    <n v="1"/>
    <s v="NULL"/>
    <s v=""/>
    <d v="2025-03-04T00:00:00"/>
    <n v="0"/>
    <n v="26"/>
    <x v="0"/>
    <x v="2"/>
    <x v="1"/>
  </r>
  <r>
    <x v="797"/>
    <n v="4026677889902"/>
    <x v="12"/>
    <s v="Misky a kŕmne doplnky – Ostatné"/>
    <s v="Pawsitive Gear"/>
    <n v="7.6"/>
    <n v="1"/>
    <s v="NULL"/>
    <s v=""/>
    <d v="2025-03-04T00:00:00"/>
    <n v="0"/>
    <n v="7.6"/>
    <x v="0"/>
    <x v="2"/>
    <x v="2"/>
  </r>
  <r>
    <x v="798"/>
    <n v="4028899001126"/>
    <x v="1"/>
    <s v="Krmivo a maškrty – Psy"/>
    <s v="Pup Republic"/>
    <n v="2.8"/>
    <n v="5"/>
    <s v="NULL"/>
    <s v=""/>
    <d v="2025-03-05T00:00:00"/>
    <n v="0"/>
    <n v="14"/>
    <x v="0"/>
    <x v="2"/>
    <x v="0"/>
  </r>
  <r>
    <x v="799"/>
    <n v="4013456789017"/>
    <x v="0"/>
    <s v="Krmivo a maškrty – Psy"/>
    <s v="Snouty"/>
    <n v="6"/>
    <n v="1"/>
    <s v="NULL"/>
    <s v=""/>
    <d v="2025-03-05T00:00:00"/>
    <n v="0"/>
    <n v="6"/>
    <x v="0"/>
    <x v="2"/>
    <x v="0"/>
  </r>
  <r>
    <x v="800"/>
    <n v="4040123456795"/>
    <x v="2"/>
    <s v="Starostlivosť a hygiena – Psy"/>
    <s v="Dogissimo"/>
    <n v="8.8000000000000007"/>
    <n v="1"/>
    <s v="NULL"/>
    <s v=""/>
    <d v="2025-03-05T00:00:00"/>
    <n v="0"/>
    <n v="8.8000000000000007"/>
    <x v="0"/>
    <x v="2"/>
    <x v="0"/>
  </r>
  <r>
    <x v="801"/>
    <n v="4010123456783"/>
    <x v="6"/>
    <s v="Starostlivosť a hygiena – Mačky"/>
    <s v="BellaMeow"/>
    <n v="14"/>
    <n v="1"/>
    <s v="NULL"/>
    <s v=""/>
    <d v="2025-03-05T00:00:00"/>
    <n v="0"/>
    <n v="14"/>
    <x v="0"/>
    <x v="2"/>
    <x v="1"/>
  </r>
  <r>
    <x v="802"/>
    <n v="4063456789014"/>
    <x v="15"/>
    <s v="Krmivo a maškrty – Psy"/>
    <s v="Pupco"/>
    <n v="36"/>
    <n v="1"/>
    <s v="4"/>
    <s v="Dobré krmivo, žiadne potíže."/>
    <d v="2025-03-05T00:00:00"/>
    <n v="0"/>
    <n v="36"/>
    <x v="1"/>
    <x v="2"/>
    <x v="0"/>
  </r>
  <r>
    <x v="803"/>
    <n v="4021234567894"/>
    <x v="18"/>
    <s v="Starostlivosť a hygiena – Mačky"/>
    <s v="PawStyle"/>
    <n v="8"/>
    <n v="1"/>
    <s v="NULL"/>
    <s v=""/>
    <d v="2025-03-05T00:00:00"/>
    <n v="0"/>
    <n v="8"/>
    <x v="0"/>
    <x v="2"/>
    <x v="1"/>
  </r>
  <r>
    <x v="804"/>
    <n v="4061011223346"/>
    <x v="3"/>
    <s v="Oblečenie a doplnky – Psy"/>
    <s v="Tail Trend"/>
    <n v="19.600000000000001"/>
    <n v="1"/>
    <s v="NULL"/>
    <s v=""/>
    <d v="2025-03-05T00:00:00"/>
    <n v="0"/>
    <n v="19.600000000000001"/>
    <x v="0"/>
    <x v="2"/>
    <x v="0"/>
  </r>
  <r>
    <x v="805"/>
    <n v="4026677889902"/>
    <x v="12"/>
    <s v="Misky a kŕmne doplnky – Ostatné"/>
    <s v="Pawsitive Gear"/>
    <n v="7.6"/>
    <n v="1"/>
    <s v="NULL"/>
    <s v=""/>
    <d v="2025-03-05T00:00:00"/>
    <n v="0"/>
    <n v="7.6"/>
    <x v="0"/>
    <x v="2"/>
    <x v="2"/>
  </r>
  <r>
    <x v="806"/>
    <n v="4028899001126"/>
    <x v="1"/>
    <s v="Krmivo a maškrty – Psy"/>
    <s v="Pup Republic"/>
    <n v="2.8"/>
    <n v="3"/>
    <s v="NULL"/>
    <s v=""/>
    <d v="2025-03-05T00:00:00"/>
    <n v="0"/>
    <n v="8.3999999999999986"/>
    <x v="0"/>
    <x v="2"/>
    <x v="0"/>
  </r>
  <r>
    <x v="807"/>
    <n v="4013456789017"/>
    <x v="0"/>
    <s v="Krmivo a maškrty – Psy"/>
    <s v="Snouty"/>
    <n v="6"/>
    <n v="1"/>
    <s v="NULL"/>
    <s v=""/>
    <d v="2025-03-05T00:00:00"/>
    <n v="0"/>
    <n v="6"/>
    <x v="0"/>
    <x v="2"/>
    <x v="0"/>
  </r>
  <r>
    <x v="808"/>
    <n v="4040123456795"/>
    <x v="2"/>
    <s v="Starostlivosť a hygiena – Psy"/>
    <s v="Dogissimo"/>
    <n v="8.8000000000000007"/>
    <n v="1"/>
    <s v="NULL"/>
    <s v=""/>
    <d v="2025-03-05T00:00:00"/>
    <n v="0"/>
    <n v="8.8000000000000007"/>
    <x v="0"/>
    <x v="2"/>
    <x v="0"/>
  </r>
  <r>
    <x v="809"/>
    <n v="4010123456783"/>
    <x v="6"/>
    <s v="Starostlivosť a hygiena – Mačky"/>
    <s v="BellaMeow"/>
    <n v="14"/>
    <n v="2"/>
    <s v="NULL"/>
    <s v=""/>
    <d v="2025-03-05T00:00:00"/>
    <n v="0"/>
    <n v="28"/>
    <x v="0"/>
    <x v="2"/>
    <x v="1"/>
  </r>
  <r>
    <x v="810"/>
    <n v="4056789012345"/>
    <x v="11"/>
    <s v="Krmivo a maškrty – Mačky"/>
    <s v="BellaMeow"/>
    <n v="2.4"/>
    <n v="2"/>
    <s v="NULL"/>
    <s v=""/>
    <d v="2025-03-05T00:00:00"/>
    <n v="0"/>
    <n v="4.8"/>
    <x v="0"/>
    <x v="2"/>
    <x v="1"/>
  </r>
  <r>
    <x v="811"/>
    <n v="4063456789014"/>
    <x v="15"/>
    <s v="Krmivo a maškrty – Psy"/>
    <s v="Pupco"/>
    <n v="36"/>
    <n v="1"/>
    <s v="NULL"/>
    <s v=""/>
    <d v="2025-03-05T00:00:00"/>
    <n v="0"/>
    <n v="36"/>
    <x v="0"/>
    <x v="2"/>
    <x v="0"/>
  </r>
  <r>
    <x v="812"/>
    <n v="4028899001126"/>
    <x v="1"/>
    <s v="Krmivo a maškrty – Psy"/>
    <s v="Pup Republic"/>
    <n v="2.8"/>
    <n v="4"/>
    <s v="NULL"/>
    <s v=""/>
    <d v="2025-03-06T00:00:00"/>
    <n v="0"/>
    <n v="11.2"/>
    <x v="0"/>
    <x v="2"/>
    <x v="0"/>
  </r>
  <r>
    <x v="813"/>
    <n v="4013456789017"/>
    <x v="0"/>
    <s v="Krmivo a maškrty – Psy"/>
    <s v="Snouty"/>
    <n v="6"/>
    <n v="1"/>
    <s v="NULL"/>
    <s v=""/>
    <d v="2025-03-06T00:00:00"/>
    <n v="0"/>
    <n v="6"/>
    <x v="0"/>
    <x v="2"/>
    <x v="0"/>
  </r>
  <r>
    <x v="814"/>
    <n v="4040123456795"/>
    <x v="2"/>
    <s v="Starostlivosť a hygiena – Psy"/>
    <s v="Dogissimo"/>
    <n v="8.8000000000000007"/>
    <n v="1"/>
    <s v="NULL"/>
    <s v=""/>
    <d v="2025-03-06T00:00:00"/>
    <n v="0"/>
    <n v="8.8000000000000007"/>
    <x v="0"/>
    <x v="2"/>
    <x v="0"/>
  </r>
  <r>
    <x v="815"/>
    <n v="4010123456783"/>
    <x v="6"/>
    <s v="Starostlivosť a hygiena – Mačky"/>
    <s v="BellaMeow"/>
    <n v="14"/>
    <n v="1"/>
    <s v="NULL"/>
    <s v=""/>
    <d v="2025-03-06T00:00:00"/>
    <n v="0"/>
    <n v="14"/>
    <x v="0"/>
    <x v="2"/>
    <x v="1"/>
  </r>
  <r>
    <x v="816"/>
    <n v="4063456789014"/>
    <x v="15"/>
    <s v="Krmivo a maškrty – Psy"/>
    <s v="Pupco"/>
    <n v="36"/>
    <n v="1"/>
    <s v="NULL"/>
    <s v=""/>
    <d v="2025-03-06T00:00:00"/>
    <n v="0"/>
    <n v="36"/>
    <x v="0"/>
    <x v="2"/>
    <x v="0"/>
  </r>
  <r>
    <x v="817"/>
    <n v="4021234567894"/>
    <x v="18"/>
    <s v="Starostlivosť a hygiena – Mačky"/>
    <s v="PawStyle"/>
    <n v="8"/>
    <n v="1"/>
    <s v="NULL"/>
    <s v=""/>
    <d v="2025-03-06T00:00:00"/>
    <n v="0"/>
    <n v="8"/>
    <x v="0"/>
    <x v="2"/>
    <x v="1"/>
  </r>
  <r>
    <x v="818"/>
    <n v="4061011223346"/>
    <x v="3"/>
    <s v="Oblečenie a doplnky – Psy"/>
    <s v="Tail Trend"/>
    <n v="19.600000000000001"/>
    <n v="1"/>
    <s v="NULL"/>
    <s v=""/>
    <d v="2025-03-06T00:00:00"/>
    <n v="0"/>
    <n v="19.600000000000001"/>
    <x v="0"/>
    <x v="2"/>
    <x v="0"/>
  </r>
  <r>
    <x v="819"/>
    <n v="4026677889902"/>
    <x v="12"/>
    <s v="Misky a kŕmne doplnky – Ostatné"/>
    <s v="Pawsitive Gear"/>
    <n v="7.6"/>
    <n v="1"/>
    <s v="NULL"/>
    <s v=""/>
    <d v="2025-03-06T00:00:00"/>
    <n v="0"/>
    <n v="7.6"/>
    <x v="0"/>
    <x v="2"/>
    <x v="2"/>
  </r>
  <r>
    <x v="820"/>
    <n v="4028899001126"/>
    <x v="1"/>
    <s v="Krmivo a maškrty – Psy"/>
    <s v="Pup Republic"/>
    <n v="2.8"/>
    <n v="3"/>
    <s v="NULL"/>
    <s v=""/>
    <d v="2025-03-06T00:00:00"/>
    <n v="0"/>
    <n v="8.3999999999999986"/>
    <x v="0"/>
    <x v="2"/>
    <x v="0"/>
  </r>
  <r>
    <x v="821"/>
    <n v="4013456789017"/>
    <x v="0"/>
    <s v="Krmivo a maškrty – Psy"/>
    <s v="Snouty"/>
    <n v="6"/>
    <n v="2"/>
    <s v="NULL"/>
    <s v=""/>
    <d v="2025-03-06T00:00:00"/>
    <n v="0"/>
    <n v="12"/>
    <x v="0"/>
    <x v="2"/>
    <x v="0"/>
  </r>
  <r>
    <x v="822"/>
    <n v="4040123456795"/>
    <x v="2"/>
    <s v="Starostlivosť a hygiena – Psy"/>
    <s v="Dogissimo"/>
    <n v="8.8000000000000007"/>
    <n v="1"/>
    <s v="NULL"/>
    <s v=""/>
    <d v="2025-03-06T00:00:00"/>
    <n v="0"/>
    <n v="8.8000000000000007"/>
    <x v="0"/>
    <x v="2"/>
    <x v="0"/>
  </r>
  <r>
    <x v="823"/>
    <n v="4010123456783"/>
    <x v="6"/>
    <s v="Starostlivosť a hygiena – Mačky"/>
    <s v="BellaMeow"/>
    <n v="14"/>
    <n v="1"/>
    <s v="NULL"/>
    <s v=""/>
    <d v="2025-03-06T00:00:00"/>
    <n v="0"/>
    <n v="14"/>
    <x v="0"/>
    <x v="2"/>
    <x v="1"/>
  </r>
  <r>
    <x v="824"/>
    <n v="4063456789014"/>
    <x v="15"/>
    <s v="Krmivo a maškrty – Psy"/>
    <s v="Pupco"/>
    <n v="36"/>
    <n v="1"/>
    <s v="NULL"/>
    <s v=""/>
    <d v="2025-03-06T00:00:00"/>
    <n v="0"/>
    <n v="36"/>
    <x v="0"/>
    <x v="2"/>
    <x v="0"/>
  </r>
  <r>
    <x v="825"/>
    <n v="4028899001126"/>
    <x v="1"/>
    <s v="Krmivo a maškrty – Psy"/>
    <s v="Pup Republic"/>
    <n v="2.8"/>
    <n v="4"/>
    <s v="5"/>
    <s v="Pes ju žerie s chuťou."/>
    <d v="2025-03-07T00:00:00"/>
    <n v="0"/>
    <n v="11.2"/>
    <x v="2"/>
    <x v="2"/>
    <x v="0"/>
  </r>
  <r>
    <x v="826"/>
    <n v="4013456789017"/>
    <x v="0"/>
    <s v="Krmivo a maškrty – Psy"/>
    <s v="Snouty"/>
    <n v="6"/>
    <n v="1"/>
    <s v="NULL"/>
    <s v=""/>
    <d v="2025-03-07T00:00:00"/>
    <n v="0"/>
    <n v="6"/>
    <x v="0"/>
    <x v="2"/>
    <x v="0"/>
  </r>
  <r>
    <x v="827"/>
    <n v="4040123456795"/>
    <x v="2"/>
    <s v="Starostlivosť a hygiena – Psy"/>
    <s v="Dogissimo"/>
    <n v="8.8000000000000007"/>
    <n v="1"/>
    <s v="NULL"/>
    <s v=""/>
    <d v="2025-03-07T00:00:00"/>
    <n v="0"/>
    <n v="8.8000000000000007"/>
    <x v="0"/>
    <x v="2"/>
    <x v="0"/>
  </r>
  <r>
    <x v="828"/>
    <n v="4010123456783"/>
    <x v="6"/>
    <s v="Starostlivosť a hygiena – Mačky"/>
    <s v="BellaMeow"/>
    <n v="14"/>
    <n v="1"/>
    <s v="NULL"/>
    <s v=""/>
    <d v="2025-03-07T00:00:00"/>
    <n v="0"/>
    <n v="14"/>
    <x v="0"/>
    <x v="2"/>
    <x v="1"/>
  </r>
  <r>
    <x v="829"/>
    <n v="4056789012345"/>
    <x v="11"/>
    <s v="Krmivo a maškrty – Mačky"/>
    <s v="BellaMeow"/>
    <n v="2.4"/>
    <n v="2"/>
    <s v="NULL"/>
    <s v=""/>
    <d v="2025-03-07T00:00:00"/>
    <n v="0"/>
    <n v="4.8"/>
    <x v="0"/>
    <x v="2"/>
    <x v="1"/>
  </r>
  <r>
    <x v="830"/>
    <n v="4063456789014"/>
    <x v="15"/>
    <s v="Krmivo a maškrty – Psy"/>
    <s v="Pupco"/>
    <n v="36"/>
    <n v="1"/>
    <s v="NULL"/>
    <s v=""/>
    <d v="2025-03-07T00:00:00"/>
    <n v="0"/>
    <n v="36"/>
    <x v="0"/>
    <x v="2"/>
    <x v="0"/>
  </r>
  <r>
    <x v="831"/>
    <n v="4021234567894"/>
    <x v="18"/>
    <s v="Starostlivosť a hygiena – Mačky"/>
    <s v="PawStyle"/>
    <n v="8"/>
    <n v="1"/>
    <s v="NULL"/>
    <s v=""/>
    <d v="2025-03-07T00:00:00"/>
    <n v="0"/>
    <n v="8"/>
    <x v="0"/>
    <x v="2"/>
    <x v="1"/>
  </r>
  <r>
    <x v="832"/>
    <n v="4061011223346"/>
    <x v="3"/>
    <s v="Oblečenie a doplnky – Psy"/>
    <s v="Tail Trend"/>
    <n v="19.600000000000001"/>
    <n v="1"/>
    <s v="NULL"/>
    <s v=""/>
    <d v="2025-03-07T00:00:00"/>
    <n v="0"/>
    <n v="19.600000000000001"/>
    <x v="0"/>
    <x v="2"/>
    <x v="0"/>
  </r>
  <r>
    <x v="833"/>
    <n v="4026677889902"/>
    <x v="12"/>
    <s v="Misky a kŕmne doplnky – Ostatné"/>
    <s v="Pawsitive Gear"/>
    <n v="7.6"/>
    <n v="1"/>
    <s v="NULL"/>
    <s v=""/>
    <d v="2025-03-07T00:00:00"/>
    <n v="0"/>
    <n v="7.6"/>
    <x v="0"/>
    <x v="2"/>
    <x v="2"/>
  </r>
  <r>
    <x v="834"/>
    <n v="4028899001126"/>
    <x v="1"/>
    <s v="Krmivo a maškrty – Psy"/>
    <s v="Pup Republic"/>
    <n v="2.8"/>
    <n v="3"/>
    <s v="NULL"/>
    <s v=""/>
    <d v="2025-03-07T00:00:00"/>
    <n v="0"/>
    <n v="8.3999999999999986"/>
    <x v="0"/>
    <x v="2"/>
    <x v="0"/>
  </r>
  <r>
    <x v="835"/>
    <n v="4013456789017"/>
    <x v="0"/>
    <s v="Krmivo a maškrty – Psy"/>
    <s v="Snouty"/>
    <n v="6"/>
    <n v="2"/>
    <s v="NULL"/>
    <s v=""/>
    <d v="2025-03-07T00:00:00"/>
    <n v="0"/>
    <n v="12"/>
    <x v="0"/>
    <x v="2"/>
    <x v="0"/>
  </r>
  <r>
    <x v="836"/>
    <n v="4040123456795"/>
    <x v="2"/>
    <s v="Starostlivosť a hygiena – Psy"/>
    <s v="Dogissimo"/>
    <n v="8.8000000000000007"/>
    <n v="1"/>
    <s v="NULL"/>
    <s v=""/>
    <d v="2025-03-07T00:00:00"/>
    <n v="0"/>
    <n v="8.8000000000000007"/>
    <x v="0"/>
    <x v="2"/>
    <x v="0"/>
  </r>
  <r>
    <x v="837"/>
    <n v="4010123456783"/>
    <x v="6"/>
    <s v="Starostlivosť a hygiena – Mačky"/>
    <s v="BellaMeow"/>
    <n v="14"/>
    <n v="1"/>
    <s v="NULL"/>
    <s v=""/>
    <d v="2025-03-07T00:00:00"/>
    <n v="0"/>
    <n v="14"/>
    <x v="0"/>
    <x v="2"/>
    <x v="1"/>
  </r>
  <r>
    <x v="838"/>
    <n v="4063456789014"/>
    <x v="15"/>
    <s v="Krmivo a maškrty – Psy"/>
    <s v="Pupco"/>
    <n v="36"/>
    <n v="1"/>
    <s v="NULL"/>
    <s v=""/>
    <d v="2025-03-07T00:00:00"/>
    <n v="0"/>
    <n v="36"/>
    <x v="0"/>
    <x v="2"/>
    <x v="0"/>
  </r>
  <r>
    <x v="839"/>
    <n v="4028899001126"/>
    <x v="1"/>
    <s v="Krmivo a maškrty – Psy"/>
    <s v="Pup Republic"/>
    <n v="2.8"/>
    <n v="5"/>
    <s v="4"/>
    <s v="Lacná a chutí, spokojenost."/>
    <d v="2025-03-07T00:00:00"/>
    <n v="0"/>
    <n v="14"/>
    <x v="1"/>
    <x v="2"/>
    <x v="0"/>
  </r>
  <r>
    <x v="840"/>
    <n v="4013456789017"/>
    <x v="0"/>
    <s v="Krmivo a maškrty – Psy"/>
    <s v="Snouty"/>
    <n v="6"/>
    <n v="1"/>
    <s v="NULL"/>
    <s v=""/>
    <d v="2025-03-07T00:00:00"/>
    <n v="0"/>
    <n v="6"/>
    <x v="0"/>
    <x v="2"/>
    <x v="0"/>
  </r>
  <r>
    <x v="841"/>
    <n v="4040123456795"/>
    <x v="2"/>
    <s v="Starostlivosť a hygiena – Psy"/>
    <s v="Dogissimo"/>
    <n v="8.8000000000000007"/>
    <n v="1"/>
    <s v="NULL"/>
    <s v=""/>
    <d v="2025-03-07T00:00:00"/>
    <n v="0"/>
    <n v="8.8000000000000007"/>
    <x v="0"/>
    <x v="2"/>
    <x v="0"/>
  </r>
  <r>
    <x v="842"/>
    <n v="4010123456783"/>
    <x v="6"/>
    <s v="Starostlivosť a hygiena – Mačky"/>
    <s v="BellaMeow"/>
    <n v="14"/>
    <n v="1"/>
    <s v="NULL"/>
    <s v=""/>
    <d v="2025-03-07T00:00:00"/>
    <n v="0"/>
    <n v="14"/>
    <x v="0"/>
    <x v="2"/>
    <x v="1"/>
  </r>
  <r>
    <x v="843"/>
    <n v="4056789012345"/>
    <x v="11"/>
    <s v="Krmivo a maškrty – Mačky"/>
    <s v="BellaMeow"/>
    <n v="2.4"/>
    <n v="2"/>
    <s v="NULL"/>
    <s v=""/>
    <d v="2025-03-07T00:00:00"/>
    <n v="0"/>
    <n v="4.8"/>
    <x v="0"/>
    <x v="2"/>
    <x v="1"/>
  </r>
  <r>
    <x v="844"/>
    <n v="4063456789014"/>
    <x v="15"/>
    <s v="Krmivo a maškrty – Psy"/>
    <s v="Pupco"/>
    <n v="36"/>
    <n v="1"/>
    <s v="NULL"/>
    <s v=""/>
    <d v="2025-03-07T00:00:00"/>
    <n v="0"/>
    <n v="36"/>
    <x v="0"/>
    <x v="2"/>
    <x v="0"/>
  </r>
  <r>
    <x v="845"/>
    <n v="4021234567894"/>
    <x v="18"/>
    <s v="Starostlivosť a hygiena – Mačky"/>
    <s v="PawStyle"/>
    <n v="8"/>
    <n v="1"/>
    <s v="NULL"/>
    <s v=""/>
    <d v="2025-03-07T00:00:00"/>
    <n v="0"/>
    <n v="8"/>
    <x v="0"/>
    <x v="2"/>
    <x v="1"/>
  </r>
  <r>
    <x v="846"/>
    <n v="4061011223346"/>
    <x v="3"/>
    <s v="Oblečenie a doplnky – Psy"/>
    <s v="Tail Trend"/>
    <n v="19.600000000000001"/>
    <n v="1"/>
    <s v="NULL"/>
    <s v=""/>
    <d v="2025-03-07T00:00:00"/>
    <n v="0"/>
    <n v="19.600000000000001"/>
    <x v="0"/>
    <x v="2"/>
    <x v="0"/>
  </r>
  <r>
    <x v="847"/>
    <n v="4026677889902"/>
    <x v="12"/>
    <s v="Misky a kŕmne doplnky – Ostatné"/>
    <s v="Pawsitive Gear"/>
    <n v="7.6"/>
    <n v="1"/>
    <s v="NULL"/>
    <s v=""/>
    <d v="2025-03-07T00:00:00"/>
    <n v="0"/>
    <n v="7.6"/>
    <x v="0"/>
    <x v="2"/>
    <x v="2"/>
  </r>
  <r>
    <x v="848"/>
    <n v="4028899001126"/>
    <x v="1"/>
    <s v="Krmivo a maškrty – Psy"/>
    <s v="Pup Republic"/>
    <n v="2.8"/>
    <n v="3"/>
    <s v="NULL"/>
    <s v=""/>
    <d v="2025-03-07T00:00:00"/>
    <n v="0"/>
    <n v="8.3999999999999986"/>
    <x v="0"/>
    <x v="2"/>
    <x v="0"/>
  </r>
  <r>
    <x v="849"/>
    <n v="4028899001126"/>
    <x v="1"/>
    <s v="Krmivo a maškrty – Psy"/>
    <s v="Pup Republic"/>
    <n v="2.8"/>
    <n v="4"/>
    <s v="NULL"/>
    <s v=""/>
    <d v="2025-03-08T00:00:00"/>
    <n v="0"/>
    <n v="11.2"/>
    <x v="0"/>
    <x v="2"/>
    <x v="0"/>
  </r>
  <r>
    <x v="850"/>
    <n v="4013456789017"/>
    <x v="0"/>
    <s v="Krmivo a maškrty – Psy"/>
    <s v="Snouty"/>
    <n v="6"/>
    <n v="1"/>
    <s v="NULL"/>
    <s v=""/>
    <d v="2025-03-08T00:00:00"/>
    <n v="0"/>
    <n v="6"/>
    <x v="0"/>
    <x v="2"/>
    <x v="0"/>
  </r>
  <r>
    <x v="851"/>
    <n v="4040123456795"/>
    <x v="2"/>
    <s v="Starostlivosť a hygiena – Psy"/>
    <s v="Dogissimo"/>
    <n v="8.8000000000000007"/>
    <n v="1"/>
    <s v="NULL"/>
    <s v=""/>
    <d v="2025-03-08T00:00:00"/>
    <n v="0"/>
    <n v="8.8000000000000007"/>
    <x v="0"/>
    <x v="2"/>
    <x v="0"/>
  </r>
  <r>
    <x v="852"/>
    <n v="4010123456783"/>
    <x v="6"/>
    <s v="Starostlivosť a hygiena – Mačky"/>
    <s v="BellaMeow"/>
    <n v="14"/>
    <n v="1"/>
    <s v="NULL"/>
    <s v=""/>
    <d v="2025-03-08T00:00:00"/>
    <n v="0"/>
    <n v="14"/>
    <x v="0"/>
    <x v="2"/>
    <x v="1"/>
  </r>
  <r>
    <x v="853"/>
    <n v="4063456789014"/>
    <x v="15"/>
    <s v="Krmivo a maškrty – Psy"/>
    <s v="Pupco"/>
    <n v="36"/>
    <n v="1"/>
    <s v="5"/>
    <s v="Pes sa po nich zlepšil, odporúčam."/>
    <d v="2025-03-08T00:00:00"/>
    <n v="0"/>
    <n v="36"/>
    <x v="2"/>
    <x v="2"/>
    <x v="0"/>
  </r>
  <r>
    <x v="854"/>
    <n v="4021234567894"/>
    <x v="18"/>
    <s v="Starostlivosť a hygiena – Mačky"/>
    <s v="PawStyle"/>
    <n v="8"/>
    <n v="1"/>
    <s v="NULL"/>
    <s v=""/>
    <d v="2025-03-08T00:00:00"/>
    <n v="0"/>
    <n v="8"/>
    <x v="0"/>
    <x v="2"/>
    <x v="1"/>
  </r>
  <r>
    <x v="855"/>
    <n v="4069012345682"/>
    <x v="23"/>
    <s v="Oblečenie a doplnky – Mačky"/>
    <s v="Catissime"/>
    <n v="26"/>
    <n v="1"/>
    <s v="NULL"/>
    <s v=""/>
    <d v="2025-03-08T00:00:00"/>
    <n v="0"/>
    <n v="26"/>
    <x v="0"/>
    <x v="2"/>
    <x v="1"/>
  </r>
  <r>
    <x v="856"/>
    <n v="4026677889902"/>
    <x v="12"/>
    <s v="Misky a kŕmne doplnky – Ostatné"/>
    <s v="Pawsitive Gear"/>
    <n v="7.6"/>
    <n v="1"/>
    <s v="NULL"/>
    <s v=""/>
    <d v="2025-03-08T00:00:00"/>
    <n v="0"/>
    <n v="7.6"/>
    <x v="0"/>
    <x v="2"/>
    <x v="2"/>
  </r>
  <r>
    <x v="857"/>
    <n v="4028899001126"/>
    <x v="1"/>
    <s v="Krmivo a maškrty – Psy"/>
    <s v="Pup Republic"/>
    <n v="2.8"/>
    <n v="3"/>
    <s v="NULL"/>
    <s v=""/>
    <d v="2025-03-08T00:00:00"/>
    <n v="0"/>
    <n v="8.3999999999999986"/>
    <x v="0"/>
    <x v="2"/>
    <x v="0"/>
  </r>
  <r>
    <x v="858"/>
    <n v="4013456789017"/>
    <x v="0"/>
    <s v="Krmivo a maškrty – Psy"/>
    <s v="Snouty"/>
    <n v="6"/>
    <n v="2"/>
    <s v="NULL"/>
    <s v=""/>
    <d v="2025-03-08T00:00:00"/>
    <n v="0"/>
    <n v="12"/>
    <x v="0"/>
    <x v="2"/>
    <x v="0"/>
  </r>
  <r>
    <x v="859"/>
    <n v="4040123456795"/>
    <x v="2"/>
    <s v="Starostlivosť a hygiena – Psy"/>
    <s v="Dogissimo"/>
    <n v="8.8000000000000007"/>
    <n v="1"/>
    <s v="NULL"/>
    <s v=""/>
    <d v="2025-03-08T00:00:00"/>
    <n v="0"/>
    <n v="8.8000000000000007"/>
    <x v="0"/>
    <x v="2"/>
    <x v="0"/>
  </r>
  <r>
    <x v="860"/>
    <n v="4010123456783"/>
    <x v="6"/>
    <s v="Starostlivosť a hygiena – Mačky"/>
    <s v="BellaMeow"/>
    <n v="14"/>
    <n v="2"/>
    <s v="NULL"/>
    <s v=""/>
    <d v="2025-03-08T00:00:00"/>
    <n v="0"/>
    <n v="28"/>
    <x v="0"/>
    <x v="2"/>
    <x v="1"/>
  </r>
  <r>
    <x v="861"/>
    <n v="4063456789014"/>
    <x v="15"/>
    <s v="Krmivo a maškrty – Psy"/>
    <s v="Pupco"/>
    <n v="36"/>
    <n v="1"/>
    <s v="NULL"/>
    <s v=""/>
    <d v="2025-03-08T00:00:00"/>
    <n v="0"/>
    <n v="36"/>
    <x v="0"/>
    <x v="2"/>
    <x v="0"/>
  </r>
  <r>
    <x v="862"/>
    <n v="4056789012345"/>
    <x v="11"/>
    <s v="Krmivo a maškrty – Mačky"/>
    <s v="BellaMeow"/>
    <n v="2.4"/>
    <n v="3"/>
    <s v="NULL"/>
    <s v=""/>
    <d v="2025-03-08T00:00:00"/>
    <n v="0"/>
    <n v="7.1999999999999993"/>
    <x v="0"/>
    <x v="2"/>
    <x v="1"/>
  </r>
  <r>
    <x v="863"/>
    <n v="4028899001126"/>
    <x v="1"/>
    <s v="Krmivo a maškrty – Psy"/>
    <s v="Pup Republic"/>
    <n v="2.8"/>
    <n v="4"/>
    <s v="NULL"/>
    <s v=""/>
    <d v="2025-03-09T00:00:00"/>
    <n v="0"/>
    <n v="11.2"/>
    <x v="0"/>
    <x v="2"/>
    <x v="0"/>
  </r>
  <r>
    <x v="864"/>
    <n v="4013456789017"/>
    <x v="0"/>
    <s v="Krmivo a maškrty – Psy"/>
    <s v="Snouty"/>
    <n v="6"/>
    <n v="2"/>
    <s v="NULL"/>
    <s v=""/>
    <d v="2025-03-09T00:00:00"/>
    <n v="0"/>
    <n v="12"/>
    <x v="0"/>
    <x v="2"/>
    <x v="0"/>
  </r>
  <r>
    <x v="865"/>
    <n v="4040123456795"/>
    <x v="2"/>
    <s v="Starostlivosť a hygiena – Psy"/>
    <s v="Dogissimo"/>
    <n v="8.8000000000000007"/>
    <n v="1"/>
    <s v="NULL"/>
    <s v=""/>
    <d v="2025-03-09T00:00:00"/>
    <n v="0"/>
    <n v="8.8000000000000007"/>
    <x v="0"/>
    <x v="2"/>
    <x v="0"/>
  </r>
  <r>
    <x v="866"/>
    <n v="4010123456783"/>
    <x v="6"/>
    <s v="Starostlivosť a hygiena – Mačky"/>
    <s v="BellaMeow"/>
    <n v="14"/>
    <n v="1"/>
    <s v="NULL"/>
    <s v=""/>
    <d v="2025-03-09T00:00:00"/>
    <n v="0"/>
    <n v="14"/>
    <x v="0"/>
    <x v="2"/>
    <x v="1"/>
  </r>
  <r>
    <x v="867"/>
    <n v="4063456789014"/>
    <x v="15"/>
    <s v="Krmivo a maškrty – Psy"/>
    <s v="Pupco"/>
    <n v="36"/>
    <n v="1"/>
    <s v="4"/>
    <s v="Zatiaľ najlepšie, čo sme mali."/>
    <d v="2025-03-09T00:00:00"/>
    <n v="0"/>
    <n v="36"/>
    <x v="1"/>
    <x v="2"/>
    <x v="0"/>
  </r>
  <r>
    <x v="868"/>
    <n v="4021234567894"/>
    <x v="18"/>
    <s v="Starostlivosť a hygiena – Mačky"/>
    <s v="PawStyle"/>
    <n v="8"/>
    <n v="1"/>
    <s v="NULL"/>
    <s v=""/>
    <d v="2025-03-09T00:00:00"/>
    <n v="0"/>
    <n v="8"/>
    <x v="0"/>
    <x v="2"/>
    <x v="1"/>
  </r>
  <r>
    <x v="869"/>
    <n v="4061011223346"/>
    <x v="3"/>
    <s v="Oblečenie a doplnky – Psy"/>
    <s v="Tail Trend"/>
    <n v="19.600000000000001"/>
    <n v="1"/>
    <s v="NULL"/>
    <s v=""/>
    <d v="2025-03-09T00:00:00"/>
    <n v="0"/>
    <n v="19.600000000000001"/>
    <x v="0"/>
    <x v="2"/>
    <x v="0"/>
  </r>
  <r>
    <x v="870"/>
    <n v="4026677889902"/>
    <x v="12"/>
    <s v="Misky a kŕmne doplnky – Ostatné"/>
    <s v="Pawsitive Gear"/>
    <n v="7.6"/>
    <n v="1"/>
    <s v="NULL"/>
    <s v=""/>
    <d v="2025-03-09T00:00:00"/>
    <n v="0"/>
    <n v="7.6"/>
    <x v="0"/>
    <x v="2"/>
    <x v="2"/>
  </r>
  <r>
    <x v="871"/>
    <n v="4028899001126"/>
    <x v="1"/>
    <s v="Krmivo a maškrty – Psy"/>
    <s v="Pup Republic"/>
    <n v="2.8"/>
    <n v="5"/>
    <s v="NULL"/>
    <s v=""/>
    <d v="2025-03-09T00:00:00"/>
    <n v="0"/>
    <n v="14"/>
    <x v="0"/>
    <x v="2"/>
    <x v="0"/>
  </r>
  <r>
    <x v="872"/>
    <n v="4013456789017"/>
    <x v="0"/>
    <s v="Krmivo a maškrty – Psy"/>
    <s v="Snouty"/>
    <n v="6"/>
    <n v="2"/>
    <s v="NULL"/>
    <s v=""/>
    <d v="2025-03-09T00:00:00"/>
    <n v="0"/>
    <n v="12"/>
    <x v="0"/>
    <x v="2"/>
    <x v="0"/>
  </r>
  <r>
    <x v="873"/>
    <n v="4040123456795"/>
    <x v="2"/>
    <s v="Starostlivosť a hygiena – Psy"/>
    <s v="Dogissimo"/>
    <n v="8.8000000000000007"/>
    <n v="1"/>
    <s v="NULL"/>
    <s v=""/>
    <d v="2025-03-09T00:00:00"/>
    <n v="0"/>
    <n v="8.8000000000000007"/>
    <x v="0"/>
    <x v="2"/>
    <x v="0"/>
  </r>
  <r>
    <x v="874"/>
    <n v="4010123456783"/>
    <x v="6"/>
    <s v="Starostlivosť a hygiena – Mačky"/>
    <s v="BellaMeow"/>
    <n v="14"/>
    <n v="1"/>
    <s v="NULL"/>
    <s v=""/>
    <d v="2025-03-09T00:00:00"/>
    <n v="0"/>
    <n v="14"/>
    <x v="0"/>
    <x v="2"/>
    <x v="1"/>
  </r>
  <r>
    <x v="875"/>
    <n v="4063456789014"/>
    <x v="15"/>
    <s v="Krmivo a maškrty – Psy"/>
    <s v="Pupco"/>
    <n v="36"/>
    <n v="1"/>
    <s v="NULL"/>
    <s v=""/>
    <d v="2025-03-09T00:00:00"/>
    <n v="0"/>
    <n v="36"/>
    <x v="0"/>
    <x v="2"/>
    <x v="0"/>
  </r>
  <r>
    <x v="876"/>
    <n v="4028899001126"/>
    <x v="1"/>
    <s v="Krmivo a maškrty – Psy"/>
    <s v="Pup Republic"/>
    <n v="2.8"/>
    <n v="4"/>
    <s v="NULL"/>
    <s v=""/>
    <d v="2025-03-10T00:00:00"/>
    <n v="0"/>
    <n v="11.2"/>
    <x v="0"/>
    <x v="2"/>
    <x v="0"/>
  </r>
  <r>
    <x v="877"/>
    <n v="4013456789017"/>
    <x v="0"/>
    <s v="Krmivo a maškrty – Psy"/>
    <s v="Snouty"/>
    <n v="6"/>
    <n v="1"/>
    <s v="NULL"/>
    <s v=""/>
    <d v="2025-03-10T00:00:00"/>
    <n v="0"/>
    <n v="6"/>
    <x v="0"/>
    <x v="2"/>
    <x v="0"/>
  </r>
  <r>
    <x v="878"/>
    <n v="4040123456795"/>
    <x v="2"/>
    <s v="Starostlivosť a hygiena – Psy"/>
    <s v="Dogissimo"/>
    <n v="8.8000000000000007"/>
    <n v="1"/>
    <s v="NULL"/>
    <s v=""/>
    <d v="2025-03-10T00:00:00"/>
    <n v="0"/>
    <n v="8.8000000000000007"/>
    <x v="0"/>
    <x v="2"/>
    <x v="0"/>
  </r>
  <r>
    <x v="879"/>
    <n v="4010123456783"/>
    <x v="6"/>
    <s v="Starostlivosť a hygiena – Mačky"/>
    <s v="BellaMeow"/>
    <n v="14"/>
    <n v="1"/>
    <s v="NULL"/>
    <s v=""/>
    <d v="2025-03-10T00:00:00"/>
    <n v="0"/>
    <n v="14"/>
    <x v="0"/>
    <x v="2"/>
    <x v="1"/>
  </r>
  <r>
    <x v="880"/>
    <n v="4056789012345"/>
    <x v="11"/>
    <s v="Krmivo a maškrty – Mačky"/>
    <s v="BellaMeow"/>
    <n v="2.4"/>
    <n v="2"/>
    <s v="NULL"/>
    <s v=""/>
    <d v="2025-03-10T00:00:00"/>
    <n v="0"/>
    <n v="4.8"/>
    <x v="0"/>
    <x v="2"/>
    <x v="1"/>
  </r>
  <r>
    <x v="881"/>
    <n v="4063456789014"/>
    <x v="15"/>
    <s v="Krmivo a maškrty – Psy"/>
    <s v="Pupco"/>
    <n v="36"/>
    <n v="1"/>
    <s v="NULL"/>
    <s v=""/>
    <d v="2025-03-10T00:00:00"/>
    <n v="0"/>
    <n v="36"/>
    <x v="0"/>
    <x v="2"/>
    <x v="0"/>
  </r>
  <r>
    <x v="882"/>
    <n v="4021234567894"/>
    <x v="18"/>
    <s v="Starostlivosť a hygiena – Mačky"/>
    <s v="PawStyle"/>
    <n v="8"/>
    <n v="1"/>
    <s v="NULL"/>
    <s v=""/>
    <d v="2025-03-10T00:00:00"/>
    <n v="0"/>
    <n v="8"/>
    <x v="0"/>
    <x v="2"/>
    <x v="1"/>
  </r>
  <r>
    <x v="883"/>
    <n v="4061011223346"/>
    <x v="3"/>
    <s v="Oblečenie a doplnky – Psy"/>
    <s v="Tail Trend"/>
    <n v="19.600000000000001"/>
    <n v="1"/>
    <s v="NULL"/>
    <s v=""/>
    <d v="2025-03-10T00:00:00"/>
    <n v="0"/>
    <n v="19.600000000000001"/>
    <x v="0"/>
    <x v="2"/>
    <x v="0"/>
  </r>
  <r>
    <x v="884"/>
    <n v="4026677889902"/>
    <x v="12"/>
    <s v="Misky a kŕmne doplnky – Ostatné"/>
    <s v="Pawsitive Gear"/>
    <n v="7.6"/>
    <n v="1"/>
    <s v="NULL"/>
    <s v=""/>
    <d v="2025-03-10T00:00:00"/>
    <n v="0"/>
    <n v="7.6"/>
    <x v="0"/>
    <x v="2"/>
    <x v="2"/>
  </r>
  <r>
    <x v="885"/>
    <n v="4028899001126"/>
    <x v="1"/>
    <s v="Krmivo a maškrty – Psy"/>
    <s v="Pup Republic"/>
    <n v="2.8"/>
    <n v="3"/>
    <s v="NULL"/>
    <s v=""/>
    <d v="2025-03-10T00:00:00"/>
    <n v="0"/>
    <n v="8.3999999999999986"/>
    <x v="0"/>
    <x v="2"/>
    <x v="0"/>
  </r>
  <r>
    <x v="886"/>
    <n v="4013456789017"/>
    <x v="0"/>
    <s v="Krmivo a maškrty – Psy"/>
    <s v="Snouty"/>
    <n v="6"/>
    <n v="2"/>
    <s v="NULL"/>
    <s v=""/>
    <d v="2025-03-10T00:00:00"/>
    <n v="0"/>
    <n v="12"/>
    <x v="0"/>
    <x v="2"/>
    <x v="0"/>
  </r>
  <r>
    <x v="887"/>
    <n v="4040123456795"/>
    <x v="2"/>
    <s v="Starostlivosť a hygiena – Psy"/>
    <s v="Dogissimo"/>
    <n v="8.8000000000000007"/>
    <n v="1"/>
    <s v="NULL"/>
    <s v=""/>
    <d v="2025-03-10T00:00:00"/>
    <n v="0"/>
    <n v="8.8000000000000007"/>
    <x v="0"/>
    <x v="2"/>
    <x v="0"/>
  </r>
  <r>
    <x v="888"/>
    <n v="4010123456783"/>
    <x v="6"/>
    <s v="Starostlivosť a hygiena – Mačky"/>
    <s v="BellaMeow"/>
    <n v="14"/>
    <n v="2"/>
    <s v="NULL"/>
    <s v=""/>
    <d v="2025-03-10T00:00:00"/>
    <n v="0"/>
    <n v="28"/>
    <x v="0"/>
    <x v="2"/>
    <x v="1"/>
  </r>
  <r>
    <x v="889"/>
    <n v="4063456789014"/>
    <x v="15"/>
    <s v="Krmivo a maškrty – Psy"/>
    <s v="Pupco"/>
    <n v="36"/>
    <n v="1"/>
    <s v="NULL"/>
    <s v=""/>
    <d v="2025-03-10T00:00:00"/>
    <n v="0"/>
    <n v="36"/>
    <x v="0"/>
    <x v="2"/>
    <x v="0"/>
  </r>
  <r>
    <x v="890"/>
    <n v="4028899001126"/>
    <x v="1"/>
    <s v="Krmivo a maškrty – Psy"/>
    <s v="Pup Republic"/>
    <n v="2.8"/>
    <n v="5"/>
    <s v="5"/>
    <s v="Pes sa po nich môže utĺcť."/>
    <d v="2025-03-11T00:00:00"/>
    <n v="0"/>
    <n v="14"/>
    <x v="2"/>
    <x v="2"/>
    <x v="0"/>
  </r>
  <r>
    <x v="891"/>
    <n v="4013456789017"/>
    <x v="0"/>
    <s v="Krmivo a maškrty – Psy"/>
    <s v="Snouty"/>
    <n v="6"/>
    <n v="1"/>
    <s v="NULL"/>
    <s v=""/>
    <d v="2025-03-11T00:00:00"/>
    <n v="0"/>
    <n v="6"/>
    <x v="0"/>
    <x v="2"/>
    <x v="0"/>
  </r>
  <r>
    <x v="892"/>
    <n v="4040123456795"/>
    <x v="2"/>
    <s v="Starostlivosť a hygiena – Psy"/>
    <s v="Dogissimo"/>
    <n v="8.8000000000000007"/>
    <n v="1"/>
    <s v="NULL"/>
    <s v=""/>
    <d v="2025-03-11T00:00:00"/>
    <n v="0"/>
    <n v="8.8000000000000007"/>
    <x v="0"/>
    <x v="2"/>
    <x v="0"/>
  </r>
  <r>
    <x v="893"/>
    <n v="4010123456783"/>
    <x v="6"/>
    <s v="Starostlivosť a hygiena – Mačky"/>
    <s v="BellaMeow"/>
    <n v="14"/>
    <n v="1"/>
    <s v="NULL"/>
    <s v=""/>
    <d v="2025-03-11T00:00:00"/>
    <n v="0"/>
    <n v="14"/>
    <x v="0"/>
    <x v="2"/>
    <x v="1"/>
  </r>
  <r>
    <x v="894"/>
    <n v="4063456789014"/>
    <x v="15"/>
    <s v="Krmivo a maškrty – Psy"/>
    <s v="Pupco"/>
    <n v="36"/>
    <n v="1"/>
    <s v="4"/>
    <s v="Chutí, pes prospieva."/>
    <d v="2025-03-11T00:00:00"/>
    <n v="0"/>
    <n v="36"/>
    <x v="1"/>
    <x v="2"/>
    <x v="0"/>
  </r>
  <r>
    <x v="895"/>
    <n v="4021234567894"/>
    <x v="18"/>
    <s v="Starostlivosť a hygiena – Mačky"/>
    <s v="PawStyle"/>
    <n v="8"/>
    <n v="1"/>
    <s v="NULL"/>
    <s v=""/>
    <d v="2025-03-11T00:00:00"/>
    <n v="0"/>
    <n v="8"/>
    <x v="0"/>
    <x v="2"/>
    <x v="1"/>
  </r>
  <r>
    <x v="896"/>
    <n v="4061011223346"/>
    <x v="3"/>
    <s v="Oblečenie a doplnky – Psy"/>
    <s v="Tail Trend"/>
    <n v="19.600000000000001"/>
    <n v="1"/>
    <s v="NULL"/>
    <s v=""/>
    <d v="2025-03-11T00:00:00"/>
    <n v="0"/>
    <n v="19.600000000000001"/>
    <x v="0"/>
    <x v="2"/>
    <x v="0"/>
  </r>
  <r>
    <x v="897"/>
    <n v="4026677889902"/>
    <x v="12"/>
    <s v="Misky a kŕmne doplnky – Ostatné"/>
    <s v="Pawsitive Gear"/>
    <n v="7.6"/>
    <n v="1"/>
    <s v="NULL"/>
    <s v=""/>
    <d v="2025-03-11T00:00:00"/>
    <n v="0"/>
    <n v="7.6"/>
    <x v="0"/>
    <x v="2"/>
    <x v="2"/>
  </r>
  <r>
    <x v="898"/>
    <n v="4028899001126"/>
    <x v="1"/>
    <s v="Krmivo a maškrty – Psy"/>
    <s v="Pup Republic"/>
    <n v="2.8"/>
    <n v="4"/>
    <s v="NULL"/>
    <s v=""/>
    <d v="2025-03-11T00:00:00"/>
    <n v="0"/>
    <n v="11.2"/>
    <x v="0"/>
    <x v="2"/>
    <x v="0"/>
  </r>
  <r>
    <x v="899"/>
    <n v="4013456789017"/>
    <x v="0"/>
    <s v="Krmivo a maškrty – Psy"/>
    <s v="Snouty"/>
    <n v="6"/>
    <n v="2"/>
    <s v="NULL"/>
    <s v=""/>
    <d v="2025-03-11T00:00:00"/>
    <n v="0"/>
    <n v="12"/>
    <x v="0"/>
    <x v="2"/>
    <x v="0"/>
  </r>
  <r>
    <x v="900"/>
    <n v="4040123456795"/>
    <x v="2"/>
    <s v="Starostlivosť a hygiena – Psy"/>
    <s v="Dogissimo"/>
    <n v="8.8000000000000007"/>
    <n v="1"/>
    <s v="NULL"/>
    <s v=""/>
    <d v="2025-03-11T00:00:00"/>
    <n v="0"/>
    <n v="8.8000000000000007"/>
    <x v="0"/>
    <x v="2"/>
    <x v="0"/>
  </r>
  <r>
    <x v="901"/>
    <n v="4010123456783"/>
    <x v="6"/>
    <s v="Starostlivosť a hygiena – Mačky"/>
    <s v="BellaMeow"/>
    <n v="14"/>
    <n v="2"/>
    <s v="NULL"/>
    <s v=""/>
    <d v="2025-03-11T00:00:00"/>
    <n v="0"/>
    <n v="28"/>
    <x v="0"/>
    <x v="2"/>
    <x v="1"/>
  </r>
  <r>
    <x v="902"/>
    <n v="4063456789014"/>
    <x v="15"/>
    <s v="Krmivo a maškrty – Psy"/>
    <s v="Pupco"/>
    <n v="36"/>
    <n v="1"/>
    <s v="NULL"/>
    <s v=""/>
    <d v="2025-03-11T00:00:00"/>
    <n v="0"/>
    <n v="36"/>
    <x v="0"/>
    <x v="2"/>
    <x v="0"/>
  </r>
  <r>
    <x v="903"/>
    <n v="4028899001126"/>
    <x v="1"/>
    <s v="Krmivo a maškrty – Psy"/>
    <s v="Pup Republic"/>
    <n v="2.8"/>
    <n v="3"/>
    <s v="NULL"/>
    <s v=""/>
    <d v="2025-03-12T00:00:00"/>
    <n v="0"/>
    <n v="8.3999999999999986"/>
    <x v="0"/>
    <x v="2"/>
    <x v="0"/>
  </r>
  <r>
    <x v="904"/>
    <n v="4013456789017"/>
    <x v="0"/>
    <s v="Krmivo a maškrty – Psy"/>
    <s v="Snouty"/>
    <n v="6"/>
    <n v="2"/>
    <s v="NULL"/>
    <s v=""/>
    <d v="2025-03-12T00:00:00"/>
    <n v="0"/>
    <n v="12"/>
    <x v="0"/>
    <x v="2"/>
    <x v="0"/>
  </r>
  <r>
    <x v="905"/>
    <n v="4040123456795"/>
    <x v="2"/>
    <s v="Starostlivosť a hygiena – Psy"/>
    <s v="Dogissimo"/>
    <n v="8.8000000000000007"/>
    <n v="1"/>
    <s v="NULL"/>
    <s v=""/>
    <d v="2025-03-12T00:00:00"/>
    <n v="0"/>
    <n v="8.8000000000000007"/>
    <x v="0"/>
    <x v="2"/>
    <x v="0"/>
  </r>
  <r>
    <x v="906"/>
    <n v="4010123456783"/>
    <x v="6"/>
    <s v="Starostlivosť a hygiena – Mačky"/>
    <s v="BellaMeow"/>
    <n v="14"/>
    <n v="1"/>
    <s v="NULL"/>
    <s v=""/>
    <d v="2025-03-12T00:00:00"/>
    <n v="0"/>
    <n v="14"/>
    <x v="0"/>
    <x v="2"/>
    <x v="1"/>
  </r>
  <r>
    <x v="907"/>
    <n v="4056789012345"/>
    <x v="11"/>
    <s v="Krmivo a maškrty – Mačky"/>
    <s v="BellaMeow"/>
    <n v="2.4"/>
    <n v="2"/>
    <s v="NULL"/>
    <s v=""/>
    <d v="2025-03-12T00:00:00"/>
    <n v="0"/>
    <n v="4.8"/>
    <x v="0"/>
    <x v="2"/>
    <x v="1"/>
  </r>
  <r>
    <x v="908"/>
    <n v="4063456789014"/>
    <x v="15"/>
    <s v="Krmivo a maškrty – Psy"/>
    <s v="Pupco"/>
    <n v="36"/>
    <n v="1"/>
    <s v="NULL"/>
    <s v=""/>
    <d v="2025-03-12T00:00:00"/>
    <n v="0"/>
    <n v="36"/>
    <x v="0"/>
    <x v="2"/>
    <x v="0"/>
  </r>
  <r>
    <x v="909"/>
    <n v="4021234567894"/>
    <x v="18"/>
    <s v="Starostlivosť a hygiena – Mačky"/>
    <s v="PawStyle"/>
    <n v="8"/>
    <n v="1"/>
    <s v="NULL"/>
    <s v=""/>
    <d v="2025-03-12T00:00:00"/>
    <n v="0"/>
    <n v="8"/>
    <x v="0"/>
    <x v="2"/>
    <x v="1"/>
  </r>
  <r>
    <x v="910"/>
    <n v="4061011223346"/>
    <x v="3"/>
    <s v="Oblečenie a doplnky – Psy"/>
    <s v="Tail Trend"/>
    <n v="19.600000000000001"/>
    <n v="1"/>
    <s v="NULL"/>
    <s v=""/>
    <d v="2025-03-12T00:00:00"/>
    <n v="0"/>
    <n v="19.600000000000001"/>
    <x v="0"/>
    <x v="2"/>
    <x v="0"/>
  </r>
  <r>
    <x v="911"/>
    <n v="4026677889902"/>
    <x v="12"/>
    <s v="Misky a kŕmne doplnky – Ostatné"/>
    <s v="Pawsitive Gear"/>
    <n v="7.6"/>
    <n v="1"/>
    <s v="NULL"/>
    <s v=""/>
    <d v="2025-03-12T00:00:00"/>
    <n v="0"/>
    <n v="7.6"/>
    <x v="0"/>
    <x v="2"/>
    <x v="2"/>
  </r>
  <r>
    <x v="912"/>
    <n v="4028899001126"/>
    <x v="1"/>
    <s v="Krmivo a maškrty – Psy"/>
    <s v="Pup Republic"/>
    <n v="2.8"/>
    <n v="4"/>
    <s v="NULL"/>
    <s v=""/>
    <d v="2025-03-12T00:00:00"/>
    <n v="0"/>
    <n v="11.2"/>
    <x v="0"/>
    <x v="2"/>
    <x v="0"/>
  </r>
  <r>
    <x v="913"/>
    <n v="4013456789017"/>
    <x v="0"/>
    <s v="Krmivo a maškrty – Psy"/>
    <s v="Snouty"/>
    <n v="6"/>
    <n v="2"/>
    <s v="NULL"/>
    <s v=""/>
    <d v="2025-03-12T00:00:00"/>
    <n v="0"/>
    <n v="12"/>
    <x v="0"/>
    <x v="2"/>
    <x v="0"/>
  </r>
  <r>
    <x v="914"/>
    <n v="4040123456795"/>
    <x v="2"/>
    <s v="Starostlivosť a hygiena – Psy"/>
    <s v="Dogissimo"/>
    <n v="8.8000000000000007"/>
    <n v="1"/>
    <s v="NULL"/>
    <s v=""/>
    <d v="2025-03-12T00:00:00"/>
    <n v="0"/>
    <n v="8.8000000000000007"/>
    <x v="0"/>
    <x v="2"/>
    <x v="0"/>
  </r>
  <r>
    <x v="915"/>
    <n v="4010123456783"/>
    <x v="6"/>
    <s v="Starostlivosť a hygiena – Mačky"/>
    <s v="BellaMeow"/>
    <n v="14"/>
    <n v="1"/>
    <s v="NULL"/>
    <s v=""/>
    <d v="2025-03-12T00:00:00"/>
    <n v="0"/>
    <n v="14"/>
    <x v="0"/>
    <x v="2"/>
    <x v="1"/>
  </r>
  <r>
    <x v="916"/>
    <n v="4063456789014"/>
    <x v="15"/>
    <s v="Krmivo a maškrty – Psy"/>
    <s v="Pupco"/>
    <n v="36"/>
    <n v="1"/>
    <s v="NULL"/>
    <s v=""/>
    <d v="2025-03-12T00:00:00"/>
    <n v="0"/>
    <n v="36"/>
    <x v="0"/>
    <x v="2"/>
    <x v="0"/>
  </r>
  <r>
    <x v="917"/>
    <n v="4028899001126"/>
    <x v="1"/>
    <s v="Krmivo a maškrty – Psy"/>
    <s v="Pup Republic"/>
    <n v="2.8"/>
    <n v="4"/>
    <s v="5"/>
    <s v="Pes sa je žiada každý deň."/>
    <d v="2025-03-13T00:00:00"/>
    <n v="0"/>
    <n v="11.2"/>
    <x v="2"/>
    <x v="2"/>
    <x v="0"/>
  </r>
  <r>
    <x v="918"/>
    <n v="4013456789017"/>
    <x v="0"/>
    <s v="Krmivo a maškrty – Psy"/>
    <s v="Snouty"/>
    <n v="6"/>
    <n v="2"/>
    <s v="NULL"/>
    <s v=""/>
    <d v="2025-03-13T00:00:00"/>
    <n v="0"/>
    <n v="12"/>
    <x v="0"/>
    <x v="2"/>
    <x v="0"/>
  </r>
  <r>
    <x v="919"/>
    <n v="4040123456795"/>
    <x v="2"/>
    <s v="Starostlivosť a hygiena – Psy"/>
    <s v="Dogissimo"/>
    <n v="8.8000000000000007"/>
    <n v="1"/>
    <s v="NULL"/>
    <s v=""/>
    <d v="2025-03-13T00:00:00"/>
    <n v="0"/>
    <n v="8.8000000000000007"/>
    <x v="0"/>
    <x v="2"/>
    <x v="0"/>
  </r>
  <r>
    <x v="920"/>
    <n v="4010123456783"/>
    <x v="6"/>
    <s v="Starostlivosť a hygiena – Mačky"/>
    <s v="BellaMeow"/>
    <n v="14"/>
    <n v="2"/>
    <s v="NULL"/>
    <s v=""/>
    <d v="2025-03-13T00:00:00"/>
    <n v="0"/>
    <n v="28"/>
    <x v="0"/>
    <x v="2"/>
    <x v="1"/>
  </r>
  <r>
    <x v="921"/>
    <n v="4056789012345"/>
    <x v="11"/>
    <s v="Krmivo a maškrty – Mačky"/>
    <s v="BellaMeow"/>
    <n v="2.4"/>
    <n v="2"/>
    <s v="NULL"/>
    <s v=""/>
    <d v="2025-03-13T00:00:00"/>
    <n v="0"/>
    <n v="4.8"/>
    <x v="0"/>
    <x v="2"/>
    <x v="1"/>
  </r>
  <r>
    <x v="922"/>
    <n v="4063456789014"/>
    <x v="15"/>
    <s v="Krmivo a maškrty – Psy"/>
    <s v="Pupco"/>
    <n v="36"/>
    <n v="1"/>
    <s v="NULL"/>
    <s v=""/>
    <d v="2025-03-13T00:00:00"/>
    <n v="0"/>
    <n v="36"/>
    <x v="0"/>
    <x v="2"/>
    <x v="0"/>
  </r>
  <r>
    <x v="923"/>
    <n v="4021234567894"/>
    <x v="18"/>
    <s v="Starostlivosť a hygiena – Mačky"/>
    <s v="PawStyle"/>
    <n v="8"/>
    <n v="1"/>
    <s v="NULL"/>
    <s v=""/>
    <d v="2025-03-13T00:00:00"/>
    <n v="0"/>
    <n v="8"/>
    <x v="0"/>
    <x v="2"/>
    <x v="1"/>
  </r>
  <r>
    <x v="924"/>
    <n v="4061011223346"/>
    <x v="3"/>
    <s v="Oblečenie a doplnky – Psy"/>
    <s v="Tail Trend"/>
    <n v="19.600000000000001"/>
    <n v="1"/>
    <s v="NULL"/>
    <s v=""/>
    <d v="2025-03-13T00:00:00"/>
    <n v="0"/>
    <n v="19.600000000000001"/>
    <x v="0"/>
    <x v="2"/>
    <x v="0"/>
  </r>
  <r>
    <x v="925"/>
    <n v="4026677889902"/>
    <x v="12"/>
    <s v="Misky a kŕmne doplnky – Ostatné"/>
    <s v="Pawsitive Gear"/>
    <n v="7.6"/>
    <n v="1"/>
    <s v="NULL"/>
    <s v=""/>
    <d v="2025-03-13T00:00:00"/>
    <n v="0"/>
    <n v="7.6"/>
    <x v="0"/>
    <x v="2"/>
    <x v="2"/>
  </r>
  <r>
    <x v="926"/>
    <n v="4028899001126"/>
    <x v="1"/>
    <s v="Krmivo a maškrty – Psy"/>
    <s v="Pup Republic"/>
    <n v="2.8"/>
    <n v="3"/>
    <s v="NULL"/>
    <s v=""/>
    <d v="2025-03-13T00:00:00"/>
    <n v="0"/>
    <n v="8.3999999999999986"/>
    <x v="0"/>
    <x v="2"/>
    <x v="0"/>
  </r>
  <r>
    <x v="927"/>
    <n v="4013456789017"/>
    <x v="0"/>
    <s v="Krmivo a maškrty – Psy"/>
    <s v="Snouty"/>
    <n v="6"/>
    <n v="2"/>
    <s v="NULL"/>
    <s v=""/>
    <d v="2025-03-13T00:00:00"/>
    <n v="0"/>
    <n v="12"/>
    <x v="0"/>
    <x v="2"/>
    <x v="0"/>
  </r>
  <r>
    <x v="928"/>
    <n v="4040123456795"/>
    <x v="2"/>
    <s v="Starostlivosť a hygiena – Psy"/>
    <s v="Dogissimo"/>
    <n v="8.8000000000000007"/>
    <n v="1"/>
    <s v="NULL"/>
    <s v=""/>
    <d v="2025-03-13T00:00:00"/>
    <n v="0"/>
    <n v="8.8000000000000007"/>
    <x v="0"/>
    <x v="2"/>
    <x v="0"/>
  </r>
  <r>
    <x v="929"/>
    <n v="4010123456783"/>
    <x v="6"/>
    <s v="Starostlivosť a hygiena – Mačky"/>
    <s v="BellaMeow"/>
    <n v="14"/>
    <n v="1"/>
    <s v="NULL"/>
    <s v=""/>
    <d v="2025-03-14T00:00:00"/>
    <n v="0"/>
    <n v="14"/>
    <x v="0"/>
    <x v="2"/>
    <x v="1"/>
  </r>
  <r>
    <x v="930"/>
    <n v="4063456789014"/>
    <x v="15"/>
    <s v="Krmivo a maškrty – Psy"/>
    <s v="Pupco"/>
    <n v="36"/>
    <n v="1"/>
    <s v="NULL"/>
    <s v=""/>
    <d v="2025-03-14T00:00:00"/>
    <n v="0"/>
    <n v="36"/>
    <x v="0"/>
    <x v="2"/>
    <x v="0"/>
  </r>
  <r>
    <x v="931"/>
    <n v="4028899001126"/>
    <x v="1"/>
    <s v="Krmivo a maškrty – Psy"/>
    <s v="Pup Republic"/>
    <n v="2.8"/>
    <n v="3"/>
    <s v="NULL"/>
    <s v=""/>
    <d v="2025-03-14T00:00:00"/>
    <n v="0"/>
    <n v="8.3999999999999986"/>
    <x v="0"/>
    <x v="2"/>
    <x v="0"/>
  </r>
  <r>
    <x v="932"/>
    <n v="4013456789017"/>
    <x v="0"/>
    <s v="Krmivo a maškrty – Psy"/>
    <s v="Snouty"/>
    <n v="6"/>
    <n v="2"/>
    <s v="NULL"/>
    <s v=""/>
    <d v="2025-03-14T00:00:00"/>
    <n v="0"/>
    <n v="12"/>
    <x v="0"/>
    <x v="2"/>
    <x v="0"/>
  </r>
  <r>
    <x v="933"/>
    <n v="4040123456795"/>
    <x v="2"/>
    <s v="Starostlivosť a hygiena – Psy"/>
    <s v="Dogissimo"/>
    <n v="8.8000000000000007"/>
    <n v="1"/>
    <s v="NULL"/>
    <s v=""/>
    <d v="2025-03-14T00:00:00"/>
    <n v="0"/>
    <n v="8.8000000000000007"/>
    <x v="0"/>
    <x v="2"/>
    <x v="0"/>
  </r>
  <r>
    <x v="934"/>
    <n v="4010123456783"/>
    <x v="6"/>
    <s v="Starostlivosť a hygiena – Mačky"/>
    <s v="BellaMeow"/>
    <n v="14"/>
    <n v="1"/>
    <s v="NULL"/>
    <s v=""/>
    <d v="2025-03-14T00:00:00"/>
    <n v="0"/>
    <n v="14"/>
    <x v="0"/>
    <x v="2"/>
    <x v="1"/>
  </r>
  <r>
    <x v="935"/>
    <n v="4063456789014"/>
    <x v="15"/>
    <s v="Krmivo a maškrty – Psy"/>
    <s v="Pupco"/>
    <n v="36"/>
    <n v="1"/>
    <s v="4"/>
    <s v="Spokojený pes, dobré zloženie."/>
    <d v="2025-03-14T00:00:00"/>
    <n v="0"/>
    <n v="36"/>
    <x v="1"/>
    <x v="2"/>
    <x v="0"/>
  </r>
  <r>
    <x v="936"/>
    <n v="4021234567894"/>
    <x v="18"/>
    <s v="Starostlivosť a hygiena – Mačky"/>
    <s v="PawStyle"/>
    <n v="8"/>
    <n v="1"/>
    <s v="NULL"/>
    <s v=""/>
    <d v="2025-03-14T00:00:00"/>
    <n v="0"/>
    <n v="8"/>
    <x v="0"/>
    <x v="2"/>
    <x v="1"/>
  </r>
  <r>
    <x v="937"/>
    <n v="4061011223346"/>
    <x v="3"/>
    <s v="Oblečenie a doplnky – Psy"/>
    <s v="Tail Trend"/>
    <n v="19.600000000000001"/>
    <n v="1"/>
    <s v="NULL"/>
    <s v=""/>
    <d v="2025-03-14T00:00:00"/>
    <n v="0"/>
    <n v="19.600000000000001"/>
    <x v="0"/>
    <x v="2"/>
    <x v="0"/>
  </r>
  <r>
    <x v="938"/>
    <n v="4026677889902"/>
    <x v="12"/>
    <s v="Misky a kŕmne doplnky – Ostatné"/>
    <s v="Pawsitive Gear"/>
    <n v="7.6"/>
    <n v="1"/>
    <s v="NULL"/>
    <s v=""/>
    <d v="2025-03-14T00:00:00"/>
    <n v="0"/>
    <n v="7.6"/>
    <x v="0"/>
    <x v="2"/>
    <x v="2"/>
  </r>
  <r>
    <x v="939"/>
    <n v="4028899001126"/>
    <x v="1"/>
    <s v="Krmivo a maškrty – Psy"/>
    <s v="Pup Republic"/>
    <n v="2.8"/>
    <n v="5"/>
    <s v="5"/>
    <s v="Výborná kvalita, odporúčam."/>
    <d v="2025-03-15T00:00:00"/>
    <n v="0"/>
    <n v="14"/>
    <x v="2"/>
    <x v="2"/>
    <x v="0"/>
  </r>
  <r>
    <x v="940"/>
    <n v="4013456789017"/>
    <x v="0"/>
    <s v="Krmivo a maškrty – Psy"/>
    <s v="Snouty"/>
    <n v="6"/>
    <n v="1"/>
    <s v="NULL"/>
    <s v=""/>
    <d v="2025-03-15T00:00:00"/>
    <n v="0"/>
    <n v="6"/>
    <x v="0"/>
    <x v="2"/>
    <x v="0"/>
  </r>
  <r>
    <x v="941"/>
    <n v="4040123456795"/>
    <x v="2"/>
    <s v="Starostlivosť a hygiena – Psy"/>
    <s v="Dogissimo"/>
    <n v="8.8000000000000007"/>
    <n v="1"/>
    <s v="NULL"/>
    <s v=""/>
    <d v="2025-03-15T00:00:00"/>
    <n v="0"/>
    <n v="8.8000000000000007"/>
    <x v="0"/>
    <x v="2"/>
    <x v="0"/>
  </r>
  <r>
    <x v="942"/>
    <n v="4010123456783"/>
    <x v="6"/>
    <s v="Starostlivosť a hygiena – Mačky"/>
    <s v="BellaMeow"/>
    <n v="14"/>
    <n v="2"/>
    <s v="NULL"/>
    <s v=""/>
    <d v="2025-03-15T00:00:00"/>
    <n v="0"/>
    <n v="28"/>
    <x v="0"/>
    <x v="2"/>
    <x v="1"/>
  </r>
  <r>
    <x v="943"/>
    <n v="4056789012345"/>
    <x v="11"/>
    <s v="Krmivo a maškrty – Mačky"/>
    <s v="BellaMeow"/>
    <n v="2.4"/>
    <n v="2"/>
    <s v="NULL"/>
    <s v=""/>
    <d v="2025-03-15T00:00:00"/>
    <n v="0"/>
    <n v="4.8"/>
    <x v="0"/>
    <x v="2"/>
    <x v="1"/>
  </r>
  <r>
    <x v="944"/>
    <n v="4063456789014"/>
    <x v="15"/>
    <s v="Krmivo a maškrty – Psy"/>
    <s v="Pupco"/>
    <n v="36"/>
    <n v="1"/>
    <s v="NULL"/>
    <s v=""/>
    <d v="2025-03-15T00:00:00"/>
    <n v="0"/>
    <n v="36"/>
    <x v="0"/>
    <x v="2"/>
    <x v="0"/>
  </r>
  <r>
    <x v="945"/>
    <n v="4021234567894"/>
    <x v="18"/>
    <s v="Starostlivosť a hygiena – Mačky"/>
    <s v="PawStyle"/>
    <n v="8"/>
    <n v="1"/>
    <s v="NULL"/>
    <s v=""/>
    <d v="2025-03-15T00:00:00"/>
    <n v="0"/>
    <n v="8"/>
    <x v="0"/>
    <x v="2"/>
    <x v="1"/>
  </r>
  <r>
    <x v="946"/>
    <n v="4061011223346"/>
    <x v="3"/>
    <s v="Oblečenie a doplnky – Psy"/>
    <s v="Tail Trend"/>
    <n v="19.600000000000001"/>
    <n v="1"/>
    <s v="NULL"/>
    <s v=""/>
    <d v="2025-03-15T00:00:00"/>
    <n v="0"/>
    <n v="19.600000000000001"/>
    <x v="0"/>
    <x v="2"/>
    <x v="0"/>
  </r>
  <r>
    <x v="947"/>
    <n v="4026677889902"/>
    <x v="12"/>
    <s v="Misky a kŕmne doplnky – Ostatné"/>
    <s v="Pawsitive Gear"/>
    <n v="7.6"/>
    <n v="1"/>
    <s v="NULL"/>
    <s v=""/>
    <d v="2025-03-15T00:00:00"/>
    <n v="0"/>
    <n v="7.6"/>
    <x v="0"/>
    <x v="2"/>
    <x v="2"/>
  </r>
  <r>
    <x v="948"/>
    <n v="4028899001126"/>
    <x v="1"/>
    <s v="Krmivo a maškrty – Psy"/>
    <s v="Pup Republic"/>
    <n v="2.8"/>
    <n v="4"/>
    <s v="NULL"/>
    <s v=""/>
    <d v="2025-03-15T00:00:00"/>
    <n v="0"/>
    <n v="11.2"/>
    <x v="0"/>
    <x v="2"/>
    <x v="0"/>
  </r>
  <r>
    <x v="949"/>
    <n v="4013456789017"/>
    <x v="0"/>
    <s v="Krmivo a maškrty – Psy"/>
    <s v="Snouty"/>
    <n v="6"/>
    <n v="2"/>
    <s v="NULL"/>
    <s v=""/>
    <d v="2025-03-15T00:00:00"/>
    <n v="0"/>
    <n v="12"/>
    <x v="0"/>
    <x v="2"/>
    <x v="0"/>
  </r>
  <r>
    <x v="950"/>
    <n v="4040123456795"/>
    <x v="2"/>
    <s v="Starostlivosť a hygiena – Psy"/>
    <s v="Dogissimo"/>
    <n v="8.8000000000000007"/>
    <n v="1"/>
    <s v="NULL"/>
    <s v=""/>
    <d v="2025-03-15T00:00:00"/>
    <n v="0"/>
    <n v="8.8000000000000007"/>
    <x v="0"/>
    <x v="2"/>
    <x v="0"/>
  </r>
  <r>
    <x v="951"/>
    <n v="4010123456783"/>
    <x v="6"/>
    <s v="Starostlivosť a hygiena – Mačky"/>
    <s v="BellaMeow"/>
    <n v="14"/>
    <n v="1"/>
    <s v="NULL"/>
    <s v=""/>
    <d v="2025-03-15T00:00:00"/>
    <n v="0"/>
    <n v="14"/>
    <x v="0"/>
    <x v="2"/>
    <x v="1"/>
  </r>
  <r>
    <x v="952"/>
    <n v="4063456789014"/>
    <x v="15"/>
    <s v="Krmivo a maškrty – Psy"/>
    <s v="Pupco"/>
    <n v="36"/>
    <n v="1"/>
    <s v="NULL"/>
    <s v=""/>
    <d v="2025-03-15T00:00:00"/>
    <n v="0"/>
    <n v="36"/>
    <x v="0"/>
    <x v="2"/>
    <x v="0"/>
  </r>
  <r>
    <x v="953"/>
    <n v="4028899001126"/>
    <x v="1"/>
    <s v="Krmivo a maškrty – Psy"/>
    <s v="Pup Republic"/>
    <n v="2.8"/>
    <n v="3"/>
    <s v="NULL"/>
    <s v=""/>
    <d v="2025-03-16T00:00:00"/>
    <n v="0"/>
    <n v="8.3999999999999986"/>
    <x v="0"/>
    <x v="2"/>
    <x v="0"/>
  </r>
  <r>
    <x v="954"/>
    <n v="4013456789017"/>
    <x v="0"/>
    <s v="Krmivo a maškrty – Psy"/>
    <s v="Snouty"/>
    <n v="6"/>
    <n v="1"/>
    <s v="NULL"/>
    <s v=""/>
    <d v="2025-03-16T00:00:00"/>
    <n v="0"/>
    <n v="6"/>
    <x v="0"/>
    <x v="2"/>
    <x v="0"/>
  </r>
  <r>
    <x v="955"/>
    <n v="4040123456795"/>
    <x v="2"/>
    <s v="Starostlivosť a hygiena – Psy"/>
    <s v="Dogissimo"/>
    <n v="8.8000000000000007"/>
    <n v="1"/>
    <s v="NULL"/>
    <s v=""/>
    <d v="2025-03-16T00:00:00"/>
    <n v="0"/>
    <n v="8.8000000000000007"/>
    <x v="0"/>
    <x v="2"/>
    <x v="0"/>
  </r>
  <r>
    <x v="956"/>
    <n v="4010123456783"/>
    <x v="6"/>
    <s v="Starostlivosť a hygiena – Mačky"/>
    <s v="BellaMeow"/>
    <n v="14"/>
    <n v="1"/>
    <s v="NULL"/>
    <s v=""/>
    <d v="2025-03-16T00:00:00"/>
    <n v="0"/>
    <n v="14"/>
    <x v="0"/>
    <x v="2"/>
    <x v="1"/>
  </r>
  <r>
    <x v="957"/>
    <n v="4063456789014"/>
    <x v="15"/>
    <s v="Krmivo a maškrty – Psy"/>
    <s v="Pupco"/>
    <n v="36"/>
    <n v="1"/>
    <s v="5"/>
    <s v="Pes to miluje, kupujem často."/>
    <d v="2025-03-16T00:00:00"/>
    <n v="0"/>
    <n v="36"/>
    <x v="2"/>
    <x v="2"/>
    <x v="0"/>
  </r>
  <r>
    <x v="958"/>
    <n v="4021234567894"/>
    <x v="18"/>
    <s v="Starostlivosť a hygiena – Mačky"/>
    <s v="PawStyle"/>
    <n v="8"/>
    <n v="1"/>
    <s v="NULL"/>
    <s v=""/>
    <d v="2025-03-16T00:00:00"/>
    <n v="0"/>
    <n v="8"/>
    <x v="0"/>
    <x v="2"/>
    <x v="1"/>
  </r>
  <r>
    <x v="959"/>
    <n v="4061011223346"/>
    <x v="3"/>
    <s v="Oblečenie a doplnky – Psy"/>
    <s v="Tail Trend"/>
    <n v="19.600000000000001"/>
    <n v="1"/>
    <s v="NULL"/>
    <s v=""/>
    <d v="2025-03-16T00:00:00"/>
    <n v="0"/>
    <n v="19.600000000000001"/>
    <x v="0"/>
    <x v="2"/>
    <x v="0"/>
  </r>
  <r>
    <x v="960"/>
    <n v="4026677889902"/>
    <x v="12"/>
    <s v="Misky a kŕmne doplnky – Ostatné"/>
    <s v="Pawsitive Gear"/>
    <n v="7.6"/>
    <n v="1"/>
    <s v="NULL"/>
    <s v=""/>
    <d v="2025-03-16T00:00:00"/>
    <n v="0"/>
    <n v="7.6"/>
    <x v="0"/>
    <x v="2"/>
    <x v="2"/>
  </r>
  <r>
    <x v="961"/>
    <n v="4028899001126"/>
    <x v="1"/>
    <s v="Krmivo a maškrty – Psy"/>
    <s v="Pup Republic"/>
    <n v="2.8"/>
    <n v="4"/>
    <s v="NULL"/>
    <s v=""/>
    <d v="2025-03-16T00:00:00"/>
    <n v="0"/>
    <n v="11.2"/>
    <x v="0"/>
    <x v="2"/>
    <x v="0"/>
  </r>
  <r>
    <x v="962"/>
    <n v="4013456789017"/>
    <x v="0"/>
    <s v="Krmivo a maškrty – Psy"/>
    <s v="Snouty"/>
    <n v="6"/>
    <n v="2"/>
    <s v="NULL"/>
    <s v=""/>
    <d v="2025-03-16T00:00:00"/>
    <n v="0"/>
    <n v="12"/>
    <x v="0"/>
    <x v="2"/>
    <x v="0"/>
  </r>
  <r>
    <x v="963"/>
    <n v="4040123456795"/>
    <x v="2"/>
    <s v="Starostlivosť a hygiena – Psy"/>
    <s v="Dogissimo"/>
    <n v="8.8000000000000007"/>
    <n v="1"/>
    <s v="NULL"/>
    <s v=""/>
    <d v="2025-03-16T00:00:00"/>
    <n v="0"/>
    <n v="8.8000000000000007"/>
    <x v="0"/>
    <x v="2"/>
    <x v="0"/>
  </r>
  <r>
    <x v="964"/>
    <n v="4010123456783"/>
    <x v="6"/>
    <s v="Starostlivosť a hygiena – Mačky"/>
    <s v="BellaMeow"/>
    <n v="14"/>
    <n v="2"/>
    <s v="NULL"/>
    <s v=""/>
    <d v="2025-03-16T00:00:00"/>
    <n v="0"/>
    <n v="28"/>
    <x v="0"/>
    <x v="2"/>
    <x v="1"/>
  </r>
  <r>
    <x v="965"/>
    <n v="4063456789014"/>
    <x v="15"/>
    <s v="Krmivo a maškrty – Psy"/>
    <s v="Pupco"/>
    <n v="36"/>
    <n v="1"/>
    <s v="NULL"/>
    <s v=""/>
    <d v="2025-03-16T00:00:00"/>
    <n v="0"/>
    <n v="36"/>
    <x v="0"/>
    <x v="2"/>
    <x v="0"/>
  </r>
  <r>
    <x v="966"/>
    <n v="4028899001126"/>
    <x v="1"/>
    <s v="Krmivo a maškrty – Psy"/>
    <s v="Pup Republic"/>
    <n v="2.8"/>
    <n v="4"/>
    <s v="NULL"/>
    <s v=""/>
    <d v="2025-03-17T00:00:00"/>
    <n v="0"/>
    <n v="11.2"/>
    <x v="0"/>
    <x v="2"/>
    <x v="0"/>
  </r>
  <r>
    <x v="967"/>
    <n v="4013456789017"/>
    <x v="0"/>
    <s v="Krmivo a maškrty – Psy"/>
    <s v="Snouty"/>
    <n v="6"/>
    <n v="2"/>
    <s v="NULL"/>
    <s v=""/>
    <d v="2025-03-17T00:00:00"/>
    <n v="0"/>
    <n v="12"/>
    <x v="0"/>
    <x v="2"/>
    <x v="0"/>
  </r>
  <r>
    <x v="968"/>
    <n v="4040123456795"/>
    <x v="2"/>
    <s v="Starostlivosť a hygiena – Psy"/>
    <s v="Dogissimo"/>
    <n v="8.8000000000000007"/>
    <n v="1"/>
    <s v="NULL"/>
    <s v=""/>
    <d v="2025-03-17T00:00:00"/>
    <n v="0"/>
    <n v="8.8000000000000007"/>
    <x v="0"/>
    <x v="2"/>
    <x v="0"/>
  </r>
  <r>
    <x v="969"/>
    <n v="4010123456783"/>
    <x v="6"/>
    <s v="Starostlivosť a hygiena – Mačky"/>
    <s v="BellaMeow"/>
    <n v="14"/>
    <n v="1"/>
    <s v="NULL"/>
    <s v=""/>
    <d v="2025-03-17T00:00:00"/>
    <n v="0"/>
    <n v="14"/>
    <x v="0"/>
    <x v="2"/>
    <x v="1"/>
  </r>
  <r>
    <x v="970"/>
    <n v="4056789012345"/>
    <x v="11"/>
    <s v="Krmivo a maškrty – Mačky"/>
    <s v="BellaMeow"/>
    <n v="2.4"/>
    <n v="2"/>
    <s v="NULL"/>
    <s v=""/>
    <d v="2025-03-17T00:00:00"/>
    <n v="0"/>
    <n v="4.8"/>
    <x v="0"/>
    <x v="2"/>
    <x v="1"/>
  </r>
  <r>
    <x v="971"/>
    <n v="4063456789014"/>
    <x v="15"/>
    <s v="Krmivo a maškrty – Psy"/>
    <s v="Pupco"/>
    <n v="36"/>
    <n v="1"/>
    <s v="NULL"/>
    <s v=""/>
    <d v="2025-03-17T00:00:00"/>
    <n v="0"/>
    <n v="36"/>
    <x v="0"/>
    <x v="2"/>
    <x v="0"/>
  </r>
  <r>
    <x v="972"/>
    <n v="4021234567894"/>
    <x v="18"/>
    <s v="Starostlivosť a hygiena – Mačky"/>
    <s v="PawStyle"/>
    <n v="8"/>
    <n v="1"/>
    <s v="NULL"/>
    <s v=""/>
    <d v="2025-03-17T00:00:00"/>
    <n v="0"/>
    <n v="8"/>
    <x v="0"/>
    <x v="2"/>
    <x v="1"/>
  </r>
  <r>
    <x v="973"/>
    <n v="4061011223346"/>
    <x v="3"/>
    <s v="Oblečenie a doplnky – Psy"/>
    <s v="Tail Trend"/>
    <n v="19.600000000000001"/>
    <n v="1"/>
    <s v="NULL"/>
    <s v=""/>
    <d v="2025-03-17T00:00:00"/>
    <n v="0"/>
    <n v="19.600000000000001"/>
    <x v="0"/>
    <x v="2"/>
    <x v="0"/>
  </r>
  <r>
    <x v="974"/>
    <n v="4026677889902"/>
    <x v="12"/>
    <s v="Misky a kŕmne doplnky – Ostatné"/>
    <s v="Pawsitive Gear"/>
    <n v="7.6"/>
    <n v="1"/>
    <s v="NULL"/>
    <s v=""/>
    <d v="2025-03-17T00:00:00"/>
    <n v="0"/>
    <n v="7.6"/>
    <x v="0"/>
    <x v="2"/>
    <x v="2"/>
  </r>
  <r>
    <x v="975"/>
    <n v="4028899001126"/>
    <x v="1"/>
    <s v="Krmivo a maškrty – Psy"/>
    <s v="Pup Republic"/>
    <n v="2.8"/>
    <n v="3"/>
    <s v="NULL"/>
    <s v=""/>
    <d v="2025-03-17T00:00:00"/>
    <n v="0"/>
    <n v="8.3999999999999986"/>
    <x v="0"/>
    <x v="2"/>
    <x v="0"/>
  </r>
  <r>
    <x v="976"/>
    <n v="4013456789017"/>
    <x v="0"/>
    <s v="Krmivo a maškrty – Psy"/>
    <s v="Snouty"/>
    <n v="6"/>
    <n v="2"/>
    <s v="NULL"/>
    <s v=""/>
    <d v="2025-03-17T00:00:00"/>
    <n v="0"/>
    <n v="12"/>
    <x v="0"/>
    <x v="2"/>
    <x v="0"/>
  </r>
  <r>
    <x v="977"/>
    <n v="4040123456795"/>
    <x v="2"/>
    <s v="Starostlivosť a hygiena – Psy"/>
    <s v="Dogissimo"/>
    <n v="8.8000000000000007"/>
    <n v="1"/>
    <s v="NULL"/>
    <s v=""/>
    <d v="2025-03-17T00:00:00"/>
    <n v="0"/>
    <n v="8.8000000000000007"/>
    <x v="0"/>
    <x v="2"/>
    <x v="0"/>
  </r>
  <r>
    <x v="978"/>
    <n v="4010123456783"/>
    <x v="6"/>
    <s v="Starostlivosť a hygiena – Mačky"/>
    <s v="BellaMeow"/>
    <n v="14"/>
    <n v="2"/>
    <s v="NULL"/>
    <s v=""/>
    <d v="2025-03-17T00:00:00"/>
    <n v="0"/>
    <n v="28"/>
    <x v="0"/>
    <x v="2"/>
    <x v="1"/>
  </r>
  <r>
    <x v="979"/>
    <n v="4063456789014"/>
    <x v="15"/>
    <s v="Krmivo a maškrty – Psy"/>
    <s v="Pupco"/>
    <n v="36"/>
    <n v="1"/>
    <s v="NULL"/>
    <s v=""/>
    <d v="2025-03-17T00:00:00"/>
    <n v="0"/>
    <n v="36"/>
    <x v="0"/>
    <x v="2"/>
    <x v="0"/>
  </r>
  <r>
    <x v="980"/>
    <n v="4028899001126"/>
    <x v="1"/>
    <s v="Krmivo a maškrty – Psy"/>
    <s v="Pup Republic"/>
    <n v="2.8"/>
    <n v="5"/>
    <s v="4"/>
    <s v="Pes sa olizuje až za ušima."/>
    <d v="2025-03-18T00:00:00"/>
    <n v="0"/>
    <n v="14"/>
    <x v="1"/>
    <x v="2"/>
    <x v="0"/>
  </r>
  <r>
    <x v="981"/>
    <n v="4013456789017"/>
    <x v="0"/>
    <s v="Krmivo a maškrty – Psy"/>
    <s v="Snouty"/>
    <n v="6"/>
    <n v="2"/>
    <s v="NULL"/>
    <s v=""/>
    <d v="2025-03-18T00:00:00"/>
    <n v="0"/>
    <n v="12"/>
    <x v="0"/>
    <x v="2"/>
    <x v="0"/>
  </r>
  <r>
    <x v="982"/>
    <n v="4040123456795"/>
    <x v="2"/>
    <s v="Starostlivosť a hygiena – Psy"/>
    <s v="Dogissimo"/>
    <n v="8.8000000000000007"/>
    <n v="1"/>
    <s v="NULL"/>
    <s v=""/>
    <d v="2025-03-18T00:00:00"/>
    <n v="0"/>
    <n v="8.8000000000000007"/>
    <x v="0"/>
    <x v="2"/>
    <x v="0"/>
  </r>
  <r>
    <x v="983"/>
    <n v="4010123456783"/>
    <x v="6"/>
    <s v="Starostlivosť a hygiena – Mačky"/>
    <s v="BellaMeow"/>
    <n v="14"/>
    <n v="1"/>
    <s v="NULL"/>
    <s v=""/>
    <d v="2025-03-18T00:00:00"/>
    <n v="0"/>
    <n v="14"/>
    <x v="0"/>
    <x v="2"/>
    <x v="1"/>
  </r>
  <r>
    <x v="984"/>
    <n v="4063456789014"/>
    <x v="15"/>
    <s v="Krmivo a maškrty – Psy"/>
    <s v="Pupco"/>
    <n v="36"/>
    <n v="1"/>
    <s v="NULL"/>
    <s v=""/>
    <d v="2025-03-18T00:00:00"/>
    <n v="0"/>
    <n v="36"/>
    <x v="0"/>
    <x v="2"/>
    <x v="0"/>
  </r>
  <r>
    <x v="985"/>
    <n v="4021234567894"/>
    <x v="18"/>
    <s v="Starostlivosť a hygiena – Mačky"/>
    <s v="PawStyle"/>
    <n v="8"/>
    <n v="1"/>
    <s v="NULL"/>
    <s v=""/>
    <d v="2025-03-18T00:00:00"/>
    <n v="0"/>
    <n v="8"/>
    <x v="0"/>
    <x v="2"/>
    <x v="1"/>
  </r>
  <r>
    <x v="986"/>
    <n v="4061011223346"/>
    <x v="3"/>
    <s v="Oblečenie a doplnky – Psy"/>
    <s v="Tail Trend"/>
    <n v="19.600000000000001"/>
    <n v="1"/>
    <s v="NULL"/>
    <s v=""/>
    <d v="2025-03-18T00:00:00"/>
    <n v="0"/>
    <n v="19.600000000000001"/>
    <x v="0"/>
    <x v="2"/>
    <x v="0"/>
  </r>
  <r>
    <x v="987"/>
    <n v="4026677889902"/>
    <x v="12"/>
    <s v="Misky a kŕmne doplnky – Ostatné"/>
    <s v="Pawsitive Gear"/>
    <n v="7.6"/>
    <n v="1"/>
    <s v="NULL"/>
    <s v=""/>
    <d v="2025-03-18T00:00:00"/>
    <n v="0"/>
    <n v="7.6"/>
    <x v="0"/>
    <x v="2"/>
    <x v="2"/>
  </r>
  <r>
    <x v="988"/>
    <n v="4028899001126"/>
    <x v="1"/>
    <s v="Krmivo a maškrty – Psy"/>
    <s v="Pup Republic"/>
    <n v="2.8"/>
    <n v="3"/>
    <s v="NULL"/>
    <s v=""/>
    <d v="2025-03-18T00:00:00"/>
    <n v="0"/>
    <n v="8.3999999999999986"/>
    <x v="0"/>
    <x v="2"/>
    <x v="0"/>
  </r>
  <r>
    <x v="989"/>
    <n v="4013456789017"/>
    <x v="0"/>
    <s v="Krmivo a maškrty – Psy"/>
    <s v="Snouty"/>
    <n v="6"/>
    <n v="2"/>
    <s v="NULL"/>
    <s v=""/>
    <d v="2025-03-18T00:00:00"/>
    <n v="0"/>
    <n v="12"/>
    <x v="0"/>
    <x v="2"/>
    <x v="0"/>
  </r>
  <r>
    <x v="990"/>
    <n v="4040123456795"/>
    <x v="2"/>
    <s v="Starostlivosť a hygiena – Psy"/>
    <s v="Dogissimo"/>
    <n v="8.8000000000000007"/>
    <n v="1"/>
    <s v="NULL"/>
    <s v=""/>
    <d v="2025-03-18T00:00:00"/>
    <n v="0"/>
    <n v="8.8000000000000007"/>
    <x v="0"/>
    <x v="2"/>
    <x v="0"/>
  </r>
  <r>
    <x v="991"/>
    <n v="4010123456783"/>
    <x v="6"/>
    <s v="Starostlivosť a hygiena – Mačky"/>
    <s v="BellaMeow"/>
    <n v="14"/>
    <n v="1"/>
    <s v="NULL"/>
    <s v=""/>
    <d v="2025-03-18T00:00:00"/>
    <n v="0"/>
    <n v="14"/>
    <x v="0"/>
    <x v="2"/>
    <x v="1"/>
  </r>
  <r>
    <x v="992"/>
    <n v="4063456789014"/>
    <x v="15"/>
    <s v="Krmivo a maškrty – Psy"/>
    <s v="Pupco"/>
    <n v="36"/>
    <n v="1"/>
    <s v="NULL"/>
    <s v=""/>
    <d v="2025-03-18T00:00:00"/>
    <n v="0"/>
    <n v="36"/>
    <x v="0"/>
    <x v="2"/>
    <x v="0"/>
  </r>
  <r>
    <x v="993"/>
    <n v="4028899001126"/>
    <x v="1"/>
    <s v="Krmivo a maškrty – Psy"/>
    <s v="Pup Republic"/>
    <n v="2.8"/>
    <n v="5"/>
    <s v="NULL"/>
    <s v=""/>
    <d v="2025-03-19T00:00:00"/>
    <n v="0"/>
    <n v="14"/>
    <x v="0"/>
    <x v="2"/>
    <x v="0"/>
  </r>
  <r>
    <x v="994"/>
    <n v="4013456789017"/>
    <x v="0"/>
    <s v="Krmivo a maškrty – Psy"/>
    <s v="Snouty"/>
    <n v="6"/>
    <n v="2"/>
    <s v="NULL"/>
    <s v=""/>
    <d v="2025-03-19T00:00:00"/>
    <n v="0"/>
    <n v="12"/>
    <x v="0"/>
    <x v="2"/>
    <x v="0"/>
  </r>
  <r>
    <x v="995"/>
    <n v="4040123456795"/>
    <x v="2"/>
    <s v="Starostlivosť a hygiena – Psy"/>
    <s v="Dogissimo"/>
    <n v="8.8000000000000007"/>
    <n v="1"/>
    <s v="NULL"/>
    <s v=""/>
    <d v="2025-03-19T00:00:00"/>
    <n v="0"/>
    <n v="8.8000000000000007"/>
    <x v="0"/>
    <x v="2"/>
    <x v="0"/>
  </r>
  <r>
    <x v="996"/>
    <n v="4010123456783"/>
    <x v="6"/>
    <s v="Starostlivosť a hygiena – Mačky"/>
    <s v="BellaMeow"/>
    <n v="14"/>
    <n v="1"/>
    <s v="NULL"/>
    <s v=""/>
    <d v="2025-03-19T00:00:00"/>
    <n v="0"/>
    <n v="14"/>
    <x v="0"/>
    <x v="2"/>
    <x v="1"/>
  </r>
  <r>
    <x v="997"/>
    <n v="4056789012345"/>
    <x v="11"/>
    <s v="Krmivo a maškrty – Mačky"/>
    <s v="BellaMeow"/>
    <n v="2.4"/>
    <n v="2"/>
    <s v="NULL"/>
    <s v=""/>
    <d v="2025-03-19T00:00:00"/>
    <n v="0"/>
    <n v="4.8"/>
    <x v="0"/>
    <x v="2"/>
    <x v="1"/>
  </r>
  <r>
    <x v="998"/>
    <n v="4063456789014"/>
    <x v="15"/>
    <s v="Krmivo a maškrty – Psy"/>
    <s v="Pupco"/>
    <n v="36"/>
    <n v="1"/>
    <s v="NULL"/>
    <s v=""/>
    <d v="2025-03-19T00:00:00"/>
    <n v="0"/>
    <n v="36"/>
    <x v="0"/>
    <x v="2"/>
    <x v="0"/>
  </r>
  <r>
    <x v="999"/>
    <n v="4021234567894"/>
    <x v="18"/>
    <s v="Starostlivosť a hygiena – Mačky"/>
    <s v="PawStyle"/>
    <n v="8"/>
    <n v="1"/>
    <s v="NULL"/>
    <s v=""/>
    <d v="2025-03-19T00:00:00"/>
    <n v="0"/>
    <n v="8"/>
    <x v="0"/>
    <x v="2"/>
    <x v="1"/>
  </r>
  <r>
    <x v="1000"/>
    <n v="4061011223346"/>
    <x v="3"/>
    <s v="Oblečenie a doplnky – Psy"/>
    <s v="Tail Trend"/>
    <n v="19.600000000000001"/>
    <n v="1"/>
    <s v="NULL"/>
    <s v=""/>
    <d v="2025-03-19T00:00:00"/>
    <n v="0"/>
    <n v="19.600000000000001"/>
    <x v="0"/>
    <x v="2"/>
    <x v="0"/>
  </r>
  <r>
    <x v="1001"/>
    <n v="4026677889902"/>
    <x v="12"/>
    <s v="Misky a kŕmne doplnky – Ostatné"/>
    <s v="Pawsitive Gear"/>
    <n v="7.6"/>
    <n v="1"/>
    <s v="NULL"/>
    <s v=""/>
    <d v="2025-03-19T00:00:00"/>
    <n v="0"/>
    <n v="7.6"/>
    <x v="0"/>
    <x v="2"/>
    <x v="2"/>
  </r>
  <r>
    <x v="1002"/>
    <n v="4028899001126"/>
    <x v="1"/>
    <s v="Krmivo a maškrty – Psy"/>
    <s v="Pup Republic"/>
    <n v="2.8"/>
    <n v="4"/>
    <s v="NULL"/>
    <s v=""/>
    <d v="2025-03-19T00:00:00"/>
    <n v="0"/>
    <n v="11.2"/>
    <x v="0"/>
    <x v="2"/>
    <x v="0"/>
  </r>
  <r>
    <x v="1003"/>
    <n v="4013456789017"/>
    <x v="0"/>
    <s v="Krmivo a maškrty – Psy"/>
    <s v="Snouty"/>
    <n v="6"/>
    <n v="2"/>
    <s v="NULL"/>
    <s v=""/>
    <d v="2025-03-19T00:00:00"/>
    <n v="0"/>
    <n v="12"/>
    <x v="0"/>
    <x v="2"/>
    <x v="0"/>
  </r>
  <r>
    <x v="1004"/>
    <n v="4040123456795"/>
    <x v="2"/>
    <s v="Starostlivosť a hygiena – Psy"/>
    <s v="Dogissimo"/>
    <n v="8.8000000000000007"/>
    <n v="1"/>
    <s v="NULL"/>
    <s v=""/>
    <d v="2025-03-19T00:00:00"/>
    <n v="0"/>
    <n v="8.8000000000000007"/>
    <x v="0"/>
    <x v="2"/>
    <x v="0"/>
  </r>
  <r>
    <x v="1005"/>
    <n v="4010123456783"/>
    <x v="6"/>
    <s v="Starostlivosť a hygiena – Mačky"/>
    <s v="BellaMeow"/>
    <n v="14"/>
    <n v="2"/>
    <s v="NULL"/>
    <s v=""/>
    <d v="2025-03-19T00:00:00"/>
    <n v="0"/>
    <n v="28"/>
    <x v="0"/>
    <x v="2"/>
    <x v="1"/>
  </r>
  <r>
    <x v="1006"/>
    <n v="4063456789014"/>
    <x v="15"/>
    <s v="Krmivo a maškrty – Psy"/>
    <s v="Pupco"/>
    <n v="36"/>
    <n v="1"/>
    <s v="NULL"/>
    <s v=""/>
    <d v="2025-03-19T00:00:00"/>
    <n v="0"/>
    <n v="36"/>
    <x v="0"/>
    <x v="2"/>
    <x v="0"/>
  </r>
  <r>
    <x v="1007"/>
    <n v="4028899001126"/>
    <x v="1"/>
    <s v="Krmivo a maškrty – Psy"/>
    <s v="Pup Republic"/>
    <n v="2.8"/>
    <n v="3"/>
    <s v="5"/>
    <s v="Pes to miluje, bez problémov."/>
    <d v="2025-03-20T00:00:00"/>
    <n v="0"/>
    <n v="8.3999999999999986"/>
    <x v="2"/>
    <x v="2"/>
    <x v="0"/>
  </r>
  <r>
    <x v="1008"/>
    <n v="4013456789017"/>
    <x v="0"/>
    <s v="Krmivo a maškrty – Psy"/>
    <s v="Snouty"/>
    <n v="6"/>
    <n v="1"/>
    <s v="NULL"/>
    <s v=""/>
    <d v="2025-03-20T00:00:00"/>
    <n v="0"/>
    <n v="6"/>
    <x v="0"/>
    <x v="2"/>
    <x v="0"/>
  </r>
  <r>
    <x v="1009"/>
    <n v="4040123456795"/>
    <x v="2"/>
    <s v="Starostlivosť a hygiena – Psy"/>
    <s v="Dogissimo"/>
    <n v="8.8000000000000007"/>
    <n v="1"/>
    <s v="NULL"/>
    <s v=""/>
    <d v="2025-03-20T00:00:00"/>
    <n v="0"/>
    <n v="8.8000000000000007"/>
    <x v="0"/>
    <x v="2"/>
    <x v="0"/>
  </r>
  <r>
    <x v="1010"/>
    <n v="4010123456783"/>
    <x v="6"/>
    <s v="Starostlivosť a hygiena – Mačky"/>
    <s v="BellaMeow"/>
    <n v="14"/>
    <n v="1"/>
    <s v="NULL"/>
    <s v=""/>
    <d v="2025-03-20T00:00:00"/>
    <n v="0"/>
    <n v="14"/>
    <x v="0"/>
    <x v="2"/>
    <x v="1"/>
  </r>
  <r>
    <x v="1011"/>
    <n v="4056789012345"/>
    <x v="11"/>
    <s v="Krmivo a maškrty – Mačky"/>
    <s v="BellaMeow"/>
    <n v="2.4"/>
    <n v="2"/>
    <s v="NULL"/>
    <s v=""/>
    <d v="2025-03-20T00:00:00"/>
    <n v="0"/>
    <n v="4.8"/>
    <x v="0"/>
    <x v="2"/>
    <x v="1"/>
  </r>
  <r>
    <x v="1012"/>
    <n v="4063456789014"/>
    <x v="15"/>
    <s v="Krmivo a maškrty – Psy"/>
    <s v="Pupco"/>
    <n v="36"/>
    <n v="1"/>
    <s v="NULL"/>
    <s v=""/>
    <d v="2025-03-20T00:00:00"/>
    <n v="0"/>
    <n v="36"/>
    <x v="0"/>
    <x v="2"/>
    <x v="0"/>
  </r>
  <r>
    <x v="1013"/>
    <n v="4021234567894"/>
    <x v="18"/>
    <s v="Starostlivosť a hygiena – Mačky"/>
    <s v="PawStyle"/>
    <n v="8"/>
    <n v="1"/>
    <s v="NULL"/>
    <s v=""/>
    <d v="2025-03-20T00:00:00"/>
    <n v="0"/>
    <n v="8"/>
    <x v="0"/>
    <x v="2"/>
    <x v="1"/>
  </r>
  <r>
    <x v="1014"/>
    <n v="4061011223346"/>
    <x v="3"/>
    <s v="Oblečenie a doplnky – Psy"/>
    <s v="Tail Trend"/>
    <n v="19.600000000000001"/>
    <n v="1"/>
    <s v="NULL"/>
    <s v=""/>
    <d v="2025-03-20T00:00:00"/>
    <n v="0"/>
    <n v="19.600000000000001"/>
    <x v="0"/>
    <x v="2"/>
    <x v="0"/>
  </r>
  <r>
    <x v="1015"/>
    <n v="4026677889902"/>
    <x v="12"/>
    <s v="Misky a kŕmne doplnky – Ostatné"/>
    <s v="Pawsitive Gear"/>
    <n v="7.6"/>
    <n v="1"/>
    <s v="NULL"/>
    <s v=""/>
    <d v="2025-03-20T00:00:00"/>
    <n v="0"/>
    <n v="7.6"/>
    <x v="0"/>
    <x v="2"/>
    <x v="2"/>
  </r>
  <r>
    <x v="1016"/>
    <n v="4028899001126"/>
    <x v="1"/>
    <s v="Krmivo a maškrty – Psy"/>
    <s v="Pup Republic"/>
    <n v="2.8"/>
    <n v="4"/>
    <s v="NULL"/>
    <s v=""/>
    <d v="2025-03-20T00:00:00"/>
    <n v="0"/>
    <n v="11.2"/>
    <x v="0"/>
    <x v="2"/>
    <x v="0"/>
  </r>
  <r>
    <x v="1017"/>
    <n v="4013456789017"/>
    <x v="0"/>
    <s v="Krmivo a maškrty – Psy"/>
    <s v="Snouty"/>
    <n v="6"/>
    <n v="2"/>
    <s v="NULL"/>
    <s v=""/>
    <d v="2025-03-20T00:00:00"/>
    <n v="0"/>
    <n v="12"/>
    <x v="0"/>
    <x v="2"/>
    <x v="0"/>
  </r>
  <r>
    <x v="1018"/>
    <n v="4040123456795"/>
    <x v="2"/>
    <s v="Starostlivosť a hygiena – Psy"/>
    <s v="Dogissimo"/>
    <n v="8.8000000000000007"/>
    <n v="1"/>
    <s v="NULL"/>
    <s v=""/>
    <d v="2025-03-20T00:00:00"/>
    <n v="0"/>
    <n v="8.8000000000000007"/>
    <x v="0"/>
    <x v="2"/>
    <x v="0"/>
  </r>
  <r>
    <x v="1019"/>
    <n v="4010123456783"/>
    <x v="6"/>
    <s v="Starostlivosť a hygiena – Mačky"/>
    <s v="BellaMeow"/>
    <n v="14"/>
    <n v="2"/>
    <s v="NULL"/>
    <s v=""/>
    <d v="2025-03-20T00:00:00"/>
    <n v="0"/>
    <n v="28"/>
    <x v="0"/>
    <x v="2"/>
    <x v="1"/>
  </r>
  <r>
    <x v="1020"/>
    <n v="4063456789014"/>
    <x v="15"/>
    <s v="Krmivo a maškrty – Psy"/>
    <s v="Pupco"/>
    <n v="36"/>
    <n v="1"/>
    <s v="NULL"/>
    <s v=""/>
    <d v="2025-03-20T00:00:00"/>
    <n v="0"/>
    <n v="36"/>
    <x v="0"/>
    <x v="2"/>
    <x v="0"/>
  </r>
  <r>
    <x v="1021"/>
    <n v="4028899001126"/>
    <x v="1"/>
    <s v="Krmivo a maškrty – Psy"/>
    <s v="Pup Republic"/>
    <n v="2.8"/>
    <n v="3"/>
    <s v="NULL"/>
    <s v=""/>
    <d v="2025-03-20T00:00:00"/>
    <n v="0"/>
    <n v="8.3999999999999986"/>
    <x v="0"/>
    <x v="2"/>
    <x v="0"/>
  </r>
  <r>
    <x v="1022"/>
    <n v="4013456789017"/>
    <x v="0"/>
    <s v="Krmivo a maškrty – Psy"/>
    <s v="Snouty"/>
    <n v="6"/>
    <n v="2"/>
    <s v="NULL"/>
    <s v=""/>
    <d v="2025-03-20T00:00:00"/>
    <n v="0"/>
    <n v="12"/>
    <x v="0"/>
    <x v="2"/>
    <x v="0"/>
  </r>
  <r>
    <x v="1023"/>
    <n v="4040123456795"/>
    <x v="2"/>
    <s v="Starostlivosť a hygiena – Psy"/>
    <s v="Dogissimo"/>
    <n v="8.8000000000000007"/>
    <n v="1"/>
    <s v="NULL"/>
    <s v=""/>
    <d v="2025-03-20T00:00:00"/>
    <n v="0"/>
    <n v="8.8000000000000007"/>
    <x v="0"/>
    <x v="2"/>
    <x v="0"/>
  </r>
  <r>
    <x v="1024"/>
    <n v="4010123456783"/>
    <x v="6"/>
    <s v="Starostlivosť a hygiena – Mačky"/>
    <s v="BellaMeow"/>
    <n v="14"/>
    <n v="2"/>
    <s v="NULL"/>
    <s v=""/>
    <d v="2025-03-20T00:00:00"/>
    <n v="0"/>
    <n v="28"/>
    <x v="0"/>
    <x v="2"/>
    <x v="1"/>
  </r>
  <r>
    <x v="1025"/>
    <n v="4063456789014"/>
    <x v="15"/>
    <s v="Krmivo a maškrty – Psy"/>
    <s v="Pupco"/>
    <n v="36"/>
    <n v="1"/>
    <s v="NULL"/>
    <s v=""/>
    <d v="2025-03-20T00:00:00"/>
    <n v="0"/>
    <n v="36"/>
    <x v="0"/>
    <x v="2"/>
    <x v="0"/>
  </r>
  <r>
    <x v="1026"/>
    <n v="4028899001126"/>
    <x v="1"/>
    <s v="Krmivo a maškrty – Psy"/>
    <s v="Pup Republic"/>
    <n v="2.8"/>
    <n v="4"/>
    <s v="4"/>
    <s v="Kupujem opakovane, spokojenost."/>
    <d v="2025-03-20T00:00:00"/>
    <n v="0"/>
    <n v="11.2"/>
    <x v="1"/>
    <x v="2"/>
    <x v="0"/>
  </r>
  <r>
    <x v="1027"/>
    <n v="4013456789017"/>
    <x v="0"/>
    <s v="Krmivo a maškrty – Psy"/>
    <s v="Snouty"/>
    <n v="6"/>
    <n v="2"/>
    <s v="NULL"/>
    <s v=""/>
    <d v="2025-03-20T00:00:00"/>
    <n v="0"/>
    <n v="12"/>
    <x v="0"/>
    <x v="2"/>
    <x v="0"/>
  </r>
  <r>
    <x v="1028"/>
    <n v="4040123456795"/>
    <x v="2"/>
    <s v="Starostlivosť a hygiena – Psy"/>
    <s v="Dogissimo"/>
    <n v="8.8000000000000007"/>
    <n v="1"/>
    <s v="NULL"/>
    <s v=""/>
    <d v="2025-03-20T00:00:00"/>
    <n v="0"/>
    <n v="8.8000000000000007"/>
    <x v="0"/>
    <x v="2"/>
    <x v="0"/>
  </r>
  <r>
    <x v="1029"/>
    <n v="4010123456783"/>
    <x v="6"/>
    <s v="Starostlivosť a hygiena – Mačky"/>
    <s v="BellaMeow"/>
    <n v="14"/>
    <n v="1"/>
    <s v="NULL"/>
    <s v=""/>
    <d v="2025-03-21T00:00:00"/>
    <n v="0"/>
    <n v="14"/>
    <x v="0"/>
    <x v="2"/>
    <x v="1"/>
  </r>
  <r>
    <x v="1030"/>
    <n v="4063456789014"/>
    <x v="15"/>
    <s v="Krmivo a maškrty – Psy"/>
    <s v="Pupco"/>
    <n v="36"/>
    <n v="1"/>
    <s v="NULL"/>
    <s v=""/>
    <d v="2025-03-21T00:00:00"/>
    <n v="0"/>
    <n v="36"/>
    <x v="0"/>
    <x v="2"/>
    <x v="0"/>
  </r>
  <r>
    <x v="1031"/>
    <n v="4028899001126"/>
    <x v="1"/>
    <s v="Krmivo a maškrty – Psy"/>
    <s v="Pup Republic"/>
    <n v="2.8"/>
    <n v="5"/>
    <s v="NULL"/>
    <s v=""/>
    <d v="2025-03-21T00:00:00"/>
    <n v="0"/>
    <n v="14"/>
    <x v="0"/>
    <x v="2"/>
    <x v="0"/>
  </r>
  <r>
    <x v="1032"/>
    <n v="4013456789017"/>
    <x v="0"/>
    <s v="Krmivo a maškrty – Psy"/>
    <s v="Snouty"/>
    <n v="6"/>
    <n v="2"/>
    <s v="NULL"/>
    <s v=""/>
    <d v="2025-03-21T00:00:00"/>
    <n v="0"/>
    <n v="12"/>
    <x v="0"/>
    <x v="2"/>
    <x v="0"/>
  </r>
  <r>
    <x v="1033"/>
    <n v="4040123456795"/>
    <x v="2"/>
    <s v="Starostlivosť a hygiena – Psy"/>
    <s v="Dogissimo"/>
    <n v="8.8000000000000007"/>
    <n v="1"/>
    <s v="NULL"/>
    <s v=""/>
    <d v="2025-03-21T00:00:00"/>
    <n v="0"/>
    <n v="8.8000000000000007"/>
    <x v="0"/>
    <x v="2"/>
    <x v="0"/>
  </r>
  <r>
    <x v="1034"/>
    <n v="4010123456783"/>
    <x v="6"/>
    <s v="Starostlivosť a hygiena – Mačky"/>
    <s v="BellaMeow"/>
    <n v="14"/>
    <n v="2"/>
    <s v="NULL"/>
    <s v=""/>
    <d v="2025-03-21T00:00:00"/>
    <n v="0"/>
    <n v="28"/>
    <x v="0"/>
    <x v="2"/>
    <x v="1"/>
  </r>
  <r>
    <x v="1035"/>
    <n v="4063456789014"/>
    <x v="15"/>
    <s v="Krmivo a maškrty – Psy"/>
    <s v="Pupco"/>
    <n v="36"/>
    <n v="1"/>
    <s v="4"/>
    <s v="Dobré zloženie, žiadne problémy."/>
    <d v="2025-03-21T00:00:00"/>
    <n v="0"/>
    <n v="36"/>
    <x v="1"/>
    <x v="2"/>
    <x v="0"/>
  </r>
  <r>
    <x v="1036"/>
    <n v="4021234567894"/>
    <x v="18"/>
    <s v="Starostlivosť a hygiena – Mačky"/>
    <s v="PawStyle"/>
    <n v="8"/>
    <n v="1"/>
    <s v="NULL"/>
    <s v=""/>
    <d v="2025-03-21T00:00:00"/>
    <n v="0"/>
    <n v="8"/>
    <x v="0"/>
    <x v="2"/>
    <x v="1"/>
  </r>
  <r>
    <x v="1037"/>
    <n v="4061011223346"/>
    <x v="3"/>
    <s v="Oblečenie a doplnky – Psy"/>
    <s v="Tail Trend"/>
    <n v="19.600000000000001"/>
    <n v="1"/>
    <s v="NULL"/>
    <s v=""/>
    <d v="2025-03-21T00:00:00"/>
    <n v="0"/>
    <n v="19.600000000000001"/>
    <x v="0"/>
    <x v="2"/>
    <x v="0"/>
  </r>
  <r>
    <x v="1038"/>
    <n v="4026677889902"/>
    <x v="12"/>
    <s v="Misky a kŕmne doplnky – Ostatné"/>
    <s v="Pawsitive Gear"/>
    <n v="7.6"/>
    <n v="1"/>
    <s v="NULL"/>
    <s v=""/>
    <d v="2025-03-21T00:00:00"/>
    <n v="0"/>
    <n v="7.6"/>
    <x v="0"/>
    <x v="2"/>
    <x v="2"/>
  </r>
  <r>
    <x v="1039"/>
    <n v="4028899001126"/>
    <x v="1"/>
    <s v="Krmivo a maškrty – Psy"/>
    <s v="Pup Republic"/>
    <n v="2.8"/>
    <n v="3"/>
    <s v="NULL"/>
    <s v=""/>
    <d v="2025-03-22T00:00:00"/>
    <n v="0"/>
    <n v="8.3999999999999986"/>
    <x v="0"/>
    <x v="2"/>
    <x v="0"/>
  </r>
  <r>
    <x v="1040"/>
    <n v="4013456789017"/>
    <x v="0"/>
    <s v="Krmivo a maškrty – Psy"/>
    <s v="Snouty"/>
    <n v="6"/>
    <n v="2"/>
    <s v="NULL"/>
    <s v=""/>
    <d v="2025-03-22T00:00:00"/>
    <n v="0"/>
    <n v="12"/>
    <x v="0"/>
    <x v="2"/>
    <x v="0"/>
  </r>
  <r>
    <x v="1041"/>
    <n v="4040123456795"/>
    <x v="2"/>
    <s v="Starostlivosť a hygiena – Psy"/>
    <s v="Dogissimo"/>
    <n v="8.8000000000000007"/>
    <n v="1"/>
    <s v="NULL"/>
    <s v=""/>
    <d v="2025-03-22T00:00:00"/>
    <n v="0"/>
    <n v="8.8000000000000007"/>
    <x v="0"/>
    <x v="2"/>
    <x v="0"/>
  </r>
  <r>
    <x v="1042"/>
    <n v="4010123456783"/>
    <x v="6"/>
    <s v="Starostlivosť a hygiena – Mačky"/>
    <s v="BellaMeow"/>
    <n v="14"/>
    <n v="1"/>
    <s v="NULL"/>
    <s v=""/>
    <d v="2025-03-22T00:00:00"/>
    <n v="0"/>
    <n v="14"/>
    <x v="0"/>
    <x v="2"/>
    <x v="1"/>
  </r>
  <r>
    <x v="1043"/>
    <n v="4056789012345"/>
    <x v="11"/>
    <s v="Krmivo a maškrty – Mačky"/>
    <s v="BellaMeow"/>
    <n v="2.4"/>
    <n v="2"/>
    <s v="NULL"/>
    <s v=""/>
    <d v="2025-03-22T00:00:00"/>
    <n v="0"/>
    <n v="4.8"/>
    <x v="0"/>
    <x v="2"/>
    <x v="1"/>
  </r>
  <r>
    <x v="1044"/>
    <n v="4063456789014"/>
    <x v="15"/>
    <s v="Krmivo a maškrty – Psy"/>
    <s v="Pupco"/>
    <n v="36"/>
    <n v="1"/>
    <s v="NULL"/>
    <s v=""/>
    <d v="2025-03-22T00:00:00"/>
    <n v="0"/>
    <n v="36"/>
    <x v="0"/>
    <x v="2"/>
    <x v="0"/>
  </r>
  <r>
    <x v="1045"/>
    <n v="4021234567894"/>
    <x v="18"/>
    <s v="Starostlivosť a hygiena – Mačky"/>
    <s v="PawStyle"/>
    <n v="8"/>
    <n v="1"/>
    <s v="NULL"/>
    <s v=""/>
    <d v="2025-03-22T00:00:00"/>
    <n v="0"/>
    <n v="8"/>
    <x v="0"/>
    <x v="2"/>
    <x v="1"/>
  </r>
  <r>
    <x v="1046"/>
    <n v="4061011223346"/>
    <x v="3"/>
    <s v="Oblečenie a doplnky – Psy"/>
    <s v="Tail Trend"/>
    <n v="19.600000000000001"/>
    <n v="1"/>
    <s v="NULL"/>
    <s v=""/>
    <d v="2025-03-22T00:00:00"/>
    <n v="0"/>
    <n v="19.600000000000001"/>
    <x v="0"/>
    <x v="2"/>
    <x v="0"/>
  </r>
  <r>
    <x v="1047"/>
    <n v="4026677889902"/>
    <x v="12"/>
    <s v="Misky a kŕmne doplnky – Ostatné"/>
    <s v="Pawsitive Gear"/>
    <n v="7.6"/>
    <n v="1"/>
    <s v="NULL"/>
    <s v=""/>
    <d v="2025-03-22T00:00:00"/>
    <n v="0"/>
    <n v="7.6"/>
    <x v="0"/>
    <x v="2"/>
    <x v="2"/>
  </r>
  <r>
    <x v="1048"/>
    <n v="4028899001126"/>
    <x v="1"/>
    <s v="Krmivo a maškrty – Psy"/>
    <s v="Pup Republic"/>
    <n v="2.8"/>
    <n v="4"/>
    <s v="NULL"/>
    <s v=""/>
    <d v="2025-03-22T00:00:00"/>
    <n v="0"/>
    <n v="11.2"/>
    <x v="0"/>
    <x v="2"/>
    <x v="0"/>
  </r>
  <r>
    <x v="1049"/>
    <n v="4013456789017"/>
    <x v="0"/>
    <s v="Krmivo a maškrty – Psy"/>
    <s v="Snouty"/>
    <n v="6"/>
    <n v="2"/>
    <s v="NULL"/>
    <s v=""/>
    <d v="2025-03-22T00:00:00"/>
    <n v="0"/>
    <n v="12"/>
    <x v="0"/>
    <x v="2"/>
    <x v="0"/>
  </r>
  <r>
    <x v="1050"/>
    <n v="4040123456795"/>
    <x v="2"/>
    <s v="Starostlivosť a hygiena – Psy"/>
    <s v="Dogissimo"/>
    <n v="8.8000000000000007"/>
    <n v="1"/>
    <s v="NULL"/>
    <s v=""/>
    <d v="2025-03-22T00:00:00"/>
    <n v="0"/>
    <n v="8.8000000000000007"/>
    <x v="0"/>
    <x v="2"/>
    <x v="0"/>
  </r>
  <r>
    <x v="1051"/>
    <n v="4010123456783"/>
    <x v="6"/>
    <s v="Starostlivosť a hygiena – Mačky"/>
    <s v="BellaMeow"/>
    <n v="14"/>
    <n v="1"/>
    <s v="NULL"/>
    <s v=""/>
    <d v="2025-03-22T00:00:00"/>
    <n v="0"/>
    <n v="14"/>
    <x v="0"/>
    <x v="2"/>
    <x v="1"/>
  </r>
  <r>
    <x v="1052"/>
    <n v="4063456789014"/>
    <x v="15"/>
    <s v="Krmivo a maškrty – Psy"/>
    <s v="Pupco"/>
    <n v="36"/>
    <n v="1"/>
    <s v="NULL"/>
    <s v=""/>
    <d v="2025-03-22T00:00:00"/>
    <n v="0"/>
    <n v="36"/>
    <x v="0"/>
    <x v="2"/>
    <x v="0"/>
  </r>
  <r>
    <x v="1053"/>
    <n v="4028899001126"/>
    <x v="1"/>
    <s v="Krmivo a maškrty – Psy"/>
    <s v="Pup Republic"/>
    <n v="2.8"/>
    <n v="5"/>
    <s v="5"/>
    <s v="Bezkonkurenční konzerva, chutí všetkým."/>
    <d v="2025-03-23T00:00:00"/>
    <n v="0"/>
    <n v="14"/>
    <x v="2"/>
    <x v="2"/>
    <x v="0"/>
  </r>
  <r>
    <x v="1054"/>
    <n v="4013456789017"/>
    <x v="0"/>
    <s v="Krmivo a maškrty – Psy"/>
    <s v="Snouty"/>
    <n v="6"/>
    <n v="1"/>
    <s v="NULL"/>
    <s v=""/>
    <d v="2025-03-23T00:00:00"/>
    <n v="0"/>
    <n v="6"/>
    <x v="0"/>
    <x v="2"/>
    <x v="0"/>
  </r>
  <r>
    <x v="1055"/>
    <n v="4040123456795"/>
    <x v="2"/>
    <s v="Starostlivosť a hygiena – Psy"/>
    <s v="Dogissimo"/>
    <n v="8.8000000000000007"/>
    <n v="1"/>
    <s v="NULL"/>
    <s v=""/>
    <d v="2025-03-23T00:00:00"/>
    <n v="0"/>
    <n v="8.8000000000000007"/>
    <x v="0"/>
    <x v="2"/>
    <x v="0"/>
  </r>
  <r>
    <x v="1056"/>
    <n v="4010123456783"/>
    <x v="6"/>
    <s v="Starostlivosť a hygiena – Mačky"/>
    <s v="BellaMeow"/>
    <n v="14"/>
    <n v="2"/>
    <s v="NULL"/>
    <s v=""/>
    <d v="2025-03-23T00:00:00"/>
    <n v="0"/>
    <n v="28"/>
    <x v="0"/>
    <x v="2"/>
    <x v="1"/>
  </r>
  <r>
    <x v="1057"/>
    <n v="4063456789014"/>
    <x v="15"/>
    <s v="Krmivo a maškrty – Psy"/>
    <s v="Pupco"/>
    <n v="36"/>
    <n v="1"/>
    <s v="NULL"/>
    <s v=""/>
    <d v="2025-03-23T00:00:00"/>
    <n v="0"/>
    <n v="36"/>
    <x v="0"/>
    <x v="2"/>
    <x v="0"/>
  </r>
  <r>
    <x v="1058"/>
    <n v="4021234567894"/>
    <x v="18"/>
    <s v="Starostlivosť a hygiena – Mačky"/>
    <s v="PawStyle"/>
    <n v="8"/>
    <n v="1"/>
    <s v="NULL"/>
    <s v=""/>
    <d v="2025-03-23T00:00:00"/>
    <n v="0"/>
    <n v="8"/>
    <x v="0"/>
    <x v="2"/>
    <x v="1"/>
  </r>
  <r>
    <x v="1059"/>
    <n v="4061011223346"/>
    <x v="3"/>
    <s v="Oblečenie a doplnky – Psy"/>
    <s v="Tail Trend"/>
    <n v="19.600000000000001"/>
    <n v="1"/>
    <s v="NULL"/>
    <s v=""/>
    <d v="2025-03-23T00:00:00"/>
    <n v="0"/>
    <n v="19.600000000000001"/>
    <x v="0"/>
    <x v="2"/>
    <x v="0"/>
  </r>
  <r>
    <x v="1060"/>
    <n v="4026677889902"/>
    <x v="12"/>
    <s v="Misky a kŕmne doplnky – Ostatné"/>
    <s v="Pawsitive Gear"/>
    <n v="7.6"/>
    <n v="1"/>
    <s v="NULL"/>
    <s v=""/>
    <d v="2025-03-23T00:00:00"/>
    <n v="0"/>
    <n v="7.6"/>
    <x v="0"/>
    <x v="2"/>
    <x v="2"/>
  </r>
  <r>
    <x v="1061"/>
    <n v="4028899001126"/>
    <x v="1"/>
    <s v="Krmivo a maškrty – Psy"/>
    <s v="Pup Republic"/>
    <n v="2.8"/>
    <n v="3"/>
    <s v="NULL"/>
    <s v=""/>
    <d v="2025-03-23T00:00:00"/>
    <n v="0"/>
    <n v="8.3999999999999986"/>
    <x v="0"/>
    <x v="2"/>
    <x v="0"/>
  </r>
  <r>
    <x v="1062"/>
    <n v="4013456789017"/>
    <x v="0"/>
    <s v="Krmivo a maškrty – Psy"/>
    <s v="Snouty"/>
    <n v="6"/>
    <n v="2"/>
    <s v="NULL"/>
    <s v=""/>
    <d v="2025-03-23T00:00:00"/>
    <n v="0"/>
    <n v="12"/>
    <x v="0"/>
    <x v="2"/>
    <x v="0"/>
  </r>
  <r>
    <x v="1063"/>
    <n v="4040123456795"/>
    <x v="2"/>
    <s v="Starostlivosť a hygiena – Psy"/>
    <s v="Dogissimo"/>
    <n v="8.8000000000000007"/>
    <n v="1"/>
    <s v="NULL"/>
    <s v=""/>
    <d v="2025-03-23T00:00:00"/>
    <n v="0"/>
    <n v="8.8000000000000007"/>
    <x v="0"/>
    <x v="2"/>
    <x v="0"/>
  </r>
  <r>
    <x v="1064"/>
    <n v="4010123456783"/>
    <x v="6"/>
    <s v="Starostlivosť a hygiena – Mačky"/>
    <s v="BellaMeow"/>
    <n v="14"/>
    <n v="1"/>
    <s v="NULL"/>
    <s v=""/>
    <d v="2025-03-23T00:00:00"/>
    <n v="0"/>
    <n v="14"/>
    <x v="0"/>
    <x v="2"/>
    <x v="1"/>
  </r>
  <r>
    <x v="1065"/>
    <n v="4063456789014"/>
    <x v="15"/>
    <s v="Krmivo a maškrty – Psy"/>
    <s v="Pupco"/>
    <n v="36"/>
    <n v="1"/>
    <s v="NULL"/>
    <s v=""/>
    <d v="2025-03-23T00:00:00"/>
    <n v="0"/>
    <n v="36"/>
    <x v="0"/>
    <x v="2"/>
    <x v="0"/>
  </r>
  <r>
    <x v="1066"/>
    <n v="4028899001126"/>
    <x v="1"/>
    <s v="Krmivo a maškrty – Psy"/>
    <s v="Pup Republic"/>
    <n v="2.8"/>
    <n v="4"/>
    <s v="NULL"/>
    <s v=""/>
    <d v="2025-03-24T00:00:00"/>
    <n v="0"/>
    <n v="11.2"/>
    <x v="0"/>
    <x v="2"/>
    <x v="0"/>
  </r>
  <r>
    <x v="1067"/>
    <n v="4013456789017"/>
    <x v="0"/>
    <s v="Krmivo a maškrty – Psy"/>
    <s v="Snouty"/>
    <n v="6"/>
    <n v="2"/>
    <s v="NULL"/>
    <s v=""/>
    <d v="2025-03-24T00:00:00"/>
    <n v="0"/>
    <n v="12"/>
    <x v="0"/>
    <x v="2"/>
    <x v="0"/>
  </r>
  <r>
    <x v="1068"/>
    <n v="4040123456795"/>
    <x v="2"/>
    <s v="Starostlivosť a hygiena – Psy"/>
    <s v="Dogissimo"/>
    <n v="8.8000000000000007"/>
    <n v="1"/>
    <s v="NULL"/>
    <s v=""/>
    <d v="2025-03-24T00:00:00"/>
    <n v="0"/>
    <n v="8.8000000000000007"/>
    <x v="0"/>
    <x v="2"/>
    <x v="0"/>
  </r>
  <r>
    <x v="1069"/>
    <n v="4010123456783"/>
    <x v="6"/>
    <s v="Starostlivosť a hygiena – Mačky"/>
    <s v="BellaMeow"/>
    <n v="14"/>
    <n v="2"/>
    <s v="NULL"/>
    <s v=""/>
    <d v="2025-03-24T00:00:00"/>
    <n v="0"/>
    <n v="28"/>
    <x v="0"/>
    <x v="2"/>
    <x v="1"/>
  </r>
  <r>
    <x v="1070"/>
    <n v="4056789012345"/>
    <x v="11"/>
    <s v="Krmivo a maškrty – Mačky"/>
    <s v="BellaMeow"/>
    <n v="2.4"/>
    <n v="2"/>
    <s v="NULL"/>
    <s v=""/>
    <d v="2025-03-24T00:00:00"/>
    <n v="0"/>
    <n v="4.8"/>
    <x v="0"/>
    <x v="2"/>
    <x v="1"/>
  </r>
  <r>
    <x v="1071"/>
    <n v="4063456789014"/>
    <x v="15"/>
    <s v="Krmivo a maškrty – Psy"/>
    <s v="Pupco"/>
    <n v="36"/>
    <n v="1"/>
    <s v="NULL"/>
    <s v=""/>
    <d v="2025-03-24T00:00:00"/>
    <n v="0"/>
    <n v="36"/>
    <x v="0"/>
    <x v="2"/>
    <x v="0"/>
  </r>
  <r>
    <x v="1072"/>
    <n v="4021234567894"/>
    <x v="18"/>
    <s v="Starostlivosť a hygiena – Mačky"/>
    <s v="PawStyle"/>
    <n v="8"/>
    <n v="1"/>
    <s v="NULL"/>
    <s v=""/>
    <d v="2025-03-24T00:00:00"/>
    <n v="0"/>
    <n v="8"/>
    <x v="0"/>
    <x v="2"/>
    <x v="1"/>
  </r>
  <r>
    <x v="1073"/>
    <n v="4061011223346"/>
    <x v="3"/>
    <s v="Oblečenie a doplnky – Psy"/>
    <s v="Tail Trend"/>
    <n v="19.600000000000001"/>
    <n v="1"/>
    <s v="NULL"/>
    <s v=""/>
    <d v="2025-03-24T00:00:00"/>
    <n v="0"/>
    <n v="19.600000000000001"/>
    <x v="0"/>
    <x v="2"/>
    <x v="0"/>
  </r>
  <r>
    <x v="1074"/>
    <n v="4026677889902"/>
    <x v="12"/>
    <s v="Misky a kŕmne doplnky – Ostatné"/>
    <s v="Pawsitive Gear"/>
    <n v="7.6"/>
    <n v="1"/>
    <s v="NULL"/>
    <s v=""/>
    <d v="2025-03-24T00:00:00"/>
    <n v="0"/>
    <n v="7.6"/>
    <x v="0"/>
    <x v="2"/>
    <x v="2"/>
  </r>
  <r>
    <x v="1075"/>
    <n v="4028899001126"/>
    <x v="1"/>
    <s v="Krmivo a maškrty – Psy"/>
    <s v="Pup Republic"/>
    <n v="2.8"/>
    <n v="3"/>
    <s v="NULL"/>
    <s v=""/>
    <d v="2025-03-24T00:00:00"/>
    <n v="0"/>
    <n v="8.3999999999999986"/>
    <x v="0"/>
    <x v="2"/>
    <x v="0"/>
  </r>
  <r>
    <x v="1076"/>
    <n v="4013456789017"/>
    <x v="0"/>
    <s v="Krmivo a maškrty – Psy"/>
    <s v="Snouty"/>
    <n v="6"/>
    <n v="2"/>
    <s v="NULL"/>
    <s v=""/>
    <d v="2025-03-24T00:00:00"/>
    <n v="0"/>
    <n v="12"/>
    <x v="0"/>
    <x v="2"/>
    <x v="0"/>
  </r>
  <r>
    <x v="1077"/>
    <n v="4040123456795"/>
    <x v="2"/>
    <s v="Starostlivosť a hygiena – Psy"/>
    <s v="Dogissimo"/>
    <n v="8.8000000000000007"/>
    <n v="1"/>
    <s v="NULL"/>
    <s v=""/>
    <d v="2025-03-24T00:00:00"/>
    <n v="0"/>
    <n v="8.8000000000000007"/>
    <x v="0"/>
    <x v="2"/>
    <x v="0"/>
  </r>
  <r>
    <x v="1078"/>
    <n v="4010123456783"/>
    <x v="6"/>
    <s v="Starostlivosť a hygiena – Mačky"/>
    <s v="BellaMeow"/>
    <n v="14"/>
    <n v="1"/>
    <s v="NULL"/>
    <s v=""/>
    <d v="2025-03-24T00:00:00"/>
    <n v="0"/>
    <n v="14"/>
    <x v="0"/>
    <x v="2"/>
    <x v="1"/>
  </r>
  <r>
    <x v="1079"/>
    <n v="4063456789014"/>
    <x v="15"/>
    <s v="Krmivo a maškrty – Psy"/>
    <s v="Pupco"/>
    <n v="36"/>
    <n v="1"/>
    <s v="NULL"/>
    <s v=""/>
    <d v="2025-03-24T00:00:00"/>
    <n v="0"/>
    <n v="36"/>
    <x v="0"/>
    <x v="2"/>
    <x v="0"/>
  </r>
  <r>
    <x v="1080"/>
    <n v="4028899001126"/>
    <x v="1"/>
    <s v="Krmivo a maškrty – Psy"/>
    <s v="Pup Republic"/>
    <n v="2.8"/>
    <n v="5"/>
    <s v="4"/>
    <s v="Vždy čerstvé, kvalitné maso."/>
    <d v="2025-03-25T00:00:00"/>
    <n v="0"/>
    <n v="14"/>
    <x v="1"/>
    <x v="2"/>
    <x v="0"/>
  </r>
  <r>
    <x v="1081"/>
    <n v="4013456789017"/>
    <x v="0"/>
    <s v="Krmivo a maškrty – Psy"/>
    <s v="Snouty"/>
    <n v="6"/>
    <n v="1"/>
    <s v="NULL"/>
    <s v=""/>
    <d v="2025-03-25T00:00:00"/>
    <n v="0"/>
    <n v="6"/>
    <x v="0"/>
    <x v="2"/>
    <x v="0"/>
  </r>
  <r>
    <x v="1082"/>
    <n v="4040123456795"/>
    <x v="2"/>
    <s v="Starostlivosť a hygiena – Psy"/>
    <s v="Dogissimo"/>
    <n v="8.8000000000000007"/>
    <n v="1"/>
    <s v="NULL"/>
    <s v=""/>
    <d v="2025-03-25T00:00:00"/>
    <n v="0"/>
    <n v="8.8000000000000007"/>
    <x v="0"/>
    <x v="2"/>
    <x v="0"/>
  </r>
  <r>
    <x v="1083"/>
    <n v="4010123456783"/>
    <x v="6"/>
    <s v="Starostlivosť a hygiena – Mačky"/>
    <s v="BellaMeow"/>
    <n v="14"/>
    <n v="2"/>
    <s v="NULL"/>
    <s v=""/>
    <d v="2025-03-25T00:00:00"/>
    <n v="0"/>
    <n v="28"/>
    <x v="0"/>
    <x v="2"/>
    <x v="1"/>
  </r>
  <r>
    <x v="1084"/>
    <n v="4063456789014"/>
    <x v="15"/>
    <s v="Krmivo a maškrty – Psy"/>
    <s v="Pupco"/>
    <n v="36"/>
    <n v="1"/>
    <s v="NULL"/>
    <s v=""/>
    <d v="2025-03-25T00:00:00"/>
    <n v="0"/>
    <n v="36"/>
    <x v="0"/>
    <x v="2"/>
    <x v="0"/>
  </r>
  <r>
    <x v="1085"/>
    <n v="4021234567894"/>
    <x v="18"/>
    <s v="Starostlivosť a hygiena – Mačky"/>
    <s v="PawStyle"/>
    <n v="8"/>
    <n v="1"/>
    <s v="NULL"/>
    <s v=""/>
    <d v="2025-03-25T00:00:00"/>
    <n v="0"/>
    <n v="8"/>
    <x v="0"/>
    <x v="2"/>
    <x v="1"/>
  </r>
  <r>
    <x v="1086"/>
    <n v="4061011223346"/>
    <x v="3"/>
    <s v="Oblečenie a doplnky – Psy"/>
    <s v="Tail Trend"/>
    <n v="19.600000000000001"/>
    <n v="1"/>
    <s v="NULL"/>
    <s v=""/>
    <d v="2025-03-25T00:00:00"/>
    <n v="0"/>
    <n v="19.600000000000001"/>
    <x v="0"/>
    <x v="2"/>
    <x v="0"/>
  </r>
  <r>
    <x v="1087"/>
    <n v="4026677889902"/>
    <x v="12"/>
    <s v="Misky a kŕmne doplnky – Ostatné"/>
    <s v="Pawsitive Gear"/>
    <n v="7.6"/>
    <n v="1"/>
    <s v="NULL"/>
    <s v=""/>
    <d v="2025-03-25T00:00:00"/>
    <n v="0"/>
    <n v="7.6"/>
    <x v="0"/>
    <x v="2"/>
    <x v="2"/>
  </r>
  <r>
    <x v="1088"/>
    <n v="4028899001126"/>
    <x v="1"/>
    <s v="Krmivo a maškrty – Psy"/>
    <s v="Pup Republic"/>
    <n v="2.8"/>
    <n v="3"/>
    <s v="NULL"/>
    <s v=""/>
    <d v="2025-03-25T00:00:00"/>
    <n v="0"/>
    <n v="8.3999999999999986"/>
    <x v="0"/>
    <x v="2"/>
    <x v="0"/>
  </r>
  <r>
    <x v="1089"/>
    <n v="4013456789017"/>
    <x v="0"/>
    <s v="Krmivo a maškrty – Psy"/>
    <s v="Snouty"/>
    <n v="6"/>
    <n v="2"/>
    <s v="NULL"/>
    <s v=""/>
    <d v="2025-03-25T00:00:00"/>
    <n v="0"/>
    <n v="12"/>
    <x v="0"/>
    <x v="2"/>
    <x v="0"/>
  </r>
  <r>
    <x v="1090"/>
    <n v="4040123456795"/>
    <x v="2"/>
    <s v="Starostlivosť a hygiena – Psy"/>
    <s v="Dogissimo"/>
    <n v="8.8000000000000007"/>
    <n v="1"/>
    <s v="NULL"/>
    <s v=""/>
    <d v="2025-03-25T00:00:00"/>
    <n v="0"/>
    <n v="8.8000000000000007"/>
    <x v="0"/>
    <x v="2"/>
    <x v="0"/>
  </r>
  <r>
    <x v="1091"/>
    <n v="4010123456783"/>
    <x v="6"/>
    <s v="Starostlivosť a hygiena – Mačky"/>
    <s v="BellaMeow"/>
    <n v="14"/>
    <n v="1"/>
    <s v="NULL"/>
    <s v=""/>
    <d v="2025-03-25T00:00:00"/>
    <n v="0"/>
    <n v="14"/>
    <x v="0"/>
    <x v="2"/>
    <x v="1"/>
  </r>
  <r>
    <x v="1092"/>
    <n v="4063456789014"/>
    <x v="15"/>
    <s v="Krmivo a maškrty – Psy"/>
    <s v="Pupco"/>
    <n v="36"/>
    <n v="1"/>
    <s v="NULL"/>
    <s v=""/>
    <d v="2025-03-25T00:00:00"/>
    <n v="0"/>
    <n v="36"/>
    <x v="0"/>
    <x v="2"/>
    <x v="0"/>
  </r>
  <r>
    <x v="1093"/>
    <n v="4028899001126"/>
    <x v="1"/>
    <s v="Krmivo a maškrty – Psy"/>
    <s v="Pup Republic"/>
    <n v="2.8"/>
    <n v="4"/>
    <s v="NULL"/>
    <s v=""/>
    <d v="2025-03-26T00:00:00"/>
    <n v="0"/>
    <n v="11.2"/>
    <x v="0"/>
    <x v="2"/>
    <x v="0"/>
  </r>
  <r>
    <x v="1094"/>
    <n v="4013456789017"/>
    <x v="0"/>
    <s v="Krmivo a maškrty – Psy"/>
    <s v="Snouty"/>
    <n v="6"/>
    <n v="2"/>
    <s v="NULL"/>
    <s v=""/>
    <d v="2025-03-26T00:00:00"/>
    <n v="0"/>
    <n v="12"/>
    <x v="0"/>
    <x v="2"/>
    <x v="0"/>
  </r>
  <r>
    <x v="1095"/>
    <n v="4040123456795"/>
    <x v="2"/>
    <s v="Starostlivosť a hygiena – Psy"/>
    <s v="Dogissimo"/>
    <n v="8.8000000000000007"/>
    <n v="1"/>
    <s v="NULL"/>
    <s v=""/>
    <d v="2025-03-26T00:00:00"/>
    <n v="0"/>
    <n v="8.8000000000000007"/>
    <x v="0"/>
    <x v="2"/>
    <x v="0"/>
  </r>
  <r>
    <x v="1096"/>
    <n v="4010123456783"/>
    <x v="6"/>
    <s v="Starostlivosť a hygiena – Mačky"/>
    <s v="BellaMeow"/>
    <n v="14"/>
    <n v="2"/>
    <s v="NULL"/>
    <s v=""/>
    <d v="2025-03-26T00:00:00"/>
    <n v="0"/>
    <n v="28"/>
    <x v="0"/>
    <x v="2"/>
    <x v="1"/>
  </r>
  <r>
    <x v="1097"/>
    <n v="4056789012345"/>
    <x v="11"/>
    <s v="Krmivo a maškrty – Mačky"/>
    <s v="BellaMeow"/>
    <n v="2.4"/>
    <n v="2"/>
    <s v="NULL"/>
    <s v=""/>
    <d v="2025-03-26T00:00:00"/>
    <n v="0"/>
    <n v="4.8"/>
    <x v="0"/>
    <x v="2"/>
    <x v="1"/>
  </r>
  <r>
    <x v="1098"/>
    <n v="4063456789014"/>
    <x v="15"/>
    <s v="Krmivo a maškrty – Psy"/>
    <s v="Pupco"/>
    <n v="36"/>
    <n v="1"/>
    <s v="NULL"/>
    <s v=""/>
    <d v="2025-03-26T00:00:00"/>
    <n v="0"/>
    <n v="36"/>
    <x v="0"/>
    <x v="2"/>
    <x v="0"/>
  </r>
  <r>
    <x v="1099"/>
    <n v="4021234567894"/>
    <x v="18"/>
    <s v="Starostlivosť a hygiena – Mačky"/>
    <s v="PawStyle"/>
    <n v="8"/>
    <n v="1"/>
    <s v="NULL"/>
    <s v=""/>
    <d v="2025-03-26T00:00:00"/>
    <n v="0"/>
    <n v="8"/>
    <x v="0"/>
    <x v="2"/>
    <x v="1"/>
  </r>
  <r>
    <x v="1100"/>
    <n v="4061011223346"/>
    <x v="3"/>
    <s v="Oblečenie a doplnky – Psy"/>
    <s v="Tail Trend"/>
    <n v="19.600000000000001"/>
    <n v="1"/>
    <s v="NULL"/>
    <s v=""/>
    <d v="2025-03-26T00:00:00"/>
    <n v="0"/>
    <n v="19.600000000000001"/>
    <x v="0"/>
    <x v="2"/>
    <x v="0"/>
  </r>
  <r>
    <x v="1101"/>
    <n v="4026677889902"/>
    <x v="12"/>
    <s v="Misky a kŕmne doplnky – Ostatné"/>
    <s v="Pawsitive Gear"/>
    <n v="7.6"/>
    <n v="1"/>
    <s v="NULL"/>
    <s v=""/>
    <d v="2025-03-26T00:00:00"/>
    <n v="0"/>
    <n v="7.6"/>
    <x v="0"/>
    <x v="2"/>
    <x v="2"/>
  </r>
  <r>
    <x v="1102"/>
    <n v="4028899001126"/>
    <x v="1"/>
    <s v="Krmivo a maškrty – Psy"/>
    <s v="Pup Republic"/>
    <n v="2.8"/>
    <n v="3"/>
    <s v="NULL"/>
    <s v=""/>
    <d v="2025-03-26T00:00:00"/>
    <n v="0"/>
    <n v="8.3999999999999986"/>
    <x v="0"/>
    <x v="2"/>
    <x v="0"/>
  </r>
  <r>
    <x v="1103"/>
    <n v="4013456789017"/>
    <x v="0"/>
    <s v="Krmivo a maškrty – Psy"/>
    <s v="Snouty"/>
    <n v="6"/>
    <n v="2"/>
    <s v="NULL"/>
    <s v=""/>
    <d v="2025-03-26T00:00:00"/>
    <n v="0"/>
    <n v="12"/>
    <x v="0"/>
    <x v="2"/>
    <x v="0"/>
  </r>
  <r>
    <x v="1104"/>
    <n v="4040123456795"/>
    <x v="2"/>
    <s v="Starostlivosť a hygiena – Psy"/>
    <s v="Dogissimo"/>
    <n v="8.8000000000000007"/>
    <n v="1"/>
    <s v="NULL"/>
    <s v=""/>
    <d v="2025-03-26T00:00:00"/>
    <n v="0"/>
    <n v="8.8000000000000007"/>
    <x v="0"/>
    <x v="2"/>
    <x v="0"/>
  </r>
  <r>
    <x v="1105"/>
    <n v="4010123456783"/>
    <x v="6"/>
    <s v="Starostlivosť a hygiena – Mačky"/>
    <s v="BellaMeow"/>
    <n v="14"/>
    <n v="1"/>
    <s v="NULL"/>
    <s v=""/>
    <d v="2025-03-26T00:00:00"/>
    <n v="0"/>
    <n v="14"/>
    <x v="0"/>
    <x v="2"/>
    <x v="1"/>
  </r>
  <r>
    <x v="1106"/>
    <n v="4063456789014"/>
    <x v="15"/>
    <s v="Krmivo a maškrty – Psy"/>
    <s v="Pupco"/>
    <n v="36"/>
    <n v="1"/>
    <s v="NULL"/>
    <s v=""/>
    <d v="2025-03-26T00:00:00"/>
    <n v="0"/>
    <n v="36"/>
    <x v="0"/>
    <x v="2"/>
    <x v="0"/>
  </r>
  <r>
    <x v="1107"/>
    <n v="4028899001126"/>
    <x v="1"/>
    <s v="Krmivo a maškrty – Psy"/>
    <s v="Pup Republic"/>
    <n v="2.8"/>
    <n v="4"/>
    <s v="5"/>
    <s v="Môj pes iné nechce."/>
    <d v="2025-03-27T00:00:00"/>
    <n v="0"/>
    <n v="11.2"/>
    <x v="2"/>
    <x v="2"/>
    <x v="0"/>
  </r>
  <r>
    <x v="1108"/>
    <n v="4013456789017"/>
    <x v="0"/>
    <s v="Krmivo a maškrty – Psy"/>
    <s v="Snouty"/>
    <n v="6"/>
    <n v="2"/>
    <s v="NULL"/>
    <s v=""/>
    <d v="2025-03-27T00:00:00"/>
    <n v="0"/>
    <n v="12"/>
    <x v="0"/>
    <x v="2"/>
    <x v="0"/>
  </r>
  <r>
    <x v="1109"/>
    <n v="4040123456795"/>
    <x v="2"/>
    <s v="Starostlivosť a hygiena – Psy"/>
    <s v="Dogissimo"/>
    <n v="8.8000000000000007"/>
    <n v="1"/>
    <s v="NULL"/>
    <s v=""/>
    <d v="2025-03-27T00:00:00"/>
    <n v="0"/>
    <n v="8.8000000000000007"/>
    <x v="0"/>
    <x v="2"/>
    <x v="0"/>
  </r>
  <r>
    <x v="1109"/>
    <n v="4013456789017"/>
    <x v="0"/>
    <s v="Krmivo a maškrty – Psy"/>
    <s v="Snouty"/>
    <n v="6"/>
    <n v="1"/>
    <s v="4"/>
    <s v="Praktické maškrty na tréning."/>
    <d v="2025-03-27T00:00:00"/>
    <n v="0"/>
    <n v="6"/>
    <x v="1"/>
    <x v="2"/>
    <x v="0"/>
  </r>
  <r>
    <x v="1110"/>
    <n v="4028899001126"/>
    <x v="1"/>
    <s v="Krmivo a maškrty – Psy"/>
    <s v="Pup Republic"/>
    <n v="2.8"/>
    <n v="4"/>
    <s v="NULL"/>
    <s v=""/>
    <d v="2025-03-27T00:00:00"/>
    <n v="0"/>
    <n v="11.2"/>
    <x v="0"/>
    <x v="2"/>
    <x v="0"/>
  </r>
  <r>
    <x v="1111"/>
    <n v="4010123456783"/>
    <x v="6"/>
    <s v="Starostlivosť a hygiena – Mačky"/>
    <s v="BellaMeow"/>
    <n v="14"/>
    <n v="2"/>
    <s v="NULL"/>
    <s v=""/>
    <d v="2025-03-27T00:00:00"/>
    <n v="0"/>
    <n v="28"/>
    <x v="0"/>
    <x v="2"/>
    <x v="1"/>
  </r>
  <r>
    <x v="1112"/>
    <n v="4063456789014"/>
    <x v="15"/>
    <s v="Krmivo a maškrty – Psy"/>
    <s v="Pupco"/>
    <n v="36"/>
    <n v="1"/>
    <s v="5"/>
    <s v="Pes má po nich viac energie."/>
    <d v="2025-03-27T00:00:00"/>
    <n v="0"/>
    <n v="36"/>
    <x v="2"/>
    <x v="2"/>
    <x v="0"/>
  </r>
  <r>
    <x v="1113"/>
    <n v="4021234567894"/>
    <x v="18"/>
    <s v="Starostlivosť a hygiena – Mačky"/>
    <s v="PawStyle"/>
    <n v="8"/>
    <n v="1"/>
    <s v="NULL"/>
    <s v=""/>
    <d v="2025-03-27T00:00:00"/>
    <n v="0"/>
    <n v="8"/>
    <x v="0"/>
    <x v="2"/>
    <x v="1"/>
  </r>
  <r>
    <x v="1114"/>
    <n v="4056789012345"/>
    <x v="11"/>
    <s v="Krmivo a maškrty – Mačky"/>
    <s v="BellaMeow"/>
    <n v="2.4"/>
    <n v="2"/>
    <s v="NULL"/>
    <s v=""/>
    <d v="2025-03-27T00:00:00"/>
    <n v="0"/>
    <n v="4.8"/>
    <x v="0"/>
    <x v="2"/>
    <x v="1"/>
  </r>
  <r>
    <x v="1115"/>
    <n v="4061011223346"/>
    <x v="3"/>
    <s v="Oblečenie a doplnky – Psy"/>
    <s v="Tail Trend"/>
    <n v="19.600000000000001"/>
    <n v="1"/>
    <s v="NULL"/>
    <s v=""/>
    <d v="2025-03-27T00:00:00"/>
    <n v="0"/>
    <n v="19.600000000000001"/>
    <x v="0"/>
    <x v="2"/>
    <x v="0"/>
  </r>
  <r>
    <x v="1116"/>
    <n v="4026677889902"/>
    <x v="12"/>
    <s v="Misky a kŕmne doplnky – Ostatné"/>
    <s v="Pawsitive Gear"/>
    <n v="7.6"/>
    <n v="1"/>
    <s v="NULL"/>
    <s v=""/>
    <d v="2025-03-27T00:00:00"/>
    <n v="0"/>
    <n v="7.6"/>
    <x v="0"/>
    <x v="2"/>
    <x v="2"/>
  </r>
  <r>
    <x v="1117"/>
    <n v="4013456789017"/>
    <x v="0"/>
    <s v="Krmivo a maškrty – Psy"/>
    <s v="Snouty"/>
    <n v="6"/>
    <n v="1"/>
    <s v="NULL"/>
    <s v=""/>
    <d v="2025-03-28T00:00:00"/>
    <n v="0"/>
    <n v="6"/>
    <x v="0"/>
    <x v="2"/>
    <x v="0"/>
  </r>
  <r>
    <x v="1117"/>
    <n v="4028899001126"/>
    <x v="1"/>
    <s v="Krmivo a maškrty – Psy"/>
    <s v="Pup Republic"/>
    <n v="2.8"/>
    <n v="3"/>
    <s v="NULL"/>
    <s v=""/>
    <d v="2025-03-28T00:00:00"/>
    <n v="0"/>
    <n v="8.3999999999999986"/>
    <x v="0"/>
    <x v="2"/>
    <x v="0"/>
  </r>
  <r>
    <x v="1118"/>
    <n v="4040123456795"/>
    <x v="2"/>
    <s v="Starostlivosť a hygiena – Psy"/>
    <s v="Dogissimo"/>
    <n v="8.8000000000000007"/>
    <n v="1"/>
    <s v="NULL"/>
    <s v=""/>
    <d v="2025-03-28T00:00:00"/>
    <n v="0"/>
    <n v="8.8000000000000007"/>
    <x v="0"/>
    <x v="2"/>
    <x v="0"/>
  </r>
  <r>
    <x v="1119"/>
    <n v="4010123456783"/>
    <x v="6"/>
    <s v="Starostlivosť a hygiena – Mačky"/>
    <s v="BellaMeow"/>
    <n v="14"/>
    <n v="1"/>
    <s v="3"/>
    <s v="Za tú cenu ok."/>
    <d v="2025-03-28T00:00:00"/>
    <n v="0"/>
    <n v="14"/>
    <x v="3"/>
    <x v="2"/>
    <x v="1"/>
  </r>
  <r>
    <x v="1120"/>
    <n v="4063456789014"/>
    <x v="15"/>
    <s v="Krmivo a maškrty – Psy"/>
    <s v="Pupco"/>
    <n v="36"/>
    <n v="1"/>
    <s v="NULL"/>
    <s v=""/>
    <d v="2025-03-28T00:00:00"/>
    <n v="0"/>
    <n v="36"/>
    <x v="0"/>
    <x v="2"/>
    <x v="0"/>
  </r>
  <r>
    <x v="1121"/>
    <n v="4021234567894"/>
    <x v="18"/>
    <s v="Starostlivosť a hygiena – Mačky"/>
    <s v="PawStyle"/>
    <n v="8"/>
    <n v="1"/>
    <s v="NULL"/>
    <s v=""/>
    <d v="2025-03-28T00:00:00"/>
    <n v="0"/>
    <n v="8"/>
    <x v="0"/>
    <x v="2"/>
    <x v="1"/>
  </r>
  <r>
    <x v="1122"/>
    <n v="4056789012345"/>
    <x v="11"/>
    <s v="Krmivo a maškrty – Mačky"/>
    <s v="BellaMeow"/>
    <n v="2.4"/>
    <n v="3"/>
    <s v="NULL"/>
    <s v=""/>
    <d v="2025-03-28T00:00:00"/>
    <n v="0"/>
    <n v="7.1999999999999993"/>
    <x v="0"/>
    <x v="2"/>
    <x v="1"/>
  </r>
  <r>
    <x v="1123"/>
    <n v="4061011223346"/>
    <x v="3"/>
    <s v="Oblečenie a doplnky – Psy"/>
    <s v="Tail Trend"/>
    <n v="19.600000000000001"/>
    <n v="1"/>
    <s v="4"/>
    <s v="Drží aj pri delší procházce."/>
    <d v="2025-03-28T00:00:00"/>
    <n v="0"/>
    <n v="19.600000000000001"/>
    <x v="1"/>
    <x v="2"/>
    <x v="0"/>
  </r>
  <r>
    <x v="1124"/>
    <n v="4026677889902"/>
    <x v="12"/>
    <s v="Misky a kŕmne doplnky – Ostatné"/>
    <s v="Pawsitive Gear"/>
    <n v="7.6"/>
    <n v="1"/>
    <s v="NULL"/>
    <s v=""/>
    <d v="2025-03-28T00:00:00"/>
    <n v="0"/>
    <n v="7.6"/>
    <x v="0"/>
    <x v="2"/>
    <x v="2"/>
  </r>
  <r>
    <x v="1125"/>
    <n v="8593456789012"/>
    <x v="4"/>
    <s v="Krmivo a maškrty – Mačky"/>
    <s v="Catissime"/>
    <n v="42"/>
    <n v="1"/>
    <s v="NULL"/>
    <s v=""/>
    <d v="2025-03-28T00:00:00"/>
    <n v="0"/>
    <n v="42"/>
    <x v="0"/>
    <x v="2"/>
    <x v="1"/>
  </r>
  <r>
    <x v="1126"/>
    <n v="4001234567893"/>
    <x v="5"/>
    <s v="Krmivo a maškrty – Mačky"/>
    <s v="Mr. Whiskers"/>
    <n v="9.1999999999999993"/>
    <n v="2"/>
    <s v="NULL"/>
    <s v=""/>
    <d v="2025-03-28T00:00:00"/>
    <n v="0"/>
    <n v="18.399999999999999"/>
    <x v="0"/>
    <x v="2"/>
    <x v="1"/>
  </r>
  <r>
    <x v="1127"/>
    <n v="4028899001126"/>
    <x v="1"/>
    <s v="Krmivo a maškrty – Psy"/>
    <s v="Pup Republic"/>
    <n v="2.8"/>
    <n v="4"/>
    <s v="5"/>
    <s v="Pes sa môže utĺcť, beriem do zásoby."/>
    <d v="2025-03-29T00:00:00"/>
    <n v="0"/>
    <n v="11.2"/>
    <x v="2"/>
    <x v="2"/>
    <x v="0"/>
  </r>
  <r>
    <x v="1128"/>
    <n v="4013456789017"/>
    <x v="0"/>
    <s v="Krmivo a maškrty – Psy"/>
    <s v="Snouty"/>
    <n v="6"/>
    <n v="1"/>
    <s v="NULL"/>
    <s v=""/>
    <d v="2025-03-29T00:00:00"/>
    <n v="0"/>
    <n v="6"/>
    <x v="0"/>
    <x v="2"/>
    <x v="0"/>
  </r>
  <r>
    <x v="1128"/>
    <n v="4040123456795"/>
    <x v="2"/>
    <s v="Starostlivosť a hygiena – Psy"/>
    <s v="Dogissimo"/>
    <n v="8.8000000000000007"/>
    <n v="1"/>
    <s v="NULL"/>
    <s v=""/>
    <d v="2025-03-29T00:00:00"/>
    <n v="0"/>
    <n v="8.8000000000000007"/>
    <x v="0"/>
    <x v="2"/>
    <x v="0"/>
  </r>
  <r>
    <x v="1129"/>
    <n v="4010123456783"/>
    <x v="6"/>
    <s v="Starostlivosť a hygiena – Mačky"/>
    <s v="BellaMeow"/>
    <n v="14"/>
    <n v="2"/>
    <s v="NULL"/>
    <s v=""/>
    <d v="2025-03-29T00:00:00"/>
    <n v="0"/>
    <n v="28"/>
    <x v="0"/>
    <x v="2"/>
    <x v="1"/>
  </r>
  <r>
    <x v="1130"/>
    <n v="4063456789014"/>
    <x v="15"/>
    <s v="Krmivo a maškrty – Psy"/>
    <s v="Pupco"/>
    <n v="36"/>
    <n v="1"/>
    <s v="4"/>
    <s v="Pes prospieva, granuly sedí."/>
    <d v="2025-03-29T00:00:00"/>
    <n v="0"/>
    <n v="36"/>
    <x v="1"/>
    <x v="2"/>
    <x v="0"/>
  </r>
  <r>
    <x v="1131"/>
    <n v="4021234567894"/>
    <x v="18"/>
    <s v="Starostlivosť a hygiena – Mačky"/>
    <s v="PawStyle"/>
    <n v="8"/>
    <n v="1"/>
    <s v="NULL"/>
    <s v=""/>
    <d v="2025-03-29T00:00:00"/>
    <n v="0"/>
    <n v="8"/>
    <x v="0"/>
    <x v="2"/>
    <x v="1"/>
  </r>
  <r>
    <x v="1132"/>
    <n v="4056789012345"/>
    <x v="11"/>
    <s v="Krmivo a maškrty – Mačky"/>
    <s v="BellaMeow"/>
    <n v="2.4"/>
    <n v="2"/>
    <s v="NULL"/>
    <s v=""/>
    <d v="2025-03-29T00:00:00"/>
    <n v="0"/>
    <n v="4.8"/>
    <x v="0"/>
    <x v="2"/>
    <x v="1"/>
  </r>
  <r>
    <x v="1133"/>
    <n v="4061011223346"/>
    <x v="3"/>
    <s v="Oblečenie a doplnky – Psy"/>
    <s v="Tail Trend"/>
    <n v="19.600000000000001"/>
    <n v="1"/>
    <s v="NULL"/>
    <s v=""/>
    <d v="2025-03-29T00:00:00"/>
    <n v="0"/>
    <n v="19.600000000000001"/>
    <x v="0"/>
    <x v="2"/>
    <x v="0"/>
  </r>
  <r>
    <x v="1134"/>
    <n v="4026677889902"/>
    <x v="12"/>
    <s v="Misky a kŕmne doplnky – Ostatné"/>
    <s v="Pawsitive Gear"/>
    <n v="7.6"/>
    <n v="1"/>
    <s v="NULL"/>
    <s v=""/>
    <d v="2025-03-29T00:00:00"/>
    <n v="0"/>
    <n v="7.6"/>
    <x v="0"/>
    <x v="2"/>
    <x v="2"/>
  </r>
  <r>
    <x v="1135"/>
    <n v="4028899001126"/>
    <x v="1"/>
    <s v="Krmivo a maškrty – Psy"/>
    <s v="Pup Republic"/>
    <n v="2.8"/>
    <n v="5"/>
    <s v="NULL"/>
    <s v=""/>
    <d v="2025-03-29T00:00:00"/>
    <n v="0"/>
    <n v="14"/>
    <x v="0"/>
    <x v="2"/>
    <x v="0"/>
  </r>
  <r>
    <x v="1136"/>
    <n v="4013456789017"/>
    <x v="0"/>
    <s v="Krmivo a maškrty – Psy"/>
    <s v="Snouty"/>
    <n v="6"/>
    <n v="2"/>
    <s v="NULL"/>
    <s v=""/>
    <d v="2025-03-29T00:00:00"/>
    <n v="0"/>
    <n v="12"/>
    <x v="0"/>
    <x v="2"/>
    <x v="0"/>
  </r>
  <r>
    <x v="1137"/>
    <n v="4040123456795"/>
    <x v="2"/>
    <s v="Starostlivosť a hygiena – Psy"/>
    <s v="Dogissimo"/>
    <n v="8.8000000000000007"/>
    <n v="1"/>
    <s v="4"/>
    <s v="NULL"/>
    <d v="2025-03-29T00:00:00"/>
    <n v="0"/>
    <n v="8.8000000000000007"/>
    <x v="1"/>
    <x v="2"/>
    <x v="0"/>
  </r>
  <r>
    <x v="1138"/>
    <n v="4010123456783"/>
    <x v="6"/>
    <s v="Starostlivosť a hygiena – Mačky"/>
    <s v="BellaMeow"/>
    <n v="14"/>
    <n v="1"/>
    <s v="NULL"/>
    <s v=""/>
    <d v="2025-03-29T00:00:00"/>
    <n v="0"/>
    <n v="14"/>
    <x v="0"/>
    <x v="2"/>
    <x v="1"/>
  </r>
  <r>
    <x v="1139"/>
    <n v="4063456789014"/>
    <x v="15"/>
    <s v="Krmivo a maškrty – Psy"/>
    <s v="Pupco"/>
    <n v="36"/>
    <n v="1"/>
    <s v="NULL"/>
    <s v=""/>
    <d v="2025-03-29T00:00:00"/>
    <n v="0"/>
    <n v="36"/>
    <x v="0"/>
    <x v="2"/>
    <x v="0"/>
  </r>
  <r>
    <x v="1140"/>
    <n v="4028899001126"/>
    <x v="1"/>
    <s v="Krmivo a maškrty – Psy"/>
    <s v="Pup Republic"/>
    <n v="2.8"/>
    <n v="4"/>
    <s v="NULL"/>
    <s v=""/>
    <d v="2025-03-30T00:00:00"/>
    <n v="0"/>
    <n v="11.2"/>
    <x v="0"/>
    <x v="2"/>
    <x v="0"/>
  </r>
  <r>
    <x v="1140"/>
    <n v="4013456789017"/>
    <x v="0"/>
    <s v="Krmivo a maškrty – Psy"/>
    <s v="Snouty"/>
    <n v="6"/>
    <n v="1"/>
    <s v="NULL"/>
    <s v=""/>
    <d v="2025-03-30T00:00:00"/>
    <n v="0"/>
    <n v="6"/>
    <x v="0"/>
    <x v="2"/>
    <x v="0"/>
  </r>
  <r>
    <x v="1141"/>
    <n v="4040123456795"/>
    <x v="2"/>
    <s v="Starostlivosť a hygiena – Psy"/>
    <s v="Dogissimo"/>
    <n v="8.8000000000000007"/>
    <n v="1"/>
    <s v="NULL"/>
    <s v=""/>
    <d v="2025-03-30T00:00:00"/>
    <n v="0"/>
    <n v="8.8000000000000007"/>
    <x v="0"/>
    <x v="2"/>
    <x v="0"/>
  </r>
  <r>
    <x v="1142"/>
    <n v="4010123456783"/>
    <x v="6"/>
    <s v="Starostlivosť a hygiena – Mačky"/>
    <s v="BellaMeow"/>
    <n v="14"/>
    <n v="2"/>
    <s v="2"/>
    <s v="Podstielka práší, vrátené."/>
    <d v="2025-03-30T00:00:00"/>
    <n v="1"/>
    <n v="28"/>
    <x v="4"/>
    <x v="2"/>
    <x v="1"/>
  </r>
  <r>
    <x v="1143"/>
    <n v="4056789012345"/>
    <x v="11"/>
    <s v="Krmivo a maškrty – Mačky"/>
    <s v="BellaMeow"/>
    <n v="2.4"/>
    <n v="2"/>
    <s v="NULL"/>
    <s v=""/>
    <d v="2025-03-30T00:00:00"/>
    <n v="0"/>
    <n v="4.8"/>
    <x v="0"/>
    <x v="2"/>
    <x v="1"/>
  </r>
  <r>
    <x v="1144"/>
    <n v="4063456789014"/>
    <x v="15"/>
    <s v="Krmivo a maškrty – Psy"/>
    <s v="Pupco"/>
    <n v="36"/>
    <n v="1"/>
    <s v="NULL"/>
    <s v=""/>
    <d v="2025-03-30T00:00:00"/>
    <n v="0"/>
    <n v="36"/>
    <x v="0"/>
    <x v="2"/>
    <x v="0"/>
  </r>
  <r>
    <x v="1145"/>
    <n v="4021234567894"/>
    <x v="18"/>
    <s v="Starostlivosť a hygiena – Mačky"/>
    <s v="PawStyle"/>
    <n v="8"/>
    <n v="1"/>
    <s v="NULL"/>
    <s v=""/>
    <d v="2025-03-30T00:00:00"/>
    <n v="0"/>
    <n v="8"/>
    <x v="0"/>
    <x v="2"/>
    <x v="1"/>
  </r>
  <r>
    <x v="1146"/>
    <n v="4061011223346"/>
    <x v="3"/>
    <s v="Oblečenie a doplnky – Psy"/>
    <s v="Tail Trend"/>
    <n v="19.600000000000001"/>
    <n v="1"/>
    <s v="4"/>
    <s v="Príjemný do ruky."/>
    <d v="2025-03-30T00:00:00"/>
    <n v="0"/>
    <n v="19.600000000000001"/>
    <x v="1"/>
    <x v="2"/>
    <x v="0"/>
  </r>
  <r>
    <x v="1147"/>
    <n v="4026677889902"/>
    <x v="12"/>
    <s v="Misky a kŕmne doplnky – Ostatné"/>
    <s v="Pawsitive Gear"/>
    <n v="7.6"/>
    <n v="1"/>
    <s v="NULL"/>
    <s v=""/>
    <d v="2025-03-30T00:00:00"/>
    <n v="0"/>
    <n v="7.6"/>
    <x v="0"/>
    <x v="2"/>
    <x v="2"/>
  </r>
  <r>
    <x v="1148"/>
    <n v="4028899001126"/>
    <x v="1"/>
    <s v="Krmivo a maškrty – Psy"/>
    <s v="Pup Republic"/>
    <n v="2.8"/>
    <n v="3"/>
    <s v="NULL"/>
    <s v=""/>
    <d v="2025-03-30T00:00:00"/>
    <n v="0"/>
    <n v="8.3999999999999986"/>
    <x v="0"/>
    <x v="2"/>
    <x v="0"/>
  </r>
  <r>
    <x v="1149"/>
    <n v="4013456789017"/>
    <x v="0"/>
    <s v="Krmivo a maškrty – Psy"/>
    <s v="Snouty"/>
    <n v="6"/>
    <n v="2"/>
    <s v="NULL"/>
    <s v=""/>
    <d v="2025-03-30T00:00:00"/>
    <n v="0"/>
    <n v="12"/>
    <x v="0"/>
    <x v="2"/>
    <x v="0"/>
  </r>
  <r>
    <x v="1150"/>
    <n v="4040123456795"/>
    <x v="2"/>
    <s v="Starostlivosť a hygiena – Psy"/>
    <s v="Dogissimo"/>
    <n v="8.8000000000000007"/>
    <n v="1"/>
    <s v="NULL"/>
    <s v=""/>
    <d v="2025-03-30T00:00:00"/>
    <n v="0"/>
    <n v="8.8000000000000007"/>
    <x v="0"/>
    <x v="2"/>
    <x v="0"/>
  </r>
  <r>
    <x v="1151"/>
    <n v="4010123456783"/>
    <x v="6"/>
    <s v="Starostlivosť a hygiena – Mačky"/>
    <s v="BellaMeow"/>
    <n v="14"/>
    <n v="1"/>
    <s v="NULL"/>
    <s v=""/>
    <d v="2025-03-30T00:00:00"/>
    <n v="0"/>
    <n v="14"/>
    <x v="0"/>
    <x v="2"/>
    <x v="1"/>
  </r>
  <r>
    <x v="1152"/>
    <n v="4063456789014"/>
    <x v="15"/>
    <s v="Krmivo a maškrty – Psy"/>
    <s v="Pupco"/>
    <n v="36"/>
    <n v="1"/>
    <s v="5"/>
    <s v="Granuly sedí, bez zažívacích potíží."/>
    <d v="2025-03-30T00:00:00"/>
    <n v="0"/>
    <n v="36"/>
    <x v="2"/>
    <x v="2"/>
    <x v="0"/>
  </r>
  <r>
    <x v="1153"/>
    <n v="4028899001126"/>
    <x v="1"/>
    <s v="Krmivo a maškrty – Psy"/>
    <s v="Pup Republic"/>
    <n v="2.8"/>
    <n v="4"/>
    <s v="NULL"/>
    <s v=""/>
    <d v="2025-03-31T00:00:00"/>
    <n v="0"/>
    <n v="11.2"/>
    <x v="0"/>
    <x v="2"/>
    <x v="0"/>
  </r>
  <r>
    <x v="1154"/>
    <n v="4013456789017"/>
    <x v="0"/>
    <s v="Krmivo a maškrty – Psy"/>
    <s v="Snouty"/>
    <n v="6"/>
    <n v="1"/>
    <s v="NULL"/>
    <s v=""/>
    <d v="2025-03-31T00:00:00"/>
    <n v="0"/>
    <n v="6"/>
    <x v="0"/>
    <x v="2"/>
    <x v="0"/>
  </r>
  <r>
    <x v="1155"/>
    <n v="4040123456795"/>
    <x v="2"/>
    <s v="Starostlivosť a hygiena – Psy"/>
    <s v="Dogissimo"/>
    <n v="8.8000000000000007"/>
    <n v="1"/>
    <s v="4"/>
    <s v="Šetrný a dobre pení."/>
    <d v="2025-03-31T00:00:00"/>
    <n v="0"/>
    <n v="8.8000000000000007"/>
    <x v="1"/>
    <x v="2"/>
    <x v="0"/>
  </r>
  <r>
    <x v="1156"/>
    <n v="4010123456783"/>
    <x v="6"/>
    <s v="Starostlivosť a hygiena – Mačky"/>
    <s v="BellaMeow"/>
    <n v="14"/>
    <n v="2"/>
    <s v="NULL"/>
    <s v=""/>
    <d v="2025-03-31T00:00:00"/>
    <n v="0"/>
    <n v="28"/>
    <x v="0"/>
    <x v="2"/>
    <x v="1"/>
  </r>
  <r>
    <x v="1157"/>
    <n v="4056789012345"/>
    <x v="11"/>
    <s v="Krmivo a maškrty – Mačky"/>
    <s v="BellaMeow"/>
    <n v="2.4"/>
    <n v="3"/>
    <s v="NULL"/>
    <s v=""/>
    <d v="2025-03-31T00:00:00"/>
    <n v="0"/>
    <n v="7.1999999999999993"/>
    <x v="0"/>
    <x v="2"/>
    <x v="1"/>
  </r>
  <r>
    <x v="1158"/>
    <n v="4063456789014"/>
    <x v="15"/>
    <s v="Krmivo a maškrty – Psy"/>
    <s v="Pupco"/>
    <n v="36"/>
    <n v="1"/>
    <s v="NULL"/>
    <s v=""/>
    <d v="2025-03-31T00:00:00"/>
    <n v="0"/>
    <n v="36"/>
    <x v="0"/>
    <x v="2"/>
    <x v="0"/>
  </r>
  <r>
    <x v="1159"/>
    <n v="4021234567894"/>
    <x v="18"/>
    <s v="Starostlivosť a hygiena – Mačky"/>
    <s v="PawStyle"/>
    <n v="8"/>
    <n v="1"/>
    <s v="NULL"/>
    <s v=""/>
    <d v="2025-03-31T00:00:00"/>
    <n v="0"/>
    <n v="8"/>
    <x v="0"/>
    <x v="2"/>
    <x v="1"/>
  </r>
  <r>
    <x v="1160"/>
    <n v="4061011223346"/>
    <x v="3"/>
    <s v="Oblečenie a doplnky – Psy"/>
    <s v="Tail Trend"/>
    <n v="19.600000000000001"/>
    <n v="1"/>
    <s v="NULL"/>
    <s v=""/>
    <d v="2025-03-31T00:00:00"/>
    <n v="0"/>
    <n v="19.600000000000001"/>
    <x v="0"/>
    <x v="2"/>
    <x v="0"/>
  </r>
  <r>
    <x v="1161"/>
    <n v="4026677889902"/>
    <x v="12"/>
    <s v="Misky a kŕmne doplnky – Ostatné"/>
    <s v="Pawsitive Gear"/>
    <n v="7.6"/>
    <n v="1"/>
    <s v="3"/>
    <s v="NULL"/>
    <d v="2025-03-31T00:00:00"/>
    <n v="0"/>
    <n v="7.6"/>
    <x v="3"/>
    <x v="2"/>
    <x v="2"/>
  </r>
  <r>
    <x v="1162"/>
    <n v="8593456789012"/>
    <x v="4"/>
    <s v="Krmivo a maškrty – Mačky"/>
    <s v="Catissime"/>
    <n v="42"/>
    <n v="1"/>
    <s v="NULL"/>
    <s v=""/>
    <d v="2025-03-31T00:00:00"/>
    <n v="0"/>
    <n v="42"/>
    <x v="0"/>
    <x v="2"/>
    <x v="1"/>
  </r>
  <r>
    <x v="1163"/>
    <n v="4006677889904"/>
    <x v="26"/>
    <s v="Krmivo a maškrty – Mačky"/>
    <s v="Catissime"/>
    <n v="2"/>
    <n v="4"/>
    <s v="NULL"/>
    <s v=""/>
    <d v="2025-03-31T00:00:00"/>
    <n v="0"/>
    <n v="8"/>
    <x v="0"/>
    <x v="2"/>
    <x v="1"/>
  </r>
  <r>
    <x v="1164"/>
    <n v="4001234567893"/>
    <x v="5"/>
    <s v="Krmivo a maškrty – Mačky"/>
    <s v="Mr. Whiskers"/>
    <n v="9.1999999999999993"/>
    <n v="2"/>
    <s v="4"/>
    <s v="Mačky sa na výbere pochutili."/>
    <d v="2025-03-31T00:00:00"/>
    <n v="0"/>
    <n v="18.399999999999999"/>
    <x v="1"/>
    <x v="2"/>
    <x v="1"/>
  </r>
  <r>
    <x v="1165"/>
    <n v="4028899001126"/>
    <x v="1"/>
    <s v="Krmivo a maškrty – Psy"/>
    <s v="Pup Republic"/>
    <n v="2.8"/>
    <n v="5"/>
    <s v="5"/>
    <s v="Najlepší pomer cena/výkon, beriem balenie."/>
    <d v="2025-03-31T00:00:00"/>
    <n v="0"/>
    <n v="14"/>
    <x v="2"/>
    <x v="2"/>
    <x v="0"/>
  </r>
  <r>
    <x v="1166"/>
    <n v="4013456789017"/>
    <x v="0"/>
    <s v="Krmivo a maškrty – Psy"/>
    <s v="Snouty"/>
    <n v="6"/>
    <n v="2"/>
    <s v="NULL"/>
    <s v=""/>
    <d v="2025-03-31T00:00:00"/>
    <n v="0"/>
    <n v="12"/>
    <x v="0"/>
    <x v="2"/>
    <x v="0"/>
  </r>
  <r>
    <x v="1167"/>
    <n v="4040123456795"/>
    <x v="2"/>
    <s v="Starostlivosť a hygiena – Psy"/>
    <s v="Dogissimo"/>
    <n v="8.8000000000000007"/>
    <n v="1"/>
    <s v="NULL"/>
    <s v=""/>
    <d v="2025-03-31T00:00:00"/>
    <n v="0"/>
    <n v="8.8000000000000007"/>
    <x v="0"/>
    <x v="2"/>
    <x v="0"/>
  </r>
  <r>
    <x v="1168"/>
    <n v="4013456789017"/>
    <x v="0"/>
    <s v="Krmivo a maškrty – Psy"/>
    <s v="Snouty"/>
    <n v="6"/>
    <n v="1"/>
    <s v="NULL"/>
    <s v=""/>
    <d v="2025-04-01T00:00:00"/>
    <n v="0"/>
    <n v="6"/>
    <x v="0"/>
    <x v="3"/>
    <x v="0"/>
  </r>
  <r>
    <x v="1168"/>
    <n v="4028899001126"/>
    <x v="1"/>
    <s v="Krmivo a maškrty – Psy"/>
    <s v="Pup Republic"/>
    <n v="2.8"/>
    <n v="3"/>
    <s v="5"/>
    <s v="Pes nadšený, kupujeme pravidelne."/>
    <d v="2025-04-01T00:00:00"/>
    <n v="0"/>
    <n v="8.3999999999999986"/>
    <x v="2"/>
    <x v="3"/>
    <x v="0"/>
  </r>
  <r>
    <x v="1169"/>
    <n v="4040123456795"/>
    <x v="2"/>
    <s v="Starostlivosť a hygiena – Psy"/>
    <s v="Dogissimo"/>
    <n v="8.8000000000000007"/>
    <n v="1"/>
    <s v="NULL"/>
    <s v=""/>
    <d v="2025-04-01T00:00:00"/>
    <n v="0"/>
    <n v="8.8000000000000007"/>
    <x v="0"/>
    <x v="3"/>
    <x v="0"/>
  </r>
  <r>
    <x v="1170"/>
    <n v="4056789012345"/>
    <x v="11"/>
    <s v="Krmivo a maškrty – Mačky"/>
    <s v="BellaMeow"/>
    <n v="2.4"/>
    <n v="2"/>
    <s v="NULL"/>
    <s v=""/>
    <d v="2025-04-01T00:00:00"/>
    <n v="0"/>
    <n v="4.8"/>
    <x v="0"/>
    <x v="3"/>
    <x v="1"/>
  </r>
  <r>
    <x v="1171"/>
    <n v="4063456789014"/>
    <x v="15"/>
    <s v="Krmivo a maškrty – Psy"/>
    <s v="Pupco"/>
    <n v="36"/>
    <n v="1"/>
    <s v="NULL"/>
    <s v=""/>
    <d v="2025-04-01T00:00:00"/>
    <n v="0"/>
    <n v="36"/>
    <x v="0"/>
    <x v="3"/>
    <x v="0"/>
  </r>
  <r>
    <x v="1172"/>
    <n v="4010123456783"/>
    <x v="6"/>
    <s v="Starostlivosť a hygiena – Mačky"/>
    <s v="BellaMeow"/>
    <n v="14"/>
    <n v="1"/>
    <s v="4"/>
    <s v="Skvelo pohlcuje pachy."/>
    <d v="2025-04-01T00:00:00"/>
    <n v="0"/>
    <n v="14"/>
    <x v="1"/>
    <x v="3"/>
    <x v="1"/>
  </r>
  <r>
    <x v="1173"/>
    <n v="4021234567894"/>
    <x v="18"/>
    <s v="Starostlivosť a hygiena – Mačky"/>
    <s v="PawStyle"/>
    <n v="8"/>
    <n v="1"/>
    <s v="NULL"/>
    <s v=""/>
    <d v="2025-04-02T00:00:00"/>
    <n v="0"/>
    <n v="8"/>
    <x v="0"/>
    <x v="3"/>
    <x v="1"/>
  </r>
  <r>
    <x v="1174"/>
    <n v="4061011223346"/>
    <x v="3"/>
    <s v="Oblečenie a doplnky – Psy"/>
    <s v="Tail Trend"/>
    <n v="19.600000000000001"/>
    <n v="1"/>
    <s v="NULL"/>
    <s v=""/>
    <d v="2025-04-02T00:00:00"/>
    <n v="0"/>
    <n v="19.600000000000001"/>
    <x v="0"/>
    <x v="3"/>
    <x v="0"/>
  </r>
  <r>
    <x v="1175"/>
    <n v="4026677889902"/>
    <x v="12"/>
    <s v="Misky a kŕmne doplnky – Ostatné"/>
    <s v="Pawsitive Gear"/>
    <n v="7.6"/>
    <n v="1"/>
    <s v="NULL"/>
    <s v=""/>
    <d v="2025-04-02T00:00:00"/>
    <n v="0"/>
    <n v="7.6"/>
    <x v="0"/>
    <x v="3"/>
    <x v="2"/>
  </r>
  <r>
    <x v="1176"/>
    <n v="4028899001126"/>
    <x v="1"/>
    <s v="Krmivo a maškrty – Psy"/>
    <s v="Pup Republic"/>
    <n v="2.8"/>
    <n v="5"/>
    <s v="NULL"/>
    <s v=""/>
    <d v="2025-04-02T00:00:00"/>
    <n v="0"/>
    <n v="14"/>
    <x v="0"/>
    <x v="3"/>
    <x v="0"/>
  </r>
  <r>
    <x v="1177"/>
    <n v="4013456789017"/>
    <x v="0"/>
    <s v="Krmivo a maškrty – Psy"/>
    <s v="Snouty"/>
    <n v="6"/>
    <n v="2"/>
    <s v="3"/>
    <s v="Za tu cenu fajn."/>
    <d v="2025-04-02T00:00:00"/>
    <n v="0"/>
    <n v="12"/>
    <x v="3"/>
    <x v="3"/>
    <x v="0"/>
  </r>
  <r>
    <x v="1178"/>
    <n v="4040123456795"/>
    <x v="2"/>
    <s v="Starostlivosť a hygiena – Psy"/>
    <s v="Dogissimo"/>
    <n v="8.8000000000000007"/>
    <n v="1"/>
    <s v="NULL"/>
    <s v=""/>
    <d v="2025-04-02T00:00:00"/>
    <n v="0"/>
    <n v="8.8000000000000007"/>
    <x v="0"/>
    <x v="3"/>
    <x v="0"/>
  </r>
  <r>
    <x v="1179"/>
    <n v="4010123456783"/>
    <x v="6"/>
    <s v="Starostlivosť a hygiena – Mačky"/>
    <s v="BellaMeow"/>
    <n v="14"/>
    <n v="1"/>
    <s v="NULL"/>
    <s v=""/>
    <d v="2025-04-03T00:00:00"/>
    <n v="0"/>
    <n v="14"/>
    <x v="0"/>
    <x v="3"/>
    <x v="1"/>
  </r>
  <r>
    <x v="1180"/>
    <n v="4056789012345"/>
    <x v="11"/>
    <s v="Krmivo a maškrty – Mačky"/>
    <s v="BellaMeow"/>
    <n v="2.4"/>
    <n v="2"/>
    <s v="NULL"/>
    <s v=""/>
    <d v="2025-04-03T00:00:00"/>
    <n v="0"/>
    <n v="4.8"/>
    <x v="0"/>
    <x v="3"/>
    <x v="1"/>
  </r>
  <r>
    <x v="1181"/>
    <n v="4063456789014"/>
    <x v="15"/>
    <s v="Krmivo a maškrty – Psy"/>
    <s v="Pupco"/>
    <n v="36"/>
    <n v="1"/>
    <s v="NULL"/>
    <s v=""/>
    <d v="2025-04-03T00:00:00"/>
    <n v="0"/>
    <n v="36"/>
    <x v="0"/>
    <x v="3"/>
    <x v="0"/>
  </r>
  <r>
    <x v="1182"/>
    <n v="4028899001126"/>
    <x v="1"/>
    <s v="Krmivo a maškrty – Psy"/>
    <s v="Pup Republic"/>
    <n v="2.8"/>
    <n v="3"/>
    <s v="4"/>
    <s v="Pes to miluje, žiadne problémy."/>
    <d v="2025-04-03T00:00:00"/>
    <n v="0"/>
    <n v="8.3999999999999986"/>
    <x v="1"/>
    <x v="3"/>
    <x v="0"/>
  </r>
  <r>
    <x v="1183"/>
    <n v="4013456789017"/>
    <x v="0"/>
    <s v="Krmivo a maškrty – Psy"/>
    <s v="Snouty"/>
    <n v="6"/>
    <n v="1"/>
    <s v="NULL"/>
    <s v=""/>
    <d v="2025-04-03T00:00:00"/>
    <n v="0"/>
    <n v="6"/>
    <x v="0"/>
    <x v="3"/>
    <x v="0"/>
  </r>
  <r>
    <x v="1184"/>
    <n v="4040123456795"/>
    <x v="2"/>
    <s v="Starostlivosť a hygiena – Psy"/>
    <s v="Dogissimo"/>
    <n v="8.8000000000000007"/>
    <n v="1"/>
    <s v="NULL"/>
    <s v=""/>
    <d v="2025-04-03T00:00:00"/>
    <n v="0"/>
    <n v="8.8000000000000007"/>
    <x v="0"/>
    <x v="3"/>
    <x v="0"/>
  </r>
  <r>
    <x v="1185"/>
    <n v="4010123456783"/>
    <x v="6"/>
    <s v="Starostlivosť a hygiena – Mačky"/>
    <s v="BellaMeow"/>
    <n v="14"/>
    <n v="2"/>
    <s v="NULL"/>
    <s v=""/>
    <d v="2025-04-04T00:00:00"/>
    <n v="0"/>
    <n v="28"/>
    <x v="0"/>
    <x v="3"/>
    <x v="1"/>
  </r>
  <r>
    <x v="1186"/>
    <n v="4063456789014"/>
    <x v="15"/>
    <s v="Krmivo a maškrty – Psy"/>
    <s v="Pupco"/>
    <n v="36"/>
    <n v="1"/>
    <s v="NULL"/>
    <s v=""/>
    <d v="2025-04-04T00:00:00"/>
    <n v="0"/>
    <n v="36"/>
    <x v="0"/>
    <x v="3"/>
    <x v="0"/>
  </r>
  <r>
    <x v="1187"/>
    <n v="4021234567894"/>
    <x v="18"/>
    <s v="Starostlivosť a hygiena – Mačky"/>
    <s v="PawStyle"/>
    <n v="8"/>
    <n v="1"/>
    <s v="NULL"/>
    <s v=""/>
    <d v="2025-04-04T00:00:00"/>
    <n v="0"/>
    <n v="8"/>
    <x v="0"/>
    <x v="3"/>
    <x v="1"/>
  </r>
  <r>
    <x v="1188"/>
    <n v="4056789012345"/>
    <x v="11"/>
    <s v="Krmivo a maškrty – Mačky"/>
    <s v="BellaMeow"/>
    <n v="2.4"/>
    <n v="3"/>
    <s v="4"/>
    <s v="Mačka spokojná, pekne vonia."/>
    <d v="2025-04-04T00:00:00"/>
    <n v="0"/>
    <n v="7.1999999999999993"/>
    <x v="1"/>
    <x v="3"/>
    <x v="1"/>
  </r>
  <r>
    <x v="1189"/>
    <n v="4061011223346"/>
    <x v="3"/>
    <s v="Oblečenie a doplnky – Psy"/>
    <s v="Tail Trend"/>
    <n v="19.600000000000001"/>
    <n v="1"/>
    <s v="NULL"/>
    <s v=""/>
    <d v="2025-04-04T00:00:00"/>
    <n v="0"/>
    <n v="19.600000000000001"/>
    <x v="0"/>
    <x v="3"/>
    <x v="0"/>
  </r>
  <r>
    <x v="1190"/>
    <n v="4026677889902"/>
    <x v="12"/>
    <s v="Misky a kŕmne doplnky – Ostatné"/>
    <s v="Pawsitive Gear"/>
    <n v="7.6"/>
    <n v="1"/>
    <s v="NULL"/>
    <s v=""/>
    <d v="2025-04-04T00:00:00"/>
    <n v="0"/>
    <n v="7.6"/>
    <x v="0"/>
    <x v="3"/>
    <x v="2"/>
  </r>
  <r>
    <x v="1191"/>
    <n v="4028899001126"/>
    <x v="1"/>
    <s v="Krmivo a maškrty – Psy"/>
    <s v="Pup Republic"/>
    <n v="2.8"/>
    <n v="4"/>
    <s v="NULL"/>
    <s v=""/>
    <d v="2025-04-05T00:00:00"/>
    <n v="0"/>
    <n v="11.2"/>
    <x v="0"/>
    <x v="3"/>
    <x v="0"/>
  </r>
  <r>
    <x v="1191"/>
    <n v="4013456789017"/>
    <x v="0"/>
    <s v="Krmivo a maškrty – Psy"/>
    <s v="Snouty"/>
    <n v="6"/>
    <n v="1"/>
    <s v="NULL"/>
    <s v=""/>
    <d v="2025-04-05T00:00:00"/>
    <n v="0"/>
    <n v="6"/>
    <x v="0"/>
    <x v="3"/>
    <x v="0"/>
  </r>
  <r>
    <x v="1192"/>
    <n v="4040123456795"/>
    <x v="2"/>
    <s v="Starostlivosť a hygiena – Psy"/>
    <s v="Dogissimo"/>
    <n v="8.8000000000000007"/>
    <n v="1"/>
    <s v="NULL"/>
    <s v=""/>
    <d v="2025-04-05T00:00:00"/>
    <n v="0"/>
    <n v="8.8000000000000007"/>
    <x v="0"/>
    <x v="3"/>
    <x v="0"/>
  </r>
  <r>
    <x v="1193"/>
    <n v="4010123456783"/>
    <x v="6"/>
    <s v="Starostlivosť a hygiena – Mačky"/>
    <s v="BellaMeow"/>
    <n v="14"/>
    <n v="1"/>
    <s v="4"/>
    <s v="Neprašné a vydrží."/>
    <d v="2025-04-05T00:00:00"/>
    <n v="0"/>
    <n v="14"/>
    <x v="1"/>
    <x v="3"/>
    <x v="1"/>
  </r>
  <r>
    <x v="1194"/>
    <n v="4063456789014"/>
    <x v="15"/>
    <s v="Krmivo a maškrty – Psy"/>
    <s v="Pupco"/>
    <n v="36"/>
    <n v="1"/>
    <s v="NULL"/>
    <s v=""/>
    <d v="2025-04-05T00:00:00"/>
    <n v="0"/>
    <n v="36"/>
    <x v="0"/>
    <x v="3"/>
    <x v="0"/>
  </r>
  <r>
    <x v="1195"/>
    <n v="4021234567894"/>
    <x v="18"/>
    <s v="Starostlivosť a hygiena – Mačky"/>
    <s v="PawStyle"/>
    <n v="8"/>
    <n v="1"/>
    <s v="NULL"/>
    <s v=""/>
    <d v="2025-04-06T00:00:00"/>
    <n v="0"/>
    <n v="8"/>
    <x v="0"/>
    <x v="3"/>
    <x v="1"/>
  </r>
  <r>
    <x v="1196"/>
    <n v="4028899001126"/>
    <x v="1"/>
    <s v="Krmivo a maškrty – Psy"/>
    <s v="Pup Republic"/>
    <n v="2.8"/>
    <n v="5"/>
    <s v="3"/>
    <s v="Moc mastné, ale pes spokojen."/>
    <d v="2025-04-06T00:00:00"/>
    <n v="0"/>
    <n v="14"/>
    <x v="3"/>
    <x v="3"/>
    <x v="0"/>
  </r>
  <r>
    <x v="1197"/>
    <n v="4013456789017"/>
    <x v="0"/>
    <s v="Krmivo a maškrty – Psy"/>
    <s v="Snouty"/>
    <n v="6"/>
    <n v="1"/>
    <s v="NULL"/>
    <s v=""/>
    <d v="2025-04-06T00:00:00"/>
    <n v="0"/>
    <n v="6"/>
    <x v="0"/>
    <x v="3"/>
    <x v="0"/>
  </r>
  <r>
    <x v="1198"/>
    <n v="4040123456795"/>
    <x v="2"/>
    <s v="Starostlivosť a hygiena – Psy"/>
    <s v="Dogissimo"/>
    <n v="8.8000000000000007"/>
    <n v="1"/>
    <s v="NULL"/>
    <s v=""/>
    <d v="2025-04-06T00:00:00"/>
    <n v="0"/>
    <n v="8.8000000000000007"/>
    <x v="0"/>
    <x v="3"/>
    <x v="0"/>
  </r>
  <r>
    <x v="1199"/>
    <n v="4010123456783"/>
    <x v="6"/>
    <s v="Starostlivosť a hygiena – Mačky"/>
    <s v="BellaMeow"/>
    <n v="14"/>
    <n v="2"/>
    <s v="NULL"/>
    <s v=""/>
    <d v="2025-04-06T00:00:00"/>
    <n v="0"/>
    <n v="28"/>
    <x v="0"/>
    <x v="3"/>
    <x v="1"/>
  </r>
  <r>
    <x v="1200"/>
    <n v="4063456789014"/>
    <x v="15"/>
    <s v="Krmivo a maškrty – Psy"/>
    <s v="Pupco"/>
    <n v="36"/>
    <n v="1"/>
    <s v="4"/>
    <s v="Pesovaj chutí, dobré granuly."/>
    <d v="2025-04-06T00:00:00"/>
    <n v="0"/>
    <n v="36"/>
    <x v="1"/>
    <x v="3"/>
    <x v="0"/>
  </r>
  <r>
    <x v="1201"/>
    <n v="4021234567894"/>
    <x v="18"/>
    <s v="Starostlivosť a hygiena – Mačky"/>
    <s v="PawStyle"/>
    <n v="8"/>
    <n v="1"/>
    <s v="NULL"/>
    <s v=""/>
    <d v="2025-04-07T00:00:00"/>
    <n v="0"/>
    <n v="8"/>
    <x v="0"/>
    <x v="3"/>
    <x v="1"/>
  </r>
  <r>
    <x v="1202"/>
    <n v="4056789012345"/>
    <x v="11"/>
    <s v="Krmivo a maškrty – Mačky"/>
    <s v="BellaMeow"/>
    <n v="2.4"/>
    <n v="2"/>
    <s v="NULL"/>
    <s v=""/>
    <d v="2025-04-07T00:00:00"/>
    <n v="0"/>
    <n v="4.8"/>
    <x v="0"/>
    <x v="3"/>
    <x v="1"/>
  </r>
  <r>
    <x v="1203"/>
    <n v="4061011223346"/>
    <x v="3"/>
    <s v="Oblečenie a doplnky – Psy"/>
    <s v="Tail Trend"/>
    <n v="19.600000000000001"/>
    <n v="1"/>
    <s v="NULL"/>
    <s v=""/>
    <d v="2025-04-07T00:00:00"/>
    <n v="0"/>
    <n v="19.600000000000001"/>
    <x v="0"/>
    <x v="3"/>
    <x v="0"/>
  </r>
  <r>
    <x v="1204"/>
    <n v="4026677889902"/>
    <x v="12"/>
    <s v="Misky a kŕmne doplnky – Ostatné"/>
    <s v="Pawsitive Gear"/>
    <n v="7.6"/>
    <n v="1"/>
    <s v="NULL"/>
    <s v=""/>
    <d v="2025-04-07T00:00:00"/>
    <n v="0"/>
    <n v="7.6"/>
    <x v="0"/>
    <x v="3"/>
    <x v="2"/>
  </r>
  <r>
    <x v="1205"/>
    <n v="4028899001126"/>
    <x v="1"/>
    <s v="Krmivo a maškrty – Psy"/>
    <s v="Pup Republic"/>
    <n v="2.8"/>
    <n v="4"/>
    <s v="5"/>
    <s v="Top kvalita, pes vždy šťastný."/>
    <d v="2025-04-07T00:00:00"/>
    <n v="0"/>
    <n v="11.2"/>
    <x v="2"/>
    <x v="3"/>
    <x v="0"/>
  </r>
  <r>
    <x v="1206"/>
    <n v="4013456789017"/>
    <x v="0"/>
    <s v="Krmivo a maškrty – Psy"/>
    <s v="Snouty"/>
    <n v="6"/>
    <n v="2"/>
    <s v="NULL"/>
    <s v=""/>
    <d v="2025-04-07T00:00:00"/>
    <n v="0"/>
    <n v="12"/>
    <x v="0"/>
    <x v="3"/>
    <x v="0"/>
  </r>
  <r>
    <x v="1207"/>
    <n v="4040123456795"/>
    <x v="2"/>
    <s v="Starostlivosť a hygiena – Psy"/>
    <s v="Dogissimo"/>
    <n v="8.8000000000000007"/>
    <n v="1"/>
    <s v="NULL"/>
    <s v=""/>
    <d v="2025-04-07T00:00:00"/>
    <n v="0"/>
    <n v="8.8000000000000007"/>
    <x v="0"/>
    <x v="3"/>
    <x v="0"/>
  </r>
  <r>
    <x v="1208"/>
    <n v="4010123456783"/>
    <x v="6"/>
    <s v="Starostlivosť a hygiena – Mačky"/>
    <s v="BellaMeow"/>
    <n v="14"/>
    <n v="1"/>
    <s v="NULL"/>
    <s v=""/>
    <d v="2025-04-08T00:00:00"/>
    <n v="0"/>
    <n v="14"/>
    <x v="0"/>
    <x v="3"/>
    <x v="1"/>
  </r>
  <r>
    <x v="1209"/>
    <n v="4063456789014"/>
    <x v="15"/>
    <s v="Krmivo a maškrty – Psy"/>
    <s v="Pupco"/>
    <n v="36"/>
    <n v="1"/>
    <s v="NULL"/>
    <s v=""/>
    <d v="2025-04-08T00:00:00"/>
    <n v="0"/>
    <n v="36"/>
    <x v="0"/>
    <x v="3"/>
    <x v="0"/>
  </r>
  <r>
    <x v="1210"/>
    <n v="4021234567894"/>
    <x v="18"/>
    <s v="Starostlivosť a hygiena – Mačky"/>
    <s v="PawStyle"/>
    <n v="8"/>
    <n v="1"/>
    <s v="4"/>
    <s v="Vonia jemne, účinný."/>
    <d v="2025-04-08T00:00:00"/>
    <n v="0"/>
    <n v="8"/>
    <x v="1"/>
    <x v="3"/>
    <x v="1"/>
  </r>
  <r>
    <x v="1211"/>
    <n v="4056789012345"/>
    <x v="11"/>
    <s v="Krmivo a maškrty – Mačky"/>
    <s v="BellaMeow"/>
    <n v="2.4"/>
    <n v="3"/>
    <s v="NULL"/>
    <s v=""/>
    <d v="2025-04-08T00:00:00"/>
    <n v="0"/>
    <n v="7.1999999999999993"/>
    <x v="0"/>
    <x v="3"/>
    <x v="1"/>
  </r>
  <r>
    <x v="1212"/>
    <n v="4061011223346"/>
    <x v="3"/>
    <s v="Oblečenie a doplnky – Psy"/>
    <s v="Tail Trend"/>
    <n v="19.600000000000001"/>
    <n v="1"/>
    <s v="NULL"/>
    <s v=""/>
    <d v="2025-04-08T00:00:00"/>
    <n v="0"/>
    <n v="19.600000000000001"/>
    <x v="0"/>
    <x v="3"/>
    <x v="0"/>
  </r>
  <r>
    <x v="1213"/>
    <n v="4026677889902"/>
    <x v="12"/>
    <s v="Misky a kŕmne doplnky – Ostatné"/>
    <s v="Pawsitive Gear"/>
    <n v="7.6"/>
    <n v="1"/>
    <s v="NULL"/>
    <s v=""/>
    <d v="2025-04-08T00:00:00"/>
    <n v="0"/>
    <n v="7.6"/>
    <x v="0"/>
    <x v="3"/>
    <x v="2"/>
  </r>
  <r>
    <x v="1214"/>
    <n v="4028899001126"/>
    <x v="1"/>
    <s v="Krmivo a maškrty – Psy"/>
    <s v="Pup Republic"/>
    <n v="2.8"/>
    <n v="3"/>
    <s v="NULL"/>
    <s v=""/>
    <d v="2025-04-08T00:00:00"/>
    <n v="0"/>
    <n v="8.3999999999999986"/>
    <x v="0"/>
    <x v="3"/>
    <x v="0"/>
  </r>
  <r>
    <x v="1215"/>
    <n v="4013456789017"/>
    <x v="0"/>
    <s v="Krmivo a maškrty – Psy"/>
    <s v="Snouty"/>
    <n v="6"/>
    <n v="1"/>
    <s v="NULL"/>
    <s v=""/>
    <d v="2025-04-08T00:00:00"/>
    <n v="0"/>
    <n v="6"/>
    <x v="0"/>
    <x v="3"/>
    <x v="0"/>
  </r>
  <r>
    <x v="1216"/>
    <n v="4040123456795"/>
    <x v="2"/>
    <s v="Starostlivosť a hygiena – Psy"/>
    <s v="Dogissimo"/>
    <n v="8.8000000000000007"/>
    <n v="1"/>
    <s v="5"/>
    <s v="Pes krásne vonia a srsť mäkká."/>
    <d v="2025-04-09T00:00:00"/>
    <n v="0"/>
    <n v="8.8000000000000007"/>
    <x v="2"/>
    <x v="3"/>
    <x v="0"/>
  </r>
  <r>
    <x v="1217"/>
    <n v="4010123456783"/>
    <x v="6"/>
    <s v="Starostlivosť a hygiena – Mačky"/>
    <s v="BellaMeow"/>
    <n v="14"/>
    <n v="2"/>
    <s v="NULL"/>
    <s v=""/>
    <d v="2025-04-09T00:00:00"/>
    <n v="0"/>
    <n v="28"/>
    <x v="0"/>
    <x v="3"/>
    <x v="1"/>
  </r>
  <r>
    <x v="1218"/>
    <n v="4063456789014"/>
    <x v="15"/>
    <s v="Krmivo a maškrty – Psy"/>
    <s v="Pupco"/>
    <n v="36"/>
    <n v="1"/>
    <s v="NULL"/>
    <s v=""/>
    <d v="2025-04-09T00:00:00"/>
    <n v="0"/>
    <n v="36"/>
    <x v="0"/>
    <x v="3"/>
    <x v="0"/>
  </r>
  <r>
    <x v="1219"/>
    <n v="4021234567894"/>
    <x v="18"/>
    <s v="Starostlivosť a hygiena – Mačky"/>
    <s v="PawStyle"/>
    <n v="8"/>
    <n v="1"/>
    <s v="NULL"/>
    <s v=""/>
    <d v="2025-04-09T00:00:00"/>
    <n v="0"/>
    <n v="8"/>
    <x v="0"/>
    <x v="3"/>
    <x v="1"/>
  </r>
  <r>
    <x v="1220"/>
    <n v="4056789012345"/>
    <x v="11"/>
    <s v="Krmivo a maškrty – Mačky"/>
    <s v="BellaMeow"/>
    <n v="2.4"/>
    <n v="3"/>
    <s v="3"/>
    <s v="Mačka zjedla len část."/>
    <d v="2025-04-09T00:00:00"/>
    <n v="0"/>
    <n v="7.1999999999999993"/>
    <x v="3"/>
    <x v="3"/>
    <x v="1"/>
  </r>
  <r>
    <x v="1221"/>
    <n v="4061011223346"/>
    <x v="3"/>
    <s v="Oblečenie a doplnky – Psy"/>
    <s v="Tail Trend"/>
    <n v="19.600000000000001"/>
    <n v="1"/>
    <s v="NULL"/>
    <s v=""/>
    <d v="2025-04-09T00:00:00"/>
    <n v="0"/>
    <n v="19.600000000000001"/>
    <x v="0"/>
    <x v="3"/>
    <x v="0"/>
  </r>
  <r>
    <x v="1222"/>
    <n v="4026677889902"/>
    <x v="12"/>
    <s v="Misky a kŕmne doplnky – Ostatné"/>
    <s v="Pawsitive Gear"/>
    <n v="7.6"/>
    <n v="1"/>
    <s v="NULL"/>
    <s v=""/>
    <d v="2025-04-09T00:00:00"/>
    <n v="0"/>
    <n v="7.6"/>
    <x v="0"/>
    <x v="3"/>
    <x v="2"/>
  </r>
  <r>
    <x v="1223"/>
    <n v="4028899001126"/>
    <x v="1"/>
    <s v="Krmivo a maškrty – Psy"/>
    <s v="Pup Republic"/>
    <n v="2.8"/>
    <n v="5"/>
    <s v="NULL"/>
    <s v=""/>
    <d v="2025-04-09T00:00:00"/>
    <n v="0"/>
    <n v="14"/>
    <x v="0"/>
    <x v="3"/>
    <x v="0"/>
  </r>
  <r>
    <x v="1224"/>
    <n v="4013456789017"/>
    <x v="0"/>
    <s v="Krmivo a maškrty – Psy"/>
    <s v="Snouty"/>
    <n v="6"/>
    <n v="2"/>
    <s v="NULL"/>
    <s v=""/>
    <d v="2025-04-10T00:00:00"/>
    <n v="0"/>
    <n v="12"/>
    <x v="0"/>
    <x v="3"/>
    <x v="0"/>
  </r>
  <r>
    <x v="1225"/>
    <n v="4040123456795"/>
    <x v="2"/>
    <s v="Starostlivosť a hygiena – Psy"/>
    <s v="Dogissimo"/>
    <n v="8.8000000000000007"/>
    <n v="1"/>
    <s v="NULL"/>
    <s v=""/>
    <d v="2025-04-10T00:00:00"/>
    <n v="0"/>
    <n v="8.8000000000000007"/>
    <x v="0"/>
    <x v="3"/>
    <x v="0"/>
  </r>
  <r>
    <x v="1226"/>
    <n v="4010123456783"/>
    <x v="6"/>
    <s v="Starostlivosť a hygiena – Mačky"/>
    <s v="BellaMeow"/>
    <n v="14"/>
    <n v="1"/>
    <s v="NULL"/>
    <s v=""/>
    <d v="2025-04-10T00:00:00"/>
    <n v="0"/>
    <n v="14"/>
    <x v="0"/>
    <x v="3"/>
    <x v="1"/>
  </r>
  <r>
    <x v="1227"/>
    <n v="4063456789014"/>
    <x v="15"/>
    <s v="Krmivo a maškrty – Psy"/>
    <s v="Pupco"/>
    <n v="36"/>
    <n v="1"/>
    <s v="4"/>
    <s v="Zdravá srsť, dobrá stolice."/>
    <d v="2025-04-10T00:00:00"/>
    <n v="0"/>
    <n v="36"/>
    <x v="1"/>
    <x v="3"/>
    <x v="0"/>
  </r>
  <r>
    <x v="1228"/>
    <n v="4021234567894"/>
    <x v="18"/>
    <s v="Starostlivosť a hygiena – Mačky"/>
    <s v="PawStyle"/>
    <n v="8"/>
    <n v="1"/>
    <s v="NULL"/>
    <s v=""/>
    <d v="2025-04-10T00:00:00"/>
    <n v="0"/>
    <n v="8"/>
    <x v="0"/>
    <x v="3"/>
    <x v="1"/>
  </r>
  <r>
    <x v="1229"/>
    <n v="4056789012345"/>
    <x v="11"/>
    <s v="Krmivo a maškrty – Mačky"/>
    <s v="BellaMeow"/>
    <n v="2.4"/>
    <n v="2"/>
    <s v="NULL"/>
    <s v=""/>
    <d v="2025-04-10T00:00:00"/>
    <n v="0"/>
    <n v="4.8"/>
    <x v="0"/>
    <x v="3"/>
    <x v="1"/>
  </r>
  <r>
    <x v="1230"/>
    <n v="4061011223346"/>
    <x v="3"/>
    <s v="Oblečenie a doplnky – Psy"/>
    <s v="Tail Trend"/>
    <n v="19.600000000000001"/>
    <n v="1"/>
    <s v="NULL"/>
    <s v=""/>
    <d v="2025-04-10T00:00:00"/>
    <n v="0"/>
    <n v="19.600000000000001"/>
    <x v="0"/>
    <x v="3"/>
    <x v="0"/>
  </r>
  <r>
    <x v="1231"/>
    <n v="4026677889902"/>
    <x v="12"/>
    <s v="Misky a kŕmne doplnky – Ostatné"/>
    <s v="Pawsitive Gear"/>
    <n v="7.6"/>
    <n v="1"/>
    <s v="NULL"/>
    <s v=""/>
    <d v="2025-04-10T00:00:00"/>
    <n v="0"/>
    <n v="7.6"/>
    <x v="0"/>
    <x v="3"/>
    <x v="2"/>
  </r>
  <r>
    <x v="1232"/>
    <n v="4028899001126"/>
    <x v="1"/>
    <s v="Krmivo a maškrty – Psy"/>
    <s v="Pup Republic"/>
    <n v="2.8"/>
    <n v="4"/>
    <s v="NULL"/>
    <s v=""/>
    <d v="2025-04-10T00:00:00"/>
    <n v="0"/>
    <n v="11.2"/>
    <x v="0"/>
    <x v="3"/>
    <x v="0"/>
  </r>
  <r>
    <x v="1233"/>
    <n v="4013456789017"/>
    <x v="0"/>
    <s v="Krmivo a maškrty – Psy"/>
    <s v="Snouty"/>
    <n v="6"/>
    <n v="1"/>
    <s v="NULL"/>
    <s v=""/>
    <d v="2025-04-10T00:00:00"/>
    <n v="0"/>
    <n v="6"/>
    <x v="0"/>
    <x v="3"/>
    <x v="0"/>
  </r>
  <r>
    <x v="1234"/>
    <n v="4040123456795"/>
    <x v="2"/>
    <s v="Starostlivosť a hygiena – Psy"/>
    <s v="Dogissimo"/>
    <n v="8.8000000000000007"/>
    <n v="1"/>
    <s v="NULL"/>
    <s v=""/>
    <d v="2025-04-11T00:00:00"/>
    <n v="0"/>
    <n v="8.8000000000000007"/>
    <x v="0"/>
    <x v="3"/>
    <x v="0"/>
  </r>
  <r>
    <x v="1235"/>
    <n v="4010123456783"/>
    <x v="6"/>
    <s v="Starostlivosť a hygiena – Mačky"/>
    <s v="BellaMeow"/>
    <n v="14"/>
    <n v="2"/>
    <s v="NULL"/>
    <s v=""/>
    <d v="2025-04-11T00:00:00"/>
    <n v="0"/>
    <n v="28"/>
    <x v="0"/>
    <x v="3"/>
    <x v="1"/>
  </r>
  <r>
    <x v="1236"/>
    <n v="4063456789014"/>
    <x v="15"/>
    <s v="Krmivo a maškrty – Psy"/>
    <s v="Pupco"/>
    <n v="36"/>
    <n v="1"/>
    <s v="NULL"/>
    <s v=""/>
    <d v="2025-04-11T00:00:00"/>
    <n v="0"/>
    <n v="36"/>
    <x v="0"/>
    <x v="3"/>
    <x v="0"/>
  </r>
  <r>
    <x v="1237"/>
    <n v="4021234567894"/>
    <x v="18"/>
    <s v="Starostlivosť a hygiena – Mačky"/>
    <s v="PawStyle"/>
    <n v="8"/>
    <n v="1"/>
    <s v="5"/>
    <s v="Funguje skvelo, žiaden zápach."/>
    <d v="2025-04-11T00:00:00"/>
    <n v="0"/>
    <n v="8"/>
    <x v="2"/>
    <x v="3"/>
    <x v="1"/>
  </r>
  <r>
    <x v="1238"/>
    <n v="4056789012345"/>
    <x v="11"/>
    <s v="Krmivo a maškrty – Mačky"/>
    <s v="BellaMeow"/>
    <n v="2.4"/>
    <n v="3"/>
    <s v="NULL"/>
    <s v=""/>
    <d v="2025-04-11T00:00:00"/>
    <n v="0"/>
    <n v="7.1999999999999993"/>
    <x v="0"/>
    <x v="3"/>
    <x v="1"/>
  </r>
  <r>
    <x v="1239"/>
    <n v="4061011223346"/>
    <x v="3"/>
    <s v="Oblečenie a doplnky – Psy"/>
    <s v="Tail Trend"/>
    <n v="19.600000000000001"/>
    <n v="1"/>
    <s v="NULL"/>
    <s v=""/>
    <d v="2025-04-11T00:00:00"/>
    <n v="0"/>
    <n v="19.600000000000001"/>
    <x v="0"/>
    <x v="3"/>
    <x v="0"/>
  </r>
  <r>
    <x v="1240"/>
    <n v="4026677889902"/>
    <x v="12"/>
    <s v="Misky a kŕmne doplnky – Ostatné"/>
    <s v="Pawsitive Gear"/>
    <n v="7.6"/>
    <n v="1"/>
    <s v="NULL"/>
    <s v=""/>
    <d v="2025-04-11T00:00:00"/>
    <n v="0"/>
    <n v="7.6"/>
    <x v="0"/>
    <x v="3"/>
    <x v="2"/>
  </r>
  <r>
    <x v="1241"/>
    <n v="4028899001126"/>
    <x v="1"/>
    <s v="Krmivo a maškrty – Psy"/>
    <s v="Pup Republic"/>
    <n v="2.8"/>
    <n v="3"/>
    <s v="NULL"/>
    <s v=""/>
    <d v="2025-04-11T00:00:00"/>
    <n v="0"/>
    <n v="8.3999999999999986"/>
    <x v="0"/>
    <x v="3"/>
    <x v="0"/>
  </r>
  <r>
    <x v="1242"/>
    <n v="4013456789017"/>
    <x v="0"/>
    <s v="Krmivo a maškrty – Psy"/>
    <s v="Snouty"/>
    <n v="6"/>
    <n v="1"/>
    <s v="NULL"/>
    <s v=""/>
    <d v="2025-04-11T00:00:00"/>
    <n v="0"/>
    <n v="6"/>
    <x v="0"/>
    <x v="3"/>
    <x v="0"/>
  </r>
  <r>
    <x v="1243"/>
    <n v="4040123456795"/>
    <x v="2"/>
    <s v="Starostlivosť a hygiena – Psy"/>
    <s v="Dogissimo"/>
    <n v="8.8000000000000007"/>
    <n v="1"/>
    <s v="NULL"/>
    <s v=""/>
    <d v="2025-04-12T00:00:00"/>
    <n v="0"/>
    <n v="8.8000000000000007"/>
    <x v="0"/>
    <x v="3"/>
    <x v="0"/>
  </r>
  <r>
    <x v="1244"/>
    <n v="4010123456783"/>
    <x v="6"/>
    <s v="Starostlivosť a hygiena – Mačky"/>
    <s v="BellaMeow"/>
    <n v="14"/>
    <n v="1"/>
    <s v="NULL"/>
    <s v=""/>
    <d v="2025-04-12T00:00:00"/>
    <n v="0"/>
    <n v="14"/>
    <x v="0"/>
    <x v="3"/>
    <x v="1"/>
  </r>
  <r>
    <x v="1245"/>
    <n v="4063456789014"/>
    <x v="15"/>
    <s v="Krmivo a maškrty – Psy"/>
    <s v="Pupco"/>
    <n v="36"/>
    <n v="1"/>
    <s v="3"/>
    <s v="NULL"/>
    <d v="2025-04-12T00:00:00"/>
    <n v="0"/>
    <n v="36"/>
    <x v="3"/>
    <x v="3"/>
    <x v="0"/>
  </r>
  <r>
    <x v="1246"/>
    <n v="4021234567894"/>
    <x v="18"/>
    <s v="Starostlivosť a hygiena – Mačky"/>
    <s v="PawStyle"/>
    <n v="8"/>
    <n v="1"/>
    <s v="NULL"/>
    <s v=""/>
    <d v="2025-04-12T00:00:00"/>
    <n v="0"/>
    <n v="8"/>
    <x v="0"/>
    <x v="3"/>
    <x v="1"/>
  </r>
  <r>
    <x v="1247"/>
    <n v="4056789012345"/>
    <x v="11"/>
    <s v="Krmivo a maškrty – Mačky"/>
    <s v="BellaMeow"/>
    <n v="2.4"/>
    <n v="3"/>
    <s v="NULL"/>
    <s v=""/>
    <d v="2025-04-12T00:00:00"/>
    <n v="0"/>
    <n v="7.1999999999999993"/>
    <x v="0"/>
    <x v="3"/>
    <x v="1"/>
  </r>
  <r>
    <x v="1248"/>
    <n v="4061011223346"/>
    <x v="3"/>
    <s v="Oblečenie a doplnky – Psy"/>
    <s v="Tail Trend"/>
    <n v="19.600000000000001"/>
    <n v="1"/>
    <s v="NULL"/>
    <s v=""/>
    <d v="2025-04-12T00:00:00"/>
    <n v="0"/>
    <n v="19.600000000000001"/>
    <x v="0"/>
    <x v="3"/>
    <x v="0"/>
  </r>
  <r>
    <x v="1249"/>
    <n v="4026677889902"/>
    <x v="12"/>
    <s v="Misky a kŕmne doplnky – Ostatné"/>
    <s v="Pawsitive Gear"/>
    <n v="7.6"/>
    <n v="1"/>
    <s v="NULL"/>
    <s v=""/>
    <d v="2025-04-12T00:00:00"/>
    <n v="0"/>
    <n v="7.6"/>
    <x v="0"/>
    <x v="3"/>
    <x v="2"/>
  </r>
  <r>
    <x v="1250"/>
    <n v="4028899001126"/>
    <x v="1"/>
    <s v="Krmivo a maškrty – Psy"/>
    <s v="Pup Republic"/>
    <n v="2.8"/>
    <n v="4"/>
    <s v="NULL"/>
    <s v=""/>
    <d v="2025-04-12T00:00:00"/>
    <n v="0"/>
    <n v="11.2"/>
    <x v="0"/>
    <x v="3"/>
    <x v="0"/>
  </r>
  <r>
    <x v="1251"/>
    <n v="4013456789017"/>
    <x v="0"/>
    <s v="Krmivo a maškrty – Psy"/>
    <s v="Snouty"/>
    <n v="6"/>
    <n v="1"/>
    <s v="NULL"/>
    <s v=""/>
    <d v="2025-04-12T00:00:00"/>
    <n v="0"/>
    <n v="6"/>
    <x v="0"/>
    <x v="3"/>
    <x v="0"/>
  </r>
  <r>
    <x v="1252"/>
    <n v="4040123456795"/>
    <x v="2"/>
    <s v="Starostlivosť a hygiena – Psy"/>
    <s v="Dogissimo"/>
    <n v="8.8000000000000007"/>
    <n v="1"/>
    <s v="NULL"/>
    <s v=""/>
    <d v="2025-04-12T00:00:00"/>
    <n v="0"/>
    <n v="8.8000000000000007"/>
    <x v="0"/>
    <x v="3"/>
    <x v="0"/>
  </r>
  <r>
    <x v="1253"/>
    <n v="4010123456783"/>
    <x v="6"/>
    <s v="Starostlivosť a hygiena – Mačky"/>
    <s v="BellaMeow"/>
    <n v="14"/>
    <n v="2"/>
    <s v="NULL"/>
    <s v=""/>
    <d v="2025-04-12T00:00:00"/>
    <n v="0"/>
    <n v="28"/>
    <x v="0"/>
    <x v="3"/>
    <x v="1"/>
  </r>
  <r>
    <x v="1254"/>
    <n v="4063456789014"/>
    <x v="15"/>
    <s v="Krmivo a maškrty – Psy"/>
    <s v="Pupco"/>
    <n v="36"/>
    <n v="1"/>
    <s v="5"/>
    <s v="Skvelá kvalita."/>
    <d v="2025-04-12T00:00:00"/>
    <n v="0"/>
    <n v="36"/>
    <x v="2"/>
    <x v="3"/>
    <x v="0"/>
  </r>
  <r>
    <x v="1255"/>
    <n v="4021234567894"/>
    <x v="18"/>
    <s v="Starostlivosť a hygiena – Mačky"/>
    <s v="PawStyle"/>
    <n v="8"/>
    <n v="1"/>
    <s v="NULL"/>
    <s v=""/>
    <d v="2025-04-13T00:00:00"/>
    <n v="0"/>
    <n v="8"/>
    <x v="0"/>
    <x v="3"/>
    <x v="1"/>
  </r>
  <r>
    <x v="1256"/>
    <n v="4056789012345"/>
    <x v="11"/>
    <s v="Krmivo a maškrty – Mačky"/>
    <s v="BellaMeow"/>
    <n v="2.4"/>
    <n v="2"/>
    <s v="NULL"/>
    <s v=""/>
    <d v="2025-04-13T00:00:00"/>
    <n v="0"/>
    <n v="4.8"/>
    <x v="0"/>
    <x v="3"/>
    <x v="1"/>
  </r>
  <r>
    <x v="1257"/>
    <n v="4061011223346"/>
    <x v="3"/>
    <s v="Oblečenie a doplnky – Psy"/>
    <s v="Tail Trend"/>
    <n v="19.600000000000001"/>
    <n v="1"/>
    <s v="NULL"/>
    <s v=""/>
    <d v="2025-04-13T00:00:00"/>
    <n v="0"/>
    <n v="19.600000000000001"/>
    <x v="0"/>
    <x v="3"/>
    <x v="0"/>
  </r>
  <r>
    <x v="1258"/>
    <n v="4026677889902"/>
    <x v="12"/>
    <s v="Misky a kŕmne doplnky – Ostatné"/>
    <s v="Pawsitive Gear"/>
    <n v="7.6"/>
    <n v="1"/>
    <s v="NULL"/>
    <s v=""/>
    <d v="2025-04-13T00:00:00"/>
    <n v="0"/>
    <n v="7.6"/>
    <x v="0"/>
    <x v="3"/>
    <x v="2"/>
  </r>
  <r>
    <x v="1259"/>
    <n v="4028899001126"/>
    <x v="1"/>
    <s v="Krmivo a maškrty – Psy"/>
    <s v="Pup Republic"/>
    <n v="2.8"/>
    <n v="5"/>
    <s v="NULL"/>
    <s v=""/>
    <d v="2025-04-13T00:00:00"/>
    <n v="0"/>
    <n v="14"/>
    <x v="0"/>
    <x v="3"/>
    <x v="0"/>
  </r>
  <r>
    <x v="1260"/>
    <n v="4013456789017"/>
    <x v="0"/>
    <s v="Krmivo a maškrty – Psy"/>
    <s v="Snouty"/>
    <n v="6"/>
    <n v="1"/>
    <s v="NULL"/>
    <s v=""/>
    <d v="2025-04-13T00:00:00"/>
    <n v="0"/>
    <n v="6"/>
    <x v="0"/>
    <x v="3"/>
    <x v="0"/>
  </r>
  <r>
    <x v="1261"/>
    <n v="4040123456795"/>
    <x v="2"/>
    <s v="Starostlivosť a hygiena – Psy"/>
    <s v="Dogissimo"/>
    <n v="8.8000000000000007"/>
    <n v="1"/>
    <s v="NULL"/>
    <s v=""/>
    <d v="2025-04-13T00:00:00"/>
    <n v="0"/>
    <n v="8.8000000000000007"/>
    <x v="0"/>
    <x v="3"/>
    <x v="0"/>
  </r>
  <r>
    <x v="1262"/>
    <n v="4010123456783"/>
    <x v="6"/>
    <s v="Starostlivosť a hygiena – Mačky"/>
    <s v="BellaMeow"/>
    <n v="14"/>
    <n v="2"/>
    <s v="NULL"/>
    <s v=""/>
    <d v="2025-04-13T00:00:00"/>
    <n v="0"/>
    <n v="28"/>
    <x v="0"/>
    <x v="3"/>
    <x v="1"/>
  </r>
  <r>
    <x v="1263"/>
    <n v="4063456789014"/>
    <x v="15"/>
    <s v="Krmivo a maškrty – Psy"/>
    <s v="Pupco"/>
    <n v="36"/>
    <n v="1"/>
    <s v="NULL"/>
    <s v=""/>
    <d v="2025-04-13T00:00:00"/>
    <n v="0"/>
    <n v="36"/>
    <x v="0"/>
    <x v="3"/>
    <x v="0"/>
  </r>
  <r>
    <x v="1264"/>
    <n v="4021234567894"/>
    <x v="18"/>
    <s v="Starostlivosť a hygiena – Mačky"/>
    <s v="PawStyle"/>
    <n v="8"/>
    <n v="1"/>
    <s v="NULL"/>
    <s v=""/>
    <d v="2025-04-13T00:00:00"/>
    <n v="0"/>
    <n v="8"/>
    <x v="0"/>
    <x v="3"/>
    <x v="1"/>
  </r>
  <r>
    <x v="1265"/>
    <n v="4056789012345"/>
    <x v="11"/>
    <s v="Krmivo a maškrty – Mačky"/>
    <s v="BellaMeow"/>
    <n v="2.4"/>
    <n v="3"/>
    <s v="4"/>
    <s v="Mačka sa pochutnala."/>
    <d v="2025-04-13T00:00:00"/>
    <n v="0"/>
    <n v="7.1999999999999993"/>
    <x v="1"/>
    <x v="3"/>
    <x v="1"/>
  </r>
  <r>
    <x v="1266"/>
    <n v="4013456789017"/>
    <x v="0"/>
    <s v="Krmivo a maškrty – Psy"/>
    <s v="Snouty"/>
    <n v="6"/>
    <n v="1"/>
    <s v="NULL"/>
    <s v=""/>
    <d v="2025-04-14T00:00:00"/>
    <n v="0"/>
    <n v="6"/>
    <x v="0"/>
    <x v="3"/>
    <x v="0"/>
  </r>
  <r>
    <x v="1266"/>
    <n v="4028899001126"/>
    <x v="1"/>
    <s v="Krmivo a maškrty – Psy"/>
    <s v="Pup Republic"/>
    <n v="2.8"/>
    <n v="3"/>
    <s v="NULL"/>
    <s v=""/>
    <d v="2025-04-14T00:00:00"/>
    <n v="0"/>
    <n v="8.3999999999999986"/>
    <x v="0"/>
    <x v="3"/>
    <x v="0"/>
  </r>
  <r>
    <x v="1267"/>
    <n v="4040123456795"/>
    <x v="2"/>
    <s v="Starostlivosť a hygiena – Psy"/>
    <s v="Dogissimo"/>
    <n v="8.8000000000000007"/>
    <n v="1"/>
    <s v="4"/>
    <s v="Hezky pení, príjemná vôňa."/>
    <d v="2025-04-14T00:00:00"/>
    <n v="0"/>
    <n v="8.8000000000000007"/>
    <x v="1"/>
    <x v="3"/>
    <x v="0"/>
  </r>
  <r>
    <x v="1268"/>
    <n v="4010123456783"/>
    <x v="6"/>
    <s v="Starostlivosť a hygiena – Mačky"/>
    <s v="BellaMeow"/>
    <n v="14"/>
    <n v="1"/>
    <s v="NULL"/>
    <s v=""/>
    <d v="2025-04-14T00:00:00"/>
    <n v="0"/>
    <n v="14"/>
    <x v="0"/>
    <x v="3"/>
    <x v="1"/>
  </r>
  <r>
    <x v="1269"/>
    <n v="4063456789014"/>
    <x v="15"/>
    <s v="Krmivo a maškrty – Psy"/>
    <s v="Pupco"/>
    <n v="36"/>
    <n v="1"/>
    <s v="NULL"/>
    <s v=""/>
    <d v="2025-04-14T00:00:00"/>
    <n v="0"/>
    <n v="36"/>
    <x v="0"/>
    <x v="3"/>
    <x v="0"/>
  </r>
  <r>
    <x v="1270"/>
    <n v="4056789012345"/>
    <x v="11"/>
    <s v="Krmivo a maškrty – Mačky"/>
    <s v="BellaMeow"/>
    <n v="2.4"/>
    <n v="3"/>
    <s v="3"/>
    <s v="Mačka zjedla polovinu."/>
    <d v="2025-04-14T00:00:00"/>
    <n v="0"/>
    <n v="7.1999999999999993"/>
    <x v="3"/>
    <x v="3"/>
    <x v="1"/>
  </r>
  <r>
    <x v="1271"/>
    <n v="4021234567894"/>
    <x v="18"/>
    <s v="Starostlivosť a hygiena – Mačky"/>
    <s v="PawStyle"/>
    <n v="8"/>
    <n v="1"/>
    <s v="NULL"/>
    <s v=""/>
    <d v="2025-04-14T00:00:00"/>
    <n v="0"/>
    <n v="8"/>
    <x v="0"/>
    <x v="3"/>
    <x v="1"/>
  </r>
  <r>
    <x v="1272"/>
    <n v="4061011223346"/>
    <x v="3"/>
    <s v="Oblečenie a doplnky – Psy"/>
    <s v="Tail Trend"/>
    <n v="19.600000000000001"/>
    <n v="1"/>
    <s v="NULL"/>
    <s v=""/>
    <d v="2025-04-15T00:00:00"/>
    <n v="0"/>
    <n v="19.600000000000001"/>
    <x v="0"/>
    <x v="3"/>
    <x v="0"/>
  </r>
  <r>
    <x v="1273"/>
    <n v="4026677889902"/>
    <x v="12"/>
    <s v="Misky a kŕmne doplnky – Ostatné"/>
    <s v="Pawsitive Gear"/>
    <n v="7.6"/>
    <n v="1"/>
    <s v="NULL"/>
    <s v=""/>
    <d v="2025-04-15T00:00:00"/>
    <n v="0"/>
    <n v="7.6"/>
    <x v="0"/>
    <x v="3"/>
    <x v="2"/>
  </r>
  <r>
    <x v="1274"/>
    <n v="4028899001126"/>
    <x v="1"/>
    <s v="Krmivo a maškrty – Psy"/>
    <s v="Pup Republic"/>
    <n v="2.8"/>
    <n v="4"/>
    <s v="5"/>
    <s v="Skvelá chuť, odporúčam."/>
    <d v="2025-04-15T00:00:00"/>
    <n v="0"/>
    <n v="11.2"/>
    <x v="2"/>
    <x v="3"/>
    <x v="0"/>
  </r>
  <r>
    <x v="1275"/>
    <n v="4013456789017"/>
    <x v="0"/>
    <s v="Krmivo a maškrty – Psy"/>
    <s v="Snouty"/>
    <n v="6"/>
    <n v="1"/>
    <s v="NULL"/>
    <s v=""/>
    <d v="2025-04-15T00:00:00"/>
    <n v="0"/>
    <n v="6"/>
    <x v="0"/>
    <x v="3"/>
    <x v="0"/>
  </r>
  <r>
    <x v="1276"/>
    <n v="4040123456795"/>
    <x v="2"/>
    <s v="Starostlivosť a hygiena – Psy"/>
    <s v="Dogissimo"/>
    <n v="8.8000000000000007"/>
    <n v="1"/>
    <s v="NULL"/>
    <s v=""/>
    <d v="2025-04-15T00:00:00"/>
    <n v="0"/>
    <n v="8.8000000000000007"/>
    <x v="0"/>
    <x v="3"/>
    <x v="0"/>
  </r>
  <r>
    <x v="1277"/>
    <n v="4010123456783"/>
    <x v="6"/>
    <s v="Starostlivosť a hygiena – Mačky"/>
    <s v="BellaMeow"/>
    <n v="14"/>
    <n v="2"/>
    <s v="NULL"/>
    <s v=""/>
    <d v="2025-04-15T00:00:00"/>
    <n v="0"/>
    <n v="28"/>
    <x v="0"/>
    <x v="3"/>
    <x v="1"/>
  </r>
  <r>
    <x v="1278"/>
    <n v="4063456789014"/>
    <x v="15"/>
    <s v="Krmivo a maškrty – Psy"/>
    <s v="Pupco"/>
    <n v="36"/>
    <n v="1"/>
    <s v="NULL"/>
    <s v=""/>
    <d v="2025-04-15T00:00:00"/>
    <n v="0"/>
    <n v="36"/>
    <x v="0"/>
    <x v="3"/>
    <x v="0"/>
  </r>
  <r>
    <x v="1279"/>
    <n v="4021234567894"/>
    <x v="18"/>
    <s v="Starostlivosť a hygiena – Mačky"/>
    <s v="PawStyle"/>
    <n v="8"/>
    <n v="1"/>
    <s v="4"/>
    <s v="Odstraní zápach okamžite."/>
    <d v="2025-04-15T00:00:00"/>
    <n v="0"/>
    <n v="8"/>
    <x v="1"/>
    <x v="3"/>
    <x v="1"/>
  </r>
  <r>
    <x v="1280"/>
    <n v="4056789012345"/>
    <x v="11"/>
    <s v="Krmivo a maškrty – Mačky"/>
    <s v="BellaMeow"/>
    <n v="2.4"/>
    <n v="2"/>
    <s v="NULL"/>
    <s v=""/>
    <d v="2025-04-16T00:00:00"/>
    <n v="0"/>
    <n v="4.8"/>
    <x v="0"/>
    <x v="3"/>
    <x v="1"/>
  </r>
  <r>
    <x v="1281"/>
    <n v="4061011223346"/>
    <x v="3"/>
    <s v="Oblečenie a doplnky – Psy"/>
    <s v="Tail Trend"/>
    <n v="19.600000000000001"/>
    <n v="1"/>
    <s v="NULL"/>
    <s v=""/>
    <d v="2025-04-16T00:00:00"/>
    <n v="0"/>
    <n v="19.600000000000001"/>
    <x v="0"/>
    <x v="3"/>
    <x v="0"/>
  </r>
  <r>
    <x v="1282"/>
    <n v="4026677889902"/>
    <x v="12"/>
    <s v="Misky a kŕmne doplnky – Ostatné"/>
    <s v="Pawsitive Gear"/>
    <n v="7.6"/>
    <n v="1"/>
    <s v="NULL"/>
    <s v=""/>
    <d v="2025-04-16T00:00:00"/>
    <n v="0"/>
    <n v="7.6"/>
    <x v="0"/>
    <x v="3"/>
    <x v="2"/>
  </r>
  <r>
    <x v="1283"/>
    <n v="4028899001126"/>
    <x v="1"/>
    <s v="Krmivo a maškrty – Psy"/>
    <s v="Pup Republic"/>
    <n v="2.8"/>
    <n v="3"/>
    <s v="NULL"/>
    <s v=""/>
    <d v="2025-04-16T00:00:00"/>
    <n v="0"/>
    <n v="8.3999999999999986"/>
    <x v="0"/>
    <x v="3"/>
    <x v="0"/>
  </r>
  <r>
    <x v="1284"/>
    <n v="4013456789017"/>
    <x v="0"/>
    <s v="Krmivo a maškrty – Psy"/>
    <s v="Snouty"/>
    <n v="6"/>
    <n v="1"/>
    <s v="4"/>
    <s v="Dobrý pomer cena/výkon."/>
    <d v="2025-04-16T00:00:00"/>
    <n v="0"/>
    <n v="6"/>
    <x v="1"/>
    <x v="3"/>
    <x v="0"/>
  </r>
  <r>
    <x v="1285"/>
    <n v="4040123456795"/>
    <x v="2"/>
    <s v="Starostlivosť a hygiena – Psy"/>
    <s v="Dogissimo"/>
    <n v="8.8000000000000007"/>
    <n v="1"/>
    <s v="NULL"/>
    <s v=""/>
    <d v="2025-04-16T00:00:00"/>
    <n v="0"/>
    <n v="8.8000000000000007"/>
    <x v="0"/>
    <x v="3"/>
    <x v="0"/>
  </r>
  <r>
    <x v="1286"/>
    <n v="4010123456783"/>
    <x v="6"/>
    <s v="Starostlivosť a hygiena – Mačky"/>
    <s v="BellaMeow"/>
    <n v="14"/>
    <n v="1"/>
    <s v="NULL"/>
    <s v=""/>
    <d v="2025-04-16T00:00:00"/>
    <n v="0"/>
    <n v="14"/>
    <x v="0"/>
    <x v="3"/>
    <x v="1"/>
  </r>
  <r>
    <x v="1287"/>
    <n v="4063456789014"/>
    <x v="15"/>
    <s v="Krmivo a maškrty – Psy"/>
    <s v="Pupco"/>
    <n v="36"/>
    <n v="1"/>
    <s v="NULL"/>
    <s v=""/>
    <d v="2025-04-16T00:00:00"/>
    <n v="0"/>
    <n v="36"/>
    <x v="0"/>
    <x v="3"/>
    <x v="0"/>
  </r>
  <r>
    <x v="1288"/>
    <n v="4021234567894"/>
    <x v="18"/>
    <s v="Starostlivosť a hygiena – Mačky"/>
    <s v="PawStyle"/>
    <n v="8"/>
    <n v="1"/>
    <s v="NULL"/>
    <s v=""/>
    <d v="2025-04-16T00:00:00"/>
    <n v="0"/>
    <n v="8"/>
    <x v="0"/>
    <x v="3"/>
    <x v="1"/>
  </r>
  <r>
    <x v="1289"/>
    <n v="4056789012345"/>
    <x v="11"/>
    <s v="Krmivo a maškrty – Mačky"/>
    <s v="BellaMeow"/>
    <n v="2.4"/>
    <n v="3"/>
    <s v="3"/>
    <s v="Trochu suchá paštika."/>
    <d v="2025-04-17T00:00:00"/>
    <n v="0"/>
    <n v="7.1999999999999993"/>
    <x v="3"/>
    <x v="3"/>
    <x v="1"/>
  </r>
  <r>
    <x v="1290"/>
    <n v="4061011223346"/>
    <x v="3"/>
    <s v="Oblečenie a doplnky – Psy"/>
    <s v="Tail Trend"/>
    <n v="19.600000000000001"/>
    <n v="1"/>
    <s v="NULL"/>
    <s v=""/>
    <d v="2025-04-17T00:00:00"/>
    <n v="0"/>
    <n v="19.600000000000001"/>
    <x v="0"/>
    <x v="3"/>
    <x v="0"/>
  </r>
  <r>
    <x v="1291"/>
    <n v="4026677889902"/>
    <x v="12"/>
    <s v="Misky a kŕmne doplnky – Ostatné"/>
    <s v="Pawsitive Gear"/>
    <n v="7.6"/>
    <n v="1"/>
    <s v="NULL"/>
    <s v=""/>
    <d v="2025-04-17T00:00:00"/>
    <n v="0"/>
    <n v="7.6"/>
    <x v="0"/>
    <x v="3"/>
    <x v="2"/>
  </r>
  <r>
    <x v="1292"/>
    <n v="4028899001126"/>
    <x v="1"/>
    <s v="Krmivo a maškrty – Psy"/>
    <s v="Pup Republic"/>
    <n v="2.8"/>
    <n v="4"/>
    <s v="NULL"/>
    <s v=""/>
    <d v="2025-04-17T00:00:00"/>
    <n v="0"/>
    <n v="11.2"/>
    <x v="0"/>
    <x v="3"/>
    <x v="0"/>
  </r>
  <r>
    <x v="1293"/>
    <n v="4013456789017"/>
    <x v="0"/>
    <s v="Krmivo a maškrty – Psy"/>
    <s v="Snouty"/>
    <n v="6"/>
    <n v="2"/>
    <s v="NULL"/>
    <s v=""/>
    <d v="2025-04-17T00:00:00"/>
    <n v="0"/>
    <n v="12"/>
    <x v="0"/>
    <x v="3"/>
    <x v="0"/>
  </r>
  <r>
    <x v="1294"/>
    <n v="4040123456795"/>
    <x v="2"/>
    <s v="Starostlivosť a hygiena – Psy"/>
    <s v="Dogissimo"/>
    <n v="8.8000000000000007"/>
    <n v="1"/>
    <s v="NULL"/>
    <s v=""/>
    <d v="2025-04-17T00:00:00"/>
    <n v="0"/>
    <n v="8.8000000000000007"/>
    <x v="0"/>
    <x v="3"/>
    <x v="0"/>
  </r>
  <r>
    <x v="1295"/>
    <n v="4010123456783"/>
    <x v="6"/>
    <s v="Starostlivosť a hygiena – Mačky"/>
    <s v="BellaMeow"/>
    <n v="14"/>
    <n v="1"/>
    <s v="NULL"/>
    <s v=""/>
    <d v="2025-04-17T00:00:00"/>
    <n v="0"/>
    <n v="14"/>
    <x v="0"/>
    <x v="3"/>
    <x v="1"/>
  </r>
  <r>
    <x v="1296"/>
    <n v="4063456789014"/>
    <x v="15"/>
    <s v="Krmivo a maškrty – Psy"/>
    <s v="Pupco"/>
    <n v="36"/>
    <n v="1"/>
    <s v="5"/>
    <s v="Pes vyzerá zdravo a má energii."/>
    <d v="2025-04-17T00:00:00"/>
    <n v="0"/>
    <n v="36"/>
    <x v="2"/>
    <x v="3"/>
    <x v="0"/>
  </r>
  <r>
    <x v="1297"/>
    <n v="4021234567894"/>
    <x v="18"/>
    <s v="Starostlivosť a hygiena – Mačky"/>
    <s v="PawStyle"/>
    <n v="8"/>
    <n v="1"/>
    <s v="NULL"/>
    <s v=""/>
    <d v="2025-04-18T00:00:00"/>
    <n v="0"/>
    <n v="8"/>
    <x v="0"/>
    <x v="3"/>
    <x v="1"/>
  </r>
  <r>
    <x v="1298"/>
    <n v="4056789012345"/>
    <x v="11"/>
    <s v="Krmivo a maškrty – Mačky"/>
    <s v="BellaMeow"/>
    <n v="2.4"/>
    <n v="2"/>
    <s v="NULL"/>
    <s v=""/>
    <d v="2025-04-18T00:00:00"/>
    <n v="0"/>
    <n v="4.8"/>
    <x v="0"/>
    <x v="3"/>
    <x v="1"/>
  </r>
  <r>
    <x v="1299"/>
    <n v="4061011223346"/>
    <x v="3"/>
    <s v="Oblečenie a doplnky – Psy"/>
    <s v="Tail Trend"/>
    <n v="19.600000000000001"/>
    <n v="1"/>
    <s v="NULL"/>
    <s v=""/>
    <d v="2025-04-18T00:00:00"/>
    <n v="0"/>
    <n v="19.600000000000001"/>
    <x v="0"/>
    <x v="3"/>
    <x v="0"/>
  </r>
  <r>
    <x v="1300"/>
    <n v="4026677889902"/>
    <x v="12"/>
    <s v="Misky a kŕmne doplnky – Ostatné"/>
    <s v="Pawsitive Gear"/>
    <n v="7.6"/>
    <n v="1"/>
    <s v="NULL"/>
    <s v=""/>
    <d v="2025-04-18T00:00:00"/>
    <n v="0"/>
    <n v="7.6"/>
    <x v="0"/>
    <x v="3"/>
    <x v="2"/>
  </r>
  <r>
    <x v="1301"/>
    <n v="4028899001126"/>
    <x v="1"/>
    <s v="Krmivo a maškrty – Psy"/>
    <s v="Pup Republic"/>
    <n v="2.8"/>
    <n v="3"/>
    <s v="NULL"/>
    <s v=""/>
    <d v="2025-04-18T00:00:00"/>
    <n v="0"/>
    <n v="8.3999999999999986"/>
    <x v="0"/>
    <x v="3"/>
    <x v="0"/>
  </r>
  <r>
    <x v="1302"/>
    <n v="4013456789017"/>
    <x v="0"/>
    <s v="Krmivo a maškrty – Psy"/>
    <s v="Snouty"/>
    <n v="6"/>
    <n v="1"/>
    <s v="NULL"/>
    <s v=""/>
    <d v="2025-04-18T00:00:00"/>
    <n v="0"/>
    <n v="6"/>
    <x v="0"/>
    <x v="3"/>
    <x v="0"/>
  </r>
  <r>
    <x v="1303"/>
    <n v="4040123456795"/>
    <x v="2"/>
    <s v="Starostlivosť a hygiena – Psy"/>
    <s v="Dogissimo"/>
    <n v="8.8000000000000007"/>
    <n v="1"/>
    <s v="NULL"/>
    <s v=""/>
    <d v="2025-04-18T00:00:00"/>
    <n v="0"/>
    <n v="8.8000000000000007"/>
    <x v="0"/>
    <x v="3"/>
    <x v="0"/>
  </r>
  <r>
    <x v="1304"/>
    <n v="4010123456783"/>
    <x v="6"/>
    <s v="Starostlivosť a hygiena – Mačky"/>
    <s v="BellaMeow"/>
    <n v="14"/>
    <n v="2"/>
    <s v="NULL"/>
    <s v=""/>
    <d v="2025-04-18T00:00:00"/>
    <n v="0"/>
    <n v="28"/>
    <x v="0"/>
    <x v="3"/>
    <x v="1"/>
  </r>
  <r>
    <x v="1305"/>
    <n v="4063456789014"/>
    <x v="15"/>
    <s v="Krmivo a maškrty – Psy"/>
    <s v="Pupco"/>
    <n v="36"/>
    <n v="1"/>
    <s v="NULL"/>
    <s v=""/>
    <d v="2025-04-18T00:00:00"/>
    <n v="0"/>
    <n v="36"/>
    <x v="0"/>
    <x v="3"/>
    <x v="0"/>
  </r>
  <r>
    <x v="1306"/>
    <n v="4021234567894"/>
    <x v="18"/>
    <s v="Starostlivosť a hygiena – Mačky"/>
    <s v="PawStyle"/>
    <n v="8"/>
    <n v="1"/>
    <s v="NULL"/>
    <s v=""/>
    <d v="2025-04-19T00:00:00"/>
    <n v="0"/>
    <n v="8"/>
    <x v="0"/>
    <x v="3"/>
    <x v="1"/>
  </r>
  <r>
    <x v="1307"/>
    <n v="4056789012345"/>
    <x v="11"/>
    <s v="Krmivo a maškrty – Mačky"/>
    <s v="BellaMeow"/>
    <n v="2.4"/>
    <n v="3"/>
    <s v="NULL"/>
    <s v=""/>
    <d v="2025-04-19T00:00:00"/>
    <n v="0"/>
    <n v="7.1999999999999993"/>
    <x v="0"/>
    <x v="3"/>
    <x v="1"/>
  </r>
  <r>
    <x v="1308"/>
    <n v="4061011223346"/>
    <x v="3"/>
    <s v="Oblečenie a doplnky – Psy"/>
    <s v="Tail Trend"/>
    <n v="19.600000000000001"/>
    <n v="1"/>
    <s v="NULL"/>
    <s v=""/>
    <d v="2025-04-19T00:00:00"/>
    <n v="0"/>
    <n v="19.600000000000001"/>
    <x v="0"/>
    <x v="3"/>
    <x v="0"/>
  </r>
  <r>
    <x v="1309"/>
    <n v="4026677889902"/>
    <x v="12"/>
    <s v="Misky a kŕmne doplnky – Ostatné"/>
    <s v="Pawsitive Gear"/>
    <n v="7.6"/>
    <n v="1"/>
    <s v="NULL"/>
    <s v=""/>
    <d v="2025-04-19T00:00:00"/>
    <n v="0"/>
    <n v="7.6"/>
    <x v="0"/>
    <x v="3"/>
    <x v="2"/>
  </r>
  <r>
    <x v="1310"/>
    <n v="4028899001126"/>
    <x v="1"/>
    <s v="Krmivo a maškrty – Psy"/>
    <s v="Pup Republic"/>
    <n v="2.8"/>
    <n v="5"/>
    <s v="4"/>
    <s v="Obľúbené krmivo."/>
    <d v="2025-04-19T00:00:00"/>
    <n v="0"/>
    <n v="14"/>
    <x v="1"/>
    <x v="3"/>
    <x v="0"/>
  </r>
  <r>
    <x v="1311"/>
    <n v="4013456789017"/>
    <x v="0"/>
    <s v="Krmivo a maškrty – Psy"/>
    <s v="Snouty"/>
    <n v="6"/>
    <n v="2"/>
    <s v="NULL"/>
    <s v=""/>
    <d v="2025-04-19T00:00:00"/>
    <n v="0"/>
    <n v="12"/>
    <x v="0"/>
    <x v="3"/>
    <x v="0"/>
  </r>
  <r>
    <x v="1312"/>
    <n v="4040123456795"/>
    <x v="2"/>
    <s v="Starostlivosť a hygiena – Psy"/>
    <s v="Dogissimo"/>
    <n v="8.8000000000000007"/>
    <n v="1"/>
    <s v="NULL"/>
    <s v=""/>
    <d v="2025-04-19T00:00:00"/>
    <n v="0"/>
    <n v="8.8000000000000007"/>
    <x v="0"/>
    <x v="3"/>
    <x v="0"/>
  </r>
  <r>
    <x v="1313"/>
    <n v="4010123456783"/>
    <x v="6"/>
    <s v="Starostlivosť a hygiena – Mačky"/>
    <s v="BellaMeow"/>
    <n v="14"/>
    <n v="2"/>
    <s v="NULL"/>
    <s v=""/>
    <d v="2025-04-19T00:00:00"/>
    <n v="0"/>
    <n v="28"/>
    <x v="0"/>
    <x v="3"/>
    <x v="1"/>
  </r>
  <r>
    <x v="1314"/>
    <n v="4063456789014"/>
    <x v="15"/>
    <s v="Krmivo a maškrty – Psy"/>
    <s v="Pupco"/>
    <n v="36"/>
    <n v="1"/>
    <s v="NULL"/>
    <s v=""/>
    <d v="2025-04-19T00:00:00"/>
    <n v="0"/>
    <n v="36"/>
    <x v="0"/>
    <x v="3"/>
    <x v="0"/>
  </r>
  <r>
    <x v="1315"/>
    <n v="4028899001126"/>
    <x v="1"/>
    <s v="Krmivo a maškrty – Psy"/>
    <s v="Pup Republic"/>
    <n v="2.8"/>
    <n v="3"/>
    <s v="NULL"/>
    <s v=""/>
    <d v="2025-04-20T00:00:00"/>
    <n v="0"/>
    <n v="8.3999999999999986"/>
    <x v="0"/>
    <x v="3"/>
    <x v="0"/>
  </r>
  <r>
    <x v="1316"/>
    <n v="4013456789017"/>
    <x v="0"/>
    <s v="Krmivo a maškrty – Psy"/>
    <s v="Snouty"/>
    <n v="6"/>
    <n v="1"/>
    <s v="NULL"/>
    <s v=""/>
    <d v="2025-04-20T00:00:00"/>
    <n v="0"/>
    <n v="6"/>
    <x v="0"/>
    <x v="3"/>
    <x v="0"/>
  </r>
  <r>
    <x v="1317"/>
    <n v="4040123456795"/>
    <x v="2"/>
    <s v="Starostlivosť a hygiena – Psy"/>
    <s v="Dogissimo"/>
    <n v="8.8000000000000007"/>
    <n v="1"/>
    <s v="4"/>
    <s v="Dobre čistí srsť, jemná vôňa."/>
    <d v="2025-04-20T00:00:00"/>
    <n v="0"/>
    <n v="8.8000000000000007"/>
    <x v="1"/>
    <x v="3"/>
    <x v="0"/>
  </r>
  <r>
    <x v="1318"/>
    <n v="4010123456783"/>
    <x v="6"/>
    <s v="Starostlivosť a hygiena – Mačky"/>
    <s v="BellaMeow"/>
    <n v="14"/>
    <n v="2"/>
    <s v="NULL"/>
    <s v=""/>
    <d v="2025-04-20T00:00:00"/>
    <n v="0"/>
    <n v="28"/>
    <x v="0"/>
    <x v="3"/>
    <x v="1"/>
  </r>
  <r>
    <x v="1319"/>
    <n v="4063456789014"/>
    <x v="15"/>
    <s v="Krmivo a maškrty – Psy"/>
    <s v="Pupco"/>
    <n v="36"/>
    <n v="1"/>
    <s v="NULL"/>
    <s v=""/>
    <d v="2025-04-20T00:00:00"/>
    <n v="0"/>
    <n v="36"/>
    <x v="0"/>
    <x v="3"/>
    <x v="0"/>
  </r>
  <r>
    <x v="1320"/>
    <n v="4021234567894"/>
    <x v="18"/>
    <s v="Starostlivosť a hygiena – Mačky"/>
    <s v="PawStyle"/>
    <n v="8"/>
    <n v="1"/>
    <s v="NULL"/>
    <s v=""/>
    <d v="2025-04-20T00:00:00"/>
    <n v="0"/>
    <n v="8"/>
    <x v="0"/>
    <x v="3"/>
    <x v="1"/>
  </r>
  <r>
    <x v="1321"/>
    <n v="4056789012345"/>
    <x v="11"/>
    <s v="Krmivo a maškrty – Mačky"/>
    <s v="BellaMeow"/>
    <n v="2.4"/>
    <n v="3"/>
    <s v="5"/>
    <s v="Výborná chuť, mačka spokojená."/>
    <d v="2025-04-21T00:00:00"/>
    <n v="0"/>
    <n v="7.1999999999999993"/>
    <x v="2"/>
    <x v="3"/>
    <x v="1"/>
  </r>
  <r>
    <x v="1322"/>
    <n v="4061011223346"/>
    <x v="3"/>
    <s v="Oblečenie a doplnky – Psy"/>
    <s v="Tail Trend"/>
    <n v="19.600000000000001"/>
    <n v="1"/>
    <s v="NULL"/>
    <s v=""/>
    <d v="2025-04-21T00:00:00"/>
    <n v="0"/>
    <n v="19.600000000000001"/>
    <x v="0"/>
    <x v="3"/>
    <x v="0"/>
  </r>
  <r>
    <x v="1323"/>
    <n v="4026677889902"/>
    <x v="12"/>
    <s v="Misky a kŕmne doplnky – Ostatné"/>
    <s v="Pawsitive Gear"/>
    <n v="7.6"/>
    <n v="1"/>
    <s v="NULL"/>
    <s v=""/>
    <d v="2025-04-21T00:00:00"/>
    <n v="0"/>
    <n v="7.6"/>
    <x v="0"/>
    <x v="3"/>
    <x v="2"/>
  </r>
  <r>
    <x v="1324"/>
    <n v="4028899001126"/>
    <x v="1"/>
    <s v="Krmivo a maškrty – Psy"/>
    <s v="Pup Republic"/>
    <n v="2.8"/>
    <n v="5"/>
    <s v="NULL"/>
    <s v=""/>
    <d v="2025-04-21T00:00:00"/>
    <n v="0"/>
    <n v="14"/>
    <x v="0"/>
    <x v="3"/>
    <x v="0"/>
  </r>
  <r>
    <x v="1325"/>
    <n v="4013456789017"/>
    <x v="0"/>
    <s v="Krmivo a maškrty – Psy"/>
    <s v="Snouty"/>
    <n v="6"/>
    <n v="1"/>
    <s v="NULL"/>
    <s v=""/>
    <d v="2025-04-21T00:00:00"/>
    <n v="0"/>
    <n v="6"/>
    <x v="0"/>
    <x v="3"/>
    <x v="0"/>
  </r>
  <r>
    <x v="1326"/>
    <n v="4040123456795"/>
    <x v="2"/>
    <s v="Starostlivosť a hygiena – Psy"/>
    <s v="Dogissimo"/>
    <n v="8.8000000000000007"/>
    <n v="1"/>
    <s v="NULL"/>
    <s v=""/>
    <d v="2025-04-21T00:00:00"/>
    <n v="0"/>
    <n v="8.8000000000000007"/>
    <x v="0"/>
    <x v="3"/>
    <x v="0"/>
  </r>
  <r>
    <x v="1327"/>
    <n v="4010123456783"/>
    <x v="6"/>
    <s v="Starostlivosť a hygiena – Mačky"/>
    <s v="BellaMeow"/>
    <n v="14"/>
    <n v="1"/>
    <s v="3"/>
    <s v="Trochu prašné, ale OK."/>
    <d v="2025-04-21T00:00:00"/>
    <n v="0"/>
    <n v="14"/>
    <x v="3"/>
    <x v="3"/>
    <x v="1"/>
  </r>
  <r>
    <x v="1328"/>
    <n v="4063456789014"/>
    <x v="15"/>
    <s v="Krmivo a maškrty – Psy"/>
    <s v="Pupco"/>
    <n v="36"/>
    <n v="1"/>
    <s v="NULL"/>
    <s v=""/>
    <d v="2025-04-21T00:00:00"/>
    <n v="0"/>
    <n v="36"/>
    <x v="0"/>
    <x v="3"/>
    <x v="0"/>
  </r>
  <r>
    <x v="1329"/>
    <n v="4021234567894"/>
    <x v="18"/>
    <s v="Starostlivosť a hygiena – Mačky"/>
    <s v="PawStyle"/>
    <n v="8"/>
    <n v="1"/>
    <s v="NULL"/>
    <s v=""/>
    <d v="2025-04-22T00:00:00"/>
    <n v="0"/>
    <n v="8"/>
    <x v="0"/>
    <x v="3"/>
    <x v="1"/>
  </r>
  <r>
    <x v="1330"/>
    <n v="4056789012345"/>
    <x v="11"/>
    <s v="Krmivo a maškrty – Mačky"/>
    <s v="BellaMeow"/>
    <n v="2.4"/>
    <n v="2"/>
    <s v="NULL"/>
    <s v=""/>
    <d v="2025-04-22T00:00:00"/>
    <n v="0"/>
    <n v="4.8"/>
    <x v="0"/>
    <x v="3"/>
    <x v="1"/>
  </r>
  <r>
    <x v="1331"/>
    <n v="4061011223346"/>
    <x v="3"/>
    <s v="Oblečenie a doplnky – Psy"/>
    <s v="Tail Trend"/>
    <n v="19.600000000000001"/>
    <n v="1"/>
    <s v="NULL"/>
    <s v=""/>
    <d v="2025-04-22T00:00:00"/>
    <n v="0"/>
    <n v="19.600000000000001"/>
    <x v="0"/>
    <x v="3"/>
    <x v="0"/>
  </r>
  <r>
    <x v="1332"/>
    <n v="4026677889902"/>
    <x v="12"/>
    <s v="Misky a kŕmne doplnky – Ostatné"/>
    <s v="Pawsitive Gear"/>
    <n v="7.6"/>
    <n v="1"/>
    <s v="NULL"/>
    <s v=""/>
    <d v="2025-04-22T00:00:00"/>
    <n v="0"/>
    <n v="7.6"/>
    <x v="0"/>
    <x v="3"/>
    <x v="2"/>
  </r>
  <r>
    <x v="1333"/>
    <n v="4028899001126"/>
    <x v="1"/>
    <s v="Krmivo a maškrty – Psy"/>
    <s v="Pup Republic"/>
    <n v="2.8"/>
    <n v="3"/>
    <s v="4"/>
    <s v="Pes spokojen, rychlé dodání."/>
    <d v="2025-04-22T00:00:00"/>
    <n v="0"/>
    <n v="8.3999999999999986"/>
    <x v="1"/>
    <x v="3"/>
    <x v="0"/>
  </r>
  <r>
    <x v="1334"/>
    <n v="4013456789017"/>
    <x v="0"/>
    <s v="Krmivo a maškrty – Psy"/>
    <s v="Snouty"/>
    <n v="6"/>
    <n v="1"/>
    <s v="NULL"/>
    <s v=""/>
    <d v="2025-04-22T00:00:00"/>
    <n v="0"/>
    <n v="6"/>
    <x v="0"/>
    <x v="3"/>
    <x v="0"/>
  </r>
  <r>
    <x v="1335"/>
    <n v="4040123456795"/>
    <x v="2"/>
    <s v="Starostlivosť a hygiena – Psy"/>
    <s v="Dogissimo"/>
    <n v="8.8000000000000007"/>
    <n v="1"/>
    <s v="NULL"/>
    <s v=""/>
    <d v="2025-04-22T00:00:00"/>
    <n v="0"/>
    <n v="8.8000000000000007"/>
    <x v="0"/>
    <x v="3"/>
    <x v="0"/>
  </r>
  <r>
    <x v="1336"/>
    <n v="4010123456783"/>
    <x v="6"/>
    <s v="Starostlivosť a hygiena – Mačky"/>
    <s v="BellaMeow"/>
    <n v="14"/>
    <n v="2"/>
    <s v="NULL"/>
    <s v=""/>
    <d v="2025-04-22T00:00:00"/>
    <n v="0"/>
    <n v="28"/>
    <x v="0"/>
    <x v="3"/>
    <x v="1"/>
  </r>
  <r>
    <x v="1337"/>
    <n v="4063456789014"/>
    <x v="15"/>
    <s v="Krmivo a maškrty – Psy"/>
    <s v="Pupco"/>
    <n v="36"/>
    <n v="1"/>
    <s v="NULL"/>
    <s v=""/>
    <d v="2025-04-23T00:00:00"/>
    <n v="0"/>
    <n v="36"/>
    <x v="0"/>
    <x v="3"/>
    <x v="0"/>
  </r>
  <r>
    <x v="1338"/>
    <n v="4021234567894"/>
    <x v="18"/>
    <s v="Starostlivosť a hygiena – Mačky"/>
    <s v="PawStyle"/>
    <n v="8"/>
    <n v="1"/>
    <s v="5"/>
    <s v="Najlepšie čo som mal, odporúčam!"/>
    <d v="2025-04-23T00:00:00"/>
    <n v="0"/>
    <n v="8"/>
    <x v="2"/>
    <x v="3"/>
    <x v="1"/>
  </r>
  <r>
    <x v="1339"/>
    <n v="4056789012345"/>
    <x v="11"/>
    <s v="Krmivo a maškrty – Mačky"/>
    <s v="BellaMeow"/>
    <n v="2.4"/>
    <n v="3"/>
    <s v="NULL"/>
    <s v=""/>
    <d v="2025-04-23T00:00:00"/>
    <n v="0"/>
    <n v="7.1999999999999993"/>
    <x v="0"/>
    <x v="3"/>
    <x v="1"/>
  </r>
  <r>
    <x v="1340"/>
    <n v="4061011223346"/>
    <x v="3"/>
    <s v="Oblečenie a doplnky – Psy"/>
    <s v="Tail Trend"/>
    <n v="19.600000000000001"/>
    <n v="1"/>
    <s v="NULL"/>
    <s v=""/>
    <d v="2025-04-23T00:00:00"/>
    <n v="0"/>
    <n v="19.600000000000001"/>
    <x v="0"/>
    <x v="3"/>
    <x v="0"/>
  </r>
  <r>
    <x v="1341"/>
    <n v="4026677889902"/>
    <x v="12"/>
    <s v="Misky a kŕmne doplnky – Ostatné"/>
    <s v="Pawsitive Gear"/>
    <n v="7.6"/>
    <n v="1"/>
    <s v="NULL"/>
    <s v=""/>
    <d v="2025-04-23T00:00:00"/>
    <n v="0"/>
    <n v="7.6"/>
    <x v="0"/>
    <x v="3"/>
    <x v="2"/>
  </r>
  <r>
    <x v="1342"/>
    <n v="4028899001126"/>
    <x v="1"/>
    <s v="Krmivo a maškrty – Psy"/>
    <s v="Pup Republic"/>
    <n v="2.8"/>
    <n v="4"/>
    <s v="NULL"/>
    <s v=""/>
    <d v="2025-04-23T00:00:00"/>
    <n v="0"/>
    <n v="11.2"/>
    <x v="0"/>
    <x v="3"/>
    <x v="0"/>
  </r>
  <r>
    <x v="1343"/>
    <n v="4013456789017"/>
    <x v="0"/>
    <s v="Krmivo a maškrty – Psy"/>
    <s v="Snouty"/>
    <n v="6"/>
    <n v="1"/>
    <s v="NULL"/>
    <s v=""/>
    <d v="2025-04-23T00:00:00"/>
    <n v="0"/>
    <n v="6"/>
    <x v="0"/>
    <x v="3"/>
    <x v="0"/>
  </r>
  <r>
    <x v="1344"/>
    <n v="4040123456795"/>
    <x v="2"/>
    <s v="Starostlivosť a hygiena – Psy"/>
    <s v="Dogissimo"/>
    <n v="8.8000000000000007"/>
    <n v="1"/>
    <s v="NULL"/>
    <s v=""/>
    <d v="2025-04-23T00:00:00"/>
    <n v="0"/>
    <n v="8.8000000000000007"/>
    <x v="0"/>
    <x v="3"/>
    <x v="0"/>
  </r>
  <r>
    <x v="1345"/>
    <n v="4010123456783"/>
    <x v="6"/>
    <s v="Starostlivosť a hygiena – Mačky"/>
    <s v="BellaMeow"/>
    <n v="14"/>
    <n v="1"/>
    <s v="NULL"/>
    <s v=""/>
    <d v="2025-04-23T00:00:00"/>
    <n v="0"/>
    <n v="14"/>
    <x v="0"/>
    <x v="3"/>
    <x v="1"/>
  </r>
  <r>
    <x v="1346"/>
    <n v="4063456789014"/>
    <x v="15"/>
    <s v="Krmivo a maškrty – Psy"/>
    <s v="Pupco"/>
    <n v="36"/>
    <n v="1"/>
    <s v="5"/>
    <s v="Skvelá granuly, pes ju zbožňuje."/>
    <d v="2025-04-23T00:00:00"/>
    <n v="0"/>
    <n v="36"/>
    <x v="2"/>
    <x v="3"/>
    <x v="0"/>
  </r>
  <r>
    <x v="1347"/>
    <n v="4021234567894"/>
    <x v="18"/>
    <s v="Starostlivosť a hygiena – Mačky"/>
    <s v="PawStyle"/>
    <n v="8"/>
    <n v="1"/>
    <s v="NULL"/>
    <s v=""/>
    <d v="2025-04-24T00:00:00"/>
    <n v="0"/>
    <n v="8"/>
    <x v="0"/>
    <x v="3"/>
    <x v="1"/>
  </r>
  <r>
    <x v="1348"/>
    <n v="4056789012345"/>
    <x v="11"/>
    <s v="Krmivo a maškrty – Mačky"/>
    <s v="BellaMeow"/>
    <n v="2.4"/>
    <n v="3"/>
    <s v="NULL"/>
    <s v=""/>
    <d v="2025-04-24T00:00:00"/>
    <n v="0"/>
    <n v="7.1999999999999993"/>
    <x v="0"/>
    <x v="3"/>
    <x v="1"/>
  </r>
  <r>
    <x v="1349"/>
    <n v="4061011223346"/>
    <x v="3"/>
    <s v="Oblečenie a doplnky – Psy"/>
    <s v="Tail Trend"/>
    <n v="19.600000000000001"/>
    <n v="1"/>
    <s v="NULL"/>
    <s v=""/>
    <d v="2025-04-24T00:00:00"/>
    <n v="0"/>
    <n v="19.600000000000001"/>
    <x v="0"/>
    <x v="3"/>
    <x v="0"/>
  </r>
  <r>
    <x v="1350"/>
    <n v="4026677889902"/>
    <x v="12"/>
    <s v="Misky a kŕmne doplnky – Ostatné"/>
    <s v="Pawsitive Gear"/>
    <n v="7.6"/>
    <n v="1"/>
    <s v="NULL"/>
    <s v=""/>
    <d v="2025-04-24T00:00:00"/>
    <n v="0"/>
    <n v="7.6"/>
    <x v="0"/>
    <x v="3"/>
    <x v="2"/>
  </r>
  <r>
    <x v="1351"/>
    <n v="4028899001126"/>
    <x v="1"/>
    <s v="Krmivo a maškrty – Psy"/>
    <s v="Pup Republic"/>
    <n v="2.8"/>
    <n v="3"/>
    <s v="NULL"/>
    <s v=""/>
    <d v="2025-04-24T00:00:00"/>
    <n v="0"/>
    <n v="8.3999999999999986"/>
    <x v="0"/>
    <x v="3"/>
    <x v="0"/>
  </r>
  <r>
    <x v="1352"/>
    <n v="4013456789017"/>
    <x v="0"/>
    <s v="Krmivo a maškrty – Psy"/>
    <s v="Snouty"/>
    <n v="6"/>
    <n v="1"/>
    <s v="4"/>
    <s v="Pes je má rád, dobré na tréning."/>
    <d v="2025-04-24T00:00:00"/>
    <n v="0"/>
    <n v="6"/>
    <x v="1"/>
    <x v="3"/>
    <x v="0"/>
  </r>
  <r>
    <x v="1353"/>
    <n v="4040123456795"/>
    <x v="2"/>
    <s v="Starostlivosť a hygiena – Psy"/>
    <s v="Dogissimo"/>
    <n v="8.8000000000000007"/>
    <n v="1"/>
    <s v="NULL"/>
    <s v=""/>
    <d v="2025-04-24T00:00:00"/>
    <n v="0"/>
    <n v="8.8000000000000007"/>
    <x v="0"/>
    <x v="3"/>
    <x v="0"/>
  </r>
  <r>
    <x v="1354"/>
    <n v="4010123456783"/>
    <x v="6"/>
    <s v="Starostlivosť a hygiena – Mačky"/>
    <s v="BellaMeow"/>
    <n v="14"/>
    <n v="2"/>
    <s v="NULL"/>
    <s v=""/>
    <d v="2025-04-24T00:00:00"/>
    <n v="0"/>
    <n v="28"/>
    <x v="0"/>
    <x v="3"/>
    <x v="1"/>
  </r>
  <r>
    <x v="1355"/>
    <n v="4063456789014"/>
    <x v="15"/>
    <s v="Krmivo a maškrty – Psy"/>
    <s v="Pupco"/>
    <n v="36"/>
    <n v="1"/>
    <s v="NULL"/>
    <s v=""/>
    <d v="2025-04-24T00:00:00"/>
    <n v="0"/>
    <n v="36"/>
    <x v="0"/>
    <x v="3"/>
    <x v="0"/>
  </r>
  <r>
    <x v="1356"/>
    <n v="4021234567894"/>
    <x v="18"/>
    <s v="Starostlivosť a hygiena – Mačky"/>
    <s v="PawStyle"/>
    <n v="8"/>
    <n v="1"/>
    <s v="NULL"/>
    <s v=""/>
    <d v="2025-04-25T00:00:00"/>
    <n v="0"/>
    <n v="8"/>
    <x v="0"/>
    <x v="3"/>
    <x v="1"/>
  </r>
  <r>
    <x v="1357"/>
    <n v="4056789012345"/>
    <x v="11"/>
    <s v="Krmivo a maškrty – Mačky"/>
    <s v="BellaMeow"/>
    <n v="2.4"/>
    <n v="2"/>
    <s v="NULL"/>
    <s v=""/>
    <d v="2025-04-25T00:00:00"/>
    <n v="0"/>
    <n v="4.8"/>
    <x v="0"/>
    <x v="3"/>
    <x v="1"/>
  </r>
  <r>
    <x v="1358"/>
    <n v="4061011223346"/>
    <x v="3"/>
    <s v="Oblečenie a doplnky – Psy"/>
    <s v="Tail Trend"/>
    <n v="19.600000000000001"/>
    <n v="1"/>
    <s v="NULL"/>
    <s v=""/>
    <d v="2025-04-25T00:00:00"/>
    <n v="0"/>
    <n v="19.600000000000001"/>
    <x v="0"/>
    <x v="3"/>
    <x v="0"/>
  </r>
  <r>
    <x v="1359"/>
    <n v="4026677889902"/>
    <x v="12"/>
    <s v="Misky a kŕmne doplnky – Ostatné"/>
    <s v="Pawsitive Gear"/>
    <n v="7.6"/>
    <n v="1"/>
    <s v="NULL"/>
    <s v=""/>
    <d v="2025-04-25T00:00:00"/>
    <n v="0"/>
    <n v="7.6"/>
    <x v="0"/>
    <x v="3"/>
    <x v="2"/>
  </r>
  <r>
    <x v="1360"/>
    <n v="4028899001126"/>
    <x v="1"/>
    <s v="Krmivo a maškrty – Psy"/>
    <s v="Pup Republic"/>
    <n v="2.8"/>
    <n v="4"/>
    <s v="5"/>
    <s v="Najlepšia konzerva, čo znám."/>
    <d v="2025-04-25T00:00:00"/>
    <n v="0"/>
    <n v="11.2"/>
    <x v="2"/>
    <x v="3"/>
    <x v="0"/>
  </r>
  <r>
    <x v="1361"/>
    <n v="4013456789017"/>
    <x v="0"/>
    <s v="Krmivo a maškrty – Psy"/>
    <s v="Snouty"/>
    <n v="6"/>
    <n v="1"/>
    <s v="NULL"/>
    <s v=""/>
    <d v="2025-04-25T00:00:00"/>
    <n v="0"/>
    <n v="6"/>
    <x v="0"/>
    <x v="3"/>
    <x v="0"/>
  </r>
  <r>
    <x v="1362"/>
    <n v="4040123456795"/>
    <x v="2"/>
    <s v="Starostlivosť a hygiena – Psy"/>
    <s v="Dogissimo"/>
    <n v="8.8000000000000007"/>
    <n v="1"/>
    <s v="NULL"/>
    <s v=""/>
    <d v="2025-04-25T00:00:00"/>
    <n v="0"/>
    <n v="8.8000000000000007"/>
    <x v="0"/>
    <x v="3"/>
    <x v="0"/>
  </r>
  <r>
    <x v="1363"/>
    <n v="4010123456783"/>
    <x v="6"/>
    <s v="Starostlivosť a hygiena – Mačky"/>
    <s v="BellaMeow"/>
    <n v="14"/>
    <n v="2"/>
    <s v="NULL"/>
    <s v=""/>
    <d v="2025-04-25T00:00:00"/>
    <n v="0"/>
    <n v="28"/>
    <x v="0"/>
    <x v="3"/>
    <x v="1"/>
  </r>
  <r>
    <x v="1364"/>
    <n v="4063456789014"/>
    <x v="15"/>
    <s v="Krmivo a maškrty – Psy"/>
    <s v="Pupco"/>
    <n v="36"/>
    <n v="1"/>
    <s v="NULL"/>
    <s v=""/>
    <d v="2025-04-25T00:00:00"/>
    <n v="0"/>
    <n v="36"/>
    <x v="0"/>
    <x v="3"/>
    <x v="0"/>
  </r>
  <r>
    <x v="1365"/>
    <n v="4028899001126"/>
    <x v="1"/>
    <s v="Krmivo a maškrty – Psy"/>
    <s v="Pup Republic"/>
    <n v="2.8"/>
    <n v="3"/>
    <s v="NULL"/>
    <s v=""/>
    <d v="2025-04-26T00:00:00"/>
    <n v="0"/>
    <n v="8.3999999999999986"/>
    <x v="0"/>
    <x v="3"/>
    <x v="0"/>
  </r>
  <r>
    <x v="1366"/>
    <n v="4013456789017"/>
    <x v="0"/>
    <s v="Krmivo a maškrty – Psy"/>
    <s v="Snouty"/>
    <n v="6"/>
    <n v="2"/>
    <s v="NULL"/>
    <s v=""/>
    <d v="2025-04-26T00:00:00"/>
    <n v="0"/>
    <n v="12"/>
    <x v="0"/>
    <x v="3"/>
    <x v="0"/>
  </r>
  <r>
    <x v="1367"/>
    <n v="4040123456795"/>
    <x v="2"/>
    <s v="Starostlivosť a hygiena – Psy"/>
    <s v="Dogissimo"/>
    <n v="8.8000000000000007"/>
    <n v="1"/>
    <s v="5"/>
    <s v="Pes sa po ňom krásne leskne."/>
    <d v="2025-04-26T00:00:00"/>
    <n v="0"/>
    <n v="8.8000000000000007"/>
    <x v="2"/>
    <x v="3"/>
    <x v="0"/>
  </r>
  <r>
    <x v="1368"/>
    <n v="4010123456783"/>
    <x v="6"/>
    <s v="Starostlivosť a hygiena – Mačky"/>
    <s v="BellaMeow"/>
    <n v="14"/>
    <n v="2"/>
    <s v="NULL"/>
    <s v=""/>
    <d v="2025-04-26T00:00:00"/>
    <n v="0"/>
    <n v="28"/>
    <x v="0"/>
    <x v="3"/>
    <x v="1"/>
  </r>
  <r>
    <x v="1369"/>
    <n v="4063456789014"/>
    <x v="15"/>
    <s v="Krmivo a maškrty – Psy"/>
    <s v="Pupco"/>
    <n v="36"/>
    <n v="1"/>
    <s v="NULL"/>
    <s v=""/>
    <d v="2025-04-26T00:00:00"/>
    <n v="0"/>
    <n v="36"/>
    <x v="0"/>
    <x v="3"/>
    <x v="0"/>
  </r>
  <r>
    <x v="1370"/>
    <n v="4021234567894"/>
    <x v="18"/>
    <s v="Starostlivosť a hygiena – Mačky"/>
    <s v="PawStyle"/>
    <n v="8"/>
    <n v="1"/>
    <s v="NULL"/>
    <s v=""/>
    <d v="2025-04-26T00:00:00"/>
    <n v="0"/>
    <n v="8"/>
    <x v="0"/>
    <x v="3"/>
    <x v="1"/>
  </r>
  <r>
    <x v="1371"/>
    <n v="4056789012345"/>
    <x v="11"/>
    <s v="Krmivo a maškrty – Mačky"/>
    <s v="BellaMeow"/>
    <n v="2.4"/>
    <n v="3"/>
    <s v="3"/>
    <s v="Mačka zjedla polovinu."/>
    <d v="2025-04-26T00:00:00"/>
    <n v="0"/>
    <n v="7.1999999999999993"/>
    <x v="3"/>
    <x v="3"/>
    <x v="1"/>
  </r>
  <r>
    <x v="1372"/>
    <n v="4061011223346"/>
    <x v="3"/>
    <s v="Oblečenie a doplnky – Psy"/>
    <s v="Tail Trend"/>
    <n v="19.600000000000001"/>
    <n v="1"/>
    <s v="NULL"/>
    <s v=""/>
    <d v="2025-04-26T00:00:00"/>
    <n v="0"/>
    <n v="19.600000000000001"/>
    <x v="0"/>
    <x v="3"/>
    <x v="0"/>
  </r>
  <r>
    <x v="1373"/>
    <n v="4026677889902"/>
    <x v="12"/>
    <s v="Misky a kŕmne doplnky – Ostatné"/>
    <s v="Pawsitive Gear"/>
    <n v="7.6"/>
    <n v="1"/>
    <s v="NULL"/>
    <s v=""/>
    <d v="2025-04-26T00:00:00"/>
    <n v="0"/>
    <n v="7.6"/>
    <x v="0"/>
    <x v="3"/>
    <x v="2"/>
  </r>
  <r>
    <x v="1374"/>
    <n v="4028899001126"/>
    <x v="1"/>
    <s v="Krmivo a maškrty – Psy"/>
    <s v="Pup Republic"/>
    <n v="2.8"/>
    <n v="4"/>
    <s v="NULL"/>
    <s v=""/>
    <d v="2025-04-27T00:00:00"/>
    <n v="0"/>
    <n v="11.2"/>
    <x v="0"/>
    <x v="3"/>
    <x v="0"/>
  </r>
  <r>
    <x v="1375"/>
    <n v="4013456789017"/>
    <x v="0"/>
    <s v="Krmivo a maškrty – Psy"/>
    <s v="Snouty"/>
    <n v="6"/>
    <n v="1"/>
    <s v="NULL"/>
    <s v=""/>
    <d v="2025-04-27T00:00:00"/>
    <n v="0"/>
    <n v="6"/>
    <x v="0"/>
    <x v="3"/>
    <x v="0"/>
  </r>
  <r>
    <x v="1376"/>
    <n v="4040123456795"/>
    <x v="2"/>
    <s v="Starostlivosť a hygiena – Psy"/>
    <s v="Dogissimo"/>
    <n v="8.8000000000000007"/>
    <n v="1"/>
    <s v="NULL"/>
    <s v=""/>
    <d v="2025-04-27T00:00:00"/>
    <n v="0"/>
    <n v="8.8000000000000007"/>
    <x v="0"/>
    <x v="3"/>
    <x v="0"/>
  </r>
  <r>
    <x v="1377"/>
    <n v="4010123456783"/>
    <x v="6"/>
    <s v="Starostlivosť a hygiena – Mačky"/>
    <s v="BellaMeow"/>
    <n v="14"/>
    <n v="1"/>
    <s v="4"/>
    <s v="Bez zápachu, vydrží dlho."/>
    <d v="2025-04-27T00:00:00"/>
    <n v="0"/>
    <n v="14"/>
    <x v="1"/>
    <x v="3"/>
    <x v="1"/>
  </r>
  <r>
    <x v="1378"/>
    <n v="4063456789014"/>
    <x v="15"/>
    <s v="Krmivo a maškrty – Psy"/>
    <s v="Pupco"/>
    <n v="36"/>
    <n v="1"/>
    <s v="NULL"/>
    <s v=""/>
    <d v="2025-04-27T00:00:00"/>
    <n v="0"/>
    <n v="36"/>
    <x v="0"/>
    <x v="3"/>
    <x v="0"/>
  </r>
  <r>
    <x v="1379"/>
    <n v="4021234567894"/>
    <x v="18"/>
    <s v="Starostlivosť a hygiena – Mačky"/>
    <s v="PawStyle"/>
    <n v="8"/>
    <n v="1"/>
    <s v="NULL"/>
    <s v=""/>
    <d v="2025-04-27T00:00:00"/>
    <n v="0"/>
    <n v="8"/>
    <x v="0"/>
    <x v="3"/>
    <x v="1"/>
  </r>
  <r>
    <x v="1380"/>
    <n v="4056789012345"/>
    <x v="11"/>
    <s v="Krmivo a maškrty – Mačky"/>
    <s v="BellaMeow"/>
    <n v="2.4"/>
    <n v="3"/>
    <s v="NULL"/>
    <s v=""/>
    <d v="2025-04-27T00:00:00"/>
    <n v="0"/>
    <n v="7.1999999999999993"/>
    <x v="0"/>
    <x v="3"/>
    <x v="1"/>
  </r>
  <r>
    <x v="1381"/>
    <n v="4061011223346"/>
    <x v="3"/>
    <s v="Oblečenie a doplnky – Psy"/>
    <s v="Tail Trend"/>
    <n v="19.600000000000001"/>
    <n v="1"/>
    <s v="NULL"/>
    <s v=""/>
    <d v="2025-04-27T00:00:00"/>
    <n v="0"/>
    <n v="19.600000000000001"/>
    <x v="0"/>
    <x v="3"/>
    <x v="0"/>
  </r>
  <r>
    <x v="1382"/>
    <n v="4026677889902"/>
    <x v="12"/>
    <s v="Misky a kŕmne doplnky – Ostatné"/>
    <s v="Pawsitive Gear"/>
    <n v="7.6"/>
    <n v="1"/>
    <s v="NULL"/>
    <s v=""/>
    <d v="2025-04-27T00:00:00"/>
    <n v="0"/>
    <n v="7.6"/>
    <x v="0"/>
    <x v="3"/>
    <x v="2"/>
  </r>
  <r>
    <x v="1383"/>
    <n v="4028899001126"/>
    <x v="1"/>
    <s v="Krmivo a maškrty – Psy"/>
    <s v="Pup Republic"/>
    <n v="2.8"/>
    <n v="5"/>
    <s v="4"/>
    <s v="Pes ju miluje, odporúčam."/>
    <d v="2025-04-27T00:00:00"/>
    <n v="0"/>
    <n v="14"/>
    <x v="1"/>
    <x v="3"/>
    <x v="0"/>
  </r>
  <r>
    <x v="1384"/>
    <n v="4013456789017"/>
    <x v="0"/>
    <s v="Krmivo a maškrty – Psy"/>
    <s v="Snouty"/>
    <n v="6"/>
    <n v="2"/>
    <s v="NULL"/>
    <s v=""/>
    <d v="2025-04-27T00:00:00"/>
    <n v="0"/>
    <n v="12"/>
    <x v="0"/>
    <x v="3"/>
    <x v="0"/>
  </r>
  <r>
    <x v="1385"/>
    <n v="4040123456795"/>
    <x v="2"/>
    <s v="Starostlivosť a hygiena – Psy"/>
    <s v="Dogissimo"/>
    <n v="8.8000000000000007"/>
    <n v="1"/>
    <s v="NULL"/>
    <s v=""/>
    <d v="2025-04-27T00:00:00"/>
    <n v="0"/>
    <n v="8.8000000000000007"/>
    <x v="0"/>
    <x v="3"/>
    <x v="0"/>
  </r>
  <r>
    <x v="1386"/>
    <n v="4010123456783"/>
    <x v="6"/>
    <s v="Starostlivosť a hygiena – Mačky"/>
    <s v="BellaMeow"/>
    <n v="14"/>
    <n v="1"/>
    <s v="NULL"/>
    <s v=""/>
    <d v="2025-04-28T00:00:00"/>
    <n v="0"/>
    <n v="14"/>
    <x v="0"/>
    <x v="3"/>
    <x v="1"/>
  </r>
  <r>
    <x v="1387"/>
    <n v="4063456789014"/>
    <x v="15"/>
    <s v="Krmivo a maškrty – Psy"/>
    <s v="Pupco"/>
    <n v="36"/>
    <n v="1"/>
    <s v="NULL"/>
    <s v=""/>
    <d v="2025-04-28T00:00:00"/>
    <n v="0"/>
    <n v="36"/>
    <x v="0"/>
    <x v="3"/>
    <x v="0"/>
  </r>
  <r>
    <x v="1388"/>
    <n v="4021234567894"/>
    <x v="18"/>
    <s v="Starostlivosť a hygiena – Mačky"/>
    <s v="PawStyle"/>
    <n v="8"/>
    <n v="1"/>
    <s v="5"/>
    <s v="Výborný sprej, funguje perfektne."/>
    <d v="2025-04-28T00:00:00"/>
    <n v="0"/>
    <n v="8"/>
    <x v="2"/>
    <x v="3"/>
    <x v="1"/>
  </r>
  <r>
    <x v="1389"/>
    <n v="4056789012345"/>
    <x v="11"/>
    <s v="Krmivo a maškrty – Mačky"/>
    <s v="BellaMeow"/>
    <n v="2.4"/>
    <n v="2"/>
    <s v="NULL"/>
    <s v=""/>
    <d v="2025-04-28T00:00:00"/>
    <n v="0"/>
    <n v="4.8"/>
    <x v="0"/>
    <x v="3"/>
    <x v="1"/>
  </r>
  <r>
    <x v="1390"/>
    <n v="4061011223346"/>
    <x v="3"/>
    <s v="Oblečenie a doplnky – Psy"/>
    <s v="Tail Trend"/>
    <n v="19.600000000000001"/>
    <n v="1"/>
    <s v="NULL"/>
    <s v=""/>
    <d v="2025-04-28T00:00:00"/>
    <n v="0"/>
    <n v="19.600000000000001"/>
    <x v="0"/>
    <x v="3"/>
    <x v="0"/>
  </r>
  <r>
    <x v="1391"/>
    <n v="4026677889902"/>
    <x v="12"/>
    <s v="Misky a kŕmne doplnky – Ostatné"/>
    <s v="Pawsitive Gear"/>
    <n v="7.6"/>
    <n v="1"/>
    <s v="NULL"/>
    <s v=""/>
    <d v="2025-04-28T00:00:00"/>
    <n v="0"/>
    <n v="7.6"/>
    <x v="0"/>
    <x v="3"/>
    <x v="2"/>
  </r>
  <r>
    <x v="1392"/>
    <n v="4028899001126"/>
    <x v="1"/>
    <s v="Krmivo a maškrty – Psy"/>
    <s v="Pup Republic"/>
    <n v="2.8"/>
    <n v="4"/>
    <s v="NULL"/>
    <s v=""/>
    <d v="2025-04-28T00:00:00"/>
    <n v="0"/>
    <n v="11.2"/>
    <x v="0"/>
    <x v="3"/>
    <x v="0"/>
  </r>
  <r>
    <x v="1393"/>
    <n v="4013456789017"/>
    <x v="0"/>
    <s v="Krmivo a maškrty – Psy"/>
    <s v="Snouty"/>
    <n v="6"/>
    <n v="1"/>
    <s v="NULL"/>
    <s v=""/>
    <d v="2025-04-28T00:00:00"/>
    <n v="0"/>
    <n v="6"/>
    <x v="0"/>
    <x v="3"/>
    <x v="0"/>
  </r>
  <r>
    <x v="1394"/>
    <n v="4040123456795"/>
    <x v="2"/>
    <s v="Starostlivosť a hygiena – Psy"/>
    <s v="Dogissimo"/>
    <n v="8.8000000000000007"/>
    <n v="1"/>
    <s v="NULL"/>
    <s v=""/>
    <d v="2025-04-28T00:00:00"/>
    <n v="0"/>
    <n v="8.8000000000000007"/>
    <x v="0"/>
    <x v="3"/>
    <x v="0"/>
  </r>
  <r>
    <x v="1395"/>
    <n v="4010123456783"/>
    <x v="6"/>
    <s v="Starostlivosť a hygiena – Mačky"/>
    <s v="BellaMeow"/>
    <n v="14"/>
    <n v="1"/>
    <s v="NULL"/>
    <s v=""/>
    <d v="2025-04-28T00:00:00"/>
    <n v="0"/>
    <n v="14"/>
    <x v="0"/>
    <x v="3"/>
    <x v="1"/>
  </r>
  <r>
    <x v="1396"/>
    <n v="4063456789014"/>
    <x v="15"/>
    <s v="Krmivo a maškrty – Psy"/>
    <s v="Pupco"/>
    <n v="36"/>
    <n v="1"/>
    <s v="5"/>
    <s v="Pes má po nich lesklú srsť."/>
    <d v="2025-04-28T00:00:00"/>
    <n v="0"/>
    <n v="36"/>
    <x v="2"/>
    <x v="3"/>
    <x v="0"/>
  </r>
  <r>
    <x v="1397"/>
    <n v="4021234567894"/>
    <x v="18"/>
    <s v="Starostlivosť a hygiena – Mačky"/>
    <s v="PawStyle"/>
    <n v="8"/>
    <n v="1"/>
    <s v="NULL"/>
    <s v=""/>
    <d v="2025-04-28T00:00:00"/>
    <n v="0"/>
    <n v="8"/>
    <x v="0"/>
    <x v="3"/>
    <x v="1"/>
  </r>
  <r>
    <x v="1398"/>
    <n v="4056789012345"/>
    <x v="11"/>
    <s v="Krmivo a maškrty – Mačky"/>
    <s v="BellaMeow"/>
    <n v="2.4"/>
    <n v="2"/>
    <s v="NULL"/>
    <s v=""/>
    <d v="2025-04-28T00:00:00"/>
    <n v="0"/>
    <n v="4.8"/>
    <x v="0"/>
    <x v="3"/>
    <x v="1"/>
  </r>
  <r>
    <x v="1399"/>
    <n v="4061011223346"/>
    <x v="3"/>
    <s v="Oblečenie a doplnky – Psy"/>
    <s v="Tail Trend"/>
    <n v="19.600000000000001"/>
    <n v="1"/>
    <s v="NULL"/>
    <s v=""/>
    <d v="2025-04-28T00:00:00"/>
    <n v="0"/>
    <n v="19.600000000000001"/>
    <x v="0"/>
    <x v="3"/>
    <x v="0"/>
  </r>
  <r>
    <x v="1400"/>
    <n v="4026677889902"/>
    <x v="12"/>
    <s v="Misky a kŕmne doplnky – Ostatné"/>
    <s v="Pawsitive Gear"/>
    <n v="7.6"/>
    <n v="1"/>
    <s v="NULL"/>
    <s v=""/>
    <d v="2025-04-29T00:00:00"/>
    <n v="0"/>
    <n v="7.6"/>
    <x v="0"/>
    <x v="3"/>
    <x v="2"/>
  </r>
  <r>
    <x v="1401"/>
    <n v="4028899001126"/>
    <x v="1"/>
    <s v="Krmivo a maškrty – Psy"/>
    <s v="Pup Republic"/>
    <n v="2.8"/>
    <n v="5"/>
    <s v="NULL"/>
    <s v=""/>
    <d v="2025-04-29T00:00:00"/>
    <n v="0"/>
    <n v="14"/>
    <x v="0"/>
    <x v="3"/>
    <x v="0"/>
  </r>
  <r>
    <x v="1402"/>
    <n v="4013456789017"/>
    <x v="0"/>
    <s v="Krmivo a maškrty – Psy"/>
    <s v="Snouty"/>
    <n v="6"/>
    <n v="2"/>
    <s v="NULL"/>
    <s v=""/>
    <d v="2025-04-29T00:00:00"/>
    <n v="0"/>
    <n v="12"/>
    <x v="0"/>
    <x v="3"/>
    <x v="0"/>
  </r>
  <r>
    <x v="1403"/>
    <n v="4040123456795"/>
    <x v="2"/>
    <s v="Starostlivosť a hygiena – Psy"/>
    <s v="Dogissimo"/>
    <n v="8.8000000000000007"/>
    <n v="1"/>
    <s v="NULL"/>
    <s v=""/>
    <d v="2025-04-29T00:00:00"/>
    <n v="0"/>
    <n v="8.8000000000000007"/>
    <x v="0"/>
    <x v="3"/>
    <x v="0"/>
  </r>
  <r>
    <x v="1404"/>
    <n v="4010123456783"/>
    <x v="6"/>
    <s v="Starostlivosť a hygiena – Mačky"/>
    <s v="BellaMeow"/>
    <n v="14"/>
    <n v="1"/>
    <s v="4"/>
    <s v="Dlouhá výdrž, skvelá absorpce."/>
    <d v="2025-04-29T00:00:00"/>
    <n v="0"/>
    <n v="14"/>
    <x v="1"/>
    <x v="3"/>
    <x v="1"/>
  </r>
  <r>
    <x v="1405"/>
    <n v="4063456789014"/>
    <x v="15"/>
    <s v="Krmivo a maškrty – Psy"/>
    <s v="Pupco"/>
    <n v="36"/>
    <n v="1"/>
    <s v="NULL"/>
    <s v=""/>
    <d v="2025-04-29T00:00:00"/>
    <n v="0"/>
    <n v="36"/>
    <x v="0"/>
    <x v="3"/>
    <x v="0"/>
  </r>
  <r>
    <x v="1406"/>
    <n v="4021234567894"/>
    <x v="18"/>
    <s v="Starostlivosť a hygiena – Mačky"/>
    <s v="PawStyle"/>
    <n v="8"/>
    <n v="1"/>
    <s v="NULL"/>
    <s v=""/>
    <d v="2025-04-29T00:00:00"/>
    <n v="0"/>
    <n v="8"/>
    <x v="0"/>
    <x v="3"/>
    <x v="1"/>
  </r>
  <r>
    <x v="1407"/>
    <n v="4056789012345"/>
    <x v="11"/>
    <s v="Krmivo a maškrty – Mačky"/>
    <s v="BellaMeow"/>
    <n v="2.4"/>
    <n v="2"/>
    <s v="NULL"/>
    <s v=""/>
    <d v="2025-04-29T00:00:00"/>
    <n v="0"/>
    <n v="4.8"/>
    <x v="0"/>
    <x v="3"/>
    <x v="1"/>
  </r>
  <r>
    <x v="1408"/>
    <n v="4061011223346"/>
    <x v="3"/>
    <s v="Oblečenie a doplnky – Psy"/>
    <s v="Tail Trend"/>
    <n v="19.600000000000001"/>
    <n v="1"/>
    <s v="NULL"/>
    <s v=""/>
    <d v="2025-04-29T00:00:00"/>
    <n v="0"/>
    <n v="19.600000000000001"/>
    <x v="0"/>
    <x v="3"/>
    <x v="0"/>
  </r>
  <r>
    <x v="1409"/>
    <n v="4026677889902"/>
    <x v="12"/>
    <s v="Misky a kŕmne doplnky – Ostatné"/>
    <s v="Pawsitive Gear"/>
    <n v="7.6"/>
    <n v="1"/>
    <s v="NULL"/>
    <s v=""/>
    <d v="2025-04-29T00:00:00"/>
    <n v="0"/>
    <n v="7.6"/>
    <x v="0"/>
    <x v="3"/>
    <x v="2"/>
  </r>
  <r>
    <x v="1410"/>
    <n v="4028899001126"/>
    <x v="1"/>
    <s v="Krmivo a maškrty – Psy"/>
    <s v="Pup Republic"/>
    <n v="2.8"/>
    <n v="4"/>
    <s v="4"/>
    <s v="Pes to zbožňuje, kupujem často."/>
    <d v="2025-04-30T00:00:00"/>
    <n v="0"/>
    <n v="11.2"/>
    <x v="1"/>
    <x v="3"/>
    <x v="0"/>
  </r>
  <r>
    <x v="1411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12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13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14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15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16"/>
    <n v="4056789012345"/>
    <x v="11"/>
    <s v="Krmivo a maškrty – Mačky"/>
    <s v="BellaMeow"/>
    <n v="2.4"/>
    <n v="3"/>
    <s v="3"/>
    <s v="Vonia silno, mačka zjedla polovicu."/>
    <d v="2025-04-30T00:00:00"/>
    <n v="0"/>
    <n v="7.1999999999999993"/>
    <x v="3"/>
    <x v="3"/>
    <x v="1"/>
  </r>
  <r>
    <x v="1417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18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19"/>
    <n v="4028899001126"/>
    <x v="1"/>
    <s v="Krmivo a maškrty – Psy"/>
    <s v="Pup Republic"/>
    <n v="2.8"/>
    <n v="3"/>
    <s v="NULL"/>
    <s v=""/>
    <d v="2025-04-30T00:00:00"/>
    <n v="0"/>
    <n v="8.3999999999999986"/>
    <x v="0"/>
    <x v="3"/>
    <x v="0"/>
  </r>
  <r>
    <x v="1420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21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22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23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24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25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426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27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28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429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30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31"/>
    <n v="4010123456783"/>
    <x v="6"/>
    <s v="Starostlivosť a hygiena – Mačky"/>
    <s v="BellaMeow"/>
    <n v="14"/>
    <n v="2"/>
    <s v="NULL"/>
    <s v=""/>
    <d v="2025-04-30T00:00:00"/>
    <n v="0"/>
    <n v="28"/>
    <x v="0"/>
    <x v="3"/>
    <x v="1"/>
  </r>
  <r>
    <x v="1432"/>
    <n v="4063456789014"/>
    <x v="15"/>
    <s v="Krmivo a maškrty – Psy"/>
    <s v="Pupco"/>
    <n v="36"/>
    <n v="1"/>
    <s v="5"/>
    <s v="Pes je miluje, super zloženie."/>
    <d v="2025-04-30T00:00:00"/>
    <n v="0"/>
    <n v="36"/>
    <x v="2"/>
    <x v="3"/>
    <x v="0"/>
  </r>
  <r>
    <x v="1433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34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435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36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37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438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39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40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41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42"/>
    <n v="4021234567894"/>
    <x v="18"/>
    <s v="Starostlivosť a hygiena – Mačky"/>
    <s v="PawStyle"/>
    <n v="8"/>
    <n v="1"/>
    <s v="4"/>
    <s v="Funguje dobre, príjemná vôňa."/>
    <d v="2025-04-30T00:00:00"/>
    <n v="0"/>
    <n v="8"/>
    <x v="1"/>
    <x v="3"/>
    <x v="1"/>
  </r>
  <r>
    <x v="1443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444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45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46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447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48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49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50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51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52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453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54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55"/>
    <n v="4028899001126"/>
    <x v="1"/>
    <s v="Krmivo a maškrty – Psy"/>
    <s v="Pup Republic"/>
    <n v="2.8"/>
    <n v="3"/>
    <s v="3"/>
    <s v="Pes to zjedol, ale moc ho to nenadchlo."/>
    <d v="2025-04-30T00:00:00"/>
    <n v="0"/>
    <n v="8.3999999999999986"/>
    <x v="3"/>
    <x v="3"/>
    <x v="0"/>
  </r>
  <r>
    <x v="1456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57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58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59"/>
    <n v="4063456789014"/>
    <x v="15"/>
    <s v="Krmivo a maškrty – Psy"/>
    <s v="Pupco"/>
    <n v="36"/>
    <n v="1"/>
    <s v="5"/>
    <s v="Perfektní granuly pre aktivní psy."/>
    <d v="2025-04-30T00:00:00"/>
    <n v="0"/>
    <n v="36"/>
    <x v="2"/>
    <x v="3"/>
    <x v="0"/>
  </r>
  <r>
    <x v="1460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61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462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63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64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465"/>
    <n v="4013456789017"/>
    <x v="0"/>
    <s v="Krmivo a maškrty – Psy"/>
    <s v="Snouty"/>
    <n v="6"/>
    <n v="2"/>
    <s v="NULL"/>
    <s v=""/>
    <d v="2025-04-30T00:00:00"/>
    <n v="0"/>
    <n v="12"/>
    <x v="0"/>
    <x v="3"/>
    <x v="0"/>
  </r>
  <r>
    <x v="1466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67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68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69"/>
    <n v="4021234567894"/>
    <x v="18"/>
    <s v="Starostlivosť a hygiena – Mačky"/>
    <s v="PawStyle"/>
    <n v="8"/>
    <n v="1"/>
    <s v="5"/>
    <s v="Funguje výborne, objednám znova."/>
    <d v="2025-04-30T00:00:00"/>
    <n v="0"/>
    <n v="8"/>
    <x v="2"/>
    <x v="3"/>
    <x v="1"/>
  </r>
  <r>
    <x v="1470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471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72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73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474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75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76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77"/>
    <n v="4063456789014"/>
    <x v="15"/>
    <s v="Krmivo a maškrty – Psy"/>
    <s v="Pupco"/>
    <n v="36"/>
    <n v="1"/>
    <s v="4"/>
    <s v="Dobré granuly, pes sa teší na jedlo."/>
    <d v="2025-04-30T00:00:00"/>
    <n v="0"/>
    <n v="36"/>
    <x v="1"/>
    <x v="3"/>
    <x v="0"/>
  </r>
  <r>
    <x v="1478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79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480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81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82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483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84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85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86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87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488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489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90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491"/>
    <n v="4028899001126"/>
    <x v="1"/>
    <s v="Krmivo a maškrty – Psy"/>
    <s v="Pup Republic"/>
    <n v="2.8"/>
    <n v="3"/>
    <s v="NULL"/>
    <s v=""/>
    <d v="2025-04-30T00:00:00"/>
    <n v="0"/>
    <n v="8.3999999999999986"/>
    <x v="0"/>
    <x v="3"/>
    <x v="0"/>
  </r>
  <r>
    <x v="1492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493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494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495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496"/>
    <n v="4021234567894"/>
    <x v="18"/>
    <s v="Starostlivosť a hygiena – Mačky"/>
    <s v="PawStyle"/>
    <n v="8"/>
    <n v="1"/>
    <s v="3"/>
    <s v="Funguje, ale vonia silno."/>
    <d v="2025-04-30T00:00:00"/>
    <n v="0"/>
    <n v="8"/>
    <x v="3"/>
    <x v="3"/>
    <x v="1"/>
  </r>
  <r>
    <x v="1497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498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499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00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501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02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03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04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05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06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07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08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09"/>
    <n v="4028899001126"/>
    <x v="1"/>
    <s v="Krmivo a maškrty – Psy"/>
    <s v="Pup Republic"/>
    <n v="2.8"/>
    <n v="3"/>
    <s v="NULL"/>
    <s v=""/>
    <d v="2025-04-30T00:00:00"/>
    <n v="0"/>
    <n v="8.3999999999999986"/>
    <x v="0"/>
    <x v="3"/>
    <x v="0"/>
  </r>
  <r>
    <x v="1510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11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12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13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14"/>
    <n v="4021234567894"/>
    <x v="18"/>
    <s v="Starostlivosť a hygiena – Mačky"/>
    <s v="PawStyle"/>
    <n v="8"/>
    <n v="1"/>
    <s v="5"/>
    <s v="Perfektní účinok, bez zápachu."/>
    <d v="2025-04-30T00:00:00"/>
    <n v="0"/>
    <n v="8"/>
    <x v="2"/>
    <x v="3"/>
    <x v="1"/>
  </r>
  <r>
    <x v="1515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16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17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18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519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20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21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22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23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24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25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26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27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528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29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30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31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32"/>
    <n v="4021234567894"/>
    <x v="18"/>
    <s v="Starostlivosť a hygiena – Mačky"/>
    <s v="PawStyle"/>
    <n v="8"/>
    <n v="1"/>
    <s v="4"/>
    <s v="Výborne neutralizuje pachy."/>
    <d v="2025-04-30T00:00:00"/>
    <n v="0"/>
    <n v="8"/>
    <x v="1"/>
    <x v="3"/>
    <x v="1"/>
  </r>
  <r>
    <x v="1533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34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35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36"/>
    <n v="4028899001126"/>
    <x v="1"/>
    <s v="Krmivo a maškrty – Psy"/>
    <s v="Pup Republic"/>
    <n v="2.8"/>
    <n v="3"/>
    <s v="NULL"/>
    <s v=""/>
    <d v="2025-04-30T00:00:00"/>
    <n v="0"/>
    <n v="8.3999999999999986"/>
    <x v="0"/>
    <x v="3"/>
    <x v="0"/>
  </r>
  <r>
    <x v="1537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38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39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40"/>
    <n v="4063456789014"/>
    <x v="15"/>
    <s v="Krmivo a maškrty – Psy"/>
    <s v="Pupco"/>
    <n v="36"/>
    <n v="1"/>
    <s v="5"/>
    <s v="Skvelé granuly, kupujem pravidelne."/>
    <d v="2025-04-30T00:00:00"/>
    <n v="0"/>
    <n v="36"/>
    <x v="2"/>
    <x v="3"/>
    <x v="0"/>
  </r>
  <r>
    <x v="1541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42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543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44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45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546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47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48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49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50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51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52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53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54"/>
    <n v="4028899001126"/>
    <x v="1"/>
    <s v="Krmivo a maškrty – Psy"/>
    <s v="Pup Republic"/>
    <n v="2.8"/>
    <n v="4"/>
    <s v="4"/>
    <s v="Pes nadšený, dobrá konzistence."/>
    <d v="2025-04-30T00:00:00"/>
    <n v="0"/>
    <n v="11.2"/>
    <x v="1"/>
    <x v="3"/>
    <x v="0"/>
  </r>
  <r>
    <x v="1555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56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57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58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59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60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561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62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63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564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65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66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67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68"/>
    <n v="4021234567894"/>
    <x v="18"/>
    <s v="Starostlivosť a hygiena – Mačky"/>
    <s v="PawStyle"/>
    <n v="8"/>
    <n v="1"/>
    <s v="3"/>
    <s v="Funguje, ale nič extra."/>
    <d v="2025-04-30T00:00:00"/>
    <n v="0"/>
    <n v="8"/>
    <x v="3"/>
    <x v="3"/>
    <x v="1"/>
  </r>
  <r>
    <x v="1569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570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71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72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573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74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75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76"/>
    <n v="4063456789014"/>
    <x v="15"/>
    <s v="Krmivo a maškrty – Psy"/>
    <s v="Pupco"/>
    <n v="36"/>
    <n v="1"/>
    <s v="5"/>
    <s v="Perfektní krmivo, pes prospieva."/>
    <d v="2025-04-30T00:00:00"/>
    <n v="0"/>
    <n v="36"/>
    <x v="2"/>
    <x v="3"/>
    <x v="0"/>
  </r>
  <r>
    <x v="1577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78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579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80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81"/>
    <n v="4028899001126"/>
    <x v="1"/>
    <s v="Krmivo a maškrty – Psy"/>
    <s v="Pup Republic"/>
    <n v="2.8"/>
    <n v="5"/>
    <s v="NULL"/>
    <s v=""/>
    <d v="2025-04-30T00:00:00"/>
    <n v="0"/>
    <n v="14"/>
    <x v="0"/>
    <x v="3"/>
    <x v="0"/>
  </r>
  <r>
    <x v="1582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83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84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85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86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87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588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89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90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591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592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593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594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595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596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597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598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599"/>
    <n v="4028899001126"/>
    <x v="1"/>
    <s v="Krmivo a maškrty – Psy"/>
    <s v="Pup Republic"/>
    <n v="2.8"/>
    <n v="4"/>
    <s v="5"/>
    <s v="Pes ju zbožňuje, top kvalita."/>
    <d v="2025-04-30T00:00:00"/>
    <n v="0"/>
    <n v="11.2"/>
    <x v="2"/>
    <x v="3"/>
    <x v="0"/>
  </r>
  <r>
    <x v="1600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601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602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603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604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605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606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607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608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609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610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611"/>
    <n v="4063456789014"/>
    <x v="15"/>
    <s v="Krmivo a maškrty – Psy"/>
    <s v="Pupco"/>
    <n v="36"/>
    <n v="1"/>
    <s v="NULL"/>
    <s v=""/>
    <d v="2025-04-30T00:00:00"/>
    <n v="0"/>
    <n v="36"/>
    <x v="0"/>
    <x v="3"/>
    <x v="0"/>
  </r>
  <r>
    <x v="1612"/>
    <n v="4021234567894"/>
    <x v="18"/>
    <s v="Starostlivosť a hygiena – Mačky"/>
    <s v="PawStyle"/>
    <n v="8"/>
    <n v="1"/>
    <s v="4"/>
    <s v="Funguje, používam denne."/>
    <d v="2025-04-30T00:00:00"/>
    <n v="0"/>
    <n v="8"/>
    <x v="1"/>
    <x v="3"/>
    <x v="1"/>
  </r>
  <r>
    <x v="1613"/>
    <n v="4056789012345"/>
    <x v="11"/>
    <s v="Krmivo a maškrty – Mačky"/>
    <s v="BellaMeow"/>
    <n v="2.4"/>
    <n v="3"/>
    <s v="NULL"/>
    <s v=""/>
    <d v="2025-04-30T00:00:00"/>
    <n v="0"/>
    <n v="7.1999999999999993"/>
    <x v="0"/>
    <x v="3"/>
    <x v="1"/>
  </r>
  <r>
    <x v="1614"/>
    <n v="4061011223346"/>
    <x v="3"/>
    <s v="Oblečenie a doplnky – Psy"/>
    <s v="Tail Trend"/>
    <n v="19.600000000000001"/>
    <n v="1"/>
    <s v="NULL"/>
    <s v=""/>
    <d v="2025-04-30T00:00:00"/>
    <n v="0"/>
    <n v="19.600000000000001"/>
    <x v="0"/>
    <x v="3"/>
    <x v="0"/>
  </r>
  <r>
    <x v="1615"/>
    <n v="4026677889902"/>
    <x v="12"/>
    <s v="Misky a kŕmne doplnky – Ostatné"/>
    <s v="Pawsitive Gear"/>
    <n v="7.6"/>
    <n v="1"/>
    <s v="NULL"/>
    <s v=""/>
    <d v="2025-04-30T00:00:00"/>
    <n v="0"/>
    <n v="7.6"/>
    <x v="0"/>
    <x v="3"/>
    <x v="2"/>
  </r>
  <r>
    <x v="1616"/>
    <n v="4028899001126"/>
    <x v="1"/>
    <s v="Krmivo a maškrty – Psy"/>
    <s v="Pup Republic"/>
    <n v="2.8"/>
    <n v="4"/>
    <s v="NULL"/>
    <s v=""/>
    <d v="2025-04-30T00:00:00"/>
    <n v="0"/>
    <n v="11.2"/>
    <x v="0"/>
    <x v="3"/>
    <x v="0"/>
  </r>
  <r>
    <x v="1617"/>
    <n v="4013456789017"/>
    <x v="0"/>
    <s v="Krmivo a maškrty – Psy"/>
    <s v="Snouty"/>
    <n v="6"/>
    <n v="1"/>
    <s v="NULL"/>
    <s v=""/>
    <d v="2025-04-30T00:00:00"/>
    <n v="0"/>
    <n v="6"/>
    <x v="0"/>
    <x v="3"/>
    <x v="0"/>
  </r>
  <r>
    <x v="1618"/>
    <n v="4040123456795"/>
    <x v="2"/>
    <s v="Starostlivosť a hygiena – Psy"/>
    <s v="Dogissimo"/>
    <n v="8.8000000000000007"/>
    <n v="1"/>
    <s v="NULL"/>
    <s v=""/>
    <d v="2025-04-30T00:00:00"/>
    <n v="0"/>
    <n v="8.8000000000000007"/>
    <x v="0"/>
    <x v="3"/>
    <x v="0"/>
  </r>
  <r>
    <x v="1619"/>
    <n v="4010123456783"/>
    <x v="6"/>
    <s v="Starostlivosť a hygiena – Mačky"/>
    <s v="BellaMeow"/>
    <n v="14"/>
    <n v="1"/>
    <s v="NULL"/>
    <s v=""/>
    <d v="2025-04-30T00:00:00"/>
    <n v="0"/>
    <n v="14"/>
    <x v="0"/>
    <x v="3"/>
    <x v="1"/>
  </r>
  <r>
    <x v="1620"/>
    <n v="4063456789014"/>
    <x v="15"/>
    <s v="Krmivo a maškrty – Psy"/>
    <s v="Pupco"/>
    <n v="36"/>
    <n v="1"/>
    <s v="5"/>
    <s v="Top krmivo, odporúčam."/>
    <d v="2025-04-30T00:00:00"/>
    <n v="0"/>
    <n v="36"/>
    <x v="2"/>
    <x v="3"/>
    <x v="0"/>
  </r>
  <r>
    <x v="1621"/>
    <n v="4021234567894"/>
    <x v="18"/>
    <s v="Starostlivosť a hygiena – Mačky"/>
    <s v="PawStyle"/>
    <n v="8"/>
    <n v="1"/>
    <s v="NULL"/>
    <s v=""/>
    <d v="2025-04-30T00:00:00"/>
    <n v="0"/>
    <n v="8"/>
    <x v="0"/>
    <x v="3"/>
    <x v="1"/>
  </r>
  <r>
    <x v="1622"/>
    <n v="4056789012345"/>
    <x v="11"/>
    <s v="Krmivo a maškrty – Mačky"/>
    <s v="BellaMeow"/>
    <n v="2.4"/>
    <n v="2"/>
    <s v="NULL"/>
    <s v=""/>
    <d v="2025-04-30T00:00:00"/>
    <n v="0"/>
    <n v="4.8"/>
    <x v="0"/>
    <x v="3"/>
    <x v="1"/>
  </r>
  <r>
    <x v="1623"/>
    <n v="4028899001126"/>
    <x v="1"/>
    <s v="Krmivo a maškrty – Psy"/>
    <s v="Pup Republic"/>
    <n v="2.8"/>
    <n v="4"/>
    <s v="NULL"/>
    <s v=""/>
    <d v="2025-05-01T00:00:00"/>
    <n v="0"/>
    <n v="11.2"/>
    <x v="0"/>
    <x v="4"/>
    <x v="0"/>
  </r>
  <r>
    <x v="1624"/>
    <n v="4013456789017"/>
    <x v="0"/>
    <s v="Krmivo a maškrty – Psy"/>
    <s v="Snouty"/>
    <n v="6"/>
    <n v="1"/>
    <s v="4"/>
    <s v="Pes je má rád, ideálne odmena."/>
    <d v="2025-05-01T00:00:00"/>
    <n v="0"/>
    <n v="6"/>
    <x v="1"/>
    <x v="4"/>
    <x v="0"/>
  </r>
  <r>
    <x v="1625"/>
    <n v="4040123456795"/>
    <x v="2"/>
    <s v="Starostlivosť a hygiena – Psy"/>
    <s v="Dogissimo"/>
    <n v="8.8000000000000007"/>
    <n v="1"/>
    <s v="NULL"/>
    <s v=""/>
    <d v="2025-05-01T00:00:00"/>
    <n v="0"/>
    <n v="8.8000000000000007"/>
    <x v="0"/>
    <x v="4"/>
    <x v="0"/>
  </r>
  <r>
    <x v="1626"/>
    <n v="4010123456783"/>
    <x v="6"/>
    <s v="Starostlivosť a hygiena – Mačky"/>
    <s v="BellaMeow"/>
    <n v="14"/>
    <n v="1"/>
    <s v="NULL"/>
    <s v=""/>
    <d v="2025-05-01T00:00:00"/>
    <n v="0"/>
    <n v="14"/>
    <x v="0"/>
    <x v="4"/>
    <x v="1"/>
  </r>
  <r>
    <x v="1627"/>
    <n v="4063456789014"/>
    <x v="15"/>
    <s v="Krmivo a maškrty – Psy"/>
    <s v="Pupco"/>
    <n v="36"/>
    <n v="1"/>
    <s v="NULL"/>
    <s v=""/>
    <d v="2025-05-01T00:00:00"/>
    <n v="0"/>
    <n v="36"/>
    <x v="0"/>
    <x v="4"/>
    <x v="0"/>
  </r>
  <r>
    <x v="1628"/>
    <n v="4021234567894"/>
    <x v="18"/>
    <s v="Starostlivosť a hygiena – Mačky"/>
    <s v="PawStyle"/>
    <n v="8"/>
    <n v="1"/>
    <s v="NULL"/>
    <s v=""/>
    <d v="2025-05-01T00:00:00"/>
    <n v="0"/>
    <n v="8"/>
    <x v="0"/>
    <x v="4"/>
    <x v="1"/>
  </r>
  <r>
    <x v="1629"/>
    <n v="4056789012345"/>
    <x v="11"/>
    <s v="Krmivo a maškrty – Mačky"/>
    <s v="BellaMeow"/>
    <n v="2.4"/>
    <n v="2"/>
    <s v="NULL"/>
    <s v=""/>
    <d v="2025-05-01T00:00:00"/>
    <n v="0"/>
    <n v="4.8"/>
    <x v="0"/>
    <x v="4"/>
    <x v="1"/>
  </r>
  <r>
    <x v="1630"/>
    <n v="4061011223346"/>
    <x v="3"/>
    <s v="Oblečenie a doplnky – Psy"/>
    <s v="Tail Trend"/>
    <n v="19.600000000000001"/>
    <n v="1"/>
    <s v="5"/>
    <s v="Skvelé vôdzka, pevné a ľahké."/>
    <d v="2025-05-01T00:00:00"/>
    <n v="0"/>
    <n v="19.600000000000001"/>
    <x v="2"/>
    <x v="4"/>
    <x v="0"/>
  </r>
  <r>
    <x v="1631"/>
    <n v="4026677889902"/>
    <x v="12"/>
    <s v="Misky a kŕmne doplnky – Ostatné"/>
    <s v="Pawsitive Gear"/>
    <n v="7.6"/>
    <n v="1"/>
    <s v="NULL"/>
    <s v=""/>
    <d v="2025-05-01T00:00:00"/>
    <n v="0"/>
    <n v="7.6"/>
    <x v="0"/>
    <x v="4"/>
    <x v="2"/>
  </r>
  <r>
    <x v="1632"/>
    <n v="4028899001126"/>
    <x v="1"/>
    <s v="Krmivo a maškrty – Psy"/>
    <s v="Pup Republic"/>
    <n v="2.8"/>
    <n v="3"/>
    <s v="NULL"/>
    <s v=""/>
    <d v="2025-05-01T00:00:00"/>
    <n v="0"/>
    <n v="8.3999999999999986"/>
    <x v="0"/>
    <x v="4"/>
    <x v="0"/>
  </r>
  <r>
    <x v="1633"/>
    <n v="4013456789017"/>
    <x v="0"/>
    <s v="Krmivo a maškrty – Psy"/>
    <s v="Snouty"/>
    <n v="6"/>
    <n v="1"/>
    <s v="NULL"/>
    <s v=""/>
    <d v="2025-05-01T00:00:00"/>
    <n v="0"/>
    <n v="6"/>
    <x v="0"/>
    <x v="4"/>
    <x v="0"/>
  </r>
  <r>
    <x v="1634"/>
    <n v="4044567890123"/>
    <x v="27"/>
    <s v="Hračky – Mačky"/>
    <s v="BellaMeow"/>
    <n v="6"/>
    <n v="1"/>
    <s v="NULL"/>
    <s v=""/>
    <d v="2025-05-01T00:00:00"/>
    <n v="0"/>
    <n v="6"/>
    <x v="0"/>
    <x v="4"/>
    <x v="1"/>
  </r>
  <r>
    <x v="1635"/>
    <n v="4006789012349"/>
    <x v="7"/>
    <s v="Hračky – Psy"/>
    <s v="Snouty"/>
    <n v="12"/>
    <n v="1"/>
    <s v="NULL"/>
    <s v=""/>
    <d v="2025-05-02T00:00:00"/>
    <n v="0"/>
    <n v="12"/>
    <x v="0"/>
    <x v="4"/>
    <x v="0"/>
  </r>
  <r>
    <x v="1636"/>
    <n v="4050123456794"/>
    <x v="8"/>
    <s v="Starostlivosť a hygiena – Mačky"/>
    <s v="Nordic Tail"/>
    <n v="7.2"/>
    <n v="1"/>
    <s v="NULL"/>
    <s v=""/>
    <d v="2025-05-02T00:00:00"/>
    <n v="0"/>
    <n v="7.2"/>
    <x v="0"/>
    <x v="4"/>
    <x v="1"/>
  </r>
  <r>
    <x v="1637"/>
    <n v="4002233445566"/>
    <x v="28"/>
    <s v="Pelechy a nábytok – Mačky"/>
    <s v="Catissime"/>
    <n v="20"/>
    <n v="1"/>
    <s v="NULL"/>
    <s v=""/>
    <d v="2025-05-02T00:00:00"/>
    <n v="0"/>
    <n v="20"/>
    <x v="0"/>
    <x v="4"/>
    <x v="1"/>
  </r>
  <r>
    <x v="1638"/>
    <n v="4027788990013"/>
    <x v="9"/>
    <s v="Starostlivosť a hygiena – Psy"/>
    <s v="Dogissimo"/>
    <n v="8"/>
    <n v="1"/>
    <s v="4"/>
    <s v="Dobre myje, príjemná vôňa."/>
    <d v="2025-05-02T00:00:00"/>
    <n v="0"/>
    <n v="8"/>
    <x v="1"/>
    <x v="4"/>
    <x v="0"/>
  </r>
  <r>
    <x v="1639"/>
    <n v="4028899001126"/>
    <x v="1"/>
    <s v="Krmivo a maškrty – Psy"/>
    <s v="Pup Republic"/>
    <n v="2.8"/>
    <n v="5"/>
    <s v="NULL"/>
    <s v=""/>
    <d v="2025-05-02T00:00:00"/>
    <n v="0"/>
    <n v="14"/>
    <x v="0"/>
    <x v="4"/>
    <x v="0"/>
  </r>
  <r>
    <x v="1640"/>
    <n v="4013456789017"/>
    <x v="0"/>
    <s v="Krmivo a maškrty – Psy"/>
    <s v="Snouty"/>
    <n v="6"/>
    <n v="1"/>
    <s v="NULL"/>
    <s v=""/>
    <d v="2025-05-02T00:00:00"/>
    <n v="0"/>
    <n v="6"/>
    <x v="0"/>
    <x v="4"/>
    <x v="0"/>
  </r>
  <r>
    <x v="1641"/>
    <n v="4040123456795"/>
    <x v="2"/>
    <s v="Starostlivosť a hygiena – Psy"/>
    <s v="Dogissimo"/>
    <n v="8.8000000000000007"/>
    <n v="1"/>
    <s v="NULL"/>
    <s v=""/>
    <d v="2025-05-02T00:00:00"/>
    <n v="0"/>
    <n v="8.8000000000000007"/>
    <x v="0"/>
    <x v="4"/>
    <x v="0"/>
  </r>
  <r>
    <x v="1642"/>
    <n v="4010123456783"/>
    <x v="6"/>
    <s v="Starostlivosť a hygiena – Mačky"/>
    <s v="BellaMeow"/>
    <n v="14"/>
    <n v="2"/>
    <s v="NULL"/>
    <s v=""/>
    <d v="2025-05-02T00:00:00"/>
    <n v="0"/>
    <n v="28"/>
    <x v="0"/>
    <x v="4"/>
    <x v="1"/>
  </r>
  <r>
    <x v="1643"/>
    <n v="4063456789014"/>
    <x v="15"/>
    <s v="Krmivo a maškrty – Psy"/>
    <s v="Pupco"/>
    <n v="36"/>
    <n v="1"/>
    <s v="NULL"/>
    <s v=""/>
    <d v="2025-05-02T00:00:00"/>
    <n v="0"/>
    <n v="36"/>
    <x v="0"/>
    <x v="4"/>
    <x v="0"/>
  </r>
  <r>
    <x v="1644"/>
    <n v="4021234567894"/>
    <x v="18"/>
    <s v="Starostlivosť a hygiena – Mačky"/>
    <s v="PawStyle"/>
    <n v="8"/>
    <n v="1"/>
    <s v="3"/>
    <s v="Funguje, ale mohol by voňať lepšie."/>
    <d v="2025-05-02T00:00:00"/>
    <n v="0"/>
    <n v="8"/>
    <x v="3"/>
    <x v="4"/>
    <x v="1"/>
  </r>
  <r>
    <x v="1645"/>
    <n v="4056789012345"/>
    <x v="11"/>
    <s v="Krmivo a maškrty – Mačky"/>
    <s v="BellaMeow"/>
    <n v="2.4"/>
    <n v="3"/>
    <s v="NULL"/>
    <s v=""/>
    <d v="2025-05-02T00:00:00"/>
    <n v="0"/>
    <n v="7.1999999999999993"/>
    <x v="0"/>
    <x v="4"/>
    <x v="1"/>
  </r>
  <r>
    <x v="1646"/>
    <n v="4061011223346"/>
    <x v="3"/>
    <s v="Oblečenie a doplnky – Psy"/>
    <s v="Tail Trend"/>
    <n v="19.600000000000001"/>
    <n v="1"/>
    <s v="NULL"/>
    <s v=""/>
    <d v="2025-05-02T00:00:00"/>
    <n v="0"/>
    <n v="19.600000000000001"/>
    <x v="0"/>
    <x v="4"/>
    <x v="0"/>
  </r>
  <r>
    <x v="1647"/>
    <n v="4026677889902"/>
    <x v="12"/>
    <s v="Misky a kŕmne doplnky – Ostatné"/>
    <s v="Pawsitive Gear"/>
    <n v="7.6"/>
    <n v="1"/>
    <s v="NULL"/>
    <s v=""/>
    <d v="2025-05-02T00:00:00"/>
    <n v="0"/>
    <n v="7.6"/>
    <x v="0"/>
    <x v="4"/>
    <x v="2"/>
  </r>
  <r>
    <x v="1648"/>
    <n v="4028899001126"/>
    <x v="1"/>
    <s v="Krmivo a maškrty – Psy"/>
    <s v="Pup Republic"/>
    <n v="2.8"/>
    <n v="3"/>
    <s v="NULL"/>
    <s v=""/>
    <d v="2025-05-02T00:00:00"/>
    <n v="0"/>
    <n v="8.3999999999999986"/>
    <x v="0"/>
    <x v="4"/>
    <x v="0"/>
  </r>
  <r>
    <x v="1649"/>
    <n v="4013456789017"/>
    <x v="0"/>
    <s v="Krmivo a maškrty – Psy"/>
    <s v="Snouty"/>
    <n v="6"/>
    <n v="1"/>
    <s v="NULL"/>
    <s v=""/>
    <d v="2025-05-02T00:00:00"/>
    <n v="0"/>
    <n v="6"/>
    <x v="0"/>
    <x v="4"/>
    <x v="0"/>
  </r>
  <r>
    <x v="1650"/>
    <n v="4040123456795"/>
    <x v="2"/>
    <s v="Starostlivosť a hygiena – Psy"/>
    <s v="Dogissimo"/>
    <n v="8.8000000000000007"/>
    <n v="1"/>
    <s v="NULL"/>
    <s v=""/>
    <d v="2025-05-02T00:00:00"/>
    <n v="0"/>
    <n v="8.8000000000000007"/>
    <x v="0"/>
    <x v="4"/>
    <x v="0"/>
  </r>
  <r>
    <x v="1651"/>
    <n v="4010123456783"/>
    <x v="6"/>
    <s v="Starostlivosť a hygiena – Mačky"/>
    <s v="BellaMeow"/>
    <n v="14"/>
    <n v="2"/>
    <s v="NULL"/>
    <s v=""/>
    <d v="2025-05-03T00:00:00"/>
    <n v="0"/>
    <n v="28"/>
    <x v="0"/>
    <x v="4"/>
    <x v="1"/>
  </r>
  <r>
    <x v="1652"/>
    <n v="4063456789014"/>
    <x v="15"/>
    <s v="Krmivo a maškrty – Psy"/>
    <s v="Pupco"/>
    <n v="36"/>
    <n v="1"/>
    <s v="NULL"/>
    <s v=""/>
    <d v="2025-05-03T00:00:00"/>
    <n v="0"/>
    <n v="36"/>
    <x v="0"/>
    <x v="4"/>
    <x v="0"/>
  </r>
  <r>
    <x v="1653"/>
    <n v="4021234567894"/>
    <x v="18"/>
    <s v="Starostlivosť a hygiena – Mačky"/>
    <s v="PawStyle"/>
    <n v="8"/>
    <n v="1"/>
    <s v="NULL"/>
    <s v=""/>
    <d v="2025-05-03T00:00:00"/>
    <n v="0"/>
    <n v="8"/>
    <x v="0"/>
    <x v="4"/>
    <x v="1"/>
  </r>
  <r>
    <x v="1654"/>
    <n v="4056789012345"/>
    <x v="11"/>
    <s v="Krmivo a maškrty – Mačky"/>
    <s v="BellaMeow"/>
    <n v="2.4"/>
    <n v="2"/>
    <s v="NULL"/>
    <s v=""/>
    <d v="2025-05-03T00:00:00"/>
    <n v="0"/>
    <n v="4.8"/>
    <x v="0"/>
    <x v="4"/>
    <x v="1"/>
  </r>
  <r>
    <x v="1655"/>
    <n v="4061011223346"/>
    <x v="3"/>
    <s v="Oblečenie a doplnky – Psy"/>
    <s v="Tail Trend"/>
    <n v="19.600000000000001"/>
    <n v="1"/>
    <s v="NULL"/>
    <s v=""/>
    <d v="2025-05-03T00:00:00"/>
    <n v="0"/>
    <n v="19.600000000000001"/>
    <x v="0"/>
    <x v="4"/>
    <x v="0"/>
  </r>
  <r>
    <x v="1656"/>
    <n v="4026677889902"/>
    <x v="12"/>
    <s v="Misky a kŕmne doplnky – Ostatné"/>
    <s v="Pawsitive Gear"/>
    <n v="7.6"/>
    <n v="1"/>
    <s v="5"/>
    <s v="Miska super, ľahko sa čistí."/>
    <d v="2025-05-03T00:00:00"/>
    <n v="0"/>
    <n v="7.6"/>
    <x v="2"/>
    <x v="4"/>
    <x v="2"/>
  </r>
  <r>
    <x v="1657"/>
    <n v="4028899001126"/>
    <x v="1"/>
    <s v="Krmivo a maškrty – Psy"/>
    <s v="Pup Republic"/>
    <n v="2.8"/>
    <n v="4"/>
    <s v="NULL"/>
    <s v=""/>
    <d v="2025-05-03T00:00:00"/>
    <n v="0"/>
    <n v="11.2"/>
    <x v="0"/>
    <x v="4"/>
    <x v="0"/>
  </r>
  <r>
    <x v="1658"/>
    <n v="4013456789017"/>
    <x v="0"/>
    <s v="Krmivo a maškrty – Psy"/>
    <s v="Snouty"/>
    <n v="6"/>
    <n v="1"/>
    <s v="NULL"/>
    <s v=""/>
    <d v="2025-05-03T00:00:00"/>
    <n v="0"/>
    <n v="6"/>
    <x v="0"/>
    <x v="4"/>
    <x v="0"/>
  </r>
  <r>
    <x v="1659"/>
    <n v="4040123456795"/>
    <x v="2"/>
    <s v="Starostlivosť a hygiena – Psy"/>
    <s v="Dogissimo"/>
    <n v="8.8000000000000007"/>
    <n v="1"/>
    <s v="NULL"/>
    <s v=""/>
    <d v="2025-05-03T00:00:00"/>
    <n v="0"/>
    <n v="8.8000000000000007"/>
    <x v="0"/>
    <x v="4"/>
    <x v="0"/>
  </r>
  <r>
    <x v="1660"/>
    <n v="4010123456783"/>
    <x v="6"/>
    <s v="Starostlivosť a hygiena – Mačky"/>
    <s v="BellaMeow"/>
    <n v="14"/>
    <n v="1"/>
    <s v="NULL"/>
    <s v=""/>
    <d v="2025-05-03T00:00:00"/>
    <n v="0"/>
    <n v="14"/>
    <x v="0"/>
    <x v="4"/>
    <x v="1"/>
  </r>
  <r>
    <x v="1661"/>
    <n v="4063456789014"/>
    <x v="15"/>
    <s v="Krmivo a maškrty – Psy"/>
    <s v="Pupco"/>
    <n v="36"/>
    <n v="1"/>
    <s v="NULL"/>
    <s v=""/>
    <d v="2025-05-03T00:00:00"/>
    <n v="0"/>
    <n v="36"/>
    <x v="0"/>
    <x v="4"/>
    <x v="0"/>
  </r>
  <r>
    <x v="1662"/>
    <n v="4021234567894"/>
    <x v="18"/>
    <s v="Starostlivosť a hygiena – Mačky"/>
    <s v="PawStyle"/>
    <n v="8"/>
    <n v="1"/>
    <s v="NULL"/>
    <s v=""/>
    <d v="2025-05-03T00:00:00"/>
    <n v="0"/>
    <n v="8"/>
    <x v="0"/>
    <x v="4"/>
    <x v="1"/>
  </r>
  <r>
    <x v="1663"/>
    <n v="4056789012345"/>
    <x v="11"/>
    <s v="Krmivo a maškrty – Mačky"/>
    <s v="BellaMeow"/>
    <n v="2.4"/>
    <n v="3"/>
    <s v="4"/>
    <s v="Mačka to miluje, objednám znova."/>
    <d v="2025-05-03T00:00:00"/>
    <n v="0"/>
    <n v="7.1999999999999993"/>
    <x v="1"/>
    <x v="4"/>
    <x v="1"/>
  </r>
  <r>
    <x v="1664"/>
    <n v="4061011223346"/>
    <x v="3"/>
    <s v="Oblečenie a doplnky – Psy"/>
    <s v="Tail Trend"/>
    <n v="19.600000000000001"/>
    <n v="1"/>
    <s v="NULL"/>
    <s v=""/>
    <d v="2025-05-03T00:00:00"/>
    <n v="0"/>
    <n v="19.600000000000001"/>
    <x v="0"/>
    <x v="4"/>
    <x v="0"/>
  </r>
  <r>
    <x v="1665"/>
    <n v="4026677889902"/>
    <x v="12"/>
    <s v="Misky a kŕmne doplnky – Ostatné"/>
    <s v="Pawsitive Gear"/>
    <n v="7.6"/>
    <n v="1"/>
    <s v="NULL"/>
    <s v=""/>
    <d v="2025-05-03T00:00:00"/>
    <n v="0"/>
    <n v="7.6"/>
    <x v="0"/>
    <x v="4"/>
    <x v="2"/>
  </r>
  <r>
    <x v="1666"/>
    <n v="4028899001126"/>
    <x v="1"/>
    <s v="Krmivo a maškrty – Psy"/>
    <s v="Pup Republic"/>
    <n v="2.8"/>
    <n v="5"/>
    <s v="NULL"/>
    <s v=""/>
    <d v="2025-05-03T00:00:00"/>
    <n v="0"/>
    <n v="14"/>
    <x v="0"/>
    <x v="4"/>
    <x v="0"/>
  </r>
  <r>
    <x v="1667"/>
    <n v="4013456789017"/>
    <x v="0"/>
    <s v="Krmivo a maškrty – Psy"/>
    <s v="Snouty"/>
    <n v="6"/>
    <n v="1"/>
    <s v="NULL"/>
    <s v=""/>
    <d v="2025-05-03T00:00:00"/>
    <n v="0"/>
    <n v="6"/>
    <x v="0"/>
    <x v="4"/>
    <x v="0"/>
  </r>
  <r>
    <x v="1668"/>
    <n v="4040123456795"/>
    <x v="2"/>
    <s v="Starostlivosť a hygiena – Psy"/>
    <s v="Dogissimo"/>
    <n v="8.8000000000000007"/>
    <n v="1"/>
    <s v="NULL"/>
    <s v=""/>
    <d v="2025-05-04T00:00:00"/>
    <n v="0"/>
    <n v="8.8000000000000007"/>
    <x v="0"/>
    <x v="4"/>
    <x v="0"/>
  </r>
  <r>
    <x v="1669"/>
    <n v="4010123456783"/>
    <x v="6"/>
    <s v="Starostlivosť a hygiena – Mačky"/>
    <s v="BellaMeow"/>
    <n v="14"/>
    <n v="2"/>
    <s v="NULL"/>
    <s v=""/>
    <d v="2025-05-04T00:00:00"/>
    <n v="0"/>
    <n v="28"/>
    <x v="0"/>
    <x v="4"/>
    <x v="1"/>
  </r>
  <r>
    <x v="1670"/>
    <n v="4063456789014"/>
    <x v="15"/>
    <s v="Krmivo a maškrty – Psy"/>
    <s v="Pupco"/>
    <n v="36"/>
    <n v="1"/>
    <s v="NULL"/>
    <s v=""/>
    <d v="2025-05-04T00:00:00"/>
    <n v="0"/>
    <n v="36"/>
    <x v="0"/>
    <x v="4"/>
    <x v="0"/>
  </r>
  <r>
    <x v="1671"/>
    <n v="4021234567894"/>
    <x v="18"/>
    <s v="Starostlivosť a hygiena – Mačky"/>
    <s v="PawStyle"/>
    <n v="8"/>
    <n v="1"/>
    <s v="NULL"/>
    <s v=""/>
    <d v="2025-05-04T00:00:00"/>
    <n v="0"/>
    <n v="8"/>
    <x v="0"/>
    <x v="4"/>
    <x v="1"/>
  </r>
  <r>
    <x v="1672"/>
    <n v="4056789012345"/>
    <x v="11"/>
    <s v="Krmivo a maškrty – Mačky"/>
    <s v="BellaMeow"/>
    <n v="2.4"/>
    <n v="2"/>
    <s v="NULL"/>
    <s v=""/>
    <d v="2025-05-04T00:00:00"/>
    <n v="0"/>
    <n v="4.8"/>
    <x v="0"/>
    <x v="4"/>
    <x v="1"/>
  </r>
  <r>
    <x v="1673"/>
    <n v="4061011223346"/>
    <x v="3"/>
    <s v="Oblečenie a doplnky – Psy"/>
    <s v="Tail Trend"/>
    <n v="19.600000000000001"/>
    <n v="1"/>
    <s v="NULL"/>
    <s v=""/>
    <d v="2025-05-04T00:00:00"/>
    <n v="0"/>
    <n v="19.600000000000001"/>
    <x v="0"/>
    <x v="4"/>
    <x v="0"/>
  </r>
  <r>
    <x v="1674"/>
    <n v="4026677889902"/>
    <x v="12"/>
    <s v="Misky a kŕmne doplnky – Ostatné"/>
    <s v="Pawsitive Gear"/>
    <n v="7.6"/>
    <n v="1"/>
    <s v="NULL"/>
    <s v=""/>
    <d v="2025-05-04T00:00:00"/>
    <n v="0"/>
    <n v="7.6"/>
    <x v="0"/>
    <x v="4"/>
    <x v="2"/>
  </r>
  <r>
    <x v="1675"/>
    <n v="4028899001126"/>
    <x v="1"/>
    <s v="Krmivo a maškrty – Psy"/>
    <s v="Pup Republic"/>
    <n v="2.8"/>
    <n v="3"/>
    <s v="NULL"/>
    <s v=""/>
    <d v="2025-05-04T00:00:00"/>
    <n v="0"/>
    <n v="8.3999999999999986"/>
    <x v="0"/>
    <x v="4"/>
    <x v="0"/>
  </r>
  <r>
    <x v="1676"/>
    <n v="4013456789017"/>
    <x v="0"/>
    <s v="Krmivo a maškrty – Psy"/>
    <s v="Snouty"/>
    <n v="6"/>
    <n v="1"/>
    <s v="NULL"/>
    <s v=""/>
    <d v="2025-05-04T00:00:00"/>
    <n v="0"/>
    <n v="6"/>
    <x v="0"/>
    <x v="4"/>
    <x v="0"/>
  </r>
  <r>
    <x v="1677"/>
    <n v="4040123456795"/>
    <x v="2"/>
    <s v="Starostlivosť a hygiena – Psy"/>
    <s v="Dogissimo"/>
    <n v="8.8000000000000007"/>
    <n v="1"/>
    <s v="NULL"/>
    <s v=""/>
    <d v="2025-05-04T00:00:00"/>
    <n v="0"/>
    <n v="8.8000000000000007"/>
    <x v="0"/>
    <x v="4"/>
    <x v="0"/>
  </r>
  <r>
    <x v="1678"/>
    <n v="4010123456783"/>
    <x v="6"/>
    <s v="Starostlivosť a hygiena – Mačky"/>
    <s v="BellaMeow"/>
    <n v="14"/>
    <n v="1"/>
    <s v="NULL"/>
    <s v=""/>
    <d v="2025-05-04T00:00:00"/>
    <n v="0"/>
    <n v="14"/>
    <x v="0"/>
    <x v="4"/>
    <x v="1"/>
  </r>
  <r>
    <x v="1679"/>
    <n v="4063456789014"/>
    <x v="15"/>
    <s v="Krmivo a maškrty – Psy"/>
    <s v="Pupco"/>
    <n v="36"/>
    <n v="1"/>
    <s v="NULL"/>
    <s v=""/>
    <d v="2025-05-04T00:00:00"/>
    <n v="0"/>
    <n v="36"/>
    <x v="0"/>
    <x v="4"/>
    <x v="0"/>
  </r>
  <r>
    <x v="1680"/>
    <n v="4021234567894"/>
    <x v="18"/>
    <s v="Starostlivosť a hygiena – Mačky"/>
    <s v="PawStyle"/>
    <n v="8"/>
    <n v="1"/>
    <s v="NULL"/>
    <s v=""/>
    <d v="2025-05-04T00:00:00"/>
    <n v="0"/>
    <n v="8"/>
    <x v="0"/>
    <x v="4"/>
    <x v="1"/>
  </r>
  <r>
    <x v="1681"/>
    <n v="4056789012345"/>
    <x v="11"/>
    <s v="Krmivo a maškrty – Mačky"/>
    <s v="BellaMeow"/>
    <n v="2.4"/>
    <n v="3"/>
    <s v="5"/>
    <s v="Výborná konzerva, mačka spokojená."/>
    <d v="2025-05-05T00:00:00"/>
    <n v="0"/>
    <n v="7.1999999999999993"/>
    <x v="2"/>
    <x v="4"/>
    <x v="1"/>
  </r>
  <r>
    <x v="1682"/>
    <n v="4061011223346"/>
    <x v="3"/>
    <s v="Oblečenie a doplnky – Psy"/>
    <s v="Tail Trend"/>
    <n v="19.600000000000001"/>
    <n v="1"/>
    <s v="NULL"/>
    <s v=""/>
    <d v="2025-05-05T00:00:00"/>
    <n v="0"/>
    <n v="19.600000000000001"/>
    <x v="0"/>
    <x v="4"/>
    <x v="0"/>
  </r>
  <r>
    <x v="1683"/>
    <n v="4026677889902"/>
    <x v="12"/>
    <s v="Misky a kŕmne doplnky – Ostatné"/>
    <s v="Pawsitive Gear"/>
    <n v="7.6"/>
    <n v="1"/>
    <s v="NULL"/>
    <s v=""/>
    <d v="2025-05-05T00:00:00"/>
    <n v="0"/>
    <n v="7.6"/>
    <x v="0"/>
    <x v="4"/>
    <x v="2"/>
  </r>
  <r>
    <x v="1684"/>
    <n v="4028899001126"/>
    <x v="1"/>
    <s v="Krmivo a maškrty – Psy"/>
    <s v="Pup Republic"/>
    <n v="2.8"/>
    <n v="4"/>
    <s v="NULL"/>
    <s v=""/>
    <d v="2025-05-05T00:00:00"/>
    <n v="0"/>
    <n v="11.2"/>
    <x v="0"/>
    <x v="4"/>
    <x v="0"/>
  </r>
  <r>
    <x v="1685"/>
    <n v="4013456789017"/>
    <x v="0"/>
    <s v="Krmivo a maškrty – Psy"/>
    <s v="Snouty"/>
    <n v="6"/>
    <n v="1"/>
    <s v="NULL"/>
    <s v=""/>
    <d v="2025-05-05T00:00:00"/>
    <n v="0"/>
    <n v="6"/>
    <x v="0"/>
    <x v="4"/>
    <x v="0"/>
  </r>
  <r>
    <x v="1686"/>
    <n v="4040123456795"/>
    <x v="2"/>
    <s v="Starostlivosť a hygiena – Psy"/>
    <s v="Dogissimo"/>
    <n v="8.8000000000000007"/>
    <n v="1"/>
    <s v="NULL"/>
    <s v=""/>
    <d v="2025-05-05T00:00:00"/>
    <n v="0"/>
    <n v="8.8000000000000007"/>
    <x v="0"/>
    <x v="4"/>
    <x v="0"/>
  </r>
  <r>
    <x v="1687"/>
    <n v="4010123456783"/>
    <x v="6"/>
    <s v="Starostlivosť a hygiena – Mačky"/>
    <s v="BellaMeow"/>
    <n v="14"/>
    <n v="1"/>
    <s v="NULL"/>
    <s v=""/>
    <d v="2025-05-05T00:00:00"/>
    <n v="0"/>
    <n v="14"/>
    <x v="0"/>
    <x v="4"/>
    <x v="1"/>
  </r>
  <r>
    <x v="1688"/>
    <n v="4063456789014"/>
    <x v="15"/>
    <s v="Krmivo a maškrty – Psy"/>
    <s v="Pupco"/>
    <n v="36"/>
    <n v="1"/>
    <s v="NULL"/>
    <s v=""/>
    <d v="2025-05-05T00:00:00"/>
    <n v="0"/>
    <n v="36"/>
    <x v="0"/>
    <x v="4"/>
    <x v="0"/>
  </r>
  <r>
    <x v="1689"/>
    <n v="4021234567894"/>
    <x v="18"/>
    <s v="Starostlivosť a hygiena – Mačky"/>
    <s v="PawStyle"/>
    <n v="8"/>
    <n v="1"/>
    <s v="NULL"/>
    <s v=""/>
    <d v="2025-05-05T00:00:00"/>
    <n v="0"/>
    <n v="8"/>
    <x v="0"/>
    <x v="4"/>
    <x v="1"/>
  </r>
  <r>
    <x v="1690"/>
    <n v="4056789012345"/>
    <x v="11"/>
    <s v="Krmivo a maškrty – Mačky"/>
    <s v="BellaMeow"/>
    <n v="2.4"/>
    <n v="2"/>
    <s v="NULL"/>
    <s v=""/>
    <d v="2025-05-05T00:00:00"/>
    <n v="0"/>
    <n v="4.8"/>
    <x v="0"/>
    <x v="4"/>
    <x v="1"/>
  </r>
  <r>
    <x v="1691"/>
    <n v="4061011223346"/>
    <x v="3"/>
    <s v="Oblečenie a doplnky – Psy"/>
    <s v="Tail Trend"/>
    <n v="19.600000000000001"/>
    <n v="1"/>
    <s v="NULL"/>
    <s v=""/>
    <d v="2025-05-05T00:00:00"/>
    <n v="0"/>
    <n v="19.600000000000001"/>
    <x v="0"/>
    <x v="4"/>
    <x v="0"/>
  </r>
  <r>
    <x v="1692"/>
    <n v="4026677889902"/>
    <x v="12"/>
    <s v="Misky a kŕmne doplnky – Ostatné"/>
    <s v="Pawsitive Gear"/>
    <n v="7.6"/>
    <n v="1"/>
    <s v="NULL"/>
    <s v=""/>
    <d v="2025-05-05T00:00:00"/>
    <n v="0"/>
    <n v="7.6"/>
    <x v="0"/>
    <x v="4"/>
    <x v="2"/>
  </r>
  <r>
    <x v="1693"/>
    <n v="4028899001126"/>
    <x v="1"/>
    <s v="Krmivo a maškrty – Psy"/>
    <s v="Pup Republic"/>
    <n v="2.8"/>
    <n v="3"/>
    <s v="NULL"/>
    <s v=""/>
    <d v="2025-05-05T00:00:00"/>
    <n v="0"/>
    <n v="8.3999999999999986"/>
    <x v="0"/>
    <x v="4"/>
    <x v="0"/>
  </r>
  <r>
    <x v="1694"/>
    <n v="4013456789017"/>
    <x v="0"/>
    <s v="Krmivo a maškrty – Psy"/>
    <s v="Snouty"/>
    <n v="6"/>
    <n v="1"/>
    <s v="NULL"/>
    <s v=""/>
    <d v="2025-05-05T00:00:00"/>
    <n v="0"/>
    <n v="6"/>
    <x v="0"/>
    <x v="4"/>
    <x v="0"/>
  </r>
  <r>
    <x v="1695"/>
    <n v="4040123456795"/>
    <x v="2"/>
    <s v="Starostlivosť a hygiena – Psy"/>
    <s v="Dogissimo"/>
    <n v="8.8000000000000007"/>
    <n v="1"/>
    <s v="NULL"/>
    <s v=""/>
    <d v="2025-05-05T00:00:00"/>
    <n v="0"/>
    <n v="8.8000000000000007"/>
    <x v="0"/>
    <x v="4"/>
    <x v="0"/>
  </r>
  <r>
    <x v="1696"/>
    <n v="4010123456783"/>
    <x v="6"/>
    <s v="Starostlivosť a hygiena – Mačky"/>
    <s v="BellaMeow"/>
    <n v="14"/>
    <n v="1"/>
    <s v="NULL"/>
    <s v=""/>
    <d v="2025-05-05T00:00:00"/>
    <n v="0"/>
    <n v="14"/>
    <x v="0"/>
    <x v="4"/>
    <x v="1"/>
  </r>
  <r>
    <x v="1697"/>
    <n v="4063456789014"/>
    <x v="15"/>
    <s v="Krmivo a maškrty – Psy"/>
    <s v="Pupco"/>
    <n v="36"/>
    <n v="1"/>
    <s v="4"/>
    <s v="Pesovaj chutí, odporúčam."/>
    <d v="2025-05-05T00:00:00"/>
    <n v="0"/>
    <n v="36"/>
    <x v="1"/>
    <x v="4"/>
    <x v="0"/>
  </r>
  <r>
    <x v="1698"/>
    <n v="4021234567894"/>
    <x v="18"/>
    <s v="Starostlivosť a hygiena – Mačky"/>
    <s v="PawStyle"/>
    <n v="8"/>
    <n v="1"/>
    <s v="NULL"/>
    <s v=""/>
    <d v="2025-05-05T00:00:00"/>
    <n v="0"/>
    <n v="8"/>
    <x v="0"/>
    <x v="4"/>
    <x v="1"/>
  </r>
  <r>
    <x v="1699"/>
    <n v="4056789012345"/>
    <x v="11"/>
    <s v="Krmivo a maškrty – Mačky"/>
    <s v="BellaMeow"/>
    <n v="2.4"/>
    <n v="2"/>
    <s v="NULL"/>
    <s v=""/>
    <d v="2025-05-05T00:00:00"/>
    <n v="0"/>
    <n v="4.8"/>
    <x v="0"/>
    <x v="4"/>
    <x v="1"/>
  </r>
  <r>
    <x v="1700"/>
    <n v="4061011223346"/>
    <x v="3"/>
    <s v="Oblečenie a doplnky – Psy"/>
    <s v="Tail Trend"/>
    <n v="19.600000000000001"/>
    <n v="1"/>
    <s v="NULL"/>
    <s v=""/>
    <d v="2025-05-05T00:00:00"/>
    <n v="0"/>
    <n v="19.600000000000001"/>
    <x v="0"/>
    <x v="4"/>
    <x v="0"/>
  </r>
  <r>
    <x v="1701"/>
    <n v="4026677889902"/>
    <x v="12"/>
    <s v="Misky a kŕmne doplnky – Ostatné"/>
    <s v="Pawsitive Gear"/>
    <n v="7.6"/>
    <n v="1"/>
    <s v="NULL"/>
    <s v=""/>
    <d v="2025-05-06T00:00:00"/>
    <n v="0"/>
    <n v="7.6"/>
    <x v="0"/>
    <x v="4"/>
    <x v="2"/>
  </r>
  <r>
    <x v="1702"/>
    <n v="4028899001126"/>
    <x v="1"/>
    <s v="Krmivo a maškrty – Psy"/>
    <s v="Pup Republic"/>
    <n v="2.8"/>
    <n v="4"/>
    <s v="5"/>
    <s v="Pes nadšený, kupujem opakovane."/>
    <d v="2025-05-06T00:00:00"/>
    <n v="0"/>
    <n v="11.2"/>
    <x v="2"/>
    <x v="4"/>
    <x v="0"/>
  </r>
  <r>
    <x v="1703"/>
    <n v="4013456789017"/>
    <x v="0"/>
    <s v="Krmivo a maškrty – Psy"/>
    <s v="Snouty"/>
    <n v="6"/>
    <n v="1"/>
    <s v="NULL"/>
    <s v=""/>
    <d v="2025-05-06T00:00:00"/>
    <n v="0"/>
    <n v="6"/>
    <x v="0"/>
    <x v="4"/>
    <x v="0"/>
  </r>
  <r>
    <x v="1704"/>
    <n v="4040123456795"/>
    <x v="2"/>
    <s v="Starostlivosť a hygiena – Psy"/>
    <s v="Dogissimo"/>
    <n v="8.8000000000000007"/>
    <n v="1"/>
    <s v="NULL"/>
    <s v=""/>
    <d v="2025-05-06T00:00:00"/>
    <n v="0"/>
    <n v="8.8000000000000007"/>
    <x v="0"/>
    <x v="4"/>
    <x v="0"/>
  </r>
  <r>
    <x v="1705"/>
    <n v="4010123456783"/>
    <x v="6"/>
    <s v="Starostlivosť a hygiena – Mačky"/>
    <s v="BellaMeow"/>
    <n v="14"/>
    <n v="2"/>
    <s v="NULL"/>
    <s v=""/>
    <d v="2025-05-06T00:00:00"/>
    <n v="0"/>
    <n v="28"/>
    <x v="0"/>
    <x v="4"/>
    <x v="1"/>
  </r>
  <r>
    <x v="1706"/>
    <n v="4063456789014"/>
    <x v="15"/>
    <s v="Krmivo a maškrty – Psy"/>
    <s v="Pupco"/>
    <n v="36"/>
    <n v="1"/>
    <s v="NULL"/>
    <s v=""/>
    <d v="2025-05-06T00:00:00"/>
    <n v="0"/>
    <n v="36"/>
    <x v="0"/>
    <x v="4"/>
    <x v="0"/>
  </r>
  <r>
    <x v="1707"/>
    <n v="4021234567894"/>
    <x v="18"/>
    <s v="Starostlivosť a hygiena – Mačky"/>
    <s v="PawStyle"/>
    <n v="8"/>
    <n v="1"/>
    <s v="NULL"/>
    <s v=""/>
    <d v="2025-05-06T00:00:00"/>
    <n v="0"/>
    <n v="8"/>
    <x v="0"/>
    <x v="4"/>
    <x v="1"/>
  </r>
  <r>
    <x v="1708"/>
    <n v="4056789012345"/>
    <x v="11"/>
    <s v="Krmivo a maškrty – Mačky"/>
    <s v="BellaMeow"/>
    <n v="2.4"/>
    <n v="2"/>
    <s v="NULL"/>
    <s v=""/>
    <d v="2025-05-06T00:00:00"/>
    <n v="0"/>
    <n v="4.8"/>
    <x v="0"/>
    <x v="4"/>
    <x v="1"/>
  </r>
  <r>
    <x v="1709"/>
    <n v="4061011223346"/>
    <x v="3"/>
    <s v="Oblečenie a doplnky – Psy"/>
    <s v="Tail Trend"/>
    <n v="19.600000000000001"/>
    <n v="1"/>
    <s v="NULL"/>
    <s v=""/>
    <d v="2025-05-06T00:00:00"/>
    <n v="0"/>
    <n v="19.600000000000001"/>
    <x v="0"/>
    <x v="4"/>
    <x v="0"/>
  </r>
  <r>
    <x v="1710"/>
    <n v="4026677889902"/>
    <x v="12"/>
    <s v="Misky a kŕmne doplnky – Ostatné"/>
    <s v="Pawsitive Gear"/>
    <n v="7.6"/>
    <n v="1"/>
    <s v="NULL"/>
    <s v=""/>
    <d v="2025-05-06T00:00:00"/>
    <n v="0"/>
    <n v="7.6"/>
    <x v="0"/>
    <x v="4"/>
    <x v="2"/>
  </r>
  <r>
    <x v="1711"/>
    <n v="4028899001126"/>
    <x v="1"/>
    <s v="Krmivo a maškrty – Psy"/>
    <s v="Pup Republic"/>
    <n v="2.8"/>
    <n v="3"/>
    <s v="NULL"/>
    <s v=""/>
    <d v="2025-05-06T00:00:00"/>
    <n v="0"/>
    <n v="8.3999999999999986"/>
    <x v="0"/>
    <x v="4"/>
    <x v="0"/>
  </r>
  <r>
    <x v="1712"/>
    <n v="4013456789017"/>
    <x v="0"/>
    <s v="Krmivo a maškrty – Psy"/>
    <s v="Snouty"/>
    <n v="6"/>
    <n v="1"/>
    <s v="4"/>
    <s v="Dobrá kvalita, používame denne."/>
    <d v="2025-05-06T00:00:00"/>
    <n v="0"/>
    <n v="6"/>
    <x v="1"/>
    <x v="4"/>
    <x v="0"/>
  </r>
  <r>
    <x v="1713"/>
    <n v="4040123456795"/>
    <x v="2"/>
    <s v="Starostlivosť a hygiena – Psy"/>
    <s v="Dogissimo"/>
    <n v="8.8000000000000007"/>
    <n v="1"/>
    <s v="NULL"/>
    <s v=""/>
    <d v="2025-05-06T00:00:00"/>
    <n v="0"/>
    <n v="8.8000000000000007"/>
    <x v="0"/>
    <x v="4"/>
    <x v="0"/>
  </r>
  <r>
    <x v="1714"/>
    <n v="4010123456783"/>
    <x v="6"/>
    <s v="Starostlivosť a hygiena – Mačky"/>
    <s v="BellaMeow"/>
    <n v="14"/>
    <n v="1"/>
    <s v="NULL"/>
    <s v=""/>
    <d v="2025-05-06T00:00:00"/>
    <n v="0"/>
    <n v="14"/>
    <x v="0"/>
    <x v="4"/>
    <x v="1"/>
  </r>
  <r>
    <x v="1715"/>
    <n v="4063456789014"/>
    <x v="15"/>
    <s v="Krmivo a maškrty – Psy"/>
    <s v="Pupco"/>
    <n v="36"/>
    <n v="1"/>
    <s v="NULL"/>
    <s v=""/>
    <d v="2025-05-07T00:00:00"/>
    <n v="0"/>
    <n v="36"/>
    <x v="0"/>
    <x v="4"/>
    <x v="0"/>
  </r>
  <r>
    <x v="1716"/>
    <n v="4021234567894"/>
    <x v="18"/>
    <s v="Starostlivosť a hygiena – Mačky"/>
    <s v="PawStyle"/>
    <n v="8"/>
    <n v="1"/>
    <s v="NULL"/>
    <s v=""/>
    <d v="2025-05-07T00:00:00"/>
    <n v="0"/>
    <n v="8"/>
    <x v="0"/>
    <x v="4"/>
    <x v="1"/>
  </r>
  <r>
    <x v="1717"/>
    <n v="4056789012345"/>
    <x v="11"/>
    <s v="Krmivo a maškrty – Mačky"/>
    <s v="BellaMeow"/>
    <n v="2.4"/>
    <n v="2"/>
    <s v="NULL"/>
    <s v=""/>
    <d v="2025-05-07T00:00:00"/>
    <n v="0"/>
    <n v="4.8"/>
    <x v="0"/>
    <x v="4"/>
    <x v="1"/>
  </r>
  <r>
    <x v="1718"/>
    <n v="4061011223346"/>
    <x v="3"/>
    <s v="Oblečenie a doplnky – Psy"/>
    <s v="Tail Trend"/>
    <n v="19.600000000000001"/>
    <n v="1"/>
    <s v="NULL"/>
    <s v=""/>
    <d v="2025-05-07T00:00:00"/>
    <n v="0"/>
    <n v="19.600000000000001"/>
    <x v="0"/>
    <x v="4"/>
    <x v="0"/>
  </r>
  <r>
    <x v="1719"/>
    <n v="4026677889902"/>
    <x v="12"/>
    <s v="Misky a kŕmne doplnky – Ostatné"/>
    <s v="Pawsitive Gear"/>
    <n v="7.6"/>
    <n v="1"/>
    <s v="NULL"/>
    <s v=""/>
    <d v="2025-05-07T00:00:00"/>
    <n v="0"/>
    <n v="7.6"/>
    <x v="0"/>
    <x v="4"/>
    <x v="2"/>
  </r>
  <r>
    <x v="1720"/>
    <n v="4028899001126"/>
    <x v="1"/>
    <s v="Krmivo a maškrty – Psy"/>
    <s v="Pup Republic"/>
    <n v="2.8"/>
    <n v="5"/>
    <s v="NULL"/>
    <s v=""/>
    <d v="2025-05-07T00:00:00"/>
    <n v="0"/>
    <n v="14"/>
    <x v="0"/>
    <x v="4"/>
    <x v="0"/>
  </r>
  <r>
    <x v="1721"/>
    <n v="4013456789017"/>
    <x v="0"/>
    <s v="Krmivo a maškrty – Psy"/>
    <s v="Snouty"/>
    <n v="6"/>
    <n v="1"/>
    <s v="NULL"/>
    <s v=""/>
    <d v="2025-05-07T00:00:00"/>
    <n v="0"/>
    <n v="6"/>
    <x v="0"/>
    <x v="4"/>
    <x v="0"/>
  </r>
  <r>
    <x v="1722"/>
    <n v="4040123456795"/>
    <x v="2"/>
    <s v="Starostlivosť a hygiena – Psy"/>
    <s v="Dogissimo"/>
    <n v="8.8000000000000007"/>
    <n v="1"/>
    <s v="NULL"/>
    <s v=""/>
    <d v="2025-05-07T00:00:00"/>
    <n v="0"/>
    <n v="8.8000000000000007"/>
    <x v="0"/>
    <x v="4"/>
    <x v="0"/>
  </r>
  <r>
    <x v="1723"/>
    <n v="4010123456783"/>
    <x v="6"/>
    <s v="Starostlivosť a hygiena – Mačky"/>
    <s v="BellaMeow"/>
    <n v="14"/>
    <n v="1"/>
    <s v="4"/>
    <s v="Bez prachu, dobre saje."/>
    <d v="2025-05-07T00:00:00"/>
    <n v="0"/>
    <n v="14"/>
    <x v="1"/>
    <x v="4"/>
    <x v="1"/>
  </r>
  <r>
    <x v="1724"/>
    <n v="4063456789014"/>
    <x v="15"/>
    <s v="Krmivo a maškrty – Psy"/>
    <s v="Pupco"/>
    <n v="36"/>
    <n v="1"/>
    <s v="NULL"/>
    <s v=""/>
    <d v="2025-05-07T00:00:00"/>
    <n v="0"/>
    <n v="36"/>
    <x v="0"/>
    <x v="4"/>
    <x v="0"/>
  </r>
  <r>
    <x v="1725"/>
    <n v="4021234567894"/>
    <x v="18"/>
    <s v="Starostlivosť a hygiena – Mačky"/>
    <s v="PawStyle"/>
    <n v="8"/>
    <n v="1"/>
    <s v="NULL"/>
    <s v=""/>
    <d v="2025-05-07T00:00:00"/>
    <n v="0"/>
    <n v="8"/>
    <x v="0"/>
    <x v="4"/>
    <x v="1"/>
  </r>
  <r>
    <x v="1726"/>
    <n v="4056789012345"/>
    <x v="11"/>
    <s v="Krmivo a maškrty – Mačky"/>
    <s v="BellaMeow"/>
    <n v="2.4"/>
    <n v="2"/>
    <s v="NULL"/>
    <s v=""/>
    <d v="2025-05-07T00:00:00"/>
    <n v="0"/>
    <n v="4.8"/>
    <x v="0"/>
    <x v="4"/>
    <x v="1"/>
  </r>
  <r>
    <x v="1727"/>
    <n v="4061011223346"/>
    <x v="3"/>
    <s v="Oblečenie a doplnky – Psy"/>
    <s v="Tail Trend"/>
    <n v="19.600000000000001"/>
    <n v="1"/>
    <s v="NULL"/>
    <s v=""/>
    <d v="2025-05-07T00:00:00"/>
    <n v="0"/>
    <n v="19.600000000000001"/>
    <x v="0"/>
    <x v="4"/>
    <x v="0"/>
  </r>
  <r>
    <x v="1728"/>
    <n v="4026677889902"/>
    <x v="12"/>
    <s v="Misky a kŕmne doplnky – Ostatné"/>
    <s v="Pawsitive Gear"/>
    <n v="7.6"/>
    <n v="1"/>
    <s v="NULL"/>
    <s v=""/>
    <d v="2025-05-07T00:00:00"/>
    <n v="0"/>
    <n v="7.6"/>
    <x v="0"/>
    <x v="4"/>
    <x v="2"/>
  </r>
  <r>
    <x v="1729"/>
    <n v="4028899001126"/>
    <x v="1"/>
    <s v="Krmivo a maškrty – Psy"/>
    <s v="Pup Republic"/>
    <n v="2.8"/>
    <n v="3"/>
    <s v="NULL"/>
    <s v=""/>
    <d v="2025-05-07T00:00:00"/>
    <n v="0"/>
    <n v="8.3999999999999986"/>
    <x v="0"/>
    <x v="4"/>
    <x v="0"/>
  </r>
  <r>
    <x v="1730"/>
    <n v="4013456789017"/>
    <x v="0"/>
    <s v="Krmivo a maškrty – Psy"/>
    <s v="Snouty"/>
    <n v="6"/>
    <n v="1"/>
    <s v="NULL"/>
    <s v=""/>
    <d v="2025-05-07T00:00:00"/>
    <n v="0"/>
    <n v="6"/>
    <x v="0"/>
    <x v="4"/>
    <x v="0"/>
  </r>
  <r>
    <x v="1731"/>
    <n v="4040123456795"/>
    <x v="2"/>
    <s v="Starostlivosť a hygiena – Psy"/>
    <s v="Dogissimo"/>
    <n v="8.8000000000000007"/>
    <n v="1"/>
    <s v="NULL"/>
    <s v=""/>
    <d v="2025-05-07T00:00:00"/>
    <n v="0"/>
    <n v="8.8000000000000007"/>
    <x v="0"/>
    <x v="4"/>
    <x v="0"/>
  </r>
  <r>
    <x v="1732"/>
    <n v="4010123456783"/>
    <x v="6"/>
    <s v="Starostlivosť a hygiena – Mačky"/>
    <s v="BellaMeow"/>
    <n v="14"/>
    <n v="2"/>
    <s v="NULL"/>
    <s v=""/>
    <d v="2025-05-08T00:00:00"/>
    <n v="0"/>
    <n v="28"/>
    <x v="0"/>
    <x v="4"/>
    <x v="1"/>
  </r>
  <r>
    <x v="1733"/>
    <n v="4063456789014"/>
    <x v="15"/>
    <s v="Krmivo a maškrty – Psy"/>
    <s v="Pupco"/>
    <n v="36"/>
    <n v="1"/>
    <s v="NULL"/>
    <s v=""/>
    <d v="2025-05-08T00:00:00"/>
    <n v="0"/>
    <n v="36"/>
    <x v="0"/>
    <x v="4"/>
    <x v="0"/>
  </r>
  <r>
    <x v="1734"/>
    <n v="4021234567894"/>
    <x v="18"/>
    <s v="Starostlivosť a hygiena – Mačky"/>
    <s v="PawStyle"/>
    <n v="8"/>
    <n v="1"/>
    <s v="NULL"/>
    <s v=""/>
    <d v="2025-05-08T00:00:00"/>
    <n v="0"/>
    <n v="8"/>
    <x v="0"/>
    <x v="4"/>
    <x v="1"/>
  </r>
  <r>
    <x v="1735"/>
    <n v="4056789012345"/>
    <x v="11"/>
    <s v="Krmivo a maškrty – Mačky"/>
    <s v="BellaMeow"/>
    <n v="2.4"/>
    <n v="3"/>
    <s v="NULL"/>
    <s v=""/>
    <d v="2025-05-08T00:00:00"/>
    <n v="0"/>
    <n v="7.1999999999999993"/>
    <x v="0"/>
    <x v="4"/>
    <x v="1"/>
  </r>
  <r>
    <x v="1736"/>
    <n v="4061011223346"/>
    <x v="3"/>
    <s v="Oblečenie a doplnky – Psy"/>
    <s v="Tail Trend"/>
    <n v="19.600000000000001"/>
    <n v="1"/>
    <s v="NULL"/>
    <s v=""/>
    <d v="2025-05-08T00:00:00"/>
    <n v="0"/>
    <n v="19.600000000000001"/>
    <x v="0"/>
    <x v="4"/>
    <x v="0"/>
  </r>
  <r>
    <x v="1737"/>
    <n v="4026677889902"/>
    <x v="12"/>
    <s v="Misky a kŕmne doplnky – Ostatné"/>
    <s v="Pawsitive Gear"/>
    <n v="7.6"/>
    <n v="1"/>
    <s v="NULL"/>
    <s v=""/>
    <d v="2025-05-08T00:00:00"/>
    <n v="0"/>
    <n v="7.6"/>
    <x v="0"/>
    <x v="4"/>
    <x v="2"/>
  </r>
  <r>
    <x v="1738"/>
    <n v="4028899001126"/>
    <x v="1"/>
    <s v="Krmivo a maškrty – Psy"/>
    <s v="Pup Republic"/>
    <n v="2.8"/>
    <n v="4"/>
    <s v="5"/>
    <s v="Pes ju miluje, bez problémov."/>
    <d v="2025-05-08T00:00:00"/>
    <n v="0"/>
    <n v="11.2"/>
    <x v="2"/>
    <x v="4"/>
    <x v="0"/>
  </r>
  <r>
    <x v="1739"/>
    <n v="4013456789017"/>
    <x v="0"/>
    <s v="Krmivo a maškrty – Psy"/>
    <s v="Snouty"/>
    <n v="6"/>
    <n v="1"/>
    <s v="NULL"/>
    <s v=""/>
    <d v="2025-05-08T00:00:00"/>
    <n v="0"/>
    <n v="6"/>
    <x v="0"/>
    <x v="4"/>
    <x v="0"/>
  </r>
  <r>
    <x v="1740"/>
    <n v="4040123456795"/>
    <x v="2"/>
    <s v="Starostlivosť a hygiena – Psy"/>
    <s v="Dogissimo"/>
    <n v="8.8000000000000007"/>
    <n v="1"/>
    <s v="NULL"/>
    <s v=""/>
    <d v="2025-05-08T00:00:00"/>
    <n v="0"/>
    <n v="8.8000000000000007"/>
    <x v="0"/>
    <x v="4"/>
    <x v="0"/>
  </r>
  <r>
    <x v="1741"/>
    <n v="4010123456783"/>
    <x v="6"/>
    <s v="Starostlivosť a hygiena – Mačky"/>
    <s v="BellaMeow"/>
    <n v="14"/>
    <n v="1"/>
    <s v="NULL"/>
    <s v=""/>
    <d v="2025-05-08T00:00:00"/>
    <n v="0"/>
    <n v="14"/>
    <x v="0"/>
    <x v="4"/>
    <x v="1"/>
  </r>
  <r>
    <x v="1742"/>
    <n v="4063456789014"/>
    <x v="15"/>
    <s v="Krmivo a maškrty – Psy"/>
    <s v="Pupco"/>
    <n v="36"/>
    <n v="1"/>
    <s v="NULL"/>
    <s v=""/>
    <d v="2025-05-08T00:00:00"/>
    <n v="0"/>
    <n v="36"/>
    <x v="0"/>
    <x v="4"/>
    <x v="0"/>
  </r>
  <r>
    <x v="1743"/>
    <n v="4021234567894"/>
    <x v="18"/>
    <s v="Starostlivosť a hygiena – Mačky"/>
    <s v="PawStyle"/>
    <n v="8"/>
    <n v="1"/>
    <s v="NULL"/>
    <s v=""/>
    <d v="2025-05-08T00:00:00"/>
    <n v="0"/>
    <n v="8"/>
    <x v="0"/>
    <x v="4"/>
    <x v="1"/>
  </r>
  <r>
    <x v="1744"/>
    <n v="4056789012345"/>
    <x v="11"/>
    <s v="Krmivo a maškrty – Mačky"/>
    <s v="BellaMeow"/>
    <n v="2.4"/>
    <n v="3"/>
    <s v="NULL"/>
    <s v=""/>
    <d v="2025-05-08T00:00:00"/>
    <n v="0"/>
    <n v="7.1999999999999993"/>
    <x v="0"/>
    <x v="4"/>
    <x v="1"/>
  </r>
  <r>
    <x v="1745"/>
    <n v="4061011223346"/>
    <x v="3"/>
    <s v="Oblečenie a doplnky – Psy"/>
    <s v="Tail Trend"/>
    <n v="19.600000000000001"/>
    <n v="1"/>
    <s v="NULL"/>
    <s v=""/>
    <d v="2025-05-08T00:00:00"/>
    <n v="0"/>
    <n v="19.600000000000001"/>
    <x v="0"/>
    <x v="4"/>
    <x v="0"/>
  </r>
  <r>
    <x v="1746"/>
    <n v="4026677889902"/>
    <x v="12"/>
    <s v="Misky a kŕmne doplnky – Ostatné"/>
    <s v="Pawsitive Gear"/>
    <n v="7.6"/>
    <n v="1"/>
    <s v="NULL"/>
    <s v=""/>
    <d v="2025-05-09T00:00:00"/>
    <n v="0"/>
    <n v="7.6"/>
    <x v="0"/>
    <x v="4"/>
    <x v="2"/>
  </r>
  <r>
    <x v="1747"/>
    <n v="4028899001126"/>
    <x v="1"/>
    <s v="Krmivo a maškrty – Psy"/>
    <s v="Pup Republic"/>
    <n v="2.8"/>
    <n v="3"/>
    <s v="NULL"/>
    <s v=""/>
    <d v="2025-05-09T00:00:00"/>
    <n v="0"/>
    <n v="8.3999999999999986"/>
    <x v="0"/>
    <x v="4"/>
    <x v="0"/>
  </r>
  <r>
    <x v="1748"/>
    <n v="4013456789017"/>
    <x v="0"/>
    <s v="Krmivo a maškrty – Psy"/>
    <s v="Snouty"/>
    <n v="6"/>
    <n v="1"/>
    <s v="NULL"/>
    <s v=""/>
    <d v="2025-05-09T00:00:00"/>
    <n v="0"/>
    <n v="6"/>
    <x v="0"/>
    <x v="4"/>
    <x v="0"/>
  </r>
  <r>
    <x v="1749"/>
    <n v="4040123456795"/>
    <x v="2"/>
    <s v="Starostlivosť a hygiena – Psy"/>
    <s v="Dogissimo"/>
    <n v="8.8000000000000007"/>
    <n v="1"/>
    <s v="NULL"/>
    <s v=""/>
    <d v="2025-05-09T00:00:00"/>
    <n v="0"/>
    <n v="8.8000000000000007"/>
    <x v="0"/>
    <x v="4"/>
    <x v="0"/>
  </r>
  <r>
    <x v="1750"/>
    <n v="4010123456783"/>
    <x v="6"/>
    <s v="Starostlivosť a hygiena – Mačky"/>
    <s v="BellaMeow"/>
    <n v="14"/>
    <n v="1"/>
    <s v="NULL"/>
    <s v=""/>
    <d v="2025-05-09T00:00:00"/>
    <n v="0"/>
    <n v="14"/>
    <x v="0"/>
    <x v="4"/>
    <x v="1"/>
  </r>
  <r>
    <x v="1751"/>
    <n v="4063456789014"/>
    <x v="15"/>
    <s v="Krmivo a maškrty – Psy"/>
    <s v="Pupco"/>
    <n v="36"/>
    <n v="1"/>
    <s v="3"/>
    <s v="Pes to je, ale balenie by mohlo byť väčšie."/>
    <d v="2025-05-09T00:00:00"/>
    <n v="0"/>
    <n v="36"/>
    <x v="3"/>
    <x v="4"/>
    <x v="0"/>
  </r>
  <r>
    <x v="1752"/>
    <n v="4021234567894"/>
    <x v="18"/>
    <s v="Starostlivosť a hygiena – Mačky"/>
    <s v="PawStyle"/>
    <n v="8"/>
    <n v="1"/>
    <s v="NULL"/>
    <s v=""/>
    <d v="2025-05-09T00:00:00"/>
    <n v="0"/>
    <n v="8"/>
    <x v="0"/>
    <x v="4"/>
    <x v="1"/>
  </r>
  <r>
    <x v="1753"/>
    <n v="4056789012345"/>
    <x v="11"/>
    <s v="Krmivo a maškrty – Mačky"/>
    <s v="BellaMeow"/>
    <n v="2.4"/>
    <n v="3"/>
    <s v="NULL"/>
    <s v=""/>
    <d v="2025-05-09T00:00:00"/>
    <n v="0"/>
    <n v="7.1999999999999993"/>
    <x v="0"/>
    <x v="4"/>
    <x v="1"/>
  </r>
  <r>
    <x v="1754"/>
    <n v="4061011223346"/>
    <x v="3"/>
    <s v="Oblečenie a doplnky – Psy"/>
    <s v="Tail Trend"/>
    <n v="19.600000000000001"/>
    <n v="1"/>
    <s v="NULL"/>
    <s v=""/>
    <d v="2025-05-09T00:00:00"/>
    <n v="0"/>
    <n v="19.600000000000001"/>
    <x v="0"/>
    <x v="4"/>
    <x v="0"/>
  </r>
  <r>
    <x v="1755"/>
    <n v="4026677889902"/>
    <x v="12"/>
    <s v="Misky a kŕmne doplnky – Ostatné"/>
    <s v="Pawsitive Gear"/>
    <n v="7.6"/>
    <n v="1"/>
    <s v="NULL"/>
    <s v=""/>
    <d v="2025-05-09T00:00:00"/>
    <n v="0"/>
    <n v="7.6"/>
    <x v="0"/>
    <x v="4"/>
    <x v="2"/>
  </r>
  <r>
    <x v="1756"/>
    <n v="4028899001126"/>
    <x v="1"/>
    <s v="Krmivo a maškrty – Psy"/>
    <s v="Pup Republic"/>
    <n v="2.8"/>
    <n v="4"/>
    <s v="NULL"/>
    <s v=""/>
    <d v="2025-05-09T00:00:00"/>
    <n v="0"/>
    <n v="11.2"/>
    <x v="0"/>
    <x v="4"/>
    <x v="0"/>
  </r>
  <r>
    <x v="1757"/>
    <n v="4013456789017"/>
    <x v="0"/>
    <s v="Krmivo a maškrty – Psy"/>
    <s v="Snouty"/>
    <n v="6"/>
    <n v="1"/>
    <s v="NULL"/>
    <s v=""/>
    <d v="2025-05-09T00:00:00"/>
    <n v="0"/>
    <n v="6"/>
    <x v="0"/>
    <x v="4"/>
    <x v="0"/>
  </r>
  <r>
    <x v="1758"/>
    <n v="4040123456795"/>
    <x v="2"/>
    <s v="Starostlivosť a hygiena – Psy"/>
    <s v="Dogissimo"/>
    <n v="8.8000000000000007"/>
    <n v="1"/>
    <s v="NULL"/>
    <s v=""/>
    <d v="2025-05-09T00:00:00"/>
    <n v="0"/>
    <n v="8.8000000000000007"/>
    <x v="0"/>
    <x v="4"/>
    <x v="0"/>
  </r>
  <r>
    <x v="1759"/>
    <n v="4010123456783"/>
    <x v="6"/>
    <s v="Starostlivosť a hygiena – Mačky"/>
    <s v="BellaMeow"/>
    <n v="14"/>
    <n v="2"/>
    <s v="NULL"/>
    <s v=""/>
    <d v="2025-05-09T00:00:00"/>
    <n v="0"/>
    <n v="28"/>
    <x v="0"/>
    <x v="4"/>
    <x v="1"/>
  </r>
  <r>
    <x v="1760"/>
    <n v="4063456789014"/>
    <x v="15"/>
    <s v="Krmivo a maškrty – Psy"/>
    <s v="Pupco"/>
    <n v="36"/>
    <n v="1"/>
    <s v="NULL"/>
    <s v=""/>
    <d v="2025-05-10T00:00:00"/>
    <n v="0"/>
    <n v="36"/>
    <x v="0"/>
    <x v="4"/>
    <x v="0"/>
  </r>
  <r>
    <x v="1761"/>
    <n v="4021234567894"/>
    <x v="18"/>
    <s v="Starostlivosť a hygiena – Mačky"/>
    <s v="PawStyle"/>
    <n v="8"/>
    <n v="1"/>
    <s v="NULL"/>
    <s v=""/>
    <d v="2025-05-10T00:00:00"/>
    <n v="0"/>
    <n v="8"/>
    <x v="0"/>
    <x v="4"/>
    <x v="1"/>
  </r>
  <r>
    <x v="1762"/>
    <n v="4056789012345"/>
    <x v="11"/>
    <s v="Krmivo a maškrty – Mačky"/>
    <s v="BellaMeow"/>
    <n v="2.4"/>
    <n v="3"/>
    <s v="NULL"/>
    <s v=""/>
    <d v="2025-05-10T00:00:00"/>
    <n v="0"/>
    <n v="7.1999999999999993"/>
    <x v="0"/>
    <x v="4"/>
    <x v="1"/>
  </r>
  <r>
    <x v="1763"/>
    <n v="4061011223346"/>
    <x v="3"/>
    <s v="Oblečenie a doplnky – Psy"/>
    <s v="Tail Trend"/>
    <n v="19.600000000000001"/>
    <n v="1"/>
    <s v="NULL"/>
    <s v=""/>
    <d v="2025-05-10T00:00:00"/>
    <n v="0"/>
    <n v="19.600000000000001"/>
    <x v="0"/>
    <x v="4"/>
    <x v="0"/>
  </r>
  <r>
    <x v="1764"/>
    <n v="4026677889902"/>
    <x v="12"/>
    <s v="Misky a kŕmne doplnky – Ostatné"/>
    <s v="Pawsitive Gear"/>
    <n v="7.6"/>
    <n v="1"/>
    <s v="NULL"/>
    <s v=""/>
    <d v="2025-05-10T00:00:00"/>
    <n v="0"/>
    <n v="7.6"/>
    <x v="0"/>
    <x v="4"/>
    <x v="2"/>
  </r>
  <r>
    <x v="1765"/>
    <n v="4028899001126"/>
    <x v="1"/>
    <s v="Krmivo a maškrty – Psy"/>
    <s v="Pup Republic"/>
    <n v="2.8"/>
    <n v="3"/>
    <s v="5"/>
    <s v="Pes to zbožňuje, výborná cena."/>
    <d v="2025-05-10T00:00:00"/>
    <n v="0"/>
    <n v="8.3999999999999986"/>
    <x v="2"/>
    <x v="4"/>
    <x v="0"/>
  </r>
  <r>
    <x v="1766"/>
    <n v="4013456789017"/>
    <x v="0"/>
    <s v="Krmivo a maškrty – Psy"/>
    <s v="Snouty"/>
    <n v="6"/>
    <n v="1"/>
    <s v="NULL"/>
    <s v=""/>
    <d v="2025-05-10T00:00:00"/>
    <n v="0"/>
    <n v="6"/>
    <x v="0"/>
    <x v="4"/>
    <x v="0"/>
  </r>
  <r>
    <x v="1767"/>
    <n v="4040123456795"/>
    <x v="2"/>
    <s v="Starostlivosť a hygiena – Psy"/>
    <s v="Dogissimo"/>
    <n v="8.8000000000000007"/>
    <n v="1"/>
    <s v="NULL"/>
    <s v=""/>
    <d v="2025-05-10T00:00:00"/>
    <n v="0"/>
    <n v="8.8000000000000007"/>
    <x v="0"/>
    <x v="4"/>
    <x v="0"/>
  </r>
  <r>
    <x v="1768"/>
    <n v="4010123456783"/>
    <x v="6"/>
    <s v="Starostlivosť a hygiena – Mačky"/>
    <s v="BellaMeow"/>
    <n v="14"/>
    <n v="1"/>
    <s v="NULL"/>
    <s v=""/>
    <d v="2025-05-10T00:00:00"/>
    <n v="0"/>
    <n v="14"/>
    <x v="0"/>
    <x v="4"/>
    <x v="1"/>
  </r>
  <r>
    <x v="1769"/>
    <n v="4063456789014"/>
    <x v="15"/>
    <s v="Krmivo a maškrty – Psy"/>
    <s v="Pupco"/>
    <n v="36"/>
    <n v="1"/>
    <s v="NULL"/>
    <s v=""/>
    <d v="2025-05-10T00:00:00"/>
    <n v="0"/>
    <n v="36"/>
    <x v="0"/>
    <x v="4"/>
    <x v="0"/>
  </r>
  <r>
    <x v="1770"/>
    <n v="4021234567894"/>
    <x v="18"/>
    <s v="Starostlivosť a hygiena – Mačky"/>
    <s v="PawStyle"/>
    <n v="8"/>
    <n v="1"/>
    <s v="NULL"/>
    <s v=""/>
    <d v="2025-05-10T00:00:00"/>
    <n v="0"/>
    <n v="8"/>
    <x v="0"/>
    <x v="4"/>
    <x v="1"/>
  </r>
  <r>
    <x v="1771"/>
    <n v="4056789012345"/>
    <x v="11"/>
    <s v="Krmivo a maškrty – Mačky"/>
    <s v="BellaMeow"/>
    <n v="2.4"/>
    <n v="3"/>
    <s v="NULL"/>
    <s v=""/>
    <d v="2025-05-10T00:00:00"/>
    <n v="0"/>
    <n v="7.1999999999999993"/>
    <x v="0"/>
    <x v="4"/>
    <x v="1"/>
  </r>
  <r>
    <x v="1772"/>
    <n v="4061011223346"/>
    <x v="3"/>
    <s v="Oblečenie a doplnky – Psy"/>
    <s v="Tail Trend"/>
    <n v="19.600000000000001"/>
    <n v="1"/>
    <s v="NULL"/>
    <s v=""/>
    <d v="2025-05-10T00:00:00"/>
    <n v="0"/>
    <n v="19.600000000000001"/>
    <x v="0"/>
    <x v="4"/>
    <x v="0"/>
  </r>
  <r>
    <x v="1773"/>
    <n v="4026677889902"/>
    <x v="12"/>
    <s v="Misky a kŕmne doplnky – Ostatné"/>
    <s v="Pawsitive Gear"/>
    <n v="7.6"/>
    <n v="1"/>
    <s v="NULL"/>
    <s v=""/>
    <d v="2025-05-11T00:00:00"/>
    <n v="0"/>
    <n v="7.6"/>
    <x v="0"/>
    <x v="4"/>
    <x v="2"/>
  </r>
  <r>
    <x v="1774"/>
    <n v="4028899001126"/>
    <x v="1"/>
    <s v="Krmivo a maškrty – Psy"/>
    <s v="Pup Republic"/>
    <n v="2.8"/>
    <n v="3"/>
    <s v="NULL"/>
    <s v=""/>
    <d v="2025-05-11T00:00:00"/>
    <n v="0"/>
    <n v="8.3999999999999986"/>
    <x v="0"/>
    <x v="4"/>
    <x v="0"/>
  </r>
  <r>
    <x v="1775"/>
    <n v="4013456789017"/>
    <x v="0"/>
    <s v="Krmivo a maškrty – Psy"/>
    <s v="Snouty"/>
    <n v="6"/>
    <n v="1"/>
    <s v="NULL"/>
    <s v=""/>
    <d v="2025-05-11T00:00:00"/>
    <n v="0"/>
    <n v="6"/>
    <x v="0"/>
    <x v="4"/>
    <x v="0"/>
  </r>
  <r>
    <x v="1776"/>
    <n v="4040123456795"/>
    <x v="2"/>
    <s v="Starostlivosť a hygiena – Psy"/>
    <s v="Dogissimo"/>
    <n v="8.8000000000000007"/>
    <n v="1"/>
    <s v="NULL"/>
    <s v=""/>
    <d v="2025-05-11T00:00:00"/>
    <n v="0"/>
    <n v="8.8000000000000007"/>
    <x v="0"/>
    <x v="4"/>
    <x v="0"/>
  </r>
  <r>
    <x v="1777"/>
    <n v="4010123456783"/>
    <x v="6"/>
    <s v="Starostlivosť a hygiena – Mačky"/>
    <s v="BellaMeow"/>
    <n v="14"/>
    <n v="2"/>
    <s v="NULL"/>
    <s v=""/>
    <d v="2025-05-11T00:00:00"/>
    <n v="0"/>
    <n v="28"/>
    <x v="0"/>
    <x v="4"/>
    <x v="1"/>
  </r>
  <r>
    <x v="1778"/>
    <n v="4063456789014"/>
    <x v="15"/>
    <s v="Krmivo a maškrty – Psy"/>
    <s v="Pupco"/>
    <n v="36"/>
    <n v="1"/>
    <s v="NULL"/>
    <s v=""/>
    <d v="2025-05-11T00:00:00"/>
    <n v="0"/>
    <n v="36"/>
    <x v="0"/>
    <x v="4"/>
    <x v="0"/>
  </r>
  <r>
    <x v="1779"/>
    <n v="4021234567894"/>
    <x v="18"/>
    <s v="Starostlivosť a hygiena – Mačky"/>
    <s v="PawStyle"/>
    <n v="8"/>
    <n v="1"/>
    <s v="NULL"/>
    <s v=""/>
    <d v="2025-05-11T00:00:00"/>
    <n v="0"/>
    <n v="8"/>
    <x v="0"/>
    <x v="4"/>
    <x v="1"/>
  </r>
  <r>
    <x v="1780"/>
    <n v="4056789012345"/>
    <x v="11"/>
    <s v="Krmivo a maškrty – Mačky"/>
    <s v="BellaMeow"/>
    <n v="2.4"/>
    <n v="3"/>
    <s v="NULL"/>
    <s v=""/>
    <d v="2025-05-11T00:00:00"/>
    <n v="0"/>
    <n v="7.1999999999999993"/>
    <x v="0"/>
    <x v="4"/>
    <x v="1"/>
  </r>
  <r>
    <x v="1781"/>
    <n v="4061011223346"/>
    <x v="3"/>
    <s v="Oblečenie a doplnky – Psy"/>
    <s v="Tail Trend"/>
    <n v="19.600000000000001"/>
    <n v="1"/>
    <s v="NULL"/>
    <s v=""/>
    <d v="2025-05-11T00:00:00"/>
    <n v="0"/>
    <n v="19.600000000000001"/>
    <x v="0"/>
    <x v="4"/>
    <x v="0"/>
  </r>
  <r>
    <x v="1782"/>
    <n v="4026677889902"/>
    <x v="12"/>
    <s v="Misky a kŕmne doplnky – Ostatné"/>
    <s v="Pawsitive Gear"/>
    <n v="7.6"/>
    <n v="1"/>
    <s v="4"/>
    <s v="Dobrá miska, stabilní."/>
    <d v="2025-05-11T00:00:00"/>
    <n v="0"/>
    <n v="7.6"/>
    <x v="1"/>
    <x v="4"/>
    <x v="2"/>
  </r>
  <r>
    <x v="1783"/>
    <n v="4028899001126"/>
    <x v="1"/>
    <s v="Krmivo a maškrty – Psy"/>
    <s v="Pup Republic"/>
    <n v="2.8"/>
    <n v="4"/>
    <s v="NULL"/>
    <s v=""/>
    <d v="2025-05-11T00:00:00"/>
    <n v="0"/>
    <n v="11.2"/>
    <x v="0"/>
    <x v="4"/>
    <x v="0"/>
  </r>
  <r>
    <x v="1784"/>
    <n v="4013456789017"/>
    <x v="0"/>
    <s v="Krmivo a maškrty – Psy"/>
    <s v="Snouty"/>
    <n v="6"/>
    <n v="1"/>
    <s v="NULL"/>
    <s v=""/>
    <d v="2025-05-12T00:00:00"/>
    <n v="0"/>
    <n v="6"/>
    <x v="0"/>
    <x v="4"/>
    <x v="0"/>
  </r>
  <r>
    <x v="1785"/>
    <n v="4040123456795"/>
    <x v="2"/>
    <s v="Starostlivosť a hygiena – Psy"/>
    <s v="Dogissimo"/>
    <n v="8.8000000000000007"/>
    <n v="1"/>
    <s v="NULL"/>
    <s v=""/>
    <d v="2025-05-12T00:00:00"/>
    <n v="0"/>
    <n v="8.8000000000000007"/>
    <x v="0"/>
    <x v="4"/>
    <x v="0"/>
  </r>
  <r>
    <x v="1786"/>
    <n v="4010123456783"/>
    <x v="6"/>
    <s v="Starostlivosť a hygiena – Mačky"/>
    <s v="BellaMeow"/>
    <n v="14"/>
    <n v="1"/>
    <s v="NULL"/>
    <s v=""/>
    <d v="2025-05-12T00:00:00"/>
    <n v="0"/>
    <n v="14"/>
    <x v="0"/>
    <x v="4"/>
    <x v="1"/>
  </r>
  <r>
    <x v="1787"/>
    <n v="4063456789014"/>
    <x v="15"/>
    <s v="Krmivo a maškrty – Psy"/>
    <s v="Pupco"/>
    <n v="36"/>
    <n v="1"/>
    <s v="5"/>
    <s v="Pes spokojný, kupujeme stále."/>
    <d v="2025-05-12T00:00:00"/>
    <n v="0"/>
    <n v="36"/>
    <x v="2"/>
    <x v="4"/>
    <x v="0"/>
  </r>
  <r>
    <x v="1788"/>
    <n v="4021234567894"/>
    <x v="18"/>
    <s v="Starostlivosť a hygiena – Mačky"/>
    <s v="PawStyle"/>
    <n v="8"/>
    <n v="1"/>
    <s v="NULL"/>
    <s v=""/>
    <d v="2025-05-12T00:00:00"/>
    <n v="0"/>
    <n v="8"/>
    <x v="0"/>
    <x v="4"/>
    <x v="1"/>
  </r>
  <r>
    <x v="1789"/>
    <n v="4056789012345"/>
    <x v="11"/>
    <s v="Krmivo a maškrty – Mačky"/>
    <s v="BellaMeow"/>
    <n v="2.4"/>
    <n v="3"/>
    <s v="NULL"/>
    <s v=""/>
    <d v="2025-05-12T00:00:00"/>
    <n v="0"/>
    <n v="7.1999999999999993"/>
    <x v="0"/>
    <x v="4"/>
    <x v="1"/>
  </r>
  <r>
    <x v="1790"/>
    <n v="4061011223346"/>
    <x v="3"/>
    <s v="Oblečenie a doplnky – Psy"/>
    <s v="Tail Trend"/>
    <n v="19.600000000000001"/>
    <n v="1"/>
    <s v="NULL"/>
    <s v=""/>
    <d v="2025-05-12T00:00:00"/>
    <n v="0"/>
    <n v="19.600000000000001"/>
    <x v="0"/>
    <x v="4"/>
    <x v="0"/>
  </r>
  <r>
    <x v="1791"/>
    <n v="4026677889902"/>
    <x v="12"/>
    <s v="Misky a kŕmne doplnky – Ostatné"/>
    <s v="Pawsitive Gear"/>
    <n v="7.6"/>
    <n v="1"/>
    <s v="NULL"/>
    <s v=""/>
    <d v="2025-05-12T00:00:00"/>
    <n v="0"/>
    <n v="7.6"/>
    <x v="0"/>
    <x v="4"/>
    <x v="2"/>
  </r>
  <r>
    <x v="1792"/>
    <n v="4028899001126"/>
    <x v="1"/>
    <s v="Krmivo a maškrty – Psy"/>
    <s v="Pup Republic"/>
    <n v="2.8"/>
    <n v="3"/>
    <s v="NULL"/>
    <s v=""/>
    <d v="2025-05-12T00:00:00"/>
    <n v="0"/>
    <n v="8.3999999999999986"/>
    <x v="0"/>
    <x v="4"/>
    <x v="0"/>
  </r>
  <r>
    <x v="1793"/>
    <n v="4013456789017"/>
    <x v="0"/>
    <s v="Krmivo a maškrty – Psy"/>
    <s v="Snouty"/>
    <n v="6"/>
    <n v="1"/>
    <s v="NULL"/>
    <s v=""/>
    <d v="2025-05-12T00:00:00"/>
    <n v="0"/>
    <n v="6"/>
    <x v="0"/>
    <x v="4"/>
    <x v="0"/>
  </r>
  <r>
    <x v="1794"/>
    <n v="4040123456795"/>
    <x v="2"/>
    <s v="Starostlivosť a hygiena – Psy"/>
    <s v="Dogissimo"/>
    <n v="8.8000000000000007"/>
    <n v="1"/>
    <s v="NULL"/>
    <s v=""/>
    <d v="2025-05-12T00:00:00"/>
    <n v="0"/>
    <n v="8.8000000000000007"/>
    <x v="0"/>
    <x v="4"/>
    <x v="0"/>
  </r>
  <r>
    <x v="1795"/>
    <n v="4010123456783"/>
    <x v="6"/>
    <s v="Starostlivosť a hygiena – Mačky"/>
    <s v="BellaMeow"/>
    <n v="14"/>
    <n v="2"/>
    <s v="NULL"/>
    <s v=""/>
    <d v="2025-05-12T00:00:00"/>
    <n v="0"/>
    <n v="28"/>
    <x v="0"/>
    <x v="4"/>
    <x v="1"/>
  </r>
  <r>
    <x v="1796"/>
    <n v="4063456789014"/>
    <x v="15"/>
    <s v="Krmivo a maškrty – Psy"/>
    <s v="Pupco"/>
    <n v="36"/>
    <n v="1"/>
    <s v="NULL"/>
    <s v=""/>
    <d v="2025-05-13T00:00:00"/>
    <n v="0"/>
    <n v="36"/>
    <x v="0"/>
    <x v="4"/>
    <x v="0"/>
  </r>
  <r>
    <x v="1797"/>
    <n v="4021234567894"/>
    <x v="18"/>
    <s v="Starostlivosť a hygiena – Mačky"/>
    <s v="PawStyle"/>
    <n v="8"/>
    <n v="1"/>
    <s v="NULL"/>
    <s v=""/>
    <d v="2025-05-13T00:00:00"/>
    <n v="0"/>
    <n v="8"/>
    <x v="0"/>
    <x v="4"/>
    <x v="1"/>
  </r>
  <r>
    <x v="1798"/>
    <n v="4056789012345"/>
    <x v="11"/>
    <s v="Krmivo a maškrty – Mačky"/>
    <s v="BellaMeow"/>
    <n v="2.4"/>
    <n v="3"/>
    <s v="NULL"/>
    <s v=""/>
    <d v="2025-05-13T00:00:00"/>
    <n v="0"/>
    <n v="7.1999999999999993"/>
    <x v="0"/>
    <x v="4"/>
    <x v="1"/>
  </r>
  <r>
    <x v="1799"/>
    <n v="4061011223346"/>
    <x v="3"/>
    <s v="Oblečenie a doplnky – Psy"/>
    <s v="Tail Trend"/>
    <n v="19.600000000000001"/>
    <n v="1"/>
    <s v="NULL"/>
    <s v=""/>
    <d v="2025-05-13T00:00:00"/>
    <n v="0"/>
    <n v="19.600000000000001"/>
    <x v="0"/>
    <x v="4"/>
    <x v="0"/>
  </r>
  <r>
    <x v="1800"/>
    <n v="4026677889902"/>
    <x v="12"/>
    <s v="Misky a kŕmne doplnky – Ostatné"/>
    <s v="Pawsitive Gear"/>
    <n v="7.6"/>
    <n v="1"/>
    <s v="NULL"/>
    <s v=""/>
    <d v="2025-05-13T00:00:00"/>
    <n v="0"/>
    <n v="7.6"/>
    <x v="0"/>
    <x v="4"/>
    <x v="2"/>
  </r>
  <r>
    <x v="1801"/>
    <n v="4028899001126"/>
    <x v="1"/>
    <s v="Krmivo a maškrty – Psy"/>
    <s v="Pup Republic"/>
    <n v="2.8"/>
    <n v="4"/>
    <s v="NULL"/>
    <s v=""/>
    <d v="2025-05-13T00:00:00"/>
    <n v="0"/>
    <n v="11.2"/>
    <x v="0"/>
    <x v="4"/>
    <x v="0"/>
  </r>
  <r>
    <x v="1802"/>
    <n v="4013456789017"/>
    <x v="0"/>
    <s v="Krmivo a maškrty – Psy"/>
    <s v="Snouty"/>
    <n v="6"/>
    <n v="1"/>
    <s v="NULL"/>
    <s v=""/>
    <d v="2025-05-13T00:00:00"/>
    <n v="0"/>
    <n v="6"/>
    <x v="0"/>
    <x v="4"/>
    <x v="0"/>
  </r>
  <r>
    <x v="1803"/>
    <n v="4040123456795"/>
    <x v="2"/>
    <s v="Starostlivosť a hygiena – Psy"/>
    <s v="Dogissimo"/>
    <n v="8.8000000000000007"/>
    <n v="1"/>
    <s v="NULL"/>
    <s v=""/>
    <d v="2025-05-13T00:00:00"/>
    <n v="0"/>
    <n v="8.8000000000000007"/>
    <x v="0"/>
    <x v="4"/>
    <x v="0"/>
  </r>
  <r>
    <x v="1804"/>
    <n v="4010123456783"/>
    <x v="6"/>
    <s v="Starostlivosť a hygiena – Mačky"/>
    <s v="BellaMeow"/>
    <n v="14"/>
    <n v="1"/>
    <s v="NULL"/>
    <s v=""/>
    <d v="2025-05-13T00:00:00"/>
    <n v="0"/>
    <n v="14"/>
    <x v="0"/>
    <x v="4"/>
    <x v="1"/>
  </r>
  <r>
    <x v="1805"/>
    <n v="4063456789014"/>
    <x v="15"/>
    <s v="Krmivo a maškrty – Psy"/>
    <s v="Pupco"/>
    <n v="36"/>
    <n v="1"/>
    <s v="NULL"/>
    <s v=""/>
    <d v="2025-05-13T00:00:00"/>
    <n v="0"/>
    <n v="36"/>
    <x v="0"/>
    <x v="4"/>
    <x v="0"/>
  </r>
  <r>
    <x v="1806"/>
    <n v="4021234567894"/>
    <x v="18"/>
    <s v="Starostlivosť a hygiena – Mačky"/>
    <s v="PawStyle"/>
    <n v="8"/>
    <n v="1"/>
    <s v="NULL"/>
    <s v=""/>
    <d v="2025-05-13T00:00:00"/>
    <n v="0"/>
    <n v="8"/>
    <x v="0"/>
    <x v="4"/>
    <x v="1"/>
  </r>
  <r>
    <x v="1807"/>
    <n v="4056789012345"/>
    <x v="11"/>
    <s v="Krmivo a maškrty – Mačky"/>
    <s v="BellaMeow"/>
    <n v="2.4"/>
    <n v="2"/>
    <s v="NULL"/>
    <s v=""/>
    <d v="2025-05-13T00:00:00"/>
    <n v="0"/>
    <n v="4.8"/>
    <x v="0"/>
    <x v="4"/>
    <x v="1"/>
  </r>
  <r>
    <x v="1808"/>
    <n v="4061011223346"/>
    <x v="3"/>
    <s v="Oblečenie a doplnky – Psy"/>
    <s v="Tail Trend"/>
    <n v="19.600000000000001"/>
    <n v="1"/>
    <s v="NULL"/>
    <s v=""/>
    <d v="2025-05-13T00:00:00"/>
    <n v="0"/>
    <n v="19.600000000000001"/>
    <x v="0"/>
    <x v="4"/>
    <x v="0"/>
  </r>
  <r>
    <x v="1809"/>
    <n v="4026677889902"/>
    <x v="12"/>
    <s v="Misky a kŕmne doplnky – Ostatné"/>
    <s v="Pawsitive Gear"/>
    <n v="7.6"/>
    <n v="1"/>
    <s v="NULL"/>
    <s v=""/>
    <d v="2025-05-14T00:00:00"/>
    <n v="0"/>
    <n v="7.6"/>
    <x v="0"/>
    <x v="4"/>
    <x v="2"/>
  </r>
  <r>
    <x v="1810"/>
    <n v="4028899001126"/>
    <x v="1"/>
    <s v="Krmivo a maškrty – Psy"/>
    <s v="Pup Republic"/>
    <n v="2.8"/>
    <n v="4"/>
    <s v="5"/>
    <s v="Pes to zbožňuje, odporúčam!"/>
    <d v="2025-05-14T00:00:00"/>
    <n v="0"/>
    <n v="11.2"/>
    <x v="2"/>
    <x v="4"/>
    <x v="0"/>
  </r>
  <r>
    <x v="1811"/>
    <n v="4013456789017"/>
    <x v="0"/>
    <s v="Krmivo a maškrty – Psy"/>
    <s v="Snouty"/>
    <n v="6"/>
    <n v="1"/>
    <s v="NULL"/>
    <s v=""/>
    <d v="2025-05-14T00:00:00"/>
    <n v="0"/>
    <n v="6"/>
    <x v="0"/>
    <x v="4"/>
    <x v="0"/>
  </r>
  <r>
    <x v="1812"/>
    <n v="4040123456795"/>
    <x v="2"/>
    <s v="Starostlivosť a hygiena – Psy"/>
    <s v="Dogissimo"/>
    <n v="8.8000000000000007"/>
    <n v="1"/>
    <s v="NULL"/>
    <s v=""/>
    <d v="2025-05-14T00:00:00"/>
    <n v="0"/>
    <n v="8.8000000000000007"/>
    <x v="0"/>
    <x v="4"/>
    <x v="0"/>
  </r>
  <r>
    <x v="1813"/>
    <n v="4010123456783"/>
    <x v="6"/>
    <s v="Starostlivosť a hygiena – Mačky"/>
    <s v="BellaMeow"/>
    <n v="14"/>
    <n v="2"/>
    <s v="NULL"/>
    <s v=""/>
    <d v="2025-05-14T00:00:00"/>
    <n v="0"/>
    <n v="28"/>
    <x v="0"/>
    <x v="4"/>
    <x v="1"/>
  </r>
  <r>
    <x v="1814"/>
    <n v="4063456789014"/>
    <x v="15"/>
    <s v="Krmivo a maškrty – Psy"/>
    <s v="Pupco"/>
    <n v="36"/>
    <n v="1"/>
    <s v="NULL"/>
    <s v=""/>
    <d v="2025-05-14T00:00:00"/>
    <n v="0"/>
    <n v="36"/>
    <x v="0"/>
    <x v="4"/>
    <x v="0"/>
  </r>
  <r>
    <x v="1815"/>
    <n v="4021234567894"/>
    <x v="18"/>
    <s v="Starostlivosť a hygiena – Mačky"/>
    <s v="PawStyle"/>
    <n v="8"/>
    <n v="1"/>
    <s v="NULL"/>
    <s v=""/>
    <d v="2025-05-14T00:00:00"/>
    <n v="0"/>
    <n v="8"/>
    <x v="0"/>
    <x v="4"/>
    <x v="1"/>
  </r>
  <r>
    <x v="1816"/>
    <n v="4056789012345"/>
    <x v="11"/>
    <s v="Krmivo a maškrty – Mačky"/>
    <s v="BellaMeow"/>
    <n v="2.4"/>
    <n v="2"/>
    <s v="NULL"/>
    <s v=""/>
    <d v="2025-05-14T00:00:00"/>
    <n v="0"/>
    <n v="4.8"/>
    <x v="0"/>
    <x v="4"/>
    <x v="1"/>
  </r>
  <r>
    <x v="1817"/>
    <n v="4061011223346"/>
    <x v="3"/>
    <s v="Oblečenie a doplnky – Psy"/>
    <s v="Tail Trend"/>
    <n v="19.600000000000001"/>
    <n v="1"/>
    <s v="NULL"/>
    <s v=""/>
    <d v="2025-05-14T00:00:00"/>
    <n v="0"/>
    <n v="19.600000000000001"/>
    <x v="0"/>
    <x v="4"/>
    <x v="0"/>
  </r>
  <r>
    <x v="1818"/>
    <n v="4026677889902"/>
    <x v="12"/>
    <s v="Misky a kŕmne doplnky – Ostatné"/>
    <s v="Pawsitive Gear"/>
    <n v="7.6"/>
    <n v="1"/>
    <s v="NULL"/>
    <s v=""/>
    <d v="2025-05-14T00:00:00"/>
    <n v="0"/>
    <n v="7.6"/>
    <x v="0"/>
    <x v="4"/>
    <x v="2"/>
  </r>
  <r>
    <x v="1819"/>
    <n v="4028899001126"/>
    <x v="1"/>
    <s v="Krmivo a maškrty – Psy"/>
    <s v="Pup Republic"/>
    <n v="2.8"/>
    <n v="3"/>
    <s v="NULL"/>
    <s v=""/>
    <d v="2025-05-15T00:00:00"/>
    <n v="0"/>
    <n v="8.3999999999999986"/>
    <x v="0"/>
    <x v="4"/>
    <x v="0"/>
  </r>
  <r>
    <x v="1820"/>
    <n v="4013456789017"/>
    <x v="0"/>
    <s v="Krmivo a maškrty – Psy"/>
    <s v="Snouty"/>
    <n v="6"/>
    <n v="1"/>
    <s v="NULL"/>
    <s v=""/>
    <d v="2025-05-15T00:00:00"/>
    <n v="0"/>
    <n v="6"/>
    <x v="0"/>
    <x v="4"/>
    <x v="0"/>
  </r>
  <r>
    <x v="1821"/>
    <n v="4040123456795"/>
    <x v="2"/>
    <s v="Starostlivosť a hygiena – Psy"/>
    <s v="Dogissimo"/>
    <n v="8.8000000000000007"/>
    <n v="1"/>
    <s v="NULL"/>
    <s v=""/>
    <d v="2025-05-15T00:00:00"/>
    <n v="0"/>
    <n v="8.8000000000000007"/>
    <x v="0"/>
    <x v="4"/>
    <x v="0"/>
  </r>
  <r>
    <x v="1822"/>
    <n v="4010123456783"/>
    <x v="6"/>
    <s v="Starostlivosť a hygiena – Mačky"/>
    <s v="BellaMeow"/>
    <n v="14"/>
    <n v="1"/>
    <s v="NULL"/>
    <s v=""/>
    <d v="2025-05-15T00:00:00"/>
    <n v="0"/>
    <n v="14"/>
    <x v="0"/>
    <x v="4"/>
    <x v="1"/>
  </r>
  <r>
    <x v="1823"/>
    <n v="4063456789014"/>
    <x v="15"/>
    <s v="Krmivo a maškrty – Psy"/>
    <s v="Pupco"/>
    <n v="36"/>
    <n v="1"/>
    <s v="NULL"/>
    <s v=""/>
    <d v="2025-05-15T00:00:00"/>
    <n v="0"/>
    <n v="36"/>
    <x v="0"/>
    <x v="4"/>
    <x v="0"/>
  </r>
  <r>
    <x v="1824"/>
    <n v="4021234567894"/>
    <x v="18"/>
    <s v="Starostlivosť a hygiena – Mačky"/>
    <s v="PawStyle"/>
    <n v="8"/>
    <n v="1"/>
    <s v="NULL"/>
    <s v=""/>
    <d v="2025-05-15T00:00:00"/>
    <n v="0"/>
    <n v="8"/>
    <x v="0"/>
    <x v="4"/>
    <x v="1"/>
  </r>
  <r>
    <x v="1825"/>
    <n v="4056789012345"/>
    <x v="11"/>
    <s v="Krmivo a maškrty – Mačky"/>
    <s v="BellaMeow"/>
    <n v="2.4"/>
    <n v="3"/>
    <s v="NULL"/>
    <s v=""/>
    <d v="2025-05-15T00:00:00"/>
    <n v="0"/>
    <n v="7.1999999999999993"/>
    <x v="0"/>
    <x v="4"/>
    <x v="1"/>
  </r>
  <r>
    <x v="1826"/>
    <n v="4061011223346"/>
    <x v="3"/>
    <s v="Oblečenie a doplnky – Psy"/>
    <s v="Tail Trend"/>
    <n v="19.600000000000001"/>
    <n v="1"/>
    <s v="NULL"/>
    <s v=""/>
    <d v="2025-05-15T00:00:00"/>
    <n v="0"/>
    <n v="19.600000000000001"/>
    <x v="0"/>
    <x v="4"/>
    <x v="0"/>
  </r>
  <r>
    <x v="1827"/>
    <n v="4026677889902"/>
    <x v="12"/>
    <s v="Misky a kŕmne doplnky – Ostatné"/>
    <s v="Pawsitive Gear"/>
    <n v="7.6"/>
    <n v="1"/>
    <s v="NULL"/>
    <s v=""/>
    <d v="2025-05-15T00:00:00"/>
    <n v="0"/>
    <n v="7.6"/>
    <x v="0"/>
    <x v="4"/>
    <x v="2"/>
  </r>
  <r>
    <x v="1828"/>
    <n v="4028899001126"/>
    <x v="1"/>
    <s v="Krmivo a maškrty – Psy"/>
    <s v="Pup Republic"/>
    <n v="2.8"/>
    <n v="3"/>
    <s v="NULL"/>
    <s v=""/>
    <d v="2025-05-15T00:00:00"/>
    <n v="0"/>
    <n v="8.3999999999999986"/>
    <x v="0"/>
    <x v="4"/>
    <x v="0"/>
  </r>
  <r>
    <x v="1829"/>
    <n v="4013456789017"/>
    <x v="0"/>
    <s v="Krmivo a maškrty – Psy"/>
    <s v="Snouty"/>
    <n v="6"/>
    <n v="1"/>
    <s v="NULL"/>
    <s v=""/>
    <d v="2025-05-15T00:00:00"/>
    <n v="0"/>
    <n v="6"/>
    <x v="0"/>
    <x v="4"/>
    <x v="0"/>
  </r>
  <r>
    <x v="1830"/>
    <n v="4040123456795"/>
    <x v="2"/>
    <s v="Starostlivosť a hygiena – Psy"/>
    <s v="Dogissimo"/>
    <n v="8.8000000000000007"/>
    <n v="1"/>
    <s v="NULL"/>
    <s v=""/>
    <d v="2025-05-15T00:00:00"/>
    <n v="0"/>
    <n v="8.8000000000000007"/>
    <x v="0"/>
    <x v="4"/>
    <x v="0"/>
  </r>
  <r>
    <x v="1831"/>
    <n v="4010123456783"/>
    <x v="6"/>
    <s v="Starostlivosť a hygiena – Mačky"/>
    <s v="BellaMeow"/>
    <n v="14"/>
    <n v="1"/>
    <s v="NULL"/>
    <s v=""/>
    <d v="2025-05-15T00:00:00"/>
    <n v="0"/>
    <n v="14"/>
    <x v="0"/>
    <x v="4"/>
    <x v="1"/>
  </r>
  <r>
    <x v="1832"/>
    <n v="4063456789014"/>
    <x v="15"/>
    <s v="Krmivo a maškrty – Psy"/>
    <s v="Pupco"/>
    <n v="36"/>
    <n v="1"/>
    <s v="NULL"/>
    <s v=""/>
    <d v="2025-05-16T00:00:00"/>
    <n v="0"/>
    <n v="36"/>
    <x v="0"/>
    <x v="4"/>
    <x v="0"/>
  </r>
  <r>
    <x v="1833"/>
    <n v="4021234567894"/>
    <x v="18"/>
    <s v="Starostlivosť a hygiena – Mačky"/>
    <s v="PawStyle"/>
    <n v="8"/>
    <n v="1"/>
    <s v="NULL"/>
    <s v=""/>
    <d v="2025-05-16T00:00:00"/>
    <n v="0"/>
    <n v="8"/>
    <x v="0"/>
    <x v="4"/>
    <x v="1"/>
  </r>
  <r>
    <x v="1834"/>
    <n v="4056789012345"/>
    <x v="11"/>
    <s v="Krmivo a maškrty – Mačky"/>
    <s v="BellaMeow"/>
    <n v="2.4"/>
    <n v="3"/>
    <s v="NULL"/>
    <s v=""/>
    <d v="2025-05-16T00:00:00"/>
    <n v="0"/>
    <n v="7.1999999999999993"/>
    <x v="0"/>
    <x v="4"/>
    <x v="1"/>
  </r>
  <r>
    <x v="1835"/>
    <n v="4061011223346"/>
    <x v="3"/>
    <s v="Oblečenie a doplnky – Psy"/>
    <s v="Tail Trend"/>
    <n v="19.600000000000001"/>
    <n v="1"/>
    <s v="NULL"/>
    <s v=""/>
    <d v="2025-05-16T00:00:00"/>
    <n v="0"/>
    <n v="19.600000000000001"/>
    <x v="0"/>
    <x v="4"/>
    <x v="0"/>
  </r>
  <r>
    <x v="1836"/>
    <n v="4026677889902"/>
    <x v="12"/>
    <s v="Misky a kŕmne doplnky – Ostatné"/>
    <s v="Pawsitive Gear"/>
    <n v="7.6"/>
    <n v="1"/>
    <s v="NULL"/>
    <s v=""/>
    <d v="2025-05-16T00:00:00"/>
    <n v="0"/>
    <n v="7.6"/>
    <x v="0"/>
    <x v="4"/>
    <x v="2"/>
  </r>
  <r>
    <x v="1837"/>
    <n v="4028899001126"/>
    <x v="1"/>
    <s v="Krmivo a maškrty – Psy"/>
    <s v="Pup Republic"/>
    <n v="2.8"/>
    <n v="4"/>
    <s v="5"/>
    <s v="Výborná chuť, odporúčam."/>
    <d v="2025-05-16T00:00:00"/>
    <n v="0"/>
    <n v="11.2"/>
    <x v="2"/>
    <x v="4"/>
    <x v="0"/>
  </r>
  <r>
    <x v="1838"/>
    <n v="4013456789017"/>
    <x v="0"/>
    <s v="Krmivo a maškrty – Psy"/>
    <s v="Snouty"/>
    <n v="6"/>
    <n v="1"/>
    <s v="NULL"/>
    <s v=""/>
    <d v="2025-05-16T00:00:00"/>
    <n v="0"/>
    <n v="6"/>
    <x v="0"/>
    <x v="4"/>
    <x v="0"/>
  </r>
  <r>
    <x v="1839"/>
    <n v="4040123456795"/>
    <x v="2"/>
    <s v="Starostlivosť a hygiena – Psy"/>
    <s v="Dogissimo"/>
    <n v="8.8000000000000007"/>
    <n v="1"/>
    <s v="NULL"/>
    <s v=""/>
    <d v="2025-05-16T00:00:00"/>
    <n v="0"/>
    <n v="8.8000000000000007"/>
    <x v="0"/>
    <x v="4"/>
    <x v="0"/>
  </r>
  <r>
    <x v="1840"/>
    <n v="4010123456783"/>
    <x v="6"/>
    <s v="Starostlivosť a hygiena – Mačky"/>
    <s v="BellaMeow"/>
    <n v="14"/>
    <n v="2"/>
    <s v="NULL"/>
    <s v=""/>
    <d v="2025-05-16T00:00:00"/>
    <n v="0"/>
    <n v="28"/>
    <x v="0"/>
    <x v="4"/>
    <x v="1"/>
  </r>
  <r>
    <x v="1841"/>
    <n v="4010123456783"/>
    <x v="6"/>
    <s v="Starostlivosť a hygiena – Mačky"/>
    <s v="BellaMeow"/>
    <n v="14"/>
    <n v="1"/>
    <s v="NULL"/>
    <s v=""/>
    <d v="2025-05-15T00:00:00"/>
    <n v="0"/>
    <n v="14"/>
    <x v="0"/>
    <x v="4"/>
    <x v="1"/>
  </r>
  <r>
    <x v="1842"/>
    <n v="4063456789014"/>
    <x v="15"/>
    <s v="Krmivo a maškrty – Psy"/>
    <s v="Pupco"/>
    <n v="36"/>
    <n v="1"/>
    <s v="4"/>
    <s v="Pesovaj chutí, odporúčam."/>
    <d v="2025-05-15T00:00:00"/>
    <n v="0"/>
    <n v="36"/>
    <x v="1"/>
    <x v="4"/>
    <x v="0"/>
  </r>
  <r>
    <x v="1843"/>
    <n v="4021234567894"/>
    <x v="18"/>
    <s v="Starostlivosť a hygiena – Mačky"/>
    <s v="PawStyle"/>
    <n v="8"/>
    <n v="1"/>
    <s v="NULL"/>
    <s v=""/>
    <d v="2025-05-15T00:00:00"/>
    <n v="0"/>
    <n v="8"/>
    <x v="0"/>
    <x v="4"/>
    <x v="1"/>
  </r>
  <r>
    <x v="1844"/>
    <n v="4056789012345"/>
    <x v="11"/>
    <s v="Krmivo a maškrty – Mačky"/>
    <s v="BellaMeow"/>
    <n v="2.4"/>
    <n v="2"/>
    <s v="NULL"/>
    <s v=""/>
    <d v="2025-05-15T00:00:00"/>
    <n v="0"/>
    <n v="4.8"/>
    <x v="0"/>
    <x v="4"/>
    <x v="1"/>
  </r>
  <r>
    <x v="1845"/>
    <n v="4061011223346"/>
    <x v="3"/>
    <s v="Oblečenie a doplnky – Psy"/>
    <s v="Tail Trend"/>
    <n v="19.600000000000001"/>
    <n v="1"/>
    <s v="NULL"/>
    <s v=""/>
    <d v="2025-05-15T00:00:00"/>
    <n v="0"/>
    <n v="19.600000000000001"/>
    <x v="0"/>
    <x v="4"/>
    <x v="0"/>
  </r>
  <r>
    <x v="1846"/>
    <n v="4026677889902"/>
    <x v="12"/>
    <s v="Misky a kŕmne doplnky – Ostatné"/>
    <s v="Pawsitive Gear"/>
    <n v="7.6"/>
    <n v="1"/>
    <s v="NULL"/>
    <s v=""/>
    <d v="2025-05-15T00:00:00"/>
    <n v="0"/>
    <n v="7.6"/>
    <x v="0"/>
    <x v="4"/>
    <x v="2"/>
  </r>
  <r>
    <x v="1847"/>
    <n v="4028899001126"/>
    <x v="1"/>
    <s v="Krmivo a maškrty – Psy"/>
    <s v="Pup Republic"/>
    <n v="2.8"/>
    <n v="4"/>
    <s v="NULL"/>
    <s v=""/>
    <d v="2025-05-15T00:00:00"/>
    <n v="0"/>
    <n v="11.2"/>
    <x v="0"/>
    <x v="4"/>
    <x v="0"/>
  </r>
  <r>
    <x v="1848"/>
    <n v="4013456789017"/>
    <x v="0"/>
    <s v="Krmivo a maškrty – Psy"/>
    <s v="Snouty"/>
    <n v="6"/>
    <n v="1"/>
    <s v="NULL"/>
    <s v=""/>
    <d v="2025-05-15T00:00:00"/>
    <n v="0"/>
    <n v="6"/>
    <x v="0"/>
    <x v="4"/>
    <x v="0"/>
  </r>
  <r>
    <x v="1849"/>
    <n v="4040123456795"/>
    <x v="2"/>
    <s v="Starostlivosť a hygiena – Psy"/>
    <s v="Dogissimo"/>
    <n v="8.8000000000000007"/>
    <n v="1"/>
    <s v="NULL"/>
    <s v=""/>
    <d v="2025-05-15T00:00:00"/>
    <n v="0"/>
    <n v="8.8000000000000007"/>
    <x v="0"/>
    <x v="4"/>
    <x v="0"/>
  </r>
  <r>
    <x v="1850"/>
    <n v="4010123456783"/>
    <x v="6"/>
    <s v="Starostlivosť a hygiena – Mačky"/>
    <s v="BellaMeow"/>
    <n v="14"/>
    <n v="2"/>
    <s v="NULL"/>
    <s v=""/>
    <d v="2025-05-15T00:00:00"/>
    <n v="0"/>
    <n v="28"/>
    <x v="0"/>
    <x v="4"/>
    <x v="1"/>
  </r>
  <r>
    <x v="1851"/>
    <n v="4063456789014"/>
    <x v="15"/>
    <s v="Krmivo a maškrty – Psy"/>
    <s v="Pupco"/>
    <n v="36"/>
    <n v="1"/>
    <s v="NULL"/>
    <s v=""/>
    <d v="2025-05-16T00:00:00"/>
    <n v="0"/>
    <n v="36"/>
    <x v="0"/>
    <x v="4"/>
    <x v="0"/>
  </r>
  <r>
    <x v="1852"/>
    <n v="4021234567894"/>
    <x v="18"/>
    <s v="Starostlivosť a hygiena – Mačky"/>
    <s v="PawStyle"/>
    <n v="8"/>
    <n v="1"/>
    <s v="NULL"/>
    <s v=""/>
    <d v="2025-05-16T00:00:00"/>
    <n v="0"/>
    <n v="8"/>
    <x v="0"/>
    <x v="4"/>
    <x v="1"/>
  </r>
  <r>
    <x v="1853"/>
    <n v="4056789012345"/>
    <x v="11"/>
    <s v="Krmivo a maškrty – Mačky"/>
    <s v="BellaMeow"/>
    <n v="2.4"/>
    <n v="3"/>
    <s v="5"/>
    <s v="Mačka to miluje, kupujeme pravidelne."/>
    <d v="2025-05-16T00:00:00"/>
    <n v="0"/>
    <n v="7.1999999999999993"/>
    <x v="2"/>
    <x v="4"/>
    <x v="1"/>
  </r>
  <r>
    <x v="1854"/>
    <n v="4061011223346"/>
    <x v="3"/>
    <s v="Oblečenie a doplnky – Psy"/>
    <s v="Tail Trend"/>
    <n v="19.600000000000001"/>
    <n v="1"/>
    <s v="NULL"/>
    <s v=""/>
    <d v="2025-05-16T00:00:00"/>
    <n v="0"/>
    <n v="19.600000000000001"/>
    <x v="0"/>
    <x v="4"/>
    <x v="0"/>
  </r>
  <r>
    <x v="1855"/>
    <n v="4026677889902"/>
    <x v="12"/>
    <s v="Misky a kŕmne doplnky – Ostatné"/>
    <s v="Pawsitive Gear"/>
    <n v="7.6"/>
    <n v="1"/>
    <s v="NULL"/>
    <s v=""/>
    <d v="2025-05-16T00:00:00"/>
    <n v="0"/>
    <n v="7.6"/>
    <x v="0"/>
    <x v="4"/>
    <x v="2"/>
  </r>
  <r>
    <x v="1856"/>
    <n v="4028899001126"/>
    <x v="1"/>
    <s v="Krmivo a maškrty – Psy"/>
    <s v="Pup Republic"/>
    <n v="2.8"/>
    <n v="3"/>
    <s v="NULL"/>
    <s v=""/>
    <d v="2025-05-16T00:00:00"/>
    <n v="0"/>
    <n v="8.3999999999999986"/>
    <x v="0"/>
    <x v="4"/>
    <x v="0"/>
  </r>
  <r>
    <x v="1857"/>
    <n v="4013456789017"/>
    <x v="0"/>
    <s v="Krmivo a maškrty – Psy"/>
    <s v="Snouty"/>
    <n v="6"/>
    <n v="1"/>
    <s v="NULL"/>
    <s v=""/>
    <d v="2025-05-16T00:00:00"/>
    <n v="0"/>
    <n v="6"/>
    <x v="0"/>
    <x v="4"/>
    <x v="0"/>
  </r>
  <r>
    <x v="1858"/>
    <n v="4040123456795"/>
    <x v="2"/>
    <s v="Starostlivosť a hygiena – Psy"/>
    <s v="Dogissimo"/>
    <n v="8.8000000000000007"/>
    <n v="1"/>
    <s v="NULL"/>
    <s v=""/>
    <d v="2025-05-16T00:00:00"/>
    <n v="0"/>
    <n v="8.8000000000000007"/>
    <x v="0"/>
    <x v="4"/>
    <x v="0"/>
  </r>
  <r>
    <x v="1859"/>
    <n v="4010123456783"/>
    <x v="6"/>
    <s v="Starostlivosť a hygiena – Mačky"/>
    <s v="BellaMeow"/>
    <n v="14"/>
    <n v="1"/>
    <s v="NULL"/>
    <s v=""/>
    <d v="2025-05-16T00:00:00"/>
    <n v="0"/>
    <n v="14"/>
    <x v="0"/>
    <x v="4"/>
    <x v="1"/>
  </r>
  <r>
    <x v="1860"/>
    <n v="4063456789014"/>
    <x v="15"/>
    <s v="Krmivo a maškrty – Psy"/>
    <s v="Pupco"/>
    <n v="36"/>
    <n v="1"/>
    <s v="NULL"/>
    <s v=""/>
    <d v="2025-05-16T00:00:00"/>
    <n v="0"/>
    <n v="36"/>
    <x v="0"/>
    <x v="4"/>
    <x v="0"/>
  </r>
  <r>
    <x v="1861"/>
    <n v="4021234567894"/>
    <x v="18"/>
    <s v="Starostlivosť a hygiena – Mačky"/>
    <s v="PawStyle"/>
    <n v="8"/>
    <n v="1"/>
    <s v="NULL"/>
    <s v=""/>
    <d v="2025-05-16T00:00:00"/>
    <n v="0"/>
    <n v="8"/>
    <x v="0"/>
    <x v="4"/>
    <x v="1"/>
  </r>
  <r>
    <x v="1862"/>
    <n v="4056789012345"/>
    <x v="11"/>
    <s v="Krmivo a maškrty – Mačky"/>
    <s v="BellaMeow"/>
    <n v="2.4"/>
    <n v="2"/>
    <s v="NULL"/>
    <s v=""/>
    <d v="2025-05-16T00:00:00"/>
    <n v="0"/>
    <n v="4.8"/>
    <x v="0"/>
    <x v="4"/>
    <x v="1"/>
  </r>
  <r>
    <x v="1863"/>
    <n v="4061011223346"/>
    <x v="3"/>
    <s v="Oblečenie a doplnky – Psy"/>
    <s v="Tail Trend"/>
    <n v="19.600000000000001"/>
    <n v="1"/>
    <s v="NULL"/>
    <s v=""/>
    <d v="2025-05-17T00:00:00"/>
    <n v="0"/>
    <n v="19.600000000000001"/>
    <x v="0"/>
    <x v="4"/>
    <x v="0"/>
  </r>
  <r>
    <x v="1864"/>
    <n v="4026677889902"/>
    <x v="12"/>
    <s v="Misky a kŕmne doplnky – Ostatné"/>
    <s v="Pawsitive Gear"/>
    <n v="7.6"/>
    <n v="1"/>
    <s v="4"/>
    <s v="Dobrá veľkosť, stabilní."/>
    <d v="2025-05-17T00:00:00"/>
    <n v="0"/>
    <n v="7.6"/>
    <x v="1"/>
    <x v="4"/>
    <x v="2"/>
  </r>
  <r>
    <x v="1865"/>
    <n v="4028899001126"/>
    <x v="1"/>
    <s v="Krmivo a maškrty – Psy"/>
    <s v="Pup Republic"/>
    <n v="2.8"/>
    <n v="3"/>
    <s v="NULL"/>
    <s v=""/>
    <d v="2025-05-17T00:00:00"/>
    <n v="0"/>
    <n v="8.3999999999999986"/>
    <x v="0"/>
    <x v="4"/>
    <x v="0"/>
  </r>
  <r>
    <x v="1866"/>
    <n v="4013456789017"/>
    <x v="0"/>
    <s v="Krmivo a maškrty – Psy"/>
    <s v="Snouty"/>
    <n v="6"/>
    <n v="1"/>
    <s v="NULL"/>
    <s v=""/>
    <d v="2025-05-17T00:00:00"/>
    <n v="0"/>
    <n v="6"/>
    <x v="0"/>
    <x v="4"/>
    <x v="0"/>
  </r>
  <r>
    <x v="1867"/>
    <n v="4040123456795"/>
    <x v="2"/>
    <s v="Starostlivosť a hygiena – Psy"/>
    <s v="Dogissimo"/>
    <n v="8.8000000000000007"/>
    <n v="1"/>
    <s v="NULL"/>
    <s v=""/>
    <d v="2025-05-17T00:00:00"/>
    <n v="0"/>
    <n v="8.8000000000000007"/>
    <x v="0"/>
    <x v="4"/>
    <x v="0"/>
  </r>
  <r>
    <x v="1868"/>
    <n v="4010123456783"/>
    <x v="6"/>
    <s v="Starostlivosť a hygiena – Mačky"/>
    <s v="BellaMeow"/>
    <n v="14"/>
    <n v="1"/>
    <s v="NULL"/>
    <s v=""/>
    <d v="2025-05-17T00:00:00"/>
    <n v="0"/>
    <n v="14"/>
    <x v="0"/>
    <x v="4"/>
    <x v="1"/>
  </r>
  <r>
    <x v="1869"/>
    <n v="4063456789014"/>
    <x v="15"/>
    <s v="Krmivo a maškrty – Psy"/>
    <s v="Pupco"/>
    <n v="36"/>
    <n v="1"/>
    <s v="NULL"/>
    <s v=""/>
    <d v="2025-05-17T00:00:00"/>
    <n v="0"/>
    <n v="36"/>
    <x v="0"/>
    <x v="4"/>
    <x v="0"/>
  </r>
  <r>
    <x v="1870"/>
    <n v="4021234567894"/>
    <x v="18"/>
    <s v="Starostlivosť a hygiena – Mačky"/>
    <s v="PawStyle"/>
    <n v="8"/>
    <n v="1"/>
    <s v="NULL"/>
    <s v=""/>
    <d v="2025-05-17T00:00:00"/>
    <n v="0"/>
    <n v="8"/>
    <x v="0"/>
    <x v="4"/>
    <x v="1"/>
  </r>
  <r>
    <x v="1871"/>
    <n v="4056789012345"/>
    <x v="11"/>
    <s v="Krmivo a maškrty – Mačky"/>
    <s v="BellaMeow"/>
    <n v="2.4"/>
    <n v="2"/>
    <s v="NULL"/>
    <s v=""/>
    <d v="2025-05-17T00:00:00"/>
    <n v="0"/>
    <n v="4.8"/>
    <x v="0"/>
    <x v="4"/>
    <x v="1"/>
  </r>
  <r>
    <x v="1872"/>
    <n v="4061011223346"/>
    <x v="3"/>
    <s v="Oblečenie a doplnky – Psy"/>
    <s v="Tail Trend"/>
    <n v="19.600000000000001"/>
    <n v="1"/>
    <s v="NULL"/>
    <s v=""/>
    <d v="2025-05-17T00:00:00"/>
    <n v="0"/>
    <n v="19.600000000000001"/>
    <x v="0"/>
    <x v="4"/>
    <x v="0"/>
  </r>
  <r>
    <x v="1873"/>
    <n v="4026677889902"/>
    <x v="12"/>
    <s v="Misky a kŕmne doplnky – Ostatné"/>
    <s v="Pawsitive Gear"/>
    <n v="7.6"/>
    <n v="1"/>
    <s v="NULL"/>
    <s v=""/>
    <d v="2025-05-17T00:00:00"/>
    <n v="0"/>
    <n v="7.6"/>
    <x v="0"/>
    <x v="4"/>
    <x v="2"/>
  </r>
  <r>
    <x v="1874"/>
    <n v="4028899001126"/>
    <x v="1"/>
    <s v="Krmivo a maškrty – Psy"/>
    <s v="Pup Republic"/>
    <n v="2.8"/>
    <n v="4"/>
    <s v="NULL"/>
    <s v=""/>
    <d v="2025-05-17T00:00:00"/>
    <n v="0"/>
    <n v="11.2"/>
    <x v="0"/>
    <x v="4"/>
    <x v="0"/>
  </r>
  <r>
    <x v="1875"/>
    <n v="4013456789017"/>
    <x v="0"/>
    <s v="Krmivo a maškrty – Psy"/>
    <s v="Snouty"/>
    <n v="6"/>
    <n v="1"/>
    <s v="NULL"/>
    <s v=""/>
    <d v="2025-05-17T00:00:00"/>
    <n v="0"/>
    <n v="6"/>
    <x v="0"/>
    <x v="4"/>
    <x v="0"/>
  </r>
  <r>
    <x v="1876"/>
    <n v="4040123456795"/>
    <x v="2"/>
    <s v="Starostlivosť a hygiena – Psy"/>
    <s v="Dogissimo"/>
    <n v="8.8000000000000007"/>
    <n v="1"/>
    <s v="4"/>
    <s v="Príjemná vôňa, funguje dobre."/>
    <d v="2025-05-17T00:00:00"/>
    <n v="0"/>
    <n v="8.8000000000000007"/>
    <x v="1"/>
    <x v="4"/>
    <x v="0"/>
  </r>
  <r>
    <x v="1877"/>
    <n v="4010123456783"/>
    <x v="6"/>
    <s v="Starostlivosť a hygiena – Mačky"/>
    <s v="BellaMeow"/>
    <n v="14"/>
    <n v="1"/>
    <s v="NULL"/>
    <s v=""/>
    <d v="2025-05-18T00:00:00"/>
    <n v="0"/>
    <n v="14"/>
    <x v="0"/>
    <x v="4"/>
    <x v="1"/>
  </r>
  <r>
    <x v="1878"/>
    <n v="4063456789014"/>
    <x v="15"/>
    <s v="Krmivo a maškrty – Psy"/>
    <s v="Pupco"/>
    <n v="36"/>
    <n v="1"/>
    <s v="NULL"/>
    <s v=""/>
    <d v="2025-05-18T00:00:00"/>
    <n v="0"/>
    <n v="36"/>
    <x v="0"/>
    <x v="4"/>
    <x v="0"/>
  </r>
  <r>
    <x v="1879"/>
    <n v="4021234567894"/>
    <x v="18"/>
    <s v="Starostlivosť a hygiena – Mačky"/>
    <s v="PawStyle"/>
    <n v="8"/>
    <n v="1"/>
    <s v="NULL"/>
    <s v=""/>
    <d v="2025-05-18T00:00:00"/>
    <n v="0"/>
    <n v="8"/>
    <x v="0"/>
    <x v="4"/>
    <x v="1"/>
  </r>
  <r>
    <x v="1880"/>
    <n v="4056789012345"/>
    <x v="11"/>
    <s v="Krmivo a maškrty – Mačky"/>
    <s v="BellaMeow"/>
    <n v="2.4"/>
    <n v="3"/>
    <s v="NULL"/>
    <s v=""/>
    <d v="2025-05-18T00:00:00"/>
    <n v="0"/>
    <n v="7.1999999999999993"/>
    <x v="0"/>
    <x v="4"/>
    <x v="1"/>
  </r>
  <r>
    <x v="1881"/>
    <n v="4061011223346"/>
    <x v="3"/>
    <s v="Oblečenie a doplnky – Psy"/>
    <s v="Tail Trend"/>
    <n v="19.600000000000001"/>
    <n v="1"/>
    <s v="NULL"/>
    <s v=""/>
    <d v="2025-05-18T00:00:00"/>
    <n v="0"/>
    <n v="19.600000000000001"/>
    <x v="0"/>
    <x v="4"/>
    <x v="0"/>
  </r>
  <r>
    <x v="1882"/>
    <n v="4026677889902"/>
    <x v="12"/>
    <s v="Misky a kŕmne doplnky – Ostatné"/>
    <s v="Pawsitive Gear"/>
    <n v="7.6"/>
    <n v="1"/>
    <s v="NULL"/>
    <s v=""/>
    <d v="2025-05-18T00:00:00"/>
    <n v="0"/>
    <n v="7.6"/>
    <x v="0"/>
    <x v="4"/>
    <x v="2"/>
  </r>
  <r>
    <x v="1883"/>
    <n v="4028899001126"/>
    <x v="1"/>
    <s v="Krmivo a maškrty – Psy"/>
    <s v="Pup Republic"/>
    <n v="2.8"/>
    <n v="3"/>
    <s v="NULL"/>
    <s v=""/>
    <d v="2025-05-18T00:00:00"/>
    <n v="0"/>
    <n v="8.3999999999999986"/>
    <x v="0"/>
    <x v="4"/>
    <x v="0"/>
  </r>
  <r>
    <x v="1884"/>
    <n v="4013456789017"/>
    <x v="0"/>
    <s v="Krmivo a maškrty – Psy"/>
    <s v="Snouty"/>
    <n v="6"/>
    <n v="1"/>
    <s v="NULL"/>
    <s v=""/>
    <d v="2025-05-18T00:00:00"/>
    <n v="0"/>
    <n v="6"/>
    <x v="0"/>
    <x v="4"/>
    <x v="0"/>
  </r>
  <r>
    <x v="1885"/>
    <n v="4040123456795"/>
    <x v="2"/>
    <s v="Starostlivosť a hygiena – Psy"/>
    <s v="Dogissimo"/>
    <n v="8.8000000000000007"/>
    <n v="1"/>
    <s v="NULL"/>
    <s v=""/>
    <d v="2025-05-18T00:00:00"/>
    <n v="0"/>
    <n v="8.8000000000000007"/>
    <x v="0"/>
    <x v="4"/>
    <x v="0"/>
  </r>
  <r>
    <x v="1886"/>
    <n v="4010123456783"/>
    <x v="6"/>
    <s v="Starostlivosť a hygiena – Mačky"/>
    <s v="BellaMeow"/>
    <n v="14"/>
    <n v="2"/>
    <s v="NULL"/>
    <s v=""/>
    <d v="2025-05-18T00:00:00"/>
    <n v="0"/>
    <n v="28"/>
    <x v="0"/>
    <x v="4"/>
    <x v="1"/>
  </r>
  <r>
    <x v="1887"/>
    <n v="4063456789014"/>
    <x v="15"/>
    <s v="Krmivo a maškrty – Psy"/>
    <s v="Pupco"/>
    <n v="36"/>
    <n v="1"/>
    <s v="NULL"/>
    <s v=""/>
    <d v="2025-05-18T00:00:00"/>
    <n v="0"/>
    <n v="36"/>
    <x v="0"/>
    <x v="4"/>
    <x v="0"/>
  </r>
  <r>
    <x v="1888"/>
    <n v="4021234567894"/>
    <x v="18"/>
    <s v="Starostlivosť a hygiena – Mačky"/>
    <s v="PawStyle"/>
    <n v="8"/>
    <n v="1"/>
    <s v="NULL"/>
    <s v=""/>
    <d v="2025-05-18T00:00:00"/>
    <n v="0"/>
    <n v="8"/>
    <x v="0"/>
    <x v="4"/>
    <x v="1"/>
  </r>
  <r>
    <x v="1889"/>
    <n v="4056789012345"/>
    <x v="11"/>
    <s v="Krmivo a maškrty – Mačky"/>
    <s v="BellaMeow"/>
    <n v="2.4"/>
    <n v="2"/>
    <s v="NULL"/>
    <s v=""/>
    <d v="2025-05-18T00:00:00"/>
    <n v="0"/>
    <n v="4.8"/>
    <x v="0"/>
    <x v="4"/>
    <x v="1"/>
  </r>
  <r>
    <x v="1890"/>
    <n v="4061011223346"/>
    <x v="3"/>
    <s v="Oblečenie a doplnky – Psy"/>
    <s v="Tail Trend"/>
    <n v="19.600000000000001"/>
    <n v="1"/>
    <s v="NULL"/>
    <s v=""/>
    <d v="2025-05-19T00:00:00"/>
    <n v="0"/>
    <n v="19.600000000000001"/>
    <x v="0"/>
    <x v="4"/>
    <x v="0"/>
  </r>
  <r>
    <x v="1891"/>
    <n v="4026677889902"/>
    <x v="12"/>
    <s v="Misky a kŕmne doplnky – Ostatné"/>
    <s v="Pawsitive Gear"/>
    <n v="7.6"/>
    <n v="1"/>
    <s v="NULL"/>
    <s v=""/>
    <d v="2025-05-19T00:00:00"/>
    <n v="0"/>
    <n v="7.6"/>
    <x v="0"/>
    <x v="4"/>
    <x v="2"/>
  </r>
  <r>
    <x v="1892"/>
    <n v="4028899001126"/>
    <x v="1"/>
    <s v="Krmivo a maškrty – Psy"/>
    <s v="Pup Republic"/>
    <n v="2.8"/>
    <n v="4"/>
    <s v="3"/>
    <s v="Pes to je, ale občas zbytky nechá."/>
    <d v="2025-05-19T00:00:00"/>
    <n v="0"/>
    <n v="11.2"/>
    <x v="3"/>
    <x v="4"/>
    <x v="0"/>
  </r>
  <r>
    <x v="1893"/>
    <n v="4013456789017"/>
    <x v="0"/>
    <s v="Krmivo a maškrty – Psy"/>
    <s v="Snouty"/>
    <n v="6"/>
    <n v="1"/>
    <s v="NULL"/>
    <s v=""/>
    <d v="2025-05-19T00:00:00"/>
    <n v="0"/>
    <n v="6"/>
    <x v="0"/>
    <x v="4"/>
    <x v="0"/>
  </r>
  <r>
    <x v="1894"/>
    <n v="4040123456795"/>
    <x v="2"/>
    <s v="Starostlivosť a hygiena – Psy"/>
    <s v="Dogissimo"/>
    <n v="8.8000000000000007"/>
    <n v="1"/>
    <s v="NULL"/>
    <s v=""/>
    <d v="2025-05-19T00:00:00"/>
    <n v="0"/>
    <n v="8.8000000000000007"/>
    <x v="0"/>
    <x v="4"/>
    <x v="0"/>
  </r>
  <r>
    <x v="1895"/>
    <n v="4010123456783"/>
    <x v="6"/>
    <s v="Starostlivosť a hygiena – Mačky"/>
    <s v="BellaMeow"/>
    <n v="14"/>
    <n v="2"/>
    <s v="NULL"/>
    <s v=""/>
    <d v="2025-05-19T00:00:00"/>
    <n v="0"/>
    <n v="28"/>
    <x v="0"/>
    <x v="4"/>
    <x v="1"/>
  </r>
  <r>
    <x v="1896"/>
    <n v="4063456789014"/>
    <x v="15"/>
    <s v="Krmivo a maškrty – Psy"/>
    <s v="Pupco"/>
    <n v="36"/>
    <n v="1"/>
    <s v="NULL"/>
    <s v=""/>
    <d v="2025-05-19T00:00:00"/>
    <n v="0"/>
    <n v="36"/>
    <x v="0"/>
    <x v="4"/>
    <x v="0"/>
  </r>
  <r>
    <x v="1897"/>
    <n v="4021234567894"/>
    <x v="18"/>
    <s v="Starostlivosť a hygiena – Mačky"/>
    <s v="PawStyle"/>
    <n v="8"/>
    <n v="1"/>
    <s v="NULL"/>
    <s v=""/>
    <d v="2025-05-19T00:00:00"/>
    <n v="0"/>
    <n v="8"/>
    <x v="0"/>
    <x v="4"/>
    <x v="1"/>
  </r>
  <r>
    <x v="1898"/>
    <n v="4056789012345"/>
    <x v="11"/>
    <s v="Krmivo a maškrty – Mačky"/>
    <s v="BellaMeow"/>
    <n v="2.4"/>
    <n v="2"/>
    <s v="NULL"/>
    <s v=""/>
    <d v="2025-05-19T00:00:00"/>
    <n v="0"/>
    <n v="4.8"/>
    <x v="0"/>
    <x v="4"/>
    <x v="1"/>
  </r>
  <r>
    <x v="1899"/>
    <n v="4061011223346"/>
    <x v="3"/>
    <s v="Oblečenie a doplnky – Psy"/>
    <s v="Tail Trend"/>
    <n v="19.600000000000001"/>
    <n v="1"/>
    <s v="NULL"/>
    <s v=""/>
    <d v="2025-05-19T00:00:00"/>
    <n v="0"/>
    <n v="19.600000000000001"/>
    <x v="0"/>
    <x v="4"/>
    <x v="0"/>
  </r>
  <r>
    <x v="1900"/>
    <n v="4026677889902"/>
    <x v="12"/>
    <s v="Misky a kŕmne doplnky – Ostatné"/>
    <s v="Pawsitive Gear"/>
    <n v="7.6"/>
    <n v="1"/>
    <s v="NULL"/>
    <s v=""/>
    <d v="2025-05-19T00:00:00"/>
    <n v="0"/>
    <n v="7.6"/>
    <x v="0"/>
    <x v="4"/>
    <x v="2"/>
  </r>
  <r>
    <x v="1901"/>
    <n v="4028899001126"/>
    <x v="1"/>
    <s v="Krmivo a maškrty – Psy"/>
    <s v="Pup Republic"/>
    <n v="2.8"/>
    <n v="3"/>
    <s v="NULL"/>
    <s v=""/>
    <d v="2025-05-20T00:00:00"/>
    <n v="0"/>
    <n v="8.3999999999999986"/>
    <x v="0"/>
    <x v="4"/>
    <x v="0"/>
  </r>
  <r>
    <x v="1902"/>
    <n v="4013456789017"/>
    <x v="0"/>
    <s v="Krmivo a maškrty – Psy"/>
    <s v="Snouty"/>
    <n v="6"/>
    <n v="1"/>
    <s v="NULL"/>
    <s v=""/>
    <d v="2025-05-20T00:00:00"/>
    <n v="0"/>
    <n v="6"/>
    <x v="0"/>
    <x v="4"/>
    <x v="0"/>
  </r>
  <r>
    <x v="1903"/>
    <n v="4040123456795"/>
    <x v="2"/>
    <s v="Starostlivosť a hygiena – Psy"/>
    <s v="Dogissimo"/>
    <n v="8.8000000000000007"/>
    <n v="1"/>
    <s v="NULL"/>
    <s v=""/>
    <d v="2025-05-20T00:00:00"/>
    <n v="0"/>
    <n v="8.8000000000000007"/>
    <x v="0"/>
    <x v="4"/>
    <x v="0"/>
  </r>
  <r>
    <x v="1904"/>
    <n v="4010123456783"/>
    <x v="6"/>
    <s v="Starostlivosť a hygiena – Mačky"/>
    <s v="BellaMeow"/>
    <n v="14"/>
    <n v="1"/>
    <s v="NULL"/>
    <s v=""/>
    <d v="2025-05-20T00:00:00"/>
    <n v="0"/>
    <n v="14"/>
    <x v="0"/>
    <x v="4"/>
    <x v="1"/>
  </r>
  <r>
    <x v="1905"/>
    <n v="4063456789014"/>
    <x v="15"/>
    <s v="Krmivo a maškrty – Psy"/>
    <s v="Pupco"/>
    <n v="36"/>
    <n v="1"/>
    <s v="NULL"/>
    <s v=""/>
    <d v="2025-05-20T00:00:00"/>
    <n v="0"/>
    <n v="36"/>
    <x v="0"/>
    <x v="4"/>
    <x v="0"/>
  </r>
  <r>
    <x v="1906"/>
    <n v="4021234567894"/>
    <x v="18"/>
    <s v="Starostlivosť a hygiena – Mačky"/>
    <s v="PawStyle"/>
    <n v="8"/>
    <n v="1"/>
    <s v="NULL"/>
    <s v=""/>
    <d v="2025-05-20T00:00:00"/>
    <n v="0"/>
    <n v="8"/>
    <x v="0"/>
    <x v="4"/>
    <x v="1"/>
  </r>
  <r>
    <x v="1907"/>
    <n v="4056789012345"/>
    <x v="11"/>
    <s v="Krmivo a maškrty – Mačky"/>
    <s v="BellaMeow"/>
    <n v="2.4"/>
    <n v="2"/>
    <s v="NULL"/>
    <s v=""/>
    <d v="2025-05-20T00:00:00"/>
    <n v="0"/>
    <n v="4.8"/>
    <x v="0"/>
    <x v="4"/>
    <x v="1"/>
  </r>
  <r>
    <x v="1908"/>
    <n v="4061011223346"/>
    <x v="3"/>
    <s v="Oblečenie a doplnky – Psy"/>
    <s v="Tail Trend"/>
    <n v="19.600000000000001"/>
    <n v="1"/>
    <s v="NULL"/>
    <s v=""/>
    <d v="2025-05-20T00:00:00"/>
    <n v="0"/>
    <n v="19.600000000000001"/>
    <x v="0"/>
    <x v="4"/>
    <x v="0"/>
  </r>
  <r>
    <x v="1909"/>
    <n v="4026677889902"/>
    <x v="12"/>
    <s v="Misky a kŕmne doplnky – Ostatné"/>
    <s v="Pawsitive Gear"/>
    <n v="7.6"/>
    <n v="1"/>
    <s v="5"/>
    <s v="Miska pevná, kvalitné plast."/>
    <d v="2025-05-20T00:00:00"/>
    <n v="0"/>
    <n v="7.6"/>
    <x v="2"/>
    <x v="4"/>
    <x v="2"/>
  </r>
  <r>
    <x v="1910"/>
    <n v="4028899001126"/>
    <x v="1"/>
    <s v="Krmivo a maškrty – Psy"/>
    <s v="Pup Republic"/>
    <n v="2.8"/>
    <n v="4"/>
    <s v="NULL"/>
    <s v=""/>
    <d v="2025-05-20T00:00:00"/>
    <n v="0"/>
    <n v="11.2"/>
    <x v="0"/>
    <x v="4"/>
    <x v="0"/>
  </r>
  <r>
    <x v="1911"/>
    <n v="4013456789017"/>
    <x v="0"/>
    <s v="Krmivo a maškrty – Psy"/>
    <s v="Snouty"/>
    <n v="6"/>
    <n v="1"/>
    <s v="NULL"/>
    <s v=""/>
    <d v="2025-05-20T00:00:00"/>
    <n v="0"/>
    <n v="6"/>
    <x v="0"/>
    <x v="4"/>
    <x v="0"/>
  </r>
  <r>
    <x v="1912"/>
    <n v="4040123456795"/>
    <x v="2"/>
    <s v="Starostlivosť a hygiena – Psy"/>
    <s v="Dogissimo"/>
    <n v="8.8000000000000007"/>
    <n v="1"/>
    <s v="NULL"/>
    <s v=""/>
    <d v="2025-05-20T00:00:00"/>
    <n v="0"/>
    <n v="8.8000000000000007"/>
    <x v="0"/>
    <x v="4"/>
    <x v="0"/>
  </r>
  <r>
    <x v="1913"/>
    <n v="4010123456783"/>
    <x v="6"/>
    <s v="Starostlivosť a hygiena – Mačky"/>
    <s v="BellaMeow"/>
    <n v="14"/>
    <n v="1"/>
    <s v="NULL"/>
    <s v=""/>
    <d v="2025-05-20T00:00:00"/>
    <n v="0"/>
    <n v="14"/>
    <x v="0"/>
    <x v="4"/>
    <x v="1"/>
  </r>
  <r>
    <x v="1914"/>
    <n v="4063456789014"/>
    <x v="15"/>
    <s v="Krmivo a maškrty – Psy"/>
    <s v="Pupco"/>
    <n v="36"/>
    <n v="1"/>
    <s v="NULL"/>
    <s v=""/>
    <d v="2025-05-20T00:00:00"/>
    <n v="0"/>
    <n v="36"/>
    <x v="0"/>
    <x v="4"/>
    <x v="0"/>
  </r>
  <r>
    <x v="1915"/>
    <n v="4021234567894"/>
    <x v="18"/>
    <s v="Starostlivosť a hygiena – Mačky"/>
    <s v="PawStyle"/>
    <n v="8"/>
    <n v="1"/>
    <s v="NULL"/>
    <s v=""/>
    <d v="2025-05-20T00:00:00"/>
    <n v="0"/>
    <n v="8"/>
    <x v="0"/>
    <x v="4"/>
    <x v="1"/>
  </r>
  <r>
    <x v="1916"/>
    <n v="4056789012345"/>
    <x v="11"/>
    <s v="Krmivo a maškrty – Mačky"/>
    <s v="BellaMeow"/>
    <n v="2.4"/>
    <n v="3"/>
    <s v="NULL"/>
    <s v=""/>
    <d v="2025-05-20T00:00:00"/>
    <n v="0"/>
    <n v="7.1999999999999993"/>
    <x v="0"/>
    <x v="4"/>
    <x v="1"/>
  </r>
  <r>
    <x v="1917"/>
    <n v="4061011223346"/>
    <x v="3"/>
    <s v="Oblečenie a doplnky – Psy"/>
    <s v="Tail Trend"/>
    <n v="19.600000000000001"/>
    <n v="1"/>
    <s v="NULL"/>
    <s v=""/>
    <d v="2025-05-20T00:00:00"/>
    <n v="0"/>
    <n v="19.600000000000001"/>
    <x v="0"/>
    <x v="4"/>
    <x v="0"/>
  </r>
  <r>
    <x v="1918"/>
    <n v="4026677889902"/>
    <x v="12"/>
    <s v="Misky a kŕmne doplnky – Ostatné"/>
    <s v="Pawsitive Gear"/>
    <n v="7.6"/>
    <n v="1"/>
    <s v="NULL"/>
    <s v=""/>
    <d v="2025-05-20T00:00:00"/>
    <n v="0"/>
    <n v="7.6"/>
    <x v="0"/>
    <x v="4"/>
    <x v="2"/>
  </r>
  <r>
    <x v="1919"/>
    <n v="4028899001126"/>
    <x v="1"/>
    <s v="Krmivo a maškrty – Psy"/>
    <s v="Pup Republic"/>
    <n v="2.8"/>
    <n v="4"/>
    <s v="NULL"/>
    <s v=""/>
    <d v="2025-05-20T00:00:00"/>
    <n v="0"/>
    <n v="11.2"/>
    <x v="0"/>
    <x v="4"/>
    <x v="0"/>
  </r>
  <r>
    <x v="1920"/>
    <n v="4040123456795"/>
    <x v="2"/>
    <s v="Starostlivosť a hygiena – Psy"/>
    <s v="Dogissimo"/>
    <n v="8.8000000000000007"/>
    <n v="1"/>
    <s v="NULL"/>
    <s v=""/>
    <d v="2025-05-21T00:00:00"/>
    <n v="0"/>
    <n v="8.8000000000000007"/>
    <x v="0"/>
    <x v="4"/>
    <x v="0"/>
  </r>
  <r>
    <x v="1921"/>
    <n v="4010123456783"/>
    <x v="6"/>
    <s v="Starostlivosť a hygiena – Mačky"/>
    <s v="BellaMeow"/>
    <n v="14"/>
    <n v="1"/>
    <s v="NULL"/>
    <s v=""/>
    <d v="2025-05-21T00:00:00"/>
    <n v="0"/>
    <n v="14"/>
    <x v="0"/>
    <x v="4"/>
    <x v="1"/>
  </r>
  <r>
    <x v="1922"/>
    <n v="4063456789014"/>
    <x v="15"/>
    <s v="Krmivo a maškrty – Psy"/>
    <s v="Pupco"/>
    <n v="36"/>
    <n v="1"/>
    <s v="NULL"/>
    <s v=""/>
    <d v="2025-05-21T00:00:00"/>
    <n v="0"/>
    <n v="36"/>
    <x v="0"/>
    <x v="4"/>
    <x v="0"/>
  </r>
  <r>
    <x v="1923"/>
    <n v="4021234567894"/>
    <x v="18"/>
    <s v="Starostlivosť a hygiena – Mačky"/>
    <s v="PawStyle"/>
    <n v="8"/>
    <n v="1"/>
    <s v="NULL"/>
    <s v=""/>
    <d v="2025-05-21T00:00:00"/>
    <n v="0"/>
    <n v="8"/>
    <x v="0"/>
    <x v="4"/>
    <x v="1"/>
  </r>
  <r>
    <x v="1924"/>
    <n v="4056789012345"/>
    <x v="11"/>
    <s v="Krmivo a maškrty – Mačky"/>
    <s v="BellaMeow"/>
    <n v="2.4"/>
    <n v="3"/>
    <s v="NULL"/>
    <s v=""/>
    <d v="2025-05-21T00:00:00"/>
    <n v="0"/>
    <n v="7.1999999999999993"/>
    <x v="0"/>
    <x v="4"/>
    <x v="1"/>
  </r>
  <r>
    <x v="1925"/>
    <n v="4061011223346"/>
    <x v="3"/>
    <s v="Oblečenie a doplnky – Psy"/>
    <s v="Tail Trend"/>
    <n v="19.600000000000001"/>
    <n v="1"/>
    <s v="NULL"/>
    <s v=""/>
    <d v="2025-05-21T00:00:00"/>
    <n v="0"/>
    <n v="19.600000000000001"/>
    <x v="0"/>
    <x v="4"/>
    <x v="0"/>
  </r>
  <r>
    <x v="1926"/>
    <n v="4026677889902"/>
    <x v="12"/>
    <s v="Misky a kŕmne doplnky – Ostatné"/>
    <s v="Pawsitive Gear"/>
    <n v="7.6"/>
    <n v="1"/>
    <s v="NULL"/>
    <s v=""/>
    <d v="2025-05-21T00:00:00"/>
    <n v="0"/>
    <n v="7.6"/>
    <x v="0"/>
    <x v="4"/>
    <x v="2"/>
  </r>
  <r>
    <x v="1927"/>
    <n v="4028899001126"/>
    <x v="1"/>
    <s v="Krmivo a maškrty – Psy"/>
    <s v="Pup Republic"/>
    <n v="2.8"/>
    <n v="3"/>
    <s v="NULL"/>
    <s v=""/>
    <d v="2025-05-21T00:00:00"/>
    <n v="0"/>
    <n v="8.3999999999999986"/>
    <x v="0"/>
    <x v="4"/>
    <x v="0"/>
  </r>
  <r>
    <x v="1928"/>
    <n v="4013456789017"/>
    <x v="0"/>
    <s v="Krmivo a maškrty – Psy"/>
    <s v="Snouty"/>
    <n v="6"/>
    <n v="1"/>
    <s v="NULL"/>
    <s v=""/>
    <d v="2025-05-21T00:00:00"/>
    <n v="0"/>
    <n v="6"/>
    <x v="0"/>
    <x v="4"/>
    <x v="0"/>
  </r>
  <r>
    <x v="1929"/>
    <n v="4040123456795"/>
    <x v="2"/>
    <s v="Starostlivosť a hygiena – Psy"/>
    <s v="Dogissimo"/>
    <n v="8.8000000000000007"/>
    <n v="1"/>
    <s v="5"/>
    <s v="Pes vonia celý deň, super!"/>
    <d v="2025-05-21T00:00:00"/>
    <n v="0"/>
    <n v="8.8000000000000007"/>
    <x v="2"/>
    <x v="4"/>
    <x v="0"/>
  </r>
  <r>
    <x v="1930"/>
    <n v="4010123456783"/>
    <x v="6"/>
    <s v="Starostlivosť a hygiena – Mačky"/>
    <s v="BellaMeow"/>
    <n v="14"/>
    <n v="1"/>
    <s v="NULL"/>
    <s v=""/>
    <d v="2025-05-21T00:00:00"/>
    <n v="0"/>
    <n v="14"/>
    <x v="0"/>
    <x v="4"/>
    <x v="1"/>
  </r>
  <r>
    <x v="1931"/>
    <n v="4063456789014"/>
    <x v="15"/>
    <s v="Krmivo a maškrty – Psy"/>
    <s v="Pupco"/>
    <n v="36"/>
    <n v="1"/>
    <s v="NULL"/>
    <s v=""/>
    <d v="2025-05-22T00:00:00"/>
    <n v="0"/>
    <n v="36"/>
    <x v="0"/>
    <x v="4"/>
    <x v="0"/>
  </r>
  <r>
    <x v="1932"/>
    <n v="4021234567894"/>
    <x v="18"/>
    <s v="Starostlivosť a hygiena – Mačky"/>
    <s v="PawStyle"/>
    <n v="8"/>
    <n v="1"/>
    <s v="NULL"/>
    <s v=""/>
    <d v="2025-05-22T00:00:00"/>
    <n v="0"/>
    <n v="8"/>
    <x v="0"/>
    <x v="4"/>
    <x v="1"/>
  </r>
  <r>
    <x v="1933"/>
    <n v="4056789012345"/>
    <x v="11"/>
    <s v="Krmivo a maškrty – Mačky"/>
    <s v="BellaMeow"/>
    <n v="2.4"/>
    <n v="2"/>
    <s v="NULL"/>
    <s v=""/>
    <d v="2025-05-22T00:00:00"/>
    <n v="0"/>
    <n v="4.8"/>
    <x v="0"/>
    <x v="4"/>
    <x v="1"/>
  </r>
  <r>
    <x v="1934"/>
    <n v="4061011223346"/>
    <x v="3"/>
    <s v="Oblečenie a doplnky – Psy"/>
    <s v="Tail Trend"/>
    <n v="19.600000000000001"/>
    <n v="1"/>
    <s v="NULL"/>
    <s v=""/>
    <d v="2025-05-22T00:00:00"/>
    <n v="0"/>
    <n v="19.600000000000001"/>
    <x v="0"/>
    <x v="4"/>
    <x v="0"/>
  </r>
  <r>
    <x v="1935"/>
    <n v="4026677889902"/>
    <x v="12"/>
    <s v="Misky a kŕmne doplnky – Ostatné"/>
    <s v="Pawsitive Gear"/>
    <n v="7.6"/>
    <n v="1"/>
    <s v="NULL"/>
    <s v=""/>
    <d v="2025-05-22T00:00:00"/>
    <n v="0"/>
    <n v="7.6"/>
    <x v="0"/>
    <x v="4"/>
    <x v="2"/>
  </r>
  <r>
    <x v="1936"/>
    <n v="4028899001126"/>
    <x v="1"/>
    <s v="Krmivo a maškrty – Psy"/>
    <s v="Pup Republic"/>
    <n v="2.8"/>
    <n v="5"/>
    <s v="NULL"/>
    <s v=""/>
    <d v="2025-05-22T00:00:00"/>
    <n v="0"/>
    <n v="14"/>
    <x v="0"/>
    <x v="4"/>
    <x v="0"/>
  </r>
  <r>
    <x v="1937"/>
    <n v="4013456789017"/>
    <x v="0"/>
    <s v="Krmivo a maškrty – Psy"/>
    <s v="Snouty"/>
    <n v="6"/>
    <n v="1"/>
    <s v="NULL"/>
    <s v=""/>
    <d v="2025-05-22T00:00:00"/>
    <n v="0"/>
    <n v="6"/>
    <x v="0"/>
    <x v="4"/>
    <x v="0"/>
  </r>
  <r>
    <x v="1938"/>
    <n v="4040123456795"/>
    <x v="2"/>
    <s v="Starostlivosť a hygiena – Psy"/>
    <s v="Dogissimo"/>
    <n v="8.8000000000000007"/>
    <n v="1"/>
    <s v="NULL"/>
    <s v=""/>
    <d v="2025-05-22T00:00:00"/>
    <n v="0"/>
    <n v="8.8000000000000007"/>
    <x v="0"/>
    <x v="4"/>
    <x v="0"/>
  </r>
  <r>
    <x v="1939"/>
    <n v="4010123456783"/>
    <x v="6"/>
    <s v="Starostlivosť a hygiena – Mačky"/>
    <s v="BellaMeow"/>
    <n v="14"/>
    <n v="1"/>
    <s v="NULL"/>
    <s v=""/>
    <d v="2025-05-22T00:00:00"/>
    <n v="0"/>
    <n v="14"/>
    <x v="0"/>
    <x v="4"/>
    <x v="1"/>
  </r>
  <r>
    <x v="1940"/>
    <n v="4063456789014"/>
    <x v="15"/>
    <s v="Krmivo a maškrty – Psy"/>
    <s v="Pupco"/>
    <n v="36"/>
    <n v="1"/>
    <s v="NULL"/>
    <s v=""/>
    <d v="2025-05-22T00:00:00"/>
    <n v="0"/>
    <n v="36"/>
    <x v="0"/>
    <x v="4"/>
    <x v="0"/>
  </r>
  <r>
    <x v="1941"/>
    <n v="4021234567894"/>
    <x v="18"/>
    <s v="Starostlivosť a hygiena – Mačky"/>
    <s v="PawStyle"/>
    <n v="8"/>
    <n v="1"/>
    <s v="NULL"/>
    <s v=""/>
    <d v="2025-05-22T00:00:00"/>
    <n v="0"/>
    <n v="8"/>
    <x v="0"/>
    <x v="4"/>
    <x v="1"/>
  </r>
  <r>
    <x v="1942"/>
    <n v="4056789012345"/>
    <x v="11"/>
    <s v="Krmivo a maškrty – Mačky"/>
    <s v="BellaMeow"/>
    <n v="2.4"/>
    <n v="2"/>
    <s v="4"/>
    <s v="Mačka spokojná, príjemná vôňa."/>
    <d v="2025-05-22T00:00:00"/>
    <n v="0"/>
    <n v="4.8"/>
    <x v="1"/>
    <x v="4"/>
    <x v="1"/>
  </r>
  <r>
    <x v="1943"/>
    <n v="4061011223346"/>
    <x v="3"/>
    <s v="Oblečenie a doplnky – Psy"/>
    <s v="Tail Trend"/>
    <n v="19.600000000000001"/>
    <n v="1"/>
    <s v="NULL"/>
    <s v=""/>
    <d v="2025-05-23T00:00:00"/>
    <n v="0"/>
    <n v="19.600000000000001"/>
    <x v="0"/>
    <x v="4"/>
    <x v="0"/>
  </r>
  <r>
    <x v="1944"/>
    <n v="4026677889902"/>
    <x v="12"/>
    <s v="Misky a kŕmne doplnky – Ostatné"/>
    <s v="Pawsitive Gear"/>
    <n v="7.6"/>
    <n v="1"/>
    <s v="NULL"/>
    <s v=""/>
    <d v="2025-05-23T00:00:00"/>
    <n v="0"/>
    <n v="7.6"/>
    <x v="0"/>
    <x v="4"/>
    <x v="2"/>
  </r>
  <r>
    <x v="1945"/>
    <n v="4028899001126"/>
    <x v="1"/>
    <s v="Krmivo a maškrty – Psy"/>
    <s v="Pup Republic"/>
    <n v="2.8"/>
    <n v="3"/>
    <s v="NULL"/>
    <s v=""/>
    <d v="2025-05-23T00:00:00"/>
    <n v="0"/>
    <n v="8.3999999999999986"/>
    <x v="0"/>
    <x v="4"/>
    <x v="0"/>
  </r>
  <r>
    <x v="1946"/>
    <n v="4013456789017"/>
    <x v="0"/>
    <s v="Krmivo a maškrty – Psy"/>
    <s v="Snouty"/>
    <n v="6"/>
    <n v="1"/>
    <s v="NULL"/>
    <s v=""/>
    <d v="2025-05-23T00:00:00"/>
    <n v="0"/>
    <n v="6"/>
    <x v="0"/>
    <x v="4"/>
    <x v="0"/>
  </r>
  <r>
    <x v="1947"/>
    <n v="4040123456795"/>
    <x v="2"/>
    <s v="Starostlivosť a hygiena – Psy"/>
    <s v="Dogissimo"/>
    <n v="8.8000000000000007"/>
    <n v="1"/>
    <s v="NULL"/>
    <s v=""/>
    <d v="2025-05-23T00:00:00"/>
    <n v="0"/>
    <n v="8.8000000000000007"/>
    <x v="0"/>
    <x v="4"/>
    <x v="0"/>
  </r>
  <r>
    <x v="1948"/>
    <n v="4010123456783"/>
    <x v="6"/>
    <s v="Starostlivosť a hygiena – Mačky"/>
    <s v="BellaMeow"/>
    <n v="14"/>
    <n v="2"/>
    <s v="NULL"/>
    <s v=""/>
    <d v="2025-05-23T00:00:00"/>
    <n v="0"/>
    <n v="28"/>
    <x v="0"/>
    <x v="4"/>
    <x v="1"/>
  </r>
  <r>
    <x v="1949"/>
    <n v="4063456789014"/>
    <x v="15"/>
    <s v="Krmivo a maškrty – Psy"/>
    <s v="Pupco"/>
    <n v="36"/>
    <n v="1"/>
    <s v="NULL"/>
    <s v=""/>
    <d v="2025-05-23T00:00:00"/>
    <n v="0"/>
    <n v="36"/>
    <x v="0"/>
    <x v="4"/>
    <x v="0"/>
  </r>
  <r>
    <x v="1950"/>
    <n v="4021234567894"/>
    <x v="18"/>
    <s v="Starostlivosť a hygiena – Mačky"/>
    <s v="PawStyle"/>
    <n v="8"/>
    <n v="1"/>
    <s v="NULL"/>
    <s v=""/>
    <d v="2025-05-23T00:00:00"/>
    <n v="0"/>
    <n v="8"/>
    <x v="0"/>
    <x v="4"/>
    <x v="1"/>
  </r>
  <r>
    <x v="1951"/>
    <n v="4056789012345"/>
    <x v="11"/>
    <s v="Krmivo a maškrty – Mačky"/>
    <s v="BellaMeow"/>
    <n v="2.4"/>
    <n v="2"/>
    <s v="NULL"/>
    <s v=""/>
    <d v="2025-05-23T00:00:00"/>
    <n v="0"/>
    <n v="4.8"/>
    <x v="0"/>
    <x v="4"/>
    <x v="1"/>
  </r>
  <r>
    <x v="1952"/>
    <n v="4061011223346"/>
    <x v="3"/>
    <s v="Oblečenie a doplnky – Psy"/>
    <s v="Tail Trend"/>
    <n v="19.600000000000001"/>
    <n v="1"/>
    <s v="NULL"/>
    <s v=""/>
    <d v="2025-05-23T00:00:00"/>
    <n v="0"/>
    <n v="19.600000000000001"/>
    <x v="0"/>
    <x v="4"/>
    <x v="0"/>
  </r>
  <r>
    <x v="1953"/>
    <n v="4026677889902"/>
    <x v="12"/>
    <s v="Misky a kŕmne doplnky – Ostatné"/>
    <s v="Pawsitive Gear"/>
    <n v="7.6"/>
    <n v="1"/>
    <s v="5"/>
    <s v="Super miska, nešmýka sa."/>
    <d v="2025-05-23T00:00:00"/>
    <n v="0"/>
    <n v="7.6"/>
    <x v="2"/>
    <x v="4"/>
    <x v="2"/>
  </r>
  <r>
    <x v="1954"/>
    <n v="4028899001126"/>
    <x v="1"/>
    <s v="Krmivo a maškrty – Psy"/>
    <s v="Pup Republic"/>
    <n v="2.8"/>
    <n v="4"/>
    <s v="NULL"/>
    <s v=""/>
    <d v="2025-05-23T00:00:00"/>
    <n v="0"/>
    <n v="11.2"/>
    <x v="0"/>
    <x v="4"/>
    <x v="0"/>
  </r>
  <r>
    <x v="1955"/>
    <n v="4013456789017"/>
    <x v="0"/>
    <s v="Krmivo a maškrty – Psy"/>
    <s v="Snouty"/>
    <n v="6"/>
    <n v="1"/>
    <s v="NULL"/>
    <s v=""/>
    <d v="2025-05-23T00:00:00"/>
    <n v="0"/>
    <n v="6"/>
    <x v="0"/>
    <x v="4"/>
    <x v="0"/>
  </r>
  <r>
    <x v="1956"/>
    <n v="4040123456795"/>
    <x v="2"/>
    <s v="Starostlivosť a hygiena – Psy"/>
    <s v="Dogissimo"/>
    <n v="8.8000000000000007"/>
    <n v="1"/>
    <s v="NULL"/>
    <s v=""/>
    <d v="2025-05-23T00:00:00"/>
    <n v="0"/>
    <n v="8.8000000000000007"/>
    <x v="0"/>
    <x v="4"/>
    <x v="0"/>
  </r>
  <r>
    <x v="1957"/>
    <n v="4010123456783"/>
    <x v="6"/>
    <s v="Starostlivosť a hygiena – Mačky"/>
    <s v="BellaMeow"/>
    <n v="14"/>
    <n v="1"/>
    <s v="NULL"/>
    <s v=""/>
    <d v="2025-05-24T00:00:00"/>
    <n v="0"/>
    <n v="14"/>
    <x v="0"/>
    <x v="4"/>
    <x v="1"/>
  </r>
  <r>
    <x v="1958"/>
    <n v="4063456789014"/>
    <x v="15"/>
    <s v="Krmivo a maškrty – Psy"/>
    <s v="Pupco"/>
    <n v="36"/>
    <n v="1"/>
    <s v="NULL"/>
    <s v=""/>
    <d v="2025-05-24T00:00:00"/>
    <n v="0"/>
    <n v="36"/>
    <x v="0"/>
    <x v="4"/>
    <x v="0"/>
  </r>
  <r>
    <x v="1959"/>
    <n v="4021234567894"/>
    <x v="18"/>
    <s v="Starostlivosť a hygiena – Mačky"/>
    <s v="PawStyle"/>
    <n v="8"/>
    <n v="1"/>
    <s v="NULL"/>
    <s v=""/>
    <d v="2025-05-24T00:00:00"/>
    <n v="0"/>
    <n v="8"/>
    <x v="0"/>
    <x v="4"/>
    <x v="1"/>
  </r>
  <r>
    <x v="1960"/>
    <n v="4056789012345"/>
    <x v="11"/>
    <s v="Krmivo a maškrty – Mačky"/>
    <s v="BellaMeow"/>
    <n v="2.4"/>
    <n v="2"/>
    <s v="NULL"/>
    <s v=""/>
    <d v="2025-05-24T00:00:00"/>
    <n v="0"/>
    <n v="4.8"/>
    <x v="0"/>
    <x v="4"/>
    <x v="1"/>
  </r>
  <r>
    <x v="1961"/>
    <n v="4061011223346"/>
    <x v="3"/>
    <s v="Oblečenie a doplnky – Psy"/>
    <s v="Tail Trend"/>
    <n v="19.600000000000001"/>
    <n v="1"/>
    <s v="NULL"/>
    <s v=""/>
    <d v="2025-05-24T00:00:00"/>
    <n v="0"/>
    <n v="19.600000000000001"/>
    <x v="0"/>
    <x v="4"/>
    <x v="0"/>
  </r>
  <r>
    <x v="1962"/>
    <n v="4026677889902"/>
    <x v="12"/>
    <s v="Misky a kŕmne doplnky – Ostatné"/>
    <s v="Pawsitive Gear"/>
    <n v="7.6"/>
    <n v="1"/>
    <s v="NULL"/>
    <s v=""/>
    <d v="2025-05-24T00:00:00"/>
    <n v="0"/>
    <n v="7.6"/>
    <x v="0"/>
    <x v="4"/>
    <x v="2"/>
  </r>
  <r>
    <x v="1963"/>
    <n v="4028899001126"/>
    <x v="1"/>
    <s v="Krmivo a maškrty – Psy"/>
    <s v="Pup Republic"/>
    <n v="2.8"/>
    <n v="4"/>
    <s v="NULL"/>
    <s v=""/>
    <d v="2025-05-24T00:00:00"/>
    <n v="0"/>
    <n v="11.2"/>
    <x v="0"/>
    <x v="4"/>
    <x v="0"/>
  </r>
  <r>
    <x v="1964"/>
    <n v="4013456789017"/>
    <x v="0"/>
    <s v="Krmivo a maškrty – Psy"/>
    <s v="Snouty"/>
    <n v="6"/>
    <n v="1"/>
    <s v="NULL"/>
    <s v=""/>
    <d v="2025-05-24T00:00:00"/>
    <n v="0"/>
    <n v="6"/>
    <x v="0"/>
    <x v="4"/>
    <x v="0"/>
  </r>
  <r>
    <x v="1965"/>
    <n v="4040123456795"/>
    <x v="2"/>
    <s v="Starostlivosť a hygiena – Psy"/>
    <s v="Dogissimo"/>
    <n v="8.8000000000000007"/>
    <n v="1"/>
    <s v="NULL"/>
    <s v=""/>
    <d v="2025-05-24T00:00:00"/>
    <n v="0"/>
    <n v="8.8000000000000007"/>
    <x v="0"/>
    <x v="4"/>
    <x v="0"/>
  </r>
  <r>
    <x v="1966"/>
    <n v="4010123456783"/>
    <x v="6"/>
    <s v="Starostlivosť a hygiena – Mačky"/>
    <s v="BellaMeow"/>
    <n v="14"/>
    <n v="2"/>
    <s v="NULL"/>
    <s v=""/>
    <d v="2025-05-24T00:00:00"/>
    <n v="0"/>
    <n v="28"/>
    <x v="0"/>
    <x v="4"/>
    <x v="1"/>
  </r>
  <r>
    <x v="1967"/>
    <n v="4063456789014"/>
    <x v="15"/>
    <s v="Krmivo a maškrty – Psy"/>
    <s v="Pupco"/>
    <n v="36"/>
    <n v="1"/>
    <s v="3"/>
    <s v="Pes to je, ale mohlo by byť lacnejší."/>
    <d v="2025-05-24T00:00:00"/>
    <n v="0"/>
    <n v="36"/>
    <x v="3"/>
    <x v="4"/>
    <x v="0"/>
  </r>
  <r>
    <x v="1968"/>
    <n v="4021234567894"/>
    <x v="18"/>
    <s v="Starostlivosť a hygiena – Mačky"/>
    <s v="PawStyle"/>
    <n v="8"/>
    <n v="1"/>
    <s v="NULL"/>
    <s v=""/>
    <d v="2025-05-24T00:00:00"/>
    <n v="0"/>
    <n v="8"/>
    <x v="0"/>
    <x v="4"/>
    <x v="1"/>
  </r>
  <r>
    <x v="1969"/>
    <n v="4056789012345"/>
    <x v="11"/>
    <s v="Krmivo a maškrty – Mačky"/>
    <s v="BellaMeow"/>
    <n v="2.4"/>
    <n v="2"/>
    <s v="NULL"/>
    <s v=""/>
    <d v="2025-05-25T00:00:00"/>
    <n v="0"/>
    <n v="4.8"/>
    <x v="0"/>
    <x v="4"/>
    <x v="1"/>
  </r>
  <r>
    <x v="1970"/>
    <n v="4061011223346"/>
    <x v="3"/>
    <s v="Oblečenie a doplnky – Psy"/>
    <s v="Tail Trend"/>
    <n v="19.600000000000001"/>
    <n v="1"/>
    <s v="NULL"/>
    <s v=""/>
    <d v="2025-05-25T00:00:00"/>
    <n v="0"/>
    <n v="19.600000000000001"/>
    <x v="0"/>
    <x v="4"/>
    <x v="0"/>
  </r>
  <r>
    <x v="1971"/>
    <n v="4026677889902"/>
    <x v="12"/>
    <s v="Misky a kŕmne doplnky – Ostatné"/>
    <s v="Pawsitive Gear"/>
    <n v="7.6"/>
    <n v="1"/>
    <s v="NULL"/>
    <s v=""/>
    <d v="2025-05-25T00:00:00"/>
    <n v="0"/>
    <n v="7.6"/>
    <x v="0"/>
    <x v="4"/>
    <x v="2"/>
  </r>
  <r>
    <x v="1972"/>
    <n v="4028899001126"/>
    <x v="1"/>
    <s v="Krmivo a maškrty – Psy"/>
    <s v="Pup Republic"/>
    <n v="2.8"/>
    <n v="3"/>
    <s v="NULL"/>
    <s v=""/>
    <d v="2025-05-25T00:00:00"/>
    <n v="0"/>
    <n v="8.3999999999999986"/>
    <x v="0"/>
    <x v="4"/>
    <x v="0"/>
  </r>
  <r>
    <x v="1973"/>
    <n v="4013456789017"/>
    <x v="0"/>
    <s v="Krmivo a maškrty – Psy"/>
    <s v="Snouty"/>
    <n v="6"/>
    <n v="1"/>
    <s v="NULL"/>
    <s v=""/>
    <d v="2025-05-25T00:00:00"/>
    <n v="0"/>
    <n v="6"/>
    <x v="0"/>
    <x v="4"/>
    <x v="0"/>
  </r>
  <r>
    <x v="1974"/>
    <n v="4040123456795"/>
    <x v="2"/>
    <s v="Starostlivosť a hygiena – Psy"/>
    <s v="Dogissimo"/>
    <n v="8.8000000000000007"/>
    <n v="1"/>
    <s v="NULL"/>
    <s v=""/>
    <d v="2025-05-25T00:00:00"/>
    <n v="0"/>
    <n v="8.8000000000000007"/>
    <x v="0"/>
    <x v="4"/>
    <x v="0"/>
  </r>
  <r>
    <x v="1975"/>
    <n v="4010123456783"/>
    <x v="6"/>
    <s v="Starostlivosť a hygiena – Mačky"/>
    <s v="BellaMeow"/>
    <n v="14"/>
    <n v="1"/>
    <s v="NULL"/>
    <s v=""/>
    <d v="2025-05-25T00:00:00"/>
    <n v="0"/>
    <n v="14"/>
    <x v="0"/>
    <x v="4"/>
    <x v="1"/>
  </r>
  <r>
    <x v="1976"/>
    <n v="4063456789014"/>
    <x v="15"/>
    <s v="Krmivo a maškrty – Psy"/>
    <s v="Pupco"/>
    <n v="36"/>
    <n v="1"/>
    <s v="NULL"/>
    <s v=""/>
    <d v="2025-05-25T00:00:00"/>
    <n v="0"/>
    <n v="36"/>
    <x v="0"/>
    <x v="4"/>
    <x v="0"/>
  </r>
  <r>
    <x v="1977"/>
    <n v="4021234567894"/>
    <x v="18"/>
    <s v="Starostlivosť a hygiena – Mačky"/>
    <s v="PawStyle"/>
    <n v="8"/>
    <n v="1"/>
    <s v="NULL"/>
    <s v=""/>
    <d v="2025-05-25T00:00:00"/>
    <n v="0"/>
    <n v="8"/>
    <x v="0"/>
    <x v="4"/>
    <x v="1"/>
  </r>
  <r>
    <x v="1978"/>
    <n v="4056789012345"/>
    <x v="11"/>
    <s v="Krmivo a maškrty – Mačky"/>
    <s v="BellaMeow"/>
    <n v="2.4"/>
    <n v="3"/>
    <s v="NULL"/>
    <s v=""/>
    <d v="2025-05-25T00:00:00"/>
    <n v="0"/>
    <n v="7.1999999999999993"/>
    <x v="0"/>
    <x v="4"/>
    <x v="1"/>
  </r>
  <r>
    <x v="1979"/>
    <n v="4061011223346"/>
    <x v="3"/>
    <s v="Oblečenie a doplnky – Psy"/>
    <s v="Tail Trend"/>
    <n v="19.600000000000001"/>
    <n v="1"/>
    <s v="NULL"/>
    <s v=""/>
    <d v="2025-05-25T00:00:00"/>
    <n v="0"/>
    <n v="19.600000000000001"/>
    <x v="0"/>
    <x v="4"/>
    <x v="0"/>
  </r>
  <r>
    <x v="1980"/>
    <n v="4026677889902"/>
    <x v="12"/>
    <s v="Misky a kŕmne doplnky – Ostatné"/>
    <s v="Pawsitive Gear"/>
    <n v="7.6"/>
    <n v="1"/>
    <s v="NULL"/>
    <s v=""/>
    <d v="2025-05-25T00:00:00"/>
    <n v="0"/>
    <n v="7.6"/>
    <x v="0"/>
    <x v="4"/>
    <x v="2"/>
  </r>
  <r>
    <x v="1981"/>
    <n v="4028899001126"/>
    <x v="1"/>
    <s v="Krmivo a maškrty – Psy"/>
    <s v="Pup Republic"/>
    <n v="2.8"/>
    <n v="4"/>
    <s v="4"/>
    <s v="Pes spokojen, levné a chutné."/>
    <d v="2025-05-26T00:00:00"/>
    <n v="0"/>
    <n v="11.2"/>
    <x v="1"/>
    <x v="4"/>
    <x v="0"/>
  </r>
  <r>
    <x v="1982"/>
    <n v="4013456789017"/>
    <x v="0"/>
    <s v="Krmivo a maškrty – Psy"/>
    <s v="Snouty"/>
    <n v="6"/>
    <n v="1"/>
    <s v="NULL"/>
    <s v=""/>
    <d v="2025-05-26T00:00:00"/>
    <n v="0"/>
    <n v="6"/>
    <x v="0"/>
    <x v="4"/>
    <x v="0"/>
  </r>
  <r>
    <x v="1983"/>
    <n v="4040123456795"/>
    <x v="2"/>
    <s v="Starostlivosť a hygiena – Psy"/>
    <s v="Dogissimo"/>
    <n v="8.8000000000000007"/>
    <n v="1"/>
    <s v="NULL"/>
    <s v=""/>
    <d v="2025-05-26T00:00:00"/>
    <n v="0"/>
    <n v="8.8000000000000007"/>
    <x v="0"/>
    <x v="4"/>
    <x v="0"/>
  </r>
  <r>
    <x v="1984"/>
    <n v="4010123456783"/>
    <x v="6"/>
    <s v="Starostlivosť a hygiena – Mačky"/>
    <s v="BellaMeow"/>
    <n v="14"/>
    <n v="1"/>
    <s v="NULL"/>
    <s v=""/>
    <d v="2025-05-26T00:00:00"/>
    <n v="0"/>
    <n v="14"/>
    <x v="0"/>
    <x v="4"/>
    <x v="1"/>
  </r>
  <r>
    <x v="1985"/>
    <n v="4063456789014"/>
    <x v="15"/>
    <s v="Krmivo a maškrty – Psy"/>
    <s v="Pupco"/>
    <n v="36"/>
    <n v="1"/>
    <s v="NULL"/>
    <s v=""/>
    <d v="2025-05-26T00:00:00"/>
    <n v="0"/>
    <n v="36"/>
    <x v="0"/>
    <x v="4"/>
    <x v="0"/>
  </r>
  <r>
    <x v="1986"/>
    <n v="4021234567894"/>
    <x v="18"/>
    <s v="Starostlivosť a hygiena – Mačky"/>
    <s v="PawStyle"/>
    <n v="8"/>
    <n v="1"/>
    <s v="NULL"/>
    <s v=""/>
    <d v="2025-05-26T00:00:00"/>
    <n v="0"/>
    <n v="8"/>
    <x v="0"/>
    <x v="4"/>
    <x v="1"/>
  </r>
  <r>
    <x v="1987"/>
    <n v="4056789012345"/>
    <x v="11"/>
    <s v="Krmivo a maškrty – Mačky"/>
    <s v="BellaMeow"/>
    <n v="2.4"/>
    <n v="3"/>
    <s v="NULL"/>
    <s v=""/>
    <d v="2025-05-26T00:00:00"/>
    <n v="0"/>
    <n v="7.1999999999999993"/>
    <x v="0"/>
    <x v="4"/>
    <x v="1"/>
  </r>
  <r>
    <x v="1988"/>
    <n v="4061011223346"/>
    <x v="3"/>
    <s v="Oblečenie a doplnky – Psy"/>
    <s v="Tail Trend"/>
    <n v="19.600000000000001"/>
    <n v="1"/>
    <s v="NULL"/>
    <s v=""/>
    <d v="2025-05-26T00:00:00"/>
    <n v="0"/>
    <n v="19.600000000000001"/>
    <x v="0"/>
    <x v="4"/>
    <x v="0"/>
  </r>
  <r>
    <x v="1989"/>
    <n v="4026677889902"/>
    <x v="12"/>
    <s v="Misky a kŕmne doplnky – Ostatné"/>
    <s v="Pawsitive Gear"/>
    <n v="7.6"/>
    <n v="1"/>
    <s v="NULL"/>
    <s v=""/>
    <d v="2025-05-26T00:00:00"/>
    <n v="0"/>
    <n v="7.6"/>
    <x v="0"/>
    <x v="4"/>
    <x v="2"/>
  </r>
  <r>
    <x v="1990"/>
    <n v="4028899001126"/>
    <x v="1"/>
    <s v="Krmivo a maškrty – Psy"/>
    <s v="Pup Republic"/>
    <n v="2.8"/>
    <n v="3"/>
    <s v="NULL"/>
    <s v=""/>
    <d v="2025-05-26T00:00:00"/>
    <n v="0"/>
    <n v="8.3999999999999986"/>
    <x v="0"/>
    <x v="4"/>
    <x v="0"/>
  </r>
  <r>
    <x v="1991"/>
    <n v="4013456789017"/>
    <x v="0"/>
    <s v="Krmivo a maškrty – Psy"/>
    <s v="Snouty"/>
    <n v="6"/>
    <n v="1"/>
    <s v="NULL"/>
    <s v=""/>
    <d v="2025-05-26T00:00:00"/>
    <n v="0"/>
    <n v="6"/>
    <x v="0"/>
    <x v="4"/>
    <x v="0"/>
  </r>
  <r>
    <x v="1992"/>
    <n v="4040123456795"/>
    <x v="2"/>
    <s v="Starostlivosť a hygiena – Psy"/>
    <s v="Dogissimo"/>
    <n v="8.8000000000000007"/>
    <n v="1"/>
    <s v="NULL"/>
    <s v=""/>
    <d v="2025-05-26T00:00:00"/>
    <n v="0"/>
    <n v="8.8000000000000007"/>
    <x v="0"/>
    <x v="4"/>
    <x v="0"/>
  </r>
  <r>
    <x v="1993"/>
    <n v="4010123456783"/>
    <x v="6"/>
    <s v="Starostlivosť a hygiena – Mačky"/>
    <s v="BellaMeow"/>
    <n v="14"/>
    <n v="2"/>
    <s v="NULL"/>
    <s v=""/>
    <d v="2025-05-26T00:00:00"/>
    <n v="0"/>
    <n v="28"/>
    <x v="0"/>
    <x v="4"/>
    <x v="1"/>
  </r>
  <r>
    <x v="1994"/>
    <n v="4063456789014"/>
    <x v="15"/>
    <s v="Krmivo a maškrty – Psy"/>
    <s v="Pupco"/>
    <n v="36"/>
    <n v="1"/>
    <s v="NULL"/>
    <s v=""/>
    <d v="2025-05-26T00:00:00"/>
    <n v="0"/>
    <n v="36"/>
    <x v="0"/>
    <x v="4"/>
    <x v="0"/>
  </r>
  <r>
    <x v="1995"/>
    <n v="4021234567894"/>
    <x v="18"/>
    <s v="Starostlivosť a hygiena – Mačky"/>
    <s v="PawStyle"/>
    <n v="8"/>
    <n v="1"/>
    <s v="NULL"/>
    <s v=""/>
    <d v="2025-05-26T00:00:00"/>
    <n v="0"/>
    <n v="8"/>
    <x v="0"/>
    <x v="4"/>
    <x v="1"/>
  </r>
  <r>
    <x v="1996"/>
    <n v="4056789012345"/>
    <x v="11"/>
    <s v="Krmivo a maškrty – Mačky"/>
    <s v="BellaMeow"/>
    <n v="2.4"/>
    <n v="2"/>
    <s v="NULL"/>
    <s v=""/>
    <d v="2025-05-26T00:00:00"/>
    <n v="0"/>
    <n v="4.8"/>
    <x v="0"/>
    <x v="4"/>
    <x v="1"/>
  </r>
  <r>
    <x v="1997"/>
    <n v="4061011223346"/>
    <x v="3"/>
    <s v="Oblečenie a doplnky – Psy"/>
    <s v="Tail Trend"/>
    <n v="19.600000000000001"/>
    <n v="1"/>
    <s v="NULL"/>
    <s v=""/>
    <d v="2025-05-26T00:00:00"/>
    <n v="0"/>
    <n v="19.600000000000001"/>
    <x v="0"/>
    <x v="4"/>
    <x v="0"/>
  </r>
  <r>
    <x v="1998"/>
    <n v="4026677889902"/>
    <x v="12"/>
    <s v="Misky a kŕmne doplnky – Ostatné"/>
    <s v="Pawsitive Gear"/>
    <n v="7.6"/>
    <n v="1"/>
    <s v="NULL"/>
    <s v=""/>
    <d v="2025-05-26T00:00:00"/>
    <n v="0"/>
    <n v="7.6"/>
    <x v="0"/>
    <x v="4"/>
    <x v="2"/>
  </r>
  <r>
    <x v="1999"/>
    <n v="4028899001126"/>
    <x v="1"/>
    <s v="Krmivo a maškrty – Psy"/>
    <s v="Pup Republic"/>
    <n v="2.8"/>
    <n v="4"/>
    <s v="NULL"/>
    <s v=""/>
    <d v="2025-05-26T00:00:00"/>
    <n v="0"/>
    <n v="11.2"/>
    <x v="0"/>
    <x v="4"/>
    <x v="0"/>
  </r>
  <r>
    <x v="2000"/>
    <n v="4013456789017"/>
    <x v="0"/>
    <s v="Krmivo a maškrty – Psy"/>
    <s v="Snouty"/>
    <n v="6"/>
    <n v="1"/>
    <s v="NULL"/>
    <s v=""/>
    <d v="2025-05-27T00:00:00"/>
    <n v="0"/>
    <n v="6"/>
    <x v="0"/>
    <x v="4"/>
    <x v="0"/>
  </r>
  <r>
    <x v="2001"/>
    <n v="4040123456795"/>
    <x v="2"/>
    <s v="Starostlivosť a hygiena – Psy"/>
    <s v="Dogissimo"/>
    <n v="8.8000000000000007"/>
    <n v="1"/>
    <s v="NULL"/>
    <s v=""/>
    <d v="2025-05-27T00:00:00"/>
    <n v="0"/>
    <n v="8.8000000000000007"/>
    <x v="0"/>
    <x v="4"/>
    <x v="0"/>
  </r>
  <r>
    <x v="2002"/>
    <n v="4010123456783"/>
    <x v="6"/>
    <s v="Starostlivosť a hygiena – Mačky"/>
    <s v="BellaMeow"/>
    <n v="14"/>
    <n v="1"/>
    <s v="NULL"/>
    <s v=""/>
    <d v="2025-05-27T00:00:00"/>
    <n v="0"/>
    <n v="14"/>
    <x v="0"/>
    <x v="4"/>
    <x v="1"/>
  </r>
  <r>
    <x v="2003"/>
    <n v="4063456789014"/>
    <x v="15"/>
    <s v="Krmivo a maškrty – Psy"/>
    <s v="Pupco"/>
    <n v="36"/>
    <n v="1"/>
    <s v="NULL"/>
    <s v=""/>
    <d v="2025-05-27T00:00:00"/>
    <n v="0"/>
    <n v="36"/>
    <x v="0"/>
    <x v="4"/>
    <x v="0"/>
  </r>
  <r>
    <x v="2004"/>
    <n v="4021234567894"/>
    <x v="18"/>
    <s v="Starostlivosť a hygiena – Mačky"/>
    <s v="PawStyle"/>
    <n v="8"/>
    <n v="1"/>
    <s v="NULL"/>
    <s v=""/>
    <d v="2025-05-27T00:00:00"/>
    <n v="0"/>
    <n v="8"/>
    <x v="0"/>
    <x v="4"/>
    <x v="1"/>
  </r>
  <r>
    <x v="2005"/>
    <n v="4056789012345"/>
    <x v="11"/>
    <s v="Krmivo a maškrty – Mačky"/>
    <s v="BellaMeow"/>
    <n v="2.4"/>
    <n v="2"/>
    <s v="NULL"/>
    <s v=""/>
    <d v="2025-05-27T00:00:00"/>
    <n v="0"/>
    <n v="4.8"/>
    <x v="0"/>
    <x v="4"/>
    <x v="1"/>
  </r>
  <r>
    <x v="2006"/>
    <n v="4061011223346"/>
    <x v="3"/>
    <s v="Oblečenie a doplnky – Psy"/>
    <s v="Tail Trend"/>
    <n v="19.600000000000001"/>
    <n v="1"/>
    <s v="NULL"/>
    <s v=""/>
    <d v="2025-05-27T00:00:00"/>
    <n v="0"/>
    <n v="19.600000000000001"/>
    <x v="0"/>
    <x v="4"/>
    <x v="0"/>
  </r>
  <r>
    <x v="2007"/>
    <n v="4026677889902"/>
    <x v="12"/>
    <s v="Misky a kŕmne doplnky – Ostatné"/>
    <s v="Pawsitive Gear"/>
    <n v="7.6"/>
    <n v="1"/>
    <s v="NULL"/>
    <s v=""/>
    <d v="2025-05-27T00:00:00"/>
    <n v="0"/>
    <n v="7.6"/>
    <x v="0"/>
    <x v="4"/>
    <x v="2"/>
  </r>
  <r>
    <x v="2008"/>
    <n v="4028899001126"/>
    <x v="1"/>
    <s v="Krmivo a maškrty – Psy"/>
    <s v="Pup Republic"/>
    <n v="2.8"/>
    <n v="3"/>
    <s v="NULL"/>
    <s v=""/>
    <d v="2025-05-27T00:00:00"/>
    <n v="0"/>
    <n v="8.3999999999999986"/>
    <x v="0"/>
    <x v="4"/>
    <x v="0"/>
  </r>
  <r>
    <x v="2009"/>
    <n v="4013456789017"/>
    <x v="0"/>
    <s v="Krmivo a maškrty – Psy"/>
    <s v="Snouty"/>
    <n v="6"/>
    <n v="1"/>
    <s v="NULL"/>
    <s v=""/>
    <d v="2025-05-27T00:00:00"/>
    <n v="0"/>
    <n v="6"/>
    <x v="0"/>
    <x v="4"/>
    <x v="0"/>
  </r>
  <r>
    <x v="2010"/>
    <n v="4040123456795"/>
    <x v="2"/>
    <s v="Starostlivosť a hygiena – Psy"/>
    <s v="Dogissimo"/>
    <n v="8.8000000000000007"/>
    <n v="1"/>
    <s v="NULL"/>
    <s v=""/>
    <d v="2025-05-27T00:00:00"/>
    <n v="0"/>
    <n v="8.8000000000000007"/>
    <x v="0"/>
    <x v="4"/>
    <x v="0"/>
  </r>
  <r>
    <x v="2011"/>
    <n v="4010123456783"/>
    <x v="6"/>
    <s v="Starostlivosť a hygiena – Mačky"/>
    <s v="BellaMeow"/>
    <n v="14"/>
    <n v="1"/>
    <s v="NULL"/>
    <s v=""/>
    <d v="2025-05-27T00:00:00"/>
    <n v="0"/>
    <n v="14"/>
    <x v="0"/>
    <x v="4"/>
    <x v="1"/>
  </r>
  <r>
    <x v="2012"/>
    <n v="4063456789014"/>
    <x v="15"/>
    <s v="Krmivo a maškrty – Psy"/>
    <s v="Pupco"/>
    <n v="36"/>
    <n v="1"/>
    <s v="NULL"/>
    <s v=""/>
    <d v="2025-05-28T00:00:00"/>
    <n v="0"/>
    <n v="36"/>
    <x v="0"/>
    <x v="4"/>
    <x v="0"/>
  </r>
  <r>
    <x v="2013"/>
    <n v="4021234567894"/>
    <x v="18"/>
    <s v="Starostlivosť a hygiena – Mačky"/>
    <s v="PawStyle"/>
    <n v="8"/>
    <n v="1"/>
    <s v="NULL"/>
    <s v=""/>
    <d v="2025-05-28T00:00:00"/>
    <n v="0"/>
    <n v="8"/>
    <x v="0"/>
    <x v="4"/>
    <x v="1"/>
  </r>
  <r>
    <x v="2014"/>
    <n v="4056789012345"/>
    <x v="11"/>
    <s v="Krmivo a maškrty – Mačky"/>
    <s v="BellaMeow"/>
    <n v="2.4"/>
    <n v="3"/>
    <s v="NULL"/>
    <s v=""/>
    <d v="2025-05-28T00:00:00"/>
    <n v="0"/>
    <n v="7.1999999999999993"/>
    <x v="0"/>
    <x v="4"/>
    <x v="1"/>
  </r>
  <r>
    <x v="2015"/>
    <n v="4061011223346"/>
    <x v="3"/>
    <s v="Oblečenie a doplnky – Psy"/>
    <s v="Tail Trend"/>
    <n v="19.600000000000001"/>
    <n v="1"/>
    <s v="NULL"/>
    <s v=""/>
    <d v="2025-05-28T00:00:00"/>
    <n v="0"/>
    <n v="19.600000000000001"/>
    <x v="0"/>
    <x v="4"/>
    <x v="0"/>
  </r>
  <r>
    <x v="2016"/>
    <n v="4026677889902"/>
    <x v="12"/>
    <s v="Misky a kŕmne doplnky – Ostatné"/>
    <s v="Pawsitive Gear"/>
    <n v="7.6"/>
    <n v="1"/>
    <s v="NULL"/>
    <s v=""/>
    <d v="2025-05-28T00:00:00"/>
    <n v="0"/>
    <n v="7.6"/>
    <x v="0"/>
    <x v="4"/>
    <x v="2"/>
  </r>
  <r>
    <x v="2017"/>
    <n v="4028899001126"/>
    <x v="1"/>
    <s v="Krmivo a maškrty – Psy"/>
    <s v="Pup Republic"/>
    <n v="2.8"/>
    <n v="4"/>
    <s v="NULL"/>
    <s v=""/>
    <d v="2025-05-28T00:00:00"/>
    <n v="0"/>
    <n v="11.2"/>
    <x v="0"/>
    <x v="4"/>
    <x v="0"/>
  </r>
  <r>
    <x v="2018"/>
    <n v="4013456789017"/>
    <x v="0"/>
    <s v="Krmivo a maškrty – Psy"/>
    <s v="Snouty"/>
    <n v="6"/>
    <n v="1"/>
    <s v="NULL"/>
    <s v=""/>
    <d v="2025-05-28T00:00:00"/>
    <n v="0"/>
    <n v="6"/>
    <x v="0"/>
    <x v="4"/>
    <x v="0"/>
  </r>
  <r>
    <x v="2019"/>
    <n v="4040123456795"/>
    <x v="2"/>
    <s v="Starostlivosť a hygiena – Psy"/>
    <s v="Dogissimo"/>
    <n v="8.8000000000000007"/>
    <n v="1"/>
    <s v="NULL"/>
    <s v=""/>
    <d v="2025-05-28T00:00:00"/>
    <n v="0"/>
    <n v="8.8000000000000007"/>
    <x v="0"/>
    <x v="4"/>
    <x v="0"/>
  </r>
  <r>
    <x v="2020"/>
    <n v="4010123456783"/>
    <x v="6"/>
    <s v="Starostlivosť a hygiena – Mačky"/>
    <s v="BellaMeow"/>
    <n v="14"/>
    <n v="1"/>
    <s v="NULL"/>
    <s v=""/>
    <d v="2025-05-28T00:00:00"/>
    <n v="0"/>
    <n v="14"/>
    <x v="0"/>
    <x v="4"/>
    <x v="1"/>
  </r>
  <r>
    <x v="2021"/>
    <n v="4063456789014"/>
    <x v="15"/>
    <s v="Krmivo a maškrty – Psy"/>
    <s v="Pupco"/>
    <n v="36"/>
    <n v="1"/>
    <s v="5"/>
    <s v="Perfektní kvalita, odporúčam všetkým."/>
    <d v="2025-05-28T00:00:00"/>
    <n v="0"/>
    <n v="36"/>
    <x v="2"/>
    <x v="4"/>
    <x v="0"/>
  </r>
  <r>
    <x v="2022"/>
    <n v="4021234567894"/>
    <x v="18"/>
    <s v="Starostlivosť a hygiena – Mačky"/>
    <s v="PawStyle"/>
    <n v="8"/>
    <n v="1"/>
    <s v="NULL"/>
    <s v=""/>
    <d v="2025-05-28T00:00:00"/>
    <n v="0"/>
    <n v="8"/>
    <x v="0"/>
    <x v="4"/>
    <x v="1"/>
  </r>
  <r>
    <x v="2023"/>
    <n v="4056789012345"/>
    <x v="11"/>
    <s v="Krmivo a maškrty – Mačky"/>
    <s v="BellaMeow"/>
    <n v="2.4"/>
    <n v="3"/>
    <s v="NULL"/>
    <s v=""/>
    <d v="2025-05-29T00:00:00"/>
    <n v="0"/>
    <n v="7.1999999999999993"/>
    <x v="0"/>
    <x v="4"/>
    <x v="1"/>
  </r>
  <r>
    <x v="2024"/>
    <n v="4061011223346"/>
    <x v="3"/>
    <s v="Oblečenie a doplnky – Psy"/>
    <s v="Tail Trend"/>
    <n v="19.600000000000001"/>
    <n v="1"/>
    <s v="NULL"/>
    <s v=""/>
    <d v="2025-05-29T00:00:00"/>
    <n v="0"/>
    <n v="19.600000000000001"/>
    <x v="0"/>
    <x v="4"/>
    <x v="0"/>
  </r>
  <r>
    <x v="2025"/>
    <n v="4026677889902"/>
    <x v="12"/>
    <s v="Misky a kŕmne doplnky – Ostatné"/>
    <s v="Pawsitive Gear"/>
    <n v="7.6"/>
    <n v="1"/>
    <s v="NULL"/>
    <s v=""/>
    <d v="2025-05-29T00:00:00"/>
    <n v="0"/>
    <n v="7.6"/>
    <x v="0"/>
    <x v="4"/>
    <x v="2"/>
  </r>
  <r>
    <x v="2026"/>
    <n v="4028899001126"/>
    <x v="1"/>
    <s v="Krmivo a maškrty – Psy"/>
    <s v="Pup Republic"/>
    <n v="2.8"/>
    <n v="3"/>
    <s v="NULL"/>
    <s v=""/>
    <d v="2025-05-29T00:00:00"/>
    <n v="0"/>
    <n v="8.3999999999999986"/>
    <x v="0"/>
    <x v="4"/>
    <x v="0"/>
  </r>
  <r>
    <x v="2027"/>
    <n v="4013456789017"/>
    <x v="0"/>
    <s v="Krmivo a maškrty – Psy"/>
    <s v="Snouty"/>
    <n v="6"/>
    <n v="1"/>
    <s v="NULL"/>
    <s v=""/>
    <d v="2025-05-29T00:00:00"/>
    <n v="0"/>
    <n v="6"/>
    <x v="0"/>
    <x v="4"/>
    <x v="0"/>
  </r>
  <r>
    <x v="2028"/>
    <n v="4040123456795"/>
    <x v="2"/>
    <s v="Starostlivosť a hygiena – Psy"/>
    <s v="Dogissimo"/>
    <n v="8.8000000000000007"/>
    <n v="1"/>
    <s v="NULL"/>
    <s v=""/>
    <d v="2025-05-29T00:00:00"/>
    <n v="0"/>
    <n v="8.8000000000000007"/>
    <x v="0"/>
    <x v="4"/>
    <x v="0"/>
  </r>
  <r>
    <x v="2029"/>
    <n v="4010123456783"/>
    <x v="6"/>
    <s v="Starostlivosť a hygiena – Mačky"/>
    <s v="BellaMeow"/>
    <n v="14"/>
    <n v="1"/>
    <s v="NULL"/>
    <s v=""/>
    <d v="2025-05-29T00:00:00"/>
    <n v="0"/>
    <n v="14"/>
    <x v="0"/>
    <x v="4"/>
    <x v="1"/>
  </r>
  <r>
    <x v="2030"/>
    <n v="4063456789014"/>
    <x v="15"/>
    <s v="Krmivo a maškrty – Psy"/>
    <s v="Pupco"/>
    <n v="36"/>
    <n v="1"/>
    <s v="NULL"/>
    <s v=""/>
    <d v="2025-05-29T00:00:00"/>
    <n v="0"/>
    <n v="36"/>
    <x v="0"/>
    <x v="4"/>
    <x v="0"/>
  </r>
  <r>
    <x v="2031"/>
    <n v="4021234567894"/>
    <x v="18"/>
    <s v="Starostlivosť a hygiena – Mačky"/>
    <s v="PawStyle"/>
    <n v="8"/>
    <n v="1"/>
    <s v="NULL"/>
    <s v=""/>
    <d v="2025-05-29T00:00:00"/>
    <n v="0"/>
    <n v="8"/>
    <x v="0"/>
    <x v="4"/>
    <x v="1"/>
  </r>
  <r>
    <x v="2032"/>
    <n v="4056789012345"/>
    <x v="11"/>
    <s v="Krmivo a maškrty – Mačky"/>
    <s v="BellaMeow"/>
    <n v="2.4"/>
    <n v="2"/>
    <s v="NULL"/>
    <s v=""/>
    <d v="2025-05-29T00:00:00"/>
    <n v="0"/>
    <n v="4.8"/>
    <x v="0"/>
    <x v="4"/>
    <x v="1"/>
  </r>
  <r>
    <x v="2033"/>
    <n v="4061011223346"/>
    <x v="3"/>
    <s v="Oblečenie a doplnky – Psy"/>
    <s v="Tail Trend"/>
    <n v="19.600000000000001"/>
    <n v="1"/>
    <s v="NULL"/>
    <s v=""/>
    <d v="2025-05-29T00:00:00"/>
    <n v="0"/>
    <n v="19.600000000000001"/>
    <x v="0"/>
    <x v="4"/>
    <x v="0"/>
  </r>
  <r>
    <x v="2034"/>
    <n v="4026677889902"/>
    <x v="12"/>
    <s v="Misky a kŕmne doplnky – Ostatné"/>
    <s v="Pawsitive Gear"/>
    <n v="7.6"/>
    <n v="1"/>
    <s v="NULL"/>
    <s v=""/>
    <d v="2025-05-29T00:00:00"/>
    <n v="0"/>
    <n v="7.6"/>
    <x v="0"/>
    <x v="4"/>
    <x v="2"/>
  </r>
  <r>
    <x v="2035"/>
    <n v="4028899001126"/>
    <x v="1"/>
    <s v="Krmivo a maškrty – Psy"/>
    <s v="Pup Republic"/>
    <n v="2.8"/>
    <n v="4"/>
    <s v="NULL"/>
    <s v=""/>
    <d v="2025-05-29T00:00:00"/>
    <n v="0"/>
    <n v="11.2"/>
    <x v="0"/>
    <x v="4"/>
    <x v="0"/>
  </r>
  <r>
    <x v="2036"/>
    <n v="4013456789017"/>
    <x v="0"/>
    <s v="Krmivo a maškrty – Psy"/>
    <s v="Snouty"/>
    <n v="6"/>
    <n v="1"/>
    <s v="NULL"/>
    <s v=""/>
    <d v="2025-05-29T00:00:00"/>
    <n v="0"/>
    <n v="6"/>
    <x v="0"/>
    <x v="4"/>
    <x v="0"/>
  </r>
  <r>
    <x v="2037"/>
    <n v="4040123456795"/>
    <x v="2"/>
    <s v="Starostlivosť a hygiena – Psy"/>
    <s v="Dogissimo"/>
    <n v="8.8000000000000007"/>
    <n v="1"/>
    <s v="NULL"/>
    <s v=""/>
    <d v="2025-05-29T00:00:00"/>
    <n v="0"/>
    <n v="8.8000000000000007"/>
    <x v="0"/>
    <x v="4"/>
    <x v="0"/>
  </r>
  <r>
    <x v="2038"/>
    <n v="4010123456783"/>
    <x v="6"/>
    <s v="Starostlivosť a hygiena – Mačky"/>
    <s v="BellaMeow"/>
    <n v="14"/>
    <n v="2"/>
    <s v="NULL"/>
    <s v=""/>
    <d v="2025-05-29T00:00:00"/>
    <n v="0"/>
    <n v="28"/>
    <x v="0"/>
    <x v="4"/>
    <x v="1"/>
  </r>
  <r>
    <x v="2039"/>
    <n v="4063456789014"/>
    <x v="15"/>
    <s v="Krmivo a maškrty – Psy"/>
    <s v="Pupco"/>
    <n v="36"/>
    <n v="1"/>
    <s v="NULL"/>
    <s v=""/>
    <d v="2025-05-29T00:00:00"/>
    <n v="0"/>
    <n v="36"/>
    <x v="0"/>
    <x v="4"/>
    <x v="0"/>
  </r>
  <r>
    <x v="2040"/>
    <n v="4021234567894"/>
    <x v="18"/>
    <s v="Starostlivosť a hygiena – Mačky"/>
    <s v="PawStyle"/>
    <n v="8"/>
    <n v="1"/>
    <s v="NULL"/>
    <s v=""/>
    <d v="2025-05-29T00:00:00"/>
    <n v="0"/>
    <n v="8"/>
    <x v="0"/>
    <x v="4"/>
    <x v="1"/>
  </r>
  <r>
    <x v="2041"/>
    <n v="4056789012345"/>
    <x v="11"/>
    <s v="Krmivo a maškrty – Mačky"/>
    <s v="BellaMeow"/>
    <n v="2.4"/>
    <n v="3"/>
    <s v="NULL"/>
    <s v=""/>
    <d v="2025-05-29T00:00:00"/>
    <n v="0"/>
    <n v="7.1999999999999993"/>
    <x v="0"/>
    <x v="4"/>
    <x v="1"/>
  </r>
  <r>
    <x v="2042"/>
    <n v="4061011223346"/>
    <x v="3"/>
    <s v="Oblečenie a doplnky – Psy"/>
    <s v="Tail Trend"/>
    <n v="19.600000000000001"/>
    <n v="1"/>
    <s v="NULL"/>
    <s v=""/>
    <d v="2025-05-29T00:00:00"/>
    <n v="0"/>
    <n v="19.600000000000001"/>
    <x v="0"/>
    <x v="4"/>
    <x v="0"/>
  </r>
  <r>
    <x v="2043"/>
    <n v="4026677889902"/>
    <x v="12"/>
    <s v="Misky a kŕmne doplnky – Ostatné"/>
    <s v="Pawsitive Gear"/>
    <n v="7.6"/>
    <n v="1"/>
    <s v="NULL"/>
    <s v=""/>
    <d v="2025-05-30T00:00:00"/>
    <n v="0"/>
    <n v="7.6"/>
    <x v="0"/>
    <x v="4"/>
    <x v="2"/>
  </r>
  <r>
    <x v="2044"/>
    <n v="4028899001126"/>
    <x v="1"/>
    <s v="Krmivo a maškrty – Psy"/>
    <s v="Pup Republic"/>
    <n v="2.8"/>
    <n v="3"/>
    <s v="NULL"/>
    <s v=""/>
    <d v="2025-05-30T00:00:00"/>
    <n v="0"/>
    <n v="8.3999999999999986"/>
    <x v="0"/>
    <x v="4"/>
    <x v="0"/>
  </r>
  <r>
    <x v="2045"/>
    <n v="4013456789017"/>
    <x v="0"/>
    <s v="Krmivo a maškrty – Psy"/>
    <s v="Snouty"/>
    <n v="6"/>
    <n v="1"/>
    <s v="NULL"/>
    <s v=""/>
    <d v="2025-05-30T00:00:00"/>
    <n v="0"/>
    <n v="6"/>
    <x v="0"/>
    <x v="4"/>
    <x v="0"/>
  </r>
  <r>
    <x v="2046"/>
    <n v="4040123456795"/>
    <x v="2"/>
    <s v="Starostlivosť a hygiena – Psy"/>
    <s v="Dogissimo"/>
    <n v="8.8000000000000007"/>
    <n v="1"/>
    <s v="NULL"/>
    <s v=""/>
    <d v="2025-05-30T00:00:00"/>
    <n v="0"/>
    <n v="8.8000000000000007"/>
    <x v="0"/>
    <x v="4"/>
    <x v="0"/>
  </r>
  <r>
    <x v="2047"/>
    <n v="4010123456783"/>
    <x v="6"/>
    <s v="Starostlivosť a hygiena – Mačky"/>
    <s v="BellaMeow"/>
    <n v="14"/>
    <n v="1"/>
    <s v="NULL"/>
    <s v=""/>
    <d v="2025-05-30T00:00:00"/>
    <n v="0"/>
    <n v="14"/>
    <x v="0"/>
    <x v="4"/>
    <x v="1"/>
  </r>
  <r>
    <x v="2048"/>
    <n v="4063456789014"/>
    <x v="15"/>
    <s v="Krmivo a maškrty – Psy"/>
    <s v="Pupco"/>
    <n v="36"/>
    <n v="1"/>
    <s v="NULL"/>
    <s v=""/>
    <d v="2025-05-30T00:00:00"/>
    <n v="0"/>
    <n v="36"/>
    <x v="0"/>
    <x v="4"/>
    <x v="0"/>
  </r>
  <r>
    <x v="2049"/>
    <n v="4021234567894"/>
    <x v="18"/>
    <s v="Starostlivosť a hygiena – Mačky"/>
    <s v="PawStyle"/>
    <n v="8"/>
    <n v="1"/>
    <s v="NULL"/>
    <s v=""/>
    <d v="2025-05-30T00:00:00"/>
    <n v="0"/>
    <n v="8"/>
    <x v="0"/>
    <x v="4"/>
    <x v="1"/>
  </r>
  <r>
    <x v="2050"/>
    <n v="4056789012345"/>
    <x v="11"/>
    <s v="Krmivo a maškrty – Mačky"/>
    <s v="BellaMeow"/>
    <n v="2.4"/>
    <n v="2"/>
    <s v="NULL"/>
    <s v=""/>
    <d v="2025-05-30T00:00:00"/>
    <n v="0"/>
    <n v="4.8"/>
    <x v="0"/>
    <x v="4"/>
    <x v="1"/>
  </r>
  <r>
    <x v="2051"/>
    <n v="4061011223346"/>
    <x v="3"/>
    <s v="Oblečenie a doplnky – Psy"/>
    <s v="Tail Trend"/>
    <n v="19.600000000000001"/>
    <n v="1"/>
    <s v="NULL"/>
    <s v=""/>
    <d v="2025-05-30T00:00:00"/>
    <n v="0"/>
    <n v="19.600000000000001"/>
    <x v="0"/>
    <x v="4"/>
    <x v="0"/>
  </r>
  <r>
    <x v="2052"/>
    <n v="4026677889902"/>
    <x v="12"/>
    <s v="Misky a kŕmne doplnky – Ostatné"/>
    <s v="Pawsitive Gear"/>
    <n v="7.6"/>
    <n v="1"/>
    <s v="NULL"/>
    <s v=""/>
    <d v="2025-05-30T00:00:00"/>
    <n v="0"/>
    <n v="7.6"/>
    <x v="0"/>
    <x v="4"/>
    <x v="2"/>
  </r>
  <r>
    <x v="2053"/>
    <n v="4028899001126"/>
    <x v="1"/>
    <s v="Krmivo a maškrty – Psy"/>
    <s v="Pup Republic"/>
    <n v="2.8"/>
    <n v="3"/>
    <s v="NULL"/>
    <s v=""/>
    <d v="2025-05-30T00:00:00"/>
    <n v="0"/>
    <n v="8.3999999999999986"/>
    <x v="0"/>
    <x v="4"/>
    <x v="0"/>
  </r>
  <r>
    <x v="2054"/>
    <n v="4013456789017"/>
    <x v="0"/>
    <s v="Krmivo a maškrty – Psy"/>
    <s v="Snouty"/>
    <n v="6"/>
    <n v="1"/>
    <s v="NULL"/>
    <s v=""/>
    <d v="2025-05-30T00:00:00"/>
    <n v="0"/>
    <n v="6"/>
    <x v="0"/>
    <x v="4"/>
    <x v="0"/>
  </r>
  <r>
    <x v="2055"/>
    <n v="4040123456795"/>
    <x v="2"/>
    <s v="Starostlivosť a hygiena – Psy"/>
    <s v="Dogissimo"/>
    <n v="8.8000000000000007"/>
    <n v="1"/>
    <s v="NULL"/>
    <s v=""/>
    <d v="2025-05-30T00:00:00"/>
    <n v="0"/>
    <n v="8.8000000000000007"/>
    <x v="0"/>
    <x v="4"/>
    <x v="0"/>
  </r>
  <r>
    <x v="2056"/>
    <n v="4010123456783"/>
    <x v="6"/>
    <s v="Starostlivosť a hygiena – Mačky"/>
    <s v="BellaMeow"/>
    <n v="14"/>
    <n v="1"/>
    <s v="NULL"/>
    <s v=""/>
    <d v="2025-05-30T00:00:00"/>
    <n v="0"/>
    <n v="14"/>
    <x v="0"/>
    <x v="4"/>
    <x v="1"/>
  </r>
  <r>
    <x v="2057"/>
    <n v="4063456789014"/>
    <x v="15"/>
    <s v="Krmivo a maškrty – Psy"/>
    <s v="Pupco"/>
    <n v="36"/>
    <n v="1"/>
    <s v="NULL"/>
    <s v=""/>
    <d v="2025-05-30T00:00:00"/>
    <n v="0"/>
    <n v="36"/>
    <x v="0"/>
    <x v="4"/>
    <x v="0"/>
  </r>
  <r>
    <x v="2058"/>
    <n v="4021234567894"/>
    <x v="18"/>
    <s v="Starostlivosť a hygiena – Mačky"/>
    <s v="PawStyle"/>
    <n v="8"/>
    <n v="1"/>
    <s v="NULL"/>
    <s v=""/>
    <d v="2025-05-30T00:00:00"/>
    <n v="0"/>
    <n v="8"/>
    <x v="0"/>
    <x v="4"/>
    <x v="1"/>
  </r>
  <r>
    <x v="2059"/>
    <n v="4056789012345"/>
    <x v="11"/>
    <s v="Krmivo a maškrty – Mačky"/>
    <s v="BellaMeow"/>
    <n v="2.4"/>
    <n v="2"/>
    <s v="NULL"/>
    <s v=""/>
    <d v="2025-05-30T00:00:00"/>
    <n v="0"/>
    <n v="4.8"/>
    <x v="0"/>
    <x v="4"/>
    <x v="1"/>
  </r>
  <r>
    <x v="2060"/>
    <n v="4061011223346"/>
    <x v="3"/>
    <s v="Oblečenie a doplnky – Psy"/>
    <s v="Tail Trend"/>
    <n v="19.600000000000001"/>
    <n v="1"/>
    <s v="NULL"/>
    <s v=""/>
    <d v="2025-05-30T00:00:00"/>
    <n v="0"/>
    <n v="19.600000000000001"/>
    <x v="0"/>
    <x v="4"/>
    <x v="0"/>
  </r>
  <r>
    <x v="2061"/>
    <n v="4026677889902"/>
    <x v="12"/>
    <s v="Misky a kŕmne doplnky – Ostatné"/>
    <s v="Pawsitive Gear"/>
    <n v="7.6"/>
    <n v="1"/>
    <s v="NULL"/>
    <s v=""/>
    <d v="2025-05-30T00:00:00"/>
    <n v="0"/>
    <n v="7.6"/>
    <x v="0"/>
    <x v="4"/>
    <x v="2"/>
  </r>
  <r>
    <x v="2062"/>
    <n v="4028899001126"/>
    <x v="1"/>
    <s v="Krmivo a maškrty – Psy"/>
    <s v="Pup Republic"/>
    <n v="2.8"/>
    <n v="4"/>
    <s v="NULL"/>
    <s v=""/>
    <d v="2025-05-30T00:00:00"/>
    <n v="0"/>
    <n v="11.2"/>
    <x v="0"/>
    <x v="4"/>
    <x v="0"/>
  </r>
  <r>
    <x v="2063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064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065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066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067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068"/>
    <n v="4056789012345"/>
    <x v="11"/>
    <s v="Krmivo a maškrty – Mačky"/>
    <s v="BellaMeow"/>
    <n v="2.4"/>
    <n v="3"/>
    <s v="NULL"/>
    <s v=""/>
    <d v="2025-05-31T00:00:00"/>
    <n v="0"/>
    <n v="7.1999999999999993"/>
    <x v="0"/>
    <x v="4"/>
    <x v="1"/>
  </r>
  <r>
    <x v="2069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070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071"/>
    <n v="4028899001126"/>
    <x v="1"/>
    <s v="Krmivo a maškrty – Psy"/>
    <s v="Pup Republic"/>
    <n v="2.8"/>
    <n v="3"/>
    <s v="NULL"/>
    <s v=""/>
    <d v="2025-05-31T00:00:00"/>
    <n v="0"/>
    <n v="8.3999999999999986"/>
    <x v="0"/>
    <x v="4"/>
    <x v="0"/>
  </r>
  <r>
    <x v="2072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073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074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075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076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077"/>
    <n v="4056789012345"/>
    <x v="11"/>
    <s v="Krmivo a maškrty – Mačky"/>
    <s v="BellaMeow"/>
    <n v="2.4"/>
    <n v="3"/>
    <s v="NULL"/>
    <s v=""/>
    <d v="2025-05-31T00:00:00"/>
    <n v="0"/>
    <n v="7.1999999999999993"/>
    <x v="0"/>
    <x v="4"/>
    <x v="1"/>
  </r>
  <r>
    <x v="2078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079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080"/>
    <n v="4028899001126"/>
    <x v="1"/>
    <s v="Krmivo a maškrty – Psy"/>
    <s v="Pup Republic"/>
    <n v="2.8"/>
    <n v="4"/>
    <s v="NULL"/>
    <s v=""/>
    <d v="2025-05-31T00:00:00"/>
    <n v="0"/>
    <n v="11.2"/>
    <x v="0"/>
    <x v="4"/>
    <x v="0"/>
  </r>
  <r>
    <x v="2081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082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083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084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085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086"/>
    <n v="4056789012345"/>
    <x v="11"/>
    <s v="Krmivo a maškrty – Mačky"/>
    <s v="BellaMeow"/>
    <n v="2.4"/>
    <n v="2"/>
    <s v="NULL"/>
    <s v=""/>
    <d v="2025-05-31T00:00:00"/>
    <n v="0"/>
    <n v="4.8"/>
    <x v="0"/>
    <x v="4"/>
    <x v="1"/>
  </r>
  <r>
    <x v="2087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088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089"/>
    <n v="4028899001126"/>
    <x v="1"/>
    <s v="Krmivo a maškrty – Psy"/>
    <s v="Pup Republic"/>
    <n v="2.8"/>
    <n v="3"/>
    <s v="NULL"/>
    <s v=""/>
    <d v="2025-05-31T00:00:00"/>
    <n v="0"/>
    <n v="8.3999999999999986"/>
    <x v="0"/>
    <x v="4"/>
    <x v="0"/>
  </r>
  <r>
    <x v="2090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091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092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093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094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095"/>
    <n v="4056789012345"/>
    <x v="11"/>
    <s v="Krmivo a maškrty – Mačky"/>
    <s v="BellaMeow"/>
    <n v="2.4"/>
    <n v="2"/>
    <s v="NULL"/>
    <s v=""/>
    <d v="2025-05-31T00:00:00"/>
    <n v="0"/>
    <n v="4.8"/>
    <x v="0"/>
    <x v="4"/>
    <x v="1"/>
  </r>
  <r>
    <x v="2096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097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098"/>
    <n v="4028899001126"/>
    <x v="1"/>
    <s v="Krmivo a maškrty – Psy"/>
    <s v="Pup Republic"/>
    <n v="2.8"/>
    <n v="4"/>
    <s v="NULL"/>
    <s v=""/>
    <d v="2025-05-31T00:00:00"/>
    <n v="0"/>
    <n v="11.2"/>
    <x v="0"/>
    <x v="4"/>
    <x v="0"/>
  </r>
  <r>
    <x v="2099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100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101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102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103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104"/>
    <n v="4056789012345"/>
    <x v="11"/>
    <s v="Krmivo a maškrty – Mačky"/>
    <s v="BellaMeow"/>
    <n v="2.4"/>
    <n v="3"/>
    <s v="NULL"/>
    <s v=""/>
    <d v="2025-05-31T00:00:00"/>
    <n v="0"/>
    <n v="7.1999999999999993"/>
    <x v="0"/>
    <x v="4"/>
    <x v="1"/>
  </r>
  <r>
    <x v="2105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106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107"/>
    <n v="4028899001126"/>
    <x v="1"/>
    <s v="Krmivo a maškrty – Psy"/>
    <s v="Pup Republic"/>
    <n v="2.8"/>
    <n v="3"/>
    <s v="NULL"/>
    <s v=""/>
    <d v="2025-05-31T00:00:00"/>
    <n v="0"/>
    <n v="8.3999999999999986"/>
    <x v="0"/>
    <x v="4"/>
    <x v="0"/>
  </r>
  <r>
    <x v="2108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109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110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111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112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113"/>
    <n v="4056789012345"/>
    <x v="11"/>
    <s v="Krmivo a maškrty – Mačky"/>
    <s v="BellaMeow"/>
    <n v="2.4"/>
    <n v="2"/>
    <s v="NULL"/>
    <s v=""/>
    <d v="2025-05-31T00:00:00"/>
    <n v="0"/>
    <n v="4.8"/>
    <x v="0"/>
    <x v="4"/>
    <x v="1"/>
  </r>
  <r>
    <x v="2114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115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116"/>
    <n v="4028899001126"/>
    <x v="1"/>
    <s v="Krmivo a maškrty – Psy"/>
    <s v="Pup Republic"/>
    <n v="2.8"/>
    <n v="3"/>
    <s v="NULL"/>
    <s v=""/>
    <d v="2025-05-31T00:00:00"/>
    <n v="0"/>
    <n v="8.3999999999999986"/>
    <x v="0"/>
    <x v="4"/>
    <x v="0"/>
  </r>
  <r>
    <x v="2117"/>
    <n v="4013456789017"/>
    <x v="0"/>
    <s v="Krmivo a maškrty – Psy"/>
    <s v="Snouty"/>
    <n v="6"/>
    <n v="1"/>
    <s v="NULL"/>
    <s v=""/>
    <d v="2025-05-31T00:00:00"/>
    <n v="0"/>
    <n v="6"/>
    <x v="0"/>
    <x v="4"/>
    <x v="0"/>
  </r>
  <r>
    <x v="2118"/>
    <n v="4040123456795"/>
    <x v="2"/>
    <s v="Starostlivosť a hygiena – Psy"/>
    <s v="Dogissimo"/>
    <n v="8.8000000000000007"/>
    <n v="1"/>
    <s v="NULL"/>
    <s v=""/>
    <d v="2025-05-31T00:00:00"/>
    <n v="0"/>
    <n v="8.8000000000000007"/>
    <x v="0"/>
    <x v="4"/>
    <x v="0"/>
  </r>
  <r>
    <x v="2119"/>
    <n v="4010123456783"/>
    <x v="6"/>
    <s v="Starostlivosť a hygiena – Mačky"/>
    <s v="BellaMeow"/>
    <n v="14"/>
    <n v="1"/>
    <s v="NULL"/>
    <s v=""/>
    <d v="2025-05-31T00:00:00"/>
    <n v="0"/>
    <n v="14"/>
    <x v="0"/>
    <x v="4"/>
    <x v="1"/>
  </r>
  <r>
    <x v="2120"/>
    <n v="4063456789014"/>
    <x v="15"/>
    <s v="Krmivo a maškrty – Psy"/>
    <s v="Pupco"/>
    <n v="36"/>
    <n v="1"/>
    <s v="NULL"/>
    <s v=""/>
    <d v="2025-05-31T00:00:00"/>
    <n v="0"/>
    <n v="36"/>
    <x v="0"/>
    <x v="4"/>
    <x v="0"/>
  </r>
  <r>
    <x v="2121"/>
    <n v="4021234567894"/>
    <x v="18"/>
    <s v="Starostlivosť a hygiena – Mačky"/>
    <s v="PawStyle"/>
    <n v="8"/>
    <n v="1"/>
    <s v="NULL"/>
    <s v=""/>
    <d v="2025-05-31T00:00:00"/>
    <n v="0"/>
    <n v="8"/>
    <x v="0"/>
    <x v="4"/>
    <x v="1"/>
  </r>
  <r>
    <x v="2122"/>
    <n v="4056789012345"/>
    <x v="11"/>
    <s v="Krmivo a maškrty – Mačky"/>
    <s v="BellaMeow"/>
    <n v="2.4"/>
    <n v="3"/>
    <s v="NULL"/>
    <s v=""/>
    <d v="2025-05-31T00:00:00"/>
    <n v="0"/>
    <n v="7.1999999999999993"/>
    <x v="0"/>
    <x v="4"/>
    <x v="1"/>
  </r>
  <r>
    <x v="2123"/>
    <n v="4061011223346"/>
    <x v="3"/>
    <s v="Oblečenie a doplnky – Psy"/>
    <s v="Tail Trend"/>
    <n v="19.600000000000001"/>
    <n v="1"/>
    <s v="NULL"/>
    <s v=""/>
    <d v="2025-05-31T00:00:00"/>
    <n v="0"/>
    <n v="19.600000000000001"/>
    <x v="0"/>
    <x v="4"/>
    <x v="0"/>
  </r>
  <r>
    <x v="2124"/>
    <n v="4026677889902"/>
    <x v="12"/>
    <s v="Misky a kŕmne doplnky – Ostatné"/>
    <s v="Pawsitive Gear"/>
    <n v="7.6"/>
    <n v="1"/>
    <s v="NULL"/>
    <s v=""/>
    <d v="2025-05-31T00:00:00"/>
    <n v="0"/>
    <n v="7.6"/>
    <x v="0"/>
    <x v="4"/>
    <x v="2"/>
  </r>
  <r>
    <x v="2125"/>
    <n v="4028899001126"/>
    <x v="1"/>
    <s v="Krmivo a maškrty – Psy"/>
    <s v="Pup Republic"/>
    <n v="2.8"/>
    <n v="3"/>
    <s v="NULL"/>
    <s v=""/>
    <d v="2025-05-31T00:00:00"/>
    <n v="0"/>
    <n v="8.3999999999999986"/>
    <x v="0"/>
    <x v="4"/>
    <x v="0"/>
  </r>
  <r>
    <x v="2126"/>
    <n v="4028899001126"/>
    <x v="1"/>
    <s v="Krmivo a maškrty – Psy"/>
    <s v="Pup Republic"/>
    <n v="2.8"/>
    <n v="3"/>
    <s v="4"/>
    <s v="Pes sa po tom môže utĺcť."/>
    <d v="2025-06-01T00:00:00"/>
    <n v="0"/>
    <n v="8.3999999999999986"/>
    <x v="1"/>
    <x v="5"/>
    <x v="0"/>
  </r>
  <r>
    <x v="2127"/>
    <n v="4013456789017"/>
    <x v="0"/>
    <s v="Krmivo a maškrty – Psy"/>
    <s v="Snouty"/>
    <n v="6"/>
    <n v="1"/>
    <s v="NULL"/>
    <s v=""/>
    <d v="2025-06-01T00:00:00"/>
    <n v="0"/>
    <n v="6"/>
    <x v="0"/>
    <x v="5"/>
    <x v="0"/>
  </r>
  <r>
    <x v="2128"/>
    <n v="4040123456795"/>
    <x v="2"/>
    <s v="Starostlivosť a hygiena – Psy"/>
    <s v="Dogissimo"/>
    <n v="8.8000000000000007"/>
    <n v="1"/>
    <s v="NULL"/>
    <s v=""/>
    <d v="2025-06-01T00:00:00"/>
    <n v="0"/>
    <n v="8.8000000000000007"/>
    <x v="0"/>
    <x v="5"/>
    <x v="0"/>
  </r>
  <r>
    <x v="2129"/>
    <n v="4010123456783"/>
    <x v="6"/>
    <s v="Starostlivosť a hygiena – Mačky"/>
    <s v="BellaMeow"/>
    <n v="14"/>
    <n v="1"/>
    <s v="NULL"/>
    <s v=""/>
    <d v="2025-06-01T00:00:00"/>
    <n v="0"/>
    <n v="14"/>
    <x v="0"/>
    <x v="5"/>
    <x v="1"/>
  </r>
  <r>
    <x v="2130"/>
    <n v="4063456789014"/>
    <x v="15"/>
    <s v="Krmivo a maškrty – Psy"/>
    <s v="Pupco"/>
    <n v="36"/>
    <n v="1"/>
    <s v="NULL"/>
    <s v=""/>
    <d v="2025-06-01T00:00:00"/>
    <n v="0"/>
    <n v="36"/>
    <x v="0"/>
    <x v="5"/>
    <x v="0"/>
  </r>
  <r>
    <x v="2131"/>
    <n v="4021234567894"/>
    <x v="18"/>
    <s v="Starostlivosť a hygiena – Mačky"/>
    <s v="PawStyle"/>
    <n v="8"/>
    <n v="1"/>
    <s v="NULL"/>
    <s v=""/>
    <d v="2025-06-01T00:00:00"/>
    <n v="0"/>
    <n v="8"/>
    <x v="0"/>
    <x v="5"/>
    <x v="1"/>
  </r>
  <r>
    <x v="2132"/>
    <n v="4056789012345"/>
    <x v="11"/>
    <s v="Krmivo a maškrty – Mačky"/>
    <s v="BellaMeow"/>
    <n v="2.4"/>
    <n v="3"/>
    <s v="NULL"/>
    <s v=""/>
    <d v="2025-06-01T00:00:00"/>
    <n v="0"/>
    <n v="7.1999999999999993"/>
    <x v="0"/>
    <x v="5"/>
    <x v="1"/>
  </r>
  <r>
    <x v="2133"/>
    <n v="4061011223346"/>
    <x v="3"/>
    <s v="Oblečenie a doplnky – Psy"/>
    <s v="Tail Trend"/>
    <n v="19.600000000000001"/>
    <n v="1"/>
    <s v="NULL"/>
    <s v=""/>
    <d v="2025-06-01T00:00:00"/>
    <n v="0"/>
    <n v="19.600000000000001"/>
    <x v="0"/>
    <x v="5"/>
    <x v="0"/>
  </r>
  <r>
    <x v="2134"/>
    <n v="4026677889902"/>
    <x v="12"/>
    <s v="Misky a kŕmne doplnky – Ostatné"/>
    <s v="Pawsitive Gear"/>
    <n v="7.6"/>
    <n v="1"/>
    <s v="NULL"/>
    <s v=""/>
    <d v="2025-06-01T00:00:00"/>
    <n v="0"/>
    <n v="7.6"/>
    <x v="0"/>
    <x v="5"/>
    <x v="2"/>
  </r>
  <r>
    <x v="2135"/>
    <n v="4028899001126"/>
    <x v="1"/>
    <s v="Krmivo a maškrty – Psy"/>
    <s v="Pup Republic"/>
    <n v="2.8"/>
    <n v="4"/>
    <s v="NULL"/>
    <s v=""/>
    <d v="2025-06-01T00:00:00"/>
    <n v="0"/>
    <n v="11.2"/>
    <x v="0"/>
    <x v="5"/>
    <x v="0"/>
  </r>
  <r>
    <x v="2136"/>
    <n v="4013456789017"/>
    <x v="0"/>
    <s v="Krmivo a maškrty – Psy"/>
    <s v="Snouty"/>
    <n v="6"/>
    <n v="1"/>
    <s v="NULL"/>
    <s v=""/>
    <d v="2025-06-02T00:00:00"/>
    <n v="0"/>
    <n v="6"/>
    <x v="0"/>
    <x v="5"/>
    <x v="0"/>
  </r>
  <r>
    <x v="2137"/>
    <n v="4040123456795"/>
    <x v="2"/>
    <s v="Starostlivosť a hygiena – Psy"/>
    <s v="Dogissimo"/>
    <n v="8.8000000000000007"/>
    <n v="1"/>
    <s v="NULL"/>
    <s v=""/>
    <d v="2025-06-02T00:00:00"/>
    <n v="0"/>
    <n v="8.8000000000000007"/>
    <x v="0"/>
    <x v="5"/>
    <x v="0"/>
  </r>
  <r>
    <x v="2138"/>
    <n v="4010123456783"/>
    <x v="6"/>
    <s v="Starostlivosť a hygiena – Mačky"/>
    <s v="BellaMeow"/>
    <n v="14"/>
    <n v="1"/>
    <s v="NULL"/>
    <s v=""/>
    <d v="2025-06-02T00:00:00"/>
    <n v="0"/>
    <n v="14"/>
    <x v="0"/>
    <x v="5"/>
    <x v="1"/>
  </r>
  <r>
    <x v="2139"/>
    <n v="4063456789014"/>
    <x v="15"/>
    <s v="Krmivo a maškrty – Psy"/>
    <s v="Pupco"/>
    <n v="36"/>
    <n v="1"/>
    <s v="NULL"/>
    <s v=""/>
    <d v="2025-06-02T00:00:00"/>
    <n v="0"/>
    <n v="36"/>
    <x v="0"/>
    <x v="5"/>
    <x v="0"/>
  </r>
  <r>
    <x v="2140"/>
    <n v="4021234567894"/>
    <x v="18"/>
    <s v="Starostlivosť a hygiena – Mačky"/>
    <s v="PawStyle"/>
    <n v="8"/>
    <n v="1"/>
    <s v="NULL"/>
    <s v=""/>
    <d v="2025-06-02T00:00:00"/>
    <n v="0"/>
    <n v="8"/>
    <x v="0"/>
    <x v="5"/>
    <x v="1"/>
  </r>
  <r>
    <x v="2141"/>
    <n v="4056789012345"/>
    <x v="11"/>
    <s v="Krmivo a maškrty – Mačky"/>
    <s v="BellaMeow"/>
    <n v="2.4"/>
    <n v="2"/>
    <s v="NULL"/>
    <s v=""/>
    <d v="2025-06-02T00:00:00"/>
    <n v="0"/>
    <n v="4.8"/>
    <x v="0"/>
    <x v="5"/>
    <x v="1"/>
  </r>
  <r>
    <x v="2142"/>
    <n v="4061011223346"/>
    <x v="3"/>
    <s v="Oblečenie a doplnky – Psy"/>
    <s v="Tail Trend"/>
    <n v="19.600000000000001"/>
    <n v="1"/>
    <s v="NULL"/>
    <s v=""/>
    <d v="2025-06-02T00:00:00"/>
    <n v="0"/>
    <n v="19.600000000000001"/>
    <x v="0"/>
    <x v="5"/>
    <x v="0"/>
  </r>
  <r>
    <x v="2143"/>
    <n v="4026677889902"/>
    <x v="12"/>
    <s v="Misky a kŕmne doplnky – Ostatné"/>
    <s v="Pawsitive Gear"/>
    <n v="7.6"/>
    <n v="1"/>
    <s v="NULL"/>
    <s v=""/>
    <d v="2025-06-02T00:00:00"/>
    <n v="0"/>
    <n v="7.6"/>
    <x v="0"/>
    <x v="5"/>
    <x v="2"/>
  </r>
  <r>
    <x v="2144"/>
    <n v="4028899001126"/>
    <x v="1"/>
    <s v="Krmivo a maškrty – Psy"/>
    <s v="Pup Republic"/>
    <n v="2.8"/>
    <n v="3"/>
    <s v="NULL"/>
    <s v=""/>
    <d v="2025-06-02T00:00:00"/>
    <n v="0"/>
    <n v="8.3999999999999986"/>
    <x v="0"/>
    <x v="5"/>
    <x v="0"/>
  </r>
  <r>
    <x v="2145"/>
    <n v="4013456789017"/>
    <x v="0"/>
    <s v="Krmivo a maškrty – Psy"/>
    <s v="Snouty"/>
    <n v="6"/>
    <n v="1"/>
    <s v="NULL"/>
    <s v=""/>
    <d v="2025-06-02T00:00:00"/>
    <n v="0"/>
    <n v="6"/>
    <x v="0"/>
    <x v="5"/>
    <x v="0"/>
  </r>
  <r>
    <x v="2146"/>
    <n v="4040123456795"/>
    <x v="2"/>
    <s v="Starostlivosť a hygiena – Psy"/>
    <s v="Dogissimo"/>
    <n v="8.8000000000000007"/>
    <n v="1"/>
    <s v="NULL"/>
    <s v=""/>
    <d v="2025-06-02T00:00:00"/>
    <n v="0"/>
    <n v="8.8000000000000007"/>
    <x v="0"/>
    <x v="5"/>
    <x v="0"/>
  </r>
  <r>
    <x v="2147"/>
    <n v="4010123456783"/>
    <x v="6"/>
    <s v="Starostlivosť a hygiena – Mačky"/>
    <s v="BellaMeow"/>
    <n v="14"/>
    <n v="1"/>
    <s v="NULL"/>
    <s v=""/>
    <d v="2025-06-03T00:00:00"/>
    <n v="0"/>
    <n v="14"/>
    <x v="0"/>
    <x v="5"/>
    <x v="1"/>
  </r>
  <r>
    <x v="2148"/>
    <n v="4063456789014"/>
    <x v="15"/>
    <s v="Krmivo a maškrty – Psy"/>
    <s v="Pupco"/>
    <n v="36"/>
    <n v="1"/>
    <s v="NULL"/>
    <s v=""/>
    <d v="2025-06-03T00:00:00"/>
    <n v="0"/>
    <n v="36"/>
    <x v="0"/>
    <x v="5"/>
    <x v="0"/>
  </r>
  <r>
    <x v="2149"/>
    <n v="4021234567894"/>
    <x v="18"/>
    <s v="Starostlivosť a hygiena – Mačky"/>
    <s v="PawStyle"/>
    <n v="8"/>
    <n v="1"/>
    <s v="NULL"/>
    <s v=""/>
    <d v="2025-06-03T00:00:00"/>
    <n v="0"/>
    <n v="8"/>
    <x v="0"/>
    <x v="5"/>
    <x v="1"/>
  </r>
  <r>
    <x v="2150"/>
    <n v="4056789012345"/>
    <x v="11"/>
    <s v="Krmivo a maškrty – Mačky"/>
    <s v="BellaMeow"/>
    <n v="2.4"/>
    <n v="2"/>
    <s v="NULL"/>
    <s v=""/>
    <d v="2025-06-03T00:00:00"/>
    <n v="0"/>
    <n v="4.8"/>
    <x v="0"/>
    <x v="5"/>
    <x v="1"/>
  </r>
  <r>
    <x v="2151"/>
    <n v="4061011223346"/>
    <x v="3"/>
    <s v="Oblečenie a doplnky – Psy"/>
    <s v="Tail Trend"/>
    <n v="19.600000000000001"/>
    <n v="1"/>
    <s v="NULL"/>
    <s v=""/>
    <d v="2025-06-03T00:00:00"/>
    <n v="0"/>
    <n v="19.600000000000001"/>
    <x v="0"/>
    <x v="5"/>
    <x v="0"/>
  </r>
  <r>
    <x v="2152"/>
    <n v="4026677889902"/>
    <x v="12"/>
    <s v="Misky a kŕmne doplnky – Ostatné"/>
    <s v="Pawsitive Gear"/>
    <n v="7.6"/>
    <n v="1"/>
    <s v="NULL"/>
    <s v=""/>
    <d v="2025-06-03T00:00:00"/>
    <n v="0"/>
    <n v="7.6"/>
    <x v="0"/>
    <x v="5"/>
    <x v="2"/>
  </r>
  <r>
    <x v="2153"/>
    <n v="4028899001126"/>
    <x v="1"/>
    <s v="Krmivo a maškrty – Psy"/>
    <s v="Pup Republic"/>
    <n v="2.8"/>
    <n v="4"/>
    <s v="NULL"/>
    <s v=""/>
    <d v="2025-06-03T00:00:00"/>
    <n v="0"/>
    <n v="11.2"/>
    <x v="0"/>
    <x v="5"/>
    <x v="0"/>
  </r>
  <r>
    <x v="2154"/>
    <n v="4013456789017"/>
    <x v="0"/>
    <s v="Krmivo a maškrty – Psy"/>
    <s v="Snouty"/>
    <n v="6"/>
    <n v="1"/>
    <s v="NULL"/>
    <s v=""/>
    <d v="2025-06-03T00:00:00"/>
    <n v="0"/>
    <n v="6"/>
    <x v="0"/>
    <x v="5"/>
    <x v="0"/>
  </r>
  <r>
    <x v="2155"/>
    <n v="4040123456795"/>
    <x v="2"/>
    <s v="Starostlivosť a hygiena – Psy"/>
    <s v="Dogissimo"/>
    <n v="8.8000000000000007"/>
    <n v="1"/>
    <s v="NULL"/>
    <s v=""/>
    <d v="2025-06-03T00:00:00"/>
    <n v="0"/>
    <n v="8.8000000000000007"/>
    <x v="0"/>
    <x v="5"/>
    <x v="0"/>
  </r>
  <r>
    <x v="2156"/>
    <n v="4010123456783"/>
    <x v="6"/>
    <s v="Starostlivosť a hygiena – Mačky"/>
    <s v="BellaMeow"/>
    <n v="14"/>
    <n v="1"/>
    <s v="NULL"/>
    <s v=""/>
    <d v="2025-06-03T00:00:00"/>
    <n v="0"/>
    <n v="14"/>
    <x v="0"/>
    <x v="5"/>
    <x v="1"/>
  </r>
  <r>
    <x v="2157"/>
    <n v="4063456789014"/>
    <x v="15"/>
    <s v="Krmivo a maškrty – Psy"/>
    <s v="Pupco"/>
    <n v="36"/>
    <n v="1"/>
    <s v="NULL"/>
    <s v=""/>
    <d v="2025-06-03T00:00:00"/>
    <n v="0"/>
    <n v="36"/>
    <x v="0"/>
    <x v="5"/>
    <x v="0"/>
  </r>
  <r>
    <x v="2158"/>
    <n v="4021234567894"/>
    <x v="18"/>
    <s v="Starostlivosť a hygiena – Mačky"/>
    <s v="PawStyle"/>
    <n v="8"/>
    <n v="1"/>
    <s v="NULL"/>
    <s v=""/>
    <d v="2025-06-03T00:00:00"/>
    <n v="0"/>
    <n v="8"/>
    <x v="0"/>
    <x v="5"/>
    <x v="1"/>
  </r>
  <r>
    <x v="2159"/>
    <n v="4056789012345"/>
    <x v="11"/>
    <s v="Krmivo a maškrty – Mačky"/>
    <s v="BellaMeow"/>
    <n v="2.4"/>
    <n v="3"/>
    <s v="NULL"/>
    <s v=""/>
    <d v="2025-06-03T00:00:00"/>
    <n v="0"/>
    <n v="7.1999999999999993"/>
    <x v="0"/>
    <x v="5"/>
    <x v="1"/>
  </r>
  <r>
    <x v="2160"/>
    <n v="4061011223346"/>
    <x v="3"/>
    <s v="Oblečenie a doplnky – Psy"/>
    <s v="Tail Trend"/>
    <n v="19.600000000000001"/>
    <n v="1"/>
    <s v="NULL"/>
    <s v=""/>
    <d v="2025-06-04T00:00:00"/>
    <n v="0"/>
    <n v="19.600000000000001"/>
    <x v="0"/>
    <x v="5"/>
    <x v="0"/>
  </r>
  <r>
    <x v="2161"/>
    <n v="4026677889902"/>
    <x v="12"/>
    <s v="Misky a kŕmne doplnky – Ostatné"/>
    <s v="Pawsitive Gear"/>
    <n v="7.6"/>
    <n v="1"/>
    <s v="NULL"/>
    <s v=""/>
    <d v="2025-06-04T00:00:00"/>
    <n v="0"/>
    <n v="7.6"/>
    <x v="0"/>
    <x v="5"/>
    <x v="2"/>
  </r>
  <r>
    <x v="2162"/>
    <n v="4028899001126"/>
    <x v="1"/>
    <s v="Krmivo a maškrty – Psy"/>
    <s v="Pup Republic"/>
    <n v="2.8"/>
    <n v="4"/>
    <s v="NULL"/>
    <s v=""/>
    <d v="2025-06-04T00:00:00"/>
    <n v="0"/>
    <n v="11.2"/>
    <x v="0"/>
    <x v="5"/>
    <x v="0"/>
  </r>
  <r>
    <x v="2163"/>
    <n v="4013456789017"/>
    <x v="0"/>
    <s v="Krmivo a maškrty – Psy"/>
    <s v="Snouty"/>
    <n v="6"/>
    <n v="1"/>
    <s v="NULL"/>
    <s v=""/>
    <d v="2025-06-04T00:00:00"/>
    <n v="0"/>
    <n v="6"/>
    <x v="0"/>
    <x v="5"/>
    <x v="0"/>
  </r>
  <r>
    <x v="2164"/>
    <n v="4040123456795"/>
    <x v="2"/>
    <s v="Starostlivosť a hygiena – Psy"/>
    <s v="Dogissimo"/>
    <n v="8.8000000000000007"/>
    <n v="1"/>
    <s v="NULL"/>
    <s v=""/>
    <d v="2025-06-04T00:00:00"/>
    <n v="0"/>
    <n v="8.8000000000000007"/>
    <x v="0"/>
    <x v="5"/>
    <x v="0"/>
  </r>
  <r>
    <x v="2165"/>
    <n v="4010123456783"/>
    <x v="6"/>
    <s v="Starostlivosť a hygiena – Mačky"/>
    <s v="BellaMeow"/>
    <n v="14"/>
    <n v="1"/>
    <s v="NULL"/>
    <s v=""/>
    <d v="2025-06-04T00:00:00"/>
    <n v="0"/>
    <n v="14"/>
    <x v="0"/>
    <x v="5"/>
    <x v="1"/>
  </r>
  <r>
    <x v="2166"/>
    <n v="4063456789014"/>
    <x v="15"/>
    <s v="Krmivo a maškrty – Psy"/>
    <s v="Pupco"/>
    <n v="36"/>
    <n v="1"/>
    <s v="5"/>
    <s v="Skvelé krmivo, pes je zdravý a aktivní."/>
    <d v="2025-06-04T00:00:00"/>
    <n v="0"/>
    <n v="36"/>
    <x v="2"/>
    <x v="5"/>
    <x v="0"/>
  </r>
  <r>
    <x v="2167"/>
    <n v="4021234567894"/>
    <x v="18"/>
    <s v="Starostlivosť a hygiena – Mačky"/>
    <s v="PawStyle"/>
    <n v="8"/>
    <n v="1"/>
    <s v="NULL"/>
    <s v=""/>
    <d v="2025-06-04T00:00:00"/>
    <n v="0"/>
    <n v="8"/>
    <x v="0"/>
    <x v="5"/>
    <x v="1"/>
  </r>
  <r>
    <x v="2168"/>
    <n v="4056789012345"/>
    <x v="11"/>
    <s v="Krmivo a maškrty – Mačky"/>
    <s v="BellaMeow"/>
    <n v="2.4"/>
    <n v="2"/>
    <s v="NULL"/>
    <s v=""/>
    <d v="2025-06-04T00:00:00"/>
    <n v="0"/>
    <n v="4.8"/>
    <x v="0"/>
    <x v="5"/>
    <x v="1"/>
  </r>
  <r>
    <x v="2169"/>
    <n v="4061011223346"/>
    <x v="3"/>
    <s v="Oblečenie a doplnky – Psy"/>
    <s v="Tail Trend"/>
    <n v="19.600000000000001"/>
    <n v="1"/>
    <s v="NULL"/>
    <s v=""/>
    <d v="2025-06-04T00:00:00"/>
    <n v="0"/>
    <n v="19.600000000000001"/>
    <x v="0"/>
    <x v="5"/>
    <x v="0"/>
  </r>
  <r>
    <x v="2170"/>
    <n v="4026677889902"/>
    <x v="12"/>
    <s v="Misky a kŕmne doplnky – Ostatné"/>
    <s v="Pawsitive Gear"/>
    <n v="7.6"/>
    <n v="1"/>
    <s v="NULL"/>
    <s v=""/>
    <d v="2025-06-04T00:00:00"/>
    <n v="0"/>
    <n v="7.6"/>
    <x v="0"/>
    <x v="5"/>
    <x v="2"/>
  </r>
  <r>
    <x v="2171"/>
    <n v="4028899001126"/>
    <x v="1"/>
    <s v="Krmivo a maškrty – Psy"/>
    <s v="Pup Republic"/>
    <n v="2.8"/>
    <n v="3"/>
    <s v="NULL"/>
    <s v=""/>
    <d v="2025-06-04T00:00:00"/>
    <n v="0"/>
    <n v="8.3999999999999986"/>
    <x v="0"/>
    <x v="5"/>
    <x v="0"/>
  </r>
  <r>
    <x v="2172"/>
    <n v="4013456789017"/>
    <x v="0"/>
    <s v="Krmivo a maškrty – Psy"/>
    <s v="Snouty"/>
    <n v="6"/>
    <n v="1"/>
    <s v="NULL"/>
    <s v=""/>
    <d v="2025-06-04T00:00:00"/>
    <n v="0"/>
    <n v="6"/>
    <x v="0"/>
    <x v="5"/>
    <x v="0"/>
  </r>
  <r>
    <x v="2173"/>
    <n v="4040123456795"/>
    <x v="2"/>
    <s v="Starostlivosť a hygiena – Psy"/>
    <s v="Dogissimo"/>
    <n v="8.8000000000000007"/>
    <n v="1"/>
    <s v="NULL"/>
    <s v=""/>
    <d v="2025-06-04T00:00:00"/>
    <n v="0"/>
    <n v="8.8000000000000007"/>
    <x v="0"/>
    <x v="5"/>
    <x v="0"/>
  </r>
  <r>
    <x v="2174"/>
    <n v="4010123456783"/>
    <x v="6"/>
    <s v="Starostlivosť a hygiena – Mačky"/>
    <s v="BellaMeow"/>
    <n v="14"/>
    <n v="1"/>
    <s v="NULL"/>
    <s v=""/>
    <d v="2025-06-04T00:00:00"/>
    <n v="0"/>
    <n v="14"/>
    <x v="0"/>
    <x v="5"/>
    <x v="1"/>
  </r>
  <r>
    <x v="2175"/>
    <n v="4063456789014"/>
    <x v="15"/>
    <s v="Krmivo a maškrty – Psy"/>
    <s v="Pupco"/>
    <n v="36"/>
    <n v="1"/>
    <s v="NULL"/>
    <s v=""/>
    <d v="2025-06-04T00:00:00"/>
    <n v="0"/>
    <n v="36"/>
    <x v="0"/>
    <x v="5"/>
    <x v="0"/>
  </r>
  <r>
    <x v="2176"/>
    <n v="4021234567894"/>
    <x v="18"/>
    <s v="Starostlivosť a hygiena – Mačky"/>
    <s v="PawStyle"/>
    <n v="8"/>
    <n v="1"/>
    <s v="NULL"/>
    <s v=""/>
    <d v="2025-06-05T00:00:00"/>
    <n v="0"/>
    <n v="8"/>
    <x v="0"/>
    <x v="5"/>
    <x v="1"/>
  </r>
  <r>
    <x v="2177"/>
    <n v="4056789012345"/>
    <x v="11"/>
    <s v="Krmivo a maškrty – Mačky"/>
    <s v="BellaMeow"/>
    <n v="2.4"/>
    <n v="2"/>
    <s v="NULL"/>
    <s v=""/>
    <d v="2025-06-05T00:00:00"/>
    <n v="0"/>
    <n v="4.8"/>
    <x v="0"/>
    <x v="5"/>
    <x v="1"/>
  </r>
  <r>
    <x v="2178"/>
    <n v="4061011223346"/>
    <x v="3"/>
    <s v="Oblečenie a doplnky – Psy"/>
    <s v="Tail Trend"/>
    <n v="19.600000000000001"/>
    <n v="1"/>
    <s v="NULL"/>
    <s v=""/>
    <d v="2025-06-05T00:00:00"/>
    <n v="0"/>
    <n v="19.600000000000001"/>
    <x v="0"/>
    <x v="5"/>
    <x v="0"/>
  </r>
  <r>
    <x v="2179"/>
    <n v="4026677889902"/>
    <x v="12"/>
    <s v="Misky a kŕmne doplnky – Ostatné"/>
    <s v="Pawsitive Gear"/>
    <n v="7.6"/>
    <n v="1"/>
    <s v="NULL"/>
    <s v=""/>
    <d v="2025-06-05T00:00:00"/>
    <n v="0"/>
    <n v="7.6"/>
    <x v="0"/>
    <x v="5"/>
    <x v="2"/>
  </r>
  <r>
    <x v="2180"/>
    <n v="4028899001126"/>
    <x v="1"/>
    <s v="Krmivo a maškrty – Psy"/>
    <s v="Pup Republic"/>
    <n v="2.8"/>
    <n v="3"/>
    <s v="NULL"/>
    <s v=""/>
    <d v="2025-06-05T00:00:00"/>
    <n v="0"/>
    <n v="8.3999999999999986"/>
    <x v="0"/>
    <x v="5"/>
    <x v="0"/>
  </r>
  <r>
    <x v="2181"/>
    <n v="4013456789017"/>
    <x v="0"/>
    <s v="Krmivo a maškrty – Psy"/>
    <s v="Snouty"/>
    <n v="6"/>
    <n v="1"/>
    <s v="NULL"/>
    <s v=""/>
    <d v="2025-06-05T00:00:00"/>
    <n v="0"/>
    <n v="6"/>
    <x v="0"/>
    <x v="5"/>
    <x v="0"/>
  </r>
  <r>
    <x v="2182"/>
    <n v="4040123456795"/>
    <x v="2"/>
    <s v="Starostlivosť a hygiena – Psy"/>
    <s v="Dogissimo"/>
    <n v="8.8000000000000007"/>
    <n v="1"/>
    <s v="NULL"/>
    <s v=""/>
    <d v="2025-06-05T00:00:00"/>
    <n v="0"/>
    <n v="8.8000000000000007"/>
    <x v="0"/>
    <x v="5"/>
    <x v="0"/>
  </r>
  <r>
    <x v="2183"/>
    <n v="4010123456783"/>
    <x v="6"/>
    <s v="Starostlivosť a hygiena – Mačky"/>
    <s v="BellaMeow"/>
    <n v="14"/>
    <n v="1"/>
    <s v="NULL"/>
    <s v=""/>
    <d v="2025-06-05T00:00:00"/>
    <n v="0"/>
    <n v="14"/>
    <x v="0"/>
    <x v="5"/>
    <x v="1"/>
  </r>
  <r>
    <x v="2184"/>
    <n v="4063456789014"/>
    <x v="15"/>
    <s v="Krmivo a maškrty – Psy"/>
    <s v="Pupco"/>
    <n v="36"/>
    <n v="1"/>
    <s v="NULL"/>
    <s v=""/>
    <d v="2025-06-05T00:00:00"/>
    <n v="0"/>
    <n v="36"/>
    <x v="0"/>
    <x v="5"/>
    <x v="0"/>
  </r>
  <r>
    <x v="2185"/>
    <n v="4021234567894"/>
    <x v="18"/>
    <s v="Starostlivosť a hygiena – Mačky"/>
    <s v="PawStyle"/>
    <n v="8"/>
    <n v="1"/>
    <s v="NULL"/>
    <s v=""/>
    <d v="2025-06-05T00:00:00"/>
    <n v="0"/>
    <n v="8"/>
    <x v="0"/>
    <x v="5"/>
    <x v="1"/>
  </r>
  <r>
    <x v="2186"/>
    <n v="4056789012345"/>
    <x v="11"/>
    <s v="Krmivo a maškrty – Mačky"/>
    <s v="BellaMeow"/>
    <n v="2.4"/>
    <n v="2"/>
    <s v="NULL"/>
    <s v=""/>
    <d v="2025-06-05T00:00:00"/>
    <n v="0"/>
    <n v="4.8"/>
    <x v="0"/>
    <x v="5"/>
    <x v="1"/>
  </r>
  <r>
    <x v="2187"/>
    <n v="4061011223346"/>
    <x v="3"/>
    <s v="Oblečenie a doplnky – Psy"/>
    <s v="Tail Trend"/>
    <n v="19.600000000000001"/>
    <n v="1"/>
    <s v="NULL"/>
    <s v=""/>
    <d v="2025-06-05T00:00:00"/>
    <n v="0"/>
    <n v="19.600000000000001"/>
    <x v="0"/>
    <x v="5"/>
    <x v="0"/>
  </r>
  <r>
    <x v="2188"/>
    <n v="4026677889902"/>
    <x v="12"/>
    <s v="Misky a kŕmne doplnky – Ostatné"/>
    <s v="Pawsitive Gear"/>
    <n v="7.6"/>
    <n v="1"/>
    <s v="NULL"/>
    <s v=""/>
    <d v="2025-06-05T00:00:00"/>
    <n v="0"/>
    <n v="7.6"/>
    <x v="0"/>
    <x v="5"/>
    <x v="2"/>
  </r>
  <r>
    <x v="2189"/>
    <n v="4028899001126"/>
    <x v="1"/>
    <s v="Krmivo a maškrty – Psy"/>
    <s v="Pup Republic"/>
    <n v="2.8"/>
    <n v="4"/>
    <s v="NULL"/>
    <s v=""/>
    <d v="2025-06-05T00:00:00"/>
    <n v="0"/>
    <n v="11.2"/>
    <x v="0"/>
    <x v="5"/>
    <x v="0"/>
  </r>
  <r>
    <x v="2190"/>
    <n v="4013456789017"/>
    <x v="0"/>
    <s v="Krmivo a maškrty – Psy"/>
    <s v="Snouty"/>
    <n v="6"/>
    <n v="1"/>
    <s v="NULL"/>
    <s v=""/>
    <d v="2025-06-05T00:00:00"/>
    <n v="0"/>
    <n v="6"/>
    <x v="0"/>
    <x v="5"/>
    <x v="0"/>
  </r>
  <r>
    <x v="2191"/>
    <n v="4040123456795"/>
    <x v="2"/>
    <s v="Starostlivosť a hygiena – Psy"/>
    <s v="Dogissimo"/>
    <n v="8.8000000000000007"/>
    <n v="1"/>
    <s v="NULL"/>
    <s v=""/>
    <d v="2025-06-05T00:00:00"/>
    <n v="0"/>
    <n v="8.8000000000000007"/>
    <x v="0"/>
    <x v="5"/>
    <x v="0"/>
  </r>
  <r>
    <x v="2192"/>
    <n v="4010123456783"/>
    <x v="6"/>
    <s v="Starostlivosť a hygiena – Mačky"/>
    <s v="BellaMeow"/>
    <n v="14"/>
    <n v="2"/>
    <s v="NULL"/>
    <s v=""/>
    <d v="2025-06-06T00:00:00"/>
    <n v="0"/>
    <n v="28"/>
    <x v="0"/>
    <x v="5"/>
    <x v="1"/>
  </r>
  <r>
    <x v="2193"/>
    <n v="4063456789014"/>
    <x v="15"/>
    <s v="Krmivo a maškrty – Psy"/>
    <s v="Pupco"/>
    <n v="36"/>
    <n v="1"/>
    <s v="NULL"/>
    <s v=""/>
    <d v="2025-06-06T00:00:00"/>
    <n v="0"/>
    <n v="36"/>
    <x v="0"/>
    <x v="5"/>
    <x v="0"/>
  </r>
  <r>
    <x v="2194"/>
    <n v="4021234567894"/>
    <x v="18"/>
    <s v="Starostlivosť a hygiena – Mačky"/>
    <s v="PawStyle"/>
    <n v="8"/>
    <n v="1"/>
    <s v="NULL"/>
    <s v=""/>
    <d v="2025-06-06T00:00:00"/>
    <n v="0"/>
    <n v="8"/>
    <x v="0"/>
    <x v="5"/>
    <x v="1"/>
  </r>
  <r>
    <x v="2195"/>
    <n v="4056789012345"/>
    <x v="11"/>
    <s v="Krmivo a maškrty – Mačky"/>
    <s v="BellaMeow"/>
    <n v="2.4"/>
    <n v="3"/>
    <s v="NULL"/>
    <s v=""/>
    <d v="2025-06-06T00:00:00"/>
    <n v="0"/>
    <n v="7.1999999999999993"/>
    <x v="0"/>
    <x v="5"/>
    <x v="1"/>
  </r>
  <r>
    <x v="2196"/>
    <n v="4061011223346"/>
    <x v="3"/>
    <s v="Oblečenie a doplnky – Psy"/>
    <s v="Tail Trend"/>
    <n v="19.600000000000001"/>
    <n v="1"/>
    <s v="NULL"/>
    <s v=""/>
    <d v="2025-06-06T00:00:00"/>
    <n v="0"/>
    <n v="19.600000000000001"/>
    <x v="0"/>
    <x v="5"/>
    <x v="0"/>
  </r>
  <r>
    <x v="2197"/>
    <n v="4026677889902"/>
    <x v="12"/>
    <s v="Misky a kŕmne doplnky – Ostatné"/>
    <s v="Pawsitive Gear"/>
    <n v="7.6"/>
    <n v="1"/>
    <s v="NULL"/>
    <s v=""/>
    <d v="2025-06-06T00:00:00"/>
    <n v="0"/>
    <n v="7.6"/>
    <x v="0"/>
    <x v="5"/>
    <x v="2"/>
  </r>
  <r>
    <x v="2198"/>
    <n v="4028899001126"/>
    <x v="1"/>
    <s v="Krmivo a maškrty – Psy"/>
    <s v="Pup Republic"/>
    <n v="2.8"/>
    <n v="3"/>
    <s v="NULL"/>
    <s v=""/>
    <d v="2025-06-06T00:00:00"/>
    <n v="0"/>
    <n v="8.3999999999999986"/>
    <x v="0"/>
    <x v="5"/>
    <x v="0"/>
  </r>
  <r>
    <x v="2199"/>
    <n v="4013456789017"/>
    <x v="0"/>
    <s v="Krmivo a maškrty – Psy"/>
    <s v="Snouty"/>
    <n v="6"/>
    <n v="1"/>
    <s v="NULL"/>
    <s v=""/>
    <d v="2025-06-06T00:00:00"/>
    <n v="0"/>
    <n v="6"/>
    <x v="0"/>
    <x v="5"/>
    <x v="0"/>
  </r>
  <r>
    <x v="2200"/>
    <n v="4040123456795"/>
    <x v="2"/>
    <s v="Starostlivosť a hygiena – Psy"/>
    <s v="Dogissimo"/>
    <n v="8.8000000000000007"/>
    <n v="1"/>
    <s v="NULL"/>
    <s v=""/>
    <d v="2025-06-06T00:00:00"/>
    <n v="0"/>
    <n v="8.8000000000000007"/>
    <x v="0"/>
    <x v="5"/>
    <x v="0"/>
  </r>
  <r>
    <x v="2201"/>
    <n v="4028899001126"/>
    <x v="1"/>
    <s v="Krmivo a maškrty – Psy"/>
    <s v="Pup Republic"/>
    <n v="2.8"/>
    <n v="4"/>
    <s v="NULL"/>
    <s v=""/>
    <d v="2025-06-07T00:00:00"/>
    <n v="0"/>
    <n v="11.2"/>
    <x v="0"/>
    <x v="5"/>
    <x v="0"/>
  </r>
  <r>
    <x v="2202"/>
    <n v="4013456789017"/>
    <x v="0"/>
    <s v="Krmivo a maškrty – Psy"/>
    <s v="Snouty"/>
    <n v="6"/>
    <n v="1"/>
    <s v="4"/>
    <s v="Príjemná veľkosť kúskov, pes sa na tréning teší."/>
    <d v="2025-06-07T00:00:00"/>
    <n v="0"/>
    <n v="6"/>
    <x v="1"/>
    <x v="5"/>
    <x v="0"/>
  </r>
  <r>
    <x v="2203"/>
    <n v="4040123456795"/>
    <x v="2"/>
    <s v="Starostlivosť a hygiena – Psy"/>
    <s v="Dogissimo"/>
    <n v="8.8000000000000007"/>
    <n v="1"/>
    <s v="NULL"/>
    <s v=""/>
    <d v="2025-06-07T00:00:00"/>
    <n v="0"/>
    <n v="8.8000000000000007"/>
    <x v="0"/>
    <x v="5"/>
    <x v="0"/>
  </r>
  <r>
    <x v="2204"/>
    <n v="4010123456783"/>
    <x v="6"/>
    <s v="Starostlivosť a hygiena – Mačky"/>
    <s v="BellaMeow"/>
    <n v="14"/>
    <n v="1"/>
    <s v="NULL"/>
    <s v=""/>
    <d v="2025-06-07T00:00:00"/>
    <n v="0"/>
    <n v="14"/>
    <x v="0"/>
    <x v="5"/>
    <x v="1"/>
  </r>
  <r>
    <x v="2205"/>
    <n v="4063456789014"/>
    <x v="15"/>
    <s v="Krmivo a maškrty – Psy"/>
    <s v="Pupco"/>
    <n v="36"/>
    <n v="1"/>
    <s v="5"/>
    <s v="Skvelé granuly pre aktivního psa, srsť sa zlepšila a porce mu viac sedí ako skôr."/>
    <d v="2025-06-07T00:00:00"/>
    <n v="0"/>
    <n v="36"/>
    <x v="2"/>
    <x v="5"/>
    <x v="0"/>
  </r>
  <r>
    <x v="2206"/>
    <n v="4021234567894"/>
    <x v="18"/>
    <s v="Starostlivosť a hygiena – Mačky"/>
    <s v="PawStyle"/>
    <n v="8"/>
    <n v="1"/>
    <s v="NULL"/>
    <s v=""/>
    <d v="2025-06-07T00:00:00"/>
    <n v="0"/>
    <n v="8"/>
    <x v="0"/>
    <x v="5"/>
    <x v="1"/>
  </r>
  <r>
    <x v="2207"/>
    <n v="4056789012345"/>
    <x v="11"/>
    <s v="Krmivo a maškrty – Mačky"/>
    <s v="BellaMeow"/>
    <n v="2.4"/>
    <n v="2"/>
    <s v="NULL"/>
    <s v=""/>
    <d v="2025-06-07T00:00:00"/>
    <n v="0"/>
    <n v="4.8"/>
    <x v="0"/>
    <x v="5"/>
    <x v="1"/>
  </r>
  <r>
    <x v="2208"/>
    <n v="4061011223346"/>
    <x v="3"/>
    <s v="Oblečenie a doplnky – Psy"/>
    <s v="Tail Trend"/>
    <n v="19.600000000000001"/>
    <n v="1"/>
    <s v="5"/>
    <s v="Ľahké a pevné, na delší procházky ideál; karabina drží aj keď pes škubne."/>
    <d v="2025-06-07T00:00:00"/>
    <n v="0"/>
    <n v="19.600000000000001"/>
    <x v="2"/>
    <x v="5"/>
    <x v="0"/>
  </r>
  <r>
    <x v="2209"/>
    <n v="4026677889902"/>
    <x v="12"/>
    <s v="Misky a kŕmne doplnky – Ostatné"/>
    <s v="Pawsitive Gear"/>
    <n v="7.6"/>
    <n v="1"/>
    <s v="NULL"/>
    <s v=""/>
    <d v="2025-06-07T00:00:00"/>
    <n v="0"/>
    <n v="7.6"/>
    <x v="0"/>
    <x v="5"/>
    <x v="2"/>
  </r>
  <r>
    <x v="2210"/>
    <n v="4028899001126"/>
    <x v="1"/>
    <s v="Krmivo a maškrty – Psy"/>
    <s v="Pup Republic"/>
    <n v="2.8"/>
    <n v="3"/>
    <s v="NULL"/>
    <s v=""/>
    <d v="2025-06-07T00:00:00"/>
    <n v="0"/>
    <n v="8.3999999999999986"/>
    <x v="0"/>
    <x v="5"/>
    <x v="0"/>
  </r>
  <r>
    <x v="2211"/>
    <n v="4013456789017"/>
    <x v="0"/>
    <s v="Krmivo a maškrty – Psy"/>
    <s v="Snouty"/>
    <n v="6"/>
    <n v="2"/>
    <s v="NULL"/>
    <s v=""/>
    <d v="2025-06-07T00:00:00"/>
    <n v="0"/>
    <n v="12"/>
    <x v="0"/>
    <x v="5"/>
    <x v="0"/>
  </r>
  <r>
    <x v="2212"/>
    <n v="4044567890123"/>
    <x v="27"/>
    <s v="Hračky – Mačky"/>
    <s v="BellaMeow"/>
    <n v="6"/>
    <n v="1"/>
    <s v="4"/>
    <s v="Mačka sa hrá každý deň, pierko je zatiaľ v poriadku."/>
    <d v="2025-06-07T00:00:00"/>
    <n v="0"/>
    <n v="6"/>
    <x v="1"/>
    <x v="5"/>
    <x v="1"/>
  </r>
  <r>
    <x v="2213"/>
    <n v="8006789012345"/>
    <x v="29"/>
    <s v="Starostlivosť a hygiena – Mačky"/>
    <s v="Tlapka design"/>
    <n v="8"/>
    <n v="1"/>
    <s v="NULL"/>
    <s v=""/>
    <d v="2025-06-07T00:00:00"/>
    <n v="0"/>
    <n v="8"/>
    <x v="0"/>
    <x v="5"/>
    <x v="1"/>
  </r>
  <r>
    <x v="2214"/>
    <n v="4046789012356"/>
    <x v="30"/>
    <s v="Hračky – Psy"/>
    <s v="Pupco"/>
    <n v="6.4"/>
    <n v="1"/>
    <s v="NULL"/>
    <s v=""/>
    <d v="2025-06-07T00:00:00"/>
    <n v="0"/>
    <n v="6.4"/>
    <x v="0"/>
    <x v="5"/>
    <x v="0"/>
  </r>
  <r>
    <x v="2215"/>
    <n v="4000123456786"/>
    <x v="31"/>
    <s v="Starostlivosť a hygiena – Psy"/>
    <s v="Tail Trend"/>
    <n v="6.8"/>
    <n v="1"/>
    <s v="NULL"/>
    <s v=""/>
    <d v="2025-06-07T00:00:00"/>
    <n v="0"/>
    <n v="6.8"/>
    <x v="0"/>
    <x v="5"/>
    <x v="0"/>
  </r>
  <r>
    <x v="2216"/>
    <n v="4028899001126"/>
    <x v="1"/>
    <s v="Krmivo a maškrty – Psy"/>
    <s v="Pup Republic"/>
    <n v="2.8"/>
    <n v="5"/>
    <s v="4"/>
    <s v="Dobrá cena, pes misku vylíže dočista; beriem do zásoby."/>
    <d v="2025-06-08T00:00:00"/>
    <n v="0"/>
    <n v="14"/>
    <x v="1"/>
    <x v="5"/>
    <x v="0"/>
  </r>
  <r>
    <x v="2217"/>
    <n v="4010123456783"/>
    <x v="6"/>
    <s v="Starostlivosť a hygiena – Mačky"/>
    <s v="BellaMeow"/>
    <n v="14"/>
    <n v="1"/>
    <s v="NULL"/>
    <s v=""/>
    <d v="2025-06-08T00:00:00"/>
    <n v="0"/>
    <n v="14"/>
    <x v="0"/>
    <x v="5"/>
    <x v="1"/>
  </r>
  <r>
    <x v="2218"/>
    <n v="4063456789014"/>
    <x v="15"/>
    <s v="Krmivo a maškrty – Psy"/>
    <s v="Pupco"/>
    <n v="36"/>
    <n v="1"/>
    <s v="NULL"/>
    <s v=""/>
    <d v="2025-06-08T00:00:00"/>
    <n v="0"/>
    <n v="36"/>
    <x v="0"/>
    <x v="5"/>
    <x v="0"/>
  </r>
  <r>
    <x v="2219"/>
    <n v="4021234567894"/>
    <x v="18"/>
    <s v="Starostlivosť a hygiena – Mačky"/>
    <s v="PawStyle"/>
    <n v="8"/>
    <n v="1"/>
    <s v="NULL"/>
    <s v=""/>
    <d v="2025-06-08T00:00:00"/>
    <n v="0"/>
    <n v="8"/>
    <x v="0"/>
    <x v="5"/>
    <x v="1"/>
  </r>
  <r>
    <x v="2220"/>
    <n v="4057890123467"/>
    <x v="32"/>
    <s v="Hračky – Psy"/>
    <s v="Bark&amp;Bone"/>
    <n v="9.6"/>
    <n v="1"/>
    <s v="3"/>
    <s v="Kroužek je fajn, ale mohol by byť tvrdší, pes ho rýchlo okousal."/>
    <d v="2025-06-08T00:00:00"/>
    <n v="0"/>
    <n v="9.6"/>
    <x v="3"/>
    <x v="5"/>
    <x v="0"/>
  </r>
  <r>
    <x v="2221"/>
    <n v="4006789012349"/>
    <x v="7"/>
    <s v="Hračky – Psy"/>
    <s v="Snouty"/>
    <n v="12"/>
    <n v="1"/>
    <s v="NULL"/>
    <s v=""/>
    <d v="2025-06-08T00:00:00"/>
    <n v="0"/>
    <n v="12"/>
    <x v="0"/>
    <x v="5"/>
    <x v="0"/>
  </r>
  <r>
    <x v="2222"/>
    <n v="4041234567809"/>
    <x v="33"/>
    <s v="Krmivo a maškrty – Mačky"/>
    <s v="Mr. Whiskers"/>
    <n v="2"/>
    <n v="4"/>
    <s v="NULL"/>
    <s v=""/>
    <d v="2025-06-08T00:00:00"/>
    <n v="0"/>
    <n v="8"/>
    <x v="0"/>
    <x v="5"/>
    <x v="1"/>
  </r>
  <r>
    <x v="2223"/>
    <n v="8593456789012"/>
    <x v="4"/>
    <s v="Krmivo a maškrty – Mačky"/>
    <s v="Catissime"/>
    <n v="42"/>
    <n v="1"/>
    <s v="5"/>
    <s v="Mačke chutí, srsť je lesklá a menej pĺzne; dobrá voľba na leto."/>
    <d v="2025-06-08T00:00:00"/>
    <n v="0"/>
    <n v="42"/>
    <x v="2"/>
    <x v="5"/>
    <x v="1"/>
  </r>
  <r>
    <x v="2224"/>
    <n v="4029012345678"/>
    <x v="34"/>
    <s v="Oblečenie a doplnky – Mačky"/>
    <s v="PawStyle"/>
    <n v="12"/>
    <n v="1"/>
    <s v="NULL"/>
    <s v=""/>
    <d v="2025-06-08T00:00:00"/>
    <n v="0"/>
    <n v="12"/>
    <x v="0"/>
    <x v="5"/>
    <x v="1"/>
  </r>
  <r>
    <x v="2225"/>
    <n v="4028899001126"/>
    <x v="1"/>
    <s v="Krmivo a maškrty – Psy"/>
    <s v="Pup Republic"/>
    <n v="2.8"/>
    <n v="2"/>
    <s v="NULL"/>
    <s v=""/>
    <d v="2025-06-08T00:00:00"/>
    <n v="0"/>
    <n v="5.6"/>
    <x v="0"/>
    <x v="5"/>
    <x v="0"/>
  </r>
  <r>
    <x v="2226"/>
    <n v="4013456789017"/>
    <x v="0"/>
    <s v="Krmivo a maškrty – Psy"/>
    <s v="Snouty"/>
    <n v="6"/>
    <n v="1"/>
    <s v="NULL"/>
    <s v=""/>
    <d v="2025-06-08T00:00:00"/>
    <n v="0"/>
    <n v="6"/>
    <x v="0"/>
    <x v="5"/>
    <x v="0"/>
  </r>
  <r>
    <x v="2227"/>
    <n v="4040123456795"/>
    <x v="2"/>
    <s v="Starostlivosť a hygiena – Psy"/>
    <s v="Dogissimo"/>
    <n v="8.8000000000000007"/>
    <n v="1"/>
    <s v="NULL"/>
    <s v=""/>
    <d v="2025-06-08T00:00:00"/>
    <n v="0"/>
    <n v="8.8000000000000007"/>
    <x v="0"/>
    <x v="5"/>
    <x v="0"/>
  </r>
  <r>
    <x v="2228"/>
    <n v="4010123456783"/>
    <x v="6"/>
    <s v="Starostlivosť a hygiena – Mačky"/>
    <s v="BellaMeow"/>
    <n v="14"/>
    <n v="1"/>
    <s v="4"/>
    <s v="Menej prachu ako iné, jednoduchá údržba."/>
    <d v="2025-06-09T00:00:00"/>
    <n v="0"/>
    <n v="14"/>
    <x v="1"/>
    <x v="5"/>
    <x v="1"/>
  </r>
  <r>
    <x v="2229"/>
    <n v="4063456789014"/>
    <x v="15"/>
    <s v="Krmivo a maškrty – Psy"/>
    <s v="Pupco"/>
    <n v="36"/>
    <n v="1"/>
    <s v="NULL"/>
    <s v=""/>
    <d v="2025-06-09T00:00:00"/>
    <n v="0"/>
    <n v="36"/>
    <x v="0"/>
    <x v="5"/>
    <x v="0"/>
  </r>
  <r>
    <x v="2230"/>
    <n v="4021234567894"/>
    <x v="18"/>
    <s v="Starostlivosť a hygiena – Mačky"/>
    <s v="PawStyle"/>
    <n v="8"/>
    <n v="1"/>
    <s v="NULL"/>
    <s v=""/>
    <d v="2025-06-09T00:00:00"/>
    <n v="0"/>
    <n v="8"/>
    <x v="0"/>
    <x v="5"/>
    <x v="1"/>
  </r>
  <r>
    <x v="2231"/>
    <n v="4056789012345"/>
    <x v="11"/>
    <s v="Krmivo a maškrty – Mačky"/>
    <s v="BellaMeow"/>
    <n v="2.4"/>
    <n v="3"/>
    <s v="NULL"/>
    <s v=""/>
    <d v="2025-06-09T00:00:00"/>
    <n v="0"/>
    <n v="7.1999999999999993"/>
    <x v="0"/>
    <x v="5"/>
    <x v="1"/>
  </r>
  <r>
    <x v="2232"/>
    <n v="4061011223346"/>
    <x v="3"/>
    <s v="Oblečenie a doplnky – Psy"/>
    <s v="Tail Trend"/>
    <n v="19.600000000000001"/>
    <n v="1"/>
    <s v="NULL"/>
    <s v=""/>
    <d v="2025-06-09T00:00:00"/>
    <n v="0"/>
    <n v="19.600000000000001"/>
    <x v="0"/>
    <x v="5"/>
    <x v="0"/>
  </r>
  <r>
    <x v="2233"/>
    <n v="4026677889902"/>
    <x v="12"/>
    <s v="Misky a kŕmne doplnky – Ostatné"/>
    <s v="Pawsitive Gear"/>
    <n v="7.6"/>
    <n v="1"/>
    <s v="NULL"/>
    <s v=""/>
    <d v="2025-06-09T00:00:00"/>
    <n v="0"/>
    <n v="7.6"/>
    <x v="0"/>
    <x v="5"/>
    <x v="2"/>
  </r>
  <r>
    <x v="2234"/>
    <n v="8591234567812"/>
    <x v="35"/>
    <s v="Krmivo a maškrty – Mačky"/>
    <s v="Catissime"/>
    <n v="33.200000000000003"/>
    <n v="1"/>
    <s v="4"/>
    <s v="Pre kastrovanú mačku super, drží sa váhu a chutí."/>
    <d v="2025-06-09T00:00:00"/>
    <n v="0"/>
    <n v="33.200000000000003"/>
    <x v="1"/>
    <x v="5"/>
    <x v="1"/>
  </r>
  <r>
    <x v="2235"/>
    <n v="4028899001126"/>
    <x v="1"/>
    <s v="Krmivo a maškrty – Psy"/>
    <s v="Pup Republic"/>
    <n v="2.8"/>
    <n v="5"/>
    <s v="NULL"/>
    <s v=""/>
    <d v="2025-06-09T00:00:00"/>
    <n v="0"/>
    <n v="14"/>
    <x v="0"/>
    <x v="5"/>
    <x v="0"/>
  </r>
  <r>
    <x v="2236"/>
    <n v="4013456789017"/>
    <x v="0"/>
    <s v="Krmivo a maškrty – Psy"/>
    <s v="Snouty"/>
    <n v="6"/>
    <n v="1"/>
    <s v="NULL"/>
    <s v=""/>
    <d v="2025-06-09T00:00:00"/>
    <n v="0"/>
    <n v="6"/>
    <x v="0"/>
    <x v="5"/>
    <x v="0"/>
  </r>
  <r>
    <x v="2237"/>
    <n v="4043344556676"/>
    <x v="36"/>
    <s v="Misky a kŕmne doplnky – Mačky"/>
    <s v="Pawtastic"/>
    <n v="10"/>
    <n v="1"/>
    <s v="NULL"/>
    <s v=""/>
    <d v="2025-06-09T00:00:00"/>
    <n v="0"/>
    <n v="10"/>
    <x v="0"/>
    <x v="5"/>
    <x v="1"/>
  </r>
  <r>
    <x v="2238"/>
    <n v="8596677889011"/>
    <x v="37"/>
    <s v="Krmivo a maškrty – Mačky"/>
    <s v="Catissime"/>
    <n v="35.200000000000003"/>
    <n v="1"/>
    <s v="NULL"/>
    <s v=""/>
    <d v="2025-06-09T00:00:00"/>
    <n v="0"/>
    <n v="35.200000000000003"/>
    <x v="0"/>
    <x v="5"/>
    <x v="1"/>
  </r>
  <r>
    <x v="2239"/>
    <n v="4002233445566"/>
    <x v="28"/>
    <s v="Pelechy a nábytok – Mačky"/>
    <s v="Catissime"/>
    <n v="20"/>
    <n v="1"/>
    <s v="3"/>
    <s v="Mäkká, ale v lete je mačka radšaj mimo pelech."/>
    <d v="2025-06-09T00:00:00"/>
    <n v="0"/>
    <n v="20"/>
    <x v="3"/>
    <x v="5"/>
    <x v="1"/>
  </r>
  <r>
    <x v="2240"/>
    <n v="4025566778891"/>
    <x v="38"/>
    <s v="Misky a kŕmne doplnky – Mačky"/>
    <s v="Catissime"/>
    <n v="51.64"/>
    <n v="1"/>
    <s v="5"/>
    <s v="Vodní fontána primäla mačku viac pít, montáž aj čistenie bez potíží."/>
    <d v="2025-06-09T00:00:00"/>
    <n v="0"/>
    <n v="51.64"/>
    <x v="2"/>
    <x v="5"/>
    <x v="1"/>
  </r>
  <r>
    <x v="2241"/>
    <n v="4028899001126"/>
    <x v="1"/>
    <s v="Krmivo a maškrty – Psy"/>
    <s v="Pup Republic"/>
    <n v="2.8"/>
    <n v="3"/>
    <s v="NULL"/>
    <s v=""/>
    <d v="2025-06-10T00:00:00"/>
    <n v="0"/>
    <n v="8.3999999999999986"/>
    <x v="0"/>
    <x v="5"/>
    <x v="0"/>
  </r>
  <r>
    <x v="2242"/>
    <n v="4013456789017"/>
    <x v="0"/>
    <s v="Krmivo a maškrty – Psy"/>
    <s v="Snouty"/>
    <n v="6"/>
    <n v="2"/>
    <s v="NULL"/>
    <s v=""/>
    <d v="2025-06-10T00:00:00"/>
    <n v="0"/>
    <n v="12"/>
    <x v="0"/>
    <x v="5"/>
    <x v="0"/>
  </r>
  <r>
    <x v="2243"/>
    <n v="4040123456795"/>
    <x v="2"/>
    <s v="Starostlivosť a hygiena – Psy"/>
    <s v="Dogissimo"/>
    <n v="8.8000000000000007"/>
    <n v="1"/>
    <s v="4"/>
    <s v="Jemný, nespôsobuje svrbenie; používame po kúpaní v rybníku."/>
    <d v="2025-06-10T00:00:00"/>
    <n v="0"/>
    <n v="8.8000000000000007"/>
    <x v="1"/>
    <x v="5"/>
    <x v="0"/>
  </r>
  <r>
    <x v="2244"/>
    <n v="4010123456783"/>
    <x v="6"/>
    <s v="Starostlivosť a hygiena – Mačky"/>
    <s v="BellaMeow"/>
    <n v="14"/>
    <n v="1"/>
    <s v="NULL"/>
    <s v=""/>
    <d v="2025-06-10T00:00:00"/>
    <n v="0"/>
    <n v="14"/>
    <x v="0"/>
    <x v="5"/>
    <x v="1"/>
  </r>
  <r>
    <x v="2245"/>
    <n v="4063456789014"/>
    <x v="15"/>
    <s v="Krmivo a maškrty – Psy"/>
    <s v="Pupco"/>
    <n v="36"/>
    <n v="1"/>
    <s v="NULL"/>
    <s v=""/>
    <d v="2025-06-10T00:00:00"/>
    <n v="0"/>
    <n v="36"/>
    <x v="0"/>
    <x v="5"/>
    <x v="0"/>
  </r>
  <r>
    <x v="2246"/>
    <n v="4021234567894"/>
    <x v="18"/>
    <s v="Starostlivosť a hygiena – Mačky"/>
    <s v="PawStyle"/>
    <n v="8"/>
    <n v="1"/>
    <s v="NULL"/>
    <s v=""/>
    <d v="2025-06-10T00:00:00"/>
    <n v="0"/>
    <n v="8"/>
    <x v="0"/>
    <x v="5"/>
    <x v="1"/>
  </r>
  <r>
    <x v="2247"/>
    <n v="4056789012345"/>
    <x v="11"/>
    <s v="Krmivo a maškrty – Mačky"/>
    <s v="BellaMeow"/>
    <n v="2.4"/>
    <n v="2"/>
    <s v="NULL"/>
    <s v=""/>
    <d v="2025-06-10T00:00:00"/>
    <n v="0"/>
    <n v="4.8"/>
    <x v="0"/>
    <x v="5"/>
    <x v="1"/>
  </r>
  <r>
    <x v="2248"/>
    <n v="4061011223346"/>
    <x v="3"/>
    <s v="Oblečenie a doplnky – Psy"/>
    <s v="Tail Trend"/>
    <n v="19.600000000000001"/>
    <n v="1"/>
    <s v="NULL"/>
    <s v=""/>
    <d v="2025-06-10T00:00:00"/>
    <n v="0"/>
    <n v="19.600000000000001"/>
    <x v="0"/>
    <x v="5"/>
    <x v="0"/>
  </r>
  <r>
    <x v="2249"/>
    <n v="4026677889902"/>
    <x v="12"/>
    <s v="Misky a kŕmne doplnky – Ostatné"/>
    <s v="Pawsitive Gear"/>
    <n v="7.6"/>
    <n v="1"/>
    <s v="NULL"/>
    <s v=""/>
    <d v="2025-06-10T00:00:00"/>
    <n v="0"/>
    <n v="7.6"/>
    <x v="0"/>
    <x v="5"/>
    <x v="2"/>
  </r>
  <r>
    <x v="2250"/>
    <n v="5904455667782"/>
    <x v="39"/>
    <s v="Misky a kŕmne doplnky – Mačky"/>
    <s v="Nordic Tail"/>
    <n v="51.64"/>
    <n v="1"/>
    <s v="5"/>
    <s v="Tichý chod a pítko v viac úrovních; mačky u toho tráví pol dne."/>
    <d v="2025-06-10T00:00:00"/>
    <n v="0"/>
    <n v="51.64"/>
    <x v="2"/>
    <x v="5"/>
    <x v="1"/>
  </r>
  <r>
    <x v="2251"/>
    <n v="4028899001126"/>
    <x v="1"/>
    <s v="Krmivo a maškrty – Psy"/>
    <s v="Pup Republic"/>
    <n v="2.8"/>
    <n v="4"/>
    <s v="NULL"/>
    <s v=""/>
    <d v="2025-06-10T00:00:00"/>
    <n v="0"/>
    <n v="11.2"/>
    <x v="0"/>
    <x v="5"/>
    <x v="0"/>
  </r>
  <r>
    <x v="2252"/>
    <n v="4013456789017"/>
    <x v="0"/>
    <s v="Krmivo a maškrty – Psy"/>
    <s v="Snouty"/>
    <n v="6"/>
    <n v="1"/>
    <s v="NULL"/>
    <s v=""/>
    <d v="2025-06-10T00:00:00"/>
    <n v="0"/>
    <n v="6"/>
    <x v="0"/>
    <x v="5"/>
    <x v="0"/>
  </r>
  <r>
    <x v="2253"/>
    <n v="4047890123460"/>
    <x v="40"/>
    <s v="Oblečenie a doplnky – Mačky"/>
    <s v="Pawtastic"/>
    <n v="10"/>
    <n v="1"/>
    <s v="4"/>
    <s v="Ľahké vôdzka na balkon a krátké vycházky, dobre sa drží."/>
    <d v="2025-06-10T00:00:00"/>
    <n v="0"/>
    <n v="10"/>
    <x v="1"/>
    <x v="5"/>
    <x v="1"/>
  </r>
  <r>
    <x v="2254"/>
    <n v="4006789012349"/>
    <x v="7"/>
    <s v="Hračky – Psy"/>
    <s v="Snouty"/>
    <n v="12"/>
    <n v="1"/>
    <s v="NULL"/>
    <s v=""/>
    <d v="2025-06-11T00:00:00"/>
    <n v="0"/>
    <n v="12"/>
    <x v="0"/>
    <x v="5"/>
    <x v="0"/>
  </r>
  <r>
    <x v="2255"/>
    <n v="4020123456783"/>
    <x v="41"/>
    <s v="Oblečenie a doplnky – Psy"/>
    <s v="Pup Republic"/>
    <n v="22"/>
    <n v="1"/>
    <s v="NULL"/>
    <s v=""/>
    <d v="2025-06-11T00:00:00"/>
    <n v="0"/>
    <n v="22"/>
    <x v="0"/>
    <x v="5"/>
    <x v="0"/>
  </r>
  <r>
    <x v="2256"/>
    <n v="4016677889902"/>
    <x v="42"/>
    <s v="Oblečenie a doplnky – Psy"/>
    <s v="Pup Republic"/>
    <n v="22"/>
    <n v="1"/>
    <s v="4"/>
    <s v="Lehký materiál, na letní behanie fajn, sedí podle tabulky."/>
    <d v="2025-06-11T00:00:00"/>
    <n v="0"/>
    <n v="22"/>
    <x v="1"/>
    <x v="5"/>
    <x v="0"/>
  </r>
  <r>
    <x v="2257"/>
    <n v="4008901234561"/>
    <x v="43"/>
    <s v="Oblečenie a doplnky – Psy"/>
    <s v="HafHaf Couture"/>
    <n v="40"/>
    <n v="1"/>
    <s v="NULL"/>
    <s v=""/>
    <d v="2025-06-11T00:00:00"/>
    <n v="0"/>
    <n v="40"/>
    <x v="0"/>
    <x v="5"/>
    <x v="0"/>
  </r>
  <r>
    <x v="2258"/>
    <n v="4008899001134"/>
    <x v="44"/>
    <s v="Pelechy a nábytok – Hlodavce"/>
    <s v="Lapa Home"/>
    <n v="47.64"/>
    <n v="1"/>
    <s v="NULL"/>
    <s v=""/>
    <d v="2025-06-11T00:00:00"/>
    <n v="0"/>
    <n v="47.64"/>
    <x v="0"/>
    <x v="5"/>
    <x v="2"/>
  </r>
  <r>
    <x v="2259"/>
    <n v="8597788990023"/>
    <x v="45"/>
    <s v="Krmivo a maškrty – Králiky"/>
    <s v="Pawsitive Gear"/>
    <n v="6.4"/>
    <n v="2"/>
    <s v="5"/>
    <s v="Bylinková zmes králikom vonia, bobky sú pevné a srsť je lesklá."/>
    <d v="2025-06-11T00:00:00"/>
    <n v="0"/>
    <n v="12.8"/>
    <x v="2"/>
    <x v="5"/>
    <x v="2"/>
  </r>
  <r>
    <x v="2260"/>
    <n v="4028899001126"/>
    <x v="1"/>
    <s v="Krmivo a maškrty – Psy"/>
    <s v="Pup Republic"/>
    <n v="2.8"/>
    <n v="3"/>
    <s v="NULL"/>
    <s v=""/>
    <d v="2025-06-11T00:00:00"/>
    <n v="0"/>
    <n v="8.3999999999999986"/>
    <x v="0"/>
    <x v="5"/>
    <x v="0"/>
  </r>
  <r>
    <x v="2261"/>
    <n v="4013456789017"/>
    <x v="0"/>
    <s v="Krmivo a maškrty – Psy"/>
    <s v="Snouty"/>
    <n v="6"/>
    <n v="1"/>
    <s v="NULL"/>
    <s v=""/>
    <d v="2025-06-11T00:00:00"/>
    <n v="0"/>
    <n v="6"/>
    <x v="0"/>
    <x v="5"/>
    <x v="0"/>
  </r>
  <r>
    <x v="2262"/>
    <n v="4040123456795"/>
    <x v="2"/>
    <s v="Starostlivosť a hygiena – Psy"/>
    <s v="Dogissimo"/>
    <n v="8.8000000000000007"/>
    <n v="1"/>
    <s v="NULL"/>
    <s v=""/>
    <d v="2025-06-11T00:00:00"/>
    <n v="0"/>
    <n v="8.8000000000000007"/>
    <x v="0"/>
    <x v="5"/>
    <x v="0"/>
  </r>
  <r>
    <x v="2263"/>
    <n v="4010123456783"/>
    <x v="6"/>
    <s v="Starostlivosť a hygiena – Mačky"/>
    <s v="BellaMeow"/>
    <n v="14"/>
    <n v="1"/>
    <s v="NULL"/>
    <s v=""/>
    <d v="2025-06-11T00:00:00"/>
    <n v="0"/>
    <n v="14"/>
    <x v="0"/>
    <x v="5"/>
    <x v="1"/>
  </r>
  <r>
    <x v="2264"/>
    <n v="4063456789014"/>
    <x v="15"/>
    <s v="Krmivo a maškrty – Psy"/>
    <s v="Pupco"/>
    <n v="36"/>
    <n v="1"/>
    <s v="4"/>
    <s v="Pes má viac energie a nemá citlivé brucho ako skôr."/>
    <d v="2025-06-11T00:00:00"/>
    <n v="0"/>
    <n v="36"/>
    <x v="1"/>
    <x v="5"/>
    <x v="0"/>
  </r>
  <r>
    <x v="2265"/>
    <n v="4021234567894"/>
    <x v="18"/>
    <s v="Starostlivosť a hygiena – Mačky"/>
    <s v="PawStyle"/>
    <n v="8"/>
    <n v="1"/>
    <s v="NULL"/>
    <s v=""/>
    <d v="2025-06-11T00:00:00"/>
    <n v="0"/>
    <n v="8"/>
    <x v="0"/>
    <x v="5"/>
    <x v="1"/>
  </r>
  <r>
    <x v="2266"/>
    <n v="4056789012345"/>
    <x v="11"/>
    <s v="Krmivo a maškrty – Mačky"/>
    <s v="BellaMeow"/>
    <n v="2.4"/>
    <n v="2"/>
    <s v="NULL"/>
    <s v=""/>
    <d v="2025-06-11T00:00:00"/>
    <n v="0"/>
    <n v="4.8"/>
    <x v="0"/>
    <x v="5"/>
    <x v="1"/>
  </r>
  <r>
    <x v="2267"/>
    <n v="4050123456794"/>
    <x v="8"/>
    <s v="Starostlivosť a hygiena – Mačky"/>
    <s v="Nordic Tail"/>
    <n v="7.2"/>
    <n v="1"/>
    <s v="NULL"/>
    <s v=""/>
    <d v="2025-06-11T00:00:00"/>
    <n v="0"/>
    <n v="7.2"/>
    <x v="0"/>
    <x v="5"/>
    <x v="1"/>
  </r>
  <r>
    <x v="2268"/>
    <n v="8595678901234"/>
    <x v="46"/>
    <s v="Krmivo a maškrty – Ostatné"/>
    <s v="PawStyle"/>
    <n v="6"/>
    <n v="1"/>
    <s v="NULL"/>
    <s v=""/>
    <d v="2025-06-12T00:00:00"/>
    <n v="0"/>
    <n v="6"/>
    <x v="0"/>
    <x v="5"/>
    <x v="2"/>
  </r>
  <r>
    <x v="2269"/>
    <n v="4011234567897"/>
    <x v="47"/>
    <s v="Starostlivosť a hygiena – Psy"/>
    <s v="Tlapka design"/>
    <n v="11.6"/>
    <n v="1"/>
    <s v="3"/>
    <s v="Funguje, ale rukojeť šmýka sa v ruky; lepší na krátkou srsť."/>
    <d v="2025-06-12T00:00:00"/>
    <n v="0"/>
    <n v="11.6"/>
    <x v="3"/>
    <x v="5"/>
    <x v="0"/>
  </r>
  <r>
    <x v="2270"/>
    <n v="4008901234572"/>
    <x v="48"/>
    <s v="Oblečenie a doplnky – Psy"/>
    <s v="Dogissimo"/>
    <n v="18"/>
    <n v="1"/>
    <s v="NULL"/>
    <s v=""/>
    <d v="2025-06-12T00:00:00"/>
    <n v="0"/>
    <n v="18"/>
    <x v="0"/>
    <x v="5"/>
    <x v="0"/>
  </r>
  <r>
    <x v="2271"/>
    <n v="4057890123467"/>
    <x v="32"/>
    <s v="Hračky – Psy"/>
    <s v="Bark&amp;Bone"/>
    <n v="9.6"/>
    <n v="1"/>
    <s v="NULL"/>
    <s v=""/>
    <d v="2025-06-12T00:00:00"/>
    <n v="0"/>
    <n v="9.6"/>
    <x v="0"/>
    <x v="5"/>
    <x v="0"/>
  </r>
  <r>
    <x v="2272"/>
    <n v="4009012345672"/>
    <x v="10"/>
    <s v="Starostlivosť a hygiena – Mačky"/>
    <s v="Mr. Whiskers"/>
    <n v="11.2"/>
    <n v="1"/>
    <s v="4"/>
    <s v="Slušná hrudkovatost, zápach drží; beriem opakovane."/>
    <d v="2025-06-12T00:00:00"/>
    <n v="0"/>
    <n v="11.2"/>
    <x v="1"/>
    <x v="5"/>
    <x v="1"/>
  </r>
  <r>
    <x v="2273"/>
    <n v="4005566778891"/>
    <x v="24"/>
    <s v="Oblečenie a doplnky – Psy"/>
    <s v="Canine Craft Industries"/>
    <n v="18"/>
    <n v="1"/>
    <s v="NULL"/>
    <s v=""/>
    <d v="2025-06-12T00:00:00"/>
    <n v="0"/>
    <n v="18"/>
    <x v="0"/>
    <x v="5"/>
    <x v="0"/>
  </r>
  <r>
    <x v="2274"/>
    <n v="4059012345683"/>
    <x v="49"/>
    <s v="Oblečenie a doplnky – Psy"/>
    <s v="Tail Trend"/>
    <n v="20"/>
    <n v="1"/>
    <s v="2"/>
    <s v="Vráceno – popruh sa strapkal po pár procházkách, výmena za RopeWalk."/>
    <d v="2025-06-12T00:00:00"/>
    <n v="1"/>
    <n v="20"/>
    <x v="4"/>
    <x v="5"/>
    <x v="0"/>
  </r>
  <r>
    <x v="2275"/>
    <n v="4026677889902"/>
    <x v="12"/>
    <s v="Misky a kŕmne doplnky – Ostatné"/>
    <s v="Pawsitive Gear"/>
    <n v="7.6"/>
    <n v="1"/>
    <s v="NULL"/>
    <s v=""/>
    <d v="2025-06-12T00:00:00"/>
    <n v="0"/>
    <n v="7.6"/>
    <x v="0"/>
    <x v="5"/>
    <x v="2"/>
  </r>
  <r>
    <x v="2276"/>
    <n v="4028899001126"/>
    <x v="1"/>
    <s v="Krmivo a maškrty – Psy"/>
    <s v="Pup Republic"/>
    <n v="2.8"/>
    <n v="4"/>
    <s v="NULL"/>
    <s v=""/>
    <d v="2025-06-13T00:00:00"/>
    <n v="0"/>
    <n v="11.2"/>
    <x v="0"/>
    <x v="5"/>
    <x v="0"/>
  </r>
  <r>
    <x v="2277"/>
    <n v="4013456789017"/>
    <x v="0"/>
    <s v="Krmivo a maškrty – Psy"/>
    <s v="Snouty"/>
    <n v="6"/>
    <n v="1"/>
    <s v="5"/>
    <s v="Maškrty vonia masem, pes cvičí ochotnejšie a bere je aj z ruky detí."/>
    <d v="2025-06-13T00:00:00"/>
    <n v="0"/>
    <n v="6"/>
    <x v="2"/>
    <x v="5"/>
    <x v="0"/>
  </r>
  <r>
    <x v="2278"/>
    <n v="4040123456795"/>
    <x v="2"/>
    <s v="Starostlivosť a hygiena – Psy"/>
    <s v="Dogissimo"/>
    <n v="8.8000000000000007"/>
    <n v="1"/>
    <s v="NULL"/>
    <s v=""/>
    <d v="2025-06-13T00:00:00"/>
    <n v="0"/>
    <n v="8.8000000000000007"/>
    <x v="0"/>
    <x v="5"/>
    <x v="0"/>
  </r>
  <r>
    <x v="2279"/>
    <n v="4010123456783"/>
    <x v="6"/>
    <s v="Starostlivosť a hygiena – Mačky"/>
    <s v="BellaMeow"/>
    <n v="14"/>
    <n v="1"/>
    <s v="NULL"/>
    <s v=""/>
    <d v="2025-06-13T00:00:00"/>
    <n v="0"/>
    <n v="14"/>
    <x v="0"/>
    <x v="5"/>
    <x v="1"/>
  </r>
  <r>
    <x v="2280"/>
    <n v="4063456789014"/>
    <x v="15"/>
    <s v="Krmivo a maškrty – Psy"/>
    <s v="Pupco"/>
    <n v="36"/>
    <n v="1"/>
    <s v="4"/>
    <s v="Pes má po týchto granulích lesklú srsť, kupujeme pravidelne."/>
    <d v="2025-06-13T00:00:00"/>
    <n v="0"/>
    <n v="36"/>
    <x v="1"/>
    <x v="5"/>
    <x v="0"/>
  </r>
  <r>
    <x v="2281"/>
    <n v="4021234567894"/>
    <x v="18"/>
    <s v="Starostlivosť a hygiena – Mačky"/>
    <s v="PawStyle"/>
    <n v="8"/>
    <n v="1"/>
    <s v="NULL"/>
    <s v=""/>
    <d v="2025-06-13T00:00:00"/>
    <n v="0"/>
    <n v="8"/>
    <x v="0"/>
    <x v="5"/>
    <x v="1"/>
  </r>
  <r>
    <x v="2282"/>
    <n v="4056789012345"/>
    <x v="11"/>
    <s v="Krmivo a maškrty – Mačky"/>
    <s v="BellaMeow"/>
    <n v="2.4"/>
    <n v="3"/>
    <s v="NULL"/>
    <s v=""/>
    <d v="2025-06-13T00:00:00"/>
    <n v="0"/>
    <n v="7.1999999999999993"/>
    <x v="0"/>
    <x v="5"/>
    <x v="1"/>
  </r>
  <r>
    <x v="2283"/>
    <n v="4061011223346"/>
    <x v="3"/>
    <s v="Oblečenie a doplnky – Psy"/>
    <s v="Tail Trend"/>
    <n v="19.600000000000001"/>
    <n v="1"/>
    <s v="NULL"/>
    <s v=""/>
    <d v="2025-06-13T00:00:00"/>
    <n v="0"/>
    <n v="19.600000000000001"/>
    <x v="0"/>
    <x v="5"/>
    <x v="0"/>
  </r>
  <r>
    <x v="2284"/>
    <n v="4026677889902"/>
    <x v="12"/>
    <s v="Misky a kŕmne doplnky – Ostatné"/>
    <s v="Pawsitive Gear"/>
    <n v="7.6"/>
    <n v="1"/>
    <s v="NULL"/>
    <s v=""/>
    <d v="2025-06-13T00:00:00"/>
    <n v="0"/>
    <n v="7.6"/>
    <x v="0"/>
    <x v="5"/>
    <x v="2"/>
  </r>
  <r>
    <x v="2285"/>
    <n v="4028899001126"/>
    <x v="1"/>
    <s v="Krmivo a maškrty – Psy"/>
    <s v="Pup Republic"/>
    <n v="2.8"/>
    <n v="3"/>
    <s v="NULL"/>
    <s v=""/>
    <d v="2025-06-13T00:00:00"/>
    <n v="0"/>
    <n v="8.3999999999999986"/>
    <x v="0"/>
    <x v="5"/>
    <x v="0"/>
  </r>
  <r>
    <x v="2286"/>
    <n v="4013456789017"/>
    <x v="0"/>
    <s v="Krmivo a maškrty – Psy"/>
    <s v="Snouty"/>
    <n v="6"/>
    <n v="1"/>
    <s v="NULL"/>
    <s v=""/>
    <d v="2025-06-13T00:00:00"/>
    <n v="0"/>
    <n v="6"/>
    <x v="0"/>
    <x v="5"/>
    <x v="0"/>
  </r>
  <r>
    <x v="2287"/>
    <n v="4044567890123"/>
    <x v="27"/>
    <s v="Hračky – Mačky"/>
    <s v="BellaMeow"/>
    <n v="6"/>
    <n v="1"/>
    <s v="3"/>
    <s v="Mačka sa hrala dva dni, potom ju prestalo baviť. Asi spíš pre mačiatka."/>
    <d v="2025-06-13T00:00:00"/>
    <n v="0"/>
    <n v="6"/>
    <x v="3"/>
    <x v="5"/>
    <x v="1"/>
  </r>
  <r>
    <x v="2288"/>
    <n v="8006789012345"/>
    <x v="29"/>
    <s v="Starostlivosť a hygiena – Mačky"/>
    <s v="Tlapka design"/>
    <n v="8"/>
    <n v="1"/>
    <s v="NULL"/>
    <s v=""/>
    <d v="2025-06-13T00:00:00"/>
    <n v="0"/>
    <n v="8"/>
    <x v="0"/>
    <x v="5"/>
    <x v="1"/>
  </r>
  <r>
    <x v="2289"/>
    <n v="4046789012356"/>
    <x v="30"/>
    <s v="Hračky – Psy"/>
    <s v="Pupco"/>
    <n v="6.4"/>
    <n v="1"/>
    <s v="4"/>
    <s v="Super odraz, skáče vysoko, pes sa unaví po piatich minutách."/>
    <d v="2025-06-13T00:00:00"/>
    <n v="0"/>
    <n v="6.4"/>
    <x v="1"/>
    <x v="5"/>
    <x v="0"/>
  </r>
  <r>
    <x v="2290"/>
    <n v="4000123456786"/>
    <x v="31"/>
    <s v="Starostlivosť a hygiena – Psy"/>
    <s v="Tail Trend"/>
    <n v="6.8"/>
    <n v="1"/>
    <s v="NULL"/>
    <s v=""/>
    <d v="2025-06-13T00:00:00"/>
    <n v="0"/>
    <n v="6.8"/>
    <x v="0"/>
    <x v="5"/>
    <x v="0"/>
  </r>
  <r>
    <x v="2291"/>
    <n v="8591234567812"/>
    <x v="35"/>
    <s v="Krmivo a maškrty – Mačky"/>
    <s v="Catissime"/>
    <n v="33.200000000000003"/>
    <n v="1"/>
    <s v="4"/>
    <s v="Výborné pre kastrované mačky, bez zápachu, srsť sa zlepšila."/>
    <d v="2025-06-14T00:00:00"/>
    <n v="0"/>
    <n v="33.200000000000003"/>
    <x v="1"/>
    <x v="5"/>
    <x v="1"/>
  </r>
  <r>
    <x v="2292"/>
    <n v="4058899001125"/>
    <x v="50"/>
    <s v="Hračky – Mačky"/>
    <s v="Pawtastic"/>
    <n v="10.4"/>
    <n v="1"/>
    <s v="NULL"/>
    <s v=""/>
    <d v="2025-06-14T00:00:00"/>
    <n v="0"/>
    <n v="10.4"/>
    <x v="0"/>
    <x v="5"/>
    <x v="1"/>
  </r>
  <r>
    <x v="2293"/>
    <n v="4027788990013"/>
    <x v="9"/>
    <s v="Starostlivosť a hygiena – Psy"/>
    <s v="Dogissimo"/>
    <n v="8"/>
    <n v="1"/>
    <s v="NULL"/>
    <s v=""/>
    <d v="2025-06-14T00:00:00"/>
    <n v="0"/>
    <n v="8"/>
    <x v="0"/>
    <x v="5"/>
    <x v="0"/>
  </r>
  <r>
    <x v="2294"/>
    <n v="4066677889903"/>
    <x v="51"/>
    <s v="Misky a kŕmne doplnky – Mačky"/>
    <s v="Nordic Tail"/>
    <n v="59.64"/>
    <n v="1"/>
    <s v="5"/>
    <s v="Perfektní dávkování a tichý chod. Nastavení jednoduché, skvelá voľba."/>
    <d v="2025-06-14T00:00:00"/>
    <n v="0"/>
    <n v="59.64"/>
    <x v="2"/>
    <x v="5"/>
    <x v="1"/>
  </r>
  <r>
    <x v="2295"/>
    <n v="4006677889904"/>
    <x v="26"/>
    <s v="Krmivo a maškrty – Mačky"/>
    <s v="Catissime"/>
    <n v="2"/>
    <n v="4"/>
    <s v="NULL"/>
    <s v=""/>
    <d v="2025-06-14T00:00:00"/>
    <n v="0"/>
    <n v="8"/>
    <x v="0"/>
    <x v="5"/>
    <x v="1"/>
  </r>
  <r>
    <x v="2296"/>
    <n v="4017890123450"/>
    <x v="16"/>
    <s v="Hračky – Psy"/>
    <s v="Dogissimo"/>
    <n v="7.6"/>
    <n v="1"/>
    <s v="NULL"/>
    <s v=""/>
    <d v="2025-06-14T00:00:00"/>
    <n v="0"/>
    <n v="7.6"/>
    <x v="0"/>
    <x v="5"/>
    <x v="0"/>
  </r>
  <r>
    <x v="2297"/>
    <n v="4014455667790"/>
    <x v="52"/>
    <s v="Pelechy a nábytok – Ostatné"/>
    <s v="Tlapka design"/>
    <n v="37.6"/>
    <n v="1"/>
    <s v="3"/>
    <s v="Pelech fajn, ale výplň by mohla byť pevnejší, inak spokojenost."/>
    <d v="2025-06-14T00:00:00"/>
    <n v="0"/>
    <n v="37.6"/>
    <x v="3"/>
    <x v="5"/>
    <x v="2"/>
  </r>
  <r>
    <x v="2298"/>
    <n v="4028899001126"/>
    <x v="1"/>
    <s v="Krmivo a maškrty – Psy"/>
    <s v="Pup Republic"/>
    <n v="2.8"/>
    <n v="4"/>
    <s v="NULL"/>
    <s v=""/>
    <d v="2025-06-14T00:00:00"/>
    <n v="0"/>
    <n v="11.2"/>
    <x v="0"/>
    <x v="5"/>
    <x v="0"/>
  </r>
  <r>
    <x v="2299"/>
    <n v="4013456789017"/>
    <x v="0"/>
    <s v="Krmivo a maškrty – Psy"/>
    <s v="Snouty"/>
    <n v="6"/>
    <n v="1"/>
    <s v="NULL"/>
    <s v=""/>
    <d v="2025-06-14T00:00:00"/>
    <n v="0"/>
    <n v="6"/>
    <x v="0"/>
    <x v="5"/>
    <x v="0"/>
  </r>
  <r>
    <x v="2300"/>
    <n v="4040123456795"/>
    <x v="2"/>
    <s v="Starostlivosť a hygiena – Psy"/>
    <s v="Dogissimo"/>
    <n v="8.8000000000000007"/>
    <n v="1"/>
    <s v="5"/>
    <s v="Najlepšie šampón pre citlivou koži, srsť jemná a voňavá."/>
    <d v="2025-06-14T00:00:00"/>
    <n v="0"/>
    <n v="8.8000000000000007"/>
    <x v="2"/>
    <x v="5"/>
    <x v="0"/>
  </r>
  <r>
    <x v="2301"/>
    <n v="4010123456783"/>
    <x v="6"/>
    <s v="Starostlivosť a hygiena – Mačky"/>
    <s v="BellaMeow"/>
    <n v="14"/>
    <n v="1"/>
    <s v="NULL"/>
    <s v=""/>
    <d v="2025-06-14T00:00:00"/>
    <n v="0"/>
    <n v="14"/>
    <x v="0"/>
    <x v="5"/>
    <x v="1"/>
  </r>
  <r>
    <x v="2302"/>
    <n v="4063456789014"/>
    <x v="15"/>
    <s v="Krmivo a maškrty – Psy"/>
    <s v="Pupco"/>
    <n v="36"/>
    <n v="1"/>
    <s v="NULL"/>
    <s v=""/>
    <d v="2025-06-14T00:00:00"/>
    <n v="0"/>
    <n v="36"/>
    <x v="0"/>
    <x v="5"/>
    <x v="0"/>
  </r>
  <r>
    <x v="2303"/>
    <n v="4021234567894"/>
    <x v="18"/>
    <s v="Starostlivosť a hygiena – Mačky"/>
    <s v="PawStyle"/>
    <n v="8"/>
    <n v="1"/>
    <s v="NULL"/>
    <s v=""/>
    <d v="2025-06-14T00:00:00"/>
    <n v="0"/>
    <n v="8"/>
    <x v="0"/>
    <x v="5"/>
    <x v="1"/>
  </r>
  <r>
    <x v="2304"/>
    <n v="4056789012345"/>
    <x v="11"/>
    <s v="Krmivo a maškrty – Mačky"/>
    <s v="BellaMeow"/>
    <n v="2.4"/>
    <n v="3"/>
    <s v="NULL"/>
    <s v=""/>
    <d v="2025-06-14T00:00:00"/>
    <n v="0"/>
    <n v="7.1999999999999993"/>
    <x v="0"/>
    <x v="5"/>
    <x v="1"/>
  </r>
  <r>
    <x v="2305"/>
    <n v="4061011223346"/>
    <x v="3"/>
    <s v="Oblečenie a doplnky – Psy"/>
    <s v="Tail Trend"/>
    <n v="19.600000000000001"/>
    <n v="1"/>
    <s v="NULL"/>
    <s v=""/>
    <d v="2025-06-14T00:00:00"/>
    <n v="0"/>
    <n v="19.600000000000001"/>
    <x v="0"/>
    <x v="5"/>
    <x v="0"/>
  </r>
  <r>
    <x v="2306"/>
    <n v="4026677889902"/>
    <x v="12"/>
    <s v="Misky a kŕmne doplnky – Ostatné"/>
    <s v="Pawsitive Gear"/>
    <n v="7.6"/>
    <n v="1"/>
    <s v="4"/>
    <s v="Miska stabilní, dobre sa myje, vhodná aj ven."/>
    <d v="2025-06-14T00:00:00"/>
    <n v="0"/>
    <n v="7.6"/>
    <x v="1"/>
    <x v="5"/>
    <x v="2"/>
  </r>
  <r>
    <x v="2307"/>
    <n v="8007890123454"/>
    <x v="53"/>
    <s v="Pelechy a nábytok – Mačky"/>
    <s v="BellaMeow"/>
    <n v="43.64"/>
    <n v="1"/>
    <s v="NULL"/>
    <s v=""/>
    <d v="2025-06-15T00:00:00"/>
    <n v="0"/>
    <n v="43.64"/>
    <x v="0"/>
    <x v="5"/>
    <x v="1"/>
  </r>
  <r>
    <x v="2308"/>
    <n v="4028899001126"/>
    <x v="1"/>
    <s v="Krmivo a maškrty – Psy"/>
    <s v="Pup Republic"/>
    <n v="2.8"/>
    <n v="5"/>
    <s v="NULL"/>
    <s v=""/>
    <d v="2025-06-15T00:00:00"/>
    <n v="0"/>
    <n v="14"/>
    <x v="0"/>
    <x v="5"/>
    <x v="0"/>
  </r>
  <r>
    <x v="2309"/>
    <n v="4013456789017"/>
    <x v="0"/>
    <s v="Krmivo a maškrty – Psy"/>
    <s v="Snouty"/>
    <n v="6"/>
    <n v="1"/>
    <s v="NULL"/>
    <s v=""/>
    <d v="2025-06-15T00:00:00"/>
    <n v="0"/>
    <n v="6"/>
    <x v="0"/>
    <x v="5"/>
    <x v="0"/>
  </r>
  <r>
    <x v="2310"/>
    <n v="4044567890123"/>
    <x v="27"/>
    <s v="Hračky – Mačky"/>
    <s v="BellaMeow"/>
    <n v="6"/>
    <n v="1"/>
    <s v="NULL"/>
    <s v=""/>
    <d v="2025-06-15T00:00:00"/>
    <n v="0"/>
    <n v="6"/>
    <x v="0"/>
    <x v="5"/>
    <x v="1"/>
  </r>
  <r>
    <x v="2311"/>
    <n v="4050123456794"/>
    <x v="8"/>
    <s v="Starostlivosť a hygiena – Mačky"/>
    <s v="Nordic Tail"/>
    <n v="7.2"/>
    <n v="1"/>
    <s v="NULL"/>
    <s v=""/>
    <d v="2025-06-15T00:00:00"/>
    <n v="0"/>
    <n v="7.2"/>
    <x v="0"/>
    <x v="5"/>
    <x v="1"/>
  </r>
  <r>
    <x v="2312"/>
    <n v="4025566778891"/>
    <x v="38"/>
    <s v="Misky a kŕmne doplnky – Mačky"/>
    <s v="Catissime"/>
    <n v="51.64"/>
    <n v="1"/>
    <s v="5"/>
    <s v="Tichý provoz a pekný dizajn, mačka u toho sedí pol dne."/>
    <d v="2025-06-15T00:00:00"/>
    <n v="0"/>
    <n v="51.64"/>
    <x v="2"/>
    <x v="5"/>
    <x v="1"/>
  </r>
  <r>
    <x v="2313"/>
    <n v="4055678901234"/>
    <x v="54"/>
    <s v="Hračky – Mačky"/>
    <s v="Nordic Tail"/>
    <n v="8"/>
    <n v="1"/>
    <s v="NULL"/>
    <s v=""/>
    <d v="2025-06-15T00:00:00"/>
    <n v="0"/>
    <n v="8"/>
    <x v="0"/>
    <x v="5"/>
    <x v="1"/>
  </r>
  <r>
    <x v="2314"/>
    <n v="4022345678908"/>
    <x v="55"/>
    <s v="Starostlivosť a hygiena – Psy"/>
    <s v="PawStyle"/>
    <n v="10"/>
    <n v="1"/>
    <s v="NULL"/>
    <s v=""/>
    <d v="2025-06-15T00:00:00"/>
    <n v="0"/>
    <n v="10"/>
    <x v="0"/>
    <x v="5"/>
    <x v="0"/>
  </r>
  <r>
    <x v="2315"/>
    <n v="4028899001126"/>
    <x v="1"/>
    <s v="Krmivo a maškrty – Psy"/>
    <s v="Pup Republic"/>
    <n v="2.8"/>
    <n v="4"/>
    <s v="NULL"/>
    <s v=""/>
    <d v="2025-06-15T00:00:00"/>
    <n v="0"/>
    <n v="11.2"/>
    <x v="0"/>
    <x v="5"/>
    <x v="0"/>
  </r>
  <r>
    <x v="2316"/>
    <n v="4013456789017"/>
    <x v="0"/>
    <s v="Krmivo a maškrty – Psy"/>
    <s v="Snouty"/>
    <n v="6"/>
    <n v="1"/>
    <s v="4"/>
    <s v="Pes sa na ne teší, ideálne odmena."/>
    <d v="2025-06-15T00:00:00"/>
    <n v="0"/>
    <n v="6"/>
    <x v="1"/>
    <x v="5"/>
    <x v="0"/>
  </r>
  <r>
    <x v="2317"/>
    <n v="4040123456795"/>
    <x v="2"/>
    <s v="Starostlivosť a hygiena – Psy"/>
    <s v="Dogissimo"/>
    <n v="8.8000000000000007"/>
    <n v="1"/>
    <s v="NULL"/>
    <s v=""/>
    <d v="2025-06-15T00:00:00"/>
    <n v="0"/>
    <n v="8.8000000000000007"/>
    <x v="0"/>
    <x v="5"/>
    <x v="0"/>
  </r>
  <r>
    <x v="2318"/>
    <n v="4010123456783"/>
    <x v="6"/>
    <s v="Starostlivosť a hygiena – Mačky"/>
    <s v="BellaMeow"/>
    <n v="14"/>
    <n v="1"/>
    <s v="NULL"/>
    <s v=""/>
    <d v="2025-06-15T00:00:00"/>
    <n v="0"/>
    <n v="14"/>
    <x v="0"/>
    <x v="5"/>
    <x v="1"/>
  </r>
  <r>
    <x v="2319"/>
    <n v="4063456789014"/>
    <x v="15"/>
    <s v="Krmivo a maškrty – Psy"/>
    <s v="Pupco"/>
    <n v="36"/>
    <n v="1"/>
    <s v="NULL"/>
    <s v=""/>
    <d v="2025-06-15T00:00:00"/>
    <n v="0"/>
    <n v="36"/>
    <x v="0"/>
    <x v="5"/>
    <x v="0"/>
  </r>
  <r>
    <x v="2320"/>
    <n v="4021234567894"/>
    <x v="18"/>
    <s v="Starostlivosť a hygiena – Mačky"/>
    <s v="PawStyle"/>
    <n v="8"/>
    <n v="1"/>
    <s v="NULL"/>
    <s v=""/>
    <d v="2025-06-15T00:00:00"/>
    <n v="0"/>
    <n v="8"/>
    <x v="0"/>
    <x v="5"/>
    <x v="1"/>
  </r>
  <r>
    <x v="2321"/>
    <n v="4056789012345"/>
    <x v="11"/>
    <s v="Krmivo a maškrty – Mačky"/>
    <s v="BellaMeow"/>
    <n v="2.4"/>
    <n v="3"/>
    <s v="NULL"/>
    <s v=""/>
    <d v="2025-06-15T00:00:00"/>
    <n v="0"/>
    <n v="7.1999999999999993"/>
    <x v="0"/>
    <x v="5"/>
    <x v="1"/>
  </r>
  <r>
    <x v="2322"/>
    <n v="4061011223346"/>
    <x v="3"/>
    <s v="Oblečenie a doplnky – Psy"/>
    <s v="Tail Trend"/>
    <n v="19.600000000000001"/>
    <n v="1"/>
    <s v="4"/>
    <s v="Pevné vôdzka, ale lehce ťažší na menší psy."/>
    <d v="2025-06-15T00:00:00"/>
    <n v="0"/>
    <n v="19.600000000000001"/>
    <x v="1"/>
    <x v="5"/>
    <x v="0"/>
  </r>
  <r>
    <x v="2323"/>
    <n v="4026677889902"/>
    <x v="12"/>
    <s v="Misky a kŕmne doplnky – Ostatné"/>
    <s v="Pawsitive Gear"/>
    <n v="7.6"/>
    <n v="1"/>
    <s v="NULL"/>
    <s v=""/>
    <d v="2025-06-15T00:00:00"/>
    <n v="0"/>
    <n v="7.6"/>
    <x v="0"/>
    <x v="5"/>
    <x v="2"/>
  </r>
  <r>
    <x v="2324"/>
    <n v="4028899001126"/>
    <x v="1"/>
    <s v="Krmivo a maškrty – Psy"/>
    <s v="Pup Republic"/>
    <n v="2.8"/>
    <n v="4"/>
    <s v="NULL"/>
    <s v=""/>
    <d v="2025-06-16T00:00:00"/>
    <n v="0"/>
    <n v="11.2"/>
    <x v="0"/>
    <x v="5"/>
    <x v="0"/>
  </r>
  <r>
    <x v="2325"/>
    <n v="4013456789017"/>
    <x v="0"/>
    <s v="Krmivo a maškrty – Psy"/>
    <s v="Snouty"/>
    <n v="6"/>
    <n v="1"/>
    <s v="NULL"/>
    <s v=""/>
    <d v="2025-06-16T00:00:00"/>
    <n v="0"/>
    <n v="6"/>
    <x v="0"/>
    <x v="5"/>
    <x v="0"/>
  </r>
  <r>
    <x v="2326"/>
    <n v="4040123456795"/>
    <x v="2"/>
    <s v="Starostlivosť a hygiena – Psy"/>
    <s v="Dogissimo"/>
    <n v="8.8000000000000007"/>
    <n v="1"/>
    <s v="NULL"/>
    <s v=""/>
    <d v="2025-06-16T00:00:00"/>
    <n v="0"/>
    <n v="8.8000000000000007"/>
    <x v="0"/>
    <x v="5"/>
    <x v="0"/>
  </r>
  <r>
    <x v="2327"/>
    <n v="4010123456783"/>
    <x v="6"/>
    <s v="Starostlivosť a hygiena – Mačky"/>
    <s v="BellaMeow"/>
    <n v="14"/>
    <n v="1"/>
    <s v="NULL"/>
    <s v=""/>
    <d v="2025-06-16T00:00:00"/>
    <n v="0"/>
    <n v="14"/>
    <x v="0"/>
    <x v="5"/>
    <x v="1"/>
  </r>
  <r>
    <x v="2328"/>
    <n v="4063456789014"/>
    <x v="15"/>
    <s v="Krmivo a maškrty – Psy"/>
    <s v="Pupco"/>
    <n v="36"/>
    <n v="1"/>
    <s v="5"/>
    <s v="Pes to zbožňuje tyto granuly, balenie vydrží dlho."/>
    <d v="2025-06-16T00:00:00"/>
    <n v="0"/>
    <n v="36"/>
    <x v="2"/>
    <x v="5"/>
    <x v="0"/>
  </r>
  <r>
    <x v="2329"/>
    <n v="4021234567894"/>
    <x v="18"/>
    <s v="Starostlivosť a hygiena – Mačky"/>
    <s v="PawStyle"/>
    <n v="8"/>
    <n v="1"/>
    <s v="NULL"/>
    <s v=""/>
    <d v="2025-06-16T00:00:00"/>
    <n v="0"/>
    <n v="8"/>
    <x v="0"/>
    <x v="5"/>
    <x v="1"/>
  </r>
  <r>
    <x v="2330"/>
    <n v="4056789012345"/>
    <x v="11"/>
    <s v="Krmivo a maškrty – Mačky"/>
    <s v="BellaMeow"/>
    <n v="2.4"/>
    <n v="2"/>
    <s v="NULL"/>
    <s v=""/>
    <d v="2025-06-16T00:00:00"/>
    <n v="0"/>
    <n v="4.8"/>
    <x v="0"/>
    <x v="5"/>
    <x v="1"/>
  </r>
  <r>
    <x v="2331"/>
    <n v="4061011223346"/>
    <x v="3"/>
    <s v="Oblečenie a doplnky – Psy"/>
    <s v="Tail Trend"/>
    <n v="19.600000000000001"/>
    <n v="1"/>
    <s v="NULL"/>
    <s v=""/>
    <d v="2025-06-16T00:00:00"/>
    <n v="0"/>
    <n v="19.600000000000001"/>
    <x v="0"/>
    <x v="5"/>
    <x v="0"/>
  </r>
  <r>
    <x v="2332"/>
    <n v="4026677889902"/>
    <x v="12"/>
    <s v="Misky a kŕmne doplnky – Ostatné"/>
    <s v="Pawsitive Gear"/>
    <n v="7.6"/>
    <n v="1"/>
    <s v="NULL"/>
    <s v=""/>
    <d v="2025-06-16T00:00:00"/>
    <n v="0"/>
    <n v="7.6"/>
    <x v="0"/>
    <x v="5"/>
    <x v="2"/>
  </r>
  <r>
    <x v="2333"/>
    <n v="4028899001126"/>
    <x v="1"/>
    <s v="Krmivo a maškrty – Psy"/>
    <s v="Pup Republic"/>
    <n v="2.8"/>
    <n v="3"/>
    <s v="NULL"/>
    <s v=""/>
    <d v="2025-06-16T00:00:00"/>
    <n v="0"/>
    <n v="8.3999999999999986"/>
    <x v="0"/>
    <x v="5"/>
    <x v="0"/>
  </r>
  <r>
    <x v="2334"/>
    <n v="4013456789017"/>
    <x v="0"/>
    <s v="Krmivo a maškrty – Psy"/>
    <s v="Snouty"/>
    <n v="6"/>
    <n v="1"/>
    <s v="4"/>
    <s v="Dobrý pomer ceny a kvality, pes sa učí rád."/>
    <d v="2025-06-16T00:00:00"/>
    <n v="0"/>
    <n v="6"/>
    <x v="1"/>
    <x v="5"/>
    <x v="0"/>
  </r>
  <r>
    <x v="2335"/>
    <n v="4044567890123"/>
    <x v="27"/>
    <s v="Hračky – Mačky"/>
    <s v="BellaMeow"/>
    <n v="6"/>
    <n v="1"/>
    <s v="NULL"/>
    <s v=""/>
    <d v="2025-06-16T00:00:00"/>
    <n v="0"/>
    <n v="6"/>
    <x v="0"/>
    <x v="5"/>
    <x v="1"/>
  </r>
  <r>
    <x v="2336"/>
    <n v="8006789012345"/>
    <x v="29"/>
    <s v="Starostlivosť a hygiena – Mačky"/>
    <s v="Tlapka design"/>
    <n v="8"/>
    <n v="1"/>
    <s v="NULL"/>
    <s v=""/>
    <d v="2025-06-16T00:00:00"/>
    <n v="0"/>
    <n v="8"/>
    <x v="0"/>
    <x v="5"/>
    <x v="1"/>
  </r>
  <r>
    <x v="2337"/>
    <n v="4046789012356"/>
    <x v="30"/>
    <s v="Hračky – Psy"/>
    <s v="Pupco"/>
    <n v="6.4"/>
    <n v="1"/>
    <s v="5"/>
    <s v="Skvelý balonek na hru v parku, vydržel celé leto."/>
    <d v="2025-06-16T00:00:00"/>
    <n v="0"/>
    <n v="6.4"/>
    <x v="2"/>
    <x v="5"/>
    <x v="0"/>
  </r>
  <r>
    <x v="2338"/>
    <n v="4000123456786"/>
    <x v="31"/>
    <s v="Starostlivosť a hygiena – Psy"/>
    <s v="Tail Trend"/>
    <n v="6.8"/>
    <n v="1"/>
    <s v="NULL"/>
    <s v=""/>
    <d v="2025-06-16T00:00:00"/>
    <n v="0"/>
    <n v="6.8"/>
    <x v="0"/>
    <x v="5"/>
    <x v="0"/>
  </r>
  <r>
    <x v="2339"/>
    <n v="4028899001126"/>
    <x v="1"/>
    <s v="Krmivo a maškrty – Psy"/>
    <s v="Pup Republic"/>
    <n v="2.8"/>
    <n v="3"/>
    <s v="NULL"/>
    <s v=""/>
    <d v="2025-06-17T00:00:00"/>
    <n v="0"/>
    <n v="8.3999999999999986"/>
    <x v="0"/>
    <x v="5"/>
    <x v="0"/>
  </r>
  <r>
    <x v="2340"/>
    <n v="4013456789017"/>
    <x v="0"/>
    <s v="Krmivo a maškrty – Psy"/>
    <s v="Snouty"/>
    <n v="6"/>
    <n v="2"/>
    <s v="NULL"/>
    <s v=""/>
    <d v="2025-06-17T00:00:00"/>
    <n v="0"/>
    <n v="12"/>
    <x v="0"/>
    <x v="5"/>
    <x v="0"/>
  </r>
  <r>
    <x v="2341"/>
    <n v="4040123456795"/>
    <x v="2"/>
    <s v="Starostlivosť a hygiena – Psy"/>
    <s v="Dogissimo"/>
    <n v="8.8000000000000007"/>
    <n v="1"/>
    <s v="NULL"/>
    <s v=""/>
    <d v="2025-06-17T00:00:00"/>
    <n v="0"/>
    <n v="8.8000000000000007"/>
    <x v="0"/>
    <x v="5"/>
    <x v="0"/>
  </r>
  <r>
    <x v="2342"/>
    <n v="4010123456783"/>
    <x v="6"/>
    <s v="Starostlivosť a hygiena – Mačky"/>
    <s v="BellaMeow"/>
    <n v="14"/>
    <n v="1"/>
    <s v="NULL"/>
    <s v=""/>
    <d v="2025-06-17T00:00:00"/>
    <n v="0"/>
    <n v="14"/>
    <x v="0"/>
    <x v="5"/>
    <x v="1"/>
  </r>
  <r>
    <x v="2343"/>
    <n v="4063456789014"/>
    <x v="15"/>
    <s v="Krmivo a maškrty – Psy"/>
    <s v="Pupco"/>
    <n v="36"/>
    <n v="1"/>
    <s v="5"/>
    <s v="Pes vyzerá zdravo, dobre tráví, spokojenost."/>
    <d v="2025-06-17T00:00:00"/>
    <n v="0"/>
    <n v="36"/>
    <x v="2"/>
    <x v="5"/>
    <x v="0"/>
  </r>
  <r>
    <x v="2344"/>
    <n v="4021234567894"/>
    <x v="18"/>
    <s v="Starostlivosť a hygiena – Mačky"/>
    <s v="PawStyle"/>
    <n v="8"/>
    <n v="1"/>
    <s v="NULL"/>
    <s v=""/>
    <d v="2025-06-17T00:00:00"/>
    <n v="0"/>
    <n v="8"/>
    <x v="0"/>
    <x v="5"/>
    <x v="1"/>
  </r>
  <r>
    <x v="2345"/>
    <n v="4056789012345"/>
    <x v="11"/>
    <s v="Krmivo a maškrty – Mačky"/>
    <s v="BellaMeow"/>
    <n v="2.4"/>
    <n v="2"/>
    <s v="NULL"/>
    <s v=""/>
    <d v="2025-06-17T00:00:00"/>
    <n v="0"/>
    <n v="4.8"/>
    <x v="0"/>
    <x v="5"/>
    <x v="1"/>
  </r>
  <r>
    <x v="2346"/>
    <n v="4061011223346"/>
    <x v="3"/>
    <s v="Oblečenie a doplnky – Psy"/>
    <s v="Tail Trend"/>
    <n v="19.600000000000001"/>
    <n v="1"/>
    <s v="NULL"/>
    <s v=""/>
    <d v="2025-06-17T00:00:00"/>
    <n v="0"/>
    <n v="19.600000000000001"/>
    <x v="0"/>
    <x v="5"/>
    <x v="0"/>
  </r>
  <r>
    <x v="2347"/>
    <n v="4026677889902"/>
    <x v="12"/>
    <s v="Misky a kŕmne doplnky – Ostatné"/>
    <s v="Pawsitive Gear"/>
    <n v="7.6"/>
    <n v="1"/>
    <s v="NULL"/>
    <s v=""/>
    <d v="2025-06-17T00:00:00"/>
    <n v="0"/>
    <n v="7.6"/>
    <x v="0"/>
    <x v="5"/>
    <x v="2"/>
  </r>
  <r>
    <x v="2348"/>
    <n v="4028899001126"/>
    <x v="1"/>
    <s v="Krmivo a maškrty – Psy"/>
    <s v="Pup Republic"/>
    <n v="2.8"/>
    <n v="4"/>
    <s v="NULL"/>
    <s v=""/>
    <d v="2025-06-17T00:00:00"/>
    <n v="0"/>
    <n v="11.2"/>
    <x v="0"/>
    <x v="5"/>
    <x v="0"/>
  </r>
  <r>
    <x v="2349"/>
    <n v="4013456789017"/>
    <x v="0"/>
    <s v="Krmivo a maškrty – Psy"/>
    <s v="Snouty"/>
    <n v="6"/>
    <n v="1"/>
    <s v="NULL"/>
    <s v=""/>
    <d v="2025-06-17T00:00:00"/>
    <n v="0"/>
    <n v="6"/>
    <x v="0"/>
    <x v="5"/>
    <x v="0"/>
  </r>
  <r>
    <x v="2350"/>
    <n v="4047890123460"/>
    <x v="40"/>
    <s v="Oblečenie a doplnky – Mačky"/>
    <s v="Pawtastic"/>
    <n v="10"/>
    <n v="1"/>
    <s v="4"/>
    <s v="Reflexný prúžok je vidieť aj večer, drží sa pohodlne."/>
    <d v="2025-06-17T00:00:00"/>
    <n v="0"/>
    <n v="10"/>
    <x v="1"/>
    <x v="5"/>
    <x v="1"/>
  </r>
  <r>
    <x v="2351"/>
    <n v="4028899001126"/>
    <x v="1"/>
    <s v="Krmivo a maškrty – Psy"/>
    <s v="Pup Republic"/>
    <n v="2.8"/>
    <n v="4"/>
    <s v="NULL"/>
    <s v=""/>
    <d v="2025-06-18T00:00:00"/>
    <n v="0"/>
    <n v="11.2"/>
    <x v="0"/>
    <x v="5"/>
    <x v="0"/>
  </r>
  <r>
    <x v="2352"/>
    <n v="4013456789017"/>
    <x v="0"/>
    <s v="Krmivo a maškrty – Psy"/>
    <s v="Snouty"/>
    <n v="6"/>
    <n v="1"/>
    <s v="4"/>
    <s v="Perfektná odmena pri tréningu, pes sa viac sústredí."/>
    <d v="2025-06-18T00:00:00"/>
    <n v="0"/>
    <n v="6"/>
    <x v="1"/>
    <x v="5"/>
    <x v="0"/>
  </r>
  <r>
    <x v="2353"/>
    <n v="4040123456795"/>
    <x v="2"/>
    <s v="Starostlivosť a hygiena – Psy"/>
    <s v="Dogissimo"/>
    <n v="8.8000000000000007"/>
    <n v="1"/>
    <s v="NULL"/>
    <s v=""/>
    <d v="2025-06-18T00:00:00"/>
    <n v="0"/>
    <n v="8.8000000000000007"/>
    <x v="0"/>
    <x v="5"/>
    <x v="0"/>
  </r>
  <r>
    <x v="2354"/>
    <n v="4010123456783"/>
    <x v="6"/>
    <s v="Starostlivosť a hygiena – Mačky"/>
    <s v="BellaMeow"/>
    <n v="14"/>
    <n v="1"/>
    <s v="NULL"/>
    <s v=""/>
    <d v="2025-06-18T00:00:00"/>
    <n v="0"/>
    <n v="14"/>
    <x v="0"/>
    <x v="5"/>
    <x v="1"/>
  </r>
  <r>
    <x v="2355"/>
    <n v="4063456789014"/>
    <x v="15"/>
    <s v="Krmivo a maškrty – Psy"/>
    <s v="Pupco"/>
    <n v="36"/>
    <n v="1"/>
    <s v="5"/>
    <s v="Granuly vonia masem, pes žerie bez problémov a má lesklú srsť."/>
    <d v="2025-06-18T00:00:00"/>
    <n v="0"/>
    <n v="36"/>
    <x v="2"/>
    <x v="5"/>
    <x v="0"/>
  </r>
  <r>
    <x v="2356"/>
    <n v="4021234567894"/>
    <x v="18"/>
    <s v="Starostlivosť a hygiena – Mačky"/>
    <s v="PawStyle"/>
    <n v="8"/>
    <n v="1"/>
    <s v="NULL"/>
    <s v=""/>
    <d v="2025-06-18T00:00:00"/>
    <n v="0"/>
    <n v="8"/>
    <x v="0"/>
    <x v="5"/>
    <x v="1"/>
  </r>
  <r>
    <x v="2357"/>
    <n v="4056789012345"/>
    <x v="11"/>
    <s v="Krmivo a maškrty – Mačky"/>
    <s v="BellaMeow"/>
    <n v="2.4"/>
    <n v="3"/>
    <s v="NULL"/>
    <s v=""/>
    <d v="2025-06-18T00:00:00"/>
    <n v="0"/>
    <n v="7.1999999999999993"/>
    <x v="0"/>
    <x v="5"/>
    <x v="1"/>
  </r>
  <r>
    <x v="2358"/>
    <n v="4061011223346"/>
    <x v="3"/>
    <s v="Oblečenie a doplnky – Psy"/>
    <s v="Tail Trend"/>
    <n v="19.600000000000001"/>
    <n v="1"/>
    <s v="4"/>
    <s v="Veľmi pohodlné vôdzka, používam každý deň."/>
    <d v="2025-06-18T00:00:00"/>
    <n v="0"/>
    <n v="19.600000000000001"/>
    <x v="1"/>
    <x v="5"/>
    <x v="0"/>
  </r>
  <r>
    <x v="2359"/>
    <n v="4026677889902"/>
    <x v="12"/>
    <s v="Misky a kŕmne doplnky – Ostatné"/>
    <s v="Pawsitive Gear"/>
    <n v="7.6"/>
    <n v="1"/>
    <s v="NULL"/>
    <s v=""/>
    <d v="2025-06-18T00:00:00"/>
    <n v="0"/>
    <n v="7.6"/>
    <x v="0"/>
    <x v="5"/>
    <x v="2"/>
  </r>
  <r>
    <x v="2360"/>
    <n v="4028899001126"/>
    <x v="1"/>
    <s v="Krmivo a maškrty – Psy"/>
    <s v="Pup Republic"/>
    <n v="2.8"/>
    <n v="3"/>
    <s v="NULL"/>
    <s v=""/>
    <d v="2025-06-18T00:00:00"/>
    <n v="0"/>
    <n v="8.3999999999999986"/>
    <x v="0"/>
    <x v="5"/>
    <x v="0"/>
  </r>
  <r>
    <x v="2361"/>
    <n v="4013456789017"/>
    <x v="0"/>
    <s v="Krmivo a maškrty – Psy"/>
    <s v="Snouty"/>
    <n v="6"/>
    <n v="2"/>
    <s v="NULL"/>
    <s v=""/>
    <d v="2025-06-18T00:00:00"/>
    <n v="0"/>
    <n v="12"/>
    <x v="0"/>
    <x v="5"/>
    <x v="0"/>
  </r>
  <r>
    <x v="2362"/>
    <n v="4044567890123"/>
    <x v="27"/>
    <s v="Hračky – Mačky"/>
    <s v="BellaMeow"/>
    <n v="6"/>
    <n v="1"/>
    <s v="NULL"/>
    <s v=""/>
    <d v="2025-06-18T00:00:00"/>
    <n v="0"/>
    <n v="6"/>
    <x v="0"/>
    <x v="5"/>
    <x v="1"/>
  </r>
  <r>
    <x v="2363"/>
    <n v="8006789012345"/>
    <x v="29"/>
    <s v="Starostlivosť a hygiena – Mačky"/>
    <s v="Tlapka design"/>
    <n v="8"/>
    <n v="1"/>
    <s v="3"/>
    <s v="Kefa dobrý, ale mačka sa po chvílaj brání, asi škriabe."/>
    <d v="2025-06-18T00:00:00"/>
    <n v="0"/>
    <n v="8"/>
    <x v="3"/>
    <x v="5"/>
    <x v="1"/>
  </r>
  <r>
    <x v="2364"/>
    <n v="4046789012356"/>
    <x v="30"/>
    <s v="Hračky – Psy"/>
    <s v="Pupco"/>
    <n v="6.4"/>
    <n v="1"/>
    <s v="NULL"/>
    <s v=""/>
    <d v="2025-06-18T00:00:00"/>
    <n v="0"/>
    <n v="6.4"/>
    <x v="0"/>
    <x v="5"/>
    <x v="0"/>
  </r>
  <r>
    <x v="2365"/>
    <n v="4000123456786"/>
    <x v="31"/>
    <s v="Starostlivosť a hygiena – Psy"/>
    <s v="Tail Trend"/>
    <n v="6.8"/>
    <n v="1"/>
    <s v="NULL"/>
    <s v=""/>
    <d v="2025-06-18T00:00:00"/>
    <n v="0"/>
    <n v="6.8"/>
    <x v="0"/>
    <x v="5"/>
    <x v="0"/>
  </r>
  <r>
    <x v="2366"/>
    <n v="8596677889011"/>
    <x v="37"/>
    <s v="Krmivo a maškrty – Mačky"/>
    <s v="Catissime"/>
    <n v="35.200000000000003"/>
    <n v="1"/>
    <s v="5"/>
    <s v="Mačke chutnají viac ako jakékoliv iné, výborná kvalita."/>
    <d v="2025-06-19T00:00:00"/>
    <n v="0"/>
    <n v="35.200000000000003"/>
    <x v="2"/>
    <x v="5"/>
    <x v="1"/>
  </r>
  <r>
    <x v="2367"/>
    <n v="4058899001125"/>
    <x v="50"/>
    <s v="Hračky – Mačky"/>
    <s v="Pawtastic"/>
    <n v="10.4"/>
    <n v="1"/>
    <s v="NULL"/>
    <s v=""/>
    <d v="2025-06-19T00:00:00"/>
    <n v="0"/>
    <n v="10.4"/>
    <x v="0"/>
    <x v="5"/>
    <x v="1"/>
  </r>
  <r>
    <x v="2368"/>
    <n v="4027788990013"/>
    <x v="9"/>
    <s v="Starostlivosť a hygiena – Psy"/>
    <s v="Dogissimo"/>
    <n v="8"/>
    <n v="1"/>
    <s v="NULL"/>
    <s v=""/>
    <d v="2025-06-19T00:00:00"/>
    <n v="0"/>
    <n v="8"/>
    <x v="0"/>
    <x v="5"/>
    <x v="0"/>
  </r>
  <r>
    <x v="2369"/>
    <n v="4066677889903"/>
    <x v="51"/>
    <s v="Misky a kŕmne doplnky – Mačky"/>
    <s v="Nordic Tail"/>
    <n v="59.64"/>
    <n v="1"/>
    <s v="5"/>
    <s v="Dávkuje presne, žiadne zaseknutí, spokojenost po týždni používání."/>
    <d v="2025-06-19T00:00:00"/>
    <n v="0"/>
    <n v="59.64"/>
    <x v="2"/>
    <x v="5"/>
    <x v="1"/>
  </r>
  <r>
    <x v="2370"/>
    <n v="4006677889904"/>
    <x v="26"/>
    <s v="Krmivo a maškrty – Mačky"/>
    <s v="Catissime"/>
    <n v="2"/>
    <n v="4"/>
    <s v="NULL"/>
    <s v=""/>
    <d v="2025-06-19T00:00:00"/>
    <n v="0"/>
    <n v="8"/>
    <x v="0"/>
    <x v="5"/>
    <x v="1"/>
  </r>
  <r>
    <x v="2371"/>
    <n v="4017890123450"/>
    <x v="16"/>
    <s v="Hračky – Psy"/>
    <s v="Dogissimo"/>
    <n v="7.6"/>
    <n v="1"/>
    <s v="NULL"/>
    <s v=""/>
    <d v="2025-06-19T00:00:00"/>
    <n v="0"/>
    <n v="7.6"/>
    <x v="0"/>
    <x v="5"/>
    <x v="0"/>
  </r>
  <r>
    <x v="2372"/>
    <n v="4014455667790"/>
    <x v="52"/>
    <s v="Pelechy a nábytok – Ostatné"/>
    <s v="Tlapka design"/>
    <n v="37.6"/>
    <n v="1"/>
    <s v="NULL"/>
    <s v=""/>
    <d v="2025-06-19T00:00:00"/>
    <n v="0"/>
    <n v="37.6"/>
    <x v="0"/>
    <x v="5"/>
    <x v="2"/>
  </r>
  <r>
    <x v="2373"/>
    <n v="4028899001126"/>
    <x v="1"/>
    <s v="Krmivo a maškrty – Psy"/>
    <s v="Pup Republic"/>
    <n v="2.8"/>
    <n v="5"/>
    <s v="NULL"/>
    <s v=""/>
    <d v="2025-06-19T00:00:00"/>
    <n v="0"/>
    <n v="14"/>
    <x v="0"/>
    <x v="5"/>
    <x v="0"/>
  </r>
  <r>
    <x v="2374"/>
    <n v="4013456789017"/>
    <x v="0"/>
    <s v="Krmivo a maškrty – Psy"/>
    <s v="Snouty"/>
    <n v="6"/>
    <n v="1"/>
    <s v="NULL"/>
    <s v=""/>
    <d v="2025-06-19T00:00:00"/>
    <n v="0"/>
    <n v="6"/>
    <x v="0"/>
    <x v="5"/>
    <x v="0"/>
  </r>
  <r>
    <x v="2375"/>
    <n v="4040123456795"/>
    <x v="2"/>
    <s v="Starostlivosť a hygiena – Psy"/>
    <s v="Dogissimo"/>
    <n v="8.8000000000000007"/>
    <n v="1"/>
    <s v="4"/>
    <s v="Jemný, vhodný pre šteniatko aj dospelého psa."/>
    <d v="2025-06-19T00:00:00"/>
    <n v="0"/>
    <n v="8.8000000000000007"/>
    <x v="1"/>
    <x v="5"/>
    <x v="0"/>
  </r>
  <r>
    <x v="2376"/>
    <n v="4010123456783"/>
    <x v="6"/>
    <s v="Starostlivosť a hygiena – Mačky"/>
    <s v="BellaMeow"/>
    <n v="14"/>
    <n v="1"/>
    <s v="NULL"/>
    <s v=""/>
    <d v="2025-06-19T00:00:00"/>
    <n v="0"/>
    <n v="14"/>
    <x v="0"/>
    <x v="5"/>
    <x v="1"/>
  </r>
  <r>
    <x v="2377"/>
    <n v="4063456789014"/>
    <x v="15"/>
    <s v="Krmivo a maškrty – Psy"/>
    <s v="Pupco"/>
    <n v="36"/>
    <n v="1"/>
    <s v="NULL"/>
    <s v=""/>
    <d v="2025-06-19T00:00:00"/>
    <n v="0"/>
    <n v="36"/>
    <x v="0"/>
    <x v="5"/>
    <x v="0"/>
  </r>
  <r>
    <x v="2378"/>
    <n v="4021234567894"/>
    <x v="18"/>
    <s v="Starostlivosť a hygiena – Mačky"/>
    <s v="PawStyle"/>
    <n v="8"/>
    <n v="1"/>
    <s v="NULL"/>
    <s v=""/>
    <d v="2025-06-19T00:00:00"/>
    <n v="0"/>
    <n v="8"/>
    <x v="0"/>
    <x v="5"/>
    <x v="1"/>
  </r>
  <r>
    <x v="2379"/>
    <n v="4056789012345"/>
    <x v="11"/>
    <s v="Krmivo a maškrty – Mačky"/>
    <s v="BellaMeow"/>
    <n v="2.4"/>
    <n v="3"/>
    <s v="NULL"/>
    <s v=""/>
    <d v="2025-06-19T00:00:00"/>
    <n v="0"/>
    <n v="7.1999999999999993"/>
    <x v="0"/>
    <x v="5"/>
    <x v="1"/>
  </r>
  <r>
    <x v="2380"/>
    <n v="4061011223346"/>
    <x v="3"/>
    <s v="Oblečenie a doplnky – Psy"/>
    <s v="Tail Trend"/>
    <n v="19.600000000000001"/>
    <n v="1"/>
    <s v="NULL"/>
    <s v=""/>
    <d v="2025-06-19T00:00:00"/>
    <n v="0"/>
    <n v="19.600000000000001"/>
    <x v="0"/>
    <x v="5"/>
    <x v="0"/>
  </r>
  <r>
    <x v="2381"/>
    <n v="4026677889902"/>
    <x v="12"/>
    <s v="Misky a kŕmne doplnky – Ostatné"/>
    <s v="Pawsitive Gear"/>
    <n v="7.6"/>
    <n v="1"/>
    <s v="NULL"/>
    <s v=""/>
    <d v="2025-06-19T00:00:00"/>
    <n v="0"/>
    <n v="7.6"/>
    <x v="0"/>
    <x v="5"/>
    <x v="2"/>
  </r>
  <r>
    <x v="2382"/>
    <n v="4028899001126"/>
    <x v="1"/>
    <s v="Krmivo a maškrty – Psy"/>
    <s v="Pup Republic"/>
    <n v="2.8"/>
    <n v="3"/>
    <s v="NULL"/>
    <s v=""/>
    <d v="2025-06-20T00:00:00"/>
    <n v="0"/>
    <n v="8.3999999999999986"/>
    <x v="0"/>
    <x v="5"/>
    <x v="0"/>
  </r>
  <r>
    <x v="2383"/>
    <n v="4013456789017"/>
    <x v="0"/>
    <s v="Krmivo a maškrty – Psy"/>
    <s v="Snouty"/>
    <n v="6"/>
    <n v="2"/>
    <s v="NULL"/>
    <s v=""/>
    <d v="2025-06-20T00:00:00"/>
    <n v="0"/>
    <n v="12"/>
    <x v="0"/>
    <x v="5"/>
    <x v="0"/>
  </r>
  <r>
    <x v="2384"/>
    <n v="4044567890123"/>
    <x v="27"/>
    <s v="Hračky – Mačky"/>
    <s v="BellaMeow"/>
    <n v="6"/>
    <n v="1"/>
    <s v="3"/>
    <s v="Mačka sa s tým hraje krátce, ale občas sa k tomu vrátí."/>
    <d v="2025-06-20T00:00:00"/>
    <n v="0"/>
    <n v="6"/>
    <x v="3"/>
    <x v="5"/>
    <x v="1"/>
  </r>
  <r>
    <x v="2385"/>
    <n v="4050123456794"/>
    <x v="8"/>
    <s v="Starostlivosť a hygiena – Mačky"/>
    <s v="Nordic Tail"/>
    <n v="7.2"/>
    <n v="1"/>
    <s v="NULL"/>
    <s v=""/>
    <d v="2025-06-20T00:00:00"/>
    <n v="0"/>
    <n v="7.2"/>
    <x v="0"/>
    <x v="5"/>
    <x v="1"/>
  </r>
  <r>
    <x v="2386"/>
    <n v="4025566778891"/>
    <x v="38"/>
    <s v="Misky a kŕmne doplnky – Mačky"/>
    <s v="Catissime"/>
    <n v="51.64"/>
    <n v="1"/>
    <s v="NULL"/>
    <s v=""/>
    <d v="2025-06-20T00:00:00"/>
    <n v="0"/>
    <n v="51.64"/>
    <x v="0"/>
    <x v="5"/>
    <x v="1"/>
  </r>
  <r>
    <x v="2387"/>
    <n v="4055678901234"/>
    <x v="54"/>
    <s v="Hračky – Mačky"/>
    <s v="Nordic Tail"/>
    <n v="8"/>
    <n v="1"/>
    <s v="NULL"/>
    <s v=""/>
    <d v="2025-06-20T00:00:00"/>
    <n v="0"/>
    <n v="8"/>
    <x v="0"/>
    <x v="5"/>
    <x v="1"/>
  </r>
  <r>
    <x v="2388"/>
    <n v="4022345678908"/>
    <x v="55"/>
    <s v="Starostlivosť a hygiena – Psy"/>
    <s v="PawStyle"/>
    <n v="10"/>
    <n v="1"/>
    <s v="NULL"/>
    <s v=""/>
    <d v="2025-06-20T00:00:00"/>
    <n v="0"/>
    <n v="10"/>
    <x v="0"/>
    <x v="5"/>
    <x v="0"/>
  </r>
  <r>
    <x v="2389"/>
    <n v="4028899001126"/>
    <x v="1"/>
    <s v="Krmivo a maškrty – Psy"/>
    <s v="Pup Republic"/>
    <n v="2.8"/>
    <n v="4"/>
    <s v="5"/>
    <s v="Pes šťastný, miska prázdna za minutu, výborné zloženie."/>
    <d v="2025-06-20T00:00:00"/>
    <n v="0"/>
    <n v="11.2"/>
    <x v="2"/>
    <x v="5"/>
    <x v="0"/>
  </r>
  <r>
    <x v="2390"/>
    <n v="4013456789017"/>
    <x v="0"/>
    <s v="Krmivo a maškrty – Psy"/>
    <s v="Snouty"/>
    <n v="6"/>
    <n v="1"/>
    <s v="NULL"/>
    <s v=""/>
    <d v="2025-06-20T00:00:00"/>
    <n v="0"/>
    <n v="6"/>
    <x v="0"/>
    <x v="5"/>
    <x v="0"/>
  </r>
  <r>
    <x v="2391"/>
    <n v="4040123456795"/>
    <x v="2"/>
    <s v="Starostlivosť a hygiena – Psy"/>
    <s v="Dogissimo"/>
    <n v="8.8000000000000007"/>
    <n v="1"/>
    <s v="NULL"/>
    <s v=""/>
    <d v="2025-06-20T00:00:00"/>
    <n v="0"/>
    <n v="8.8000000000000007"/>
    <x v="0"/>
    <x v="5"/>
    <x v="0"/>
  </r>
  <r>
    <x v="2392"/>
    <n v="4010123456783"/>
    <x v="6"/>
    <s v="Starostlivosť a hygiena – Mačky"/>
    <s v="BellaMeow"/>
    <n v="14"/>
    <n v="1"/>
    <s v="NULL"/>
    <s v=""/>
    <d v="2025-06-20T00:00:00"/>
    <n v="0"/>
    <n v="14"/>
    <x v="0"/>
    <x v="5"/>
    <x v="1"/>
  </r>
  <r>
    <x v="2393"/>
    <n v="4063456789014"/>
    <x v="15"/>
    <s v="Krmivo a maškrty – Psy"/>
    <s v="Pupco"/>
    <n v="36"/>
    <n v="1"/>
    <s v="4"/>
    <s v="Skvelé krmivo, žiadne trávicí potíže, odporúčam."/>
    <d v="2025-06-20T00:00:00"/>
    <n v="0"/>
    <n v="36"/>
    <x v="1"/>
    <x v="5"/>
    <x v="0"/>
  </r>
  <r>
    <x v="2394"/>
    <n v="4021234567894"/>
    <x v="18"/>
    <s v="Starostlivosť a hygiena – Mačky"/>
    <s v="PawStyle"/>
    <n v="8"/>
    <n v="1"/>
    <s v="NULL"/>
    <s v=""/>
    <d v="2025-06-20T00:00:00"/>
    <n v="0"/>
    <n v="8"/>
    <x v="0"/>
    <x v="5"/>
    <x v="1"/>
  </r>
  <r>
    <x v="2395"/>
    <n v="4056789012345"/>
    <x v="11"/>
    <s v="Krmivo a maškrty – Mačky"/>
    <s v="BellaMeow"/>
    <n v="2.4"/>
    <n v="2"/>
    <s v="NULL"/>
    <s v=""/>
    <d v="2025-06-20T00:00:00"/>
    <n v="0"/>
    <n v="4.8"/>
    <x v="0"/>
    <x v="5"/>
    <x v="1"/>
  </r>
  <r>
    <x v="2396"/>
    <n v="4061011223346"/>
    <x v="3"/>
    <s v="Oblečenie a doplnky – Psy"/>
    <s v="Tail Trend"/>
    <n v="19.600000000000001"/>
    <n v="1"/>
    <s v="NULL"/>
    <s v=""/>
    <d v="2025-06-20T00:00:00"/>
    <n v="0"/>
    <n v="19.600000000000001"/>
    <x v="0"/>
    <x v="5"/>
    <x v="0"/>
  </r>
  <r>
    <x v="2397"/>
    <n v="4026677889902"/>
    <x v="12"/>
    <s v="Misky a kŕmne doplnky – Ostatné"/>
    <s v="Pawsitive Gear"/>
    <n v="7.6"/>
    <n v="1"/>
    <s v="NULL"/>
    <s v=""/>
    <d v="2025-06-20T00:00:00"/>
    <n v="0"/>
    <n v="7.6"/>
    <x v="0"/>
    <x v="5"/>
    <x v="2"/>
  </r>
  <r>
    <x v="2398"/>
    <n v="4028899001126"/>
    <x v="1"/>
    <s v="Krmivo a maškrty – Psy"/>
    <s v="Pup Republic"/>
    <n v="2.8"/>
    <n v="3"/>
    <s v="NULL"/>
    <s v=""/>
    <d v="2025-06-21T00:00:00"/>
    <n v="0"/>
    <n v="8.3999999999999986"/>
    <x v="0"/>
    <x v="5"/>
    <x v="0"/>
  </r>
  <r>
    <x v="2399"/>
    <n v="4013456789017"/>
    <x v="0"/>
    <s v="Krmivo a maškrty – Psy"/>
    <s v="Snouty"/>
    <n v="6"/>
    <n v="1"/>
    <s v="NULL"/>
    <s v=""/>
    <d v="2025-06-21T00:00:00"/>
    <n v="0"/>
    <n v="6"/>
    <x v="0"/>
    <x v="5"/>
    <x v="0"/>
  </r>
  <r>
    <x v="2400"/>
    <n v="4043344556676"/>
    <x v="36"/>
    <s v="Misky a kŕmne doplnky – Mačky"/>
    <s v="Pawtastic"/>
    <n v="10"/>
    <n v="1"/>
    <s v="5"/>
    <s v="Pekný dizajn, mačka konečne nevylieva vodu von."/>
    <d v="2025-06-21T00:00:00"/>
    <n v="0"/>
    <n v="10"/>
    <x v="2"/>
    <x v="5"/>
    <x v="1"/>
  </r>
  <r>
    <x v="2401"/>
    <n v="8596677889011"/>
    <x v="37"/>
    <s v="Krmivo a maškrty – Mačky"/>
    <s v="Catissime"/>
    <n v="35.200000000000003"/>
    <n v="1"/>
    <s v="NULL"/>
    <s v=""/>
    <d v="2025-06-21T00:00:00"/>
    <n v="0"/>
    <n v="35.200000000000003"/>
    <x v="0"/>
    <x v="5"/>
    <x v="1"/>
  </r>
  <r>
    <x v="2402"/>
    <n v="4002233445566"/>
    <x v="28"/>
    <s v="Pelechy a nábytok – Mačky"/>
    <s v="Catissime"/>
    <n v="20"/>
    <n v="1"/>
    <s v="NULL"/>
    <s v=""/>
    <d v="2025-06-21T00:00:00"/>
    <n v="0"/>
    <n v="20"/>
    <x v="0"/>
    <x v="5"/>
    <x v="1"/>
  </r>
  <r>
    <x v="2403"/>
    <n v="4025566778891"/>
    <x v="38"/>
    <s v="Misky a kŕmne doplnky – Mačky"/>
    <s v="Catissime"/>
    <n v="51.64"/>
    <n v="1"/>
    <s v="5"/>
    <s v="Dokonalé riešenie na leto, mačky pijú viac ako skôr."/>
    <d v="2025-06-21T00:00:00"/>
    <n v="0"/>
    <n v="51.64"/>
    <x v="2"/>
    <x v="5"/>
    <x v="1"/>
  </r>
  <r>
    <x v="2404"/>
    <n v="4028899001126"/>
    <x v="1"/>
    <s v="Krmivo a maškrty – Psy"/>
    <s v="Pup Republic"/>
    <n v="2.8"/>
    <n v="4"/>
    <s v="NULL"/>
    <s v=""/>
    <d v="2025-06-21T00:00:00"/>
    <n v="0"/>
    <n v="11.2"/>
    <x v="0"/>
    <x v="5"/>
    <x v="0"/>
  </r>
  <r>
    <x v="2405"/>
    <n v="4013456789017"/>
    <x v="0"/>
    <s v="Krmivo a maškrty – Psy"/>
    <s v="Snouty"/>
    <n v="6"/>
    <n v="1"/>
    <s v="NULL"/>
    <s v=""/>
    <d v="2025-06-21T00:00:00"/>
    <n v="0"/>
    <n v="6"/>
    <x v="0"/>
    <x v="5"/>
    <x v="0"/>
  </r>
  <r>
    <x v="2406"/>
    <n v="4040123456795"/>
    <x v="2"/>
    <s v="Starostlivosť a hygiena – Psy"/>
    <s v="Dogissimo"/>
    <n v="8.8000000000000007"/>
    <n v="1"/>
    <s v="NULL"/>
    <s v=""/>
    <d v="2025-06-21T00:00:00"/>
    <n v="0"/>
    <n v="8.8000000000000007"/>
    <x v="0"/>
    <x v="5"/>
    <x v="0"/>
  </r>
  <r>
    <x v="2407"/>
    <n v="4010123456783"/>
    <x v="6"/>
    <s v="Starostlivosť a hygiena – Mačky"/>
    <s v="BellaMeow"/>
    <n v="14"/>
    <n v="1"/>
    <s v="NULL"/>
    <s v=""/>
    <d v="2025-06-21T00:00:00"/>
    <n v="0"/>
    <n v="14"/>
    <x v="0"/>
    <x v="5"/>
    <x v="1"/>
  </r>
  <r>
    <x v="2408"/>
    <n v="4063456789014"/>
    <x v="15"/>
    <s v="Krmivo a maškrty – Psy"/>
    <s v="Pupco"/>
    <n v="36"/>
    <n v="1"/>
    <s v="NULL"/>
    <s v=""/>
    <d v="2025-06-21T00:00:00"/>
    <n v="0"/>
    <n v="36"/>
    <x v="0"/>
    <x v="5"/>
    <x v="0"/>
  </r>
  <r>
    <x v="2409"/>
    <n v="4021234567894"/>
    <x v="18"/>
    <s v="Starostlivosť a hygiena – Mačky"/>
    <s v="PawStyle"/>
    <n v="8"/>
    <n v="1"/>
    <s v="NULL"/>
    <s v=""/>
    <d v="2025-06-21T00:00:00"/>
    <n v="0"/>
    <n v="8"/>
    <x v="0"/>
    <x v="5"/>
    <x v="1"/>
  </r>
  <r>
    <x v="2410"/>
    <n v="4056789012345"/>
    <x v="11"/>
    <s v="Krmivo a maškrty – Mačky"/>
    <s v="BellaMeow"/>
    <n v="2.4"/>
    <n v="3"/>
    <s v="NULL"/>
    <s v=""/>
    <d v="2025-06-21T00:00:00"/>
    <n v="0"/>
    <n v="7.1999999999999993"/>
    <x v="0"/>
    <x v="5"/>
    <x v="1"/>
  </r>
  <r>
    <x v="2411"/>
    <n v="4061011223346"/>
    <x v="3"/>
    <s v="Oblečenie a doplnky – Psy"/>
    <s v="Tail Trend"/>
    <n v="19.600000000000001"/>
    <n v="1"/>
    <s v="NULL"/>
    <s v=""/>
    <d v="2025-06-21T00:00:00"/>
    <n v="0"/>
    <n v="19.600000000000001"/>
    <x v="0"/>
    <x v="5"/>
    <x v="0"/>
  </r>
  <r>
    <x v="2412"/>
    <n v="4026677889902"/>
    <x v="12"/>
    <s v="Misky a kŕmne doplnky – Ostatné"/>
    <s v="Pawsitive Gear"/>
    <n v="7.6"/>
    <n v="1"/>
    <s v="NULL"/>
    <s v=""/>
    <d v="2025-06-21T00:00:00"/>
    <n v="0"/>
    <n v="7.6"/>
    <x v="0"/>
    <x v="5"/>
    <x v="2"/>
  </r>
  <r>
    <x v="2413"/>
    <n v="4028899001126"/>
    <x v="1"/>
    <s v="Krmivo a maškrty – Psy"/>
    <s v="Pup Republic"/>
    <n v="2.8"/>
    <n v="4"/>
    <s v="NULL"/>
    <s v=""/>
    <d v="2025-06-22T00:00:00"/>
    <n v="0"/>
    <n v="11.2"/>
    <x v="0"/>
    <x v="5"/>
    <x v="0"/>
  </r>
  <r>
    <x v="2414"/>
    <n v="4013456789017"/>
    <x v="0"/>
    <s v="Krmivo a maškrty – Psy"/>
    <s v="Snouty"/>
    <n v="6"/>
    <n v="1"/>
    <s v="NULL"/>
    <s v=""/>
    <d v="2025-06-22T00:00:00"/>
    <n v="0"/>
    <n v="6"/>
    <x v="0"/>
    <x v="5"/>
    <x v="0"/>
  </r>
  <r>
    <x v="2415"/>
    <n v="4040123456795"/>
    <x v="2"/>
    <s v="Starostlivosť a hygiena – Psy"/>
    <s v="Dogissimo"/>
    <n v="8.8000000000000007"/>
    <n v="1"/>
    <s v="4"/>
    <s v="Pekne vonia a čistí, pes nemá lupiny."/>
    <d v="2025-06-22T00:00:00"/>
    <n v="0"/>
    <n v="8.8000000000000007"/>
    <x v="1"/>
    <x v="5"/>
    <x v="0"/>
  </r>
  <r>
    <x v="2416"/>
    <n v="4010123456783"/>
    <x v="6"/>
    <s v="Starostlivosť a hygiena – Mačky"/>
    <s v="BellaMeow"/>
    <n v="14"/>
    <n v="1"/>
    <s v="NULL"/>
    <s v=""/>
    <d v="2025-06-22T00:00:00"/>
    <n v="0"/>
    <n v="14"/>
    <x v="0"/>
    <x v="5"/>
    <x v="1"/>
  </r>
  <r>
    <x v="2417"/>
    <n v="4063456789014"/>
    <x v="15"/>
    <s v="Krmivo a maškrty – Psy"/>
    <s v="Pupco"/>
    <n v="36"/>
    <n v="1"/>
    <s v="NULL"/>
    <s v=""/>
    <d v="2025-06-22T00:00:00"/>
    <n v="0"/>
    <n v="36"/>
    <x v="0"/>
    <x v="5"/>
    <x v="0"/>
  </r>
  <r>
    <x v="2418"/>
    <n v="4021234567894"/>
    <x v="18"/>
    <s v="Starostlivosť a hygiena – Mačky"/>
    <s v="PawStyle"/>
    <n v="8"/>
    <n v="1"/>
    <s v="NULL"/>
    <s v=""/>
    <d v="2025-06-22T00:00:00"/>
    <n v="0"/>
    <n v="8"/>
    <x v="0"/>
    <x v="5"/>
    <x v="1"/>
  </r>
  <r>
    <x v="2419"/>
    <n v="4056789012345"/>
    <x v="11"/>
    <s v="Krmivo a maškrty – Mačky"/>
    <s v="BellaMeow"/>
    <n v="2.4"/>
    <n v="2"/>
    <s v="NULL"/>
    <s v=""/>
    <d v="2025-06-22T00:00:00"/>
    <n v="0"/>
    <n v="4.8"/>
    <x v="0"/>
    <x v="5"/>
    <x v="1"/>
  </r>
  <r>
    <x v="2420"/>
    <n v="4061011223346"/>
    <x v="3"/>
    <s v="Oblečenie a doplnky – Psy"/>
    <s v="Tail Trend"/>
    <n v="19.600000000000001"/>
    <n v="1"/>
    <s v="NULL"/>
    <s v=""/>
    <d v="2025-06-22T00:00:00"/>
    <n v="0"/>
    <n v="19.600000000000001"/>
    <x v="0"/>
    <x v="5"/>
    <x v="0"/>
  </r>
  <r>
    <x v="2421"/>
    <n v="4026677889902"/>
    <x v="12"/>
    <s v="Misky a kŕmne doplnky – Ostatné"/>
    <s v="Pawsitive Gear"/>
    <n v="7.6"/>
    <n v="1"/>
    <s v="NULL"/>
    <s v=""/>
    <d v="2025-06-22T00:00:00"/>
    <n v="0"/>
    <n v="7.6"/>
    <x v="0"/>
    <x v="5"/>
    <x v="2"/>
  </r>
  <r>
    <x v="2422"/>
    <n v="4028899001126"/>
    <x v="1"/>
    <s v="Krmivo a maškrty – Psy"/>
    <s v="Pup Republic"/>
    <n v="2.8"/>
    <n v="3"/>
    <s v="NULL"/>
    <s v=""/>
    <d v="2025-06-22T00:00:00"/>
    <n v="0"/>
    <n v="8.3999999999999986"/>
    <x v="0"/>
    <x v="5"/>
    <x v="0"/>
  </r>
  <r>
    <x v="2423"/>
    <n v="4013456789017"/>
    <x v="0"/>
    <s v="Krmivo a maškrty – Psy"/>
    <s v="Snouty"/>
    <n v="6"/>
    <n v="1"/>
    <s v="5"/>
    <s v="Najlepšie maškrty, čo sme zkusili, pes skáče radostí."/>
    <d v="2025-06-22T00:00:00"/>
    <n v="0"/>
    <n v="6"/>
    <x v="2"/>
    <x v="5"/>
    <x v="0"/>
  </r>
  <r>
    <x v="2424"/>
    <n v="4040123456795"/>
    <x v="2"/>
    <s v="Starostlivosť a hygiena – Psy"/>
    <s v="Dogissimo"/>
    <n v="8.8000000000000007"/>
    <n v="1"/>
    <s v="NULL"/>
    <s v=""/>
    <d v="2025-06-22T00:00:00"/>
    <n v="0"/>
    <n v="8.8000000000000007"/>
    <x v="0"/>
    <x v="5"/>
    <x v="0"/>
  </r>
  <r>
    <x v="2425"/>
    <n v="4010123456783"/>
    <x v="6"/>
    <s v="Starostlivosť a hygiena – Mačky"/>
    <s v="BellaMeow"/>
    <n v="14"/>
    <n v="1"/>
    <s v="NULL"/>
    <s v=""/>
    <d v="2025-06-22T00:00:00"/>
    <n v="0"/>
    <n v="14"/>
    <x v="0"/>
    <x v="5"/>
    <x v="1"/>
  </r>
  <r>
    <x v="2426"/>
    <n v="4063456789014"/>
    <x v="15"/>
    <s v="Krmivo a maškrty – Psy"/>
    <s v="Pupco"/>
    <n v="36"/>
    <n v="1"/>
    <s v="4"/>
    <s v="Pes prospieva, žiadne problémy s trávením."/>
    <d v="2025-06-23T00:00:00"/>
    <n v="0"/>
    <n v="36"/>
    <x v="1"/>
    <x v="5"/>
    <x v="0"/>
  </r>
  <r>
    <x v="2427"/>
    <n v="4021234567894"/>
    <x v="18"/>
    <s v="Starostlivosť a hygiena – Mačky"/>
    <s v="PawStyle"/>
    <n v="8"/>
    <n v="1"/>
    <s v="NULL"/>
    <s v=""/>
    <d v="2025-06-23T00:00:00"/>
    <n v="0"/>
    <n v="8"/>
    <x v="0"/>
    <x v="5"/>
    <x v="1"/>
  </r>
  <r>
    <x v="2428"/>
    <n v="4056789012345"/>
    <x v="11"/>
    <s v="Krmivo a maškrty – Mačky"/>
    <s v="BellaMeow"/>
    <n v="2.4"/>
    <n v="2"/>
    <s v="NULL"/>
    <s v=""/>
    <d v="2025-06-23T00:00:00"/>
    <n v="0"/>
    <n v="4.8"/>
    <x v="0"/>
    <x v="5"/>
    <x v="1"/>
  </r>
  <r>
    <x v="2429"/>
    <n v="4061011223346"/>
    <x v="3"/>
    <s v="Oblečenie a doplnky – Psy"/>
    <s v="Tail Trend"/>
    <n v="19.600000000000001"/>
    <n v="1"/>
    <s v="NULL"/>
    <s v=""/>
    <d v="2025-06-23T00:00:00"/>
    <n v="0"/>
    <n v="19.600000000000001"/>
    <x v="0"/>
    <x v="5"/>
    <x v="0"/>
  </r>
  <r>
    <x v="2430"/>
    <n v="4026677889902"/>
    <x v="12"/>
    <s v="Misky a kŕmne doplnky – Ostatné"/>
    <s v="Pawsitive Gear"/>
    <n v="7.6"/>
    <n v="1"/>
    <s v="NULL"/>
    <s v=""/>
    <d v="2025-06-23T00:00:00"/>
    <n v="0"/>
    <n v="7.6"/>
    <x v="0"/>
    <x v="5"/>
    <x v="2"/>
  </r>
  <r>
    <x v="2431"/>
    <n v="4028899001126"/>
    <x v="1"/>
    <s v="Krmivo a maškrty – Psy"/>
    <s v="Pup Republic"/>
    <n v="2.8"/>
    <n v="4"/>
    <s v="NULL"/>
    <s v=""/>
    <d v="2025-06-23T00:00:00"/>
    <n v="0"/>
    <n v="11.2"/>
    <x v="0"/>
    <x v="5"/>
    <x v="0"/>
  </r>
  <r>
    <x v="2432"/>
    <n v="4013456789017"/>
    <x v="0"/>
    <s v="Krmivo a maškrty – Psy"/>
    <s v="Snouty"/>
    <n v="6"/>
    <n v="2"/>
    <s v="NULL"/>
    <s v=""/>
    <d v="2025-06-23T00:00:00"/>
    <n v="0"/>
    <n v="12"/>
    <x v="0"/>
    <x v="5"/>
    <x v="0"/>
  </r>
  <r>
    <x v="2433"/>
    <n v="4040123456795"/>
    <x v="2"/>
    <s v="Starostlivosť a hygiena – Psy"/>
    <s v="Dogissimo"/>
    <n v="8.8000000000000007"/>
    <n v="1"/>
    <s v="NULL"/>
    <s v=""/>
    <d v="2025-06-23T00:00:00"/>
    <n v="0"/>
    <n v="8.8000000000000007"/>
    <x v="0"/>
    <x v="5"/>
    <x v="0"/>
  </r>
  <r>
    <x v="2434"/>
    <n v="4010123456783"/>
    <x v="6"/>
    <s v="Starostlivosť a hygiena – Mačky"/>
    <s v="BellaMeow"/>
    <n v="14"/>
    <n v="1"/>
    <s v="NULL"/>
    <s v=""/>
    <d v="2025-06-23T00:00:00"/>
    <n v="0"/>
    <n v="14"/>
    <x v="0"/>
    <x v="5"/>
    <x v="1"/>
  </r>
  <r>
    <x v="2435"/>
    <n v="4063456789014"/>
    <x v="15"/>
    <s v="Krmivo a maškrty – Psy"/>
    <s v="Pupco"/>
    <n v="36"/>
    <n v="1"/>
    <s v="NULL"/>
    <s v=""/>
    <d v="2025-06-23T00:00:00"/>
    <n v="0"/>
    <n v="36"/>
    <x v="0"/>
    <x v="5"/>
    <x v="0"/>
  </r>
  <r>
    <x v="2436"/>
    <n v="4021234567894"/>
    <x v="18"/>
    <s v="Starostlivosť a hygiena – Mačky"/>
    <s v="PawStyle"/>
    <n v="8"/>
    <n v="1"/>
    <s v="NULL"/>
    <s v=""/>
    <d v="2025-06-23T00:00:00"/>
    <n v="0"/>
    <n v="8"/>
    <x v="0"/>
    <x v="5"/>
    <x v="1"/>
  </r>
  <r>
    <x v="2437"/>
    <n v="4056789012345"/>
    <x v="11"/>
    <s v="Krmivo a maškrty – Mačky"/>
    <s v="BellaMeow"/>
    <n v="2.4"/>
    <n v="3"/>
    <s v="NULL"/>
    <s v=""/>
    <d v="2025-06-23T00:00:00"/>
    <n v="0"/>
    <n v="7.1999999999999993"/>
    <x v="0"/>
    <x v="5"/>
    <x v="1"/>
  </r>
  <r>
    <x v="2438"/>
    <n v="4061011223346"/>
    <x v="3"/>
    <s v="Oblečenie a doplnky – Psy"/>
    <s v="Tail Trend"/>
    <n v="19.600000000000001"/>
    <n v="1"/>
    <s v="5"/>
    <s v="Vôdzka sa dobre drží, pohodlné aj pri delších procházkách."/>
    <d v="2025-06-23T00:00:00"/>
    <n v="0"/>
    <n v="19.600000000000001"/>
    <x v="2"/>
    <x v="5"/>
    <x v="0"/>
  </r>
  <r>
    <x v="2439"/>
    <n v="4026677889902"/>
    <x v="12"/>
    <s v="Misky a kŕmne doplnky – Ostatné"/>
    <s v="Pawsitive Gear"/>
    <n v="7.6"/>
    <n v="1"/>
    <s v="NULL"/>
    <s v=""/>
    <d v="2025-06-23T00:00:00"/>
    <n v="0"/>
    <n v="7.6"/>
    <x v="0"/>
    <x v="5"/>
    <x v="2"/>
  </r>
  <r>
    <x v="2440"/>
    <n v="4028899001126"/>
    <x v="1"/>
    <s v="Krmivo a maškrty – Psy"/>
    <s v="Pup Republic"/>
    <n v="2.8"/>
    <n v="3"/>
    <s v="NULL"/>
    <s v=""/>
    <d v="2025-06-24T00:00:00"/>
    <n v="0"/>
    <n v="8.3999999999999986"/>
    <x v="0"/>
    <x v="5"/>
    <x v="0"/>
  </r>
  <r>
    <x v="2441"/>
    <n v="4013456789017"/>
    <x v="0"/>
    <s v="Krmivo a maškrty – Psy"/>
    <s v="Snouty"/>
    <n v="6"/>
    <n v="1"/>
    <s v="4"/>
    <s v="Pes poslúcha lepšie, ideálne veľkosť kúskov."/>
    <d v="2025-06-24T00:00:00"/>
    <n v="0"/>
    <n v="6"/>
    <x v="1"/>
    <x v="5"/>
    <x v="0"/>
  </r>
  <r>
    <x v="2442"/>
    <n v="4040123456795"/>
    <x v="2"/>
    <s v="Starostlivosť a hygiena – Psy"/>
    <s v="Dogissimo"/>
    <n v="8.8000000000000007"/>
    <n v="1"/>
    <s v="NULL"/>
    <s v=""/>
    <d v="2025-06-24T00:00:00"/>
    <n v="0"/>
    <n v="8.8000000000000007"/>
    <x v="0"/>
    <x v="5"/>
    <x v="0"/>
  </r>
  <r>
    <x v="2443"/>
    <n v="4010123456783"/>
    <x v="6"/>
    <s v="Starostlivosť a hygiena – Mačky"/>
    <s v="BellaMeow"/>
    <n v="14"/>
    <n v="2"/>
    <s v="NULL"/>
    <s v=""/>
    <d v="2025-06-24T00:00:00"/>
    <n v="0"/>
    <n v="28"/>
    <x v="0"/>
    <x v="5"/>
    <x v="1"/>
  </r>
  <r>
    <x v="2444"/>
    <n v="4063456789014"/>
    <x v="15"/>
    <s v="Krmivo a maškrty – Psy"/>
    <s v="Pupco"/>
    <n v="36"/>
    <n v="1"/>
    <s v="NULL"/>
    <s v=""/>
    <d v="2025-06-24T00:00:00"/>
    <n v="0"/>
    <n v="36"/>
    <x v="0"/>
    <x v="5"/>
    <x v="0"/>
  </r>
  <r>
    <x v="2445"/>
    <n v="4021234567894"/>
    <x v="18"/>
    <s v="Starostlivosť a hygiena – Mačky"/>
    <s v="PawStyle"/>
    <n v="8"/>
    <n v="1"/>
    <s v="NULL"/>
    <s v=""/>
    <d v="2025-06-24T00:00:00"/>
    <n v="0"/>
    <n v="8"/>
    <x v="0"/>
    <x v="5"/>
    <x v="1"/>
  </r>
  <r>
    <x v="2446"/>
    <n v="4056789012345"/>
    <x v="11"/>
    <s v="Krmivo a maškrty – Mačky"/>
    <s v="BellaMeow"/>
    <n v="2.4"/>
    <n v="2"/>
    <s v="NULL"/>
    <s v=""/>
    <d v="2025-06-24T00:00:00"/>
    <n v="0"/>
    <n v="4.8"/>
    <x v="0"/>
    <x v="5"/>
    <x v="1"/>
  </r>
  <r>
    <x v="2447"/>
    <n v="4061011223346"/>
    <x v="3"/>
    <s v="Oblečenie a doplnky – Psy"/>
    <s v="Tail Trend"/>
    <n v="19.600000000000001"/>
    <n v="1"/>
    <s v="NULL"/>
    <s v=""/>
    <d v="2025-06-24T00:00:00"/>
    <n v="0"/>
    <n v="19.600000000000001"/>
    <x v="0"/>
    <x v="5"/>
    <x v="0"/>
  </r>
  <r>
    <x v="2448"/>
    <n v="4026677889902"/>
    <x v="12"/>
    <s v="Misky a kŕmne doplnky – Ostatné"/>
    <s v="Pawsitive Gear"/>
    <n v="7.6"/>
    <n v="1"/>
    <s v="NULL"/>
    <s v=""/>
    <d v="2025-06-24T00:00:00"/>
    <n v="0"/>
    <n v="7.6"/>
    <x v="0"/>
    <x v="5"/>
    <x v="2"/>
  </r>
  <r>
    <x v="2449"/>
    <n v="4028899001126"/>
    <x v="1"/>
    <s v="Krmivo a maškrty – Psy"/>
    <s v="Pup Republic"/>
    <n v="2.8"/>
    <n v="4"/>
    <s v="NULL"/>
    <s v=""/>
    <d v="2025-06-24T00:00:00"/>
    <n v="0"/>
    <n v="11.2"/>
    <x v="0"/>
    <x v="5"/>
    <x v="0"/>
  </r>
  <r>
    <x v="2450"/>
    <n v="4013456789017"/>
    <x v="0"/>
    <s v="Krmivo a maškrty – Psy"/>
    <s v="Snouty"/>
    <n v="6"/>
    <n v="1"/>
    <s v="3"/>
    <s v="Pes to je, ale nič extra."/>
    <d v="2025-06-24T00:00:00"/>
    <n v="0"/>
    <n v="6"/>
    <x v="3"/>
    <x v="5"/>
    <x v="0"/>
  </r>
  <r>
    <x v="2451"/>
    <n v="4040123456795"/>
    <x v="2"/>
    <s v="Starostlivosť a hygiena – Psy"/>
    <s v="Dogissimo"/>
    <n v="8.8000000000000007"/>
    <n v="1"/>
    <s v="NULL"/>
    <s v=""/>
    <d v="2025-06-24T00:00:00"/>
    <n v="0"/>
    <n v="8.8000000000000007"/>
    <x v="0"/>
    <x v="5"/>
    <x v="0"/>
  </r>
  <r>
    <x v="2452"/>
    <n v="4010123456783"/>
    <x v="6"/>
    <s v="Starostlivosť a hygiena – Mačky"/>
    <s v="BellaMeow"/>
    <n v="14"/>
    <n v="1"/>
    <s v="NULL"/>
    <s v=""/>
    <d v="2025-06-24T00:00:00"/>
    <n v="0"/>
    <n v="14"/>
    <x v="0"/>
    <x v="5"/>
    <x v="1"/>
  </r>
  <r>
    <x v="2453"/>
    <n v="4063456789014"/>
    <x v="15"/>
    <s v="Krmivo a maškrty – Psy"/>
    <s v="Pupco"/>
    <n v="36"/>
    <n v="1"/>
    <s v="NULL"/>
    <s v=""/>
    <d v="2025-06-24T00:00:00"/>
    <n v="0"/>
    <n v="36"/>
    <x v="0"/>
    <x v="5"/>
    <x v="0"/>
  </r>
  <r>
    <x v="2454"/>
    <n v="4021234567894"/>
    <x v="18"/>
    <s v="Starostlivosť a hygiena – Mačky"/>
    <s v="PawStyle"/>
    <n v="8"/>
    <n v="1"/>
    <s v="NULL"/>
    <s v=""/>
    <d v="2025-06-24T00:00:00"/>
    <n v="0"/>
    <n v="8"/>
    <x v="0"/>
    <x v="5"/>
    <x v="1"/>
  </r>
  <r>
    <x v="2455"/>
    <n v="4056789012345"/>
    <x v="11"/>
    <s v="Krmivo a maškrty – Mačky"/>
    <s v="BellaMeow"/>
    <n v="2.4"/>
    <n v="3"/>
    <s v="NULL"/>
    <s v=""/>
    <d v="2025-06-24T00:00:00"/>
    <n v="0"/>
    <n v="7.1999999999999993"/>
    <x v="0"/>
    <x v="5"/>
    <x v="1"/>
  </r>
  <r>
    <x v="2456"/>
    <n v="4061011223346"/>
    <x v="3"/>
    <s v="Oblečenie a doplnky – Psy"/>
    <s v="Tail Trend"/>
    <n v="19.600000000000001"/>
    <n v="1"/>
    <s v="5"/>
    <s v="Veľmi pevné, napriek tomu ľahké, ideálne na výlety."/>
    <d v="2025-06-25T00:00:00"/>
    <n v="0"/>
    <n v="19.600000000000001"/>
    <x v="2"/>
    <x v="5"/>
    <x v="0"/>
  </r>
  <r>
    <x v="2457"/>
    <n v="4026677889902"/>
    <x v="12"/>
    <s v="Misky a kŕmne doplnky – Ostatné"/>
    <s v="Pawsitive Gear"/>
    <n v="7.6"/>
    <n v="1"/>
    <s v="NULL"/>
    <s v=""/>
    <d v="2025-06-25T00:00:00"/>
    <n v="0"/>
    <n v="7.6"/>
    <x v="0"/>
    <x v="5"/>
    <x v="2"/>
  </r>
  <r>
    <x v="2458"/>
    <n v="4028899001126"/>
    <x v="1"/>
    <s v="Krmivo a maškrty – Psy"/>
    <s v="Pup Republic"/>
    <n v="2.8"/>
    <n v="4"/>
    <s v="NULL"/>
    <s v=""/>
    <d v="2025-06-25T00:00:00"/>
    <n v="0"/>
    <n v="11.2"/>
    <x v="0"/>
    <x v="5"/>
    <x v="0"/>
  </r>
  <r>
    <x v="2459"/>
    <n v="4013456789017"/>
    <x v="0"/>
    <s v="Krmivo a maškrty – Psy"/>
    <s v="Snouty"/>
    <n v="6"/>
    <n v="1"/>
    <s v="NULL"/>
    <s v=""/>
    <d v="2025-06-25T00:00:00"/>
    <n v="0"/>
    <n v="6"/>
    <x v="0"/>
    <x v="5"/>
    <x v="0"/>
  </r>
  <r>
    <x v="2460"/>
    <n v="4040123456795"/>
    <x v="2"/>
    <s v="Starostlivosť a hygiena – Psy"/>
    <s v="Dogissimo"/>
    <n v="8.8000000000000007"/>
    <n v="1"/>
    <s v="NULL"/>
    <s v=""/>
    <d v="2025-06-25T00:00:00"/>
    <n v="0"/>
    <n v="8.8000000000000007"/>
    <x v="0"/>
    <x v="5"/>
    <x v="0"/>
  </r>
  <r>
    <x v="2461"/>
    <n v="4010123456783"/>
    <x v="6"/>
    <s v="Starostlivosť a hygiena – Mačky"/>
    <s v="BellaMeow"/>
    <n v="14"/>
    <n v="1"/>
    <s v="NULL"/>
    <s v=""/>
    <d v="2025-06-25T00:00:00"/>
    <n v="0"/>
    <n v="14"/>
    <x v="0"/>
    <x v="5"/>
    <x v="1"/>
  </r>
  <r>
    <x v="2462"/>
    <n v="4063456789014"/>
    <x v="15"/>
    <s v="Krmivo a maškrty – Psy"/>
    <s v="Pupco"/>
    <n v="36"/>
    <n v="1"/>
    <s v="NULL"/>
    <s v=""/>
    <d v="2025-06-25T00:00:00"/>
    <n v="0"/>
    <n v="36"/>
    <x v="0"/>
    <x v="5"/>
    <x v="0"/>
  </r>
  <r>
    <x v="2463"/>
    <n v="4021234567894"/>
    <x v="18"/>
    <s v="Starostlivosť a hygiena – Mačky"/>
    <s v="PawStyle"/>
    <n v="8"/>
    <n v="1"/>
    <s v="NULL"/>
    <s v=""/>
    <d v="2025-06-25T00:00:00"/>
    <n v="0"/>
    <n v="8"/>
    <x v="0"/>
    <x v="5"/>
    <x v="1"/>
  </r>
  <r>
    <x v="2464"/>
    <n v="4056789012345"/>
    <x v="11"/>
    <s v="Krmivo a maškrty – Mačky"/>
    <s v="BellaMeow"/>
    <n v="2.4"/>
    <n v="2"/>
    <s v="NULL"/>
    <s v=""/>
    <d v="2025-06-25T00:00:00"/>
    <n v="0"/>
    <n v="4.8"/>
    <x v="0"/>
    <x v="5"/>
    <x v="1"/>
  </r>
  <r>
    <x v="2465"/>
    <n v="4061011223346"/>
    <x v="3"/>
    <s v="Oblečenie a doplnky – Psy"/>
    <s v="Tail Trend"/>
    <n v="19.600000000000001"/>
    <n v="1"/>
    <s v="NULL"/>
    <s v=""/>
    <d v="2025-06-25T00:00:00"/>
    <n v="0"/>
    <n v="19.600000000000001"/>
    <x v="0"/>
    <x v="5"/>
    <x v="0"/>
  </r>
  <r>
    <x v="2466"/>
    <n v="4026677889902"/>
    <x v="12"/>
    <s v="Misky a kŕmne doplnky – Ostatné"/>
    <s v="Pawsitive Gear"/>
    <n v="7.6"/>
    <n v="1"/>
    <s v="NULL"/>
    <s v=""/>
    <d v="2025-06-25T00:00:00"/>
    <n v="0"/>
    <n v="7.6"/>
    <x v="0"/>
    <x v="5"/>
    <x v="2"/>
  </r>
  <r>
    <x v="2467"/>
    <n v="4028899001126"/>
    <x v="1"/>
    <s v="Krmivo a maškrty – Psy"/>
    <s v="Pup Republic"/>
    <n v="2.8"/>
    <n v="3"/>
    <s v="4"/>
    <s v="Pes to miluje, kupujem pravidelne."/>
    <d v="2025-06-25T00:00:00"/>
    <n v="0"/>
    <n v="8.3999999999999986"/>
    <x v="1"/>
    <x v="5"/>
    <x v="0"/>
  </r>
  <r>
    <x v="2468"/>
    <n v="4013456789017"/>
    <x v="0"/>
    <s v="Krmivo a maškrty – Psy"/>
    <s v="Snouty"/>
    <n v="6"/>
    <n v="1"/>
    <s v="NULL"/>
    <s v=""/>
    <d v="2025-06-25T00:00:00"/>
    <n v="0"/>
    <n v="6"/>
    <x v="0"/>
    <x v="5"/>
    <x v="0"/>
  </r>
  <r>
    <x v="2469"/>
    <n v="4040123456795"/>
    <x v="2"/>
    <s v="Starostlivosť a hygiena – Psy"/>
    <s v="Dogissimo"/>
    <n v="8.8000000000000007"/>
    <n v="1"/>
    <s v="NULL"/>
    <s v=""/>
    <d v="2025-06-25T00:00:00"/>
    <n v="0"/>
    <n v="8.8000000000000007"/>
    <x v="0"/>
    <x v="5"/>
    <x v="0"/>
  </r>
  <r>
    <x v="2470"/>
    <n v="4010123456783"/>
    <x v="6"/>
    <s v="Starostlivosť a hygiena – Mačky"/>
    <s v="BellaMeow"/>
    <n v="14"/>
    <n v="1"/>
    <s v="NULL"/>
    <s v=""/>
    <d v="2025-06-25T00:00:00"/>
    <n v="0"/>
    <n v="14"/>
    <x v="0"/>
    <x v="5"/>
    <x v="1"/>
  </r>
  <r>
    <x v="2471"/>
    <n v="4063456789014"/>
    <x v="15"/>
    <s v="Krmivo a maškrty – Psy"/>
    <s v="Pupco"/>
    <n v="36"/>
    <n v="1"/>
    <s v="NULL"/>
    <s v=""/>
    <d v="2025-06-25T00:00:00"/>
    <n v="0"/>
    <n v="36"/>
    <x v="0"/>
    <x v="5"/>
    <x v="0"/>
  </r>
  <r>
    <x v="2472"/>
    <n v="4021234567894"/>
    <x v="18"/>
    <s v="Starostlivosť a hygiena – Mačky"/>
    <s v="PawStyle"/>
    <n v="8"/>
    <n v="1"/>
    <s v="NULL"/>
    <s v=""/>
    <d v="2025-06-25T00:00:00"/>
    <n v="0"/>
    <n v="8"/>
    <x v="0"/>
    <x v="5"/>
    <x v="1"/>
  </r>
  <r>
    <x v="2473"/>
    <n v="4056789012345"/>
    <x v="11"/>
    <s v="Krmivo a maškrty – Mačky"/>
    <s v="BellaMeow"/>
    <n v="2.4"/>
    <n v="3"/>
    <s v="NULL"/>
    <s v=""/>
    <d v="2025-06-25T00:00:00"/>
    <n v="0"/>
    <n v="7.1999999999999993"/>
    <x v="0"/>
    <x v="5"/>
    <x v="1"/>
  </r>
  <r>
    <x v="2474"/>
    <n v="4061011223346"/>
    <x v="3"/>
    <s v="Oblečenie a doplnky – Psy"/>
    <s v="Tail Trend"/>
    <n v="19.600000000000001"/>
    <n v="1"/>
    <s v="NULL"/>
    <s v=""/>
    <d v="2025-06-25T00:00:00"/>
    <n v="0"/>
    <n v="19.600000000000001"/>
    <x v="0"/>
    <x v="5"/>
    <x v="0"/>
  </r>
  <r>
    <x v="2475"/>
    <n v="4026677889902"/>
    <x v="12"/>
    <s v="Misky a kŕmne doplnky – Ostatné"/>
    <s v="Pawsitive Gear"/>
    <n v="7.6"/>
    <n v="1"/>
    <s v="NULL"/>
    <s v=""/>
    <d v="2025-06-26T00:00:00"/>
    <n v="0"/>
    <n v="7.6"/>
    <x v="0"/>
    <x v="5"/>
    <x v="2"/>
  </r>
  <r>
    <x v="2476"/>
    <n v="4028899001126"/>
    <x v="1"/>
    <s v="Krmivo a maškrty – Psy"/>
    <s v="Pup Republic"/>
    <n v="2.8"/>
    <n v="4"/>
    <s v="NULL"/>
    <s v=""/>
    <d v="2025-06-26T00:00:00"/>
    <n v="0"/>
    <n v="11.2"/>
    <x v="0"/>
    <x v="5"/>
    <x v="0"/>
  </r>
  <r>
    <x v="2477"/>
    <n v="4013456789017"/>
    <x v="0"/>
    <s v="Krmivo a maškrty – Psy"/>
    <s v="Snouty"/>
    <n v="6"/>
    <n v="1"/>
    <s v="NULL"/>
    <s v=""/>
    <d v="2025-06-26T00:00:00"/>
    <n v="0"/>
    <n v="6"/>
    <x v="0"/>
    <x v="5"/>
    <x v="0"/>
  </r>
  <r>
    <x v="2478"/>
    <n v="4040123456795"/>
    <x v="2"/>
    <s v="Starostlivosť a hygiena – Psy"/>
    <s v="Dogissimo"/>
    <n v="8.8000000000000007"/>
    <n v="1"/>
    <s v="NULL"/>
    <s v=""/>
    <d v="2025-06-26T00:00:00"/>
    <n v="0"/>
    <n v="8.8000000000000007"/>
    <x v="0"/>
    <x v="5"/>
    <x v="0"/>
  </r>
  <r>
    <x v="2479"/>
    <n v="4010123456783"/>
    <x v="6"/>
    <s v="Starostlivosť a hygiena – Mačky"/>
    <s v="BellaMeow"/>
    <n v="14"/>
    <n v="1"/>
    <s v="NULL"/>
    <s v=""/>
    <d v="2025-06-26T00:00:00"/>
    <n v="0"/>
    <n v="14"/>
    <x v="0"/>
    <x v="5"/>
    <x v="1"/>
  </r>
  <r>
    <x v="2480"/>
    <n v="4063456789014"/>
    <x v="15"/>
    <s v="Krmivo a maškrty – Psy"/>
    <s v="Pupco"/>
    <n v="36"/>
    <n v="1"/>
    <s v="NULL"/>
    <s v=""/>
    <d v="2025-06-26T00:00:00"/>
    <n v="0"/>
    <n v="36"/>
    <x v="0"/>
    <x v="5"/>
    <x v="0"/>
  </r>
  <r>
    <x v="2481"/>
    <n v="4021234567894"/>
    <x v="18"/>
    <s v="Starostlivosť a hygiena – Mačky"/>
    <s v="PawStyle"/>
    <n v="8"/>
    <n v="1"/>
    <s v="NULL"/>
    <s v=""/>
    <d v="2025-06-26T00:00:00"/>
    <n v="0"/>
    <n v="8"/>
    <x v="0"/>
    <x v="5"/>
    <x v="1"/>
  </r>
  <r>
    <x v="2482"/>
    <n v="4056789012345"/>
    <x v="11"/>
    <s v="Krmivo a maškrty – Mačky"/>
    <s v="BellaMeow"/>
    <n v="2.4"/>
    <n v="3"/>
    <s v="NULL"/>
    <s v=""/>
    <d v="2025-06-26T00:00:00"/>
    <n v="0"/>
    <n v="7.1999999999999993"/>
    <x v="0"/>
    <x v="5"/>
    <x v="1"/>
  </r>
  <r>
    <x v="2483"/>
    <n v="4061011223346"/>
    <x v="3"/>
    <s v="Oblečenie a doplnky – Psy"/>
    <s v="Tail Trend"/>
    <n v="19.600000000000001"/>
    <n v="1"/>
    <s v="NULL"/>
    <s v=""/>
    <d v="2025-06-26T00:00:00"/>
    <n v="0"/>
    <n v="19.600000000000001"/>
    <x v="0"/>
    <x v="5"/>
    <x v="0"/>
  </r>
  <r>
    <x v="2484"/>
    <n v="4026677889902"/>
    <x v="12"/>
    <s v="Misky a kŕmne doplnky – Ostatné"/>
    <s v="Pawsitive Gear"/>
    <n v="7.6"/>
    <n v="1"/>
    <s v="NULL"/>
    <s v=""/>
    <d v="2025-06-26T00:00:00"/>
    <n v="0"/>
    <n v="7.6"/>
    <x v="0"/>
    <x v="5"/>
    <x v="2"/>
  </r>
  <r>
    <x v="2485"/>
    <n v="4028899001126"/>
    <x v="1"/>
    <s v="Krmivo a maškrty – Psy"/>
    <s v="Pup Republic"/>
    <n v="2.8"/>
    <n v="3"/>
    <s v="NULL"/>
    <s v=""/>
    <d v="2025-06-26T00:00:00"/>
    <n v="0"/>
    <n v="8.3999999999999986"/>
    <x v="0"/>
    <x v="5"/>
    <x v="0"/>
  </r>
  <r>
    <x v="2486"/>
    <n v="4013456789017"/>
    <x v="0"/>
    <s v="Krmivo a maškrty – Psy"/>
    <s v="Snouty"/>
    <n v="6"/>
    <n v="1"/>
    <s v="4"/>
    <s v="Maškrty dobré, bez zápachu, pes spokojený."/>
    <d v="2025-06-27T00:00:00"/>
    <n v="0"/>
    <n v="6"/>
    <x v="1"/>
    <x v="5"/>
    <x v="0"/>
  </r>
  <r>
    <x v="2487"/>
    <n v="4040123456795"/>
    <x v="2"/>
    <s v="Starostlivosť a hygiena – Psy"/>
    <s v="Dogissimo"/>
    <n v="8.8000000000000007"/>
    <n v="1"/>
    <s v="NULL"/>
    <s v=""/>
    <d v="2025-06-27T00:00:00"/>
    <n v="0"/>
    <n v="8.8000000000000007"/>
    <x v="0"/>
    <x v="5"/>
    <x v="0"/>
  </r>
  <r>
    <x v="2488"/>
    <n v="4010123456783"/>
    <x v="6"/>
    <s v="Starostlivosť a hygiena – Mačky"/>
    <s v="BellaMeow"/>
    <n v="14"/>
    <n v="1"/>
    <s v="NULL"/>
    <s v=""/>
    <d v="2025-06-27T00:00:00"/>
    <n v="0"/>
    <n v="14"/>
    <x v="0"/>
    <x v="5"/>
    <x v="1"/>
  </r>
  <r>
    <x v="2489"/>
    <n v="4063456789014"/>
    <x v="15"/>
    <s v="Krmivo a maškrty – Psy"/>
    <s v="Pupco"/>
    <n v="36"/>
    <n v="1"/>
    <s v="NULL"/>
    <s v=""/>
    <d v="2025-06-27T00:00:00"/>
    <n v="0"/>
    <n v="36"/>
    <x v="0"/>
    <x v="5"/>
    <x v="0"/>
  </r>
  <r>
    <x v="2490"/>
    <n v="4021234567894"/>
    <x v="18"/>
    <s v="Starostlivosť a hygiena – Mačky"/>
    <s v="PawStyle"/>
    <n v="8"/>
    <n v="1"/>
    <s v="NULL"/>
    <s v=""/>
    <d v="2025-06-27T00:00:00"/>
    <n v="0"/>
    <n v="8"/>
    <x v="0"/>
    <x v="5"/>
    <x v="1"/>
  </r>
  <r>
    <x v="2491"/>
    <n v="4056789012345"/>
    <x v="11"/>
    <s v="Krmivo a maškrty – Mačky"/>
    <s v="BellaMeow"/>
    <n v="2.4"/>
    <n v="3"/>
    <s v="NULL"/>
    <s v=""/>
    <d v="2025-06-27T00:00:00"/>
    <n v="0"/>
    <n v="7.1999999999999993"/>
    <x v="0"/>
    <x v="5"/>
    <x v="1"/>
  </r>
  <r>
    <x v="2492"/>
    <n v="4061011223346"/>
    <x v="3"/>
    <s v="Oblečenie a doplnky – Psy"/>
    <s v="Tail Trend"/>
    <n v="19.600000000000001"/>
    <n v="1"/>
    <s v="NULL"/>
    <s v=""/>
    <d v="2025-06-27T00:00:00"/>
    <n v="0"/>
    <n v="19.600000000000001"/>
    <x v="0"/>
    <x v="5"/>
    <x v="0"/>
  </r>
  <r>
    <x v="2493"/>
    <n v="4026677889902"/>
    <x v="12"/>
    <s v="Misky a kŕmne doplnky – Ostatné"/>
    <s v="Pawsitive Gear"/>
    <n v="7.6"/>
    <n v="1"/>
    <s v="NULL"/>
    <s v=""/>
    <d v="2025-06-27T00:00:00"/>
    <n v="0"/>
    <n v="7.6"/>
    <x v="0"/>
    <x v="5"/>
    <x v="2"/>
  </r>
  <r>
    <x v="2494"/>
    <n v="4028899001126"/>
    <x v="1"/>
    <s v="Krmivo a maškrty – Psy"/>
    <s v="Pup Republic"/>
    <n v="2.8"/>
    <n v="4"/>
    <s v="NULL"/>
    <s v=""/>
    <d v="2025-06-27T00:00:00"/>
    <n v="0"/>
    <n v="11.2"/>
    <x v="0"/>
    <x v="5"/>
    <x v="0"/>
  </r>
  <r>
    <x v="2495"/>
    <n v="4013456789017"/>
    <x v="0"/>
    <s v="Krmivo a maškrty – Psy"/>
    <s v="Snouty"/>
    <n v="6"/>
    <n v="1"/>
    <s v="NULL"/>
    <s v=""/>
    <d v="2025-06-27T00:00:00"/>
    <n v="0"/>
    <n v="6"/>
    <x v="0"/>
    <x v="5"/>
    <x v="0"/>
  </r>
  <r>
    <x v="2496"/>
    <n v="4040123456795"/>
    <x v="2"/>
    <s v="Starostlivosť a hygiena – Psy"/>
    <s v="Dogissimo"/>
    <n v="8.8000000000000007"/>
    <n v="1"/>
    <s v="NULL"/>
    <s v=""/>
    <d v="2025-06-27T00:00:00"/>
    <n v="0"/>
    <n v="8.8000000000000007"/>
    <x v="0"/>
    <x v="5"/>
    <x v="0"/>
  </r>
  <r>
    <x v="2497"/>
    <n v="4010123456783"/>
    <x v="6"/>
    <s v="Starostlivosť a hygiena – Mačky"/>
    <s v="BellaMeow"/>
    <n v="14"/>
    <n v="1"/>
    <s v="NULL"/>
    <s v=""/>
    <d v="2025-06-27T00:00:00"/>
    <n v="0"/>
    <n v="14"/>
    <x v="0"/>
    <x v="5"/>
    <x v="1"/>
  </r>
  <r>
    <x v="2498"/>
    <n v="4063456789014"/>
    <x v="15"/>
    <s v="Krmivo a maškrty – Psy"/>
    <s v="Pupco"/>
    <n v="36"/>
    <n v="1"/>
    <s v="NULL"/>
    <s v=""/>
    <d v="2025-06-27T00:00:00"/>
    <n v="0"/>
    <n v="36"/>
    <x v="0"/>
    <x v="5"/>
    <x v="0"/>
  </r>
  <r>
    <x v="2499"/>
    <n v="4021234567894"/>
    <x v="18"/>
    <s v="Starostlivosť a hygiena – Mačky"/>
    <s v="PawStyle"/>
    <n v="8"/>
    <n v="1"/>
    <s v="NULL"/>
    <s v=""/>
    <d v="2025-06-27T00:00:00"/>
    <n v="0"/>
    <n v="8"/>
    <x v="0"/>
    <x v="5"/>
    <x v="1"/>
  </r>
  <r>
    <x v="2500"/>
    <n v="4056789012345"/>
    <x v="11"/>
    <s v="Krmivo a maškrty – Mačky"/>
    <s v="BellaMeow"/>
    <n v="2.4"/>
    <n v="3"/>
    <s v="NULL"/>
    <s v=""/>
    <d v="2025-06-27T00:00:00"/>
    <n v="0"/>
    <n v="7.1999999999999993"/>
    <x v="0"/>
    <x v="5"/>
    <x v="1"/>
  </r>
  <r>
    <x v="2501"/>
    <n v="4061011223346"/>
    <x v="3"/>
    <s v="Oblečenie a doplnky – Psy"/>
    <s v="Tail Trend"/>
    <n v="19.600000000000001"/>
    <n v="1"/>
    <s v="NULL"/>
    <s v=""/>
    <d v="2025-06-27T00:00:00"/>
    <n v="0"/>
    <n v="19.600000000000001"/>
    <x v="0"/>
    <x v="5"/>
    <x v="0"/>
  </r>
  <r>
    <x v="2502"/>
    <n v="4026677889902"/>
    <x v="12"/>
    <s v="Misky a kŕmne doplnky – Ostatné"/>
    <s v="Pawsitive Gear"/>
    <n v="7.6"/>
    <n v="1"/>
    <s v="NULL"/>
    <s v=""/>
    <d v="2025-06-28T00:00:00"/>
    <n v="0"/>
    <n v="7.6"/>
    <x v="0"/>
    <x v="5"/>
    <x v="2"/>
  </r>
  <r>
    <x v="2503"/>
    <n v="4028899001126"/>
    <x v="1"/>
    <s v="Krmivo a maškrty – Psy"/>
    <s v="Pup Republic"/>
    <n v="2.8"/>
    <n v="4"/>
    <s v="5"/>
    <s v="Pes šťastný, kupujeme pravidelne."/>
    <d v="2025-06-28T00:00:00"/>
    <n v="0"/>
    <n v="11.2"/>
    <x v="2"/>
    <x v="5"/>
    <x v="0"/>
  </r>
  <r>
    <x v="2504"/>
    <n v="4013456789017"/>
    <x v="0"/>
    <s v="Krmivo a maškrty – Psy"/>
    <s v="Snouty"/>
    <n v="6"/>
    <n v="1"/>
    <s v="NULL"/>
    <s v=""/>
    <d v="2025-06-28T00:00:00"/>
    <n v="0"/>
    <n v="6"/>
    <x v="0"/>
    <x v="5"/>
    <x v="0"/>
  </r>
  <r>
    <x v="2505"/>
    <n v="4040123456795"/>
    <x v="2"/>
    <s v="Starostlivosť a hygiena – Psy"/>
    <s v="Dogissimo"/>
    <n v="8.8000000000000007"/>
    <n v="1"/>
    <s v="NULL"/>
    <s v=""/>
    <d v="2025-06-28T00:00:00"/>
    <n v="0"/>
    <n v="8.8000000000000007"/>
    <x v="0"/>
    <x v="5"/>
    <x v="0"/>
  </r>
  <r>
    <x v="2506"/>
    <n v="4010123456783"/>
    <x v="6"/>
    <s v="Starostlivosť a hygiena – Mačky"/>
    <s v="BellaMeow"/>
    <n v="14"/>
    <n v="1"/>
    <s v="NULL"/>
    <s v=""/>
    <d v="2025-06-28T00:00:00"/>
    <n v="0"/>
    <n v="14"/>
    <x v="0"/>
    <x v="5"/>
    <x v="1"/>
  </r>
  <r>
    <x v="2507"/>
    <n v="8599988776654"/>
    <x v="56"/>
    <s v="Pelechy a nábytok – Psy"/>
    <s v="Pup Republic"/>
    <n v="16.8"/>
    <n v="1"/>
    <s v="5"/>
    <s v="Perfektní pre horké dni, pes na nej spí celé odpoledne."/>
    <d v="2025-07-01T00:00:00"/>
    <n v="0"/>
    <n v="16.8"/>
    <x v="2"/>
    <x v="6"/>
    <x v="0"/>
  </r>
  <r>
    <x v="2508"/>
    <n v="8599988776654"/>
    <x v="56"/>
    <s v="Pelechy a nábytok – Psy"/>
    <s v="Pup Republic"/>
    <n v="16.8"/>
    <n v="2"/>
    <s v="NULL"/>
    <s v=""/>
    <d v="2025-07-01T00:00:00"/>
    <n v="0"/>
    <n v="33.6"/>
    <x v="0"/>
    <x v="6"/>
    <x v="0"/>
  </r>
  <r>
    <x v="2509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10"/>
    <n v="8599988776654"/>
    <x v="56"/>
    <s v="Pelechy a nábytok – Psy"/>
    <s v="Pup Republic"/>
    <n v="16.8"/>
    <n v="3"/>
    <s v="5"/>
    <s v="Pes aj mačka ju milují, výborne chladí a ľahko sa čistí."/>
    <d v="2025-07-01T00:00:00"/>
    <n v="0"/>
    <n v="50.400000000000006"/>
    <x v="2"/>
    <x v="6"/>
    <x v="0"/>
  </r>
  <r>
    <x v="2511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12"/>
    <n v="4028899001126"/>
    <x v="1"/>
    <s v="Krmivo a maškrty – Psy"/>
    <s v="Pup Republic"/>
    <n v="2.8"/>
    <n v="3"/>
    <s v="NULL"/>
    <s v=""/>
    <d v="2025-07-01T00:00:00"/>
    <n v="0"/>
    <n v="8.3999999999999986"/>
    <x v="0"/>
    <x v="6"/>
    <x v="0"/>
  </r>
  <r>
    <x v="2512"/>
    <n v="4013456789017"/>
    <x v="0"/>
    <s v="Krmivo a maškrty – Psy"/>
    <s v="Snouty"/>
    <n v="6"/>
    <n v="1"/>
    <s v="NULL"/>
    <s v=""/>
    <d v="2025-07-01T00:00:00"/>
    <n v="0"/>
    <n v="6"/>
    <x v="0"/>
    <x v="6"/>
    <x v="0"/>
  </r>
  <r>
    <x v="2513"/>
    <n v="8599988776654"/>
    <x v="56"/>
    <s v="Pelechy a nábytok – Psy"/>
    <s v="Pup Republic"/>
    <n v="16.8"/>
    <n v="1"/>
    <s v="5"/>
    <s v="Výborná kvalita, materiál odolný, pes sa ju hneď obľúbil."/>
    <d v="2025-07-01T00:00:00"/>
    <n v="0"/>
    <n v="16.8"/>
    <x v="2"/>
    <x v="6"/>
    <x v="0"/>
  </r>
  <r>
    <x v="2514"/>
    <n v="8599988776654"/>
    <x v="56"/>
    <s v="Pelechy a nábytok – Psy"/>
    <s v="Pup Republic"/>
    <n v="16.8"/>
    <n v="2"/>
    <s v="NULL"/>
    <s v=""/>
    <d v="2025-07-01T00:00:00"/>
    <n v="0"/>
    <n v="33.6"/>
    <x v="0"/>
    <x v="6"/>
    <x v="0"/>
  </r>
  <r>
    <x v="2515"/>
    <n v="4010123456783"/>
    <x v="6"/>
    <s v="Starostlivosť a hygiena – Mačky"/>
    <s v="BellaMeow"/>
    <n v="14"/>
    <n v="1"/>
    <s v="NULL"/>
    <s v=""/>
    <d v="2025-07-01T00:00:00"/>
    <n v="0"/>
    <n v="14"/>
    <x v="0"/>
    <x v="6"/>
    <x v="1"/>
  </r>
  <r>
    <x v="2516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17"/>
    <n v="4028899001126"/>
    <x v="1"/>
    <s v="Krmivo a maškrty – Psy"/>
    <s v="Pup Republic"/>
    <n v="2.8"/>
    <n v="4"/>
    <s v="4"/>
    <s v="Kupuju pravidelne, pes vždy spokojen."/>
    <d v="2025-07-01T00:00:00"/>
    <n v="0"/>
    <n v="11.2"/>
    <x v="1"/>
    <x v="6"/>
    <x v="0"/>
  </r>
  <r>
    <x v="2518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19"/>
    <n v="4056789012345"/>
    <x v="11"/>
    <s v="Krmivo a maškrty – Mačky"/>
    <s v="BellaMeow"/>
    <n v="2.4"/>
    <n v="3"/>
    <s v="NULL"/>
    <s v=""/>
    <d v="2025-07-01T00:00:00"/>
    <n v="0"/>
    <n v="7.1999999999999993"/>
    <x v="0"/>
    <x v="6"/>
    <x v="1"/>
  </r>
  <r>
    <x v="2520"/>
    <n v="8599988776654"/>
    <x v="56"/>
    <s v="Pelechy a nábytok – Psy"/>
    <s v="Pup Republic"/>
    <n v="16.8"/>
    <n v="2"/>
    <s v="5"/>
    <s v="Funguje skvelo, náš retrívr je vďačný za každý chladivý dotyk."/>
    <d v="2025-07-01T00:00:00"/>
    <n v="0"/>
    <n v="33.6"/>
    <x v="2"/>
    <x v="6"/>
    <x v="0"/>
  </r>
  <r>
    <x v="2521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22"/>
    <n v="8599988776654"/>
    <x v="56"/>
    <s v="Pelechy a nábytok – Psy"/>
    <s v="Pup Republic"/>
    <n v="16.8"/>
    <n v="1"/>
    <s v="NULL"/>
    <s v=""/>
    <d v="2025-07-01T00:00:00"/>
    <n v="0"/>
    <n v="16.8"/>
    <x v="0"/>
    <x v="6"/>
    <x v="0"/>
  </r>
  <r>
    <x v="2523"/>
    <n v="8599988776654"/>
    <x v="56"/>
    <s v="Pelechy a nábytok – Psy"/>
    <s v="Pup Republic"/>
    <n v="16.8"/>
    <n v="2"/>
    <s v="NULL"/>
    <s v=""/>
    <d v="2025-07-01T00:00:00"/>
    <n v="0"/>
    <n v="33.6"/>
    <x v="0"/>
    <x v="6"/>
    <x v="0"/>
  </r>
  <r>
    <x v="2524"/>
    <n v="8599988776654"/>
    <x v="56"/>
    <s v="Pelechy a nábytok – Psy"/>
    <s v="Pup Republic"/>
    <n v="16.8"/>
    <n v="1"/>
    <s v="4"/>
    <s v="Príjemný materiál, nešmýka sa na podlaze."/>
    <d v="2025-07-01T00:00:00"/>
    <n v="0"/>
    <n v="16.8"/>
    <x v="1"/>
    <x v="6"/>
    <x v="0"/>
  </r>
  <r>
    <x v="2525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26"/>
    <n v="4027788990013"/>
    <x v="9"/>
    <s v="Starostlivosť a hygiena – Psy"/>
    <s v="Dogissimo"/>
    <n v="8"/>
    <n v="1"/>
    <s v="NULL"/>
    <s v=""/>
    <d v="2025-07-02T00:00:00"/>
    <n v="0"/>
    <n v="8"/>
    <x v="0"/>
    <x v="6"/>
    <x v="0"/>
  </r>
  <r>
    <x v="2527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28"/>
    <n v="4013456789017"/>
    <x v="0"/>
    <s v="Krmivo a maškrty – Psy"/>
    <s v="Snouty"/>
    <n v="6"/>
    <n v="2"/>
    <s v="NULL"/>
    <s v=""/>
    <d v="2025-07-02T00:00:00"/>
    <n v="0"/>
    <n v="12"/>
    <x v="0"/>
    <x v="6"/>
    <x v="0"/>
  </r>
  <r>
    <x v="2529"/>
    <n v="8599988776654"/>
    <x v="56"/>
    <s v="Pelechy a nábytok – Psy"/>
    <s v="Pup Republic"/>
    <n v="16.8"/>
    <n v="2"/>
    <s v="5"/>
    <s v="Zázrak! Môj pes už neleží v kúpeľni, ale len na tejto podložce."/>
    <d v="2025-07-02T00:00:00"/>
    <n v="0"/>
    <n v="33.6"/>
    <x v="2"/>
    <x v="6"/>
    <x v="0"/>
  </r>
  <r>
    <x v="2530"/>
    <n v="4061011223346"/>
    <x v="3"/>
    <s v="Oblečenie a doplnky – Psy"/>
    <s v="Tail Trend"/>
    <n v="19.600000000000001"/>
    <n v="1"/>
    <s v="NULL"/>
    <s v=""/>
    <d v="2025-07-02T00:00:00"/>
    <n v="0"/>
    <n v="19.600000000000001"/>
    <x v="0"/>
    <x v="6"/>
    <x v="0"/>
  </r>
  <r>
    <x v="2531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32"/>
    <n v="4010123456783"/>
    <x v="6"/>
    <s v="Starostlivosť a hygiena – Mačky"/>
    <s v="BellaMeow"/>
    <n v="14"/>
    <n v="1"/>
    <s v="NULL"/>
    <s v=""/>
    <d v="2025-07-02T00:00:00"/>
    <n v="0"/>
    <n v="14"/>
    <x v="0"/>
    <x v="6"/>
    <x v="1"/>
  </r>
  <r>
    <x v="2533"/>
    <n v="8599988776654"/>
    <x v="56"/>
    <s v="Pelechy a nábytok – Psy"/>
    <s v="Pup Republic"/>
    <n v="16.8"/>
    <n v="1"/>
    <s v="5"/>
    <s v="Perfektní produkt, kúpim aj menší pre druhého psa."/>
    <d v="2025-07-02T00:00:00"/>
    <n v="0"/>
    <n v="16.8"/>
    <x v="2"/>
    <x v="6"/>
    <x v="0"/>
  </r>
  <r>
    <x v="2534"/>
    <n v="4028899001126"/>
    <x v="1"/>
    <s v="Krmivo a maškrty – Psy"/>
    <s v="Pup Republic"/>
    <n v="2.8"/>
    <n v="3"/>
    <s v="NULL"/>
    <s v=""/>
    <d v="2025-07-02T00:00:00"/>
    <n v="0"/>
    <n v="8.3999999999999986"/>
    <x v="0"/>
    <x v="6"/>
    <x v="0"/>
  </r>
  <r>
    <x v="2535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36"/>
    <n v="8599988776654"/>
    <x v="56"/>
    <s v="Pelechy a nábytok – Psy"/>
    <s v="Pup Republic"/>
    <n v="16.8"/>
    <n v="2"/>
    <s v="4"/>
    <s v="Fajn pre letní cesty autem, ľahko sa složí."/>
    <d v="2025-07-02T00:00:00"/>
    <n v="0"/>
    <n v="33.6"/>
    <x v="1"/>
    <x v="6"/>
    <x v="0"/>
  </r>
  <r>
    <x v="2537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38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39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40"/>
    <n v="4021234567894"/>
    <x v="18"/>
    <s v="Starostlivosť a hygiena – Mačky"/>
    <s v="PawStyle"/>
    <n v="8"/>
    <n v="1"/>
    <s v="NULL"/>
    <s v=""/>
    <d v="2025-07-02T00:00:00"/>
    <n v="0"/>
    <n v="8"/>
    <x v="0"/>
    <x v="6"/>
    <x v="1"/>
  </r>
  <r>
    <x v="2541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42"/>
    <n v="4013456789017"/>
    <x v="0"/>
    <s v="Krmivo a maškrty – Psy"/>
    <s v="Snouty"/>
    <n v="6"/>
    <n v="1"/>
    <s v="NULL"/>
    <s v=""/>
    <d v="2025-07-02T00:00:00"/>
    <n v="0"/>
    <n v="6"/>
    <x v="0"/>
    <x v="6"/>
    <x v="0"/>
  </r>
  <r>
    <x v="2543"/>
    <n v="8599988776654"/>
    <x v="56"/>
    <s v="Pelechy a nábytok – Psy"/>
    <s v="Pup Republic"/>
    <n v="16.8"/>
    <n v="1"/>
    <s v="5"/>
    <s v="Najlepšie nákup leta! Vydrží chladná aj po hodinách."/>
    <d v="2025-07-02T00:00:00"/>
    <n v="0"/>
    <n v="16.8"/>
    <x v="2"/>
    <x v="6"/>
    <x v="0"/>
  </r>
  <r>
    <x v="2544"/>
    <n v="4028899001126"/>
    <x v="1"/>
    <s v="Krmivo a maškrty – Psy"/>
    <s v="Pup Republic"/>
    <n v="2.8"/>
    <n v="2"/>
    <s v="NULL"/>
    <s v=""/>
    <d v="2025-07-02T00:00:00"/>
    <n v="0"/>
    <n v="5.6"/>
    <x v="0"/>
    <x v="6"/>
    <x v="0"/>
  </r>
  <r>
    <x v="2545"/>
    <n v="8599988776654"/>
    <x v="56"/>
    <s v="Pelechy a nábytok – Psy"/>
    <s v="Pup Republic"/>
    <n v="16.8"/>
    <n v="1"/>
    <s v="NULL"/>
    <s v=""/>
    <d v="2025-07-02T00:00:00"/>
    <n v="0"/>
    <n v="16.8"/>
    <x v="0"/>
    <x v="6"/>
    <x v="0"/>
  </r>
  <r>
    <x v="2546"/>
    <n v="4017890123450"/>
    <x v="16"/>
    <s v="Hračky – Psy"/>
    <s v="Dogissimo"/>
    <n v="7.6"/>
    <n v="1"/>
    <s v="NULL"/>
    <s v=""/>
    <d v="2025-07-03T00:00:00"/>
    <n v="0"/>
    <n v="7.6"/>
    <x v="0"/>
    <x v="6"/>
    <x v="0"/>
  </r>
  <r>
    <x v="2547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48"/>
    <n v="4010123456783"/>
    <x v="6"/>
    <s v="Starostlivosť a hygiena – Mačky"/>
    <s v="BellaMeow"/>
    <n v="14"/>
    <n v="2"/>
    <s v="NULL"/>
    <s v=""/>
    <d v="2025-07-03T00:00:00"/>
    <n v="0"/>
    <n v="28"/>
    <x v="0"/>
    <x v="6"/>
    <x v="1"/>
  </r>
  <r>
    <x v="2549"/>
    <n v="8599988776654"/>
    <x v="56"/>
    <s v="Pelechy a nábytok – Psy"/>
    <s v="Pup Republic"/>
    <n v="16.8"/>
    <n v="2"/>
    <s v="NULL"/>
    <s v=""/>
    <d v="2025-07-03T00:00:00"/>
    <n v="0"/>
    <n v="33.6"/>
    <x v="0"/>
    <x v="6"/>
    <x v="0"/>
  </r>
  <r>
    <x v="2550"/>
    <n v="4063456789014"/>
    <x v="15"/>
    <s v="Krmivo a maškrty – Psy"/>
    <s v="Pupco"/>
    <n v="36"/>
    <n v="1"/>
    <s v="NULL"/>
    <s v=""/>
    <d v="2025-07-03T00:00:00"/>
    <n v="0"/>
    <n v="36"/>
    <x v="0"/>
    <x v="6"/>
    <x v="0"/>
  </r>
  <r>
    <x v="2551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52"/>
    <n v="4056789012345"/>
    <x v="11"/>
    <s v="Krmivo a maškrty – Mačky"/>
    <s v="BellaMeow"/>
    <n v="2.4"/>
    <n v="3"/>
    <s v="NULL"/>
    <s v=""/>
    <d v="2025-07-03T00:00:00"/>
    <n v="0"/>
    <n v="7.1999999999999993"/>
    <x v="0"/>
    <x v="6"/>
    <x v="1"/>
  </r>
  <r>
    <x v="2553"/>
    <n v="8599988776654"/>
    <x v="56"/>
    <s v="Pelechy a nábytok – Psy"/>
    <s v="Pup Republic"/>
    <n v="16.8"/>
    <n v="1"/>
    <s v="4"/>
    <s v="Dobre funguje, len trochu šmýka sa na dlažbe."/>
    <d v="2025-07-03T00:00:00"/>
    <n v="0"/>
    <n v="16.8"/>
    <x v="1"/>
    <x v="6"/>
    <x v="0"/>
  </r>
  <r>
    <x v="2554"/>
    <n v="4028899001126"/>
    <x v="1"/>
    <s v="Krmivo a maškrty – Psy"/>
    <s v="Pup Republic"/>
    <n v="2.8"/>
    <n v="3"/>
    <s v="NULL"/>
    <s v=""/>
    <d v="2025-07-03T00:00:00"/>
    <n v="0"/>
    <n v="8.3999999999999986"/>
    <x v="0"/>
    <x v="6"/>
    <x v="0"/>
  </r>
  <r>
    <x v="2555"/>
    <n v="8599988776654"/>
    <x v="56"/>
    <s v="Pelechy a nábytok – Psy"/>
    <s v="Pup Republic"/>
    <n v="16.8"/>
    <n v="2"/>
    <s v="NULL"/>
    <s v=""/>
    <d v="2025-07-03T00:00:00"/>
    <n v="0"/>
    <n v="33.6"/>
    <x v="0"/>
    <x v="6"/>
    <x v="0"/>
  </r>
  <r>
    <x v="2556"/>
    <n v="8599988776654"/>
    <x v="56"/>
    <s v="Pelechy a nábytok – Psy"/>
    <s v="Pup Republic"/>
    <n v="16.8"/>
    <n v="1"/>
    <s v="5"/>
    <s v="Pes sa ju okamžite obľúbil, ideálne aj do auta."/>
    <d v="2025-07-03T00:00:00"/>
    <n v="0"/>
    <n v="16.8"/>
    <x v="2"/>
    <x v="6"/>
    <x v="0"/>
  </r>
  <r>
    <x v="2557"/>
    <n v="4013456789017"/>
    <x v="0"/>
    <s v="Krmivo a maškrty – Psy"/>
    <s v="Snouty"/>
    <n v="6"/>
    <n v="1"/>
    <s v="NULL"/>
    <s v=""/>
    <d v="2025-07-03T00:00:00"/>
    <n v="0"/>
    <n v="6"/>
    <x v="0"/>
    <x v="6"/>
    <x v="0"/>
  </r>
  <r>
    <x v="2558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59"/>
    <n v="4028899001126"/>
    <x v="1"/>
    <s v="Krmivo a maškrty – Psy"/>
    <s v="Pup Republic"/>
    <n v="2.8"/>
    <n v="4"/>
    <s v="NULL"/>
    <s v=""/>
    <d v="2025-07-03T00:00:00"/>
    <n v="0"/>
    <n v="11.2"/>
    <x v="0"/>
    <x v="6"/>
    <x v="0"/>
  </r>
  <r>
    <x v="2560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61"/>
    <n v="4010123456783"/>
    <x v="6"/>
    <s v="Starostlivosť a hygiena – Mačky"/>
    <s v="BellaMeow"/>
    <n v="14"/>
    <n v="1"/>
    <s v="NULL"/>
    <s v=""/>
    <d v="2025-07-03T00:00:00"/>
    <n v="0"/>
    <n v="14"/>
    <x v="0"/>
    <x v="6"/>
    <x v="1"/>
  </r>
  <r>
    <x v="2562"/>
    <n v="8599988776654"/>
    <x v="56"/>
    <s v="Pelechy a nábytok – Psy"/>
    <s v="Pup Republic"/>
    <n v="16.8"/>
    <n v="2"/>
    <s v="5"/>
    <s v="Skvelá vec, koupilaj sme hneď druhou pre chatu."/>
    <d v="2025-07-03T00:00:00"/>
    <n v="0"/>
    <n v="33.6"/>
    <x v="2"/>
    <x v="6"/>
    <x v="0"/>
  </r>
  <r>
    <x v="2563"/>
    <n v="4056789012345"/>
    <x v="11"/>
    <s v="Krmivo a maškrty – Mačky"/>
    <s v="BellaMeow"/>
    <n v="2.4"/>
    <n v="2"/>
    <s v="NULL"/>
    <s v=""/>
    <d v="2025-07-03T00:00:00"/>
    <n v="0"/>
    <n v="4.8"/>
    <x v="0"/>
    <x v="6"/>
    <x v="1"/>
  </r>
  <r>
    <x v="2564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65"/>
    <n v="4021234567894"/>
    <x v="18"/>
    <s v="Starostlivosť a hygiena – Mačky"/>
    <s v="PawStyle"/>
    <n v="8"/>
    <n v="1"/>
    <s v="NULL"/>
    <s v=""/>
    <d v="2025-07-03T00:00:00"/>
    <n v="0"/>
    <n v="8"/>
    <x v="0"/>
    <x v="6"/>
    <x v="1"/>
  </r>
  <r>
    <x v="2566"/>
    <n v="8599988776654"/>
    <x v="56"/>
    <s v="Pelechy a nábytok – Psy"/>
    <s v="Pup Republic"/>
    <n v="16.8"/>
    <n v="1"/>
    <s v="NULL"/>
    <s v=""/>
    <d v="2025-07-03T00:00:00"/>
    <n v="0"/>
    <n v="16.8"/>
    <x v="0"/>
    <x v="6"/>
    <x v="0"/>
  </r>
  <r>
    <x v="2567"/>
    <n v="4063456789014"/>
    <x v="15"/>
    <s v="Krmivo a maškrty – Psy"/>
    <s v="Pupco"/>
    <n v="36"/>
    <n v="1"/>
    <s v="NULL"/>
    <s v=""/>
    <d v="2025-07-03T00:00:00"/>
    <n v="0"/>
    <n v="36"/>
    <x v="0"/>
    <x v="6"/>
    <x v="0"/>
  </r>
  <r>
    <x v="2568"/>
    <n v="8599988776654"/>
    <x v="56"/>
    <s v="Pelechy a nábytok – Psy"/>
    <s v="Pup Republic"/>
    <n v="16.8"/>
    <n v="2"/>
    <s v="4"/>
    <s v="Príjemná na dotyk, pomáha aj starším psom."/>
    <d v="2025-07-04T00:00:00"/>
    <n v="0"/>
    <n v="33.6"/>
    <x v="1"/>
    <x v="6"/>
    <x v="0"/>
  </r>
  <r>
    <x v="2569"/>
    <n v="4017890123450"/>
    <x v="16"/>
    <s v="Hračky – Psy"/>
    <s v="Dogissimo"/>
    <n v="7.6"/>
    <n v="1"/>
    <s v="NULL"/>
    <s v=""/>
    <d v="2025-07-04T00:00:00"/>
    <n v="0"/>
    <n v="7.6"/>
    <x v="0"/>
    <x v="6"/>
    <x v="0"/>
  </r>
  <r>
    <x v="2570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71"/>
    <n v="4013456789017"/>
    <x v="0"/>
    <s v="Krmivo a maškrty – Psy"/>
    <s v="Snouty"/>
    <n v="6"/>
    <n v="2"/>
    <s v="NULL"/>
    <s v=""/>
    <d v="2025-07-04T00:00:00"/>
    <n v="0"/>
    <n v="12"/>
    <x v="0"/>
    <x v="6"/>
    <x v="0"/>
  </r>
  <r>
    <x v="2572"/>
    <n v="8599988776654"/>
    <x v="56"/>
    <s v="Pelechy a nábytok – Psy"/>
    <s v="Pup Republic"/>
    <n v="16.8"/>
    <n v="1"/>
    <s v="5"/>
    <s v="Naše fenka na nej leží celý deň, chladí okamžite."/>
    <d v="2025-07-04T00:00:00"/>
    <n v="0"/>
    <n v="16.8"/>
    <x v="2"/>
    <x v="6"/>
    <x v="0"/>
  </r>
  <r>
    <x v="2573"/>
    <n v="4028899001126"/>
    <x v="1"/>
    <s v="Krmivo a maškrty – Psy"/>
    <s v="Pup Republic"/>
    <n v="2.8"/>
    <n v="3"/>
    <s v="NULL"/>
    <s v=""/>
    <d v="2025-07-04T00:00:00"/>
    <n v="0"/>
    <n v="8.3999999999999986"/>
    <x v="0"/>
    <x v="6"/>
    <x v="0"/>
  </r>
  <r>
    <x v="2574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75"/>
    <n v="4056789012345"/>
    <x v="11"/>
    <s v="Krmivo a maškrty – Mačky"/>
    <s v="BellaMeow"/>
    <n v="2.4"/>
    <n v="2"/>
    <s v="NULL"/>
    <s v=""/>
    <d v="2025-07-04T00:00:00"/>
    <n v="0"/>
    <n v="4.8"/>
    <x v="0"/>
    <x v="6"/>
    <x v="1"/>
  </r>
  <r>
    <x v="2576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77"/>
    <n v="4010123456783"/>
    <x v="6"/>
    <s v="Starostlivosť a hygiena – Mačky"/>
    <s v="BellaMeow"/>
    <n v="14"/>
    <n v="1"/>
    <s v="NULL"/>
    <s v=""/>
    <d v="2025-07-04T00:00:00"/>
    <n v="0"/>
    <n v="14"/>
    <x v="0"/>
    <x v="6"/>
    <x v="1"/>
  </r>
  <r>
    <x v="2578"/>
    <n v="8599988776654"/>
    <x v="56"/>
    <s v="Pelechy a nábytok – Psy"/>
    <s v="Pup Republic"/>
    <n v="16.8"/>
    <n v="2"/>
    <s v="NULL"/>
    <s v=""/>
    <d v="2025-07-04T00:00:00"/>
    <n v="0"/>
    <n v="33.6"/>
    <x v="0"/>
    <x v="6"/>
    <x v="0"/>
  </r>
  <r>
    <x v="2579"/>
    <n v="4026677889902"/>
    <x v="12"/>
    <s v="Misky a kŕmne doplnky – Ostatné"/>
    <s v="Pawsitive Gear"/>
    <n v="7.6"/>
    <n v="1"/>
    <s v="NULL"/>
    <s v=""/>
    <d v="2025-07-04T00:00:00"/>
    <n v="0"/>
    <n v="7.6"/>
    <x v="0"/>
    <x v="6"/>
    <x v="2"/>
  </r>
  <r>
    <x v="2580"/>
    <n v="8599988776654"/>
    <x v="56"/>
    <s v="Pelechy a nábytok – Psy"/>
    <s v="Pup Republic"/>
    <n v="16.8"/>
    <n v="1"/>
    <s v="5"/>
    <s v="Najlepšie pomocník do letních veder. Odporúčam každému!"/>
    <d v="2025-07-04T00:00:00"/>
    <n v="0"/>
    <n v="16.8"/>
    <x v="2"/>
    <x v="6"/>
    <x v="0"/>
  </r>
  <r>
    <x v="2581"/>
    <n v="4028899001126"/>
    <x v="1"/>
    <s v="Krmivo a maškrty – Psy"/>
    <s v="Pup Republic"/>
    <n v="2.8"/>
    <n v="4"/>
    <s v="NULL"/>
    <s v=""/>
    <d v="2025-07-04T00:00:00"/>
    <n v="0"/>
    <n v="11.2"/>
    <x v="0"/>
    <x v="6"/>
    <x v="0"/>
  </r>
  <r>
    <x v="2582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83"/>
    <n v="4013456789017"/>
    <x v="0"/>
    <s v="Krmivo a maškrty – Psy"/>
    <s v="Snouty"/>
    <n v="6"/>
    <n v="2"/>
    <s v="NULL"/>
    <s v=""/>
    <d v="2025-07-04T00:00:00"/>
    <n v="0"/>
    <n v="12"/>
    <x v="0"/>
    <x v="6"/>
    <x v="0"/>
  </r>
  <r>
    <x v="2584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85"/>
    <n v="4061011223346"/>
    <x v="3"/>
    <s v="Oblečenie a doplnky – Psy"/>
    <s v="Tail Trend"/>
    <n v="19.600000000000001"/>
    <n v="1"/>
    <s v="NULL"/>
    <s v=""/>
    <d v="2025-07-04T00:00:00"/>
    <n v="0"/>
    <n v="19.600000000000001"/>
    <x v="0"/>
    <x v="6"/>
    <x v="0"/>
  </r>
  <r>
    <x v="2586"/>
    <n v="8599988776654"/>
    <x v="56"/>
    <s v="Pelechy a nábytok – Psy"/>
    <s v="Pup Republic"/>
    <n v="16.8"/>
    <n v="1"/>
    <s v="4"/>
    <s v="Príjemne mäkká a lehká, ľahko sa čistí."/>
    <d v="2025-07-04T00:00:00"/>
    <n v="0"/>
    <n v="16.8"/>
    <x v="1"/>
    <x v="6"/>
    <x v="0"/>
  </r>
  <r>
    <x v="2587"/>
    <n v="4010123456783"/>
    <x v="6"/>
    <s v="Starostlivosť a hygiena – Mačky"/>
    <s v="BellaMeow"/>
    <n v="14"/>
    <n v="1"/>
    <s v="NULL"/>
    <s v=""/>
    <d v="2025-07-04T00:00:00"/>
    <n v="0"/>
    <n v="14"/>
    <x v="0"/>
    <x v="6"/>
    <x v="1"/>
  </r>
  <r>
    <x v="2588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89"/>
    <n v="4056789012345"/>
    <x v="11"/>
    <s v="Krmivo a maškrty – Mačky"/>
    <s v="BellaMeow"/>
    <n v="2.4"/>
    <n v="3"/>
    <s v="NULL"/>
    <s v=""/>
    <d v="2025-07-04T00:00:00"/>
    <n v="0"/>
    <n v="7.1999999999999993"/>
    <x v="0"/>
    <x v="6"/>
    <x v="1"/>
  </r>
  <r>
    <x v="2590"/>
    <n v="8599988776654"/>
    <x v="56"/>
    <s v="Pelechy a nábytok – Psy"/>
    <s v="Pup Republic"/>
    <n v="16.8"/>
    <n v="2"/>
    <s v="NULL"/>
    <s v=""/>
    <d v="2025-07-04T00:00:00"/>
    <n v="0"/>
    <n v="33.6"/>
    <x v="0"/>
    <x v="6"/>
    <x v="0"/>
  </r>
  <r>
    <x v="2591"/>
    <n v="4027788990013"/>
    <x v="9"/>
    <s v="Starostlivosť a hygiena – Psy"/>
    <s v="Dogissimo"/>
    <n v="8"/>
    <n v="1"/>
    <s v="NULL"/>
    <s v=""/>
    <d v="2025-07-04T00:00:00"/>
    <n v="0"/>
    <n v="8"/>
    <x v="0"/>
    <x v="6"/>
    <x v="0"/>
  </r>
  <r>
    <x v="2592"/>
    <n v="8599988776654"/>
    <x v="56"/>
    <s v="Pelechy a nábytok – Psy"/>
    <s v="Pup Republic"/>
    <n v="16.8"/>
    <n v="1"/>
    <s v="5"/>
    <s v="Pes sa konečne prestal váľať u ventilátore. Super!"/>
    <d v="2025-07-04T00:00:00"/>
    <n v="0"/>
    <n v="16.8"/>
    <x v="2"/>
    <x v="6"/>
    <x v="0"/>
  </r>
  <r>
    <x v="2593"/>
    <n v="4017890123450"/>
    <x v="16"/>
    <s v="Hračky – Psy"/>
    <s v="Dogissimo"/>
    <n v="7.6"/>
    <n v="1"/>
    <s v="NULL"/>
    <s v=""/>
    <d v="2025-07-04T00:00:00"/>
    <n v="0"/>
    <n v="7.6"/>
    <x v="0"/>
    <x v="6"/>
    <x v="0"/>
  </r>
  <r>
    <x v="2594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95"/>
    <n v="4013456789017"/>
    <x v="0"/>
    <s v="Krmivo a maškrty – Psy"/>
    <s v="Snouty"/>
    <n v="6"/>
    <n v="1"/>
    <s v="NULL"/>
    <s v=""/>
    <d v="2025-07-04T00:00:00"/>
    <n v="0"/>
    <n v="6"/>
    <x v="0"/>
    <x v="6"/>
    <x v="0"/>
  </r>
  <r>
    <x v="2596"/>
    <n v="8599988776654"/>
    <x v="56"/>
    <s v="Pelechy a nábytok – Psy"/>
    <s v="Pup Republic"/>
    <n v="16.8"/>
    <n v="2"/>
    <s v="5"/>
    <s v="Díky tejto podložce máme klidného psa aj v tropických dnech."/>
    <d v="2025-07-04T00:00:00"/>
    <n v="0"/>
    <n v="33.6"/>
    <x v="2"/>
    <x v="6"/>
    <x v="0"/>
  </r>
  <r>
    <x v="2597"/>
    <n v="4028899001126"/>
    <x v="1"/>
    <s v="Krmivo a maškrty – Psy"/>
    <s v="Pup Republic"/>
    <n v="2.8"/>
    <n v="3"/>
    <s v="NULL"/>
    <s v=""/>
    <d v="2025-07-04T00:00:00"/>
    <n v="0"/>
    <n v="8.3999999999999986"/>
    <x v="0"/>
    <x v="6"/>
    <x v="0"/>
  </r>
  <r>
    <x v="2598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599"/>
    <n v="4063456789014"/>
    <x v="15"/>
    <s v="Krmivo a maškrty – Psy"/>
    <s v="Pupco"/>
    <n v="36"/>
    <n v="1"/>
    <s v="NULL"/>
    <s v=""/>
    <d v="2025-07-04T00:00:00"/>
    <n v="0"/>
    <n v="36"/>
    <x v="0"/>
    <x v="6"/>
    <x v="0"/>
  </r>
  <r>
    <x v="2600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601"/>
    <n v="4021234567894"/>
    <x v="18"/>
    <s v="Starostlivosť a hygiena – Mačky"/>
    <s v="PawStyle"/>
    <n v="8"/>
    <n v="1"/>
    <s v="NULL"/>
    <s v=""/>
    <d v="2025-07-04T00:00:00"/>
    <n v="0"/>
    <n v="8"/>
    <x v="0"/>
    <x v="6"/>
    <x v="1"/>
  </r>
  <r>
    <x v="2602"/>
    <n v="8599988776654"/>
    <x v="56"/>
    <s v="Pelechy a nábytok – Psy"/>
    <s v="Pup Republic"/>
    <n v="16.8"/>
    <n v="1"/>
    <s v="NULL"/>
    <s v=""/>
    <d v="2025-07-04T00:00:00"/>
    <n v="0"/>
    <n v="16.8"/>
    <x v="0"/>
    <x v="6"/>
    <x v="0"/>
  </r>
  <r>
    <x v="2603"/>
    <n v="4010123456783"/>
    <x v="6"/>
    <s v="Starostlivosť a hygiena – Mačky"/>
    <s v="BellaMeow"/>
    <n v="14"/>
    <n v="1"/>
    <s v="NULL"/>
    <s v=""/>
    <d v="2025-07-04T00:00:00"/>
    <n v="0"/>
    <n v="14"/>
    <x v="0"/>
    <x v="6"/>
    <x v="1"/>
  </r>
  <r>
    <x v="2604"/>
    <n v="8599988776654"/>
    <x v="56"/>
    <s v="Pelechy a nábytok – Psy"/>
    <s v="Pup Republic"/>
    <n v="16.8"/>
    <n v="2"/>
    <s v="NULL"/>
    <s v=""/>
    <d v="2025-07-04T00:00:00"/>
    <n v="0"/>
    <n v="33.6"/>
    <x v="0"/>
    <x v="6"/>
    <x v="0"/>
  </r>
  <r>
    <x v="2605"/>
    <n v="4013456789017"/>
    <x v="0"/>
    <s v="Krmivo a maškrty – Psy"/>
    <s v="Snouty"/>
    <n v="6"/>
    <n v="1"/>
    <s v="NULL"/>
    <s v=""/>
    <d v="2025-07-04T00:00:00"/>
    <n v="0"/>
    <n v="6"/>
    <x v="0"/>
    <x v="6"/>
    <x v="0"/>
  </r>
  <r>
    <x v="2606"/>
    <n v="8599988776654"/>
    <x v="56"/>
    <s v="Pelechy a nábytok – Psy"/>
    <s v="Pup Republic"/>
    <n v="16.8"/>
    <n v="1"/>
    <s v="5"/>
    <s v="Pes už nechce spát nikde jinde, naozaj chladí."/>
    <d v="2025-07-05T00:00:00"/>
    <n v="0"/>
    <n v="16.8"/>
    <x v="2"/>
    <x v="6"/>
    <x v="0"/>
  </r>
  <r>
    <x v="2607"/>
    <n v="4028899001126"/>
    <x v="1"/>
    <s v="Krmivo a maškrty – Psy"/>
    <s v="Pup Republic"/>
    <n v="2.8"/>
    <n v="3"/>
    <s v="NULL"/>
    <s v=""/>
    <d v="2025-07-05T00:00:00"/>
    <n v="0"/>
    <n v="8.3999999999999986"/>
    <x v="0"/>
    <x v="6"/>
    <x v="0"/>
  </r>
  <r>
    <x v="2608"/>
    <n v="8599988776654"/>
    <x v="56"/>
    <s v="Pelechy a nábytok – Psy"/>
    <s v="Pup Republic"/>
    <n v="16.8"/>
    <n v="1"/>
    <s v="NULL"/>
    <s v=""/>
    <d v="2025-07-05T00:00:00"/>
    <n v="0"/>
    <n v="16.8"/>
    <x v="0"/>
    <x v="6"/>
    <x v="0"/>
  </r>
  <r>
    <x v="2609"/>
    <n v="4013456789017"/>
    <x v="0"/>
    <s v="Krmivo a maškrty – Psy"/>
    <s v="Snouty"/>
    <n v="6"/>
    <n v="1"/>
    <s v="NULL"/>
    <s v=""/>
    <d v="2025-07-05T00:00:00"/>
    <n v="0"/>
    <n v="6"/>
    <x v="0"/>
    <x v="6"/>
    <x v="0"/>
  </r>
  <r>
    <x v="2610"/>
    <n v="8599988776654"/>
    <x v="56"/>
    <s v="Pelechy a nábytok – Psy"/>
    <s v="Pup Republic"/>
    <n v="16.8"/>
    <n v="2"/>
    <s v="NULL"/>
    <s v=""/>
    <d v="2025-07-05T00:00:00"/>
    <n v="0"/>
    <n v="33.6"/>
    <x v="0"/>
    <x v="6"/>
    <x v="0"/>
  </r>
  <r>
    <x v="2611"/>
    <n v="4056789012345"/>
    <x v="11"/>
    <s v="Krmivo a maškrty – Mačky"/>
    <s v="BellaMeow"/>
    <n v="2.4"/>
    <n v="3"/>
    <s v="NULL"/>
    <s v=""/>
    <d v="2025-07-05T00:00:00"/>
    <n v="0"/>
    <n v="7.1999999999999993"/>
    <x v="0"/>
    <x v="6"/>
    <x v="1"/>
  </r>
  <r>
    <x v="2612"/>
    <n v="8599988776654"/>
    <x v="56"/>
    <s v="Pelechy a nábytok – Psy"/>
    <s v="Pup Republic"/>
    <n v="16.8"/>
    <n v="1"/>
    <s v="5"/>
    <s v="Skvelý produkt, pes sa na nej ochladí počas chvíľky."/>
    <d v="2025-07-05T00:00:00"/>
    <n v="0"/>
    <n v="16.8"/>
    <x v="2"/>
    <x v="6"/>
    <x v="0"/>
  </r>
  <r>
    <x v="2613"/>
    <n v="4021234567894"/>
    <x v="18"/>
    <s v="Starostlivosť a hygiena – Mačky"/>
    <s v="PawStyle"/>
    <n v="8"/>
    <n v="1"/>
    <s v="NULL"/>
    <s v=""/>
    <d v="2025-07-05T00:00:00"/>
    <n v="0"/>
    <n v="8"/>
    <x v="0"/>
    <x v="6"/>
    <x v="1"/>
  </r>
  <r>
    <x v="2614"/>
    <n v="8599988776654"/>
    <x v="56"/>
    <s v="Pelechy a nábytok – Psy"/>
    <s v="Pup Republic"/>
    <n v="16.8"/>
    <n v="1"/>
    <s v="NULL"/>
    <s v=""/>
    <d v="2025-07-05T00:00:00"/>
    <n v="0"/>
    <n v="16.8"/>
    <x v="0"/>
    <x v="6"/>
    <x v="0"/>
  </r>
  <r>
    <x v="2615"/>
    <n v="4063456789014"/>
    <x v="15"/>
    <s v="Krmivo a maškrty – Psy"/>
    <s v="Pupco"/>
    <n v="36"/>
    <n v="1"/>
    <s v="NULL"/>
    <s v=""/>
    <d v="2025-07-05T00:00:00"/>
    <n v="0"/>
    <n v="36"/>
    <x v="0"/>
    <x v="6"/>
    <x v="0"/>
  </r>
  <r>
    <x v="2616"/>
    <n v="8599988776654"/>
    <x v="56"/>
    <s v="Pelechy a nábytok – Psy"/>
    <s v="Pup Republic"/>
    <n v="16.8"/>
    <n v="2"/>
    <s v="4"/>
    <s v="Používáme aj venku na terase, drží teplotu."/>
    <d v="2025-07-05T00:00:00"/>
    <n v="0"/>
    <n v="33.6"/>
    <x v="1"/>
    <x v="6"/>
    <x v="0"/>
  </r>
  <r>
    <x v="2617"/>
    <n v="4028899001126"/>
    <x v="1"/>
    <s v="Krmivo a maškrty – Psy"/>
    <s v="Pup Republic"/>
    <n v="2.8"/>
    <n v="4"/>
    <s v="NULL"/>
    <s v=""/>
    <d v="2025-07-05T00:00:00"/>
    <n v="0"/>
    <n v="11.2"/>
    <x v="0"/>
    <x v="6"/>
    <x v="0"/>
  </r>
  <r>
    <x v="2618"/>
    <n v="8599988776654"/>
    <x v="56"/>
    <s v="Pelechy a nábytok – Psy"/>
    <s v="Pup Republic"/>
    <n v="16.8"/>
    <n v="1"/>
    <s v="NULL"/>
    <s v=""/>
    <d v="2025-07-05T00:00:00"/>
    <n v="0"/>
    <n v="16.8"/>
    <x v="0"/>
    <x v="6"/>
    <x v="0"/>
  </r>
  <r>
    <x v="2619"/>
    <n v="4010123456783"/>
    <x v="6"/>
    <s v="Starostlivosť a hygiena – Mačky"/>
    <s v="BellaMeow"/>
    <n v="14"/>
    <n v="2"/>
    <s v="NULL"/>
    <s v=""/>
    <d v="2025-07-05T00:00:00"/>
    <n v="0"/>
    <n v="28"/>
    <x v="0"/>
    <x v="6"/>
    <x v="1"/>
  </r>
  <r>
    <x v="2620"/>
    <n v="8599988776654"/>
    <x v="56"/>
    <s v="Pelechy a nábytok – Psy"/>
    <s v="Pup Republic"/>
    <n v="16.8"/>
    <n v="1"/>
    <s v="NULL"/>
    <s v=""/>
    <d v="2025-07-05T00:00:00"/>
    <n v="0"/>
    <n v="16.8"/>
    <x v="0"/>
    <x v="6"/>
    <x v="0"/>
  </r>
  <r>
    <x v="2621"/>
    <n v="4013456789017"/>
    <x v="0"/>
    <s v="Krmivo a maškrty – Psy"/>
    <s v="Snouty"/>
    <n v="6"/>
    <n v="1"/>
    <s v="NULL"/>
    <s v=""/>
    <d v="2025-07-06T00:00:00"/>
    <n v="0"/>
    <n v="6"/>
    <x v="0"/>
    <x v="6"/>
    <x v="0"/>
  </r>
  <r>
    <x v="2622"/>
    <n v="8599988776654"/>
    <x v="56"/>
    <s v="Pelechy a nábytok – Psy"/>
    <s v="Pup Republic"/>
    <n v="16.8"/>
    <n v="1"/>
    <s v="5"/>
    <s v="Náš buldoček sa konečne prestal prehrievať. Super produkt."/>
    <d v="2025-07-06T00:00:00"/>
    <n v="0"/>
    <n v="16.8"/>
    <x v="2"/>
    <x v="6"/>
    <x v="0"/>
  </r>
  <r>
    <x v="2623"/>
    <n v="4028899001126"/>
    <x v="1"/>
    <s v="Krmivo a maškrty – Psy"/>
    <s v="Pup Republic"/>
    <n v="2.8"/>
    <n v="3"/>
    <s v="NULL"/>
    <s v=""/>
    <d v="2025-07-06T00:00:00"/>
    <n v="0"/>
    <n v="8.3999999999999986"/>
    <x v="0"/>
    <x v="6"/>
    <x v="0"/>
  </r>
  <r>
    <x v="2624"/>
    <n v="8599988776654"/>
    <x v="56"/>
    <s v="Pelechy a nábytok – Psy"/>
    <s v="Pup Republic"/>
    <n v="16.8"/>
    <n v="2"/>
    <s v="NULL"/>
    <s v=""/>
    <d v="2025-07-06T00:00:00"/>
    <n v="0"/>
    <n v="33.6"/>
    <x v="0"/>
    <x v="6"/>
    <x v="0"/>
  </r>
  <r>
    <x v="2625"/>
    <n v="4056789012345"/>
    <x v="11"/>
    <s v="Krmivo a maškrty – Mačky"/>
    <s v="BellaMeow"/>
    <n v="2.4"/>
    <n v="2"/>
    <s v="NULL"/>
    <s v=""/>
    <d v="2025-07-06T00:00:00"/>
    <n v="0"/>
    <n v="4.8"/>
    <x v="0"/>
    <x v="6"/>
    <x v="1"/>
  </r>
  <r>
    <x v="2626"/>
    <n v="8599988776654"/>
    <x v="56"/>
    <s v="Pelechy a nábytok – Psy"/>
    <s v="Pup Republic"/>
    <n v="16.8"/>
    <n v="1"/>
    <s v="NULL"/>
    <s v=""/>
    <d v="2025-07-06T00:00:00"/>
    <n v="0"/>
    <n v="16.8"/>
    <x v="0"/>
    <x v="6"/>
    <x v="0"/>
  </r>
  <r>
    <x v="2627"/>
    <n v="4061011223346"/>
    <x v="3"/>
    <s v="Oblečenie a doplnky – Psy"/>
    <s v="Tail Trend"/>
    <n v="19.600000000000001"/>
    <n v="1"/>
    <s v="NULL"/>
    <s v=""/>
    <d v="2025-07-06T00:00:00"/>
    <n v="0"/>
    <n v="19.600000000000001"/>
    <x v="0"/>
    <x v="6"/>
    <x v="0"/>
  </r>
  <r>
    <x v="2628"/>
    <n v="8599988776654"/>
    <x v="56"/>
    <s v="Pelechy a nábytok – Psy"/>
    <s v="Pup Republic"/>
    <n v="16.8"/>
    <n v="1"/>
    <s v="NULL"/>
    <s v=""/>
    <d v="2025-07-06T00:00:00"/>
    <n v="0"/>
    <n v="16.8"/>
    <x v="0"/>
    <x v="6"/>
    <x v="0"/>
  </r>
  <r>
    <x v="2629"/>
    <n v="4017890123450"/>
    <x v="16"/>
    <s v="Hračky – Psy"/>
    <s v="Dogissimo"/>
    <n v="7.6"/>
    <n v="1"/>
    <s v="NULL"/>
    <s v=""/>
    <d v="2025-07-06T00:00:00"/>
    <n v="0"/>
    <n v="7.6"/>
    <x v="0"/>
    <x v="6"/>
    <x v="0"/>
  </r>
  <r>
    <x v="2630"/>
    <n v="8599988776654"/>
    <x v="56"/>
    <s v="Pelechy a nábytok – Psy"/>
    <s v="Pup Republic"/>
    <n v="16.8"/>
    <n v="2"/>
    <s v="4"/>
    <s v="Fajn doplnok do psího pelechu, vyzerá kvalitne."/>
    <d v="2025-07-06T00:00:00"/>
    <n v="0"/>
    <n v="33.6"/>
    <x v="1"/>
    <x v="6"/>
    <x v="0"/>
  </r>
  <r>
    <x v="2631"/>
    <n v="4010123456783"/>
    <x v="6"/>
    <s v="Starostlivosť a hygiena – Mačky"/>
    <s v="BellaMeow"/>
    <n v="14"/>
    <n v="1"/>
    <s v="NULL"/>
    <s v=""/>
    <d v="2025-07-06T00:00:00"/>
    <n v="0"/>
    <n v="14"/>
    <x v="0"/>
    <x v="6"/>
    <x v="1"/>
  </r>
  <r>
    <x v="2632"/>
    <n v="8599988776654"/>
    <x v="56"/>
    <s v="Pelechy a nábytok – Psy"/>
    <s v="Pup Republic"/>
    <n v="16.8"/>
    <n v="1"/>
    <s v="NULL"/>
    <s v=""/>
    <d v="2025-07-06T00:00:00"/>
    <n v="0"/>
    <n v="16.8"/>
    <x v="0"/>
    <x v="6"/>
    <x v="0"/>
  </r>
  <r>
    <x v="2633"/>
    <n v="4026677889902"/>
    <x v="12"/>
    <s v="Misky a kŕmne doplnky – Ostatné"/>
    <s v="Pawsitive Gear"/>
    <n v="7.6"/>
    <n v="1"/>
    <s v="NULL"/>
    <s v=""/>
    <d v="2025-07-06T00:00:00"/>
    <n v="0"/>
    <n v="7.6"/>
    <x v="0"/>
    <x v="6"/>
    <x v="2"/>
  </r>
  <r>
    <x v="2634"/>
    <n v="8599988776654"/>
    <x v="56"/>
    <s v="Pelechy a nábytok – Psy"/>
    <s v="Pup Republic"/>
    <n v="16.8"/>
    <n v="1"/>
    <s v="5"/>
    <s v="Najlepšie kúpa tohto leta, pes sa ju stráži ako poklad."/>
    <d v="2025-07-06T00:00:00"/>
    <n v="0"/>
    <n v="16.8"/>
    <x v="2"/>
    <x v="6"/>
    <x v="0"/>
  </r>
  <r>
    <x v="2635"/>
    <n v="4028899001126"/>
    <x v="1"/>
    <s v="Krmivo a maškrty – Psy"/>
    <s v="Pup Republic"/>
    <n v="2.8"/>
    <n v="4"/>
    <s v="NULL"/>
    <s v=""/>
    <d v="2025-07-06T00:00:00"/>
    <n v="0"/>
    <n v="11.2"/>
    <x v="0"/>
    <x v="6"/>
    <x v="0"/>
  </r>
  <r>
    <x v="2636"/>
    <n v="8599988776654"/>
    <x v="56"/>
    <s v="Pelechy a nábytok – Psy"/>
    <s v="Pup Republic"/>
    <n v="16.8"/>
    <n v="1"/>
    <s v="NULL"/>
    <s v=""/>
    <d v="2025-07-06T00:00:00"/>
    <n v="0"/>
    <n v="16.8"/>
    <x v="0"/>
    <x v="6"/>
    <x v="0"/>
  </r>
  <r>
    <x v="2637"/>
    <n v="4013456789017"/>
    <x v="0"/>
    <s v="Krmivo a maškrty – Psy"/>
    <s v="Snouty"/>
    <n v="6"/>
    <n v="1"/>
    <s v="NULL"/>
    <s v=""/>
    <d v="2025-07-06T00:00:00"/>
    <n v="0"/>
    <n v="6"/>
    <x v="0"/>
    <x v="6"/>
    <x v="0"/>
  </r>
  <r>
    <x v="2638"/>
    <n v="8599988776654"/>
    <x v="56"/>
    <s v="Pelechy a nábytok – Psy"/>
    <s v="Pup Republic"/>
    <n v="16.8"/>
    <n v="1"/>
    <s v="NULL"/>
    <s v=""/>
    <d v="2025-07-07T00:00:00"/>
    <n v="0"/>
    <n v="16.8"/>
    <x v="0"/>
    <x v="6"/>
    <x v="0"/>
  </r>
  <r>
    <x v="2639"/>
    <n v="4028899001126"/>
    <x v="1"/>
    <s v="Krmivo a maškrty – Psy"/>
    <s v="Pup Republic"/>
    <n v="2.8"/>
    <n v="2"/>
    <s v="NULL"/>
    <s v=""/>
    <d v="2025-07-07T00:00:00"/>
    <n v="0"/>
    <n v="5.6"/>
    <x v="0"/>
    <x v="6"/>
    <x v="0"/>
  </r>
  <r>
    <x v="2640"/>
    <n v="8599988776654"/>
    <x v="56"/>
    <s v="Pelechy a nábytok – Psy"/>
    <s v="Pup Republic"/>
    <n v="16.8"/>
    <n v="1"/>
    <s v="NULL"/>
    <s v=""/>
    <d v="2025-07-07T00:00:00"/>
    <n v="0"/>
    <n v="16.8"/>
    <x v="0"/>
    <x v="6"/>
    <x v="0"/>
  </r>
  <r>
    <x v="2641"/>
    <n v="4056789012345"/>
    <x v="11"/>
    <s v="Krmivo a maškrty – Mačky"/>
    <s v="BellaMeow"/>
    <n v="2.4"/>
    <n v="3"/>
    <s v="NULL"/>
    <s v=""/>
    <d v="2025-07-07T00:00:00"/>
    <n v="0"/>
    <n v="7.1999999999999993"/>
    <x v="0"/>
    <x v="6"/>
    <x v="1"/>
  </r>
  <r>
    <x v="2642"/>
    <n v="8599988776654"/>
    <x v="56"/>
    <s v="Pelechy a nábytok – Psy"/>
    <s v="Pup Republic"/>
    <n v="16.8"/>
    <n v="1"/>
    <s v="5"/>
    <s v="Funguje výborne aj pri 30 °C, pes je v pohode."/>
    <d v="2025-07-07T00:00:00"/>
    <n v="0"/>
    <n v="16.8"/>
    <x v="2"/>
    <x v="6"/>
    <x v="0"/>
  </r>
  <r>
    <x v="2643"/>
    <n v="4017890123450"/>
    <x v="16"/>
    <s v="Hračky – Psy"/>
    <s v="Dogissimo"/>
    <n v="7.6"/>
    <n v="1"/>
    <s v="NULL"/>
    <s v=""/>
    <d v="2025-07-07T00:00:00"/>
    <n v="0"/>
    <n v="7.6"/>
    <x v="0"/>
    <x v="6"/>
    <x v="0"/>
  </r>
  <r>
    <x v="2644"/>
    <n v="8599988776654"/>
    <x v="56"/>
    <s v="Pelechy a nábytok – Psy"/>
    <s v="Pup Republic"/>
    <n v="16.8"/>
    <n v="1"/>
    <s v="NULL"/>
    <s v=""/>
    <d v="2025-07-07T00:00:00"/>
    <n v="0"/>
    <n v="16.8"/>
    <x v="0"/>
    <x v="6"/>
    <x v="0"/>
  </r>
  <r>
    <x v="2645"/>
    <n v="4063456789014"/>
    <x v="15"/>
    <s v="Krmivo a maškrty – Psy"/>
    <s v="Pupco"/>
    <n v="36"/>
    <n v="1"/>
    <s v="NULL"/>
    <s v=""/>
    <d v="2025-07-07T00:00:00"/>
    <n v="0"/>
    <n v="36"/>
    <x v="0"/>
    <x v="6"/>
    <x v="0"/>
  </r>
  <r>
    <x v="2646"/>
    <n v="8599988776654"/>
    <x v="56"/>
    <s v="Pelechy a nábytok – Psy"/>
    <s v="Pup Republic"/>
    <n v="16.8"/>
    <n v="2"/>
    <s v="NULL"/>
    <s v=""/>
    <d v="2025-07-07T00:00:00"/>
    <n v="0"/>
    <n v="33.6"/>
    <x v="0"/>
    <x v="6"/>
    <x v="0"/>
  </r>
  <r>
    <x v="2647"/>
    <n v="4021234567894"/>
    <x v="18"/>
    <s v="Starostlivosť a hygiena – Mačky"/>
    <s v="PawStyle"/>
    <n v="8"/>
    <n v="1"/>
    <s v="NULL"/>
    <s v=""/>
    <d v="2025-07-07T00:00:00"/>
    <n v="0"/>
    <n v="8"/>
    <x v="0"/>
    <x v="6"/>
    <x v="1"/>
  </r>
  <r>
    <x v="2648"/>
    <n v="8599988776654"/>
    <x v="56"/>
    <s v="Pelechy a nábytok – Psy"/>
    <s v="Pup Republic"/>
    <n v="16.8"/>
    <n v="1"/>
    <s v="NULL"/>
    <s v=""/>
    <d v="2025-07-07T00:00:00"/>
    <n v="0"/>
    <n v="16.8"/>
    <x v="0"/>
    <x v="6"/>
    <x v="0"/>
  </r>
  <r>
    <x v="2649"/>
    <n v="4010123456783"/>
    <x v="6"/>
    <s v="Starostlivosť a hygiena – Mačky"/>
    <s v="BellaMeow"/>
    <n v="14"/>
    <n v="1"/>
    <s v="NULL"/>
    <s v=""/>
    <d v="2025-07-07T00:00:00"/>
    <n v="0"/>
    <n v="14"/>
    <x v="0"/>
    <x v="6"/>
    <x v="1"/>
  </r>
  <r>
    <x v="2650"/>
    <n v="8599988776654"/>
    <x v="56"/>
    <s v="Pelechy a nábytok – Psy"/>
    <s v="Pup Republic"/>
    <n v="16.8"/>
    <n v="1"/>
    <s v="5"/>
    <s v="Dobrá kvalita, funguje aj po týdnech používání."/>
    <d v="2025-07-07T00:00:00"/>
    <n v="0"/>
    <n v="16.8"/>
    <x v="2"/>
    <x v="6"/>
    <x v="0"/>
  </r>
  <r>
    <x v="2651"/>
    <n v="4028899001126"/>
    <x v="1"/>
    <s v="Krmivo a maškrty – Psy"/>
    <s v="Pup Republic"/>
    <n v="2.8"/>
    <n v="3"/>
    <s v="NULL"/>
    <s v=""/>
    <d v="2025-07-07T00:00:00"/>
    <n v="0"/>
    <n v="8.3999999999999986"/>
    <x v="0"/>
    <x v="6"/>
    <x v="0"/>
  </r>
  <r>
    <x v="2652"/>
    <n v="8599988776654"/>
    <x v="56"/>
    <s v="Pelechy a nábytok – Psy"/>
    <s v="Pup Republic"/>
    <n v="16.8"/>
    <n v="2"/>
    <s v="NULL"/>
    <s v=""/>
    <d v="2025-07-07T00:00:00"/>
    <n v="0"/>
    <n v="33.6"/>
    <x v="0"/>
    <x v="6"/>
    <x v="0"/>
  </r>
  <r>
    <x v="2653"/>
    <n v="4013456789017"/>
    <x v="0"/>
    <s v="Krmivo a maškrty – Psy"/>
    <s v="Snouty"/>
    <n v="6"/>
    <n v="1"/>
    <s v="NULL"/>
    <s v=""/>
    <d v="2025-07-07T00:00:00"/>
    <n v="0"/>
    <n v="6"/>
    <x v="0"/>
    <x v="6"/>
    <x v="0"/>
  </r>
  <r>
    <x v="2654"/>
    <n v="8599988776654"/>
    <x v="56"/>
    <s v="Pelechy a nábytok – Psy"/>
    <s v="Pup Republic"/>
    <n v="16.8"/>
    <n v="1"/>
    <s v="NULL"/>
    <s v=""/>
    <d v="2025-07-08T00:00:00"/>
    <n v="0"/>
    <n v="16.8"/>
    <x v="0"/>
    <x v="6"/>
    <x v="0"/>
  </r>
  <r>
    <x v="2655"/>
    <n v="4063456789014"/>
    <x v="15"/>
    <s v="Krmivo a maškrty – Psy"/>
    <s v="Pupco"/>
    <n v="36"/>
    <n v="1"/>
    <s v="NULL"/>
    <s v=""/>
    <d v="2025-07-08T00:00:00"/>
    <n v="0"/>
    <n v="36"/>
    <x v="0"/>
    <x v="6"/>
    <x v="0"/>
  </r>
  <r>
    <x v="2656"/>
    <n v="8599988776654"/>
    <x v="56"/>
    <s v="Pelechy a nábytok – Psy"/>
    <s v="Pup Republic"/>
    <n v="16.8"/>
    <n v="1"/>
    <s v="NULL"/>
    <s v=""/>
    <d v="2025-07-08T00:00:00"/>
    <n v="0"/>
    <n v="16.8"/>
    <x v="0"/>
    <x v="6"/>
    <x v="0"/>
  </r>
  <r>
    <x v="2657"/>
    <n v="4028899001126"/>
    <x v="1"/>
    <s v="Krmivo a maškrty – Psy"/>
    <s v="Pup Republic"/>
    <n v="2.8"/>
    <n v="4"/>
    <s v="NULL"/>
    <s v=""/>
    <d v="2025-07-08T00:00:00"/>
    <n v="0"/>
    <n v="11.2"/>
    <x v="0"/>
    <x v="6"/>
    <x v="0"/>
  </r>
  <r>
    <x v="2658"/>
    <n v="8599988776654"/>
    <x v="56"/>
    <s v="Pelechy a nábytok – Psy"/>
    <s v="Pup Republic"/>
    <n v="16.8"/>
    <n v="2"/>
    <s v="4"/>
    <s v="Materiál je pevný, pes ho nepoškodil anaj pazúriky."/>
    <d v="2025-07-08T00:00:00"/>
    <n v="0"/>
    <n v="33.6"/>
    <x v="1"/>
    <x v="6"/>
    <x v="0"/>
  </r>
  <r>
    <x v="2659"/>
    <n v="4010123456783"/>
    <x v="6"/>
    <s v="Starostlivosť a hygiena – Mačky"/>
    <s v="BellaMeow"/>
    <n v="14"/>
    <n v="1"/>
    <s v="NULL"/>
    <s v=""/>
    <d v="2025-07-08T00:00:00"/>
    <n v="0"/>
    <n v="14"/>
    <x v="0"/>
    <x v="6"/>
    <x v="1"/>
  </r>
  <r>
    <x v="2660"/>
    <n v="8599988776654"/>
    <x v="56"/>
    <s v="Pelechy a nábytok – Psy"/>
    <s v="Pup Republic"/>
    <n v="16.8"/>
    <n v="1"/>
    <s v="NULL"/>
    <s v=""/>
    <d v="2025-07-08T00:00:00"/>
    <n v="0"/>
    <n v="16.8"/>
    <x v="0"/>
    <x v="6"/>
    <x v="0"/>
  </r>
  <r>
    <x v="2661"/>
    <n v="4056789012345"/>
    <x v="11"/>
    <s v="Krmivo a maškrty – Mačky"/>
    <s v="BellaMeow"/>
    <n v="2.4"/>
    <n v="2"/>
    <s v="NULL"/>
    <s v=""/>
    <d v="2025-07-08T00:00:00"/>
    <n v="0"/>
    <n v="4.8"/>
    <x v="0"/>
    <x v="6"/>
    <x v="1"/>
  </r>
  <r>
    <x v="2662"/>
    <n v="8599988776654"/>
    <x v="56"/>
    <s v="Pelechy a nábytok – Psy"/>
    <s v="Pup Republic"/>
    <n v="16.8"/>
    <n v="1"/>
    <s v="5"/>
    <s v="Dáváme ju do auta, výborná chladicí schopnost."/>
    <d v="2025-07-08T00:00:00"/>
    <n v="0"/>
    <n v="16.8"/>
    <x v="2"/>
    <x v="6"/>
    <x v="0"/>
  </r>
  <r>
    <x v="2663"/>
    <n v="4017890123450"/>
    <x v="16"/>
    <s v="Hračky – Psy"/>
    <s v="Dogissimo"/>
    <n v="7.6"/>
    <n v="1"/>
    <s v="NULL"/>
    <s v=""/>
    <d v="2025-07-08T00:00:00"/>
    <n v="0"/>
    <n v="7.6"/>
    <x v="0"/>
    <x v="6"/>
    <x v="0"/>
  </r>
  <r>
    <x v="2664"/>
    <n v="8599988776654"/>
    <x v="56"/>
    <s v="Pelechy a nábytok – Psy"/>
    <s v="Pup Republic"/>
    <n v="16.8"/>
    <n v="1"/>
    <s v="NULL"/>
    <s v=""/>
    <d v="2025-07-08T00:00:00"/>
    <n v="0"/>
    <n v="16.8"/>
    <x v="0"/>
    <x v="6"/>
    <x v="0"/>
  </r>
  <r>
    <x v="2665"/>
    <n v="4026677889902"/>
    <x v="12"/>
    <s v="Misky a kŕmne doplnky – Ostatné"/>
    <s v="Pawsitive Gear"/>
    <n v="7.6"/>
    <n v="1"/>
    <s v="NULL"/>
    <s v=""/>
    <d v="2025-07-08T00:00:00"/>
    <n v="0"/>
    <n v="7.6"/>
    <x v="0"/>
    <x v="6"/>
    <x v="2"/>
  </r>
  <r>
    <x v="2666"/>
    <n v="8599988776654"/>
    <x v="56"/>
    <s v="Pelechy a nábytok – Psy"/>
    <s v="Pup Republic"/>
    <n v="16.8"/>
    <n v="1"/>
    <s v="NULL"/>
    <s v=""/>
    <d v="2025-07-08T00:00:00"/>
    <n v="0"/>
    <n v="16.8"/>
    <x v="0"/>
    <x v="6"/>
    <x v="0"/>
  </r>
  <r>
    <x v="2667"/>
    <n v="4028899001126"/>
    <x v="1"/>
    <s v="Krmivo a maškrty – Psy"/>
    <s v="Pup Republic"/>
    <n v="2.8"/>
    <n v="3"/>
    <s v="NULL"/>
    <s v=""/>
    <d v="2025-07-08T00:00:00"/>
    <n v="0"/>
    <n v="8.3999999999999986"/>
    <x v="0"/>
    <x v="6"/>
    <x v="0"/>
  </r>
  <r>
    <x v="2668"/>
    <n v="8599988776654"/>
    <x v="56"/>
    <s v="Pelechy a nábytok – Psy"/>
    <s v="Pup Republic"/>
    <n v="16.8"/>
    <n v="1"/>
    <s v="4"/>
    <s v="Chladí dostatočne, ideálne do bytu bez klimatizácie."/>
    <d v="2025-07-09T00:00:00"/>
    <n v="0"/>
    <n v="16.8"/>
    <x v="1"/>
    <x v="6"/>
    <x v="0"/>
  </r>
  <r>
    <x v="2669"/>
    <n v="4013456789017"/>
    <x v="0"/>
    <s v="Krmivo a maškrty – Psy"/>
    <s v="Snouty"/>
    <n v="6"/>
    <n v="1"/>
    <s v="NULL"/>
    <s v=""/>
    <d v="2025-07-09T00:00:00"/>
    <n v="0"/>
    <n v="6"/>
    <x v="0"/>
    <x v="6"/>
    <x v="0"/>
  </r>
  <r>
    <x v="2670"/>
    <n v="8599988776654"/>
    <x v="56"/>
    <s v="Pelechy a nábytok – Psy"/>
    <s v="Pup Republic"/>
    <n v="16.8"/>
    <n v="1"/>
    <s v="NULL"/>
    <s v=""/>
    <d v="2025-07-09T00:00:00"/>
    <n v="0"/>
    <n v="16.8"/>
    <x v="0"/>
    <x v="6"/>
    <x v="0"/>
  </r>
  <r>
    <x v="2671"/>
    <n v="4028899001126"/>
    <x v="1"/>
    <s v="Krmivo a maškrty – Psy"/>
    <s v="Pup Republic"/>
    <n v="2.8"/>
    <n v="3"/>
    <s v="NULL"/>
    <s v=""/>
    <d v="2025-07-09T00:00:00"/>
    <n v="0"/>
    <n v="8.3999999999999986"/>
    <x v="0"/>
    <x v="6"/>
    <x v="0"/>
  </r>
  <r>
    <x v="2672"/>
    <n v="8599988776654"/>
    <x v="56"/>
    <s v="Pelechy a nábytok – Psy"/>
    <s v="Pup Republic"/>
    <n v="16.8"/>
    <n v="2"/>
    <s v="NULL"/>
    <s v=""/>
    <d v="2025-07-09T00:00:00"/>
    <n v="0"/>
    <n v="33.6"/>
    <x v="0"/>
    <x v="6"/>
    <x v="0"/>
  </r>
  <r>
    <x v="2673"/>
    <n v="4063456789014"/>
    <x v="15"/>
    <s v="Krmivo a maškrty – Psy"/>
    <s v="Pupco"/>
    <n v="36"/>
    <n v="1"/>
    <s v="NULL"/>
    <s v=""/>
    <d v="2025-07-09T00:00:00"/>
    <n v="0"/>
    <n v="36"/>
    <x v="0"/>
    <x v="6"/>
    <x v="0"/>
  </r>
  <r>
    <x v="2674"/>
    <n v="8599988776654"/>
    <x v="56"/>
    <s v="Pelechy a nábytok – Psy"/>
    <s v="Pup Republic"/>
    <n v="16.8"/>
    <n v="1"/>
    <s v="5"/>
    <s v="Fakt pomáha, pes sa už neprehrieva anaj pri 35 °C."/>
    <d v="2025-07-09T00:00:00"/>
    <n v="0"/>
    <n v="16.8"/>
    <x v="2"/>
    <x v="6"/>
    <x v="0"/>
  </r>
  <r>
    <x v="2675"/>
    <n v="4010123456783"/>
    <x v="6"/>
    <s v="Starostlivosť a hygiena – Mačky"/>
    <s v="BellaMeow"/>
    <n v="14"/>
    <n v="1"/>
    <s v="NULL"/>
    <s v=""/>
    <d v="2025-07-09T00:00:00"/>
    <n v="0"/>
    <n v="14"/>
    <x v="0"/>
    <x v="6"/>
    <x v="1"/>
  </r>
  <r>
    <x v="2676"/>
    <n v="8599988776654"/>
    <x v="56"/>
    <s v="Pelechy a nábytok – Psy"/>
    <s v="Pup Republic"/>
    <n v="16.8"/>
    <n v="1"/>
    <s v="NULL"/>
    <s v=""/>
    <d v="2025-07-09T00:00:00"/>
    <n v="0"/>
    <n v="16.8"/>
    <x v="0"/>
    <x v="6"/>
    <x v="0"/>
  </r>
  <r>
    <x v="2677"/>
    <n v="4027788990013"/>
    <x v="9"/>
    <s v="Starostlivosť a hygiena – Psy"/>
    <s v="Dogissimo"/>
    <n v="8"/>
    <n v="1"/>
    <s v="NULL"/>
    <s v=""/>
    <d v="2025-07-09T00:00:00"/>
    <n v="0"/>
    <n v="8"/>
    <x v="0"/>
    <x v="6"/>
    <x v="0"/>
  </r>
  <r>
    <x v="2678"/>
    <n v="8599988776654"/>
    <x v="56"/>
    <s v="Pelechy a nábytok – Psy"/>
    <s v="Pup Republic"/>
    <n v="16.8"/>
    <n v="1"/>
    <s v="NULL"/>
    <s v=""/>
    <d v="2025-07-09T00:00:00"/>
    <n v="0"/>
    <n v="16.8"/>
    <x v="0"/>
    <x v="6"/>
    <x v="0"/>
  </r>
  <r>
    <x v="2679"/>
    <n v="4013456789017"/>
    <x v="0"/>
    <s v="Krmivo a maškrty – Psy"/>
    <s v="Snouty"/>
    <n v="6"/>
    <n v="2"/>
    <s v="NULL"/>
    <s v=""/>
    <d v="2025-07-09T00:00:00"/>
    <n v="0"/>
    <n v="12"/>
    <x v="0"/>
    <x v="6"/>
    <x v="0"/>
  </r>
  <r>
    <x v="2680"/>
    <n v="8599988776654"/>
    <x v="56"/>
    <s v="Pelechy a nábytok – Psy"/>
    <s v="Pup Republic"/>
    <n v="16.8"/>
    <n v="2"/>
    <s v="4"/>
    <s v="Dobre sa prenáša, odporúčam na dovolenou sa psem."/>
    <d v="2025-07-09T00:00:00"/>
    <n v="0"/>
    <n v="33.6"/>
    <x v="1"/>
    <x v="6"/>
    <x v="0"/>
  </r>
  <r>
    <x v="2681"/>
    <n v="8599988776654"/>
    <x v="56"/>
    <s v="Pelechy a nábytok – Psy"/>
    <s v="Pup Republic"/>
    <n v="16.8"/>
    <n v="1"/>
    <s v="5"/>
    <s v="Pes na nej tráví celé dni, chladí skvelo."/>
    <d v="2025-07-09T00:00:00"/>
    <n v="0"/>
    <n v="16.8"/>
    <x v="2"/>
    <x v="6"/>
    <x v="0"/>
  </r>
  <r>
    <x v="2682"/>
    <n v="4028899001126"/>
    <x v="1"/>
    <s v="Krmivo a maškrty – Psy"/>
    <s v="Pup Republic"/>
    <n v="2.8"/>
    <n v="3"/>
    <s v="4"/>
    <s v="Výborné zloženie, chutí aj vyberavému psovi."/>
    <d v="2025-07-09T00:00:00"/>
    <n v="0"/>
    <n v="8.3999999999999986"/>
    <x v="1"/>
    <x v="6"/>
    <x v="0"/>
  </r>
  <r>
    <x v="2683"/>
    <n v="4056789012345"/>
    <x v="11"/>
    <s v="Krmivo a maškrty – Mačky"/>
    <s v="BellaMeow"/>
    <n v="2.4"/>
    <n v="2"/>
    <s v="NULL"/>
    <s v=""/>
    <d v="2025-07-09T00:00:00"/>
    <n v="0"/>
    <n v="4.8"/>
    <x v="0"/>
    <x v="6"/>
    <x v="1"/>
  </r>
  <r>
    <x v="2684"/>
    <n v="4063456789014"/>
    <x v="15"/>
    <s v="Krmivo a maškrty – Psy"/>
    <s v="Pupco"/>
    <n v="36"/>
    <n v="1"/>
    <s v="NULL"/>
    <s v=""/>
    <d v="2025-07-09T00:00:00"/>
    <n v="0"/>
    <n v="36"/>
    <x v="0"/>
    <x v="6"/>
    <x v="0"/>
  </r>
  <r>
    <x v="2685"/>
    <n v="8599988776654"/>
    <x v="56"/>
    <s v="Pelechy a nábytok – Psy"/>
    <s v="Pup Republic"/>
    <n v="16.8"/>
    <n v="1"/>
    <s v="NULL"/>
    <s v=""/>
    <d v="2025-07-09T00:00:00"/>
    <n v="0"/>
    <n v="16.8"/>
    <x v="0"/>
    <x v="6"/>
    <x v="0"/>
  </r>
  <r>
    <x v="2686"/>
    <n v="4013456789017"/>
    <x v="0"/>
    <s v="Krmivo a maškrty – Psy"/>
    <s v="Snouty"/>
    <n v="6"/>
    <n v="2"/>
    <s v="4"/>
    <s v="Pes sa po nich môže utĺcť, ideálne na výcvik."/>
    <d v="2025-07-10T00:00:00"/>
    <n v="0"/>
    <n v="12"/>
    <x v="1"/>
    <x v="6"/>
    <x v="0"/>
  </r>
  <r>
    <x v="2687"/>
    <n v="8599988776654"/>
    <x v="56"/>
    <s v="Pelechy a nábytok – Psy"/>
    <s v="Pup Republic"/>
    <n v="16.8"/>
    <n v="2"/>
    <s v="NULL"/>
    <s v=""/>
    <d v="2025-07-10T00:00:00"/>
    <n v="0"/>
    <n v="33.6"/>
    <x v="0"/>
    <x v="6"/>
    <x v="0"/>
  </r>
  <r>
    <x v="2688"/>
    <n v="4010123456783"/>
    <x v="6"/>
    <s v="Starostlivosť a hygiena – Mačky"/>
    <s v="BellaMeow"/>
    <n v="14"/>
    <n v="1"/>
    <s v="NULL"/>
    <s v=""/>
    <d v="2025-07-10T00:00:00"/>
    <n v="0"/>
    <n v="14"/>
    <x v="0"/>
    <x v="6"/>
    <x v="1"/>
  </r>
  <r>
    <x v="2689"/>
    <n v="4021234567894"/>
    <x v="18"/>
    <s v="Starostlivosť a hygiena – Mačky"/>
    <s v="PawStyle"/>
    <n v="8"/>
    <n v="1"/>
    <s v="3"/>
    <s v="Vôňa mohla byť jemnejší, ale inak funguje."/>
    <d v="2025-07-10T00:00:00"/>
    <n v="0"/>
    <n v="8"/>
    <x v="3"/>
    <x v="6"/>
    <x v="1"/>
  </r>
  <r>
    <x v="2690"/>
    <n v="8599988776654"/>
    <x v="56"/>
    <s v="Pelechy a nábytok – Psy"/>
    <s v="Pup Republic"/>
    <n v="16.8"/>
    <n v="1"/>
    <s v="NULL"/>
    <s v=""/>
    <d v="2025-07-10T00:00:00"/>
    <n v="0"/>
    <n v="16.8"/>
    <x v="0"/>
    <x v="6"/>
    <x v="0"/>
  </r>
  <r>
    <x v="2691"/>
    <n v="4017890123450"/>
    <x v="16"/>
    <s v="Hračky – Psy"/>
    <s v="Dogissimo"/>
    <n v="7.6"/>
    <n v="1"/>
    <s v="5"/>
    <s v="Vydržela už mesiac, pes ju miluje!"/>
    <d v="2025-07-10T00:00:00"/>
    <n v="0"/>
    <n v="7.6"/>
    <x v="2"/>
    <x v="6"/>
    <x v="0"/>
  </r>
  <r>
    <x v="2692"/>
    <n v="8599988776654"/>
    <x v="56"/>
    <s v="Pelechy a nábytok – Psy"/>
    <s v="Pup Republic"/>
    <n v="16.8"/>
    <n v="1"/>
    <s v="NULL"/>
    <s v=""/>
    <d v="2025-07-10T00:00:00"/>
    <n v="0"/>
    <n v="16.8"/>
    <x v="0"/>
    <x v="6"/>
    <x v="0"/>
  </r>
  <r>
    <x v="2693"/>
    <n v="4063456789014"/>
    <x v="15"/>
    <s v="Krmivo a maškrty – Psy"/>
    <s v="Pupco"/>
    <n v="36"/>
    <n v="1"/>
    <s v="NULL"/>
    <s v=""/>
    <d v="2025-07-10T00:00:00"/>
    <n v="0"/>
    <n v="36"/>
    <x v="0"/>
    <x v="6"/>
    <x v="0"/>
  </r>
  <r>
    <x v="2694"/>
    <n v="8599988776654"/>
    <x v="56"/>
    <s v="Pelechy a nábytok – Psy"/>
    <s v="Pup Republic"/>
    <n v="16.8"/>
    <n v="1"/>
    <s v="NULL"/>
    <s v=""/>
    <d v="2025-07-10T00:00:00"/>
    <n v="0"/>
    <n v="16.8"/>
    <x v="0"/>
    <x v="6"/>
    <x v="0"/>
  </r>
  <r>
    <x v="2695"/>
    <n v="4056789012345"/>
    <x v="11"/>
    <s v="Krmivo a maškrty – Mačky"/>
    <s v="BellaMeow"/>
    <n v="2.4"/>
    <n v="3"/>
    <s v="4"/>
    <s v="Mačky nadšené, miska prázdna za minutu."/>
    <d v="2025-07-10T00:00:00"/>
    <n v="0"/>
    <n v="7.1999999999999993"/>
    <x v="1"/>
    <x v="6"/>
    <x v="1"/>
  </r>
  <r>
    <x v="2696"/>
    <n v="8599988776654"/>
    <x v="56"/>
    <s v="Pelechy a nábytok – Psy"/>
    <s v="Pup Republic"/>
    <n v="16.8"/>
    <n v="1"/>
    <s v="NULL"/>
    <s v=""/>
    <d v="2025-07-10T00:00:00"/>
    <n v="0"/>
    <n v="16.8"/>
    <x v="0"/>
    <x v="6"/>
    <x v="0"/>
  </r>
  <r>
    <x v="2697"/>
    <n v="4028899001126"/>
    <x v="1"/>
    <s v="Krmivo a maškrty – Psy"/>
    <s v="Pup Republic"/>
    <n v="2.8"/>
    <n v="2"/>
    <s v="NULL"/>
    <s v=""/>
    <d v="2025-07-10T00:00:00"/>
    <n v="0"/>
    <n v="5.6"/>
    <x v="0"/>
    <x v="6"/>
    <x v="0"/>
  </r>
  <r>
    <x v="2698"/>
    <n v="8599988776654"/>
    <x v="56"/>
    <s v="Pelechy a nábytok – Psy"/>
    <s v="Pup Republic"/>
    <n v="16.8"/>
    <n v="2"/>
    <s v="5"/>
    <s v="Na dovolené u more sa osvedčila, lehká a skladná."/>
    <d v="2025-07-10T00:00:00"/>
    <n v="0"/>
    <n v="33.6"/>
    <x v="2"/>
    <x v="6"/>
    <x v="0"/>
  </r>
  <r>
    <x v="2699"/>
    <n v="4013456789017"/>
    <x v="0"/>
    <s v="Krmivo a maškrty – Psy"/>
    <s v="Snouty"/>
    <n v="6"/>
    <n v="1"/>
    <s v="NULL"/>
    <s v=""/>
    <d v="2025-07-10T00:00:00"/>
    <n v="0"/>
    <n v="6"/>
    <x v="0"/>
    <x v="6"/>
    <x v="0"/>
  </r>
  <r>
    <x v="2700"/>
    <n v="8599988776654"/>
    <x v="56"/>
    <s v="Pelechy a nábytok – Psy"/>
    <s v="Pup Republic"/>
    <n v="16.8"/>
    <n v="1"/>
    <s v="NULL"/>
    <s v=""/>
    <d v="2025-07-10T00:00:00"/>
    <n v="0"/>
    <n v="16.8"/>
    <x v="0"/>
    <x v="6"/>
    <x v="0"/>
  </r>
  <r>
    <x v="2701"/>
    <n v="4063456789014"/>
    <x v="15"/>
    <s v="Krmivo a maškrty – Psy"/>
    <s v="Pupco"/>
    <n v="36"/>
    <n v="1"/>
    <s v="NULL"/>
    <s v=""/>
    <d v="2025-07-11T00:00:00"/>
    <n v="0"/>
    <n v="36"/>
    <x v="0"/>
    <x v="6"/>
    <x v="0"/>
  </r>
  <r>
    <x v="2702"/>
    <n v="8599988776654"/>
    <x v="56"/>
    <s v="Pelechy a nábytok – Psy"/>
    <s v="Pup Republic"/>
    <n v="16.8"/>
    <n v="1"/>
    <s v="4"/>
    <s v="Pomáha aj našemu starému psovaj s klouby."/>
    <d v="2025-07-11T00:00:00"/>
    <n v="0"/>
    <n v="16.8"/>
    <x v="1"/>
    <x v="6"/>
    <x v="0"/>
  </r>
  <r>
    <x v="2703"/>
    <n v="4010123456783"/>
    <x v="6"/>
    <s v="Starostlivosť a hygiena – Mačky"/>
    <s v="BellaMeow"/>
    <n v="14"/>
    <n v="2"/>
    <s v="NULL"/>
    <s v=""/>
    <d v="2025-07-11T00:00:00"/>
    <n v="0"/>
    <n v="28"/>
    <x v="0"/>
    <x v="6"/>
    <x v="1"/>
  </r>
  <r>
    <x v="2704"/>
    <n v="8599988776654"/>
    <x v="56"/>
    <s v="Pelechy a nábytok – Psy"/>
    <s v="Pup Republic"/>
    <n v="16.8"/>
    <n v="1"/>
    <s v="NULL"/>
    <s v=""/>
    <d v="2025-07-11T00:00:00"/>
    <n v="0"/>
    <n v="16.8"/>
    <x v="0"/>
    <x v="6"/>
    <x v="0"/>
  </r>
  <r>
    <x v="2705"/>
    <n v="4027788990013"/>
    <x v="9"/>
    <s v="Starostlivosť a hygiena – Psy"/>
    <s v="Dogissimo"/>
    <n v="8"/>
    <n v="1"/>
    <s v="4"/>
    <s v="Pekne vonia a nezanechává zbytky."/>
    <d v="2025-07-11T00:00:00"/>
    <n v="0"/>
    <n v="8"/>
    <x v="1"/>
    <x v="6"/>
    <x v="0"/>
  </r>
  <r>
    <x v="2706"/>
    <n v="8599988776654"/>
    <x v="56"/>
    <s v="Pelechy a nábytok – Psy"/>
    <s v="Pup Republic"/>
    <n v="16.8"/>
    <n v="2"/>
    <s v="NULL"/>
    <s v=""/>
    <d v="2025-07-11T00:00:00"/>
    <n v="0"/>
    <n v="33.6"/>
    <x v="0"/>
    <x v="6"/>
    <x v="0"/>
  </r>
  <r>
    <x v="2707"/>
    <n v="4017890123450"/>
    <x v="16"/>
    <s v="Hračky – Psy"/>
    <s v="Dogissimo"/>
    <n v="7.6"/>
    <n v="1"/>
    <s v="NULL"/>
    <s v=""/>
    <d v="2025-07-11T00:00:00"/>
    <n v="0"/>
    <n v="7.6"/>
    <x v="0"/>
    <x v="6"/>
    <x v="0"/>
  </r>
  <r>
    <x v="2708"/>
    <n v="8599988776654"/>
    <x v="56"/>
    <s v="Pelechy a nábytok – Psy"/>
    <s v="Pup Republic"/>
    <n v="16.8"/>
    <n v="1"/>
    <s v="NULL"/>
    <s v=""/>
    <d v="2025-07-11T00:00:00"/>
    <n v="0"/>
    <n v="16.8"/>
    <x v="0"/>
    <x v="6"/>
    <x v="0"/>
  </r>
  <r>
    <x v="2709"/>
    <n v="4013456789017"/>
    <x v="0"/>
    <s v="Krmivo a maškrty – Psy"/>
    <s v="Snouty"/>
    <n v="6"/>
    <n v="1"/>
    <s v="NULL"/>
    <s v=""/>
    <d v="2025-07-11T00:00:00"/>
    <n v="0"/>
    <n v="6"/>
    <x v="0"/>
    <x v="6"/>
    <x v="0"/>
  </r>
  <r>
    <x v="2710"/>
    <n v="8599988776654"/>
    <x v="56"/>
    <s v="Pelechy a nábytok – Psy"/>
    <s v="Pup Republic"/>
    <n v="16.8"/>
    <n v="1"/>
    <s v="5"/>
    <s v="Koupila som aj pre kamarátku, psy sú nadšení."/>
    <d v="2025-07-11T00:00:00"/>
    <n v="0"/>
    <n v="16.8"/>
    <x v="2"/>
    <x v="6"/>
    <x v="0"/>
  </r>
  <r>
    <x v="2711"/>
    <n v="4063456789014"/>
    <x v="15"/>
    <s v="Krmivo a maškrty – Psy"/>
    <s v="Pupco"/>
    <n v="36"/>
    <n v="1"/>
    <s v="NULL"/>
    <s v=""/>
    <d v="2025-07-11T00:00:00"/>
    <n v="0"/>
    <n v="36"/>
    <x v="0"/>
    <x v="6"/>
    <x v="0"/>
  </r>
  <r>
    <x v="2712"/>
    <n v="8599988776654"/>
    <x v="56"/>
    <s v="Pelechy a nábytok – Psy"/>
    <s v="Pup Republic"/>
    <n v="16.8"/>
    <n v="1"/>
    <s v="NULL"/>
    <s v=""/>
    <d v="2025-07-11T00:00:00"/>
    <n v="0"/>
    <n v="16.8"/>
    <x v="0"/>
    <x v="6"/>
    <x v="0"/>
  </r>
  <r>
    <x v="2713"/>
    <n v="4028899001126"/>
    <x v="1"/>
    <s v="Krmivo a maškrty – Psy"/>
    <s v="Pup Republic"/>
    <n v="2.8"/>
    <n v="3"/>
    <s v="NULL"/>
    <s v=""/>
    <d v="2025-07-11T00:00:00"/>
    <n v="0"/>
    <n v="8.3999999999999986"/>
    <x v="0"/>
    <x v="6"/>
    <x v="0"/>
  </r>
  <r>
    <x v="2714"/>
    <n v="8599988776654"/>
    <x v="56"/>
    <s v="Pelechy a nábytok – Psy"/>
    <s v="Pup Republic"/>
    <n v="16.8"/>
    <n v="1"/>
    <s v="NULL"/>
    <s v=""/>
    <d v="2025-07-12T00:00:00"/>
    <n v="0"/>
    <n v="16.8"/>
    <x v="0"/>
    <x v="6"/>
    <x v="0"/>
  </r>
  <r>
    <x v="2715"/>
    <n v="4010123456783"/>
    <x v="6"/>
    <s v="Starostlivosť a hygiena – Mačky"/>
    <s v="BellaMeow"/>
    <n v="14"/>
    <n v="1"/>
    <s v="5"/>
    <s v="Bez prachu a zápachu, najlepšia podstielka."/>
    <d v="2025-07-12T00:00:00"/>
    <n v="0"/>
    <n v="14"/>
    <x v="2"/>
    <x v="6"/>
    <x v="1"/>
  </r>
  <r>
    <x v="2716"/>
    <n v="8599988776654"/>
    <x v="56"/>
    <s v="Pelechy a nábytok – Psy"/>
    <s v="Pup Republic"/>
    <n v="16.8"/>
    <n v="2"/>
    <s v="NULL"/>
    <s v=""/>
    <d v="2025-07-12T00:00:00"/>
    <n v="0"/>
    <n v="33.6"/>
    <x v="0"/>
    <x v="6"/>
    <x v="0"/>
  </r>
  <r>
    <x v="2717"/>
    <n v="4013456789017"/>
    <x v="0"/>
    <s v="Krmivo a maškrty – Psy"/>
    <s v="Snouty"/>
    <n v="6"/>
    <n v="1"/>
    <s v="NULL"/>
    <s v=""/>
    <d v="2025-07-12T00:00:00"/>
    <n v="0"/>
    <n v="6"/>
    <x v="0"/>
    <x v="6"/>
    <x v="0"/>
  </r>
  <r>
    <x v="2718"/>
    <n v="8599988776654"/>
    <x v="56"/>
    <s v="Pelechy a nábytok – Psy"/>
    <s v="Pup Republic"/>
    <n v="16.8"/>
    <n v="1"/>
    <s v="NULL"/>
    <s v=""/>
    <d v="2025-07-12T00:00:00"/>
    <n v="0"/>
    <n v="16.8"/>
    <x v="0"/>
    <x v="6"/>
    <x v="0"/>
  </r>
  <r>
    <x v="2719"/>
    <n v="4021234567894"/>
    <x v="18"/>
    <s v="Starostlivosť a hygiena – Mačky"/>
    <s v="PawStyle"/>
    <n v="8"/>
    <n v="1"/>
    <s v="NULL"/>
    <s v=""/>
    <d v="2025-07-12T00:00:00"/>
    <n v="0"/>
    <n v="8"/>
    <x v="0"/>
    <x v="6"/>
    <x v="1"/>
  </r>
  <r>
    <x v="2720"/>
    <n v="8599988776654"/>
    <x v="56"/>
    <s v="Pelechy a nábytok – Psy"/>
    <s v="Pup Republic"/>
    <n v="16.8"/>
    <n v="1"/>
    <s v="4"/>
    <s v="Pes sa na nej upokojí počas pár minut, odporúčam."/>
    <d v="2025-07-12T00:00:00"/>
    <n v="0"/>
    <n v="16.8"/>
    <x v="1"/>
    <x v="6"/>
    <x v="0"/>
  </r>
  <r>
    <x v="2721"/>
    <n v="4056789012345"/>
    <x v="11"/>
    <s v="Krmivo a maškrty – Mačky"/>
    <s v="BellaMeow"/>
    <n v="2.4"/>
    <n v="2"/>
    <s v="NULL"/>
    <s v=""/>
    <d v="2025-07-12T00:00:00"/>
    <n v="0"/>
    <n v="4.8"/>
    <x v="0"/>
    <x v="6"/>
    <x v="1"/>
  </r>
  <r>
    <x v="2722"/>
    <n v="8599988776654"/>
    <x v="56"/>
    <s v="Pelechy a nábytok – Psy"/>
    <s v="Pup Republic"/>
    <n v="16.8"/>
    <n v="1"/>
    <s v="NULL"/>
    <s v=""/>
    <d v="2025-07-12T00:00:00"/>
    <n v="0"/>
    <n v="16.8"/>
    <x v="0"/>
    <x v="6"/>
    <x v="0"/>
  </r>
  <r>
    <x v="2723"/>
    <n v="4063456789014"/>
    <x v="15"/>
    <s v="Krmivo a maškrty – Psy"/>
    <s v="Pupco"/>
    <n v="36"/>
    <n v="1"/>
    <s v="NULL"/>
    <s v=""/>
    <d v="2025-07-12T00:00:00"/>
    <n v="0"/>
    <n v="36"/>
    <x v="0"/>
    <x v="6"/>
    <x v="0"/>
  </r>
  <r>
    <x v="2724"/>
    <n v="8599988776654"/>
    <x v="56"/>
    <s v="Pelechy a nábytok – Psy"/>
    <s v="Pup Republic"/>
    <n v="16.8"/>
    <n v="1"/>
    <s v="NULL"/>
    <s v=""/>
    <d v="2025-07-12T00:00:00"/>
    <n v="0"/>
    <n v="16.8"/>
    <x v="0"/>
    <x v="6"/>
    <x v="0"/>
  </r>
  <r>
    <x v="2725"/>
    <n v="4017890123450"/>
    <x v="16"/>
    <s v="Hračky – Psy"/>
    <s v="Dogissimo"/>
    <n v="7.6"/>
    <n v="1"/>
    <s v="4"/>
    <s v="Zvuk pískání drží aj po týždni, pes ju má rád."/>
    <d v="2025-07-12T00:00:00"/>
    <n v="0"/>
    <n v="7.6"/>
    <x v="1"/>
    <x v="6"/>
    <x v="0"/>
  </r>
  <r>
    <x v="2726"/>
    <n v="8599988776654"/>
    <x v="56"/>
    <s v="Pelechy a nábytok – Psy"/>
    <s v="Pup Republic"/>
    <n v="16.8"/>
    <n v="1"/>
    <s v="NULL"/>
    <s v=""/>
    <d v="2025-07-13T00:00:00"/>
    <n v="0"/>
    <n v="16.8"/>
    <x v="0"/>
    <x v="6"/>
    <x v="0"/>
  </r>
  <r>
    <x v="2727"/>
    <n v="4028899001126"/>
    <x v="1"/>
    <s v="Krmivo a maškrty – Psy"/>
    <s v="Pup Republic"/>
    <n v="2.8"/>
    <n v="3"/>
    <s v="NULL"/>
    <s v=""/>
    <d v="2025-07-13T00:00:00"/>
    <n v="0"/>
    <n v="8.3999999999999986"/>
    <x v="0"/>
    <x v="6"/>
    <x v="0"/>
  </r>
  <r>
    <x v="2728"/>
    <n v="8599988776654"/>
    <x v="56"/>
    <s v="Pelechy a nábytok – Psy"/>
    <s v="Pup Republic"/>
    <n v="16.8"/>
    <n v="1"/>
    <s v="NULL"/>
    <s v=""/>
    <d v="2025-07-13T00:00:00"/>
    <n v="0"/>
    <n v="16.8"/>
    <x v="0"/>
    <x v="6"/>
    <x v="0"/>
  </r>
  <r>
    <x v="2729"/>
    <n v="4013456789017"/>
    <x v="0"/>
    <s v="Krmivo a maškrty – Psy"/>
    <s v="Snouty"/>
    <n v="6"/>
    <n v="1"/>
    <s v="3"/>
    <s v="Priemerné, pes je zje, ale žiadne nadšení."/>
    <d v="2025-07-13T00:00:00"/>
    <n v="0"/>
    <n v="6"/>
    <x v="3"/>
    <x v="6"/>
    <x v="0"/>
  </r>
  <r>
    <x v="2730"/>
    <n v="8599988776654"/>
    <x v="56"/>
    <s v="Pelechy a nábytok – Psy"/>
    <s v="Pup Republic"/>
    <n v="16.8"/>
    <n v="2"/>
    <s v="NULL"/>
    <s v=""/>
    <d v="2025-07-13T00:00:00"/>
    <n v="0"/>
    <n v="33.6"/>
    <x v="0"/>
    <x v="6"/>
    <x v="0"/>
  </r>
  <r>
    <x v="2731"/>
    <n v="4063456789014"/>
    <x v="15"/>
    <s v="Krmivo a maškrty – Psy"/>
    <s v="Pupco"/>
    <n v="36"/>
    <n v="1"/>
    <s v="NULL"/>
    <s v=""/>
    <d v="2025-07-13T00:00:00"/>
    <n v="0"/>
    <n v="36"/>
    <x v="0"/>
    <x v="6"/>
    <x v="0"/>
  </r>
  <r>
    <x v="2732"/>
    <n v="8599988776654"/>
    <x v="56"/>
    <s v="Pelechy a nábytok – Psy"/>
    <s v="Pup Republic"/>
    <n v="16.8"/>
    <n v="1"/>
    <s v="5"/>
    <s v="Fantastická kvalita, lehká údržba."/>
    <d v="2025-07-13T00:00:00"/>
    <n v="0"/>
    <n v="16.8"/>
    <x v="2"/>
    <x v="6"/>
    <x v="0"/>
  </r>
  <r>
    <x v="2733"/>
    <n v="4010123456783"/>
    <x v="6"/>
    <s v="Starostlivosť a hygiena – Mačky"/>
    <s v="BellaMeow"/>
    <n v="14"/>
    <n v="1"/>
    <s v="NULL"/>
    <s v=""/>
    <d v="2025-07-13T00:00:00"/>
    <n v="0"/>
    <n v="14"/>
    <x v="0"/>
    <x v="6"/>
    <x v="1"/>
  </r>
  <r>
    <x v="2734"/>
    <n v="8599988776654"/>
    <x v="56"/>
    <s v="Pelechy a nábytok – Psy"/>
    <s v="Pup Republic"/>
    <n v="16.8"/>
    <n v="1"/>
    <s v="NULL"/>
    <s v=""/>
    <d v="2025-07-13T00:00:00"/>
    <n v="0"/>
    <n v="16.8"/>
    <x v="0"/>
    <x v="6"/>
    <x v="0"/>
  </r>
  <r>
    <x v="2735"/>
    <n v="4026677889902"/>
    <x v="12"/>
    <s v="Misky a kŕmne doplnky – Ostatné"/>
    <s v="Pawsitive Gear"/>
    <n v="7.6"/>
    <n v="1"/>
    <s v="5"/>
    <s v="Pevná, stabilní miska, dobre sa myje."/>
    <d v="2025-07-13T00:00:00"/>
    <n v="0"/>
    <n v="7.6"/>
    <x v="2"/>
    <x v="6"/>
    <x v="2"/>
  </r>
  <r>
    <x v="2736"/>
    <n v="8599988776654"/>
    <x v="56"/>
    <s v="Pelechy a nábytok – Psy"/>
    <s v="Pup Republic"/>
    <n v="16.8"/>
    <n v="2"/>
    <s v="NULL"/>
    <s v=""/>
    <d v="2025-07-13T00:00:00"/>
    <n v="0"/>
    <n v="33.6"/>
    <x v="0"/>
    <x v="6"/>
    <x v="0"/>
  </r>
  <r>
    <x v="2737"/>
    <n v="4028899001126"/>
    <x v="1"/>
    <s v="Krmivo a maškrty – Psy"/>
    <s v="Pup Republic"/>
    <n v="2.8"/>
    <n v="3"/>
    <s v="NULL"/>
    <s v=""/>
    <d v="2025-07-13T00:00:00"/>
    <n v="0"/>
    <n v="8.3999999999999986"/>
    <x v="0"/>
    <x v="6"/>
    <x v="0"/>
  </r>
  <r>
    <x v="2738"/>
    <n v="8599988776654"/>
    <x v="56"/>
    <s v="Pelechy a nábytok – Psy"/>
    <s v="Pup Republic"/>
    <n v="16.8"/>
    <n v="1"/>
    <s v="NULL"/>
    <s v=""/>
    <d v="2025-07-13T00:00:00"/>
    <n v="0"/>
    <n v="16.8"/>
    <x v="0"/>
    <x v="6"/>
    <x v="0"/>
  </r>
  <r>
    <x v="2739"/>
    <n v="4013456789017"/>
    <x v="0"/>
    <s v="Krmivo a maškrty – Psy"/>
    <s v="Snouty"/>
    <n v="6"/>
    <n v="1"/>
    <s v="NULL"/>
    <s v=""/>
    <d v="2025-07-14T00:00:00"/>
    <n v="0"/>
    <n v="6"/>
    <x v="0"/>
    <x v="6"/>
    <x v="0"/>
  </r>
  <r>
    <x v="2740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41"/>
    <n v="4028899001126"/>
    <x v="1"/>
    <s v="Krmivo a maškrty – Psy"/>
    <s v="Pup Republic"/>
    <n v="2.8"/>
    <n v="3"/>
    <s v="5"/>
    <s v="Maso šťavnaté, pes sa vždy olíže až za ušima."/>
    <d v="2025-07-14T00:00:00"/>
    <n v="0"/>
    <n v="8.3999999999999986"/>
    <x v="2"/>
    <x v="6"/>
    <x v="0"/>
  </r>
  <r>
    <x v="2742"/>
    <n v="8599988776654"/>
    <x v="56"/>
    <s v="Pelechy a nábytok – Psy"/>
    <s v="Pup Republic"/>
    <n v="16.8"/>
    <n v="2"/>
    <s v="NULL"/>
    <s v=""/>
    <d v="2025-07-14T00:00:00"/>
    <n v="0"/>
    <n v="33.6"/>
    <x v="0"/>
    <x v="6"/>
    <x v="0"/>
  </r>
  <r>
    <x v="2743"/>
    <n v="4010123456783"/>
    <x v="6"/>
    <s v="Starostlivosť a hygiena – Mačky"/>
    <s v="BellaMeow"/>
    <n v="14"/>
    <n v="1"/>
    <s v="NULL"/>
    <s v=""/>
    <d v="2025-07-14T00:00:00"/>
    <n v="0"/>
    <n v="14"/>
    <x v="0"/>
    <x v="6"/>
    <x v="1"/>
  </r>
  <r>
    <x v="2744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45"/>
    <n v="4021234567894"/>
    <x v="18"/>
    <s v="Starostlivosť a hygiena – Mačky"/>
    <s v="PawStyle"/>
    <n v="8"/>
    <n v="1"/>
    <s v="4"/>
    <s v="Vôňa dlho vydrží, neutralizuje pachy."/>
    <d v="2025-07-14T00:00:00"/>
    <n v="0"/>
    <n v="8"/>
    <x v="1"/>
    <x v="6"/>
    <x v="1"/>
  </r>
  <r>
    <x v="2746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47"/>
    <n v="4017890123450"/>
    <x v="16"/>
    <s v="Hračky – Psy"/>
    <s v="Dogissimo"/>
    <n v="7.6"/>
    <n v="1"/>
    <s v="NULL"/>
    <s v=""/>
    <d v="2025-07-14T00:00:00"/>
    <n v="0"/>
    <n v="7.6"/>
    <x v="0"/>
    <x v="6"/>
    <x v="0"/>
  </r>
  <r>
    <x v="2748"/>
    <n v="8599988776654"/>
    <x v="56"/>
    <s v="Pelechy a nábytok – Psy"/>
    <s v="Pup Republic"/>
    <n v="16.8"/>
    <n v="2"/>
    <s v="NULL"/>
    <s v=""/>
    <d v="2025-07-14T00:00:00"/>
    <n v="0"/>
    <n v="33.6"/>
    <x v="0"/>
    <x v="6"/>
    <x v="0"/>
  </r>
  <r>
    <x v="2749"/>
    <n v="4056789012345"/>
    <x v="11"/>
    <s v="Krmivo a maškrty – Mačky"/>
    <s v="BellaMeow"/>
    <n v="2.4"/>
    <n v="2"/>
    <s v="3"/>
    <s v="Mačka zjedla len polovicu, ale inak dobré zloženie."/>
    <d v="2025-07-14T00:00:00"/>
    <n v="0"/>
    <n v="4.8"/>
    <x v="3"/>
    <x v="6"/>
    <x v="1"/>
  </r>
  <r>
    <x v="2750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51"/>
    <n v="4063456789014"/>
    <x v="15"/>
    <s v="Krmivo a maškrty – Psy"/>
    <s v="Pupco"/>
    <n v="36"/>
    <n v="1"/>
    <s v="NULL"/>
    <s v=""/>
    <d v="2025-07-14T00:00:00"/>
    <n v="0"/>
    <n v="36"/>
    <x v="0"/>
    <x v="6"/>
    <x v="0"/>
  </r>
  <r>
    <x v="2752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53"/>
    <n v="4013456789017"/>
    <x v="0"/>
    <s v="Krmivo a maškrty – Psy"/>
    <s v="Snouty"/>
    <n v="6"/>
    <n v="2"/>
    <s v="5"/>
    <s v="Najlepšie odmena pri tréningu, bez cukru."/>
    <d v="2025-07-14T00:00:00"/>
    <n v="0"/>
    <n v="12"/>
    <x v="2"/>
    <x v="6"/>
    <x v="0"/>
  </r>
  <r>
    <x v="2754"/>
    <n v="8599988776654"/>
    <x v="56"/>
    <s v="Pelechy a nábytok – Psy"/>
    <s v="Pup Republic"/>
    <n v="16.8"/>
    <n v="1"/>
    <s v="NULL"/>
    <s v=""/>
    <d v="2025-07-14T00:00:00"/>
    <n v="0"/>
    <n v="16.8"/>
    <x v="0"/>
    <x v="6"/>
    <x v="0"/>
  </r>
  <r>
    <x v="2755"/>
    <n v="4028899001126"/>
    <x v="1"/>
    <s v="Krmivo a maškrty – Psy"/>
    <s v="Pup Republic"/>
    <n v="2.8"/>
    <n v="3"/>
    <s v="NULL"/>
    <s v=""/>
    <d v="2025-07-14T00:00:00"/>
    <n v="0"/>
    <n v="8.3999999999999986"/>
    <x v="0"/>
    <x v="6"/>
    <x v="0"/>
  </r>
  <r>
    <x v="2756"/>
    <n v="8599988776654"/>
    <x v="56"/>
    <s v="Pelechy a nábytok – Psy"/>
    <s v="Pup Republic"/>
    <n v="16.8"/>
    <n v="2"/>
    <s v="NULL"/>
    <s v=""/>
    <d v="2025-07-15T00:00:00"/>
    <n v="0"/>
    <n v="33.6"/>
    <x v="0"/>
    <x v="6"/>
    <x v="0"/>
  </r>
  <r>
    <x v="2757"/>
    <n v="4013456789017"/>
    <x v="0"/>
    <s v="Krmivo a maškrty – Psy"/>
    <s v="Snouty"/>
    <n v="6"/>
    <n v="1"/>
    <s v="4"/>
    <s v="Pes je má rád, skvelá veľkosť na cvičenie."/>
    <d v="2025-07-15T00:00:00"/>
    <n v="0"/>
    <n v="6"/>
    <x v="1"/>
    <x v="6"/>
    <x v="0"/>
  </r>
  <r>
    <x v="2758"/>
    <n v="8599988776654"/>
    <x v="56"/>
    <s v="Pelechy a nábytok – Psy"/>
    <s v="Pup Republic"/>
    <n v="16.8"/>
    <n v="1"/>
    <s v="NULL"/>
    <s v=""/>
    <d v="2025-07-15T00:00:00"/>
    <n v="0"/>
    <n v="16.8"/>
    <x v="0"/>
    <x v="6"/>
    <x v="0"/>
  </r>
  <r>
    <x v="2759"/>
    <n v="4028899001126"/>
    <x v="1"/>
    <s v="Krmivo a maškrty – Psy"/>
    <s v="Pup Republic"/>
    <n v="2.8"/>
    <n v="3"/>
    <s v="NULL"/>
    <s v=""/>
    <d v="2025-07-15T00:00:00"/>
    <n v="0"/>
    <n v="8.3999999999999986"/>
    <x v="0"/>
    <x v="6"/>
    <x v="0"/>
  </r>
  <r>
    <x v="2760"/>
    <n v="8599988776654"/>
    <x v="56"/>
    <s v="Pelechy a nábytok – Psy"/>
    <s v="Pup Republic"/>
    <n v="16.8"/>
    <n v="2"/>
    <s v="NULL"/>
    <s v=""/>
    <d v="2025-07-15T00:00:00"/>
    <n v="0"/>
    <n v="33.6"/>
    <x v="0"/>
    <x v="6"/>
    <x v="0"/>
  </r>
  <r>
    <x v="2761"/>
    <n v="4017890123450"/>
    <x v="16"/>
    <s v="Hračky – Psy"/>
    <s v="Dogissimo"/>
    <n v="7.6"/>
    <n v="1"/>
    <s v="NULL"/>
    <s v=""/>
    <d v="2025-07-15T00:00:00"/>
    <n v="0"/>
    <n v="7.6"/>
    <x v="0"/>
    <x v="6"/>
    <x v="0"/>
  </r>
  <r>
    <x v="2762"/>
    <n v="8599988776654"/>
    <x v="56"/>
    <s v="Pelechy a nábytok – Psy"/>
    <s v="Pup Republic"/>
    <n v="16.8"/>
    <n v="1"/>
    <s v="5"/>
    <s v="Skvelé aj pre šteniatko, krásne sa vyspí bez potíží."/>
    <d v="2025-07-15T00:00:00"/>
    <n v="0"/>
    <n v="16.8"/>
    <x v="2"/>
    <x v="6"/>
    <x v="0"/>
  </r>
  <r>
    <x v="2763"/>
    <n v="4010123456783"/>
    <x v="6"/>
    <s v="Starostlivosť a hygiena – Mačky"/>
    <s v="BellaMeow"/>
    <n v="14"/>
    <n v="1"/>
    <s v="NULL"/>
    <s v=""/>
    <d v="2025-07-15T00:00:00"/>
    <n v="0"/>
    <n v="14"/>
    <x v="0"/>
    <x v="6"/>
    <x v="1"/>
  </r>
  <r>
    <x v="2764"/>
    <n v="8599988776654"/>
    <x v="56"/>
    <s v="Pelechy a nábytok – Psy"/>
    <s v="Pup Republic"/>
    <n v="16.8"/>
    <n v="1"/>
    <s v="NULL"/>
    <s v=""/>
    <d v="2025-07-15T00:00:00"/>
    <n v="0"/>
    <n v="16.8"/>
    <x v="0"/>
    <x v="6"/>
    <x v="0"/>
  </r>
  <r>
    <x v="2765"/>
    <n v="4063456789014"/>
    <x v="15"/>
    <s v="Krmivo a maškrty – Psy"/>
    <s v="Pupco"/>
    <n v="36"/>
    <n v="1"/>
    <s v="NULL"/>
    <s v=""/>
    <d v="2025-07-15T00:00:00"/>
    <n v="0"/>
    <n v="36"/>
    <x v="0"/>
    <x v="6"/>
    <x v="0"/>
  </r>
  <r>
    <x v="2766"/>
    <n v="8599988776654"/>
    <x v="56"/>
    <s v="Pelechy a nábytok – Psy"/>
    <s v="Pup Republic"/>
    <n v="16.8"/>
    <n v="1"/>
    <s v="NULL"/>
    <s v=""/>
    <d v="2025-07-15T00:00:00"/>
    <n v="0"/>
    <n v="16.8"/>
    <x v="0"/>
    <x v="6"/>
    <x v="0"/>
  </r>
  <r>
    <x v="2767"/>
    <n v="4056789012345"/>
    <x v="11"/>
    <s v="Krmivo a maškrty – Mačky"/>
    <s v="BellaMeow"/>
    <n v="2.4"/>
    <n v="2"/>
    <s v="NULL"/>
    <s v=""/>
    <d v="2025-07-15T00:00:00"/>
    <n v="0"/>
    <n v="4.8"/>
    <x v="0"/>
    <x v="6"/>
    <x v="1"/>
  </r>
  <r>
    <x v="2768"/>
    <n v="8599988776654"/>
    <x v="56"/>
    <s v="Pelechy a nábytok – Psy"/>
    <s v="Pup Republic"/>
    <n v="16.8"/>
    <n v="1"/>
    <s v="4"/>
    <s v="Príjemný materiál, ale mohol by byť silnejší."/>
    <d v="2025-07-15T00:00:00"/>
    <n v="0"/>
    <n v="16.8"/>
    <x v="1"/>
    <x v="6"/>
    <x v="0"/>
  </r>
  <r>
    <x v="2769"/>
    <n v="4021234567894"/>
    <x v="18"/>
    <s v="Starostlivosť a hygiena – Mačky"/>
    <s v="PawStyle"/>
    <n v="8"/>
    <n v="1"/>
    <s v="NULL"/>
    <s v=""/>
    <d v="2025-07-16T00:00:00"/>
    <n v="0"/>
    <n v="8"/>
    <x v="0"/>
    <x v="6"/>
    <x v="1"/>
  </r>
  <r>
    <x v="2770"/>
    <n v="8599988776654"/>
    <x v="56"/>
    <s v="Pelechy a nábytok – Psy"/>
    <s v="Pup Republic"/>
    <n v="16.8"/>
    <n v="2"/>
    <s v="NULL"/>
    <s v=""/>
    <d v="2025-07-16T00:00:00"/>
    <n v="0"/>
    <n v="33.6"/>
    <x v="0"/>
    <x v="6"/>
    <x v="0"/>
  </r>
  <r>
    <x v="2771"/>
    <n v="4013456789017"/>
    <x v="0"/>
    <s v="Krmivo a maškrty – Psy"/>
    <s v="Snouty"/>
    <n v="6"/>
    <n v="1"/>
    <s v="NULL"/>
    <s v=""/>
    <d v="2025-07-16T00:00:00"/>
    <n v="0"/>
    <n v="6"/>
    <x v="0"/>
    <x v="6"/>
    <x v="0"/>
  </r>
  <r>
    <x v="2772"/>
    <n v="8599988776654"/>
    <x v="56"/>
    <s v="Pelechy a nábytok – Psy"/>
    <s v="Pup Republic"/>
    <n v="16.8"/>
    <n v="1"/>
    <s v="NULL"/>
    <s v=""/>
    <d v="2025-07-16T00:00:00"/>
    <n v="0"/>
    <n v="16.8"/>
    <x v="0"/>
    <x v="6"/>
    <x v="0"/>
  </r>
  <r>
    <x v="2773"/>
    <n v="4063456789014"/>
    <x v="15"/>
    <s v="Krmivo a maškrty – Psy"/>
    <s v="Pupco"/>
    <n v="36"/>
    <n v="1"/>
    <s v="NULL"/>
    <s v=""/>
    <d v="2025-07-16T00:00:00"/>
    <n v="0"/>
    <n v="36"/>
    <x v="0"/>
    <x v="6"/>
    <x v="0"/>
  </r>
  <r>
    <x v="2774"/>
    <n v="8599988776654"/>
    <x v="56"/>
    <s v="Pelechy a nábytok – Psy"/>
    <s v="Pup Republic"/>
    <n v="16.8"/>
    <n v="1"/>
    <s v="NULL"/>
    <s v=""/>
    <d v="2025-07-16T00:00:00"/>
    <n v="0"/>
    <n v="16.8"/>
    <x v="0"/>
    <x v="6"/>
    <x v="0"/>
  </r>
  <r>
    <x v="2775"/>
    <n v="4017890123450"/>
    <x v="16"/>
    <s v="Hračky – Psy"/>
    <s v="Dogissimo"/>
    <n v="7.6"/>
    <n v="1"/>
    <s v="5"/>
    <s v="Pes sa ju nosí všade, výborná kvalita."/>
    <d v="2025-07-16T00:00:00"/>
    <n v="0"/>
    <n v="7.6"/>
    <x v="2"/>
    <x v="6"/>
    <x v="0"/>
  </r>
  <r>
    <x v="2776"/>
    <n v="8599988776654"/>
    <x v="56"/>
    <s v="Pelechy a nábytok – Psy"/>
    <s v="Pup Republic"/>
    <n v="16.8"/>
    <n v="2"/>
    <s v="NULL"/>
    <s v=""/>
    <d v="2025-07-16T00:00:00"/>
    <n v="0"/>
    <n v="33.6"/>
    <x v="0"/>
    <x v="6"/>
    <x v="0"/>
  </r>
  <r>
    <x v="2777"/>
    <n v="4010123456783"/>
    <x v="6"/>
    <s v="Starostlivosť a hygiena – Mačky"/>
    <s v="BellaMeow"/>
    <n v="14"/>
    <n v="1"/>
    <s v="NULL"/>
    <s v=""/>
    <d v="2025-07-16T00:00:00"/>
    <n v="0"/>
    <n v="14"/>
    <x v="0"/>
    <x v="6"/>
    <x v="1"/>
  </r>
  <r>
    <x v="2778"/>
    <n v="8599988776654"/>
    <x v="56"/>
    <s v="Pelechy a nábytok – Psy"/>
    <s v="Pup Republic"/>
    <n v="16.8"/>
    <n v="1"/>
    <s v="5"/>
    <s v="Nečekal som, že bude tak efektivní. Výborné!"/>
    <d v="2025-07-16T00:00:00"/>
    <n v="0"/>
    <n v="16.8"/>
    <x v="2"/>
    <x v="6"/>
    <x v="0"/>
  </r>
  <r>
    <x v="2779"/>
    <n v="4027788990013"/>
    <x v="9"/>
    <s v="Starostlivosť a hygiena – Psy"/>
    <s v="Dogissimo"/>
    <n v="8"/>
    <n v="1"/>
    <s v="NULL"/>
    <s v=""/>
    <d v="2025-07-16T00:00:00"/>
    <n v="0"/>
    <n v="8"/>
    <x v="0"/>
    <x v="6"/>
    <x v="0"/>
  </r>
  <r>
    <x v="2780"/>
    <n v="8599988776654"/>
    <x v="56"/>
    <s v="Pelechy a nábytok – Psy"/>
    <s v="Pup Republic"/>
    <n v="16.8"/>
    <n v="1"/>
    <s v="NULL"/>
    <s v=""/>
    <d v="2025-07-16T00:00:00"/>
    <n v="0"/>
    <n v="16.8"/>
    <x v="0"/>
    <x v="6"/>
    <x v="0"/>
  </r>
  <r>
    <x v="2781"/>
    <n v="4028899001126"/>
    <x v="1"/>
    <s v="Krmivo a maškrty – Psy"/>
    <s v="Pup Republic"/>
    <n v="2.8"/>
    <n v="3"/>
    <s v="4"/>
    <s v="Dobré konzervy, pes je papá pravidelne."/>
    <d v="2025-07-16T00:00:00"/>
    <n v="0"/>
    <n v="8.3999999999999986"/>
    <x v="1"/>
    <x v="6"/>
    <x v="0"/>
  </r>
  <r>
    <x v="2782"/>
    <n v="8599988776654"/>
    <x v="56"/>
    <s v="Pelechy a nábytok – Psy"/>
    <s v="Pup Republic"/>
    <n v="16.8"/>
    <n v="2"/>
    <s v="NULL"/>
    <s v=""/>
    <d v="2025-07-16T00:00:00"/>
    <n v="0"/>
    <n v="33.6"/>
    <x v="0"/>
    <x v="6"/>
    <x v="0"/>
  </r>
  <r>
    <x v="2783"/>
    <n v="4063456789014"/>
    <x v="15"/>
    <s v="Krmivo a maškrty – Psy"/>
    <s v="Pupco"/>
    <n v="36"/>
    <n v="1"/>
    <s v="NULL"/>
    <s v=""/>
    <d v="2025-07-16T00:00:00"/>
    <n v="0"/>
    <n v="36"/>
    <x v="0"/>
    <x v="6"/>
    <x v="0"/>
  </r>
  <r>
    <x v="2784"/>
    <n v="8599988776654"/>
    <x v="56"/>
    <s v="Pelechy a nábytok – Psy"/>
    <s v="Pup Republic"/>
    <n v="16.8"/>
    <n v="1"/>
    <s v="NULL"/>
    <s v=""/>
    <d v="2025-07-17T00:00:00"/>
    <n v="0"/>
    <n v="16.8"/>
    <x v="0"/>
    <x v="6"/>
    <x v="0"/>
  </r>
  <r>
    <x v="2785"/>
    <n v="4013456789017"/>
    <x v="0"/>
    <s v="Krmivo a maškrty – Psy"/>
    <s v="Snouty"/>
    <n v="6"/>
    <n v="2"/>
    <s v="4"/>
    <s v="Malé, mäkké kousky, ideálne na cvičák."/>
    <d v="2025-07-17T00:00:00"/>
    <n v="0"/>
    <n v="12"/>
    <x v="1"/>
    <x v="6"/>
    <x v="0"/>
  </r>
  <r>
    <x v="2786"/>
    <n v="8599988776654"/>
    <x v="56"/>
    <s v="Pelechy a nábytok – Psy"/>
    <s v="Pup Republic"/>
    <n v="16.8"/>
    <n v="1"/>
    <s v="NULL"/>
    <s v=""/>
    <d v="2025-07-17T00:00:00"/>
    <n v="0"/>
    <n v="16.8"/>
    <x v="0"/>
    <x v="6"/>
    <x v="0"/>
  </r>
  <r>
    <x v="2787"/>
    <n v="4021234567894"/>
    <x v="18"/>
    <s v="Starostlivosť a hygiena – Mačky"/>
    <s v="PawStyle"/>
    <n v="8"/>
    <n v="1"/>
    <s v="NULL"/>
    <s v=""/>
    <d v="2025-07-17T00:00:00"/>
    <n v="0"/>
    <n v="8"/>
    <x v="0"/>
    <x v="6"/>
    <x v="1"/>
  </r>
  <r>
    <x v="2788"/>
    <n v="8599988776654"/>
    <x v="56"/>
    <s v="Pelechy a nábytok – Psy"/>
    <s v="Pup Republic"/>
    <n v="16.8"/>
    <n v="2"/>
    <s v="NULL"/>
    <s v=""/>
    <d v="2025-07-17T00:00:00"/>
    <n v="0"/>
    <n v="33.6"/>
    <x v="0"/>
    <x v="6"/>
    <x v="0"/>
  </r>
  <r>
    <x v="2789"/>
    <n v="4017890123450"/>
    <x v="16"/>
    <s v="Hračky – Psy"/>
    <s v="Dogissimo"/>
    <n v="7.6"/>
    <n v="1"/>
    <s v="5"/>
    <s v="Fenka ju ťahá aj do postele, skvelá hračka."/>
    <d v="2025-07-17T00:00:00"/>
    <n v="0"/>
    <n v="7.6"/>
    <x v="2"/>
    <x v="6"/>
    <x v="0"/>
  </r>
  <r>
    <x v="2790"/>
    <n v="8599988776654"/>
    <x v="56"/>
    <s v="Pelechy a nábytok – Psy"/>
    <s v="Pup Republic"/>
    <n v="16.8"/>
    <n v="1"/>
    <s v="NULL"/>
    <s v=""/>
    <d v="2025-07-17T00:00:00"/>
    <n v="0"/>
    <n v="16.8"/>
    <x v="0"/>
    <x v="6"/>
    <x v="0"/>
  </r>
  <r>
    <x v="2791"/>
    <n v="4010123456783"/>
    <x v="6"/>
    <s v="Starostlivosť a hygiena – Mačky"/>
    <s v="BellaMeow"/>
    <n v="14"/>
    <n v="1"/>
    <s v="NULL"/>
    <s v=""/>
    <d v="2025-07-17T00:00:00"/>
    <n v="0"/>
    <n v="14"/>
    <x v="0"/>
    <x v="6"/>
    <x v="1"/>
  </r>
  <r>
    <x v="2792"/>
    <n v="8599988776654"/>
    <x v="56"/>
    <s v="Pelechy a nábytok – Psy"/>
    <s v="Pup Republic"/>
    <n v="16.8"/>
    <n v="1"/>
    <s v="4"/>
    <s v="Dobre sa čistí, ale trochu šmýka sa po podlaze."/>
    <d v="2025-07-17T00:00:00"/>
    <n v="0"/>
    <n v="16.8"/>
    <x v="1"/>
    <x v="6"/>
    <x v="0"/>
  </r>
  <r>
    <x v="2793"/>
    <n v="4063456789014"/>
    <x v="15"/>
    <s v="Krmivo a maškrty – Psy"/>
    <s v="Pupco"/>
    <n v="36"/>
    <n v="1"/>
    <s v="NULL"/>
    <s v=""/>
    <d v="2025-07-17T00:00:00"/>
    <n v="0"/>
    <n v="36"/>
    <x v="0"/>
    <x v="6"/>
    <x v="0"/>
  </r>
  <r>
    <x v="2794"/>
    <n v="8599988776654"/>
    <x v="56"/>
    <s v="Pelechy a nábytok – Psy"/>
    <s v="Pup Republic"/>
    <n v="16.8"/>
    <n v="1"/>
    <s v="NULL"/>
    <s v=""/>
    <d v="2025-07-17T00:00:00"/>
    <n v="0"/>
    <n v="16.8"/>
    <x v="0"/>
    <x v="6"/>
    <x v="0"/>
  </r>
  <r>
    <x v="2795"/>
    <n v="4056789012345"/>
    <x v="11"/>
    <s v="Krmivo a maškrty – Mačky"/>
    <s v="BellaMeow"/>
    <n v="2.4"/>
    <n v="3"/>
    <s v="NULL"/>
    <s v=""/>
    <d v="2025-07-17T00:00:00"/>
    <n v="0"/>
    <n v="7.1999999999999993"/>
    <x v="0"/>
    <x v="6"/>
    <x v="1"/>
  </r>
  <r>
    <x v="2796"/>
    <n v="8599988776654"/>
    <x v="56"/>
    <s v="Pelechy a nábytok – Psy"/>
    <s v="Pup Republic"/>
    <n v="16.8"/>
    <n v="1"/>
    <s v="NULL"/>
    <s v=""/>
    <d v="2025-07-17T00:00:00"/>
    <n v="0"/>
    <n v="16.8"/>
    <x v="0"/>
    <x v="6"/>
    <x v="0"/>
  </r>
  <r>
    <x v="2797"/>
    <n v="4013456789017"/>
    <x v="0"/>
    <s v="Krmivo a maškrty – Psy"/>
    <s v="Snouty"/>
    <n v="6"/>
    <n v="1"/>
    <s v="5"/>
    <s v="Mäkké maškrty, super motivace pri výcviku."/>
    <d v="2025-07-17T00:00:00"/>
    <n v="0"/>
    <n v="6"/>
    <x v="2"/>
    <x v="6"/>
    <x v="0"/>
  </r>
  <r>
    <x v="2798"/>
    <n v="8599988776654"/>
    <x v="56"/>
    <s v="Pelechy a nábytok – Psy"/>
    <s v="Pup Republic"/>
    <n v="16.8"/>
    <n v="1"/>
    <s v="NULL"/>
    <s v=""/>
    <d v="2025-07-18T00:00:00"/>
    <n v="0"/>
    <n v="16.8"/>
    <x v="0"/>
    <x v="6"/>
    <x v="0"/>
  </r>
  <r>
    <x v="2799"/>
    <n v="4028899001126"/>
    <x v="1"/>
    <s v="Krmivo a maškrty – Psy"/>
    <s v="Pup Republic"/>
    <n v="2.8"/>
    <n v="2"/>
    <s v="NULL"/>
    <s v=""/>
    <d v="2025-07-18T00:00:00"/>
    <n v="0"/>
    <n v="5.6"/>
    <x v="0"/>
    <x v="6"/>
    <x v="0"/>
  </r>
  <r>
    <x v="2800"/>
    <n v="8599988776654"/>
    <x v="56"/>
    <s v="Pelechy a nábytok – Psy"/>
    <s v="Pup Republic"/>
    <n v="16.8"/>
    <n v="2"/>
    <s v="NULL"/>
    <s v=""/>
    <d v="2025-07-18T00:00:00"/>
    <n v="0"/>
    <n v="33.6"/>
    <x v="0"/>
    <x v="6"/>
    <x v="0"/>
  </r>
  <r>
    <x v="2801"/>
    <n v="4063456789014"/>
    <x v="15"/>
    <s v="Krmivo a maškrty – Psy"/>
    <s v="Pupco"/>
    <n v="36"/>
    <n v="1"/>
    <s v="NULL"/>
    <s v=""/>
    <d v="2025-07-18T00:00:00"/>
    <n v="0"/>
    <n v="36"/>
    <x v="0"/>
    <x v="6"/>
    <x v="0"/>
  </r>
  <r>
    <x v="2802"/>
    <n v="8599988776654"/>
    <x v="56"/>
    <s v="Pelechy a nábytok – Psy"/>
    <s v="Pup Republic"/>
    <n v="16.8"/>
    <n v="1"/>
    <s v="5"/>
    <s v="Skvelá vec pre psy s hustou srstí."/>
    <d v="2025-07-18T00:00:00"/>
    <n v="0"/>
    <n v="16.8"/>
    <x v="2"/>
    <x v="6"/>
    <x v="0"/>
  </r>
  <r>
    <x v="2803"/>
    <n v="4010123456783"/>
    <x v="6"/>
    <s v="Starostlivosť a hygiena – Mačky"/>
    <s v="BellaMeow"/>
    <n v="14"/>
    <n v="1"/>
    <s v="NULL"/>
    <s v=""/>
    <d v="2025-07-18T00:00:00"/>
    <n v="0"/>
    <n v="14"/>
    <x v="0"/>
    <x v="6"/>
    <x v="1"/>
  </r>
  <r>
    <x v="2804"/>
    <n v="8599988776654"/>
    <x v="56"/>
    <s v="Pelechy a nábytok – Psy"/>
    <s v="Pup Republic"/>
    <n v="16.8"/>
    <n v="1"/>
    <s v="NULL"/>
    <s v=""/>
    <d v="2025-07-18T00:00:00"/>
    <n v="0"/>
    <n v="16.8"/>
    <x v="0"/>
    <x v="6"/>
    <x v="0"/>
  </r>
  <r>
    <x v="2805"/>
    <n v="4013456789017"/>
    <x v="0"/>
    <s v="Krmivo a maškrty – Psy"/>
    <s v="Snouty"/>
    <n v="6"/>
    <n v="2"/>
    <s v="NULL"/>
    <s v=""/>
    <d v="2025-07-18T00:00:00"/>
    <n v="0"/>
    <n v="12"/>
    <x v="0"/>
    <x v="6"/>
    <x v="0"/>
  </r>
  <r>
    <x v="2806"/>
    <n v="8599988776654"/>
    <x v="56"/>
    <s v="Pelechy a nábytok – Psy"/>
    <s v="Pup Republic"/>
    <n v="16.8"/>
    <n v="1"/>
    <s v="NULL"/>
    <s v=""/>
    <d v="2025-07-18T00:00:00"/>
    <n v="0"/>
    <n v="16.8"/>
    <x v="0"/>
    <x v="6"/>
    <x v="0"/>
  </r>
  <r>
    <x v="2807"/>
    <n v="4021234567894"/>
    <x v="18"/>
    <s v="Starostlivosť a hygiena – Mačky"/>
    <s v="PawStyle"/>
    <n v="8"/>
    <n v="1"/>
    <s v="3"/>
    <s v="Pomáha, ale rozprašovač by mohol byť lepší."/>
    <d v="2025-07-18T00:00:00"/>
    <n v="0"/>
    <n v="8"/>
    <x v="3"/>
    <x v="6"/>
    <x v="1"/>
  </r>
  <r>
    <x v="2808"/>
    <n v="8599988776654"/>
    <x v="56"/>
    <s v="Pelechy a nábytok – Psy"/>
    <s v="Pup Republic"/>
    <n v="16.8"/>
    <n v="1"/>
    <s v="NULL"/>
    <s v=""/>
    <d v="2025-07-19T00:00:00"/>
    <n v="0"/>
    <n v="16.8"/>
    <x v="0"/>
    <x v="6"/>
    <x v="0"/>
  </r>
  <r>
    <x v="2809"/>
    <n v="4027788990013"/>
    <x v="9"/>
    <s v="Starostlivosť a hygiena – Psy"/>
    <s v="Dogissimo"/>
    <n v="8"/>
    <n v="1"/>
    <s v="NULL"/>
    <s v=""/>
    <d v="2025-07-19T00:00:00"/>
    <n v="0"/>
    <n v="8"/>
    <x v="0"/>
    <x v="6"/>
    <x v="0"/>
  </r>
  <r>
    <x v="2810"/>
    <n v="8599988776654"/>
    <x v="56"/>
    <s v="Pelechy a nábytok – Psy"/>
    <s v="Pup Republic"/>
    <n v="16.8"/>
    <n v="2"/>
    <s v="NULL"/>
    <s v=""/>
    <d v="2025-07-19T00:00:00"/>
    <n v="0"/>
    <n v="33.6"/>
    <x v="0"/>
    <x v="6"/>
    <x v="0"/>
  </r>
  <r>
    <x v="2811"/>
    <n v="4063456789014"/>
    <x v="15"/>
    <s v="Krmivo a maškrty – Psy"/>
    <s v="Pupco"/>
    <n v="36"/>
    <n v="1"/>
    <s v="5"/>
    <s v="Vysoká kvalita, pes má hezčí srsť."/>
    <d v="2025-07-19T00:00:00"/>
    <n v="0"/>
    <n v="36"/>
    <x v="2"/>
    <x v="6"/>
    <x v="0"/>
  </r>
  <r>
    <x v="2812"/>
    <n v="8599988776654"/>
    <x v="56"/>
    <s v="Pelechy a nábytok – Psy"/>
    <s v="Pup Republic"/>
    <n v="16.8"/>
    <n v="1"/>
    <s v="NULL"/>
    <s v=""/>
    <d v="2025-07-19T00:00:00"/>
    <n v="0"/>
    <n v="16.8"/>
    <x v="0"/>
    <x v="6"/>
    <x v="0"/>
  </r>
  <r>
    <x v="2813"/>
    <n v="4017890123450"/>
    <x v="16"/>
    <s v="Hračky – Psy"/>
    <s v="Dogissimo"/>
    <n v="7.6"/>
    <n v="1"/>
    <s v="NULL"/>
    <s v=""/>
    <d v="2025-07-19T00:00:00"/>
    <n v="0"/>
    <n v="7.6"/>
    <x v="0"/>
    <x v="6"/>
    <x v="0"/>
  </r>
  <r>
    <x v="2814"/>
    <n v="8599988776654"/>
    <x v="56"/>
    <s v="Pelechy a nábytok – Psy"/>
    <s v="Pup Republic"/>
    <n v="16.8"/>
    <n v="2"/>
    <s v="4"/>
    <s v="Vyhovuje, ale sklouzává po kachličkách."/>
    <d v="2025-07-19T00:00:00"/>
    <n v="0"/>
    <n v="33.6"/>
    <x v="1"/>
    <x v="6"/>
    <x v="0"/>
  </r>
  <r>
    <x v="2815"/>
    <n v="4028899001126"/>
    <x v="1"/>
    <s v="Krmivo a maškrty – Psy"/>
    <s v="Pup Republic"/>
    <n v="2.8"/>
    <n v="3"/>
    <s v="NULL"/>
    <s v=""/>
    <d v="2025-07-19T00:00:00"/>
    <n v="0"/>
    <n v="8.3999999999999986"/>
    <x v="0"/>
    <x v="6"/>
    <x v="0"/>
  </r>
  <r>
    <x v="2816"/>
    <n v="8599988776654"/>
    <x v="56"/>
    <s v="Pelechy a nábytok – Psy"/>
    <s v="Pup Republic"/>
    <n v="16.8"/>
    <n v="1"/>
    <s v="NULL"/>
    <s v=""/>
    <d v="2025-07-19T00:00:00"/>
    <n v="0"/>
    <n v="16.8"/>
    <x v="0"/>
    <x v="6"/>
    <x v="0"/>
  </r>
  <r>
    <x v="2817"/>
    <n v="4013456789017"/>
    <x v="0"/>
    <s v="Krmivo a maškrty – Psy"/>
    <s v="Snouty"/>
    <n v="6"/>
    <n v="1"/>
    <s v="NULL"/>
    <s v=""/>
    <d v="2025-07-19T00:00:00"/>
    <n v="0"/>
    <n v="6"/>
    <x v="0"/>
    <x v="6"/>
    <x v="0"/>
  </r>
  <r>
    <x v="2818"/>
    <n v="8599988776654"/>
    <x v="56"/>
    <s v="Pelechy a nábytok – Psy"/>
    <s v="Pup Republic"/>
    <n v="16.8"/>
    <n v="1"/>
    <s v="NULL"/>
    <s v=""/>
    <d v="2025-07-19T00:00:00"/>
    <n v="0"/>
    <n v="16.8"/>
    <x v="0"/>
    <x v="6"/>
    <x v="0"/>
  </r>
  <r>
    <x v="2819"/>
    <n v="4056789012345"/>
    <x v="11"/>
    <s v="Krmivo a maškrty – Mačky"/>
    <s v="BellaMeow"/>
    <n v="2.4"/>
    <n v="2"/>
    <s v="4"/>
    <s v="Mačka spokojná, kupujem opakovane."/>
    <d v="2025-07-19T00:00:00"/>
    <n v="0"/>
    <n v="4.8"/>
    <x v="1"/>
    <x v="6"/>
    <x v="1"/>
  </r>
  <r>
    <x v="2820"/>
    <n v="8599988776654"/>
    <x v="56"/>
    <s v="Pelechy a nábytok – Psy"/>
    <s v="Pup Republic"/>
    <n v="16.8"/>
    <n v="1"/>
    <s v="NULL"/>
    <s v=""/>
    <d v="2025-07-20T00:00:00"/>
    <n v="0"/>
    <n v="16.8"/>
    <x v="0"/>
    <x v="6"/>
    <x v="0"/>
  </r>
  <r>
    <x v="2821"/>
    <n v="4063456789014"/>
    <x v="15"/>
    <s v="Krmivo a maškrty – Psy"/>
    <s v="Pupco"/>
    <n v="36"/>
    <n v="1"/>
    <s v="NULL"/>
    <s v=""/>
    <d v="2025-07-20T00:00:00"/>
    <n v="0"/>
    <n v="36"/>
    <x v="0"/>
    <x v="6"/>
    <x v="0"/>
  </r>
  <r>
    <x v="2822"/>
    <n v="8599988776654"/>
    <x v="56"/>
    <s v="Pelechy a nábytok – Psy"/>
    <s v="Pup Republic"/>
    <n v="16.8"/>
    <n v="2"/>
    <s v="5"/>
    <s v="Pes sa na nej válí celé dni, výborná kúpa."/>
    <d v="2025-07-20T00:00:00"/>
    <n v="0"/>
    <n v="33.6"/>
    <x v="2"/>
    <x v="6"/>
    <x v="0"/>
  </r>
  <r>
    <x v="2823"/>
    <n v="4010123456783"/>
    <x v="6"/>
    <s v="Starostlivosť a hygiena – Mačky"/>
    <s v="BellaMeow"/>
    <n v="14"/>
    <n v="1"/>
    <s v="NULL"/>
    <s v=""/>
    <d v="2025-07-20T00:00:00"/>
    <n v="0"/>
    <n v="14"/>
    <x v="0"/>
    <x v="6"/>
    <x v="1"/>
  </r>
  <r>
    <x v="2824"/>
    <n v="8599988776654"/>
    <x v="56"/>
    <s v="Pelechy a nábytok – Psy"/>
    <s v="Pup Republic"/>
    <n v="16.8"/>
    <n v="1"/>
    <s v="NULL"/>
    <s v=""/>
    <d v="2025-07-20T00:00:00"/>
    <n v="0"/>
    <n v="16.8"/>
    <x v="0"/>
    <x v="6"/>
    <x v="0"/>
  </r>
  <r>
    <x v="2825"/>
    <n v="4013456789017"/>
    <x v="0"/>
    <s v="Krmivo a maškrty – Psy"/>
    <s v="Snouty"/>
    <n v="6"/>
    <n v="2"/>
    <s v="NULL"/>
    <s v=""/>
    <d v="2025-07-20T00:00:00"/>
    <n v="0"/>
    <n v="12"/>
    <x v="0"/>
    <x v="6"/>
    <x v="0"/>
  </r>
  <r>
    <x v="2826"/>
    <n v="8599988776654"/>
    <x v="56"/>
    <s v="Pelechy a nábytok – Psy"/>
    <s v="Pup Republic"/>
    <n v="16.8"/>
    <n v="1"/>
    <s v="NULL"/>
    <s v=""/>
    <d v="2025-07-20T00:00:00"/>
    <n v="0"/>
    <n v="16.8"/>
    <x v="0"/>
    <x v="6"/>
    <x v="0"/>
  </r>
  <r>
    <x v="2827"/>
    <n v="4021234567894"/>
    <x v="18"/>
    <s v="Starostlivosť a hygiena – Mačky"/>
    <s v="PawStyle"/>
    <n v="8"/>
    <n v="1"/>
    <s v="3"/>
    <s v="Na väčší zápach nestačí, inak dobrý."/>
    <d v="2025-07-20T00:00:00"/>
    <n v="0"/>
    <n v="8"/>
    <x v="3"/>
    <x v="6"/>
    <x v="1"/>
  </r>
  <r>
    <x v="2828"/>
    <n v="8599988776654"/>
    <x v="56"/>
    <s v="Pelechy a nábytok – Psy"/>
    <s v="Pup Republic"/>
    <n v="16.8"/>
    <n v="2"/>
    <s v="NULL"/>
    <s v=""/>
    <d v="2025-07-20T00:00:00"/>
    <n v="0"/>
    <n v="33.6"/>
    <x v="0"/>
    <x v="6"/>
    <x v="0"/>
  </r>
  <r>
    <x v="2829"/>
    <n v="4027788990013"/>
    <x v="9"/>
    <s v="Starostlivosť a hygiena – Psy"/>
    <s v="Dogissimo"/>
    <n v="8"/>
    <n v="1"/>
    <s v="NULL"/>
    <s v=""/>
    <d v="2025-07-20T00:00:00"/>
    <n v="0"/>
    <n v="8"/>
    <x v="0"/>
    <x v="6"/>
    <x v="0"/>
  </r>
  <r>
    <x v="2830"/>
    <n v="8599988776654"/>
    <x v="56"/>
    <s v="Pelechy a nábytok – Psy"/>
    <s v="Pup Republic"/>
    <n v="16.8"/>
    <n v="1"/>
    <s v="NULL"/>
    <s v=""/>
    <d v="2025-07-20T00:00:00"/>
    <n v="0"/>
    <n v="16.8"/>
    <x v="0"/>
    <x v="6"/>
    <x v="0"/>
  </r>
  <r>
    <x v="2831"/>
    <n v="8599988776654"/>
    <x v="56"/>
    <s v="Pelechy a nábytok – Psy"/>
    <s v="Pup Republic"/>
    <n v="16.8"/>
    <n v="1"/>
    <s v="NULL"/>
    <s v=""/>
    <d v="2025-07-21T00:00:00"/>
    <n v="0"/>
    <n v="16.8"/>
    <x v="0"/>
    <x v="6"/>
    <x v="0"/>
  </r>
  <r>
    <x v="2832"/>
    <n v="4028899001126"/>
    <x v="1"/>
    <s v="Krmivo a maškrty – Psy"/>
    <s v="Pup Republic"/>
    <n v="2.8"/>
    <n v="3"/>
    <s v="5"/>
    <s v="Najobľúbenejšie konzerva našeho psa, krásne vonia."/>
    <d v="2025-07-21T00:00:00"/>
    <n v="0"/>
    <n v="8.3999999999999986"/>
    <x v="2"/>
    <x v="6"/>
    <x v="0"/>
  </r>
  <r>
    <x v="2833"/>
    <n v="8599988776654"/>
    <x v="56"/>
    <s v="Pelechy a nábytok – Psy"/>
    <s v="Pup Republic"/>
    <n v="16.8"/>
    <n v="2"/>
    <s v="NULL"/>
    <s v=""/>
    <d v="2025-07-21T00:00:00"/>
    <n v="0"/>
    <n v="33.6"/>
    <x v="0"/>
    <x v="6"/>
    <x v="0"/>
  </r>
  <r>
    <x v="2834"/>
    <n v="4013456789017"/>
    <x v="0"/>
    <s v="Krmivo a maškrty – Psy"/>
    <s v="Snouty"/>
    <n v="6"/>
    <n v="1"/>
    <s v="NULL"/>
    <s v=""/>
    <d v="2025-07-21T00:00:00"/>
    <n v="0"/>
    <n v="6"/>
    <x v="0"/>
    <x v="6"/>
    <x v="0"/>
  </r>
  <r>
    <x v="2835"/>
    <n v="8599988776654"/>
    <x v="56"/>
    <s v="Pelechy a nábytok – Psy"/>
    <s v="Pup Republic"/>
    <n v="16.8"/>
    <n v="1"/>
    <s v="NULL"/>
    <s v=""/>
    <d v="2025-07-21T00:00:00"/>
    <n v="0"/>
    <n v="16.8"/>
    <x v="0"/>
    <x v="6"/>
    <x v="0"/>
  </r>
  <r>
    <x v="2836"/>
    <n v="4063456789014"/>
    <x v="15"/>
    <s v="Krmivo a maškrty – Psy"/>
    <s v="Pupco"/>
    <n v="36"/>
    <n v="1"/>
    <s v="4"/>
    <s v="Kvalitné granuly, pekná srsť aj energie."/>
    <d v="2025-07-21T00:00:00"/>
    <n v="0"/>
    <n v="36"/>
    <x v="1"/>
    <x v="6"/>
    <x v="0"/>
  </r>
  <r>
    <x v="2837"/>
    <n v="8599988776654"/>
    <x v="56"/>
    <s v="Pelechy a nábytok – Psy"/>
    <s v="Pup Republic"/>
    <n v="16.8"/>
    <n v="1"/>
    <s v="NULL"/>
    <s v=""/>
    <d v="2025-07-21T00:00:00"/>
    <n v="0"/>
    <n v="16.8"/>
    <x v="0"/>
    <x v="6"/>
    <x v="0"/>
  </r>
  <r>
    <x v="2838"/>
    <n v="4021234567894"/>
    <x v="18"/>
    <s v="Starostlivosť a hygiena – Mačky"/>
    <s v="PawStyle"/>
    <n v="8"/>
    <n v="1"/>
    <s v="NULL"/>
    <s v=""/>
    <d v="2025-07-21T00:00:00"/>
    <n v="0"/>
    <n v="8"/>
    <x v="0"/>
    <x v="6"/>
    <x v="1"/>
  </r>
  <r>
    <x v="2839"/>
    <n v="8599988776654"/>
    <x v="56"/>
    <s v="Pelechy a nábytok – Psy"/>
    <s v="Pup Republic"/>
    <n v="16.8"/>
    <n v="2"/>
    <s v="5"/>
    <s v="Pes sa na nej okamžite upokojí, funguje skvelo."/>
    <d v="2025-07-21T00:00:00"/>
    <n v="0"/>
    <n v="33.6"/>
    <x v="2"/>
    <x v="6"/>
    <x v="0"/>
  </r>
  <r>
    <x v="2840"/>
    <n v="4010123456783"/>
    <x v="6"/>
    <s v="Starostlivosť a hygiena – Mačky"/>
    <s v="BellaMeow"/>
    <n v="14"/>
    <n v="1"/>
    <s v="NULL"/>
    <s v=""/>
    <d v="2025-07-22T00:00:00"/>
    <n v="0"/>
    <n v="14"/>
    <x v="0"/>
    <x v="6"/>
    <x v="1"/>
  </r>
  <r>
    <x v="2841"/>
    <n v="8599988776654"/>
    <x v="56"/>
    <s v="Pelechy a nábytok – Psy"/>
    <s v="Pup Republic"/>
    <n v="16.8"/>
    <n v="1"/>
    <s v="NULL"/>
    <s v=""/>
    <d v="2025-07-22T00:00:00"/>
    <n v="0"/>
    <n v="16.8"/>
    <x v="0"/>
    <x v="6"/>
    <x v="0"/>
  </r>
  <r>
    <x v="2842"/>
    <n v="4027788990013"/>
    <x v="9"/>
    <s v="Starostlivosť a hygiena – Psy"/>
    <s v="Dogissimo"/>
    <n v="8"/>
    <n v="1"/>
    <s v="4"/>
    <s v="Pekne pení, pes vonia niekoľko dní."/>
    <d v="2025-07-22T00:00:00"/>
    <n v="0"/>
    <n v="8"/>
    <x v="1"/>
    <x v="6"/>
    <x v="0"/>
  </r>
  <r>
    <x v="2843"/>
    <n v="8599988776654"/>
    <x v="56"/>
    <s v="Pelechy a nábytok – Psy"/>
    <s v="Pup Republic"/>
    <n v="16.8"/>
    <n v="1"/>
    <s v="NULL"/>
    <s v=""/>
    <d v="2025-07-22T00:00:00"/>
    <n v="0"/>
    <n v="16.8"/>
    <x v="0"/>
    <x v="6"/>
    <x v="0"/>
  </r>
  <r>
    <x v="2844"/>
    <n v="4017890123450"/>
    <x v="16"/>
    <s v="Hračky – Psy"/>
    <s v="Dogissimo"/>
    <n v="7.6"/>
    <n v="1"/>
    <s v="NULL"/>
    <s v=""/>
    <d v="2025-07-22T00:00:00"/>
    <n v="0"/>
    <n v="7.6"/>
    <x v="0"/>
    <x v="6"/>
    <x v="0"/>
  </r>
  <r>
    <x v="2845"/>
    <n v="8599988776654"/>
    <x v="56"/>
    <s v="Pelechy a nábytok – Psy"/>
    <s v="Pup Republic"/>
    <n v="16.8"/>
    <n v="1"/>
    <s v="NULL"/>
    <s v=""/>
    <d v="2025-07-22T00:00:00"/>
    <n v="0"/>
    <n v="16.8"/>
    <x v="0"/>
    <x v="6"/>
    <x v="0"/>
  </r>
  <r>
    <x v="2846"/>
    <n v="4063456789014"/>
    <x v="15"/>
    <s v="Krmivo a maškrty – Psy"/>
    <s v="Pupco"/>
    <n v="36"/>
    <n v="1"/>
    <s v="NULL"/>
    <s v=""/>
    <d v="2025-07-22T00:00:00"/>
    <n v="0"/>
    <n v="36"/>
    <x v="0"/>
    <x v="6"/>
    <x v="0"/>
  </r>
  <r>
    <x v="2847"/>
    <n v="8599988776654"/>
    <x v="56"/>
    <s v="Pelechy a nábytok – Psy"/>
    <s v="Pup Republic"/>
    <n v="16.8"/>
    <n v="1"/>
    <s v="5"/>
    <s v="Pes ju nechce opustit, chladí celý deň."/>
    <d v="2025-07-22T00:00:00"/>
    <n v="0"/>
    <n v="16.8"/>
    <x v="2"/>
    <x v="6"/>
    <x v="0"/>
  </r>
  <r>
    <x v="2848"/>
    <n v="4028899001126"/>
    <x v="1"/>
    <s v="Krmivo a maškrty – Psy"/>
    <s v="Pup Republic"/>
    <n v="2.8"/>
    <n v="3"/>
    <s v="NULL"/>
    <s v=""/>
    <d v="2025-07-22T00:00:00"/>
    <n v="0"/>
    <n v="8.3999999999999986"/>
    <x v="0"/>
    <x v="6"/>
    <x v="0"/>
  </r>
  <r>
    <x v="2849"/>
    <n v="8599988776654"/>
    <x v="56"/>
    <s v="Pelechy a nábytok – Psy"/>
    <s v="Pup Republic"/>
    <n v="16.8"/>
    <n v="2"/>
    <s v="NULL"/>
    <s v=""/>
    <d v="2025-07-22T00:00:00"/>
    <n v="0"/>
    <n v="33.6"/>
    <x v="0"/>
    <x v="6"/>
    <x v="0"/>
  </r>
  <r>
    <x v="2850"/>
    <n v="4056789012345"/>
    <x v="11"/>
    <s v="Krmivo a maškrty – Mačky"/>
    <s v="BellaMeow"/>
    <n v="2.4"/>
    <n v="2"/>
    <s v="NULL"/>
    <s v=""/>
    <d v="2025-07-22T00:00:00"/>
    <n v="0"/>
    <n v="4.8"/>
    <x v="0"/>
    <x v="6"/>
    <x v="1"/>
  </r>
  <r>
    <x v="2851"/>
    <n v="8599988776654"/>
    <x v="56"/>
    <s v="Pelechy a nábytok – Psy"/>
    <s v="Pup Republic"/>
    <n v="16.8"/>
    <n v="1"/>
    <s v="NULL"/>
    <s v=""/>
    <d v="2025-07-22T00:00:00"/>
    <n v="0"/>
    <n v="16.8"/>
    <x v="0"/>
    <x v="6"/>
    <x v="0"/>
  </r>
  <r>
    <x v="2852"/>
    <n v="4013456789017"/>
    <x v="0"/>
    <s v="Krmivo a maškrty – Psy"/>
    <s v="Snouty"/>
    <n v="6"/>
    <n v="1"/>
    <s v="4"/>
    <s v="Pes reaguje skvelo, odporúčam."/>
    <d v="2025-07-23T00:00:00"/>
    <n v="0"/>
    <n v="6"/>
    <x v="1"/>
    <x v="6"/>
    <x v="0"/>
  </r>
  <r>
    <x v="2853"/>
    <n v="8599988776654"/>
    <x v="56"/>
    <s v="Pelechy a nábytok – Psy"/>
    <s v="Pup Republic"/>
    <n v="16.8"/>
    <n v="1"/>
    <s v="NULL"/>
    <s v=""/>
    <d v="2025-07-23T00:00:00"/>
    <n v="0"/>
    <n v="16.8"/>
    <x v="0"/>
    <x v="6"/>
    <x v="0"/>
  </r>
  <r>
    <x v="2854"/>
    <n v="4010123456783"/>
    <x v="6"/>
    <s v="Starostlivosť a hygiena – Mačky"/>
    <s v="BellaMeow"/>
    <n v="14"/>
    <n v="1"/>
    <s v="NULL"/>
    <s v=""/>
    <d v="2025-07-23T00:00:00"/>
    <n v="0"/>
    <n v="14"/>
    <x v="0"/>
    <x v="6"/>
    <x v="1"/>
  </r>
  <r>
    <x v="2855"/>
    <n v="8599988776654"/>
    <x v="56"/>
    <s v="Pelechy a nábytok – Psy"/>
    <s v="Pup Republic"/>
    <n v="16.8"/>
    <n v="2"/>
    <s v="NULL"/>
    <s v=""/>
    <d v="2025-07-23T00:00:00"/>
    <n v="0"/>
    <n v="33.6"/>
    <x v="0"/>
    <x v="6"/>
    <x v="0"/>
  </r>
  <r>
    <x v="2856"/>
    <n v="4063456789014"/>
    <x v="15"/>
    <s v="Krmivo a maškrty – Psy"/>
    <s v="Pupco"/>
    <n v="36"/>
    <n v="1"/>
    <s v="5"/>
    <s v="Super kvalita, žiadne zažívací problémy."/>
    <d v="2025-07-23T00:00:00"/>
    <n v="0"/>
    <n v="36"/>
    <x v="2"/>
    <x v="6"/>
    <x v="0"/>
  </r>
  <r>
    <x v="2857"/>
    <n v="8599988776654"/>
    <x v="56"/>
    <s v="Pelechy a nábytok – Psy"/>
    <s v="Pup Republic"/>
    <n v="16.8"/>
    <n v="1"/>
    <s v="NULL"/>
    <s v=""/>
    <d v="2025-07-23T00:00:00"/>
    <n v="0"/>
    <n v="16.8"/>
    <x v="0"/>
    <x v="6"/>
    <x v="0"/>
  </r>
  <r>
    <x v="2858"/>
    <n v="4028899001126"/>
    <x v="1"/>
    <s v="Krmivo a maškrty – Psy"/>
    <s v="Pup Republic"/>
    <n v="2.8"/>
    <n v="3"/>
    <s v="NULL"/>
    <s v=""/>
    <d v="2025-07-23T00:00:00"/>
    <n v="0"/>
    <n v="8.3999999999999986"/>
    <x v="0"/>
    <x v="6"/>
    <x v="0"/>
  </r>
  <r>
    <x v="2859"/>
    <n v="8599988776654"/>
    <x v="56"/>
    <s v="Pelechy a nábytok – Psy"/>
    <s v="Pup Republic"/>
    <n v="16.8"/>
    <n v="1"/>
    <s v="NULL"/>
    <s v=""/>
    <d v="2025-07-23T00:00:00"/>
    <n v="0"/>
    <n v="16.8"/>
    <x v="0"/>
    <x v="6"/>
    <x v="0"/>
  </r>
  <r>
    <x v="2860"/>
    <n v="4017890123450"/>
    <x v="16"/>
    <s v="Hračky – Psy"/>
    <s v="Dogissimo"/>
    <n v="7.6"/>
    <n v="1"/>
    <s v="4"/>
    <s v="Píská akorát, vydrží aj tahání."/>
    <d v="2025-07-23T00:00:00"/>
    <n v="0"/>
    <n v="7.6"/>
    <x v="1"/>
    <x v="6"/>
    <x v="0"/>
  </r>
  <r>
    <x v="2861"/>
    <n v="8599988776654"/>
    <x v="56"/>
    <s v="Pelechy a nábytok – Psy"/>
    <s v="Pup Republic"/>
    <n v="16.8"/>
    <n v="1"/>
    <s v="NULL"/>
    <s v=""/>
    <d v="2025-07-23T00:00:00"/>
    <n v="0"/>
    <n v="16.8"/>
    <x v="0"/>
    <x v="6"/>
    <x v="0"/>
  </r>
  <r>
    <x v="2862"/>
    <n v="4021234567894"/>
    <x v="18"/>
    <s v="Starostlivosť a hygiena – Mačky"/>
    <s v="PawStyle"/>
    <n v="8"/>
    <n v="1"/>
    <s v="NULL"/>
    <s v=""/>
    <d v="2025-07-23T00:00:00"/>
    <n v="0"/>
    <n v="8"/>
    <x v="0"/>
    <x v="6"/>
    <x v="1"/>
  </r>
  <r>
    <x v="2863"/>
    <n v="8599988776654"/>
    <x v="56"/>
    <s v="Pelechy a nábytok – Psy"/>
    <s v="Pup Republic"/>
    <n v="16.8"/>
    <n v="2"/>
    <s v="NULL"/>
    <s v=""/>
    <d v="2025-07-24T00:00:00"/>
    <n v="0"/>
    <n v="33.6"/>
    <x v="0"/>
    <x v="6"/>
    <x v="0"/>
  </r>
  <r>
    <x v="2864"/>
    <n v="4013456789017"/>
    <x v="0"/>
    <s v="Krmivo a maškrty – Psy"/>
    <s v="Snouty"/>
    <n v="6"/>
    <n v="1"/>
    <s v="NULL"/>
    <s v=""/>
    <d v="2025-07-24T00:00:00"/>
    <n v="0"/>
    <n v="6"/>
    <x v="0"/>
    <x v="6"/>
    <x v="0"/>
  </r>
  <r>
    <x v="2865"/>
    <n v="8599988776654"/>
    <x v="56"/>
    <s v="Pelechy a nábytok – Psy"/>
    <s v="Pup Republic"/>
    <n v="16.8"/>
    <n v="1"/>
    <s v="5"/>
    <s v="Dokonalé riešenie protaj prehriatiu, chválím!"/>
    <d v="2025-07-24T00:00:00"/>
    <n v="0"/>
    <n v="16.8"/>
    <x v="2"/>
    <x v="6"/>
    <x v="0"/>
  </r>
  <r>
    <x v="2866"/>
    <n v="4027788990013"/>
    <x v="9"/>
    <s v="Starostlivosť a hygiena – Psy"/>
    <s v="Dogissimo"/>
    <n v="8"/>
    <n v="1"/>
    <s v="NULL"/>
    <s v=""/>
    <d v="2025-07-24T00:00:00"/>
    <n v="0"/>
    <n v="8"/>
    <x v="0"/>
    <x v="6"/>
    <x v="0"/>
  </r>
  <r>
    <x v="2867"/>
    <n v="8599988776654"/>
    <x v="56"/>
    <s v="Pelechy a nábytok – Psy"/>
    <s v="Pup Republic"/>
    <n v="16.8"/>
    <n v="1"/>
    <s v="NULL"/>
    <s v=""/>
    <d v="2025-07-24T00:00:00"/>
    <n v="0"/>
    <n v="16.8"/>
    <x v="0"/>
    <x v="6"/>
    <x v="0"/>
  </r>
  <r>
    <x v="2868"/>
    <n v="4056789012345"/>
    <x v="11"/>
    <s v="Krmivo a maškrty – Mačky"/>
    <s v="BellaMeow"/>
    <n v="2.4"/>
    <n v="2"/>
    <s v="NULL"/>
    <s v=""/>
    <d v="2025-07-24T00:00:00"/>
    <n v="0"/>
    <n v="4.8"/>
    <x v="0"/>
    <x v="6"/>
    <x v="1"/>
  </r>
  <r>
    <x v="2869"/>
    <n v="8599988776654"/>
    <x v="56"/>
    <s v="Pelechy a nábytok – Psy"/>
    <s v="Pup Republic"/>
    <n v="16.8"/>
    <n v="2"/>
    <s v="NULL"/>
    <s v=""/>
    <d v="2025-07-24T00:00:00"/>
    <n v="0"/>
    <n v="33.6"/>
    <x v="0"/>
    <x v="6"/>
    <x v="0"/>
  </r>
  <r>
    <x v="2870"/>
    <n v="4010123456783"/>
    <x v="6"/>
    <s v="Starostlivosť a hygiena – Mačky"/>
    <s v="BellaMeow"/>
    <n v="14"/>
    <n v="1"/>
    <s v="5"/>
    <s v="Vydrží naozaj dlho, skvelý pomer cena/výkon."/>
    <d v="2025-07-24T00:00:00"/>
    <n v="0"/>
    <n v="14"/>
    <x v="2"/>
    <x v="6"/>
    <x v="1"/>
  </r>
  <r>
    <x v="2871"/>
    <n v="8599988776654"/>
    <x v="56"/>
    <s v="Pelechy a nábytok – Psy"/>
    <s v="Pup Republic"/>
    <n v="16.8"/>
    <n v="1"/>
    <s v="NULL"/>
    <s v=""/>
    <d v="2025-07-25T00:00:00"/>
    <n v="0"/>
    <n v="16.8"/>
    <x v="0"/>
    <x v="6"/>
    <x v="0"/>
  </r>
  <r>
    <x v="2872"/>
    <n v="4028899001126"/>
    <x v="1"/>
    <s v="Krmivo a maškrty – Psy"/>
    <s v="Pup Republic"/>
    <n v="2.8"/>
    <n v="3"/>
    <s v="NULL"/>
    <s v=""/>
    <d v="2025-07-25T00:00:00"/>
    <n v="0"/>
    <n v="8.3999999999999986"/>
    <x v="0"/>
    <x v="6"/>
    <x v="0"/>
  </r>
  <r>
    <x v="2873"/>
    <n v="8599988776654"/>
    <x v="56"/>
    <s v="Pelechy a nábytok – Psy"/>
    <s v="Pup Republic"/>
    <n v="16.8"/>
    <n v="1"/>
    <s v="NULL"/>
    <s v=""/>
    <d v="2025-07-25T00:00:00"/>
    <n v="0"/>
    <n v="16.8"/>
    <x v="0"/>
    <x v="6"/>
    <x v="0"/>
  </r>
  <r>
    <x v="2874"/>
    <n v="4063456789014"/>
    <x v="15"/>
    <s v="Krmivo a maškrty – Psy"/>
    <s v="Pupco"/>
    <n v="36"/>
    <n v="1"/>
    <s v="4"/>
    <s v="Dobre zabaleno, pes spokojeny."/>
    <d v="2025-07-25T00:00:00"/>
    <n v="0"/>
    <n v="36"/>
    <x v="1"/>
    <x v="6"/>
    <x v="0"/>
  </r>
  <r>
    <x v="2875"/>
    <n v="8599988776654"/>
    <x v="56"/>
    <s v="Pelechy a nábytok – Psy"/>
    <s v="Pup Republic"/>
    <n v="16.8"/>
    <n v="2"/>
    <s v="NULL"/>
    <s v=""/>
    <d v="2025-07-25T00:00:00"/>
    <n v="0"/>
    <n v="33.6"/>
    <x v="0"/>
    <x v="6"/>
    <x v="0"/>
  </r>
  <r>
    <x v="2876"/>
    <n v="4017890123450"/>
    <x v="16"/>
    <s v="Hračky – Psy"/>
    <s v="Dogissimo"/>
    <n v="7.6"/>
    <n v="1"/>
    <s v="NULL"/>
    <s v=""/>
    <d v="2025-07-25T00:00:00"/>
    <n v="0"/>
    <n v="7.6"/>
    <x v="0"/>
    <x v="6"/>
    <x v="0"/>
  </r>
  <r>
    <x v="2877"/>
    <n v="8599988776654"/>
    <x v="56"/>
    <s v="Pelechy a nábytok – Psy"/>
    <s v="Pup Republic"/>
    <n v="16.8"/>
    <n v="1"/>
    <s v="NULL"/>
    <s v=""/>
    <d v="2025-07-25T00:00:00"/>
    <n v="0"/>
    <n v="16.8"/>
    <x v="0"/>
    <x v="6"/>
    <x v="0"/>
  </r>
  <r>
    <x v="2878"/>
    <n v="4013456789017"/>
    <x v="0"/>
    <s v="Krmivo a maškrty – Psy"/>
    <s v="Snouty"/>
    <n v="6"/>
    <n v="2"/>
    <s v="5"/>
    <s v="Pes je zbožňuje, žiadne trávicí potíže."/>
    <d v="2025-07-25T00:00:00"/>
    <n v="0"/>
    <n v="12"/>
    <x v="2"/>
    <x v="6"/>
    <x v="0"/>
  </r>
  <r>
    <x v="2879"/>
    <n v="8599988776654"/>
    <x v="56"/>
    <s v="Pelechy a nábytok – Psy"/>
    <s v="Pup Republic"/>
    <n v="16.8"/>
    <n v="1"/>
    <s v="NULL"/>
    <s v=""/>
    <d v="2025-07-25T00:00:00"/>
    <n v="0"/>
    <n v="16.8"/>
    <x v="0"/>
    <x v="6"/>
    <x v="0"/>
  </r>
  <r>
    <x v="2880"/>
    <n v="4021234567894"/>
    <x v="18"/>
    <s v="Starostlivosť a hygiena – Mačky"/>
    <s v="PawStyle"/>
    <n v="8"/>
    <n v="1"/>
    <s v="NULL"/>
    <s v=""/>
    <d v="2025-07-25T00:00:00"/>
    <n v="0"/>
    <n v="8"/>
    <x v="0"/>
    <x v="6"/>
    <x v="1"/>
  </r>
  <r>
    <x v="2881"/>
    <n v="8599988776654"/>
    <x v="56"/>
    <s v="Pelechy a nábytok – Psy"/>
    <s v="Pup Republic"/>
    <n v="16.8"/>
    <n v="2"/>
    <s v="NULL"/>
    <s v=""/>
    <d v="2025-07-26T00:00:00"/>
    <n v="0"/>
    <n v="33.6"/>
    <x v="0"/>
    <x v="6"/>
    <x v="0"/>
  </r>
  <r>
    <x v="2882"/>
    <n v="4027788990013"/>
    <x v="9"/>
    <s v="Starostlivosť a hygiena – Psy"/>
    <s v="Dogissimo"/>
    <n v="8"/>
    <n v="1"/>
    <s v="4"/>
    <s v="Príjemná vôňa, po kúpaní hladká srsť."/>
    <d v="2025-07-26T00:00:00"/>
    <n v="0"/>
    <n v="8"/>
    <x v="1"/>
    <x v="6"/>
    <x v="0"/>
  </r>
  <r>
    <x v="2883"/>
    <n v="8599988776654"/>
    <x v="56"/>
    <s v="Pelechy a nábytok – Psy"/>
    <s v="Pup Republic"/>
    <n v="16.8"/>
    <n v="1"/>
    <s v="NULL"/>
    <s v=""/>
    <d v="2025-07-26T00:00:00"/>
    <n v="0"/>
    <n v="16.8"/>
    <x v="0"/>
    <x v="6"/>
    <x v="0"/>
  </r>
  <r>
    <x v="2884"/>
    <n v="4010123456783"/>
    <x v="6"/>
    <s v="Starostlivosť a hygiena – Mačky"/>
    <s v="BellaMeow"/>
    <n v="14"/>
    <n v="1"/>
    <s v="NULL"/>
    <s v=""/>
    <d v="2025-07-26T00:00:00"/>
    <n v="0"/>
    <n v="14"/>
    <x v="0"/>
    <x v="6"/>
    <x v="1"/>
  </r>
  <r>
    <x v="2885"/>
    <n v="8599988776654"/>
    <x v="56"/>
    <s v="Pelechy a nábytok – Psy"/>
    <s v="Pup Republic"/>
    <n v="16.8"/>
    <n v="1"/>
    <s v="NULL"/>
    <s v=""/>
    <d v="2025-07-26T00:00:00"/>
    <n v="0"/>
    <n v="16.8"/>
    <x v="0"/>
    <x v="6"/>
    <x v="0"/>
  </r>
  <r>
    <x v="2886"/>
    <n v="4056789012345"/>
    <x v="11"/>
    <s v="Krmivo a maškrty – Mačky"/>
    <s v="BellaMeow"/>
    <n v="2.4"/>
    <n v="2"/>
    <s v="NULL"/>
    <s v=""/>
    <d v="2025-07-26T00:00:00"/>
    <n v="0"/>
    <n v="4.8"/>
    <x v="0"/>
    <x v="6"/>
    <x v="1"/>
  </r>
  <r>
    <x v="2887"/>
    <n v="8599988776654"/>
    <x v="56"/>
    <s v="Pelechy a nábytok – Psy"/>
    <s v="Pup Republic"/>
    <n v="16.8"/>
    <n v="1"/>
    <s v="5"/>
    <s v="Perfektní na balkon aj do auta, odporúčam!"/>
    <d v="2025-07-26T00:00:00"/>
    <n v="0"/>
    <n v="16.8"/>
    <x v="2"/>
    <x v="6"/>
    <x v="0"/>
  </r>
  <r>
    <x v="2888"/>
    <n v="4028899001126"/>
    <x v="1"/>
    <s v="Krmivo a maškrty – Psy"/>
    <s v="Pup Republic"/>
    <n v="2.8"/>
    <n v="3"/>
    <s v="NULL"/>
    <s v=""/>
    <d v="2025-07-26T00:00:00"/>
    <n v="0"/>
    <n v="8.3999999999999986"/>
    <x v="0"/>
    <x v="6"/>
    <x v="0"/>
  </r>
  <r>
    <x v="2889"/>
    <n v="8599988776654"/>
    <x v="56"/>
    <s v="Pelechy a nábytok – Psy"/>
    <s v="Pup Republic"/>
    <n v="16.8"/>
    <n v="1"/>
    <s v="NULL"/>
    <s v=""/>
    <d v="2025-07-26T00:00:00"/>
    <n v="0"/>
    <n v="16.8"/>
    <x v="0"/>
    <x v="6"/>
    <x v="0"/>
  </r>
  <r>
    <x v="2890"/>
    <n v="4013456789017"/>
    <x v="0"/>
    <s v="Krmivo a maškrty – Psy"/>
    <s v="Snouty"/>
    <n v="6"/>
    <n v="1"/>
    <s v="NULL"/>
    <s v=""/>
    <d v="2025-07-27T00:00:00"/>
    <n v="0"/>
    <n v="6"/>
    <x v="0"/>
    <x v="6"/>
    <x v="0"/>
  </r>
  <r>
    <x v="2891"/>
    <n v="8599988776654"/>
    <x v="56"/>
    <s v="Pelechy a nábytok – Psy"/>
    <s v="Pup Republic"/>
    <n v="16.8"/>
    <n v="1"/>
    <s v="NULL"/>
    <s v=""/>
    <d v="2025-07-27T00:00:00"/>
    <n v="0"/>
    <n v="16.8"/>
    <x v="0"/>
    <x v="6"/>
    <x v="0"/>
  </r>
  <r>
    <x v="2892"/>
    <n v="4063456789014"/>
    <x v="15"/>
    <s v="Krmivo a maškrty – Psy"/>
    <s v="Pupco"/>
    <n v="36"/>
    <n v="1"/>
    <s v="5"/>
    <s v="Pes má po nich skvelú kondici."/>
    <d v="2025-07-27T00:00:00"/>
    <n v="0"/>
    <n v="36"/>
    <x v="2"/>
    <x v="6"/>
    <x v="0"/>
  </r>
  <r>
    <x v="2893"/>
    <n v="8599988776654"/>
    <x v="56"/>
    <s v="Pelechy a nábytok – Psy"/>
    <s v="Pup Republic"/>
    <n v="16.8"/>
    <n v="2"/>
    <s v="NULL"/>
    <s v=""/>
    <d v="2025-07-27T00:00:00"/>
    <n v="0"/>
    <n v="33.6"/>
    <x v="0"/>
    <x v="6"/>
    <x v="0"/>
  </r>
  <r>
    <x v="2894"/>
    <n v="4010123456783"/>
    <x v="6"/>
    <s v="Starostlivosť a hygiena – Mačky"/>
    <s v="BellaMeow"/>
    <n v="14"/>
    <n v="1"/>
    <s v="NULL"/>
    <s v=""/>
    <d v="2025-07-27T00:00:00"/>
    <n v="0"/>
    <n v="14"/>
    <x v="0"/>
    <x v="6"/>
    <x v="1"/>
  </r>
  <r>
    <x v="2895"/>
    <n v="8599988776654"/>
    <x v="56"/>
    <s v="Pelechy a nábytok – Psy"/>
    <s v="Pup Republic"/>
    <n v="16.8"/>
    <n v="1"/>
    <s v="NULL"/>
    <s v=""/>
    <d v="2025-07-27T00:00:00"/>
    <n v="0"/>
    <n v="16.8"/>
    <x v="0"/>
    <x v="6"/>
    <x v="0"/>
  </r>
  <r>
    <x v="2896"/>
    <n v="4021234567894"/>
    <x v="18"/>
    <s v="Starostlivosť a hygiena – Mačky"/>
    <s v="PawStyle"/>
    <n v="8"/>
    <n v="1"/>
    <s v="4"/>
    <s v="Dobre vonia, eliminuje zápach rýchlo."/>
    <d v="2025-07-27T00:00:00"/>
    <n v="0"/>
    <n v="8"/>
    <x v="1"/>
    <x v="6"/>
    <x v="1"/>
  </r>
  <r>
    <x v="2897"/>
    <n v="8599988776654"/>
    <x v="56"/>
    <s v="Pelechy a nábytok – Psy"/>
    <s v="Pup Republic"/>
    <n v="16.8"/>
    <n v="1"/>
    <s v="NULL"/>
    <s v=""/>
    <d v="2025-07-27T00:00:00"/>
    <n v="0"/>
    <n v="16.8"/>
    <x v="0"/>
    <x v="6"/>
    <x v="0"/>
  </r>
  <r>
    <x v="2898"/>
    <n v="4017890123450"/>
    <x v="16"/>
    <s v="Hračky – Psy"/>
    <s v="Dogissimo"/>
    <n v="7.6"/>
    <n v="1"/>
    <s v="NULL"/>
    <s v=""/>
    <d v="2025-07-27T00:00:00"/>
    <n v="0"/>
    <n v="7.6"/>
    <x v="0"/>
    <x v="6"/>
    <x v="0"/>
  </r>
  <r>
    <x v="2899"/>
    <n v="8599988776654"/>
    <x v="56"/>
    <s v="Pelechy a nábytok – Psy"/>
    <s v="Pup Republic"/>
    <n v="16.8"/>
    <n v="2"/>
    <s v="NULL"/>
    <s v=""/>
    <d v="2025-07-27T00:00:00"/>
    <n v="0"/>
    <n v="33.6"/>
    <x v="0"/>
    <x v="6"/>
    <x v="0"/>
  </r>
  <r>
    <x v="2900"/>
    <n v="4063456789014"/>
    <x v="15"/>
    <s v="Krmivo a maškrty – Psy"/>
    <s v="Pupco"/>
    <n v="36"/>
    <n v="1"/>
    <s v="NULL"/>
    <s v=""/>
    <d v="2025-07-27T00:00:00"/>
    <n v="0"/>
    <n v="36"/>
    <x v="0"/>
    <x v="6"/>
    <x v="0"/>
  </r>
  <r>
    <x v="2901"/>
    <n v="8599988776654"/>
    <x v="56"/>
    <s v="Pelechy a nábytok – Psy"/>
    <s v="Pup Republic"/>
    <n v="16.8"/>
    <n v="1"/>
    <s v="NULL"/>
    <s v=""/>
    <d v="2025-07-27T00:00:00"/>
    <n v="0"/>
    <n v="16.8"/>
    <x v="0"/>
    <x v="6"/>
    <x v="0"/>
  </r>
  <r>
    <x v="2902"/>
    <n v="4028899001126"/>
    <x v="1"/>
    <s v="Krmivo a maškrty – Psy"/>
    <s v="Pup Republic"/>
    <n v="2.8"/>
    <n v="3"/>
    <s v="NULL"/>
    <s v=""/>
    <d v="2025-07-27T00:00:00"/>
    <n v="0"/>
    <n v="8.3999999999999986"/>
    <x v="0"/>
    <x v="6"/>
    <x v="0"/>
  </r>
  <r>
    <x v="2903"/>
    <n v="8599988776654"/>
    <x v="56"/>
    <s v="Pelechy a nábytok – Psy"/>
    <s v="Pup Republic"/>
    <n v="16.8"/>
    <n v="1"/>
    <s v="NULL"/>
    <s v=""/>
    <d v="2025-07-27T00:00:00"/>
    <n v="0"/>
    <n v="16.8"/>
    <x v="0"/>
    <x v="6"/>
    <x v="0"/>
  </r>
  <r>
    <x v="2904"/>
    <n v="4013456789017"/>
    <x v="0"/>
    <s v="Krmivo a maškrty – Psy"/>
    <s v="Snouty"/>
    <n v="6"/>
    <n v="1"/>
    <s v="4"/>
    <s v="Pes sa vždy teší, keď vytiahnem vrecko."/>
    <d v="2025-07-27T00:00:00"/>
    <n v="0"/>
    <n v="6"/>
    <x v="1"/>
    <x v="6"/>
    <x v="0"/>
  </r>
  <r>
    <x v="2905"/>
    <n v="8599988776654"/>
    <x v="56"/>
    <s v="Pelechy a nábytok – Psy"/>
    <s v="Pup Republic"/>
    <n v="16.8"/>
    <n v="2"/>
    <s v="NULL"/>
    <s v=""/>
    <d v="2025-07-27T00:00:00"/>
    <n v="0"/>
    <n v="33.6"/>
    <x v="0"/>
    <x v="6"/>
    <x v="0"/>
  </r>
  <r>
    <x v="2906"/>
    <n v="8599988776654"/>
    <x v="56"/>
    <s v="Pelechy a nábytok – Psy"/>
    <s v="Pup Republic"/>
    <n v="16.8"/>
    <n v="1"/>
    <s v="5"/>
    <s v="Skvelo chladí aj na balkóne, pes je pokojnejší."/>
    <d v="2025-07-28T00:00:00"/>
    <n v="0"/>
    <n v="16.8"/>
    <x v="2"/>
    <x v="6"/>
    <x v="0"/>
  </r>
  <r>
    <x v="2907"/>
    <n v="4028899001126"/>
    <x v="1"/>
    <s v="Krmivo a maškrty – Psy"/>
    <s v="Pup Republic"/>
    <n v="2.8"/>
    <n v="3"/>
    <s v="NULL"/>
    <s v=""/>
    <d v="2025-07-28T00:00:00"/>
    <n v="0"/>
    <n v="8.3999999999999986"/>
    <x v="0"/>
    <x v="6"/>
    <x v="0"/>
  </r>
  <r>
    <x v="2908"/>
    <n v="8599988776654"/>
    <x v="56"/>
    <s v="Pelechy a nábytok – Psy"/>
    <s v="Pup Republic"/>
    <n v="16.8"/>
    <n v="2"/>
    <s v="NULL"/>
    <s v=""/>
    <d v="2025-07-28T00:00:00"/>
    <n v="0"/>
    <n v="33.6"/>
    <x v="0"/>
    <x v="6"/>
    <x v="0"/>
  </r>
  <r>
    <x v="2909"/>
    <n v="4013456789017"/>
    <x v="0"/>
    <s v="Krmivo a maškrty – Psy"/>
    <s v="Snouty"/>
    <n v="6"/>
    <n v="1"/>
    <s v="4"/>
    <s v="Ideálne veľkosť na tréning."/>
    <d v="2025-07-28T00:00:00"/>
    <n v="0"/>
    <n v="6"/>
    <x v="1"/>
    <x v="6"/>
    <x v="0"/>
  </r>
  <r>
    <x v="2910"/>
    <n v="8599988776654"/>
    <x v="56"/>
    <s v="Pelechy a nábytok – Psy"/>
    <s v="Pup Republic"/>
    <n v="16.8"/>
    <n v="1"/>
    <s v="NULL"/>
    <s v=""/>
    <d v="2025-07-28T00:00:00"/>
    <n v="0"/>
    <n v="16.8"/>
    <x v="0"/>
    <x v="6"/>
    <x v="0"/>
  </r>
  <r>
    <x v="2911"/>
    <n v="4010123456783"/>
    <x v="6"/>
    <s v="Starostlivosť a hygiena – Mačky"/>
    <s v="BellaMeow"/>
    <n v="14"/>
    <n v="1"/>
    <s v="NULL"/>
    <s v=""/>
    <d v="2025-07-28T00:00:00"/>
    <n v="0"/>
    <n v="14"/>
    <x v="0"/>
    <x v="6"/>
    <x v="1"/>
  </r>
  <r>
    <x v="2912"/>
    <n v="8599988776654"/>
    <x v="56"/>
    <s v="Pelechy a nábytok – Psy"/>
    <s v="Pup Republic"/>
    <n v="16.8"/>
    <n v="1"/>
    <s v="4"/>
    <s v="Nezanechává mokré fleky, jednoduchá údržba."/>
    <d v="2025-07-28T00:00:00"/>
    <n v="0"/>
    <n v="16.8"/>
    <x v="1"/>
    <x v="6"/>
    <x v="0"/>
  </r>
  <r>
    <x v="2913"/>
    <n v="4063456789014"/>
    <x v="15"/>
    <s v="Krmivo a maškrty – Psy"/>
    <s v="Pupco"/>
    <n v="36"/>
    <n v="1"/>
    <s v="NULL"/>
    <s v=""/>
    <d v="2025-07-28T00:00:00"/>
    <n v="0"/>
    <n v="36"/>
    <x v="0"/>
    <x v="6"/>
    <x v="0"/>
  </r>
  <r>
    <x v="2914"/>
    <n v="8599988776654"/>
    <x v="56"/>
    <s v="Pelechy a nábytok – Psy"/>
    <s v="Pup Republic"/>
    <n v="16.8"/>
    <n v="1"/>
    <s v="NULL"/>
    <s v=""/>
    <d v="2025-07-28T00:00:00"/>
    <n v="0"/>
    <n v="16.8"/>
    <x v="0"/>
    <x v="6"/>
    <x v="0"/>
  </r>
  <r>
    <x v="2915"/>
    <n v="4021234567894"/>
    <x v="18"/>
    <s v="Starostlivosť a hygiena – Mačky"/>
    <s v="PawStyle"/>
    <n v="8"/>
    <n v="1"/>
    <s v="NULL"/>
    <s v=""/>
    <d v="2025-07-28T00:00:00"/>
    <n v="0"/>
    <n v="8"/>
    <x v="0"/>
    <x v="6"/>
    <x v="1"/>
  </r>
  <r>
    <x v="2916"/>
    <n v="8599988776654"/>
    <x v="56"/>
    <s v="Pelechy a nábytok – Psy"/>
    <s v="Pup Republic"/>
    <n v="16.8"/>
    <n v="1"/>
    <s v="5"/>
    <s v="Pomohla aj staršímu psovaj lépe spát."/>
    <d v="2025-07-28T00:00:00"/>
    <n v="0"/>
    <n v="16.8"/>
    <x v="2"/>
    <x v="6"/>
    <x v="0"/>
  </r>
  <r>
    <x v="2917"/>
    <n v="4056789012345"/>
    <x v="11"/>
    <s v="Krmivo a maškrty – Mačky"/>
    <s v="BellaMeow"/>
    <n v="2.4"/>
    <n v="2"/>
    <s v="NULL"/>
    <s v=""/>
    <d v="2025-07-28T00:00:00"/>
    <n v="0"/>
    <n v="4.8"/>
    <x v="0"/>
    <x v="6"/>
    <x v="1"/>
  </r>
  <r>
    <x v="2918"/>
    <n v="8599988776654"/>
    <x v="56"/>
    <s v="Pelechy a nábytok – Psy"/>
    <s v="Pup Republic"/>
    <n v="16.8"/>
    <n v="2"/>
    <s v="NULL"/>
    <s v=""/>
    <d v="2025-07-28T00:00:00"/>
    <n v="0"/>
    <n v="33.6"/>
    <x v="0"/>
    <x v="6"/>
    <x v="0"/>
  </r>
  <r>
    <x v="2919"/>
    <n v="4017890123450"/>
    <x v="16"/>
    <s v="Hračky – Psy"/>
    <s v="Dogissimo"/>
    <n v="7.6"/>
    <n v="1"/>
    <s v="4"/>
    <s v="Drží už týden každodenního žužlání."/>
    <d v="2025-07-28T00:00:00"/>
    <n v="0"/>
    <n v="7.6"/>
    <x v="1"/>
    <x v="6"/>
    <x v="0"/>
  </r>
  <r>
    <x v="2920"/>
    <n v="8599988776654"/>
    <x v="56"/>
    <s v="Pelechy a nábytok – Psy"/>
    <s v="Pup Republic"/>
    <n v="16.8"/>
    <n v="1"/>
    <s v="NULL"/>
    <s v=""/>
    <d v="2025-07-28T00:00:00"/>
    <n v="0"/>
    <n v="16.8"/>
    <x v="0"/>
    <x v="6"/>
    <x v="0"/>
  </r>
  <r>
    <x v="2920"/>
    <n v="4028899001126"/>
    <x v="1"/>
    <s v="Krmivo a maškrty – Psy"/>
    <s v="Pup Republic"/>
    <n v="2.8"/>
    <n v="2"/>
    <s v="NULL"/>
    <s v=""/>
    <d v="2025-07-28T00:00:00"/>
    <n v="0"/>
    <n v="5.6"/>
    <x v="0"/>
    <x v="6"/>
    <x v="0"/>
  </r>
  <r>
    <x v="2921"/>
    <n v="4061011223346"/>
    <x v="3"/>
    <s v="Oblečenie a doplnky – Psy"/>
    <s v="Tail Trend"/>
    <n v="19.600000000000001"/>
    <n v="1"/>
    <s v="NULL"/>
    <s v=""/>
    <d v="2025-07-28T00:00:00"/>
    <n v="0"/>
    <n v="19.600000000000001"/>
    <x v="0"/>
    <x v="6"/>
    <x v="0"/>
  </r>
  <r>
    <x v="2922"/>
    <n v="8599988776654"/>
    <x v="56"/>
    <s v="Pelechy a nábytok – Psy"/>
    <s v="Pup Republic"/>
    <n v="16.8"/>
    <n v="1"/>
    <s v="NULL"/>
    <s v=""/>
    <d v="2025-07-28T00:00:00"/>
    <n v="0"/>
    <n v="16.8"/>
    <x v="0"/>
    <x v="6"/>
    <x v="0"/>
  </r>
  <r>
    <x v="2923"/>
    <n v="4043344556676"/>
    <x v="36"/>
    <s v="Misky a kŕmne doplnky – Mačky"/>
    <s v="Pawtastic"/>
    <n v="10"/>
    <n v="1"/>
    <s v="4"/>
    <s v="Pevná miska, dobre sa myje."/>
    <d v="2025-07-28T00:00:00"/>
    <n v="0"/>
    <n v="10"/>
    <x v="1"/>
    <x v="6"/>
    <x v="1"/>
  </r>
  <r>
    <x v="2924"/>
    <n v="8599988776654"/>
    <x v="56"/>
    <s v="Pelechy a nábytok – Psy"/>
    <s v="Pup Republic"/>
    <n v="16.8"/>
    <n v="1"/>
    <s v="NULL"/>
    <s v=""/>
    <d v="2025-07-28T00:00:00"/>
    <n v="0"/>
    <n v="16.8"/>
    <x v="0"/>
    <x v="6"/>
    <x v="0"/>
  </r>
  <r>
    <x v="2925"/>
    <n v="4027788990013"/>
    <x v="9"/>
    <s v="Starostlivosť a hygiena – Psy"/>
    <s v="Dogissimo"/>
    <n v="8"/>
    <n v="1"/>
    <s v="NULL"/>
    <s v=""/>
    <d v="2025-07-28T00:00:00"/>
    <n v="0"/>
    <n v="8"/>
    <x v="0"/>
    <x v="6"/>
    <x v="0"/>
  </r>
  <r>
    <x v="2926"/>
    <n v="8599988776654"/>
    <x v="56"/>
    <s v="Pelechy a nábytok – Psy"/>
    <s v="Pup Republic"/>
    <n v="16.8"/>
    <n v="1"/>
    <s v="3"/>
    <s v="Funguje, ale mohla by byť mäkší."/>
    <d v="2025-07-28T00:00:00"/>
    <n v="0"/>
    <n v="16.8"/>
    <x v="3"/>
    <x v="6"/>
    <x v="0"/>
  </r>
  <r>
    <x v="2927"/>
    <n v="4010123456783"/>
    <x v="6"/>
    <s v="Starostlivosť a hygiena – Mačky"/>
    <s v="BellaMeow"/>
    <n v="14"/>
    <n v="1"/>
    <s v="NULL"/>
    <s v=""/>
    <d v="2025-07-28T00:00:00"/>
    <n v="0"/>
    <n v="14"/>
    <x v="0"/>
    <x v="6"/>
    <x v="1"/>
  </r>
  <r>
    <x v="2928"/>
    <n v="8599988776654"/>
    <x v="56"/>
    <s v="Pelechy a nábytok – Psy"/>
    <s v="Pup Republic"/>
    <n v="16.8"/>
    <n v="2"/>
    <s v="NULL"/>
    <s v=""/>
    <d v="2025-07-28T00:00:00"/>
    <n v="0"/>
    <n v="33.6"/>
    <x v="0"/>
    <x v="6"/>
    <x v="0"/>
  </r>
  <r>
    <x v="2929"/>
    <n v="4028899001126"/>
    <x v="1"/>
    <s v="Krmivo a maškrty – Psy"/>
    <s v="Pup Republic"/>
    <n v="2.8"/>
    <n v="3"/>
    <s v="NULL"/>
    <s v=""/>
    <d v="2025-07-28T00:00:00"/>
    <n v="0"/>
    <n v="8.3999999999999986"/>
    <x v="0"/>
    <x v="6"/>
    <x v="0"/>
  </r>
  <r>
    <x v="2930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31"/>
    <n v="4063456789014"/>
    <x v="15"/>
    <s v="Krmivo a maškrty – Psy"/>
    <s v="Pupco"/>
    <n v="36"/>
    <n v="1"/>
    <s v="5"/>
    <s v="Srsť sa zlepšila, odporúčam."/>
    <d v="2025-07-29T00:00:00"/>
    <n v="0"/>
    <n v="36"/>
    <x v="2"/>
    <x v="6"/>
    <x v="0"/>
  </r>
  <r>
    <x v="2932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33"/>
    <n v="4013456789017"/>
    <x v="0"/>
    <s v="Krmivo a maškrty – Psy"/>
    <s v="Snouty"/>
    <n v="6"/>
    <n v="1"/>
    <s v="NULL"/>
    <s v=""/>
    <d v="2025-07-29T00:00:00"/>
    <n v="0"/>
    <n v="6"/>
    <x v="0"/>
    <x v="6"/>
    <x v="0"/>
  </r>
  <r>
    <x v="2934"/>
    <n v="8599988776654"/>
    <x v="56"/>
    <s v="Pelechy a nábytok – Psy"/>
    <s v="Pup Republic"/>
    <n v="16.8"/>
    <n v="2"/>
    <s v="NULL"/>
    <s v=""/>
    <d v="2025-07-29T00:00:00"/>
    <n v="0"/>
    <n v="33.6"/>
    <x v="0"/>
    <x v="6"/>
    <x v="0"/>
  </r>
  <r>
    <x v="2935"/>
    <n v="4021234567894"/>
    <x v="18"/>
    <s v="Starostlivosť a hygiena – Mačky"/>
    <s v="PawStyle"/>
    <n v="8"/>
    <n v="1"/>
    <s v="NULL"/>
    <s v=""/>
    <d v="2025-07-29T00:00:00"/>
    <n v="0"/>
    <n v="8"/>
    <x v="0"/>
    <x v="6"/>
    <x v="1"/>
  </r>
  <r>
    <x v="2936"/>
    <n v="8599988776654"/>
    <x v="56"/>
    <s v="Pelechy a nábytok – Psy"/>
    <s v="Pup Republic"/>
    <n v="16.8"/>
    <n v="1"/>
    <s v="5"/>
    <s v="Ve horúčav na nezaplatenie, skvelý pomer cena/výkon."/>
    <d v="2025-07-29T00:00:00"/>
    <n v="0"/>
    <n v="16.8"/>
    <x v="2"/>
    <x v="6"/>
    <x v="0"/>
  </r>
  <r>
    <x v="2937"/>
    <n v="4056789012345"/>
    <x v="11"/>
    <s v="Krmivo a maškrty – Mačky"/>
    <s v="BellaMeow"/>
    <n v="2.4"/>
    <n v="2"/>
    <s v="NULL"/>
    <s v=""/>
    <d v="2025-07-29T00:00:00"/>
    <n v="0"/>
    <n v="4.8"/>
    <x v="0"/>
    <x v="6"/>
    <x v="1"/>
  </r>
  <r>
    <x v="2938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39"/>
    <n v="4017890123450"/>
    <x v="16"/>
    <s v="Hračky – Psy"/>
    <s v="Dogissimo"/>
    <n v="7.6"/>
    <n v="1"/>
    <s v="NULL"/>
    <s v=""/>
    <d v="2025-07-29T00:00:00"/>
    <n v="0"/>
    <n v="7.6"/>
    <x v="0"/>
    <x v="6"/>
    <x v="0"/>
  </r>
  <r>
    <x v="2940"/>
    <n v="8599988776654"/>
    <x v="56"/>
    <s v="Pelechy a nábytok – Psy"/>
    <s v="Pup Republic"/>
    <n v="16.8"/>
    <n v="1"/>
    <s v="4"/>
    <s v="Jednoduché čistenie vlhkým hadrem."/>
    <d v="2025-07-29T00:00:00"/>
    <n v="0"/>
    <n v="16.8"/>
    <x v="1"/>
    <x v="6"/>
    <x v="0"/>
  </r>
  <r>
    <x v="2941"/>
    <n v="4010123456783"/>
    <x v="6"/>
    <s v="Starostlivosť a hygiena – Mačky"/>
    <s v="BellaMeow"/>
    <n v="14"/>
    <n v="1"/>
    <s v="NULL"/>
    <s v=""/>
    <d v="2025-07-29T00:00:00"/>
    <n v="0"/>
    <n v="14"/>
    <x v="0"/>
    <x v="6"/>
    <x v="1"/>
  </r>
  <r>
    <x v="2942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43"/>
    <n v="4061011223346"/>
    <x v="3"/>
    <s v="Oblečenie a doplnky – Psy"/>
    <s v="Tail Trend"/>
    <n v="19.600000000000001"/>
    <n v="1"/>
    <s v="NULL"/>
    <s v=""/>
    <d v="2025-07-29T00:00:00"/>
    <n v="0"/>
    <n v="19.600000000000001"/>
    <x v="0"/>
    <x v="6"/>
    <x v="0"/>
  </r>
  <r>
    <x v="2944"/>
    <n v="8599988776654"/>
    <x v="56"/>
    <s v="Pelechy a nábytok – Psy"/>
    <s v="Pup Republic"/>
    <n v="16.8"/>
    <n v="2"/>
    <s v="NULL"/>
    <s v=""/>
    <d v="2025-07-29T00:00:00"/>
    <n v="0"/>
    <n v="33.6"/>
    <x v="0"/>
    <x v="6"/>
    <x v="0"/>
  </r>
  <r>
    <x v="2945"/>
    <n v="4028899001126"/>
    <x v="1"/>
    <s v="Krmivo a maškrty – Psy"/>
    <s v="Pup Republic"/>
    <n v="2.8"/>
    <n v="3"/>
    <s v="4"/>
    <s v="Pes misku vylíže dočista."/>
    <d v="2025-07-29T00:00:00"/>
    <n v="0"/>
    <n v="8.3999999999999986"/>
    <x v="1"/>
    <x v="6"/>
    <x v="0"/>
  </r>
  <r>
    <x v="2946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47"/>
    <n v="4043344556676"/>
    <x v="36"/>
    <s v="Misky a kŕmne doplnky – Mačky"/>
    <s v="Pawtastic"/>
    <n v="10"/>
    <n v="1"/>
    <s v="NULL"/>
    <s v=""/>
    <d v="2025-07-29T00:00:00"/>
    <n v="0"/>
    <n v="10"/>
    <x v="0"/>
    <x v="6"/>
    <x v="1"/>
  </r>
  <r>
    <x v="2947"/>
    <n v="8599988776654"/>
    <x v="56"/>
    <s v="Pelechy a nábytok – Psy"/>
    <s v="Pup Republic"/>
    <n v="16.8"/>
    <n v="1"/>
    <s v="NULL"/>
    <s v=""/>
    <d v="2025-07-29T00:00:00"/>
    <n v="0"/>
    <n v="16.8"/>
    <x v="0"/>
    <x v="6"/>
    <x v="0"/>
  </r>
  <r>
    <x v="2948"/>
    <n v="4027788990013"/>
    <x v="9"/>
    <s v="Starostlivosť a hygiena – Psy"/>
    <s v="Dogissimo"/>
    <n v="8"/>
    <n v="1"/>
    <s v="3"/>
    <s v="Vôňa fajn, pení spíš míň."/>
    <d v="2025-07-29T00:00:00"/>
    <n v="0"/>
    <n v="8"/>
    <x v="3"/>
    <x v="6"/>
    <x v="0"/>
  </r>
  <r>
    <x v="2949"/>
    <n v="8599988776654"/>
    <x v="56"/>
    <s v="Pelechy a nábytok – Psy"/>
    <s v="Pup Republic"/>
    <n v="16.8"/>
    <n v="1"/>
    <s v="NULL"/>
    <s v=""/>
    <d v="2025-07-30T00:00:00"/>
    <n v="0"/>
    <n v="16.8"/>
    <x v="0"/>
    <x v="6"/>
    <x v="0"/>
  </r>
  <r>
    <x v="2950"/>
    <n v="4063456789014"/>
    <x v="15"/>
    <s v="Krmivo a maškrty – Psy"/>
    <s v="Pupco"/>
    <n v="36"/>
    <n v="1"/>
    <s v="NULL"/>
    <s v=""/>
    <d v="2025-07-30T00:00:00"/>
    <n v="0"/>
    <n v="36"/>
    <x v="0"/>
    <x v="6"/>
    <x v="0"/>
  </r>
  <r>
    <x v="2951"/>
    <n v="8599988776654"/>
    <x v="56"/>
    <s v="Pelechy a nábytok – Psy"/>
    <s v="Pup Republic"/>
    <n v="16.8"/>
    <n v="1"/>
    <s v="5"/>
    <s v="Pes sa neprehrieva anaj pri dlouhé ceste autem."/>
    <d v="2025-07-30T00:00:00"/>
    <n v="0"/>
    <n v="16.8"/>
    <x v="2"/>
    <x v="6"/>
    <x v="0"/>
  </r>
  <r>
    <x v="2952"/>
    <n v="4013456789017"/>
    <x v="0"/>
    <s v="Krmivo a maškrty – Psy"/>
    <s v="Snouty"/>
    <n v="6"/>
    <n v="1"/>
    <s v="NULL"/>
    <s v=""/>
    <d v="2025-07-30T00:00:00"/>
    <n v="0"/>
    <n v="6"/>
    <x v="0"/>
    <x v="6"/>
    <x v="0"/>
  </r>
  <r>
    <x v="2953"/>
    <n v="8599988776654"/>
    <x v="56"/>
    <s v="Pelechy a nábytok – Psy"/>
    <s v="Pup Republic"/>
    <n v="16.8"/>
    <n v="2"/>
    <s v="NULL"/>
    <s v=""/>
    <d v="2025-07-30T00:00:00"/>
    <n v="0"/>
    <n v="33.6"/>
    <x v="0"/>
    <x v="6"/>
    <x v="0"/>
  </r>
  <r>
    <x v="2954"/>
    <n v="4021234567894"/>
    <x v="18"/>
    <s v="Starostlivosť a hygiena – Mačky"/>
    <s v="PawStyle"/>
    <n v="8"/>
    <n v="1"/>
    <s v="4"/>
    <s v="Dlouho vydrží, pachy potlačí."/>
    <d v="2025-07-30T00:00:00"/>
    <n v="0"/>
    <n v="8"/>
    <x v="1"/>
    <x v="6"/>
    <x v="1"/>
  </r>
  <r>
    <x v="2955"/>
    <n v="8599988776654"/>
    <x v="56"/>
    <s v="Pelechy a nábytok – Psy"/>
    <s v="Pup Republic"/>
    <n v="16.8"/>
    <n v="1"/>
    <s v="NULL"/>
    <s v=""/>
    <d v="2025-07-30T00:00:00"/>
    <n v="0"/>
    <n v="16.8"/>
    <x v="0"/>
    <x v="6"/>
    <x v="0"/>
  </r>
  <r>
    <x v="2956"/>
    <n v="4017890123450"/>
    <x v="16"/>
    <s v="Hračky – Psy"/>
    <s v="Dogissimo"/>
    <n v="7.6"/>
    <n v="1"/>
    <s v="NULL"/>
    <s v=""/>
    <d v="2025-07-30T00:00:00"/>
    <n v="0"/>
    <n v="7.6"/>
    <x v="0"/>
    <x v="6"/>
    <x v="0"/>
  </r>
  <r>
    <x v="2957"/>
    <n v="8599988776654"/>
    <x v="56"/>
    <s v="Pelechy a nábytok – Psy"/>
    <s v="Pup Republic"/>
    <n v="16.8"/>
    <n v="1"/>
    <s v="4"/>
    <s v="Pohodlná, ale šmýka sa na hladké podlaze."/>
    <d v="2025-07-30T00:00:00"/>
    <n v="0"/>
    <n v="16.8"/>
    <x v="1"/>
    <x v="6"/>
    <x v="0"/>
  </r>
  <r>
    <x v="2958"/>
    <n v="4010123456783"/>
    <x v="6"/>
    <s v="Starostlivosť a hygiena – Mačky"/>
    <s v="BellaMeow"/>
    <n v="14"/>
    <n v="1"/>
    <s v="NULL"/>
    <s v=""/>
    <d v="2025-07-30T00:00:00"/>
    <n v="0"/>
    <n v="14"/>
    <x v="0"/>
    <x v="6"/>
    <x v="1"/>
  </r>
  <r>
    <x v="2959"/>
    <n v="8599988776654"/>
    <x v="56"/>
    <s v="Pelechy a nábytok – Psy"/>
    <s v="Pup Republic"/>
    <n v="16.8"/>
    <n v="1"/>
    <s v="NULL"/>
    <s v=""/>
    <d v="2025-07-30T00:00:00"/>
    <n v="0"/>
    <n v="16.8"/>
    <x v="0"/>
    <x v="6"/>
    <x v="0"/>
  </r>
  <r>
    <x v="2960"/>
    <n v="4028899001126"/>
    <x v="1"/>
    <s v="Krmivo a maškrty – Psy"/>
    <s v="Pup Republic"/>
    <n v="2.8"/>
    <n v="2"/>
    <s v="NULL"/>
    <s v=""/>
    <d v="2025-07-30T00:00:00"/>
    <n v="0"/>
    <n v="5.6"/>
    <x v="0"/>
    <x v="6"/>
    <x v="0"/>
  </r>
  <r>
    <x v="2961"/>
    <n v="8599988776654"/>
    <x v="56"/>
    <s v="Pelechy a nábytok – Psy"/>
    <s v="Pup Republic"/>
    <n v="16.8"/>
    <n v="2"/>
    <s v="NULL"/>
    <s v=""/>
    <d v="2025-07-30T00:00:00"/>
    <n v="0"/>
    <n v="33.6"/>
    <x v="0"/>
    <x v="6"/>
    <x v="0"/>
  </r>
  <r>
    <x v="2962"/>
    <n v="4061011223346"/>
    <x v="3"/>
    <s v="Oblečenie a doplnky – Psy"/>
    <s v="Tail Trend"/>
    <n v="19.600000000000001"/>
    <n v="1"/>
    <s v="5"/>
    <s v="Pohodlný úchop, pevná karabina."/>
    <d v="2025-07-30T00:00:00"/>
    <n v="0"/>
    <n v="19.600000000000001"/>
    <x v="2"/>
    <x v="6"/>
    <x v="0"/>
  </r>
  <r>
    <x v="2963"/>
    <n v="8599988776654"/>
    <x v="56"/>
    <s v="Pelechy a nábytok – Psy"/>
    <s v="Pup Republic"/>
    <n v="16.8"/>
    <n v="1"/>
    <s v="NULL"/>
    <s v=""/>
    <d v="2025-07-30T00:00:00"/>
    <n v="0"/>
    <n v="16.8"/>
    <x v="0"/>
    <x v="6"/>
    <x v="0"/>
  </r>
  <r>
    <x v="2964"/>
    <n v="4027788990013"/>
    <x v="9"/>
    <s v="Starostlivosť a hygiena – Psy"/>
    <s v="Dogissimo"/>
    <n v="8"/>
    <n v="1"/>
    <s v="NULL"/>
    <s v=""/>
    <d v="2025-07-30T00:00:00"/>
    <n v="0"/>
    <n v="8"/>
    <x v="0"/>
    <x v="6"/>
    <x v="0"/>
  </r>
  <r>
    <x v="2965"/>
    <n v="8599988776654"/>
    <x v="56"/>
    <s v="Pelechy a nábytok – Psy"/>
    <s v="Pup Republic"/>
    <n v="16.8"/>
    <n v="1"/>
    <s v="NULL"/>
    <s v=""/>
    <d v="2025-07-30T00:00:00"/>
    <n v="0"/>
    <n v="16.8"/>
    <x v="0"/>
    <x v="6"/>
    <x v="0"/>
  </r>
  <r>
    <x v="2966"/>
    <n v="4013456789017"/>
    <x v="0"/>
    <s v="Krmivo a maškrty – Psy"/>
    <s v="Snouty"/>
    <n v="6"/>
    <n v="1"/>
    <s v="4"/>
    <s v="Pes sa na ne vždy teší."/>
    <d v="2025-07-30T00:00:00"/>
    <n v="0"/>
    <n v="6"/>
    <x v="1"/>
    <x v="6"/>
    <x v="0"/>
  </r>
  <r>
    <x v="2967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2968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2969"/>
    <n v="8596677889011"/>
    <x v="37"/>
    <s v="Krmivo a maškrty – Mačky"/>
    <s v="Catissime"/>
    <n v="35.200000000000003"/>
    <n v="1"/>
    <s v="5"/>
    <s v="Mačka prestala zvracet, super krmivo."/>
    <d v="2025-07-31T00:00:00"/>
    <n v="0"/>
    <n v="35.200000000000003"/>
    <x v="2"/>
    <x v="6"/>
    <x v="1"/>
  </r>
  <r>
    <x v="297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71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2972"/>
    <n v="8599988776654"/>
    <x v="56"/>
    <s v="Pelechy a nábytok – Psy"/>
    <s v="Pup Republic"/>
    <n v="16.8"/>
    <n v="1"/>
    <s v="3"/>
    <s v="Chladí dobre, ale poťah by mohol byť mäkší."/>
    <d v="2025-07-31T00:00:00"/>
    <n v="0"/>
    <n v="16.8"/>
    <x v="3"/>
    <x v="6"/>
    <x v="0"/>
  </r>
  <r>
    <x v="297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2974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297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2976"/>
    <n v="4056789012345"/>
    <x v="11"/>
    <s v="Krmivo a maškrty – Mačky"/>
    <s v="BellaMeow"/>
    <n v="2.4"/>
    <n v="2"/>
    <s v="4"/>
    <s v="Mačka sa k misce vrací, chutí."/>
    <d v="2025-07-31T00:00:00"/>
    <n v="0"/>
    <n v="4.8"/>
    <x v="1"/>
    <x v="6"/>
    <x v="1"/>
  </r>
  <r>
    <x v="297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78"/>
    <n v="4059012345683"/>
    <x v="49"/>
    <s v="Oblečenie a doplnky – Psy"/>
    <s v="Tail Trend"/>
    <n v="20"/>
    <n v="1"/>
    <s v="2"/>
    <s v="Vráceno – popruh sa po týždni strapkal."/>
    <d v="2025-07-31T00:00:00"/>
    <n v="1"/>
    <n v="20"/>
    <x v="4"/>
    <x v="6"/>
    <x v="0"/>
  </r>
  <r>
    <x v="2979"/>
    <n v="8599988776654"/>
    <x v="56"/>
    <s v="Pelechy a nábytok – Psy"/>
    <s v="Pup Republic"/>
    <n v="16.8"/>
    <n v="1"/>
    <s v="5"/>
    <s v="Pes na nej leží celé dni, výborný produkt na leto."/>
    <d v="2025-07-31T00:00:00"/>
    <n v="0"/>
    <n v="16.8"/>
    <x v="2"/>
    <x v="6"/>
    <x v="0"/>
  </r>
  <r>
    <x v="2980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2981"/>
    <n v="4013456789017"/>
    <x v="0"/>
    <s v="Krmivo a maškrty – Psy"/>
    <s v="Snouty"/>
    <n v="6"/>
    <n v="1"/>
    <s v="4"/>
    <s v="Pes je miluje, používam pri výcviku."/>
    <d v="2025-07-31T00:00:00"/>
    <n v="0"/>
    <n v="6"/>
    <x v="1"/>
    <x v="6"/>
    <x v="0"/>
  </r>
  <r>
    <x v="2982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2983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298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85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2986"/>
    <n v="8599988776654"/>
    <x v="56"/>
    <s v="Pelechy a nábytok – Psy"/>
    <s v="Pup Republic"/>
    <n v="16.8"/>
    <n v="1"/>
    <s v="5"/>
    <s v="Nečekal som, že bude tak účinná, skvelá kúpa."/>
    <d v="2025-07-31T00:00:00"/>
    <n v="0"/>
    <n v="16.8"/>
    <x v="2"/>
    <x v="6"/>
    <x v="0"/>
  </r>
  <r>
    <x v="2987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298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89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299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2991"/>
    <n v="4017890123450"/>
    <x v="16"/>
    <s v="Hračky – Psy"/>
    <s v="Dogissimo"/>
    <n v="7.6"/>
    <n v="1"/>
    <s v="5"/>
    <s v="Obľúbená hračka našeho šteniatka, odporúčam!"/>
    <d v="2025-07-31T00:00:00"/>
    <n v="0"/>
    <n v="7.6"/>
    <x v="2"/>
    <x v="6"/>
    <x v="0"/>
  </r>
  <r>
    <x v="299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93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2994"/>
    <n v="8599988776654"/>
    <x v="56"/>
    <s v="Pelechy a nábytok – Psy"/>
    <s v="Pup Republic"/>
    <n v="16.8"/>
    <n v="1"/>
    <s v="4"/>
    <s v="Pes sa ju obľúbil, chladí rovnomerne."/>
    <d v="2025-07-31T00:00:00"/>
    <n v="0"/>
    <n v="16.8"/>
    <x v="1"/>
    <x v="6"/>
    <x v="0"/>
  </r>
  <r>
    <x v="2995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299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2997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2998"/>
    <n v="8599988776654"/>
    <x v="56"/>
    <s v="Pelechy a nábytok – Psy"/>
    <s v="Pup Republic"/>
    <n v="16.8"/>
    <n v="2"/>
    <s v="5"/>
    <s v="Pomohla aj v aute, kde sa pes prehrieval."/>
    <d v="2025-07-31T00:00:00"/>
    <n v="0"/>
    <n v="33.6"/>
    <x v="2"/>
    <x v="6"/>
    <x v="0"/>
  </r>
  <r>
    <x v="2999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00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01"/>
    <n v="4027788990013"/>
    <x v="9"/>
    <s v="Starostlivosť a hygiena – Psy"/>
    <s v="Dogissimo"/>
    <n v="8"/>
    <n v="1"/>
    <s v="4"/>
    <s v="Srsť je hebká a voňavá."/>
    <d v="2025-07-31T00:00:00"/>
    <n v="0"/>
    <n v="8"/>
    <x v="1"/>
    <x v="6"/>
    <x v="0"/>
  </r>
  <r>
    <x v="300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0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004"/>
    <n v="8599988776654"/>
    <x v="56"/>
    <s v="Pelechy a nábytok – Psy"/>
    <s v="Pup Republic"/>
    <n v="16.8"/>
    <n v="1"/>
    <s v="4"/>
    <s v="Príjemný materiál, pes sa ju hneď obľúbil."/>
    <d v="2025-07-31T00:00:00"/>
    <n v="0"/>
    <n v="16.8"/>
    <x v="1"/>
    <x v="6"/>
    <x v="0"/>
  </r>
  <r>
    <x v="3005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06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07"/>
    <n v="4063456789014"/>
    <x v="15"/>
    <s v="Krmivo a maškrty – Psy"/>
    <s v="Pupco"/>
    <n v="36"/>
    <n v="1"/>
    <s v="5"/>
    <s v="Pes pribral svaly a má lesklú srsť."/>
    <d v="2025-07-31T00:00:00"/>
    <n v="0"/>
    <n v="36"/>
    <x v="2"/>
    <x v="6"/>
    <x v="0"/>
  </r>
  <r>
    <x v="300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09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010"/>
    <n v="8599988776654"/>
    <x v="56"/>
    <s v="Pelechy a nábytok – Psy"/>
    <s v="Pup Republic"/>
    <n v="16.8"/>
    <n v="1"/>
    <s v="3"/>
    <s v="Funguje, ale mohla by byť väčšia."/>
    <d v="2025-07-31T00:00:00"/>
    <n v="0"/>
    <n v="16.8"/>
    <x v="3"/>
    <x v="6"/>
    <x v="0"/>
  </r>
  <r>
    <x v="3011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01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13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014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15"/>
    <n v="4017890123450"/>
    <x v="16"/>
    <s v="Hračky – Psy"/>
    <s v="Dogissimo"/>
    <n v="7.6"/>
    <n v="1"/>
    <s v="5"/>
    <s v="Pevný materiál, píska hlasno."/>
    <d v="2025-07-31T00:00:00"/>
    <n v="0"/>
    <n v="7.6"/>
    <x v="2"/>
    <x v="6"/>
    <x v="0"/>
  </r>
  <r>
    <x v="301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17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18"/>
    <n v="8599988776654"/>
    <x v="56"/>
    <s v="Pelechy a nábytok – Psy"/>
    <s v="Pup Republic"/>
    <n v="16.8"/>
    <n v="1"/>
    <s v="4"/>
    <s v="Prekvapivo odolná voči škrabaniu pazúrmi."/>
    <d v="2025-07-31T00:00:00"/>
    <n v="0"/>
    <n v="16.8"/>
    <x v="1"/>
    <x v="6"/>
    <x v="0"/>
  </r>
  <r>
    <x v="3019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02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21"/>
    <n v="4056789012345"/>
    <x v="11"/>
    <s v="Krmivo a maškrty – Mačky"/>
    <s v="BellaMeow"/>
    <n v="2.4"/>
    <n v="1"/>
    <s v="NULL"/>
    <s v=""/>
    <d v="2025-07-31T00:00:00"/>
    <n v="0"/>
    <n v="2.4"/>
    <x v="0"/>
    <x v="6"/>
    <x v="1"/>
  </r>
  <r>
    <x v="3022"/>
    <n v="8599988776654"/>
    <x v="56"/>
    <s v="Pelechy a nábytok – Psy"/>
    <s v="Pup Republic"/>
    <n v="16.8"/>
    <n v="1"/>
    <s v="5"/>
    <s v="Výborný chladicí efekt, odporúčam na cesty."/>
    <d v="2025-07-31T00:00:00"/>
    <n v="0"/>
    <n v="16.8"/>
    <x v="2"/>
    <x v="6"/>
    <x v="0"/>
  </r>
  <r>
    <x v="302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024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25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2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27"/>
    <n v="4063456789014"/>
    <x v="15"/>
    <s v="Krmivo a maškrty – Psy"/>
    <s v="Pupco"/>
    <n v="36"/>
    <n v="1"/>
    <s v="4"/>
    <s v="Pes má viac energie a hezčí srsť."/>
    <d v="2025-07-31T00:00:00"/>
    <n v="0"/>
    <n v="36"/>
    <x v="1"/>
    <x v="6"/>
    <x v="0"/>
  </r>
  <r>
    <x v="302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29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030"/>
    <n v="8599988776654"/>
    <x v="56"/>
    <s v="Pelechy a nábytok – Psy"/>
    <s v="Pup Republic"/>
    <n v="16.8"/>
    <n v="2"/>
    <s v="4"/>
    <s v="Pes ju používá aj v noci, príjemná na dotyk."/>
    <d v="2025-07-31T00:00:00"/>
    <n v="0"/>
    <n v="33.6"/>
    <x v="1"/>
    <x v="6"/>
    <x v="0"/>
  </r>
  <r>
    <x v="3031"/>
    <n v="4056789012345"/>
    <x v="11"/>
    <s v="Krmivo a maškrty – Mačky"/>
    <s v="BellaMeow"/>
    <n v="2.4"/>
    <n v="1"/>
    <s v="NULL"/>
    <s v=""/>
    <d v="2025-07-31T00:00:00"/>
    <n v="0"/>
    <n v="2.4"/>
    <x v="0"/>
    <x v="6"/>
    <x v="1"/>
  </r>
  <r>
    <x v="303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33"/>
    <n v="4013456789017"/>
    <x v="0"/>
    <s v="Krmivo a maškrty – Psy"/>
    <s v="Snouty"/>
    <n v="6"/>
    <n v="1"/>
    <s v="5"/>
    <s v="Malé a mäkké, ideálne na tréning."/>
    <d v="2025-07-31T00:00:00"/>
    <n v="0"/>
    <n v="6"/>
    <x v="2"/>
    <x v="6"/>
    <x v="0"/>
  </r>
  <r>
    <x v="303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35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36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37"/>
    <n v="4017890123450"/>
    <x v="16"/>
    <s v="Hračky – Psy"/>
    <s v="Dogissimo"/>
    <n v="7.6"/>
    <n v="1"/>
    <s v="4"/>
    <s v="Zatiaľ drží, pes ju má rád."/>
    <d v="2025-07-31T00:00:00"/>
    <n v="0"/>
    <n v="7.6"/>
    <x v="1"/>
    <x v="6"/>
    <x v="0"/>
  </r>
  <r>
    <x v="303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39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04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41"/>
    <n v="4056789012345"/>
    <x v="11"/>
    <s v="Krmivo a maškrty – Mačky"/>
    <s v="BellaMeow"/>
    <n v="2.4"/>
    <n v="2"/>
    <s v="4"/>
    <s v="Mačka ju je beze zvyškov."/>
    <d v="2025-07-31T00:00:00"/>
    <n v="0"/>
    <n v="4.8"/>
    <x v="1"/>
    <x v="6"/>
    <x v="1"/>
  </r>
  <r>
    <x v="304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43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044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45"/>
    <n v="4017890123450"/>
    <x v="16"/>
    <s v="Hračky – Psy"/>
    <s v="Dogissimo"/>
    <n v="7.6"/>
    <n v="1"/>
    <s v="5"/>
    <s v="Píská silno, pes nadšený."/>
    <d v="2025-07-31T00:00:00"/>
    <n v="0"/>
    <n v="7.6"/>
    <x v="2"/>
    <x v="6"/>
    <x v="0"/>
  </r>
  <r>
    <x v="304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47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48"/>
    <n v="8599988776654"/>
    <x v="56"/>
    <s v="Pelechy a nábytok – Psy"/>
    <s v="Pup Republic"/>
    <n v="16.8"/>
    <n v="1"/>
    <s v="4"/>
    <s v="Chladí okamžite, jednoduché čistenie."/>
    <d v="2025-07-31T00:00:00"/>
    <n v="0"/>
    <n v="16.8"/>
    <x v="1"/>
    <x v="6"/>
    <x v="0"/>
  </r>
  <r>
    <x v="3049"/>
    <n v="4027788990013"/>
    <x v="9"/>
    <s v="Starostlivosť a hygiena – Psy"/>
    <s v="Dogissimo"/>
    <n v="8"/>
    <n v="1"/>
    <s v="NULL"/>
    <s v=""/>
    <d v="2025-07-31T00:00:00"/>
    <n v="0"/>
    <n v="8"/>
    <x v="0"/>
    <x v="6"/>
    <x v="0"/>
  </r>
  <r>
    <x v="305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51"/>
    <n v="4063456789014"/>
    <x v="15"/>
    <s v="Krmivo a maškrty – Psy"/>
    <s v="Pupco"/>
    <n v="36"/>
    <n v="1"/>
    <s v="5"/>
    <s v="Super granuly, bez zápachu, chutnají."/>
    <d v="2025-07-31T00:00:00"/>
    <n v="0"/>
    <n v="36"/>
    <x v="2"/>
    <x v="6"/>
    <x v="0"/>
  </r>
  <r>
    <x v="305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5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054"/>
    <n v="8599988776654"/>
    <x v="56"/>
    <s v="Pelechy a nábytok – Psy"/>
    <s v="Pup Republic"/>
    <n v="16.8"/>
    <n v="1"/>
    <s v="5"/>
    <s v="Výborná na balkon aj do auta, náš pes ju miluje."/>
    <d v="2025-07-31T00:00:00"/>
    <n v="0"/>
    <n v="16.8"/>
    <x v="2"/>
    <x v="6"/>
    <x v="0"/>
  </r>
  <r>
    <x v="3055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056"/>
    <n v="4013456789017"/>
    <x v="0"/>
    <s v="Krmivo a maškrty – Psy"/>
    <s v="Snouty"/>
    <n v="6"/>
    <n v="1"/>
    <s v="4"/>
    <s v="Mäkké a voňavé, ideálne pre šteniatko."/>
    <d v="2025-07-31T00:00:00"/>
    <n v="0"/>
    <n v="6"/>
    <x v="1"/>
    <x v="6"/>
    <x v="0"/>
  </r>
  <r>
    <x v="305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58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5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60"/>
    <n v="4063456789014"/>
    <x v="15"/>
    <s v="Krmivo a maškrty – Psy"/>
    <s v="Pupco"/>
    <n v="36"/>
    <n v="1"/>
    <s v="5"/>
    <s v="Pes sa zlepšil po zdravotní stránce."/>
    <d v="2025-07-31T00:00:00"/>
    <n v="0"/>
    <n v="36"/>
    <x v="2"/>
    <x v="6"/>
    <x v="0"/>
  </r>
  <r>
    <x v="306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62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063"/>
    <n v="8599988776654"/>
    <x v="56"/>
    <s v="Pelechy a nábytok – Psy"/>
    <s v="Pup Republic"/>
    <n v="16.8"/>
    <n v="1"/>
    <s v="4"/>
    <s v="Praktická, stačí utrieť hadrem, pes ju má rád."/>
    <d v="2025-07-31T00:00:00"/>
    <n v="0"/>
    <n v="16.8"/>
    <x v="1"/>
    <x v="6"/>
    <x v="0"/>
  </r>
  <r>
    <x v="3064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06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66"/>
    <n v="4017890123450"/>
    <x v="16"/>
    <s v="Hračky – Psy"/>
    <s v="Dogissimo"/>
    <n v="7.6"/>
    <n v="1"/>
    <s v="4"/>
    <s v="Píská trochu hlasno, ale pes nadšený."/>
    <d v="2025-07-31T00:00:00"/>
    <n v="0"/>
    <n v="7.6"/>
    <x v="1"/>
    <x v="6"/>
    <x v="0"/>
  </r>
  <r>
    <x v="306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68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6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70"/>
    <n v="4028899001126"/>
    <x v="1"/>
    <s v="Krmivo a maškrty – Psy"/>
    <s v="Pup Republic"/>
    <n v="2.8"/>
    <n v="2"/>
    <s v="5"/>
    <s v="Kupuju opakovane, pes spokojený."/>
    <d v="2025-07-31T00:00:00"/>
    <n v="0"/>
    <n v="5.6"/>
    <x v="2"/>
    <x v="6"/>
    <x v="0"/>
  </r>
  <r>
    <x v="307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72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07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74"/>
    <n v="4013456789017"/>
    <x v="0"/>
    <s v="Krmivo a maškrty – Psy"/>
    <s v="Snouty"/>
    <n v="6"/>
    <n v="1"/>
    <s v="5"/>
    <s v="Najlepšie maškrty, čo sme zkusili."/>
    <d v="2025-07-31T00:00:00"/>
    <n v="0"/>
    <n v="6"/>
    <x v="2"/>
    <x v="6"/>
    <x v="0"/>
  </r>
  <r>
    <x v="307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76"/>
    <n v="4027788990013"/>
    <x v="9"/>
    <s v="Starostlivosť a hygiena – Psy"/>
    <s v="Dogissimo"/>
    <n v="8"/>
    <n v="1"/>
    <s v="NULL"/>
    <s v=""/>
    <d v="2025-07-31T00:00:00"/>
    <n v="0"/>
    <n v="8"/>
    <x v="0"/>
    <x v="6"/>
    <x v="0"/>
  </r>
  <r>
    <x v="307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78"/>
    <n v="4017890123450"/>
    <x v="16"/>
    <s v="Hračky – Psy"/>
    <s v="Dogissimo"/>
    <n v="7.6"/>
    <n v="1"/>
    <s v="4"/>
    <s v="Pevná, prežila aj aportování v parku."/>
    <d v="2025-07-31T00:00:00"/>
    <n v="0"/>
    <n v="7.6"/>
    <x v="1"/>
    <x v="6"/>
    <x v="0"/>
  </r>
  <r>
    <x v="307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80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81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82"/>
    <n v="4063456789014"/>
    <x v="15"/>
    <s v="Krmivo a maškrty – Psy"/>
    <s v="Pupco"/>
    <n v="36"/>
    <n v="1"/>
    <s v="5"/>
    <s v="Pes je zdravšie, srsť krásne lesklá."/>
    <d v="2025-07-31T00:00:00"/>
    <n v="0"/>
    <n v="36"/>
    <x v="2"/>
    <x v="6"/>
    <x v="0"/>
  </r>
  <r>
    <x v="308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84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08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86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087"/>
    <n v="8599988776654"/>
    <x v="56"/>
    <s v="Pelechy a nábytok – Psy"/>
    <s v="Pup Republic"/>
    <n v="16.8"/>
    <n v="1"/>
    <s v="4"/>
    <s v="Skladná a chladí hneď po vybalení."/>
    <d v="2025-07-31T00:00:00"/>
    <n v="0"/>
    <n v="16.8"/>
    <x v="1"/>
    <x v="6"/>
    <x v="0"/>
  </r>
  <r>
    <x v="3088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08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90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9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92"/>
    <n v="4013456789017"/>
    <x v="0"/>
    <s v="Krmivo a maškrty – Psy"/>
    <s v="Snouty"/>
    <n v="6"/>
    <n v="1"/>
    <s v="5"/>
    <s v="Fajn maškrty, pes poslúcha ako hodinky."/>
    <d v="2025-07-31T00:00:00"/>
    <n v="0"/>
    <n v="6"/>
    <x v="2"/>
    <x v="6"/>
    <x v="0"/>
  </r>
  <r>
    <x v="309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94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09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096"/>
    <n v="4028899001126"/>
    <x v="1"/>
    <s v="Krmivo a maškrty – Psy"/>
    <s v="Pup Republic"/>
    <n v="2.8"/>
    <n v="3"/>
    <s v="4"/>
    <s v="Kupujem často, spokojenost."/>
    <d v="2025-07-31T00:00:00"/>
    <n v="0"/>
    <n v="8.3999999999999986"/>
    <x v="1"/>
    <x v="6"/>
    <x v="0"/>
  </r>
  <r>
    <x v="3097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098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09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00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101"/>
    <n v="8599988776654"/>
    <x v="56"/>
    <s v="Pelechy a nábytok – Psy"/>
    <s v="Pup Republic"/>
    <n v="16.8"/>
    <n v="2"/>
    <s v="5"/>
    <s v="Perfektná veľkosť pre stredného psa."/>
    <d v="2025-07-31T00:00:00"/>
    <n v="0"/>
    <n v="33.6"/>
    <x v="2"/>
    <x v="6"/>
    <x v="0"/>
  </r>
  <r>
    <x v="3102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10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04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0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06"/>
    <n v="4063456789014"/>
    <x v="15"/>
    <s v="Krmivo a maškrty – Psy"/>
    <s v="Pupco"/>
    <n v="36"/>
    <n v="1"/>
    <s v="5"/>
    <s v="Výborné krmivo, žiadne zažívací potíže."/>
    <d v="2025-07-31T00:00:00"/>
    <n v="0"/>
    <n v="36"/>
    <x v="2"/>
    <x v="6"/>
    <x v="0"/>
  </r>
  <r>
    <x v="3107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08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109"/>
    <n v="8599988776654"/>
    <x v="56"/>
    <s v="Pelechy a nábytok – Psy"/>
    <s v="Pup Republic"/>
    <n v="16.8"/>
    <n v="1"/>
    <s v="4"/>
    <s v="Pes sa na nej okamžite natáhne."/>
    <d v="2025-07-31T00:00:00"/>
    <n v="0"/>
    <n v="16.8"/>
    <x v="1"/>
    <x v="6"/>
    <x v="0"/>
  </r>
  <r>
    <x v="3110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11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12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113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14"/>
    <n v="4017890123450"/>
    <x v="16"/>
    <s v="Hračky – Psy"/>
    <s v="Dogissimo"/>
    <n v="7.6"/>
    <n v="1"/>
    <s v="5"/>
    <s v="Pevný materiál, zvládá aj velké psy."/>
    <d v="2025-07-31T00:00:00"/>
    <n v="0"/>
    <n v="7.6"/>
    <x v="2"/>
    <x v="6"/>
    <x v="0"/>
  </r>
  <r>
    <x v="311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16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1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18"/>
    <n v="4028899001126"/>
    <x v="1"/>
    <s v="Krmivo a maškrty – Psy"/>
    <s v="Pup Republic"/>
    <n v="2.8"/>
    <n v="3"/>
    <s v="5"/>
    <s v="Vždy čerstvá a vonia, pes sa teší na každé kŕmenie."/>
    <d v="2025-07-31T00:00:00"/>
    <n v="0"/>
    <n v="8.3999999999999986"/>
    <x v="2"/>
    <x v="6"/>
    <x v="0"/>
  </r>
  <r>
    <x v="311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20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12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22"/>
    <n v="4013456789017"/>
    <x v="0"/>
    <s v="Krmivo a maškrty – Psy"/>
    <s v="Snouty"/>
    <n v="6"/>
    <n v="1"/>
    <s v="4"/>
    <s v="Dobrá cena aj kvalita, náš favorit."/>
    <d v="2025-07-31T00:00:00"/>
    <n v="0"/>
    <n v="6"/>
    <x v="1"/>
    <x v="6"/>
    <x v="0"/>
  </r>
  <r>
    <x v="312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24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2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26"/>
    <n v="4063456789014"/>
    <x v="15"/>
    <s v="Krmivo a maškrty – Psy"/>
    <s v="Pupco"/>
    <n v="36"/>
    <n v="1"/>
    <s v="4"/>
    <s v="Zlepšila sa kondice psa, super."/>
    <d v="2025-07-31T00:00:00"/>
    <n v="0"/>
    <n v="36"/>
    <x v="1"/>
    <x v="6"/>
    <x v="0"/>
  </r>
  <r>
    <x v="312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28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129"/>
    <n v="8599988776654"/>
    <x v="56"/>
    <s v="Pelechy a nábytok – Psy"/>
    <s v="Pup Republic"/>
    <n v="16.8"/>
    <n v="1"/>
    <s v="5"/>
    <s v="Funguje skvelo aj po niekoľkých týdnech používání."/>
    <d v="2025-07-31T00:00:00"/>
    <n v="0"/>
    <n v="16.8"/>
    <x v="2"/>
    <x v="6"/>
    <x v="0"/>
  </r>
  <r>
    <x v="3130"/>
    <n v="4056789012345"/>
    <x v="11"/>
    <s v="Krmivo a maškrty – Mačky"/>
    <s v="BellaMeow"/>
    <n v="2.4"/>
    <n v="2"/>
    <s v="4"/>
    <s v="Mačka ju má ráda, príjemná vôňa."/>
    <d v="2025-07-31T00:00:00"/>
    <n v="0"/>
    <n v="4.8"/>
    <x v="1"/>
    <x v="6"/>
    <x v="1"/>
  </r>
  <r>
    <x v="313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32"/>
    <n v="4017890123450"/>
    <x v="16"/>
    <s v="Hračky – Psy"/>
    <s v="Dogissimo"/>
    <n v="7.6"/>
    <n v="1"/>
    <s v="4"/>
    <s v="Obľúbená hračka, len trochu hlučná."/>
    <d v="2025-07-31T00:00:00"/>
    <n v="0"/>
    <n v="7.6"/>
    <x v="1"/>
    <x v="6"/>
    <x v="0"/>
  </r>
  <r>
    <x v="3133"/>
    <n v="4010123456783"/>
    <x v="6"/>
    <s v="Starostlivosť a hygiena – Mačky"/>
    <s v="BellaMeow"/>
    <n v="14"/>
    <n v="1"/>
    <s v="5"/>
    <s v="Vydrží dlho, bez zápachu, top podstielka."/>
    <d v="2025-07-31T00:00:00"/>
    <n v="0"/>
    <n v="14"/>
    <x v="2"/>
    <x v="6"/>
    <x v="1"/>
  </r>
  <r>
    <x v="313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35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136"/>
    <n v="8599988776654"/>
    <x v="56"/>
    <s v="Pelechy a nábytok – Psy"/>
    <s v="Pup Republic"/>
    <n v="16.8"/>
    <n v="2"/>
    <s v="4"/>
    <s v="Pes sa ju chráni ako svoj poklad."/>
    <d v="2025-07-31T00:00:00"/>
    <n v="0"/>
    <n v="33.6"/>
    <x v="1"/>
    <x v="6"/>
    <x v="0"/>
  </r>
  <r>
    <x v="3137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13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39"/>
    <n v="4056789012345"/>
    <x v="11"/>
    <s v="Krmivo a maškrty – Mačky"/>
    <s v="BellaMeow"/>
    <n v="2.4"/>
    <n v="2"/>
    <s v="3"/>
    <s v="Mačka zje polovicu, zbytek nechá, priemer."/>
    <d v="2025-07-31T00:00:00"/>
    <n v="0"/>
    <n v="4.8"/>
    <x v="3"/>
    <x v="6"/>
    <x v="1"/>
  </r>
  <r>
    <x v="314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41"/>
    <n v="4017890123450"/>
    <x v="16"/>
    <s v="Hračky – Psy"/>
    <s v="Dogissimo"/>
    <n v="7.6"/>
    <n v="1"/>
    <s v="5"/>
    <s v="Pes ju ťahá po byte, stále drží."/>
    <d v="2025-07-31T00:00:00"/>
    <n v="0"/>
    <n v="7.6"/>
    <x v="2"/>
    <x v="6"/>
    <x v="0"/>
  </r>
  <r>
    <x v="3142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43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44"/>
    <n v="4027788990013"/>
    <x v="9"/>
    <s v="Starostlivosť a hygiena – Psy"/>
    <s v="Dogissimo"/>
    <n v="8"/>
    <n v="1"/>
    <s v="4"/>
    <s v="Hezká vôňa, pení akorát."/>
    <d v="2025-07-31T00:00:00"/>
    <n v="0"/>
    <n v="8"/>
    <x v="1"/>
    <x v="6"/>
    <x v="0"/>
  </r>
  <r>
    <x v="314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46"/>
    <n v="4021234567894"/>
    <x v="18"/>
    <s v="Starostlivosť a hygiena – Mačky"/>
    <s v="PawStyle"/>
    <n v="8"/>
    <n v="1"/>
    <s v="5"/>
    <s v="Výborne neutralizuje pachy, odporúčam."/>
    <d v="2025-07-31T00:00:00"/>
    <n v="0"/>
    <n v="8"/>
    <x v="2"/>
    <x v="6"/>
    <x v="1"/>
  </r>
  <r>
    <x v="314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48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149"/>
    <n v="8599988776654"/>
    <x v="56"/>
    <s v="Pelechy a nábytok – Psy"/>
    <s v="Pup Republic"/>
    <n v="16.8"/>
    <n v="2"/>
    <s v="5"/>
    <s v="Skvelá kvalita, pes ju využívá denne."/>
    <d v="2025-07-31T00:00:00"/>
    <n v="0"/>
    <n v="33.6"/>
    <x v="2"/>
    <x v="6"/>
    <x v="0"/>
  </r>
  <r>
    <x v="3150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15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52"/>
    <n v="4010123456783"/>
    <x v="6"/>
    <s v="Starostlivosť a hygiena – Mačky"/>
    <s v="BellaMeow"/>
    <n v="14"/>
    <n v="1"/>
    <s v="5"/>
    <s v="Skvelá absorpce, žiaden zápach."/>
    <d v="2025-07-31T00:00:00"/>
    <n v="0"/>
    <n v="14"/>
    <x v="2"/>
    <x v="6"/>
    <x v="1"/>
  </r>
  <r>
    <x v="315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54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15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56"/>
    <n v="4028899001126"/>
    <x v="1"/>
    <s v="Krmivo a maškrty – Psy"/>
    <s v="Pup Republic"/>
    <n v="2.8"/>
    <n v="3"/>
    <s v="5"/>
    <s v="Voňavé maso, pes sa olizuje."/>
    <d v="2025-07-31T00:00:00"/>
    <n v="0"/>
    <n v="8.3999999999999986"/>
    <x v="2"/>
    <x v="6"/>
    <x v="0"/>
  </r>
  <r>
    <x v="315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58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15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60"/>
    <n v="4017890123450"/>
    <x v="16"/>
    <s v="Hračky – Psy"/>
    <s v="Dogissimo"/>
    <n v="7.6"/>
    <n v="1"/>
    <s v="4"/>
    <s v="Zatiaľ prežila aj tahání venku."/>
    <d v="2025-07-31T00:00:00"/>
    <n v="0"/>
    <n v="7.6"/>
    <x v="1"/>
    <x v="6"/>
    <x v="0"/>
  </r>
  <r>
    <x v="3161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6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63"/>
    <n v="4056789012345"/>
    <x v="11"/>
    <s v="Krmivo a maškrty – Mačky"/>
    <s v="BellaMeow"/>
    <n v="2.4"/>
    <n v="2"/>
    <s v="4"/>
    <s v="Mačka spokojná, miska prázdna."/>
    <d v="2025-07-31T00:00:00"/>
    <n v="0"/>
    <n v="4.8"/>
    <x v="1"/>
    <x v="6"/>
    <x v="1"/>
  </r>
  <r>
    <x v="316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65"/>
    <n v="4027788990013"/>
    <x v="9"/>
    <s v="Starostlivosť a hygiena – Psy"/>
    <s v="Dogissimo"/>
    <n v="8"/>
    <n v="1"/>
    <s v="NULL"/>
    <s v=""/>
    <d v="2025-07-31T00:00:00"/>
    <n v="0"/>
    <n v="8"/>
    <x v="0"/>
    <x v="6"/>
    <x v="0"/>
  </r>
  <r>
    <x v="3166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67"/>
    <n v="4017890123450"/>
    <x v="16"/>
    <s v="Hračky – Psy"/>
    <s v="Dogissimo"/>
    <n v="7.6"/>
    <n v="1"/>
    <s v="4"/>
    <s v="Pes ju okusuje, ale zatiaľ drží."/>
    <d v="2025-07-31T00:00:00"/>
    <n v="0"/>
    <n v="7.6"/>
    <x v="1"/>
    <x v="6"/>
    <x v="0"/>
  </r>
  <r>
    <x v="316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69"/>
    <n v="4010123456783"/>
    <x v="6"/>
    <s v="Starostlivosť a hygiena – Mačky"/>
    <s v="BellaMeow"/>
    <n v="14"/>
    <n v="1"/>
    <s v="5"/>
    <s v="Najlepšia podstielka, které sme mali."/>
    <d v="2025-07-31T00:00:00"/>
    <n v="0"/>
    <n v="14"/>
    <x v="2"/>
    <x v="6"/>
    <x v="1"/>
  </r>
  <r>
    <x v="317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71"/>
    <n v="4063456789014"/>
    <x v="15"/>
    <s v="Krmivo a maškrty – Psy"/>
    <s v="Pupco"/>
    <n v="36"/>
    <n v="1"/>
    <s v="5"/>
    <s v="Pes nadšený, miska vždy prázdna."/>
    <d v="2025-07-31T00:00:00"/>
    <n v="0"/>
    <n v="36"/>
    <x v="2"/>
    <x v="6"/>
    <x v="0"/>
  </r>
  <r>
    <x v="317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73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174"/>
    <n v="8599988776654"/>
    <x v="56"/>
    <s v="Pelechy a nábytok – Psy"/>
    <s v="Pup Republic"/>
    <n v="16.8"/>
    <n v="1"/>
    <s v="4"/>
    <s v="Skvelá v aute aj doma, odporúčam."/>
    <d v="2025-07-31T00:00:00"/>
    <n v="0"/>
    <n v="16.8"/>
    <x v="1"/>
    <x v="6"/>
    <x v="0"/>
  </r>
  <r>
    <x v="3175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17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77"/>
    <n v="4013456789017"/>
    <x v="0"/>
    <s v="Krmivo a maškrty – Psy"/>
    <s v="Snouty"/>
    <n v="6"/>
    <n v="1"/>
    <s v="5"/>
    <s v="Pes sa môže zblázniť od radosti."/>
    <d v="2025-07-31T00:00:00"/>
    <n v="0"/>
    <n v="6"/>
    <x v="2"/>
    <x v="6"/>
    <x v="0"/>
  </r>
  <r>
    <x v="3178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79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18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81"/>
    <n v="4017890123450"/>
    <x v="16"/>
    <s v="Hračky – Psy"/>
    <s v="Dogissimo"/>
    <n v="7.6"/>
    <n v="1"/>
    <s v="5"/>
    <s v="Obľúbená hračka, výborná kvalita."/>
    <d v="2025-07-31T00:00:00"/>
    <n v="0"/>
    <n v="7.6"/>
    <x v="2"/>
    <x v="6"/>
    <x v="0"/>
  </r>
  <r>
    <x v="318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83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18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85"/>
    <n v="4056789012345"/>
    <x v="11"/>
    <s v="Krmivo a maškrty – Mačky"/>
    <s v="BellaMeow"/>
    <n v="2.4"/>
    <n v="2"/>
    <s v="4"/>
    <s v="Naše mačka ju chce denne."/>
    <d v="2025-07-31T00:00:00"/>
    <n v="0"/>
    <n v="4.8"/>
    <x v="1"/>
    <x v="6"/>
    <x v="1"/>
  </r>
  <r>
    <x v="318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87"/>
    <n v="4013456789017"/>
    <x v="0"/>
    <s v="Krmivo a maškrty – Psy"/>
    <s v="Snouty"/>
    <n v="6"/>
    <n v="1"/>
    <s v="5"/>
    <s v="Výborné, žiadna chemie."/>
    <d v="2025-07-31T00:00:00"/>
    <n v="0"/>
    <n v="6"/>
    <x v="2"/>
    <x v="6"/>
    <x v="0"/>
  </r>
  <r>
    <x v="3188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89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19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91"/>
    <n v="4010123456783"/>
    <x v="6"/>
    <s v="Starostlivosť a hygiena – Mačky"/>
    <s v="BellaMeow"/>
    <n v="14"/>
    <n v="1"/>
    <s v="5"/>
    <s v="Skvelo absorbuje vlhkosť, vydrží týdny."/>
    <d v="2025-07-31T00:00:00"/>
    <n v="0"/>
    <n v="14"/>
    <x v="2"/>
    <x v="6"/>
    <x v="1"/>
  </r>
  <r>
    <x v="319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93"/>
    <n v="4063456789014"/>
    <x v="15"/>
    <s v="Krmivo a maškrty – Psy"/>
    <s v="Pupco"/>
    <n v="36"/>
    <n v="1"/>
    <s v="4"/>
    <s v="Pes sa teší na každé kŕmenie."/>
    <d v="2025-07-31T00:00:00"/>
    <n v="0"/>
    <n v="36"/>
    <x v="1"/>
    <x v="6"/>
    <x v="0"/>
  </r>
  <r>
    <x v="3194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195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19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97"/>
    <n v="4013456789017"/>
    <x v="0"/>
    <s v="Krmivo a maškrty – Psy"/>
    <s v="Snouty"/>
    <n v="6"/>
    <n v="1"/>
    <s v="4"/>
    <s v="Pes je bere ako odmenu."/>
    <d v="2025-07-31T00:00:00"/>
    <n v="0"/>
    <n v="6"/>
    <x v="1"/>
    <x v="6"/>
    <x v="0"/>
  </r>
  <r>
    <x v="319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199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0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01"/>
    <n v="4017890123450"/>
    <x v="16"/>
    <s v="Hračky – Psy"/>
    <s v="Dogissimo"/>
    <n v="7.6"/>
    <n v="1"/>
    <s v="5"/>
    <s v="Vhodná aj pre malé psy, super."/>
    <d v="2025-07-31T00:00:00"/>
    <n v="0"/>
    <n v="7.6"/>
    <x v="2"/>
    <x v="6"/>
    <x v="0"/>
  </r>
  <r>
    <x v="320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03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204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05"/>
    <n v="4017890123450"/>
    <x v="16"/>
    <s v="Hračky – Psy"/>
    <s v="Dogissimo"/>
    <n v="7.6"/>
    <n v="1"/>
    <s v="4"/>
    <s v="Pevný materiál, pes ju ťahá všade."/>
    <d v="2025-07-31T00:00:00"/>
    <n v="0"/>
    <n v="7.6"/>
    <x v="1"/>
    <x v="6"/>
    <x v="0"/>
  </r>
  <r>
    <x v="3206"/>
    <n v="4010123456783"/>
    <x v="6"/>
    <s v="Starostlivosť a hygiena – Mačky"/>
    <s v="BellaMeow"/>
    <n v="14"/>
    <n v="1"/>
    <s v="5"/>
    <s v="Skvelo pohlcuje pachy, odporúčam."/>
    <d v="2025-07-31T00:00:00"/>
    <n v="0"/>
    <n v="14"/>
    <x v="2"/>
    <x v="6"/>
    <x v="1"/>
  </r>
  <r>
    <x v="320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08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209"/>
    <n v="4013456789017"/>
    <x v="0"/>
    <s v="Krmivo a maškrty – Psy"/>
    <s v="Snouty"/>
    <n v="6"/>
    <n v="1"/>
    <s v="5"/>
    <s v="Pes sa môže zbláznit, ako mu chutnají."/>
    <d v="2025-07-31T00:00:00"/>
    <n v="0"/>
    <n v="6"/>
    <x v="2"/>
    <x v="6"/>
    <x v="0"/>
  </r>
  <r>
    <x v="321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11"/>
    <n v="4027788990013"/>
    <x v="9"/>
    <s v="Starostlivosť a hygiena – Psy"/>
    <s v="Dogissimo"/>
    <n v="8"/>
    <n v="1"/>
    <s v="4"/>
    <s v="Pekne vonia, ale mohol by viac peniť."/>
    <d v="2025-07-31T00:00:00"/>
    <n v="0"/>
    <n v="8"/>
    <x v="1"/>
    <x v="6"/>
    <x v="0"/>
  </r>
  <r>
    <x v="3212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13"/>
    <n v="8599988776654"/>
    <x v="56"/>
    <s v="Pelechy a nábytok – Psy"/>
    <s v="Pup Republic"/>
    <n v="16.8"/>
    <n v="2"/>
    <s v="5"/>
    <s v="Funguje aj po 3 týdnech, super chladí."/>
    <d v="2025-07-31T00:00:00"/>
    <n v="0"/>
    <n v="33.6"/>
    <x v="2"/>
    <x v="6"/>
    <x v="0"/>
  </r>
  <r>
    <x v="3214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21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16"/>
    <n v="4017890123450"/>
    <x v="16"/>
    <s v="Hračky – Psy"/>
    <s v="Dogissimo"/>
    <n v="7.6"/>
    <n v="1"/>
    <s v="5"/>
    <s v="Pes ju má od rána do večera."/>
    <d v="2025-07-31T00:00:00"/>
    <n v="0"/>
    <n v="7.6"/>
    <x v="2"/>
    <x v="6"/>
    <x v="0"/>
  </r>
  <r>
    <x v="3217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18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21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20"/>
    <n v="4013456789017"/>
    <x v="0"/>
    <s v="Krmivo a maškrty – Psy"/>
    <s v="Snouty"/>
    <n v="6"/>
    <n v="1"/>
    <s v="4"/>
    <s v="Výborné pre výcvik, skvelo sa lámou."/>
    <d v="2025-07-31T00:00:00"/>
    <n v="0"/>
    <n v="6"/>
    <x v="1"/>
    <x v="6"/>
    <x v="0"/>
  </r>
  <r>
    <x v="322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22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23"/>
    <n v="4028899001126"/>
    <x v="1"/>
    <s v="Krmivo a maškrty – Psy"/>
    <s v="Pup Republic"/>
    <n v="2.8"/>
    <n v="3"/>
    <s v="5"/>
    <s v="Pes sa olizuje až za ušima."/>
    <d v="2025-07-31T00:00:00"/>
    <n v="0"/>
    <n v="8.3999999999999986"/>
    <x v="2"/>
    <x v="6"/>
    <x v="0"/>
  </r>
  <r>
    <x v="322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25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226"/>
    <n v="8599988776654"/>
    <x v="56"/>
    <s v="Pelechy a nábytok – Psy"/>
    <s v="Pup Republic"/>
    <n v="16.8"/>
    <n v="2"/>
    <s v="4"/>
    <s v="Pes ju používá aj na cestách, praktická."/>
    <d v="2025-07-31T00:00:00"/>
    <n v="0"/>
    <n v="33.6"/>
    <x v="1"/>
    <x v="6"/>
    <x v="0"/>
  </r>
  <r>
    <x v="3227"/>
    <n v="4021234567894"/>
    <x v="18"/>
    <s v="Starostlivosť a hygiena – Mačky"/>
    <s v="PawStyle"/>
    <n v="8"/>
    <n v="1"/>
    <s v="5"/>
    <s v="Výborný produkt, odstraní pach okamžite."/>
    <d v="2025-07-31T00:00:00"/>
    <n v="0"/>
    <n v="8"/>
    <x v="2"/>
    <x v="6"/>
    <x v="1"/>
  </r>
  <r>
    <x v="322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29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23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31"/>
    <n v="4010123456783"/>
    <x v="6"/>
    <s v="Starostlivosť a hygiena – Mačky"/>
    <s v="BellaMeow"/>
    <n v="14"/>
    <n v="1"/>
    <s v="5"/>
    <s v="Perfektní kvalita, už iné nekupuji."/>
    <d v="2025-07-31T00:00:00"/>
    <n v="0"/>
    <n v="14"/>
    <x v="2"/>
    <x v="6"/>
    <x v="1"/>
  </r>
  <r>
    <x v="323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33"/>
    <n v="4013456789017"/>
    <x v="0"/>
    <s v="Krmivo a maškrty – Psy"/>
    <s v="Snouty"/>
    <n v="6"/>
    <n v="1"/>
    <s v="4"/>
    <s v="Pes poslúcha len keď je mám v kapse."/>
    <d v="2025-07-31T00:00:00"/>
    <n v="0"/>
    <n v="6"/>
    <x v="1"/>
    <x v="6"/>
    <x v="0"/>
  </r>
  <r>
    <x v="323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35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23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37"/>
    <n v="4063456789014"/>
    <x v="15"/>
    <s v="Krmivo a maškrty – Psy"/>
    <s v="Pupco"/>
    <n v="36"/>
    <n v="1"/>
    <s v="5"/>
    <s v="Srsť lesklá, trávenie v pohode."/>
    <d v="2025-07-31T00:00:00"/>
    <n v="0"/>
    <n v="36"/>
    <x v="2"/>
    <x v="6"/>
    <x v="0"/>
  </r>
  <r>
    <x v="3238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39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240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41"/>
    <n v="8599988776654"/>
    <x v="56"/>
    <s v="Pelechy a nábytok – Psy"/>
    <s v="Pup Republic"/>
    <n v="16.8"/>
    <n v="1"/>
    <s v="5"/>
    <s v="Chladí okamžite, pes sa ju stráži."/>
    <d v="2025-07-31T00:00:00"/>
    <n v="0"/>
    <n v="16.8"/>
    <x v="2"/>
    <x v="6"/>
    <x v="0"/>
  </r>
  <r>
    <x v="3242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243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44"/>
    <n v="4013456789017"/>
    <x v="0"/>
    <s v="Krmivo a maškrty – Psy"/>
    <s v="Snouty"/>
    <n v="6"/>
    <n v="1"/>
    <s v="5"/>
    <s v="Mäkké, voňavé, pes sa je zamiloval."/>
    <d v="2025-07-31T00:00:00"/>
    <n v="0"/>
    <n v="6"/>
    <x v="2"/>
    <x v="6"/>
    <x v="0"/>
  </r>
  <r>
    <x v="324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46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24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48"/>
    <n v="4027788990013"/>
    <x v="9"/>
    <s v="Starostlivosť a hygiena – Psy"/>
    <s v="Dogissimo"/>
    <n v="8"/>
    <n v="1"/>
    <s v="4"/>
    <s v="Hezky čistí, srsť lesklá."/>
    <d v="2025-07-31T00:00:00"/>
    <n v="0"/>
    <n v="8"/>
    <x v="1"/>
    <x v="6"/>
    <x v="0"/>
  </r>
  <r>
    <x v="324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50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25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52"/>
    <n v="4010123456783"/>
    <x v="6"/>
    <s v="Starostlivosť a hygiena – Mačky"/>
    <s v="BellaMeow"/>
    <n v="14"/>
    <n v="1"/>
    <s v="5"/>
    <s v="Skvelé podstielka, žiaden prach."/>
    <d v="2025-07-31T00:00:00"/>
    <n v="0"/>
    <n v="14"/>
    <x v="2"/>
    <x v="6"/>
    <x v="1"/>
  </r>
  <r>
    <x v="325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54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255"/>
    <n v="8599988776654"/>
    <x v="56"/>
    <s v="Pelechy a nábytok – Psy"/>
    <s v="Pup Republic"/>
    <n v="16.8"/>
    <n v="1"/>
    <s v="5"/>
    <s v="Pes ju zbožňuje, ideálne do vedra."/>
    <d v="2025-07-31T00:00:00"/>
    <n v="0"/>
    <n v="16.8"/>
    <x v="2"/>
    <x v="6"/>
    <x v="0"/>
  </r>
  <r>
    <x v="3256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25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58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5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60"/>
    <n v="4063456789014"/>
    <x v="15"/>
    <s v="Krmivo a maškrty – Psy"/>
    <s v="Pupco"/>
    <n v="36"/>
    <n v="1"/>
    <s v="4"/>
    <s v="Dobré zloženie, pes má viac energie."/>
    <d v="2025-07-31T00:00:00"/>
    <n v="0"/>
    <n v="36"/>
    <x v="1"/>
    <x v="6"/>
    <x v="0"/>
  </r>
  <r>
    <x v="326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62"/>
    <n v="4017890123450"/>
    <x v="16"/>
    <s v="Hračky – Psy"/>
    <s v="Dogissimo"/>
    <n v="7.6"/>
    <n v="1"/>
    <s v="4"/>
    <s v="Výdrž zatiaľ super, pes ju nosí všade."/>
    <d v="2025-07-31T00:00:00"/>
    <n v="0"/>
    <n v="7.6"/>
    <x v="1"/>
    <x v="6"/>
    <x v="0"/>
  </r>
  <r>
    <x v="326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64"/>
    <n v="4013456789017"/>
    <x v="0"/>
    <s v="Krmivo a maškrty – Psy"/>
    <s v="Snouty"/>
    <n v="6"/>
    <n v="1"/>
    <s v="5"/>
    <s v="Bezchybné, pes sa naučil povel „lehni“."/>
    <d v="2025-07-31T00:00:00"/>
    <n v="0"/>
    <n v="6"/>
    <x v="2"/>
    <x v="6"/>
    <x v="0"/>
  </r>
  <r>
    <x v="326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66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26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68"/>
    <n v="4021234567894"/>
    <x v="18"/>
    <s v="Starostlivosť a hygiena – Mačky"/>
    <s v="PawStyle"/>
    <n v="8"/>
    <n v="1"/>
    <s v="4"/>
    <s v="Pomáha s pachy po čistenie záchodu."/>
    <d v="2025-07-31T00:00:00"/>
    <n v="0"/>
    <n v="8"/>
    <x v="1"/>
    <x v="6"/>
    <x v="1"/>
  </r>
  <r>
    <x v="326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70"/>
    <n v="4027788990013"/>
    <x v="9"/>
    <s v="Starostlivosť a hygiena – Psy"/>
    <s v="Dogissimo"/>
    <n v="8"/>
    <n v="1"/>
    <s v="NULL"/>
    <s v=""/>
    <d v="2025-07-31T00:00:00"/>
    <n v="0"/>
    <n v="8"/>
    <x v="0"/>
    <x v="6"/>
    <x v="0"/>
  </r>
  <r>
    <x v="327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72"/>
    <n v="4010123456783"/>
    <x v="6"/>
    <s v="Starostlivosť a hygiena – Mačky"/>
    <s v="BellaMeow"/>
    <n v="14"/>
    <n v="1"/>
    <s v="5"/>
    <s v="Nezanechává prach, skvelá kvalita."/>
    <d v="2025-07-31T00:00:00"/>
    <n v="0"/>
    <n v="14"/>
    <x v="2"/>
    <x v="6"/>
    <x v="1"/>
  </r>
  <r>
    <x v="327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74"/>
    <n v="4017890123450"/>
    <x v="16"/>
    <s v="Hračky – Psy"/>
    <s v="Dogissimo"/>
    <n v="7.6"/>
    <n v="1"/>
    <s v="4"/>
    <s v="Dobrá zábava pre psa aj páníčka."/>
    <d v="2025-07-31T00:00:00"/>
    <n v="0"/>
    <n v="7.6"/>
    <x v="1"/>
    <x v="6"/>
    <x v="0"/>
  </r>
  <r>
    <x v="327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76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27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78"/>
    <n v="4013456789017"/>
    <x v="0"/>
    <s v="Krmivo a maškrty – Psy"/>
    <s v="Snouty"/>
    <n v="6"/>
    <n v="1"/>
    <s v="5"/>
    <s v="Pes reaguje okamžite, chutnají mu."/>
    <d v="2025-07-31T00:00:00"/>
    <n v="0"/>
    <n v="6"/>
    <x v="2"/>
    <x v="6"/>
    <x v="0"/>
  </r>
  <r>
    <x v="327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80"/>
    <n v="4017890123450"/>
    <x v="16"/>
    <s v="Hračky – Psy"/>
    <s v="Dogissimo"/>
    <n v="7.6"/>
    <n v="1"/>
    <s v="4"/>
    <s v="Obľúbená hračka, zatiaľ drží."/>
    <d v="2025-07-31T00:00:00"/>
    <n v="0"/>
    <n v="7.6"/>
    <x v="1"/>
    <x v="6"/>
    <x v="0"/>
  </r>
  <r>
    <x v="3281"/>
    <n v="4010123456783"/>
    <x v="6"/>
    <s v="Starostlivosť a hygiena – Mačky"/>
    <s v="BellaMeow"/>
    <n v="14"/>
    <n v="1"/>
    <s v="5"/>
    <s v="Vysoká kvalita, bezprašné."/>
    <d v="2025-07-31T00:00:00"/>
    <n v="0"/>
    <n v="14"/>
    <x v="2"/>
    <x v="6"/>
    <x v="1"/>
  </r>
  <r>
    <x v="328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83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284"/>
    <n v="4013456789017"/>
    <x v="0"/>
    <s v="Krmivo a maškrty – Psy"/>
    <s v="Snouty"/>
    <n v="6"/>
    <n v="1"/>
    <s v="4"/>
    <s v="Pes sa môže pretrhnúť, ako mu chutnají."/>
    <d v="2025-07-31T00:00:00"/>
    <n v="0"/>
    <n v="6"/>
    <x v="1"/>
    <x v="6"/>
    <x v="0"/>
  </r>
  <r>
    <x v="328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86"/>
    <n v="4027788990013"/>
    <x v="9"/>
    <s v="Starostlivosť a hygiena – Psy"/>
    <s v="Dogissimo"/>
    <n v="8"/>
    <n v="1"/>
    <s v="5"/>
    <s v="Hezky čistí, krásne vonia."/>
    <d v="2025-07-31T00:00:00"/>
    <n v="0"/>
    <n v="8"/>
    <x v="2"/>
    <x v="6"/>
    <x v="0"/>
  </r>
  <r>
    <x v="3287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88"/>
    <n v="8599988776654"/>
    <x v="56"/>
    <s v="Pelechy a nábytok – Psy"/>
    <s v="Pup Republic"/>
    <n v="16.8"/>
    <n v="2"/>
    <s v="5"/>
    <s v="Chladí aj po hodinách, ideálne do horúčavy."/>
    <d v="2025-07-31T00:00:00"/>
    <n v="0"/>
    <n v="33.6"/>
    <x v="2"/>
    <x v="6"/>
    <x v="0"/>
  </r>
  <r>
    <x v="3289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29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91"/>
    <n v="4017890123450"/>
    <x v="16"/>
    <s v="Hračky – Psy"/>
    <s v="Dogissimo"/>
    <n v="7.6"/>
    <n v="1"/>
    <s v="5"/>
    <s v="Pes ju ťahá aj na procházky."/>
    <d v="2025-07-31T00:00:00"/>
    <n v="0"/>
    <n v="7.6"/>
    <x v="2"/>
    <x v="6"/>
    <x v="0"/>
  </r>
  <r>
    <x v="3292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293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29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95"/>
    <n v="4013456789017"/>
    <x v="0"/>
    <s v="Krmivo a maškrty – Psy"/>
    <s v="Snouty"/>
    <n v="6"/>
    <n v="1"/>
    <s v="4"/>
    <s v="Pes reaguje rýchlejšie pri výcviku."/>
    <d v="2025-07-31T00:00:00"/>
    <n v="0"/>
    <n v="6"/>
    <x v="1"/>
    <x v="6"/>
    <x v="0"/>
  </r>
  <r>
    <x v="329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297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298"/>
    <n v="4028899001126"/>
    <x v="1"/>
    <s v="Krmivo a maškrty – Psy"/>
    <s v="Pup Republic"/>
    <n v="2.8"/>
    <n v="3"/>
    <s v="5"/>
    <s v="Pes spokojný, voňavá konzerva."/>
    <d v="2025-07-31T00:00:00"/>
    <n v="0"/>
    <n v="8.3999999999999986"/>
    <x v="2"/>
    <x v="6"/>
    <x v="0"/>
  </r>
  <r>
    <x v="329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00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301"/>
    <n v="8599988776654"/>
    <x v="56"/>
    <s v="Pelechy a nábytok – Psy"/>
    <s v="Pup Republic"/>
    <n v="16.8"/>
    <n v="2"/>
    <s v="4"/>
    <s v="Pes sa na nej chladí po procházkách."/>
    <d v="2025-07-31T00:00:00"/>
    <n v="0"/>
    <n v="33.6"/>
    <x v="1"/>
    <x v="6"/>
    <x v="0"/>
  </r>
  <r>
    <x v="3302"/>
    <n v="4021234567894"/>
    <x v="18"/>
    <s v="Starostlivosť a hygiena – Mačky"/>
    <s v="PawStyle"/>
    <n v="8"/>
    <n v="1"/>
    <s v="5"/>
    <s v="Účinný a príjemne vonia."/>
    <d v="2025-07-31T00:00:00"/>
    <n v="0"/>
    <n v="8"/>
    <x v="2"/>
    <x v="6"/>
    <x v="1"/>
  </r>
  <r>
    <x v="330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04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0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06"/>
    <n v="4010123456783"/>
    <x v="6"/>
    <s v="Starostlivosť a hygiena – Mačky"/>
    <s v="BellaMeow"/>
    <n v="14"/>
    <n v="1"/>
    <s v="5"/>
    <s v="Skvelá absorpce, používam roky."/>
    <d v="2025-07-31T00:00:00"/>
    <n v="0"/>
    <n v="14"/>
    <x v="2"/>
    <x v="6"/>
    <x v="1"/>
  </r>
  <r>
    <x v="330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08"/>
    <n v="4013456789017"/>
    <x v="0"/>
    <s v="Krmivo a maškrty – Psy"/>
    <s v="Snouty"/>
    <n v="6"/>
    <n v="1"/>
    <s v="4"/>
    <s v="Pes sa môže zblázniť od radosti."/>
    <d v="2025-07-31T00:00:00"/>
    <n v="0"/>
    <n v="6"/>
    <x v="1"/>
    <x v="6"/>
    <x v="0"/>
  </r>
  <r>
    <x v="330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10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31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12"/>
    <n v="4063456789014"/>
    <x v="15"/>
    <s v="Krmivo a maškrty – Psy"/>
    <s v="Pupco"/>
    <n v="36"/>
    <n v="1"/>
    <s v="5"/>
    <s v="Vynikající krmivo, pes prospieva."/>
    <d v="2025-07-31T00:00:00"/>
    <n v="0"/>
    <n v="36"/>
    <x v="2"/>
    <x v="6"/>
    <x v="0"/>
  </r>
  <r>
    <x v="3313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14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315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16"/>
    <n v="8599988776654"/>
    <x v="56"/>
    <s v="Pelechy a nábytok – Psy"/>
    <s v="Pup Republic"/>
    <n v="16.8"/>
    <n v="1"/>
    <s v="5"/>
    <s v="Výborne chladí, spokojenost."/>
    <d v="2025-07-31T00:00:00"/>
    <n v="0"/>
    <n v="16.8"/>
    <x v="2"/>
    <x v="6"/>
    <x v="0"/>
  </r>
  <r>
    <x v="3317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18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19"/>
    <n v="4013456789017"/>
    <x v="0"/>
    <s v="Krmivo a maškrty – Psy"/>
    <s v="Snouty"/>
    <n v="6"/>
    <n v="1"/>
    <s v="4"/>
    <s v="Pes sa učí rýchlejšie, chutnají mu."/>
    <d v="2025-07-31T00:00:00"/>
    <n v="0"/>
    <n v="6"/>
    <x v="1"/>
    <x v="6"/>
    <x v="0"/>
  </r>
  <r>
    <x v="332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21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22"/>
    <n v="4056789012345"/>
    <x v="11"/>
    <s v="Krmivo a maškrty – Mačky"/>
    <s v="BellaMeow"/>
    <n v="2.4"/>
    <n v="2"/>
    <s v="5"/>
    <s v="Mačka ju miluje, miska prázdna."/>
    <d v="2025-07-31T00:00:00"/>
    <n v="0"/>
    <n v="4.8"/>
    <x v="2"/>
    <x v="6"/>
    <x v="1"/>
  </r>
  <r>
    <x v="332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24"/>
    <n v="4027788990013"/>
    <x v="9"/>
    <s v="Starostlivosť a hygiena – Psy"/>
    <s v="Dogissimo"/>
    <n v="8"/>
    <n v="1"/>
    <s v="4"/>
    <s v="Hezká vôňa, pekná srsť po použití."/>
    <d v="2025-07-31T00:00:00"/>
    <n v="0"/>
    <n v="8"/>
    <x v="1"/>
    <x v="6"/>
    <x v="0"/>
  </r>
  <r>
    <x v="332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26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2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28"/>
    <n v="4010123456783"/>
    <x v="6"/>
    <s v="Starostlivosť a hygiena – Mačky"/>
    <s v="BellaMeow"/>
    <n v="14"/>
    <n v="1"/>
    <s v="5"/>
    <s v="Dlouhá výdrž, bez zápachu."/>
    <d v="2025-07-31T00:00:00"/>
    <n v="0"/>
    <n v="14"/>
    <x v="2"/>
    <x v="6"/>
    <x v="1"/>
  </r>
  <r>
    <x v="332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30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331"/>
    <n v="8599988776654"/>
    <x v="56"/>
    <s v="Pelechy a nábytok – Psy"/>
    <s v="Pup Republic"/>
    <n v="16.8"/>
    <n v="1"/>
    <s v="5"/>
    <s v="Pes ju využívá aj na spaní."/>
    <d v="2025-07-31T00:00:00"/>
    <n v="0"/>
    <n v="16.8"/>
    <x v="2"/>
    <x v="6"/>
    <x v="0"/>
  </r>
  <r>
    <x v="3332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33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34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35"/>
    <n v="4063456789014"/>
    <x v="15"/>
    <s v="Krmivo a maškrty – Psy"/>
    <s v="Pupco"/>
    <n v="36"/>
    <n v="1"/>
    <s v="5"/>
    <s v="Pes prospieva, krásna srsť."/>
    <d v="2025-07-31T00:00:00"/>
    <n v="0"/>
    <n v="36"/>
    <x v="2"/>
    <x v="6"/>
    <x v="0"/>
  </r>
  <r>
    <x v="3336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37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33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39"/>
    <n v="4056789012345"/>
    <x v="11"/>
    <s v="Krmivo a maškrty – Mačky"/>
    <s v="BellaMeow"/>
    <n v="2.4"/>
    <n v="2"/>
    <s v="4"/>
    <s v="Mačka ju je pravidelne."/>
    <d v="2025-07-31T00:00:00"/>
    <n v="0"/>
    <n v="4.8"/>
    <x v="1"/>
    <x v="6"/>
    <x v="1"/>
  </r>
  <r>
    <x v="334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41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342"/>
    <n v="8599988776654"/>
    <x v="56"/>
    <s v="Pelechy a nábytok – Psy"/>
    <s v="Pup Republic"/>
    <n v="16.8"/>
    <n v="2"/>
    <s v="5"/>
    <s v="Výborný produkt, funguje ako má."/>
    <d v="2025-07-31T00:00:00"/>
    <n v="0"/>
    <n v="33.6"/>
    <x v="2"/>
    <x v="6"/>
    <x v="0"/>
  </r>
  <r>
    <x v="334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4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45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46"/>
    <n v="4063456789014"/>
    <x v="15"/>
    <s v="Krmivo a maškrty – Psy"/>
    <s v="Pupco"/>
    <n v="36"/>
    <n v="1"/>
    <s v="5"/>
    <s v="Pes plný energie, super granuly."/>
    <d v="2025-07-31T00:00:00"/>
    <n v="0"/>
    <n v="36"/>
    <x v="2"/>
    <x v="6"/>
    <x v="0"/>
  </r>
  <r>
    <x v="334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48"/>
    <n v="4013456789017"/>
    <x v="0"/>
    <s v="Krmivo a maškrty – Psy"/>
    <s v="Snouty"/>
    <n v="6"/>
    <n v="1"/>
    <s v="4"/>
    <s v="Pes sa teší na každé cvičenie."/>
    <d v="2025-07-31T00:00:00"/>
    <n v="0"/>
    <n v="6"/>
    <x v="1"/>
    <x v="6"/>
    <x v="0"/>
  </r>
  <r>
    <x v="334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50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5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52"/>
    <n v="4056789012345"/>
    <x v="11"/>
    <s v="Krmivo a maškrty – Mačky"/>
    <s v="BellaMeow"/>
    <n v="2.4"/>
    <n v="2"/>
    <s v="5"/>
    <s v="Mačka sa môže utĺcť."/>
    <d v="2025-07-31T00:00:00"/>
    <n v="0"/>
    <n v="4.8"/>
    <x v="2"/>
    <x v="6"/>
    <x v="1"/>
  </r>
  <r>
    <x v="335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54"/>
    <n v="4028899001126"/>
    <x v="1"/>
    <s v="Krmivo a maškrty – Psy"/>
    <s v="Pup Republic"/>
    <n v="2.8"/>
    <n v="3"/>
    <s v="NULL"/>
    <s v=""/>
    <d v="2025-07-31T00:00:00"/>
    <n v="0"/>
    <n v="8.3999999999999986"/>
    <x v="0"/>
    <x v="6"/>
    <x v="0"/>
  </r>
  <r>
    <x v="3355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56"/>
    <n v="4013456789017"/>
    <x v="0"/>
    <s v="Krmivo a maškrty – Psy"/>
    <s v="Snouty"/>
    <n v="6"/>
    <n v="1"/>
    <s v="4"/>
    <s v="Pes sa je žiada každý deň."/>
    <d v="2025-07-31T00:00:00"/>
    <n v="0"/>
    <n v="6"/>
    <x v="1"/>
    <x v="6"/>
    <x v="0"/>
  </r>
  <r>
    <x v="335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58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59"/>
    <n v="4063456789014"/>
    <x v="15"/>
    <s v="Krmivo a maškrty – Psy"/>
    <s v="Pupco"/>
    <n v="36"/>
    <n v="1"/>
    <s v="5"/>
    <s v="Pes má krásnou srsť, chutí mu."/>
    <d v="2025-07-31T00:00:00"/>
    <n v="0"/>
    <n v="36"/>
    <x v="2"/>
    <x v="6"/>
    <x v="0"/>
  </r>
  <r>
    <x v="336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61"/>
    <n v="4027788990013"/>
    <x v="9"/>
    <s v="Starostlivosť a hygiena – Psy"/>
    <s v="Dogissimo"/>
    <n v="8"/>
    <n v="1"/>
    <s v="4"/>
    <s v="Vonia skvelo a dobre pení."/>
    <d v="2025-07-31T00:00:00"/>
    <n v="0"/>
    <n v="8"/>
    <x v="1"/>
    <x v="6"/>
    <x v="0"/>
  </r>
  <r>
    <x v="336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63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64"/>
    <n v="8599988776654"/>
    <x v="56"/>
    <s v="Pelechy a nábytok – Psy"/>
    <s v="Pup Republic"/>
    <n v="16.8"/>
    <n v="2"/>
    <s v="5"/>
    <s v="Skvelý produkt, pes sa na nej chladí celý deň."/>
    <d v="2025-07-31T00:00:00"/>
    <n v="0"/>
    <n v="33.6"/>
    <x v="2"/>
    <x v="6"/>
    <x v="0"/>
  </r>
  <r>
    <x v="3365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36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67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68"/>
    <n v="4063456789014"/>
    <x v="15"/>
    <s v="Krmivo a maškrty – Psy"/>
    <s v="Pupco"/>
    <n v="36"/>
    <n v="1"/>
    <s v="4"/>
    <s v="Dobré krmivo, pes má viac energie."/>
    <d v="2025-07-31T00:00:00"/>
    <n v="0"/>
    <n v="36"/>
    <x v="1"/>
    <x v="6"/>
    <x v="0"/>
  </r>
  <r>
    <x v="3369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70"/>
    <n v="4028899001126"/>
    <x v="1"/>
    <s v="Krmivo a maškrty – Psy"/>
    <s v="Pup Republic"/>
    <n v="2.8"/>
    <n v="2"/>
    <s v="NULL"/>
    <s v=""/>
    <d v="2025-07-31T00:00:00"/>
    <n v="0"/>
    <n v="5.6"/>
    <x v="0"/>
    <x v="6"/>
    <x v="0"/>
  </r>
  <r>
    <x v="3371"/>
    <n v="8599988776654"/>
    <x v="56"/>
    <s v="Pelechy a nábytok – Psy"/>
    <s v="Pup Republic"/>
    <n v="16.8"/>
    <n v="2"/>
    <s v="5"/>
    <s v="Pes spokojný, ideálne do horúčavy."/>
    <d v="2025-07-31T00:00:00"/>
    <n v="0"/>
    <n v="33.6"/>
    <x v="2"/>
    <x v="6"/>
    <x v="0"/>
  </r>
  <r>
    <x v="3372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37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74"/>
    <n v="4056789012345"/>
    <x v="11"/>
    <s v="Krmivo a maškrty – Mačky"/>
    <s v="BellaMeow"/>
    <n v="2.4"/>
    <n v="2"/>
    <s v="NULL"/>
    <s v=""/>
    <d v="2025-07-31T00:00:00"/>
    <n v="0"/>
    <n v="4.8"/>
    <x v="0"/>
    <x v="6"/>
    <x v="1"/>
  </r>
  <r>
    <x v="3375"/>
    <n v="8599988776654"/>
    <x v="56"/>
    <s v="Pelechy a nábytok – Psy"/>
    <s v="Pup Republic"/>
    <n v="16.8"/>
    <n v="1"/>
    <s v="5"/>
    <s v="Výborný materiál, ľahko sa čistí."/>
    <d v="2025-07-31T00:00:00"/>
    <n v="0"/>
    <n v="16.8"/>
    <x v="2"/>
    <x v="6"/>
    <x v="0"/>
  </r>
  <r>
    <x v="3376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37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78"/>
    <n v="4010123456783"/>
    <x v="6"/>
    <s v="Starostlivosť a hygiena – Mačky"/>
    <s v="BellaMeow"/>
    <n v="14"/>
    <n v="1"/>
    <s v="5"/>
    <s v="Nevoní, nepráší, skvelé podstielka."/>
    <d v="2025-07-31T00:00:00"/>
    <n v="0"/>
    <n v="14"/>
    <x v="2"/>
    <x v="6"/>
    <x v="1"/>
  </r>
  <r>
    <x v="3379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80"/>
    <n v="4063456789014"/>
    <x v="15"/>
    <s v="Krmivo a maškrty – Psy"/>
    <s v="Pupco"/>
    <n v="36"/>
    <n v="1"/>
    <s v="4"/>
    <s v="Kvalitné zloženie, pes sa teší na jedlo."/>
    <d v="2025-07-31T00:00:00"/>
    <n v="0"/>
    <n v="36"/>
    <x v="1"/>
    <x v="6"/>
    <x v="0"/>
  </r>
  <r>
    <x v="3381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82"/>
    <n v="4027788990013"/>
    <x v="9"/>
    <s v="Starostlivosť a hygiena – Psy"/>
    <s v="Dogissimo"/>
    <n v="8"/>
    <n v="1"/>
    <s v="NULL"/>
    <s v=""/>
    <d v="2025-07-31T00:00:00"/>
    <n v="0"/>
    <n v="8"/>
    <x v="0"/>
    <x v="6"/>
    <x v="0"/>
  </r>
  <r>
    <x v="3383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84"/>
    <n v="4017890123450"/>
    <x v="16"/>
    <s v="Hračky – Psy"/>
    <s v="Dogissimo"/>
    <n v="7.6"/>
    <n v="1"/>
    <s v="4"/>
    <s v="Vydrží aj silné čelisti."/>
    <d v="2025-07-31T00:00:00"/>
    <n v="0"/>
    <n v="7.6"/>
    <x v="1"/>
    <x v="6"/>
    <x v="0"/>
  </r>
  <r>
    <x v="3385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86"/>
    <n v="4013456789017"/>
    <x v="0"/>
    <s v="Krmivo a maškrty – Psy"/>
    <s v="Snouty"/>
    <n v="6"/>
    <n v="1"/>
    <s v="5"/>
    <s v="Pes plní povely s radostí."/>
    <d v="2025-07-31T00:00:00"/>
    <n v="0"/>
    <n v="6"/>
    <x v="2"/>
    <x v="6"/>
    <x v="0"/>
  </r>
  <r>
    <x v="3387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88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389"/>
    <n v="4028899001126"/>
    <x v="1"/>
    <s v="Krmivo a maškrty – Psy"/>
    <s v="Pup Republic"/>
    <n v="2.8"/>
    <n v="3"/>
    <s v="4"/>
    <s v="Pesovaj chutí, občas prázdna miska skôr ako čekám."/>
    <d v="2025-07-31T00:00:00"/>
    <n v="0"/>
    <n v="8.3999999999999986"/>
    <x v="1"/>
    <x v="6"/>
    <x v="0"/>
  </r>
  <r>
    <x v="3390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91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392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93"/>
    <n v="4017890123450"/>
    <x v="16"/>
    <s v="Hračky – Psy"/>
    <s v="Dogissimo"/>
    <n v="7.6"/>
    <n v="1"/>
    <s v="5"/>
    <s v="Najobľúbenejšie hračka mého psa."/>
    <d v="2025-07-31T00:00:00"/>
    <n v="0"/>
    <n v="7.6"/>
    <x v="2"/>
    <x v="6"/>
    <x v="0"/>
  </r>
  <r>
    <x v="339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95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396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397"/>
    <n v="4010123456783"/>
    <x v="6"/>
    <s v="Starostlivosť a hygiena – Mačky"/>
    <s v="BellaMeow"/>
    <n v="14"/>
    <n v="1"/>
    <s v="5"/>
    <s v="Mačka spokojná, podstielka vydrží dlho."/>
    <d v="2025-07-31T00:00:00"/>
    <n v="0"/>
    <n v="14"/>
    <x v="2"/>
    <x v="6"/>
    <x v="1"/>
  </r>
  <r>
    <x v="3398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399"/>
    <n v="4027788990013"/>
    <x v="9"/>
    <s v="Starostlivosť a hygiena – Psy"/>
    <s v="Dogissimo"/>
    <n v="8"/>
    <n v="1"/>
    <s v="4"/>
    <s v="Dobre pení, pekne čistí srsť."/>
    <d v="2025-07-31T00:00:00"/>
    <n v="0"/>
    <n v="8"/>
    <x v="1"/>
    <x v="6"/>
    <x v="0"/>
  </r>
  <r>
    <x v="3400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401"/>
    <n v="4063456789014"/>
    <x v="15"/>
    <s v="Krmivo a maškrty – Psy"/>
    <s v="Pupco"/>
    <n v="36"/>
    <n v="1"/>
    <s v="NULL"/>
    <s v=""/>
    <d v="2025-07-31T00:00:00"/>
    <n v="0"/>
    <n v="36"/>
    <x v="0"/>
    <x v="6"/>
    <x v="0"/>
  </r>
  <r>
    <x v="3402"/>
    <n v="8599988776654"/>
    <x v="56"/>
    <s v="Pelechy a nábytok – Psy"/>
    <s v="Pup Republic"/>
    <n v="16.8"/>
    <n v="2"/>
    <s v="5"/>
    <s v="Pes sa na nej rozvaľuje celý deň, výborný produkt."/>
    <d v="2025-07-31T00:00:00"/>
    <n v="0"/>
    <n v="33.6"/>
    <x v="2"/>
    <x v="6"/>
    <x v="0"/>
  </r>
  <r>
    <x v="3403"/>
    <n v="4021234567894"/>
    <x v="18"/>
    <s v="Starostlivosť a hygiena – Mačky"/>
    <s v="PawStyle"/>
    <n v="8"/>
    <n v="1"/>
    <s v="NULL"/>
    <s v=""/>
    <d v="2025-07-31T00:00:00"/>
    <n v="0"/>
    <n v="8"/>
    <x v="0"/>
    <x v="6"/>
    <x v="1"/>
  </r>
  <r>
    <x v="3404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405"/>
    <n v="4017890123450"/>
    <x v="16"/>
    <s v="Hračky – Psy"/>
    <s v="Dogissimo"/>
    <n v="7.6"/>
    <n v="1"/>
    <s v="NULL"/>
    <s v=""/>
    <d v="2025-07-31T00:00:00"/>
    <n v="0"/>
    <n v="7.6"/>
    <x v="0"/>
    <x v="6"/>
    <x v="0"/>
  </r>
  <r>
    <x v="3406"/>
    <n v="8599988776654"/>
    <x v="56"/>
    <s v="Pelechy a nábytok – Psy"/>
    <s v="Pup Republic"/>
    <n v="16.8"/>
    <n v="1"/>
    <s v="5"/>
    <s v="Pes sa z nej nehýbe, naprostá spokojenost."/>
    <d v="2025-07-31T00:00:00"/>
    <n v="0"/>
    <n v="16.8"/>
    <x v="2"/>
    <x v="6"/>
    <x v="0"/>
  </r>
  <r>
    <x v="3407"/>
    <n v="4013456789017"/>
    <x v="0"/>
    <s v="Krmivo a maškrty – Psy"/>
    <s v="Snouty"/>
    <n v="6"/>
    <n v="1"/>
    <s v="NULL"/>
    <s v=""/>
    <d v="2025-07-31T00:00:00"/>
    <n v="0"/>
    <n v="6"/>
    <x v="0"/>
    <x v="6"/>
    <x v="0"/>
  </r>
  <r>
    <x v="3408"/>
    <n v="8599988776654"/>
    <x v="56"/>
    <s v="Pelechy a nábytok – Psy"/>
    <s v="Pup Republic"/>
    <n v="16.8"/>
    <n v="1"/>
    <s v="NULL"/>
    <s v=""/>
    <d v="2025-07-31T00:00:00"/>
    <n v="0"/>
    <n v="16.8"/>
    <x v="0"/>
    <x v="6"/>
    <x v="0"/>
  </r>
  <r>
    <x v="3409"/>
    <n v="4010123456783"/>
    <x v="6"/>
    <s v="Starostlivosť a hygiena – Mačky"/>
    <s v="BellaMeow"/>
    <n v="14"/>
    <n v="1"/>
    <s v="NULL"/>
    <s v=""/>
    <d v="2025-07-31T00:00:00"/>
    <n v="0"/>
    <n v="14"/>
    <x v="0"/>
    <x v="6"/>
    <x v="1"/>
  </r>
  <r>
    <x v="3410"/>
    <n v="4063456789014"/>
    <x v="15"/>
    <s v="Krmivo a maškrty – Psy"/>
    <s v="Pupco"/>
    <n v="36"/>
    <n v="1"/>
    <s v="5"/>
    <s v="Kvalitné a chutné, odporúčam."/>
    <d v="2025-07-31T00:00:00"/>
    <n v="0"/>
    <n v="36"/>
    <x v="2"/>
    <x v="6"/>
    <x v="0"/>
  </r>
  <r>
    <x v="3411"/>
    <n v="8599988776654"/>
    <x v="56"/>
    <s v="Pelechy a nábytok – Psy"/>
    <s v="Pup Republic"/>
    <n v="16.8"/>
    <n v="2"/>
    <s v="NULL"/>
    <s v=""/>
    <d v="2025-07-31T00:00:00"/>
    <n v="0"/>
    <n v="33.6"/>
    <x v="0"/>
    <x v="6"/>
    <x v="0"/>
  </r>
  <r>
    <x v="3412"/>
    <n v="4028899001126"/>
    <x v="1"/>
    <s v="Krmivo a maškrty – Psy"/>
    <s v="Pup Republic"/>
    <n v="2.8"/>
    <n v="2"/>
    <s v="NULL"/>
    <s v=""/>
    <d v="2025-08-01T00:00:00"/>
    <n v="0"/>
    <n v="5.6"/>
    <x v="0"/>
    <x v="7"/>
    <x v="0"/>
  </r>
  <r>
    <x v="3413"/>
    <n v="4056789012345"/>
    <x v="11"/>
    <s v="Krmivo a maškrty – Mačky"/>
    <s v="BellaMeow"/>
    <n v="2.4"/>
    <n v="2"/>
    <s v="4"/>
    <s v="Mačka sa k misce vrací, chutí jí."/>
    <d v="2025-08-01T00:00:00"/>
    <n v="0"/>
    <n v="4.8"/>
    <x v="1"/>
    <x v="7"/>
    <x v="1"/>
  </r>
  <r>
    <x v="3414"/>
    <n v="4063456789014"/>
    <x v="15"/>
    <s v="Krmivo a maškrty – Psy"/>
    <s v="Pupco"/>
    <n v="36"/>
    <n v="1"/>
    <s v="NULL"/>
    <s v=""/>
    <d v="2025-08-01T00:00:00"/>
    <n v="0"/>
    <n v="36"/>
    <x v="0"/>
    <x v="7"/>
    <x v="0"/>
  </r>
  <r>
    <x v="3415"/>
    <n v="4010123456783"/>
    <x v="6"/>
    <s v="Starostlivosť a hygiena – Mačky"/>
    <s v="BellaMeow"/>
    <n v="14"/>
    <n v="1"/>
    <s v="5"/>
    <s v="Vydrží dlho a nezapáchá."/>
    <d v="2025-08-01T00:00:00"/>
    <n v="0"/>
    <n v="14"/>
    <x v="2"/>
    <x v="7"/>
    <x v="1"/>
  </r>
  <r>
    <x v="3416"/>
    <n v="8599988776654"/>
    <x v="56"/>
    <s v="Pelechy a nábytok – Psy"/>
    <s v="Pup Republic"/>
    <n v="28"/>
    <n v="1"/>
    <s v="NULL"/>
    <s v=""/>
    <d v="2025-08-01T00:00:00"/>
    <n v="0"/>
    <n v="28"/>
    <x v="0"/>
    <x v="7"/>
    <x v="0"/>
  </r>
  <r>
    <x v="3417"/>
    <n v="4013456789017"/>
    <x v="0"/>
    <s v="Krmivo a maškrty – Psy"/>
    <s v="Snouty"/>
    <n v="6"/>
    <n v="1"/>
    <s v="NULL"/>
    <s v=""/>
    <d v="2025-08-01T00:00:00"/>
    <n v="0"/>
    <n v="6"/>
    <x v="0"/>
    <x v="7"/>
    <x v="0"/>
  </r>
  <r>
    <x v="3418"/>
    <n v="4001234567893"/>
    <x v="5"/>
    <s v="Krmivo a maškrty – Mačky"/>
    <s v="Mr. Whiskers"/>
    <n v="9.1999999999999993"/>
    <n v="1"/>
    <s v="NULL"/>
    <s v=""/>
    <d v="2025-08-01T00:00:00"/>
    <n v="0"/>
    <n v="9.1999999999999993"/>
    <x v="0"/>
    <x v="7"/>
    <x v="1"/>
  </r>
  <r>
    <x v="3419"/>
    <n v="4027788990013"/>
    <x v="9"/>
    <s v="Starostlivosť a hygiena – Psy"/>
    <s v="Dogissimo"/>
    <n v="8"/>
    <n v="1"/>
    <s v="4"/>
    <s v="Príjemná vôňa, jednoduché mytí."/>
    <d v="2025-08-01T00:00:00"/>
    <n v="0"/>
    <n v="8"/>
    <x v="1"/>
    <x v="7"/>
    <x v="0"/>
  </r>
  <r>
    <x v="3420"/>
    <n v="4043344556676"/>
    <x v="36"/>
    <s v="Misky a kŕmne doplnky – Mačky"/>
    <s v="Pawtastic"/>
    <n v="10"/>
    <n v="1"/>
    <s v="NULL"/>
    <s v=""/>
    <d v="2025-08-01T00:00:00"/>
    <n v="0"/>
    <n v="10"/>
    <x v="0"/>
    <x v="7"/>
    <x v="1"/>
  </r>
  <r>
    <x v="3421"/>
    <n v="4017890123450"/>
    <x v="16"/>
    <s v="Hračky – Psy"/>
    <s v="Dogissimo"/>
    <n v="7.6"/>
    <n v="1"/>
    <s v="NULL"/>
    <s v=""/>
    <d v="2025-08-01T00:00:00"/>
    <n v="0"/>
    <n v="7.6"/>
    <x v="0"/>
    <x v="7"/>
    <x v="0"/>
  </r>
  <r>
    <x v="3422"/>
    <n v="4021234567894"/>
    <x v="18"/>
    <s v="Starostlivosť a hygiena – Mačky"/>
    <s v="PawStyle"/>
    <n v="8"/>
    <n v="1"/>
    <s v="NULL"/>
    <s v=""/>
    <d v="2025-08-01T00:00:00"/>
    <n v="0"/>
    <n v="8"/>
    <x v="0"/>
    <x v="7"/>
    <x v="1"/>
  </r>
  <r>
    <x v="3423"/>
    <n v="4010123456783"/>
    <x v="6"/>
    <s v="Starostlivosť a hygiena – Mačky"/>
    <s v="BellaMeow"/>
    <n v="14"/>
    <n v="2"/>
    <s v="NULL"/>
    <s v=""/>
    <d v="2025-08-01T00:00:00"/>
    <n v="0"/>
    <n v="28"/>
    <x v="0"/>
    <x v="7"/>
    <x v="1"/>
  </r>
  <r>
    <x v="3423"/>
    <n v="4056789012345"/>
    <x v="11"/>
    <s v="Krmivo a maškrty – Mačky"/>
    <s v="BellaMeow"/>
    <n v="2.4"/>
    <n v="2"/>
    <s v="NULL"/>
    <s v=""/>
    <d v="2025-08-01T00:00:00"/>
    <n v="0"/>
    <n v="4.8"/>
    <x v="0"/>
    <x v="7"/>
    <x v="1"/>
  </r>
  <r>
    <x v="3424"/>
    <n v="4028899001126"/>
    <x v="1"/>
    <s v="Krmivo a maškrty – Psy"/>
    <s v="Pup Republic"/>
    <n v="2.8"/>
    <n v="3"/>
    <s v="4"/>
    <s v="Pes misku vylíže dočista."/>
    <d v="2025-08-01T00:00:00"/>
    <n v="0"/>
    <n v="8.3999999999999986"/>
    <x v="1"/>
    <x v="7"/>
    <x v="0"/>
  </r>
  <r>
    <x v="3425"/>
    <n v="4061011223346"/>
    <x v="3"/>
    <s v="Oblečenie a doplnky – Psy"/>
    <s v="Tail Trend"/>
    <n v="19.600000000000001"/>
    <n v="1"/>
    <s v="NULL"/>
    <s v=""/>
    <d v="2025-08-01T00:00:00"/>
    <n v="0"/>
    <n v="19.600000000000001"/>
    <x v="0"/>
    <x v="7"/>
    <x v="0"/>
  </r>
  <r>
    <x v="3426"/>
    <n v="4013456789017"/>
    <x v="0"/>
    <s v="Krmivo a maškrty – Psy"/>
    <s v="Snouty"/>
    <n v="6"/>
    <n v="2"/>
    <s v="NULL"/>
    <s v=""/>
    <d v="2025-08-01T00:00:00"/>
    <n v="0"/>
    <n v="12"/>
    <x v="0"/>
    <x v="7"/>
    <x v="0"/>
  </r>
  <r>
    <x v="3427"/>
    <n v="4009012345672"/>
    <x v="10"/>
    <s v="Starostlivosť a hygiena – Mačky"/>
    <s v="Mr. Whiskers"/>
    <n v="11.2"/>
    <n v="1"/>
    <s v="5"/>
    <s v="Dobre hrudkuje, minimální prach."/>
    <d v="2025-08-01T00:00:00"/>
    <n v="0"/>
    <n v="11.2"/>
    <x v="2"/>
    <x v="7"/>
    <x v="1"/>
  </r>
  <r>
    <x v="3428"/>
    <n v="4063456789014"/>
    <x v="15"/>
    <s v="Krmivo a maškrty – Psy"/>
    <s v="Pupco"/>
    <n v="36"/>
    <n v="1"/>
    <s v="NULL"/>
    <s v=""/>
    <d v="2025-08-01T00:00:00"/>
    <n v="0"/>
    <n v="36"/>
    <x v="0"/>
    <x v="7"/>
    <x v="0"/>
  </r>
  <r>
    <x v="3429"/>
    <n v="4040123456795"/>
    <x v="2"/>
    <s v="Starostlivosť a hygiena – Psy"/>
    <s v="Dogissimo"/>
    <n v="8.8000000000000007"/>
    <n v="1"/>
    <s v="4"/>
    <s v="Šetrný k citlivé koži."/>
    <d v="2025-08-01T00:00:00"/>
    <n v="0"/>
    <n v="8.8000000000000007"/>
    <x v="1"/>
    <x v="7"/>
    <x v="0"/>
  </r>
  <r>
    <x v="3430"/>
    <n v="8596677889011"/>
    <x v="37"/>
    <s v="Krmivo a maškrty – Mačky"/>
    <s v="Catissime"/>
    <n v="35.200000000000003"/>
    <n v="1"/>
    <s v="NULL"/>
    <s v=""/>
    <d v="2025-08-01T00:00:00"/>
    <n v="0"/>
    <n v="35.200000000000003"/>
    <x v="0"/>
    <x v="7"/>
    <x v="1"/>
  </r>
  <r>
    <x v="3431"/>
    <n v="4042233445567"/>
    <x v="57"/>
    <s v="Pelechy a nábytok – Mačky"/>
    <s v="CozyNest"/>
    <n v="51.64"/>
    <n v="1"/>
    <s v="NULL"/>
    <s v=""/>
    <d v="2025-08-01T00:00:00"/>
    <n v="0"/>
    <n v="51.64"/>
    <x v="0"/>
    <x v="7"/>
    <x v="1"/>
  </r>
  <r>
    <x v="3432"/>
    <n v="5903344556670"/>
    <x v="58"/>
    <s v="Pelechy a nábytok – Mačky"/>
    <s v="Catissime"/>
    <n v="75.64"/>
    <n v="1"/>
    <s v="5"/>
    <s v="Stabilní, mačka ho miluje."/>
    <d v="2025-08-01T00:00:00"/>
    <n v="0"/>
    <n v="75.64"/>
    <x v="2"/>
    <x v="7"/>
    <x v="1"/>
  </r>
  <r>
    <x v="3433"/>
    <n v="4026677889902"/>
    <x v="12"/>
    <s v="Misky a kŕmne doplnky – Ostatné"/>
    <s v="Pawsitive Gear"/>
    <n v="7.6"/>
    <n v="1"/>
    <s v="NULL"/>
    <s v=""/>
    <d v="2025-08-01T00:00:00"/>
    <n v="0"/>
    <n v="7.6"/>
    <x v="0"/>
    <x v="7"/>
    <x v="2"/>
  </r>
  <r>
    <x v="3434"/>
    <n v="8597788990023"/>
    <x v="45"/>
    <s v="Krmivo a maškrty – Králiky"/>
    <s v="Pawsitive Gear"/>
    <n v="6.4"/>
    <n v="1"/>
    <s v="NULL"/>
    <s v=""/>
    <d v="2025-08-01T00:00:00"/>
    <n v="0"/>
    <n v="6.4"/>
    <x v="0"/>
    <x v="7"/>
    <x v="2"/>
  </r>
  <r>
    <x v="3435"/>
    <n v="4004455667780"/>
    <x v="59"/>
    <s v="Misky a kŕmne doplnky – Psy"/>
    <s v="Canine Craft Industries"/>
    <n v="14"/>
    <n v="1"/>
    <s v="4"/>
    <s v="Pevná miska, nešmýka sa."/>
    <d v="2025-08-01T00:00:00"/>
    <n v="0"/>
    <n v="14"/>
    <x v="1"/>
    <x v="7"/>
    <x v="0"/>
  </r>
  <r>
    <x v="3436"/>
    <n v="4017890123450"/>
    <x v="16"/>
    <s v="Hračky – Psy"/>
    <s v="Dogissimo"/>
    <n v="7.6"/>
    <n v="2"/>
    <s v="NULL"/>
    <s v=""/>
    <d v="2025-08-01T00:00:00"/>
    <n v="0"/>
    <n v="15.2"/>
    <x v="0"/>
    <x v="7"/>
    <x v="0"/>
  </r>
  <r>
    <x v="3436"/>
    <n v="4028899001126"/>
    <x v="1"/>
    <s v="Krmivo a maškrty – Psy"/>
    <s v="Pup Republic"/>
    <n v="2.8"/>
    <n v="2"/>
    <s v="NULL"/>
    <s v=""/>
    <d v="2025-08-01T00:00:00"/>
    <n v="0"/>
    <n v="5.6"/>
    <x v="0"/>
    <x v="7"/>
    <x v="0"/>
  </r>
  <r>
    <x v="3437"/>
    <n v="4046789012356"/>
    <x v="30"/>
    <s v="Hračky – Psy"/>
    <s v="Pupco"/>
    <n v="6.4"/>
    <n v="1"/>
    <s v="NULL"/>
    <s v=""/>
    <d v="2025-08-01T00:00:00"/>
    <n v="0"/>
    <n v="6.4"/>
    <x v="0"/>
    <x v="7"/>
    <x v="0"/>
  </r>
  <r>
    <x v="3438"/>
    <n v="4047890123460"/>
    <x v="40"/>
    <s v="Oblečenie a doplnky – Mačky"/>
    <s v="Pawtastic"/>
    <n v="10"/>
    <n v="1"/>
    <s v="3"/>
    <s v="Ľahké, ale šmýka sa v ruky."/>
    <d v="2025-08-01T00:00:00"/>
    <n v="0"/>
    <n v="10"/>
    <x v="3"/>
    <x v="7"/>
    <x v="1"/>
  </r>
  <r>
    <x v="3439"/>
    <n v="4010123456783"/>
    <x v="6"/>
    <s v="Starostlivosť a hygiena – Mačky"/>
    <s v="BellaMeow"/>
    <n v="14"/>
    <n v="1"/>
    <s v="NULL"/>
    <s v=""/>
    <d v="2025-08-01T00:00:00"/>
    <n v="0"/>
    <n v="14"/>
    <x v="0"/>
    <x v="7"/>
    <x v="1"/>
  </r>
  <r>
    <x v="3440"/>
    <n v="8591234567812"/>
    <x v="35"/>
    <s v="Krmivo a maškrty – Mačky"/>
    <s v="Catissime"/>
    <n v="33.200000000000003"/>
    <n v="1"/>
    <s v="NULL"/>
    <s v=""/>
    <d v="2025-08-02T00:00:00"/>
    <n v="0"/>
    <n v="33.200000000000003"/>
    <x v="0"/>
    <x v="7"/>
    <x v="1"/>
  </r>
  <r>
    <x v="3441"/>
    <n v="4002233445566"/>
    <x v="28"/>
    <s v="Pelechy a nábytok – Mačky"/>
    <s v="Catissime"/>
    <n v="20"/>
    <n v="1"/>
    <s v="NULL"/>
    <s v=""/>
    <d v="2025-08-02T00:00:00"/>
    <n v="0"/>
    <n v="20"/>
    <x v="0"/>
    <x v="7"/>
    <x v="1"/>
  </r>
  <r>
    <x v="3442"/>
    <n v="4025566778891"/>
    <x v="38"/>
    <s v="Misky a kŕmne doplnky – Mačky"/>
    <s v="Catissime"/>
    <n v="51.64"/>
    <n v="1"/>
    <s v="5"/>
    <s v="Tichá a ľahko sa čistí."/>
    <d v="2025-08-02T00:00:00"/>
    <n v="0"/>
    <n v="51.64"/>
    <x v="2"/>
    <x v="7"/>
    <x v="1"/>
  </r>
  <r>
    <x v="3443"/>
    <n v="5904455667782"/>
    <x v="39"/>
    <s v="Misky a kŕmne doplnky – Mačky"/>
    <s v="Nordic Tail"/>
    <n v="51.64"/>
    <n v="1"/>
    <s v="NULL"/>
    <s v=""/>
    <d v="2025-08-02T00:00:00"/>
    <n v="0"/>
    <n v="51.64"/>
    <x v="0"/>
    <x v="7"/>
    <x v="1"/>
  </r>
  <r>
    <x v="3444"/>
    <n v="4000123456786"/>
    <x v="31"/>
    <s v="Starostlivosť a hygiena – Psy"/>
    <s v="Tail Trend"/>
    <n v="6.8"/>
    <n v="1"/>
    <s v="NULL"/>
    <s v=""/>
    <d v="2025-08-02T00:00:00"/>
    <n v="0"/>
    <n v="6.8"/>
    <x v="0"/>
    <x v="7"/>
    <x v="0"/>
  </r>
  <r>
    <x v="3445"/>
    <n v="4016677889902"/>
    <x v="41"/>
    <s v="Oblečenie a doplnky – Psy"/>
    <s v="Pup Republic"/>
    <n v="22"/>
    <n v="1"/>
    <s v="4"/>
    <s v="Sedí pekne, prodyšné."/>
    <d v="2025-08-02T00:00:00"/>
    <n v="0"/>
    <n v="22"/>
    <x v="1"/>
    <x v="7"/>
    <x v="0"/>
  </r>
  <r>
    <x v="3446"/>
    <n v="4059012345683"/>
    <x v="49"/>
    <s v="Oblečenie a doplnky – Psy"/>
    <s v="Tail Trend"/>
    <n v="20"/>
    <n v="1"/>
    <s v="2"/>
    <s v="Vráceno – strapká sa švy."/>
    <d v="2025-08-02T00:00:00"/>
    <n v="1"/>
    <n v="20"/>
    <x v="4"/>
    <x v="7"/>
    <x v="0"/>
  </r>
  <r>
    <x v="3447"/>
    <n v="5901122334452"/>
    <x v="60"/>
    <s v="Misky a kŕmne doplnky – Mačky"/>
    <s v="Urban paw"/>
    <n v="12"/>
    <n v="1"/>
    <s v="NULL"/>
    <s v=""/>
    <d v="2025-08-02T00:00:00"/>
    <n v="0"/>
    <n v="12"/>
    <x v="0"/>
    <x v="7"/>
    <x v="1"/>
  </r>
  <r>
    <x v="3448"/>
    <n v="4062345678917"/>
    <x v="61"/>
    <s v="Pelechy a nábytok – Mačky"/>
    <s v="PawStyle"/>
    <n v="59.64"/>
    <n v="1"/>
    <s v="NULL"/>
    <s v=""/>
    <d v="2025-08-02T00:00:00"/>
    <n v="0"/>
    <n v="59.64"/>
    <x v="0"/>
    <x v="7"/>
    <x v="1"/>
  </r>
  <r>
    <x v="3449"/>
    <n v="4006789012349"/>
    <x v="7"/>
    <s v="Hračky – Psy"/>
    <s v="Snouty"/>
    <n v="12"/>
    <n v="1"/>
    <s v="4"/>
    <s v="Pevná, zatiaľ drží."/>
    <d v="2025-08-02T00:00:00"/>
    <n v="0"/>
    <n v="12"/>
    <x v="1"/>
    <x v="7"/>
    <x v="0"/>
  </r>
  <r>
    <x v="3450"/>
    <n v="4017788990015"/>
    <x v="62"/>
    <s v="Krmivo a maškrty – Mačky"/>
    <s v="Mr. Whiskers"/>
    <n v="4.8"/>
    <n v="2"/>
    <s v="NULL"/>
    <s v=""/>
    <d v="2025-08-02T00:00:00"/>
    <n v="0"/>
    <n v="9.6"/>
    <x v="0"/>
    <x v="7"/>
    <x v="1"/>
  </r>
  <r>
    <x v="3451"/>
    <n v="4044567890123"/>
    <x v="27"/>
    <s v="Hračky – Mačky"/>
    <s v="BellaMeow"/>
    <n v="6"/>
    <n v="1"/>
    <s v="NULL"/>
    <s v=""/>
    <d v="2025-08-02T00:00:00"/>
    <n v="0"/>
    <n v="6"/>
    <x v="0"/>
    <x v="7"/>
    <x v="1"/>
  </r>
  <r>
    <x v="3452"/>
    <n v="4055566778892"/>
    <x v="63"/>
    <s v="Misky a kŕmne doplnky – Mačky"/>
    <s v="PawStyle"/>
    <n v="8"/>
    <n v="1"/>
    <s v="5"/>
    <s v="Stabilní, nešmýka sa."/>
    <d v="2025-08-02T00:00:00"/>
    <n v="0"/>
    <n v="8"/>
    <x v="2"/>
    <x v="7"/>
    <x v="1"/>
  </r>
  <r>
    <x v="3453"/>
    <n v="4022345678908"/>
    <x v="55"/>
    <s v="Starostlivosť a hygiena – Psy"/>
    <s v="PawStyle"/>
    <n v="10"/>
    <n v="1"/>
    <s v="NULL"/>
    <s v=""/>
    <d v="2025-08-02T00:00:00"/>
    <n v="0"/>
    <n v="10"/>
    <x v="0"/>
    <x v="7"/>
    <x v="0"/>
  </r>
  <r>
    <x v="3454"/>
    <n v="4068899001123"/>
    <x v="64"/>
    <s v="Starostlivosť a hygiena – Psy"/>
    <s v="Pupco"/>
    <n v="9.6"/>
    <n v="1"/>
    <s v="NULL"/>
    <s v=""/>
    <d v="2025-08-02T00:00:00"/>
    <n v="0"/>
    <n v="9.6"/>
    <x v="0"/>
    <x v="7"/>
    <x v="0"/>
  </r>
  <r>
    <x v="3455"/>
    <n v="4029900112244"/>
    <x v="65"/>
    <s v="Starostlivosť a hygiena – Mačky"/>
    <s v="BellaMeow"/>
    <n v="13.6"/>
    <n v="1"/>
    <s v="4"/>
    <s v="Príjemná vôňa, neslepuje sa."/>
    <d v="2025-08-02T00:00:00"/>
    <n v="0"/>
    <n v="13.6"/>
    <x v="1"/>
    <x v="7"/>
    <x v="1"/>
  </r>
  <r>
    <x v="3456"/>
    <n v="4024455667788"/>
    <x v="66"/>
    <s v="Pelechy a nábytok – Mačky"/>
    <s v="Nordic Tail"/>
    <n v="75.64"/>
    <n v="1"/>
    <s v="NULL"/>
    <s v=""/>
    <d v="2025-08-02T00:00:00"/>
    <n v="0"/>
    <n v="75.64"/>
    <x v="0"/>
    <x v="7"/>
    <x v="1"/>
  </r>
  <r>
    <x v="3457"/>
    <n v="4003344556679"/>
    <x v="19"/>
    <s v="Pelechy a nábytok – Psy"/>
    <s v="Canine Craft Industries"/>
    <n v="51.64"/>
    <n v="1"/>
    <s v="NULL"/>
    <s v=""/>
    <d v="2025-08-02T00:00:00"/>
    <n v="0"/>
    <n v="51.64"/>
    <x v="0"/>
    <x v="7"/>
    <x v="0"/>
  </r>
  <r>
    <x v="3458"/>
    <n v="4020123456783"/>
    <x v="42"/>
    <s v="Oblečenie a doplnky – Psy"/>
    <s v="Pup Republic"/>
    <n v="22"/>
    <n v="1"/>
    <s v="4"/>
    <s v="Ľahké a pružné."/>
    <d v="2025-08-02T00:00:00"/>
    <n v="0"/>
    <n v="22"/>
    <x v="1"/>
    <x v="7"/>
    <x v="0"/>
  </r>
  <r>
    <x v="3459"/>
    <n v="4025678901239"/>
    <x v="67"/>
    <s v="Hračky – Mačky"/>
    <s v="Pawtastic"/>
    <n v="10"/>
    <n v="1"/>
    <s v="NULL"/>
    <s v=""/>
    <d v="2025-08-02T00:00:00"/>
    <n v="0"/>
    <n v="10"/>
    <x v="0"/>
    <x v="7"/>
    <x v="1"/>
  </r>
  <r>
    <x v="3460"/>
    <n v="4014567890128"/>
    <x v="68"/>
    <s v="Hračky – Mačky"/>
    <s v="Mr. Whiskers"/>
    <n v="5.2"/>
    <n v="1"/>
    <s v="NULL"/>
    <s v=""/>
    <d v="2025-08-02T00:00:00"/>
    <n v="0"/>
    <n v="5.2"/>
    <x v="0"/>
    <x v="7"/>
    <x v="1"/>
  </r>
  <r>
    <x v="3461"/>
    <n v="4005566778891"/>
    <x v="24"/>
    <s v="Oblečenie a doplnky – Psy"/>
    <s v="Canine Craft Industries"/>
    <n v="18"/>
    <n v="1"/>
    <s v="NULL"/>
    <s v=""/>
    <d v="2025-08-02T00:00:00"/>
    <n v="0"/>
    <n v="18"/>
    <x v="0"/>
    <x v="7"/>
    <x v="0"/>
  </r>
  <r>
    <x v="3462"/>
    <n v="4011234567897"/>
    <x v="47"/>
    <s v="Starostlivosť a hygiena – Psy"/>
    <s v="Tlapka design"/>
    <n v="11.6"/>
    <n v="1"/>
    <s v="5"/>
    <s v="Dv strany, výborné na línání."/>
    <d v="2025-08-02T00:00:00"/>
    <n v="0"/>
    <n v="11.6"/>
    <x v="2"/>
    <x v="7"/>
    <x v="0"/>
  </r>
  <r>
    <x v="3463"/>
    <n v="8004567890122"/>
    <x v="69"/>
    <s v="Oblečenie a doplnky – Mačky"/>
    <s v="Tlapka design"/>
    <n v="16"/>
    <n v="1"/>
    <s v="NULL"/>
    <s v=""/>
    <d v="2025-08-02T00:00:00"/>
    <n v="0"/>
    <n v="16"/>
    <x v="0"/>
    <x v="7"/>
    <x v="1"/>
  </r>
  <r>
    <x v="3464"/>
    <n v="8006789012345"/>
    <x v="29"/>
    <s v="Starostlivosť a hygiena – Mačky"/>
    <s v="Tlapka design"/>
    <n v="8"/>
    <n v="1"/>
    <s v="NULL"/>
    <s v=""/>
    <d v="2025-08-02T00:00:00"/>
    <n v="0"/>
    <n v="8"/>
    <x v="0"/>
    <x v="7"/>
    <x v="1"/>
  </r>
  <r>
    <x v="3465"/>
    <n v="4007788990022"/>
    <x v="70"/>
    <s v="Pelechy a nábytok – Mačky"/>
    <s v="CozyNest"/>
    <n v="59.64"/>
    <n v="1"/>
    <s v="4"/>
    <s v="Robustní, montáž jednoduchá."/>
    <d v="2025-08-02T00:00:00"/>
    <n v="0"/>
    <n v="59.64"/>
    <x v="1"/>
    <x v="7"/>
    <x v="1"/>
  </r>
  <r>
    <x v="3466"/>
    <n v="8007890123454"/>
    <x v="53"/>
    <s v="Pelechy a nábytok – Mačky"/>
    <s v="BellaMeow"/>
    <n v="43.64"/>
    <n v="1"/>
    <s v="NULL"/>
    <s v=""/>
    <d v="2025-08-02T00:00:00"/>
    <n v="0"/>
    <n v="43.64"/>
    <x v="0"/>
    <x v="7"/>
    <x v="1"/>
  </r>
  <r>
    <x v="3467"/>
    <n v="5908901234563"/>
    <x v="71"/>
    <s v="Pelechy a nábytok – Psy"/>
    <s v="Dogissimo"/>
    <n v="63.64"/>
    <n v="1"/>
    <s v="NULL"/>
    <s v=""/>
    <d v="2025-08-02T00:00:00"/>
    <n v="0"/>
    <n v="63.64"/>
    <x v="0"/>
    <x v="7"/>
    <x v="0"/>
  </r>
  <r>
    <x v="3468"/>
    <n v="4048901234572"/>
    <x v="48"/>
    <s v="Oblečenie a doplnky – Psy"/>
    <s v="Dogissimo"/>
    <n v="18"/>
    <n v="1"/>
    <s v="5"/>
    <s v="Kvalitné koža, pohodlný."/>
    <d v="2025-08-02T00:00:00"/>
    <n v="0"/>
    <n v="18"/>
    <x v="2"/>
    <x v="7"/>
    <x v="0"/>
  </r>
  <r>
    <x v="3469"/>
    <n v="8002233445569"/>
    <x v="72"/>
    <s v="Oblečenie a doplnky – Psy"/>
    <s v="Bark&amp;Bone"/>
    <n v="20"/>
    <n v="1"/>
    <s v="NULL"/>
    <s v=""/>
    <d v="2025-08-02T00:00:00"/>
    <n v="0"/>
    <n v="20"/>
    <x v="0"/>
    <x v="7"/>
    <x v="0"/>
  </r>
  <r>
    <x v="3470"/>
    <n v="8005678901239"/>
    <x v="73"/>
    <s v="Oblečenie a doplnky – Psy"/>
    <s v="Bark&amp;Bone"/>
    <n v="20.8"/>
    <n v="1"/>
    <s v="NULL"/>
    <s v=""/>
    <d v="2025-08-03T00:00:00"/>
    <n v="0"/>
    <n v="20.8"/>
    <x v="0"/>
    <x v="7"/>
    <x v="0"/>
  </r>
  <r>
    <x v="3471"/>
    <n v="4004455667780"/>
    <x v="59"/>
    <s v="Misky a kŕmne doplnky – Psy"/>
    <s v="Canine Craft Industries"/>
    <n v="14"/>
    <n v="1"/>
    <s v="NULL"/>
    <s v=""/>
    <d v="2025-08-03T00:00:00"/>
    <n v="0"/>
    <n v="14"/>
    <x v="0"/>
    <x v="7"/>
    <x v="0"/>
  </r>
  <r>
    <x v="3472"/>
    <n v="4063456789014"/>
    <x v="15"/>
    <s v="Krmivo a maškrty – Psy"/>
    <s v="Pupco"/>
    <n v="36"/>
    <n v="1"/>
    <s v="5"/>
    <s v="Pes má viac energie, super."/>
    <d v="2025-08-03T00:00:00"/>
    <n v="0"/>
    <n v="36"/>
    <x v="2"/>
    <x v="7"/>
    <x v="0"/>
  </r>
  <r>
    <x v="3473"/>
    <n v="4028899001126"/>
    <x v="1"/>
    <s v="Krmivo a maškrty – Psy"/>
    <s v="Pup Republic"/>
    <n v="2.8"/>
    <n v="2"/>
    <s v="NULL"/>
    <s v=""/>
    <d v="2025-08-03T00:00:00"/>
    <n v="0"/>
    <n v="5.6"/>
    <x v="0"/>
    <x v="7"/>
    <x v="0"/>
  </r>
  <r>
    <x v="3474"/>
    <n v="4010123456783"/>
    <x v="6"/>
    <s v="Starostlivosť a hygiena – Mačky"/>
    <s v="BellaMeow"/>
    <n v="14"/>
    <n v="1"/>
    <s v="NULL"/>
    <s v=""/>
    <d v="2025-08-03T00:00:00"/>
    <n v="0"/>
    <n v="14"/>
    <x v="0"/>
    <x v="7"/>
    <x v="1"/>
  </r>
  <r>
    <x v="3475"/>
    <n v="4002233445566"/>
    <x v="28"/>
    <s v="Pelechy a nábytok – Mačky"/>
    <s v="Catissime"/>
    <n v="20"/>
    <n v="1"/>
    <s v="4"/>
    <s v="Mäkká, mačka sa ju obľúbila."/>
    <d v="2025-08-03T00:00:00"/>
    <n v="0"/>
    <n v="20"/>
    <x v="1"/>
    <x v="7"/>
    <x v="1"/>
  </r>
  <r>
    <x v="3476"/>
    <n v="8591234567812"/>
    <x v="35"/>
    <s v="Krmivo a maškrty – Mačky"/>
    <s v="Catissime"/>
    <n v="33.200000000000003"/>
    <n v="1"/>
    <s v="NULL"/>
    <s v=""/>
    <d v="2025-08-03T00:00:00"/>
    <n v="0"/>
    <n v="33.200000000000003"/>
    <x v="0"/>
    <x v="7"/>
    <x v="1"/>
  </r>
  <r>
    <x v="3477"/>
    <n v="4045678901234"/>
    <x v="74"/>
    <s v="Krmivo a maškrty – Mačky"/>
    <s v="Pawtastic"/>
    <n v="9.6"/>
    <n v="1"/>
    <s v="NULL"/>
    <s v=""/>
    <d v="2025-08-03T00:00:00"/>
    <n v="0"/>
    <n v="9.6"/>
    <x v="0"/>
    <x v="7"/>
    <x v="1"/>
  </r>
  <r>
    <x v="3478"/>
    <n v="4069012345682"/>
    <x v="23"/>
    <s v="Oblečenie a doplnky – Mačky"/>
    <s v="Catissime"/>
    <n v="26"/>
    <n v="1"/>
    <s v="NULL"/>
    <s v=""/>
    <d v="2025-08-03T00:00:00"/>
    <n v="0"/>
    <n v="26"/>
    <x v="0"/>
    <x v="7"/>
    <x v="1"/>
  </r>
  <r>
    <x v="3479"/>
    <n v="4021234567894"/>
    <x v="18"/>
    <s v="Starostlivosť a hygiena – Mačky"/>
    <s v="PawStyle"/>
    <n v="8"/>
    <n v="1"/>
    <s v="NULL"/>
    <s v=""/>
    <d v="2025-08-03T00:00:00"/>
    <n v="0"/>
    <n v="8"/>
    <x v="0"/>
    <x v="7"/>
    <x v="1"/>
  </r>
  <r>
    <x v="3480"/>
    <n v="4040123456795"/>
    <x v="2"/>
    <s v="Starostlivosť a hygiena – Psy"/>
    <s v="Dogissimo"/>
    <n v="8.8000000000000007"/>
    <n v="1"/>
    <s v="5"/>
    <s v="Srsť hebká, žiadne podráždenie."/>
    <d v="2025-08-03T00:00:00"/>
    <n v="0"/>
    <n v="8.8000000000000007"/>
    <x v="2"/>
    <x v="7"/>
    <x v="0"/>
  </r>
  <r>
    <x v="3481"/>
    <n v="4017890123450"/>
    <x v="16"/>
    <s v="Hračky – Psy"/>
    <s v="Dogissimo"/>
    <n v="7.6"/>
    <n v="1"/>
    <s v="NULL"/>
    <s v=""/>
    <d v="2025-08-03T00:00:00"/>
    <n v="0"/>
    <n v="7.6"/>
    <x v="0"/>
    <x v="7"/>
    <x v="0"/>
  </r>
  <r>
    <x v="3482"/>
    <n v="4046789012356"/>
    <x v="30"/>
    <s v="Hračky – Psy"/>
    <s v="Pupco"/>
    <n v="6.4"/>
    <n v="1"/>
    <s v="4"/>
    <s v="Dobre skáče, pes nadšený."/>
    <d v="2025-08-03T00:00:00"/>
    <n v="0"/>
    <n v="6.4"/>
    <x v="1"/>
    <x v="7"/>
    <x v="0"/>
  </r>
  <r>
    <x v="3483"/>
    <n v="4019876501234"/>
    <x v="75"/>
    <s v="Krmivo a maškrty – Mačky"/>
    <s v="BellaMeow"/>
    <n v="1.84"/>
    <n v="3"/>
    <s v="NULL"/>
    <s v=""/>
    <d v="2025-08-03T00:00:00"/>
    <n v="0"/>
    <n v="5.5200000000000005"/>
    <x v="0"/>
    <x v="7"/>
    <x v="1"/>
  </r>
  <r>
    <x v="3484"/>
    <n v="4006677889904"/>
    <x v="26"/>
    <s v="Krmivo a maškrty – Mačky"/>
    <s v="Catissime"/>
    <n v="2"/>
    <n v="4"/>
    <s v="4"/>
    <s v="Kvalitné kousky, beriem do zásoby."/>
    <d v="2025-08-03T00:00:00"/>
    <n v="0"/>
    <n v="8"/>
    <x v="1"/>
    <x v="7"/>
    <x v="1"/>
  </r>
  <r>
    <x v="3485"/>
    <n v="8599988776654"/>
    <x v="56"/>
    <s v="Pelechy a nábytok – Psy"/>
    <s v="Pup Republic"/>
    <n v="28"/>
    <n v="1"/>
    <s v="NULL"/>
    <s v=""/>
    <d v="2025-08-03T00:00:00"/>
    <n v="0"/>
    <n v="28"/>
    <x v="0"/>
    <x v="7"/>
    <x v="0"/>
  </r>
  <r>
    <x v="3486"/>
    <n v="4042233445567"/>
    <x v="57"/>
    <s v="Pelechy a nábytok – Mačky"/>
    <s v="CozyNest"/>
    <n v="51.64"/>
    <n v="1"/>
    <s v="NULL"/>
    <s v=""/>
    <d v="2025-08-03T00:00:00"/>
    <n v="0"/>
    <n v="51.64"/>
    <x v="0"/>
    <x v="7"/>
    <x v="1"/>
  </r>
  <r>
    <x v="3487"/>
    <n v="4025566778891"/>
    <x v="38"/>
    <s v="Misky a kŕmne doplnky – Mačky"/>
    <s v="Catissime"/>
    <n v="51.64"/>
    <n v="1"/>
    <s v="NULL"/>
    <s v=""/>
    <d v="2025-08-03T00:00:00"/>
    <n v="0"/>
    <n v="51.64"/>
    <x v="0"/>
    <x v="7"/>
    <x v="1"/>
  </r>
  <r>
    <x v="3488"/>
    <n v="4021234567894"/>
    <x v="18"/>
    <s v="Starostlivosť a hygiena – Mačky"/>
    <s v="PawStyle"/>
    <n v="8"/>
    <n v="2"/>
    <s v="NULL"/>
    <s v=""/>
    <d v="2025-08-03T00:00:00"/>
    <n v="0"/>
    <n v="16"/>
    <x v="0"/>
    <x v="7"/>
    <x v="1"/>
  </r>
  <r>
    <x v="3489"/>
    <n v="4057890123467"/>
    <x v="32"/>
    <s v="Hračky – Psy"/>
    <s v="Bark&amp;Bone"/>
    <n v="9.6"/>
    <n v="1"/>
    <s v="5"/>
    <s v="Odolný, čistí zuby pri hre."/>
    <d v="2025-08-03T00:00:00"/>
    <n v="0"/>
    <n v="9.6"/>
    <x v="2"/>
    <x v="7"/>
    <x v="0"/>
  </r>
  <r>
    <x v="3490"/>
    <n v="4063456789014"/>
    <x v="15"/>
    <s v="Krmivo a maškrty – Psy"/>
    <s v="Pupco"/>
    <n v="36"/>
    <n v="1"/>
    <s v="NULL"/>
    <s v=""/>
    <d v="2025-08-04T00:00:00"/>
    <n v="0"/>
    <n v="36"/>
    <x v="0"/>
    <x v="7"/>
    <x v="0"/>
  </r>
  <r>
    <x v="3491"/>
    <n v="4027788990013"/>
    <x v="9"/>
    <s v="Starostlivosť a hygiena – Psy"/>
    <s v="Dogissimo"/>
    <n v="8"/>
    <n v="1"/>
    <s v="NULL"/>
    <s v=""/>
    <d v="2025-08-04T00:00:00"/>
    <n v="0"/>
    <n v="8"/>
    <x v="0"/>
    <x v="7"/>
    <x v="0"/>
  </r>
  <r>
    <x v="3492"/>
    <n v="4010123456783"/>
    <x v="6"/>
    <s v="Starostlivosť a hygiena – Mačky"/>
    <s v="BellaMeow"/>
    <n v="14"/>
    <n v="1"/>
    <s v="5"/>
    <s v="Nepráší, super absorpce."/>
    <d v="2025-08-04T00:00:00"/>
    <n v="0"/>
    <n v="14"/>
    <x v="2"/>
    <x v="7"/>
    <x v="1"/>
  </r>
  <r>
    <x v="3493"/>
    <n v="4001234567893"/>
    <x v="5"/>
    <s v="Krmivo a maškrty – Mačky"/>
    <s v="Mr. Whiskers"/>
    <n v="9.1999999999999993"/>
    <n v="1"/>
    <s v="NULL"/>
    <s v=""/>
    <d v="2025-08-04T00:00:00"/>
    <n v="0"/>
    <n v="9.1999999999999993"/>
    <x v="0"/>
    <x v="7"/>
    <x v="1"/>
  </r>
  <r>
    <x v="3494"/>
    <n v="4028899001126"/>
    <x v="1"/>
    <s v="Krmivo a maškrty – Psy"/>
    <s v="Pup Republic"/>
    <n v="2.8"/>
    <n v="2"/>
    <s v="NULL"/>
    <s v=""/>
    <d v="2025-08-04T00:00:00"/>
    <n v="0"/>
    <n v="5.6"/>
    <x v="0"/>
    <x v="7"/>
    <x v="0"/>
  </r>
  <r>
    <x v="3495"/>
    <n v="4013456789017"/>
    <x v="0"/>
    <s v="Krmivo a maškrty – Psy"/>
    <s v="Snouty"/>
    <n v="6"/>
    <n v="1"/>
    <s v="4"/>
    <s v="Malé kousky, ideálne na tréning."/>
    <d v="2025-08-04T00:00:00"/>
    <n v="0"/>
    <n v="6"/>
    <x v="1"/>
    <x v="7"/>
    <x v="0"/>
  </r>
  <r>
    <x v="3496"/>
    <n v="4059012345683"/>
    <x v="49"/>
    <s v="Oblečenie a doplnky – Psy"/>
    <s v="Tail Trend"/>
    <n v="20"/>
    <n v="1"/>
    <s v="1"/>
    <s v="Vráceno – karabina sa zasekává."/>
    <d v="2025-08-04T00:00:00"/>
    <n v="1"/>
    <n v="20"/>
    <x v="5"/>
    <x v="7"/>
    <x v="0"/>
  </r>
  <r>
    <x v="3497"/>
    <n v="4018901234567"/>
    <x v="76"/>
    <s v="Oblečenie a doplnky – Mačky"/>
    <s v="Mr. Whiskers"/>
    <n v="20"/>
    <n v="1"/>
    <s v="NULL"/>
    <s v=""/>
    <d v="2025-08-04T00:00:00"/>
    <n v="0"/>
    <n v="20"/>
    <x v="0"/>
    <x v="7"/>
    <x v="1"/>
  </r>
  <r>
    <x v="3498"/>
    <n v="8595566778890"/>
    <x v="77"/>
    <s v="Krmivo a maškrty – Mačky"/>
    <s v="BellaMeow"/>
    <n v="38"/>
    <n v="1"/>
    <s v="NULL"/>
    <s v=""/>
    <d v="2025-08-04T00:00:00"/>
    <n v="0"/>
    <n v="38"/>
    <x v="0"/>
    <x v="7"/>
    <x v="1"/>
  </r>
  <r>
    <x v="3499"/>
    <n v="4024567890128"/>
    <x v="78"/>
    <s v="Krmivo a maškrty – Psy"/>
    <s v="Canine Craft Industries"/>
    <n v="40"/>
    <n v="1"/>
    <s v="5"/>
    <s v="Pes bez potíží, super krmivo."/>
    <d v="2025-08-04T00:00:00"/>
    <n v="0"/>
    <n v="40"/>
    <x v="2"/>
    <x v="7"/>
    <x v="0"/>
  </r>
  <r>
    <x v="3500"/>
    <n v="4003344556679"/>
    <x v="19"/>
    <s v="Pelechy a nábytok – Psy"/>
    <s v="Canine Craft Industries"/>
    <n v="51.64"/>
    <n v="1"/>
    <s v="NULL"/>
    <s v=""/>
    <d v="2025-08-04T00:00:00"/>
    <n v="0"/>
    <n v="51.64"/>
    <x v="0"/>
    <x v="7"/>
    <x v="0"/>
  </r>
  <r>
    <x v="3501"/>
    <n v="4049012345683"/>
    <x v="14"/>
    <s v="Starostlivosť a hygiena – Mačky"/>
    <s v="Pawtastic"/>
    <n v="9.1999999999999993"/>
    <n v="1"/>
    <s v="4"/>
    <s v="Skvelo vyčeše podsadu."/>
    <d v="2025-08-04T00:00:00"/>
    <n v="0"/>
    <n v="9.1999999999999993"/>
    <x v="1"/>
    <x v="7"/>
    <x v="1"/>
  </r>
  <r>
    <x v="3502"/>
    <n v="4050123456794"/>
    <x v="8"/>
    <s v="Starostlivosť a hygiena – Mačky"/>
    <s v="Nordic Tail"/>
    <n v="7.2"/>
    <n v="1"/>
    <s v="NULL"/>
    <s v=""/>
    <d v="2025-08-04T00:00:00"/>
    <n v="0"/>
    <n v="7.2"/>
    <x v="0"/>
    <x v="7"/>
    <x v="1"/>
  </r>
  <r>
    <x v="3503"/>
    <n v="4023456789012"/>
    <x v="13"/>
    <s v="Krmivo a maškrty – Mačky"/>
    <s v="Mr. Whiskers"/>
    <n v="4"/>
    <n v="2"/>
    <s v="NULL"/>
    <s v=""/>
    <d v="2025-08-04T00:00:00"/>
    <n v="0"/>
    <n v="8"/>
    <x v="0"/>
    <x v="7"/>
    <x v="1"/>
  </r>
  <r>
    <x v="3504"/>
    <n v="5901234509876"/>
    <x v="79"/>
    <s v="Krmivo a maškrty – Mačky"/>
    <s v="Nordic Tail"/>
    <n v="40"/>
    <n v="1"/>
    <s v="5"/>
    <s v="Snížila sa tvorba bezoárov."/>
    <d v="2025-08-04T00:00:00"/>
    <n v="0"/>
    <n v="40"/>
    <x v="2"/>
    <x v="7"/>
    <x v="1"/>
  </r>
  <r>
    <x v="3505"/>
    <n v="4040123456795"/>
    <x v="2"/>
    <s v="Starostlivosť a hygiena – Psy"/>
    <s v="Dogissimo"/>
    <n v="8.8000000000000007"/>
    <n v="1"/>
    <s v="NULL"/>
    <s v=""/>
    <d v="2025-08-04T00:00:00"/>
    <n v="0"/>
    <n v="8.8000000000000007"/>
    <x v="0"/>
    <x v="7"/>
    <x v="0"/>
  </r>
  <r>
    <x v="3506"/>
    <n v="4025678901239"/>
    <x v="67"/>
    <s v="Hračky – Mačky"/>
    <s v="Pawtastic"/>
    <n v="10"/>
    <n v="1"/>
    <s v="NULL"/>
    <s v=""/>
    <d v="2025-08-04T00:00:00"/>
    <n v="0"/>
    <n v="10"/>
    <x v="0"/>
    <x v="7"/>
    <x v="1"/>
  </r>
  <r>
    <x v="3507"/>
    <n v="8599988776654"/>
    <x v="56"/>
    <s v="Pelechy a nábytok – Psy"/>
    <s v="Pup Republic"/>
    <n v="28"/>
    <n v="1"/>
    <s v="4"/>
    <s v="Funguje, ale mohla by byť väčšia."/>
    <d v="2025-08-04T00:00:00"/>
    <n v="0"/>
    <n v="28"/>
    <x v="1"/>
    <x v="7"/>
    <x v="0"/>
  </r>
  <r>
    <x v="3508"/>
    <n v="4008901234561"/>
    <x v="43"/>
    <s v="Oblečenie a doplnky – Psy"/>
    <s v="HafHaf Couture"/>
    <n v="40"/>
    <n v="1"/>
    <s v="NULL"/>
    <s v=""/>
    <d v="2025-08-04T00:00:00"/>
    <n v="0"/>
    <n v="40"/>
    <x v="0"/>
    <x v="7"/>
    <x v="0"/>
  </r>
  <r>
    <x v="3509"/>
    <n v="4021234567894"/>
    <x v="18"/>
    <s v="Starostlivosť a hygiena – Mačky"/>
    <s v="PawStyle"/>
    <n v="8"/>
    <n v="1"/>
    <s v="NULL"/>
    <s v=""/>
    <d v="2025-08-04T00:00:00"/>
    <n v="0"/>
    <n v="8"/>
    <x v="0"/>
    <x v="7"/>
    <x v="1"/>
  </r>
  <r>
    <x v="3510"/>
    <n v="4028899001126"/>
    <x v="1"/>
    <s v="Krmivo a maškrty – Psy"/>
    <s v="Pup Republic"/>
    <n v="2.8"/>
    <n v="2"/>
    <s v="NULL"/>
    <s v=""/>
    <d v="2025-08-05T00:00:00"/>
    <n v="0"/>
    <n v="5.6"/>
    <x v="0"/>
    <x v="7"/>
    <x v="0"/>
  </r>
  <r>
    <x v="3511"/>
    <n v="4010123456783"/>
    <x v="6"/>
    <s v="Starostlivosť a hygiena – Mačky"/>
    <s v="BellaMeow"/>
    <n v="14"/>
    <n v="1"/>
    <s v="5"/>
    <s v="Drží pachy, super."/>
    <d v="2025-08-05T00:00:00"/>
    <n v="0"/>
    <n v="14"/>
    <x v="2"/>
    <x v="7"/>
    <x v="1"/>
  </r>
  <r>
    <x v="3512"/>
    <n v="4063456789014"/>
    <x v="15"/>
    <s v="Krmivo a maškrty – Psy"/>
    <s v="Pupco"/>
    <n v="36"/>
    <n v="1"/>
    <s v="NULL"/>
    <s v=""/>
    <d v="2025-08-05T00:00:00"/>
    <n v="0"/>
    <n v="36"/>
    <x v="0"/>
    <x v="7"/>
    <x v="0"/>
  </r>
  <r>
    <x v="3513"/>
    <n v="4045678901234"/>
    <x v="74"/>
    <s v="Krmivo a maškrty – Mačky"/>
    <s v="Pawtastic"/>
    <n v="9.6"/>
    <n v="1"/>
    <s v="NULL"/>
    <s v=""/>
    <d v="2025-08-05T00:00:00"/>
    <n v="0"/>
    <n v="9.6"/>
    <x v="0"/>
    <x v="7"/>
    <x v="1"/>
  </r>
  <r>
    <x v="3514"/>
    <n v="8599988776654"/>
    <x v="56"/>
    <s v="Pelechy a nábytok – Psy"/>
    <s v="Pup Republic"/>
    <n v="28"/>
    <n v="1"/>
    <s v="NULL"/>
    <s v=""/>
    <d v="2025-08-05T00:00:00"/>
    <n v="0"/>
    <n v="28"/>
    <x v="0"/>
    <x v="7"/>
    <x v="0"/>
  </r>
  <r>
    <x v="3515"/>
    <n v="4013456789017"/>
    <x v="0"/>
    <s v="Krmivo a maškrty – Psy"/>
    <s v="Snouty"/>
    <n v="6"/>
    <n v="2"/>
    <s v="4"/>
    <s v="Pes poslúcha ako hodinky."/>
    <d v="2025-08-05T00:00:00"/>
    <n v="0"/>
    <n v="12"/>
    <x v="1"/>
    <x v="7"/>
    <x v="0"/>
  </r>
  <r>
    <x v="3516"/>
    <n v="4001234567893"/>
    <x v="5"/>
    <s v="Krmivo a maškrty – Mačky"/>
    <s v="Mr. Whiskers"/>
    <n v="9.1999999999999993"/>
    <n v="1"/>
    <s v="NULL"/>
    <s v=""/>
    <d v="2025-08-05T00:00:00"/>
    <n v="0"/>
    <n v="9.1999999999999993"/>
    <x v="0"/>
    <x v="7"/>
    <x v="1"/>
  </r>
  <r>
    <x v="3517"/>
    <n v="4021234567894"/>
    <x v="18"/>
    <s v="Starostlivosť a hygiena – Mačky"/>
    <s v="PawStyle"/>
    <n v="8"/>
    <n v="1"/>
    <s v="NULL"/>
    <s v=""/>
    <d v="2025-08-05T00:00:00"/>
    <n v="0"/>
    <n v="8"/>
    <x v="0"/>
    <x v="7"/>
    <x v="1"/>
  </r>
  <r>
    <x v="3518"/>
    <n v="4056789012345"/>
    <x v="11"/>
    <s v="Krmivo a maškrty – Mačky"/>
    <s v="BellaMeow"/>
    <n v="2.4"/>
    <n v="2"/>
    <s v="NULL"/>
    <s v=""/>
    <d v="2025-08-05T00:00:00"/>
    <n v="0"/>
    <n v="4.8"/>
    <x v="0"/>
    <x v="7"/>
    <x v="1"/>
  </r>
  <r>
    <x v="3519"/>
    <n v="4017890123450"/>
    <x v="16"/>
    <s v="Hračky – Psy"/>
    <s v="Dogissimo"/>
    <n v="7.6"/>
    <n v="1"/>
    <s v="NULL"/>
    <s v=""/>
    <d v="2025-08-05T00:00:00"/>
    <n v="0"/>
    <n v="7.6"/>
    <x v="0"/>
    <x v="7"/>
    <x v="0"/>
  </r>
  <r>
    <x v="3520"/>
    <n v="5901234509876"/>
    <x v="79"/>
    <s v="Krmivo a maškrty – Mačky"/>
    <s v="Nordic Tail"/>
    <n v="40"/>
    <n v="1"/>
    <s v="4"/>
    <s v=""/>
    <d v="2025-08-05T00:00:00"/>
    <n v="0"/>
    <n v="40"/>
    <x v="1"/>
    <x v="7"/>
    <x v="1"/>
  </r>
  <r>
    <x v="3521"/>
    <n v="4027788990013"/>
    <x v="9"/>
    <s v="Starostlivosť a hygiena – Psy"/>
    <s v="Dogissimo"/>
    <n v="8"/>
    <n v="1"/>
    <s v="NULL"/>
    <s v=""/>
    <d v="2025-08-05T00:00:00"/>
    <n v="0"/>
    <n v="8"/>
    <x v="0"/>
    <x v="7"/>
    <x v="0"/>
  </r>
  <r>
    <x v="3522"/>
    <n v="4004455667780"/>
    <x v="59"/>
    <s v="Misky a kŕmne doplnky – Psy"/>
    <s v="Canine Craft Industries"/>
    <n v="14"/>
    <n v="1"/>
    <s v="NULL"/>
    <s v=""/>
    <d v="2025-08-05T00:00:00"/>
    <n v="0"/>
    <n v="14"/>
    <x v="0"/>
    <x v="7"/>
    <x v="0"/>
  </r>
  <r>
    <x v="3523"/>
    <n v="4010123456783"/>
    <x v="6"/>
    <s v="Starostlivosť a hygiena – Mačky"/>
    <s v="BellaMeow"/>
    <n v="14"/>
    <n v="1"/>
    <s v="NULL"/>
    <s v=""/>
    <d v="2025-08-05T00:00:00"/>
    <n v="0"/>
    <n v="14"/>
    <x v="0"/>
    <x v="7"/>
    <x v="1"/>
  </r>
  <r>
    <x v="3524"/>
    <n v="4024567890128"/>
    <x v="78"/>
    <s v="Krmivo a maškrty – Psy"/>
    <s v="Canine Craft Industries"/>
    <n v="40"/>
    <n v="1"/>
    <s v="5"/>
    <s v=""/>
    <d v="2025-08-05T00:00:00"/>
    <n v="0"/>
    <n v="40"/>
    <x v="2"/>
    <x v="7"/>
    <x v="0"/>
  </r>
  <r>
    <x v="3525"/>
    <n v="4046789012356"/>
    <x v="30"/>
    <s v="Hračky – Psy"/>
    <s v="Pupco"/>
    <n v="6.4"/>
    <n v="1"/>
    <s v="NULL"/>
    <s v=""/>
    <d v="2025-08-05T00:00:00"/>
    <n v="0"/>
    <n v="6.4"/>
    <x v="0"/>
    <x v="7"/>
    <x v="0"/>
  </r>
  <r>
    <x v="3526"/>
    <n v="4029900112244"/>
    <x v="65"/>
    <s v="Starostlivosť a hygiena – Mačky"/>
    <s v="BellaMeow"/>
    <n v="13.6"/>
    <n v="1"/>
    <s v="NULL"/>
    <s v=""/>
    <d v="2025-08-05T00:00:00"/>
    <n v="0"/>
    <n v="13.6"/>
    <x v="0"/>
    <x v="7"/>
    <x v="1"/>
  </r>
  <r>
    <x v="3527"/>
    <n v="4003344556679"/>
    <x v="19"/>
    <s v="Pelechy a nábytok – Psy"/>
    <s v="Canine Craft Industries"/>
    <n v="51.64"/>
    <n v="1"/>
    <s v="NULL"/>
    <s v=""/>
    <d v="2025-08-05T00:00:00"/>
    <n v="0"/>
    <n v="51.64"/>
    <x v="0"/>
    <x v="7"/>
    <x v="0"/>
  </r>
  <r>
    <x v="3528"/>
    <n v="4028899001126"/>
    <x v="1"/>
    <s v="Krmivo a maškrty – Psy"/>
    <s v="Pup Republic"/>
    <n v="2.8"/>
    <n v="3"/>
    <s v="NULL"/>
    <s v=""/>
    <d v="2025-08-05T00:00:00"/>
    <n v="0"/>
    <n v="8.3999999999999986"/>
    <x v="0"/>
    <x v="7"/>
    <x v="0"/>
  </r>
  <r>
    <x v="3529"/>
    <n v="4013456789017"/>
    <x v="0"/>
    <s v="Krmivo a maškrty – Psy"/>
    <s v="Snouty"/>
    <n v="6"/>
    <n v="1"/>
    <s v="3"/>
    <s v=""/>
    <d v="2025-08-05T00:00:00"/>
    <n v="0"/>
    <n v="6"/>
    <x v="3"/>
    <x v="7"/>
    <x v="0"/>
  </r>
  <r>
    <x v="3530"/>
    <n v="4019876501234"/>
    <x v="75"/>
    <s v="Krmivo a maškrty – Mačky"/>
    <s v="BellaMeow"/>
    <n v="1.84"/>
    <n v="3"/>
    <s v="NULL"/>
    <s v=""/>
    <d v="2025-08-05T00:00:00"/>
    <n v="0"/>
    <n v="5.5200000000000005"/>
    <x v="0"/>
    <x v="7"/>
    <x v="1"/>
  </r>
  <r>
    <x v="3531"/>
    <n v="4057890123467"/>
    <x v="32"/>
    <s v="Hračky – Psy"/>
    <s v="Bark&amp;Bone"/>
    <n v="9.6"/>
    <n v="1"/>
    <s v="NULL"/>
    <s v=""/>
    <d v="2025-08-05T00:00:00"/>
    <n v="0"/>
    <n v="9.6"/>
    <x v="0"/>
    <x v="7"/>
    <x v="0"/>
  </r>
  <r>
    <x v="3532"/>
    <n v="8591234567812"/>
    <x v="35"/>
    <s v="Krmivo a maškrty – Mačky"/>
    <s v="Catissime"/>
    <n v="33.200000000000003"/>
    <n v="1"/>
    <s v="NULL"/>
    <s v=""/>
    <d v="2025-08-05T00:00:00"/>
    <n v="0"/>
    <n v="33.200000000000003"/>
    <x v="0"/>
    <x v="7"/>
    <x v="1"/>
  </r>
  <r>
    <x v="3533"/>
    <n v="4000123456786"/>
    <x v="31"/>
    <s v="Starostlivosť a hygiena – Psy"/>
    <s v="Tail Trend"/>
    <n v="6.8"/>
    <n v="1"/>
    <s v="NULL"/>
    <s v=""/>
    <d v="2025-08-05T00:00:00"/>
    <n v="0"/>
    <n v="6.8"/>
    <x v="0"/>
    <x v="7"/>
    <x v="0"/>
  </r>
  <r>
    <x v="3534"/>
    <n v="4021234567894"/>
    <x v="18"/>
    <s v="Starostlivosť a hygiena – Mačky"/>
    <s v="PawStyle"/>
    <n v="8"/>
    <n v="2"/>
    <s v="4"/>
    <s v=""/>
    <d v="2025-08-05T00:00:00"/>
    <n v="0"/>
    <n v="16"/>
    <x v="1"/>
    <x v="7"/>
    <x v="1"/>
  </r>
  <r>
    <x v="3535"/>
    <n v="4009012345672"/>
    <x v="10"/>
    <s v="Starostlivosť a hygiena – Mačky"/>
    <s v="Mr. Whiskers"/>
    <n v="11.2"/>
    <n v="1"/>
    <s v="NULL"/>
    <s v=""/>
    <d v="2025-08-05T00:00:00"/>
    <n v="0"/>
    <n v="11.2"/>
    <x v="0"/>
    <x v="7"/>
    <x v="1"/>
  </r>
  <r>
    <x v="3535"/>
    <n v="4017788990015"/>
    <x v="62"/>
    <s v="Krmivo a maškrty – Mačky"/>
    <s v="Mr. Whiskers"/>
    <n v="4.8"/>
    <n v="2"/>
    <s v="NULL"/>
    <s v=""/>
    <d v="2025-08-05T00:00:00"/>
    <n v="0"/>
    <n v="9.6"/>
    <x v="0"/>
    <x v="7"/>
    <x v="1"/>
  </r>
  <r>
    <x v="3536"/>
    <n v="4025566778891"/>
    <x v="38"/>
    <s v="Misky a kŕmne doplnky – Mačky"/>
    <s v="Catissime"/>
    <n v="51.64"/>
    <n v="1"/>
    <s v="5"/>
    <s v=""/>
    <d v="2025-08-05T00:00:00"/>
    <n v="0"/>
    <n v="51.64"/>
    <x v="2"/>
    <x v="7"/>
    <x v="1"/>
  </r>
  <r>
    <x v="3537"/>
    <n v="5904455667782"/>
    <x v="39"/>
    <s v="Misky a kŕmne doplnky – Mačky"/>
    <s v="Nordic Tail"/>
    <n v="51.64"/>
    <n v="1"/>
    <s v="NULL"/>
    <s v=""/>
    <d v="2025-08-05T00:00:00"/>
    <n v="0"/>
    <n v="51.64"/>
    <x v="0"/>
    <x v="7"/>
    <x v="1"/>
  </r>
  <r>
    <x v="3538"/>
    <n v="8599988776654"/>
    <x v="56"/>
    <s v="Pelechy a nábytok – Psy"/>
    <s v="Pup Republic"/>
    <n v="28"/>
    <n v="1"/>
    <s v="NULL"/>
    <s v=""/>
    <d v="2025-08-06T00:00:00"/>
    <n v="0"/>
    <n v="28"/>
    <x v="0"/>
    <x v="7"/>
    <x v="0"/>
  </r>
  <r>
    <x v="3539"/>
    <n v="4017890123450"/>
    <x v="16"/>
    <s v="Hračky – Psy"/>
    <s v="Dogissimo"/>
    <n v="7.6"/>
    <n v="1"/>
    <s v="4"/>
    <s v=""/>
    <d v="2025-08-06T00:00:00"/>
    <n v="0"/>
    <n v="7.6"/>
    <x v="1"/>
    <x v="7"/>
    <x v="0"/>
  </r>
  <r>
    <x v="3540"/>
    <n v="4043344556676"/>
    <x v="36"/>
    <s v="Misky a kŕmne doplnky – Mačky"/>
    <s v="Pawtastic"/>
    <n v="10"/>
    <n v="1"/>
    <s v="NULL"/>
    <s v=""/>
    <d v="2025-08-06T00:00:00"/>
    <n v="0"/>
    <n v="10"/>
    <x v="0"/>
    <x v="7"/>
    <x v="1"/>
  </r>
  <r>
    <x v="3541"/>
    <n v="4056789012345"/>
    <x v="11"/>
    <s v="Krmivo a maškrty – Mačky"/>
    <s v="BellaMeow"/>
    <n v="2.4"/>
    <n v="2"/>
    <s v="NULL"/>
    <s v=""/>
    <d v="2025-08-06T00:00:00"/>
    <n v="0"/>
    <n v="4.8"/>
    <x v="0"/>
    <x v="7"/>
    <x v="1"/>
  </r>
  <r>
    <x v="3542"/>
    <n v="4063456789014"/>
    <x v="15"/>
    <s v="Krmivo a maškrty – Psy"/>
    <s v="Pupco"/>
    <n v="36"/>
    <n v="1"/>
    <s v="NULL"/>
    <s v=""/>
    <d v="2025-08-06T00:00:00"/>
    <n v="0"/>
    <n v="36"/>
    <x v="0"/>
    <x v="7"/>
    <x v="0"/>
  </r>
  <r>
    <x v="3543"/>
    <n v="4004455667780"/>
    <x v="59"/>
    <s v="Misky a kŕmne doplnky – Psy"/>
    <s v="Canine Craft Industries"/>
    <n v="14"/>
    <n v="1"/>
    <s v="5"/>
    <s v=""/>
    <d v="2025-08-06T00:00:00"/>
    <n v="0"/>
    <n v="14"/>
    <x v="2"/>
    <x v="7"/>
    <x v="0"/>
  </r>
  <r>
    <x v="3544"/>
    <n v="4010123456783"/>
    <x v="6"/>
    <s v="Starostlivosť a hygiena – Mačky"/>
    <s v="BellaMeow"/>
    <n v="14"/>
    <n v="1"/>
    <s v="NULL"/>
    <s v=""/>
    <d v="2025-08-06T00:00:00"/>
    <n v="0"/>
    <n v="14"/>
    <x v="0"/>
    <x v="7"/>
    <x v="1"/>
  </r>
  <r>
    <x v="3545"/>
    <n v="4028899001126"/>
    <x v="1"/>
    <s v="Krmivo a maškrty – Psy"/>
    <s v="Pup Republic"/>
    <n v="2.8"/>
    <n v="2"/>
    <s v="NULL"/>
    <s v=""/>
    <d v="2025-08-06T00:00:00"/>
    <n v="0"/>
    <n v="5.6"/>
    <x v="0"/>
    <x v="7"/>
    <x v="0"/>
  </r>
  <r>
    <x v="3546"/>
    <n v="4013456789017"/>
    <x v="0"/>
    <s v="Krmivo a maškrty – Psy"/>
    <s v="Snouty"/>
    <n v="6"/>
    <n v="1"/>
    <s v="NULL"/>
    <s v=""/>
    <d v="2025-08-06T00:00:00"/>
    <n v="0"/>
    <n v="6"/>
    <x v="0"/>
    <x v="7"/>
    <x v="0"/>
  </r>
  <r>
    <x v="3547"/>
    <n v="4042233445567"/>
    <x v="57"/>
    <s v="Pelechy a nábytok – Mačky"/>
    <s v="CozyNest"/>
    <n v="51.64"/>
    <n v="1"/>
    <s v="NULL"/>
    <s v=""/>
    <d v="2025-08-06T00:00:00"/>
    <n v="0"/>
    <n v="51.64"/>
    <x v="0"/>
    <x v="7"/>
    <x v="1"/>
  </r>
  <r>
    <x v="3548"/>
    <n v="4003344556679"/>
    <x v="19"/>
    <s v="Pelechy a nábytok – Psy"/>
    <s v="Canine Craft Industries"/>
    <n v="51.64"/>
    <n v="1"/>
    <s v="4"/>
    <s v=""/>
    <d v="2025-08-06T00:00:00"/>
    <n v="0"/>
    <n v="51.64"/>
    <x v="1"/>
    <x v="7"/>
    <x v="0"/>
  </r>
  <r>
    <x v="3549"/>
    <n v="4029900112244"/>
    <x v="65"/>
    <s v="Starostlivosť a hygiena – Mačky"/>
    <s v="BellaMeow"/>
    <n v="13.6"/>
    <n v="1"/>
    <s v="NULL"/>
    <s v=""/>
    <d v="2025-08-06T00:00:00"/>
    <n v="0"/>
    <n v="13.6"/>
    <x v="0"/>
    <x v="7"/>
    <x v="1"/>
  </r>
  <r>
    <x v="3550"/>
    <n v="4062345678917"/>
    <x v="61"/>
    <s v="Pelechy a nábytok – Mačky"/>
    <s v="PawStyle"/>
    <n v="59.64"/>
    <n v="1"/>
    <s v="NULL"/>
    <s v=""/>
    <d v="2025-08-06T00:00:00"/>
    <n v="0"/>
    <n v="59.64"/>
    <x v="0"/>
    <x v="7"/>
    <x v="1"/>
  </r>
  <r>
    <x v="3551"/>
    <n v="4008901234561"/>
    <x v="43"/>
    <s v="Oblečenie a doplnky – Psy"/>
    <s v="HafHaf Couture"/>
    <n v="40"/>
    <n v="1"/>
    <s v="3"/>
    <s v=""/>
    <d v="2025-08-06T00:00:00"/>
    <n v="0"/>
    <n v="40"/>
    <x v="3"/>
    <x v="7"/>
    <x v="0"/>
  </r>
  <r>
    <x v="3552"/>
    <n v="4001234567893"/>
    <x v="5"/>
    <s v="Krmivo a maškrty – Mačky"/>
    <s v="Mr. Whiskers"/>
    <n v="9.1999999999999993"/>
    <n v="1"/>
    <s v="NULL"/>
    <s v=""/>
    <d v="2025-08-06T00:00:00"/>
    <n v="0"/>
    <n v="9.1999999999999993"/>
    <x v="0"/>
    <x v="7"/>
    <x v="1"/>
  </r>
  <r>
    <x v="3552"/>
    <n v="4010123456783"/>
    <x v="6"/>
    <s v="Starostlivosť a hygiena – Mačky"/>
    <s v="BellaMeow"/>
    <n v="14"/>
    <n v="2"/>
    <s v="NULL"/>
    <s v=""/>
    <d v="2025-08-06T00:00:00"/>
    <n v="0"/>
    <n v="28"/>
    <x v="0"/>
    <x v="7"/>
    <x v="1"/>
  </r>
  <r>
    <x v="3553"/>
    <n v="4025678901239"/>
    <x v="67"/>
    <s v="Hračky – Mačky"/>
    <s v="Pawtastic"/>
    <n v="10"/>
    <n v="1"/>
    <s v="NULL"/>
    <s v=""/>
    <d v="2025-08-06T00:00:00"/>
    <n v="0"/>
    <n v="10"/>
    <x v="0"/>
    <x v="7"/>
    <x v="1"/>
  </r>
  <r>
    <x v="3554"/>
    <n v="4014567890128"/>
    <x v="68"/>
    <s v="Hračky – Mačky"/>
    <s v="Mr. Whiskers"/>
    <n v="5.2"/>
    <n v="1"/>
    <s v="5"/>
    <s v=""/>
    <d v="2025-08-06T00:00:00"/>
    <n v="0"/>
    <n v="5.2"/>
    <x v="2"/>
    <x v="7"/>
    <x v="1"/>
  </r>
  <r>
    <x v="3555"/>
    <n v="4046789012356"/>
    <x v="30"/>
    <s v="Hračky – Psy"/>
    <s v="Pupco"/>
    <n v="6.4"/>
    <n v="1"/>
    <s v="NULL"/>
    <s v=""/>
    <d v="2025-08-06T00:00:00"/>
    <n v="0"/>
    <n v="6.4"/>
    <x v="0"/>
    <x v="7"/>
    <x v="0"/>
  </r>
  <r>
    <x v="3556"/>
    <n v="4000123456786"/>
    <x v="31"/>
    <s v="Starostlivosť a hygiena – Psy"/>
    <s v="Tail Trend"/>
    <n v="6.8"/>
    <n v="1"/>
    <s v="NULL"/>
    <s v=""/>
    <d v="2025-08-06T00:00:00"/>
    <n v="0"/>
    <n v="6.8"/>
    <x v="0"/>
    <x v="7"/>
    <x v="0"/>
  </r>
  <r>
    <x v="3557"/>
    <n v="5903344556670"/>
    <x v="58"/>
    <s v="Pelechy a nábytok – Mačky"/>
    <s v="Catissime"/>
    <n v="75.64"/>
    <n v="1"/>
    <s v="5"/>
    <s v=""/>
    <d v="2025-08-06T00:00:00"/>
    <n v="0"/>
    <n v="75.64"/>
    <x v="2"/>
    <x v="7"/>
    <x v="1"/>
  </r>
  <r>
    <x v="3558"/>
    <n v="8599988776654"/>
    <x v="56"/>
    <s v="Pelechy a nábytok – Psy"/>
    <s v="Pup Republic"/>
    <n v="28"/>
    <n v="1"/>
    <s v="NULL"/>
    <s v=""/>
    <d v="2025-08-07T00:00:00"/>
    <n v="0"/>
    <n v="28"/>
    <x v="0"/>
    <x v="7"/>
    <x v="0"/>
  </r>
  <r>
    <x v="3559"/>
    <n v="4013456789017"/>
    <x v="0"/>
    <s v="Krmivo a maškrty – Psy"/>
    <s v="Snouty"/>
    <n v="6"/>
    <n v="1"/>
    <s v="NULL"/>
    <s v=""/>
    <d v="2025-08-07T00:00:00"/>
    <n v="0"/>
    <n v="6"/>
    <x v="0"/>
    <x v="7"/>
    <x v="0"/>
  </r>
  <r>
    <x v="3560"/>
    <n v="4027788990013"/>
    <x v="9"/>
    <s v="Starostlivosť a hygiena – Psy"/>
    <s v="Dogissimo"/>
    <n v="8"/>
    <n v="1"/>
    <s v="4"/>
    <s v=""/>
    <d v="2025-08-07T00:00:00"/>
    <n v="0"/>
    <n v="8"/>
    <x v="1"/>
    <x v="7"/>
    <x v="0"/>
  </r>
  <r>
    <x v="3561"/>
    <n v="4010123456783"/>
    <x v="6"/>
    <s v="Starostlivosť a hygiena – Mačky"/>
    <s v="BellaMeow"/>
    <n v="14"/>
    <n v="1"/>
    <s v="NULL"/>
    <s v=""/>
    <d v="2025-08-07T00:00:00"/>
    <n v="0"/>
    <n v="14"/>
    <x v="0"/>
    <x v="7"/>
    <x v="1"/>
  </r>
  <r>
    <x v="3562"/>
    <n v="5901122334452"/>
    <x v="60"/>
    <s v="Misky a kŕmne doplnky – Mačky"/>
    <s v="Urban paw"/>
    <n v="12"/>
    <n v="1"/>
    <s v="NULL"/>
    <s v=""/>
    <d v="2025-08-07T00:00:00"/>
    <n v="0"/>
    <n v="12"/>
    <x v="0"/>
    <x v="7"/>
    <x v="1"/>
  </r>
  <r>
    <x v="3563"/>
    <n v="4024567890128"/>
    <x v="78"/>
    <s v="Krmivo a maškrty – Psy"/>
    <s v="Canine Craft Industries"/>
    <n v="40"/>
    <n v="1"/>
    <s v="NULL"/>
    <s v=""/>
    <d v="2025-08-07T00:00:00"/>
    <n v="0"/>
    <n v="40"/>
    <x v="0"/>
    <x v="7"/>
    <x v="0"/>
  </r>
  <r>
    <x v="3564"/>
    <n v="4028899001126"/>
    <x v="1"/>
    <s v="Krmivo a maškrty – Psy"/>
    <s v="Pup Republic"/>
    <n v="2.8"/>
    <n v="2"/>
    <s v="4"/>
    <s v=""/>
    <d v="2025-08-07T00:00:00"/>
    <n v="0"/>
    <n v="5.6"/>
    <x v="1"/>
    <x v="7"/>
    <x v="0"/>
  </r>
  <r>
    <x v="3565"/>
    <n v="4017890123450"/>
    <x v="16"/>
    <s v="Hračky – Psy"/>
    <s v="Dogissimo"/>
    <n v="7.6"/>
    <n v="1"/>
    <s v="NULL"/>
    <s v=""/>
    <d v="2025-08-07T00:00:00"/>
    <n v="0"/>
    <n v="7.6"/>
    <x v="0"/>
    <x v="7"/>
    <x v="0"/>
  </r>
  <r>
    <x v="3566"/>
    <n v="8595566778890"/>
    <x v="77"/>
    <s v="Krmivo a maškrty – Mačky"/>
    <s v="BellaMeow"/>
    <n v="38"/>
    <n v="1"/>
    <s v="NULL"/>
    <s v=""/>
    <d v="2025-08-07T00:00:00"/>
    <n v="0"/>
    <n v="38"/>
    <x v="0"/>
    <x v="7"/>
    <x v="1"/>
  </r>
  <r>
    <x v="3567"/>
    <n v="4021234567894"/>
    <x v="18"/>
    <s v="Starostlivosť a hygiena – Mačky"/>
    <s v="PawStyle"/>
    <n v="8"/>
    <n v="1"/>
    <s v="NULL"/>
    <s v=""/>
    <d v="2025-08-07T00:00:00"/>
    <n v="0"/>
    <n v="8"/>
    <x v="0"/>
    <x v="7"/>
    <x v="1"/>
  </r>
  <r>
    <x v="3568"/>
    <n v="4019876501234"/>
    <x v="75"/>
    <s v="Krmivo a maškrty – Mačky"/>
    <s v="BellaMeow"/>
    <n v="1.84"/>
    <n v="2"/>
    <s v="NULL"/>
    <s v=""/>
    <d v="2025-08-07T00:00:00"/>
    <n v="0"/>
    <n v="3.68"/>
    <x v="0"/>
    <x v="7"/>
    <x v="1"/>
  </r>
  <r>
    <x v="3569"/>
    <n v="4063456789014"/>
    <x v="15"/>
    <s v="Krmivo a maškrty – Psy"/>
    <s v="Pupco"/>
    <n v="36"/>
    <n v="1"/>
    <s v="NULL"/>
    <s v=""/>
    <d v="2025-08-07T00:00:00"/>
    <n v="0"/>
    <n v="36"/>
    <x v="0"/>
    <x v="7"/>
    <x v="0"/>
  </r>
  <r>
    <x v="3569"/>
    <n v="4013456789017"/>
    <x v="0"/>
    <s v="Krmivo a maškrty – Psy"/>
    <s v="Snouty"/>
    <n v="6"/>
    <n v="2"/>
    <s v="NULL"/>
    <s v=""/>
    <d v="2025-08-07T00:00:00"/>
    <n v="0"/>
    <n v="12"/>
    <x v="0"/>
    <x v="7"/>
    <x v="0"/>
  </r>
  <r>
    <x v="3570"/>
    <n v="4059012345683"/>
    <x v="49"/>
    <s v="Oblečenie a doplnky – Psy"/>
    <s v="Tail Trend"/>
    <n v="20"/>
    <n v="1"/>
    <s v="1"/>
    <s v="Vráceno – nekvalitní prošití."/>
    <d v="2025-08-07T00:00:00"/>
    <n v="1"/>
    <n v="20"/>
    <x v="5"/>
    <x v="7"/>
    <x v="0"/>
  </r>
  <r>
    <x v="3571"/>
    <n v="4042233445567"/>
    <x v="57"/>
    <s v="Pelechy a nábytok – Mačky"/>
    <s v="CozyNest"/>
    <n v="51.64"/>
    <n v="1"/>
    <s v="NULL"/>
    <s v=""/>
    <d v="2025-08-07T00:00:00"/>
    <n v="0"/>
    <n v="51.64"/>
    <x v="0"/>
    <x v="7"/>
    <x v="1"/>
  </r>
  <r>
    <x v="3572"/>
    <n v="4009012345672"/>
    <x v="10"/>
    <s v="Starostlivosť a hygiena – Mačky"/>
    <s v="Mr. Whiskers"/>
    <n v="11.2"/>
    <n v="1"/>
    <s v="4"/>
    <s v=""/>
    <d v="2025-08-07T00:00:00"/>
    <n v="0"/>
    <n v="11.2"/>
    <x v="1"/>
    <x v="7"/>
    <x v="1"/>
  </r>
  <r>
    <x v="3573"/>
    <n v="4020123456783"/>
    <x v="42"/>
    <s v="Oblečenie a doplnky – Psy"/>
    <s v="Pup Republic"/>
    <n v="22"/>
    <n v="1"/>
    <s v="NULL"/>
    <s v=""/>
    <d v="2025-08-07T00:00:00"/>
    <n v="0"/>
    <n v="22"/>
    <x v="0"/>
    <x v="7"/>
    <x v="0"/>
  </r>
  <r>
    <x v="3574"/>
    <n v="4049012345683"/>
    <x v="14"/>
    <s v="Starostlivosť a hygiena – Mačky"/>
    <s v="Pawtastic"/>
    <n v="9.1999999999999993"/>
    <n v="1"/>
    <s v="NULL"/>
    <s v=""/>
    <d v="2025-08-07T00:00:00"/>
    <n v="0"/>
    <n v="9.1999999999999993"/>
    <x v="0"/>
    <x v="7"/>
    <x v="1"/>
  </r>
  <r>
    <x v="3575"/>
    <n v="4025678901239"/>
    <x v="67"/>
    <s v="Hračky – Mačky"/>
    <s v="Pawtastic"/>
    <n v="10"/>
    <n v="1"/>
    <s v="NULL"/>
    <s v=""/>
    <d v="2025-08-07T00:00:00"/>
    <n v="0"/>
    <n v="10"/>
    <x v="0"/>
    <x v="7"/>
    <x v="1"/>
  </r>
  <r>
    <x v="3576"/>
    <n v="4044567890123"/>
    <x v="27"/>
    <s v="Hračky – Mačky"/>
    <s v="BellaMeow"/>
    <n v="6"/>
    <n v="1"/>
    <s v="5"/>
    <s v=""/>
    <d v="2025-08-07T00:00:00"/>
    <n v="0"/>
    <n v="6"/>
    <x v="2"/>
    <x v="7"/>
    <x v="1"/>
  </r>
  <r>
    <x v="3577"/>
    <n v="5908901234563"/>
    <x v="71"/>
    <s v="Pelechy a nábytok – Psy"/>
    <s v="Dogissimo"/>
    <n v="63.64"/>
    <n v="1"/>
    <s v="NULL"/>
    <s v=""/>
    <d v="2025-08-07T00:00:00"/>
    <n v="0"/>
    <n v="63.64"/>
    <x v="0"/>
    <x v="7"/>
    <x v="0"/>
  </r>
  <r>
    <x v="3578"/>
    <n v="4010123456783"/>
    <x v="6"/>
    <s v="Starostlivosť a hygiena – Mačky"/>
    <s v="BellaMeow"/>
    <n v="14"/>
    <n v="1"/>
    <s v="NULL"/>
    <s v=""/>
    <d v="2025-08-07T00:00:00"/>
    <n v="0"/>
    <n v="14"/>
    <x v="0"/>
    <x v="7"/>
    <x v="1"/>
  </r>
  <r>
    <x v="3579"/>
    <n v="4028899001126"/>
    <x v="1"/>
    <s v="Krmivo a maškrty – Psy"/>
    <s v="Pup Republic"/>
    <n v="2.8"/>
    <n v="2"/>
    <s v="NULL"/>
    <s v=""/>
    <d v="2025-08-07T00:00:00"/>
    <n v="0"/>
    <n v="5.6"/>
    <x v="0"/>
    <x v="7"/>
    <x v="0"/>
  </r>
  <r>
    <x v="3580"/>
    <n v="4013456789017"/>
    <x v="0"/>
    <s v="Krmivo a maškrty – Psy"/>
    <s v="Snouty"/>
    <n v="6"/>
    <n v="1"/>
    <s v="3"/>
    <s v=""/>
    <d v="2025-08-07T00:00:00"/>
    <n v="0"/>
    <n v="6"/>
    <x v="3"/>
    <x v="7"/>
    <x v="0"/>
  </r>
  <r>
    <x v="3581"/>
    <n v="8599988776654"/>
    <x v="56"/>
    <s v="Pelechy a nábytok – Psy"/>
    <s v="Pup Republic"/>
    <n v="28"/>
    <n v="1"/>
    <s v="NULL"/>
    <s v=""/>
    <d v="2025-08-08T00:00:00"/>
    <n v="0"/>
    <n v="28"/>
    <x v="0"/>
    <x v="7"/>
    <x v="0"/>
  </r>
  <r>
    <x v="3582"/>
    <n v="5903344556670"/>
    <x v="58"/>
    <s v="Pelechy a nábytok – Mačky"/>
    <s v="Catissime"/>
    <n v="75.64"/>
    <n v="1"/>
    <s v="NULL"/>
    <s v=""/>
    <d v="2025-08-08T00:00:00"/>
    <n v="0"/>
    <n v="75.64"/>
    <x v="0"/>
    <x v="7"/>
    <x v="1"/>
  </r>
  <r>
    <x v="3583"/>
    <n v="4007788990022"/>
    <x v="70"/>
    <s v="Pelechy a nábytok – Mačky"/>
    <s v="CozyNest"/>
    <n v="59.64"/>
    <n v="1"/>
    <s v="5"/>
    <s v=""/>
    <d v="2025-08-08T00:00:00"/>
    <n v="0"/>
    <n v="59.64"/>
    <x v="2"/>
    <x v="7"/>
    <x v="1"/>
  </r>
  <r>
    <x v="3584"/>
    <n v="4017890123450"/>
    <x v="16"/>
    <s v="Hračky – Psy"/>
    <s v="Dogissimo"/>
    <n v="7.6"/>
    <n v="1"/>
    <s v="NULL"/>
    <s v=""/>
    <d v="2025-08-08T00:00:00"/>
    <n v="0"/>
    <n v="7.6"/>
    <x v="0"/>
    <x v="7"/>
    <x v="0"/>
  </r>
  <r>
    <x v="3585"/>
    <n v="5901122334452"/>
    <x v="60"/>
    <s v="Misky a kŕmne doplnky – Mačky"/>
    <s v="Urban paw"/>
    <n v="12"/>
    <n v="1"/>
    <s v="NULL"/>
    <s v=""/>
    <d v="2025-08-08T00:00:00"/>
    <n v="0"/>
    <n v="12"/>
    <x v="0"/>
    <x v="7"/>
    <x v="1"/>
  </r>
  <r>
    <x v="3586"/>
    <n v="4024567890128"/>
    <x v="78"/>
    <s v="Krmivo a maškrty – Psy"/>
    <s v="Canine Craft Industries"/>
    <n v="40"/>
    <n v="1"/>
    <s v="NULL"/>
    <s v=""/>
    <d v="2025-08-08T00:00:00"/>
    <n v="0"/>
    <n v="40"/>
    <x v="0"/>
    <x v="7"/>
    <x v="0"/>
  </r>
  <r>
    <x v="3587"/>
    <n v="4004455667780"/>
    <x v="59"/>
    <s v="Misky a kŕmne doplnky – Psy"/>
    <s v="Canine Craft Industries"/>
    <n v="14"/>
    <n v="1"/>
    <s v="4"/>
    <s v=""/>
    <d v="2025-08-08T00:00:00"/>
    <n v="0"/>
    <n v="14"/>
    <x v="1"/>
    <x v="7"/>
    <x v="0"/>
  </r>
  <r>
    <x v="3588"/>
    <n v="4019876501234"/>
    <x v="75"/>
    <s v="Krmivo a maškrty – Mačky"/>
    <s v="BellaMeow"/>
    <n v="1.84"/>
    <n v="4"/>
    <s v="NULL"/>
    <s v=""/>
    <d v="2025-08-08T00:00:00"/>
    <n v="0"/>
    <n v="7.36"/>
    <x v="0"/>
    <x v="7"/>
    <x v="1"/>
  </r>
  <r>
    <x v="3589"/>
    <n v="4027788990013"/>
    <x v="9"/>
    <s v="Starostlivosť a hygiena – Psy"/>
    <s v="Dogissimo"/>
    <n v="8"/>
    <n v="1"/>
    <s v="NULL"/>
    <s v=""/>
    <d v="2025-08-08T00:00:00"/>
    <n v="0"/>
    <n v="8"/>
    <x v="0"/>
    <x v="7"/>
    <x v="0"/>
  </r>
  <r>
    <x v="3590"/>
    <n v="4028899001126"/>
    <x v="1"/>
    <s v="Krmivo a maškrty – Psy"/>
    <s v="Pup Republic"/>
    <n v="2.8"/>
    <n v="2"/>
    <s v="NULL"/>
    <s v=""/>
    <d v="2025-08-08T00:00:00"/>
    <n v="0"/>
    <n v="5.6"/>
    <x v="0"/>
    <x v="7"/>
    <x v="0"/>
  </r>
  <r>
    <x v="3590"/>
    <n v="4013456789017"/>
    <x v="0"/>
    <s v="Krmivo a maškrty – Psy"/>
    <s v="Snouty"/>
    <n v="6"/>
    <n v="2"/>
    <s v="NULL"/>
    <s v=""/>
    <d v="2025-08-08T00:00:00"/>
    <n v="0"/>
    <n v="12"/>
    <x v="0"/>
    <x v="7"/>
    <x v="0"/>
  </r>
  <r>
    <x v="3591"/>
    <n v="4040123456795"/>
    <x v="2"/>
    <s v="Starostlivosť a hygiena – Psy"/>
    <s v="Dogissimo"/>
    <n v="8.8000000000000007"/>
    <n v="1"/>
    <s v="5"/>
    <s v=""/>
    <d v="2025-08-08T00:00:00"/>
    <n v="0"/>
    <n v="8.8000000000000007"/>
    <x v="2"/>
    <x v="7"/>
    <x v="0"/>
  </r>
  <r>
    <x v="3592"/>
    <n v="4002233445566"/>
    <x v="28"/>
    <s v="Pelechy a nábytok – Mačky"/>
    <s v="Catissime"/>
    <n v="20"/>
    <n v="1"/>
    <s v="NULL"/>
    <s v=""/>
    <d v="2025-08-08T00:00:00"/>
    <n v="0"/>
    <n v="20"/>
    <x v="0"/>
    <x v="7"/>
    <x v="1"/>
  </r>
  <r>
    <x v="3593"/>
    <n v="4025566778891"/>
    <x v="38"/>
    <s v="Misky a kŕmne doplnky – Mačky"/>
    <s v="Catissime"/>
    <n v="51.64"/>
    <n v="1"/>
    <s v="NULL"/>
    <s v=""/>
    <d v="2025-08-08T00:00:00"/>
    <n v="0"/>
    <n v="51.64"/>
    <x v="0"/>
    <x v="7"/>
    <x v="1"/>
  </r>
  <r>
    <x v="3594"/>
    <n v="4046789012356"/>
    <x v="30"/>
    <s v="Hračky – Psy"/>
    <s v="Pupco"/>
    <n v="6.4"/>
    <n v="1"/>
    <s v="4"/>
    <s v=""/>
    <d v="2025-08-08T00:00:00"/>
    <n v="0"/>
    <n v="6.4"/>
    <x v="1"/>
    <x v="7"/>
    <x v="0"/>
  </r>
  <r>
    <x v="3595"/>
    <n v="4059012345683"/>
    <x v="49"/>
    <s v="Oblečenie a doplnky – Psy"/>
    <s v="Tail Trend"/>
    <n v="20"/>
    <n v="1"/>
    <s v="2"/>
    <s v=""/>
    <d v="2025-08-08T00:00:00"/>
    <n v="0"/>
    <n v="20"/>
    <x v="4"/>
    <x v="7"/>
    <x v="0"/>
  </r>
  <r>
    <x v="3596"/>
    <n v="4010123456783"/>
    <x v="6"/>
    <s v="Starostlivosť a hygiena – Mačky"/>
    <s v="BellaMeow"/>
    <n v="14"/>
    <n v="1"/>
    <s v="NULL"/>
    <s v=""/>
    <d v="2025-08-08T00:00:00"/>
    <n v="0"/>
    <n v="14"/>
    <x v="0"/>
    <x v="7"/>
    <x v="1"/>
  </r>
  <r>
    <x v="3597"/>
    <n v="8595566778890"/>
    <x v="77"/>
    <s v="Krmivo a maškrty – Mačky"/>
    <s v="BellaMeow"/>
    <n v="38"/>
    <n v="1"/>
    <s v="NULL"/>
    <s v=""/>
    <d v="2025-08-08T00:00:00"/>
    <n v="0"/>
    <n v="38"/>
    <x v="0"/>
    <x v="7"/>
    <x v="1"/>
  </r>
  <r>
    <x v="3598"/>
    <n v="4021234567894"/>
    <x v="18"/>
    <s v="Starostlivosť a hygiena – Mačky"/>
    <s v="PawStyle"/>
    <n v="8"/>
    <n v="1"/>
    <s v="4"/>
    <s v=""/>
    <d v="2025-08-08T00:00:00"/>
    <n v="0"/>
    <n v="8"/>
    <x v="1"/>
    <x v="7"/>
    <x v="1"/>
  </r>
  <r>
    <x v="3599"/>
    <n v="4063456789014"/>
    <x v="15"/>
    <s v="Krmivo a maškrty – Psy"/>
    <s v="Pupco"/>
    <n v="36"/>
    <n v="1"/>
    <s v="NULL"/>
    <s v=""/>
    <d v="2025-08-08T00:00:00"/>
    <n v="0"/>
    <n v="36"/>
    <x v="0"/>
    <x v="7"/>
    <x v="0"/>
  </r>
  <r>
    <x v="3600"/>
    <n v="4013456789017"/>
    <x v="0"/>
    <s v="Krmivo a maškrty – Psy"/>
    <s v="Snouty"/>
    <n v="6"/>
    <n v="1"/>
    <s v="NULL"/>
    <s v=""/>
    <d v="2025-08-08T00:00:00"/>
    <n v="0"/>
    <n v="6"/>
    <x v="0"/>
    <x v="7"/>
    <x v="0"/>
  </r>
  <r>
    <x v="3601"/>
    <n v="4009012345672"/>
    <x v="10"/>
    <s v="Starostlivosť a hygiena – Mačky"/>
    <s v="Mr. Whiskers"/>
    <n v="11.2"/>
    <n v="1"/>
    <s v="5"/>
    <s v=""/>
    <d v="2025-08-08T00:00:00"/>
    <n v="0"/>
    <n v="11.2"/>
    <x v="2"/>
    <x v="7"/>
    <x v="1"/>
  </r>
  <r>
    <x v="3602"/>
    <n v="4028899001126"/>
    <x v="1"/>
    <s v="Krmivo a maškrty – Psy"/>
    <s v="Pup Republic"/>
    <n v="2.8"/>
    <n v="2"/>
    <s v="NULL"/>
    <s v=""/>
    <d v="2025-08-08T00:00:00"/>
    <n v="0"/>
    <n v="5.6"/>
    <x v="0"/>
    <x v="7"/>
    <x v="0"/>
  </r>
  <r>
    <x v="3603"/>
    <n v="4044567890123"/>
    <x v="27"/>
    <s v="Hračky – Mačky"/>
    <s v="BellaMeow"/>
    <n v="6"/>
    <n v="1"/>
    <s v="NULL"/>
    <s v=""/>
    <d v="2025-08-08T00:00:00"/>
    <n v="0"/>
    <n v="6"/>
    <x v="0"/>
    <x v="7"/>
    <x v="1"/>
  </r>
  <r>
    <x v="3604"/>
    <n v="8599988776654"/>
    <x v="56"/>
    <s v="Pelechy a nábytok – Psy"/>
    <s v="Pup Republic"/>
    <n v="28"/>
    <n v="1"/>
    <s v="NULL"/>
    <s v=""/>
    <d v="2025-08-08T00:00:00"/>
    <n v="0"/>
    <n v="28"/>
    <x v="0"/>
    <x v="7"/>
    <x v="0"/>
  </r>
  <r>
    <x v="3605"/>
    <n v="5904455667782"/>
    <x v="39"/>
    <s v="Misky a kŕmne doplnky – Mačky"/>
    <s v="Nordic Tail"/>
    <n v="51.64"/>
    <n v="1"/>
    <s v="4"/>
    <s v=""/>
    <d v="2025-08-08T00:00:00"/>
    <n v="0"/>
    <n v="51.64"/>
    <x v="1"/>
    <x v="7"/>
    <x v="1"/>
  </r>
  <r>
    <x v="3606"/>
    <n v="4028899001126"/>
    <x v="1"/>
    <s v="Krmivo a maškrty – Psy"/>
    <s v="Pup Republic"/>
    <n v="2.8"/>
    <n v="2"/>
    <s v="NULL"/>
    <s v=""/>
    <d v="2025-08-09T00:00:00"/>
    <n v="0"/>
    <n v="5.6"/>
    <x v="0"/>
    <x v="7"/>
    <x v="0"/>
  </r>
  <r>
    <x v="3607"/>
    <n v="4010123456783"/>
    <x v="6"/>
    <s v="Starostlivosť a hygiena – Mačky"/>
    <s v="BellaMeow"/>
    <n v="14"/>
    <n v="1"/>
    <s v="4"/>
    <s v="Dobre hrudkuje a nepáchne."/>
    <d v="2025-08-09T00:00:00"/>
    <n v="0"/>
    <n v="14"/>
    <x v="1"/>
    <x v="7"/>
    <x v="1"/>
  </r>
  <r>
    <x v="3608"/>
    <n v="4063456789014"/>
    <x v="15"/>
    <s v="Krmivo a maškrty – Psy"/>
    <s v="Pupco"/>
    <n v="36"/>
    <n v="1"/>
    <s v="NULL"/>
    <s v=""/>
    <d v="2025-08-09T00:00:00"/>
    <n v="0"/>
    <n v="36"/>
    <x v="0"/>
    <x v="7"/>
    <x v="0"/>
  </r>
  <r>
    <x v="3609"/>
    <n v="4045678901234"/>
    <x v="74"/>
    <s v="Krmivo a maškrty – Mačky"/>
    <s v="Pawtastic"/>
    <n v="9.6"/>
    <n v="1"/>
    <s v="NULL"/>
    <s v=""/>
    <d v="2025-08-09T00:00:00"/>
    <n v="0"/>
    <n v="9.6"/>
    <x v="0"/>
    <x v="7"/>
    <x v="1"/>
  </r>
  <r>
    <x v="3610"/>
    <n v="8599988776654"/>
    <x v="56"/>
    <s v="Pelechy a nábytok – Psy"/>
    <s v="Pup Republic"/>
    <n v="28"/>
    <n v="1"/>
    <s v="NULL"/>
    <s v=""/>
    <d v="2025-08-09T00:00:00"/>
    <n v="0"/>
    <n v="28"/>
    <x v="0"/>
    <x v="7"/>
    <x v="0"/>
  </r>
  <r>
    <x v="3611"/>
    <n v="4013456789017"/>
    <x v="0"/>
    <s v="Krmivo a maškrty – Psy"/>
    <s v="Snouty"/>
    <n v="6"/>
    <n v="2"/>
    <s v="5"/>
    <s v="Pes sa učí rýchlejšie, chutnají mu."/>
    <d v="2025-08-09T00:00:00"/>
    <n v="0"/>
    <n v="12"/>
    <x v="2"/>
    <x v="7"/>
    <x v="0"/>
  </r>
  <r>
    <x v="3612"/>
    <n v="4001234567893"/>
    <x v="5"/>
    <s v="Krmivo a maškrty – Mačky"/>
    <s v="Mr. Whiskers"/>
    <n v="9.1999999999999993"/>
    <n v="1"/>
    <s v="NULL"/>
    <s v=""/>
    <d v="2025-08-09T00:00:00"/>
    <n v="0"/>
    <n v="9.1999999999999993"/>
    <x v="0"/>
    <x v="7"/>
    <x v="1"/>
  </r>
  <r>
    <x v="3613"/>
    <n v="4021234567894"/>
    <x v="18"/>
    <s v="Starostlivosť a hygiena – Mačky"/>
    <s v="PawStyle"/>
    <n v="8"/>
    <n v="1"/>
    <s v="NULL"/>
    <s v=""/>
    <d v="2025-08-09T00:00:00"/>
    <n v="0"/>
    <n v="8"/>
    <x v="0"/>
    <x v="7"/>
    <x v="1"/>
  </r>
  <r>
    <x v="3614"/>
    <n v="4056789012345"/>
    <x v="11"/>
    <s v="Krmivo a maškrty – Mačky"/>
    <s v="BellaMeow"/>
    <n v="2.4"/>
    <n v="2"/>
    <s v="NULL"/>
    <s v=""/>
    <d v="2025-08-09T00:00:00"/>
    <n v="0"/>
    <n v="4.8"/>
    <x v="0"/>
    <x v="7"/>
    <x v="1"/>
  </r>
  <r>
    <x v="3615"/>
    <n v="4017890123450"/>
    <x v="16"/>
    <s v="Hračky – Psy"/>
    <s v="Dogissimo"/>
    <n v="7.6"/>
    <n v="1"/>
    <s v="4"/>
    <s v="Pevná, pes ju nosí ven aj domov."/>
    <d v="2025-08-09T00:00:00"/>
    <n v="0"/>
    <n v="7.6"/>
    <x v="1"/>
    <x v="7"/>
    <x v="0"/>
  </r>
  <r>
    <x v="3616"/>
    <n v="4019876501234"/>
    <x v="75"/>
    <s v="Krmivo a maškrty – Mačky"/>
    <s v="BellaMeow"/>
    <n v="1.84"/>
    <n v="3"/>
    <s v="NULL"/>
    <s v=""/>
    <d v="2025-08-09T00:00:00"/>
    <n v="0"/>
    <n v="5.5200000000000005"/>
    <x v="0"/>
    <x v="7"/>
    <x v="1"/>
  </r>
  <r>
    <x v="3616"/>
    <n v="5901234509876"/>
    <x v="79"/>
    <s v="Krmivo a maškrty – Mačky"/>
    <s v="Nordic Tail"/>
    <n v="40"/>
    <n v="1"/>
    <s v="NULL"/>
    <s v=""/>
    <d v="2025-08-09T00:00:00"/>
    <n v="0"/>
    <n v="40"/>
    <x v="0"/>
    <x v="7"/>
    <x v="1"/>
  </r>
  <r>
    <x v="3617"/>
    <n v="4027788990013"/>
    <x v="9"/>
    <s v="Starostlivosť a hygiena – Psy"/>
    <s v="Dogissimo"/>
    <n v="8"/>
    <n v="1"/>
    <s v="NULL"/>
    <s v=""/>
    <d v="2025-08-09T00:00:00"/>
    <n v="0"/>
    <n v="8"/>
    <x v="0"/>
    <x v="7"/>
    <x v="0"/>
  </r>
  <r>
    <x v="3618"/>
    <n v="4004455667780"/>
    <x v="59"/>
    <s v="Misky a kŕmne doplnky – Psy"/>
    <s v="Canine Craft Industries"/>
    <n v="14"/>
    <n v="1"/>
    <s v="5"/>
    <s v="Ťažká a stabilní, nemlátí o podlahu."/>
    <d v="2025-08-09T00:00:00"/>
    <n v="0"/>
    <n v="14"/>
    <x v="2"/>
    <x v="7"/>
    <x v="0"/>
  </r>
  <r>
    <x v="3619"/>
    <n v="4010123456783"/>
    <x v="6"/>
    <s v="Starostlivosť a hygiena – Mačky"/>
    <s v="BellaMeow"/>
    <n v="14"/>
    <n v="1"/>
    <s v="NULL"/>
    <s v=""/>
    <d v="2025-08-09T00:00:00"/>
    <n v="0"/>
    <n v="14"/>
    <x v="0"/>
    <x v="7"/>
    <x v="1"/>
  </r>
  <r>
    <x v="3620"/>
    <n v="4024567890128"/>
    <x v="78"/>
    <s v="Krmivo a maškrty – Psy"/>
    <s v="Canine Craft Industries"/>
    <n v="40"/>
    <n v="1"/>
    <s v="NULL"/>
    <s v=""/>
    <d v="2025-08-09T00:00:00"/>
    <n v="0"/>
    <n v="40"/>
    <x v="0"/>
    <x v="7"/>
    <x v="0"/>
  </r>
  <r>
    <x v="3621"/>
    <n v="4046789012356"/>
    <x v="30"/>
    <s v="Hračky – Psy"/>
    <s v="Pupco"/>
    <n v="6.4"/>
    <n v="1"/>
    <s v="NULL"/>
    <s v=""/>
    <d v="2025-08-10T00:00:00"/>
    <n v="0"/>
    <n v="6.4"/>
    <x v="0"/>
    <x v="7"/>
    <x v="0"/>
  </r>
  <r>
    <x v="3622"/>
    <n v="4029900112244"/>
    <x v="65"/>
    <s v="Starostlivosť a hygiena – Mačky"/>
    <s v="BellaMeow"/>
    <n v="13.6"/>
    <n v="1"/>
    <s v="4"/>
    <s v="Vôňa jemná, mačke nevadí."/>
    <d v="2025-08-10T00:00:00"/>
    <n v="0"/>
    <n v="13.6"/>
    <x v="1"/>
    <x v="7"/>
    <x v="1"/>
  </r>
  <r>
    <x v="3623"/>
    <n v="4003344556679"/>
    <x v="19"/>
    <s v="Pelechy a nábytok – Psy"/>
    <s v="Canine Craft Industries"/>
    <n v="51.64"/>
    <n v="1"/>
    <s v="NULL"/>
    <s v=""/>
    <d v="2025-08-10T00:00:00"/>
    <n v="0"/>
    <n v="51.64"/>
    <x v="0"/>
    <x v="7"/>
    <x v="0"/>
  </r>
  <r>
    <x v="3624"/>
    <n v="4028899001126"/>
    <x v="1"/>
    <s v="Krmivo a maškrty – Psy"/>
    <s v="Pup Republic"/>
    <n v="2.8"/>
    <n v="3"/>
    <s v="NULL"/>
    <s v=""/>
    <d v="2025-08-10T00:00:00"/>
    <n v="0"/>
    <n v="8.3999999999999986"/>
    <x v="0"/>
    <x v="7"/>
    <x v="0"/>
  </r>
  <r>
    <x v="3625"/>
    <n v="4013456789017"/>
    <x v="0"/>
    <s v="Krmivo a maškrty – Psy"/>
    <s v="Snouty"/>
    <n v="6"/>
    <n v="1"/>
    <s v="NULL"/>
    <s v=""/>
    <d v="2025-08-10T00:00:00"/>
    <n v="0"/>
    <n v="6"/>
    <x v="0"/>
    <x v="7"/>
    <x v="0"/>
  </r>
  <r>
    <x v="3626"/>
    <n v="4019876501234"/>
    <x v="75"/>
    <s v="Krmivo a maškrty – Mačky"/>
    <s v="BellaMeow"/>
    <n v="1.84"/>
    <n v="2"/>
    <s v="5"/>
    <s v="Mačka tanier vylízla, beriem znova."/>
    <d v="2025-08-10T00:00:00"/>
    <n v="0"/>
    <n v="3.68"/>
    <x v="2"/>
    <x v="7"/>
    <x v="1"/>
  </r>
  <r>
    <x v="3627"/>
    <n v="4000123456786"/>
    <x v="31"/>
    <s v="Starostlivosť a hygiena – Psy"/>
    <s v="Tail Trend"/>
    <n v="6.8"/>
    <n v="1"/>
    <s v="NULL"/>
    <s v=""/>
    <d v="2025-08-10T00:00:00"/>
    <n v="0"/>
    <n v="6.8"/>
    <x v="0"/>
    <x v="7"/>
    <x v="0"/>
  </r>
  <r>
    <x v="3628"/>
    <n v="4042233445567"/>
    <x v="57"/>
    <s v="Pelechy a nábytok – Mačky"/>
    <s v="CozyNest"/>
    <n v="51.64"/>
    <n v="1"/>
    <s v="NULL"/>
    <s v=""/>
    <d v="2025-08-10T00:00:00"/>
    <n v="0"/>
    <n v="51.64"/>
    <x v="0"/>
    <x v="7"/>
    <x v="1"/>
  </r>
  <r>
    <x v="3629"/>
    <n v="8595566778890"/>
    <x v="77"/>
    <s v="Krmivo a maškrty – Mačky"/>
    <s v="BellaMeow"/>
    <n v="38"/>
    <n v="1"/>
    <s v="NULL"/>
    <s v=""/>
    <d v="2025-08-10T00:00:00"/>
    <n v="0"/>
    <n v="38"/>
    <x v="0"/>
    <x v="7"/>
    <x v="1"/>
  </r>
  <r>
    <x v="3630"/>
    <n v="4025678901239"/>
    <x v="67"/>
    <s v="Hračky – Mačky"/>
    <s v="Pawtastic"/>
    <n v="10"/>
    <n v="1"/>
    <s v="4"/>
    <s v="Kočku zabaví na dlho."/>
    <d v="2025-08-10T00:00:00"/>
    <n v="0"/>
    <n v="10"/>
    <x v="1"/>
    <x v="7"/>
    <x v="1"/>
  </r>
  <r>
    <x v="3631"/>
    <n v="4063456789014"/>
    <x v="15"/>
    <s v="Krmivo a maškrty – Psy"/>
    <s v="Pupco"/>
    <n v="36"/>
    <n v="1"/>
    <s v="NULL"/>
    <s v=""/>
    <d v="2025-08-10T00:00:00"/>
    <n v="0"/>
    <n v="36"/>
    <x v="0"/>
    <x v="7"/>
    <x v="0"/>
  </r>
  <r>
    <x v="3631"/>
    <n v="4028899001126"/>
    <x v="1"/>
    <s v="Krmivo a maškrty – Psy"/>
    <s v="Pup Republic"/>
    <n v="2.8"/>
    <n v="2"/>
    <s v="NULL"/>
    <s v=""/>
    <d v="2025-08-10T00:00:00"/>
    <n v="0"/>
    <n v="5.6"/>
    <x v="0"/>
    <x v="7"/>
    <x v="0"/>
  </r>
  <r>
    <x v="3632"/>
    <n v="4017890123450"/>
    <x v="16"/>
    <s v="Hračky – Psy"/>
    <s v="Dogissimo"/>
    <n v="7.6"/>
    <n v="1"/>
    <s v="5"/>
    <s v="Odolná, pes ju neprehrýzol."/>
    <d v="2025-08-10T00:00:00"/>
    <n v="0"/>
    <n v="7.6"/>
    <x v="2"/>
    <x v="7"/>
    <x v="0"/>
  </r>
  <r>
    <x v="3633"/>
    <n v="5903344556670"/>
    <x v="58"/>
    <s v="Pelechy a nábytok – Mačky"/>
    <s v="Catissime"/>
    <n v="75.64"/>
    <n v="1"/>
    <s v="NULL"/>
    <s v=""/>
    <d v="2025-08-10T00:00:00"/>
    <n v="0"/>
    <n v="75.64"/>
    <x v="0"/>
    <x v="7"/>
    <x v="1"/>
  </r>
  <r>
    <x v="3634"/>
    <n v="4010123456783"/>
    <x v="6"/>
    <s v="Starostlivosť a hygiena – Mačky"/>
    <s v="BellaMeow"/>
    <n v="14"/>
    <n v="1"/>
    <s v="NULL"/>
    <s v=""/>
    <d v="2025-08-11T00:00:00"/>
    <n v="0"/>
    <n v="14"/>
    <x v="0"/>
    <x v="7"/>
    <x v="1"/>
  </r>
  <r>
    <x v="3635"/>
    <n v="4027788990013"/>
    <x v="9"/>
    <s v="Starostlivosť a hygiena – Psy"/>
    <s v="Dogissimo"/>
    <n v="8"/>
    <n v="1"/>
    <s v="4"/>
    <s v="Nedráždí, pekne vonia."/>
    <d v="2025-08-11T00:00:00"/>
    <n v="0"/>
    <n v="8"/>
    <x v="1"/>
    <x v="7"/>
    <x v="0"/>
  </r>
  <r>
    <x v="3636"/>
    <n v="5901122334452"/>
    <x v="60"/>
    <s v="Misky a kŕmne doplnky – Mačky"/>
    <s v="Urban paw"/>
    <n v="12"/>
    <n v="1"/>
    <s v="NULL"/>
    <s v=""/>
    <d v="2025-08-11T00:00:00"/>
    <n v="0"/>
    <n v="12"/>
    <x v="0"/>
    <x v="7"/>
    <x v="1"/>
  </r>
  <r>
    <x v="3637"/>
    <n v="4024567890128"/>
    <x v="78"/>
    <s v="Krmivo a maškrty – Psy"/>
    <s v="Canine Craft Industries"/>
    <n v="40"/>
    <n v="1"/>
    <s v="NULL"/>
    <s v=""/>
    <d v="2025-08-11T00:00:00"/>
    <n v="0"/>
    <n v="40"/>
    <x v="0"/>
    <x v="7"/>
    <x v="0"/>
  </r>
  <r>
    <x v="3638"/>
    <n v="4016677889902"/>
    <x v="41"/>
    <s v="Oblečenie a doplnky – Psy"/>
    <s v="Pup Republic"/>
    <n v="22"/>
    <n v="1"/>
    <s v="NULL"/>
    <s v=""/>
    <d v="2025-08-11T00:00:00"/>
    <n v="0"/>
    <n v="22"/>
    <x v="0"/>
    <x v="7"/>
    <x v="0"/>
  </r>
  <r>
    <x v="3639"/>
    <n v="4049012345683"/>
    <x v="14"/>
    <s v="Starostlivosť a hygiena – Mačky"/>
    <s v="Pawtastic"/>
    <n v="9.1999999999999993"/>
    <n v="1"/>
    <s v="5"/>
    <s v="Skvelo vyčeše podsadu."/>
    <d v="2025-08-11T00:00:00"/>
    <n v="0"/>
    <n v="9.1999999999999993"/>
    <x v="2"/>
    <x v="7"/>
    <x v="1"/>
  </r>
  <r>
    <x v="3640"/>
    <n v="4050123456794"/>
    <x v="8"/>
    <s v="Starostlivosť a hygiena – Mačky"/>
    <s v="Nordic Tail"/>
    <n v="7.2"/>
    <n v="1"/>
    <s v="NULL"/>
    <s v=""/>
    <d v="2025-08-11T00:00:00"/>
    <n v="0"/>
    <n v="7.2"/>
    <x v="0"/>
    <x v="7"/>
    <x v="1"/>
  </r>
  <r>
    <x v="3641"/>
    <n v="4023456789012"/>
    <x v="13"/>
    <s v="Krmivo a maškrty – Mačky"/>
    <s v="Mr. Whiskers"/>
    <n v="4"/>
    <n v="2"/>
    <s v="NULL"/>
    <s v=""/>
    <d v="2025-08-11T00:00:00"/>
    <n v="0"/>
    <n v="8"/>
    <x v="0"/>
    <x v="7"/>
    <x v="1"/>
  </r>
  <r>
    <x v="3642"/>
    <n v="5901234509876"/>
    <x v="79"/>
    <s v="Krmivo a maškrty – Mačky"/>
    <s v="Nordic Tail"/>
    <n v="40"/>
    <n v="1"/>
    <s v="5"/>
    <s v="Menej bezoárov, spokojenost."/>
    <d v="2025-08-11T00:00:00"/>
    <n v="0"/>
    <n v="40"/>
    <x v="2"/>
    <x v="7"/>
    <x v="1"/>
  </r>
  <r>
    <x v="3643"/>
    <n v="4047890123460"/>
    <x v="40"/>
    <s v="Oblečenie a doplnky – Mačky"/>
    <s v="Pawtastic"/>
    <n v="10"/>
    <n v="1"/>
    <s v="NULL"/>
    <s v=""/>
    <d v="2025-08-11T00:00:00"/>
    <n v="0"/>
    <n v="10"/>
    <x v="0"/>
    <x v="7"/>
    <x v="1"/>
  </r>
  <r>
    <x v="3644"/>
    <n v="4013456789017"/>
    <x v="0"/>
    <s v="Krmivo a maškrty – Psy"/>
    <s v="Snouty"/>
    <n v="6"/>
    <n v="1"/>
    <s v="NULL"/>
    <s v=""/>
    <d v="2025-08-11T00:00:00"/>
    <n v="0"/>
    <n v="6"/>
    <x v="0"/>
    <x v="7"/>
    <x v="0"/>
  </r>
  <r>
    <x v="3645"/>
    <n v="4028899001126"/>
    <x v="1"/>
    <s v="Krmivo a maškrty – Psy"/>
    <s v="Pup Republic"/>
    <n v="2.8"/>
    <n v="2"/>
    <s v="3"/>
    <s v="Za tú cenu ok."/>
    <d v="2025-08-11T00:00:00"/>
    <n v="0"/>
    <n v="5.6"/>
    <x v="3"/>
    <x v="7"/>
    <x v="0"/>
  </r>
  <r>
    <x v="3646"/>
    <n v="4044567890123"/>
    <x v="27"/>
    <s v="Hračky – Mačky"/>
    <s v="BellaMeow"/>
    <n v="6"/>
    <n v="1"/>
    <s v="NULL"/>
    <s v=""/>
    <d v="2025-08-11T00:00:00"/>
    <n v="0"/>
    <n v="6"/>
    <x v="0"/>
    <x v="7"/>
    <x v="1"/>
  </r>
  <r>
    <x v="3647"/>
    <n v="8599988776654"/>
    <x v="56"/>
    <s v="Pelechy a nábytok – Psy"/>
    <s v="Pup Republic"/>
    <n v="28"/>
    <n v="1"/>
    <s v="NULL"/>
    <s v=""/>
    <d v="2025-08-11T00:00:00"/>
    <n v="0"/>
    <n v="28"/>
    <x v="0"/>
    <x v="7"/>
    <x v="0"/>
  </r>
  <r>
    <x v="3648"/>
    <n v="4010123456783"/>
    <x v="6"/>
    <s v="Starostlivosť a hygiena – Mačky"/>
    <s v="BellaMeow"/>
    <n v="14"/>
    <n v="2"/>
    <s v="NULL"/>
    <s v=""/>
    <d v="2025-08-12T00:00:00"/>
    <n v="0"/>
    <n v="28"/>
    <x v="0"/>
    <x v="7"/>
    <x v="1"/>
  </r>
  <r>
    <x v="3648"/>
    <n v="4056789012345"/>
    <x v="11"/>
    <s v="Krmivo a maškrty – Mačky"/>
    <s v="BellaMeow"/>
    <n v="2.4"/>
    <n v="2"/>
    <s v="NULL"/>
    <s v=""/>
    <d v="2025-08-12T00:00:00"/>
    <n v="0"/>
    <n v="4.8"/>
    <x v="0"/>
    <x v="7"/>
    <x v="1"/>
  </r>
  <r>
    <x v="3649"/>
    <n v="4025678901239"/>
    <x v="67"/>
    <s v="Hračky – Mačky"/>
    <s v="Pawtastic"/>
    <n v="10"/>
    <n v="1"/>
    <s v="4"/>
    <s v="Zábava aj pre mačiatka."/>
    <d v="2025-08-12T00:00:00"/>
    <n v="0"/>
    <n v="10"/>
    <x v="1"/>
    <x v="7"/>
    <x v="1"/>
  </r>
  <r>
    <x v="3650"/>
    <n v="4063456789014"/>
    <x v="15"/>
    <s v="Krmivo a maškrty – Psy"/>
    <s v="Pupco"/>
    <n v="36"/>
    <n v="1"/>
    <s v="NULL"/>
    <s v=""/>
    <d v="2025-08-12T00:00:00"/>
    <n v="0"/>
    <n v="36"/>
    <x v="0"/>
    <x v="7"/>
    <x v="0"/>
  </r>
  <r>
    <x v="3651"/>
    <n v="4000123456786"/>
    <x v="31"/>
    <s v="Starostlivosť a hygiena – Psy"/>
    <s v="Tail Trend"/>
    <n v="6.8"/>
    <n v="1"/>
    <s v="NULL"/>
    <s v=""/>
    <d v="2025-08-12T00:00:00"/>
    <n v="0"/>
    <n v="6.8"/>
    <x v="0"/>
    <x v="7"/>
    <x v="0"/>
  </r>
  <r>
    <x v="3652"/>
    <n v="4017890123450"/>
    <x v="16"/>
    <s v="Hračky – Psy"/>
    <s v="Dogissimo"/>
    <n v="7.6"/>
    <n v="1"/>
    <s v="4"/>
    <s v="Pes ju chce stále házet."/>
    <d v="2025-08-12T00:00:00"/>
    <n v="0"/>
    <n v="7.6"/>
    <x v="1"/>
    <x v="7"/>
    <x v="0"/>
  </r>
  <r>
    <x v="3653"/>
    <n v="5903344556670"/>
    <x v="58"/>
    <s v="Pelechy a nábytok – Mačky"/>
    <s v="Catissime"/>
    <n v="75.64"/>
    <n v="1"/>
    <s v="NULL"/>
    <s v=""/>
    <d v="2025-08-12T00:00:00"/>
    <n v="0"/>
    <n v="75.64"/>
    <x v="0"/>
    <x v="7"/>
    <x v="1"/>
  </r>
  <r>
    <x v="3654"/>
    <n v="4003344556679"/>
    <x v="19"/>
    <s v="Pelechy a nábytok – Psy"/>
    <s v="Canine Craft Industries"/>
    <n v="51.64"/>
    <n v="1"/>
    <s v="5"/>
    <s v="Mäkký a drží tvar."/>
    <d v="2025-08-12T00:00:00"/>
    <n v="0"/>
    <n v="51.64"/>
    <x v="2"/>
    <x v="7"/>
    <x v="0"/>
  </r>
  <r>
    <x v="3655"/>
    <n v="4021234567894"/>
    <x v="18"/>
    <s v="Starostlivosť a hygiena – Mačky"/>
    <s v="PawStyle"/>
    <n v="8"/>
    <n v="1"/>
    <s v="NULL"/>
    <s v=""/>
    <d v="2025-08-12T00:00:00"/>
    <n v="0"/>
    <n v="8"/>
    <x v="0"/>
    <x v="7"/>
    <x v="1"/>
  </r>
  <r>
    <x v="3656"/>
    <n v="4019876501234"/>
    <x v="75"/>
    <s v="Krmivo a maškrty – Mačky"/>
    <s v="BellaMeow"/>
    <n v="1.84"/>
    <n v="3"/>
    <s v="NULL"/>
    <s v=""/>
    <d v="2025-08-12T00:00:00"/>
    <n v="0"/>
    <n v="5.5200000000000005"/>
    <x v="0"/>
    <x v="7"/>
    <x v="1"/>
  </r>
  <r>
    <x v="3657"/>
    <n v="4057890123467"/>
    <x v="32"/>
    <s v="Hračky – Psy"/>
    <s v="Bark&amp;Bone"/>
    <n v="9.6"/>
    <n v="1"/>
    <s v="NULL"/>
    <s v=""/>
    <d v="2025-08-12T00:00:00"/>
    <n v="0"/>
    <n v="9.6"/>
    <x v="0"/>
    <x v="7"/>
    <x v="0"/>
  </r>
  <r>
    <x v="3658"/>
    <n v="4013456789017"/>
    <x v="0"/>
    <s v="Krmivo a maškrty – Psy"/>
    <s v="Snouty"/>
    <n v="6"/>
    <n v="2"/>
    <s v="4"/>
    <s v="Dobre sa láme na malé kousky."/>
    <d v="2025-08-12T00:00:00"/>
    <n v="0"/>
    <n v="12"/>
    <x v="1"/>
    <x v="7"/>
    <x v="0"/>
  </r>
  <r>
    <x v="3659"/>
    <n v="4028899001126"/>
    <x v="1"/>
    <s v="Krmivo a maškrty – Psy"/>
    <s v="Pup Republic"/>
    <n v="2.8"/>
    <n v="2"/>
    <s v="NULL"/>
    <s v=""/>
    <d v="2025-08-12T00:00:00"/>
    <n v="0"/>
    <n v="5.6"/>
    <x v="0"/>
    <x v="7"/>
    <x v="0"/>
  </r>
  <r>
    <x v="3660"/>
    <n v="8599988776654"/>
    <x v="56"/>
    <s v="Pelechy a nábytok – Psy"/>
    <s v="Pup Republic"/>
    <n v="28"/>
    <n v="1"/>
    <s v="NULL"/>
    <s v=""/>
    <d v="2025-08-12T00:00:00"/>
    <n v="0"/>
    <n v="28"/>
    <x v="0"/>
    <x v="7"/>
    <x v="0"/>
  </r>
  <r>
    <x v="3661"/>
    <n v="4010123456783"/>
    <x v="6"/>
    <s v="Starostlivosť a hygiena – Mačky"/>
    <s v="BellaMeow"/>
    <n v="14"/>
    <n v="1"/>
    <s v="5"/>
    <s v="Nepráší a vydrží."/>
    <d v="2025-08-12T00:00:00"/>
    <n v="0"/>
    <n v="14"/>
    <x v="2"/>
    <x v="7"/>
    <x v="1"/>
  </r>
  <r>
    <x v="3662"/>
    <n v="4024567890128"/>
    <x v="78"/>
    <s v="Krmivo a maškrty – Psy"/>
    <s v="Canine Craft Industries"/>
    <n v="40"/>
    <n v="1"/>
    <s v="NULL"/>
    <s v=""/>
    <d v="2025-08-12T00:00:00"/>
    <n v="0"/>
    <n v="40"/>
    <x v="0"/>
    <x v="7"/>
    <x v="0"/>
  </r>
  <r>
    <x v="3663"/>
    <n v="5901234509876"/>
    <x v="79"/>
    <s v="Krmivo a maškrty – Mačky"/>
    <s v="Nordic Tail"/>
    <n v="40"/>
    <n v="1"/>
    <s v="NULL"/>
    <s v=""/>
    <d v="2025-08-13T00:00:00"/>
    <n v="0"/>
    <n v="40"/>
    <x v="0"/>
    <x v="7"/>
    <x v="1"/>
  </r>
  <r>
    <x v="3664"/>
    <n v="4046789012356"/>
    <x v="30"/>
    <s v="Hračky – Psy"/>
    <s v="Pupco"/>
    <n v="6.4"/>
    <n v="1"/>
    <s v="4"/>
    <s v="Dobre skáče, pes sa hrá."/>
    <d v="2025-08-13T00:00:00"/>
    <n v="0"/>
    <n v="6.4"/>
    <x v="1"/>
    <x v="7"/>
    <x v="0"/>
  </r>
  <r>
    <x v="3665"/>
    <n v="4017890123450"/>
    <x v="16"/>
    <s v="Hračky – Psy"/>
    <s v="Dogissimo"/>
    <n v="7.6"/>
    <n v="1"/>
    <s v="NULL"/>
    <s v=""/>
    <d v="2025-08-13T00:00:00"/>
    <n v="0"/>
    <n v="7.6"/>
    <x v="0"/>
    <x v="7"/>
    <x v="0"/>
  </r>
  <r>
    <x v="3666"/>
    <n v="5901122334452"/>
    <x v="60"/>
    <s v="Misky a kŕmne doplnky – Mačky"/>
    <s v="Urban paw"/>
    <n v="12"/>
    <n v="1"/>
    <s v="NULL"/>
    <s v=""/>
    <d v="2025-08-13T00:00:00"/>
    <n v="0"/>
    <n v="12"/>
    <x v="0"/>
    <x v="7"/>
    <x v="1"/>
  </r>
  <r>
    <x v="3667"/>
    <n v="4027788990013"/>
    <x v="9"/>
    <s v="Starostlivosť a hygiena – Psy"/>
    <s v="Dogissimo"/>
    <n v="8"/>
    <n v="1"/>
    <s v="4"/>
    <s v="Lépe sa rozčesává srsť."/>
    <d v="2025-08-13T00:00:00"/>
    <n v="0"/>
    <n v="8"/>
    <x v="1"/>
    <x v="7"/>
    <x v="0"/>
  </r>
  <r>
    <x v="3668"/>
    <n v="4028899001126"/>
    <x v="1"/>
    <s v="Krmivo a maškrty – Psy"/>
    <s v="Pup Republic"/>
    <n v="2.8"/>
    <n v="3"/>
    <s v="NULL"/>
    <s v=""/>
    <d v="2025-08-13T00:00:00"/>
    <n v="0"/>
    <n v="8.3999999999999986"/>
    <x v="0"/>
    <x v="7"/>
    <x v="0"/>
  </r>
  <r>
    <x v="3669"/>
    <n v="4013456789017"/>
    <x v="0"/>
    <s v="Krmivo a maškrty – Psy"/>
    <s v="Snouty"/>
    <n v="6"/>
    <n v="1"/>
    <s v="NULL"/>
    <s v=""/>
    <d v="2025-08-13T00:00:00"/>
    <n v="0"/>
    <n v="6"/>
    <x v="0"/>
    <x v="7"/>
    <x v="0"/>
  </r>
  <r>
    <x v="3670"/>
    <n v="4042233445567"/>
    <x v="57"/>
    <s v="Pelechy a nábytok – Mačky"/>
    <s v="CozyNest"/>
    <n v="51.64"/>
    <n v="1"/>
    <s v="NULL"/>
    <s v=""/>
    <d v="2025-08-13T00:00:00"/>
    <n v="0"/>
    <n v="51.64"/>
    <x v="0"/>
    <x v="7"/>
    <x v="1"/>
  </r>
  <r>
    <x v="3671"/>
    <n v="8595566778890"/>
    <x v="77"/>
    <s v="Krmivo a maškrty – Mačky"/>
    <s v="BellaMeow"/>
    <n v="38"/>
    <n v="1"/>
    <s v="5"/>
    <s v="Menej chlpov po byte."/>
    <d v="2025-08-13T00:00:00"/>
    <n v="0"/>
    <n v="38"/>
    <x v="2"/>
    <x v="7"/>
    <x v="1"/>
  </r>
  <r>
    <x v="3672"/>
    <n v="4025678901239"/>
    <x v="67"/>
    <s v="Hračky – Mačky"/>
    <s v="Pawtastic"/>
    <n v="10"/>
    <n v="1"/>
    <s v="NULL"/>
    <s v=""/>
    <d v="2025-08-13T00:00:00"/>
    <n v="0"/>
    <n v="10"/>
    <x v="0"/>
    <x v="7"/>
    <x v="1"/>
  </r>
  <r>
    <x v="3673"/>
    <n v="4063456789014"/>
    <x v="15"/>
    <s v="Krmivo a maškrty – Psy"/>
    <s v="Pupco"/>
    <n v="36"/>
    <n v="1"/>
    <s v="NULL"/>
    <s v=""/>
    <d v="2025-08-13T00:00:00"/>
    <n v="0"/>
    <n v="36"/>
    <x v="0"/>
    <x v="7"/>
    <x v="0"/>
  </r>
  <r>
    <x v="3673"/>
    <n v="4021234567894"/>
    <x v="18"/>
    <s v="Starostlivosť a hygiena – Mačky"/>
    <s v="PawStyle"/>
    <n v="8"/>
    <n v="1"/>
    <s v="NULL"/>
    <s v=""/>
    <d v="2025-08-13T00:00:00"/>
    <n v="0"/>
    <n v="8"/>
    <x v="0"/>
    <x v="7"/>
    <x v="1"/>
  </r>
  <r>
    <x v="3674"/>
    <n v="4010123456783"/>
    <x v="6"/>
    <s v="Starostlivosť a hygiena – Mačky"/>
    <s v="BellaMeow"/>
    <n v="14"/>
    <n v="1"/>
    <s v="4"/>
    <s v="Minimum prachu."/>
    <d v="2025-08-13T00:00:00"/>
    <n v="0"/>
    <n v="14"/>
    <x v="1"/>
    <x v="7"/>
    <x v="1"/>
  </r>
  <r>
    <x v="3675"/>
    <n v="4017890123450"/>
    <x v="16"/>
    <s v="Hračky – Psy"/>
    <s v="Dogissimo"/>
    <n v="7.6"/>
    <n v="1"/>
    <s v="NULL"/>
    <s v=""/>
    <d v="2025-08-14T00:00:00"/>
    <n v="0"/>
    <n v="7.6"/>
    <x v="0"/>
    <x v="7"/>
    <x v="0"/>
  </r>
  <r>
    <x v="3676"/>
    <n v="4050123456794"/>
    <x v="8"/>
    <s v="Starostlivosť a hygiena – Mačky"/>
    <s v="Nordic Tail"/>
    <n v="7.2"/>
    <n v="1"/>
    <s v="NULL"/>
    <s v=""/>
    <d v="2025-08-14T00:00:00"/>
    <n v="0"/>
    <n v="7.2"/>
    <x v="0"/>
    <x v="7"/>
    <x v="1"/>
  </r>
  <r>
    <x v="3677"/>
    <n v="4003344556679"/>
    <x v="19"/>
    <s v="Pelechy a nábytok – Psy"/>
    <s v="Canine Craft Industries"/>
    <n v="51.64"/>
    <n v="1"/>
    <s v="5"/>
    <s v="Pes sa do neho rád vrací."/>
    <d v="2025-08-14T00:00:00"/>
    <n v="0"/>
    <n v="51.64"/>
    <x v="2"/>
    <x v="7"/>
    <x v="0"/>
  </r>
  <r>
    <x v="3678"/>
    <n v="5903344556670"/>
    <x v="58"/>
    <s v="Pelechy a nábytok – Mačky"/>
    <s v="Catissime"/>
    <n v="75.64"/>
    <n v="1"/>
    <s v="NULL"/>
    <s v=""/>
    <d v="2025-08-14T00:00:00"/>
    <n v="0"/>
    <n v="75.64"/>
    <x v="0"/>
    <x v="7"/>
    <x v="1"/>
  </r>
  <r>
    <x v="3679"/>
    <n v="4024567890128"/>
    <x v="78"/>
    <s v="Krmivo a maškrty – Psy"/>
    <s v="Canine Craft Industries"/>
    <n v="40"/>
    <n v="1"/>
    <s v="NULL"/>
    <s v=""/>
    <d v="2025-08-14T00:00:00"/>
    <n v="0"/>
    <n v="40"/>
    <x v="0"/>
    <x v="7"/>
    <x v="0"/>
  </r>
  <r>
    <x v="3680"/>
    <n v="4010123456783"/>
    <x v="6"/>
    <s v="Starostlivosť a hygiena – Mačky"/>
    <s v="BellaMeow"/>
    <n v="14"/>
    <n v="1"/>
    <s v="NULL"/>
    <s v=""/>
    <d v="2025-08-14T00:00:00"/>
    <n v="0"/>
    <n v="14"/>
    <x v="0"/>
    <x v="7"/>
    <x v="1"/>
  </r>
  <r>
    <x v="3681"/>
    <n v="4028899001126"/>
    <x v="1"/>
    <s v="Krmivo a maškrty – Psy"/>
    <s v="Pup Republic"/>
    <n v="2.8"/>
    <n v="2"/>
    <s v="4"/>
    <s v="Pes misku nekompromisne čistí."/>
    <d v="2025-08-14T00:00:00"/>
    <n v="0"/>
    <n v="5.6"/>
    <x v="1"/>
    <x v="7"/>
    <x v="0"/>
  </r>
  <r>
    <x v="3682"/>
    <n v="4013456789017"/>
    <x v="0"/>
    <s v="Krmivo a maškrty – Psy"/>
    <s v="Snouty"/>
    <n v="6"/>
    <n v="2"/>
    <s v="NULL"/>
    <s v=""/>
    <d v="2025-08-14T00:00:00"/>
    <n v="0"/>
    <n v="12"/>
    <x v="0"/>
    <x v="7"/>
    <x v="0"/>
  </r>
  <r>
    <x v="3683"/>
    <n v="4001234567893"/>
    <x v="5"/>
    <s v="Krmivo a maškrty – Mačky"/>
    <s v="Mr. Whiskers"/>
    <n v="9.1999999999999993"/>
    <n v="1"/>
    <s v="NULL"/>
    <s v=""/>
    <d v="2025-08-14T00:00:00"/>
    <n v="0"/>
    <n v="9.1999999999999993"/>
    <x v="0"/>
    <x v="7"/>
    <x v="1"/>
  </r>
  <r>
    <x v="3684"/>
    <n v="5901234509876"/>
    <x v="79"/>
    <s v="Krmivo a maškrty – Mačky"/>
    <s v="Nordic Tail"/>
    <n v="40"/>
    <n v="1"/>
    <s v="5"/>
    <s v="Funguje na chlupové koule."/>
    <d v="2025-08-14T00:00:00"/>
    <n v="0"/>
    <n v="40"/>
    <x v="2"/>
    <x v="7"/>
    <x v="1"/>
  </r>
  <r>
    <x v="3685"/>
    <n v="4046789012356"/>
    <x v="30"/>
    <s v="Hračky – Psy"/>
    <s v="Pupco"/>
    <n v="6.4"/>
    <n v="1"/>
    <s v="NULL"/>
    <s v=""/>
    <d v="2025-08-14T00:00:00"/>
    <n v="0"/>
    <n v="6.4"/>
    <x v="0"/>
    <x v="7"/>
    <x v="0"/>
  </r>
  <r>
    <x v="3686"/>
    <n v="4025678901239"/>
    <x v="67"/>
    <s v="Hračky – Mačky"/>
    <s v="Pawtastic"/>
    <n v="10"/>
    <n v="1"/>
    <s v="NULL"/>
    <s v=""/>
    <d v="2025-08-14T00:00:00"/>
    <n v="0"/>
    <n v="10"/>
    <x v="0"/>
    <x v="7"/>
    <x v="1"/>
  </r>
  <r>
    <x v="3687"/>
    <n v="4019876501234"/>
    <x v="75"/>
    <s v="Krmivo a maškrty – Mačky"/>
    <s v="BellaMeow"/>
    <n v="1.84"/>
    <n v="2"/>
    <s v="NULL"/>
    <s v=""/>
    <d v="2025-08-14T00:00:00"/>
    <n v="0"/>
    <n v="3.68"/>
    <x v="0"/>
    <x v="7"/>
    <x v="1"/>
  </r>
  <r>
    <x v="3688"/>
    <n v="4063456789014"/>
    <x v="15"/>
    <s v="Krmivo a maškrty – Psy"/>
    <s v="Pupco"/>
    <n v="36"/>
    <n v="1"/>
    <s v="5"/>
    <s v="Srsť sa leskne, pes žerie s chuťou."/>
    <d v="2025-08-14T00:00:00"/>
    <n v="0"/>
    <n v="36"/>
    <x v="2"/>
    <x v="7"/>
    <x v="0"/>
  </r>
  <r>
    <x v="3689"/>
    <n v="5901122334452"/>
    <x v="60"/>
    <s v="Misky a kŕmne doplnky – Mačky"/>
    <s v="Urban paw"/>
    <n v="12"/>
    <n v="1"/>
    <s v="NULL"/>
    <s v=""/>
    <d v="2025-08-15T00:00:00"/>
    <n v="0"/>
    <n v="12"/>
    <x v="0"/>
    <x v="7"/>
    <x v="1"/>
  </r>
  <r>
    <x v="3690"/>
    <n v="4027788990013"/>
    <x v="9"/>
    <s v="Starostlivosť a hygiena – Psy"/>
    <s v="Dogissimo"/>
    <n v="8"/>
    <n v="1"/>
    <s v="NULL"/>
    <s v=""/>
    <d v="2025-08-15T00:00:00"/>
    <n v="0"/>
    <n v="8"/>
    <x v="0"/>
    <x v="7"/>
    <x v="0"/>
  </r>
  <r>
    <x v="3691"/>
    <n v="4010123456783"/>
    <x v="6"/>
    <s v="Starostlivosť a hygiena – Mačky"/>
    <s v="BellaMeow"/>
    <n v="14"/>
    <n v="1"/>
    <s v="4"/>
    <s v="Zápach výrazne menší."/>
    <d v="2025-08-15T00:00:00"/>
    <n v="0"/>
    <n v="14"/>
    <x v="1"/>
    <x v="7"/>
    <x v="1"/>
  </r>
  <r>
    <x v="3692"/>
    <n v="4028899001126"/>
    <x v="1"/>
    <s v="Krmivo a maškrty – Psy"/>
    <s v="Pup Republic"/>
    <n v="2.8"/>
    <n v="2"/>
    <s v="NULL"/>
    <s v=""/>
    <d v="2025-08-15T00:00:00"/>
    <n v="0"/>
    <n v="5.6"/>
    <x v="0"/>
    <x v="7"/>
    <x v="0"/>
  </r>
  <r>
    <x v="3693"/>
    <n v="4013456789017"/>
    <x v="0"/>
    <s v="Krmivo a maškrty – Psy"/>
    <s v="Snouty"/>
    <n v="6"/>
    <n v="1"/>
    <s v="NULL"/>
    <s v=""/>
    <d v="2025-08-15T00:00:00"/>
    <n v="0"/>
    <n v="6"/>
    <x v="0"/>
    <x v="7"/>
    <x v="0"/>
  </r>
  <r>
    <x v="3694"/>
    <n v="4044567890123"/>
    <x v="27"/>
    <s v="Hračky – Mačky"/>
    <s v="BellaMeow"/>
    <n v="6"/>
    <n v="1"/>
    <s v="5"/>
    <s v="Mačka sa vybláznaj každý večer."/>
    <d v="2025-08-15T00:00:00"/>
    <n v="0"/>
    <n v="6"/>
    <x v="2"/>
    <x v="7"/>
    <x v="1"/>
  </r>
  <r>
    <x v="3695"/>
    <n v="8599988776654"/>
    <x v="56"/>
    <s v="Pelechy a nábytok – Psy"/>
    <s v="Pup Republic"/>
    <n v="28"/>
    <n v="1"/>
    <s v="NULL"/>
    <s v=""/>
    <d v="2025-08-15T00:00:00"/>
    <n v="0"/>
    <n v="28"/>
    <x v="0"/>
    <x v="7"/>
    <x v="0"/>
  </r>
  <r>
    <x v="3696"/>
    <n v="4024567890128"/>
    <x v="78"/>
    <s v="Krmivo a maškrty – Psy"/>
    <s v="Canine Craft Industries"/>
    <n v="40"/>
    <n v="1"/>
    <s v="NULL"/>
    <s v=""/>
    <d v="2025-08-15T00:00:00"/>
    <n v="0"/>
    <n v="40"/>
    <x v="0"/>
    <x v="7"/>
    <x v="0"/>
  </r>
  <r>
    <x v="3697"/>
    <n v="8595566778890"/>
    <x v="77"/>
    <s v="Krmivo a maškrty – Mačky"/>
    <s v="BellaMeow"/>
    <n v="38"/>
    <n v="1"/>
    <s v="4"/>
    <s v="Menej chlpov na koberci."/>
    <d v="2025-08-15T00:00:00"/>
    <n v="0"/>
    <n v="38"/>
    <x v="1"/>
    <x v="7"/>
    <x v="1"/>
  </r>
  <r>
    <x v="3698"/>
    <n v="4017890123450"/>
    <x v="16"/>
    <s v="Hračky – Psy"/>
    <s v="Dogissimo"/>
    <n v="7.6"/>
    <n v="1"/>
    <s v="NULL"/>
    <s v=""/>
    <d v="2025-08-15T00:00:00"/>
    <n v="0"/>
    <n v="7.6"/>
    <x v="0"/>
    <x v="7"/>
    <x v="0"/>
  </r>
  <r>
    <x v="3699"/>
    <n v="4002233445566"/>
    <x v="28"/>
    <s v="Pelechy a nábytok – Mačky"/>
    <s v="Catissime"/>
    <n v="20"/>
    <n v="1"/>
    <s v="NULL"/>
    <s v=""/>
    <d v="2025-08-15T00:00:00"/>
    <n v="0"/>
    <n v="20"/>
    <x v="0"/>
    <x v="7"/>
    <x v="1"/>
  </r>
  <r>
    <x v="3700"/>
    <n v="4056789012345"/>
    <x v="11"/>
    <s v="Krmivo a maškrty – Mačky"/>
    <s v="BellaMeow"/>
    <n v="2.4"/>
    <n v="2"/>
    <s v="NULL"/>
    <s v=""/>
    <d v="2025-08-15T00:00:00"/>
    <n v="0"/>
    <n v="4.8"/>
    <x v="0"/>
    <x v="7"/>
    <x v="1"/>
  </r>
  <r>
    <x v="3701"/>
    <n v="4021234567894"/>
    <x v="18"/>
    <s v="Starostlivosť a hygiena – Mačky"/>
    <s v="PawStyle"/>
    <n v="8"/>
    <n v="1"/>
    <s v="5"/>
    <s v="Rychle potlačí pachy, odporúčam."/>
    <d v="2025-08-15T00:00:00"/>
    <n v="0"/>
    <n v="8"/>
    <x v="2"/>
    <x v="7"/>
    <x v="1"/>
  </r>
  <r>
    <x v="3702"/>
    <n v="4028899001126"/>
    <x v="1"/>
    <s v="Krmivo a maškrty – Psy"/>
    <s v="Pup Republic"/>
    <n v="2.8"/>
    <n v="2"/>
    <s v="NULL"/>
    <s v=""/>
    <d v="2025-08-16T00:00:00"/>
    <n v="0"/>
    <n v="5.6"/>
    <x v="0"/>
    <x v="7"/>
    <x v="0"/>
  </r>
  <r>
    <x v="3703"/>
    <n v="4010123456783"/>
    <x v="6"/>
    <s v="Starostlivosť a hygiena – Mačky"/>
    <s v="BellaMeow"/>
    <n v="14"/>
    <n v="1"/>
    <s v="5"/>
    <s v="Najlepšia podstielka, čo sme zatiaľ mali."/>
    <d v="2025-08-16T00:00:00"/>
    <n v="0"/>
    <n v="14"/>
    <x v="2"/>
    <x v="7"/>
    <x v="1"/>
  </r>
  <r>
    <x v="3704"/>
    <n v="4063456789014"/>
    <x v="15"/>
    <s v="Krmivo a maškrty – Psy"/>
    <s v="Pupco"/>
    <n v="36"/>
    <n v="1"/>
    <s v="NULL"/>
    <s v=""/>
    <d v="2025-08-16T00:00:00"/>
    <n v="0"/>
    <n v="36"/>
    <x v="0"/>
    <x v="7"/>
    <x v="0"/>
  </r>
  <r>
    <x v="3705"/>
    <n v="4045678901234"/>
    <x v="74"/>
    <s v="Krmivo a maškrty – Mačky"/>
    <s v="Pawtastic"/>
    <n v="9.6"/>
    <n v="1"/>
    <s v="NULL"/>
    <s v=""/>
    <d v="2025-08-16T00:00:00"/>
    <n v="0"/>
    <n v="9.6"/>
    <x v="0"/>
    <x v="7"/>
    <x v="1"/>
  </r>
  <r>
    <x v="3706"/>
    <n v="8599988776654"/>
    <x v="56"/>
    <s v="Pelechy a nábytok – Psy"/>
    <s v="Pup Republic"/>
    <n v="28"/>
    <n v="1"/>
    <s v="NULL"/>
    <s v=""/>
    <d v="2025-08-16T00:00:00"/>
    <n v="0"/>
    <n v="28"/>
    <x v="0"/>
    <x v="7"/>
    <x v="0"/>
  </r>
  <r>
    <x v="3707"/>
    <n v="4013456789017"/>
    <x v="0"/>
    <s v="Krmivo a maškrty – Psy"/>
    <s v="Snouty"/>
    <n v="6"/>
    <n v="1"/>
    <s v="4"/>
    <s v="Skvelé na tréning."/>
    <d v="2025-08-16T00:00:00"/>
    <n v="0"/>
    <n v="6"/>
    <x v="1"/>
    <x v="7"/>
    <x v="0"/>
  </r>
  <r>
    <x v="3708"/>
    <n v="4001234567893"/>
    <x v="5"/>
    <s v="Krmivo a maškrty – Mačky"/>
    <s v="Mr. Whiskers"/>
    <n v="9.1999999999999993"/>
    <n v="1"/>
    <s v="NULL"/>
    <s v=""/>
    <d v="2025-08-16T00:00:00"/>
    <n v="0"/>
    <n v="9.1999999999999993"/>
    <x v="0"/>
    <x v="7"/>
    <x v="1"/>
  </r>
  <r>
    <x v="3709"/>
    <n v="4021234567894"/>
    <x v="18"/>
    <s v="Starostlivosť a hygiena – Mačky"/>
    <s v="PawStyle"/>
    <n v="8"/>
    <n v="1"/>
    <s v="NULL"/>
    <s v=""/>
    <d v="2025-08-16T00:00:00"/>
    <n v="0"/>
    <n v="8"/>
    <x v="0"/>
    <x v="7"/>
    <x v="1"/>
  </r>
  <r>
    <x v="3710"/>
    <n v="4056789012345"/>
    <x v="11"/>
    <s v="Krmivo a maškrty – Mačky"/>
    <s v="BellaMeow"/>
    <n v="2.4"/>
    <n v="2"/>
    <s v="NULL"/>
    <s v=""/>
    <d v="2025-08-17T00:00:00"/>
    <n v="0"/>
    <n v="4.8"/>
    <x v="0"/>
    <x v="7"/>
    <x v="1"/>
  </r>
  <r>
    <x v="3710"/>
    <n v="4019876501234"/>
    <x v="75"/>
    <s v="Krmivo a maškrty – Mačky"/>
    <s v="BellaMeow"/>
    <n v="1.84"/>
    <n v="2"/>
    <s v="NULL"/>
    <s v=""/>
    <d v="2025-08-17T00:00:00"/>
    <n v="0"/>
    <n v="3.68"/>
    <x v="0"/>
    <x v="7"/>
    <x v="1"/>
  </r>
  <r>
    <x v="3711"/>
    <n v="4017890123450"/>
    <x v="16"/>
    <s v="Hračky – Psy"/>
    <s v="Dogissimo"/>
    <n v="7.6"/>
    <n v="1"/>
    <s v="NULL"/>
    <s v=""/>
    <d v="2025-08-17T00:00:00"/>
    <n v="0"/>
    <n v="7.6"/>
    <x v="0"/>
    <x v="7"/>
    <x v="0"/>
  </r>
  <r>
    <x v="3712"/>
    <n v="5901234509876"/>
    <x v="79"/>
    <s v="Krmivo a maškrty – Mačky"/>
    <s v="Nordic Tail"/>
    <n v="40"/>
    <n v="1"/>
    <s v="4"/>
    <s v=""/>
    <d v="2025-08-17T00:00:00"/>
    <n v="0"/>
    <n v="40"/>
    <x v="1"/>
    <x v="7"/>
    <x v="1"/>
  </r>
  <r>
    <x v="3713"/>
    <n v="4027788990013"/>
    <x v="9"/>
    <s v="Starostlivosť a hygiena – Psy"/>
    <s v="Dogissimo"/>
    <n v="8"/>
    <n v="1"/>
    <s v="NULL"/>
    <s v=""/>
    <d v="2025-08-17T00:00:00"/>
    <n v="0"/>
    <n v="8"/>
    <x v="0"/>
    <x v="7"/>
    <x v="0"/>
  </r>
  <r>
    <x v="3714"/>
    <n v="4004455667780"/>
    <x v="59"/>
    <s v="Misky a kŕmne doplnky – Psy"/>
    <s v="Canine Craft Industries"/>
    <n v="14"/>
    <n v="1"/>
    <s v="5"/>
    <s v="Ťažká a stabilní, nešmýka sa."/>
    <d v="2025-08-17T00:00:00"/>
    <n v="0"/>
    <n v="14"/>
    <x v="2"/>
    <x v="7"/>
    <x v="0"/>
  </r>
  <r>
    <x v="3715"/>
    <n v="4010123456783"/>
    <x v="6"/>
    <s v="Starostlivosť a hygiena – Mačky"/>
    <s v="BellaMeow"/>
    <n v="14"/>
    <n v="1"/>
    <s v="NULL"/>
    <s v=""/>
    <d v="2025-08-17T00:00:00"/>
    <n v="0"/>
    <n v="14"/>
    <x v="0"/>
    <x v="7"/>
    <x v="1"/>
  </r>
  <r>
    <x v="3716"/>
    <n v="4024567890128"/>
    <x v="78"/>
    <s v="Krmivo a maškrty – Psy"/>
    <s v="Canine Craft Industries"/>
    <n v="40"/>
    <n v="1"/>
    <s v="NULL"/>
    <s v=""/>
    <d v="2025-08-18T00:00:00"/>
    <n v="0"/>
    <n v="40"/>
    <x v="0"/>
    <x v="7"/>
    <x v="0"/>
  </r>
  <r>
    <x v="3717"/>
    <n v="4046789012356"/>
    <x v="30"/>
    <s v="Hračky – Psy"/>
    <s v="Pupco"/>
    <n v="6.4"/>
    <n v="1"/>
    <s v="NULL"/>
    <s v=""/>
    <d v="2025-08-18T00:00:00"/>
    <n v="0"/>
    <n v="6.4"/>
    <x v="0"/>
    <x v="7"/>
    <x v="0"/>
  </r>
  <r>
    <x v="3718"/>
    <n v="4029900112244"/>
    <x v="65"/>
    <s v="Starostlivosť a hygiena – Mačky"/>
    <s v="BellaMeow"/>
    <n v="13.6"/>
    <n v="1"/>
    <s v="3"/>
    <s v="Za tú cenu ok."/>
    <d v="2025-08-18T00:00:00"/>
    <n v="0"/>
    <n v="13.6"/>
    <x v="3"/>
    <x v="7"/>
    <x v="1"/>
  </r>
  <r>
    <x v="3719"/>
    <n v="4003344556679"/>
    <x v="19"/>
    <s v="Pelechy a nábytok – Psy"/>
    <s v="Canine Craft Industries"/>
    <n v="51.64"/>
    <n v="1"/>
    <s v="NULL"/>
    <s v=""/>
    <d v="2025-08-18T00:00:00"/>
    <n v="0"/>
    <n v="51.64"/>
    <x v="0"/>
    <x v="7"/>
    <x v="0"/>
  </r>
  <r>
    <x v="3720"/>
    <n v="4028899001126"/>
    <x v="1"/>
    <s v="Krmivo a maškrty – Psy"/>
    <s v="Pup Republic"/>
    <n v="2.8"/>
    <n v="3"/>
    <s v="NULL"/>
    <s v=""/>
    <d v="2025-08-18T00:00:00"/>
    <n v="0"/>
    <n v="8.3999999999999986"/>
    <x v="0"/>
    <x v="7"/>
    <x v="0"/>
  </r>
  <r>
    <x v="3721"/>
    <n v="4013456789017"/>
    <x v="0"/>
    <s v="Krmivo a maškrty – Psy"/>
    <s v="Snouty"/>
    <n v="6"/>
    <n v="1"/>
    <s v="NULL"/>
    <s v=""/>
    <d v="2025-08-18T00:00:00"/>
    <n v="0"/>
    <n v="6"/>
    <x v="0"/>
    <x v="7"/>
    <x v="0"/>
  </r>
  <r>
    <x v="3722"/>
    <n v="4010123456783"/>
    <x v="6"/>
    <s v="Starostlivosť a hygiena – Mačky"/>
    <s v="BellaMeow"/>
    <n v="14"/>
    <n v="1"/>
    <s v="5"/>
    <s v="Výborná absorpce, žiaden zápach."/>
    <d v="2025-08-18T00:00:00"/>
    <n v="0"/>
    <n v="14"/>
    <x v="2"/>
    <x v="7"/>
    <x v="1"/>
  </r>
  <r>
    <x v="3723"/>
    <n v="4042233445567"/>
    <x v="57"/>
    <s v="Pelechy a nábytok – Mačky"/>
    <s v="CozyNest"/>
    <n v="51.64"/>
    <n v="1"/>
    <s v="NULL"/>
    <s v=""/>
    <d v="2025-08-18T00:00:00"/>
    <n v="0"/>
    <n v="51.64"/>
    <x v="0"/>
    <x v="7"/>
    <x v="1"/>
  </r>
  <r>
    <x v="3724"/>
    <n v="4021234567894"/>
    <x v="18"/>
    <s v="Starostlivosť a hygiena – Mačky"/>
    <s v="PawStyle"/>
    <n v="8"/>
    <n v="1"/>
    <s v="NULL"/>
    <s v=""/>
    <d v="2025-08-19T00:00:00"/>
    <n v="0"/>
    <n v="8"/>
    <x v="0"/>
    <x v="7"/>
    <x v="1"/>
  </r>
  <r>
    <x v="3724"/>
    <n v="8595566778890"/>
    <x v="77"/>
    <s v="Krmivo a maškrty – Mačky"/>
    <s v="BellaMeow"/>
    <n v="38"/>
    <n v="1"/>
    <s v="NULL"/>
    <s v=""/>
    <d v="2025-08-19T00:00:00"/>
    <n v="0"/>
    <n v="38"/>
    <x v="0"/>
    <x v="7"/>
    <x v="1"/>
  </r>
  <r>
    <x v="3725"/>
    <n v="4025678901239"/>
    <x v="67"/>
    <s v="Hračky – Mačky"/>
    <s v="Pawtastic"/>
    <n v="10"/>
    <n v="1"/>
    <s v="4"/>
    <s v="Kočku baví honit kuličku."/>
    <d v="2025-08-19T00:00:00"/>
    <n v="0"/>
    <n v="10"/>
    <x v="1"/>
    <x v="7"/>
    <x v="1"/>
  </r>
  <r>
    <x v="3726"/>
    <n v="4063456789014"/>
    <x v="15"/>
    <s v="Krmivo a maškrty – Psy"/>
    <s v="Pupco"/>
    <n v="36"/>
    <n v="1"/>
    <s v="NULL"/>
    <s v=""/>
    <d v="2025-08-19T00:00:00"/>
    <n v="0"/>
    <n v="36"/>
    <x v="0"/>
    <x v="7"/>
    <x v="0"/>
  </r>
  <r>
    <x v="3727"/>
    <n v="4000123456786"/>
    <x v="31"/>
    <s v="Starostlivosť a hygiena – Psy"/>
    <s v="Tail Trend"/>
    <n v="6.8"/>
    <n v="1"/>
    <s v="NULL"/>
    <s v=""/>
    <d v="2025-08-19T00:00:00"/>
    <n v="0"/>
    <n v="6.8"/>
    <x v="0"/>
    <x v="7"/>
    <x v="0"/>
  </r>
  <r>
    <x v="3728"/>
    <n v="4017890123450"/>
    <x v="16"/>
    <s v="Hračky – Psy"/>
    <s v="Dogissimo"/>
    <n v="7.6"/>
    <n v="1"/>
    <s v="4"/>
    <s v=""/>
    <d v="2025-08-19T00:00:00"/>
    <n v="0"/>
    <n v="7.6"/>
    <x v="1"/>
    <x v="7"/>
    <x v="0"/>
  </r>
  <r>
    <x v="3729"/>
    <n v="5903344556670"/>
    <x v="58"/>
    <s v="Pelechy a nábytok – Mačky"/>
    <s v="Catissime"/>
    <n v="75.64"/>
    <n v="1"/>
    <s v="NULL"/>
    <s v=""/>
    <d v="2025-08-19T00:00:00"/>
    <n v="0"/>
    <n v="75.64"/>
    <x v="0"/>
    <x v="7"/>
    <x v="1"/>
  </r>
  <r>
    <x v="3730"/>
    <n v="4010123456783"/>
    <x v="6"/>
    <s v="Starostlivosť a hygiena – Mačky"/>
    <s v="BellaMeow"/>
    <n v="14"/>
    <n v="1"/>
    <s v="NULL"/>
    <s v=""/>
    <d v="2025-08-20T00:00:00"/>
    <n v="0"/>
    <n v="14"/>
    <x v="0"/>
    <x v="7"/>
    <x v="1"/>
  </r>
  <r>
    <x v="3731"/>
    <n v="4027788990013"/>
    <x v="9"/>
    <s v="Starostlivosť a hygiena – Psy"/>
    <s v="Dogissimo"/>
    <n v="8"/>
    <n v="1"/>
    <s v="5"/>
    <s v="Príjemná vôňa a jednoduché rozčesání."/>
    <d v="2025-08-20T00:00:00"/>
    <n v="0"/>
    <n v="8"/>
    <x v="2"/>
    <x v="7"/>
    <x v="0"/>
  </r>
  <r>
    <x v="3732"/>
    <n v="5901122334452"/>
    <x v="60"/>
    <s v="Misky a kŕmne doplnky – Mačky"/>
    <s v="Urban paw"/>
    <n v="12"/>
    <n v="1"/>
    <s v="NULL"/>
    <s v=""/>
    <d v="2025-08-20T00:00:00"/>
    <n v="0"/>
    <n v="12"/>
    <x v="0"/>
    <x v="7"/>
    <x v="1"/>
  </r>
  <r>
    <x v="3733"/>
    <n v="4024567890128"/>
    <x v="78"/>
    <s v="Krmivo a maškrty – Psy"/>
    <s v="Canine Craft Industries"/>
    <n v="40"/>
    <n v="1"/>
    <s v="NULL"/>
    <s v=""/>
    <d v="2025-08-20T00:00:00"/>
    <n v="0"/>
    <n v="40"/>
    <x v="0"/>
    <x v="7"/>
    <x v="0"/>
  </r>
  <r>
    <x v="3734"/>
    <n v="4016677889902"/>
    <x v="41"/>
    <s v="Oblečenie a doplnky – Psy"/>
    <s v="Pup Republic"/>
    <n v="22"/>
    <n v="1"/>
    <s v="NULL"/>
    <s v=""/>
    <d v="2025-08-20T00:00:00"/>
    <n v="0"/>
    <n v="22"/>
    <x v="0"/>
    <x v="7"/>
    <x v="0"/>
  </r>
  <r>
    <x v="3735"/>
    <n v="4049012345683"/>
    <x v="14"/>
    <s v="Starostlivosť a hygiena – Mačky"/>
    <s v="Pawtastic"/>
    <n v="9.1999999999999993"/>
    <n v="1"/>
    <s v="4"/>
    <s v="Skvelo vyčeše podsadu."/>
    <d v="2025-08-20T00:00:00"/>
    <n v="0"/>
    <n v="9.1999999999999993"/>
    <x v="1"/>
    <x v="7"/>
    <x v="1"/>
  </r>
  <r>
    <x v="3736"/>
    <n v="4050123456794"/>
    <x v="8"/>
    <s v="Starostlivosť a hygiena – Mačky"/>
    <s v="Nordic Tail"/>
    <n v="7.2"/>
    <n v="1"/>
    <s v="NULL"/>
    <s v=""/>
    <d v="2025-08-20T00:00:00"/>
    <n v="0"/>
    <n v="7.2"/>
    <x v="0"/>
    <x v="7"/>
    <x v="1"/>
  </r>
  <r>
    <x v="3737"/>
    <n v="4023456789012"/>
    <x v="13"/>
    <s v="Krmivo a maškrty – Mačky"/>
    <s v="Mr. Whiskers"/>
    <n v="4"/>
    <n v="2"/>
    <s v="NULL"/>
    <s v=""/>
    <d v="2025-08-20T00:00:00"/>
    <n v="0"/>
    <n v="8"/>
    <x v="0"/>
    <x v="7"/>
    <x v="1"/>
  </r>
  <r>
    <x v="3738"/>
    <n v="4059012345683"/>
    <x v="49"/>
    <s v="Oblečenie a doplnky – Psy"/>
    <s v="Tail Trend"/>
    <n v="20"/>
    <n v="1"/>
    <s v="1"/>
    <s v="Vráceno – karabina drhne."/>
    <d v="2025-08-20T00:00:00"/>
    <n v="1"/>
    <n v="20"/>
    <x v="5"/>
    <x v="7"/>
    <x v="0"/>
  </r>
  <r>
    <x v="3739"/>
    <n v="8599988776654"/>
    <x v="56"/>
    <s v="Pelechy a nábytok – Psy"/>
    <s v="Pup Republic"/>
    <n v="28"/>
    <n v="1"/>
    <s v="NULL"/>
    <s v=""/>
    <d v="2025-08-21T00:00:00"/>
    <n v="0"/>
    <n v="28"/>
    <x v="0"/>
    <x v="7"/>
    <x v="0"/>
  </r>
  <r>
    <x v="3740"/>
    <n v="4013456789017"/>
    <x v="0"/>
    <s v="Krmivo a maškrty – Psy"/>
    <s v="Snouty"/>
    <n v="6"/>
    <n v="1"/>
    <s v="NULL"/>
    <s v=""/>
    <d v="2025-08-21T00:00:00"/>
    <n v="0"/>
    <n v="6"/>
    <x v="0"/>
    <x v="7"/>
    <x v="0"/>
  </r>
  <r>
    <x v="3740"/>
    <n v="4046789012356"/>
    <x v="30"/>
    <s v="Hračky – Psy"/>
    <s v="Pupco"/>
    <n v="6.4"/>
    <n v="1"/>
    <s v="NULL"/>
    <s v=""/>
    <d v="2025-08-21T00:00:00"/>
    <n v="0"/>
    <n v="6.4"/>
    <x v="0"/>
    <x v="7"/>
    <x v="0"/>
  </r>
  <r>
    <x v="3741"/>
    <n v="4010123456783"/>
    <x v="6"/>
    <s v="Starostlivosť a hygiena – Mačky"/>
    <s v="BellaMeow"/>
    <n v="14"/>
    <n v="1"/>
    <s v="4"/>
    <s v=""/>
    <d v="2025-08-21T00:00:00"/>
    <n v="0"/>
    <n v="14"/>
    <x v="1"/>
    <x v="7"/>
    <x v="1"/>
  </r>
  <r>
    <x v="3742"/>
    <n v="4028899001126"/>
    <x v="1"/>
    <s v="Krmivo a maškrty – Psy"/>
    <s v="Pup Republic"/>
    <n v="2.8"/>
    <n v="2"/>
    <s v="NULL"/>
    <s v=""/>
    <d v="2025-08-21T00:00:00"/>
    <n v="0"/>
    <n v="5.6"/>
    <x v="0"/>
    <x v="7"/>
    <x v="0"/>
  </r>
  <r>
    <x v="3743"/>
    <n v="5908901234563"/>
    <x v="71"/>
    <s v="Pelechy a nábytok – Psy"/>
    <s v="Dogissimo"/>
    <n v="63.64"/>
    <n v="1"/>
    <s v="5"/>
    <s v="Pes v ňom okamžite usíná."/>
    <d v="2025-08-21T00:00:00"/>
    <n v="0"/>
    <n v="63.64"/>
    <x v="2"/>
    <x v="7"/>
    <x v="0"/>
  </r>
  <r>
    <x v="3744"/>
    <n v="4002233445566"/>
    <x v="28"/>
    <s v="Pelechy a nábytok – Mačky"/>
    <s v="Catissime"/>
    <n v="20"/>
    <n v="1"/>
    <s v="NULL"/>
    <s v=""/>
    <d v="2025-08-21T00:00:00"/>
    <n v="0"/>
    <n v="20"/>
    <x v="0"/>
    <x v="7"/>
    <x v="1"/>
  </r>
  <r>
    <x v="3745"/>
    <n v="4027788990013"/>
    <x v="9"/>
    <s v="Starostlivosť a hygiena – Psy"/>
    <s v="Dogissimo"/>
    <n v="8"/>
    <n v="1"/>
    <s v="2"/>
    <s v="Vráceno – nesedla vôňa."/>
    <d v="2025-08-21T00:00:00"/>
    <n v="1"/>
    <n v="8"/>
    <x v="4"/>
    <x v="7"/>
    <x v="0"/>
  </r>
  <r>
    <x v="3746"/>
    <n v="4028899001126"/>
    <x v="1"/>
    <s v="Krmivo a maškrty – Psy"/>
    <s v="Pup Republic"/>
    <n v="2.8"/>
    <n v="2"/>
    <s v="NULL"/>
    <s v=""/>
    <d v="2025-09-01T00:00:00"/>
    <n v="0"/>
    <n v="5.6"/>
    <x v="0"/>
    <x v="8"/>
    <x v="0"/>
  </r>
  <r>
    <x v="3747"/>
    <n v="4013456789017"/>
    <x v="0"/>
    <s v="Krmivo a maškrty – Psy"/>
    <s v="Snouty"/>
    <n v="6"/>
    <n v="1"/>
    <s v="5"/>
    <s v="Pes sa môže utĺcť, ideálne odmeny."/>
    <d v="2025-09-01T00:00:00"/>
    <n v="0"/>
    <n v="6"/>
    <x v="2"/>
    <x v="8"/>
    <x v="0"/>
  </r>
  <r>
    <x v="3748"/>
    <n v="4027788990013"/>
    <x v="9"/>
    <s v="Starostlivosť a hygiena – Psy"/>
    <s v="Dogissimo"/>
    <n v="8"/>
    <n v="1"/>
    <s v="NULL"/>
    <s v=""/>
    <d v="2025-09-01T00:00:00"/>
    <n v="0"/>
    <n v="8"/>
    <x v="0"/>
    <x v="8"/>
    <x v="0"/>
  </r>
  <r>
    <x v="3749"/>
    <n v="4010123456783"/>
    <x v="6"/>
    <s v="Starostlivosť a hygiena – Mačky"/>
    <s v="BellaMeow"/>
    <n v="14"/>
    <n v="1"/>
    <s v="NULL"/>
    <s v=""/>
    <d v="2025-09-01T00:00:00"/>
    <n v="0"/>
    <n v="14"/>
    <x v="0"/>
    <x v="8"/>
    <x v="1"/>
  </r>
  <r>
    <x v="3750"/>
    <n v="4002233445566"/>
    <x v="28"/>
    <s v="Pelechy a nábytok – Mačky"/>
    <s v="Catissime"/>
    <n v="20"/>
    <n v="1"/>
    <s v="NULL"/>
    <s v=""/>
    <d v="2025-09-01T00:00:00"/>
    <n v="0"/>
    <n v="20"/>
    <x v="0"/>
    <x v="8"/>
    <x v="1"/>
  </r>
  <r>
    <x v="3751"/>
    <n v="4024567890128"/>
    <x v="78"/>
    <s v="Krmivo a maškrty – Psy"/>
    <s v="Canine Craft Industries"/>
    <n v="40"/>
    <n v="1"/>
    <s v="4"/>
    <s v="Srsť lesklá, trávenie v poriadku."/>
    <d v="2025-09-01T00:00:00"/>
    <n v="0"/>
    <n v="40"/>
    <x v="1"/>
    <x v="8"/>
    <x v="0"/>
  </r>
  <r>
    <x v="3752"/>
    <n v="4056789012345"/>
    <x v="11"/>
    <s v="Krmivo a maškrty – Mačky"/>
    <s v="BellaMeow"/>
    <n v="2.4"/>
    <n v="2"/>
    <s v="NULL"/>
    <s v=""/>
    <d v="2025-09-01T00:00:00"/>
    <n v="0"/>
    <n v="4.8"/>
    <x v="0"/>
    <x v="8"/>
    <x v="1"/>
  </r>
  <r>
    <x v="3753"/>
    <n v="8599988776654"/>
    <x v="56"/>
    <s v="Pelechy a nábytok – Psy"/>
    <s v="Pup Republic"/>
    <n v="28"/>
    <n v="1"/>
    <s v="NULL"/>
    <s v=""/>
    <d v="2025-09-01T00:00:00"/>
    <n v="0"/>
    <n v="28"/>
    <x v="0"/>
    <x v="8"/>
    <x v="0"/>
  </r>
  <r>
    <x v="3754"/>
    <n v="4021234567894"/>
    <x v="18"/>
    <s v="Starostlivosť a hygiena – Mačky"/>
    <s v="PawStyle"/>
    <n v="8"/>
    <n v="1"/>
    <s v="NULL"/>
    <s v=""/>
    <d v="2025-09-01T00:00:00"/>
    <n v="0"/>
    <n v="8"/>
    <x v="0"/>
    <x v="8"/>
    <x v="1"/>
  </r>
  <r>
    <x v="3755"/>
    <n v="4017890123450"/>
    <x v="16"/>
    <s v="Hračky – Psy"/>
    <s v="Dogissimo"/>
    <n v="7.6"/>
    <n v="1"/>
    <s v="NULL"/>
    <s v=""/>
    <d v="2025-09-01T00:00:00"/>
    <n v="0"/>
    <n v="7.6"/>
    <x v="0"/>
    <x v="8"/>
    <x v="0"/>
  </r>
  <r>
    <x v="3756"/>
    <n v="4063456789014"/>
    <x v="15"/>
    <s v="Krmivo a maškrty – Psy"/>
    <s v="Pupco"/>
    <n v="36"/>
    <n v="1"/>
    <s v="5"/>
    <s v="Pes má rád chuť, žiadne problémy."/>
    <d v="2025-09-02T00:00:00"/>
    <n v="0"/>
    <n v="36"/>
    <x v="2"/>
    <x v="8"/>
    <x v="0"/>
  </r>
  <r>
    <x v="3757"/>
    <n v="5901234509876"/>
    <x v="79"/>
    <s v="Krmivo a maškrty – Mačky"/>
    <s v="Nordic Tail"/>
    <n v="40"/>
    <n v="1"/>
    <s v="NULL"/>
    <s v=""/>
    <d v="2025-09-02T00:00:00"/>
    <n v="0"/>
    <n v="40"/>
    <x v="0"/>
    <x v="8"/>
    <x v="1"/>
  </r>
  <r>
    <x v="3758"/>
    <n v="4046789012356"/>
    <x v="30"/>
    <s v="Hračky – Psy"/>
    <s v="Pupco"/>
    <n v="6.4"/>
    <n v="1"/>
    <s v="NULL"/>
    <s v=""/>
    <d v="2025-09-02T00:00:00"/>
    <n v="0"/>
    <n v="6.4"/>
    <x v="0"/>
    <x v="8"/>
    <x v="0"/>
  </r>
  <r>
    <x v="3759"/>
    <n v="4028899001126"/>
    <x v="1"/>
    <s v="Krmivo a maškrty – Psy"/>
    <s v="Pup Republic"/>
    <n v="2.8"/>
    <n v="3"/>
    <s v="NULL"/>
    <s v=""/>
    <d v="2025-09-02T00:00:00"/>
    <n v="0"/>
    <n v="8.3999999999999986"/>
    <x v="0"/>
    <x v="8"/>
    <x v="0"/>
  </r>
  <r>
    <x v="3760"/>
    <n v="4019876501234"/>
    <x v="75"/>
    <s v="Krmivo a maškrty – Mačky"/>
    <s v="BellaMeow"/>
    <n v="1.84"/>
    <n v="2"/>
    <s v="NULL"/>
    <s v=""/>
    <d v="2025-09-02T00:00:00"/>
    <n v="0"/>
    <n v="3.68"/>
    <x v="0"/>
    <x v="8"/>
    <x v="1"/>
  </r>
  <r>
    <x v="3761"/>
    <n v="4028899001126"/>
    <x v="1"/>
    <s v="Krmivo a maškrty – Psy"/>
    <s v="Pup Republic"/>
    <n v="2.8"/>
    <n v="1"/>
    <s v="4"/>
    <s v="Pes misku neodtrhne, odporúčam."/>
    <d v="2025-09-02T00:00:00"/>
    <n v="0"/>
    <n v="2.8"/>
    <x v="1"/>
    <x v="8"/>
    <x v="0"/>
  </r>
  <r>
    <x v="3762"/>
    <n v="4000123456786"/>
    <x v="31"/>
    <s v="Starostlivosť a hygiena – Psy"/>
    <s v="Tail Trend"/>
    <n v="6.8"/>
    <n v="1"/>
    <s v="NULL"/>
    <s v=""/>
    <d v="2025-09-02T00:00:00"/>
    <n v="0"/>
    <n v="6.8"/>
    <x v="0"/>
    <x v="8"/>
    <x v="0"/>
  </r>
  <r>
    <x v="3763"/>
    <n v="4042233445567"/>
    <x v="57"/>
    <s v="Pelechy a nábytok – Mačky"/>
    <s v="CozyNest"/>
    <n v="51.64"/>
    <n v="1"/>
    <s v="NULL"/>
    <s v=""/>
    <d v="2025-09-02T00:00:00"/>
    <n v="0"/>
    <n v="51.64"/>
    <x v="0"/>
    <x v="8"/>
    <x v="1"/>
  </r>
  <r>
    <x v="3764"/>
    <n v="4013456789017"/>
    <x v="0"/>
    <s v="Krmivo a maškrty – Psy"/>
    <s v="Snouty"/>
    <n v="6"/>
    <n v="2"/>
    <s v="NULL"/>
    <s v=""/>
    <d v="2025-09-02T00:00:00"/>
    <n v="0"/>
    <n v="12"/>
    <x v="0"/>
    <x v="8"/>
    <x v="0"/>
  </r>
  <r>
    <x v="3765"/>
    <n v="4044567890123"/>
    <x v="27"/>
    <s v="Hračky – Mačky"/>
    <s v="BellaMeow"/>
    <n v="6"/>
    <n v="1"/>
    <s v="NULL"/>
    <s v=""/>
    <d v="2025-09-02T00:00:00"/>
    <n v="0"/>
    <n v="6"/>
    <x v="0"/>
    <x v="8"/>
    <x v="1"/>
  </r>
  <r>
    <x v="3766"/>
    <n v="4025678901239"/>
    <x v="67"/>
    <s v="Hračky – Mačky"/>
    <s v="Pawtastic"/>
    <n v="10"/>
    <n v="1"/>
    <s v="5"/>
    <s v="Kočku baví celé hodiny."/>
    <d v="2025-09-02T00:00:00"/>
    <n v="0"/>
    <n v="10"/>
    <x v="2"/>
    <x v="8"/>
    <x v="1"/>
  </r>
  <r>
    <x v="3767"/>
    <n v="4027788990013"/>
    <x v="9"/>
    <s v="Starostlivosť a hygiena – Psy"/>
    <s v="Dogissimo"/>
    <n v="8"/>
    <n v="1"/>
    <s v="NULL"/>
    <s v=""/>
    <d v="2025-09-02T00:00:00"/>
    <n v="0"/>
    <n v="8"/>
    <x v="0"/>
    <x v="8"/>
    <x v="0"/>
  </r>
  <r>
    <x v="3768"/>
    <n v="5903344556670"/>
    <x v="58"/>
    <s v="Pelechy a nábytok – Mačky"/>
    <s v="Catissime"/>
    <n v="75.64"/>
    <n v="1"/>
    <s v="NULL"/>
    <s v=""/>
    <d v="2025-09-02T00:00:00"/>
    <n v="0"/>
    <n v="75.64"/>
    <x v="0"/>
    <x v="8"/>
    <x v="1"/>
  </r>
  <r>
    <x v="3769"/>
    <n v="4021234567894"/>
    <x v="18"/>
    <s v="Starostlivosť a hygiena – Mačky"/>
    <s v="PawStyle"/>
    <n v="8"/>
    <n v="1"/>
    <s v="NULL"/>
    <s v=""/>
    <d v="2025-09-03T00:00:00"/>
    <n v="0"/>
    <n v="8"/>
    <x v="0"/>
    <x v="8"/>
    <x v="1"/>
  </r>
  <r>
    <x v="3770"/>
    <n v="4023456789012"/>
    <x v="13"/>
    <s v="Krmivo a maškrty – Mačky"/>
    <s v="Mr. Whiskers"/>
    <n v="4"/>
    <n v="2"/>
    <s v="4"/>
    <s v="Mačka sa po nich môže utĺcť."/>
    <d v="2025-09-03T00:00:00"/>
    <n v="0"/>
    <n v="8"/>
    <x v="1"/>
    <x v="8"/>
    <x v="1"/>
  </r>
  <r>
    <x v="3771"/>
    <n v="4010123456783"/>
    <x v="6"/>
    <s v="Starostlivosť a hygiena – Mačky"/>
    <s v="BellaMeow"/>
    <n v="14"/>
    <n v="1"/>
    <s v="NULL"/>
    <s v=""/>
    <d v="2025-09-03T00:00:00"/>
    <n v="0"/>
    <n v="14"/>
    <x v="0"/>
    <x v="8"/>
    <x v="1"/>
  </r>
  <r>
    <x v="3772"/>
    <n v="4017890123450"/>
    <x v="16"/>
    <s v="Hračky – Psy"/>
    <s v="Dogissimo"/>
    <n v="7.6"/>
    <n v="1"/>
    <s v="NULL"/>
    <s v=""/>
    <d v="2025-09-03T00:00:00"/>
    <n v="0"/>
    <n v="7.6"/>
    <x v="0"/>
    <x v="8"/>
    <x v="0"/>
  </r>
  <r>
    <x v="3773"/>
    <n v="4003344556679"/>
    <x v="19"/>
    <s v="Pelechy a nábytok – Psy"/>
    <s v="Canine Craft Industries"/>
    <n v="51.64"/>
    <n v="1"/>
    <s v="NULL"/>
    <s v=""/>
    <d v="2025-09-03T00:00:00"/>
    <n v="0"/>
    <n v="51.64"/>
    <x v="0"/>
    <x v="8"/>
    <x v="0"/>
  </r>
  <r>
    <x v="3774"/>
    <n v="4059012345683"/>
    <x v="49"/>
    <s v="Oblečenie a doplnky – Psy"/>
    <s v="Tail Trend"/>
    <n v="20"/>
    <n v="1"/>
    <s v="2"/>
    <s v="Vráceno – slabá karabina."/>
    <d v="2025-09-03T00:00:00"/>
    <n v="1"/>
    <n v="20"/>
    <x v="4"/>
    <x v="8"/>
    <x v="0"/>
  </r>
  <r>
    <x v="3775"/>
    <n v="4063456789014"/>
    <x v="15"/>
    <s v="Krmivo a maškrty – Psy"/>
    <s v="Pupco"/>
    <n v="36"/>
    <n v="1"/>
    <s v="NULL"/>
    <s v=""/>
    <d v="2025-09-03T00:00:00"/>
    <n v="0"/>
    <n v="36"/>
    <x v="0"/>
    <x v="8"/>
    <x v="0"/>
  </r>
  <r>
    <x v="3776"/>
    <n v="5901122334452"/>
    <x v="60"/>
    <s v="Misky a kŕmne doplnky – Mačky"/>
    <s v="Urban paw"/>
    <n v="12"/>
    <n v="1"/>
    <s v="NULL"/>
    <s v=""/>
    <d v="2025-09-03T00:00:00"/>
    <n v="0"/>
    <n v="12"/>
    <x v="0"/>
    <x v="8"/>
    <x v="1"/>
  </r>
  <r>
    <x v="3777"/>
    <n v="4028899001126"/>
    <x v="1"/>
    <s v="Krmivo a maškrty – Psy"/>
    <s v="Pup Republic"/>
    <n v="2.8"/>
    <n v="3"/>
    <s v="NULL"/>
    <s v=""/>
    <d v="2025-09-03T00:00:00"/>
    <n v="0"/>
    <n v="8.3999999999999986"/>
    <x v="0"/>
    <x v="8"/>
    <x v="0"/>
  </r>
  <r>
    <x v="3778"/>
    <n v="4019876501234"/>
    <x v="75"/>
    <s v="Krmivo a maškrty – Mačky"/>
    <s v="BellaMeow"/>
    <n v="1.84"/>
    <n v="3"/>
    <s v="NULL"/>
    <s v=""/>
    <d v="2025-09-03T00:00:00"/>
    <n v="0"/>
    <n v="5.5200000000000005"/>
    <x v="0"/>
    <x v="8"/>
    <x v="1"/>
  </r>
  <r>
    <x v="3779"/>
    <n v="4027788990013"/>
    <x v="9"/>
    <s v="Starostlivosť a hygiena – Psy"/>
    <s v="Dogissimo"/>
    <n v="8"/>
    <n v="1"/>
    <s v="4"/>
    <s v="Príjemne vonia, srsť mäkká."/>
    <d v="2025-09-03T00:00:00"/>
    <n v="0"/>
    <n v="8"/>
    <x v="1"/>
    <x v="8"/>
    <x v="0"/>
  </r>
  <r>
    <x v="3780"/>
    <n v="4013456789017"/>
    <x v="0"/>
    <s v="Krmivo a maškrty – Psy"/>
    <s v="Snouty"/>
    <n v="6"/>
    <n v="1"/>
    <s v="NULL"/>
    <s v=""/>
    <d v="2025-09-03T00:00:00"/>
    <n v="0"/>
    <n v="6"/>
    <x v="0"/>
    <x v="8"/>
    <x v="0"/>
  </r>
  <r>
    <x v="3781"/>
    <n v="4045678901234"/>
    <x v="74"/>
    <s v="Krmivo a maškrty – Mačky"/>
    <s v="Pawtastic"/>
    <n v="9.6"/>
    <n v="1"/>
    <s v="NULL"/>
    <s v=""/>
    <d v="2025-09-03T00:00:00"/>
    <n v="0"/>
    <n v="9.6"/>
    <x v="0"/>
    <x v="8"/>
    <x v="1"/>
  </r>
  <r>
    <x v="3782"/>
    <n v="4010123456783"/>
    <x v="6"/>
    <s v="Starostlivosť a hygiena – Mačky"/>
    <s v="BellaMeow"/>
    <n v="14"/>
    <n v="1"/>
    <s v="NULL"/>
    <s v=""/>
    <d v="2025-09-04T00:00:00"/>
    <n v="0"/>
    <n v="14"/>
    <x v="0"/>
    <x v="8"/>
    <x v="1"/>
  </r>
  <r>
    <x v="3783"/>
    <n v="4024567890128"/>
    <x v="78"/>
    <s v="Krmivo a maškrty – Psy"/>
    <s v="Canine Craft Industries"/>
    <n v="40"/>
    <n v="1"/>
    <s v="NULL"/>
    <s v=""/>
    <d v="2025-09-04T00:00:00"/>
    <n v="0"/>
    <n v="40"/>
    <x v="0"/>
    <x v="8"/>
    <x v="0"/>
  </r>
  <r>
    <x v="3784"/>
    <n v="4063456789014"/>
    <x v="15"/>
    <s v="Krmivo a maškrty – Psy"/>
    <s v="Pupco"/>
    <n v="36"/>
    <n v="1"/>
    <s v="5"/>
    <s v="Pes sa do nich zamiloval."/>
    <d v="2025-09-04T00:00:00"/>
    <n v="0"/>
    <n v="36"/>
    <x v="2"/>
    <x v="8"/>
    <x v="0"/>
  </r>
  <r>
    <x v="3785"/>
    <n v="4010123456783"/>
    <x v="6"/>
    <s v="Starostlivosť a hygiena – Mačky"/>
    <s v="BellaMeow"/>
    <n v="14"/>
    <n v="1"/>
    <s v="NULL"/>
    <s v=""/>
    <d v="2025-09-04T00:00:00"/>
    <n v="0"/>
    <n v="14"/>
    <x v="0"/>
    <x v="8"/>
    <x v="1"/>
  </r>
  <r>
    <x v="3786"/>
    <n v="4028899001126"/>
    <x v="1"/>
    <s v="Krmivo a maškrty – Psy"/>
    <s v="Pup Republic"/>
    <n v="2.8"/>
    <n v="2"/>
    <s v="NULL"/>
    <s v=""/>
    <d v="2025-09-04T00:00:00"/>
    <n v="0"/>
    <n v="5.6"/>
    <x v="0"/>
    <x v="8"/>
    <x v="0"/>
  </r>
  <r>
    <x v="3787"/>
    <n v="4013456789017"/>
    <x v="0"/>
    <s v="Krmivo a maškrty – Psy"/>
    <s v="Snouty"/>
    <n v="6"/>
    <n v="1"/>
    <s v="NULL"/>
    <s v=""/>
    <d v="2025-09-04T00:00:00"/>
    <n v="0"/>
    <n v="6"/>
    <x v="0"/>
    <x v="8"/>
    <x v="0"/>
  </r>
  <r>
    <x v="3788"/>
    <n v="4042233445567"/>
    <x v="57"/>
    <s v="Pelechy a nábytok – Mačky"/>
    <s v="CozyNest"/>
    <n v="51.64"/>
    <n v="1"/>
    <s v="5"/>
    <s v="Mäkký a kvalitné materiál."/>
    <d v="2025-09-04T00:00:00"/>
    <n v="0"/>
    <n v="51.64"/>
    <x v="2"/>
    <x v="8"/>
    <x v="1"/>
  </r>
  <r>
    <x v="3789"/>
    <n v="4021234567894"/>
    <x v="18"/>
    <s v="Starostlivosť a hygiena – Mačky"/>
    <s v="PawStyle"/>
    <n v="8"/>
    <n v="1"/>
    <s v="NULL"/>
    <s v=""/>
    <d v="2025-09-04T00:00:00"/>
    <n v="0"/>
    <n v="8"/>
    <x v="0"/>
    <x v="8"/>
    <x v="1"/>
  </r>
  <r>
    <x v="3790"/>
    <n v="4019876501234"/>
    <x v="75"/>
    <s v="Krmivo a maškrty – Mačky"/>
    <s v="BellaMeow"/>
    <n v="1.84"/>
    <n v="2"/>
    <s v="NULL"/>
    <s v=""/>
    <d v="2025-09-04T00:00:00"/>
    <n v="0"/>
    <n v="3.68"/>
    <x v="0"/>
    <x v="8"/>
    <x v="1"/>
  </r>
  <r>
    <x v="3791"/>
    <n v="4017890123450"/>
    <x v="16"/>
    <s v="Hračky – Psy"/>
    <s v="Dogissimo"/>
    <n v="7.6"/>
    <n v="1"/>
    <s v="NULL"/>
    <s v=""/>
    <d v="2025-09-04T00:00:00"/>
    <n v="0"/>
    <n v="7.6"/>
    <x v="0"/>
    <x v="8"/>
    <x v="0"/>
  </r>
  <r>
    <x v="3792"/>
    <n v="4027788990013"/>
    <x v="9"/>
    <s v="Starostlivosť a hygiena – Psy"/>
    <s v="Dogissimo"/>
    <n v="8"/>
    <n v="1"/>
    <s v="NULL"/>
    <s v=""/>
    <d v="2025-09-04T00:00:00"/>
    <n v="0"/>
    <n v="8"/>
    <x v="0"/>
    <x v="8"/>
    <x v="0"/>
  </r>
  <r>
    <x v="3793"/>
    <n v="4013456789017"/>
    <x v="0"/>
    <s v="Krmivo a maškrty – Psy"/>
    <s v="Snouty"/>
    <n v="6"/>
    <n v="2"/>
    <s v="4"/>
    <s v="Dobrá odmena pri výcviku."/>
    <d v="2025-09-04T00:00:00"/>
    <n v="0"/>
    <n v="12"/>
    <x v="1"/>
    <x v="8"/>
    <x v="0"/>
  </r>
  <r>
    <x v="3794"/>
    <n v="4028899001126"/>
    <x v="1"/>
    <s v="Krmivo a maškrty – Psy"/>
    <s v="Pup Republic"/>
    <n v="2.8"/>
    <n v="1"/>
    <s v="NULL"/>
    <s v=""/>
    <d v="2025-09-05T00:00:00"/>
    <n v="0"/>
    <n v="2.8"/>
    <x v="0"/>
    <x v="8"/>
    <x v="0"/>
  </r>
  <r>
    <x v="3795"/>
    <n v="4010123456783"/>
    <x v="6"/>
    <s v="Starostlivosť a hygiena – Mačky"/>
    <s v="BellaMeow"/>
    <n v="14"/>
    <n v="1"/>
    <s v="NULL"/>
    <s v=""/>
    <d v="2025-09-05T00:00:00"/>
    <n v="0"/>
    <n v="14"/>
    <x v="0"/>
    <x v="8"/>
    <x v="1"/>
  </r>
  <r>
    <x v="3796"/>
    <n v="4013456789017"/>
    <x v="0"/>
    <s v="Krmivo a maškrty – Psy"/>
    <s v="Snouty"/>
    <n v="6"/>
    <n v="1"/>
    <s v="NULL"/>
    <s v=""/>
    <d v="2025-09-05T00:00:00"/>
    <n v="0"/>
    <n v="6"/>
    <x v="0"/>
    <x v="8"/>
    <x v="0"/>
  </r>
  <r>
    <x v="3797"/>
    <n v="4028899001126"/>
    <x v="1"/>
    <s v="Krmivo a maškrty – Psy"/>
    <s v="Pup Republic"/>
    <n v="2.8"/>
    <n v="3"/>
    <s v="NULL"/>
    <s v=""/>
    <d v="2025-09-05T00:00:00"/>
    <n v="0"/>
    <n v="8.3999999999999986"/>
    <x v="0"/>
    <x v="8"/>
    <x v="0"/>
  </r>
  <r>
    <x v="3798"/>
    <n v="4010123456783"/>
    <x v="6"/>
    <s v="Starostlivosť a hygiena – Mačky"/>
    <s v="BellaMeow"/>
    <n v="14"/>
    <n v="1"/>
    <s v="5"/>
    <s v="Skvelo pohlcuje pachy a dlho vydrží."/>
    <d v="2025-09-05T00:00:00"/>
    <n v="0"/>
    <n v="14"/>
    <x v="2"/>
    <x v="8"/>
    <x v="1"/>
  </r>
  <r>
    <x v="3799"/>
    <n v="4021234567894"/>
    <x v="18"/>
    <s v="Starostlivosť a hygiena – Mačky"/>
    <s v="PawStyle"/>
    <n v="8"/>
    <n v="1"/>
    <s v="NULL"/>
    <s v=""/>
    <d v="2025-09-05T00:00:00"/>
    <n v="0"/>
    <n v="8"/>
    <x v="0"/>
    <x v="8"/>
    <x v="1"/>
  </r>
  <r>
    <x v="3800"/>
    <n v="4046789012356"/>
    <x v="30"/>
    <s v="Hračky – Psy"/>
    <s v="Pupco"/>
    <n v="6.4"/>
    <n v="2"/>
    <s v="NULL"/>
    <s v=""/>
    <d v="2025-09-05T00:00:00"/>
    <n v="0"/>
    <n v="12.8"/>
    <x v="0"/>
    <x v="8"/>
    <x v="0"/>
  </r>
  <r>
    <x v="3801"/>
    <n v="4056789012345"/>
    <x v="11"/>
    <s v="Krmivo a maškrty – Mačky"/>
    <s v="BellaMeow"/>
    <n v="2.4"/>
    <n v="3"/>
    <s v="NULL"/>
    <s v=""/>
    <d v="2025-09-05T00:00:00"/>
    <n v="0"/>
    <n v="7.1999999999999993"/>
    <x v="0"/>
    <x v="8"/>
    <x v="1"/>
  </r>
  <r>
    <x v="3802"/>
    <n v="4027788990013"/>
    <x v="9"/>
    <s v="Starostlivosť a hygiena – Psy"/>
    <s v="Dogissimo"/>
    <n v="8"/>
    <n v="1"/>
    <s v="NULL"/>
    <s v=""/>
    <d v="2025-09-05T00:00:00"/>
    <n v="0"/>
    <n v="8"/>
    <x v="0"/>
    <x v="8"/>
    <x v="0"/>
  </r>
  <r>
    <x v="3803"/>
    <n v="4000123456786"/>
    <x v="31"/>
    <s v="Starostlivosť a hygiena – Psy"/>
    <s v="Tail Trend"/>
    <n v="6.8"/>
    <n v="1"/>
    <s v="4"/>
    <s v="Dobre čistí labky po procházce."/>
    <d v="2025-09-05T00:00:00"/>
    <n v="0"/>
    <n v="6.8"/>
    <x v="1"/>
    <x v="8"/>
    <x v="0"/>
  </r>
  <r>
    <x v="3804"/>
    <n v="4019876501234"/>
    <x v="75"/>
    <s v="Krmivo a maškrty – Mačky"/>
    <s v="BellaMeow"/>
    <n v="1.84"/>
    <n v="2"/>
    <s v="NULL"/>
    <s v=""/>
    <d v="2025-09-05T00:00:00"/>
    <n v="0"/>
    <n v="3.68"/>
    <x v="0"/>
    <x v="8"/>
    <x v="1"/>
  </r>
  <r>
    <x v="3805"/>
    <n v="4063456789014"/>
    <x v="15"/>
    <s v="Krmivo a maškrty – Psy"/>
    <s v="Pupco"/>
    <n v="36"/>
    <n v="1"/>
    <s v="NULL"/>
    <s v=""/>
    <d v="2025-09-05T00:00:00"/>
    <n v="0"/>
    <n v="36"/>
    <x v="0"/>
    <x v="8"/>
    <x v="0"/>
  </r>
  <r>
    <x v="3806"/>
    <n v="4028899001126"/>
    <x v="1"/>
    <s v="Krmivo a maškrty – Psy"/>
    <s v="Pup Republic"/>
    <n v="2.8"/>
    <n v="2"/>
    <s v="NULL"/>
    <s v=""/>
    <d v="2025-09-05T00:00:00"/>
    <n v="0"/>
    <n v="5.6"/>
    <x v="0"/>
    <x v="8"/>
    <x v="0"/>
  </r>
  <r>
    <x v="3807"/>
    <n v="4013456789017"/>
    <x v="0"/>
    <s v="Krmivo a maškrty – Psy"/>
    <s v="Snouty"/>
    <n v="6"/>
    <n v="1"/>
    <s v="4"/>
    <s v="Pes reaguje výborne pri tréningu."/>
    <d v="2025-09-06T00:00:00"/>
    <n v="0"/>
    <n v="6"/>
    <x v="1"/>
    <x v="8"/>
    <x v="0"/>
  </r>
  <r>
    <x v="3808"/>
    <n v="4024567890128"/>
    <x v="78"/>
    <s v="Krmivo a maškrty – Psy"/>
    <s v="Canine Craft Industries"/>
    <n v="40"/>
    <n v="1"/>
    <s v="NULL"/>
    <s v=""/>
    <d v="2025-09-06T00:00:00"/>
    <n v="0"/>
    <n v="40"/>
    <x v="0"/>
    <x v="8"/>
    <x v="0"/>
  </r>
  <r>
    <x v="3809"/>
    <n v="4042233445567"/>
    <x v="57"/>
    <s v="Pelechy a nábytok – Mačky"/>
    <s v="CozyNest"/>
    <n v="51.64"/>
    <n v="1"/>
    <s v="5"/>
    <s v="Mäkučký pelech, mačka ho miluje."/>
    <d v="2025-09-06T00:00:00"/>
    <n v="0"/>
    <n v="51.64"/>
    <x v="2"/>
    <x v="8"/>
    <x v="1"/>
  </r>
  <r>
    <x v="3810"/>
    <n v="4017890123450"/>
    <x v="16"/>
    <s v="Hračky – Psy"/>
    <s v="Dogissimo"/>
    <n v="7.6"/>
    <n v="1"/>
    <s v="NULL"/>
    <s v=""/>
    <d v="2025-09-06T00:00:00"/>
    <n v="0"/>
    <n v="7.6"/>
    <x v="0"/>
    <x v="8"/>
    <x v="0"/>
  </r>
  <r>
    <x v="3811"/>
    <n v="4028899001126"/>
    <x v="1"/>
    <s v="Krmivo a maškrty – Psy"/>
    <s v="Pup Republic"/>
    <n v="2.8"/>
    <n v="4"/>
    <s v="NULL"/>
    <s v=""/>
    <d v="2025-09-06T00:00:00"/>
    <n v="0"/>
    <n v="11.2"/>
    <x v="0"/>
    <x v="8"/>
    <x v="0"/>
  </r>
  <r>
    <x v="3812"/>
    <n v="4010123456783"/>
    <x v="6"/>
    <s v="Starostlivosť a hygiena – Mačky"/>
    <s v="BellaMeow"/>
    <n v="14"/>
    <n v="1"/>
    <s v="NULL"/>
    <s v=""/>
    <d v="2025-09-06T00:00:00"/>
    <n v="0"/>
    <n v="14"/>
    <x v="0"/>
    <x v="8"/>
    <x v="1"/>
  </r>
  <r>
    <x v="3813"/>
    <n v="4056789012345"/>
    <x v="11"/>
    <s v="Krmivo a maškrty – Mačky"/>
    <s v="BellaMeow"/>
    <n v="2.4"/>
    <n v="2"/>
    <s v="NULL"/>
    <s v=""/>
    <d v="2025-09-06T00:00:00"/>
    <n v="0"/>
    <n v="4.8"/>
    <x v="0"/>
    <x v="8"/>
    <x v="1"/>
  </r>
  <r>
    <x v="3814"/>
    <n v="4027788990013"/>
    <x v="9"/>
    <s v="Starostlivosť a hygiena – Psy"/>
    <s v="Dogissimo"/>
    <n v="8"/>
    <n v="1"/>
    <s v="NULL"/>
    <s v=""/>
    <d v="2025-09-06T00:00:00"/>
    <n v="0"/>
    <n v="8"/>
    <x v="0"/>
    <x v="8"/>
    <x v="0"/>
  </r>
  <r>
    <x v="3815"/>
    <n v="4013456789017"/>
    <x v="0"/>
    <s v="Krmivo a maškrty – Psy"/>
    <s v="Snouty"/>
    <n v="6"/>
    <n v="1"/>
    <s v="3"/>
    <s v="Za tu cenu ujdou."/>
    <d v="2025-09-06T00:00:00"/>
    <n v="0"/>
    <n v="6"/>
    <x v="3"/>
    <x v="8"/>
    <x v="0"/>
  </r>
  <r>
    <x v="3816"/>
    <n v="4028899001126"/>
    <x v="1"/>
    <s v="Krmivo a maškrty – Psy"/>
    <s v="Pup Republic"/>
    <n v="2.8"/>
    <n v="3"/>
    <s v="NULL"/>
    <s v=""/>
    <d v="2025-09-06T00:00:00"/>
    <n v="0"/>
    <n v="8.3999999999999986"/>
    <x v="0"/>
    <x v="8"/>
    <x v="0"/>
  </r>
  <r>
    <x v="3817"/>
    <n v="4019876501234"/>
    <x v="75"/>
    <s v="Krmivo a maškrty – Mačky"/>
    <s v="BellaMeow"/>
    <n v="1.84"/>
    <n v="1"/>
    <s v="NULL"/>
    <s v=""/>
    <d v="2025-09-06T00:00:00"/>
    <n v="0"/>
    <n v="1.84"/>
    <x v="0"/>
    <x v="8"/>
    <x v="1"/>
  </r>
  <r>
    <x v="3818"/>
    <n v="4063456789014"/>
    <x v="15"/>
    <s v="Krmivo a maškrty – Psy"/>
    <s v="Pupco"/>
    <n v="36"/>
    <n v="1"/>
    <s v="4"/>
    <s v="Dobré granuly, pes má energii."/>
    <d v="2025-09-06T00:00:00"/>
    <n v="0"/>
    <n v="36"/>
    <x v="1"/>
    <x v="8"/>
    <x v="0"/>
  </r>
  <r>
    <x v="3819"/>
    <n v="5901234509876"/>
    <x v="79"/>
    <s v="Krmivo a maškrty – Mačky"/>
    <s v="Nordic Tail"/>
    <n v="40"/>
    <n v="1"/>
    <s v="NULL"/>
    <s v=""/>
    <d v="2025-09-06T00:00:00"/>
    <n v="0"/>
    <n v="40"/>
    <x v="0"/>
    <x v="8"/>
    <x v="1"/>
  </r>
  <r>
    <x v="3820"/>
    <n v="4021234567894"/>
    <x v="18"/>
    <s v="Starostlivosť a hygiena – Mačky"/>
    <s v="PawStyle"/>
    <n v="8"/>
    <n v="1"/>
    <s v="NULL"/>
    <s v=""/>
    <d v="2025-09-06T00:00:00"/>
    <n v="0"/>
    <n v="8"/>
    <x v="0"/>
    <x v="8"/>
    <x v="1"/>
  </r>
  <r>
    <x v="3821"/>
    <n v="4046789012356"/>
    <x v="30"/>
    <s v="Hračky – Psy"/>
    <s v="Pupco"/>
    <n v="6.4"/>
    <n v="1"/>
    <s v="5"/>
    <s v="Obľúbená hračka na dvorku!"/>
    <d v="2025-09-06T00:00:00"/>
    <n v="0"/>
    <n v="6.4"/>
    <x v="2"/>
    <x v="8"/>
    <x v="0"/>
  </r>
  <r>
    <x v="3822"/>
    <n v="4017890123450"/>
    <x v="16"/>
    <s v="Hračky – Psy"/>
    <s v="Dogissimo"/>
    <n v="7.6"/>
    <n v="1"/>
    <s v="NULL"/>
    <s v=""/>
    <d v="2025-09-06T00:00:00"/>
    <n v="0"/>
    <n v="7.6"/>
    <x v="0"/>
    <x v="8"/>
    <x v="0"/>
  </r>
  <r>
    <x v="3823"/>
    <n v="4028899001126"/>
    <x v="1"/>
    <s v="Krmivo a maškrty – Psy"/>
    <s v="Pup Republic"/>
    <n v="2.8"/>
    <n v="3"/>
    <s v="NULL"/>
    <s v=""/>
    <d v="2025-09-06T00:00:00"/>
    <n v="0"/>
    <n v="8.3999999999999986"/>
    <x v="0"/>
    <x v="8"/>
    <x v="0"/>
  </r>
  <r>
    <x v="3824"/>
    <n v="4023456789012"/>
    <x v="13"/>
    <s v="Krmivo a maškrty – Mačky"/>
    <s v="Mr. Whiskers"/>
    <n v="4"/>
    <n v="1"/>
    <s v="4"/>
    <s v="Mačka sa po nich môže utĺcť."/>
    <d v="2025-09-06T00:00:00"/>
    <n v="0"/>
    <n v="4"/>
    <x v="1"/>
    <x v="8"/>
    <x v="1"/>
  </r>
  <r>
    <x v="3825"/>
    <n v="4027788990013"/>
    <x v="9"/>
    <s v="Starostlivosť a hygiena – Psy"/>
    <s v="Dogissimo"/>
    <n v="8"/>
    <n v="1"/>
    <s v="NULL"/>
    <s v=""/>
    <d v="2025-09-06T00:00:00"/>
    <n v="0"/>
    <n v="8"/>
    <x v="0"/>
    <x v="8"/>
    <x v="0"/>
  </r>
  <r>
    <x v="3826"/>
    <n v="4042233445567"/>
    <x v="57"/>
    <s v="Pelechy a nábytok – Mačky"/>
    <s v="CozyNest"/>
    <n v="51.64"/>
    <n v="1"/>
    <s v="NULL"/>
    <s v=""/>
    <d v="2025-09-06T00:00:00"/>
    <n v="0"/>
    <n v="51.64"/>
    <x v="0"/>
    <x v="8"/>
    <x v="1"/>
  </r>
  <r>
    <x v="3827"/>
    <n v="4013456789017"/>
    <x v="0"/>
    <s v="Krmivo a maškrty – Psy"/>
    <s v="Snouty"/>
    <n v="6"/>
    <n v="1"/>
    <s v="NULL"/>
    <s v=""/>
    <d v="2025-09-06T00:00:00"/>
    <n v="0"/>
    <n v="6"/>
    <x v="0"/>
    <x v="8"/>
    <x v="0"/>
  </r>
  <r>
    <x v="3828"/>
    <n v="4028899001126"/>
    <x v="1"/>
    <s v="Krmivo a maškrty – Psy"/>
    <s v="Pup Republic"/>
    <n v="2.8"/>
    <n v="2"/>
    <s v="4"/>
    <s v="Pes nadšený, kupujem znovu."/>
    <d v="2025-09-06T00:00:00"/>
    <n v="0"/>
    <n v="5.6"/>
    <x v="1"/>
    <x v="8"/>
    <x v="0"/>
  </r>
  <r>
    <x v="3829"/>
    <n v="4010123456783"/>
    <x v="6"/>
    <s v="Starostlivosť a hygiena – Mačky"/>
    <s v="BellaMeow"/>
    <n v="14"/>
    <n v="1"/>
    <s v="NULL"/>
    <s v=""/>
    <d v="2025-09-07T00:00:00"/>
    <n v="0"/>
    <n v="14"/>
    <x v="0"/>
    <x v="8"/>
    <x v="1"/>
  </r>
  <r>
    <x v="3830"/>
    <n v="4024567890128"/>
    <x v="78"/>
    <s v="Krmivo a maškrty – Psy"/>
    <s v="Canine Craft Industries"/>
    <n v="40"/>
    <n v="1"/>
    <s v="NULL"/>
    <s v=""/>
    <d v="2025-09-07T00:00:00"/>
    <n v="0"/>
    <n v="40"/>
    <x v="0"/>
    <x v="8"/>
    <x v="0"/>
  </r>
  <r>
    <x v="3831"/>
    <n v="4017890123450"/>
    <x v="16"/>
    <s v="Hračky – Psy"/>
    <s v="Dogissimo"/>
    <n v="7.6"/>
    <n v="1"/>
    <s v="NULL"/>
    <s v=""/>
    <d v="2025-09-07T00:00:00"/>
    <n v="0"/>
    <n v="7.6"/>
    <x v="0"/>
    <x v="8"/>
    <x v="0"/>
  </r>
  <r>
    <x v="3832"/>
    <n v="4013456789017"/>
    <x v="0"/>
    <s v="Krmivo a maškrty – Psy"/>
    <s v="Snouty"/>
    <n v="6"/>
    <n v="1"/>
    <s v="5"/>
    <s v="Na výcvik ideálne."/>
    <d v="2025-09-07T00:00:00"/>
    <n v="0"/>
    <n v="6"/>
    <x v="2"/>
    <x v="8"/>
    <x v="0"/>
  </r>
  <r>
    <x v="3833"/>
    <n v="4046789012356"/>
    <x v="30"/>
    <s v="Hračky – Psy"/>
    <s v="Pupco"/>
    <n v="6.4"/>
    <n v="1"/>
    <s v="NULL"/>
    <s v=""/>
    <d v="2025-09-07T00:00:00"/>
    <n v="0"/>
    <n v="6.4"/>
    <x v="0"/>
    <x v="8"/>
    <x v="0"/>
  </r>
  <r>
    <x v="3834"/>
    <n v="4019876501234"/>
    <x v="75"/>
    <s v="Krmivo a maškrty – Mačky"/>
    <s v="BellaMeow"/>
    <n v="1.84"/>
    <n v="2"/>
    <s v="NULL"/>
    <s v=""/>
    <d v="2025-09-07T00:00:00"/>
    <n v="0"/>
    <n v="3.68"/>
    <x v="0"/>
    <x v="8"/>
    <x v="1"/>
  </r>
  <r>
    <x v="3835"/>
    <n v="4027788990013"/>
    <x v="9"/>
    <s v="Starostlivosť a hygiena – Psy"/>
    <s v="Dogissimo"/>
    <n v="8"/>
    <n v="1"/>
    <s v="NULL"/>
    <s v=""/>
    <d v="2025-09-07T00:00:00"/>
    <n v="0"/>
    <n v="8"/>
    <x v="0"/>
    <x v="8"/>
    <x v="0"/>
  </r>
  <r>
    <x v="3836"/>
    <n v="4028899001126"/>
    <x v="1"/>
    <s v="Krmivo a maškrty – Psy"/>
    <s v="Pup Republic"/>
    <n v="2.8"/>
    <n v="2"/>
    <s v="NULL"/>
    <s v=""/>
    <d v="2025-09-07T00:00:00"/>
    <n v="0"/>
    <n v="5.6"/>
    <x v="0"/>
    <x v="8"/>
    <x v="0"/>
  </r>
  <r>
    <x v="3837"/>
    <n v="4010123456783"/>
    <x v="6"/>
    <s v="Starostlivosť a hygiena – Mačky"/>
    <s v="BellaMeow"/>
    <n v="14"/>
    <n v="1"/>
    <s v="5"/>
    <s v="Perfektní savost."/>
    <d v="2025-09-07T00:00:00"/>
    <n v="0"/>
    <n v="14"/>
    <x v="2"/>
    <x v="8"/>
    <x v="1"/>
  </r>
  <r>
    <x v="3838"/>
    <n v="4024567890128"/>
    <x v="78"/>
    <s v="Krmivo a maškrty – Psy"/>
    <s v="Canine Craft Industries"/>
    <n v="40"/>
    <n v="1"/>
    <s v="NULL"/>
    <s v=""/>
    <d v="2025-09-07T00:00:00"/>
    <n v="0"/>
    <n v="40"/>
    <x v="0"/>
    <x v="8"/>
    <x v="0"/>
  </r>
  <r>
    <x v="3839"/>
    <n v="4028899001126"/>
    <x v="1"/>
    <s v="Krmivo a maškrty – Psy"/>
    <s v="Pup Republic"/>
    <n v="2.8"/>
    <n v="1"/>
    <s v="NULL"/>
    <s v=""/>
    <d v="2025-09-07T00:00:00"/>
    <n v="0"/>
    <n v="2.8"/>
    <x v="0"/>
    <x v="8"/>
    <x v="0"/>
  </r>
  <r>
    <x v="3840"/>
    <n v="4013456789017"/>
    <x v="0"/>
    <s v="Krmivo a maškrty – Psy"/>
    <s v="Snouty"/>
    <n v="6"/>
    <n v="2"/>
    <s v="NULL"/>
    <s v=""/>
    <d v="2025-09-07T00:00:00"/>
    <n v="0"/>
    <n v="12"/>
    <x v="0"/>
    <x v="8"/>
    <x v="0"/>
  </r>
  <r>
    <x v="3841"/>
    <n v="4027788990013"/>
    <x v="9"/>
    <s v="Starostlivosť a hygiena – Psy"/>
    <s v="Dogissimo"/>
    <n v="8"/>
    <n v="1"/>
    <s v="3"/>
    <s v="Vôňa nič moc, ale funguje."/>
    <d v="2025-09-07T00:00:00"/>
    <n v="0"/>
    <n v="8"/>
    <x v="3"/>
    <x v="8"/>
    <x v="0"/>
  </r>
  <r>
    <x v="3842"/>
    <n v="4056789012345"/>
    <x v="11"/>
    <s v="Krmivo a maškrty – Mačky"/>
    <s v="BellaMeow"/>
    <n v="2.4"/>
    <n v="1"/>
    <s v="NULL"/>
    <s v=""/>
    <d v="2025-09-07T00:00:00"/>
    <n v="0"/>
    <n v="2.4"/>
    <x v="0"/>
    <x v="8"/>
    <x v="1"/>
  </r>
  <r>
    <x v="3843"/>
    <n v="4063456789014"/>
    <x v="15"/>
    <s v="Krmivo a maškrty – Psy"/>
    <s v="Pupco"/>
    <n v="36"/>
    <n v="1"/>
    <s v="NULL"/>
    <s v=""/>
    <d v="2025-09-07T00:00:00"/>
    <n v="0"/>
    <n v="36"/>
    <x v="0"/>
    <x v="8"/>
    <x v="0"/>
  </r>
  <r>
    <x v="3844"/>
    <n v="4010123456783"/>
    <x v="6"/>
    <s v="Starostlivosť a hygiena – Mačky"/>
    <s v="BellaMeow"/>
    <n v="14"/>
    <n v="1"/>
    <s v="NULL"/>
    <s v=""/>
    <d v="2025-09-07T00:00:00"/>
    <n v="0"/>
    <n v="14"/>
    <x v="0"/>
    <x v="8"/>
    <x v="1"/>
  </r>
  <r>
    <x v="3845"/>
    <n v="4028899001126"/>
    <x v="1"/>
    <s v="Krmivo a maškrty – Psy"/>
    <s v="Pup Republic"/>
    <n v="2.8"/>
    <n v="2"/>
    <s v="NULL"/>
    <s v=""/>
    <d v="2025-09-07T00:00:00"/>
    <n v="0"/>
    <n v="5.6"/>
    <x v="0"/>
    <x v="8"/>
    <x v="0"/>
  </r>
  <r>
    <x v="3846"/>
    <n v="4050123456794"/>
    <x v="8"/>
    <s v="Starostlivosť a hygiena – Mačky"/>
    <s v="Nordic Tail"/>
    <n v="7.2"/>
    <n v="1"/>
    <s v="NULL"/>
    <s v=""/>
    <d v="2025-09-08T00:00:00"/>
    <n v="0"/>
    <n v="7.2"/>
    <x v="0"/>
    <x v="8"/>
    <x v="1"/>
  </r>
  <r>
    <x v="3847"/>
    <n v="4028899001126"/>
    <x v="1"/>
    <s v="Krmivo a maškrty – Psy"/>
    <s v="Pup Republic"/>
    <n v="2.8"/>
    <n v="4"/>
    <s v="3"/>
    <s v="Za tú cenu ok."/>
    <d v="2025-09-08T00:00:00"/>
    <n v="0"/>
    <n v="11.2"/>
    <x v="3"/>
    <x v="8"/>
    <x v="0"/>
  </r>
  <r>
    <x v="3848"/>
    <n v="4013456789017"/>
    <x v="0"/>
    <s v="Krmivo a maškrty – Psy"/>
    <s v="Snouty"/>
    <n v="6"/>
    <n v="2"/>
    <s v="NULL"/>
    <s v=""/>
    <d v="2025-09-08T00:00:00"/>
    <n v="0"/>
    <n v="12"/>
    <x v="0"/>
    <x v="8"/>
    <x v="0"/>
  </r>
  <r>
    <x v="3849"/>
    <n v="8593456789012"/>
    <x v="4"/>
    <s v="Krmivo a maškrty – Mačky"/>
    <s v="Catissime"/>
    <n v="42"/>
    <n v="1"/>
    <s v="5"/>
    <s v="Super kvalita, beriem pravidelne."/>
    <d v="2025-09-08T00:00:00"/>
    <n v="0"/>
    <n v="42"/>
    <x v="2"/>
    <x v="8"/>
    <x v="1"/>
  </r>
  <r>
    <x v="3850"/>
    <n v="4040123456795"/>
    <x v="2"/>
    <s v="Starostlivosť a hygiena – Psy"/>
    <s v="Dogissimo"/>
    <n v="8.8000000000000007"/>
    <n v="1"/>
    <s v="NULL"/>
    <s v=""/>
    <d v="2025-09-08T00:00:00"/>
    <n v="0"/>
    <n v="8.8000000000000007"/>
    <x v="0"/>
    <x v="8"/>
    <x v="0"/>
  </r>
  <r>
    <x v="3851"/>
    <n v="4056789012345"/>
    <x v="11"/>
    <s v="Krmivo a maškrty – Mačky"/>
    <s v="BellaMeow"/>
    <n v="2.4"/>
    <n v="6"/>
    <s v="4"/>
    <s v="Mačky to milují, pekná konzistence."/>
    <d v="2025-09-08T00:00:00"/>
    <n v="0"/>
    <n v="14.399999999999999"/>
    <x v="1"/>
    <x v="8"/>
    <x v="1"/>
  </r>
  <r>
    <x v="3852"/>
    <n v="4027788990013"/>
    <x v="9"/>
    <s v="Starostlivosť a hygiena – Psy"/>
    <s v="Dogissimo"/>
    <n v="8"/>
    <n v="1"/>
    <s v="NULL"/>
    <s v=""/>
    <d v="2025-09-08T00:00:00"/>
    <n v="0"/>
    <n v="8"/>
    <x v="0"/>
    <x v="8"/>
    <x v="0"/>
  </r>
  <r>
    <x v="3853"/>
    <n v="4061234567805"/>
    <x v="80"/>
    <s v="Starostlivosť a hygiena – Mačky"/>
    <s v="CozyNest"/>
    <n v="12.8"/>
    <n v="2"/>
    <s v="4"/>
    <s v="Bez zápachu, dobre saje."/>
    <d v="2025-09-08T00:00:00"/>
    <n v="0"/>
    <n v="25.6"/>
    <x v="1"/>
    <x v="8"/>
    <x v="1"/>
  </r>
  <r>
    <x v="3854"/>
    <n v="4008901234561"/>
    <x v="43"/>
    <s v="Oblečenie a doplnky – Psy"/>
    <s v="HafHaf Couture"/>
    <n v="40"/>
    <n v="1"/>
    <s v="NULL"/>
    <s v=""/>
    <d v="2025-09-08T00:00:00"/>
    <n v="0"/>
    <n v="40"/>
    <x v="0"/>
    <x v="8"/>
    <x v="0"/>
  </r>
  <r>
    <x v="3855"/>
    <n v="4026677889902"/>
    <x v="12"/>
    <s v="Misky a kŕmne doplnky – Ostatné"/>
    <s v="Pawsitive Gear"/>
    <n v="7.6"/>
    <n v="1"/>
    <s v="NULL"/>
    <s v=""/>
    <d v="2025-09-09T00:00:00"/>
    <n v="0"/>
    <n v="7.6"/>
    <x v="0"/>
    <x v="8"/>
    <x v="2"/>
  </r>
  <r>
    <x v="3856"/>
    <n v="4028899001126"/>
    <x v="1"/>
    <s v="Krmivo a maškrty – Psy"/>
    <s v="Pup Republic"/>
    <n v="2.8"/>
    <n v="3"/>
    <s v="4"/>
    <s v="Pes spokojný, beriem opakovane."/>
    <d v="2025-09-09T00:00:00"/>
    <n v="0"/>
    <n v="8.3999999999999986"/>
    <x v="1"/>
    <x v="8"/>
    <x v="0"/>
  </r>
  <r>
    <x v="3857"/>
    <n v="4063456789014"/>
    <x v="15"/>
    <s v="Krmivo a maškrty – Psy"/>
    <s v="Pupco"/>
    <n v="36"/>
    <n v="1"/>
    <s v="NULL"/>
    <s v=""/>
    <d v="2025-09-09T00:00:00"/>
    <n v="0"/>
    <n v="36"/>
    <x v="0"/>
    <x v="8"/>
    <x v="0"/>
  </r>
  <r>
    <x v="3858"/>
    <n v="4019876501234"/>
    <x v="75"/>
    <s v="Krmivo a maškrty – Mačky"/>
    <s v="BellaMeow"/>
    <n v="1.84"/>
    <n v="5"/>
    <s v="NULL"/>
    <s v=""/>
    <d v="2025-09-09T00:00:00"/>
    <n v="0"/>
    <n v="9.2000000000000011"/>
    <x v="0"/>
    <x v="8"/>
    <x v="1"/>
  </r>
  <r>
    <x v="3859"/>
    <n v="4009012345672"/>
    <x v="10"/>
    <s v="Starostlivosť a hygiena – Mačky"/>
    <s v="Mr. Whiskers"/>
    <n v="11.2"/>
    <n v="1"/>
    <s v="4"/>
    <s v="Pekne hrudkuje."/>
    <d v="2025-09-09T00:00:00"/>
    <n v="0"/>
    <n v="11.2"/>
    <x v="1"/>
    <x v="8"/>
    <x v="1"/>
  </r>
  <r>
    <x v="3860"/>
    <n v="4061011223346"/>
    <x v="3"/>
    <s v="Oblečenie a doplnky – Psy"/>
    <s v="Tail Trend"/>
    <n v="19.600000000000001"/>
    <n v="1"/>
    <s v="NULL"/>
    <s v=""/>
    <d v="2025-09-09T00:00:00"/>
    <n v="0"/>
    <n v="19.600000000000001"/>
    <x v="0"/>
    <x v="8"/>
    <x v="0"/>
  </r>
  <r>
    <x v="3861"/>
    <n v="4017890123450"/>
    <x v="16"/>
    <s v="Hračky – Psy"/>
    <s v="Dogissimo"/>
    <n v="7.6"/>
    <n v="1"/>
    <s v="NULL"/>
    <s v=""/>
    <d v="2025-09-09T00:00:00"/>
    <n v="0"/>
    <n v="7.6"/>
    <x v="0"/>
    <x v="8"/>
    <x v="0"/>
  </r>
  <r>
    <x v="3862"/>
    <n v="4050123456794"/>
    <x v="8"/>
    <s v="Starostlivosť a hygiena – Mačky"/>
    <s v="Nordic Tail"/>
    <n v="7.2"/>
    <n v="1"/>
    <s v="3"/>
    <s v="Mohlo by viac peniť."/>
    <d v="2025-09-09T00:00:00"/>
    <n v="0"/>
    <n v="7.2"/>
    <x v="3"/>
    <x v="8"/>
    <x v="1"/>
  </r>
  <r>
    <x v="3863"/>
    <n v="8592233445568"/>
    <x v="21"/>
    <s v="Pelechy a nábytok – Psy"/>
    <s v="Pup Republic"/>
    <n v="79.64"/>
    <n v="1"/>
    <s v="NULL"/>
    <s v=""/>
    <d v="2025-09-09T00:00:00"/>
    <n v="0"/>
    <n v="79.64"/>
    <x v="0"/>
    <x v="8"/>
    <x v="0"/>
  </r>
  <r>
    <x v="3864"/>
    <n v="8593456789012"/>
    <x v="4"/>
    <s v="Krmivo a maškrty – Mačky"/>
    <s v="Catissime"/>
    <n v="42"/>
    <n v="1"/>
    <s v="4"/>
    <s v="Srsť sa zlepšila, chutí."/>
    <d v="2025-09-09T00:00:00"/>
    <n v="0"/>
    <n v="42"/>
    <x v="1"/>
    <x v="8"/>
    <x v="1"/>
  </r>
  <r>
    <x v="3865"/>
    <n v="4045678901234"/>
    <x v="74"/>
    <s v="Krmivo a maškrty – Mačky"/>
    <s v="Pawtastic"/>
    <n v="9.6"/>
    <n v="2"/>
    <s v="NULL"/>
    <s v=""/>
    <d v="2025-09-10T00:00:00"/>
    <n v="0"/>
    <n v="19.2"/>
    <x v="0"/>
    <x v="8"/>
    <x v="1"/>
  </r>
  <r>
    <x v="3866"/>
    <n v="4022345678908"/>
    <x v="55"/>
    <s v="Starostlivosť a hygiena – Psy"/>
    <s v="PawStyle"/>
    <n v="10"/>
    <n v="1"/>
    <s v="NULL"/>
    <s v=""/>
    <d v="2025-09-10T00:00:00"/>
    <n v="0"/>
    <n v="10"/>
    <x v="0"/>
    <x v="8"/>
    <x v="0"/>
  </r>
  <r>
    <x v="3867"/>
    <n v="4044567890123"/>
    <x v="27"/>
    <s v="Hračky – Mačky"/>
    <s v="BellaMeow"/>
    <n v="6"/>
    <n v="1"/>
    <s v="5"/>
    <s v="Kocour šílí radostí."/>
    <d v="2025-09-10T00:00:00"/>
    <n v="0"/>
    <n v="6"/>
    <x v="2"/>
    <x v="8"/>
    <x v="1"/>
  </r>
  <r>
    <x v="3868"/>
    <n v="4058899001125"/>
    <x v="50"/>
    <s v="Hračky – Mačky"/>
    <s v="Pawtastic"/>
    <n v="10.4"/>
    <n v="1"/>
    <s v="NULL"/>
    <s v=""/>
    <d v="2025-09-10T00:00:00"/>
    <n v="0"/>
    <n v="10.4"/>
    <x v="0"/>
    <x v="8"/>
    <x v="1"/>
  </r>
  <r>
    <x v="3869"/>
    <n v="4013456789017"/>
    <x v="0"/>
    <s v="Krmivo a maškrty – Psy"/>
    <s v="Snouty"/>
    <n v="6"/>
    <n v="1"/>
    <s v="4"/>
    <s v="Fajn maškrty, bez zápachu."/>
    <d v="2025-09-10T00:00:00"/>
    <n v="0"/>
    <n v="6"/>
    <x v="1"/>
    <x v="8"/>
    <x v="0"/>
  </r>
  <r>
    <x v="3870"/>
    <n v="8591122334455"/>
    <x v="81"/>
    <s v="Pelechy a nábytok – Mačky"/>
    <s v="Lapa Home"/>
    <n v="79.64"/>
    <n v="1"/>
    <s v="NULL"/>
    <s v=""/>
    <d v="2025-09-10T00:00:00"/>
    <n v="0"/>
    <n v="79.64"/>
    <x v="0"/>
    <x v="8"/>
    <x v="1"/>
  </r>
  <r>
    <x v="3871"/>
    <n v="4028899001126"/>
    <x v="1"/>
    <s v="Krmivo a maškrty – Psy"/>
    <s v="Pup Republic"/>
    <n v="2.8"/>
    <n v="2"/>
    <s v="NULL"/>
    <s v=""/>
    <d v="2025-09-10T00:00:00"/>
    <n v="0"/>
    <n v="5.6"/>
    <x v="0"/>
    <x v="8"/>
    <x v="0"/>
  </r>
  <r>
    <x v="3872"/>
    <n v="4062345678917"/>
    <x v="61"/>
    <s v="Pelechy a nábytok – Mačky"/>
    <s v="PawStyle"/>
    <n v="59.64"/>
    <n v="1"/>
    <s v="NULL"/>
    <s v=""/>
    <d v="2025-09-10T00:00:00"/>
    <n v="0"/>
    <n v="59.64"/>
    <x v="0"/>
    <x v="8"/>
    <x v="1"/>
  </r>
  <r>
    <x v="3873"/>
    <n v="4025566778891"/>
    <x v="38"/>
    <s v="Misky a kŕmne doplnky – Mačky"/>
    <s v="Catissime"/>
    <n v="51.64"/>
    <n v="1"/>
    <s v="4"/>
    <s v="Tichý chod, kocúr pije viac."/>
    <d v="2025-09-10T00:00:00"/>
    <n v="0"/>
    <n v="51.64"/>
    <x v="1"/>
    <x v="8"/>
    <x v="1"/>
  </r>
  <r>
    <x v="3874"/>
    <n v="4013456789017"/>
    <x v="0"/>
    <s v="Krmivo a maškrty – Psy"/>
    <s v="Snouty"/>
    <n v="6"/>
    <n v="1"/>
    <s v="NULL"/>
    <s v=""/>
    <d v="2025-09-10T00:00:00"/>
    <n v="0"/>
    <n v="6"/>
    <x v="0"/>
    <x v="8"/>
    <x v="0"/>
  </r>
  <r>
    <x v="3875"/>
    <n v="4067890123456"/>
    <x v="17"/>
    <s v="Krmivo a maškrty – Mačky"/>
    <s v="PawStyle"/>
    <n v="36"/>
    <n v="1"/>
    <s v="5"/>
    <s v="Kvalitné, mačka má menej chlpov."/>
    <d v="2025-09-10T00:00:00"/>
    <n v="0"/>
    <n v="36"/>
    <x v="2"/>
    <x v="8"/>
    <x v="1"/>
  </r>
  <r>
    <x v="3876"/>
    <n v="4040123456795"/>
    <x v="2"/>
    <s v="Starostlivosť a hygiena – Psy"/>
    <s v="Dogissimo"/>
    <n v="8.8000000000000007"/>
    <n v="1"/>
    <s v="NULL"/>
    <s v=""/>
    <d v="2025-09-11T00:00:00"/>
    <n v="0"/>
    <n v="8.8000000000000007"/>
    <x v="0"/>
    <x v="8"/>
    <x v="0"/>
  </r>
  <r>
    <x v="3877"/>
    <n v="8592345678901"/>
    <x v="82"/>
    <s v="Krmivo a maškrty – Mačky"/>
    <s v="Catissime"/>
    <n v="4.8"/>
    <n v="3"/>
    <s v="4"/>
    <s v="Mačky to chrumkajú stále."/>
    <d v="2025-09-11T00:00:00"/>
    <n v="0"/>
    <n v="14.399999999999999"/>
    <x v="1"/>
    <x v="8"/>
    <x v="1"/>
  </r>
  <r>
    <x v="3878"/>
    <n v="4027788990013"/>
    <x v="9"/>
    <s v="Starostlivosť a hygiena – Psy"/>
    <s v="Dogissimo"/>
    <n v="8"/>
    <n v="1"/>
    <s v="NULL"/>
    <s v=""/>
    <d v="2025-09-11T00:00:00"/>
    <n v="0"/>
    <n v="8"/>
    <x v="0"/>
    <x v="8"/>
    <x v="0"/>
  </r>
  <r>
    <x v="3879"/>
    <n v="4059900112235"/>
    <x v="83"/>
    <s v="Oblečenie a doplnky – Psy"/>
    <s v="Dogissimo"/>
    <n v="16"/>
    <n v="1"/>
    <s v="NULL"/>
    <s v=""/>
    <d v="2025-09-11T00:00:00"/>
    <n v="0"/>
    <n v="16"/>
    <x v="0"/>
    <x v="8"/>
    <x v="0"/>
  </r>
  <r>
    <x v="3880"/>
    <n v="4023456789012"/>
    <x v="13"/>
    <s v="Krmivo a maškrty – Mačky"/>
    <s v="Mr. Whiskers"/>
    <n v="4"/>
    <n v="2"/>
    <s v="4"/>
    <s v="Mačka nadšená, krehké kousky."/>
    <d v="2025-09-11T00:00:00"/>
    <n v="0"/>
    <n v="8"/>
    <x v="1"/>
    <x v="8"/>
    <x v="1"/>
  </r>
  <r>
    <x v="3881"/>
    <n v="4022345678908"/>
    <x v="55"/>
    <s v="Starostlivosť a hygiena – Psy"/>
    <s v="PawStyle"/>
    <n v="10"/>
    <n v="1"/>
    <s v="NULL"/>
    <s v=""/>
    <d v="2025-09-11T00:00:00"/>
    <n v="0"/>
    <n v="10"/>
    <x v="0"/>
    <x v="8"/>
    <x v="0"/>
  </r>
  <r>
    <x v="3882"/>
    <n v="4056789012345"/>
    <x v="11"/>
    <s v="Krmivo a maškrty – Mačky"/>
    <s v="BellaMeow"/>
    <n v="2.4"/>
    <n v="4"/>
    <s v="NULL"/>
    <s v=""/>
    <d v="2025-09-11T00:00:00"/>
    <n v="0"/>
    <n v="9.6"/>
    <x v="0"/>
    <x v="8"/>
    <x v="1"/>
  </r>
  <r>
    <x v="3883"/>
    <n v="4043344556676"/>
    <x v="36"/>
    <s v="Misky a kŕmne doplnky – Mačky"/>
    <s v="Pawtastic"/>
    <n v="10"/>
    <n v="1"/>
    <s v="NULL"/>
    <s v=""/>
    <d v="2025-09-11T00:00:00"/>
    <n v="0"/>
    <n v="10"/>
    <x v="0"/>
    <x v="8"/>
    <x v="1"/>
  </r>
  <r>
    <x v="3884"/>
    <n v="4003344556679"/>
    <x v="19"/>
    <s v="Pelechy a nábytok – Psy"/>
    <s v="Canine Craft Industries"/>
    <n v="51.64"/>
    <n v="1"/>
    <s v="3"/>
    <s v="Mäkší by mohol byť viac."/>
    <d v="2025-09-11T00:00:00"/>
    <n v="0"/>
    <n v="51.64"/>
    <x v="3"/>
    <x v="8"/>
    <x v="0"/>
  </r>
  <r>
    <x v="3885"/>
    <n v="4051234567806"/>
    <x v="84"/>
    <s v="Starostlivosť a hygiena – Ostatné"/>
    <s v="Pawsitive Gear"/>
    <n v="5.2"/>
    <n v="1"/>
    <s v="NULL"/>
    <s v=""/>
    <d v="2025-09-11T00:00:00"/>
    <n v="0"/>
    <n v="5.2"/>
    <x v="0"/>
    <x v="8"/>
    <x v="2"/>
  </r>
  <r>
    <x v="3886"/>
    <n v="4028899001126"/>
    <x v="1"/>
    <s v="Krmivo a maškrty – Psy"/>
    <s v="Pup Republic"/>
    <n v="2.8"/>
    <n v="2"/>
    <s v="NULL"/>
    <s v=""/>
    <d v="2025-09-11T00:00:00"/>
    <n v="0"/>
    <n v="5.6"/>
    <x v="0"/>
    <x v="8"/>
    <x v="0"/>
  </r>
  <r>
    <x v="3887"/>
    <n v="4029012345678"/>
    <x v="34"/>
    <s v="Oblečenie a doplnky – Mačky"/>
    <s v="PawStyle"/>
    <n v="12"/>
    <n v="1"/>
    <s v="4"/>
    <s v="Pekne svítí v noci."/>
    <d v="2025-09-11T00:00:00"/>
    <n v="0"/>
    <n v="12"/>
    <x v="1"/>
    <x v="8"/>
    <x v="1"/>
  </r>
  <r>
    <x v="3888"/>
    <n v="4016677889902"/>
    <x v="42"/>
    <s v="Oblečenie a doplnky – Psy"/>
    <s v="Pup Republic"/>
    <n v="22"/>
    <n v="1"/>
    <s v="NULL"/>
    <s v=""/>
    <d v="2025-09-12T00:00:00"/>
    <n v="0"/>
    <n v="22"/>
    <x v="0"/>
    <x v="8"/>
    <x v="0"/>
  </r>
  <r>
    <x v="3889"/>
    <n v="4063456789014"/>
    <x v="15"/>
    <s v="Krmivo a maškrty – Psy"/>
    <s v="Pupco"/>
    <n v="36"/>
    <n v="1"/>
    <s v="4"/>
    <s v="Pes má viac energie."/>
    <d v="2025-09-12T00:00:00"/>
    <n v="0"/>
    <n v="36"/>
    <x v="1"/>
    <x v="8"/>
    <x v="0"/>
  </r>
  <r>
    <x v="3890"/>
    <n v="4013456789017"/>
    <x v="0"/>
    <s v="Krmivo a maškrty – Psy"/>
    <s v="Snouty"/>
    <n v="6"/>
    <n v="2"/>
    <s v="NULL"/>
    <s v=""/>
    <d v="2025-09-12T00:00:00"/>
    <n v="0"/>
    <n v="12"/>
    <x v="0"/>
    <x v="8"/>
    <x v="0"/>
  </r>
  <r>
    <x v="3891"/>
    <n v="4042233445567"/>
    <x v="57"/>
    <s v="Pelechy a nábytok – Mačky"/>
    <s v="CozyNest"/>
    <n v="51.64"/>
    <n v="1"/>
    <s v="NULL"/>
    <s v=""/>
    <d v="2025-09-12T00:00:00"/>
    <n v="0"/>
    <n v="51.64"/>
    <x v="0"/>
    <x v="8"/>
    <x v="1"/>
  </r>
  <r>
    <x v="3892"/>
    <n v="4029900112244"/>
    <x v="65"/>
    <s v="Starostlivosť a hygiena – Mačky"/>
    <s v="BellaMeow"/>
    <n v="13.6"/>
    <n v="1"/>
    <s v="4"/>
    <s v="Hezky vonia, drží pachy."/>
    <d v="2025-09-12T00:00:00"/>
    <n v="0"/>
    <n v="13.6"/>
    <x v="1"/>
    <x v="8"/>
    <x v="1"/>
  </r>
  <r>
    <x v="3893"/>
    <n v="4059012345683"/>
    <x v="49"/>
    <s v="Oblečenie a doplnky – Psy"/>
    <s v="Tail Trend"/>
    <n v="20"/>
    <n v="1"/>
    <s v="2"/>
    <s v="Slabý karabina, vrátené."/>
    <d v="2025-09-12T00:00:00"/>
    <n v="1"/>
    <n v="20"/>
    <x v="4"/>
    <x v="8"/>
    <x v="0"/>
  </r>
  <r>
    <x v="3894"/>
    <n v="4018901234567"/>
    <x v="76"/>
    <s v="Oblečenie a doplnky – Mačky"/>
    <s v="Mr. Whiskers"/>
    <n v="20"/>
    <n v="1"/>
    <s v="NULL"/>
    <s v=""/>
    <d v="2025-09-12T00:00:00"/>
    <n v="0"/>
    <n v="20"/>
    <x v="0"/>
    <x v="8"/>
    <x v="1"/>
  </r>
  <r>
    <x v="3895"/>
    <n v="4062345678917"/>
    <x v="61"/>
    <s v="Pelechy a nábytok – Mačky"/>
    <s v="PawStyle"/>
    <n v="59.64"/>
    <n v="1"/>
    <s v="NULL"/>
    <s v=""/>
    <d v="2025-09-12T00:00:00"/>
    <n v="0"/>
    <n v="59.64"/>
    <x v="0"/>
    <x v="8"/>
    <x v="1"/>
  </r>
  <r>
    <x v="3896"/>
    <n v="4023456789012"/>
    <x v="13"/>
    <s v="Krmivo a maškrty – Mačky"/>
    <s v="Mr. Whiskers"/>
    <n v="4"/>
    <n v="2"/>
    <s v="4"/>
    <s v="Dobré zloženie, chutí."/>
    <d v="2025-09-12T00:00:00"/>
    <n v="0"/>
    <n v="8"/>
    <x v="1"/>
    <x v="8"/>
    <x v="1"/>
  </r>
  <r>
    <x v="3897"/>
    <n v="4002233445566"/>
    <x v="28"/>
    <s v="Pelechy a nábytok – Mačky"/>
    <s v="Catissime"/>
    <n v="20"/>
    <n v="1"/>
    <s v="NULL"/>
    <s v=""/>
    <d v="2025-09-12T00:00:00"/>
    <n v="0"/>
    <n v="20"/>
    <x v="0"/>
    <x v="8"/>
    <x v="1"/>
  </r>
  <r>
    <x v="3898"/>
    <n v="4022345678908"/>
    <x v="55"/>
    <s v="Starostlivosť a hygiena – Psy"/>
    <s v="PawStyle"/>
    <n v="10"/>
    <n v="1"/>
    <s v="3"/>
    <s v="Použitelné, trochu malé."/>
    <d v="2025-09-12T00:00:00"/>
    <n v="0"/>
    <n v="10"/>
    <x v="3"/>
    <x v="8"/>
    <x v="0"/>
  </r>
  <r>
    <x v="3899"/>
    <n v="8593456789012"/>
    <x v="4"/>
    <s v="Krmivo a maškrty – Mačky"/>
    <s v="Catissime"/>
    <n v="42"/>
    <n v="1"/>
    <s v="NULL"/>
    <s v=""/>
    <d v="2025-09-12T00:00:00"/>
    <n v="0"/>
    <n v="42"/>
    <x v="0"/>
    <x v="8"/>
    <x v="1"/>
  </r>
  <r>
    <x v="3900"/>
    <n v="4040123456795"/>
    <x v="2"/>
    <s v="Starostlivosť a hygiena – Psy"/>
    <s v="Dogissimo"/>
    <n v="8.8000000000000007"/>
    <n v="1"/>
    <s v="5"/>
    <s v="Pes sa po ňom krásne leskne."/>
    <d v="2025-09-12T00:00:00"/>
    <n v="0"/>
    <n v="8.8000000000000007"/>
    <x v="2"/>
    <x v="8"/>
    <x v="0"/>
  </r>
  <r>
    <x v="3901"/>
    <n v="4013456789017"/>
    <x v="0"/>
    <s v="Krmivo a maškrty – Psy"/>
    <s v="Snouty"/>
    <n v="6"/>
    <n v="1"/>
    <s v="NULL"/>
    <s v=""/>
    <d v="2025-09-13T00:00:00"/>
    <n v="0"/>
    <n v="6"/>
    <x v="0"/>
    <x v="8"/>
    <x v="0"/>
  </r>
  <r>
    <x v="3902"/>
    <n v="4024455667788"/>
    <x v="66"/>
    <s v="Pelechy a nábytok – Mačky"/>
    <s v="Nordic Tail"/>
    <n v="75.64"/>
    <n v="1"/>
    <s v="5"/>
    <s v="Masívna, stabilní konstrukce."/>
    <d v="2025-09-13T00:00:00"/>
    <n v="0"/>
    <n v="75.64"/>
    <x v="2"/>
    <x v="8"/>
    <x v="1"/>
  </r>
  <r>
    <x v="3903"/>
    <n v="4013456789017"/>
    <x v="0"/>
    <s v="Krmivo a maškrty – Psy"/>
    <s v="Snouty"/>
    <n v="6"/>
    <n v="1"/>
    <s v="NULL"/>
    <s v=""/>
    <d v="2025-09-13T00:00:00"/>
    <n v="0"/>
    <n v="6"/>
    <x v="0"/>
    <x v="8"/>
    <x v="0"/>
  </r>
  <r>
    <x v="3904"/>
    <n v="4025566778891"/>
    <x v="38"/>
    <s v="Misky a kŕmne doplnky – Mačky"/>
    <s v="Catissime"/>
    <n v="51.64"/>
    <n v="1"/>
    <s v="4"/>
    <s v="Tichá, jednoduché čistenie."/>
    <d v="2025-09-13T00:00:00"/>
    <n v="0"/>
    <n v="51.64"/>
    <x v="1"/>
    <x v="8"/>
    <x v="1"/>
  </r>
  <r>
    <x v="3905"/>
    <n v="4042233445567"/>
    <x v="57"/>
    <s v="Pelechy a nábytok – Mačky"/>
    <s v="CozyNest"/>
    <n v="51.64"/>
    <n v="1"/>
    <s v="NULL"/>
    <s v=""/>
    <d v="2025-09-13T00:00:00"/>
    <n v="0"/>
    <n v="51.64"/>
    <x v="0"/>
    <x v="8"/>
    <x v="1"/>
  </r>
  <r>
    <x v="3906"/>
    <n v="4017890123450"/>
    <x v="16"/>
    <s v="Hračky – Psy"/>
    <s v="Dogissimo"/>
    <n v="7.6"/>
    <n v="1"/>
    <s v="NULL"/>
    <s v=""/>
    <d v="2025-09-13T00:00:00"/>
    <n v="0"/>
    <n v="7.6"/>
    <x v="0"/>
    <x v="8"/>
    <x v="0"/>
  </r>
  <r>
    <x v="3907"/>
    <n v="4021234567894"/>
    <x v="18"/>
    <s v="Starostlivosť a hygiena – Mačky"/>
    <s v="PawStyle"/>
    <n v="8"/>
    <n v="1"/>
    <s v="NULL"/>
    <s v=""/>
    <d v="2025-09-13T00:00:00"/>
    <n v="0"/>
    <n v="8"/>
    <x v="0"/>
    <x v="8"/>
    <x v="1"/>
  </r>
  <r>
    <x v="3908"/>
    <n v="4069012345682"/>
    <x v="23"/>
    <s v="Oblečenie a doplnky – Mačky"/>
    <s v="Catissime"/>
    <n v="26"/>
    <n v="1"/>
    <s v="5"/>
    <s v="Mäkučký, ideálne na podzim."/>
    <d v="2025-09-13T00:00:00"/>
    <n v="0"/>
    <n v="26"/>
    <x v="2"/>
    <x v="8"/>
    <x v="1"/>
  </r>
  <r>
    <x v="3909"/>
    <n v="4011234567897"/>
    <x v="47"/>
    <s v="Starostlivosť a hygiena – Psy"/>
    <s v="Tlapka design"/>
    <n v="11.6"/>
    <n v="1"/>
    <s v="NULL"/>
    <s v=""/>
    <d v="2025-09-13T00:00:00"/>
    <n v="0"/>
    <n v="11.6"/>
    <x v="0"/>
    <x v="8"/>
    <x v="0"/>
  </r>
  <r>
    <x v="3910"/>
    <n v="4006677889904"/>
    <x v="26"/>
    <s v="Krmivo a maškrty – Mačky"/>
    <s v="Catissime"/>
    <n v="2"/>
    <n v="5"/>
    <s v="4"/>
    <s v="Mačky ju rýchlo zjedli."/>
    <d v="2025-09-13T00:00:00"/>
    <n v="0"/>
    <n v="10"/>
    <x v="1"/>
    <x v="8"/>
    <x v="1"/>
  </r>
  <r>
    <x v="3911"/>
    <n v="4013456789017"/>
    <x v="0"/>
    <s v="Krmivo a maškrty – Psy"/>
    <s v="Snouty"/>
    <n v="6"/>
    <n v="1"/>
    <s v="NULL"/>
    <s v=""/>
    <d v="2025-09-13T00:00:00"/>
    <n v="0"/>
    <n v="6"/>
    <x v="0"/>
    <x v="8"/>
    <x v="0"/>
  </r>
  <r>
    <x v="3912"/>
    <n v="4046789012356"/>
    <x v="30"/>
    <s v="Hračky – Psy"/>
    <s v="Pupco"/>
    <n v="6.4"/>
    <n v="2"/>
    <s v="3"/>
    <s v="Míček tvrdší, ale drží."/>
    <d v="2025-09-13T00:00:00"/>
    <n v="0"/>
    <n v="12.8"/>
    <x v="3"/>
    <x v="8"/>
    <x v="0"/>
  </r>
  <r>
    <x v="3913"/>
    <n v="4040123456795"/>
    <x v="2"/>
    <s v="Starostlivosť a hygiena – Psy"/>
    <s v="Dogissimo"/>
    <n v="8.8000000000000007"/>
    <n v="1"/>
    <s v="NULL"/>
    <s v=""/>
    <d v="2025-09-13T00:00:00"/>
    <n v="0"/>
    <n v="8.8000000000000007"/>
    <x v="0"/>
    <x v="8"/>
    <x v="0"/>
  </r>
  <r>
    <x v="3914"/>
    <n v="8592345678901"/>
    <x v="82"/>
    <s v="Krmivo a maškrty – Mačky"/>
    <s v="Catissime"/>
    <n v="4.8"/>
    <n v="3"/>
    <s v="NULL"/>
    <s v=""/>
    <d v="2025-09-13T00:00:00"/>
    <n v="0"/>
    <n v="14.399999999999999"/>
    <x v="0"/>
    <x v="8"/>
    <x v="1"/>
  </r>
  <r>
    <x v="3915"/>
    <n v="4024455667788"/>
    <x v="66"/>
    <s v="Pelechy a nábytok – Mačky"/>
    <s v="Nordic Tail"/>
    <n v="75.64"/>
    <n v="1"/>
    <s v="4"/>
    <s v="Mačky ho milují, robustní."/>
    <d v="2025-09-13T00:00:00"/>
    <n v="0"/>
    <n v="75.64"/>
    <x v="1"/>
    <x v="8"/>
    <x v="1"/>
  </r>
  <r>
    <x v="3916"/>
    <n v="4028899001126"/>
    <x v="1"/>
    <s v="Krmivo a maškrty – Psy"/>
    <s v="Pup Republic"/>
    <n v="2.8"/>
    <n v="3"/>
    <s v="NULL"/>
    <s v=""/>
    <d v="2025-09-14T00:00:00"/>
    <n v="0"/>
    <n v="8.3999999999999986"/>
    <x v="0"/>
    <x v="8"/>
    <x v="0"/>
  </r>
  <r>
    <x v="3917"/>
    <n v="4026677889902"/>
    <x v="12"/>
    <s v="Misky a kŕmne doplnky – Ostatné"/>
    <s v="Pawsitive Gear"/>
    <n v="7.6"/>
    <n v="1"/>
    <s v="NULL"/>
    <s v=""/>
    <d v="2025-09-14T00:00:00"/>
    <n v="0"/>
    <n v="7.6"/>
    <x v="0"/>
    <x v="8"/>
    <x v="2"/>
  </r>
  <r>
    <x v="3918"/>
    <n v="4013456789017"/>
    <x v="0"/>
    <s v="Krmivo a maškrty – Psy"/>
    <s v="Snouty"/>
    <n v="6"/>
    <n v="1"/>
    <s v="5"/>
    <s v="Ideálne veľkosť pre tréning."/>
    <d v="2025-09-14T00:00:00"/>
    <n v="0"/>
    <n v="6"/>
    <x v="2"/>
    <x v="8"/>
    <x v="0"/>
  </r>
  <r>
    <x v="3919"/>
    <n v="4049012345683"/>
    <x v="14"/>
    <s v="Starostlivosť a hygiena – Mačky"/>
    <s v="Pawtastic"/>
    <n v="9.1999999999999993"/>
    <n v="1"/>
    <s v="NULL"/>
    <s v=""/>
    <d v="2025-09-14T00:00:00"/>
    <n v="0"/>
    <n v="9.1999999999999993"/>
    <x v="0"/>
    <x v="8"/>
    <x v="1"/>
  </r>
  <r>
    <x v="3920"/>
    <n v="4028899001126"/>
    <x v="1"/>
    <s v="Krmivo a maškrty – Psy"/>
    <s v="Pup Republic"/>
    <n v="2.8"/>
    <n v="2"/>
    <s v="4"/>
    <s v="Pes ju žerie s chuťou."/>
    <d v="2025-09-14T00:00:00"/>
    <n v="0"/>
    <n v="5.6"/>
    <x v="1"/>
    <x v="8"/>
    <x v="0"/>
  </r>
  <r>
    <x v="3921"/>
    <n v="4013456789017"/>
    <x v="0"/>
    <s v="Krmivo a maškrty – Psy"/>
    <s v="Snouty"/>
    <n v="6"/>
    <n v="2"/>
    <s v="NULL"/>
    <s v=""/>
    <d v="2025-09-14T00:00:00"/>
    <n v="0"/>
    <n v="12"/>
    <x v="0"/>
    <x v="8"/>
    <x v="0"/>
  </r>
  <r>
    <x v="3921"/>
    <n v="4040123456795"/>
    <x v="2"/>
    <s v="Starostlivosť a hygiena – Psy"/>
    <s v="Dogissimo"/>
    <n v="8.8000000000000007"/>
    <n v="1"/>
    <s v="NULL"/>
    <s v=""/>
    <d v="2025-09-14T00:00:00"/>
    <n v="0"/>
    <n v="8.8000000000000007"/>
    <x v="0"/>
    <x v="8"/>
    <x v="0"/>
  </r>
  <r>
    <x v="3922"/>
    <n v="4028899001126"/>
    <x v="1"/>
    <s v="Krmivo a maškrty – Psy"/>
    <s v="Pup Republic"/>
    <n v="2.8"/>
    <n v="3"/>
    <s v="4"/>
    <s v="Znovu objednáno, pes nadšený."/>
    <d v="2025-09-14T00:00:00"/>
    <n v="0"/>
    <n v="8.3999999999999986"/>
    <x v="1"/>
    <x v="8"/>
    <x v="0"/>
  </r>
  <r>
    <x v="3923"/>
    <n v="4059900112235"/>
    <x v="83"/>
    <s v="Oblečenie a doplnky – Psy"/>
    <s v="Dogissimo"/>
    <n v="16"/>
    <n v="1"/>
    <s v="NULL"/>
    <s v=""/>
    <d v="2025-09-14T00:00:00"/>
    <n v="0"/>
    <n v="16"/>
    <x v="0"/>
    <x v="8"/>
    <x v="0"/>
  </r>
  <r>
    <x v="3924"/>
    <n v="4050123456794"/>
    <x v="8"/>
    <s v="Starostlivosť a hygiena – Mačky"/>
    <s v="Nordic Tail"/>
    <n v="7.2"/>
    <n v="1"/>
    <s v="NULL"/>
    <s v=""/>
    <d v="2025-09-15T00:00:00"/>
    <n v="0"/>
    <n v="7.2"/>
    <x v="0"/>
    <x v="8"/>
    <x v="1"/>
  </r>
  <r>
    <x v="3925"/>
    <n v="4066677889903"/>
    <x v="51"/>
    <s v="Misky a kŕmne doplnky – Mačky"/>
    <s v="Nordic Tail"/>
    <n v="59.64"/>
    <n v="1"/>
    <s v="4"/>
    <s v="Funguje skvelo, kocúr sa naučil rýchlo."/>
    <d v="2025-09-15T00:00:00"/>
    <n v="0"/>
    <n v="59.64"/>
    <x v="1"/>
    <x v="8"/>
    <x v="1"/>
  </r>
  <r>
    <x v="3926"/>
    <n v="4061234567805"/>
    <x v="80"/>
    <s v="Starostlivosť a hygiena – Mačky"/>
    <s v="CozyNest"/>
    <n v="12.8"/>
    <n v="2"/>
    <s v="NULL"/>
    <s v=""/>
    <d v="2025-09-15T00:00:00"/>
    <n v="0"/>
    <n v="25.6"/>
    <x v="0"/>
    <x v="8"/>
    <x v="1"/>
  </r>
  <r>
    <x v="3927"/>
    <n v="4026677889902"/>
    <x v="12"/>
    <s v="Misky a kŕmne doplnky – Ostatné"/>
    <s v="Pawsitive Gear"/>
    <n v="7.6"/>
    <n v="1"/>
    <s v="3"/>
    <s v="Mohla by byť ťažší."/>
    <d v="2025-09-15T00:00:00"/>
    <n v="0"/>
    <n v="7.6"/>
    <x v="3"/>
    <x v="8"/>
    <x v="2"/>
  </r>
  <r>
    <x v="3928"/>
    <n v="4027788990013"/>
    <x v="9"/>
    <s v="Starostlivosť a hygiena – Psy"/>
    <s v="Dogissimo"/>
    <n v="8"/>
    <n v="1"/>
    <s v="4"/>
    <s v="Vôňa drží dlho."/>
    <d v="2025-09-15T00:00:00"/>
    <n v="0"/>
    <n v="8"/>
    <x v="1"/>
    <x v="8"/>
    <x v="0"/>
  </r>
  <r>
    <x v="3929"/>
    <n v="4011234567897"/>
    <x v="47"/>
    <s v="Starostlivosť a hygiena – Psy"/>
    <s v="Tlapka design"/>
    <n v="11.6"/>
    <n v="1"/>
    <s v="NULL"/>
    <s v=""/>
    <d v="2025-09-15T00:00:00"/>
    <n v="0"/>
    <n v="11.6"/>
    <x v="0"/>
    <x v="8"/>
    <x v="0"/>
  </r>
  <r>
    <x v="3930"/>
    <n v="4063456789014"/>
    <x v="15"/>
    <s v="Krmivo a maškrty – Psy"/>
    <s v="Pupco"/>
    <n v="36"/>
    <n v="1"/>
    <s v="5"/>
    <s v="Pes má lesklú srsť."/>
    <d v="2025-09-15T00:00:00"/>
    <n v="0"/>
    <n v="36"/>
    <x v="2"/>
    <x v="8"/>
    <x v="0"/>
  </r>
  <r>
    <x v="3931"/>
    <n v="4049012345683"/>
    <x v="14"/>
    <s v="Starostlivosť a hygiena – Mačky"/>
    <s v="Pawtastic"/>
    <n v="9.1999999999999993"/>
    <n v="1"/>
    <s v="NULL"/>
    <s v=""/>
    <d v="2025-09-15T00:00:00"/>
    <n v="0"/>
    <n v="9.1999999999999993"/>
    <x v="0"/>
    <x v="8"/>
    <x v="1"/>
  </r>
  <r>
    <x v="3932"/>
    <n v="8592345678901"/>
    <x v="82"/>
    <s v="Krmivo a maškrty – Mačky"/>
    <s v="Catissime"/>
    <n v="4.8"/>
    <n v="2"/>
    <s v="4"/>
    <s v="Kocour sa po nich môže utĺcť."/>
    <d v="2025-09-15T00:00:00"/>
    <n v="0"/>
    <n v="9.6"/>
    <x v="1"/>
    <x v="8"/>
    <x v="1"/>
  </r>
  <r>
    <x v="3933"/>
    <n v="4003344556679"/>
    <x v="19"/>
    <s v="Pelechy a nábytok – Psy"/>
    <s v="Canine Craft Industries"/>
    <n v="51.64"/>
    <n v="1"/>
    <s v="NULL"/>
    <s v=""/>
    <d v="2025-09-15T00:00:00"/>
    <n v="0"/>
    <n v="51.64"/>
    <x v="0"/>
    <x v="8"/>
    <x v="0"/>
  </r>
  <r>
    <x v="3934"/>
    <n v="4001234567893"/>
    <x v="5"/>
    <s v="Krmivo a maškrty – Mačky"/>
    <s v="Mr. Whiskers"/>
    <n v="9.1999999999999993"/>
    <n v="2"/>
    <s v="5"/>
    <s v="Najobľúbenejšie kapsičky u našich mačiek."/>
    <d v="2025-09-16T00:00:00"/>
    <n v="0"/>
    <n v="18.399999999999999"/>
    <x v="2"/>
    <x v="8"/>
    <x v="1"/>
  </r>
  <r>
    <x v="3935"/>
    <n v="4028899001126"/>
    <x v="1"/>
    <s v="Krmivo a maškrty – Psy"/>
    <s v="Pup Republic"/>
    <n v="2.8"/>
    <n v="3"/>
    <s v="NULL"/>
    <s v=""/>
    <d v="2025-09-16T00:00:00"/>
    <n v="0"/>
    <n v="8.3999999999999986"/>
    <x v="0"/>
    <x v="8"/>
    <x v="0"/>
  </r>
  <r>
    <x v="3936"/>
    <n v="4069012345682"/>
    <x v="23"/>
    <s v="Oblečenie a doplnky – Mačky"/>
    <s v="Catissime"/>
    <n v="26"/>
    <n v="1"/>
    <s v="4"/>
    <s v="Teplý, krásne sedí."/>
    <d v="2025-09-16T00:00:00"/>
    <n v="0"/>
    <n v="26"/>
    <x v="1"/>
    <x v="8"/>
    <x v="1"/>
  </r>
  <r>
    <x v="3937"/>
    <n v="4059012345683"/>
    <x v="49"/>
    <s v="Oblečenie a doplnky – Psy"/>
    <s v="Tail Trend"/>
    <n v="20"/>
    <n v="1"/>
    <s v="1"/>
    <s v="Šnúrka sa hneď pretrhla, vrátené."/>
    <d v="2025-09-16T00:00:00"/>
    <n v="1"/>
    <n v="20"/>
    <x v="5"/>
    <x v="8"/>
    <x v="0"/>
  </r>
  <r>
    <x v="3938"/>
    <n v="4017890123450"/>
    <x v="16"/>
    <s v="Hračky – Psy"/>
    <s v="Dogissimo"/>
    <n v="7.6"/>
    <n v="1"/>
    <s v="NULL"/>
    <s v=""/>
    <d v="2025-09-16T00:00:00"/>
    <n v="0"/>
    <n v="7.6"/>
    <x v="0"/>
    <x v="8"/>
    <x v="0"/>
  </r>
  <r>
    <x v="3939"/>
    <n v="4042233445567"/>
    <x v="57"/>
    <s v="Pelechy a nábytok – Mačky"/>
    <s v="CozyNest"/>
    <n v="51.64"/>
    <n v="1"/>
    <s v="NULL"/>
    <s v=""/>
    <d v="2025-09-16T00:00:00"/>
    <n v="0"/>
    <n v="51.64"/>
    <x v="0"/>
    <x v="8"/>
    <x v="1"/>
  </r>
  <r>
    <x v="3940"/>
    <n v="4013456789017"/>
    <x v="0"/>
    <s v="Krmivo a maškrty – Psy"/>
    <s v="Snouty"/>
    <n v="6"/>
    <n v="1"/>
    <s v="4"/>
    <s v="Pes reaguje pri výcviku skvelo."/>
    <d v="2025-09-16T00:00:00"/>
    <n v="0"/>
    <n v="6"/>
    <x v="1"/>
    <x v="8"/>
    <x v="0"/>
  </r>
  <r>
    <x v="3941"/>
    <n v="4050123456794"/>
    <x v="8"/>
    <s v="Starostlivosť a hygiena – Mačky"/>
    <s v="Nordic Tail"/>
    <n v="7.2"/>
    <n v="1"/>
    <s v="NULL"/>
    <s v=""/>
    <d v="2025-09-16T00:00:00"/>
    <n v="0"/>
    <n v="7.2"/>
    <x v="0"/>
    <x v="8"/>
    <x v="1"/>
  </r>
  <r>
    <x v="3942"/>
    <n v="4021234567894"/>
    <x v="18"/>
    <s v="Starostlivosť a hygiena – Mačky"/>
    <s v="PawStyle"/>
    <n v="8"/>
    <n v="1"/>
    <s v="5"/>
    <s v="Vôňa vydrží celý deň."/>
    <d v="2025-09-16T00:00:00"/>
    <n v="0"/>
    <n v="8"/>
    <x v="2"/>
    <x v="8"/>
    <x v="1"/>
  </r>
  <r>
    <x v="3943"/>
    <n v="4005566778891"/>
    <x v="24"/>
    <s v="Oblečenie a doplnky – Psy"/>
    <s v="Canine Craft Industries"/>
    <n v="18"/>
    <n v="1"/>
    <s v="NULL"/>
    <s v=""/>
    <d v="2025-09-17T00:00:00"/>
    <n v="0"/>
    <n v="18"/>
    <x v="0"/>
    <x v="8"/>
    <x v="0"/>
  </r>
  <r>
    <x v="3943"/>
    <n v="4013456789017"/>
    <x v="0"/>
    <s v="Krmivo a maškrty – Psy"/>
    <s v="Snouty"/>
    <n v="6"/>
    <n v="1"/>
    <s v="NULL"/>
    <s v=""/>
    <d v="2025-09-17T00:00:00"/>
    <n v="0"/>
    <n v="6"/>
    <x v="0"/>
    <x v="8"/>
    <x v="0"/>
  </r>
  <r>
    <x v="3944"/>
    <n v="4025566778891"/>
    <x v="38"/>
    <s v="Misky a kŕmne doplnky – Mačky"/>
    <s v="Catissime"/>
    <n v="51.64"/>
    <n v="1"/>
    <s v="4"/>
    <s v="Pekný tichý chod."/>
    <d v="2025-09-17T00:00:00"/>
    <n v="0"/>
    <n v="51.64"/>
    <x v="1"/>
    <x v="8"/>
    <x v="1"/>
  </r>
  <r>
    <x v="3945"/>
    <n v="4027788990013"/>
    <x v="9"/>
    <s v="Starostlivosť a hygiena – Psy"/>
    <s v="Dogissimo"/>
    <n v="8"/>
    <n v="1"/>
    <s v="NULL"/>
    <s v=""/>
    <d v="2025-09-17T00:00:00"/>
    <n v="0"/>
    <n v="8"/>
    <x v="0"/>
    <x v="8"/>
    <x v="0"/>
  </r>
  <r>
    <x v="3946"/>
    <n v="4026677889902"/>
    <x v="12"/>
    <s v="Misky a kŕmne doplnky – Ostatné"/>
    <s v="Pawsitive Gear"/>
    <n v="7.6"/>
    <n v="1"/>
    <s v="NULL"/>
    <s v=""/>
    <d v="2025-09-17T00:00:00"/>
    <n v="0"/>
    <n v="7.6"/>
    <x v="0"/>
    <x v="8"/>
    <x v="2"/>
  </r>
  <r>
    <x v="3947"/>
    <n v="4014567890128"/>
    <x v="68"/>
    <s v="Hračky – Mačky"/>
    <s v="Mr. Whiskers"/>
    <n v="5.2"/>
    <n v="1"/>
    <s v="NULL"/>
    <s v=""/>
    <d v="2025-09-17T00:00:00"/>
    <n v="0"/>
    <n v="5.2"/>
    <x v="0"/>
    <x v="8"/>
    <x v="1"/>
  </r>
  <r>
    <x v="3948"/>
    <n v="4040123456795"/>
    <x v="2"/>
    <s v="Starostlivosť a hygiena – Psy"/>
    <s v="Dogissimo"/>
    <n v="8.8000000000000007"/>
    <n v="1"/>
    <s v="5"/>
    <s v="Výborný, používam opakovane."/>
    <d v="2025-09-17T00:00:00"/>
    <n v="0"/>
    <n v="8.8000000000000007"/>
    <x v="2"/>
    <x v="8"/>
    <x v="0"/>
  </r>
  <r>
    <x v="3949"/>
    <n v="4013456789017"/>
    <x v="0"/>
    <s v="Krmivo a maškrty – Psy"/>
    <s v="Snouty"/>
    <n v="6"/>
    <n v="1"/>
    <s v="NULL"/>
    <s v=""/>
    <d v="2025-09-17T00:00:00"/>
    <n v="0"/>
    <n v="6"/>
    <x v="0"/>
    <x v="8"/>
    <x v="0"/>
  </r>
  <r>
    <x v="3950"/>
    <n v="4056789012345"/>
    <x v="11"/>
    <s v="Krmivo a maškrty – Mačky"/>
    <s v="BellaMeow"/>
    <n v="2.4"/>
    <n v="4"/>
    <s v="4"/>
    <s v="Mačky nadšené."/>
    <d v="2025-09-17T00:00:00"/>
    <n v="0"/>
    <n v="9.6"/>
    <x v="1"/>
    <x v="8"/>
    <x v="1"/>
  </r>
  <r>
    <x v="3951"/>
    <n v="8591122334455"/>
    <x v="81"/>
    <s v="Pelechy a nábytok – Mačky"/>
    <s v="Lapa Home"/>
    <n v="79.64"/>
    <n v="1"/>
    <s v="NULL"/>
    <s v=""/>
    <d v="2025-09-18T00:00:00"/>
    <n v="0"/>
    <n v="79.64"/>
    <x v="0"/>
    <x v="8"/>
    <x v="1"/>
  </r>
  <r>
    <x v="3952"/>
    <n v="4028899001126"/>
    <x v="1"/>
    <s v="Krmivo a maškrty – Psy"/>
    <s v="Pup Republic"/>
    <n v="2.8"/>
    <n v="2"/>
    <s v="NULL"/>
    <s v=""/>
    <d v="2025-09-18T00:00:00"/>
    <n v="0"/>
    <n v="5.6"/>
    <x v="0"/>
    <x v="8"/>
    <x v="0"/>
  </r>
  <r>
    <x v="3953"/>
    <n v="4022345678908"/>
    <x v="55"/>
    <s v="Starostlivosť a hygiena – Psy"/>
    <s v="PawStyle"/>
    <n v="10"/>
    <n v="1"/>
    <s v="3"/>
    <s v="Drží, ale neprerezáva hustou srsť."/>
    <d v="2025-09-18T00:00:00"/>
    <n v="0"/>
    <n v="10"/>
    <x v="3"/>
    <x v="8"/>
    <x v="0"/>
  </r>
  <r>
    <x v="3954"/>
    <n v="8593456789012"/>
    <x v="4"/>
    <s v="Krmivo a maškrty – Mačky"/>
    <s v="Catissime"/>
    <n v="42"/>
    <n v="1"/>
    <s v="NULL"/>
    <s v=""/>
    <d v="2025-09-18T00:00:00"/>
    <n v="0"/>
    <n v="42"/>
    <x v="0"/>
    <x v="8"/>
    <x v="1"/>
  </r>
  <r>
    <x v="3955"/>
    <n v="4027788990013"/>
    <x v="9"/>
    <s v="Starostlivosť a hygiena – Psy"/>
    <s v="Dogissimo"/>
    <n v="8"/>
    <n v="1"/>
    <s v="NULL"/>
    <s v=""/>
    <d v="2025-09-18T00:00:00"/>
    <n v="0"/>
    <n v="8"/>
    <x v="0"/>
    <x v="8"/>
    <x v="0"/>
  </r>
  <r>
    <x v="3956"/>
    <n v="4049012345683"/>
    <x v="14"/>
    <s v="Starostlivosť a hygiena – Mačky"/>
    <s v="Pawtastic"/>
    <n v="9.1999999999999993"/>
    <n v="1"/>
    <s v="4"/>
    <s v="Mačka sa to nechá líbit."/>
    <d v="2025-09-18T00:00:00"/>
    <n v="0"/>
    <n v="9.1999999999999993"/>
    <x v="1"/>
    <x v="8"/>
    <x v="1"/>
  </r>
  <r>
    <x v="3957"/>
    <n v="4055566778892"/>
    <x v="63"/>
    <s v="Misky a kŕmne doplnky – Mačky"/>
    <s v="PawStyle"/>
    <n v="8"/>
    <n v="1"/>
    <s v="NULL"/>
    <s v=""/>
    <d v="2025-09-18T00:00:00"/>
    <n v="0"/>
    <n v="8"/>
    <x v="0"/>
    <x v="8"/>
    <x v="1"/>
  </r>
  <r>
    <x v="3958"/>
    <n v="4028899001126"/>
    <x v="1"/>
    <s v="Krmivo a maškrty – Psy"/>
    <s v="Pup Republic"/>
    <n v="2.8"/>
    <n v="3"/>
    <s v="NULL"/>
    <s v=""/>
    <d v="2025-09-18T00:00:00"/>
    <n v="0"/>
    <n v="8.3999999999999986"/>
    <x v="0"/>
    <x v="8"/>
    <x v="0"/>
  </r>
  <r>
    <x v="3959"/>
    <n v="4046789012356"/>
    <x v="30"/>
    <s v="Hračky – Psy"/>
    <s v="Pupco"/>
    <n v="6.4"/>
    <n v="2"/>
    <s v="4"/>
    <s v="Oblíbený, pes ho ťahá všade."/>
    <d v="2025-09-18T00:00:00"/>
    <n v="0"/>
    <n v="12.8"/>
    <x v="1"/>
    <x v="8"/>
    <x v="0"/>
  </r>
  <r>
    <x v="3960"/>
    <n v="4061234567805"/>
    <x v="80"/>
    <s v="Starostlivosť a hygiena – Mačky"/>
    <s v="CozyNest"/>
    <n v="12.8"/>
    <n v="2"/>
    <s v="NULL"/>
    <s v=""/>
    <d v="2025-09-18T00:00:00"/>
    <n v="0"/>
    <n v="25.6"/>
    <x v="0"/>
    <x v="8"/>
    <x v="1"/>
  </r>
  <r>
    <x v="3961"/>
    <n v="4003344556679"/>
    <x v="19"/>
    <s v="Pelechy a nábytok – Psy"/>
    <s v="Canine Craft Industries"/>
    <n v="51.64"/>
    <n v="1"/>
    <s v="5"/>
    <s v="Perfektní kvalita."/>
    <d v="2025-09-19T00:00:00"/>
    <n v="0"/>
    <n v="51.64"/>
    <x v="2"/>
    <x v="8"/>
    <x v="0"/>
  </r>
  <r>
    <x v="3962"/>
    <n v="4013456789017"/>
    <x v="0"/>
    <s v="Krmivo a maškrty – Psy"/>
    <s v="Snouty"/>
    <n v="6"/>
    <n v="1"/>
    <s v="NULL"/>
    <s v=""/>
    <d v="2025-09-19T00:00:00"/>
    <n v="0"/>
    <n v="6"/>
    <x v="0"/>
    <x v="8"/>
    <x v="0"/>
  </r>
  <r>
    <x v="3963"/>
    <n v="4008901234561"/>
    <x v="43"/>
    <s v="Oblečenie a doplnky – Psy"/>
    <s v="HafHaf Couture"/>
    <n v="40"/>
    <n v="1"/>
    <s v="4"/>
    <s v="Pes v suchu aj v lijáku."/>
    <d v="2025-09-19T00:00:00"/>
    <n v="0"/>
    <n v="40"/>
    <x v="1"/>
    <x v="8"/>
    <x v="0"/>
  </r>
  <r>
    <x v="3964"/>
    <n v="4016677889902"/>
    <x v="42"/>
    <s v="Oblečenie a doplnky – Psy"/>
    <s v="Pup Republic"/>
    <n v="22"/>
    <n v="1"/>
    <s v="NULL"/>
    <s v=""/>
    <d v="2025-09-19T00:00:00"/>
    <n v="0"/>
    <n v="22"/>
    <x v="0"/>
    <x v="8"/>
    <x v="0"/>
  </r>
  <r>
    <x v="3965"/>
    <n v="4013456789017"/>
    <x v="0"/>
    <s v="Krmivo a maškrty – Psy"/>
    <s v="Snouty"/>
    <n v="6"/>
    <n v="1"/>
    <s v="NULL"/>
    <s v=""/>
    <d v="2025-09-19T00:00:00"/>
    <n v="0"/>
    <n v="6"/>
    <x v="0"/>
    <x v="8"/>
    <x v="0"/>
  </r>
  <r>
    <x v="3966"/>
    <n v="4025566778891"/>
    <x v="38"/>
    <s v="Misky a kŕmne doplnky – Mačky"/>
    <s v="Catissime"/>
    <n v="51.64"/>
    <n v="1"/>
    <s v="4"/>
    <s v="Fajn konstrukce, odporúčam."/>
    <d v="2025-09-19T00:00:00"/>
    <n v="0"/>
    <n v="51.64"/>
    <x v="1"/>
    <x v="8"/>
    <x v="1"/>
  </r>
  <r>
    <x v="3967"/>
    <n v="4069012345682"/>
    <x v="23"/>
    <s v="Oblečenie a doplnky – Mačky"/>
    <s v="Catissime"/>
    <n v="26"/>
    <n v="1"/>
    <s v="NULL"/>
    <s v=""/>
    <d v="2025-09-19T00:00:00"/>
    <n v="0"/>
    <n v="26"/>
    <x v="0"/>
    <x v="8"/>
    <x v="1"/>
  </r>
  <r>
    <x v="3968"/>
    <n v="4028899001126"/>
    <x v="1"/>
    <s v="Krmivo a maškrty – Psy"/>
    <s v="Pup Republic"/>
    <n v="2.8"/>
    <n v="3"/>
    <s v="NULL"/>
    <s v=""/>
    <d v="2025-09-19T00:00:00"/>
    <n v="0"/>
    <n v="8.3999999999999986"/>
    <x v="0"/>
    <x v="8"/>
    <x v="0"/>
  </r>
  <r>
    <x v="3969"/>
    <n v="4040123456795"/>
    <x v="2"/>
    <s v="Starostlivosť a hygiena – Psy"/>
    <s v="Dogissimo"/>
    <n v="8.8000000000000007"/>
    <n v="1"/>
    <s v="4"/>
    <s v="Funguje skvelo na citlivou pokožku."/>
    <d v="2025-09-19T00:00:00"/>
    <n v="0"/>
    <n v="8.8000000000000007"/>
    <x v="1"/>
    <x v="8"/>
    <x v="0"/>
  </r>
  <r>
    <x v="3970"/>
    <n v="4022345678908"/>
    <x v="55"/>
    <s v="Starostlivosť a hygiena – Psy"/>
    <s v="PawStyle"/>
    <n v="10"/>
    <n v="1"/>
    <s v="NULL"/>
    <s v=""/>
    <d v="2025-09-19T00:00:00"/>
    <n v="0"/>
    <n v="10"/>
    <x v="0"/>
    <x v="8"/>
    <x v="0"/>
  </r>
  <r>
    <x v="3971"/>
    <n v="4024455667788"/>
    <x v="66"/>
    <s v="Pelechy a nábytok – Mačky"/>
    <s v="Nordic Tail"/>
    <n v="75.64"/>
    <n v="1"/>
    <s v="5"/>
    <s v="Robustné, perfektní."/>
    <d v="2025-09-20T00:00:00"/>
    <n v="0"/>
    <n v="75.64"/>
    <x v="2"/>
    <x v="8"/>
    <x v="1"/>
  </r>
  <r>
    <x v="3972"/>
    <n v="4066677889903"/>
    <x v="51"/>
    <s v="Misky a kŕmne doplnky – Mačky"/>
    <s v="Nordic Tail"/>
    <n v="59.64"/>
    <n v="1"/>
    <s v="NULL"/>
    <s v=""/>
    <d v="2025-09-20T00:00:00"/>
    <n v="0"/>
    <n v="59.64"/>
    <x v="0"/>
    <x v="8"/>
    <x v="1"/>
  </r>
  <r>
    <x v="3973"/>
    <n v="4002233445566"/>
    <x v="28"/>
    <s v="Pelechy a nábytok – Mačky"/>
    <s v="Catissime"/>
    <n v="20"/>
    <n v="1"/>
    <s v="NULL"/>
    <s v=""/>
    <d v="2025-09-20T00:00:00"/>
    <n v="0"/>
    <n v="20"/>
    <x v="0"/>
    <x v="8"/>
    <x v="1"/>
  </r>
  <r>
    <x v="3974"/>
    <n v="4028899001126"/>
    <x v="1"/>
    <s v="Krmivo a maškrty – Psy"/>
    <s v="Pup Republic"/>
    <n v="2.8"/>
    <n v="2"/>
    <s v="NULL"/>
    <s v=""/>
    <d v="2025-09-20T00:00:00"/>
    <n v="0"/>
    <n v="5.6"/>
    <x v="0"/>
    <x v="8"/>
    <x v="0"/>
  </r>
  <r>
    <x v="3975"/>
    <n v="4057890123467"/>
    <x v="32"/>
    <s v="Hračky – Psy"/>
    <s v="Bark&amp;Bone"/>
    <n v="9.6"/>
    <n v="1"/>
    <s v="4"/>
    <s v="Pes s nej behá po byte stále."/>
    <d v="2025-09-20T00:00:00"/>
    <n v="0"/>
    <n v="9.6"/>
    <x v="1"/>
    <x v="8"/>
    <x v="0"/>
  </r>
  <r>
    <x v="3976"/>
    <n v="4027788990013"/>
    <x v="9"/>
    <s v="Starostlivosť a hygiena – Psy"/>
    <s v="Dogissimo"/>
    <n v="8"/>
    <n v="1"/>
    <s v="NULL"/>
    <s v=""/>
    <d v="2025-09-20T00:00:00"/>
    <n v="0"/>
    <n v="8"/>
    <x v="0"/>
    <x v="8"/>
    <x v="0"/>
  </r>
  <r>
    <x v="3977"/>
    <n v="4011234567897"/>
    <x v="47"/>
    <s v="Starostlivosť a hygiena – Psy"/>
    <s v="Tlapka design"/>
    <n v="11.6"/>
    <n v="1"/>
    <s v="NULL"/>
    <s v=""/>
    <d v="2025-09-20T00:00:00"/>
    <n v="0"/>
    <n v="11.6"/>
    <x v="0"/>
    <x v="8"/>
    <x v="0"/>
  </r>
  <r>
    <x v="3978"/>
    <n v="4014567890128"/>
    <x v="68"/>
    <s v="Hračky – Mačky"/>
    <s v="Mr. Whiskers"/>
    <n v="5.2"/>
    <n v="2"/>
    <s v="5"/>
    <s v="Mačka ju stále nosí späť."/>
    <d v="2025-09-20T00:00:00"/>
    <n v="0"/>
    <n v="10.4"/>
    <x v="2"/>
    <x v="8"/>
    <x v="1"/>
  </r>
  <r>
    <x v="3979"/>
    <n v="4047890123460"/>
    <x v="40"/>
    <s v="Oblečenie a doplnky – Mačky"/>
    <s v="Pawtastic"/>
    <n v="10"/>
    <n v="1"/>
    <s v="NULL"/>
    <s v=""/>
    <d v="2025-09-20T00:00:00"/>
    <n v="0"/>
    <n v="10"/>
    <x v="0"/>
    <x v="8"/>
    <x v="1"/>
  </r>
  <r>
    <x v="3980"/>
    <n v="4050123456794"/>
    <x v="8"/>
    <s v="Starostlivosť a hygiena – Mačky"/>
    <s v="Nordic Tail"/>
    <n v="7.2"/>
    <n v="1"/>
    <s v="NULL"/>
    <s v=""/>
    <d v="2025-09-20T00:00:00"/>
    <n v="0"/>
    <n v="7.2"/>
    <x v="0"/>
    <x v="8"/>
    <x v="1"/>
  </r>
  <r>
    <x v="3981"/>
    <n v="4013456789017"/>
    <x v="0"/>
    <s v="Krmivo a maškrty – Psy"/>
    <s v="Snouty"/>
    <n v="6"/>
    <n v="1"/>
    <s v="3"/>
    <s v="Mohl by viac voňať."/>
    <d v="2025-09-21T00:00:00"/>
    <n v="0"/>
    <n v="6"/>
    <x v="3"/>
    <x v="8"/>
    <x v="0"/>
  </r>
  <r>
    <x v="3982"/>
    <n v="4050123456794"/>
    <x v="8"/>
    <s v="Starostlivosť a hygiena – Mačky"/>
    <s v="Nordic Tail"/>
    <n v="7.2"/>
    <n v="1"/>
    <s v="NULL"/>
    <s v=""/>
    <d v="2025-09-21T00:00:00"/>
    <n v="0"/>
    <n v="7.2"/>
    <x v="0"/>
    <x v="8"/>
    <x v="1"/>
  </r>
  <r>
    <x v="3983"/>
    <n v="4005566778891"/>
    <x v="24"/>
    <s v="Oblečenie a doplnky – Psy"/>
    <s v="Canine Craft Industries"/>
    <n v="18"/>
    <n v="1"/>
    <s v="NULL"/>
    <s v=""/>
    <d v="2025-09-21T00:00:00"/>
    <n v="0"/>
    <n v="18"/>
    <x v="0"/>
    <x v="8"/>
    <x v="0"/>
  </r>
  <r>
    <x v="3984"/>
    <n v="4040123456795"/>
    <x v="2"/>
    <s v="Starostlivosť a hygiena – Psy"/>
    <s v="Dogissimo"/>
    <n v="8.8000000000000007"/>
    <n v="1"/>
    <s v="5"/>
    <s v="Pes sa po koupelaj neškriabe."/>
    <d v="2025-09-21T00:00:00"/>
    <n v="0"/>
    <n v="8.8000000000000007"/>
    <x v="2"/>
    <x v="8"/>
    <x v="0"/>
  </r>
  <r>
    <x v="3985"/>
    <n v="4063456789014"/>
    <x v="15"/>
    <s v="Krmivo a maškrty – Psy"/>
    <s v="Pupco"/>
    <n v="36"/>
    <n v="1"/>
    <s v="NULL"/>
    <s v=""/>
    <d v="2025-09-21T00:00:00"/>
    <n v="0"/>
    <n v="36"/>
    <x v="0"/>
    <x v="8"/>
    <x v="0"/>
  </r>
  <r>
    <x v="3986"/>
    <n v="4027788990013"/>
    <x v="9"/>
    <s v="Starostlivosť a hygiena – Psy"/>
    <s v="Dogissimo"/>
    <n v="8"/>
    <n v="1"/>
    <s v="NULL"/>
    <s v=""/>
    <d v="2025-09-21T00:00:00"/>
    <n v="0"/>
    <n v="8"/>
    <x v="0"/>
    <x v="8"/>
    <x v="0"/>
  </r>
  <r>
    <x v="3987"/>
    <n v="4028899001126"/>
    <x v="1"/>
    <s v="Krmivo a maškrty – Psy"/>
    <s v="Pup Republic"/>
    <n v="2.8"/>
    <n v="3"/>
    <s v="4"/>
    <s v="Zásoba na mesiac."/>
    <d v="2025-09-21T00:00:00"/>
    <n v="0"/>
    <n v="8.3999999999999986"/>
    <x v="1"/>
    <x v="8"/>
    <x v="0"/>
  </r>
  <r>
    <x v="3987"/>
    <n v="4013456789017"/>
    <x v="0"/>
    <s v="Krmivo a maškrty – Psy"/>
    <s v="Snouty"/>
    <n v="6"/>
    <n v="2"/>
    <s v="NULL"/>
    <s v=""/>
    <d v="2025-09-21T00:00:00"/>
    <n v="0"/>
    <n v="12"/>
    <x v="0"/>
    <x v="8"/>
    <x v="0"/>
  </r>
  <r>
    <x v="3988"/>
    <n v="4007788990022"/>
    <x v="70"/>
    <s v="Pelechy a nábytok – Mačky"/>
    <s v="CozyNest"/>
    <n v="59.64"/>
    <n v="1"/>
    <s v="NULL"/>
    <s v=""/>
    <d v="2025-09-21T00:00:00"/>
    <n v="0"/>
    <n v="59.64"/>
    <x v="0"/>
    <x v="8"/>
    <x v="1"/>
  </r>
  <r>
    <x v="3989"/>
    <n v="4026677889902"/>
    <x v="12"/>
    <s v="Misky a kŕmne doplnky – Ostatné"/>
    <s v="Pawsitive Gear"/>
    <n v="7.6"/>
    <n v="1"/>
    <s v="3"/>
    <s v="Pre škrečka akorát."/>
    <d v="2025-09-21T00:00:00"/>
    <n v="0"/>
    <n v="7.6"/>
    <x v="3"/>
    <x v="8"/>
    <x v="2"/>
  </r>
  <r>
    <x v="3990"/>
    <n v="4024455667788"/>
    <x v="66"/>
    <s v="Pelechy a nábytok – Mačky"/>
    <s v="Nordic Tail"/>
    <n v="75.64"/>
    <n v="1"/>
    <s v="5"/>
    <s v="Skvelé zpracování."/>
    <d v="2025-09-21T00:00:00"/>
    <n v="0"/>
    <n v="75.64"/>
    <x v="2"/>
    <x v="8"/>
    <x v="1"/>
  </r>
  <r>
    <x v="3991"/>
    <n v="4040123456795"/>
    <x v="2"/>
    <s v="Starostlivosť a hygiena – Psy"/>
    <s v="Dogissimo"/>
    <n v="8.8000000000000007"/>
    <n v="1"/>
    <s v="NULL"/>
    <s v=""/>
    <d v="2025-09-21T00:00:00"/>
    <n v="0"/>
    <n v="8.8000000000000007"/>
    <x v="0"/>
    <x v="8"/>
    <x v="0"/>
  </r>
  <r>
    <x v="3992"/>
    <n v="4017890123450"/>
    <x v="16"/>
    <s v="Hračky – Psy"/>
    <s v="Dogissimo"/>
    <n v="7.6"/>
    <n v="1"/>
    <s v="4"/>
    <s v="Pes ju ťahá všade s sebou."/>
    <d v="2025-09-21T00:00:00"/>
    <n v="0"/>
    <n v="7.6"/>
    <x v="1"/>
    <x v="8"/>
    <x v="0"/>
  </r>
  <r>
    <x v="3993"/>
    <n v="4013456789017"/>
    <x v="0"/>
    <s v="Krmivo a maškrty – Psy"/>
    <s v="Snouty"/>
    <n v="6"/>
    <n v="1"/>
    <s v="NULL"/>
    <s v=""/>
    <d v="2025-09-22T00:00:00"/>
    <n v="0"/>
    <n v="6"/>
    <x v="0"/>
    <x v="8"/>
    <x v="0"/>
  </r>
  <r>
    <x v="3993"/>
    <n v="4028899001126"/>
    <x v="1"/>
    <s v="Krmivo a maškrty – Psy"/>
    <s v="Pup Republic"/>
    <n v="2.8"/>
    <n v="2"/>
    <s v="NULL"/>
    <s v=""/>
    <d v="2025-09-22T00:00:00"/>
    <n v="0"/>
    <n v="5.6"/>
    <x v="0"/>
    <x v="8"/>
    <x v="0"/>
  </r>
  <r>
    <x v="3994"/>
    <n v="4040123456795"/>
    <x v="2"/>
    <s v="Starostlivosť a hygiena – Psy"/>
    <s v="Dogissimo"/>
    <n v="8.8000000000000007"/>
    <n v="1"/>
    <s v="4"/>
    <s v="Výborný pre citlivou srsť."/>
    <d v="2025-09-22T00:00:00"/>
    <n v="0"/>
    <n v="8.8000000000000007"/>
    <x v="1"/>
    <x v="8"/>
    <x v="0"/>
  </r>
  <r>
    <x v="3995"/>
    <n v="4063456789014"/>
    <x v="15"/>
    <s v="Krmivo a maškrty – Psy"/>
    <s v="Pupco"/>
    <n v="36"/>
    <n v="1"/>
    <s v="NULL"/>
    <s v=""/>
    <d v="2025-09-22T00:00:00"/>
    <n v="0"/>
    <n v="36"/>
    <x v="0"/>
    <x v="8"/>
    <x v="0"/>
  </r>
  <r>
    <x v="3996"/>
    <n v="4024455667788"/>
    <x v="66"/>
    <s v="Pelechy a nábytok – Mačky"/>
    <s v="Nordic Tail"/>
    <n v="75.64"/>
    <n v="1"/>
    <s v="5"/>
    <s v="Kvalitné materiál, stabilní."/>
    <d v="2025-09-22T00:00:00"/>
    <n v="0"/>
    <n v="75.64"/>
    <x v="2"/>
    <x v="8"/>
    <x v="1"/>
  </r>
  <r>
    <x v="3997"/>
    <n v="4026677889902"/>
    <x v="12"/>
    <s v="Misky a kŕmne doplnky – Ostatné"/>
    <s v="Pawsitive Gear"/>
    <n v="7.6"/>
    <n v="1"/>
    <s v="NULL"/>
    <s v=""/>
    <d v="2025-09-22T00:00:00"/>
    <n v="0"/>
    <n v="7.6"/>
    <x v="0"/>
    <x v="8"/>
    <x v="2"/>
  </r>
  <r>
    <x v="3998"/>
    <n v="4008901234561"/>
    <x v="43"/>
    <s v="Oblečenie a doplnky – Psy"/>
    <s v="HafHaf Couture"/>
    <n v="40"/>
    <n v="1"/>
    <s v="NULL"/>
    <s v=""/>
    <d v="2025-09-22T00:00:00"/>
    <n v="0"/>
    <n v="40"/>
    <x v="0"/>
    <x v="8"/>
    <x v="0"/>
  </r>
  <r>
    <x v="3999"/>
    <n v="4027788990013"/>
    <x v="9"/>
    <s v="Starostlivosť a hygiena – Psy"/>
    <s v="Dogissimo"/>
    <n v="8"/>
    <n v="1"/>
    <s v="3"/>
    <s v="Vôňa trochu silnejší."/>
    <d v="2025-09-22T00:00:00"/>
    <n v="0"/>
    <n v="8"/>
    <x v="3"/>
    <x v="8"/>
    <x v="0"/>
  </r>
  <r>
    <x v="4000"/>
    <n v="4017890123450"/>
    <x v="16"/>
    <s v="Hračky – Psy"/>
    <s v="Dogissimo"/>
    <n v="7.6"/>
    <n v="2"/>
    <s v="NULL"/>
    <s v=""/>
    <d v="2025-09-22T00:00:00"/>
    <n v="0"/>
    <n v="15.2"/>
    <x v="0"/>
    <x v="8"/>
    <x v="0"/>
  </r>
  <r>
    <x v="4001"/>
    <n v="4056789012345"/>
    <x v="11"/>
    <s v="Krmivo a maškrty – Mačky"/>
    <s v="BellaMeow"/>
    <n v="2.4"/>
    <n v="4"/>
    <s v="4"/>
    <s v="Výborná textura, chutí."/>
    <d v="2025-09-23T00:00:00"/>
    <n v="0"/>
    <n v="9.6"/>
    <x v="1"/>
    <x v="8"/>
    <x v="1"/>
  </r>
  <r>
    <x v="4002"/>
    <n v="4028899001126"/>
    <x v="1"/>
    <s v="Krmivo a maškrty – Psy"/>
    <s v="Pup Republic"/>
    <n v="2.8"/>
    <n v="3"/>
    <s v="NULL"/>
    <s v=""/>
    <d v="2025-09-23T00:00:00"/>
    <n v="0"/>
    <n v="8.3999999999999986"/>
    <x v="0"/>
    <x v="8"/>
    <x v="0"/>
  </r>
  <r>
    <x v="4003"/>
    <n v="4055566778892"/>
    <x v="63"/>
    <s v="Misky a kŕmne doplnky – Mačky"/>
    <s v="PawStyle"/>
    <n v="8"/>
    <n v="1"/>
    <s v="NULL"/>
    <s v=""/>
    <d v="2025-09-23T00:00:00"/>
    <n v="0"/>
    <n v="8"/>
    <x v="0"/>
    <x v="8"/>
    <x v="1"/>
  </r>
  <r>
    <x v="4004"/>
    <n v="4013456789017"/>
    <x v="0"/>
    <s v="Krmivo a maškrty – Psy"/>
    <s v="Snouty"/>
    <n v="6"/>
    <n v="2"/>
    <s v="4"/>
    <s v="Pes je miluje."/>
    <d v="2025-09-23T00:00:00"/>
    <n v="0"/>
    <n v="12"/>
    <x v="1"/>
    <x v="8"/>
    <x v="0"/>
  </r>
  <r>
    <x v="4005"/>
    <n v="4046789012356"/>
    <x v="30"/>
    <s v="Hračky – Psy"/>
    <s v="Pupco"/>
    <n v="6.4"/>
    <n v="1"/>
    <s v="NULL"/>
    <s v=""/>
    <d v="2025-09-23T00:00:00"/>
    <n v="0"/>
    <n v="6.4"/>
    <x v="0"/>
    <x v="8"/>
    <x v="0"/>
  </r>
  <r>
    <x v="4006"/>
    <n v="8592345678901"/>
    <x v="82"/>
    <s v="Krmivo a maškrty – Mačky"/>
    <s v="Catissime"/>
    <n v="4.8"/>
    <n v="2"/>
    <s v="NULL"/>
    <s v=""/>
    <d v="2025-09-23T00:00:00"/>
    <n v="0"/>
    <n v="9.6"/>
    <x v="0"/>
    <x v="8"/>
    <x v="1"/>
  </r>
  <r>
    <x v="4007"/>
    <n v="4021234567894"/>
    <x v="18"/>
    <s v="Starostlivosť a hygiena – Mačky"/>
    <s v="PawStyle"/>
    <n v="8"/>
    <n v="1"/>
    <s v="NULL"/>
    <s v=""/>
    <d v="2025-09-23T00:00:00"/>
    <n v="0"/>
    <n v="8"/>
    <x v="0"/>
    <x v="8"/>
    <x v="1"/>
  </r>
  <r>
    <x v="4008"/>
    <n v="4005566778891"/>
    <x v="24"/>
    <s v="Oblečenie a doplnky – Psy"/>
    <s v="Canine Craft Industries"/>
    <n v="18"/>
    <n v="1"/>
    <s v="5"/>
    <s v="Pekný dizajn a pevný."/>
    <d v="2025-09-23T00:00:00"/>
    <n v="0"/>
    <n v="18"/>
    <x v="2"/>
    <x v="8"/>
    <x v="0"/>
  </r>
  <r>
    <x v="4009"/>
    <n v="4050123456794"/>
    <x v="8"/>
    <s v="Starostlivosť a hygiena – Mačky"/>
    <s v="Nordic Tail"/>
    <n v="7.2"/>
    <n v="1"/>
    <s v="NULL"/>
    <s v=""/>
    <d v="2025-09-24T00:00:00"/>
    <n v="0"/>
    <n v="7.2"/>
    <x v="0"/>
    <x v="8"/>
    <x v="1"/>
  </r>
  <r>
    <x v="4010"/>
    <n v="4028899001126"/>
    <x v="1"/>
    <s v="Krmivo a maškrty – Psy"/>
    <s v="Pup Republic"/>
    <n v="2.8"/>
    <n v="3"/>
    <s v="NULL"/>
    <s v=""/>
    <d v="2025-09-24T00:00:00"/>
    <n v="0"/>
    <n v="8.3999999999999986"/>
    <x v="0"/>
    <x v="8"/>
    <x v="0"/>
  </r>
  <r>
    <x v="4011"/>
    <n v="4013456789017"/>
    <x v="0"/>
    <s v="Krmivo a maškrty – Psy"/>
    <s v="Snouty"/>
    <n v="6"/>
    <n v="1"/>
    <s v="NULL"/>
    <s v=""/>
    <d v="2025-09-24T00:00:00"/>
    <n v="0"/>
    <n v="6"/>
    <x v="0"/>
    <x v="8"/>
    <x v="0"/>
  </r>
  <r>
    <x v="4012"/>
    <n v="4040123456795"/>
    <x v="2"/>
    <s v="Starostlivosť a hygiena – Psy"/>
    <s v="Dogissimo"/>
    <n v="8.8000000000000007"/>
    <n v="1"/>
    <s v="5"/>
    <s v="Pes sa neškriabe, krásne čistý."/>
    <d v="2025-09-24T00:00:00"/>
    <n v="0"/>
    <n v="8.8000000000000007"/>
    <x v="2"/>
    <x v="8"/>
    <x v="0"/>
  </r>
  <r>
    <x v="4013"/>
    <n v="4017890123450"/>
    <x v="16"/>
    <s v="Hračky – Psy"/>
    <s v="Dogissimo"/>
    <n v="7.6"/>
    <n v="1"/>
    <s v="NULL"/>
    <s v=""/>
    <d v="2025-09-24T00:00:00"/>
    <n v="0"/>
    <n v="7.6"/>
    <x v="0"/>
    <x v="8"/>
    <x v="0"/>
  </r>
  <r>
    <x v="4014"/>
    <n v="4001234567893"/>
    <x v="5"/>
    <s v="Krmivo a maškrty – Mačky"/>
    <s v="Mr. Whiskers"/>
    <n v="9.1999999999999993"/>
    <n v="2"/>
    <s v="5"/>
    <s v="Mix chutí, mačka spokojená."/>
    <d v="2025-09-24T00:00:00"/>
    <n v="0"/>
    <n v="18.399999999999999"/>
    <x v="2"/>
    <x v="8"/>
    <x v="1"/>
  </r>
  <r>
    <x v="4015"/>
    <n v="4011234567897"/>
    <x v="47"/>
    <s v="Starostlivosť a hygiena – Psy"/>
    <s v="Tlapka design"/>
    <n v="11.6"/>
    <n v="1"/>
    <s v="NULL"/>
    <s v=""/>
    <d v="2025-09-24T00:00:00"/>
    <n v="0"/>
    <n v="11.6"/>
    <x v="0"/>
    <x v="8"/>
    <x v="0"/>
  </r>
  <r>
    <x v="4016"/>
    <n v="4022345678908"/>
    <x v="55"/>
    <s v="Starostlivosť a hygiena – Psy"/>
    <s v="PawStyle"/>
    <n v="10"/>
    <n v="1"/>
    <s v="NULL"/>
    <s v=""/>
    <d v="2025-09-24T00:00:00"/>
    <n v="0"/>
    <n v="10"/>
    <x v="0"/>
    <x v="8"/>
    <x v="0"/>
  </r>
  <r>
    <x v="4017"/>
    <n v="4069012345682"/>
    <x v="23"/>
    <s v="Oblečenie a doplnky – Mačky"/>
    <s v="Catissime"/>
    <n v="26"/>
    <n v="1"/>
    <s v="4"/>
    <s v="Mäkký, mačke sluší."/>
    <d v="2025-09-24T00:00:00"/>
    <n v="0"/>
    <n v="26"/>
    <x v="1"/>
    <x v="8"/>
    <x v="1"/>
  </r>
  <r>
    <x v="4018"/>
    <n v="4063456789014"/>
    <x v="15"/>
    <s v="Krmivo a maškrty – Psy"/>
    <s v="Pupco"/>
    <n v="36"/>
    <n v="1"/>
    <s v="NULL"/>
    <s v=""/>
    <d v="2025-09-24T00:00:00"/>
    <n v="0"/>
    <n v="36"/>
    <x v="0"/>
    <x v="8"/>
    <x v="0"/>
  </r>
  <r>
    <x v="4019"/>
    <n v="4028899001126"/>
    <x v="1"/>
    <s v="Krmivo a maškrty – Psy"/>
    <s v="Pup Republic"/>
    <n v="2.8"/>
    <n v="2"/>
    <s v="NULL"/>
    <s v=""/>
    <d v="2025-09-24T00:00:00"/>
    <n v="0"/>
    <n v="5.6"/>
    <x v="0"/>
    <x v="8"/>
    <x v="0"/>
  </r>
  <r>
    <x v="4020"/>
    <n v="4013456789017"/>
    <x v="0"/>
    <s v="Krmivo a maškrty – Psy"/>
    <s v="Snouty"/>
    <n v="6"/>
    <n v="1"/>
    <s v="4"/>
    <s v="Fungujú pri výcviku."/>
    <d v="2025-09-25T00:00:00"/>
    <n v="0"/>
    <n v="6"/>
    <x v="1"/>
    <x v="8"/>
    <x v="0"/>
  </r>
  <r>
    <x v="4021"/>
    <n v="4049012345683"/>
    <x v="14"/>
    <s v="Starostlivosť a hygiena – Mačky"/>
    <s v="Pawtastic"/>
    <n v="9.1999999999999993"/>
    <n v="1"/>
    <s v="NULL"/>
    <s v=""/>
    <d v="2025-09-25T00:00:00"/>
    <n v="0"/>
    <n v="9.1999999999999993"/>
    <x v="0"/>
    <x v="8"/>
    <x v="1"/>
  </r>
  <r>
    <x v="4022"/>
    <n v="4025566778891"/>
    <x v="38"/>
    <s v="Misky a kŕmne doplnky – Mačky"/>
    <s v="Catissime"/>
    <n v="51.64"/>
    <n v="1"/>
    <s v="NULL"/>
    <s v=""/>
    <d v="2025-09-25T00:00:00"/>
    <n v="0"/>
    <n v="51.64"/>
    <x v="0"/>
    <x v="8"/>
    <x v="1"/>
  </r>
  <r>
    <x v="4023"/>
    <n v="4056789012345"/>
    <x v="11"/>
    <s v="Krmivo a maškrty – Mačky"/>
    <s v="BellaMeow"/>
    <n v="2.4"/>
    <n v="4"/>
    <s v="3"/>
    <s v="Mohla by byť menej tučná."/>
    <d v="2025-09-25T00:00:00"/>
    <n v="0"/>
    <n v="9.6"/>
    <x v="3"/>
    <x v="8"/>
    <x v="1"/>
  </r>
  <r>
    <x v="4024"/>
    <n v="4040123456795"/>
    <x v="2"/>
    <s v="Starostlivosť a hygiena – Psy"/>
    <s v="Dogissimo"/>
    <n v="8.8000000000000007"/>
    <n v="1"/>
    <s v="NULL"/>
    <s v=""/>
    <d v="2025-09-25T00:00:00"/>
    <n v="0"/>
    <n v="8.8000000000000007"/>
    <x v="0"/>
    <x v="8"/>
    <x v="0"/>
  </r>
  <r>
    <x v="4025"/>
    <n v="4022345678908"/>
    <x v="55"/>
    <s v="Starostlivosť a hygiena – Psy"/>
    <s v="PawStyle"/>
    <n v="10"/>
    <n v="1"/>
    <s v="NULL"/>
    <s v=""/>
    <d v="2025-09-25T00:00:00"/>
    <n v="0"/>
    <n v="10"/>
    <x v="0"/>
    <x v="8"/>
    <x v="0"/>
  </r>
  <r>
    <x v="4026"/>
    <n v="4017890123450"/>
    <x v="16"/>
    <s v="Hračky – Psy"/>
    <s v="Dogissimo"/>
    <n v="7.6"/>
    <n v="2"/>
    <s v="NULL"/>
    <s v=""/>
    <d v="2025-09-25T00:00:00"/>
    <n v="0"/>
    <n v="15.2"/>
    <x v="0"/>
    <x v="8"/>
    <x v="0"/>
  </r>
  <r>
    <x v="4027"/>
    <n v="8592233445568"/>
    <x v="21"/>
    <s v="Pelechy a nábytok – Psy"/>
    <s v="Pup Republic"/>
    <n v="79.64"/>
    <n v="1"/>
    <s v="5"/>
    <s v="Skvelý pelech na zimu."/>
    <d v="2025-09-25T00:00:00"/>
    <n v="0"/>
    <n v="79.64"/>
    <x v="2"/>
    <x v="8"/>
    <x v="0"/>
  </r>
  <r>
    <x v="4028"/>
    <n v="4028899001126"/>
    <x v="1"/>
    <s v="Krmivo a maškrty – Psy"/>
    <s v="Pup Republic"/>
    <n v="2.8"/>
    <n v="3"/>
    <s v="NULL"/>
    <s v=""/>
    <d v="2025-09-25T00:00:00"/>
    <n v="0"/>
    <n v="8.3999999999999986"/>
    <x v="0"/>
    <x v="8"/>
    <x v="0"/>
  </r>
  <r>
    <x v="4029"/>
    <n v="4062345678917"/>
    <x v="61"/>
    <s v="Pelechy a nábytok – Mačky"/>
    <s v="PawStyle"/>
    <n v="59.64"/>
    <n v="1"/>
    <s v="4"/>
    <s v="Pevné a vysoké, odporúčam."/>
    <d v="2025-09-25T00:00:00"/>
    <n v="0"/>
    <n v="59.64"/>
    <x v="1"/>
    <x v="8"/>
    <x v="1"/>
  </r>
  <r>
    <x v="4030"/>
    <n v="4059012345683"/>
    <x v="49"/>
    <s v="Oblečenie a doplnky – Psy"/>
    <s v="Tail Trend"/>
    <n v="20"/>
    <n v="1"/>
    <s v="2"/>
    <s v="Zasekl sa naviják, vrátené."/>
    <d v="2025-09-25T00:00:00"/>
    <n v="1"/>
    <n v="20"/>
    <x v="4"/>
    <x v="8"/>
    <x v="0"/>
  </r>
  <r>
    <x v="4031"/>
    <n v="4027788990013"/>
    <x v="9"/>
    <s v="Starostlivosť a hygiena – Psy"/>
    <s v="Dogissimo"/>
    <n v="8"/>
    <n v="1"/>
    <s v="NULL"/>
    <s v=""/>
    <d v="2025-09-25T00:00:00"/>
    <n v="0"/>
    <n v="8"/>
    <x v="0"/>
    <x v="8"/>
    <x v="0"/>
  </r>
  <r>
    <x v="4032"/>
    <n v="4002233445566"/>
    <x v="28"/>
    <s v="Pelechy a nábytok – Mačky"/>
    <s v="Catissime"/>
    <n v="20"/>
    <n v="1"/>
    <s v="NULL"/>
    <s v=""/>
    <d v="2025-09-26T00:00:00"/>
    <n v="0"/>
    <n v="20"/>
    <x v="0"/>
    <x v="8"/>
    <x v="1"/>
  </r>
  <r>
    <x v="4033"/>
    <n v="4027788990013"/>
    <x v="9"/>
    <s v="Starostlivosť a hygiena – Psy"/>
    <s v="Dogissimo"/>
    <n v="8"/>
    <n v="1"/>
    <s v="4"/>
    <s v="Dobre sa oplachuje."/>
    <d v="2025-09-26T00:00:00"/>
    <n v="0"/>
    <n v="8"/>
    <x v="1"/>
    <x v="8"/>
    <x v="0"/>
  </r>
  <r>
    <x v="4034"/>
    <n v="4066677889903"/>
    <x v="51"/>
    <s v="Misky a kŕmne doplnky – Mačky"/>
    <s v="Nordic Tail"/>
    <n v="59.64"/>
    <n v="1"/>
    <s v="NULL"/>
    <s v=""/>
    <d v="2025-09-26T00:00:00"/>
    <n v="0"/>
    <n v="59.64"/>
    <x v="0"/>
    <x v="8"/>
    <x v="1"/>
  </r>
  <r>
    <x v="4035"/>
    <n v="4013456789017"/>
    <x v="0"/>
    <s v="Krmivo a maškrty – Psy"/>
    <s v="Snouty"/>
    <n v="6"/>
    <n v="2"/>
    <s v="NULL"/>
    <s v=""/>
    <d v="2025-09-26T00:00:00"/>
    <n v="0"/>
    <n v="12"/>
    <x v="0"/>
    <x v="8"/>
    <x v="0"/>
  </r>
  <r>
    <x v="4036"/>
    <n v="4003344556679"/>
    <x v="19"/>
    <s v="Pelechy a nábytok – Psy"/>
    <s v="Canine Craft Industries"/>
    <n v="51.64"/>
    <n v="1"/>
    <s v="NULL"/>
    <s v=""/>
    <d v="2025-09-26T00:00:00"/>
    <n v="0"/>
    <n v="51.64"/>
    <x v="0"/>
    <x v="8"/>
    <x v="0"/>
  </r>
  <r>
    <x v="4037"/>
    <n v="4028899001126"/>
    <x v="1"/>
    <s v="Krmivo a maškrty – Psy"/>
    <s v="Pup Republic"/>
    <n v="2.8"/>
    <n v="3"/>
    <s v="4"/>
    <s v="Bez chyby."/>
    <d v="2025-09-26T00:00:00"/>
    <n v="0"/>
    <n v="8.3999999999999986"/>
    <x v="1"/>
    <x v="8"/>
    <x v="0"/>
  </r>
  <r>
    <x v="4038"/>
    <n v="4057890123467"/>
    <x v="32"/>
    <s v="Hračky – Psy"/>
    <s v="Bark&amp;Bone"/>
    <n v="9.6"/>
    <n v="1"/>
    <s v="NULL"/>
    <s v=""/>
    <d v="2025-09-26T00:00:00"/>
    <n v="0"/>
    <n v="9.6"/>
    <x v="0"/>
    <x v="8"/>
    <x v="0"/>
  </r>
  <r>
    <x v="4039"/>
    <n v="4026677889902"/>
    <x v="12"/>
    <s v="Misky a kŕmne doplnky – Ostatné"/>
    <s v="Pawsitive Gear"/>
    <n v="7.6"/>
    <n v="1"/>
    <s v="NULL"/>
    <s v=""/>
    <d v="2025-09-26T00:00:00"/>
    <n v="0"/>
    <n v="7.6"/>
    <x v="0"/>
    <x v="8"/>
    <x v="2"/>
  </r>
  <r>
    <x v="4040"/>
    <n v="4058899001125"/>
    <x v="50"/>
    <s v="Hračky – Mačky"/>
    <s v="Pawtastic"/>
    <n v="10.4"/>
    <n v="1"/>
    <s v="5"/>
    <s v="Mačka sa baví celé hodiny."/>
    <d v="2025-09-26T00:00:00"/>
    <n v="0"/>
    <n v="10.4"/>
    <x v="2"/>
    <x v="8"/>
    <x v="1"/>
  </r>
  <r>
    <x v="4041"/>
    <n v="4011234567897"/>
    <x v="47"/>
    <s v="Starostlivosť a hygiena – Psy"/>
    <s v="Tlapka design"/>
    <n v="11.6"/>
    <n v="1"/>
    <s v="NULL"/>
    <s v=""/>
    <d v="2025-09-26T00:00:00"/>
    <n v="0"/>
    <n v="11.6"/>
    <x v="0"/>
    <x v="8"/>
    <x v="0"/>
  </r>
  <r>
    <x v="4042"/>
    <n v="4055566778892"/>
    <x v="63"/>
    <s v="Misky a kŕmne doplnky – Mačky"/>
    <s v="PawStyle"/>
    <n v="8"/>
    <n v="1"/>
    <s v="NULL"/>
    <s v=""/>
    <d v="2025-09-26T00:00:00"/>
    <n v="0"/>
    <n v="8"/>
    <x v="0"/>
    <x v="8"/>
    <x v="1"/>
  </r>
  <r>
    <x v="4043"/>
    <n v="4022345678908"/>
    <x v="55"/>
    <s v="Starostlivosť a hygiena – Psy"/>
    <s v="PawStyle"/>
    <n v="10"/>
    <n v="1"/>
    <s v="3"/>
    <s v="Jde to ztuha, ale použitelné."/>
    <d v="2025-09-27T00:00:00"/>
    <n v="0"/>
    <n v="10"/>
    <x v="3"/>
    <x v="8"/>
    <x v="0"/>
  </r>
  <r>
    <x v="4044"/>
    <n v="4013456789017"/>
    <x v="0"/>
    <s v="Krmivo a maškrty – Psy"/>
    <s v="Snouty"/>
    <n v="6"/>
    <n v="1"/>
    <s v="NULL"/>
    <s v=""/>
    <d v="2025-09-27T00:00:00"/>
    <n v="0"/>
    <n v="6"/>
    <x v="0"/>
    <x v="8"/>
    <x v="0"/>
  </r>
  <r>
    <x v="4045"/>
    <n v="4040123456795"/>
    <x v="2"/>
    <s v="Starostlivosť a hygiena – Psy"/>
    <s v="Dogissimo"/>
    <n v="8.8000000000000007"/>
    <n v="1"/>
    <s v="NULL"/>
    <s v=""/>
    <d v="2025-09-27T00:00:00"/>
    <n v="0"/>
    <n v="8.8000000000000007"/>
    <x v="0"/>
    <x v="8"/>
    <x v="0"/>
  </r>
  <r>
    <x v="4046"/>
    <n v="4028899001126"/>
    <x v="1"/>
    <s v="Krmivo a maškrty – Psy"/>
    <s v="Pup Republic"/>
    <n v="2.8"/>
    <n v="2"/>
    <s v="4"/>
    <s v="Pes to zbožňuje."/>
    <d v="2025-09-27T00:00:00"/>
    <n v="0"/>
    <n v="5.6"/>
    <x v="1"/>
    <x v="8"/>
    <x v="0"/>
  </r>
  <r>
    <x v="4047"/>
    <n v="4029900112244"/>
    <x v="65"/>
    <s v="Starostlivosť a hygiena – Mačky"/>
    <s v="BellaMeow"/>
    <n v="13.6"/>
    <n v="1"/>
    <s v="NULL"/>
    <s v=""/>
    <d v="2025-09-27T00:00:00"/>
    <n v="0"/>
    <n v="13.6"/>
    <x v="0"/>
    <x v="8"/>
    <x v="1"/>
  </r>
  <r>
    <x v="4048"/>
    <n v="4017890123450"/>
    <x v="16"/>
    <s v="Hračky – Psy"/>
    <s v="Dogissimo"/>
    <n v="7.6"/>
    <n v="1"/>
    <s v="NULL"/>
    <s v=""/>
    <d v="2025-09-27T00:00:00"/>
    <n v="0"/>
    <n v="7.6"/>
    <x v="0"/>
    <x v="8"/>
    <x v="0"/>
  </r>
  <r>
    <x v="4049"/>
    <n v="4056789012345"/>
    <x v="11"/>
    <s v="Krmivo a maškrty – Mačky"/>
    <s v="BellaMeow"/>
    <n v="2.4"/>
    <n v="3"/>
    <s v="NULL"/>
    <s v=""/>
    <d v="2025-09-27T00:00:00"/>
    <n v="0"/>
    <n v="7.1999999999999993"/>
    <x v="0"/>
    <x v="8"/>
    <x v="1"/>
  </r>
  <r>
    <x v="4050"/>
    <n v="4013456789017"/>
    <x v="0"/>
    <s v="Krmivo a maškrty – Psy"/>
    <s v="Snouty"/>
    <n v="6"/>
    <n v="2"/>
    <s v="5"/>
    <s v="Najlepšie motivace pri tréningu."/>
    <d v="2025-09-27T00:00:00"/>
    <n v="0"/>
    <n v="12"/>
    <x v="2"/>
    <x v="8"/>
    <x v="0"/>
  </r>
  <r>
    <x v="4051"/>
    <n v="4026677889902"/>
    <x v="12"/>
    <s v="Misky a kŕmne doplnky – Ostatné"/>
    <s v="Pawsitive Gear"/>
    <n v="7.6"/>
    <n v="1"/>
    <s v="NULL"/>
    <s v=""/>
    <d v="2025-09-27T00:00:00"/>
    <n v="0"/>
    <n v="7.6"/>
    <x v="0"/>
    <x v="8"/>
    <x v="2"/>
  </r>
  <r>
    <x v="4052"/>
    <n v="4059012345683"/>
    <x v="49"/>
    <s v="Oblečenie a doplnky – Psy"/>
    <s v="Tail Trend"/>
    <n v="20"/>
    <n v="1"/>
    <s v="2"/>
    <s v="Zklamání, karabina slabá."/>
    <d v="2025-09-27T00:00:00"/>
    <n v="1"/>
    <n v="20"/>
    <x v="4"/>
    <x v="8"/>
    <x v="0"/>
  </r>
  <r>
    <x v="4053"/>
    <n v="4024455667788"/>
    <x v="66"/>
    <s v="Pelechy a nábytok – Mačky"/>
    <s v="Nordic Tail"/>
    <n v="75.64"/>
    <n v="1"/>
    <s v="5"/>
    <s v="Kocour to okupuje."/>
    <d v="2025-09-27T00:00:00"/>
    <n v="0"/>
    <n v="75.64"/>
    <x v="2"/>
    <x v="8"/>
    <x v="1"/>
  </r>
  <r>
    <x v="4054"/>
    <n v="4040123456795"/>
    <x v="2"/>
    <s v="Starostlivosť a hygiena – Psy"/>
    <s v="Dogissimo"/>
    <n v="8.8000000000000007"/>
    <n v="1"/>
    <s v="NULL"/>
    <s v=""/>
    <d v="2025-09-27T00:00:00"/>
    <n v="0"/>
    <n v="8.8000000000000007"/>
    <x v="0"/>
    <x v="8"/>
    <x v="0"/>
  </r>
  <r>
    <x v="4055"/>
    <n v="4013456789017"/>
    <x v="0"/>
    <s v="Krmivo a maškrty – Psy"/>
    <s v="Snouty"/>
    <n v="6"/>
    <n v="1"/>
    <s v="4"/>
    <s v="Pes sa je sám nosí."/>
    <d v="2025-09-28T00:00:00"/>
    <n v="0"/>
    <n v="6"/>
    <x v="1"/>
    <x v="8"/>
    <x v="0"/>
  </r>
  <r>
    <x v="4056"/>
    <n v="4028899001126"/>
    <x v="1"/>
    <s v="Krmivo a maškrty – Psy"/>
    <s v="Pup Republic"/>
    <n v="2.8"/>
    <n v="3"/>
    <s v="NULL"/>
    <s v=""/>
    <d v="2025-09-28T00:00:00"/>
    <n v="0"/>
    <n v="8.3999999999999986"/>
    <x v="0"/>
    <x v="8"/>
    <x v="0"/>
  </r>
  <r>
    <x v="4057"/>
    <n v="4029900112244"/>
    <x v="65"/>
    <s v="Starostlivosť a hygiena – Mačky"/>
    <s v="BellaMeow"/>
    <n v="13.6"/>
    <n v="1"/>
    <s v="NULL"/>
    <s v=""/>
    <d v="2025-09-28T00:00:00"/>
    <n v="0"/>
    <n v="13.6"/>
    <x v="0"/>
    <x v="8"/>
    <x v="1"/>
  </r>
  <r>
    <x v="4058"/>
    <n v="4027788990013"/>
    <x v="9"/>
    <s v="Starostlivosť a hygiena – Psy"/>
    <s v="Dogissimo"/>
    <n v="8"/>
    <n v="1"/>
    <s v="NULL"/>
    <s v=""/>
    <d v="2025-09-28T00:00:00"/>
    <n v="0"/>
    <n v="8"/>
    <x v="0"/>
    <x v="8"/>
    <x v="0"/>
  </r>
  <r>
    <x v="4059"/>
    <n v="4044567890123"/>
    <x v="27"/>
    <s v="Hračky – Mačky"/>
    <s v="BellaMeow"/>
    <n v="6"/>
    <n v="1"/>
    <s v="NULL"/>
    <s v=""/>
    <d v="2025-09-28T00:00:00"/>
    <n v="0"/>
    <n v="6"/>
    <x v="0"/>
    <x v="8"/>
    <x v="1"/>
  </r>
  <r>
    <x v="4060"/>
    <n v="4011234567897"/>
    <x v="47"/>
    <s v="Starostlivosť a hygiena – Psy"/>
    <s v="Tlapka design"/>
    <n v="11.6"/>
    <n v="1"/>
    <s v="4"/>
    <s v="Dobre sedí do ruky."/>
    <d v="2025-09-28T00:00:00"/>
    <n v="0"/>
    <n v="11.6"/>
    <x v="1"/>
    <x v="8"/>
    <x v="0"/>
  </r>
  <r>
    <x v="4061"/>
    <n v="4066677889903"/>
    <x v="51"/>
    <s v="Misky a kŕmne doplnky – Mačky"/>
    <s v="Nordic Tail"/>
    <n v="59.64"/>
    <n v="1"/>
    <s v="NULL"/>
    <s v=""/>
    <d v="2025-09-28T00:00:00"/>
    <n v="0"/>
    <n v="59.64"/>
    <x v="0"/>
    <x v="8"/>
    <x v="1"/>
  </r>
  <r>
    <x v="4062"/>
    <n v="4055566778892"/>
    <x v="63"/>
    <s v="Misky a kŕmne doplnky – Mačky"/>
    <s v="PawStyle"/>
    <n v="8"/>
    <n v="1"/>
    <s v="NULL"/>
    <s v=""/>
    <d v="2025-09-28T00:00:00"/>
    <n v="0"/>
    <n v="8"/>
    <x v="0"/>
    <x v="8"/>
    <x v="1"/>
  </r>
  <r>
    <x v="4063"/>
    <n v="4013456789017"/>
    <x v="0"/>
    <s v="Krmivo a maškrty – Psy"/>
    <s v="Snouty"/>
    <n v="6"/>
    <n v="1"/>
    <s v="NULL"/>
    <s v=""/>
    <d v="2025-09-28T00:00:00"/>
    <n v="0"/>
    <n v="6"/>
    <x v="0"/>
    <x v="8"/>
    <x v="0"/>
  </r>
  <r>
    <x v="4064"/>
    <n v="4027788990013"/>
    <x v="9"/>
    <s v="Starostlivosť a hygiena – Psy"/>
    <s v="Dogissimo"/>
    <n v="8"/>
    <n v="1"/>
    <s v="5"/>
    <s v="Najlepšie, čo sme zkusili."/>
    <d v="2025-09-28T00:00:00"/>
    <n v="0"/>
    <n v="8"/>
    <x v="2"/>
    <x v="8"/>
    <x v="0"/>
  </r>
  <r>
    <x v="4065"/>
    <n v="4042233445567"/>
    <x v="57"/>
    <s v="Pelechy a nábytok – Mačky"/>
    <s v="CozyNest"/>
    <n v="51.64"/>
    <n v="1"/>
    <s v="NULL"/>
    <s v=""/>
    <d v="2025-09-28T00:00:00"/>
    <n v="0"/>
    <n v="51.64"/>
    <x v="0"/>
    <x v="8"/>
    <x v="1"/>
  </r>
  <r>
    <x v="4066"/>
    <n v="4028899001126"/>
    <x v="1"/>
    <s v="Krmivo a maškrty – Psy"/>
    <s v="Pup Republic"/>
    <n v="2.8"/>
    <n v="2"/>
    <s v="4"/>
    <s v="Pes ju žerie s nadšením."/>
    <d v="2025-09-28T00:00:00"/>
    <n v="0"/>
    <n v="5.6"/>
    <x v="1"/>
    <x v="8"/>
    <x v="0"/>
  </r>
  <r>
    <x v="4067"/>
    <n v="4013456789017"/>
    <x v="0"/>
    <s v="Krmivo a maškrty – Psy"/>
    <s v="Snouty"/>
    <n v="6"/>
    <n v="2"/>
    <s v="NULL"/>
    <s v=""/>
    <d v="2025-09-29T00:00:00"/>
    <n v="0"/>
    <n v="12"/>
    <x v="0"/>
    <x v="8"/>
    <x v="0"/>
  </r>
  <r>
    <x v="4067"/>
    <n v="4028899001126"/>
    <x v="1"/>
    <s v="Krmivo a maškrty – Psy"/>
    <s v="Pup Republic"/>
    <n v="2.8"/>
    <n v="2"/>
    <s v="NULL"/>
    <s v=""/>
    <d v="2025-09-29T00:00:00"/>
    <n v="0"/>
    <n v="5.6"/>
    <x v="0"/>
    <x v="8"/>
    <x v="0"/>
  </r>
  <r>
    <x v="4068"/>
    <n v="4040123456795"/>
    <x v="2"/>
    <s v="Starostlivosť a hygiena – Psy"/>
    <s v="Dogissimo"/>
    <n v="8.8000000000000007"/>
    <n v="1"/>
    <s v="4"/>
    <s v="Spokojenost, jemný šampón."/>
    <d v="2025-09-29T00:00:00"/>
    <n v="0"/>
    <n v="8.8000000000000007"/>
    <x v="1"/>
    <x v="8"/>
    <x v="0"/>
  </r>
  <r>
    <x v="4069"/>
    <n v="4069012345682"/>
    <x v="23"/>
    <s v="Oblečenie a doplnky – Mačky"/>
    <s v="Catissime"/>
    <n v="26"/>
    <n v="1"/>
    <s v="NULL"/>
    <s v=""/>
    <d v="2025-09-29T00:00:00"/>
    <n v="0"/>
    <n v="26"/>
    <x v="0"/>
    <x v="8"/>
    <x v="1"/>
  </r>
  <r>
    <x v="4070"/>
    <n v="4017890123450"/>
    <x v="16"/>
    <s v="Hračky – Psy"/>
    <s v="Dogissimo"/>
    <n v="7.6"/>
    <n v="1"/>
    <s v="NULL"/>
    <s v=""/>
    <d v="2025-09-29T00:00:00"/>
    <n v="0"/>
    <n v="7.6"/>
    <x v="0"/>
    <x v="8"/>
    <x v="0"/>
  </r>
  <r>
    <x v="4071"/>
    <n v="4063456789014"/>
    <x v="15"/>
    <s v="Krmivo a maškrty – Psy"/>
    <s v="Pupco"/>
    <n v="36"/>
    <n v="1"/>
    <s v="5"/>
    <s v="Pes sa zlepšil, krásna srsť."/>
    <d v="2025-09-29T00:00:00"/>
    <n v="0"/>
    <n v="36"/>
    <x v="2"/>
    <x v="8"/>
    <x v="0"/>
  </r>
  <r>
    <x v="4072"/>
    <n v="4003344556679"/>
    <x v="19"/>
    <s v="Pelechy a nábytok – Psy"/>
    <s v="Canine Craft Industries"/>
    <n v="51.64"/>
    <n v="1"/>
    <s v="NULL"/>
    <s v=""/>
    <d v="2025-09-29T00:00:00"/>
    <n v="0"/>
    <n v="51.64"/>
    <x v="0"/>
    <x v="8"/>
    <x v="0"/>
  </r>
  <r>
    <x v="4073"/>
    <n v="4024455667788"/>
    <x v="66"/>
    <s v="Pelechy a nábytok – Mačky"/>
    <s v="Nordic Tail"/>
    <n v="75.64"/>
    <n v="1"/>
    <s v="NULL"/>
    <s v=""/>
    <d v="2025-09-29T00:00:00"/>
    <n v="0"/>
    <n v="75.64"/>
    <x v="0"/>
    <x v="8"/>
    <x v="1"/>
  </r>
  <r>
    <x v="4074"/>
    <n v="4057890123467"/>
    <x v="32"/>
    <s v="Hračky – Psy"/>
    <s v="Bark&amp;Bone"/>
    <n v="9.6"/>
    <n v="1"/>
    <s v="NULL"/>
    <s v=""/>
    <d v="2025-09-29T00:00:00"/>
    <n v="0"/>
    <n v="9.6"/>
    <x v="0"/>
    <x v="8"/>
    <x v="0"/>
  </r>
  <r>
    <x v="4075"/>
    <n v="4026677889902"/>
    <x v="12"/>
    <s v="Misky a kŕmne doplnky – Ostatné"/>
    <s v="Pawsitive Gear"/>
    <n v="7.6"/>
    <n v="1"/>
    <s v="4"/>
    <s v="Miska pevná, ideálne pre škrečka."/>
    <d v="2025-09-29T00:00:00"/>
    <n v="0"/>
    <n v="7.6"/>
    <x v="1"/>
    <x v="8"/>
    <x v="2"/>
  </r>
  <r>
    <x v="4076"/>
    <n v="4040123456795"/>
    <x v="2"/>
    <s v="Starostlivosť a hygiena – Psy"/>
    <s v="Dogissimo"/>
    <n v="8.8000000000000007"/>
    <n v="1"/>
    <s v="NULL"/>
    <s v=""/>
    <d v="2025-09-29T00:00:00"/>
    <n v="0"/>
    <n v="8.8000000000000007"/>
    <x v="0"/>
    <x v="8"/>
    <x v="0"/>
  </r>
  <r>
    <x v="4077"/>
    <n v="8592233445568"/>
    <x v="21"/>
    <s v="Pelechy a nábytok – Psy"/>
    <s v="Pup Republic"/>
    <n v="79.64"/>
    <n v="1"/>
    <s v="5"/>
    <s v="Kvalita, rychlé doručení."/>
    <d v="2025-09-29T00:00:00"/>
    <n v="0"/>
    <n v="79.64"/>
    <x v="2"/>
    <x v="8"/>
    <x v="0"/>
  </r>
  <r>
    <x v="4078"/>
    <n v="4022345678908"/>
    <x v="55"/>
    <s v="Starostlivosť a hygiena – Psy"/>
    <s v="PawStyle"/>
    <n v="10"/>
    <n v="1"/>
    <s v="NULL"/>
    <s v=""/>
    <d v="2025-09-29T00:00:00"/>
    <n v="0"/>
    <n v="10"/>
    <x v="0"/>
    <x v="8"/>
    <x v="0"/>
  </r>
  <r>
    <x v="4079"/>
    <n v="4025566778891"/>
    <x v="38"/>
    <s v="Misky a kŕmne doplnky – Mačky"/>
    <s v="Catissime"/>
    <n v="51.64"/>
    <n v="1"/>
    <s v="5"/>
    <s v="Skvelý produkt, odporúčam."/>
    <d v="2025-09-29T00:00:00"/>
    <n v="0"/>
    <n v="51.64"/>
    <x v="2"/>
    <x v="8"/>
    <x v="1"/>
  </r>
  <r>
    <x v="4080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081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082"/>
    <n v="4027788990013"/>
    <x v="9"/>
    <s v="Starostlivosť a hygiena – Psy"/>
    <s v="Dogissimo"/>
    <n v="8"/>
    <n v="1"/>
    <s v="4"/>
    <s v="Pekne čistí, nezanechává mastnotu."/>
    <d v="2025-09-30T00:00:00"/>
    <n v="0"/>
    <n v="8"/>
    <x v="1"/>
    <x v="8"/>
    <x v="0"/>
  </r>
  <r>
    <x v="4083"/>
    <n v="4061234567805"/>
    <x v="80"/>
    <s v="Starostlivosť a hygiena – Mačky"/>
    <s v="CozyNest"/>
    <n v="12.8"/>
    <n v="2"/>
    <s v="NULL"/>
    <s v=""/>
    <d v="2025-09-30T00:00:00"/>
    <n v="0"/>
    <n v="25.6"/>
    <x v="0"/>
    <x v="8"/>
    <x v="1"/>
  </r>
  <r>
    <x v="4084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085"/>
    <n v="4011234567897"/>
    <x v="47"/>
    <s v="Starostlivosť a hygiena – Psy"/>
    <s v="Tlapka design"/>
    <n v="11.6"/>
    <n v="1"/>
    <s v="NULL"/>
    <s v=""/>
    <d v="2025-09-30T00:00:00"/>
    <n v="0"/>
    <n v="11.6"/>
    <x v="0"/>
    <x v="8"/>
    <x v="0"/>
  </r>
  <r>
    <x v="4086"/>
    <n v="4029900112244"/>
    <x v="65"/>
    <s v="Starostlivosť a hygiena – Mačky"/>
    <s v="BellaMeow"/>
    <n v="13.6"/>
    <n v="1"/>
    <s v="NULL"/>
    <s v=""/>
    <d v="2025-09-30T00:00:00"/>
    <n v="0"/>
    <n v="13.6"/>
    <x v="0"/>
    <x v="8"/>
    <x v="1"/>
  </r>
  <r>
    <x v="4087"/>
    <n v="4003344556679"/>
    <x v="19"/>
    <s v="Pelechy a nábytok – Psy"/>
    <s v="Canine Craft Industries"/>
    <n v="51.64"/>
    <n v="1"/>
    <s v="4"/>
    <s v="Výborný, náš pes spí len v ňom."/>
    <d v="2025-09-30T00:00:00"/>
    <n v="0"/>
    <n v="51.64"/>
    <x v="1"/>
    <x v="8"/>
    <x v="0"/>
  </r>
  <r>
    <x v="4088"/>
    <n v="4050123456794"/>
    <x v="8"/>
    <s v="Starostlivosť a hygiena – Mačky"/>
    <s v="Nordic Tail"/>
    <n v="7.2"/>
    <n v="1"/>
    <s v="NULL"/>
    <s v=""/>
    <d v="2025-09-30T00:00:00"/>
    <n v="0"/>
    <n v="7.2"/>
    <x v="0"/>
    <x v="8"/>
    <x v="1"/>
  </r>
  <r>
    <x v="4089"/>
    <n v="4013456789017"/>
    <x v="0"/>
    <s v="Krmivo a maškrty – Psy"/>
    <s v="Snouty"/>
    <n v="6"/>
    <n v="1"/>
    <s v="NULL"/>
    <s v=""/>
    <d v="2025-09-30T00:00:00"/>
    <n v="0"/>
    <n v="6"/>
    <x v="0"/>
    <x v="8"/>
    <x v="0"/>
  </r>
  <r>
    <x v="4090"/>
    <n v="4028899001126"/>
    <x v="1"/>
    <s v="Krmivo a maškrty – Psy"/>
    <s v="Pup Republic"/>
    <n v="2.8"/>
    <n v="3"/>
    <s v="5"/>
    <s v="Pes ju zbožňuje, kupujem často."/>
    <d v="2025-09-30T00:00:00"/>
    <n v="0"/>
    <n v="8.3999999999999986"/>
    <x v="2"/>
    <x v="8"/>
    <x v="0"/>
  </r>
  <r>
    <x v="4091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092"/>
    <n v="4026677889902"/>
    <x v="12"/>
    <s v="Misky a kŕmne doplnky – Ostatné"/>
    <s v="Pawsitive Gear"/>
    <n v="7.6"/>
    <n v="1"/>
    <s v="NULL"/>
    <s v=""/>
    <d v="2025-09-30T00:00:00"/>
    <n v="0"/>
    <n v="7.6"/>
    <x v="0"/>
    <x v="8"/>
    <x v="2"/>
  </r>
  <r>
    <x v="4093"/>
    <n v="4063456789014"/>
    <x v="15"/>
    <s v="Krmivo a maškrty – Psy"/>
    <s v="Pupco"/>
    <n v="36"/>
    <n v="1"/>
    <s v="NULL"/>
    <s v=""/>
    <d v="2025-09-30T00:00:00"/>
    <n v="0"/>
    <n v="36"/>
    <x v="0"/>
    <x v="8"/>
    <x v="0"/>
  </r>
  <r>
    <x v="4094"/>
    <n v="4019876501234"/>
    <x v="75"/>
    <s v="Krmivo a maškrty – Mačky"/>
    <s v="BellaMeow"/>
    <n v="1.84"/>
    <n v="4"/>
    <s v="4"/>
    <s v="Výborné zloženie."/>
    <d v="2025-09-30T00:00:00"/>
    <n v="0"/>
    <n v="7.36"/>
    <x v="1"/>
    <x v="8"/>
    <x v="1"/>
  </r>
  <r>
    <x v="4095"/>
    <n v="4056789012345"/>
    <x v="11"/>
    <s v="Krmivo a maškrty – Mačky"/>
    <s v="BellaMeow"/>
    <n v="2.4"/>
    <n v="3"/>
    <s v="NULL"/>
    <s v=""/>
    <d v="2025-09-30T00:00:00"/>
    <n v="0"/>
    <n v="7.1999999999999993"/>
    <x v="0"/>
    <x v="8"/>
    <x v="1"/>
  </r>
  <r>
    <x v="4096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097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098"/>
    <n v="4040123456795"/>
    <x v="2"/>
    <s v="Starostlivosť a hygiena – Psy"/>
    <s v="Dogissimo"/>
    <n v="8.8000000000000007"/>
    <n v="1"/>
    <s v="5"/>
    <s v="Skvelý, beriem pravidelne."/>
    <d v="2025-09-30T00:00:00"/>
    <n v="0"/>
    <n v="8.8000000000000007"/>
    <x v="2"/>
    <x v="8"/>
    <x v="0"/>
  </r>
  <r>
    <x v="4099"/>
    <n v="4069012345682"/>
    <x v="23"/>
    <s v="Oblečenie a doplnky – Mačky"/>
    <s v="Catissime"/>
    <n v="26"/>
    <n v="1"/>
    <s v="NULL"/>
    <s v=""/>
    <d v="2025-09-30T00:00:00"/>
    <n v="0"/>
    <n v="26"/>
    <x v="0"/>
    <x v="8"/>
    <x v="1"/>
  </r>
  <r>
    <x v="4100"/>
    <n v="4055566778892"/>
    <x v="63"/>
    <s v="Misky a kŕmne doplnky – Mačky"/>
    <s v="PawStyle"/>
    <n v="8"/>
    <n v="1"/>
    <s v="NULL"/>
    <s v=""/>
    <d v="2025-09-30T00:00:00"/>
    <n v="0"/>
    <n v="8"/>
    <x v="0"/>
    <x v="8"/>
    <x v="1"/>
  </r>
  <r>
    <x v="4101"/>
    <n v="4013456789017"/>
    <x v="0"/>
    <s v="Krmivo a maškrty – Psy"/>
    <s v="Snouty"/>
    <n v="6"/>
    <n v="1"/>
    <s v="4"/>
    <s v="Zdravé, chutné."/>
    <d v="2025-09-30T00:00:00"/>
    <n v="0"/>
    <n v="6"/>
    <x v="1"/>
    <x v="8"/>
    <x v="0"/>
  </r>
  <r>
    <x v="4102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103"/>
    <n v="4029900112244"/>
    <x v="65"/>
    <s v="Starostlivosť a hygiena – Mačky"/>
    <s v="BellaMeow"/>
    <n v="13.6"/>
    <n v="1"/>
    <s v="NULL"/>
    <s v=""/>
    <d v="2025-09-30T00:00:00"/>
    <n v="0"/>
    <n v="13.6"/>
    <x v="0"/>
    <x v="8"/>
    <x v="1"/>
  </r>
  <r>
    <x v="4104"/>
    <n v="4022345678908"/>
    <x v="55"/>
    <s v="Starostlivosť a hygiena – Psy"/>
    <s v="PawStyle"/>
    <n v="10"/>
    <n v="1"/>
    <s v="NULL"/>
    <s v=""/>
    <d v="2025-09-30T00:00:00"/>
    <n v="0"/>
    <n v="10"/>
    <x v="0"/>
    <x v="8"/>
    <x v="0"/>
  </r>
  <r>
    <x v="4105"/>
    <n v="4061234567805"/>
    <x v="80"/>
    <s v="Starostlivosť a hygiena – Mačky"/>
    <s v="CozyNest"/>
    <n v="12.8"/>
    <n v="1"/>
    <s v="4"/>
    <s v="Dlouho vydrží."/>
    <d v="2025-09-30T00:00:00"/>
    <n v="0"/>
    <n v="12.8"/>
    <x v="1"/>
    <x v="8"/>
    <x v="1"/>
  </r>
  <r>
    <x v="4106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07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08"/>
    <n v="4056789012345"/>
    <x v="11"/>
    <s v="Krmivo a maškrty – Mačky"/>
    <s v="BellaMeow"/>
    <n v="2.4"/>
    <n v="4"/>
    <s v="NULL"/>
    <s v=""/>
    <d v="2025-09-30T00:00:00"/>
    <n v="0"/>
    <n v="9.6"/>
    <x v="0"/>
    <x v="8"/>
    <x v="1"/>
  </r>
  <r>
    <x v="4109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110"/>
    <n v="4028899001126"/>
    <x v="1"/>
    <s v="Krmivo a maškrty – Psy"/>
    <s v="Pup Republic"/>
    <n v="2.8"/>
    <n v="3"/>
    <s v="4"/>
    <s v="Pes to má najradšej."/>
    <d v="2025-09-30T00:00:00"/>
    <n v="0"/>
    <n v="8.3999999999999986"/>
    <x v="1"/>
    <x v="8"/>
    <x v="0"/>
  </r>
  <r>
    <x v="4111"/>
    <n v="4069012345682"/>
    <x v="23"/>
    <s v="Oblečenie a doplnky – Mačky"/>
    <s v="Catissime"/>
    <n v="26"/>
    <n v="1"/>
    <s v="NULL"/>
    <s v=""/>
    <d v="2025-09-30T00:00:00"/>
    <n v="0"/>
    <n v="26"/>
    <x v="0"/>
    <x v="8"/>
    <x v="1"/>
  </r>
  <r>
    <x v="4112"/>
    <n v="4019876501234"/>
    <x v="75"/>
    <s v="Krmivo a maškrty – Mačky"/>
    <s v="BellaMeow"/>
    <n v="1.84"/>
    <n v="5"/>
    <s v="5"/>
    <s v="Mačka inú nechce."/>
    <d v="2025-09-30T00:00:00"/>
    <n v="0"/>
    <n v="9.2000000000000011"/>
    <x v="2"/>
    <x v="8"/>
    <x v="1"/>
  </r>
  <r>
    <x v="4113"/>
    <n v="4026677889902"/>
    <x v="12"/>
    <s v="Misky a kŕmne doplnky – Ostatné"/>
    <s v="Pawsitive Gear"/>
    <n v="7.6"/>
    <n v="1"/>
    <s v="NULL"/>
    <s v=""/>
    <d v="2025-09-30T00:00:00"/>
    <n v="0"/>
    <n v="7.6"/>
    <x v="0"/>
    <x v="8"/>
    <x v="2"/>
  </r>
  <r>
    <x v="4114"/>
    <n v="4013456789017"/>
    <x v="0"/>
    <s v="Krmivo a maškrty – Psy"/>
    <s v="Snouty"/>
    <n v="6"/>
    <n v="1"/>
    <s v="NULL"/>
    <s v=""/>
    <d v="2025-09-30T00:00:00"/>
    <n v="0"/>
    <n v="6"/>
    <x v="0"/>
    <x v="8"/>
    <x v="0"/>
  </r>
  <r>
    <x v="4115"/>
    <n v="4040123456795"/>
    <x v="2"/>
    <s v="Starostlivosť a hygiena – Psy"/>
    <s v="Dogissimo"/>
    <n v="8.8000000000000007"/>
    <n v="1"/>
    <s v="4"/>
    <s v="Najlepšie, čo sme zkusili."/>
    <d v="2025-09-30T00:00:00"/>
    <n v="0"/>
    <n v="8.8000000000000007"/>
    <x v="1"/>
    <x v="8"/>
    <x v="0"/>
  </r>
  <r>
    <x v="4116"/>
    <n v="4056789012345"/>
    <x v="11"/>
    <s v="Krmivo a maškrty – Mačky"/>
    <s v="BellaMeow"/>
    <n v="2.4"/>
    <n v="3"/>
    <s v="NULL"/>
    <s v=""/>
    <d v="2025-09-30T00:00:00"/>
    <n v="0"/>
    <n v="7.1999999999999993"/>
    <x v="0"/>
    <x v="8"/>
    <x v="1"/>
  </r>
  <r>
    <x v="4117"/>
    <n v="4017890123450"/>
    <x v="16"/>
    <s v="Hračky – Psy"/>
    <s v="Dogissimo"/>
    <n v="7.6"/>
    <n v="2"/>
    <s v="NULL"/>
    <s v=""/>
    <d v="2025-09-30T00:00:00"/>
    <n v="0"/>
    <n v="15.2"/>
    <x v="0"/>
    <x v="8"/>
    <x v="0"/>
  </r>
  <r>
    <x v="4118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119"/>
    <n v="4057890123467"/>
    <x v="32"/>
    <s v="Hračky – Psy"/>
    <s v="Bark&amp;Bone"/>
    <n v="9.6"/>
    <n v="1"/>
    <s v="5"/>
    <s v="Pes ju nepustí z tlamy."/>
    <d v="2025-09-30T00:00:00"/>
    <n v="0"/>
    <n v="9.6"/>
    <x v="2"/>
    <x v="8"/>
    <x v="0"/>
  </r>
  <r>
    <x v="4120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121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22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23"/>
    <n v="4019876501234"/>
    <x v="75"/>
    <s v="Krmivo a maškrty – Mačky"/>
    <s v="BellaMeow"/>
    <n v="1.84"/>
    <n v="4"/>
    <s v="4"/>
    <s v="Mačka spokojná."/>
    <d v="2025-09-30T00:00:00"/>
    <n v="0"/>
    <n v="7.36"/>
    <x v="1"/>
    <x v="8"/>
    <x v="1"/>
  </r>
  <r>
    <x v="4124"/>
    <n v="4022345678908"/>
    <x v="55"/>
    <s v="Starostlivosť a hygiena – Psy"/>
    <s v="PawStyle"/>
    <n v="10"/>
    <n v="1"/>
    <s v="NULL"/>
    <s v=""/>
    <d v="2025-09-30T00:00:00"/>
    <n v="0"/>
    <n v="10"/>
    <x v="0"/>
    <x v="8"/>
    <x v="0"/>
  </r>
  <r>
    <x v="4125"/>
    <n v="4025566778891"/>
    <x v="38"/>
    <s v="Misky a kŕmne doplnky – Mačky"/>
    <s v="Catissime"/>
    <n v="51.64"/>
    <n v="1"/>
    <s v="NULL"/>
    <s v=""/>
    <d v="2025-09-30T00:00:00"/>
    <n v="0"/>
    <n v="51.64"/>
    <x v="0"/>
    <x v="8"/>
    <x v="1"/>
  </r>
  <r>
    <x v="4126"/>
    <n v="4050123456794"/>
    <x v="8"/>
    <s v="Starostlivosť a hygiena – Mačky"/>
    <s v="Nordic Tail"/>
    <n v="7.2"/>
    <n v="1"/>
    <s v="NULL"/>
    <s v=""/>
    <d v="2025-09-30T00:00:00"/>
    <n v="0"/>
    <n v="7.2"/>
    <x v="0"/>
    <x v="8"/>
    <x v="1"/>
  </r>
  <r>
    <x v="4127"/>
    <n v="4017890123450"/>
    <x v="16"/>
    <s v="Hračky – Psy"/>
    <s v="Dogissimo"/>
    <n v="7.6"/>
    <n v="1"/>
    <s v="3"/>
    <s v="Mohla byť odolnejšie."/>
    <d v="2025-09-30T00:00:00"/>
    <n v="0"/>
    <n v="7.6"/>
    <x v="3"/>
    <x v="8"/>
    <x v="0"/>
  </r>
  <r>
    <x v="4128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129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30"/>
    <n v="4029900112244"/>
    <x v="65"/>
    <s v="Starostlivosť a hygiena – Mačky"/>
    <s v="BellaMeow"/>
    <n v="13.6"/>
    <n v="1"/>
    <s v="NULL"/>
    <s v=""/>
    <d v="2025-09-30T00:00:00"/>
    <n v="0"/>
    <n v="13.6"/>
    <x v="0"/>
    <x v="8"/>
    <x v="1"/>
  </r>
  <r>
    <x v="4131"/>
    <n v="4026677889902"/>
    <x v="12"/>
    <s v="Misky a kŕmne doplnky – Ostatné"/>
    <s v="Pawsitive Gear"/>
    <n v="7.6"/>
    <n v="1"/>
    <s v="4"/>
    <s v="Miska menší, ale praktická."/>
    <d v="2025-09-30T00:00:00"/>
    <n v="0"/>
    <n v="7.6"/>
    <x v="1"/>
    <x v="8"/>
    <x v="2"/>
  </r>
  <r>
    <x v="4132"/>
    <n v="4063456789014"/>
    <x v="15"/>
    <s v="Krmivo a maškrty – Psy"/>
    <s v="Pupco"/>
    <n v="36"/>
    <n v="1"/>
    <s v="NULL"/>
    <s v=""/>
    <d v="2025-09-30T00:00:00"/>
    <n v="0"/>
    <n v="36"/>
    <x v="0"/>
    <x v="8"/>
    <x v="0"/>
  </r>
  <r>
    <x v="4133"/>
    <n v="4056789012345"/>
    <x v="11"/>
    <s v="Krmivo a maškrty – Mačky"/>
    <s v="BellaMeow"/>
    <n v="2.4"/>
    <n v="4"/>
    <s v="NULL"/>
    <s v=""/>
    <d v="2025-09-30T00:00:00"/>
    <n v="0"/>
    <n v="9.6"/>
    <x v="0"/>
    <x v="8"/>
    <x v="1"/>
  </r>
  <r>
    <x v="4134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135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136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37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38"/>
    <n v="4029900112244"/>
    <x v="65"/>
    <s v="Starostlivosť a hygiena – Mačky"/>
    <s v="BellaMeow"/>
    <n v="13.6"/>
    <n v="1"/>
    <s v="NULL"/>
    <s v=""/>
    <d v="2025-09-30T00:00:00"/>
    <n v="0"/>
    <n v="13.6"/>
    <x v="0"/>
    <x v="8"/>
    <x v="1"/>
  </r>
  <r>
    <x v="4139"/>
    <n v="4069012345682"/>
    <x v="23"/>
    <s v="Oblečenie a doplnky – Mačky"/>
    <s v="Catissime"/>
    <n v="26"/>
    <n v="1"/>
    <s v="5"/>
    <s v="Nádherný kousek!"/>
    <d v="2025-09-30T00:00:00"/>
    <n v="0"/>
    <n v="26"/>
    <x v="2"/>
    <x v="8"/>
    <x v="1"/>
  </r>
  <r>
    <x v="4140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141"/>
    <n v="4059012345683"/>
    <x v="49"/>
    <s v="Oblečenie a doplnky – Psy"/>
    <s v="Tail Trend"/>
    <n v="20"/>
    <n v="1"/>
    <s v="1"/>
    <s v="Zlomilo sa po týždni."/>
    <d v="2025-09-30T00:00:00"/>
    <n v="1"/>
    <n v="20"/>
    <x v="5"/>
    <x v="8"/>
    <x v="0"/>
  </r>
  <r>
    <x v="4142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43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144"/>
    <n v="4063456789014"/>
    <x v="15"/>
    <s v="Krmivo a maškrty – Psy"/>
    <s v="Pupco"/>
    <n v="36"/>
    <n v="1"/>
    <s v="NULL"/>
    <s v=""/>
    <d v="2025-09-30T00:00:00"/>
    <n v="0"/>
    <n v="36"/>
    <x v="0"/>
    <x v="8"/>
    <x v="0"/>
  </r>
  <r>
    <x v="4145"/>
    <n v="4056789012345"/>
    <x v="11"/>
    <s v="Krmivo a maškrty – Mačky"/>
    <s v="BellaMeow"/>
    <n v="2.4"/>
    <n v="4"/>
    <s v="NULL"/>
    <s v=""/>
    <d v="2025-09-30T00:00:00"/>
    <n v="0"/>
    <n v="9.6"/>
    <x v="0"/>
    <x v="8"/>
    <x v="1"/>
  </r>
  <r>
    <x v="4146"/>
    <n v="4019876501234"/>
    <x v="75"/>
    <s v="Krmivo a maškrty – Mačky"/>
    <s v="BellaMeow"/>
    <n v="1.84"/>
    <n v="5"/>
    <s v="4"/>
    <s v="Mačka šťastná."/>
    <d v="2025-09-30T00:00:00"/>
    <n v="0"/>
    <n v="9.2000000000000011"/>
    <x v="1"/>
    <x v="8"/>
    <x v="1"/>
  </r>
  <r>
    <x v="4147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148"/>
    <n v="4040123456795"/>
    <x v="2"/>
    <s v="Starostlivosť a hygiena – Psy"/>
    <s v="Dogissimo"/>
    <n v="8.8000000000000007"/>
    <n v="1"/>
    <s v="NULL"/>
    <s v=""/>
    <d v="2025-09-30T00:00:00"/>
    <n v="0"/>
    <n v="8.8000000000000007"/>
    <x v="0"/>
    <x v="8"/>
    <x v="0"/>
  </r>
  <r>
    <x v="4149"/>
    <n v="4013456789017"/>
    <x v="0"/>
    <s v="Krmivo a maškrty – Psy"/>
    <s v="Snouty"/>
    <n v="6"/>
    <n v="2"/>
    <s v="4"/>
    <s v="Vždy čerstvé."/>
    <d v="2025-09-30T00:00:00"/>
    <n v="0"/>
    <n v="12"/>
    <x v="1"/>
    <x v="8"/>
    <x v="0"/>
  </r>
  <r>
    <x v="4150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51"/>
    <n v="4029900112244"/>
    <x v="65"/>
    <s v="Starostlivosť a hygiena – Mačky"/>
    <s v="BellaMeow"/>
    <n v="13.6"/>
    <n v="1"/>
    <s v="NULL"/>
    <s v=""/>
    <d v="2025-09-30T00:00:00"/>
    <n v="0"/>
    <n v="13.6"/>
    <x v="0"/>
    <x v="8"/>
    <x v="1"/>
  </r>
  <r>
    <x v="4152"/>
    <n v="4050123456794"/>
    <x v="8"/>
    <s v="Starostlivosť a hygiena – Mačky"/>
    <s v="Nordic Tail"/>
    <n v="7.2"/>
    <n v="1"/>
    <s v="4"/>
    <s v="Hezky vonia."/>
    <d v="2025-09-30T00:00:00"/>
    <n v="0"/>
    <n v="7.2"/>
    <x v="1"/>
    <x v="8"/>
    <x v="1"/>
  </r>
  <r>
    <x v="4153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154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155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56"/>
    <n v="4061234567805"/>
    <x v="80"/>
    <s v="Starostlivosť a hygiena – Mačky"/>
    <s v="CozyNest"/>
    <n v="12.8"/>
    <n v="2"/>
    <s v="5"/>
    <s v="Vydrží dlho a bez zápachu."/>
    <d v="2025-09-30T00:00:00"/>
    <n v="0"/>
    <n v="25.6"/>
    <x v="2"/>
    <x v="8"/>
    <x v="1"/>
  </r>
  <r>
    <x v="4157"/>
    <n v="4026677889902"/>
    <x v="12"/>
    <s v="Misky a kŕmne doplnky – Ostatné"/>
    <s v="Pawsitive Gear"/>
    <n v="7.6"/>
    <n v="1"/>
    <s v="NULL"/>
    <s v=""/>
    <d v="2025-09-30T00:00:00"/>
    <n v="0"/>
    <n v="7.6"/>
    <x v="0"/>
    <x v="8"/>
    <x v="2"/>
  </r>
  <r>
    <x v="4158"/>
    <n v="4019876501234"/>
    <x v="75"/>
    <s v="Krmivo a maškrty – Mačky"/>
    <s v="BellaMeow"/>
    <n v="1.84"/>
    <n v="5"/>
    <s v="NULL"/>
    <s v=""/>
    <d v="2025-09-30T00:00:00"/>
    <n v="0"/>
    <n v="9.2000000000000011"/>
    <x v="0"/>
    <x v="8"/>
    <x v="1"/>
  </r>
  <r>
    <x v="4159"/>
    <n v="4017890123450"/>
    <x v="16"/>
    <s v="Hračky – Psy"/>
    <s v="Dogissimo"/>
    <n v="7.6"/>
    <n v="1"/>
    <s v="4"/>
    <s v="Zvuk drží, pes nadšený."/>
    <d v="2025-09-30T00:00:00"/>
    <n v="0"/>
    <n v="7.6"/>
    <x v="1"/>
    <x v="8"/>
    <x v="0"/>
  </r>
  <r>
    <x v="4160"/>
    <n v="4040123456795"/>
    <x v="2"/>
    <s v="Starostlivosť a hygiena – Psy"/>
    <s v="Dogissimo"/>
    <n v="8.8000000000000007"/>
    <n v="1"/>
    <s v="NULL"/>
    <s v=""/>
    <d v="2025-09-30T00:00:00"/>
    <n v="0"/>
    <n v="8.8000000000000007"/>
    <x v="0"/>
    <x v="8"/>
    <x v="0"/>
  </r>
  <r>
    <x v="4161"/>
    <n v="4056789012345"/>
    <x v="11"/>
    <s v="Krmivo a maškrty – Mačky"/>
    <s v="BellaMeow"/>
    <n v="2.4"/>
    <n v="3"/>
    <s v="NULL"/>
    <s v=""/>
    <d v="2025-09-30T00:00:00"/>
    <n v="0"/>
    <n v="7.1999999999999993"/>
    <x v="0"/>
    <x v="8"/>
    <x v="1"/>
  </r>
  <r>
    <x v="4162"/>
    <n v="4013456789017"/>
    <x v="0"/>
    <s v="Krmivo a maškrty – Psy"/>
    <s v="Snouty"/>
    <n v="6"/>
    <n v="2"/>
    <s v="NULL"/>
    <s v=""/>
    <d v="2025-09-30T00:00:00"/>
    <n v="0"/>
    <n v="12"/>
    <x v="0"/>
    <x v="8"/>
    <x v="0"/>
  </r>
  <r>
    <x v="4163"/>
    <n v="4028899001126"/>
    <x v="1"/>
    <s v="Krmivo a maškrty – Psy"/>
    <s v="Pup Republic"/>
    <n v="2.8"/>
    <n v="3"/>
    <s v="NULL"/>
    <s v=""/>
    <d v="2025-09-30T00:00:00"/>
    <n v="0"/>
    <n v="8.3999999999999986"/>
    <x v="0"/>
    <x v="8"/>
    <x v="0"/>
  </r>
  <r>
    <x v="4164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65"/>
    <n v="4029900112244"/>
    <x v="65"/>
    <s v="Starostlivosť a hygiena – Mačky"/>
    <s v="BellaMeow"/>
    <n v="13.6"/>
    <n v="1"/>
    <s v="5"/>
    <s v="Vôňa výborná, hrudkuje dobre."/>
    <d v="2025-09-30T00:00:00"/>
    <n v="0"/>
    <n v="13.6"/>
    <x v="2"/>
    <x v="8"/>
    <x v="1"/>
  </r>
  <r>
    <x v="4166"/>
    <n v="4069012345682"/>
    <x v="23"/>
    <s v="Oblečenie a doplnky – Mačky"/>
    <s v="Catissime"/>
    <n v="26"/>
    <n v="1"/>
    <s v="NULL"/>
    <s v=""/>
    <d v="2025-09-30T00:00:00"/>
    <n v="0"/>
    <n v="26"/>
    <x v="0"/>
    <x v="8"/>
    <x v="1"/>
  </r>
  <r>
    <x v="4167"/>
    <n v="4017890123450"/>
    <x v="16"/>
    <s v="Hračky – Psy"/>
    <s v="Dogissimo"/>
    <n v="7.6"/>
    <n v="1"/>
    <s v="NULL"/>
    <s v=""/>
    <d v="2025-09-30T00:00:00"/>
    <n v="0"/>
    <n v="7.6"/>
    <x v="0"/>
    <x v="8"/>
    <x v="0"/>
  </r>
  <r>
    <x v="4168"/>
    <n v="4028899001126"/>
    <x v="1"/>
    <s v="Krmivo a maškrty – Psy"/>
    <s v="Pup Republic"/>
    <n v="2.8"/>
    <n v="2"/>
    <s v="NULL"/>
    <s v=""/>
    <d v="2025-09-30T00:00:00"/>
    <n v="0"/>
    <n v="5.6"/>
    <x v="0"/>
    <x v="8"/>
    <x v="0"/>
  </r>
  <r>
    <x v="4169"/>
    <n v="4013456789017"/>
    <x v="0"/>
    <s v="Krmivo a maškrty – Psy"/>
    <s v="Snouty"/>
    <n v="6"/>
    <n v="1"/>
    <s v="4"/>
    <s v="Zdravé a levné."/>
    <d v="2025-09-30T00:00:00"/>
    <n v="0"/>
    <n v="6"/>
    <x v="1"/>
    <x v="8"/>
    <x v="0"/>
  </r>
  <r>
    <x v="4170"/>
    <n v="4027788990013"/>
    <x v="9"/>
    <s v="Starostlivosť a hygiena – Psy"/>
    <s v="Dogissimo"/>
    <n v="8"/>
    <n v="1"/>
    <s v="NULL"/>
    <s v=""/>
    <d v="2025-09-30T00:00:00"/>
    <n v="0"/>
    <n v="8"/>
    <x v="0"/>
    <x v="8"/>
    <x v="0"/>
  </r>
  <r>
    <x v="4171"/>
    <n v="4019876501234"/>
    <x v="75"/>
    <s v="Krmivo a maškrty – Mačky"/>
    <s v="BellaMeow"/>
    <n v="1.84"/>
    <n v="4"/>
    <s v="NULL"/>
    <s v=""/>
    <d v="2025-09-30T00:00:00"/>
    <n v="0"/>
    <n v="7.36"/>
    <x v="0"/>
    <x v="8"/>
    <x v="1"/>
  </r>
  <r>
    <x v="4172"/>
    <n v="4026677889902"/>
    <x v="12"/>
    <s v="Misky a kŕmne doplnky – Ostatné"/>
    <s v="Pawsitive Gear"/>
    <n v="7.6"/>
    <n v="1"/>
    <s v="4"/>
    <s v="Na malé zviera ideálne."/>
    <d v="2025-09-30T00:00:00"/>
    <n v="0"/>
    <n v="7.6"/>
    <x v="1"/>
    <x v="8"/>
    <x v="2"/>
  </r>
  <r>
    <x v="4173"/>
    <n v="4013456789017"/>
    <x v="0"/>
    <s v="Krmivo a maškrty – Psy"/>
    <s v="Snouty"/>
    <n v="6"/>
    <n v="1"/>
    <s v="NULL"/>
    <s v=""/>
    <d v="2025-10-01T00:00:00"/>
    <n v="0"/>
    <n v="6"/>
    <x v="0"/>
    <x v="9"/>
    <x v="0"/>
  </r>
  <r>
    <x v="4173"/>
    <n v="4028899001126"/>
    <x v="1"/>
    <s v="Krmivo a maškrty – Psy"/>
    <s v="Pup Republic"/>
    <n v="2.8"/>
    <n v="2"/>
    <s v="NULL"/>
    <s v=""/>
    <d v="2025-10-01T00:00:00"/>
    <n v="0"/>
    <n v="5.6"/>
    <x v="0"/>
    <x v="9"/>
    <x v="0"/>
  </r>
  <r>
    <x v="4174"/>
    <n v="4040123456795"/>
    <x v="2"/>
    <s v="Starostlivosť a hygiena – Psy"/>
    <s v="Dogissimo"/>
    <n v="8.8000000000000007"/>
    <n v="1"/>
    <s v="4"/>
    <s v="Pes sa prestal škrábat."/>
    <d v="2025-10-01T00:00:00"/>
    <n v="0"/>
    <n v="8.8000000000000007"/>
    <x v="1"/>
    <x v="9"/>
    <x v="0"/>
  </r>
  <r>
    <x v="4175"/>
    <n v="4063456789014"/>
    <x v="15"/>
    <s v="Krmivo a maškrty – Psy"/>
    <s v="Pupco"/>
    <n v="36"/>
    <n v="1"/>
    <s v="NULL"/>
    <s v=""/>
    <d v="2025-10-01T00:00:00"/>
    <n v="0"/>
    <n v="36"/>
    <x v="0"/>
    <x v="9"/>
    <x v="0"/>
  </r>
  <r>
    <x v="4176"/>
    <n v="4056789012345"/>
    <x v="11"/>
    <s v="Krmivo a maškrty – Mačky"/>
    <s v="BellaMeow"/>
    <n v="2.4"/>
    <n v="3"/>
    <s v="4"/>
    <s v="Kvalitné maso, mačka nadšená."/>
    <d v="2025-10-01T00:00:00"/>
    <n v="0"/>
    <n v="7.1999999999999993"/>
    <x v="1"/>
    <x v="9"/>
    <x v="1"/>
  </r>
  <r>
    <x v="4177"/>
    <n v="4026677889902"/>
    <x v="12"/>
    <s v="Misky a kŕmne doplnky – Ostatné"/>
    <s v="Pawsitive Gear"/>
    <n v="7.6"/>
    <n v="1"/>
    <s v="NULL"/>
    <s v=""/>
    <d v="2025-10-01T00:00:00"/>
    <n v="0"/>
    <n v="7.6"/>
    <x v="0"/>
    <x v="9"/>
    <x v="2"/>
  </r>
  <r>
    <x v="4178"/>
    <n v="4027788990013"/>
    <x v="9"/>
    <s v="Starostlivosť a hygiena – Psy"/>
    <s v="Dogissimo"/>
    <n v="8"/>
    <n v="1"/>
    <s v="NULL"/>
    <s v=""/>
    <d v="2025-10-01T00:00:00"/>
    <n v="0"/>
    <n v="8"/>
    <x v="0"/>
    <x v="9"/>
    <x v="0"/>
  </r>
  <r>
    <x v="4179"/>
    <n v="4017890123450"/>
    <x v="16"/>
    <s v="Hračky – Psy"/>
    <s v="Dogissimo"/>
    <n v="7.6"/>
    <n v="1"/>
    <s v="NULL"/>
    <s v=""/>
    <d v="2025-10-01T00:00:00"/>
    <n v="0"/>
    <n v="7.6"/>
    <x v="0"/>
    <x v="9"/>
    <x v="0"/>
  </r>
  <r>
    <x v="4180"/>
    <n v="4050123456794"/>
    <x v="8"/>
    <s v="Starostlivosť a hygiena – Mačky"/>
    <s v="Nordic Tail"/>
    <n v="7.2"/>
    <n v="1"/>
    <s v="NULL"/>
    <s v=""/>
    <d v="2025-10-01T00:00:00"/>
    <n v="0"/>
    <n v="7.2"/>
    <x v="0"/>
    <x v="9"/>
    <x v="1"/>
  </r>
  <r>
    <x v="4181"/>
    <n v="4028899001126"/>
    <x v="1"/>
    <s v="Krmivo a maškrty – Psy"/>
    <s v="Pup Republic"/>
    <n v="2.8"/>
    <n v="2"/>
    <s v="4"/>
    <s v="Pes ju zhltne hneď."/>
    <d v="2025-10-02T00:00:00"/>
    <n v="0"/>
    <n v="5.6"/>
    <x v="1"/>
    <x v="9"/>
    <x v="0"/>
  </r>
  <r>
    <x v="4182"/>
    <n v="4013456789017"/>
    <x v="0"/>
    <s v="Krmivo a maškrty – Psy"/>
    <s v="Snouty"/>
    <n v="6"/>
    <n v="2"/>
    <s v="NULL"/>
    <s v=""/>
    <d v="2025-10-02T00:00:00"/>
    <n v="0"/>
    <n v="12"/>
    <x v="0"/>
    <x v="9"/>
    <x v="0"/>
  </r>
  <r>
    <x v="4183"/>
    <n v="4024455667788"/>
    <x v="66"/>
    <s v="Pelechy a nábytok – Mačky"/>
    <s v="Nordic Tail"/>
    <n v="75.64"/>
    <n v="1"/>
    <s v="NULL"/>
    <s v=""/>
    <d v="2025-10-02T00:00:00"/>
    <n v="0"/>
    <n v="75.64"/>
    <x v="0"/>
    <x v="9"/>
    <x v="1"/>
  </r>
  <r>
    <x v="4184"/>
    <n v="4056789012345"/>
    <x v="11"/>
    <s v="Krmivo a maškrty – Mačky"/>
    <s v="BellaMeow"/>
    <n v="2.4"/>
    <n v="3"/>
    <s v="NULL"/>
    <s v=""/>
    <d v="2025-10-02T00:00:00"/>
    <n v="0"/>
    <n v="7.1999999999999993"/>
    <x v="0"/>
    <x v="9"/>
    <x v="1"/>
  </r>
  <r>
    <x v="4185"/>
    <n v="4019876501234"/>
    <x v="75"/>
    <s v="Krmivo a maškrty – Mačky"/>
    <s v="BellaMeow"/>
    <n v="1.84"/>
    <n v="4"/>
    <s v="NULL"/>
    <s v=""/>
    <d v="2025-10-02T00:00:00"/>
    <n v="0"/>
    <n v="7.36"/>
    <x v="0"/>
    <x v="9"/>
    <x v="1"/>
  </r>
  <r>
    <x v="4186"/>
    <n v="4017890123450"/>
    <x v="16"/>
    <s v="Hračky – Psy"/>
    <s v="Dogissimo"/>
    <n v="7.6"/>
    <n v="2"/>
    <s v="3"/>
    <s v="Mohla by byť odolnejšie."/>
    <d v="2025-10-02T00:00:00"/>
    <n v="0"/>
    <n v="15.2"/>
    <x v="3"/>
    <x v="9"/>
    <x v="0"/>
  </r>
  <r>
    <x v="4187"/>
    <n v="4022345678908"/>
    <x v="55"/>
    <s v="Starostlivosť a hygiena – Psy"/>
    <s v="PawStyle"/>
    <n v="10"/>
    <n v="1"/>
    <s v="NULL"/>
    <s v=""/>
    <d v="2025-10-02T00:00:00"/>
    <n v="0"/>
    <n v="10"/>
    <x v="0"/>
    <x v="9"/>
    <x v="0"/>
  </r>
  <r>
    <x v="4188"/>
    <n v="4027788990013"/>
    <x v="9"/>
    <s v="Starostlivosť a hygiena – Psy"/>
    <s v="Dogissimo"/>
    <n v="8"/>
    <n v="1"/>
    <s v="NULL"/>
    <s v=""/>
    <d v="2025-10-02T00:00:00"/>
    <n v="0"/>
    <n v="8"/>
    <x v="0"/>
    <x v="9"/>
    <x v="0"/>
  </r>
  <r>
    <x v="4189"/>
    <n v="4057890123467"/>
    <x v="32"/>
    <s v="Hračky – Psy"/>
    <s v="Bark&amp;Bone"/>
    <n v="9.6"/>
    <n v="1"/>
    <s v="NULL"/>
    <s v=""/>
    <d v="2025-10-02T00:00:00"/>
    <n v="0"/>
    <n v="9.6"/>
    <x v="0"/>
    <x v="9"/>
    <x v="0"/>
  </r>
  <r>
    <x v="4190"/>
    <n v="4029900112244"/>
    <x v="65"/>
    <s v="Starostlivosť a hygiena – Mačky"/>
    <s v="BellaMeow"/>
    <n v="13.6"/>
    <n v="1"/>
    <s v="NULL"/>
    <s v=""/>
    <d v="2025-10-02T00:00:00"/>
    <n v="0"/>
    <n v="13.6"/>
    <x v="0"/>
    <x v="9"/>
    <x v="1"/>
  </r>
  <r>
    <x v="4191"/>
    <n v="4028899001126"/>
    <x v="1"/>
    <s v="Krmivo a maškrty – Psy"/>
    <s v="Pup Republic"/>
    <n v="2.8"/>
    <n v="3"/>
    <s v="NULL"/>
    <s v=""/>
    <d v="2025-10-02T00:00:00"/>
    <n v="0"/>
    <n v="8.3999999999999986"/>
    <x v="0"/>
    <x v="9"/>
    <x v="0"/>
  </r>
  <r>
    <x v="4192"/>
    <n v="4013456789017"/>
    <x v="0"/>
    <s v="Krmivo a maškrty – Psy"/>
    <s v="Snouty"/>
    <n v="6"/>
    <n v="1"/>
    <s v="NULL"/>
    <s v=""/>
    <d v="2025-10-02T00:00:00"/>
    <n v="0"/>
    <n v="6"/>
    <x v="0"/>
    <x v="9"/>
    <x v="0"/>
  </r>
  <r>
    <x v="4193"/>
    <n v="4040123456795"/>
    <x v="2"/>
    <s v="Starostlivosť a hygiena – Psy"/>
    <s v="Dogissimo"/>
    <n v="8.8000000000000007"/>
    <n v="1"/>
    <s v="5"/>
    <s v="Skvelý produkt!"/>
    <d v="2025-10-02T00:00:00"/>
    <n v="0"/>
    <n v="8.8000000000000007"/>
    <x v="2"/>
    <x v="9"/>
    <x v="0"/>
  </r>
  <r>
    <x v="4194"/>
    <n v="4026677889902"/>
    <x v="12"/>
    <s v="Misky a kŕmne doplnky – Ostatné"/>
    <s v="Pawsitive Gear"/>
    <n v="7.6"/>
    <n v="1"/>
    <s v="NULL"/>
    <s v=""/>
    <d v="2025-10-02T00:00:00"/>
    <n v="0"/>
    <n v="7.6"/>
    <x v="0"/>
    <x v="9"/>
    <x v="2"/>
  </r>
  <r>
    <x v="4195"/>
    <n v="4017890123450"/>
    <x v="16"/>
    <s v="Hračky – Psy"/>
    <s v="Dogissimo"/>
    <n v="7.6"/>
    <n v="1"/>
    <s v="NULL"/>
    <s v=""/>
    <d v="2025-10-02T00:00:00"/>
    <n v="0"/>
    <n v="7.6"/>
    <x v="0"/>
    <x v="9"/>
    <x v="0"/>
  </r>
  <r>
    <x v="4196"/>
    <n v="4069012345682"/>
    <x v="23"/>
    <s v="Oblečenie a doplnky – Mačky"/>
    <s v="Catissime"/>
    <n v="26"/>
    <n v="1"/>
    <s v="4"/>
    <s v="Mačka vyzerá skvelo."/>
    <d v="2025-10-03T00:00:00"/>
    <n v="0"/>
    <n v="26"/>
    <x v="1"/>
    <x v="9"/>
    <x v="1"/>
  </r>
  <r>
    <x v="4197"/>
    <n v="4025566778891"/>
    <x v="38"/>
    <s v="Misky a kŕmne doplnky – Mačky"/>
    <s v="Catissime"/>
    <n v="51.64"/>
    <n v="1"/>
    <s v="NULL"/>
    <s v=""/>
    <d v="2025-10-03T00:00:00"/>
    <n v="0"/>
    <n v="51.64"/>
    <x v="0"/>
    <x v="9"/>
    <x v="1"/>
  </r>
  <r>
    <x v="4198"/>
    <n v="4063456789014"/>
    <x v="15"/>
    <s v="Krmivo a maškrty – Psy"/>
    <s v="Pupco"/>
    <n v="36"/>
    <n v="1"/>
    <s v="NULL"/>
    <s v=""/>
    <d v="2025-10-03T00:00:00"/>
    <n v="0"/>
    <n v="36"/>
    <x v="0"/>
    <x v="9"/>
    <x v="0"/>
  </r>
  <r>
    <x v="4199"/>
    <n v="4027788990013"/>
    <x v="9"/>
    <s v="Starostlivosť a hygiena – Psy"/>
    <s v="Dogissimo"/>
    <n v="8"/>
    <n v="1"/>
    <s v="NULL"/>
    <s v=""/>
    <d v="2025-10-03T00:00:00"/>
    <n v="0"/>
    <n v="8"/>
    <x v="0"/>
    <x v="9"/>
    <x v="0"/>
  </r>
  <r>
    <x v="4200"/>
    <n v="4019876501234"/>
    <x v="75"/>
    <s v="Krmivo a maškrty – Mačky"/>
    <s v="BellaMeow"/>
    <n v="1.84"/>
    <n v="5"/>
    <s v="NULL"/>
    <s v=""/>
    <d v="2025-10-03T00:00:00"/>
    <n v="0"/>
    <n v="9.2000000000000011"/>
    <x v="0"/>
    <x v="9"/>
    <x v="1"/>
  </r>
  <r>
    <x v="4201"/>
    <n v="4028899001126"/>
    <x v="1"/>
    <s v="Krmivo a maškrty – Psy"/>
    <s v="Pup Republic"/>
    <n v="2.8"/>
    <n v="3"/>
    <s v="NULL"/>
    <s v=""/>
    <d v="2025-10-03T00:00:00"/>
    <n v="0"/>
    <n v="8.3999999999999986"/>
    <x v="0"/>
    <x v="9"/>
    <x v="0"/>
  </r>
  <r>
    <x v="4202"/>
    <n v="4013456789017"/>
    <x v="0"/>
    <s v="Krmivo a maškrty – Psy"/>
    <s v="Snouty"/>
    <n v="6"/>
    <n v="2"/>
    <s v="NULL"/>
    <s v=""/>
    <d v="2025-10-03T00:00:00"/>
    <n v="0"/>
    <n v="12"/>
    <x v="0"/>
    <x v="9"/>
    <x v="0"/>
  </r>
  <r>
    <x v="4203"/>
    <n v="4040123456795"/>
    <x v="2"/>
    <s v="Starostlivosť a hygiena – Psy"/>
    <s v="Dogissimo"/>
    <n v="8.8000000000000007"/>
    <n v="1"/>
    <s v="4"/>
    <s v="Čistí dobre a vonia."/>
    <d v="2025-10-03T00:00:00"/>
    <n v="0"/>
    <n v="8.8000000000000007"/>
    <x v="1"/>
    <x v="9"/>
    <x v="0"/>
  </r>
  <r>
    <x v="4204"/>
    <n v="4029900112244"/>
    <x v="65"/>
    <s v="Starostlivosť a hygiena – Mačky"/>
    <s v="BellaMeow"/>
    <n v="13.6"/>
    <n v="1"/>
    <s v="NULL"/>
    <s v=""/>
    <d v="2025-10-03T00:00:00"/>
    <n v="0"/>
    <n v="13.6"/>
    <x v="0"/>
    <x v="9"/>
    <x v="1"/>
  </r>
  <r>
    <x v="4205"/>
    <n v="4017890123450"/>
    <x v="16"/>
    <s v="Hračky – Psy"/>
    <s v="Dogissimo"/>
    <n v="7.6"/>
    <n v="1"/>
    <s v="NULL"/>
    <s v=""/>
    <d v="2025-10-03T00:00:00"/>
    <n v="0"/>
    <n v="7.6"/>
    <x v="0"/>
    <x v="9"/>
    <x v="0"/>
  </r>
  <r>
    <x v="4206"/>
    <n v="4028899001126"/>
    <x v="1"/>
    <s v="Krmivo a maškrty – Psy"/>
    <s v="Pup Republic"/>
    <n v="2.8"/>
    <n v="2"/>
    <s v="NULL"/>
    <s v=""/>
    <d v="2025-10-03T00:00:00"/>
    <n v="0"/>
    <n v="5.6"/>
    <x v="0"/>
    <x v="9"/>
    <x v="0"/>
  </r>
  <r>
    <x v="4207"/>
    <n v="4013456789017"/>
    <x v="0"/>
    <s v="Krmivo a maškrty – Psy"/>
    <s v="Snouty"/>
    <n v="6"/>
    <n v="1"/>
    <s v="NULL"/>
    <s v=""/>
    <d v="2025-10-03T00:00:00"/>
    <n v="0"/>
    <n v="6"/>
    <x v="0"/>
    <x v="9"/>
    <x v="0"/>
  </r>
  <r>
    <x v="4208"/>
    <n v="4050123456794"/>
    <x v="8"/>
    <s v="Starostlivosť a hygiena – Mačky"/>
    <s v="Nordic Tail"/>
    <n v="7.2"/>
    <n v="1"/>
    <s v="NULL"/>
    <s v=""/>
    <d v="2025-10-03T00:00:00"/>
    <n v="0"/>
    <n v="7.2"/>
    <x v="0"/>
    <x v="9"/>
    <x v="1"/>
  </r>
  <r>
    <x v="4209"/>
    <n v="4028899001126"/>
    <x v="1"/>
    <s v="Krmivo a maškrty – Psy"/>
    <s v="Pup Republic"/>
    <n v="2.8"/>
    <n v="3"/>
    <s v="5"/>
    <s v="Pes nadšený!"/>
    <d v="2025-10-04T00:00:00"/>
    <n v="0"/>
    <n v="8.3999999999999986"/>
    <x v="2"/>
    <x v="9"/>
    <x v="0"/>
  </r>
  <r>
    <x v="4210"/>
    <n v="4013456789017"/>
    <x v="0"/>
    <s v="Krmivo a maškrty – Psy"/>
    <s v="Snouty"/>
    <n v="6"/>
    <n v="2"/>
    <s v="NULL"/>
    <s v=""/>
    <d v="2025-10-04T00:00:00"/>
    <n v="0"/>
    <n v="12"/>
    <x v="0"/>
    <x v="9"/>
    <x v="0"/>
  </r>
  <r>
    <x v="4211"/>
    <n v="4027788990013"/>
    <x v="9"/>
    <s v="Starostlivosť a hygiena – Psy"/>
    <s v="Dogissimo"/>
    <n v="8"/>
    <n v="1"/>
    <s v="NULL"/>
    <s v=""/>
    <d v="2025-10-04T00:00:00"/>
    <n v="0"/>
    <n v="8"/>
    <x v="0"/>
    <x v="9"/>
    <x v="0"/>
  </r>
  <r>
    <x v="4212"/>
    <n v="4029900112244"/>
    <x v="65"/>
    <s v="Starostlivosť a hygiena – Mačky"/>
    <s v="BellaMeow"/>
    <n v="13.6"/>
    <n v="1"/>
    <s v="NULL"/>
    <s v=""/>
    <d v="2025-10-04T00:00:00"/>
    <n v="0"/>
    <n v="13.6"/>
    <x v="0"/>
    <x v="9"/>
    <x v="1"/>
  </r>
  <r>
    <x v="4213"/>
    <n v="4017890123450"/>
    <x v="16"/>
    <s v="Hračky – Psy"/>
    <s v="Dogissimo"/>
    <n v="7.6"/>
    <n v="1"/>
    <s v="NULL"/>
    <s v=""/>
    <d v="2025-10-04T00:00:00"/>
    <n v="0"/>
    <n v="7.6"/>
    <x v="0"/>
    <x v="9"/>
    <x v="0"/>
  </r>
  <r>
    <x v="4214"/>
    <n v="4063456789014"/>
    <x v="15"/>
    <s v="Krmivo a maškrty – Psy"/>
    <s v="Pupco"/>
    <n v="36"/>
    <n v="1"/>
    <s v="5"/>
    <s v="Kvalitné, pes spokojený."/>
    <d v="2025-10-04T00:00:00"/>
    <n v="0"/>
    <n v="36"/>
    <x v="2"/>
    <x v="9"/>
    <x v="0"/>
  </r>
  <r>
    <x v="4215"/>
    <n v="4056789012345"/>
    <x v="11"/>
    <s v="Krmivo a maškrty – Mačky"/>
    <s v="BellaMeow"/>
    <n v="2.4"/>
    <n v="4"/>
    <s v="NULL"/>
    <s v=""/>
    <d v="2025-10-04T00:00:00"/>
    <n v="0"/>
    <n v="9.6"/>
    <x v="0"/>
    <x v="9"/>
    <x v="1"/>
  </r>
  <r>
    <x v="4216"/>
    <n v="4026677889902"/>
    <x v="12"/>
    <s v="Misky a kŕmne doplnky – Ostatné"/>
    <s v="Pawsitive Gear"/>
    <n v="7.6"/>
    <n v="1"/>
    <s v="NULL"/>
    <s v=""/>
    <d v="2025-10-04T00:00:00"/>
    <n v="0"/>
    <n v="7.6"/>
    <x v="0"/>
    <x v="9"/>
    <x v="2"/>
  </r>
  <r>
    <x v="4217"/>
    <n v="4013456789017"/>
    <x v="0"/>
    <s v="Krmivo a maškrty – Psy"/>
    <s v="Snouty"/>
    <n v="6"/>
    <n v="1"/>
    <s v="NULL"/>
    <s v=""/>
    <d v="2025-10-04T00:00:00"/>
    <n v="0"/>
    <n v="6"/>
    <x v="0"/>
    <x v="9"/>
    <x v="0"/>
  </r>
  <r>
    <x v="4218"/>
    <n v="4040123456795"/>
    <x v="2"/>
    <s v="Starostlivosť a hygiena – Psy"/>
    <s v="Dogissimo"/>
    <n v="8.8000000000000007"/>
    <n v="1"/>
    <s v="4"/>
    <s v="Výborne pení."/>
    <d v="2025-10-04T00:00:00"/>
    <n v="0"/>
    <n v="8.8000000000000007"/>
    <x v="1"/>
    <x v="9"/>
    <x v="0"/>
  </r>
  <r>
    <x v="4219"/>
    <n v="4028899001126"/>
    <x v="1"/>
    <s v="Krmivo a maškrty – Psy"/>
    <s v="Pup Republic"/>
    <n v="2.8"/>
    <n v="2"/>
    <s v="NULL"/>
    <s v=""/>
    <d v="2025-10-04T00:00:00"/>
    <n v="0"/>
    <n v="5.6"/>
    <x v="0"/>
    <x v="9"/>
    <x v="0"/>
  </r>
  <r>
    <x v="4220"/>
    <n v="4017890123450"/>
    <x v="16"/>
    <s v="Hračky – Psy"/>
    <s v="Dogissimo"/>
    <n v="7.6"/>
    <n v="1"/>
    <s v="NULL"/>
    <s v=""/>
    <d v="2025-10-04T00:00:00"/>
    <n v="0"/>
    <n v="7.6"/>
    <x v="0"/>
    <x v="9"/>
    <x v="0"/>
  </r>
  <r>
    <x v="4221"/>
    <n v="4019876501234"/>
    <x v="75"/>
    <s v="Krmivo a maškrty – Mačky"/>
    <s v="BellaMeow"/>
    <n v="1.84"/>
    <n v="4"/>
    <s v="5"/>
    <s v="Mačka spokojná."/>
    <d v="2025-10-04T00:00:00"/>
    <n v="0"/>
    <n v="7.36"/>
    <x v="2"/>
    <x v="9"/>
    <x v="1"/>
  </r>
  <r>
    <x v="4222"/>
    <n v="4027788990013"/>
    <x v="9"/>
    <s v="Starostlivosť a hygiena – Psy"/>
    <s v="Dogissimo"/>
    <n v="8"/>
    <n v="1"/>
    <s v="NULL"/>
    <s v=""/>
    <d v="2025-10-05T00:00:00"/>
    <n v="0"/>
    <n v="8"/>
    <x v="0"/>
    <x v="9"/>
    <x v="0"/>
  </r>
  <r>
    <x v="4223"/>
    <n v="4013456789017"/>
    <x v="0"/>
    <s v="Krmivo a maškrty – Psy"/>
    <s v="Snouty"/>
    <n v="6"/>
    <n v="2"/>
    <s v="NULL"/>
    <s v=""/>
    <d v="2025-10-05T00:00:00"/>
    <n v="0"/>
    <n v="12"/>
    <x v="0"/>
    <x v="9"/>
    <x v="0"/>
  </r>
  <r>
    <x v="4224"/>
    <n v="4028899001126"/>
    <x v="1"/>
    <s v="Krmivo a maškrty – Psy"/>
    <s v="Pup Republic"/>
    <n v="2.8"/>
    <n v="3"/>
    <s v="5"/>
    <s v="Pes sa môže utĺcť."/>
    <d v="2025-10-05T00:00:00"/>
    <n v="0"/>
    <n v="8.3999999999999986"/>
    <x v="2"/>
    <x v="9"/>
    <x v="0"/>
  </r>
  <r>
    <x v="4225"/>
    <n v="4017890123450"/>
    <x v="16"/>
    <s v="Hračky – Psy"/>
    <s v="Dogissimo"/>
    <n v="7.6"/>
    <n v="1"/>
    <s v="NULL"/>
    <s v=""/>
    <d v="2025-10-05T00:00:00"/>
    <n v="0"/>
    <n v="7.6"/>
    <x v="0"/>
    <x v="9"/>
    <x v="0"/>
  </r>
  <r>
    <x v="4226"/>
    <n v="4029900112244"/>
    <x v="65"/>
    <s v="Starostlivosť a hygiena – Mačky"/>
    <s v="BellaMeow"/>
    <n v="13.6"/>
    <n v="1"/>
    <s v="NULL"/>
    <s v=""/>
    <d v="2025-10-05T00:00:00"/>
    <n v="0"/>
    <n v="13.6"/>
    <x v="0"/>
    <x v="9"/>
    <x v="1"/>
  </r>
  <r>
    <x v="4227"/>
    <n v="4022345678908"/>
    <x v="55"/>
    <s v="Starostlivosť a hygiena – Psy"/>
    <s v="PawStyle"/>
    <n v="10"/>
    <n v="1"/>
    <s v="4"/>
    <s v="Fungujú dobre."/>
    <d v="2025-10-05T00:00:00"/>
    <n v="0"/>
    <n v="10"/>
    <x v="1"/>
    <x v="9"/>
    <x v="0"/>
  </r>
  <r>
    <x v="4228"/>
    <n v="4056789012345"/>
    <x v="11"/>
    <s v="Krmivo a maškrty – Mačky"/>
    <s v="BellaMeow"/>
    <n v="2.4"/>
    <n v="3"/>
    <s v="NULL"/>
    <s v=""/>
    <d v="2025-10-05T00:00:00"/>
    <n v="0"/>
    <n v="7.1999999999999993"/>
    <x v="0"/>
    <x v="9"/>
    <x v="1"/>
  </r>
  <r>
    <x v="4229"/>
    <n v="4019876501234"/>
    <x v="75"/>
    <s v="Krmivo a maškrty – Mačky"/>
    <s v="BellaMeow"/>
    <n v="1.84"/>
    <n v="4"/>
    <s v="NULL"/>
    <s v=""/>
    <d v="2025-10-05T00:00:00"/>
    <n v="0"/>
    <n v="7.36"/>
    <x v="0"/>
    <x v="9"/>
    <x v="1"/>
  </r>
  <r>
    <x v="4230"/>
    <n v="4013456789017"/>
    <x v="0"/>
    <s v="Krmivo a maškrty – Psy"/>
    <s v="Snouty"/>
    <n v="6"/>
    <n v="2"/>
    <s v="NULL"/>
    <s v=""/>
    <d v="2025-10-05T00:00:00"/>
    <n v="0"/>
    <n v="12"/>
    <x v="0"/>
    <x v="9"/>
    <x v="0"/>
  </r>
  <r>
    <x v="4231"/>
    <n v="4040123456795"/>
    <x v="2"/>
    <s v="Starostlivosť a hygiena – Psy"/>
    <s v="Dogissimo"/>
    <n v="8.8000000000000007"/>
    <n v="1"/>
    <s v="4"/>
    <s v="Vôňa jemná, pení dosť."/>
    <d v="2025-10-05T00:00:00"/>
    <n v="0"/>
    <n v="8.8000000000000007"/>
    <x v="1"/>
    <x v="9"/>
    <x v="0"/>
  </r>
  <r>
    <x v="4232"/>
    <n v="4017890123450"/>
    <x v="16"/>
    <s v="Hračky – Psy"/>
    <s v="Dogissimo"/>
    <n v="7.6"/>
    <n v="1"/>
    <s v="NULL"/>
    <s v=""/>
    <d v="2025-10-05T00:00:00"/>
    <n v="0"/>
    <n v="7.6"/>
    <x v="0"/>
    <x v="9"/>
    <x v="0"/>
  </r>
  <r>
    <x v="4233"/>
    <n v="4025566778891"/>
    <x v="38"/>
    <s v="Misky a kŕmne doplnky – Mačky"/>
    <s v="Catissime"/>
    <n v="51.64"/>
    <n v="1"/>
    <s v="NULL"/>
    <s v=""/>
    <d v="2025-10-06T00:00:00"/>
    <n v="0"/>
    <n v="51.64"/>
    <x v="0"/>
    <x v="9"/>
    <x v="1"/>
  </r>
  <r>
    <x v="4234"/>
    <n v="4063456789014"/>
    <x v="15"/>
    <s v="Krmivo a maškrty – Psy"/>
    <s v="Pupco"/>
    <n v="36"/>
    <n v="1"/>
    <s v="NULL"/>
    <s v=""/>
    <d v="2025-10-06T00:00:00"/>
    <n v="0"/>
    <n v="36"/>
    <x v="0"/>
    <x v="9"/>
    <x v="0"/>
  </r>
  <r>
    <x v="4235"/>
    <n v="4027788990013"/>
    <x v="9"/>
    <s v="Starostlivosť a hygiena – Psy"/>
    <s v="Dogissimo"/>
    <n v="8"/>
    <n v="1"/>
    <s v="3"/>
    <s v="Trochu silná vôňa."/>
    <d v="2025-10-06T00:00:00"/>
    <n v="0"/>
    <n v="8"/>
    <x v="3"/>
    <x v="9"/>
    <x v="0"/>
  </r>
  <r>
    <x v="4236"/>
    <n v="4057890123467"/>
    <x v="32"/>
    <s v="Hračky – Psy"/>
    <s v="Bark&amp;Bone"/>
    <n v="9.6"/>
    <n v="1"/>
    <s v="NULL"/>
    <s v=""/>
    <d v="2025-10-06T00:00:00"/>
    <n v="0"/>
    <n v="9.6"/>
    <x v="0"/>
    <x v="9"/>
    <x v="0"/>
  </r>
  <r>
    <x v="4237"/>
    <n v="4019876501234"/>
    <x v="75"/>
    <s v="Krmivo a maškrty – Mačky"/>
    <s v="BellaMeow"/>
    <n v="1.84"/>
    <n v="5"/>
    <s v="NULL"/>
    <s v=""/>
    <d v="2025-10-06T00:00:00"/>
    <n v="0"/>
    <n v="9.2000000000000011"/>
    <x v="0"/>
    <x v="9"/>
    <x v="1"/>
  </r>
  <r>
    <x v="4238"/>
    <n v="4028899001126"/>
    <x v="1"/>
    <s v="Krmivo a maškrty – Psy"/>
    <s v="Pup Republic"/>
    <n v="2.8"/>
    <n v="3"/>
    <s v="4"/>
    <s v="Pes to miluje."/>
    <d v="2025-10-06T00:00:00"/>
    <n v="0"/>
    <n v="8.3999999999999986"/>
    <x v="1"/>
    <x v="9"/>
    <x v="0"/>
  </r>
  <r>
    <x v="4239"/>
    <n v="4013456789017"/>
    <x v="0"/>
    <s v="Krmivo a maškrty – Psy"/>
    <s v="Snouty"/>
    <n v="6"/>
    <n v="2"/>
    <s v="NULL"/>
    <s v=""/>
    <d v="2025-10-06T00:00:00"/>
    <n v="0"/>
    <n v="12"/>
    <x v="0"/>
    <x v="9"/>
    <x v="0"/>
  </r>
  <r>
    <x v="4240"/>
    <n v="4040123456795"/>
    <x v="2"/>
    <s v="Starostlivosť a hygiena – Psy"/>
    <s v="Dogissimo"/>
    <n v="8.8000000000000007"/>
    <n v="1"/>
    <s v="NULL"/>
    <s v=""/>
    <d v="2025-10-06T00:00:00"/>
    <n v="0"/>
    <n v="8.8000000000000007"/>
    <x v="0"/>
    <x v="9"/>
    <x v="0"/>
  </r>
  <r>
    <x v="4241"/>
    <n v="4029900112244"/>
    <x v="65"/>
    <s v="Starostlivosť a hygiena – Mačky"/>
    <s v="BellaMeow"/>
    <n v="13.6"/>
    <n v="1"/>
    <s v="NULL"/>
    <s v=""/>
    <d v="2025-10-06T00:00:00"/>
    <n v="0"/>
    <n v="13.6"/>
    <x v="0"/>
    <x v="9"/>
    <x v="1"/>
  </r>
  <r>
    <x v="4242"/>
    <n v="4026677889902"/>
    <x v="12"/>
    <s v="Misky a kŕmne doplnky – Ostatné"/>
    <s v="Pawsitive Gear"/>
    <n v="7.6"/>
    <n v="1"/>
    <s v="5"/>
    <s v="Ideálne veľkosť."/>
    <d v="2025-10-06T00:00:00"/>
    <n v="0"/>
    <n v="7.6"/>
    <x v="2"/>
    <x v="9"/>
    <x v="2"/>
  </r>
  <r>
    <x v="4243"/>
    <n v="4017890123450"/>
    <x v="16"/>
    <s v="Hračky – Psy"/>
    <s v="Dogissimo"/>
    <n v="7.6"/>
    <n v="1"/>
    <s v="NULL"/>
    <s v=""/>
    <d v="2025-10-06T00:00:00"/>
    <n v="0"/>
    <n v="7.6"/>
    <x v="0"/>
    <x v="9"/>
    <x v="0"/>
  </r>
  <r>
    <x v="4244"/>
    <n v="4069012345682"/>
    <x v="23"/>
    <s v="Oblečenie a doplnky – Mačky"/>
    <s v="Catissime"/>
    <n v="26"/>
    <n v="1"/>
    <s v="NULL"/>
    <s v=""/>
    <d v="2025-10-06T00:00:00"/>
    <n v="0"/>
    <n v="26"/>
    <x v="0"/>
    <x v="9"/>
    <x v="1"/>
  </r>
  <r>
    <x v="4245"/>
    <n v="4028899001126"/>
    <x v="1"/>
    <s v="Krmivo a maškrty – Psy"/>
    <s v="Pup Republic"/>
    <n v="2.8"/>
    <n v="2"/>
    <s v="NULL"/>
    <s v=""/>
    <d v="2025-10-06T00:00:00"/>
    <n v="0"/>
    <n v="5.6"/>
    <x v="0"/>
    <x v="9"/>
    <x v="0"/>
  </r>
  <r>
    <x v="4246"/>
    <n v="4013456789017"/>
    <x v="0"/>
    <s v="Krmivo a maškrty – Psy"/>
    <s v="Snouty"/>
    <n v="6"/>
    <n v="2"/>
    <s v="NULL"/>
    <s v=""/>
    <d v="2025-10-06T00:00:00"/>
    <n v="0"/>
    <n v="12"/>
    <x v="0"/>
    <x v="9"/>
    <x v="0"/>
  </r>
  <r>
    <x v="4247"/>
    <n v="4040123456795"/>
    <x v="2"/>
    <s v="Starostlivosť a hygiena – Psy"/>
    <s v="Dogissimo"/>
    <n v="8.8000000000000007"/>
    <n v="1"/>
    <s v="4"/>
    <s v="Spokojenost."/>
    <d v="2025-10-06T00:00:00"/>
    <n v="0"/>
    <n v="8.8000000000000007"/>
    <x v="1"/>
    <x v="9"/>
    <x v="0"/>
  </r>
  <r>
    <x v="4248"/>
    <n v="4027788990013"/>
    <x v="9"/>
    <s v="Starostlivosť a hygiena – Psy"/>
    <s v="Dogissimo"/>
    <n v="8"/>
    <n v="1"/>
    <s v="NULL"/>
    <s v=""/>
    <d v="2025-10-06T00:00:00"/>
    <n v="0"/>
    <n v="8"/>
    <x v="0"/>
    <x v="9"/>
    <x v="0"/>
  </r>
  <r>
    <x v="4249"/>
    <n v="4056789012345"/>
    <x v="11"/>
    <s v="Krmivo a maškrty – Mačky"/>
    <s v="BellaMeow"/>
    <n v="2.4"/>
    <n v="4"/>
    <s v="NULL"/>
    <s v=""/>
    <d v="2025-10-06T00:00:00"/>
    <n v="0"/>
    <n v="9.6"/>
    <x v="0"/>
    <x v="9"/>
    <x v="1"/>
  </r>
  <r>
    <x v="4250"/>
    <n v="4019876501234"/>
    <x v="75"/>
    <s v="Krmivo a maškrty – Mačky"/>
    <s v="BellaMeow"/>
    <n v="1.84"/>
    <n v="4"/>
    <s v="5"/>
    <s v="Kvalitné maso."/>
    <d v="2025-10-07T00:00:00"/>
    <n v="0"/>
    <n v="7.36"/>
    <x v="2"/>
    <x v="9"/>
    <x v="1"/>
  </r>
  <r>
    <x v="4251"/>
    <n v="4017890123450"/>
    <x v="16"/>
    <s v="Hračky – Psy"/>
    <s v="Dogissimo"/>
    <n v="7.6"/>
    <n v="1"/>
    <s v="NULL"/>
    <s v=""/>
    <d v="2025-10-07T00:00:00"/>
    <n v="0"/>
    <n v="7.6"/>
    <x v="0"/>
    <x v="9"/>
    <x v="0"/>
  </r>
  <r>
    <x v="4252"/>
    <n v="4028899001126"/>
    <x v="1"/>
    <s v="Krmivo a maškrty – Psy"/>
    <s v="Pup Republic"/>
    <n v="2.8"/>
    <n v="3"/>
    <s v="NULL"/>
    <s v=""/>
    <d v="2025-10-07T00:00:00"/>
    <n v="0"/>
    <n v="8.3999999999999986"/>
    <x v="0"/>
    <x v="9"/>
    <x v="0"/>
  </r>
  <r>
    <x v="4253"/>
    <n v="4013456789017"/>
    <x v="0"/>
    <s v="Krmivo a maškrty – Psy"/>
    <s v="Snouty"/>
    <n v="6"/>
    <n v="1"/>
    <s v="3"/>
    <s v="Pes to žerie, ale drobí sa."/>
    <d v="2025-10-07T00:00:00"/>
    <n v="0"/>
    <n v="6"/>
    <x v="3"/>
    <x v="9"/>
    <x v="0"/>
  </r>
  <r>
    <x v="4254"/>
    <n v="4063456789014"/>
    <x v="15"/>
    <s v="Krmivo a maškrty – Psy"/>
    <s v="Pupco"/>
    <n v="36"/>
    <n v="1"/>
    <s v="NULL"/>
    <s v=""/>
    <d v="2025-10-07T00:00:00"/>
    <n v="0"/>
    <n v="36"/>
    <x v="0"/>
    <x v="9"/>
    <x v="0"/>
  </r>
  <r>
    <x v="4255"/>
    <n v="4029900112244"/>
    <x v="65"/>
    <s v="Starostlivosť a hygiena – Mačky"/>
    <s v="BellaMeow"/>
    <n v="13.6"/>
    <n v="1"/>
    <s v="NULL"/>
    <s v=""/>
    <d v="2025-10-07T00:00:00"/>
    <n v="0"/>
    <n v="13.6"/>
    <x v="0"/>
    <x v="9"/>
    <x v="1"/>
  </r>
  <r>
    <x v="4256"/>
    <n v="4026677889902"/>
    <x v="12"/>
    <s v="Misky a kŕmne doplnky – Ostatné"/>
    <s v="Pawsitive Gear"/>
    <n v="7.6"/>
    <n v="1"/>
    <s v="NULL"/>
    <s v=""/>
    <d v="2025-10-07T00:00:00"/>
    <n v="0"/>
    <n v="7.6"/>
    <x v="0"/>
    <x v="9"/>
    <x v="2"/>
  </r>
  <r>
    <x v="4257"/>
    <n v="4040123456795"/>
    <x v="2"/>
    <s v="Starostlivosť a hygiena – Psy"/>
    <s v="Dogissimo"/>
    <n v="8.8000000000000007"/>
    <n v="1"/>
    <s v="NULL"/>
    <s v=""/>
    <d v="2025-10-07T00:00:00"/>
    <n v="0"/>
    <n v="8.8000000000000007"/>
    <x v="0"/>
    <x v="9"/>
    <x v="0"/>
  </r>
  <r>
    <x v="4258"/>
    <n v="4017890123450"/>
    <x v="16"/>
    <s v="Hračky – Psy"/>
    <s v="Dogissimo"/>
    <n v="7.6"/>
    <n v="1"/>
    <s v="4"/>
    <s v="Pes sa s tým vyblbne."/>
    <d v="2025-10-07T00:00:00"/>
    <n v="0"/>
    <n v="7.6"/>
    <x v="1"/>
    <x v="9"/>
    <x v="0"/>
  </r>
  <r>
    <x v="4259"/>
    <n v="4028899001126"/>
    <x v="1"/>
    <s v="Krmivo a maškrty – Psy"/>
    <s v="Pup Republic"/>
    <n v="2.8"/>
    <n v="2"/>
    <s v="NULL"/>
    <s v=""/>
    <d v="2025-10-07T00:00:00"/>
    <n v="0"/>
    <n v="5.6"/>
    <x v="0"/>
    <x v="9"/>
    <x v="0"/>
  </r>
  <r>
    <x v="4260"/>
    <n v="4013456789017"/>
    <x v="0"/>
    <s v="Krmivo a maškrty – Psy"/>
    <s v="Snouty"/>
    <n v="6"/>
    <n v="2"/>
    <s v="NULL"/>
    <s v=""/>
    <d v="2025-10-07T00:00:00"/>
    <n v="0"/>
    <n v="12"/>
    <x v="0"/>
    <x v="9"/>
    <x v="0"/>
  </r>
  <r>
    <x v="4261"/>
    <n v="4027788990013"/>
    <x v="9"/>
    <s v="Starostlivosť a hygiena – Psy"/>
    <s v="Dogissimo"/>
    <n v="8"/>
    <n v="1"/>
    <s v="NULL"/>
    <s v=""/>
    <d v="2025-10-07T00:00:00"/>
    <n v="0"/>
    <n v="8"/>
    <x v="0"/>
    <x v="9"/>
    <x v="0"/>
  </r>
  <r>
    <x v="4262"/>
    <n v="4028899001126"/>
    <x v="1"/>
    <s v="Krmivo a maškrty – Psy"/>
    <s v="Pup Republic"/>
    <n v="2.8"/>
    <n v="3"/>
    <s v="4"/>
    <s v="Pes to miluje, dobrá cena."/>
    <d v="2025-10-08T00:00:00"/>
    <n v="0"/>
    <n v="8.3999999999999986"/>
    <x v="1"/>
    <x v="9"/>
    <x v="0"/>
  </r>
  <r>
    <x v="4263"/>
    <n v="4013456789017"/>
    <x v="0"/>
    <s v="Krmivo a maškrty – Psy"/>
    <s v="Snouty"/>
    <n v="6"/>
    <n v="2"/>
    <s v="NULL"/>
    <s v=""/>
    <d v="2025-10-08T00:00:00"/>
    <n v="0"/>
    <n v="12"/>
    <x v="0"/>
    <x v="9"/>
    <x v="0"/>
  </r>
  <r>
    <x v="4264"/>
    <n v="4040123456795"/>
    <x v="2"/>
    <s v="Starostlivosť a hygiena – Psy"/>
    <s v="Dogissimo"/>
    <n v="8.8000000000000007"/>
    <n v="1"/>
    <s v="NULL"/>
    <s v=""/>
    <d v="2025-10-08T00:00:00"/>
    <n v="0"/>
    <n v="8.8000000000000007"/>
    <x v="0"/>
    <x v="9"/>
    <x v="0"/>
  </r>
  <r>
    <x v="4265"/>
    <n v="4027788990013"/>
    <x v="9"/>
    <s v="Starostlivosť a hygiena – Psy"/>
    <s v="Dogissimo"/>
    <n v="8"/>
    <n v="1"/>
    <s v="3"/>
    <s v="Mierne vysušuje srsť."/>
    <d v="2025-10-08T00:00:00"/>
    <n v="0"/>
    <n v="8"/>
    <x v="3"/>
    <x v="9"/>
    <x v="0"/>
  </r>
  <r>
    <x v="4266"/>
    <n v="4056789012345"/>
    <x v="11"/>
    <s v="Krmivo a maškrty – Mačky"/>
    <s v="BellaMeow"/>
    <n v="2.4"/>
    <n v="3"/>
    <s v="NULL"/>
    <s v=""/>
    <d v="2025-10-08T00:00:00"/>
    <n v="0"/>
    <n v="7.1999999999999993"/>
    <x v="0"/>
    <x v="9"/>
    <x v="1"/>
  </r>
  <r>
    <x v="4267"/>
    <n v="4019876501234"/>
    <x v="75"/>
    <s v="Krmivo a maškrty – Mačky"/>
    <s v="BellaMeow"/>
    <n v="1.84"/>
    <n v="5"/>
    <s v="5"/>
    <s v="Výborné krmivo."/>
    <d v="2025-10-08T00:00:00"/>
    <n v="0"/>
    <n v="9.2000000000000011"/>
    <x v="2"/>
    <x v="9"/>
    <x v="1"/>
  </r>
  <r>
    <x v="4268"/>
    <n v="4063456789014"/>
    <x v="15"/>
    <s v="Krmivo a maškrty – Psy"/>
    <s v="Pupco"/>
    <n v="36"/>
    <n v="1"/>
    <s v="NULL"/>
    <s v=""/>
    <d v="2025-10-08T00:00:00"/>
    <n v="0"/>
    <n v="36"/>
    <x v="0"/>
    <x v="9"/>
    <x v="0"/>
  </r>
  <r>
    <x v="4269"/>
    <n v="4026677889902"/>
    <x v="12"/>
    <s v="Misky a kŕmne doplnky – Ostatné"/>
    <s v="Pawsitive Gear"/>
    <n v="7.6"/>
    <n v="1"/>
    <s v="NULL"/>
    <s v=""/>
    <d v="2025-10-08T00:00:00"/>
    <n v="0"/>
    <n v="7.6"/>
    <x v="0"/>
    <x v="9"/>
    <x v="2"/>
  </r>
  <r>
    <x v="4270"/>
    <n v="4028899001126"/>
    <x v="1"/>
    <s v="Krmivo a maškrty – Psy"/>
    <s v="Pup Republic"/>
    <n v="2.8"/>
    <n v="2"/>
    <s v="NULL"/>
    <s v=""/>
    <d v="2025-10-08T00:00:00"/>
    <n v="0"/>
    <n v="5.6"/>
    <x v="0"/>
    <x v="9"/>
    <x v="0"/>
  </r>
  <r>
    <x v="4271"/>
    <n v="4013456789017"/>
    <x v="0"/>
    <s v="Krmivo a maškrty – Psy"/>
    <s v="Snouty"/>
    <n v="6"/>
    <n v="1"/>
    <s v="NULL"/>
    <s v=""/>
    <d v="2025-10-08T00:00:00"/>
    <n v="0"/>
    <n v="6"/>
    <x v="0"/>
    <x v="9"/>
    <x v="0"/>
  </r>
  <r>
    <x v="4272"/>
    <n v="4040123456795"/>
    <x v="2"/>
    <s v="Starostlivosť a hygiena – Psy"/>
    <s v="Dogissimo"/>
    <n v="8.8000000000000007"/>
    <n v="1"/>
    <s v="4"/>
    <s v="Hezky čistí srsť."/>
    <d v="2025-10-08T00:00:00"/>
    <n v="0"/>
    <n v="8.8000000000000007"/>
    <x v="1"/>
    <x v="9"/>
    <x v="0"/>
  </r>
  <r>
    <x v="4273"/>
    <n v="4029900112244"/>
    <x v="65"/>
    <s v="Starostlivosť a hygiena – Mačky"/>
    <s v="BellaMeow"/>
    <n v="13.6"/>
    <n v="1"/>
    <s v="NULL"/>
    <s v=""/>
    <d v="2025-10-08T00:00:00"/>
    <n v="0"/>
    <n v="13.6"/>
    <x v="0"/>
    <x v="9"/>
    <x v="1"/>
  </r>
  <r>
    <x v="4274"/>
    <n v="4017890123450"/>
    <x v="16"/>
    <s v="Hračky – Psy"/>
    <s v="Dogissimo"/>
    <n v="7.6"/>
    <n v="1"/>
    <s v="NULL"/>
    <s v=""/>
    <d v="2025-10-08T00:00:00"/>
    <n v="0"/>
    <n v="7.6"/>
    <x v="0"/>
    <x v="9"/>
    <x v="0"/>
  </r>
  <r>
    <x v="4275"/>
    <n v="4063456789014"/>
    <x v="15"/>
    <s v="Krmivo a maškrty – Psy"/>
    <s v="Pupco"/>
    <n v="36"/>
    <n v="1"/>
    <s v="NULL"/>
    <s v=""/>
    <d v="2025-10-08T00:00:00"/>
    <n v="0"/>
    <n v="36"/>
    <x v="0"/>
    <x v="9"/>
    <x v="0"/>
  </r>
  <r>
    <x v="4276"/>
    <n v="4019876501234"/>
    <x v="75"/>
    <s v="Krmivo a maškrty – Mačky"/>
    <s v="BellaMeow"/>
    <n v="1.84"/>
    <n v="4"/>
    <s v="NULL"/>
    <s v=""/>
    <d v="2025-10-09T00:00:00"/>
    <n v="0"/>
    <n v="7.36"/>
    <x v="0"/>
    <x v="9"/>
    <x v="1"/>
  </r>
  <r>
    <x v="4277"/>
    <n v="4028899001126"/>
    <x v="1"/>
    <s v="Krmivo a maškrty – Psy"/>
    <s v="Pup Republic"/>
    <n v="2.8"/>
    <n v="3"/>
    <s v="NULL"/>
    <s v=""/>
    <d v="2025-10-09T00:00:00"/>
    <n v="0"/>
    <n v="8.3999999999999986"/>
    <x v="0"/>
    <x v="9"/>
    <x v="0"/>
  </r>
  <r>
    <x v="4278"/>
    <n v="4013456789017"/>
    <x v="0"/>
    <s v="Krmivo a maškrty – Psy"/>
    <s v="Snouty"/>
    <n v="6"/>
    <n v="2"/>
    <s v="NULL"/>
    <s v=""/>
    <d v="2025-10-09T00:00:00"/>
    <n v="0"/>
    <n v="12"/>
    <x v="0"/>
    <x v="9"/>
    <x v="0"/>
  </r>
  <r>
    <x v="4279"/>
    <n v="4040123456795"/>
    <x v="2"/>
    <s v="Starostlivosť a hygiena – Psy"/>
    <s v="Dogissimo"/>
    <n v="8.8000000000000007"/>
    <n v="1"/>
    <s v="5"/>
    <s v="Pes po ňom krásne vonia."/>
    <d v="2025-10-09T00:00:00"/>
    <n v="0"/>
    <n v="8.8000000000000007"/>
    <x v="2"/>
    <x v="9"/>
    <x v="0"/>
  </r>
  <r>
    <x v="4280"/>
    <n v="4027788990013"/>
    <x v="9"/>
    <s v="Starostlivosť a hygiena – Psy"/>
    <s v="Dogissimo"/>
    <n v="8"/>
    <n v="1"/>
    <s v="NULL"/>
    <s v=""/>
    <d v="2025-10-09T00:00:00"/>
    <n v="0"/>
    <n v="8"/>
    <x v="0"/>
    <x v="9"/>
    <x v="0"/>
  </r>
  <r>
    <x v="4281"/>
    <n v="4026677889902"/>
    <x v="12"/>
    <s v="Misky a kŕmne doplnky – Ostatné"/>
    <s v="Pawsitive Gear"/>
    <n v="7.6"/>
    <n v="1"/>
    <s v="NULL"/>
    <s v=""/>
    <d v="2025-10-09T00:00:00"/>
    <n v="0"/>
    <n v="7.6"/>
    <x v="0"/>
    <x v="9"/>
    <x v="2"/>
  </r>
  <r>
    <x v="4282"/>
    <n v="4056789012345"/>
    <x v="11"/>
    <s v="Krmivo a maškrty – Mačky"/>
    <s v="BellaMeow"/>
    <n v="2.4"/>
    <n v="2"/>
    <s v="NULL"/>
    <s v=""/>
    <d v="2025-10-09T00:00:00"/>
    <n v="0"/>
    <n v="4.8"/>
    <x v="0"/>
    <x v="9"/>
    <x v="1"/>
  </r>
  <r>
    <x v="4283"/>
    <n v="4017890123450"/>
    <x v="16"/>
    <s v="Hračky – Psy"/>
    <s v="Dogissimo"/>
    <n v="7.6"/>
    <n v="1"/>
    <s v="3"/>
    <s v="Pískání po čase prestalo."/>
    <d v="2025-10-09T00:00:00"/>
    <n v="0"/>
    <n v="7.6"/>
    <x v="3"/>
    <x v="9"/>
    <x v="0"/>
  </r>
  <r>
    <x v="4284"/>
    <n v="4063456789014"/>
    <x v="15"/>
    <s v="Krmivo a maškrty – Psy"/>
    <s v="Pupco"/>
    <n v="36"/>
    <n v="1"/>
    <s v="NULL"/>
    <s v=""/>
    <d v="2025-10-09T00:00:00"/>
    <n v="0"/>
    <n v="36"/>
    <x v="0"/>
    <x v="9"/>
    <x v="0"/>
  </r>
  <r>
    <x v="4285"/>
    <n v="4028899001126"/>
    <x v="1"/>
    <s v="Krmivo a maškrty – Psy"/>
    <s v="Pup Republic"/>
    <n v="2.8"/>
    <n v="3"/>
    <s v="NULL"/>
    <s v=""/>
    <d v="2025-10-09T00:00:00"/>
    <n v="0"/>
    <n v="8.3999999999999986"/>
    <x v="0"/>
    <x v="9"/>
    <x v="0"/>
  </r>
  <r>
    <x v="4286"/>
    <n v="4013456789017"/>
    <x v="0"/>
    <s v="Krmivo a maškrty – Psy"/>
    <s v="Snouty"/>
    <n v="6"/>
    <n v="1"/>
    <s v="NULL"/>
    <s v=""/>
    <d v="2025-10-09T00:00:00"/>
    <n v="0"/>
    <n v="6"/>
    <x v="0"/>
    <x v="9"/>
    <x v="0"/>
  </r>
  <r>
    <x v="4287"/>
    <n v="4029900112244"/>
    <x v="65"/>
    <s v="Starostlivosť a hygiena – Mačky"/>
    <s v="BellaMeow"/>
    <n v="13.6"/>
    <n v="1"/>
    <s v="NULL"/>
    <s v=""/>
    <d v="2025-10-09T00:00:00"/>
    <n v="0"/>
    <n v="13.6"/>
    <x v="0"/>
    <x v="9"/>
    <x v="1"/>
  </r>
  <r>
    <x v="4288"/>
    <n v="4026677889902"/>
    <x v="12"/>
    <s v="Misky a kŕmne doplnky – Ostatné"/>
    <s v="Pawsitive Gear"/>
    <n v="7.6"/>
    <n v="1"/>
    <s v="4"/>
    <s v="Dobre sa myje."/>
    <d v="2025-10-09T00:00:00"/>
    <n v="0"/>
    <n v="7.6"/>
    <x v="1"/>
    <x v="9"/>
    <x v="2"/>
  </r>
  <r>
    <x v="4289"/>
    <n v="4027788990013"/>
    <x v="9"/>
    <s v="Starostlivosť a hygiena – Psy"/>
    <s v="Dogissimo"/>
    <n v="8"/>
    <n v="1"/>
    <s v="NULL"/>
    <s v=""/>
    <d v="2025-10-10T00:00:00"/>
    <n v="0"/>
    <n v="8"/>
    <x v="0"/>
    <x v="9"/>
    <x v="0"/>
  </r>
  <r>
    <x v="4290"/>
    <n v="4019876501234"/>
    <x v="75"/>
    <s v="Krmivo a maškrty – Mačky"/>
    <s v="BellaMeow"/>
    <n v="1.84"/>
    <n v="4"/>
    <s v="NULL"/>
    <s v=""/>
    <d v="2025-10-10T00:00:00"/>
    <n v="0"/>
    <n v="7.36"/>
    <x v="0"/>
    <x v="9"/>
    <x v="1"/>
  </r>
  <r>
    <x v="4291"/>
    <n v="4028899001126"/>
    <x v="1"/>
    <s v="Krmivo a maškrty – Psy"/>
    <s v="Pup Republic"/>
    <n v="2.8"/>
    <n v="2"/>
    <s v="NULL"/>
    <s v=""/>
    <d v="2025-10-10T00:00:00"/>
    <n v="0"/>
    <n v="5.6"/>
    <x v="0"/>
    <x v="9"/>
    <x v="0"/>
  </r>
  <r>
    <x v="4292"/>
    <n v="4013456789017"/>
    <x v="0"/>
    <s v="Krmivo a maškrty – Psy"/>
    <s v="Snouty"/>
    <n v="6"/>
    <n v="2"/>
    <s v="NULL"/>
    <s v=""/>
    <d v="2025-10-10T00:00:00"/>
    <n v="0"/>
    <n v="12"/>
    <x v="0"/>
    <x v="9"/>
    <x v="0"/>
  </r>
  <r>
    <x v="4293"/>
    <n v="4040123456795"/>
    <x v="2"/>
    <s v="Starostlivosť a hygiena – Psy"/>
    <s v="Dogissimo"/>
    <n v="8.8000000000000007"/>
    <n v="1"/>
    <s v="NULL"/>
    <s v=""/>
    <d v="2025-10-10T00:00:00"/>
    <n v="0"/>
    <n v="8.8000000000000007"/>
    <x v="0"/>
    <x v="9"/>
    <x v="0"/>
  </r>
  <r>
    <x v="4294"/>
    <n v="4029900112244"/>
    <x v="65"/>
    <s v="Starostlivosť a hygiena – Mačky"/>
    <s v="BellaMeow"/>
    <n v="13.6"/>
    <n v="1"/>
    <s v="5"/>
    <s v="Výborne hrudkuje."/>
    <d v="2025-10-10T00:00:00"/>
    <n v="0"/>
    <n v="13.6"/>
    <x v="2"/>
    <x v="9"/>
    <x v="1"/>
  </r>
  <r>
    <x v="4295"/>
    <n v="4017890123450"/>
    <x v="16"/>
    <s v="Hračky – Psy"/>
    <s v="Dogissimo"/>
    <n v="7.6"/>
    <n v="1"/>
    <s v="NULL"/>
    <s v=""/>
    <d v="2025-10-10T00:00:00"/>
    <n v="0"/>
    <n v="7.6"/>
    <x v="0"/>
    <x v="9"/>
    <x v="0"/>
  </r>
  <r>
    <x v="4296"/>
    <n v="4069012345682"/>
    <x v="23"/>
    <s v="Oblečenie a doplnky – Mačky"/>
    <s v="Catissime"/>
    <n v="26"/>
    <n v="1"/>
    <s v="NULL"/>
    <s v=""/>
    <d v="2025-10-10T00:00:00"/>
    <n v="0"/>
    <n v="26"/>
    <x v="0"/>
    <x v="9"/>
    <x v="1"/>
  </r>
  <r>
    <x v="4297"/>
    <n v="4028899001126"/>
    <x v="1"/>
    <s v="Krmivo a maškrty – Psy"/>
    <s v="Pup Republic"/>
    <n v="2.8"/>
    <n v="2"/>
    <s v="5"/>
    <s v="Pes sa po tom môže utĺcť, miska je vždy vylízaná do čista. Kupujem pravidelne, nikdy nezklamalo."/>
    <d v="2025-10-11T00:00:00"/>
    <n v="0"/>
    <n v="5.6"/>
    <x v="2"/>
    <x v="9"/>
    <x v="0"/>
  </r>
  <r>
    <x v="4298"/>
    <n v="4013456789017"/>
    <x v="0"/>
    <s v="Krmivo a maškrty – Psy"/>
    <s v="Snouty"/>
    <n v="6"/>
    <n v="1"/>
    <s v="NULL"/>
    <s v=""/>
    <d v="2025-10-11T00:00:00"/>
    <n v="0"/>
    <n v="6"/>
    <x v="0"/>
    <x v="9"/>
    <x v="0"/>
  </r>
  <r>
    <x v="4299"/>
    <n v="4040123456795"/>
    <x v="2"/>
    <s v="Starostlivosť a hygiena – Psy"/>
    <s v="Dogissimo"/>
    <n v="8.8000000000000007"/>
    <n v="1"/>
    <s v="4"/>
    <s v="Jemný šampón, pekne pení a pes po ňom vonia. Srsť sa dobre rozčesává."/>
    <d v="2025-10-11T00:00:00"/>
    <n v="0"/>
    <n v="8.8000000000000007"/>
    <x v="1"/>
    <x v="9"/>
    <x v="0"/>
  </r>
  <r>
    <x v="4300"/>
    <n v="4017890123450"/>
    <x v="16"/>
    <s v="Hračky – Psy"/>
    <s v="Dogissimo"/>
    <n v="7.6"/>
    <n v="1"/>
    <s v="NULL"/>
    <s v=""/>
    <d v="2025-10-11T00:00:00"/>
    <n v="0"/>
    <n v="7.6"/>
    <x v="0"/>
    <x v="9"/>
    <x v="0"/>
  </r>
  <r>
    <x v="4301"/>
    <n v="4056789012345"/>
    <x v="11"/>
    <s v="Krmivo a maškrty – Mačky"/>
    <s v="BellaMeow"/>
    <n v="2.4"/>
    <n v="3"/>
    <s v="NULL"/>
    <s v=""/>
    <d v="2025-10-11T00:00:00"/>
    <n v="0"/>
    <n v="7.1999999999999993"/>
    <x v="0"/>
    <x v="9"/>
    <x v="1"/>
  </r>
  <r>
    <x v="4302"/>
    <n v="4019876501234"/>
    <x v="75"/>
    <s v="Krmivo a maškrty – Mačky"/>
    <s v="BellaMeow"/>
    <n v="1.84"/>
    <n v="5"/>
    <s v="4"/>
    <s v="Mačka sa nemôže dočkat, až otvorím konzervu. Krásne vonia a vyzerá čerstvo."/>
    <d v="2025-10-11T00:00:00"/>
    <n v="0"/>
    <n v="9.2000000000000011"/>
    <x v="1"/>
    <x v="9"/>
    <x v="1"/>
  </r>
  <r>
    <x v="4303"/>
    <n v="4027788990013"/>
    <x v="9"/>
    <s v="Starostlivosť a hygiena – Psy"/>
    <s v="Dogissimo"/>
    <n v="8"/>
    <n v="1"/>
    <s v="NULL"/>
    <s v=""/>
    <d v="2025-10-11T00:00:00"/>
    <n v="0"/>
    <n v="8"/>
    <x v="0"/>
    <x v="9"/>
    <x v="0"/>
  </r>
  <r>
    <x v="4304"/>
    <n v="4063456789014"/>
    <x v="15"/>
    <s v="Krmivo a maškrty – Psy"/>
    <s v="Pupco"/>
    <n v="36"/>
    <n v="1"/>
    <s v="3"/>
    <s v="Pes žerie, ale občas nechá pár granulí. Možno by chcel inú príchuť."/>
    <d v="2025-10-12T00:00:00"/>
    <n v="0"/>
    <n v="36"/>
    <x v="3"/>
    <x v="9"/>
    <x v="0"/>
  </r>
  <r>
    <x v="4305"/>
    <n v="4026677889902"/>
    <x v="12"/>
    <s v="Misky a kŕmne doplnky – Ostatné"/>
    <s v="Pawsitive Gear"/>
    <n v="7.6"/>
    <n v="1"/>
    <s v="NULL"/>
    <s v=""/>
    <d v="2025-10-12T00:00:00"/>
    <n v="0"/>
    <n v="7.6"/>
    <x v="0"/>
    <x v="9"/>
    <x v="2"/>
  </r>
  <r>
    <x v="4306"/>
    <n v="4029900112244"/>
    <x v="65"/>
    <s v="Starostlivosť a hygiena – Mačky"/>
    <s v="BellaMeow"/>
    <n v="13.6"/>
    <n v="1"/>
    <s v="NULL"/>
    <s v=""/>
    <d v="2025-10-12T00:00:00"/>
    <n v="0"/>
    <n v="13.6"/>
    <x v="0"/>
    <x v="9"/>
    <x v="1"/>
  </r>
  <r>
    <x v="4307"/>
    <n v="4025566778891"/>
    <x v="38"/>
    <s v="Misky a kŕmne doplnky – Mačky"/>
    <s v="Catissime"/>
    <n v="51.64"/>
    <n v="1"/>
    <s v="5"/>
    <s v="Konečne pije viac vody! Fontána je tichá a ľahko sa čistí. Odporúčam."/>
    <d v="2025-10-12T00:00:00"/>
    <n v="0"/>
    <n v="51.64"/>
    <x v="2"/>
    <x v="9"/>
    <x v="1"/>
  </r>
  <r>
    <x v="4308"/>
    <n v="4028899001126"/>
    <x v="1"/>
    <s v="Krmivo a maškrty – Psy"/>
    <s v="Pup Republic"/>
    <n v="2.8"/>
    <n v="2"/>
    <s v="NULL"/>
    <s v=""/>
    <d v="2025-10-12T00:00:00"/>
    <n v="0"/>
    <n v="5.6"/>
    <x v="0"/>
    <x v="9"/>
    <x v="0"/>
  </r>
  <r>
    <x v="4309"/>
    <n v="4013456789017"/>
    <x v="0"/>
    <s v="Krmivo a maškrty – Psy"/>
    <s v="Snouty"/>
    <n v="6"/>
    <n v="2"/>
    <s v="NULL"/>
    <s v=""/>
    <d v="2025-10-12T00:00:00"/>
    <n v="0"/>
    <n v="12"/>
    <x v="0"/>
    <x v="9"/>
    <x v="0"/>
  </r>
  <r>
    <x v="4310"/>
    <n v="4040123456795"/>
    <x v="2"/>
    <s v="Starostlivosť a hygiena – Psy"/>
    <s v="Dogissimo"/>
    <n v="8.8000000000000007"/>
    <n v="1"/>
    <s v="NULL"/>
    <s v=""/>
    <d v="2025-10-12T00:00:00"/>
    <n v="0"/>
    <n v="8.8000000000000007"/>
    <x v="0"/>
    <x v="9"/>
    <x v="0"/>
  </r>
  <r>
    <x v="4311"/>
    <n v="4069012345682"/>
    <x v="23"/>
    <s v="Oblečenie a doplnky – Mačky"/>
    <s v="Catissime"/>
    <n v="26"/>
    <n v="1"/>
    <s v="4"/>
    <s v="Skvelý svetrík! Mačka vyzerá roztomile a v zime sa netrasie."/>
    <d v="2025-10-12T00:00:00"/>
    <n v="0"/>
    <n v="26"/>
    <x v="1"/>
    <x v="9"/>
    <x v="1"/>
  </r>
  <r>
    <x v="4312"/>
    <n v="4017890123450"/>
    <x v="16"/>
    <s v="Hračky – Psy"/>
    <s v="Dogissimo"/>
    <n v="7.6"/>
    <n v="1"/>
    <s v="NULL"/>
    <s v=""/>
    <d v="2025-10-13T00:00:00"/>
    <n v="0"/>
    <n v="7.6"/>
    <x v="0"/>
    <x v="9"/>
    <x v="0"/>
  </r>
  <r>
    <x v="4313"/>
    <n v="4056789012345"/>
    <x v="11"/>
    <s v="Krmivo a maškrty – Mačky"/>
    <s v="BellaMeow"/>
    <n v="2.4"/>
    <n v="4"/>
    <s v="NULL"/>
    <s v=""/>
    <d v="2025-10-13T00:00:00"/>
    <n v="0"/>
    <n v="9.6"/>
    <x v="0"/>
    <x v="9"/>
    <x v="1"/>
  </r>
  <r>
    <x v="4314"/>
    <n v="4028899001126"/>
    <x v="1"/>
    <s v="Krmivo a maškrty – Psy"/>
    <s v="Pup Republic"/>
    <n v="2.8"/>
    <n v="3"/>
    <s v="4"/>
    <s v="Kupujem opakovane, pes spokojen, cena prijateľná."/>
    <d v="2025-10-13T00:00:00"/>
    <n v="0"/>
    <n v="8.3999999999999986"/>
    <x v="1"/>
    <x v="9"/>
    <x v="0"/>
  </r>
  <r>
    <x v="4315"/>
    <n v="4013456789017"/>
    <x v="0"/>
    <s v="Krmivo a maškrty – Psy"/>
    <s v="Snouty"/>
    <n v="6"/>
    <n v="2"/>
    <s v="NULL"/>
    <s v=""/>
    <d v="2025-10-13T00:00:00"/>
    <n v="0"/>
    <n v="12"/>
    <x v="0"/>
    <x v="9"/>
    <x v="0"/>
  </r>
  <r>
    <x v="4316"/>
    <n v="4040123456795"/>
    <x v="2"/>
    <s v="Starostlivosť a hygiena – Psy"/>
    <s v="Dogissimo"/>
    <n v="8.8000000000000007"/>
    <n v="1"/>
    <s v="NULL"/>
    <s v=""/>
    <d v="2025-10-13T00:00:00"/>
    <n v="0"/>
    <n v="8.8000000000000007"/>
    <x v="0"/>
    <x v="9"/>
    <x v="0"/>
  </r>
  <r>
    <x v="4317"/>
    <n v="4027788990013"/>
    <x v="9"/>
    <s v="Starostlivosť a hygiena – Psy"/>
    <s v="Dogissimo"/>
    <n v="8"/>
    <n v="1"/>
    <s v="NULL"/>
    <s v=""/>
    <d v="2025-10-13T00:00:00"/>
    <n v="0"/>
    <n v="8"/>
    <x v="0"/>
    <x v="9"/>
    <x v="0"/>
  </r>
  <r>
    <x v="4318"/>
    <n v="4019876501234"/>
    <x v="75"/>
    <s v="Krmivo a maškrty – Mačky"/>
    <s v="BellaMeow"/>
    <n v="1.84"/>
    <n v="4"/>
    <s v="5"/>
    <s v="Mačka šťastná, miska prázdna počas chvíle."/>
    <d v="2025-10-13T00:00:00"/>
    <n v="0"/>
    <n v="7.36"/>
    <x v="2"/>
    <x v="9"/>
    <x v="1"/>
  </r>
  <r>
    <x v="4319"/>
    <n v="4028899001126"/>
    <x v="1"/>
    <s v="Krmivo a maškrty – Psy"/>
    <s v="Pup Republic"/>
    <n v="2.8"/>
    <n v="2"/>
    <s v="NULL"/>
    <s v=""/>
    <d v="2025-10-13T00:00:00"/>
    <n v="0"/>
    <n v="5.6"/>
    <x v="0"/>
    <x v="9"/>
    <x v="0"/>
  </r>
  <r>
    <x v="4320"/>
    <n v="4013456789017"/>
    <x v="0"/>
    <s v="Krmivo a maškrty – Psy"/>
    <s v="Snouty"/>
    <n v="6"/>
    <n v="1"/>
    <s v="4"/>
    <s v="Na tréning ideálne veľkosť kúskov."/>
    <d v="2025-10-13T00:00:00"/>
    <n v="0"/>
    <n v="6"/>
    <x v="1"/>
    <x v="9"/>
    <x v="0"/>
  </r>
  <r>
    <x v="4321"/>
    <n v="4063456789014"/>
    <x v="15"/>
    <s v="Krmivo a maškrty – Psy"/>
    <s v="Pupco"/>
    <n v="36"/>
    <n v="1"/>
    <s v="5"/>
    <s v="Pes sa teší na každé kŕmenie, granuly sú voňavé a kvalitné."/>
    <d v="2025-10-13T00:00:00"/>
    <n v="0"/>
    <n v="36"/>
    <x v="2"/>
    <x v="9"/>
    <x v="0"/>
  </r>
  <r>
    <x v="4322"/>
    <n v="4029900112244"/>
    <x v="65"/>
    <s v="Starostlivosť a hygiena – Mačky"/>
    <s v="BellaMeow"/>
    <n v="13.6"/>
    <n v="1"/>
    <s v="NULL"/>
    <s v=""/>
    <d v="2025-10-14T00:00:00"/>
    <n v="0"/>
    <n v="13.6"/>
    <x v="0"/>
    <x v="9"/>
    <x v="1"/>
  </r>
  <r>
    <x v="4323"/>
    <n v="4026677889902"/>
    <x v="12"/>
    <s v="Misky a kŕmne doplnky – Ostatné"/>
    <s v="Pawsitive Gear"/>
    <n v="7.6"/>
    <n v="1"/>
    <s v="NULL"/>
    <s v=""/>
    <d v="2025-10-14T00:00:00"/>
    <n v="0"/>
    <n v="7.6"/>
    <x v="0"/>
    <x v="9"/>
    <x v="2"/>
  </r>
  <r>
    <x v="4324"/>
    <n v="4057890123467"/>
    <x v="32"/>
    <s v="Hračky – Psy"/>
    <s v="Bark&amp;Bone"/>
    <n v="9.6"/>
    <n v="1"/>
    <s v="4"/>
    <s v="Drží dlho, pes sa čistí zuby hraním."/>
    <d v="2025-10-14T00:00:00"/>
    <n v="0"/>
    <n v="9.6"/>
    <x v="1"/>
    <x v="9"/>
    <x v="0"/>
  </r>
  <r>
    <x v="4325"/>
    <n v="4028899001126"/>
    <x v="1"/>
    <s v="Krmivo a maškrty – Psy"/>
    <s v="Pup Republic"/>
    <n v="2.8"/>
    <n v="2"/>
    <s v="NULL"/>
    <s v=""/>
    <d v="2025-10-14T00:00:00"/>
    <n v="0"/>
    <n v="5.6"/>
    <x v="0"/>
    <x v="9"/>
    <x v="0"/>
  </r>
  <r>
    <x v="4326"/>
    <n v="4013456789017"/>
    <x v="0"/>
    <s v="Krmivo a maškrty – Psy"/>
    <s v="Snouty"/>
    <n v="6"/>
    <n v="2"/>
    <s v="NULL"/>
    <s v=""/>
    <d v="2025-10-14T00:00:00"/>
    <n v="0"/>
    <n v="12"/>
    <x v="0"/>
    <x v="9"/>
    <x v="0"/>
  </r>
  <r>
    <x v="4327"/>
    <n v="4040123456795"/>
    <x v="2"/>
    <s v="Starostlivosť a hygiena – Psy"/>
    <s v="Dogissimo"/>
    <n v="8.8000000000000007"/>
    <n v="1"/>
    <s v="NULL"/>
    <s v=""/>
    <d v="2025-10-14T00:00:00"/>
    <n v="0"/>
    <n v="8.8000000000000007"/>
    <x v="0"/>
    <x v="9"/>
    <x v="0"/>
  </r>
  <r>
    <x v="4328"/>
    <n v="4019876501234"/>
    <x v="75"/>
    <s v="Krmivo a maškrty – Mačky"/>
    <s v="BellaMeow"/>
    <n v="1.84"/>
    <n v="4"/>
    <s v="4"/>
    <s v="Vyzkoušeno poprvé, moc chutí. Budeme brát znovu."/>
    <d v="2025-10-14T00:00:00"/>
    <n v="0"/>
    <n v="7.36"/>
    <x v="1"/>
    <x v="9"/>
    <x v="1"/>
  </r>
  <r>
    <x v="4329"/>
    <n v="4063456789014"/>
    <x v="15"/>
    <s v="Krmivo a maškrty – Psy"/>
    <s v="Pupco"/>
    <n v="36"/>
    <n v="1"/>
    <s v="NULL"/>
    <s v=""/>
    <d v="2025-10-14T00:00:00"/>
    <n v="0"/>
    <n v="36"/>
    <x v="0"/>
    <x v="9"/>
    <x v="0"/>
  </r>
  <r>
    <x v="4330"/>
    <n v="4069012345682"/>
    <x v="23"/>
    <s v="Oblečenie a doplnky – Mačky"/>
    <s v="Catissime"/>
    <n v="26"/>
    <n v="1"/>
    <s v="5"/>
    <s v="Mačka sa cíti pohodlne, materiál je mäkký, úžasná kvalita."/>
    <d v="2025-10-15T00:00:00"/>
    <n v="0"/>
    <n v="26"/>
    <x v="2"/>
    <x v="9"/>
    <x v="1"/>
  </r>
  <r>
    <x v="4331"/>
    <n v="4017890123450"/>
    <x v="16"/>
    <s v="Hračky – Psy"/>
    <s v="Dogissimo"/>
    <n v="7.6"/>
    <n v="1"/>
    <s v="NULL"/>
    <s v=""/>
    <d v="2025-10-15T00:00:00"/>
    <n v="0"/>
    <n v="7.6"/>
    <x v="0"/>
    <x v="9"/>
    <x v="0"/>
  </r>
  <r>
    <x v="4332"/>
    <n v="4028899001126"/>
    <x v="1"/>
    <s v="Krmivo a maškrty – Psy"/>
    <s v="Pup Republic"/>
    <n v="2.8"/>
    <n v="3"/>
    <s v="4"/>
    <s v="Pes sa na to trasie, berieme každý mesiac."/>
    <d v="2025-10-15T00:00:00"/>
    <n v="0"/>
    <n v="8.3999999999999986"/>
    <x v="1"/>
    <x v="9"/>
    <x v="0"/>
  </r>
  <r>
    <x v="4333"/>
    <n v="4013456789017"/>
    <x v="0"/>
    <s v="Krmivo a maškrty – Psy"/>
    <s v="Snouty"/>
    <n v="6"/>
    <n v="2"/>
    <s v="NULL"/>
    <s v=""/>
    <d v="2025-10-15T00:00:00"/>
    <n v="0"/>
    <n v="12"/>
    <x v="0"/>
    <x v="9"/>
    <x v="0"/>
  </r>
  <r>
    <x v="4334"/>
    <n v="4040123456795"/>
    <x v="2"/>
    <s v="Starostlivosť a hygiena – Psy"/>
    <s v="Dogissimo"/>
    <n v="8.8000000000000007"/>
    <n v="1"/>
    <s v="5"/>
    <s v="Výborný šampón, srsť hebká a lesklá, žiadne lupiny."/>
    <d v="2025-10-15T00:00:00"/>
    <n v="0"/>
    <n v="8.8000000000000007"/>
    <x v="2"/>
    <x v="9"/>
    <x v="0"/>
  </r>
  <r>
    <x v="4335"/>
    <n v="4029900112244"/>
    <x v="65"/>
    <s v="Starostlivosť a hygiena – Mačky"/>
    <s v="BellaMeow"/>
    <n v="13.6"/>
    <n v="1"/>
    <s v="NULL"/>
    <s v=""/>
    <d v="2025-10-15T00:00:00"/>
    <n v="0"/>
    <n v="13.6"/>
    <x v="0"/>
    <x v="9"/>
    <x v="1"/>
  </r>
  <r>
    <x v="4336"/>
    <n v="4056789012345"/>
    <x v="11"/>
    <s v="Krmivo a maškrty – Mačky"/>
    <s v="BellaMeow"/>
    <n v="2.4"/>
    <n v="4"/>
    <s v="4"/>
    <s v="Kvalita masa výborná, mačka to hneď sežere."/>
    <d v="2025-10-15T00:00:00"/>
    <n v="0"/>
    <n v="9.6"/>
    <x v="1"/>
    <x v="9"/>
    <x v="1"/>
  </r>
  <r>
    <x v="4337"/>
    <n v="4019876501234"/>
    <x v="75"/>
    <s v="Krmivo a maškrty – Mačky"/>
    <s v="BellaMeow"/>
    <n v="1.84"/>
    <n v="5"/>
    <s v="NULL"/>
    <s v=""/>
    <d v="2025-10-15T00:00:00"/>
    <n v="0"/>
    <n v="9.2000000000000011"/>
    <x v="0"/>
    <x v="9"/>
    <x v="1"/>
  </r>
  <r>
    <x v="4338"/>
    <n v="4063456789014"/>
    <x v="15"/>
    <s v="Krmivo a maškrty – Psy"/>
    <s v="Pupco"/>
    <n v="36"/>
    <n v="1"/>
    <s v="NULL"/>
    <s v=""/>
    <d v="2025-10-15T00:00:00"/>
    <n v="0"/>
    <n v="36"/>
    <x v="0"/>
    <x v="9"/>
    <x v="0"/>
  </r>
  <r>
    <x v="4339"/>
    <n v="4027788990013"/>
    <x v="9"/>
    <s v="Starostlivosť a hygiena – Psy"/>
    <s v="Dogissimo"/>
    <n v="8"/>
    <n v="1"/>
    <s v="3"/>
    <s v="Vonia dosť silno, ale účinok v poriadku."/>
    <d v="2025-10-15T00:00:00"/>
    <n v="0"/>
    <n v="8"/>
    <x v="3"/>
    <x v="9"/>
    <x v="0"/>
  </r>
  <r>
    <x v="4340"/>
    <n v="4026677889902"/>
    <x v="12"/>
    <s v="Misky a kŕmne doplnky – Ostatné"/>
    <s v="Pawsitive Gear"/>
    <n v="7.6"/>
    <n v="1"/>
    <s v="NULL"/>
    <s v=""/>
    <d v="2025-10-16T00:00:00"/>
    <n v="0"/>
    <n v="7.6"/>
    <x v="0"/>
    <x v="9"/>
    <x v="2"/>
  </r>
  <r>
    <x v="4341"/>
    <n v="4017890123450"/>
    <x v="16"/>
    <s v="Hračky – Psy"/>
    <s v="Dogissimo"/>
    <n v="7.6"/>
    <n v="1"/>
    <s v="NULL"/>
    <s v=""/>
    <d v="2025-10-16T00:00:00"/>
    <n v="0"/>
    <n v="7.6"/>
    <x v="0"/>
    <x v="9"/>
    <x v="0"/>
  </r>
  <r>
    <x v="4342"/>
    <n v="4028899001126"/>
    <x v="1"/>
    <s v="Krmivo a maškrty – Psy"/>
    <s v="Pup Republic"/>
    <n v="2.8"/>
    <n v="2"/>
    <s v="5"/>
    <s v="Pes to zbožňuje, miska prázdna počas minúty. Kupujem opakovane."/>
    <d v="2025-10-16T00:00:00"/>
    <n v="0"/>
    <n v="5.6"/>
    <x v="2"/>
    <x v="9"/>
    <x v="0"/>
  </r>
  <r>
    <x v="4343"/>
    <n v="4013456789017"/>
    <x v="0"/>
    <s v="Krmivo a maškrty – Psy"/>
    <s v="Snouty"/>
    <n v="6"/>
    <n v="1"/>
    <s v="NULL"/>
    <s v=""/>
    <d v="2025-10-16T00:00:00"/>
    <n v="0"/>
    <n v="6"/>
    <x v="0"/>
    <x v="9"/>
    <x v="0"/>
  </r>
  <r>
    <x v="4344"/>
    <n v="4040123456795"/>
    <x v="2"/>
    <s v="Starostlivosť a hygiena – Psy"/>
    <s v="Dogissimo"/>
    <n v="8.8000000000000007"/>
    <n v="1"/>
    <s v="NULL"/>
    <s v=""/>
    <d v="2025-10-16T00:00:00"/>
    <n v="0"/>
    <n v="8.8000000000000007"/>
    <x v="0"/>
    <x v="9"/>
    <x v="0"/>
  </r>
  <r>
    <x v="4345"/>
    <n v="4019876501234"/>
    <x v="75"/>
    <s v="Krmivo a maškrty – Mačky"/>
    <s v="BellaMeow"/>
    <n v="1.84"/>
    <n v="5"/>
    <s v="4"/>
    <s v="Mačka sa oblizuje ešte pol hodiny, vonia výborne."/>
    <d v="2025-10-16T00:00:00"/>
    <n v="0"/>
    <n v="9.2000000000000011"/>
    <x v="1"/>
    <x v="9"/>
    <x v="1"/>
  </r>
  <r>
    <x v="4346"/>
    <n v="4029900112244"/>
    <x v="65"/>
    <s v="Starostlivosť a hygiena – Mačky"/>
    <s v="BellaMeow"/>
    <n v="13.6"/>
    <n v="1"/>
    <s v="NULL"/>
    <s v=""/>
    <d v="2025-10-16T00:00:00"/>
    <n v="0"/>
    <n v="13.6"/>
    <x v="0"/>
    <x v="9"/>
    <x v="1"/>
  </r>
  <r>
    <x v="4347"/>
    <n v="4063456789014"/>
    <x v="15"/>
    <s v="Krmivo a maškrty – Psy"/>
    <s v="Pupco"/>
    <n v="36"/>
    <n v="1"/>
    <s v="NULL"/>
    <s v=""/>
    <d v="2025-10-16T00:00:00"/>
    <n v="0"/>
    <n v="36"/>
    <x v="0"/>
    <x v="9"/>
    <x v="0"/>
  </r>
  <r>
    <x v="4348"/>
    <n v="4069012345682"/>
    <x v="23"/>
    <s v="Oblečenie a doplnky – Mačky"/>
    <s v="Catissime"/>
    <n v="26"/>
    <n v="1"/>
    <s v="5"/>
    <s v="Materiál úžasný, hreje a mačka sa v ňom cíti dobre."/>
    <d v="2025-10-16T00:00:00"/>
    <n v="0"/>
    <n v="26"/>
    <x v="2"/>
    <x v="9"/>
    <x v="1"/>
  </r>
  <r>
    <x v="4349"/>
    <n v="4017890123450"/>
    <x v="16"/>
    <s v="Hračky – Psy"/>
    <s v="Dogissimo"/>
    <n v="7.6"/>
    <n v="1"/>
    <s v="NULL"/>
    <s v=""/>
    <d v="2025-10-16T00:00:00"/>
    <n v="0"/>
    <n v="7.6"/>
    <x v="0"/>
    <x v="9"/>
    <x v="0"/>
  </r>
  <r>
    <x v="4350"/>
    <n v="4028899001126"/>
    <x v="1"/>
    <s v="Krmivo a maškrty – Psy"/>
    <s v="Pup Republic"/>
    <n v="2.8"/>
    <n v="2"/>
    <s v="NULL"/>
    <s v=""/>
    <d v="2025-10-16T00:00:00"/>
    <n v="0"/>
    <n v="5.6"/>
    <x v="0"/>
    <x v="9"/>
    <x v="0"/>
  </r>
  <r>
    <x v="4351"/>
    <n v="4013456789017"/>
    <x v="0"/>
    <s v="Krmivo a maškrty – Psy"/>
    <s v="Snouty"/>
    <n v="6"/>
    <n v="2"/>
    <s v="NULL"/>
    <s v=""/>
    <d v="2025-10-17T00:00:00"/>
    <n v="0"/>
    <n v="12"/>
    <x v="0"/>
    <x v="9"/>
    <x v="0"/>
  </r>
  <r>
    <x v="4352"/>
    <n v="4040123456795"/>
    <x v="2"/>
    <s v="Starostlivosť a hygiena – Psy"/>
    <s v="Dogissimo"/>
    <n v="8.8000000000000007"/>
    <n v="1"/>
    <s v="NULL"/>
    <s v=""/>
    <d v="2025-10-17T00:00:00"/>
    <n v="0"/>
    <n v="8.8000000000000007"/>
    <x v="0"/>
    <x v="9"/>
    <x v="0"/>
  </r>
  <r>
    <x v="4353"/>
    <n v="4056789012345"/>
    <x v="11"/>
    <s v="Krmivo a maškrty – Mačky"/>
    <s v="BellaMeow"/>
    <n v="2.4"/>
    <n v="3"/>
    <s v="NULL"/>
    <s v=""/>
    <d v="2025-10-17T00:00:00"/>
    <n v="0"/>
    <n v="7.1999999999999993"/>
    <x v="0"/>
    <x v="9"/>
    <x v="1"/>
  </r>
  <r>
    <x v="4354"/>
    <n v="4019876501234"/>
    <x v="75"/>
    <s v="Krmivo a maškrty – Mačky"/>
    <s v="BellaMeow"/>
    <n v="1.84"/>
    <n v="4"/>
    <s v="5"/>
    <s v="Kupujem každý mesiac, kocúr iné nechce."/>
    <d v="2025-10-17T00:00:00"/>
    <n v="0"/>
    <n v="7.36"/>
    <x v="2"/>
    <x v="9"/>
    <x v="1"/>
  </r>
  <r>
    <x v="4355"/>
    <n v="4027788990013"/>
    <x v="9"/>
    <s v="Starostlivosť a hygiena – Psy"/>
    <s v="Dogissimo"/>
    <n v="8"/>
    <n v="1"/>
    <s v="NULL"/>
    <s v=""/>
    <d v="2025-10-17T00:00:00"/>
    <n v="0"/>
    <n v="8"/>
    <x v="0"/>
    <x v="9"/>
    <x v="0"/>
  </r>
  <r>
    <x v="4356"/>
    <n v="4063456789014"/>
    <x v="15"/>
    <s v="Krmivo a maškrty – Psy"/>
    <s v="Pupco"/>
    <n v="36"/>
    <n v="1"/>
    <s v="NULL"/>
    <s v=""/>
    <d v="2025-10-17T00:00:00"/>
    <n v="0"/>
    <n v="36"/>
    <x v="0"/>
    <x v="9"/>
    <x v="0"/>
  </r>
  <r>
    <x v="4357"/>
    <n v="4026677889902"/>
    <x v="12"/>
    <s v="Misky a kŕmne doplnky – Ostatné"/>
    <s v="Pawsitive Gear"/>
    <n v="7.6"/>
    <n v="1"/>
    <s v="NULL"/>
    <s v=""/>
    <d v="2025-10-17T00:00:00"/>
    <n v="0"/>
    <n v="7.6"/>
    <x v="0"/>
    <x v="9"/>
    <x v="2"/>
  </r>
  <r>
    <x v="4358"/>
    <n v="4028899001126"/>
    <x v="1"/>
    <s v="Krmivo a maškrty – Psy"/>
    <s v="Pup Republic"/>
    <n v="2.8"/>
    <n v="2"/>
    <s v="4"/>
    <s v="Dobrá konzerva, pes ju má rád, ale mohla by mít viac masa."/>
    <d v="2025-10-18T00:00:00"/>
    <n v="0"/>
    <n v="5.6"/>
    <x v="1"/>
    <x v="9"/>
    <x v="0"/>
  </r>
  <r>
    <x v="4359"/>
    <n v="4013456789017"/>
    <x v="0"/>
    <s v="Krmivo a maškrty – Psy"/>
    <s v="Snouty"/>
    <n v="6"/>
    <n v="2"/>
    <s v="NULL"/>
    <s v=""/>
    <d v="2025-10-18T00:00:00"/>
    <n v="0"/>
    <n v="12"/>
    <x v="0"/>
    <x v="9"/>
    <x v="0"/>
  </r>
  <r>
    <x v="4360"/>
    <n v="4040123456795"/>
    <x v="2"/>
    <s v="Starostlivosť a hygiena – Psy"/>
    <s v="Dogissimo"/>
    <n v="8.8000000000000007"/>
    <n v="1"/>
    <s v="NULL"/>
    <s v=""/>
    <d v="2025-10-18T00:00:00"/>
    <n v="0"/>
    <n v="8.8000000000000007"/>
    <x v="0"/>
    <x v="9"/>
    <x v="0"/>
  </r>
  <r>
    <x v="4361"/>
    <n v="4017890123450"/>
    <x v="16"/>
    <s v="Hračky – Psy"/>
    <s v="Dogissimo"/>
    <n v="7.6"/>
    <n v="1"/>
    <s v="NULL"/>
    <s v=""/>
    <d v="2025-10-18T00:00:00"/>
    <n v="0"/>
    <n v="7.6"/>
    <x v="0"/>
    <x v="9"/>
    <x v="0"/>
  </r>
  <r>
    <x v="4362"/>
    <n v="4063456789014"/>
    <x v="15"/>
    <s v="Krmivo a maškrty – Psy"/>
    <s v="Pupco"/>
    <n v="36"/>
    <n v="1"/>
    <s v="5"/>
    <s v="Pes má po týchto granulích krásnou srsť a viac energie."/>
    <d v="2025-10-18T00:00:00"/>
    <n v="0"/>
    <n v="36"/>
    <x v="2"/>
    <x v="9"/>
    <x v="0"/>
  </r>
  <r>
    <x v="4363"/>
    <n v="4029900112244"/>
    <x v="65"/>
    <s v="Starostlivosť a hygiena – Mačky"/>
    <s v="BellaMeow"/>
    <n v="13.6"/>
    <n v="1"/>
    <s v="NULL"/>
    <s v=""/>
    <d v="2025-10-18T00:00:00"/>
    <n v="0"/>
    <n v="13.6"/>
    <x v="0"/>
    <x v="9"/>
    <x v="1"/>
  </r>
  <r>
    <x v="4364"/>
    <n v="4026677889902"/>
    <x v="12"/>
    <s v="Misky a kŕmne doplnky – Ostatné"/>
    <s v="Pawsitive Gear"/>
    <n v="7.6"/>
    <n v="1"/>
    <s v="NULL"/>
    <s v=""/>
    <d v="2025-10-18T00:00:00"/>
    <n v="0"/>
    <n v="7.6"/>
    <x v="0"/>
    <x v="9"/>
    <x v="2"/>
  </r>
  <r>
    <x v="4365"/>
    <n v="4019876501234"/>
    <x v="75"/>
    <s v="Krmivo a maškrty – Mačky"/>
    <s v="BellaMeow"/>
    <n v="1.84"/>
    <n v="4"/>
    <s v="4"/>
    <s v="Mačka spokojná, nezapáchá a má peknú konzistenci."/>
    <d v="2025-10-19T00:00:00"/>
    <n v="0"/>
    <n v="7.36"/>
    <x v="1"/>
    <x v="9"/>
    <x v="1"/>
  </r>
  <r>
    <x v="4366"/>
    <n v="4056789012345"/>
    <x v="11"/>
    <s v="Krmivo a maškrty – Mačky"/>
    <s v="BellaMeow"/>
    <n v="2.4"/>
    <n v="4"/>
    <s v="NULL"/>
    <s v=""/>
    <d v="2025-10-19T00:00:00"/>
    <n v="0"/>
    <n v="9.6"/>
    <x v="0"/>
    <x v="9"/>
    <x v="1"/>
  </r>
  <r>
    <x v="4367"/>
    <n v="4013456789017"/>
    <x v="0"/>
    <s v="Krmivo a maškrty – Psy"/>
    <s v="Snouty"/>
    <n v="6"/>
    <n v="2"/>
    <s v="NULL"/>
    <s v=""/>
    <d v="2025-10-19T00:00:00"/>
    <n v="0"/>
    <n v="12"/>
    <x v="0"/>
    <x v="9"/>
    <x v="0"/>
  </r>
  <r>
    <x v="4368"/>
    <n v="4028899001126"/>
    <x v="1"/>
    <s v="Krmivo a maškrty – Psy"/>
    <s v="Pup Republic"/>
    <n v="2.8"/>
    <n v="3"/>
    <s v="5"/>
    <s v="Výborná kvalita, kupujem po kartonech, pes ju miluje."/>
    <d v="2025-10-19T00:00:00"/>
    <n v="0"/>
    <n v="8.3999999999999986"/>
    <x v="2"/>
    <x v="9"/>
    <x v="0"/>
  </r>
  <r>
    <x v="4369"/>
    <n v="4040123456795"/>
    <x v="2"/>
    <s v="Starostlivosť a hygiena – Psy"/>
    <s v="Dogissimo"/>
    <n v="8.8000000000000007"/>
    <n v="1"/>
    <s v="NULL"/>
    <s v=""/>
    <d v="2025-10-19T00:00:00"/>
    <n v="0"/>
    <n v="8.8000000000000007"/>
    <x v="0"/>
    <x v="9"/>
    <x v="0"/>
  </r>
  <r>
    <x v="4370"/>
    <n v="4017890123450"/>
    <x v="16"/>
    <s v="Hračky – Psy"/>
    <s v="Dogissimo"/>
    <n v="7.6"/>
    <n v="1"/>
    <s v="NULL"/>
    <s v=""/>
    <d v="2025-10-19T00:00:00"/>
    <n v="0"/>
    <n v="7.6"/>
    <x v="0"/>
    <x v="9"/>
    <x v="0"/>
  </r>
  <r>
    <x v="4371"/>
    <n v="4027788990013"/>
    <x v="9"/>
    <s v="Starostlivosť a hygiena – Psy"/>
    <s v="Dogissimo"/>
    <n v="8"/>
    <n v="1"/>
    <s v="NULL"/>
    <s v=""/>
    <d v="2025-10-19T00:00:00"/>
    <n v="0"/>
    <n v="8"/>
    <x v="0"/>
    <x v="9"/>
    <x v="0"/>
  </r>
  <r>
    <x v="4372"/>
    <n v="4028899001126"/>
    <x v="1"/>
    <s v="Krmivo a maškrty – Psy"/>
    <s v="Pup Republic"/>
    <n v="2.8"/>
    <n v="2"/>
    <s v="5"/>
    <s v="Pes to zbožňuje, konzerva nevysychá anaj po otvorení, vôňa výborná."/>
    <d v="2025-10-20T00:00:00"/>
    <n v="0"/>
    <n v="5.6"/>
    <x v="2"/>
    <x v="9"/>
    <x v="0"/>
  </r>
  <r>
    <x v="4373"/>
    <n v="4013456789017"/>
    <x v="0"/>
    <s v="Krmivo a maškrty – Psy"/>
    <s v="Snouty"/>
    <n v="6"/>
    <n v="1"/>
    <s v="NULL"/>
    <s v=""/>
    <d v="2025-10-20T00:00:00"/>
    <n v="0"/>
    <n v="6"/>
    <x v="0"/>
    <x v="9"/>
    <x v="0"/>
  </r>
  <r>
    <x v="4374"/>
    <n v="4040123456795"/>
    <x v="2"/>
    <s v="Starostlivosť a hygiena – Psy"/>
    <s v="Dogissimo"/>
    <n v="8.8000000000000007"/>
    <n v="1"/>
    <s v="4"/>
    <s v="Jemný šampón, po koupelaj krásne voňavý pes."/>
    <d v="2025-10-20T00:00:00"/>
    <n v="0"/>
    <n v="8.8000000000000007"/>
    <x v="1"/>
    <x v="9"/>
    <x v="0"/>
  </r>
  <r>
    <x v="4375"/>
    <n v="4063456789014"/>
    <x v="15"/>
    <s v="Krmivo a maškrty – Psy"/>
    <s v="Pupco"/>
    <n v="36"/>
    <n v="1"/>
    <s v="NULL"/>
    <s v=""/>
    <d v="2025-10-20T00:00:00"/>
    <n v="0"/>
    <n v="36"/>
    <x v="0"/>
    <x v="9"/>
    <x v="0"/>
  </r>
  <r>
    <x v="4376"/>
    <n v="4019876501234"/>
    <x v="75"/>
    <s v="Krmivo a maškrty – Mačky"/>
    <s v="BellaMeow"/>
    <n v="1.84"/>
    <n v="5"/>
    <s v="5"/>
    <s v="Mačka sa ju vyžaduje pokaždé, keď slyší otvírák."/>
    <d v="2025-10-20T00:00:00"/>
    <n v="0"/>
    <n v="9.2000000000000011"/>
    <x v="2"/>
    <x v="9"/>
    <x v="1"/>
  </r>
  <r>
    <x v="4377"/>
    <n v="4029900112244"/>
    <x v="65"/>
    <s v="Starostlivosť a hygiena – Mačky"/>
    <s v="BellaMeow"/>
    <n v="13.6"/>
    <n v="1"/>
    <s v="NULL"/>
    <s v=""/>
    <d v="2025-10-20T00:00:00"/>
    <n v="0"/>
    <n v="13.6"/>
    <x v="0"/>
    <x v="9"/>
    <x v="1"/>
  </r>
  <r>
    <x v="4378"/>
    <n v="4026677889902"/>
    <x v="12"/>
    <s v="Misky a kŕmne doplnky – Ostatné"/>
    <s v="Pawsitive Gear"/>
    <n v="7.6"/>
    <n v="1"/>
    <s v="NULL"/>
    <s v=""/>
    <d v="2025-10-20T00:00:00"/>
    <n v="0"/>
    <n v="7.6"/>
    <x v="0"/>
    <x v="9"/>
    <x v="2"/>
  </r>
  <r>
    <x v="4379"/>
    <n v="4056789012345"/>
    <x v="11"/>
    <s v="Krmivo a maškrty – Mačky"/>
    <s v="BellaMeow"/>
    <n v="2.4"/>
    <n v="3"/>
    <s v="NULL"/>
    <s v=""/>
    <d v="2025-10-20T00:00:00"/>
    <n v="0"/>
    <n v="7.1999999999999993"/>
    <x v="0"/>
    <x v="9"/>
    <x v="1"/>
  </r>
  <r>
    <x v="4380"/>
    <n v="4027788990013"/>
    <x v="9"/>
    <s v="Starostlivosť a hygiena – Psy"/>
    <s v="Dogissimo"/>
    <n v="8"/>
    <n v="1"/>
    <s v="NULL"/>
    <s v=""/>
    <d v="2025-10-20T00:00:00"/>
    <n v="0"/>
    <n v="8"/>
    <x v="0"/>
    <x v="9"/>
    <x v="0"/>
  </r>
  <r>
    <x v="4381"/>
    <n v="4017890123450"/>
    <x v="16"/>
    <s v="Hračky – Psy"/>
    <s v="Dogissimo"/>
    <n v="7.6"/>
    <n v="1"/>
    <s v="NULL"/>
    <s v=""/>
    <d v="2025-10-20T00:00:00"/>
    <n v="0"/>
    <n v="7.6"/>
    <x v="0"/>
    <x v="9"/>
    <x v="0"/>
  </r>
  <r>
    <x v="4382"/>
    <n v="4028899001126"/>
    <x v="1"/>
    <s v="Krmivo a maškrty – Psy"/>
    <s v="Pup Republic"/>
    <n v="2.8"/>
    <n v="2"/>
    <s v="4"/>
    <s v="Levné a chutné, pes spokojený, objednám znova."/>
    <d v="2025-10-21T00:00:00"/>
    <n v="0"/>
    <n v="5.6"/>
    <x v="1"/>
    <x v="9"/>
    <x v="0"/>
  </r>
  <r>
    <x v="4383"/>
    <n v="4013456789017"/>
    <x v="0"/>
    <s v="Krmivo a maškrty – Psy"/>
    <s v="Snouty"/>
    <n v="6"/>
    <n v="2"/>
    <s v="NULL"/>
    <s v=""/>
    <d v="2025-10-21T00:00:00"/>
    <n v="0"/>
    <n v="12"/>
    <x v="0"/>
    <x v="9"/>
    <x v="0"/>
  </r>
  <r>
    <x v="4384"/>
    <n v="4040123456795"/>
    <x v="2"/>
    <s v="Starostlivosť a hygiena – Psy"/>
    <s v="Dogissimo"/>
    <n v="8.8000000000000007"/>
    <n v="1"/>
    <s v="NULL"/>
    <s v=""/>
    <d v="2025-10-21T00:00:00"/>
    <n v="0"/>
    <n v="8.8000000000000007"/>
    <x v="0"/>
    <x v="9"/>
    <x v="0"/>
  </r>
  <r>
    <x v="4385"/>
    <n v="4019876501234"/>
    <x v="75"/>
    <s v="Krmivo a maškrty – Mačky"/>
    <s v="BellaMeow"/>
    <n v="1.84"/>
    <n v="4"/>
    <s v="5"/>
    <s v="Mačka sa po nej môže utĺcť, kupujem pravidelne."/>
    <d v="2025-10-21T00:00:00"/>
    <n v="0"/>
    <n v="7.36"/>
    <x v="2"/>
    <x v="9"/>
    <x v="1"/>
  </r>
  <r>
    <x v="4386"/>
    <n v="4027788990013"/>
    <x v="9"/>
    <s v="Starostlivosť a hygiena – Psy"/>
    <s v="Dogissimo"/>
    <n v="8"/>
    <n v="1"/>
    <s v="NULL"/>
    <s v=""/>
    <d v="2025-10-21T00:00:00"/>
    <n v="0"/>
    <n v="8"/>
    <x v="0"/>
    <x v="9"/>
    <x v="0"/>
  </r>
  <r>
    <x v="4387"/>
    <n v="4063456789014"/>
    <x v="15"/>
    <s v="Krmivo a maškrty – Psy"/>
    <s v="Pupco"/>
    <n v="36"/>
    <n v="1"/>
    <s v="NULL"/>
    <s v=""/>
    <d v="2025-10-21T00:00:00"/>
    <n v="0"/>
    <n v="36"/>
    <x v="0"/>
    <x v="9"/>
    <x v="0"/>
  </r>
  <r>
    <x v="4388"/>
    <n v="4056789012345"/>
    <x v="11"/>
    <s v="Krmivo a maškrty – Mačky"/>
    <s v="BellaMeow"/>
    <n v="2.4"/>
    <n v="3"/>
    <s v="NULL"/>
    <s v=""/>
    <d v="2025-10-21T00:00:00"/>
    <n v="0"/>
    <n v="7.1999999999999993"/>
    <x v="0"/>
    <x v="9"/>
    <x v="1"/>
  </r>
  <r>
    <x v="4389"/>
    <n v="4028899001126"/>
    <x v="1"/>
    <s v="Krmivo a maškrty – Psy"/>
    <s v="Pup Republic"/>
    <n v="2.8"/>
    <n v="2"/>
    <s v="NULL"/>
    <s v=""/>
    <d v="2025-10-21T00:00:00"/>
    <n v="0"/>
    <n v="5.6"/>
    <x v="0"/>
    <x v="9"/>
    <x v="0"/>
  </r>
  <r>
    <x v="4390"/>
    <n v="4013456789017"/>
    <x v="0"/>
    <s v="Krmivo a maškrty – Psy"/>
    <s v="Snouty"/>
    <n v="6"/>
    <n v="1"/>
    <s v="3"/>
    <s v="Pes to sice zje, ale preferuje iné maškrty."/>
    <d v="2025-10-21T00:00:00"/>
    <n v="0"/>
    <n v="6"/>
    <x v="3"/>
    <x v="9"/>
    <x v="0"/>
  </r>
  <r>
    <x v="4391"/>
    <n v="4025566778891"/>
    <x v="38"/>
    <s v="Misky a kŕmne doplnky – Mačky"/>
    <s v="Catissime"/>
    <n v="51.64"/>
    <n v="1"/>
    <s v="NULL"/>
    <s v=""/>
    <d v="2025-10-21T00:00:00"/>
    <n v="0"/>
    <n v="51.64"/>
    <x v="0"/>
    <x v="9"/>
    <x v="1"/>
  </r>
  <r>
    <x v="4392"/>
    <n v="4017890123450"/>
    <x v="16"/>
    <s v="Hračky – Psy"/>
    <s v="Dogissimo"/>
    <n v="7.6"/>
    <n v="1"/>
    <s v="NULL"/>
    <s v=""/>
    <d v="2025-10-21T00:00:00"/>
    <n v="0"/>
    <n v="7.6"/>
    <x v="0"/>
    <x v="9"/>
    <x v="0"/>
  </r>
  <r>
    <x v="4393"/>
    <n v="4029900112244"/>
    <x v="65"/>
    <s v="Starostlivosť a hygiena – Mačky"/>
    <s v="BellaMeow"/>
    <n v="13.6"/>
    <n v="1"/>
    <s v="NULL"/>
    <s v=""/>
    <d v="2025-10-21T00:00:00"/>
    <n v="0"/>
    <n v="13.6"/>
    <x v="0"/>
    <x v="9"/>
    <x v="1"/>
  </r>
  <r>
    <x v="4394"/>
    <n v="4063456789014"/>
    <x v="15"/>
    <s v="Krmivo a maškrty – Psy"/>
    <s v="Pupco"/>
    <n v="36"/>
    <n v="1"/>
    <s v="4"/>
    <s v="Pes sa teší na kŕmenie, balenie by mohlo byť znovu uzatvárateľné."/>
    <d v="2025-10-22T00:00:00"/>
    <n v="0"/>
    <n v="36"/>
    <x v="1"/>
    <x v="9"/>
    <x v="0"/>
  </r>
  <r>
    <x v="4395"/>
    <n v="4056789012345"/>
    <x v="11"/>
    <s v="Krmivo a maškrty – Mačky"/>
    <s v="BellaMeow"/>
    <n v="2.4"/>
    <n v="3"/>
    <s v="NULL"/>
    <s v=""/>
    <d v="2025-10-22T00:00:00"/>
    <n v="0"/>
    <n v="7.1999999999999993"/>
    <x v="0"/>
    <x v="9"/>
    <x v="1"/>
  </r>
  <r>
    <x v="4396"/>
    <n v="4019876501234"/>
    <x v="75"/>
    <s v="Krmivo a maškrty – Mačky"/>
    <s v="BellaMeow"/>
    <n v="1.84"/>
    <n v="5"/>
    <s v="NULL"/>
    <s v=""/>
    <d v="2025-10-22T00:00:00"/>
    <n v="0"/>
    <n v="9.2000000000000011"/>
    <x v="0"/>
    <x v="9"/>
    <x v="1"/>
  </r>
  <r>
    <x v="4397"/>
    <n v="4028899001126"/>
    <x v="1"/>
    <s v="Krmivo a maškrty – Psy"/>
    <s v="Pup Republic"/>
    <n v="2.8"/>
    <n v="2"/>
    <s v="NULL"/>
    <s v=""/>
    <d v="2025-10-22T00:00:00"/>
    <n v="0"/>
    <n v="5.6"/>
    <x v="0"/>
    <x v="9"/>
    <x v="0"/>
  </r>
  <r>
    <x v="4398"/>
    <n v="4013456789017"/>
    <x v="0"/>
    <s v="Krmivo a maškrty – Psy"/>
    <s v="Snouty"/>
    <n v="6"/>
    <n v="2"/>
    <s v="5"/>
    <s v="Pes sa naučil „sedni“ za dva dni, výborné na výcvik."/>
    <d v="2025-10-22T00:00:00"/>
    <n v="0"/>
    <n v="12"/>
    <x v="2"/>
    <x v="9"/>
    <x v="0"/>
  </r>
  <r>
    <x v="4399"/>
    <n v="4040123456795"/>
    <x v="2"/>
    <s v="Starostlivosť a hygiena – Psy"/>
    <s v="Dogissimo"/>
    <n v="8.8000000000000007"/>
    <n v="1"/>
    <s v="NULL"/>
    <s v=""/>
    <d v="2025-10-22T00:00:00"/>
    <n v="0"/>
    <n v="8.8000000000000007"/>
    <x v="0"/>
    <x v="9"/>
    <x v="0"/>
  </r>
  <r>
    <x v="4400"/>
    <n v="4026677889902"/>
    <x v="12"/>
    <s v="Misky a kŕmne doplnky – Ostatné"/>
    <s v="Pawsitive Gear"/>
    <n v="7.6"/>
    <n v="1"/>
    <s v="NULL"/>
    <s v=""/>
    <d v="2025-10-22T00:00:00"/>
    <n v="0"/>
    <n v="7.6"/>
    <x v="0"/>
    <x v="9"/>
    <x v="2"/>
  </r>
  <r>
    <x v="4401"/>
    <n v="4029900112244"/>
    <x v="65"/>
    <s v="Starostlivosť a hygiena – Mačky"/>
    <s v="BellaMeow"/>
    <n v="13.6"/>
    <n v="1"/>
    <s v="4"/>
    <s v="Dobre hrudkuje, vôňa by mohla byť jemnejší."/>
    <d v="2025-10-22T00:00:00"/>
    <n v="0"/>
    <n v="13.6"/>
    <x v="1"/>
    <x v="9"/>
    <x v="1"/>
  </r>
  <r>
    <x v="4402"/>
    <n v="4063456789014"/>
    <x v="15"/>
    <s v="Krmivo a maškrty – Psy"/>
    <s v="Pupco"/>
    <n v="36"/>
    <n v="1"/>
    <s v="NULL"/>
    <s v=""/>
    <d v="2025-10-22T00:00:00"/>
    <n v="0"/>
    <n v="36"/>
    <x v="0"/>
    <x v="9"/>
    <x v="0"/>
  </r>
  <r>
    <x v="4403"/>
    <n v="4017890123450"/>
    <x v="16"/>
    <s v="Hračky – Psy"/>
    <s v="Dogissimo"/>
    <n v="7.6"/>
    <n v="1"/>
    <s v="NULL"/>
    <s v=""/>
    <d v="2025-10-22T00:00:00"/>
    <n v="0"/>
    <n v="7.6"/>
    <x v="0"/>
    <x v="9"/>
    <x v="0"/>
  </r>
  <r>
    <x v="4404"/>
    <n v="4027788990013"/>
    <x v="9"/>
    <s v="Starostlivosť a hygiena – Psy"/>
    <s v="Dogissimo"/>
    <n v="8"/>
    <n v="1"/>
    <s v="NULL"/>
    <s v=""/>
    <d v="2025-10-22T00:00:00"/>
    <n v="0"/>
    <n v="8"/>
    <x v="0"/>
    <x v="9"/>
    <x v="0"/>
  </r>
  <r>
    <x v="4405"/>
    <n v="4019876501234"/>
    <x v="75"/>
    <s v="Krmivo a maškrty – Mačky"/>
    <s v="BellaMeow"/>
    <n v="1.84"/>
    <n v="5"/>
    <s v="5"/>
    <s v="Nádherná vôňa, krásna konzistence, mačka sa olizuje."/>
    <d v="2025-10-23T00:00:00"/>
    <n v="0"/>
    <n v="9.2000000000000011"/>
    <x v="2"/>
    <x v="9"/>
    <x v="1"/>
  </r>
  <r>
    <x v="4406"/>
    <n v="4056789012345"/>
    <x v="11"/>
    <s v="Krmivo a maškrty – Mačky"/>
    <s v="BellaMeow"/>
    <n v="2.4"/>
    <n v="3"/>
    <s v="NULL"/>
    <s v=""/>
    <d v="2025-10-23T00:00:00"/>
    <n v="0"/>
    <n v="7.1999999999999993"/>
    <x v="0"/>
    <x v="9"/>
    <x v="1"/>
  </r>
  <r>
    <x v="4407"/>
    <n v="4063456789014"/>
    <x v="15"/>
    <s v="Krmivo a maškrty – Psy"/>
    <s v="Pupco"/>
    <n v="36"/>
    <n v="1"/>
    <s v="NULL"/>
    <s v=""/>
    <d v="2025-10-23T00:00:00"/>
    <n v="0"/>
    <n v="36"/>
    <x v="0"/>
    <x v="9"/>
    <x v="0"/>
  </r>
  <r>
    <x v="4408"/>
    <n v="4013456789017"/>
    <x v="0"/>
    <s v="Krmivo a maškrty – Psy"/>
    <s v="Snouty"/>
    <n v="6"/>
    <n v="1"/>
    <s v="4"/>
    <s v="Mäkké kousky, pes je má rád."/>
    <d v="2025-10-23T00:00:00"/>
    <n v="0"/>
    <n v="6"/>
    <x v="1"/>
    <x v="9"/>
    <x v="0"/>
  </r>
  <r>
    <x v="4409"/>
    <n v="4040123456795"/>
    <x v="2"/>
    <s v="Starostlivosť a hygiena – Psy"/>
    <s v="Dogissimo"/>
    <n v="8.8000000000000007"/>
    <n v="1"/>
    <s v="NULL"/>
    <s v=""/>
    <d v="2025-10-23T00:00:00"/>
    <n v="0"/>
    <n v="8.8000000000000007"/>
    <x v="0"/>
    <x v="9"/>
    <x v="0"/>
  </r>
  <r>
    <x v="4410"/>
    <n v="4026677889902"/>
    <x v="12"/>
    <s v="Misky a kŕmne doplnky – Ostatné"/>
    <s v="Pawsitive Gear"/>
    <n v="7.6"/>
    <n v="1"/>
    <s v="NULL"/>
    <s v=""/>
    <d v="2025-10-24T00:00:00"/>
    <n v="0"/>
    <n v="7.6"/>
    <x v="0"/>
    <x v="9"/>
    <x v="2"/>
  </r>
  <r>
    <x v="4411"/>
    <n v="4019876501234"/>
    <x v="75"/>
    <s v="Krmivo a maškrty – Mačky"/>
    <s v="BellaMeow"/>
    <n v="1.84"/>
    <n v="4"/>
    <s v="4"/>
    <s v="Dobrá konzerva, spokojenost."/>
    <d v="2025-10-24T00:00:00"/>
    <n v="0"/>
    <n v="7.36"/>
    <x v="1"/>
    <x v="9"/>
    <x v="1"/>
  </r>
  <r>
    <x v="4412"/>
    <n v="4028899001126"/>
    <x v="1"/>
    <s v="Krmivo a maškrty – Psy"/>
    <s v="Pup Republic"/>
    <n v="2.8"/>
    <n v="3"/>
    <s v="5"/>
    <s v="Skvelá kvalita, voňavá, pes ju je s chuťou každý deň."/>
    <d v="2025-10-24T00:00:00"/>
    <n v="0"/>
    <n v="8.3999999999999986"/>
    <x v="2"/>
    <x v="9"/>
    <x v="0"/>
  </r>
  <r>
    <x v="4413"/>
    <n v="4013456789017"/>
    <x v="0"/>
    <s v="Krmivo a maškrty – Psy"/>
    <s v="Snouty"/>
    <n v="6"/>
    <n v="2"/>
    <s v="NULL"/>
    <s v=""/>
    <d v="2025-10-24T00:00:00"/>
    <n v="0"/>
    <n v="12"/>
    <x v="0"/>
    <x v="9"/>
    <x v="0"/>
  </r>
  <r>
    <x v="4414"/>
    <n v="4040123456795"/>
    <x v="2"/>
    <s v="Starostlivosť a hygiena – Psy"/>
    <s v="Dogissimo"/>
    <n v="8.8000000000000007"/>
    <n v="1"/>
    <s v="4"/>
    <s v="Moc pekne vonia, srsť je hebká na dotyk."/>
    <d v="2025-10-24T00:00:00"/>
    <n v="0"/>
    <n v="8.8000000000000007"/>
    <x v="1"/>
    <x v="9"/>
    <x v="0"/>
  </r>
  <r>
    <x v="4415"/>
    <n v="4019876501234"/>
    <x v="75"/>
    <s v="Krmivo a maškrty – Mačky"/>
    <s v="BellaMeow"/>
    <n v="1.84"/>
    <n v="5"/>
    <s v="NULL"/>
    <s v=""/>
    <d v="2025-10-24T00:00:00"/>
    <n v="0"/>
    <n v="9.2000000000000011"/>
    <x v="0"/>
    <x v="9"/>
    <x v="1"/>
  </r>
  <r>
    <x v="4416"/>
    <n v="4029900112244"/>
    <x v="65"/>
    <s v="Starostlivosť a hygiena – Mačky"/>
    <s v="BellaMeow"/>
    <n v="13.6"/>
    <n v="1"/>
    <s v="NULL"/>
    <s v=""/>
    <d v="2025-10-24T00:00:00"/>
    <n v="0"/>
    <n v="13.6"/>
    <x v="0"/>
    <x v="9"/>
    <x v="1"/>
  </r>
  <r>
    <x v="4417"/>
    <n v="4063456789014"/>
    <x v="15"/>
    <s v="Krmivo a maškrty – Psy"/>
    <s v="Pupco"/>
    <n v="36"/>
    <n v="1"/>
    <s v="NULL"/>
    <s v=""/>
    <d v="2025-10-24T00:00:00"/>
    <n v="0"/>
    <n v="36"/>
    <x v="0"/>
    <x v="9"/>
    <x v="0"/>
  </r>
  <r>
    <x v="4418"/>
    <n v="4017890123450"/>
    <x v="16"/>
    <s v="Hračky – Psy"/>
    <s v="Dogissimo"/>
    <n v="7.6"/>
    <n v="1"/>
    <s v="NULL"/>
    <s v=""/>
    <d v="2025-10-24T00:00:00"/>
    <n v="0"/>
    <n v="7.6"/>
    <x v="0"/>
    <x v="9"/>
    <x v="0"/>
  </r>
  <r>
    <x v="4419"/>
    <n v="4056789012345"/>
    <x v="11"/>
    <s v="Krmivo a maškrty – Mačky"/>
    <s v="BellaMeow"/>
    <n v="2.4"/>
    <n v="3"/>
    <s v="3"/>
    <s v="Mačka to zje, ale už sa nevezme toľko ako skôr."/>
    <d v="2025-10-25T00:00:00"/>
    <n v="0"/>
    <n v="7.1999999999999993"/>
    <x v="3"/>
    <x v="9"/>
    <x v="1"/>
  </r>
  <r>
    <x v="4420"/>
    <n v="4013456789017"/>
    <x v="0"/>
    <s v="Krmivo a maškrty – Psy"/>
    <s v="Snouty"/>
    <n v="6"/>
    <n v="1"/>
    <s v="NULL"/>
    <s v=""/>
    <d v="2025-10-25T00:00:00"/>
    <n v="0"/>
    <n v="6"/>
    <x v="0"/>
    <x v="9"/>
    <x v="0"/>
  </r>
  <r>
    <x v="4421"/>
    <n v="4028899001126"/>
    <x v="1"/>
    <s v="Krmivo a maškrty – Psy"/>
    <s v="Pup Republic"/>
    <n v="2.8"/>
    <n v="2"/>
    <s v="NULL"/>
    <s v=""/>
    <d v="2025-10-25T00:00:00"/>
    <n v="0"/>
    <n v="5.6"/>
    <x v="0"/>
    <x v="9"/>
    <x v="0"/>
  </r>
  <r>
    <x v="4422"/>
    <n v="4040123456795"/>
    <x v="2"/>
    <s v="Starostlivosť a hygiena – Psy"/>
    <s v="Dogissimo"/>
    <n v="8.8000000000000007"/>
    <n v="1"/>
    <s v="5"/>
    <s v="Najlepšie šampón čo som zkusil. Pes sa po ňom neškriabe a srsť sa leskne."/>
    <d v="2025-10-25T00:00:00"/>
    <n v="0"/>
    <n v="8.8000000000000007"/>
    <x v="2"/>
    <x v="9"/>
    <x v="0"/>
  </r>
  <r>
    <x v="4423"/>
    <n v="4026677889902"/>
    <x v="12"/>
    <s v="Misky a kŕmne doplnky – Ostatné"/>
    <s v="Pawsitive Gear"/>
    <n v="7.6"/>
    <n v="1"/>
    <s v="NULL"/>
    <s v=""/>
    <d v="2025-10-25T00:00:00"/>
    <n v="0"/>
    <n v="7.6"/>
    <x v="0"/>
    <x v="9"/>
    <x v="2"/>
  </r>
  <r>
    <x v="4424"/>
    <n v="4019876501234"/>
    <x v="75"/>
    <s v="Krmivo a maškrty – Mačky"/>
    <s v="BellaMeow"/>
    <n v="1.84"/>
    <n v="5"/>
    <s v="NULL"/>
    <s v=""/>
    <d v="2025-10-25T00:00:00"/>
    <n v="0"/>
    <n v="9.2000000000000011"/>
    <x v="0"/>
    <x v="9"/>
    <x v="1"/>
  </r>
  <r>
    <x v="4425"/>
    <n v="4029900112244"/>
    <x v="65"/>
    <s v="Starostlivosť a hygiena – Mačky"/>
    <s v="BellaMeow"/>
    <n v="13.6"/>
    <n v="1"/>
    <s v="NULL"/>
    <s v=""/>
    <d v="2025-10-25T00:00:00"/>
    <n v="0"/>
    <n v="13.6"/>
    <x v="0"/>
    <x v="9"/>
    <x v="1"/>
  </r>
  <r>
    <x v="4426"/>
    <n v="4063456789014"/>
    <x v="15"/>
    <s v="Krmivo a maškrty – Psy"/>
    <s v="Pupco"/>
    <n v="36"/>
    <n v="1"/>
    <s v="NULL"/>
    <s v=""/>
    <d v="2025-10-25T00:00:00"/>
    <n v="0"/>
    <n v="36"/>
    <x v="0"/>
    <x v="9"/>
    <x v="0"/>
  </r>
  <r>
    <x v="4427"/>
    <n v="4027788990013"/>
    <x v="9"/>
    <s v="Starostlivosť a hygiena – Psy"/>
    <s v="Dogissimo"/>
    <n v="8"/>
    <n v="1"/>
    <s v="NULL"/>
    <s v=""/>
    <d v="2025-10-25T00:00:00"/>
    <n v="0"/>
    <n v="8"/>
    <x v="0"/>
    <x v="9"/>
    <x v="0"/>
  </r>
  <r>
    <x v="4428"/>
    <n v="4017890123450"/>
    <x v="16"/>
    <s v="Hračky – Psy"/>
    <s v="Dogissimo"/>
    <n v="7.6"/>
    <n v="1"/>
    <s v="4"/>
    <s v="Drží aj po týždni hraní, dobrá kvalita gumy."/>
    <d v="2025-10-25T00:00:00"/>
    <n v="0"/>
    <n v="7.6"/>
    <x v="1"/>
    <x v="9"/>
    <x v="0"/>
  </r>
  <r>
    <x v="4429"/>
    <n v="4056789012345"/>
    <x v="11"/>
    <s v="Krmivo a maškrty – Mačky"/>
    <s v="BellaMeow"/>
    <n v="2.4"/>
    <n v="3"/>
    <s v="NULL"/>
    <s v=""/>
    <d v="2025-10-25T00:00:00"/>
    <n v="0"/>
    <n v="7.1999999999999993"/>
    <x v="0"/>
    <x v="9"/>
    <x v="1"/>
  </r>
  <r>
    <x v="4430"/>
    <n v="4028899001126"/>
    <x v="1"/>
    <s v="Krmivo a maškrty – Psy"/>
    <s v="Pup Republic"/>
    <n v="2.8"/>
    <n v="3"/>
    <s v="5"/>
    <s v="Pes ju miluje, aj keď inak bývá vybíravý."/>
    <d v="2025-10-26T00:00:00"/>
    <n v="0"/>
    <n v="8.3999999999999986"/>
    <x v="2"/>
    <x v="9"/>
    <x v="0"/>
  </r>
  <r>
    <x v="4431"/>
    <n v="4013456789017"/>
    <x v="0"/>
    <s v="Krmivo a maškrty – Psy"/>
    <s v="Snouty"/>
    <n v="6"/>
    <n v="2"/>
    <s v="NULL"/>
    <s v=""/>
    <d v="2025-10-26T00:00:00"/>
    <n v="0"/>
    <n v="12"/>
    <x v="0"/>
    <x v="9"/>
    <x v="0"/>
  </r>
  <r>
    <x v="4432"/>
    <n v="4040123456795"/>
    <x v="2"/>
    <s v="Starostlivosť a hygiena – Psy"/>
    <s v="Dogissimo"/>
    <n v="8.8000000000000007"/>
    <n v="1"/>
    <s v="NULL"/>
    <s v=""/>
    <d v="2025-10-26T00:00:00"/>
    <n v="0"/>
    <n v="8.8000000000000007"/>
    <x v="0"/>
    <x v="9"/>
    <x v="0"/>
  </r>
  <r>
    <x v="4433"/>
    <n v="4019876501234"/>
    <x v="75"/>
    <s v="Krmivo a maškrty – Mačky"/>
    <s v="BellaMeow"/>
    <n v="1.84"/>
    <n v="4"/>
    <s v="4"/>
    <s v="Kupujem pravidelne, mačka spokojená, konzistence dobrá."/>
    <d v="2025-10-26T00:00:00"/>
    <n v="0"/>
    <n v="7.36"/>
    <x v="1"/>
    <x v="9"/>
    <x v="1"/>
  </r>
  <r>
    <x v="4434"/>
    <n v="4063456789014"/>
    <x v="15"/>
    <s v="Krmivo a maškrty – Psy"/>
    <s v="Pupco"/>
    <n v="36"/>
    <n v="1"/>
    <s v="NULL"/>
    <s v=""/>
    <d v="2025-10-26T00:00:00"/>
    <n v="0"/>
    <n v="36"/>
    <x v="0"/>
    <x v="9"/>
    <x v="0"/>
  </r>
  <r>
    <x v="4435"/>
    <n v="4027788990013"/>
    <x v="9"/>
    <s v="Starostlivosť a hygiena – Psy"/>
    <s v="Dogissimo"/>
    <n v="8"/>
    <n v="1"/>
    <s v="NULL"/>
    <s v=""/>
    <d v="2025-10-26T00:00:00"/>
    <n v="0"/>
    <n v="8"/>
    <x v="0"/>
    <x v="9"/>
    <x v="0"/>
  </r>
  <r>
    <x v="4436"/>
    <n v="4017890123450"/>
    <x v="16"/>
    <s v="Hračky – Psy"/>
    <s v="Dogissimo"/>
    <n v="7.6"/>
    <n v="1"/>
    <s v="5"/>
    <s v="Môj pes tuhle hračku miluje, spí s nej v pelechu."/>
    <d v="2025-10-26T00:00:00"/>
    <n v="0"/>
    <n v="7.6"/>
    <x v="2"/>
    <x v="9"/>
    <x v="0"/>
  </r>
  <r>
    <x v="4437"/>
    <n v="4056789012345"/>
    <x v="11"/>
    <s v="Krmivo a maškrty – Mačky"/>
    <s v="BellaMeow"/>
    <n v="2.4"/>
    <n v="3"/>
    <s v="NULL"/>
    <s v=""/>
    <d v="2025-10-26T00:00:00"/>
    <n v="0"/>
    <n v="7.1999999999999993"/>
    <x v="0"/>
    <x v="9"/>
    <x v="1"/>
  </r>
  <r>
    <x v="4438"/>
    <n v="4026677889902"/>
    <x v="12"/>
    <s v="Misky a kŕmne doplnky – Ostatné"/>
    <s v="Pawsitive Gear"/>
    <n v="7.6"/>
    <n v="1"/>
    <s v="NULL"/>
    <s v=""/>
    <d v="2025-10-26T00:00:00"/>
    <n v="0"/>
    <n v="7.6"/>
    <x v="0"/>
    <x v="9"/>
    <x v="2"/>
  </r>
  <r>
    <x v="4439"/>
    <n v="4029900112244"/>
    <x v="65"/>
    <s v="Starostlivosť a hygiena – Mačky"/>
    <s v="BellaMeow"/>
    <n v="13.6"/>
    <n v="1"/>
    <s v="NULL"/>
    <s v=""/>
    <d v="2025-10-27T00:00:00"/>
    <n v="0"/>
    <n v="13.6"/>
    <x v="0"/>
    <x v="9"/>
    <x v="1"/>
  </r>
  <r>
    <x v="4440"/>
    <n v="4063456789014"/>
    <x v="15"/>
    <s v="Krmivo a maškrty – Psy"/>
    <s v="Pupco"/>
    <n v="36"/>
    <n v="1"/>
    <s v="4"/>
    <s v="Pes sa po nich menej drbe, asi kvalitné zloženie."/>
    <d v="2025-10-27T00:00:00"/>
    <n v="0"/>
    <n v="36"/>
    <x v="1"/>
    <x v="9"/>
    <x v="0"/>
  </r>
  <r>
    <x v="4441"/>
    <n v="4013456789017"/>
    <x v="0"/>
    <s v="Krmivo a maškrty – Psy"/>
    <s v="Snouty"/>
    <n v="6"/>
    <n v="2"/>
    <s v="NULL"/>
    <s v=""/>
    <d v="2025-10-27T00:00:00"/>
    <n v="0"/>
    <n v="12"/>
    <x v="0"/>
    <x v="9"/>
    <x v="0"/>
  </r>
  <r>
    <x v="4442"/>
    <n v="4028899001126"/>
    <x v="1"/>
    <s v="Krmivo a maškrty – Psy"/>
    <s v="Pup Republic"/>
    <n v="2.8"/>
    <n v="2"/>
    <s v="NULL"/>
    <s v=""/>
    <d v="2025-10-27T00:00:00"/>
    <n v="0"/>
    <n v="5.6"/>
    <x v="0"/>
    <x v="9"/>
    <x v="0"/>
  </r>
  <r>
    <x v="4443"/>
    <n v="4019876501234"/>
    <x v="75"/>
    <s v="Krmivo a maškrty – Mačky"/>
    <s v="BellaMeow"/>
    <n v="1.84"/>
    <n v="4"/>
    <s v="NULL"/>
    <s v=""/>
    <d v="2025-10-27T00:00:00"/>
    <n v="0"/>
    <n v="7.36"/>
    <x v="0"/>
    <x v="9"/>
    <x v="1"/>
  </r>
  <r>
    <x v="4444"/>
    <n v="4040123456795"/>
    <x v="2"/>
    <s v="Starostlivosť a hygiena – Psy"/>
    <s v="Dogissimo"/>
    <n v="8.8000000000000007"/>
    <n v="1"/>
    <s v="5"/>
    <s v="Používám už dlho, pes má krásnou srsť a žiadne lupiny."/>
    <d v="2025-10-27T00:00:00"/>
    <n v="0"/>
    <n v="8.8000000000000007"/>
    <x v="2"/>
    <x v="9"/>
    <x v="0"/>
  </r>
  <r>
    <x v="4445"/>
    <n v="4069012345682"/>
    <x v="23"/>
    <s v="Oblečenie a doplnky – Mačky"/>
    <s v="Catissime"/>
    <n v="26"/>
    <n v="1"/>
    <s v="5"/>
    <s v="V zime ideálne, mačka sa v ňom cíti teple a pokojne."/>
    <d v="2025-10-27T00:00:00"/>
    <n v="0"/>
    <n v="26"/>
    <x v="2"/>
    <x v="9"/>
    <x v="1"/>
  </r>
  <r>
    <x v="4446"/>
    <n v="4026677889902"/>
    <x v="12"/>
    <s v="Misky a kŕmne doplnky – Ostatné"/>
    <s v="Pawsitive Gear"/>
    <n v="7.6"/>
    <n v="1"/>
    <s v="NULL"/>
    <s v=""/>
    <d v="2025-10-27T00:00:00"/>
    <n v="0"/>
    <n v="7.6"/>
    <x v="0"/>
    <x v="9"/>
    <x v="2"/>
  </r>
  <r>
    <x v="4447"/>
    <n v="4028899001126"/>
    <x v="1"/>
    <s v="Krmivo a maškrty – Psy"/>
    <s v="Pup Republic"/>
    <n v="2.8"/>
    <n v="3"/>
    <s v="5"/>
    <s v="Pes po tejto konzerv vždy vyzerá spokojne a má lesklú srsť. Kupujem pravidelne."/>
    <d v="2025-10-27T00:00:00"/>
    <n v="0"/>
    <n v="8.3999999999999986"/>
    <x v="2"/>
    <x v="9"/>
    <x v="0"/>
  </r>
  <r>
    <x v="4448"/>
    <n v="4013456789017"/>
    <x v="0"/>
    <s v="Krmivo a maškrty – Psy"/>
    <s v="Snouty"/>
    <n v="6"/>
    <n v="2"/>
    <s v="NULL"/>
    <s v=""/>
    <d v="2025-10-27T00:00:00"/>
    <n v="0"/>
    <n v="12"/>
    <x v="0"/>
    <x v="9"/>
    <x v="0"/>
  </r>
  <r>
    <x v="4449"/>
    <n v="4040123456795"/>
    <x v="2"/>
    <s v="Starostlivosť a hygiena – Psy"/>
    <s v="Dogissimo"/>
    <n v="8.8000000000000007"/>
    <n v="1"/>
    <s v="4"/>
    <s v="Dobre čistí a nevysušuje koži, odporúčam."/>
    <d v="2025-10-27T00:00:00"/>
    <n v="0"/>
    <n v="8.8000000000000007"/>
    <x v="1"/>
    <x v="9"/>
    <x v="0"/>
  </r>
  <r>
    <x v="4450"/>
    <n v="4019876501234"/>
    <x v="75"/>
    <s v="Krmivo a maškrty – Mačky"/>
    <s v="BellaMeow"/>
    <n v="1.84"/>
    <n v="5"/>
    <s v="NULL"/>
    <s v=""/>
    <d v="2025-10-27T00:00:00"/>
    <n v="0"/>
    <n v="9.2000000000000011"/>
    <x v="0"/>
    <x v="9"/>
    <x v="1"/>
  </r>
  <r>
    <x v="4451"/>
    <n v="4063456789014"/>
    <x v="15"/>
    <s v="Krmivo a maškrty – Psy"/>
    <s v="Pupco"/>
    <n v="36"/>
    <n v="1"/>
    <s v="NULL"/>
    <s v=""/>
    <d v="2025-10-27T00:00:00"/>
    <n v="0"/>
    <n v="36"/>
    <x v="0"/>
    <x v="9"/>
    <x v="0"/>
  </r>
  <r>
    <x v="4452"/>
    <n v="4029900112244"/>
    <x v="65"/>
    <s v="Starostlivosť a hygiena – Mačky"/>
    <s v="BellaMeow"/>
    <n v="13.6"/>
    <n v="1"/>
    <s v="4"/>
    <s v="Hrudkuje výborne, vôňa jemná a prirodzená."/>
    <d v="2025-10-27T00:00:00"/>
    <n v="0"/>
    <n v="13.6"/>
    <x v="1"/>
    <x v="9"/>
    <x v="1"/>
  </r>
  <r>
    <x v="4453"/>
    <n v="4026677889902"/>
    <x v="12"/>
    <s v="Misky a kŕmne doplnky – Ostatné"/>
    <s v="Pawsitive Gear"/>
    <n v="7.6"/>
    <n v="1"/>
    <s v="NULL"/>
    <s v=""/>
    <d v="2025-10-27T00:00:00"/>
    <n v="0"/>
    <n v="7.6"/>
    <x v="0"/>
    <x v="9"/>
    <x v="2"/>
  </r>
  <r>
    <x v="4454"/>
    <n v="4027788990013"/>
    <x v="9"/>
    <s v="Starostlivosť a hygiena – Psy"/>
    <s v="Dogissimo"/>
    <n v="8"/>
    <n v="1"/>
    <s v="NULL"/>
    <s v=""/>
    <d v="2025-10-27T00:00:00"/>
    <n v="0"/>
    <n v="8"/>
    <x v="0"/>
    <x v="9"/>
    <x v="0"/>
  </r>
  <r>
    <x v="4455"/>
    <n v="4017890123450"/>
    <x v="16"/>
    <s v="Hračky – Psy"/>
    <s v="Dogissimo"/>
    <n v="7.6"/>
    <n v="1"/>
    <s v="5"/>
    <s v="Pes ju nosí všade, píska aj po niekoľkých týdnech."/>
    <d v="2025-10-28T00:00:00"/>
    <n v="0"/>
    <n v="7.6"/>
    <x v="2"/>
    <x v="9"/>
    <x v="0"/>
  </r>
  <r>
    <x v="4456"/>
    <n v="4056789012345"/>
    <x v="11"/>
    <s v="Krmivo a maškrty – Mačky"/>
    <s v="BellaMeow"/>
    <n v="2.4"/>
    <n v="3"/>
    <s v="NULL"/>
    <s v=""/>
    <d v="2025-10-28T00:00:00"/>
    <n v="0"/>
    <n v="7.1999999999999993"/>
    <x v="0"/>
    <x v="9"/>
    <x v="1"/>
  </r>
  <r>
    <x v="4457"/>
    <n v="4028899001126"/>
    <x v="1"/>
    <s v="Krmivo a maškrty – Psy"/>
    <s v="Pup Republic"/>
    <n v="2.8"/>
    <n v="2"/>
    <s v="NULL"/>
    <s v=""/>
    <d v="2025-10-28T00:00:00"/>
    <n v="0"/>
    <n v="5.6"/>
    <x v="0"/>
    <x v="9"/>
    <x v="0"/>
  </r>
  <r>
    <x v="4458"/>
    <n v="4013456789017"/>
    <x v="0"/>
    <s v="Krmivo a maškrty – Psy"/>
    <s v="Snouty"/>
    <n v="6"/>
    <n v="2"/>
    <s v="NULL"/>
    <s v=""/>
    <d v="2025-10-28T00:00:00"/>
    <n v="0"/>
    <n v="12"/>
    <x v="0"/>
    <x v="9"/>
    <x v="0"/>
  </r>
  <r>
    <x v="4459"/>
    <n v="4040123456795"/>
    <x v="2"/>
    <s v="Starostlivosť a hygiena – Psy"/>
    <s v="Dogissimo"/>
    <n v="8.8000000000000007"/>
    <n v="1"/>
    <s v="NULL"/>
    <s v=""/>
    <d v="2025-10-28T00:00:00"/>
    <n v="0"/>
    <n v="8.8000000000000007"/>
    <x v="0"/>
    <x v="9"/>
    <x v="0"/>
  </r>
  <r>
    <x v="4460"/>
    <n v="4019876501234"/>
    <x v="75"/>
    <s v="Krmivo a maškrty – Mačky"/>
    <s v="BellaMeow"/>
    <n v="1.84"/>
    <n v="4"/>
    <s v="5"/>
    <s v="Mačka ju miluje, výborná kvalita masa a vôňa."/>
    <d v="2025-10-28T00:00:00"/>
    <n v="0"/>
    <n v="7.36"/>
    <x v="2"/>
    <x v="9"/>
    <x v="1"/>
  </r>
  <r>
    <x v="4461"/>
    <n v="4063456789014"/>
    <x v="15"/>
    <s v="Krmivo a maškrty – Psy"/>
    <s v="Pupco"/>
    <n v="36"/>
    <n v="1"/>
    <s v="NULL"/>
    <s v=""/>
    <d v="2025-10-28T00:00:00"/>
    <n v="0"/>
    <n v="36"/>
    <x v="0"/>
    <x v="9"/>
    <x v="0"/>
  </r>
  <r>
    <x v="4462"/>
    <n v="4029900112244"/>
    <x v="65"/>
    <s v="Starostlivosť a hygiena – Mačky"/>
    <s v="BellaMeow"/>
    <n v="13.6"/>
    <n v="1"/>
    <s v="NULL"/>
    <s v=""/>
    <d v="2025-10-28T00:00:00"/>
    <n v="0"/>
    <n v="13.6"/>
    <x v="0"/>
    <x v="9"/>
    <x v="1"/>
  </r>
  <r>
    <x v="4463"/>
    <n v="4026677889902"/>
    <x v="12"/>
    <s v="Misky a kŕmne doplnky – Ostatné"/>
    <s v="Pawsitive Gear"/>
    <n v="7.6"/>
    <n v="1"/>
    <s v="NULL"/>
    <s v=""/>
    <d v="2025-10-28T00:00:00"/>
    <n v="0"/>
    <n v="7.6"/>
    <x v="0"/>
    <x v="9"/>
    <x v="2"/>
  </r>
  <r>
    <x v="4464"/>
    <n v="4027788990013"/>
    <x v="9"/>
    <s v="Starostlivosť a hygiena – Psy"/>
    <s v="Dogissimo"/>
    <n v="8"/>
    <n v="1"/>
    <s v="NULL"/>
    <s v=""/>
    <d v="2025-10-28T00:00:00"/>
    <n v="0"/>
    <n v="8"/>
    <x v="0"/>
    <x v="9"/>
    <x v="0"/>
  </r>
  <r>
    <x v="4465"/>
    <n v="4017890123450"/>
    <x v="16"/>
    <s v="Hračky – Psy"/>
    <s v="Dogissimo"/>
    <n v="7.6"/>
    <n v="1"/>
    <s v="4"/>
    <s v="Po týždni trochu menej píska, ale pes ju stále ťahá."/>
    <d v="2025-10-28T00:00:00"/>
    <n v="0"/>
    <n v="7.6"/>
    <x v="1"/>
    <x v="9"/>
    <x v="0"/>
  </r>
  <r>
    <x v="4466"/>
    <n v="4056789012345"/>
    <x v="11"/>
    <s v="Krmivo a maškrty – Mačky"/>
    <s v="BellaMeow"/>
    <n v="2.4"/>
    <n v="3"/>
    <s v="NULL"/>
    <s v=""/>
    <d v="2025-10-28T00:00:00"/>
    <n v="0"/>
    <n v="7.1999999999999993"/>
    <x v="0"/>
    <x v="9"/>
    <x v="1"/>
  </r>
  <r>
    <x v="4467"/>
    <n v="4028899001126"/>
    <x v="1"/>
    <s v="Krmivo a maškrty – Psy"/>
    <s v="Pup Republic"/>
    <n v="2.8"/>
    <n v="2"/>
    <s v="5"/>
    <s v="Kupujem opakovane, pes sa ju vyžaduje každý večer."/>
    <d v="2025-10-28T00:00:00"/>
    <n v="0"/>
    <n v="5.6"/>
    <x v="2"/>
    <x v="9"/>
    <x v="0"/>
  </r>
  <r>
    <x v="4468"/>
    <n v="4013456789017"/>
    <x v="0"/>
    <s v="Krmivo a maškrty – Psy"/>
    <s v="Snouty"/>
    <n v="6"/>
    <n v="1"/>
    <s v="NULL"/>
    <s v=""/>
    <d v="2025-10-28T00:00:00"/>
    <n v="0"/>
    <n v="6"/>
    <x v="0"/>
    <x v="9"/>
    <x v="0"/>
  </r>
  <r>
    <x v="4469"/>
    <n v="4040123456795"/>
    <x v="2"/>
    <s v="Starostlivosť a hygiena – Psy"/>
    <s v="Dogissimo"/>
    <n v="8.8000000000000007"/>
    <n v="1"/>
    <s v="NULL"/>
    <s v=""/>
    <d v="2025-10-29T00:00:00"/>
    <n v="0"/>
    <n v="8.8000000000000007"/>
    <x v="0"/>
    <x v="9"/>
    <x v="0"/>
  </r>
  <r>
    <x v="4470"/>
    <n v="4063456789014"/>
    <x v="15"/>
    <s v="Krmivo a maškrty – Psy"/>
    <s v="Pupco"/>
    <n v="36"/>
    <n v="1"/>
    <s v="4"/>
    <s v="Pes má viac energie, žiadne zažívací potíže."/>
    <d v="2025-10-29T00:00:00"/>
    <n v="0"/>
    <n v="36"/>
    <x v="1"/>
    <x v="9"/>
    <x v="0"/>
  </r>
  <r>
    <x v="4471"/>
    <n v="4019876501234"/>
    <x v="75"/>
    <s v="Krmivo a maškrty – Mačky"/>
    <s v="BellaMeow"/>
    <n v="1.84"/>
    <n v="4"/>
    <s v="NULL"/>
    <s v=""/>
    <d v="2025-10-29T00:00:00"/>
    <n v="0"/>
    <n v="7.36"/>
    <x v="0"/>
    <x v="9"/>
    <x v="1"/>
  </r>
  <r>
    <x v="4472"/>
    <n v="4029900112244"/>
    <x v="65"/>
    <s v="Starostlivosť a hygiena – Mačky"/>
    <s v="BellaMeow"/>
    <n v="13.6"/>
    <n v="1"/>
    <s v="NULL"/>
    <s v=""/>
    <d v="2025-10-29T00:00:00"/>
    <n v="0"/>
    <n v="13.6"/>
    <x v="0"/>
    <x v="9"/>
    <x v="1"/>
  </r>
  <r>
    <x v="4473"/>
    <n v="4026677889902"/>
    <x v="12"/>
    <s v="Misky a kŕmne doplnky – Ostatné"/>
    <s v="Pawsitive Gear"/>
    <n v="7.6"/>
    <n v="1"/>
    <s v="NULL"/>
    <s v=""/>
    <d v="2025-10-29T00:00:00"/>
    <n v="0"/>
    <n v="7.6"/>
    <x v="0"/>
    <x v="9"/>
    <x v="2"/>
  </r>
  <r>
    <x v="4474"/>
    <n v="4027788990013"/>
    <x v="9"/>
    <s v="Starostlivosť a hygiena – Psy"/>
    <s v="Dogissimo"/>
    <n v="8"/>
    <n v="1"/>
    <s v="3"/>
    <s v="Moc nevoní, ale pes má čistou srsť."/>
    <d v="2025-10-29T00:00:00"/>
    <n v="0"/>
    <n v="8"/>
    <x v="3"/>
    <x v="9"/>
    <x v="0"/>
  </r>
  <r>
    <x v="4475"/>
    <n v="4017890123450"/>
    <x v="16"/>
    <s v="Hračky – Psy"/>
    <s v="Dogissimo"/>
    <n v="7.6"/>
    <n v="1"/>
    <s v="NULL"/>
    <s v=""/>
    <d v="2025-10-29T00:00:00"/>
    <n v="0"/>
    <n v="7.6"/>
    <x v="0"/>
    <x v="9"/>
    <x v="0"/>
  </r>
  <r>
    <x v="4476"/>
    <n v="4056789012345"/>
    <x v="11"/>
    <s v="Krmivo a maškrty – Mačky"/>
    <s v="BellaMeow"/>
    <n v="2.4"/>
    <n v="3"/>
    <s v="NULL"/>
    <s v=""/>
    <d v="2025-10-29T00:00:00"/>
    <n v="0"/>
    <n v="7.1999999999999993"/>
    <x v="0"/>
    <x v="9"/>
    <x v="1"/>
  </r>
  <r>
    <x v="4477"/>
    <n v="4028899001126"/>
    <x v="1"/>
    <s v="Krmivo a maškrty – Psy"/>
    <s v="Pup Republic"/>
    <n v="2.8"/>
    <n v="3"/>
    <s v="4"/>
    <s v="Výborné, pes sa teší na každé kŕmenie."/>
    <d v="2025-10-29T00:00:00"/>
    <n v="0"/>
    <n v="8.3999999999999986"/>
    <x v="1"/>
    <x v="9"/>
    <x v="0"/>
  </r>
  <r>
    <x v="4478"/>
    <n v="4013456789017"/>
    <x v="0"/>
    <s v="Krmivo a maškrty – Psy"/>
    <s v="Snouty"/>
    <n v="6"/>
    <n v="1"/>
    <s v="NULL"/>
    <s v=""/>
    <d v="2025-10-29T00:00:00"/>
    <n v="0"/>
    <n v="6"/>
    <x v="0"/>
    <x v="9"/>
    <x v="0"/>
  </r>
  <r>
    <x v="4479"/>
    <n v="4040123456795"/>
    <x v="2"/>
    <s v="Starostlivosť a hygiena – Psy"/>
    <s v="Dogissimo"/>
    <n v="8.8000000000000007"/>
    <n v="1"/>
    <s v="NULL"/>
    <s v=""/>
    <d v="2025-10-29T00:00:00"/>
    <n v="0"/>
    <n v="8.8000000000000007"/>
    <x v="0"/>
    <x v="9"/>
    <x v="0"/>
  </r>
  <r>
    <x v="4480"/>
    <n v="4019876501234"/>
    <x v="75"/>
    <s v="Krmivo a maškrty – Mačky"/>
    <s v="BellaMeow"/>
    <n v="1.84"/>
    <n v="4"/>
    <s v="5"/>
    <s v="Najobľúbenejšie konzerva, mačka inú nechce."/>
    <d v="2025-10-29T00:00:00"/>
    <n v="0"/>
    <n v="7.36"/>
    <x v="2"/>
    <x v="9"/>
    <x v="1"/>
  </r>
  <r>
    <x v="4481"/>
    <n v="4063456789014"/>
    <x v="15"/>
    <s v="Krmivo a maškrty – Psy"/>
    <s v="Pupco"/>
    <n v="36"/>
    <n v="1"/>
    <s v="NULL"/>
    <s v=""/>
    <d v="2025-10-29T00:00:00"/>
    <n v="0"/>
    <n v="36"/>
    <x v="0"/>
    <x v="9"/>
    <x v="0"/>
  </r>
  <r>
    <x v="4482"/>
    <n v="4029900112244"/>
    <x v="65"/>
    <s v="Starostlivosť a hygiena – Mačky"/>
    <s v="BellaMeow"/>
    <n v="13.6"/>
    <n v="1"/>
    <s v="NULL"/>
    <s v=""/>
    <d v="2025-10-29T00:00:00"/>
    <n v="0"/>
    <n v="13.6"/>
    <x v="0"/>
    <x v="9"/>
    <x v="1"/>
  </r>
  <r>
    <x v="4483"/>
    <n v="4017890123450"/>
    <x v="16"/>
    <s v="Hračky – Psy"/>
    <s v="Dogissimo"/>
    <n v="7.6"/>
    <n v="1"/>
    <s v="NULL"/>
    <s v=""/>
    <d v="2025-10-29T00:00:00"/>
    <n v="0"/>
    <n v="7.6"/>
    <x v="0"/>
    <x v="9"/>
    <x v="0"/>
  </r>
  <r>
    <x v="4484"/>
    <n v="4026677889902"/>
    <x v="12"/>
    <s v="Misky a kŕmne doplnky – Ostatné"/>
    <s v="Pawsitive Gear"/>
    <n v="7.6"/>
    <n v="1"/>
    <s v="NULL"/>
    <s v=""/>
    <d v="2025-10-29T00:00:00"/>
    <n v="0"/>
    <n v="7.6"/>
    <x v="0"/>
    <x v="9"/>
    <x v="2"/>
  </r>
  <r>
    <x v="4485"/>
    <n v="4028899001126"/>
    <x v="1"/>
    <s v="Krmivo a maškrty – Psy"/>
    <s v="Pup Republic"/>
    <n v="2.8"/>
    <n v="2"/>
    <s v="5"/>
    <s v="Pes sa môže zblázniť od radosti, keď vidí tu konzervu. Výborné zloženie."/>
    <d v="2025-10-30T00:00:00"/>
    <n v="0"/>
    <n v="5.6"/>
    <x v="2"/>
    <x v="9"/>
    <x v="0"/>
  </r>
  <r>
    <x v="4486"/>
    <n v="4013456789017"/>
    <x v="0"/>
    <s v="Krmivo a maškrty – Psy"/>
    <s v="Snouty"/>
    <n v="6"/>
    <n v="2"/>
    <s v="NULL"/>
    <s v=""/>
    <d v="2025-10-30T00:00:00"/>
    <n v="0"/>
    <n v="12"/>
    <x v="0"/>
    <x v="9"/>
    <x v="0"/>
  </r>
  <r>
    <x v="4487"/>
    <n v="4040123456795"/>
    <x v="2"/>
    <s v="Starostlivosť a hygiena – Psy"/>
    <s v="Dogissimo"/>
    <n v="8.8000000000000007"/>
    <n v="1"/>
    <s v="4"/>
    <s v="Po koupelaj srsť krásne vonia a je mäkká."/>
    <d v="2025-10-30T00:00:00"/>
    <n v="0"/>
    <n v="8.8000000000000007"/>
    <x v="1"/>
    <x v="9"/>
    <x v="0"/>
  </r>
  <r>
    <x v="4488"/>
    <n v="4019876501234"/>
    <x v="75"/>
    <s v="Krmivo a maškrty – Mačky"/>
    <s v="BellaMeow"/>
    <n v="1.84"/>
    <n v="5"/>
    <s v="NULL"/>
    <s v=""/>
    <d v="2025-10-30T00:00:00"/>
    <n v="0"/>
    <n v="9.2000000000000011"/>
    <x v="0"/>
    <x v="9"/>
    <x v="1"/>
  </r>
  <r>
    <x v="4489"/>
    <n v="4063456789014"/>
    <x v="15"/>
    <s v="Krmivo a maškrty – Psy"/>
    <s v="Pupco"/>
    <n v="36"/>
    <n v="1"/>
    <s v="NULL"/>
    <s v=""/>
    <d v="2025-10-30T00:00:00"/>
    <n v="0"/>
    <n v="36"/>
    <x v="0"/>
    <x v="9"/>
    <x v="0"/>
  </r>
  <r>
    <x v="4490"/>
    <n v="4029900112244"/>
    <x v="65"/>
    <s v="Starostlivosť a hygiena – Mačky"/>
    <s v="BellaMeow"/>
    <n v="13.6"/>
    <n v="1"/>
    <s v="NULL"/>
    <s v=""/>
    <d v="2025-10-30T00:00:00"/>
    <n v="0"/>
    <n v="13.6"/>
    <x v="0"/>
    <x v="9"/>
    <x v="1"/>
  </r>
  <r>
    <x v="4491"/>
    <n v="4017890123450"/>
    <x v="16"/>
    <s v="Hračky – Psy"/>
    <s v="Dogissimo"/>
    <n v="7.6"/>
    <n v="1"/>
    <s v="4"/>
    <s v="Po dvou týdnech stále drží, odporúčam."/>
    <d v="2025-10-30T00:00:00"/>
    <n v="0"/>
    <n v="7.6"/>
    <x v="1"/>
    <x v="9"/>
    <x v="0"/>
  </r>
  <r>
    <x v="4492"/>
    <n v="4056789012345"/>
    <x v="11"/>
    <s v="Krmivo a maškrty – Mačky"/>
    <s v="BellaMeow"/>
    <n v="2.4"/>
    <n v="3"/>
    <s v="NULL"/>
    <s v=""/>
    <d v="2025-10-30T00:00:00"/>
    <n v="0"/>
    <n v="7.1999999999999993"/>
    <x v="0"/>
    <x v="9"/>
    <x v="1"/>
  </r>
  <r>
    <x v="4493"/>
    <n v="4027788990013"/>
    <x v="9"/>
    <s v="Starostlivosť a hygiena – Psy"/>
    <s v="Dogissimo"/>
    <n v="8"/>
    <n v="1"/>
    <s v="NULL"/>
    <s v=""/>
    <d v="2025-10-30T00:00:00"/>
    <n v="0"/>
    <n v="8"/>
    <x v="0"/>
    <x v="9"/>
    <x v="0"/>
  </r>
  <r>
    <x v="4494"/>
    <n v="4028899001126"/>
    <x v="1"/>
    <s v="Krmivo a maškrty – Psy"/>
    <s v="Pup Republic"/>
    <n v="2.8"/>
    <n v="2"/>
    <s v="NULL"/>
    <s v=""/>
    <d v="2025-10-30T00:00:00"/>
    <n v="0"/>
    <n v="5.6"/>
    <x v="0"/>
    <x v="9"/>
    <x v="0"/>
  </r>
  <r>
    <x v="4495"/>
    <n v="4013456789017"/>
    <x v="0"/>
    <s v="Krmivo a maškrty – Psy"/>
    <s v="Snouty"/>
    <n v="6"/>
    <n v="2"/>
    <s v="5"/>
    <s v="Mäkké kousky, ideálne odmena pre malého psa."/>
    <d v="2025-10-30T00:00:00"/>
    <n v="0"/>
    <n v="12"/>
    <x v="2"/>
    <x v="9"/>
    <x v="0"/>
  </r>
  <r>
    <x v="4496"/>
    <n v="4040123456795"/>
    <x v="2"/>
    <s v="Starostlivosť a hygiena – Psy"/>
    <s v="Dogissimo"/>
    <n v="8.8000000000000007"/>
    <n v="1"/>
    <s v="NULL"/>
    <s v=""/>
    <d v="2025-10-30T00:00:00"/>
    <n v="0"/>
    <n v="8.8000000000000007"/>
    <x v="0"/>
    <x v="9"/>
    <x v="0"/>
  </r>
  <r>
    <x v="4497"/>
    <n v="4019876501234"/>
    <x v="75"/>
    <s v="Krmivo a maškrty – Mačky"/>
    <s v="BellaMeow"/>
    <n v="1.84"/>
    <n v="4"/>
    <s v="NULL"/>
    <s v=""/>
    <d v="2025-10-30T00:00:00"/>
    <n v="0"/>
    <n v="7.36"/>
    <x v="0"/>
    <x v="9"/>
    <x v="1"/>
  </r>
  <r>
    <x v="4498"/>
    <n v="4029900112244"/>
    <x v="65"/>
    <s v="Starostlivosť a hygiena – Mačky"/>
    <s v="BellaMeow"/>
    <n v="13.6"/>
    <n v="1"/>
    <s v="4"/>
    <s v="Po delší čase stále výborné, žiaden zápach."/>
    <d v="2025-10-30T00:00:00"/>
    <n v="0"/>
    <n v="13.6"/>
    <x v="1"/>
    <x v="9"/>
    <x v="1"/>
  </r>
  <r>
    <x v="4499"/>
    <n v="4063456789014"/>
    <x v="15"/>
    <s v="Krmivo a maškrty – Psy"/>
    <s v="Pupco"/>
    <n v="36"/>
    <n v="1"/>
    <s v="NULL"/>
    <s v=""/>
    <d v="2025-10-30T00:00:00"/>
    <n v="0"/>
    <n v="36"/>
    <x v="0"/>
    <x v="9"/>
    <x v="0"/>
  </r>
  <r>
    <x v="4500"/>
    <n v="4026677889902"/>
    <x v="12"/>
    <s v="Misky a kŕmne doplnky – Ostatné"/>
    <s v="Pawsitive Gear"/>
    <n v="7.6"/>
    <n v="1"/>
    <s v="NULL"/>
    <s v=""/>
    <d v="2025-10-30T00:00:00"/>
    <n v="0"/>
    <n v="7.6"/>
    <x v="0"/>
    <x v="9"/>
    <x v="2"/>
  </r>
  <r>
    <x v="4501"/>
    <n v="4027788990013"/>
    <x v="9"/>
    <s v="Starostlivosť a hygiena – Psy"/>
    <s v="Dogissimo"/>
    <n v="8"/>
    <n v="1"/>
    <s v="NULL"/>
    <s v=""/>
    <d v="2025-10-30T00:00:00"/>
    <n v="0"/>
    <n v="8"/>
    <x v="0"/>
    <x v="9"/>
    <x v="0"/>
  </r>
  <r>
    <x v="4502"/>
    <n v="4017890123450"/>
    <x v="16"/>
    <s v="Hračky – Psy"/>
    <s v="Dogissimo"/>
    <n v="7.6"/>
    <n v="1"/>
    <s v="NULL"/>
    <s v=""/>
    <d v="2025-10-30T00:00:00"/>
    <n v="0"/>
    <n v="7.6"/>
    <x v="0"/>
    <x v="9"/>
    <x v="0"/>
  </r>
  <r>
    <x v="4503"/>
    <n v="4028899001126"/>
    <x v="1"/>
    <s v="Krmivo a maškrty – Psy"/>
    <s v="Pup Republic"/>
    <n v="2.8"/>
    <n v="3"/>
    <s v="5"/>
    <s v="Výborná konzerva, pes sa po nej len oblizuje."/>
    <d v="2025-10-31T00:00:00"/>
    <n v="0"/>
    <n v="8.3999999999999986"/>
    <x v="2"/>
    <x v="9"/>
    <x v="0"/>
  </r>
  <r>
    <x v="4504"/>
    <n v="4013456789017"/>
    <x v="0"/>
    <s v="Krmivo a maškrty – Psy"/>
    <s v="Snouty"/>
    <n v="6"/>
    <n v="2"/>
    <s v="NULL"/>
    <s v=""/>
    <d v="2025-10-31T00:00:00"/>
    <n v="0"/>
    <n v="12"/>
    <x v="0"/>
    <x v="9"/>
    <x v="0"/>
  </r>
  <r>
    <x v="4505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506"/>
    <n v="4063456789014"/>
    <x v="15"/>
    <s v="Krmivo a maškrty – Psy"/>
    <s v="Pupco"/>
    <n v="36"/>
    <n v="1"/>
    <s v="4"/>
    <s v="Pes má lesklú srsť a je s chuťou."/>
    <d v="2025-10-31T00:00:00"/>
    <n v="0"/>
    <n v="36"/>
    <x v="1"/>
    <x v="9"/>
    <x v="0"/>
  </r>
  <r>
    <x v="4507"/>
    <n v="4019876501234"/>
    <x v="75"/>
    <s v="Krmivo a maškrty – Mačky"/>
    <s v="BellaMeow"/>
    <n v="1.84"/>
    <n v="5"/>
    <s v="NULL"/>
    <s v=""/>
    <d v="2025-10-31T00:00:00"/>
    <n v="0"/>
    <n v="9.2000000000000011"/>
    <x v="0"/>
    <x v="9"/>
    <x v="1"/>
  </r>
  <r>
    <x v="4508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09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10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11"/>
    <n v="4017890123450"/>
    <x v="16"/>
    <s v="Hračky – Psy"/>
    <s v="Dogissimo"/>
    <n v="7.6"/>
    <n v="1"/>
    <s v="4"/>
    <s v="Dobrá odolnost, pes s nej behá po byte stále."/>
    <d v="2025-10-31T00:00:00"/>
    <n v="0"/>
    <n v="7.6"/>
    <x v="1"/>
    <x v="9"/>
    <x v="0"/>
  </r>
  <r>
    <x v="4512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13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514"/>
    <n v="4013456789017"/>
    <x v="0"/>
    <s v="Krmivo a maškrty – Psy"/>
    <s v="Snouty"/>
    <n v="6"/>
    <n v="1"/>
    <s v="NULL"/>
    <s v=""/>
    <d v="2025-10-31T00:00:00"/>
    <n v="0"/>
    <n v="6"/>
    <x v="0"/>
    <x v="9"/>
    <x v="0"/>
  </r>
  <r>
    <x v="4515"/>
    <n v="4040123456795"/>
    <x v="2"/>
    <s v="Starostlivosť a hygiena – Psy"/>
    <s v="Dogissimo"/>
    <n v="8.8000000000000007"/>
    <n v="1"/>
    <s v="5"/>
    <s v="Perfektní – pes sa po ňom neškriabe a krásne vonia."/>
    <d v="2025-10-31T00:00:00"/>
    <n v="0"/>
    <n v="8.8000000000000007"/>
    <x v="2"/>
    <x v="9"/>
    <x v="0"/>
  </r>
  <r>
    <x v="4516"/>
    <n v="4019876501234"/>
    <x v="75"/>
    <s v="Krmivo a maškrty – Mačky"/>
    <s v="BellaMeow"/>
    <n v="1.84"/>
    <n v="4"/>
    <s v="NULL"/>
    <s v=""/>
    <d v="2025-10-31T00:00:00"/>
    <n v="0"/>
    <n v="7.36"/>
    <x v="0"/>
    <x v="9"/>
    <x v="1"/>
  </r>
  <r>
    <x v="4517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18"/>
    <n v="4063456789014"/>
    <x v="15"/>
    <s v="Krmivo a maškrty – Psy"/>
    <s v="Pupco"/>
    <n v="36"/>
    <n v="1"/>
    <s v="4"/>
    <s v="Vyvážené krmivo, psovaj chutí."/>
    <d v="2025-10-31T00:00:00"/>
    <n v="0"/>
    <n v="36"/>
    <x v="1"/>
    <x v="9"/>
    <x v="0"/>
  </r>
  <r>
    <x v="4519"/>
    <n v="4017890123450"/>
    <x v="16"/>
    <s v="Hračky – Psy"/>
    <s v="Dogissimo"/>
    <n v="7.6"/>
    <n v="1"/>
    <s v="NULL"/>
    <s v=""/>
    <d v="2025-10-31T00:00:00"/>
    <n v="0"/>
    <n v="7.6"/>
    <x v="0"/>
    <x v="9"/>
    <x v="0"/>
  </r>
  <r>
    <x v="4520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21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22"/>
    <n v="4028899001126"/>
    <x v="1"/>
    <s v="Krmivo a maškrty – Psy"/>
    <s v="Pup Republic"/>
    <n v="2.8"/>
    <n v="2"/>
    <s v="5"/>
    <s v="Pes po tejto konzerv úplne ožil, má viac energie a srsť sa mu leskne."/>
    <d v="2025-10-31T00:00:00"/>
    <n v="0"/>
    <n v="5.6"/>
    <x v="2"/>
    <x v="9"/>
    <x v="0"/>
  </r>
  <r>
    <x v="4523"/>
    <n v="4013456789017"/>
    <x v="0"/>
    <s v="Krmivo a maškrty – Psy"/>
    <s v="Snouty"/>
    <n v="6"/>
    <n v="2"/>
    <s v="NULL"/>
    <s v=""/>
    <d v="2025-10-31T00:00:00"/>
    <n v="0"/>
    <n v="12"/>
    <x v="0"/>
    <x v="9"/>
    <x v="0"/>
  </r>
  <r>
    <x v="4524"/>
    <n v="4040123456795"/>
    <x v="2"/>
    <s v="Starostlivosť a hygiena – Psy"/>
    <s v="Dogissimo"/>
    <n v="8.8000000000000007"/>
    <n v="1"/>
    <s v="4"/>
    <s v="Mírná vôňa, ale účinok výborný – srsť hebká a čistá."/>
    <d v="2025-10-31T00:00:00"/>
    <n v="0"/>
    <n v="8.8000000000000007"/>
    <x v="1"/>
    <x v="9"/>
    <x v="0"/>
  </r>
  <r>
    <x v="4525"/>
    <n v="4063456789014"/>
    <x v="15"/>
    <s v="Krmivo a maškrty – Psy"/>
    <s v="Pupco"/>
    <n v="36"/>
    <n v="1"/>
    <s v="NULL"/>
    <s v=""/>
    <d v="2025-10-31T00:00:00"/>
    <n v="0"/>
    <n v="36"/>
    <x v="0"/>
    <x v="9"/>
    <x v="0"/>
  </r>
  <r>
    <x v="4526"/>
    <n v="4019876501234"/>
    <x v="75"/>
    <s v="Krmivo a maškrty – Mačky"/>
    <s v="BellaMeow"/>
    <n v="1.84"/>
    <n v="5"/>
    <s v="NULL"/>
    <s v=""/>
    <d v="2025-10-31T00:00:00"/>
    <n v="0"/>
    <n v="9.2000000000000011"/>
    <x v="0"/>
    <x v="9"/>
    <x v="1"/>
  </r>
  <r>
    <x v="4527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28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29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30"/>
    <n v="4017890123450"/>
    <x v="16"/>
    <s v="Hračky – Psy"/>
    <s v="Dogissimo"/>
    <n v="7.6"/>
    <n v="1"/>
    <s v="5"/>
    <s v="Pes ju neodkládá anaj na spaní, zatiaľ stále píska."/>
    <d v="2025-10-31T00:00:00"/>
    <n v="0"/>
    <n v="7.6"/>
    <x v="2"/>
    <x v="9"/>
    <x v="0"/>
  </r>
  <r>
    <x v="4531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32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533"/>
    <n v="4013456789017"/>
    <x v="0"/>
    <s v="Krmivo a maškrty – Psy"/>
    <s v="Snouty"/>
    <n v="6"/>
    <n v="1"/>
    <s v="NULL"/>
    <s v=""/>
    <d v="2025-10-31T00:00:00"/>
    <n v="0"/>
    <n v="6"/>
    <x v="0"/>
    <x v="9"/>
    <x v="0"/>
  </r>
  <r>
    <x v="4534"/>
    <n v="4040123456795"/>
    <x v="2"/>
    <s v="Starostlivosť a hygiena – Psy"/>
    <s v="Dogissimo"/>
    <n v="8.8000000000000007"/>
    <n v="1"/>
    <s v="4"/>
    <s v="Skvelý na citlivou pokožku, žiadne svrbenie po kúpaní."/>
    <d v="2025-10-31T00:00:00"/>
    <n v="0"/>
    <n v="8.8000000000000007"/>
    <x v="1"/>
    <x v="9"/>
    <x v="0"/>
  </r>
  <r>
    <x v="4535"/>
    <n v="4019876501234"/>
    <x v="75"/>
    <s v="Krmivo a maškrty – Mačky"/>
    <s v="BellaMeow"/>
    <n v="1.84"/>
    <n v="4"/>
    <s v="NULL"/>
    <s v=""/>
    <d v="2025-10-31T00:00:00"/>
    <n v="0"/>
    <n v="7.36"/>
    <x v="0"/>
    <x v="9"/>
    <x v="1"/>
  </r>
  <r>
    <x v="4536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37"/>
    <n v="4063456789014"/>
    <x v="15"/>
    <s v="Krmivo a maškrty – Psy"/>
    <s v="Pupco"/>
    <n v="36"/>
    <n v="1"/>
    <s v="5"/>
    <s v="Pes sa po nich teší k misce, kvalitné zloženie aj vôňa."/>
    <d v="2025-10-31T00:00:00"/>
    <n v="0"/>
    <n v="36"/>
    <x v="2"/>
    <x v="9"/>
    <x v="0"/>
  </r>
  <r>
    <x v="4538"/>
    <n v="4017890123450"/>
    <x v="16"/>
    <s v="Hračky – Psy"/>
    <s v="Dogissimo"/>
    <n v="7.6"/>
    <n v="1"/>
    <s v="NULL"/>
    <s v=""/>
    <d v="2025-10-31T00:00:00"/>
    <n v="0"/>
    <n v="7.6"/>
    <x v="0"/>
    <x v="9"/>
    <x v="0"/>
  </r>
  <r>
    <x v="4539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40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41"/>
    <n v="4019876501234"/>
    <x v="75"/>
    <s v="Krmivo a maškrty – Mačky"/>
    <s v="BellaMeow"/>
    <n v="1.84"/>
    <n v="4"/>
    <s v="4"/>
    <s v="Kvalitné maso, mačka spokojená, kupujem znovu."/>
    <d v="2025-10-31T00:00:00"/>
    <n v="0"/>
    <n v="7.36"/>
    <x v="1"/>
    <x v="9"/>
    <x v="1"/>
  </r>
  <r>
    <x v="4542"/>
    <n v="4028899001126"/>
    <x v="1"/>
    <s v="Krmivo a maškrty – Psy"/>
    <s v="Pup Republic"/>
    <n v="2.8"/>
    <n v="3"/>
    <s v="5"/>
    <s v="Najlepšia konzerva, jakou sme zatiaľ mali. Pes sa na ňu teší každý deň."/>
    <d v="2025-10-31T00:00:00"/>
    <n v="0"/>
    <n v="8.3999999999999986"/>
    <x v="2"/>
    <x v="9"/>
    <x v="0"/>
  </r>
  <r>
    <x v="4543"/>
    <n v="4013456789017"/>
    <x v="0"/>
    <s v="Krmivo a maškrty – Psy"/>
    <s v="Snouty"/>
    <n v="6"/>
    <n v="2"/>
    <s v="NULL"/>
    <s v=""/>
    <d v="2025-10-31T00:00:00"/>
    <n v="0"/>
    <n v="12"/>
    <x v="0"/>
    <x v="9"/>
    <x v="0"/>
  </r>
  <r>
    <x v="4544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545"/>
    <n v="4063456789014"/>
    <x v="15"/>
    <s v="Krmivo a maškrty – Psy"/>
    <s v="Pupco"/>
    <n v="36"/>
    <n v="1"/>
    <s v="4"/>
    <s v="Pes je spokojný a má lepší trávenie."/>
    <d v="2025-10-31T00:00:00"/>
    <n v="0"/>
    <n v="36"/>
    <x v="1"/>
    <x v="9"/>
    <x v="0"/>
  </r>
  <r>
    <x v="4546"/>
    <n v="4019876501234"/>
    <x v="75"/>
    <s v="Krmivo a maškrty – Mačky"/>
    <s v="BellaMeow"/>
    <n v="1.84"/>
    <n v="5"/>
    <s v="NULL"/>
    <s v=""/>
    <d v="2025-10-31T00:00:00"/>
    <n v="0"/>
    <n v="9.2000000000000011"/>
    <x v="0"/>
    <x v="9"/>
    <x v="1"/>
  </r>
  <r>
    <x v="4547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48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49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50"/>
    <n v="4017890123450"/>
    <x v="16"/>
    <s v="Hračky – Psy"/>
    <s v="Dogissimo"/>
    <n v="7.6"/>
    <n v="1"/>
    <s v="5"/>
    <s v="Pes ju ťahá všade, obľúbená hračka už traj týdny."/>
    <d v="2025-10-31T00:00:00"/>
    <n v="0"/>
    <n v="7.6"/>
    <x v="2"/>
    <x v="9"/>
    <x v="0"/>
  </r>
  <r>
    <x v="4551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52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553"/>
    <n v="4013456789017"/>
    <x v="0"/>
    <s v="Krmivo a maškrty – Psy"/>
    <s v="Snouty"/>
    <n v="6"/>
    <n v="2"/>
    <s v="4"/>
    <s v="Výborné na výcvik, pes sa rýchlo učí."/>
    <d v="2025-10-31T00:00:00"/>
    <n v="0"/>
    <n v="12"/>
    <x v="1"/>
    <x v="9"/>
    <x v="0"/>
  </r>
  <r>
    <x v="4554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555"/>
    <n v="4019876501234"/>
    <x v="75"/>
    <s v="Krmivo a maškrty – Mačky"/>
    <s v="BellaMeow"/>
    <n v="1.84"/>
    <n v="4"/>
    <s v="NULL"/>
    <s v=""/>
    <d v="2025-10-31T00:00:00"/>
    <n v="0"/>
    <n v="7.36"/>
    <x v="0"/>
    <x v="9"/>
    <x v="1"/>
  </r>
  <r>
    <x v="4556"/>
    <n v="4063456789014"/>
    <x v="15"/>
    <s v="Krmivo a maškrty – Psy"/>
    <s v="Pupco"/>
    <n v="36"/>
    <n v="1"/>
    <s v="5"/>
    <s v="Pes sa na kŕmenie doslova teší, výborná kvalita."/>
    <d v="2025-10-31T00:00:00"/>
    <n v="0"/>
    <n v="36"/>
    <x v="2"/>
    <x v="9"/>
    <x v="0"/>
  </r>
  <r>
    <x v="4557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58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59"/>
    <n v="4027788990013"/>
    <x v="9"/>
    <s v="Starostlivosť a hygiena – Psy"/>
    <s v="Dogissimo"/>
    <n v="8"/>
    <n v="1"/>
    <s v="3"/>
    <s v="Vôňa slabší, ale pes čistý, účel splnený."/>
    <d v="2025-10-31T00:00:00"/>
    <n v="0"/>
    <n v="8"/>
    <x v="3"/>
    <x v="9"/>
    <x v="0"/>
  </r>
  <r>
    <x v="4560"/>
    <n v="4017890123450"/>
    <x v="16"/>
    <s v="Hračky – Psy"/>
    <s v="Dogissimo"/>
    <n v="7.6"/>
    <n v="1"/>
    <s v="NULL"/>
    <s v=""/>
    <d v="2025-10-31T00:00:00"/>
    <n v="0"/>
    <n v="7.6"/>
    <x v="0"/>
    <x v="9"/>
    <x v="0"/>
  </r>
  <r>
    <x v="4561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62"/>
    <n v="4028899001126"/>
    <x v="1"/>
    <s v="Krmivo a maškrty – Psy"/>
    <s v="Pup Republic"/>
    <n v="2.8"/>
    <n v="2"/>
    <s v="5"/>
    <s v="Pes ju úplne zbožňuje, miska je vždycky prázdna."/>
    <d v="2025-10-31T00:00:00"/>
    <n v="0"/>
    <n v="5.6"/>
    <x v="2"/>
    <x v="9"/>
    <x v="0"/>
  </r>
  <r>
    <x v="4563"/>
    <n v="4013456789017"/>
    <x v="0"/>
    <s v="Krmivo a maškrty – Psy"/>
    <s v="Snouty"/>
    <n v="6"/>
    <n v="1"/>
    <s v="NULL"/>
    <s v=""/>
    <d v="2025-10-31T00:00:00"/>
    <n v="0"/>
    <n v="6"/>
    <x v="0"/>
    <x v="9"/>
    <x v="0"/>
  </r>
  <r>
    <x v="4564"/>
    <n v="4040123456795"/>
    <x v="2"/>
    <s v="Starostlivosť a hygiena – Psy"/>
    <s v="Dogissimo"/>
    <n v="8.8000000000000007"/>
    <n v="1"/>
    <s v="4"/>
    <s v="Dobre čistí, zviera sa po ňom neškriabe, takže za ma super."/>
    <d v="2025-10-31T00:00:00"/>
    <n v="0"/>
    <n v="8.8000000000000007"/>
    <x v="1"/>
    <x v="9"/>
    <x v="0"/>
  </r>
  <r>
    <x v="4565"/>
    <n v="4019876501234"/>
    <x v="75"/>
    <s v="Krmivo a maškrty – Mačky"/>
    <s v="BellaMeow"/>
    <n v="1.84"/>
    <n v="4"/>
    <s v="NULL"/>
    <s v=""/>
    <d v="2025-10-31T00:00:00"/>
    <n v="0"/>
    <n v="7.36"/>
    <x v="0"/>
    <x v="9"/>
    <x v="1"/>
  </r>
  <r>
    <x v="4566"/>
    <n v="4063456789014"/>
    <x v="15"/>
    <s v="Krmivo a maškrty – Psy"/>
    <s v="Pupco"/>
    <n v="36"/>
    <n v="1"/>
    <s v="NULL"/>
    <s v=""/>
    <d v="2025-10-31T00:00:00"/>
    <n v="0"/>
    <n v="36"/>
    <x v="0"/>
    <x v="9"/>
    <x v="0"/>
  </r>
  <r>
    <x v="4567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68"/>
    <n v="4017890123450"/>
    <x v="16"/>
    <s v="Hračky – Psy"/>
    <s v="Dogissimo"/>
    <n v="7.6"/>
    <n v="1"/>
    <s v="5"/>
    <s v="Skvelá kvalita, po týdnech používání stále drží."/>
    <d v="2025-10-31T00:00:00"/>
    <n v="0"/>
    <n v="7.6"/>
    <x v="2"/>
    <x v="9"/>
    <x v="0"/>
  </r>
  <r>
    <x v="4569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70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71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72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573"/>
    <n v="4013456789017"/>
    <x v="0"/>
    <s v="Krmivo a maškrty – Psy"/>
    <s v="Snouty"/>
    <n v="6"/>
    <n v="1"/>
    <s v="NULL"/>
    <s v=""/>
    <d v="2025-10-31T00:00:00"/>
    <n v="0"/>
    <n v="6"/>
    <x v="0"/>
    <x v="9"/>
    <x v="0"/>
  </r>
  <r>
    <x v="4574"/>
    <n v="4040123456795"/>
    <x v="2"/>
    <s v="Starostlivosť a hygiena – Psy"/>
    <s v="Dogissimo"/>
    <n v="8.8000000000000007"/>
    <n v="1"/>
    <s v="4"/>
    <s v="Pes má po ňom mäkkú srsť a zdravou koži."/>
    <d v="2025-10-31T00:00:00"/>
    <n v="0"/>
    <n v="8.8000000000000007"/>
    <x v="1"/>
    <x v="9"/>
    <x v="0"/>
  </r>
  <r>
    <x v="4575"/>
    <n v="4019876501234"/>
    <x v="75"/>
    <s v="Krmivo a maškrty – Mačky"/>
    <s v="BellaMeow"/>
    <n v="1.84"/>
    <n v="5"/>
    <s v="NULL"/>
    <s v=""/>
    <d v="2025-10-31T00:00:00"/>
    <n v="0"/>
    <n v="9.2000000000000011"/>
    <x v="0"/>
    <x v="9"/>
    <x v="1"/>
  </r>
  <r>
    <x v="4576"/>
    <n v="4063456789014"/>
    <x v="15"/>
    <s v="Krmivo a maškrty – Psy"/>
    <s v="Pupco"/>
    <n v="36"/>
    <n v="1"/>
    <s v="NULL"/>
    <s v=""/>
    <d v="2025-10-31T00:00:00"/>
    <n v="0"/>
    <n v="36"/>
    <x v="0"/>
    <x v="9"/>
    <x v="0"/>
  </r>
  <r>
    <x v="4577"/>
    <n v="4029900112244"/>
    <x v="65"/>
    <s v="Starostlivosť a hygiena – Mačky"/>
    <s v="BellaMeow"/>
    <n v="13.6"/>
    <n v="1"/>
    <s v="5"/>
    <s v="Výborne pohlcuje pachy, skvelá kúpa."/>
    <d v="2025-10-31T00:00:00"/>
    <n v="0"/>
    <n v="13.6"/>
    <x v="2"/>
    <x v="9"/>
    <x v="1"/>
  </r>
  <r>
    <x v="4578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79"/>
    <n v="4017890123450"/>
    <x v="16"/>
    <s v="Hračky – Psy"/>
    <s v="Dogissimo"/>
    <n v="7.6"/>
    <n v="1"/>
    <s v="NULL"/>
    <s v=""/>
    <d v="2025-10-31T00:00:00"/>
    <n v="0"/>
    <n v="7.6"/>
    <x v="0"/>
    <x v="9"/>
    <x v="0"/>
  </r>
  <r>
    <x v="4580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81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582"/>
    <n v="4013456789017"/>
    <x v="0"/>
    <s v="Krmivo a maškrty – Psy"/>
    <s v="Snouty"/>
    <n v="6"/>
    <n v="2"/>
    <s v="4"/>
    <s v="Malé kousky ideálne pre výcvik, pes je zbožňuje."/>
    <d v="2025-10-31T00:00:00"/>
    <n v="0"/>
    <n v="12"/>
    <x v="1"/>
    <x v="9"/>
    <x v="0"/>
  </r>
  <r>
    <x v="4583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584"/>
    <n v="4019876501234"/>
    <x v="75"/>
    <s v="Krmivo a maškrty – Mačky"/>
    <s v="BellaMeow"/>
    <n v="1.84"/>
    <n v="4"/>
    <s v="NULL"/>
    <s v=""/>
    <d v="2025-10-31T00:00:00"/>
    <n v="0"/>
    <n v="7.36"/>
    <x v="0"/>
    <x v="9"/>
    <x v="1"/>
  </r>
  <r>
    <x v="4585"/>
    <n v="4063456789014"/>
    <x v="15"/>
    <s v="Krmivo a maškrty – Psy"/>
    <s v="Pupco"/>
    <n v="36"/>
    <n v="1"/>
    <s v="NULL"/>
    <s v=""/>
    <d v="2025-10-31T00:00:00"/>
    <n v="0"/>
    <n v="36"/>
    <x v="0"/>
    <x v="9"/>
    <x v="0"/>
  </r>
  <r>
    <x v="4586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87"/>
    <n v="4017890123450"/>
    <x v="16"/>
    <s v="Hračky – Psy"/>
    <s v="Dogissimo"/>
    <n v="7.6"/>
    <n v="1"/>
    <s v="5"/>
    <s v="Pes ju má neustále pri sebe, najlepší nákup."/>
    <d v="2025-10-31T00:00:00"/>
    <n v="0"/>
    <n v="7.6"/>
    <x v="2"/>
    <x v="9"/>
    <x v="0"/>
  </r>
  <r>
    <x v="4588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89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590"/>
    <n v="4056789012345"/>
    <x v="11"/>
    <s v="Krmivo a maškrty – Mačky"/>
    <s v="BellaMeow"/>
    <n v="2.4"/>
    <n v="3"/>
    <s v="NULL"/>
    <s v=""/>
    <d v="2025-10-31T00:00:00"/>
    <n v="0"/>
    <n v="7.1999999999999993"/>
    <x v="0"/>
    <x v="9"/>
    <x v="1"/>
  </r>
  <r>
    <x v="4591"/>
    <n v="4028899001126"/>
    <x v="1"/>
    <s v="Krmivo a maškrty – Psy"/>
    <s v="Pup Republic"/>
    <n v="2.8"/>
    <n v="3"/>
    <s v="5"/>
    <s v="Výborné zloženie a vôňa, pes sa na ňu teší."/>
    <d v="2025-10-31T00:00:00"/>
    <n v="0"/>
    <n v="8.3999999999999986"/>
    <x v="2"/>
    <x v="9"/>
    <x v="0"/>
  </r>
  <r>
    <x v="4592"/>
    <n v="4013456789017"/>
    <x v="0"/>
    <s v="Krmivo a maškrty – Psy"/>
    <s v="Snouty"/>
    <n v="6"/>
    <n v="2"/>
    <s v="NULL"/>
    <s v=""/>
    <d v="2025-10-31T00:00:00"/>
    <n v="0"/>
    <n v="12"/>
    <x v="0"/>
    <x v="9"/>
    <x v="0"/>
  </r>
  <r>
    <x v="4593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594"/>
    <n v="4019876501234"/>
    <x v="75"/>
    <s v="Krmivo a maškrty – Mačky"/>
    <s v="BellaMeow"/>
    <n v="1.84"/>
    <n v="4"/>
    <s v="4"/>
    <s v="Kvalitné maso, žiadne zbytky, mačka spokojená."/>
    <d v="2025-10-31T00:00:00"/>
    <n v="0"/>
    <n v="7.36"/>
    <x v="1"/>
    <x v="9"/>
    <x v="1"/>
  </r>
  <r>
    <x v="4595"/>
    <n v="4063456789014"/>
    <x v="15"/>
    <s v="Krmivo a maškrty – Psy"/>
    <s v="Pupco"/>
    <n v="36"/>
    <n v="1"/>
    <s v="NULL"/>
    <s v=""/>
    <d v="2025-10-31T00:00:00"/>
    <n v="0"/>
    <n v="36"/>
    <x v="0"/>
    <x v="9"/>
    <x v="0"/>
  </r>
  <r>
    <x v="4596"/>
    <n v="4029900112244"/>
    <x v="65"/>
    <s v="Starostlivosť a hygiena – Mačky"/>
    <s v="BellaMeow"/>
    <n v="13.6"/>
    <n v="1"/>
    <s v="NULL"/>
    <s v=""/>
    <d v="2025-10-31T00:00:00"/>
    <n v="0"/>
    <n v="13.6"/>
    <x v="0"/>
    <x v="9"/>
    <x v="1"/>
  </r>
  <r>
    <x v="4597"/>
    <n v="4026677889902"/>
    <x v="12"/>
    <s v="Misky a kŕmne doplnky – Ostatné"/>
    <s v="Pawsitive Gear"/>
    <n v="7.6"/>
    <n v="1"/>
    <s v="NULL"/>
    <s v=""/>
    <d v="2025-10-31T00:00:00"/>
    <n v="0"/>
    <n v="7.6"/>
    <x v="0"/>
    <x v="9"/>
    <x v="2"/>
  </r>
  <r>
    <x v="4598"/>
    <n v="4017890123450"/>
    <x v="16"/>
    <s v="Hračky – Psy"/>
    <s v="Dogissimo"/>
    <n v="7.6"/>
    <n v="1"/>
    <s v="4"/>
    <s v="Pes ju má rád, ale po čase prestala pískat."/>
    <d v="2025-10-31T00:00:00"/>
    <n v="0"/>
    <n v="7.6"/>
    <x v="1"/>
    <x v="9"/>
    <x v="0"/>
  </r>
  <r>
    <x v="4599"/>
    <n v="4027788990013"/>
    <x v="9"/>
    <s v="Starostlivosť a hygiena – Psy"/>
    <s v="Dogissimo"/>
    <n v="8"/>
    <n v="1"/>
    <s v="NULL"/>
    <s v=""/>
    <d v="2025-10-31T00:00:00"/>
    <n v="0"/>
    <n v="8"/>
    <x v="0"/>
    <x v="9"/>
    <x v="0"/>
  </r>
  <r>
    <x v="4600"/>
    <n v="4028899001126"/>
    <x v="1"/>
    <s v="Krmivo a maškrty – Psy"/>
    <s v="Pup Republic"/>
    <n v="2.8"/>
    <n v="2"/>
    <s v="NULL"/>
    <s v=""/>
    <d v="2025-10-31T00:00:00"/>
    <n v="0"/>
    <n v="5.6"/>
    <x v="0"/>
    <x v="9"/>
    <x v="0"/>
  </r>
  <r>
    <x v="4601"/>
    <n v="4013456789017"/>
    <x v="0"/>
    <s v="Krmivo a maškrty – Psy"/>
    <s v="Snouty"/>
    <n v="6"/>
    <n v="1"/>
    <s v="5"/>
    <s v="Pes je na nich závislý, bez nich necvičí."/>
    <d v="2025-10-31T00:00:00"/>
    <n v="0"/>
    <n v="6"/>
    <x v="2"/>
    <x v="9"/>
    <x v="0"/>
  </r>
  <r>
    <x v="4602"/>
    <n v="4040123456795"/>
    <x v="2"/>
    <s v="Starostlivosť a hygiena – Psy"/>
    <s v="Dogissimo"/>
    <n v="8.8000000000000007"/>
    <n v="1"/>
    <s v="NULL"/>
    <s v=""/>
    <d v="2025-10-31T00:00:00"/>
    <n v="0"/>
    <n v="8.8000000000000007"/>
    <x v="0"/>
    <x v="9"/>
    <x v="0"/>
  </r>
  <r>
    <x v="4603"/>
    <n v="4019876501234"/>
    <x v="75"/>
    <s v="Krmivo a maškrty – Mačky"/>
    <s v="BellaMeow"/>
    <n v="1.84"/>
    <n v="4"/>
    <s v="5"/>
    <s v="Mačka vrní už keď otvírám konzervu. Kvalita skvelé."/>
    <d v="2025-10-31T00:00:00"/>
    <n v="0"/>
    <n v="7.36"/>
    <x v="2"/>
    <x v="9"/>
    <x v="1"/>
  </r>
  <r>
    <x v="4604"/>
    <n v="4028899001126"/>
    <x v="1"/>
    <s v="Krmivo a maškrty – Psy"/>
    <s v="Pup Republic"/>
    <n v="2.8"/>
    <n v="2"/>
    <s v="4"/>
    <s v="Pes ju zhltol počas chvíľky, ideálne na chladné večery."/>
    <d v="2025-11-01T00:00:00"/>
    <n v="0"/>
    <n v="5.6"/>
    <x v="1"/>
    <x v="10"/>
    <x v="0"/>
  </r>
  <r>
    <x v="4605"/>
    <n v="4013456789017"/>
    <x v="0"/>
    <s v="Krmivo a maškrty – Psy"/>
    <s v="Snouty"/>
    <n v="6"/>
    <n v="1"/>
    <s v="NULL"/>
    <s v=""/>
    <d v="2025-11-01T00:00:00"/>
    <n v="0"/>
    <n v="6"/>
    <x v="0"/>
    <x v="10"/>
    <x v="0"/>
  </r>
  <r>
    <x v="4606"/>
    <n v="4040123456795"/>
    <x v="2"/>
    <s v="Starostlivosť a hygiena – Psy"/>
    <s v="Dogissimo"/>
    <n v="8.8000000000000007"/>
    <n v="1"/>
    <s v="5"/>
    <s v="Voňavý, neštípe a pes má hebkou srsť."/>
    <d v="2025-11-02T00:00:00"/>
    <n v="0"/>
    <n v="8.8000000000000007"/>
    <x v="2"/>
    <x v="10"/>
    <x v="0"/>
  </r>
  <r>
    <x v="4607"/>
    <n v="4061011223346"/>
    <x v="3"/>
    <s v="Oblečenie a doplnky – Psy"/>
    <s v="Tail Trend"/>
    <n v="19.600000000000001"/>
    <n v="1"/>
    <s v="NULL"/>
    <s v=""/>
    <d v="2025-11-02T00:00:00"/>
    <n v="0"/>
    <n v="19.600000000000001"/>
    <x v="0"/>
    <x v="10"/>
    <x v="0"/>
  </r>
  <r>
    <x v="4608"/>
    <n v="8593456789012"/>
    <x v="4"/>
    <s v="Krmivo a maškrty – Mačky"/>
    <s v="Catissime"/>
    <n v="42"/>
    <n v="1"/>
    <s v="5"/>
    <s v="Mačky spokojené, pekne lesklá srsť."/>
    <d v="2025-11-02T00:00:00"/>
    <n v="0"/>
    <n v="42"/>
    <x v="2"/>
    <x v="10"/>
    <x v="1"/>
  </r>
  <r>
    <x v="4609"/>
    <n v="4001234567893"/>
    <x v="5"/>
    <s v="Krmivo a maškrty – Mačky"/>
    <s v="Mr. Whiskers"/>
    <n v="9.1999999999999993"/>
    <n v="2"/>
    <s v="4"/>
    <s v="Kvalitné, praktické balenie."/>
    <d v="2025-11-03T00:00:00"/>
    <n v="0"/>
    <n v="18.399999999999999"/>
    <x v="1"/>
    <x v="10"/>
    <x v="1"/>
  </r>
  <r>
    <x v="4610"/>
    <n v="4029900112244"/>
    <x v="65"/>
    <s v="Starostlivosť a hygiena – Mačky"/>
    <s v="BellaMeow"/>
    <n v="13.6"/>
    <n v="1"/>
    <s v="5"/>
    <s v="Príjemná vôňa, dobre saje vlhkosť."/>
    <d v="2025-11-03T00:00:00"/>
    <n v="0"/>
    <n v="13.6"/>
    <x v="2"/>
    <x v="10"/>
    <x v="1"/>
  </r>
  <r>
    <x v="4611"/>
    <n v="4008899001134"/>
    <x v="44"/>
    <s v="Pelechy a nábytok – Hlodavce"/>
    <s v="Lapa Home"/>
    <n v="47.64"/>
    <n v="1"/>
    <s v="NULL"/>
    <s v=""/>
    <d v="2025-11-04T00:00:00"/>
    <n v="0"/>
    <n v="47.64"/>
    <x v="0"/>
    <x v="10"/>
    <x v="2"/>
  </r>
  <r>
    <x v="4612"/>
    <n v="4008901234561"/>
    <x v="43"/>
    <s v="Oblečenie a doplnky – Psy"/>
    <s v="HafHaf Couture"/>
    <n v="40"/>
    <n v="1"/>
    <s v="5"/>
    <s v="Skvelá do dažďa aj zimy, dobre padne."/>
    <d v="2025-11-04T00:00:00"/>
    <n v="0"/>
    <n v="40"/>
    <x v="2"/>
    <x v="10"/>
    <x v="0"/>
  </r>
  <r>
    <x v="4613"/>
    <n v="4016677889902"/>
    <x v="42"/>
    <s v="Oblečenie a doplnky – Psy"/>
    <s v="Pup Republic"/>
    <n v="22"/>
    <n v="1"/>
    <s v="3"/>
    <s v="Za tú cenu ok."/>
    <d v="2025-11-04T00:00:00"/>
    <n v="0"/>
    <n v="22"/>
    <x v="3"/>
    <x v="10"/>
    <x v="0"/>
  </r>
  <r>
    <x v="4614"/>
    <n v="4003344556679"/>
    <x v="19"/>
    <s v="Pelechy a nábytok – Psy"/>
    <s v="Canine Craft Industries"/>
    <n v="51.64"/>
    <n v="1"/>
    <s v="NULL"/>
    <s v=""/>
    <d v="2025-11-05T00:00:00"/>
    <n v="0"/>
    <n v="51.64"/>
    <x v="0"/>
    <x v="10"/>
    <x v="0"/>
  </r>
  <r>
    <x v="4615"/>
    <n v="8008901234561"/>
    <x v="20"/>
    <s v="Pelechy a nábytok – Psy"/>
    <s v="Tail Trend"/>
    <n v="28"/>
    <n v="1"/>
    <s v="5"/>
    <s v="Mäkučká a hrejivá, ideálne na gauč."/>
    <d v="2025-11-05T00:00:00"/>
    <n v="0"/>
    <n v="28"/>
    <x v="2"/>
    <x v="10"/>
    <x v="0"/>
  </r>
  <r>
    <x v="4616"/>
    <n v="4007788990022"/>
    <x v="70"/>
    <s v="Pelechy a nábytok – Mačky"/>
    <s v="CozyNest"/>
    <n v="59.64"/>
    <n v="1"/>
    <s v="4"/>
    <s v="Mačka sa ho zamilovala."/>
    <d v="2025-11-06T00:00:00"/>
    <n v="0"/>
    <n v="59.64"/>
    <x v="1"/>
    <x v="10"/>
    <x v="1"/>
  </r>
  <r>
    <x v="4617"/>
    <n v="4027788990013"/>
    <x v="9"/>
    <s v="Starostlivosť a hygiena – Psy"/>
    <s v="Dogissimo"/>
    <n v="8"/>
    <n v="1"/>
    <s v="NULL"/>
    <s v=""/>
    <d v="2025-11-06T00:00:00"/>
    <n v="0"/>
    <n v="8"/>
    <x v="0"/>
    <x v="10"/>
    <x v="0"/>
  </r>
  <r>
    <x v="4618"/>
    <n v="4022345678908"/>
    <x v="55"/>
    <s v="Starostlivosť a hygiena – Psy"/>
    <s v="PawStyle"/>
    <n v="10"/>
    <n v="1"/>
    <s v="NULL"/>
    <s v=""/>
    <d v="2025-11-07T00:00:00"/>
    <n v="0"/>
    <n v="10"/>
    <x v="0"/>
    <x v="10"/>
    <x v="0"/>
  </r>
  <r>
    <x v="4619"/>
    <n v="4048901234572"/>
    <x v="48"/>
    <s v="Oblečenie a doplnky – Psy"/>
    <s v="Dogissimo"/>
    <n v="18"/>
    <n v="1"/>
    <s v="4"/>
    <s v="Pekný dizajn, kvalitné koža."/>
    <d v="2025-11-07T00:00:00"/>
    <n v="0"/>
    <n v="18"/>
    <x v="1"/>
    <x v="10"/>
    <x v="0"/>
  </r>
  <r>
    <x v="4620"/>
    <n v="4069012345682"/>
    <x v="23"/>
    <s v="Oblečenie a doplnky – Mačky"/>
    <s v="Catissime"/>
    <n v="26"/>
    <n v="1"/>
    <s v="5"/>
    <s v="Fakt roztomilý, mačke sedí perfektne."/>
    <d v="2025-11-08T00:00:00"/>
    <n v="0"/>
    <n v="26"/>
    <x v="2"/>
    <x v="10"/>
    <x v="1"/>
  </r>
  <r>
    <x v="4621"/>
    <n v="4004455667780"/>
    <x v="59"/>
    <s v="Misky a kŕmne doplnky – Psy"/>
    <s v="Canine Craft Industries"/>
    <n v="14"/>
    <n v="1"/>
    <s v="NULL"/>
    <s v=""/>
    <d v="2025-11-08T00:00:00"/>
    <n v="0"/>
    <n v="14"/>
    <x v="0"/>
    <x v="10"/>
    <x v="0"/>
  </r>
  <r>
    <x v="4622"/>
    <n v="4024455667788"/>
    <x v="66"/>
    <s v="Pelechy a nábytok – Mačky"/>
    <s v="Nordic Tail"/>
    <n v="75.64"/>
    <n v="1"/>
    <s v="4"/>
    <s v="Velké a stabilní, ideálne na zimu."/>
    <d v="2025-11-08T00:00:00"/>
    <n v="0"/>
    <n v="75.64"/>
    <x v="1"/>
    <x v="10"/>
    <x v="1"/>
  </r>
  <r>
    <x v="4623"/>
    <n v="8002233445569"/>
    <x v="72"/>
    <s v="Oblečenie a doplnky – Psy"/>
    <s v="Bark&amp;Bone"/>
    <n v="20"/>
    <n v="1"/>
    <s v="NULL"/>
    <s v=""/>
    <d v="2025-11-09T00:00:00"/>
    <n v="0"/>
    <n v="20"/>
    <x v="0"/>
    <x v="10"/>
    <x v="0"/>
  </r>
  <r>
    <x v="4624"/>
    <n v="4017890123450"/>
    <x v="16"/>
    <s v="Hračky – Psy"/>
    <s v="Dogissimo"/>
    <n v="7.6"/>
    <n v="2"/>
    <s v="5"/>
    <s v="Pes ju ťahá po byte nonstop, výdrž dobrá."/>
    <d v="2025-11-09T00:00:00"/>
    <n v="0"/>
    <n v="15.2"/>
    <x v="2"/>
    <x v="10"/>
    <x v="0"/>
  </r>
  <r>
    <x v="4625"/>
    <n v="8591234567812"/>
    <x v="35"/>
    <s v="Krmivo a maškrty – Mačky"/>
    <s v="Catissime"/>
    <n v="33.200000000000003"/>
    <n v="1"/>
    <s v="4"/>
    <s v="Dobré zloženie, mačky pribralaj po zime."/>
    <d v="2025-11-10T00:00:00"/>
    <n v="0"/>
    <n v="33.200000000000003"/>
    <x v="1"/>
    <x v="10"/>
    <x v="1"/>
  </r>
  <r>
    <x v="4626"/>
    <n v="4023456789012"/>
    <x v="13"/>
    <s v="Krmivo a maškrty – Mačky"/>
    <s v="Mr. Whiskers"/>
    <n v="4"/>
    <n v="1"/>
    <s v="NULL"/>
    <s v=""/>
    <d v="2025-11-10T00:00:00"/>
    <n v="0"/>
    <n v="4"/>
    <x v="0"/>
    <x v="10"/>
    <x v="1"/>
  </r>
  <r>
    <x v="4627"/>
    <n v="4025566778891"/>
    <x v="38"/>
    <s v="Misky a kŕmne doplnky – Mačky"/>
    <s v="Catissime"/>
    <n v="51.64"/>
    <n v="1"/>
    <s v="5"/>
    <s v="Mačky konečne pijú viac vody."/>
    <d v="2025-11-11T00:00:00"/>
    <n v="0"/>
    <n v="51.64"/>
    <x v="2"/>
    <x v="10"/>
    <x v="1"/>
  </r>
  <r>
    <x v="4628"/>
    <n v="4002233445566"/>
    <x v="28"/>
    <s v="Pelechy a nábytok – Mačky"/>
    <s v="Catissime"/>
    <n v="20"/>
    <n v="1"/>
    <s v="4"/>
    <s v="Ideálne k radiátoru, mäkká a teplá."/>
    <d v="2025-11-11T00:00:00"/>
    <n v="0"/>
    <n v="20"/>
    <x v="1"/>
    <x v="10"/>
    <x v="1"/>
  </r>
  <r>
    <x v="4629"/>
    <n v="4026677889902"/>
    <x v="12"/>
    <s v="Misky a kŕmne doplnky – Ostatné"/>
    <s v="Pawsitive Gear"/>
    <n v="7.6"/>
    <n v="1"/>
    <s v="NULL"/>
    <s v=""/>
    <d v="2025-11-11T00:00:00"/>
    <n v="0"/>
    <n v="7.6"/>
    <x v="0"/>
    <x v="10"/>
    <x v="2"/>
  </r>
  <r>
    <x v="4630"/>
    <n v="4050123456794"/>
    <x v="8"/>
    <s v="Starostlivosť a hygiena – Mačky"/>
    <s v="Nordic Tail"/>
    <n v="7.2"/>
    <n v="1"/>
    <s v="4"/>
    <s v="Mačka sa po ňom leskne, odporúčam."/>
    <d v="2025-11-12T00:00:00"/>
    <n v="0"/>
    <n v="7.2"/>
    <x v="1"/>
    <x v="10"/>
    <x v="1"/>
  </r>
  <r>
    <x v="4631"/>
    <n v="4010123456783"/>
    <x v="6"/>
    <s v="Starostlivosť a hygiena – Mačky"/>
    <s v="BellaMeow"/>
    <n v="14"/>
    <n v="1"/>
    <s v="5"/>
    <s v="Skvelá absorpce, žiaden zápach."/>
    <d v="2025-11-12T00:00:00"/>
    <n v="0"/>
    <n v="14"/>
    <x v="2"/>
    <x v="10"/>
    <x v="1"/>
  </r>
  <r>
    <x v="4632"/>
    <n v="4009012345672"/>
    <x v="10"/>
    <s v="Starostlivosť a hygiena – Mačky"/>
    <s v="Mr. Whiskers"/>
    <n v="11.2"/>
    <n v="1"/>
    <s v="NULL"/>
    <s v=""/>
    <d v="2025-11-13T00:00:00"/>
    <n v="0"/>
    <n v="11.2"/>
    <x v="0"/>
    <x v="10"/>
    <x v="1"/>
  </r>
  <r>
    <x v="4633"/>
    <n v="4056789012345"/>
    <x v="11"/>
    <s v="Krmivo a maškrty – Mačky"/>
    <s v="BellaMeow"/>
    <n v="2.4"/>
    <n v="3"/>
    <s v="4"/>
    <s v="Chutí aj vyberavej mačke."/>
    <d v="2025-11-13T00:00:00"/>
    <n v="0"/>
    <n v="7.1999999999999993"/>
    <x v="1"/>
    <x v="10"/>
    <x v="1"/>
  </r>
  <r>
    <x v="4634"/>
    <n v="4062345678917"/>
    <x v="61"/>
    <s v="Pelechy a nábytok – Mačky"/>
    <s v="PawStyle"/>
    <n v="59.64"/>
    <n v="1"/>
    <s v="5"/>
    <s v="Prekvapivo stabilní, ideálne pre byt."/>
    <d v="2025-11-13T00:00:00"/>
    <n v="0"/>
    <n v="59.64"/>
    <x v="2"/>
    <x v="10"/>
    <x v="1"/>
  </r>
  <r>
    <x v="4635"/>
    <n v="4005566778891"/>
    <x v="24"/>
    <s v="Oblečenie a doplnky – Psy"/>
    <s v="Canine Craft Industries"/>
    <n v="18"/>
    <n v="1"/>
    <s v="NULL"/>
    <s v=""/>
    <d v="2025-11-14T00:00:00"/>
    <n v="0"/>
    <n v="18"/>
    <x v="0"/>
    <x v="10"/>
    <x v="0"/>
  </r>
  <r>
    <x v="4636"/>
    <n v="4011234567897"/>
    <x v="47"/>
    <s v="Starostlivosť a hygiena – Psy"/>
    <s v="Tlapka design"/>
    <n v="11.6"/>
    <n v="1"/>
    <s v="4"/>
    <s v="Dobre vyčesává zimní podsadu."/>
    <d v="2025-11-14T00:00:00"/>
    <n v="0"/>
    <n v="11.6"/>
    <x v="1"/>
    <x v="10"/>
    <x v="0"/>
  </r>
  <r>
    <x v="4637"/>
    <n v="4057890123467"/>
    <x v="32"/>
    <s v="Hračky – Psy"/>
    <s v="Bark&amp;Bone"/>
    <n v="9.6"/>
    <n v="1"/>
    <s v="NULL"/>
    <s v=""/>
    <d v="2025-11-14T00:00:00"/>
    <n v="0"/>
    <n v="9.6"/>
    <x v="0"/>
    <x v="10"/>
    <x v="0"/>
  </r>
  <r>
    <x v="4638"/>
    <n v="4063456789014"/>
    <x v="15"/>
    <s v="Krmivo a maškrty – Psy"/>
    <s v="Pupco"/>
    <n v="36"/>
    <n v="1"/>
    <s v="5"/>
    <s v="Výborné granuly, pes má energiaj v zime."/>
    <d v="2025-11-15T00:00:00"/>
    <n v="0"/>
    <n v="36"/>
    <x v="2"/>
    <x v="10"/>
    <x v="0"/>
  </r>
  <r>
    <x v="4639"/>
    <n v="4042233445567"/>
    <x v="57"/>
    <s v="Pelechy a nábytok – Mačky"/>
    <s v="CozyNest"/>
    <n v="51.64"/>
    <n v="1"/>
    <s v="NULL"/>
    <s v=""/>
    <d v="2025-11-15T00:00:00"/>
    <n v="0"/>
    <n v="51.64"/>
    <x v="0"/>
    <x v="10"/>
    <x v="1"/>
  </r>
  <r>
    <x v="4640"/>
    <n v="4007788990022"/>
    <x v="70"/>
    <s v="Pelechy a nábytok – Mačky"/>
    <s v="CozyNest"/>
    <n v="59.64"/>
    <n v="1"/>
    <s v="5"/>
    <s v="Skvelé místo pre kočičí zimní lenošení."/>
    <d v="2025-11-15T00:00:00"/>
    <n v="0"/>
    <n v="59.64"/>
    <x v="2"/>
    <x v="10"/>
    <x v="1"/>
  </r>
  <r>
    <x v="4641"/>
    <n v="4021234567894"/>
    <x v="18"/>
    <s v="Starostlivosť a hygiena – Mačky"/>
    <s v="PawStyle"/>
    <n v="8"/>
    <n v="1"/>
    <s v="NULL"/>
    <s v=""/>
    <d v="2025-11-15T00:00:00"/>
    <n v="0"/>
    <n v="8"/>
    <x v="0"/>
    <x v="10"/>
    <x v="1"/>
  </r>
  <r>
    <x v="4642"/>
    <n v="4058901234571"/>
    <x v="85"/>
    <s v="Oblečenie a doplnky – Mačky"/>
    <s v="CozyNest"/>
    <n v="12"/>
    <n v="1"/>
    <s v="3"/>
    <s v="Za tú cenu ok."/>
    <d v="2025-11-16T00:00:00"/>
    <n v="0"/>
    <n v="12"/>
    <x v="3"/>
    <x v="10"/>
    <x v="1"/>
  </r>
  <r>
    <x v="4643"/>
    <n v="4029900112244"/>
    <x v="65"/>
    <s v="Starostlivosť a hygiena – Mačky"/>
    <s v="BellaMeow"/>
    <n v="13.6"/>
    <n v="1"/>
    <s v="NULL"/>
    <s v=""/>
    <d v="2025-11-16T00:00:00"/>
    <n v="0"/>
    <n v="13.6"/>
    <x v="0"/>
    <x v="10"/>
    <x v="1"/>
  </r>
  <r>
    <x v="4644"/>
    <n v="4028899001126"/>
    <x v="1"/>
    <s v="Krmivo a maškrty – Psy"/>
    <s v="Pup Republic"/>
    <n v="2.8"/>
    <n v="3"/>
    <s v="5"/>
    <s v="Lacná a výborná konzerva, pes sa teší na každé kŕmenie."/>
    <d v="2025-11-16T00:00:00"/>
    <n v="0"/>
    <n v="8.3999999999999986"/>
    <x v="2"/>
    <x v="10"/>
    <x v="0"/>
  </r>
  <r>
    <x v="4645"/>
    <n v="4023456789012"/>
    <x v="13"/>
    <s v="Krmivo a maškrty – Mačky"/>
    <s v="Mr. Whiskers"/>
    <n v="4"/>
    <n v="2"/>
    <s v="4"/>
    <s v="Dobrá odmena po očkování."/>
    <d v="2025-11-17T00:00:00"/>
    <n v="0"/>
    <n v="8"/>
    <x v="1"/>
    <x v="10"/>
    <x v="1"/>
  </r>
  <r>
    <x v="4646"/>
    <n v="4063456789014"/>
    <x v="15"/>
    <s v="Krmivo a maškrty – Psy"/>
    <s v="Pupco"/>
    <n v="36"/>
    <n v="1"/>
    <s v="NULL"/>
    <s v=""/>
    <d v="2025-11-17T00:00:00"/>
    <n v="0"/>
    <n v="36"/>
    <x v="0"/>
    <x v="10"/>
    <x v="0"/>
  </r>
  <r>
    <x v="4647"/>
    <n v="4043344556676"/>
    <x v="36"/>
    <s v="Misky a kŕmne doplnky – Mačky"/>
    <s v="Pawtastic"/>
    <n v="10"/>
    <n v="1"/>
    <s v="4"/>
    <s v="Pekná miska, lehce sa čistí."/>
    <d v="2025-11-17T00:00:00"/>
    <n v="0"/>
    <n v="10"/>
    <x v="1"/>
    <x v="10"/>
    <x v="1"/>
  </r>
  <r>
    <x v="4648"/>
    <n v="4050123456794"/>
    <x v="8"/>
    <s v="Starostlivosť a hygiena – Mačky"/>
    <s v="Nordic Tail"/>
    <n v="7.2"/>
    <n v="1"/>
    <s v="5"/>
    <s v="Mačka po koupelaj krásne vonia."/>
    <d v="2025-11-18T00:00:00"/>
    <n v="0"/>
    <n v="7.2"/>
    <x v="2"/>
    <x v="10"/>
    <x v="1"/>
  </r>
  <r>
    <x v="4649"/>
    <n v="4003344556679"/>
    <x v="19"/>
    <s v="Pelechy a nábytok – Psy"/>
    <s v="Canine Craft Industries"/>
    <n v="51.64"/>
    <n v="1"/>
    <s v="4"/>
    <s v="Pes v ňom tráví celé večery."/>
    <d v="2025-11-18T00:00:00"/>
    <n v="0"/>
    <n v="51.64"/>
    <x v="1"/>
    <x v="10"/>
    <x v="0"/>
  </r>
  <r>
    <x v="4650"/>
    <n v="8007890123454"/>
    <x v="53"/>
    <s v="Pelechy a nábytok – Mačky"/>
    <s v="BellaMeow"/>
    <n v="43.64"/>
    <n v="1"/>
    <s v="NULL"/>
    <s v=""/>
    <d v="2025-11-18T00:00:00"/>
    <n v="0"/>
    <n v="43.64"/>
    <x v="0"/>
    <x v="10"/>
    <x v="1"/>
  </r>
  <r>
    <x v="4651"/>
    <n v="8592233445568"/>
    <x v="21"/>
    <s v="Pelechy a nábytok – Psy"/>
    <s v="Pup Republic"/>
    <n v="79.64"/>
    <n v="1"/>
    <s v="5"/>
    <s v="Masívna, krásna bouda, pes ju miluje."/>
    <d v="2025-11-19T00:00:00"/>
    <n v="0"/>
    <n v="79.64"/>
    <x v="2"/>
    <x v="10"/>
    <x v="0"/>
  </r>
  <r>
    <x v="4652"/>
    <n v="4001234567893"/>
    <x v="5"/>
    <s v="Krmivo a maškrty – Mačky"/>
    <s v="Mr. Whiskers"/>
    <n v="9.1999999999999993"/>
    <n v="1"/>
    <s v="NULL"/>
    <s v=""/>
    <d v="2025-11-19T00:00:00"/>
    <n v="0"/>
    <n v="9.1999999999999993"/>
    <x v="0"/>
    <x v="10"/>
    <x v="1"/>
  </r>
  <r>
    <x v="4653"/>
    <n v="4002233445566"/>
    <x v="28"/>
    <s v="Pelechy a nábytok – Mačky"/>
    <s v="Catissime"/>
    <n v="20"/>
    <n v="1"/>
    <s v="4"/>
    <s v="Mäkká, mačka ju hneď zabrala."/>
    <d v="2025-11-19T00:00:00"/>
    <n v="0"/>
    <n v="20"/>
    <x v="1"/>
    <x v="10"/>
    <x v="1"/>
  </r>
  <r>
    <x v="4654"/>
    <n v="4055566778892"/>
    <x v="63"/>
    <s v="Misky a kŕmne doplnky – Mačky"/>
    <s v="PawStyle"/>
    <n v="8"/>
    <n v="1"/>
    <s v="NULL"/>
    <s v=""/>
    <d v="2025-11-20T00:00:00"/>
    <n v="0"/>
    <n v="8"/>
    <x v="0"/>
    <x v="10"/>
    <x v="1"/>
  </r>
  <r>
    <x v="4655"/>
    <n v="4067890123456"/>
    <x v="17"/>
    <s v="Krmivo a maškrty – Mačky"/>
    <s v="PawStyle"/>
    <n v="36"/>
    <n v="1"/>
    <s v="5"/>
    <s v="Mačkám chutí, menej chlpov po byte."/>
    <d v="2025-11-20T00:00:00"/>
    <n v="0"/>
    <n v="36"/>
    <x v="2"/>
    <x v="10"/>
    <x v="1"/>
  </r>
  <r>
    <x v="4656"/>
    <n v="4057890123467"/>
    <x v="32"/>
    <s v="Hračky – Psy"/>
    <s v="Bark&amp;Bone"/>
    <n v="9.6"/>
    <n v="1"/>
    <s v="NULL"/>
    <s v=""/>
    <d v="2025-11-20T00:00:00"/>
    <n v="0"/>
    <n v="9.6"/>
    <x v="0"/>
    <x v="10"/>
    <x v="0"/>
  </r>
  <r>
    <x v="4657"/>
    <n v="4017890123450"/>
    <x v="16"/>
    <s v="Hračky – Psy"/>
    <s v="Dogissimo"/>
    <n v="7.6"/>
    <n v="2"/>
    <s v="4"/>
    <s v="Dobre drží aj po týždni hry."/>
    <d v="2025-11-21T00:00:00"/>
    <n v="0"/>
    <n v="15.2"/>
    <x v="1"/>
    <x v="10"/>
    <x v="0"/>
  </r>
  <r>
    <x v="4658"/>
    <n v="4063456789014"/>
    <x v="15"/>
    <s v="Krmivo a maškrty – Psy"/>
    <s v="Pupco"/>
    <n v="36"/>
    <n v="1"/>
    <s v="NULL"/>
    <s v=""/>
    <d v="2025-11-21T00:00:00"/>
    <n v="0"/>
    <n v="36"/>
    <x v="0"/>
    <x v="10"/>
    <x v="0"/>
  </r>
  <r>
    <x v="4659"/>
    <n v="4045678901234"/>
    <x v="74"/>
    <s v="Krmivo a maškrty – Mačky"/>
    <s v="Pawtastic"/>
    <n v="9.6"/>
    <n v="1"/>
    <s v="5"/>
    <s v="Mačky sa o ne perou, voňavé a šťavnaté."/>
    <d v="2025-11-21T00:00:00"/>
    <n v="0"/>
    <n v="9.6"/>
    <x v="2"/>
    <x v="10"/>
    <x v="1"/>
  </r>
  <r>
    <x v="4660"/>
    <n v="4024567890128"/>
    <x v="78"/>
    <s v="Krmivo a maškrty – Psy"/>
    <s v="Canine Craft Industries"/>
    <n v="40"/>
    <n v="1"/>
    <s v="NULL"/>
    <s v=""/>
    <d v="2025-11-22T00:00:00"/>
    <n v="0"/>
    <n v="40"/>
    <x v="0"/>
    <x v="10"/>
    <x v="0"/>
  </r>
  <r>
    <x v="4661"/>
    <n v="4008901234561"/>
    <x v="43"/>
    <s v="Oblečenie a doplnky – Psy"/>
    <s v="HafHaf Couture"/>
    <n v="40"/>
    <n v="1"/>
    <s v="5"/>
    <s v="Pes ju má aj do mrazu, super strih."/>
    <d v="2025-11-22T00:00:00"/>
    <n v="0"/>
    <n v="40"/>
    <x v="2"/>
    <x v="10"/>
    <x v="0"/>
  </r>
  <r>
    <x v="4662"/>
    <n v="4010123456783"/>
    <x v="6"/>
    <s v="Starostlivosť a hygiena – Mačky"/>
    <s v="BellaMeow"/>
    <n v="14"/>
    <n v="1"/>
    <s v="NULL"/>
    <s v=""/>
    <d v="2025-11-22T00:00:00"/>
    <n v="0"/>
    <n v="14"/>
    <x v="0"/>
    <x v="10"/>
    <x v="1"/>
  </r>
  <r>
    <x v="4663"/>
    <n v="4040123456795"/>
    <x v="2"/>
    <s v="Starostlivosť a hygiena – Psy"/>
    <s v="Dogissimo"/>
    <n v="8.8000000000000007"/>
    <n v="1"/>
    <s v="5"/>
    <s v="Pes vonia a srsť sa leskne."/>
    <d v="2025-11-23T00:00:00"/>
    <n v="0"/>
    <n v="8.8000000000000007"/>
    <x v="2"/>
    <x v="10"/>
    <x v="0"/>
  </r>
  <r>
    <x v="4664"/>
    <n v="4009012345672"/>
    <x v="10"/>
    <s v="Starostlivosť a hygiena – Mačky"/>
    <s v="Mr. Whiskers"/>
    <n v="11.2"/>
    <n v="1"/>
    <s v="NULL"/>
    <s v=""/>
    <d v="2025-11-23T00:00:00"/>
    <n v="0"/>
    <n v="11.2"/>
    <x v="0"/>
    <x v="10"/>
    <x v="1"/>
  </r>
  <r>
    <x v="4665"/>
    <n v="4056789012345"/>
    <x v="11"/>
    <s v="Krmivo a maškrty – Mačky"/>
    <s v="BellaMeow"/>
    <n v="2.4"/>
    <n v="2"/>
    <s v="4"/>
    <s v="Po otvorení príjemne vonia, mačka spokojená."/>
    <d v="2025-11-23T00:00:00"/>
    <n v="0"/>
    <n v="4.8"/>
    <x v="1"/>
    <x v="10"/>
    <x v="1"/>
  </r>
  <r>
    <x v="4666"/>
    <n v="4022345678908"/>
    <x v="55"/>
    <s v="Starostlivosť a hygiena – Psy"/>
    <s v="PawStyle"/>
    <n v="10"/>
    <n v="1"/>
    <s v="NULL"/>
    <s v=""/>
    <d v="2025-11-24T00:00:00"/>
    <n v="0"/>
    <n v="10"/>
    <x v="0"/>
    <x v="10"/>
    <x v="0"/>
  </r>
  <r>
    <x v="4667"/>
    <n v="4005566778891"/>
    <x v="24"/>
    <s v="Oblečenie a doplnky – Psy"/>
    <s v="Canine Craft Industries"/>
    <n v="18"/>
    <n v="1"/>
    <s v="5"/>
    <s v="Pekný a pevný materiál."/>
    <d v="2025-11-24T00:00:00"/>
    <n v="0"/>
    <n v="18"/>
    <x v="2"/>
    <x v="10"/>
    <x v="0"/>
  </r>
  <r>
    <x v="4668"/>
    <n v="8008901234561"/>
    <x v="20"/>
    <s v="Pelechy a nábytok – Psy"/>
    <s v="Tail Trend"/>
    <n v="28"/>
    <n v="1"/>
    <s v="NULL"/>
    <s v=""/>
    <d v="2025-11-24T00:00:00"/>
    <n v="0"/>
    <n v="28"/>
    <x v="0"/>
    <x v="10"/>
    <x v="0"/>
  </r>
  <r>
    <x v="4669"/>
    <n v="4016677889902"/>
    <x v="42"/>
    <s v="Oblečenie a doplnky – Psy"/>
    <s v="Pup Republic"/>
    <n v="22"/>
    <n v="1"/>
    <s v="3"/>
    <s v="Za tú cenu ok."/>
    <d v="2025-11-25T00:00:00"/>
    <n v="0"/>
    <n v="22"/>
    <x v="3"/>
    <x v="10"/>
    <x v="0"/>
  </r>
  <r>
    <x v="4670"/>
    <n v="8592233445568"/>
    <x v="21"/>
    <s v="Pelechy a nábytok – Psy"/>
    <s v="Pup Republic"/>
    <n v="79.64"/>
    <n v="1"/>
    <s v="5"/>
    <s v="Vyšší cena, ale výborná kvalita."/>
    <d v="2025-11-25T00:00:00"/>
    <n v="0"/>
    <n v="79.64"/>
    <x v="2"/>
    <x v="10"/>
    <x v="0"/>
  </r>
  <r>
    <x v="4671"/>
    <n v="4002233445566"/>
    <x v="28"/>
    <s v="Pelechy a nábytok – Mačky"/>
    <s v="Catissime"/>
    <n v="20"/>
    <n v="1"/>
    <s v="NULL"/>
    <s v=""/>
    <d v="2025-11-25T00:00:00"/>
    <n v="0"/>
    <n v="20"/>
    <x v="0"/>
    <x v="10"/>
    <x v="1"/>
  </r>
  <r>
    <x v="4672"/>
    <n v="4029900112244"/>
    <x v="65"/>
    <s v="Starostlivosť a hygiena – Mačky"/>
    <s v="BellaMeow"/>
    <n v="13.6"/>
    <n v="1"/>
    <s v="NULL"/>
    <s v=""/>
    <d v="2025-11-25T00:00:00"/>
    <n v="0"/>
    <n v="13.6"/>
    <x v="0"/>
    <x v="10"/>
    <x v="1"/>
  </r>
  <r>
    <x v="4673"/>
    <n v="4057890123467"/>
    <x v="32"/>
    <s v="Hračky – Psy"/>
    <s v="Bark&amp;Bone"/>
    <n v="9.6"/>
    <n v="1"/>
    <s v="5"/>
    <s v="Pes sa ju nosí aj do postele."/>
    <d v="2025-11-26T00:00:00"/>
    <n v="0"/>
    <n v="9.6"/>
    <x v="2"/>
    <x v="10"/>
    <x v="0"/>
  </r>
  <r>
    <x v="4674"/>
    <n v="4063456789014"/>
    <x v="15"/>
    <s v="Krmivo a maškrty – Psy"/>
    <s v="Pupco"/>
    <n v="36"/>
    <n v="1"/>
    <s v="NULL"/>
    <s v=""/>
    <d v="2025-11-26T00:00:00"/>
    <n v="0"/>
    <n v="36"/>
    <x v="0"/>
    <x v="10"/>
    <x v="0"/>
  </r>
  <r>
    <x v="4675"/>
    <n v="4003344556679"/>
    <x v="19"/>
    <s v="Pelechy a nábytok – Psy"/>
    <s v="Canine Craft Industries"/>
    <n v="51.64"/>
    <n v="1"/>
    <s v="4"/>
    <s v="Hrejivý, ideálne na zimu."/>
    <d v="2025-11-26T00:00:00"/>
    <n v="0"/>
    <n v="51.64"/>
    <x v="1"/>
    <x v="10"/>
    <x v="0"/>
  </r>
  <r>
    <x v="4676"/>
    <n v="4067890123456"/>
    <x v="17"/>
    <s v="Krmivo a maškrty – Mačky"/>
    <s v="PawStyle"/>
    <n v="36"/>
    <n v="1"/>
    <s v="NULL"/>
    <s v=""/>
    <d v="2025-11-27T00:00:00"/>
    <n v="0"/>
    <n v="36"/>
    <x v="0"/>
    <x v="10"/>
    <x v="1"/>
  </r>
  <r>
    <x v="4677"/>
    <n v="4055678901234"/>
    <x v="54"/>
    <s v="Hračky – Mačky"/>
    <s v="Nordic Tail"/>
    <n v="8"/>
    <n v="1"/>
    <s v="5"/>
    <s v="Mačka behá po byte ako šílená."/>
    <d v="2025-11-27T00:00:00"/>
    <n v="0"/>
    <n v="8"/>
    <x v="2"/>
    <x v="10"/>
    <x v="1"/>
  </r>
  <r>
    <x v="4678"/>
    <n v="4023456789012"/>
    <x v="13"/>
    <s v="Krmivo a maškrty – Mačky"/>
    <s v="Mr. Whiskers"/>
    <n v="4"/>
    <n v="1"/>
    <s v="NULL"/>
    <s v=""/>
    <d v="2025-11-27T00:00:00"/>
    <n v="0"/>
    <n v="4"/>
    <x v="0"/>
    <x v="10"/>
    <x v="1"/>
  </r>
  <r>
    <x v="4679"/>
    <n v="4019876501234"/>
    <x v="75"/>
    <s v="Krmivo a maškrty – Mačky"/>
    <s v="BellaMeow"/>
    <n v="1.84"/>
    <n v="4"/>
    <s v="5"/>
    <s v="Mačka vrní už keď otvírám konzervu. Kvalita skvelé."/>
    <d v="2025-11-27T00:00:00"/>
    <n v="0"/>
    <n v="7.36"/>
    <x v="2"/>
    <x v="10"/>
    <x v="1"/>
  </r>
  <r>
    <x v="4680"/>
    <n v="4047890123460"/>
    <x v="40"/>
    <s v="Oblečenie a doplnky – Mačky"/>
    <s v="Pawtastic"/>
    <n v="10"/>
    <n v="1"/>
    <s v="NULL"/>
    <s v=""/>
    <d v="2025-11-28T00:00:00"/>
    <n v="0"/>
    <n v="10"/>
    <x v="0"/>
    <x v="10"/>
    <x v="1"/>
  </r>
  <r>
    <x v="4681"/>
    <n v="4014455667790"/>
    <x v="52"/>
    <s v="Pelechy a nábytok – Ostatné"/>
    <s v="Tlapka design"/>
    <n v="37.6"/>
    <n v="1"/>
    <s v="4"/>
    <s v="Hlodavcaj sa ho hneď oblíbili."/>
    <d v="2025-11-28T00:00:00"/>
    <n v="0"/>
    <n v="37.6"/>
    <x v="1"/>
    <x v="10"/>
    <x v="2"/>
  </r>
  <r>
    <x v="4682"/>
    <n v="8597788990023"/>
    <x v="45"/>
    <s v="Krmivo a maškrty – Králiky"/>
    <s v="Pawsitive Gear"/>
    <n v="6.4"/>
    <n v="1"/>
    <s v="NULL"/>
    <s v=""/>
    <d v="2025-11-28T00:00:00"/>
    <n v="0"/>
    <n v="6.4"/>
    <x v="0"/>
    <x v="10"/>
    <x v="2"/>
  </r>
  <r>
    <x v="4683"/>
    <n v="4021234567894"/>
    <x v="18"/>
    <s v="Starostlivosť a hygiena – Mačky"/>
    <s v="PawStyle"/>
    <n v="8"/>
    <n v="1"/>
    <s v="4"/>
    <s v="Neutralizuje pachy skvelo."/>
    <d v="2025-11-29T00:00:00"/>
    <n v="0"/>
    <n v="8"/>
    <x v="1"/>
    <x v="10"/>
    <x v="1"/>
  </r>
  <r>
    <x v="4684"/>
    <n v="4058899001125"/>
    <x v="50"/>
    <s v="Hračky – Mačky"/>
    <s v="Pawtastic"/>
    <n v="10.4"/>
    <n v="1"/>
    <s v="4"/>
    <s v="Zabaví mačku celé hodiny."/>
    <d v="2025-11-18T00:00:00"/>
    <n v="0"/>
    <n v="10.4"/>
    <x v="1"/>
    <x v="10"/>
    <x v="1"/>
  </r>
  <r>
    <x v="4684"/>
    <n v="4056789012345"/>
    <x v="11"/>
    <s v="Krmivo a maškrty – Mačky"/>
    <s v="BellaMeow"/>
    <n v="2.4"/>
    <n v="2"/>
    <s v="NULL"/>
    <s v=""/>
    <d v="2025-11-29T00:00:00"/>
    <n v="0"/>
    <n v="4.8"/>
    <x v="0"/>
    <x v="10"/>
    <x v="1"/>
  </r>
  <r>
    <x v="4685"/>
    <n v="4007788990022"/>
    <x v="70"/>
    <s v="Pelechy a nábytok – Mačky"/>
    <s v="CozyNest"/>
    <n v="59.64"/>
    <n v="1"/>
    <s v="NULL"/>
    <s v=""/>
    <d v="2025-11-18T00:00:00"/>
    <n v="0"/>
    <n v="59.64"/>
    <x v="0"/>
    <x v="10"/>
    <x v="1"/>
  </r>
  <r>
    <x v="4686"/>
    <n v="8008901234561"/>
    <x v="20"/>
    <s v="Pelechy a nábytok – Psy"/>
    <s v="Tail Trend"/>
    <n v="28"/>
    <n v="1"/>
    <s v="5"/>
    <s v="Príjemne hreje, pes na nej spí stále."/>
    <d v="2025-11-18T00:00:00"/>
    <n v="0"/>
    <n v="28"/>
    <x v="2"/>
    <x v="10"/>
    <x v="0"/>
  </r>
  <r>
    <x v="4687"/>
    <n v="4002233445566"/>
    <x v="28"/>
    <s v="Pelechy a nábytok – Mačky"/>
    <s v="Catissime"/>
    <n v="20"/>
    <n v="1"/>
    <s v="NULL"/>
    <s v=""/>
    <d v="2025-11-19T00:00:00"/>
    <n v="0"/>
    <n v="20"/>
    <x v="0"/>
    <x v="10"/>
    <x v="1"/>
  </r>
  <r>
    <x v="4688"/>
    <n v="4011234567897"/>
    <x v="47"/>
    <s v="Starostlivosť a hygiena – Psy"/>
    <s v="Tlapka design"/>
    <n v="11.6"/>
    <n v="1"/>
    <s v="4"/>
    <s v="Dobre rozčesává hustou srsť."/>
    <d v="2025-11-19T00:00:00"/>
    <n v="0"/>
    <n v="11.6"/>
    <x v="1"/>
    <x v="10"/>
    <x v="0"/>
  </r>
  <r>
    <x v="4689"/>
    <n v="4005566778891"/>
    <x v="24"/>
    <s v="Oblečenie a doplnky – Psy"/>
    <s v="Canine Craft Industries"/>
    <n v="18"/>
    <n v="1"/>
    <s v="5"/>
    <s v="Stylový a kvalitné, vyzerá skvelo."/>
    <d v="2025-11-19T00:00:00"/>
    <n v="0"/>
    <n v="18"/>
    <x v="2"/>
    <x v="10"/>
    <x v="0"/>
  </r>
  <r>
    <x v="4690"/>
    <n v="4029900112244"/>
    <x v="65"/>
    <s v="Starostlivosť a hygiena – Mačky"/>
    <s v="BellaMeow"/>
    <n v="13.6"/>
    <n v="2"/>
    <s v="NULL"/>
    <s v=""/>
    <d v="2025-11-20T00:00:00"/>
    <n v="0"/>
    <n v="27.2"/>
    <x v="0"/>
    <x v="10"/>
    <x v="1"/>
  </r>
  <r>
    <x v="4691"/>
    <n v="4019876501234"/>
    <x v="75"/>
    <s v="Krmivo a maškrty – Mačky"/>
    <s v="BellaMeow"/>
    <n v="1.84"/>
    <n v="4"/>
    <s v="5"/>
    <s v="Mačka vrní už keď otvírám konzervu."/>
    <d v="2025-11-20T00:00:00"/>
    <n v="0"/>
    <n v="7.36"/>
    <x v="2"/>
    <x v="10"/>
    <x v="1"/>
  </r>
  <r>
    <x v="4692"/>
    <n v="4028899001126"/>
    <x v="1"/>
    <s v="Krmivo a maškrty – Psy"/>
    <s v="Pup Republic"/>
    <n v="2.8"/>
    <n v="3"/>
    <s v="NULL"/>
    <s v=""/>
    <d v="2025-11-20T00:00:00"/>
    <n v="0"/>
    <n v="8.3999999999999986"/>
    <x v="0"/>
    <x v="10"/>
    <x v="0"/>
  </r>
  <r>
    <x v="4693"/>
    <n v="4013456789017"/>
    <x v="0"/>
    <s v="Krmivo a maškrty – Psy"/>
    <s v="Snouty"/>
    <n v="6"/>
    <n v="2"/>
    <s v="4"/>
    <s v="Na tréning ideálne veľkosť, pes nadšený."/>
    <d v="2025-11-21T00:00:00"/>
    <n v="0"/>
    <n v="12"/>
    <x v="1"/>
    <x v="10"/>
    <x v="0"/>
  </r>
  <r>
    <x v="4694"/>
    <n v="4040123456795"/>
    <x v="2"/>
    <s v="Starostlivosť a hygiena – Psy"/>
    <s v="Dogissimo"/>
    <n v="8.8000000000000007"/>
    <n v="1"/>
    <s v="5"/>
    <s v="V zime pes nesvrbí, skvelý produkt."/>
    <d v="2025-11-21T00:00:00"/>
    <n v="0"/>
    <n v="8.8000000000000007"/>
    <x v="2"/>
    <x v="10"/>
    <x v="0"/>
  </r>
  <r>
    <x v="4695"/>
    <n v="8593456789012"/>
    <x v="4"/>
    <s v="Krmivo a maškrty – Mačky"/>
    <s v="Catissime"/>
    <n v="42"/>
    <n v="1"/>
    <s v="NULL"/>
    <s v=""/>
    <d v="2025-11-21T00:00:00"/>
    <n v="0"/>
    <n v="42"/>
    <x v="0"/>
    <x v="10"/>
    <x v="1"/>
  </r>
  <r>
    <x v="4696"/>
    <n v="4001234567893"/>
    <x v="5"/>
    <s v="Krmivo a maškrty – Mačky"/>
    <s v="Mr. Whiskers"/>
    <n v="9.1999999999999993"/>
    <n v="2"/>
    <s v="5"/>
    <s v="Mačky sa pochutnávají, dobrá cena."/>
    <d v="2025-11-22T00:00:00"/>
    <n v="0"/>
    <n v="18.399999999999999"/>
    <x v="2"/>
    <x v="10"/>
    <x v="1"/>
  </r>
  <r>
    <x v="4697"/>
    <n v="4018901234567"/>
    <x v="76"/>
    <s v="Oblečenie a doplnky – Mačky"/>
    <s v="Mr. Whiskers"/>
    <n v="20"/>
    <n v="1"/>
    <s v="NULL"/>
    <s v=""/>
    <d v="2025-11-22T00:00:00"/>
    <n v="0"/>
    <n v="20"/>
    <x v="0"/>
    <x v="10"/>
    <x v="1"/>
  </r>
  <r>
    <x v="4698"/>
    <n v="4009012345672"/>
    <x v="10"/>
    <s v="Starostlivosť a hygiena – Mačky"/>
    <s v="Mr. Whiskers"/>
    <n v="11.2"/>
    <n v="1"/>
    <s v="4"/>
    <s v="Dobre hrudkuje, bez zápachu."/>
    <d v="2025-11-22T00:00:00"/>
    <n v="0"/>
    <n v="11.2"/>
    <x v="1"/>
    <x v="10"/>
    <x v="1"/>
  </r>
  <r>
    <x v="4699"/>
    <n v="4002233445566"/>
    <x v="28"/>
    <s v="Pelechy a nábytok – Mačky"/>
    <s v="Catissime"/>
    <n v="20"/>
    <n v="1"/>
    <s v="NULL"/>
    <s v=""/>
    <d v="2025-11-22T00:00:00"/>
    <n v="0"/>
    <n v="20"/>
    <x v="0"/>
    <x v="10"/>
    <x v="1"/>
  </r>
  <r>
    <x v="4700"/>
    <n v="4006677889904"/>
    <x v="26"/>
    <s v="Krmivo a maškrty – Mačky"/>
    <s v="Catissime"/>
    <n v="2"/>
    <n v="3"/>
    <s v="5"/>
    <s v="Kvalitné maso, mačky spokojené."/>
    <d v="2025-11-23T00:00:00"/>
    <n v="0"/>
    <n v="6"/>
    <x v="2"/>
    <x v="10"/>
    <x v="1"/>
  </r>
  <r>
    <x v="4701"/>
    <n v="4055566778892"/>
    <x v="63"/>
    <s v="Misky a kŕmne doplnky – Mačky"/>
    <s v="PawStyle"/>
    <n v="8"/>
    <n v="1"/>
    <s v="NULL"/>
    <s v=""/>
    <d v="2025-11-23T00:00:00"/>
    <n v="0"/>
    <n v="8"/>
    <x v="0"/>
    <x v="10"/>
    <x v="1"/>
  </r>
  <r>
    <x v="4702"/>
    <n v="4008901234561"/>
    <x v="43"/>
    <s v="Oblečenie a doplnky – Psy"/>
    <s v="HafHaf Couture"/>
    <n v="40"/>
    <n v="1"/>
    <s v="5"/>
    <s v="I do snehu ideálne, nepromokne."/>
    <d v="2025-11-23T00:00:00"/>
    <n v="0"/>
    <n v="40"/>
    <x v="2"/>
    <x v="10"/>
    <x v="0"/>
  </r>
  <r>
    <x v="4703"/>
    <n v="4017890123450"/>
    <x v="16"/>
    <s v="Hračky – Psy"/>
    <s v="Dogissimo"/>
    <n v="7.6"/>
    <n v="1"/>
    <s v="3"/>
    <s v="Za tú cenu ok."/>
    <d v="2025-11-24T00:00:00"/>
    <n v="0"/>
    <n v="7.6"/>
    <x v="3"/>
    <x v="10"/>
    <x v="0"/>
  </r>
  <r>
    <x v="4704"/>
    <n v="8002233445569"/>
    <x v="72"/>
    <s v="Oblečenie a doplnky – Psy"/>
    <s v="Bark&amp;Bone"/>
    <n v="20"/>
    <n v="1"/>
    <s v="NULL"/>
    <s v=""/>
    <d v="2025-11-24T00:00:00"/>
    <n v="0"/>
    <n v="20"/>
    <x v="0"/>
    <x v="10"/>
    <x v="0"/>
  </r>
  <r>
    <x v="4705"/>
    <n v="4003344556679"/>
    <x v="19"/>
    <s v="Pelechy a nábytok – Psy"/>
    <s v="Canine Craft Industries"/>
    <n v="51.64"/>
    <n v="1"/>
    <s v="4"/>
    <s v="Teplý, pes na ňom tráví celé dni."/>
    <d v="2025-11-24T00:00:00"/>
    <n v="0"/>
    <n v="51.64"/>
    <x v="1"/>
    <x v="10"/>
    <x v="0"/>
  </r>
  <r>
    <x v="4706"/>
    <n v="4027788990013"/>
    <x v="9"/>
    <s v="Starostlivosť a hygiena – Psy"/>
    <s v="Dogissimo"/>
    <n v="8"/>
    <n v="1"/>
    <s v="NULL"/>
    <s v=""/>
    <d v="2025-11-25T00:00:00"/>
    <n v="0"/>
    <n v="8"/>
    <x v="0"/>
    <x v="10"/>
    <x v="0"/>
  </r>
  <r>
    <x v="4707"/>
    <n v="4022345678908"/>
    <x v="55"/>
    <s v="Starostlivosť a hygiena – Psy"/>
    <s v="PawStyle"/>
    <n v="10"/>
    <n v="1"/>
    <s v="4"/>
    <s v="Presné a pohodlné do ruky."/>
    <d v="2025-11-25T00:00:00"/>
    <n v="0"/>
    <n v="10"/>
    <x v="1"/>
    <x v="10"/>
    <x v="0"/>
  </r>
  <r>
    <x v="4708"/>
    <n v="4056789012345"/>
    <x v="11"/>
    <s v="Krmivo a maškrty – Mačky"/>
    <s v="BellaMeow"/>
    <n v="2.4"/>
    <n v="2"/>
    <s v="5"/>
    <s v="Mačky milují, vonia prírodne."/>
    <d v="2025-11-25T00:00:00"/>
    <n v="0"/>
    <n v="4.8"/>
    <x v="2"/>
    <x v="10"/>
    <x v="1"/>
  </r>
  <r>
    <x v="4709"/>
    <n v="4029900112244"/>
    <x v="65"/>
    <s v="Starostlivosť a hygiena – Mačky"/>
    <s v="BellaMeow"/>
    <n v="13.6"/>
    <n v="1"/>
    <s v="NULL"/>
    <s v=""/>
    <d v="2025-11-25T00:00:00"/>
    <n v="0"/>
    <n v="13.6"/>
    <x v="0"/>
    <x v="10"/>
    <x v="1"/>
  </r>
  <r>
    <x v="4710"/>
    <n v="4019876501234"/>
    <x v="75"/>
    <s v="Krmivo a maškrty – Mačky"/>
    <s v="BellaMeow"/>
    <n v="1.84"/>
    <n v="3"/>
    <s v="4"/>
    <s v="Dobrá konzerva, ale rýchlo mizí."/>
    <d v="2025-11-25T00:00:00"/>
    <n v="0"/>
    <n v="5.5200000000000005"/>
    <x v="1"/>
    <x v="10"/>
    <x v="1"/>
  </r>
  <r>
    <x v="4711"/>
    <n v="4023456789012"/>
    <x v="13"/>
    <s v="Krmivo a maškrty – Mačky"/>
    <s v="Mr. Whiskers"/>
    <n v="4"/>
    <n v="1"/>
    <s v="NULL"/>
    <s v=""/>
    <d v="2025-11-26T00:00:00"/>
    <n v="0"/>
    <n v="4"/>
    <x v="0"/>
    <x v="10"/>
    <x v="1"/>
  </r>
  <r>
    <x v="4712"/>
    <n v="4006677889904"/>
    <x v="26"/>
    <s v="Krmivo a maškrty – Mačky"/>
    <s v="Catissime"/>
    <n v="2"/>
    <n v="4"/>
    <s v="5"/>
    <s v="Mačky ju zbožňují, skvelá vôňa a textura."/>
    <d v="2025-11-27T00:00:00"/>
    <n v="0"/>
    <n v="8"/>
    <x v="2"/>
    <x v="10"/>
    <x v="1"/>
  </r>
  <r>
    <x v="4713"/>
    <n v="4027788990013"/>
    <x v="9"/>
    <s v="Starostlivosť a hygiena – Psy"/>
    <s v="Dogissimo"/>
    <n v="8"/>
    <n v="1"/>
    <s v="NULL"/>
    <s v=""/>
    <d v="2025-11-27T00:00:00"/>
    <n v="0"/>
    <n v="8"/>
    <x v="0"/>
    <x v="10"/>
    <x v="0"/>
  </r>
  <r>
    <x v="4714"/>
    <n v="4056789012345"/>
    <x v="11"/>
    <s v="Krmivo a maškrty – Mačky"/>
    <s v="BellaMeow"/>
    <n v="2.4"/>
    <n v="2"/>
    <s v="4"/>
    <s v="Kvalita odpovídá cene, spokojenost."/>
    <d v="2025-11-27T00:00:00"/>
    <n v="0"/>
    <n v="4.8"/>
    <x v="1"/>
    <x v="10"/>
    <x v="1"/>
  </r>
  <r>
    <x v="4715"/>
    <n v="4007788990022"/>
    <x v="70"/>
    <s v="Pelechy a nábytok – Mačky"/>
    <s v="CozyNest"/>
    <n v="59.64"/>
    <n v="1"/>
    <s v="NULL"/>
    <s v=""/>
    <d v="2025-11-27T00:00:00"/>
    <n v="0"/>
    <n v="59.64"/>
    <x v="0"/>
    <x v="10"/>
    <x v="1"/>
  </r>
  <r>
    <x v="4716"/>
    <n v="4005566778891"/>
    <x v="24"/>
    <s v="Oblečenie a doplnky – Psy"/>
    <s v="Canine Craft Industries"/>
    <n v="18"/>
    <n v="1"/>
    <s v="4"/>
    <s v="Hezky sedí, stylový."/>
    <d v="2025-11-27T00:00:00"/>
    <n v="0"/>
    <n v="18"/>
    <x v="1"/>
    <x v="10"/>
    <x v="0"/>
  </r>
  <r>
    <x v="4717"/>
    <n v="4003344556679"/>
    <x v="19"/>
    <s v="Pelechy a nábytok – Psy"/>
    <s v="Canine Craft Industries"/>
    <n v="51.64"/>
    <n v="1"/>
    <s v="NULL"/>
    <s v=""/>
    <d v="2025-11-28T00:00:00"/>
    <n v="0"/>
    <n v="51.64"/>
    <x v="0"/>
    <x v="10"/>
    <x v="0"/>
  </r>
  <r>
    <x v="4718"/>
    <n v="4016677889902"/>
    <x v="42"/>
    <s v="Oblečenie a doplnky – Psy"/>
    <s v="Pup Republic"/>
    <n v="22"/>
    <n v="1"/>
    <s v="4"/>
    <s v="Pes vyzerá skvelo a je mu teplo."/>
    <d v="2025-11-28T00:00:00"/>
    <n v="0"/>
    <n v="22"/>
    <x v="1"/>
    <x v="10"/>
    <x v="0"/>
  </r>
  <r>
    <x v="4719"/>
    <n v="8597890123456"/>
    <x v="25"/>
    <s v="Oblečenie a doplnky – Mačky"/>
    <s v="Catissime"/>
    <n v="18.8"/>
    <n v="1"/>
    <s v="NULL"/>
    <s v=""/>
    <d v="2025-11-28T00:00:00"/>
    <n v="0"/>
    <n v="18.8"/>
    <x v="0"/>
    <x v="10"/>
    <x v="1"/>
  </r>
  <r>
    <x v="4720"/>
    <n v="4069012345682"/>
    <x v="23"/>
    <s v="Oblečenie a doplnky – Mačky"/>
    <s v="Catissime"/>
    <n v="26"/>
    <n v="1"/>
    <s v="5"/>
    <s v="Sedí perfektne, krásne hreje."/>
    <d v="2025-11-28T00:00:00"/>
    <n v="0"/>
    <n v="26"/>
    <x v="2"/>
    <x v="10"/>
    <x v="1"/>
  </r>
  <r>
    <x v="4721"/>
    <n v="8008901234561"/>
    <x v="20"/>
    <s v="Pelechy a nábytok – Psy"/>
    <s v="Tail Trend"/>
    <n v="28"/>
    <n v="1"/>
    <s v="5"/>
    <s v="Mäkučká a teplá, pes ju miluje."/>
    <d v="2025-11-29T00:00:00"/>
    <n v="0"/>
    <n v="28"/>
    <x v="2"/>
    <x v="10"/>
    <x v="0"/>
  </r>
  <r>
    <x v="4722"/>
    <n v="4026677889902"/>
    <x v="12"/>
    <s v="Misky a kŕmne doplnky – Ostatné"/>
    <s v="Pawsitive Gear"/>
    <n v="7.6"/>
    <n v="1"/>
    <s v="NULL"/>
    <s v=""/>
    <d v="2025-11-29T00:00:00"/>
    <n v="0"/>
    <n v="7.6"/>
    <x v="0"/>
    <x v="10"/>
    <x v="2"/>
  </r>
  <r>
    <x v="4723"/>
    <n v="4017890123450"/>
    <x v="16"/>
    <s v="Hračky – Psy"/>
    <s v="Dogissimo"/>
    <n v="7.6"/>
    <n v="2"/>
    <s v="5"/>
    <s v="Pes sa s nej nenudí, výdrž super."/>
    <d v="2025-11-29T00:00:00"/>
    <n v="0"/>
    <n v="15.2"/>
    <x v="2"/>
    <x v="10"/>
    <x v="0"/>
  </r>
  <r>
    <x v="4724"/>
    <n v="4040123456795"/>
    <x v="2"/>
    <s v="Starostlivosť a hygiena – Psy"/>
    <s v="Dogissimo"/>
    <n v="8.8000000000000007"/>
    <n v="1"/>
    <s v="4"/>
    <s v="Jemný, ideálne po zimní procházce."/>
    <d v="2025-11-29T00:00:00"/>
    <n v="0"/>
    <n v="8.8000000000000007"/>
    <x v="1"/>
    <x v="10"/>
    <x v="0"/>
  </r>
  <r>
    <x v="4725"/>
    <n v="4051234567806"/>
    <x v="84"/>
    <s v="Starostlivosť a hygiena – Ostatné"/>
    <s v="Pawsitive Gear"/>
    <n v="5.2"/>
    <n v="1"/>
    <s v="NULL"/>
    <s v=""/>
    <d v="2025-11-29T00:00:00"/>
    <n v="0"/>
    <n v="5.2"/>
    <x v="0"/>
    <x v="10"/>
    <x v="2"/>
  </r>
  <r>
    <x v="4726"/>
    <n v="4028899001126"/>
    <x v="1"/>
    <s v="Krmivo a maškrty – Psy"/>
    <s v="Pup Republic"/>
    <n v="2.8"/>
    <n v="3"/>
    <s v="5"/>
    <s v="Na zimu ideálne, výborná kvalita."/>
    <d v="2025-11-29T00:00:00"/>
    <n v="0"/>
    <n v="8.3999999999999986"/>
    <x v="2"/>
    <x v="10"/>
    <x v="0"/>
  </r>
  <r>
    <x v="4727"/>
    <n v="4013456789017"/>
    <x v="0"/>
    <s v="Krmivo a maškrty – Psy"/>
    <s v="Snouty"/>
    <n v="6"/>
    <n v="1"/>
    <s v="NULL"/>
    <s v=""/>
    <d v="2025-11-29T00:00:00"/>
    <n v="0"/>
    <n v="6"/>
    <x v="0"/>
    <x v="10"/>
    <x v="0"/>
  </r>
  <r>
    <x v="4728"/>
    <n v="4047890123460"/>
    <x v="40"/>
    <s v="Oblečenie a doplnky – Mačky"/>
    <s v="Pawtastic"/>
    <n v="10"/>
    <n v="1"/>
    <s v="NULL"/>
    <s v=""/>
    <d v="2025-11-29T00:00:00"/>
    <n v="0"/>
    <n v="10"/>
    <x v="0"/>
    <x v="10"/>
    <x v="1"/>
  </r>
  <r>
    <x v="4729"/>
    <n v="4057890123467"/>
    <x v="32"/>
    <s v="Hračky – Psy"/>
    <s v="Bark&amp;Bone"/>
    <n v="9.6"/>
    <n v="1"/>
    <s v="3"/>
    <s v="Za tú cenu ok."/>
    <d v="2025-11-29T00:00:00"/>
    <n v="0"/>
    <n v="9.6"/>
    <x v="3"/>
    <x v="10"/>
    <x v="0"/>
  </r>
  <r>
    <x v="4730"/>
    <n v="4014455667790"/>
    <x v="52"/>
    <s v="Pelechy a nábytok – Ostatné"/>
    <s v="Tlapka design"/>
    <n v="37.6"/>
    <n v="1"/>
    <s v="NULL"/>
    <s v=""/>
    <d v="2025-11-30T00:00:00"/>
    <n v="0"/>
    <n v="37.6"/>
    <x v="0"/>
    <x v="10"/>
    <x v="2"/>
  </r>
  <r>
    <x v="4731"/>
    <n v="8592233445568"/>
    <x v="21"/>
    <s v="Pelechy a nábytok – Psy"/>
    <s v="Pup Republic"/>
    <n v="79.64"/>
    <n v="1"/>
    <s v="4"/>
    <s v="Kvalitné drevo, pes v nej rád spí."/>
    <d v="2025-11-30T00:00:00"/>
    <n v="0"/>
    <n v="79.64"/>
    <x v="1"/>
    <x v="10"/>
    <x v="0"/>
  </r>
  <r>
    <x v="4732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733"/>
    <n v="8593456789012"/>
    <x v="4"/>
    <s v="Krmivo a maškrty – Mačky"/>
    <s v="Catissime"/>
    <n v="42"/>
    <n v="1"/>
    <s v="5"/>
    <s v="Vysoce kvalitné, mačky sú spokojené."/>
    <d v="2025-11-30T00:00:00"/>
    <n v="0"/>
    <n v="42"/>
    <x v="2"/>
    <x v="10"/>
    <x v="1"/>
  </r>
  <r>
    <x v="4734"/>
    <n v="4063456789014"/>
    <x v="15"/>
    <s v="Krmivo a maškrty – Psy"/>
    <s v="Pupco"/>
    <n v="36"/>
    <n v="1"/>
    <s v="4"/>
    <s v="Pes má energii, srsť lesklá."/>
    <d v="2025-11-30T00:00:00"/>
    <n v="0"/>
    <n v="36"/>
    <x v="1"/>
    <x v="10"/>
    <x v="0"/>
  </r>
  <r>
    <x v="4735"/>
    <n v="4066677889903"/>
    <x v="51"/>
    <s v="Misky a kŕmne doplnky – Mačky"/>
    <s v="Nordic Tail"/>
    <n v="59.64"/>
    <n v="1"/>
    <s v="NULL"/>
    <s v=""/>
    <d v="2025-11-30T00:00:00"/>
    <n v="0"/>
    <n v="59.64"/>
    <x v="0"/>
    <x v="10"/>
    <x v="1"/>
  </r>
  <r>
    <x v="4736"/>
    <n v="4062345678917"/>
    <x v="61"/>
    <s v="Pelechy a nábytok – Mačky"/>
    <s v="PawStyle"/>
    <n v="59.64"/>
    <n v="1"/>
    <s v="5"/>
    <s v="Mačky sa na ňom vybláznaj celé hodiny."/>
    <d v="2025-11-30T00:00:00"/>
    <n v="0"/>
    <n v="59.64"/>
    <x v="2"/>
    <x v="10"/>
    <x v="1"/>
  </r>
  <r>
    <x v="4737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4738"/>
    <n v="4020123456783"/>
    <x v="41"/>
    <s v="Oblečenie a doplnky – Psy"/>
    <s v="Pup Republic"/>
    <n v="22"/>
    <n v="1"/>
    <s v="4"/>
    <s v="Dobre sedí, vhodné na podzimní chlad."/>
    <d v="2025-11-30T00:00:00"/>
    <n v="0"/>
    <n v="22"/>
    <x v="1"/>
    <x v="10"/>
    <x v="0"/>
  </r>
  <r>
    <x v="4739"/>
    <n v="4002233445566"/>
    <x v="28"/>
    <s v="Pelechy a nábytok – Mačky"/>
    <s v="Catissime"/>
    <n v="20"/>
    <n v="1"/>
    <s v="5"/>
    <s v="Mäkká, ideálne na okno alebo gauč."/>
    <d v="2025-11-30T00:00:00"/>
    <n v="0"/>
    <n v="20"/>
    <x v="2"/>
    <x v="10"/>
    <x v="1"/>
  </r>
  <r>
    <x v="4740"/>
    <n v="4017788990015"/>
    <x v="62"/>
    <s v="Krmivo a maškrty – Mačky"/>
    <s v="Mr. Whiskers"/>
    <n v="4.8"/>
    <n v="2"/>
    <s v="4"/>
    <s v="Chrumkavé, mačka sa je žiada každý deň."/>
    <d v="2025-11-30T00:00:00"/>
    <n v="0"/>
    <n v="9.6"/>
    <x v="1"/>
    <x v="10"/>
    <x v="1"/>
  </r>
  <r>
    <x v="4741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742"/>
    <n v="4061011223346"/>
    <x v="3"/>
    <s v="Oblečenie a doplnky – Psy"/>
    <s v="Tail Trend"/>
    <n v="19.600000000000001"/>
    <n v="1"/>
    <s v="5"/>
    <s v="Pevné a príjemné do ruky aj v zime."/>
    <d v="2025-11-30T00:00:00"/>
    <n v="0"/>
    <n v="19.600000000000001"/>
    <x v="2"/>
    <x v="10"/>
    <x v="0"/>
  </r>
  <r>
    <x v="4743"/>
    <n v="8005678901239"/>
    <x v="73"/>
    <s v="Oblečenie a doplnky – Psy"/>
    <s v="Bark&amp;Bone"/>
    <n v="20.8"/>
    <n v="1"/>
    <s v="NULL"/>
    <s v=""/>
    <d v="2025-11-30T00:00:00"/>
    <n v="0"/>
    <n v="20.8"/>
    <x v="0"/>
    <x v="10"/>
    <x v="0"/>
  </r>
  <r>
    <x v="4744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745"/>
    <n v="4008901234561"/>
    <x v="43"/>
    <s v="Oblečenie a doplnky – Psy"/>
    <s v="HafHaf Couture"/>
    <n v="40"/>
    <n v="1"/>
    <s v="5"/>
    <s v="Vysoce kvalitné, vodeodolná, odporúčam."/>
    <d v="2025-11-30T00:00:00"/>
    <n v="0"/>
    <n v="40"/>
    <x v="2"/>
    <x v="10"/>
    <x v="0"/>
  </r>
  <r>
    <x v="4746"/>
    <n v="4043344556676"/>
    <x v="36"/>
    <s v="Misky a kŕmne doplnky – Mačky"/>
    <s v="Pawtastic"/>
    <n v="10"/>
    <n v="1"/>
    <s v="NULL"/>
    <s v=""/>
    <d v="2025-11-30T00:00:00"/>
    <n v="0"/>
    <n v="10"/>
    <x v="0"/>
    <x v="10"/>
    <x v="1"/>
  </r>
  <r>
    <x v="4747"/>
    <n v="4023456789012"/>
    <x v="13"/>
    <s v="Krmivo a maškrty – Mačky"/>
    <s v="Mr. Whiskers"/>
    <n v="4"/>
    <n v="1"/>
    <s v="NULL"/>
    <s v=""/>
    <d v="2025-11-30T00:00:00"/>
    <n v="0"/>
    <n v="4"/>
    <x v="0"/>
    <x v="10"/>
    <x v="1"/>
  </r>
  <r>
    <x v="4748"/>
    <n v="4055566778892"/>
    <x v="63"/>
    <s v="Misky a kŕmne doplnky – Mačky"/>
    <s v="PawStyle"/>
    <n v="8"/>
    <n v="1"/>
    <s v="4"/>
    <s v="Dobre sa čistí, stabilní."/>
    <d v="2025-11-30T00:00:00"/>
    <n v="0"/>
    <n v="8"/>
    <x v="1"/>
    <x v="10"/>
    <x v="1"/>
  </r>
  <r>
    <x v="4749"/>
    <n v="4045678901234"/>
    <x v="74"/>
    <s v="Krmivo a maškrty – Mačky"/>
    <s v="Pawtastic"/>
    <n v="9.6"/>
    <n v="1"/>
    <s v="5"/>
    <s v="Mačka miluje rybaciu príchuť."/>
    <d v="2025-11-30T00:00:00"/>
    <n v="0"/>
    <n v="9.6"/>
    <x v="2"/>
    <x v="10"/>
    <x v="1"/>
  </r>
  <r>
    <x v="4750"/>
    <n v="8596677889011"/>
    <x v="37"/>
    <s v="Krmivo a maškrty – Mačky"/>
    <s v="Catissime"/>
    <n v="35.200000000000003"/>
    <n v="1"/>
    <s v="NULL"/>
    <s v=""/>
    <d v="2025-11-30T00:00:00"/>
    <n v="0"/>
    <n v="35.200000000000003"/>
    <x v="0"/>
    <x v="10"/>
    <x v="1"/>
  </r>
  <r>
    <x v="4751"/>
    <n v="4050123456794"/>
    <x v="8"/>
    <s v="Starostlivosť a hygiena – Mačky"/>
    <s v="Nordic Tail"/>
    <n v="7.2"/>
    <n v="1"/>
    <s v="4"/>
    <s v="Pekne vonia, srsť sa leskne."/>
    <d v="2025-11-30T00:00:00"/>
    <n v="0"/>
    <n v="7.2"/>
    <x v="1"/>
    <x v="10"/>
    <x v="1"/>
  </r>
  <r>
    <x v="4752"/>
    <n v="4002233445566"/>
    <x v="28"/>
    <s v="Pelechy a nábytok – Mačky"/>
    <s v="Catissime"/>
    <n v="20"/>
    <n v="1"/>
    <s v="5"/>
    <s v="Mäkučká deka pre chladné noci."/>
    <d v="2025-11-30T00:00:00"/>
    <n v="0"/>
    <n v="20"/>
    <x v="2"/>
    <x v="10"/>
    <x v="1"/>
  </r>
  <r>
    <x v="4753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754"/>
    <n v="4027788990013"/>
    <x v="9"/>
    <s v="Starostlivosť a hygiena – Psy"/>
    <s v="Dogissimo"/>
    <n v="8"/>
    <n v="1"/>
    <s v="4"/>
    <s v="Voňavý a jemný k srsti."/>
    <d v="2025-11-30T00:00:00"/>
    <n v="0"/>
    <n v="8"/>
    <x v="1"/>
    <x v="10"/>
    <x v="0"/>
  </r>
  <r>
    <x v="4755"/>
    <n v="4056789012345"/>
    <x v="11"/>
    <s v="Krmivo a maškrty – Mačky"/>
    <s v="BellaMeow"/>
    <n v="2.4"/>
    <n v="1"/>
    <s v="NULL"/>
    <s v=""/>
    <d v="2025-11-30T00:00:00"/>
    <n v="0"/>
    <n v="2.4"/>
    <x v="0"/>
    <x v="10"/>
    <x v="1"/>
  </r>
  <r>
    <x v="4756"/>
    <n v="4003344556679"/>
    <x v="19"/>
    <s v="Pelechy a nábytok – Psy"/>
    <s v="Canine Craft Industries"/>
    <n v="51.64"/>
    <n v="1"/>
    <s v="5"/>
    <s v="Pes v ňom spí celou noc, hrejivý."/>
    <d v="2025-11-30T00:00:00"/>
    <n v="0"/>
    <n v="51.64"/>
    <x v="2"/>
    <x v="10"/>
    <x v="0"/>
  </r>
  <r>
    <x v="4757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4758"/>
    <n v="4006677889904"/>
    <x v="26"/>
    <s v="Krmivo a maškrty – Mačky"/>
    <s v="Catissime"/>
    <n v="2"/>
    <n v="2"/>
    <s v="5"/>
    <s v="Mačky sa mohou utĺcť, šťavnaté maso."/>
    <d v="2025-11-30T00:00:00"/>
    <n v="0"/>
    <n v="4"/>
    <x v="2"/>
    <x v="10"/>
    <x v="1"/>
  </r>
  <r>
    <x v="4759"/>
    <n v="4067890123456"/>
    <x v="17"/>
    <s v="Krmivo a maškrty – Mačky"/>
    <s v="PawStyle"/>
    <n v="36"/>
    <n v="1"/>
    <s v="4"/>
    <s v="Pomohly s chlupovýmaj koulemi, chutnají."/>
    <d v="2025-11-30T00:00:00"/>
    <n v="0"/>
    <n v="36"/>
    <x v="1"/>
    <x v="10"/>
    <x v="1"/>
  </r>
  <r>
    <x v="4760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4761"/>
    <n v="4025566778891"/>
    <x v="38"/>
    <s v="Misky a kŕmne doplnky – Mačky"/>
    <s v="Catissime"/>
    <n v="51.64"/>
    <n v="1"/>
    <s v="5"/>
    <s v="V zime perfektní, voda stále čerstvá."/>
    <d v="2025-11-30T00:00:00"/>
    <n v="0"/>
    <n v="51.64"/>
    <x v="2"/>
    <x v="10"/>
    <x v="1"/>
  </r>
  <r>
    <x v="4762"/>
    <n v="4042233445567"/>
    <x v="57"/>
    <s v="Pelechy a nábytok – Mačky"/>
    <s v="CozyNest"/>
    <n v="51.64"/>
    <n v="1"/>
    <s v="4"/>
    <s v="Mäkký, mačka v ňom spí celé dni."/>
    <d v="2025-11-30T00:00:00"/>
    <n v="0"/>
    <n v="51.64"/>
    <x v="1"/>
    <x v="10"/>
    <x v="1"/>
  </r>
  <r>
    <x v="4763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764"/>
    <n v="4040123456795"/>
    <x v="2"/>
    <s v="Starostlivosť a hygiena – Psy"/>
    <s v="Dogissimo"/>
    <n v="8.8000000000000007"/>
    <n v="1"/>
    <s v="5"/>
    <s v="Perfektní na zimní srsť, bez podráždenie."/>
    <d v="2025-11-30T00:00:00"/>
    <n v="0"/>
    <n v="8.8000000000000007"/>
    <x v="2"/>
    <x v="10"/>
    <x v="0"/>
  </r>
  <r>
    <x v="4765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4766"/>
    <n v="8593456789012"/>
    <x v="4"/>
    <s v="Krmivo a maškrty – Mačky"/>
    <s v="Catissime"/>
    <n v="42"/>
    <n v="1"/>
    <s v="5"/>
    <s v="Skvelá kvalita, výborné pre zimní období."/>
    <d v="2025-11-30T00:00:00"/>
    <n v="0"/>
    <n v="42"/>
    <x v="2"/>
    <x v="10"/>
    <x v="1"/>
  </r>
  <r>
    <x v="4767"/>
    <n v="4023456789012"/>
    <x v="13"/>
    <s v="Krmivo a maškrty – Mačky"/>
    <s v="Mr. Whiskers"/>
    <n v="4"/>
    <n v="1"/>
    <s v="NULL"/>
    <s v=""/>
    <d v="2025-11-30T00:00:00"/>
    <n v="0"/>
    <n v="4"/>
    <x v="0"/>
    <x v="10"/>
    <x v="1"/>
  </r>
  <r>
    <x v="4768"/>
    <n v="4017890123450"/>
    <x v="16"/>
    <s v="Hračky – Psy"/>
    <s v="Dogissimo"/>
    <n v="7.6"/>
    <n v="1"/>
    <s v="4"/>
    <s v="Obľúbená hračka, píska aj po týždni."/>
    <d v="2025-11-30T00:00:00"/>
    <n v="0"/>
    <n v="7.6"/>
    <x v="1"/>
    <x v="10"/>
    <x v="0"/>
  </r>
  <r>
    <x v="4769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770"/>
    <n v="4027788990013"/>
    <x v="9"/>
    <s v="Starostlivosť a hygiena – Psy"/>
    <s v="Dogissimo"/>
    <n v="8"/>
    <n v="1"/>
    <s v="4"/>
    <s v="Jemný, srsť sa krásne leskne."/>
    <d v="2025-11-30T00:00:00"/>
    <n v="0"/>
    <n v="8"/>
    <x v="1"/>
    <x v="10"/>
    <x v="0"/>
  </r>
  <r>
    <x v="4771"/>
    <n v="4045678901234"/>
    <x v="74"/>
    <s v="Krmivo a maškrty – Mačky"/>
    <s v="Pawtastic"/>
    <n v="9.6"/>
    <n v="2"/>
    <s v="5"/>
    <s v="Vonia čerstvo, mačky sa o ne perou."/>
    <d v="2025-11-30T00:00:00"/>
    <n v="0"/>
    <n v="19.2"/>
    <x v="2"/>
    <x v="10"/>
    <x v="1"/>
  </r>
  <r>
    <x v="4772"/>
    <n v="4069012345682"/>
    <x v="23"/>
    <s v="Oblečenie a doplnky – Mačky"/>
    <s v="Catissime"/>
    <n v="26"/>
    <n v="1"/>
    <s v="NULL"/>
    <s v=""/>
    <d v="2025-11-30T00:00:00"/>
    <n v="0"/>
    <n v="26"/>
    <x v="0"/>
    <x v="10"/>
    <x v="1"/>
  </r>
  <r>
    <x v="4773"/>
    <n v="4029900112244"/>
    <x v="65"/>
    <s v="Starostlivosť a hygiena – Mačky"/>
    <s v="BellaMeow"/>
    <n v="13.6"/>
    <n v="1"/>
    <s v="5"/>
    <s v="Vonia po levanduli, ideálne na zimu."/>
    <d v="2025-11-30T00:00:00"/>
    <n v="0"/>
    <n v="13.6"/>
    <x v="2"/>
    <x v="10"/>
    <x v="1"/>
  </r>
  <r>
    <x v="4774"/>
    <n v="4010123456783"/>
    <x v="6"/>
    <s v="Starostlivosť a hygiena – Mačky"/>
    <s v="BellaMeow"/>
    <n v="14"/>
    <n v="1"/>
    <s v="5"/>
    <s v="Skvelo pohlcuje pachy, spokojenost."/>
    <d v="2025-11-30T00:00:00"/>
    <n v="0"/>
    <n v="14"/>
    <x v="2"/>
    <x v="10"/>
    <x v="1"/>
  </r>
  <r>
    <x v="4775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4776"/>
    <n v="4013456789017"/>
    <x v="0"/>
    <s v="Krmivo a maškrty – Psy"/>
    <s v="Snouty"/>
    <n v="6"/>
    <n v="1"/>
    <s v="4"/>
    <s v="Perfektná odmena po procházce."/>
    <d v="2025-11-30T00:00:00"/>
    <n v="0"/>
    <n v="6"/>
    <x v="1"/>
    <x v="10"/>
    <x v="0"/>
  </r>
  <r>
    <x v="4777"/>
    <n v="4058901234571"/>
    <x v="85"/>
    <s v="Oblečenie a doplnky – Mačky"/>
    <s v="CozyNest"/>
    <n v="12"/>
    <n v="1"/>
    <s v="4"/>
    <s v="Roztomilý doplnok pre focení."/>
    <d v="2025-11-30T00:00:00"/>
    <n v="0"/>
    <n v="12"/>
    <x v="1"/>
    <x v="10"/>
    <x v="1"/>
  </r>
  <r>
    <x v="4778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779"/>
    <n v="4022345678908"/>
    <x v="55"/>
    <s v="Starostlivosť a hygiena – Psy"/>
    <s v="PawStyle"/>
    <n v="10"/>
    <n v="1"/>
    <s v="4"/>
    <s v="Ostré a dobre padnou do ruky."/>
    <d v="2025-11-30T00:00:00"/>
    <n v="0"/>
    <n v="10"/>
    <x v="1"/>
    <x v="10"/>
    <x v="0"/>
  </r>
  <r>
    <x v="4780"/>
    <n v="8591122334455"/>
    <x v="81"/>
    <s v="Pelechy a nábytok – Mačky"/>
    <s v="Lapa Home"/>
    <n v="79.64"/>
    <n v="1"/>
    <s v="5"/>
    <s v="Velké, pevné, mačky nadšené."/>
    <d v="2025-11-30T00:00:00"/>
    <n v="0"/>
    <n v="79.64"/>
    <x v="2"/>
    <x v="10"/>
    <x v="1"/>
  </r>
  <r>
    <x v="4781"/>
    <n v="8007890123454"/>
    <x v="53"/>
    <s v="Pelechy a nábytok – Mačky"/>
    <s v="BellaMeow"/>
    <n v="43.64"/>
    <n v="1"/>
    <s v="NULL"/>
    <s v=""/>
    <d v="2025-11-30T00:00:00"/>
    <n v="0"/>
    <n v="43.64"/>
    <x v="0"/>
    <x v="10"/>
    <x v="1"/>
  </r>
  <r>
    <x v="4782"/>
    <n v="4056789012345"/>
    <x v="11"/>
    <s v="Krmivo a maškrty – Mačky"/>
    <s v="BellaMeow"/>
    <n v="2.4"/>
    <n v="3"/>
    <s v="4"/>
    <s v="Mačka nadšená, objednám znova."/>
    <d v="2025-11-30T00:00:00"/>
    <n v="0"/>
    <n v="7.1999999999999993"/>
    <x v="1"/>
    <x v="10"/>
    <x v="1"/>
  </r>
  <r>
    <x v="4783"/>
    <n v="4025566778891"/>
    <x v="38"/>
    <s v="Misky a kŕmne doplnky – Mačky"/>
    <s v="Catissime"/>
    <n v="51.64"/>
    <n v="1"/>
    <s v="5"/>
    <s v="Funguje tiše, výborný produkt."/>
    <d v="2025-11-30T00:00:00"/>
    <n v="0"/>
    <n v="51.64"/>
    <x v="2"/>
    <x v="10"/>
    <x v="1"/>
  </r>
  <r>
    <x v="4784"/>
    <n v="4028899001126"/>
    <x v="1"/>
    <s v="Krmivo a maškrty – Psy"/>
    <s v="Pup Republic"/>
    <n v="2.8"/>
    <n v="2"/>
    <s v="5"/>
    <s v="Skvelá vôňa, pes sa olizoval."/>
    <d v="2025-11-30T00:00:00"/>
    <n v="0"/>
    <n v="5.6"/>
    <x v="2"/>
    <x v="10"/>
    <x v="0"/>
  </r>
  <r>
    <x v="4785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4786"/>
    <n v="4067890123456"/>
    <x v="17"/>
    <s v="Krmivo a maškrty – Mačky"/>
    <s v="PawStyle"/>
    <n v="36"/>
    <n v="1"/>
    <s v="4"/>
    <s v="Výborné granuly, srsť bez chlpov všade."/>
    <d v="2025-11-30T00:00:00"/>
    <n v="0"/>
    <n v="36"/>
    <x v="1"/>
    <x v="10"/>
    <x v="1"/>
  </r>
  <r>
    <x v="4787"/>
    <n v="4062345678917"/>
    <x v="61"/>
    <s v="Pelechy a nábytok – Mačky"/>
    <s v="PawStyle"/>
    <n v="59.64"/>
    <n v="1"/>
    <s v="NULL"/>
    <s v=""/>
    <d v="2025-11-30T00:00:00"/>
    <n v="0"/>
    <n v="59.64"/>
    <x v="0"/>
    <x v="10"/>
    <x v="1"/>
  </r>
  <r>
    <x v="4788"/>
    <n v="4009012345672"/>
    <x v="10"/>
    <s v="Starostlivosť a hygiena – Mačky"/>
    <s v="Mr. Whiskers"/>
    <n v="11.2"/>
    <n v="1"/>
    <s v="3"/>
    <s v="Za tú cenu ok."/>
    <d v="2025-11-30T00:00:00"/>
    <n v="0"/>
    <n v="11.2"/>
    <x v="3"/>
    <x v="10"/>
    <x v="1"/>
  </r>
  <r>
    <x v="4789"/>
    <n v="4020123456783"/>
    <x v="41"/>
    <s v="Oblečenie a doplnky – Psy"/>
    <s v="Pup Republic"/>
    <n v="22"/>
    <n v="1"/>
    <s v="4"/>
    <s v="Hreje a pekne sedí."/>
    <d v="2025-11-30T00:00:00"/>
    <n v="0"/>
    <n v="22"/>
    <x v="1"/>
    <x v="10"/>
    <x v="0"/>
  </r>
  <r>
    <x v="4790"/>
    <n v="8005678901239"/>
    <x v="73"/>
    <s v="Oblečenie a doplnky – Psy"/>
    <s v="Bark&amp;Bone"/>
    <n v="20.8"/>
    <n v="1"/>
    <s v="NULL"/>
    <s v=""/>
    <d v="2025-11-30T00:00:00"/>
    <n v="0"/>
    <n v="20.8"/>
    <x v="0"/>
    <x v="10"/>
    <x v="0"/>
  </r>
  <r>
    <x v="4791"/>
    <n v="4008901234561"/>
    <x v="43"/>
    <s v="Oblečenie a doplnky – Psy"/>
    <s v="HafHaf Couture"/>
    <n v="40"/>
    <n v="1"/>
    <s v="5"/>
    <s v="Vysoce funkční, pes nezmokl."/>
    <d v="2025-11-30T00:00:00"/>
    <n v="0"/>
    <n v="40"/>
    <x v="2"/>
    <x v="10"/>
    <x v="0"/>
  </r>
  <r>
    <x v="4792"/>
    <n v="4003344556679"/>
    <x v="19"/>
    <s v="Pelechy a nábytok – Psy"/>
    <s v="Canine Craft Industries"/>
    <n v="51.64"/>
    <n v="1"/>
    <s v="5"/>
    <s v="Mäkký a teplý, pes v ňom rád leží."/>
    <d v="2025-11-30T00:00:00"/>
    <n v="0"/>
    <n v="51.64"/>
    <x v="2"/>
    <x v="10"/>
    <x v="0"/>
  </r>
  <r>
    <x v="4793"/>
    <n v="4006677889904"/>
    <x v="26"/>
    <s v="Krmivo a maškrty – Mačky"/>
    <s v="Catissime"/>
    <n v="2"/>
    <n v="3"/>
    <s v="4"/>
    <s v="Mačka sa pochutnává, príjemná vôňa."/>
    <d v="2025-11-30T00:00:00"/>
    <n v="0"/>
    <n v="6"/>
    <x v="1"/>
    <x v="10"/>
    <x v="1"/>
  </r>
  <r>
    <x v="4794"/>
    <n v="4013456789017"/>
    <x v="0"/>
    <s v="Krmivo a maškrty – Psy"/>
    <s v="Snouty"/>
    <n v="6"/>
    <n v="2"/>
    <s v="NULL"/>
    <s v=""/>
    <d v="2025-11-30T00:00:00"/>
    <n v="0"/>
    <n v="12"/>
    <x v="0"/>
    <x v="10"/>
    <x v="0"/>
  </r>
  <r>
    <x v="4795"/>
    <n v="4028899001126"/>
    <x v="1"/>
    <s v="Krmivo a maškrty – Psy"/>
    <s v="Pup Republic"/>
    <n v="2.8"/>
    <n v="3"/>
    <s v="5"/>
    <s v="V zime ideálne, pes sa vždy teší."/>
    <d v="2025-11-30T00:00:00"/>
    <n v="0"/>
    <n v="8.3999999999999986"/>
    <x v="2"/>
    <x v="10"/>
    <x v="0"/>
  </r>
  <r>
    <x v="4796"/>
    <n v="4061011223346"/>
    <x v="3"/>
    <s v="Oblečenie a doplnky – Psy"/>
    <s v="Tail Trend"/>
    <n v="19.600000000000001"/>
    <n v="1"/>
    <s v="4"/>
    <s v="Robustní, vhodné aj do mrazu."/>
    <d v="2025-11-30T00:00:00"/>
    <n v="0"/>
    <n v="19.600000000000001"/>
    <x v="1"/>
    <x v="10"/>
    <x v="0"/>
  </r>
  <r>
    <x v="4797"/>
    <n v="4007788990022"/>
    <x v="70"/>
    <s v="Pelechy a nábytok – Mačky"/>
    <s v="CozyNest"/>
    <n v="59.64"/>
    <n v="1"/>
    <s v="NULL"/>
    <s v=""/>
    <d v="2025-11-30T00:00:00"/>
    <n v="0"/>
    <n v="59.64"/>
    <x v="0"/>
    <x v="10"/>
    <x v="1"/>
  </r>
  <r>
    <x v="4798"/>
    <n v="8597890123456"/>
    <x v="25"/>
    <s v="Oblečenie a doplnky – Mačky"/>
    <s v="Catissime"/>
    <n v="18.8"/>
    <n v="1"/>
    <s v="5"/>
    <s v="Skvelo padne, mäkký materiál."/>
    <d v="2025-11-30T00:00:00"/>
    <n v="0"/>
    <n v="18.8"/>
    <x v="2"/>
    <x v="10"/>
    <x v="1"/>
  </r>
  <r>
    <x v="4799"/>
    <n v="4069012345682"/>
    <x v="23"/>
    <s v="Oblečenie a doplnky – Mačky"/>
    <s v="Catissime"/>
    <n v="26"/>
    <n v="1"/>
    <s v="4"/>
    <s v="Mačka ho snese aj venku, moc pekný."/>
    <d v="2025-11-30T00:00:00"/>
    <n v="0"/>
    <n v="26"/>
    <x v="1"/>
    <x v="10"/>
    <x v="1"/>
  </r>
  <r>
    <x v="4800"/>
    <n v="4020123456783"/>
    <x v="41"/>
    <s v="Oblečenie a doplnky – Psy"/>
    <s v="Pup Republic"/>
    <n v="22"/>
    <n v="1"/>
    <s v="NULL"/>
    <s v=""/>
    <d v="2025-11-30T00:00:00"/>
    <n v="0"/>
    <n v="22"/>
    <x v="0"/>
    <x v="10"/>
    <x v="0"/>
  </r>
  <r>
    <x v="4801"/>
    <n v="4017890123450"/>
    <x v="16"/>
    <s v="Hračky – Psy"/>
    <s v="Dogissimo"/>
    <n v="7.6"/>
    <n v="1"/>
    <s v="5"/>
    <s v="Pes ju ťahá všade, výdrž super."/>
    <d v="2025-11-30T00:00:00"/>
    <n v="0"/>
    <n v="7.6"/>
    <x v="2"/>
    <x v="10"/>
    <x v="0"/>
  </r>
  <r>
    <x v="4802"/>
    <n v="4040123456795"/>
    <x v="2"/>
    <s v="Starostlivosť a hygiena – Psy"/>
    <s v="Dogissimo"/>
    <n v="8.8000000000000007"/>
    <n v="1"/>
    <s v="4"/>
    <s v="Príjemná vôňa, vhodný aj pre citlivou koži."/>
    <d v="2025-11-30T00:00:00"/>
    <n v="0"/>
    <n v="8.8000000000000007"/>
    <x v="1"/>
    <x v="10"/>
    <x v="0"/>
  </r>
  <r>
    <x v="4803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804"/>
    <n v="8592233445568"/>
    <x v="21"/>
    <s v="Pelechy a nábytok – Psy"/>
    <s v="Pup Republic"/>
    <n v="79.64"/>
    <n v="1"/>
    <s v="5"/>
    <s v="Kvalitné drevo, ideálne pre zimu."/>
    <d v="2025-11-30T00:00:00"/>
    <n v="0"/>
    <n v="79.64"/>
    <x v="2"/>
    <x v="10"/>
    <x v="0"/>
  </r>
  <r>
    <x v="4805"/>
    <n v="4014455667790"/>
    <x v="52"/>
    <s v="Pelechy a nábytok – Ostatné"/>
    <s v="Tlapka design"/>
    <n v="37.6"/>
    <n v="1"/>
    <s v="NULL"/>
    <s v=""/>
    <d v="2025-11-30T00:00:00"/>
    <n v="0"/>
    <n v="37.6"/>
    <x v="0"/>
    <x v="10"/>
    <x v="2"/>
  </r>
  <r>
    <x v="4806"/>
    <n v="4029900112244"/>
    <x v="65"/>
    <s v="Starostlivosť a hygiena – Mačky"/>
    <s v="BellaMeow"/>
    <n v="13.6"/>
    <n v="1"/>
    <s v="5"/>
    <s v="Dobre pohlcuje pachy, krásne vonia."/>
    <d v="2025-11-30T00:00:00"/>
    <n v="0"/>
    <n v="13.6"/>
    <x v="2"/>
    <x v="10"/>
    <x v="1"/>
  </r>
  <r>
    <x v="4807"/>
    <n v="8593456789012"/>
    <x v="4"/>
    <s v="Krmivo a maškrty – Mačky"/>
    <s v="Catissime"/>
    <n v="42"/>
    <n v="1"/>
    <s v="4"/>
    <s v="Výborné zloženie, krásna srsť."/>
    <d v="2025-11-30T00:00:00"/>
    <n v="0"/>
    <n v="42"/>
    <x v="1"/>
    <x v="10"/>
    <x v="1"/>
  </r>
  <r>
    <x v="4808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4809"/>
    <n v="4019876501234"/>
    <x v="75"/>
    <s v="Krmivo a maškrty – Mačky"/>
    <s v="BellaMeow"/>
    <n v="1.84"/>
    <n v="4"/>
    <s v="5"/>
    <s v="Mačka nadšená, výborná konzistence."/>
    <d v="2025-11-30T00:00:00"/>
    <n v="0"/>
    <n v="7.36"/>
    <x v="2"/>
    <x v="10"/>
    <x v="1"/>
  </r>
  <r>
    <x v="4810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811"/>
    <n v="4043344556676"/>
    <x v="36"/>
    <s v="Misky a kŕmne doplnky – Mačky"/>
    <s v="Pawtastic"/>
    <n v="10"/>
    <n v="1"/>
    <s v="4"/>
    <s v="Krásny dizajn, ľahko sa čistí."/>
    <d v="2025-11-30T00:00:00"/>
    <n v="0"/>
    <n v="10"/>
    <x v="1"/>
    <x v="10"/>
    <x v="1"/>
  </r>
  <r>
    <x v="4812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4813"/>
    <n v="4050123456794"/>
    <x v="8"/>
    <s v="Starostlivosť a hygiena – Mačky"/>
    <s v="Nordic Tail"/>
    <n v="7.2"/>
    <n v="1"/>
    <s v="5"/>
    <s v="Výborný pre zimní péči, hebká srsť."/>
    <d v="2025-11-30T00:00:00"/>
    <n v="0"/>
    <n v="7.2"/>
    <x v="2"/>
    <x v="10"/>
    <x v="1"/>
  </r>
  <r>
    <x v="4814"/>
    <n v="4066677889903"/>
    <x v="51"/>
    <s v="Misky a kŕmne doplnky – Mačky"/>
    <s v="Nordic Tail"/>
    <n v="59.64"/>
    <n v="1"/>
    <s v="NULL"/>
    <s v=""/>
    <d v="2025-11-30T00:00:00"/>
    <n v="0"/>
    <n v="59.64"/>
    <x v="0"/>
    <x v="10"/>
    <x v="1"/>
  </r>
  <r>
    <x v="4815"/>
    <n v="4024455667788"/>
    <x v="66"/>
    <s v="Pelechy a nábytok – Mačky"/>
    <s v="Nordic Tail"/>
    <n v="75.64"/>
    <n v="1"/>
    <s v="4"/>
    <s v="Pevné, mačky sa ho oblíbily."/>
    <d v="2025-11-30T00:00:00"/>
    <n v="0"/>
    <n v="75.64"/>
    <x v="1"/>
    <x v="10"/>
    <x v="1"/>
  </r>
  <r>
    <x v="4816"/>
    <n v="4042233445567"/>
    <x v="57"/>
    <s v="Pelechy a nábytok – Mačky"/>
    <s v="CozyNest"/>
    <n v="51.64"/>
    <n v="1"/>
    <s v="5"/>
    <s v="Mäkký a útulný, ideálne na zimu."/>
    <d v="2025-11-30T00:00:00"/>
    <n v="0"/>
    <n v="51.64"/>
    <x v="2"/>
    <x v="10"/>
    <x v="1"/>
  </r>
  <r>
    <x v="4817"/>
    <n v="4017788990015"/>
    <x v="62"/>
    <s v="Krmivo a maškrty – Mačky"/>
    <s v="Mr. Whiskers"/>
    <n v="4.8"/>
    <n v="2"/>
    <s v="NULL"/>
    <s v=""/>
    <d v="2025-11-30T00:00:00"/>
    <n v="0"/>
    <n v="9.6"/>
    <x v="0"/>
    <x v="10"/>
    <x v="1"/>
  </r>
  <r>
    <x v="4818"/>
    <n v="4025566778891"/>
    <x v="38"/>
    <s v="Misky a kŕmne doplnky – Mačky"/>
    <s v="Catissime"/>
    <n v="51.64"/>
    <n v="1"/>
    <s v="5"/>
    <s v="Mačky pijú viac, výborný produkt."/>
    <d v="2025-11-30T00:00:00"/>
    <n v="0"/>
    <n v="51.64"/>
    <x v="2"/>
    <x v="10"/>
    <x v="1"/>
  </r>
  <r>
    <x v="4819"/>
    <n v="4056789012345"/>
    <x v="11"/>
    <s v="Krmivo a maškrty – Mačky"/>
    <s v="BellaMeow"/>
    <n v="2.4"/>
    <n v="1"/>
    <s v="NULL"/>
    <s v=""/>
    <d v="2025-11-30T00:00:00"/>
    <n v="0"/>
    <n v="2.4"/>
    <x v="0"/>
    <x v="10"/>
    <x v="1"/>
  </r>
  <r>
    <x v="4820"/>
    <n v="4050123456794"/>
    <x v="8"/>
    <s v="Starostlivosť a hygiena – Mačky"/>
    <s v="Nordic Tail"/>
    <n v="7.2"/>
    <n v="1"/>
    <s v="4"/>
    <s v="Mačka sa krásne leskne, vonia."/>
    <d v="2025-11-30T00:00:00"/>
    <n v="0"/>
    <n v="7.2"/>
    <x v="1"/>
    <x v="10"/>
    <x v="1"/>
  </r>
  <r>
    <x v="4821"/>
    <n v="4007788990022"/>
    <x v="70"/>
    <s v="Pelechy a nábytok – Mačky"/>
    <s v="CozyNest"/>
    <n v="59.64"/>
    <n v="1"/>
    <s v="NULL"/>
    <s v=""/>
    <d v="2025-11-30T00:00:00"/>
    <n v="0"/>
    <n v="59.64"/>
    <x v="0"/>
    <x v="10"/>
    <x v="1"/>
  </r>
  <r>
    <x v="4822"/>
    <n v="4055566778892"/>
    <x v="63"/>
    <s v="Misky a kŕmne doplnky – Mačky"/>
    <s v="PawStyle"/>
    <n v="8"/>
    <n v="1"/>
    <s v="5"/>
    <s v="Perfektná veľkosť, stabilní."/>
    <d v="2025-11-30T00:00:00"/>
    <n v="0"/>
    <n v="8"/>
    <x v="2"/>
    <x v="10"/>
    <x v="1"/>
  </r>
  <r>
    <x v="4823"/>
    <n v="4063456789014"/>
    <x v="15"/>
    <s v="Krmivo a maškrty – Psy"/>
    <s v="Pupco"/>
    <n v="36"/>
    <n v="1"/>
    <s v="4"/>
    <s v="Pes má lesklú srsť a energii."/>
    <d v="2025-11-30T00:00:00"/>
    <n v="0"/>
    <n v="36"/>
    <x v="1"/>
    <x v="10"/>
    <x v="0"/>
  </r>
  <r>
    <x v="4824"/>
    <n v="4062345678917"/>
    <x v="61"/>
    <s v="Pelechy a nábytok – Mačky"/>
    <s v="PawStyle"/>
    <n v="59.64"/>
    <n v="1"/>
    <s v="NULL"/>
    <s v=""/>
    <d v="2025-11-30T00:00:00"/>
    <n v="0"/>
    <n v="59.64"/>
    <x v="0"/>
    <x v="10"/>
    <x v="1"/>
  </r>
  <r>
    <x v="4825"/>
    <n v="4027788990013"/>
    <x v="9"/>
    <s v="Starostlivosť a hygiena – Psy"/>
    <s v="Dogissimo"/>
    <n v="8"/>
    <n v="1"/>
    <s v="4"/>
    <s v="Voňavý, pekne čistí."/>
    <d v="2025-11-30T00:00:00"/>
    <n v="0"/>
    <n v="8"/>
    <x v="1"/>
    <x v="10"/>
    <x v="0"/>
  </r>
  <r>
    <x v="4826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4827"/>
    <n v="4027788990013"/>
    <x v="9"/>
    <s v="Starostlivosť a hygiena – Psy"/>
    <s v="Dogissimo"/>
    <n v="8"/>
    <n v="1"/>
    <s v="4"/>
    <s v="Pes po ňom krásne vonia."/>
    <d v="2025-11-30T00:00:00"/>
    <n v="0"/>
    <n v="8"/>
    <x v="1"/>
    <x v="10"/>
    <x v="0"/>
  </r>
  <r>
    <x v="4828"/>
    <n v="4017890123450"/>
    <x v="16"/>
    <s v="Hračky – Psy"/>
    <s v="Dogissimo"/>
    <n v="7.6"/>
    <n v="1"/>
    <s v="5"/>
    <s v="Zábavná a trvanlivá hračka."/>
    <d v="2025-11-30T00:00:00"/>
    <n v="0"/>
    <n v="7.6"/>
    <x v="2"/>
    <x v="10"/>
    <x v="0"/>
  </r>
  <r>
    <x v="4829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830"/>
    <n v="4022345678908"/>
    <x v="55"/>
    <s v="Starostlivosť a hygiena – Psy"/>
    <s v="PawStyle"/>
    <n v="10"/>
    <n v="1"/>
    <s v="3"/>
    <s v="Za tú cenu ok."/>
    <d v="2025-11-30T00:00:00"/>
    <n v="0"/>
    <n v="10"/>
    <x v="3"/>
    <x v="10"/>
    <x v="0"/>
  </r>
  <r>
    <x v="4831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4832"/>
    <n v="4003344556679"/>
    <x v="19"/>
    <s v="Pelechy a nábytok – Psy"/>
    <s v="Canine Craft Industries"/>
    <n v="51.64"/>
    <n v="1"/>
    <s v="4"/>
    <s v="Kvalitné, pes v ňom spí rád."/>
    <d v="2025-11-30T00:00:00"/>
    <n v="0"/>
    <n v="51.64"/>
    <x v="1"/>
    <x v="10"/>
    <x v="0"/>
  </r>
  <r>
    <x v="4833"/>
    <n v="4019876501234"/>
    <x v="75"/>
    <s v="Krmivo a maškrty – Mačky"/>
    <s v="BellaMeow"/>
    <n v="1.84"/>
    <n v="3"/>
    <s v="5"/>
    <s v="Mačka ju má nejradši."/>
    <d v="2025-11-30T00:00:00"/>
    <n v="0"/>
    <n v="5.5200000000000005"/>
    <x v="2"/>
    <x v="10"/>
    <x v="1"/>
  </r>
  <r>
    <x v="4834"/>
    <n v="8593456789012"/>
    <x v="4"/>
    <s v="Krmivo a maškrty – Mačky"/>
    <s v="Catissime"/>
    <n v="42"/>
    <n v="1"/>
    <s v="NULL"/>
    <s v=""/>
    <d v="2025-11-30T00:00:00"/>
    <n v="0"/>
    <n v="42"/>
    <x v="0"/>
    <x v="10"/>
    <x v="1"/>
  </r>
  <r>
    <x v="4835"/>
    <n v="4008899001134"/>
    <x v="44"/>
    <s v="Pelechy a nábytok – Hlodavce"/>
    <s v="Lapa Home"/>
    <n v="47.64"/>
    <n v="1"/>
    <s v="4"/>
    <s v="Pevná konstrukce, ideálne pre škrečka."/>
    <d v="2025-11-30T00:00:00"/>
    <n v="0"/>
    <n v="47.64"/>
    <x v="1"/>
    <x v="10"/>
    <x v="2"/>
  </r>
  <r>
    <x v="4836"/>
    <n v="4029900112244"/>
    <x v="65"/>
    <s v="Starostlivosť a hygiena – Mačky"/>
    <s v="BellaMeow"/>
    <n v="13.6"/>
    <n v="1"/>
    <s v="5"/>
    <s v="Vonia a dobre absorbuje."/>
    <d v="2025-11-30T00:00:00"/>
    <n v="0"/>
    <n v="13.6"/>
    <x v="2"/>
    <x v="10"/>
    <x v="1"/>
  </r>
  <r>
    <x v="4837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4838"/>
    <n v="4028899001126"/>
    <x v="1"/>
    <s v="Krmivo a maškrty – Psy"/>
    <s v="Pup Republic"/>
    <n v="2.8"/>
    <n v="3"/>
    <s v="5"/>
    <s v="Pes ju zbožňuje, voňavá a vydatná."/>
    <d v="2025-11-30T00:00:00"/>
    <n v="0"/>
    <n v="8.3999999999999986"/>
    <x v="2"/>
    <x v="10"/>
    <x v="0"/>
  </r>
  <r>
    <x v="4839"/>
    <n v="4013456789017"/>
    <x v="0"/>
    <s v="Krmivo a maškrty – Psy"/>
    <s v="Snouty"/>
    <n v="6"/>
    <n v="2"/>
    <s v="4"/>
    <s v="Ideálne na zimní výcvik."/>
    <d v="2025-11-30T00:00:00"/>
    <n v="0"/>
    <n v="12"/>
    <x v="1"/>
    <x v="10"/>
    <x v="0"/>
  </r>
  <r>
    <x v="4840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841"/>
    <n v="4055566778892"/>
    <x v="63"/>
    <s v="Misky a kŕmne doplnky – Mačky"/>
    <s v="PawStyle"/>
    <n v="8"/>
    <n v="1"/>
    <s v="4"/>
    <s v="Snadno omyvatelná, stabilní."/>
    <d v="2025-11-30T00:00:00"/>
    <n v="0"/>
    <n v="8"/>
    <x v="1"/>
    <x v="10"/>
    <x v="1"/>
  </r>
  <r>
    <x v="4842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843"/>
    <n v="8592233445568"/>
    <x v="21"/>
    <s v="Pelechy a nábytok – Psy"/>
    <s v="Pup Republic"/>
    <n v="79.64"/>
    <n v="1"/>
    <s v="5"/>
    <s v="Perfektní útočisko, pes spokojený."/>
    <d v="2025-11-30T00:00:00"/>
    <n v="0"/>
    <n v="79.64"/>
    <x v="2"/>
    <x v="10"/>
    <x v="0"/>
  </r>
  <r>
    <x v="4844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4845"/>
    <n v="4027788990013"/>
    <x v="9"/>
    <s v="Starostlivosť a hygiena – Psy"/>
    <s v="Dogissimo"/>
    <n v="8"/>
    <n v="1"/>
    <s v="4"/>
    <s v="Hezky pení, pekne vonia."/>
    <d v="2025-11-30T00:00:00"/>
    <n v="0"/>
    <n v="8"/>
    <x v="1"/>
    <x v="10"/>
    <x v="0"/>
  </r>
  <r>
    <x v="4846"/>
    <n v="4006677889904"/>
    <x v="26"/>
    <s v="Krmivo a maškrty – Mačky"/>
    <s v="Catissime"/>
    <n v="2"/>
    <n v="3"/>
    <s v="5"/>
    <s v="Vysoce kvalitné maso, mačky nadšené."/>
    <d v="2025-11-30T00:00:00"/>
    <n v="0"/>
    <n v="6"/>
    <x v="2"/>
    <x v="10"/>
    <x v="1"/>
  </r>
  <r>
    <x v="4847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848"/>
    <n v="4069012345682"/>
    <x v="23"/>
    <s v="Oblečenie a doplnky – Mačky"/>
    <s v="Catissime"/>
    <n v="26"/>
    <n v="1"/>
    <s v="5"/>
    <s v="Krásne hreje, ideálne do zimy."/>
    <d v="2025-11-30T00:00:00"/>
    <n v="0"/>
    <n v="26"/>
    <x v="2"/>
    <x v="10"/>
    <x v="1"/>
  </r>
  <r>
    <x v="4849"/>
    <n v="4066677889903"/>
    <x v="51"/>
    <s v="Misky a kŕmne doplnky – Mačky"/>
    <s v="Nordic Tail"/>
    <n v="59.64"/>
    <n v="1"/>
    <s v="NULL"/>
    <s v=""/>
    <d v="2025-11-30T00:00:00"/>
    <n v="0"/>
    <n v="59.64"/>
    <x v="0"/>
    <x v="10"/>
    <x v="1"/>
  </r>
  <r>
    <x v="4850"/>
    <n v="4063456789014"/>
    <x v="15"/>
    <s v="Krmivo a maškrty – Psy"/>
    <s v="Pupco"/>
    <n v="36"/>
    <n v="1"/>
    <s v="4"/>
    <s v="Dobre stravitelné, pes plný energie."/>
    <d v="2025-11-30T00:00:00"/>
    <n v="0"/>
    <n v="36"/>
    <x v="1"/>
    <x v="10"/>
    <x v="0"/>
  </r>
  <r>
    <x v="4851"/>
    <n v="8593456789012"/>
    <x v="4"/>
    <s v="Krmivo a maškrty – Mačky"/>
    <s v="Catissime"/>
    <n v="42"/>
    <n v="1"/>
    <s v="5"/>
    <s v="Výborné krmivo, odporúčam."/>
    <d v="2025-11-30T00:00:00"/>
    <n v="0"/>
    <n v="42"/>
    <x v="2"/>
    <x v="10"/>
    <x v="1"/>
  </r>
  <r>
    <x v="4852"/>
    <n v="4056789012345"/>
    <x v="11"/>
    <s v="Krmivo a maškrty – Mačky"/>
    <s v="BellaMeow"/>
    <n v="2.4"/>
    <n v="1"/>
    <s v="NULL"/>
    <s v=""/>
    <d v="2025-11-30T00:00:00"/>
    <n v="0"/>
    <n v="2.4"/>
    <x v="0"/>
    <x v="10"/>
    <x v="1"/>
  </r>
  <r>
    <x v="4853"/>
    <n v="4019876501234"/>
    <x v="75"/>
    <s v="Krmivo a maškrty – Mačky"/>
    <s v="BellaMeow"/>
    <n v="1.84"/>
    <n v="3"/>
    <s v="4"/>
    <s v="Mačka sa vždy žiada prídavok."/>
    <d v="2025-11-30T00:00:00"/>
    <n v="0"/>
    <n v="5.5200000000000005"/>
    <x v="1"/>
    <x v="10"/>
    <x v="1"/>
  </r>
  <r>
    <x v="4854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855"/>
    <n v="4013456789017"/>
    <x v="0"/>
    <s v="Krmivo a maškrty – Psy"/>
    <s v="Snouty"/>
    <n v="6"/>
    <n v="1"/>
    <s v="5"/>
    <s v="Pes poslúcha ako nikdy skôr."/>
    <d v="2025-11-30T00:00:00"/>
    <n v="0"/>
    <n v="6"/>
    <x v="2"/>
    <x v="10"/>
    <x v="0"/>
  </r>
  <r>
    <x v="4856"/>
    <n v="4040123456795"/>
    <x v="2"/>
    <s v="Starostlivosť a hygiena – Psy"/>
    <s v="Dogissimo"/>
    <n v="8.8000000000000007"/>
    <n v="1"/>
    <s v="4"/>
    <s v="Perfektní pre zimní kúpaní."/>
    <d v="2025-11-30T00:00:00"/>
    <n v="0"/>
    <n v="8.8000000000000007"/>
    <x v="1"/>
    <x v="10"/>
    <x v="0"/>
  </r>
  <r>
    <x v="4857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858"/>
    <n v="4003344556679"/>
    <x v="19"/>
    <s v="Pelechy a nábytok – Psy"/>
    <s v="Canine Craft Industries"/>
    <n v="51.64"/>
    <n v="1"/>
    <s v="5"/>
    <s v="Pes v ňom spí pokojne celou noc."/>
    <d v="2025-11-30T00:00:00"/>
    <n v="0"/>
    <n v="51.64"/>
    <x v="2"/>
    <x v="10"/>
    <x v="0"/>
  </r>
  <r>
    <x v="4859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4860"/>
    <n v="4009012345672"/>
    <x v="10"/>
    <s v="Starostlivosť a hygiena – Mačky"/>
    <s v="Mr. Whiskers"/>
    <n v="11.2"/>
    <n v="1"/>
    <s v="4"/>
    <s v="Veľmi savé, bez zápachu."/>
    <d v="2025-11-30T00:00:00"/>
    <n v="0"/>
    <n v="11.2"/>
    <x v="1"/>
    <x v="10"/>
    <x v="1"/>
  </r>
  <r>
    <x v="4861"/>
    <n v="4017788990015"/>
    <x v="62"/>
    <s v="Krmivo a maškrty – Mačky"/>
    <s v="Mr. Whiskers"/>
    <n v="4.8"/>
    <n v="1"/>
    <s v="NULL"/>
    <s v=""/>
    <d v="2025-11-30T00:00:00"/>
    <n v="0"/>
    <n v="4.8"/>
    <x v="0"/>
    <x v="10"/>
    <x v="1"/>
  </r>
  <r>
    <x v="4862"/>
    <n v="4062345678917"/>
    <x v="61"/>
    <s v="Pelechy a nábytok – Mačky"/>
    <s v="PawStyle"/>
    <n v="59.64"/>
    <n v="1"/>
    <s v="5"/>
    <s v="Stabilní konstrukce, mačky spokojené."/>
    <d v="2025-11-30T00:00:00"/>
    <n v="0"/>
    <n v="59.64"/>
    <x v="2"/>
    <x v="10"/>
    <x v="1"/>
  </r>
  <r>
    <x v="4863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4864"/>
    <n v="4061011223346"/>
    <x v="3"/>
    <s v="Oblečenie a doplnky – Psy"/>
    <s v="Tail Trend"/>
    <n v="19.600000000000001"/>
    <n v="1"/>
    <s v="4"/>
    <s v="Pohodlné aj s rukavicemi."/>
    <d v="2025-11-30T00:00:00"/>
    <n v="0"/>
    <n v="19.600000000000001"/>
    <x v="1"/>
    <x v="10"/>
    <x v="0"/>
  </r>
  <r>
    <x v="4865"/>
    <n v="4055566778892"/>
    <x v="63"/>
    <s v="Misky a kŕmne doplnky – Mačky"/>
    <s v="PawStyle"/>
    <n v="8"/>
    <n v="1"/>
    <s v="5"/>
    <s v="Miska sa nešmýka sa, ideálne."/>
    <d v="2025-11-30T00:00:00"/>
    <n v="0"/>
    <n v="8"/>
    <x v="2"/>
    <x v="10"/>
    <x v="1"/>
  </r>
  <r>
    <x v="4866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867"/>
    <n v="8592233445568"/>
    <x v="21"/>
    <s v="Pelechy a nábytok – Psy"/>
    <s v="Pup Republic"/>
    <n v="79.64"/>
    <n v="1"/>
    <s v="5"/>
    <s v="Skvelé zateplení, perfektní na zimu."/>
    <d v="2025-11-30T00:00:00"/>
    <n v="0"/>
    <n v="79.64"/>
    <x v="2"/>
    <x v="10"/>
    <x v="0"/>
  </r>
  <r>
    <x v="4868"/>
    <n v="4017890123450"/>
    <x v="16"/>
    <s v="Hračky – Psy"/>
    <s v="Dogissimo"/>
    <n v="7.6"/>
    <n v="2"/>
    <s v="NULL"/>
    <s v=""/>
    <d v="2025-11-30T00:00:00"/>
    <n v="0"/>
    <n v="15.2"/>
    <x v="0"/>
    <x v="10"/>
    <x v="0"/>
  </r>
  <r>
    <x v="4869"/>
    <n v="4008899001134"/>
    <x v="44"/>
    <s v="Pelechy a nábytok – Hlodavce"/>
    <s v="Lapa Home"/>
    <n v="47.64"/>
    <n v="1"/>
    <s v="4"/>
    <s v="Dobrá veľkosť pre škrečka."/>
    <d v="2025-11-30T00:00:00"/>
    <n v="0"/>
    <n v="47.64"/>
    <x v="1"/>
    <x v="10"/>
    <x v="2"/>
  </r>
  <r>
    <x v="4870"/>
    <n v="4024455667788"/>
    <x v="66"/>
    <s v="Pelechy a nábytok – Mačky"/>
    <s v="Nordic Tail"/>
    <n v="75.64"/>
    <n v="1"/>
    <s v="NULL"/>
    <s v=""/>
    <d v="2025-11-30T00:00:00"/>
    <n v="0"/>
    <n v="75.64"/>
    <x v="0"/>
    <x v="10"/>
    <x v="1"/>
  </r>
  <r>
    <x v="4871"/>
    <n v="4069012345682"/>
    <x v="23"/>
    <s v="Oblečenie a doplnky – Mačky"/>
    <s v="Catissime"/>
    <n v="26"/>
    <n v="1"/>
    <s v="5"/>
    <s v="Mačka vyzerá ako modelka."/>
    <d v="2025-11-30T00:00:00"/>
    <n v="0"/>
    <n v="26"/>
    <x v="2"/>
    <x v="10"/>
    <x v="1"/>
  </r>
  <r>
    <x v="4872"/>
    <n v="4002233445566"/>
    <x v="28"/>
    <s v="Pelechy a nábytok – Mačky"/>
    <s v="Catissime"/>
    <n v="20"/>
    <n v="1"/>
    <s v="4"/>
    <s v="Pekný materiál, mäkká."/>
    <d v="2025-11-30T00:00:00"/>
    <n v="0"/>
    <n v="20"/>
    <x v="1"/>
    <x v="10"/>
    <x v="1"/>
  </r>
  <r>
    <x v="4873"/>
    <n v="4028899001126"/>
    <x v="1"/>
    <s v="Krmivo a maškrty – Psy"/>
    <s v="Pup Republic"/>
    <n v="2.8"/>
    <n v="3"/>
    <s v="5"/>
    <s v="Vždy sa po nej olizuje."/>
    <d v="2025-11-30T00:00:00"/>
    <n v="0"/>
    <n v="8.3999999999999986"/>
    <x v="2"/>
    <x v="10"/>
    <x v="0"/>
  </r>
  <r>
    <x v="4874"/>
    <n v="4013456789017"/>
    <x v="0"/>
    <s v="Krmivo a maškrty – Psy"/>
    <s v="Snouty"/>
    <n v="6"/>
    <n v="2"/>
    <s v="5"/>
    <s v="Obľúbené maškrty, ideálne odmena."/>
    <d v="2025-11-30T00:00:00"/>
    <n v="0"/>
    <n v="12"/>
    <x v="2"/>
    <x v="10"/>
    <x v="0"/>
  </r>
  <r>
    <x v="4875"/>
    <n v="4040123456795"/>
    <x v="2"/>
    <s v="Starostlivosť a hygiena – Psy"/>
    <s v="Dogissimo"/>
    <n v="8.8000000000000007"/>
    <n v="1"/>
    <s v="4"/>
    <s v="Veľmi šetrný, odporúčam."/>
    <d v="2025-11-30T00:00:00"/>
    <n v="0"/>
    <n v="8.8000000000000007"/>
    <x v="1"/>
    <x v="10"/>
    <x v="0"/>
  </r>
  <r>
    <x v="4876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4877"/>
    <n v="4019876501234"/>
    <x v="75"/>
    <s v="Krmivo a maškrty – Mačky"/>
    <s v="BellaMeow"/>
    <n v="1.84"/>
    <n v="4"/>
    <s v="5"/>
    <s v="Vonia a chutí, top produkt."/>
    <d v="2025-11-30T00:00:00"/>
    <n v="0"/>
    <n v="7.36"/>
    <x v="2"/>
    <x v="10"/>
    <x v="1"/>
  </r>
  <r>
    <x v="4878"/>
    <n v="4029900112244"/>
    <x v="65"/>
    <s v="Starostlivosť a hygiena – Mačky"/>
    <s v="BellaMeow"/>
    <n v="13.6"/>
    <n v="1"/>
    <s v="4"/>
    <s v="Dlouho vydrží, krásne vonia."/>
    <d v="2025-11-30T00:00:00"/>
    <n v="0"/>
    <n v="13.6"/>
    <x v="1"/>
    <x v="10"/>
    <x v="1"/>
  </r>
  <r>
    <x v="4879"/>
    <n v="8593456789012"/>
    <x v="4"/>
    <s v="Krmivo a maškrty – Mačky"/>
    <s v="Catissime"/>
    <n v="42"/>
    <n v="1"/>
    <s v="NULL"/>
    <s v=""/>
    <d v="2025-11-30T00:00:00"/>
    <n v="0"/>
    <n v="42"/>
    <x v="0"/>
    <x v="10"/>
    <x v="1"/>
  </r>
  <r>
    <x v="4880"/>
    <n v="4062345678917"/>
    <x v="61"/>
    <s v="Pelechy a nábytok – Mačky"/>
    <s v="PawStyle"/>
    <n v="59.64"/>
    <n v="1"/>
    <s v="5"/>
    <s v="Stabilní, výborné pre dv mačky."/>
    <d v="2025-11-30T00:00:00"/>
    <n v="0"/>
    <n v="59.64"/>
    <x v="2"/>
    <x v="10"/>
    <x v="1"/>
  </r>
  <r>
    <x v="4881"/>
    <n v="4007788990022"/>
    <x v="70"/>
    <s v="Pelechy a nábytok – Mačky"/>
    <s v="CozyNest"/>
    <n v="59.64"/>
    <n v="1"/>
    <s v="4"/>
    <s v="Skvelé pre aktivní mačky."/>
    <d v="2025-11-30T00:00:00"/>
    <n v="0"/>
    <n v="59.64"/>
    <x v="1"/>
    <x v="10"/>
    <x v="1"/>
  </r>
  <r>
    <x v="4882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4883"/>
    <n v="4016677889902"/>
    <x v="42"/>
    <s v="Oblečenie a doplnky – Psy"/>
    <s v="Pup Republic"/>
    <n v="22"/>
    <n v="1"/>
    <s v="5"/>
    <s v="Funkční materiál, pes v teple."/>
    <d v="2025-11-30T00:00:00"/>
    <n v="0"/>
    <n v="22"/>
    <x v="2"/>
    <x v="10"/>
    <x v="0"/>
  </r>
  <r>
    <x v="4884"/>
    <n v="4061011223346"/>
    <x v="3"/>
    <s v="Oblečenie a doplnky – Psy"/>
    <s v="Tail Trend"/>
    <n v="19.600000000000001"/>
    <n v="1"/>
    <s v="4"/>
    <s v="Pohodlné držení, kvalitné provaz."/>
    <d v="2025-11-30T00:00:00"/>
    <n v="0"/>
    <n v="19.600000000000001"/>
    <x v="1"/>
    <x v="10"/>
    <x v="0"/>
  </r>
  <r>
    <x v="4885"/>
    <n v="4008899001134"/>
    <x v="44"/>
    <s v="Pelechy a nábytok – Hlodavce"/>
    <s v="Lapa Home"/>
    <n v="47.64"/>
    <n v="1"/>
    <s v="NULL"/>
    <s v=""/>
    <d v="2025-11-30T00:00:00"/>
    <n v="0"/>
    <n v="47.64"/>
    <x v="0"/>
    <x v="10"/>
    <x v="2"/>
  </r>
  <r>
    <x v="4886"/>
    <n v="4009012345672"/>
    <x v="10"/>
    <s v="Starostlivosť a hygiena – Mačky"/>
    <s v="Mr. Whiskers"/>
    <n v="11.2"/>
    <n v="1"/>
    <s v="4"/>
    <s v="Bez zápachu, dobre hrudkuje."/>
    <d v="2025-11-30T00:00:00"/>
    <n v="0"/>
    <n v="11.2"/>
    <x v="1"/>
    <x v="10"/>
    <x v="1"/>
  </r>
  <r>
    <x v="4887"/>
    <n v="4050123456794"/>
    <x v="8"/>
    <s v="Starostlivosť a hygiena – Mačky"/>
    <s v="Nordic Tail"/>
    <n v="7.2"/>
    <n v="1"/>
    <s v="5"/>
    <s v="Výborný aj pre citlivou srsť."/>
    <d v="2025-11-30T00:00:00"/>
    <n v="0"/>
    <n v="7.2"/>
    <x v="2"/>
    <x v="10"/>
    <x v="1"/>
  </r>
  <r>
    <x v="4888"/>
    <n v="8592233445568"/>
    <x v="21"/>
    <s v="Pelechy a nábytok – Psy"/>
    <s v="Pup Republic"/>
    <n v="79.64"/>
    <n v="1"/>
    <s v="NULL"/>
    <s v=""/>
    <d v="2025-11-30T00:00:00"/>
    <n v="0"/>
    <n v="79.64"/>
    <x v="0"/>
    <x v="10"/>
    <x v="0"/>
  </r>
  <r>
    <x v="4889"/>
    <n v="4023456789012"/>
    <x v="13"/>
    <s v="Krmivo a maškrty – Mačky"/>
    <s v="Mr. Whiskers"/>
    <n v="4"/>
    <n v="1"/>
    <s v="4"/>
    <s v="Mačka sa po nich môže utĺcť."/>
    <d v="2025-11-30T00:00:00"/>
    <n v="0"/>
    <n v="4"/>
    <x v="1"/>
    <x v="10"/>
    <x v="1"/>
  </r>
  <r>
    <x v="4890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891"/>
    <n v="4013456789017"/>
    <x v="0"/>
    <s v="Krmivo a maškrty – Psy"/>
    <s v="Snouty"/>
    <n v="6"/>
    <n v="1"/>
    <s v="5"/>
    <s v="Pes motivovaný ako nikdy."/>
    <d v="2025-11-30T00:00:00"/>
    <n v="0"/>
    <n v="6"/>
    <x v="2"/>
    <x v="10"/>
    <x v="0"/>
  </r>
  <r>
    <x v="4892"/>
    <n v="4040123456795"/>
    <x v="2"/>
    <s v="Starostlivosť a hygiena – Psy"/>
    <s v="Dogissimo"/>
    <n v="8.8000000000000007"/>
    <n v="1"/>
    <s v="4"/>
    <s v="Voňavý a jemný k pokožce."/>
    <d v="2025-11-30T00:00:00"/>
    <n v="0"/>
    <n v="8.8000000000000007"/>
    <x v="1"/>
    <x v="10"/>
    <x v="0"/>
  </r>
  <r>
    <x v="4893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4894"/>
    <n v="4056789012345"/>
    <x v="11"/>
    <s v="Krmivo a maškrty – Mačky"/>
    <s v="BellaMeow"/>
    <n v="2.4"/>
    <n v="2"/>
    <s v="5"/>
    <s v="Výborná chuť, kvalitné maso."/>
    <d v="2025-11-30T00:00:00"/>
    <n v="0"/>
    <n v="4.8"/>
    <x v="2"/>
    <x v="10"/>
    <x v="1"/>
  </r>
  <r>
    <x v="4895"/>
    <n v="4006677889904"/>
    <x v="26"/>
    <s v="Krmivo a maškrty – Mačky"/>
    <s v="Catissime"/>
    <n v="2"/>
    <n v="3"/>
    <s v="NULL"/>
    <s v=""/>
    <d v="2025-11-30T00:00:00"/>
    <n v="0"/>
    <n v="6"/>
    <x v="0"/>
    <x v="10"/>
    <x v="1"/>
  </r>
  <r>
    <x v="4896"/>
    <n v="4025566778891"/>
    <x v="38"/>
    <s v="Misky a kŕmne doplnky – Mačky"/>
    <s v="Catissime"/>
    <n v="51.64"/>
    <n v="1"/>
    <s v="4"/>
    <s v="Tichá a praktická fontána."/>
    <d v="2025-11-30T00:00:00"/>
    <n v="0"/>
    <n v="51.64"/>
    <x v="1"/>
    <x v="10"/>
    <x v="1"/>
  </r>
  <r>
    <x v="4897"/>
    <n v="4002233445566"/>
    <x v="28"/>
    <s v="Pelechy a nábytok – Mačky"/>
    <s v="Catissime"/>
    <n v="20"/>
    <n v="1"/>
    <s v="5"/>
    <s v="Mäkká a hrejivá, ideálne pre zimní večery."/>
    <d v="2025-11-30T00:00:00"/>
    <n v="0"/>
    <n v="20"/>
    <x v="2"/>
    <x v="10"/>
    <x v="1"/>
  </r>
  <r>
    <x v="4898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4899"/>
    <n v="4050123456794"/>
    <x v="8"/>
    <s v="Starostlivosť a hygiena – Mačky"/>
    <s v="Nordic Tail"/>
    <n v="7.2"/>
    <n v="1"/>
    <s v="4"/>
    <s v="Dobre čistí, zjemňuje srsť."/>
    <d v="2025-11-30T00:00:00"/>
    <n v="0"/>
    <n v="7.2"/>
    <x v="1"/>
    <x v="10"/>
    <x v="1"/>
  </r>
  <r>
    <x v="4900"/>
    <n v="4003344556679"/>
    <x v="19"/>
    <s v="Pelechy a nábytok – Psy"/>
    <s v="Canine Craft Industries"/>
    <n v="51.64"/>
    <n v="1"/>
    <s v="5"/>
    <s v="Velký a mäkký, ideálne pre velké psy."/>
    <d v="2025-11-30T00:00:00"/>
    <n v="0"/>
    <n v="51.64"/>
    <x v="2"/>
    <x v="10"/>
    <x v="0"/>
  </r>
  <r>
    <x v="4901"/>
    <n v="4019876501234"/>
    <x v="75"/>
    <s v="Krmivo a maškrty – Mačky"/>
    <s v="BellaMeow"/>
    <n v="1.84"/>
    <n v="2"/>
    <s v="NULL"/>
    <s v=""/>
    <d v="2025-11-30T00:00:00"/>
    <n v="0"/>
    <n v="3.68"/>
    <x v="0"/>
    <x v="10"/>
    <x v="1"/>
  </r>
  <r>
    <x v="4902"/>
    <n v="4029900112244"/>
    <x v="65"/>
    <s v="Starostlivosť a hygiena – Mačky"/>
    <s v="BellaMeow"/>
    <n v="13.6"/>
    <n v="1"/>
    <s v="5"/>
    <s v="Bez prachu, skvelo pohlcuje pachy."/>
    <d v="2025-11-30T00:00:00"/>
    <n v="0"/>
    <n v="13.6"/>
    <x v="2"/>
    <x v="10"/>
    <x v="1"/>
  </r>
  <r>
    <x v="4903"/>
    <n v="8596677889011"/>
    <x v="37"/>
    <s v="Krmivo a maškrty – Mačky"/>
    <s v="Catissime"/>
    <n v="35.200000000000003"/>
    <n v="1"/>
    <s v="4"/>
    <s v="Kvalitné granuly bez obilovin."/>
    <d v="2025-11-30T00:00:00"/>
    <n v="0"/>
    <n v="35.200000000000003"/>
    <x v="1"/>
    <x v="10"/>
    <x v="1"/>
  </r>
  <r>
    <x v="4904"/>
    <n v="4008899001134"/>
    <x v="44"/>
    <s v="Pelechy a nábytok – Hlodavce"/>
    <s v="Lapa Home"/>
    <n v="47.64"/>
    <n v="1"/>
    <s v="NULL"/>
    <s v=""/>
    <d v="2025-11-30T00:00:00"/>
    <n v="0"/>
    <n v="47.64"/>
    <x v="0"/>
    <x v="10"/>
    <x v="2"/>
  </r>
  <r>
    <x v="4905"/>
    <n v="4029900112244"/>
    <x v="65"/>
    <s v="Starostlivosť a hygiena – Mačky"/>
    <s v="BellaMeow"/>
    <n v="13.6"/>
    <n v="1"/>
    <s v="4"/>
    <s v="Dlouho vydrží, mačka spokojená."/>
    <d v="2025-11-30T00:00:00"/>
    <n v="0"/>
    <n v="13.6"/>
    <x v="1"/>
    <x v="10"/>
    <x v="1"/>
  </r>
  <r>
    <x v="4906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907"/>
    <n v="8593456789012"/>
    <x v="4"/>
    <s v="Krmivo a maškrty – Mačky"/>
    <s v="Catissime"/>
    <n v="42"/>
    <n v="1"/>
    <s v="5"/>
    <s v="Vynikající kvalita, kupujem pravidelne."/>
    <d v="2025-11-30T00:00:00"/>
    <n v="0"/>
    <n v="42"/>
    <x v="2"/>
    <x v="10"/>
    <x v="1"/>
  </r>
  <r>
    <x v="4908"/>
    <n v="4062345678917"/>
    <x v="61"/>
    <s v="Pelechy a nábytok – Mačky"/>
    <s v="PawStyle"/>
    <n v="59.64"/>
    <n v="1"/>
    <s v="4"/>
    <s v="Pevné, pekne vyzerá v obýváku."/>
    <d v="2025-11-30T00:00:00"/>
    <n v="0"/>
    <n v="59.64"/>
    <x v="1"/>
    <x v="10"/>
    <x v="1"/>
  </r>
  <r>
    <x v="4909"/>
    <n v="4061011223346"/>
    <x v="3"/>
    <s v="Oblečenie a doplnky – Psy"/>
    <s v="Tail Trend"/>
    <n v="19.600000000000001"/>
    <n v="1"/>
    <s v="4"/>
    <s v="Skvelá délka, kvalitné materiál."/>
    <d v="2025-11-30T00:00:00"/>
    <n v="0"/>
    <n v="19.600000000000001"/>
    <x v="1"/>
    <x v="10"/>
    <x v="0"/>
  </r>
  <r>
    <x v="4910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911"/>
    <n v="4040123456795"/>
    <x v="2"/>
    <s v="Starostlivosť a hygiena – Psy"/>
    <s v="Dogissimo"/>
    <n v="8.8000000000000007"/>
    <n v="1"/>
    <s v="5"/>
    <s v="Pes má hebkou srsť a krásne vonia."/>
    <d v="2025-11-30T00:00:00"/>
    <n v="0"/>
    <n v="8.8000000000000007"/>
    <x v="2"/>
    <x v="10"/>
    <x v="0"/>
  </r>
  <r>
    <x v="4912"/>
    <n v="4016677889902"/>
    <x v="42"/>
    <s v="Oblečenie a doplnky – Psy"/>
    <s v="Pup Republic"/>
    <n v="22"/>
    <n v="1"/>
    <s v="NULL"/>
    <s v=""/>
    <d v="2025-11-30T00:00:00"/>
    <n v="0"/>
    <n v="22"/>
    <x v="0"/>
    <x v="10"/>
    <x v="0"/>
  </r>
  <r>
    <x v="4913"/>
    <n v="4007788990022"/>
    <x v="70"/>
    <s v="Pelechy a nábytok – Mačky"/>
    <s v="CozyNest"/>
    <n v="59.64"/>
    <n v="1"/>
    <s v="5"/>
    <s v="Stabilní a obľúbené u všech mačiek."/>
    <d v="2025-11-30T00:00:00"/>
    <n v="0"/>
    <n v="59.64"/>
    <x v="2"/>
    <x v="10"/>
    <x v="1"/>
  </r>
  <r>
    <x v="4914"/>
    <n v="4027788990013"/>
    <x v="9"/>
    <s v="Starostlivosť a hygiena – Psy"/>
    <s v="Dogissimo"/>
    <n v="8"/>
    <n v="1"/>
    <s v="4"/>
    <s v="Príjemná vôňa, dobre pení."/>
    <d v="2025-11-30T00:00:00"/>
    <n v="0"/>
    <n v="8"/>
    <x v="1"/>
    <x v="10"/>
    <x v="0"/>
  </r>
  <r>
    <x v="4915"/>
    <n v="4025566778891"/>
    <x v="38"/>
    <s v="Misky a kŕmne doplnky – Mačky"/>
    <s v="Catissime"/>
    <n v="51.64"/>
    <n v="1"/>
    <s v="NULL"/>
    <s v=""/>
    <d v="2025-11-30T00:00:00"/>
    <n v="0"/>
    <n v="51.64"/>
    <x v="0"/>
    <x v="10"/>
    <x v="1"/>
  </r>
  <r>
    <x v="4916"/>
    <n v="4056789012345"/>
    <x v="11"/>
    <s v="Krmivo a maškrty – Mačky"/>
    <s v="BellaMeow"/>
    <n v="2.4"/>
    <n v="2"/>
    <s v="5"/>
    <s v="Výborná, kupujem opakovane."/>
    <d v="2025-11-30T00:00:00"/>
    <n v="0"/>
    <n v="4.8"/>
    <x v="2"/>
    <x v="10"/>
    <x v="1"/>
  </r>
  <r>
    <x v="4917"/>
    <n v="4019876501234"/>
    <x v="75"/>
    <s v="Krmivo a maškrty – Mačky"/>
    <s v="BellaMeow"/>
    <n v="1.84"/>
    <n v="3"/>
    <s v="4"/>
    <s v="Mačka šťastná, miska prázdna."/>
    <d v="2025-11-30T00:00:00"/>
    <n v="0"/>
    <n v="5.5200000000000005"/>
    <x v="1"/>
    <x v="10"/>
    <x v="1"/>
  </r>
  <r>
    <x v="4918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19"/>
    <n v="4013456789017"/>
    <x v="0"/>
    <s v="Krmivo a maškrty – Psy"/>
    <s v="Snouty"/>
    <n v="6"/>
    <n v="1"/>
    <s v="4"/>
    <s v=""/>
    <d v="2025-11-30T00:00:00"/>
    <n v="0"/>
    <n v="6"/>
    <x v="1"/>
    <x v="10"/>
    <x v="0"/>
  </r>
  <r>
    <x v="4920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921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922"/>
    <n v="4069012345682"/>
    <x v="23"/>
    <s v="Oblečenie a doplnky – Mačky"/>
    <s v="Catissime"/>
    <n v="26"/>
    <n v="1"/>
    <s v="NULL"/>
    <s v=""/>
    <d v="2025-11-30T00:00:00"/>
    <n v="0"/>
    <n v="26"/>
    <x v="0"/>
    <x v="10"/>
    <x v="1"/>
  </r>
  <r>
    <x v="4923"/>
    <n v="4005566778891"/>
    <x v="24"/>
    <s v="Oblečenie a doplnky – Psy"/>
    <s v="Canine Craft Industries"/>
    <n v="18"/>
    <n v="1"/>
    <s v="3"/>
    <s v="Za tú cenu ok."/>
    <d v="2025-11-30T00:00:00"/>
    <n v="0"/>
    <n v="18"/>
    <x v="3"/>
    <x v="10"/>
    <x v="0"/>
  </r>
  <r>
    <x v="4924"/>
    <n v="4019876501234"/>
    <x v="75"/>
    <s v="Krmivo a maškrty – Mačky"/>
    <s v="BellaMeow"/>
    <n v="1.84"/>
    <n v="4"/>
    <s v="NULL"/>
    <s v=""/>
    <d v="2025-11-30T00:00:00"/>
    <n v="0"/>
    <n v="7.36"/>
    <x v="0"/>
    <x v="10"/>
    <x v="1"/>
  </r>
  <r>
    <x v="4925"/>
    <n v="4061011223346"/>
    <x v="3"/>
    <s v="Oblečenie a doplnky – Psy"/>
    <s v="Tail Trend"/>
    <n v="19.600000000000001"/>
    <n v="1"/>
    <s v="NULL"/>
    <s v=""/>
    <d v="2025-11-30T00:00:00"/>
    <n v="0"/>
    <n v="19.600000000000001"/>
    <x v="0"/>
    <x v="10"/>
    <x v="0"/>
  </r>
  <r>
    <x v="4926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927"/>
    <n v="8593456789012"/>
    <x v="4"/>
    <s v="Krmivo a maškrty – Mačky"/>
    <s v="Catissime"/>
    <n v="42"/>
    <n v="1"/>
    <s v="NULL"/>
    <s v=""/>
    <d v="2025-11-30T00:00:00"/>
    <n v="0"/>
    <n v="42"/>
    <x v="0"/>
    <x v="10"/>
    <x v="1"/>
  </r>
  <r>
    <x v="4928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929"/>
    <n v="4028899001126"/>
    <x v="1"/>
    <s v="Krmivo a maškrty – Psy"/>
    <s v="Pup Republic"/>
    <n v="2.8"/>
    <n v="2"/>
    <s v="4"/>
    <s v=""/>
    <d v="2025-11-30T00:00:00"/>
    <n v="0"/>
    <n v="5.6"/>
    <x v="1"/>
    <x v="10"/>
    <x v="0"/>
  </r>
  <r>
    <x v="4930"/>
    <n v="4013456789017"/>
    <x v="0"/>
    <s v="Krmivo a maškrty – Psy"/>
    <s v="Snouty"/>
    <n v="6"/>
    <n v="1"/>
    <s v="NULL"/>
    <s v=""/>
    <d v="2025-11-30T00:00:00"/>
    <n v="0"/>
    <n v="6"/>
    <x v="0"/>
    <x v="10"/>
    <x v="0"/>
  </r>
  <r>
    <x v="4931"/>
    <n v="4050123456794"/>
    <x v="8"/>
    <s v="Starostlivosť a hygiena – Mačky"/>
    <s v="Nordic Tail"/>
    <n v="7.2"/>
    <n v="1"/>
    <s v="5"/>
    <s v="Mačka sa po ňom nádherne leskne."/>
    <d v="2025-11-30T00:00:00"/>
    <n v="0"/>
    <n v="7.2"/>
    <x v="2"/>
    <x v="10"/>
    <x v="1"/>
  </r>
  <r>
    <x v="4932"/>
    <n v="4056789012345"/>
    <x v="11"/>
    <s v="Krmivo a maškrty – Mačky"/>
    <s v="BellaMeow"/>
    <n v="2.4"/>
    <n v="3"/>
    <s v="NULL"/>
    <s v=""/>
    <d v="2025-11-30T00:00:00"/>
    <n v="0"/>
    <n v="7.1999999999999993"/>
    <x v="0"/>
    <x v="10"/>
    <x v="1"/>
  </r>
  <r>
    <x v="4933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4934"/>
    <n v="4008899001134"/>
    <x v="44"/>
    <s v="Pelechy a nábytok – Hlodavce"/>
    <s v="Lapa Home"/>
    <n v="47.64"/>
    <n v="1"/>
    <s v="NULL"/>
    <s v=""/>
    <d v="2025-11-30T00:00:00"/>
    <n v="0"/>
    <n v="47.64"/>
    <x v="0"/>
    <x v="10"/>
    <x v="2"/>
  </r>
  <r>
    <x v="4935"/>
    <n v="4017788990015"/>
    <x v="62"/>
    <s v="Krmivo a maškrty – Mačky"/>
    <s v="Mr. Whiskers"/>
    <n v="4.8"/>
    <n v="1"/>
    <s v="NULL"/>
    <s v=""/>
    <d v="2025-11-30T00:00:00"/>
    <n v="0"/>
    <n v="4.8"/>
    <x v="0"/>
    <x v="10"/>
    <x v="1"/>
  </r>
  <r>
    <x v="4936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4937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4938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939"/>
    <n v="4028899001126"/>
    <x v="1"/>
    <s v="Krmivo a maškrty – Psy"/>
    <s v="Pup Republic"/>
    <n v="2.8"/>
    <n v="1"/>
    <s v="3"/>
    <s v=""/>
    <d v="2025-11-30T00:00:00"/>
    <n v="0"/>
    <n v="2.8"/>
    <x v="3"/>
    <x v="10"/>
    <x v="0"/>
  </r>
  <r>
    <x v="4940"/>
    <n v="4019876501234"/>
    <x v="75"/>
    <s v="Krmivo a maškrty – Mačky"/>
    <s v="BellaMeow"/>
    <n v="1.84"/>
    <n v="2"/>
    <s v="NULL"/>
    <s v=""/>
    <d v="2025-11-30T00:00:00"/>
    <n v="0"/>
    <n v="3.68"/>
    <x v="0"/>
    <x v="10"/>
    <x v="1"/>
  </r>
  <r>
    <x v="4941"/>
    <n v="4055566778892"/>
    <x v="63"/>
    <s v="Misky a kŕmne doplnky – Mačky"/>
    <s v="PawStyle"/>
    <n v="8"/>
    <n v="1"/>
    <s v="NULL"/>
    <s v=""/>
    <d v="2025-11-30T00:00:00"/>
    <n v="0"/>
    <n v="8"/>
    <x v="0"/>
    <x v="10"/>
    <x v="1"/>
  </r>
  <r>
    <x v="4942"/>
    <n v="8596677889011"/>
    <x v="37"/>
    <s v="Krmivo a maškrty – Mačky"/>
    <s v="Catissime"/>
    <n v="35.200000000000003"/>
    <n v="1"/>
    <s v="NULL"/>
    <s v=""/>
    <d v="2025-11-30T00:00:00"/>
    <n v="0"/>
    <n v="35.200000000000003"/>
    <x v="0"/>
    <x v="10"/>
    <x v="1"/>
  </r>
  <r>
    <x v="4943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944"/>
    <n v="4027788990013"/>
    <x v="9"/>
    <s v="Starostlivosť a hygiena – Psy"/>
    <s v="Dogissimo"/>
    <n v="8"/>
    <n v="1"/>
    <s v="4"/>
    <s v=""/>
    <d v="2025-11-30T00:00:00"/>
    <n v="0"/>
    <n v="8"/>
    <x v="1"/>
    <x v="10"/>
    <x v="0"/>
  </r>
  <r>
    <x v="4945"/>
    <n v="4069012345682"/>
    <x v="23"/>
    <s v="Oblečenie a doplnky – Mačky"/>
    <s v="Catissime"/>
    <n v="26"/>
    <n v="1"/>
    <s v="NULL"/>
    <s v=""/>
    <d v="2025-11-30T00:00:00"/>
    <n v="0"/>
    <n v="26"/>
    <x v="0"/>
    <x v="10"/>
    <x v="1"/>
  </r>
  <r>
    <x v="4946"/>
    <n v="4006677889904"/>
    <x v="26"/>
    <s v="Krmivo a maškrty – Mačky"/>
    <s v="Catissime"/>
    <n v="2"/>
    <n v="3"/>
    <s v="NULL"/>
    <s v=""/>
    <d v="2025-11-30T00:00:00"/>
    <n v="0"/>
    <n v="6"/>
    <x v="0"/>
    <x v="10"/>
    <x v="1"/>
  </r>
  <r>
    <x v="4947"/>
    <n v="4022345678908"/>
    <x v="55"/>
    <s v="Starostlivosť a hygiena – Psy"/>
    <s v="PawStyle"/>
    <n v="10"/>
    <n v="1"/>
    <s v="4"/>
    <s v=""/>
    <d v="2025-11-30T00:00:00"/>
    <n v="0"/>
    <n v="10"/>
    <x v="1"/>
    <x v="10"/>
    <x v="0"/>
  </r>
  <r>
    <x v="4948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4949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4950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51"/>
    <n v="4013456789017"/>
    <x v="0"/>
    <s v="Krmivo a maškrty – Psy"/>
    <s v="Snouty"/>
    <n v="6"/>
    <n v="1"/>
    <s v="5"/>
    <s v="Pes je bere ako najväčší odmenu."/>
    <d v="2025-11-30T00:00:00"/>
    <n v="0"/>
    <n v="6"/>
    <x v="2"/>
    <x v="10"/>
    <x v="0"/>
  </r>
  <r>
    <x v="4952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4953"/>
    <n v="4007788990022"/>
    <x v="70"/>
    <s v="Pelechy a nábytok – Mačky"/>
    <s v="CozyNest"/>
    <n v="59.64"/>
    <n v="1"/>
    <s v="NULL"/>
    <s v=""/>
    <d v="2025-11-30T00:00:00"/>
    <n v="0"/>
    <n v="59.64"/>
    <x v="0"/>
    <x v="10"/>
    <x v="1"/>
  </r>
  <r>
    <x v="4954"/>
    <n v="4002233445566"/>
    <x v="28"/>
    <s v="Pelechy a nábytok – Mačky"/>
    <s v="Catissime"/>
    <n v="20"/>
    <n v="1"/>
    <s v="3"/>
    <s v=""/>
    <d v="2025-11-30T00:00:00"/>
    <n v="0"/>
    <n v="20"/>
    <x v="3"/>
    <x v="10"/>
    <x v="1"/>
  </r>
  <r>
    <x v="4955"/>
    <n v="4062345678917"/>
    <x v="61"/>
    <s v="Pelechy a nábytok – Mačky"/>
    <s v="PawStyle"/>
    <n v="59.64"/>
    <n v="1"/>
    <s v="NULL"/>
    <s v=""/>
    <d v="2025-11-30T00:00:00"/>
    <n v="0"/>
    <n v="59.64"/>
    <x v="0"/>
    <x v="10"/>
    <x v="1"/>
  </r>
  <r>
    <x v="4956"/>
    <n v="4008899001134"/>
    <x v="44"/>
    <s v="Pelechy a nábytok – Hlodavce"/>
    <s v="Lapa Home"/>
    <n v="47.64"/>
    <n v="1"/>
    <s v="NULL"/>
    <s v=""/>
    <d v="2025-11-30T00:00:00"/>
    <n v="0"/>
    <n v="47.64"/>
    <x v="0"/>
    <x v="10"/>
    <x v="2"/>
  </r>
  <r>
    <x v="4957"/>
    <n v="4056789012345"/>
    <x v="11"/>
    <s v="Krmivo a maškrty – Mačky"/>
    <s v="BellaMeow"/>
    <n v="2.4"/>
    <n v="3"/>
    <s v="NULL"/>
    <s v=""/>
    <d v="2025-11-30T00:00:00"/>
    <n v="0"/>
    <n v="7.1999999999999993"/>
    <x v="0"/>
    <x v="10"/>
    <x v="1"/>
  </r>
  <r>
    <x v="4958"/>
    <n v="4028899001126"/>
    <x v="1"/>
    <s v="Krmivo a maškrty – Psy"/>
    <s v="Pup Republic"/>
    <n v="2.8"/>
    <n v="2"/>
    <s v="4"/>
    <s v=""/>
    <d v="2025-11-30T00:00:00"/>
    <n v="0"/>
    <n v="5.6"/>
    <x v="1"/>
    <x v="10"/>
    <x v="0"/>
  </r>
  <r>
    <x v="4959"/>
    <n v="4013456789017"/>
    <x v="0"/>
    <s v="Krmivo a maškrty – Psy"/>
    <s v="Snouty"/>
    <n v="6"/>
    <n v="1"/>
    <s v="NULL"/>
    <s v=""/>
    <d v="2025-11-30T00:00:00"/>
    <n v="0"/>
    <n v="6"/>
    <x v="0"/>
    <x v="10"/>
    <x v="0"/>
  </r>
  <r>
    <x v="4960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961"/>
    <n v="4019876501234"/>
    <x v="75"/>
    <s v="Krmivo a maškrty – Mačky"/>
    <s v="BellaMeow"/>
    <n v="1.84"/>
    <n v="3"/>
    <s v="4"/>
    <s v=""/>
    <d v="2025-11-30T00:00:00"/>
    <n v="0"/>
    <n v="5.5200000000000005"/>
    <x v="1"/>
    <x v="10"/>
    <x v="1"/>
  </r>
  <r>
    <x v="4962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4963"/>
    <n v="4061011223346"/>
    <x v="3"/>
    <s v="Oblečenie a doplnky – Psy"/>
    <s v="Tail Trend"/>
    <n v="19.600000000000001"/>
    <n v="1"/>
    <s v="NULL"/>
    <s v=""/>
    <d v="2025-11-30T00:00:00"/>
    <n v="0"/>
    <n v="19.600000000000001"/>
    <x v="0"/>
    <x v="10"/>
    <x v="0"/>
  </r>
  <r>
    <x v="4964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4965"/>
    <n v="4029900112244"/>
    <x v="65"/>
    <s v="Starostlivosť a hygiena – Mačky"/>
    <s v="BellaMeow"/>
    <n v="13.6"/>
    <n v="1"/>
    <s v="4"/>
    <s v=""/>
    <d v="2025-11-30T00:00:00"/>
    <n v="0"/>
    <n v="13.6"/>
    <x v="1"/>
    <x v="10"/>
    <x v="1"/>
  </r>
  <r>
    <x v="4966"/>
    <n v="8597890123456"/>
    <x v="25"/>
    <s v="Oblečenie a doplnky – Mačky"/>
    <s v="Catissime"/>
    <n v="18.8"/>
    <n v="1"/>
    <s v="NULL"/>
    <s v=""/>
    <d v="2025-11-30T00:00:00"/>
    <n v="0"/>
    <n v="18.8"/>
    <x v="0"/>
    <x v="10"/>
    <x v="1"/>
  </r>
  <r>
    <x v="4967"/>
    <n v="4003344556679"/>
    <x v="19"/>
    <s v="Pelechy a nábytok – Psy"/>
    <s v="Canine Craft Industries"/>
    <n v="51.64"/>
    <n v="1"/>
    <s v="5"/>
    <s v="Perfektní pelech, hreje aj na podlaze."/>
    <d v="2025-11-30T00:00:00"/>
    <n v="0"/>
    <n v="51.64"/>
    <x v="2"/>
    <x v="10"/>
    <x v="0"/>
  </r>
  <r>
    <x v="4968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4969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970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971"/>
    <n v="4056789012345"/>
    <x v="11"/>
    <s v="Krmivo a maškrty – Mačky"/>
    <s v="BellaMeow"/>
    <n v="2.4"/>
    <n v="2"/>
    <s v="4"/>
    <s v=""/>
    <d v="2025-11-30T00:00:00"/>
    <n v="0"/>
    <n v="4.8"/>
    <x v="1"/>
    <x v="10"/>
    <x v="1"/>
  </r>
  <r>
    <x v="4972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73"/>
    <n v="4013456789017"/>
    <x v="0"/>
    <s v="Krmivo a maškrty – Psy"/>
    <s v="Snouty"/>
    <n v="6"/>
    <n v="1"/>
    <s v="NULL"/>
    <s v=""/>
    <d v="2025-11-30T00:00:00"/>
    <n v="0"/>
    <n v="6"/>
    <x v="0"/>
    <x v="10"/>
    <x v="0"/>
  </r>
  <r>
    <x v="4974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975"/>
    <n v="4006677889904"/>
    <x v="26"/>
    <s v="Krmivo a maškrty – Mačky"/>
    <s v="Catissime"/>
    <n v="2"/>
    <n v="3"/>
    <s v="NULL"/>
    <s v=""/>
    <d v="2025-11-30T00:00:00"/>
    <n v="0"/>
    <n v="6"/>
    <x v="0"/>
    <x v="10"/>
    <x v="1"/>
  </r>
  <r>
    <x v="4976"/>
    <n v="4023456789012"/>
    <x v="13"/>
    <s v="Krmivo a maškrty – Mačky"/>
    <s v="Mr. Whiskers"/>
    <n v="4"/>
    <n v="1"/>
    <s v="4"/>
    <s v=""/>
    <d v="2025-11-30T00:00:00"/>
    <n v="0"/>
    <n v="4"/>
    <x v="1"/>
    <x v="10"/>
    <x v="1"/>
  </r>
  <r>
    <x v="4977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78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4979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80"/>
    <n v="4013456789017"/>
    <x v="0"/>
    <s v="Krmivo a maškrty – Psy"/>
    <s v="Snouty"/>
    <n v="6"/>
    <n v="1"/>
    <s v="4"/>
    <s v=""/>
    <d v="2025-11-30T00:00:00"/>
    <n v="0"/>
    <n v="6"/>
    <x v="1"/>
    <x v="10"/>
    <x v="0"/>
  </r>
  <r>
    <x v="4981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4982"/>
    <n v="4061011223346"/>
    <x v="3"/>
    <s v="Oblečenie a doplnky – Psy"/>
    <s v="Tail Trend"/>
    <n v="19.600000000000001"/>
    <n v="1"/>
    <s v="NULL"/>
    <s v=""/>
    <d v="2025-11-30T00:00:00"/>
    <n v="0"/>
    <n v="19.600000000000001"/>
    <x v="0"/>
    <x v="10"/>
    <x v="0"/>
  </r>
  <r>
    <x v="4983"/>
    <n v="4063456789014"/>
    <x v="15"/>
    <s v="Krmivo a maškrty – Psy"/>
    <s v="Pupco"/>
    <n v="36"/>
    <n v="1"/>
    <s v="4"/>
    <s v=""/>
    <d v="2025-11-30T00:00:00"/>
    <n v="0"/>
    <n v="36"/>
    <x v="1"/>
    <x v="10"/>
    <x v="0"/>
  </r>
  <r>
    <x v="4984"/>
    <n v="4008901234561"/>
    <x v="43"/>
    <s v="Oblečenie a doplnky – Psy"/>
    <s v="HafHaf Couture"/>
    <n v="40"/>
    <n v="1"/>
    <s v="NULL"/>
    <s v=""/>
    <d v="2025-11-30T00:00:00"/>
    <n v="0"/>
    <n v="40"/>
    <x v="0"/>
    <x v="10"/>
    <x v="0"/>
  </r>
  <r>
    <x v="4985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4986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4987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4988"/>
    <n v="4025678901239"/>
    <x v="67"/>
    <s v="Hračky – Mačky"/>
    <s v="Pawtastic"/>
    <n v="10"/>
    <n v="1"/>
    <s v="NULL"/>
    <s v=""/>
    <d v="2025-11-30T00:00:00"/>
    <n v="0"/>
    <n v="10"/>
    <x v="0"/>
    <x v="10"/>
    <x v="1"/>
  </r>
  <r>
    <x v="4989"/>
    <n v="4029900112244"/>
    <x v="65"/>
    <s v="Starostlivosť a hygiena – Mačky"/>
    <s v="BellaMeow"/>
    <n v="13.6"/>
    <n v="1"/>
    <s v="4"/>
    <s v=""/>
    <d v="2025-11-30T00:00:00"/>
    <n v="0"/>
    <n v="13.6"/>
    <x v="1"/>
    <x v="10"/>
    <x v="1"/>
  </r>
  <r>
    <x v="4990"/>
    <n v="4019876501234"/>
    <x v="75"/>
    <s v="Krmivo a maškrty – Mačky"/>
    <s v="BellaMeow"/>
    <n v="1.84"/>
    <n v="3"/>
    <s v="NULL"/>
    <s v=""/>
    <d v="2025-11-30T00:00:00"/>
    <n v="0"/>
    <n v="5.5200000000000005"/>
    <x v="0"/>
    <x v="10"/>
    <x v="1"/>
  </r>
  <r>
    <x v="4991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4992"/>
    <n v="8593456789012"/>
    <x v="4"/>
    <s v="Krmivo a maškrty – Mačky"/>
    <s v="Catissime"/>
    <n v="42"/>
    <n v="1"/>
    <s v="NULL"/>
    <s v=""/>
    <d v="2025-11-30T00:00:00"/>
    <n v="0"/>
    <n v="42"/>
    <x v="0"/>
    <x v="10"/>
    <x v="1"/>
  </r>
  <r>
    <x v="4993"/>
    <n v="4025566778891"/>
    <x v="38"/>
    <s v="Misky a kŕmne doplnky – Mačky"/>
    <s v="Catissime"/>
    <n v="51.64"/>
    <n v="1"/>
    <s v="5"/>
    <s v="Tichý chod, mačky pijú viac."/>
    <d v="2025-11-30T00:00:00"/>
    <n v="0"/>
    <n v="51.64"/>
    <x v="2"/>
    <x v="10"/>
    <x v="1"/>
  </r>
  <r>
    <x v="4994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4995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4996"/>
    <n v="4062345678917"/>
    <x v="61"/>
    <s v="Pelechy a nábytok – Mačky"/>
    <s v="PawStyle"/>
    <n v="59.64"/>
    <n v="1"/>
    <s v="NULL"/>
    <s v=""/>
    <d v="2025-11-30T00:00:00"/>
    <n v="0"/>
    <n v="59.64"/>
    <x v="0"/>
    <x v="10"/>
    <x v="1"/>
  </r>
  <r>
    <x v="4997"/>
    <n v="4006677889904"/>
    <x v="26"/>
    <s v="Krmivo a maškrty – Mačky"/>
    <s v="Catissime"/>
    <n v="2"/>
    <n v="3"/>
    <s v="4"/>
    <s v=""/>
    <d v="2025-11-30T00:00:00"/>
    <n v="0"/>
    <n v="6"/>
    <x v="1"/>
    <x v="10"/>
    <x v="1"/>
  </r>
  <r>
    <x v="4998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4999"/>
    <n v="4013456789017"/>
    <x v="0"/>
    <s v="Krmivo a maškrty – Psy"/>
    <s v="Snouty"/>
    <n v="6"/>
    <n v="1"/>
    <s v="NULL"/>
    <s v=""/>
    <d v="2025-11-30T00:00:00"/>
    <n v="0"/>
    <n v="6"/>
    <x v="0"/>
    <x v="10"/>
    <x v="0"/>
  </r>
  <r>
    <x v="5000"/>
    <n v="4040123456795"/>
    <x v="2"/>
    <s v="Starostlivosť a hygiena – Psy"/>
    <s v="Dogissimo"/>
    <n v="8.8000000000000007"/>
    <n v="1"/>
    <s v="4"/>
    <s v=""/>
    <d v="2025-11-30T00:00:00"/>
    <n v="0"/>
    <n v="8.8000000000000007"/>
    <x v="1"/>
    <x v="10"/>
    <x v="0"/>
  </r>
  <r>
    <x v="5001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5002"/>
    <n v="4061011223346"/>
    <x v="3"/>
    <s v="Oblečenie a doplnky – Psy"/>
    <s v="Tail Trend"/>
    <n v="19.600000000000001"/>
    <n v="1"/>
    <s v="NULL"/>
    <s v=""/>
    <d v="2025-11-30T00:00:00"/>
    <n v="0"/>
    <n v="19.600000000000001"/>
    <x v="0"/>
    <x v="10"/>
    <x v="0"/>
  </r>
  <r>
    <x v="5003"/>
    <n v="4063456789014"/>
    <x v="15"/>
    <s v="Krmivo a maškrty – Psy"/>
    <s v="Pupco"/>
    <n v="36"/>
    <n v="1"/>
    <s v="3"/>
    <s v=""/>
    <d v="2025-11-30T00:00:00"/>
    <n v="0"/>
    <n v="36"/>
    <x v="3"/>
    <x v="10"/>
    <x v="0"/>
  </r>
  <r>
    <x v="5004"/>
    <n v="4020123456783"/>
    <x v="41"/>
    <s v="Oblečenie a doplnky – Psy"/>
    <s v="Pup Republic"/>
    <n v="22"/>
    <n v="1"/>
    <s v="NULL"/>
    <s v=""/>
    <d v="2025-11-30T00:00:00"/>
    <n v="0"/>
    <n v="22"/>
    <x v="0"/>
    <x v="10"/>
    <x v="0"/>
  </r>
  <r>
    <x v="5005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5006"/>
    <n v="4003344556679"/>
    <x v="19"/>
    <s v="Pelechy a nábytok – Psy"/>
    <s v="Canine Craft Industries"/>
    <n v="51.64"/>
    <n v="1"/>
    <s v="5"/>
    <s v="Pes konečne spí celou noc v teple."/>
    <d v="2025-11-30T00:00:00"/>
    <n v="0"/>
    <n v="51.64"/>
    <x v="2"/>
    <x v="10"/>
    <x v="0"/>
  </r>
  <r>
    <x v="5007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5008"/>
    <n v="4019876501234"/>
    <x v="75"/>
    <s v="Krmivo a maškrty – Mačky"/>
    <s v="BellaMeow"/>
    <n v="1.84"/>
    <n v="2"/>
    <s v="NULL"/>
    <s v=""/>
    <d v="2025-11-30T00:00:00"/>
    <n v="0"/>
    <n v="3.68"/>
    <x v="0"/>
    <x v="10"/>
    <x v="1"/>
  </r>
  <r>
    <x v="5009"/>
    <n v="4023456789012"/>
    <x v="13"/>
    <s v="Krmivo a maškrty – Mačky"/>
    <s v="Mr. Whiskers"/>
    <n v="4"/>
    <n v="1"/>
    <s v="NULL"/>
    <s v=""/>
    <d v="2025-11-30T00:00:00"/>
    <n v="0"/>
    <n v="4"/>
    <x v="0"/>
    <x v="10"/>
    <x v="1"/>
  </r>
  <r>
    <x v="5010"/>
    <n v="4029900112244"/>
    <x v="65"/>
    <s v="Starostlivosť a hygiena – Mačky"/>
    <s v="BellaMeow"/>
    <n v="13.6"/>
    <n v="1"/>
    <s v="4"/>
    <s v=""/>
    <d v="2025-11-30T00:00:00"/>
    <n v="0"/>
    <n v="13.6"/>
    <x v="1"/>
    <x v="10"/>
    <x v="1"/>
  </r>
  <r>
    <x v="5011"/>
    <n v="8596677889011"/>
    <x v="37"/>
    <s v="Krmivo a maškrty – Mačky"/>
    <s v="Catissime"/>
    <n v="35.200000000000003"/>
    <n v="1"/>
    <s v="NULL"/>
    <s v=""/>
    <d v="2025-11-30T00:00:00"/>
    <n v="0"/>
    <n v="35.200000000000003"/>
    <x v="0"/>
    <x v="10"/>
    <x v="1"/>
  </r>
  <r>
    <x v="5012"/>
    <n v="4069012345682"/>
    <x v="23"/>
    <s v="Oblečenie a doplnky – Mačky"/>
    <s v="Catissime"/>
    <n v="26"/>
    <n v="1"/>
    <s v="NULL"/>
    <s v=""/>
    <d v="2025-11-30T00:00:00"/>
    <n v="0"/>
    <n v="26"/>
    <x v="0"/>
    <x v="10"/>
    <x v="1"/>
  </r>
  <r>
    <x v="5013"/>
    <n v="4002233445566"/>
    <x v="28"/>
    <s v="Pelechy a nábytok – Mačky"/>
    <s v="Catissime"/>
    <n v="20"/>
    <n v="1"/>
    <s v="4"/>
    <s v=""/>
    <d v="2025-11-30T00:00:00"/>
    <n v="0"/>
    <n v="20"/>
    <x v="1"/>
    <x v="10"/>
    <x v="1"/>
  </r>
  <r>
    <x v="5014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5015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016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017"/>
    <n v="4008899001134"/>
    <x v="44"/>
    <s v="Pelechy a nábytok – Hlodavce"/>
    <s v="Lapa Home"/>
    <n v="47.64"/>
    <n v="1"/>
    <s v="4"/>
    <s v=""/>
    <d v="2025-11-30T00:00:00"/>
    <n v="0"/>
    <n v="47.64"/>
    <x v="1"/>
    <x v="10"/>
    <x v="2"/>
  </r>
  <r>
    <x v="5018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019"/>
    <n v="4013456789017"/>
    <x v="0"/>
    <s v="Krmivo a maškrty – Psy"/>
    <s v="Snouty"/>
    <n v="6"/>
    <n v="1"/>
    <s v="4"/>
    <s v=""/>
    <d v="2025-11-30T00:00:00"/>
    <n v="0"/>
    <n v="6"/>
    <x v="1"/>
    <x v="10"/>
    <x v="0"/>
  </r>
  <r>
    <x v="5020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5021"/>
    <n v="4062345678917"/>
    <x v="61"/>
    <s v="Pelechy a nábytok – Mačky"/>
    <s v="PawStyle"/>
    <n v="59.64"/>
    <n v="1"/>
    <s v="NULL"/>
    <s v=""/>
    <d v="2025-11-30T00:00:00"/>
    <n v="0"/>
    <n v="59.64"/>
    <x v="0"/>
    <x v="10"/>
    <x v="1"/>
  </r>
  <r>
    <x v="5022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5023"/>
    <n v="4002233445566"/>
    <x v="28"/>
    <s v="Pelechy a nábytok – Mačky"/>
    <s v="Catissime"/>
    <n v="20"/>
    <n v="1"/>
    <s v="4"/>
    <s v=""/>
    <d v="2025-11-30T00:00:00"/>
    <n v="0"/>
    <n v="20"/>
    <x v="1"/>
    <x v="10"/>
    <x v="1"/>
  </r>
  <r>
    <x v="5024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5025"/>
    <n v="8592233445568"/>
    <x v="21"/>
    <s v="Pelechy a nábytok – Psy"/>
    <s v="Pup Republic"/>
    <n v="79.64"/>
    <n v="1"/>
    <s v="3"/>
    <s v=""/>
    <d v="2025-11-30T00:00:00"/>
    <n v="0"/>
    <n v="79.64"/>
    <x v="3"/>
    <x v="10"/>
    <x v="0"/>
  </r>
  <r>
    <x v="5026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5027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5028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5029"/>
    <n v="4006677889904"/>
    <x v="26"/>
    <s v="Krmivo a maškrty – Mačky"/>
    <s v="Catissime"/>
    <n v="2"/>
    <n v="4"/>
    <s v="NULL"/>
    <s v=""/>
    <d v="2025-11-30T00:00:00"/>
    <n v="0"/>
    <n v="8"/>
    <x v="0"/>
    <x v="10"/>
    <x v="1"/>
  </r>
  <r>
    <x v="5030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5031"/>
    <n v="4019876501234"/>
    <x v="75"/>
    <s v="Krmivo a maškrty – Mačky"/>
    <s v="BellaMeow"/>
    <n v="1.84"/>
    <n v="3"/>
    <s v="NULL"/>
    <s v=""/>
    <d v="2025-11-30T00:00:00"/>
    <n v="0"/>
    <n v="5.5200000000000005"/>
    <x v="0"/>
    <x v="10"/>
    <x v="1"/>
  </r>
  <r>
    <x v="5032"/>
    <n v="4028899001126"/>
    <x v="1"/>
    <s v="Krmivo a maškrty – Psy"/>
    <s v="Pup Republic"/>
    <n v="2.8"/>
    <n v="2"/>
    <s v="5"/>
    <s v="Skvelé krmivo na zimu, pes nadšený."/>
    <d v="2025-11-30T00:00:00"/>
    <n v="0"/>
    <n v="5.6"/>
    <x v="2"/>
    <x v="10"/>
    <x v="0"/>
  </r>
  <r>
    <x v="5033"/>
    <n v="4013456789017"/>
    <x v="0"/>
    <s v="Krmivo a maškrty – Psy"/>
    <s v="Snouty"/>
    <n v="6"/>
    <n v="1"/>
    <s v="NULL"/>
    <s v=""/>
    <d v="2025-11-30T00:00:00"/>
    <n v="0"/>
    <n v="6"/>
    <x v="0"/>
    <x v="10"/>
    <x v="0"/>
  </r>
  <r>
    <x v="5034"/>
    <n v="4040123456795"/>
    <x v="2"/>
    <s v="Starostlivosť a hygiena – Psy"/>
    <s v="Dogissimo"/>
    <n v="8.8000000000000007"/>
    <n v="1"/>
    <s v="NULL"/>
    <s v=""/>
    <d v="2025-11-30T00:00:00"/>
    <n v="0"/>
    <n v="8.8000000000000007"/>
    <x v="0"/>
    <x v="10"/>
    <x v="0"/>
  </r>
  <r>
    <x v="5035"/>
    <n v="8593456789012"/>
    <x v="4"/>
    <s v="Krmivo a maškrty – Mačky"/>
    <s v="Catissime"/>
    <n v="42"/>
    <n v="1"/>
    <s v="4"/>
    <s v=""/>
    <d v="2025-11-30T00:00:00"/>
    <n v="0"/>
    <n v="42"/>
    <x v="1"/>
    <x v="10"/>
    <x v="1"/>
  </r>
  <r>
    <x v="5036"/>
    <n v="4066677889903"/>
    <x v="51"/>
    <s v="Misky a kŕmne doplnky – Mačky"/>
    <s v="Nordic Tail"/>
    <n v="59.64"/>
    <n v="1"/>
    <s v="NULL"/>
    <s v=""/>
    <d v="2025-11-30T00:00:00"/>
    <n v="0"/>
    <n v="59.64"/>
    <x v="0"/>
    <x v="10"/>
    <x v="1"/>
  </r>
  <r>
    <x v="5037"/>
    <n v="4055566778892"/>
    <x v="63"/>
    <s v="Misky a kŕmne doplnky – Mačky"/>
    <s v="PawStyle"/>
    <n v="8"/>
    <n v="1"/>
    <s v="NULL"/>
    <s v=""/>
    <d v="2025-11-30T00:00:00"/>
    <n v="0"/>
    <n v="8"/>
    <x v="0"/>
    <x v="10"/>
    <x v="1"/>
  </r>
  <r>
    <x v="5038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5039"/>
    <n v="4027788990013"/>
    <x v="9"/>
    <s v="Starostlivosť a hygiena – Psy"/>
    <s v="Dogissimo"/>
    <n v="8"/>
    <n v="1"/>
    <s v="4"/>
    <s v=""/>
    <d v="2025-11-30T00:00:00"/>
    <n v="0"/>
    <n v="8"/>
    <x v="1"/>
    <x v="10"/>
    <x v="0"/>
  </r>
  <r>
    <x v="5040"/>
    <n v="4008901234561"/>
    <x v="43"/>
    <s v="Oblečenie a doplnky – Psy"/>
    <s v="HafHaf Couture"/>
    <n v="40"/>
    <n v="1"/>
    <s v="4"/>
    <s v="Skvelá bunda na podzimní déšť, dobre sedí."/>
    <d v="2025-11-27T00:00:00"/>
    <n v="0"/>
    <n v="40"/>
    <x v="1"/>
    <x v="10"/>
    <x v="0"/>
  </r>
  <r>
    <x v="5041"/>
    <n v="4028899001126"/>
    <x v="1"/>
    <s v="Krmivo a maškrty – Psy"/>
    <s v="Pup Republic"/>
    <n v="2.8"/>
    <n v="2"/>
    <s v="NULL"/>
    <s v=""/>
    <d v="2025-11-27T00:00:00"/>
    <n v="0"/>
    <n v="5.6"/>
    <x v="0"/>
    <x v="10"/>
    <x v="0"/>
  </r>
  <r>
    <x v="5042"/>
    <n v="4022345678908"/>
    <x v="55"/>
    <s v="Starostlivosť a hygiena – Psy"/>
    <s v="PawStyle"/>
    <n v="10"/>
    <n v="1"/>
    <s v="NULL"/>
    <s v=""/>
    <d v="2025-11-27T00:00:00"/>
    <n v="0"/>
    <n v="10"/>
    <x v="0"/>
    <x v="10"/>
    <x v="0"/>
  </r>
  <r>
    <x v="5042"/>
    <n v="4013456789017"/>
    <x v="0"/>
    <s v="Krmivo a maškrty – Psy"/>
    <s v="Snouty"/>
    <n v="6"/>
    <n v="1"/>
    <s v="5"/>
    <s v="Pes je miluje, berieme opakovane!"/>
    <d v="2025-11-27T00:00:00"/>
    <n v="0"/>
    <n v="6"/>
    <x v="2"/>
    <x v="10"/>
    <x v="0"/>
  </r>
  <r>
    <x v="5043"/>
    <n v="8593456789012"/>
    <x v="4"/>
    <s v="Krmivo a maškrty – Mačky"/>
    <s v="Catissime"/>
    <n v="42"/>
    <n v="1"/>
    <s v="4"/>
    <s v="NULL"/>
    <d v="2025-11-28T00:00:00"/>
    <n v="0"/>
    <n v="42"/>
    <x v="1"/>
    <x v="10"/>
    <x v="1"/>
  </r>
  <r>
    <x v="5044"/>
    <n v="4006677889904"/>
    <x v="26"/>
    <s v="Krmivo a maškrty – Mačky"/>
    <s v="Catissime"/>
    <n v="2"/>
    <n v="3"/>
    <s v="NULL"/>
    <s v=""/>
    <d v="2025-11-28T00:00:00"/>
    <n v="0"/>
    <n v="6"/>
    <x v="0"/>
    <x v="10"/>
    <x v="1"/>
  </r>
  <r>
    <x v="5045"/>
    <n v="4042233445567"/>
    <x v="57"/>
    <s v="Pelechy a nábytok – Mačky"/>
    <s v="CozyNest"/>
    <n v="51.64"/>
    <n v="1"/>
    <s v="5"/>
    <s v="Kocour ho okupoval hneď, vyzerá luxusne."/>
    <d v="2025-11-28T00:00:00"/>
    <n v="0"/>
    <n v="51.64"/>
    <x v="2"/>
    <x v="10"/>
    <x v="1"/>
  </r>
  <r>
    <x v="5046"/>
    <n v="4027788990013"/>
    <x v="9"/>
    <s v="Starostlivosť a hygiena – Psy"/>
    <s v="Dogissimo"/>
    <n v="8"/>
    <n v="1"/>
    <s v="NULL"/>
    <s v=""/>
    <d v="2025-11-28T00:00:00"/>
    <n v="0"/>
    <n v="8"/>
    <x v="0"/>
    <x v="10"/>
    <x v="0"/>
  </r>
  <r>
    <x v="5047"/>
    <n v="4000123456786"/>
    <x v="31"/>
    <s v="Starostlivosť a hygiena – Psy"/>
    <s v="Tail Trend"/>
    <n v="6.8"/>
    <n v="1"/>
    <s v="3"/>
    <s v="Za tú cenu ok."/>
    <d v="2025-11-28T00:00:00"/>
    <n v="0"/>
    <n v="6.8"/>
    <x v="3"/>
    <x v="10"/>
    <x v="0"/>
  </r>
  <r>
    <x v="5048"/>
    <n v="4018901234567"/>
    <x v="76"/>
    <s v="Oblečenie a doplnky – Mačky"/>
    <s v="Mr. Whiskers"/>
    <n v="20"/>
    <n v="1"/>
    <s v="NULL"/>
    <s v=""/>
    <d v="2025-11-28T00:00:00"/>
    <n v="0"/>
    <n v="20"/>
    <x v="0"/>
    <x v="10"/>
    <x v="1"/>
  </r>
  <r>
    <x v="5049"/>
    <n v="4021234567894"/>
    <x v="18"/>
    <s v="Starostlivosť a hygiena – Mačky"/>
    <s v="PawStyle"/>
    <n v="8"/>
    <n v="1"/>
    <s v="NULL"/>
    <s v=""/>
    <d v="2025-11-29T00:00:00"/>
    <n v="0"/>
    <n v="8"/>
    <x v="0"/>
    <x v="10"/>
    <x v="1"/>
  </r>
  <r>
    <x v="5050"/>
    <n v="4046789012356"/>
    <x v="30"/>
    <s v="Hračky – Psy"/>
    <s v="Pupco"/>
    <n v="6.4"/>
    <n v="2"/>
    <s v="NULL"/>
    <s v=""/>
    <d v="2025-11-29T00:00:00"/>
    <n v="0"/>
    <n v="12.8"/>
    <x v="0"/>
    <x v="10"/>
    <x v="0"/>
  </r>
  <r>
    <x v="5051"/>
    <n v="4024567890128"/>
    <x v="78"/>
    <s v="Krmivo a maškrty – Psy"/>
    <s v="Canine Craft Industries"/>
    <n v="40"/>
    <n v="1"/>
    <s v="4"/>
    <s v="Pes má citlivé trávenie, tohle mu sedlo."/>
    <d v="2025-11-29T00:00:00"/>
    <n v="0"/>
    <n v="40"/>
    <x v="1"/>
    <x v="10"/>
    <x v="0"/>
  </r>
  <r>
    <x v="5052"/>
    <n v="4023456789012"/>
    <x v="13"/>
    <s v="Krmivo a maškrty – Mačky"/>
    <s v="Mr. Whiskers"/>
    <n v="4"/>
    <n v="1"/>
    <s v="NULL"/>
    <s v=""/>
    <d v="2025-11-29T00:00:00"/>
    <n v="0"/>
    <n v="4"/>
    <x v="0"/>
    <x v="10"/>
    <x v="1"/>
  </r>
  <r>
    <x v="5053"/>
    <n v="4003344556679"/>
    <x v="19"/>
    <s v="Pelechy a nábytok – Psy"/>
    <s v="Canine Craft Industries"/>
    <n v="51.64"/>
    <n v="1"/>
    <s v="5"/>
    <s v="Perfektní mäkký pelech, pes ho zbožňuje."/>
    <d v="2025-11-29T00:00:00"/>
    <n v="0"/>
    <n v="51.64"/>
    <x v="2"/>
    <x v="10"/>
    <x v="0"/>
  </r>
  <r>
    <x v="5054"/>
    <n v="4050123456794"/>
    <x v="8"/>
    <s v="Starostlivosť a hygiena – Mačky"/>
    <s v="Nordic Tail"/>
    <n v="7.2"/>
    <n v="1"/>
    <s v="NULL"/>
    <s v=""/>
    <d v="2025-11-29T00:00:00"/>
    <n v="0"/>
    <n v="7.2"/>
    <x v="0"/>
    <x v="10"/>
    <x v="1"/>
  </r>
  <r>
    <x v="5055"/>
    <n v="4024455667788"/>
    <x v="66"/>
    <s v="Pelechy a nábytok – Mačky"/>
    <s v="Nordic Tail"/>
    <n v="75.64"/>
    <n v="1"/>
    <s v="5"/>
    <s v="Skvelé, stabilní, montáž jednoduchá."/>
    <d v="2025-11-29T00:00:00"/>
    <n v="0"/>
    <n v="75.64"/>
    <x v="2"/>
    <x v="10"/>
    <x v="1"/>
  </r>
  <r>
    <x v="5056"/>
    <n v="4069012345682"/>
    <x v="23"/>
    <s v="Oblečenie a doplnky – Mačky"/>
    <s v="Catissime"/>
    <n v="26"/>
    <n v="1"/>
    <s v="4"/>
    <s v="Mačke sluší, hreje a nevadí jí."/>
    <d v="2025-11-29T00:00:00"/>
    <n v="0"/>
    <n v="26"/>
    <x v="1"/>
    <x v="10"/>
    <x v="1"/>
  </r>
  <r>
    <x v="5057"/>
    <n v="4017890123450"/>
    <x v="16"/>
    <s v="Hračky – Psy"/>
    <s v="Dogissimo"/>
    <n v="7.6"/>
    <n v="1"/>
    <s v="NULL"/>
    <s v=""/>
    <d v="2025-11-29T00:00:00"/>
    <n v="0"/>
    <n v="7.6"/>
    <x v="0"/>
    <x v="10"/>
    <x v="0"/>
  </r>
  <r>
    <x v="5058"/>
    <n v="4046677889901"/>
    <x v="86"/>
    <s v="Starostlivosť a hygiena – Psy"/>
    <s v="Bark&amp;Bone"/>
    <n v="7.2"/>
    <n v="1"/>
    <s v="3"/>
    <s v="Zápach srstaj zmizel, dobré."/>
    <d v="2025-11-29T00:00:00"/>
    <n v="0"/>
    <n v="7.2"/>
    <x v="3"/>
    <x v="10"/>
    <x v="0"/>
  </r>
  <r>
    <x v="5059"/>
    <n v="4063456789014"/>
    <x v="15"/>
    <s v="Krmivo a maškrty – Psy"/>
    <s v="Pupco"/>
    <n v="36"/>
    <n v="1"/>
    <s v="NULL"/>
    <s v=""/>
    <d v="2025-11-29T00:00:00"/>
    <n v="0"/>
    <n v="36"/>
    <x v="0"/>
    <x v="10"/>
    <x v="0"/>
  </r>
  <r>
    <x v="5060"/>
    <n v="4043344556676"/>
    <x v="36"/>
    <s v="Misky a kŕmne doplnky – Mačky"/>
    <s v="Pawtastic"/>
    <n v="10"/>
    <n v="1"/>
    <s v="NULL"/>
    <s v=""/>
    <d v="2025-11-29T00:00:00"/>
    <n v="0"/>
    <n v="10"/>
    <x v="0"/>
    <x v="10"/>
    <x v="1"/>
  </r>
  <r>
    <x v="5061"/>
    <n v="8599012345678"/>
    <x v="87"/>
    <s v="Starostlivosť a hygiena – Mačky"/>
    <s v="Catissime"/>
    <n v="7.6"/>
    <n v="1"/>
    <s v="NULL"/>
    <s v=""/>
    <d v="2025-11-29T00:00:00"/>
    <n v="0"/>
    <n v="7.6"/>
    <x v="0"/>
    <x v="10"/>
    <x v="1"/>
  </r>
  <r>
    <x v="5062"/>
    <n v="4040123456795"/>
    <x v="2"/>
    <s v="Starostlivosť a hygiena – Psy"/>
    <s v="Dogissimo"/>
    <n v="8.8000000000000007"/>
    <n v="1"/>
    <s v="5"/>
    <s v="Najlepšie šampón, pes má krásnou srsť."/>
    <d v="2025-11-29T00:00:00"/>
    <n v="0"/>
    <n v="8.8000000000000007"/>
    <x v="2"/>
    <x v="10"/>
    <x v="0"/>
  </r>
  <r>
    <x v="5063"/>
    <n v="4019900112245"/>
    <x v="88"/>
    <s v="Hračky – Vtáky"/>
    <s v="PawStyle"/>
    <n v="3.6"/>
    <n v="2"/>
    <s v="NULL"/>
    <s v=""/>
    <d v="2025-11-29T00:00:00"/>
    <n v="0"/>
    <n v="7.2"/>
    <x v="0"/>
    <x v="10"/>
    <x v="2"/>
  </r>
  <r>
    <x v="5064"/>
    <n v="8595678901234"/>
    <x v="46"/>
    <s v="Krmivo a maškrty – Ostatné"/>
    <s v="PawStyle"/>
    <n v="6"/>
    <n v="1"/>
    <s v="NULL"/>
    <s v=""/>
    <d v="2025-11-29T00:00:00"/>
    <n v="0"/>
    <n v="6"/>
    <x v="0"/>
    <x v="10"/>
    <x v="2"/>
  </r>
  <r>
    <x v="5065"/>
    <n v="4009012345672"/>
    <x v="10"/>
    <s v="Starostlivosť a hygiena – Mačky"/>
    <s v="Mr. Whiskers"/>
    <n v="11.2"/>
    <n v="1"/>
    <s v="4"/>
    <s v="Pekne pohlcuje zápach."/>
    <d v="2025-11-29T00:00:00"/>
    <n v="0"/>
    <n v="11.2"/>
    <x v="1"/>
    <x v="10"/>
    <x v="1"/>
  </r>
  <r>
    <x v="5066"/>
    <n v="4047890123460"/>
    <x v="40"/>
    <s v="Oblečenie a doplnky – Mačky"/>
    <s v="Pawtastic"/>
    <n v="10"/>
    <n v="1"/>
    <s v="NULL"/>
    <s v=""/>
    <d v="2025-11-29T00:00:00"/>
    <n v="0"/>
    <n v="10"/>
    <x v="0"/>
    <x v="10"/>
    <x v="1"/>
  </r>
  <r>
    <x v="5067"/>
    <n v="4061011223346"/>
    <x v="3"/>
    <s v="Oblečenie a doplnky – Psy"/>
    <s v="Tail Trend"/>
    <n v="19.600000000000001"/>
    <n v="1"/>
    <s v="5"/>
    <s v="Super kvalita, pohodlné držení."/>
    <d v="2025-11-29T00:00:00"/>
    <n v="0"/>
    <n v="19.600000000000001"/>
    <x v="2"/>
    <x v="10"/>
    <x v="0"/>
  </r>
  <r>
    <x v="5068"/>
    <n v="4059900112235"/>
    <x v="83"/>
    <s v="Oblečenie a doplnky – Psy"/>
    <s v="Dogissimo"/>
    <n v="16"/>
    <n v="1"/>
    <s v="NULL"/>
    <s v=""/>
    <d v="2025-11-29T00:00:00"/>
    <n v="0"/>
    <n v="16"/>
    <x v="0"/>
    <x v="10"/>
    <x v="0"/>
  </r>
  <r>
    <x v="5069"/>
    <n v="8591234567812"/>
    <x v="35"/>
    <s v="Krmivo a maškrty – Mačky"/>
    <s v="Catissime"/>
    <n v="33.200000000000003"/>
    <n v="1"/>
    <s v="NULL"/>
    <s v=""/>
    <d v="2025-11-29T00:00:00"/>
    <n v="0"/>
    <n v="33.200000000000003"/>
    <x v="0"/>
    <x v="10"/>
    <x v="1"/>
  </r>
  <r>
    <x v="5070"/>
    <n v="4010123456783"/>
    <x v="6"/>
    <s v="Starostlivosť a hygiena – Mačky"/>
    <s v="BellaMeow"/>
    <n v="14"/>
    <n v="1"/>
    <s v="4"/>
    <s v="Skvelo saje, bez zápachu."/>
    <d v="2025-11-29T00:00:00"/>
    <n v="0"/>
    <n v="14"/>
    <x v="1"/>
    <x v="10"/>
    <x v="1"/>
  </r>
  <r>
    <x v="5071"/>
    <n v="4055566778892"/>
    <x v="63"/>
    <s v="Misky a kŕmne doplnky – Mačky"/>
    <s v="PawStyle"/>
    <n v="8"/>
    <n v="1"/>
    <s v="NULL"/>
    <s v=""/>
    <d v="2025-11-29T00:00:00"/>
    <n v="0"/>
    <n v="8"/>
    <x v="0"/>
    <x v="10"/>
    <x v="1"/>
  </r>
  <r>
    <x v="5072"/>
    <n v="4016677889902"/>
    <x v="42"/>
    <s v="Oblečenie a doplnky – Psy"/>
    <s v="Pup Republic"/>
    <n v="22"/>
    <n v="1"/>
    <s v="NULL"/>
    <s v=""/>
    <d v="2025-11-29T00:00:00"/>
    <n v="0"/>
    <n v="22"/>
    <x v="0"/>
    <x v="10"/>
    <x v="0"/>
  </r>
  <r>
    <x v="5073"/>
    <n v="4007788990022"/>
    <x v="70"/>
    <s v="Pelechy a nábytok – Mačky"/>
    <s v="CozyNest"/>
    <n v="59.64"/>
    <n v="1"/>
    <s v="5"/>
    <s v="Kocour miluje šplhat, parádní kvalita!"/>
    <d v="2025-11-30T00:00:00"/>
    <n v="0"/>
    <n v="59.64"/>
    <x v="2"/>
    <x v="10"/>
    <x v="1"/>
  </r>
  <r>
    <x v="5074"/>
    <n v="4041234567809"/>
    <x v="33"/>
    <s v="Krmivo a maškrty – Mačky"/>
    <s v="Mr. Whiskers"/>
    <n v="2"/>
    <n v="3"/>
    <s v="NULL"/>
    <s v=""/>
    <d v="2025-11-30T00:00:00"/>
    <n v="0"/>
    <n v="6"/>
    <x v="0"/>
    <x v="10"/>
    <x v="1"/>
  </r>
  <r>
    <x v="5075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5076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077"/>
    <n v="4014455667790"/>
    <x v="52"/>
    <s v="Pelechy a nábytok – Ostatné"/>
    <s v="Tlapka design"/>
    <n v="37.6"/>
    <n v="1"/>
    <s v="4"/>
    <s v="Dobre urobený, morče spokojeno."/>
    <d v="2025-11-30T00:00:00"/>
    <n v="0"/>
    <n v="37.6"/>
    <x v="1"/>
    <x v="10"/>
    <x v="2"/>
  </r>
  <r>
    <x v="5078"/>
    <n v="4044567890123"/>
    <x v="27"/>
    <s v="Hračky – Mačky"/>
    <s v="BellaMeow"/>
    <n v="6"/>
    <n v="1"/>
    <s v="NULL"/>
    <s v=""/>
    <d v="2025-11-30T00:00:00"/>
    <n v="0"/>
    <n v="6"/>
    <x v="0"/>
    <x v="10"/>
    <x v="1"/>
  </r>
  <r>
    <x v="5079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5080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5081"/>
    <n v="4028901234561"/>
    <x v="89"/>
    <s v="Hračky – Psy"/>
    <s v="Tail Trend"/>
    <n v="10"/>
    <n v="1"/>
    <s v="NULL"/>
    <s v=""/>
    <d v="2025-11-30T00:00:00"/>
    <n v="0"/>
    <n v="10"/>
    <x v="0"/>
    <x v="10"/>
    <x v="0"/>
  </r>
  <r>
    <x v="5082"/>
    <n v="8592233445568"/>
    <x v="21"/>
    <s v="Pelechy a nábytok – Psy"/>
    <s v="Pup Republic"/>
    <n v="79.64"/>
    <n v="1"/>
    <s v="5"/>
    <s v="Skvelý darček, bouda vyzerá prémiovo."/>
    <d v="2025-11-30T00:00:00"/>
    <n v="0"/>
    <n v="79.64"/>
    <x v="2"/>
    <x v="10"/>
    <x v="0"/>
  </r>
  <r>
    <x v="5083"/>
    <n v="4051234567806"/>
    <x v="84"/>
    <s v="Starostlivosť a hygiena – Ostatné"/>
    <s v="Pawsitive Gear"/>
    <n v="5.2"/>
    <n v="1"/>
    <s v="NULL"/>
    <s v=""/>
    <d v="2025-11-30T00:00:00"/>
    <n v="0"/>
    <n v="5.2"/>
    <x v="0"/>
    <x v="10"/>
    <x v="2"/>
  </r>
  <r>
    <x v="5084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085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5086"/>
    <n v="8597788990023"/>
    <x v="45"/>
    <s v="Krmivo a maškrty – Králiky"/>
    <s v="Pawsitive Gear"/>
    <n v="6.4"/>
    <n v="1"/>
    <s v="NULL"/>
    <s v=""/>
    <d v="2025-11-30T00:00:00"/>
    <n v="0"/>
    <n v="6.4"/>
    <x v="0"/>
    <x v="10"/>
    <x v="2"/>
  </r>
  <r>
    <x v="5087"/>
    <n v="4005566778891"/>
    <x v="24"/>
    <s v="Oblečenie a doplnky – Psy"/>
    <s v="Canine Craft Industries"/>
    <n v="18"/>
    <n v="1"/>
    <s v="NULL"/>
    <s v=""/>
    <d v="2025-11-30T00:00:00"/>
    <n v="0"/>
    <n v="18"/>
    <x v="0"/>
    <x v="10"/>
    <x v="0"/>
  </r>
  <r>
    <x v="5088"/>
    <n v="4067890123456"/>
    <x v="17"/>
    <s v="Krmivo a maškrty – Mačky"/>
    <s v="PawStyle"/>
    <n v="36"/>
    <n v="1"/>
    <s v="4"/>
    <s v="Funguje, menej chlpov doma."/>
    <d v="2025-11-30T00:00:00"/>
    <n v="0"/>
    <n v="36"/>
    <x v="1"/>
    <x v="10"/>
    <x v="1"/>
  </r>
  <r>
    <x v="5089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5090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5091"/>
    <n v="4018901234567"/>
    <x v="76"/>
    <s v="Oblečenie a doplnky – Mačky"/>
    <s v="Mr. Whiskers"/>
    <n v="20"/>
    <n v="1"/>
    <s v="NULL"/>
    <s v=""/>
    <d v="2025-11-30T00:00:00"/>
    <n v="0"/>
    <n v="20"/>
    <x v="0"/>
    <x v="10"/>
    <x v="1"/>
  </r>
  <r>
    <x v="5092"/>
    <n v="4058901234571"/>
    <x v="85"/>
    <s v="Oblečenie a doplnky – Mačky"/>
    <s v="CozyNest"/>
    <n v="12"/>
    <n v="1"/>
    <s v="3"/>
    <s v="Pekný doplnok, ale menší ako čekáno."/>
    <d v="2025-11-30T00:00:00"/>
    <n v="0"/>
    <n v="12"/>
    <x v="3"/>
    <x v="10"/>
    <x v="1"/>
  </r>
  <r>
    <x v="5093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5094"/>
    <n v="8593456789012"/>
    <x v="4"/>
    <s v="Krmivo a maškrty – Mačky"/>
    <s v="Catissime"/>
    <n v="42"/>
    <n v="1"/>
    <s v="5"/>
    <s v="Mačka nadšená, krásna srsť."/>
    <d v="2025-11-30T00:00:00"/>
    <n v="0"/>
    <n v="42"/>
    <x v="2"/>
    <x v="10"/>
    <x v="1"/>
  </r>
  <r>
    <x v="5095"/>
    <n v="4028899001126"/>
    <x v="1"/>
    <s v="Krmivo a maškrty – Psy"/>
    <s v="Pup Republic"/>
    <n v="2.8"/>
    <n v="3"/>
    <s v="NULL"/>
    <s v=""/>
    <d v="2025-11-30T00:00:00"/>
    <n v="0"/>
    <n v="8.3999999999999986"/>
    <x v="0"/>
    <x v="10"/>
    <x v="0"/>
  </r>
  <r>
    <x v="5096"/>
    <n v="4016677889902"/>
    <x v="42"/>
    <s v="Oblečenie a doplnky – Psy"/>
    <s v="Pup Republic"/>
    <n v="22"/>
    <n v="1"/>
    <s v="NULL"/>
    <s v=""/>
    <d v="2025-11-30T00:00:00"/>
    <n v="0"/>
    <n v="22"/>
    <x v="0"/>
    <x v="10"/>
    <x v="0"/>
  </r>
  <r>
    <x v="5097"/>
    <n v="4062345678917"/>
    <x v="61"/>
    <s v="Pelechy a nábytok – Mačky"/>
    <s v="PawStyle"/>
    <n v="59.64"/>
    <n v="1"/>
    <s v="5"/>
    <s v="Kvalitné provedení, pevné a stabilní."/>
    <d v="2025-11-30T00:00:00"/>
    <n v="0"/>
    <n v="59.64"/>
    <x v="2"/>
    <x v="10"/>
    <x v="1"/>
  </r>
  <r>
    <x v="5098"/>
    <n v="4067890123456"/>
    <x v="17"/>
    <s v="Krmivo a maškrty – Mačky"/>
    <s v="PawStyle"/>
    <n v="36"/>
    <n v="1"/>
    <s v="NULL"/>
    <s v=""/>
    <d v="2025-11-30T00:00:00"/>
    <n v="0"/>
    <n v="36"/>
    <x v="0"/>
    <x v="10"/>
    <x v="1"/>
  </r>
  <r>
    <x v="5099"/>
    <n v="4040123456795"/>
    <x v="2"/>
    <s v="Starostlivosť a hygiena – Psy"/>
    <s v="Dogissimo"/>
    <n v="8.8000000000000007"/>
    <n v="1"/>
    <s v="5"/>
    <s v="Pes sa už neškriabe, paráda."/>
    <d v="2025-11-30T00:00:00"/>
    <n v="0"/>
    <n v="8.8000000000000007"/>
    <x v="2"/>
    <x v="10"/>
    <x v="0"/>
  </r>
  <r>
    <x v="5100"/>
    <n v="4051234567806"/>
    <x v="84"/>
    <s v="Starostlivosť a hygiena – Ostatné"/>
    <s v="Pawsitive Gear"/>
    <n v="5.2"/>
    <n v="1"/>
    <s v="NULL"/>
    <s v=""/>
    <d v="2025-11-30T00:00:00"/>
    <n v="0"/>
    <n v="5.2"/>
    <x v="0"/>
    <x v="10"/>
    <x v="2"/>
  </r>
  <r>
    <x v="5101"/>
    <n v="4049012345683"/>
    <x v="14"/>
    <s v="Starostlivosť a hygiena – Mačky"/>
    <s v="Pawtastic"/>
    <n v="9.1999999999999993"/>
    <n v="1"/>
    <s v="NULL"/>
    <s v=""/>
    <d v="2025-11-30T00:00:00"/>
    <n v="0"/>
    <n v="9.1999999999999993"/>
    <x v="0"/>
    <x v="10"/>
    <x v="1"/>
  </r>
  <r>
    <x v="5102"/>
    <n v="4017890123450"/>
    <x v="16"/>
    <s v="Hračky – Psy"/>
    <s v="Dogissimo"/>
    <n v="7.6"/>
    <n v="2"/>
    <s v="4"/>
    <s v="Pes je z nej nadšený, ale rýchlo ju rozhrýzol."/>
    <d v="2025-11-30T00:00:00"/>
    <n v="0"/>
    <n v="15.2"/>
    <x v="1"/>
    <x v="10"/>
    <x v="0"/>
  </r>
  <r>
    <x v="5103"/>
    <n v="4024567890128"/>
    <x v="78"/>
    <s v="Krmivo a maškrty – Psy"/>
    <s v="Canine Craft Industries"/>
    <n v="40"/>
    <n v="1"/>
    <s v="NULL"/>
    <s v=""/>
    <d v="2025-11-30T00:00:00"/>
    <n v="0"/>
    <n v="40"/>
    <x v="0"/>
    <x v="10"/>
    <x v="0"/>
  </r>
  <r>
    <x v="5104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05"/>
    <n v="8595566778890"/>
    <x v="77"/>
    <s v="Krmivo a maškrty – Mačky"/>
    <s v="BellaMeow"/>
    <n v="38"/>
    <n v="1"/>
    <s v="5"/>
    <s v="Mačka prestala zvracet chlupy, spokojenost."/>
    <d v="2025-11-30T00:00:00"/>
    <n v="0"/>
    <n v="38"/>
    <x v="2"/>
    <x v="10"/>
    <x v="1"/>
  </r>
  <r>
    <x v="5106"/>
    <n v="4007788990022"/>
    <x v="70"/>
    <s v="Pelechy a nábytok – Mačky"/>
    <s v="CozyNest"/>
    <n v="59.64"/>
    <n v="1"/>
    <s v="NULL"/>
    <s v=""/>
    <d v="2025-11-30T00:00:00"/>
    <n v="0"/>
    <n v="59.64"/>
    <x v="0"/>
    <x v="10"/>
    <x v="1"/>
  </r>
  <r>
    <x v="5107"/>
    <n v="4011234567897"/>
    <x v="47"/>
    <s v="Starostlivosť a hygiena – Psy"/>
    <s v="Tlapka design"/>
    <n v="11.6"/>
    <n v="1"/>
    <s v="NULL"/>
    <s v=""/>
    <d v="2025-11-30T00:00:00"/>
    <n v="0"/>
    <n v="11.6"/>
    <x v="0"/>
    <x v="10"/>
    <x v="0"/>
  </r>
  <r>
    <x v="5108"/>
    <n v="4019900112245"/>
    <x v="88"/>
    <s v="Hračky – Vtáky"/>
    <s v="PawStyle"/>
    <n v="3.6"/>
    <n v="1"/>
    <s v="NULL"/>
    <s v=""/>
    <d v="2025-11-30T00:00:00"/>
    <n v="0"/>
    <n v="3.6"/>
    <x v="0"/>
    <x v="10"/>
    <x v="2"/>
  </r>
  <r>
    <x v="5109"/>
    <n v="4028899001126"/>
    <x v="1"/>
    <s v="Krmivo a maškrty – Psy"/>
    <s v="Pup Republic"/>
    <n v="2.8"/>
    <n v="3"/>
    <s v="5"/>
    <s v="Obľúbená konzerva, dobrá cena."/>
    <d v="2025-11-30T00:00:00"/>
    <n v="0"/>
    <n v="8.3999999999999986"/>
    <x v="2"/>
    <x v="10"/>
    <x v="0"/>
  </r>
  <r>
    <x v="5110"/>
    <n v="4000123456786"/>
    <x v="31"/>
    <s v="Starostlivosť a hygiena – Psy"/>
    <s v="Tail Trend"/>
    <n v="6.8"/>
    <n v="1"/>
    <s v="NULL"/>
    <s v=""/>
    <d v="2025-11-30T00:00:00"/>
    <n v="0"/>
    <n v="6.8"/>
    <x v="0"/>
    <x v="10"/>
    <x v="0"/>
  </r>
  <r>
    <x v="5111"/>
    <n v="4017788990015"/>
    <x v="62"/>
    <s v="Krmivo a maškrty – Mačky"/>
    <s v="Mr. Whiskers"/>
    <n v="4.8"/>
    <n v="2"/>
    <s v="3"/>
    <s v="Mačke chutí, ale balenie malé."/>
    <d v="2025-11-30T00:00:00"/>
    <n v="0"/>
    <n v="9.6"/>
    <x v="3"/>
    <x v="10"/>
    <x v="1"/>
  </r>
  <r>
    <x v="5112"/>
    <n v="4043344556676"/>
    <x v="36"/>
    <s v="Misky a kŕmne doplnky – Mačky"/>
    <s v="Pawtastic"/>
    <n v="10"/>
    <n v="1"/>
    <s v="NULL"/>
    <s v=""/>
    <d v="2025-11-30T00:00:00"/>
    <n v="0"/>
    <n v="10"/>
    <x v="0"/>
    <x v="10"/>
    <x v="1"/>
  </r>
  <r>
    <x v="5113"/>
    <n v="8593456789012"/>
    <x v="4"/>
    <s v="Krmivo a maškrty – Mačky"/>
    <s v="Catissime"/>
    <n v="42"/>
    <n v="1"/>
    <s v="4"/>
    <s v="Mačka má lesklú srsť, spokojeni."/>
    <d v="2025-11-30T00:00:00"/>
    <n v="0"/>
    <n v="42"/>
    <x v="1"/>
    <x v="10"/>
    <x v="1"/>
  </r>
  <r>
    <x v="5114"/>
    <n v="4046677889901"/>
    <x v="86"/>
    <s v="Starostlivosť a hygiena – Psy"/>
    <s v="Bark&amp;Bone"/>
    <n v="7.2"/>
    <n v="1"/>
    <s v="NULL"/>
    <s v=""/>
    <d v="2025-11-30T00:00:00"/>
    <n v="0"/>
    <n v="7.2"/>
    <x v="0"/>
    <x v="10"/>
    <x v="0"/>
  </r>
  <r>
    <x v="5115"/>
    <n v="4013456789017"/>
    <x v="0"/>
    <s v="Krmivo a maškrty – Psy"/>
    <s v="Snouty"/>
    <n v="6"/>
    <n v="1"/>
    <s v="5"/>
    <s v="Náš labrador sa môže zbláznit, fakt top."/>
    <d v="2025-11-30T00:00:00"/>
    <n v="0"/>
    <n v="6"/>
    <x v="2"/>
    <x v="10"/>
    <x v="0"/>
  </r>
  <r>
    <x v="5116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5117"/>
    <n v="4025678901239"/>
    <x v="67"/>
    <s v="Hračky – Mačky"/>
    <s v="Pawtastic"/>
    <n v="10"/>
    <n v="1"/>
    <s v="4"/>
    <s v="Mačka sa s tým vyhraje hodiny."/>
    <d v="2025-11-30T00:00:00"/>
    <n v="0"/>
    <n v="10"/>
    <x v="1"/>
    <x v="10"/>
    <x v="1"/>
  </r>
  <r>
    <x v="5118"/>
    <n v="4056789012345"/>
    <x v="11"/>
    <s v="Krmivo a maškrty – Mačky"/>
    <s v="BellaMeow"/>
    <n v="2.4"/>
    <n v="1"/>
    <s v="NULL"/>
    <s v=""/>
    <d v="2025-11-30T00:00:00"/>
    <n v="0"/>
    <n v="2.4"/>
    <x v="0"/>
    <x v="10"/>
    <x v="1"/>
  </r>
  <r>
    <x v="5119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5120"/>
    <n v="4027788990013"/>
    <x v="9"/>
    <s v="Starostlivosť a hygiena – Psy"/>
    <s v="Dogissimo"/>
    <n v="8"/>
    <n v="1"/>
    <s v="4"/>
    <s v="Dobre pení a vonia."/>
    <d v="2025-11-30T00:00:00"/>
    <n v="0"/>
    <n v="8"/>
    <x v="1"/>
    <x v="10"/>
    <x v="0"/>
  </r>
  <r>
    <x v="5121"/>
    <n v="4042233445567"/>
    <x v="57"/>
    <s v="Pelechy a nábytok – Mačky"/>
    <s v="CozyNest"/>
    <n v="51.64"/>
    <n v="1"/>
    <s v="NULL"/>
    <s v=""/>
    <d v="2025-11-30T00:00:00"/>
    <n v="0"/>
    <n v="51.64"/>
    <x v="0"/>
    <x v="10"/>
    <x v="1"/>
  </r>
  <r>
    <x v="5122"/>
    <n v="4006677889904"/>
    <x v="26"/>
    <s v="Krmivo a maškrty – Mačky"/>
    <s v="Catissime"/>
    <n v="2"/>
    <n v="2"/>
    <s v="NULL"/>
    <s v=""/>
    <d v="2025-11-30T00:00:00"/>
    <n v="0"/>
    <n v="4"/>
    <x v="0"/>
    <x v="10"/>
    <x v="1"/>
  </r>
  <r>
    <x v="5123"/>
    <n v="4017890123450"/>
    <x v="16"/>
    <s v="Hračky – Psy"/>
    <s v="Dogissimo"/>
    <n v="7.6"/>
    <n v="1"/>
    <s v="NULL"/>
    <s v=""/>
    <d v="2025-11-30T00:00:00"/>
    <n v="0"/>
    <n v="7.6"/>
    <x v="0"/>
    <x v="10"/>
    <x v="0"/>
  </r>
  <r>
    <x v="5124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25"/>
    <n v="4003344556679"/>
    <x v="19"/>
    <s v="Pelechy a nábytok – Psy"/>
    <s v="Canine Craft Industries"/>
    <n v="51.64"/>
    <n v="1"/>
    <s v="5"/>
    <s v="Velký a pohodlný, za super cenu."/>
    <d v="2025-11-30T00:00:00"/>
    <n v="0"/>
    <n v="51.64"/>
    <x v="2"/>
    <x v="10"/>
    <x v="0"/>
  </r>
  <r>
    <x v="5126"/>
    <n v="4044567890123"/>
    <x v="27"/>
    <s v="Hračky – Mačky"/>
    <s v="BellaMeow"/>
    <n v="6"/>
    <n v="2"/>
    <s v="NULL"/>
    <s v=""/>
    <d v="2025-11-30T00:00:00"/>
    <n v="0"/>
    <n v="12"/>
    <x v="0"/>
    <x v="10"/>
    <x v="1"/>
  </r>
  <r>
    <x v="5127"/>
    <n v="4063456789014"/>
    <x v="15"/>
    <s v="Krmivo a maškrty – Psy"/>
    <s v="Pupco"/>
    <n v="36"/>
    <n v="1"/>
    <s v="5"/>
    <s v="Pes prospieva, skvelé krmivo."/>
    <d v="2025-11-30T00:00:00"/>
    <n v="0"/>
    <n v="36"/>
    <x v="2"/>
    <x v="10"/>
    <x v="0"/>
  </r>
  <r>
    <x v="5128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5129"/>
    <n v="4002233445566"/>
    <x v="28"/>
    <s v="Pelechy a nábytok – Mačky"/>
    <s v="Catissime"/>
    <n v="20"/>
    <n v="1"/>
    <s v="NULL"/>
    <s v=""/>
    <d v="2025-11-30T00:00:00"/>
    <n v="0"/>
    <n v="20"/>
    <x v="0"/>
    <x v="10"/>
    <x v="1"/>
  </r>
  <r>
    <x v="5130"/>
    <n v="4017788990015"/>
    <x v="62"/>
    <s v="Krmivo a maškrty – Mačky"/>
    <s v="Mr. Whiskers"/>
    <n v="4.8"/>
    <n v="2"/>
    <s v="NULL"/>
    <s v=""/>
    <d v="2025-11-30T00:00:00"/>
    <n v="0"/>
    <n v="9.6"/>
    <x v="0"/>
    <x v="10"/>
    <x v="1"/>
  </r>
  <r>
    <x v="5131"/>
    <n v="4069012345682"/>
    <x v="23"/>
    <s v="Oblečenie a doplnky – Mačky"/>
    <s v="Catissime"/>
    <n v="26"/>
    <n v="1"/>
    <s v="5"/>
    <s v="V zime nutnost, vyzerá skvelo!"/>
    <d v="2025-11-30T00:00:00"/>
    <n v="0"/>
    <n v="26"/>
    <x v="2"/>
    <x v="10"/>
    <x v="1"/>
  </r>
  <r>
    <x v="5132"/>
    <n v="4055566778892"/>
    <x v="63"/>
    <s v="Misky a kŕmne doplnky – Mačky"/>
    <s v="PawStyle"/>
    <n v="8"/>
    <n v="1"/>
    <s v="NULL"/>
    <s v=""/>
    <d v="2025-11-30T00:00:00"/>
    <n v="0"/>
    <n v="8"/>
    <x v="0"/>
    <x v="10"/>
    <x v="1"/>
  </r>
  <r>
    <x v="5133"/>
    <n v="4046789012356"/>
    <x v="30"/>
    <s v="Hračky – Psy"/>
    <s v="Pupco"/>
    <n v="6.4"/>
    <n v="1"/>
    <s v="NULL"/>
    <s v=""/>
    <d v="2025-11-30T00:00:00"/>
    <n v="0"/>
    <n v="6.4"/>
    <x v="0"/>
    <x v="10"/>
    <x v="0"/>
  </r>
  <r>
    <x v="5134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35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5136"/>
    <n v="4003344556679"/>
    <x v="19"/>
    <s v="Pelechy a nábytok – Psy"/>
    <s v="Canine Craft Industries"/>
    <n v="51.64"/>
    <n v="1"/>
    <s v="NULL"/>
    <s v=""/>
    <d v="2025-11-30T00:00:00"/>
    <n v="0"/>
    <n v="51.64"/>
    <x v="0"/>
    <x v="10"/>
    <x v="0"/>
  </r>
  <r>
    <x v="5137"/>
    <n v="4028899001126"/>
    <x v="1"/>
    <s v="Krmivo a maškrty – Psy"/>
    <s v="Pup Republic"/>
    <n v="2.8"/>
    <n v="3"/>
    <s v="4"/>
    <s v="Chutí a nezapáchá."/>
    <d v="2025-11-30T00:00:00"/>
    <n v="0"/>
    <n v="8.3999999999999986"/>
    <x v="1"/>
    <x v="10"/>
    <x v="0"/>
  </r>
  <r>
    <x v="5138"/>
    <n v="4016677889902"/>
    <x v="42"/>
    <s v="Oblečenie a doplnky – Psy"/>
    <s v="Pup Republic"/>
    <n v="22"/>
    <n v="1"/>
    <s v="NULL"/>
    <s v=""/>
    <d v="2025-11-30T00:00:00"/>
    <n v="0"/>
    <n v="22"/>
    <x v="0"/>
    <x v="10"/>
    <x v="0"/>
  </r>
  <r>
    <x v="5139"/>
    <n v="4047890123460"/>
    <x v="40"/>
    <s v="Oblečenie a doplnky – Mačky"/>
    <s v="Pawtastic"/>
    <n v="10"/>
    <n v="1"/>
    <s v="NULL"/>
    <s v=""/>
    <d v="2025-11-30T00:00:00"/>
    <n v="0"/>
    <n v="10"/>
    <x v="0"/>
    <x v="10"/>
    <x v="1"/>
  </r>
  <r>
    <x v="5140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141"/>
    <n v="4051234567806"/>
    <x v="84"/>
    <s v="Starostlivosť a hygiena – Ostatné"/>
    <s v="Pawsitive Gear"/>
    <n v="5.2"/>
    <n v="1"/>
    <s v="NULL"/>
    <s v=""/>
    <d v="2025-11-30T00:00:00"/>
    <n v="0"/>
    <n v="5.2"/>
    <x v="0"/>
    <x v="10"/>
    <x v="2"/>
  </r>
  <r>
    <x v="5142"/>
    <n v="4042233445567"/>
    <x v="57"/>
    <s v="Pelechy a nábytok – Mačky"/>
    <s v="CozyNest"/>
    <n v="51.64"/>
    <n v="1"/>
    <s v="5"/>
    <s v="Kvalita odpovídá cene, mačka nadšená."/>
    <d v="2025-11-30T00:00:00"/>
    <n v="0"/>
    <n v="51.64"/>
    <x v="2"/>
    <x v="10"/>
    <x v="1"/>
  </r>
  <r>
    <x v="5143"/>
    <n v="4056789012345"/>
    <x v="11"/>
    <s v="Krmivo a maškrty – Mačky"/>
    <s v="BellaMeow"/>
    <n v="2.4"/>
    <n v="3"/>
    <s v="NULL"/>
    <s v=""/>
    <d v="2025-11-30T00:00:00"/>
    <n v="0"/>
    <n v="7.1999999999999993"/>
    <x v="0"/>
    <x v="10"/>
    <x v="1"/>
  </r>
  <r>
    <x v="5144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5145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46"/>
    <n v="4029900112244"/>
    <x v="65"/>
    <s v="Starostlivosť a hygiena – Mačky"/>
    <s v="BellaMeow"/>
    <n v="13.6"/>
    <n v="1"/>
    <s v="4"/>
    <s v="Dobre vonia, dlho vydrží."/>
    <d v="2025-11-30T00:00:00"/>
    <n v="0"/>
    <n v="13.6"/>
    <x v="1"/>
    <x v="10"/>
    <x v="1"/>
  </r>
  <r>
    <x v="5147"/>
    <n v="4007788990022"/>
    <x v="70"/>
    <s v="Pelechy a nábytok – Mačky"/>
    <s v="CozyNest"/>
    <n v="59.64"/>
    <n v="1"/>
    <s v="NULL"/>
    <s v=""/>
    <d v="2025-11-30T00:00:00"/>
    <n v="0"/>
    <n v="59.64"/>
    <x v="0"/>
    <x v="10"/>
    <x v="1"/>
  </r>
  <r>
    <x v="5148"/>
    <n v="4018901234567"/>
    <x v="76"/>
    <s v="Oblečenie a doplnky – Mačky"/>
    <s v="Mr. Whiskers"/>
    <n v="20"/>
    <n v="1"/>
    <s v="NULL"/>
    <s v=""/>
    <d v="2025-11-30T00:00:00"/>
    <n v="0"/>
    <n v="20"/>
    <x v="0"/>
    <x v="10"/>
    <x v="1"/>
  </r>
  <r>
    <x v="5149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5150"/>
    <n v="4046677889901"/>
    <x v="86"/>
    <s v="Starostlivosť a hygiena – Psy"/>
    <s v="Bark&amp;Bone"/>
    <n v="7.2"/>
    <n v="1"/>
    <s v="NULL"/>
    <s v=""/>
    <d v="2025-11-30T00:00:00"/>
    <n v="0"/>
    <n v="7.2"/>
    <x v="0"/>
    <x v="10"/>
    <x v="0"/>
  </r>
  <r>
    <x v="5151"/>
    <n v="8593456789012"/>
    <x v="4"/>
    <s v="Krmivo a maškrty – Mačky"/>
    <s v="Catissime"/>
    <n v="42"/>
    <n v="1"/>
    <s v="5"/>
    <s v="Najlepšie krmivo, mačka prospieva."/>
    <d v="2025-11-30T00:00:00"/>
    <n v="0"/>
    <n v="42"/>
    <x v="2"/>
    <x v="10"/>
    <x v="1"/>
  </r>
  <r>
    <x v="5152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5153"/>
    <n v="4009012345672"/>
    <x v="10"/>
    <s v="Starostlivosť a hygiena – Mačky"/>
    <s v="Mr. Whiskers"/>
    <n v="11.2"/>
    <n v="1"/>
    <s v="NULL"/>
    <s v=""/>
    <d v="2025-11-30T00:00:00"/>
    <n v="0"/>
    <n v="11.2"/>
    <x v="0"/>
    <x v="10"/>
    <x v="1"/>
  </r>
  <r>
    <x v="5154"/>
    <n v="4046789012356"/>
    <x v="30"/>
    <s v="Hračky – Psy"/>
    <s v="Pupco"/>
    <n v="6.4"/>
    <n v="1"/>
    <s v="NULL"/>
    <s v=""/>
    <d v="2025-11-30T00:00:00"/>
    <n v="0"/>
    <n v="6.4"/>
    <x v="0"/>
    <x v="10"/>
    <x v="0"/>
  </r>
  <r>
    <x v="5155"/>
    <n v="4018901234567"/>
    <x v="76"/>
    <s v="Oblečenie a doplnky – Mačky"/>
    <s v="Mr. Whiskers"/>
    <n v="20"/>
    <n v="1"/>
    <s v="NULL"/>
    <s v=""/>
    <d v="2025-11-30T00:00:00"/>
    <n v="0"/>
    <n v="20"/>
    <x v="0"/>
    <x v="10"/>
    <x v="1"/>
  </r>
  <r>
    <x v="5156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5157"/>
    <n v="4013456789017"/>
    <x v="0"/>
    <s v="Krmivo a maškrty – Psy"/>
    <s v="Snouty"/>
    <n v="6"/>
    <n v="1"/>
    <s v="4"/>
    <s v="Pes sa je žiada po každé procházce."/>
    <d v="2025-11-30T00:00:00"/>
    <n v="0"/>
    <n v="6"/>
    <x v="1"/>
    <x v="10"/>
    <x v="0"/>
  </r>
  <r>
    <x v="5158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59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5160"/>
    <n v="4029900112244"/>
    <x v="65"/>
    <s v="Starostlivosť a hygiena – Mačky"/>
    <s v="BellaMeow"/>
    <n v="13.6"/>
    <n v="1"/>
    <s v="NULL"/>
    <s v=""/>
    <d v="2025-11-30T00:00:00"/>
    <n v="0"/>
    <n v="13.6"/>
    <x v="0"/>
    <x v="10"/>
    <x v="1"/>
  </r>
  <r>
    <x v="5161"/>
    <n v="4003344556679"/>
    <x v="19"/>
    <s v="Pelechy a nábytok – Psy"/>
    <s v="Canine Craft Industries"/>
    <n v="51.64"/>
    <n v="1"/>
    <s v="5"/>
    <s v="Mäkký, pes nechce jiný."/>
    <d v="2025-11-30T00:00:00"/>
    <n v="0"/>
    <n v="51.64"/>
    <x v="2"/>
    <x v="10"/>
    <x v="0"/>
  </r>
  <r>
    <x v="5162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163"/>
    <n v="4000123456786"/>
    <x v="31"/>
    <s v="Starostlivosť a hygiena – Psy"/>
    <s v="Tail Trend"/>
    <n v="6.8"/>
    <n v="1"/>
    <s v="NULL"/>
    <s v=""/>
    <d v="2025-11-30T00:00:00"/>
    <n v="0"/>
    <n v="6.8"/>
    <x v="0"/>
    <x v="10"/>
    <x v="0"/>
  </r>
  <r>
    <x v="5164"/>
    <n v="4028899001126"/>
    <x v="1"/>
    <s v="Krmivo a maškrty – Psy"/>
    <s v="Pup Republic"/>
    <n v="2.8"/>
    <n v="3"/>
    <s v="4"/>
    <s v="Pes je len tyhle, takže berieme znovu."/>
    <d v="2025-11-30T00:00:00"/>
    <n v="0"/>
    <n v="8.3999999999999986"/>
    <x v="1"/>
    <x v="10"/>
    <x v="0"/>
  </r>
  <r>
    <x v="5165"/>
    <n v="4016677889902"/>
    <x v="42"/>
    <s v="Oblečenie a doplnky – Psy"/>
    <s v="Pup Republic"/>
    <n v="22"/>
    <n v="1"/>
    <s v="NULL"/>
    <s v=""/>
    <d v="2025-11-30T00:00:00"/>
    <n v="0"/>
    <n v="22"/>
    <x v="0"/>
    <x v="10"/>
    <x v="0"/>
  </r>
  <r>
    <x v="5166"/>
    <n v="4044567890123"/>
    <x v="27"/>
    <s v="Hračky – Mačky"/>
    <s v="BellaMeow"/>
    <n v="6"/>
    <n v="2"/>
    <s v="NULL"/>
    <s v=""/>
    <d v="2025-11-30T00:00:00"/>
    <n v="0"/>
    <n v="12"/>
    <x v="0"/>
    <x v="10"/>
    <x v="1"/>
  </r>
  <r>
    <x v="5167"/>
    <n v="4022345678908"/>
    <x v="55"/>
    <s v="Starostlivosť a hygiena – Psy"/>
    <s v="PawStyle"/>
    <n v="10"/>
    <n v="1"/>
    <s v="NULL"/>
    <s v=""/>
    <d v="2025-11-30T00:00:00"/>
    <n v="0"/>
    <n v="10"/>
    <x v="0"/>
    <x v="10"/>
    <x v="0"/>
  </r>
  <r>
    <x v="5168"/>
    <n v="4006677889904"/>
    <x v="26"/>
    <s v="Krmivo a maškrty – Mačky"/>
    <s v="Catissime"/>
    <n v="2"/>
    <n v="2"/>
    <s v="NULL"/>
    <s v=""/>
    <d v="2025-11-30T00:00:00"/>
    <n v="0"/>
    <n v="4"/>
    <x v="0"/>
    <x v="10"/>
    <x v="1"/>
  </r>
  <r>
    <x v="5169"/>
    <n v="4056789012345"/>
    <x v="11"/>
    <s v="Krmivo a maškrty – Mačky"/>
    <s v="BellaMeow"/>
    <n v="2.4"/>
    <n v="2"/>
    <s v="NULL"/>
    <s v=""/>
    <d v="2025-11-30T00:00:00"/>
    <n v="0"/>
    <n v="4.8"/>
    <x v="0"/>
    <x v="10"/>
    <x v="1"/>
  </r>
  <r>
    <x v="5170"/>
    <n v="4063456789014"/>
    <x v="15"/>
    <s v="Krmivo a maškrty – Psy"/>
    <s v="Pupco"/>
    <n v="36"/>
    <n v="1"/>
    <s v="NULL"/>
    <s v=""/>
    <d v="2025-11-30T00:00:00"/>
    <n v="0"/>
    <n v="36"/>
    <x v="0"/>
    <x v="10"/>
    <x v="0"/>
  </r>
  <r>
    <x v="5171"/>
    <n v="4027788990013"/>
    <x v="9"/>
    <s v="Starostlivosť a hygiena – Psy"/>
    <s v="Dogissimo"/>
    <n v="8"/>
    <n v="1"/>
    <s v="NULL"/>
    <s v=""/>
    <d v="2025-11-30T00:00:00"/>
    <n v="0"/>
    <n v="8"/>
    <x v="0"/>
    <x v="10"/>
    <x v="0"/>
  </r>
  <r>
    <x v="5172"/>
    <n v="4055566778892"/>
    <x v="63"/>
    <s v="Misky a kŕmne doplnky – Mačky"/>
    <s v="PawStyle"/>
    <n v="8"/>
    <n v="1"/>
    <s v="NULL"/>
    <s v=""/>
    <d v="2025-11-30T00:00:00"/>
    <n v="0"/>
    <n v="8"/>
    <x v="0"/>
    <x v="10"/>
    <x v="1"/>
  </r>
  <r>
    <x v="5173"/>
    <n v="4026677889902"/>
    <x v="12"/>
    <s v="Misky a kŕmne doplnky – Ostatné"/>
    <s v="Pawsitive Gear"/>
    <n v="7.6"/>
    <n v="1"/>
    <s v="NULL"/>
    <s v=""/>
    <d v="2025-11-30T00:00:00"/>
    <n v="0"/>
    <n v="7.6"/>
    <x v="0"/>
    <x v="10"/>
    <x v="2"/>
  </r>
  <r>
    <x v="5174"/>
    <n v="4028899001126"/>
    <x v="1"/>
    <s v="Krmivo a maškrty – Psy"/>
    <s v="Pup Republic"/>
    <n v="2.8"/>
    <n v="2"/>
    <s v="NULL"/>
    <s v=""/>
    <d v="2025-11-30T00:00:00"/>
    <n v="0"/>
    <n v="5.6"/>
    <x v="0"/>
    <x v="10"/>
    <x v="0"/>
  </r>
  <r>
    <x v="5175"/>
    <n v="4013456789017"/>
    <x v="0"/>
    <s v="Krmivo a maškrty – Psy"/>
    <s v="Snouty"/>
    <n v="6"/>
    <n v="1"/>
    <s v="5"/>
    <s v="Pes nadšený, kupujeme znovu."/>
    <d v="2025-11-30T00:00:00"/>
    <n v="0"/>
    <n v="6"/>
    <x v="2"/>
    <x v="10"/>
    <x v="0"/>
  </r>
  <r>
    <x v="5176"/>
    <n v="8595566778890"/>
    <x v="77"/>
    <s v="Krmivo a maškrty – Mačky"/>
    <s v="BellaMeow"/>
    <n v="38"/>
    <n v="1"/>
    <s v="NULL"/>
    <s v=""/>
    <d v="2025-11-30T00:00:00"/>
    <n v="0"/>
    <n v="38"/>
    <x v="0"/>
    <x v="10"/>
    <x v="1"/>
  </r>
  <r>
    <x v="5177"/>
    <n v="4010123456783"/>
    <x v="6"/>
    <s v="Starostlivosť a hygiena – Mačky"/>
    <s v="BellaMeow"/>
    <n v="14"/>
    <n v="1"/>
    <s v="4"/>
    <s v="Nezapáchá anaj po týždni, odporúčam."/>
    <d v="2025-11-30T00:00:00"/>
    <n v="0"/>
    <n v="14"/>
    <x v="1"/>
    <x v="10"/>
    <x v="1"/>
  </r>
  <r>
    <x v="5178"/>
    <n v="4028899001126"/>
    <x v="1"/>
    <s v="Krmivo a maškrty – Psy"/>
    <s v="Pup Republic"/>
    <n v="2.8"/>
    <n v="3"/>
    <s v="NULL"/>
    <s v=""/>
    <d v="2025-11-30T00:00:00"/>
    <n v="0"/>
    <n v="8.3999999999999986"/>
    <x v="0"/>
    <x v="10"/>
    <x v="0"/>
  </r>
  <r>
    <x v="5179"/>
    <n v="4013456789017"/>
    <x v="0"/>
    <s v="Krmivo a maškrty – Psy"/>
    <s v="Snouty"/>
    <n v="6"/>
    <n v="2"/>
    <s v="5"/>
    <s v="Pes sa môže zblázniť od radosti."/>
    <d v="2025-11-30T00:00:00"/>
    <n v="0"/>
    <n v="12"/>
    <x v="2"/>
    <x v="10"/>
    <x v="0"/>
  </r>
  <r>
    <x v="5180"/>
    <n v="4067890123456"/>
    <x v="17"/>
    <s v="Krmivo a maškrty – Mačky"/>
    <s v="PawStyle"/>
    <n v="36"/>
    <n v="1"/>
    <s v="NULL"/>
    <s v=""/>
    <d v="2025-11-30T00:00:00"/>
    <n v="0"/>
    <n v="36"/>
    <x v="0"/>
    <x v="10"/>
    <x v="1"/>
  </r>
  <r>
    <x v="5181"/>
    <n v="4003344556679"/>
    <x v="19"/>
    <s v="Pelechy a nábytok – Psy"/>
    <s v="Canine Craft Industries"/>
    <n v="51.64"/>
    <n v="1"/>
    <s v="5"/>
    <s v="Vynikající kvalita, pes spí ako král."/>
    <d v="2025-11-30T00:00:00"/>
    <n v="0"/>
    <n v="51.64"/>
    <x v="2"/>
    <x v="10"/>
    <x v="0"/>
  </r>
  <r>
    <x v="5182"/>
    <n v="4042233445567"/>
    <x v="57"/>
    <s v="Pelechy a nábytok – Mačky"/>
    <s v="CozyNest"/>
    <n v="51.64"/>
    <n v="1"/>
    <s v="NULL"/>
    <s v=""/>
    <d v="2025-11-30T00:00:00"/>
    <n v="0"/>
    <n v="51.64"/>
    <x v="0"/>
    <x v="10"/>
    <x v="1"/>
  </r>
  <r>
    <x v="5183"/>
    <n v="4050123456794"/>
    <x v="8"/>
    <s v="Starostlivosť a hygiena – Mačky"/>
    <s v="Nordic Tail"/>
    <n v="7.2"/>
    <n v="1"/>
    <s v="NULL"/>
    <s v=""/>
    <d v="2025-11-30T00:00:00"/>
    <n v="0"/>
    <n v="7.2"/>
    <x v="0"/>
    <x v="10"/>
    <x v="1"/>
  </r>
  <r>
    <x v="5184"/>
    <n v="4027788990013"/>
    <x v="9"/>
    <s v="Starostlivosť a hygiena – Psy"/>
    <s v="Dogissimo"/>
    <n v="8"/>
    <n v="1"/>
    <s v="4"/>
    <s v="Príjemná vôňa, srsť hebká."/>
    <d v="2025-11-30T00:00:00"/>
    <n v="0"/>
    <n v="8"/>
    <x v="1"/>
    <x v="10"/>
    <x v="0"/>
  </r>
  <r>
    <x v="5185"/>
    <n v="4028899001126"/>
    <x v="1"/>
    <s v="Krmivo a maškrty – Psy"/>
    <s v="Pup Republic"/>
    <n v="2.8"/>
    <n v="3"/>
    <s v="5"/>
    <s v="Náš pes ju zbožňuje, kupujeme stále."/>
    <d v="2025-12-01T00:00:00"/>
    <n v="0"/>
    <n v="8.3999999999999986"/>
    <x v="2"/>
    <x v="11"/>
    <x v="0"/>
  </r>
  <r>
    <x v="5186"/>
    <n v="4013456789017"/>
    <x v="0"/>
    <s v="Krmivo a maškrty – Psy"/>
    <s v="Snouty"/>
    <n v="6"/>
    <n v="2"/>
    <s v="NULL"/>
    <s v=""/>
    <d v="2025-12-01T00:00:00"/>
    <n v="0"/>
    <n v="12"/>
    <x v="0"/>
    <x v="11"/>
    <x v="0"/>
  </r>
  <r>
    <x v="5187"/>
    <n v="4027788990013"/>
    <x v="9"/>
    <s v="Starostlivosť a hygiena – Psy"/>
    <s v="Dogissimo"/>
    <n v="8"/>
    <n v="1"/>
    <s v="NULL"/>
    <s v=""/>
    <d v="2025-12-01T00:00:00"/>
    <n v="0"/>
    <n v="8"/>
    <x v="0"/>
    <x v="11"/>
    <x v="0"/>
  </r>
  <r>
    <x v="5188"/>
    <n v="4042233445567"/>
    <x v="57"/>
    <s v="Pelechy a nábytok – Mačky"/>
    <s v="CozyNest"/>
    <n v="51.64"/>
    <n v="1"/>
    <s v="5"/>
    <s v="Krásny darček pre našu mačku k Vianociam."/>
    <d v="2025-12-01T00:00:00"/>
    <n v="0"/>
    <n v="51.64"/>
    <x v="2"/>
    <x v="11"/>
    <x v="1"/>
  </r>
  <r>
    <x v="5189"/>
    <n v="8593456789012"/>
    <x v="4"/>
    <s v="Krmivo a maškrty – Mačky"/>
    <s v="Catissime"/>
    <n v="42"/>
    <n v="1"/>
    <s v="4"/>
    <s v="Mačka má lesklú srsť, dobré krmivo."/>
    <d v="2025-12-01T00:00:00"/>
    <n v="0"/>
    <n v="42"/>
    <x v="1"/>
    <x v="11"/>
    <x v="1"/>
  </r>
  <r>
    <x v="5190"/>
    <n v="4063456789014"/>
    <x v="15"/>
    <s v="Krmivo a maškrty – Psy"/>
    <s v="Pupco"/>
    <n v="36"/>
    <n v="1"/>
    <s v="NULL"/>
    <s v=""/>
    <d v="2025-12-01T00:00:00"/>
    <n v="0"/>
    <n v="36"/>
    <x v="0"/>
    <x v="11"/>
    <x v="0"/>
  </r>
  <r>
    <x v="5191"/>
    <n v="4056789012345"/>
    <x v="11"/>
    <s v="Krmivo a maškrty – Mačky"/>
    <s v="BellaMeow"/>
    <n v="2.4"/>
    <n v="3"/>
    <s v="NULL"/>
    <s v=""/>
    <d v="2025-12-01T00:00:00"/>
    <n v="0"/>
    <n v="7.1999999999999993"/>
    <x v="0"/>
    <x v="11"/>
    <x v="1"/>
  </r>
  <r>
    <x v="5192"/>
    <n v="4042233445567"/>
    <x v="57"/>
    <s v="Pelechy a nábytok – Mačky"/>
    <s v="CozyNest"/>
    <n v="51.64"/>
    <n v="1"/>
    <s v="NULL"/>
    <s v=""/>
    <d v="2025-12-01T00:00:00"/>
    <n v="0"/>
    <n v="51.64"/>
    <x v="0"/>
    <x v="11"/>
    <x v="1"/>
  </r>
  <r>
    <x v="5193"/>
    <n v="4003344556679"/>
    <x v="19"/>
    <s v="Pelechy a nábytok – Psy"/>
    <s v="Canine Craft Industries"/>
    <n v="51.64"/>
    <n v="1"/>
    <s v="5"/>
    <s v="Pes konečne spí v teple, super pelech."/>
    <d v="2025-12-01T00:00:00"/>
    <n v="0"/>
    <n v="51.64"/>
    <x v="2"/>
    <x v="11"/>
    <x v="0"/>
  </r>
  <r>
    <x v="5194"/>
    <n v="4018901234567"/>
    <x v="76"/>
    <s v="Oblečenie a doplnky – Mačky"/>
    <s v="Mr. Whiskers"/>
    <n v="20"/>
    <n v="1"/>
    <s v="NULL"/>
    <s v=""/>
    <d v="2025-12-01T00:00:00"/>
    <n v="0"/>
    <n v="20"/>
    <x v="0"/>
    <x v="11"/>
    <x v="1"/>
  </r>
  <r>
    <x v="5195"/>
    <n v="4067890123456"/>
    <x v="17"/>
    <s v="Krmivo a maškrty – Mačky"/>
    <s v="PawStyle"/>
    <n v="36"/>
    <n v="1"/>
    <s v="4"/>
    <s v="Dobré krmivo, chlupy po byte mizí."/>
    <d v="2025-12-02T00:00:00"/>
    <n v="0"/>
    <n v="36"/>
    <x v="1"/>
    <x v="11"/>
    <x v="1"/>
  </r>
  <r>
    <x v="5196"/>
    <n v="4010123456783"/>
    <x v="6"/>
    <s v="Starostlivosť a hygiena – Mačky"/>
    <s v="BellaMeow"/>
    <n v="14"/>
    <n v="1"/>
    <s v="NULL"/>
    <s v=""/>
    <d v="2025-12-02T00:00:00"/>
    <n v="0"/>
    <n v="14"/>
    <x v="0"/>
    <x v="11"/>
    <x v="1"/>
  </r>
  <r>
    <x v="5197"/>
    <n v="4027788990013"/>
    <x v="9"/>
    <s v="Starostlivosť a hygiena – Psy"/>
    <s v="Dogissimo"/>
    <n v="8"/>
    <n v="1"/>
    <s v="NULL"/>
    <s v=""/>
    <d v="2025-12-02T00:00:00"/>
    <n v="0"/>
    <n v="8"/>
    <x v="0"/>
    <x v="11"/>
    <x v="0"/>
  </r>
  <r>
    <x v="5198"/>
    <n v="4013456789017"/>
    <x v="0"/>
    <s v="Krmivo a maškrty – Psy"/>
    <s v="Snouty"/>
    <n v="6"/>
    <n v="1"/>
    <s v="5"/>
    <s v="Najobľúbenejšie maškrty, používame pri výcviku."/>
    <d v="2025-12-02T00:00:00"/>
    <n v="0"/>
    <n v="6"/>
    <x v="2"/>
    <x v="11"/>
    <x v="0"/>
  </r>
  <r>
    <x v="5199"/>
    <n v="4028899001126"/>
    <x v="1"/>
    <s v="Krmivo a maškrty – Psy"/>
    <s v="Pup Republic"/>
    <n v="2.8"/>
    <n v="3"/>
    <s v="NULL"/>
    <s v=""/>
    <d v="2025-12-02T00:00:00"/>
    <n v="0"/>
    <n v="8.3999999999999986"/>
    <x v="0"/>
    <x v="11"/>
    <x v="0"/>
  </r>
  <r>
    <x v="5200"/>
    <n v="4050123456794"/>
    <x v="8"/>
    <s v="Starostlivosť a hygiena – Mačky"/>
    <s v="Nordic Tail"/>
    <n v="7.2"/>
    <n v="1"/>
    <s v="NULL"/>
    <s v=""/>
    <d v="2025-12-02T00:00:00"/>
    <n v="0"/>
    <n v="7.2"/>
    <x v="0"/>
    <x v="11"/>
    <x v="1"/>
  </r>
  <r>
    <x v="5201"/>
    <n v="4067890123456"/>
    <x v="17"/>
    <s v="Krmivo a maškrty – Mačky"/>
    <s v="PawStyle"/>
    <n v="36"/>
    <n v="1"/>
    <s v="NULL"/>
    <s v=""/>
    <d v="2025-12-02T00:00:00"/>
    <n v="0"/>
    <n v="36"/>
    <x v="0"/>
    <x v="11"/>
    <x v="1"/>
  </r>
  <r>
    <x v="5202"/>
    <n v="4021234567894"/>
    <x v="18"/>
    <s v="Starostlivosť a hygiena – Mačky"/>
    <s v="PawStyle"/>
    <n v="8"/>
    <n v="1"/>
    <s v="3"/>
    <s v="Za tú cenu ok."/>
    <d v="2025-12-02T00:00:00"/>
    <n v="0"/>
    <n v="8"/>
    <x v="3"/>
    <x v="11"/>
    <x v="1"/>
  </r>
  <r>
    <x v="5203"/>
    <n v="4003344556679"/>
    <x v="19"/>
    <s v="Pelechy a nábytok – Psy"/>
    <s v="Canine Craft Industries"/>
    <n v="51.64"/>
    <n v="1"/>
    <s v="NULL"/>
    <s v=""/>
    <d v="2025-12-02T00:00:00"/>
    <n v="0"/>
    <n v="51.64"/>
    <x v="0"/>
    <x v="11"/>
    <x v="0"/>
  </r>
  <r>
    <x v="5204"/>
    <n v="4028899001126"/>
    <x v="1"/>
    <s v="Krmivo a maškrty – Psy"/>
    <s v="Pup Republic"/>
    <n v="2.8"/>
    <n v="2"/>
    <s v="NULL"/>
    <s v=""/>
    <d v="2025-12-02T00:00:00"/>
    <n v="0"/>
    <n v="5.6"/>
    <x v="0"/>
    <x v="11"/>
    <x v="0"/>
  </r>
  <r>
    <x v="5205"/>
    <n v="4013456789017"/>
    <x v="0"/>
    <s v="Krmivo a maškrty – Psy"/>
    <s v="Snouty"/>
    <n v="6"/>
    <n v="1"/>
    <s v="NULL"/>
    <s v=""/>
    <d v="2025-12-02T00:00:00"/>
    <n v="0"/>
    <n v="6"/>
    <x v="0"/>
    <x v="11"/>
    <x v="0"/>
  </r>
  <r>
    <x v="5206"/>
    <n v="4046677889901"/>
    <x v="86"/>
    <s v="Starostlivosť a hygiena – Psy"/>
    <s v="Bark&amp;Bone"/>
    <n v="7.2"/>
    <n v="1"/>
    <s v="NULL"/>
    <s v=""/>
    <d v="2025-12-02T00:00:00"/>
    <n v="0"/>
    <n v="7.2"/>
    <x v="0"/>
    <x v="11"/>
    <x v="0"/>
  </r>
  <r>
    <x v="5207"/>
    <n v="4017890123450"/>
    <x v="16"/>
    <s v="Hračky – Psy"/>
    <s v="Dogissimo"/>
    <n v="7.6"/>
    <n v="1"/>
    <s v="4"/>
    <s v="Obľúbená hračka, trochu hlučná."/>
    <d v="2025-12-03T00:00:00"/>
    <n v="0"/>
    <n v="7.6"/>
    <x v="1"/>
    <x v="11"/>
    <x v="0"/>
  </r>
  <r>
    <x v="5208"/>
    <n v="8595566778890"/>
    <x v="77"/>
    <s v="Krmivo a maškrty – Mačky"/>
    <s v="BellaMeow"/>
    <n v="38"/>
    <n v="1"/>
    <s v="NULL"/>
    <s v=""/>
    <d v="2025-12-03T00:00:00"/>
    <n v="0"/>
    <n v="38"/>
    <x v="0"/>
    <x v="11"/>
    <x v="1"/>
  </r>
  <r>
    <x v="5209"/>
    <n v="4042233445567"/>
    <x v="57"/>
    <s v="Pelechy a nábytok – Mačky"/>
    <s v="CozyNest"/>
    <n v="51.64"/>
    <n v="1"/>
    <s v="NULL"/>
    <s v=""/>
    <d v="2025-12-03T00:00:00"/>
    <n v="0"/>
    <n v="51.64"/>
    <x v="0"/>
    <x v="11"/>
    <x v="1"/>
  </r>
  <r>
    <x v="5210"/>
    <n v="4026677889902"/>
    <x v="12"/>
    <s v="Misky a kŕmne doplnky – Ostatné"/>
    <s v="Pawsitive Gear"/>
    <n v="7.6"/>
    <n v="1"/>
    <s v="NULL"/>
    <s v=""/>
    <d v="2025-12-03T00:00:00"/>
    <n v="0"/>
    <n v="7.6"/>
    <x v="0"/>
    <x v="11"/>
    <x v="2"/>
  </r>
  <r>
    <x v="5211"/>
    <n v="4056789012345"/>
    <x v="11"/>
    <s v="Krmivo a maškrty – Mačky"/>
    <s v="BellaMeow"/>
    <n v="2.4"/>
    <n v="2"/>
    <s v="NULL"/>
    <s v=""/>
    <d v="2025-12-03T00:00:00"/>
    <n v="0"/>
    <n v="4.8"/>
    <x v="0"/>
    <x v="11"/>
    <x v="1"/>
  </r>
  <r>
    <x v="5212"/>
    <n v="4003344556679"/>
    <x v="19"/>
    <s v="Pelechy a nábytok – Psy"/>
    <s v="Canine Craft Industries"/>
    <n v="51.64"/>
    <n v="1"/>
    <s v="5"/>
    <s v="Pes ho miluje, hneď sa do neho lehl."/>
    <d v="2025-12-03T00:00:00"/>
    <n v="0"/>
    <n v="51.64"/>
    <x v="2"/>
    <x v="11"/>
    <x v="0"/>
  </r>
  <r>
    <x v="5213"/>
    <n v="4016677889902"/>
    <x v="42"/>
    <s v="Oblečenie a doplnky – Psy"/>
    <s v="Pup Republic"/>
    <n v="22"/>
    <n v="1"/>
    <s v="NULL"/>
    <s v=""/>
    <d v="2025-12-03T00:00:00"/>
    <n v="0"/>
    <n v="22"/>
    <x v="0"/>
    <x v="11"/>
    <x v="0"/>
  </r>
  <r>
    <x v="5214"/>
    <n v="4047890123460"/>
    <x v="40"/>
    <s v="Oblečenie a doplnky – Mačky"/>
    <s v="Pawtastic"/>
    <n v="10"/>
    <n v="1"/>
    <s v="NULL"/>
    <s v=""/>
    <d v="2025-12-03T00:00:00"/>
    <n v="0"/>
    <n v="10"/>
    <x v="0"/>
    <x v="11"/>
    <x v="1"/>
  </r>
  <r>
    <x v="5215"/>
    <n v="4028899001126"/>
    <x v="1"/>
    <s v="Krmivo a maškrty – Psy"/>
    <s v="Pup Republic"/>
    <n v="2.8"/>
    <n v="2"/>
    <s v="NULL"/>
    <s v=""/>
    <d v="2025-12-03T00:00:00"/>
    <n v="0"/>
    <n v="5.6"/>
    <x v="0"/>
    <x v="11"/>
    <x v="0"/>
  </r>
  <r>
    <x v="5216"/>
    <n v="4055566778892"/>
    <x v="63"/>
    <s v="Misky a kŕmne doplnky – Mačky"/>
    <s v="PawStyle"/>
    <n v="8"/>
    <n v="1"/>
    <s v="NULL"/>
    <s v=""/>
    <d v="2025-12-03T00:00:00"/>
    <n v="0"/>
    <n v="8"/>
    <x v="0"/>
    <x v="11"/>
    <x v="1"/>
  </r>
  <r>
    <x v="5217"/>
    <n v="4040123456795"/>
    <x v="2"/>
    <s v="Starostlivosť a hygiena – Psy"/>
    <s v="Dogissimo"/>
    <n v="8.8000000000000007"/>
    <n v="1"/>
    <s v="5"/>
    <s v="Skvelý, po koupelaj srsť hebká."/>
    <d v="2025-12-03T00:00:00"/>
    <n v="0"/>
    <n v="8.8000000000000007"/>
    <x v="2"/>
    <x v="11"/>
    <x v="0"/>
  </r>
  <r>
    <x v="5218"/>
    <n v="4018901234567"/>
    <x v="76"/>
    <s v="Oblečenie a doplnky – Mačky"/>
    <s v="Mr. Whiskers"/>
    <n v="20"/>
    <n v="1"/>
    <s v="NULL"/>
    <s v=""/>
    <d v="2025-12-03T00:00:00"/>
    <n v="0"/>
    <n v="20"/>
    <x v="0"/>
    <x v="11"/>
    <x v="1"/>
  </r>
  <r>
    <x v="5219"/>
    <n v="4063456789014"/>
    <x v="15"/>
    <s v="Krmivo a maškrty – Psy"/>
    <s v="Pupco"/>
    <n v="36"/>
    <n v="1"/>
    <s v="NULL"/>
    <s v=""/>
    <d v="2025-12-04T00:00:00"/>
    <n v="0"/>
    <n v="36"/>
    <x v="0"/>
    <x v="11"/>
    <x v="0"/>
  </r>
  <r>
    <x v="5220"/>
    <n v="4027788990013"/>
    <x v="9"/>
    <s v="Starostlivosť a hygiena – Psy"/>
    <s v="Dogissimo"/>
    <n v="8"/>
    <n v="1"/>
    <s v="NULL"/>
    <s v=""/>
    <d v="2025-12-04T00:00:00"/>
    <n v="0"/>
    <n v="8"/>
    <x v="0"/>
    <x v="11"/>
    <x v="0"/>
  </r>
  <r>
    <x v="5221"/>
    <n v="4013456789017"/>
    <x v="0"/>
    <s v="Krmivo a maškrty – Psy"/>
    <s v="Snouty"/>
    <n v="6"/>
    <n v="1"/>
    <s v="5"/>
    <s v="Pes šílí radostí."/>
    <d v="2025-12-04T00:00:00"/>
    <n v="0"/>
    <n v="6"/>
    <x v="2"/>
    <x v="11"/>
    <x v="0"/>
  </r>
  <r>
    <x v="5222"/>
    <n v="4009012345672"/>
    <x v="10"/>
    <s v="Starostlivosť a hygiena – Mačky"/>
    <s v="Mr. Whiskers"/>
    <n v="11.2"/>
    <n v="1"/>
    <s v="NULL"/>
    <s v=""/>
    <d v="2025-12-04T00:00:00"/>
    <n v="0"/>
    <n v="11.2"/>
    <x v="0"/>
    <x v="11"/>
    <x v="1"/>
  </r>
  <r>
    <x v="5223"/>
    <n v="4029900112244"/>
    <x v="65"/>
    <s v="Starostlivosť a hygiena – Mačky"/>
    <s v="BellaMeow"/>
    <n v="13.6"/>
    <n v="1"/>
    <s v="NULL"/>
    <s v=""/>
    <d v="2025-12-04T00:00:00"/>
    <n v="0"/>
    <n v="13.6"/>
    <x v="0"/>
    <x v="11"/>
    <x v="1"/>
  </r>
  <r>
    <x v="5224"/>
    <n v="4010123456783"/>
    <x v="6"/>
    <s v="Starostlivosť a hygiena – Mačky"/>
    <s v="BellaMeow"/>
    <n v="14"/>
    <n v="1"/>
    <s v="4"/>
    <s v="Bez zápachu, dobrá kvalita."/>
    <d v="2025-12-04T00:00:00"/>
    <n v="0"/>
    <n v="14"/>
    <x v="1"/>
    <x v="11"/>
    <x v="1"/>
  </r>
  <r>
    <x v="5225"/>
    <n v="4028899001126"/>
    <x v="1"/>
    <s v="Krmivo a maškrty – Psy"/>
    <s v="Pup Republic"/>
    <n v="2.8"/>
    <n v="3"/>
    <s v="NULL"/>
    <s v=""/>
    <d v="2025-12-04T00:00:00"/>
    <n v="0"/>
    <n v="8.3999999999999986"/>
    <x v="0"/>
    <x v="11"/>
    <x v="0"/>
  </r>
  <r>
    <x v="5226"/>
    <n v="4056789012345"/>
    <x v="11"/>
    <s v="Krmivo a maškrty – Mačky"/>
    <s v="BellaMeow"/>
    <n v="2.4"/>
    <n v="2"/>
    <s v="NULL"/>
    <s v=""/>
    <d v="2025-12-04T00:00:00"/>
    <n v="0"/>
    <n v="4.8"/>
    <x v="0"/>
    <x v="11"/>
    <x v="1"/>
  </r>
  <r>
    <x v="5227"/>
    <n v="4003344556679"/>
    <x v="19"/>
    <s v="Pelechy a nábytok – Psy"/>
    <s v="Canine Craft Industries"/>
    <n v="51.64"/>
    <n v="1"/>
    <s v="5"/>
    <s v="Pes v ňom tráví celé dni."/>
    <d v="2025-12-04T00:00:00"/>
    <n v="0"/>
    <n v="51.64"/>
    <x v="2"/>
    <x v="11"/>
    <x v="0"/>
  </r>
  <r>
    <x v="5228"/>
    <n v="4027788990013"/>
    <x v="9"/>
    <s v="Starostlivosť a hygiena – Psy"/>
    <s v="Dogissimo"/>
    <n v="8"/>
    <n v="1"/>
    <s v="NULL"/>
    <s v=""/>
    <d v="2025-12-04T00:00:00"/>
    <n v="0"/>
    <n v="8"/>
    <x v="0"/>
    <x v="11"/>
    <x v="0"/>
  </r>
  <r>
    <x v="5229"/>
    <n v="4040123456795"/>
    <x v="2"/>
    <s v="Starostlivosť a hygiena – Psy"/>
    <s v="Dogissimo"/>
    <n v="8.8000000000000007"/>
    <n v="1"/>
    <s v="5"/>
    <s v="Najlepšie, čo sme kdy mali."/>
    <d v="2025-12-04T00:00:00"/>
    <n v="0"/>
    <n v="8.8000000000000007"/>
    <x v="2"/>
    <x v="11"/>
    <x v="0"/>
  </r>
  <r>
    <x v="5230"/>
    <n v="4051234567806"/>
    <x v="84"/>
    <s v="Starostlivosť a hygiena – Ostatné"/>
    <s v="Pawsitive Gear"/>
    <n v="5.2"/>
    <n v="1"/>
    <s v="NULL"/>
    <s v=""/>
    <d v="2025-12-04T00:00:00"/>
    <n v="0"/>
    <n v="5.2"/>
    <x v="0"/>
    <x v="11"/>
    <x v="2"/>
  </r>
  <r>
    <x v="5231"/>
    <n v="4016677889902"/>
    <x v="42"/>
    <s v="Oblečenie a doplnky – Psy"/>
    <s v="Pup Republic"/>
    <n v="22"/>
    <n v="1"/>
    <s v="NULL"/>
    <s v=""/>
    <d v="2025-12-04T00:00:00"/>
    <n v="0"/>
    <n v="22"/>
    <x v="0"/>
    <x v="11"/>
    <x v="0"/>
  </r>
  <r>
    <x v="5232"/>
    <n v="4042233445567"/>
    <x v="57"/>
    <s v="Pelechy a nábytok – Mačky"/>
    <s v="CozyNest"/>
    <n v="51.64"/>
    <n v="1"/>
    <s v="NULL"/>
    <s v=""/>
    <d v="2025-12-05T00:00:00"/>
    <n v="0"/>
    <n v="51.64"/>
    <x v="0"/>
    <x v="11"/>
    <x v="1"/>
  </r>
  <r>
    <x v="5233"/>
    <n v="8593456789012"/>
    <x v="4"/>
    <s v="Krmivo a maškrty – Mačky"/>
    <s v="Catissime"/>
    <n v="42"/>
    <n v="1"/>
    <s v="5"/>
    <s v="Top kvalita, mačka nadšená."/>
    <d v="2025-12-05T00:00:00"/>
    <n v="0"/>
    <n v="42"/>
    <x v="2"/>
    <x v="11"/>
    <x v="1"/>
  </r>
  <r>
    <x v="5234"/>
    <n v="4003344556679"/>
    <x v="19"/>
    <s v="Pelechy a nábytok – Psy"/>
    <s v="Canine Craft Industries"/>
    <n v="51.64"/>
    <n v="1"/>
    <s v="NULL"/>
    <s v=""/>
    <d v="2025-12-05T00:00:00"/>
    <n v="0"/>
    <n v="51.64"/>
    <x v="0"/>
    <x v="11"/>
    <x v="0"/>
  </r>
  <r>
    <x v="5235"/>
    <n v="4027788990013"/>
    <x v="9"/>
    <s v="Starostlivosť a hygiena – Psy"/>
    <s v="Dogissimo"/>
    <n v="8"/>
    <n v="1"/>
    <s v="NULL"/>
    <s v=""/>
    <d v="2025-12-05T00:00:00"/>
    <n v="0"/>
    <n v="8"/>
    <x v="0"/>
    <x v="11"/>
    <x v="0"/>
  </r>
  <r>
    <x v="5236"/>
    <n v="4010123456783"/>
    <x v="6"/>
    <s v="Starostlivosť a hygiena – Mačky"/>
    <s v="BellaMeow"/>
    <n v="14"/>
    <n v="1"/>
    <s v="NULL"/>
    <s v=""/>
    <d v="2025-12-05T00:00:00"/>
    <n v="0"/>
    <n v="14"/>
    <x v="0"/>
    <x v="11"/>
    <x v="1"/>
  </r>
  <r>
    <x v="5237"/>
    <n v="4013456789017"/>
    <x v="0"/>
    <s v="Krmivo a maškrty – Psy"/>
    <s v="Snouty"/>
    <n v="6"/>
    <n v="1"/>
    <s v="4"/>
    <s v="Na tréninky ideálne veľkosť."/>
    <d v="2025-12-05T00:00:00"/>
    <n v="0"/>
    <n v="6"/>
    <x v="1"/>
    <x v="11"/>
    <x v="0"/>
  </r>
  <r>
    <x v="5238"/>
    <n v="4028899001126"/>
    <x v="1"/>
    <s v="Krmivo a maškrty – Psy"/>
    <s v="Pup Republic"/>
    <n v="2.8"/>
    <n v="2"/>
    <s v="NULL"/>
    <s v=""/>
    <d v="2025-12-05T00:00:00"/>
    <n v="0"/>
    <n v="5.6"/>
    <x v="0"/>
    <x v="11"/>
    <x v="0"/>
  </r>
  <r>
    <x v="5239"/>
    <n v="4056789012345"/>
    <x v="11"/>
    <s v="Krmivo a maškrty – Mačky"/>
    <s v="BellaMeow"/>
    <n v="2.4"/>
    <n v="2"/>
    <s v="NULL"/>
    <s v=""/>
    <d v="2025-12-05T00:00:00"/>
    <n v="0"/>
    <n v="4.8"/>
    <x v="0"/>
    <x v="11"/>
    <x v="1"/>
  </r>
  <r>
    <x v="5240"/>
    <n v="4027788990013"/>
    <x v="9"/>
    <s v="Starostlivosť a hygiena – Psy"/>
    <s v="Dogissimo"/>
    <n v="8"/>
    <n v="1"/>
    <s v="NULL"/>
    <s v=""/>
    <d v="2025-12-05T00:00:00"/>
    <n v="0"/>
    <n v="8"/>
    <x v="0"/>
    <x v="11"/>
    <x v="0"/>
  </r>
  <r>
    <x v="5241"/>
    <n v="4003344556679"/>
    <x v="19"/>
    <s v="Pelechy a nábytok – Psy"/>
    <s v="Canine Craft Industries"/>
    <n v="51.64"/>
    <n v="1"/>
    <s v="NULL"/>
    <s v=""/>
    <d v="2025-12-05T00:00:00"/>
    <n v="0"/>
    <n v="51.64"/>
    <x v="0"/>
    <x v="11"/>
    <x v="0"/>
  </r>
  <r>
    <x v="5242"/>
    <n v="4040123456795"/>
    <x v="2"/>
    <s v="Starostlivosť a hygiena – Psy"/>
    <s v="Dogissimo"/>
    <n v="8.8000000000000007"/>
    <n v="1"/>
    <s v="5"/>
    <s v="Pes sa prestal drbat."/>
    <d v="2025-12-05T00:00:00"/>
    <n v="0"/>
    <n v="8.8000000000000007"/>
    <x v="2"/>
    <x v="11"/>
    <x v="0"/>
  </r>
  <r>
    <x v="5243"/>
    <n v="4017788990015"/>
    <x v="62"/>
    <s v="Krmivo a maškrty – Mačky"/>
    <s v="Mr. Whiskers"/>
    <n v="4.8"/>
    <n v="2"/>
    <s v="NULL"/>
    <s v=""/>
    <d v="2025-12-05T00:00:00"/>
    <n v="0"/>
    <n v="9.6"/>
    <x v="0"/>
    <x v="11"/>
    <x v="1"/>
  </r>
  <r>
    <x v="5244"/>
    <n v="4055566778892"/>
    <x v="63"/>
    <s v="Misky a kŕmne doplnky – Mačky"/>
    <s v="PawStyle"/>
    <n v="8"/>
    <n v="1"/>
    <s v="NULL"/>
    <s v=""/>
    <d v="2025-12-05T00:00:00"/>
    <n v="0"/>
    <n v="8"/>
    <x v="0"/>
    <x v="11"/>
    <x v="1"/>
  </r>
  <r>
    <x v="5245"/>
    <n v="4022345678908"/>
    <x v="55"/>
    <s v="Starostlivosť a hygiena – Psy"/>
    <s v="PawStyle"/>
    <n v="10"/>
    <n v="1"/>
    <s v="NULL"/>
    <s v=""/>
    <d v="2025-12-05T00:00:00"/>
    <n v="0"/>
    <n v="10"/>
    <x v="0"/>
    <x v="11"/>
    <x v="0"/>
  </r>
  <r>
    <x v="5246"/>
    <n v="4069012345682"/>
    <x v="23"/>
    <s v="Oblečenie a doplnky – Mačky"/>
    <s v="Catissime"/>
    <n v="26"/>
    <n v="1"/>
    <s v="5"/>
    <s v="Vyzerá roztomile, ideálne darček."/>
    <d v="2025-12-05T00:00:00"/>
    <n v="0"/>
    <n v="26"/>
    <x v="2"/>
    <x v="11"/>
    <x v="1"/>
  </r>
  <r>
    <x v="5247"/>
    <n v="4024567890128"/>
    <x v="78"/>
    <s v="Krmivo a maškrty – Psy"/>
    <s v="Canine Craft Industries"/>
    <n v="40"/>
    <n v="1"/>
    <s v="NULL"/>
    <s v=""/>
    <d v="2025-12-05T00:00:00"/>
    <n v="0"/>
    <n v="40"/>
    <x v="0"/>
    <x v="11"/>
    <x v="0"/>
  </r>
  <r>
    <x v="5248"/>
    <n v="4027788990013"/>
    <x v="9"/>
    <s v="Starostlivosť a hygiena – Psy"/>
    <s v="Dogissimo"/>
    <n v="8"/>
    <n v="1"/>
    <s v="NULL"/>
    <s v=""/>
    <d v="2025-12-05T00:00:00"/>
    <n v="0"/>
    <n v="8"/>
    <x v="0"/>
    <x v="11"/>
    <x v="0"/>
  </r>
  <r>
    <x v="5249"/>
    <n v="4007788990022"/>
    <x v="70"/>
    <s v="Pelechy a nábytok – Mačky"/>
    <s v="CozyNest"/>
    <n v="59.64"/>
    <n v="1"/>
    <s v="5"/>
    <s v="Mačka sa ho okamžite zamilovala."/>
    <d v="2025-12-05T00:00:00"/>
    <n v="0"/>
    <n v="59.64"/>
    <x v="2"/>
    <x v="11"/>
    <x v="1"/>
  </r>
  <r>
    <x v="5250"/>
    <n v="4017890123450"/>
    <x v="16"/>
    <s v="Hračky – Psy"/>
    <s v="Dogissimo"/>
    <n v="7.6"/>
    <n v="1"/>
    <s v="NULL"/>
    <s v=""/>
    <d v="2025-12-06T00:00:00"/>
    <n v="0"/>
    <n v="7.6"/>
    <x v="0"/>
    <x v="11"/>
    <x v="0"/>
  </r>
  <r>
    <x v="5251"/>
    <n v="4013456789017"/>
    <x v="0"/>
    <s v="Krmivo a maškrty – Psy"/>
    <s v="Snouty"/>
    <n v="6"/>
    <n v="1"/>
    <s v="NULL"/>
    <s v=""/>
    <d v="2025-12-06T00:00:00"/>
    <n v="0"/>
    <n v="6"/>
    <x v="0"/>
    <x v="11"/>
    <x v="0"/>
  </r>
  <r>
    <x v="5252"/>
    <n v="4028899001126"/>
    <x v="1"/>
    <s v="Krmivo a maškrty – Psy"/>
    <s v="Pup Republic"/>
    <n v="2.8"/>
    <n v="2"/>
    <s v="NULL"/>
    <s v=""/>
    <d v="2025-12-06T00:00:00"/>
    <n v="0"/>
    <n v="5.6"/>
    <x v="0"/>
    <x v="11"/>
    <x v="0"/>
  </r>
  <r>
    <x v="5253"/>
    <n v="4042233445567"/>
    <x v="57"/>
    <s v="Pelechy a nábytok – Mačky"/>
    <s v="CozyNest"/>
    <n v="51.64"/>
    <n v="1"/>
    <s v="4"/>
    <s v="Mäkký a pekný dizajn."/>
    <d v="2025-12-06T00:00:00"/>
    <n v="0"/>
    <n v="51.64"/>
    <x v="1"/>
    <x v="11"/>
    <x v="1"/>
  </r>
  <r>
    <x v="5254"/>
    <n v="4003344556679"/>
    <x v="19"/>
    <s v="Pelechy a nábytok – Psy"/>
    <s v="Canine Craft Industries"/>
    <n v="51.64"/>
    <n v="1"/>
    <s v="NULL"/>
    <s v=""/>
    <d v="2025-12-06T00:00:00"/>
    <n v="0"/>
    <n v="51.64"/>
    <x v="0"/>
    <x v="11"/>
    <x v="0"/>
  </r>
  <r>
    <x v="5255"/>
    <n v="4056789012345"/>
    <x v="11"/>
    <s v="Krmivo a maškrty – Mačky"/>
    <s v="BellaMeow"/>
    <n v="2.4"/>
    <n v="3"/>
    <s v="NULL"/>
    <s v=""/>
    <d v="2025-12-06T00:00:00"/>
    <n v="0"/>
    <n v="7.1999999999999993"/>
    <x v="0"/>
    <x v="11"/>
    <x v="1"/>
  </r>
  <r>
    <x v="5256"/>
    <n v="4027788990013"/>
    <x v="9"/>
    <s v="Starostlivosť a hygiena – Psy"/>
    <s v="Dogissimo"/>
    <n v="8"/>
    <n v="1"/>
    <s v="NULL"/>
    <s v=""/>
    <d v="2025-12-06T00:00:00"/>
    <n v="0"/>
    <n v="8"/>
    <x v="0"/>
    <x v="11"/>
    <x v="0"/>
  </r>
  <r>
    <x v="5257"/>
    <n v="4040123456795"/>
    <x v="2"/>
    <s v="Starostlivosť a hygiena – Psy"/>
    <s v="Dogissimo"/>
    <n v="8.8000000000000007"/>
    <n v="1"/>
    <s v="5"/>
    <s v="Dobrá vôňa, pes sa krásne leskne."/>
    <d v="2025-12-06T00:00:00"/>
    <n v="0"/>
    <n v="8.8000000000000007"/>
    <x v="2"/>
    <x v="11"/>
    <x v="0"/>
  </r>
  <r>
    <x v="5258"/>
    <n v="4023456789012"/>
    <x v="13"/>
    <s v="Krmivo a maškrty – Mačky"/>
    <s v="Mr. Whiskers"/>
    <n v="4"/>
    <n v="2"/>
    <s v="NULL"/>
    <s v=""/>
    <d v="2025-12-06T00:00:00"/>
    <n v="0"/>
    <n v="8"/>
    <x v="0"/>
    <x v="11"/>
    <x v="1"/>
  </r>
  <r>
    <x v="5259"/>
    <n v="8599012345678"/>
    <x v="87"/>
    <s v="Starostlivosť a hygiena – Mačky"/>
    <s v="Catissime"/>
    <n v="7.6"/>
    <n v="1"/>
    <s v="NULL"/>
    <s v=""/>
    <d v="2025-12-06T00:00:00"/>
    <n v="0"/>
    <n v="7.6"/>
    <x v="0"/>
    <x v="11"/>
    <x v="1"/>
  </r>
  <r>
    <x v="5260"/>
    <n v="4013456789017"/>
    <x v="0"/>
    <s v="Krmivo a maškrty – Psy"/>
    <s v="Snouty"/>
    <n v="6"/>
    <n v="2"/>
    <s v="4"/>
    <s v="Pes sa môže zblázniť od radosti."/>
    <d v="2025-12-06T00:00:00"/>
    <n v="0"/>
    <n v="12"/>
    <x v="1"/>
    <x v="11"/>
    <x v="0"/>
  </r>
  <r>
    <x v="5261"/>
    <n v="4028899001126"/>
    <x v="1"/>
    <s v="Krmivo a maškrty – Psy"/>
    <s v="Pup Republic"/>
    <n v="2.8"/>
    <n v="2"/>
    <s v="NULL"/>
    <s v=""/>
    <d v="2025-12-06T00:00:00"/>
    <n v="0"/>
    <n v="5.6"/>
    <x v="0"/>
    <x v="11"/>
    <x v="0"/>
  </r>
  <r>
    <x v="5262"/>
    <n v="4018901234567"/>
    <x v="76"/>
    <s v="Oblečenie a doplnky – Mačky"/>
    <s v="Mr. Whiskers"/>
    <n v="20"/>
    <n v="1"/>
    <s v="NULL"/>
    <s v=""/>
    <d v="2025-12-06T00:00:00"/>
    <n v="0"/>
    <n v="20"/>
    <x v="0"/>
    <x v="11"/>
    <x v="1"/>
  </r>
  <r>
    <x v="5263"/>
    <n v="4042233445567"/>
    <x v="57"/>
    <s v="Pelechy a nábytok – Mačky"/>
    <s v="CozyNest"/>
    <n v="51.64"/>
    <n v="1"/>
    <s v="5"/>
    <s v="Skvelý darček pre mačku."/>
    <d v="2025-12-07T00:00:00"/>
    <n v="0"/>
    <n v="51.64"/>
    <x v="2"/>
    <x v="11"/>
    <x v="1"/>
  </r>
  <r>
    <x v="5264"/>
    <n v="4003344556679"/>
    <x v="19"/>
    <s v="Pelechy a nábytok – Psy"/>
    <s v="Canine Craft Industries"/>
    <n v="51.64"/>
    <n v="1"/>
    <s v="NULL"/>
    <s v=""/>
    <d v="2025-12-07T00:00:00"/>
    <n v="0"/>
    <n v="51.64"/>
    <x v="0"/>
    <x v="11"/>
    <x v="0"/>
  </r>
  <r>
    <x v="5265"/>
    <n v="4069012345682"/>
    <x v="23"/>
    <s v="Oblečenie a doplnky – Mačky"/>
    <s v="Catissime"/>
    <n v="26"/>
    <n v="1"/>
    <s v="NULL"/>
    <s v=""/>
    <d v="2025-12-07T00:00:00"/>
    <n v="0"/>
    <n v="26"/>
    <x v="0"/>
    <x v="11"/>
    <x v="1"/>
  </r>
  <r>
    <x v="5266"/>
    <n v="4027788990013"/>
    <x v="9"/>
    <s v="Starostlivosť a hygiena – Psy"/>
    <s v="Dogissimo"/>
    <n v="8"/>
    <n v="1"/>
    <s v="NULL"/>
    <s v=""/>
    <d v="2025-12-07T00:00:00"/>
    <n v="0"/>
    <n v="8"/>
    <x v="0"/>
    <x v="11"/>
    <x v="0"/>
  </r>
  <r>
    <x v="5267"/>
    <n v="4040123456795"/>
    <x v="2"/>
    <s v="Starostlivosť a hygiena – Psy"/>
    <s v="Dogissimo"/>
    <n v="8.8000000000000007"/>
    <n v="1"/>
    <s v="5"/>
    <s v="Pes vonia čistotou, super."/>
    <d v="2025-12-07T00:00:00"/>
    <n v="0"/>
    <n v="8.8000000000000007"/>
    <x v="2"/>
    <x v="11"/>
    <x v="0"/>
  </r>
  <r>
    <x v="5268"/>
    <n v="4056789012345"/>
    <x v="11"/>
    <s v="Krmivo a maškrty – Mačky"/>
    <s v="BellaMeow"/>
    <n v="2.4"/>
    <n v="3"/>
    <s v="NULL"/>
    <s v=""/>
    <d v="2025-12-07T00:00:00"/>
    <n v="0"/>
    <n v="7.1999999999999993"/>
    <x v="0"/>
    <x v="11"/>
    <x v="1"/>
  </r>
  <r>
    <x v="5269"/>
    <n v="4028899001126"/>
    <x v="1"/>
    <s v="Krmivo a maškrty – Psy"/>
    <s v="Pup Republic"/>
    <n v="2.8"/>
    <n v="2"/>
    <s v="NULL"/>
    <s v=""/>
    <d v="2025-12-07T00:00:00"/>
    <n v="0"/>
    <n v="5.6"/>
    <x v="0"/>
    <x v="11"/>
    <x v="0"/>
  </r>
  <r>
    <x v="5270"/>
    <n v="4013456789017"/>
    <x v="0"/>
    <s v="Krmivo a maškrty – Psy"/>
    <s v="Snouty"/>
    <n v="6"/>
    <n v="1"/>
    <s v="NULL"/>
    <s v=""/>
    <d v="2025-12-07T00:00:00"/>
    <n v="0"/>
    <n v="6"/>
    <x v="0"/>
    <x v="11"/>
    <x v="0"/>
  </r>
  <r>
    <x v="5271"/>
    <n v="4027788990013"/>
    <x v="9"/>
    <s v="Starostlivosť a hygiena – Psy"/>
    <s v="Dogissimo"/>
    <n v="8"/>
    <n v="1"/>
    <s v="4"/>
    <s v="Za tu cenu super."/>
    <d v="2025-12-07T00:00:00"/>
    <n v="0"/>
    <n v="8"/>
    <x v="1"/>
    <x v="11"/>
    <x v="0"/>
  </r>
  <r>
    <x v="5272"/>
    <n v="4042233445567"/>
    <x v="57"/>
    <s v="Pelechy a nábytok – Mačky"/>
    <s v="CozyNest"/>
    <n v="51.64"/>
    <n v="1"/>
    <s v="NULL"/>
    <s v=""/>
    <d v="2025-12-07T00:00:00"/>
    <n v="0"/>
    <n v="51.64"/>
    <x v="0"/>
    <x v="11"/>
    <x v="1"/>
  </r>
  <r>
    <x v="5273"/>
    <n v="8593456789012"/>
    <x v="4"/>
    <s v="Krmivo a maškrty – Mačky"/>
    <s v="Catissime"/>
    <n v="42"/>
    <n v="1"/>
    <s v="5"/>
    <s v="Top kvalita, kupujeme pravidelne."/>
    <d v="2025-12-07T00:00:00"/>
    <n v="0"/>
    <n v="42"/>
    <x v="2"/>
    <x v="11"/>
    <x v="1"/>
  </r>
  <r>
    <x v="5274"/>
    <n v="4003344556679"/>
    <x v="19"/>
    <s v="Pelechy a nábytok – Psy"/>
    <s v="Canine Craft Industries"/>
    <n v="51.64"/>
    <n v="1"/>
    <s v="NULL"/>
    <s v=""/>
    <d v="2025-12-07T00:00:00"/>
    <n v="0"/>
    <n v="51.64"/>
    <x v="0"/>
    <x v="11"/>
    <x v="0"/>
  </r>
  <r>
    <x v="5275"/>
    <n v="4044567890123"/>
    <x v="27"/>
    <s v="Hračky – Mačky"/>
    <s v="BellaMeow"/>
    <n v="6"/>
    <n v="1"/>
    <s v="NULL"/>
    <s v=""/>
    <d v="2025-12-07T00:00:00"/>
    <n v="0"/>
    <n v="6"/>
    <x v="0"/>
    <x v="11"/>
    <x v="1"/>
  </r>
  <r>
    <x v="5276"/>
    <n v="4017890123450"/>
    <x v="16"/>
    <s v="Hračky – Psy"/>
    <s v="Dogissimo"/>
    <n v="7.6"/>
    <n v="2"/>
    <s v="NULL"/>
    <s v=""/>
    <d v="2025-12-07T00:00:00"/>
    <n v="0"/>
    <n v="15.2"/>
    <x v="0"/>
    <x v="11"/>
    <x v="0"/>
  </r>
  <r>
    <x v="5277"/>
    <n v="4016677889902"/>
    <x v="42"/>
    <s v="Oblečenie a doplnky – Psy"/>
    <s v="Pup Republic"/>
    <n v="22"/>
    <n v="1"/>
    <s v="4"/>
    <s v="Pes vyzerá štýlovo."/>
    <d v="2025-12-08T00:00:00"/>
    <n v="0"/>
    <n v="22"/>
    <x v="1"/>
    <x v="11"/>
    <x v="0"/>
  </r>
  <r>
    <x v="5278"/>
    <n v="4050123456794"/>
    <x v="8"/>
    <s v="Starostlivosť a hygiena – Mačky"/>
    <s v="Nordic Tail"/>
    <n v="7.2"/>
    <n v="1"/>
    <s v="NULL"/>
    <s v=""/>
    <d v="2025-12-08T00:00:00"/>
    <n v="0"/>
    <n v="7.2"/>
    <x v="0"/>
    <x v="11"/>
    <x v="1"/>
  </r>
  <r>
    <x v="5279"/>
    <n v="4010123456783"/>
    <x v="6"/>
    <s v="Starostlivosť a hygiena – Mačky"/>
    <s v="BellaMeow"/>
    <n v="14"/>
    <n v="1"/>
    <s v="NULL"/>
    <s v=""/>
    <d v="2025-12-08T00:00:00"/>
    <n v="0"/>
    <n v="14"/>
    <x v="0"/>
    <x v="11"/>
    <x v="1"/>
  </r>
  <r>
    <x v="5280"/>
    <n v="4024567890128"/>
    <x v="78"/>
    <s v="Krmivo a maškrty – Psy"/>
    <s v="Canine Craft Industries"/>
    <n v="40"/>
    <n v="1"/>
    <s v="NULL"/>
    <s v=""/>
    <d v="2025-12-08T00:00:00"/>
    <n v="0"/>
    <n v="40"/>
    <x v="0"/>
    <x v="11"/>
    <x v="0"/>
  </r>
  <r>
    <x v="5281"/>
    <n v="4027788990013"/>
    <x v="9"/>
    <s v="Starostlivosť a hygiena – Psy"/>
    <s v="Dogissimo"/>
    <n v="8"/>
    <n v="1"/>
    <s v="NULL"/>
    <s v=""/>
    <d v="2025-12-08T00:00:00"/>
    <n v="0"/>
    <n v="8"/>
    <x v="0"/>
    <x v="11"/>
    <x v="0"/>
  </r>
  <r>
    <x v="5282"/>
    <n v="4028899001126"/>
    <x v="1"/>
    <s v="Krmivo a maškrty – Psy"/>
    <s v="Pup Republic"/>
    <n v="2.8"/>
    <n v="2"/>
    <s v="NULL"/>
    <s v=""/>
    <d v="2025-12-08T00:00:00"/>
    <n v="0"/>
    <n v="5.6"/>
    <x v="0"/>
    <x v="11"/>
    <x v="0"/>
  </r>
  <r>
    <x v="5283"/>
    <n v="4056789012345"/>
    <x v="11"/>
    <s v="Krmivo a maškrty – Mačky"/>
    <s v="BellaMeow"/>
    <n v="2.4"/>
    <n v="2"/>
    <s v="NULL"/>
    <s v=""/>
    <d v="2025-12-08T00:00:00"/>
    <n v="0"/>
    <n v="4.8"/>
    <x v="0"/>
    <x v="11"/>
    <x v="1"/>
  </r>
  <r>
    <x v="5284"/>
    <n v="4042233445567"/>
    <x v="57"/>
    <s v="Pelechy a nábytok – Mačky"/>
    <s v="CozyNest"/>
    <n v="51.64"/>
    <n v="1"/>
    <s v="NULL"/>
    <s v=""/>
    <d v="2025-12-08T00:00:00"/>
    <n v="0"/>
    <n v="51.64"/>
    <x v="0"/>
    <x v="11"/>
    <x v="1"/>
  </r>
  <r>
    <x v="5285"/>
    <n v="4003344556679"/>
    <x v="19"/>
    <s v="Pelechy a nábytok – Psy"/>
    <s v="Canine Craft Industries"/>
    <n v="51.64"/>
    <n v="1"/>
    <s v="5"/>
    <s v="Kvalitné, teplý a mäkký."/>
    <d v="2025-12-08T00:00:00"/>
    <n v="0"/>
    <n v="51.64"/>
    <x v="2"/>
    <x v="11"/>
    <x v="0"/>
  </r>
  <r>
    <x v="5286"/>
    <n v="4067890123456"/>
    <x v="17"/>
    <s v="Krmivo a maškrty – Mačky"/>
    <s v="PawStyle"/>
    <n v="36"/>
    <n v="1"/>
    <s v="NULL"/>
    <s v=""/>
    <d v="2025-12-08T00:00:00"/>
    <n v="0"/>
    <n v="36"/>
    <x v="0"/>
    <x v="11"/>
    <x v="1"/>
  </r>
  <r>
    <x v="5287"/>
    <n v="4017890123450"/>
    <x v="16"/>
    <s v="Hračky – Psy"/>
    <s v="Dogissimo"/>
    <n v="7.6"/>
    <n v="1"/>
    <s v="NULL"/>
    <s v=""/>
    <d v="2025-12-08T00:00:00"/>
    <n v="0"/>
    <n v="7.6"/>
    <x v="0"/>
    <x v="11"/>
    <x v="0"/>
  </r>
  <r>
    <x v="5288"/>
    <n v="4056789012345"/>
    <x v="11"/>
    <s v="Krmivo a maškrty – Mačky"/>
    <s v="BellaMeow"/>
    <n v="2.4"/>
    <n v="3"/>
    <s v="NULL"/>
    <s v=""/>
    <d v="2025-12-08T00:00:00"/>
    <n v="0"/>
    <n v="7.1999999999999993"/>
    <x v="0"/>
    <x v="11"/>
    <x v="1"/>
  </r>
  <r>
    <x v="5289"/>
    <n v="4027788990013"/>
    <x v="9"/>
    <s v="Starostlivosť a hygiena – Psy"/>
    <s v="Dogissimo"/>
    <n v="8"/>
    <n v="1"/>
    <s v="4"/>
    <s v="Dobre myje, vôňa jemná."/>
    <d v="2025-12-08T00:00:00"/>
    <n v="0"/>
    <n v="8"/>
    <x v="1"/>
    <x v="11"/>
    <x v="0"/>
  </r>
  <r>
    <x v="5290"/>
    <n v="4040123456795"/>
    <x v="2"/>
    <s v="Starostlivosť a hygiena – Psy"/>
    <s v="Dogissimo"/>
    <n v="8.8000000000000007"/>
    <n v="1"/>
    <s v="NULL"/>
    <s v=""/>
    <d v="2025-12-08T00:00:00"/>
    <n v="0"/>
    <n v="8.8000000000000007"/>
    <x v="0"/>
    <x v="11"/>
    <x v="0"/>
  </r>
  <r>
    <x v="5291"/>
    <n v="8599012345678"/>
    <x v="87"/>
    <s v="Starostlivosť a hygiena – Mačky"/>
    <s v="Catissime"/>
    <n v="7.6"/>
    <n v="1"/>
    <s v="NULL"/>
    <s v=""/>
    <d v="2025-12-08T00:00:00"/>
    <n v="0"/>
    <n v="7.6"/>
    <x v="0"/>
    <x v="11"/>
    <x v="1"/>
  </r>
  <r>
    <x v="5292"/>
    <n v="4069012345682"/>
    <x v="23"/>
    <s v="Oblečenie a doplnky – Mačky"/>
    <s v="Catissime"/>
    <n v="26"/>
    <n v="1"/>
    <s v="5"/>
    <s v="Perfektní zimní darček."/>
    <d v="2025-12-08T00:00:00"/>
    <n v="0"/>
    <n v="26"/>
    <x v="2"/>
    <x v="11"/>
    <x v="1"/>
  </r>
  <r>
    <x v="5293"/>
    <n v="4003344556679"/>
    <x v="19"/>
    <s v="Pelechy a nábytok – Psy"/>
    <s v="Canine Craft Industries"/>
    <n v="51.64"/>
    <n v="1"/>
    <s v="NULL"/>
    <s v=""/>
    <d v="2025-12-08T00:00:00"/>
    <n v="0"/>
    <n v="51.64"/>
    <x v="0"/>
    <x v="11"/>
    <x v="0"/>
  </r>
  <r>
    <x v="5294"/>
    <n v="4028899001126"/>
    <x v="1"/>
    <s v="Krmivo a maškrty – Psy"/>
    <s v="Pup Republic"/>
    <n v="2.8"/>
    <n v="3"/>
    <s v="NULL"/>
    <s v=""/>
    <d v="2025-12-08T00:00:00"/>
    <n v="0"/>
    <n v="8.3999999999999986"/>
    <x v="0"/>
    <x v="11"/>
    <x v="0"/>
  </r>
  <r>
    <x v="5295"/>
    <n v="4013456789017"/>
    <x v="0"/>
    <s v="Krmivo a maškrty – Psy"/>
    <s v="Snouty"/>
    <n v="6"/>
    <n v="1"/>
    <s v="4"/>
    <s v="Pes je žerie ako o život."/>
    <d v="2025-12-08T00:00:00"/>
    <n v="0"/>
    <n v="6"/>
    <x v="1"/>
    <x v="11"/>
    <x v="0"/>
  </r>
  <r>
    <x v="5296"/>
    <n v="4027788990013"/>
    <x v="9"/>
    <s v="Starostlivosť a hygiena – Psy"/>
    <s v="Dogissimo"/>
    <n v="8"/>
    <n v="1"/>
    <s v="NULL"/>
    <s v=""/>
    <d v="2025-12-08T00:00:00"/>
    <n v="0"/>
    <n v="8"/>
    <x v="0"/>
    <x v="11"/>
    <x v="0"/>
  </r>
  <r>
    <x v="5297"/>
    <n v="4056789012345"/>
    <x v="11"/>
    <s v="Krmivo a maškrty – Mačky"/>
    <s v="BellaMeow"/>
    <n v="2.4"/>
    <n v="2"/>
    <s v="NULL"/>
    <s v=""/>
    <d v="2025-12-08T00:00:00"/>
    <n v="0"/>
    <n v="4.8"/>
    <x v="0"/>
    <x v="11"/>
    <x v="1"/>
  </r>
  <r>
    <x v="5298"/>
    <n v="4023456789012"/>
    <x v="13"/>
    <s v="Krmivo a maškrty – Mačky"/>
    <s v="Mr. Whiskers"/>
    <n v="4"/>
    <n v="1"/>
    <s v="NULL"/>
    <s v=""/>
    <d v="2025-12-08T00:00:00"/>
    <n v="0"/>
    <n v="4"/>
    <x v="0"/>
    <x v="11"/>
    <x v="1"/>
  </r>
  <r>
    <x v="5299"/>
    <n v="4009012345672"/>
    <x v="10"/>
    <s v="Starostlivosť a hygiena – Mačky"/>
    <s v="Mr. Whiskers"/>
    <n v="11.2"/>
    <n v="1"/>
    <s v="NULL"/>
    <s v=""/>
    <d v="2025-12-09T00:00:00"/>
    <n v="0"/>
    <n v="11.2"/>
    <x v="0"/>
    <x v="11"/>
    <x v="1"/>
  </r>
  <r>
    <x v="5300"/>
    <n v="4028899001126"/>
    <x v="1"/>
    <s v="Krmivo a maškrty – Psy"/>
    <s v="Pup Republic"/>
    <n v="2.8"/>
    <n v="2"/>
    <s v="NULL"/>
    <s v=""/>
    <d v="2025-12-09T00:00:00"/>
    <n v="0"/>
    <n v="5.6"/>
    <x v="0"/>
    <x v="11"/>
    <x v="0"/>
  </r>
  <r>
    <x v="5301"/>
    <n v="4042233445567"/>
    <x v="57"/>
    <s v="Pelechy a nábytok – Mačky"/>
    <s v="CozyNest"/>
    <n v="51.64"/>
    <n v="1"/>
    <s v="5"/>
    <s v="Mäkký a teplý, mačka v ňom spí nonstop."/>
    <d v="2025-12-09T00:00:00"/>
    <n v="0"/>
    <n v="51.64"/>
    <x v="2"/>
    <x v="11"/>
    <x v="1"/>
  </r>
  <r>
    <x v="5302"/>
    <n v="4013456789017"/>
    <x v="0"/>
    <s v="Krmivo a maškrty – Psy"/>
    <s v="Snouty"/>
    <n v="6"/>
    <n v="1"/>
    <s v="NULL"/>
    <s v=""/>
    <d v="2025-12-09T00:00:00"/>
    <n v="0"/>
    <n v="6"/>
    <x v="0"/>
    <x v="11"/>
    <x v="0"/>
  </r>
  <r>
    <x v="5303"/>
    <n v="4027788990013"/>
    <x v="9"/>
    <s v="Starostlivosť a hygiena – Psy"/>
    <s v="Dogissimo"/>
    <n v="8"/>
    <n v="1"/>
    <s v="NULL"/>
    <s v=""/>
    <d v="2025-12-09T00:00:00"/>
    <n v="0"/>
    <n v="8"/>
    <x v="0"/>
    <x v="11"/>
    <x v="0"/>
  </r>
  <r>
    <x v="5304"/>
    <n v="4003344556679"/>
    <x v="19"/>
    <s v="Pelechy a nábytok – Psy"/>
    <s v="Canine Craft Industries"/>
    <n v="51.64"/>
    <n v="1"/>
    <s v="NULL"/>
    <s v=""/>
    <d v="2025-12-09T00:00:00"/>
    <n v="0"/>
    <n v="51.64"/>
    <x v="0"/>
    <x v="11"/>
    <x v="0"/>
  </r>
  <r>
    <x v="5305"/>
    <n v="4040123456795"/>
    <x v="2"/>
    <s v="Starostlivosť a hygiena – Psy"/>
    <s v="Dogissimo"/>
    <n v="8.8000000000000007"/>
    <n v="1"/>
    <s v="4"/>
    <s v="Dobre vonia a neštípe."/>
    <d v="2025-12-09T00:00:00"/>
    <n v="0"/>
    <n v="8.8000000000000007"/>
    <x v="1"/>
    <x v="11"/>
    <x v="0"/>
  </r>
  <r>
    <x v="5306"/>
    <n v="4027788990013"/>
    <x v="9"/>
    <s v="Starostlivosť a hygiena – Psy"/>
    <s v="Dogissimo"/>
    <n v="8"/>
    <n v="1"/>
    <s v="NULL"/>
    <s v=""/>
    <d v="2025-12-09T00:00:00"/>
    <n v="0"/>
    <n v="8"/>
    <x v="0"/>
    <x v="11"/>
    <x v="0"/>
  </r>
  <r>
    <x v="5307"/>
    <n v="4056789012345"/>
    <x v="11"/>
    <s v="Krmivo a maškrty – Mačky"/>
    <s v="BellaMeow"/>
    <n v="2.4"/>
    <n v="2"/>
    <s v="NULL"/>
    <s v=""/>
    <d v="2025-12-09T00:00:00"/>
    <n v="0"/>
    <n v="4.8"/>
    <x v="0"/>
    <x v="11"/>
    <x v="1"/>
  </r>
  <r>
    <x v="5308"/>
    <n v="4013456789017"/>
    <x v="0"/>
    <s v="Krmivo a maškrty – Psy"/>
    <s v="Snouty"/>
    <n v="6"/>
    <n v="1"/>
    <s v="NULL"/>
    <s v=""/>
    <d v="2025-12-09T00:00:00"/>
    <n v="0"/>
    <n v="6"/>
    <x v="0"/>
    <x v="11"/>
    <x v="0"/>
  </r>
  <r>
    <x v="5309"/>
    <n v="4063456789014"/>
    <x v="15"/>
    <s v="Krmivo a maškrty – Psy"/>
    <s v="Pupco"/>
    <n v="36"/>
    <n v="1"/>
    <s v="5"/>
    <s v="Pes je zdravý, dobré krmivo."/>
    <d v="2025-12-09T00:00:00"/>
    <n v="0"/>
    <n v="36"/>
    <x v="2"/>
    <x v="11"/>
    <x v="0"/>
  </r>
  <r>
    <x v="5310"/>
    <n v="8593456789012"/>
    <x v="4"/>
    <s v="Krmivo a maškrty – Mačky"/>
    <s v="Catissime"/>
    <n v="42"/>
    <n v="1"/>
    <s v="NULL"/>
    <s v=""/>
    <d v="2025-12-09T00:00:00"/>
    <n v="0"/>
    <n v="42"/>
    <x v="0"/>
    <x v="11"/>
    <x v="1"/>
  </r>
  <r>
    <x v="5311"/>
    <n v="4042233445567"/>
    <x v="57"/>
    <s v="Pelechy a nábytok – Mačky"/>
    <s v="CozyNest"/>
    <n v="51.64"/>
    <n v="1"/>
    <s v="NULL"/>
    <s v=""/>
    <d v="2025-12-09T00:00:00"/>
    <n v="0"/>
    <n v="51.64"/>
    <x v="0"/>
    <x v="11"/>
    <x v="1"/>
  </r>
  <r>
    <x v="5312"/>
    <n v="4010123456783"/>
    <x v="6"/>
    <s v="Starostlivosť a hygiena – Mačky"/>
    <s v="BellaMeow"/>
    <n v="14"/>
    <n v="1"/>
    <s v="NULL"/>
    <s v=""/>
    <d v="2025-12-09T00:00:00"/>
    <n v="0"/>
    <n v="14"/>
    <x v="0"/>
    <x v="11"/>
    <x v="1"/>
  </r>
  <r>
    <x v="5313"/>
    <n v="4027788990013"/>
    <x v="9"/>
    <s v="Starostlivosť a hygiena – Psy"/>
    <s v="Dogissimo"/>
    <n v="8"/>
    <n v="1"/>
    <s v="NULL"/>
    <s v=""/>
    <d v="2025-12-09T00:00:00"/>
    <n v="0"/>
    <n v="8"/>
    <x v="0"/>
    <x v="11"/>
    <x v="0"/>
  </r>
  <r>
    <x v="5314"/>
    <n v="4028899001126"/>
    <x v="1"/>
    <s v="Krmivo a maškrty – Psy"/>
    <s v="Pup Republic"/>
    <n v="2.8"/>
    <n v="2"/>
    <s v="NULL"/>
    <s v=""/>
    <d v="2025-12-09T00:00:00"/>
    <n v="0"/>
    <n v="5.6"/>
    <x v="0"/>
    <x v="11"/>
    <x v="0"/>
  </r>
  <r>
    <x v="5315"/>
    <n v="4017890123450"/>
    <x v="16"/>
    <s v="Hračky – Psy"/>
    <s v="Dogissimo"/>
    <n v="7.6"/>
    <n v="1"/>
    <s v="NULL"/>
    <s v=""/>
    <d v="2025-12-09T00:00:00"/>
    <n v="0"/>
    <n v="7.6"/>
    <x v="0"/>
    <x v="11"/>
    <x v="0"/>
  </r>
  <r>
    <x v="5316"/>
    <n v="4042233445567"/>
    <x v="57"/>
    <s v="Pelechy a nábytok – Mačky"/>
    <s v="CozyNest"/>
    <n v="51.64"/>
    <n v="1"/>
    <s v="NULL"/>
    <s v=""/>
    <d v="2025-12-09T00:00:00"/>
    <n v="0"/>
    <n v="51.64"/>
    <x v="0"/>
    <x v="11"/>
    <x v="1"/>
  </r>
  <r>
    <x v="5317"/>
    <n v="4056789012345"/>
    <x v="11"/>
    <s v="Krmivo a maškrty – Mačky"/>
    <s v="BellaMeow"/>
    <n v="2.4"/>
    <n v="3"/>
    <s v="NULL"/>
    <s v=""/>
    <d v="2025-12-09T00:00:00"/>
    <n v="0"/>
    <n v="7.1999999999999993"/>
    <x v="0"/>
    <x v="11"/>
    <x v="1"/>
  </r>
  <r>
    <x v="5318"/>
    <n v="4027788990013"/>
    <x v="9"/>
    <s v="Starostlivosť a hygiena – Psy"/>
    <s v="Dogissimo"/>
    <n v="8"/>
    <n v="1"/>
    <s v="NULL"/>
    <s v=""/>
    <d v="2025-12-09T00:00:00"/>
    <n v="0"/>
    <n v="8"/>
    <x v="0"/>
    <x v="11"/>
    <x v="0"/>
  </r>
  <r>
    <x v="5319"/>
    <n v="4040123456795"/>
    <x v="2"/>
    <s v="Starostlivosť a hygiena – Psy"/>
    <s v="Dogissimo"/>
    <n v="8.8000000000000007"/>
    <n v="1"/>
    <s v="5"/>
    <s v="Výborný pre citlivou koži."/>
    <d v="2025-12-09T00:00:00"/>
    <n v="0"/>
    <n v="8.8000000000000007"/>
    <x v="2"/>
    <x v="11"/>
    <x v="0"/>
  </r>
  <r>
    <x v="5320"/>
    <n v="4028899001126"/>
    <x v="1"/>
    <s v="Krmivo a maškrty – Psy"/>
    <s v="Pup Republic"/>
    <n v="2.8"/>
    <n v="2"/>
    <s v="NULL"/>
    <s v=""/>
    <d v="2025-12-09T00:00:00"/>
    <n v="0"/>
    <n v="5.6"/>
    <x v="0"/>
    <x v="11"/>
    <x v="0"/>
  </r>
  <r>
    <x v="5321"/>
    <n v="4013456789017"/>
    <x v="0"/>
    <s v="Krmivo a maškrty – Psy"/>
    <s v="Snouty"/>
    <n v="6"/>
    <n v="1"/>
    <s v="NULL"/>
    <s v=""/>
    <d v="2025-12-09T00:00:00"/>
    <n v="0"/>
    <n v="6"/>
    <x v="0"/>
    <x v="11"/>
    <x v="0"/>
  </r>
  <r>
    <x v="5322"/>
    <n v="4003344556679"/>
    <x v="19"/>
    <s v="Pelechy a nábytok – Psy"/>
    <s v="Canine Craft Industries"/>
    <n v="51.64"/>
    <n v="1"/>
    <s v="NULL"/>
    <s v=""/>
    <d v="2025-12-09T00:00:00"/>
    <n v="0"/>
    <n v="51.64"/>
    <x v="0"/>
    <x v="11"/>
    <x v="0"/>
  </r>
  <r>
    <x v="5323"/>
    <n v="8599012345678"/>
    <x v="87"/>
    <s v="Starostlivosť a hygiena – Mačky"/>
    <s v="Catissime"/>
    <n v="7.6"/>
    <n v="1"/>
    <s v="NULL"/>
    <s v=""/>
    <d v="2025-12-09T00:00:00"/>
    <n v="0"/>
    <n v="7.6"/>
    <x v="0"/>
    <x v="11"/>
    <x v="1"/>
  </r>
  <r>
    <x v="5324"/>
    <n v="4024567890128"/>
    <x v="78"/>
    <s v="Krmivo a maškrty – Psy"/>
    <s v="Canine Craft Industries"/>
    <n v="40"/>
    <n v="1"/>
    <s v="NULL"/>
    <s v=""/>
    <d v="2025-12-09T00:00:00"/>
    <n v="0"/>
    <n v="40"/>
    <x v="0"/>
    <x v="11"/>
    <x v="0"/>
  </r>
  <r>
    <x v="5325"/>
    <n v="4067890123456"/>
    <x v="17"/>
    <s v="Krmivo a maškrty – Mačky"/>
    <s v="PawStyle"/>
    <n v="36"/>
    <n v="1"/>
    <s v="NULL"/>
    <s v=""/>
    <d v="2025-12-09T00:00:00"/>
    <n v="0"/>
    <n v="36"/>
    <x v="0"/>
    <x v="11"/>
    <x v="1"/>
  </r>
  <r>
    <x v="5326"/>
    <n v="4027788990013"/>
    <x v="9"/>
    <s v="Starostlivosť a hygiena – Psy"/>
    <s v="Dogissimo"/>
    <n v="8"/>
    <n v="1"/>
    <s v="4"/>
    <s v="Príjemná vôňa."/>
    <d v="2025-12-09T00:00:00"/>
    <n v="0"/>
    <n v="8"/>
    <x v="1"/>
    <x v="11"/>
    <x v="0"/>
  </r>
  <r>
    <x v="5327"/>
    <n v="4046677889901"/>
    <x v="86"/>
    <s v="Starostlivosť a hygiena – Psy"/>
    <s v="Bark&amp;Bone"/>
    <n v="7.2"/>
    <n v="1"/>
    <s v="NULL"/>
    <s v=""/>
    <d v="2025-12-09T00:00:00"/>
    <n v="0"/>
    <n v="7.2"/>
    <x v="0"/>
    <x v="11"/>
    <x v="0"/>
  </r>
  <r>
    <x v="5328"/>
    <n v="4056789012345"/>
    <x v="11"/>
    <s v="Krmivo a maškrty – Mačky"/>
    <s v="BellaMeow"/>
    <n v="2.4"/>
    <n v="2"/>
    <s v="NULL"/>
    <s v=""/>
    <d v="2025-12-09T00:00:00"/>
    <n v="0"/>
    <n v="4.8"/>
    <x v="0"/>
    <x v="11"/>
    <x v="1"/>
  </r>
  <r>
    <x v="5329"/>
    <n v="4027788990013"/>
    <x v="9"/>
    <s v="Starostlivosť a hygiena – Psy"/>
    <s v="Dogissimo"/>
    <n v="8"/>
    <n v="1"/>
    <s v="NULL"/>
    <s v=""/>
    <d v="2025-12-09T00:00:00"/>
    <n v="0"/>
    <n v="8"/>
    <x v="0"/>
    <x v="11"/>
    <x v="0"/>
  </r>
  <r>
    <x v="5330"/>
    <n v="4003344556679"/>
    <x v="19"/>
    <s v="Pelechy a nábytok – Psy"/>
    <s v="Canine Craft Industries"/>
    <n v="51.64"/>
    <n v="1"/>
    <s v="NULL"/>
    <s v=""/>
    <d v="2025-12-09T00:00:00"/>
    <n v="0"/>
    <n v="51.64"/>
    <x v="0"/>
    <x v="11"/>
    <x v="0"/>
  </r>
  <r>
    <x v="5331"/>
    <n v="4042233445567"/>
    <x v="57"/>
    <s v="Pelechy a nábytok – Mačky"/>
    <s v="CozyNest"/>
    <n v="51.64"/>
    <n v="1"/>
    <s v="5"/>
    <s v="Náš druhý, naprostá spokojenost."/>
    <d v="2025-12-09T00:00:00"/>
    <n v="0"/>
    <n v="51.64"/>
    <x v="2"/>
    <x v="11"/>
    <x v="1"/>
  </r>
  <r>
    <x v="5332"/>
    <n v="4028899001126"/>
    <x v="1"/>
    <s v="Krmivo a maškrty – Psy"/>
    <s v="Pup Republic"/>
    <n v="2.8"/>
    <n v="3"/>
    <s v="NULL"/>
    <s v=""/>
    <d v="2025-12-09T00:00:00"/>
    <n v="0"/>
    <n v="8.3999999999999986"/>
    <x v="0"/>
    <x v="11"/>
    <x v="0"/>
  </r>
  <r>
    <x v="5333"/>
    <n v="4013456789017"/>
    <x v="0"/>
    <s v="Krmivo a maškrty – Psy"/>
    <s v="Snouty"/>
    <n v="6"/>
    <n v="1"/>
    <s v="NULL"/>
    <s v=""/>
    <d v="2025-12-09T00:00:00"/>
    <n v="0"/>
    <n v="6"/>
    <x v="0"/>
    <x v="11"/>
    <x v="0"/>
  </r>
  <r>
    <x v="5334"/>
    <n v="4027788990013"/>
    <x v="9"/>
    <s v="Starostlivosť a hygiena – Psy"/>
    <s v="Dogissimo"/>
    <n v="8"/>
    <n v="1"/>
    <s v="4"/>
    <s v="Dobre čistí, srsť lesklá."/>
    <d v="2025-12-09T00:00:00"/>
    <n v="0"/>
    <n v="8"/>
    <x v="1"/>
    <x v="11"/>
    <x v="0"/>
  </r>
  <r>
    <x v="5335"/>
    <n v="4028899001126"/>
    <x v="1"/>
    <s v="Krmivo a maškrty – Psy"/>
    <s v="Pup Republic"/>
    <n v="2.8"/>
    <n v="3"/>
    <s v="5"/>
    <s v="Kupuju to už tretíkrát, tentokrát aj ako darček pre sestru – jej pes to miluje."/>
    <d v="2025-12-09T00:00:00"/>
    <n v="0"/>
    <n v="8.3999999999999986"/>
    <x v="2"/>
    <x v="11"/>
    <x v="0"/>
  </r>
  <r>
    <x v="5336"/>
    <n v="4013456789017"/>
    <x v="0"/>
    <s v="Krmivo a maškrty – Psy"/>
    <s v="Snouty"/>
    <n v="6"/>
    <n v="1"/>
    <s v="4"/>
    <s v="Kúpil som balenie navíc ako vianočný darček pre kamaráda sa šteniatkom, vždycky sa hodí."/>
    <d v="2025-12-09T00:00:00"/>
    <n v="0"/>
    <n v="6"/>
    <x v="1"/>
    <x v="11"/>
    <x v="0"/>
  </r>
  <r>
    <x v="5337"/>
    <n v="4042233445567"/>
    <x v="57"/>
    <s v="Pelechy a nábytok – Mačky"/>
    <s v="CozyNest"/>
    <n v="51.64"/>
    <n v="1"/>
    <s v="5"/>
    <s v="Dalaj sme pelech ako darček rodičom pre jejich mačku a okamžite sa ho zamilovala. Kvalita aj dizajn skvelý."/>
    <d v="2025-12-09T00:00:00"/>
    <n v="0"/>
    <n v="51.64"/>
    <x v="2"/>
    <x v="11"/>
    <x v="1"/>
  </r>
  <r>
    <x v="5338"/>
    <n v="4027788990013"/>
    <x v="9"/>
    <s v="Starostlivosť a hygiena – Psy"/>
    <s v="Dogissimo"/>
    <n v="8"/>
    <n v="1"/>
    <s v="4"/>
    <s v="Vzal som ho ako doplnok k darčeku pre priateľke, má nového pejska. Príjemná vôňa, dobre sa používá."/>
    <d v="2025-12-09T00:00:00"/>
    <n v="0"/>
    <n v="8"/>
    <x v="1"/>
    <x v="11"/>
    <x v="0"/>
  </r>
  <r>
    <x v="5339"/>
    <n v="4003344556679"/>
    <x v="19"/>
    <s v="Pelechy a nábytok – Psy"/>
    <s v="Canine Craft Industries"/>
    <n v="51.64"/>
    <n v="1"/>
    <s v="5"/>
    <s v="Kúpil som ho ako darček pre tchána, jeho retrívr v ňom spí od rozbalení. Fakt mäkký."/>
    <d v="2025-12-09T00:00:00"/>
    <n v="0"/>
    <n v="51.64"/>
    <x v="2"/>
    <x v="11"/>
    <x v="0"/>
  </r>
  <r>
    <x v="5340"/>
    <n v="8593456789012"/>
    <x v="4"/>
    <s v="Krmivo a maškrty – Mačky"/>
    <s v="Catissime"/>
    <n v="42"/>
    <n v="1"/>
    <s v="4"/>
    <s v="Kupuju pravidelne, tentokrát aj pre sousedku ako darček – má stejnou značku mačky."/>
    <d v="2025-12-09T00:00:00"/>
    <n v="0"/>
    <n v="42"/>
    <x v="1"/>
    <x v="11"/>
    <x v="1"/>
  </r>
  <r>
    <x v="5341"/>
    <n v="4010123456783"/>
    <x v="6"/>
    <s v="Starostlivosť a hygiena – Mačky"/>
    <s v="BellaMeow"/>
    <n v="14"/>
    <n v="1"/>
    <s v="NULL"/>
    <s v=""/>
    <d v="2025-12-09T00:00:00"/>
    <n v="0"/>
    <n v="14"/>
    <x v="0"/>
    <x v="11"/>
    <x v="1"/>
  </r>
  <r>
    <x v="5342"/>
    <n v="4040123456795"/>
    <x v="2"/>
    <s v="Starostlivosť a hygiena – Psy"/>
    <s v="Dogissimo"/>
    <n v="8.8000000000000007"/>
    <n v="1"/>
    <s v="5"/>
    <s v="Kúpil som pre bratrova psa ako vianočný darček, skvelá kvalita – vonia po mandlích a srsť je hebká."/>
    <d v="2025-12-09T00:00:00"/>
    <n v="0"/>
    <n v="8.8000000000000007"/>
    <x v="2"/>
    <x v="11"/>
    <x v="0"/>
  </r>
  <r>
    <x v="5343"/>
    <n v="4069012345682"/>
    <x v="23"/>
    <s v="Oblečenie a doplnky – Mačky"/>
    <s v="Catissime"/>
    <n v="26"/>
    <n v="1"/>
    <s v="5"/>
    <s v="Kúpené ako darček pre mačku mojej netere, úplne nadšená – krásny materiál a teplý."/>
    <d v="2025-12-10T00:00:00"/>
    <n v="0"/>
    <n v="26"/>
    <x v="2"/>
    <x v="11"/>
    <x v="1"/>
  </r>
  <r>
    <x v="5344"/>
    <n v="4056789012345"/>
    <x v="11"/>
    <s v="Krmivo a maškrty – Mačky"/>
    <s v="BellaMeow"/>
    <n v="2.4"/>
    <n v="2"/>
    <s v="NULL"/>
    <s v=""/>
    <d v="2025-12-10T00:00:00"/>
    <n v="0"/>
    <n v="4.8"/>
    <x v="0"/>
    <x v="11"/>
    <x v="1"/>
  </r>
  <r>
    <x v="5345"/>
    <n v="4017890123450"/>
    <x v="16"/>
    <s v="Hračky – Psy"/>
    <s v="Dogissimo"/>
    <n v="7.6"/>
    <n v="1"/>
    <s v="5"/>
    <s v="Kúpil som pre kamaráda ako vianočný darček pre jeho psa, vtipný tvar a pes ju nosí všade."/>
    <d v="2025-12-10T00:00:00"/>
    <n v="0"/>
    <n v="7.6"/>
    <x v="2"/>
    <x v="11"/>
    <x v="0"/>
  </r>
  <r>
    <x v="5346"/>
    <n v="4003344556679"/>
    <x v="19"/>
    <s v="Pelechy a nábytok – Psy"/>
    <s v="Canine Craft Industries"/>
    <n v="51.64"/>
    <n v="1"/>
    <s v="NULL"/>
    <s v=""/>
    <d v="2025-12-10T00:00:00"/>
    <n v="0"/>
    <n v="51.64"/>
    <x v="0"/>
    <x v="11"/>
    <x v="0"/>
  </r>
  <r>
    <x v="5347"/>
    <n v="4024567890128"/>
    <x v="78"/>
    <s v="Krmivo a maškrty – Psy"/>
    <s v="Canine Craft Industries"/>
    <n v="40"/>
    <n v="1"/>
    <s v="NULL"/>
    <s v=""/>
    <d v="2025-12-10T00:00:00"/>
    <n v="0"/>
    <n v="40"/>
    <x v="0"/>
    <x v="11"/>
    <x v="0"/>
  </r>
  <r>
    <x v="5348"/>
    <n v="4022345678908"/>
    <x v="55"/>
    <s v="Starostlivosť a hygiena – Psy"/>
    <s v="PawStyle"/>
    <n v="10"/>
    <n v="1"/>
    <s v="4"/>
    <s v="Drobnosť k darčeku pre priateľke, praktické nožničky – nevypadají lacno."/>
    <d v="2025-12-10T00:00:00"/>
    <n v="0"/>
    <n v="10"/>
    <x v="1"/>
    <x v="11"/>
    <x v="0"/>
  </r>
  <r>
    <x v="5349"/>
    <n v="4050123456794"/>
    <x v="8"/>
    <s v="Starostlivosť a hygiena – Mačky"/>
    <s v="Nordic Tail"/>
    <n v="7.2"/>
    <n v="1"/>
    <s v="NULL"/>
    <s v=""/>
    <d v="2025-12-10T00:00:00"/>
    <n v="0"/>
    <n v="7.2"/>
    <x v="0"/>
    <x v="11"/>
    <x v="1"/>
  </r>
  <r>
    <x v="5350"/>
    <n v="4042233445567"/>
    <x v="57"/>
    <s v="Pelechy a nábytok – Mačky"/>
    <s v="CozyNest"/>
    <n v="51.64"/>
    <n v="1"/>
    <s v="5"/>
    <s v="Dalaj sme babičke pre jej mačku, která sa do neho okamžite uvelebila. Fakt krásny darček."/>
    <d v="2025-12-10T00:00:00"/>
    <n v="0"/>
    <n v="51.64"/>
    <x v="2"/>
    <x v="11"/>
    <x v="1"/>
  </r>
  <r>
    <x v="5351"/>
    <n v="4013456789017"/>
    <x v="0"/>
    <s v="Krmivo a maškrty – Psy"/>
    <s v="Snouty"/>
    <n v="6"/>
    <n v="1"/>
    <s v="4"/>
    <s v="Maškrty k vánočnímu balíčku pre pejska od rodičov – vždycky sa osvedčí."/>
    <d v="2025-12-10T00:00:00"/>
    <n v="0"/>
    <n v="6"/>
    <x v="1"/>
    <x v="11"/>
    <x v="0"/>
  </r>
  <r>
    <x v="5352"/>
    <n v="4027788990013"/>
    <x v="9"/>
    <s v="Starostlivosť a hygiena – Psy"/>
    <s v="Dogissimo"/>
    <n v="8"/>
    <n v="1"/>
    <s v="NULL"/>
    <s v=""/>
    <d v="2025-12-10T00:00:00"/>
    <n v="0"/>
    <n v="8"/>
    <x v="0"/>
    <x v="11"/>
    <x v="0"/>
  </r>
  <r>
    <x v="5353"/>
    <n v="4028899001126"/>
    <x v="1"/>
    <s v="Krmivo a maškrty – Psy"/>
    <s v="Pup Republic"/>
    <n v="2.8"/>
    <n v="3"/>
    <s v="5"/>
    <s v="Kupuju to v velkém, tento rok aj do balíčku pre sousedy, mají stejného psa."/>
    <d v="2025-12-10T00:00:00"/>
    <n v="0"/>
    <n v="8.3999999999999986"/>
    <x v="2"/>
    <x v="11"/>
    <x v="0"/>
  </r>
  <r>
    <x v="5354"/>
    <n v="4010123456783"/>
    <x v="6"/>
    <s v="Starostlivosť a hygiena – Mačky"/>
    <s v="BellaMeow"/>
    <n v="14"/>
    <n v="1"/>
    <s v="NULL"/>
    <s v=""/>
    <d v="2025-12-10T00:00:00"/>
    <n v="0"/>
    <n v="14"/>
    <x v="0"/>
    <x v="11"/>
    <x v="1"/>
  </r>
  <r>
    <x v="5355"/>
    <n v="4027788990013"/>
    <x v="9"/>
    <s v="Starostlivosť a hygiena – Psy"/>
    <s v="Dogissimo"/>
    <n v="8"/>
    <n v="1"/>
    <s v="4"/>
    <s v="Vánoční nákup pre psa mojej sestry, vždycky sa osvedčí."/>
    <d v="2025-12-10T00:00:00"/>
    <n v="0"/>
    <n v="8"/>
    <x v="1"/>
    <x v="11"/>
    <x v="0"/>
  </r>
  <r>
    <x v="5356"/>
    <n v="4013456789017"/>
    <x v="0"/>
    <s v="Krmivo a maškrty – Psy"/>
    <s v="Snouty"/>
    <n v="6"/>
    <n v="1"/>
    <s v="NULL"/>
    <s v=""/>
    <d v="2025-12-10T00:00:00"/>
    <n v="0"/>
    <n v="6"/>
    <x v="0"/>
    <x v="11"/>
    <x v="0"/>
  </r>
  <r>
    <x v="5357"/>
    <n v="4003344556679"/>
    <x v="19"/>
    <s v="Pelechy a nábytok – Psy"/>
    <s v="Canine Craft Industries"/>
    <n v="51.64"/>
    <n v="1"/>
    <s v="5"/>
    <s v="Kúpil som pre známého ako darček, protože jeho starý pelech už dosluhoval. Super kvalita."/>
    <d v="2025-12-10T00:00:00"/>
    <n v="0"/>
    <n v="51.64"/>
    <x v="2"/>
    <x v="11"/>
    <x v="0"/>
  </r>
  <r>
    <x v="5358"/>
    <n v="8599012345678"/>
    <x v="87"/>
    <s v="Starostlivosť a hygiena – Mačky"/>
    <s v="Catissime"/>
    <n v="7.6"/>
    <n v="1"/>
    <s v="NULL"/>
    <s v=""/>
    <d v="2025-12-10T00:00:00"/>
    <n v="0"/>
    <n v="7.6"/>
    <x v="0"/>
    <x v="11"/>
    <x v="1"/>
  </r>
  <r>
    <x v="5359"/>
    <n v="4040123456795"/>
    <x v="2"/>
    <s v="Starostlivosť a hygiena – Psy"/>
    <s v="Dogissimo"/>
    <n v="8.8000000000000007"/>
    <n v="1"/>
    <s v="5"/>
    <s v="Krásne vonia, objednal som aj pre mámu ako darček – má stejného psa."/>
    <d v="2025-12-10T00:00:00"/>
    <n v="0"/>
    <n v="8.8000000000000007"/>
    <x v="2"/>
    <x v="11"/>
    <x v="0"/>
  </r>
  <r>
    <x v="5360"/>
    <n v="4017890123450"/>
    <x v="16"/>
    <s v="Hračky – Psy"/>
    <s v="Dogissimo"/>
    <n v="7.6"/>
    <n v="2"/>
    <s v="NULL"/>
    <s v=""/>
    <d v="2025-12-10T00:00:00"/>
    <n v="0"/>
    <n v="15.2"/>
    <x v="0"/>
    <x v="11"/>
    <x v="0"/>
  </r>
  <r>
    <x v="5361"/>
    <n v="4056789012345"/>
    <x v="11"/>
    <s v="Krmivo a maškrty – Mačky"/>
    <s v="BellaMeow"/>
    <n v="2.4"/>
    <n v="2"/>
    <s v="NULL"/>
    <s v=""/>
    <d v="2025-12-10T00:00:00"/>
    <n v="0"/>
    <n v="4.8"/>
    <x v="0"/>
    <x v="11"/>
    <x v="1"/>
  </r>
  <r>
    <x v="5362"/>
    <n v="4027788990013"/>
    <x v="9"/>
    <s v="Starostlivosť a hygiena – Psy"/>
    <s v="Dogissimo"/>
    <n v="8"/>
    <n v="1"/>
    <s v="NULL"/>
    <s v=""/>
    <d v="2025-12-10T00:00:00"/>
    <n v="0"/>
    <n v="8"/>
    <x v="0"/>
    <x v="11"/>
    <x v="0"/>
  </r>
  <r>
    <x v="5363"/>
    <n v="4003344556679"/>
    <x v="19"/>
    <s v="Pelechy a nábytok – Psy"/>
    <s v="Canine Craft Industries"/>
    <n v="51.64"/>
    <n v="1"/>
    <s v="4"/>
    <s v="Kúpené ako darček pre kolegyni, vyzerá naozaj luxusne."/>
    <d v="2025-12-11T00:00:00"/>
    <n v="0"/>
    <n v="51.64"/>
    <x v="1"/>
    <x v="11"/>
    <x v="0"/>
  </r>
  <r>
    <x v="5364"/>
    <n v="4067890123456"/>
    <x v="17"/>
    <s v="Krmivo a maškrty – Mačky"/>
    <s v="PawStyle"/>
    <n v="36"/>
    <n v="1"/>
    <s v="NULL"/>
    <s v=""/>
    <d v="2025-12-11T00:00:00"/>
    <n v="0"/>
    <n v="36"/>
    <x v="0"/>
    <x v="11"/>
    <x v="1"/>
  </r>
  <r>
    <x v="5365"/>
    <n v="4055566778892"/>
    <x v="63"/>
    <s v="Misky a kŕmne doplnky – Mačky"/>
    <s v="PawStyle"/>
    <n v="8"/>
    <n v="1"/>
    <s v="5"/>
    <s v="Kúpil som ako drobný darček k pelechu, pekne ladí a pôsobí kvalitne."/>
    <d v="2025-12-11T00:00:00"/>
    <n v="0"/>
    <n v="8"/>
    <x v="2"/>
    <x v="11"/>
    <x v="1"/>
  </r>
  <r>
    <x v="5366"/>
    <n v="4027788990013"/>
    <x v="9"/>
    <s v="Starostlivosť a hygiena – Psy"/>
    <s v="Dogissimo"/>
    <n v="8"/>
    <n v="1"/>
    <s v="NULL"/>
    <s v=""/>
    <d v="2025-12-11T00:00:00"/>
    <n v="0"/>
    <n v="8"/>
    <x v="0"/>
    <x v="11"/>
    <x v="0"/>
  </r>
  <r>
    <x v="5367"/>
    <n v="4028899001126"/>
    <x v="1"/>
    <s v="Krmivo a maškrty – Psy"/>
    <s v="Pup Republic"/>
    <n v="2.8"/>
    <n v="2"/>
    <s v="NULL"/>
    <s v=""/>
    <d v="2025-12-11T00:00:00"/>
    <n v="0"/>
    <n v="5.6"/>
    <x v="0"/>
    <x v="11"/>
    <x v="0"/>
  </r>
  <r>
    <x v="5368"/>
    <n v="4042233445567"/>
    <x v="57"/>
    <s v="Pelechy a nábytok – Mačky"/>
    <s v="CozyNest"/>
    <n v="51.64"/>
    <n v="1"/>
    <s v="5"/>
    <s v="Pelech kúpila dcera pre našu mačku, hovorí, že je to vianočný darček. Mačka z neho nevylezie."/>
    <d v="2025-12-11T00:00:00"/>
    <n v="0"/>
    <n v="51.64"/>
    <x v="2"/>
    <x v="11"/>
    <x v="1"/>
  </r>
  <r>
    <x v="5369"/>
    <n v="4013456789017"/>
    <x v="0"/>
    <s v="Krmivo a maškrty – Psy"/>
    <s v="Snouty"/>
    <n v="6"/>
    <n v="1"/>
    <s v="4"/>
    <s v="Maškrty ako darček pre sousedku, která má šteniatko – hodí sa vždycky."/>
    <d v="2025-12-11T00:00:00"/>
    <n v="0"/>
    <n v="6"/>
    <x v="1"/>
    <x v="11"/>
    <x v="0"/>
  </r>
  <r>
    <x v="5370"/>
    <n v="4024567890128"/>
    <x v="78"/>
    <s v="Krmivo a maškrty – Psy"/>
    <s v="Canine Craft Industries"/>
    <n v="40"/>
    <n v="1"/>
    <s v="NULL"/>
    <s v=""/>
    <d v="2025-12-11T00:00:00"/>
    <n v="0"/>
    <n v="40"/>
    <x v="0"/>
    <x v="11"/>
    <x v="0"/>
  </r>
  <r>
    <x v="5371"/>
    <n v="4040123456795"/>
    <x v="2"/>
    <s v="Starostlivosť a hygiena – Psy"/>
    <s v="Dogissimo"/>
    <n v="8.8000000000000007"/>
    <n v="1"/>
    <s v="5"/>
    <s v="Kúpil som pre kolegyni ako vianočný darček pre jej kokeršpaniela, krásne vonia."/>
    <d v="2025-12-11T00:00:00"/>
    <n v="0"/>
    <n v="8.8000000000000007"/>
    <x v="2"/>
    <x v="11"/>
    <x v="0"/>
  </r>
  <r>
    <x v="5372"/>
    <n v="4026677889902"/>
    <x v="12"/>
    <s v="Misky a kŕmne doplnky – Ostatné"/>
    <s v="Pawsitive Gear"/>
    <n v="7.6"/>
    <n v="1"/>
    <s v="NULL"/>
    <s v=""/>
    <d v="2025-12-11T00:00:00"/>
    <n v="0"/>
    <n v="7.6"/>
    <x v="0"/>
    <x v="11"/>
    <x v="2"/>
  </r>
  <r>
    <x v="5373"/>
    <n v="4022345678908"/>
    <x v="55"/>
    <s v="Starostlivosť a hygiena – Psy"/>
    <s v="PawStyle"/>
    <n v="10"/>
    <n v="1"/>
    <s v="4"/>
    <s v="Pridal som do darčekového koša pre kamarátku sa psem – praktické."/>
    <d v="2025-12-11T00:00:00"/>
    <n v="0"/>
    <n v="10"/>
    <x v="1"/>
    <x v="11"/>
    <x v="0"/>
  </r>
  <r>
    <x v="5374"/>
    <n v="4028899001126"/>
    <x v="1"/>
    <s v="Krmivo a maškrty – Psy"/>
    <s v="Pup Republic"/>
    <n v="2.8"/>
    <n v="3"/>
    <s v="5"/>
    <s v="Vzalaj sme 10 ks, část ako darčeky pre známé. Kvalitné konzervy, obľúbené."/>
    <d v="2025-12-11T00:00:00"/>
    <n v="0"/>
    <n v="8.3999999999999986"/>
    <x v="2"/>
    <x v="11"/>
    <x v="0"/>
  </r>
  <r>
    <x v="5375"/>
    <n v="4016677889902"/>
    <x v="42"/>
    <s v="Oblečenie a doplnky – Psy"/>
    <s v="Pup Republic"/>
    <n v="22"/>
    <n v="1"/>
    <s v="5"/>
    <s v="Kúpené ako darček pre bratra – jeho pes vyzerá parádne!"/>
    <d v="2025-12-11T00:00:00"/>
    <n v="0"/>
    <n v="22"/>
    <x v="2"/>
    <x v="11"/>
    <x v="0"/>
  </r>
  <r>
    <x v="5376"/>
    <n v="4042233445567"/>
    <x v="57"/>
    <s v="Pelechy a nábytok – Mačky"/>
    <s v="CozyNest"/>
    <n v="51.64"/>
    <n v="1"/>
    <s v="NULL"/>
    <s v=""/>
    <d v="2025-12-11T00:00:00"/>
    <n v="0"/>
    <n v="51.64"/>
    <x v="0"/>
    <x v="11"/>
    <x v="1"/>
  </r>
  <r>
    <x v="5377"/>
    <n v="4063456789014"/>
    <x v="15"/>
    <s v="Krmivo a maškrty – Psy"/>
    <s v="Pupco"/>
    <n v="36"/>
    <n v="1"/>
    <s v="NULL"/>
    <s v=""/>
    <d v="2025-12-11T00:00:00"/>
    <n v="0"/>
    <n v="36"/>
    <x v="0"/>
    <x v="11"/>
    <x v="0"/>
  </r>
  <r>
    <x v="5378"/>
    <n v="4013456789017"/>
    <x v="0"/>
    <s v="Krmivo a maškrty – Psy"/>
    <s v="Snouty"/>
    <n v="6"/>
    <n v="1"/>
    <s v="4"/>
    <s v="Kúpil som ako vianočnú doplnok, ideálne veľkosť."/>
    <d v="2025-12-11T00:00:00"/>
    <n v="0"/>
    <n v="6"/>
    <x v="1"/>
    <x v="11"/>
    <x v="0"/>
  </r>
  <r>
    <x v="5379"/>
    <n v="4027788990013"/>
    <x v="9"/>
    <s v="Starostlivosť a hygiena – Psy"/>
    <s v="Dogissimo"/>
    <n v="8"/>
    <n v="1"/>
    <s v="NULL"/>
    <s v=""/>
    <d v="2025-12-11T00:00:00"/>
    <n v="0"/>
    <n v="8"/>
    <x v="0"/>
    <x v="11"/>
    <x v="0"/>
  </r>
  <r>
    <x v="5380"/>
    <n v="4017890123450"/>
    <x v="16"/>
    <s v="Hračky – Psy"/>
    <s v="Dogissimo"/>
    <n v="7.6"/>
    <n v="2"/>
    <s v="NULL"/>
    <s v=""/>
    <d v="2025-12-11T00:00:00"/>
    <n v="0"/>
    <n v="15.2"/>
    <x v="0"/>
    <x v="11"/>
    <x v="0"/>
  </r>
  <r>
    <x v="5381"/>
    <n v="4056789012345"/>
    <x v="11"/>
    <s v="Krmivo a maškrty – Mačky"/>
    <s v="BellaMeow"/>
    <n v="2.4"/>
    <n v="2"/>
    <s v="NULL"/>
    <s v=""/>
    <d v="2025-12-11T00:00:00"/>
    <n v="0"/>
    <n v="4.8"/>
    <x v="0"/>
    <x v="11"/>
    <x v="1"/>
  </r>
  <r>
    <x v="5382"/>
    <n v="8593456789012"/>
    <x v="4"/>
    <s v="Krmivo a maškrty – Mačky"/>
    <s v="Catissime"/>
    <n v="42"/>
    <n v="1"/>
    <s v="5"/>
    <s v="Dáváme ako darček rodičom pre jejich mačku – osvedčená kvalita."/>
    <d v="2025-12-11T00:00:00"/>
    <n v="0"/>
    <n v="42"/>
    <x v="2"/>
    <x v="11"/>
    <x v="1"/>
  </r>
  <r>
    <x v="5383"/>
    <n v="4042233445567"/>
    <x v="57"/>
    <s v="Pelechy a nábytok – Mačky"/>
    <s v="CozyNest"/>
    <n v="51.64"/>
    <n v="1"/>
    <s v="NULL"/>
    <s v=""/>
    <d v="2025-12-11T00:00:00"/>
    <n v="0"/>
    <n v="51.64"/>
    <x v="0"/>
    <x v="11"/>
    <x v="1"/>
  </r>
  <r>
    <x v="5384"/>
    <n v="4027788990013"/>
    <x v="9"/>
    <s v="Starostlivosť a hygiena – Psy"/>
    <s v="Dogissimo"/>
    <n v="8"/>
    <n v="1"/>
    <s v="NULL"/>
    <s v=""/>
    <d v="2025-12-11T00:00:00"/>
    <n v="0"/>
    <n v="8"/>
    <x v="0"/>
    <x v="11"/>
    <x v="0"/>
  </r>
  <r>
    <x v="5385"/>
    <n v="4013456789017"/>
    <x v="0"/>
    <s v="Krmivo a maškrty – Psy"/>
    <s v="Snouty"/>
    <n v="6"/>
    <n v="1"/>
    <s v="5"/>
    <s v="Pridané do vánočního balíčku pre psa, klasika."/>
    <d v="2025-12-11T00:00:00"/>
    <n v="0"/>
    <n v="6"/>
    <x v="2"/>
    <x v="11"/>
    <x v="0"/>
  </r>
  <r>
    <x v="5386"/>
    <n v="4003344556679"/>
    <x v="19"/>
    <s v="Pelechy a nábytok – Psy"/>
    <s v="Canine Craft Industries"/>
    <n v="51.64"/>
    <n v="1"/>
    <s v="NULL"/>
    <s v=""/>
    <d v="2025-12-11T00:00:00"/>
    <n v="0"/>
    <n v="51.64"/>
    <x v="0"/>
    <x v="11"/>
    <x v="0"/>
  </r>
  <r>
    <x v="5387"/>
    <n v="4010123456783"/>
    <x v="6"/>
    <s v="Starostlivosť a hygiena – Mačky"/>
    <s v="BellaMeow"/>
    <n v="14"/>
    <n v="1"/>
    <s v="NULL"/>
    <s v=""/>
    <d v="2025-12-11T00:00:00"/>
    <n v="0"/>
    <n v="14"/>
    <x v="0"/>
    <x v="11"/>
    <x v="1"/>
  </r>
  <r>
    <x v="5388"/>
    <n v="4028899001126"/>
    <x v="1"/>
    <s v="Krmivo a maškrty – Psy"/>
    <s v="Pup Republic"/>
    <n v="2.8"/>
    <n v="3"/>
    <s v="NULL"/>
    <s v=""/>
    <d v="2025-12-11T00:00:00"/>
    <n v="0"/>
    <n v="8.3999999999999986"/>
    <x v="0"/>
    <x v="11"/>
    <x v="0"/>
  </r>
  <r>
    <x v="5389"/>
    <n v="4040123456795"/>
    <x v="2"/>
    <s v="Starostlivosť a hygiena – Psy"/>
    <s v="Dogissimo"/>
    <n v="8.8000000000000007"/>
    <n v="1"/>
    <s v="5"/>
    <s v="Kupuju každý rok na Vianoce, tentokrát aj pre kamarátku."/>
    <d v="2025-12-11T00:00:00"/>
    <n v="0"/>
    <n v="8.8000000000000007"/>
    <x v="2"/>
    <x v="11"/>
    <x v="0"/>
  </r>
  <r>
    <x v="5390"/>
    <n v="4067890123456"/>
    <x v="17"/>
    <s v="Krmivo a maškrty – Mačky"/>
    <s v="PawStyle"/>
    <n v="36"/>
    <n v="1"/>
    <s v="NULL"/>
    <s v=""/>
    <d v="2025-12-11T00:00:00"/>
    <n v="0"/>
    <n v="36"/>
    <x v="0"/>
    <x v="11"/>
    <x v="1"/>
  </r>
  <r>
    <x v="5391"/>
    <n v="4042233445567"/>
    <x v="57"/>
    <s v="Pelechy a nábytok – Mačky"/>
    <s v="CozyNest"/>
    <n v="51.64"/>
    <n v="1"/>
    <s v="5"/>
    <s v="Dalaj sme rodičom pre jejich mačku – krásne mäkký, ideálne vianočný darček."/>
    <d v="2025-12-11T00:00:00"/>
    <n v="0"/>
    <n v="51.64"/>
    <x v="2"/>
    <x v="11"/>
    <x v="1"/>
  </r>
  <r>
    <x v="5392"/>
    <n v="4017890123450"/>
    <x v="16"/>
    <s v="Hračky – Psy"/>
    <s v="Dogissimo"/>
    <n v="7.6"/>
    <n v="1"/>
    <s v="NULL"/>
    <s v=""/>
    <d v="2025-12-11T00:00:00"/>
    <n v="0"/>
    <n v="7.6"/>
    <x v="0"/>
    <x v="11"/>
    <x v="0"/>
  </r>
  <r>
    <x v="5393"/>
    <n v="4013456789017"/>
    <x v="0"/>
    <s v="Krmivo a maškrty – Psy"/>
    <s v="Snouty"/>
    <n v="6"/>
    <n v="1"/>
    <s v="NULL"/>
    <s v=""/>
    <d v="2025-12-11T00:00:00"/>
    <n v="0"/>
    <n v="6"/>
    <x v="0"/>
    <x v="11"/>
    <x v="0"/>
  </r>
  <r>
    <x v="5394"/>
    <n v="4056789012345"/>
    <x v="11"/>
    <s v="Krmivo a maškrty – Mačky"/>
    <s v="BellaMeow"/>
    <n v="2.4"/>
    <n v="2"/>
    <s v="NULL"/>
    <s v=""/>
    <d v="2025-12-11T00:00:00"/>
    <n v="0"/>
    <n v="4.8"/>
    <x v="0"/>
    <x v="11"/>
    <x v="1"/>
  </r>
  <r>
    <x v="5395"/>
    <n v="4069012345682"/>
    <x v="23"/>
    <s v="Oblečenie a doplnky – Mačky"/>
    <s v="Catissime"/>
    <n v="26"/>
    <n v="1"/>
    <s v="5"/>
    <s v="Prekvapil ma, kvalita výborná – kúpil som ako darček pre kolegyni."/>
    <d v="2025-12-11T00:00:00"/>
    <n v="0"/>
    <n v="26"/>
    <x v="2"/>
    <x v="11"/>
    <x v="1"/>
  </r>
  <r>
    <x v="5396"/>
    <n v="4027788990013"/>
    <x v="9"/>
    <s v="Starostlivosť a hygiena – Psy"/>
    <s v="Dogissimo"/>
    <n v="8"/>
    <n v="1"/>
    <s v="NULL"/>
    <s v=""/>
    <d v="2025-12-11T00:00:00"/>
    <n v="0"/>
    <n v="8"/>
    <x v="0"/>
    <x v="11"/>
    <x v="0"/>
  </r>
  <r>
    <x v="5397"/>
    <n v="4042233445567"/>
    <x v="57"/>
    <s v="Pelechy a nábytok – Mačky"/>
    <s v="CozyNest"/>
    <n v="51.64"/>
    <n v="1"/>
    <s v="NULL"/>
    <s v=""/>
    <d v="2025-12-11T00:00:00"/>
    <n v="0"/>
    <n v="51.64"/>
    <x v="0"/>
    <x v="11"/>
    <x v="1"/>
  </r>
  <r>
    <x v="5398"/>
    <n v="4028899001126"/>
    <x v="1"/>
    <s v="Krmivo a maškrty – Psy"/>
    <s v="Pup Republic"/>
    <n v="2.8"/>
    <n v="3"/>
    <s v="4"/>
    <s v="Vánoční balíček pre pejsky, osvedčené konzervy."/>
    <d v="2025-12-11T00:00:00"/>
    <n v="0"/>
    <n v="8.3999999999999986"/>
    <x v="1"/>
    <x v="11"/>
    <x v="0"/>
  </r>
  <r>
    <x v="5399"/>
    <n v="4013456789017"/>
    <x v="0"/>
    <s v="Krmivo a maškrty – Psy"/>
    <s v="Snouty"/>
    <n v="6"/>
    <n v="1"/>
    <s v="NULL"/>
    <s v=""/>
    <d v="2025-12-11T00:00:00"/>
    <n v="0"/>
    <n v="6"/>
    <x v="0"/>
    <x v="11"/>
    <x v="0"/>
  </r>
  <r>
    <x v="5400"/>
    <n v="4024567890128"/>
    <x v="78"/>
    <s v="Krmivo a maškrty – Psy"/>
    <s v="Canine Craft Industries"/>
    <n v="40"/>
    <n v="1"/>
    <s v="NULL"/>
    <s v=""/>
    <d v="2025-12-11T00:00:00"/>
    <n v="0"/>
    <n v="40"/>
    <x v="0"/>
    <x v="11"/>
    <x v="0"/>
  </r>
  <r>
    <x v="5401"/>
    <n v="4040123456795"/>
    <x v="2"/>
    <s v="Starostlivosť a hygiena – Psy"/>
    <s v="Dogissimo"/>
    <n v="8.8000000000000007"/>
    <n v="1"/>
    <s v="5"/>
    <s v="Kúpené ako darček pre kamarátku, používá ho roky a je nadšená."/>
    <d v="2025-12-11T00:00:00"/>
    <n v="0"/>
    <n v="8.8000000000000007"/>
    <x v="2"/>
    <x v="11"/>
    <x v="0"/>
  </r>
  <r>
    <x v="5402"/>
    <n v="4027788990013"/>
    <x v="9"/>
    <s v="Starostlivosť a hygiena – Psy"/>
    <s v="Dogissimo"/>
    <n v="8"/>
    <n v="1"/>
    <s v="NULL"/>
    <s v=""/>
    <d v="2025-12-11T00:00:00"/>
    <n v="0"/>
    <n v="8"/>
    <x v="0"/>
    <x v="11"/>
    <x v="0"/>
  </r>
  <r>
    <x v="5403"/>
    <n v="8593456789012"/>
    <x v="4"/>
    <s v="Krmivo a maškrty – Mačky"/>
    <s v="Catissime"/>
    <n v="42"/>
    <n v="1"/>
    <s v="NULL"/>
    <s v=""/>
    <d v="2025-12-11T00:00:00"/>
    <n v="0"/>
    <n v="42"/>
    <x v="0"/>
    <x v="11"/>
    <x v="1"/>
  </r>
  <r>
    <x v="5404"/>
    <n v="4003344556679"/>
    <x v="19"/>
    <s v="Pelechy a nábytok – Psy"/>
    <s v="Canine Craft Industries"/>
    <n v="51.64"/>
    <n v="1"/>
    <s v="NULL"/>
    <s v=""/>
    <d v="2025-12-11T00:00:00"/>
    <n v="0"/>
    <n v="51.64"/>
    <x v="0"/>
    <x v="11"/>
    <x v="0"/>
  </r>
  <r>
    <x v="5405"/>
    <n v="4028899001126"/>
    <x v="1"/>
    <s v="Krmivo a maškrty – Psy"/>
    <s v="Pup Republic"/>
    <n v="2.8"/>
    <n v="2"/>
    <s v="5"/>
    <s v="Kúpil som viac kusov ako drobné darčeky pre známé sa psy."/>
    <d v="2025-12-11T00:00:00"/>
    <n v="0"/>
    <n v="5.6"/>
    <x v="2"/>
    <x v="11"/>
    <x v="0"/>
  </r>
  <r>
    <x v="5406"/>
    <n v="4013456789017"/>
    <x v="0"/>
    <s v="Krmivo a maškrty – Psy"/>
    <s v="Snouty"/>
    <n v="6"/>
    <n v="1"/>
    <s v="NULL"/>
    <s v=""/>
    <d v="2025-12-11T00:00:00"/>
    <n v="0"/>
    <n v="6"/>
    <x v="0"/>
    <x v="11"/>
    <x v="0"/>
  </r>
  <r>
    <x v="5407"/>
    <n v="4042233445567"/>
    <x v="57"/>
    <s v="Pelechy a nábytok – Mačky"/>
    <s v="CozyNest"/>
    <n v="51.64"/>
    <n v="1"/>
    <s v="NULL"/>
    <s v=""/>
    <d v="2025-12-11T00:00:00"/>
    <n v="0"/>
    <n v="51.64"/>
    <x v="0"/>
    <x v="11"/>
    <x v="1"/>
  </r>
  <r>
    <x v="5408"/>
    <n v="4040123456795"/>
    <x v="2"/>
    <s v="Starostlivosť a hygiena – Psy"/>
    <s v="Dogissimo"/>
    <n v="8.8000000000000007"/>
    <n v="1"/>
    <s v="NULL"/>
    <s v=""/>
    <d v="2025-12-11T00:00:00"/>
    <n v="0"/>
    <n v="8.8000000000000007"/>
    <x v="0"/>
    <x v="11"/>
    <x v="0"/>
  </r>
  <r>
    <x v="5409"/>
    <n v="4010123456783"/>
    <x v="6"/>
    <s v="Starostlivosť a hygiena – Mačky"/>
    <s v="BellaMeow"/>
    <n v="14"/>
    <n v="1"/>
    <s v="4"/>
    <s v="Kúpené k pelechu ako darček pre rodiče – praktický doplnok."/>
    <d v="2025-12-11T00:00:00"/>
    <n v="0"/>
    <n v="14"/>
    <x v="1"/>
    <x v="11"/>
    <x v="1"/>
  </r>
  <r>
    <x v="5410"/>
    <n v="4028899001126"/>
    <x v="1"/>
    <s v="Krmivo a maškrty – Psy"/>
    <s v="Pup Republic"/>
    <n v="2.8"/>
    <n v="3"/>
    <s v="NULL"/>
    <s v=""/>
    <d v="2025-12-12T00:00:00"/>
    <n v="0"/>
    <n v="8.3999999999999986"/>
    <x v="0"/>
    <x v="11"/>
    <x v="0"/>
  </r>
  <r>
    <x v="5411"/>
    <n v="4013456789017"/>
    <x v="0"/>
    <s v="Krmivo a maškrty – Psy"/>
    <s v="Snouty"/>
    <n v="6"/>
    <n v="1"/>
    <s v="NULL"/>
    <s v=""/>
    <d v="2025-12-12T00:00:00"/>
    <n v="0"/>
    <n v="6"/>
    <x v="0"/>
    <x v="11"/>
    <x v="0"/>
  </r>
  <r>
    <x v="5412"/>
    <n v="4042233445567"/>
    <x v="57"/>
    <s v="Pelechy a nábytok – Mačky"/>
    <s v="CozyNest"/>
    <n v="51.64"/>
    <n v="1"/>
    <s v="5"/>
    <s v="Mačka sa ho okamžite obľúbila."/>
    <d v="2025-12-12T00:00:00"/>
    <n v="0"/>
    <n v="51.64"/>
    <x v="2"/>
    <x v="11"/>
    <x v="1"/>
  </r>
  <r>
    <x v="5413"/>
    <n v="4027788990013"/>
    <x v="9"/>
    <s v="Starostlivosť a hygiena – Psy"/>
    <s v="Dogissimo"/>
    <n v="8"/>
    <n v="1"/>
    <s v="NULL"/>
    <s v=""/>
    <d v="2025-12-12T00:00:00"/>
    <n v="0"/>
    <n v="8"/>
    <x v="0"/>
    <x v="11"/>
    <x v="0"/>
  </r>
  <r>
    <x v="5414"/>
    <n v="4003344556679"/>
    <x v="19"/>
    <s v="Pelechy a nábytok – Psy"/>
    <s v="Canine Craft Industries"/>
    <n v="51.64"/>
    <n v="1"/>
    <s v="NULL"/>
    <s v=""/>
    <d v="2025-12-12T00:00:00"/>
    <n v="0"/>
    <n v="51.64"/>
    <x v="0"/>
    <x v="11"/>
    <x v="0"/>
  </r>
  <r>
    <x v="5415"/>
    <n v="4010123456783"/>
    <x v="6"/>
    <s v="Starostlivosť a hygiena – Mačky"/>
    <s v="BellaMeow"/>
    <n v="14"/>
    <n v="1"/>
    <s v="NULL"/>
    <s v=""/>
    <d v="2025-12-12T00:00:00"/>
    <n v="0"/>
    <n v="14"/>
    <x v="0"/>
    <x v="11"/>
    <x v="1"/>
  </r>
  <r>
    <x v="5416"/>
    <n v="4040123456795"/>
    <x v="2"/>
    <s v="Starostlivosť a hygiena – Psy"/>
    <s v="Dogissimo"/>
    <n v="8.8000000000000007"/>
    <n v="1"/>
    <s v="4"/>
    <s v="Za tú cenu ok."/>
    <d v="2025-12-12T00:00:00"/>
    <n v="0"/>
    <n v="8.8000000000000007"/>
    <x v="1"/>
    <x v="11"/>
    <x v="0"/>
  </r>
  <r>
    <x v="5417"/>
    <n v="4028899001126"/>
    <x v="1"/>
    <s v="Krmivo a maškrty – Psy"/>
    <s v="Pup Republic"/>
    <n v="2.8"/>
    <n v="3"/>
    <s v="NULL"/>
    <s v=""/>
    <d v="2025-12-12T00:00:00"/>
    <n v="0"/>
    <n v="8.3999999999999986"/>
    <x v="0"/>
    <x v="11"/>
    <x v="0"/>
  </r>
  <r>
    <x v="5418"/>
    <n v="4013456789017"/>
    <x v="0"/>
    <s v="Krmivo a maškrty – Psy"/>
    <s v="Snouty"/>
    <n v="6"/>
    <n v="1"/>
    <s v="NULL"/>
    <s v=""/>
    <d v="2025-12-12T00:00:00"/>
    <n v="0"/>
    <n v="6"/>
    <x v="0"/>
    <x v="11"/>
    <x v="0"/>
  </r>
  <r>
    <x v="5419"/>
    <n v="4067890123456"/>
    <x v="17"/>
    <s v="Krmivo a maškrty – Mačky"/>
    <s v="PawStyle"/>
    <n v="36"/>
    <n v="1"/>
    <s v="NULL"/>
    <s v=""/>
    <d v="2025-12-12T00:00:00"/>
    <n v="0"/>
    <n v="36"/>
    <x v="0"/>
    <x v="11"/>
    <x v="1"/>
  </r>
  <r>
    <x v="5420"/>
    <n v="4027788990013"/>
    <x v="9"/>
    <s v="Starostlivosť a hygiena – Psy"/>
    <s v="Dogissimo"/>
    <n v="8"/>
    <n v="1"/>
    <s v="NULL"/>
    <s v=""/>
    <d v="2025-12-12T00:00:00"/>
    <n v="0"/>
    <n v="8"/>
    <x v="0"/>
    <x v="11"/>
    <x v="0"/>
  </r>
  <r>
    <x v="5421"/>
    <n v="4022345678908"/>
    <x v="55"/>
    <s v="Starostlivosť a hygiena – Psy"/>
    <s v="PawStyle"/>
    <n v="10"/>
    <n v="1"/>
    <s v="3"/>
    <s v="Priemer, ale použitelné."/>
    <d v="2025-12-12T00:00:00"/>
    <n v="0"/>
    <n v="10"/>
    <x v="3"/>
    <x v="11"/>
    <x v="0"/>
  </r>
  <r>
    <x v="5422"/>
    <n v="4027788990013"/>
    <x v="9"/>
    <s v="Starostlivosť a hygiena – Psy"/>
    <s v="Dogissimo"/>
    <n v="8"/>
    <n v="1"/>
    <s v="NULL"/>
    <s v=""/>
    <d v="2025-12-12T00:00:00"/>
    <n v="0"/>
    <n v="8"/>
    <x v="0"/>
    <x v="11"/>
    <x v="0"/>
  </r>
  <r>
    <x v="5423"/>
    <n v="4042233445567"/>
    <x v="57"/>
    <s v="Pelechy a nábytok – Mačky"/>
    <s v="CozyNest"/>
    <n v="51.64"/>
    <n v="1"/>
    <s v="NULL"/>
    <s v=""/>
    <d v="2025-12-12T00:00:00"/>
    <n v="0"/>
    <n v="51.64"/>
    <x v="0"/>
    <x v="11"/>
    <x v="1"/>
  </r>
  <r>
    <x v="5424"/>
    <n v="4003344556679"/>
    <x v="19"/>
    <s v="Pelechy a nábytok – Psy"/>
    <s v="Canine Craft Industries"/>
    <n v="51.64"/>
    <n v="1"/>
    <s v="NULL"/>
    <s v=""/>
    <d v="2025-12-12T00:00:00"/>
    <n v="0"/>
    <n v="51.64"/>
    <x v="0"/>
    <x v="11"/>
    <x v="0"/>
  </r>
  <r>
    <x v="5425"/>
    <n v="4017890123450"/>
    <x v="16"/>
    <s v="Hračky – Psy"/>
    <s v="Dogissimo"/>
    <n v="7.6"/>
    <n v="2"/>
    <s v="NULL"/>
    <s v=""/>
    <d v="2025-12-12T00:00:00"/>
    <n v="0"/>
    <n v="15.2"/>
    <x v="0"/>
    <x v="11"/>
    <x v="0"/>
  </r>
  <r>
    <x v="5426"/>
    <n v="4028899001126"/>
    <x v="1"/>
    <s v="Krmivo a maškrty – Psy"/>
    <s v="Pup Republic"/>
    <n v="2.8"/>
    <n v="3"/>
    <s v="NULL"/>
    <s v=""/>
    <d v="2025-12-12T00:00:00"/>
    <n v="0"/>
    <n v="8.3999999999999986"/>
    <x v="0"/>
    <x v="11"/>
    <x v="0"/>
  </r>
  <r>
    <x v="5427"/>
    <n v="4013456789017"/>
    <x v="0"/>
    <s v="Krmivo a maškrty – Psy"/>
    <s v="Snouty"/>
    <n v="6"/>
    <n v="1"/>
    <s v="NULL"/>
    <s v=""/>
    <d v="2025-12-12T00:00:00"/>
    <n v="0"/>
    <n v="6"/>
    <x v="0"/>
    <x v="11"/>
    <x v="0"/>
  </r>
  <r>
    <x v="5428"/>
    <n v="4056789012345"/>
    <x v="11"/>
    <s v="Krmivo a maškrty – Mačky"/>
    <s v="BellaMeow"/>
    <n v="2.4"/>
    <n v="2"/>
    <s v="4"/>
    <s v="Mačka spokojná."/>
    <d v="2025-12-12T00:00:00"/>
    <n v="0"/>
    <n v="4.8"/>
    <x v="1"/>
    <x v="11"/>
    <x v="1"/>
  </r>
  <r>
    <x v="5429"/>
    <n v="4027788990013"/>
    <x v="9"/>
    <s v="Starostlivosť a hygiena – Psy"/>
    <s v="Dogissimo"/>
    <n v="8"/>
    <n v="1"/>
    <s v="NULL"/>
    <s v=""/>
    <d v="2025-12-12T00:00:00"/>
    <n v="0"/>
    <n v="8"/>
    <x v="0"/>
    <x v="11"/>
    <x v="0"/>
  </r>
  <r>
    <x v="5430"/>
    <n v="4040123456795"/>
    <x v="2"/>
    <s v="Starostlivosť a hygiena – Psy"/>
    <s v="Dogissimo"/>
    <n v="8.8000000000000007"/>
    <n v="1"/>
    <s v="NULL"/>
    <s v=""/>
    <d v="2025-12-12T00:00:00"/>
    <n v="0"/>
    <n v="8.8000000000000007"/>
    <x v="0"/>
    <x v="11"/>
    <x v="0"/>
  </r>
  <r>
    <x v="5431"/>
    <n v="4063456789014"/>
    <x v="15"/>
    <s v="Krmivo a maškrty – Psy"/>
    <s v="Pupco"/>
    <n v="36"/>
    <n v="1"/>
    <s v="NULL"/>
    <s v=""/>
    <d v="2025-12-12T00:00:00"/>
    <n v="0"/>
    <n v="36"/>
    <x v="0"/>
    <x v="11"/>
    <x v="0"/>
  </r>
  <r>
    <x v="5432"/>
    <n v="8593456789012"/>
    <x v="4"/>
    <s v="Krmivo a maškrty – Mačky"/>
    <s v="Catissime"/>
    <n v="42"/>
    <n v="1"/>
    <s v="NULL"/>
    <s v=""/>
    <d v="2025-12-12T00:00:00"/>
    <n v="0"/>
    <n v="42"/>
    <x v="0"/>
    <x v="11"/>
    <x v="1"/>
  </r>
  <r>
    <x v="5433"/>
    <n v="4042233445567"/>
    <x v="57"/>
    <s v="Pelechy a nábytok – Mačky"/>
    <s v="CozyNest"/>
    <n v="51.64"/>
    <n v="1"/>
    <s v="NULL"/>
    <s v=""/>
    <d v="2025-12-12T00:00:00"/>
    <n v="0"/>
    <n v="51.64"/>
    <x v="0"/>
    <x v="11"/>
    <x v="1"/>
  </r>
  <r>
    <x v="5434"/>
    <n v="4013456789017"/>
    <x v="0"/>
    <s v="Krmivo a maškrty – Psy"/>
    <s v="Snouty"/>
    <n v="6"/>
    <n v="1"/>
    <s v="5"/>
    <s v="Pes je miluje."/>
    <d v="2025-12-12T00:00:00"/>
    <n v="0"/>
    <n v="6"/>
    <x v="2"/>
    <x v="11"/>
    <x v="0"/>
  </r>
  <r>
    <x v="5435"/>
    <n v="4028899001126"/>
    <x v="1"/>
    <s v="Krmivo a maškrty – Psy"/>
    <s v="Pup Republic"/>
    <n v="2.8"/>
    <n v="2"/>
    <s v="NULL"/>
    <s v=""/>
    <d v="2025-12-12T00:00:00"/>
    <n v="0"/>
    <n v="5.6"/>
    <x v="0"/>
    <x v="11"/>
    <x v="0"/>
  </r>
  <r>
    <x v="5436"/>
    <n v="4042233445567"/>
    <x v="57"/>
    <s v="Pelechy a nábytok – Mačky"/>
    <s v="CozyNest"/>
    <n v="51.64"/>
    <n v="1"/>
    <s v="NULL"/>
    <s v=""/>
    <d v="2025-12-12T00:00:00"/>
    <n v="0"/>
    <n v="51.64"/>
    <x v="0"/>
    <x v="11"/>
    <x v="1"/>
  </r>
  <r>
    <x v="5437"/>
    <n v="4056789012345"/>
    <x v="11"/>
    <s v="Krmivo a maškrty – Mačky"/>
    <s v="BellaMeow"/>
    <n v="2.4"/>
    <n v="3"/>
    <s v="NULL"/>
    <s v=""/>
    <d v="2025-12-12T00:00:00"/>
    <n v="0"/>
    <n v="7.1999999999999993"/>
    <x v="0"/>
    <x v="11"/>
    <x v="1"/>
  </r>
  <r>
    <x v="5438"/>
    <n v="4027788990013"/>
    <x v="9"/>
    <s v="Starostlivosť a hygiena – Psy"/>
    <s v="Dogissimo"/>
    <n v="8"/>
    <n v="1"/>
    <s v="NULL"/>
    <s v=""/>
    <d v="2025-12-12T00:00:00"/>
    <n v="0"/>
    <n v="8"/>
    <x v="0"/>
    <x v="11"/>
    <x v="0"/>
  </r>
  <r>
    <x v="5439"/>
    <n v="4040123456795"/>
    <x v="2"/>
    <s v="Starostlivosť a hygiena – Psy"/>
    <s v="Dogissimo"/>
    <n v="8.8000000000000007"/>
    <n v="1"/>
    <s v="NULL"/>
    <s v=""/>
    <d v="2025-12-12T00:00:00"/>
    <n v="0"/>
    <n v="8.8000000000000007"/>
    <x v="0"/>
    <x v="11"/>
    <x v="0"/>
  </r>
  <r>
    <x v="5440"/>
    <n v="4010123456783"/>
    <x v="6"/>
    <s v="Starostlivosť a hygiena – Mačky"/>
    <s v="BellaMeow"/>
    <n v="14"/>
    <n v="1"/>
    <s v="NULL"/>
    <s v=""/>
    <d v="2025-12-12T00:00:00"/>
    <n v="0"/>
    <n v="14"/>
    <x v="0"/>
    <x v="11"/>
    <x v="1"/>
  </r>
  <r>
    <x v="5441"/>
    <n v="4024567890128"/>
    <x v="78"/>
    <s v="Krmivo a maškrty – Psy"/>
    <s v="Canine Craft Industries"/>
    <n v="40"/>
    <n v="1"/>
    <s v="NULL"/>
    <s v=""/>
    <d v="2025-12-12T00:00:00"/>
    <n v="0"/>
    <n v="40"/>
    <x v="0"/>
    <x v="11"/>
    <x v="0"/>
  </r>
  <r>
    <x v="5442"/>
    <n v="4022345678908"/>
    <x v="55"/>
    <s v="Starostlivosť a hygiena – Psy"/>
    <s v="PawStyle"/>
    <n v="10"/>
    <n v="1"/>
    <s v="NULL"/>
    <s v=""/>
    <d v="2025-12-12T00:00:00"/>
    <n v="0"/>
    <n v="10"/>
    <x v="0"/>
    <x v="11"/>
    <x v="0"/>
  </r>
  <r>
    <x v="5443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44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45"/>
    <n v="4013456789017"/>
    <x v="0"/>
    <s v="Krmivo a maškrty – Psy"/>
    <s v="Snouty"/>
    <n v="6"/>
    <n v="1"/>
    <s v="5"/>
    <s v="Vždy kupujeme znovu."/>
    <d v="2025-12-13T00:00:00"/>
    <n v="0"/>
    <n v="6"/>
    <x v="2"/>
    <x v="11"/>
    <x v="0"/>
  </r>
  <r>
    <x v="5446"/>
    <n v="4056789012345"/>
    <x v="11"/>
    <s v="Krmivo a maškrty – Mačky"/>
    <s v="BellaMeow"/>
    <n v="2.4"/>
    <n v="2"/>
    <s v="NULL"/>
    <s v=""/>
    <d v="2025-12-13T00:00:00"/>
    <n v="0"/>
    <n v="4.8"/>
    <x v="0"/>
    <x v="11"/>
    <x v="1"/>
  </r>
  <r>
    <x v="5447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448"/>
    <n v="4003344556679"/>
    <x v="19"/>
    <s v="Pelechy a nábytok – Psy"/>
    <s v="Canine Craft Industries"/>
    <n v="51.64"/>
    <n v="1"/>
    <s v="NULL"/>
    <s v=""/>
    <d v="2025-12-13T00:00:00"/>
    <n v="0"/>
    <n v="51.64"/>
    <x v="0"/>
    <x v="11"/>
    <x v="0"/>
  </r>
  <r>
    <x v="5449"/>
    <n v="4027788990013"/>
    <x v="9"/>
    <s v="Starostlivosť a hygiena – Psy"/>
    <s v="Dogissimo"/>
    <n v="8"/>
    <n v="1"/>
    <s v="3"/>
    <s v="Priemerný, ale neurazí."/>
    <d v="2025-12-13T00:00:00"/>
    <n v="0"/>
    <n v="8"/>
    <x v="3"/>
    <x v="11"/>
    <x v="0"/>
  </r>
  <r>
    <x v="5450"/>
    <n v="4040123456795"/>
    <x v="2"/>
    <s v="Starostlivosť a hygiena – Psy"/>
    <s v="Dogissimo"/>
    <n v="8.8000000000000007"/>
    <n v="1"/>
    <s v="NULL"/>
    <s v=""/>
    <d v="2025-12-13T00:00:00"/>
    <n v="0"/>
    <n v="8.8000000000000007"/>
    <x v="0"/>
    <x v="11"/>
    <x v="0"/>
  </r>
  <r>
    <x v="5451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52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53"/>
    <n v="4067890123456"/>
    <x v="17"/>
    <s v="Krmivo a maškrty – Mačky"/>
    <s v="PawStyle"/>
    <n v="36"/>
    <n v="1"/>
    <s v="NULL"/>
    <s v=""/>
    <d v="2025-12-13T00:00:00"/>
    <n v="0"/>
    <n v="36"/>
    <x v="0"/>
    <x v="11"/>
    <x v="1"/>
  </r>
  <r>
    <x v="5454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55"/>
    <n v="4024567890128"/>
    <x v="78"/>
    <s v="Krmivo a maškrty – Psy"/>
    <s v="Canine Craft Industries"/>
    <n v="40"/>
    <n v="1"/>
    <s v="NULL"/>
    <s v=""/>
    <d v="2025-12-13T00:00:00"/>
    <n v="0"/>
    <n v="40"/>
    <x v="0"/>
    <x v="11"/>
    <x v="0"/>
  </r>
  <r>
    <x v="5456"/>
    <n v="4017890123450"/>
    <x v="16"/>
    <s v="Hračky – Psy"/>
    <s v="Dogissimo"/>
    <n v="7.6"/>
    <n v="1"/>
    <s v="NULL"/>
    <s v=""/>
    <d v="2025-12-13T00:00:00"/>
    <n v="0"/>
    <n v="7.6"/>
    <x v="0"/>
    <x v="11"/>
    <x v="0"/>
  </r>
  <r>
    <x v="5457"/>
    <n v="4056789012345"/>
    <x v="11"/>
    <s v="Krmivo a maškrty – Mačky"/>
    <s v="BellaMeow"/>
    <n v="2.4"/>
    <n v="2"/>
    <s v="NULL"/>
    <s v=""/>
    <d v="2025-12-13T00:00:00"/>
    <n v="0"/>
    <n v="4.8"/>
    <x v="0"/>
    <x v="11"/>
    <x v="1"/>
  </r>
  <r>
    <x v="5458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459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60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61"/>
    <n v="4040123456795"/>
    <x v="2"/>
    <s v="Starostlivosť a hygiena – Psy"/>
    <s v="Dogissimo"/>
    <n v="8.8000000000000007"/>
    <n v="1"/>
    <s v="4"/>
    <s v="Fajn produkt."/>
    <d v="2025-12-13T00:00:00"/>
    <n v="0"/>
    <n v="8.8000000000000007"/>
    <x v="1"/>
    <x v="11"/>
    <x v="0"/>
  </r>
  <r>
    <x v="5462"/>
    <n v="4028899001126"/>
    <x v="1"/>
    <s v="Krmivo a maškrty – Psy"/>
    <s v="Pup Republic"/>
    <n v="2.8"/>
    <n v="2"/>
    <s v="NULL"/>
    <s v=""/>
    <d v="2025-12-13T00:00:00"/>
    <n v="0"/>
    <n v="5.6"/>
    <x v="0"/>
    <x v="11"/>
    <x v="0"/>
  </r>
  <r>
    <x v="5463"/>
    <n v="4056789012345"/>
    <x v="11"/>
    <s v="Krmivo a maškrty – Mačky"/>
    <s v="BellaMeow"/>
    <n v="2.4"/>
    <n v="2"/>
    <s v="NULL"/>
    <s v=""/>
    <d v="2025-12-13T00:00:00"/>
    <n v="0"/>
    <n v="4.8"/>
    <x v="0"/>
    <x v="11"/>
    <x v="1"/>
  </r>
  <r>
    <x v="5464"/>
    <n v="4003344556679"/>
    <x v="19"/>
    <s v="Pelechy a nábytok – Psy"/>
    <s v="Canine Craft Industries"/>
    <n v="51.64"/>
    <n v="1"/>
    <s v="NULL"/>
    <s v=""/>
    <d v="2025-12-13T00:00:00"/>
    <n v="0"/>
    <n v="51.64"/>
    <x v="0"/>
    <x v="11"/>
    <x v="0"/>
  </r>
  <r>
    <x v="5465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466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67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68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69"/>
    <n v="4056789012345"/>
    <x v="11"/>
    <s v="Krmivo a maškrty – Mačky"/>
    <s v="BellaMeow"/>
    <n v="2.4"/>
    <n v="2"/>
    <s v="NULL"/>
    <s v=""/>
    <d v="2025-12-13T00:00:00"/>
    <n v="0"/>
    <n v="4.8"/>
    <x v="0"/>
    <x v="11"/>
    <x v="1"/>
  </r>
  <r>
    <x v="5470"/>
    <n v="4040123456795"/>
    <x v="2"/>
    <s v="Starostlivosť a hygiena – Psy"/>
    <s v="Dogissimo"/>
    <n v="8.8000000000000007"/>
    <n v="1"/>
    <s v="4"/>
    <s v="Používám opakovane."/>
    <d v="2025-12-13T00:00:00"/>
    <n v="0"/>
    <n v="8.8000000000000007"/>
    <x v="1"/>
    <x v="11"/>
    <x v="0"/>
  </r>
  <r>
    <x v="5471"/>
    <n v="4063456789014"/>
    <x v="15"/>
    <s v="Krmivo a maškrty – Psy"/>
    <s v="Pupco"/>
    <n v="36"/>
    <n v="1"/>
    <s v="NULL"/>
    <s v=""/>
    <d v="2025-12-13T00:00:00"/>
    <n v="0"/>
    <n v="36"/>
    <x v="0"/>
    <x v="11"/>
    <x v="0"/>
  </r>
  <r>
    <x v="5472"/>
    <n v="8593456789012"/>
    <x v="4"/>
    <s v="Krmivo a maškrty – Mačky"/>
    <s v="Catissime"/>
    <n v="42"/>
    <n v="1"/>
    <s v="NULL"/>
    <s v=""/>
    <d v="2025-12-13T00:00:00"/>
    <n v="0"/>
    <n v="42"/>
    <x v="0"/>
    <x v="11"/>
    <x v="1"/>
  </r>
  <r>
    <x v="5473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474"/>
    <n v="4010123456783"/>
    <x v="6"/>
    <s v="Starostlivosť a hygiena – Mačky"/>
    <s v="BellaMeow"/>
    <n v="14"/>
    <n v="1"/>
    <s v="NULL"/>
    <s v=""/>
    <d v="2025-12-13T00:00:00"/>
    <n v="0"/>
    <n v="14"/>
    <x v="0"/>
    <x v="11"/>
    <x v="1"/>
  </r>
  <r>
    <x v="5475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76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77"/>
    <n v="4040123456795"/>
    <x v="2"/>
    <s v="Starostlivosť a hygiena – Psy"/>
    <s v="Dogissimo"/>
    <n v="8.8000000000000007"/>
    <n v="1"/>
    <s v="NULL"/>
    <s v=""/>
    <d v="2025-12-13T00:00:00"/>
    <n v="0"/>
    <n v="8.8000000000000007"/>
    <x v="0"/>
    <x v="11"/>
    <x v="0"/>
  </r>
  <r>
    <x v="5478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79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80"/>
    <n v="4003344556679"/>
    <x v="19"/>
    <s v="Pelechy a nábytok – Psy"/>
    <s v="Canine Craft Industries"/>
    <n v="51.64"/>
    <n v="1"/>
    <s v="4"/>
    <s v="Pekný, ale mohol byť väčší."/>
    <d v="2025-12-13T00:00:00"/>
    <n v="0"/>
    <n v="51.64"/>
    <x v="1"/>
    <x v="11"/>
    <x v="0"/>
  </r>
  <r>
    <x v="5481"/>
    <n v="4028899001126"/>
    <x v="1"/>
    <s v="Krmivo a maškrty – Psy"/>
    <s v="Pup Republic"/>
    <n v="2.8"/>
    <n v="2"/>
    <s v="NULL"/>
    <s v=""/>
    <d v="2025-12-13T00:00:00"/>
    <n v="0"/>
    <n v="5.6"/>
    <x v="0"/>
    <x v="11"/>
    <x v="0"/>
  </r>
  <r>
    <x v="5482"/>
    <n v="4056789012345"/>
    <x v="11"/>
    <s v="Krmivo a maškrty – Mačky"/>
    <s v="BellaMeow"/>
    <n v="2.4"/>
    <n v="3"/>
    <s v="NULL"/>
    <s v=""/>
    <d v="2025-12-13T00:00:00"/>
    <n v="0"/>
    <n v="7.1999999999999993"/>
    <x v="0"/>
    <x v="11"/>
    <x v="1"/>
  </r>
  <r>
    <x v="5483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84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485"/>
    <n v="4028899001126"/>
    <x v="1"/>
    <s v="Krmivo a maškrty – Psy"/>
    <s v="Pup Republic"/>
    <n v="2.8"/>
    <n v="2"/>
    <s v="NULL"/>
    <s v=""/>
    <d v="2025-12-13T00:00:00"/>
    <n v="0"/>
    <n v="5.6"/>
    <x v="0"/>
    <x v="11"/>
    <x v="0"/>
  </r>
  <r>
    <x v="5486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87"/>
    <n v="4040123456795"/>
    <x v="2"/>
    <s v="Starostlivosť a hygiena – Psy"/>
    <s v="Dogissimo"/>
    <n v="8.8000000000000007"/>
    <n v="1"/>
    <s v="4"/>
    <s v="Kupujem pravidelne, tento rok aj ako darček."/>
    <d v="2025-12-13T00:00:00"/>
    <n v="0"/>
    <n v="8.8000000000000007"/>
    <x v="1"/>
    <x v="11"/>
    <x v="0"/>
  </r>
  <r>
    <x v="5488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89"/>
    <n v="4003344556679"/>
    <x v="19"/>
    <s v="Pelechy a nábytok – Psy"/>
    <s v="Canine Craft Industries"/>
    <n v="51.64"/>
    <n v="1"/>
    <s v="NULL"/>
    <s v=""/>
    <d v="2025-12-13T00:00:00"/>
    <n v="0"/>
    <n v="51.64"/>
    <x v="0"/>
    <x v="11"/>
    <x v="0"/>
  </r>
  <r>
    <x v="5490"/>
    <n v="4042233445567"/>
    <x v="57"/>
    <s v="Pelechy a nábytok – Mačky"/>
    <s v="CozyNest"/>
    <n v="51.64"/>
    <n v="1"/>
    <s v="5"/>
    <s v="Mačka v ňom hneď spala, skvelý vianočný darček."/>
    <d v="2025-12-13T00:00:00"/>
    <n v="0"/>
    <n v="51.64"/>
    <x v="2"/>
    <x v="11"/>
    <x v="1"/>
  </r>
  <r>
    <x v="5491"/>
    <n v="4013456789017"/>
    <x v="0"/>
    <s v="Krmivo a maškrty – Psy"/>
    <s v="Snouty"/>
    <n v="6"/>
    <n v="1"/>
    <s v="NULL"/>
    <s v=""/>
    <d v="2025-12-13T00:00:00"/>
    <n v="0"/>
    <n v="6"/>
    <x v="0"/>
    <x v="11"/>
    <x v="0"/>
  </r>
  <r>
    <x v="5492"/>
    <n v="4028899001126"/>
    <x v="1"/>
    <s v="Krmivo a maškrty – Psy"/>
    <s v="Pup Republic"/>
    <n v="2.8"/>
    <n v="3"/>
    <s v="NULL"/>
    <s v=""/>
    <d v="2025-12-13T00:00:00"/>
    <n v="0"/>
    <n v="8.3999999999999986"/>
    <x v="0"/>
    <x v="11"/>
    <x v="0"/>
  </r>
  <r>
    <x v="5493"/>
    <n v="4017890123450"/>
    <x v="16"/>
    <s v="Hračky – Psy"/>
    <s v="Dogissimo"/>
    <n v="7.6"/>
    <n v="1"/>
    <s v="NULL"/>
    <s v=""/>
    <d v="2025-12-13T00:00:00"/>
    <n v="0"/>
    <n v="7.6"/>
    <x v="0"/>
    <x v="11"/>
    <x v="0"/>
  </r>
  <r>
    <x v="5494"/>
    <n v="4056789012345"/>
    <x v="11"/>
    <s v="Krmivo a maškrty – Mačky"/>
    <s v="BellaMeow"/>
    <n v="2.4"/>
    <n v="2"/>
    <s v="NULL"/>
    <s v=""/>
    <d v="2025-12-13T00:00:00"/>
    <n v="0"/>
    <n v="4.8"/>
    <x v="0"/>
    <x v="11"/>
    <x v="1"/>
  </r>
  <r>
    <x v="5495"/>
    <n v="8593456789012"/>
    <x v="4"/>
    <s v="Krmivo a maškrty – Mačky"/>
    <s v="Catissime"/>
    <n v="42"/>
    <n v="1"/>
    <s v="4"/>
    <s v="Dávám ako darček rodičom pre jejich mačku."/>
    <d v="2025-12-13T00:00:00"/>
    <n v="0"/>
    <n v="42"/>
    <x v="1"/>
    <x v="11"/>
    <x v="1"/>
  </r>
  <r>
    <x v="5496"/>
    <n v="4027788990013"/>
    <x v="9"/>
    <s v="Starostlivosť a hygiena – Psy"/>
    <s v="Dogissimo"/>
    <n v="8"/>
    <n v="1"/>
    <s v="NULL"/>
    <s v=""/>
    <d v="2025-12-13T00:00:00"/>
    <n v="0"/>
    <n v="8"/>
    <x v="0"/>
    <x v="11"/>
    <x v="0"/>
  </r>
  <r>
    <x v="5497"/>
    <n v="4040123456795"/>
    <x v="2"/>
    <s v="Starostlivosť a hygiena – Psy"/>
    <s v="Dogissimo"/>
    <n v="8.8000000000000007"/>
    <n v="1"/>
    <s v="NULL"/>
    <s v=""/>
    <d v="2025-12-13T00:00:00"/>
    <n v="0"/>
    <n v="8.8000000000000007"/>
    <x v="0"/>
    <x v="11"/>
    <x v="0"/>
  </r>
  <r>
    <x v="5498"/>
    <n v="4003344556679"/>
    <x v="19"/>
    <s v="Pelechy a nábytok – Psy"/>
    <s v="Canine Craft Industries"/>
    <n v="51.64"/>
    <n v="1"/>
    <s v="NULL"/>
    <s v=""/>
    <d v="2025-12-13T00:00:00"/>
    <n v="0"/>
    <n v="51.64"/>
    <x v="0"/>
    <x v="11"/>
    <x v="0"/>
  </r>
  <r>
    <x v="5499"/>
    <n v="4028899001126"/>
    <x v="1"/>
    <s v="Krmivo a maškrty – Psy"/>
    <s v="Pup Republic"/>
    <n v="2.8"/>
    <n v="2"/>
    <s v="NULL"/>
    <s v=""/>
    <d v="2025-12-13T00:00:00"/>
    <n v="0"/>
    <n v="5.6"/>
    <x v="0"/>
    <x v="11"/>
    <x v="0"/>
  </r>
  <r>
    <x v="5500"/>
    <n v="4013456789017"/>
    <x v="0"/>
    <s v="Krmivo a maškrty – Psy"/>
    <s v="Snouty"/>
    <n v="6"/>
    <n v="1"/>
    <s v="5"/>
    <s v="Kupujeme pre viac psov, tento rok aj ako malé darčeky."/>
    <d v="2025-12-13T00:00:00"/>
    <n v="0"/>
    <n v="6"/>
    <x v="2"/>
    <x v="11"/>
    <x v="0"/>
  </r>
  <r>
    <x v="5501"/>
    <n v="4067890123456"/>
    <x v="17"/>
    <s v="Krmivo a maškrty – Mačky"/>
    <s v="PawStyle"/>
    <n v="36"/>
    <n v="1"/>
    <s v="NULL"/>
    <s v=""/>
    <d v="2025-12-13T00:00:00"/>
    <n v="0"/>
    <n v="36"/>
    <x v="0"/>
    <x v="11"/>
    <x v="1"/>
  </r>
  <r>
    <x v="5502"/>
    <n v="4042233445567"/>
    <x v="57"/>
    <s v="Pelechy a nábytok – Mačky"/>
    <s v="CozyNest"/>
    <n v="51.64"/>
    <n v="1"/>
    <s v="NULL"/>
    <s v=""/>
    <d v="2025-12-13T00:00:00"/>
    <n v="0"/>
    <n v="51.64"/>
    <x v="0"/>
    <x v="11"/>
    <x v="1"/>
  </r>
  <r>
    <x v="5503"/>
    <n v="4022345678908"/>
    <x v="55"/>
    <s v="Starostlivosť a hygiena – Psy"/>
    <s v="PawStyle"/>
    <n v="10"/>
    <n v="1"/>
    <s v="NULL"/>
    <s v=""/>
    <d v="2025-12-13T00:00:00"/>
    <n v="0"/>
    <n v="10"/>
    <x v="0"/>
    <x v="11"/>
    <x v="0"/>
  </r>
  <r>
    <x v="5504"/>
    <n v="4010123456783"/>
    <x v="6"/>
    <s v="Starostlivosť a hygiena – Mačky"/>
    <s v="BellaMeow"/>
    <n v="14"/>
    <n v="1"/>
    <s v="NULL"/>
    <s v=""/>
    <d v="2025-12-13T00:00:00"/>
    <n v="0"/>
    <n v="14"/>
    <x v="0"/>
    <x v="11"/>
    <x v="1"/>
  </r>
  <r>
    <x v="5505"/>
    <n v="4056789012345"/>
    <x v="11"/>
    <s v="Krmivo a maškrty – Mačky"/>
    <s v="BellaMeow"/>
    <n v="2.4"/>
    <n v="2"/>
    <s v="NULL"/>
    <s v=""/>
    <d v="2025-12-14T00:00:00"/>
    <n v="0"/>
    <n v="4.8"/>
    <x v="0"/>
    <x v="11"/>
    <x v="1"/>
  </r>
  <r>
    <x v="5506"/>
    <n v="4028899001126"/>
    <x v="1"/>
    <s v="Krmivo a maškrty – Psy"/>
    <s v="Pup Republic"/>
    <n v="2.8"/>
    <n v="3"/>
    <s v="NULL"/>
    <s v=""/>
    <d v="2025-12-14T00:00:00"/>
    <n v="0"/>
    <n v="8.3999999999999986"/>
    <x v="0"/>
    <x v="11"/>
    <x v="0"/>
  </r>
  <r>
    <x v="5507"/>
    <n v="4040123456795"/>
    <x v="2"/>
    <s v="Starostlivosť a hygiena – Psy"/>
    <s v="Dogissimo"/>
    <n v="8.8000000000000007"/>
    <n v="1"/>
    <s v="4"/>
    <s v="Dávám ako doplnok k darčeku, kvalitné produkt."/>
    <d v="2025-12-14T00:00:00"/>
    <n v="0"/>
    <n v="8.8000000000000007"/>
    <x v="1"/>
    <x v="11"/>
    <x v="0"/>
  </r>
  <r>
    <x v="5508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09"/>
    <n v="4003344556679"/>
    <x v="19"/>
    <s v="Pelechy a nábytok – Psy"/>
    <s v="Canine Craft Industries"/>
    <n v="51.64"/>
    <n v="1"/>
    <s v="NULL"/>
    <s v=""/>
    <d v="2025-12-14T00:00:00"/>
    <n v="0"/>
    <n v="51.64"/>
    <x v="0"/>
    <x v="11"/>
    <x v="0"/>
  </r>
  <r>
    <x v="5510"/>
    <n v="8593456789012"/>
    <x v="4"/>
    <s v="Krmivo a maškrty – Mačky"/>
    <s v="Catissime"/>
    <n v="42"/>
    <n v="1"/>
    <s v="NULL"/>
    <s v=""/>
    <d v="2025-12-14T00:00:00"/>
    <n v="0"/>
    <n v="42"/>
    <x v="0"/>
    <x v="11"/>
    <x v="1"/>
  </r>
  <r>
    <x v="5511"/>
    <n v="4017890123450"/>
    <x v="16"/>
    <s v="Hračky – Psy"/>
    <s v="Dogissimo"/>
    <n v="7.6"/>
    <n v="2"/>
    <s v="3"/>
    <s v="Pes sa hrá, ale pískátko vydrželo len pár dní."/>
    <d v="2025-12-14T00:00:00"/>
    <n v="0"/>
    <n v="15.2"/>
    <x v="3"/>
    <x v="11"/>
    <x v="0"/>
  </r>
  <r>
    <x v="5512"/>
    <n v="4042233445567"/>
    <x v="57"/>
    <s v="Pelechy a nábytok – Mačky"/>
    <s v="CozyNest"/>
    <n v="51.64"/>
    <n v="1"/>
    <s v="NULL"/>
    <s v=""/>
    <d v="2025-12-14T00:00:00"/>
    <n v="0"/>
    <n v="51.64"/>
    <x v="0"/>
    <x v="11"/>
    <x v="1"/>
  </r>
  <r>
    <x v="5513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14"/>
    <n v="4028899001126"/>
    <x v="1"/>
    <s v="Krmivo a maškrty – Psy"/>
    <s v="Pup Republic"/>
    <n v="2.8"/>
    <n v="3"/>
    <s v="NULL"/>
    <s v=""/>
    <d v="2025-12-14T00:00:00"/>
    <n v="0"/>
    <n v="8.3999999999999986"/>
    <x v="0"/>
    <x v="11"/>
    <x v="0"/>
  </r>
  <r>
    <x v="5515"/>
    <n v="4056789012345"/>
    <x v="11"/>
    <s v="Krmivo a maškrty – Mačky"/>
    <s v="BellaMeow"/>
    <n v="2.4"/>
    <n v="2"/>
    <s v="NULL"/>
    <s v=""/>
    <d v="2025-12-14T00:00:00"/>
    <n v="0"/>
    <n v="4.8"/>
    <x v="0"/>
    <x v="11"/>
    <x v="1"/>
  </r>
  <r>
    <x v="5516"/>
    <n v="4040123456795"/>
    <x v="2"/>
    <s v="Starostlivosť a hygiena – Psy"/>
    <s v="Dogissimo"/>
    <n v="8.8000000000000007"/>
    <n v="1"/>
    <s v="NULL"/>
    <s v=""/>
    <d v="2025-12-14T00:00:00"/>
    <n v="0"/>
    <n v="8.8000000000000007"/>
    <x v="0"/>
    <x v="11"/>
    <x v="0"/>
  </r>
  <r>
    <x v="5517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18"/>
    <n v="4003344556679"/>
    <x v="19"/>
    <s v="Pelechy a nábytok – Psy"/>
    <s v="Canine Craft Industries"/>
    <n v="51.64"/>
    <n v="1"/>
    <s v="5"/>
    <s v="Kupujeme pre každého psa v rodine, tento rok opäť."/>
    <d v="2025-12-14T00:00:00"/>
    <n v="0"/>
    <n v="51.64"/>
    <x v="2"/>
    <x v="11"/>
    <x v="0"/>
  </r>
  <r>
    <x v="5519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20"/>
    <n v="4028899001126"/>
    <x v="1"/>
    <s v="Krmivo a maškrty – Psy"/>
    <s v="Pup Republic"/>
    <n v="2.8"/>
    <n v="2"/>
    <s v="NULL"/>
    <s v=""/>
    <d v="2025-12-14T00:00:00"/>
    <n v="0"/>
    <n v="5.6"/>
    <x v="0"/>
    <x v="11"/>
    <x v="0"/>
  </r>
  <r>
    <x v="5521"/>
    <n v="4056789012345"/>
    <x v="11"/>
    <s v="Krmivo a maškrty – Mačky"/>
    <s v="BellaMeow"/>
    <n v="2.4"/>
    <n v="3"/>
    <s v="NULL"/>
    <s v=""/>
    <d v="2025-12-14T00:00:00"/>
    <n v="0"/>
    <n v="7.1999999999999993"/>
    <x v="0"/>
    <x v="11"/>
    <x v="1"/>
  </r>
  <r>
    <x v="5522"/>
    <n v="4042233445567"/>
    <x v="57"/>
    <s v="Pelechy a nábytok – Mačky"/>
    <s v="CozyNest"/>
    <n v="51.64"/>
    <n v="1"/>
    <s v="NULL"/>
    <s v=""/>
    <d v="2025-12-14T00:00:00"/>
    <n v="0"/>
    <n v="51.64"/>
    <x v="0"/>
    <x v="11"/>
    <x v="1"/>
  </r>
  <r>
    <x v="5523"/>
    <n v="4067890123456"/>
    <x v="17"/>
    <s v="Krmivo a maškrty – Mačky"/>
    <s v="PawStyle"/>
    <n v="36"/>
    <n v="1"/>
    <s v="NULL"/>
    <s v=""/>
    <d v="2025-12-14T00:00:00"/>
    <n v="0"/>
    <n v="36"/>
    <x v="0"/>
    <x v="11"/>
    <x v="1"/>
  </r>
  <r>
    <x v="5524"/>
    <n v="4022345678908"/>
    <x v="55"/>
    <s v="Starostlivosť a hygiena – Psy"/>
    <s v="PawStyle"/>
    <n v="10"/>
    <n v="1"/>
    <s v="NULL"/>
    <s v=""/>
    <d v="2025-12-14T00:00:00"/>
    <n v="0"/>
    <n v="10"/>
    <x v="0"/>
    <x v="11"/>
    <x v="0"/>
  </r>
  <r>
    <x v="5525"/>
    <n v="4027788990013"/>
    <x v="9"/>
    <s v="Starostlivosť a hygiena – Psy"/>
    <s v="Dogissimo"/>
    <n v="8"/>
    <n v="1"/>
    <s v="4"/>
    <s v="Kúpené k vánočnímu darčeku pre pejska od priateľka."/>
    <d v="2025-12-14T00:00:00"/>
    <n v="0"/>
    <n v="8"/>
    <x v="1"/>
    <x v="11"/>
    <x v="0"/>
  </r>
  <r>
    <x v="5526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27"/>
    <n v="4028899001126"/>
    <x v="1"/>
    <s v="Krmivo a maškrty – Psy"/>
    <s v="Pup Republic"/>
    <n v="2.8"/>
    <n v="2"/>
    <s v="NULL"/>
    <s v=""/>
    <d v="2025-12-14T00:00:00"/>
    <n v="0"/>
    <n v="5.6"/>
    <x v="0"/>
    <x v="11"/>
    <x v="0"/>
  </r>
  <r>
    <x v="5528"/>
    <n v="4040123456795"/>
    <x v="2"/>
    <s v="Starostlivosť a hygiena – Psy"/>
    <s v="Dogissimo"/>
    <n v="8.8000000000000007"/>
    <n v="1"/>
    <s v="NULL"/>
    <s v=""/>
    <d v="2025-12-14T00:00:00"/>
    <n v="0"/>
    <n v="8.8000000000000007"/>
    <x v="0"/>
    <x v="11"/>
    <x v="0"/>
  </r>
  <r>
    <x v="5529"/>
    <n v="4003344556679"/>
    <x v="19"/>
    <s v="Pelechy a nábytok – Psy"/>
    <s v="Canine Craft Industries"/>
    <n v="51.64"/>
    <n v="1"/>
    <s v="NULL"/>
    <s v=""/>
    <d v="2025-12-14T00:00:00"/>
    <n v="0"/>
    <n v="51.64"/>
    <x v="0"/>
    <x v="11"/>
    <x v="0"/>
  </r>
  <r>
    <x v="5530"/>
    <n v="8593456789012"/>
    <x v="4"/>
    <s v="Krmivo a maškrty – Mačky"/>
    <s v="Catissime"/>
    <n v="42"/>
    <n v="1"/>
    <s v="5"/>
    <s v="Vždy dáváme ako darček rodičom, osvedčené krmivo."/>
    <d v="2025-12-14T00:00:00"/>
    <n v="0"/>
    <n v="42"/>
    <x v="2"/>
    <x v="11"/>
    <x v="1"/>
  </r>
  <r>
    <x v="5531"/>
    <n v="4056789012345"/>
    <x v="11"/>
    <s v="Krmivo a maškrty – Mačky"/>
    <s v="BellaMeow"/>
    <n v="2.4"/>
    <n v="2"/>
    <s v="NULL"/>
    <s v=""/>
    <d v="2025-12-14T00:00:00"/>
    <n v="0"/>
    <n v="4.8"/>
    <x v="0"/>
    <x v="11"/>
    <x v="1"/>
  </r>
  <r>
    <x v="5532"/>
    <n v="4017890123450"/>
    <x v="16"/>
    <s v="Hračky – Psy"/>
    <s v="Dogissimo"/>
    <n v="7.6"/>
    <n v="1"/>
    <s v="NULL"/>
    <s v=""/>
    <d v="2025-12-14T00:00:00"/>
    <n v="0"/>
    <n v="7.6"/>
    <x v="0"/>
    <x v="11"/>
    <x v="0"/>
  </r>
  <r>
    <x v="5533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34"/>
    <n v="4042233445567"/>
    <x v="57"/>
    <s v="Pelechy a nábytok – Mačky"/>
    <s v="CozyNest"/>
    <n v="51.64"/>
    <n v="1"/>
    <s v="NULL"/>
    <s v=""/>
    <d v="2025-12-14T00:00:00"/>
    <n v="0"/>
    <n v="51.64"/>
    <x v="0"/>
    <x v="11"/>
    <x v="1"/>
  </r>
  <r>
    <x v="5535"/>
    <n v="4028899001126"/>
    <x v="1"/>
    <s v="Krmivo a maškrty – Psy"/>
    <s v="Pup Republic"/>
    <n v="2.8"/>
    <n v="2"/>
    <s v="NULL"/>
    <s v=""/>
    <d v="2025-12-14T00:00:00"/>
    <n v="0"/>
    <n v="5.6"/>
    <x v="0"/>
    <x v="11"/>
    <x v="0"/>
  </r>
  <r>
    <x v="5536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37"/>
    <n v="4040123456795"/>
    <x v="2"/>
    <s v="Starostlivosť a hygiena – Psy"/>
    <s v="Dogissimo"/>
    <n v="8.8000000000000007"/>
    <n v="1"/>
    <s v="NULL"/>
    <s v=""/>
    <d v="2025-12-14T00:00:00"/>
    <n v="0"/>
    <n v="8.8000000000000007"/>
    <x v="0"/>
    <x v="11"/>
    <x v="0"/>
  </r>
  <r>
    <x v="5538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39"/>
    <n v="4003344556679"/>
    <x v="19"/>
    <s v="Pelechy a nábytok – Psy"/>
    <s v="Canine Craft Industries"/>
    <n v="51.64"/>
    <n v="1"/>
    <s v="NULL"/>
    <s v=""/>
    <d v="2025-12-14T00:00:00"/>
    <n v="0"/>
    <n v="51.64"/>
    <x v="0"/>
    <x v="11"/>
    <x v="0"/>
  </r>
  <r>
    <x v="5540"/>
    <n v="4022345678908"/>
    <x v="55"/>
    <s v="Starostlivosť a hygiena – Psy"/>
    <s v="PawStyle"/>
    <n v="10"/>
    <n v="1"/>
    <s v="NULL"/>
    <s v=""/>
    <d v="2025-12-14T00:00:00"/>
    <n v="0"/>
    <n v="10"/>
    <x v="0"/>
    <x v="11"/>
    <x v="0"/>
  </r>
  <r>
    <x v="5541"/>
    <n v="4067890123456"/>
    <x v="17"/>
    <s v="Krmivo a maškrty – Mačky"/>
    <s v="PawStyle"/>
    <n v="36"/>
    <n v="1"/>
    <s v="NULL"/>
    <s v=""/>
    <d v="2025-12-14T00:00:00"/>
    <n v="0"/>
    <n v="36"/>
    <x v="0"/>
    <x v="11"/>
    <x v="1"/>
  </r>
  <r>
    <x v="5542"/>
    <n v="4028899001126"/>
    <x v="1"/>
    <s v="Krmivo a maškrty – Psy"/>
    <s v="Pup Republic"/>
    <n v="2.8"/>
    <n v="3"/>
    <s v="NULL"/>
    <s v=""/>
    <d v="2025-12-14T00:00:00"/>
    <n v="0"/>
    <n v="8.3999999999999986"/>
    <x v="0"/>
    <x v="11"/>
    <x v="0"/>
  </r>
  <r>
    <x v="5543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44"/>
    <n v="4042233445567"/>
    <x v="57"/>
    <s v="Pelechy a nábytok – Mačky"/>
    <s v="CozyNest"/>
    <n v="51.64"/>
    <n v="1"/>
    <s v="4"/>
    <s v="Dobrý pomer cena/výkon, dávám ako darček."/>
    <d v="2025-12-14T00:00:00"/>
    <n v="0"/>
    <n v="51.64"/>
    <x v="1"/>
    <x v="11"/>
    <x v="1"/>
  </r>
  <r>
    <x v="5545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46"/>
    <n v="4040123456795"/>
    <x v="2"/>
    <s v="Starostlivosť a hygiena – Psy"/>
    <s v="Dogissimo"/>
    <n v="8.8000000000000007"/>
    <n v="1"/>
    <s v="NULL"/>
    <s v=""/>
    <d v="2025-12-14T00:00:00"/>
    <n v="0"/>
    <n v="8.8000000000000007"/>
    <x v="0"/>
    <x v="11"/>
    <x v="0"/>
  </r>
  <r>
    <x v="5547"/>
    <n v="4028899001126"/>
    <x v="1"/>
    <s v="Krmivo a maškrty – Psy"/>
    <s v="Pup Republic"/>
    <n v="2.8"/>
    <n v="3"/>
    <s v="NULL"/>
    <s v=""/>
    <d v="2025-12-14T00:00:00"/>
    <n v="0"/>
    <n v="8.3999999999999986"/>
    <x v="0"/>
    <x v="11"/>
    <x v="0"/>
  </r>
  <r>
    <x v="5548"/>
    <n v="4056789012345"/>
    <x v="11"/>
    <s v="Krmivo a maškrty – Mačky"/>
    <s v="BellaMeow"/>
    <n v="2.4"/>
    <n v="2"/>
    <s v="NULL"/>
    <s v=""/>
    <d v="2025-12-14T00:00:00"/>
    <n v="0"/>
    <n v="4.8"/>
    <x v="0"/>
    <x v="11"/>
    <x v="1"/>
  </r>
  <r>
    <x v="5549"/>
    <n v="4042233445567"/>
    <x v="57"/>
    <s v="Pelechy a nábytok – Mačky"/>
    <s v="CozyNest"/>
    <n v="51.64"/>
    <n v="1"/>
    <s v="NULL"/>
    <s v=""/>
    <d v="2025-12-14T00:00:00"/>
    <n v="0"/>
    <n v="51.64"/>
    <x v="0"/>
    <x v="11"/>
    <x v="1"/>
  </r>
  <r>
    <x v="5550"/>
    <n v="4003344556679"/>
    <x v="19"/>
    <s v="Pelechy a nábytok – Psy"/>
    <s v="Canine Craft Industries"/>
    <n v="51.64"/>
    <n v="1"/>
    <s v="NULL"/>
    <s v=""/>
    <d v="2025-12-14T00:00:00"/>
    <n v="0"/>
    <n v="51.64"/>
    <x v="0"/>
    <x v="11"/>
    <x v="0"/>
  </r>
  <r>
    <x v="5551"/>
    <n v="4017890123450"/>
    <x v="16"/>
    <s v="Hračky – Psy"/>
    <s v="Dogissimo"/>
    <n v="7.6"/>
    <n v="1"/>
    <s v="NULL"/>
    <s v=""/>
    <d v="2025-12-14T00:00:00"/>
    <n v="0"/>
    <n v="7.6"/>
    <x v="0"/>
    <x v="11"/>
    <x v="0"/>
  </r>
  <r>
    <x v="5552"/>
    <n v="8593456789012"/>
    <x v="4"/>
    <s v="Krmivo a maškrty – Mačky"/>
    <s v="Catissime"/>
    <n v="42"/>
    <n v="1"/>
    <s v="NULL"/>
    <s v=""/>
    <d v="2025-12-14T00:00:00"/>
    <n v="0"/>
    <n v="42"/>
    <x v="0"/>
    <x v="11"/>
    <x v="1"/>
  </r>
  <r>
    <x v="5553"/>
    <n v="4056789012345"/>
    <x v="11"/>
    <s v="Krmivo a maškrty – Mačky"/>
    <s v="BellaMeow"/>
    <n v="2.4"/>
    <n v="2"/>
    <s v="NULL"/>
    <s v=""/>
    <d v="2025-12-14T00:00:00"/>
    <n v="0"/>
    <n v="4.8"/>
    <x v="0"/>
    <x v="11"/>
    <x v="1"/>
  </r>
  <r>
    <x v="5554"/>
    <n v="4028899001126"/>
    <x v="1"/>
    <s v="Krmivo a maškrty – Psy"/>
    <s v="Pup Republic"/>
    <n v="2.8"/>
    <n v="2"/>
    <s v="4"/>
    <s v="Berieme ako vianočnú zásobu."/>
    <d v="2025-12-14T00:00:00"/>
    <n v="0"/>
    <n v="5.6"/>
    <x v="1"/>
    <x v="11"/>
    <x v="0"/>
  </r>
  <r>
    <x v="5555"/>
    <n v="4013456789017"/>
    <x v="0"/>
    <s v="Krmivo a maškrty – Psy"/>
    <s v="Snouty"/>
    <n v="6"/>
    <n v="1"/>
    <s v="NULL"/>
    <s v=""/>
    <d v="2025-12-14T00:00:00"/>
    <n v="0"/>
    <n v="6"/>
    <x v="0"/>
    <x v="11"/>
    <x v="0"/>
  </r>
  <r>
    <x v="5556"/>
    <n v="4040123456795"/>
    <x v="2"/>
    <s v="Starostlivosť a hygiena – Psy"/>
    <s v="Dogissimo"/>
    <n v="8.8000000000000007"/>
    <n v="1"/>
    <s v="NULL"/>
    <s v=""/>
    <d v="2025-12-14T00:00:00"/>
    <n v="0"/>
    <n v="8.8000000000000007"/>
    <x v="0"/>
    <x v="11"/>
    <x v="0"/>
  </r>
  <r>
    <x v="5557"/>
    <n v="4027788990013"/>
    <x v="9"/>
    <s v="Starostlivosť a hygiena – Psy"/>
    <s v="Dogissimo"/>
    <n v="8"/>
    <n v="1"/>
    <s v="NULL"/>
    <s v=""/>
    <d v="2025-12-14T00:00:00"/>
    <n v="0"/>
    <n v="8"/>
    <x v="0"/>
    <x v="11"/>
    <x v="0"/>
  </r>
  <r>
    <x v="5558"/>
    <n v="4003344556679"/>
    <x v="19"/>
    <s v="Pelechy a nábytok – Psy"/>
    <s v="Canine Craft Industries"/>
    <n v="51.64"/>
    <n v="1"/>
    <s v="NULL"/>
    <s v=""/>
    <d v="2025-12-14T00:00:00"/>
    <n v="0"/>
    <n v="51.64"/>
    <x v="0"/>
    <x v="11"/>
    <x v="0"/>
  </r>
  <r>
    <x v="5559"/>
    <n v="4042233445567"/>
    <x v="57"/>
    <s v="Pelechy a nábytok – Mačky"/>
    <s v="CozyNest"/>
    <n v="51.64"/>
    <n v="1"/>
    <s v="NULL"/>
    <s v=""/>
    <d v="2025-12-14T00:00:00"/>
    <n v="0"/>
    <n v="51.64"/>
    <x v="0"/>
    <x v="11"/>
    <x v="1"/>
  </r>
  <r>
    <x v="5560"/>
    <n v="4028899001126"/>
    <x v="1"/>
    <s v="Krmivo a maškrty – Psy"/>
    <s v="Pup Republic"/>
    <n v="2.8"/>
    <n v="3"/>
    <s v="NULL"/>
    <s v=""/>
    <d v="2025-12-15T00:00:00"/>
    <n v="0"/>
    <n v="8.3999999999999986"/>
    <x v="0"/>
    <x v="11"/>
    <x v="0"/>
  </r>
  <r>
    <x v="5561"/>
    <n v="4013456789017"/>
    <x v="0"/>
    <s v="Krmivo a maškrty – Psy"/>
    <s v="Snouty"/>
    <n v="6"/>
    <n v="1"/>
    <s v="NULL"/>
    <s v=""/>
    <d v="2025-12-15T00:00:00"/>
    <n v="0"/>
    <n v="6"/>
    <x v="0"/>
    <x v="11"/>
    <x v="0"/>
  </r>
  <r>
    <x v="5562"/>
    <n v="4042233445567"/>
    <x v="57"/>
    <s v="Pelechy a nábytok – Mačky"/>
    <s v="CozyNest"/>
    <n v="51.64"/>
    <n v="1"/>
    <s v="4"/>
    <s v="Koupilaj sme ako darček rodičom pre jejich mačku."/>
    <d v="2025-12-15T00:00:00"/>
    <n v="0"/>
    <n v="51.64"/>
    <x v="1"/>
    <x v="11"/>
    <x v="1"/>
  </r>
  <r>
    <x v="5563"/>
    <n v="4040123456795"/>
    <x v="2"/>
    <s v="Starostlivosť a hygiena – Psy"/>
    <s v="Dogissimo"/>
    <n v="8.8000000000000007"/>
    <n v="1"/>
    <s v="NULL"/>
    <s v=""/>
    <d v="2025-12-15T00:00:00"/>
    <n v="0"/>
    <n v="8.8000000000000007"/>
    <x v="0"/>
    <x v="11"/>
    <x v="0"/>
  </r>
  <r>
    <x v="5564"/>
    <n v="4027788990013"/>
    <x v="9"/>
    <s v="Starostlivosť a hygiena – Psy"/>
    <s v="Dogissimo"/>
    <n v="8"/>
    <n v="1"/>
    <s v="NULL"/>
    <s v=""/>
    <d v="2025-12-15T00:00:00"/>
    <n v="0"/>
    <n v="8"/>
    <x v="0"/>
    <x v="11"/>
    <x v="0"/>
  </r>
  <r>
    <x v="5565"/>
    <n v="4003344556679"/>
    <x v="19"/>
    <s v="Pelechy a nábytok – Psy"/>
    <s v="Canine Craft Industries"/>
    <n v="51.64"/>
    <n v="1"/>
    <s v="NULL"/>
    <s v=""/>
    <d v="2025-12-15T00:00:00"/>
    <n v="0"/>
    <n v="51.64"/>
    <x v="0"/>
    <x v="11"/>
    <x v="0"/>
  </r>
  <r>
    <x v="5566"/>
    <n v="4028899001126"/>
    <x v="1"/>
    <s v="Krmivo a maškrty – Psy"/>
    <s v="Pup Republic"/>
    <n v="2.8"/>
    <n v="3"/>
    <s v="NULL"/>
    <s v=""/>
    <d v="2025-12-15T00:00:00"/>
    <n v="0"/>
    <n v="8.3999999999999986"/>
    <x v="0"/>
    <x v="11"/>
    <x v="0"/>
  </r>
  <r>
    <x v="5567"/>
    <n v="4013456789017"/>
    <x v="0"/>
    <s v="Krmivo a maškrty – Psy"/>
    <s v="Snouty"/>
    <n v="6"/>
    <n v="1"/>
    <s v="NULL"/>
    <s v=""/>
    <d v="2025-12-15T00:00:00"/>
    <n v="0"/>
    <n v="6"/>
    <x v="0"/>
    <x v="11"/>
    <x v="0"/>
  </r>
  <r>
    <x v="5568"/>
    <n v="4056789012345"/>
    <x v="11"/>
    <s v="Krmivo a maškrty – Mačky"/>
    <s v="BellaMeow"/>
    <n v="2.4"/>
    <n v="2"/>
    <s v="4"/>
    <s v="Vzalaj sme ako zásobu na svátky."/>
    <d v="2025-12-15T00:00:00"/>
    <n v="0"/>
    <n v="4.8"/>
    <x v="1"/>
    <x v="11"/>
    <x v="1"/>
  </r>
  <r>
    <x v="5569"/>
    <n v="8593456789012"/>
    <x v="4"/>
    <s v="Krmivo a maškrty – Mačky"/>
    <s v="Catissime"/>
    <n v="42"/>
    <n v="1"/>
    <s v="NULL"/>
    <s v=""/>
    <d v="2025-12-15T00:00:00"/>
    <n v="0"/>
    <n v="42"/>
    <x v="0"/>
    <x v="11"/>
    <x v="1"/>
  </r>
  <r>
    <x v="5570"/>
    <n v="4017890123450"/>
    <x v="16"/>
    <s v="Hračky – Psy"/>
    <s v="Dogissimo"/>
    <n v="7.6"/>
    <n v="1"/>
    <s v="NULL"/>
    <s v=""/>
    <d v="2025-12-15T00:00:00"/>
    <n v="0"/>
    <n v="7.6"/>
    <x v="0"/>
    <x v="11"/>
    <x v="0"/>
  </r>
  <r>
    <x v="5571"/>
    <n v="4063456789014"/>
    <x v="15"/>
    <s v="Krmivo a maškrty – Psy"/>
    <s v="Pupco"/>
    <n v="36"/>
    <n v="1"/>
    <s v="NULL"/>
    <s v=""/>
    <d v="2025-12-15T00:00:00"/>
    <n v="0"/>
    <n v="36"/>
    <x v="0"/>
    <x v="11"/>
    <x v="0"/>
  </r>
  <r>
    <x v="5572"/>
    <n v="4042233445567"/>
    <x v="57"/>
    <s v="Pelechy a nábytok – Mačky"/>
    <s v="CozyNest"/>
    <n v="51.64"/>
    <n v="1"/>
    <s v="NULL"/>
    <s v=""/>
    <d v="2025-12-15T00:00:00"/>
    <n v="0"/>
    <n v="51.64"/>
    <x v="0"/>
    <x v="11"/>
    <x v="1"/>
  </r>
  <r>
    <x v="5573"/>
    <n v="4027788990013"/>
    <x v="9"/>
    <s v="Starostlivosť a hygiena – Psy"/>
    <s v="Dogissimo"/>
    <n v="8"/>
    <n v="1"/>
    <s v="5"/>
    <s v="Vonia krásne, kupuju aj ako darček."/>
    <d v="2025-12-15T00:00:00"/>
    <n v="0"/>
    <n v="8"/>
    <x v="2"/>
    <x v="11"/>
    <x v="0"/>
  </r>
  <r>
    <x v="5574"/>
    <n v="4028899001126"/>
    <x v="1"/>
    <s v="Krmivo a maškrty – Psy"/>
    <s v="Pup Republic"/>
    <n v="2.8"/>
    <n v="2"/>
    <s v="NULL"/>
    <s v=""/>
    <d v="2025-12-15T00:00:00"/>
    <n v="0"/>
    <n v="5.6"/>
    <x v="0"/>
    <x v="11"/>
    <x v="0"/>
  </r>
  <r>
    <x v="5575"/>
    <n v="4013456789017"/>
    <x v="0"/>
    <s v="Krmivo a maškrty – Psy"/>
    <s v="Snouty"/>
    <n v="6"/>
    <n v="1"/>
    <s v="NULL"/>
    <s v=""/>
    <d v="2025-12-15T00:00:00"/>
    <n v="0"/>
    <n v="6"/>
    <x v="0"/>
    <x v="11"/>
    <x v="0"/>
  </r>
  <r>
    <x v="5576"/>
    <n v="4056789012345"/>
    <x v="11"/>
    <s v="Krmivo a maškrty – Mačky"/>
    <s v="BellaMeow"/>
    <n v="2.4"/>
    <n v="2"/>
    <s v="NULL"/>
    <s v=""/>
    <d v="2025-12-15T00:00:00"/>
    <n v="0"/>
    <n v="4.8"/>
    <x v="0"/>
    <x v="11"/>
    <x v="1"/>
  </r>
  <r>
    <x v="5577"/>
    <n v="4003344556679"/>
    <x v="19"/>
    <s v="Pelechy a nábytok – Psy"/>
    <s v="Canine Craft Industries"/>
    <n v="51.64"/>
    <n v="1"/>
    <s v="NULL"/>
    <s v=""/>
    <d v="2025-12-15T00:00:00"/>
    <n v="0"/>
    <n v="51.64"/>
    <x v="0"/>
    <x v="11"/>
    <x v="0"/>
  </r>
  <r>
    <x v="5578"/>
    <n v="4022345678908"/>
    <x v="55"/>
    <s v="Starostlivosť a hygiena – Psy"/>
    <s v="PawStyle"/>
    <n v="10"/>
    <n v="1"/>
    <s v="NULL"/>
    <s v=""/>
    <d v="2025-12-15T00:00:00"/>
    <n v="0"/>
    <n v="10"/>
    <x v="0"/>
    <x v="11"/>
    <x v="0"/>
  </r>
  <r>
    <x v="5579"/>
    <n v="4017890123450"/>
    <x v="16"/>
    <s v="Hračky – Psy"/>
    <s v="Dogissimo"/>
    <n v="7.6"/>
    <n v="1"/>
    <s v="3"/>
    <s v="Pes sa chvílaj hrál, ale brzo sa rozpadla."/>
    <d v="2025-12-15T00:00:00"/>
    <n v="0"/>
    <n v="7.6"/>
    <x v="3"/>
    <x v="11"/>
    <x v="0"/>
  </r>
  <r>
    <x v="5580"/>
    <n v="4056789012345"/>
    <x v="11"/>
    <s v="Krmivo a maškrty – Mačky"/>
    <s v="BellaMeow"/>
    <n v="2.4"/>
    <n v="2"/>
    <s v="NULL"/>
    <s v=""/>
    <d v="2025-12-15T00:00:00"/>
    <n v="0"/>
    <n v="4.8"/>
    <x v="0"/>
    <x v="11"/>
    <x v="1"/>
  </r>
  <r>
    <x v="5581"/>
    <n v="4042233445567"/>
    <x v="57"/>
    <s v="Pelechy a nábytok – Mačky"/>
    <s v="CozyNest"/>
    <n v="51.64"/>
    <n v="1"/>
    <s v="NULL"/>
    <s v=""/>
    <d v="2025-12-15T00:00:00"/>
    <n v="0"/>
    <n v="51.64"/>
    <x v="0"/>
    <x v="11"/>
    <x v="1"/>
  </r>
  <r>
    <x v="5582"/>
    <n v="4028899001126"/>
    <x v="1"/>
    <s v="Krmivo a maškrty – Psy"/>
    <s v="Pup Republic"/>
    <n v="2.8"/>
    <n v="3"/>
    <s v="NULL"/>
    <s v=""/>
    <d v="2025-12-15T00:00:00"/>
    <n v="0"/>
    <n v="8.3999999999999986"/>
    <x v="0"/>
    <x v="11"/>
    <x v="0"/>
  </r>
  <r>
    <x v="5583"/>
    <n v="4013456789017"/>
    <x v="0"/>
    <s v="Krmivo a maškrty – Psy"/>
    <s v="Snouty"/>
    <n v="6"/>
    <n v="1"/>
    <s v="NULL"/>
    <s v=""/>
    <d v="2025-12-15T00:00:00"/>
    <n v="0"/>
    <n v="6"/>
    <x v="0"/>
    <x v="11"/>
    <x v="0"/>
  </r>
  <r>
    <x v="5584"/>
    <n v="4040123456795"/>
    <x v="2"/>
    <s v="Starostlivosť a hygiena – Psy"/>
    <s v="Dogissimo"/>
    <n v="8.8000000000000007"/>
    <n v="1"/>
    <s v="4"/>
    <s v="Kúpil som k pelechu ako doplnok pre darček."/>
    <d v="2025-12-15T00:00:00"/>
    <n v="0"/>
    <n v="8.8000000000000007"/>
    <x v="1"/>
    <x v="11"/>
    <x v="0"/>
  </r>
  <r>
    <x v="5585"/>
    <n v="4027788990013"/>
    <x v="9"/>
    <s v="Starostlivosť a hygiena – Psy"/>
    <s v="Dogissimo"/>
    <n v="8"/>
    <n v="1"/>
    <s v="NULL"/>
    <s v=""/>
    <d v="2025-12-15T00:00:00"/>
    <n v="0"/>
    <n v="8"/>
    <x v="0"/>
    <x v="11"/>
    <x v="0"/>
  </r>
  <r>
    <x v="5586"/>
    <n v="4003344556679"/>
    <x v="19"/>
    <s v="Pelechy a nábytok – Psy"/>
    <s v="Canine Craft Industries"/>
    <n v="51.64"/>
    <n v="1"/>
    <s v="NULL"/>
    <s v=""/>
    <d v="2025-12-15T00:00:00"/>
    <n v="0"/>
    <n v="51.64"/>
    <x v="0"/>
    <x v="11"/>
    <x v="0"/>
  </r>
  <r>
    <x v="5587"/>
    <n v="4013456789017"/>
    <x v="0"/>
    <s v="Krmivo a maškrty – Psy"/>
    <s v="Snouty"/>
    <n v="6"/>
    <n v="1"/>
    <s v="NULL"/>
    <s v=""/>
    <d v="2025-12-15T00:00:00"/>
    <n v="0"/>
    <n v="6"/>
    <x v="0"/>
    <x v="11"/>
    <x v="0"/>
  </r>
  <r>
    <x v="5588"/>
    <n v="4056789012345"/>
    <x v="11"/>
    <s v="Krmivo a maškrty – Mačky"/>
    <s v="BellaMeow"/>
    <n v="2.4"/>
    <n v="2"/>
    <s v="NULL"/>
    <s v=""/>
    <d v="2025-12-15T00:00:00"/>
    <n v="0"/>
    <n v="4.8"/>
    <x v="0"/>
    <x v="11"/>
    <x v="1"/>
  </r>
  <r>
    <x v="5589"/>
    <n v="4028899001126"/>
    <x v="1"/>
    <s v="Krmivo a maškrty – Psy"/>
    <s v="Pup Republic"/>
    <n v="2.8"/>
    <n v="2"/>
    <s v="NULL"/>
    <s v=""/>
    <d v="2025-12-18T00:00:00"/>
    <n v="0"/>
    <n v="5.6"/>
    <x v="0"/>
    <x v="11"/>
    <x v="0"/>
  </r>
  <r>
    <x v="5589"/>
    <n v="8593456789012"/>
    <x v="4"/>
    <s v="Krmivo a maškrty – Mačky"/>
    <s v="Catissime"/>
    <n v="42"/>
    <n v="1"/>
    <s v="NULL"/>
    <s v=""/>
    <d v="2025-12-15T00:00:00"/>
    <n v="0"/>
    <n v="42"/>
    <x v="0"/>
    <x v="11"/>
    <x v="1"/>
  </r>
  <r>
    <x v="5590"/>
    <n v="4013456789017"/>
    <x v="0"/>
    <s v="Krmivo a maškrty – Psy"/>
    <s v="Snouty"/>
    <n v="6"/>
    <n v="1"/>
    <s v="NULL"/>
    <s v=""/>
    <d v="2025-12-18T00:00:00"/>
    <n v="0"/>
    <n v="6"/>
    <x v="0"/>
    <x v="11"/>
    <x v="0"/>
  </r>
  <r>
    <x v="5590"/>
    <n v="4017890123450"/>
    <x v="16"/>
    <s v="Hračky – Psy"/>
    <s v="Dogissimo"/>
    <n v="7.6"/>
    <n v="1"/>
    <s v="NULL"/>
    <s v=""/>
    <d v="2025-12-15T00:00:00"/>
    <n v="0"/>
    <n v="7.6"/>
    <x v="0"/>
    <x v="11"/>
    <x v="0"/>
  </r>
  <r>
    <x v="5591"/>
    <n v="4042233445567"/>
    <x v="57"/>
    <s v="Pelechy a nábytok – Mačky"/>
    <s v="CozyNest"/>
    <n v="51.64"/>
    <n v="1"/>
    <s v="4"/>
    <s v="Pelech ako darček pre mamku, krásny a mäkký."/>
    <d v="2025-12-18T00:00:00"/>
    <n v="0"/>
    <n v="51.64"/>
    <x v="1"/>
    <x v="11"/>
    <x v="1"/>
  </r>
  <r>
    <x v="5591"/>
    <n v="4027788990013"/>
    <x v="9"/>
    <s v="Starostlivosť a hygiena – Psy"/>
    <s v="Dogissimo"/>
    <n v="8"/>
    <n v="1"/>
    <s v="NULL"/>
    <s v=""/>
    <d v="2025-12-16T00:00:00"/>
    <n v="0"/>
    <n v="8"/>
    <x v="0"/>
    <x v="11"/>
    <x v="0"/>
  </r>
  <r>
    <x v="5592"/>
    <n v="4027788990013"/>
    <x v="9"/>
    <s v="Starostlivosť a hygiena – Psy"/>
    <s v="Dogissimo"/>
    <n v="8"/>
    <n v="1"/>
    <s v="NULL"/>
    <s v=""/>
    <d v="2025-12-18T00:00:00"/>
    <n v="0"/>
    <n v="8"/>
    <x v="0"/>
    <x v="11"/>
    <x v="0"/>
  </r>
  <r>
    <x v="5592"/>
    <n v="4028899001126"/>
    <x v="1"/>
    <s v="Krmivo a maškrty – Psy"/>
    <s v="Pup Republic"/>
    <n v="2.8"/>
    <n v="3"/>
    <s v="4"/>
    <s v="Berieme každý rok, ideálne ako drobný darček."/>
    <d v="2025-12-16T00:00:00"/>
    <n v="0"/>
    <n v="8.3999999999999986"/>
    <x v="1"/>
    <x v="11"/>
    <x v="0"/>
  </r>
  <r>
    <x v="5593"/>
    <n v="4003344556679"/>
    <x v="19"/>
    <s v="Pelechy a nábytok – Psy"/>
    <s v="Canine Craft Industries"/>
    <n v="51.64"/>
    <n v="1"/>
    <s v="NULL"/>
    <s v=""/>
    <d v="2025-12-18T00:00:00"/>
    <n v="0"/>
    <n v="51.64"/>
    <x v="0"/>
    <x v="11"/>
    <x v="0"/>
  </r>
  <r>
    <x v="5593"/>
    <n v="4042233445567"/>
    <x v="57"/>
    <s v="Pelechy a nábytok – Mačky"/>
    <s v="CozyNest"/>
    <n v="51.64"/>
    <n v="1"/>
    <s v="NULL"/>
    <s v=""/>
    <d v="2025-12-16T00:00:00"/>
    <n v="0"/>
    <n v="51.64"/>
    <x v="0"/>
    <x v="11"/>
    <x v="1"/>
  </r>
  <r>
    <x v="5594"/>
    <n v="4003344556679"/>
    <x v="19"/>
    <s v="Pelechy a nábytok – Psy"/>
    <s v="Canine Craft Industries"/>
    <n v="51.64"/>
    <n v="1"/>
    <s v="NULL"/>
    <s v=""/>
    <d v="2025-12-16T00:00:00"/>
    <n v="0"/>
    <n v="51.64"/>
    <x v="0"/>
    <x v="11"/>
    <x v="0"/>
  </r>
  <r>
    <x v="5594"/>
    <n v="4022345678908"/>
    <x v="55"/>
    <s v="Starostlivosť a hygiena – Psy"/>
    <s v="PawStyle"/>
    <n v="10"/>
    <n v="1"/>
    <s v="NULL"/>
    <s v=""/>
    <d v="2025-12-18T00:00:00"/>
    <n v="0"/>
    <n v="10"/>
    <x v="0"/>
    <x v="11"/>
    <x v="0"/>
  </r>
  <r>
    <x v="5595"/>
    <n v="4017890123450"/>
    <x v="16"/>
    <s v="Hračky – Psy"/>
    <s v="Dogissimo"/>
    <n v="7.6"/>
    <n v="2"/>
    <s v="NULL"/>
    <s v=""/>
    <d v="2025-12-18T00:00:00"/>
    <n v="0"/>
    <n v="15.2"/>
    <x v="0"/>
    <x v="11"/>
    <x v="0"/>
  </r>
  <r>
    <x v="5595"/>
    <n v="4027788990013"/>
    <x v="9"/>
    <s v="Starostlivosť a hygiena – Psy"/>
    <s v="Dogissimo"/>
    <n v="8"/>
    <n v="1"/>
    <s v="NULL"/>
    <s v=""/>
    <d v="2025-12-16T00:00:00"/>
    <n v="0"/>
    <n v="8"/>
    <x v="0"/>
    <x v="11"/>
    <x v="0"/>
  </r>
  <r>
    <x v="5596"/>
    <n v="4056789012345"/>
    <x v="11"/>
    <s v="Krmivo a maškrty – Mačky"/>
    <s v="BellaMeow"/>
    <n v="2.4"/>
    <n v="3"/>
    <s v="NULL"/>
    <s v=""/>
    <d v="2025-12-18T00:00:00"/>
    <n v="0"/>
    <n v="7.1999999999999993"/>
    <x v="0"/>
    <x v="11"/>
    <x v="1"/>
  </r>
  <r>
    <x v="5596"/>
    <n v="4013456789017"/>
    <x v="0"/>
    <s v="Krmivo a maškrty – Psy"/>
    <s v="Snouty"/>
    <n v="6"/>
    <n v="1"/>
    <s v="NULL"/>
    <s v=""/>
    <d v="2025-12-16T00:00:00"/>
    <n v="0"/>
    <n v="6"/>
    <x v="0"/>
    <x v="11"/>
    <x v="0"/>
  </r>
  <r>
    <x v="5597"/>
    <n v="8593456789012"/>
    <x v="4"/>
    <s v="Krmivo a maškrty – Mačky"/>
    <s v="Catissime"/>
    <n v="42"/>
    <n v="1"/>
    <s v="NULL"/>
    <s v=""/>
    <d v="2025-12-18T00:00:00"/>
    <n v="0"/>
    <n v="42"/>
    <x v="0"/>
    <x v="11"/>
    <x v="1"/>
  </r>
  <r>
    <x v="5597"/>
    <n v="4056789012345"/>
    <x v="11"/>
    <s v="Krmivo a maškrty – Mačky"/>
    <s v="BellaMeow"/>
    <n v="2.4"/>
    <n v="3"/>
    <s v="NULL"/>
    <s v=""/>
    <d v="2025-12-16T00:00:00"/>
    <n v="0"/>
    <n v="7.1999999999999993"/>
    <x v="0"/>
    <x v="11"/>
    <x v="1"/>
  </r>
  <r>
    <x v="5598"/>
    <n v="4028899001126"/>
    <x v="1"/>
    <s v="Krmivo a maškrty – Psy"/>
    <s v="Pup Republic"/>
    <n v="2.8"/>
    <n v="2"/>
    <s v="5"/>
    <s v="Berieme každé Vianoce, osvedčená klasika."/>
    <d v="2025-12-18T00:00:00"/>
    <n v="0"/>
    <n v="5.6"/>
    <x v="2"/>
    <x v="11"/>
    <x v="0"/>
  </r>
  <r>
    <x v="5598"/>
    <n v="4067890123456"/>
    <x v="17"/>
    <s v="Krmivo a maškrty – Mačky"/>
    <s v="PawStyle"/>
    <n v="36"/>
    <n v="1"/>
    <s v="NULL"/>
    <s v=""/>
    <d v="2025-12-16T00:00:00"/>
    <n v="0"/>
    <n v="36"/>
    <x v="0"/>
    <x v="11"/>
    <x v="1"/>
  </r>
  <r>
    <x v="5599"/>
    <n v="4040123456795"/>
    <x v="2"/>
    <s v="Starostlivosť a hygiena – Psy"/>
    <s v="Dogissimo"/>
    <n v="8.8000000000000007"/>
    <n v="1"/>
    <s v="NULL"/>
    <s v=""/>
    <d v="2025-12-18T00:00:00"/>
    <n v="0"/>
    <n v="8.8000000000000007"/>
    <x v="0"/>
    <x v="11"/>
    <x v="0"/>
  </r>
  <r>
    <x v="5599"/>
    <n v="4028899001126"/>
    <x v="1"/>
    <s v="Krmivo a maškrty – Psy"/>
    <s v="Pup Republic"/>
    <n v="2.8"/>
    <n v="3"/>
    <s v="NULL"/>
    <s v=""/>
    <d v="2025-12-16T00:00:00"/>
    <n v="0"/>
    <n v="8.3999999999999986"/>
    <x v="0"/>
    <x v="11"/>
    <x v="0"/>
  </r>
  <r>
    <x v="5600"/>
    <n v="4022345678908"/>
    <x v="55"/>
    <s v="Starostlivosť a hygiena – Psy"/>
    <s v="PawStyle"/>
    <n v="10"/>
    <n v="1"/>
    <s v="NULL"/>
    <s v=""/>
    <d v="2025-12-16T00:00:00"/>
    <n v="0"/>
    <n v="10"/>
    <x v="0"/>
    <x v="11"/>
    <x v="0"/>
  </r>
  <r>
    <x v="5600"/>
    <n v="4027788990013"/>
    <x v="9"/>
    <s v="Starostlivosť a hygiena – Psy"/>
    <s v="Dogissimo"/>
    <n v="8"/>
    <n v="1"/>
    <s v="NULL"/>
    <s v=""/>
    <d v="2025-12-18T00:00:00"/>
    <n v="0"/>
    <n v="8"/>
    <x v="0"/>
    <x v="11"/>
    <x v="0"/>
  </r>
  <r>
    <x v="5601"/>
    <n v="4017890123450"/>
    <x v="16"/>
    <s v="Hračky – Psy"/>
    <s v="Dogissimo"/>
    <n v="7.6"/>
    <n v="1"/>
    <s v="NULL"/>
    <s v=""/>
    <d v="2025-12-16T00:00:00"/>
    <n v="0"/>
    <n v="7.6"/>
    <x v="0"/>
    <x v="11"/>
    <x v="0"/>
  </r>
  <r>
    <x v="5601"/>
    <n v="4013456789017"/>
    <x v="0"/>
    <s v="Krmivo a maškrty – Psy"/>
    <s v="Snouty"/>
    <n v="6"/>
    <n v="1"/>
    <s v="4"/>
    <s v="Pes je má v balíčku pod stromček."/>
    <d v="2025-12-18T00:00:00"/>
    <n v="0"/>
    <n v="6"/>
    <x v="1"/>
    <x v="11"/>
    <x v="0"/>
  </r>
  <r>
    <x v="5602"/>
    <n v="4042233445567"/>
    <x v="57"/>
    <s v="Pelechy a nábytok – Mačky"/>
    <s v="CozyNest"/>
    <n v="51.64"/>
    <n v="1"/>
    <s v="NULL"/>
    <s v=""/>
    <d v="2025-12-18T00:00:00"/>
    <n v="0"/>
    <n v="51.64"/>
    <x v="0"/>
    <x v="11"/>
    <x v="1"/>
  </r>
  <r>
    <x v="5602"/>
    <n v="8593456789012"/>
    <x v="4"/>
    <s v="Krmivo a maškrty – Mačky"/>
    <s v="Catissime"/>
    <n v="42"/>
    <n v="1"/>
    <s v="5"/>
    <s v="Kupujeme ako darček, nikdy nezklame."/>
    <d v="2025-12-16T00:00:00"/>
    <n v="0"/>
    <n v="42"/>
    <x v="2"/>
    <x v="11"/>
    <x v="1"/>
  </r>
  <r>
    <x v="5603"/>
    <n v="4042233445567"/>
    <x v="57"/>
    <s v="Pelechy a nábytok – Mačky"/>
    <s v="CozyNest"/>
    <n v="51.64"/>
    <n v="1"/>
    <s v="NULL"/>
    <s v=""/>
    <d v="2025-12-16T00:00:00"/>
    <n v="0"/>
    <n v="51.64"/>
    <x v="0"/>
    <x v="11"/>
    <x v="1"/>
  </r>
  <r>
    <x v="5603"/>
    <n v="4028899001126"/>
    <x v="1"/>
    <s v="Krmivo a maškrty – Psy"/>
    <s v="Pup Republic"/>
    <n v="2.8"/>
    <n v="3"/>
    <s v="NULL"/>
    <s v=""/>
    <d v="2025-12-18T00:00:00"/>
    <n v="0"/>
    <n v="8.3999999999999986"/>
    <x v="0"/>
    <x v="11"/>
    <x v="0"/>
  </r>
  <r>
    <x v="5604"/>
    <n v="4027788990013"/>
    <x v="9"/>
    <s v="Starostlivosť a hygiena – Psy"/>
    <s v="Dogissimo"/>
    <n v="8"/>
    <n v="1"/>
    <s v="NULL"/>
    <s v=""/>
    <d v="2025-12-16T00:00:00"/>
    <n v="0"/>
    <n v="8"/>
    <x v="0"/>
    <x v="11"/>
    <x v="0"/>
  </r>
  <r>
    <x v="5604"/>
    <n v="4067890123456"/>
    <x v="17"/>
    <s v="Krmivo a maškrty – Mačky"/>
    <s v="PawStyle"/>
    <n v="36"/>
    <n v="1"/>
    <s v="NULL"/>
    <s v=""/>
    <d v="2025-12-18T00:00:00"/>
    <n v="0"/>
    <n v="36"/>
    <x v="0"/>
    <x v="11"/>
    <x v="1"/>
  </r>
  <r>
    <x v="5605"/>
    <n v="4003344556679"/>
    <x v="19"/>
    <s v="Pelechy a nábytok – Psy"/>
    <s v="Canine Craft Industries"/>
    <n v="51.64"/>
    <n v="1"/>
    <s v="NULL"/>
    <s v=""/>
    <d v="2025-12-19T00:00:00"/>
    <n v="0"/>
    <n v="51.64"/>
    <x v="0"/>
    <x v="11"/>
    <x v="0"/>
  </r>
  <r>
    <x v="5605"/>
    <n v="4040123456795"/>
    <x v="2"/>
    <s v="Starostlivosť a hygiena – Psy"/>
    <s v="Dogissimo"/>
    <n v="8.8000000000000007"/>
    <n v="1"/>
    <s v="NULL"/>
    <s v=""/>
    <d v="2025-12-16T00:00:00"/>
    <n v="0"/>
    <n v="8.8000000000000007"/>
    <x v="0"/>
    <x v="11"/>
    <x v="0"/>
  </r>
  <r>
    <x v="5606"/>
    <n v="4003344556679"/>
    <x v="19"/>
    <s v="Pelechy a nábytok – Psy"/>
    <s v="Canine Craft Industries"/>
    <n v="51.64"/>
    <n v="1"/>
    <s v="NULL"/>
    <s v=""/>
    <d v="2025-12-16T00:00:00"/>
    <n v="0"/>
    <n v="51.64"/>
    <x v="0"/>
    <x v="11"/>
    <x v="0"/>
  </r>
  <r>
    <x v="5606"/>
    <n v="4056789012345"/>
    <x v="11"/>
    <s v="Krmivo a maškrty – Mačky"/>
    <s v="BellaMeow"/>
    <n v="2.4"/>
    <n v="2"/>
    <s v="NULL"/>
    <s v=""/>
    <d v="2025-12-19T00:00:00"/>
    <n v="0"/>
    <n v="4.8"/>
    <x v="0"/>
    <x v="11"/>
    <x v="1"/>
  </r>
  <r>
    <x v="5607"/>
    <n v="4027788990013"/>
    <x v="9"/>
    <s v="Starostlivosť a hygiena – Psy"/>
    <s v="Dogissimo"/>
    <n v="8"/>
    <n v="1"/>
    <s v="NULL"/>
    <s v=""/>
    <d v="2025-12-19T00:00:00"/>
    <n v="0"/>
    <n v="8"/>
    <x v="0"/>
    <x v="11"/>
    <x v="0"/>
  </r>
  <r>
    <x v="5607"/>
    <n v="4028899001126"/>
    <x v="1"/>
    <s v="Krmivo a maškrty – Psy"/>
    <s v="Pup Republic"/>
    <n v="2.8"/>
    <n v="3"/>
    <s v="NULL"/>
    <s v=""/>
    <d v="2025-12-16T00:00:00"/>
    <n v="0"/>
    <n v="8.3999999999999986"/>
    <x v="0"/>
    <x v="11"/>
    <x v="0"/>
  </r>
  <r>
    <x v="5608"/>
    <n v="4040123456795"/>
    <x v="2"/>
    <s v="Starostlivosť a hygiena – Psy"/>
    <s v="Dogissimo"/>
    <n v="8.8000000000000007"/>
    <n v="1"/>
    <s v="NULL"/>
    <s v=""/>
    <d v="2025-12-19T00:00:00"/>
    <n v="0"/>
    <n v="8.8000000000000007"/>
    <x v="0"/>
    <x v="11"/>
    <x v="0"/>
  </r>
  <r>
    <x v="5608"/>
    <n v="4013456789017"/>
    <x v="0"/>
    <s v="Krmivo a maškrty – Psy"/>
    <s v="Snouty"/>
    <n v="6"/>
    <n v="1"/>
    <s v="NULL"/>
    <s v=""/>
    <d v="2025-12-16T00:00:00"/>
    <n v="0"/>
    <n v="6"/>
    <x v="0"/>
    <x v="11"/>
    <x v="0"/>
  </r>
  <r>
    <x v="5609"/>
    <n v="4028899001126"/>
    <x v="1"/>
    <s v="Krmivo a maškrty – Psy"/>
    <s v="Pup Republic"/>
    <n v="2.8"/>
    <n v="2"/>
    <s v="NULL"/>
    <s v=""/>
    <d v="2025-12-19T00:00:00"/>
    <n v="0"/>
    <n v="5.6"/>
    <x v="0"/>
    <x v="11"/>
    <x v="0"/>
  </r>
  <r>
    <x v="5609"/>
    <n v="4056789012345"/>
    <x v="11"/>
    <s v="Krmivo a maškrty – Mačky"/>
    <s v="BellaMeow"/>
    <n v="2.4"/>
    <n v="2"/>
    <s v="NULL"/>
    <s v=""/>
    <d v="2025-12-16T00:00:00"/>
    <n v="0"/>
    <n v="4.8"/>
    <x v="0"/>
    <x v="11"/>
    <x v="1"/>
  </r>
  <r>
    <x v="5610"/>
    <n v="4063456789014"/>
    <x v="15"/>
    <s v="Krmivo a maškrty – Psy"/>
    <s v="Pupco"/>
    <n v="36"/>
    <n v="1"/>
    <s v="NULL"/>
    <s v=""/>
    <d v="2025-12-16T00:00:00"/>
    <n v="0"/>
    <n v="36"/>
    <x v="0"/>
    <x v="11"/>
    <x v="0"/>
  </r>
  <r>
    <x v="5610"/>
    <n v="4013456789017"/>
    <x v="0"/>
    <s v="Krmivo a maškrty – Psy"/>
    <s v="Snouty"/>
    <n v="6"/>
    <n v="1"/>
    <s v="NULL"/>
    <s v=""/>
    <d v="2025-12-19T00:00:00"/>
    <n v="0"/>
    <n v="6"/>
    <x v="0"/>
    <x v="11"/>
    <x v="0"/>
  </r>
  <r>
    <x v="5611"/>
    <n v="4042233445567"/>
    <x v="57"/>
    <s v="Pelechy a nábytok – Mačky"/>
    <s v="CozyNest"/>
    <n v="51.64"/>
    <n v="1"/>
    <s v="4"/>
    <s v="Pohodlný pelech, vhodný ako darček."/>
    <d v="2025-12-16T00:00:00"/>
    <n v="0"/>
    <n v="51.64"/>
    <x v="1"/>
    <x v="11"/>
    <x v="1"/>
  </r>
  <r>
    <x v="5611"/>
    <n v="4042233445567"/>
    <x v="57"/>
    <s v="Pelechy a nábytok – Mačky"/>
    <s v="CozyNest"/>
    <n v="51.64"/>
    <n v="1"/>
    <s v="4"/>
    <s v="Dalaj sme ho mačke pod stromček, spokojenost."/>
    <d v="2025-12-19T00:00:00"/>
    <n v="0"/>
    <n v="51.64"/>
    <x v="1"/>
    <x v="11"/>
    <x v="1"/>
  </r>
  <r>
    <x v="5612"/>
    <n v="4027788990013"/>
    <x v="9"/>
    <s v="Starostlivosť a hygiena – Psy"/>
    <s v="Dogissimo"/>
    <n v="8"/>
    <n v="1"/>
    <s v="NULL"/>
    <s v=""/>
    <d v="2025-12-19T00:00:00"/>
    <n v="0"/>
    <n v="8"/>
    <x v="0"/>
    <x v="11"/>
    <x v="0"/>
  </r>
  <r>
    <x v="5612"/>
    <n v="4017890123450"/>
    <x v="16"/>
    <s v="Hračky – Psy"/>
    <s v="Dogissimo"/>
    <n v="7.6"/>
    <n v="1"/>
    <s v="NULL"/>
    <s v=""/>
    <d v="2025-12-16T00:00:00"/>
    <n v="0"/>
    <n v="7.6"/>
    <x v="0"/>
    <x v="11"/>
    <x v="0"/>
  </r>
  <r>
    <x v="5613"/>
    <n v="4003344556679"/>
    <x v="19"/>
    <s v="Pelechy a nábytok – Psy"/>
    <s v="Canine Craft Industries"/>
    <n v="51.64"/>
    <n v="1"/>
    <s v="NULL"/>
    <s v=""/>
    <d v="2025-12-19T00:00:00"/>
    <n v="0"/>
    <n v="51.64"/>
    <x v="0"/>
    <x v="11"/>
    <x v="0"/>
  </r>
  <r>
    <x v="5613"/>
    <n v="4027788990013"/>
    <x v="9"/>
    <s v="Starostlivosť a hygiena – Psy"/>
    <s v="Dogissimo"/>
    <n v="8"/>
    <n v="1"/>
    <s v="NULL"/>
    <s v=""/>
    <d v="2025-12-16T00:00:00"/>
    <n v="0"/>
    <n v="8"/>
    <x v="0"/>
    <x v="11"/>
    <x v="0"/>
  </r>
  <r>
    <x v="5614"/>
    <n v="4028899001126"/>
    <x v="1"/>
    <s v="Krmivo a maškrty – Psy"/>
    <s v="Pup Republic"/>
    <n v="2.8"/>
    <n v="3"/>
    <s v="NULL"/>
    <s v=""/>
    <d v="2025-12-16T00:00:00"/>
    <n v="0"/>
    <n v="8.3999999999999986"/>
    <x v="0"/>
    <x v="11"/>
    <x v="0"/>
  </r>
  <r>
    <x v="5614"/>
    <n v="4022345678908"/>
    <x v="55"/>
    <s v="Starostlivosť a hygiena – Psy"/>
    <s v="PawStyle"/>
    <n v="10"/>
    <n v="1"/>
    <s v="NULL"/>
    <s v=""/>
    <d v="2025-12-19T00:00:00"/>
    <n v="0"/>
    <n v="10"/>
    <x v="0"/>
    <x v="11"/>
    <x v="0"/>
  </r>
  <r>
    <x v="5615"/>
    <n v="4017890123450"/>
    <x v="16"/>
    <s v="Hračky – Psy"/>
    <s v="Dogissimo"/>
    <n v="7.6"/>
    <n v="1"/>
    <s v="5"/>
    <s v="Pes ju dostal dárkem, okamžite ju rozbalil a behal s ní."/>
    <d v="2025-12-19T00:00:00"/>
    <n v="0"/>
    <n v="7.6"/>
    <x v="2"/>
    <x v="11"/>
    <x v="0"/>
  </r>
  <r>
    <x v="5616"/>
    <n v="4056789012345"/>
    <x v="11"/>
    <s v="Krmivo a maškrty – Mačky"/>
    <s v="BellaMeow"/>
    <n v="2.4"/>
    <n v="3"/>
    <s v="NULL"/>
    <s v=""/>
    <d v="2025-12-19T00:00:00"/>
    <n v="0"/>
    <n v="7.1999999999999993"/>
    <x v="0"/>
    <x v="11"/>
    <x v="1"/>
  </r>
  <r>
    <x v="5617"/>
    <n v="8593456789012"/>
    <x v="4"/>
    <s v="Krmivo a maškrty – Mačky"/>
    <s v="Catissime"/>
    <n v="42"/>
    <n v="1"/>
    <s v="NULL"/>
    <s v=""/>
    <d v="2025-12-19T00:00:00"/>
    <n v="0"/>
    <n v="42"/>
    <x v="0"/>
    <x v="11"/>
    <x v="1"/>
  </r>
  <r>
    <x v="5618"/>
    <n v="4028899001126"/>
    <x v="1"/>
    <s v="Krmivo a maškrty – Psy"/>
    <s v="Pup Republic"/>
    <n v="2.8"/>
    <n v="2"/>
    <s v="NULL"/>
    <s v=""/>
    <d v="2025-12-19T00:00:00"/>
    <n v="0"/>
    <n v="5.6"/>
    <x v="0"/>
    <x v="11"/>
    <x v="0"/>
  </r>
  <r>
    <x v="5619"/>
    <n v="4040123456795"/>
    <x v="2"/>
    <s v="Starostlivosť a hygiena – Psy"/>
    <s v="Dogissimo"/>
    <n v="8.8000000000000007"/>
    <n v="1"/>
    <s v="4"/>
    <s v="Dáváme do balíčku pre sousedku, má ráda tu vôňu."/>
    <d v="2025-12-19T00:00:00"/>
    <n v="0"/>
    <n v="8.8000000000000007"/>
    <x v="1"/>
    <x v="11"/>
    <x v="0"/>
  </r>
  <r>
    <x v="5620"/>
    <n v="4027788990013"/>
    <x v="9"/>
    <s v="Starostlivosť a hygiena – Psy"/>
    <s v="Dogissimo"/>
    <n v="8"/>
    <n v="1"/>
    <s v="NULL"/>
    <s v=""/>
    <d v="2025-12-19T00:00:00"/>
    <n v="0"/>
    <n v="8"/>
    <x v="0"/>
    <x v="11"/>
    <x v="0"/>
  </r>
  <r>
    <x v="5621"/>
    <n v="4013456789017"/>
    <x v="0"/>
    <s v="Krmivo a maškrty – Psy"/>
    <s v="Snouty"/>
    <n v="6"/>
    <n v="1"/>
    <s v="NULL"/>
    <s v=""/>
    <d v="2025-12-19T00:00:00"/>
    <n v="0"/>
    <n v="6"/>
    <x v="0"/>
    <x v="11"/>
    <x v="0"/>
  </r>
  <r>
    <x v="5622"/>
    <n v="4042233445567"/>
    <x v="57"/>
    <s v="Pelechy a nábytok – Mačky"/>
    <s v="CozyNest"/>
    <n v="51.64"/>
    <n v="1"/>
    <s v="NULL"/>
    <s v=""/>
    <d v="2025-12-19T00:00:00"/>
    <n v="0"/>
    <n v="51.64"/>
    <x v="0"/>
    <x v="11"/>
    <x v="1"/>
  </r>
  <r>
    <x v="5623"/>
    <n v="4028899001126"/>
    <x v="1"/>
    <s v="Krmivo a maškrty – Psy"/>
    <s v="Pup Republic"/>
    <n v="2.8"/>
    <n v="2"/>
    <s v="NULL"/>
    <s v=""/>
    <d v="2025-12-19T00:00:00"/>
    <n v="0"/>
    <n v="5.6"/>
    <x v="0"/>
    <x v="11"/>
    <x v="0"/>
  </r>
  <r>
    <x v="5624"/>
    <n v="4067890123456"/>
    <x v="17"/>
    <s v="Krmivo a maškrty – Mačky"/>
    <s v="PawStyle"/>
    <n v="36"/>
    <n v="1"/>
    <s v="NULL"/>
    <s v=""/>
    <d v="2025-12-19T00:00:00"/>
    <n v="0"/>
    <n v="36"/>
    <x v="0"/>
    <x v="11"/>
    <x v="1"/>
  </r>
  <r>
    <x v="5625"/>
    <n v="4003344556679"/>
    <x v="19"/>
    <s v="Pelechy a nábytok – Psy"/>
    <s v="Canine Craft Industries"/>
    <n v="51.64"/>
    <n v="1"/>
    <s v="NULL"/>
    <s v=""/>
    <d v="2025-12-19T00:00:00"/>
    <n v="0"/>
    <n v="51.64"/>
    <x v="0"/>
    <x v="11"/>
    <x v="0"/>
  </r>
  <r>
    <x v="5626"/>
    <n v="4056789012345"/>
    <x v="11"/>
    <s v="Krmivo a maškrty – Mačky"/>
    <s v="BellaMeow"/>
    <n v="2.4"/>
    <n v="2"/>
    <s v="NULL"/>
    <s v=""/>
    <d v="2025-12-19T00:00:00"/>
    <n v="0"/>
    <n v="4.8"/>
    <x v="0"/>
    <x v="11"/>
    <x v="1"/>
  </r>
  <r>
    <x v="5627"/>
    <n v="4027788990013"/>
    <x v="9"/>
    <s v="Starostlivosť a hygiena – Psy"/>
    <s v="Dogissimo"/>
    <n v="8"/>
    <n v="1"/>
    <s v="NULL"/>
    <s v=""/>
    <d v="2025-12-20T00:00:00"/>
    <n v="0"/>
    <n v="8"/>
    <x v="0"/>
    <x v="11"/>
    <x v="0"/>
  </r>
  <r>
    <x v="5628"/>
    <n v="4022345678908"/>
    <x v="55"/>
    <s v="Starostlivosť a hygiena – Psy"/>
    <s v="PawStyle"/>
    <n v="10"/>
    <n v="1"/>
    <s v="NULL"/>
    <s v=""/>
    <d v="2025-12-20T00:00:00"/>
    <n v="0"/>
    <n v="10"/>
    <x v="0"/>
    <x v="11"/>
    <x v="0"/>
  </r>
  <r>
    <x v="5629"/>
    <n v="4028899001126"/>
    <x v="1"/>
    <s v="Krmivo a maškrty – Psy"/>
    <s v="Pup Republic"/>
    <n v="2.8"/>
    <n v="3"/>
    <s v="NULL"/>
    <s v=""/>
    <d v="2025-12-20T00:00:00"/>
    <n v="0"/>
    <n v="8.3999999999999986"/>
    <x v="0"/>
    <x v="11"/>
    <x v="0"/>
  </r>
  <r>
    <x v="5630"/>
    <n v="4013456789017"/>
    <x v="0"/>
    <s v="Krmivo a maškrty – Psy"/>
    <s v="Snouty"/>
    <n v="6"/>
    <n v="1"/>
    <s v="4"/>
    <s v="Vánoční balíček pre pejska, nezklamal."/>
    <d v="2025-12-20T00:00:00"/>
    <n v="0"/>
    <n v="6"/>
    <x v="1"/>
    <x v="11"/>
    <x v="0"/>
  </r>
  <r>
    <x v="5631"/>
    <n v="4056789012345"/>
    <x v="11"/>
    <s v="Krmivo a maškrty – Mačky"/>
    <s v="BellaMeow"/>
    <n v="2.4"/>
    <n v="2"/>
    <s v="NULL"/>
    <s v=""/>
    <d v="2025-12-20T00:00:00"/>
    <n v="0"/>
    <n v="4.8"/>
    <x v="0"/>
    <x v="11"/>
    <x v="1"/>
  </r>
  <r>
    <x v="5632"/>
    <n v="4042233445567"/>
    <x v="57"/>
    <s v="Pelechy a nábytok – Mačky"/>
    <s v="CozyNest"/>
    <n v="51.64"/>
    <n v="1"/>
    <s v="NULL"/>
    <s v=""/>
    <d v="2025-12-20T00:00:00"/>
    <n v="0"/>
    <n v="51.64"/>
    <x v="0"/>
    <x v="11"/>
    <x v="1"/>
  </r>
  <r>
    <x v="5633"/>
    <n v="4003344556679"/>
    <x v="19"/>
    <s v="Pelechy a nábytok – Psy"/>
    <s v="Canine Craft Industries"/>
    <n v="51.64"/>
    <n v="1"/>
    <s v="NULL"/>
    <s v=""/>
    <d v="2025-12-20T00:00:00"/>
    <n v="0"/>
    <n v="51.64"/>
    <x v="0"/>
    <x v="11"/>
    <x v="0"/>
  </r>
  <r>
    <x v="5634"/>
    <n v="4028899001126"/>
    <x v="1"/>
    <s v="Krmivo a maškrty – Psy"/>
    <s v="Pup Republic"/>
    <n v="2.8"/>
    <n v="2"/>
    <s v="NULL"/>
    <s v=""/>
    <d v="2025-12-20T00:00:00"/>
    <n v="0"/>
    <n v="5.6"/>
    <x v="0"/>
    <x v="11"/>
    <x v="0"/>
  </r>
  <r>
    <x v="5635"/>
    <n v="4040123456795"/>
    <x v="2"/>
    <s v="Starostlivosť a hygiena – Psy"/>
    <s v="Dogissimo"/>
    <n v="8.8000000000000007"/>
    <n v="1"/>
    <s v="NULL"/>
    <s v=""/>
    <d v="2025-12-20T00:00:00"/>
    <n v="0"/>
    <n v="8.8000000000000007"/>
    <x v="0"/>
    <x v="11"/>
    <x v="0"/>
  </r>
  <r>
    <x v="5636"/>
    <n v="4017890123450"/>
    <x v="16"/>
    <s v="Hračky – Psy"/>
    <s v="Dogissimo"/>
    <n v="7.6"/>
    <n v="1"/>
    <s v="NULL"/>
    <s v=""/>
    <d v="2025-12-20T00:00:00"/>
    <n v="0"/>
    <n v="7.6"/>
    <x v="0"/>
    <x v="11"/>
    <x v="0"/>
  </r>
  <r>
    <x v="5637"/>
    <n v="4027788990013"/>
    <x v="9"/>
    <s v="Starostlivosť a hygiena – Psy"/>
    <s v="Dogissimo"/>
    <n v="8"/>
    <n v="1"/>
    <s v="NULL"/>
    <s v=""/>
    <d v="2025-12-20T00:00:00"/>
    <n v="0"/>
    <n v="8"/>
    <x v="0"/>
    <x v="11"/>
    <x v="0"/>
  </r>
  <r>
    <x v="5638"/>
    <n v="8593456789012"/>
    <x v="4"/>
    <s v="Krmivo a maškrty – Mačky"/>
    <s v="Catissime"/>
    <n v="42"/>
    <n v="1"/>
    <s v="NULL"/>
    <s v=""/>
    <d v="2025-12-20T00:00:00"/>
    <n v="0"/>
    <n v="42"/>
    <x v="0"/>
    <x v="11"/>
    <x v="1"/>
  </r>
  <r>
    <x v="5639"/>
    <n v="4042233445567"/>
    <x v="57"/>
    <s v="Pelechy a nábytok – Mačky"/>
    <s v="CozyNest"/>
    <n v="51.64"/>
    <n v="1"/>
    <s v="NULL"/>
    <s v=""/>
    <d v="2025-12-20T00:00:00"/>
    <n v="0"/>
    <n v="51.64"/>
    <x v="0"/>
    <x v="11"/>
    <x v="1"/>
  </r>
  <r>
    <x v="5640"/>
    <n v="4028899001126"/>
    <x v="1"/>
    <s v="Krmivo a maškrty – Psy"/>
    <s v="Pup Republic"/>
    <n v="2.8"/>
    <n v="3"/>
    <s v="NULL"/>
    <s v=""/>
    <d v="2025-12-20T00:00:00"/>
    <n v="0"/>
    <n v="8.3999999999999986"/>
    <x v="0"/>
    <x v="11"/>
    <x v="0"/>
  </r>
  <r>
    <x v="5641"/>
    <n v="4013456789017"/>
    <x v="0"/>
    <s v="Krmivo a maškrty – Psy"/>
    <s v="Snouty"/>
    <n v="6"/>
    <n v="1"/>
    <s v="5"/>
    <s v="Pes to dostane pod stromček, víme, že to miluje."/>
    <d v="2025-12-20T00:00:00"/>
    <n v="0"/>
    <n v="6"/>
    <x v="2"/>
    <x v="11"/>
    <x v="0"/>
  </r>
  <r>
    <x v="5642"/>
    <n v="4027788990013"/>
    <x v="9"/>
    <s v="Starostlivosť a hygiena – Psy"/>
    <s v="Dogissimo"/>
    <n v="8"/>
    <n v="1"/>
    <s v="NULL"/>
    <s v=""/>
    <d v="2025-12-20T00:00:00"/>
    <n v="0"/>
    <n v="8"/>
    <x v="0"/>
    <x v="11"/>
    <x v="0"/>
  </r>
  <r>
    <x v="5643"/>
    <n v="4040123456795"/>
    <x v="2"/>
    <s v="Starostlivosť a hygiena – Psy"/>
    <s v="Dogissimo"/>
    <n v="8.8000000000000007"/>
    <n v="1"/>
    <s v="NULL"/>
    <s v=""/>
    <d v="2025-12-20T00:00:00"/>
    <n v="0"/>
    <n v="8.8000000000000007"/>
    <x v="0"/>
    <x v="11"/>
    <x v="0"/>
  </r>
  <r>
    <x v="5644"/>
    <n v="4028899001126"/>
    <x v="1"/>
    <s v="Krmivo a maškrty – Psy"/>
    <s v="Pup Republic"/>
    <n v="2.8"/>
    <n v="2"/>
    <s v="NULL"/>
    <s v=""/>
    <d v="2025-12-20T00:00:00"/>
    <n v="0"/>
    <n v="5.6"/>
    <x v="0"/>
    <x v="11"/>
    <x v="0"/>
  </r>
  <r>
    <x v="5645"/>
    <n v="4003344556679"/>
    <x v="19"/>
    <s v="Pelechy a nábytok – Psy"/>
    <s v="Canine Craft Industries"/>
    <n v="51.64"/>
    <n v="1"/>
    <s v="NULL"/>
    <s v=""/>
    <d v="2025-12-20T00:00:00"/>
    <n v="0"/>
    <n v="51.64"/>
    <x v="0"/>
    <x v="11"/>
    <x v="0"/>
  </r>
  <r>
    <x v="5646"/>
    <n v="4056789012345"/>
    <x v="11"/>
    <s v="Krmivo a maškrty – Mačky"/>
    <s v="BellaMeow"/>
    <n v="2.4"/>
    <n v="3"/>
    <s v="NULL"/>
    <s v=""/>
    <d v="2025-12-20T00:00:00"/>
    <n v="0"/>
    <n v="7.1999999999999993"/>
    <x v="0"/>
    <x v="11"/>
    <x v="1"/>
  </r>
  <r>
    <x v="5647"/>
    <n v="4022345678908"/>
    <x v="55"/>
    <s v="Starostlivosť a hygiena – Psy"/>
    <s v="PawStyle"/>
    <n v="10"/>
    <n v="1"/>
    <s v="NULL"/>
    <s v=""/>
    <d v="2025-12-20T00:00:00"/>
    <n v="0"/>
    <n v="10"/>
    <x v="0"/>
    <x v="11"/>
    <x v="0"/>
  </r>
  <r>
    <x v="5648"/>
    <n v="4010123456783"/>
    <x v="6"/>
    <s v="Starostlivosť a hygiena – Mačky"/>
    <s v="BellaMeow"/>
    <n v="14"/>
    <n v="1"/>
    <s v="NULL"/>
    <s v=""/>
    <d v="2025-12-20T00:00:00"/>
    <n v="0"/>
    <n v="14"/>
    <x v="0"/>
    <x v="11"/>
    <x v="1"/>
  </r>
  <r>
    <x v="5649"/>
    <n v="4028899001126"/>
    <x v="1"/>
    <s v="Krmivo a maškrty – Psy"/>
    <s v="Pup Republic"/>
    <n v="2.8"/>
    <n v="2"/>
    <s v="NULL"/>
    <s v=""/>
    <d v="2025-12-21T00:00:00"/>
    <n v="0"/>
    <n v="5.6"/>
    <x v="0"/>
    <x v="11"/>
    <x v="0"/>
  </r>
  <r>
    <x v="5650"/>
    <n v="4013456789017"/>
    <x v="0"/>
    <s v="Krmivo a maškrty – Psy"/>
    <s v="Snouty"/>
    <n v="6"/>
    <n v="1"/>
    <s v="NULL"/>
    <s v=""/>
    <d v="2025-12-21T00:00:00"/>
    <n v="0"/>
    <n v="6"/>
    <x v="0"/>
    <x v="11"/>
    <x v="0"/>
  </r>
  <r>
    <x v="5651"/>
    <n v="4042233445567"/>
    <x v="57"/>
    <s v="Pelechy a nábytok – Mačky"/>
    <s v="CozyNest"/>
    <n v="51.64"/>
    <n v="1"/>
    <s v="NULL"/>
    <s v=""/>
    <d v="2025-12-21T00:00:00"/>
    <n v="0"/>
    <n v="51.64"/>
    <x v="0"/>
    <x v="11"/>
    <x v="1"/>
  </r>
  <r>
    <x v="5652"/>
    <n v="4027788990013"/>
    <x v="9"/>
    <s v="Starostlivosť a hygiena – Psy"/>
    <s v="Dogissimo"/>
    <n v="8"/>
    <n v="1"/>
    <s v="NULL"/>
    <s v=""/>
    <d v="2025-12-21T00:00:00"/>
    <n v="0"/>
    <n v="8"/>
    <x v="0"/>
    <x v="11"/>
    <x v="0"/>
  </r>
  <r>
    <x v="5653"/>
    <n v="4003344556679"/>
    <x v="19"/>
    <s v="Pelechy a nábytok – Psy"/>
    <s v="Canine Craft Industries"/>
    <n v="51.64"/>
    <n v="1"/>
    <s v="4"/>
    <s v="Dávám ako darček kamarádovi, vyzerá kvalitne."/>
    <d v="2025-12-21T00:00:00"/>
    <n v="0"/>
    <n v="51.64"/>
    <x v="1"/>
    <x v="11"/>
    <x v="0"/>
  </r>
  <r>
    <x v="5654"/>
    <n v="4022345678908"/>
    <x v="55"/>
    <s v="Starostlivosť a hygiena – Psy"/>
    <s v="PawStyle"/>
    <n v="10"/>
    <n v="1"/>
    <s v="NULL"/>
    <s v=""/>
    <d v="2025-12-21T00:00:00"/>
    <n v="0"/>
    <n v="10"/>
    <x v="0"/>
    <x v="11"/>
    <x v="0"/>
  </r>
  <r>
    <x v="5655"/>
    <n v="4017890123450"/>
    <x v="16"/>
    <s v="Hračky – Psy"/>
    <s v="Dogissimo"/>
    <n v="7.6"/>
    <n v="2"/>
    <s v="NULL"/>
    <s v=""/>
    <d v="2025-12-21T00:00:00"/>
    <n v="0"/>
    <n v="15.2"/>
    <x v="0"/>
    <x v="11"/>
    <x v="0"/>
  </r>
  <r>
    <x v="5656"/>
    <n v="4056789012345"/>
    <x v="11"/>
    <s v="Krmivo a maškrty – Mačky"/>
    <s v="BellaMeow"/>
    <n v="2.4"/>
    <n v="2"/>
    <s v="NULL"/>
    <s v=""/>
    <d v="2025-12-21T00:00:00"/>
    <n v="0"/>
    <n v="4.8"/>
    <x v="0"/>
    <x v="11"/>
    <x v="1"/>
  </r>
  <r>
    <x v="5657"/>
    <n v="8593456789012"/>
    <x v="4"/>
    <s v="Krmivo a maškrty – Mačky"/>
    <s v="Catissime"/>
    <n v="42"/>
    <n v="1"/>
    <s v="NULL"/>
    <s v=""/>
    <d v="2025-12-21T00:00:00"/>
    <n v="0"/>
    <n v="42"/>
    <x v="0"/>
    <x v="11"/>
    <x v="1"/>
  </r>
  <r>
    <x v="5658"/>
    <n v="4028899001126"/>
    <x v="1"/>
    <s v="Krmivo a maškrty – Psy"/>
    <s v="Pup Republic"/>
    <n v="2.8"/>
    <n v="3"/>
    <s v="NULL"/>
    <s v=""/>
    <d v="2025-12-21T00:00:00"/>
    <n v="0"/>
    <n v="8.3999999999999986"/>
    <x v="0"/>
    <x v="11"/>
    <x v="0"/>
  </r>
  <r>
    <x v="5659"/>
    <n v="4040123456795"/>
    <x v="2"/>
    <s v="Starostlivosť a hygiena – Psy"/>
    <s v="Dogissimo"/>
    <n v="8.8000000000000007"/>
    <n v="1"/>
    <s v="NULL"/>
    <s v=""/>
    <d v="2025-12-21T00:00:00"/>
    <n v="0"/>
    <n v="8.8000000000000007"/>
    <x v="0"/>
    <x v="11"/>
    <x v="0"/>
  </r>
  <r>
    <x v="5660"/>
    <n v="4027788990013"/>
    <x v="9"/>
    <s v="Starostlivosť a hygiena – Psy"/>
    <s v="Dogissimo"/>
    <n v="8"/>
    <n v="1"/>
    <s v="NULL"/>
    <s v=""/>
    <d v="2025-12-21T00:00:00"/>
    <n v="0"/>
    <n v="8"/>
    <x v="0"/>
    <x v="11"/>
    <x v="0"/>
  </r>
  <r>
    <x v="5661"/>
    <n v="4013456789017"/>
    <x v="0"/>
    <s v="Krmivo a maškrty – Psy"/>
    <s v="Snouty"/>
    <n v="6"/>
    <n v="1"/>
    <s v="3"/>
    <s v="Vzalaj sme ako doplnok k darčeku."/>
    <d v="2025-12-21T00:00:00"/>
    <n v="0"/>
    <n v="6"/>
    <x v="3"/>
    <x v="11"/>
    <x v="0"/>
  </r>
  <r>
    <x v="5662"/>
    <n v="4042233445567"/>
    <x v="57"/>
    <s v="Pelechy a nábytok – Mačky"/>
    <s v="CozyNest"/>
    <n v="51.64"/>
    <n v="1"/>
    <s v="NULL"/>
    <s v=""/>
    <d v="2025-12-21T00:00:00"/>
    <n v="0"/>
    <n v="51.64"/>
    <x v="0"/>
    <x v="11"/>
    <x v="1"/>
  </r>
  <r>
    <x v="5663"/>
    <n v="4028899001126"/>
    <x v="1"/>
    <s v="Krmivo a maškrty – Psy"/>
    <s v="Pup Republic"/>
    <n v="2.8"/>
    <n v="3"/>
    <s v="NULL"/>
    <s v=""/>
    <d v="2025-12-21T00:00:00"/>
    <n v="0"/>
    <n v="8.3999999999999986"/>
    <x v="0"/>
    <x v="11"/>
    <x v="0"/>
  </r>
  <r>
    <x v="5664"/>
    <n v="4067890123456"/>
    <x v="17"/>
    <s v="Krmivo a maškrty – Mačky"/>
    <s v="PawStyle"/>
    <n v="36"/>
    <n v="1"/>
    <s v="NULL"/>
    <s v=""/>
    <d v="2025-12-21T00:00:00"/>
    <n v="0"/>
    <n v="36"/>
    <x v="0"/>
    <x v="11"/>
    <x v="1"/>
  </r>
  <r>
    <x v="5665"/>
    <n v="4003344556679"/>
    <x v="19"/>
    <s v="Pelechy a nábytok – Psy"/>
    <s v="Canine Craft Industries"/>
    <n v="51.64"/>
    <n v="1"/>
    <s v="NULL"/>
    <s v=""/>
    <d v="2025-12-21T00:00:00"/>
    <n v="0"/>
    <n v="51.64"/>
    <x v="0"/>
    <x v="11"/>
    <x v="0"/>
  </r>
  <r>
    <x v="5666"/>
    <n v="4056789012345"/>
    <x v="11"/>
    <s v="Krmivo a maškrty – Mačky"/>
    <s v="BellaMeow"/>
    <n v="2.4"/>
    <n v="3"/>
    <s v="NULL"/>
    <s v=""/>
    <d v="2025-12-21T00:00:00"/>
    <n v="0"/>
    <n v="7.1999999999999993"/>
    <x v="0"/>
    <x v="11"/>
    <x v="1"/>
  </r>
  <r>
    <x v="5667"/>
    <n v="4022345678908"/>
    <x v="55"/>
    <s v="Starostlivosť a hygiena – Psy"/>
    <s v="PawStyle"/>
    <n v="10"/>
    <n v="1"/>
    <s v="NULL"/>
    <s v=""/>
    <d v="2025-12-21T00:00:00"/>
    <n v="0"/>
    <n v="10"/>
    <x v="0"/>
    <x v="11"/>
    <x v="0"/>
  </r>
  <r>
    <x v="5668"/>
    <n v="4010123456783"/>
    <x v="6"/>
    <s v="Starostlivosť a hygiena – Mačky"/>
    <s v="BellaMeow"/>
    <n v="14"/>
    <n v="1"/>
    <s v="NULL"/>
    <s v=""/>
    <d v="2025-12-21T00:00:00"/>
    <n v="0"/>
    <n v="14"/>
    <x v="0"/>
    <x v="11"/>
    <x v="1"/>
  </r>
  <r>
    <x v="5669"/>
    <n v="4028899001126"/>
    <x v="1"/>
    <s v="Krmivo a maškrty – Psy"/>
    <s v="Pup Republic"/>
    <n v="2.8"/>
    <n v="3"/>
    <s v="NULL"/>
    <s v=""/>
    <d v="2025-12-22T00:00:00"/>
    <n v="0"/>
    <n v="8.3999999999999986"/>
    <x v="0"/>
    <x v="11"/>
    <x v="0"/>
  </r>
  <r>
    <x v="5670"/>
    <n v="4013456789017"/>
    <x v="0"/>
    <s v="Krmivo a maškrty – Psy"/>
    <s v="Snouty"/>
    <n v="6"/>
    <n v="1"/>
    <s v="NULL"/>
    <s v=""/>
    <d v="2025-12-22T00:00:00"/>
    <n v="0"/>
    <n v="6"/>
    <x v="0"/>
    <x v="11"/>
    <x v="0"/>
  </r>
  <r>
    <x v="5671"/>
    <n v="4042233445567"/>
    <x v="57"/>
    <s v="Pelechy a nábytok – Mačky"/>
    <s v="CozyNest"/>
    <n v="51.64"/>
    <n v="1"/>
    <s v="NULL"/>
    <s v=""/>
    <d v="2025-12-22T00:00:00"/>
    <n v="0"/>
    <n v="51.64"/>
    <x v="0"/>
    <x v="11"/>
    <x v="1"/>
  </r>
  <r>
    <x v="5672"/>
    <n v="4027788990013"/>
    <x v="9"/>
    <s v="Starostlivosť a hygiena – Psy"/>
    <s v="Dogissimo"/>
    <n v="8"/>
    <n v="1"/>
    <s v="NULL"/>
    <s v=""/>
    <d v="2025-12-22T00:00:00"/>
    <n v="0"/>
    <n v="8"/>
    <x v="0"/>
    <x v="11"/>
    <x v="0"/>
  </r>
  <r>
    <x v="5673"/>
    <n v="4003344556679"/>
    <x v="19"/>
    <s v="Pelechy a nábytok – Psy"/>
    <s v="Canine Craft Industries"/>
    <n v="51.64"/>
    <n v="1"/>
    <s v="4"/>
    <s v="Vyzerá luxusne, kúpil som ako vianočný darček."/>
    <d v="2025-12-22T00:00:00"/>
    <n v="0"/>
    <n v="51.64"/>
    <x v="1"/>
    <x v="11"/>
    <x v="0"/>
  </r>
  <r>
    <x v="5674"/>
    <n v="4022345678908"/>
    <x v="55"/>
    <s v="Starostlivosť a hygiena – Psy"/>
    <s v="PawStyle"/>
    <n v="10"/>
    <n v="1"/>
    <s v="NULL"/>
    <s v=""/>
    <d v="2025-12-22T00:00:00"/>
    <n v="0"/>
    <n v="10"/>
    <x v="0"/>
    <x v="11"/>
    <x v="0"/>
  </r>
  <r>
    <x v="5675"/>
    <n v="4017890123450"/>
    <x v="16"/>
    <s v="Hračky – Psy"/>
    <s v="Dogissimo"/>
    <n v="7.6"/>
    <n v="1"/>
    <s v="NULL"/>
    <s v=""/>
    <d v="2025-12-22T00:00:00"/>
    <n v="0"/>
    <n v="7.6"/>
    <x v="0"/>
    <x v="11"/>
    <x v="0"/>
  </r>
  <r>
    <x v="5676"/>
    <n v="4056789012345"/>
    <x v="11"/>
    <s v="Krmivo a maškrty – Mačky"/>
    <s v="BellaMeow"/>
    <n v="2.4"/>
    <n v="2"/>
    <s v="NULL"/>
    <s v=""/>
    <d v="2025-12-22T00:00:00"/>
    <n v="0"/>
    <n v="4.8"/>
    <x v="0"/>
    <x v="11"/>
    <x v="1"/>
  </r>
  <r>
    <x v="5677"/>
    <n v="8593456789012"/>
    <x v="4"/>
    <s v="Krmivo a maškrty – Mačky"/>
    <s v="Catissime"/>
    <n v="42"/>
    <n v="1"/>
    <s v="NULL"/>
    <s v=""/>
    <d v="2025-12-22T00:00:00"/>
    <n v="0"/>
    <n v="42"/>
    <x v="0"/>
    <x v="11"/>
    <x v="1"/>
  </r>
  <r>
    <x v="5678"/>
    <n v="4028899001126"/>
    <x v="1"/>
    <s v="Krmivo a maškrty – Psy"/>
    <s v="Pup Republic"/>
    <n v="2.8"/>
    <n v="2"/>
    <s v="NULL"/>
    <s v=""/>
    <d v="2025-12-22T00:00:00"/>
    <n v="0"/>
    <n v="5.6"/>
    <x v="0"/>
    <x v="11"/>
    <x v="0"/>
  </r>
  <r>
    <x v="5679"/>
    <n v="4040123456795"/>
    <x v="2"/>
    <s v="Starostlivosť a hygiena – Psy"/>
    <s v="Dogissimo"/>
    <n v="8.8000000000000007"/>
    <n v="1"/>
    <s v="NULL"/>
    <s v=""/>
    <d v="2025-12-22T00:00:00"/>
    <n v="0"/>
    <n v="8.8000000000000007"/>
    <x v="0"/>
    <x v="11"/>
    <x v="0"/>
  </r>
  <r>
    <x v="5680"/>
    <n v="4027788990013"/>
    <x v="9"/>
    <s v="Starostlivosť a hygiena – Psy"/>
    <s v="Dogissimo"/>
    <n v="8"/>
    <n v="1"/>
    <s v="NULL"/>
    <s v=""/>
    <d v="2025-12-22T00:00:00"/>
    <n v="0"/>
    <n v="8"/>
    <x v="0"/>
    <x v="11"/>
    <x v="0"/>
  </r>
  <r>
    <x v="5681"/>
    <n v="4013456789017"/>
    <x v="0"/>
    <s v="Krmivo a maškrty – Psy"/>
    <s v="Snouty"/>
    <n v="6"/>
    <n v="1"/>
    <s v="NULL"/>
    <s v=""/>
    <d v="2025-12-22T00:00:00"/>
    <n v="0"/>
    <n v="6"/>
    <x v="0"/>
    <x v="11"/>
    <x v="0"/>
  </r>
  <r>
    <x v="5682"/>
    <n v="4042233445567"/>
    <x v="57"/>
    <s v="Pelechy a nábytok – Mačky"/>
    <s v="CozyNest"/>
    <n v="51.64"/>
    <n v="1"/>
    <s v="NULL"/>
    <s v=""/>
    <d v="2025-12-22T00:00:00"/>
    <n v="0"/>
    <n v="51.64"/>
    <x v="0"/>
    <x v="11"/>
    <x v="1"/>
  </r>
  <r>
    <x v="5683"/>
    <n v="4028899001126"/>
    <x v="1"/>
    <s v="Krmivo a maškrty – Psy"/>
    <s v="Pup Republic"/>
    <n v="2.8"/>
    <n v="3"/>
    <s v="4"/>
    <s v="Dáváme do vianočnú krabice pre útulek."/>
    <d v="2025-12-22T00:00:00"/>
    <n v="0"/>
    <n v="8.3999999999999986"/>
    <x v="1"/>
    <x v="11"/>
    <x v="0"/>
  </r>
  <r>
    <x v="5684"/>
    <n v="4013456789017"/>
    <x v="0"/>
    <s v="Krmivo a maškrty – Psy"/>
    <s v="Snouty"/>
    <n v="6"/>
    <n v="1"/>
    <s v="NULL"/>
    <s v=""/>
    <d v="2025-12-23T00:00:00"/>
    <n v="0"/>
    <n v="6"/>
    <x v="0"/>
    <x v="11"/>
    <x v="0"/>
  </r>
  <r>
    <x v="5685"/>
    <n v="4028899001126"/>
    <x v="1"/>
    <s v="Krmivo a maškrty – Psy"/>
    <s v="Pup Republic"/>
    <n v="2.8"/>
    <n v="2"/>
    <s v="NULL"/>
    <s v=""/>
    <d v="2025-12-23T00:00:00"/>
    <n v="0"/>
    <n v="5.6"/>
    <x v="0"/>
    <x v="11"/>
    <x v="0"/>
  </r>
  <r>
    <x v="5686"/>
    <n v="4027788990013"/>
    <x v="9"/>
    <s v="Starostlivosť a hygiena – Psy"/>
    <s v="Dogissimo"/>
    <n v="8"/>
    <n v="1"/>
    <s v="NULL"/>
    <s v=""/>
    <d v="2025-12-23T00:00:00"/>
    <n v="0"/>
    <n v="8"/>
    <x v="0"/>
    <x v="11"/>
    <x v="0"/>
  </r>
  <r>
    <x v="5687"/>
    <n v="4040123456795"/>
    <x v="2"/>
    <s v="Starostlivosť a hygiena – Psy"/>
    <s v="Dogissimo"/>
    <n v="8.8000000000000007"/>
    <n v="1"/>
    <s v="NULL"/>
    <s v=""/>
    <d v="2025-12-23T00:00:00"/>
    <n v="0"/>
    <n v="8.8000000000000007"/>
    <x v="0"/>
    <x v="11"/>
    <x v="0"/>
  </r>
  <r>
    <x v="5688"/>
    <n v="4003344556679"/>
    <x v="19"/>
    <s v="Pelechy a nábytok – Psy"/>
    <s v="Canine Craft Industries"/>
    <n v="51.64"/>
    <n v="1"/>
    <s v="NULL"/>
    <s v=""/>
    <d v="2025-12-23T00:00:00"/>
    <n v="0"/>
    <n v="51.64"/>
    <x v="0"/>
    <x v="11"/>
    <x v="0"/>
  </r>
  <r>
    <x v="5689"/>
    <n v="4056789012345"/>
    <x v="11"/>
    <s v="Krmivo a maškrty – Mačky"/>
    <s v="BellaMeow"/>
    <n v="2.4"/>
    <n v="2"/>
    <s v="NULL"/>
    <s v=""/>
    <d v="2025-12-23T00:00:00"/>
    <n v="0"/>
    <n v="4.8"/>
    <x v="0"/>
    <x v="11"/>
    <x v="1"/>
  </r>
  <r>
    <x v="5690"/>
    <n v="4028899001126"/>
    <x v="1"/>
    <s v="Krmivo a maškrty – Psy"/>
    <s v="Pup Republic"/>
    <n v="2.8"/>
    <n v="3"/>
    <s v="NULL"/>
    <s v=""/>
    <d v="2025-12-23T00:00:00"/>
    <n v="0"/>
    <n v="8.3999999999999986"/>
    <x v="0"/>
    <x v="11"/>
    <x v="0"/>
  </r>
  <r>
    <x v="5691"/>
    <n v="4013456789017"/>
    <x v="0"/>
    <s v="Krmivo a maškrty – Psy"/>
    <s v="Snouty"/>
    <n v="6"/>
    <n v="1"/>
    <s v="NULL"/>
    <s v=""/>
    <d v="2025-12-23T00:00:00"/>
    <n v="0"/>
    <n v="6"/>
    <x v="0"/>
    <x v="11"/>
    <x v="0"/>
  </r>
  <r>
    <x v="5692"/>
    <n v="4042233445567"/>
    <x v="57"/>
    <s v="Pelechy a nábytok – Mačky"/>
    <s v="CozyNest"/>
    <n v="51.64"/>
    <n v="1"/>
    <s v="NULL"/>
    <s v=""/>
    <d v="2025-12-23T00:00:00"/>
    <n v="0"/>
    <n v="51.64"/>
    <x v="0"/>
    <x v="11"/>
    <x v="1"/>
  </r>
  <r>
    <x v="5693"/>
    <n v="8593456789012"/>
    <x v="4"/>
    <s v="Krmivo a maškrty – Mačky"/>
    <s v="Catissime"/>
    <n v="42"/>
    <n v="1"/>
    <s v="NULL"/>
    <s v=""/>
    <d v="2025-12-23T00:00:00"/>
    <n v="0"/>
    <n v="42"/>
    <x v="0"/>
    <x v="11"/>
    <x v="1"/>
  </r>
  <r>
    <x v="5694"/>
    <n v="4017890123450"/>
    <x v="16"/>
    <s v="Hračky – Psy"/>
    <s v="Dogissimo"/>
    <n v="7.6"/>
    <n v="1"/>
    <s v="NULL"/>
    <s v=""/>
    <d v="2025-12-23T00:00:00"/>
    <n v="0"/>
    <n v="7.6"/>
    <x v="0"/>
    <x v="11"/>
    <x v="0"/>
  </r>
  <r>
    <x v="5695"/>
    <n v="4022345678908"/>
    <x v="55"/>
    <s v="Starostlivosť a hygiena – Psy"/>
    <s v="PawStyle"/>
    <n v="10"/>
    <n v="1"/>
    <s v="NULL"/>
    <s v=""/>
    <d v="2025-12-23T00:00:00"/>
    <n v="0"/>
    <n v="10"/>
    <x v="0"/>
    <x v="11"/>
    <x v="0"/>
  </r>
  <r>
    <x v="5696"/>
    <n v="4067890123456"/>
    <x v="17"/>
    <s v="Krmivo a maškrty – Mačky"/>
    <s v="PawStyle"/>
    <n v="36"/>
    <n v="1"/>
    <s v="NULL"/>
    <s v=""/>
    <d v="2025-12-23T00:00:00"/>
    <n v="0"/>
    <n v="36"/>
    <x v="0"/>
    <x v="11"/>
    <x v="1"/>
  </r>
  <r>
    <x v="5697"/>
    <n v="4028899001126"/>
    <x v="1"/>
    <s v="Krmivo a maškrty – Psy"/>
    <s v="Pup Republic"/>
    <n v="2.8"/>
    <n v="3"/>
    <s v="NULL"/>
    <s v=""/>
    <d v="2025-12-23T00:00:00"/>
    <n v="0"/>
    <n v="8.3999999999999986"/>
    <x v="0"/>
    <x v="11"/>
    <x v="0"/>
  </r>
  <r>
    <x v="5698"/>
    <n v="4013456789017"/>
    <x v="0"/>
    <s v="Krmivo a maškrty – Psy"/>
    <s v="Snouty"/>
    <n v="6"/>
    <n v="1"/>
    <s v="NULL"/>
    <s v=""/>
    <d v="2025-12-23T00:00:00"/>
    <n v="0"/>
    <n v="6"/>
    <x v="0"/>
    <x v="11"/>
    <x v="0"/>
  </r>
  <r>
    <x v="5699"/>
    <n v="4042233445567"/>
    <x v="57"/>
    <s v="Pelechy a nábytok – Mačky"/>
    <s v="CozyNest"/>
    <n v="51.64"/>
    <n v="1"/>
    <s v="NULL"/>
    <s v=""/>
    <d v="2025-12-23T00:00:00"/>
    <n v="0"/>
    <n v="51.64"/>
    <x v="0"/>
    <x v="11"/>
    <x v="1"/>
  </r>
  <r>
    <x v="5700"/>
    <n v="4027788990013"/>
    <x v="9"/>
    <s v="Starostlivosť a hygiena – Psy"/>
    <s v="Dogissimo"/>
    <n v="8"/>
    <n v="1"/>
    <s v="NULL"/>
    <s v=""/>
    <d v="2025-12-23T00:00:00"/>
    <n v="0"/>
    <n v="8"/>
    <x v="0"/>
    <x v="11"/>
    <x v="0"/>
  </r>
  <r>
    <x v="5701"/>
    <n v="4003344556679"/>
    <x v="19"/>
    <s v="Pelechy a nábytok – Psy"/>
    <s v="Canine Craft Industries"/>
    <n v="51.64"/>
    <n v="1"/>
    <s v="NULL"/>
    <s v=""/>
    <d v="2025-12-23T00:00:00"/>
    <n v="0"/>
    <n v="51.64"/>
    <x v="0"/>
    <x v="11"/>
    <x v="0"/>
  </r>
  <r>
    <x v="5702"/>
    <n v="4017890123450"/>
    <x v="16"/>
    <s v="Hračky – Psy"/>
    <s v="Dogissimo"/>
    <n v="7.6"/>
    <n v="1"/>
    <s v="NULL"/>
    <s v=""/>
    <d v="2025-12-23T00:00:00"/>
    <n v="0"/>
    <n v="7.6"/>
    <x v="0"/>
    <x v="11"/>
    <x v="0"/>
  </r>
  <r>
    <x v="5703"/>
    <n v="4056789012345"/>
    <x v="11"/>
    <s v="Krmivo a maškrty – Mačky"/>
    <s v="BellaMeow"/>
    <n v="2.4"/>
    <n v="2"/>
    <s v="NULL"/>
    <s v=""/>
    <d v="2025-12-23T00:00:00"/>
    <n v="0"/>
    <n v="4.8"/>
    <x v="0"/>
    <x v="11"/>
    <x v="1"/>
  </r>
  <r>
    <x v="5704"/>
    <n v="8593456789012"/>
    <x v="4"/>
    <s v="Krmivo a maškrty – Mačky"/>
    <s v="Catissime"/>
    <n v="42"/>
    <n v="1"/>
    <s v="NULL"/>
    <s v=""/>
    <d v="2025-12-23T00:00:00"/>
    <n v="0"/>
    <n v="42"/>
    <x v="0"/>
    <x v="11"/>
    <x v="1"/>
  </r>
  <r>
    <x v="5705"/>
    <n v="4022345678908"/>
    <x v="55"/>
    <s v="Starostlivosť a hygiena – Psy"/>
    <s v="PawStyle"/>
    <n v="10"/>
    <n v="1"/>
    <s v="NULL"/>
    <s v=""/>
    <d v="2025-12-23T00:00:00"/>
    <n v="0"/>
    <n v="10"/>
    <x v="0"/>
    <x v="11"/>
    <x v="0"/>
  </r>
  <r>
    <x v="5706"/>
    <n v="4010123456783"/>
    <x v="6"/>
    <s v="Starostlivosť a hygiena – Mačky"/>
    <s v="BellaMeow"/>
    <n v="14"/>
    <n v="1"/>
    <s v="NULL"/>
    <s v=""/>
    <d v="2025-12-23T00:00:00"/>
    <n v="0"/>
    <n v="14"/>
    <x v="0"/>
    <x v="11"/>
    <x v="1"/>
  </r>
  <r>
    <x v="5707"/>
    <n v="4028899001126"/>
    <x v="1"/>
    <s v="Krmivo a maškrty – Psy"/>
    <s v="Pup Republic"/>
    <n v="2.8"/>
    <n v="3"/>
    <s v="4"/>
    <s v="Nákup po svátcích, pes sa konzervy obľúbil."/>
    <d v="2025-12-23T00:00:00"/>
    <n v="0"/>
    <n v="8.3999999999999986"/>
    <x v="1"/>
    <x v="11"/>
    <x v="0"/>
  </r>
  <r>
    <x v="5708"/>
    <n v="4040123456795"/>
    <x v="2"/>
    <s v="Starostlivosť a hygiena – Psy"/>
    <s v="Dogissimo"/>
    <n v="8.8000000000000007"/>
    <n v="1"/>
    <s v="NULL"/>
    <s v=""/>
    <d v="2025-12-24T00:00:00"/>
    <n v="0"/>
    <n v="8.8000000000000007"/>
    <x v="0"/>
    <x v="11"/>
    <x v="0"/>
  </r>
  <r>
    <x v="5709"/>
    <n v="4027788990013"/>
    <x v="9"/>
    <s v="Starostlivosť a hygiena – Psy"/>
    <s v="Dogissimo"/>
    <n v="8"/>
    <n v="1"/>
    <s v="NULL"/>
    <s v=""/>
    <d v="2025-12-24T00:00:00"/>
    <n v="0"/>
    <n v="8"/>
    <x v="0"/>
    <x v="11"/>
    <x v="0"/>
  </r>
  <r>
    <x v="5710"/>
    <n v="4003344556679"/>
    <x v="19"/>
    <s v="Pelechy a nábytok – Psy"/>
    <s v="Canine Craft Industries"/>
    <n v="51.64"/>
    <n v="1"/>
    <s v="NULL"/>
    <s v=""/>
    <d v="2025-12-24T00:00:00"/>
    <n v="0"/>
    <n v="51.64"/>
    <x v="0"/>
    <x v="11"/>
    <x v="0"/>
  </r>
  <r>
    <x v="5711"/>
    <n v="4056789012345"/>
    <x v="11"/>
    <s v="Krmivo a maškrty – Mačky"/>
    <s v="BellaMeow"/>
    <n v="2.4"/>
    <n v="2"/>
    <s v="NULL"/>
    <s v=""/>
    <d v="2025-12-24T00:00:00"/>
    <n v="0"/>
    <n v="4.8"/>
    <x v="0"/>
    <x v="11"/>
    <x v="1"/>
  </r>
  <r>
    <x v="5712"/>
    <n v="4067890123456"/>
    <x v="17"/>
    <s v="Krmivo a maškrty – Mačky"/>
    <s v="PawStyle"/>
    <n v="36"/>
    <n v="1"/>
    <s v="NULL"/>
    <s v=""/>
    <d v="2025-12-24T00:00:00"/>
    <n v="0"/>
    <n v="36"/>
    <x v="0"/>
    <x v="11"/>
    <x v="1"/>
  </r>
  <r>
    <x v="5713"/>
    <n v="4013456789017"/>
    <x v="0"/>
    <s v="Krmivo a maškrty – Psy"/>
    <s v="Snouty"/>
    <n v="6"/>
    <n v="1"/>
    <s v="NULL"/>
    <s v=""/>
    <d v="2025-12-24T00:00:00"/>
    <n v="0"/>
    <n v="6"/>
    <x v="0"/>
    <x v="11"/>
    <x v="0"/>
  </r>
  <r>
    <x v="5714"/>
    <n v="4028899001126"/>
    <x v="1"/>
    <s v="Krmivo a maškrty – Psy"/>
    <s v="Pup Republic"/>
    <n v="2.8"/>
    <n v="3"/>
    <s v="NULL"/>
    <s v=""/>
    <d v="2025-12-24T00:00:00"/>
    <n v="0"/>
    <n v="8.3999999999999986"/>
    <x v="0"/>
    <x v="11"/>
    <x v="0"/>
  </r>
  <r>
    <x v="5715"/>
    <n v="4017890123450"/>
    <x v="16"/>
    <s v="Hračky – Psy"/>
    <s v="Dogissimo"/>
    <n v="7.6"/>
    <n v="1"/>
    <s v="4"/>
    <s v="Pes ju dostal o Vánocích, teď objednávám další."/>
    <d v="2025-12-24T00:00:00"/>
    <n v="0"/>
    <n v="7.6"/>
    <x v="1"/>
    <x v="11"/>
    <x v="0"/>
  </r>
  <r>
    <x v="5716"/>
    <n v="4027788990013"/>
    <x v="9"/>
    <s v="Starostlivosť a hygiena – Psy"/>
    <s v="Dogissimo"/>
    <n v="8"/>
    <n v="1"/>
    <s v="NULL"/>
    <s v=""/>
    <d v="2025-12-24T00:00:00"/>
    <n v="0"/>
    <n v="8"/>
    <x v="0"/>
    <x v="11"/>
    <x v="0"/>
  </r>
  <r>
    <x v="5717"/>
    <n v="8593456789012"/>
    <x v="4"/>
    <s v="Krmivo a maškrty – Mačky"/>
    <s v="Catissime"/>
    <n v="42"/>
    <n v="1"/>
    <s v="NULL"/>
    <s v=""/>
    <d v="2025-12-24T00:00:00"/>
    <n v="0"/>
    <n v="42"/>
    <x v="0"/>
    <x v="11"/>
    <x v="1"/>
  </r>
  <r>
    <x v="5718"/>
    <n v="4056789012345"/>
    <x v="11"/>
    <s v="Krmivo a maškrty – Mačky"/>
    <s v="BellaMeow"/>
    <n v="2.4"/>
    <n v="2"/>
    <s v="NULL"/>
    <s v=""/>
    <d v="2025-12-24T00:00:00"/>
    <n v="0"/>
    <n v="4.8"/>
    <x v="0"/>
    <x v="11"/>
    <x v="1"/>
  </r>
  <r>
    <x v="5719"/>
    <n v="4022345678908"/>
    <x v="55"/>
    <s v="Starostlivosť a hygiena – Psy"/>
    <s v="PawStyle"/>
    <n v="10"/>
    <n v="1"/>
    <s v="NULL"/>
    <s v=""/>
    <d v="2025-12-25T00:00:00"/>
    <n v="0"/>
    <n v="10"/>
    <x v="0"/>
    <x v="11"/>
    <x v="0"/>
  </r>
  <r>
    <x v="5720"/>
    <n v="4013456789017"/>
    <x v="0"/>
    <s v="Krmivo a maškrty – Psy"/>
    <s v="Snouty"/>
    <n v="6"/>
    <n v="1"/>
    <s v="NULL"/>
    <s v=""/>
    <d v="2025-12-25T00:00:00"/>
    <n v="0"/>
    <n v="6"/>
    <x v="0"/>
    <x v="11"/>
    <x v="0"/>
  </r>
  <r>
    <x v="5721"/>
    <n v="4028899001126"/>
    <x v="1"/>
    <s v="Krmivo a maškrty – Psy"/>
    <s v="Pup Republic"/>
    <n v="2.8"/>
    <n v="3"/>
    <s v="NULL"/>
    <s v=""/>
    <d v="2025-12-25T00:00:00"/>
    <n v="0"/>
    <n v="8.3999999999999986"/>
    <x v="0"/>
    <x v="11"/>
    <x v="0"/>
  </r>
  <r>
    <x v="5722"/>
    <n v="4040123456795"/>
    <x v="2"/>
    <s v="Starostlivosť a hygiena – Psy"/>
    <s v="Dogissimo"/>
    <n v="8.8000000000000007"/>
    <n v="1"/>
    <s v="NULL"/>
    <s v=""/>
    <d v="2025-12-25T00:00:00"/>
    <n v="0"/>
    <n v="8.8000000000000007"/>
    <x v="0"/>
    <x v="11"/>
    <x v="0"/>
  </r>
  <r>
    <x v="5723"/>
    <n v="4027788990013"/>
    <x v="9"/>
    <s v="Starostlivosť a hygiena – Psy"/>
    <s v="Dogissimo"/>
    <n v="8"/>
    <n v="1"/>
    <s v="NULL"/>
    <s v=""/>
    <d v="2025-12-25T00:00:00"/>
    <n v="0"/>
    <n v="8"/>
    <x v="0"/>
    <x v="11"/>
    <x v="0"/>
  </r>
  <r>
    <x v="5724"/>
    <n v="4003344556679"/>
    <x v="19"/>
    <s v="Pelechy a nábytok – Psy"/>
    <s v="Canine Craft Industries"/>
    <n v="51.64"/>
    <n v="1"/>
    <s v="NULL"/>
    <s v=""/>
    <d v="2025-12-25T00:00:00"/>
    <n v="0"/>
    <n v="51.64"/>
    <x v="0"/>
    <x v="11"/>
    <x v="0"/>
  </r>
  <r>
    <x v="5725"/>
    <n v="4010123456783"/>
    <x v="6"/>
    <s v="Starostlivosť a hygiena – Mačky"/>
    <s v="BellaMeow"/>
    <n v="14"/>
    <n v="1"/>
    <s v="NULL"/>
    <s v=""/>
    <d v="2025-12-25T00:00:00"/>
    <n v="0"/>
    <n v="14"/>
    <x v="0"/>
    <x v="11"/>
    <x v="1"/>
  </r>
  <r>
    <x v="5726"/>
    <n v="4028899001126"/>
    <x v="1"/>
    <s v="Krmivo a maškrty – Psy"/>
    <s v="Pup Republic"/>
    <n v="2.8"/>
    <n v="3"/>
    <s v="4"/>
    <s v="Dokupujeme po svátcích, kvalitné."/>
    <d v="2025-12-25T00:00:00"/>
    <n v="0"/>
    <n v="8.3999999999999986"/>
    <x v="1"/>
    <x v="11"/>
    <x v="0"/>
  </r>
  <r>
    <x v="5727"/>
    <n v="4013456789017"/>
    <x v="0"/>
    <s v="Krmivo a maškrty – Psy"/>
    <s v="Snouty"/>
    <n v="6"/>
    <n v="1"/>
    <s v="NULL"/>
    <s v=""/>
    <d v="2025-12-26T00:00:00"/>
    <n v="0"/>
    <n v="6"/>
    <x v="0"/>
    <x v="11"/>
    <x v="0"/>
  </r>
  <r>
    <x v="5728"/>
    <n v="4042233445567"/>
    <x v="57"/>
    <s v="Pelechy a nábytok – Mačky"/>
    <s v="CozyNest"/>
    <n v="51.64"/>
    <n v="1"/>
    <s v="NULL"/>
    <s v=""/>
    <d v="2025-12-26T00:00:00"/>
    <n v="0"/>
    <n v="51.64"/>
    <x v="0"/>
    <x v="11"/>
    <x v="1"/>
  </r>
  <r>
    <x v="5729"/>
    <n v="4027788990013"/>
    <x v="9"/>
    <s v="Starostlivosť a hygiena – Psy"/>
    <s v="Dogissimo"/>
    <n v="8"/>
    <n v="1"/>
    <s v="NULL"/>
    <s v=""/>
    <d v="2025-12-26T00:00:00"/>
    <n v="0"/>
    <n v="8"/>
    <x v="0"/>
    <x v="11"/>
    <x v="0"/>
  </r>
  <r>
    <x v="5730"/>
    <n v="4003344556679"/>
    <x v="19"/>
    <s v="Pelechy a nábytok – Psy"/>
    <s v="Canine Craft Industries"/>
    <n v="51.64"/>
    <n v="1"/>
    <s v="NULL"/>
    <s v=""/>
    <d v="2025-12-26T00:00:00"/>
    <n v="0"/>
    <n v="51.64"/>
    <x v="0"/>
    <x v="11"/>
    <x v="0"/>
  </r>
  <r>
    <x v="5731"/>
    <n v="4056789012345"/>
    <x v="11"/>
    <s v="Krmivo a maškrty – Mačky"/>
    <s v="BellaMeow"/>
    <n v="2.4"/>
    <n v="2"/>
    <s v="NULL"/>
    <s v=""/>
    <d v="2025-12-26T00:00:00"/>
    <n v="0"/>
    <n v="4.8"/>
    <x v="0"/>
    <x v="11"/>
    <x v="1"/>
  </r>
  <r>
    <x v="5732"/>
    <n v="8593456789012"/>
    <x v="4"/>
    <s v="Krmivo a maškrty – Mačky"/>
    <s v="Catissime"/>
    <n v="42"/>
    <n v="1"/>
    <s v="NULL"/>
    <s v=""/>
    <d v="2025-12-26T00:00:00"/>
    <n v="0"/>
    <n v="42"/>
    <x v="0"/>
    <x v="11"/>
    <x v="1"/>
  </r>
  <r>
    <x v="5733"/>
    <n v="4022345678908"/>
    <x v="55"/>
    <s v="Starostlivosť a hygiena – Psy"/>
    <s v="PawStyle"/>
    <n v="10"/>
    <n v="1"/>
    <s v="NULL"/>
    <s v=""/>
    <d v="2025-12-26T00:00:00"/>
    <n v="0"/>
    <n v="10"/>
    <x v="0"/>
    <x v="11"/>
    <x v="0"/>
  </r>
  <r>
    <x v="5734"/>
    <n v="4017890123450"/>
    <x v="16"/>
    <s v="Hračky – Psy"/>
    <s v="Dogissimo"/>
    <n v="7.6"/>
    <n v="1"/>
    <s v="NULL"/>
    <s v=""/>
    <d v="2025-12-26T00:00:00"/>
    <n v="0"/>
    <n v="7.6"/>
    <x v="0"/>
    <x v="11"/>
    <x v="0"/>
  </r>
  <r>
    <x v="5735"/>
    <n v="4028899001126"/>
    <x v="1"/>
    <s v="Krmivo a maškrty – Psy"/>
    <s v="Pup Republic"/>
    <n v="2.8"/>
    <n v="2"/>
    <s v="NULL"/>
    <s v=""/>
    <d v="2025-12-26T00:00:00"/>
    <n v="0"/>
    <n v="5.6"/>
    <x v="0"/>
    <x v="11"/>
    <x v="0"/>
  </r>
  <r>
    <x v="5736"/>
    <n v="4040123456795"/>
    <x v="2"/>
    <s v="Starostlivosť a hygiena – Psy"/>
    <s v="Dogissimo"/>
    <n v="8.8000000000000007"/>
    <n v="1"/>
    <s v="4"/>
    <s v="Použito po Vánocích, pekne vonia."/>
    <d v="2025-12-26T00:00:00"/>
    <n v="0"/>
    <n v="8.8000000000000007"/>
    <x v="1"/>
    <x v="11"/>
    <x v="0"/>
  </r>
  <r>
    <x v="5737"/>
    <n v="4027788990013"/>
    <x v="9"/>
    <s v="Starostlivosť a hygiena – Psy"/>
    <s v="Dogissimo"/>
    <n v="8"/>
    <n v="1"/>
    <s v="NULL"/>
    <s v=""/>
    <d v="2025-12-26T00:00:00"/>
    <n v="0"/>
    <n v="8"/>
    <x v="0"/>
    <x v="11"/>
    <x v="0"/>
  </r>
  <r>
    <x v="5738"/>
    <n v="4003344556679"/>
    <x v="19"/>
    <s v="Pelechy a nábytok – Psy"/>
    <s v="Canine Craft Industries"/>
    <n v="51.64"/>
    <n v="1"/>
    <s v="NULL"/>
    <s v=""/>
    <d v="2025-12-26T00:00:00"/>
    <n v="0"/>
    <n v="51.64"/>
    <x v="0"/>
    <x v="11"/>
    <x v="0"/>
  </r>
  <r>
    <x v="5739"/>
    <n v="4056789012345"/>
    <x v="11"/>
    <s v="Krmivo a maškrty – Mačky"/>
    <s v="BellaMeow"/>
    <n v="2.4"/>
    <n v="2"/>
    <s v="NULL"/>
    <s v=""/>
    <d v="2025-12-26T00:00:00"/>
    <n v="0"/>
    <n v="4.8"/>
    <x v="0"/>
    <x v="11"/>
    <x v="1"/>
  </r>
  <r>
    <x v="5740"/>
    <n v="4067890123456"/>
    <x v="17"/>
    <s v="Krmivo a maškrty – Mačky"/>
    <s v="PawStyle"/>
    <n v="36"/>
    <n v="1"/>
    <s v="NULL"/>
    <s v=""/>
    <d v="2025-12-26T00:00:00"/>
    <n v="0"/>
    <n v="36"/>
    <x v="0"/>
    <x v="11"/>
    <x v="1"/>
  </r>
  <r>
    <x v="5741"/>
    <n v="4028899001126"/>
    <x v="1"/>
    <s v="Krmivo a maškrty – Psy"/>
    <s v="Pup Republic"/>
    <n v="2.8"/>
    <n v="3"/>
    <s v="NULL"/>
    <s v=""/>
    <d v="2025-12-27T00:00:00"/>
    <n v="0"/>
    <n v="8.3999999999999986"/>
    <x v="0"/>
    <x v="11"/>
    <x v="0"/>
  </r>
  <r>
    <x v="5742"/>
    <n v="4013456789017"/>
    <x v="0"/>
    <s v="Krmivo a maškrty – Psy"/>
    <s v="Snouty"/>
    <n v="6"/>
    <n v="1"/>
    <s v="NULL"/>
    <s v=""/>
    <d v="2025-12-27T00:00:00"/>
    <n v="0"/>
    <n v="6"/>
    <x v="0"/>
    <x v="11"/>
    <x v="0"/>
  </r>
  <r>
    <x v="5743"/>
    <n v="4042233445567"/>
    <x v="57"/>
    <s v="Pelechy a nábytok – Mačky"/>
    <s v="CozyNest"/>
    <n v="51.64"/>
    <n v="1"/>
    <s v="NULL"/>
    <s v=""/>
    <d v="2025-12-27T00:00:00"/>
    <n v="0"/>
    <n v="51.64"/>
    <x v="0"/>
    <x v="11"/>
    <x v="1"/>
  </r>
  <r>
    <x v="5744"/>
    <n v="4027788990013"/>
    <x v="9"/>
    <s v="Starostlivosť a hygiena – Psy"/>
    <s v="Dogissimo"/>
    <n v="8"/>
    <n v="1"/>
    <s v="NULL"/>
    <s v=""/>
    <d v="2025-12-27T00:00:00"/>
    <n v="0"/>
    <n v="8"/>
    <x v="0"/>
    <x v="11"/>
    <x v="0"/>
  </r>
  <r>
    <x v="5745"/>
    <n v="4003344556679"/>
    <x v="19"/>
    <s v="Pelechy a nábytok – Psy"/>
    <s v="Canine Craft Industries"/>
    <n v="51.64"/>
    <n v="1"/>
    <s v="NULL"/>
    <s v=""/>
    <d v="2025-12-27T00:00:00"/>
    <n v="0"/>
    <n v="51.64"/>
    <x v="0"/>
    <x v="11"/>
    <x v="0"/>
  </r>
  <r>
    <x v="5746"/>
    <n v="4022345678908"/>
    <x v="55"/>
    <s v="Starostlivosť a hygiena – Psy"/>
    <s v="PawStyle"/>
    <n v="10"/>
    <n v="1"/>
    <s v="NULL"/>
    <s v=""/>
    <d v="2025-12-27T00:00:00"/>
    <n v="0"/>
    <n v="10"/>
    <x v="0"/>
    <x v="11"/>
    <x v="0"/>
  </r>
  <r>
    <x v="5747"/>
    <n v="4017890123450"/>
    <x v="16"/>
    <s v="Hračky – Psy"/>
    <s v="Dogissimo"/>
    <n v="7.6"/>
    <n v="1"/>
    <s v="NULL"/>
    <s v=""/>
    <d v="2025-12-27T00:00:00"/>
    <n v="0"/>
    <n v="7.6"/>
    <x v="0"/>
    <x v="11"/>
    <x v="0"/>
  </r>
  <r>
    <x v="5748"/>
    <n v="4056789012345"/>
    <x v="11"/>
    <s v="Krmivo a maškrty – Mačky"/>
    <s v="BellaMeow"/>
    <n v="2.4"/>
    <n v="2"/>
    <s v="NULL"/>
    <s v=""/>
    <d v="2025-12-27T00:00:00"/>
    <n v="0"/>
    <n v="4.8"/>
    <x v="0"/>
    <x v="11"/>
    <x v="1"/>
  </r>
  <r>
    <x v="5749"/>
    <n v="8593456789012"/>
    <x v="4"/>
    <s v="Krmivo a maškrty – Mačky"/>
    <s v="Catissime"/>
    <n v="42"/>
    <n v="1"/>
    <s v="NULL"/>
    <s v=""/>
    <d v="2025-12-27T00:00:00"/>
    <n v="0"/>
    <n v="42"/>
    <x v="0"/>
    <x v="11"/>
    <x v="1"/>
  </r>
  <r>
    <x v="5750"/>
    <n v="4028899001126"/>
    <x v="1"/>
    <s v="Krmivo a maškrty – Psy"/>
    <s v="Pup Republic"/>
    <n v="2.8"/>
    <n v="3"/>
    <s v="3"/>
    <s v="Pouze doplnenie zásob po svátcích."/>
    <d v="2025-12-27T00:00:00"/>
    <n v="0"/>
    <n v="8.3999999999999986"/>
    <x v="3"/>
    <x v="11"/>
    <x v="0"/>
  </r>
  <r>
    <x v="5751"/>
    <n v="4040123456795"/>
    <x v="2"/>
    <s v="Starostlivosť a hygiena – Psy"/>
    <s v="Dogissimo"/>
    <n v="8.8000000000000007"/>
    <n v="1"/>
    <s v="NULL"/>
    <s v=""/>
    <d v="2025-12-27T00:00:00"/>
    <n v="0"/>
    <n v="8.8000000000000007"/>
    <x v="0"/>
    <x v="11"/>
    <x v="0"/>
  </r>
  <r>
    <x v="5752"/>
    <n v="4027788990013"/>
    <x v="9"/>
    <s v="Starostlivosť a hygiena – Psy"/>
    <s v="Dogissimo"/>
    <n v="8"/>
    <n v="1"/>
    <s v="NULL"/>
    <s v=""/>
    <d v="2025-12-27T00:00:00"/>
    <n v="0"/>
    <n v="8"/>
    <x v="0"/>
    <x v="11"/>
    <x v="0"/>
  </r>
  <r>
    <x v="5753"/>
    <n v="4003344556679"/>
    <x v="19"/>
    <s v="Pelechy a nábytok – Psy"/>
    <s v="Canine Craft Industries"/>
    <n v="51.64"/>
    <n v="1"/>
    <s v="NULL"/>
    <s v=""/>
    <d v="2025-12-27T00:00:00"/>
    <n v="0"/>
    <n v="51.64"/>
    <x v="0"/>
    <x v="11"/>
    <x v="0"/>
  </r>
  <r>
    <x v="5754"/>
    <n v="4056789012345"/>
    <x v="11"/>
    <s v="Krmivo a maškrty – Mačky"/>
    <s v="BellaMeow"/>
    <n v="2.4"/>
    <n v="2"/>
    <s v="NULL"/>
    <s v=""/>
    <d v="2025-12-27T00:00:00"/>
    <n v="0"/>
    <n v="4.8"/>
    <x v="0"/>
    <x v="11"/>
    <x v="1"/>
  </r>
  <r>
    <x v="5755"/>
    <n v="4022345678908"/>
    <x v="55"/>
    <s v="Starostlivosť a hygiena – Psy"/>
    <s v="PawStyle"/>
    <n v="10"/>
    <n v="1"/>
    <s v="NULL"/>
    <s v=""/>
    <d v="2025-12-27T00:00:00"/>
    <n v="0"/>
    <n v="10"/>
    <x v="0"/>
    <x v="11"/>
    <x v="0"/>
  </r>
  <r>
    <x v="5756"/>
    <n v="4010123456783"/>
    <x v="6"/>
    <s v="Starostlivosť a hygiena – Mačky"/>
    <s v="BellaMeow"/>
    <n v="14"/>
    <n v="1"/>
    <s v="NULL"/>
    <s v=""/>
    <d v="2025-12-27T00:00:00"/>
    <n v="0"/>
    <n v="14"/>
    <x v="0"/>
    <x v="11"/>
    <x v="1"/>
  </r>
  <r>
    <x v="5757"/>
    <n v="4028899001126"/>
    <x v="1"/>
    <s v="Krmivo a maškrty – Psy"/>
    <s v="Pup Republic"/>
    <n v="2.8"/>
    <n v="2"/>
    <s v="NULL"/>
    <s v=""/>
    <d v="2025-12-27T00:00:00"/>
    <n v="0"/>
    <n v="5.6"/>
    <x v="0"/>
    <x v="11"/>
    <x v="0"/>
  </r>
  <r>
    <x v="5758"/>
    <n v="4013456789017"/>
    <x v="0"/>
    <s v="Krmivo a maškrty – Psy"/>
    <s v="Snouty"/>
    <n v="6"/>
    <n v="1"/>
    <s v="NULL"/>
    <s v=""/>
    <d v="2025-12-27T00:00:00"/>
    <n v="0"/>
    <n v="6"/>
    <x v="0"/>
    <x v="11"/>
    <x v="0"/>
  </r>
  <r>
    <x v="5759"/>
    <n v="4028899001126"/>
    <x v="1"/>
    <s v="Krmivo a maškrty – Psy"/>
    <s v="Pup Republic"/>
    <n v="2.8"/>
    <n v="3"/>
    <s v="NULL"/>
    <s v=""/>
    <d v="2025-12-28T00:00:00"/>
    <n v="0"/>
    <n v="8.3999999999999986"/>
    <x v="0"/>
    <x v="11"/>
    <x v="0"/>
  </r>
  <r>
    <x v="5760"/>
    <n v="4013456789017"/>
    <x v="0"/>
    <s v="Krmivo a maškrty – Psy"/>
    <s v="Snouty"/>
    <n v="6"/>
    <n v="1"/>
    <s v="NULL"/>
    <s v=""/>
    <d v="2025-12-28T00:00:00"/>
    <n v="0"/>
    <n v="6"/>
    <x v="0"/>
    <x v="11"/>
    <x v="0"/>
  </r>
  <r>
    <x v="5761"/>
    <n v="4042233445567"/>
    <x v="57"/>
    <s v="Pelechy a nábytok – Mačky"/>
    <s v="CozyNest"/>
    <n v="51.64"/>
    <n v="1"/>
    <s v="NULL"/>
    <s v=""/>
    <d v="2025-12-28T00:00:00"/>
    <n v="0"/>
    <n v="51.64"/>
    <x v="0"/>
    <x v="11"/>
    <x v="1"/>
  </r>
  <r>
    <x v="5762"/>
    <n v="4027788990013"/>
    <x v="9"/>
    <s v="Starostlivosť a hygiena – Psy"/>
    <s v="Dogissimo"/>
    <n v="8"/>
    <n v="1"/>
    <s v="NULL"/>
    <s v=""/>
    <d v="2025-12-28T00:00:00"/>
    <n v="0"/>
    <n v="8"/>
    <x v="0"/>
    <x v="11"/>
    <x v="0"/>
  </r>
  <r>
    <x v="5763"/>
    <n v="4003344556679"/>
    <x v="19"/>
    <s v="Pelechy a nábytok – Psy"/>
    <s v="Canine Craft Industries"/>
    <n v="51.64"/>
    <n v="1"/>
    <s v="NULL"/>
    <s v=""/>
    <d v="2025-12-28T00:00:00"/>
    <n v="0"/>
    <n v="51.64"/>
    <x v="0"/>
    <x v="11"/>
    <x v="0"/>
  </r>
  <r>
    <x v="5764"/>
    <n v="4017890123450"/>
    <x v="16"/>
    <s v="Hračky – Psy"/>
    <s v="Dogissimo"/>
    <n v="7.6"/>
    <n v="1"/>
    <s v="NULL"/>
    <s v=""/>
    <d v="2025-12-28T00:00:00"/>
    <n v="0"/>
    <n v="7.6"/>
    <x v="0"/>
    <x v="11"/>
    <x v="0"/>
  </r>
  <r>
    <x v="5765"/>
    <n v="4056789012345"/>
    <x v="11"/>
    <s v="Krmivo a maškrty – Mačky"/>
    <s v="BellaMeow"/>
    <n v="2.4"/>
    <n v="2"/>
    <s v="NULL"/>
    <s v=""/>
    <d v="2025-12-28T00:00:00"/>
    <n v="0"/>
    <n v="4.8"/>
    <x v="0"/>
    <x v="11"/>
    <x v="1"/>
  </r>
  <r>
    <x v="5766"/>
    <n v="8593456789012"/>
    <x v="4"/>
    <s v="Krmivo a maškrty – Mačky"/>
    <s v="Catissime"/>
    <n v="42"/>
    <n v="1"/>
    <s v="NULL"/>
    <s v=""/>
    <d v="2025-12-28T00:00:00"/>
    <n v="0"/>
    <n v="42"/>
    <x v="0"/>
    <x v="11"/>
    <x v="1"/>
  </r>
  <r>
    <x v="5767"/>
    <n v="4022345678908"/>
    <x v="55"/>
    <s v="Starostlivosť a hygiena – Psy"/>
    <s v="PawStyle"/>
    <n v="10"/>
    <n v="1"/>
    <s v="NULL"/>
    <s v=""/>
    <d v="2025-12-28T00:00:00"/>
    <n v="0"/>
    <n v="10"/>
    <x v="0"/>
    <x v="11"/>
    <x v="0"/>
  </r>
  <r>
    <x v="5768"/>
    <n v="4010123456783"/>
    <x v="6"/>
    <s v="Starostlivosť a hygiena – Mačky"/>
    <s v="BellaMeow"/>
    <n v="14"/>
    <n v="1"/>
    <s v="NULL"/>
    <s v=""/>
    <d v="2025-12-28T00:00:00"/>
    <n v="0"/>
    <n v="14"/>
    <x v="0"/>
    <x v="11"/>
    <x v="1"/>
  </r>
  <r>
    <x v="5769"/>
    <n v="4028899001126"/>
    <x v="1"/>
    <s v="Krmivo a maškrty – Psy"/>
    <s v="Pup Republic"/>
    <n v="2.8"/>
    <n v="2"/>
    <s v="NULL"/>
    <s v=""/>
    <d v="2025-12-28T00:00:00"/>
    <n v="0"/>
    <n v="5.6"/>
    <x v="0"/>
    <x v="11"/>
    <x v="0"/>
  </r>
  <r>
    <x v="5770"/>
    <n v="4040123456795"/>
    <x v="2"/>
    <s v="Starostlivosť a hygiena – Psy"/>
    <s v="Dogissimo"/>
    <n v="8.8000000000000007"/>
    <n v="1"/>
    <s v="NULL"/>
    <s v=""/>
    <d v="2025-12-28T00:00:00"/>
    <n v="0"/>
    <n v="8.8000000000000007"/>
    <x v="0"/>
    <x v="11"/>
    <x v="0"/>
  </r>
  <r>
    <x v="5771"/>
    <n v="4027788990013"/>
    <x v="9"/>
    <s v="Starostlivosť a hygiena – Psy"/>
    <s v="Dogissimo"/>
    <n v="8"/>
    <n v="1"/>
    <s v="4"/>
    <s v="Nakoupeno po svátcích, výhodná sleva."/>
    <d v="2025-12-28T00:00:00"/>
    <n v="0"/>
    <n v="8"/>
    <x v="1"/>
    <x v="11"/>
    <x v="0"/>
  </r>
  <r>
    <x v="5772"/>
    <n v="4003344556679"/>
    <x v="19"/>
    <s v="Pelechy a nábytok – Psy"/>
    <s v="Canine Craft Industries"/>
    <n v="51.64"/>
    <n v="1"/>
    <s v="NULL"/>
    <s v=""/>
    <d v="2025-12-28T00:00:00"/>
    <n v="0"/>
    <n v="51.64"/>
    <x v="0"/>
    <x v="11"/>
    <x v="0"/>
  </r>
  <r>
    <x v="5773"/>
    <n v="4056789012345"/>
    <x v="11"/>
    <s v="Krmivo a maškrty – Mačky"/>
    <s v="BellaMeow"/>
    <n v="2.4"/>
    <n v="3"/>
    <s v="NULL"/>
    <s v=""/>
    <d v="2025-12-28T00:00:00"/>
    <n v="0"/>
    <n v="7.1999999999999993"/>
    <x v="0"/>
    <x v="11"/>
    <x v="1"/>
  </r>
  <r>
    <x v="5774"/>
    <n v="4067890123456"/>
    <x v="17"/>
    <s v="Krmivo a maškrty – Mačky"/>
    <s v="PawStyle"/>
    <n v="36"/>
    <n v="1"/>
    <s v="NULL"/>
    <s v=""/>
    <d v="2025-12-28T00:00:00"/>
    <n v="0"/>
    <n v="36"/>
    <x v="0"/>
    <x v="11"/>
    <x v="1"/>
  </r>
  <r>
    <x v="5775"/>
    <n v="4013456789017"/>
    <x v="0"/>
    <s v="Krmivo a maškrty – Psy"/>
    <s v="Snouty"/>
    <n v="6"/>
    <n v="1"/>
    <s v="NULL"/>
    <s v=""/>
    <d v="2025-12-28T00:00:00"/>
    <n v="0"/>
    <n v="6"/>
    <x v="0"/>
    <x v="11"/>
    <x v="0"/>
  </r>
  <r>
    <x v="5776"/>
    <n v="4028899001126"/>
    <x v="1"/>
    <s v="Krmivo a maškrty – Psy"/>
    <s v="Pup Republic"/>
    <n v="2.8"/>
    <n v="3"/>
    <s v="NULL"/>
    <s v=""/>
    <d v="2025-12-28T00:00:00"/>
    <n v="0"/>
    <n v="8.3999999999999986"/>
    <x v="0"/>
    <x v="11"/>
    <x v="0"/>
  </r>
  <r>
    <x v="5777"/>
    <n v="4027788990013"/>
    <x v="9"/>
    <s v="Starostlivosť a hygiena – Psy"/>
    <s v="Dogissimo"/>
    <n v="8"/>
    <n v="1"/>
    <s v="NULL"/>
    <s v=""/>
    <d v="2025-12-28T00:00:00"/>
    <n v="0"/>
    <n v="8"/>
    <x v="0"/>
    <x v="11"/>
    <x v="0"/>
  </r>
  <r>
    <x v="5778"/>
    <n v="4042233445567"/>
    <x v="57"/>
    <s v="Pelechy a nábytok – Mačky"/>
    <s v="CozyNest"/>
    <n v="51.64"/>
    <n v="1"/>
    <s v="NULL"/>
    <s v=""/>
    <d v="2025-12-28T00:00:00"/>
    <n v="0"/>
    <n v="51.64"/>
    <x v="0"/>
    <x v="11"/>
    <x v="1"/>
  </r>
  <r>
    <x v="5779"/>
    <n v="4003344556679"/>
    <x v="19"/>
    <s v="Pelechy a nábytok – Psy"/>
    <s v="Canine Craft Industries"/>
    <n v="51.64"/>
    <n v="1"/>
    <s v="NULL"/>
    <s v=""/>
    <d v="2025-12-29T00:00:00"/>
    <n v="0"/>
    <n v="51.64"/>
    <x v="0"/>
    <x v="11"/>
    <x v="0"/>
  </r>
  <r>
    <x v="5780"/>
    <n v="4028899001126"/>
    <x v="1"/>
    <s v="Krmivo a maškrty – Psy"/>
    <s v="Pup Republic"/>
    <n v="2.8"/>
    <n v="3"/>
    <s v="4"/>
    <s v="Zásoba na Silvestra, pes sa pochutná."/>
    <d v="2025-12-29T00:00:00"/>
    <n v="0"/>
    <n v="8.3999999999999986"/>
    <x v="1"/>
    <x v="11"/>
    <x v="0"/>
  </r>
  <r>
    <x v="5781"/>
    <n v="4013456789017"/>
    <x v="0"/>
    <s v="Krmivo a maškrty – Psy"/>
    <s v="Snouty"/>
    <n v="6"/>
    <n v="1"/>
    <s v="NULL"/>
    <s v=""/>
    <d v="2025-12-29T00:00:00"/>
    <n v="0"/>
    <n v="6"/>
    <x v="0"/>
    <x v="11"/>
    <x v="0"/>
  </r>
  <r>
    <x v="5782"/>
    <n v="4040123456795"/>
    <x v="2"/>
    <s v="Starostlivosť a hygiena – Psy"/>
    <s v="Dogissimo"/>
    <n v="8.8000000000000007"/>
    <n v="1"/>
    <s v="NULL"/>
    <s v=""/>
    <d v="2025-12-29T00:00:00"/>
    <n v="0"/>
    <n v="8.8000000000000007"/>
    <x v="0"/>
    <x v="11"/>
    <x v="0"/>
  </r>
  <r>
    <x v="5783"/>
    <n v="4027788990013"/>
    <x v="9"/>
    <s v="Starostlivosť a hygiena – Psy"/>
    <s v="Dogissimo"/>
    <n v="8"/>
    <n v="1"/>
    <s v="NULL"/>
    <s v=""/>
    <d v="2025-12-29T00:00:00"/>
    <n v="0"/>
    <n v="8"/>
    <x v="0"/>
    <x v="11"/>
    <x v="0"/>
  </r>
  <r>
    <x v="5784"/>
    <n v="4017890123450"/>
    <x v="16"/>
    <s v="Hračky – Psy"/>
    <s v="Dogissimo"/>
    <n v="7.6"/>
    <n v="1"/>
    <s v="NULL"/>
    <s v=""/>
    <d v="2025-12-29T00:00:00"/>
    <n v="0"/>
    <n v="7.6"/>
    <x v="0"/>
    <x v="11"/>
    <x v="0"/>
  </r>
  <r>
    <x v="5785"/>
    <n v="4056789012345"/>
    <x v="11"/>
    <s v="Krmivo a maškrty – Mačky"/>
    <s v="BellaMeow"/>
    <n v="2.4"/>
    <n v="2"/>
    <s v="NULL"/>
    <s v=""/>
    <d v="2025-12-29T00:00:00"/>
    <n v="0"/>
    <n v="4.8"/>
    <x v="0"/>
    <x v="11"/>
    <x v="1"/>
  </r>
  <r>
    <x v="5786"/>
    <n v="8593456789012"/>
    <x v="4"/>
    <s v="Krmivo a maškrty – Mačky"/>
    <s v="Catissime"/>
    <n v="42"/>
    <n v="1"/>
    <s v="NULL"/>
    <s v=""/>
    <d v="2025-12-29T00:00:00"/>
    <n v="0"/>
    <n v="42"/>
    <x v="0"/>
    <x v="11"/>
    <x v="1"/>
  </r>
  <r>
    <x v="5787"/>
    <n v="4022345678908"/>
    <x v="55"/>
    <s v="Starostlivosť a hygiena – Psy"/>
    <s v="PawStyle"/>
    <n v="10"/>
    <n v="1"/>
    <s v="NULL"/>
    <s v=""/>
    <d v="2025-12-29T00:00:00"/>
    <n v="0"/>
    <n v="10"/>
    <x v="0"/>
    <x v="11"/>
    <x v="0"/>
  </r>
  <r>
    <x v="5788"/>
    <n v="4010123456783"/>
    <x v="6"/>
    <s v="Starostlivosť a hygiena – Mačky"/>
    <s v="BellaMeow"/>
    <n v="14"/>
    <n v="1"/>
    <s v="NULL"/>
    <s v=""/>
    <d v="2025-12-29T00:00:00"/>
    <n v="0"/>
    <n v="14"/>
    <x v="0"/>
    <x v="11"/>
    <x v="1"/>
  </r>
  <r>
    <x v="5789"/>
    <n v="4028899001126"/>
    <x v="1"/>
    <s v="Krmivo a maškrty – Psy"/>
    <s v="Pup Republic"/>
    <n v="2.8"/>
    <n v="3"/>
    <s v="NULL"/>
    <s v=""/>
    <d v="2025-12-29T00:00:00"/>
    <n v="0"/>
    <n v="8.3999999999999986"/>
    <x v="0"/>
    <x v="11"/>
    <x v="0"/>
  </r>
  <r>
    <x v="5790"/>
    <n v="4013456789017"/>
    <x v="0"/>
    <s v="Krmivo a maškrty – Psy"/>
    <s v="Snouty"/>
    <n v="6"/>
    <n v="1"/>
    <s v="NULL"/>
    <s v=""/>
    <d v="2025-12-29T00:00:00"/>
    <n v="0"/>
    <n v="6"/>
    <x v="0"/>
    <x v="11"/>
    <x v="0"/>
  </r>
  <r>
    <x v="5791"/>
    <n v="4042233445567"/>
    <x v="57"/>
    <s v="Pelechy a nábytok – Mačky"/>
    <s v="CozyNest"/>
    <n v="51.64"/>
    <n v="1"/>
    <s v="NULL"/>
    <s v=""/>
    <d v="2025-12-29T00:00:00"/>
    <n v="0"/>
    <n v="51.64"/>
    <x v="0"/>
    <x v="11"/>
    <x v="1"/>
  </r>
  <r>
    <x v="5792"/>
    <n v="4027788990013"/>
    <x v="9"/>
    <s v="Starostlivosť a hygiena – Psy"/>
    <s v="Dogissimo"/>
    <n v="8"/>
    <n v="1"/>
    <s v="NULL"/>
    <s v=""/>
    <d v="2025-12-29T00:00:00"/>
    <n v="0"/>
    <n v="8"/>
    <x v="0"/>
    <x v="11"/>
    <x v="0"/>
  </r>
  <r>
    <x v="5793"/>
    <n v="4003344556679"/>
    <x v="19"/>
    <s v="Pelechy a nábytok – Psy"/>
    <s v="Canine Craft Industries"/>
    <n v="51.64"/>
    <n v="1"/>
    <s v="NULL"/>
    <s v=""/>
    <d v="2025-12-29T00:00:00"/>
    <n v="0"/>
    <n v="51.64"/>
    <x v="0"/>
    <x v="11"/>
    <x v="0"/>
  </r>
  <r>
    <x v="5794"/>
    <n v="4056789012345"/>
    <x v="11"/>
    <s v="Krmivo a maškrty – Mačky"/>
    <s v="BellaMeow"/>
    <n v="2.4"/>
    <n v="2"/>
    <s v="NULL"/>
    <s v=""/>
    <d v="2025-12-29T00:00:00"/>
    <n v="0"/>
    <n v="4.8"/>
    <x v="0"/>
    <x v="11"/>
    <x v="1"/>
  </r>
  <r>
    <x v="5795"/>
    <n v="4028899001126"/>
    <x v="1"/>
    <s v="Krmivo a maškrty – Psy"/>
    <s v="Pup Republic"/>
    <n v="2.8"/>
    <n v="3"/>
    <s v="NULL"/>
    <s v=""/>
    <d v="2025-12-30T00:00:00"/>
    <n v="0"/>
    <n v="8.3999999999999986"/>
    <x v="0"/>
    <x v="11"/>
    <x v="0"/>
  </r>
  <r>
    <x v="5796"/>
    <n v="4013456789017"/>
    <x v="0"/>
    <s v="Krmivo a maškrty – Psy"/>
    <s v="Snouty"/>
    <n v="6"/>
    <n v="1"/>
    <s v="NULL"/>
    <s v=""/>
    <d v="2025-12-30T00:00:00"/>
    <n v="0"/>
    <n v="6"/>
    <x v="0"/>
    <x v="11"/>
    <x v="0"/>
  </r>
  <r>
    <x v="5797"/>
    <n v="4040123456795"/>
    <x v="2"/>
    <s v="Starostlivosť a hygiena – Psy"/>
    <s v="Dogissimo"/>
    <n v="8.8000000000000007"/>
    <n v="1"/>
    <s v="NULL"/>
    <s v=""/>
    <d v="2025-12-30T00:00:00"/>
    <n v="0"/>
    <n v="8.8000000000000007"/>
    <x v="0"/>
    <x v="11"/>
    <x v="0"/>
  </r>
  <r>
    <x v="5798"/>
    <n v="4027788990013"/>
    <x v="9"/>
    <s v="Starostlivosť a hygiena – Psy"/>
    <s v="Dogissimo"/>
    <n v="8"/>
    <n v="1"/>
    <s v="NULL"/>
    <s v=""/>
    <d v="2025-12-30T00:00:00"/>
    <n v="0"/>
    <n v="8"/>
    <x v="0"/>
    <x v="11"/>
    <x v="0"/>
  </r>
  <r>
    <x v="5799"/>
    <n v="4017890123450"/>
    <x v="16"/>
    <s v="Hračky – Psy"/>
    <s v="Dogissimo"/>
    <n v="7.6"/>
    <n v="1"/>
    <s v="4"/>
    <s v="Darček sa líbil, kupujem znovu."/>
    <d v="2025-12-30T00:00:00"/>
    <n v="0"/>
    <n v="7.6"/>
    <x v="1"/>
    <x v="11"/>
    <x v="0"/>
  </r>
  <r>
    <x v="5800"/>
    <n v="4056789012345"/>
    <x v="11"/>
    <s v="Krmivo a maškrty – Mačky"/>
    <s v="BellaMeow"/>
    <n v="2.4"/>
    <n v="2"/>
    <s v="NULL"/>
    <s v=""/>
    <d v="2025-12-30T00:00:00"/>
    <n v="0"/>
    <n v="4.8"/>
    <x v="0"/>
    <x v="11"/>
    <x v="1"/>
  </r>
  <r>
    <x v="5801"/>
    <n v="8593456789012"/>
    <x v="4"/>
    <s v="Krmivo a maškrty – Mačky"/>
    <s v="Catissime"/>
    <n v="42"/>
    <n v="1"/>
    <s v="NULL"/>
    <s v=""/>
    <d v="2025-12-30T00:00:00"/>
    <n v="0"/>
    <n v="42"/>
    <x v="0"/>
    <x v="11"/>
    <x v="1"/>
  </r>
  <r>
    <x v="5802"/>
    <n v="4022345678908"/>
    <x v="55"/>
    <s v="Starostlivosť a hygiena – Psy"/>
    <s v="PawStyle"/>
    <n v="10"/>
    <n v="1"/>
    <s v="NULL"/>
    <s v=""/>
    <d v="2025-12-30T00:00:00"/>
    <n v="0"/>
    <n v="10"/>
    <x v="0"/>
    <x v="11"/>
    <x v="0"/>
  </r>
  <r>
    <x v="5803"/>
    <n v="4010123456783"/>
    <x v="6"/>
    <s v="Starostlivosť a hygiena – Mačky"/>
    <s v="BellaMeow"/>
    <n v="14"/>
    <n v="1"/>
    <s v="NULL"/>
    <s v=""/>
    <d v="2025-12-30T00:00:00"/>
    <n v="0"/>
    <n v="14"/>
    <x v="0"/>
    <x v="11"/>
    <x v="1"/>
  </r>
  <r>
    <x v="5804"/>
    <n v="4028899001126"/>
    <x v="1"/>
    <s v="Krmivo a maškrty – Psy"/>
    <s v="Pup Republic"/>
    <n v="2.8"/>
    <n v="2"/>
    <s v="NULL"/>
    <s v=""/>
    <d v="2025-12-30T00:00:00"/>
    <n v="0"/>
    <n v="5.6"/>
    <x v="0"/>
    <x v="11"/>
    <x v="0"/>
  </r>
  <r>
    <x v="5805"/>
    <n v="4040123456795"/>
    <x v="2"/>
    <s v="Starostlivosť a hygiena – Psy"/>
    <s v="Dogissimo"/>
    <n v="8.8000000000000007"/>
    <n v="1"/>
    <s v="NULL"/>
    <s v=""/>
    <d v="2025-12-30T00:00:00"/>
    <n v="0"/>
    <n v="8.8000000000000007"/>
    <x v="0"/>
    <x v="11"/>
    <x v="0"/>
  </r>
  <r>
    <x v="5806"/>
    <n v="4027788990013"/>
    <x v="9"/>
    <s v="Starostlivosť a hygiena – Psy"/>
    <s v="Dogissimo"/>
    <n v="8"/>
    <n v="1"/>
    <s v="NULL"/>
    <s v=""/>
    <d v="2025-12-30T00:00:00"/>
    <n v="0"/>
    <n v="8"/>
    <x v="0"/>
    <x v="11"/>
    <x v="0"/>
  </r>
  <r>
    <x v="5807"/>
    <n v="4003344556679"/>
    <x v="19"/>
    <s v="Pelechy a nábytok – Psy"/>
    <s v="Canine Craft Industries"/>
    <n v="51.64"/>
    <n v="1"/>
    <s v="NULL"/>
    <s v=""/>
    <d v="2025-12-30T00:00:00"/>
    <n v="0"/>
    <n v="51.64"/>
    <x v="0"/>
    <x v="11"/>
    <x v="0"/>
  </r>
  <r>
    <x v="5808"/>
    <n v="4013456789017"/>
    <x v="0"/>
    <s v="Krmivo a maškrty – Psy"/>
    <s v="Snouty"/>
    <n v="6"/>
    <n v="1"/>
    <s v="NULL"/>
    <s v=""/>
    <d v="2025-12-30T00:00:00"/>
    <n v="0"/>
    <n v="6"/>
    <x v="0"/>
    <x v="11"/>
    <x v="0"/>
  </r>
  <r>
    <x v="5809"/>
    <n v="4028899001126"/>
    <x v="1"/>
    <s v="Krmivo a maškrty – Psy"/>
    <s v="Pup Republic"/>
    <n v="2.8"/>
    <n v="3"/>
    <s v="5"/>
    <s v="Nakoupeno v zľave, berieme do zásoby."/>
    <d v="2025-12-30T00:00:00"/>
    <n v="0"/>
    <n v="8.3999999999999986"/>
    <x v="2"/>
    <x v="11"/>
    <x v="0"/>
  </r>
  <r>
    <x v="5810"/>
    <n v="4042233445567"/>
    <x v="57"/>
    <s v="Pelechy a nábytok – Mačky"/>
    <s v="CozyNest"/>
    <n v="51.64"/>
    <n v="1"/>
    <s v="NULL"/>
    <s v=""/>
    <d v="2025-12-30T00:00:00"/>
    <n v="0"/>
    <n v="51.64"/>
    <x v="0"/>
    <x v="11"/>
    <x v="1"/>
  </r>
  <r>
    <x v="5811"/>
    <n v="4067890123456"/>
    <x v="17"/>
    <s v="Krmivo a maškrty – Mačky"/>
    <s v="PawStyle"/>
    <n v="36"/>
    <n v="1"/>
    <s v="NULL"/>
    <s v=""/>
    <d v="2025-12-30T00:00:00"/>
    <n v="0"/>
    <n v="36"/>
    <x v="0"/>
    <x v="11"/>
    <x v="1"/>
  </r>
  <r>
    <x v="5812"/>
    <n v="4022345678908"/>
    <x v="55"/>
    <s v="Starostlivosť a hygiena – Psy"/>
    <s v="PawStyle"/>
    <n v="10"/>
    <n v="1"/>
    <s v="NULL"/>
    <s v=""/>
    <d v="2025-12-30T00:00:00"/>
    <n v="0"/>
    <n v="10"/>
    <x v="0"/>
    <x v="11"/>
    <x v="0"/>
  </r>
  <r>
    <x v="5813"/>
    <n v="4017890123450"/>
    <x v="16"/>
    <s v="Hračky – Psy"/>
    <s v="Dogissimo"/>
    <n v="7.6"/>
    <n v="1"/>
    <s v="NULL"/>
    <s v=""/>
    <d v="2025-12-30T00:00:00"/>
    <n v="0"/>
    <n v="7.6"/>
    <x v="0"/>
    <x v="11"/>
    <x v="0"/>
  </r>
  <r>
    <x v="5814"/>
    <n v="4056789012345"/>
    <x v="11"/>
    <s v="Krmivo a maškrty – Mačky"/>
    <s v="BellaMeow"/>
    <n v="2.4"/>
    <n v="2"/>
    <s v="NULL"/>
    <s v=""/>
    <d v="2025-12-30T00:00:00"/>
    <n v="0"/>
    <n v="4.8"/>
    <x v="0"/>
    <x v="11"/>
    <x v="1"/>
  </r>
  <r>
    <x v="5815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16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17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18"/>
    <n v="4040123456795"/>
    <x v="2"/>
    <s v="Starostlivosť a hygiena – Psy"/>
    <s v="Dogissimo"/>
    <n v="8.8000000000000007"/>
    <n v="1"/>
    <s v="NULL"/>
    <s v=""/>
    <d v="2025-12-31T00:00:00"/>
    <n v="0"/>
    <n v="8.8000000000000007"/>
    <x v="0"/>
    <x v="11"/>
    <x v="0"/>
  </r>
  <r>
    <x v="5819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20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21"/>
    <n v="4017890123450"/>
    <x v="16"/>
    <s v="Hračky – Psy"/>
    <s v="Dogissimo"/>
    <n v="7.6"/>
    <n v="1"/>
    <s v="NULL"/>
    <s v=""/>
    <d v="2025-12-31T00:00:00"/>
    <n v="0"/>
    <n v="7.6"/>
    <x v="0"/>
    <x v="11"/>
    <x v="0"/>
  </r>
  <r>
    <x v="5822"/>
    <n v="4056789012345"/>
    <x v="11"/>
    <s v="Krmivo a maškrty – Mačky"/>
    <s v="BellaMeow"/>
    <n v="2.4"/>
    <n v="2"/>
    <s v="NULL"/>
    <s v=""/>
    <d v="2025-12-31T00:00:00"/>
    <n v="0"/>
    <n v="4.8"/>
    <x v="0"/>
    <x v="11"/>
    <x v="1"/>
  </r>
  <r>
    <x v="5823"/>
    <n v="4022345678908"/>
    <x v="55"/>
    <s v="Starostlivosť a hygiena – Psy"/>
    <s v="PawStyle"/>
    <n v="10"/>
    <n v="1"/>
    <s v="NULL"/>
    <s v=""/>
    <d v="2025-12-31T00:00:00"/>
    <n v="0"/>
    <n v="10"/>
    <x v="0"/>
    <x v="11"/>
    <x v="0"/>
  </r>
  <r>
    <x v="5824"/>
    <n v="4028899001126"/>
    <x v="1"/>
    <s v="Krmivo a maškrty – Psy"/>
    <s v="Pup Republic"/>
    <n v="2.8"/>
    <n v="2"/>
    <s v="NULL"/>
    <s v=""/>
    <d v="2025-12-31T00:00:00"/>
    <n v="0"/>
    <n v="5.6"/>
    <x v="0"/>
    <x v="11"/>
    <x v="0"/>
  </r>
  <r>
    <x v="5825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26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27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28"/>
    <n v="4042233445567"/>
    <x v="57"/>
    <s v="Pelechy a nábytok – Mačky"/>
    <s v="CozyNest"/>
    <n v="51.64"/>
    <n v="1"/>
    <s v="NULL"/>
    <s v=""/>
    <d v="2025-12-31T00:00:00"/>
    <n v="0"/>
    <n v="51.64"/>
    <x v="0"/>
    <x v="11"/>
    <x v="1"/>
  </r>
  <r>
    <x v="5829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30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31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32"/>
    <n v="4040123456795"/>
    <x v="2"/>
    <s v="Starostlivosť a hygiena – Psy"/>
    <s v="Dogissimo"/>
    <n v="8.8000000000000007"/>
    <n v="1"/>
    <s v="4"/>
    <s v="Výhodná cena pred Silvestrem, beriem do zásoby."/>
    <d v="2025-12-31T00:00:00"/>
    <n v="0"/>
    <n v="8.8000000000000007"/>
    <x v="1"/>
    <x v="11"/>
    <x v="0"/>
  </r>
  <r>
    <x v="5833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34"/>
    <n v="4017890123450"/>
    <x v="16"/>
    <s v="Hračky – Psy"/>
    <s v="Dogissimo"/>
    <n v="7.6"/>
    <n v="1"/>
    <s v="NULL"/>
    <s v=""/>
    <d v="2025-12-31T00:00:00"/>
    <n v="0"/>
    <n v="7.6"/>
    <x v="0"/>
    <x v="11"/>
    <x v="0"/>
  </r>
  <r>
    <x v="5835"/>
    <n v="4056789012345"/>
    <x v="11"/>
    <s v="Krmivo a maškrty – Mačky"/>
    <s v="BellaMeow"/>
    <n v="2.4"/>
    <n v="3"/>
    <s v="NULL"/>
    <s v=""/>
    <d v="2025-12-31T00:00:00"/>
    <n v="0"/>
    <n v="7.1999999999999993"/>
    <x v="0"/>
    <x v="11"/>
    <x v="1"/>
  </r>
  <r>
    <x v="5836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37"/>
    <n v="4022345678908"/>
    <x v="55"/>
    <s v="Starostlivosť a hygiena – Psy"/>
    <s v="PawStyle"/>
    <n v="10"/>
    <n v="1"/>
    <s v="NULL"/>
    <s v=""/>
    <d v="2025-12-31T00:00:00"/>
    <n v="0"/>
    <n v="10"/>
    <x v="0"/>
    <x v="11"/>
    <x v="0"/>
  </r>
  <r>
    <x v="5838"/>
    <n v="4028899001126"/>
    <x v="1"/>
    <s v="Krmivo a maškrty – Psy"/>
    <s v="Pup Republic"/>
    <n v="2.8"/>
    <n v="2"/>
    <s v="NULL"/>
    <s v=""/>
    <d v="2025-12-31T00:00:00"/>
    <n v="0"/>
    <n v="5.6"/>
    <x v="0"/>
    <x v="11"/>
    <x v="0"/>
  </r>
  <r>
    <x v="5839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40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41"/>
    <n v="4042233445567"/>
    <x v="57"/>
    <s v="Pelechy a nábytok – Mačky"/>
    <s v="CozyNest"/>
    <n v="51.64"/>
    <n v="1"/>
    <s v="NULL"/>
    <s v=""/>
    <d v="2025-12-31T00:00:00"/>
    <n v="0"/>
    <n v="51.64"/>
    <x v="0"/>
    <x v="11"/>
    <x v="1"/>
  </r>
  <r>
    <x v="5842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43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44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45"/>
    <n v="4040123456795"/>
    <x v="2"/>
    <s v="Starostlivosť a hygiena – Psy"/>
    <s v="Dogissimo"/>
    <n v="8.8000000000000007"/>
    <n v="1"/>
    <s v="NULL"/>
    <s v=""/>
    <d v="2025-12-31T00:00:00"/>
    <n v="0"/>
    <n v="8.8000000000000007"/>
    <x v="0"/>
    <x v="11"/>
    <x v="0"/>
  </r>
  <r>
    <x v="5846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47"/>
    <n v="4017890123450"/>
    <x v="16"/>
    <s v="Hračky – Psy"/>
    <s v="Dogissimo"/>
    <n v="7.6"/>
    <n v="1"/>
    <s v="NULL"/>
    <s v=""/>
    <d v="2025-12-31T00:00:00"/>
    <n v="0"/>
    <n v="7.6"/>
    <x v="0"/>
    <x v="11"/>
    <x v="0"/>
  </r>
  <r>
    <x v="5848"/>
    <n v="4056789012345"/>
    <x v="11"/>
    <s v="Krmivo a maškrty – Mačky"/>
    <s v="BellaMeow"/>
    <n v="2.4"/>
    <n v="2"/>
    <s v="NULL"/>
    <s v=""/>
    <d v="2025-12-31T00:00:00"/>
    <n v="0"/>
    <n v="4.8"/>
    <x v="0"/>
    <x v="11"/>
    <x v="1"/>
  </r>
  <r>
    <x v="5849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50"/>
    <n v="4022345678908"/>
    <x v="55"/>
    <s v="Starostlivosť a hygiena – Psy"/>
    <s v="PawStyle"/>
    <n v="10"/>
    <n v="1"/>
    <s v="NULL"/>
    <s v=""/>
    <d v="2025-12-31T00:00:00"/>
    <n v="0"/>
    <n v="10"/>
    <x v="0"/>
    <x v="11"/>
    <x v="0"/>
  </r>
  <r>
    <x v="5851"/>
    <n v="4010123456783"/>
    <x v="6"/>
    <s v="Starostlivosť a hygiena – Mačky"/>
    <s v="BellaMeow"/>
    <n v="14"/>
    <n v="1"/>
    <s v="NULL"/>
    <s v=""/>
    <d v="2025-12-31T00:00:00"/>
    <n v="0"/>
    <n v="14"/>
    <x v="0"/>
    <x v="11"/>
    <x v="1"/>
  </r>
  <r>
    <x v="5852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53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54"/>
    <n v="4040123456795"/>
    <x v="2"/>
    <s v="Starostlivosť a hygiena – Psy"/>
    <s v="Dogissimo"/>
    <n v="8.8000000000000007"/>
    <n v="1"/>
    <s v="NULL"/>
    <s v=""/>
    <d v="2025-12-31T00:00:00"/>
    <n v="0"/>
    <n v="8.8000000000000007"/>
    <x v="0"/>
    <x v="11"/>
    <x v="0"/>
  </r>
  <r>
    <x v="5855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56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57"/>
    <n v="4056789012345"/>
    <x v="11"/>
    <s v="Krmivo a maškrty – Mačky"/>
    <s v="BellaMeow"/>
    <n v="2.4"/>
    <n v="2"/>
    <s v="NULL"/>
    <s v=""/>
    <d v="2025-12-31T00:00:00"/>
    <n v="0"/>
    <n v="4.8"/>
    <x v="0"/>
    <x v="11"/>
    <x v="1"/>
  </r>
  <r>
    <x v="5858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59"/>
    <n v="4022345678908"/>
    <x v="55"/>
    <s v="Starostlivosť a hygiena – Psy"/>
    <s v="PawStyle"/>
    <n v="10"/>
    <n v="1"/>
    <s v="NULL"/>
    <s v=""/>
    <d v="2025-12-31T00:00:00"/>
    <n v="0"/>
    <n v="10"/>
    <x v="0"/>
    <x v="11"/>
    <x v="0"/>
  </r>
  <r>
    <x v="5860"/>
    <n v="4017890123450"/>
    <x v="16"/>
    <s v="Hračky – Psy"/>
    <s v="Dogissimo"/>
    <n v="7.6"/>
    <n v="1"/>
    <s v="NULL"/>
    <s v=""/>
    <d v="2025-12-31T00:00:00"/>
    <n v="0"/>
    <n v="7.6"/>
    <x v="0"/>
    <x v="11"/>
    <x v="0"/>
  </r>
  <r>
    <x v="5861"/>
    <n v="4056789012345"/>
    <x v="11"/>
    <s v="Krmivo a maškrty – Mačky"/>
    <s v="BellaMeow"/>
    <n v="2.4"/>
    <n v="3"/>
    <s v="NULL"/>
    <s v=""/>
    <d v="2025-12-31T00:00:00"/>
    <n v="0"/>
    <n v="7.1999999999999993"/>
    <x v="0"/>
    <x v="11"/>
    <x v="1"/>
  </r>
  <r>
    <x v="5862"/>
    <n v="4067890123456"/>
    <x v="17"/>
    <s v="Krmivo a maškrty – Mačky"/>
    <s v="PawStyle"/>
    <n v="36"/>
    <n v="1"/>
    <s v="NULL"/>
    <s v=""/>
    <d v="2025-12-31T00:00:00"/>
    <n v="0"/>
    <n v="36"/>
    <x v="0"/>
    <x v="11"/>
    <x v="1"/>
  </r>
  <r>
    <x v="5863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64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65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66"/>
    <n v="4042233445567"/>
    <x v="57"/>
    <s v="Pelechy a nábytok – Mačky"/>
    <s v="CozyNest"/>
    <n v="51.64"/>
    <n v="1"/>
    <s v="NULL"/>
    <s v=""/>
    <d v="2025-12-31T00:00:00"/>
    <n v="0"/>
    <n v="51.64"/>
    <x v="0"/>
    <x v="11"/>
    <x v="1"/>
  </r>
  <r>
    <x v="5867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68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69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70"/>
    <n v="4040123456795"/>
    <x v="2"/>
    <s v="Starostlivosť a hygiena – Psy"/>
    <s v="Dogissimo"/>
    <n v="8.8000000000000007"/>
    <n v="1"/>
    <s v="NULL"/>
    <s v=""/>
    <d v="2025-12-31T00:00:00"/>
    <n v="0"/>
    <n v="8.8000000000000007"/>
    <x v="0"/>
    <x v="11"/>
    <x v="0"/>
  </r>
  <r>
    <x v="5871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72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73"/>
    <n v="4056789012345"/>
    <x v="11"/>
    <s v="Krmivo a maškrty – Mačky"/>
    <s v="BellaMeow"/>
    <n v="2.4"/>
    <n v="2"/>
    <s v="NULL"/>
    <s v=""/>
    <d v="2025-12-31T00:00:00"/>
    <n v="0"/>
    <n v="4.8"/>
    <x v="0"/>
    <x v="11"/>
    <x v="1"/>
  </r>
  <r>
    <x v="5874"/>
    <n v="8593456789012"/>
    <x v="4"/>
    <s v="Krmivo a maškrty – Mačky"/>
    <s v="Catissime"/>
    <n v="42"/>
    <n v="1"/>
    <s v="NULL"/>
    <s v=""/>
    <d v="2025-12-31T00:00:00"/>
    <n v="0"/>
    <n v="42"/>
    <x v="0"/>
    <x v="11"/>
    <x v="1"/>
  </r>
  <r>
    <x v="5875"/>
    <n v="4022345678908"/>
    <x v="55"/>
    <s v="Starostlivosť a hygiena – Psy"/>
    <s v="PawStyle"/>
    <n v="10"/>
    <n v="1"/>
    <s v="NULL"/>
    <s v=""/>
    <d v="2025-12-31T00:00:00"/>
    <n v="0"/>
    <n v="10"/>
    <x v="0"/>
    <x v="11"/>
    <x v="0"/>
  </r>
  <r>
    <x v="5876"/>
    <n v="4010123456783"/>
    <x v="6"/>
    <s v="Starostlivosť a hygiena – Mačky"/>
    <s v="BellaMeow"/>
    <n v="14"/>
    <n v="1"/>
    <s v="NULL"/>
    <s v=""/>
    <d v="2025-12-31T00:00:00"/>
    <n v="0"/>
    <n v="14"/>
    <x v="0"/>
    <x v="11"/>
    <x v="1"/>
  </r>
  <r>
    <x v="5877"/>
    <n v="4028899001126"/>
    <x v="1"/>
    <s v="Krmivo a maškrty – Psy"/>
    <s v="Pup Republic"/>
    <n v="2.8"/>
    <n v="2"/>
    <s v="NULL"/>
    <s v=""/>
    <d v="2025-12-31T00:00:00"/>
    <n v="0"/>
    <n v="5.6"/>
    <x v="0"/>
    <x v="11"/>
    <x v="0"/>
  </r>
  <r>
    <x v="5878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79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80"/>
    <n v="4042233445567"/>
    <x v="57"/>
    <s v="Pelechy a nábytok – Mačky"/>
    <s v="CozyNest"/>
    <n v="51.64"/>
    <n v="1"/>
    <s v="NULL"/>
    <s v=""/>
    <d v="2025-12-31T00:00:00"/>
    <n v="0"/>
    <n v="51.64"/>
    <x v="0"/>
    <x v="11"/>
    <x v="1"/>
  </r>
  <r>
    <x v="5881"/>
    <n v="4003344556679"/>
    <x v="19"/>
    <s v="Pelechy a nábytok – Psy"/>
    <s v="Canine Craft Industries"/>
    <n v="51.64"/>
    <n v="1"/>
    <s v="NULL"/>
    <s v=""/>
    <d v="2025-12-31T00:00:00"/>
    <n v="0"/>
    <n v="51.64"/>
    <x v="0"/>
    <x v="11"/>
    <x v="0"/>
  </r>
  <r>
    <x v="5882"/>
    <n v="4028899001126"/>
    <x v="1"/>
    <s v="Krmivo a maškrty – Psy"/>
    <s v="Pup Republic"/>
    <n v="2.8"/>
    <n v="3"/>
    <s v="NULL"/>
    <s v=""/>
    <d v="2025-12-31T00:00:00"/>
    <n v="0"/>
    <n v="8.3999999999999986"/>
    <x v="0"/>
    <x v="11"/>
    <x v="0"/>
  </r>
  <r>
    <x v="5883"/>
    <n v="4013456789017"/>
    <x v="0"/>
    <s v="Krmivo a maškrty – Psy"/>
    <s v="Snouty"/>
    <n v="6"/>
    <n v="1"/>
    <s v="NULL"/>
    <s v=""/>
    <d v="2025-12-31T00:00:00"/>
    <n v="0"/>
    <n v="6"/>
    <x v="0"/>
    <x v="11"/>
    <x v="0"/>
  </r>
  <r>
    <x v="5884"/>
    <n v="4040123456795"/>
    <x v="2"/>
    <s v="Starostlivosť a hygiena – Psy"/>
    <s v="Dogissimo"/>
    <n v="8.8000000000000007"/>
    <n v="1"/>
    <s v="NULL"/>
    <s v=""/>
    <d v="2025-12-31T00:00:00"/>
    <n v="0"/>
    <n v="8.8000000000000007"/>
    <x v="0"/>
    <x v="11"/>
    <x v="0"/>
  </r>
  <r>
    <x v="5885"/>
    <n v="4027788990013"/>
    <x v="9"/>
    <s v="Starostlivosť a hygiena – Psy"/>
    <s v="Dogissimo"/>
    <n v="8"/>
    <n v="1"/>
    <s v="NULL"/>
    <s v=""/>
    <d v="2025-12-31T00:00:00"/>
    <n v="0"/>
    <n v="8"/>
    <x v="0"/>
    <x v="11"/>
    <x v="0"/>
  </r>
  <r>
    <x v="5886"/>
    <n v="4017890123450"/>
    <x v="16"/>
    <s v="Hračky – Psy"/>
    <s v="Dogissimo"/>
    <n v="7.6"/>
    <n v="1"/>
    <s v="NULL"/>
    <s v=""/>
    <d v="2025-12-31T00:00:00"/>
    <n v="0"/>
    <n v="7.6"/>
    <x v="0"/>
    <x v="1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8">
  <r>
    <n v="10033"/>
    <n v="8599988776654"/>
    <x v="0"/>
    <s v="Pelechy a nábytok – Psy"/>
    <s v="Pup Republic"/>
    <n v="16.8"/>
    <n v="1"/>
    <s v="5"/>
    <s v="Perfektní pre horké dni, pes na nej spí celé odpoledne."/>
    <d v="2025-07-01T00:00:00"/>
    <n v="0"/>
    <n v="16.8"/>
    <n v="5"/>
    <d v="2025-07-01T00:00:00"/>
    <s v="pes"/>
  </r>
  <r>
    <n v="10034"/>
    <n v="8599988776654"/>
    <x v="0"/>
    <s v="Pelechy a nábytok – Psy"/>
    <s v="Pup Republic"/>
    <n v="16.8"/>
    <n v="2"/>
    <s v="NULL"/>
    <s v=""/>
    <d v="2025-07-01T00:00:00"/>
    <n v="0"/>
    <n v="33.6"/>
    <s v=""/>
    <d v="2025-07-01T00:00:00"/>
    <s v="pes"/>
  </r>
  <r>
    <n v="10035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36"/>
    <n v="8599988776654"/>
    <x v="0"/>
    <s v="Pelechy a nábytok – Psy"/>
    <s v="Pup Republic"/>
    <n v="16.8"/>
    <n v="3"/>
    <s v="5"/>
    <s v="Pes aj mačka ju milují, výborne chladí a ľahko sa čistí."/>
    <d v="2025-07-01T00:00:00"/>
    <n v="0"/>
    <n v="50.400000000000006"/>
    <n v="5"/>
    <d v="2025-07-01T00:00:00"/>
    <s v="pes"/>
  </r>
  <r>
    <n v="10037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38"/>
    <n v="4028899001126"/>
    <x v="1"/>
    <s v="Krmivo a maškrty – Psy"/>
    <s v="Pup Republic"/>
    <n v="2.8"/>
    <n v="3"/>
    <s v="NULL"/>
    <m/>
    <d v="2025-07-01T00:00:00"/>
    <n v="0"/>
    <n v="8.3999999999999986"/>
    <s v=""/>
    <d v="2025-07-01T00:00:00"/>
    <s v="pes"/>
  </r>
  <r>
    <n v="10038"/>
    <n v="4013456789017"/>
    <x v="2"/>
    <s v="Krmivo a maškrty – Psy"/>
    <s v="Snouty"/>
    <n v="6"/>
    <n v="1"/>
    <s v="NULL"/>
    <s v=""/>
    <d v="2025-07-01T00:00:00"/>
    <n v="0"/>
    <n v="6"/>
    <s v=""/>
    <d v="2025-07-01T00:00:00"/>
    <s v="pes"/>
  </r>
  <r>
    <n v="10039"/>
    <n v="8599988776654"/>
    <x v="0"/>
    <s v="Pelechy a nábytok – Psy"/>
    <s v="Pup Republic"/>
    <n v="16.8"/>
    <n v="1"/>
    <s v="5"/>
    <s v="Výborná kvalita, materiál odolný, pes sa ju hneď obľúbil."/>
    <d v="2025-07-01T00:00:00"/>
    <n v="0"/>
    <n v="16.8"/>
    <n v="5"/>
    <d v="2025-07-01T00:00:00"/>
    <s v="pes"/>
  </r>
  <r>
    <n v="10040"/>
    <n v="8599988776654"/>
    <x v="0"/>
    <s v="Pelechy a nábytok – Psy"/>
    <s v="Pup Republic"/>
    <n v="16.8"/>
    <n v="2"/>
    <s v="NULL"/>
    <s v=""/>
    <d v="2025-07-01T00:00:00"/>
    <n v="0"/>
    <n v="33.6"/>
    <s v=""/>
    <d v="2025-07-01T00:00:00"/>
    <s v="pes"/>
  </r>
  <r>
    <n v="10041"/>
    <n v="4010123456783"/>
    <x v="3"/>
    <s v="Starostlivosť a hygiena – Mačky"/>
    <s v="BellaMeow"/>
    <n v="14"/>
    <n v="1"/>
    <s v="NULL"/>
    <s v=""/>
    <d v="2025-07-01T00:00:00"/>
    <n v="0"/>
    <n v="14"/>
    <s v=""/>
    <d v="2025-07-01T00:00:00"/>
    <s v="mačka"/>
  </r>
  <r>
    <n v="10042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43"/>
    <n v="4028899001126"/>
    <x v="1"/>
    <s v="Krmivo a maškrty – Psy"/>
    <s v="Pup Republic"/>
    <n v="2.8"/>
    <n v="4"/>
    <s v="4"/>
    <s v="Kupuju pravidelne, pes vždy spokojen."/>
    <d v="2025-07-01T00:00:00"/>
    <n v="0"/>
    <n v="11.2"/>
    <n v="4"/>
    <d v="2025-07-01T00:00:00"/>
    <s v="pes"/>
  </r>
  <r>
    <n v="10044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45"/>
    <n v="4056789012345"/>
    <x v="4"/>
    <s v="Krmivo a maškrty – Mačky"/>
    <s v="BellaMeow"/>
    <n v="2.4"/>
    <n v="3"/>
    <s v="NULL"/>
    <s v=""/>
    <d v="2025-07-01T00:00:00"/>
    <n v="0"/>
    <n v="7.1999999999999993"/>
    <s v=""/>
    <d v="2025-07-01T00:00:00"/>
    <s v="mačka"/>
  </r>
  <r>
    <n v="10046"/>
    <n v="8599988776654"/>
    <x v="0"/>
    <s v="Pelechy a nábytok – Psy"/>
    <s v="Pup Republic"/>
    <n v="16.8"/>
    <n v="2"/>
    <s v="5"/>
    <s v="Funguje skvelo, náš retrívr je vďačný za každý chladivý dotyk."/>
    <d v="2025-07-01T00:00:00"/>
    <n v="0"/>
    <n v="33.6"/>
    <n v="5"/>
    <d v="2025-07-01T00:00:00"/>
    <s v="pes"/>
  </r>
  <r>
    <n v="10047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48"/>
    <n v="8599988776654"/>
    <x v="0"/>
    <s v="Pelechy a nábytok – Psy"/>
    <s v="Pup Republic"/>
    <n v="16.8"/>
    <n v="1"/>
    <s v="NULL"/>
    <s v=""/>
    <d v="2025-07-01T00:00:00"/>
    <n v="0"/>
    <n v="16.8"/>
    <s v=""/>
    <d v="2025-07-01T00:00:00"/>
    <s v="pes"/>
  </r>
  <r>
    <n v="10049"/>
    <n v="8599988776654"/>
    <x v="0"/>
    <s v="Pelechy a nábytok – Psy"/>
    <s v="Pup Republic"/>
    <n v="16.8"/>
    <n v="2"/>
    <s v="NULL"/>
    <s v=""/>
    <d v="2025-07-01T00:00:00"/>
    <n v="0"/>
    <n v="33.6"/>
    <s v=""/>
    <d v="2025-07-01T00:00:00"/>
    <s v="pes"/>
  </r>
  <r>
    <n v="10050"/>
    <n v="8599988776654"/>
    <x v="0"/>
    <s v="Pelechy a nábytok – Psy"/>
    <s v="Pup Republic"/>
    <n v="16.8"/>
    <n v="1"/>
    <s v="4"/>
    <s v="Príjemný materiál, nešmýka sa na podlaze."/>
    <d v="2025-07-01T00:00:00"/>
    <n v="0"/>
    <n v="16.8"/>
    <n v="4"/>
    <d v="2025-07-01T00:00:00"/>
    <s v="pes"/>
  </r>
  <r>
    <n v="10051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52"/>
    <n v="4027788990013"/>
    <x v="5"/>
    <s v="Starostlivosť a hygiena – Psy"/>
    <s v="Dogissimo"/>
    <n v="8"/>
    <n v="1"/>
    <s v="NULL"/>
    <s v=""/>
    <d v="2025-07-02T00:00:00"/>
    <n v="0"/>
    <n v="8"/>
    <s v=""/>
    <d v="2025-07-01T00:00:00"/>
    <s v="pes"/>
  </r>
  <r>
    <n v="10053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54"/>
    <n v="4013456789017"/>
    <x v="2"/>
    <s v="Krmivo a maškrty – Psy"/>
    <s v="Snouty"/>
    <n v="6"/>
    <n v="2"/>
    <s v="NULL"/>
    <s v=""/>
    <d v="2025-07-02T00:00:00"/>
    <n v="0"/>
    <n v="12"/>
    <s v=""/>
    <d v="2025-07-01T00:00:00"/>
    <s v="pes"/>
  </r>
  <r>
    <n v="10055"/>
    <n v="8599988776654"/>
    <x v="0"/>
    <s v="Pelechy a nábytok – Psy"/>
    <s v="Pup Republic"/>
    <n v="16.8"/>
    <n v="2"/>
    <s v="5"/>
    <s v="Zázrak! Môj pes už neleží v kúpeľni, ale len na tejto podložce."/>
    <d v="2025-07-02T00:00:00"/>
    <n v="0"/>
    <n v="33.6"/>
    <n v="5"/>
    <d v="2025-07-01T00:00:00"/>
    <s v="pes"/>
  </r>
  <r>
    <n v="10056"/>
    <n v="4061011223346"/>
    <x v="6"/>
    <s v="Oblečenie a doplnky – Psy"/>
    <s v="Tail Trend"/>
    <n v="19.600000000000001"/>
    <n v="1"/>
    <s v="NULL"/>
    <s v=""/>
    <d v="2025-07-02T00:00:00"/>
    <n v="0"/>
    <n v="19.600000000000001"/>
    <s v=""/>
    <d v="2025-07-01T00:00:00"/>
    <s v="pes"/>
  </r>
  <r>
    <n v="10057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58"/>
    <n v="4010123456783"/>
    <x v="3"/>
    <s v="Starostlivosť a hygiena – Mačky"/>
    <s v="BellaMeow"/>
    <n v="14"/>
    <n v="1"/>
    <s v="NULL"/>
    <s v=""/>
    <d v="2025-07-02T00:00:00"/>
    <n v="0"/>
    <n v="14"/>
    <s v=""/>
    <d v="2025-07-01T00:00:00"/>
    <s v="mačka"/>
  </r>
  <r>
    <n v="10059"/>
    <n v="8599988776654"/>
    <x v="0"/>
    <s v="Pelechy a nábytok – Psy"/>
    <s v="Pup Republic"/>
    <n v="16.8"/>
    <n v="1"/>
    <s v="5"/>
    <s v="Perfektní produkt, kúpim aj menší pre druhého psa."/>
    <d v="2025-07-02T00:00:00"/>
    <n v="0"/>
    <n v="16.8"/>
    <n v="5"/>
    <d v="2025-07-01T00:00:00"/>
    <s v="pes"/>
  </r>
  <r>
    <n v="10060"/>
    <n v="4028899001126"/>
    <x v="1"/>
    <s v="Krmivo a maškrty – Psy"/>
    <s v="Pup Republic"/>
    <n v="2.8"/>
    <n v="3"/>
    <s v="NULL"/>
    <s v=""/>
    <d v="2025-07-02T00:00:00"/>
    <n v="0"/>
    <n v="8.3999999999999986"/>
    <s v=""/>
    <d v="2025-07-01T00:00:00"/>
    <s v="pes"/>
  </r>
  <r>
    <n v="10061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62"/>
    <n v="8599988776654"/>
    <x v="0"/>
    <s v="Pelechy a nábytok – Psy"/>
    <s v="Pup Republic"/>
    <n v="16.8"/>
    <n v="2"/>
    <s v="4"/>
    <s v="Fajn pre letní cesty autem, ľahko sa složí."/>
    <d v="2025-07-02T00:00:00"/>
    <n v="0"/>
    <n v="33.6"/>
    <n v="4"/>
    <d v="2025-07-01T00:00:00"/>
    <s v="pes"/>
  </r>
  <r>
    <n v="10063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64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65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66"/>
    <n v="4021234567894"/>
    <x v="7"/>
    <s v="Starostlivosť a hygiena – Mačky"/>
    <s v="PawStyle"/>
    <n v="8"/>
    <n v="1"/>
    <s v="NULL"/>
    <s v=""/>
    <d v="2025-07-02T00:00:00"/>
    <n v="0"/>
    <n v="8"/>
    <s v=""/>
    <d v="2025-07-01T00:00:00"/>
    <s v="mačka"/>
  </r>
  <r>
    <n v="10067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68"/>
    <n v="4013456789017"/>
    <x v="2"/>
    <s v="Krmivo a maškrty – Psy"/>
    <s v="Snouty"/>
    <n v="6"/>
    <n v="1"/>
    <s v="NULL"/>
    <s v=""/>
    <d v="2025-07-02T00:00:00"/>
    <n v="0"/>
    <n v="6"/>
    <s v=""/>
    <d v="2025-07-01T00:00:00"/>
    <s v="pes"/>
  </r>
  <r>
    <n v="10069"/>
    <n v="8599988776654"/>
    <x v="0"/>
    <s v="Pelechy a nábytok – Psy"/>
    <s v="Pup Republic"/>
    <n v="16.8"/>
    <n v="1"/>
    <s v="5"/>
    <s v="Najlepšie nákup leta! Vydrží chladná aj po hodinách."/>
    <d v="2025-07-02T00:00:00"/>
    <n v="0"/>
    <n v="16.8"/>
    <n v="5"/>
    <d v="2025-07-01T00:00:00"/>
    <s v="pes"/>
  </r>
  <r>
    <n v="10070"/>
    <n v="4028899001126"/>
    <x v="1"/>
    <s v="Krmivo a maškrty – Psy"/>
    <s v="Pup Republic"/>
    <n v="2.8"/>
    <n v="2"/>
    <s v="NULL"/>
    <s v=""/>
    <d v="2025-07-02T00:00:00"/>
    <n v="0"/>
    <n v="5.6"/>
    <s v=""/>
    <d v="2025-07-01T00:00:00"/>
    <s v="pes"/>
  </r>
  <r>
    <n v="10071"/>
    <n v="8599988776654"/>
    <x v="0"/>
    <s v="Pelechy a nábytok – Psy"/>
    <s v="Pup Republic"/>
    <n v="16.8"/>
    <n v="1"/>
    <s v="NULL"/>
    <s v=""/>
    <d v="2025-07-02T00:00:00"/>
    <n v="0"/>
    <n v="16.8"/>
    <s v=""/>
    <d v="2025-07-01T00:00:00"/>
    <s v="pes"/>
  </r>
  <r>
    <n v="10072"/>
    <n v="4017890123450"/>
    <x v="8"/>
    <s v="Hračky – Psy"/>
    <s v="Dogissimo"/>
    <n v="7.6"/>
    <n v="1"/>
    <s v="NULL"/>
    <s v=""/>
    <d v="2025-07-03T00:00:00"/>
    <n v="0"/>
    <n v="7.6"/>
    <s v=""/>
    <d v="2025-07-01T00:00:00"/>
    <s v="pes"/>
  </r>
  <r>
    <n v="10073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74"/>
    <n v="4010123456783"/>
    <x v="3"/>
    <s v="Starostlivosť a hygiena – Mačky"/>
    <s v="BellaMeow"/>
    <n v="14"/>
    <n v="2"/>
    <s v="NULL"/>
    <s v=""/>
    <d v="2025-07-03T00:00:00"/>
    <n v="0"/>
    <n v="28"/>
    <s v=""/>
    <d v="2025-07-01T00:00:00"/>
    <s v="mačka"/>
  </r>
  <r>
    <n v="10075"/>
    <n v="8599988776654"/>
    <x v="0"/>
    <s v="Pelechy a nábytok – Psy"/>
    <s v="Pup Republic"/>
    <n v="16.8"/>
    <n v="2"/>
    <s v="NULL"/>
    <s v=""/>
    <d v="2025-07-03T00:00:00"/>
    <n v="0"/>
    <n v="33.6"/>
    <s v=""/>
    <d v="2025-07-01T00:00:00"/>
    <s v="pes"/>
  </r>
  <r>
    <n v="10076"/>
    <n v="4063456789014"/>
    <x v="9"/>
    <s v="Krmivo a maškrty – Psy"/>
    <s v="Pupco"/>
    <n v="36"/>
    <n v="1"/>
    <s v="NULL"/>
    <s v=""/>
    <d v="2025-07-03T00:00:00"/>
    <n v="0"/>
    <n v="36"/>
    <s v=""/>
    <d v="2025-07-01T00:00:00"/>
    <s v="pes"/>
  </r>
  <r>
    <n v="10077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78"/>
    <n v="4056789012345"/>
    <x v="4"/>
    <s v="Krmivo a maškrty – Mačky"/>
    <s v="BellaMeow"/>
    <n v="2.4"/>
    <n v="3"/>
    <s v="NULL"/>
    <s v=""/>
    <d v="2025-07-03T00:00:00"/>
    <n v="0"/>
    <n v="7.1999999999999993"/>
    <s v=""/>
    <d v="2025-07-01T00:00:00"/>
    <s v="mačka"/>
  </r>
  <r>
    <n v="10079"/>
    <n v="8599988776654"/>
    <x v="0"/>
    <s v="Pelechy a nábytok – Psy"/>
    <s v="Pup Republic"/>
    <n v="16.8"/>
    <n v="1"/>
    <s v="4"/>
    <s v="Dobre funguje, len trochu šmýka sa na dlažbe."/>
    <d v="2025-07-03T00:00:00"/>
    <n v="0"/>
    <n v="16.8"/>
    <n v="4"/>
    <d v="2025-07-01T00:00:00"/>
    <s v="pes"/>
  </r>
  <r>
    <n v="10080"/>
    <n v="4028899001126"/>
    <x v="1"/>
    <s v="Krmivo a maškrty – Psy"/>
    <s v="Pup Republic"/>
    <n v="2.8"/>
    <n v="3"/>
    <s v="NULL"/>
    <s v=""/>
    <d v="2025-07-03T00:00:00"/>
    <n v="0"/>
    <n v="8.3999999999999986"/>
    <s v=""/>
    <d v="2025-07-01T00:00:00"/>
    <s v="pes"/>
  </r>
  <r>
    <n v="10081"/>
    <n v="8599988776654"/>
    <x v="0"/>
    <s v="Pelechy a nábytok – Psy"/>
    <s v="Pup Republic"/>
    <n v="16.8"/>
    <n v="2"/>
    <s v="NULL"/>
    <s v=""/>
    <d v="2025-07-03T00:00:00"/>
    <n v="0"/>
    <n v="33.6"/>
    <s v=""/>
    <d v="2025-07-01T00:00:00"/>
    <s v="pes"/>
  </r>
  <r>
    <n v="10082"/>
    <n v="8599988776654"/>
    <x v="0"/>
    <s v="Pelechy a nábytok – Psy"/>
    <s v="Pup Republic"/>
    <n v="16.8"/>
    <n v="1"/>
    <s v="5"/>
    <s v="Pes sa ju okamžite obľúbil, ideálne aj do auta."/>
    <d v="2025-07-03T00:00:00"/>
    <n v="0"/>
    <n v="16.8"/>
    <n v="5"/>
    <d v="2025-07-01T00:00:00"/>
    <s v="pes"/>
  </r>
  <r>
    <n v="10083"/>
    <n v="4013456789017"/>
    <x v="2"/>
    <s v="Krmivo a maškrty – Psy"/>
    <s v="Snouty"/>
    <n v="6"/>
    <n v="1"/>
    <s v="NULL"/>
    <s v=""/>
    <d v="2025-07-03T00:00:00"/>
    <n v="0"/>
    <n v="6"/>
    <s v=""/>
    <d v="2025-07-01T00:00:00"/>
    <s v="pes"/>
  </r>
  <r>
    <n v="10084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85"/>
    <n v="4028899001126"/>
    <x v="1"/>
    <s v="Krmivo a maškrty – Psy"/>
    <s v="Pup Republic"/>
    <n v="2.8"/>
    <n v="4"/>
    <s v="NULL"/>
    <s v=""/>
    <d v="2025-07-03T00:00:00"/>
    <n v="0"/>
    <n v="11.2"/>
    <s v=""/>
    <d v="2025-07-01T00:00:00"/>
    <s v="pes"/>
  </r>
  <r>
    <n v="10086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87"/>
    <n v="4010123456783"/>
    <x v="3"/>
    <s v="Starostlivosť a hygiena – Mačky"/>
    <s v="BellaMeow"/>
    <n v="14"/>
    <n v="1"/>
    <s v="NULL"/>
    <s v=""/>
    <d v="2025-07-03T00:00:00"/>
    <n v="0"/>
    <n v="14"/>
    <s v=""/>
    <d v="2025-07-01T00:00:00"/>
    <s v="mačka"/>
  </r>
  <r>
    <n v="10088"/>
    <n v="8599988776654"/>
    <x v="0"/>
    <s v="Pelechy a nábytok – Psy"/>
    <s v="Pup Republic"/>
    <n v="16.8"/>
    <n v="2"/>
    <s v="5"/>
    <s v="Skvelá vec, koupilaj sme hneď druhou pre chatu."/>
    <d v="2025-07-03T00:00:00"/>
    <n v="0"/>
    <n v="33.6"/>
    <n v="5"/>
    <d v="2025-07-01T00:00:00"/>
    <s v="pes"/>
  </r>
  <r>
    <n v="10089"/>
    <n v="4056789012345"/>
    <x v="4"/>
    <s v="Krmivo a maškrty – Mačky"/>
    <s v="BellaMeow"/>
    <n v="2.4"/>
    <n v="2"/>
    <s v="NULL"/>
    <s v=""/>
    <d v="2025-07-03T00:00:00"/>
    <n v="0"/>
    <n v="4.8"/>
    <s v=""/>
    <d v="2025-07-01T00:00:00"/>
    <s v="mačka"/>
  </r>
  <r>
    <n v="10090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91"/>
    <n v="4021234567894"/>
    <x v="7"/>
    <s v="Starostlivosť a hygiena – Mačky"/>
    <s v="PawStyle"/>
    <n v="8"/>
    <n v="1"/>
    <s v="NULL"/>
    <s v=""/>
    <d v="2025-07-03T00:00:00"/>
    <n v="0"/>
    <n v="8"/>
    <s v=""/>
    <d v="2025-07-01T00:00:00"/>
    <s v="mačka"/>
  </r>
  <r>
    <n v="10092"/>
    <n v="8599988776654"/>
    <x v="0"/>
    <s v="Pelechy a nábytok – Psy"/>
    <s v="Pup Republic"/>
    <n v="16.8"/>
    <n v="1"/>
    <s v="NULL"/>
    <s v=""/>
    <d v="2025-07-03T00:00:00"/>
    <n v="0"/>
    <n v="16.8"/>
    <s v=""/>
    <d v="2025-07-01T00:00:00"/>
    <s v="pes"/>
  </r>
  <r>
    <n v="10093"/>
    <n v="4063456789014"/>
    <x v="9"/>
    <s v="Krmivo a maškrty – Psy"/>
    <s v="Pupco"/>
    <n v="36"/>
    <n v="1"/>
    <s v="NULL"/>
    <s v=""/>
    <d v="2025-07-03T00:00:00"/>
    <n v="0"/>
    <n v="36"/>
    <s v=""/>
    <d v="2025-07-01T00:00:00"/>
    <s v="pes"/>
  </r>
  <r>
    <n v="10094"/>
    <n v="8599988776654"/>
    <x v="0"/>
    <s v="Pelechy a nábytok – Psy"/>
    <s v="Pup Republic"/>
    <n v="16.8"/>
    <n v="2"/>
    <s v="4"/>
    <s v="Príjemná na dotyk, pomáha aj starším psom."/>
    <d v="2025-07-04T00:00:00"/>
    <n v="0"/>
    <n v="33.6"/>
    <n v="4"/>
    <d v="2025-07-01T00:00:00"/>
    <s v="pes"/>
  </r>
  <r>
    <n v="10095"/>
    <n v="4017890123450"/>
    <x v="8"/>
    <s v="Hračky – Psy"/>
    <s v="Dogissimo"/>
    <n v="7.6"/>
    <n v="1"/>
    <s v="NULL"/>
    <s v=""/>
    <d v="2025-07-04T00:00:00"/>
    <n v="0"/>
    <n v="7.6"/>
    <s v=""/>
    <d v="2025-07-01T00:00:00"/>
    <s v="pes"/>
  </r>
  <r>
    <n v="10096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097"/>
    <n v="4013456789017"/>
    <x v="2"/>
    <s v="Krmivo a maškrty – Psy"/>
    <s v="Snouty"/>
    <n v="6"/>
    <n v="2"/>
    <s v="NULL"/>
    <s v=""/>
    <d v="2025-07-04T00:00:00"/>
    <n v="0"/>
    <n v="12"/>
    <s v=""/>
    <d v="2025-07-01T00:00:00"/>
    <s v="pes"/>
  </r>
  <r>
    <n v="10098"/>
    <n v="8599988776654"/>
    <x v="0"/>
    <s v="Pelechy a nábytok – Psy"/>
    <s v="Pup Republic"/>
    <n v="16.8"/>
    <n v="1"/>
    <s v="5"/>
    <s v="Naše fenka na nej leží celý deň, chladí okamžite."/>
    <d v="2025-07-04T00:00:00"/>
    <n v="0"/>
    <n v="16.8"/>
    <n v="5"/>
    <d v="2025-07-01T00:00:00"/>
    <s v="pes"/>
  </r>
  <r>
    <n v="10099"/>
    <n v="4028899001126"/>
    <x v="1"/>
    <s v="Krmivo a maškrty – Psy"/>
    <s v="Pup Republic"/>
    <n v="2.8"/>
    <n v="3"/>
    <s v="NULL"/>
    <s v=""/>
    <d v="2025-07-04T00:00:00"/>
    <n v="0"/>
    <n v="8.3999999999999986"/>
    <s v=""/>
    <d v="2025-07-01T00:00:00"/>
    <s v="pes"/>
  </r>
  <r>
    <n v="10100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01"/>
    <n v="4056789012345"/>
    <x v="4"/>
    <s v="Krmivo a maškrty – Mačky"/>
    <s v="BellaMeow"/>
    <n v="2.4"/>
    <n v="2"/>
    <s v="NULL"/>
    <s v=""/>
    <d v="2025-07-04T00:00:00"/>
    <n v="0"/>
    <n v="4.8"/>
    <s v=""/>
    <d v="2025-07-01T00:00:00"/>
    <s v="mačka"/>
  </r>
  <r>
    <n v="10102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03"/>
    <n v="4010123456783"/>
    <x v="3"/>
    <s v="Starostlivosť a hygiena – Mačky"/>
    <s v="BellaMeow"/>
    <n v="14"/>
    <n v="1"/>
    <s v="NULL"/>
    <s v=""/>
    <d v="2025-07-04T00:00:00"/>
    <n v="0"/>
    <n v="14"/>
    <s v=""/>
    <d v="2025-07-01T00:00:00"/>
    <s v="mačka"/>
  </r>
  <r>
    <n v="10104"/>
    <n v="8599988776654"/>
    <x v="0"/>
    <s v="Pelechy a nábytok – Psy"/>
    <s v="Pup Republic"/>
    <n v="16.8"/>
    <n v="2"/>
    <s v="NULL"/>
    <s v=""/>
    <d v="2025-07-04T00:00:00"/>
    <n v="0"/>
    <n v="33.6"/>
    <s v=""/>
    <d v="2025-07-01T00:00:00"/>
    <s v="pes"/>
  </r>
  <r>
    <n v="10105"/>
    <n v="4026677889902"/>
    <x v="10"/>
    <s v="Misky a kŕmne doplnky – Ostatné"/>
    <s v="Pawsitive Gear"/>
    <n v="7.6"/>
    <n v="1"/>
    <s v="NULL"/>
    <s v=""/>
    <d v="2025-07-04T00:00:00"/>
    <n v="0"/>
    <n v="7.6"/>
    <s v=""/>
    <d v="2025-07-01T00:00:00"/>
    <s v="iné"/>
  </r>
  <r>
    <n v="10106"/>
    <n v="8599988776654"/>
    <x v="0"/>
    <s v="Pelechy a nábytok – Psy"/>
    <s v="Pup Republic"/>
    <n v="16.8"/>
    <n v="1"/>
    <s v="5"/>
    <s v="Najlepšie pomocník do letních veder. Odporúčam každému!"/>
    <d v="2025-07-04T00:00:00"/>
    <n v="0"/>
    <n v="16.8"/>
    <n v="5"/>
    <d v="2025-07-01T00:00:00"/>
    <s v="pes"/>
  </r>
  <r>
    <n v="10107"/>
    <n v="4028899001126"/>
    <x v="1"/>
    <s v="Krmivo a maškrty – Psy"/>
    <s v="Pup Republic"/>
    <n v="2.8"/>
    <n v="4"/>
    <s v="NULL"/>
    <s v=""/>
    <d v="2025-07-04T00:00:00"/>
    <n v="0"/>
    <n v="11.2"/>
    <s v=""/>
    <d v="2025-07-01T00:00:00"/>
    <s v="pes"/>
  </r>
  <r>
    <n v="10108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09"/>
    <n v="4013456789017"/>
    <x v="2"/>
    <s v="Krmivo a maškrty – Psy"/>
    <s v="Snouty"/>
    <n v="6"/>
    <n v="2"/>
    <s v="NULL"/>
    <s v=""/>
    <d v="2025-07-04T00:00:00"/>
    <n v="0"/>
    <n v="12"/>
    <s v=""/>
    <d v="2025-07-01T00:00:00"/>
    <s v="pes"/>
  </r>
  <r>
    <n v="10110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11"/>
    <n v="4061011223346"/>
    <x v="6"/>
    <s v="Oblečenie a doplnky – Psy"/>
    <s v="Tail Trend"/>
    <n v="19.600000000000001"/>
    <n v="1"/>
    <s v="NULL"/>
    <s v=""/>
    <d v="2025-07-04T00:00:00"/>
    <n v="0"/>
    <n v="19.600000000000001"/>
    <s v=""/>
    <d v="2025-07-01T00:00:00"/>
    <s v="pes"/>
  </r>
  <r>
    <n v="10112"/>
    <n v="8599988776654"/>
    <x v="0"/>
    <s v="Pelechy a nábytok – Psy"/>
    <s v="Pup Republic"/>
    <n v="16.8"/>
    <n v="1"/>
    <s v="4"/>
    <s v="Príjemne mäkká a lehká, ľahko sa čistí."/>
    <d v="2025-07-04T00:00:00"/>
    <n v="0"/>
    <n v="16.8"/>
    <n v="4"/>
    <d v="2025-07-01T00:00:00"/>
    <s v="pes"/>
  </r>
  <r>
    <n v="10113"/>
    <n v="4010123456783"/>
    <x v="3"/>
    <s v="Starostlivosť a hygiena – Mačky"/>
    <s v="BellaMeow"/>
    <n v="14"/>
    <n v="1"/>
    <s v="NULL"/>
    <s v=""/>
    <d v="2025-07-04T00:00:00"/>
    <n v="0"/>
    <n v="14"/>
    <s v=""/>
    <d v="2025-07-01T00:00:00"/>
    <s v="mačka"/>
  </r>
  <r>
    <n v="10114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15"/>
    <n v="4056789012345"/>
    <x v="4"/>
    <s v="Krmivo a maškrty – Mačky"/>
    <s v="BellaMeow"/>
    <n v="2.4"/>
    <n v="3"/>
    <s v="NULL"/>
    <s v=""/>
    <d v="2025-07-04T00:00:00"/>
    <n v="0"/>
    <n v="7.1999999999999993"/>
    <s v=""/>
    <d v="2025-07-01T00:00:00"/>
    <s v="mačka"/>
  </r>
  <r>
    <n v="10116"/>
    <n v="8599988776654"/>
    <x v="0"/>
    <s v="Pelechy a nábytok – Psy"/>
    <s v="Pup Republic"/>
    <n v="16.8"/>
    <n v="2"/>
    <s v="NULL"/>
    <s v=""/>
    <d v="2025-07-04T00:00:00"/>
    <n v="0"/>
    <n v="33.6"/>
    <s v=""/>
    <d v="2025-07-01T00:00:00"/>
    <s v="pes"/>
  </r>
  <r>
    <n v="10117"/>
    <n v="4027788990013"/>
    <x v="5"/>
    <s v="Starostlivosť a hygiena – Psy"/>
    <s v="Dogissimo"/>
    <n v="8"/>
    <n v="1"/>
    <s v="NULL"/>
    <s v=""/>
    <d v="2025-07-04T00:00:00"/>
    <n v="0"/>
    <n v="8"/>
    <s v=""/>
    <d v="2025-07-01T00:00:00"/>
    <s v="pes"/>
  </r>
  <r>
    <n v="10118"/>
    <n v="8599988776654"/>
    <x v="0"/>
    <s v="Pelechy a nábytok – Psy"/>
    <s v="Pup Republic"/>
    <n v="16.8"/>
    <n v="1"/>
    <s v="5"/>
    <s v="Pes sa konečne prestal váľať u ventilátore. Super!"/>
    <d v="2025-07-04T00:00:00"/>
    <n v="0"/>
    <n v="16.8"/>
    <n v="5"/>
    <d v="2025-07-01T00:00:00"/>
    <s v="pes"/>
  </r>
  <r>
    <n v="10119"/>
    <n v="4017890123450"/>
    <x v="8"/>
    <s v="Hračky – Psy"/>
    <s v="Dogissimo"/>
    <n v="7.6"/>
    <n v="1"/>
    <s v="NULL"/>
    <s v=""/>
    <d v="2025-07-04T00:00:00"/>
    <n v="0"/>
    <n v="7.6"/>
    <s v=""/>
    <d v="2025-07-01T00:00:00"/>
    <s v="pes"/>
  </r>
  <r>
    <n v="10120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21"/>
    <n v="4013456789017"/>
    <x v="2"/>
    <s v="Krmivo a maškrty – Psy"/>
    <s v="Snouty"/>
    <n v="6"/>
    <n v="1"/>
    <s v="NULL"/>
    <s v=""/>
    <d v="2025-07-04T00:00:00"/>
    <n v="0"/>
    <n v="6"/>
    <s v=""/>
    <d v="2025-07-01T00:00:00"/>
    <s v="pes"/>
  </r>
  <r>
    <n v="10122"/>
    <n v="8599988776654"/>
    <x v="0"/>
    <s v="Pelechy a nábytok – Psy"/>
    <s v="Pup Republic"/>
    <n v="16.8"/>
    <n v="2"/>
    <s v="5"/>
    <s v="Díky tejto podložce máme klidného psa aj v tropických dnech."/>
    <d v="2025-07-04T00:00:00"/>
    <n v="0"/>
    <n v="33.6"/>
    <n v="5"/>
    <d v="2025-07-01T00:00:00"/>
    <s v="pes"/>
  </r>
  <r>
    <n v="10123"/>
    <n v="4028899001126"/>
    <x v="1"/>
    <s v="Krmivo a maškrty – Psy"/>
    <s v="Pup Republic"/>
    <n v="2.8"/>
    <n v="3"/>
    <s v="NULL"/>
    <s v=""/>
    <d v="2025-07-04T00:00:00"/>
    <n v="0"/>
    <n v="8.3999999999999986"/>
    <s v=""/>
    <d v="2025-07-01T00:00:00"/>
    <s v="pes"/>
  </r>
  <r>
    <n v="10124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25"/>
    <n v="4063456789014"/>
    <x v="9"/>
    <s v="Krmivo a maškrty – Psy"/>
    <s v="Pupco"/>
    <n v="36"/>
    <n v="1"/>
    <s v="NULL"/>
    <s v=""/>
    <d v="2025-07-04T00:00:00"/>
    <n v="0"/>
    <n v="36"/>
    <s v=""/>
    <d v="2025-07-01T00:00:00"/>
    <s v="pes"/>
  </r>
  <r>
    <n v="10126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27"/>
    <n v="4021234567894"/>
    <x v="7"/>
    <s v="Starostlivosť a hygiena – Mačky"/>
    <s v="PawStyle"/>
    <n v="8"/>
    <n v="1"/>
    <s v="NULL"/>
    <s v=""/>
    <d v="2025-07-04T00:00:00"/>
    <n v="0"/>
    <n v="8"/>
    <s v=""/>
    <d v="2025-07-01T00:00:00"/>
    <s v="mačka"/>
  </r>
  <r>
    <n v="10128"/>
    <n v="8599988776654"/>
    <x v="0"/>
    <s v="Pelechy a nábytok – Psy"/>
    <s v="Pup Republic"/>
    <n v="16.8"/>
    <n v="1"/>
    <s v="NULL"/>
    <s v=""/>
    <d v="2025-07-04T00:00:00"/>
    <n v="0"/>
    <n v="16.8"/>
    <s v=""/>
    <d v="2025-07-01T00:00:00"/>
    <s v="pes"/>
  </r>
  <r>
    <n v="10129"/>
    <n v="4010123456783"/>
    <x v="3"/>
    <s v="Starostlivosť a hygiena – Mačky"/>
    <s v="BellaMeow"/>
    <n v="14"/>
    <n v="1"/>
    <s v="NULL"/>
    <s v=""/>
    <d v="2025-07-04T00:00:00"/>
    <n v="0"/>
    <n v="14"/>
    <s v=""/>
    <d v="2025-07-01T00:00:00"/>
    <s v="mačka"/>
  </r>
  <r>
    <n v="10130"/>
    <n v="8599988776654"/>
    <x v="0"/>
    <s v="Pelechy a nábytok – Psy"/>
    <s v="Pup Republic"/>
    <n v="16.8"/>
    <n v="2"/>
    <s v="NULL"/>
    <s v=""/>
    <d v="2025-07-04T00:00:00"/>
    <n v="0"/>
    <n v="33.6"/>
    <s v=""/>
    <d v="2025-07-01T00:00:00"/>
    <s v="pes"/>
  </r>
  <r>
    <n v="10131"/>
    <n v="4013456789017"/>
    <x v="2"/>
    <s v="Krmivo a maškrty – Psy"/>
    <s v="Snouty"/>
    <n v="6"/>
    <n v="1"/>
    <s v="NULL"/>
    <s v=""/>
    <d v="2025-07-04T00:00:00"/>
    <n v="0"/>
    <n v="6"/>
    <s v=""/>
    <d v="2025-07-01T00:00:00"/>
    <s v="pes"/>
  </r>
  <r>
    <n v="10132"/>
    <n v="8599988776654"/>
    <x v="0"/>
    <s v="Pelechy a nábytok – Psy"/>
    <s v="Pup Republic"/>
    <n v="16.8"/>
    <n v="1"/>
    <s v="5"/>
    <s v="Pes už nechce spát nikde jinde, naozaj chladí."/>
    <d v="2025-07-05T00:00:00"/>
    <n v="0"/>
    <n v="16.8"/>
    <n v="5"/>
    <d v="2025-07-01T00:00:00"/>
    <s v="pes"/>
  </r>
  <r>
    <n v="10133"/>
    <n v="4028899001126"/>
    <x v="1"/>
    <s v="Krmivo a maškrty – Psy"/>
    <s v="Pup Republic"/>
    <n v="2.8"/>
    <n v="3"/>
    <s v="NULL"/>
    <s v=""/>
    <d v="2025-07-05T00:00:00"/>
    <n v="0"/>
    <n v="8.3999999999999986"/>
    <s v=""/>
    <d v="2025-07-01T00:00:00"/>
    <s v="pes"/>
  </r>
  <r>
    <n v="10134"/>
    <n v="8599988776654"/>
    <x v="0"/>
    <s v="Pelechy a nábytok – Psy"/>
    <s v="Pup Republic"/>
    <n v="16.8"/>
    <n v="1"/>
    <s v="NULL"/>
    <s v=""/>
    <d v="2025-07-05T00:00:00"/>
    <n v="0"/>
    <n v="16.8"/>
    <s v=""/>
    <d v="2025-07-01T00:00:00"/>
    <s v="pes"/>
  </r>
  <r>
    <n v="10135"/>
    <n v="4013456789017"/>
    <x v="2"/>
    <s v="Krmivo a maškrty – Psy"/>
    <s v="Snouty"/>
    <n v="6"/>
    <n v="1"/>
    <s v="NULL"/>
    <s v=""/>
    <d v="2025-07-05T00:00:00"/>
    <n v="0"/>
    <n v="6"/>
    <s v=""/>
    <d v="2025-07-01T00:00:00"/>
    <s v="pes"/>
  </r>
  <r>
    <n v="10136"/>
    <n v="8599988776654"/>
    <x v="0"/>
    <s v="Pelechy a nábytok – Psy"/>
    <s v="Pup Republic"/>
    <n v="16.8"/>
    <n v="2"/>
    <s v="NULL"/>
    <s v=""/>
    <d v="2025-07-05T00:00:00"/>
    <n v="0"/>
    <n v="33.6"/>
    <s v=""/>
    <d v="2025-07-01T00:00:00"/>
    <s v="pes"/>
  </r>
  <r>
    <n v="10137"/>
    <n v="4056789012345"/>
    <x v="4"/>
    <s v="Krmivo a maškrty – Mačky"/>
    <s v="BellaMeow"/>
    <n v="2.4"/>
    <n v="3"/>
    <s v="NULL"/>
    <s v=""/>
    <d v="2025-07-05T00:00:00"/>
    <n v="0"/>
    <n v="7.1999999999999993"/>
    <s v=""/>
    <d v="2025-07-01T00:00:00"/>
    <s v="mačka"/>
  </r>
  <r>
    <n v="10138"/>
    <n v="8599988776654"/>
    <x v="0"/>
    <s v="Pelechy a nábytok – Psy"/>
    <s v="Pup Republic"/>
    <n v="16.8"/>
    <n v="1"/>
    <s v="5"/>
    <s v="Skvelý produkt, pes sa na nej ochladí počas chvíľky."/>
    <d v="2025-07-05T00:00:00"/>
    <n v="0"/>
    <n v="16.8"/>
    <n v="5"/>
    <d v="2025-07-01T00:00:00"/>
    <s v="pes"/>
  </r>
  <r>
    <n v="10139"/>
    <n v="4021234567894"/>
    <x v="7"/>
    <s v="Starostlivosť a hygiena – Mačky"/>
    <s v="PawStyle"/>
    <n v="8"/>
    <n v="1"/>
    <s v="NULL"/>
    <s v=""/>
    <d v="2025-07-05T00:00:00"/>
    <n v="0"/>
    <n v="8"/>
    <s v=""/>
    <d v="2025-07-01T00:00:00"/>
    <s v="mačka"/>
  </r>
  <r>
    <n v="10140"/>
    <n v="8599988776654"/>
    <x v="0"/>
    <s v="Pelechy a nábytok – Psy"/>
    <s v="Pup Republic"/>
    <n v="16.8"/>
    <n v="1"/>
    <s v="NULL"/>
    <s v=""/>
    <d v="2025-07-05T00:00:00"/>
    <n v="0"/>
    <n v="16.8"/>
    <s v=""/>
    <d v="2025-07-01T00:00:00"/>
    <s v="pes"/>
  </r>
  <r>
    <n v="10141"/>
    <n v="4063456789014"/>
    <x v="9"/>
    <s v="Krmivo a maškrty – Psy"/>
    <s v="Pupco"/>
    <n v="36"/>
    <n v="1"/>
    <s v="NULL"/>
    <s v=""/>
    <d v="2025-07-05T00:00:00"/>
    <n v="0"/>
    <n v="36"/>
    <s v=""/>
    <d v="2025-07-01T00:00:00"/>
    <s v="pes"/>
  </r>
  <r>
    <n v="10142"/>
    <n v="8599988776654"/>
    <x v="0"/>
    <s v="Pelechy a nábytok – Psy"/>
    <s v="Pup Republic"/>
    <n v="16.8"/>
    <n v="2"/>
    <s v="4"/>
    <s v="Používáme aj venku na terase, drží teplotu."/>
    <d v="2025-07-05T00:00:00"/>
    <n v="0"/>
    <n v="33.6"/>
    <n v="4"/>
    <d v="2025-07-01T00:00:00"/>
    <s v="pes"/>
  </r>
  <r>
    <n v="10143"/>
    <n v="4028899001126"/>
    <x v="1"/>
    <s v="Krmivo a maškrty – Psy"/>
    <s v="Pup Republic"/>
    <n v="2.8"/>
    <n v="4"/>
    <s v="NULL"/>
    <s v=""/>
    <d v="2025-07-05T00:00:00"/>
    <n v="0"/>
    <n v="11.2"/>
    <s v=""/>
    <d v="2025-07-01T00:00:00"/>
    <s v="pes"/>
  </r>
  <r>
    <n v="10144"/>
    <n v="8599988776654"/>
    <x v="0"/>
    <s v="Pelechy a nábytok – Psy"/>
    <s v="Pup Republic"/>
    <n v="16.8"/>
    <n v="1"/>
    <s v="NULL"/>
    <s v=""/>
    <d v="2025-07-05T00:00:00"/>
    <n v="0"/>
    <n v="16.8"/>
    <s v=""/>
    <d v="2025-07-01T00:00:00"/>
    <s v="pes"/>
  </r>
  <r>
    <n v="10145"/>
    <n v="4010123456783"/>
    <x v="3"/>
    <s v="Starostlivosť a hygiena – Mačky"/>
    <s v="BellaMeow"/>
    <n v="14"/>
    <n v="2"/>
    <s v="NULL"/>
    <s v=""/>
    <d v="2025-07-05T00:00:00"/>
    <n v="0"/>
    <n v="28"/>
    <s v=""/>
    <d v="2025-07-01T00:00:00"/>
    <s v="mačka"/>
  </r>
  <r>
    <n v="10146"/>
    <n v="8599988776654"/>
    <x v="0"/>
    <s v="Pelechy a nábytok – Psy"/>
    <s v="Pup Republic"/>
    <n v="16.8"/>
    <n v="1"/>
    <s v="NULL"/>
    <s v=""/>
    <d v="2025-07-05T00:00:00"/>
    <n v="0"/>
    <n v="16.8"/>
    <s v=""/>
    <d v="2025-07-01T00:00:00"/>
    <s v="pes"/>
  </r>
  <r>
    <n v="10147"/>
    <n v="4013456789017"/>
    <x v="2"/>
    <s v="Krmivo a maškrty – Psy"/>
    <s v="Snouty"/>
    <n v="6"/>
    <n v="1"/>
    <s v="NULL"/>
    <s v=""/>
    <d v="2025-07-06T00:00:00"/>
    <n v="0"/>
    <n v="6"/>
    <s v=""/>
    <d v="2025-07-01T00:00:00"/>
    <s v="pes"/>
  </r>
  <r>
    <n v="10148"/>
    <n v="8599988776654"/>
    <x v="0"/>
    <s v="Pelechy a nábytok – Psy"/>
    <s v="Pup Republic"/>
    <n v="16.8"/>
    <n v="1"/>
    <s v="5"/>
    <s v="Náš buldoček sa konečne prestal prehrievať. Super produkt."/>
    <d v="2025-07-06T00:00:00"/>
    <n v="0"/>
    <n v="16.8"/>
    <n v="5"/>
    <d v="2025-07-01T00:00:00"/>
    <s v="pes"/>
  </r>
  <r>
    <n v="10149"/>
    <n v="4028899001126"/>
    <x v="1"/>
    <s v="Krmivo a maškrty – Psy"/>
    <s v="Pup Republic"/>
    <n v="2.8"/>
    <n v="3"/>
    <s v="NULL"/>
    <s v=""/>
    <d v="2025-07-06T00:00:00"/>
    <n v="0"/>
    <n v="8.3999999999999986"/>
    <s v=""/>
    <d v="2025-07-01T00:00:00"/>
    <s v="pes"/>
  </r>
  <r>
    <n v="10150"/>
    <n v="8599988776654"/>
    <x v="0"/>
    <s v="Pelechy a nábytok – Psy"/>
    <s v="Pup Republic"/>
    <n v="16.8"/>
    <n v="2"/>
    <s v="NULL"/>
    <s v=""/>
    <d v="2025-07-06T00:00:00"/>
    <n v="0"/>
    <n v="33.6"/>
    <s v=""/>
    <d v="2025-07-01T00:00:00"/>
    <s v="pes"/>
  </r>
  <r>
    <n v="10151"/>
    <n v="4056789012345"/>
    <x v="4"/>
    <s v="Krmivo a maškrty – Mačky"/>
    <s v="BellaMeow"/>
    <n v="2.4"/>
    <n v="2"/>
    <s v="NULL"/>
    <s v=""/>
    <d v="2025-07-06T00:00:00"/>
    <n v="0"/>
    <n v="4.8"/>
    <s v=""/>
    <d v="2025-07-01T00:00:00"/>
    <s v="mačka"/>
  </r>
  <r>
    <n v="10152"/>
    <n v="8599988776654"/>
    <x v="0"/>
    <s v="Pelechy a nábytok – Psy"/>
    <s v="Pup Republic"/>
    <n v="16.8"/>
    <n v="1"/>
    <s v="NULL"/>
    <s v=""/>
    <d v="2025-07-06T00:00:00"/>
    <n v="0"/>
    <n v="16.8"/>
    <s v=""/>
    <d v="2025-07-01T00:00:00"/>
    <s v="pes"/>
  </r>
  <r>
    <n v="10153"/>
    <n v="4061011223346"/>
    <x v="6"/>
    <s v="Oblečenie a doplnky – Psy"/>
    <s v="Tail Trend"/>
    <n v="19.600000000000001"/>
    <n v="1"/>
    <s v="NULL"/>
    <s v=""/>
    <d v="2025-07-06T00:00:00"/>
    <n v="0"/>
    <n v="19.600000000000001"/>
    <s v=""/>
    <d v="2025-07-01T00:00:00"/>
    <s v="pes"/>
  </r>
  <r>
    <n v="10154"/>
    <n v="8599988776654"/>
    <x v="0"/>
    <s v="Pelechy a nábytok – Psy"/>
    <s v="Pup Republic"/>
    <n v="16.8"/>
    <n v="1"/>
    <s v="NULL"/>
    <s v=""/>
    <d v="2025-07-06T00:00:00"/>
    <n v="0"/>
    <n v="16.8"/>
    <s v=""/>
    <d v="2025-07-01T00:00:00"/>
    <s v="pes"/>
  </r>
  <r>
    <n v="10155"/>
    <n v="4017890123450"/>
    <x v="8"/>
    <s v="Hračky – Psy"/>
    <s v="Dogissimo"/>
    <n v="7.6"/>
    <n v="1"/>
    <s v="NULL"/>
    <s v=""/>
    <d v="2025-07-06T00:00:00"/>
    <n v="0"/>
    <n v="7.6"/>
    <s v=""/>
    <d v="2025-07-01T00:00:00"/>
    <s v="pes"/>
  </r>
  <r>
    <n v="10156"/>
    <n v="8599988776654"/>
    <x v="0"/>
    <s v="Pelechy a nábytok – Psy"/>
    <s v="Pup Republic"/>
    <n v="16.8"/>
    <n v="2"/>
    <s v="4"/>
    <s v="Fajn doplnok do psího pelechu, vyzerá kvalitne."/>
    <d v="2025-07-06T00:00:00"/>
    <n v="0"/>
    <n v="33.6"/>
    <n v="4"/>
    <d v="2025-07-01T00:00:00"/>
    <s v="pes"/>
  </r>
  <r>
    <n v="10157"/>
    <n v="4010123456783"/>
    <x v="3"/>
    <s v="Starostlivosť a hygiena – Mačky"/>
    <s v="BellaMeow"/>
    <n v="14"/>
    <n v="1"/>
    <s v="NULL"/>
    <s v=""/>
    <d v="2025-07-06T00:00:00"/>
    <n v="0"/>
    <n v="14"/>
    <s v=""/>
    <d v="2025-07-01T00:00:00"/>
    <s v="mačka"/>
  </r>
  <r>
    <n v="10158"/>
    <n v="8599988776654"/>
    <x v="0"/>
    <s v="Pelechy a nábytok – Psy"/>
    <s v="Pup Republic"/>
    <n v="16.8"/>
    <n v="1"/>
    <s v="NULL"/>
    <s v=""/>
    <d v="2025-07-06T00:00:00"/>
    <n v="0"/>
    <n v="16.8"/>
    <s v=""/>
    <d v="2025-07-01T00:00:00"/>
    <s v="pes"/>
  </r>
  <r>
    <n v="10159"/>
    <n v="4026677889902"/>
    <x v="10"/>
    <s v="Misky a kŕmne doplnky – Ostatné"/>
    <s v="Pawsitive Gear"/>
    <n v="7.6"/>
    <n v="1"/>
    <s v="NULL"/>
    <s v=""/>
    <d v="2025-07-06T00:00:00"/>
    <n v="0"/>
    <n v="7.6"/>
    <s v=""/>
    <d v="2025-07-01T00:00:00"/>
    <s v="iné"/>
  </r>
  <r>
    <n v="10160"/>
    <n v="8599988776654"/>
    <x v="0"/>
    <s v="Pelechy a nábytok – Psy"/>
    <s v="Pup Republic"/>
    <n v="16.8"/>
    <n v="1"/>
    <s v="5"/>
    <s v="Najlepšie kúpa tohto leta, pes sa ju stráži ako poklad."/>
    <d v="2025-07-06T00:00:00"/>
    <n v="0"/>
    <n v="16.8"/>
    <n v="5"/>
    <d v="2025-07-01T00:00:00"/>
    <s v="pes"/>
  </r>
  <r>
    <n v="10161"/>
    <n v="4028899001126"/>
    <x v="1"/>
    <s v="Krmivo a maškrty – Psy"/>
    <s v="Pup Republic"/>
    <n v="2.8"/>
    <n v="4"/>
    <s v="NULL"/>
    <s v=""/>
    <d v="2025-07-06T00:00:00"/>
    <n v="0"/>
    <n v="11.2"/>
    <s v=""/>
    <d v="2025-07-01T00:00:00"/>
    <s v="pes"/>
  </r>
  <r>
    <n v="10162"/>
    <n v="8599988776654"/>
    <x v="0"/>
    <s v="Pelechy a nábytok – Psy"/>
    <s v="Pup Republic"/>
    <n v="16.8"/>
    <n v="1"/>
    <s v="NULL"/>
    <s v=""/>
    <d v="2025-07-06T00:00:00"/>
    <n v="0"/>
    <n v="16.8"/>
    <s v=""/>
    <d v="2025-07-01T00:00:00"/>
    <s v="pes"/>
  </r>
  <r>
    <n v="10163"/>
    <n v="4013456789017"/>
    <x v="2"/>
    <s v="Krmivo a maškrty – Psy"/>
    <s v="Snouty"/>
    <n v="6"/>
    <n v="1"/>
    <s v="NULL"/>
    <s v=""/>
    <d v="2025-07-06T00:00:00"/>
    <n v="0"/>
    <n v="6"/>
    <s v=""/>
    <d v="2025-07-01T00:00:00"/>
    <s v="pes"/>
  </r>
  <r>
    <n v="10164"/>
    <n v="8599988776654"/>
    <x v="0"/>
    <s v="Pelechy a nábytok – Psy"/>
    <s v="Pup Republic"/>
    <n v="16.8"/>
    <n v="1"/>
    <s v="NULL"/>
    <s v=""/>
    <d v="2025-07-07T00:00:00"/>
    <n v="0"/>
    <n v="16.8"/>
    <s v=""/>
    <d v="2025-07-01T00:00:00"/>
    <s v="pes"/>
  </r>
  <r>
    <n v="10165"/>
    <n v="4028899001126"/>
    <x v="1"/>
    <s v="Krmivo a maškrty – Psy"/>
    <s v="Pup Republic"/>
    <n v="2.8"/>
    <n v="2"/>
    <s v="NULL"/>
    <s v=""/>
    <d v="2025-07-07T00:00:00"/>
    <n v="0"/>
    <n v="5.6"/>
    <s v=""/>
    <d v="2025-07-01T00:00:00"/>
    <s v="pes"/>
  </r>
  <r>
    <n v="10166"/>
    <n v="8599988776654"/>
    <x v="0"/>
    <s v="Pelechy a nábytok – Psy"/>
    <s v="Pup Republic"/>
    <n v="16.8"/>
    <n v="1"/>
    <s v="NULL"/>
    <s v=""/>
    <d v="2025-07-07T00:00:00"/>
    <n v="0"/>
    <n v="16.8"/>
    <s v=""/>
    <d v="2025-07-01T00:00:00"/>
    <s v="pes"/>
  </r>
  <r>
    <n v="10167"/>
    <n v="4056789012345"/>
    <x v="4"/>
    <s v="Krmivo a maškrty – Mačky"/>
    <s v="BellaMeow"/>
    <n v="2.4"/>
    <n v="3"/>
    <s v="NULL"/>
    <s v=""/>
    <d v="2025-07-07T00:00:00"/>
    <n v="0"/>
    <n v="7.1999999999999993"/>
    <s v=""/>
    <d v="2025-07-01T00:00:00"/>
    <s v="mačka"/>
  </r>
  <r>
    <n v="10168"/>
    <n v="8599988776654"/>
    <x v="0"/>
    <s v="Pelechy a nábytok – Psy"/>
    <s v="Pup Republic"/>
    <n v="16.8"/>
    <n v="1"/>
    <s v="5"/>
    <s v="Funguje výborne aj pri 30 °C, pes je v pohode."/>
    <d v="2025-07-07T00:00:00"/>
    <n v="0"/>
    <n v="16.8"/>
    <n v="5"/>
    <d v="2025-07-01T00:00:00"/>
    <s v="pes"/>
  </r>
  <r>
    <n v="10169"/>
    <n v="4017890123450"/>
    <x v="8"/>
    <s v="Hračky – Psy"/>
    <s v="Dogissimo"/>
    <n v="7.6"/>
    <n v="1"/>
    <s v="NULL"/>
    <s v=""/>
    <d v="2025-07-07T00:00:00"/>
    <n v="0"/>
    <n v="7.6"/>
    <s v=""/>
    <d v="2025-07-01T00:00:00"/>
    <s v="pes"/>
  </r>
  <r>
    <n v="10170"/>
    <n v="8599988776654"/>
    <x v="0"/>
    <s v="Pelechy a nábytok – Psy"/>
    <s v="Pup Republic"/>
    <n v="16.8"/>
    <n v="1"/>
    <s v="NULL"/>
    <s v=""/>
    <d v="2025-07-07T00:00:00"/>
    <n v="0"/>
    <n v="16.8"/>
    <s v=""/>
    <d v="2025-07-01T00:00:00"/>
    <s v="pes"/>
  </r>
  <r>
    <n v="10171"/>
    <n v="4063456789014"/>
    <x v="9"/>
    <s v="Krmivo a maškrty – Psy"/>
    <s v="Pupco"/>
    <n v="36"/>
    <n v="1"/>
    <s v="NULL"/>
    <s v=""/>
    <d v="2025-07-07T00:00:00"/>
    <n v="0"/>
    <n v="36"/>
    <s v=""/>
    <d v="2025-07-01T00:00:00"/>
    <s v="pes"/>
  </r>
  <r>
    <n v="10172"/>
    <n v="8599988776654"/>
    <x v="0"/>
    <s v="Pelechy a nábytok – Psy"/>
    <s v="Pup Republic"/>
    <n v="16.8"/>
    <n v="2"/>
    <s v="NULL"/>
    <s v=""/>
    <d v="2025-07-07T00:00:00"/>
    <n v="0"/>
    <n v="33.6"/>
    <s v=""/>
    <d v="2025-07-01T00:00:00"/>
    <s v="pes"/>
  </r>
  <r>
    <n v="10173"/>
    <n v="4021234567894"/>
    <x v="7"/>
    <s v="Starostlivosť a hygiena – Mačky"/>
    <s v="PawStyle"/>
    <n v="8"/>
    <n v="1"/>
    <s v="NULL"/>
    <s v=""/>
    <d v="2025-07-07T00:00:00"/>
    <n v="0"/>
    <n v="8"/>
    <s v=""/>
    <d v="2025-07-01T00:00:00"/>
    <s v="mačka"/>
  </r>
  <r>
    <n v="10174"/>
    <n v="8599988776654"/>
    <x v="0"/>
    <s v="Pelechy a nábytok – Psy"/>
    <s v="Pup Republic"/>
    <n v="16.8"/>
    <n v="1"/>
    <s v="NULL"/>
    <s v=""/>
    <d v="2025-07-07T00:00:00"/>
    <n v="0"/>
    <n v="16.8"/>
    <s v=""/>
    <d v="2025-07-01T00:00:00"/>
    <s v="pes"/>
  </r>
  <r>
    <n v="10175"/>
    <n v="4010123456783"/>
    <x v="3"/>
    <s v="Starostlivosť a hygiena – Mačky"/>
    <s v="BellaMeow"/>
    <n v="14"/>
    <n v="1"/>
    <s v="NULL"/>
    <s v=""/>
    <d v="2025-07-07T00:00:00"/>
    <n v="0"/>
    <n v="14"/>
    <s v=""/>
    <d v="2025-07-01T00:00:00"/>
    <s v="mačka"/>
  </r>
  <r>
    <n v="10176"/>
    <n v="8599988776654"/>
    <x v="0"/>
    <s v="Pelechy a nábytok – Psy"/>
    <s v="Pup Republic"/>
    <n v="16.8"/>
    <n v="1"/>
    <s v="5"/>
    <s v="Dobrá kvalita, funguje aj po týdnech používání."/>
    <d v="2025-07-07T00:00:00"/>
    <n v="0"/>
    <n v="16.8"/>
    <n v="5"/>
    <d v="2025-07-01T00:00:00"/>
    <s v="pes"/>
  </r>
  <r>
    <n v="10177"/>
    <n v="4028899001126"/>
    <x v="1"/>
    <s v="Krmivo a maškrty – Psy"/>
    <s v="Pup Republic"/>
    <n v="2.8"/>
    <n v="3"/>
    <s v="NULL"/>
    <s v=""/>
    <d v="2025-07-07T00:00:00"/>
    <n v="0"/>
    <n v="8.3999999999999986"/>
    <s v=""/>
    <d v="2025-07-01T00:00:00"/>
    <s v="pes"/>
  </r>
  <r>
    <n v="10178"/>
    <n v="8599988776654"/>
    <x v="0"/>
    <s v="Pelechy a nábytok – Psy"/>
    <s v="Pup Republic"/>
    <n v="16.8"/>
    <n v="2"/>
    <s v="NULL"/>
    <s v=""/>
    <d v="2025-07-07T00:00:00"/>
    <n v="0"/>
    <n v="33.6"/>
    <s v=""/>
    <d v="2025-07-01T00:00:00"/>
    <s v="pes"/>
  </r>
  <r>
    <n v="10179"/>
    <n v="4013456789017"/>
    <x v="2"/>
    <s v="Krmivo a maškrty – Psy"/>
    <s v="Snouty"/>
    <n v="6"/>
    <n v="1"/>
    <s v="NULL"/>
    <s v=""/>
    <d v="2025-07-07T00:00:00"/>
    <n v="0"/>
    <n v="6"/>
    <s v=""/>
    <d v="2025-07-01T00:00:00"/>
    <s v="pes"/>
  </r>
  <r>
    <n v="10180"/>
    <n v="8599988776654"/>
    <x v="0"/>
    <s v="Pelechy a nábytok – Psy"/>
    <s v="Pup Republic"/>
    <n v="16.8"/>
    <n v="1"/>
    <s v="NULL"/>
    <s v=""/>
    <d v="2025-07-08T00:00:00"/>
    <n v="0"/>
    <n v="16.8"/>
    <s v=""/>
    <d v="2025-07-01T00:00:00"/>
    <s v="pes"/>
  </r>
  <r>
    <n v="10181"/>
    <n v="4063456789014"/>
    <x v="9"/>
    <s v="Krmivo a maškrty – Psy"/>
    <s v="Pupco"/>
    <n v="36"/>
    <n v="1"/>
    <s v="NULL"/>
    <s v=""/>
    <d v="2025-07-08T00:00:00"/>
    <n v="0"/>
    <n v="36"/>
    <s v=""/>
    <d v="2025-07-01T00:00:00"/>
    <s v="pes"/>
  </r>
  <r>
    <n v="10182"/>
    <n v="8599988776654"/>
    <x v="0"/>
    <s v="Pelechy a nábytok – Psy"/>
    <s v="Pup Republic"/>
    <n v="16.8"/>
    <n v="1"/>
    <s v="NULL"/>
    <s v=""/>
    <d v="2025-07-08T00:00:00"/>
    <n v="0"/>
    <n v="16.8"/>
    <s v=""/>
    <d v="2025-07-01T00:00:00"/>
    <s v="pes"/>
  </r>
  <r>
    <n v="10183"/>
    <n v="4028899001126"/>
    <x v="1"/>
    <s v="Krmivo a maškrty – Psy"/>
    <s v="Pup Republic"/>
    <n v="2.8"/>
    <n v="4"/>
    <s v="NULL"/>
    <s v=""/>
    <d v="2025-07-08T00:00:00"/>
    <n v="0"/>
    <n v="11.2"/>
    <s v=""/>
    <d v="2025-07-01T00:00:00"/>
    <s v="pes"/>
  </r>
  <r>
    <n v="10184"/>
    <n v="8599988776654"/>
    <x v="0"/>
    <s v="Pelechy a nábytok – Psy"/>
    <s v="Pup Republic"/>
    <n v="16.8"/>
    <n v="2"/>
    <s v="4"/>
    <s v="Materiál je pevný, pes ho nepoškodil anaj pazúriky."/>
    <d v="2025-07-08T00:00:00"/>
    <n v="0"/>
    <n v="33.6"/>
    <n v="4"/>
    <d v="2025-07-01T00:00:00"/>
    <s v="pes"/>
  </r>
  <r>
    <n v="10185"/>
    <n v="4010123456783"/>
    <x v="3"/>
    <s v="Starostlivosť a hygiena – Mačky"/>
    <s v="BellaMeow"/>
    <n v="14"/>
    <n v="1"/>
    <s v="NULL"/>
    <s v=""/>
    <d v="2025-07-08T00:00:00"/>
    <n v="0"/>
    <n v="14"/>
    <s v=""/>
    <d v="2025-07-01T00:00:00"/>
    <s v="mačka"/>
  </r>
  <r>
    <n v="10186"/>
    <n v="8599988776654"/>
    <x v="0"/>
    <s v="Pelechy a nábytok – Psy"/>
    <s v="Pup Republic"/>
    <n v="16.8"/>
    <n v="1"/>
    <s v="NULL"/>
    <s v=""/>
    <d v="2025-07-08T00:00:00"/>
    <n v="0"/>
    <n v="16.8"/>
    <s v=""/>
    <d v="2025-07-01T00:00:00"/>
    <s v="pes"/>
  </r>
  <r>
    <n v="10187"/>
    <n v="4056789012345"/>
    <x v="4"/>
    <s v="Krmivo a maškrty – Mačky"/>
    <s v="BellaMeow"/>
    <n v="2.4"/>
    <n v="2"/>
    <s v="NULL"/>
    <s v=""/>
    <d v="2025-07-08T00:00:00"/>
    <n v="0"/>
    <n v="4.8"/>
    <s v=""/>
    <d v="2025-07-01T00:00:00"/>
    <s v="mačka"/>
  </r>
  <r>
    <n v="10188"/>
    <n v="8599988776654"/>
    <x v="0"/>
    <s v="Pelechy a nábytok – Psy"/>
    <s v="Pup Republic"/>
    <n v="16.8"/>
    <n v="1"/>
    <s v="5"/>
    <s v="Dáváme ju do auta, výborná chladicí schopnost."/>
    <d v="2025-07-08T00:00:00"/>
    <n v="0"/>
    <n v="16.8"/>
    <n v="5"/>
    <d v="2025-07-01T00:00:00"/>
    <s v="pes"/>
  </r>
  <r>
    <n v="10189"/>
    <n v="4017890123450"/>
    <x v="8"/>
    <s v="Hračky – Psy"/>
    <s v="Dogissimo"/>
    <n v="7.6"/>
    <n v="1"/>
    <s v="NULL"/>
    <s v=""/>
    <d v="2025-07-08T00:00:00"/>
    <n v="0"/>
    <n v="7.6"/>
    <s v=""/>
    <d v="2025-07-01T00:00:00"/>
    <s v="pes"/>
  </r>
  <r>
    <n v="10190"/>
    <n v="8599988776654"/>
    <x v="0"/>
    <s v="Pelechy a nábytok – Psy"/>
    <s v="Pup Republic"/>
    <n v="16.8"/>
    <n v="1"/>
    <s v="NULL"/>
    <s v=""/>
    <d v="2025-07-08T00:00:00"/>
    <n v="0"/>
    <n v="16.8"/>
    <s v=""/>
    <d v="2025-07-01T00:00:00"/>
    <s v="pes"/>
  </r>
  <r>
    <n v="10191"/>
    <n v="4026677889902"/>
    <x v="10"/>
    <s v="Misky a kŕmne doplnky – Ostatné"/>
    <s v="Pawsitive Gear"/>
    <n v="7.6"/>
    <n v="1"/>
    <s v="NULL"/>
    <s v=""/>
    <d v="2025-07-08T00:00:00"/>
    <n v="0"/>
    <n v="7.6"/>
    <s v=""/>
    <d v="2025-07-01T00:00:00"/>
    <s v="iné"/>
  </r>
  <r>
    <n v="10192"/>
    <n v="8599988776654"/>
    <x v="0"/>
    <s v="Pelechy a nábytok – Psy"/>
    <s v="Pup Republic"/>
    <n v="16.8"/>
    <n v="1"/>
    <s v="NULL"/>
    <s v=""/>
    <d v="2025-07-08T00:00:00"/>
    <n v="0"/>
    <n v="16.8"/>
    <s v=""/>
    <d v="2025-07-01T00:00:00"/>
    <s v="pes"/>
  </r>
  <r>
    <n v="10193"/>
    <n v="4028899001126"/>
    <x v="1"/>
    <s v="Krmivo a maškrty – Psy"/>
    <s v="Pup Republic"/>
    <n v="2.8"/>
    <n v="3"/>
    <s v="NULL"/>
    <s v=""/>
    <d v="2025-07-08T00:00:00"/>
    <n v="0"/>
    <n v="8.3999999999999986"/>
    <s v=""/>
    <d v="2025-07-01T00:00:00"/>
    <s v="pes"/>
  </r>
  <r>
    <n v="10194"/>
    <n v="8599988776654"/>
    <x v="0"/>
    <s v="Pelechy a nábytok – Psy"/>
    <s v="Pup Republic"/>
    <n v="16.8"/>
    <n v="1"/>
    <s v="4"/>
    <s v="Chladí dostatočne, ideálne do bytu bez klimatizácie."/>
    <d v="2025-07-09T00:00:00"/>
    <n v="0"/>
    <n v="16.8"/>
    <n v="4"/>
    <d v="2025-07-01T00:00:00"/>
    <s v="pes"/>
  </r>
  <r>
    <n v="10195"/>
    <n v="4013456789017"/>
    <x v="2"/>
    <s v="Krmivo a maškrty – Psy"/>
    <s v="Snouty"/>
    <n v="6"/>
    <n v="1"/>
    <s v="NULL"/>
    <s v=""/>
    <d v="2025-07-09T00:00:00"/>
    <n v="0"/>
    <n v="6"/>
    <s v=""/>
    <d v="2025-07-01T00:00:00"/>
    <s v="pes"/>
  </r>
  <r>
    <n v="10196"/>
    <n v="8599988776654"/>
    <x v="0"/>
    <s v="Pelechy a nábytok – Psy"/>
    <s v="Pup Republic"/>
    <n v="16.8"/>
    <n v="1"/>
    <s v="NULL"/>
    <s v=""/>
    <d v="2025-07-09T00:00:00"/>
    <n v="0"/>
    <n v="16.8"/>
    <s v=""/>
    <d v="2025-07-01T00:00:00"/>
    <s v="pes"/>
  </r>
  <r>
    <n v="10197"/>
    <n v="4028899001126"/>
    <x v="1"/>
    <s v="Krmivo a maškrty – Psy"/>
    <s v="Pup Republic"/>
    <n v="2.8"/>
    <n v="3"/>
    <s v="NULL"/>
    <s v=""/>
    <d v="2025-07-09T00:00:00"/>
    <n v="0"/>
    <n v="8.3999999999999986"/>
    <s v=""/>
    <d v="2025-07-01T00:00:00"/>
    <s v="pes"/>
  </r>
  <r>
    <n v="10198"/>
    <n v="8599988776654"/>
    <x v="0"/>
    <s v="Pelechy a nábytok – Psy"/>
    <s v="Pup Republic"/>
    <n v="16.8"/>
    <n v="2"/>
    <s v="NULL"/>
    <s v=""/>
    <d v="2025-07-09T00:00:00"/>
    <n v="0"/>
    <n v="33.6"/>
    <s v=""/>
    <d v="2025-07-01T00:00:00"/>
    <s v="pes"/>
  </r>
  <r>
    <n v="10199"/>
    <n v="4063456789014"/>
    <x v="9"/>
    <s v="Krmivo a maškrty – Psy"/>
    <s v="Pupco"/>
    <n v="36"/>
    <n v="1"/>
    <s v="NULL"/>
    <s v=""/>
    <d v="2025-07-09T00:00:00"/>
    <n v="0"/>
    <n v="36"/>
    <s v=""/>
    <d v="2025-07-01T00:00:00"/>
    <s v="pes"/>
  </r>
  <r>
    <n v="10200"/>
    <n v="8599988776654"/>
    <x v="0"/>
    <s v="Pelechy a nábytok – Psy"/>
    <s v="Pup Republic"/>
    <n v="16.8"/>
    <n v="1"/>
    <s v="5"/>
    <s v="Fakt pomáha, pes sa už neprehrieva anaj pri 35 °C."/>
    <d v="2025-07-09T00:00:00"/>
    <n v="0"/>
    <n v="16.8"/>
    <n v="5"/>
    <d v="2025-07-01T00:00:00"/>
    <s v="pes"/>
  </r>
  <r>
    <n v="10201"/>
    <n v="4010123456783"/>
    <x v="3"/>
    <s v="Starostlivosť a hygiena – Mačky"/>
    <s v="BellaMeow"/>
    <n v="14"/>
    <n v="1"/>
    <s v="NULL"/>
    <s v=""/>
    <d v="2025-07-09T00:00:00"/>
    <n v="0"/>
    <n v="14"/>
    <s v=""/>
    <d v="2025-07-01T00:00:00"/>
    <s v="mačka"/>
  </r>
  <r>
    <n v="10202"/>
    <n v="8599988776654"/>
    <x v="0"/>
    <s v="Pelechy a nábytok – Psy"/>
    <s v="Pup Republic"/>
    <n v="16.8"/>
    <n v="1"/>
    <s v="NULL"/>
    <s v=""/>
    <d v="2025-07-09T00:00:00"/>
    <n v="0"/>
    <n v="16.8"/>
    <s v=""/>
    <d v="2025-07-01T00:00:00"/>
    <s v="pes"/>
  </r>
  <r>
    <n v="10203"/>
    <n v="4027788990013"/>
    <x v="5"/>
    <s v="Starostlivosť a hygiena – Psy"/>
    <s v="Dogissimo"/>
    <n v="8"/>
    <n v="1"/>
    <s v="NULL"/>
    <s v=""/>
    <d v="2025-07-09T00:00:00"/>
    <n v="0"/>
    <n v="8"/>
    <s v=""/>
    <d v="2025-07-01T00:00:00"/>
    <s v="pes"/>
  </r>
  <r>
    <n v="10204"/>
    <n v="8599988776654"/>
    <x v="0"/>
    <s v="Pelechy a nábytok – Psy"/>
    <s v="Pup Republic"/>
    <n v="16.8"/>
    <n v="1"/>
    <s v="NULL"/>
    <s v=""/>
    <d v="2025-07-09T00:00:00"/>
    <n v="0"/>
    <n v="16.8"/>
    <s v=""/>
    <d v="2025-07-01T00:00:00"/>
    <s v="pes"/>
  </r>
  <r>
    <n v="10205"/>
    <n v="4013456789017"/>
    <x v="2"/>
    <s v="Krmivo a maškrty – Psy"/>
    <s v="Snouty"/>
    <n v="6"/>
    <n v="2"/>
    <s v="NULL"/>
    <s v=""/>
    <d v="2025-07-09T00:00:00"/>
    <n v="0"/>
    <n v="12"/>
    <s v=""/>
    <d v="2025-07-01T00:00:00"/>
    <s v="pes"/>
  </r>
  <r>
    <n v="10206"/>
    <n v="8599988776654"/>
    <x v="0"/>
    <s v="Pelechy a nábytok – Psy"/>
    <s v="Pup Republic"/>
    <n v="16.8"/>
    <n v="2"/>
    <s v="4"/>
    <s v="Dobre sa prenáša, odporúčam na dovolenou sa psem."/>
    <d v="2025-07-09T00:00:00"/>
    <n v="0"/>
    <n v="33.6"/>
    <n v="4"/>
    <d v="2025-07-01T00:00:00"/>
    <s v="pes"/>
  </r>
  <r>
    <n v="10207"/>
    <n v="8599988776654"/>
    <x v="0"/>
    <s v="Pelechy a nábytok – Psy"/>
    <s v="Pup Republic"/>
    <n v="16.8"/>
    <n v="1"/>
    <s v="5"/>
    <s v="Pes na nej tráví celé dni, chladí skvelo."/>
    <d v="2025-07-09T00:00:00"/>
    <n v="0"/>
    <n v="16.8"/>
    <n v="5"/>
    <d v="2025-07-01T00:00:00"/>
    <s v="pes"/>
  </r>
  <r>
    <n v="10208"/>
    <n v="4028899001126"/>
    <x v="1"/>
    <s v="Krmivo a maškrty – Psy"/>
    <s v="Pup Republic"/>
    <n v="2.8"/>
    <n v="3"/>
    <s v="4"/>
    <s v="Výborné zloženie, chutí aj vyberavému psovi."/>
    <d v="2025-07-09T00:00:00"/>
    <n v="0"/>
    <n v="8.3999999999999986"/>
    <n v="4"/>
    <d v="2025-07-01T00:00:00"/>
    <s v="pes"/>
  </r>
  <r>
    <n v="10209"/>
    <n v="4056789012345"/>
    <x v="4"/>
    <s v="Krmivo a maškrty – Mačky"/>
    <s v="BellaMeow"/>
    <n v="2.4"/>
    <n v="2"/>
    <s v="NULL"/>
    <s v=""/>
    <d v="2025-07-09T00:00:00"/>
    <n v="0"/>
    <n v="4.8"/>
    <s v=""/>
    <d v="2025-07-01T00:00:00"/>
    <s v="mačka"/>
  </r>
  <r>
    <n v="10210"/>
    <n v="4063456789014"/>
    <x v="9"/>
    <s v="Krmivo a maškrty – Psy"/>
    <s v="Pupco"/>
    <n v="36"/>
    <n v="1"/>
    <s v="NULL"/>
    <s v=""/>
    <d v="2025-07-09T00:00:00"/>
    <n v="0"/>
    <n v="36"/>
    <s v=""/>
    <d v="2025-07-01T00:00:00"/>
    <s v="pes"/>
  </r>
  <r>
    <n v="10211"/>
    <n v="8599988776654"/>
    <x v="0"/>
    <s v="Pelechy a nábytok – Psy"/>
    <s v="Pup Republic"/>
    <n v="16.8"/>
    <n v="1"/>
    <s v="NULL"/>
    <s v=""/>
    <d v="2025-07-09T00:00:00"/>
    <n v="0"/>
    <n v="16.8"/>
    <s v=""/>
    <d v="2025-07-01T00:00:00"/>
    <s v="pes"/>
  </r>
  <r>
    <n v="10212"/>
    <n v="4013456789017"/>
    <x v="2"/>
    <s v="Krmivo a maškrty – Psy"/>
    <s v="Snouty"/>
    <n v="6"/>
    <n v="2"/>
    <s v="4"/>
    <s v="Pes sa po nich môže utĺcť, ideálne na výcvik."/>
    <d v="2025-07-10T00:00:00"/>
    <n v="0"/>
    <n v="12"/>
    <n v="4"/>
    <d v="2025-07-01T00:00:00"/>
    <s v="pes"/>
  </r>
  <r>
    <n v="10213"/>
    <n v="8599988776654"/>
    <x v="0"/>
    <s v="Pelechy a nábytok – Psy"/>
    <s v="Pup Republic"/>
    <n v="16.8"/>
    <n v="2"/>
    <s v="NULL"/>
    <s v=""/>
    <d v="2025-07-10T00:00:00"/>
    <n v="0"/>
    <n v="33.6"/>
    <s v=""/>
    <d v="2025-07-01T00:00:00"/>
    <s v="pes"/>
  </r>
  <r>
    <n v="10214"/>
    <n v="4010123456783"/>
    <x v="3"/>
    <s v="Starostlivosť a hygiena – Mačky"/>
    <s v="BellaMeow"/>
    <n v="14"/>
    <n v="1"/>
    <s v="NULL"/>
    <s v=""/>
    <d v="2025-07-10T00:00:00"/>
    <n v="0"/>
    <n v="14"/>
    <s v=""/>
    <d v="2025-07-01T00:00:00"/>
    <s v="mačka"/>
  </r>
  <r>
    <n v="10215"/>
    <n v="4021234567894"/>
    <x v="7"/>
    <s v="Starostlivosť a hygiena – Mačky"/>
    <s v="PawStyle"/>
    <n v="8"/>
    <n v="1"/>
    <s v="3"/>
    <s v="Vôňa mohla byť jemnejší, ale inak funguje."/>
    <d v="2025-07-10T00:00:00"/>
    <n v="0"/>
    <n v="8"/>
    <n v="3"/>
    <d v="2025-07-01T00:00:00"/>
    <s v="mačka"/>
  </r>
  <r>
    <n v="10216"/>
    <n v="8599988776654"/>
    <x v="0"/>
    <s v="Pelechy a nábytok – Psy"/>
    <s v="Pup Republic"/>
    <n v="16.8"/>
    <n v="1"/>
    <s v="NULL"/>
    <s v=""/>
    <d v="2025-07-10T00:00:00"/>
    <n v="0"/>
    <n v="16.8"/>
    <s v=""/>
    <d v="2025-07-01T00:00:00"/>
    <s v="pes"/>
  </r>
  <r>
    <n v="10217"/>
    <n v="4017890123450"/>
    <x v="8"/>
    <s v="Hračky – Psy"/>
    <s v="Dogissimo"/>
    <n v="7.6"/>
    <n v="1"/>
    <s v="5"/>
    <s v="Vydržela už mesiac, pes ju miluje!"/>
    <d v="2025-07-10T00:00:00"/>
    <n v="0"/>
    <n v="7.6"/>
    <n v="5"/>
    <d v="2025-07-01T00:00:00"/>
    <s v="pes"/>
  </r>
  <r>
    <n v="10218"/>
    <n v="8599988776654"/>
    <x v="0"/>
    <s v="Pelechy a nábytok – Psy"/>
    <s v="Pup Republic"/>
    <n v="16.8"/>
    <n v="1"/>
    <s v="NULL"/>
    <s v=""/>
    <d v="2025-07-10T00:00:00"/>
    <n v="0"/>
    <n v="16.8"/>
    <s v=""/>
    <d v="2025-07-01T00:00:00"/>
    <s v="pes"/>
  </r>
  <r>
    <n v="10219"/>
    <n v="4063456789014"/>
    <x v="9"/>
    <s v="Krmivo a maškrty – Psy"/>
    <s v="Pupco"/>
    <n v="36"/>
    <n v="1"/>
    <s v="NULL"/>
    <s v=""/>
    <d v="2025-07-10T00:00:00"/>
    <n v="0"/>
    <n v="36"/>
    <s v=""/>
    <d v="2025-07-01T00:00:00"/>
    <s v="pes"/>
  </r>
  <r>
    <n v="10220"/>
    <n v="8599988776654"/>
    <x v="0"/>
    <s v="Pelechy a nábytok – Psy"/>
    <s v="Pup Republic"/>
    <n v="16.8"/>
    <n v="1"/>
    <s v="NULL"/>
    <s v=""/>
    <d v="2025-07-10T00:00:00"/>
    <n v="0"/>
    <n v="16.8"/>
    <s v=""/>
    <d v="2025-07-01T00:00:00"/>
    <s v="pes"/>
  </r>
  <r>
    <n v="10221"/>
    <n v="4056789012345"/>
    <x v="4"/>
    <s v="Krmivo a maškrty – Mačky"/>
    <s v="BellaMeow"/>
    <n v="2.4"/>
    <n v="3"/>
    <s v="4"/>
    <s v="Mačky nadšené, miska prázdna za minutu."/>
    <d v="2025-07-10T00:00:00"/>
    <n v="0"/>
    <n v="7.1999999999999993"/>
    <n v="4"/>
    <d v="2025-07-01T00:00:00"/>
    <s v="mačka"/>
  </r>
  <r>
    <n v="10222"/>
    <n v="8599988776654"/>
    <x v="0"/>
    <s v="Pelechy a nábytok – Psy"/>
    <s v="Pup Republic"/>
    <n v="16.8"/>
    <n v="1"/>
    <s v="NULL"/>
    <s v=""/>
    <d v="2025-07-10T00:00:00"/>
    <n v="0"/>
    <n v="16.8"/>
    <s v=""/>
    <d v="2025-07-01T00:00:00"/>
    <s v="pes"/>
  </r>
  <r>
    <n v="10223"/>
    <n v="4028899001126"/>
    <x v="1"/>
    <s v="Krmivo a maškrty – Psy"/>
    <s v="Pup Republic"/>
    <n v="2.8"/>
    <n v="2"/>
    <s v="NULL"/>
    <s v=""/>
    <d v="2025-07-10T00:00:00"/>
    <n v="0"/>
    <n v="5.6"/>
    <s v=""/>
    <d v="2025-07-01T00:00:00"/>
    <s v="pes"/>
  </r>
  <r>
    <n v="10224"/>
    <n v="8599988776654"/>
    <x v="0"/>
    <s v="Pelechy a nábytok – Psy"/>
    <s v="Pup Republic"/>
    <n v="16.8"/>
    <n v="2"/>
    <s v="5"/>
    <s v="Na dovolené u more sa osvedčila, lehká a skladná."/>
    <d v="2025-07-10T00:00:00"/>
    <n v="0"/>
    <n v="33.6"/>
    <n v="5"/>
    <d v="2025-07-01T00:00:00"/>
    <s v="pes"/>
  </r>
  <r>
    <n v="10225"/>
    <n v="4013456789017"/>
    <x v="2"/>
    <s v="Krmivo a maškrty – Psy"/>
    <s v="Snouty"/>
    <n v="6"/>
    <n v="1"/>
    <s v="NULL"/>
    <s v=""/>
    <d v="2025-07-10T00:00:00"/>
    <n v="0"/>
    <n v="6"/>
    <s v=""/>
    <d v="2025-07-01T00:00:00"/>
    <s v="pes"/>
  </r>
  <r>
    <n v="10226"/>
    <n v="8599988776654"/>
    <x v="0"/>
    <s v="Pelechy a nábytok – Psy"/>
    <s v="Pup Republic"/>
    <n v="16.8"/>
    <n v="1"/>
    <s v="NULL"/>
    <s v=""/>
    <d v="2025-07-10T00:00:00"/>
    <n v="0"/>
    <n v="16.8"/>
    <s v=""/>
    <d v="2025-07-01T00:00:00"/>
    <s v="pes"/>
  </r>
  <r>
    <n v="10227"/>
    <n v="4063456789014"/>
    <x v="9"/>
    <s v="Krmivo a maškrty – Psy"/>
    <s v="Pupco"/>
    <n v="36"/>
    <n v="1"/>
    <s v="NULL"/>
    <s v=""/>
    <d v="2025-07-11T00:00:00"/>
    <n v="0"/>
    <n v="36"/>
    <s v=""/>
    <d v="2025-07-01T00:00:00"/>
    <s v="pes"/>
  </r>
  <r>
    <n v="10228"/>
    <n v="8599988776654"/>
    <x v="0"/>
    <s v="Pelechy a nábytok – Psy"/>
    <s v="Pup Republic"/>
    <n v="16.8"/>
    <n v="1"/>
    <s v="4"/>
    <s v="Pomáha aj našemu starému psovaj s klouby."/>
    <d v="2025-07-11T00:00:00"/>
    <n v="0"/>
    <n v="16.8"/>
    <n v="4"/>
    <d v="2025-07-01T00:00:00"/>
    <s v="pes"/>
  </r>
  <r>
    <n v="10229"/>
    <n v="4010123456783"/>
    <x v="3"/>
    <s v="Starostlivosť a hygiena – Mačky"/>
    <s v="BellaMeow"/>
    <n v="14"/>
    <n v="2"/>
    <s v="NULL"/>
    <s v=""/>
    <d v="2025-07-11T00:00:00"/>
    <n v="0"/>
    <n v="28"/>
    <s v=""/>
    <d v="2025-07-01T00:00:00"/>
    <s v="mačka"/>
  </r>
  <r>
    <n v="10230"/>
    <n v="8599988776654"/>
    <x v="0"/>
    <s v="Pelechy a nábytok – Psy"/>
    <s v="Pup Republic"/>
    <n v="16.8"/>
    <n v="1"/>
    <s v="NULL"/>
    <s v=""/>
    <d v="2025-07-11T00:00:00"/>
    <n v="0"/>
    <n v="16.8"/>
    <s v=""/>
    <d v="2025-07-01T00:00:00"/>
    <s v="pes"/>
  </r>
  <r>
    <n v="10231"/>
    <n v="4027788990013"/>
    <x v="5"/>
    <s v="Starostlivosť a hygiena – Psy"/>
    <s v="Dogissimo"/>
    <n v="8"/>
    <n v="1"/>
    <s v="4"/>
    <s v="Pekne vonia a nezanechává zbytky."/>
    <d v="2025-07-11T00:00:00"/>
    <n v="0"/>
    <n v="8"/>
    <n v="4"/>
    <d v="2025-07-01T00:00:00"/>
    <s v="pes"/>
  </r>
  <r>
    <n v="10232"/>
    <n v="8599988776654"/>
    <x v="0"/>
    <s v="Pelechy a nábytok – Psy"/>
    <s v="Pup Republic"/>
    <n v="16.8"/>
    <n v="2"/>
    <s v="NULL"/>
    <s v=""/>
    <d v="2025-07-11T00:00:00"/>
    <n v="0"/>
    <n v="33.6"/>
    <s v=""/>
    <d v="2025-07-01T00:00:00"/>
    <s v="pes"/>
  </r>
  <r>
    <n v="10233"/>
    <n v="4017890123450"/>
    <x v="8"/>
    <s v="Hračky – Psy"/>
    <s v="Dogissimo"/>
    <n v="7.6"/>
    <n v="1"/>
    <s v="NULL"/>
    <s v=""/>
    <d v="2025-07-11T00:00:00"/>
    <n v="0"/>
    <n v="7.6"/>
    <s v=""/>
    <d v="2025-07-01T00:00:00"/>
    <s v="pes"/>
  </r>
  <r>
    <n v="10234"/>
    <n v="8599988776654"/>
    <x v="0"/>
    <s v="Pelechy a nábytok – Psy"/>
    <s v="Pup Republic"/>
    <n v="16.8"/>
    <n v="1"/>
    <s v="NULL"/>
    <s v=""/>
    <d v="2025-07-11T00:00:00"/>
    <n v="0"/>
    <n v="16.8"/>
    <s v=""/>
    <d v="2025-07-01T00:00:00"/>
    <s v="pes"/>
  </r>
  <r>
    <n v="10235"/>
    <n v="4013456789017"/>
    <x v="2"/>
    <s v="Krmivo a maškrty – Psy"/>
    <s v="Snouty"/>
    <n v="6"/>
    <n v="1"/>
    <s v="NULL"/>
    <s v=""/>
    <d v="2025-07-11T00:00:00"/>
    <n v="0"/>
    <n v="6"/>
    <s v=""/>
    <d v="2025-07-01T00:00:00"/>
    <s v="pes"/>
  </r>
  <r>
    <n v="10236"/>
    <n v="8599988776654"/>
    <x v="0"/>
    <s v="Pelechy a nábytok – Psy"/>
    <s v="Pup Republic"/>
    <n v="16.8"/>
    <n v="1"/>
    <s v="5"/>
    <s v="Koupila som aj pre kamarátku, psy sú nadšení."/>
    <d v="2025-07-11T00:00:00"/>
    <n v="0"/>
    <n v="16.8"/>
    <n v="5"/>
    <d v="2025-07-01T00:00:00"/>
    <s v="pes"/>
  </r>
  <r>
    <n v="10237"/>
    <n v="4063456789014"/>
    <x v="9"/>
    <s v="Krmivo a maškrty – Psy"/>
    <s v="Pupco"/>
    <n v="36"/>
    <n v="1"/>
    <s v="NULL"/>
    <s v=""/>
    <d v="2025-07-11T00:00:00"/>
    <n v="0"/>
    <n v="36"/>
    <s v=""/>
    <d v="2025-07-01T00:00:00"/>
    <s v="pes"/>
  </r>
  <r>
    <n v="10238"/>
    <n v="8599988776654"/>
    <x v="0"/>
    <s v="Pelechy a nábytok – Psy"/>
    <s v="Pup Republic"/>
    <n v="16.8"/>
    <n v="1"/>
    <s v="NULL"/>
    <s v=""/>
    <d v="2025-07-11T00:00:00"/>
    <n v="0"/>
    <n v="16.8"/>
    <s v=""/>
    <d v="2025-07-01T00:00:00"/>
    <s v="pes"/>
  </r>
  <r>
    <n v="10239"/>
    <n v="4028899001126"/>
    <x v="1"/>
    <s v="Krmivo a maškrty – Psy"/>
    <s v="Pup Republic"/>
    <n v="2.8"/>
    <n v="3"/>
    <s v="NULL"/>
    <s v=""/>
    <d v="2025-07-11T00:00:00"/>
    <n v="0"/>
    <n v="8.3999999999999986"/>
    <s v=""/>
    <d v="2025-07-01T00:00:00"/>
    <s v="pes"/>
  </r>
  <r>
    <n v="10240"/>
    <n v="8599988776654"/>
    <x v="0"/>
    <s v="Pelechy a nábytok – Psy"/>
    <s v="Pup Republic"/>
    <n v="16.8"/>
    <n v="1"/>
    <s v="NULL"/>
    <s v=""/>
    <d v="2025-07-12T00:00:00"/>
    <n v="0"/>
    <n v="16.8"/>
    <s v=""/>
    <d v="2025-07-01T00:00:00"/>
    <s v="pes"/>
  </r>
  <r>
    <n v="10241"/>
    <n v="4010123456783"/>
    <x v="3"/>
    <s v="Starostlivosť a hygiena – Mačky"/>
    <s v="BellaMeow"/>
    <n v="14"/>
    <n v="1"/>
    <s v="5"/>
    <s v="Bez prachu a zápachu, najlepšia podstielka."/>
    <d v="2025-07-12T00:00:00"/>
    <n v="0"/>
    <n v="14"/>
    <n v="5"/>
    <d v="2025-07-01T00:00:00"/>
    <s v="mačka"/>
  </r>
  <r>
    <n v="10242"/>
    <n v="8599988776654"/>
    <x v="0"/>
    <s v="Pelechy a nábytok – Psy"/>
    <s v="Pup Republic"/>
    <n v="16.8"/>
    <n v="2"/>
    <s v="NULL"/>
    <s v=""/>
    <d v="2025-07-12T00:00:00"/>
    <n v="0"/>
    <n v="33.6"/>
    <s v=""/>
    <d v="2025-07-01T00:00:00"/>
    <s v="pes"/>
  </r>
  <r>
    <n v="10243"/>
    <n v="4013456789017"/>
    <x v="2"/>
    <s v="Krmivo a maškrty – Psy"/>
    <s v="Snouty"/>
    <n v="6"/>
    <n v="1"/>
    <s v="NULL"/>
    <s v=""/>
    <d v="2025-07-12T00:00:00"/>
    <n v="0"/>
    <n v="6"/>
    <s v=""/>
    <d v="2025-07-01T00:00:00"/>
    <s v="pes"/>
  </r>
  <r>
    <n v="10244"/>
    <n v="8599988776654"/>
    <x v="0"/>
    <s v="Pelechy a nábytok – Psy"/>
    <s v="Pup Republic"/>
    <n v="16.8"/>
    <n v="1"/>
    <s v="NULL"/>
    <s v=""/>
    <d v="2025-07-12T00:00:00"/>
    <n v="0"/>
    <n v="16.8"/>
    <s v=""/>
    <d v="2025-07-01T00:00:00"/>
    <s v="pes"/>
  </r>
  <r>
    <n v="10245"/>
    <n v="4021234567894"/>
    <x v="7"/>
    <s v="Starostlivosť a hygiena – Mačky"/>
    <s v="PawStyle"/>
    <n v="8"/>
    <n v="1"/>
    <s v="NULL"/>
    <s v=""/>
    <d v="2025-07-12T00:00:00"/>
    <n v="0"/>
    <n v="8"/>
    <s v=""/>
    <d v="2025-07-01T00:00:00"/>
    <s v="mačka"/>
  </r>
  <r>
    <n v="10246"/>
    <n v="8599988776654"/>
    <x v="0"/>
    <s v="Pelechy a nábytok – Psy"/>
    <s v="Pup Republic"/>
    <n v="16.8"/>
    <n v="1"/>
    <s v="4"/>
    <s v="Pes sa na nej upokojí počas pár minut, odporúčam."/>
    <d v="2025-07-12T00:00:00"/>
    <n v="0"/>
    <n v="16.8"/>
    <n v="4"/>
    <d v="2025-07-01T00:00:00"/>
    <s v="pes"/>
  </r>
  <r>
    <n v="10247"/>
    <n v="4056789012345"/>
    <x v="4"/>
    <s v="Krmivo a maškrty – Mačky"/>
    <s v="BellaMeow"/>
    <n v="2.4"/>
    <n v="2"/>
    <s v="NULL"/>
    <s v=""/>
    <d v="2025-07-12T00:00:00"/>
    <n v="0"/>
    <n v="4.8"/>
    <s v=""/>
    <d v="2025-07-01T00:00:00"/>
    <s v="mačka"/>
  </r>
  <r>
    <n v="10248"/>
    <n v="8599988776654"/>
    <x v="0"/>
    <s v="Pelechy a nábytok – Psy"/>
    <s v="Pup Republic"/>
    <n v="16.8"/>
    <n v="1"/>
    <s v="NULL"/>
    <s v=""/>
    <d v="2025-07-12T00:00:00"/>
    <n v="0"/>
    <n v="16.8"/>
    <s v=""/>
    <d v="2025-07-01T00:00:00"/>
    <s v="pes"/>
  </r>
  <r>
    <n v="10249"/>
    <n v="4063456789014"/>
    <x v="9"/>
    <s v="Krmivo a maškrty – Psy"/>
    <s v="Pupco"/>
    <n v="36"/>
    <n v="1"/>
    <s v="NULL"/>
    <s v=""/>
    <d v="2025-07-12T00:00:00"/>
    <n v="0"/>
    <n v="36"/>
    <s v=""/>
    <d v="2025-07-01T00:00:00"/>
    <s v="pes"/>
  </r>
  <r>
    <n v="10250"/>
    <n v="8599988776654"/>
    <x v="0"/>
    <s v="Pelechy a nábytok – Psy"/>
    <s v="Pup Republic"/>
    <n v="16.8"/>
    <n v="1"/>
    <s v="NULL"/>
    <s v=""/>
    <d v="2025-07-12T00:00:00"/>
    <n v="0"/>
    <n v="16.8"/>
    <s v=""/>
    <d v="2025-07-01T00:00:00"/>
    <s v="pes"/>
  </r>
  <r>
    <n v="10251"/>
    <n v="4017890123450"/>
    <x v="8"/>
    <s v="Hračky – Psy"/>
    <s v="Dogissimo"/>
    <n v="7.6"/>
    <n v="1"/>
    <s v="4"/>
    <s v="Zvuk pískání drží aj po týždni, pes ju má rád."/>
    <d v="2025-07-12T00:00:00"/>
    <n v="0"/>
    <n v="7.6"/>
    <n v="4"/>
    <d v="2025-07-01T00:00:00"/>
    <s v="pes"/>
  </r>
  <r>
    <n v="10252"/>
    <n v="8599988776654"/>
    <x v="0"/>
    <s v="Pelechy a nábytok – Psy"/>
    <s v="Pup Republic"/>
    <n v="16.8"/>
    <n v="1"/>
    <s v="NULL"/>
    <s v=""/>
    <d v="2025-07-13T00:00:00"/>
    <n v="0"/>
    <n v="16.8"/>
    <s v=""/>
    <d v="2025-07-01T00:00:00"/>
    <s v="pes"/>
  </r>
  <r>
    <n v="10253"/>
    <n v="4028899001126"/>
    <x v="1"/>
    <s v="Krmivo a maškrty – Psy"/>
    <s v="Pup Republic"/>
    <n v="2.8"/>
    <n v="3"/>
    <s v="NULL"/>
    <s v=""/>
    <d v="2025-07-13T00:00:00"/>
    <n v="0"/>
    <n v="8.3999999999999986"/>
    <s v=""/>
    <d v="2025-07-01T00:00:00"/>
    <s v="pes"/>
  </r>
  <r>
    <n v="10254"/>
    <n v="8599988776654"/>
    <x v="0"/>
    <s v="Pelechy a nábytok – Psy"/>
    <s v="Pup Republic"/>
    <n v="16.8"/>
    <n v="1"/>
    <s v="NULL"/>
    <s v=""/>
    <d v="2025-07-13T00:00:00"/>
    <n v="0"/>
    <n v="16.8"/>
    <s v=""/>
    <d v="2025-07-01T00:00:00"/>
    <s v="pes"/>
  </r>
  <r>
    <n v="10255"/>
    <n v="4013456789017"/>
    <x v="2"/>
    <s v="Krmivo a maškrty – Psy"/>
    <s v="Snouty"/>
    <n v="6"/>
    <n v="1"/>
    <s v="3"/>
    <s v="Priemerné, pes je zje, ale žiadne nadšení."/>
    <d v="2025-07-13T00:00:00"/>
    <n v="0"/>
    <n v="6"/>
    <n v="3"/>
    <d v="2025-07-01T00:00:00"/>
    <s v="pes"/>
  </r>
  <r>
    <n v="10256"/>
    <n v="8599988776654"/>
    <x v="0"/>
    <s v="Pelechy a nábytok – Psy"/>
    <s v="Pup Republic"/>
    <n v="16.8"/>
    <n v="2"/>
    <s v="NULL"/>
    <s v=""/>
    <d v="2025-07-13T00:00:00"/>
    <n v="0"/>
    <n v="33.6"/>
    <s v=""/>
    <d v="2025-07-01T00:00:00"/>
    <s v="pes"/>
  </r>
  <r>
    <n v="10257"/>
    <n v="4063456789014"/>
    <x v="9"/>
    <s v="Krmivo a maškrty – Psy"/>
    <s v="Pupco"/>
    <n v="36"/>
    <n v="1"/>
    <s v="NULL"/>
    <s v=""/>
    <d v="2025-07-13T00:00:00"/>
    <n v="0"/>
    <n v="36"/>
    <s v=""/>
    <d v="2025-07-01T00:00:00"/>
    <s v="pes"/>
  </r>
  <r>
    <n v="10258"/>
    <n v="8599988776654"/>
    <x v="0"/>
    <s v="Pelechy a nábytok – Psy"/>
    <s v="Pup Republic"/>
    <n v="16.8"/>
    <n v="1"/>
    <s v="5"/>
    <s v="Fantastická kvalita, lehká údržba."/>
    <d v="2025-07-13T00:00:00"/>
    <n v="0"/>
    <n v="16.8"/>
    <n v="5"/>
    <d v="2025-07-01T00:00:00"/>
    <s v="pes"/>
  </r>
  <r>
    <n v="10259"/>
    <n v="4010123456783"/>
    <x v="3"/>
    <s v="Starostlivosť a hygiena – Mačky"/>
    <s v="BellaMeow"/>
    <n v="14"/>
    <n v="1"/>
    <s v="NULL"/>
    <s v=""/>
    <d v="2025-07-13T00:00:00"/>
    <n v="0"/>
    <n v="14"/>
    <s v=""/>
    <d v="2025-07-01T00:00:00"/>
    <s v="mačka"/>
  </r>
  <r>
    <n v="10260"/>
    <n v="8599988776654"/>
    <x v="0"/>
    <s v="Pelechy a nábytok – Psy"/>
    <s v="Pup Republic"/>
    <n v="16.8"/>
    <n v="1"/>
    <s v="NULL"/>
    <s v=""/>
    <d v="2025-07-13T00:00:00"/>
    <n v="0"/>
    <n v="16.8"/>
    <s v=""/>
    <d v="2025-07-01T00:00:00"/>
    <s v="pes"/>
  </r>
  <r>
    <n v="10261"/>
    <n v="4026677889902"/>
    <x v="10"/>
    <s v="Misky a kŕmne doplnky – Ostatné"/>
    <s v="Pawsitive Gear"/>
    <n v="7.6"/>
    <n v="1"/>
    <s v="5"/>
    <s v="Pevná, stabilní miska, dobre sa myje."/>
    <d v="2025-07-13T00:00:00"/>
    <n v="0"/>
    <n v="7.6"/>
    <n v="5"/>
    <d v="2025-07-01T00:00:00"/>
    <s v="iné"/>
  </r>
  <r>
    <n v="10262"/>
    <n v="8599988776654"/>
    <x v="0"/>
    <s v="Pelechy a nábytok – Psy"/>
    <s v="Pup Republic"/>
    <n v="16.8"/>
    <n v="2"/>
    <s v="NULL"/>
    <s v=""/>
    <d v="2025-07-13T00:00:00"/>
    <n v="0"/>
    <n v="33.6"/>
    <s v=""/>
    <d v="2025-07-01T00:00:00"/>
    <s v="pes"/>
  </r>
  <r>
    <n v="10263"/>
    <n v="4028899001126"/>
    <x v="1"/>
    <s v="Krmivo a maškrty – Psy"/>
    <s v="Pup Republic"/>
    <n v="2.8"/>
    <n v="3"/>
    <s v="NULL"/>
    <s v=""/>
    <d v="2025-07-13T00:00:00"/>
    <n v="0"/>
    <n v="8.3999999999999986"/>
    <s v=""/>
    <d v="2025-07-01T00:00:00"/>
    <s v="pes"/>
  </r>
  <r>
    <n v="10264"/>
    <n v="8599988776654"/>
    <x v="0"/>
    <s v="Pelechy a nábytok – Psy"/>
    <s v="Pup Republic"/>
    <n v="16.8"/>
    <n v="1"/>
    <s v="NULL"/>
    <s v=""/>
    <d v="2025-07-13T00:00:00"/>
    <n v="0"/>
    <n v="16.8"/>
    <s v=""/>
    <d v="2025-07-01T00:00:00"/>
    <s v="pes"/>
  </r>
  <r>
    <n v="10265"/>
    <n v="4013456789017"/>
    <x v="2"/>
    <s v="Krmivo a maškrty – Psy"/>
    <s v="Snouty"/>
    <n v="6"/>
    <n v="1"/>
    <s v="NULL"/>
    <s v=""/>
    <d v="2025-07-14T00:00:00"/>
    <n v="0"/>
    <n v="6"/>
    <s v=""/>
    <d v="2025-07-01T00:00:00"/>
    <s v="pes"/>
  </r>
  <r>
    <n v="10266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67"/>
    <n v="4028899001126"/>
    <x v="1"/>
    <s v="Krmivo a maškrty – Psy"/>
    <s v="Pup Republic"/>
    <n v="2.8"/>
    <n v="3"/>
    <s v="5"/>
    <s v="Maso šťavnaté, pes sa vždy olíže až za ušima."/>
    <d v="2025-07-14T00:00:00"/>
    <n v="0"/>
    <n v="8.3999999999999986"/>
    <n v="5"/>
    <d v="2025-07-01T00:00:00"/>
    <s v="pes"/>
  </r>
  <r>
    <n v="10268"/>
    <n v="8599988776654"/>
    <x v="0"/>
    <s v="Pelechy a nábytok – Psy"/>
    <s v="Pup Republic"/>
    <n v="16.8"/>
    <n v="2"/>
    <s v="NULL"/>
    <s v=""/>
    <d v="2025-07-14T00:00:00"/>
    <n v="0"/>
    <n v="33.6"/>
    <s v=""/>
    <d v="2025-07-01T00:00:00"/>
    <s v="pes"/>
  </r>
  <r>
    <n v="10269"/>
    <n v="4010123456783"/>
    <x v="3"/>
    <s v="Starostlivosť a hygiena – Mačky"/>
    <s v="BellaMeow"/>
    <n v="14"/>
    <n v="1"/>
    <s v="NULL"/>
    <s v=""/>
    <d v="2025-07-14T00:00:00"/>
    <n v="0"/>
    <n v="14"/>
    <s v=""/>
    <d v="2025-07-01T00:00:00"/>
    <s v="mačka"/>
  </r>
  <r>
    <n v="10270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71"/>
    <n v="4021234567894"/>
    <x v="7"/>
    <s v="Starostlivosť a hygiena – Mačky"/>
    <s v="PawStyle"/>
    <n v="8"/>
    <n v="1"/>
    <s v="4"/>
    <s v="Vôňa dlho vydrží, neutralizuje pachy."/>
    <d v="2025-07-14T00:00:00"/>
    <n v="0"/>
    <n v="8"/>
    <n v="4"/>
    <d v="2025-07-01T00:00:00"/>
    <s v="mačka"/>
  </r>
  <r>
    <n v="10272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73"/>
    <n v="4017890123450"/>
    <x v="8"/>
    <s v="Hračky – Psy"/>
    <s v="Dogissimo"/>
    <n v="7.6"/>
    <n v="1"/>
    <s v="NULL"/>
    <s v=""/>
    <d v="2025-07-14T00:00:00"/>
    <n v="0"/>
    <n v="7.6"/>
    <s v=""/>
    <d v="2025-07-01T00:00:00"/>
    <s v="pes"/>
  </r>
  <r>
    <n v="10274"/>
    <n v="8599988776654"/>
    <x v="0"/>
    <s v="Pelechy a nábytok – Psy"/>
    <s v="Pup Republic"/>
    <n v="16.8"/>
    <n v="2"/>
    <s v="NULL"/>
    <s v=""/>
    <d v="2025-07-14T00:00:00"/>
    <n v="0"/>
    <n v="33.6"/>
    <s v=""/>
    <d v="2025-07-01T00:00:00"/>
    <s v="pes"/>
  </r>
  <r>
    <n v="10275"/>
    <n v="4056789012345"/>
    <x v="4"/>
    <s v="Krmivo a maškrty – Mačky"/>
    <s v="BellaMeow"/>
    <n v="2.4"/>
    <n v="2"/>
    <s v="3"/>
    <s v="Mačka zjedla len polovicu, ale inak dobré zloženie."/>
    <d v="2025-07-14T00:00:00"/>
    <n v="0"/>
    <n v="4.8"/>
    <n v="3"/>
    <d v="2025-07-01T00:00:00"/>
    <s v="mačka"/>
  </r>
  <r>
    <n v="10276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77"/>
    <n v="4063456789014"/>
    <x v="9"/>
    <s v="Krmivo a maškrty – Psy"/>
    <s v="Pupco"/>
    <n v="36"/>
    <n v="1"/>
    <s v="NULL"/>
    <s v=""/>
    <d v="2025-07-14T00:00:00"/>
    <n v="0"/>
    <n v="36"/>
    <s v=""/>
    <d v="2025-07-01T00:00:00"/>
    <s v="pes"/>
  </r>
  <r>
    <n v="10278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79"/>
    <n v="4013456789017"/>
    <x v="2"/>
    <s v="Krmivo a maškrty – Psy"/>
    <s v="Snouty"/>
    <n v="6"/>
    <n v="2"/>
    <s v="5"/>
    <s v="Najlepšie odmena pri tréningu, bez cukru."/>
    <d v="2025-07-14T00:00:00"/>
    <n v="0"/>
    <n v="12"/>
    <n v="5"/>
    <d v="2025-07-01T00:00:00"/>
    <s v="pes"/>
  </r>
  <r>
    <n v="10280"/>
    <n v="8599988776654"/>
    <x v="0"/>
    <s v="Pelechy a nábytok – Psy"/>
    <s v="Pup Republic"/>
    <n v="16.8"/>
    <n v="1"/>
    <s v="NULL"/>
    <s v=""/>
    <d v="2025-07-14T00:00:00"/>
    <n v="0"/>
    <n v="16.8"/>
    <s v=""/>
    <d v="2025-07-01T00:00:00"/>
    <s v="pes"/>
  </r>
  <r>
    <n v="10281"/>
    <n v="4028899001126"/>
    <x v="1"/>
    <s v="Krmivo a maškrty – Psy"/>
    <s v="Pup Republic"/>
    <n v="2.8"/>
    <n v="3"/>
    <s v="NULL"/>
    <s v=""/>
    <d v="2025-07-14T00:00:00"/>
    <n v="0"/>
    <n v="8.3999999999999986"/>
    <s v=""/>
    <d v="2025-07-01T00:00:00"/>
    <s v="pes"/>
  </r>
  <r>
    <n v="10282"/>
    <n v="8599988776654"/>
    <x v="0"/>
    <s v="Pelechy a nábytok – Psy"/>
    <s v="Pup Republic"/>
    <n v="16.8"/>
    <n v="2"/>
    <s v="NULL"/>
    <s v=""/>
    <d v="2025-07-15T00:00:00"/>
    <n v="0"/>
    <n v="33.6"/>
    <s v=""/>
    <d v="2025-07-01T00:00:00"/>
    <s v="pes"/>
  </r>
  <r>
    <n v="10283"/>
    <n v="4013456789017"/>
    <x v="2"/>
    <s v="Krmivo a maškrty – Psy"/>
    <s v="Snouty"/>
    <n v="6"/>
    <n v="1"/>
    <s v="4"/>
    <s v="Pes je má rád, skvelá veľkosť na cvičenie."/>
    <d v="2025-07-15T00:00:00"/>
    <n v="0"/>
    <n v="6"/>
    <n v="4"/>
    <d v="2025-07-01T00:00:00"/>
    <s v="pes"/>
  </r>
  <r>
    <n v="10284"/>
    <n v="8599988776654"/>
    <x v="0"/>
    <s v="Pelechy a nábytok – Psy"/>
    <s v="Pup Republic"/>
    <n v="16.8"/>
    <n v="1"/>
    <s v="NULL"/>
    <s v=""/>
    <d v="2025-07-15T00:00:00"/>
    <n v="0"/>
    <n v="16.8"/>
    <s v=""/>
    <d v="2025-07-01T00:00:00"/>
    <s v="pes"/>
  </r>
  <r>
    <n v="10285"/>
    <n v="4028899001126"/>
    <x v="1"/>
    <s v="Krmivo a maškrty – Psy"/>
    <s v="Pup Republic"/>
    <n v="2.8"/>
    <n v="3"/>
    <s v="NULL"/>
    <s v=""/>
    <d v="2025-07-15T00:00:00"/>
    <n v="0"/>
    <n v="8.3999999999999986"/>
    <s v=""/>
    <d v="2025-07-01T00:00:00"/>
    <s v="pes"/>
  </r>
  <r>
    <n v="10286"/>
    <n v="8599988776654"/>
    <x v="0"/>
    <s v="Pelechy a nábytok – Psy"/>
    <s v="Pup Republic"/>
    <n v="16.8"/>
    <n v="2"/>
    <s v="NULL"/>
    <s v=""/>
    <d v="2025-07-15T00:00:00"/>
    <n v="0"/>
    <n v="33.6"/>
    <s v=""/>
    <d v="2025-07-01T00:00:00"/>
    <s v="pes"/>
  </r>
  <r>
    <n v="10287"/>
    <n v="4017890123450"/>
    <x v="8"/>
    <s v="Hračky – Psy"/>
    <s v="Dogissimo"/>
    <n v="7.6"/>
    <n v="1"/>
    <s v="NULL"/>
    <s v=""/>
    <d v="2025-07-15T00:00:00"/>
    <n v="0"/>
    <n v="7.6"/>
    <s v=""/>
    <d v="2025-07-01T00:00:00"/>
    <s v="pes"/>
  </r>
  <r>
    <n v="10288"/>
    <n v="8599988776654"/>
    <x v="0"/>
    <s v="Pelechy a nábytok – Psy"/>
    <s v="Pup Republic"/>
    <n v="16.8"/>
    <n v="1"/>
    <s v="5"/>
    <s v="Skvelé aj pre šteniatko, krásne sa vyspí bez potíží."/>
    <d v="2025-07-15T00:00:00"/>
    <n v="0"/>
    <n v="16.8"/>
    <n v="5"/>
    <d v="2025-07-01T00:00:00"/>
    <s v="pes"/>
  </r>
  <r>
    <n v="10289"/>
    <n v="4010123456783"/>
    <x v="3"/>
    <s v="Starostlivosť a hygiena – Mačky"/>
    <s v="BellaMeow"/>
    <n v="14"/>
    <n v="1"/>
    <s v="NULL"/>
    <s v=""/>
    <d v="2025-07-15T00:00:00"/>
    <n v="0"/>
    <n v="14"/>
    <s v=""/>
    <d v="2025-07-01T00:00:00"/>
    <s v="mačka"/>
  </r>
  <r>
    <n v="10290"/>
    <n v="8599988776654"/>
    <x v="0"/>
    <s v="Pelechy a nábytok – Psy"/>
    <s v="Pup Republic"/>
    <n v="16.8"/>
    <n v="1"/>
    <s v="NULL"/>
    <s v=""/>
    <d v="2025-07-15T00:00:00"/>
    <n v="0"/>
    <n v="16.8"/>
    <s v=""/>
    <d v="2025-07-01T00:00:00"/>
    <s v="pes"/>
  </r>
  <r>
    <n v="10291"/>
    <n v="4063456789014"/>
    <x v="9"/>
    <s v="Krmivo a maškrty – Psy"/>
    <s v="Pupco"/>
    <n v="36"/>
    <n v="1"/>
    <s v="NULL"/>
    <s v=""/>
    <d v="2025-07-15T00:00:00"/>
    <n v="0"/>
    <n v="36"/>
    <s v=""/>
    <d v="2025-07-01T00:00:00"/>
    <s v="pes"/>
  </r>
  <r>
    <n v="10292"/>
    <n v="8599988776654"/>
    <x v="0"/>
    <s v="Pelechy a nábytok – Psy"/>
    <s v="Pup Republic"/>
    <n v="16.8"/>
    <n v="1"/>
    <s v="NULL"/>
    <s v=""/>
    <d v="2025-07-15T00:00:00"/>
    <n v="0"/>
    <n v="16.8"/>
    <s v=""/>
    <d v="2025-07-01T00:00:00"/>
    <s v="pes"/>
  </r>
  <r>
    <n v="10293"/>
    <n v="4056789012345"/>
    <x v="4"/>
    <s v="Krmivo a maškrty – Mačky"/>
    <s v="BellaMeow"/>
    <n v="2.4"/>
    <n v="2"/>
    <s v="NULL"/>
    <s v=""/>
    <d v="2025-07-15T00:00:00"/>
    <n v="0"/>
    <n v="4.8"/>
    <s v=""/>
    <d v="2025-07-01T00:00:00"/>
    <s v="mačka"/>
  </r>
  <r>
    <n v="10294"/>
    <n v="8599988776654"/>
    <x v="0"/>
    <s v="Pelechy a nábytok – Psy"/>
    <s v="Pup Republic"/>
    <n v="16.8"/>
    <n v="1"/>
    <s v="4"/>
    <s v="Príjemný materiál, ale mohol by byť silnejší."/>
    <d v="2025-07-15T00:00:00"/>
    <n v="0"/>
    <n v="16.8"/>
    <n v="4"/>
    <d v="2025-07-01T00:00:00"/>
    <s v="pes"/>
  </r>
  <r>
    <n v="10295"/>
    <n v="4021234567894"/>
    <x v="7"/>
    <s v="Starostlivosť a hygiena – Mačky"/>
    <s v="PawStyle"/>
    <n v="8"/>
    <n v="1"/>
    <s v="NULL"/>
    <s v=""/>
    <d v="2025-07-16T00:00:00"/>
    <n v="0"/>
    <n v="8"/>
    <s v=""/>
    <d v="2025-07-01T00:00:00"/>
    <s v="mačka"/>
  </r>
  <r>
    <n v="10296"/>
    <n v="8599988776654"/>
    <x v="0"/>
    <s v="Pelechy a nábytok – Psy"/>
    <s v="Pup Republic"/>
    <n v="16.8"/>
    <n v="2"/>
    <s v="NULL"/>
    <s v=""/>
    <d v="2025-07-16T00:00:00"/>
    <n v="0"/>
    <n v="33.6"/>
    <s v=""/>
    <d v="2025-07-01T00:00:00"/>
    <s v="pes"/>
  </r>
  <r>
    <n v="10297"/>
    <n v="4013456789017"/>
    <x v="2"/>
    <s v="Krmivo a maškrty – Psy"/>
    <s v="Snouty"/>
    <n v="6"/>
    <n v="1"/>
    <s v="NULL"/>
    <s v=""/>
    <d v="2025-07-16T00:00:00"/>
    <n v="0"/>
    <n v="6"/>
    <s v=""/>
    <d v="2025-07-01T00:00:00"/>
    <s v="pes"/>
  </r>
  <r>
    <n v="10298"/>
    <n v="8599988776654"/>
    <x v="0"/>
    <s v="Pelechy a nábytok – Psy"/>
    <s v="Pup Republic"/>
    <n v="16.8"/>
    <n v="1"/>
    <s v="NULL"/>
    <s v=""/>
    <d v="2025-07-16T00:00:00"/>
    <n v="0"/>
    <n v="16.8"/>
    <s v=""/>
    <d v="2025-07-01T00:00:00"/>
    <s v="pes"/>
  </r>
  <r>
    <n v="10299"/>
    <n v="4063456789014"/>
    <x v="9"/>
    <s v="Krmivo a maškrty – Psy"/>
    <s v="Pupco"/>
    <n v="36"/>
    <n v="1"/>
    <s v="NULL"/>
    <s v=""/>
    <d v="2025-07-16T00:00:00"/>
    <n v="0"/>
    <n v="36"/>
    <s v=""/>
    <d v="2025-07-01T00:00:00"/>
    <s v="pes"/>
  </r>
  <r>
    <n v="10300"/>
    <n v="8599988776654"/>
    <x v="0"/>
    <s v="Pelechy a nábytok – Psy"/>
    <s v="Pup Republic"/>
    <n v="16.8"/>
    <n v="1"/>
    <s v="NULL"/>
    <s v=""/>
    <d v="2025-07-16T00:00:00"/>
    <n v="0"/>
    <n v="16.8"/>
    <s v=""/>
    <d v="2025-07-01T00:00:00"/>
    <s v="pes"/>
  </r>
  <r>
    <n v="10301"/>
    <n v="4017890123450"/>
    <x v="8"/>
    <s v="Hračky – Psy"/>
    <s v="Dogissimo"/>
    <n v="7.6"/>
    <n v="1"/>
    <s v="5"/>
    <s v="Pes sa ju nosí všade, výborná kvalita."/>
    <d v="2025-07-16T00:00:00"/>
    <n v="0"/>
    <n v="7.6"/>
    <n v="5"/>
    <d v="2025-07-01T00:00:00"/>
    <s v="pes"/>
  </r>
  <r>
    <n v="10302"/>
    <n v="8599988776654"/>
    <x v="0"/>
    <s v="Pelechy a nábytok – Psy"/>
    <s v="Pup Republic"/>
    <n v="16.8"/>
    <n v="2"/>
    <s v="NULL"/>
    <s v=""/>
    <d v="2025-07-16T00:00:00"/>
    <n v="0"/>
    <n v="33.6"/>
    <s v=""/>
    <d v="2025-07-01T00:00:00"/>
    <s v="pes"/>
  </r>
  <r>
    <n v="10303"/>
    <n v="4010123456783"/>
    <x v="3"/>
    <s v="Starostlivosť a hygiena – Mačky"/>
    <s v="BellaMeow"/>
    <n v="14"/>
    <n v="1"/>
    <s v="NULL"/>
    <s v=""/>
    <d v="2025-07-16T00:00:00"/>
    <n v="0"/>
    <n v="14"/>
    <s v=""/>
    <d v="2025-07-01T00:00:00"/>
    <s v="mačka"/>
  </r>
  <r>
    <n v="10304"/>
    <n v="8599988776654"/>
    <x v="0"/>
    <s v="Pelechy a nábytok – Psy"/>
    <s v="Pup Republic"/>
    <n v="16.8"/>
    <n v="1"/>
    <s v="5"/>
    <s v="Nečekal som, že bude tak efektivní. Výborné!"/>
    <d v="2025-07-16T00:00:00"/>
    <n v="0"/>
    <n v="16.8"/>
    <n v="5"/>
    <d v="2025-07-01T00:00:00"/>
    <s v="pes"/>
  </r>
  <r>
    <n v="10305"/>
    <n v="4027788990013"/>
    <x v="5"/>
    <s v="Starostlivosť a hygiena – Psy"/>
    <s v="Dogissimo"/>
    <n v="8"/>
    <n v="1"/>
    <s v="NULL"/>
    <s v=""/>
    <d v="2025-07-16T00:00:00"/>
    <n v="0"/>
    <n v="8"/>
    <s v=""/>
    <d v="2025-07-01T00:00:00"/>
    <s v="pes"/>
  </r>
  <r>
    <n v="10306"/>
    <n v="8599988776654"/>
    <x v="0"/>
    <s v="Pelechy a nábytok – Psy"/>
    <s v="Pup Republic"/>
    <n v="16.8"/>
    <n v="1"/>
    <s v="NULL"/>
    <s v=""/>
    <d v="2025-07-16T00:00:00"/>
    <n v="0"/>
    <n v="16.8"/>
    <s v=""/>
    <d v="2025-07-01T00:00:00"/>
    <s v="pes"/>
  </r>
  <r>
    <n v="10307"/>
    <n v="4028899001126"/>
    <x v="1"/>
    <s v="Krmivo a maškrty – Psy"/>
    <s v="Pup Republic"/>
    <n v="2.8"/>
    <n v="3"/>
    <s v="4"/>
    <s v="Dobré konzervy, pes je papá pravidelne."/>
    <d v="2025-07-16T00:00:00"/>
    <n v="0"/>
    <n v="8.3999999999999986"/>
    <n v="4"/>
    <d v="2025-07-01T00:00:00"/>
    <s v="pes"/>
  </r>
  <r>
    <n v="10308"/>
    <n v="8599988776654"/>
    <x v="0"/>
    <s v="Pelechy a nábytok – Psy"/>
    <s v="Pup Republic"/>
    <n v="16.8"/>
    <n v="2"/>
    <s v="NULL"/>
    <s v=""/>
    <d v="2025-07-16T00:00:00"/>
    <n v="0"/>
    <n v="33.6"/>
    <s v=""/>
    <d v="2025-07-01T00:00:00"/>
    <s v="pes"/>
  </r>
  <r>
    <n v="10309"/>
    <n v="4063456789014"/>
    <x v="9"/>
    <s v="Krmivo a maškrty – Psy"/>
    <s v="Pupco"/>
    <n v="36"/>
    <n v="1"/>
    <s v="NULL"/>
    <s v=""/>
    <d v="2025-07-16T00:00:00"/>
    <n v="0"/>
    <n v="36"/>
    <s v=""/>
    <d v="2025-07-01T00:00:00"/>
    <s v="pes"/>
  </r>
  <r>
    <n v="10310"/>
    <n v="8599988776654"/>
    <x v="0"/>
    <s v="Pelechy a nábytok – Psy"/>
    <s v="Pup Republic"/>
    <n v="16.8"/>
    <n v="1"/>
    <s v="NULL"/>
    <s v=""/>
    <d v="2025-07-17T00:00:00"/>
    <n v="0"/>
    <n v="16.8"/>
    <s v=""/>
    <d v="2025-07-01T00:00:00"/>
    <s v="pes"/>
  </r>
  <r>
    <n v="10311"/>
    <n v="4013456789017"/>
    <x v="2"/>
    <s v="Krmivo a maškrty – Psy"/>
    <s v="Snouty"/>
    <n v="6"/>
    <n v="2"/>
    <s v="4"/>
    <s v="Malé, mäkké kousky, ideálne na cvičák."/>
    <d v="2025-07-17T00:00:00"/>
    <n v="0"/>
    <n v="12"/>
    <n v="4"/>
    <d v="2025-07-01T00:00:00"/>
    <s v="pes"/>
  </r>
  <r>
    <n v="10312"/>
    <n v="8599988776654"/>
    <x v="0"/>
    <s v="Pelechy a nábytok – Psy"/>
    <s v="Pup Republic"/>
    <n v="16.8"/>
    <n v="1"/>
    <s v="NULL"/>
    <s v=""/>
    <d v="2025-07-17T00:00:00"/>
    <n v="0"/>
    <n v="16.8"/>
    <s v=""/>
    <d v="2025-07-01T00:00:00"/>
    <s v="pes"/>
  </r>
  <r>
    <n v="10313"/>
    <n v="4021234567894"/>
    <x v="7"/>
    <s v="Starostlivosť a hygiena – Mačky"/>
    <s v="PawStyle"/>
    <n v="8"/>
    <n v="1"/>
    <s v="NULL"/>
    <s v=""/>
    <d v="2025-07-17T00:00:00"/>
    <n v="0"/>
    <n v="8"/>
    <s v=""/>
    <d v="2025-07-01T00:00:00"/>
    <s v="mačka"/>
  </r>
  <r>
    <n v="10314"/>
    <n v="8599988776654"/>
    <x v="0"/>
    <s v="Pelechy a nábytok – Psy"/>
    <s v="Pup Republic"/>
    <n v="16.8"/>
    <n v="2"/>
    <s v="NULL"/>
    <s v=""/>
    <d v="2025-07-17T00:00:00"/>
    <n v="0"/>
    <n v="33.6"/>
    <s v=""/>
    <d v="2025-07-01T00:00:00"/>
    <s v="pes"/>
  </r>
  <r>
    <n v="10315"/>
    <n v="4017890123450"/>
    <x v="8"/>
    <s v="Hračky – Psy"/>
    <s v="Dogissimo"/>
    <n v="7.6"/>
    <n v="1"/>
    <s v="5"/>
    <s v="Fenka ju ťahá aj do postele, skvelá hračka."/>
    <d v="2025-07-17T00:00:00"/>
    <n v="0"/>
    <n v="7.6"/>
    <n v="5"/>
    <d v="2025-07-01T00:00:00"/>
    <s v="pes"/>
  </r>
  <r>
    <n v="10316"/>
    <n v="8599988776654"/>
    <x v="0"/>
    <s v="Pelechy a nábytok – Psy"/>
    <s v="Pup Republic"/>
    <n v="16.8"/>
    <n v="1"/>
    <s v="NULL"/>
    <s v=""/>
    <d v="2025-07-17T00:00:00"/>
    <n v="0"/>
    <n v="16.8"/>
    <s v=""/>
    <d v="2025-07-01T00:00:00"/>
    <s v="pes"/>
  </r>
  <r>
    <n v="10317"/>
    <n v="4010123456783"/>
    <x v="3"/>
    <s v="Starostlivosť a hygiena – Mačky"/>
    <s v="BellaMeow"/>
    <n v="14"/>
    <n v="1"/>
    <s v="NULL"/>
    <s v=""/>
    <d v="2025-07-17T00:00:00"/>
    <n v="0"/>
    <n v="14"/>
    <s v=""/>
    <d v="2025-07-01T00:00:00"/>
    <s v="mačka"/>
  </r>
  <r>
    <n v="10318"/>
    <n v="8599988776654"/>
    <x v="0"/>
    <s v="Pelechy a nábytok – Psy"/>
    <s v="Pup Republic"/>
    <n v="16.8"/>
    <n v="1"/>
    <s v="4"/>
    <s v="Dobre sa čistí, ale trochu šmýka sa po podlaze."/>
    <d v="2025-07-17T00:00:00"/>
    <n v="0"/>
    <n v="16.8"/>
    <n v="4"/>
    <d v="2025-07-01T00:00:00"/>
    <s v="pes"/>
  </r>
  <r>
    <n v="10319"/>
    <n v="4063456789014"/>
    <x v="9"/>
    <s v="Krmivo a maškrty – Psy"/>
    <s v="Pupco"/>
    <n v="36"/>
    <n v="1"/>
    <s v="NULL"/>
    <s v=""/>
    <d v="2025-07-17T00:00:00"/>
    <n v="0"/>
    <n v="36"/>
    <s v=""/>
    <d v="2025-07-01T00:00:00"/>
    <s v="pes"/>
  </r>
  <r>
    <n v="10320"/>
    <n v="8599988776654"/>
    <x v="0"/>
    <s v="Pelechy a nábytok – Psy"/>
    <s v="Pup Republic"/>
    <n v="16.8"/>
    <n v="1"/>
    <s v="NULL"/>
    <s v=""/>
    <d v="2025-07-17T00:00:00"/>
    <n v="0"/>
    <n v="16.8"/>
    <s v=""/>
    <d v="2025-07-01T00:00:00"/>
    <s v="pes"/>
  </r>
  <r>
    <n v="10321"/>
    <n v="4056789012345"/>
    <x v="4"/>
    <s v="Krmivo a maškrty – Mačky"/>
    <s v="BellaMeow"/>
    <n v="2.4"/>
    <n v="3"/>
    <s v="NULL"/>
    <s v=""/>
    <d v="2025-07-17T00:00:00"/>
    <n v="0"/>
    <n v="7.1999999999999993"/>
    <s v=""/>
    <d v="2025-07-01T00:00:00"/>
    <s v="mačka"/>
  </r>
  <r>
    <n v="10322"/>
    <n v="8599988776654"/>
    <x v="0"/>
    <s v="Pelechy a nábytok – Psy"/>
    <s v="Pup Republic"/>
    <n v="16.8"/>
    <n v="1"/>
    <s v="NULL"/>
    <s v=""/>
    <d v="2025-07-17T00:00:00"/>
    <n v="0"/>
    <n v="16.8"/>
    <s v=""/>
    <d v="2025-07-01T00:00:00"/>
    <s v="pes"/>
  </r>
  <r>
    <n v="10323"/>
    <n v="4013456789017"/>
    <x v="2"/>
    <s v="Krmivo a maškrty – Psy"/>
    <s v="Snouty"/>
    <n v="6"/>
    <n v="1"/>
    <s v="5"/>
    <s v="Mäkké maškrty, super motivace pri výcviku."/>
    <d v="2025-07-17T00:00:00"/>
    <n v="0"/>
    <n v="6"/>
    <n v="5"/>
    <d v="2025-07-01T00:00:00"/>
    <s v="pes"/>
  </r>
  <r>
    <n v="10324"/>
    <n v="8599988776654"/>
    <x v="0"/>
    <s v="Pelechy a nábytok – Psy"/>
    <s v="Pup Republic"/>
    <n v="16.8"/>
    <n v="1"/>
    <s v="NULL"/>
    <s v=""/>
    <d v="2025-07-18T00:00:00"/>
    <n v="0"/>
    <n v="16.8"/>
    <s v=""/>
    <d v="2025-07-01T00:00:00"/>
    <s v="pes"/>
  </r>
  <r>
    <n v="10325"/>
    <n v="4028899001126"/>
    <x v="1"/>
    <s v="Krmivo a maškrty – Psy"/>
    <s v="Pup Republic"/>
    <n v="2.8"/>
    <n v="2"/>
    <s v="NULL"/>
    <s v=""/>
    <d v="2025-07-18T00:00:00"/>
    <n v="0"/>
    <n v="5.6"/>
    <s v=""/>
    <d v="2025-07-01T00:00:00"/>
    <s v="pes"/>
  </r>
  <r>
    <n v="10326"/>
    <n v="8599988776654"/>
    <x v="0"/>
    <s v="Pelechy a nábytok – Psy"/>
    <s v="Pup Republic"/>
    <n v="16.8"/>
    <n v="2"/>
    <s v="NULL"/>
    <s v=""/>
    <d v="2025-07-18T00:00:00"/>
    <n v="0"/>
    <n v="33.6"/>
    <s v=""/>
    <d v="2025-07-01T00:00:00"/>
    <s v="pes"/>
  </r>
  <r>
    <n v="10327"/>
    <n v="4063456789014"/>
    <x v="9"/>
    <s v="Krmivo a maškrty – Psy"/>
    <s v="Pupco"/>
    <n v="36"/>
    <n v="1"/>
    <s v="NULL"/>
    <s v=""/>
    <d v="2025-07-18T00:00:00"/>
    <n v="0"/>
    <n v="36"/>
    <s v=""/>
    <d v="2025-07-01T00:00:00"/>
    <s v="pes"/>
  </r>
  <r>
    <n v="10328"/>
    <n v="8599988776654"/>
    <x v="0"/>
    <s v="Pelechy a nábytok – Psy"/>
    <s v="Pup Republic"/>
    <n v="16.8"/>
    <n v="1"/>
    <s v="5"/>
    <s v="Skvelá vec pre psy s hustou srstí."/>
    <d v="2025-07-18T00:00:00"/>
    <n v="0"/>
    <n v="16.8"/>
    <n v="5"/>
    <d v="2025-07-01T00:00:00"/>
    <s v="pes"/>
  </r>
  <r>
    <n v="10329"/>
    <n v="4010123456783"/>
    <x v="3"/>
    <s v="Starostlivosť a hygiena – Mačky"/>
    <s v="BellaMeow"/>
    <n v="14"/>
    <n v="1"/>
    <s v="NULL"/>
    <s v=""/>
    <d v="2025-07-18T00:00:00"/>
    <n v="0"/>
    <n v="14"/>
    <s v=""/>
    <d v="2025-07-01T00:00:00"/>
    <s v="mačka"/>
  </r>
  <r>
    <n v="10330"/>
    <n v="8599988776654"/>
    <x v="0"/>
    <s v="Pelechy a nábytok – Psy"/>
    <s v="Pup Republic"/>
    <n v="16.8"/>
    <n v="1"/>
    <s v="NULL"/>
    <s v=""/>
    <d v="2025-07-18T00:00:00"/>
    <n v="0"/>
    <n v="16.8"/>
    <s v=""/>
    <d v="2025-07-01T00:00:00"/>
    <s v="pes"/>
  </r>
  <r>
    <n v="10331"/>
    <n v="4013456789017"/>
    <x v="2"/>
    <s v="Krmivo a maškrty – Psy"/>
    <s v="Snouty"/>
    <n v="6"/>
    <n v="2"/>
    <s v="NULL"/>
    <s v=""/>
    <d v="2025-07-18T00:00:00"/>
    <n v="0"/>
    <n v="12"/>
    <s v=""/>
    <d v="2025-07-01T00:00:00"/>
    <s v="pes"/>
  </r>
  <r>
    <n v="10332"/>
    <n v="8599988776654"/>
    <x v="0"/>
    <s v="Pelechy a nábytok – Psy"/>
    <s v="Pup Republic"/>
    <n v="16.8"/>
    <n v="1"/>
    <s v="NULL"/>
    <s v=""/>
    <d v="2025-07-18T00:00:00"/>
    <n v="0"/>
    <n v="16.8"/>
    <s v=""/>
    <d v="2025-07-01T00:00:00"/>
    <s v="pes"/>
  </r>
  <r>
    <n v="10333"/>
    <n v="4021234567894"/>
    <x v="7"/>
    <s v="Starostlivosť a hygiena – Mačky"/>
    <s v="PawStyle"/>
    <n v="8"/>
    <n v="1"/>
    <s v="3"/>
    <s v="Pomáha, ale rozprašovač by mohol byť lepší."/>
    <d v="2025-07-18T00:00:00"/>
    <n v="0"/>
    <n v="8"/>
    <n v="3"/>
    <d v="2025-07-01T00:00:00"/>
    <s v="mačka"/>
  </r>
  <r>
    <n v="10334"/>
    <n v="8599988776654"/>
    <x v="0"/>
    <s v="Pelechy a nábytok – Psy"/>
    <s v="Pup Republic"/>
    <n v="16.8"/>
    <n v="1"/>
    <s v="NULL"/>
    <s v=""/>
    <d v="2025-07-19T00:00:00"/>
    <n v="0"/>
    <n v="16.8"/>
    <s v=""/>
    <d v="2025-07-01T00:00:00"/>
    <s v="pes"/>
  </r>
  <r>
    <n v="10335"/>
    <n v="4027788990013"/>
    <x v="5"/>
    <s v="Starostlivosť a hygiena – Psy"/>
    <s v="Dogissimo"/>
    <n v="8"/>
    <n v="1"/>
    <s v="NULL"/>
    <s v=""/>
    <d v="2025-07-19T00:00:00"/>
    <n v="0"/>
    <n v="8"/>
    <s v=""/>
    <d v="2025-07-01T00:00:00"/>
    <s v="pes"/>
  </r>
  <r>
    <n v="10336"/>
    <n v="8599988776654"/>
    <x v="0"/>
    <s v="Pelechy a nábytok – Psy"/>
    <s v="Pup Republic"/>
    <n v="16.8"/>
    <n v="2"/>
    <s v="NULL"/>
    <s v=""/>
    <d v="2025-07-19T00:00:00"/>
    <n v="0"/>
    <n v="33.6"/>
    <s v=""/>
    <d v="2025-07-01T00:00:00"/>
    <s v="pes"/>
  </r>
  <r>
    <n v="10337"/>
    <n v="4063456789014"/>
    <x v="9"/>
    <s v="Krmivo a maškrty – Psy"/>
    <s v="Pupco"/>
    <n v="36"/>
    <n v="1"/>
    <s v="5"/>
    <s v="Vysoká kvalita, pes má hezčí srsť."/>
    <d v="2025-07-19T00:00:00"/>
    <n v="0"/>
    <n v="36"/>
    <n v="5"/>
    <d v="2025-07-01T00:00:00"/>
    <s v="pes"/>
  </r>
  <r>
    <n v="10338"/>
    <n v="8599988776654"/>
    <x v="0"/>
    <s v="Pelechy a nábytok – Psy"/>
    <s v="Pup Republic"/>
    <n v="16.8"/>
    <n v="1"/>
    <s v="NULL"/>
    <s v=""/>
    <d v="2025-07-19T00:00:00"/>
    <n v="0"/>
    <n v="16.8"/>
    <s v=""/>
    <d v="2025-07-01T00:00:00"/>
    <s v="pes"/>
  </r>
  <r>
    <n v="10339"/>
    <n v="4017890123450"/>
    <x v="8"/>
    <s v="Hračky – Psy"/>
    <s v="Dogissimo"/>
    <n v="7.6"/>
    <n v="1"/>
    <s v="NULL"/>
    <s v=""/>
    <d v="2025-07-19T00:00:00"/>
    <n v="0"/>
    <n v="7.6"/>
    <s v=""/>
    <d v="2025-07-01T00:00:00"/>
    <s v="pes"/>
  </r>
  <r>
    <n v="10340"/>
    <n v="8599988776654"/>
    <x v="0"/>
    <s v="Pelechy a nábytok – Psy"/>
    <s v="Pup Republic"/>
    <n v="16.8"/>
    <n v="2"/>
    <s v="4"/>
    <s v="Vyhovuje, ale sklouzává po kachličkách."/>
    <d v="2025-07-19T00:00:00"/>
    <n v="0"/>
    <n v="33.6"/>
    <n v="4"/>
    <d v="2025-07-01T00:00:00"/>
    <s v="pes"/>
  </r>
  <r>
    <n v="10341"/>
    <n v="4028899001126"/>
    <x v="1"/>
    <s v="Krmivo a maškrty – Psy"/>
    <s v="Pup Republic"/>
    <n v="2.8"/>
    <n v="3"/>
    <s v="NULL"/>
    <s v=""/>
    <d v="2025-07-19T00:00:00"/>
    <n v="0"/>
    <n v="8.3999999999999986"/>
    <s v=""/>
    <d v="2025-07-01T00:00:00"/>
    <s v="pes"/>
  </r>
  <r>
    <n v="10342"/>
    <n v="8599988776654"/>
    <x v="0"/>
    <s v="Pelechy a nábytok – Psy"/>
    <s v="Pup Republic"/>
    <n v="16.8"/>
    <n v="1"/>
    <s v="NULL"/>
    <s v=""/>
    <d v="2025-07-19T00:00:00"/>
    <n v="0"/>
    <n v="16.8"/>
    <s v=""/>
    <d v="2025-07-01T00:00:00"/>
    <s v="pes"/>
  </r>
  <r>
    <n v="10343"/>
    <n v="4013456789017"/>
    <x v="2"/>
    <s v="Krmivo a maškrty – Psy"/>
    <s v="Snouty"/>
    <n v="6"/>
    <n v="1"/>
    <s v="NULL"/>
    <s v=""/>
    <d v="2025-07-19T00:00:00"/>
    <n v="0"/>
    <n v="6"/>
    <s v=""/>
    <d v="2025-07-01T00:00:00"/>
    <s v="pes"/>
  </r>
  <r>
    <n v="10344"/>
    <n v="8599988776654"/>
    <x v="0"/>
    <s v="Pelechy a nábytok – Psy"/>
    <s v="Pup Republic"/>
    <n v="16.8"/>
    <n v="1"/>
    <s v="NULL"/>
    <s v=""/>
    <d v="2025-07-19T00:00:00"/>
    <n v="0"/>
    <n v="16.8"/>
    <s v=""/>
    <d v="2025-07-01T00:00:00"/>
    <s v="pes"/>
  </r>
  <r>
    <n v="10345"/>
    <n v="4056789012345"/>
    <x v="4"/>
    <s v="Krmivo a maškrty – Mačky"/>
    <s v="BellaMeow"/>
    <n v="2.4"/>
    <n v="2"/>
    <s v="4"/>
    <s v="Mačka spokojná, kupujem opakovane."/>
    <d v="2025-07-19T00:00:00"/>
    <n v="0"/>
    <n v="4.8"/>
    <n v="4"/>
    <d v="2025-07-01T00:00:00"/>
    <s v="mačka"/>
  </r>
  <r>
    <n v="10346"/>
    <n v="8599988776654"/>
    <x v="0"/>
    <s v="Pelechy a nábytok – Psy"/>
    <s v="Pup Republic"/>
    <n v="16.8"/>
    <n v="1"/>
    <s v="NULL"/>
    <s v=""/>
    <d v="2025-07-20T00:00:00"/>
    <n v="0"/>
    <n v="16.8"/>
    <s v=""/>
    <d v="2025-07-01T00:00:00"/>
    <s v="pes"/>
  </r>
  <r>
    <n v="10347"/>
    <n v="4063456789014"/>
    <x v="9"/>
    <s v="Krmivo a maškrty – Psy"/>
    <s v="Pupco"/>
    <n v="36"/>
    <n v="1"/>
    <s v="NULL"/>
    <s v=""/>
    <d v="2025-07-20T00:00:00"/>
    <n v="0"/>
    <n v="36"/>
    <s v=""/>
    <d v="2025-07-01T00:00:00"/>
    <s v="pes"/>
  </r>
  <r>
    <n v="10348"/>
    <n v="8599988776654"/>
    <x v="0"/>
    <s v="Pelechy a nábytok – Psy"/>
    <s v="Pup Republic"/>
    <n v="16.8"/>
    <n v="2"/>
    <s v="5"/>
    <s v="Pes sa na nej válí celé dni, výborná kúpa."/>
    <d v="2025-07-20T00:00:00"/>
    <n v="0"/>
    <n v="33.6"/>
    <n v="5"/>
    <d v="2025-07-01T00:00:00"/>
    <s v="pes"/>
  </r>
  <r>
    <n v="10349"/>
    <n v="4010123456783"/>
    <x v="3"/>
    <s v="Starostlivosť a hygiena – Mačky"/>
    <s v="BellaMeow"/>
    <n v="14"/>
    <n v="1"/>
    <s v="NULL"/>
    <s v=""/>
    <d v="2025-07-20T00:00:00"/>
    <n v="0"/>
    <n v="14"/>
    <s v=""/>
    <d v="2025-07-01T00:00:00"/>
    <s v="mačka"/>
  </r>
  <r>
    <n v="10350"/>
    <n v="8599988776654"/>
    <x v="0"/>
    <s v="Pelechy a nábytok – Psy"/>
    <s v="Pup Republic"/>
    <n v="16.8"/>
    <n v="1"/>
    <s v="NULL"/>
    <s v=""/>
    <d v="2025-07-20T00:00:00"/>
    <n v="0"/>
    <n v="16.8"/>
    <s v=""/>
    <d v="2025-07-01T00:00:00"/>
    <s v="pes"/>
  </r>
  <r>
    <n v="10351"/>
    <n v="4013456789017"/>
    <x v="2"/>
    <s v="Krmivo a maškrty – Psy"/>
    <s v="Snouty"/>
    <n v="6"/>
    <n v="2"/>
    <s v="NULL"/>
    <s v=""/>
    <d v="2025-07-20T00:00:00"/>
    <n v="0"/>
    <n v="12"/>
    <s v=""/>
    <d v="2025-07-01T00:00:00"/>
    <s v="pes"/>
  </r>
  <r>
    <n v="10352"/>
    <n v="8599988776654"/>
    <x v="0"/>
    <s v="Pelechy a nábytok – Psy"/>
    <s v="Pup Republic"/>
    <n v="16.8"/>
    <n v="1"/>
    <s v="NULL"/>
    <s v=""/>
    <d v="2025-07-20T00:00:00"/>
    <n v="0"/>
    <n v="16.8"/>
    <s v=""/>
    <d v="2025-07-01T00:00:00"/>
    <s v="pes"/>
  </r>
  <r>
    <n v="10353"/>
    <n v="4021234567894"/>
    <x v="7"/>
    <s v="Starostlivosť a hygiena – Mačky"/>
    <s v="PawStyle"/>
    <n v="8"/>
    <n v="1"/>
    <s v="3"/>
    <s v="Na väčší zápach nestačí, inak dobrý."/>
    <d v="2025-07-20T00:00:00"/>
    <n v="0"/>
    <n v="8"/>
    <n v="3"/>
    <d v="2025-07-01T00:00:00"/>
    <s v="mačka"/>
  </r>
  <r>
    <n v="10354"/>
    <n v="8599988776654"/>
    <x v="0"/>
    <s v="Pelechy a nábytok – Psy"/>
    <s v="Pup Republic"/>
    <n v="16.8"/>
    <n v="2"/>
    <s v="NULL"/>
    <s v=""/>
    <d v="2025-07-20T00:00:00"/>
    <n v="0"/>
    <n v="33.6"/>
    <s v=""/>
    <d v="2025-07-01T00:00:00"/>
    <s v="pes"/>
  </r>
  <r>
    <n v="10355"/>
    <n v="4027788990013"/>
    <x v="5"/>
    <s v="Starostlivosť a hygiena – Psy"/>
    <s v="Dogissimo"/>
    <n v="8"/>
    <n v="1"/>
    <s v="NULL"/>
    <s v=""/>
    <d v="2025-07-20T00:00:00"/>
    <n v="0"/>
    <n v="8"/>
    <s v=""/>
    <d v="2025-07-01T00:00:00"/>
    <s v="pes"/>
  </r>
  <r>
    <n v="10356"/>
    <n v="8599988776654"/>
    <x v="0"/>
    <s v="Pelechy a nábytok – Psy"/>
    <s v="Pup Republic"/>
    <n v="16.8"/>
    <n v="1"/>
    <s v="NULL"/>
    <s v=""/>
    <d v="2025-07-20T00:00:00"/>
    <n v="0"/>
    <n v="16.8"/>
    <s v=""/>
    <d v="2025-07-01T00:00:00"/>
    <s v="pes"/>
  </r>
  <r>
    <n v="10357"/>
    <n v="8599988776654"/>
    <x v="0"/>
    <s v="Pelechy a nábytok – Psy"/>
    <s v="Pup Republic"/>
    <n v="16.8"/>
    <n v="1"/>
    <s v="NULL"/>
    <s v=""/>
    <d v="2025-07-21T00:00:00"/>
    <n v="0"/>
    <n v="16.8"/>
    <s v=""/>
    <d v="2025-07-01T00:00:00"/>
    <s v="pes"/>
  </r>
  <r>
    <n v="10358"/>
    <n v="4028899001126"/>
    <x v="1"/>
    <s v="Krmivo a maškrty – Psy"/>
    <s v="Pup Republic"/>
    <n v="2.8"/>
    <n v="3"/>
    <s v="5"/>
    <s v="Najobľúbenejšie konzerva našeho psa, krásne vonia."/>
    <d v="2025-07-21T00:00:00"/>
    <n v="0"/>
    <n v="8.3999999999999986"/>
    <n v="5"/>
    <d v="2025-07-01T00:00:00"/>
    <s v="pes"/>
  </r>
  <r>
    <n v="10359"/>
    <n v="8599988776654"/>
    <x v="0"/>
    <s v="Pelechy a nábytok – Psy"/>
    <s v="Pup Republic"/>
    <n v="16.8"/>
    <n v="2"/>
    <s v="NULL"/>
    <s v=""/>
    <d v="2025-07-21T00:00:00"/>
    <n v="0"/>
    <n v="33.6"/>
    <s v=""/>
    <d v="2025-07-01T00:00:00"/>
    <s v="pes"/>
  </r>
  <r>
    <n v="10360"/>
    <n v="4013456789017"/>
    <x v="2"/>
    <s v="Krmivo a maškrty – Psy"/>
    <s v="Snouty"/>
    <n v="6"/>
    <n v="1"/>
    <s v="NULL"/>
    <s v=""/>
    <d v="2025-07-21T00:00:00"/>
    <n v="0"/>
    <n v="6"/>
    <s v=""/>
    <d v="2025-07-01T00:00:00"/>
    <s v="pes"/>
  </r>
  <r>
    <n v="10361"/>
    <n v="8599988776654"/>
    <x v="0"/>
    <s v="Pelechy a nábytok – Psy"/>
    <s v="Pup Republic"/>
    <n v="16.8"/>
    <n v="1"/>
    <s v="NULL"/>
    <s v=""/>
    <d v="2025-07-21T00:00:00"/>
    <n v="0"/>
    <n v="16.8"/>
    <s v=""/>
    <d v="2025-07-01T00:00:00"/>
    <s v="pes"/>
  </r>
  <r>
    <n v="10362"/>
    <n v="4063456789014"/>
    <x v="9"/>
    <s v="Krmivo a maškrty – Psy"/>
    <s v="Pupco"/>
    <n v="36"/>
    <n v="1"/>
    <s v="4"/>
    <s v="Kvalitné granuly, pekná srsť aj energie."/>
    <d v="2025-07-21T00:00:00"/>
    <n v="0"/>
    <n v="36"/>
    <n v="4"/>
    <d v="2025-07-01T00:00:00"/>
    <s v="pes"/>
  </r>
  <r>
    <n v="10363"/>
    <n v="8599988776654"/>
    <x v="0"/>
    <s v="Pelechy a nábytok – Psy"/>
    <s v="Pup Republic"/>
    <n v="16.8"/>
    <n v="1"/>
    <s v="NULL"/>
    <s v=""/>
    <d v="2025-07-21T00:00:00"/>
    <n v="0"/>
    <n v="16.8"/>
    <s v=""/>
    <d v="2025-07-01T00:00:00"/>
    <s v="pes"/>
  </r>
  <r>
    <n v="10364"/>
    <n v="4021234567894"/>
    <x v="7"/>
    <s v="Starostlivosť a hygiena – Mačky"/>
    <s v="PawStyle"/>
    <n v="8"/>
    <n v="1"/>
    <s v="NULL"/>
    <s v=""/>
    <d v="2025-07-21T00:00:00"/>
    <n v="0"/>
    <n v="8"/>
    <s v=""/>
    <d v="2025-07-01T00:00:00"/>
    <s v="mačka"/>
  </r>
  <r>
    <n v="10365"/>
    <n v="8599988776654"/>
    <x v="0"/>
    <s v="Pelechy a nábytok – Psy"/>
    <s v="Pup Republic"/>
    <n v="16.8"/>
    <n v="2"/>
    <s v="5"/>
    <s v="Pes sa na nej okamžite upokojí, funguje skvelo."/>
    <d v="2025-07-21T00:00:00"/>
    <n v="0"/>
    <n v="33.6"/>
    <n v="5"/>
    <d v="2025-07-01T00:00:00"/>
    <s v="pes"/>
  </r>
  <r>
    <n v="10366"/>
    <n v="4010123456783"/>
    <x v="3"/>
    <s v="Starostlivosť a hygiena – Mačky"/>
    <s v="BellaMeow"/>
    <n v="14"/>
    <n v="1"/>
    <s v="NULL"/>
    <s v=""/>
    <d v="2025-07-22T00:00:00"/>
    <n v="0"/>
    <n v="14"/>
    <s v=""/>
    <d v="2025-07-01T00:00:00"/>
    <s v="mačka"/>
  </r>
  <r>
    <n v="10367"/>
    <n v="8599988776654"/>
    <x v="0"/>
    <s v="Pelechy a nábytok – Psy"/>
    <s v="Pup Republic"/>
    <n v="16.8"/>
    <n v="1"/>
    <s v="NULL"/>
    <s v=""/>
    <d v="2025-07-22T00:00:00"/>
    <n v="0"/>
    <n v="16.8"/>
    <s v=""/>
    <d v="2025-07-01T00:00:00"/>
    <s v="pes"/>
  </r>
  <r>
    <n v="10368"/>
    <n v="4027788990013"/>
    <x v="5"/>
    <s v="Starostlivosť a hygiena – Psy"/>
    <s v="Dogissimo"/>
    <n v="8"/>
    <n v="1"/>
    <s v="4"/>
    <s v="Pekne pení, pes vonia niekoľko dní."/>
    <d v="2025-07-22T00:00:00"/>
    <n v="0"/>
    <n v="8"/>
    <n v="4"/>
    <d v="2025-07-01T00:00:00"/>
    <s v="pes"/>
  </r>
  <r>
    <n v="10369"/>
    <n v="8599988776654"/>
    <x v="0"/>
    <s v="Pelechy a nábytok – Psy"/>
    <s v="Pup Republic"/>
    <n v="16.8"/>
    <n v="1"/>
    <s v="NULL"/>
    <s v=""/>
    <d v="2025-07-22T00:00:00"/>
    <n v="0"/>
    <n v="16.8"/>
    <s v=""/>
    <d v="2025-07-01T00:00:00"/>
    <s v="pes"/>
  </r>
  <r>
    <n v="10370"/>
    <n v="4017890123450"/>
    <x v="8"/>
    <s v="Hračky – Psy"/>
    <s v="Dogissimo"/>
    <n v="7.6"/>
    <n v="1"/>
    <s v="NULL"/>
    <s v=""/>
    <d v="2025-07-22T00:00:00"/>
    <n v="0"/>
    <n v="7.6"/>
    <s v=""/>
    <d v="2025-07-01T00:00:00"/>
    <s v="pes"/>
  </r>
  <r>
    <n v="10371"/>
    <n v="8599988776654"/>
    <x v="0"/>
    <s v="Pelechy a nábytok – Psy"/>
    <s v="Pup Republic"/>
    <n v="16.8"/>
    <n v="1"/>
    <s v="NULL"/>
    <s v=""/>
    <d v="2025-07-22T00:00:00"/>
    <n v="0"/>
    <n v="16.8"/>
    <s v=""/>
    <d v="2025-07-01T00:00:00"/>
    <s v="pes"/>
  </r>
  <r>
    <n v="10372"/>
    <n v="4063456789014"/>
    <x v="9"/>
    <s v="Krmivo a maškrty – Psy"/>
    <s v="Pupco"/>
    <n v="36"/>
    <n v="1"/>
    <s v="NULL"/>
    <s v=""/>
    <d v="2025-07-22T00:00:00"/>
    <n v="0"/>
    <n v="36"/>
    <s v=""/>
    <d v="2025-07-01T00:00:00"/>
    <s v="pes"/>
  </r>
  <r>
    <n v="10373"/>
    <n v="8599988776654"/>
    <x v="0"/>
    <s v="Pelechy a nábytok – Psy"/>
    <s v="Pup Republic"/>
    <n v="16.8"/>
    <n v="1"/>
    <s v="5"/>
    <s v="Pes ju nechce opustit, chladí celý deň."/>
    <d v="2025-07-22T00:00:00"/>
    <n v="0"/>
    <n v="16.8"/>
    <n v="5"/>
    <d v="2025-07-01T00:00:00"/>
    <s v="pes"/>
  </r>
  <r>
    <n v="10374"/>
    <n v="4028899001126"/>
    <x v="1"/>
    <s v="Krmivo a maškrty – Psy"/>
    <s v="Pup Republic"/>
    <n v="2.8"/>
    <n v="3"/>
    <s v="NULL"/>
    <s v=""/>
    <d v="2025-07-22T00:00:00"/>
    <n v="0"/>
    <n v="8.3999999999999986"/>
    <s v=""/>
    <d v="2025-07-01T00:00:00"/>
    <s v="pes"/>
  </r>
  <r>
    <n v="10375"/>
    <n v="8599988776654"/>
    <x v="0"/>
    <s v="Pelechy a nábytok – Psy"/>
    <s v="Pup Republic"/>
    <n v="16.8"/>
    <n v="2"/>
    <s v="NULL"/>
    <s v=""/>
    <d v="2025-07-22T00:00:00"/>
    <n v="0"/>
    <n v="33.6"/>
    <s v=""/>
    <d v="2025-07-01T00:00:00"/>
    <s v="pes"/>
  </r>
  <r>
    <n v="10376"/>
    <n v="4056789012345"/>
    <x v="4"/>
    <s v="Krmivo a maškrty – Mačky"/>
    <s v="BellaMeow"/>
    <n v="2.4"/>
    <n v="2"/>
    <s v="NULL"/>
    <s v=""/>
    <d v="2025-07-22T00:00:00"/>
    <n v="0"/>
    <n v="4.8"/>
    <s v=""/>
    <d v="2025-07-01T00:00:00"/>
    <s v="mačka"/>
  </r>
  <r>
    <n v="10377"/>
    <n v="8599988776654"/>
    <x v="0"/>
    <s v="Pelechy a nábytok – Psy"/>
    <s v="Pup Republic"/>
    <n v="16.8"/>
    <n v="1"/>
    <s v="NULL"/>
    <s v=""/>
    <d v="2025-07-22T00:00:00"/>
    <n v="0"/>
    <n v="16.8"/>
    <s v=""/>
    <d v="2025-07-01T00:00:00"/>
    <s v="pes"/>
  </r>
  <r>
    <n v="10378"/>
    <n v="4013456789017"/>
    <x v="2"/>
    <s v="Krmivo a maškrty – Psy"/>
    <s v="Snouty"/>
    <n v="6"/>
    <n v="1"/>
    <s v="4"/>
    <s v="Pes reaguje skvelo, odporúčam."/>
    <d v="2025-07-23T00:00:00"/>
    <n v="0"/>
    <n v="6"/>
    <n v="4"/>
    <d v="2025-07-01T00:00:00"/>
    <s v="pes"/>
  </r>
  <r>
    <n v="10379"/>
    <n v="8599988776654"/>
    <x v="0"/>
    <s v="Pelechy a nábytok – Psy"/>
    <s v="Pup Republic"/>
    <n v="16.8"/>
    <n v="1"/>
    <s v="NULL"/>
    <s v=""/>
    <d v="2025-07-23T00:00:00"/>
    <n v="0"/>
    <n v="16.8"/>
    <s v=""/>
    <d v="2025-07-01T00:00:00"/>
    <s v="pes"/>
  </r>
  <r>
    <n v="10380"/>
    <n v="4010123456783"/>
    <x v="3"/>
    <s v="Starostlivosť a hygiena – Mačky"/>
    <s v="BellaMeow"/>
    <n v="14"/>
    <n v="1"/>
    <s v="NULL"/>
    <s v=""/>
    <d v="2025-07-23T00:00:00"/>
    <n v="0"/>
    <n v="14"/>
    <s v=""/>
    <d v="2025-07-01T00:00:00"/>
    <s v="mačka"/>
  </r>
  <r>
    <n v="10381"/>
    <n v="8599988776654"/>
    <x v="0"/>
    <s v="Pelechy a nábytok – Psy"/>
    <s v="Pup Republic"/>
    <n v="16.8"/>
    <n v="2"/>
    <s v="NULL"/>
    <s v=""/>
    <d v="2025-07-23T00:00:00"/>
    <n v="0"/>
    <n v="33.6"/>
    <s v=""/>
    <d v="2025-07-01T00:00:00"/>
    <s v="pes"/>
  </r>
  <r>
    <n v="10382"/>
    <n v="4063456789014"/>
    <x v="9"/>
    <s v="Krmivo a maškrty – Psy"/>
    <s v="Pupco"/>
    <n v="36"/>
    <n v="1"/>
    <s v="5"/>
    <s v="Super kvalita, žiadne zažívací problémy."/>
    <d v="2025-07-23T00:00:00"/>
    <n v="0"/>
    <n v="36"/>
    <n v="5"/>
    <d v="2025-07-01T00:00:00"/>
    <s v="pes"/>
  </r>
  <r>
    <n v="10383"/>
    <n v="8599988776654"/>
    <x v="0"/>
    <s v="Pelechy a nábytok – Psy"/>
    <s v="Pup Republic"/>
    <n v="16.8"/>
    <n v="1"/>
    <s v="NULL"/>
    <s v=""/>
    <d v="2025-07-23T00:00:00"/>
    <n v="0"/>
    <n v="16.8"/>
    <s v=""/>
    <d v="2025-07-01T00:00:00"/>
    <s v="pes"/>
  </r>
  <r>
    <n v="10384"/>
    <n v="4028899001126"/>
    <x v="1"/>
    <s v="Krmivo a maškrty – Psy"/>
    <s v="Pup Republic"/>
    <n v="2.8"/>
    <n v="3"/>
    <s v="NULL"/>
    <s v=""/>
    <d v="2025-07-23T00:00:00"/>
    <n v="0"/>
    <n v="8.3999999999999986"/>
    <s v=""/>
    <d v="2025-07-01T00:00:00"/>
    <s v="pes"/>
  </r>
  <r>
    <n v="10385"/>
    <n v="8599988776654"/>
    <x v="0"/>
    <s v="Pelechy a nábytok – Psy"/>
    <s v="Pup Republic"/>
    <n v="16.8"/>
    <n v="1"/>
    <s v="NULL"/>
    <s v=""/>
    <d v="2025-07-23T00:00:00"/>
    <n v="0"/>
    <n v="16.8"/>
    <s v=""/>
    <d v="2025-07-01T00:00:00"/>
    <s v="pes"/>
  </r>
  <r>
    <n v="10386"/>
    <n v="4017890123450"/>
    <x v="8"/>
    <s v="Hračky – Psy"/>
    <s v="Dogissimo"/>
    <n v="7.6"/>
    <n v="1"/>
    <s v="4"/>
    <s v="Píská akorát, vydrží aj tahání."/>
    <d v="2025-07-23T00:00:00"/>
    <n v="0"/>
    <n v="7.6"/>
    <n v="4"/>
    <d v="2025-07-01T00:00:00"/>
    <s v="pes"/>
  </r>
  <r>
    <n v="10387"/>
    <n v="8599988776654"/>
    <x v="0"/>
    <s v="Pelechy a nábytok – Psy"/>
    <s v="Pup Republic"/>
    <n v="16.8"/>
    <n v="1"/>
    <s v="NULL"/>
    <s v=""/>
    <d v="2025-07-23T00:00:00"/>
    <n v="0"/>
    <n v="16.8"/>
    <s v=""/>
    <d v="2025-07-01T00:00:00"/>
    <s v="pes"/>
  </r>
  <r>
    <n v="10388"/>
    <n v="4021234567894"/>
    <x v="7"/>
    <s v="Starostlivosť a hygiena – Mačky"/>
    <s v="PawStyle"/>
    <n v="8"/>
    <n v="1"/>
    <s v="NULL"/>
    <s v=""/>
    <d v="2025-07-23T00:00:00"/>
    <n v="0"/>
    <n v="8"/>
    <s v=""/>
    <d v="2025-07-01T00:00:00"/>
    <s v="mačka"/>
  </r>
  <r>
    <n v="10389"/>
    <n v="8599988776654"/>
    <x v="0"/>
    <s v="Pelechy a nábytok – Psy"/>
    <s v="Pup Republic"/>
    <n v="16.8"/>
    <n v="2"/>
    <s v="NULL"/>
    <s v=""/>
    <d v="2025-07-24T00:00:00"/>
    <n v="0"/>
    <n v="33.6"/>
    <s v=""/>
    <d v="2025-07-01T00:00:00"/>
    <s v="pes"/>
  </r>
  <r>
    <n v="10390"/>
    <n v="4013456789017"/>
    <x v="2"/>
    <s v="Krmivo a maškrty – Psy"/>
    <s v="Snouty"/>
    <n v="6"/>
    <n v="1"/>
    <s v="NULL"/>
    <s v=""/>
    <d v="2025-07-24T00:00:00"/>
    <n v="0"/>
    <n v="6"/>
    <s v=""/>
    <d v="2025-07-01T00:00:00"/>
    <s v="pes"/>
  </r>
  <r>
    <n v="10391"/>
    <n v="8599988776654"/>
    <x v="0"/>
    <s v="Pelechy a nábytok – Psy"/>
    <s v="Pup Republic"/>
    <n v="16.8"/>
    <n v="1"/>
    <s v="5"/>
    <s v="Dokonalé riešenie protaj prehriatiu, chválím!"/>
    <d v="2025-07-24T00:00:00"/>
    <n v="0"/>
    <n v="16.8"/>
    <n v="5"/>
    <d v="2025-07-01T00:00:00"/>
    <s v="pes"/>
  </r>
  <r>
    <n v="10392"/>
    <n v="4027788990013"/>
    <x v="5"/>
    <s v="Starostlivosť a hygiena – Psy"/>
    <s v="Dogissimo"/>
    <n v="8"/>
    <n v="1"/>
    <s v="NULL"/>
    <s v=""/>
    <d v="2025-07-24T00:00:00"/>
    <n v="0"/>
    <n v="8"/>
    <s v=""/>
    <d v="2025-07-01T00:00:00"/>
    <s v="pes"/>
  </r>
  <r>
    <n v="10393"/>
    <n v="8599988776654"/>
    <x v="0"/>
    <s v="Pelechy a nábytok – Psy"/>
    <s v="Pup Republic"/>
    <n v="16.8"/>
    <n v="1"/>
    <s v="NULL"/>
    <s v=""/>
    <d v="2025-07-24T00:00:00"/>
    <n v="0"/>
    <n v="16.8"/>
    <s v=""/>
    <d v="2025-07-01T00:00:00"/>
    <s v="pes"/>
  </r>
  <r>
    <n v="10394"/>
    <n v="4056789012345"/>
    <x v="4"/>
    <s v="Krmivo a maškrty – Mačky"/>
    <s v="BellaMeow"/>
    <n v="2.4"/>
    <n v="2"/>
    <s v="NULL"/>
    <s v=""/>
    <d v="2025-07-24T00:00:00"/>
    <n v="0"/>
    <n v="4.8"/>
    <s v=""/>
    <d v="2025-07-01T00:00:00"/>
    <s v="mačka"/>
  </r>
  <r>
    <n v="10395"/>
    <n v="8599988776654"/>
    <x v="0"/>
    <s v="Pelechy a nábytok – Psy"/>
    <s v="Pup Republic"/>
    <n v="16.8"/>
    <n v="2"/>
    <s v="NULL"/>
    <s v=""/>
    <d v="2025-07-24T00:00:00"/>
    <n v="0"/>
    <n v="33.6"/>
    <s v=""/>
    <d v="2025-07-01T00:00:00"/>
    <s v="pes"/>
  </r>
  <r>
    <n v="10396"/>
    <n v="4010123456783"/>
    <x v="3"/>
    <s v="Starostlivosť a hygiena – Mačky"/>
    <s v="BellaMeow"/>
    <n v="14"/>
    <n v="1"/>
    <s v="5"/>
    <s v="Vydrží naozaj dlho, skvelý pomer cena/výkon."/>
    <d v="2025-07-24T00:00:00"/>
    <n v="0"/>
    <n v="14"/>
    <n v="5"/>
    <d v="2025-07-01T00:00:00"/>
    <s v="mačka"/>
  </r>
  <r>
    <n v="10397"/>
    <n v="8599988776654"/>
    <x v="0"/>
    <s v="Pelechy a nábytok – Psy"/>
    <s v="Pup Republic"/>
    <n v="16.8"/>
    <n v="1"/>
    <s v="NULL"/>
    <s v=""/>
    <d v="2025-07-25T00:00:00"/>
    <n v="0"/>
    <n v="16.8"/>
    <s v=""/>
    <d v="2025-07-01T00:00:00"/>
    <s v="pes"/>
  </r>
  <r>
    <n v="10398"/>
    <n v="4028899001126"/>
    <x v="1"/>
    <s v="Krmivo a maškrty – Psy"/>
    <s v="Pup Republic"/>
    <n v="2.8"/>
    <n v="3"/>
    <s v="NULL"/>
    <s v=""/>
    <d v="2025-07-25T00:00:00"/>
    <n v="0"/>
    <n v="8.3999999999999986"/>
    <s v=""/>
    <d v="2025-07-01T00:00:00"/>
    <s v="pes"/>
  </r>
  <r>
    <n v="10399"/>
    <n v="8599988776654"/>
    <x v="0"/>
    <s v="Pelechy a nábytok – Psy"/>
    <s v="Pup Republic"/>
    <n v="16.8"/>
    <n v="1"/>
    <s v="NULL"/>
    <s v=""/>
    <d v="2025-07-25T00:00:00"/>
    <n v="0"/>
    <n v="16.8"/>
    <s v=""/>
    <d v="2025-07-01T00:00:00"/>
    <s v="pes"/>
  </r>
  <r>
    <n v="10400"/>
    <n v="4063456789014"/>
    <x v="9"/>
    <s v="Krmivo a maškrty – Psy"/>
    <s v="Pupco"/>
    <n v="36"/>
    <n v="1"/>
    <s v="4"/>
    <s v="Dobre zabaleno, pes spokojeny."/>
    <d v="2025-07-25T00:00:00"/>
    <n v="0"/>
    <n v="36"/>
    <n v="4"/>
    <d v="2025-07-01T00:00:00"/>
    <s v="pes"/>
  </r>
  <r>
    <n v="10401"/>
    <n v="8599988776654"/>
    <x v="0"/>
    <s v="Pelechy a nábytok – Psy"/>
    <s v="Pup Republic"/>
    <n v="16.8"/>
    <n v="2"/>
    <s v="NULL"/>
    <s v=""/>
    <d v="2025-07-25T00:00:00"/>
    <n v="0"/>
    <n v="33.6"/>
    <s v=""/>
    <d v="2025-07-01T00:00:00"/>
    <s v="pes"/>
  </r>
  <r>
    <n v="10402"/>
    <n v="4017890123450"/>
    <x v="8"/>
    <s v="Hračky – Psy"/>
    <s v="Dogissimo"/>
    <n v="7.6"/>
    <n v="1"/>
    <s v="NULL"/>
    <s v=""/>
    <d v="2025-07-25T00:00:00"/>
    <n v="0"/>
    <n v="7.6"/>
    <s v=""/>
    <d v="2025-07-01T00:00:00"/>
    <s v="pes"/>
  </r>
  <r>
    <n v="10403"/>
    <n v="8599988776654"/>
    <x v="0"/>
    <s v="Pelechy a nábytok – Psy"/>
    <s v="Pup Republic"/>
    <n v="16.8"/>
    <n v="1"/>
    <s v="NULL"/>
    <s v=""/>
    <d v="2025-07-25T00:00:00"/>
    <n v="0"/>
    <n v="16.8"/>
    <s v=""/>
    <d v="2025-07-01T00:00:00"/>
    <s v="pes"/>
  </r>
  <r>
    <n v="10404"/>
    <n v="4013456789017"/>
    <x v="2"/>
    <s v="Krmivo a maškrty – Psy"/>
    <s v="Snouty"/>
    <n v="6"/>
    <n v="2"/>
    <s v="5"/>
    <s v="Pes je zbožňuje, žiadne trávicí potíže."/>
    <d v="2025-07-25T00:00:00"/>
    <n v="0"/>
    <n v="12"/>
    <n v="5"/>
    <d v="2025-07-01T00:00:00"/>
    <s v="pes"/>
  </r>
  <r>
    <n v="10405"/>
    <n v="8599988776654"/>
    <x v="0"/>
    <s v="Pelechy a nábytok – Psy"/>
    <s v="Pup Republic"/>
    <n v="16.8"/>
    <n v="1"/>
    <s v="NULL"/>
    <s v=""/>
    <d v="2025-07-25T00:00:00"/>
    <n v="0"/>
    <n v="16.8"/>
    <s v=""/>
    <d v="2025-07-01T00:00:00"/>
    <s v="pes"/>
  </r>
  <r>
    <n v="10406"/>
    <n v="4021234567894"/>
    <x v="7"/>
    <s v="Starostlivosť a hygiena – Mačky"/>
    <s v="PawStyle"/>
    <n v="8"/>
    <n v="1"/>
    <s v="NULL"/>
    <s v=""/>
    <d v="2025-07-25T00:00:00"/>
    <n v="0"/>
    <n v="8"/>
    <s v=""/>
    <d v="2025-07-01T00:00:00"/>
    <s v="mačka"/>
  </r>
  <r>
    <n v="10407"/>
    <n v="8599988776654"/>
    <x v="0"/>
    <s v="Pelechy a nábytok – Psy"/>
    <s v="Pup Republic"/>
    <n v="16.8"/>
    <n v="2"/>
    <s v="NULL"/>
    <s v=""/>
    <d v="2025-07-26T00:00:00"/>
    <n v="0"/>
    <n v="33.6"/>
    <s v=""/>
    <d v="2025-07-01T00:00:00"/>
    <s v="pes"/>
  </r>
  <r>
    <n v="10408"/>
    <n v="4027788990013"/>
    <x v="5"/>
    <s v="Starostlivosť a hygiena – Psy"/>
    <s v="Dogissimo"/>
    <n v="8"/>
    <n v="1"/>
    <s v="4"/>
    <s v="Príjemná vôňa, po kúpaní hladká srsť."/>
    <d v="2025-07-26T00:00:00"/>
    <n v="0"/>
    <n v="8"/>
    <n v="4"/>
    <d v="2025-07-01T00:00:00"/>
    <s v="pes"/>
  </r>
  <r>
    <n v="10409"/>
    <n v="8599988776654"/>
    <x v="0"/>
    <s v="Pelechy a nábytok – Psy"/>
    <s v="Pup Republic"/>
    <n v="16.8"/>
    <n v="1"/>
    <s v="NULL"/>
    <s v=""/>
    <d v="2025-07-26T00:00:00"/>
    <n v="0"/>
    <n v="16.8"/>
    <s v=""/>
    <d v="2025-07-01T00:00:00"/>
    <s v="pes"/>
  </r>
  <r>
    <n v="10410"/>
    <n v="4010123456783"/>
    <x v="3"/>
    <s v="Starostlivosť a hygiena – Mačky"/>
    <s v="BellaMeow"/>
    <n v="14"/>
    <n v="1"/>
    <s v="NULL"/>
    <s v=""/>
    <d v="2025-07-26T00:00:00"/>
    <n v="0"/>
    <n v="14"/>
    <s v=""/>
    <d v="2025-07-01T00:00:00"/>
    <s v="mačka"/>
  </r>
  <r>
    <n v="10411"/>
    <n v="8599988776654"/>
    <x v="0"/>
    <s v="Pelechy a nábytok – Psy"/>
    <s v="Pup Republic"/>
    <n v="16.8"/>
    <n v="1"/>
    <s v="NULL"/>
    <s v=""/>
    <d v="2025-07-26T00:00:00"/>
    <n v="0"/>
    <n v="16.8"/>
    <s v=""/>
    <d v="2025-07-01T00:00:00"/>
    <s v="pes"/>
  </r>
  <r>
    <n v="10412"/>
    <n v="4056789012345"/>
    <x v="4"/>
    <s v="Krmivo a maškrty – Mačky"/>
    <s v="BellaMeow"/>
    <n v="2.4"/>
    <n v="2"/>
    <s v="NULL"/>
    <s v=""/>
    <d v="2025-07-26T00:00:00"/>
    <n v="0"/>
    <n v="4.8"/>
    <s v=""/>
    <d v="2025-07-01T00:00:00"/>
    <s v="mačka"/>
  </r>
  <r>
    <n v="10413"/>
    <n v="8599988776654"/>
    <x v="0"/>
    <s v="Pelechy a nábytok – Psy"/>
    <s v="Pup Republic"/>
    <n v="16.8"/>
    <n v="1"/>
    <s v="5"/>
    <s v="Perfektní na balkon aj do auta, odporúčam!"/>
    <d v="2025-07-26T00:00:00"/>
    <n v="0"/>
    <n v="16.8"/>
    <n v="5"/>
    <d v="2025-07-01T00:00:00"/>
    <s v="pes"/>
  </r>
  <r>
    <n v="10414"/>
    <n v="4028899001126"/>
    <x v="1"/>
    <s v="Krmivo a maškrty – Psy"/>
    <s v="Pup Republic"/>
    <n v="2.8"/>
    <n v="3"/>
    <s v="NULL"/>
    <s v=""/>
    <d v="2025-07-26T00:00:00"/>
    <n v="0"/>
    <n v="8.3999999999999986"/>
    <s v=""/>
    <d v="2025-07-01T00:00:00"/>
    <s v="pes"/>
  </r>
  <r>
    <n v="10415"/>
    <n v="8599988776654"/>
    <x v="0"/>
    <s v="Pelechy a nábytok – Psy"/>
    <s v="Pup Republic"/>
    <n v="16.8"/>
    <n v="1"/>
    <s v="NULL"/>
    <s v=""/>
    <d v="2025-07-26T00:00:00"/>
    <n v="0"/>
    <n v="16.8"/>
    <s v=""/>
    <d v="2025-07-01T00:00:00"/>
    <s v="pes"/>
  </r>
  <r>
    <n v="10416"/>
    <n v="4013456789017"/>
    <x v="2"/>
    <s v="Krmivo a maškrty – Psy"/>
    <s v="Snouty"/>
    <n v="6"/>
    <n v="1"/>
    <s v="NULL"/>
    <s v=""/>
    <d v="2025-07-27T00:00:00"/>
    <n v="0"/>
    <n v="6"/>
    <s v=""/>
    <d v="2025-07-01T00:00:00"/>
    <s v="pes"/>
  </r>
  <r>
    <n v="10417"/>
    <n v="8599988776654"/>
    <x v="0"/>
    <s v="Pelechy a nábytok – Psy"/>
    <s v="Pup Republic"/>
    <n v="16.8"/>
    <n v="1"/>
    <s v="NULL"/>
    <s v=""/>
    <d v="2025-07-27T00:00:00"/>
    <n v="0"/>
    <n v="16.8"/>
    <s v=""/>
    <d v="2025-07-01T00:00:00"/>
    <s v="pes"/>
  </r>
  <r>
    <n v="10418"/>
    <n v="4063456789014"/>
    <x v="9"/>
    <s v="Krmivo a maškrty – Psy"/>
    <s v="Pupco"/>
    <n v="36"/>
    <n v="1"/>
    <s v="5"/>
    <s v="Pes má po nich skvelú kondici."/>
    <d v="2025-07-27T00:00:00"/>
    <n v="0"/>
    <n v="36"/>
    <n v="5"/>
    <d v="2025-07-01T00:00:00"/>
    <s v="pes"/>
  </r>
  <r>
    <n v="10419"/>
    <n v="8599988776654"/>
    <x v="0"/>
    <s v="Pelechy a nábytok – Psy"/>
    <s v="Pup Republic"/>
    <n v="16.8"/>
    <n v="2"/>
    <s v="NULL"/>
    <s v=""/>
    <d v="2025-07-27T00:00:00"/>
    <n v="0"/>
    <n v="33.6"/>
    <s v=""/>
    <d v="2025-07-01T00:00:00"/>
    <s v="pes"/>
  </r>
  <r>
    <n v="10420"/>
    <n v="4010123456783"/>
    <x v="3"/>
    <s v="Starostlivosť a hygiena – Mačky"/>
    <s v="BellaMeow"/>
    <n v="14"/>
    <n v="1"/>
    <s v="NULL"/>
    <s v=""/>
    <d v="2025-07-27T00:00:00"/>
    <n v="0"/>
    <n v="14"/>
    <s v=""/>
    <d v="2025-07-01T00:00:00"/>
    <s v="mačka"/>
  </r>
  <r>
    <n v="10421"/>
    <n v="8599988776654"/>
    <x v="0"/>
    <s v="Pelechy a nábytok – Psy"/>
    <s v="Pup Republic"/>
    <n v="16.8"/>
    <n v="1"/>
    <s v="NULL"/>
    <s v=""/>
    <d v="2025-07-27T00:00:00"/>
    <n v="0"/>
    <n v="16.8"/>
    <s v=""/>
    <d v="2025-07-01T00:00:00"/>
    <s v="pes"/>
  </r>
  <r>
    <n v="10422"/>
    <n v="4021234567894"/>
    <x v="7"/>
    <s v="Starostlivosť a hygiena – Mačky"/>
    <s v="PawStyle"/>
    <n v="8"/>
    <n v="1"/>
    <s v="4"/>
    <s v="Dobre vonia, eliminuje zápach rýchlo."/>
    <d v="2025-07-27T00:00:00"/>
    <n v="0"/>
    <n v="8"/>
    <n v="4"/>
    <d v="2025-07-01T00:00:00"/>
    <s v="mačka"/>
  </r>
  <r>
    <n v="10423"/>
    <n v="8599988776654"/>
    <x v="0"/>
    <s v="Pelechy a nábytok – Psy"/>
    <s v="Pup Republic"/>
    <n v="16.8"/>
    <n v="1"/>
    <s v="NULL"/>
    <s v=""/>
    <d v="2025-07-27T00:00:00"/>
    <n v="0"/>
    <n v="16.8"/>
    <s v=""/>
    <d v="2025-07-01T00:00:00"/>
    <s v="pes"/>
  </r>
  <r>
    <n v="10424"/>
    <n v="4017890123450"/>
    <x v="8"/>
    <s v="Hračky – Psy"/>
    <s v="Dogissimo"/>
    <n v="7.6"/>
    <n v="1"/>
    <s v="NULL"/>
    <s v=""/>
    <d v="2025-07-27T00:00:00"/>
    <n v="0"/>
    <n v="7.6"/>
    <s v=""/>
    <d v="2025-07-01T00:00:00"/>
    <s v="pes"/>
  </r>
  <r>
    <n v="10425"/>
    <n v="8599988776654"/>
    <x v="0"/>
    <s v="Pelechy a nábytok – Psy"/>
    <s v="Pup Republic"/>
    <n v="16.8"/>
    <n v="2"/>
    <s v="NULL"/>
    <s v=""/>
    <d v="2025-07-27T00:00:00"/>
    <n v="0"/>
    <n v="33.6"/>
    <s v=""/>
    <d v="2025-07-01T00:00:00"/>
    <s v="pes"/>
  </r>
  <r>
    <n v="10426"/>
    <n v="4063456789014"/>
    <x v="9"/>
    <s v="Krmivo a maškrty – Psy"/>
    <s v="Pupco"/>
    <n v="36"/>
    <n v="1"/>
    <s v="NULL"/>
    <s v=""/>
    <d v="2025-07-27T00:00:00"/>
    <n v="0"/>
    <n v="36"/>
    <s v=""/>
    <d v="2025-07-01T00:00:00"/>
    <s v="pes"/>
  </r>
  <r>
    <n v="10427"/>
    <n v="8599988776654"/>
    <x v="0"/>
    <s v="Pelechy a nábytok – Psy"/>
    <s v="Pup Republic"/>
    <n v="16.8"/>
    <n v="1"/>
    <s v="NULL"/>
    <s v=""/>
    <d v="2025-07-27T00:00:00"/>
    <n v="0"/>
    <n v="16.8"/>
    <s v=""/>
    <d v="2025-07-01T00:00:00"/>
    <s v="pes"/>
  </r>
  <r>
    <n v="10428"/>
    <n v="4028899001126"/>
    <x v="1"/>
    <s v="Krmivo a maškrty – Psy"/>
    <s v="Pup Republic"/>
    <n v="2.8"/>
    <n v="3"/>
    <s v="NULL"/>
    <s v=""/>
    <d v="2025-07-27T00:00:00"/>
    <n v="0"/>
    <n v="8.3999999999999986"/>
    <s v=""/>
    <d v="2025-07-01T00:00:00"/>
    <s v="pes"/>
  </r>
  <r>
    <n v="10429"/>
    <n v="8599988776654"/>
    <x v="0"/>
    <s v="Pelechy a nábytok – Psy"/>
    <s v="Pup Republic"/>
    <n v="16.8"/>
    <n v="1"/>
    <s v="NULL"/>
    <s v=""/>
    <d v="2025-07-27T00:00:00"/>
    <n v="0"/>
    <n v="16.8"/>
    <s v=""/>
    <d v="2025-07-01T00:00:00"/>
    <s v="pes"/>
  </r>
  <r>
    <n v="10430"/>
    <n v="4013456789017"/>
    <x v="2"/>
    <s v="Krmivo a maškrty – Psy"/>
    <s v="Snouty"/>
    <n v="6"/>
    <n v="1"/>
    <s v="4"/>
    <s v="Pes sa vždy teší, keď vytiahnem vrecko."/>
    <d v="2025-07-27T00:00:00"/>
    <n v="0"/>
    <n v="6"/>
    <n v="4"/>
    <d v="2025-07-01T00:00:00"/>
    <s v="pes"/>
  </r>
  <r>
    <n v="10431"/>
    <n v="8599988776654"/>
    <x v="0"/>
    <s v="Pelechy a nábytok – Psy"/>
    <s v="Pup Republic"/>
    <n v="16.8"/>
    <n v="2"/>
    <s v="NULL"/>
    <s v=""/>
    <d v="2025-07-27T00:00:00"/>
    <n v="0"/>
    <n v="33.6"/>
    <s v=""/>
    <d v="2025-07-01T00:00:00"/>
    <s v="pes"/>
  </r>
  <r>
    <n v="10432"/>
    <n v="8599988776654"/>
    <x v="0"/>
    <s v="Pelechy a nábytok – Psy"/>
    <s v="Pup Republic"/>
    <n v="16.8"/>
    <n v="1"/>
    <s v="5"/>
    <s v="Skvelo chladí aj na balkóne, pes je pokojnejší."/>
    <d v="2025-07-28T00:00:00"/>
    <n v="0"/>
    <n v="16.8"/>
    <n v="5"/>
    <d v="2025-07-01T00:00:00"/>
    <s v="pes"/>
  </r>
  <r>
    <n v="10433"/>
    <n v="4028899001126"/>
    <x v="1"/>
    <s v="Krmivo a maškrty – Psy"/>
    <s v="Pup Republic"/>
    <n v="2.8"/>
    <n v="3"/>
    <s v="NULL"/>
    <s v=""/>
    <d v="2025-07-28T00:00:00"/>
    <n v="0"/>
    <n v="8.3999999999999986"/>
    <s v=""/>
    <d v="2025-07-01T00:00:00"/>
    <s v="pes"/>
  </r>
  <r>
    <n v="10434"/>
    <n v="8599988776654"/>
    <x v="0"/>
    <s v="Pelechy a nábytok – Psy"/>
    <s v="Pup Republic"/>
    <n v="16.8"/>
    <n v="2"/>
    <s v="NULL"/>
    <s v=""/>
    <d v="2025-07-28T00:00:00"/>
    <n v="0"/>
    <n v="33.6"/>
    <s v=""/>
    <d v="2025-07-01T00:00:00"/>
    <s v="pes"/>
  </r>
  <r>
    <n v="10435"/>
    <n v="4013456789017"/>
    <x v="2"/>
    <s v="Krmivo a maškrty – Psy"/>
    <s v="Snouty"/>
    <n v="6"/>
    <n v="1"/>
    <s v="4"/>
    <s v="Ideálne veľkosť na tréning."/>
    <d v="2025-07-28T00:00:00"/>
    <n v="0"/>
    <n v="6"/>
    <n v="4"/>
    <d v="2025-07-01T00:00:00"/>
    <s v="pes"/>
  </r>
  <r>
    <n v="10436"/>
    <n v="8599988776654"/>
    <x v="0"/>
    <s v="Pelechy a nábytok – Psy"/>
    <s v="Pup Republic"/>
    <n v="16.8"/>
    <n v="1"/>
    <s v="NULL"/>
    <s v=""/>
    <d v="2025-07-28T00:00:00"/>
    <n v="0"/>
    <n v="16.8"/>
    <s v=""/>
    <d v="2025-07-01T00:00:00"/>
    <s v="pes"/>
  </r>
  <r>
    <n v="10437"/>
    <n v="4010123456783"/>
    <x v="3"/>
    <s v="Starostlivosť a hygiena – Mačky"/>
    <s v="BellaMeow"/>
    <n v="14"/>
    <n v="1"/>
    <s v="NULL"/>
    <s v=""/>
    <d v="2025-07-28T00:00:00"/>
    <n v="0"/>
    <n v="14"/>
    <s v=""/>
    <d v="2025-07-01T00:00:00"/>
    <s v="mačka"/>
  </r>
  <r>
    <n v="10438"/>
    <n v="8599988776654"/>
    <x v="0"/>
    <s v="Pelechy a nábytok – Psy"/>
    <s v="Pup Republic"/>
    <n v="16.8"/>
    <n v="1"/>
    <s v="4"/>
    <s v="Nezanechává mokré fleky, jednoduchá údržba."/>
    <d v="2025-07-28T00:00:00"/>
    <n v="0"/>
    <n v="16.8"/>
    <n v="4"/>
    <d v="2025-07-01T00:00:00"/>
    <s v="pes"/>
  </r>
  <r>
    <n v="10439"/>
    <n v="4063456789014"/>
    <x v="9"/>
    <s v="Krmivo a maškrty – Psy"/>
    <s v="Pupco"/>
    <n v="36"/>
    <n v="1"/>
    <s v="NULL"/>
    <s v=""/>
    <d v="2025-07-28T00:00:00"/>
    <n v="0"/>
    <n v="36"/>
    <s v=""/>
    <d v="2025-07-01T00:00:00"/>
    <s v="pes"/>
  </r>
  <r>
    <n v="10440"/>
    <n v="8599988776654"/>
    <x v="0"/>
    <s v="Pelechy a nábytok – Psy"/>
    <s v="Pup Republic"/>
    <n v="16.8"/>
    <n v="1"/>
    <s v="NULL"/>
    <s v=""/>
    <d v="2025-07-28T00:00:00"/>
    <n v="0"/>
    <n v="16.8"/>
    <s v=""/>
    <d v="2025-07-01T00:00:00"/>
    <s v="pes"/>
  </r>
  <r>
    <n v="10441"/>
    <n v="4021234567894"/>
    <x v="7"/>
    <s v="Starostlivosť a hygiena – Mačky"/>
    <s v="PawStyle"/>
    <n v="8"/>
    <n v="1"/>
    <s v="NULL"/>
    <s v=""/>
    <d v="2025-07-28T00:00:00"/>
    <n v="0"/>
    <n v="8"/>
    <s v=""/>
    <d v="2025-07-01T00:00:00"/>
    <s v="mačka"/>
  </r>
  <r>
    <n v="10442"/>
    <n v="8599988776654"/>
    <x v="0"/>
    <s v="Pelechy a nábytok – Psy"/>
    <s v="Pup Republic"/>
    <n v="16.8"/>
    <n v="1"/>
    <s v="5"/>
    <s v="Pomohla aj staršímu psovaj lépe spát."/>
    <d v="2025-07-28T00:00:00"/>
    <n v="0"/>
    <n v="16.8"/>
    <n v="5"/>
    <d v="2025-07-01T00:00:00"/>
    <s v="pes"/>
  </r>
  <r>
    <n v="10443"/>
    <n v="4056789012345"/>
    <x v="4"/>
    <s v="Krmivo a maškrty – Mačky"/>
    <s v="BellaMeow"/>
    <n v="2.4"/>
    <n v="2"/>
    <s v="NULL"/>
    <s v=""/>
    <d v="2025-07-28T00:00:00"/>
    <n v="0"/>
    <n v="4.8"/>
    <s v=""/>
    <d v="2025-07-01T00:00:00"/>
    <s v="mačka"/>
  </r>
  <r>
    <n v="10444"/>
    <n v="8599988776654"/>
    <x v="0"/>
    <s v="Pelechy a nábytok – Psy"/>
    <s v="Pup Republic"/>
    <n v="16.8"/>
    <n v="2"/>
    <s v="NULL"/>
    <s v=""/>
    <d v="2025-07-28T00:00:00"/>
    <n v="0"/>
    <n v="33.6"/>
    <s v=""/>
    <d v="2025-07-01T00:00:00"/>
    <s v="pes"/>
  </r>
  <r>
    <n v="10445"/>
    <n v="4017890123450"/>
    <x v="8"/>
    <s v="Hračky – Psy"/>
    <s v="Dogissimo"/>
    <n v="7.6"/>
    <n v="1"/>
    <s v="4"/>
    <s v="Drží už týden každodenního žužlání."/>
    <d v="2025-07-28T00:00:00"/>
    <n v="0"/>
    <n v="7.6"/>
    <n v="4"/>
    <d v="2025-07-01T00:00:00"/>
    <s v="pes"/>
  </r>
  <r>
    <n v="10446"/>
    <n v="8599988776654"/>
    <x v="0"/>
    <s v="Pelechy a nábytok – Psy"/>
    <s v="Pup Republic"/>
    <n v="16.8"/>
    <n v="1"/>
    <s v="NULL"/>
    <s v=""/>
    <d v="2025-07-28T00:00:00"/>
    <n v="0"/>
    <n v="16.8"/>
    <s v=""/>
    <d v="2025-07-01T00:00:00"/>
    <s v="pes"/>
  </r>
  <r>
    <n v="10446"/>
    <n v="4028899001126"/>
    <x v="1"/>
    <s v="Krmivo a maškrty – Psy"/>
    <s v="Pup Republic"/>
    <n v="2.8"/>
    <n v="2"/>
    <s v="NULL"/>
    <s v=""/>
    <d v="2025-07-28T00:00:00"/>
    <n v="0"/>
    <n v="5.6"/>
    <s v=""/>
    <d v="2025-07-01T00:00:00"/>
    <s v="pes"/>
  </r>
  <r>
    <n v="10447"/>
    <n v="4061011223346"/>
    <x v="6"/>
    <s v="Oblečenie a doplnky – Psy"/>
    <s v="Tail Trend"/>
    <n v="19.600000000000001"/>
    <n v="1"/>
    <s v="NULL"/>
    <s v=""/>
    <d v="2025-07-28T00:00:00"/>
    <n v="0"/>
    <n v="19.600000000000001"/>
    <s v=""/>
    <d v="2025-07-01T00:00:00"/>
    <s v="pes"/>
  </r>
  <r>
    <n v="10448"/>
    <n v="8599988776654"/>
    <x v="0"/>
    <s v="Pelechy a nábytok – Psy"/>
    <s v="Pup Republic"/>
    <n v="16.8"/>
    <n v="1"/>
    <s v="NULL"/>
    <s v=""/>
    <d v="2025-07-28T00:00:00"/>
    <n v="0"/>
    <n v="16.8"/>
    <s v=""/>
    <d v="2025-07-01T00:00:00"/>
    <s v="pes"/>
  </r>
  <r>
    <n v="10449"/>
    <n v="4043344556676"/>
    <x v="11"/>
    <s v="Misky a kŕmne doplnky – Mačky"/>
    <s v="Pawtastic"/>
    <n v="10"/>
    <n v="1"/>
    <s v="4"/>
    <s v="Pevná miska, dobre sa myje."/>
    <d v="2025-07-28T00:00:00"/>
    <n v="0"/>
    <n v="10"/>
    <n v="4"/>
    <d v="2025-07-01T00:00:00"/>
    <s v="mačka"/>
  </r>
  <r>
    <n v="10450"/>
    <n v="8599988776654"/>
    <x v="0"/>
    <s v="Pelechy a nábytok – Psy"/>
    <s v="Pup Republic"/>
    <n v="16.8"/>
    <n v="1"/>
    <s v="NULL"/>
    <s v=""/>
    <d v="2025-07-28T00:00:00"/>
    <n v="0"/>
    <n v="16.8"/>
    <s v=""/>
    <d v="2025-07-01T00:00:00"/>
    <s v="pes"/>
  </r>
  <r>
    <n v="10451"/>
    <n v="4027788990013"/>
    <x v="5"/>
    <s v="Starostlivosť a hygiena – Psy"/>
    <s v="Dogissimo"/>
    <n v="8"/>
    <n v="1"/>
    <s v="NULL"/>
    <s v=""/>
    <d v="2025-07-28T00:00:00"/>
    <n v="0"/>
    <n v="8"/>
    <s v=""/>
    <d v="2025-07-01T00:00:00"/>
    <s v="pes"/>
  </r>
  <r>
    <n v="10452"/>
    <n v="8599988776654"/>
    <x v="0"/>
    <s v="Pelechy a nábytok – Psy"/>
    <s v="Pup Republic"/>
    <n v="16.8"/>
    <n v="1"/>
    <s v="3"/>
    <s v="Funguje, ale mohla by byť mäkší."/>
    <d v="2025-07-28T00:00:00"/>
    <n v="0"/>
    <n v="16.8"/>
    <n v="3"/>
    <d v="2025-07-01T00:00:00"/>
    <s v="pes"/>
  </r>
  <r>
    <n v="10453"/>
    <n v="4010123456783"/>
    <x v="3"/>
    <s v="Starostlivosť a hygiena – Mačky"/>
    <s v="BellaMeow"/>
    <n v="14"/>
    <n v="1"/>
    <s v="NULL"/>
    <s v=""/>
    <d v="2025-07-28T00:00:00"/>
    <n v="0"/>
    <n v="14"/>
    <s v=""/>
    <d v="2025-07-01T00:00:00"/>
    <s v="mačka"/>
  </r>
  <r>
    <n v="10454"/>
    <n v="8599988776654"/>
    <x v="0"/>
    <s v="Pelechy a nábytok – Psy"/>
    <s v="Pup Republic"/>
    <n v="16.8"/>
    <n v="2"/>
    <s v="NULL"/>
    <s v=""/>
    <d v="2025-07-28T00:00:00"/>
    <n v="0"/>
    <n v="33.6"/>
    <s v=""/>
    <d v="2025-07-01T00:00:00"/>
    <s v="pes"/>
  </r>
  <r>
    <n v="10455"/>
    <n v="4028899001126"/>
    <x v="1"/>
    <s v="Krmivo a maškrty – Psy"/>
    <s v="Pup Republic"/>
    <n v="2.8"/>
    <n v="3"/>
    <s v="NULL"/>
    <s v=""/>
    <d v="2025-07-28T00:00:00"/>
    <n v="0"/>
    <n v="8.3999999999999986"/>
    <s v=""/>
    <d v="2025-07-01T00:00:00"/>
    <s v="pes"/>
  </r>
  <r>
    <n v="10456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57"/>
    <n v="4063456789014"/>
    <x v="9"/>
    <s v="Krmivo a maškrty – Psy"/>
    <s v="Pupco"/>
    <n v="36"/>
    <n v="1"/>
    <s v="5"/>
    <s v="Srsť sa zlepšila, odporúčam."/>
    <d v="2025-07-29T00:00:00"/>
    <n v="0"/>
    <n v="36"/>
    <n v="5"/>
    <d v="2025-07-01T00:00:00"/>
    <s v="pes"/>
  </r>
  <r>
    <n v="10458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59"/>
    <n v="4013456789017"/>
    <x v="2"/>
    <s v="Krmivo a maškrty – Psy"/>
    <s v="Snouty"/>
    <n v="6"/>
    <n v="1"/>
    <s v="NULL"/>
    <s v=""/>
    <d v="2025-07-29T00:00:00"/>
    <n v="0"/>
    <n v="6"/>
    <s v=""/>
    <d v="2025-07-01T00:00:00"/>
    <s v="pes"/>
  </r>
  <r>
    <n v="10460"/>
    <n v="8599988776654"/>
    <x v="0"/>
    <s v="Pelechy a nábytok – Psy"/>
    <s v="Pup Republic"/>
    <n v="16.8"/>
    <n v="2"/>
    <s v="NULL"/>
    <s v=""/>
    <d v="2025-07-29T00:00:00"/>
    <n v="0"/>
    <n v="33.6"/>
    <s v=""/>
    <d v="2025-07-01T00:00:00"/>
    <s v="pes"/>
  </r>
  <r>
    <n v="10461"/>
    <n v="4021234567894"/>
    <x v="7"/>
    <s v="Starostlivosť a hygiena – Mačky"/>
    <s v="PawStyle"/>
    <n v="8"/>
    <n v="1"/>
    <s v="NULL"/>
    <s v=""/>
    <d v="2025-07-29T00:00:00"/>
    <n v="0"/>
    <n v="8"/>
    <s v=""/>
    <d v="2025-07-01T00:00:00"/>
    <s v="mačka"/>
  </r>
  <r>
    <n v="10462"/>
    <n v="8599988776654"/>
    <x v="0"/>
    <s v="Pelechy a nábytok – Psy"/>
    <s v="Pup Republic"/>
    <n v="16.8"/>
    <n v="1"/>
    <s v="5"/>
    <s v="Ve horúčav na nezaplatenie, skvelý pomer cena/výkon."/>
    <d v="2025-07-29T00:00:00"/>
    <n v="0"/>
    <n v="16.8"/>
    <n v="5"/>
    <d v="2025-07-01T00:00:00"/>
    <s v="pes"/>
  </r>
  <r>
    <n v="10463"/>
    <n v="4056789012345"/>
    <x v="4"/>
    <s v="Krmivo a maškrty – Mačky"/>
    <s v="BellaMeow"/>
    <n v="2.4"/>
    <n v="2"/>
    <s v="NULL"/>
    <s v=""/>
    <d v="2025-07-29T00:00:00"/>
    <n v="0"/>
    <n v="4.8"/>
    <s v=""/>
    <d v="2025-07-01T00:00:00"/>
    <s v="mačka"/>
  </r>
  <r>
    <n v="10464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65"/>
    <n v="4017890123450"/>
    <x v="8"/>
    <s v="Hračky – Psy"/>
    <s v="Dogissimo"/>
    <n v="7.6"/>
    <n v="1"/>
    <s v="NULL"/>
    <s v=""/>
    <d v="2025-07-29T00:00:00"/>
    <n v="0"/>
    <n v="7.6"/>
    <s v=""/>
    <d v="2025-07-01T00:00:00"/>
    <s v="pes"/>
  </r>
  <r>
    <n v="10466"/>
    <n v="8599988776654"/>
    <x v="0"/>
    <s v="Pelechy a nábytok – Psy"/>
    <s v="Pup Republic"/>
    <n v="16.8"/>
    <n v="1"/>
    <s v="4"/>
    <s v="Jednoduché čistenie vlhkým hadrem."/>
    <d v="2025-07-29T00:00:00"/>
    <n v="0"/>
    <n v="16.8"/>
    <n v="4"/>
    <d v="2025-07-01T00:00:00"/>
    <s v="pes"/>
  </r>
  <r>
    <n v="10467"/>
    <n v="4010123456783"/>
    <x v="3"/>
    <s v="Starostlivosť a hygiena – Mačky"/>
    <s v="BellaMeow"/>
    <n v="14"/>
    <n v="1"/>
    <s v="NULL"/>
    <s v=""/>
    <d v="2025-07-29T00:00:00"/>
    <n v="0"/>
    <n v="14"/>
    <s v=""/>
    <d v="2025-07-01T00:00:00"/>
    <s v="mačka"/>
  </r>
  <r>
    <n v="10468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69"/>
    <n v="4061011223346"/>
    <x v="6"/>
    <s v="Oblečenie a doplnky – Psy"/>
    <s v="Tail Trend"/>
    <n v="19.600000000000001"/>
    <n v="1"/>
    <s v="NULL"/>
    <s v=""/>
    <d v="2025-07-29T00:00:00"/>
    <n v="0"/>
    <n v="19.600000000000001"/>
    <s v=""/>
    <d v="2025-07-01T00:00:00"/>
    <s v="pes"/>
  </r>
  <r>
    <n v="10470"/>
    <n v="8599988776654"/>
    <x v="0"/>
    <s v="Pelechy a nábytok – Psy"/>
    <s v="Pup Republic"/>
    <n v="16.8"/>
    <n v="2"/>
    <s v="NULL"/>
    <s v=""/>
    <d v="2025-07-29T00:00:00"/>
    <n v="0"/>
    <n v="33.6"/>
    <s v=""/>
    <d v="2025-07-01T00:00:00"/>
    <s v="pes"/>
  </r>
  <r>
    <n v="10471"/>
    <n v="4028899001126"/>
    <x v="1"/>
    <s v="Krmivo a maškrty – Psy"/>
    <s v="Pup Republic"/>
    <n v="2.8"/>
    <n v="3"/>
    <s v="4"/>
    <s v="Pes misku vylíže dočista."/>
    <d v="2025-07-29T00:00:00"/>
    <n v="0"/>
    <n v="8.3999999999999986"/>
    <n v="4"/>
    <d v="2025-07-01T00:00:00"/>
    <s v="pes"/>
  </r>
  <r>
    <n v="10472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73"/>
    <n v="4043344556676"/>
    <x v="11"/>
    <s v="Misky a kŕmne doplnky – Mačky"/>
    <s v="Pawtastic"/>
    <n v="10"/>
    <n v="1"/>
    <s v="NULL"/>
    <s v=""/>
    <d v="2025-07-29T00:00:00"/>
    <n v="0"/>
    <n v="10"/>
    <s v=""/>
    <d v="2025-07-01T00:00:00"/>
    <s v="mačka"/>
  </r>
  <r>
    <n v="10473"/>
    <n v="8599988776654"/>
    <x v="0"/>
    <s v="Pelechy a nábytok – Psy"/>
    <s v="Pup Republic"/>
    <n v="16.8"/>
    <n v="1"/>
    <s v="NULL"/>
    <s v=""/>
    <d v="2025-07-29T00:00:00"/>
    <n v="0"/>
    <n v="16.8"/>
    <s v=""/>
    <d v="2025-07-01T00:00:00"/>
    <s v="pes"/>
  </r>
  <r>
    <n v="10474"/>
    <n v="4027788990013"/>
    <x v="5"/>
    <s v="Starostlivosť a hygiena – Psy"/>
    <s v="Dogissimo"/>
    <n v="8"/>
    <n v="1"/>
    <s v="3"/>
    <s v="Vôňa fajn, pení spíš míň."/>
    <d v="2025-07-29T00:00:00"/>
    <n v="0"/>
    <n v="8"/>
    <n v="3"/>
    <d v="2025-07-01T00:00:00"/>
    <s v="pes"/>
  </r>
  <r>
    <n v="10475"/>
    <n v="8599988776654"/>
    <x v="0"/>
    <s v="Pelechy a nábytok – Psy"/>
    <s v="Pup Republic"/>
    <n v="16.8"/>
    <n v="1"/>
    <s v="NULL"/>
    <s v=""/>
    <d v="2025-07-30T00:00:00"/>
    <n v="0"/>
    <n v="16.8"/>
    <s v=""/>
    <d v="2025-07-01T00:00:00"/>
    <s v="pes"/>
  </r>
  <r>
    <n v="10476"/>
    <n v="4063456789014"/>
    <x v="9"/>
    <s v="Krmivo a maškrty – Psy"/>
    <s v="Pupco"/>
    <n v="36"/>
    <n v="1"/>
    <s v="NULL"/>
    <s v=""/>
    <d v="2025-07-30T00:00:00"/>
    <n v="0"/>
    <n v="36"/>
    <s v=""/>
    <d v="2025-07-01T00:00:00"/>
    <s v="pes"/>
  </r>
  <r>
    <n v="10477"/>
    <n v="8599988776654"/>
    <x v="0"/>
    <s v="Pelechy a nábytok – Psy"/>
    <s v="Pup Republic"/>
    <n v="16.8"/>
    <n v="1"/>
    <s v="5"/>
    <s v="Pes sa neprehrieva anaj pri dlouhé ceste autem."/>
    <d v="2025-07-30T00:00:00"/>
    <n v="0"/>
    <n v="16.8"/>
    <n v="5"/>
    <d v="2025-07-01T00:00:00"/>
    <s v="pes"/>
  </r>
  <r>
    <n v="10478"/>
    <n v="4013456789017"/>
    <x v="2"/>
    <s v="Krmivo a maškrty – Psy"/>
    <s v="Snouty"/>
    <n v="6"/>
    <n v="1"/>
    <s v="NULL"/>
    <s v=""/>
    <d v="2025-07-30T00:00:00"/>
    <n v="0"/>
    <n v="6"/>
    <s v=""/>
    <d v="2025-07-01T00:00:00"/>
    <s v="pes"/>
  </r>
  <r>
    <n v="10479"/>
    <n v="8599988776654"/>
    <x v="0"/>
    <s v="Pelechy a nábytok – Psy"/>
    <s v="Pup Republic"/>
    <n v="16.8"/>
    <n v="2"/>
    <s v="NULL"/>
    <s v=""/>
    <d v="2025-07-30T00:00:00"/>
    <n v="0"/>
    <n v="33.6"/>
    <s v=""/>
    <d v="2025-07-01T00:00:00"/>
    <s v="pes"/>
  </r>
  <r>
    <n v="10480"/>
    <n v="4021234567894"/>
    <x v="7"/>
    <s v="Starostlivosť a hygiena – Mačky"/>
    <s v="PawStyle"/>
    <n v="8"/>
    <n v="1"/>
    <s v="4"/>
    <s v="Dlouho vydrží, pachy potlačí."/>
    <d v="2025-07-30T00:00:00"/>
    <n v="0"/>
    <n v="8"/>
    <n v="4"/>
    <d v="2025-07-01T00:00:00"/>
    <s v="mačka"/>
  </r>
  <r>
    <n v="10481"/>
    <n v="8599988776654"/>
    <x v="0"/>
    <s v="Pelechy a nábytok – Psy"/>
    <s v="Pup Republic"/>
    <n v="16.8"/>
    <n v="1"/>
    <s v="NULL"/>
    <s v=""/>
    <d v="2025-07-30T00:00:00"/>
    <n v="0"/>
    <n v="16.8"/>
    <s v=""/>
    <d v="2025-07-01T00:00:00"/>
    <s v="pes"/>
  </r>
  <r>
    <n v="10482"/>
    <n v="4017890123450"/>
    <x v="8"/>
    <s v="Hračky – Psy"/>
    <s v="Dogissimo"/>
    <n v="7.6"/>
    <n v="1"/>
    <s v="NULL"/>
    <s v=""/>
    <d v="2025-07-30T00:00:00"/>
    <n v="0"/>
    <n v="7.6"/>
    <s v=""/>
    <d v="2025-07-01T00:00:00"/>
    <s v="pes"/>
  </r>
  <r>
    <n v="10483"/>
    <n v="8599988776654"/>
    <x v="0"/>
    <s v="Pelechy a nábytok – Psy"/>
    <s v="Pup Republic"/>
    <n v="16.8"/>
    <n v="1"/>
    <s v="4"/>
    <s v="Pohodlná, ale šmýka sa na hladké podlaze."/>
    <d v="2025-07-30T00:00:00"/>
    <n v="0"/>
    <n v="16.8"/>
    <n v="4"/>
    <d v="2025-07-01T00:00:00"/>
    <s v="pes"/>
  </r>
  <r>
    <n v="10484"/>
    <n v="4010123456783"/>
    <x v="3"/>
    <s v="Starostlivosť a hygiena – Mačky"/>
    <s v="BellaMeow"/>
    <n v="14"/>
    <n v="1"/>
    <s v="NULL"/>
    <s v=""/>
    <d v="2025-07-30T00:00:00"/>
    <n v="0"/>
    <n v="14"/>
    <s v=""/>
    <d v="2025-07-01T00:00:00"/>
    <s v="mačka"/>
  </r>
  <r>
    <n v="10485"/>
    <n v="8599988776654"/>
    <x v="0"/>
    <s v="Pelechy a nábytok – Psy"/>
    <s v="Pup Republic"/>
    <n v="16.8"/>
    <n v="1"/>
    <s v="NULL"/>
    <s v=""/>
    <d v="2025-07-30T00:00:00"/>
    <n v="0"/>
    <n v="16.8"/>
    <s v=""/>
    <d v="2025-07-01T00:00:00"/>
    <s v="pes"/>
  </r>
  <r>
    <n v="10486"/>
    <n v="4028899001126"/>
    <x v="1"/>
    <s v="Krmivo a maškrty – Psy"/>
    <s v="Pup Republic"/>
    <n v="2.8"/>
    <n v="2"/>
    <s v="NULL"/>
    <s v=""/>
    <d v="2025-07-30T00:00:00"/>
    <n v="0"/>
    <n v="5.6"/>
    <s v=""/>
    <d v="2025-07-01T00:00:00"/>
    <s v="pes"/>
  </r>
  <r>
    <n v="10487"/>
    <n v="8599988776654"/>
    <x v="0"/>
    <s v="Pelechy a nábytok – Psy"/>
    <s v="Pup Republic"/>
    <n v="16.8"/>
    <n v="2"/>
    <s v="NULL"/>
    <s v=""/>
    <d v="2025-07-30T00:00:00"/>
    <n v="0"/>
    <n v="33.6"/>
    <s v=""/>
    <d v="2025-07-01T00:00:00"/>
    <s v="pes"/>
  </r>
  <r>
    <n v="10488"/>
    <n v="4061011223346"/>
    <x v="6"/>
    <s v="Oblečenie a doplnky – Psy"/>
    <s v="Tail Trend"/>
    <n v="19.600000000000001"/>
    <n v="1"/>
    <s v="5"/>
    <s v="Pohodlný úchop, pevná karabina."/>
    <d v="2025-07-30T00:00:00"/>
    <n v="0"/>
    <n v="19.600000000000001"/>
    <n v="5"/>
    <d v="2025-07-01T00:00:00"/>
    <s v="pes"/>
  </r>
  <r>
    <n v="10489"/>
    <n v="8599988776654"/>
    <x v="0"/>
    <s v="Pelechy a nábytok – Psy"/>
    <s v="Pup Republic"/>
    <n v="16.8"/>
    <n v="1"/>
    <s v="NULL"/>
    <s v=""/>
    <d v="2025-07-30T00:00:00"/>
    <n v="0"/>
    <n v="16.8"/>
    <s v=""/>
    <d v="2025-07-01T00:00:00"/>
    <s v="pes"/>
  </r>
  <r>
    <n v="10490"/>
    <n v="4027788990013"/>
    <x v="5"/>
    <s v="Starostlivosť a hygiena – Psy"/>
    <s v="Dogissimo"/>
    <n v="8"/>
    <n v="1"/>
    <s v="NULL"/>
    <s v=""/>
    <d v="2025-07-30T00:00:00"/>
    <n v="0"/>
    <n v="8"/>
    <s v=""/>
    <d v="2025-07-01T00:00:00"/>
    <s v="pes"/>
  </r>
  <r>
    <n v="10491"/>
    <n v="8599988776654"/>
    <x v="0"/>
    <s v="Pelechy a nábytok – Psy"/>
    <s v="Pup Republic"/>
    <n v="16.8"/>
    <n v="1"/>
    <s v="NULL"/>
    <s v=""/>
    <d v="2025-07-30T00:00:00"/>
    <n v="0"/>
    <n v="16.8"/>
    <s v=""/>
    <d v="2025-07-01T00:00:00"/>
    <s v="pes"/>
  </r>
  <r>
    <n v="10492"/>
    <n v="4013456789017"/>
    <x v="2"/>
    <s v="Krmivo a maškrty – Psy"/>
    <s v="Snouty"/>
    <n v="6"/>
    <n v="1"/>
    <s v="4"/>
    <s v="Pes sa na ne vždy teší."/>
    <d v="2025-07-30T00:00:00"/>
    <n v="0"/>
    <n v="6"/>
    <n v="4"/>
    <d v="2025-07-01T00:00:00"/>
    <s v="pes"/>
  </r>
  <r>
    <n v="10493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494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495"/>
    <n v="8596677889011"/>
    <x v="12"/>
    <s v="Krmivo a maškrty – Mačky"/>
    <s v="Catissime"/>
    <n v="35.200000000000003"/>
    <n v="1"/>
    <s v="5"/>
    <s v="Mačka prestala zvracet, super krmivo."/>
    <d v="2025-07-31T00:00:00"/>
    <n v="0"/>
    <n v="35.200000000000003"/>
    <n v="5"/>
    <d v="2025-07-01T00:00:00"/>
    <s v="mačka"/>
  </r>
  <r>
    <n v="1049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497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498"/>
    <n v="8599988776654"/>
    <x v="0"/>
    <s v="Pelechy a nábytok – Psy"/>
    <s v="Pup Republic"/>
    <n v="16.8"/>
    <n v="1"/>
    <s v="3"/>
    <s v="Chladí dobre, ale poťah by mohol byť mäkší."/>
    <d v="2025-07-31T00:00:00"/>
    <n v="0"/>
    <n v="16.8"/>
    <n v="3"/>
    <d v="2025-07-01T00:00:00"/>
    <s v="pes"/>
  </r>
  <r>
    <n v="1049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500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50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02"/>
    <n v="4056789012345"/>
    <x v="4"/>
    <s v="Krmivo a maškrty – Mačky"/>
    <s v="BellaMeow"/>
    <n v="2.4"/>
    <n v="2"/>
    <s v="4"/>
    <s v="Mačka sa k misce vrací, chutí."/>
    <d v="2025-07-31T00:00:00"/>
    <n v="0"/>
    <n v="4.8"/>
    <n v="4"/>
    <d v="2025-07-01T00:00:00"/>
    <s v="mačka"/>
  </r>
  <r>
    <n v="1050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04"/>
    <n v="4059012345683"/>
    <x v="13"/>
    <s v="Oblečenie a doplnky – Psy"/>
    <s v="Tail Trend"/>
    <n v="20"/>
    <n v="1"/>
    <s v="2"/>
    <s v="Vráceno – popruh sa po týždni strapkal."/>
    <d v="2025-07-31T00:00:00"/>
    <n v="1"/>
    <n v="20"/>
    <n v="2"/>
    <d v="2025-07-01T00:00:00"/>
    <s v="pes"/>
  </r>
  <r>
    <n v="10505"/>
    <n v="8599988776654"/>
    <x v="0"/>
    <s v="Pelechy a nábytok – Psy"/>
    <s v="Pup Republic"/>
    <n v="16.8"/>
    <n v="1"/>
    <s v="5"/>
    <s v="Pes na nej leží celé dni, výborný produkt na leto."/>
    <d v="2025-07-31T00:00:00"/>
    <n v="0"/>
    <n v="16.8"/>
    <n v="5"/>
    <d v="2025-07-01T00:00:00"/>
    <s v="pes"/>
  </r>
  <r>
    <n v="10506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507"/>
    <n v="4013456789017"/>
    <x v="2"/>
    <s v="Krmivo a maškrty – Psy"/>
    <s v="Snouty"/>
    <n v="6"/>
    <n v="1"/>
    <s v="4"/>
    <s v="Pes je miluje, používam pri výcviku."/>
    <d v="2025-07-31T00:00:00"/>
    <n v="0"/>
    <n v="6"/>
    <n v="4"/>
    <d v="2025-07-01T00:00:00"/>
    <s v="pes"/>
  </r>
  <r>
    <n v="10508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09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1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11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512"/>
    <n v="8599988776654"/>
    <x v="0"/>
    <s v="Pelechy a nábytok – Psy"/>
    <s v="Pup Republic"/>
    <n v="16.8"/>
    <n v="1"/>
    <s v="5"/>
    <s v="Nečekal som, že bude tak účinná, skvelá kúpa."/>
    <d v="2025-07-31T00:00:00"/>
    <n v="0"/>
    <n v="16.8"/>
    <n v="5"/>
    <d v="2025-07-01T00:00:00"/>
    <s v="pes"/>
  </r>
  <r>
    <n v="10513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51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15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51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17"/>
    <n v="4017890123450"/>
    <x v="8"/>
    <s v="Hračky – Psy"/>
    <s v="Dogissimo"/>
    <n v="7.6"/>
    <n v="1"/>
    <s v="5"/>
    <s v="Obľúbená hračka našeho šteniatka, odporúčam!"/>
    <d v="2025-07-31T00:00:00"/>
    <n v="0"/>
    <n v="7.6"/>
    <n v="5"/>
    <d v="2025-07-01T00:00:00"/>
    <s v="pes"/>
  </r>
  <r>
    <n v="1051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19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20"/>
    <n v="8599988776654"/>
    <x v="0"/>
    <s v="Pelechy a nábytok – Psy"/>
    <s v="Pup Republic"/>
    <n v="16.8"/>
    <n v="1"/>
    <s v="4"/>
    <s v="Pes sa ju obľúbil, chladí rovnomerne."/>
    <d v="2025-07-31T00:00:00"/>
    <n v="0"/>
    <n v="16.8"/>
    <n v="4"/>
    <d v="2025-07-01T00:00:00"/>
    <s v="pes"/>
  </r>
  <r>
    <n v="10521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52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23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524"/>
    <n v="8599988776654"/>
    <x v="0"/>
    <s v="Pelechy a nábytok – Psy"/>
    <s v="Pup Republic"/>
    <n v="16.8"/>
    <n v="2"/>
    <s v="5"/>
    <s v="Pomohla aj v aute, kde sa pes prehrieval."/>
    <d v="2025-07-31T00:00:00"/>
    <n v="0"/>
    <n v="33.6"/>
    <n v="5"/>
    <d v="2025-07-01T00:00:00"/>
    <s v="pes"/>
  </r>
  <r>
    <n v="10525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52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27"/>
    <n v="4027788990013"/>
    <x v="5"/>
    <s v="Starostlivosť a hygiena – Psy"/>
    <s v="Dogissimo"/>
    <n v="8"/>
    <n v="1"/>
    <s v="4"/>
    <s v="Srsť je hebká a voňavá."/>
    <d v="2025-07-31T00:00:00"/>
    <n v="0"/>
    <n v="8"/>
    <n v="4"/>
    <d v="2025-07-01T00:00:00"/>
    <s v="pes"/>
  </r>
  <r>
    <n v="1052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2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530"/>
    <n v="8599988776654"/>
    <x v="0"/>
    <s v="Pelechy a nábytok – Psy"/>
    <s v="Pup Republic"/>
    <n v="16.8"/>
    <n v="1"/>
    <s v="4"/>
    <s v="Príjemný materiál, pes sa ju hneď obľúbil."/>
    <d v="2025-07-31T00:00:00"/>
    <n v="0"/>
    <n v="16.8"/>
    <n v="4"/>
    <d v="2025-07-01T00:00:00"/>
    <s v="pes"/>
  </r>
  <r>
    <n v="10531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32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33"/>
    <n v="4063456789014"/>
    <x v="9"/>
    <s v="Krmivo a maškrty – Psy"/>
    <s v="Pupco"/>
    <n v="36"/>
    <n v="1"/>
    <s v="5"/>
    <s v="Pes pribral svaly a má lesklú srsť."/>
    <d v="2025-07-31T00:00:00"/>
    <n v="0"/>
    <n v="36"/>
    <n v="5"/>
    <d v="2025-07-01T00:00:00"/>
    <s v="pes"/>
  </r>
  <r>
    <n v="1053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35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536"/>
    <n v="8599988776654"/>
    <x v="0"/>
    <s v="Pelechy a nábytok – Psy"/>
    <s v="Pup Republic"/>
    <n v="16.8"/>
    <n v="1"/>
    <s v="3"/>
    <s v="Funguje, ale mohla by byť väčšia."/>
    <d v="2025-07-31T00:00:00"/>
    <n v="0"/>
    <n v="16.8"/>
    <n v="3"/>
    <d v="2025-07-01T00:00:00"/>
    <s v="pes"/>
  </r>
  <r>
    <n v="10537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53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39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540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41"/>
    <n v="4017890123450"/>
    <x v="8"/>
    <s v="Hračky – Psy"/>
    <s v="Dogissimo"/>
    <n v="7.6"/>
    <n v="1"/>
    <s v="5"/>
    <s v="Pevný materiál, píska hlasno."/>
    <d v="2025-07-31T00:00:00"/>
    <n v="0"/>
    <n v="7.6"/>
    <n v="5"/>
    <d v="2025-07-01T00:00:00"/>
    <s v="pes"/>
  </r>
  <r>
    <n v="1054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43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44"/>
    <n v="8599988776654"/>
    <x v="0"/>
    <s v="Pelechy a nábytok – Psy"/>
    <s v="Pup Republic"/>
    <n v="16.8"/>
    <n v="1"/>
    <s v="4"/>
    <s v="Prekvapivo odolná voči škrabaniu pazúrmi."/>
    <d v="2025-07-31T00:00:00"/>
    <n v="0"/>
    <n v="16.8"/>
    <n v="4"/>
    <d v="2025-07-01T00:00:00"/>
    <s v="pes"/>
  </r>
  <r>
    <n v="10545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54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47"/>
    <n v="4056789012345"/>
    <x v="4"/>
    <s v="Krmivo a maškrty – Mačky"/>
    <s v="BellaMeow"/>
    <n v="2.4"/>
    <n v="1"/>
    <s v="NULL"/>
    <s v=""/>
    <d v="2025-07-31T00:00:00"/>
    <n v="0"/>
    <n v="2.4"/>
    <s v=""/>
    <d v="2025-07-01T00:00:00"/>
    <s v="mačka"/>
  </r>
  <r>
    <n v="10548"/>
    <n v="8599988776654"/>
    <x v="0"/>
    <s v="Pelechy a nábytok – Psy"/>
    <s v="Pup Republic"/>
    <n v="16.8"/>
    <n v="1"/>
    <s v="5"/>
    <s v="Výborný chladicí efekt, odporúčam na cesty."/>
    <d v="2025-07-31T00:00:00"/>
    <n v="0"/>
    <n v="16.8"/>
    <n v="5"/>
    <d v="2025-07-01T00:00:00"/>
    <s v="pes"/>
  </r>
  <r>
    <n v="1054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550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51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5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53"/>
    <n v="4063456789014"/>
    <x v="9"/>
    <s v="Krmivo a maškrty – Psy"/>
    <s v="Pupco"/>
    <n v="36"/>
    <n v="1"/>
    <s v="4"/>
    <s v="Pes má viac energie a hezčí srsť."/>
    <d v="2025-07-31T00:00:00"/>
    <n v="0"/>
    <n v="36"/>
    <n v="4"/>
    <d v="2025-07-01T00:00:00"/>
    <s v="pes"/>
  </r>
  <r>
    <n v="1055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55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556"/>
    <n v="8599988776654"/>
    <x v="0"/>
    <s v="Pelechy a nábytok – Psy"/>
    <s v="Pup Republic"/>
    <n v="16.8"/>
    <n v="2"/>
    <s v="4"/>
    <s v="Pes ju používá aj v noci, príjemná na dotyk."/>
    <d v="2025-07-31T00:00:00"/>
    <n v="0"/>
    <n v="33.6"/>
    <n v="4"/>
    <d v="2025-07-01T00:00:00"/>
    <s v="pes"/>
  </r>
  <r>
    <n v="10557"/>
    <n v="4056789012345"/>
    <x v="4"/>
    <s v="Krmivo a maškrty – Mačky"/>
    <s v="BellaMeow"/>
    <n v="2.4"/>
    <n v="1"/>
    <s v="NULL"/>
    <s v=""/>
    <d v="2025-07-31T00:00:00"/>
    <n v="0"/>
    <n v="2.4"/>
    <s v=""/>
    <d v="2025-07-01T00:00:00"/>
    <s v="mačka"/>
  </r>
  <r>
    <n v="1055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59"/>
    <n v="4013456789017"/>
    <x v="2"/>
    <s v="Krmivo a maškrty – Psy"/>
    <s v="Snouty"/>
    <n v="6"/>
    <n v="1"/>
    <s v="5"/>
    <s v="Malé a mäkké, ideálne na tréning."/>
    <d v="2025-07-31T00:00:00"/>
    <n v="0"/>
    <n v="6"/>
    <n v="5"/>
    <d v="2025-07-01T00:00:00"/>
    <s v="pes"/>
  </r>
  <r>
    <n v="1056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61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62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63"/>
    <n v="4017890123450"/>
    <x v="8"/>
    <s v="Hračky – Psy"/>
    <s v="Dogissimo"/>
    <n v="7.6"/>
    <n v="1"/>
    <s v="4"/>
    <s v="Zatiaľ drží, pes ju má rád."/>
    <d v="2025-07-31T00:00:00"/>
    <n v="0"/>
    <n v="7.6"/>
    <n v="4"/>
    <d v="2025-07-01T00:00:00"/>
    <s v="pes"/>
  </r>
  <r>
    <n v="1056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65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56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67"/>
    <n v="4056789012345"/>
    <x v="4"/>
    <s v="Krmivo a maškrty – Mačky"/>
    <s v="BellaMeow"/>
    <n v="2.4"/>
    <n v="2"/>
    <s v="4"/>
    <s v="Mačka ju je beze zvyškov."/>
    <d v="2025-07-31T00:00:00"/>
    <n v="0"/>
    <n v="4.8"/>
    <n v="4"/>
    <d v="2025-07-01T00:00:00"/>
    <s v="mačka"/>
  </r>
  <r>
    <n v="1056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69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570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71"/>
    <n v="4017890123450"/>
    <x v="8"/>
    <s v="Hračky – Psy"/>
    <s v="Dogissimo"/>
    <n v="7.6"/>
    <n v="1"/>
    <s v="5"/>
    <s v="Píská silno, pes nadšený."/>
    <d v="2025-07-31T00:00:00"/>
    <n v="0"/>
    <n v="7.6"/>
    <n v="5"/>
    <d v="2025-07-01T00:00:00"/>
    <s v="pes"/>
  </r>
  <r>
    <n v="1057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73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74"/>
    <n v="8599988776654"/>
    <x v="0"/>
    <s v="Pelechy a nábytok – Psy"/>
    <s v="Pup Republic"/>
    <n v="16.8"/>
    <n v="1"/>
    <s v="4"/>
    <s v="Chladí okamžite, jednoduché čistenie."/>
    <d v="2025-07-31T00:00:00"/>
    <n v="0"/>
    <n v="16.8"/>
    <n v="4"/>
    <d v="2025-07-01T00:00:00"/>
    <s v="pes"/>
  </r>
  <r>
    <n v="10575"/>
    <n v="4027788990013"/>
    <x v="5"/>
    <s v="Starostlivosť a hygiena – Psy"/>
    <s v="Dogissimo"/>
    <n v="8"/>
    <n v="1"/>
    <s v="NULL"/>
    <s v=""/>
    <d v="2025-07-31T00:00:00"/>
    <n v="0"/>
    <n v="8"/>
    <s v=""/>
    <d v="2025-07-01T00:00:00"/>
    <s v="pes"/>
  </r>
  <r>
    <n v="1057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77"/>
    <n v="4063456789014"/>
    <x v="9"/>
    <s v="Krmivo a maškrty – Psy"/>
    <s v="Pupco"/>
    <n v="36"/>
    <n v="1"/>
    <s v="5"/>
    <s v="Super granuly, bez zápachu, chutnají."/>
    <d v="2025-07-31T00:00:00"/>
    <n v="0"/>
    <n v="36"/>
    <n v="5"/>
    <d v="2025-07-01T00:00:00"/>
    <s v="pes"/>
  </r>
  <r>
    <n v="1057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7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580"/>
    <n v="8599988776654"/>
    <x v="0"/>
    <s v="Pelechy a nábytok – Psy"/>
    <s v="Pup Republic"/>
    <n v="16.8"/>
    <n v="1"/>
    <s v="5"/>
    <s v="Výborná na balkon aj do auta, náš pes ju miluje."/>
    <d v="2025-07-31T00:00:00"/>
    <n v="0"/>
    <n v="16.8"/>
    <n v="5"/>
    <d v="2025-07-01T00:00:00"/>
    <s v="pes"/>
  </r>
  <r>
    <n v="10581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582"/>
    <n v="4013456789017"/>
    <x v="2"/>
    <s v="Krmivo a maškrty – Psy"/>
    <s v="Snouty"/>
    <n v="6"/>
    <n v="1"/>
    <s v="4"/>
    <s v="Mäkké a voňavé, ideálne pre šteniatko."/>
    <d v="2025-07-31T00:00:00"/>
    <n v="0"/>
    <n v="6"/>
    <n v="4"/>
    <d v="2025-07-01T00:00:00"/>
    <s v="pes"/>
  </r>
  <r>
    <n v="1058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84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8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86"/>
    <n v="4063456789014"/>
    <x v="9"/>
    <s v="Krmivo a maškrty – Psy"/>
    <s v="Pupco"/>
    <n v="36"/>
    <n v="1"/>
    <s v="5"/>
    <s v="Pes sa zlepšil po zdravotní stránce."/>
    <d v="2025-07-31T00:00:00"/>
    <n v="0"/>
    <n v="36"/>
    <n v="5"/>
    <d v="2025-07-01T00:00:00"/>
    <s v="pes"/>
  </r>
  <r>
    <n v="1058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88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589"/>
    <n v="8599988776654"/>
    <x v="0"/>
    <s v="Pelechy a nábytok – Psy"/>
    <s v="Pup Republic"/>
    <n v="16.8"/>
    <n v="1"/>
    <s v="4"/>
    <s v="Praktická, stačí utrieť hadrem, pes ju má rád."/>
    <d v="2025-07-31T00:00:00"/>
    <n v="0"/>
    <n v="16.8"/>
    <n v="4"/>
    <d v="2025-07-01T00:00:00"/>
    <s v="pes"/>
  </r>
  <r>
    <n v="10590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59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92"/>
    <n v="4017890123450"/>
    <x v="8"/>
    <s v="Hračky – Psy"/>
    <s v="Dogissimo"/>
    <n v="7.6"/>
    <n v="1"/>
    <s v="4"/>
    <s v="Píská trochu hlasno, ale pes nadšený."/>
    <d v="2025-07-31T00:00:00"/>
    <n v="0"/>
    <n v="7.6"/>
    <n v="4"/>
    <d v="2025-07-01T00:00:00"/>
    <s v="pes"/>
  </r>
  <r>
    <n v="1059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94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59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596"/>
    <n v="4028899001126"/>
    <x v="1"/>
    <s v="Krmivo a maškrty – Psy"/>
    <s v="Pup Republic"/>
    <n v="2.8"/>
    <n v="2"/>
    <s v="5"/>
    <s v="Kupuju opakovane, pes spokojený."/>
    <d v="2025-07-31T00:00:00"/>
    <n v="0"/>
    <n v="5.6"/>
    <n v="5"/>
    <d v="2025-07-01T00:00:00"/>
    <s v="pes"/>
  </r>
  <r>
    <n v="1059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598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59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00"/>
    <n v="4013456789017"/>
    <x v="2"/>
    <s v="Krmivo a maškrty – Psy"/>
    <s v="Snouty"/>
    <n v="6"/>
    <n v="1"/>
    <s v="5"/>
    <s v="Najlepšie maškrty, čo sme zkusili."/>
    <d v="2025-07-31T00:00:00"/>
    <n v="0"/>
    <n v="6"/>
    <n v="5"/>
    <d v="2025-07-01T00:00:00"/>
    <s v="pes"/>
  </r>
  <r>
    <n v="1060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02"/>
    <n v="4027788990013"/>
    <x v="5"/>
    <s v="Starostlivosť a hygiena – Psy"/>
    <s v="Dogissimo"/>
    <n v="8"/>
    <n v="1"/>
    <s v="NULL"/>
    <s v=""/>
    <d v="2025-07-31T00:00:00"/>
    <n v="0"/>
    <n v="8"/>
    <s v=""/>
    <d v="2025-07-01T00:00:00"/>
    <s v="pes"/>
  </r>
  <r>
    <n v="1060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04"/>
    <n v="4017890123450"/>
    <x v="8"/>
    <s v="Hračky – Psy"/>
    <s v="Dogissimo"/>
    <n v="7.6"/>
    <n v="1"/>
    <s v="4"/>
    <s v="Pevná, prežila aj aportování v parku."/>
    <d v="2025-07-31T00:00:00"/>
    <n v="0"/>
    <n v="7.6"/>
    <n v="4"/>
    <d v="2025-07-01T00:00:00"/>
    <s v="pes"/>
  </r>
  <r>
    <n v="1060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06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07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08"/>
    <n v="4063456789014"/>
    <x v="9"/>
    <s v="Krmivo a maškrty – Psy"/>
    <s v="Pupco"/>
    <n v="36"/>
    <n v="1"/>
    <s v="5"/>
    <s v="Pes je zdravšie, srsť krásne lesklá."/>
    <d v="2025-07-31T00:00:00"/>
    <n v="0"/>
    <n v="36"/>
    <n v="5"/>
    <d v="2025-07-01T00:00:00"/>
    <s v="pes"/>
  </r>
  <r>
    <n v="1060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10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61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12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613"/>
    <n v="8599988776654"/>
    <x v="0"/>
    <s v="Pelechy a nábytok – Psy"/>
    <s v="Pup Republic"/>
    <n v="16.8"/>
    <n v="1"/>
    <s v="4"/>
    <s v="Skladná a chladí hneď po vybalení."/>
    <d v="2025-07-31T00:00:00"/>
    <n v="0"/>
    <n v="16.8"/>
    <n v="4"/>
    <d v="2025-07-01T00:00:00"/>
    <s v="pes"/>
  </r>
  <r>
    <n v="10614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61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16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1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18"/>
    <n v="4013456789017"/>
    <x v="2"/>
    <s v="Krmivo a maškrty – Psy"/>
    <s v="Snouty"/>
    <n v="6"/>
    <n v="1"/>
    <s v="5"/>
    <s v="Fajn maškrty, pes poslúcha ako hodinky."/>
    <d v="2025-07-31T00:00:00"/>
    <n v="0"/>
    <n v="6"/>
    <n v="5"/>
    <d v="2025-07-01T00:00:00"/>
    <s v="pes"/>
  </r>
  <r>
    <n v="1061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20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2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22"/>
    <n v="4028899001126"/>
    <x v="1"/>
    <s v="Krmivo a maškrty – Psy"/>
    <s v="Pup Republic"/>
    <n v="2.8"/>
    <n v="3"/>
    <s v="4"/>
    <s v="Kupujem často, spokojenost."/>
    <d v="2025-07-31T00:00:00"/>
    <n v="0"/>
    <n v="8.3999999999999986"/>
    <n v="4"/>
    <d v="2025-07-01T00:00:00"/>
    <s v="pes"/>
  </r>
  <r>
    <n v="10623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24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62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26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627"/>
    <n v="8599988776654"/>
    <x v="0"/>
    <s v="Pelechy a nábytok – Psy"/>
    <s v="Pup Republic"/>
    <n v="16.8"/>
    <n v="2"/>
    <s v="5"/>
    <s v="Perfektná veľkosť pre stredného psa."/>
    <d v="2025-07-31T00:00:00"/>
    <n v="0"/>
    <n v="33.6"/>
    <n v="5"/>
    <d v="2025-07-01T00:00:00"/>
    <s v="pes"/>
  </r>
  <r>
    <n v="10628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62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30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3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32"/>
    <n v="4063456789014"/>
    <x v="9"/>
    <s v="Krmivo a maškrty – Psy"/>
    <s v="Pupco"/>
    <n v="36"/>
    <n v="1"/>
    <s v="5"/>
    <s v="Výborné krmivo, žiadne zažívací potíže."/>
    <d v="2025-07-31T00:00:00"/>
    <n v="0"/>
    <n v="36"/>
    <n v="5"/>
    <d v="2025-07-01T00:00:00"/>
    <s v="pes"/>
  </r>
  <r>
    <n v="10633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34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635"/>
    <n v="8599988776654"/>
    <x v="0"/>
    <s v="Pelechy a nábytok – Psy"/>
    <s v="Pup Republic"/>
    <n v="16.8"/>
    <n v="1"/>
    <s v="4"/>
    <s v="Pes sa na nej okamžite natáhne."/>
    <d v="2025-07-31T00:00:00"/>
    <n v="0"/>
    <n v="16.8"/>
    <n v="4"/>
    <d v="2025-07-01T00:00:00"/>
    <s v="pes"/>
  </r>
  <r>
    <n v="10636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63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38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639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40"/>
    <n v="4017890123450"/>
    <x v="8"/>
    <s v="Hračky – Psy"/>
    <s v="Dogissimo"/>
    <n v="7.6"/>
    <n v="1"/>
    <s v="5"/>
    <s v="Pevný materiál, zvládá aj velké psy."/>
    <d v="2025-07-31T00:00:00"/>
    <n v="0"/>
    <n v="7.6"/>
    <n v="5"/>
    <d v="2025-07-01T00:00:00"/>
    <s v="pes"/>
  </r>
  <r>
    <n v="1064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42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4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44"/>
    <n v="4028899001126"/>
    <x v="1"/>
    <s v="Krmivo a maškrty – Psy"/>
    <s v="Pup Republic"/>
    <n v="2.8"/>
    <n v="3"/>
    <s v="5"/>
    <s v="Vždy čerstvá a vonia, pes sa teší na každé kŕmenie."/>
    <d v="2025-07-31T00:00:00"/>
    <n v="0"/>
    <n v="8.3999999999999986"/>
    <n v="5"/>
    <d v="2025-07-01T00:00:00"/>
    <s v="pes"/>
  </r>
  <r>
    <n v="1064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46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64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48"/>
    <n v="4013456789017"/>
    <x v="2"/>
    <s v="Krmivo a maškrty – Psy"/>
    <s v="Snouty"/>
    <n v="6"/>
    <n v="1"/>
    <s v="4"/>
    <s v="Dobrá cena aj kvalita, náš favorit."/>
    <d v="2025-07-31T00:00:00"/>
    <n v="0"/>
    <n v="6"/>
    <n v="4"/>
    <d v="2025-07-01T00:00:00"/>
    <s v="pes"/>
  </r>
  <r>
    <n v="1064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50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5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52"/>
    <n v="4063456789014"/>
    <x v="9"/>
    <s v="Krmivo a maškrty – Psy"/>
    <s v="Pupco"/>
    <n v="36"/>
    <n v="1"/>
    <s v="4"/>
    <s v="Zlepšila sa kondice psa, super."/>
    <d v="2025-07-31T00:00:00"/>
    <n v="0"/>
    <n v="36"/>
    <n v="4"/>
    <d v="2025-07-01T00:00:00"/>
    <s v="pes"/>
  </r>
  <r>
    <n v="1065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54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655"/>
    <n v="8599988776654"/>
    <x v="0"/>
    <s v="Pelechy a nábytok – Psy"/>
    <s v="Pup Republic"/>
    <n v="16.8"/>
    <n v="1"/>
    <s v="5"/>
    <s v="Funguje skvelo aj po niekoľkých týdnech používání."/>
    <d v="2025-07-31T00:00:00"/>
    <n v="0"/>
    <n v="16.8"/>
    <n v="5"/>
    <d v="2025-07-01T00:00:00"/>
    <s v="pes"/>
  </r>
  <r>
    <n v="10656"/>
    <n v="4056789012345"/>
    <x v="4"/>
    <s v="Krmivo a maškrty – Mačky"/>
    <s v="BellaMeow"/>
    <n v="2.4"/>
    <n v="2"/>
    <s v="4"/>
    <s v="Mačka ju má ráda, príjemná vôňa."/>
    <d v="2025-07-31T00:00:00"/>
    <n v="0"/>
    <n v="4.8"/>
    <n v="4"/>
    <d v="2025-07-01T00:00:00"/>
    <s v="mačka"/>
  </r>
  <r>
    <n v="1065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58"/>
    <n v="4017890123450"/>
    <x v="8"/>
    <s v="Hračky – Psy"/>
    <s v="Dogissimo"/>
    <n v="7.6"/>
    <n v="1"/>
    <s v="4"/>
    <s v="Obľúbená hračka, len trochu hlučná."/>
    <d v="2025-07-31T00:00:00"/>
    <n v="0"/>
    <n v="7.6"/>
    <n v="4"/>
    <d v="2025-07-01T00:00:00"/>
    <s v="pes"/>
  </r>
  <r>
    <n v="10659"/>
    <n v="4010123456783"/>
    <x v="3"/>
    <s v="Starostlivosť a hygiena – Mačky"/>
    <s v="BellaMeow"/>
    <n v="14"/>
    <n v="1"/>
    <s v="5"/>
    <s v="Vydrží dlho, bez zápachu, top podstielka."/>
    <d v="2025-07-31T00:00:00"/>
    <n v="0"/>
    <n v="14"/>
    <n v="5"/>
    <d v="2025-07-01T00:00:00"/>
    <s v="mačka"/>
  </r>
  <r>
    <n v="1066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61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662"/>
    <n v="8599988776654"/>
    <x v="0"/>
    <s v="Pelechy a nábytok – Psy"/>
    <s v="Pup Republic"/>
    <n v="16.8"/>
    <n v="2"/>
    <s v="4"/>
    <s v="Pes sa ju chráni ako svoj poklad."/>
    <d v="2025-07-31T00:00:00"/>
    <n v="0"/>
    <n v="33.6"/>
    <n v="4"/>
    <d v="2025-07-01T00:00:00"/>
    <s v="pes"/>
  </r>
  <r>
    <n v="10663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66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65"/>
    <n v="4056789012345"/>
    <x v="4"/>
    <s v="Krmivo a maškrty – Mačky"/>
    <s v="BellaMeow"/>
    <n v="2.4"/>
    <n v="2"/>
    <s v="3"/>
    <s v="Mačka zje polovicu, zbytek nechá, priemer."/>
    <d v="2025-07-31T00:00:00"/>
    <n v="0"/>
    <n v="4.8"/>
    <n v="3"/>
    <d v="2025-07-01T00:00:00"/>
    <s v="mačka"/>
  </r>
  <r>
    <n v="1066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67"/>
    <n v="4017890123450"/>
    <x v="8"/>
    <s v="Hračky – Psy"/>
    <s v="Dogissimo"/>
    <n v="7.6"/>
    <n v="1"/>
    <s v="5"/>
    <s v="Pes ju ťahá po byte, stále drží."/>
    <d v="2025-07-31T00:00:00"/>
    <n v="0"/>
    <n v="7.6"/>
    <n v="5"/>
    <d v="2025-07-01T00:00:00"/>
    <s v="pes"/>
  </r>
  <r>
    <n v="10668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69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70"/>
    <n v="4027788990013"/>
    <x v="5"/>
    <s v="Starostlivosť a hygiena – Psy"/>
    <s v="Dogissimo"/>
    <n v="8"/>
    <n v="1"/>
    <s v="4"/>
    <s v="Hezká vôňa, pení akorát."/>
    <d v="2025-07-31T00:00:00"/>
    <n v="0"/>
    <n v="8"/>
    <n v="4"/>
    <d v="2025-07-01T00:00:00"/>
    <s v="pes"/>
  </r>
  <r>
    <n v="1067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72"/>
    <n v="4021234567894"/>
    <x v="7"/>
    <s v="Starostlivosť a hygiena – Mačky"/>
    <s v="PawStyle"/>
    <n v="8"/>
    <n v="1"/>
    <s v="5"/>
    <s v="Výborne neutralizuje pachy, odporúčam."/>
    <d v="2025-07-31T00:00:00"/>
    <n v="0"/>
    <n v="8"/>
    <n v="5"/>
    <d v="2025-07-01T00:00:00"/>
    <s v="mačka"/>
  </r>
  <r>
    <n v="1067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74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675"/>
    <n v="8599988776654"/>
    <x v="0"/>
    <s v="Pelechy a nábytok – Psy"/>
    <s v="Pup Republic"/>
    <n v="16.8"/>
    <n v="2"/>
    <s v="5"/>
    <s v="Skvelá kvalita, pes ju využívá denne."/>
    <d v="2025-07-31T00:00:00"/>
    <n v="0"/>
    <n v="33.6"/>
    <n v="5"/>
    <d v="2025-07-01T00:00:00"/>
    <s v="pes"/>
  </r>
  <r>
    <n v="10676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67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78"/>
    <n v="4010123456783"/>
    <x v="3"/>
    <s v="Starostlivosť a hygiena – Mačky"/>
    <s v="BellaMeow"/>
    <n v="14"/>
    <n v="1"/>
    <s v="5"/>
    <s v="Skvelá absorpce, žiaden zápach."/>
    <d v="2025-07-31T00:00:00"/>
    <n v="0"/>
    <n v="14"/>
    <n v="5"/>
    <d v="2025-07-01T00:00:00"/>
    <s v="mačka"/>
  </r>
  <r>
    <n v="1067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80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68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82"/>
    <n v="4028899001126"/>
    <x v="1"/>
    <s v="Krmivo a maškrty – Psy"/>
    <s v="Pup Republic"/>
    <n v="2.8"/>
    <n v="3"/>
    <s v="5"/>
    <s v="Voňavé maso, pes sa olizuje."/>
    <d v="2025-07-31T00:00:00"/>
    <n v="0"/>
    <n v="8.3999999999999986"/>
    <n v="5"/>
    <d v="2025-07-01T00:00:00"/>
    <s v="pes"/>
  </r>
  <r>
    <n v="1068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84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68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86"/>
    <n v="4017890123450"/>
    <x v="8"/>
    <s v="Hračky – Psy"/>
    <s v="Dogissimo"/>
    <n v="7.6"/>
    <n v="1"/>
    <s v="4"/>
    <s v="Zatiaľ prežila aj tahání venku."/>
    <d v="2025-07-31T00:00:00"/>
    <n v="0"/>
    <n v="7.6"/>
    <n v="4"/>
    <d v="2025-07-01T00:00:00"/>
    <s v="pes"/>
  </r>
  <r>
    <n v="10687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68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89"/>
    <n v="4056789012345"/>
    <x v="4"/>
    <s v="Krmivo a maškrty – Mačky"/>
    <s v="BellaMeow"/>
    <n v="2.4"/>
    <n v="2"/>
    <s v="4"/>
    <s v="Mačka spokojná, miska prázdna."/>
    <d v="2025-07-31T00:00:00"/>
    <n v="0"/>
    <n v="4.8"/>
    <n v="4"/>
    <d v="2025-07-01T00:00:00"/>
    <s v="mačka"/>
  </r>
  <r>
    <n v="1069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91"/>
    <n v="4027788990013"/>
    <x v="5"/>
    <s v="Starostlivosť a hygiena – Psy"/>
    <s v="Dogissimo"/>
    <n v="8"/>
    <n v="1"/>
    <s v="NULL"/>
    <s v=""/>
    <d v="2025-07-31T00:00:00"/>
    <n v="0"/>
    <n v="8"/>
    <s v=""/>
    <d v="2025-07-01T00:00:00"/>
    <s v="pes"/>
  </r>
  <r>
    <n v="10692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693"/>
    <n v="4017890123450"/>
    <x v="8"/>
    <s v="Hračky – Psy"/>
    <s v="Dogissimo"/>
    <n v="7.6"/>
    <n v="1"/>
    <s v="4"/>
    <s v="Pes ju okusuje, ale zatiaľ drží."/>
    <d v="2025-07-31T00:00:00"/>
    <n v="0"/>
    <n v="7.6"/>
    <n v="4"/>
    <d v="2025-07-01T00:00:00"/>
    <s v="pes"/>
  </r>
  <r>
    <n v="1069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95"/>
    <n v="4010123456783"/>
    <x v="3"/>
    <s v="Starostlivosť a hygiena – Mačky"/>
    <s v="BellaMeow"/>
    <n v="14"/>
    <n v="1"/>
    <s v="5"/>
    <s v="Najlepšia podstielka, které sme mali."/>
    <d v="2025-07-31T00:00:00"/>
    <n v="0"/>
    <n v="14"/>
    <n v="5"/>
    <d v="2025-07-01T00:00:00"/>
    <s v="mačka"/>
  </r>
  <r>
    <n v="1069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97"/>
    <n v="4063456789014"/>
    <x v="9"/>
    <s v="Krmivo a maškrty – Psy"/>
    <s v="Pupco"/>
    <n v="36"/>
    <n v="1"/>
    <s v="5"/>
    <s v="Pes nadšený, miska vždy prázdna."/>
    <d v="2025-07-31T00:00:00"/>
    <n v="0"/>
    <n v="36"/>
    <n v="5"/>
    <d v="2025-07-01T00:00:00"/>
    <s v="pes"/>
  </r>
  <r>
    <n v="1069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699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700"/>
    <n v="8599988776654"/>
    <x v="0"/>
    <s v="Pelechy a nábytok – Psy"/>
    <s v="Pup Republic"/>
    <n v="16.8"/>
    <n v="1"/>
    <s v="4"/>
    <s v="Skvelá v aute aj doma, odporúčam."/>
    <d v="2025-07-31T00:00:00"/>
    <n v="0"/>
    <n v="16.8"/>
    <n v="4"/>
    <d v="2025-07-01T00:00:00"/>
    <s v="pes"/>
  </r>
  <r>
    <n v="10701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70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03"/>
    <n v="4013456789017"/>
    <x v="2"/>
    <s v="Krmivo a maškrty – Psy"/>
    <s v="Snouty"/>
    <n v="6"/>
    <n v="1"/>
    <s v="5"/>
    <s v="Pes sa môže zblázniť od radosti."/>
    <d v="2025-07-31T00:00:00"/>
    <n v="0"/>
    <n v="6"/>
    <n v="5"/>
    <d v="2025-07-01T00:00:00"/>
    <s v="pes"/>
  </r>
  <r>
    <n v="10704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05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0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07"/>
    <n v="4017890123450"/>
    <x v="8"/>
    <s v="Hračky – Psy"/>
    <s v="Dogissimo"/>
    <n v="7.6"/>
    <n v="1"/>
    <s v="5"/>
    <s v="Obľúbená hračka, výborná kvalita."/>
    <d v="2025-07-31T00:00:00"/>
    <n v="0"/>
    <n v="7.6"/>
    <n v="5"/>
    <d v="2025-07-01T00:00:00"/>
    <s v="pes"/>
  </r>
  <r>
    <n v="1070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09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71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11"/>
    <n v="4056789012345"/>
    <x v="4"/>
    <s v="Krmivo a maškrty – Mačky"/>
    <s v="BellaMeow"/>
    <n v="2.4"/>
    <n v="2"/>
    <s v="4"/>
    <s v="Naše mačka ju chce denne."/>
    <d v="2025-07-31T00:00:00"/>
    <n v="0"/>
    <n v="4.8"/>
    <n v="4"/>
    <d v="2025-07-01T00:00:00"/>
    <s v="mačka"/>
  </r>
  <r>
    <n v="1071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13"/>
    <n v="4013456789017"/>
    <x v="2"/>
    <s v="Krmivo a maškrty – Psy"/>
    <s v="Snouty"/>
    <n v="6"/>
    <n v="1"/>
    <s v="5"/>
    <s v="Výborné, žiadna chemie."/>
    <d v="2025-07-31T00:00:00"/>
    <n v="0"/>
    <n v="6"/>
    <n v="5"/>
    <d v="2025-07-01T00:00:00"/>
    <s v="pes"/>
  </r>
  <r>
    <n v="10714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15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71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17"/>
    <n v="4010123456783"/>
    <x v="3"/>
    <s v="Starostlivosť a hygiena – Mačky"/>
    <s v="BellaMeow"/>
    <n v="14"/>
    <n v="1"/>
    <s v="5"/>
    <s v="Skvelo absorbuje vlhkosť, vydrží týdny."/>
    <d v="2025-07-31T00:00:00"/>
    <n v="0"/>
    <n v="14"/>
    <n v="5"/>
    <d v="2025-07-01T00:00:00"/>
    <s v="mačka"/>
  </r>
  <r>
    <n v="1071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19"/>
    <n v="4063456789014"/>
    <x v="9"/>
    <s v="Krmivo a maškrty – Psy"/>
    <s v="Pupco"/>
    <n v="36"/>
    <n v="1"/>
    <s v="4"/>
    <s v="Pes sa teší na každé kŕmenie."/>
    <d v="2025-07-31T00:00:00"/>
    <n v="0"/>
    <n v="36"/>
    <n v="4"/>
    <d v="2025-07-01T00:00:00"/>
    <s v="pes"/>
  </r>
  <r>
    <n v="10720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21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72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23"/>
    <n v="4013456789017"/>
    <x v="2"/>
    <s v="Krmivo a maškrty – Psy"/>
    <s v="Snouty"/>
    <n v="6"/>
    <n v="1"/>
    <s v="4"/>
    <s v="Pes je bere ako odmenu."/>
    <d v="2025-07-31T00:00:00"/>
    <n v="0"/>
    <n v="6"/>
    <n v="4"/>
    <d v="2025-07-01T00:00:00"/>
    <s v="pes"/>
  </r>
  <r>
    <n v="1072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25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2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27"/>
    <n v="4017890123450"/>
    <x v="8"/>
    <s v="Hračky – Psy"/>
    <s v="Dogissimo"/>
    <n v="7.6"/>
    <n v="1"/>
    <s v="5"/>
    <s v="Vhodná aj pre malé psy, super."/>
    <d v="2025-07-31T00:00:00"/>
    <n v="0"/>
    <n v="7.6"/>
    <n v="5"/>
    <d v="2025-07-01T00:00:00"/>
    <s v="pes"/>
  </r>
  <r>
    <n v="1072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29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730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31"/>
    <n v="4017890123450"/>
    <x v="8"/>
    <s v="Hračky – Psy"/>
    <s v="Dogissimo"/>
    <n v="7.6"/>
    <n v="1"/>
    <s v="4"/>
    <s v="Pevný materiál, pes ju ťahá všade."/>
    <d v="2025-07-31T00:00:00"/>
    <n v="0"/>
    <n v="7.6"/>
    <n v="4"/>
    <d v="2025-07-01T00:00:00"/>
    <s v="pes"/>
  </r>
  <r>
    <n v="10732"/>
    <n v="4010123456783"/>
    <x v="3"/>
    <s v="Starostlivosť a hygiena – Mačky"/>
    <s v="BellaMeow"/>
    <n v="14"/>
    <n v="1"/>
    <s v="5"/>
    <s v="Skvelo pohlcuje pachy, odporúčam."/>
    <d v="2025-07-31T00:00:00"/>
    <n v="0"/>
    <n v="14"/>
    <n v="5"/>
    <d v="2025-07-01T00:00:00"/>
    <s v="mačka"/>
  </r>
  <r>
    <n v="1073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34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735"/>
    <n v="4013456789017"/>
    <x v="2"/>
    <s v="Krmivo a maškrty – Psy"/>
    <s v="Snouty"/>
    <n v="6"/>
    <n v="1"/>
    <s v="5"/>
    <s v="Pes sa môže zbláznit, ako mu chutnají."/>
    <d v="2025-07-31T00:00:00"/>
    <n v="0"/>
    <n v="6"/>
    <n v="5"/>
    <d v="2025-07-01T00:00:00"/>
    <s v="pes"/>
  </r>
  <r>
    <n v="1073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37"/>
    <n v="4027788990013"/>
    <x v="5"/>
    <s v="Starostlivosť a hygiena – Psy"/>
    <s v="Dogissimo"/>
    <n v="8"/>
    <n v="1"/>
    <s v="4"/>
    <s v="Pekne vonia, ale mohol by viac peniť."/>
    <d v="2025-07-31T00:00:00"/>
    <n v="0"/>
    <n v="8"/>
    <n v="4"/>
    <d v="2025-07-01T00:00:00"/>
    <s v="pes"/>
  </r>
  <r>
    <n v="10738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39"/>
    <n v="8599988776654"/>
    <x v="0"/>
    <s v="Pelechy a nábytok – Psy"/>
    <s v="Pup Republic"/>
    <n v="16.8"/>
    <n v="2"/>
    <s v="5"/>
    <s v="Funguje aj po 3 týdnech, super chladí."/>
    <d v="2025-07-31T00:00:00"/>
    <n v="0"/>
    <n v="33.6"/>
    <n v="5"/>
    <d v="2025-07-01T00:00:00"/>
    <s v="pes"/>
  </r>
  <r>
    <n v="10740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74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42"/>
    <n v="4017890123450"/>
    <x v="8"/>
    <s v="Hračky – Psy"/>
    <s v="Dogissimo"/>
    <n v="7.6"/>
    <n v="1"/>
    <s v="5"/>
    <s v="Pes ju má od rána do večera."/>
    <d v="2025-07-31T00:00:00"/>
    <n v="0"/>
    <n v="7.6"/>
    <n v="5"/>
    <d v="2025-07-01T00:00:00"/>
    <s v="pes"/>
  </r>
  <r>
    <n v="10743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44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74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46"/>
    <n v="4013456789017"/>
    <x v="2"/>
    <s v="Krmivo a maškrty – Psy"/>
    <s v="Snouty"/>
    <n v="6"/>
    <n v="1"/>
    <s v="4"/>
    <s v="Výborné pre výcvik, skvelo sa lámou."/>
    <d v="2025-07-31T00:00:00"/>
    <n v="0"/>
    <n v="6"/>
    <n v="4"/>
    <d v="2025-07-01T00:00:00"/>
    <s v="pes"/>
  </r>
  <r>
    <n v="1074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48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49"/>
    <n v="4028899001126"/>
    <x v="1"/>
    <s v="Krmivo a maškrty – Psy"/>
    <s v="Pup Republic"/>
    <n v="2.8"/>
    <n v="3"/>
    <s v="5"/>
    <s v="Pes sa olizuje až za ušima."/>
    <d v="2025-07-31T00:00:00"/>
    <n v="0"/>
    <n v="8.3999999999999986"/>
    <n v="5"/>
    <d v="2025-07-01T00:00:00"/>
    <s v="pes"/>
  </r>
  <r>
    <n v="1075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51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752"/>
    <n v="8599988776654"/>
    <x v="0"/>
    <s v="Pelechy a nábytok – Psy"/>
    <s v="Pup Republic"/>
    <n v="16.8"/>
    <n v="2"/>
    <s v="4"/>
    <s v="Pes ju používá aj na cestách, praktická."/>
    <d v="2025-07-31T00:00:00"/>
    <n v="0"/>
    <n v="33.6"/>
    <n v="4"/>
    <d v="2025-07-01T00:00:00"/>
    <s v="pes"/>
  </r>
  <r>
    <n v="10753"/>
    <n v="4021234567894"/>
    <x v="7"/>
    <s v="Starostlivosť a hygiena – Mačky"/>
    <s v="PawStyle"/>
    <n v="8"/>
    <n v="1"/>
    <s v="5"/>
    <s v="Výborný produkt, odstraní pach okamžite."/>
    <d v="2025-07-31T00:00:00"/>
    <n v="0"/>
    <n v="8"/>
    <n v="5"/>
    <d v="2025-07-01T00:00:00"/>
    <s v="mačka"/>
  </r>
  <r>
    <n v="1075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55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75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57"/>
    <n v="4010123456783"/>
    <x v="3"/>
    <s v="Starostlivosť a hygiena – Mačky"/>
    <s v="BellaMeow"/>
    <n v="14"/>
    <n v="1"/>
    <s v="5"/>
    <s v="Perfektní kvalita, už iné nekupuji."/>
    <d v="2025-07-31T00:00:00"/>
    <n v="0"/>
    <n v="14"/>
    <n v="5"/>
    <d v="2025-07-01T00:00:00"/>
    <s v="mačka"/>
  </r>
  <r>
    <n v="1075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59"/>
    <n v="4013456789017"/>
    <x v="2"/>
    <s v="Krmivo a maškrty – Psy"/>
    <s v="Snouty"/>
    <n v="6"/>
    <n v="1"/>
    <s v="4"/>
    <s v="Pes poslúcha len keď je mám v kapse."/>
    <d v="2025-07-31T00:00:00"/>
    <n v="0"/>
    <n v="6"/>
    <n v="4"/>
    <d v="2025-07-01T00:00:00"/>
    <s v="pes"/>
  </r>
  <r>
    <n v="1076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61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76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63"/>
    <n v="4063456789014"/>
    <x v="9"/>
    <s v="Krmivo a maškrty – Psy"/>
    <s v="Pupco"/>
    <n v="36"/>
    <n v="1"/>
    <s v="5"/>
    <s v="Srsť lesklá, trávenie v pohode."/>
    <d v="2025-07-31T00:00:00"/>
    <n v="0"/>
    <n v="36"/>
    <n v="5"/>
    <d v="2025-07-01T00:00:00"/>
    <s v="pes"/>
  </r>
  <r>
    <n v="10764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65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766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67"/>
    <n v="8599988776654"/>
    <x v="0"/>
    <s v="Pelechy a nábytok – Psy"/>
    <s v="Pup Republic"/>
    <n v="16.8"/>
    <n v="1"/>
    <s v="5"/>
    <s v="Chladí okamžite, pes sa ju stráži."/>
    <d v="2025-07-31T00:00:00"/>
    <n v="0"/>
    <n v="16.8"/>
    <n v="5"/>
    <d v="2025-07-01T00:00:00"/>
    <s v="pes"/>
  </r>
  <r>
    <n v="10768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769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70"/>
    <n v="4013456789017"/>
    <x v="2"/>
    <s v="Krmivo a maškrty – Psy"/>
    <s v="Snouty"/>
    <n v="6"/>
    <n v="1"/>
    <s v="5"/>
    <s v="Mäkké, voňavé, pes sa je zamiloval."/>
    <d v="2025-07-31T00:00:00"/>
    <n v="0"/>
    <n v="6"/>
    <n v="5"/>
    <d v="2025-07-01T00:00:00"/>
    <s v="pes"/>
  </r>
  <r>
    <n v="1077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72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77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74"/>
    <n v="4027788990013"/>
    <x v="5"/>
    <s v="Starostlivosť a hygiena – Psy"/>
    <s v="Dogissimo"/>
    <n v="8"/>
    <n v="1"/>
    <s v="4"/>
    <s v="Hezky čistí, srsť lesklá."/>
    <d v="2025-07-31T00:00:00"/>
    <n v="0"/>
    <n v="8"/>
    <n v="4"/>
    <d v="2025-07-01T00:00:00"/>
    <s v="pes"/>
  </r>
  <r>
    <n v="1077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76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77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78"/>
    <n v="4010123456783"/>
    <x v="3"/>
    <s v="Starostlivosť a hygiena – Mačky"/>
    <s v="BellaMeow"/>
    <n v="14"/>
    <n v="1"/>
    <s v="5"/>
    <s v="Skvelé podstielka, žiaden prach."/>
    <d v="2025-07-31T00:00:00"/>
    <n v="0"/>
    <n v="14"/>
    <n v="5"/>
    <d v="2025-07-01T00:00:00"/>
    <s v="mačka"/>
  </r>
  <r>
    <n v="1077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80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781"/>
    <n v="8599988776654"/>
    <x v="0"/>
    <s v="Pelechy a nábytok – Psy"/>
    <s v="Pup Republic"/>
    <n v="16.8"/>
    <n v="1"/>
    <s v="5"/>
    <s v="Pes ju zbožňuje, ideálne do vedra."/>
    <d v="2025-07-31T00:00:00"/>
    <n v="0"/>
    <n v="16.8"/>
    <n v="5"/>
    <d v="2025-07-01T00:00:00"/>
    <s v="pes"/>
  </r>
  <r>
    <n v="10782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78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84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78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86"/>
    <n v="4063456789014"/>
    <x v="9"/>
    <s v="Krmivo a maškrty – Psy"/>
    <s v="Pupco"/>
    <n v="36"/>
    <n v="1"/>
    <s v="4"/>
    <s v="Dobré zloženie, pes má viac energie."/>
    <d v="2025-07-31T00:00:00"/>
    <n v="0"/>
    <n v="36"/>
    <n v="4"/>
    <d v="2025-07-01T00:00:00"/>
    <s v="pes"/>
  </r>
  <r>
    <n v="1078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88"/>
    <n v="4017890123450"/>
    <x v="8"/>
    <s v="Hračky – Psy"/>
    <s v="Dogissimo"/>
    <n v="7.6"/>
    <n v="1"/>
    <s v="4"/>
    <s v="Výdrž zatiaľ super, pes ju nosí všade."/>
    <d v="2025-07-31T00:00:00"/>
    <n v="0"/>
    <n v="7.6"/>
    <n v="4"/>
    <d v="2025-07-01T00:00:00"/>
    <s v="pes"/>
  </r>
  <r>
    <n v="1078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90"/>
    <n v="4013456789017"/>
    <x v="2"/>
    <s v="Krmivo a maškrty – Psy"/>
    <s v="Snouty"/>
    <n v="6"/>
    <n v="1"/>
    <s v="5"/>
    <s v="Bezchybné, pes sa naučil povel „lehni“."/>
    <d v="2025-07-31T00:00:00"/>
    <n v="0"/>
    <n v="6"/>
    <n v="5"/>
    <d v="2025-07-01T00:00:00"/>
    <s v="pes"/>
  </r>
  <r>
    <n v="1079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792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79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94"/>
    <n v="4021234567894"/>
    <x v="7"/>
    <s v="Starostlivosť a hygiena – Mačky"/>
    <s v="PawStyle"/>
    <n v="8"/>
    <n v="1"/>
    <s v="4"/>
    <s v="Pomáha s pachy po čistenie záchodu."/>
    <d v="2025-07-31T00:00:00"/>
    <n v="0"/>
    <n v="8"/>
    <n v="4"/>
    <d v="2025-07-01T00:00:00"/>
    <s v="mačka"/>
  </r>
  <r>
    <n v="1079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96"/>
    <n v="4027788990013"/>
    <x v="5"/>
    <s v="Starostlivosť a hygiena – Psy"/>
    <s v="Dogissimo"/>
    <n v="8"/>
    <n v="1"/>
    <s v="NULL"/>
    <s v=""/>
    <d v="2025-07-31T00:00:00"/>
    <n v="0"/>
    <n v="8"/>
    <s v=""/>
    <d v="2025-07-01T00:00:00"/>
    <s v="pes"/>
  </r>
  <r>
    <n v="1079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798"/>
    <n v="4010123456783"/>
    <x v="3"/>
    <s v="Starostlivosť a hygiena – Mačky"/>
    <s v="BellaMeow"/>
    <n v="14"/>
    <n v="1"/>
    <s v="5"/>
    <s v="Nezanechává prach, skvelá kvalita."/>
    <d v="2025-07-31T00:00:00"/>
    <n v="0"/>
    <n v="14"/>
    <n v="5"/>
    <d v="2025-07-01T00:00:00"/>
    <s v="mačka"/>
  </r>
  <r>
    <n v="1079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00"/>
    <n v="4017890123450"/>
    <x v="8"/>
    <s v="Hračky – Psy"/>
    <s v="Dogissimo"/>
    <n v="7.6"/>
    <n v="1"/>
    <s v="4"/>
    <s v="Dobrá zábava pre psa aj páníčka."/>
    <d v="2025-07-31T00:00:00"/>
    <n v="0"/>
    <n v="7.6"/>
    <n v="4"/>
    <d v="2025-07-01T00:00:00"/>
    <s v="pes"/>
  </r>
  <r>
    <n v="1080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02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80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04"/>
    <n v="4013456789017"/>
    <x v="2"/>
    <s v="Krmivo a maškrty – Psy"/>
    <s v="Snouty"/>
    <n v="6"/>
    <n v="1"/>
    <s v="5"/>
    <s v="Pes reaguje okamžite, chutnají mu."/>
    <d v="2025-07-31T00:00:00"/>
    <n v="0"/>
    <n v="6"/>
    <n v="5"/>
    <d v="2025-07-01T00:00:00"/>
    <s v="pes"/>
  </r>
  <r>
    <n v="1080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06"/>
    <n v="4017890123450"/>
    <x v="8"/>
    <s v="Hračky – Psy"/>
    <s v="Dogissimo"/>
    <n v="7.6"/>
    <n v="1"/>
    <s v="4"/>
    <s v="Obľúbená hračka, zatiaľ drží."/>
    <d v="2025-07-31T00:00:00"/>
    <n v="0"/>
    <n v="7.6"/>
    <n v="4"/>
    <d v="2025-07-01T00:00:00"/>
    <s v="pes"/>
  </r>
  <r>
    <n v="10807"/>
    <n v="4010123456783"/>
    <x v="3"/>
    <s v="Starostlivosť a hygiena – Mačky"/>
    <s v="BellaMeow"/>
    <n v="14"/>
    <n v="1"/>
    <s v="5"/>
    <s v="Vysoká kvalita, bezprašné."/>
    <d v="2025-07-31T00:00:00"/>
    <n v="0"/>
    <n v="14"/>
    <n v="5"/>
    <d v="2025-07-01T00:00:00"/>
    <s v="mačka"/>
  </r>
  <r>
    <n v="1080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09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810"/>
    <n v="4013456789017"/>
    <x v="2"/>
    <s v="Krmivo a maškrty – Psy"/>
    <s v="Snouty"/>
    <n v="6"/>
    <n v="1"/>
    <s v="4"/>
    <s v="Pes sa môže pretrhnúť, ako mu chutnají."/>
    <d v="2025-07-31T00:00:00"/>
    <n v="0"/>
    <n v="6"/>
    <n v="4"/>
    <d v="2025-07-01T00:00:00"/>
    <s v="pes"/>
  </r>
  <r>
    <n v="1081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12"/>
    <n v="4027788990013"/>
    <x v="5"/>
    <s v="Starostlivosť a hygiena – Psy"/>
    <s v="Dogissimo"/>
    <n v="8"/>
    <n v="1"/>
    <s v="5"/>
    <s v="Hezky čistí, krásne vonia."/>
    <d v="2025-07-31T00:00:00"/>
    <n v="0"/>
    <n v="8"/>
    <n v="5"/>
    <d v="2025-07-01T00:00:00"/>
    <s v="pes"/>
  </r>
  <r>
    <n v="10813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14"/>
    <n v="8599988776654"/>
    <x v="0"/>
    <s v="Pelechy a nábytok – Psy"/>
    <s v="Pup Republic"/>
    <n v="16.8"/>
    <n v="2"/>
    <s v="5"/>
    <s v="Chladí aj po hodinách, ideálne do horúčavy."/>
    <d v="2025-07-31T00:00:00"/>
    <n v="0"/>
    <n v="33.6"/>
    <n v="5"/>
    <d v="2025-07-01T00:00:00"/>
    <s v="pes"/>
  </r>
  <r>
    <n v="10815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81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17"/>
    <n v="4017890123450"/>
    <x v="8"/>
    <s v="Hračky – Psy"/>
    <s v="Dogissimo"/>
    <n v="7.6"/>
    <n v="1"/>
    <s v="5"/>
    <s v="Pes ju ťahá aj na procházky."/>
    <d v="2025-07-31T00:00:00"/>
    <n v="0"/>
    <n v="7.6"/>
    <n v="5"/>
    <d v="2025-07-01T00:00:00"/>
    <s v="pes"/>
  </r>
  <r>
    <n v="10818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19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82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21"/>
    <n v="4013456789017"/>
    <x v="2"/>
    <s v="Krmivo a maškrty – Psy"/>
    <s v="Snouty"/>
    <n v="6"/>
    <n v="1"/>
    <s v="4"/>
    <s v="Pes reaguje rýchlejšie pri výcviku."/>
    <d v="2025-07-31T00:00:00"/>
    <n v="0"/>
    <n v="6"/>
    <n v="4"/>
    <d v="2025-07-01T00:00:00"/>
    <s v="pes"/>
  </r>
  <r>
    <n v="1082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23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24"/>
    <n v="4028899001126"/>
    <x v="1"/>
    <s v="Krmivo a maškrty – Psy"/>
    <s v="Pup Republic"/>
    <n v="2.8"/>
    <n v="3"/>
    <s v="5"/>
    <s v="Pes spokojný, voňavá konzerva."/>
    <d v="2025-07-31T00:00:00"/>
    <n v="0"/>
    <n v="8.3999999999999986"/>
    <n v="5"/>
    <d v="2025-07-01T00:00:00"/>
    <s v="pes"/>
  </r>
  <r>
    <n v="1082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26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827"/>
    <n v="8599988776654"/>
    <x v="0"/>
    <s v="Pelechy a nábytok – Psy"/>
    <s v="Pup Republic"/>
    <n v="16.8"/>
    <n v="2"/>
    <s v="4"/>
    <s v="Pes sa na nej chladí po procházkách."/>
    <d v="2025-07-31T00:00:00"/>
    <n v="0"/>
    <n v="33.6"/>
    <n v="4"/>
    <d v="2025-07-01T00:00:00"/>
    <s v="pes"/>
  </r>
  <r>
    <n v="10828"/>
    <n v="4021234567894"/>
    <x v="7"/>
    <s v="Starostlivosť a hygiena – Mačky"/>
    <s v="PawStyle"/>
    <n v="8"/>
    <n v="1"/>
    <s v="5"/>
    <s v="Účinný a príjemne vonia."/>
    <d v="2025-07-31T00:00:00"/>
    <n v="0"/>
    <n v="8"/>
    <n v="5"/>
    <d v="2025-07-01T00:00:00"/>
    <s v="mačka"/>
  </r>
  <r>
    <n v="1082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30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3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32"/>
    <n v="4010123456783"/>
    <x v="3"/>
    <s v="Starostlivosť a hygiena – Mačky"/>
    <s v="BellaMeow"/>
    <n v="14"/>
    <n v="1"/>
    <s v="5"/>
    <s v="Skvelá absorpce, používam roky."/>
    <d v="2025-07-31T00:00:00"/>
    <n v="0"/>
    <n v="14"/>
    <n v="5"/>
    <d v="2025-07-01T00:00:00"/>
    <s v="mačka"/>
  </r>
  <r>
    <n v="1083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34"/>
    <n v="4013456789017"/>
    <x v="2"/>
    <s v="Krmivo a maškrty – Psy"/>
    <s v="Snouty"/>
    <n v="6"/>
    <n v="1"/>
    <s v="4"/>
    <s v="Pes sa môže zblázniť od radosti."/>
    <d v="2025-07-31T00:00:00"/>
    <n v="0"/>
    <n v="6"/>
    <n v="4"/>
    <d v="2025-07-01T00:00:00"/>
    <s v="pes"/>
  </r>
  <r>
    <n v="1083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36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83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38"/>
    <n v="4063456789014"/>
    <x v="9"/>
    <s v="Krmivo a maškrty – Psy"/>
    <s v="Pupco"/>
    <n v="36"/>
    <n v="1"/>
    <s v="5"/>
    <s v="Vynikající krmivo, pes prospieva."/>
    <d v="2025-07-31T00:00:00"/>
    <n v="0"/>
    <n v="36"/>
    <n v="5"/>
    <d v="2025-07-01T00:00:00"/>
    <s v="pes"/>
  </r>
  <r>
    <n v="10839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40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841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42"/>
    <n v="8599988776654"/>
    <x v="0"/>
    <s v="Pelechy a nábytok – Psy"/>
    <s v="Pup Republic"/>
    <n v="16.8"/>
    <n v="1"/>
    <s v="5"/>
    <s v="Výborne chladí, spokojenost."/>
    <d v="2025-07-31T00:00:00"/>
    <n v="0"/>
    <n v="16.8"/>
    <n v="5"/>
    <d v="2025-07-01T00:00:00"/>
    <s v="pes"/>
  </r>
  <r>
    <n v="10843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44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45"/>
    <n v="4013456789017"/>
    <x v="2"/>
    <s v="Krmivo a maškrty – Psy"/>
    <s v="Snouty"/>
    <n v="6"/>
    <n v="1"/>
    <s v="4"/>
    <s v="Pes sa učí rýchlejšie, chutnají mu."/>
    <d v="2025-07-31T00:00:00"/>
    <n v="0"/>
    <n v="6"/>
    <n v="4"/>
    <d v="2025-07-01T00:00:00"/>
    <s v="pes"/>
  </r>
  <r>
    <n v="1084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47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48"/>
    <n v="4056789012345"/>
    <x v="4"/>
    <s v="Krmivo a maškrty – Mačky"/>
    <s v="BellaMeow"/>
    <n v="2.4"/>
    <n v="2"/>
    <s v="5"/>
    <s v="Mačka ju miluje, miska prázdna."/>
    <d v="2025-07-31T00:00:00"/>
    <n v="0"/>
    <n v="4.8"/>
    <n v="5"/>
    <d v="2025-07-01T00:00:00"/>
    <s v="mačka"/>
  </r>
  <r>
    <n v="1084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50"/>
    <n v="4027788990013"/>
    <x v="5"/>
    <s v="Starostlivosť a hygiena – Psy"/>
    <s v="Dogissimo"/>
    <n v="8"/>
    <n v="1"/>
    <s v="4"/>
    <s v="Hezká vôňa, pekná srsť po použití."/>
    <d v="2025-07-31T00:00:00"/>
    <n v="0"/>
    <n v="8"/>
    <n v="4"/>
    <d v="2025-07-01T00:00:00"/>
    <s v="pes"/>
  </r>
  <r>
    <n v="1085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52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5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54"/>
    <n v="4010123456783"/>
    <x v="3"/>
    <s v="Starostlivosť a hygiena – Mačky"/>
    <s v="BellaMeow"/>
    <n v="14"/>
    <n v="1"/>
    <s v="5"/>
    <s v="Dlouhá výdrž, bez zápachu."/>
    <d v="2025-07-31T00:00:00"/>
    <n v="0"/>
    <n v="14"/>
    <n v="5"/>
    <d v="2025-07-01T00:00:00"/>
    <s v="mačka"/>
  </r>
  <r>
    <n v="1085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56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857"/>
    <n v="8599988776654"/>
    <x v="0"/>
    <s v="Pelechy a nábytok – Psy"/>
    <s v="Pup Republic"/>
    <n v="16.8"/>
    <n v="1"/>
    <s v="5"/>
    <s v="Pes ju využívá aj na spaní."/>
    <d v="2025-07-31T00:00:00"/>
    <n v="0"/>
    <n v="16.8"/>
    <n v="5"/>
    <d v="2025-07-01T00:00:00"/>
    <s v="pes"/>
  </r>
  <r>
    <n v="10858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85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60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61"/>
    <n v="4063456789014"/>
    <x v="9"/>
    <s v="Krmivo a maškrty – Psy"/>
    <s v="Pupco"/>
    <n v="36"/>
    <n v="1"/>
    <s v="5"/>
    <s v="Pes prospieva, krásna srsť."/>
    <d v="2025-07-31T00:00:00"/>
    <n v="0"/>
    <n v="36"/>
    <n v="5"/>
    <d v="2025-07-01T00:00:00"/>
    <s v="pes"/>
  </r>
  <r>
    <n v="10862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63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86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65"/>
    <n v="4056789012345"/>
    <x v="4"/>
    <s v="Krmivo a maškrty – Mačky"/>
    <s v="BellaMeow"/>
    <n v="2.4"/>
    <n v="2"/>
    <s v="4"/>
    <s v="Mačka ju je pravidelne."/>
    <d v="2025-07-31T00:00:00"/>
    <n v="0"/>
    <n v="4.8"/>
    <n v="4"/>
    <d v="2025-07-01T00:00:00"/>
    <s v="mačka"/>
  </r>
  <r>
    <n v="1086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67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868"/>
    <n v="8599988776654"/>
    <x v="0"/>
    <s v="Pelechy a nábytok – Psy"/>
    <s v="Pup Republic"/>
    <n v="16.8"/>
    <n v="2"/>
    <s v="5"/>
    <s v="Výborný produkt, funguje ako má."/>
    <d v="2025-07-31T00:00:00"/>
    <n v="0"/>
    <n v="33.6"/>
    <n v="5"/>
    <d v="2025-07-01T00:00:00"/>
    <s v="pes"/>
  </r>
  <r>
    <n v="1086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7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71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72"/>
    <n v="4063456789014"/>
    <x v="9"/>
    <s v="Krmivo a maškrty – Psy"/>
    <s v="Pupco"/>
    <n v="36"/>
    <n v="1"/>
    <s v="5"/>
    <s v="Pes plný energie, super granuly."/>
    <d v="2025-07-31T00:00:00"/>
    <n v="0"/>
    <n v="36"/>
    <n v="5"/>
    <d v="2025-07-01T00:00:00"/>
    <s v="pes"/>
  </r>
  <r>
    <n v="1087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74"/>
    <n v="4013456789017"/>
    <x v="2"/>
    <s v="Krmivo a maškrty – Psy"/>
    <s v="Snouty"/>
    <n v="6"/>
    <n v="1"/>
    <s v="4"/>
    <s v="Pes sa teší na každé cvičenie."/>
    <d v="2025-07-31T00:00:00"/>
    <n v="0"/>
    <n v="6"/>
    <n v="4"/>
    <d v="2025-07-01T00:00:00"/>
    <s v="pes"/>
  </r>
  <r>
    <n v="1087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76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7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78"/>
    <n v="4056789012345"/>
    <x v="4"/>
    <s v="Krmivo a maškrty – Mačky"/>
    <s v="BellaMeow"/>
    <n v="2.4"/>
    <n v="2"/>
    <s v="5"/>
    <s v="Mačka sa môže utĺcť."/>
    <d v="2025-07-31T00:00:00"/>
    <n v="0"/>
    <n v="4.8"/>
    <n v="5"/>
    <d v="2025-07-01T00:00:00"/>
    <s v="mačka"/>
  </r>
  <r>
    <n v="1087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80"/>
    <n v="4028899001126"/>
    <x v="1"/>
    <s v="Krmivo a maškrty – Psy"/>
    <s v="Pup Republic"/>
    <n v="2.8"/>
    <n v="3"/>
    <s v="NULL"/>
    <s v=""/>
    <d v="2025-07-31T00:00:00"/>
    <n v="0"/>
    <n v="8.3999999999999986"/>
    <s v=""/>
    <d v="2025-07-01T00:00:00"/>
    <s v="pes"/>
  </r>
  <r>
    <n v="10881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82"/>
    <n v="4013456789017"/>
    <x v="2"/>
    <s v="Krmivo a maškrty – Psy"/>
    <s v="Snouty"/>
    <n v="6"/>
    <n v="1"/>
    <s v="4"/>
    <s v="Pes sa je žiada každý deň."/>
    <d v="2025-07-31T00:00:00"/>
    <n v="0"/>
    <n v="6"/>
    <n v="4"/>
    <d v="2025-07-01T00:00:00"/>
    <s v="pes"/>
  </r>
  <r>
    <n v="1088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84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85"/>
    <n v="4063456789014"/>
    <x v="9"/>
    <s v="Krmivo a maškrty – Psy"/>
    <s v="Pupco"/>
    <n v="36"/>
    <n v="1"/>
    <s v="5"/>
    <s v="Pes má krásnou srsť, chutí mu."/>
    <d v="2025-07-31T00:00:00"/>
    <n v="0"/>
    <n v="36"/>
    <n v="5"/>
    <d v="2025-07-01T00:00:00"/>
    <s v="pes"/>
  </r>
  <r>
    <n v="1088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887"/>
    <n v="4027788990013"/>
    <x v="5"/>
    <s v="Starostlivosť a hygiena – Psy"/>
    <s v="Dogissimo"/>
    <n v="8"/>
    <n v="1"/>
    <s v="4"/>
    <s v="Vonia skvelo a dobre pení."/>
    <d v="2025-07-31T00:00:00"/>
    <n v="0"/>
    <n v="8"/>
    <n v="4"/>
    <d v="2025-07-01T00:00:00"/>
    <s v="pes"/>
  </r>
  <r>
    <n v="1088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89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90"/>
    <n v="8599988776654"/>
    <x v="0"/>
    <s v="Pelechy a nábytok – Psy"/>
    <s v="Pup Republic"/>
    <n v="16.8"/>
    <n v="2"/>
    <s v="5"/>
    <s v="Skvelý produkt, pes sa na nej chladí celý deň."/>
    <d v="2025-07-31T00:00:00"/>
    <n v="0"/>
    <n v="33.6"/>
    <n v="5"/>
    <d v="2025-07-01T00:00:00"/>
    <s v="pes"/>
  </r>
  <r>
    <n v="10891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89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93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894"/>
    <n v="4063456789014"/>
    <x v="9"/>
    <s v="Krmivo a maškrty – Psy"/>
    <s v="Pupco"/>
    <n v="36"/>
    <n v="1"/>
    <s v="4"/>
    <s v="Dobré krmivo, pes má viac energie."/>
    <d v="2025-07-31T00:00:00"/>
    <n v="0"/>
    <n v="36"/>
    <n v="4"/>
    <d v="2025-07-01T00:00:00"/>
    <s v="pes"/>
  </r>
  <r>
    <n v="10895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896"/>
    <n v="4028899001126"/>
    <x v="1"/>
    <s v="Krmivo a maškrty – Psy"/>
    <s v="Pup Republic"/>
    <n v="2.8"/>
    <n v="2"/>
    <s v="NULL"/>
    <s v=""/>
    <d v="2025-07-31T00:00:00"/>
    <n v="0"/>
    <n v="5.6"/>
    <s v=""/>
    <d v="2025-07-01T00:00:00"/>
    <s v="pes"/>
  </r>
  <r>
    <n v="10897"/>
    <n v="8599988776654"/>
    <x v="0"/>
    <s v="Pelechy a nábytok – Psy"/>
    <s v="Pup Republic"/>
    <n v="16.8"/>
    <n v="2"/>
    <s v="5"/>
    <s v="Pes spokojný, ideálne do horúčavy."/>
    <d v="2025-07-31T00:00:00"/>
    <n v="0"/>
    <n v="33.6"/>
    <n v="5"/>
    <d v="2025-07-01T00:00:00"/>
    <s v="pes"/>
  </r>
  <r>
    <n v="10898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89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00"/>
    <n v="4056789012345"/>
    <x v="4"/>
    <s v="Krmivo a maškrty – Mačky"/>
    <s v="BellaMeow"/>
    <n v="2.4"/>
    <n v="2"/>
    <s v="NULL"/>
    <s v=""/>
    <d v="2025-07-31T00:00:00"/>
    <n v="0"/>
    <n v="4.8"/>
    <s v=""/>
    <d v="2025-07-01T00:00:00"/>
    <s v="mačka"/>
  </r>
  <r>
    <n v="10901"/>
    <n v="8599988776654"/>
    <x v="0"/>
    <s v="Pelechy a nábytok – Psy"/>
    <s v="Pup Republic"/>
    <n v="16.8"/>
    <n v="1"/>
    <s v="5"/>
    <s v="Výborný materiál, ľahko sa čistí."/>
    <d v="2025-07-31T00:00:00"/>
    <n v="0"/>
    <n v="16.8"/>
    <n v="5"/>
    <d v="2025-07-01T00:00:00"/>
    <s v="pes"/>
  </r>
  <r>
    <n v="10902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90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04"/>
    <n v="4010123456783"/>
    <x v="3"/>
    <s v="Starostlivosť a hygiena – Mačky"/>
    <s v="BellaMeow"/>
    <n v="14"/>
    <n v="1"/>
    <s v="5"/>
    <s v="Nevoní, nepráší, skvelé podstielka."/>
    <d v="2025-07-31T00:00:00"/>
    <n v="0"/>
    <n v="14"/>
    <n v="5"/>
    <d v="2025-07-01T00:00:00"/>
    <s v="mačka"/>
  </r>
  <r>
    <n v="10905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906"/>
    <n v="4063456789014"/>
    <x v="9"/>
    <s v="Krmivo a maškrty – Psy"/>
    <s v="Pupco"/>
    <n v="36"/>
    <n v="1"/>
    <s v="4"/>
    <s v="Kvalitné zloženie, pes sa teší na jedlo."/>
    <d v="2025-07-31T00:00:00"/>
    <n v="0"/>
    <n v="36"/>
    <n v="4"/>
    <d v="2025-07-01T00:00:00"/>
    <s v="pes"/>
  </r>
  <r>
    <n v="10907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08"/>
    <n v="4027788990013"/>
    <x v="5"/>
    <s v="Starostlivosť a hygiena – Psy"/>
    <s v="Dogissimo"/>
    <n v="8"/>
    <n v="1"/>
    <s v="NULL"/>
    <s v=""/>
    <d v="2025-07-31T00:00:00"/>
    <n v="0"/>
    <n v="8"/>
    <s v=""/>
    <d v="2025-07-01T00:00:00"/>
    <s v="pes"/>
  </r>
  <r>
    <n v="10909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10"/>
    <n v="4017890123450"/>
    <x v="8"/>
    <s v="Hračky – Psy"/>
    <s v="Dogissimo"/>
    <n v="7.6"/>
    <n v="1"/>
    <s v="4"/>
    <s v="Vydrží aj silné čelisti."/>
    <d v="2025-07-31T00:00:00"/>
    <n v="0"/>
    <n v="7.6"/>
    <n v="4"/>
    <d v="2025-07-01T00:00:00"/>
    <s v="pes"/>
  </r>
  <r>
    <n v="10911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912"/>
    <n v="4013456789017"/>
    <x v="2"/>
    <s v="Krmivo a maškrty – Psy"/>
    <s v="Snouty"/>
    <n v="6"/>
    <n v="1"/>
    <s v="5"/>
    <s v="Pes plní povely s radostí."/>
    <d v="2025-07-31T00:00:00"/>
    <n v="0"/>
    <n v="6"/>
    <n v="5"/>
    <d v="2025-07-01T00:00:00"/>
    <s v="pes"/>
  </r>
  <r>
    <n v="10913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14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915"/>
    <n v="4028899001126"/>
    <x v="1"/>
    <s v="Krmivo a maškrty – Psy"/>
    <s v="Pup Republic"/>
    <n v="2.8"/>
    <n v="3"/>
    <s v="4"/>
    <s v="Pesovaj chutí, občas prázdna miska skôr ako čekám."/>
    <d v="2025-07-31T00:00:00"/>
    <n v="0"/>
    <n v="8.3999999999999986"/>
    <n v="4"/>
    <d v="2025-07-01T00:00:00"/>
    <s v="pes"/>
  </r>
  <r>
    <n v="10916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917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918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19"/>
    <n v="4017890123450"/>
    <x v="8"/>
    <s v="Hračky – Psy"/>
    <s v="Dogissimo"/>
    <n v="7.6"/>
    <n v="1"/>
    <s v="5"/>
    <s v="Najobľúbenejšie hračka mého psa."/>
    <d v="2025-07-31T00:00:00"/>
    <n v="0"/>
    <n v="7.6"/>
    <n v="5"/>
    <d v="2025-07-01T00:00:00"/>
    <s v="pes"/>
  </r>
  <r>
    <n v="1092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21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922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23"/>
    <n v="4010123456783"/>
    <x v="3"/>
    <s v="Starostlivosť a hygiena – Mačky"/>
    <s v="BellaMeow"/>
    <n v="14"/>
    <n v="1"/>
    <s v="5"/>
    <s v="Mačka spokojná, podstielka vydrží dlho."/>
    <d v="2025-07-31T00:00:00"/>
    <n v="0"/>
    <n v="14"/>
    <n v="5"/>
    <d v="2025-07-01T00:00:00"/>
    <s v="mačka"/>
  </r>
  <r>
    <n v="10924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  <r>
    <n v="10925"/>
    <n v="4027788990013"/>
    <x v="5"/>
    <s v="Starostlivosť a hygiena – Psy"/>
    <s v="Dogissimo"/>
    <n v="8"/>
    <n v="1"/>
    <s v="4"/>
    <s v="Dobre pení, pekne čistí srsť."/>
    <d v="2025-07-31T00:00:00"/>
    <n v="0"/>
    <n v="8"/>
    <n v="4"/>
    <d v="2025-07-01T00:00:00"/>
    <s v="pes"/>
  </r>
  <r>
    <n v="10926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27"/>
    <n v="4063456789014"/>
    <x v="9"/>
    <s v="Krmivo a maškrty – Psy"/>
    <s v="Pupco"/>
    <n v="36"/>
    <n v="1"/>
    <s v="NULL"/>
    <s v=""/>
    <d v="2025-07-31T00:00:00"/>
    <n v="0"/>
    <n v="36"/>
    <s v=""/>
    <d v="2025-07-01T00:00:00"/>
    <s v="pes"/>
  </r>
  <r>
    <n v="10928"/>
    <n v="8599988776654"/>
    <x v="0"/>
    <s v="Pelechy a nábytok – Psy"/>
    <s v="Pup Republic"/>
    <n v="16.8"/>
    <n v="2"/>
    <s v="5"/>
    <s v="Pes sa na nej rozvaľuje celý deň, výborný produkt."/>
    <d v="2025-07-31T00:00:00"/>
    <n v="0"/>
    <n v="33.6"/>
    <n v="5"/>
    <d v="2025-07-01T00:00:00"/>
    <s v="pes"/>
  </r>
  <r>
    <n v="10929"/>
    <n v="4021234567894"/>
    <x v="7"/>
    <s v="Starostlivosť a hygiena – Mačky"/>
    <s v="PawStyle"/>
    <n v="8"/>
    <n v="1"/>
    <s v="NULL"/>
    <s v=""/>
    <d v="2025-07-31T00:00:00"/>
    <n v="0"/>
    <n v="8"/>
    <s v=""/>
    <d v="2025-07-01T00:00:00"/>
    <s v="mačka"/>
  </r>
  <r>
    <n v="10930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31"/>
    <n v="4017890123450"/>
    <x v="8"/>
    <s v="Hračky – Psy"/>
    <s v="Dogissimo"/>
    <n v="7.6"/>
    <n v="1"/>
    <s v="NULL"/>
    <s v=""/>
    <d v="2025-07-31T00:00:00"/>
    <n v="0"/>
    <n v="7.6"/>
    <s v=""/>
    <d v="2025-07-01T00:00:00"/>
    <s v="pes"/>
  </r>
  <r>
    <n v="10932"/>
    <n v="8599988776654"/>
    <x v="0"/>
    <s v="Pelechy a nábytok – Psy"/>
    <s v="Pup Republic"/>
    <n v="16.8"/>
    <n v="1"/>
    <s v="5"/>
    <s v="Pes sa z nej nehýbe, naprostá spokojenost."/>
    <d v="2025-07-31T00:00:00"/>
    <n v="0"/>
    <n v="16.8"/>
    <n v="5"/>
    <d v="2025-07-01T00:00:00"/>
    <s v="pes"/>
  </r>
  <r>
    <n v="10933"/>
    <n v="4013456789017"/>
    <x v="2"/>
    <s v="Krmivo a maškrty – Psy"/>
    <s v="Snouty"/>
    <n v="6"/>
    <n v="1"/>
    <s v="NULL"/>
    <s v=""/>
    <d v="2025-07-31T00:00:00"/>
    <n v="0"/>
    <n v="6"/>
    <s v=""/>
    <d v="2025-07-01T00:00:00"/>
    <s v="pes"/>
  </r>
  <r>
    <n v="10934"/>
    <n v="8599988776654"/>
    <x v="0"/>
    <s v="Pelechy a nábytok – Psy"/>
    <s v="Pup Republic"/>
    <n v="16.8"/>
    <n v="1"/>
    <s v="NULL"/>
    <s v=""/>
    <d v="2025-07-31T00:00:00"/>
    <n v="0"/>
    <n v="16.8"/>
    <s v=""/>
    <d v="2025-07-01T00:00:00"/>
    <s v="pes"/>
  </r>
  <r>
    <n v="10935"/>
    <n v="4010123456783"/>
    <x v="3"/>
    <s v="Starostlivosť a hygiena – Mačky"/>
    <s v="BellaMeow"/>
    <n v="14"/>
    <n v="1"/>
    <s v="NULL"/>
    <s v=""/>
    <d v="2025-07-31T00:00:00"/>
    <n v="0"/>
    <n v="14"/>
    <s v=""/>
    <d v="2025-07-01T00:00:00"/>
    <s v="mačka"/>
  </r>
  <r>
    <n v="10936"/>
    <n v="4063456789014"/>
    <x v="9"/>
    <s v="Krmivo a maškrty – Psy"/>
    <s v="Pupco"/>
    <n v="36"/>
    <n v="1"/>
    <s v="5"/>
    <s v="Kvalitné a chutné, odporúčam."/>
    <d v="2025-07-31T00:00:00"/>
    <n v="0"/>
    <n v="36"/>
    <n v="5"/>
    <d v="2025-07-01T00:00:00"/>
    <s v="pes"/>
  </r>
  <r>
    <n v="10937"/>
    <n v="8599988776654"/>
    <x v="0"/>
    <s v="Pelechy a nábytok – Psy"/>
    <s v="Pup Republic"/>
    <n v="16.8"/>
    <n v="2"/>
    <s v="NULL"/>
    <s v=""/>
    <d v="2025-07-31T00:00:00"/>
    <n v="0"/>
    <n v="33.6"/>
    <s v=""/>
    <d v="2025-07-01T00:00:00"/>
    <s v="p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92F5E-3D12-45D8-8186-896FA688B570}" name="Kontingenčná tabuľka1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D5891" firstHeaderRow="0" firstDataRow="1" firstDataCol="1"/>
  <pivotFields count="17">
    <pivotField axis="axisRow" showAll="0">
      <items count="58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t="default"/>
      </items>
    </pivotField>
    <pivotField dataField="1" numFmtId="1"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dataField="1"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8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očet z EAN kód" fld="1" subtotal="count" baseField="0" baseItem="0"/>
    <dataField name="Súčet z Počet ks" fld="6" baseField="0" baseItem="0"/>
    <dataField name="Súčet z Celková tržb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15FD0A-F880-4E64-B138-F4BE97319204}" name="Kontingenčná tabuľka2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17"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účet z Celková tržba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DFC86-F68A-43DD-B391-5238FCF2D5ED}" name="Kontingenčná tabuľka3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7"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dataField="1"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účet z Celková tržba" fld="11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1A0D1-7D53-4C49-A30C-46B4C0CC2F8C}" name="Kontingenčná tabuľka4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94" firstHeaderRow="0" firstDataRow="1" firstDataCol="1"/>
  <pivotFields count="17">
    <pivotField showAll="0"/>
    <pivotField numFmtId="1" showAll="0"/>
    <pivotField axis="axisRow" showAll="0" sortType="descending">
      <items count="91">
        <item x="21"/>
        <item x="43"/>
        <item x="51"/>
        <item x="28"/>
        <item x="22"/>
        <item x="20"/>
        <item x="38"/>
        <item x="39"/>
        <item x="77"/>
        <item x="78"/>
        <item x="37"/>
        <item x="4"/>
        <item x="35"/>
        <item x="79"/>
        <item x="17"/>
        <item x="15"/>
        <item x="45"/>
        <item x="32"/>
        <item x="27"/>
        <item x="16"/>
        <item x="68"/>
        <item x="54"/>
        <item x="88"/>
        <item x="50"/>
        <item x="7"/>
        <item x="89"/>
        <item x="56"/>
        <item x="67"/>
        <item x="14"/>
        <item x="47"/>
        <item x="29"/>
        <item x="55"/>
        <item x="64"/>
        <item x="44"/>
        <item x="75"/>
        <item x="11"/>
        <item x="26"/>
        <item x="33"/>
        <item x="1"/>
        <item x="46"/>
        <item x="30"/>
        <item x="82"/>
        <item x="62"/>
        <item x="13"/>
        <item x="0"/>
        <item x="59"/>
        <item x="63"/>
        <item x="36"/>
        <item x="12"/>
        <item x="60"/>
        <item x="24"/>
        <item x="48"/>
        <item x="83"/>
        <item x="34"/>
        <item x="53"/>
        <item x="19"/>
        <item x="57"/>
        <item x="71"/>
        <item x="52"/>
        <item x="84"/>
        <item x="65"/>
        <item x="6"/>
        <item x="80"/>
        <item x="10"/>
        <item x="25"/>
        <item x="76"/>
        <item x="69"/>
        <item x="86"/>
        <item x="18"/>
        <item x="31"/>
        <item x="23"/>
        <item x="87"/>
        <item x="9"/>
        <item x="2"/>
        <item x="8"/>
        <item x="85"/>
        <item x="58"/>
        <item x="70"/>
        <item x="81"/>
        <item x="66"/>
        <item x="61"/>
        <item x="72"/>
        <item x="73"/>
        <item x="41"/>
        <item x="42"/>
        <item x="40"/>
        <item x="3"/>
        <item x="49"/>
        <item x="5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dataField="1"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1">
    <i>
      <x v="15"/>
    </i>
    <i>
      <x v="26"/>
    </i>
    <i>
      <x v="61"/>
    </i>
    <i>
      <x v="38"/>
    </i>
    <i>
      <x v="55"/>
    </i>
    <i>
      <x v="44"/>
    </i>
    <i>
      <x v="56"/>
    </i>
    <i>
      <x v="86"/>
    </i>
    <i>
      <x v="73"/>
    </i>
    <i>
      <x v="11"/>
    </i>
    <i>
      <x v="35"/>
    </i>
    <i>
      <x v="68"/>
    </i>
    <i>
      <x v="48"/>
    </i>
    <i>
      <x v="72"/>
    </i>
    <i>
      <x v="19"/>
    </i>
    <i>
      <x v="6"/>
    </i>
    <i>
      <x v="14"/>
    </i>
    <i>
      <x/>
    </i>
    <i>
      <x v="70"/>
    </i>
    <i>
      <x v="9"/>
    </i>
    <i>
      <x v="60"/>
    </i>
    <i>
      <x v="79"/>
    </i>
    <i>
      <x v="77"/>
    </i>
    <i>
      <x v="80"/>
    </i>
    <i>
      <x v="3"/>
    </i>
    <i>
      <x v="31"/>
    </i>
    <i>
      <x v="76"/>
    </i>
    <i>
      <x v="2"/>
    </i>
    <i>
      <x v="34"/>
    </i>
    <i>
      <x v="1"/>
    </i>
    <i>
      <x v="50"/>
    </i>
    <i>
      <x v="33"/>
    </i>
    <i>
      <x v="84"/>
    </i>
    <i>
      <x v="8"/>
    </i>
    <i>
      <x v="63"/>
    </i>
    <i>
      <x v="13"/>
    </i>
    <i>
      <x v="10"/>
    </i>
    <i>
      <x v="74"/>
    </i>
    <i>
      <x v="87"/>
    </i>
    <i>
      <x v="78"/>
    </i>
    <i>
      <x v="12"/>
    </i>
    <i>
      <x v="58"/>
    </i>
    <i>
      <x v="29"/>
    </i>
    <i>
      <x v="7"/>
    </i>
    <i>
      <x v="88"/>
    </i>
    <i>
      <x v="65"/>
    </i>
    <i>
      <x v="5"/>
    </i>
    <i>
      <x v="57"/>
    </i>
    <i>
      <x v="40"/>
    </i>
    <i>
      <x v="83"/>
    </i>
    <i>
      <x v="54"/>
    </i>
    <i>
      <x v="46"/>
    </i>
    <i>
      <x v="43"/>
    </i>
    <i>
      <x v="17"/>
    </i>
    <i>
      <x v="62"/>
    </i>
    <i>
      <x v="18"/>
    </i>
    <i>
      <x v="27"/>
    </i>
    <i>
      <x v="47"/>
    </i>
    <i>
      <x v="36"/>
    </i>
    <i>
      <x v="45"/>
    </i>
    <i>
      <x v="89"/>
    </i>
    <i>
      <x v="69"/>
    </i>
    <i>
      <x v="85"/>
    </i>
    <i>
      <x v="49"/>
    </i>
    <i>
      <x v="64"/>
    </i>
    <i>
      <x v="28"/>
    </i>
    <i>
      <x v="42"/>
    </i>
    <i>
      <x v="24"/>
    </i>
    <i>
      <x v="82"/>
    </i>
    <i>
      <x v="81"/>
    </i>
    <i>
      <x v="51"/>
    </i>
    <i>
      <x v="23"/>
    </i>
    <i>
      <x v="41"/>
    </i>
    <i>
      <x v="52"/>
    </i>
    <i>
      <x v="30"/>
    </i>
    <i>
      <x v="71"/>
    </i>
    <i>
      <x v="75"/>
    </i>
    <i>
      <x v="67"/>
    </i>
    <i>
      <x v="16"/>
    </i>
    <i>
      <x v="59"/>
    </i>
    <i>
      <x v="20"/>
    </i>
    <i>
      <x v="53"/>
    </i>
    <i>
      <x v="21"/>
    </i>
    <i>
      <x v="4"/>
    </i>
    <i>
      <x v="66"/>
    </i>
    <i>
      <x v="37"/>
    </i>
    <i>
      <x v="39"/>
    </i>
    <i>
      <x v="22"/>
    </i>
    <i>
      <x v="25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Celková tržba" fld="11" baseField="0" baseItem="0"/>
    <dataField name="Súčet z Počet k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EE40D-2A89-4A88-B2D7-DD175CE05F4F}" name="Kontingenčná tabuľka5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B55" firstHeaderRow="1" firstDataRow="1" firstDataCol="1" rowPageCount="1" colPageCount="1"/>
  <pivotFields count="17">
    <pivotField showAll="0"/>
    <pivotField numFmtId="1" showAll="0"/>
    <pivotField axis="axisRow" showAll="0">
      <items count="91">
        <item x="21"/>
        <item x="43"/>
        <item x="51"/>
        <item x="28"/>
        <item x="22"/>
        <item x="20"/>
        <item x="38"/>
        <item x="39"/>
        <item x="77"/>
        <item x="78"/>
        <item x="37"/>
        <item x="4"/>
        <item x="35"/>
        <item x="79"/>
        <item x="17"/>
        <item x="15"/>
        <item x="45"/>
        <item x="32"/>
        <item x="27"/>
        <item x="16"/>
        <item x="68"/>
        <item x="54"/>
        <item x="88"/>
        <item x="50"/>
        <item x="7"/>
        <item x="89"/>
        <item x="56"/>
        <item x="67"/>
        <item x="14"/>
        <item x="47"/>
        <item x="29"/>
        <item x="55"/>
        <item x="64"/>
        <item x="44"/>
        <item x="75"/>
        <item x="11"/>
        <item x="26"/>
        <item x="33"/>
        <item x="1"/>
        <item x="46"/>
        <item x="30"/>
        <item x="82"/>
        <item x="62"/>
        <item x="13"/>
        <item x="0"/>
        <item x="59"/>
        <item x="63"/>
        <item x="36"/>
        <item x="12"/>
        <item x="60"/>
        <item x="24"/>
        <item x="48"/>
        <item x="83"/>
        <item x="34"/>
        <item x="53"/>
        <item x="19"/>
        <item x="57"/>
        <item x="71"/>
        <item x="52"/>
        <item x="84"/>
        <item x="65"/>
        <item x="6"/>
        <item x="80"/>
        <item x="10"/>
        <item x="25"/>
        <item x="76"/>
        <item x="69"/>
        <item x="86"/>
        <item x="18"/>
        <item x="31"/>
        <item x="23"/>
        <item x="87"/>
        <item x="9"/>
        <item x="2"/>
        <item x="8"/>
        <item x="85"/>
        <item x="58"/>
        <item x="70"/>
        <item x="81"/>
        <item x="66"/>
        <item x="61"/>
        <item x="72"/>
        <item x="73"/>
        <item x="41"/>
        <item x="42"/>
        <item x="40"/>
        <item x="3"/>
        <item x="49"/>
        <item x="5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dataField="1" showAll="0">
      <items count="4">
        <item x="2"/>
        <item x="1"/>
        <item x="0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5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8"/>
    </i>
    <i>
      <x v="20"/>
    </i>
    <i>
      <x v="21"/>
    </i>
    <i>
      <x v="23"/>
    </i>
    <i>
      <x v="27"/>
    </i>
    <i>
      <x v="28"/>
    </i>
    <i>
      <x v="30"/>
    </i>
    <i>
      <x v="34"/>
    </i>
    <i>
      <x v="35"/>
    </i>
    <i>
      <x v="36"/>
    </i>
    <i>
      <x v="37"/>
    </i>
    <i>
      <x v="41"/>
    </i>
    <i>
      <x v="42"/>
    </i>
    <i>
      <x v="43"/>
    </i>
    <i>
      <x v="46"/>
    </i>
    <i>
      <x v="47"/>
    </i>
    <i>
      <x v="49"/>
    </i>
    <i>
      <x v="53"/>
    </i>
    <i>
      <x v="54"/>
    </i>
    <i>
      <x v="56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70"/>
    </i>
    <i>
      <x v="71"/>
    </i>
    <i>
      <x v="74"/>
    </i>
    <i>
      <x v="75"/>
    </i>
    <i>
      <x v="76"/>
    </i>
    <i>
      <x v="77"/>
    </i>
    <i>
      <x v="78"/>
    </i>
    <i>
      <x v="79"/>
    </i>
    <i>
      <x v="80"/>
    </i>
    <i>
      <x v="85"/>
    </i>
    <i>
      <x v="88"/>
    </i>
    <i>
      <x v="89"/>
    </i>
    <i t="grand">
      <x/>
    </i>
  </rowItems>
  <colItems count="1">
    <i/>
  </colItems>
  <pageFields count="1">
    <pageField fld="14" item="1" hier="-1"/>
  </pageFields>
  <dataFields count="1">
    <dataField name="Počet z Zviera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39F6B-1CB9-4E07-8E10-3B4D57136FCF}" name="Kontingenčná tabuľka6" cacheId="1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3:C18" firstHeaderRow="0" firstDataRow="1" firstDataCol="1"/>
  <pivotFields count="15">
    <pivotField showAll="0"/>
    <pivotField numFmtId="1" showAll="0"/>
    <pivotField axis="axisRow" showAll="0" sortType="descending">
      <items count="15">
        <item x="12"/>
        <item x="9"/>
        <item x="8"/>
        <item x="0"/>
        <item x="4"/>
        <item x="1"/>
        <item x="2"/>
        <item x="11"/>
        <item x="10"/>
        <item x="3"/>
        <item x="7"/>
        <item x="5"/>
        <item x="6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dataField="1" showAll="0"/>
    <pivotField showAll="0"/>
    <pivotField numFmtId="14" showAll="0"/>
    <pivotField showAll="0"/>
  </pivotFields>
  <rowFields count="1">
    <field x="2"/>
  </rowFields>
  <rowItems count="15">
    <i>
      <x v="3"/>
    </i>
    <i>
      <x v="1"/>
    </i>
    <i>
      <x v="9"/>
    </i>
    <i>
      <x v="6"/>
    </i>
    <i>
      <x v="5"/>
    </i>
    <i>
      <x v="2"/>
    </i>
    <i>
      <x v="10"/>
    </i>
    <i>
      <x v="4"/>
    </i>
    <i>
      <x v="11"/>
    </i>
    <i>
      <x v="12"/>
    </i>
    <i>
      <x/>
    </i>
    <i>
      <x v="8"/>
    </i>
    <i>
      <x v="13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účet z Počet ks" fld="6" baseField="0" baseItem="0"/>
    <dataField name="Súčet z Celková tržb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5A38A-5801-44D4-94FC-C2B10FF09107}" name="Kontingenčná tabuľka7" cacheId="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7"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dataField="1" showAll="0">
      <items count="7">
        <item x="5"/>
        <item x="4"/>
        <item x="3"/>
        <item x="1"/>
        <item x="2"/>
        <item h="1" x="0"/>
        <item t="default"/>
      </items>
    </pivotField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očet z Hodnotenie vyčistené" fld="12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B13D6-5175-4F39-89A5-A014AF8B84B9}" name="Kontingenčná tabuľka8" cacheId="0" applyNumberFormats="0" applyBorderFormats="0" applyFontFormats="0" applyPatternFormats="0" applyAlignmentFormats="0" applyWidthHeightFormats="1" dataCaption="Hodnoty" errorCaption="Nehodnotené" showError="1" updatedVersion="8" minRefreshableVersion="3" useAutoFormatting="1" itemPrintTitles="1" createdVersion="8" indent="0" outline="1" outlineData="1" multipleFieldFilters="0">
  <location ref="A3:C94" firstHeaderRow="0" firstDataRow="1" firstDataCol="1"/>
  <pivotFields count="17">
    <pivotField showAll="0"/>
    <pivotField numFmtId="1" showAll="0"/>
    <pivotField axis="axisRow" showAll="0" sortType="descending">
      <items count="91">
        <item x="21"/>
        <item x="43"/>
        <item x="51"/>
        <item x="28"/>
        <item x="22"/>
        <item x="20"/>
        <item x="38"/>
        <item x="39"/>
        <item x="77"/>
        <item x="78"/>
        <item x="37"/>
        <item x="4"/>
        <item x="35"/>
        <item x="79"/>
        <item x="17"/>
        <item x="15"/>
        <item x="45"/>
        <item x="32"/>
        <item x="27"/>
        <item x="16"/>
        <item x="68"/>
        <item x="54"/>
        <item x="88"/>
        <item x="50"/>
        <item x="7"/>
        <item x="89"/>
        <item x="56"/>
        <item x="67"/>
        <item x="14"/>
        <item x="47"/>
        <item x="29"/>
        <item x="55"/>
        <item x="64"/>
        <item x="44"/>
        <item x="75"/>
        <item x="11"/>
        <item x="26"/>
        <item x="33"/>
        <item x="1"/>
        <item x="46"/>
        <item x="30"/>
        <item x="82"/>
        <item x="62"/>
        <item x="13"/>
        <item x="0"/>
        <item x="59"/>
        <item x="63"/>
        <item x="36"/>
        <item x="12"/>
        <item x="60"/>
        <item x="24"/>
        <item x="48"/>
        <item x="83"/>
        <item x="34"/>
        <item x="53"/>
        <item x="19"/>
        <item x="57"/>
        <item x="71"/>
        <item x="52"/>
        <item x="84"/>
        <item x="65"/>
        <item x="6"/>
        <item x="80"/>
        <item x="10"/>
        <item x="25"/>
        <item x="76"/>
        <item x="69"/>
        <item x="86"/>
        <item x="18"/>
        <item x="31"/>
        <item x="23"/>
        <item x="87"/>
        <item x="9"/>
        <item x="2"/>
        <item x="8"/>
        <item x="85"/>
        <item x="58"/>
        <item x="70"/>
        <item x="81"/>
        <item x="66"/>
        <item x="61"/>
        <item x="72"/>
        <item x="73"/>
        <item x="41"/>
        <item x="42"/>
        <item x="40"/>
        <item x="3"/>
        <item x="49"/>
        <item x="5"/>
        <item x="7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1">
    <i>
      <x v="64"/>
    </i>
    <i>
      <x v="89"/>
    </i>
    <i>
      <x v="78"/>
    </i>
    <i>
      <x v="4"/>
    </i>
    <i>
      <x v="57"/>
    </i>
    <i>
      <x v="5"/>
    </i>
    <i>
      <x v="76"/>
    </i>
    <i>
      <x v="16"/>
    </i>
    <i>
      <x v="20"/>
    </i>
    <i>
      <x v="21"/>
    </i>
    <i>
      <x v="80"/>
    </i>
    <i>
      <x v="6"/>
    </i>
    <i>
      <x v="70"/>
    </i>
    <i>
      <x/>
    </i>
    <i>
      <x v="56"/>
    </i>
    <i>
      <x v="79"/>
    </i>
    <i>
      <x v="2"/>
    </i>
    <i>
      <x v="46"/>
    </i>
    <i>
      <x v="8"/>
    </i>
    <i>
      <x v="10"/>
    </i>
    <i>
      <x v="11"/>
    </i>
    <i>
      <x v="77"/>
    </i>
    <i>
      <x v="13"/>
    </i>
    <i>
      <x v="45"/>
    </i>
    <i>
      <x v="26"/>
    </i>
    <i>
      <x v="55"/>
    </i>
    <i>
      <x v="34"/>
    </i>
    <i>
      <x v="7"/>
    </i>
    <i>
      <x v="23"/>
    </i>
    <i>
      <x v="1"/>
    </i>
    <i>
      <x v="9"/>
    </i>
    <i>
      <x v="36"/>
    </i>
    <i>
      <x v="51"/>
    </i>
    <i>
      <x v="15"/>
    </i>
    <i>
      <x v="73"/>
    </i>
    <i>
      <x v="86"/>
    </i>
    <i>
      <x v="38"/>
    </i>
    <i>
      <x v="61"/>
    </i>
    <i>
      <x v="50"/>
    </i>
    <i>
      <x v="28"/>
    </i>
    <i>
      <x v="74"/>
    </i>
    <i>
      <x v="62"/>
    </i>
    <i>
      <x v="88"/>
    </i>
    <i>
      <x v="60"/>
    </i>
    <i>
      <x v="19"/>
    </i>
    <i>
      <x v="14"/>
    </i>
    <i>
      <x v="47"/>
    </i>
    <i>
      <x v="44"/>
    </i>
    <i>
      <x v="27"/>
    </i>
    <i>
      <x v="18"/>
    </i>
    <i>
      <x v="17"/>
    </i>
    <i>
      <x v="40"/>
    </i>
    <i>
      <x v="48"/>
    </i>
    <i>
      <x v="3"/>
    </i>
    <i>
      <x v="83"/>
    </i>
    <i>
      <x v="43"/>
    </i>
    <i>
      <x v="12"/>
    </i>
    <i>
      <x v="29"/>
    </i>
    <i>
      <x v="24"/>
    </i>
    <i>
      <x v="53"/>
    </i>
    <i>
      <x v="63"/>
    </i>
    <i>
      <x v="84"/>
    </i>
    <i>
      <x v="33"/>
    </i>
    <i>
      <x v="41"/>
    </i>
    <i>
      <x v="68"/>
    </i>
    <i>
      <x v="72"/>
    </i>
    <i>
      <x v="85"/>
    </i>
    <i>
      <x v="58"/>
    </i>
    <i>
      <x v="35"/>
    </i>
    <i>
      <x v="31"/>
    </i>
    <i>
      <x v="69"/>
    </i>
    <i>
      <x v="42"/>
    </i>
    <i>
      <x v="75"/>
    </i>
    <i>
      <x v="67"/>
    </i>
    <i>
      <x v="30"/>
    </i>
    <i>
      <x v="87"/>
    </i>
    <i>
      <x v="49"/>
    </i>
    <i>
      <x v="81"/>
    </i>
    <i>
      <x v="32"/>
    </i>
    <i>
      <x v="65"/>
    </i>
    <i>
      <x v="82"/>
    </i>
    <i>
      <x v="25"/>
    </i>
    <i>
      <x v="71"/>
    </i>
    <i>
      <x v="39"/>
    </i>
    <i>
      <x v="37"/>
    </i>
    <i>
      <x v="22"/>
    </i>
    <i>
      <x v="54"/>
    </i>
    <i>
      <x v="59"/>
    </i>
    <i>
      <x v="66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Priemer z Hodnotenie vyčistené" fld="12" subtotal="average" baseField="2" baseItem="0"/>
    <dataField name="Počet z Hodnotenie vyčistené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DF60A276-79F7-46AE-8461-5686756B7B89}" autoFormatId="16" applyNumberFormats="0" applyBorderFormats="0" applyFontFormats="0" applyPatternFormats="0" applyAlignmentFormats="0" applyWidthHeightFormats="0">
  <queryTableRefresh nextId="18" unboundColumnsRight="4">
    <queryTableFields count="15">
      <queryTableField id="1" name="ID objednávky" tableColumnId="1"/>
      <queryTableField id="2" name="EAN kód" tableColumnId="2"/>
      <queryTableField id="3" name="Názov produktu" tableColumnId="3"/>
      <queryTableField id="4" name="Kategória" tableColumnId="4"/>
      <queryTableField id="5" name="Značka" tableColumnId="5"/>
      <queryTableField id="6" name="Cena" tableColumnId="6"/>
      <queryTableField id="7" name="Počet ks" tableColumnId="7"/>
      <queryTableField id="8" name="Hodnotenie produktu" tableColumnId="8"/>
      <queryTableField id="9" name="Recenzie" tableColumnId="9"/>
      <queryTableField id="10" name="Dátum nákupu" tableColumnId="10"/>
      <queryTableField id="11" name="Vrátené" tableColumnId="11"/>
      <queryTableField id="13" dataBound="0" tableColumnId="13"/>
      <queryTableField id="14" dataBound="0" tableColumnId="14"/>
      <queryTableField id="16" dataBound="0" tableColumnId="16"/>
      <queryTableField id="17" dataBound="0" tableColumnId="17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9D7E4-499F-4C0C-AC2D-F62C800D1B65}" name="petville_products_2025_sk" displayName="petville_products_2025_sk" ref="A1:O5953" tableType="queryTable" totalsRowShown="0">
  <autoFilter ref="A1:O5953" xr:uid="{2DF9D7E4-499F-4C0C-AC2D-F62C800D1B65}">
    <filterColumn colId="14">
      <filters>
        <filter val="pes"/>
      </filters>
    </filterColumn>
  </autoFilter>
  <tableColumns count="15">
    <tableColumn id="1" xr3:uid="{9ACEF40D-F6C4-4611-AB5D-87236934E0E0}" uniqueName="1" name="ID objednávky" queryTableFieldId="1"/>
    <tableColumn id="2" xr3:uid="{698F992A-3301-4585-8D96-08588E4A280A}" uniqueName="2" name="EAN kód" queryTableFieldId="2" dataDxfId="10"/>
    <tableColumn id="3" xr3:uid="{589DB832-DE0D-47C5-9DB5-B713B8D89952}" uniqueName="3" name="Názov produktu" queryTableFieldId="3" dataDxfId="9"/>
    <tableColumn id="4" xr3:uid="{D0083279-60A6-411C-9B91-01E33A6DB718}" uniqueName="4" name="Kategória" queryTableFieldId="4" dataDxfId="8"/>
    <tableColumn id="5" xr3:uid="{96D10725-6CD9-4B6C-8E1D-864D8FB199C2}" uniqueName="5" name="Značka" queryTableFieldId="5" dataDxfId="7"/>
    <tableColumn id="6" xr3:uid="{84D586E3-5F64-48E0-8B3C-7D91CF975361}" uniqueName="6" name="Cena" queryTableFieldId="6"/>
    <tableColumn id="7" xr3:uid="{E36601B1-E4D9-4D67-B0DA-48497FDB0E1B}" uniqueName="7" name="Počet ks" queryTableFieldId="7"/>
    <tableColumn id="8" xr3:uid="{F3D6102C-6050-4276-B133-4454534F5B0E}" uniqueName="8" name="Hodnotenie produktu" queryTableFieldId="8" dataDxfId="6"/>
    <tableColumn id="9" xr3:uid="{62E28C74-01F1-42BA-AC5C-FE1D5FD716F2}" uniqueName="9" name="Recenzie" queryTableFieldId="9" dataDxfId="5"/>
    <tableColumn id="10" xr3:uid="{9035CE77-9B6B-4184-8822-A2F3D8811753}" uniqueName="10" name="Dátum nákupu" queryTableFieldId="10" dataDxfId="4"/>
    <tableColumn id="11" xr3:uid="{4E63E66D-0105-4B51-BD3B-F02DD8318786}" uniqueName="11" name="Vrátené" queryTableFieldId="11"/>
    <tableColumn id="13" xr3:uid="{7653CC6C-A3CA-415B-BDDD-1EF9EF1941E4}" uniqueName="13" name="Celková tržba" queryTableFieldId="13" dataDxfId="3">
      <calculatedColumnFormula>F2*G2</calculatedColumnFormula>
    </tableColumn>
    <tableColumn id="14" xr3:uid="{0EBDFD8C-B74E-4753-8EBA-8C8C72CC615D}" uniqueName="14" name="Hodnotenie vyčistené" queryTableFieldId="14" dataDxfId="2">
      <calculatedColumnFormula>IF(H2="NULL", "",VALUE(H2))</calculatedColumnFormula>
    </tableColumn>
    <tableColumn id="16" xr3:uid="{F7B5E9C7-1EAC-4A98-9287-46BACBD41070}" uniqueName="16" name="Mesiac rok" queryTableFieldId="16" dataDxfId="1">
      <calculatedColumnFormula>DATE(YEAR(J2),MONTH(J2),1)</calculatedColumnFormula>
    </tableColumn>
    <tableColumn id="17" xr3:uid="{9D96FF46-CBA6-4921-9E31-28C82932CF58}" uniqueName="17" name="Zviera" queryTableFieldId="17" dataDxfId="0">
      <calculatedColumnFormula>IF(ISNUMBER(SEARCH("Mačky",D2)),"mačka",IF(ISNUMBER(SEARCH("Psy",D2)),"pes","iné"))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A613A-582E-4555-ACC4-88CBD7D2E8D6}">
  <dimension ref="A1:O6162"/>
  <sheetViews>
    <sheetView tabSelected="1" topLeftCell="F1" workbookViewId="0">
      <selection activeCell="L1" sqref="L1:L1048576"/>
    </sheetView>
  </sheetViews>
  <sheetFormatPr defaultRowHeight="15" x14ac:dyDescent="0.25"/>
  <cols>
    <col min="1" max="1" width="14.85546875" bestFit="1" customWidth="1"/>
    <col min="2" max="2" width="17.7109375" style="11" bestFit="1" customWidth="1"/>
    <col min="3" max="3" width="43.5703125" bestFit="1" customWidth="1"/>
    <col min="4" max="4" width="26.85546875" bestFit="1" customWidth="1"/>
    <col min="5" max="5" width="19.42578125" bestFit="1" customWidth="1"/>
    <col min="6" max="6" width="7.42578125" bestFit="1" customWidth="1"/>
    <col min="7" max="7" width="10.28515625" bestFit="1" customWidth="1"/>
    <col min="8" max="8" width="21" bestFit="1" customWidth="1"/>
    <col min="9" max="9" width="80.85546875" bestFit="1" customWidth="1"/>
    <col min="10" max="10" width="15.28515625" style="12" bestFit="1" customWidth="1"/>
    <col min="11" max="11" width="9.7109375" bestFit="1" customWidth="1"/>
    <col min="12" max="12" width="14.5703125" bestFit="1" customWidth="1"/>
    <col min="13" max="13" width="22.7109375" bestFit="1" customWidth="1"/>
    <col min="14" max="14" width="14" customWidth="1"/>
  </cols>
  <sheetData>
    <row r="1" spans="1:15" x14ac:dyDescent="0.25">
      <c r="A1" t="s">
        <v>0</v>
      </c>
      <c r="B1" s="1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2" t="s">
        <v>9</v>
      </c>
      <c r="K1" t="s">
        <v>10</v>
      </c>
      <c r="L1" t="s">
        <v>1333</v>
      </c>
      <c r="M1" t="s">
        <v>1334</v>
      </c>
      <c r="N1" t="s">
        <v>1335</v>
      </c>
      <c r="O1" t="s">
        <v>1336</v>
      </c>
    </row>
    <row r="2" spans="1:15" x14ac:dyDescent="0.25">
      <c r="A2">
        <v>7524</v>
      </c>
      <c r="B2" s="11">
        <v>4013456789017</v>
      </c>
      <c r="C2" s="1" t="s">
        <v>11</v>
      </c>
      <c r="D2" s="1" t="s">
        <v>12</v>
      </c>
      <c r="E2" s="1" t="s">
        <v>13</v>
      </c>
      <c r="F2">
        <v>6</v>
      </c>
      <c r="G2">
        <v>1</v>
      </c>
      <c r="H2" s="1" t="s">
        <v>14</v>
      </c>
      <c r="I2" s="1" t="s">
        <v>15</v>
      </c>
      <c r="J2" s="12">
        <v>45658</v>
      </c>
      <c r="K2">
        <v>0</v>
      </c>
      <c r="L2" s="1">
        <f t="shared" ref="L2:L65" si="0">F2*G2</f>
        <v>6</v>
      </c>
      <c r="M2" s="1" t="str">
        <f t="shared" ref="M2:M65" si="1">IF(H2="NULL", "",VALUE(H2))</f>
        <v/>
      </c>
      <c r="N2" s="2">
        <f t="shared" ref="N2:N65" si="2">DATE(YEAR(J2),MONTH(J2),1)</f>
        <v>45658</v>
      </c>
      <c r="O2" t="str">
        <f t="shared" ref="O2:O65" si="3">IF(ISNUMBER(SEARCH("Mačky",D2)),"mačka",IF(ISNUMBER(SEARCH("Psy",D2)),"pes","iné"))</f>
        <v>pes</v>
      </c>
    </row>
    <row r="3" spans="1:15" x14ac:dyDescent="0.25">
      <c r="A3">
        <v>7524</v>
      </c>
      <c r="B3" s="11">
        <v>4028899001126</v>
      </c>
      <c r="C3" s="1" t="s">
        <v>16</v>
      </c>
      <c r="D3" s="1" t="s">
        <v>12</v>
      </c>
      <c r="E3" s="1" t="s">
        <v>17</v>
      </c>
      <c r="F3">
        <v>2.8</v>
      </c>
      <c r="G3">
        <v>3</v>
      </c>
      <c r="H3" s="1" t="s">
        <v>18</v>
      </c>
      <c r="I3" s="1" t="s">
        <v>19</v>
      </c>
      <c r="J3" s="12">
        <v>45658</v>
      </c>
      <c r="K3">
        <v>0</v>
      </c>
      <c r="L3" s="1">
        <f t="shared" si="0"/>
        <v>8.3999999999999986</v>
      </c>
      <c r="M3" s="1">
        <f t="shared" si="1"/>
        <v>4</v>
      </c>
      <c r="N3" s="2">
        <f t="shared" si="2"/>
        <v>45658</v>
      </c>
      <c r="O3" t="str">
        <f t="shared" si="3"/>
        <v>pes</v>
      </c>
    </row>
    <row r="4" spans="1:15" x14ac:dyDescent="0.25">
      <c r="A4">
        <v>7525</v>
      </c>
      <c r="B4" s="11">
        <v>4040123456795</v>
      </c>
      <c r="C4" s="1" t="s">
        <v>20</v>
      </c>
      <c r="D4" s="1" t="s">
        <v>21</v>
      </c>
      <c r="E4" s="1" t="s">
        <v>22</v>
      </c>
      <c r="F4">
        <v>8.8000000000000007</v>
      </c>
      <c r="G4">
        <v>1</v>
      </c>
      <c r="H4" s="1" t="s">
        <v>23</v>
      </c>
      <c r="I4" s="1" t="s">
        <v>24</v>
      </c>
      <c r="J4" s="12">
        <v>45658</v>
      </c>
      <c r="K4">
        <v>0</v>
      </c>
      <c r="L4" s="1">
        <f t="shared" si="0"/>
        <v>8.8000000000000007</v>
      </c>
      <c r="M4" s="1">
        <f t="shared" si="1"/>
        <v>5</v>
      </c>
      <c r="N4" s="2">
        <f t="shared" si="2"/>
        <v>45658</v>
      </c>
      <c r="O4" t="str">
        <f t="shared" si="3"/>
        <v>pes</v>
      </c>
    </row>
    <row r="5" spans="1:15" x14ac:dyDescent="0.25">
      <c r="A5">
        <v>7526</v>
      </c>
      <c r="B5" s="11">
        <v>4061011223346</v>
      </c>
      <c r="C5" s="1" t="s">
        <v>25</v>
      </c>
      <c r="D5" s="1" t="s">
        <v>26</v>
      </c>
      <c r="E5" s="1" t="s">
        <v>27</v>
      </c>
      <c r="F5">
        <v>19.600000000000001</v>
      </c>
      <c r="G5">
        <v>1</v>
      </c>
      <c r="H5" s="1" t="s">
        <v>14</v>
      </c>
      <c r="I5" s="1" t="s">
        <v>15</v>
      </c>
      <c r="J5" s="12">
        <v>45659</v>
      </c>
      <c r="K5">
        <v>0</v>
      </c>
      <c r="L5" s="1">
        <f t="shared" si="0"/>
        <v>19.600000000000001</v>
      </c>
      <c r="M5" s="1" t="str">
        <f t="shared" si="1"/>
        <v/>
      </c>
      <c r="N5" s="2">
        <f t="shared" si="2"/>
        <v>45658</v>
      </c>
      <c r="O5" t="str">
        <f t="shared" si="3"/>
        <v>pes</v>
      </c>
    </row>
    <row r="6" spans="1:15" hidden="1" x14ac:dyDescent="0.25">
      <c r="A6">
        <v>7527</v>
      </c>
      <c r="B6" s="11">
        <v>8593456789012</v>
      </c>
      <c r="C6" s="1" t="s">
        <v>28</v>
      </c>
      <c r="D6" s="1" t="s">
        <v>29</v>
      </c>
      <c r="E6" s="1" t="s">
        <v>30</v>
      </c>
      <c r="F6">
        <v>42</v>
      </c>
      <c r="G6">
        <v>1</v>
      </c>
      <c r="H6" s="1" t="s">
        <v>14</v>
      </c>
      <c r="I6" s="1" t="s">
        <v>15</v>
      </c>
      <c r="J6" s="12">
        <v>45659</v>
      </c>
      <c r="K6">
        <v>0</v>
      </c>
      <c r="L6" s="1">
        <f t="shared" si="0"/>
        <v>42</v>
      </c>
      <c r="M6" s="1" t="str">
        <f t="shared" si="1"/>
        <v/>
      </c>
      <c r="N6" s="2">
        <f t="shared" si="2"/>
        <v>45658</v>
      </c>
      <c r="O6" t="str">
        <f t="shared" si="3"/>
        <v>mačka</v>
      </c>
    </row>
    <row r="7" spans="1:15" hidden="1" x14ac:dyDescent="0.25">
      <c r="A7">
        <v>7528</v>
      </c>
      <c r="B7" s="11">
        <v>4001234567893</v>
      </c>
      <c r="C7" s="1" t="s">
        <v>31</v>
      </c>
      <c r="D7" s="1" t="s">
        <v>29</v>
      </c>
      <c r="E7" s="1" t="s">
        <v>32</v>
      </c>
      <c r="F7">
        <v>9.1999999999999993</v>
      </c>
      <c r="G7">
        <v>2</v>
      </c>
      <c r="H7" s="1" t="s">
        <v>33</v>
      </c>
      <c r="I7" s="1" t="s">
        <v>34</v>
      </c>
      <c r="J7" s="12">
        <v>45659</v>
      </c>
      <c r="K7">
        <v>0</v>
      </c>
      <c r="L7" s="1">
        <f t="shared" si="0"/>
        <v>18.399999999999999</v>
      </c>
      <c r="M7" s="1">
        <f t="shared" si="1"/>
        <v>3</v>
      </c>
      <c r="N7" s="2">
        <f t="shared" si="2"/>
        <v>45658</v>
      </c>
      <c r="O7" t="str">
        <f t="shared" si="3"/>
        <v>mačka</v>
      </c>
    </row>
    <row r="8" spans="1:15" hidden="1" x14ac:dyDescent="0.25">
      <c r="A8">
        <v>7529</v>
      </c>
      <c r="B8" s="11">
        <v>4010123456783</v>
      </c>
      <c r="C8" s="1" t="s">
        <v>35</v>
      </c>
      <c r="D8" s="1" t="s">
        <v>36</v>
      </c>
      <c r="E8" s="1" t="s">
        <v>37</v>
      </c>
      <c r="F8">
        <v>14</v>
      </c>
      <c r="G8">
        <v>2</v>
      </c>
      <c r="H8" s="1" t="s">
        <v>14</v>
      </c>
      <c r="I8" s="1" t="s">
        <v>15</v>
      </c>
      <c r="J8" s="12">
        <v>45659</v>
      </c>
      <c r="K8">
        <v>0</v>
      </c>
      <c r="L8" s="1">
        <f t="shared" si="0"/>
        <v>28</v>
      </c>
      <c r="M8" s="1" t="str">
        <f t="shared" si="1"/>
        <v/>
      </c>
      <c r="N8" s="2">
        <f t="shared" si="2"/>
        <v>45658</v>
      </c>
      <c r="O8" t="str">
        <f t="shared" si="3"/>
        <v>mačka</v>
      </c>
    </row>
    <row r="9" spans="1:15" x14ac:dyDescent="0.25">
      <c r="A9">
        <v>7530</v>
      </c>
      <c r="B9" s="11">
        <v>4028899001126</v>
      </c>
      <c r="C9" s="1" t="s">
        <v>16</v>
      </c>
      <c r="D9" s="1" t="s">
        <v>12</v>
      </c>
      <c r="E9" s="1" t="s">
        <v>17</v>
      </c>
      <c r="F9">
        <v>2.8</v>
      </c>
      <c r="G9">
        <v>4</v>
      </c>
      <c r="H9" s="1" t="s">
        <v>14</v>
      </c>
      <c r="I9" s="1" t="s">
        <v>15</v>
      </c>
      <c r="J9" s="12">
        <v>45660</v>
      </c>
      <c r="K9">
        <v>0</v>
      </c>
      <c r="L9" s="1">
        <f t="shared" si="0"/>
        <v>11.2</v>
      </c>
      <c r="M9" s="1" t="str">
        <f t="shared" si="1"/>
        <v/>
      </c>
      <c r="N9" s="2">
        <f t="shared" si="2"/>
        <v>45658</v>
      </c>
      <c r="O9" t="str">
        <f t="shared" si="3"/>
        <v>pes</v>
      </c>
    </row>
    <row r="10" spans="1:15" x14ac:dyDescent="0.25">
      <c r="A10">
        <v>7531</v>
      </c>
      <c r="B10" s="11">
        <v>4006789012349</v>
      </c>
      <c r="C10" s="1" t="s">
        <v>38</v>
      </c>
      <c r="D10" s="1" t="s">
        <v>39</v>
      </c>
      <c r="E10" s="1" t="s">
        <v>13</v>
      </c>
      <c r="F10">
        <v>12</v>
      </c>
      <c r="G10">
        <v>1</v>
      </c>
      <c r="H10" s="1" t="s">
        <v>18</v>
      </c>
      <c r="I10" s="1" t="s">
        <v>40</v>
      </c>
      <c r="J10" s="12">
        <v>45660</v>
      </c>
      <c r="K10">
        <v>0</v>
      </c>
      <c r="L10" s="1">
        <f t="shared" si="0"/>
        <v>12</v>
      </c>
      <c r="M10" s="1">
        <f t="shared" si="1"/>
        <v>4</v>
      </c>
      <c r="N10" s="2">
        <f t="shared" si="2"/>
        <v>45658</v>
      </c>
      <c r="O10" t="str">
        <f t="shared" si="3"/>
        <v>pes</v>
      </c>
    </row>
    <row r="11" spans="1:15" hidden="1" x14ac:dyDescent="0.25">
      <c r="A11">
        <v>7532</v>
      </c>
      <c r="B11" s="11">
        <v>4050123456794</v>
      </c>
      <c r="C11" s="1" t="s">
        <v>41</v>
      </c>
      <c r="D11" s="1" t="s">
        <v>36</v>
      </c>
      <c r="E11" s="1" t="s">
        <v>42</v>
      </c>
      <c r="F11">
        <v>7.2</v>
      </c>
      <c r="G11">
        <v>1</v>
      </c>
      <c r="H11" s="1" t="s">
        <v>14</v>
      </c>
      <c r="I11" s="1" t="s">
        <v>15</v>
      </c>
      <c r="J11" s="12">
        <v>45660</v>
      </c>
      <c r="K11">
        <v>0</v>
      </c>
      <c r="L11" s="1">
        <f t="shared" si="0"/>
        <v>7.2</v>
      </c>
      <c r="M11" s="1" t="str">
        <f t="shared" si="1"/>
        <v/>
      </c>
      <c r="N11" s="2">
        <f t="shared" si="2"/>
        <v>45658</v>
      </c>
      <c r="O11" t="str">
        <f t="shared" si="3"/>
        <v>mačka</v>
      </c>
    </row>
    <row r="12" spans="1:15" x14ac:dyDescent="0.25">
      <c r="A12">
        <v>7533</v>
      </c>
      <c r="B12" s="11">
        <v>4027788990013</v>
      </c>
      <c r="C12" s="1" t="s">
        <v>43</v>
      </c>
      <c r="D12" s="1" t="s">
        <v>21</v>
      </c>
      <c r="E12" s="1" t="s">
        <v>22</v>
      </c>
      <c r="F12">
        <v>8</v>
      </c>
      <c r="G12">
        <v>1</v>
      </c>
      <c r="H12" s="1" t="s">
        <v>14</v>
      </c>
      <c r="I12" s="1" t="s">
        <v>15</v>
      </c>
      <c r="J12" s="12">
        <v>45660</v>
      </c>
      <c r="K12">
        <v>0</v>
      </c>
      <c r="L12" s="1">
        <f t="shared" si="0"/>
        <v>8</v>
      </c>
      <c r="M12" s="1" t="str">
        <f t="shared" si="1"/>
        <v/>
      </c>
      <c r="N12" s="2">
        <f t="shared" si="2"/>
        <v>45658</v>
      </c>
      <c r="O12" t="str">
        <f t="shared" si="3"/>
        <v>pes</v>
      </c>
    </row>
    <row r="13" spans="1:15" x14ac:dyDescent="0.25">
      <c r="A13">
        <v>7534</v>
      </c>
      <c r="B13" s="11">
        <v>4028899001126</v>
      </c>
      <c r="C13" s="1" t="s">
        <v>16</v>
      </c>
      <c r="D13" s="1" t="s">
        <v>12</v>
      </c>
      <c r="E13" s="1" t="s">
        <v>17</v>
      </c>
      <c r="F13">
        <v>2.8</v>
      </c>
      <c r="G13">
        <v>5</v>
      </c>
      <c r="H13" s="1" t="s">
        <v>33</v>
      </c>
      <c r="I13" s="1" t="s">
        <v>44</v>
      </c>
      <c r="J13" s="12">
        <v>45660</v>
      </c>
      <c r="K13">
        <v>0</v>
      </c>
      <c r="L13" s="1">
        <f t="shared" si="0"/>
        <v>14</v>
      </c>
      <c r="M13" s="1">
        <f t="shared" si="1"/>
        <v>3</v>
      </c>
      <c r="N13" s="2">
        <f t="shared" si="2"/>
        <v>45658</v>
      </c>
      <c r="O13" t="str">
        <f t="shared" si="3"/>
        <v>pes</v>
      </c>
    </row>
    <row r="14" spans="1:15" hidden="1" x14ac:dyDescent="0.25">
      <c r="A14">
        <v>7535</v>
      </c>
      <c r="B14" s="11">
        <v>4009012345672</v>
      </c>
      <c r="C14" s="1" t="s">
        <v>45</v>
      </c>
      <c r="D14" s="1" t="s">
        <v>36</v>
      </c>
      <c r="E14" s="1" t="s">
        <v>32</v>
      </c>
      <c r="F14">
        <v>11.2</v>
      </c>
      <c r="G14">
        <v>2</v>
      </c>
      <c r="H14" s="1" t="s">
        <v>18</v>
      </c>
      <c r="I14" s="1" t="s">
        <v>46</v>
      </c>
      <c r="J14" s="12">
        <v>45661</v>
      </c>
      <c r="K14">
        <v>0</v>
      </c>
      <c r="L14" s="1">
        <f t="shared" si="0"/>
        <v>22.4</v>
      </c>
      <c r="M14" s="1">
        <f t="shared" si="1"/>
        <v>4</v>
      </c>
      <c r="N14" s="2">
        <f t="shared" si="2"/>
        <v>45658</v>
      </c>
      <c r="O14" t="str">
        <f t="shared" si="3"/>
        <v>mačka</v>
      </c>
    </row>
    <row r="15" spans="1:15" x14ac:dyDescent="0.25">
      <c r="A15">
        <v>7536</v>
      </c>
      <c r="B15" s="11">
        <v>4013456789017</v>
      </c>
      <c r="C15" s="1" t="s">
        <v>11</v>
      </c>
      <c r="D15" s="1" t="s">
        <v>12</v>
      </c>
      <c r="E15" s="1" t="s">
        <v>13</v>
      </c>
      <c r="F15">
        <v>6</v>
      </c>
      <c r="G15">
        <v>1</v>
      </c>
      <c r="H15" s="1" t="s">
        <v>14</v>
      </c>
      <c r="I15" s="1" t="s">
        <v>15</v>
      </c>
      <c r="J15" s="12">
        <v>45661</v>
      </c>
      <c r="K15">
        <v>0</v>
      </c>
      <c r="L15" s="1">
        <f t="shared" si="0"/>
        <v>6</v>
      </c>
      <c r="M15" s="1" t="str">
        <f t="shared" si="1"/>
        <v/>
      </c>
      <c r="N15" s="2">
        <f t="shared" si="2"/>
        <v>45658</v>
      </c>
      <c r="O15" t="str">
        <f t="shared" si="3"/>
        <v>pes</v>
      </c>
    </row>
    <row r="16" spans="1:15" hidden="1" x14ac:dyDescent="0.25">
      <c r="A16">
        <v>7537</v>
      </c>
      <c r="B16" s="11">
        <v>4056789012345</v>
      </c>
      <c r="C16" s="1" t="s">
        <v>47</v>
      </c>
      <c r="D16" s="1" t="s">
        <v>29</v>
      </c>
      <c r="E16" s="1" t="s">
        <v>37</v>
      </c>
      <c r="F16">
        <v>2.4</v>
      </c>
      <c r="G16">
        <v>3</v>
      </c>
      <c r="H16" s="1" t="s">
        <v>48</v>
      </c>
      <c r="I16" s="1" t="s">
        <v>49</v>
      </c>
      <c r="J16" s="12">
        <v>45661</v>
      </c>
      <c r="K16">
        <v>1</v>
      </c>
      <c r="L16" s="1">
        <f t="shared" si="0"/>
        <v>7.1999999999999993</v>
      </c>
      <c r="M16" s="1">
        <f t="shared" si="1"/>
        <v>2</v>
      </c>
      <c r="N16" s="2">
        <f t="shared" si="2"/>
        <v>45658</v>
      </c>
      <c r="O16" t="str">
        <f t="shared" si="3"/>
        <v>mačka</v>
      </c>
    </row>
    <row r="17" spans="1:15" x14ac:dyDescent="0.25">
      <c r="A17">
        <v>7538</v>
      </c>
      <c r="B17" s="11">
        <v>4028899001126</v>
      </c>
      <c r="C17" s="1" t="s">
        <v>16</v>
      </c>
      <c r="D17" s="1" t="s">
        <v>12</v>
      </c>
      <c r="E17" s="1" t="s">
        <v>17</v>
      </c>
      <c r="F17">
        <v>2.8</v>
      </c>
      <c r="G17">
        <v>2</v>
      </c>
      <c r="H17" s="1" t="s">
        <v>14</v>
      </c>
      <c r="I17" s="1" t="s">
        <v>15</v>
      </c>
      <c r="J17" s="12">
        <v>45662</v>
      </c>
      <c r="K17">
        <v>0</v>
      </c>
      <c r="L17" s="1">
        <f t="shared" si="0"/>
        <v>5.6</v>
      </c>
      <c r="M17" s="1" t="str">
        <f t="shared" si="1"/>
        <v/>
      </c>
      <c r="N17" s="2">
        <f t="shared" si="2"/>
        <v>45658</v>
      </c>
      <c r="O17" t="str">
        <f t="shared" si="3"/>
        <v>pes</v>
      </c>
    </row>
    <row r="18" spans="1:15" x14ac:dyDescent="0.25">
      <c r="A18">
        <v>7538</v>
      </c>
      <c r="B18" s="11">
        <v>4013456789017</v>
      </c>
      <c r="C18" s="1" t="s">
        <v>11</v>
      </c>
      <c r="D18" s="1" t="s">
        <v>12</v>
      </c>
      <c r="E18" s="1" t="s">
        <v>13</v>
      </c>
      <c r="F18">
        <v>6</v>
      </c>
      <c r="G18">
        <v>1</v>
      </c>
      <c r="H18" s="1" t="s">
        <v>14</v>
      </c>
      <c r="I18" s="1" t="s">
        <v>15</v>
      </c>
      <c r="J18" s="12">
        <v>45662</v>
      </c>
      <c r="K18">
        <v>0</v>
      </c>
      <c r="L18" s="1">
        <f t="shared" si="0"/>
        <v>6</v>
      </c>
      <c r="M18" s="1" t="str">
        <f t="shared" si="1"/>
        <v/>
      </c>
      <c r="N18" s="2">
        <f t="shared" si="2"/>
        <v>45658</v>
      </c>
      <c r="O18" t="str">
        <f t="shared" si="3"/>
        <v>pes</v>
      </c>
    </row>
    <row r="19" spans="1:15" x14ac:dyDescent="0.25">
      <c r="A19">
        <v>7539</v>
      </c>
      <c r="B19" s="11">
        <v>4040123456795</v>
      </c>
      <c r="C19" s="1" t="s">
        <v>20</v>
      </c>
      <c r="D19" s="1" t="s">
        <v>21</v>
      </c>
      <c r="E19" s="1" t="s">
        <v>22</v>
      </c>
      <c r="F19">
        <v>8.8000000000000007</v>
      </c>
      <c r="G19">
        <v>1</v>
      </c>
      <c r="H19" s="1" t="s">
        <v>18</v>
      </c>
      <c r="I19" s="1" t="s">
        <v>50</v>
      </c>
      <c r="J19" s="12">
        <v>45662</v>
      </c>
      <c r="K19">
        <v>0</v>
      </c>
      <c r="L19" s="1">
        <f t="shared" si="0"/>
        <v>8.8000000000000007</v>
      </c>
      <c r="M19" s="1">
        <f t="shared" si="1"/>
        <v>4</v>
      </c>
      <c r="N19" s="2">
        <f t="shared" si="2"/>
        <v>45658</v>
      </c>
      <c r="O19" t="str">
        <f t="shared" si="3"/>
        <v>pes</v>
      </c>
    </row>
    <row r="20" spans="1:15" hidden="1" x14ac:dyDescent="0.25">
      <c r="A20">
        <v>7540</v>
      </c>
      <c r="B20" s="11">
        <v>4010123456783</v>
      </c>
      <c r="C20" s="1" t="s">
        <v>35</v>
      </c>
      <c r="D20" s="1" t="s">
        <v>36</v>
      </c>
      <c r="E20" s="1" t="s">
        <v>37</v>
      </c>
      <c r="F20">
        <v>14</v>
      </c>
      <c r="G20">
        <v>2</v>
      </c>
      <c r="H20" s="1" t="s">
        <v>14</v>
      </c>
      <c r="I20" s="1" t="s">
        <v>15</v>
      </c>
      <c r="J20" s="12">
        <v>45662</v>
      </c>
      <c r="K20">
        <v>0</v>
      </c>
      <c r="L20" s="1">
        <f t="shared" si="0"/>
        <v>28</v>
      </c>
      <c r="M20" s="1" t="str">
        <f t="shared" si="1"/>
        <v/>
      </c>
      <c r="N20" s="2">
        <f t="shared" si="2"/>
        <v>45658</v>
      </c>
      <c r="O20" t="str">
        <f t="shared" si="3"/>
        <v>mačka</v>
      </c>
    </row>
    <row r="21" spans="1:15" x14ac:dyDescent="0.25">
      <c r="A21">
        <v>7541</v>
      </c>
      <c r="B21" s="11">
        <v>4028899001126</v>
      </c>
      <c r="C21" s="1" t="s">
        <v>16</v>
      </c>
      <c r="D21" s="1" t="s">
        <v>12</v>
      </c>
      <c r="E21" s="1" t="s">
        <v>17</v>
      </c>
      <c r="F21">
        <v>2.8</v>
      </c>
      <c r="G21">
        <v>4</v>
      </c>
      <c r="H21" s="1" t="s">
        <v>14</v>
      </c>
      <c r="I21" s="1" t="s">
        <v>15</v>
      </c>
      <c r="J21" s="12">
        <v>45663</v>
      </c>
      <c r="K21">
        <v>0</v>
      </c>
      <c r="L21" s="1">
        <f t="shared" si="0"/>
        <v>11.2</v>
      </c>
      <c r="M21" s="1" t="str">
        <f t="shared" si="1"/>
        <v/>
      </c>
      <c r="N21" s="2">
        <f t="shared" si="2"/>
        <v>45658</v>
      </c>
      <c r="O21" t="str">
        <f t="shared" si="3"/>
        <v>pes</v>
      </c>
    </row>
    <row r="22" spans="1:15" x14ac:dyDescent="0.25">
      <c r="A22">
        <v>7542</v>
      </c>
      <c r="B22" s="11">
        <v>4061011223346</v>
      </c>
      <c r="C22" s="1" t="s">
        <v>25</v>
      </c>
      <c r="D22" s="1" t="s">
        <v>26</v>
      </c>
      <c r="E22" s="1" t="s">
        <v>27</v>
      </c>
      <c r="F22">
        <v>19.600000000000001</v>
      </c>
      <c r="G22">
        <v>1</v>
      </c>
      <c r="H22" s="1" t="s">
        <v>23</v>
      </c>
      <c r="I22" s="1" t="s">
        <v>51</v>
      </c>
      <c r="J22" s="12">
        <v>45663</v>
      </c>
      <c r="K22">
        <v>0</v>
      </c>
      <c r="L22" s="1">
        <f t="shared" si="0"/>
        <v>19.600000000000001</v>
      </c>
      <c r="M22" s="1">
        <f t="shared" si="1"/>
        <v>5</v>
      </c>
      <c r="N22" s="2">
        <f t="shared" si="2"/>
        <v>45658</v>
      </c>
      <c r="O22" t="str">
        <f t="shared" si="3"/>
        <v>pes</v>
      </c>
    </row>
    <row r="23" spans="1:15" hidden="1" x14ac:dyDescent="0.25">
      <c r="A23">
        <v>7543</v>
      </c>
      <c r="B23" s="11">
        <v>8593456789012</v>
      </c>
      <c r="C23" s="1" t="s">
        <v>28</v>
      </c>
      <c r="D23" s="1" t="s">
        <v>29</v>
      </c>
      <c r="E23" s="1" t="s">
        <v>30</v>
      </c>
      <c r="F23">
        <v>42</v>
      </c>
      <c r="G23">
        <v>1</v>
      </c>
      <c r="H23" s="1" t="s">
        <v>14</v>
      </c>
      <c r="I23" s="1" t="s">
        <v>15</v>
      </c>
      <c r="J23" s="12">
        <v>45663</v>
      </c>
      <c r="K23">
        <v>0</v>
      </c>
      <c r="L23" s="1">
        <f t="shared" si="0"/>
        <v>42</v>
      </c>
      <c r="M23" s="1" t="str">
        <f t="shared" si="1"/>
        <v/>
      </c>
      <c r="N23" s="2">
        <f t="shared" si="2"/>
        <v>45658</v>
      </c>
      <c r="O23" t="str">
        <f t="shared" si="3"/>
        <v>mačka</v>
      </c>
    </row>
    <row r="24" spans="1:15" hidden="1" x14ac:dyDescent="0.25">
      <c r="A24">
        <v>7544</v>
      </c>
      <c r="B24" s="11">
        <v>4026677889902</v>
      </c>
      <c r="C24" s="1" t="s">
        <v>52</v>
      </c>
      <c r="D24" s="1" t="s">
        <v>53</v>
      </c>
      <c r="E24" s="1" t="s">
        <v>54</v>
      </c>
      <c r="F24">
        <v>7.6</v>
      </c>
      <c r="G24">
        <v>1</v>
      </c>
      <c r="H24" s="1" t="s">
        <v>14</v>
      </c>
      <c r="I24" s="1" t="s">
        <v>15</v>
      </c>
      <c r="J24" s="12">
        <v>45664</v>
      </c>
      <c r="K24">
        <v>0</v>
      </c>
      <c r="L24" s="1">
        <f t="shared" si="0"/>
        <v>7.6</v>
      </c>
      <c r="M24" s="1" t="str">
        <f t="shared" si="1"/>
        <v/>
      </c>
      <c r="N24" s="2">
        <f t="shared" si="2"/>
        <v>45658</v>
      </c>
      <c r="O24" t="str">
        <f t="shared" si="3"/>
        <v>iné</v>
      </c>
    </row>
    <row r="25" spans="1:15" hidden="1" x14ac:dyDescent="0.25">
      <c r="A25">
        <v>7545</v>
      </c>
      <c r="B25" s="11">
        <v>4023456789012</v>
      </c>
      <c r="C25" s="1" t="s">
        <v>55</v>
      </c>
      <c r="D25" s="1" t="s">
        <v>29</v>
      </c>
      <c r="E25" s="1" t="s">
        <v>32</v>
      </c>
      <c r="F25">
        <v>4</v>
      </c>
      <c r="G25">
        <v>3</v>
      </c>
      <c r="H25" s="1" t="s">
        <v>18</v>
      </c>
      <c r="I25" s="1" t="s">
        <v>56</v>
      </c>
      <c r="J25" s="12">
        <v>45664</v>
      </c>
      <c r="K25">
        <v>0</v>
      </c>
      <c r="L25" s="1">
        <f t="shared" si="0"/>
        <v>12</v>
      </c>
      <c r="M25" s="1">
        <f t="shared" si="1"/>
        <v>4</v>
      </c>
      <c r="N25" s="2">
        <f t="shared" si="2"/>
        <v>45658</v>
      </c>
      <c r="O25" t="str">
        <f t="shared" si="3"/>
        <v>mačka</v>
      </c>
    </row>
    <row r="26" spans="1:15" hidden="1" x14ac:dyDescent="0.25">
      <c r="A26">
        <v>7546</v>
      </c>
      <c r="B26" s="11">
        <v>4049012345683</v>
      </c>
      <c r="C26" s="1" t="s">
        <v>57</v>
      </c>
      <c r="D26" s="1" t="s">
        <v>36</v>
      </c>
      <c r="E26" s="1" t="s">
        <v>58</v>
      </c>
      <c r="F26">
        <v>9.1999999999999993</v>
      </c>
      <c r="G26">
        <v>1</v>
      </c>
      <c r="H26" s="1" t="s">
        <v>23</v>
      </c>
      <c r="I26" s="1" t="s">
        <v>59</v>
      </c>
      <c r="J26" s="12">
        <v>45664</v>
      </c>
      <c r="K26">
        <v>0</v>
      </c>
      <c r="L26" s="1">
        <f t="shared" si="0"/>
        <v>9.1999999999999993</v>
      </c>
      <c r="M26" s="1">
        <f t="shared" si="1"/>
        <v>5</v>
      </c>
      <c r="N26" s="2">
        <f t="shared" si="2"/>
        <v>45658</v>
      </c>
      <c r="O26" t="str">
        <f t="shared" si="3"/>
        <v>mačka</v>
      </c>
    </row>
    <row r="27" spans="1:15" x14ac:dyDescent="0.25">
      <c r="A27">
        <v>7547</v>
      </c>
      <c r="B27" s="11">
        <v>4063456789014</v>
      </c>
      <c r="C27" s="1" t="s">
        <v>60</v>
      </c>
      <c r="D27" s="1" t="s">
        <v>12</v>
      </c>
      <c r="E27" s="1" t="s">
        <v>61</v>
      </c>
      <c r="F27">
        <v>36</v>
      </c>
      <c r="G27">
        <v>1</v>
      </c>
      <c r="H27" s="1" t="s">
        <v>14</v>
      </c>
      <c r="I27" s="1" t="s">
        <v>15</v>
      </c>
      <c r="J27" s="12">
        <v>45665</v>
      </c>
      <c r="K27">
        <v>0</v>
      </c>
      <c r="L27" s="1">
        <f t="shared" si="0"/>
        <v>36</v>
      </c>
      <c r="M27" s="1" t="str">
        <f t="shared" si="1"/>
        <v/>
      </c>
      <c r="N27" s="2">
        <f t="shared" si="2"/>
        <v>45658</v>
      </c>
      <c r="O27" t="str">
        <f t="shared" si="3"/>
        <v>pes</v>
      </c>
    </row>
    <row r="28" spans="1:15" x14ac:dyDescent="0.25">
      <c r="A28">
        <v>7548</v>
      </c>
      <c r="B28" s="11">
        <v>4028899001126</v>
      </c>
      <c r="C28" s="1" t="s">
        <v>16</v>
      </c>
      <c r="D28" s="1" t="s">
        <v>12</v>
      </c>
      <c r="E28" s="1" t="s">
        <v>17</v>
      </c>
      <c r="F28">
        <v>2.8</v>
      </c>
      <c r="G28">
        <v>4</v>
      </c>
      <c r="H28" s="1" t="s">
        <v>33</v>
      </c>
      <c r="I28" s="1" t="s">
        <v>62</v>
      </c>
      <c r="J28" s="12">
        <v>45665</v>
      </c>
      <c r="K28">
        <v>0</v>
      </c>
      <c r="L28" s="1">
        <f t="shared" si="0"/>
        <v>11.2</v>
      </c>
      <c r="M28" s="1">
        <f t="shared" si="1"/>
        <v>3</v>
      </c>
      <c r="N28" s="2">
        <f t="shared" si="2"/>
        <v>45658</v>
      </c>
      <c r="O28" t="str">
        <f t="shared" si="3"/>
        <v>pes</v>
      </c>
    </row>
    <row r="29" spans="1:15" x14ac:dyDescent="0.25">
      <c r="A29">
        <v>7549</v>
      </c>
      <c r="B29" s="11">
        <v>4013456789017</v>
      </c>
      <c r="C29" s="1" t="s">
        <v>11</v>
      </c>
      <c r="D29" s="1" t="s">
        <v>12</v>
      </c>
      <c r="E29" s="1" t="s">
        <v>13</v>
      </c>
      <c r="F29">
        <v>6</v>
      </c>
      <c r="G29">
        <v>2</v>
      </c>
      <c r="H29" s="1" t="s">
        <v>14</v>
      </c>
      <c r="I29" s="1" t="s">
        <v>15</v>
      </c>
      <c r="J29" s="12">
        <v>45665</v>
      </c>
      <c r="K29">
        <v>0</v>
      </c>
      <c r="L29" s="1">
        <f t="shared" si="0"/>
        <v>12</v>
      </c>
      <c r="M29" s="1" t="str">
        <f t="shared" si="1"/>
        <v/>
      </c>
      <c r="N29" s="2">
        <f t="shared" si="2"/>
        <v>45658</v>
      </c>
      <c r="O29" t="str">
        <f t="shared" si="3"/>
        <v>pes</v>
      </c>
    </row>
    <row r="30" spans="1:15" hidden="1" x14ac:dyDescent="0.25">
      <c r="A30">
        <v>7550</v>
      </c>
      <c r="B30" s="11">
        <v>4009012345672</v>
      </c>
      <c r="C30" s="1" t="s">
        <v>45</v>
      </c>
      <c r="D30" s="1" t="s">
        <v>36</v>
      </c>
      <c r="E30" s="1" t="s">
        <v>32</v>
      </c>
      <c r="F30">
        <v>11.2</v>
      </c>
      <c r="G30">
        <v>2</v>
      </c>
      <c r="H30" s="1" t="s">
        <v>14</v>
      </c>
      <c r="I30" s="1" t="s">
        <v>15</v>
      </c>
      <c r="J30" s="12">
        <v>45665</v>
      </c>
      <c r="K30">
        <v>0</v>
      </c>
      <c r="L30" s="1">
        <f t="shared" si="0"/>
        <v>22.4</v>
      </c>
      <c r="M30" s="1" t="str">
        <f t="shared" si="1"/>
        <v/>
      </c>
      <c r="N30" s="2">
        <f t="shared" si="2"/>
        <v>45658</v>
      </c>
      <c r="O30" t="str">
        <f t="shared" si="3"/>
        <v>mačka</v>
      </c>
    </row>
    <row r="31" spans="1:15" hidden="1" x14ac:dyDescent="0.25">
      <c r="A31">
        <v>7551</v>
      </c>
      <c r="B31" s="11">
        <v>4056789012345</v>
      </c>
      <c r="C31" s="1" t="s">
        <v>47</v>
      </c>
      <c r="D31" s="1" t="s">
        <v>29</v>
      </c>
      <c r="E31" s="1" t="s">
        <v>37</v>
      </c>
      <c r="F31">
        <v>2.4</v>
      </c>
      <c r="G31">
        <v>2</v>
      </c>
      <c r="H31" s="1" t="s">
        <v>63</v>
      </c>
      <c r="I31" s="1" t="s">
        <v>64</v>
      </c>
      <c r="J31" s="12">
        <v>45665</v>
      </c>
      <c r="K31">
        <v>1</v>
      </c>
      <c r="L31" s="1">
        <f t="shared" si="0"/>
        <v>4.8</v>
      </c>
      <c r="M31" s="1">
        <f t="shared" si="1"/>
        <v>1</v>
      </c>
      <c r="N31" s="2">
        <f t="shared" si="2"/>
        <v>45658</v>
      </c>
      <c r="O31" t="str">
        <f t="shared" si="3"/>
        <v>mačka</v>
      </c>
    </row>
    <row r="32" spans="1:15" x14ac:dyDescent="0.25">
      <c r="A32">
        <v>7552</v>
      </c>
      <c r="B32" s="11">
        <v>4028899001126</v>
      </c>
      <c r="C32" s="1" t="s">
        <v>16</v>
      </c>
      <c r="D32" s="1" t="s">
        <v>12</v>
      </c>
      <c r="E32" s="1" t="s">
        <v>17</v>
      </c>
      <c r="F32">
        <v>2.8</v>
      </c>
      <c r="G32">
        <v>3</v>
      </c>
      <c r="H32" s="1" t="s">
        <v>14</v>
      </c>
      <c r="I32" s="1" t="s">
        <v>15</v>
      </c>
      <c r="J32" s="12">
        <v>45666</v>
      </c>
      <c r="K32">
        <v>0</v>
      </c>
      <c r="L32" s="1">
        <f t="shared" si="0"/>
        <v>8.3999999999999986</v>
      </c>
      <c r="M32" s="1" t="str">
        <f t="shared" si="1"/>
        <v/>
      </c>
      <c r="N32" s="2">
        <f t="shared" si="2"/>
        <v>45658</v>
      </c>
      <c r="O32" t="str">
        <f t="shared" si="3"/>
        <v>pes</v>
      </c>
    </row>
    <row r="33" spans="1:15" x14ac:dyDescent="0.25">
      <c r="A33">
        <v>7553</v>
      </c>
      <c r="B33" s="11">
        <v>4061011223346</v>
      </c>
      <c r="C33" s="1" t="s">
        <v>25</v>
      </c>
      <c r="D33" s="1" t="s">
        <v>26</v>
      </c>
      <c r="E33" s="1" t="s">
        <v>27</v>
      </c>
      <c r="F33">
        <v>19.600000000000001</v>
      </c>
      <c r="G33">
        <v>1</v>
      </c>
      <c r="H33" s="1" t="s">
        <v>14</v>
      </c>
      <c r="I33" s="1" t="s">
        <v>15</v>
      </c>
      <c r="J33" s="12">
        <v>45666</v>
      </c>
      <c r="K33">
        <v>0</v>
      </c>
      <c r="L33" s="1">
        <f t="shared" si="0"/>
        <v>19.600000000000001</v>
      </c>
      <c r="M33" s="1" t="str">
        <f t="shared" si="1"/>
        <v/>
      </c>
      <c r="N33" s="2">
        <f t="shared" si="2"/>
        <v>45658</v>
      </c>
      <c r="O33" t="str">
        <f t="shared" si="3"/>
        <v>pes</v>
      </c>
    </row>
    <row r="34" spans="1:15" x14ac:dyDescent="0.25">
      <c r="A34">
        <v>7554</v>
      </c>
      <c r="B34" s="11">
        <v>4017890123450</v>
      </c>
      <c r="C34" s="1" t="s">
        <v>65</v>
      </c>
      <c r="D34" s="1" t="s">
        <v>39</v>
      </c>
      <c r="E34" s="1" t="s">
        <v>22</v>
      </c>
      <c r="F34">
        <v>7.6</v>
      </c>
      <c r="G34">
        <v>1</v>
      </c>
      <c r="H34" s="1" t="s">
        <v>14</v>
      </c>
      <c r="I34" s="1" t="s">
        <v>15</v>
      </c>
      <c r="J34" s="12">
        <v>45666</v>
      </c>
      <c r="K34">
        <v>0</v>
      </c>
      <c r="L34" s="1">
        <f t="shared" si="0"/>
        <v>7.6</v>
      </c>
      <c r="M34" s="1" t="str">
        <f t="shared" si="1"/>
        <v/>
      </c>
      <c r="N34" s="2">
        <f t="shared" si="2"/>
        <v>45658</v>
      </c>
      <c r="O34" t="str">
        <f t="shared" si="3"/>
        <v>pes</v>
      </c>
    </row>
    <row r="35" spans="1:15" x14ac:dyDescent="0.25">
      <c r="A35">
        <v>7555</v>
      </c>
      <c r="B35" s="11">
        <v>4040123456795</v>
      </c>
      <c r="C35" s="1" t="s">
        <v>20</v>
      </c>
      <c r="D35" s="1" t="s">
        <v>21</v>
      </c>
      <c r="E35" s="1" t="s">
        <v>22</v>
      </c>
      <c r="F35">
        <v>8.8000000000000007</v>
      </c>
      <c r="G35">
        <v>1</v>
      </c>
      <c r="H35" s="1" t="s">
        <v>23</v>
      </c>
      <c r="I35" s="1" t="s">
        <v>66</v>
      </c>
      <c r="J35" s="12">
        <v>45666</v>
      </c>
      <c r="K35">
        <v>0</v>
      </c>
      <c r="L35" s="1">
        <f t="shared" si="0"/>
        <v>8.8000000000000007</v>
      </c>
      <c r="M35" s="1">
        <f t="shared" si="1"/>
        <v>5</v>
      </c>
      <c r="N35" s="2">
        <f t="shared" si="2"/>
        <v>45658</v>
      </c>
      <c r="O35" t="str">
        <f t="shared" si="3"/>
        <v>pes</v>
      </c>
    </row>
    <row r="36" spans="1:15" hidden="1" x14ac:dyDescent="0.25">
      <c r="A36">
        <v>7556</v>
      </c>
      <c r="B36" s="11">
        <v>4010123456783</v>
      </c>
      <c r="C36" s="1" t="s">
        <v>35</v>
      </c>
      <c r="D36" s="1" t="s">
        <v>36</v>
      </c>
      <c r="E36" s="1" t="s">
        <v>37</v>
      </c>
      <c r="F36">
        <v>14</v>
      </c>
      <c r="G36">
        <v>2</v>
      </c>
      <c r="H36" s="1" t="s">
        <v>14</v>
      </c>
      <c r="I36" s="1" t="s">
        <v>15</v>
      </c>
      <c r="J36" s="12">
        <v>45666</v>
      </c>
      <c r="K36">
        <v>0</v>
      </c>
      <c r="L36" s="1">
        <f t="shared" si="0"/>
        <v>28</v>
      </c>
      <c r="M36" s="1" t="str">
        <f t="shared" si="1"/>
        <v/>
      </c>
      <c r="N36" s="2">
        <f t="shared" si="2"/>
        <v>45658</v>
      </c>
      <c r="O36" t="str">
        <f t="shared" si="3"/>
        <v>mačka</v>
      </c>
    </row>
    <row r="37" spans="1:15" x14ac:dyDescent="0.25">
      <c r="A37">
        <v>7557</v>
      </c>
      <c r="B37" s="11">
        <v>4028899001126</v>
      </c>
      <c r="C37" s="1" t="s">
        <v>16</v>
      </c>
      <c r="D37" s="1" t="s">
        <v>12</v>
      </c>
      <c r="E37" s="1" t="s">
        <v>17</v>
      </c>
      <c r="F37">
        <v>2.8</v>
      </c>
      <c r="G37">
        <v>5</v>
      </c>
      <c r="H37" s="1" t="s">
        <v>14</v>
      </c>
      <c r="I37" s="1" t="s">
        <v>15</v>
      </c>
      <c r="J37" s="12">
        <v>45667</v>
      </c>
      <c r="K37">
        <v>0</v>
      </c>
      <c r="L37" s="1">
        <f t="shared" si="0"/>
        <v>14</v>
      </c>
      <c r="M37" s="1" t="str">
        <f t="shared" si="1"/>
        <v/>
      </c>
      <c r="N37" s="2">
        <f t="shared" si="2"/>
        <v>45658</v>
      </c>
      <c r="O37" t="str">
        <f t="shared" si="3"/>
        <v>pes</v>
      </c>
    </row>
    <row r="38" spans="1:15" x14ac:dyDescent="0.25">
      <c r="A38">
        <v>7558</v>
      </c>
      <c r="B38" s="11">
        <v>4013456789017</v>
      </c>
      <c r="C38" s="1" t="s">
        <v>11</v>
      </c>
      <c r="D38" s="1" t="s">
        <v>12</v>
      </c>
      <c r="E38" s="1" t="s">
        <v>13</v>
      </c>
      <c r="F38">
        <v>6</v>
      </c>
      <c r="G38">
        <v>1</v>
      </c>
      <c r="H38" s="1" t="s">
        <v>18</v>
      </c>
      <c r="I38" s="1" t="s">
        <v>67</v>
      </c>
      <c r="J38" s="12">
        <v>45667</v>
      </c>
      <c r="K38">
        <v>0</v>
      </c>
      <c r="L38" s="1">
        <f t="shared" si="0"/>
        <v>6</v>
      </c>
      <c r="M38" s="1">
        <f t="shared" si="1"/>
        <v>4</v>
      </c>
      <c r="N38" s="2">
        <f t="shared" si="2"/>
        <v>45658</v>
      </c>
      <c r="O38" t="str">
        <f t="shared" si="3"/>
        <v>pes</v>
      </c>
    </row>
    <row r="39" spans="1:15" hidden="1" x14ac:dyDescent="0.25">
      <c r="A39">
        <v>7559</v>
      </c>
      <c r="B39" s="11">
        <v>4067890123456</v>
      </c>
      <c r="C39" s="1" t="s">
        <v>68</v>
      </c>
      <c r="D39" s="1" t="s">
        <v>29</v>
      </c>
      <c r="E39" s="1" t="s">
        <v>69</v>
      </c>
      <c r="F39">
        <v>36</v>
      </c>
      <c r="G39">
        <v>1</v>
      </c>
      <c r="H39" s="1" t="s">
        <v>14</v>
      </c>
      <c r="I39" s="1" t="s">
        <v>15</v>
      </c>
      <c r="J39" s="12">
        <v>45667</v>
      </c>
      <c r="K39">
        <v>0</v>
      </c>
      <c r="L39" s="1">
        <f t="shared" si="0"/>
        <v>36</v>
      </c>
      <c r="M39" s="1" t="str">
        <f t="shared" si="1"/>
        <v/>
      </c>
      <c r="N39" s="2">
        <f t="shared" si="2"/>
        <v>45658</v>
      </c>
      <c r="O39" t="str">
        <f t="shared" si="3"/>
        <v>mačka</v>
      </c>
    </row>
    <row r="40" spans="1:15" x14ac:dyDescent="0.25">
      <c r="A40">
        <v>7560</v>
      </c>
      <c r="B40" s="11">
        <v>4028899001126</v>
      </c>
      <c r="C40" s="1" t="s">
        <v>16</v>
      </c>
      <c r="D40" s="1" t="s">
        <v>12</v>
      </c>
      <c r="E40" s="1" t="s">
        <v>17</v>
      </c>
      <c r="F40">
        <v>2.8</v>
      </c>
      <c r="G40">
        <v>3</v>
      </c>
      <c r="H40" s="1" t="s">
        <v>14</v>
      </c>
      <c r="I40" s="1" t="s">
        <v>15</v>
      </c>
      <c r="J40" s="12">
        <v>45668</v>
      </c>
      <c r="K40">
        <v>0</v>
      </c>
      <c r="L40" s="1">
        <f t="shared" si="0"/>
        <v>8.3999999999999986</v>
      </c>
      <c r="M40" s="1" t="str">
        <f t="shared" si="1"/>
        <v/>
      </c>
      <c r="N40" s="2">
        <f t="shared" si="2"/>
        <v>45658</v>
      </c>
      <c r="O40" t="str">
        <f t="shared" si="3"/>
        <v>pes</v>
      </c>
    </row>
    <row r="41" spans="1:15" x14ac:dyDescent="0.25">
      <c r="A41">
        <v>7561</v>
      </c>
      <c r="B41" s="11">
        <v>4013456789017</v>
      </c>
      <c r="C41" s="1" t="s">
        <v>11</v>
      </c>
      <c r="D41" s="1" t="s">
        <v>12</v>
      </c>
      <c r="E41" s="1" t="s">
        <v>13</v>
      </c>
      <c r="F41">
        <v>6</v>
      </c>
      <c r="G41">
        <v>2</v>
      </c>
      <c r="H41" s="1" t="s">
        <v>14</v>
      </c>
      <c r="I41" s="1" t="s">
        <v>15</v>
      </c>
      <c r="J41" s="12">
        <v>45668</v>
      </c>
      <c r="K41">
        <v>0</v>
      </c>
      <c r="L41" s="1">
        <f t="shared" si="0"/>
        <v>12</v>
      </c>
      <c r="M41" s="1" t="str">
        <f t="shared" si="1"/>
        <v/>
      </c>
      <c r="N41" s="2">
        <f t="shared" si="2"/>
        <v>45658</v>
      </c>
      <c r="O41" t="str">
        <f t="shared" si="3"/>
        <v>pes</v>
      </c>
    </row>
    <row r="42" spans="1:15" x14ac:dyDescent="0.25">
      <c r="A42">
        <v>7562</v>
      </c>
      <c r="B42" s="11">
        <v>4061011223346</v>
      </c>
      <c r="C42" s="1" t="s">
        <v>25</v>
      </c>
      <c r="D42" s="1" t="s">
        <v>26</v>
      </c>
      <c r="E42" s="1" t="s">
        <v>27</v>
      </c>
      <c r="F42">
        <v>19.600000000000001</v>
      </c>
      <c r="G42">
        <v>1</v>
      </c>
      <c r="H42" s="1" t="s">
        <v>14</v>
      </c>
      <c r="I42" s="1" t="s">
        <v>15</v>
      </c>
      <c r="J42" s="12">
        <v>45668</v>
      </c>
      <c r="K42">
        <v>0</v>
      </c>
      <c r="L42" s="1">
        <f t="shared" si="0"/>
        <v>19.600000000000001</v>
      </c>
      <c r="M42" s="1" t="str">
        <f t="shared" si="1"/>
        <v/>
      </c>
      <c r="N42" s="2">
        <f t="shared" si="2"/>
        <v>45658</v>
      </c>
      <c r="O42" t="str">
        <f t="shared" si="3"/>
        <v>pes</v>
      </c>
    </row>
    <row r="43" spans="1:15" x14ac:dyDescent="0.25">
      <c r="A43">
        <v>7563</v>
      </c>
      <c r="B43" s="11">
        <v>4028899001126</v>
      </c>
      <c r="C43" s="1" t="s">
        <v>16</v>
      </c>
      <c r="D43" s="1" t="s">
        <v>12</v>
      </c>
      <c r="E43" s="1" t="s">
        <v>17</v>
      </c>
      <c r="F43">
        <v>2.8</v>
      </c>
      <c r="G43">
        <v>4</v>
      </c>
      <c r="H43" s="1" t="s">
        <v>18</v>
      </c>
      <c r="I43" s="1" t="s">
        <v>70</v>
      </c>
      <c r="J43" s="12">
        <v>45669</v>
      </c>
      <c r="K43">
        <v>0</v>
      </c>
      <c r="L43" s="1">
        <f t="shared" si="0"/>
        <v>11.2</v>
      </c>
      <c r="M43" s="1">
        <f t="shared" si="1"/>
        <v>4</v>
      </c>
      <c r="N43" s="2">
        <f t="shared" si="2"/>
        <v>45658</v>
      </c>
      <c r="O43" t="str">
        <f t="shared" si="3"/>
        <v>pes</v>
      </c>
    </row>
    <row r="44" spans="1:15" x14ac:dyDescent="0.25">
      <c r="A44">
        <v>7564</v>
      </c>
      <c r="B44" s="11">
        <v>4013456789017</v>
      </c>
      <c r="C44" s="1" t="s">
        <v>11</v>
      </c>
      <c r="D44" s="1" t="s">
        <v>12</v>
      </c>
      <c r="E44" s="1" t="s">
        <v>13</v>
      </c>
      <c r="F44">
        <v>6</v>
      </c>
      <c r="G44">
        <v>2</v>
      </c>
      <c r="H44" s="1" t="s">
        <v>14</v>
      </c>
      <c r="I44" s="1" t="s">
        <v>15</v>
      </c>
      <c r="J44" s="12">
        <v>45669</v>
      </c>
      <c r="K44">
        <v>0</v>
      </c>
      <c r="L44" s="1">
        <f t="shared" si="0"/>
        <v>12</v>
      </c>
      <c r="M44" s="1" t="str">
        <f t="shared" si="1"/>
        <v/>
      </c>
      <c r="N44" s="2">
        <f t="shared" si="2"/>
        <v>45658</v>
      </c>
      <c r="O44" t="str">
        <f t="shared" si="3"/>
        <v>pes</v>
      </c>
    </row>
    <row r="45" spans="1:15" x14ac:dyDescent="0.25">
      <c r="A45">
        <v>7565</v>
      </c>
      <c r="B45" s="11">
        <v>4040123456795</v>
      </c>
      <c r="C45" s="1" t="s">
        <v>20</v>
      </c>
      <c r="D45" s="1" t="s">
        <v>21</v>
      </c>
      <c r="E45" s="1" t="s">
        <v>22</v>
      </c>
      <c r="F45">
        <v>8.8000000000000007</v>
      </c>
      <c r="G45">
        <v>1</v>
      </c>
      <c r="H45" s="1" t="s">
        <v>14</v>
      </c>
      <c r="I45" s="1" t="s">
        <v>15</v>
      </c>
      <c r="J45" s="12">
        <v>45669</v>
      </c>
      <c r="K45">
        <v>0</v>
      </c>
      <c r="L45" s="1">
        <f t="shared" si="0"/>
        <v>8.8000000000000007</v>
      </c>
      <c r="M45" s="1" t="str">
        <f t="shared" si="1"/>
        <v/>
      </c>
      <c r="N45" s="2">
        <f t="shared" si="2"/>
        <v>45658</v>
      </c>
      <c r="O45" t="str">
        <f t="shared" si="3"/>
        <v>pes</v>
      </c>
    </row>
    <row r="46" spans="1:15" x14ac:dyDescent="0.25">
      <c r="A46">
        <v>7566</v>
      </c>
      <c r="B46" s="11">
        <v>4017890123450</v>
      </c>
      <c r="C46" s="1" t="s">
        <v>65</v>
      </c>
      <c r="D46" s="1" t="s">
        <v>39</v>
      </c>
      <c r="E46" s="1" t="s">
        <v>22</v>
      </c>
      <c r="F46">
        <v>7.6</v>
      </c>
      <c r="G46">
        <v>1</v>
      </c>
      <c r="H46" s="1" t="s">
        <v>14</v>
      </c>
      <c r="I46" s="1" t="s">
        <v>15</v>
      </c>
      <c r="J46" s="12">
        <v>45669</v>
      </c>
      <c r="K46">
        <v>0</v>
      </c>
      <c r="L46" s="1">
        <f t="shared" si="0"/>
        <v>7.6</v>
      </c>
      <c r="M46" s="1" t="str">
        <f t="shared" si="1"/>
        <v/>
      </c>
      <c r="N46" s="2">
        <f t="shared" si="2"/>
        <v>45658</v>
      </c>
      <c r="O46" t="str">
        <f t="shared" si="3"/>
        <v>pes</v>
      </c>
    </row>
    <row r="47" spans="1:15" hidden="1" x14ac:dyDescent="0.25">
      <c r="A47">
        <v>7567</v>
      </c>
      <c r="B47" s="11">
        <v>4056789012345</v>
      </c>
      <c r="C47" s="1" t="s">
        <v>47</v>
      </c>
      <c r="D47" s="1" t="s">
        <v>29</v>
      </c>
      <c r="E47" s="1" t="s">
        <v>37</v>
      </c>
      <c r="F47">
        <v>2.4</v>
      </c>
      <c r="G47">
        <v>2</v>
      </c>
      <c r="H47" s="1" t="s">
        <v>48</v>
      </c>
      <c r="I47" s="1" t="s">
        <v>71</v>
      </c>
      <c r="J47" s="12">
        <v>45670</v>
      </c>
      <c r="K47">
        <v>1</v>
      </c>
      <c r="L47" s="1">
        <f t="shared" si="0"/>
        <v>4.8</v>
      </c>
      <c r="M47" s="1">
        <f t="shared" si="1"/>
        <v>2</v>
      </c>
      <c r="N47" s="2">
        <f t="shared" si="2"/>
        <v>45658</v>
      </c>
      <c r="O47" t="str">
        <f t="shared" si="3"/>
        <v>mačka</v>
      </c>
    </row>
    <row r="48" spans="1:15" hidden="1" x14ac:dyDescent="0.25">
      <c r="A48">
        <v>7568</v>
      </c>
      <c r="B48" s="11">
        <v>4067890123456</v>
      </c>
      <c r="C48" s="1" t="s">
        <v>68</v>
      </c>
      <c r="D48" s="1" t="s">
        <v>29</v>
      </c>
      <c r="E48" s="1" t="s">
        <v>69</v>
      </c>
      <c r="F48">
        <v>36</v>
      </c>
      <c r="G48">
        <v>1</v>
      </c>
      <c r="H48" s="1" t="s">
        <v>14</v>
      </c>
      <c r="I48" s="1" t="s">
        <v>15</v>
      </c>
      <c r="J48" s="12">
        <v>45670</v>
      </c>
      <c r="K48">
        <v>0</v>
      </c>
      <c r="L48" s="1">
        <f t="shared" si="0"/>
        <v>36</v>
      </c>
      <c r="M48" s="1" t="str">
        <f t="shared" si="1"/>
        <v/>
      </c>
      <c r="N48" s="2">
        <f t="shared" si="2"/>
        <v>45658</v>
      </c>
      <c r="O48" t="str">
        <f t="shared" si="3"/>
        <v>mačka</v>
      </c>
    </row>
    <row r="49" spans="1:15" hidden="1" x14ac:dyDescent="0.25">
      <c r="A49">
        <v>7569</v>
      </c>
      <c r="B49" s="11">
        <v>4009012345672</v>
      </c>
      <c r="C49" s="1" t="s">
        <v>45</v>
      </c>
      <c r="D49" s="1" t="s">
        <v>36</v>
      </c>
      <c r="E49" s="1" t="s">
        <v>32</v>
      </c>
      <c r="F49">
        <v>11.2</v>
      </c>
      <c r="G49">
        <v>2</v>
      </c>
      <c r="H49" s="1" t="s">
        <v>33</v>
      </c>
      <c r="I49" s="1" t="s">
        <v>72</v>
      </c>
      <c r="J49" s="12">
        <v>45670</v>
      </c>
      <c r="K49">
        <v>0</v>
      </c>
      <c r="L49" s="1">
        <f t="shared" si="0"/>
        <v>22.4</v>
      </c>
      <c r="M49" s="1">
        <f t="shared" si="1"/>
        <v>3</v>
      </c>
      <c r="N49" s="2">
        <f t="shared" si="2"/>
        <v>45658</v>
      </c>
      <c r="O49" t="str">
        <f t="shared" si="3"/>
        <v>mačka</v>
      </c>
    </row>
    <row r="50" spans="1:15" x14ac:dyDescent="0.25">
      <c r="A50">
        <v>7570</v>
      </c>
      <c r="B50" s="11">
        <v>4028899001126</v>
      </c>
      <c r="C50" s="1" t="s">
        <v>16</v>
      </c>
      <c r="D50" s="1" t="s">
        <v>12</v>
      </c>
      <c r="E50" s="1" t="s">
        <v>17</v>
      </c>
      <c r="F50">
        <v>2.8</v>
      </c>
      <c r="G50">
        <v>4</v>
      </c>
      <c r="H50" s="1" t="s">
        <v>14</v>
      </c>
      <c r="I50" s="1" t="s">
        <v>15</v>
      </c>
      <c r="J50" s="12">
        <v>45671</v>
      </c>
      <c r="K50">
        <v>0</v>
      </c>
      <c r="L50" s="1">
        <f t="shared" si="0"/>
        <v>11.2</v>
      </c>
      <c r="M50" s="1" t="str">
        <f t="shared" si="1"/>
        <v/>
      </c>
      <c r="N50" s="2">
        <f t="shared" si="2"/>
        <v>45658</v>
      </c>
      <c r="O50" t="str">
        <f t="shared" si="3"/>
        <v>pes</v>
      </c>
    </row>
    <row r="51" spans="1:15" x14ac:dyDescent="0.25">
      <c r="A51">
        <v>7571</v>
      </c>
      <c r="B51" s="11">
        <v>4013456789017</v>
      </c>
      <c r="C51" s="1" t="s">
        <v>11</v>
      </c>
      <c r="D51" s="1" t="s">
        <v>12</v>
      </c>
      <c r="E51" s="1" t="s">
        <v>13</v>
      </c>
      <c r="F51">
        <v>6</v>
      </c>
      <c r="G51">
        <v>1</v>
      </c>
      <c r="H51" s="1" t="s">
        <v>23</v>
      </c>
      <c r="I51" s="1" t="s">
        <v>73</v>
      </c>
      <c r="J51" s="12">
        <v>45671</v>
      </c>
      <c r="K51">
        <v>0</v>
      </c>
      <c r="L51" s="1">
        <f t="shared" si="0"/>
        <v>6</v>
      </c>
      <c r="M51" s="1">
        <f t="shared" si="1"/>
        <v>5</v>
      </c>
      <c r="N51" s="2">
        <f t="shared" si="2"/>
        <v>45658</v>
      </c>
      <c r="O51" t="str">
        <f t="shared" si="3"/>
        <v>pes</v>
      </c>
    </row>
    <row r="52" spans="1:15" x14ac:dyDescent="0.25">
      <c r="A52">
        <v>7572</v>
      </c>
      <c r="B52" s="11">
        <v>4027788990013</v>
      </c>
      <c r="C52" s="1" t="s">
        <v>43</v>
      </c>
      <c r="D52" s="1" t="s">
        <v>21</v>
      </c>
      <c r="E52" s="1" t="s">
        <v>22</v>
      </c>
      <c r="F52">
        <v>8</v>
      </c>
      <c r="G52">
        <v>1</v>
      </c>
      <c r="H52" s="1" t="s">
        <v>14</v>
      </c>
      <c r="I52" s="1" t="s">
        <v>15</v>
      </c>
      <c r="J52" s="12">
        <v>45671</v>
      </c>
      <c r="K52">
        <v>0</v>
      </c>
      <c r="L52" s="1">
        <f t="shared" si="0"/>
        <v>8</v>
      </c>
      <c r="M52" s="1" t="str">
        <f t="shared" si="1"/>
        <v/>
      </c>
      <c r="N52" s="2">
        <f t="shared" si="2"/>
        <v>45658</v>
      </c>
      <c r="O52" t="str">
        <f t="shared" si="3"/>
        <v>pes</v>
      </c>
    </row>
    <row r="53" spans="1:15" hidden="1" x14ac:dyDescent="0.25">
      <c r="A53">
        <v>7573</v>
      </c>
      <c r="B53" s="11">
        <v>4010123456783</v>
      </c>
      <c r="C53" s="1" t="s">
        <v>35</v>
      </c>
      <c r="D53" s="1" t="s">
        <v>36</v>
      </c>
      <c r="E53" s="1" t="s">
        <v>37</v>
      </c>
      <c r="F53">
        <v>14</v>
      </c>
      <c r="G53">
        <v>1</v>
      </c>
      <c r="H53" s="1" t="s">
        <v>14</v>
      </c>
      <c r="I53" s="1" t="s">
        <v>15</v>
      </c>
      <c r="J53" s="12">
        <v>45671</v>
      </c>
      <c r="K53">
        <v>0</v>
      </c>
      <c r="L53" s="1">
        <f t="shared" si="0"/>
        <v>14</v>
      </c>
      <c r="M53" s="1" t="str">
        <f t="shared" si="1"/>
        <v/>
      </c>
      <c r="N53" s="2">
        <f t="shared" si="2"/>
        <v>45658</v>
      </c>
      <c r="O53" t="str">
        <f t="shared" si="3"/>
        <v>mačka</v>
      </c>
    </row>
    <row r="54" spans="1:15" x14ac:dyDescent="0.25">
      <c r="A54">
        <v>7574</v>
      </c>
      <c r="B54" s="11">
        <v>4028899001126</v>
      </c>
      <c r="C54" s="1" t="s">
        <v>16</v>
      </c>
      <c r="D54" s="1" t="s">
        <v>12</v>
      </c>
      <c r="E54" s="1" t="s">
        <v>17</v>
      </c>
      <c r="F54">
        <v>2.8</v>
      </c>
      <c r="G54">
        <v>3</v>
      </c>
      <c r="H54" s="1" t="s">
        <v>33</v>
      </c>
      <c r="I54" s="1" t="s">
        <v>74</v>
      </c>
      <c r="J54" s="12">
        <v>45672</v>
      </c>
      <c r="K54">
        <v>0</v>
      </c>
      <c r="L54" s="1">
        <f t="shared" si="0"/>
        <v>8.3999999999999986</v>
      </c>
      <c r="M54" s="1">
        <f t="shared" si="1"/>
        <v>3</v>
      </c>
      <c r="N54" s="2">
        <f t="shared" si="2"/>
        <v>45658</v>
      </c>
      <c r="O54" t="str">
        <f t="shared" si="3"/>
        <v>pes</v>
      </c>
    </row>
    <row r="55" spans="1:15" x14ac:dyDescent="0.25">
      <c r="A55">
        <v>7575</v>
      </c>
      <c r="B55" s="11">
        <v>4061011223346</v>
      </c>
      <c r="C55" s="1" t="s">
        <v>25</v>
      </c>
      <c r="D55" s="1" t="s">
        <v>26</v>
      </c>
      <c r="E55" s="1" t="s">
        <v>27</v>
      </c>
      <c r="F55">
        <v>19.600000000000001</v>
      </c>
      <c r="G55">
        <v>1</v>
      </c>
      <c r="H55" s="1" t="s">
        <v>14</v>
      </c>
      <c r="I55" s="1" t="s">
        <v>15</v>
      </c>
      <c r="J55" s="12">
        <v>45672</v>
      </c>
      <c r="K55">
        <v>0</v>
      </c>
      <c r="L55" s="1">
        <f t="shared" si="0"/>
        <v>19.600000000000001</v>
      </c>
      <c r="M55" s="1" t="str">
        <f t="shared" si="1"/>
        <v/>
      </c>
      <c r="N55" s="2">
        <f t="shared" si="2"/>
        <v>45658</v>
      </c>
      <c r="O55" t="str">
        <f t="shared" si="3"/>
        <v>pes</v>
      </c>
    </row>
    <row r="56" spans="1:15" x14ac:dyDescent="0.25">
      <c r="A56">
        <v>7576</v>
      </c>
      <c r="B56" s="11">
        <v>4006789012349</v>
      </c>
      <c r="C56" s="1" t="s">
        <v>38</v>
      </c>
      <c r="D56" s="1" t="s">
        <v>39</v>
      </c>
      <c r="E56" s="1" t="s">
        <v>13</v>
      </c>
      <c r="F56">
        <v>12</v>
      </c>
      <c r="G56">
        <v>1</v>
      </c>
      <c r="H56" s="1" t="s">
        <v>14</v>
      </c>
      <c r="I56" s="1" t="s">
        <v>15</v>
      </c>
      <c r="J56" s="12">
        <v>45672</v>
      </c>
      <c r="K56">
        <v>0</v>
      </c>
      <c r="L56" s="1">
        <f t="shared" si="0"/>
        <v>12</v>
      </c>
      <c r="M56" s="1" t="str">
        <f t="shared" si="1"/>
        <v/>
      </c>
      <c r="N56" s="2">
        <f t="shared" si="2"/>
        <v>45658</v>
      </c>
      <c r="O56" t="str">
        <f t="shared" si="3"/>
        <v>pes</v>
      </c>
    </row>
    <row r="57" spans="1:15" hidden="1" x14ac:dyDescent="0.25">
      <c r="A57">
        <v>7577</v>
      </c>
      <c r="B57" s="11">
        <v>4026677889902</v>
      </c>
      <c r="C57" s="1" t="s">
        <v>52</v>
      </c>
      <c r="D57" s="1" t="s">
        <v>53</v>
      </c>
      <c r="E57" s="1" t="s">
        <v>54</v>
      </c>
      <c r="F57">
        <v>7.6</v>
      </c>
      <c r="G57">
        <v>1</v>
      </c>
      <c r="H57" s="1" t="s">
        <v>14</v>
      </c>
      <c r="I57" s="1" t="s">
        <v>15</v>
      </c>
      <c r="J57" s="12">
        <v>45673</v>
      </c>
      <c r="K57">
        <v>0</v>
      </c>
      <c r="L57" s="1">
        <f t="shared" si="0"/>
        <v>7.6</v>
      </c>
      <c r="M57" s="1" t="str">
        <f t="shared" si="1"/>
        <v/>
      </c>
      <c r="N57" s="2">
        <f t="shared" si="2"/>
        <v>45658</v>
      </c>
      <c r="O57" t="str">
        <f t="shared" si="3"/>
        <v>iné</v>
      </c>
    </row>
    <row r="58" spans="1:15" x14ac:dyDescent="0.25">
      <c r="A58">
        <v>7578</v>
      </c>
      <c r="B58" s="11">
        <v>4013456789017</v>
      </c>
      <c r="C58" s="1" t="s">
        <v>11</v>
      </c>
      <c r="D58" s="1" t="s">
        <v>12</v>
      </c>
      <c r="E58" s="1" t="s">
        <v>13</v>
      </c>
      <c r="F58">
        <v>6</v>
      </c>
      <c r="G58">
        <v>2</v>
      </c>
      <c r="H58" s="1" t="s">
        <v>18</v>
      </c>
      <c r="I58" s="1" t="s">
        <v>75</v>
      </c>
      <c r="J58" s="12">
        <v>45673</v>
      </c>
      <c r="K58">
        <v>0</v>
      </c>
      <c r="L58" s="1">
        <f t="shared" si="0"/>
        <v>12</v>
      </c>
      <c r="M58" s="1">
        <f t="shared" si="1"/>
        <v>4</v>
      </c>
      <c r="N58" s="2">
        <f t="shared" si="2"/>
        <v>45658</v>
      </c>
      <c r="O58" t="str">
        <f t="shared" si="3"/>
        <v>pes</v>
      </c>
    </row>
    <row r="59" spans="1:15" hidden="1" x14ac:dyDescent="0.25">
      <c r="A59">
        <v>7579</v>
      </c>
      <c r="B59" s="11">
        <v>4023456789012</v>
      </c>
      <c r="C59" s="1" t="s">
        <v>55</v>
      </c>
      <c r="D59" s="1" t="s">
        <v>29</v>
      </c>
      <c r="E59" s="1" t="s">
        <v>32</v>
      </c>
      <c r="F59">
        <v>4</v>
      </c>
      <c r="G59">
        <v>2</v>
      </c>
      <c r="H59" s="1" t="s">
        <v>14</v>
      </c>
      <c r="I59" s="1" t="s">
        <v>15</v>
      </c>
      <c r="J59" s="12">
        <v>45673</v>
      </c>
      <c r="K59">
        <v>0</v>
      </c>
      <c r="L59" s="1">
        <f t="shared" si="0"/>
        <v>8</v>
      </c>
      <c r="M59" s="1" t="str">
        <f t="shared" si="1"/>
        <v/>
      </c>
      <c r="N59" s="2">
        <f t="shared" si="2"/>
        <v>45658</v>
      </c>
      <c r="O59" t="str">
        <f t="shared" si="3"/>
        <v>mačka</v>
      </c>
    </row>
    <row r="60" spans="1:15" hidden="1" x14ac:dyDescent="0.25">
      <c r="A60">
        <v>7580</v>
      </c>
      <c r="B60" s="11">
        <v>4050123456794</v>
      </c>
      <c r="C60" s="1" t="s">
        <v>41</v>
      </c>
      <c r="D60" s="1" t="s">
        <v>36</v>
      </c>
      <c r="E60" s="1" t="s">
        <v>42</v>
      </c>
      <c r="F60">
        <v>7.2</v>
      </c>
      <c r="G60">
        <v>1</v>
      </c>
      <c r="H60" s="1" t="s">
        <v>14</v>
      </c>
      <c r="I60" s="1" t="s">
        <v>15</v>
      </c>
      <c r="J60" s="12">
        <v>45673</v>
      </c>
      <c r="K60">
        <v>0</v>
      </c>
      <c r="L60" s="1">
        <f t="shared" si="0"/>
        <v>7.2</v>
      </c>
      <c r="M60" s="1" t="str">
        <f t="shared" si="1"/>
        <v/>
      </c>
      <c r="N60" s="2">
        <f t="shared" si="2"/>
        <v>45658</v>
      </c>
      <c r="O60" t="str">
        <f t="shared" si="3"/>
        <v>mačka</v>
      </c>
    </row>
    <row r="61" spans="1:15" x14ac:dyDescent="0.25">
      <c r="A61">
        <v>7581</v>
      </c>
      <c r="B61" s="11">
        <v>4028899001126</v>
      </c>
      <c r="C61" s="1" t="s">
        <v>16</v>
      </c>
      <c r="D61" s="1" t="s">
        <v>12</v>
      </c>
      <c r="E61" s="1" t="s">
        <v>17</v>
      </c>
      <c r="F61">
        <v>2.8</v>
      </c>
      <c r="G61">
        <v>4</v>
      </c>
      <c r="H61" s="1" t="s">
        <v>14</v>
      </c>
      <c r="I61" s="1" t="s">
        <v>15</v>
      </c>
      <c r="J61" s="12">
        <v>45674</v>
      </c>
      <c r="K61">
        <v>0</v>
      </c>
      <c r="L61" s="1">
        <f t="shared" si="0"/>
        <v>11.2</v>
      </c>
      <c r="M61" s="1" t="str">
        <f t="shared" si="1"/>
        <v/>
      </c>
      <c r="N61" s="2">
        <f t="shared" si="2"/>
        <v>45658</v>
      </c>
      <c r="O61" t="str">
        <f t="shared" si="3"/>
        <v>pes</v>
      </c>
    </row>
    <row r="62" spans="1:15" x14ac:dyDescent="0.25">
      <c r="A62">
        <v>7582</v>
      </c>
      <c r="B62" s="11">
        <v>4017890123450</v>
      </c>
      <c r="C62" s="1" t="s">
        <v>65</v>
      </c>
      <c r="D62" s="1" t="s">
        <v>39</v>
      </c>
      <c r="E62" s="1" t="s">
        <v>22</v>
      </c>
      <c r="F62">
        <v>7.6</v>
      </c>
      <c r="G62">
        <v>1</v>
      </c>
      <c r="H62" s="1" t="s">
        <v>18</v>
      </c>
      <c r="I62" s="1" t="s">
        <v>76</v>
      </c>
      <c r="J62" s="12">
        <v>45674</v>
      </c>
      <c r="K62">
        <v>0</v>
      </c>
      <c r="L62" s="1">
        <f t="shared" si="0"/>
        <v>7.6</v>
      </c>
      <c r="M62" s="1">
        <f t="shared" si="1"/>
        <v>4</v>
      </c>
      <c r="N62" s="2">
        <f t="shared" si="2"/>
        <v>45658</v>
      </c>
      <c r="O62" t="str">
        <f t="shared" si="3"/>
        <v>pes</v>
      </c>
    </row>
    <row r="63" spans="1:15" x14ac:dyDescent="0.25">
      <c r="A63">
        <v>7583</v>
      </c>
      <c r="B63" s="11">
        <v>4013456789017</v>
      </c>
      <c r="C63" s="1" t="s">
        <v>11</v>
      </c>
      <c r="D63" s="1" t="s">
        <v>12</v>
      </c>
      <c r="E63" s="1" t="s">
        <v>13</v>
      </c>
      <c r="F63">
        <v>6</v>
      </c>
      <c r="G63">
        <v>1</v>
      </c>
      <c r="H63" s="1" t="s">
        <v>14</v>
      </c>
      <c r="I63" s="1" t="s">
        <v>15</v>
      </c>
      <c r="J63" s="12">
        <v>45674</v>
      </c>
      <c r="K63">
        <v>0</v>
      </c>
      <c r="L63" s="1">
        <f t="shared" si="0"/>
        <v>6</v>
      </c>
      <c r="M63" s="1" t="str">
        <f t="shared" si="1"/>
        <v/>
      </c>
      <c r="N63" s="2">
        <f t="shared" si="2"/>
        <v>45658</v>
      </c>
      <c r="O63" t="str">
        <f t="shared" si="3"/>
        <v>pes</v>
      </c>
    </row>
    <row r="64" spans="1:15" hidden="1" x14ac:dyDescent="0.25">
      <c r="A64">
        <v>7584</v>
      </c>
      <c r="B64" s="11">
        <v>4056789012345</v>
      </c>
      <c r="C64" s="1" t="s">
        <v>47</v>
      </c>
      <c r="D64" s="1" t="s">
        <v>29</v>
      </c>
      <c r="E64" s="1" t="s">
        <v>37</v>
      </c>
      <c r="F64">
        <v>2.4</v>
      </c>
      <c r="G64">
        <v>2</v>
      </c>
      <c r="H64" s="1" t="s">
        <v>63</v>
      </c>
      <c r="I64" s="1" t="s">
        <v>77</v>
      </c>
      <c r="J64" s="12">
        <v>45675</v>
      </c>
      <c r="K64">
        <v>1</v>
      </c>
      <c r="L64" s="1">
        <f t="shared" si="0"/>
        <v>4.8</v>
      </c>
      <c r="M64" s="1">
        <f t="shared" si="1"/>
        <v>1</v>
      </c>
      <c r="N64" s="2">
        <f t="shared" si="2"/>
        <v>45658</v>
      </c>
      <c r="O64" t="str">
        <f t="shared" si="3"/>
        <v>mačka</v>
      </c>
    </row>
    <row r="65" spans="1:15" hidden="1" x14ac:dyDescent="0.25">
      <c r="A65">
        <v>7585</v>
      </c>
      <c r="B65" s="11">
        <v>4067890123456</v>
      </c>
      <c r="C65" s="1" t="s">
        <v>68</v>
      </c>
      <c r="D65" s="1" t="s">
        <v>29</v>
      </c>
      <c r="E65" s="1" t="s">
        <v>69</v>
      </c>
      <c r="F65">
        <v>36</v>
      </c>
      <c r="G65">
        <v>1</v>
      </c>
      <c r="H65" s="1" t="s">
        <v>18</v>
      </c>
      <c r="I65" s="1" t="s">
        <v>78</v>
      </c>
      <c r="J65" s="12">
        <v>45675</v>
      </c>
      <c r="K65">
        <v>0</v>
      </c>
      <c r="L65" s="1">
        <f t="shared" si="0"/>
        <v>36</v>
      </c>
      <c r="M65" s="1">
        <f t="shared" si="1"/>
        <v>4</v>
      </c>
      <c r="N65" s="2">
        <f t="shared" si="2"/>
        <v>45658</v>
      </c>
      <c r="O65" t="str">
        <f t="shared" si="3"/>
        <v>mačka</v>
      </c>
    </row>
    <row r="66" spans="1:15" x14ac:dyDescent="0.25">
      <c r="A66">
        <v>7586</v>
      </c>
      <c r="B66" s="11">
        <v>4063456789014</v>
      </c>
      <c r="C66" s="1" t="s">
        <v>60</v>
      </c>
      <c r="D66" s="1" t="s">
        <v>12</v>
      </c>
      <c r="E66" s="1" t="s">
        <v>61</v>
      </c>
      <c r="F66">
        <v>36</v>
      </c>
      <c r="G66">
        <v>1</v>
      </c>
      <c r="H66" s="1" t="s">
        <v>14</v>
      </c>
      <c r="I66" s="1" t="s">
        <v>15</v>
      </c>
      <c r="J66" s="12">
        <v>45675</v>
      </c>
      <c r="K66">
        <v>0</v>
      </c>
      <c r="L66" s="1">
        <f t="shared" ref="L66:L129" si="4">F66*G66</f>
        <v>36</v>
      </c>
      <c r="M66" s="1" t="str">
        <f t="shared" ref="M66:M129" si="5">IF(H66="NULL", "",VALUE(H66))</f>
        <v/>
      </c>
      <c r="N66" s="2">
        <f t="shared" ref="N66:N129" si="6">DATE(YEAR(J66),MONTH(J66),1)</f>
        <v>45658</v>
      </c>
      <c r="O66" t="str">
        <f t="shared" ref="O66:O129" si="7">IF(ISNUMBER(SEARCH("Mačky",D66)),"mačka",IF(ISNUMBER(SEARCH("Psy",D66)),"pes","iné"))</f>
        <v>pes</v>
      </c>
    </row>
    <row r="67" spans="1:15" x14ac:dyDescent="0.25">
      <c r="A67">
        <v>7587</v>
      </c>
      <c r="B67" s="11">
        <v>4028899001126</v>
      </c>
      <c r="C67" s="1" t="s">
        <v>16</v>
      </c>
      <c r="D67" s="1" t="s">
        <v>12</v>
      </c>
      <c r="E67" s="1" t="s">
        <v>17</v>
      </c>
      <c r="F67">
        <v>2.8</v>
      </c>
      <c r="G67">
        <v>3</v>
      </c>
      <c r="H67" s="1" t="s">
        <v>14</v>
      </c>
      <c r="I67" s="1" t="s">
        <v>15</v>
      </c>
      <c r="J67" s="12">
        <v>45676</v>
      </c>
      <c r="K67">
        <v>0</v>
      </c>
      <c r="L67" s="1">
        <f t="shared" si="4"/>
        <v>8.3999999999999986</v>
      </c>
      <c r="M67" s="1" t="str">
        <f t="shared" si="5"/>
        <v/>
      </c>
      <c r="N67" s="2">
        <f t="shared" si="6"/>
        <v>45658</v>
      </c>
      <c r="O67" t="str">
        <f t="shared" si="7"/>
        <v>pes</v>
      </c>
    </row>
    <row r="68" spans="1:15" hidden="1" x14ac:dyDescent="0.25">
      <c r="A68">
        <v>7588</v>
      </c>
      <c r="B68" s="11">
        <v>4010123456783</v>
      </c>
      <c r="C68" s="1" t="s">
        <v>35</v>
      </c>
      <c r="D68" s="1" t="s">
        <v>36</v>
      </c>
      <c r="E68" s="1" t="s">
        <v>37</v>
      </c>
      <c r="F68">
        <v>14</v>
      </c>
      <c r="G68">
        <v>2</v>
      </c>
      <c r="H68" s="1" t="s">
        <v>14</v>
      </c>
      <c r="I68" s="1" t="s">
        <v>15</v>
      </c>
      <c r="J68" s="12">
        <v>45676</v>
      </c>
      <c r="K68">
        <v>0</v>
      </c>
      <c r="L68" s="1">
        <f t="shared" si="4"/>
        <v>28</v>
      </c>
      <c r="M68" s="1" t="str">
        <f t="shared" si="5"/>
        <v/>
      </c>
      <c r="N68" s="2">
        <f t="shared" si="6"/>
        <v>45658</v>
      </c>
      <c r="O68" t="str">
        <f t="shared" si="7"/>
        <v>mačka</v>
      </c>
    </row>
    <row r="69" spans="1:15" hidden="1" x14ac:dyDescent="0.25">
      <c r="A69">
        <v>7589</v>
      </c>
      <c r="B69" s="11">
        <v>4021234567894</v>
      </c>
      <c r="C69" s="1" t="s">
        <v>79</v>
      </c>
      <c r="D69" s="1" t="s">
        <v>36</v>
      </c>
      <c r="E69" s="1" t="s">
        <v>69</v>
      </c>
      <c r="F69">
        <v>8</v>
      </c>
      <c r="G69">
        <v>1</v>
      </c>
      <c r="H69" s="1" t="s">
        <v>14</v>
      </c>
      <c r="I69" s="1" t="s">
        <v>15</v>
      </c>
      <c r="J69" s="12">
        <v>45676</v>
      </c>
      <c r="K69">
        <v>0</v>
      </c>
      <c r="L69" s="1">
        <f t="shared" si="4"/>
        <v>8</v>
      </c>
      <c r="M69" s="1" t="str">
        <f t="shared" si="5"/>
        <v/>
      </c>
      <c r="N69" s="2">
        <f t="shared" si="6"/>
        <v>45658</v>
      </c>
      <c r="O69" t="str">
        <f t="shared" si="7"/>
        <v>mačka</v>
      </c>
    </row>
    <row r="70" spans="1:15" x14ac:dyDescent="0.25">
      <c r="A70">
        <v>7590</v>
      </c>
      <c r="B70" s="11">
        <v>4061011223346</v>
      </c>
      <c r="C70" s="1" t="s">
        <v>25</v>
      </c>
      <c r="D70" s="1" t="s">
        <v>26</v>
      </c>
      <c r="E70" s="1" t="s">
        <v>27</v>
      </c>
      <c r="F70">
        <v>19.600000000000001</v>
      </c>
      <c r="G70">
        <v>1</v>
      </c>
      <c r="H70" s="1" t="s">
        <v>18</v>
      </c>
      <c r="I70" s="1" t="s">
        <v>80</v>
      </c>
      <c r="J70" s="12">
        <v>45677</v>
      </c>
      <c r="K70">
        <v>0</v>
      </c>
      <c r="L70" s="1">
        <f t="shared" si="4"/>
        <v>19.600000000000001</v>
      </c>
      <c r="M70" s="1">
        <f t="shared" si="5"/>
        <v>4</v>
      </c>
      <c r="N70" s="2">
        <f t="shared" si="6"/>
        <v>45658</v>
      </c>
      <c r="O70" t="str">
        <f t="shared" si="7"/>
        <v>pes</v>
      </c>
    </row>
    <row r="71" spans="1:15" x14ac:dyDescent="0.25">
      <c r="A71">
        <v>7591</v>
      </c>
      <c r="B71" s="11">
        <v>4028899001126</v>
      </c>
      <c r="C71" s="1" t="s">
        <v>16</v>
      </c>
      <c r="D71" s="1" t="s">
        <v>12</v>
      </c>
      <c r="E71" s="1" t="s">
        <v>17</v>
      </c>
      <c r="F71">
        <v>2.8</v>
      </c>
      <c r="G71">
        <v>5</v>
      </c>
      <c r="H71" s="1" t="s">
        <v>14</v>
      </c>
      <c r="I71" s="1" t="s">
        <v>15</v>
      </c>
      <c r="J71" s="12">
        <v>45677</v>
      </c>
      <c r="K71">
        <v>0</v>
      </c>
      <c r="L71" s="1">
        <f t="shared" si="4"/>
        <v>14</v>
      </c>
      <c r="M71" s="1" t="str">
        <f t="shared" si="5"/>
        <v/>
      </c>
      <c r="N71" s="2">
        <f t="shared" si="6"/>
        <v>45658</v>
      </c>
      <c r="O71" t="str">
        <f t="shared" si="7"/>
        <v>pes</v>
      </c>
    </row>
    <row r="72" spans="1:15" x14ac:dyDescent="0.25">
      <c r="A72">
        <v>7592</v>
      </c>
      <c r="B72" s="11">
        <v>4013456789017</v>
      </c>
      <c r="C72" s="1" t="s">
        <v>11</v>
      </c>
      <c r="D72" s="1" t="s">
        <v>12</v>
      </c>
      <c r="E72" s="1" t="s">
        <v>13</v>
      </c>
      <c r="F72">
        <v>6</v>
      </c>
      <c r="G72">
        <v>1</v>
      </c>
      <c r="H72" s="1" t="s">
        <v>14</v>
      </c>
      <c r="I72" s="1" t="s">
        <v>15</v>
      </c>
      <c r="J72" s="12">
        <v>45678</v>
      </c>
      <c r="K72">
        <v>0</v>
      </c>
      <c r="L72" s="1">
        <f t="shared" si="4"/>
        <v>6</v>
      </c>
      <c r="M72" s="1" t="str">
        <f t="shared" si="5"/>
        <v/>
      </c>
      <c r="N72" s="2">
        <f t="shared" si="6"/>
        <v>45658</v>
      </c>
      <c r="O72" t="str">
        <f t="shared" si="7"/>
        <v>pes</v>
      </c>
    </row>
    <row r="73" spans="1:15" x14ac:dyDescent="0.25">
      <c r="A73">
        <v>7593</v>
      </c>
      <c r="B73" s="11">
        <v>4040123456795</v>
      </c>
      <c r="C73" s="1" t="s">
        <v>20</v>
      </c>
      <c r="D73" s="1" t="s">
        <v>21</v>
      </c>
      <c r="E73" s="1" t="s">
        <v>22</v>
      </c>
      <c r="F73">
        <v>8.8000000000000007</v>
      </c>
      <c r="G73">
        <v>1</v>
      </c>
      <c r="H73" s="1" t="s">
        <v>18</v>
      </c>
      <c r="I73" s="1" t="s">
        <v>81</v>
      </c>
      <c r="J73" s="12">
        <v>45678</v>
      </c>
      <c r="K73">
        <v>0</v>
      </c>
      <c r="L73" s="1">
        <f t="shared" si="4"/>
        <v>8.8000000000000007</v>
      </c>
      <c r="M73" s="1">
        <f t="shared" si="5"/>
        <v>4</v>
      </c>
      <c r="N73" s="2">
        <f t="shared" si="6"/>
        <v>45658</v>
      </c>
      <c r="O73" t="str">
        <f t="shared" si="7"/>
        <v>pes</v>
      </c>
    </row>
    <row r="74" spans="1:15" hidden="1" x14ac:dyDescent="0.25">
      <c r="A74">
        <v>7594</v>
      </c>
      <c r="B74" s="11">
        <v>4010123456783</v>
      </c>
      <c r="C74" s="1" t="s">
        <v>35</v>
      </c>
      <c r="D74" s="1" t="s">
        <v>36</v>
      </c>
      <c r="E74" s="1" t="s">
        <v>37</v>
      </c>
      <c r="F74">
        <v>14</v>
      </c>
      <c r="G74">
        <v>1</v>
      </c>
      <c r="H74" s="1" t="s">
        <v>14</v>
      </c>
      <c r="I74" s="1" t="s">
        <v>15</v>
      </c>
      <c r="J74" s="12">
        <v>45678</v>
      </c>
      <c r="K74">
        <v>0</v>
      </c>
      <c r="L74" s="1">
        <f t="shared" si="4"/>
        <v>14</v>
      </c>
      <c r="M74" s="1" t="str">
        <f t="shared" si="5"/>
        <v/>
      </c>
      <c r="N74" s="2">
        <f t="shared" si="6"/>
        <v>45658</v>
      </c>
      <c r="O74" t="str">
        <f t="shared" si="7"/>
        <v>mačka</v>
      </c>
    </row>
    <row r="75" spans="1:15" x14ac:dyDescent="0.25">
      <c r="A75">
        <v>7595</v>
      </c>
      <c r="B75" s="11">
        <v>4028899001126</v>
      </c>
      <c r="C75" s="1" t="s">
        <v>16</v>
      </c>
      <c r="D75" s="1" t="s">
        <v>12</v>
      </c>
      <c r="E75" s="1" t="s">
        <v>17</v>
      </c>
      <c r="F75">
        <v>2.8</v>
      </c>
      <c r="G75">
        <v>3</v>
      </c>
      <c r="H75" s="1" t="s">
        <v>14</v>
      </c>
      <c r="I75" s="1" t="s">
        <v>15</v>
      </c>
      <c r="J75" s="12">
        <v>45679</v>
      </c>
      <c r="K75">
        <v>0</v>
      </c>
      <c r="L75" s="1">
        <f t="shared" si="4"/>
        <v>8.3999999999999986</v>
      </c>
      <c r="M75" s="1" t="str">
        <f t="shared" si="5"/>
        <v/>
      </c>
      <c r="N75" s="2">
        <f t="shared" si="6"/>
        <v>45658</v>
      </c>
      <c r="O75" t="str">
        <f t="shared" si="7"/>
        <v>pes</v>
      </c>
    </row>
    <row r="76" spans="1:15" hidden="1" x14ac:dyDescent="0.25">
      <c r="A76">
        <v>7596</v>
      </c>
      <c r="B76" s="11">
        <v>4067890123456</v>
      </c>
      <c r="C76" s="1" t="s">
        <v>68</v>
      </c>
      <c r="D76" s="1" t="s">
        <v>29</v>
      </c>
      <c r="E76" s="1" t="s">
        <v>69</v>
      </c>
      <c r="F76">
        <v>36</v>
      </c>
      <c r="G76">
        <v>1</v>
      </c>
      <c r="H76" s="1" t="s">
        <v>14</v>
      </c>
      <c r="I76" s="1" t="s">
        <v>15</v>
      </c>
      <c r="J76" s="12">
        <v>45679</v>
      </c>
      <c r="K76">
        <v>0</v>
      </c>
      <c r="L76" s="1">
        <f t="shared" si="4"/>
        <v>36</v>
      </c>
      <c r="M76" s="1" t="str">
        <f t="shared" si="5"/>
        <v/>
      </c>
      <c r="N76" s="2">
        <f t="shared" si="6"/>
        <v>45658</v>
      </c>
      <c r="O76" t="str">
        <f t="shared" si="7"/>
        <v>mačka</v>
      </c>
    </row>
    <row r="77" spans="1:15" x14ac:dyDescent="0.25">
      <c r="A77">
        <v>7597</v>
      </c>
      <c r="B77" s="11">
        <v>4017890123450</v>
      </c>
      <c r="C77" s="1" t="s">
        <v>65</v>
      </c>
      <c r="D77" s="1" t="s">
        <v>39</v>
      </c>
      <c r="E77" s="1" t="s">
        <v>22</v>
      </c>
      <c r="F77">
        <v>7.6</v>
      </c>
      <c r="G77">
        <v>1</v>
      </c>
      <c r="H77" s="1" t="s">
        <v>14</v>
      </c>
      <c r="I77" s="1" t="s">
        <v>15</v>
      </c>
      <c r="J77" s="12">
        <v>45679</v>
      </c>
      <c r="K77">
        <v>0</v>
      </c>
      <c r="L77" s="1">
        <f t="shared" si="4"/>
        <v>7.6</v>
      </c>
      <c r="M77" s="1" t="str">
        <f t="shared" si="5"/>
        <v/>
      </c>
      <c r="N77" s="2">
        <f t="shared" si="6"/>
        <v>45658</v>
      </c>
      <c r="O77" t="str">
        <f t="shared" si="7"/>
        <v>pes</v>
      </c>
    </row>
    <row r="78" spans="1:15" x14ac:dyDescent="0.25">
      <c r="A78">
        <v>7598</v>
      </c>
      <c r="B78" s="11">
        <v>4013456789017</v>
      </c>
      <c r="C78" s="1" t="s">
        <v>11</v>
      </c>
      <c r="D78" s="1" t="s">
        <v>12</v>
      </c>
      <c r="E78" s="1" t="s">
        <v>13</v>
      </c>
      <c r="F78">
        <v>6</v>
      </c>
      <c r="G78">
        <v>2</v>
      </c>
      <c r="H78" s="1" t="s">
        <v>14</v>
      </c>
      <c r="I78" s="1" t="s">
        <v>15</v>
      </c>
      <c r="J78" s="12">
        <v>45680</v>
      </c>
      <c r="K78">
        <v>0</v>
      </c>
      <c r="L78" s="1">
        <f t="shared" si="4"/>
        <v>12</v>
      </c>
      <c r="M78" s="1" t="str">
        <f t="shared" si="5"/>
        <v/>
      </c>
      <c r="N78" s="2">
        <f t="shared" si="6"/>
        <v>45658</v>
      </c>
      <c r="O78" t="str">
        <f t="shared" si="7"/>
        <v>pes</v>
      </c>
    </row>
    <row r="79" spans="1:15" hidden="1" x14ac:dyDescent="0.25">
      <c r="A79">
        <v>7599</v>
      </c>
      <c r="B79" s="11">
        <v>4056789012345</v>
      </c>
      <c r="C79" s="1" t="s">
        <v>47</v>
      </c>
      <c r="D79" s="1" t="s">
        <v>29</v>
      </c>
      <c r="E79" s="1" t="s">
        <v>37</v>
      </c>
      <c r="F79">
        <v>2.4</v>
      </c>
      <c r="G79">
        <v>2</v>
      </c>
      <c r="H79" s="1" t="s">
        <v>48</v>
      </c>
      <c r="I79" s="1" t="s">
        <v>82</v>
      </c>
      <c r="J79" s="12">
        <v>45680</v>
      </c>
      <c r="K79">
        <v>0</v>
      </c>
      <c r="L79" s="1">
        <f t="shared" si="4"/>
        <v>4.8</v>
      </c>
      <c r="M79" s="1">
        <f t="shared" si="5"/>
        <v>2</v>
      </c>
      <c r="N79" s="2">
        <f t="shared" si="6"/>
        <v>45658</v>
      </c>
      <c r="O79" t="str">
        <f t="shared" si="7"/>
        <v>mačka</v>
      </c>
    </row>
    <row r="80" spans="1:15" x14ac:dyDescent="0.25">
      <c r="A80">
        <v>7600</v>
      </c>
      <c r="B80" s="11">
        <v>4061011223346</v>
      </c>
      <c r="C80" s="1" t="s">
        <v>25</v>
      </c>
      <c r="D80" s="1" t="s">
        <v>26</v>
      </c>
      <c r="E80" s="1" t="s">
        <v>27</v>
      </c>
      <c r="F80">
        <v>19.600000000000001</v>
      </c>
      <c r="G80">
        <v>1</v>
      </c>
      <c r="H80" s="1" t="s">
        <v>23</v>
      </c>
      <c r="I80" s="1" t="s">
        <v>83</v>
      </c>
      <c r="J80" s="12">
        <v>45681</v>
      </c>
      <c r="K80">
        <v>0</v>
      </c>
      <c r="L80" s="1">
        <f t="shared" si="4"/>
        <v>19.600000000000001</v>
      </c>
      <c r="M80" s="1">
        <f t="shared" si="5"/>
        <v>5</v>
      </c>
      <c r="N80" s="2">
        <f t="shared" si="6"/>
        <v>45658</v>
      </c>
      <c r="O80" t="str">
        <f t="shared" si="7"/>
        <v>pes</v>
      </c>
    </row>
    <row r="81" spans="1:15" x14ac:dyDescent="0.25">
      <c r="A81">
        <v>7601</v>
      </c>
      <c r="B81" s="11">
        <v>4028899001126</v>
      </c>
      <c r="C81" s="1" t="s">
        <v>16</v>
      </c>
      <c r="D81" s="1" t="s">
        <v>12</v>
      </c>
      <c r="E81" s="1" t="s">
        <v>17</v>
      </c>
      <c r="F81">
        <v>2.8</v>
      </c>
      <c r="G81">
        <v>3</v>
      </c>
      <c r="H81" s="1" t="s">
        <v>14</v>
      </c>
      <c r="I81" s="1" t="s">
        <v>15</v>
      </c>
      <c r="J81" s="12">
        <v>45681</v>
      </c>
      <c r="K81">
        <v>0</v>
      </c>
      <c r="L81" s="1">
        <f t="shared" si="4"/>
        <v>8.3999999999999986</v>
      </c>
      <c r="M81" s="1" t="str">
        <f t="shared" si="5"/>
        <v/>
      </c>
      <c r="N81" s="2">
        <f t="shared" si="6"/>
        <v>45658</v>
      </c>
      <c r="O81" t="str">
        <f t="shared" si="7"/>
        <v>pes</v>
      </c>
    </row>
    <row r="82" spans="1:15" x14ac:dyDescent="0.25">
      <c r="A82">
        <v>7602</v>
      </c>
      <c r="B82" s="11">
        <v>4013456789017</v>
      </c>
      <c r="C82" s="1" t="s">
        <v>11</v>
      </c>
      <c r="D82" s="1" t="s">
        <v>12</v>
      </c>
      <c r="E82" s="1" t="s">
        <v>13</v>
      </c>
      <c r="F82">
        <v>6</v>
      </c>
      <c r="G82">
        <v>1</v>
      </c>
      <c r="H82" s="1" t="s">
        <v>33</v>
      </c>
      <c r="I82" s="1" t="s">
        <v>84</v>
      </c>
      <c r="J82" s="12">
        <v>45682</v>
      </c>
      <c r="K82">
        <v>0</v>
      </c>
      <c r="L82" s="1">
        <f t="shared" si="4"/>
        <v>6</v>
      </c>
      <c r="M82" s="1">
        <f t="shared" si="5"/>
        <v>3</v>
      </c>
      <c r="N82" s="2">
        <f t="shared" si="6"/>
        <v>45658</v>
      </c>
      <c r="O82" t="str">
        <f t="shared" si="7"/>
        <v>pes</v>
      </c>
    </row>
    <row r="83" spans="1:15" x14ac:dyDescent="0.25">
      <c r="A83">
        <v>7603</v>
      </c>
      <c r="B83" s="11">
        <v>4061011223346</v>
      </c>
      <c r="C83" s="1" t="s">
        <v>25</v>
      </c>
      <c r="D83" s="1" t="s">
        <v>26</v>
      </c>
      <c r="E83" s="1" t="s">
        <v>27</v>
      </c>
      <c r="F83">
        <v>19.600000000000001</v>
      </c>
      <c r="G83">
        <v>1</v>
      </c>
      <c r="H83" s="1" t="s">
        <v>14</v>
      </c>
      <c r="I83" s="1" t="s">
        <v>15</v>
      </c>
      <c r="J83" s="12">
        <v>45682</v>
      </c>
      <c r="K83">
        <v>0</v>
      </c>
      <c r="L83" s="1">
        <f t="shared" si="4"/>
        <v>19.600000000000001</v>
      </c>
      <c r="M83" s="1" t="str">
        <f t="shared" si="5"/>
        <v/>
      </c>
      <c r="N83" s="2">
        <f t="shared" si="6"/>
        <v>45658</v>
      </c>
      <c r="O83" t="str">
        <f t="shared" si="7"/>
        <v>pes</v>
      </c>
    </row>
    <row r="84" spans="1:15" hidden="1" x14ac:dyDescent="0.25">
      <c r="A84">
        <v>7604</v>
      </c>
      <c r="B84" s="11">
        <v>4056789012345</v>
      </c>
      <c r="C84" s="1" t="s">
        <v>47</v>
      </c>
      <c r="D84" s="1" t="s">
        <v>29</v>
      </c>
      <c r="E84" s="1" t="s">
        <v>37</v>
      </c>
      <c r="F84">
        <v>2.4</v>
      </c>
      <c r="G84">
        <v>3</v>
      </c>
      <c r="H84" s="1" t="s">
        <v>14</v>
      </c>
      <c r="I84" s="1" t="s">
        <v>15</v>
      </c>
      <c r="J84" s="12">
        <v>45682</v>
      </c>
      <c r="K84">
        <v>0</v>
      </c>
      <c r="L84" s="1">
        <f t="shared" si="4"/>
        <v>7.1999999999999993</v>
      </c>
      <c r="M84" s="1" t="str">
        <f t="shared" si="5"/>
        <v/>
      </c>
      <c r="N84" s="2">
        <f t="shared" si="6"/>
        <v>45658</v>
      </c>
      <c r="O84" t="str">
        <f t="shared" si="7"/>
        <v>mačka</v>
      </c>
    </row>
    <row r="85" spans="1:15" x14ac:dyDescent="0.25">
      <c r="A85">
        <v>7605</v>
      </c>
      <c r="B85" s="11">
        <v>4028899001126</v>
      </c>
      <c r="C85" s="1" t="s">
        <v>16</v>
      </c>
      <c r="D85" s="1" t="s">
        <v>12</v>
      </c>
      <c r="E85" s="1" t="s">
        <v>17</v>
      </c>
      <c r="F85">
        <v>2.8</v>
      </c>
      <c r="G85">
        <v>4</v>
      </c>
      <c r="H85" s="1" t="s">
        <v>14</v>
      </c>
      <c r="I85" s="1" t="s">
        <v>15</v>
      </c>
      <c r="J85" s="12">
        <v>45682</v>
      </c>
      <c r="K85">
        <v>0</v>
      </c>
      <c r="L85" s="1">
        <f t="shared" si="4"/>
        <v>11.2</v>
      </c>
      <c r="M85" s="1" t="str">
        <f t="shared" si="5"/>
        <v/>
      </c>
      <c r="N85" s="2">
        <f t="shared" si="6"/>
        <v>45658</v>
      </c>
      <c r="O85" t="str">
        <f t="shared" si="7"/>
        <v>pes</v>
      </c>
    </row>
    <row r="86" spans="1:15" x14ac:dyDescent="0.25">
      <c r="A86">
        <v>7606</v>
      </c>
      <c r="B86" s="11">
        <v>4013456789017</v>
      </c>
      <c r="C86" s="1" t="s">
        <v>11</v>
      </c>
      <c r="D86" s="1" t="s">
        <v>12</v>
      </c>
      <c r="E86" s="1" t="s">
        <v>13</v>
      </c>
      <c r="F86">
        <v>6</v>
      </c>
      <c r="G86">
        <v>1</v>
      </c>
      <c r="H86" s="1" t="s">
        <v>14</v>
      </c>
      <c r="I86" s="1" t="s">
        <v>15</v>
      </c>
      <c r="J86" s="12">
        <v>45683</v>
      </c>
      <c r="K86">
        <v>0</v>
      </c>
      <c r="L86" s="1">
        <f t="shared" si="4"/>
        <v>6</v>
      </c>
      <c r="M86" s="1" t="str">
        <f t="shared" si="5"/>
        <v/>
      </c>
      <c r="N86" s="2">
        <f t="shared" si="6"/>
        <v>45658</v>
      </c>
      <c r="O86" t="str">
        <f t="shared" si="7"/>
        <v>pes</v>
      </c>
    </row>
    <row r="87" spans="1:15" x14ac:dyDescent="0.25">
      <c r="A87">
        <v>7607</v>
      </c>
      <c r="B87" s="11">
        <v>4028899001126</v>
      </c>
      <c r="C87" s="1" t="s">
        <v>16</v>
      </c>
      <c r="D87" s="1" t="s">
        <v>12</v>
      </c>
      <c r="E87" s="1" t="s">
        <v>17</v>
      </c>
      <c r="F87">
        <v>2.8</v>
      </c>
      <c r="G87">
        <v>5</v>
      </c>
      <c r="H87" s="1" t="s">
        <v>18</v>
      </c>
      <c r="I87" s="1" t="s">
        <v>85</v>
      </c>
      <c r="J87" s="12">
        <v>45683</v>
      </c>
      <c r="K87">
        <v>0</v>
      </c>
      <c r="L87" s="1">
        <f t="shared" si="4"/>
        <v>14</v>
      </c>
      <c r="M87" s="1">
        <f t="shared" si="5"/>
        <v>4</v>
      </c>
      <c r="N87" s="2">
        <f t="shared" si="6"/>
        <v>45658</v>
      </c>
      <c r="O87" t="str">
        <f t="shared" si="7"/>
        <v>pes</v>
      </c>
    </row>
    <row r="88" spans="1:15" hidden="1" x14ac:dyDescent="0.25">
      <c r="A88">
        <v>7608</v>
      </c>
      <c r="B88" s="11">
        <v>4009012345672</v>
      </c>
      <c r="C88" s="1" t="s">
        <v>45</v>
      </c>
      <c r="D88" s="1" t="s">
        <v>36</v>
      </c>
      <c r="E88" s="1" t="s">
        <v>32</v>
      </c>
      <c r="F88">
        <v>11.2</v>
      </c>
      <c r="G88">
        <v>1</v>
      </c>
      <c r="H88" s="1" t="s">
        <v>14</v>
      </c>
      <c r="I88" s="1" t="s">
        <v>15</v>
      </c>
      <c r="J88" s="12">
        <v>45683</v>
      </c>
      <c r="K88">
        <v>0</v>
      </c>
      <c r="L88" s="1">
        <f t="shared" si="4"/>
        <v>11.2</v>
      </c>
      <c r="M88" s="1" t="str">
        <f t="shared" si="5"/>
        <v/>
      </c>
      <c r="N88" s="2">
        <f t="shared" si="6"/>
        <v>45658</v>
      </c>
      <c r="O88" t="str">
        <f t="shared" si="7"/>
        <v>mačka</v>
      </c>
    </row>
    <row r="89" spans="1:15" hidden="1" x14ac:dyDescent="0.25">
      <c r="A89">
        <v>7609</v>
      </c>
      <c r="B89" s="11">
        <v>4021234567894</v>
      </c>
      <c r="C89" s="1" t="s">
        <v>79</v>
      </c>
      <c r="D89" s="1" t="s">
        <v>36</v>
      </c>
      <c r="E89" s="1" t="s">
        <v>69</v>
      </c>
      <c r="F89">
        <v>8</v>
      </c>
      <c r="G89">
        <v>1</v>
      </c>
      <c r="H89" s="1" t="s">
        <v>14</v>
      </c>
      <c r="I89" s="1" t="s">
        <v>15</v>
      </c>
      <c r="J89" s="12">
        <v>45683</v>
      </c>
      <c r="K89">
        <v>0</v>
      </c>
      <c r="L89" s="1">
        <f t="shared" si="4"/>
        <v>8</v>
      </c>
      <c r="M89" s="1" t="str">
        <f t="shared" si="5"/>
        <v/>
      </c>
      <c r="N89" s="2">
        <f t="shared" si="6"/>
        <v>45658</v>
      </c>
      <c r="O89" t="str">
        <f t="shared" si="7"/>
        <v>mačka</v>
      </c>
    </row>
    <row r="90" spans="1:15" x14ac:dyDescent="0.25">
      <c r="A90">
        <v>7610</v>
      </c>
      <c r="B90" s="11">
        <v>4063456789014</v>
      </c>
      <c r="C90" s="1" t="s">
        <v>60</v>
      </c>
      <c r="D90" s="1" t="s">
        <v>12</v>
      </c>
      <c r="E90" s="1" t="s">
        <v>61</v>
      </c>
      <c r="F90">
        <v>36</v>
      </c>
      <c r="G90">
        <v>1</v>
      </c>
      <c r="H90" s="1" t="s">
        <v>14</v>
      </c>
      <c r="I90" s="1" t="s">
        <v>15</v>
      </c>
      <c r="J90" s="12">
        <v>45684</v>
      </c>
      <c r="K90">
        <v>0</v>
      </c>
      <c r="L90" s="1">
        <f t="shared" si="4"/>
        <v>36</v>
      </c>
      <c r="M90" s="1" t="str">
        <f t="shared" si="5"/>
        <v/>
      </c>
      <c r="N90" s="2">
        <f t="shared" si="6"/>
        <v>45658</v>
      </c>
      <c r="O90" t="str">
        <f t="shared" si="7"/>
        <v>pes</v>
      </c>
    </row>
    <row r="91" spans="1:15" hidden="1" x14ac:dyDescent="0.25">
      <c r="A91">
        <v>7611</v>
      </c>
      <c r="B91" s="11">
        <v>4026677889902</v>
      </c>
      <c r="C91" s="1" t="s">
        <v>52</v>
      </c>
      <c r="D91" s="1" t="s">
        <v>53</v>
      </c>
      <c r="E91" s="1" t="s">
        <v>54</v>
      </c>
      <c r="F91">
        <v>7.6</v>
      </c>
      <c r="G91">
        <v>1</v>
      </c>
      <c r="H91" s="1" t="s">
        <v>14</v>
      </c>
      <c r="I91" s="1" t="s">
        <v>15</v>
      </c>
      <c r="J91" s="12">
        <v>45684</v>
      </c>
      <c r="K91">
        <v>0</v>
      </c>
      <c r="L91" s="1">
        <f t="shared" si="4"/>
        <v>7.6</v>
      </c>
      <c r="M91" s="1" t="str">
        <f t="shared" si="5"/>
        <v/>
      </c>
      <c r="N91" s="2">
        <f t="shared" si="6"/>
        <v>45658</v>
      </c>
      <c r="O91" t="str">
        <f t="shared" si="7"/>
        <v>iné</v>
      </c>
    </row>
    <row r="92" spans="1:15" hidden="1" x14ac:dyDescent="0.25">
      <c r="A92">
        <v>7612</v>
      </c>
      <c r="B92" s="11">
        <v>4050123456794</v>
      </c>
      <c r="C92" s="1" t="s">
        <v>41</v>
      </c>
      <c r="D92" s="1" t="s">
        <v>36</v>
      </c>
      <c r="E92" s="1" t="s">
        <v>42</v>
      </c>
      <c r="F92">
        <v>7.2</v>
      </c>
      <c r="G92">
        <v>1</v>
      </c>
      <c r="H92" s="1" t="s">
        <v>23</v>
      </c>
      <c r="I92" s="1" t="s">
        <v>86</v>
      </c>
      <c r="J92" s="12">
        <v>45684</v>
      </c>
      <c r="K92">
        <v>0</v>
      </c>
      <c r="L92" s="1">
        <f t="shared" si="4"/>
        <v>7.2</v>
      </c>
      <c r="M92" s="1">
        <f t="shared" si="5"/>
        <v>5</v>
      </c>
      <c r="N92" s="2">
        <f t="shared" si="6"/>
        <v>45658</v>
      </c>
      <c r="O92" t="str">
        <f t="shared" si="7"/>
        <v>mačka</v>
      </c>
    </row>
    <row r="93" spans="1:15" x14ac:dyDescent="0.25">
      <c r="A93">
        <v>7613</v>
      </c>
      <c r="B93" s="11">
        <v>4061011223346</v>
      </c>
      <c r="C93" s="1" t="s">
        <v>25</v>
      </c>
      <c r="D93" s="1" t="s">
        <v>26</v>
      </c>
      <c r="E93" s="1" t="s">
        <v>27</v>
      </c>
      <c r="F93">
        <v>19.600000000000001</v>
      </c>
      <c r="G93">
        <v>1</v>
      </c>
      <c r="H93" s="1" t="s">
        <v>14</v>
      </c>
      <c r="I93" s="1" t="s">
        <v>15</v>
      </c>
      <c r="J93" s="12">
        <v>45684</v>
      </c>
      <c r="K93">
        <v>0</v>
      </c>
      <c r="L93" s="1">
        <f t="shared" si="4"/>
        <v>19.600000000000001</v>
      </c>
      <c r="M93" s="1" t="str">
        <f t="shared" si="5"/>
        <v/>
      </c>
      <c r="N93" s="2">
        <f t="shared" si="6"/>
        <v>45658</v>
      </c>
      <c r="O93" t="str">
        <f t="shared" si="7"/>
        <v>pes</v>
      </c>
    </row>
    <row r="94" spans="1:15" x14ac:dyDescent="0.25">
      <c r="A94">
        <v>7614</v>
      </c>
      <c r="B94" s="11">
        <v>4028899001126</v>
      </c>
      <c r="C94" s="1" t="s">
        <v>16</v>
      </c>
      <c r="D94" s="1" t="s">
        <v>12</v>
      </c>
      <c r="E94" s="1" t="s">
        <v>17</v>
      </c>
      <c r="F94">
        <v>2.8</v>
      </c>
      <c r="G94">
        <v>2</v>
      </c>
      <c r="H94" s="1" t="s">
        <v>14</v>
      </c>
      <c r="I94" s="1" t="s">
        <v>15</v>
      </c>
      <c r="J94" s="12">
        <v>45685</v>
      </c>
      <c r="K94">
        <v>0</v>
      </c>
      <c r="L94" s="1">
        <f t="shared" si="4"/>
        <v>5.6</v>
      </c>
      <c r="M94" s="1" t="str">
        <f t="shared" si="5"/>
        <v/>
      </c>
      <c r="N94" s="2">
        <f t="shared" si="6"/>
        <v>45658</v>
      </c>
      <c r="O94" t="str">
        <f t="shared" si="7"/>
        <v>pes</v>
      </c>
    </row>
    <row r="95" spans="1:15" x14ac:dyDescent="0.25">
      <c r="A95">
        <v>7615</v>
      </c>
      <c r="B95" s="11">
        <v>4013456789017</v>
      </c>
      <c r="C95" s="1" t="s">
        <v>11</v>
      </c>
      <c r="D95" s="1" t="s">
        <v>12</v>
      </c>
      <c r="E95" s="1" t="s">
        <v>13</v>
      </c>
      <c r="F95">
        <v>6</v>
      </c>
      <c r="G95">
        <v>2</v>
      </c>
      <c r="H95" s="1" t="s">
        <v>18</v>
      </c>
      <c r="I95" s="1" t="s">
        <v>87</v>
      </c>
      <c r="J95" s="12">
        <v>45685</v>
      </c>
      <c r="K95">
        <v>0</v>
      </c>
      <c r="L95" s="1">
        <f t="shared" si="4"/>
        <v>12</v>
      </c>
      <c r="M95" s="1">
        <f t="shared" si="5"/>
        <v>4</v>
      </c>
      <c r="N95" s="2">
        <f t="shared" si="6"/>
        <v>45658</v>
      </c>
      <c r="O95" t="str">
        <f t="shared" si="7"/>
        <v>pes</v>
      </c>
    </row>
    <row r="96" spans="1:15" hidden="1" x14ac:dyDescent="0.25">
      <c r="A96">
        <v>7616</v>
      </c>
      <c r="B96" s="11">
        <v>4056789012345</v>
      </c>
      <c r="C96" s="1" t="s">
        <v>47</v>
      </c>
      <c r="D96" s="1" t="s">
        <v>29</v>
      </c>
      <c r="E96" s="1" t="s">
        <v>37</v>
      </c>
      <c r="F96">
        <v>2.4</v>
      </c>
      <c r="G96">
        <v>3</v>
      </c>
      <c r="H96" s="1" t="s">
        <v>14</v>
      </c>
      <c r="I96" s="1" t="s">
        <v>15</v>
      </c>
      <c r="J96" s="12">
        <v>45685</v>
      </c>
      <c r="K96">
        <v>0</v>
      </c>
      <c r="L96" s="1">
        <f t="shared" si="4"/>
        <v>7.1999999999999993</v>
      </c>
      <c r="M96" s="1" t="str">
        <f t="shared" si="5"/>
        <v/>
      </c>
      <c r="N96" s="2">
        <f t="shared" si="6"/>
        <v>45658</v>
      </c>
      <c r="O96" t="str">
        <f t="shared" si="7"/>
        <v>mačka</v>
      </c>
    </row>
    <row r="97" spans="1:15" x14ac:dyDescent="0.25">
      <c r="A97">
        <v>7617</v>
      </c>
      <c r="B97" s="11">
        <v>4063456789014</v>
      </c>
      <c r="C97" s="1" t="s">
        <v>60</v>
      </c>
      <c r="D97" s="1" t="s">
        <v>12</v>
      </c>
      <c r="E97" s="1" t="s">
        <v>61</v>
      </c>
      <c r="F97">
        <v>36</v>
      </c>
      <c r="G97">
        <v>1</v>
      </c>
      <c r="H97" s="1" t="s">
        <v>14</v>
      </c>
      <c r="I97" s="1" t="s">
        <v>15</v>
      </c>
      <c r="J97" s="12">
        <v>45686</v>
      </c>
      <c r="K97">
        <v>0</v>
      </c>
      <c r="L97" s="1">
        <f t="shared" si="4"/>
        <v>36</v>
      </c>
      <c r="M97" s="1" t="str">
        <f t="shared" si="5"/>
        <v/>
      </c>
      <c r="N97" s="2">
        <f t="shared" si="6"/>
        <v>45658</v>
      </c>
      <c r="O97" t="str">
        <f t="shared" si="7"/>
        <v>pes</v>
      </c>
    </row>
    <row r="98" spans="1:15" x14ac:dyDescent="0.25">
      <c r="A98">
        <v>7618</v>
      </c>
      <c r="B98" s="11">
        <v>4028899001126</v>
      </c>
      <c r="C98" s="1" t="s">
        <v>16</v>
      </c>
      <c r="D98" s="1" t="s">
        <v>12</v>
      </c>
      <c r="E98" s="1" t="s">
        <v>17</v>
      </c>
      <c r="F98">
        <v>2.8</v>
      </c>
      <c r="G98">
        <v>3</v>
      </c>
      <c r="H98" s="1" t="s">
        <v>14</v>
      </c>
      <c r="I98" s="1" t="s">
        <v>15</v>
      </c>
      <c r="J98" s="12">
        <v>45686</v>
      </c>
      <c r="K98">
        <v>0</v>
      </c>
      <c r="L98" s="1">
        <f t="shared" si="4"/>
        <v>8.3999999999999986</v>
      </c>
      <c r="M98" s="1" t="str">
        <f t="shared" si="5"/>
        <v/>
      </c>
      <c r="N98" s="2">
        <f t="shared" si="6"/>
        <v>45658</v>
      </c>
      <c r="O98" t="str">
        <f t="shared" si="7"/>
        <v>pes</v>
      </c>
    </row>
    <row r="99" spans="1:15" x14ac:dyDescent="0.25">
      <c r="A99">
        <v>7619</v>
      </c>
      <c r="B99" s="11">
        <v>4013456789017</v>
      </c>
      <c r="C99" s="1" t="s">
        <v>11</v>
      </c>
      <c r="D99" s="1" t="s">
        <v>12</v>
      </c>
      <c r="E99" s="1" t="s">
        <v>13</v>
      </c>
      <c r="F99">
        <v>6</v>
      </c>
      <c r="G99">
        <v>1</v>
      </c>
      <c r="H99" s="1" t="s">
        <v>23</v>
      </c>
      <c r="I99" s="1" t="s">
        <v>88</v>
      </c>
      <c r="J99" s="12">
        <v>45686</v>
      </c>
      <c r="K99">
        <v>0</v>
      </c>
      <c r="L99" s="1">
        <f t="shared" si="4"/>
        <v>6</v>
      </c>
      <c r="M99" s="1">
        <f t="shared" si="5"/>
        <v>5</v>
      </c>
      <c r="N99" s="2">
        <f t="shared" si="6"/>
        <v>45658</v>
      </c>
      <c r="O99" t="str">
        <f t="shared" si="7"/>
        <v>pes</v>
      </c>
    </row>
    <row r="100" spans="1:15" x14ac:dyDescent="0.25">
      <c r="A100">
        <v>7620</v>
      </c>
      <c r="B100" s="11">
        <v>4040123456795</v>
      </c>
      <c r="C100" s="1" t="s">
        <v>20</v>
      </c>
      <c r="D100" s="1" t="s">
        <v>21</v>
      </c>
      <c r="E100" s="1" t="s">
        <v>22</v>
      </c>
      <c r="F100">
        <v>8.8000000000000007</v>
      </c>
      <c r="G100">
        <v>1</v>
      </c>
      <c r="H100" s="1" t="s">
        <v>14</v>
      </c>
      <c r="I100" s="1" t="s">
        <v>15</v>
      </c>
      <c r="J100" s="12">
        <v>45686</v>
      </c>
      <c r="K100">
        <v>0</v>
      </c>
      <c r="L100" s="1">
        <f t="shared" si="4"/>
        <v>8.8000000000000007</v>
      </c>
      <c r="M100" s="1" t="str">
        <f t="shared" si="5"/>
        <v/>
      </c>
      <c r="N100" s="2">
        <f t="shared" si="6"/>
        <v>45658</v>
      </c>
      <c r="O100" t="str">
        <f t="shared" si="7"/>
        <v>pes</v>
      </c>
    </row>
    <row r="101" spans="1:15" hidden="1" x14ac:dyDescent="0.25">
      <c r="A101">
        <v>7621</v>
      </c>
      <c r="B101" s="11">
        <v>4010123456783</v>
      </c>
      <c r="C101" s="1" t="s">
        <v>35</v>
      </c>
      <c r="D101" s="1" t="s">
        <v>36</v>
      </c>
      <c r="E101" s="1" t="s">
        <v>37</v>
      </c>
      <c r="F101">
        <v>14</v>
      </c>
      <c r="G101">
        <v>1</v>
      </c>
      <c r="H101" s="1" t="s">
        <v>14</v>
      </c>
      <c r="I101" s="1" t="s">
        <v>15</v>
      </c>
      <c r="J101" s="12">
        <v>45686</v>
      </c>
      <c r="K101">
        <v>0</v>
      </c>
      <c r="L101" s="1">
        <f t="shared" si="4"/>
        <v>14</v>
      </c>
      <c r="M101" s="1" t="str">
        <f t="shared" si="5"/>
        <v/>
      </c>
      <c r="N101" s="2">
        <f t="shared" si="6"/>
        <v>45658</v>
      </c>
      <c r="O101" t="str">
        <f t="shared" si="7"/>
        <v>mačka</v>
      </c>
    </row>
    <row r="102" spans="1:15" x14ac:dyDescent="0.25">
      <c r="A102">
        <v>7622</v>
      </c>
      <c r="B102" s="11">
        <v>4028899001126</v>
      </c>
      <c r="C102" s="1" t="s">
        <v>16</v>
      </c>
      <c r="D102" s="1" t="s">
        <v>12</v>
      </c>
      <c r="E102" s="1" t="s">
        <v>17</v>
      </c>
      <c r="F102">
        <v>2.8</v>
      </c>
      <c r="G102">
        <v>4</v>
      </c>
      <c r="H102" s="1" t="s">
        <v>14</v>
      </c>
      <c r="I102" s="1" t="s">
        <v>15</v>
      </c>
      <c r="J102" s="12">
        <v>45687</v>
      </c>
      <c r="K102">
        <v>0</v>
      </c>
      <c r="L102" s="1">
        <f t="shared" si="4"/>
        <v>11.2</v>
      </c>
      <c r="M102" s="1" t="str">
        <f t="shared" si="5"/>
        <v/>
      </c>
      <c r="N102" s="2">
        <f t="shared" si="6"/>
        <v>45658</v>
      </c>
      <c r="O102" t="str">
        <f t="shared" si="7"/>
        <v>pes</v>
      </c>
    </row>
    <row r="103" spans="1:15" x14ac:dyDescent="0.25">
      <c r="A103">
        <v>7623</v>
      </c>
      <c r="B103" s="11">
        <v>4013456789017</v>
      </c>
      <c r="C103" s="1" t="s">
        <v>11</v>
      </c>
      <c r="D103" s="1" t="s">
        <v>12</v>
      </c>
      <c r="E103" s="1" t="s">
        <v>13</v>
      </c>
      <c r="F103">
        <v>6</v>
      </c>
      <c r="G103">
        <v>1</v>
      </c>
      <c r="H103" s="1" t="s">
        <v>14</v>
      </c>
      <c r="I103" s="1" t="s">
        <v>15</v>
      </c>
      <c r="J103" s="12">
        <v>45687</v>
      </c>
      <c r="K103">
        <v>0</v>
      </c>
      <c r="L103" s="1">
        <f t="shared" si="4"/>
        <v>6</v>
      </c>
      <c r="M103" s="1" t="str">
        <f t="shared" si="5"/>
        <v/>
      </c>
      <c r="N103" s="2">
        <f t="shared" si="6"/>
        <v>45658</v>
      </c>
      <c r="O103" t="str">
        <f t="shared" si="7"/>
        <v>pes</v>
      </c>
    </row>
    <row r="104" spans="1:15" x14ac:dyDescent="0.25">
      <c r="A104">
        <v>7624</v>
      </c>
      <c r="B104" s="11">
        <v>4061011223346</v>
      </c>
      <c r="C104" s="1" t="s">
        <v>25</v>
      </c>
      <c r="D104" s="1" t="s">
        <v>26</v>
      </c>
      <c r="E104" s="1" t="s">
        <v>27</v>
      </c>
      <c r="F104">
        <v>19.600000000000001</v>
      </c>
      <c r="G104">
        <v>1</v>
      </c>
      <c r="H104" s="1" t="s">
        <v>18</v>
      </c>
      <c r="I104" s="1" t="s">
        <v>89</v>
      </c>
      <c r="J104" s="12">
        <v>45687</v>
      </c>
      <c r="K104">
        <v>0</v>
      </c>
      <c r="L104" s="1">
        <f t="shared" si="4"/>
        <v>19.600000000000001</v>
      </c>
      <c r="M104" s="1">
        <f t="shared" si="5"/>
        <v>4</v>
      </c>
      <c r="N104" s="2">
        <f t="shared" si="6"/>
        <v>45658</v>
      </c>
      <c r="O104" t="str">
        <f t="shared" si="7"/>
        <v>pes</v>
      </c>
    </row>
    <row r="105" spans="1:15" hidden="1" x14ac:dyDescent="0.25">
      <c r="A105">
        <v>7625</v>
      </c>
      <c r="B105" s="11">
        <v>4023456789012</v>
      </c>
      <c r="C105" s="1" t="s">
        <v>55</v>
      </c>
      <c r="D105" s="1" t="s">
        <v>29</v>
      </c>
      <c r="E105" s="1" t="s">
        <v>32</v>
      </c>
      <c r="F105">
        <v>4</v>
      </c>
      <c r="G105">
        <v>2</v>
      </c>
      <c r="H105" s="1" t="s">
        <v>14</v>
      </c>
      <c r="I105" s="1" t="s">
        <v>15</v>
      </c>
      <c r="J105" s="12">
        <v>45687</v>
      </c>
      <c r="K105">
        <v>0</v>
      </c>
      <c r="L105" s="1">
        <f t="shared" si="4"/>
        <v>8</v>
      </c>
      <c r="M105" s="1" t="str">
        <f t="shared" si="5"/>
        <v/>
      </c>
      <c r="N105" s="2">
        <f t="shared" si="6"/>
        <v>45658</v>
      </c>
      <c r="O105" t="str">
        <f t="shared" si="7"/>
        <v>mačka</v>
      </c>
    </row>
    <row r="106" spans="1:15" x14ac:dyDescent="0.25">
      <c r="A106">
        <v>7626</v>
      </c>
      <c r="B106" s="11">
        <v>4028899001126</v>
      </c>
      <c r="C106" s="1" t="s">
        <v>16</v>
      </c>
      <c r="D106" s="1" t="s">
        <v>12</v>
      </c>
      <c r="E106" s="1" t="s">
        <v>17</v>
      </c>
      <c r="F106">
        <v>2.8</v>
      </c>
      <c r="G106">
        <v>5</v>
      </c>
      <c r="H106" s="1" t="s">
        <v>33</v>
      </c>
      <c r="I106" s="1" t="s">
        <v>90</v>
      </c>
      <c r="J106" s="12">
        <v>45687</v>
      </c>
      <c r="K106">
        <v>0</v>
      </c>
      <c r="L106" s="1">
        <f t="shared" si="4"/>
        <v>14</v>
      </c>
      <c r="M106" s="1">
        <f t="shared" si="5"/>
        <v>3</v>
      </c>
      <c r="N106" s="2">
        <f t="shared" si="6"/>
        <v>45658</v>
      </c>
      <c r="O106" t="str">
        <f t="shared" si="7"/>
        <v>pes</v>
      </c>
    </row>
    <row r="107" spans="1:15" x14ac:dyDescent="0.25">
      <c r="A107">
        <v>7627</v>
      </c>
      <c r="B107" s="11">
        <v>4013456789017</v>
      </c>
      <c r="C107" s="1" t="s">
        <v>11</v>
      </c>
      <c r="D107" s="1" t="s">
        <v>12</v>
      </c>
      <c r="E107" s="1" t="s">
        <v>13</v>
      </c>
      <c r="F107">
        <v>6</v>
      </c>
      <c r="G107">
        <v>1</v>
      </c>
      <c r="H107" s="1" t="s">
        <v>14</v>
      </c>
      <c r="I107" s="1" t="s">
        <v>15</v>
      </c>
      <c r="J107" s="12">
        <v>45687</v>
      </c>
      <c r="K107">
        <v>0</v>
      </c>
      <c r="L107" s="1">
        <f t="shared" si="4"/>
        <v>6</v>
      </c>
      <c r="M107" s="1" t="str">
        <f t="shared" si="5"/>
        <v/>
      </c>
      <c r="N107" s="2">
        <f t="shared" si="6"/>
        <v>45658</v>
      </c>
      <c r="O107" t="str">
        <f t="shared" si="7"/>
        <v>pes</v>
      </c>
    </row>
    <row r="108" spans="1:15" hidden="1" x14ac:dyDescent="0.25">
      <c r="A108">
        <v>7628</v>
      </c>
      <c r="B108" s="11">
        <v>4056789012345</v>
      </c>
      <c r="C108" s="1" t="s">
        <v>47</v>
      </c>
      <c r="D108" s="1" t="s">
        <v>29</v>
      </c>
      <c r="E108" s="1" t="s">
        <v>37</v>
      </c>
      <c r="F108">
        <v>2.4</v>
      </c>
      <c r="G108">
        <v>3</v>
      </c>
      <c r="H108" s="1" t="s">
        <v>48</v>
      </c>
      <c r="I108" s="1" t="s">
        <v>91</v>
      </c>
      <c r="J108" s="12">
        <v>45687</v>
      </c>
      <c r="K108">
        <v>0</v>
      </c>
      <c r="L108" s="1">
        <f t="shared" si="4"/>
        <v>7.1999999999999993</v>
      </c>
      <c r="M108" s="1">
        <f t="shared" si="5"/>
        <v>2</v>
      </c>
      <c r="N108" s="2">
        <f t="shared" si="6"/>
        <v>45658</v>
      </c>
      <c r="O108" t="str">
        <f t="shared" si="7"/>
        <v>mačka</v>
      </c>
    </row>
    <row r="109" spans="1:15" hidden="1" x14ac:dyDescent="0.25">
      <c r="A109">
        <v>7629</v>
      </c>
      <c r="B109" s="11">
        <v>4067890123456</v>
      </c>
      <c r="C109" s="1" t="s">
        <v>68</v>
      </c>
      <c r="D109" s="1" t="s">
        <v>29</v>
      </c>
      <c r="E109" s="1" t="s">
        <v>69</v>
      </c>
      <c r="F109">
        <v>36</v>
      </c>
      <c r="G109">
        <v>1</v>
      </c>
      <c r="H109" s="1" t="s">
        <v>14</v>
      </c>
      <c r="I109" s="1" t="s">
        <v>15</v>
      </c>
      <c r="J109" s="12">
        <v>45687</v>
      </c>
      <c r="K109">
        <v>0</v>
      </c>
      <c r="L109" s="1">
        <f t="shared" si="4"/>
        <v>36</v>
      </c>
      <c r="M109" s="1" t="str">
        <f t="shared" si="5"/>
        <v/>
      </c>
      <c r="N109" s="2">
        <f t="shared" si="6"/>
        <v>45658</v>
      </c>
      <c r="O109" t="str">
        <f t="shared" si="7"/>
        <v>mačka</v>
      </c>
    </row>
    <row r="110" spans="1:15" x14ac:dyDescent="0.25">
      <c r="A110">
        <v>7630</v>
      </c>
      <c r="B110" s="11">
        <v>4063456789014</v>
      </c>
      <c r="C110" s="1" t="s">
        <v>60</v>
      </c>
      <c r="D110" s="1" t="s">
        <v>12</v>
      </c>
      <c r="E110" s="1" t="s">
        <v>61</v>
      </c>
      <c r="F110">
        <v>36</v>
      </c>
      <c r="G110">
        <v>1</v>
      </c>
      <c r="H110" s="1" t="s">
        <v>14</v>
      </c>
      <c r="I110" s="1" t="s">
        <v>15</v>
      </c>
      <c r="J110" s="12">
        <v>45687</v>
      </c>
      <c r="K110">
        <v>0</v>
      </c>
      <c r="L110" s="1">
        <f t="shared" si="4"/>
        <v>36</v>
      </c>
      <c r="M110" s="1" t="str">
        <f t="shared" si="5"/>
        <v/>
      </c>
      <c r="N110" s="2">
        <f t="shared" si="6"/>
        <v>45658</v>
      </c>
      <c r="O110" t="str">
        <f t="shared" si="7"/>
        <v>pes</v>
      </c>
    </row>
    <row r="111" spans="1:15" x14ac:dyDescent="0.25">
      <c r="A111">
        <v>7631</v>
      </c>
      <c r="B111" s="11">
        <v>4028899001126</v>
      </c>
      <c r="C111" s="1" t="s">
        <v>16</v>
      </c>
      <c r="D111" s="1" t="s">
        <v>12</v>
      </c>
      <c r="E111" s="1" t="s">
        <v>17</v>
      </c>
      <c r="F111">
        <v>2.8</v>
      </c>
      <c r="G111">
        <v>4</v>
      </c>
      <c r="H111" s="1" t="s">
        <v>14</v>
      </c>
      <c r="I111" s="1" t="s">
        <v>15</v>
      </c>
      <c r="J111" s="12">
        <v>45688</v>
      </c>
      <c r="K111">
        <v>0</v>
      </c>
      <c r="L111" s="1">
        <f t="shared" si="4"/>
        <v>11.2</v>
      </c>
      <c r="M111" s="1" t="str">
        <f t="shared" si="5"/>
        <v/>
      </c>
      <c r="N111" s="2">
        <f t="shared" si="6"/>
        <v>45658</v>
      </c>
      <c r="O111" t="str">
        <f t="shared" si="7"/>
        <v>pes</v>
      </c>
    </row>
    <row r="112" spans="1:15" x14ac:dyDescent="0.25">
      <c r="A112">
        <v>7632</v>
      </c>
      <c r="B112" s="11">
        <v>4013456789017</v>
      </c>
      <c r="C112" s="1" t="s">
        <v>11</v>
      </c>
      <c r="D112" s="1" t="s">
        <v>12</v>
      </c>
      <c r="E112" s="1" t="s">
        <v>13</v>
      </c>
      <c r="F112">
        <v>6</v>
      </c>
      <c r="G112">
        <v>2</v>
      </c>
      <c r="H112" s="1" t="s">
        <v>18</v>
      </c>
      <c r="I112" s="1" t="s">
        <v>92</v>
      </c>
      <c r="J112" s="12">
        <v>45688</v>
      </c>
      <c r="K112">
        <v>0</v>
      </c>
      <c r="L112" s="1">
        <f t="shared" si="4"/>
        <v>12</v>
      </c>
      <c r="M112" s="1">
        <f t="shared" si="5"/>
        <v>4</v>
      </c>
      <c r="N112" s="2">
        <f t="shared" si="6"/>
        <v>45658</v>
      </c>
      <c r="O112" t="str">
        <f t="shared" si="7"/>
        <v>pes</v>
      </c>
    </row>
    <row r="113" spans="1:15" x14ac:dyDescent="0.25">
      <c r="A113">
        <v>7633</v>
      </c>
      <c r="B113" s="11">
        <v>4040123456795</v>
      </c>
      <c r="C113" s="1" t="s">
        <v>20</v>
      </c>
      <c r="D113" s="1" t="s">
        <v>21</v>
      </c>
      <c r="E113" s="1" t="s">
        <v>22</v>
      </c>
      <c r="F113">
        <v>8.8000000000000007</v>
      </c>
      <c r="G113">
        <v>1</v>
      </c>
      <c r="H113" s="1" t="s">
        <v>14</v>
      </c>
      <c r="I113" s="1" t="s">
        <v>15</v>
      </c>
      <c r="J113" s="12">
        <v>45688</v>
      </c>
      <c r="K113">
        <v>0</v>
      </c>
      <c r="L113" s="1">
        <f t="shared" si="4"/>
        <v>8.8000000000000007</v>
      </c>
      <c r="M113" s="1" t="str">
        <f t="shared" si="5"/>
        <v/>
      </c>
      <c r="N113" s="2">
        <f t="shared" si="6"/>
        <v>45658</v>
      </c>
      <c r="O113" t="str">
        <f t="shared" si="7"/>
        <v>pes</v>
      </c>
    </row>
    <row r="114" spans="1:15" x14ac:dyDescent="0.25">
      <c r="A114">
        <v>7634</v>
      </c>
      <c r="B114" s="11">
        <v>4061011223346</v>
      </c>
      <c r="C114" s="1" t="s">
        <v>25</v>
      </c>
      <c r="D114" s="1" t="s">
        <v>26</v>
      </c>
      <c r="E114" s="1" t="s">
        <v>27</v>
      </c>
      <c r="F114">
        <v>19.600000000000001</v>
      </c>
      <c r="G114">
        <v>1</v>
      </c>
      <c r="H114" s="1" t="s">
        <v>14</v>
      </c>
      <c r="I114" s="1" t="s">
        <v>15</v>
      </c>
      <c r="J114" s="12">
        <v>45688</v>
      </c>
      <c r="K114">
        <v>0</v>
      </c>
      <c r="L114" s="1">
        <f t="shared" si="4"/>
        <v>19.600000000000001</v>
      </c>
      <c r="M114" s="1" t="str">
        <f t="shared" si="5"/>
        <v/>
      </c>
      <c r="N114" s="2">
        <f t="shared" si="6"/>
        <v>45658</v>
      </c>
      <c r="O114" t="str">
        <f t="shared" si="7"/>
        <v>pes</v>
      </c>
    </row>
    <row r="115" spans="1:15" hidden="1" x14ac:dyDescent="0.25">
      <c r="A115">
        <v>7635</v>
      </c>
      <c r="B115" s="11">
        <v>4010123456783</v>
      </c>
      <c r="C115" s="1" t="s">
        <v>35</v>
      </c>
      <c r="D115" s="1" t="s">
        <v>36</v>
      </c>
      <c r="E115" s="1" t="s">
        <v>37</v>
      </c>
      <c r="F115">
        <v>14</v>
      </c>
      <c r="G115">
        <v>2</v>
      </c>
      <c r="H115" s="1" t="s">
        <v>14</v>
      </c>
      <c r="I115" s="1" t="s">
        <v>15</v>
      </c>
      <c r="J115" s="12">
        <v>45688</v>
      </c>
      <c r="K115">
        <v>0</v>
      </c>
      <c r="L115" s="1">
        <f t="shared" si="4"/>
        <v>28</v>
      </c>
      <c r="M115" s="1" t="str">
        <f t="shared" si="5"/>
        <v/>
      </c>
      <c r="N115" s="2">
        <f t="shared" si="6"/>
        <v>45658</v>
      </c>
      <c r="O115" t="str">
        <f t="shared" si="7"/>
        <v>mačka</v>
      </c>
    </row>
    <row r="116" spans="1:15" x14ac:dyDescent="0.25">
      <c r="A116">
        <v>7636</v>
      </c>
      <c r="B116" s="11">
        <v>4028899001126</v>
      </c>
      <c r="C116" s="1" t="s">
        <v>16</v>
      </c>
      <c r="D116" s="1" t="s">
        <v>12</v>
      </c>
      <c r="E116" s="1" t="s">
        <v>17</v>
      </c>
      <c r="F116">
        <v>2.8</v>
      </c>
      <c r="G116">
        <v>5</v>
      </c>
      <c r="H116" s="1" t="s">
        <v>33</v>
      </c>
      <c r="I116" s="1" t="s">
        <v>93</v>
      </c>
      <c r="J116" s="12">
        <v>45688</v>
      </c>
      <c r="K116">
        <v>0</v>
      </c>
      <c r="L116" s="1">
        <f t="shared" si="4"/>
        <v>14</v>
      </c>
      <c r="M116" s="1">
        <f t="shared" si="5"/>
        <v>3</v>
      </c>
      <c r="N116" s="2">
        <f t="shared" si="6"/>
        <v>45658</v>
      </c>
      <c r="O116" t="str">
        <f t="shared" si="7"/>
        <v>pes</v>
      </c>
    </row>
    <row r="117" spans="1:15" x14ac:dyDescent="0.25">
      <c r="A117">
        <v>7637</v>
      </c>
      <c r="B117" s="11">
        <v>4013456789017</v>
      </c>
      <c r="C117" s="1" t="s">
        <v>11</v>
      </c>
      <c r="D117" s="1" t="s">
        <v>12</v>
      </c>
      <c r="E117" s="1" t="s">
        <v>13</v>
      </c>
      <c r="F117">
        <v>6</v>
      </c>
      <c r="G117">
        <v>1</v>
      </c>
      <c r="H117" s="1" t="s">
        <v>14</v>
      </c>
      <c r="I117" s="1" t="s">
        <v>15</v>
      </c>
      <c r="J117" s="12">
        <v>45688</v>
      </c>
      <c r="K117">
        <v>0</v>
      </c>
      <c r="L117" s="1">
        <f t="shared" si="4"/>
        <v>6</v>
      </c>
      <c r="M117" s="1" t="str">
        <f t="shared" si="5"/>
        <v/>
      </c>
      <c r="N117" s="2">
        <f t="shared" si="6"/>
        <v>45658</v>
      </c>
      <c r="O117" t="str">
        <f t="shared" si="7"/>
        <v>pes</v>
      </c>
    </row>
    <row r="118" spans="1:15" hidden="1" x14ac:dyDescent="0.25">
      <c r="A118">
        <v>7638</v>
      </c>
      <c r="B118" s="11">
        <v>4056789012345</v>
      </c>
      <c r="C118" s="1" t="s">
        <v>47</v>
      </c>
      <c r="D118" s="1" t="s">
        <v>29</v>
      </c>
      <c r="E118" s="1" t="s">
        <v>37</v>
      </c>
      <c r="F118">
        <v>2.4</v>
      </c>
      <c r="G118">
        <v>2</v>
      </c>
      <c r="H118" s="1" t="s">
        <v>14</v>
      </c>
      <c r="I118" s="1" t="s">
        <v>15</v>
      </c>
      <c r="J118" s="12">
        <v>45688</v>
      </c>
      <c r="K118">
        <v>0</v>
      </c>
      <c r="L118" s="1">
        <f t="shared" si="4"/>
        <v>4.8</v>
      </c>
      <c r="M118" s="1" t="str">
        <f t="shared" si="5"/>
        <v/>
      </c>
      <c r="N118" s="2">
        <f t="shared" si="6"/>
        <v>45658</v>
      </c>
      <c r="O118" t="str">
        <f t="shared" si="7"/>
        <v>mačka</v>
      </c>
    </row>
    <row r="119" spans="1:15" x14ac:dyDescent="0.25">
      <c r="A119">
        <v>7639</v>
      </c>
      <c r="B119" s="11">
        <v>4063456789014</v>
      </c>
      <c r="C119" s="1" t="s">
        <v>60</v>
      </c>
      <c r="D119" s="1" t="s">
        <v>12</v>
      </c>
      <c r="E119" s="1" t="s">
        <v>61</v>
      </c>
      <c r="F119">
        <v>36</v>
      </c>
      <c r="G119">
        <v>1</v>
      </c>
      <c r="H119" s="1" t="s">
        <v>18</v>
      </c>
      <c r="I119" s="1" t="s">
        <v>94</v>
      </c>
      <c r="J119" s="12">
        <v>45688</v>
      </c>
      <c r="K119">
        <v>0</v>
      </c>
      <c r="L119" s="1">
        <f t="shared" si="4"/>
        <v>36</v>
      </c>
      <c r="M119" s="1">
        <f t="shared" si="5"/>
        <v>4</v>
      </c>
      <c r="N119" s="2">
        <f t="shared" si="6"/>
        <v>45658</v>
      </c>
      <c r="O119" t="str">
        <f t="shared" si="7"/>
        <v>pes</v>
      </c>
    </row>
    <row r="120" spans="1:15" x14ac:dyDescent="0.25">
      <c r="A120">
        <v>7640</v>
      </c>
      <c r="B120" s="11">
        <v>4028899001126</v>
      </c>
      <c r="C120" s="1" t="s">
        <v>16</v>
      </c>
      <c r="D120" s="1" t="s">
        <v>12</v>
      </c>
      <c r="E120" s="1" t="s">
        <v>17</v>
      </c>
      <c r="F120">
        <v>2.8</v>
      </c>
      <c r="G120">
        <v>3</v>
      </c>
      <c r="H120" s="1" t="s">
        <v>14</v>
      </c>
      <c r="I120" s="1" t="s">
        <v>15</v>
      </c>
      <c r="J120" s="12">
        <v>45688</v>
      </c>
      <c r="K120">
        <v>0</v>
      </c>
      <c r="L120" s="1">
        <f t="shared" si="4"/>
        <v>8.3999999999999986</v>
      </c>
      <c r="M120" s="1" t="str">
        <f t="shared" si="5"/>
        <v/>
      </c>
      <c r="N120" s="2">
        <f t="shared" si="6"/>
        <v>45658</v>
      </c>
      <c r="O120" t="str">
        <f t="shared" si="7"/>
        <v>pes</v>
      </c>
    </row>
    <row r="121" spans="1:15" x14ac:dyDescent="0.25">
      <c r="A121">
        <v>7641</v>
      </c>
      <c r="B121" s="11">
        <v>4061011223346</v>
      </c>
      <c r="C121" s="1" t="s">
        <v>25</v>
      </c>
      <c r="D121" s="1" t="s">
        <v>26</v>
      </c>
      <c r="E121" s="1" t="s">
        <v>27</v>
      </c>
      <c r="F121">
        <v>19.600000000000001</v>
      </c>
      <c r="G121">
        <v>1</v>
      </c>
      <c r="H121" s="1" t="s">
        <v>14</v>
      </c>
      <c r="I121" s="1" t="s">
        <v>15</v>
      </c>
      <c r="J121" s="12">
        <v>45678</v>
      </c>
      <c r="K121">
        <v>0</v>
      </c>
      <c r="L121" s="1">
        <f t="shared" si="4"/>
        <v>19.600000000000001</v>
      </c>
      <c r="M121" s="1" t="str">
        <f t="shared" si="5"/>
        <v/>
      </c>
      <c r="N121" s="2">
        <f t="shared" si="6"/>
        <v>45658</v>
      </c>
      <c r="O121" t="str">
        <f t="shared" si="7"/>
        <v>pes</v>
      </c>
    </row>
    <row r="122" spans="1:15" x14ac:dyDescent="0.25">
      <c r="A122">
        <v>7641</v>
      </c>
      <c r="B122" s="11">
        <v>4013456789017</v>
      </c>
      <c r="C122" s="1" t="s">
        <v>11</v>
      </c>
      <c r="D122" s="1" t="s">
        <v>12</v>
      </c>
      <c r="E122" s="1" t="s">
        <v>13</v>
      </c>
      <c r="F122">
        <v>6</v>
      </c>
      <c r="G122">
        <v>2</v>
      </c>
      <c r="H122" s="1" t="s">
        <v>14</v>
      </c>
      <c r="I122" s="1" t="s">
        <v>15</v>
      </c>
      <c r="J122" s="12">
        <v>45688</v>
      </c>
      <c r="K122">
        <v>0</v>
      </c>
      <c r="L122" s="1">
        <f t="shared" si="4"/>
        <v>12</v>
      </c>
      <c r="M122" s="1" t="str">
        <f t="shared" si="5"/>
        <v/>
      </c>
      <c r="N122" s="2">
        <f t="shared" si="6"/>
        <v>45658</v>
      </c>
      <c r="O122" t="str">
        <f t="shared" si="7"/>
        <v>pes</v>
      </c>
    </row>
    <row r="123" spans="1:15" x14ac:dyDescent="0.25">
      <c r="A123">
        <v>7642</v>
      </c>
      <c r="B123" s="11">
        <v>4028899001126</v>
      </c>
      <c r="C123" s="1" t="s">
        <v>16</v>
      </c>
      <c r="D123" s="1" t="s">
        <v>12</v>
      </c>
      <c r="E123" s="1" t="s">
        <v>17</v>
      </c>
      <c r="F123">
        <v>2.8</v>
      </c>
      <c r="G123">
        <v>5</v>
      </c>
      <c r="H123" s="1" t="s">
        <v>14</v>
      </c>
      <c r="I123" s="1" t="s">
        <v>15</v>
      </c>
      <c r="J123" s="12">
        <v>45678</v>
      </c>
      <c r="K123">
        <v>0</v>
      </c>
      <c r="L123" s="1">
        <f t="shared" si="4"/>
        <v>14</v>
      </c>
      <c r="M123" s="1" t="str">
        <f t="shared" si="5"/>
        <v/>
      </c>
      <c r="N123" s="2">
        <f t="shared" si="6"/>
        <v>45658</v>
      </c>
      <c r="O123" t="str">
        <f t="shared" si="7"/>
        <v>pes</v>
      </c>
    </row>
    <row r="124" spans="1:15" x14ac:dyDescent="0.25">
      <c r="A124">
        <v>7642</v>
      </c>
      <c r="B124" s="11">
        <v>4040123456795</v>
      </c>
      <c r="C124" s="1" t="s">
        <v>20</v>
      </c>
      <c r="D124" s="1" t="s">
        <v>21</v>
      </c>
      <c r="E124" s="1" t="s">
        <v>22</v>
      </c>
      <c r="F124">
        <v>8.8000000000000007</v>
      </c>
      <c r="G124">
        <v>1</v>
      </c>
      <c r="H124" s="1" t="s">
        <v>23</v>
      </c>
      <c r="I124" s="1" t="s">
        <v>95</v>
      </c>
      <c r="J124" s="12">
        <v>45688</v>
      </c>
      <c r="K124">
        <v>0</v>
      </c>
      <c r="L124" s="1">
        <f t="shared" si="4"/>
        <v>8.8000000000000007</v>
      </c>
      <c r="M124" s="1">
        <f t="shared" si="5"/>
        <v>5</v>
      </c>
      <c r="N124" s="2">
        <f t="shared" si="6"/>
        <v>45658</v>
      </c>
      <c r="O124" t="str">
        <f t="shared" si="7"/>
        <v>pes</v>
      </c>
    </row>
    <row r="125" spans="1:15" x14ac:dyDescent="0.25">
      <c r="A125">
        <v>7643</v>
      </c>
      <c r="B125" s="11">
        <v>4013456789017</v>
      </c>
      <c r="C125" s="1" t="s">
        <v>11</v>
      </c>
      <c r="D125" s="1" t="s">
        <v>12</v>
      </c>
      <c r="E125" s="1" t="s">
        <v>13</v>
      </c>
      <c r="F125">
        <v>6</v>
      </c>
      <c r="G125">
        <v>2</v>
      </c>
      <c r="H125" s="1" t="s">
        <v>14</v>
      </c>
      <c r="I125" s="1" t="s">
        <v>15</v>
      </c>
      <c r="J125" s="12">
        <v>45678</v>
      </c>
      <c r="K125">
        <v>0</v>
      </c>
      <c r="L125" s="1">
        <f t="shared" si="4"/>
        <v>12</v>
      </c>
      <c r="M125" s="1" t="str">
        <f t="shared" si="5"/>
        <v/>
      </c>
      <c r="N125" s="2">
        <f t="shared" si="6"/>
        <v>45658</v>
      </c>
      <c r="O125" t="str">
        <f t="shared" si="7"/>
        <v>pes</v>
      </c>
    </row>
    <row r="126" spans="1:15" x14ac:dyDescent="0.25">
      <c r="A126">
        <v>7643</v>
      </c>
      <c r="B126" s="11">
        <v>4061011223346</v>
      </c>
      <c r="C126" s="1" t="s">
        <v>25</v>
      </c>
      <c r="D126" s="1" t="s">
        <v>26</v>
      </c>
      <c r="E126" s="1" t="s">
        <v>27</v>
      </c>
      <c r="F126">
        <v>19.600000000000001</v>
      </c>
      <c r="G126">
        <v>1</v>
      </c>
      <c r="H126" s="1" t="s">
        <v>14</v>
      </c>
      <c r="I126" s="1" t="s">
        <v>15</v>
      </c>
      <c r="J126" s="12">
        <v>45688</v>
      </c>
      <c r="K126">
        <v>0</v>
      </c>
      <c r="L126" s="1">
        <f t="shared" si="4"/>
        <v>19.600000000000001</v>
      </c>
      <c r="M126" s="1" t="str">
        <f t="shared" si="5"/>
        <v/>
      </c>
      <c r="N126" s="2">
        <f t="shared" si="6"/>
        <v>45658</v>
      </c>
      <c r="O126" t="str">
        <f t="shared" si="7"/>
        <v>pes</v>
      </c>
    </row>
    <row r="127" spans="1:15" x14ac:dyDescent="0.25">
      <c r="A127">
        <v>7644</v>
      </c>
      <c r="B127" s="11">
        <v>4017890123450</v>
      </c>
      <c r="C127" s="1" t="s">
        <v>65</v>
      </c>
      <c r="D127" s="1" t="s">
        <v>39</v>
      </c>
      <c r="E127" s="1" t="s">
        <v>22</v>
      </c>
      <c r="F127">
        <v>7.6</v>
      </c>
      <c r="G127">
        <v>1</v>
      </c>
      <c r="H127" s="1" t="s">
        <v>14</v>
      </c>
      <c r="I127" s="1" t="s">
        <v>15</v>
      </c>
      <c r="J127" s="12">
        <v>45688</v>
      </c>
      <c r="K127">
        <v>0</v>
      </c>
      <c r="L127" s="1">
        <f t="shared" si="4"/>
        <v>7.6</v>
      </c>
      <c r="M127" s="1" t="str">
        <f t="shared" si="5"/>
        <v/>
      </c>
      <c r="N127" s="2">
        <f t="shared" si="6"/>
        <v>45658</v>
      </c>
      <c r="O127" t="str">
        <f t="shared" si="7"/>
        <v>pes</v>
      </c>
    </row>
    <row r="128" spans="1:15" x14ac:dyDescent="0.25">
      <c r="A128">
        <v>7644</v>
      </c>
      <c r="B128" s="11">
        <v>4063456789014</v>
      </c>
      <c r="C128" s="1" t="s">
        <v>60</v>
      </c>
      <c r="D128" s="1" t="s">
        <v>12</v>
      </c>
      <c r="E128" s="1" t="s">
        <v>61</v>
      </c>
      <c r="F128">
        <v>36</v>
      </c>
      <c r="G128">
        <v>1</v>
      </c>
      <c r="H128" s="1" t="s">
        <v>18</v>
      </c>
      <c r="I128" s="1" t="s">
        <v>96</v>
      </c>
      <c r="J128" s="12">
        <v>45678</v>
      </c>
      <c r="K128">
        <v>0</v>
      </c>
      <c r="L128" s="1">
        <f t="shared" si="4"/>
        <v>36</v>
      </c>
      <c r="M128" s="1">
        <f t="shared" si="5"/>
        <v>4</v>
      </c>
      <c r="N128" s="2">
        <f t="shared" si="6"/>
        <v>45658</v>
      </c>
      <c r="O128" t="str">
        <f t="shared" si="7"/>
        <v>pes</v>
      </c>
    </row>
    <row r="129" spans="1:15" hidden="1" x14ac:dyDescent="0.25">
      <c r="A129">
        <v>7645</v>
      </c>
      <c r="B129" s="11">
        <v>4056789012345</v>
      </c>
      <c r="C129" s="1" t="s">
        <v>47</v>
      </c>
      <c r="D129" s="1" t="s">
        <v>29</v>
      </c>
      <c r="E129" s="1" t="s">
        <v>37</v>
      </c>
      <c r="F129">
        <v>2.4</v>
      </c>
      <c r="G129">
        <v>3</v>
      </c>
      <c r="H129" s="1" t="s">
        <v>33</v>
      </c>
      <c r="I129" s="1" t="s">
        <v>97</v>
      </c>
      <c r="J129" s="12">
        <v>45688</v>
      </c>
      <c r="K129">
        <v>0</v>
      </c>
      <c r="L129" s="1">
        <f t="shared" si="4"/>
        <v>7.1999999999999993</v>
      </c>
      <c r="M129" s="1">
        <f t="shared" si="5"/>
        <v>3</v>
      </c>
      <c r="N129" s="2">
        <f t="shared" si="6"/>
        <v>45658</v>
      </c>
      <c r="O129" t="str">
        <f t="shared" si="7"/>
        <v>mačka</v>
      </c>
    </row>
    <row r="130" spans="1:15" hidden="1" x14ac:dyDescent="0.25">
      <c r="A130">
        <v>7645</v>
      </c>
      <c r="B130" s="11">
        <v>4010123456783</v>
      </c>
      <c r="C130" s="1" t="s">
        <v>35</v>
      </c>
      <c r="D130" s="1" t="s">
        <v>36</v>
      </c>
      <c r="E130" s="1" t="s">
        <v>37</v>
      </c>
      <c r="F130">
        <v>14</v>
      </c>
      <c r="G130">
        <v>1</v>
      </c>
      <c r="H130" s="1" t="s">
        <v>14</v>
      </c>
      <c r="I130" s="1" t="s">
        <v>15</v>
      </c>
      <c r="J130" s="12">
        <v>45678</v>
      </c>
      <c r="K130">
        <v>0</v>
      </c>
      <c r="L130" s="1">
        <f t="shared" ref="L130:L193" si="8">F130*G130</f>
        <v>14</v>
      </c>
      <c r="M130" s="1" t="str">
        <f t="shared" ref="M130:M193" si="9">IF(H130="NULL", "",VALUE(H130))</f>
        <v/>
      </c>
      <c r="N130" s="2">
        <f t="shared" ref="N130:N193" si="10">DATE(YEAR(J130),MONTH(J130),1)</f>
        <v>45658</v>
      </c>
      <c r="O130" t="str">
        <f t="shared" ref="O130:O193" si="11">IF(ISNUMBER(SEARCH("Mačky",D130)),"mačka",IF(ISNUMBER(SEARCH("Psy",D130)),"pes","iné"))</f>
        <v>mačka</v>
      </c>
    </row>
    <row r="131" spans="1:15" x14ac:dyDescent="0.25">
      <c r="A131">
        <v>7646</v>
      </c>
      <c r="B131" s="11">
        <v>4063456789014</v>
      </c>
      <c r="C131" s="1" t="s">
        <v>60</v>
      </c>
      <c r="D131" s="1" t="s">
        <v>12</v>
      </c>
      <c r="E131" s="1" t="s">
        <v>61</v>
      </c>
      <c r="F131">
        <v>36</v>
      </c>
      <c r="G131">
        <v>1</v>
      </c>
      <c r="H131" s="1" t="s">
        <v>14</v>
      </c>
      <c r="I131" s="1" t="s">
        <v>15</v>
      </c>
      <c r="J131" s="12">
        <v>45688</v>
      </c>
      <c r="K131">
        <v>0</v>
      </c>
      <c r="L131" s="1">
        <f t="shared" si="8"/>
        <v>36</v>
      </c>
      <c r="M131" s="1" t="str">
        <f t="shared" si="9"/>
        <v/>
      </c>
      <c r="N131" s="2">
        <f t="shared" si="10"/>
        <v>45658</v>
      </c>
      <c r="O131" t="str">
        <f t="shared" si="11"/>
        <v>pes</v>
      </c>
    </row>
    <row r="132" spans="1:15" x14ac:dyDescent="0.25">
      <c r="A132">
        <v>7646</v>
      </c>
      <c r="B132" s="11">
        <v>4028899001126</v>
      </c>
      <c r="C132" s="1" t="s">
        <v>16</v>
      </c>
      <c r="D132" s="1" t="s">
        <v>12</v>
      </c>
      <c r="E132" s="1" t="s">
        <v>17</v>
      </c>
      <c r="F132">
        <v>2.8</v>
      </c>
      <c r="G132">
        <v>3</v>
      </c>
      <c r="H132" s="1" t="s">
        <v>14</v>
      </c>
      <c r="I132" s="1" t="s">
        <v>15</v>
      </c>
      <c r="J132" s="12">
        <v>45678</v>
      </c>
      <c r="K132">
        <v>0</v>
      </c>
      <c r="L132" s="1">
        <f t="shared" si="8"/>
        <v>8.3999999999999986</v>
      </c>
      <c r="M132" s="1" t="str">
        <f t="shared" si="9"/>
        <v/>
      </c>
      <c r="N132" s="2">
        <f t="shared" si="10"/>
        <v>45658</v>
      </c>
      <c r="O132" t="str">
        <f t="shared" si="11"/>
        <v>pes</v>
      </c>
    </row>
    <row r="133" spans="1:15" x14ac:dyDescent="0.25">
      <c r="A133">
        <v>7647</v>
      </c>
      <c r="B133" s="11">
        <v>4013456789017</v>
      </c>
      <c r="C133" s="1" t="s">
        <v>11</v>
      </c>
      <c r="D133" s="1" t="s">
        <v>12</v>
      </c>
      <c r="E133" s="1" t="s">
        <v>13</v>
      </c>
      <c r="F133">
        <v>6</v>
      </c>
      <c r="G133">
        <v>2</v>
      </c>
      <c r="H133" s="1" t="s">
        <v>14</v>
      </c>
      <c r="I133" s="1" t="s">
        <v>15</v>
      </c>
      <c r="J133" s="12">
        <v>45678</v>
      </c>
      <c r="K133">
        <v>0</v>
      </c>
      <c r="L133" s="1">
        <f t="shared" si="8"/>
        <v>12</v>
      </c>
      <c r="M133" s="1" t="str">
        <f t="shared" si="9"/>
        <v/>
      </c>
      <c r="N133" s="2">
        <f t="shared" si="10"/>
        <v>45658</v>
      </c>
      <c r="O133" t="str">
        <f t="shared" si="11"/>
        <v>pes</v>
      </c>
    </row>
    <row r="134" spans="1:15" x14ac:dyDescent="0.25">
      <c r="A134">
        <v>7648</v>
      </c>
      <c r="B134" s="11">
        <v>4028899001126</v>
      </c>
      <c r="C134" s="1" t="s">
        <v>16</v>
      </c>
      <c r="D134" s="1" t="s">
        <v>12</v>
      </c>
      <c r="E134" s="1" t="s">
        <v>17</v>
      </c>
      <c r="F134">
        <v>2.8</v>
      </c>
      <c r="G134">
        <v>3</v>
      </c>
      <c r="H134" s="1" t="s">
        <v>14</v>
      </c>
      <c r="I134" s="1" t="s">
        <v>15</v>
      </c>
      <c r="J134" s="12">
        <v>45678</v>
      </c>
      <c r="K134">
        <v>0</v>
      </c>
      <c r="L134" s="1">
        <f t="shared" si="8"/>
        <v>8.3999999999999986</v>
      </c>
      <c r="M134" s="1" t="str">
        <f t="shared" si="9"/>
        <v/>
      </c>
      <c r="N134" s="2">
        <f t="shared" si="10"/>
        <v>45658</v>
      </c>
      <c r="O134" t="str">
        <f t="shared" si="11"/>
        <v>pes</v>
      </c>
    </row>
    <row r="135" spans="1:15" x14ac:dyDescent="0.25">
      <c r="A135">
        <v>7649</v>
      </c>
      <c r="B135" s="11">
        <v>4040123456795</v>
      </c>
      <c r="C135" s="1" t="s">
        <v>20</v>
      </c>
      <c r="D135" s="1" t="s">
        <v>21</v>
      </c>
      <c r="E135" s="1" t="s">
        <v>22</v>
      </c>
      <c r="F135">
        <v>8.8000000000000007</v>
      </c>
      <c r="G135">
        <v>1</v>
      </c>
      <c r="H135" s="1" t="s">
        <v>14</v>
      </c>
      <c r="I135" s="1" t="s">
        <v>15</v>
      </c>
      <c r="J135" s="12">
        <v>45678</v>
      </c>
      <c r="K135">
        <v>0</v>
      </c>
      <c r="L135" s="1">
        <f t="shared" si="8"/>
        <v>8.8000000000000007</v>
      </c>
      <c r="M135" s="1" t="str">
        <f t="shared" si="9"/>
        <v/>
      </c>
      <c r="N135" s="2">
        <f t="shared" si="10"/>
        <v>45658</v>
      </c>
      <c r="O135" t="str">
        <f t="shared" si="11"/>
        <v>pes</v>
      </c>
    </row>
    <row r="136" spans="1:15" hidden="1" x14ac:dyDescent="0.25">
      <c r="A136">
        <v>7650</v>
      </c>
      <c r="B136" s="11">
        <v>4056789012345</v>
      </c>
      <c r="C136" s="1" t="s">
        <v>47</v>
      </c>
      <c r="D136" s="1" t="s">
        <v>29</v>
      </c>
      <c r="E136" s="1" t="s">
        <v>37</v>
      </c>
      <c r="F136">
        <v>2.4</v>
      </c>
      <c r="G136">
        <v>3</v>
      </c>
      <c r="H136" s="1" t="s">
        <v>14</v>
      </c>
      <c r="I136" s="1" t="s">
        <v>15</v>
      </c>
      <c r="J136" s="12">
        <v>45678</v>
      </c>
      <c r="K136">
        <v>0</v>
      </c>
      <c r="L136" s="1">
        <f t="shared" si="8"/>
        <v>7.1999999999999993</v>
      </c>
      <c r="M136" s="1" t="str">
        <f t="shared" si="9"/>
        <v/>
      </c>
      <c r="N136" s="2">
        <f t="shared" si="10"/>
        <v>45658</v>
      </c>
      <c r="O136" t="str">
        <f t="shared" si="11"/>
        <v>mačka</v>
      </c>
    </row>
    <row r="137" spans="1:15" x14ac:dyDescent="0.25">
      <c r="A137">
        <v>7651</v>
      </c>
      <c r="B137" s="11">
        <v>4017890123450</v>
      </c>
      <c r="C137" s="1" t="s">
        <v>65</v>
      </c>
      <c r="D137" s="1" t="s">
        <v>39</v>
      </c>
      <c r="E137" s="1" t="s">
        <v>22</v>
      </c>
      <c r="F137">
        <v>7.6</v>
      </c>
      <c r="G137">
        <v>1</v>
      </c>
      <c r="H137" s="1" t="s">
        <v>18</v>
      </c>
      <c r="I137" s="1" t="s">
        <v>98</v>
      </c>
      <c r="J137" s="12">
        <v>45678</v>
      </c>
      <c r="K137">
        <v>0</v>
      </c>
      <c r="L137" s="1">
        <f t="shared" si="8"/>
        <v>7.6</v>
      </c>
      <c r="M137" s="1">
        <f t="shared" si="9"/>
        <v>4</v>
      </c>
      <c r="N137" s="2">
        <f t="shared" si="10"/>
        <v>45658</v>
      </c>
      <c r="O137" t="str">
        <f t="shared" si="11"/>
        <v>pes</v>
      </c>
    </row>
    <row r="138" spans="1:15" hidden="1" x14ac:dyDescent="0.25">
      <c r="A138">
        <v>7652</v>
      </c>
      <c r="B138" s="11">
        <v>4067890123456</v>
      </c>
      <c r="C138" s="1" t="s">
        <v>68</v>
      </c>
      <c r="D138" s="1" t="s">
        <v>29</v>
      </c>
      <c r="E138" s="1" t="s">
        <v>69</v>
      </c>
      <c r="F138">
        <v>36</v>
      </c>
      <c r="G138">
        <v>1</v>
      </c>
      <c r="H138" s="1" t="s">
        <v>14</v>
      </c>
      <c r="I138" s="1" t="s">
        <v>15</v>
      </c>
      <c r="J138" s="12">
        <v>45678</v>
      </c>
      <c r="K138">
        <v>0</v>
      </c>
      <c r="L138" s="1">
        <f t="shared" si="8"/>
        <v>36</v>
      </c>
      <c r="M138" s="1" t="str">
        <f t="shared" si="9"/>
        <v/>
      </c>
      <c r="N138" s="2">
        <f t="shared" si="10"/>
        <v>45658</v>
      </c>
      <c r="O138" t="str">
        <f t="shared" si="11"/>
        <v>mačka</v>
      </c>
    </row>
    <row r="139" spans="1:15" hidden="1" x14ac:dyDescent="0.25">
      <c r="A139">
        <v>7653</v>
      </c>
      <c r="B139" s="11">
        <v>4023456789012</v>
      </c>
      <c r="C139" s="1" t="s">
        <v>55</v>
      </c>
      <c r="D139" s="1" t="s">
        <v>29</v>
      </c>
      <c r="E139" s="1" t="s">
        <v>32</v>
      </c>
      <c r="F139">
        <v>4</v>
      </c>
      <c r="G139">
        <v>2</v>
      </c>
      <c r="H139" s="1" t="s">
        <v>14</v>
      </c>
      <c r="I139" s="1" t="s">
        <v>15</v>
      </c>
      <c r="J139" s="12">
        <v>45678</v>
      </c>
      <c r="K139">
        <v>0</v>
      </c>
      <c r="L139" s="1">
        <f t="shared" si="8"/>
        <v>8</v>
      </c>
      <c r="M139" s="1" t="str">
        <f t="shared" si="9"/>
        <v/>
      </c>
      <c r="N139" s="2">
        <f t="shared" si="10"/>
        <v>45658</v>
      </c>
      <c r="O139" t="str">
        <f t="shared" si="11"/>
        <v>mačka</v>
      </c>
    </row>
    <row r="140" spans="1:15" hidden="1" x14ac:dyDescent="0.25">
      <c r="A140">
        <v>7654</v>
      </c>
      <c r="B140" s="11">
        <v>4021234567894</v>
      </c>
      <c r="C140" s="1" t="s">
        <v>79</v>
      </c>
      <c r="D140" s="1" t="s">
        <v>36</v>
      </c>
      <c r="E140" s="1" t="s">
        <v>69</v>
      </c>
      <c r="F140">
        <v>8</v>
      </c>
      <c r="G140">
        <v>1</v>
      </c>
      <c r="H140" s="1" t="s">
        <v>14</v>
      </c>
      <c r="I140" s="1" t="s">
        <v>15</v>
      </c>
      <c r="J140" s="12">
        <v>45678</v>
      </c>
      <c r="K140">
        <v>0</v>
      </c>
      <c r="L140" s="1">
        <f t="shared" si="8"/>
        <v>8</v>
      </c>
      <c r="M140" s="1" t="str">
        <f t="shared" si="9"/>
        <v/>
      </c>
      <c r="N140" s="2">
        <f t="shared" si="10"/>
        <v>45658</v>
      </c>
      <c r="O140" t="str">
        <f t="shared" si="11"/>
        <v>mačka</v>
      </c>
    </row>
    <row r="141" spans="1:15" x14ac:dyDescent="0.25">
      <c r="A141">
        <v>7655</v>
      </c>
      <c r="B141" s="11">
        <v>4028899001126</v>
      </c>
      <c r="C141" s="1" t="s">
        <v>16</v>
      </c>
      <c r="D141" s="1" t="s">
        <v>12</v>
      </c>
      <c r="E141" s="1" t="s">
        <v>17</v>
      </c>
      <c r="F141">
        <v>2.8</v>
      </c>
      <c r="G141">
        <v>4</v>
      </c>
      <c r="H141" s="1" t="s">
        <v>14</v>
      </c>
      <c r="I141" s="1" t="s">
        <v>15</v>
      </c>
      <c r="J141" s="12">
        <v>45678</v>
      </c>
      <c r="K141">
        <v>0</v>
      </c>
      <c r="L141" s="1">
        <f t="shared" si="8"/>
        <v>11.2</v>
      </c>
      <c r="M141" s="1" t="str">
        <f t="shared" si="9"/>
        <v/>
      </c>
      <c r="N141" s="2">
        <f t="shared" si="10"/>
        <v>45658</v>
      </c>
      <c r="O141" t="str">
        <f t="shared" si="11"/>
        <v>pes</v>
      </c>
    </row>
    <row r="142" spans="1:15" x14ac:dyDescent="0.25">
      <c r="A142">
        <v>7656</v>
      </c>
      <c r="B142" s="11">
        <v>4013456789017</v>
      </c>
      <c r="C142" s="1" t="s">
        <v>11</v>
      </c>
      <c r="D142" s="1" t="s">
        <v>12</v>
      </c>
      <c r="E142" s="1" t="s">
        <v>13</v>
      </c>
      <c r="F142">
        <v>6</v>
      </c>
      <c r="G142">
        <v>2</v>
      </c>
      <c r="H142" s="1" t="s">
        <v>14</v>
      </c>
      <c r="I142" s="1" t="s">
        <v>15</v>
      </c>
      <c r="J142" s="12">
        <v>45678</v>
      </c>
      <c r="K142">
        <v>0</v>
      </c>
      <c r="L142" s="1">
        <f t="shared" si="8"/>
        <v>12</v>
      </c>
      <c r="M142" s="1" t="str">
        <f t="shared" si="9"/>
        <v/>
      </c>
      <c r="N142" s="2">
        <f t="shared" si="10"/>
        <v>45658</v>
      </c>
      <c r="O142" t="str">
        <f t="shared" si="11"/>
        <v>pes</v>
      </c>
    </row>
    <row r="143" spans="1:15" hidden="1" x14ac:dyDescent="0.25">
      <c r="A143">
        <v>7657</v>
      </c>
      <c r="B143" s="11">
        <v>4056789012345</v>
      </c>
      <c r="C143" s="1" t="s">
        <v>47</v>
      </c>
      <c r="D143" s="1" t="s">
        <v>29</v>
      </c>
      <c r="E143" s="1" t="s">
        <v>37</v>
      </c>
      <c r="F143">
        <v>2.4</v>
      </c>
      <c r="G143">
        <v>2</v>
      </c>
      <c r="H143" s="1" t="s">
        <v>14</v>
      </c>
      <c r="I143" s="1" t="s">
        <v>15</v>
      </c>
      <c r="J143" s="12">
        <v>45678</v>
      </c>
      <c r="K143">
        <v>0</v>
      </c>
      <c r="L143" s="1">
        <f t="shared" si="8"/>
        <v>4.8</v>
      </c>
      <c r="M143" s="1" t="str">
        <f t="shared" si="9"/>
        <v/>
      </c>
      <c r="N143" s="2">
        <f t="shared" si="10"/>
        <v>45658</v>
      </c>
      <c r="O143" t="str">
        <f t="shared" si="11"/>
        <v>mačka</v>
      </c>
    </row>
    <row r="144" spans="1:15" x14ac:dyDescent="0.25">
      <c r="A144">
        <v>7658</v>
      </c>
      <c r="B144" s="11">
        <v>4063456789014</v>
      </c>
      <c r="C144" s="1" t="s">
        <v>60</v>
      </c>
      <c r="D144" s="1" t="s">
        <v>12</v>
      </c>
      <c r="E144" s="1" t="s">
        <v>61</v>
      </c>
      <c r="F144">
        <v>36</v>
      </c>
      <c r="G144">
        <v>1</v>
      </c>
      <c r="H144" s="1" t="s">
        <v>14</v>
      </c>
      <c r="I144" s="1" t="s">
        <v>15</v>
      </c>
      <c r="J144" s="12">
        <v>45678</v>
      </c>
      <c r="K144">
        <v>0</v>
      </c>
      <c r="L144" s="1">
        <f t="shared" si="8"/>
        <v>36</v>
      </c>
      <c r="M144" s="1" t="str">
        <f t="shared" si="9"/>
        <v/>
      </c>
      <c r="N144" s="2">
        <f t="shared" si="10"/>
        <v>45658</v>
      </c>
      <c r="O144" t="str">
        <f t="shared" si="11"/>
        <v>pes</v>
      </c>
    </row>
    <row r="145" spans="1:15" x14ac:dyDescent="0.25">
      <c r="A145">
        <v>7659</v>
      </c>
      <c r="B145" s="11">
        <v>4028899001126</v>
      </c>
      <c r="C145" s="1" t="s">
        <v>16</v>
      </c>
      <c r="D145" s="1" t="s">
        <v>12</v>
      </c>
      <c r="E145" s="1" t="s">
        <v>17</v>
      </c>
      <c r="F145">
        <v>2.8</v>
      </c>
      <c r="G145">
        <v>3</v>
      </c>
      <c r="H145" s="1" t="s">
        <v>33</v>
      </c>
      <c r="I145" s="1" t="s">
        <v>99</v>
      </c>
      <c r="J145" s="12">
        <v>45679</v>
      </c>
      <c r="K145">
        <v>0</v>
      </c>
      <c r="L145" s="1">
        <f t="shared" si="8"/>
        <v>8.3999999999999986</v>
      </c>
      <c r="M145" s="1">
        <f t="shared" si="9"/>
        <v>3</v>
      </c>
      <c r="N145" s="2">
        <f t="shared" si="10"/>
        <v>45658</v>
      </c>
      <c r="O145" t="str">
        <f t="shared" si="11"/>
        <v>pes</v>
      </c>
    </row>
    <row r="146" spans="1:15" x14ac:dyDescent="0.25">
      <c r="A146">
        <v>7660</v>
      </c>
      <c r="B146" s="11">
        <v>4013456789017</v>
      </c>
      <c r="C146" s="1" t="s">
        <v>11</v>
      </c>
      <c r="D146" s="1" t="s">
        <v>12</v>
      </c>
      <c r="E146" s="1" t="s">
        <v>13</v>
      </c>
      <c r="F146">
        <v>6</v>
      </c>
      <c r="G146">
        <v>1</v>
      </c>
      <c r="H146" s="1" t="s">
        <v>14</v>
      </c>
      <c r="I146" s="1" t="s">
        <v>15</v>
      </c>
      <c r="J146" s="12">
        <v>45679</v>
      </c>
      <c r="K146">
        <v>0</v>
      </c>
      <c r="L146" s="1">
        <f t="shared" si="8"/>
        <v>6</v>
      </c>
      <c r="M146" s="1" t="str">
        <f t="shared" si="9"/>
        <v/>
      </c>
      <c r="N146" s="2">
        <f t="shared" si="10"/>
        <v>45658</v>
      </c>
      <c r="O146" t="str">
        <f t="shared" si="11"/>
        <v>pes</v>
      </c>
    </row>
    <row r="147" spans="1:15" x14ac:dyDescent="0.25">
      <c r="A147">
        <v>7661</v>
      </c>
      <c r="B147" s="11">
        <v>4040123456795</v>
      </c>
      <c r="C147" s="1" t="s">
        <v>20</v>
      </c>
      <c r="D147" s="1" t="s">
        <v>21</v>
      </c>
      <c r="E147" s="1" t="s">
        <v>22</v>
      </c>
      <c r="F147">
        <v>8.8000000000000007</v>
      </c>
      <c r="G147">
        <v>1</v>
      </c>
      <c r="H147" s="1" t="s">
        <v>14</v>
      </c>
      <c r="I147" s="1" t="s">
        <v>15</v>
      </c>
      <c r="J147" s="12">
        <v>45679</v>
      </c>
      <c r="K147">
        <v>0</v>
      </c>
      <c r="L147" s="1">
        <f t="shared" si="8"/>
        <v>8.8000000000000007</v>
      </c>
      <c r="M147" s="1" t="str">
        <f t="shared" si="9"/>
        <v/>
      </c>
      <c r="N147" s="2">
        <f t="shared" si="10"/>
        <v>45658</v>
      </c>
      <c r="O147" t="str">
        <f t="shared" si="11"/>
        <v>pes</v>
      </c>
    </row>
    <row r="148" spans="1:15" hidden="1" x14ac:dyDescent="0.25">
      <c r="A148">
        <v>7662</v>
      </c>
      <c r="B148" s="11">
        <v>4010123456783</v>
      </c>
      <c r="C148" s="1" t="s">
        <v>35</v>
      </c>
      <c r="D148" s="1" t="s">
        <v>36</v>
      </c>
      <c r="E148" s="1" t="s">
        <v>37</v>
      </c>
      <c r="F148">
        <v>14</v>
      </c>
      <c r="G148">
        <v>1</v>
      </c>
      <c r="H148" s="1" t="s">
        <v>14</v>
      </c>
      <c r="I148" s="1" t="s">
        <v>15</v>
      </c>
      <c r="J148" s="12">
        <v>45679</v>
      </c>
      <c r="K148">
        <v>0</v>
      </c>
      <c r="L148" s="1">
        <f t="shared" si="8"/>
        <v>14</v>
      </c>
      <c r="M148" s="1" t="str">
        <f t="shared" si="9"/>
        <v/>
      </c>
      <c r="N148" s="2">
        <f t="shared" si="10"/>
        <v>45658</v>
      </c>
      <c r="O148" t="str">
        <f t="shared" si="11"/>
        <v>mačka</v>
      </c>
    </row>
    <row r="149" spans="1:15" x14ac:dyDescent="0.25">
      <c r="A149">
        <v>7663</v>
      </c>
      <c r="B149" s="11">
        <v>4028899001126</v>
      </c>
      <c r="C149" s="1" t="s">
        <v>16</v>
      </c>
      <c r="D149" s="1" t="s">
        <v>12</v>
      </c>
      <c r="E149" s="1" t="s">
        <v>17</v>
      </c>
      <c r="F149">
        <v>2.8</v>
      </c>
      <c r="G149">
        <v>3</v>
      </c>
      <c r="H149" s="1" t="s">
        <v>14</v>
      </c>
      <c r="I149" s="1" t="s">
        <v>15</v>
      </c>
      <c r="J149" s="12">
        <v>45679</v>
      </c>
      <c r="K149">
        <v>0</v>
      </c>
      <c r="L149" s="1">
        <f t="shared" si="8"/>
        <v>8.3999999999999986</v>
      </c>
      <c r="M149" s="1" t="str">
        <f t="shared" si="9"/>
        <v/>
      </c>
      <c r="N149" s="2">
        <f t="shared" si="10"/>
        <v>45658</v>
      </c>
      <c r="O149" t="str">
        <f t="shared" si="11"/>
        <v>pes</v>
      </c>
    </row>
    <row r="150" spans="1:15" x14ac:dyDescent="0.25">
      <c r="A150">
        <v>7664</v>
      </c>
      <c r="B150" s="11">
        <v>4013456789017</v>
      </c>
      <c r="C150" s="1" t="s">
        <v>11</v>
      </c>
      <c r="D150" s="1" t="s">
        <v>12</v>
      </c>
      <c r="E150" s="1" t="s">
        <v>13</v>
      </c>
      <c r="F150">
        <v>6</v>
      </c>
      <c r="G150">
        <v>1</v>
      </c>
      <c r="H150" s="1" t="s">
        <v>14</v>
      </c>
      <c r="I150" s="1" t="s">
        <v>15</v>
      </c>
      <c r="J150" s="12">
        <v>45679</v>
      </c>
      <c r="K150">
        <v>0</v>
      </c>
      <c r="L150" s="1">
        <f t="shared" si="8"/>
        <v>6</v>
      </c>
      <c r="M150" s="1" t="str">
        <f t="shared" si="9"/>
        <v/>
      </c>
      <c r="N150" s="2">
        <f t="shared" si="10"/>
        <v>45658</v>
      </c>
      <c r="O150" t="str">
        <f t="shared" si="11"/>
        <v>pes</v>
      </c>
    </row>
    <row r="151" spans="1:15" x14ac:dyDescent="0.25">
      <c r="A151">
        <v>7665</v>
      </c>
      <c r="B151" s="11">
        <v>4063456789014</v>
      </c>
      <c r="C151" s="1" t="s">
        <v>60</v>
      </c>
      <c r="D151" s="1" t="s">
        <v>12</v>
      </c>
      <c r="E151" s="1" t="s">
        <v>61</v>
      </c>
      <c r="F151">
        <v>36</v>
      </c>
      <c r="G151">
        <v>1</v>
      </c>
      <c r="H151" s="1" t="s">
        <v>14</v>
      </c>
      <c r="I151" s="1" t="s">
        <v>15</v>
      </c>
      <c r="J151" s="12">
        <v>45679</v>
      </c>
      <c r="K151">
        <v>0</v>
      </c>
      <c r="L151" s="1">
        <f t="shared" si="8"/>
        <v>36</v>
      </c>
      <c r="M151" s="1" t="str">
        <f t="shared" si="9"/>
        <v/>
      </c>
      <c r="N151" s="2">
        <f t="shared" si="10"/>
        <v>45658</v>
      </c>
      <c r="O151" t="str">
        <f t="shared" si="11"/>
        <v>pes</v>
      </c>
    </row>
    <row r="152" spans="1:15" hidden="1" x14ac:dyDescent="0.25">
      <c r="A152">
        <v>7666</v>
      </c>
      <c r="B152" s="11">
        <v>4021234567894</v>
      </c>
      <c r="C152" s="1" t="s">
        <v>79</v>
      </c>
      <c r="D152" s="1" t="s">
        <v>36</v>
      </c>
      <c r="E152" s="1" t="s">
        <v>69</v>
      </c>
      <c r="F152">
        <v>8</v>
      </c>
      <c r="G152">
        <v>1</v>
      </c>
      <c r="H152" s="1" t="s">
        <v>14</v>
      </c>
      <c r="I152" s="1" t="s">
        <v>15</v>
      </c>
      <c r="J152" s="12">
        <v>45679</v>
      </c>
      <c r="K152">
        <v>0</v>
      </c>
      <c r="L152" s="1">
        <f t="shared" si="8"/>
        <v>8</v>
      </c>
      <c r="M152" s="1" t="str">
        <f t="shared" si="9"/>
        <v/>
      </c>
      <c r="N152" s="2">
        <f t="shared" si="10"/>
        <v>45658</v>
      </c>
      <c r="O152" t="str">
        <f t="shared" si="11"/>
        <v>mačka</v>
      </c>
    </row>
    <row r="153" spans="1:15" x14ac:dyDescent="0.25">
      <c r="A153">
        <v>7667</v>
      </c>
      <c r="B153" s="11">
        <v>4061011223346</v>
      </c>
      <c r="C153" s="1" t="s">
        <v>25</v>
      </c>
      <c r="D153" s="1" t="s">
        <v>26</v>
      </c>
      <c r="E153" s="1" t="s">
        <v>27</v>
      </c>
      <c r="F153">
        <v>19.600000000000001</v>
      </c>
      <c r="G153">
        <v>1</v>
      </c>
      <c r="H153" s="1" t="s">
        <v>14</v>
      </c>
      <c r="I153" s="1" t="s">
        <v>15</v>
      </c>
      <c r="J153" s="12">
        <v>45679</v>
      </c>
      <c r="K153">
        <v>0</v>
      </c>
      <c r="L153" s="1">
        <f t="shared" si="8"/>
        <v>19.600000000000001</v>
      </c>
      <c r="M153" s="1" t="str">
        <f t="shared" si="9"/>
        <v/>
      </c>
      <c r="N153" s="2">
        <f t="shared" si="10"/>
        <v>45658</v>
      </c>
      <c r="O153" t="str">
        <f t="shared" si="11"/>
        <v>pes</v>
      </c>
    </row>
    <row r="154" spans="1:15" x14ac:dyDescent="0.25">
      <c r="A154">
        <v>7668</v>
      </c>
      <c r="B154" s="11">
        <v>4028899001126</v>
      </c>
      <c r="C154" s="1" t="s">
        <v>16</v>
      </c>
      <c r="D154" s="1" t="s">
        <v>12</v>
      </c>
      <c r="E154" s="1" t="s">
        <v>17</v>
      </c>
      <c r="F154">
        <v>2.8</v>
      </c>
      <c r="G154">
        <v>4</v>
      </c>
      <c r="H154" s="1" t="s">
        <v>18</v>
      </c>
      <c r="I154" s="1" t="s">
        <v>100</v>
      </c>
      <c r="J154" s="12">
        <v>45679</v>
      </c>
      <c r="K154">
        <v>0</v>
      </c>
      <c r="L154" s="1">
        <f t="shared" si="8"/>
        <v>11.2</v>
      </c>
      <c r="M154" s="1">
        <f t="shared" si="9"/>
        <v>4</v>
      </c>
      <c r="N154" s="2">
        <f t="shared" si="10"/>
        <v>45658</v>
      </c>
      <c r="O154" t="str">
        <f t="shared" si="11"/>
        <v>pes</v>
      </c>
    </row>
    <row r="155" spans="1:15" x14ac:dyDescent="0.25">
      <c r="A155">
        <v>7669</v>
      </c>
      <c r="B155" s="11">
        <v>4013456789017</v>
      </c>
      <c r="C155" s="1" t="s">
        <v>11</v>
      </c>
      <c r="D155" s="1" t="s">
        <v>12</v>
      </c>
      <c r="E155" s="1" t="s">
        <v>13</v>
      </c>
      <c r="F155">
        <v>6</v>
      </c>
      <c r="G155">
        <v>2</v>
      </c>
      <c r="H155" s="1" t="s">
        <v>14</v>
      </c>
      <c r="I155" s="1" t="s">
        <v>15</v>
      </c>
      <c r="J155" s="12">
        <v>45679</v>
      </c>
      <c r="K155">
        <v>0</v>
      </c>
      <c r="L155" s="1">
        <f t="shared" si="8"/>
        <v>12</v>
      </c>
      <c r="M155" s="1" t="str">
        <f t="shared" si="9"/>
        <v/>
      </c>
      <c r="N155" s="2">
        <f t="shared" si="10"/>
        <v>45658</v>
      </c>
      <c r="O155" t="str">
        <f t="shared" si="11"/>
        <v>pes</v>
      </c>
    </row>
    <row r="156" spans="1:15" hidden="1" x14ac:dyDescent="0.25">
      <c r="A156">
        <v>7670</v>
      </c>
      <c r="B156" s="11">
        <v>4056789012345</v>
      </c>
      <c r="C156" s="1" t="s">
        <v>47</v>
      </c>
      <c r="D156" s="1" t="s">
        <v>29</v>
      </c>
      <c r="E156" s="1" t="s">
        <v>37</v>
      </c>
      <c r="F156">
        <v>2.4</v>
      </c>
      <c r="G156">
        <v>2</v>
      </c>
      <c r="H156" s="1" t="s">
        <v>14</v>
      </c>
      <c r="I156" s="1" t="s">
        <v>15</v>
      </c>
      <c r="J156" s="12">
        <v>45679</v>
      </c>
      <c r="K156">
        <v>0</v>
      </c>
      <c r="L156" s="1">
        <f t="shared" si="8"/>
        <v>4.8</v>
      </c>
      <c r="M156" s="1" t="str">
        <f t="shared" si="9"/>
        <v/>
      </c>
      <c r="N156" s="2">
        <f t="shared" si="10"/>
        <v>45658</v>
      </c>
      <c r="O156" t="str">
        <f t="shared" si="11"/>
        <v>mačka</v>
      </c>
    </row>
    <row r="157" spans="1:15" x14ac:dyDescent="0.25">
      <c r="A157">
        <v>7671</v>
      </c>
      <c r="B157" s="11">
        <v>4063456789014</v>
      </c>
      <c r="C157" s="1" t="s">
        <v>60</v>
      </c>
      <c r="D157" s="1" t="s">
        <v>12</v>
      </c>
      <c r="E157" s="1" t="s">
        <v>61</v>
      </c>
      <c r="F157">
        <v>36</v>
      </c>
      <c r="G157">
        <v>1</v>
      </c>
      <c r="H157" s="1" t="s">
        <v>18</v>
      </c>
      <c r="I157" s="1" t="s">
        <v>101</v>
      </c>
      <c r="J157" s="12">
        <v>45679</v>
      </c>
      <c r="K157">
        <v>0</v>
      </c>
      <c r="L157" s="1">
        <f t="shared" si="8"/>
        <v>36</v>
      </c>
      <c r="M157" s="1">
        <f t="shared" si="9"/>
        <v>4</v>
      </c>
      <c r="N157" s="2">
        <f t="shared" si="10"/>
        <v>45658</v>
      </c>
      <c r="O157" t="str">
        <f t="shared" si="11"/>
        <v>pes</v>
      </c>
    </row>
    <row r="158" spans="1:15" hidden="1" x14ac:dyDescent="0.25">
      <c r="A158">
        <v>7672</v>
      </c>
      <c r="B158" s="11">
        <v>4026677889902</v>
      </c>
      <c r="C158" s="1" t="s">
        <v>52</v>
      </c>
      <c r="D158" s="1" t="s">
        <v>53</v>
      </c>
      <c r="E158" s="1" t="s">
        <v>54</v>
      </c>
      <c r="F158">
        <v>7.6</v>
      </c>
      <c r="G158">
        <v>1</v>
      </c>
      <c r="H158" s="1" t="s">
        <v>14</v>
      </c>
      <c r="I158" s="1" t="s">
        <v>15</v>
      </c>
      <c r="J158" s="12">
        <v>45679</v>
      </c>
      <c r="K158">
        <v>0</v>
      </c>
      <c r="L158" s="1">
        <f t="shared" si="8"/>
        <v>7.6</v>
      </c>
      <c r="M158" s="1" t="str">
        <f t="shared" si="9"/>
        <v/>
      </c>
      <c r="N158" s="2">
        <f t="shared" si="10"/>
        <v>45658</v>
      </c>
      <c r="O158" t="str">
        <f t="shared" si="11"/>
        <v>iné</v>
      </c>
    </row>
    <row r="159" spans="1:15" x14ac:dyDescent="0.25">
      <c r="A159">
        <v>7673</v>
      </c>
      <c r="B159" s="11">
        <v>4028899001126</v>
      </c>
      <c r="C159" s="1" t="s">
        <v>16</v>
      </c>
      <c r="D159" s="1" t="s">
        <v>12</v>
      </c>
      <c r="E159" s="1" t="s">
        <v>17</v>
      </c>
      <c r="F159">
        <v>2.8</v>
      </c>
      <c r="G159">
        <v>3</v>
      </c>
      <c r="H159" s="1" t="s">
        <v>14</v>
      </c>
      <c r="I159" s="1" t="s">
        <v>15</v>
      </c>
      <c r="J159" s="12">
        <v>45679</v>
      </c>
      <c r="K159">
        <v>0</v>
      </c>
      <c r="L159" s="1">
        <f t="shared" si="8"/>
        <v>8.3999999999999986</v>
      </c>
      <c r="M159" s="1" t="str">
        <f t="shared" si="9"/>
        <v/>
      </c>
      <c r="N159" s="2">
        <f t="shared" si="10"/>
        <v>45658</v>
      </c>
      <c r="O159" t="str">
        <f t="shared" si="11"/>
        <v>pes</v>
      </c>
    </row>
    <row r="160" spans="1:15" x14ac:dyDescent="0.25">
      <c r="A160">
        <v>7674</v>
      </c>
      <c r="B160" s="11">
        <v>4013456789017</v>
      </c>
      <c r="C160" s="1" t="s">
        <v>11</v>
      </c>
      <c r="D160" s="1" t="s">
        <v>12</v>
      </c>
      <c r="E160" s="1" t="s">
        <v>13</v>
      </c>
      <c r="F160">
        <v>6</v>
      </c>
      <c r="G160">
        <v>2</v>
      </c>
      <c r="H160" s="1" t="s">
        <v>14</v>
      </c>
      <c r="I160" s="1" t="s">
        <v>15</v>
      </c>
      <c r="J160" s="12">
        <v>45679</v>
      </c>
      <c r="K160">
        <v>0</v>
      </c>
      <c r="L160" s="1">
        <f t="shared" si="8"/>
        <v>12</v>
      </c>
      <c r="M160" s="1" t="str">
        <f t="shared" si="9"/>
        <v/>
      </c>
      <c r="N160" s="2">
        <f t="shared" si="10"/>
        <v>45658</v>
      </c>
      <c r="O160" t="str">
        <f t="shared" si="11"/>
        <v>pes</v>
      </c>
    </row>
    <row r="161" spans="1:15" x14ac:dyDescent="0.25">
      <c r="A161">
        <v>7675</v>
      </c>
      <c r="B161" s="11">
        <v>4017890123450</v>
      </c>
      <c r="C161" s="1" t="s">
        <v>65</v>
      </c>
      <c r="D161" s="1" t="s">
        <v>39</v>
      </c>
      <c r="E161" s="1" t="s">
        <v>22</v>
      </c>
      <c r="F161">
        <v>7.6</v>
      </c>
      <c r="G161">
        <v>1</v>
      </c>
      <c r="H161" s="1" t="s">
        <v>14</v>
      </c>
      <c r="I161" s="1" t="s">
        <v>15</v>
      </c>
      <c r="J161" s="12">
        <v>45679</v>
      </c>
      <c r="K161">
        <v>0</v>
      </c>
      <c r="L161" s="1">
        <f t="shared" si="8"/>
        <v>7.6</v>
      </c>
      <c r="M161" s="1" t="str">
        <f t="shared" si="9"/>
        <v/>
      </c>
      <c r="N161" s="2">
        <f t="shared" si="10"/>
        <v>45658</v>
      </c>
      <c r="O161" t="str">
        <f t="shared" si="11"/>
        <v>pes</v>
      </c>
    </row>
    <row r="162" spans="1:15" hidden="1" x14ac:dyDescent="0.25">
      <c r="A162">
        <v>7676</v>
      </c>
      <c r="B162" s="11">
        <v>4056789012345</v>
      </c>
      <c r="C162" s="1" t="s">
        <v>47</v>
      </c>
      <c r="D162" s="1" t="s">
        <v>29</v>
      </c>
      <c r="E162" s="1" t="s">
        <v>37</v>
      </c>
      <c r="F162">
        <v>2.4</v>
      </c>
      <c r="G162">
        <v>2</v>
      </c>
      <c r="H162" s="1" t="s">
        <v>48</v>
      </c>
      <c r="I162" s="1" t="s">
        <v>102</v>
      </c>
      <c r="J162" s="12">
        <v>45679</v>
      </c>
      <c r="K162">
        <v>1</v>
      </c>
      <c r="L162" s="1">
        <f t="shared" si="8"/>
        <v>4.8</v>
      </c>
      <c r="M162" s="1">
        <f t="shared" si="9"/>
        <v>2</v>
      </c>
      <c r="N162" s="2">
        <f t="shared" si="10"/>
        <v>45658</v>
      </c>
      <c r="O162" t="str">
        <f t="shared" si="11"/>
        <v>mačka</v>
      </c>
    </row>
    <row r="163" spans="1:15" x14ac:dyDescent="0.25">
      <c r="A163">
        <v>7677</v>
      </c>
      <c r="B163" s="11">
        <v>4028899001126</v>
      </c>
      <c r="C163" s="1" t="s">
        <v>16</v>
      </c>
      <c r="D163" s="1" t="s">
        <v>12</v>
      </c>
      <c r="E163" s="1" t="s">
        <v>17</v>
      </c>
      <c r="F163">
        <v>2.8</v>
      </c>
      <c r="G163">
        <v>5</v>
      </c>
      <c r="H163" s="1" t="s">
        <v>23</v>
      </c>
      <c r="I163" s="1" t="s">
        <v>103</v>
      </c>
      <c r="J163" s="12">
        <v>45680</v>
      </c>
      <c r="K163">
        <v>0</v>
      </c>
      <c r="L163" s="1">
        <f t="shared" si="8"/>
        <v>14</v>
      </c>
      <c r="M163" s="1">
        <f t="shared" si="9"/>
        <v>5</v>
      </c>
      <c r="N163" s="2">
        <f t="shared" si="10"/>
        <v>45658</v>
      </c>
      <c r="O163" t="str">
        <f t="shared" si="11"/>
        <v>pes</v>
      </c>
    </row>
    <row r="164" spans="1:15" x14ac:dyDescent="0.25">
      <c r="A164">
        <v>7678</v>
      </c>
      <c r="B164" s="11">
        <v>4013456789017</v>
      </c>
      <c r="C164" s="1" t="s">
        <v>11</v>
      </c>
      <c r="D164" s="1" t="s">
        <v>12</v>
      </c>
      <c r="E164" s="1" t="s">
        <v>13</v>
      </c>
      <c r="F164">
        <v>6</v>
      </c>
      <c r="G164">
        <v>2</v>
      </c>
      <c r="H164" s="1" t="s">
        <v>14</v>
      </c>
      <c r="I164" s="1" t="s">
        <v>15</v>
      </c>
      <c r="J164" s="12">
        <v>45680</v>
      </c>
      <c r="K164">
        <v>0</v>
      </c>
      <c r="L164" s="1">
        <f t="shared" si="8"/>
        <v>12</v>
      </c>
      <c r="M164" s="1" t="str">
        <f t="shared" si="9"/>
        <v/>
      </c>
      <c r="N164" s="2">
        <f t="shared" si="10"/>
        <v>45658</v>
      </c>
      <c r="O164" t="str">
        <f t="shared" si="11"/>
        <v>pes</v>
      </c>
    </row>
    <row r="165" spans="1:15" x14ac:dyDescent="0.25">
      <c r="A165">
        <v>7679</v>
      </c>
      <c r="B165" s="11">
        <v>4040123456795</v>
      </c>
      <c r="C165" s="1" t="s">
        <v>20</v>
      </c>
      <c r="D165" s="1" t="s">
        <v>21</v>
      </c>
      <c r="E165" s="1" t="s">
        <v>22</v>
      </c>
      <c r="F165">
        <v>8.8000000000000007</v>
      </c>
      <c r="G165">
        <v>1</v>
      </c>
      <c r="H165" s="1" t="s">
        <v>14</v>
      </c>
      <c r="I165" s="1" t="s">
        <v>15</v>
      </c>
      <c r="J165" s="12">
        <v>45680</v>
      </c>
      <c r="K165">
        <v>0</v>
      </c>
      <c r="L165" s="1">
        <f t="shared" si="8"/>
        <v>8.8000000000000007</v>
      </c>
      <c r="M165" s="1" t="str">
        <f t="shared" si="9"/>
        <v/>
      </c>
      <c r="N165" s="2">
        <f t="shared" si="10"/>
        <v>45658</v>
      </c>
      <c r="O165" t="str">
        <f t="shared" si="11"/>
        <v>pes</v>
      </c>
    </row>
    <row r="166" spans="1:15" hidden="1" x14ac:dyDescent="0.25">
      <c r="A166">
        <v>7680</v>
      </c>
      <c r="B166" s="11">
        <v>4010123456783</v>
      </c>
      <c r="C166" s="1" t="s">
        <v>35</v>
      </c>
      <c r="D166" s="1" t="s">
        <v>36</v>
      </c>
      <c r="E166" s="1" t="s">
        <v>37</v>
      </c>
      <c r="F166">
        <v>14</v>
      </c>
      <c r="G166">
        <v>1</v>
      </c>
      <c r="H166" s="1" t="s">
        <v>14</v>
      </c>
      <c r="I166" s="1" t="s">
        <v>15</v>
      </c>
      <c r="J166" s="12">
        <v>45680</v>
      </c>
      <c r="K166">
        <v>0</v>
      </c>
      <c r="L166" s="1">
        <f t="shared" si="8"/>
        <v>14</v>
      </c>
      <c r="M166" s="1" t="str">
        <f t="shared" si="9"/>
        <v/>
      </c>
      <c r="N166" s="2">
        <f t="shared" si="10"/>
        <v>45658</v>
      </c>
      <c r="O166" t="str">
        <f t="shared" si="11"/>
        <v>mačka</v>
      </c>
    </row>
    <row r="167" spans="1:15" x14ac:dyDescent="0.25">
      <c r="A167">
        <v>7681</v>
      </c>
      <c r="B167" s="11">
        <v>4028899001126</v>
      </c>
      <c r="C167" s="1" t="s">
        <v>16</v>
      </c>
      <c r="D167" s="1" t="s">
        <v>12</v>
      </c>
      <c r="E167" s="1" t="s">
        <v>17</v>
      </c>
      <c r="F167">
        <v>2.8</v>
      </c>
      <c r="G167">
        <v>3</v>
      </c>
      <c r="H167" s="1" t="s">
        <v>14</v>
      </c>
      <c r="I167" s="1" t="s">
        <v>15</v>
      </c>
      <c r="J167" s="12">
        <v>45680</v>
      </c>
      <c r="K167">
        <v>0</v>
      </c>
      <c r="L167" s="1">
        <f t="shared" si="8"/>
        <v>8.3999999999999986</v>
      </c>
      <c r="M167" s="1" t="str">
        <f t="shared" si="9"/>
        <v/>
      </c>
      <c r="N167" s="2">
        <f t="shared" si="10"/>
        <v>45658</v>
      </c>
      <c r="O167" t="str">
        <f t="shared" si="11"/>
        <v>pes</v>
      </c>
    </row>
    <row r="168" spans="1:15" x14ac:dyDescent="0.25">
      <c r="A168">
        <v>7682</v>
      </c>
      <c r="B168" s="11">
        <v>4013456789017</v>
      </c>
      <c r="C168" s="1" t="s">
        <v>11</v>
      </c>
      <c r="D168" s="1" t="s">
        <v>12</v>
      </c>
      <c r="E168" s="1" t="s">
        <v>13</v>
      </c>
      <c r="F168">
        <v>6</v>
      </c>
      <c r="G168">
        <v>1</v>
      </c>
      <c r="H168" s="1" t="s">
        <v>14</v>
      </c>
      <c r="I168" s="1" t="s">
        <v>15</v>
      </c>
      <c r="J168" s="12">
        <v>45680</v>
      </c>
      <c r="K168">
        <v>0</v>
      </c>
      <c r="L168" s="1">
        <f t="shared" si="8"/>
        <v>6</v>
      </c>
      <c r="M168" s="1" t="str">
        <f t="shared" si="9"/>
        <v/>
      </c>
      <c r="N168" s="2">
        <f t="shared" si="10"/>
        <v>45658</v>
      </c>
      <c r="O168" t="str">
        <f t="shared" si="11"/>
        <v>pes</v>
      </c>
    </row>
    <row r="169" spans="1:15" x14ac:dyDescent="0.25">
      <c r="A169">
        <v>7683</v>
      </c>
      <c r="B169" s="11">
        <v>4063456789014</v>
      </c>
      <c r="C169" s="1" t="s">
        <v>60</v>
      </c>
      <c r="D169" s="1" t="s">
        <v>12</v>
      </c>
      <c r="E169" s="1" t="s">
        <v>61</v>
      </c>
      <c r="F169">
        <v>36</v>
      </c>
      <c r="G169">
        <v>1</v>
      </c>
      <c r="H169" s="1" t="s">
        <v>14</v>
      </c>
      <c r="I169" s="1" t="s">
        <v>15</v>
      </c>
      <c r="J169" s="12">
        <v>45680</v>
      </c>
      <c r="K169">
        <v>0</v>
      </c>
      <c r="L169" s="1">
        <f t="shared" si="8"/>
        <v>36</v>
      </c>
      <c r="M169" s="1" t="str">
        <f t="shared" si="9"/>
        <v/>
      </c>
      <c r="N169" s="2">
        <f t="shared" si="10"/>
        <v>45658</v>
      </c>
      <c r="O169" t="str">
        <f t="shared" si="11"/>
        <v>pes</v>
      </c>
    </row>
    <row r="170" spans="1:15" hidden="1" x14ac:dyDescent="0.25">
      <c r="A170">
        <v>7684</v>
      </c>
      <c r="B170" s="11">
        <v>4021234567894</v>
      </c>
      <c r="C170" s="1" t="s">
        <v>79</v>
      </c>
      <c r="D170" s="1" t="s">
        <v>36</v>
      </c>
      <c r="E170" s="1" t="s">
        <v>69</v>
      </c>
      <c r="F170">
        <v>8</v>
      </c>
      <c r="G170">
        <v>1</v>
      </c>
      <c r="H170" s="1" t="s">
        <v>14</v>
      </c>
      <c r="I170" s="1" t="s">
        <v>15</v>
      </c>
      <c r="J170" s="12">
        <v>45680</v>
      </c>
      <c r="K170">
        <v>0</v>
      </c>
      <c r="L170" s="1">
        <f t="shared" si="8"/>
        <v>8</v>
      </c>
      <c r="M170" s="1" t="str">
        <f t="shared" si="9"/>
        <v/>
      </c>
      <c r="N170" s="2">
        <f t="shared" si="10"/>
        <v>45658</v>
      </c>
      <c r="O170" t="str">
        <f t="shared" si="11"/>
        <v>mačka</v>
      </c>
    </row>
    <row r="171" spans="1:15" x14ac:dyDescent="0.25">
      <c r="A171">
        <v>7685</v>
      </c>
      <c r="B171" s="11">
        <v>4061011223346</v>
      </c>
      <c r="C171" s="1" t="s">
        <v>25</v>
      </c>
      <c r="D171" s="1" t="s">
        <v>26</v>
      </c>
      <c r="E171" s="1" t="s">
        <v>27</v>
      </c>
      <c r="F171">
        <v>19.600000000000001</v>
      </c>
      <c r="G171">
        <v>1</v>
      </c>
      <c r="H171" s="1" t="s">
        <v>14</v>
      </c>
      <c r="I171" s="1" t="s">
        <v>15</v>
      </c>
      <c r="J171" s="12">
        <v>45680</v>
      </c>
      <c r="K171">
        <v>0</v>
      </c>
      <c r="L171" s="1">
        <f t="shared" si="8"/>
        <v>19.600000000000001</v>
      </c>
      <c r="M171" s="1" t="str">
        <f t="shared" si="9"/>
        <v/>
      </c>
      <c r="N171" s="2">
        <f t="shared" si="10"/>
        <v>45658</v>
      </c>
      <c r="O171" t="str">
        <f t="shared" si="11"/>
        <v>pes</v>
      </c>
    </row>
    <row r="172" spans="1:15" x14ac:dyDescent="0.25">
      <c r="A172">
        <v>7686</v>
      </c>
      <c r="B172" s="11">
        <v>4028899001126</v>
      </c>
      <c r="C172" s="1" t="s">
        <v>16</v>
      </c>
      <c r="D172" s="1" t="s">
        <v>12</v>
      </c>
      <c r="E172" s="1" t="s">
        <v>17</v>
      </c>
      <c r="F172">
        <v>2.8</v>
      </c>
      <c r="G172">
        <v>4</v>
      </c>
      <c r="H172" s="1" t="s">
        <v>14</v>
      </c>
      <c r="I172" s="1" t="s">
        <v>15</v>
      </c>
      <c r="J172" s="12">
        <v>45680</v>
      </c>
      <c r="K172">
        <v>0</v>
      </c>
      <c r="L172" s="1">
        <f t="shared" si="8"/>
        <v>11.2</v>
      </c>
      <c r="M172" s="1" t="str">
        <f t="shared" si="9"/>
        <v/>
      </c>
      <c r="N172" s="2">
        <f t="shared" si="10"/>
        <v>45658</v>
      </c>
      <c r="O172" t="str">
        <f t="shared" si="11"/>
        <v>pes</v>
      </c>
    </row>
    <row r="173" spans="1:15" x14ac:dyDescent="0.25">
      <c r="A173">
        <v>7687</v>
      </c>
      <c r="B173" s="11">
        <v>4013456789017</v>
      </c>
      <c r="C173" s="1" t="s">
        <v>11</v>
      </c>
      <c r="D173" s="1" t="s">
        <v>12</v>
      </c>
      <c r="E173" s="1" t="s">
        <v>13</v>
      </c>
      <c r="F173">
        <v>6</v>
      </c>
      <c r="G173">
        <v>2</v>
      </c>
      <c r="H173" s="1" t="s">
        <v>14</v>
      </c>
      <c r="I173" s="1" t="s">
        <v>15</v>
      </c>
      <c r="J173" s="12">
        <v>45680</v>
      </c>
      <c r="K173">
        <v>0</v>
      </c>
      <c r="L173" s="1">
        <f t="shared" si="8"/>
        <v>12</v>
      </c>
      <c r="M173" s="1" t="str">
        <f t="shared" si="9"/>
        <v/>
      </c>
      <c r="N173" s="2">
        <f t="shared" si="10"/>
        <v>45658</v>
      </c>
      <c r="O173" t="str">
        <f t="shared" si="11"/>
        <v>pes</v>
      </c>
    </row>
    <row r="174" spans="1:15" hidden="1" x14ac:dyDescent="0.25">
      <c r="A174">
        <v>7688</v>
      </c>
      <c r="B174" s="11">
        <v>4056789012345</v>
      </c>
      <c r="C174" s="1" t="s">
        <v>47</v>
      </c>
      <c r="D174" s="1" t="s">
        <v>29</v>
      </c>
      <c r="E174" s="1" t="s">
        <v>37</v>
      </c>
      <c r="F174">
        <v>2.4</v>
      </c>
      <c r="G174">
        <v>3</v>
      </c>
      <c r="H174" s="1" t="s">
        <v>33</v>
      </c>
      <c r="I174" s="1" t="s">
        <v>104</v>
      </c>
      <c r="J174" s="12">
        <v>45680</v>
      </c>
      <c r="K174">
        <v>0</v>
      </c>
      <c r="L174" s="1">
        <f t="shared" si="8"/>
        <v>7.1999999999999993</v>
      </c>
      <c r="M174" s="1">
        <f t="shared" si="9"/>
        <v>3</v>
      </c>
      <c r="N174" s="2">
        <f t="shared" si="10"/>
        <v>45658</v>
      </c>
      <c r="O174" t="str">
        <f t="shared" si="11"/>
        <v>mačka</v>
      </c>
    </row>
    <row r="175" spans="1:15" x14ac:dyDescent="0.25">
      <c r="A175">
        <v>7689</v>
      </c>
      <c r="B175" s="11">
        <v>4063456789014</v>
      </c>
      <c r="C175" s="1" t="s">
        <v>60</v>
      </c>
      <c r="D175" s="1" t="s">
        <v>12</v>
      </c>
      <c r="E175" s="1" t="s">
        <v>61</v>
      </c>
      <c r="F175">
        <v>36</v>
      </c>
      <c r="G175">
        <v>1</v>
      </c>
      <c r="H175" s="1" t="s">
        <v>14</v>
      </c>
      <c r="I175" s="1" t="s">
        <v>15</v>
      </c>
      <c r="J175" s="12">
        <v>45680</v>
      </c>
      <c r="K175">
        <v>0</v>
      </c>
      <c r="L175" s="1">
        <f t="shared" si="8"/>
        <v>36</v>
      </c>
      <c r="M175" s="1" t="str">
        <f t="shared" si="9"/>
        <v/>
      </c>
      <c r="N175" s="2">
        <f t="shared" si="10"/>
        <v>45658</v>
      </c>
      <c r="O175" t="str">
        <f t="shared" si="11"/>
        <v>pes</v>
      </c>
    </row>
    <row r="176" spans="1:15" hidden="1" x14ac:dyDescent="0.25">
      <c r="A176">
        <v>7690</v>
      </c>
      <c r="B176" s="11">
        <v>4026677889902</v>
      </c>
      <c r="C176" s="1" t="s">
        <v>52</v>
      </c>
      <c r="D176" s="1" t="s">
        <v>53</v>
      </c>
      <c r="E176" s="1" t="s">
        <v>54</v>
      </c>
      <c r="F176">
        <v>7.6</v>
      </c>
      <c r="G176">
        <v>1</v>
      </c>
      <c r="H176" s="1" t="s">
        <v>14</v>
      </c>
      <c r="I176" s="1" t="s">
        <v>15</v>
      </c>
      <c r="J176" s="12">
        <v>45680</v>
      </c>
      <c r="K176">
        <v>0</v>
      </c>
      <c r="L176" s="1">
        <f t="shared" si="8"/>
        <v>7.6</v>
      </c>
      <c r="M176" s="1" t="str">
        <f t="shared" si="9"/>
        <v/>
      </c>
      <c r="N176" s="2">
        <f t="shared" si="10"/>
        <v>45658</v>
      </c>
      <c r="O176" t="str">
        <f t="shared" si="11"/>
        <v>iné</v>
      </c>
    </row>
    <row r="177" spans="1:15" x14ac:dyDescent="0.25">
      <c r="A177">
        <v>7691</v>
      </c>
      <c r="B177" s="11">
        <v>4028899001126</v>
      </c>
      <c r="C177" s="1" t="s">
        <v>16</v>
      </c>
      <c r="D177" s="1" t="s">
        <v>12</v>
      </c>
      <c r="E177" s="1" t="s">
        <v>17</v>
      </c>
      <c r="F177">
        <v>2.8</v>
      </c>
      <c r="G177">
        <v>5</v>
      </c>
      <c r="H177" s="1" t="s">
        <v>18</v>
      </c>
      <c r="I177" s="1" t="s">
        <v>105</v>
      </c>
      <c r="J177" s="12">
        <v>45681</v>
      </c>
      <c r="K177">
        <v>0</v>
      </c>
      <c r="L177" s="1">
        <f t="shared" si="8"/>
        <v>14</v>
      </c>
      <c r="M177" s="1">
        <f t="shared" si="9"/>
        <v>4</v>
      </c>
      <c r="N177" s="2">
        <f t="shared" si="10"/>
        <v>45658</v>
      </c>
      <c r="O177" t="str">
        <f t="shared" si="11"/>
        <v>pes</v>
      </c>
    </row>
    <row r="178" spans="1:15" x14ac:dyDescent="0.25">
      <c r="A178">
        <v>7692</v>
      </c>
      <c r="B178" s="11">
        <v>4013456789017</v>
      </c>
      <c r="C178" s="1" t="s">
        <v>11</v>
      </c>
      <c r="D178" s="1" t="s">
        <v>12</v>
      </c>
      <c r="E178" s="1" t="s">
        <v>13</v>
      </c>
      <c r="F178">
        <v>6</v>
      </c>
      <c r="G178">
        <v>2</v>
      </c>
      <c r="H178" s="1" t="s">
        <v>14</v>
      </c>
      <c r="I178" s="1" t="s">
        <v>15</v>
      </c>
      <c r="J178" s="12">
        <v>45681</v>
      </c>
      <c r="K178">
        <v>0</v>
      </c>
      <c r="L178" s="1">
        <f t="shared" si="8"/>
        <v>12</v>
      </c>
      <c r="M178" s="1" t="str">
        <f t="shared" si="9"/>
        <v/>
      </c>
      <c r="N178" s="2">
        <f t="shared" si="10"/>
        <v>45658</v>
      </c>
      <c r="O178" t="str">
        <f t="shared" si="11"/>
        <v>pes</v>
      </c>
    </row>
    <row r="179" spans="1:15" x14ac:dyDescent="0.25">
      <c r="A179">
        <v>7693</v>
      </c>
      <c r="B179" s="11">
        <v>4040123456795</v>
      </c>
      <c r="C179" s="1" t="s">
        <v>20</v>
      </c>
      <c r="D179" s="1" t="s">
        <v>21</v>
      </c>
      <c r="E179" s="1" t="s">
        <v>22</v>
      </c>
      <c r="F179">
        <v>8.8000000000000007</v>
      </c>
      <c r="G179">
        <v>1</v>
      </c>
      <c r="H179" s="1" t="s">
        <v>14</v>
      </c>
      <c r="I179" s="1" t="s">
        <v>15</v>
      </c>
      <c r="J179" s="12">
        <v>45681</v>
      </c>
      <c r="K179">
        <v>0</v>
      </c>
      <c r="L179" s="1">
        <f t="shared" si="8"/>
        <v>8.8000000000000007</v>
      </c>
      <c r="M179" s="1" t="str">
        <f t="shared" si="9"/>
        <v/>
      </c>
      <c r="N179" s="2">
        <f t="shared" si="10"/>
        <v>45658</v>
      </c>
      <c r="O179" t="str">
        <f t="shared" si="11"/>
        <v>pes</v>
      </c>
    </row>
    <row r="180" spans="1:15" hidden="1" x14ac:dyDescent="0.25">
      <c r="A180">
        <v>7694</v>
      </c>
      <c r="B180" s="11">
        <v>4010123456783</v>
      </c>
      <c r="C180" s="1" t="s">
        <v>35</v>
      </c>
      <c r="D180" s="1" t="s">
        <v>36</v>
      </c>
      <c r="E180" s="1" t="s">
        <v>37</v>
      </c>
      <c r="F180">
        <v>14</v>
      </c>
      <c r="G180">
        <v>1</v>
      </c>
      <c r="H180" s="1" t="s">
        <v>14</v>
      </c>
      <c r="I180" s="1" t="s">
        <v>15</v>
      </c>
      <c r="J180" s="12">
        <v>45681</v>
      </c>
      <c r="K180">
        <v>0</v>
      </c>
      <c r="L180" s="1">
        <f t="shared" si="8"/>
        <v>14</v>
      </c>
      <c r="M180" s="1" t="str">
        <f t="shared" si="9"/>
        <v/>
      </c>
      <c r="N180" s="2">
        <f t="shared" si="10"/>
        <v>45658</v>
      </c>
      <c r="O180" t="str">
        <f t="shared" si="11"/>
        <v>mačka</v>
      </c>
    </row>
    <row r="181" spans="1:15" x14ac:dyDescent="0.25">
      <c r="A181">
        <v>7695</v>
      </c>
      <c r="B181" s="11">
        <v>4028899001126</v>
      </c>
      <c r="C181" s="1" t="s">
        <v>16</v>
      </c>
      <c r="D181" s="1" t="s">
        <v>12</v>
      </c>
      <c r="E181" s="1" t="s">
        <v>17</v>
      </c>
      <c r="F181">
        <v>2.8</v>
      </c>
      <c r="G181">
        <v>3</v>
      </c>
      <c r="H181" s="1" t="s">
        <v>14</v>
      </c>
      <c r="I181" s="1" t="s">
        <v>15</v>
      </c>
      <c r="J181" s="12">
        <v>45681</v>
      </c>
      <c r="K181">
        <v>0</v>
      </c>
      <c r="L181" s="1">
        <f t="shared" si="8"/>
        <v>8.3999999999999986</v>
      </c>
      <c r="M181" s="1" t="str">
        <f t="shared" si="9"/>
        <v/>
      </c>
      <c r="N181" s="2">
        <f t="shared" si="10"/>
        <v>45658</v>
      </c>
      <c r="O181" t="str">
        <f t="shared" si="11"/>
        <v>pes</v>
      </c>
    </row>
    <row r="182" spans="1:15" x14ac:dyDescent="0.25">
      <c r="A182">
        <v>7696</v>
      </c>
      <c r="B182" s="11">
        <v>4013456789017</v>
      </c>
      <c r="C182" s="1" t="s">
        <v>11</v>
      </c>
      <c r="D182" s="1" t="s">
        <v>12</v>
      </c>
      <c r="E182" s="1" t="s">
        <v>13</v>
      </c>
      <c r="F182">
        <v>6</v>
      </c>
      <c r="G182">
        <v>1</v>
      </c>
      <c r="H182" s="1" t="s">
        <v>14</v>
      </c>
      <c r="I182" s="1" t="s">
        <v>15</v>
      </c>
      <c r="J182" s="12">
        <v>45681</v>
      </c>
      <c r="K182">
        <v>0</v>
      </c>
      <c r="L182" s="1">
        <f t="shared" si="8"/>
        <v>6</v>
      </c>
      <c r="M182" s="1" t="str">
        <f t="shared" si="9"/>
        <v/>
      </c>
      <c r="N182" s="2">
        <f t="shared" si="10"/>
        <v>45658</v>
      </c>
      <c r="O182" t="str">
        <f t="shared" si="11"/>
        <v>pes</v>
      </c>
    </row>
    <row r="183" spans="1:15" x14ac:dyDescent="0.25">
      <c r="A183">
        <v>7697</v>
      </c>
      <c r="B183" s="11">
        <v>4063456789014</v>
      </c>
      <c r="C183" s="1" t="s">
        <v>60</v>
      </c>
      <c r="D183" s="1" t="s">
        <v>12</v>
      </c>
      <c r="E183" s="1" t="s">
        <v>61</v>
      </c>
      <c r="F183">
        <v>36</v>
      </c>
      <c r="G183">
        <v>1</v>
      </c>
      <c r="H183" s="1" t="s">
        <v>18</v>
      </c>
      <c r="I183" s="1" t="s">
        <v>106</v>
      </c>
      <c r="J183" s="12">
        <v>45681</v>
      </c>
      <c r="K183">
        <v>0</v>
      </c>
      <c r="L183" s="1">
        <f t="shared" si="8"/>
        <v>36</v>
      </c>
      <c r="M183" s="1">
        <f t="shared" si="9"/>
        <v>4</v>
      </c>
      <c r="N183" s="2">
        <f t="shared" si="10"/>
        <v>45658</v>
      </c>
      <c r="O183" t="str">
        <f t="shared" si="11"/>
        <v>pes</v>
      </c>
    </row>
    <row r="184" spans="1:15" hidden="1" x14ac:dyDescent="0.25">
      <c r="A184">
        <v>7698</v>
      </c>
      <c r="B184" s="11">
        <v>4021234567894</v>
      </c>
      <c r="C184" s="1" t="s">
        <v>79</v>
      </c>
      <c r="D184" s="1" t="s">
        <v>36</v>
      </c>
      <c r="E184" s="1" t="s">
        <v>69</v>
      </c>
      <c r="F184">
        <v>8</v>
      </c>
      <c r="G184">
        <v>1</v>
      </c>
      <c r="H184" s="1" t="s">
        <v>14</v>
      </c>
      <c r="I184" s="1" t="s">
        <v>15</v>
      </c>
      <c r="J184" s="12">
        <v>45681</v>
      </c>
      <c r="K184">
        <v>0</v>
      </c>
      <c r="L184" s="1">
        <f t="shared" si="8"/>
        <v>8</v>
      </c>
      <c r="M184" s="1" t="str">
        <f t="shared" si="9"/>
        <v/>
      </c>
      <c r="N184" s="2">
        <f t="shared" si="10"/>
        <v>45658</v>
      </c>
      <c r="O184" t="str">
        <f t="shared" si="11"/>
        <v>mačka</v>
      </c>
    </row>
    <row r="185" spans="1:15" x14ac:dyDescent="0.25">
      <c r="A185">
        <v>7699</v>
      </c>
      <c r="B185" s="11">
        <v>4061011223346</v>
      </c>
      <c r="C185" s="1" t="s">
        <v>25</v>
      </c>
      <c r="D185" s="1" t="s">
        <v>26</v>
      </c>
      <c r="E185" s="1" t="s">
        <v>27</v>
      </c>
      <c r="F185">
        <v>19.600000000000001</v>
      </c>
      <c r="G185">
        <v>1</v>
      </c>
      <c r="H185" s="1" t="s">
        <v>14</v>
      </c>
      <c r="I185" s="1" t="s">
        <v>15</v>
      </c>
      <c r="J185" s="12">
        <v>45681</v>
      </c>
      <c r="K185">
        <v>0</v>
      </c>
      <c r="L185" s="1">
        <f t="shared" si="8"/>
        <v>19.600000000000001</v>
      </c>
      <c r="M185" s="1" t="str">
        <f t="shared" si="9"/>
        <v/>
      </c>
      <c r="N185" s="2">
        <f t="shared" si="10"/>
        <v>45658</v>
      </c>
      <c r="O185" t="str">
        <f t="shared" si="11"/>
        <v>pes</v>
      </c>
    </row>
    <row r="186" spans="1:15" x14ac:dyDescent="0.25">
      <c r="A186">
        <v>7700</v>
      </c>
      <c r="B186" s="11">
        <v>4028899001126</v>
      </c>
      <c r="C186" s="1" t="s">
        <v>16</v>
      </c>
      <c r="D186" s="1" t="s">
        <v>12</v>
      </c>
      <c r="E186" s="1" t="s">
        <v>17</v>
      </c>
      <c r="F186">
        <v>2.8</v>
      </c>
      <c r="G186">
        <v>4</v>
      </c>
      <c r="H186" s="1" t="s">
        <v>14</v>
      </c>
      <c r="I186" s="1" t="s">
        <v>15</v>
      </c>
      <c r="J186" s="12">
        <v>45681</v>
      </c>
      <c r="K186">
        <v>0</v>
      </c>
      <c r="L186" s="1">
        <f t="shared" si="8"/>
        <v>11.2</v>
      </c>
      <c r="M186" s="1" t="str">
        <f t="shared" si="9"/>
        <v/>
      </c>
      <c r="N186" s="2">
        <f t="shared" si="10"/>
        <v>45658</v>
      </c>
      <c r="O186" t="str">
        <f t="shared" si="11"/>
        <v>pes</v>
      </c>
    </row>
    <row r="187" spans="1:15" x14ac:dyDescent="0.25">
      <c r="A187">
        <v>7701</v>
      </c>
      <c r="B187" s="11">
        <v>4013456789017</v>
      </c>
      <c r="C187" s="1" t="s">
        <v>11</v>
      </c>
      <c r="D187" s="1" t="s">
        <v>12</v>
      </c>
      <c r="E187" s="1" t="s">
        <v>13</v>
      </c>
      <c r="F187">
        <v>6</v>
      </c>
      <c r="G187">
        <v>2</v>
      </c>
      <c r="H187" s="1" t="s">
        <v>14</v>
      </c>
      <c r="I187" s="1" t="s">
        <v>15</v>
      </c>
      <c r="J187" s="12">
        <v>45681</v>
      </c>
      <c r="K187">
        <v>0</v>
      </c>
      <c r="L187" s="1">
        <f t="shared" si="8"/>
        <v>12</v>
      </c>
      <c r="M187" s="1" t="str">
        <f t="shared" si="9"/>
        <v/>
      </c>
      <c r="N187" s="2">
        <f t="shared" si="10"/>
        <v>45658</v>
      </c>
      <c r="O187" t="str">
        <f t="shared" si="11"/>
        <v>pes</v>
      </c>
    </row>
    <row r="188" spans="1:15" hidden="1" x14ac:dyDescent="0.25">
      <c r="A188">
        <v>7702</v>
      </c>
      <c r="B188" s="11">
        <v>4056789012345</v>
      </c>
      <c r="C188" s="1" t="s">
        <v>47</v>
      </c>
      <c r="D188" s="1" t="s">
        <v>29</v>
      </c>
      <c r="E188" s="1" t="s">
        <v>37</v>
      </c>
      <c r="F188">
        <v>2.4</v>
      </c>
      <c r="G188">
        <v>3</v>
      </c>
      <c r="H188" s="1" t="s">
        <v>14</v>
      </c>
      <c r="I188" s="1" t="s">
        <v>15</v>
      </c>
      <c r="J188" s="12">
        <v>45681</v>
      </c>
      <c r="K188">
        <v>0</v>
      </c>
      <c r="L188" s="1">
        <f t="shared" si="8"/>
        <v>7.1999999999999993</v>
      </c>
      <c r="M188" s="1" t="str">
        <f t="shared" si="9"/>
        <v/>
      </c>
      <c r="N188" s="2">
        <f t="shared" si="10"/>
        <v>45658</v>
      </c>
      <c r="O188" t="str">
        <f t="shared" si="11"/>
        <v>mačka</v>
      </c>
    </row>
    <row r="189" spans="1:15" x14ac:dyDescent="0.25">
      <c r="A189">
        <v>7703</v>
      </c>
      <c r="B189" s="11">
        <v>4063456789014</v>
      </c>
      <c r="C189" s="1" t="s">
        <v>60</v>
      </c>
      <c r="D189" s="1" t="s">
        <v>12</v>
      </c>
      <c r="E189" s="1" t="s">
        <v>61</v>
      </c>
      <c r="F189">
        <v>36</v>
      </c>
      <c r="G189">
        <v>1</v>
      </c>
      <c r="H189" s="1" t="s">
        <v>14</v>
      </c>
      <c r="I189" s="1" t="s">
        <v>15</v>
      </c>
      <c r="J189" s="12">
        <v>45681</v>
      </c>
      <c r="K189">
        <v>0</v>
      </c>
      <c r="L189" s="1">
        <f t="shared" si="8"/>
        <v>36</v>
      </c>
      <c r="M189" s="1" t="str">
        <f t="shared" si="9"/>
        <v/>
      </c>
      <c r="N189" s="2">
        <f t="shared" si="10"/>
        <v>45658</v>
      </c>
      <c r="O189" t="str">
        <f t="shared" si="11"/>
        <v>pes</v>
      </c>
    </row>
    <row r="190" spans="1:15" hidden="1" x14ac:dyDescent="0.25">
      <c r="A190">
        <v>7704</v>
      </c>
      <c r="B190" s="11">
        <v>4026677889902</v>
      </c>
      <c r="C190" s="1" t="s">
        <v>52</v>
      </c>
      <c r="D190" s="1" t="s">
        <v>53</v>
      </c>
      <c r="E190" s="1" t="s">
        <v>54</v>
      </c>
      <c r="F190">
        <v>7.6</v>
      </c>
      <c r="G190">
        <v>1</v>
      </c>
      <c r="H190" s="1" t="s">
        <v>14</v>
      </c>
      <c r="I190" s="1" t="s">
        <v>15</v>
      </c>
      <c r="J190" s="12">
        <v>45681</v>
      </c>
      <c r="K190">
        <v>0</v>
      </c>
      <c r="L190" s="1">
        <f t="shared" si="8"/>
        <v>7.6</v>
      </c>
      <c r="M190" s="1" t="str">
        <f t="shared" si="9"/>
        <v/>
      </c>
      <c r="N190" s="2">
        <f t="shared" si="10"/>
        <v>45658</v>
      </c>
      <c r="O190" t="str">
        <f t="shared" si="11"/>
        <v>iné</v>
      </c>
    </row>
    <row r="191" spans="1:15" x14ac:dyDescent="0.25">
      <c r="A191">
        <v>7705</v>
      </c>
      <c r="B191" s="11">
        <v>4028899001126</v>
      </c>
      <c r="C191" s="1" t="s">
        <v>16</v>
      </c>
      <c r="D191" s="1" t="s">
        <v>12</v>
      </c>
      <c r="E191" s="1" t="s">
        <v>17</v>
      </c>
      <c r="F191">
        <v>2.8</v>
      </c>
      <c r="G191">
        <v>5</v>
      </c>
      <c r="H191" s="1" t="s">
        <v>14</v>
      </c>
      <c r="I191" s="1" t="s">
        <v>15</v>
      </c>
      <c r="J191" s="12">
        <v>45681</v>
      </c>
      <c r="K191">
        <v>0</v>
      </c>
      <c r="L191" s="1">
        <f t="shared" si="8"/>
        <v>14</v>
      </c>
      <c r="M191" s="1" t="str">
        <f t="shared" si="9"/>
        <v/>
      </c>
      <c r="N191" s="2">
        <f t="shared" si="10"/>
        <v>45658</v>
      </c>
      <c r="O191" t="str">
        <f t="shared" si="11"/>
        <v>pes</v>
      </c>
    </row>
    <row r="192" spans="1:15" x14ac:dyDescent="0.25">
      <c r="A192">
        <v>7706</v>
      </c>
      <c r="B192" s="11">
        <v>4013456789017</v>
      </c>
      <c r="C192" s="1" t="s">
        <v>11</v>
      </c>
      <c r="D192" s="1" t="s">
        <v>12</v>
      </c>
      <c r="E192" s="1" t="s">
        <v>13</v>
      </c>
      <c r="F192">
        <v>6</v>
      </c>
      <c r="G192">
        <v>2</v>
      </c>
      <c r="H192" s="1" t="s">
        <v>14</v>
      </c>
      <c r="I192" s="1" t="s">
        <v>15</v>
      </c>
      <c r="J192" s="12">
        <v>45681</v>
      </c>
      <c r="K192">
        <v>0</v>
      </c>
      <c r="L192" s="1">
        <f t="shared" si="8"/>
        <v>12</v>
      </c>
      <c r="M192" s="1" t="str">
        <f t="shared" si="9"/>
        <v/>
      </c>
      <c r="N192" s="2">
        <f t="shared" si="10"/>
        <v>45658</v>
      </c>
      <c r="O192" t="str">
        <f t="shared" si="11"/>
        <v>pes</v>
      </c>
    </row>
    <row r="193" spans="1:15" x14ac:dyDescent="0.25">
      <c r="A193">
        <v>7707</v>
      </c>
      <c r="B193" s="11">
        <v>4040123456795</v>
      </c>
      <c r="C193" s="1" t="s">
        <v>20</v>
      </c>
      <c r="D193" s="1" t="s">
        <v>21</v>
      </c>
      <c r="E193" s="1" t="s">
        <v>22</v>
      </c>
      <c r="F193">
        <v>8.8000000000000007</v>
      </c>
      <c r="G193">
        <v>1</v>
      </c>
      <c r="H193" s="1" t="s">
        <v>14</v>
      </c>
      <c r="I193" s="1" t="s">
        <v>15</v>
      </c>
      <c r="J193" s="12">
        <v>45681</v>
      </c>
      <c r="K193">
        <v>0</v>
      </c>
      <c r="L193" s="1">
        <f t="shared" si="8"/>
        <v>8.8000000000000007</v>
      </c>
      <c r="M193" s="1" t="str">
        <f t="shared" si="9"/>
        <v/>
      </c>
      <c r="N193" s="2">
        <f t="shared" si="10"/>
        <v>45658</v>
      </c>
      <c r="O193" t="str">
        <f t="shared" si="11"/>
        <v>pes</v>
      </c>
    </row>
    <row r="194" spans="1:15" hidden="1" x14ac:dyDescent="0.25">
      <c r="A194">
        <v>7708</v>
      </c>
      <c r="B194" s="11">
        <v>4010123456783</v>
      </c>
      <c r="C194" s="1" t="s">
        <v>35</v>
      </c>
      <c r="D194" s="1" t="s">
        <v>36</v>
      </c>
      <c r="E194" s="1" t="s">
        <v>37</v>
      </c>
      <c r="F194">
        <v>14</v>
      </c>
      <c r="G194">
        <v>1</v>
      </c>
      <c r="H194" s="1" t="s">
        <v>14</v>
      </c>
      <c r="I194" s="1" t="s">
        <v>15</v>
      </c>
      <c r="J194" s="12">
        <v>45681</v>
      </c>
      <c r="K194">
        <v>0</v>
      </c>
      <c r="L194" s="1">
        <f t="shared" ref="L194:L257" si="12">F194*G194</f>
        <v>14</v>
      </c>
      <c r="M194" s="1" t="str">
        <f t="shared" ref="M194:M257" si="13">IF(H194="NULL", "",VALUE(H194))</f>
        <v/>
      </c>
      <c r="N194" s="2">
        <f t="shared" ref="N194:N257" si="14">DATE(YEAR(J194),MONTH(J194),1)</f>
        <v>45658</v>
      </c>
      <c r="O194" t="str">
        <f t="shared" ref="O194:O257" si="15">IF(ISNUMBER(SEARCH("Mačky",D194)),"mačka",IF(ISNUMBER(SEARCH("Psy",D194)),"pes","iné"))</f>
        <v>mačka</v>
      </c>
    </row>
    <row r="195" spans="1:15" x14ac:dyDescent="0.25">
      <c r="A195">
        <v>7709</v>
      </c>
      <c r="B195" s="11">
        <v>4028899001126</v>
      </c>
      <c r="C195" s="1" t="s">
        <v>16</v>
      </c>
      <c r="D195" s="1" t="s">
        <v>12</v>
      </c>
      <c r="E195" s="1" t="s">
        <v>17</v>
      </c>
      <c r="F195">
        <v>2.8</v>
      </c>
      <c r="G195">
        <v>3</v>
      </c>
      <c r="H195" s="1" t="s">
        <v>14</v>
      </c>
      <c r="I195" s="1" t="s">
        <v>15</v>
      </c>
      <c r="J195" s="12">
        <v>45681</v>
      </c>
      <c r="K195">
        <v>0</v>
      </c>
      <c r="L195" s="1">
        <f t="shared" si="12"/>
        <v>8.3999999999999986</v>
      </c>
      <c r="M195" s="1" t="str">
        <f t="shared" si="13"/>
        <v/>
      </c>
      <c r="N195" s="2">
        <f t="shared" si="14"/>
        <v>45658</v>
      </c>
      <c r="O195" t="str">
        <f t="shared" si="15"/>
        <v>pes</v>
      </c>
    </row>
    <row r="196" spans="1:15" x14ac:dyDescent="0.25">
      <c r="A196">
        <v>7710</v>
      </c>
      <c r="B196" s="11">
        <v>4013456789017</v>
      </c>
      <c r="C196" s="1" t="s">
        <v>11</v>
      </c>
      <c r="D196" s="1" t="s">
        <v>12</v>
      </c>
      <c r="E196" s="1" t="s">
        <v>13</v>
      </c>
      <c r="F196">
        <v>6</v>
      </c>
      <c r="G196">
        <v>1</v>
      </c>
      <c r="H196" s="1" t="s">
        <v>14</v>
      </c>
      <c r="I196" s="1" t="s">
        <v>15</v>
      </c>
      <c r="J196" s="12">
        <v>45681</v>
      </c>
      <c r="K196">
        <v>0</v>
      </c>
      <c r="L196" s="1">
        <f t="shared" si="12"/>
        <v>6</v>
      </c>
      <c r="M196" s="1" t="str">
        <f t="shared" si="13"/>
        <v/>
      </c>
      <c r="N196" s="2">
        <f t="shared" si="14"/>
        <v>45658</v>
      </c>
      <c r="O196" t="str">
        <f t="shared" si="15"/>
        <v>pes</v>
      </c>
    </row>
    <row r="197" spans="1:15" x14ac:dyDescent="0.25">
      <c r="A197">
        <v>7711</v>
      </c>
      <c r="B197" s="11">
        <v>4063456789014</v>
      </c>
      <c r="C197" s="1" t="s">
        <v>60</v>
      </c>
      <c r="D197" s="1" t="s">
        <v>12</v>
      </c>
      <c r="E197" s="1" t="s">
        <v>61</v>
      </c>
      <c r="F197">
        <v>36</v>
      </c>
      <c r="G197">
        <v>1</v>
      </c>
      <c r="H197" s="1" t="s">
        <v>14</v>
      </c>
      <c r="I197" s="1" t="s">
        <v>15</v>
      </c>
      <c r="J197" s="12">
        <v>45681</v>
      </c>
      <c r="K197">
        <v>0</v>
      </c>
      <c r="L197" s="1">
        <f t="shared" si="12"/>
        <v>36</v>
      </c>
      <c r="M197" s="1" t="str">
        <f t="shared" si="13"/>
        <v/>
      </c>
      <c r="N197" s="2">
        <f t="shared" si="14"/>
        <v>45658</v>
      </c>
      <c r="O197" t="str">
        <f t="shared" si="15"/>
        <v>pes</v>
      </c>
    </row>
    <row r="198" spans="1:15" hidden="1" x14ac:dyDescent="0.25">
      <c r="A198">
        <v>7712</v>
      </c>
      <c r="B198" s="11">
        <v>4021234567894</v>
      </c>
      <c r="C198" s="1" t="s">
        <v>79</v>
      </c>
      <c r="D198" s="1" t="s">
        <v>36</v>
      </c>
      <c r="E198" s="1" t="s">
        <v>69</v>
      </c>
      <c r="F198">
        <v>8</v>
      </c>
      <c r="G198">
        <v>1</v>
      </c>
      <c r="H198" s="1" t="s">
        <v>14</v>
      </c>
      <c r="I198" s="1" t="s">
        <v>15</v>
      </c>
      <c r="J198" s="12">
        <v>45681</v>
      </c>
      <c r="K198">
        <v>0</v>
      </c>
      <c r="L198" s="1">
        <f t="shared" si="12"/>
        <v>8</v>
      </c>
      <c r="M198" s="1" t="str">
        <f t="shared" si="13"/>
        <v/>
      </c>
      <c r="N198" s="2">
        <f t="shared" si="14"/>
        <v>45658</v>
      </c>
      <c r="O198" t="str">
        <f t="shared" si="15"/>
        <v>mačka</v>
      </c>
    </row>
    <row r="199" spans="1:15" x14ac:dyDescent="0.25">
      <c r="A199">
        <v>7713</v>
      </c>
      <c r="B199" s="11">
        <v>4061011223346</v>
      </c>
      <c r="C199" s="1" t="s">
        <v>25</v>
      </c>
      <c r="D199" s="1" t="s">
        <v>26</v>
      </c>
      <c r="E199" s="1" t="s">
        <v>27</v>
      </c>
      <c r="F199">
        <v>19.600000000000001</v>
      </c>
      <c r="G199">
        <v>1</v>
      </c>
      <c r="H199" s="1" t="s">
        <v>14</v>
      </c>
      <c r="I199" s="1" t="s">
        <v>15</v>
      </c>
      <c r="J199" s="12">
        <v>45681</v>
      </c>
      <c r="K199">
        <v>0</v>
      </c>
      <c r="L199" s="1">
        <f t="shared" si="12"/>
        <v>19.600000000000001</v>
      </c>
      <c r="M199" s="1" t="str">
        <f t="shared" si="13"/>
        <v/>
      </c>
      <c r="N199" s="2">
        <f t="shared" si="14"/>
        <v>45658</v>
      </c>
      <c r="O199" t="str">
        <f t="shared" si="15"/>
        <v>pes</v>
      </c>
    </row>
    <row r="200" spans="1:15" x14ac:dyDescent="0.25">
      <c r="A200">
        <v>7714</v>
      </c>
      <c r="B200" s="11">
        <v>4028899001126</v>
      </c>
      <c r="C200" s="1" t="s">
        <v>16</v>
      </c>
      <c r="D200" s="1" t="s">
        <v>12</v>
      </c>
      <c r="E200" s="1" t="s">
        <v>17</v>
      </c>
      <c r="F200">
        <v>2.8</v>
      </c>
      <c r="G200">
        <v>4</v>
      </c>
      <c r="H200" s="1" t="s">
        <v>14</v>
      </c>
      <c r="I200" s="1" t="s">
        <v>15</v>
      </c>
      <c r="J200" s="12">
        <v>45681</v>
      </c>
      <c r="K200">
        <v>0</v>
      </c>
      <c r="L200" s="1">
        <f t="shared" si="12"/>
        <v>11.2</v>
      </c>
      <c r="M200" s="1" t="str">
        <f t="shared" si="13"/>
        <v/>
      </c>
      <c r="N200" s="2">
        <f t="shared" si="14"/>
        <v>45658</v>
      </c>
      <c r="O200" t="str">
        <f t="shared" si="15"/>
        <v>pes</v>
      </c>
    </row>
    <row r="201" spans="1:15" x14ac:dyDescent="0.25">
      <c r="A201">
        <v>7715</v>
      </c>
      <c r="B201" s="11">
        <v>4013456789017</v>
      </c>
      <c r="C201" s="1" t="s">
        <v>11</v>
      </c>
      <c r="D201" s="1" t="s">
        <v>12</v>
      </c>
      <c r="E201" s="1" t="s">
        <v>13</v>
      </c>
      <c r="F201">
        <v>6</v>
      </c>
      <c r="G201">
        <v>2</v>
      </c>
      <c r="H201" s="1" t="s">
        <v>14</v>
      </c>
      <c r="I201" s="1" t="s">
        <v>15</v>
      </c>
      <c r="J201" s="12">
        <v>45681</v>
      </c>
      <c r="K201">
        <v>0</v>
      </c>
      <c r="L201" s="1">
        <f t="shared" si="12"/>
        <v>12</v>
      </c>
      <c r="M201" s="1" t="str">
        <f t="shared" si="13"/>
        <v/>
      </c>
      <c r="N201" s="2">
        <f t="shared" si="14"/>
        <v>45658</v>
      </c>
      <c r="O201" t="str">
        <f t="shared" si="15"/>
        <v>pes</v>
      </c>
    </row>
    <row r="202" spans="1:15" hidden="1" x14ac:dyDescent="0.25">
      <c r="A202">
        <v>7716</v>
      </c>
      <c r="B202" s="11">
        <v>4056789012345</v>
      </c>
      <c r="C202" s="1" t="s">
        <v>47</v>
      </c>
      <c r="D202" s="1" t="s">
        <v>29</v>
      </c>
      <c r="E202" s="1" t="s">
        <v>37</v>
      </c>
      <c r="F202">
        <v>2.4</v>
      </c>
      <c r="G202">
        <v>3</v>
      </c>
      <c r="H202" s="1" t="s">
        <v>14</v>
      </c>
      <c r="I202" s="1" t="s">
        <v>15</v>
      </c>
      <c r="J202" s="12">
        <v>45681</v>
      </c>
      <c r="K202">
        <v>0</v>
      </c>
      <c r="L202" s="1">
        <f t="shared" si="12"/>
        <v>7.1999999999999993</v>
      </c>
      <c r="M202" s="1" t="str">
        <f t="shared" si="13"/>
        <v/>
      </c>
      <c r="N202" s="2">
        <f t="shared" si="14"/>
        <v>45658</v>
      </c>
      <c r="O202" t="str">
        <f t="shared" si="15"/>
        <v>mačka</v>
      </c>
    </row>
    <row r="203" spans="1:15" x14ac:dyDescent="0.25">
      <c r="A203">
        <v>7717</v>
      </c>
      <c r="B203" s="11">
        <v>4063456789014</v>
      </c>
      <c r="C203" s="1" t="s">
        <v>60</v>
      </c>
      <c r="D203" s="1" t="s">
        <v>12</v>
      </c>
      <c r="E203" s="1" t="s">
        <v>61</v>
      </c>
      <c r="F203">
        <v>36</v>
      </c>
      <c r="G203">
        <v>1</v>
      </c>
      <c r="H203" s="1" t="s">
        <v>14</v>
      </c>
      <c r="I203" s="1" t="s">
        <v>15</v>
      </c>
      <c r="J203" s="12">
        <v>45681</v>
      </c>
      <c r="K203">
        <v>0</v>
      </c>
      <c r="L203" s="1">
        <f t="shared" si="12"/>
        <v>36</v>
      </c>
      <c r="M203" s="1" t="str">
        <f t="shared" si="13"/>
        <v/>
      </c>
      <c r="N203" s="2">
        <f t="shared" si="14"/>
        <v>45658</v>
      </c>
      <c r="O203" t="str">
        <f t="shared" si="15"/>
        <v>pes</v>
      </c>
    </row>
    <row r="204" spans="1:15" hidden="1" x14ac:dyDescent="0.25">
      <c r="A204">
        <v>7718</v>
      </c>
      <c r="B204" s="11">
        <v>4026677889902</v>
      </c>
      <c r="C204" s="1" t="s">
        <v>52</v>
      </c>
      <c r="D204" s="1" t="s">
        <v>53</v>
      </c>
      <c r="E204" s="1" t="s">
        <v>54</v>
      </c>
      <c r="F204">
        <v>7.6</v>
      </c>
      <c r="G204">
        <v>1</v>
      </c>
      <c r="H204" s="1" t="s">
        <v>14</v>
      </c>
      <c r="I204" s="1" t="s">
        <v>15</v>
      </c>
      <c r="J204" s="12">
        <v>45681</v>
      </c>
      <c r="K204">
        <v>0</v>
      </c>
      <c r="L204" s="1">
        <f t="shared" si="12"/>
        <v>7.6</v>
      </c>
      <c r="M204" s="1" t="str">
        <f t="shared" si="13"/>
        <v/>
      </c>
      <c r="N204" s="2">
        <f t="shared" si="14"/>
        <v>45658</v>
      </c>
      <c r="O204" t="str">
        <f t="shared" si="15"/>
        <v>iné</v>
      </c>
    </row>
    <row r="205" spans="1:15" x14ac:dyDescent="0.25">
      <c r="A205">
        <v>7719</v>
      </c>
      <c r="B205" s="11">
        <v>4028899001126</v>
      </c>
      <c r="C205" s="1" t="s">
        <v>16</v>
      </c>
      <c r="D205" s="1" t="s">
        <v>12</v>
      </c>
      <c r="E205" s="1" t="s">
        <v>17</v>
      </c>
      <c r="F205">
        <v>2.8</v>
      </c>
      <c r="G205">
        <v>5</v>
      </c>
      <c r="H205" s="1" t="s">
        <v>14</v>
      </c>
      <c r="I205" s="1" t="s">
        <v>15</v>
      </c>
      <c r="J205" s="12">
        <v>45681</v>
      </c>
      <c r="K205">
        <v>0</v>
      </c>
      <c r="L205" s="1">
        <f t="shared" si="12"/>
        <v>14</v>
      </c>
      <c r="M205" s="1" t="str">
        <f t="shared" si="13"/>
        <v/>
      </c>
      <c r="N205" s="2">
        <f t="shared" si="14"/>
        <v>45658</v>
      </c>
      <c r="O205" t="str">
        <f t="shared" si="15"/>
        <v>pes</v>
      </c>
    </row>
    <row r="206" spans="1:15" x14ac:dyDescent="0.25">
      <c r="A206">
        <v>7720</v>
      </c>
      <c r="B206" s="11">
        <v>4013456789017</v>
      </c>
      <c r="C206" s="1" t="s">
        <v>11</v>
      </c>
      <c r="D206" s="1" t="s">
        <v>12</v>
      </c>
      <c r="E206" s="1" t="s">
        <v>13</v>
      </c>
      <c r="F206">
        <v>6</v>
      </c>
      <c r="G206">
        <v>2</v>
      </c>
      <c r="H206" s="1" t="s">
        <v>14</v>
      </c>
      <c r="I206" s="1" t="s">
        <v>15</v>
      </c>
      <c r="J206" s="12">
        <v>45681</v>
      </c>
      <c r="K206">
        <v>0</v>
      </c>
      <c r="L206" s="1">
        <f t="shared" si="12"/>
        <v>12</v>
      </c>
      <c r="M206" s="1" t="str">
        <f t="shared" si="13"/>
        <v/>
      </c>
      <c r="N206" s="2">
        <f t="shared" si="14"/>
        <v>45658</v>
      </c>
      <c r="O206" t="str">
        <f t="shared" si="15"/>
        <v>pes</v>
      </c>
    </row>
    <row r="207" spans="1:15" x14ac:dyDescent="0.25">
      <c r="A207">
        <v>7721</v>
      </c>
      <c r="B207" s="11">
        <v>4040123456795</v>
      </c>
      <c r="C207" s="1" t="s">
        <v>20</v>
      </c>
      <c r="D207" s="1" t="s">
        <v>21</v>
      </c>
      <c r="E207" s="1" t="s">
        <v>22</v>
      </c>
      <c r="F207">
        <v>8.8000000000000007</v>
      </c>
      <c r="G207">
        <v>1</v>
      </c>
      <c r="H207" s="1" t="s">
        <v>14</v>
      </c>
      <c r="I207" s="1" t="s">
        <v>15</v>
      </c>
      <c r="J207" s="12">
        <v>45681</v>
      </c>
      <c r="K207">
        <v>0</v>
      </c>
      <c r="L207" s="1">
        <f t="shared" si="12"/>
        <v>8.8000000000000007</v>
      </c>
      <c r="M207" s="1" t="str">
        <f t="shared" si="13"/>
        <v/>
      </c>
      <c r="N207" s="2">
        <f t="shared" si="14"/>
        <v>45658</v>
      </c>
      <c r="O207" t="str">
        <f t="shared" si="15"/>
        <v>pes</v>
      </c>
    </row>
    <row r="208" spans="1:15" hidden="1" x14ac:dyDescent="0.25">
      <c r="A208">
        <v>7722</v>
      </c>
      <c r="B208" s="11">
        <v>4010123456783</v>
      </c>
      <c r="C208" s="1" t="s">
        <v>35</v>
      </c>
      <c r="D208" s="1" t="s">
        <v>36</v>
      </c>
      <c r="E208" s="1" t="s">
        <v>37</v>
      </c>
      <c r="F208">
        <v>14</v>
      </c>
      <c r="G208">
        <v>1</v>
      </c>
      <c r="H208" s="1" t="s">
        <v>14</v>
      </c>
      <c r="I208" s="1" t="s">
        <v>15</v>
      </c>
      <c r="J208" s="12">
        <v>45681</v>
      </c>
      <c r="K208">
        <v>0</v>
      </c>
      <c r="L208" s="1">
        <f t="shared" si="12"/>
        <v>14</v>
      </c>
      <c r="M208" s="1" t="str">
        <f t="shared" si="13"/>
        <v/>
      </c>
      <c r="N208" s="2">
        <f t="shared" si="14"/>
        <v>45658</v>
      </c>
      <c r="O208" t="str">
        <f t="shared" si="15"/>
        <v>mačka</v>
      </c>
    </row>
    <row r="209" spans="1:15" x14ac:dyDescent="0.25">
      <c r="A209">
        <v>7723</v>
      </c>
      <c r="B209" s="11">
        <v>4028899001126</v>
      </c>
      <c r="C209" s="1" t="s">
        <v>16</v>
      </c>
      <c r="D209" s="1" t="s">
        <v>12</v>
      </c>
      <c r="E209" s="1" t="s">
        <v>17</v>
      </c>
      <c r="F209">
        <v>2.8</v>
      </c>
      <c r="G209">
        <v>3</v>
      </c>
      <c r="H209" s="1" t="s">
        <v>14</v>
      </c>
      <c r="I209" s="1" t="s">
        <v>15</v>
      </c>
      <c r="J209" s="12">
        <v>45681</v>
      </c>
      <c r="K209">
        <v>0</v>
      </c>
      <c r="L209" s="1">
        <f t="shared" si="12"/>
        <v>8.3999999999999986</v>
      </c>
      <c r="M209" s="1" t="str">
        <f t="shared" si="13"/>
        <v/>
      </c>
      <c r="N209" s="2">
        <f t="shared" si="14"/>
        <v>45658</v>
      </c>
      <c r="O209" t="str">
        <f t="shared" si="15"/>
        <v>pes</v>
      </c>
    </row>
    <row r="210" spans="1:15" x14ac:dyDescent="0.25">
      <c r="A210">
        <v>7724</v>
      </c>
      <c r="B210" s="11">
        <v>4013456789017</v>
      </c>
      <c r="C210" s="1" t="s">
        <v>11</v>
      </c>
      <c r="D210" s="1" t="s">
        <v>12</v>
      </c>
      <c r="E210" s="1" t="s">
        <v>13</v>
      </c>
      <c r="F210">
        <v>6</v>
      </c>
      <c r="G210">
        <v>1</v>
      </c>
      <c r="H210" s="1" t="s">
        <v>14</v>
      </c>
      <c r="I210" s="1" t="s">
        <v>15</v>
      </c>
      <c r="J210" s="12">
        <v>45681</v>
      </c>
      <c r="K210">
        <v>0</v>
      </c>
      <c r="L210" s="1">
        <f t="shared" si="12"/>
        <v>6</v>
      </c>
      <c r="M210" s="1" t="str">
        <f t="shared" si="13"/>
        <v/>
      </c>
      <c r="N210" s="2">
        <f t="shared" si="14"/>
        <v>45658</v>
      </c>
      <c r="O210" t="str">
        <f t="shared" si="15"/>
        <v>pes</v>
      </c>
    </row>
    <row r="211" spans="1:15" x14ac:dyDescent="0.25">
      <c r="A211">
        <v>7725</v>
      </c>
      <c r="B211" s="11">
        <v>4063456789014</v>
      </c>
      <c r="C211" s="1" t="s">
        <v>60</v>
      </c>
      <c r="D211" s="1" t="s">
        <v>12</v>
      </c>
      <c r="E211" s="1" t="s">
        <v>61</v>
      </c>
      <c r="F211">
        <v>36</v>
      </c>
      <c r="G211">
        <v>1</v>
      </c>
      <c r="H211" s="1" t="s">
        <v>14</v>
      </c>
      <c r="I211" s="1" t="s">
        <v>15</v>
      </c>
      <c r="J211" s="12">
        <v>45681</v>
      </c>
      <c r="K211">
        <v>0</v>
      </c>
      <c r="L211" s="1">
        <f t="shared" si="12"/>
        <v>36</v>
      </c>
      <c r="M211" s="1" t="str">
        <f t="shared" si="13"/>
        <v/>
      </c>
      <c r="N211" s="2">
        <f t="shared" si="14"/>
        <v>45658</v>
      </c>
      <c r="O211" t="str">
        <f t="shared" si="15"/>
        <v>pes</v>
      </c>
    </row>
    <row r="212" spans="1:15" hidden="1" x14ac:dyDescent="0.25">
      <c r="A212">
        <v>7726</v>
      </c>
      <c r="B212" s="11">
        <v>4021234567894</v>
      </c>
      <c r="C212" s="1" t="s">
        <v>79</v>
      </c>
      <c r="D212" s="1" t="s">
        <v>36</v>
      </c>
      <c r="E212" s="1" t="s">
        <v>69</v>
      </c>
      <c r="F212">
        <v>8</v>
      </c>
      <c r="G212">
        <v>1</v>
      </c>
      <c r="H212" s="1" t="s">
        <v>14</v>
      </c>
      <c r="I212" s="1" t="s">
        <v>15</v>
      </c>
      <c r="J212" s="12">
        <v>45681</v>
      </c>
      <c r="K212">
        <v>0</v>
      </c>
      <c r="L212" s="1">
        <f t="shared" si="12"/>
        <v>8</v>
      </c>
      <c r="M212" s="1" t="str">
        <f t="shared" si="13"/>
        <v/>
      </c>
      <c r="N212" s="2">
        <f t="shared" si="14"/>
        <v>45658</v>
      </c>
      <c r="O212" t="str">
        <f t="shared" si="15"/>
        <v>mačka</v>
      </c>
    </row>
    <row r="213" spans="1:15" x14ac:dyDescent="0.25">
      <c r="A213">
        <v>7727</v>
      </c>
      <c r="B213" s="11">
        <v>4061011223346</v>
      </c>
      <c r="C213" s="1" t="s">
        <v>25</v>
      </c>
      <c r="D213" s="1" t="s">
        <v>26</v>
      </c>
      <c r="E213" s="1" t="s">
        <v>27</v>
      </c>
      <c r="F213">
        <v>19.600000000000001</v>
      </c>
      <c r="G213">
        <v>1</v>
      </c>
      <c r="H213" s="1" t="s">
        <v>14</v>
      </c>
      <c r="I213" s="1" t="s">
        <v>15</v>
      </c>
      <c r="J213" s="12">
        <v>45681</v>
      </c>
      <c r="K213">
        <v>0</v>
      </c>
      <c r="L213" s="1">
        <f t="shared" si="12"/>
        <v>19.600000000000001</v>
      </c>
      <c r="M213" s="1" t="str">
        <f t="shared" si="13"/>
        <v/>
      </c>
      <c r="N213" s="2">
        <f t="shared" si="14"/>
        <v>45658</v>
      </c>
      <c r="O213" t="str">
        <f t="shared" si="15"/>
        <v>pes</v>
      </c>
    </row>
    <row r="214" spans="1:15" x14ac:dyDescent="0.25">
      <c r="A214">
        <v>7728</v>
      </c>
      <c r="B214" s="11">
        <v>4028899001126</v>
      </c>
      <c r="C214" s="1" t="s">
        <v>16</v>
      </c>
      <c r="D214" s="1" t="s">
        <v>12</v>
      </c>
      <c r="E214" s="1" t="s">
        <v>17</v>
      </c>
      <c r="F214">
        <v>2.8</v>
      </c>
      <c r="G214">
        <v>4</v>
      </c>
      <c r="H214" s="1" t="s">
        <v>14</v>
      </c>
      <c r="I214" s="1" t="s">
        <v>15</v>
      </c>
      <c r="J214" s="12">
        <v>45681</v>
      </c>
      <c r="K214">
        <v>0</v>
      </c>
      <c r="L214" s="1">
        <f t="shared" si="12"/>
        <v>11.2</v>
      </c>
      <c r="M214" s="1" t="str">
        <f t="shared" si="13"/>
        <v/>
      </c>
      <c r="N214" s="2">
        <f t="shared" si="14"/>
        <v>45658</v>
      </c>
      <c r="O214" t="str">
        <f t="shared" si="15"/>
        <v>pes</v>
      </c>
    </row>
    <row r="215" spans="1:15" x14ac:dyDescent="0.25">
      <c r="A215">
        <v>7729</v>
      </c>
      <c r="B215" s="11">
        <v>4013456789017</v>
      </c>
      <c r="C215" s="1" t="s">
        <v>11</v>
      </c>
      <c r="D215" s="1" t="s">
        <v>12</v>
      </c>
      <c r="E215" s="1" t="s">
        <v>13</v>
      </c>
      <c r="F215">
        <v>6</v>
      </c>
      <c r="G215">
        <v>2</v>
      </c>
      <c r="H215" s="1" t="s">
        <v>14</v>
      </c>
      <c r="I215" s="1" t="s">
        <v>15</v>
      </c>
      <c r="J215" s="12">
        <v>45681</v>
      </c>
      <c r="K215">
        <v>0</v>
      </c>
      <c r="L215" s="1">
        <f t="shared" si="12"/>
        <v>12</v>
      </c>
      <c r="M215" s="1" t="str">
        <f t="shared" si="13"/>
        <v/>
      </c>
      <c r="N215" s="2">
        <f t="shared" si="14"/>
        <v>45658</v>
      </c>
      <c r="O215" t="str">
        <f t="shared" si="15"/>
        <v>pes</v>
      </c>
    </row>
    <row r="216" spans="1:15" hidden="1" x14ac:dyDescent="0.25">
      <c r="A216">
        <v>7730</v>
      </c>
      <c r="B216" s="11">
        <v>4056789012345</v>
      </c>
      <c r="C216" s="1" t="s">
        <v>47</v>
      </c>
      <c r="D216" s="1" t="s">
        <v>29</v>
      </c>
      <c r="E216" s="1" t="s">
        <v>37</v>
      </c>
      <c r="F216">
        <v>2.4</v>
      </c>
      <c r="G216">
        <v>3</v>
      </c>
      <c r="H216" s="1" t="s">
        <v>14</v>
      </c>
      <c r="I216" s="1" t="s">
        <v>15</v>
      </c>
      <c r="J216" s="12">
        <v>45681</v>
      </c>
      <c r="K216">
        <v>0</v>
      </c>
      <c r="L216" s="1">
        <f t="shared" si="12"/>
        <v>7.1999999999999993</v>
      </c>
      <c r="M216" s="1" t="str">
        <f t="shared" si="13"/>
        <v/>
      </c>
      <c r="N216" s="2">
        <f t="shared" si="14"/>
        <v>45658</v>
      </c>
      <c r="O216" t="str">
        <f t="shared" si="15"/>
        <v>mačka</v>
      </c>
    </row>
    <row r="217" spans="1:15" x14ac:dyDescent="0.25">
      <c r="A217">
        <v>7731</v>
      </c>
      <c r="B217" s="11">
        <v>4063456789014</v>
      </c>
      <c r="C217" s="1" t="s">
        <v>60</v>
      </c>
      <c r="D217" s="1" t="s">
        <v>12</v>
      </c>
      <c r="E217" s="1" t="s">
        <v>61</v>
      </c>
      <c r="F217">
        <v>36</v>
      </c>
      <c r="G217">
        <v>1</v>
      </c>
      <c r="H217" s="1" t="s">
        <v>14</v>
      </c>
      <c r="I217" s="1" t="s">
        <v>15</v>
      </c>
      <c r="J217" s="12">
        <v>45681</v>
      </c>
      <c r="K217">
        <v>0</v>
      </c>
      <c r="L217" s="1">
        <f t="shared" si="12"/>
        <v>36</v>
      </c>
      <c r="M217" s="1" t="str">
        <f t="shared" si="13"/>
        <v/>
      </c>
      <c r="N217" s="2">
        <f t="shared" si="14"/>
        <v>45658</v>
      </c>
      <c r="O217" t="str">
        <f t="shared" si="15"/>
        <v>pes</v>
      </c>
    </row>
    <row r="218" spans="1:15" hidden="1" x14ac:dyDescent="0.25">
      <c r="A218">
        <v>7732</v>
      </c>
      <c r="B218" s="11">
        <v>4026677889902</v>
      </c>
      <c r="C218" s="1" t="s">
        <v>52</v>
      </c>
      <c r="D218" s="1" t="s">
        <v>53</v>
      </c>
      <c r="E218" s="1" t="s">
        <v>54</v>
      </c>
      <c r="F218">
        <v>7.6</v>
      </c>
      <c r="G218">
        <v>1</v>
      </c>
      <c r="H218" s="1" t="s">
        <v>14</v>
      </c>
      <c r="I218" s="1" t="s">
        <v>15</v>
      </c>
      <c r="J218" s="12">
        <v>45681</v>
      </c>
      <c r="K218">
        <v>0</v>
      </c>
      <c r="L218" s="1">
        <f t="shared" si="12"/>
        <v>7.6</v>
      </c>
      <c r="M218" s="1" t="str">
        <f t="shared" si="13"/>
        <v/>
      </c>
      <c r="N218" s="2">
        <f t="shared" si="14"/>
        <v>45658</v>
      </c>
      <c r="O218" t="str">
        <f t="shared" si="15"/>
        <v>iné</v>
      </c>
    </row>
    <row r="219" spans="1:15" x14ac:dyDescent="0.25">
      <c r="A219">
        <v>7733</v>
      </c>
      <c r="B219" s="11">
        <v>4028899001126</v>
      </c>
      <c r="C219" s="1" t="s">
        <v>16</v>
      </c>
      <c r="D219" s="1" t="s">
        <v>12</v>
      </c>
      <c r="E219" s="1" t="s">
        <v>17</v>
      </c>
      <c r="F219">
        <v>2.8</v>
      </c>
      <c r="G219">
        <v>5</v>
      </c>
      <c r="H219" s="1" t="s">
        <v>14</v>
      </c>
      <c r="I219" s="1" t="s">
        <v>15</v>
      </c>
      <c r="J219" s="12">
        <v>45681</v>
      </c>
      <c r="K219">
        <v>0</v>
      </c>
      <c r="L219" s="1">
        <f t="shared" si="12"/>
        <v>14</v>
      </c>
      <c r="M219" s="1" t="str">
        <f t="shared" si="13"/>
        <v/>
      </c>
      <c r="N219" s="2">
        <f t="shared" si="14"/>
        <v>45658</v>
      </c>
      <c r="O219" t="str">
        <f t="shared" si="15"/>
        <v>pes</v>
      </c>
    </row>
    <row r="220" spans="1:15" x14ac:dyDescent="0.25">
      <c r="A220">
        <v>7734</v>
      </c>
      <c r="B220" s="11">
        <v>4013456789017</v>
      </c>
      <c r="C220" s="1" t="s">
        <v>11</v>
      </c>
      <c r="D220" s="1" t="s">
        <v>12</v>
      </c>
      <c r="E220" s="1" t="s">
        <v>13</v>
      </c>
      <c r="F220">
        <v>6</v>
      </c>
      <c r="G220">
        <v>2</v>
      </c>
      <c r="H220" s="1" t="s">
        <v>14</v>
      </c>
      <c r="I220" s="1" t="s">
        <v>15</v>
      </c>
      <c r="J220" s="12">
        <v>45681</v>
      </c>
      <c r="K220">
        <v>0</v>
      </c>
      <c r="L220" s="1">
        <f t="shared" si="12"/>
        <v>12</v>
      </c>
      <c r="M220" s="1" t="str">
        <f t="shared" si="13"/>
        <v/>
      </c>
      <c r="N220" s="2">
        <f t="shared" si="14"/>
        <v>45658</v>
      </c>
      <c r="O220" t="str">
        <f t="shared" si="15"/>
        <v>pes</v>
      </c>
    </row>
    <row r="221" spans="1:15" x14ac:dyDescent="0.25">
      <c r="A221">
        <v>7735</v>
      </c>
      <c r="B221" s="11">
        <v>4040123456795</v>
      </c>
      <c r="C221" s="1" t="s">
        <v>20</v>
      </c>
      <c r="D221" s="1" t="s">
        <v>21</v>
      </c>
      <c r="E221" s="1" t="s">
        <v>22</v>
      </c>
      <c r="F221">
        <v>8.8000000000000007</v>
      </c>
      <c r="G221">
        <v>1</v>
      </c>
      <c r="H221" s="1" t="s">
        <v>14</v>
      </c>
      <c r="I221" s="1" t="s">
        <v>15</v>
      </c>
      <c r="J221" s="12">
        <v>45681</v>
      </c>
      <c r="K221">
        <v>0</v>
      </c>
      <c r="L221" s="1">
        <f t="shared" si="12"/>
        <v>8.8000000000000007</v>
      </c>
      <c r="M221" s="1" t="str">
        <f t="shared" si="13"/>
        <v/>
      </c>
      <c r="N221" s="2">
        <f t="shared" si="14"/>
        <v>45658</v>
      </c>
      <c r="O221" t="str">
        <f t="shared" si="15"/>
        <v>pes</v>
      </c>
    </row>
    <row r="222" spans="1:15" hidden="1" x14ac:dyDescent="0.25">
      <c r="A222">
        <v>7736</v>
      </c>
      <c r="B222" s="11">
        <v>4010123456783</v>
      </c>
      <c r="C222" s="1" t="s">
        <v>35</v>
      </c>
      <c r="D222" s="1" t="s">
        <v>36</v>
      </c>
      <c r="E222" s="1" t="s">
        <v>37</v>
      </c>
      <c r="F222">
        <v>14</v>
      </c>
      <c r="G222">
        <v>1</v>
      </c>
      <c r="H222" s="1" t="s">
        <v>14</v>
      </c>
      <c r="I222" s="1" t="s">
        <v>15</v>
      </c>
      <c r="J222" s="12">
        <v>45681</v>
      </c>
      <c r="K222">
        <v>0</v>
      </c>
      <c r="L222" s="1">
        <f t="shared" si="12"/>
        <v>14</v>
      </c>
      <c r="M222" s="1" t="str">
        <f t="shared" si="13"/>
        <v/>
      </c>
      <c r="N222" s="2">
        <f t="shared" si="14"/>
        <v>45658</v>
      </c>
      <c r="O222" t="str">
        <f t="shared" si="15"/>
        <v>mačka</v>
      </c>
    </row>
    <row r="223" spans="1:15" x14ac:dyDescent="0.25">
      <c r="A223">
        <v>7737</v>
      </c>
      <c r="B223" s="11">
        <v>4028899001126</v>
      </c>
      <c r="C223" s="1" t="s">
        <v>16</v>
      </c>
      <c r="D223" s="1" t="s">
        <v>12</v>
      </c>
      <c r="E223" s="1" t="s">
        <v>17</v>
      </c>
      <c r="F223">
        <v>2.8</v>
      </c>
      <c r="G223">
        <v>3</v>
      </c>
      <c r="H223" s="1" t="s">
        <v>14</v>
      </c>
      <c r="I223" s="1" t="s">
        <v>15</v>
      </c>
      <c r="J223" s="12">
        <v>45681</v>
      </c>
      <c r="K223">
        <v>0</v>
      </c>
      <c r="L223" s="1">
        <f t="shared" si="12"/>
        <v>8.3999999999999986</v>
      </c>
      <c r="M223" s="1" t="str">
        <f t="shared" si="13"/>
        <v/>
      </c>
      <c r="N223" s="2">
        <f t="shared" si="14"/>
        <v>45658</v>
      </c>
      <c r="O223" t="str">
        <f t="shared" si="15"/>
        <v>pes</v>
      </c>
    </row>
    <row r="224" spans="1:15" x14ac:dyDescent="0.25">
      <c r="A224">
        <v>7738</v>
      </c>
      <c r="B224" s="11">
        <v>4013456789017</v>
      </c>
      <c r="C224" s="1" t="s">
        <v>11</v>
      </c>
      <c r="D224" s="1" t="s">
        <v>12</v>
      </c>
      <c r="E224" s="1" t="s">
        <v>13</v>
      </c>
      <c r="F224">
        <v>6</v>
      </c>
      <c r="G224">
        <v>1</v>
      </c>
      <c r="H224" s="1" t="s">
        <v>14</v>
      </c>
      <c r="I224" s="1" t="s">
        <v>15</v>
      </c>
      <c r="J224" s="12">
        <v>45681</v>
      </c>
      <c r="K224">
        <v>0</v>
      </c>
      <c r="L224" s="1">
        <f t="shared" si="12"/>
        <v>6</v>
      </c>
      <c r="M224" s="1" t="str">
        <f t="shared" si="13"/>
        <v/>
      </c>
      <c r="N224" s="2">
        <f t="shared" si="14"/>
        <v>45658</v>
      </c>
      <c r="O224" t="str">
        <f t="shared" si="15"/>
        <v>pes</v>
      </c>
    </row>
    <row r="225" spans="1:15" x14ac:dyDescent="0.25">
      <c r="A225">
        <v>7739</v>
      </c>
      <c r="B225" s="11">
        <v>4063456789014</v>
      </c>
      <c r="C225" s="1" t="s">
        <v>60</v>
      </c>
      <c r="D225" s="1" t="s">
        <v>12</v>
      </c>
      <c r="E225" s="1" t="s">
        <v>61</v>
      </c>
      <c r="F225">
        <v>36</v>
      </c>
      <c r="G225">
        <v>1</v>
      </c>
      <c r="H225" s="1" t="s">
        <v>14</v>
      </c>
      <c r="I225" s="1" t="s">
        <v>15</v>
      </c>
      <c r="J225" s="12">
        <v>45681</v>
      </c>
      <c r="K225">
        <v>0</v>
      </c>
      <c r="L225" s="1">
        <f t="shared" si="12"/>
        <v>36</v>
      </c>
      <c r="M225" s="1" t="str">
        <f t="shared" si="13"/>
        <v/>
      </c>
      <c r="N225" s="2">
        <f t="shared" si="14"/>
        <v>45658</v>
      </c>
      <c r="O225" t="str">
        <f t="shared" si="15"/>
        <v>pes</v>
      </c>
    </row>
    <row r="226" spans="1:15" hidden="1" x14ac:dyDescent="0.25">
      <c r="A226">
        <v>7740</v>
      </c>
      <c r="B226" s="11">
        <v>4021234567894</v>
      </c>
      <c r="C226" s="1" t="s">
        <v>79</v>
      </c>
      <c r="D226" s="1" t="s">
        <v>36</v>
      </c>
      <c r="E226" s="1" t="s">
        <v>69</v>
      </c>
      <c r="F226">
        <v>8</v>
      </c>
      <c r="G226">
        <v>1</v>
      </c>
      <c r="H226" s="1" t="s">
        <v>14</v>
      </c>
      <c r="I226" s="1" t="s">
        <v>15</v>
      </c>
      <c r="J226" s="12">
        <v>45681</v>
      </c>
      <c r="K226">
        <v>0</v>
      </c>
      <c r="L226" s="1">
        <f t="shared" si="12"/>
        <v>8</v>
      </c>
      <c r="M226" s="1" t="str">
        <f t="shared" si="13"/>
        <v/>
      </c>
      <c r="N226" s="2">
        <f t="shared" si="14"/>
        <v>45658</v>
      </c>
      <c r="O226" t="str">
        <f t="shared" si="15"/>
        <v>mačka</v>
      </c>
    </row>
    <row r="227" spans="1:15" x14ac:dyDescent="0.25">
      <c r="A227">
        <v>7741</v>
      </c>
      <c r="B227" s="11">
        <v>4061011223346</v>
      </c>
      <c r="C227" s="1" t="s">
        <v>25</v>
      </c>
      <c r="D227" s="1" t="s">
        <v>26</v>
      </c>
      <c r="E227" s="1" t="s">
        <v>27</v>
      </c>
      <c r="F227">
        <v>19.600000000000001</v>
      </c>
      <c r="G227">
        <v>1</v>
      </c>
      <c r="H227" s="1" t="s">
        <v>14</v>
      </c>
      <c r="I227" s="1" t="s">
        <v>15</v>
      </c>
      <c r="J227" s="12">
        <v>45682</v>
      </c>
      <c r="K227">
        <v>0</v>
      </c>
      <c r="L227" s="1">
        <f t="shared" si="12"/>
        <v>19.600000000000001</v>
      </c>
      <c r="M227" s="1" t="str">
        <f t="shared" si="13"/>
        <v/>
      </c>
      <c r="N227" s="2">
        <f t="shared" si="14"/>
        <v>45658</v>
      </c>
      <c r="O227" t="str">
        <f t="shared" si="15"/>
        <v>pes</v>
      </c>
    </row>
    <row r="228" spans="1:15" x14ac:dyDescent="0.25">
      <c r="A228">
        <v>7742</v>
      </c>
      <c r="B228" s="11">
        <v>4028899001126</v>
      </c>
      <c r="C228" s="1" t="s">
        <v>16</v>
      </c>
      <c r="D228" s="1" t="s">
        <v>12</v>
      </c>
      <c r="E228" s="1" t="s">
        <v>17</v>
      </c>
      <c r="F228">
        <v>2.8</v>
      </c>
      <c r="G228">
        <v>5</v>
      </c>
      <c r="H228" s="1" t="s">
        <v>14</v>
      </c>
      <c r="I228" s="1" t="s">
        <v>15</v>
      </c>
      <c r="J228" s="12">
        <v>45682</v>
      </c>
      <c r="K228">
        <v>0</v>
      </c>
      <c r="L228" s="1">
        <f t="shared" si="12"/>
        <v>14</v>
      </c>
      <c r="M228" s="1" t="str">
        <f t="shared" si="13"/>
        <v/>
      </c>
      <c r="N228" s="2">
        <f t="shared" si="14"/>
        <v>45658</v>
      </c>
      <c r="O228" t="str">
        <f t="shared" si="15"/>
        <v>pes</v>
      </c>
    </row>
    <row r="229" spans="1:15" x14ac:dyDescent="0.25">
      <c r="A229">
        <v>7743</v>
      </c>
      <c r="B229" s="11">
        <v>4013456789017</v>
      </c>
      <c r="C229" s="1" t="s">
        <v>11</v>
      </c>
      <c r="D229" s="1" t="s">
        <v>12</v>
      </c>
      <c r="E229" s="1" t="s">
        <v>13</v>
      </c>
      <c r="F229">
        <v>6</v>
      </c>
      <c r="G229">
        <v>2</v>
      </c>
      <c r="H229" s="1" t="s">
        <v>14</v>
      </c>
      <c r="I229" s="1" t="s">
        <v>15</v>
      </c>
      <c r="J229" s="12">
        <v>45682</v>
      </c>
      <c r="K229">
        <v>0</v>
      </c>
      <c r="L229" s="1">
        <f t="shared" si="12"/>
        <v>12</v>
      </c>
      <c r="M229" s="1" t="str">
        <f t="shared" si="13"/>
        <v/>
      </c>
      <c r="N229" s="2">
        <f t="shared" si="14"/>
        <v>45658</v>
      </c>
      <c r="O229" t="str">
        <f t="shared" si="15"/>
        <v>pes</v>
      </c>
    </row>
    <row r="230" spans="1:15" x14ac:dyDescent="0.25">
      <c r="A230">
        <v>7744</v>
      </c>
      <c r="B230" s="11">
        <v>4063456789014</v>
      </c>
      <c r="C230" s="1" t="s">
        <v>60</v>
      </c>
      <c r="D230" s="1" t="s">
        <v>12</v>
      </c>
      <c r="E230" s="1" t="s">
        <v>61</v>
      </c>
      <c r="F230">
        <v>36</v>
      </c>
      <c r="G230">
        <v>1</v>
      </c>
      <c r="H230" s="1" t="s">
        <v>18</v>
      </c>
      <c r="I230" s="1" t="s">
        <v>107</v>
      </c>
      <c r="J230" s="12">
        <v>45682</v>
      </c>
      <c r="K230">
        <v>0</v>
      </c>
      <c r="L230" s="1">
        <f t="shared" si="12"/>
        <v>36</v>
      </c>
      <c r="M230" s="1">
        <f t="shared" si="13"/>
        <v>4</v>
      </c>
      <c r="N230" s="2">
        <f t="shared" si="14"/>
        <v>45658</v>
      </c>
      <c r="O230" t="str">
        <f t="shared" si="15"/>
        <v>pes</v>
      </c>
    </row>
    <row r="231" spans="1:15" hidden="1" x14ac:dyDescent="0.25">
      <c r="A231">
        <v>7745</v>
      </c>
      <c r="B231" s="11">
        <v>4010123456783</v>
      </c>
      <c r="C231" s="1" t="s">
        <v>35</v>
      </c>
      <c r="D231" s="1" t="s">
        <v>36</v>
      </c>
      <c r="E231" s="1" t="s">
        <v>37</v>
      </c>
      <c r="F231">
        <v>14</v>
      </c>
      <c r="G231">
        <v>1</v>
      </c>
      <c r="H231" s="1" t="s">
        <v>14</v>
      </c>
      <c r="I231" s="1" t="s">
        <v>15</v>
      </c>
      <c r="J231" s="12">
        <v>45682</v>
      </c>
      <c r="K231">
        <v>0</v>
      </c>
      <c r="L231" s="1">
        <f t="shared" si="12"/>
        <v>14</v>
      </c>
      <c r="M231" s="1" t="str">
        <f t="shared" si="13"/>
        <v/>
      </c>
      <c r="N231" s="2">
        <f t="shared" si="14"/>
        <v>45658</v>
      </c>
      <c r="O231" t="str">
        <f t="shared" si="15"/>
        <v>mačka</v>
      </c>
    </row>
    <row r="232" spans="1:15" x14ac:dyDescent="0.25">
      <c r="A232">
        <v>7746</v>
      </c>
      <c r="B232" s="11">
        <v>4028899001126</v>
      </c>
      <c r="C232" s="1" t="s">
        <v>16</v>
      </c>
      <c r="D232" s="1" t="s">
        <v>12</v>
      </c>
      <c r="E232" s="1" t="s">
        <v>17</v>
      </c>
      <c r="F232">
        <v>2.8</v>
      </c>
      <c r="G232">
        <v>3</v>
      </c>
      <c r="H232" s="1" t="s">
        <v>14</v>
      </c>
      <c r="I232" s="1" t="s">
        <v>15</v>
      </c>
      <c r="J232" s="12">
        <v>45682</v>
      </c>
      <c r="K232">
        <v>0</v>
      </c>
      <c r="L232" s="1">
        <f t="shared" si="12"/>
        <v>8.3999999999999986</v>
      </c>
      <c r="M232" s="1" t="str">
        <f t="shared" si="13"/>
        <v/>
      </c>
      <c r="N232" s="2">
        <f t="shared" si="14"/>
        <v>45658</v>
      </c>
      <c r="O232" t="str">
        <f t="shared" si="15"/>
        <v>pes</v>
      </c>
    </row>
    <row r="233" spans="1:15" x14ac:dyDescent="0.25">
      <c r="A233">
        <v>7747</v>
      </c>
      <c r="B233" s="11">
        <v>4013456789017</v>
      </c>
      <c r="C233" s="1" t="s">
        <v>11</v>
      </c>
      <c r="D233" s="1" t="s">
        <v>12</v>
      </c>
      <c r="E233" s="1" t="s">
        <v>13</v>
      </c>
      <c r="F233">
        <v>6</v>
      </c>
      <c r="G233">
        <v>2</v>
      </c>
      <c r="H233" s="1" t="s">
        <v>14</v>
      </c>
      <c r="I233" s="1" t="s">
        <v>15</v>
      </c>
      <c r="J233" s="12">
        <v>45682</v>
      </c>
      <c r="K233">
        <v>0</v>
      </c>
      <c r="L233" s="1">
        <f t="shared" si="12"/>
        <v>12</v>
      </c>
      <c r="M233" s="1" t="str">
        <f t="shared" si="13"/>
        <v/>
      </c>
      <c r="N233" s="2">
        <f t="shared" si="14"/>
        <v>45658</v>
      </c>
      <c r="O233" t="str">
        <f t="shared" si="15"/>
        <v>pes</v>
      </c>
    </row>
    <row r="234" spans="1:15" x14ac:dyDescent="0.25">
      <c r="A234">
        <v>7748</v>
      </c>
      <c r="B234" s="11">
        <v>4040123456795</v>
      </c>
      <c r="C234" s="1" t="s">
        <v>20</v>
      </c>
      <c r="D234" s="1" t="s">
        <v>21</v>
      </c>
      <c r="E234" s="1" t="s">
        <v>22</v>
      </c>
      <c r="F234">
        <v>8.8000000000000007</v>
      </c>
      <c r="G234">
        <v>1</v>
      </c>
      <c r="H234" s="1" t="s">
        <v>14</v>
      </c>
      <c r="I234" s="1" t="s">
        <v>15</v>
      </c>
      <c r="J234" s="12">
        <v>45682</v>
      </c>
      <c r="K234">
        <v>0</v>
      </c>
      <c r="L234" s="1">
        <f t="shared" si="12"/>
        <v>8.8000000000000007</v>
      </c>
      <c r="M234" s="1" t="str">
        <f t="shared" si="13"/>
        <v/>
      </c>
      <c r="N234" s="2">
        <f t="shared" si="14"/>
        <v>45658</v>
      </c>
      <c r="O234" t="str">
        <f t="shared" si="15"/>
        <v>pes</v>
      </c>
    </row>
    <row r="235" spans="1:15" hidden="1" x14ac:dyDescent="0.25">
      <c r="A235">
        <v>7749</v>
      </c>
      <c r="B235" s="11">
        <v>4056789012345</v>
      </c>
      <c r="C235" s="1" t="s">
        <v>47</v>
      </c>
      <c r="D235" s="1" t="s">
        <v>29</v>
      </c>
      <c r="E235" s="1" t="s">
        <v>37</v>
      </c>
      <c r="F235">
        <v>2.4</v>
      </c>
      <c r="G235">
        <v>3</v>
      </c>
      <c r="H235" s="1" t="s">
        <v>14</v>
      </c>
      <c r="I235" s="1" t="s">
        <v>15</v>
      </c>
      <c r="J235" s="12">
        <v>45682</v>
      </c>
      <c r="K235">
        <v>0</v>
      </c>
      <c r="L235" s="1">
        <f t="shared" si="12"/>
        <v>7.1999999999999993</v>
      </c>
      <c r="M235" s="1" t="str">
        <f t="shared" si="13"/>
        <v/>
      </c>
      <c r="N235" s="2">
        <f t="shared" si="14"/>
        <v>45658</v>
      </c>
      <c r="O235" t="str">
        <f t="shared" si="15"/>
        <v>mačka</v>
      </c>
    </row>
    <row r="236" spans="1:15" x14ac:dyDescent="0.25">
      <c r="A236">
        <v>7750</v>
      </c>
      <c r="B236" s="11">
        <v>4017890123450</v>
      </c>
      <c r="C236" s="1" t="s">
        <v>65</v>
      </c>
      <c r="D236" s="1" t="s">
        <v>39</v>
      </c>
      <c r="E236" s="1" t="s">
        <v>22</v>
      </c>
      <c r="F236">
        <v>7.6</v>
      </c>
      <c r="G236">
        <v>1</v>
      </c>
      <c r="H236" s="1" t="s">
        <v>23</v>
      </c>
      <c r="I236" s="1" t="s">
        <v>108</v>
      </c>
      <c r="J236" s="12">
        <v>45682</v>
      </c>
      <c r="K236">
        <v>0</v>
      </c>
      <c r="L236" s="1">
        <f t="shared" si="12"/>
        <v>7.6</v>
      </c>
      <c r="M236" s="1">
        <f t="shared" si="13"/>
        <v>5</v>
      </c>
      <c r="N236" s="2">
        <f t="shared" si="14"/>
        <v>45658</v>
      </c>
      <c r="O236" t="str">
        <f t="shared" si="15"/>
        <v>pes</v>
      </c>
    </row>
    <row r="237" spans="1:15" hidden="1" x14ac:dyDescent="0.25">
      <c r="A237">
        <v>7751</v>
      </c>
      <c r="B237" s="11">
        <v>4067890123456</v>
      </c>
      <c r="C237" s="1" t="s">
        <v>68</v>
      </c>
      <c r="D237" s="1" t="s">
        <v>29</v>
      </c>
      <c r="E237" s="1" t="s">
        <v>69</v>
      </c>
      <c r="F237">
        <v>36</v>
      </c>
      <c r="G237">
        <v>1</v>
      </c>
      <c r="H237" s="1" t="s">
        <v>14</v>
      </c>
      <c r="I237" s="1" t="s">
        <v>15</v>
      </c>
      <c r="J237" s="12">
        <v>45682</v>
      </c>
      <c r="K237">
        <v>0</v>
      </c>
      <c r="L237" s="1">
        <f t="shared" si="12"/>
        <v>36</v>
      </c>
      <c r="M237" s="1" t="str">
        <f t="shared" si="13"/>
        <v/>
      </c>
      <c r="N237" s="2">
        <f t="shared" si="14"/>
        <v>45658</v>
      </c>
      <c r="O237" t="str">
        <f t="shared" si="15"/>
        <v>mačka</v>
      </c>
    </row>
    <row r="238" spans="1:15" hidden="1" x14ac:dyDescent="0.25">
      <c r="A238">
        <v>7752</v>
      </c>
      <c r="B238" s="11">
        <v>4023456789012</v>
      </c>
      <c r="C238" s="1" t="s">
        <v>55</v>
      </c>
      <c r="D238" s="1" t="s">
        <v>29</v>
      </c>
      <c r="E238" s="1" t="s">
        <v>32</v>
      </c>
      <c r="F238">
        <v>4</v>
      </c>
      <c r="G238">
        <v>2</v>
      </c>
      <c r="H238" s="1" t="s">
        <v>14</v>
      </c>
      <c r="I238" s="1" t="s">
        <v>15</v>
      </c>
      <c r="J238" s="12">
        <v>45682</v>
      </c>
      <c r="K238">
        <v>0</v>
      </c>
      <c r="L238" s="1">
        <f t="shared" si="12"/>
        <v>8</v>
      </c>
      <c r="M238" s="1" t="str">
        <f t="shared" si="13"/>
        <v/>
      </c>
      <c r="N238" s="2">
        <f t="shared" si="14"/>
        <v>45658</v>
      </c>
      <c r="O238" t="str">
        <f t="shared" si="15"/>
        <v>mačka</v>
      </c>
    </row>
    <row r="239" spans="1:15" hidden="1" x14ac:dyDescent="0.25">
      <c r="A239">
        <v>7753</v>
      </c>
      <c r="B239" s="11">
        <v>4021234567894</v>
      </c>
      <c r="C239" s="1" t="s">
        <v>79</v>
      </c>
      <c r="D239" s="1" t="s">
        <v>36</v>
      </c>
      <c r="E239" s="1" t="s">
        <v>69</v>
      </c>
      <c r="F239">
        <v>8</v>
      </c>
      <c r="G239">
        <v>1</v>
      </c>
      <c r="H239" s="1" t="s">
        <v>14</v>
      </c>
      <c r="I239" s="1" t="s">
        <v>15</v>
      </c>
      <c r="J239" s="12">
        <v>45682</v>
      </c>
      <c r="K239">
        <v>0</v>
      </c>
      <c r="L239" s="1">
        <f t="shared" si="12"/>
        <v>8</v>
      </c>
      <c r="M239" s="1" t="str">
        <f t="shared" si="13"/>
        <v/>
      </c>
      <c r="N239" s="2">
        <f t="shared" si="14"/>
        <v>45658</v>
      </c>
      <c r="O239" t="str">
        <f t="shared" si="15"/>
        <v>mačka</v>
      </c>
    </row>
    <row r="240" spans="1:15" x14ac:dyDescent="0.25">
      <c r="A240">
        <v>7754</v>
      </c>
      <c r="B240" s="11">
        <v>4028899001126</v>
      </c>
      <c r="C240" s="1" t="s">
        <v>16</v>
      </c>
      <c r="D240" s="1" t="s">
        <v>12</v>
      </c>
      <c r="E240" s="1" t="s">
        <v>17</v>
      </c>
      <c r="F240">
        <v>2.8</v>
      </c>
      <c r="G240">
        <v>4</v>
      </c>
      <c r="H240" s="1" t="s">
        <v>14</v>
      </c>
      <c r="I240" s="1" t="s">
        <v>15</v>
      </c>
      <c r="J240" s="12">
        <v>45682</v>
      </c>
      <c r="K240">
        <v>0</v>
      </c>
      <c r="L240" s="1">
        <f t="shared" si="12"/>
        <v>11.2</v>
      </c>
      <c r="M240" s="1" t="str">
        <f t="shared" si="13"/>
        <v/>
      </c>
      <c r="N240" s="2">
        <f t="shared" si="14"/>
        <v>45658</v>
      </c>
      <c r="O240" t="str">
        <f t="shared" si="15"/>
        <v>pes</v>
      </c>
    </row>
    <row r="241" spans="1:15" x14ac:dyDescent="0.25">
      <c r="A241">
        <v>7755</v>
      </c>
      <c r="B241" s="11">
        <v>4013456789017</v>
      </c>
      <c r="C241" s="1" t="s">
        <v>11</v>
      </c>
      <c r="D241" s="1" t="s">
        <v>12</v>
      </c>
      <c r="E241" s="1" t="s">
        <v>13</v>
      </c>
      <c r="F241">
        <v>6</v>
      </c>
      <c r="G241">
        <v>2</v>
      </c>
      <c r="H241" s="1" t="s">
        <v>14</v>
      </c>
      <c r="I241" s="1" t="s">
        <v>15</v>
      </c>
      <c r="J241" s="12">
        <v>45682</v>
      </c>
      <c r="K241">
        <v>0</v>
      </c>
      <c r="L241" s="1">
        <f t="shared" si="12"/>
        <v>12</v>
      </c>
      <c r="M241" s="1" t="str">
        <f t="shared" si="13"/>
        <v/>
      </c>
      <c r="N241" s="2">
        <f t="shared" si="14"/>
        <v>45658</v>
      </c>
      <c r="O241" t="str">
        <f t="shared" si="15"/>
        <v>pes</v>
      </c>
    </row>
    <row r="242" spans="1:15" hidden="1" x14ac:dyDescent="0.25">
      <c r="A242">
        <v>7756</v>
      </c>
      <c r="B242" s="11">
        <v>4056789012345</v>
      </c>
      <c r="C242" s="1" t="s">
        <v>47</v>
      </c>
      <c r="D242" s="1" t="s">
        <v>29</v>
      </c>
      <c r="E242" s="1" t="s">
        <v>37</v>
      </c>
      <c r="F242">
        <v>2.4</v>
      </c>
      <c r="G242">
        <v>2</v>
      </c>
      <c r="H242" s="1" t="s">
        <v>14</v>
      </c>
      <c r="I242" s="1" t="s">
        <v>15</v>
      </c>
      <c r="J242" s="12">
        <v>45682</v>
      </c>
      <c r="K242">
        <v>0</v>
      </c>
      <c r="L242" s="1">
        <f t="shared" si="12"/>
        <v>4.8</v>
      </c>
      <c r="M242" s="1" t="str">
        <f t="shared" si="13"/>
        <v/>
      </c>
      <c r="N242" s="2">
        <f t="shared" si="14"/>
        <v>45658</v>
      </c>
      <c r="O242" t="str">
        <f t="shared" si="15"/>
        <v>mačka</v>
      </c>
    </row>
    <row r="243" spans="1:15" x14ac:dyDescent="0.25">
      <c r="A243">
        <v>7757</v>
      </c>
      <c r="B243" s="11">
        <v>4063456789014</v>
      </c>
      <c r="C243" s="1" t="s">
        <v>60</v>
      </c>
      <c r="D243" s="1" t="s">
        <v>12</v>
      </c>
      <c r="E243" s="1" t="s">
        <v>61</v>
      </c>
      <c r="F243">
        <v>36</v>
      </c>
      <c r="G243">
        <v>1</v>
      </c>
      <c r="H243" s="1" t="s">
        <v>14</v>
      </c>
      <c r="I243" s="1" t="s">
        <v>15</v>
      </c>
      <c r="J243" s="12">
        <v>45682</v>
      </c>
      <c r="K243">
        <v>0</v>
      </c>
      <c r="L243" s="1">
        <f t="shared" si="12"/>
        <v>36</v>
      </c>
      <c r="M243" s="1" t="str">
        <f t="shared" si="13"/>
        <v/>
      </c>
      <c r="N243" s="2">
        <f t="shared" si="14"/>
        <v>45658</v>
      </c>
      <c r="O243" t="str">
        <f t="shared" si="15"/>
        <v>pes</v>
      </c>
    </row>
    <row r="244" spans="1:15" x14ac:dyDescent="0.25">
      <c r="A244">
        <v>7758</v>
      </c>
      <c r="B244" s="11">
        <v>4028899001126</v>
      </c>
      <c r="C244" s="1" t="s">
        <v>16</v>
      </c>
      <c r="D244" s="1" t="s">
        <v>12</v>
      </c>
      <c r="E244" s="1" t="s">
        <v>17</v>
      </c>
      <c r="F244">
        <v>2.8</v>
      </c>
      <c r="G244">
        <v>3</v>
      </c>
      <c r="H244" s="1" t="s">
        <v>18</v>
      </c>
      <c r="I244" s="1" t="s">
        <v>109</v>
      </c>
      <c r="J244" s="12">
        <v>45682</v>
      </c>
      <c r="K244">
        <v>0</v>
      </c>
      <c r="L244" s="1">
        <f t="shared" si="12"/>
        <v>8.3999999999999986</v>
      </c>
      <c r="M244" s="1">
        <f t="shared" si="13"/>
        <v>4</v>
      </c>
      <c r="N244" s="2">
        <f t="shared" si="14"/>
        <v>45658</v>
      </c>
      <c r="O244" t="str">
        <f t="shared" si="15"/>
        <v>pes</v>
      </c>
    </row>
    <row r="245" spans="1:15" x14ac:dyDescent="0.25">
      <c r="A245">
        <v>7759</v>
      </c>
      <c r="B245" s="11">
        <v>4013456789017</v>
      </c>
      <c r="C245" s="1" t="s">
        <v>11</v>
      </c>
      <c r="D245" s="1" t="s">
        <v>12</v>
      </c>
      <c r="E245" s="1" t="s">
        <v>13</v>
      </c>
      <c r="F245">
        <v>6</v>
      </c>
      <c r="G245">
        <v>1</v>
      </c>
      <c r="H245" s="1" t="s">
        <v>14</v>
      </c>
      <c r="I245" s="1" t="s">
        <v>15</v>
      </c>
      <c r="J245" s="12">
        <v>45682</v>
      </c>
      <c r="K245">
        <v>0</v>
      </c>
      <c r="L245" s="1">
        <f t="shared" si="12"/>
        <v>6</v>
      </c>
      <c r="M245" s="1" t="str">
        <f t="shared" si="13"/>
        <v/>
      </c>
      <c r="N245" s="2">
        <f t="shared" si="14"/>
        <v>45658</v>
      </c>
      <c r="O245" t="str">
        <f t="shared" si="15"/>
        <v>pes</v>
      </c>
    </row>
    <row r="246" spans="1:15" x14ac:dyDescent="0.25">
      <c r="A246">
        <v>7760</v>
      </c>
      <c r="B246" s="11">
        <v>4040123456795</v>
      </c>
      <c r="C246" s="1" t="s">
        <v>20</v>
      </c>
      <c r="D246" s="1" t="s">
        <v>21</v>
      </c>
      <c r="E246" s="1" t="s">
        <v>22</v>
      </c>
      <c r="F246">
        <v>8.8000000000000007</v>
      </c>
      <c r="G246">
        <v>1</v>
      </c>
      <c r="H246" s="1" t="s">
        <v>14</v>
      </c>
      <c r="I246" s="1" t="s">
        <v>15</v>
      </c>
      <c r="J246" s="12">
        <v>45682</v>
      </c>
      <c r="K246">
        <v>0</v>
      </c>
      <c r="L246" s="1">
        <f t="shared" si="12"/>
        <v>8.8000000000000007</v>
      </c>
      <c r="M246" s="1" t="str">
        <f t="shared" si="13"/>
        <v/>
      </c>
      <c r="N246" s="2">
        <f t="shared" si="14"/>
        <v>45658</v>
      </c>
      <c r="O246" t="str">
        <f t="shared" si="15"/>
        <v>pes</v>
      </c>
    </row>
    <row r="247" spans="1:15" hidden="1" x14ac:dyDescent="0.25">
      <c r="A247">
        <v>7761</v>
      </c>
      <c r="B247" s="11">
        <v>4010123456783</v>
      </c>
      <c r="C247" s="1" t="s">
        <v>35</v>
      </c>
      <c r="D247" s="1" t="s">
        <v>36</v>
      </c>
      <c r="E247" s="1" t="s">
        <v>37</v>
      </c>
      <c r="F247">
        <v>14</v>
      </c>
      <c r="G247">
        <v>1</v>
      </c>
      <c r="H247" s="1" t="s">
        <v>14</v>
      </c>
      <c r="I247" s="1" t="s">
        <v>15</v>
      </c>
      <c r="J247" s="12">
        <v>45682</v>
      </c>
      <c r="K247">
        <v>0</v>
      </c>
      <c r="L247" s="1">
        <f t="shared" si="12"/>
        <v>14</v>
      </c>
      <c r="M247" s="1" t="str">
        <f t="shared" si="13"/>
        <v/>
      </c>
      <c r="N247" s="2">
        <f t="shared" si="14"/>
        <v>45658</v>
      </c>
      <c r="O247" t="str">
        <f t="shared" si="15"/>
        <v>mačka</v>
      </c>
    </row>
    <row r="248" spans="1:15" x14ac:dyDescent="0.25">
      <c r="A248">
        <v>7762</v>
      </c>
      <c r="B248" s="11">
        <v>4028899001126</v>
      </c>
      <c r="C248" s="1" t="s">
        <v>16</v>
      </c>
      <c r="D248" s="1" t="s">
        <v>12</v>
      </c>
      <c r="E248" s="1" t="s">
        <v>17</v>
      </c>
      <c r="F248">
        <v>2.8</v>
      </c>
      <c r="G248">
        <v>3</v>
      </c>
      <c r="H248" s="1" t="s">
        <v>14</v>
      </c>
      <c r="I248" s="1" t="s">
        <v>15</v>
      </c>
      <c r="J248" s="12">
        <v>45682</v>
      </c>
      <c r="K248">
        <v>0</v>
      </c>
      <c r="L248" s="1">
        <f t="shared" si="12"/>
        <v>8.3999999999999986</v>
      </c>
      <c r="M248" s="1" t="str">
        <f t="shared" si="13"/>
        <v/>
      </c>
      <c r="N248" s="2">
        <f t="shared" si="14"/>
        <v>45658</v>
      </c>
      <c r="O248" t="str">
        <f t="shared" si="15"/>
        <v>pes</v>
      </c>
    </row>
    <row r="249" spans="1:15" x14ac:dyDescent="0.25">
      <c r="A249">
        <v>7763</v>
      </c>
      <c r="B249" s="11">
        <v>4013456789017</v>
      </c>
      <c r="C249" s="1" t="s">
        <v>11</v>
      </c>
      <c r="D249" s="1" t="s">
        <v>12</v>
      </c>
      <c r="E249" s="1" t="s">
        <v>13</v>
      </c>
      <c r="F249">
        <v>6</v>
      </c>
      <c r="G249">
        <v>1</v>
      </c>
      <c r="H249" s="1" t="s">
        <v>14</v>
      </c>
      <c r="I249" s="1" t="s">
        <v>15</v>
      </c>
      <c r="J249" s="12">
        <v>45682</v>
      </c>
      <c r="K249">
        <v>0</v>
      </c>
      <c r="L249" s="1">
        <f t="shared" si="12"/>
        <v>6</v>
      </c>
      <c r="M249" s="1" t="str">
        <f t="shared" si="13"/>
        <v/>
      </c>
      <c r="N249" s="2">
        <f t="shared" si="14"/>
        <v>45658</v>
      </c>
      <c r="O249" t="str">
        <f t="shared" si="15"/>
        <v>pes</v>
      </c>
    </row>
    <row r="250" spans="1:15" x14ac:dyDescent="0.25">
      <c r="A250">
        <v>7764</v>
      </c>
      <c r="B250" s="11">
        <v>4063456789014</v>
      </c>
      <c r="C250" s="1" t="s">
        <v>60</v>
      </c>
      <c r="D250" s="1" t="s">
        <v>12</v>
      </c>
      <c r="E250" s="1" t="s">
        <v>61</v>
      </c>
      <c r="F250">
        <v>36</v>
      </c>
      <c r="G250">
        <v>1</v>
      </c>
      <c r="H250" s="1" t="s">
        <v>14</v>
      </c>
      <c r="I250" s="1" t="s">
        <v>15</v>
      </c>
      <c r="J250" s="12">
        <v>45682</v>
      </c>
      <c r="K250">
        <v>0</v>
      </c>
      <c r="L250" s="1">
        <f t="shared" si="12"/>
        <v>36</v>
      </c>
      <c r="M250" s="1" t="str">
        <f t="shared" si="13"/>
        <v/>
      </c>
      <c r="N250" s="2">
        <f t="shared" si="14"/>
        <v>45658</v>
      </c>
      <c r="O250" t="str">
        <f t="shared" si="15"/>
        <v>pes</v>
      </c>
    </row>
    <row r="251" spans="1:15" hidden="1" x14ac:dyDescent="0.25">
      <c r="A251">
        <v>7765</v>
      </c>
      <c r="B251" s="11">
        <v>4021234567894</v>
      </c>
      <c r="C251" s="1" t="s">
        <v>79</v>
      </c>
      <c r="D251" s="1" t="s">
        <v>36</v>
      </c>
      <c r="E251" s="1" t="s">
        <v>69</v>
      </c>
      <c r="F251">
        <v>8</v>
      </c>
      <c r="G251">
        <v>1</v>
      </c>
      <c r="H251" s="1" t="s">
        <v>14</v>
      </c>
      <c r="I251" s="1" t="s">
        <v>15</v>
      </c>
      <c r="J251" s="12">
        <v>45682</v>
      </c>
      <c r="K251">
        <v>0</v>
      </c>
      <c r="L251" s="1">
        <f t="shared" si="12"/>
        <v>8</v>
      </c>
      <c r="M251" s="1" t="str">
        <f t="shared" si="13"/>
        <v/>
      </c>
      <c r="N251" s="2">
        <f t="shared" si="14"/>
        <v>45658</v>
      </c>
      <c r="O251" t="str">
        <f t="shared" si="15"/>
        <v>mačka</v>
      </c>
    </row>
    <row r="252" spans="1:15" x14ac:dyDescent="0.25">
      <c r="A252">
        <v>7766</v>
      </c>
      <c r="B252" s="11">
        <v>4061011223346</v>
      </c>
      <c r="C252" s="1" t="s">
        <v>25</v>
      </c>
      <c r="D252" s="1" t="s">
        <v>26</v>
      </c>
      <c r="E252" s="1" t="s">
        <v>27</v>
      </c>
      <c r="F252">
        <v>19.600000000000001</v>
      </c>
      <c r="G252">
        <v>1</v>
      </c>
      <c r="H252" s="1" t="s">
        <v>14</v>
      </c>
      <c r="I252" s="1" t="s">
        <v>15</v>
      </c>
      <c r="J252" s="12">
        <v>45683</v>
      </c>
      <c r="K252">
        <v>0</v>
      </c>
      <c r="L252" s="1">
        <f t="shared" si="12"/>
        <v>19.600000000000001</v>
      </c>
      <c r="M252" s="1" t="str">
        <f t="shared" si="13"/>
        <v/>
      </c>
      <c r="N252" s="2">
        <f t="shared" si="14"/>
        <v>45658</v>
      </c>
      <c r="O252" t="str">
        <f t="shared" si="15"/>
        <v>pes</v>
      </c>
    </row>
    <row r="253" spans="1:15" x14ac:dyDescent="0.25">
      <c r="A253">
        <v>7767</v>
      </c>
      <c r="B253" s="11">
        <v>4028899001126</v>
      </c>
      <c r="C253" s="1" t="s">
        <v>16</v>
      </c>
      <c r="D253" s="1" t="s">
        <v>12</v>
      </c>
      <c r="E253" s="1" t="s">
        <v>17</v>
      </c>
      <c r="F253">
        <v>2.8</v>
      </c>
      <c r="G253">
        <v>5</v>
      </c>
      <c r="H253" s="1" t="s">
        <v>14</v>
      </c>
      <c r="I253" s="1" t="s">
        <v>15</v>
      </c>
      <c r="J253" s="12">
        <v>45683</v>
      </c>
      <c r="K253">
        <v>0</v>
      </c>
      <c r="L253" s="1">
        <f t="shared" si="12"/>
        <v>14</v>
      </c>
      <c r="M253" s="1" t="str">
        <f t="shared" si="13"/>
        <v/>
      </c>
      <c r="N253" s="2">
        <f t="shared" si="14"/>
        <v>45658</v>
      </c>
      <c r="O253" t="str">
        <f t="shared" si="15"/>
        <v>pes</v>
      </c>
    </row>
    <row r="254" spans="1:15" x14ac:dyDescent="0.25">
      <c r="A254">
        <v>7768</v>
      </c>
      <c r="B254" s="11">
        <v>4013456789017</v>
      </c>
      <c r="C254" s="1" t="s">
        <v>11</v>
      </c>
      <c r="D254" s="1" t="s">
        <v>12</v>
      </c>
      <c r="E254" s="1" t="s">
        <v>13</v>
      </c>
      <c r="F254">
        <v>6</v>
      </c>
      <c r="G254">
        <v>2</v>
      </c>
      <c r="H254" s="1" t="s">
        <v>14</v>
      </c>
      <c r="I254" s="1" t="s">
        <v>15</v>
      </c>
      <c r="J254" s="12">
        <v>45683</v>
      </c>
      <c r="K254">
        <v>0</v>
      </c>
      <c r="L254" s="1">
        <f t="shared" si="12"/>
        <v>12</v>
      </c>
      <c r="M254" s="1" t="str">
        <f t="shared" si="13"/>
        <v/>
      </c>
      <c r="N254" s="2">
        <f t="shared" si="14"/>
        <v>45658</v>
      </c>
      <c r="O254" t="str">
        <f t="shared" si="15"/>
        <v>pes</v>
      </c>
    </row>
    <row r="255" spans="1:15" x14ac:dyDescent="0.25">
      <c r="A255">
        <v>7769</v>
      </c>
      <c r="B255" s="11">
        <v>4063456789014</v>
      </c>
      <c r="C255" s="1" t="s">
        <v>60</v>
      </c>
      <c r="D255" s="1" t="s">
        <v>12</v>
      </c>
      <c r="E255" s="1" t="s">
        <v>61</v>
      </c>
      <c r="F255">
        <v>36</v>
      </c>
      <c r="G255">
        <v>1</v>
      </c>
      <c r="H255" s="1" t="s">
        <v>14</v>
      </c>
      <c r="I255" s="1" t="s">
        <v>15</v>
      </c>
      <c r="J255" s="12">
        <v>45683</v>
      </c>
      <c r="K255">
        <v>0</v>
      </c>
      <c r="L255" s="1">
        <f t="shared" si="12"/>
        <v>36</v>
      </c>
      <c r="M255" s="1" t="str">
        <f t="shared" si="13"/>
        <v/>
      </c>
      <c r="N255" s="2">
        <f t="shared" si="14"/>
        <v>45658</v>
      </c>
      <c r="O255" t="str">
        <f t="shared" si="15"/>
        <v>pes</v>
      </c>
    </row>
    <row r="256" spans="1:15" hidden="1" x14ac:dyDescent="0.25">
      <c r="A256">
        <v>7770</v>
      </c>
      <c r="B256" s="11">
        <v>4010123456783</v>
      </c>
      <c r="C256" s="1" t="s">
        <v>35</v>
      </c>
      <c r="D256" s="1" t="s">
        <v>36</v>
      </c>
      <c r="E256" s="1" t="s">
        <v>37</v>
      </c>
      <c r="F256">
        <v>14</v>
      </c>
      <c r="G256">
        <v>1</v>
      </c>
      <c r="H256" s="1" t="s">
        <v>14</v>
      </c>
      <c r="I256" s="1" t="s">
        <v>15</v>
      </c>
      <c r="J256" s="12">
        <v>45683</v>
      </c>
      <c r="K256">
        <v>0</v>
      </c>
      <c r="L256" s="1">
        <f t="shared" si="12"/>
        <v>14</v>
      </c>
      <c r="M256" s="1" t="str">
        <f t="shared" si="13"/>
        <v/>
      </c>
      <c r="N256" s="2">
        <f t="shared" si="14"/>
        <v>45658</v>
      </c>
      <c r="O256" t="str">
        <f t="shared" si="15"/>
        <v>mačka</v>
      </c>
    </row>
    <row r="257" spans="1:15" x14ac:dyDescent="0.25">
      <c r="A257">
        <v>7771</v>
      </c>
      <c r="B257" s="11">
        <v>4028899001126</v>
      </c>
      <c r="C257" s="1" t="s">
        <v>16</v>
      </c>
      <c r="D257" s="1" t="s">
        <v>12</v>
      </c>
      <c r="E257" s="1" t="s">
        <v>17</v>
      </c>
      <c r="F257">
        <v>2.8</v>
      </c>
      <c r="G257">
        <v>3</v>
      </c>
      <c r="H257" s="1" t="s">
        <v>14</v>
      </c>
      <c r="I257" s="1" t="s">
        <v>15</v>
      </c>
      <c r="J257" s="12">
        <v>45683</v>
      </c>
      <c r="K257">
        <v>0</v>
      </c>
      <c r="L257" s="1">
        <f t="shared" si="12"/>
        <v>8.3999999999999986</v>
      </c>
      <c r="M257" s="1" t="str">
        <f t="shared" si="13"/>
        <v/>
      </c>
      <c r="N257" s="2">
        <f t="shared" si="14"/>
        <v>45658</v>
      </c>
      <c r="O257" t="str">
        <f t="shared" si="15"/>
        <v>pes</v>
      </c>
    </row>
    <row r="258" spans="1:15" x14ac:dyDescent="0.25">
      <c r="A258">
        <v>7772</v>
      </c>
      <c r="B258" s="11">
        <v>4013456789017</v>
      </c>
      <c r="C258" s="1" t="s">
        <v>11</v>
      </c>
      <c r="D258" s="1" t="s">
        <v>12</v>
      </c>
      <c r="E258" s="1" t="s">
        <v>13</v>
      </c>
      <c r="F258">
        <v>6</v>
      </c>
      <c r="G258">
        <v>2</v>
      </c>
      <c r="H258" s="1" t="s">
        <v>14</v>
      </c>
      <c r="I258" s="1" t="s">
        <v>15</v>
      </c>
      <c r="J258" s="12">
        <v>45683</v>
      </c>
      <c r="K258">
        <v>0</v>
      </c>
      <c r="L258" s="1">
        <f t="shared" ref="L258:L321" si="16">F258*G258</f>
        <v>12</v>
      </c>
      <c r="M258" s="1" t="str">
        <f t="shared" ref="M258:M321" si="17">IF(H258="NULL", "",VALUE(H258))</f>
        <v/>
      </c>
      <c r="N258" s="2">
        <f t="shared" ref="N258:N321" si="18">DATE(YEAR(J258),MONTH(J258),1)</f>
        <v>45658</v>
      </c>
      <c r="O258" t="str">
        <f t="shared" ref="O258:O321" si="19">IF(ISNUMBER(SEARCH("Mačky",D258)),"mačka",IF(ISNUMBER(SEARCH("Psy",D258)),"pes","iné"))</f>
        <v>pes</v>
      </c>
    </row>
    <row r="259" spans="1:15" x14ac:dyDescent="0.25">
      <c r="A259">
        <v>7773</v>
      </c>
      <c r="B259" s="11">
        <v>4040123456795</v>
      </c>
      <c r="C259" s="1" t="s">
        <v>20</v>
      </c>
      <c r="D259" s="1" t="s">
        <v>21</v>
      </c>
      <c r="E259" s="1" t="s">
        <v>22</v>
      </c>
      <c r="F259">
        <v>8.8000000000000007</v>
      </c>
      <c r="G259">
        <v>1</v>
      </c>
      <c r="H259" s="1" t="s">
        <v>14</v>
      </c>
      <c r="I259" s="1" t="s">
        <v>15</v>
      </c>
      <c r="J259" s="12">
        <v>45683</v>
      </c>
      <c r="K259">
        <v>0</v>
      </c>
      <c r="L259" s="1">
        <f t="shared" si="16"/>
        <v>8.8000000000000007</v>
      </c>
      <c r="M259" s="1" t="str">
        <f t="shared" si="17"/>
        <v/>
      </c>
      <c r="N259" s="2">
        <f t="shared" si="18"/>
        <v>45658</v>
      </c>
      <c r="O259" t="str">
        <f t="shared" si="19"/>
        <v>pes</v>
      </c>
    </row>
    <row r="260" spans="1:15" hidden="1" x14ac:dyDescent="0.25">
      <c r="A260">
        <v>7774</v>
      </c>
      <c r="B260" s="11">
        <v>4056789012345</v>
      </c>
      <c r="C260" s="1" t="s">
        <v>47</v>
      </c>
      <c r="D260" s="1" t="s">
        <v>29</v>
      </c>
      <c r="E260" s="1" t="s">
        <v>37</v>
      </c>
      <c r="F260">
        <v>2.4</v>
      </c>
      <c r="G260">
        <v>3</v>
      </c>
      <c r="H260" s="1" t="s">
        <v>14</v>
      </c>
      <c r="I260" s="1" t="s">
        <v>15</v>
      </c>
      <c r="J260" s="12">
        <v>45683</v>
      </c>
      <c r="K260">
        <v>0</v>
      </c>
      <c r="L260" s="1">
        <f t="shared" si="16"/>
        <v>7.1999999999999993</v>
      </c>
      <c r="M260" s="1" t="str">
        <f t="shared" si="17"/>
        <v/>
      </c>
      <c r="N260" s="2">
        <f t="shared" si="18"/>
        <v>45658</v>
      </c>
      <c r="O260" t="str">
        <f t="shared" si="19"/>
        <v>mačka</v>
      </c>
    </row>
    <row r="261" spans="1:15" x14ac:dyDescent="0.25">
      <c r="A261">
        <v>7775</v>
      </c>
      <c r="B261" s="11">
        <v>4017890123450</v>
      </c>
      <c r="C261" s="1" t="s">
        <v>65</v>
      </c>
      <c r="D261" s="1" t="s">
        <v>39</v>
      </c>
      <c r="E261" s="1" t="s">
        <v>22</v>
      </c>
      <c r="F261">
        <v>7.6</v>
      </c>
      <c r="G261">
        <v>1</v>
      </c>
      <c r="H261" s="1" t="s">
        <v>14</v>
      </c>
      <c r="I261" s="1" t="s">
        <v>15</v>
      </c>
      <c r="J261" s="12">
        <v>45683</v>
      </c>
      <c r="K261">
        <v>0</v>
      </c>
      <c r="L261" s="1">
        <f t="shared" si="16"/>
        <v>7.6</v>
      </c>
      <c r="M261" s="1" t="str">
        <f t="shared" si="17"/>
        <v/>
      </c>
      <c r="N261" s="2">
        <f t="shared" si="18"/>
        <v>45658</v>
      </c>
      <c r="O261" t="str">
        <f t="shared" si="19"/>
        <v>pes</v>
      </c>
    </row>
    <row r="262" spans="1:15" hidden="1" x14ac:dyDescent="0.25">
      <c r="A262">
        <v>7776</v>
      </c>
      <c r="B262" s="11">
        <v>4067890123456</v>
      </c>
      <c r="C262" s="1" t="s">
        <v>68</v>
      </c>
      <c r="D262" s="1" t="s">
        <v>29</v>
      </c>
      <c r="E262" s="1" t="s">
        <v>69</v>
      </c>
      <c r="F262">
        <v>36</v>
      </c>
      <c r="G262">
        <v>1</v>
      </c>
      <c r="H262" s="1" t="s">
        <v>14</v>
      </c>
      <c r="I262" s="1" t="s">
        <v>15</v>
      </c>
      <c r="J262" s="12">
        <v>45683</v>
      </c>
      <c r="K262">
        <v>0</v>
      </c>
      <c r="L262" s="1">
        <f t="shared" si="16"/>
        <v>36</v>
      </c>
      <c r="M262" s="1" t="str">
        <f t="shared" si="17"/>
        <v/>
      </c>
      <c r="N262" s="2">
        <f t="shared" si="18"/>
        <v>45658</v>
      </c>
      <c r="O262" t="str">
        <f t="shared" si="19"/>
        <v>mačka</v>
      </c>
    </row>
    <row r="263" spans="1:15" hidden="1" x14ac:dyDescent="0.25">
      <c r="A263">
        <v>7777</v>
      </c>
      <c r="B263" s="11">
        <v>4023456789012</v>
      </c>
      <c r="C263" s="1" t="s">
        <v>55</v>
      </c>
      <c r="D263" s="1" t="s">
        <v>29</v>
      </c>
      <c r="E263" s="1" t="s">
        <v>32</v>
      </c>
      <c r="F263">
        <v>4</v>
      </c>
      <c r="G263">
        <v>2</v>
      </c>
      <c r="H263" s="1" t="s">
        <v>14</v>
      </c>
      <c r="I263" s="1" t="s">
        <v>15</v>
      </c>
      <c r="J263" s="12">
        <v>45683</v>
      </c>
      <c r="K263">
        <v>0</v>
      </c>
      <c r="L263" s="1">
        <f t="shared" si="16"/>
        <v>8</v>
      </c>
      <c r="M263" s="1" t="str">
        <f t="shared" si="17"/>
        <v/>
      </c>
      <c r="N263" s="2">
        <f t="shared" si="18"/>
        <v>45658</v>
      </c>
      <c r="O263" t="str">
        <f t="shared" si="19"/>
        <v>mačka</v>
      </c>
    </row>
    <row r="264" spans="1:15" hidden="1" x14ac:dyDescent="0.25">
      <c r="A264">
        <v>7778</v>
      </c>
      <c r="B264" s="11">
        <v>4021234567894</v>
      </c>
      <c r="C264" s="1" t="s">
        <v>79</v>
      </c>
      <c r="D264" s="1" t="s">
        <v>36</v>
      </c>
      <c r="E264" s="1" t="s">
        <v>69</v>
      </c>
      <c r="F264">
        <v>8</v>
      </c>
      <c r="G264">
        <v>1</v>
      </c>
      <c r="H264" s="1" t="s">
        <v>14</v>
      </c>
      <c r="I264" s="1" t="s">
        <v>15</v>
      </c>
      <c r="J264" s="12">
        <v>45683</v>
      </c>
      <c r="K264">
        <v>0</v>
      </c>
      <c r="L264" s="1">
        <f t="shared" si="16"/>
        <v>8</v>
      </c>
      <c r="M264" s="1" t="str">
        <f t="shared" si="17"/>
        <v/>
      </c>
      <c r="N264" s="2">
        <f t="shared" si="18"/>
        <v>45658</v>
      </c>
      <c r="O264" t="str">
        <f t="shared" si="19"/>
        <v>mačka</v>
      </c>
    </row>
    <row r="265" spans="1:15" x14ac:dyDescent="0.25">
      <c r="A265">
        <v>7779</v>
      </c>
      <c r="B265" s="11">
        <v>4028899001126</v>
      </c>
      <c r="C265" s="1" t="s">
        <v>16</v>
      </c>
      <c r="D265" s="1" t="s">
        <v>12</v>
      </c>
      <c r="E265" s="1" t="s">
        <v>17</v>
      </c>
      <c r="F265">
        <v>2.8</v>
      </c>
      <c r="G265">
        <v>4</v>
      </c>
      <c r="H265" s="1" t="s">
        <v>23</v>
      </c>
      <c r="I265" s="1" t="s">
        <v>110</v>
      </c>
      <c r="J265" s="12">
        <v>45683</v>
      </c>
      <c r="K265">
        <v>0</v>
      </c>
      <c r="L265" s="1">
        <f t="shared" si="16"/>
        <v>11.2</v>
      </c>
      <c r="M265" s="1">
        <f t="shared" si="17"/>
        <v>5</v>
      </c>
      <c r="N265" s="2">
        <f t="shared" si="18"/>
        <v>45658</v>
      </c>
      <c r="O265" t="str">
        <f t="shared" si="19"/>
        <v>pes</v>
      </c>
    </row>
    <row r="266" spans="1:15" x14ac:dyDescent="0.25">
      <c r="A266">
        <v>7780</v>
      </c>
      <c r="B266" s="11">
        <v>4013456789017</v>
      </c>
      <c r="C266" s="1" t="s">
        <v>11</v>
      </c>
      <c r="D266" s="1" t="s">
        <v>12</v>
      </c>
      <c r="E266" s="1" t="s">
        <v>13</v>
      </c>
      <c r="F266">
        <v>6</v>
      </c>
      <c r="G266">
        <v>2</v>
      </c>
      <c r="H266" s="1" t="s">
        <v>14</v>
      </c>
      <c r="I266" s="1" t="s">
        <v>15</v>
      </c>
      <c r="J266" s="12">
        <v>45683</v>
      </c>
      <c r="K266">
        <v>0</v>
      </c>
      <c r="L266" s="1">
        <f t="shared" si="16"/>
        <v>12</v>
      </c>
      <c r="M266" s="1" t="str">
        <f t="shared" si="17"/>
        <v/>
      </c>
      <c r="N266" s="2">
        <f t="shared" si="18"/>
        <v>45658</v>
      </c>
      <c r="O266" t="str">
        <f t="shared" si="19"/>
        <v>pes</v>
      </c>
    </row>
    <row r="267" spans="1:15" hidden="1" x14ac:dyDescent="0.25">
      <c r="A267">
        <v>7781</v>
      </c>
      <c r="B267" s="11">
        <v>4056789012345</v>
      </c>
      <c r="C267" s="1" t="s">
        <v>47</v>
      </c>
      <c r="D267" s="1" t="s">
        <v>29</v>
      </c>
      <c r="E267" s="1" t="s">
        <v>37</v>
      </c>
      <c r="F267">
        <v>2.4</v>
      </c>
      <c r="G267">
        <v>2</v>
      </c>
      <c r="H267" s="1" t="s">
        <v>14</v>
      </c>
      <c r="I267" s="1" t="s">
        <v>15</v>
      </c>
      <c r="J267" s="12">
        <v>45683</v>
      </c>
      <c r="K267">
        <v>0</v>
      </c>
      <c r="L267" s="1">
        <f t="shared" si="16"/>
        <v>4.8</v>
      </c>
      <c r="M267" s="1" t="str">
        <f t="shared" si="17"/>
        <v/>
      </c>
      <c r="N267" s="2">
        <f t="shared" si="18"/>
        <v>45658</v>
      </c>
      <c r="O267" t="str">
        <f t="shared" si="19"/>
        <v>mačka</v>
      </c>
    </row>
    <row r="268" spans="1:15" x14ac:dyDescent="0.25">
      <c r="A268">
        <v>7782</v>
      </c>
      <c r="B268" s="11">
        <v>4063456789014</v>
      </c>
      <c r="C268" s="1" t="s">
        <v>60</v>
      </c>
      <c r="D268" s="1" t="s">
        <v>12</v>
      </c>
      <c r="E268" s="1" t="s">
        <v>61</v>
      </c>
      <c r="F268">
        <v>36</v>
      </c>
      <c r="G268">
        <v>1</v>
      </c>
      <c r="H268" s="1" t="s">
        <v>14</v>
      </c>
      <c r="I268" s="1" t="s">
        <v>15</v>
      </c>
      <c r="J268" s="12">
        <v>45683</v>
      </c>
      <c r="K268">
        <v>0</v>
      </c>
      <c r="L268" s="1">
        <f t="shared" si="16"/>
        <v>36</v>
      </c>
      <c r="M268" s="1" t="str">
        <f t="shared" si="17"/>
        <v/>
      </c>
      <c r="N268" s="2">
        <f t="shared" si="18"/>
        <v>45658</v>
      </c>
      <c r="O268" t="str">
        <f t="shared" si="19"/>
        <v>pes</v>
      </c>
    </row>
    <row r="269" spans="1:15" hidden="1" x14ac:dyDescent="0.25">
      <c r="A269">
        <v>7783</v>
      </c>
      <c r="B269" s="11">
        <v>4026677889902</v>
      </c>
      <c r="C269" s="1" t="s">
        <v>52</v>
      </c>
      <c r="D269" s="1" t="s">
        <v>53</v>
      </c>
      <c r="E269" s="1" t="s">
        <v>54</v>
      </c>
      <c r="F269">
        <v>7.6</v>
      </c>
      <c r="G269">
        <v>1</v>
      </c>
      <c r="H269" s="1" t="s">
        <v>14</v>
      </c>
      <c r="I269" s="1" t="s">
        <v>15</v>
      </c>
      <c r="J269" s="12">
        <v>45683</v>
      </c>
      <c r="K269">
        <v>0</v>
      </c>
      <c r="L269" s="1">
        <f t="shared" si="16"/>
        <v>7.6</v>
      </c>
      <c r="M269" s="1" t="str">
        <f t="shared" si="17"/>
        <v/>
      </c>
      <c r="N269" s="2">
        <f t="shared" si="18"/>
        <v>45658</v>
      </c>
      <c r="O269" t="str">
        <f t="shared" si="19"/>
        <v>iné</v>
      </c>
    </row>
    <row r="270" spans="1:15" x14ac:dyDescent="0.25">
      <c r="A270">
        <v>7784</v>
      </c>
      <c r="B270" s="11">
        <v>4028899001126</v>
      </c>
      <c r="C270" s="1" t="s">
        <v>16</v>
      </c>
      <c r="D270" s="1" t="s">
        <v>12</v>
      </c>
      <c r="E270" s="1" t="s">
        <v>17</v>
      </c>
      <c r="F270">
        <v>2.8</v>
      </c>
      <c r="G270">
        <v>3</v>
      </c>
      <c r="H270" s="1" t="s">
        <v>14</v>
      </c>
      <c r="I270" s="1" t="s">
        <v>15</v>
      </c>
      <c r="J270" s="12">
        <v>45683</v>
      </c>
      <c r="K270">
        <v>0</v>
      </c>
      <c r="L270" s="1">
        <f t="shared" si="16"/>
        <v>8.3999999999999986</v>
      </c>
      <c r="M270" s="1" t="str">
        <f t="shared" si="17"/>
        <v/>
      </c>
      <c r="N270" s="2">
        <f t="shared" si="18"/>
        <v>45658</v>
      </c>
      <c r="O270" t="str">
        <f t="shared" si="19"/>
        <v>pes</v>
      </c>
    </row>
    <row r="271" spans="1:15" x14ac:dyDescent="0.25">
      <c r="A271">
        <v>7785</v>
      </c>
      <c r="B271" s="11">
        <v>4013456789017</v>
      </c>
      <c r="C271" s="1" t="s">
        <v>11</v>
      </c>
      <c r="D271" s="1" t="s">
        <v>12</v>
      </c>
      <c r="E271" s="1" t="s">
        <v>13</v>
      </c>
      <c r="F271">
        <v>6</v>
      </c>
      <c r="G271">
        <v>2</v>
      </c>
      <c r="H271" s="1" t="s">
        <v>14</v>
      </c>
      <c r="I271" s="1" t="s">
        <v>15</v>
      </c>
      <c r="J271" s="12">
        <v>45683</v>
      </c>
      <c r="K271">
        <v>0</v>
      </c>
      <c r="L271" s="1">
        <f t="shared" si="16"/>
        <v>12</v>
      </c>
      <c r="M271" s="1" t="str">
        <f t="shared" si="17"/>
        <v/>
      </c>
      <c r="N271" s="2">
        <f t="shared" si="18"/>
        <v>45658</v>
      </c>
      <c r="O271" t="str">
        <f t="shared" si="19"/>
        <v>pes</v>
      </c>
    </row>
    <row r="272" spans="1:15" x14ac:dyDescent="0.25">
      <c r="A272">
        <v>7786</v>
      </c>
      <c r="B272" s="11">
        <v>4017890123450</v>
      </c>
      <c r="C272" s="1" t="s">
        <v>65</v>
      </c>
      <c r="D272" s="1" t="s">
        <v>39</v>
      </c>
      <c r="E272" s="1" t="s">
        <v>22</v>
      </c>
      <c r="F272">
        <v>7.6</v>
      </c>
      <c r="G272">
        <v>1</v>
      </c>
      <c r="H272" s="1" t="s">
        <v>14</v>
      </c>
      <c r="I272" s="1" t="s">
        <v>15</v>
      </c>
      <c r="J272" s="12">
        <v>45683</v>
      </c>
      <c r="K272">
        <v>0</v>
      </c>
      <c r="L272" s="1">
        <f t="shared" si="16"/>
        <v>7.6</v>
      </c>
      <c r="M272" s="1" t="str">
        <f t="shared" si="17"/>
        <v/>
      </c>
      <c r="N272" s="2">
        <f t="shared" si="18"/>
        <v>45658</v>
      </c>
      <c r="O272" t="str">
        <f t="shared" si="19"/>
        <v>pes</v>
      </c>
    </row>
    <row r="273" spans="1:15" hidden="1" x14ac:dyDescent="0.25">
      <c r="A273">
        <v>7787</v>
      </c>
      <c r="B273" s="11">
        <v>4056789012345</v>
      </c>
      <c r="C273" s="1" t="s">
        <v>47</v>
      </c>
      <c r="D273" s="1" t="s">
        <v>29</v>
      </c>
      <c r="E273" s="1" t="s">
        <v>37</v>
      </c>
      <c r="F273">
        <v>2.4</v>
      </c>
      <c r="G273">
        <v>3</v>
      </c>
      <c r="H273" s="1" t="s">
        <v>48</v>
      </c>
      <c r="I273" s="1" t="s">
        <v>111</v>
      </c>
      <c r="J273" s="12">
        <v>45683</v>
      </c>
      <c r="K273">
        <v>1</v>
      </c>
      <c r="L273" s="1">
        <f t="shared" si="16"/>
        <v>7.1999999999999993</v>
      </c>
      <c r="M273" s="1">
        <f t="shared" si="17"/>
        <v>2</v>
      </c>
      <c r="N273" s="2">
        <f t="shared" si="18"/>
        <v>45658</v>
      </c>
      <c r="O273" t="str">
        <f t="shared" si="19"/>
        <v>mačka</v>
      </c>
    </row>
    <row r="274" spans="1:15" x14ac:dyDescent="0.25">
      <c r="A274">
        <v>7788</v>
      </c>
      <c r="B274" s="11">
        <v>4028899001126</v>
      </c>
      <c r="C274" s="1" t="s">
        <v>16</v>
      </c>
      <c r="D274" s="1" t="s">
        <v>12</v>
      </c>
      <c r="E274" s="1" t="s">
        <v>17</v>
      </c>
      <c r="F274">
        <v>2.8</v>
      </c>
      <c r="G274">
        <v>5</v>
      </c>
      <c r="H274" s="1" t="s">
        <v>14</v>
      </c>
      <c r="I274" s="1" t="s">
        <v>15</v>
      </c>
      <c r="J274" s="12">
        <v>45684</v>
      </c>
      <c r="K274">
        <v>0</v>
      </c>
      <c r="L274" s="1">
        <f t="shared" si="16"/>
        <v>14</v>
      </c>
      <c r="M274" s="1" t="str">
        <f t="shared" si="17"/>
        <v/>
      </c>
      <c r="N274" s="2">
        <f t="shared" si="18"/>
        <v>45658</v>
      </c>
      <c r="O274" t="str">
        <f t="shared" si="19"/>
        <v>pes</v>
      </c>
    </row>
    <row r="275" spans="1:15" x14ac:dyDescent="0.25">
      <c r="A275">
        <v>7789</v>
      </c>
      <c r="B275" s="11">
        <v>4013456789017</v>
      </c>
      <c r="C275" s="1" t="s">
        <v>11</v>
      </c>
      <c r="D275" s="1" t="s">
        <v>12</v>
      </c>
      <c r="E275" s="1" t="s">
        <v>13</v>
      </c>
      <c r="F275">
        <v>6</v>
      </c>
      <c r="G275">
        <v>2</v>
      </c>
      <c r="H275" s="1" t="s">
        <v>14</v>
      </c>
      <c r="I275" s="1" t="s">
        <v>15</v>
      </c>
      <c r="J275" s="12">
        <v>45684</v>
      </c>
      <c r="K275">
        <v>0</v>
      </c>
      <c r="L275" s="1">
        <f t="shared" si="16"/>
        <v>12</v>
      </c>
      <c r="M275" s="1" t="str">
        <f t="shared" si="17"/>
        <v/>
      </c>
      <c r="N275" s="2">
        <f t="shared" si="18"/>
        <v>45658</v>
      </c>
      <c r="O275" t="str">
        <f t="shared" si="19"/>
        <v>pes</v>
      </c>
    </row>
    <row r="276" spans="1:15" x14ac:dyDescent="0.25">
      <c r="A276">
        <v>7790</v>
      </c>
      <c r="B276" s="11">
        <v>4040123456795</v>
      </c>
      <c r="C276" s="1" t="s">
        <v>20</v>
      </c>
      <c r="D276" s="1" t="s">
        <v>21</v>
      </c>
      <c r="E276" s="1" t="s">
        <v>22</v>
      </c>
      <c r="F276">
        <v>8.8000000000000007</v>
      </c>
      <c r="G276">
        <v>1</v>
      </c>
      <c r="H276" s="1" t="s">
        <v>14</v>
      </c>
      <c r="I276" s="1" t="s">
        <v>15</v>
      </c>
      <c r="J276" s="12">
        <v>45684</v>
      </c>
      <c r="K276">
        <v>0</v>
      </c>
      <c r="L276" s="1">
        <f t="shared" si="16"/>
        <v>8.8000000000000007</v>
      </c>
      <c r="M276" s="1" t="str">
        <f t="shared" si="17"/>
        <v/>
      </c>
      <c r="N276" s="2">
        <f t="shared" si="18"/>
        <v>45658</v>
      </c>
      <c r="O276" t="str">
        <f t="shared" si="19"/>
        <v>pes</v>
      </c>
    </row>
    <row r="277" spans="1:15" hidden="1" x14ac:dyDescent="0.25">
      <c r="A277">
        <v>7791</v>
      </c>
      <c r="B277" s="11">
        <v>4010123456783</v>
      </c>
      <c r="C277" s="1" t="s">
        <v>35</v>
      </c>
      <c r="D277" s="1" t="s">
        <v>36</v>
      </c>
      <c r="E277" s="1" t="s">
        <v>37</v>
      </c>
      <c r="F277">
        <v>14</v>
      </c>
      <c r="G277">
        <v>1</v>
      </c>
      <c r="H277" s="1" t="s">
        <v>14</v>
      </c>
      <c r="I277" s="1" t="s">
        <v>15</v>
      </c>
      <c r="J277" s="12">
        <v>45684</v>
      </c>
      <c r="K277">
        <v>0</v>
      </c>
      <c r="L277" s="1">
        <f t="shared" si="16"/>
        <v>14</v>
      </c>
      <c r="M277" s="1" t="str">
        <f t="shared" si="17"/>
        <v/>
      </c>
      <c r="N277" s="2">
        <f t="shared" si="18"/>
        <v>45658</v>
      </c>
      <c r="O277" t="str">
        <f t="shared" si="19"/>
        <v>mačka</v>
      </c>
    </row>
    <row r="278" spans="1:15" x14ac:dyDescent="0.25">
      <c r="A278">
        <v>7792</v>
      </c>
      <c r="B278" s="11">
        <v>4028899001126</v>
      </c>
      <c r="C278" s="1" t="s">
        <v>16</v>
      </c>
      <c r="D278" s="1" t="s">
        <v>12</v>
      </c>
      <c r="E278" s="1" t="s">
        <v>17</v>
      </c>
      <c r="F278">
        <v>2.8</v>
      </c>
      <c r="G278">
        <v>3</v>
      </c>
      <c r="H278" s="1" t="s">
        <v>14</v>
      </c>
      <c r="I278" s="1" t="s">
        <v>15</v>
      </c>
      <c r="J278" s="12">
        <v>45684</v>
      </c>
      <c r="K278">
        <v>0</v>
      </c>
      <c r="L278" s="1">
        <f t="shared" si="16"/>
        <v>8.3999999999999986</v>
      </c>
      <c r="M278" s="1" t="str">
        <f t="shared" si="17"/>
        <v/>
      </c>
      <c r="N278" s="2">
        <f t="shared" si="18"/>
        <v>45658</v>
      </c>
      <c r="O278" t="str">
        <f t="shared" si="19"/>
        <v>pes</v>
      </c>
    </row>
    <row r="279" spans="1:15" x14ac:dyDescent="0.25">
      <c r="A279">
        <v>7793</v>
      </c>
      <c r="B279" s="11">
        <v>4013456789017</v>
      </c>
      <c r="C279" s="1" t="s">
        <v>11</v>
      </c>
      <c r="D279" s="1" t="s">
        <v>12</v>
      </c>
      <c r="E279" s="1" t="s">
        <v>13</v>
      </c>
      <c r="F279">
        <v>6</v>
      </c>
      <c r="G279">
        <v>1</v>
      </c>
      <c r="H279" s="1" t="s">
        <v>14</v>
      </c>
      <c r="I279" s="1" t="s">
        <v>15</v>
      </c>
      <c r="J279" s="12">
        <v>45684</v>
      </c>
      <c r="K279">
        <v>0</v>
      </c>
      <c r="L279" s="1">
        <f t="shared" si="16"/>
        <v>6</v>
      </c>
      <c r="M279" s="1" t="str">
        <f t="shared" si="17"/>
        <v/>
      </c>
      <c r="N279" s="2">
        <f t="shared" si="18"/>
        <v>45658</v>
      </c>
      <c r="O279" t="str">
        <f t="shared" si="19"/>
        <v>pes</v>
      </c>
    </row>
    <row r="280" spans="1:15" x14ac:dyDescent="0.25">
      <c r="A280">
        <v>7794</v>
      </c>
      <c r="B280" s="11">
        <v>4063456789014</v>
      </c>
      <c r="C280" s="1" t="s">
        <v>60</v>
      </c>
      <c r="D280" s="1" t="s">
        <v>12</v>
      </c>
      <c r="E280" s="1" t="s">
        <v>61</v>
      </c>
      <c r="F280">
        <v>36</v>
      </c>
      <c r="G280">
        <v>1</v>
      </c>
      <c r="H280" s="1" t="s">
        <v>14</v>
      </c>
      <c r="I280" s="1" t="s">
        <v>15</v>
      </c>
      <c r="J280" s="12">
        <v>45684</v>
      </c>
      <c r="K280">
        <v>0</v>
      </c>
      <c r="L280" s="1">
        <f t="shared" si="16"/>
        <v>36</v>
      </c>
      <c r="M280" s="1" t="str">
        <f t="shared" si="17"/>
        <v/>
      </c>
      <c r="N280" s="2">
        <f t="shared" si="18"/>
        <v>45658</v>
      </c>
      <c r="O280" t="str">
        <f t="shared" si="19"/>
        <v>pes</v>
      </c>
    </row>
    <row r="281" spans="1:15" hidden="1" x14ac:dyDescent="0.25">
      <c r="A281">
        <v>7795</v>
      </c>
      <c r="B281" s="11">
        <v>4021234567894</v>
      </c>
      <c r="C281" s="1" t="s">
        <v>79</v>
      </c>
      <c r="D281" s="1" t="s">
        <v>36</v>
      </c>
      <c r="E281" s="1" t="s">
        <v>69</v>
      </c>
      <c r="F281">
        <v>8</v>
      </c>
      <c r="G281">
        <v>1</v>
      </c>
      <c r="H281" s="1" t="s">
        <v>14</v>
      </c>
      <c r="I281" s="1" t="s">
        <v>15</v>
      </c>
      <c r="J281" s="12">
        <v>45684</v>
      </c>
      <c r="K281">
        <v>0</v>
      </c>
      <c r="L281" s="1">
        <f t="shared" si="16"/>
        <v>8</v>
      </c>
      <c r="M281" s="1" t="str">
        <f t="shared" si="17"/>
        <v/>
      </c>
      <c r="N281" s="2">
        <f t="shared" si="18"/>
        <v>45658</v>
      </c>
      <c r="O281" t="str">
        <f t="shared" si="19"/>
        <v>mačka</v>
      </c>
    </row>
    <row r="282" spans="1:15" x14ac:dyDescent="0.25">
      <c r="A282">
        <v>7796</v>
      </c>
      <c r="B282" s="11">
        <v>4061011223346</v>
      </c>
      <c r="C282" s="1" t="s">
        <v>25</v>
      </c>
      <c r="D282" s="1" t="s">
        <v>26</v>
      </c>
      <c r="E282" s="1" t="s">
        <v>27</v>
      </c>
      <c r="F282">
        <v>19.600000000000001</v>
      </c>
      <c r="G282">
        <v>1</v>
      </c>
      <c r="H282" s="1" t="s">
        <v>14</v>
      </c>
      <c r="I282" s="1" t="s">
        <v>15</v>
      </c>
      <c r="J282" s="12">
        <v>45684</v>
      </c>
      <c r="K282">
        <v>0</v>
      </c>
      <c r="L282" s="1">
        <f t="shared" si="16"/>
        <v>19.600000000000001</v>
      </c>
      <c r="M282" s="1" t="str">
        <f t="shared" si="17"/>
        <v/>
      </c>
      <c r="N282" s="2">
        <f t="shared" si="18"/>
        <v>45658</v>
      </c>
      <c r="O282" t="str">
        <f t="shared" si="19"/>
        <v>pes</v>
      </c>
    </row>
    <row r="283" spans="1:15" x14ac:dyDescent="0.25">
      <c r="A283">
        <v>7797</v>
      </c>
      <c r="B283" s="11">
        <v>4028899001126</v>
      </c>
      <c r="C283" s="1" t="s">
        <v>16</v>
      </c>
      <c r="D283" s="1" t="s">
        <v>12</v>
      </c>
      <c r="E283" s="1" t="s">
        <v>17</v>
      </c>
      <c r="F283">
        <v>2.8</v>
      </c>
      <c r="G283">
        <v>4</v>
      </c>
      <c r="H283" s="1" t="s">
        <v>14</v>
      </c>
      <c r="I283" s="1" t="s">
        <v>15</v>
      </c>
      <c r="J283" s="12">
        <v>45684</v>
      </c>
      <c r="K283">
        <v>0</v>
      </c>
      <c r="L283" s="1">
        <f t="shared" si="16"/>
        <v>11.2</v>
      </c>
      <c r="M283" s="1" t="str">
        <f t="shared" si="17"/>
        <v/>
      </c>
      <c r="N283" s="2">
        <f t="shared" si="18"/>
        <v>45658</v>
      </c>
      <c r="O283" t="str">
        <f t="shared" si="19"/>
        <v>pes</v>
      </c>
    </row>
    <row r="284" spans="1:15" x14ac:dyDescent="0.25">
      <c r="A284">
        <v>7798</v>
      </c>
      <c r="B284" s="11">
        <v>4013456789017</v>
      </c>
      <c r="C284" s="1" t="s">
        <v>11</v>
      </c>
      <c r="D284" s="1" t="s">
        <v>12</v>
      </c>
      <c r="E284" s="1" t="s">
        <v>13</v>
      </c>
      <c r="F284">
        <v>6</v>
      </c>
      <c r="G284">
        <v>2</v>
      </c>
      <c r="H284" s="1" t="s">
        <v>14</v>
      </c>
      <c r="I284" s="1" t="s">
        <v>15</v>
      </c>
      <c r="J284" s="12">
        <v>45684</v>
      </c>
      <c r="K284">
        <v>0</v>
      </c>
      <c r="L284" s="1">
        <f t="shared" si="16"/>
        <v>12</v>
      </c>
      <c r="M284" s="1" t="str">
        <f t="shared" si="17"/>
        <v/>
      </c>
      <c r="N284" s="2">
        <f t="shared" si="18"/>
        <v>45658</v>
      </c>
      <c r="O284" t="str">
        <f t="shared" si="19"/>
        <v>pes</v>
      </c>
    </row>
    <row r="285" spans="1:15" hidden="1" x14ac:dyDescent="0.25">
      <c r="A285">
        <v>7799</v>
      </c>
      <c r="B285" s="11">
        <v>4056789012345</v>
      </c>
      <c r="C285" s="1" t="s">
        <v>47</v>
      </c>
      <c r="D285" s="1" t="s">
        <v>29</v>
      </c>
      <c r="E285" s="1" t="s">
        <v>37</v>
      </c>
      <c r="F285">
        <v>2.4</v>
      </c>
      <c r="G285">
        <v>3</v>
      </c>
      <c r="H285" s="1" t="s">
        <v>14</v>
      </c>
      <c r="I285" s="1" t="s">
        <v>15</v>
      </c>
      <c r="J285" s="12">
        <v>45684</v>
      </c>
      <c r="K285">
        <v>0</v>
      </c>
      <c r="L285" s="1">
        <f t="shared" si="16"/>
        <v>7.1999999999999993</v>
      </c>
      <c r="M285" s="1" t="str">
        <f t="shared" si="17"/>
        <v/>
      </c>
      <c r="N285" s="2">
        <f t="shared" si="18"/>
        <v>45658</v>
      </c>
      <c r="O285" t="str">
        <f t="shared" si="19"/>
        <v>mačka</v>
      </c>
    </row>
    <row r="286" spans="1:15" x14ac:dyDescent="0.25">
      <c r="A286">
        <v>7800</v>
      </c>
      <c r="B286" s="11">
        <v>4063456789014</v>
      </c>
      <c r="C286" s="1" t="s">
        <v>60</v>
      </c>
      <c r="D286" s="1" t="s">
        <v>12</v>
      </c>
      <c r="E286" s="1" t="s">
        <v>61</v>
      </c>
      <c r="F286">
        <v>36</v>
      </c>
      <c r="G286">
        <v>1</v>
      </c>
      <c r="H286" s="1" t="s">
        <v>14</v>
      </c>
      <c r="I286" s="1" t="s">
        <v>15</v>
      </c>
      <c r="J286" s="12">
        <v>45684</v>
      </c>
      <c r="K286">
        <v>0</v>
      </c>
      <c r="L286" s="1">
        <f t="shared" si="16"/>
        <v>36</v>
      </c>
      <c r="M286" s="1" t="str">
        <f t="shared" si="17"/>
        <v/>
      </c>
      <c r="N286" s="2">
        <f t="shared" si="18"/>
        <v>45658</v>
      </c>
      <c r="O286" t="str">
        <f t="shared" si="19"/>
        <v>pes</v>
      </c>
    </row>
    <row r="287" spans="1:15" hidden="1" x14ac:dyDescent="0.25">
      <c r="A287">
        <v>7801</v>
      </c>
      <c r="B287" s="11">
        <v>4026677889902</v>
      </c>
      <c r="C287" s="1" t="s">
        <v>52</v>
      </c>
      <c r="D287" s="1" t="s">
        <v>53</v>
      </c>
      <c r="E287" s="1" t="s">
        <v>54</v>
      </c>
      <c r="F287">
        <v>7.6</v>
      </c>
      <c r="G287">
        <v>1</v>
      </c>
      <c r="H287" s="1" t="s">
        <v>14</v>
      </c>
      <c r="I287" s="1" t="s">
        <v>15</v>
      </c>
      <c r="J287" s="12">
        <v>45684</v>
      </c>
      <c r="K287">
        <v>0</v>
      </c>
      <c r="L287" s="1">
        <f t="shared" si="16"/>
        <v>7.6</v>
      </c>
      <c r="M287" s="1" t="str">
        <f t="shared" si="17"/>
        <v/>
      </c>
      <c r="N287" s="2">
        <f t="shared" si="18"/>
        <v>45658</v>
      </c>
      <c r="O287" t="str">
        <f t="shared" si="19"/>
        <v>iné</v>
      </c>
    </row>
    <row r="288" spans="1:15" x14ac:dyDescent="0.25">
      <c r="A288">
        <v>7802</v>
      </c>
      <c r="B288" s="11">
        <v>4028899001126</v>
      </c>
      <c r="C288" s="1" t="s">
        <v>16</v>
      </c>
      <c r="D288" s="1" t="s">
        <v>12</v>
      </c>
      <c r="E288" s="1" t="s">
        <v>17</v>
      </c>
      <c r="F288">
        <v>2.8</v>
      </c>
      <c r="G288">
        <v>5</v>
      </c>
      <c r="H288" s="1" t="s">
        <v>14</v>
      </c>
      <c r="I288" s="1" t="s">
        <v>15</v>
      </c>
      <c r="J288" s="12">
        <v>45684</v>
      </c>
      <c r="K288">
        <v>0</v>
      </c>
      <c r="L288" s="1">
        <f t="shared" si="16"/>
        <v>14</v>
      </c>
      <c r="M288" s="1" t="str">
        <f t="shared" si="17"/>
        <v/>
      </c>
      <c r="N288" s="2">
        <f t="shared" si="18"/>
        <v>45658</v>
      </c>
      <c r="O288" t="str">
        <f t="shared" si="19"/>
        <v>pes</v>
      </c>
    </row>
    <row r="289" spans="1:15" x14ac:dyDescent="0.25">
      <c r="A289">
        <v>7803</v>
      </c>
      <c r="B289" s="11">
        <v>4013456789017</v>
      </c>
      <c r="C289" s="1" t="s">
        <v>11</v>
      </c>
      <c r="D289" s="1" t="s">
        <v>12</v>
      </c>
      <c r="E289" s="1" t="s">
        <v>13</v>
      </c>
      <c r="F289">
        <v>6</v>
      </c>
      <c r="G289">
        <v>2</v>
      </c>
      <c r="H289" s="1" t="s">
        <v>14</v>
      </c>
      <c r="I289" s="1" t="s">
        <v>15</v>
      </c>
      <c r="J289" s="12">
        <v>45684</v>
      </c>
      <c r="K289">
        <v>0</v>
      </c>
      <c r="L289" s="1">
        <f t="shared" si="16"/>
        <v>12</v>
      </c>
      <c r="M289" s="1" t="str">
        <f t="shared" si="17"/>
        <v/>
      </c>
      <c r="N289" s="2">
        <f t="shared" si="18"/>
        <v>45658</v>
      </c>
      <c r="O289" t="str">
        <f t="shared" si="19"/>
        <v>pes</v>
      </c>
    </row>
    <row r="290" spans="1:15" x14ac:dyDescent="0.25">
      <c r="A290">
        <v>7804</v>
      </c>
      <c r="B290" s="11">
        <v>4040123456795</v>
      </c>
      <c r="C290" s="1" t="s">
        <v>20</v>
      </c>
      <c r="D290" s="1" t="s">
        <v>21</v>
      </c>
      <c r="E290" s="1" t="s">
        <v>22</v>
      </c>
      <c r="F290">
        <v>8.8000000000000007</v>
      </c>
      <c r="G290">
        <v>1</v>
      </c>
      <c r="H290" s="1" t="s">
        <v>14</v>
      </c>
      <c r="I290" s="1" t="s">
        <v>15</v>
      </c>
      <c r="J290" s="12">
        <v>45684</v>
      </c>
      <c r="K290">
        <v>0</v>
      </c>
      <c r="L290" s="1">
        <f t="shared" si="16"/>
        <v>8.8000000000000007</v>
      </c>
      <c r="M290" s="1" t="str">
        <f t="shared" si="17"/>
        <v/>
      </c>
      <c r="N290" s="2">
        <f t="shared" si="18"/>
        <v>45658</v>
      </c>
      <c r="O290" t="str">
        <f t="shared" si="19"/>
        <v>pes</v>
      </c>
    </row>
    <row r="291" spans="1:15" hidden="1" x14ac:dyDescent="0.25">
      <c r="A291">
        <v>7805</v>
      </c>
      <c r="B291" s="11">
        <v>4010123456783</v>
      </c>
      <c r="C291" s="1" t="s">
        <v>35</v>
      </c>
      <c r="D291" s="1" t="s">
        <v>36</v>
      </c>
      <c r="E291" s="1" t="s">
        <v>37</v>
      </c>
      <c r="F291">
        <v>14</v>
      </c>
      <c r="G291">
        <v>1</v>
      </c>
      <c r="H291" s="1" t="s">
        <v>14</v>
      </c>
      <c r="I291" s="1" t="s">
        <v>15</v>
      </c>
      <c r="J291" s="12">
        <v>45684</v>
      </c>
      <c r="K291">
        <v>0</v>
      </c>
      <c r="L291" s="1">
        <f t="shared" si="16"/>
        <v>14</v>
      </c>
      <c r="M291" s="1" t="str">
        <f t="shared" si="17"/>
        <v/>
      </c>
      <c r="N291" s="2">
        <f t="shared" si="18"/>
        <v>45658</v>
      </c>
      <c r="O291" t="str">
        <f t="shared" si="19"/>
        <v>mačka</v>
      </c>
    </row>
    <row r="292" spans="1:15" x14ac:dyDescent="0.25">
      <c r="A292">
        <v>7806</v>
      </c>
      <c r="B292" s="11">
        <v>4028899001126</v>
      </c>
      <c r="C292" s="1" t="s">
        <v>16</v>
      </c>
      <c r="D292" s="1" t="s">
        <v>12</v>
      </c>
      <c r="E292" s="1" t="s">
        <v>17</v>
      </c>
      <c r="F292">
        <v>2.8</v>
      </c>
      <c r="G292">
        <v>3</v>
      </c>
      <c r="H292" s="1" t="s">
        <v>14</v>
      </c>
      <c r="I292" s="1" t="s">
        <v>15</v>
      </c>
      <c r="J292" s="12">
        <v>45684</v>
      </c>
      <c r="K292">
        <v>0</v>
      </c>
      <c r="L292" s="1">
        <f t="shared" si="16"/>
        <v>8.3999999999999986</v>
      </c>
      <c r="M292" s="1" t="str">
        <f t="shared" si="17"/>
        <v/>
      </c>
      <c r="N292" s="2">
        <f t="shared" si="18"/>
        <v>45658</v>
      </c>
      <c r="O292" t="str">
        <f t="shared" si="19"/>
        <v>pes</v>
      </c>
    </row>
    <row r="293" spans="1:15" x14ac:dyDescent="0.25">
      <c r="A293">
        <v>7807</v>
      </c>
      <c r="B293" s="11">
        <v>4013456789017</v>
      </c>
      <c r="C293" s="1" t="s">
        <v>11</v>
      </c>
      <c r="D293" s="1" t="s">
        <v>12</v>
      </c>
      <c r="E293" s="1" t="s">
        <v>13</v>
      </c>
      <c r="F293">
        <v>6</v>
      </c>
      <c r="G293">
        <v>1</v>
      </c>
      <c r="H293" s="1" t="s">
        <v>14</v>
      </c>
      <c r="I293" s="1" t="s">
        <v>15</v>
      </c>
      <c r="J293" s="12">
        <v>45684</v>
      </c>
      <c r="K293">
        <v>0</v>
      </c>
      <c r="L293" s="1">
        <f t="shared" si="16"/>
        <v>6</v>
      </c>
      <c r="M293" s="1" t="str">
        <f t="shared" si="17"/>
        <v/>
      </c>
      <c r="N293" s="2">
        <f t="shared" si="18"/>
        <v>45658</v>
      </c>
      <c r="O293" t="str">
        <f t="shared" si="19"/>
        <v>pes</v>
      </c>
    </row>
    <row r="294" spans="1:15" x14ac:dyDescent="0.25">
      <c r="A294">
        <v>7808</v>
      </c>
      <c r="B294" s="11">
        <v>4063456789014</v>
      </c>
      <c r="C294" s="1" t="s">
        <v>60</v>
      </c>
      <c r="D294" s="1" t="s">
        <v>12</v>
      </c>
      <c r="E294" s="1" t="s">
        <v>61</v>
      </c>
      <c r="F294">
        <v>36</v>
      </c>
      <c r="G294">
        <v>1</v>
      </c>
      <c r="H294" s="1" t="s">
        <v>14</v>
      </c>
      <c r="I294" s="1" t="s">
        <v>15</v>
      </c>
      <c r="J294" s="12">
        <v>45684</v>
      </c>
      <c r="K294">
        <v>0</v>
      </c>
      <c r="L294" s="1">
        <f t="shared" si="16"/>
        <v>36</v>
      </c>
      <c r="M294" s="1" t="str">
        <f t="shared" si="17"/>
        <v/>
      </c>
      <c r="N294" s="2">
        <f t="shared" si="18"/>
        <v>45658</v>
      </c>
      <c r="O294" t="str">
        <f t="shared" si="19"/>
        <v>pes</v>
      </c>
    </row>
    <row r="295" spans="1:15" hidden="1" x14ac:dyDescent="0.25">
      <c r="A295">
        <v>7809</v>
      </c>
      <c r="B295" s="11">
        <v>4021234567894</v>
      </c>
      <c r="C295" s="1" t="s">
        <v>79</v>
      </c>
      <c r="D295" s="1" t="s">
        <v>36</v>
      </c>
      <c r="E295" s="1" t="s">
        <v>69</v>
      </c>
      <c r="F295">
        <v>8</v>
      </c>
      <c r="G295">
        <v>1</v>
      </c>
      <c r="H295" s="1" t="s">
        <v>14</v>
      </c>
      <c r="I295" s="1" t="s">
        <v>15</v>
      </c>
      <c r="J295" s="12">
        <v>45684</v>
      </c>
      <c r="K295">
        <v>0</v>
      </c>
      <c r="L295" s="1">
        <f t="shared" si="16"/>
        <v>8</v>
      </c>
      <c r="M295" s="1" t="str">
        <f t="shared" si="17"/>
        <v/>
      </c>
      <c r="N295" s="2">
        <f t="shared" si="18"/>
        <v>45658</v>
      </c>
      <c r="O295" t="str">
        <f t="shared" si="19"/>
        <v>mačka</v>
      </c>
    </row>
    <row r="296" spans="1:15" x14ac:dyDescent="0.25">
      <c r="A296">
        <v>7810</v>
      </c>
      <c r="B296" s="11">
        <v>4061011223346</v>
      </c>
      <c r="C296" s="1" t="s">
        <v>25</v>
      </c>
      <c r="D296" s="1" t="s">
        <v>26</v>
      </c>
      <c r="E296" s="1" t="s">
        <v>27</v>
      </c>
      <c r="F296">
        <v>19.600000000000001</v>
      </c>
      <c r="G296">
        <v>1</v>
      </c>
      <c r="H296" s="1" t="s">
        <v>14</v>
      </c>
      <c r="I296" s="1" t="s">
        <v>15</v>
      </c>
      <c r="J296" s="12">
        <v>45684</v>
      </c>
      <c r="K296">
        <v>0</v>
      </c>
      <c r="L296" s="1">
        <f t="shared" si="16"/>
        <v>19.600000000000001</v>
      </c>
      <c r="M296" s="1" t="str">
        <f t="shared" si="17"/>
        <v/>
      </c>
      <c r="N296" s="2">
        <f t="shared" si="18"/>
        <v>45658</v>
      </c>
      <c r="O296" t="str">
        <f t="shared" si="19"/>
        <v>pes</v>
      </c>
    </row>
    <row r="297" spans="1:15" x14ac:dyDescent="0.25">
      <c r="A297">
        <v>7811</v>
      </c>
      <c r="B297" s="11">
        <v>4028899001126</v>
      </c>
      <c r="C297" s="1" t="s">
        <v>16</v>
      </c>
      <c r="D297" s="1" t="s">
        <v>12</v>
      </c>
      <c r="E297" s="1" t="s">
        <v>17</v>
      </c>
      <c r="F297">
        <v>2.8</v>
      </c>
      <c r="G297">
        <v>4</v>
      </c>
      <c r="H297" s="1" t="s">
        <v>14</v>
      </c>
      <c r="I297" s="1" t="s">
        <v>15</v>
      </c>
      <c r="J297" s="12">
        <v>45684</v>
      </c>
      <c r="K297">
        <v>0</v>
      </c>
      <c r="L297" s="1">
        <f t="shared" si="16"/>
        <v>11.2</v>
      </c>
      <c r="M297" s="1" t="str">
        <f t="shared" si="17"/>
        <v/>
      </c>
      <c r="N297" s="2">
        <f t="shared" si="18"/>
        <v>45658</v>
      </c>
      <c r="O297" t="str">
        <f t="shared" si="19"/>
        <v>pes</v>
      </c>
    </row>
    <row r="298" spans="1:15" x14ac:dyDescent="0.25">
      <c r="A298">
        <v>7812</v>
      </c>
      <c r="B298" s="11">
        <v>4013456789017</v>
      </c>
      <c r="C298" s="1" t="s">
        <v>11</v>
      </c>
      <c r="D298" s="1" t="s">
        <v>12</v>
      </c>
      <c r="E298" s="1" t="s">
        <v>13</v>
      </c>
      <c r="F298">
        <v>6</v>
      </c>
      <c r="G298">
        <v>2</v>
      </c>
      <c r="H298" s="1" t="s">
        <v>14</v>
      </c>
      <c r="I298" s="1" t="s">
        <v>15</v>
      </c>
      <c r="J298" s="12">
        <v>45684</v>
      </c>
      <c r="K298">
        <v>0</v>
      </c>
      <c r="L298" s="1">
        <f t="shared" si="16"/>
        <v>12</v>
      </c>
      <c r="M298" s="1" t="str">
        <f t="shared" si="17"/>
        <v/>
      </c>
      <c r="N298" s="2">
        <f t="shared" si="18"/>
        <v>45658</v>
      </c>
      <c r="O298" t="str">
        <f t="shared" si="19"/>
        <v>pes</v>
      </c>
    </row>
    <row r="299" spans="1:15" hidden="1" x14ac:dyDescent="0.25">
      <c r="A299">
        <v>7813</v>
      </c>
      <c r="B299" s="11">
        <v>4056789012345</v>
      </c>
      <c r="C299" s="1" t="s">
        <v>47</v>
      </c>
      <c r="D299" s="1" t="s">
        <v>29</v>
      </c>
      <c r="E299" s="1" t="s">
        <v>37</v>
      </c>
      <c r="F299">
        <v>2.4</v>
      </c>
      <c r="G299">
        <v>3</v>
      </c>
      <c r="H299" s="1" t="s">
        <v>14</v>
      </c>
      <c r="I299" s="1" t="s">
        <v>15</v>
      </c>
      <c r="J299" s="12">
        <v>45684</v>
      </c>
      <c r="K299">
        <v>0</v>
      </c>
      <c r="L299" s="1">
        <f t="shared" si="16"/>
        <v>7.1999999999999993</v>
      </c>
      <c r="M299" s="1" t="str">
        <f t="shared" si="17"/>
        <v/>
      </c>
      <c r="N299" s="2">
        <f t="shared" si="18"/>
        <v>45658</v>
      </c>
      <c r="O299" t="str">
        <f t="shared" si="19"/>
        <v>mačka</v>
      </c>
    </row>
    <row r="300" spans="1:15" x14ac:dyDescent="0.25">
      <c r="A300">
        <v>7814</v>
      </c>
      <c r="B300" s="11">
        <v>4063456789014</v>
      </c>
      <c r="C300" s="1" t="s">
        <v>60</v>
      </c>
      <c r="D300" s="1" t="s">
        <v>12</v>
      </c>
      <c r="E300" s="1" t="s">
        <v>61</v>
      </c>
      <c r="F300">
        <v>36</v>
      </c>
      <c r="G300">
        <v>1</v>
      </c>
      <c r="H300" s="1" t="s">
        <v>14</v>
      </c>
      <c r="I300" s="1" t="s">
        <v>15</v>
      </c>
      <c r="J300" s="12">
        <v>45684</v>
      </c>
      <c r="K300">
        <v>0</v>
      </c>
      <c r="L300" s="1">
        <f t="shared" si="16"/>
        <v>36</v>
      </c>
      <c r="M300" s="1" t="str">
        <f t="shared" si="17"/>
        <v/>
      </c>
      <c r="N300" s="2">
        <f t="shared" si="18"/>
        <v>45658</v>
      </c>
      <c r="O300" t="str">
        <f t="shared" si="19"/>
        <v>pes</v>
      </c>
    </row>
    <row r="301" spans="1:15" hidden="1" x14ac:dyDescent="0.25">
      <c r="A301">
        <v>7815</v>
      </c>
      <c r="B301" s="11">
        <v>4026677889902</v>
      </c>
      <c r="C301" s="1" t="s">
        <v>52</v>
      </c>
      <c r="D301" s="1" t="s">
        <v>53</v>
      </c>
      <c r="E301" s="1" t="s">
        <v>54</v>
      </c>
      <c r="F301">
        <v>7.6</v>
      </c>
      <c r="G301">
        <v>1</v>
      </c>
      <c r="H301" s="1" t="s">
        <v>14</v>
      </c>
      <c r="I301" s="1" t="s">
        <v>15</v>
      </c>
      <c r="J301" s="12">
        <v>45684</v>
      </c>
      <c r="K301">
        <v>0</v>
      </c>
      <c r="L301" s="1">
        <f t="shared" si="16"/>
        <v>7.6</v>
      </c>
      <c r="M301" s="1" t="str">
        <f t="shared" si="17"/>
        <v/>
      </c>
      <c r="N301" s="2">
        <f t="shared" si="18"/>
        <v>45658</v>
      </c>
      <c r="O301" t="str">
        <f t="shared" si="19"/>
        <v>iné</v>
      </c>
    </row>
    <row r="302" spans="1:15" x14ac:dyDescent="0.25">
      <c r="A302">
        <v>7816</v>
      </c>
      <c r="B302" s="11">
        <v>4028899001126</v>
      </c>
      <c r="C302" s="1" t="s">
        <v>16</v>
      </c>
      <c r="D302" s="1" t="s">
        <v>12</v>
      </c>
      <c r="E302" s="1" t="s">
        <v>17</v>
      </c>
      <c r="F302">
        <v>2.8</v>
      </c>
      <c r="G302">
        <v>5</v>
      </c>
      <c r="H302" s="1" t="s">
        <v>14</v>
      </c>
      <c r="I302" s="1" t="s">
        <v>15</v>
      </c>
      <c r="J302" s="12">
        <v>45684</v>
      </c>
      <c r="K302">
        <v>0</v>
      </c>
      <c r="L302" s="1">
        <f t="shared" si="16"/>
        <v>14</v>
      </c>
      <c r="M302" s="1" t="str">
        <f t="shared" si="17"/>
        <v/>
      </c>
      <c r="N302" s="2">
        <f t="shared" si="18"/>
        <v>45658</v>
      </c>
      <c r="O302" t="str">
        <f t="shared" si="19"/>
        <v>pes</v>
      </c>
    </row>
    <row r="303" spans="1:15" x14ac:dyDescent="0.25">
      <c r="A303">
        <v>7817</v>
      </c>
      <c r="B303" s="11">
        <v>4013456789017</v>
      </c>
      <c r="C303" s="1" t="s">
        <v>11</v>
      </c>
      <c r="D303" s="1" t="s">
        <v>12</v>
      </c>
      <c r="E303" s="1" t="s">
        <v>13</v>
      </c>
      <c r="F303">
        <v>6</v>
      </c>
      <c r="G303">
        <v>2</v>
      </c>
      <c r="H303" s="1" t="s">
        <v>14</v>
      </c>
      <c r="I303" s="1" t="s">
        <v>15</v>
      </c>
      <c r="J303" s="12">
        <v>45684</v>
      </c>
      <c r="K303">
        <v>0</v>
      </c>
      <c r="L303" s="1">
        <f t="shared" si="16"/>
        <v>12</v>
      </c>
      <c r="M303" s="1" t="str">
        <f t="shared" si="17"/>
        <v/>
      </c>
      <c r="N303" s="2">
        <f t="shared" si="18"/>
        <v>45658</v>
      </c>
      <c r="O303" t="str">
        <f t="shared" si="19"/>
        <v>pes</v>
      </c>
    </row>
    <row r="304" spans="1:15" x14ac:dyDescent="0.25">
      <c r="A304">
        <v>7818</v>
      </c>
      <c r="B304" s="11">
        <v>4040123456795</v>
      </c>
      <c r="C304" s="1" t="s">
        <v>20</v>
      </c>
      <c r="D304" s="1" t="s">
        <v>21</v>
      </c>
      <c r="E304" s="1" t="s">
        <v>22</v>
      </c>
      <c r="F304">
        <v>8.8000000000000007</v>
      </c>
      <c r="G304">
        <v>1</v>
      </c>
      <c r="H304" s="1" t="s">
        <v>14</v>
      </c>
      <c r="I304" s="1" t="s">
        <v>15</v>
      </c>
      <c r="J304" s="12">
        <v>45684</v>
      </c>
      <c r="K304">
        <v>0</v>
      </c>
      <c r="L304" s="1">
        <f t="shared" si="16"/>
        <v>8.8000000000000007</v>
      </c>
      <c r="M304" s="1" t="str">
        <f t="shared" si="17"/>
        <v/>
      </c>
      <c r="N304" s="2">
        <f t="shared" si="18"/>
        <v>45658</v>
      </c>
      <c r="O304" t="str">
        <f t="shared" si="19"/>
        <v>pes</v>
      </c>
    </row>
    <row r="305" spans="1:15" hidden="1" x14ac:dyDescent="0.25">
      <c r="A305">
        <v>7819</v>
      </c>
      <c r="B305" s="11">
        <v>4010123456783</v>
      </c>
      <c r="C305" s="1" t="s">
        <v>35</v>
      </c>
      <c r="D305" s="1" t="s">
        <v>36</v>
      </c>
      <c r="E305" s="1" t="s">
        <v>37</v>
      </c>
      <c r="F305">
        <v>14</v>
      </c>
      <c r="G305">
        <v>1</v>
      </c>
      <c r="H305" s="1" t="s">
        <v>14</v>
      </c>
      <c r="I305" s="1" t="s">
        <v>15</v>
      </c>
      <c r="J305" s="12">
        <v>45684</v>
      </c>
      <c r="K305">
        <v>0</v>
      </c>
      <c r="L305" s="1">
        <f t="shared" si="16"/>
        <v>14</v>
      </c>
      <c r="M305" s="1" t="str">
        <f t="shared" si="17"/>
        <v/>
      </c>
      <c r="N305" s="2">
        <f t="shared" si="18"/>
        <v>45658</v>
      </c>
      <c r="O305" t="str">
        <f t="shared" si="19"/>
        <v>mačka</v>
      </c>
    </row>
    <row r="306" spans="1:15" x14ac:dyDescent="0.25">
      <c r="A306">
        <v>7820</v>
      </c>
      <c r="B306" s="11">
        <v>4028899001126</v>
      </c>
      <c r="C306" s="1" t="s">
        <v>16</v>
      </c>
      <c r="D306" s="1" t="s">
        <v>12</v>
      </c>
      <c r="E306" s="1" t="s">
        <v>17</v>
      </c>
      <c r="F306">
        <v>2.8</v>
      </c>
      <c r="G306">
        <v>3</v>
      </c>
      <c r="H306" s="1" t="s">
        <v>14</v>
      </c>
      <c r="I306" s="1" t="s">
        <v>15</v>
      </c>
      <c r="J306" s="12">
        <v>45684</v>
      </c>
      <c r="K306">
        <v>0</v>
      </c>
      <c r="L306" s="1">
        <f t="shared" si="16"/>
        <v>8.3999999999999986</v>
      </c>
      <c r="M306" s="1" t="str">
        <f t="shared" si="17"/>
        <v/>
      </c>
      <c r="N306" s="2">
        <f t="shared" si="18"/>
        <v>45658</v>
      </c>
      <c r="O306" t="str">
        <f t="shared" si="19"/>
        <v>pes</v>
      </c>
    </row>
    <row r="307" spans="1:15" x14ac:dyDescent="0.25">
      <c r="A307">
        <v>7821</v>
      </c>
      <c r="B307" s="11">
        <v>4013456789017</v>
      </c>
      <c r="C307" s="1" t="s">
        <v>11</v>
      </c>
      <c r="D307" s="1" t="s">
        <v>12</v>
      </c>
      <c r="E307" s="1" t="s">
        <v>13</v>
      </c>
      <c r="F307">
        <v>6</v>
      </c>
      <c r="G307">
        <v>1</v>
      </c>
      <c r="H307" s="1" t="s">
        <v>14</v>
      </c>
      <c r="I307" s="1" t="s">
        <v>15</v>
      </c>
      <c r="J307" s="12">
        <v>45684</v>
      </c>
      <c r="K307">
        <v>0</v>
      </c>
      <c r="L307" s="1">
        <f t="shared" si="16"/>
        <v>6</v>
      </c>
      <c r="M307" s="1" t="str">
        <f t="shared" si="17"/>
        <v/>
      </c>
      <c r="N307" s="2">
        <f t="shared" si="18"/>
        <v>45658</v>
      </c>
      <c r="O307" t="str">
        <f t="shared" si="19"/>
        <v>pes</v>
      </c>
    </row>
    <row r="308" spans="1:15" x14ac:dyDescent="0.25">
      <c r="A308">
        <v>7822</v>
      </c>
      <c r="B308" s="11">
        <v>4063456789014</v>
      </c>
      <c r="C308" s="1" t="s">
        <v>60</v>
      </c>
      <c r="D308" s="1" t="s">
        <v>12</v>
      </c>
      <c r="E308" s="1" t="s">
        <v>61</v>
      </c>
      <c r="F308">
        <v>36</v>
      </c>
      <c r="G308">
        <v>1</v>
      </c>
      <c r="H308" s="1" t="s">
        <v>14</v>
      </c>
      <c r="I308" s="1" t="s">
        <v>15</v>
      </c>
      <c r="J308" s="12">
        <v>45684</v>
      </c>
      <c r="K308">
        <v>0</v>
      </c>
      <c r="L308" s="1">
        <f t="shared" si="16"/>
        <v>36</v>
      </c>
      <c r="M308" s="1" t="str">
        <f t="shared" si="17"/>
        <v/>
      </c>
      <c r="N308" s="2">
        <f t="shared" si="18"/>
        <v>45658</v>
      </c>
      <c r="O308" t="str">
        <f t="shared" si="19"/>
        <v>pes</v>
      </c>
    </row>
    <row r="309" spans="1:15" hidden="1" x14ac:dyDescent="0.25">
      <c r="A309">
        <v>7823</v>
      </c>
      <c r="B309" s="11">
        <v>4021234567894</v>
      </c>
      <c r="C309" s="1" t="s">
        <v>79</v>
      </c>
      <c r="D309" s="1" t="s">
        <v>36</v>
      </c>
      <c r="E309" s="1" t="s">
        <v>69</v>
      </c>
      <c r="F309">
        <v>8</v>
      </c>
      <c r="G309">
        <v>1</v>
      </c>
      <c r="H309" s="1" t="s">
        <v>14</v>
      </c>
      <c r="I309" s="1" t="s">
        <v>15</v>
      </c>
      <c r="J309" s="12">
        <v>45684</v>
      </c>
      <c r="K309">
        <v>0</v>
      </c>
      <c r="L309" s="1">
        <f t="shared" si="16"/>
        <v>8</v>
      </c>
      <c r="M309" s="1" t="str">
        <f t="shared" si="17"/>
        <v/>
      </c>
      <c r="N309" s="2">
        <f t="shared" si="18"/>
        <v>45658</v>
      </c>
      <c r="O309" t="str">
        <f t="shared" si="19"/>
        <v>mačka</v>
      </c>
    </row>
    <row r="310" spans="1:15" x14ac:dyDescent="0.25">
      <c r="A310">
        <v>7824</v>
      </c>
      <c r="B310" s="11">
        <v>4061011223346</v>
      </c>
      <c r="C310" s="1" t="s">
        <v>25</v>
      </c>
      <c r="D310" s="1" t="s">
        <v>26</v>
      </c>
      <c r="E310" s="1" t="s">
        <v>27</v>
      </c>
      <c r="F310">
        <v>19.600000000000001</v>
      </c>
      <c r="G310">
        <v>1</v>
      </c>
      <c r="H310" s="1" t="s">
        <v>14</v>
      </c>
      <c r="I310" s="1" t="s">
        <v>15</v>
      </c>
      <c r="J310" s="12">
        <v>45684</v>
      </c>
      <c r="K310">
        <v>0</v>
      </c>
      <c r="L310" s="1">
        <f t="shared" si="16"/>
        <v>19.600000000000001</v>
      </c>
      <c r="M310" s="1" t="str">
        <f t="shared" si="17"/>
        <v/>
      </c>
      <c r="N310" s="2">
        <f t="shared" si="18"/>
        <v>45658</v>
      </c>
      <c r="O310" t="str">
        <f t="shared" si="19"/>
        <v>pes</v>
      </c>
    </row>
    <row r="311" spans="1:15" x14ac:dyDescent="0.25">
      <c r="A311">
        <v>7825</v>
      </c>
      <c r="B311" s="11">
        <v>4028899001126</v>
      </c>
      <c r="C311" s="1" t="s">
        <v>16</v>
      </c>
      <c r="D311" s="1" t="s">
        <v>12</v>
      </c>
      <c r="E311" s="1" t="s">
        <v>17</v>
      </c>
      <c r="F311">
        <v>2.8</v>
      </c>
      <c r="G311">
        <v>4</v>
      </c>
      <c r="H311" s="1" t="s">
        <v>14</v>
      </c>
      <c r="I311" s="1" t="s">
        <v>15</v>
      </c>
      <c r="J311" s="12">
        <v>45684</v>
      </c>
      <c r="K311">
        <v>0</v>
      </c>
      <c r="L311" s="1">
        <f t="shared" si="16"/>
        <v>11.2</v>
      </c>
      <c r="M311" s="1" t="str">
        <f t="shared" si="17"/>
        <v/>
      </c>
      <c r="N311" s="2">
        <f t="shared" si="18"/>
        <v>45658</v>
      </c>
      <c r="O311" t="str">
        <f t="shared" si="19"/>
        <v>pes</v>
      </c>
    </row>
    <row r="312" spans="1:15" x14ac:dyDescent="0.25">
      <c r="A312">
        <v>7826</v>
      </c>
      <c r="B312" s="11">
        <v>4013456789017</v>
      </c>
      <c r="C312" s="1" t="s">
        <v>11</v>
      </c>
      <c r="D312" s="1" t="s">
        <v>12</v>
      </c>
      <c r="E312" s="1" t="s">
        <v>13</v>
      </c>
      <c r="F312">
        <v>6</v>
      </c>
      <c r="G312">
        <v>2</v>
      </c>
      <c r="H312" s="1" t="s">
        <v>14</v>
      </c>
      <c r="I312" s="1" t="s">
        <v>15</v>
      </c>
      <c r="J312" s="12">
        <v>45684</v>
      </c>
      <c r="K312">
        <v>0</v>
      </c>
      <c r="L312" s="1">
        <f t="shared" si="16"/>
        <v>12</v>
      </c>
      <c r="M312" s="1" t="str">
        <f t="shared" si="17"/>
        <v/>
      </c>
      <c r="N312" s="2">
        <f t="shared" si="18"/>
        <v>45658</v>
      </c>
      <c r="O312" t="str">
        <f t="shared" si="19"/>
        <v>pes</v>
      </c>
    </row>
    <row r="313" spans="1:15" hidden="1" x14ac:dyDescent="0.25">
      <c r="A313">
        <v>7827</v>
      </c>
      <c r="B313" s="11">
        <v>4056789012345</v>
      </c>
      <c r="C313" s="1" t="s">
        <v>47</v>
      </c>
      <c r="D313" s="1" t="s">
        <v>29</v>
      </c>
      <c r="E313" s="1" t="s">
        <v>37</v>
      </c>
      <c r="F313">
        <v>2.4</v>
      </c>
      <c r="G313">
        <v>3</v>
      </c>
      <c r="H313" s="1" t="s">
        <v>14</v>
      </c>
      <c r="I313" s="1" t="s">
        <v>15</v>
      </c>
      <c r="J313" s="12">
        <v>45684</v>
      </c>
      <c r="K313">
        <v>0</v>
      </c>
      <c r="L313" s="1">
        <f t="shared" si="16"/>
        <v>7.1999999999999993</v>
      </c>
      <c r="M313" s="1" t="str">
        <f t="shared" si="17"/>
        <v/>
      </c>
      <c r="N313" s="2">
        <f t="shared" si="18"/>
        <v>45658</v>
      </c>
      <c r="O313" t="str">
        <f t="shared" si="19"/>
        <v>mačka</v>
      </c>
    </row>
    <row r="314" spans="1:15" x14ac:dyDescent="0.25">
      <c r="A314">
        <v>7828</v>
      </c>
      <c r="B314" s="11">
        <v>4063456789014</v>
      </c>
      <c r="C314" s="1" t="s">
        <v>60</v>
      </c>
      <c r="D314" s="1" t="s">
        <v>12</v>
      </c>
      <c r="E314" s="1" t="s">
        <v>61</v>
      </c>
      <c r="F314">
        <v>36</v>
      </c>
      <c r="G314">
        <v>1</v>
      </c>
      <c r="H314" s="1" t="s">
        <v>14</v>
      </c>
      <c r="I314" s="1" t="s">
        <v>15</v>
      </c>
      <c r="J314" s="12">
        <v>45684</v>
      </c>
      <c r="K314">
        <v>0</v>
      </c>
      <c r="L314" s="1">
        <f t="shared" si="16"/>
        <v>36</v>
      </c>
      <c r="M314" s="1" t="str">
        <f t="shared" si="17"/>
        <v/>
      </c>
      <c r="N314" s="2">
        <f t="shared" si="18"/>
        <v>45658</v>
      </c>
      <c r="O314" t="str">
        <f t="shared" si="19"/>
        <v>pes</v>
      </c>
    </row>
    <row r="315" spans="1:15" hidden="1" x14ac:dyDescent="0.25">
      <c r="A315">
        <v>7829</v>
      </c>
      <c r="B315" s="11">
        <v>4026677889902</v>
      </c>
      <c r="C315" s="1" t="s">
        <v>52</v>
      </c>
      <c r="D315" s="1" t="s">
        <v>53</v>
      </c>
      <c r="E315" s="1" t="s">
        <v>54</v>
      </c>
      <c r="F315">
        <v>7.6</v>
      </c>
      <c r="G315">
        <v>1</v>
      </c>
      <c r="H315" s="1" t="s">
        <v>14</v>
      </c>
      <c r="I315" s="1" t="s">
        <v>15</v>
      </c>
      <c r="J315" s="12">
        <v>45684</v>
      </c>
      <c r="K315">
        <v>0</v>
      </c>
      <c r="L315" s="1">
        <f t="shared" si="16"/>
        <v>7.6</v>
      </c>
      <c r="M315" s="1" t="str">
        <f t="shared" si="17"/>
        <v/>
      </c>
      <c r="N315" s="2">
        <f t="shared" si="18"/>
        <v>45658</v>
      </c>
      <c r="O315" t="str">
        <f t="shared" si="19"/>
        <v>iné</v>
      </c>
    </row>
    <row r="316" spans="1:15" x14ac:dyDescent="0.25">
      <c r="A316">
        <v>7830</v>
      </c>
      <c r="B316" s="11">
        <v>4028899001126</v>
      </c>
      <c r="C316" s="1" t="s">
        <v>16</v>
      </c>
      <c r="D316" s="1" t="s">
        <v>12</v>
      </c>
      <c r="E316" s="1" t="s">
        <v>17</v>
      </c>
      <c r="F316">
        <v>2.8</v>
      </c>
      <c r="G316">
        <v>5</v>
      </c>
      <c r="H316" s="1" t="s">
        <v>14</v>
      </c>
      <c r="I316" s="1" t="s">
        <v>15</v>
      </c>
      <c r="J316" s="12">
        <v>45684</v>
      </c>
      <c r="K316">
        <v>0</v>
      </c>
      <c r="L316" s="1">
        <f t="shared" si="16"/>
        <v>14</v>
      </c>
      <c r="M316" s="1" t="str">
        <f t="shared" si="17"/>
        <v/>
      </c>
      <c r="N316" s="2">
        <f t="shared" si="18"/>
        <v>45658</v>
      </c>
      <c r="O316" t="str">
        <f t="shared" si="19"/>
        <v>pes</v>
      </c>
    </row>
    <row r="317" spans="1:15" x14ac:dyDescent="0.25">
      <c r="A317">
        <v>7831</v>
      </c>
      <c r="B317" s="11">
        <v>4013456789017</v>
      </c>
      <c r="C317" s="1" t="s">
        <v>11</v>
      </c>
      <c r="D317" s="1" t="s">
        <v>12</v>
      </c>
      <c r="E317" s="1" t="s">
        <v>13</v>
      </c>
      <c r="F317">
        <v>6</v>
      </c>
      <c r="G317">
        <v>2</v>
      </c>
      <c r="H317" s="1" t="s">
        <v>14</v>
      </c>
      <c r="I317" s="1" t="s">
        <v>15</v>
      </c>
      <c r="J317" s="12">
        <v>45684</v>
      </c>
      <c r="K317">
        <v>0</v>
      </c>
      <c r="L317" s="1">
        <f t="shared" si="16"/>
        <v>12</v>
      </c>
      <c r="M317" s="1" t="str">
        <f t="shared" si="17"/>
        <v/>
      </c>
      <c r="N317" s="2">
        <f t="shared" si="18"/>
        <v>45658</v>
      </c>
      <c r="O317" t="str">
        <f t="shared" si="19"/>
        <v>pes</v>
      </c>
    </row>
    <row r="318" spans="1:15" x14ac:dyDescent="0.25">
      <c r="A318">
        <v>7832</v>
      </c>
      <c r="B318" s="11">
        <v>4040123456795</v>
      </c>
      <c r="C318" s="1" t="s">
        <v>20</v>
      </c>
      <c r="D318" s="1" t="s">
        <v>21</v>
      </c>
      <c r="E318" s="1" t="s">
        <v>22</v>
      </c>
      <c r="F318">
        <v>8.8000000000000007</v>
      </c>
      <c r="G318">
        <v>1</v>
      </c>
      <c r="H318" s="1" t="s">
        <v>14</v>
      </c>
      <c r="I318" s="1" t="s">
        <v>15</v>
      </c>
      <c r="J318" s="12">
        <v>45684</v>
      </c>
      <c r="K318">
        <v>0</v>
      </c>
      <c r="L318" s="1">
        <f t="shared" si="16"/>
        <v>8.8000000000000007</v>
      </c>
      <c r="M318" s="1" t="str">
        <f t="shared" si="17"/>
        <v/>
      </c>
      <c r="N318" s="2">
        <f t="shared" si="18"/>
        <v>45658</v>
      </c>
      <c r="O318" t="str">
        <f t="shared" si="19"/>
        <v>pes</v>
      </c>
    </row>
    <row r="319" spans="1:15" hidden="1" x14ac:dyDescent="0.25">
      <c r="A319">
        <v>7833</v>
      </c>
      <c r="B319" s="11">
        <v>4010123456783</v>
      </c>
      <c r="C319" s="1" t="s">
        <v>35</v>
      </c>
      <c r="D319" s="1" t="s">
        <v>36</v>
      </c>
      <c r="E319" s="1" t="s">
        <v>37</v>
      </c>
      <c r="F319">
        <v>14</v>
      </c>
      <c r="G319">
        <v>1</v>
      </c>
      <c r="H319" s="1" t="s">
        <v>14</v>
      </c>
      <c r="I319" s="1" t="s">
        <v>15</v>
      </c>
      <c r="J319" s="12">
        <v>45684</v>
      </c>
      <c r="K319">
        <v>0</v>
      </c>
      <c r="L319" s="1">
        <f t="shared" si="16"/>
        <v>14</v>
      </c>
      <c r="M319" s="1" t="str">
        <f t="shared" si="17"/>
        <v/>
      </c>
      <c r="N319" s="2">
        <f t="shared" si="18"/>
        <v>45658</v>
      </c>
      <c r="O319" t="str">
        <f t="shared" si="19"/>
        <v>mačka</v>
      </c>
    </row>
    <row r="320" spans="1:15" x14ac:dyDescent="0.25">
      <c r="A320">
        <v>7834</v>
      </c>
      <c r="B320" s="11">
        <v>4028899001126</v>
      </c>
      <c r="C320" s="1" t="s">
        <v>16</v>
      </c>
      <c r="D320" s="1" t="s">
        <v>12</v>
      </c>
      <c r="E320" s="1" t="s">
        <v>17</v>
      </c>
      <c r="F320">
        <v>2.8</v>
      </c>
      <c r="G320">
        <v>3</v>
      </c>
      <c r="H320" s="1" t="s">
        <v>14</v>
      </c>
      <c r="I320" s="1" t="s">
        <v>15</v>
      </c>
      <c r="J320" s="12">
        <v>45684</v>
      </c>
      <c r="K320">
        <v>0</v>
      </c>
      <c r="L320" s="1">
        <f t="shared" si="16"/>
        <v>8.3999999999999986</v>
      </c>
      <c r="M320" s="1" t="str">
        <f t="shared" si="17"/>
        <v/>
      </c>
      <c r="N320" s="2">
        <f t="shared" si="18"/>
        <v>45658</v>
      </c>
      <c r="O320" t="str">
        <f t="shared" si="19"/>
        <v>pes</v>
      </c>
    </row>
    <row r="321" spans="1:15" x14ac:dyDescent="0.25">
      <c r="A321">
        <v>7835</v>
      </c>
      <c r="B321" s="11">
        <v>4013456789017</v>
      </c>
      <c r="C321" s="1" t="s">
        <v>11</v>
      </c>
      <c r="D321" s="1" t="s">
        <v>12</v>
      </c>
      <c r="E321" s="1" t="s">
        <v>13</v>
      </c>
      <c r="F321">
        <v>6</v>
      </c>
      <c r="G321">
        <v>1</v>
      </c>
      <c r="H321" s="1" t="s">
        <v>14</v>
      </c>
      <c r="I321" s="1" t="s">
        <v>15</v>
      </c>
      <c r="J321" s="12">
        <v>45684</v>
      </c>
      <c r="K321">
        <v>0</v>
      </c>
      <c r="L321" s="1">
        <f t="shared" si="16"/>
        <v>6</v>
      </c>
      <c r="M321" s="1" t="str">
        <f t="shared" si="17"/>
        <v/>
      </c>
      <c r="N321" s="2">
        <f t="shared" si="18"/>
        <v>45658</v>
      </c>
      <c r="O321" t="str">
        <f t="shared" si="19"/>
        <v>pes</v>
      </c>
    </row>
    <row r="322" spans="1:15" x14ac:dyDescent="0.25">
      <c r="A322">
        <v>7836</v>
      </c>
      <c r="B322" s="11">
        <v>4063456789014</v>
      </c>
      <c r="C322" s="1" t="s">
        <v>60</v>
      </c>
      <c r="D322" s="1" t="s">
        <v>12</v>
      </c>
      <c r="E322" s="1" t="s">
        <v>61</v>
      </c>
      <c r="F322">
        <v>36</v>
      </c>
      <c r="G322">
        <v>1</v>
      </c>
      <c r="H322" s="1" t="s">
        <v>14</v>
      </c>
      <c r="I322" s="1" t="s">
        <v>15</v>
      </c>
      <c r="J322" s="12">
        <v>45684</v>
      </c>
      <c r="K322">
        <v>0</v>
      </c>
      <c r="L322" s="1">
        <f t="shared" ref="L322:L385" si="20">F322*G322</f>
        <v>36</v>
      </c>
      <c r="M322" s="1" t="str">
        <f t="shared" ref="M322:M385" si="21">IF(H322="NULL", "",VALUE(H322))</f>
        <v/>
      </c>
      <c r="N322" s="2">
        <f t="shared" ref="N322:N385" si="22">DATE(YEAR(J322),MONTH(J322),1)</f>
        <v>45658</v>
      </c>
      <c r="O322" t="str">
        <f t="shared" ref="O322:O385" si="23">IF(ISNUMBER(SEARCH("Mačky",D322)),"mačka",IF(ISNUMBER(SEARCH("Psy",D322)),"pes","iné"))</f>
        <v>pes</v>
      </c>
    </row>
    <row r="323" spans="1:15" hidden="1" x14ac:dyDescent="0.25">
      <c r="A323">
        <v>7837</v>
      </c>
      <c r="B323" s="11">
        <v>4021234567894</v>
      </c>
      <c r="C323" s="1" t="s">
        <v>79</v>
      </c>
      <c r="D323" s="1" t="s">
        <v>36</v>
      </c>
      <c r="E323" s="1" t="s">
        <v>69</v>
      </c>
      <c r="F323">
        <v>8</v>
      </c>
      <c r="G323">
        <v>1</v>
      </c>
      <c r="H323" s="1" t="s">
        <v>14</v>
      </c>
      <c r="I323" s="1" t="s">
        <v>15</v>
      </c>
      <c r="J323" s="12">
        <v>45684</v>
      </c>
      <c r="K323">
        <v>0</v>
      </c>
      <c r="L323" s="1">
        <f t="shared" si="20"/>
        <v>8</v>
      </c>
      <c r="M323" s="1" t="str">
        <f t="shared" si="21"/>
        <v/>
      </c>
      <c r="N323" s="2">
        <f t="shared" si="22"/>
        <v>45658</v>
      </c>
      <c r="O323" t="str">
        <f t="shared" si="23"/>
        <v>mačka</v>
      </c>
    </row>
    <row r="324" spans="1:15" x14ac:dyDescent="0.25">
      <c r="A324">
        <v>7838</v>
      </c>
      <c r="B324" s="11">
        <v>4061011223346</v>
      </c>
      <c r="C324" s="1" t="s">
        <v>25</v>
      </c>
      <c r="D324" s="1" t="s">
        <v>26</v>
      </c>
      <c r="E324" s="1" t="s">
        <v>27</v>
      </c>
      <c r="F324">
        <v>19.600000000000001</v>
      </c>
      <c r="G324">
        <v>1</v>
      </c>
      <c r="H324" s="1" t="s">
        <v>14</v>
      </c>
      <c r="I324" s="1" t="s">
        <v>15</v>
      </c>
      <c r="J324" s="12">
        <v>45684</v>
      </c>
      <c r="K324">
        <v>0</v>
      </c>
      <c r="L324" s="1">
        <f t="shared" si="20"/>
        <v>19.600000000000001</v>
      </c>
      <c r="M324" s="1" t="str">
        <f t="shared" si="21"/>
        <v/>
      </c>
      <c r="N324" s="2">
        <f t="shared" si="22"/>
        <v>45658</v>
      </c>
      <c r="O324" t="str">
        <f t="shared" si="23"/>
        <v>pes</v>
      </c>
    </row>
    <row r="325" spans="1:15" x14ac:dyDescent="0.25">
      <c r="A325">
        <v>7839</v>
      </c>
      <c r="B325" s="11">
        <v>4028899001126</v>
      </c>
      <c r="C325" s="1" t="s">
        <v>16</v>
      </c>
      <c r="D325" s="1" t="s">
        <v>12</v>
      </c>
      <c r="E325" s="1" t="s">
        <v>17</v>
      </c>
      <c r="F325">
        <v>2.8</v>
      </c>
      <c r="G325">
        <v>4</v>
      </c>
      <c r="H325" s="1" t="s">
        <v>14</v>
      </c>
      <c r="I325" s="1" t="s">
        <v>15</v>
      </c>
      <c r="J325" s="12">
        <v>45684</v>
      </c>
      <c r="K325">
        <v>0</v>
      </c>
      <c r="L325" s="1">
        <f t="shared" si="20"/>
        <v>11.2</v>
      </c>
      <c r="M325" s="1" t="str">
        <f t="shared" si="21"/>
        <v/>
      </c>
      <c r="N325" s="2">
        <f t="shared" si="22"/>
        <v>45658</v>
      </c>
      <c r="O325" t="str">
        <f t="shared" si="23"/>
        <v>pes</v>
      </c>
    </row>
    <row r="326" spans="1:15" x14ac:dyDescent="0.25">
      <c r="A326">
        <v>7840</v>
      </c>
      <c r="B326" s="11">
        <v>4013456789017</v>
      </c>
      <c r="C326" s="1" t="s">
        <v>11</v>
      </c>
      <c r="D326" s="1" t="s">
        <v>12</v>
      </c>
      <c r="E326" s="1" t="s">
        <v>13</v>
      </c>
      <c r="F326">
        <v>6</v>
      </c>
      <c r="G326">
        <v>2</v>
      </c>
      <c r="H326" s="1" t="s">
        <v>14</v>
      </c>
      <c r="I326" s="1" t="s">
        <v>15</v>
      </c>
      <c r="J326" s="12">
        <v>45684</v>
      </c>
      <c r="K326">
        <v>0</v>
      </c>
      <c r="L326" s="1">
        <f t="shared" si="20"/>
        <v>12</v>
      </c>
      <c r="M326" s="1" t="str">
        <f t="shared" si="21"/>
        <v/>
      </c>
      <c r="N326" s="2">
        <f t="shared" si="22"/>
        <v>45658</v>
      </c>
      <c r="O326" t="str">
        <f t="shared" si="23"/>
        <v>pes</v>
      </c>
    </row>
    <row r="327" spans="1:15" x14ac:dyDescent="0.25">
      <c r="A327">
        <v>7841</v>
      </c>
      <c r="B327" s="11">
        <v>4040123456795</v>
      </c>
      <c r="C327" s="1" t="s">
        <v>20</v>
      </c>
      <c r="D327" s="1" t="s">
        <v>21</v>
      </c>
      <c r="E327" s="1" t="s">
        <v>22</v>
      </c>
      <c r="F327">
        <v>8.8000000000000007</v>
      </c>
      <c r="G327">
        <v>1</v>
      </c>
      <c r="H327" s="1" t="s">
        <v>23</v>
      </c>
      <c r="I327" s="1" t="s">
        <v>112</v>
      </c>
      <c r="J327" s="12">
        <v>45685</v>
      </c>
      <c r="K327">
        <v>0</v>
      </c>
      <c r="L327" s="1">
        <f t="shared" si="20"/>
        <v>8.8000000000000007</v>
      </c>
      <c r="M327" s="1">
        <f t="shared" si="21"/>
        <v>5</v>
      </c>
      <c r="N327" s="2">
        <f t="shared" si="22"/>
        <v>45658</v>
      </c>
      <c r="O327" t="str">
        <f t="shared" si="23"/>
        <v>pes</v>
      </c>
    </row>
    <row r="328" spans="1:15" hidden="1" x14ac:dyDescent="0.25">
      <c r="A328">
        <v>7842</v>
      </c>
      <c r="B328" s="11">
        <v>4010123456783</v>
      </c>
      <c r="C328" s="1" t="s">
        <v>35</v>
      </c>
      <c r="D328" s="1" t="s">
        <v>36</v>
      </c>
      <c r="E328" s="1" t="s">
        <v>37</v>
      </c>
      <c r="F328">
        <v>14</v>
      </c>
      <c r="G328">
        <v>1</v>
      </c>
      <c r="H328" s="1" t="s">
        <v>14</v>
      </c>
      <c r="I328" s="1" t="s">
        <v>15</v>
      </c>
      <c r="J328" s="12">
        <v>45685</v>
      </c>
      <c r="K328">
        <v>0</v>
      </c>
      <c r="L328" s="1">
        <f t="shared" si="20"/>
        <v>14</v>
      </c>
      <c r="M328" s="1" t="str">
        <f t="shared" si="21"/>
        <v/>
      </c>
      <c r="N328" s="2">
        <f t="shared" si="22"/>
        <v>45658</v>
      </c>
      <c r="O328" t="str">
        <f t="shared" si="23"/>
        <v>mačka</v>
      </c>
    </row>
    <row r="329" spans="1:15" x14ac:dyDescent="0.25">
      <c r="A329">
        <v>7843</v>
      </c>
      <c r="B329" s="11">
        <v>4028899001126</v>
      </c>
      <c r="C329" s="1" t="s">
        <v>16</v>
      </c>
      <c r="D329" s="1" t="s">
        <v>12</v>
      </c>
      <c r="E329" s="1" t="s">
        <v>17</v>
      </c>
      <c r="F329">
        <v>2.8</v>
      </c>
      <c r="G329">
        <v>3</v>
      </c>
      <c r="H329" s="1" t="s">
        <v>14</v>
      </c>
      <c r="I329" s="1" t="s">
        <v>15</v>
      </c>
      <c r="J329" s="12">
        <v>45685</v>
      </c>
      <c r="K329">
        <v>0</v>
      </c>
      <c r="L329" s="1">
        <f t="shared" si="20"/>
        <v>8.3999999999999986</v>
      </c>
      <c r="M329" s="1" t="str">
        <f t="shared" si="21"/>
        <v/>
      </c>
      <c r="N329" s="2">
        <f t="shared" si="22"/>
        <v>45658</v>
      </c>
      <c r="O329" t="str">
        <f t="shared" si="23"/>
        <v>pes</v>
      </c>
    </row>
    <row r="330" spans="1:15" x14ac:dyDescent="0.25">
      <c r="A330">
        <v>7844</v>
      </c>
      <c r="B330" s="11">
        <v>4013456789017</v>
      </c>
      <c r="C330" s="1" t="s">
        <v>11</v>
      </c>
      <c r="D330" s="1" t="s">
        <v>12</v>
      </c>
      <c r="E330" s="1" t="s">
        <v>13</v>
      </c>
      <c r="F330">
        <v>6</v>
      </c>
      <c r="G330">
        <v>1</v>
      </c>
      <c r="H330" s="1" t="s">
        <v>33</v>
      </c>
      <c r="I330" s="1" t="s">
        <v>113</v>
      </c>
      <c r="J330" s="12">
        <v>45685</v>
      </c>
      <c r="K330">
        <v>0</v>
      </c>
      <c r="L330" s="1">
        <f t="shared" si="20"/>
        <v>6</v>
      </c>
      <c r="M330" s="1">
        <f t="shared" si="21"/>
        <v>3</v>
      </c>
      <c r="N330" s="2">
        <f t="shared" si="22"/>
        <v>45658</v>
      </c>
      <c r="O330" t="str">
        <f t="shared" si="23"/>
        <v>pes</v>
      </c>
    </row>
    <row r="331" spans="1:15" x14ac:dyDescent="0.25">
      <c r="A331">
        <v>7845</v>
      </c>
      <c r="B331" s="11">
        <v>4063456789014</v>
      </c>
      <c r="C331" s="1" t="s">
        <v>60</v>
      </c>
      <c r="D331" s="1" t="s">
        <v>12</v>
      </c>
      <c r="E331" s="1" t="s">
        <v>61</v>
      </c>
      <c r="F331">
        <v>36</v>
      </c>
      <c r="G331">
        <v>1</v>
      </c>
      <c r="H331" s="1" t="s">
        <v>14</v>
      </c>
      <c r="I331" s="1" t="s">
        <v>15</v>
      </c>
      <c r="J331" s="12">
        <v>45685</v>
      </c>
      <c r="K331">
        <v>0</v>
      </c>
      <c r="L331" s="1">
        <f t="shared" si="20"/>
        <v>36</v>
      </c>
      <c r="M331" s="1" t="str">
        <f t="shared" si="21"/>
        <v/>
      </c>
      <c r="N331" s="2">
        <f t="shared" si="22"/>
        <v>45658</v>
      </c>
      <c r="O331" t="str">
        <f t="shared" si="23"/>
        <v>pes</v>
      </c>
    </row>
    <row r="332" spans="1:15" hidden="1" x14ac:dyDescent="0.25">
      <c r="A332">
        <v>7846</v>
      </c>
      <c r="B332" s="11">
        <v>4021234567894</v>
      </c>
      <c r="C332" s="1" t="s">
        <v>79</v>
      </c>
      <c r="D332" s="1" t="s">
        <v>36</v>
      </c>
      <c r="E332" s="1" t="s">
        <v>69</v>
      </c>
      <c r="F332">
        <v>8</v>
      </c>
      <c r="G332">
        <v>1</v>
      </c>
      <c r="H332" s="1" t="s">
        <v>14</v>
      </c>
      <c r="I332" s="1" t="s">
        <v>15</v>
      </c>
      <c r="J332" s="12">
        <v>45685</v>
      </c>
      <c r="K332">
        <v>0</v>
      </c>
      <c r="L332" s="1">
        <f t="shared" si="20"/>
        <v>8</v>
      </c>
      <c r="M332" s="1" t="str">
        <f t="shared" si="21"/>
        <v/>
      </c>
      <c r="N332" s="2">
        <f t="shared" si="22"/>
        <v>45658</v>
      </c>
      <c r="O332" t="str">
        <f t="shared" si="23"/>
        <v>mačka</v>
      </c>
    </row>
    <row r="333" spans="1:15" x14ac:dyDescent="0.25">
      <c r="A333">
        <v>7847</v>
      </c>
      <c r="B333" s="11">
        <v>4061011223346</v>
      </c>
      <c r="C333" s="1" t="s">
        <v>25</v>
      </c>
      <c r="D333" s="1" t="s">
        <v>26</v>
      </c>
      <c r="E333" s="1" t="s">
        <v>27</v>
      </c>
      <c r="F333">
        <v>19.600000000000001</v>
      </c>
      <c r="G333">
        <v>1</v>
      </c>
      <c r="H333" s="1" t="s">
        <v>18</v>
      </c>
      <c r="I333" s="1" t="s">
        <v>114</v>
      </c>
      <c r="J333" s="12">
        <v>45685</v>
      </c>
      <c r="K333">
        <v>0</v>
      </c>
      <c r="L333" s="1">
        <f t="shared" si="20"/>
        <v>19.600000000000001</v>
      </c>
      <c r="M333" s="1">
        <f t="shared" si="21"/>
        <v>4</v>
      </c>
      <c r="N333" s="2">
        <f t="shared" si="22"/>
        <v>45658</v>
      </c>
      <c r="O333" t="str">
        <f t="shared" si="23"/>
        <v>pes</v>
      </c>
    </row>
    <row r="334" spans="1:15" x14ac:dyDescent="0.25">
      <c r="A334">
        <v>7848</v>
      </c>
      <c r="B334" s="11">
        <v>4028899001126</v>
      </c>
      <c r="C334" s="1" t="s">
        <v>16</v>
      </c>
      <c r="D334" s="1" t="s">
        <v>12</v>
      </c>
      <c r="E334" s="1" t="s">
        <v>17</v>
      </c>
      <c r="F334">
        <v>2.8</v>
      </c>
      <c r="G334">
        <v>4</v>
      </c>
      <c r="H334" s="1" t="s">
        <v>14</v>
      </c>
      <c r="I334" s="1" t="s">
        <v>15</v>
      </c>
      <c r="J334" s="12">
        <v>45685</v>
      </c>
      <c r="K334">
        <v>0</v>
      </c>
      <c r="L334" s="1">
        <f t="shared" si="20"/>
        <v>11.2</v>
      </c>
      <c r="M334" s="1" t="str">
        <f t="shared" si="21"/>
        <v/>
      </c>
      <c r="N334" s="2">
        <f t="shared" si="22"/>
        <v>45658</v>
      </c>
      <c r="O334" t="str">
        <f t="shared" si="23"/>
        <v>pes</v>
      </c>
    </row>
    <row r="335" spans="1:15" x14ac:dyDescent="0.25">
      <c r="A335">
        <v>7849</v>
      </c>
      <c r="B335" s="11">
        <v>4013456789017</v>
      </c>
      <c r="C335" s="1" t="s">
        <v>11</v>
      </c>
      <c r="D335" s="1" t="s">
        <v>12</v>
      </c>
      <c r="E335" s="1" t="s">
        <v>13</v>
      </c>
      <c r="F335">
        <v>6</v>
      </c>
      <c r="G335">
        <v>2</v>
      </c>
      <c r="H335" s="1" t="s">
        <v>14</v>
      </c>
      <c r="I335" s="1" t="s">
        <v>15</v>
      </c>
      <c r="J335" s="12">
        <v>45685</v>
      </c>
      <c r="K335">
        <v>0</v>
      </c>
      <c r="L335" s="1">
        <f t="shared" si="20"/>
        <v>12</v>
      </c>
      <c r="M335" s="1" t="str">
        <f t="shared" si="21"/>
        <v/>
      </c>
      <c r="N335" s="2">
        <f t="shared" si="22"/>
        <v>45658</v>
      </c>
      <c r="O335" t="str">
        <f t="shared" si="23"/>
        <v>pes</v>
      </c>
    </row>
    <row r="336" spans="1:15" hidden="1" x14ac:dyDescent="0.25">
      <c r="A336">
        <v>7850</v>
      </c>
      <c r="B336" s="11">
        <v>4056789012345</v>
      </c>
      <c r="C336" s="1" t="s">
        <v>47</v>
      </c>
      <c r="D336" s="1" t="s">
        <v>29</v>
      </c>
      <c r="E336" s="1" t="s">
        <v>37</v>
      </c>
      <c r="F336">
        <v>2.4</v>
      </c>
      <c r="G336">
        <v>3</v>
      </c>
      <c r="H336" s="1" t="s">
        <v>48</v>
      </c>
      <c r="I336" s="1" t="s">
        <v>115</v>
      </c>
      <c r="J336" s="12">
        <v>45685</v>
      </c>
      <c r="K336">
        <v>1</v>
      </c>
      <c r="L336" s="1">
        <f t="shared" si="20"/>
        <v>7.1999999999999993</v>
      </c>
      <c r="M336" s="1">
        <f t="shared" si="21"/>
        <v>2</v>
      </c>
      <c r="N336" s="2">
        <f t="shared" si="22"/>
        <v>45658</v>
      </c>
      <c r="O336" t="str">
        <f t="shared" si="23"/>
        <v>mačka</v>
      </c>
    </row>
    <row r="337" spans="1:15" x14ac:dyDescent="0.25">
      <c r="A337">
        <v>7851</v>
      </c>
      <c r="B337" s="11">
        <v>4063456789014</v>
      </c>
      <c r="C337" s="1" t="s">
        <v>60</v>
      </c>
      <c r="D337" s="1" t="s">
        <v>12</v>
      </c>
      <c r="E337" s="1" t="s">
        <v>61</v>
      </c>
      <c r="F337">
        <v>36</v>
      </c>
      <c r="G337">
        <v>1</v>
      </c>
      <c r="H337" s="1" t="s">
        <v>14</v>
      </c>
      <c r="I337" s="1" t="s">
        <v>15</v>
      </c>
      <c r="J337" s="12">
        <v>45685</v>
      </c>
      <c r="K337">
        <v>0</v>
      </c>
      <c r="L337" s="1">
        <f t="shared" si="20"/>
        <v>36</v>
      </c>
      <c r="M337" s="1" t="str">
        <f t="shared" si="21"/>
        <v/>
      </c>
      <c r="N337" s="2">
        <f t="shared" si="22"/>
        <v>45658</v>
      </c>
      <c r="O337" t="str">
        <f t="shared" si="23"/>
        <v>pes</v>
      </c>
    </row>
    <row r="338" spans="1:15" hidden="1" x14ac:dyDescent="0.25">
      <c r="A338">
        <v>7852</v>
      </c>
      <c r="B338" s="11">
        <v>4026677889902</v>
      </c>
      <c r="C338" s="1" t="s">
        <v>52</v>
      </c>
      <c r="D338" s="1" t="s">
        <v>53</v>
      </c>
      <c r="E338" s="1" t="s">
        <v>54</v>
      </c>
      <c r="F338">
        <v>7.6</v>
      </c>
      <c r="G338">
        <v>1</v>
      </c>
      <c r="H338" s="1" t="s">
        <v>18</v>
      </c>
      <c r="I338" s="1" t="s">
        <v>14</v>
      </c>
      <c r="J338" s="12">
        <v>45685</v>
      </c>
      <c r="K338">
        <v>0</v>
      </c>
      <c r="L338" s="1">
        <f t="shared" si="20"/>
        <v>7.6</v>
      </c>
      <c r="M338" s="1">
        <f t="shared" si="21"/>
        <v>4</v>
      </c>
      <c r="N338" s="2">
        <f t="shared" si="22"/>
        <v>45658</v>
      </c>
      <c r="O338" t="str">
        <f t="shared" si="23"/>
        <v>iné</v>
      </c>
    </row>
    <row r="339" spans="1:15" x14ac:dyDescent="0.25">
      <c r="A339">
        <v>7853</v>
      </c>
      <c r="B339" s="11">
        <v>4028899001126</v>
      </c>
      <c r="C339" s="1" t="s">
        <v>16</v>
      </c>
      <c r="D339" s="1" t="s">
        <v>12</v>
      </c>
      <c r="E339" s="1" t="s">
        <v>17</v>
      </c>
      <c r="F339">
        <v>2.8</v>
      </c>
      <c r="G339">
        <v>5</v>
      </c>
      <c r="H339" s="1" t="s">
        <v>23</v>
      </c>
      <c r="I339" s="1" t="s">
        <v>116</v>
      </c>
      <c r="J339" s="12">
        <v>45685</v>
      </c>
      <c r="K339">
        <v>0</v>
      </c>
      <c r="L339" s="1">
        <f t="shared" si="20"/>
        <v>14</v>
      </c>
      <c r="M339" s="1">
        <f t="shared" si="21"/>
        <v>5</v>
      </c>
      <c r="N339" s="2">
        <f t="shared" si="22"/>
        <v>45658</v>
      </c>
      <c r="O339" t="str">
        <f t="shared" si="23"/>
        <v>pes</v>
      </c>
    </row>
    <row r="340" spans="1:15" x14ac:dyDescent="0.25">
      <c r="A340">
        <v>7854</v>
      </c>
      <c r="B340" s="11">
        <v>4013456789017</v>
      </c>
      <c r="C340" s="1" t="s">
        <v>11</v>
      </c>
      <c r="D340" s="1" t="s">
        <v>12</v>
      </c>
      <c r="E340" s="1" t="s">
        <v>13</v>
      </c>
      <c r="F340">
        <v>6</v>
      </c>
      <c r="G340">
        <v>2</v>
      </c>
      <c r="H340" s="1" t="s">
        <v>14</v>
      </c>
      <c r="I340" s="1" t="s">
        <v>15</v>
      </c>
      <c r="J340" s="12">
        <v>45685</v>
      </c>
      <c r="K340">
        <v>0</v>
      </c>
      <c r="L340" s="1">
        <f t="shared" si="20"/>
        <v>12</v>
      </c>
      <c r="M340" s="1" t="str">
        <f t="shared" si="21"/>
        <v/>
      </c>
      <c r="N340" s="2">
        <f t="shared" si="22"/>
        <v>45658</v>
      </c>
      <c r="O340" t="str">
        <f t="shared" si="23"/>
        <v>pes</v>
      </c>
    </row>
    <row r="341" spans="1:15" x14ac:dyDescent="0.25">
      <c r="A341">
        <v>7855</v>
      </c>
      <c r="B341" s="11">
        <v>4040123456795</v>
      </c>
      <c r="C341" s="1" t="s">
        <v>20</v>
      </c>
      <c r="D341" s="1" t="s">
        <v>21</v>
      </c>
      <c r="E341" s="1" t="s">
        <v>22</v>
      </c>
      <c r="F341">
        <v>8.8000000000000007</v>
      </c>
      <c r="G341">
        <v>1</v>
      </c>
      <c r="H341" s="1" t="s">
        <v>14</v>
      </c>
      <c r="I341" s="1" t="s">
        <v>15</v>
      </c>
      <c r="J341" s="12">
        <v>45685</v>
      </c>
      <c r="K341">
        <v>0</v>
      </c>
      <c r="L341" s="1">
        <f t="shared" si="20"/>
        <v>8.8000000000000007</v>
      </c>
      <c r="M341" s="1" t="str">
        <f t="shared" si="21"/>
        <v/>
      </c>
      <c r="N341" s="2">
        <f t="shared" si="22"/>
        <v>45658</v>
      </c>
      <c r="O341" t="str">
        <f t="shared" si="23"/>
        <v>pes</v>
      </c>
    </row>
    <row r="342" spans="1:15" hidden="1" x14ac:dyDescent="0.25">
      <c r="A342">
        <v>7856</v>
      </c>
      <c r="B342" s="11">
        <v>4010123456783</v>
      </c>
      <c r="C342" s="1" t="s">
        <v>35</v>
      </c>
      <c r="D342" s="1" t="s">
        <v>36</v>
      </c>
      <c r="E342" s="1" t="s">
        <v>37</v>
      </c>
      <c r="F342">
        <v>14</v>
      </c>
      <c r="G342">
        <v>1</v>
      </c>
      <c r="H342" s="1" t="s">
        <v>14</v>
      </c>
      <c r="I342" s="1" t="s">
        <v>15</v>
      </c>
      <c r="J342" s="12">
        <v>45685</v>
      </c>
      <c r="K342">
        <v>0</v>
      </c>
      <c r="L342" s="1">
        <f t="shared" si="20"/>
        <v>14</v>
      </c>
      <c r="M342" s="1" t="str">
        <f t="shared" si="21"/>
        <v/>
      </c>
      <c r="N342" s="2">
        <f t="shared" si="22"/>
        <v>45658</v>
      </c>
      <c r="O342" t="str">
        <f t="shared" si="23"/>
        <v>mačka</v>
      </c>
    </row>
    <row r="343" spans="1:15" x14ac:dyDescent="0.25">
      <c r="A343">
        <v>7857</v>
      </c>
      <c r="B343" s="11">
        <v>4028899001126</v>
      </c>
      <c r="C343" s="1" t="s">
        <v>16</v>
      </c>
      <c r="D343" s="1" t="s">
        <v>12</v>
      </c>
      <c r="E343" s="1" t="s">
        <v>17</v>
      </c>
      <c r="F343">
        <v>2.8</v>
      </c>
      <c r="G343">
        <v>3</v>
      </c>
      <c r="H343" s="1" t="s">
        <v>14</v>
      </c>
      <c r="I343" s="1" t="s">
        <v>15</v>
      </c>
      <c r="J343" s="12">
        <v>45685</v>
      </c>
      <c r="K343">
        <v>0</v>
      </c>
      <c r="L343" s="1">
        <f t="shared" si="20"/>
        <v>8.3999999999999986</v>
      </c>
      <c r="M343" s="1" t="str">
        <f t="shared" si="21"/>
        <v/>
      </c>
      <c r="N343" s="2">
        <f t="shared" si="22"/>
        <v>45658</v>
      </c>
      <c r="O343" t="str">
        <f t="shared" si="23"/>
        <v>pes</v>
      </c>
    </row>
    <row r="344" spans="1:15" x14ac:dyDescent="0.25">
      <c r="A344">
        <v>7858</v>
      </c>
      <c r="B344" s="11">
        <v>4013456789017</v>
      </c>
      <c r="C344" s="1" t="s">
        <v>11</v>
      </c>
      <c r="D344" s="1" t="s">
        <v>12</v>
      </c>
      <c r="E344" s="1" t="s">
        <v>13</v>
      </c>
      <c r="F344">
        <v>6</v>
      </c>
      <c r="G344">
        <v>1</v>
      </c>
      <c r="H344" s="1" t="s">
        <v>33</v>
      </c>
      <c r="I344" s="1" t="s">
        <v>14</v>
      </c>
      <c r="J344" s="12">
        <v>45685</v>
      </c>
      <c r="K344">
        <v>0</v>
      </c>
      <c r="L344" s="1">
        <f t="shared" si="20"/>
        <v>6</v>
      </c>
      <c r="M344" s="1">
        <f t="shared" si="21"/>
        <v>3</v>
      </c>
      <c r="N344" s="2">
        <f t="shared" si="22"/>
        <v>45658</v>
      </c>
      <c r="O344" t="str">
        <f t="shared" si="23"/>
        <v>pes</v>
      </c>
    </row>
    <row r="345" spans="1:15" x14ac:dyDescent="0.25">
      <c r="A345">
        <v>7859</v>
      </c>
      <c r="B345" s="11">
        <v>4063456789014</v>
      </c>
      <c r="C345" s="1" t="s">
        <v>60</v>
      </c>
      <c r="D345" s="1" t="s">
        <v>12</v>
      </c>
      <c r="E345" s="1" t="s">
        <v>61</v>
      </c>
      <c r="F345">
        <v>36</v>
      </c>
      <c r="G345">
        <v>1</v>
      </c>
      <c r="H345" s="1" t="s">
        <v>14</v>
      </c>
      <c r="I345" s="1" t="s">
        <v>15</v>
      </c>
      <c r="J345" s="12">
        <v>45685</v>
      </c>
      <c r="K345">
        <v>0</v>
      </c>
      <c r="L345" s="1">
        <f t="shared" si="20"/>
        <v>36</v>
      </c>
      <c r="M345" s="1" t="str">
        <f t="shared" si="21"/>
        <v/>
      </c>
      <c r="N345" s="2">
        <f t="shared" si="22"/>
        <v>45658</v>
      </c>
      <c r="O345" t="str">
        <f t="shared" si="23"/>
        <v>pes</v>
      </c>
    </row>
    <row r="346" spans="1:15" hidden="1" x14ac:dyDescent="0.25">
      <c r="A346">
        <v>7860</v>
      </c>
      <c r="B346" s="11">
        <v>4021234567894</v>
      </c>
      <c r="C346" s="1" t="s">
        <v>79</v>
      </c>
      <c r="D346" s="1" t="s">
        <v>36</v>
      </c>
      <c r="E346" s="1" t="s">
        <v>69</v>
      </c>
      <c r="F346">
        <v>8</v>
      </c>
      <c r="G346">
        <v>1</v>
      </c>
      <c r="H346" s="1" t="s">
        <v>14</v>
      </c>
      <c r="I346" s="1" t="s">
        <v>15</v>
      </c>
      <c r="J346" s="12">
        <v>45685</v>
      </c>
      <c r="K346">
        <v>0</v>
      </c>
      <c r="L346" s="1">
        <f t="shared" si="20"/>
        <v>8</v>
      </c>
      <c r="M346" s="1" t="str">
        <f t="shared" si="21"/>
        <v/>
      </c>
      <c r="N346" s="2">
        <f t="shared" si="22"/>
        <v>45658</v>
      </c>
      <c r="O346" t="str">
        <f t="shared" si="23"/>
        <v>mačka</v>
      </c>
    </row>
    <row r="347" spans="1:15" x14ac:dyDescent="0.25">
      <c r="A347">
        <v>7861</v>
      </c>
      <c r="B347" s="11">
        <v>4061011223346</v>
      </c>
      <c r="C347" s="1" t="s">
        <v>25</v>
      </c>
      <c r="D347" s="1" t="s">
        <v>26</v>
      </c>
      <c r="E347" s="1" t="s">
        <v>27</v>
      </c>
      <c r="F347">
        <v>19.600000000000001</v>
      </c>
      <c r="G347">
        <v>1</v>
      </c>
      <c r="H347" s="1" t="s">
        <v>23</v>
      </c>
      <c r="I347" s="1" t="s">
        <v>117</v>
      </c>
      <c r="J347" s="12">
        <v>45685</v>
      </c>
      <c r="K347">
        <v>0</v>
      </c>
      <c r="L347" s="1">
        <f t="shared" si="20"/>
        <v>19.600000000000001</v>
      </c>
      <c r="M347" s="1">
        <f t="shared" si="21"/>
        <v>5</v>
      </c>
      <c r="N347" s="2">
        <f t="shared" si="22"/>
        <v>45658</v>
      </c>
      <c r="O347" t="str">
        <f t="shared" si="23"/>
        <v>pes</v>
      </c>
    </row>
    <row r="348" spans="1:15" x14ac:dyDescent="0.25">
      <c r="A348">
        <v>7862</v>
      </c>
      <c r="B348" s="11">
        <v>4028899001126</v>
      </c>
      <c r="C348" s="1" t="s">
        <v>16</v>
      </c>
      <c r="D348" s="1" t="s">
        <v>12</v>
      </c>
      <c r="E348" s="1" t="s">
        <v>17</v>
      </c>
      <c r="F348">
        <v>2.8</v>
      </c>
      <c r="G348">
        <v>4</v>
      </c>
      <c r="H348" s="1" t="s">
        <v>14</v>
      </c>
      <c r="I348" s="1" t="s">
        <v>15</v>
      </c>
      <c r="J348" s="12">
        <v>45685</v>
      </c>
      <c r="K348">
        <v>0</v>
      </c>
      <c r="L348" s="1">
        <f t="shared" si="20"/>
        <v>11.2</v>
      </c>
      <c r="M348" s="1" t="str">
        <f t="shared" si="21"/>
        <v/>
      </c>
      <c r="N348" s="2">
        <f t="shared" si="22"/>
        <v>45658</v>
      </c>
      <c r="O348" t="str">
        <f t="shared" si="23"/>
        <v>pes</v>
      </c>
    </row>
    <row r="349" spans="1:15" x14ac:dyDescent="0.25">
      <c r="A349">
        <v>7863</v>
      </c>
      <c r="B349" s="11">
        <v>4013456789017</v>
      </c>
      <c r="C349" s="1" t="s">
        <v>11</v>
      </c>
      <c r="D349" s="1" t="s">
        <v>12</v>
      </c>
      <c r="E349" s="1" t="s">
        <v>13</v>
      </c>
      <c r="F349">
        <v>6</v>
      </c>
      <c r="G349">
        <v>2</v>
      </c>
      <c r="H349" s="1" t="s">
        <v>14</v>
      </c>
      <c r="I349" s="1" t="s">
        <v>15</v>
      </c>
      <c r="J349" s="12">
        <v>45685</v>
      </c>
      <c r="K349">
        <v>0</v>
      </c>
      <c r="L349" s="1">
        <f t="shared" si="20"/>
        <v>12</v>
      </c>
      <c r="M349" s="1" t="str">
        <f t="shared" si="21"/>
        <v/>
      </c>
      <c r="N349" s="2">
        <f t="shared" si="22"/>
        <v>45658</v>
      </c>
      <c r="O349" t="str">
        <f t="shared" si="23"/>
        <v>pes</v>
      </c>
    </row>
    <row r="350" spans="1:15" hidden="1" x14ac:dyDescent="0.25">
      <c r="A350">
        <v>7864</v>
      </c>
      <c r="B350" s="11">
        <v>4056789012345</v>
      </c>
      <c r="C350" s="1" t="s">
        <v>47</v>
      </c>
      <c r="D350" s="1" t="s">
        <v>29</v>
      </c>
      <c r="E350" s="1" t="s">
        <v>37</v>
      </c>
      <c r="F350">
        <v>2.4</v>
      </c>
      <c r="G350">
        <v>3</v>
      </c>
      <c r="H350" s="1" t="s">
        <v>14</v>
      </c>
      <c r="I350" s="1" t="s">
        <v>15</v>
      </c>
      <c r="J350" s="12">
        <v>45685</v>
      </c>
      <c r="K350">
        <v>0</v>
      </c>
      <c r="L350" s="1">
        <f t="shared" si="20"/>
        <v>7.1999999999999993</v>
      </c>
      <c r="M350" s="1" t="str">
        <f t="shared" si="21"/>
        <v/>
      </c>
      <c r="N350" s="2">
        <f t="shared" si="22"/>
        <v>45658</v>
      </c>
      <c r="O350" t="str">
        <f t="shared" si="23"/>
        <v>mačka</v>
      </c>
    </row>
    <row r="351" spans="1:15" x14ac:dyDescent="0.25">
      <c r="A351">
        <v>7865</v>
      </c>
      <c r="B351" s="11">
        <v>4063456789014</v>
      </c>
      <c r="C351" s="1" t="s">
        <v>60</v>
      </c>
      <c r="D351" s="1" t="s">
        <v>12</v>
      </c>
      <c r="E351" s="1" t="s">
        <v>61</v>
      </c>
      <c r="F351">
        <v>36</v>
      </c>
      <c r="G351">
        <v>1</v>
      </c>
      <c r="H351" s="1" t="s">
        <v>14</v>
      </c>
      <c r="I351" s="1" t="s">
        <v>15</v>
      </c>
      <c r="J351" s="12">
        <v>45685</v>
      </c>
      <c r="K351">
        <v>0</v>
      </c>
      <c r="L351" s="1">
        <f t="shared" si="20"/>
        <v>36</v>
      </c>
      <c r="M351" s="1" t="str">
        <f t="shared" si="21"/>
        <v/>
      </c>
      <c r="N351" s="2">
        <f t="shared" si="22"/>
        <v>45658</v>
      </c>
      <c r="O351" t="str">
        <f t="shared" si="23"/>
        <v>pes</v>
      </c>
    </row>
    <row r="352" spans="1:15" hidden="1" x14ac:dyDescent="0.25">
      <c r="A352">
        <v>7866</v>
      </c>
      <c r="B352" s="11">
        <v>4026677889902</v>
      </c>
      <c r="C352" s="1" t="s">
        <v>52</v>
      </c>
      <c r="D352" s="1" t="s">
        <v>53</v>
      </c>
      <c r="E352" s="1" t="s">
        <v>54</v>
      </c>
      <c r="F352">
        <v>7.6</v>
      </c>
      <c r="G352">
        <v>1</v>
      </c>
      <c r="H352" s="1" t="s">
        <v>14</v>
      </c>
      <c r="I352" s="1" t="s">
        <v>15</v>
      </c>
      <c r="J352" s="12">
        <v>45685</v>
      </c>
      <c r="K352">
        <v>0</v>
      </c>
      <c r="L352" s="1">
        <f t="shared" si="20"/>
        <v>7.6</v>
      </c>
      <c r="M352" s="1" t="str">
        <f t="shared" si="21"/>
        <v/>
      </c>
      <c r="N352" s="2">
        <f t="shared" si="22"/>
        <v>45658</v>
      </c>
      <c r="O352" t="str">
        <f t="shared" si="23"/>
        <v>iné</v>
      </c>
    </row>
    <row r="353" spans="1:15" x14ac:dyDescent="0.25">
      <c r="A353">
        <v>7867</v>
      </c>
      <c r="B353" s="11">
        <v>4028899001126</v>
      </c>
      <c r="C353" s="1" t="s">
        <v>16</v>
      </c>
      <c r="D353" s="1" t="s">
        <v>12</v>
      </c>
      <c r="E353" s="1" t="s">
        <v>17</v>
      </c>
      <c r="F353">
        <v>2.8</v>
      </c>
      <c r="G353">
        <v>5</v>
      </c>
      <c r="H353" s="1" t="s">
        <v>14</v>
      </c>
      <c r="I353" s="1" t="s">
        <v>15</v>
      </c>
      <c r="J353" s="12">
        <v>45685</v>
      </c>
      <c r="K353">
        <v>0</v>
      </c>
      <c r="L353" s="1">
        <f t="shared" si="20"/>
        <v>14</v>
      </c>
      <c r="M353" s="1" t="str">
        <f t="shared" si="21"/>
        <v/>
      </c>
      <c r="N353" s="2">
        <f t="shared" si="22"/>
        <v>45658</v>
      </c>
      <c r="O353" t="str">
        <f t="shared" si="23"/>
        <v>pes</v>
      </c>
    </row>
    <row r="354" spans="1:15" x14ac:dyDescent="0.25">
      <c r="A354">
        <v>7868</v>
      </c>
      <c r="B354" s="11">
        <v>4013456789017</v>
      </c>
      <c r="C354" s="1" t="s">
        <v>11</v>
      </c>
      <c r="D354" s="1" t="s">
        <v>12</v>
      </c>
      <c r="E354" s="1" t="s">
        <v>13</v>
      </c>
      <c r="F354">
        <v>6</v>
      </c>
      <c r="G354">
        <v>2</v>
      </c>
      <c r="H354" s="1" t="s">
        <v>14</v>
      </c>
      <c r="I354" s="1" t="s">
        <v>15</v>
      </c>
      <c r="J354" s="12">
        <v>45685</v>
      </c>
      <c r="K354">
        <v>0</v>
      </c>
      <c r="L354" s="1">
        <f t="shared" si="20"/>
        <v>12</v>
      </c>
      <c r="M354" s="1" t="str">
        <f t="shared" si="21"/>
        <v/>
      </c>
      <c r="N354" s="2">
        <f t="shared" si="22"/>
        <v>45658</v>
      </c>
      <c r="O354" t="str">
        <f t="shared" si="23"/>
        <v>pes</v>
      </c>
    </row>
    <row r="355" spans="1:15" x14ac:dyDescent="0.25">
      <c r="A355">
        <v>7869</v>
      </c>
      <c r="B355" s="11">
        <v>4040123456795</v>
      </c>
      <c r="C355" s="1" t="s">
        <v>20</v>
      </c>
      <c r="D355" s="1" t="s">
        <v>21</v>
      </c>
      <c r="E355" s="1" t="s">
        <v>22</v>
      </c>
      <c r="F355">
        <v>8.8000000000000007</v>
      </c>
      <c r="G355">
        <v>1</v>
      </c>
      <c r="H355" s="1" t="s">
        <v>14</v>
      </c>
      <c r="I355" s="1" t="s">
        <v>15</v>
      </c>
      <c r="J355" s="12">
        <v>45685</v>
      </c>
      <c r="K355">
        <v>0</v>
      </c>
      <c r="L355" s="1">
        <f t="shared" si="20"/>
        <v>8.8000000000000007</v>
      </c>
      <c r="M355" s="1" t="str">
        <f t="shared" si="21"/>
        <v/>
      </c>
      <c r="N355" s="2">
        <f t="shared" si="22"/>
        <v>45658</v>
      </c>
      <c r="O355" t="str">
        <f t="shared" si="23"/>
        <v>pes</v>
      </c>
    </row>
    <row r="356" spans="1:15" hidden="1" x14ac:dyDescent="0.25">
      <c r="A356">
        <v>7870</v>
      </c>
      <c r="B356" s="11">
        <v>4010123456783</v>
      </c>
      <c r="C356" s="1" t="s">
        <v>35</v>
      </c>
      <c r="D356" s="1" t="s">
        <v>36</v>
      </c>
      <c r="E356" s="1" t="s">
        <v>37</v>
      </c>
      <c r="F356">
        <v>14</v>
      </c>
      <c r="G356">
        <v>1</v>
      </c>
      <c r="H356" s="1" t="s">
        <v>18</v>
      </c>
      <c r="I356" s="1" t="s">
        <v>14</v>
      </c>
      <c r="J356" s="12">
        <v>45685</v>
      </c>
      <c r="K356">
        <v>0</v>
      </c>
      <c r="L356" s="1">
        <f t="shared" si="20"/>
        <v>14</v>
      </c>
      <c r="M356" s="1">
        <f t="shared" si="21"/>
        <v>4</v>
      </c>
      <c r="N356" s="2">
        <f t="shared" si="22"/>
        <v>45658</v>
      </c>
      <c r="O356" t="str">
        <f t="shared" si="23"/>
        <v>mačka</v>
      </c>
    </row>
    <row r="357" spans="1:15" x14ac:dyDescent="0.25">
      <c r="A357">
        <v>7871</v>
      </c>
      <c r="B357" s="11">
        <v>4028899001126</v>
      </c>
      <c r="C357" s="1" t="s">
        <v>16</v>
      </c>
      <c r="D357" s="1" t="s">
        <v>12</v>
      </c>
      <c r="E357" s="1" t="s">
        <v>17</v>
      </c>
      <c r="F357">
        <v>2.8</v>
      </c>
      <c r="G357">
        <v>3</v>
      </c>
      <c r="H357" s="1" t="s">
        <v>14</v>
      </c>
      <c r="I357" s="1" t="s">
        <v>15</v>
      </c>
      <c r="J357" s="12">
        <v>45685</v>
      </c>
      <c r="K357">
        <v>0</v>
      </c>
      <c r="L357" s="1">
        <f t="shared" si="20"/>
        <v>8.3999999999999986</v>
      </c>
      <c r="M357" s="1" t="str">
        <f t="shared" si="21"/>
        <v/>
      </c>
      <c r="N357" s="2">
        <f t="shared" si="22"/>
        <v>45658</v>
      </c>
      <c r="O357" t="str">
        <f t="shared" si="23"/>
        <v>pes</v>
      </c>
    </row>
    <row r="358" spans="1:15" x14ac:dyDescent="0.25">
      <c r="A358">
        <v>7872</v>
      </c>
      <c r="B358" s="11">
        <v>4013456789017</v>
      </c>
      <c r="C358" s="1" t="s">
        <v>11</v>
      </c>
      <c r="D358" s="1" t="s">
        <v>12</v>
      </c>
      <c r="E358" s="1" t="s">
        <v>13</v>
      </c>
      <c r="F358">
        <v>6</v>
      </c>
      <c r="G358">
        <v>1</v>
      </c>
      <c r="H358" s="1" t="s">
        <v>14</v>
      </c>
      <c r="I358" s="1" t="s">
        <v>15</v>
      </c>
      <c r="J358" s="12">
        <v>45685</v>
      </c>
      <c r="K358">
        <v>0</v>
      </c>
      <c r="L358" s="1">
        <f t="shared" si="20"/>
        <v>6</v>
      </c>
      <c r="M358" s="1" t="str">
        <f t="shared" si="21"/>
        <v/>
      </c>
      <c r="N358" s="2">
        <f t="shared" si="22"/>
        <v>45658</v>
      </c>
      <c r="O358" t="str">
        <f t="shared" si="23"/>
        <v>pes</v>
      </c>
    </row>
    <row r="359" spans="1:15" x14ac:dyDescent="0.25">
      <c r="A359">
        <v>7873</v>
      </c>
      <c r="B359" s="11">
        <v>4063456789014</v>
      </c>
      <c r="C359" s="1" t="s">
        <v>60</v>
      </c>
      <c r="D359" s="1" t="s">
        <v>12</v>
      </c>
      <c r="E359" s="1" t="s">
        <v>61</v>
      </c>
      <c r="F359">
        <v>36</v>
      </c>
      <c r="G359">
        <v>1</v>
      </c>
      <c r="H359" s="1" t="s">
        <v>14</v>
      </c>
      <c r="I359" s="1" t="s">
        <v>15</v>
      </c>
      <c r="J359" s="12">
        <v>45685</v>
      </c>
      <c r="K359">
        <v>0</v>
      </c>
      <c r="L359" s="1">
        <f t="shared" si="20"/>
        <v>36</v>
      </c>
      <c r="M359" s="1" t="str">
        <f t="shared" si="21"/>
        <v/>
      </c>
      <c r="N359" s="2">
        <f t="shared" si="22"/>
        <v>45658</v>
      </c>
      <c r="O359" t="str">
        <f t="shared" si="23"/>
        <v>pes</v>
      </c>
    </row>
    <row r="360" spans="1:15" hidden="1" x14ac:dyDescent="0.25">
      <c r="A360">
        <v>7874</v>
      </c>
      <c r="B360" s="11">
        <v>4021234567894</v>
      </c>
      <c r="C360" s="1" t="s">
        <v>79</v>
      </c>
      <c r="D360" s="1" t="s">
        <v>36</v>
      </c>
      <c r="E360" s="1" t="s">
        <v>69</v>
      </c>
      <c r="F360">
        <v>8</v>
      </c>
      <c r="G360">
        <v>1</v>
      </c>
      <c r="H360" s="1" t="s">
        <v>48</v>
      </c>
      <c r="I360" s="1" t="s">
        <v>118</v>
      </c>
      <c r="J360" s="12">
        <v>45685</v>
      </c>
      <c r="K360">
        <v>1</v>
      </c>
      <c r="L360" s="1">
        <f t="shared" si="20"/>
        <v>8</v>
      </c>
      <c r="M360" s="1">
        <f t="shared" si="21"/>
        <v>2</v>
      </c>
      <c r="N360" s="2">
        <f t="shared" si="22"/>
        <v>45658</v>
      </c>
      <c r="O360" t="str">
        <f t="shared" si="23"/>
        <v>mačka</v>
      </c>
    </row>
    <row r="361" spans="1:15" x14ac:dyDescent="0.25">
      <c r="A361">
        <v>7875</v>
      </c>
      <c r="B361" s="11">
        <v>4061011223346</v>
      </c>
      <c r="C361" s="1" t="s">
        <v>25</v>
      </c>
      <c r="D361" s="1" t="s">
        <v>26</v>
      </c>
      <c r="E361" s="1" t="s">
        <v>27</v>
      </c>
      <c r="F361">
        <v>19.600000000000001</v>
      </c>
      <c r="G361">
        <v>1</v>
      </c>
      <c r="H361" s="1" t="s">
        <v>14</v>
      </c>
      <c r="I361" s="1" t="s">
        <v>15</v>
      </c>
      <c r="J361" s="12">
        <v>45685</v>
      </c>
      <c r="K361">
        <v>0</v>
      </c>
      <c r="L361" s="1">
        <f t="shared" si="20"/>
        <v>19.600000000000001</v>
      </c>
      <c r="M361" s="1" t="str">
        <f t="shared" si="21"/>
        <v/>
      </c>
      <c r="N361" s="2">
        <f t="shared" si="22"/>
        <v>45658</v>
      </c>
      <c r="O361" t="str">
        <f t="shared" si="23"/>
        <v>pes</v>
      </c>
    </row>
    <row r="362" spans="1:15" x14ac:dyDescent="0.25">
      <c r="A362">
        <v>7876</v>
      </c>
      <c r="B362" s="11">
        <v>4028899001126</v>
      </c>
      <c r="C362" s="1" t="s">
        <v>16</v>
      </c>
      <c r="D362" s="1" t="s">
        <v>12</v>
      </c>
      <c r="E362" s="1" t="s">
        <v>17</v>
      </c>
      <c r="F362">
        <v>2.8</v>
      </c>
      <c r="G362">
        <v>4</v>
      </c>
      <c r="H362" s="1" t="s">
        <v>14</v>
      </c>
      <c r="I362" s="1" t="s">
        <v>15</v>
      </c>
      <c r="J362" s="12">
        <v>45685</v>
      </c>
      <c r="K362">
        <v>0</v>
      </c>
      <c r="L362" s="1">
        <f t="shared" si="20"/>
        <v>11.2</v>
      </c>
      <c r="M362" s="1" t="str">
        <f t="shared" si="21"/>
        <v/>
      </c>
      <c r="N362" s="2">
        <f t="shared" si="22"/>
        <v>45658</v>
      </c>
      <c r="O362" t="str">
        <f t="shared" si="23"/>
        <v>pes</v>
      </c>
    </row>
    <row r="363" spans="1:15" x14ac:dyDescent="0.25">
      <c r="A363">
        <v>7877</v>
      </c>
      <c r="B363" s="11">
        <v>4013456789017</v>
      </c>
      <c r="C363" s="1" t="s">
        <v>11</v>
      </c>
      <c r="D363" s="1" t="s">
        <v>12</v>
      </c>
      <c r="E363" s="1" t="s">
        <v>13</v>
      </c>
      <c r="F363">
        <v>6</v>
      </c>
      <c r="G363">
        <v>2</v>
      </c>
      <c r="H363" s="1" t="s">
        <v>14</v>
      </c>
      <c r="I363" s="1" t="s">
        <v>15</v>
      </c>
      <c r="J363" s="12">
        <v>45685</v>
      </c>
      <c r="K363">
        <v>0</v>
      </c>
      <c r="L363" s="1">
        <f t="shared" si="20"/>
        <v>12</v>
      </c>
      <c r="M363" s="1" t="str">
        <f t="shared" si="21"/>
        <v/>
      </c>
      <c r="N363" s="2">
        <f t="shared" si="22"/>
        <v>45658</v>
      </c>
      <c r="O363" t="str">
        <f t="shared" si="23"/>
        <v>pes</v>
      </c>
    </row>
    <row r="364" spans="1:15" hidden="1" x14ac:dyDescent="0.25">
      <c r="A364">
        <v>7878</v>
      </c>
      <c r="B364" s="11">
        <v>4056789012345</v>
      </c>
      <c r="C364" s="1" t="s">
        <v>47</v>
      </c>
      <c r="D364" s="1" t="s">
        <v>29</v>
      </c>
      <c r="E364" s="1" t="s">
        <v>37</v>
      </c>
      <c r="F364">
        <v>2.4</v>
      </c>
      <c r="G364">
        <v>3</v>
      </c>
      <c r="H364" s="1" t="s">
        <v>14</v>
      </c>
      <c r="I364" s="1" t="s">
        <v>15</v>
      </c>
      <c r="J364" s="12">
        <v>45685</v>
      </c>
      <c r="K364">
        <v>0</v>
      </c>
      <c r="L364" s="1">
        <f t="shared" si="20"/>
        <v>7.1999999999999993</v>
      </c>
      <c r="M364" s="1" t="str">
        <f t="shared" si="21"/>
        <v/>
      </c>
      <c r="N364" s="2">
        <f t="shared" si="22"/>
        <v>45658</v>
      </c>
      <c r="O364" t="str">
        <f t="shared" si="23"/>
        <v>mačka</v>
      </c>
    </row>
    <row r="365" spans="1:15" x14ac:dyDescent="0.25">
      <c r="A365">
        <v>7879</v>
      </c>
      <c r="B365" s="11">
        <v>4063456789014</v>
      </c>
      <c r="C365" s="1" t="s">
        <v>60</v>
      </c>
      <c r="D365" s="1" t="s">
        <v>12</v>
      </c>
      <c r="E365" s="1" t="s">
        <v>61</v>
      </c>
      <c r="F365">
        <v>36</v>
      </c>
      <c r="G365">
        <v>1</v>
      </c>
      <c r="H365" s="1" t="s">
        <v>14</v>
      </c>
      <c r="I365" s="1" t="s">
        <v>15</v>
      </c>
      <c r="J365" s="12">
        <v>45685</v>
      </c>
      <c r="K365">
        <v>0</v>
      </c>
      <c r="L365" s="1">
        <f t="shared" si="20"/>
        <v>36</v>
      </c>
      <c r="M365" s="1" t="str">
        <f t="shared" si="21"/>
        <v/>
      </c>
      <c r="N365" s="2">
        <f t="shared" si="22"/>
        <v>45658</v>
      </c>
      <c r="O365" t="str">
        <f t="shared" si="23"/>
        <v>pes</v>
      </c>
    </row>
    <row r="366" spans="1:15" hidden="1" x14ac:dyDescent="0.25">
      <c r="A366">
        <v>7880</v>
      </c>
      <c r="B366" s="11">
        <v>4026677889902</v>
      </c>
      <c r="C366" s="1" t="s">
        <v>52</v>
      </c>
      <c r="D366" s="1" t="s">
        <v>53</v>
      </c>
      <c r="E366" s="1" t="s">
        <v>54</v>
      </c>
      <c r="F366">
        <v>7.6</v>
      </c>
      <c r="G366">
        <v>1</v>
      </c>
      <c r="H366" s="1" t="s">
        <v>14</v>
      </c>
      <c r="I366" s="1" t="s">
        <v>15</v>
      </c>
      <c r="J366" s="12">
        <v>45685</v>
      </c>
      <c r="K366">
        <v>0</v>
      </c>
      <c r="L366" s="1">
        <f t="shared" si="20"/>
        <v>7.6</v>
      </c>
      <c r="M366" s="1" t="str">
        <f t="shared" si="21"/>
        <v/>
      </c>
      <c r="N366" s="2">
        <f t="shared" si="22"/>
        <v>45658</v>
      </c>
      <c r="O366" t="str">
        <f t="shared" si="23"/>
        <v>iné</v>
      </c>
    </row>
    <row r="367" spans="1:15" x14ac:dyDescent="0.25">
      <c r="A367">
        <v>7881</v>
      </c>
      <c r="B367" s="11">
        <v>4028899001126</v>
      </c>
      <c r="C367" s="1" t="s">
        <v>16</v>
      </c>
      <c r="D367" s="1" t="s">
        <v>12</v>
      </c>
      <c r="E367" s="1" t="s">
        <v>17</v>
      </c>
      <c r="F367">
        <v>2.8</v>
      </c>
      <c r="G367">
        <v>5</v>
      </c>
      <c r="H367" s="1" t="s">
        <v>23</v>
      </c>
      <c r="I367" s="1" t="s">
        <v>119</v>
      </c>
      <c r="J367" s="12">
        <v>45686</v>
      </c>
      <c r="K367">
        <v>0</v>
      </c>
      <c r="L367" s="1">
        <f t="shared" si="20"/>
        <v>14</v>
      </c>
      <c r="M367" s="1">
        <f t="shared" si="21"/>
        <v>5</v>
      </c>
      <c r="N367" s="2">
        <f t="shared" si="22"/>
        <v>45658</v>
      </c>
      <c r="O367" t="str">
        <f t="shared" si="23"/>
        <v>pes</v>
      </c>
    </row>
    <row r="368" spans="1:15" x14ac:dyDescent="0.25">
      <c r="A368">
        <v>7882</v>
      </c>
      <c r="B368" s="11">
        <v>4013456789017</v>
      </c>
      <c r="C368" s="1" t="s">
        <v>11</v>
      </c>
      <c r="D368" s="1" t="s">
        <v>12</v>
      </c>
      <c r="E368" s="1" t="s">
        <v>13</v>
      </c>
      <c r="F368">
        <v>6</v>
      </c>
      <c r="G368">
        <v>2</v>
      </c>
      <c r="H368" s="1" t="s">
        <v>14</v>
      </c>
      <c r="I368" s="1" t="s">
        <v>15</v>
      </c>
      <c r="J368" s="12">
        <v>45686</v>
      </c>
      <c r="K368">
        <v>0</v>
      </c>
      <c r="L368" s="1">
        <f t="shared" si="20"/>
        <v>12</v>
      </c>
      <c r="M368" s="1" t="str">
        <f t="shared" si="21"/>
        <v/>
      </c>
      <c r="N368" s="2">
        <f t="shared" si="22"/>
        <v>45658</v>
      </c>
      <c r="O368" t="str">
        <f t="shared" si="23"/>
        <v>pes</v>
      </c>
    </row>
    <row r="369" spans="1:15" x14ac:dyDescent="0.25">
      <c r="A369">
        <v>7883</v>
      </c>
      <c r="B369" s="11">
        <v>4040123456795</v>
      </c>
      <c r="C369" s="1" t="s">
        <v>20</v>
      </c>
      <c r="D369" s="1" t="s">
        <v>21</v>
      </c>
      <c r="E369" s="1" t="s">
        <v>22</v>
      </c>
      <c r="F369">
        <v>8.8000000000000007</v>
      </c>
      <c r="G369">
        <v>1</v>
      </c>
      <c r="H369" s="1" t="s">
        <v>14</v>
      </c>
      <c r="I369" s="1" t="s">
        <v>15</v>
      </c>
      <c r="J369" s="12">
        <v>45686</v>
      </c>
      <c r="K369">
        <v>0</v>
      </c>
      <c r="L369" s="1">
        <f t="shared" si="20"/>
        <v>8.8000000000000007</v>
      </c>
      <c r="M369" s="1" t="str">
        <f t="shared" si="21"/>
        <v/>
      </c>
      <c r="N369" s="2">
        <f t="shared" si="22"/>
        <v>45658</v>
      </c>
      <c r="O369" t="str">
        <f t="shared" si="23"/>
        <v>pes</v>
      </c>
    </row>
    <row r="370" spans="1:15" hidden="1" x14ac:dyDescent="0.25">
      <c r="A370">
        <v>7884</v>
      </c>
      <c r="B370" s="11">
        <v>4010123456783</v>
      </c>
      <c r="C370" s="1" t="s">
        <v>35</v>
      </c>
      <c r="D370" s="1" t="s">
        <v>36</v>
      </c>
      <c r="E370" s="1" t="s">
        <v>37</v>
      </c>
      <c r="F370">
        <v>14</v>
      </c>
      <c r="G370">
        <v>1</v>
      </c>
      <c r="H370" s="1" t="s">
        <v>14</v>
      </c>
      <c r="I370" s="1" t="s">
        <v>15</v>
      </c>
      <c r="J370" s="12">
        <v>45686</v>
      </c>
      <c r="K370">
        <v>0</v>
      </c>
      <c r="L370" s="1">
        <f t="shared" si="20"/>
        <v>14</v>
      </c>
      <c r="M370" s="1" t="str">
        <f t="shared" si="21"/>
        <v/>
      </c>
      <c r="N370" s="2">
        <f t="shared" si="22"/>
        <v>45658</v>
      </c>
      <c r="O370" t="str">
        <f t="shared" si="23"/>
        <v>mačka</v>
      </c>
    </row>
    <row r="371" spans="1:15" x14ac:dyDescent="0.25">
      <c r="A371">
        <v>7885</v>
      </c>
      <c r="B371" s="11">
        <v>4028899001126</v>
      </c>
      <c r="C371" s="1" t="s">
        <v>16</v>
      </c>
      <c r="D371" s="1" t="s">
        <v>12</v>
      </c>
      <c r="E371" s="1" t="s">
        <v>17</v>
      </c>
      <c r="F371">
        <v>2.8</v>
      </c>
      <c r="G371">
        <v>3</v>
      </c>
      <c r="H371" s="1" t="s">
        <v>14</v>
      </c>
      <c r="I371" s="1" t="s">
        <v>15</v>
      </c>
      <c r="J371" s="12">
        <v>45686</v>
      </c>
      <c r="K371">
        <v>0</v>
      </c>
      <c r="L371" s="1">
        <f t="shared" si="20"/>
        <v>8.3999999999999986</v>
      </c>
      <c r="M371" s="1" t="str">
        <f t="shared" si="21"/>
        <v/>
      </c>
      <c r="N371" s="2">
        <f t="shared" si="22"/>
        <v>45658</v>
      </c>
      <c r="O371" t="str">
        <f t="shared" si="23"/>
        <v>pes</v>
      </c>
    </row>
    <row r="372" spans="1:15" x14ac:dyDescent="0.25">
      <c r="A372">
        <v>7886</v>
      </c>
      <c r="B372" s="11">
        <v>4013456789017</v>
      </c>
      <c r="C372" s="1" t="s">
        <v>11</v>
      </c>
      <c r="D372" s="1" t="s">
        <v>12</v>
      </c>
      <c r="E372" s="1" t="s">
        <v>13</v>
      </c>
      <c r="F372">
        <v>6</v>
      </c>
      <c r="G372">
        <v>1</v>
      </c>
      <c r="H372" s="1" t="s">
        <v>14</v>
      </c>
      <c r="I372" s="1" t="s">
        <v>15</v>
      </c>
      <c r="J372" s="12">
        <v>45686</v>
      </c>
      <c r="K372">
        <v>0</v>
      </c>
      <c r="L372" s="1">
        <f t="shared" si="20"/>
        <v>6</v>
      </c>
      <c r="M372" s="1" t="str">
        <f t="shared" si="21"/>
        <v/>
      </c>
      <c r="N372" s="2">
        <f t="shared" si="22"/>
        <v>45658</v>
      </c>
      <c r="O372" t="str">
        <f t="shared" si="23"/>
        <v>pes</v>
      </c>
    </row>
    <row r="373" spans="1:15" x14ac:dyDescent="0.25">
      <c r="A373">
        <v>7887</v>
      </c>
      <c r="B373" s="11">
        <v>4063456789014</v>
      </c>
      <c r="C373" s="1" t="s">
        <v>60</v>
      </c>
      <c r="D373" s="1" t="s">
        <v>12</v>
      </c>
      <c r="E373" s="1" t="s">
        <v>61</v>
      </c>
      <c r="F373">
        <v>36</v>
      </c>
      <c r="G373">
        <v>1</v>
      </c>
      <c r="H373" s="1" t="s">
        <v>18</v>
      </c>
      <c r="I373" s="1" t="s">
        <v>14</v>
      </c>
      <c r="J373" s="12">
        <v>45686</v>
      </c>
      <c r="K373">
        <v>0</v>
      </c>
      <c r="L373" s="1">
        <f t="shared" si="20"/>
        <v>36</v>
      </c>
      <c r="M373" s="1">
        <f t="shared" si="21"/>
        <v>4</v>
      </c>
      <c r="N373" s="2">
        <f t="shared" si="22"/>
        <v>45658</v>
      </c>
      <c r="O373" t="str">
        <f t="shared" si="23"/>
        <v>pes</v>
      </c>
    </row>
    <row r="374" spans="1:15" hidden="1" x14ac:dyDescent="0.25">
      <c r="A374">
        <v>7888</v>
      </c>
      <c r="B374" s="11">
        <v>4021234567894</v>
      </c>
      <c r="C374" s="1" t="s">
        <v>79</v>
      </c>
      <c r="D374" s="1" t="s">
        <v>36</v>
      </c>
      <c r="E374" s="1" t="s">
        <v>69</v>
      </c>
      <c r="F374">
        <v>8</v>
      </c>
      <c r="G374">
        <v>1</v>
      </c>
      <c r="H374" s="1" t="s">
        <v>14</v>
      </c>
      <c r="I374" s="1" t="s">
        <v>15</v>
      </c>
      <c r="J374" s="12">
        <v>45686</v>
      </c>
      <c r="K374">
        <v>0</v>
      </c>
      <c r="L374" s="1">
        <f t="shared" si="20"/>
        <v>8</v>
      </c>
      <c r="M374" s="1" t="str">
        <f t="shared" si="21"/>
        <v/>
      </c>
      <c r="N374" s="2">
        <f t="shared" si="22"/>
        <v>45658</v>
      </c>
      <c r="O374" t="str">
        <f t="shared" si="23"/>
        <v>mačka</v>
      </c>
    </row>
    <row r="375" spans="1:15" x14ac:dyDescent="0.25">
      <c r="A375">
        <v>7889</v>
      </c>
      <c r="B375" s="11">
        <v>4061011223346</v>
      </c>
      <c r="C375" s="1" t="s">
        <v>25</v>
      </c>
      <c r="D375" s="1" t="s">
        <v>26</v>
      </c>
      <c r="E375" s="1" t="s">
        <v>27</v>
      </c>
      <c r="F375">
        <v>19.600000000000001</v>
      </c>
      <c r="G375">
        <v>1</v>
      </c>
      <c r="H375" s="1" t="s">
        <v>14</v>
      </c>
      <c r="I375" s="1" t="s">
        <v>15</v>
      </c>
      <c r="J375" s="12">
        <v>45686</v>
      </c>
      <c r="K375">
        <v>0</v>
      </c>
      <c r="L375" s="1">
        <f t="shared" si="20"/>
        <v>19.600000000000001</v>
      </c>
      <c r="M375" s="1" t="str">
        <f t="shared" si="21"/>
        <v/>
      </c>
      <c r="N375" s="2">
        <f t="shared" si="22"/>
        <v>45658</v>
      </c>
      <c r="O375" t="str">
        <f t="shared" si="23"/>
        <v>pes</v>
      </c>
    </row>
    <row r="376" spans="1:15" x14ac:dyDescent="0.25">
      <c r="A376">
        <v>7890</v>
      </c>
      <c r="B376" s="11">
        <v>4028899001126</v>
      </c>
      <c r="C376" s="1" t="s">
        <v>16</v>
      </c>
      <c r="D376" s="1" t="s">
        <v>12</v>
      </c>
      <c r="E376" s="1" t="s">
        <v>17</v>
      </c>
      <c r="F376">
        <v>2.8</v>
      </c>
      <c r="G376">
        <v>4</v>
      </c>
      <c r="H376" s="1" t="s">
        <v>14</v>
      </c>
      <c r="I376" s="1" t="s">
        <v>15</v>
      </c>
      <c r="J376" s="12">
        <v>45686</v>
      </c>
      <c r="K376">
        <v>0</v>
      </c>
      <c r="L376" s="1">
        <f t="shared" si="20"/>
        <v>11.2</v>
      </c>
      <c r="M376" s="1" t="str">
        <f t="shared" si="21"/>
        <v/>
      </c>
      <c r="N376" s="2">
        <f t="shared" si="22"/>
        <v>45658</v>
      </c>
      <c r="O376" t="str">
        <f t="shared" si="23"/>
        <v>pes</v>
      </c>
    </row>
    <row r="377" spans="1:15" x14ac:dyDescent="0.25">
      <c r="A377">
        <v>7891</v>
      </c>
      <c r="B377" s="11">
        <v>4013456789017</v>
      </c>
      <c r="C377" s="1" t="s">
        <v>11</v>
      </c>
      <c r="D377" s="1" t="s">
        <v>12</v>
      </c>
      <c r="E377" s="1" t="s">
        <v>13</v>
      </c>
      <c r="F377">
        <v>6</v>
      </c>
      <c r="G377">
        <v>2</v>
      </c>
      <c r="H377" s="1" t="s">
        <v>14</v>
      </c>
      <c r="I377" s="1" t="s">
        <v>15</v>
      </c>
      <c r="J377" s="12">
        <v>45686</v>
      </c>
      <c r="K377">
        <v>0</v>
      </c>
      <c r="L377" s="1">
        <f t="shared" si="20"/>
        <v>12</v>
      </c>
      <c r="M377" s="1" t="str">
        <f t="shared" si="21"/>
        <v/>
      </c>
      <c r="N377" s="2">
        <f t="shared" si="22"/>
        <v>45658</v>
      </c>
      <c r="O377" t="str">
        <f t="shared" si="23"/>
        <v>pes</v>
      </c>
    </row>
    <row r="378" spans="1:15" hidden="1" x14ac:dyDescent="0.25">
      <c r="A378">
        <v>7892</v>
      </c>
      <c r="B378" s="11">
        <v>4056789012345</v>
      </c>
      <c r="C378" s="1" t="s">
        <v>47</v>
      </c>
      <c r="D378" s="1" t="s">
        <v>29</v>
      </c>
      <c r="E378" s="1" t="s">
        <v>37</v>
      </c>
      <c r="F378">
        <v>2.4</v>
      </c>
      <c r="G378">
        <v>3</v>
      </c>
      <c r="H378" s="1" t="s">
        <v>33</v>
      </c>
      <c r="I378" s="1" t="s">
        <v>14</v>
      </c>
      <c r="J378" s="12">
        <v>45686</v>
      </c>
      <c r="K378">
        <v>0</v>
      </c>
      <c r="L378" s="1">
        <f t="shared" si="20"/>
        <v>7.1999999999999993</v>
      </c>
      <c r="M378" s="1">
        <f t="shared" si="21"/>
        <v>3</v>
      </c>
      <c r="N378" s="2">
        <f t="shared" si="22"/>
        <v>45658</v>
      </c>
      <c r="O378" t="str">
        <f t="shared" si="23"/>
        <v>mačka</v>
      </c>
    </row>
    <row r="379" spans="1:15" x14ac:dyDescent="0.25">
      <c r="A379">
        <v>7893</v>
      </c>
      <c r="B379" s="11">
        <v>4063456789014</v>
      </c>
      <c r="C379" s="1" t="s">
        <v>60</v>
      </c>
      <c r="D379" s="1" t="s">
        <v>12</v>
      </c>
      <c r="E379" s="1" t="s">
        <v>61</v>
      </c>
      <c r="F379">
        <v>36</v>
      </c>
      <c r="G379">
        <v>1</v>
      </c>
      <c r="H379" s="1" t="s">
        <v>14</v>
      </c>
      <c r="I379" s="1" t="s">
        <v>15</v>
      </c>
      <c r="J379" s="12">
        <v>45686</v>
      </c>
      <c r="K379">
        <v>0</v>
      </c>
      <c r="L379" s="1">
        <f t="shared" si="20"/>
        <v>36</v>
      </c>
      <c r="M379" s="1" t="str">
        <f t="shared" si="21"/>
        <v/>
      </c>
      <c r="N379" s="2">
        <f t="shared" si="22"/>
        <v>45658</v>
      </c>
      <c r="O379" t="str">
        <f t="shared" si="23"/>
        <v>pes</v>
      </c>
    </row>
    <row r="380" spans="1:15" hidden="1" x14ac:dyDescent="0.25">
      <c r="A380">
        <v>7894</v>
      </c>
      <c r="B380" s="11">
        <v>4026677889902</v>
      </c>
      <c r="C380" s="1" t="s">
        <v>52</v>
      </c>
      <c r="D380" s="1" t="s">
        <v>53</v>
      </c>
      <c r="E380" s="1" t="s">
        <v>54</v>
      </c>
      <c r="F380">
        <v>7.6</v>
      </c>
      <c r="G380">
        <v>1</v>
      </c>
      <c r="H380" s="1" t="s">
        <v>14</v>
      </c>
      <c r="I380" s="1" t="s">
        <v>15</v>
      </c>
      <c r="J380" s="12">
        <v>45686</v>
      </c>
      <c r="K380">
        <v>0</v>
      </c>
      <c r="L380" s="1">
        <f t="shared" si="20"/>
        <v>7.6</v>
      </c>
      <c r="M380" s="1" t="str">
        <f t="shared" si="21"/>
        <v/>
      </c>
      <c r="N380" s="2">
        <f t="shared" si="22"/>
        <v>45658</v>
      </c>
      <c r="O380" t="str">
        <f t="shared" si="23"/>
        <v>iné</v>
      </c>
    </row>
    <row r="381" spans="1:15" x14ac:dyDescent="0.25">
      <c r="A381">
        <v>7895</v>
      </c>
      <c r="B381" s="11">
        <v>4028899001126</v>
      </c>
      <c r="C381" s="1" t="s">
        <v>16</v>
      </c>
      <c r="D381" s="1" t="s">
        <v>12</v>
      </c>
      <c r="E381" s="1" t="s">
        <v>17</v>
      </c>
      <c r="F381">
        <v>2.8</v>
      </c>
      <c r="G381">
        <v>5</v>
      </c>
      <c r="H381" s="1" t="s">
        <v>23</v>
      </c>
      <c r="I381" s="1" t="s">
        <v>120</v>
      </c>
      <c r="J381" s="12">
        <v>45686</v>
      </c>
      <c r="K381">
        <v>0</v>
      </c>
      <c r="L381" s="1">
        <f t="shared" si="20"/>
        <v>14</v>
      </c>
      <c r="M381" s="1">
        <f t="shared" si="21"/>
        <v>5</v>
      </c>
      <c r="N381" s="2">
        <f t="shared" si="22"/>
        <v>45658</v>
      </c>
      <c r="O381" t="str">
        <f t="shared" si="23"/>
        <v>pes</v>
      </c>
    </row>
    <row r="382" spans="1:15" x14ac:dyDescent="0.25">
      <c r="A382">
        <v>7896</v>
      </c>
      <c r="B382" s="11">
        <v>4013456789017</v>
      </c>
      <c r="C382" s="1" t="s">
        <v>11</v>
      </c>
      <c r="D382" s="1" t="s">
        <v>12</v>
      </c>
      <c r="E382" s="1" t="s">
        <v>13</v>
      </c>
      <c r="F382">
        <v>6</v>
      </c>
      <c r="G382">
        <v>2</v>
      </c>
      <c r="H382" s="1" t="s">
        <v>14</v>
      </c>
      <c r="I382" s="1" t="s">
        <v>15</v>
      </c>
      <c r="J382" s="12">
        <v>45686</v>
      </c>
      <c r="K382">
        <v>0</v>
      </c>
      <c r="L382" s="1">
        <f t="shared" si="20"/>
        <v>12</v>
      </c>
      <c r="M382" s="1" t="str">
        <f t="shared" si="21"/>
        <v/>
      </c>
      <c r="N382" s="2">
        <f t="shared" si="22"/>
        <v>45658</v>
      </c>
      <c r="O382" t="str">
        <f t="shared" si="23"/>
        <v>pes</v>
      </c>
    </row>
    <row r="383" spans="1:15" x14ac:dyDescent="0.25">
      <c r="A383">
        <v>7897</v>
      </c>
      <c r="B383" s="11">
        <v>4040123456795</v>
      </c>
      <c r="C383" s="1" t="s">
        <v>20</v>
      </c>
      <c r="D383" s="1" t="s">
        <v>21</v>
      </c>
      <c r="E383" s="1" t="s">
        <v>22</v>
      </c>
      <c r="F383">
        <v>8.8000000000000007</v>
      </c>
      <c r="G383">
        <v>1</v>
      </c>
      <c r="H383" s="1" t="s">
        <v>14</v>
      </c>
      <c r="I383" s="1" t="s">
        <v>15</v>
      </c>
      <c r="J383" s="12">
        <v>45686</v>
      </c>
      <c r="K383">
        <v>0</v>
      </c>
      <c r="L383" s="1">
        <f t="shared" si="20"/>
        <v>8.8000000000000007</v>
      </c>
      <c r="M383" s="1" t="str">
        <f t="shared" si="21"/>
        <v/>
      </c>
      <c r="N383" s="2">
        <f t="shared" si="22"/>
        <v>45658</v>
      </c>
      <c r="O383" t="str">
        <f t="shared" si="23"/>
        <v>pes</v>
      </c>
    </row>
    <row r="384" spans="1:15" hidden="1" x14ac:dyDescent="0.25">
      <c r="A384">
        <v>7898</v>
      </c>
      <c r="B384" s="11">
        <v>4010123456783</v>
      </c>
      <c r="C384" s="1" t="s">
        <v>35</v>
      </c>
      <c r="D384" s="1" t="s">
        <v>36</v>
      </c>
      <c r="E384" s="1" t="s">
        <v>37</v>
      </c>
      <c r="F384">
        <v>14</v>
      </c>
      <c r="G384">
        <v>1</v>
      </c>
      <c r="H384" s="1" t="s">
        <v>14</v>
      </c>
      <c r="I384" s="1" t="s">
        <v>15</v>
      </c>
      <c r="J384" s="12">
        <v>45686</v>
      </c>
      <c r="K384">
        <v>0</v>
      </c>
      <c r="L384" s="1">
        <f t="shared" si="20"/>
        <v>14</v>
      </c>
      <c r="M384" s="1" t="str">
        <f t="shared" si="21"/>
        <v/>
      </c>
      <c r="N384" s="2">
        <f t="shared" si="22"/>
        <v>45658</v>
      </c>
      <c r="O384" t="str">
        <f t="shared" si="23"/>
        <v>mačka</v>
      </c>
    </row>
    <row r="385" spans="1:15" x14ac:dyDescent="0.25">
      <c r="A385">
        <v>7899</v>
      </c>
      <c r="B385" s="11">
        <v>4028899001126</v>
      </c>
      <c r="C385" s="1" t="s">
        <v>16</v>
      </c>
      <c r="D385" s="1" t="s">
        <v>12</v>
      </c>
      <c r="E385" s="1" t="s">
        <v>17</v>
      </c>
      <c r="F385">
        <v>2.8</v>
      </c>
      <c r="G385">
        <v>3</v>
      </c>
      <c r="H385" s="1" t="s">
        <v>14</v>
      </c>
      <c r="I385" s="1" t="s">
        <v>15</v>
      </c>
      <c r="J385" s="12">
        <v>45686</v>
      </c>
      <c r="K385">
        <v>0</v>
      </c>
      <c r="L385" s="1">
        <f t="shared" si="20"/>
        <v>8.3999999999999986</v>
      </c>
      <c r="M385" s="1" t="str">
        <f t="shared" si="21"/>
        <v/>
      </c>
      <c r="N385" s="2">
        <f t="shared" si="22"/>
        <v>45658</v>
      </c>
      <c r="O385" t="str">
        <f t="shared" si="23"/>
        <v>pes</v>
      </c>
    </row>
    <row r="386" spans="1:15" x14ac:dyDescent="0.25">
      <c r="A386">
        <v>7900</v>
      </c>
      <c r="B386" s="11">
        <v>4013456789017</v>
      </c>
      <c r="C386" s="1" t="s">
        <v>11</v>
      </c>
      <c r="D386" s="1" t="s">
        <v>12</v>
      </c>
      <c r="E386" s="1" t="s">
        <v>13</v>
      </c>
      <c r="F386">
        <v>6</v>
      </c>
      <c r="G386">
        <v>1</v>
      </c>
      <c r="H386" s="1" t="s">
        <v>14</v>
      </c>
      <c r="I386" s="1" t="s">
        <v>15</v>
      </c>
      <c r="J386" s="12">
        <v>45686</v>
      </c>
      <c r="K386">
        <v>0</v>
      </c>
      <c r="L386" s="1">
        <f t="shared" ref="L386:L449" si="24">F386*G386</f>
        <v>6</v>
      </c>
      <c r="M386" s="1" t="str">
        <f t="shared" ref="M386:M449" si="25">IF(H386="NULL", "",VALUE(H386))</f>
        <v/>
      </c>
      <c r="N386" s="2">
        <f t="shared" ref="N386:N449" si="26">DATE(YEAR(J386),MONTH(J386),1)</f>
        <v>45658</v>
      </c>
      <c r="O386" t="str">
        <f t="shared" ref="O386:O449" si="27">IF(ISNUMBER(SEARCH("Mačky",D386)),"mačka",IF(ISNUMBER(SEARCH("Psy",D386)),"pes","iné"))</f>
        <v>pes</v>
      </c>
    </row>
    <row r="387" spans="1:15" x14ac:dyDescent="0.25">
      <c r="A387">
        <v>7901</v>
      </c>
      <c r="B387" s="11">
        <v>4063456789014</v>
      </c>
      <c r="C387" s="1" t="s">
        <v>60</v>
      </c>
      <c r="D387" s="1" t="s">
        <v>12</v>
      </c>
      <c r="E387" s="1" t="s">
        <v>61</v>
      </c>
      <c r="F387">
        <v>36</v>
      </c>
      <c r="G387">
        <v>1</v>
      </c>
      <c r="H387" s="1" t="s">
        <v>14</v>
      </c>
      <c r="I387" s="1" t="s">
        <v>15</v>
      </c>
      <c r="J387" s="12">
        <v>45686</v>
      </c>
      <c r="K387">
        <v>0</v>
      </c>
      <c r="L387" s="1">
        <f t="shared" si="24"/>
        <v>36</v>
      </c>
      <c r="M387" s="1" t="str">
        <f t="shared" si="25"/>
        <v/>
      </c>
      <c r="N387" s="2">
        <f t="shared" si="26"/>
        <v>45658</v>
      </c>
      <c r="O387" t="str">
        <f t="shared" si="27"/>
        <v>pes</v>
      </c>
    </row>
    <row r="388" spans="1:15" hidden="1" x14ac:dyDescent="0.25">
      <c r="A388">
        <v>7902</v>
      </c>
      <c r="B388" s="11">
        <v>4021234567894</v>
      </c>
      <c r="C388" s="1" t="s">
        <v>79</v>
      </c>
      <c r="D388" s="1" t="s">
        <v>36</v>
      </c>
      <c r="E388" s="1" t="s">
        <v>69</v>
      </c>
      <c r="F388">
        <v>8</v>
      </c>
      <c r="G388">
        <v>1</v>
      </c>
      <c r="H388" s="1" t="s">
        <v>14</v>
      </c>
      <c r="I388" s="1" t="s">
        <v>15</v>
      </c>
      <c r="J388" s="12">
        <v>45686</v>
      </c>
      <c r="K388">
        <v>0</v>
      </c>
      <c r="L388" s="1">
        <f t="shared" si="24"/>
        <v>8</v>
      </c>
      <c r="M388" s="1" t="str">
        <f t="shared" si="25"/>
        <v/>
      </c>
      <c r="N388" s="2">
        <f t="shared" si="26"/>
        <v>45658</v>
      </c>
      <c r="O388" t="str">
        <f t="shared" si="27"/>
        <v>mačka</v>
      </c>
    </row>
    <row r="389" spans="1:15" x14ac:dyDescent="0.25">
      <c r="A389">
        <v>7903</v>
      </c>
      <c r="B389" s="11">
        <v>4061011223346</v>
      </c>
      <c r="C389" s="1" t="s">
        <v>25</v>
      </c>
      <c r="D389" s="1" t="s">
        <v>26</v>
      </c>
      <c r="E389" s="1" t="s">
        <v>27</v>
      </c>
      <c r="F389">
        <v>19.600000000000001</v>
      </c>
      <c r="G389">
        <v>1</v>
      </c>
      <c r="H389" s="1" t="s">
        <v>14</v>
      </c>
      <c r="I389" s="1" t="s">
        <v>15</v>
      </c>
      <c r="J389" s="12">
        <v>45686</v>
      </c>
      <c r="K389">
        <v>0</v>
      </c>
      <c r="L389" s="1">
        <f t="shared" si="24"/>
        <v>19.600000000000001</v>
      </c>
      <c r="M389" s="1" t="str">
        <f t="shared" si="25"/>
        <v/>
      </c>
      <c r="N389" s="2">
        <f t="shared" si="26"/>
        <v>45658</v>
      </c>
      <c r="O389" t="str">
        <f t="shared" si="27"/>
        <v>pes</v>
      </c>
    </row>
    <row r="390" spans="1:15" x14ac:dyDescent="0.25">
      <c r="A390">
        <v>7904</v>
      </c>
      <c r="B390" s="11">
        <v>4028899001126</v>
      </c>
      <c r="C390" s="1" t="s">
        <v>16</v>
      </c>
      <c r="D390" s="1" t="s">
        <v>12</v>
      </c>
      <c r="E390" s="1" t="s">
        <v>17</v>
      </c>
      <c r="F390">
        <v>2.8</v>
      </c>
      <c r="G390">
        <v>4</v>
      </c>
      <c r="H390" s="1" t="s">
        <v>14</v>
      </c>
      <c r="I390" s="1" t="s">
        <v>15</v>
      </c>
      <c r="J390" s="12">
        <v>45686</v>
      </c>
      <c r="K390">
        <v>0</v>
      </c>
      <c r="L390" s="1">
        <f t="shared" si="24"/>
        <v>11.2</v>
      </c>
      <c r="M390" s="1" t="str">
        <f t="shared" si="25"/>
        <v/>
      </c>
      <c r="N390" s="2">
        <f t="shared" si="26"/>
        <v>45658</v>
      </c>
      <c r="O390" t="str">
        <f t="shared" si="27"/>
        <v>pes</v>
      </c>
    </row>
    <row r="391" spans="1:15" x14ac:dyDescent="0.25">
      <c r="A391">
        <v>7905</v>
      </c>
      <c r="B391" s="11">
        <v>4013456789017</v>
      </c>
      <c r="C391" s="1" t="s">
        <v>11</v>
      </c>
      <c r="D391" s="1" t="s">
        <v>12</v>
      </c>
      <c r="E391" s="1" t="s">
        <v>13</v>
      </c>
      <c r="F391">
        <v>6</v>
      </c>
      <c r="G391">
        <v>2</v>
      </c>
      <c r="H391" s="1" t="s">
        <v>14</v>
      </c>
      <c r="I391" s="1" t="s">
        <v>15</v>
      </c>
      <c r="J391" s="12">
        <v>45686</v>
      </c>
      <c r="K391">
        <v>0</v>
      </c>
      <c r="L391" s="1">
        <f t="shared" si="24"/>
        <v>12</v>
      </c>
      <c r="M391" s="1" t="str">
        <f t="shared" si="25"/>
        <v/>
      </c>
      <c r="N391" s="2">
        <f t="shared" si="26"/>
        <v>45658</v>
      </c>
      <c r="O391" t="str">
        <f t="shared" si="27"/>
        <v>pes</v>
      </c>
    </row>
    <row r="392" spans="1:15" hidden="1" x14ac:dyDescent="0.25">
      <c r="A392">
        <v>7906</v>
      </c>
      <c r="B392" s="11">
        <v>4056789012345</v>
      </c>
      <c r="C392" s="1" t="s">
        <v>47</v>
      </c>
      <c r="D392" s="1" t="s">
        <v>29</v>
      </c>
      <c r="E392" s="1" t="s">
        <v>37</v>
      </c>
      <c r="F392">
        <v>2.4</v>
      </c>
      <c r="G392">
        <v>3</v>
      </c>
      <c r="H392" s="1" t="s">
        <v>14</v>
      </c>
      <c r="I392" s="1" t="s">
        <v>15</v>
      </c>
      <c r="J392" s="12">
        <v>45686</v>
      </c>
      <c r="K392">
        <v>0</v>
      </c>
      <c r="L392" s="1">
        <f t="shared" si="24"/>
        <v>7.1999999999999993</v>
      </c>
      <c r="M392" s="1" t="str">
        <f t="shared" si="25"/>
        <v/>
      </c>
      <c r="N392" s="2">
        <f t="shared" si="26"/>
        <v>45658</v>
      </c>
      <c r="O392" t="str">
        <f t="shared" si="27"/>
        <v>mačka</v>
      </c>
    </row>
    <row r="393" spans="1:15" x14ac:dyDescent="0.25">
      <c r="A393">
        <v>7907</v>
      </c>
      <c r="B393" s="11">
        <v>4063456789014</v>
      </c>
      <c r="C393" s="1" t="s">
        <v>60</v>
      </c>
      <c r="D393" s="1" t="s">
        <v>12</v>
      </c>
      <c r="E393" s="1" t="s">
        <v>61</v>
      </c>
      <c r="F393">
        <v>36</v>
      </c>
      <c r="G393">
        <v>1</v>
      </c>
      <c r="H393" s="1" t="s">
        <v>14</v>
      </c>
      <c r="I393" s="1" t="s">
        <v>15</v>
      </c>
      <c r="J393" s="12">
        <v>45686</v>
      </c>
      <c r="K393">
        <v>0</v>
      </c>
      <c r="L393" s="1">
        <f t="shared" si="24"/>
        <v>36</v>
      </c>
      <c r="M393" s="1" t="str">
        <f t="shared" si="25"/>
        <v/>
      </c>
      <c r="N393" s="2">
        <f t="shared" si="26"/>
        <v>45658</v>
      </c>
      <c r="O393" t="str">
        <f t="shared" si="27"/>
        <v>pes</v>
      </c>
    </row>
    <row r="394" spans="1:15" hidden="1" x14ac:dyDescent="0.25">
      <c r="A394">
        <v>7908</v>
      </c>
      <c r="B394" s="11">
        <v>4026677889902</v>
      </c>
      <c r="C394" s="1" t="s">
        <v>52</v>
      </c>
      <c r="D394" s="1" t="s">
        <v>53</v>
      </c>
      <c r="E394" s="1" t="s">
        <v>54</v>
      </c>
      <c r="F394">
        <v>7.6</v>
      </c>
      <c r="G394">
        <v>1</v>
      </c>
      <c r="H394" s="1" t="s">
        <v>18</v>
      </c>
      <c r="I394" s="1" t="s">
        <v>14</v>
      </c>
      <c r="J394" s="12">
        <v>45686</v>
      </c>
      <c r="K394">
        <v>0</v>
      </c>
      <c r="L394" s="1">
        <f t="shared" si="24"/>
        <v>7.6</v>
      </c>
      <c r="M394" s="1">
        <f t="shared" si="25"/>
        <v>4</v>
      </c>
      <c r="N394" s="2">
        <f t="shared" si="26"/>
        <v>45658</v>
      </c>
      <c r="O394" t="str">
        <f t="shared" si="27"/>
        <v>iné</v>
      </c>
    </row>
    <row r="395" spans="1:15" x14ac:dyDescent="0.25">
      <c r="A395">
        <v>7909</v>
      </c>
      <c r="B395" s="11">
        <v>4028899001126</v>
      </c>
      <c r="C395" s="1" t="s">
        <v>16</v>
      </c>
      <c r="D395" s="1" t="s">
        <v>12</v>
      </c>
      <c r="E395" s="1" t="s">
        <v>17</v>
      </c>
      <c r="F395">
        <v>2.8</v>
      </c>
      <c r="G395">
        <v>5</v>
      </c>
      <c r="H395" s="1" t="s">
        <v>23</v>
      </c>
      <c r="I395" s="1" t="s">
        <v>121</v>
      </c>
      <c r="J395" s="12">
        <v>45687</v>
      </c>
      <c r="K395">
        <v>0</v>
      </c>
      <c r="L395" s="1">
        <f t="shared" si="24"/>
        <v>14</v>
      </c>
      <c r="M395" s="1">
        <f t="shared" si="25"/>
        <v>5</v>
      </c>
      <c r="N395" s="2">
        <f t="shared" si="26"/>
        <v>45658</v>
      </c>
      <c r="O395" t="str">
        <f t="shared" si="27"/>
        <v>pes</v>
      </c>
    </row>
    <row r="396" spans="1:15" x14ac:dyDescent="0.25">
      <c r="A396">
        <v>7910</v>
      </c>
      <c r="B396" s="11">
        <v>4013456789017</v>
      </c>
      <c r="C396" s="1" t="s">
        <v>11</v>
      </c>
      <c r="D396" s="1" t="s">
        <v>12</v>
      </c>
      <c r="E396" s="1" t="s">
        <v>13</v>
      </c>
      <c r="F396">
        <v>6</v>
      </c>
      <c r="G396">
        <v>2</v>
      </c>
      <c r="H396" s="1" t="s">
        <v>14</v>
      </c>
      <c r="I396" s="1" t="s">
        <v>15</v>
      </c>
      <c r="J396" s="12">
        <v>45687</v>
      </c>
      <c r="K396">
        <v>0</v>
      </c>
      <c r="L396" s="1">
        <f t="shared" si="24"/>
        <v>12</v>
      </c>
      <c r="M396" s="1" t="str">
        <f t="shared" si="25"/>
        <v/>
      </c>
      <c r="N396" s="2">
        <f t="shared" si="26"/>
        <v>45658</v>
      </c>
      <c r="O396" t="str">
        <f t="shared" si="27"/>
        <v>pes</v>
      </c>
    </row>
    <row r="397" spans="1:15" x14ac:dyDescent="0.25">
      <c r="A397">
        <v>7911</v>
      </c>
      <c r="B397" s="11">
        <v>4040123456795</v>
      </c>
      <c r="C397" s="1" t="s">
        <v>20</v>
      </c>
      <c r="D397" s="1" t="s">
        <v>21</v>
      </c>
      <c r="E397" s="1" t="s">
        <v>22</v>
      </c>
      <c r="F397">
        <v>8.8000000000000007</v>
      </c>
      <c r="G397">
        <v>1</v>
      </c>
      <c r="H397" s="1" t="s">
        <v>14</v>
      </c>
      <c r="I397" s="1" t="s">
        <v>15</v>
      </c>
      <c r="J397" s="12">
        <v>45687</v>
      </c>
      <c r="K397">
        <v>0</v>
      </c>
      <c r="L397" s="1">
        <f t="shared" si="24"/>
        <v>8.8000000000000007</v>
      </c>
      <c r="M397" s="1" t="str">
        <f t="shared" si="25"/>
        <v/>
      </c>
      <c r="N397" s="2">
        <f t="shared" si="26"/>
        <v>45658</v>
      </c>
      <c r="O397" t="str">
        <f t="shared" si="27"/>
        <v>pes</v>
      </c>
    </row>
    <row r="398" spans="1:15" hidden="1" x14ac:dyDescent="0.25">
      <c r="A398">
        <v>7912</v>
      </c>
      <c r="B398" s="11">
        <v>4010123456783</v>
      </c>
      <c r="C398" s="1" t="s">
        <v>35</v>
      </c>
      <c r="D398" s="1" t="s">
        <v>36</v>
      </c>
      <c r="E398" s="1" t="s">
        <v>37</v>
      </c>
      <c r="F398">
        <v>14</v>
      </c>
      <c r="G398">
        <v>1</v>
      </c>
      <c r="H398" s="1" t="s">
        <v>18</v>
      </c>
      <c r="I398" s="1" t="s">
        <v>14</v>
      </c>
      <c r="J398" s="12">
        <v>45687</v>
      </c>
      <c r="K398">
        <v>0</v>
      </c>
      <c r="L398" s="1">
        <f t="shared" si="24"/>
        <v>14</v>
      </c>
      <c r="M398" s="1">
        <f t="shared" si="25"/>
        <v>4</v>
      </c>
      <c r="N398" s="2">
        <f t="shared" si="26"/>
        <v>45658</v>
      </c>
      <c r="O398" t="str">
        <f t="shared" si="27"/>
        <v>mačka</v>
      </c>
    </row>
    <row r="399" spans="1:15" x14ac:dyDescent="0.25">
      <c r="A399">
        <v>7913</v>
      </c>
      <c r="B399" s="11">
        <v>4028899001126</v>
      </c>
      <c r="C399" s="1" t="s">
        <v>16</v>
      </c>
      <c r="D399" s="1" t="s">
        <v>12</v>
      </c>
      <c r="E399" s="1" t="s">
        <v>17</v>
      </c>
      <c r="F399">
        <v>2.8</v>
      </c>
      <c r="G399">
        <v>4</v>
      </c>
      <c r="H399" s="1" t="s">
        <v>23</v>
      </c>
      <c r="I399" s="1" t="s">
        <v>122</v>
      </c>
      <c r="J399" s="12">
        <v>45689</v>
      </c>
      <c r="K399">
        <v>0</v>
      </c>
      <c r="L399" s="1">
        <f t="shared" si="24"/>
        <v>11.2</v>
      </c>
      <c r="M399" s="1">
        <f t="shared" si="25"/>
        <v>5</v>
      </c>
      <c r="N399" s="2">
        <f t="shared" si="26"/>
        <v>45689</v>
      </c>
      <c r="O399" t="str">
        <f t="shared" si="27"/>
        <v>pes</v>
      </c>
    </row>
    <row r="400" spans="1:15" x14ac:dyDescent="0.25">
      <c r="A400">
        <v>7914</v>
      </c>
      <c r="B400" s="11">
        <v>4013456789017</v>
      </c>
      <c r="C400" s="1" t="s">
        <v>11</v>
      </c>
      <c r="D400" s="1" t="s">
        <v>12</v>
      </c>
      <c r="E400" s="1" t="s">
        <v>13</v>
      </c>
      <c r="F400">
        <v>6</v>
      </c>
      <c r="G400">
        <v>2</v>
      </c>
      <c r="H400" s="1" t="s">
        <v>14</v>
      </c>
      <c r="I400" s="1" t="s">
        <v>15</v>
      </c>
      <c r="J400" s="12">
        <v>45689</v>
      </c>
      <c r="K400">
        <v>0</v>
      </c>
      <c r="L400" s="1">
        <f t="shared" si="24"/>
        <v>12</v>
      </c>
      <c r="M400" s="1" t="str">
        <f t="shared" si="25"/>
        <v/>
      </c>
      <c r="N400" s="2">
        <f t="shared" si="26"/>
        <v>45689</v>
      </c>
      <c r="O400" t="str">
        <f t="shared" si="27"/>
        <v>pes</v>
      </c>
    </row>
    <row r="401" spans="1:15" x14ac:dyDescent="0.25">
      <c r="A401">
        <v>7915</v>
      </c>
      <c r="B401" s="11">
        <v>4040123456795</v>
      </c>
      <c r="C401" s="1" t="s">
        <v>20</v>
      </c>
      <c r="D401" s="1" t="s">
        <v>21</v>
      </c>
      <c r="E401" s="1" t="s">
        <v>22</v>
      </c>
      <c r="F401">
        <v>8.8000000000000007</v>
      </c>
      <c r="G401">
        <v>1</v>
      </c>
      <c r="H401" s="1" t="s">
        <v>14</v>
      </c>
      <c r="I401" s="1" t="s">
        <v>15</v>
      </c>
      <c r="J401" s="12">
        <v>45689</v>
      </c>
      <c r="K401">
        <v>0</v>
      </c>
      <c r="L401" s="1">
        <f t="shared" si="24"/>
        <v>8.8000000000000007</v>
      </c>
      <c r="M401" s="1" t="str">
        <f t="shared" si="25"/>
        <v/>
      </c>
      <c r="N401" s="2">
        <f t="shared" si="26"/>
        <v>45689</v>
      </c>
      <c r="O401" t="str">
        <f t="shared" si="27"/>
        <v>pes</v>
      </c>
    </row>
    <row r="402" spans="1:15" hidden="1" x14ac:dyDescent="0.25">
      <c r="A402">
        <v>7916</v>
      </c>
      <c r="B402" s="11">
        <v>4010123456783</v>
      </c>
      <c r="C402" s="1" t="s">
        <v>35</v>
      </c>
      <c r="D402" s="1" t="s">
        <v>36</v>
      </c>
      <c r="E402" s="1" t="s">
        <v>37</v>
      </c>
      <c r="F402">
        <v>14</v>
      </c>
      <c r="G402">
        <v>2</v>
      </c>
      <c r="H402" s="1" t="s">
        <v>14</v>
      </c>
      <c r="I402" s="1" t="s">
        <v>15</v>
      </c>
      <c r="J402" s="12">
        <v>45689</v>
      </c>
      <c r="K402">
        <v>0</v>
      </c>
      <c r="L402" s="1">
        <f t="shared" si="24"/>
        <v>28</v>
      </c>
      <c r="M402" s="1" t="str">
        <f t="shared" si="25"/>
        <v/>
      </c>
      <c r="N402" s="2">
        <f t="shared" si="26"/>
        <v>45689</v>
      </c>
      <c r="O402" t="str">
        <f t="shared" si="27"/>
        <v>mačka</v>
      </c>
    </row>
    <row r="403" spans="1:15" x14ac:dyDescent="0.25">
      <c r="A403">
        <v>7917</v>
      </c>
      <c r="B403" s="11">
        <v>4063456789014</v>
      </c>
      <c r="C403" s="1" t="s">
        <v>60</v>
      </c>
      <c r="D403" s="1" t="s">
        <v>12</v>
      </c>
      <c r="E403" s="1" t="s">
        <v>61</v>
      </c>
      <c r="F403">
        <v>36</v>
      </c>
      <c r="G403">
        <v>1</v>
      </c>
      <c r="H403" s="1" t="s">
        <v>14</v>
      </c>
      <c r="I403" s="1" t="s">
        <v>15</v>
      </c>
      <c r="J403" s="12">
        <v>45689</v>
      </c>
      <c r="K403">
        <v>0</v>
      </c>
      <c r="L403" s="1">
        <f t="shared" si="24"/>
        <v>36</v>
      </c>
      <c r="M403" s="1" t="str">
        <f t="shared" si="25"/>
        <v/>
      </c>
      <c r="N403" s="2">
        <f t="shared" si="26"/>
        <v>45689</v>
      </c>
      <c r="O403" t="str">
        <f t="shared" si="27"/>
        <v>pes</v>
      </c>
    </row>
    <row r="404" spans="1:15" hidden="1" x14ac:dyDescent="0.25">
      <c r="A404">
        <v>7918</v>
      </c>
      <c r="B404" s="11">
        <v>4056789012345</v>
      </c>
      <c r="C404" s="1" t="s">
        <v>47</v>
      </c>
      <c r="D404" s="1" t="s">
        <v>29</v>
      </c>
      <c r="E404" s="1" t="s">
        <v>37</v>
      </c>
      <c r="F404">
        <v>2.4</v>
      </c>
      <c r="G404">
        <v>3</v>
      </c>
      <c r="H404" s="1" t="s">
        <v>14</v>
      </c>
      <c r="I404" s="1" t="s">
        <v>15</v>
      </c>
      <c r="J404" s="12">
        <v>45689</v>
      </c>
      <c r="K404">
        <v>0</v>
      </c>
      <c r="L404" s="1">
        <f t="shared" si="24"/>
        <v>7.1999999999999993</v>
      </c>
      <c r="M404" s="1" t="str">
        <f t="shared" si="25"/>
        <v/>
      </c>
      <c r="N404" s="2">
        <f t="shared" si="26"/>
        <v>45689</v>
      </c>
      <c r="O404" t="str">
        <f t="shared" si="27"/>
        <v>mačka</v>
      </c>
    </row>
    <row r="405" spans="1:15" x14ac:dyDescent="0.25">
      <c r="A405">
        <v>7919</v>
      </c>
      <c r="B405" s="11">
        <v>4061011223346</v>
      </c>
      <c r="C405" s="1" t="s">
        <v>25</v>
      </c>
      <c r="D405" s="1" t="s">
        <v>26</v>
      </c>
      <c r="E405" s="1" t="s">
        <v>27</v>
      </c>
      <c r="F405">
        <v>19.600000000000001</v>
      </c>
      <c r="G405">
        <v>1</v>
      </c>
      <c r="H405" s="1" t="s">
        <v>18</v>
      </c>
      <c r="I405" s="1" t="s">
        <v>123</v>
      </c>
      <c r="J405" s="12">
        <v>45689</v>
      </c>
      <c r="K405">
        <v>0</v>
      </c>
      <c r="L405" s="1">
        <f t="shared" si="24"/>
        <v>19.600000000000001</v>
      </c>
      <c r="M405" s="1">
        <f t="shared" si="25"/>
        <v>4</v>
      </c>
      <c r="N405" s="2">
        <f t="shared" si="26"/>
        <v>45689</v>
      </c>
      <c r="O405" t="str">
        <f t="shared" si="27"/>
        <v>pes</v>
      </c>
    </row>
    <row r="406" spans="1:15" hidden="1" x14ac:dyDescent="0.25">
      <c r="A406">
        <v>7920</v>
      </c>
      <c r="B406" s="11">
        <v>4021234567894</v>
      </c>
      <c r="C406" s="1" t="s">
        <v>79</v>
      </c>
      <c r="D406" s="1" t="s">
        <v>36</v>
      </c>
      <c r="E406" s="1" t="s">
        <v>69</v>
      </c>
      <c r="F406">
        <v>8</v>
      </c>
      <c r="G406">
        <v>1</v>
      </c>
      <c r="H406" s="1" t="s">
        <v>14</v>
      </c>
      <c r="I406" s="1" t="s">
        <v>15</v>
      </c>
      <c r="J406" s="12">
        <v>45689</v>
      </c>
      <c r="K406">
        <v>0</v>
      </c>
      <c r="L406" s="1">
        <f t="shared" si="24"/>
        <v>8</v>
      </c>
      <c r="M406" s="1" t="str">
        <f t="shared" si="25"/>
        <v/>
      </c>
      <c r="N406" s="2">
        <f t="shared" si="26"/>
        <v>45689</v>
      </c>
      <c r="O406" t="str">
        <f t="shared" si="27"/>
        <v>mačka</v>
      </c>
    </row>
    <row r="407" spans="1:15" x14ac:dyDescent="0.25">
      <c r="A407">
        <v>7921</v>
      </c>
      <c r="B407" s="11">
        <v>4017890123450</v>
      </c>
      <c r="C407" s="1" t="s">
        <v>65</v>
      </c>
      <c r="D407" s="1" t="s">
        <v>39</v>
      </c>
      <c r="E407" s="1" t="s">
        <v>22</v>
      </c>
      <c r="F407">
        <v>7.6</v>
      </c>
      <c r="G407">
        <v>1</v>
      </c>
      <c r="H407" s="1" t="s">
        <v>14</v>
      </c>
      <c r="I407" s="1" t="s">
        <v>15</v>
      </c>
      <c r="J407" s="12">
        <v>45689</v>
      </c>
      <c r="K407">
        <v>0</v>
      </c>
      <c r="L407" s="1">
        <f t="shared" si="24"/>
        <v>7.6</v>
      </c>
      <c r="M407" s="1" t="str">
        <f t="shared" si="25"/>
        <v/>
      </c>
      <c r="N407" s="2">
        <f t="shared" si="26"/>
        <v>45689</v>
      </c>
      <c r="O407" t="str">
        <f t="shared" si="27"/>
        <v>pes</v>
      </c>
    </row>
    <row r="408" spans="1:15" hidden="1" x14ac:dyDescent="0.25">
      <c r="A408">
        <v>7922</v>
      </c>
      <c r="B408" s="11">
        <v>4026677889902</v>
      </c>
      <c r="C408" s="1" t="s">
        <v>52</v>
      </c>
      <c r="D408" s="1" t="s">
        <v>53</v>
      </c>
      <c r="E408" s="1" t="s">
        <v>54</v>
      </c>
      <c r="F408">
        <v>7.6</v>
      </c>
      <c r="G408">
        <v>1</v>
      </c>
      <c r="H408" s="1" t="s">
        <v>14</v>
      </c>
      <c r="I408" s="1" t="s">
        <v>15</v>
      </c>
      <c r="J408" s="12">
        <v>45689</v>
      </c>
      <c r="K408">
        <v>0</v>
      </c>
      <c r="L408" s="1">
        <f t="shared" si="24"/>
        <v>7.6</v>
      </c>
      <c r="M408" s="1" t="str">
        <f t="shared" si="25"/>
        <v/>
      </c>
      <c r="N408" s="2">
        <f t="shared" si="26"/>
        <v>45689</v>
      </c>
      <c r="O408" t="str">
        <f t="shared" si="27"/>
        <v>iné</v>
      </c>
    </row>
    <row r="409" spans="1:15" x14ac:dyDescent="0.25">
      <c r="A409">
        <v>7923</v>
      </c>
      <c r="B409" s="11">
        <v>4028899001126</v>
      </c>
      <c r="C409" s="1" t="s">
        <v>16</v>
      </c>
      <c r="D409" s="1" t="s">
        <v>12</v>
      </c>
      <c r="E409" s="1" t="s">
        <v>17</v>
      </c>
      <c r="F409">
        <v>2.8</v>
      </c>
      <c r="G409">
        <v>5</v>
      </c>
      <c r="H409" s="1" t="s">
        <v>14</v>
      </c>
      <c r="I409" s="1" t="s">
        <v>15</v>
      </c>
      <c r="J409" s="12">
        <v>45690</v>
      </c>
      <c r="K409">
        <v>0</v>
      </c>
      <c r="L409" s="1">
        <f t="shared" si="24"/>
        <v>14</v>
      </c>
      <c r="M409" s="1" t="str">
        <f t="shared" si="25"/>
        <v/>
      </c>
      <c r="N409" s="2">
        <f t="shared" si="26"/>
        <v>45689</v>
      </c>
      <c r="O409" t="str">
        <f t="shared" si="27"/>
        <v>pes</v>
      </c>
    </row>
    <row r="410" spans="1:15" x14ac:dyDescent="0.25">
      <c r="A410">
        <v>7924</v>
      </c>
      <c r="B410" s="11">
        <v>4013456789017</v>
      </c>
      <c r="C410" s="1" t="s">
        <v>11</v>
      </c>
      <c r="D410" s="1" t="s">
        <v>12</v>
      </c>
      <c r="E410" s="1" t="s">
        <v>13</v>
      </c>
      <c r="F410">
        <v>6</v>
      </c>
      <c r="G410">
        <v>1</v>
      </c>
      <c r="H410" s="1" t="s">
        <v>14</v>
      </c>
      <c r="I410" s="1" t="s">
        <v>15</v>
      </c>
      <c r="J410" s="12">
        <v>45690</v>
      </c>
      <c r="K410">
        <v>0</v>
      </c>
      <c r="L410" s="1">
        <f t="shared" si="24"/>
        <v>6</v>
      </c>
      <c r="M410" s="1" t="str">
        <f t="shared" si="25"/>
        <v/>
      </c>
      <c r="N410" s="2">
        <f t="shared" si="26"/>
        <v>45689</v>
      </c>
      <c r="O410" t="str">
        <f t="shared" si="27"/>
        <v>pes</v>
      </c>
    </row>
    <row r="411" spans="1:15" x14ac:dyDescent="0.25">
      <c r="A411">
        <v>7925</v>
      </c>
      <c r="B411" s="11">
        <v>4040123456795</v>
      </c>
      <c r="C411" s="1" t="s">
        <v>20</v>
      </c>
      <c r="D411" s="1" t="s">
        <v>21</v>
      </c>
      <c r="E411" s="1" t="s">
        <v>22</v>
      </c>
      <c r="F411">
        <v>8.8000000000000007</v>
      </c>
      <c r="G411">
        <v>1</v>
      </c>
      <c r="H411" s="1" t="s">
        <v>14</v>
      </c>
      <c r="I411" s="1" t="s">
        <v>15</v>
      </c>
      <c r="J411" s="12">
        <v>45690</v>
      </c>
      <c r="K411">
        <v>0</v>
      </c>
      <c r="L411" s="1">
        <f t="shared" si="24"/>
        <v>8.8000000000000007</v>
      </c>
      <c r="M411" s="1" t="str">
        <f t="shared" si="25"/>
        <v/>
      </c>
      <c r="N411" s="2">
        <f t="shared" si="26"/>
        <v>45689</v>
      </c>
      <c r="O411" t="str">
        <f t="shared" si="27"/>
        <v>pes</v>
      </c>
    </row>
    <row r="412" spans="1:15" hidden="1" x14ac:dyDescent="0.25">
      <c r="A412">
        <v>7926</v>
      </c>
      <c r="B412" s="11">
        <v>4010123456783</v>
      </c>
      <c r="C412" s="1" t="s">
        <v>35</v>
      </c>
      <c r="D412" s="1" t="s">
        <v>36</v>
      </c>
      <c r="E412" s="1" t="s">
        <v>37</v>
      </c>
      <c r="F412">
        <v>14</v>
      </c>
      <c r="G412">
        <v>1</v>
      </c>
      <c r="H412" s="1" t="s">
        <v>14</v>
      </c>
      <c r="I412" s="1" t="s">
        <v>15</v>
      </c>
      <c r="J412" s="12">
        <v>45690</v>
      </c>
      <c r="K412">
        <v>0</v>
      </c>
      <c r="L412" s="1">
        <f t="shared" si="24"/>
        <v>14</v>
      </c>
      <c r="M412" s="1" t="str">
        <f t="shared" si="25"/>
        <v/>
      </c>
      <c r="N412" s="2">
        <f t="shared" si="26"/>
        <v>45689</v>
      </c>
      <c r="O412" t="str">
        <f t="shared" si="27"/>
        <v>mačka</v>
      </c>
    </row>
    <row r="413" spans="1:15" hidden="1" x14ac:dyDescent="0.25">
      <c r="A413">
        <v>7927</v>
      </c>
      <c r="B413" s="11">
        <v>4056789012345</v>
      </c>
      <c r="C413" s="1" t="s">
        <v>47</v>
      </c>
      <c r="D413" s="1" t="s">
        <v>29</v>
      </c>
      <c r="E413" s="1" t="s">
        <v>37</v>
      </c>
      <c r="F413">
        <v>2.4</v>
      </c>
      <c r="G413">
        <v>2</v>
      </c>
      <c r="H413" s="1" t="s">
        <v>14</v>
      </c>
      <c r="I413" s="1" t="s">
        <v>15</v>
      </c>
      <c r="J413" s="12">
        <v>45690</v>
      </c>
      <c r="K413">
        <v>0</v>
      </c>
      <c r="L413" s="1">
        <f t="shared" si="24"/>
        <v>4.8</v>
      </c>
      <c r="M413" s="1" t="str">
        <f t="shared" si="25"/>
        <v/>
      </c>
      <c r="N413" s="2">
        <f t="shared" si="26"/>
        <v>45689</v>
      </c>
      <c r="O413" t="str">
        <f t="shared" si="27"/>
        <v>mačka</v>
      </c>
    </row>
    <row r="414" spans="1:15" x14ac:dyDescent="0.25">
      <c r="A414">
        <v>7928</v>
      </c>
      <c r="B414" s="11">
        <v>4063456789014</v>
      </c>
      <c r="C414" s="1" t="s">
        <v>60</v>
      </c>
      <c r="D414" s="1" t="s">
        <v>12</v>
      </c>
      <c r="E414" s="1" t="s">
        <v>61</v>
      </c>
      <c r="F414">
        <v>36</v>
      </c>
      <c r="G414">
        <v>1</v>
      </c>
      <c r="H414" s="1" t="s">
        <v>14</v>
      </c>
      <c r="I414" s="1" t="s">
        <v>15</v>
      </c>
      <c r="J414" s="12">
        <v>45690</v>
      </c>
      <c r="K414">
        <v>0</v>
      </c>
      <c r="L414" s="1">
        <f t="shared" si="24"/>
        <v>36</v>
      </c>
      <c r="M414" s="1" t="str">
        <f t="shared" si="25"/>
        <v/>
      </c>
      <c r="N414" s="2">
        <f t="shared" si="26"/>
        <v>45689</v>
      </c>
      <c r="O414" t="str">
        <f t="shared" si="27"/>
        <v>pes</v>
      </c>
    </row>
    <row r="415" spans="1:15" hidden="1" x14ac:dyDescent="0.25">
      <c r="A415">
        <v>7929</v>
      </c>
      <c r="B415" s="11">
        <v>4021234567894</v>
      </c>
      <c r="C415" s="1" t="s">
        <v>79</v>
      </c>
      <c r="D415" s="1" t="s">
        <v>36</v>
      </c>
      <c r="E415" s="1" t="s">
        <v>69</v>
      </c>
      <c r="F415">
        <v>8</v>
      </c>
      <c r="G415">
        <v>1</v>
      </c>
      <c r="H415" s="1" t="s">
        <v>14</v>
      </c>
      <c r="I415" s="1" t="s">
        <v>15</v>
      </c>
      <c r="J415" s="12">
        <v>45690</v>
      </c>
      <c r="K415">
        <v>0</v>
      </c>
      <c r="L415" s="1">
        <f t="shared" si="24"/>
        <v>8</v>
      </c>
      <c r="M415" s="1" t="str">
        <f t="shared" si="25"/>
        <v/>
      </c>
      <c r="N415" s="2">
        <f t="shared" si="26"/>
        <v>45689</v>
      </c>
      <c r="O415" t="str">
        <f t="shared" si="27"/>
        <v>mačka</v>
      </c>
    </row>
    <row r="416" spans="1:15" x14ac:dyDescent="0.25">
      <c r="A416">
        <v>7930</v>
      </c>
      <c r="B416" s="11">
        <v>4061011223346</v>
      </c>
      <c r="C416" s="1" t="s">
        <v>25</v>
      </c>
      <c r="D416" s="1" t="s">
        <v>26</v>
      </c>
      <c r="E416" s="1" t="s">
        <v>27</v>
      </c>
      <c r="F416">
        <v>19.600000000000001</v>
      </c>
      <c r="G416">
        <v>1</v>
      </c>
      <c r="H416" s="1" t="s">
        <v>23</v>
      </c>
      <c r="I416" s="1" t="s">
        <v>124</v>
      </c>
      <c r="J416" s="12">
        <v>45690</v>
      </c>
      <c r="K416">
        <v>0</v>
      </c>
      <c r="L416" s="1">
        <f t="shared" si="24"/>
        <v>19.600000000000001</v>
      </c>
      <c r="M416" s="1">
        <f t="shared" si="25"/>
        <v>5</v>
      </c>
      <c r="N416" s="2">
        <f t="shared" si="26"/>
        <v>45689</v>
      </c>
      <c r="O416" t="str">
        <f t="shared" si="27"/>
        <v>pes</v>
      </c>
    </row>
    <row r="417" spans="1:15" x14ac:dyDescent="0.25">
      <c r="A417">
        <v>7931</v>
      </c>
      <c r="B417" s="11">
        <v>4013456789017</v>
      </c>
      <c r="C417" s="1" t="s">
        <v>11</v>
      </c>
      <c r="D417" s="1" t="s">
        <v>12</v>
      </c>
      <c r="E417" s="1" t="s">
        <v>13</v>
      </c>
      <c r="F417">
        <v>6</v>
      </c>
      <c r="G417">
        <v>1</v>
      </c>
      <c r="H417" s="1" t="s">
        <v>14</v>
      </c>
      <c r="I417" s="1" t="s">
        <v>15</v>
      </c>
      <c r="J417" s="12">
        <v>45690</v>
      </c>
      <c r="K417">
        <v>0</v>
      </c>
      <c r="L417" s="1">
        <f t="shared" si="24"/>
        <v>6</v>
      </c>
      <c r="M417" s="1" t="str">
        <f t="shared" si="25"/>
        <v/>
      </c>
      <c r="N417" s="2">
        <f t="shared" si="26"/>
        <v>45689</v>
      </c>
      <c r="O417" t="str">
        <f t="shared" si="27"/>
        <v>pes</v>
      </c>
    </row>
    <row r="418" spans="1:15" x14ac:dyDescent="0.25">
      <c r="A418">
        <v>7932</v>
      </c>
      <c r="B418" s="11">
        <v>4028899001126</v>
      </c>
      <c r="C418" s="1" t="s">
        <v>16</v>
      </c>
      <c r="D418" s="1" t="s">
        <v>12</v>
      </c>
      <c r="E418" s="1" t="s">
        <v>17</v>
      </c>
      <c r="F418">
        <v>2.8</v>
      </c>
      <c r="G418">
        <v>4</v>
      </c>
      <c r="H418" s="1" t="s">
        <v>14</v>
      </c>
      <c r="I418" s="1" t="s">
        <v>15</v>
      </c>
      <c r="J418" s="12">
        <v>45690</v>
      </c>
      <c r="K418">
        <v>0</v>
      </c>
      <c r="L418" s="1">
        <f t="shared" si="24"/>
        <v>11.2</v>
      </c>
      <c r="M418" s="1" t="str">
        <f t="shared" si="25"/>
        <v/>
      </c>
      <c r="N418" s="2">
        <f t="shared" si="26"/>
        <v>45689</v>
      </c>
      <c r="O418" t="str">
        <f t="shared" si="27"/>
        <v>pes</v>
      </c>
    </row>
    <row r="419" spans="1:15" hidden="1" x14ac:dyDescent="0.25">
      <c r="A419">
        <v>7933</v>
      </c>
      <c r="B419" s="11">
        <v>4010123456783</v>
      </c>
      <c r="C419" s="1" t="s">
        <v>35</v>
      </c>
      <c r="D419" s="1" t="s">
        <v>36</v>
      </c>
      <c r="E419" s="1" t="s">
        <v>37</v>
      </c>
      <c r="F419">
        <v>14</v>
      </c>
      <c r="G419">
        <v>2</v>
      </c>
      <c r="H419" s="1" t="s">
        <v>14</v>
      </c>
      <c r="I419" s="1" t="s">
        <v>15</v>
      </c>
      <c r="J419" s="12">
        <v>45691</v>
      </c>
      <c r="K419">
        <v>0</v>
      </c>
      <c r="L419" s="1">
        <f t="shared" si="24"/>
        <v>28</v>
      </c>
      <c r="M419" s="1" t="str">
        <f t="shared" si="25"/>
        <v/>
      </c>
      <c r="N419" s="2">
        <f t="shared" si="26"/>
        <v>45689</v>
      </c>
      <c r="O419" t="str">
        <f t="shared" si="27"/>
        <v>mačka</v>
      </c>
    </row>
    <row r="420" spans="1:15" hidden="1" x14ac:dyDescent="0.25">
      <c r="A420">
        <v>7934</v>
      </c>
      <c r="B420" s="11">
        <v>4056789012345</v>
      </c>
      <c r="C420" s="1" t="s">
        <v>47</v>
      </c>
      <c r="D420" s="1" t="s">
        <v>29</v>
      </c>
      <c r="E420" s="1" t="s">
        <v>37</v>
      </c>
      <c r="F420">
        <v>2.4</v>
      </c>
      <c r="G420">
        <v>2</v>
      </c>
      <c r="H420" s="1" t="s">
        <v>14</v>
      </c>
      <c r="I420" s="1" t="s">
        <v>15</v>
      </c>
      <c r="J420" s="12">
        <v>45691</v>
      </c>
      <c r="K420">
        <v>0</v>
      </c>
      <c r="L420" s="1">
        <f t="shared" si="24"/>
        <v>4.8</v>
      </c>
      <c r="M420" s="1" t="str">
        <f t="shared" si="25"/>
        <v/>
      </c>
      <c r="N420" s="2">
        <f t="shared" si="26"/>
        <v>45689</v>
      </c>
      <c r="O420" t="str">
        <f t="shared" si="27"/>
        <v>mačka</v>
      </c>
    </row>
    <row r="421" spans="1:15" x14ac:dyDescent="0.25">
      <c r="A421">
        <v>7935</v>
      </c>
      <c r="B421" s="11">
        <v>4063456789014</v>
      </c>
      <c r="C421" s="1" t="s">
        <v>60</v>
      </c>
      <c r="D421" s="1" t="s">
        <v>12</v>
      </c>
      <c r="E421" s="1" t="s">
        <v>61</v>
      </c>
      <c r="F421">
        <v>36</v>
      </c>
      <c r="G421">
        <v>1</v>
      </c>
      <c r="H421" s="1" t="s">
        <v>14</v>
      </c>
      <c r="I421" s="1" t="s">
        <v>15</v>
      </c>
      <c r="J421" s="12">
        <v>45691</v>
      </c>
      <c r="K421">
        <v>0</v>
      </c>
      <c r="L421" s="1">
        <f t="shared" si="24"/>
        <v>36</v>
      </c>
      <c r="M421" s="1" t="str">
        <f t="shared" si="25"/>
        <v/>
      </c>
      <c r="N421" s="2">
        <f t="shared" si="26"/>
        <v>45689</v>
      </c>
      <c r="O421" t="str">
        <f t="shared" si="27"/>
        <v>pes</v>
      </c>
    </row>
    <row r="422" spans="1:15" hidden="1" x14ac:dyDescent="0.25">
      <c r="A422">
        <v>7936</v>
      </c>
      <c r="B422" s="11">
        <v>4021234567894</v>
      </c>
      <c r="C422" s="1" t="s">
        <v>79</v>
      </c>
      <c r="D422" s="1" t="s">
        <v>36</v>
      </c>
      <c r="E422" s="1" t="s">
        <v>69</v>
      </c>
      <c r="F422">
        <v>8</v>
      </c>
      <c r="G422">
        <v>1</v>
      </c>
      <c r="H422" s="1" t="s">
        <v>14</v>
      </c>
      <c r="I422" s="1" t="s">
        <v>15</v>
      </c>
      <c r="J422" s="12">
        <v>45691</v>
      </c>
      <c r="K422">
        <v>0</v>
      </c>
      <c r="L422" s="1">
        <f t="shared" si="24"/>
        <v>8</v>
      </c>
      <c r="M422" s="1" t="str">
        <f t="shared" si="25"/>
        <v/>
      </c>
      <c r="N422" s="2">
        <f t="shared" si="26"/>
        <v>45689</v>
      </c>
      <c r="O422" t="str">
        <f t="shared" si="27"/>
        <v>mačka</v>
      </c>
    </row>
    <row r="423" spans="1:15" x14ac:dyDescent="0.25">
      <c r="A423">
        <v>7937</v>
      </c>
      <c r="B423" s="11">
        <v>4017890123450</v>
      </c>
      <c r="C423" s="1" t="s">
        <v>65</v>
      </c>
      <c r="D423" s="1" t="s">
        <v>39</v>
      </c>
      <c r="E423" s="1" t="s">
        <v>22</v>
      </c>
      <c r="F423">
        <v>7.6</v>
      </c>
      <c r="G423">
        <v>1</v>
      </c>
      <c r="H423" s="1" t="s">
        <v>18</v>
      </c>
      <c r="I423" s="1" t="s">
        <v>125</v>
      </c>
      <c r="J423" s="12">
        <v>45691</v>
      </c>
      <c r="K423">
        <v>0</v>
      </c>
      <c r="L423" s="1">
        <f t="shared" si="24"/>
        <v>7.6</v>
      </c>
      <c r="M423" s="1">
        <f t="shared" si="25"/>
        <v>4</v>
      </c>
      <c r="N423" s="2">
        <f t="shared" si="26"/>
        <v>45689</v>
      </c>
      <c r="O423" t="str">
        <f t="shared" si="27"/>
        <v>pes</v>
      </c>
    </row>
    <row r="424" spans="1:15" x14ac:dyDescent="0.25">
      <c r="A424">
        <v>7938</v>
      </c>
      <c r="B424" s="11">
        <v>4028899001126</v>
      </c>
      <c r="C424" s="1" t="s">
        <v>16</v>
      </c>
      <c r="D424" s="1" t="s">
        <v>12</v>
      </c>
      <c r="E424" s="1" t="s">
        <v>17</v>
      </c>
      <c r="F424">
        <v>2.8</v>
      </c>
      <c r="G424">
        <v>5</v>
      </c>
      <c r="H424" s="1" t="s">
        <v>14</v>
      </c>
      <c r="I424" s="1" t="s">
        <v>15</v>
      </c>
      <c r="J424" s="12">
        <v>45691</v>
      </c>
      <c r="K424">
        <v>0</v>
      </c>
      <c r="L424" s="1">
        <f t="shared" si="24"/>
        <v>14</v>
      </c>
      <c r="M424" s="1" t="str">
        <f t="shared" si="25"/>
        <v/>
      </c>
      <c r="N424" s="2">
        <f t="shared" si="26"/>
        <v>45689</v>
      </c>
      <c r="O424" t="str">
        <f t="shared" si="27"/>
        <v>pes</v>
      </c>
    </row>
    <row r="425" spans="1:15" x14ac:dyDescent="0.25">
      <c r="A425">
        <v>7939</v>
      </c>
      <c r="B425" s="11">
        <v>4013456789017</v>
      </c>
      <c r="C425" s="1" t="s">
        <v>11</v>
      </c>
      <c r="D425" s="1" t="s">
        <v>12</v>
      </c>
      <c r="E425" s="1" t="s">
        <v>13</v>
      </c>
      <c r="F425">
        <v>6</v>
      </c>
      <c r="G425">
        <v>2</v>
      </c>
      <c r="H425" s="1" t="s">
        <v>14</v>
      </c>
      <c r="I425" s="1" t="s">
        <v>15</v>
      </c>
      <c r="J425" s="12">
        <v>45691</v>
      </c>
      <c r="K425">
        <v>0</v>
      </c>
      <c r="L425" s="1">
        <f t="shared" si="24"/>
        <v>12</v>
      </c>
      <c r="M425" s="1" t="str">
        <f t="shared" si="25"/>
        <v/>
      </c>
      <c r="N425" s="2">
        <f t="shared" si="26"/>
        <v>45689</v>
      </c>
      <c r="O425" t="str">
        <f t="shared" si="27"/>
        <v>pes</v>
      </c>
    </row>
    <row r="426" spans="1:15" x14ac:dyDescent="0.25">
      <c r="A426">
        <v>7940</v>
      </c>
      <c r="B426" s="11">
        <v>4040123456795</v>
      </c>
      <c r="C426" s="1" t="s">
        <v>20</v>
      </c>
      <c r="D426" s="1" t="s">
        <v>21</v>
      </c>
      <c r="E426" s="1" t="s">
        <v>22</v>
      </c>
      <c r="F426">
        <v>8.8000000000000007</v>
      </c>
      <c r="G426">
        <v>1</v>
      </c>
      <c r="H426" s="1" t="s">
        <v>14</v>
      </c>
      <c r="I426" s="1" t="s">
        <v>15</v>
      </c>
      <c r="J426" s="12">
        <v>45691</v>
      </c>
      <c r="K426">
        <v>0</v>
      </c>
      <c r="L426" s="1">
        <f t="shared" si="24"/>
        <v>8.8000000000000007</v>
      </c>
      <c r="M426" s="1" t="str">
        <f t="shared" si="25"/>
        <v/>
      </c>
      <c r="N426" s="2">
        <f t="shared" si="26"/>
        <v>45689</v>
      </c>
      <c r="O426" t="str">
        <f t="shared" si="27"/>
        <v>pes</v>
      </c>
    </row>
    <row r="427" spans="1:15" hidden="1" x14ac:dyDescent="0.25">
      <c r="A427">
        <v>7941</v>
      </c>
      <c r="B427" s="11">
        <v>4010123456783</v>
      </c>
      <c r="C427" s="1" t="s">
        <v>35</v>
      </c>
      <c r="D427" s="1" t="s">
        <v>36</v>
      </c>
      <c r="E427" s="1" t="s">
        <v>37</v>
      </c>
      <c r="F427">
        <v>14</v>
      </c>
      <c r="G427">
        <v>1</v>
      </c>
      <c r="H427" s="1" t="s">
        <v>14</v>
      </c>
      <c r="I427" s="1" t="s">
        <v>15</v>
      </c>
      <c r="J427" s="12">
        <v>45691</v>
      </c>
      <c r="K427">
        <v>0</v>
      </c>
      <c r="L427" s="1">
        <f t="shared" si="24"/>
        <v>14</v>
      </c>
      <c r="M427" s="1" t="str">
        <f t="shared" si="25"/>
        <v/>
      </c>
      <c r="N427" s="2">
        <f t="shared" si="26"/>
        <v>45689</v>
      </c>
      <c r="O427" t="str">
        <f t="shared" si="27"/>
        <v>mačka</v>
      </c>
    </row>
    <row r="428" spans="1:15" x14ac:dyDescent="0.25">
      <c r="A428">
        <v>7942</v>
      </c>
      <c r="B428" s="11">
        <v>4063456789014</v>
      </c>
      <c r="C428" s="1" t="s">
        <v>60</v>
      </c>
      <c r="D428" s="1" t="s">
        <v>12</v>
      </c>
      <c r="E428" s="1" t="s">
        <v>61</v>
      </c>
      <c r="F428">
        <v>36</v>
      </c>
      <c r="G428">
        <v>1</v>
      </c>
      <c r="H428" s="1" t="s">
        <v>14</v>
      </c>
      <c r="I428" s="1" t="s">
        <v>15</v>
      </c>
      <c r="J428" s="12">
        <v>45691</v>
      </c>
      <c r="K428">
        <v>0</v>
      </c>
      <c r="L428" s="1">
        <f t="shared" si="24"/>
        <v>36</v>
      </c>
      <c r="M428" s="1" t="str">
        <f t="shared" si="25"/>
        <v/>
      </c>
      <c r="N428" s="2">
        <f t="shared" si="26"/>
        <v>45689</v>
      </c>
      <c r="O428" t="str">
        <f t="shared" si="27"/>
        <v>pes</v>
      </c>
    </row>
    <row r="429" spans="1:15" hidden="1" x14ac:dyDescent="0.25">
      <c r="A429">
        <v>7943</v>
      </c>
      <c r="B429" s="11">
        <v>4021234567894</v>
      </c>
      <c r="C429" s="1" t="s">
        <v>79</v>
      </c>
      <c r="D429" s="1" t="s">
        <v>36</v>
      </c>
      <c r="E429" s="1" t="s">
        <v>69</v>
      </c>
      <c r="F429">
        <v>8</v>
      </c>
      <c r="G429">
        <v>1</v>
      </c>
      <c r="H429" s="1" t="s">
        <v>14</v>
      </c>
      <c r="I429" s="1" t="s">
        <v>15</v>
      </c>
      <c r="J429" s="12">
        <v>45691</v>
      </c>
      <c r="K429">
        <v>0</v>
      </c>
      <c r="L429" s="1">
        <f t="shared" si="24"/>
        <v>8</v>
      </c>
      <c r="M429" s="1" t="str">
        <f t="shared" si="25"/>
        <v/>
      </c>
      <c r="N429" s="2">
        <f t="shared" si="26"/>
        <v>45689</v>
      </c>
      <c r="O429" t="str">
        <f t="shared" si="27"/>
        <v>mačka</v>
      </c>
    </row>
    <row r="430" spans="1:15" x14ac:dyDescent="0.25">
      <c r="A430">
        <v>7944</v>
      </c>
      <c r="B430" s="11">
        <v>4028899001126</v>
      </c>
      <c r="C430" s="1" t="s">
        <v>16</v>
      </c>
      <c r="D430" s="1" t="s">
        <v>12</v>
      </c>
      <c r="E430" s="1" t="s">
        <v>17</v>
      </c>
      <c r="F430">
        <v>2.8</v>
      </c>
      <c r="G430">
        <v>3</v>
      </c>
      <c r="H430" s="1" t="s">
        <v>14</v>
      </c>
      <c r="I430" s="1" t="s">
        <v>15</v>
      </c>
      <c r="J430" s="12">
        <v>45691</v>
      </c>
      <c r="K430">
        <v>0</v>
      </c>
      <c r="L430" s="1">
        <f t="shared" si="24"/>
        <v>8.3999999999999986</v>
      </c>
      <c r="M430" s="1" t="str">
        <f t="shared" si="25"/>
        <v/>
      </c>
      <c r="N430" s="2">
        <f t="shared" si="26"/>
        <v>45689</v>
      </c>
      <c r="O430" t="str">
        <f t="shared" si="27"/>
        <v>pes</v>
      </c>
    </row>
    <row r="431" spans="1:15" x14ac:dyDescent="0.25">
      <c r="A431">
        <v>7945</v>
      </c>
      <c r="B431" s="11">
        <v>4013456789017</v>
      </c>
      <c r="C431" s="1" t="s">
        <v>11</v>
      </c>
      <c r="D431" s="1" t="s">
        <v>12</v>
      </c>
      <c r="E431" s="1" t="s">
        <v>13</v>
      </c>
      <c r="F431">
        <v>6</v>
      </c>
      <c r="G431">
        <v>2</v>
      </c>
      <c r="H431" s="1" t="s">
        <v>14</v>
      </c>
      <c r="I431" s="1" t="s">
        <v>15</v>
      </c>
      <c r="J431" s="12">
        <v>45692</v>
      </c>
      <c r="K431">
        <v>0</v>
      </c>
      <c r="L431" s="1">
        <f t="shared" si="24"/>
        <v>12</v>
      </c>
      <c r="M431" s="1" t="str">
        <f t="shared" si="25"/>
        <v/>
      </c>
      <c r="N431" s="2">
        <f t="shared" si="26"/>
        <v>45689</v>
      </c>
      <c r="O431" t="str">
        <f t="shared" si="27"/>
        <v>pes</v>
      </c>
    </row>
    <row r="432" spans="1:15" x14ac:dyDescent="0.25">
      <c r="A432">
        <v>7946</v>
      </c>
      <c r="B432" s="11">
        <v>4040123456795</v>
      </c>
      <c r="C432" s="1" t="s">
        <v>20</v>
      </c>
      <c r="D432" s="1" t="s">
        <v>21</v>
      </c>
      <c r="E432" s="1" t="s">
        <v>22</v>
      </c>
      <c r="F432">
        <v>8.8000000000000007</v>
      </c>
      <c r="G432">
        <v>1</v>
      </c>
      <c r="H432" s="1" t="s">
        <v>14</v>
      </c>
      <c r="I432" s="1" t="s">
        <v>15</v>
      </c>
      <c r="J432" s="12">
        <v>45692</v>
      </c>
      <c r="K432">
        <v>0</v>
      </c>
      <c r="L432" s="1">
        <f t="shared" si="24"/>
        <v>8.8000000000000007</v>
      </c>
      <c r="M432" s="1" t="str">
        <f t="shared" si="25"/>
        <v/>
      </c>
      <c r="N432" s="2">
        <f t="shared" si="26"/>
        <v>45689</v>
      </c>
      <c r="O432" t="str">
        <f t="shared" si="27"/>
        <v>pes</v>
      </c>
    </row>
    <row r="433" spans="1:15" hidden="1" x14ac:dyDescent="0.25">
      <c r="A433">
        <v>7947</v>
      </c>
      <c r="B433" s="11">
        <v>4010123456783</v>
      </c>
      <c r="C433" s="1" t="s">
        <v>35</v>
      </c>
      <c r="D433" s="1" t="s">
        <v>36</v>
      </c>
      <c r="E433" s="1" t="s">
        <v>37</v>
      </c>
      <c r="F433">
        <v>14</v>
      </c>
      <c r="G433">
        <v>1</v>
      </c>
      <c r="H433" s="1" t="s">
        <v>14</v>
      </c>
      <c r="I433" s="1" t="s">
        <v>15</v>
      </c>
      <c r="J433" s="12">
        <v>45692</v>
      </c>
      <c r="K433">
        <v>0</v>
      </c>
      <c r="L433" s="1">
        <f t="shared" si="24"/>
        <v>14</v>
      </c>
      <c r="M433" s="1" t="str">
        <f t="shared" si="25"/>
        <v/>
      </c>
      <c r="N433" s="2">
        <f t="shared" si="26"/>
        <v>45689</v>
      </c>
      <c r="O433" t="str">
        <f t="shared" si="27"/>
        <v>mačka</v>
      </c>
    </row>
    <row r="434" spans="1:15" x14ac:dyDescent="0.25">
      <c r="A434">
        <v>7948</v>
      </c>
      <c r="B434" s="11">
        <v>4028899001126</v>
      </c>
      <c r="C434" s="1" t="s">
        <v>16</v>
      </c>
      <c r="D434" s="1" t="s">
        <v>12</v>
      </c>
      <c r="E434" s="1" t="s">
        <v>17</v>
      </c>
      <c r="F434">
        <v>2.8</v>
      </c>
      <c r="G434">
        <v>3</v>
      </c>
      <c r="H434" s="1" t="s">
        <v>18</v>
      </c>
      <c r="I434" s="1" t="s">
        <v>126</v>
      </c>
      <c r="J434" s="12">
        <v>45692</v>
      </c>
      <c r="K434">
        <v>0</v>
      </c>
      <c r="L434" s="1">
        <f t="shared" si="24"/>
        <v>8.3999999999999986</v>
      </c>
      <c r="M434" s="1">
        <f t="shared" si="25"/>
        <v>4</v>
      </c>
      <c r="N434" s="2">
        <f t="shared" si="26"/>
        <v>45689</v>
      </c>
      <c r="O434" t="str">
        <f t="shared" si="27"/>
        <v>pes</v>
      </c>
    </row>
    <row r="435" spans="1:15" x14ac:dyDescent="0.25">
      <c r="A435">
        <v>7949</v>
      </c>
      <c r="B435" s="11">
        <v>4013456789017</v>
      </c>
      <c r="C435" s="1" t="s">
        <v>11</v>
      </c>
      <c r="D435" s="1" t="s">
        <v>12</v>
      </c>
      <c r="E435" s="1" t="s">
        <v>13</v>
      </c>
      <c r="F435">
        <v>6</v>
      </c>
      <c r="G435">
        <v>1</v>
      </c>
      <c r="H435" s="1" t="s">
        <v>14</v>
      </c>
      <c r="I435" s="1" t="s">
        <v>15</v>
      </c>
      <c r="J435" s="12">
        <v>45692</v>
      </c>
      <c r="K435">
        <v>0</v>
      </c>
      <c r="L435" s="1">
        <f t="shared" si="24"/>
        <v>6</v>
      </c>
      <c r="M435" s="1" t="str">
        <f t="shared" si="25"/>
        <v/>
      </c>
      <c r="N435" s="2">
        <f t="shared" si="26"/>
        <v>45689</v>
      </c>
      <c r="O435" t="str">
        <f t="shared" si="27"/>
        <v>pes</v>
      </c>
    </row>
    <row r="436" spans="1:15" x14ac:dyDescent="0.25">
      <c r="A436">
        <v>7950</v>
      </c>
      <c r="B436" s="11">
        <v>4063456789014</v>
      </c>
      <c r="C436" s="1" t="s">
        <v>60</v>
      </c>
      <c r="D436" s="1" t="s">
        <v>12</v>
      </c>
      <c r="E436" s="1" t="s">
        <v>61</v>
      </c>
      <c r="F436">
        <v>36</v>
      </c>
      <c r="G436">
        <v>1</v>
      </c>
      <c r="H436" s="1" t="s">
        <v>14</v>
      </c>
      <c r="I436" s="1" t="s">
        <v>15</v>
      </c>
      <c r="J436" s="12">
        <v>45692</v>
      </c>
      <c r="K436">
        <v>0</v>
      </c>
      <c r="L436" s="1">
        <f t="shared" si="24"/>
        <v>36</v>
      </c>
      <c r="M436" s="1" t="str">
        <f t="shared" si="25"/>
        <v/>
      </c>
      <c r="N436" s="2">
        <f t="shared" si="26"/>
        <v>45689</v>
      </c>
      <c r="O436" t="str">
        <f t="shared" si="27"/>
        <v>pes</v>
      </c>
    </row>
    <row r="437" spans="1:15" hidden="1" x14ac:dyDescent="0.25">
      <c r="A437">
        <v>7951</v>
      </c>
      <c r="B437" s="11">
        <v>4056789012345</v>
      </c>
      <c r="C437" s="1" t="s">
        <v>47</v>
      </c>
      <c r="D437" s="1" t="s">
        <v>29</v>
      </c>
      <c r="E437" s="1" t="s">
        <v>37</v>
      </c>
      <c r="F437">
        <v>2.4</v>
      </c>
      <c r="G437">
        <v>2</v>
      </c>
      <c r="H437" s="1" t="s">
        <v>14</v>
      </c>
      <c r="I437" s="1" t="s">
        <v>15</v>
      </c>
      <c r="J437" s="12">
        <v>45692</v>
      </c>
      <c r="K437">
        <v>0</v>
      </c>
      <c r="L437" s="1">
        <f t="shared" si="24"/>
        <v>4.8</v>
      </c>
      <c r="M437" s="1" t="str">
        <f t="shared" si="25"/>
        <v/>
      </c>
      <c r="N437" s="2">
        <f t="shared" si="26"/>
        <v>45689</v>
      </c>
      <c r="O437" t="str">
        <f t="shared" si="27"/>
        <v>mačka</v>
      </c>
    </row>
    <row r="438" spans="1:15" x14ac:dyDescent="0.25">
      <c r="A438">
        <v>7952</v>
      </c>
      <c r="B438" s="11">
        <v>4061011223346</v>
      </c>
      <c r="C438" s="1" t="s">
        <v>25</v>
      </c>
      <c r="D438" s="1" t="s">
        <v>26</v>
      </c>
      <c r="E438" s="1" t="s">
        <v>27</v>
      </c>
      <c r="F438">
        <v>19.600000000000001</v>
      </c>
      <c r="G438">
        <v>1</v>
      </c>
      <c r="H438" s="1" t="s">
        <v>14</v>
      </c>
      <c r="I438" s="1" t="s">
        <v>15</v>
      </c>
      <c r="J438" s="12">
        <v>45692</v>
      </c>
      <c r="K438">
        <v>0</v>
      </c>
      <c r="L438" s="1">
        <f t="shared" si="24"/>
        <v>19.600000000000001</v>
      </c>
      <c r="M438" s="1" t="str">
        <f t="shared" si="25"/>
        <v/>
      </c>
      <c r="N438" s="2">
        <f t="shared" si="26"/>
        <v>45689</v>
      </c>
      <c r="O438" t="str">
        <f t="shared" si="27"/>
        <v>pes</v>
      </c>
    </row>
    <row r="439" spans="1:15" hidden="1" x14ac:dyDescent="0.25">
      <c r="A439">
        <v>7953</v>
      </c>
      <c r="B439" s="11">
        <v>4021234567894</v>
      </c>
      <c r="C439" s="1" t="s">
        <v>79</v>
      </c>
      <c r="D439" s="1" t="s">
        <v>36</v>
      </c>
      <c r="E439" s="1" t="s">
        <v>69</v>
      </c>
      <c r="F439">
        <v>8</v>
      </c>
      <c r="G439">
        <v>1</v>
      </c>
      <c r="H439" s="1" t="s">
        <v>14</v>
      </c>
      <c r="I439" s="1" t="s">
        <v>15</v>
      </c>
      <c r="J439" s="12">
        <v>45692</v>
      </c>
      <c r="K439">
        <v>0</v>
      </c>
      <c r="L439" s="1">
        <f t="shared" si="24"/>
        <v>8</v>
      </c>
      <c r="M439" s="1" t="str">
        <f t="shared" si="25"/>
        <v/>
      </c>
      <c r="N439" s="2">
        <f t="shared" si="26"/>
        <v>45689</v>
      </c>
      <c r="O439" t="str">
        <f t="shared" si="27"/>
        <v>mačka</v>
      </c>
    </row>
    <row r="440" spans="1:15" hidden="1" x14ac:dyDescent="0.25">
      <c r="A440">
        <v>7954</v>
      </c>
      <c r="B440" s="11">
        <v>4026677889902</v>
      </c>
      <c r="C440" s="1" t="s">
        <v>52</v>
      </c>
      <c r="D440" s="1" t="s">
        <v>53</v>
      </c>
      <c r="E440" s="1" t="s">
        <v>54</v>
      </c>
      <c r="F440">
        <v>7.6</v>
      </c>
      <c r="G440">
        <v>1</v>
      </c>
      <c r="H440" s="1" t="s">
        <v>14</v>
      </c>
      <c r="I440" s="1" t="s">
        <v>15</v>
      </c>
      <c r="J440" s="12">
        <v>45692</v>
      </c>
      <c r="K440">
        <v>0</v>
      </c>
      <c r="L440" s="1">
        <f t="shared" si="24"/>
        <v>7.6</v>
      </c>
      <c r="M440" s="1" t="str">
        <f t="shared" si="25"/>
        <v/>
      </c>
      <c r="N440" s="2">
        <f t="shared" si="26"/>
        <v>45689</v>
      </c>
      <c r="O440" t="str">
        <f t="shared" si="27"/>
        <v>iné</v>
      </c>
    </row>
    <row r="441" spans="1:15" x14ac:dyDescent="0.25">
      <c r="A441">
        <v>7955</v>
      </c>
      <c r="B441" s="11">
        <v>4028899001126</v>
      </c>
      <c r="C441" s="1" t="s">
        <v>16</v>
      </c>
      <c r="D441" s="1" t="s">
        <v>12</v>
      </c>
      <c r="E441" s="1" t="s">
        <v>17</v>
      </c>
      <c r="F441">
        <v>2.8</v>
      </c>
      <c r="G441">
        <v>4</v>
      </c>
      <c r="H441" s="1" t="s">
        <v>14</v>
      </c>
      <c r="I441" s="1" t="s">
        <v>15</v>
      </c>
      <c r="J441" s="12">
        <v>45693</v>
      </c>
      <c r="K441">
        <v>0</v>
      </c>
      <c r="L441" s="1">
        <f t="shared" si="24"/>
        <v>11.2</v>
      </c>
      <c r="M441" s="1" t="str">
        <f t="shared" si="25"/>
        <v/>
      </c>
      <c r="N441" s="2">
        <f t="shared" si="26"/>
        <v>45689</v>
      </c>
      <c r="O441" t="str">
        <f t="shared" si="27"/>
        <v>pes</v>
      </c>
    </row>
    <row r="442" spans="1:15" x14ac:dyDescent="0.25">
      <c r="A442">
        <v>7956</v>
      </c>
      <c r="B442" s="11">
        <v>4013456789017</v>
      </c>
      <c r="C442" s="1" t="s">
        <v>11</v>
      </c>
      <c r="D442" s="1" t="s">
        <v>12</v>
      </c>
      <c r="E442" s="1" t="s">
        <v>13</v>
      </c>
      <c r="F442">
        <v>6</v>
      </c>
      <c r="G442">
        <v>1</v>
      </c>
      <c r="H442" s="1" t="s">
        <v>14</v>
      </c>
      <c r="I442" s="1" t="s">
        <v>15</v>
      </c>
      <c r="J442" s="12">
        <v>45693</v>
      </c>
      <c r="K442">
        <v>0</v>
      </c>
      <c r="L442" s="1">
        <f t="shared" si="24"/>
        <v>6</v>
      </c>
      <c r="M442" s="1" t="str">
        <f t="shared" si="25"/>
        <v/>
      </c>
      <c r="N442" s="2">
        <f t="shared" si="26"/>
        <v>45689</v>
      </c>
      <c r="O442" t="str">
        <f t="shared" si="27"/>
        <v>pes</v>
      </c>
    </row>
    <row r="443" spans="1:15" x14ac:dyDescent="0.25">
      <c r="A443">
        <v>7957</v>
      </c>
      <c r="B443" s="11">
        <v>4040123456795</v>
      </c>
      <c r="C443" s="1" t="s">
        <v>20</v>
      </c>
      <c r="D443" s="1" t="s">
        <v>21</v>
      </c>
      <c r="E443" s="1" t="s">
        <v>22</v>
      </c>
      <c r="F443">
        <v>8.8000000000000007</v>
      </c>
      <c r="G443">
        <v>1</v>
      </c>
      <c r="H443" s="1" t="s">
        <v>14</v>
      </c>
      <c r="I443" s="1" t="s">
        <v>15</v>
      </c>
      <c r="J443" s="12">
        <v>45693</v>
      </c>
      <c r="K443">
        <v>0</v>
      </c>
      <c r="L443" s="1">
        <f t="shared" si="24"/>
        <v>8.8000000000000007</v>
      </c>
      <c r="M443" s="1" t="str">
        <f t="shared" si="25"/>
        <v/>
      </c>
      <c r="N443" s="2">
        <f t="shared" si="26"/>
        <v>45689</v>
      </c>
      <c r="O443" t="str">
        <f t="shared" si="27"/>
        <v>pes</v>
      </c>
    </row>
    <row r="444" spans="1:15" hidden="1" x14ac:dyDescent="0.25">
      <c r="A444">
        <v>7958</v>
      </c>
      <c r="B444" s="11">
        <v>4010123456783</v>
      </c>
      <c r="C444" s="1" t="s">
        <v>35</v>
      </c>
      <c r="D444" s="1" t="s">
        <v>36</v>
      </c>
      <c r="E444" s="1" t="s">
        <v>37</v>
      </c>
      <c r="F444">
        <v>14</v>
      </c>
      <c r="G444">
        <v>1</v>
      </c>
      <c r="H444" s="1" t="s">
        <v>33</v>
      </c>
      <c r="I444" s="1" t="s">
        <v>14</v>
      </c>
      <c r="J444" s="12">
        <v>45693</v>
      </c>
      <c r="K444">
        <v>0</v>
      </c>
      <c r="L444" s="1">
        <f t="shared" si="24"/>
        <v>14</v>
      </c>
      <c r="M444" s="1">
        <f t="shared" si="25"/>
        <v>3</v>
      </c>
      <c r="N444" s="2">
        <f t="shared" si="26"/>
        <v>45689</v>
      </c>
      <c r="O444" t="str">
        <f t="shared" si="27"/>
        <v>mačka</v>
      </c>
    </row>
    <row r="445" spans="1:15" x14ac:dyDescent="0.25">
      <c r="A445">
        <v>7959</v>
      </c>
      <c r="B445" s="11">
        <v>4063456789014</v>
      </c>
      <c r="C445" s="1" t="s">
        <v>60</v>
      </c>
      <c r="D445" s="1" t="s">
        <v>12</v>
      </c>
      <c r="E445" s="1" t="s">
        <v>61</v>
      </c>
      <c r="F445">
        <v>36</v>
      </c>
      <c r="G445">
        <v>1</v>
      </c>
      <c r="H445" s="1" t="s">
        <v>14</v>
      </c>
      <c r="I445" s="1" t="s">
        <v>15</v>
      </c>
      <c r="J445" s="12">
        <v>45693</v>
      </c>
      <c r="K445">
        <v>0</v>
      </c>
      <c r="L445" s="1">
        <f t="shared" si="24"/>
        <v>36</v>
      </c>
      <c r="M445" s="1" t="str">
        <f t="shared" si="25"/>
        <v/>
      </c>
      <c r="N445" s="2">
        <f t="shared" si="26"/>
        <v>45689</v>
      </c>
      <c r="O445" t="str">
        <f t="shared" si="27"/>
        <v>pes</v>
      </c>
    </row>
    <row r="446" spans="1:15" hidden="1" x14ac:dyDescent="0.25">
      <c r="A446">
        <v>7960</v>
      </c>
      <c r="B446" s="11">
        <v>4021234567894</v>
      </c>
      <c r="C446" s="1" t="s">
        <v>79</v>
      </c>
      <c r="D446" s="1" t="s">
        <v>36</v>
      </c>
      <c r="E446" s="1" t="s">
        <v>69</v>
      </c>
      <c r="F446">
        <v>8</v>
      </c>
      <c r="G446">
        <v>1</v>
      </c>
      <c r="H446" s="1" t="s">
        <v>14</v>
      </c>
      <c r="I446" s="1" t="s">
        <v>15</v>
      </c>
      <c r="J446" s="12">
        <v>45693</v>
      </c>
      <c r="K446">
        <v>0</v>
      </c>
      <c r="L446" s="1">
        <f t="shared" si="24"/>
        <v>8</v>
      </c>
      <c r="M446" s="1" t="str">
        <f t="shared" si="25"/>
        <v/>
      </c>
      <c r="N446" s="2">
        <f t="shared" si="26"/>
        <v>45689</v>
      </c>
      <c r="O446" t="str">
        <f t="shared" si="27"/>
        <v>mačka</v>
      </c>
    </row>
    <row r="447" spans="1:15" x14ac:dyDescent="0.25">
      <c r="A447">
        <v>7961</v>
      </c>
      <c r="B447" s="11">
        <v>4017890123450</v>
      </c>
      <c r="C447" s="1" t="s">
        <v>65</v>
      </c>
      <c r="D447" s="1" t="s">
        <v>39</v>
      </c>
      <c r="E447" s="1" t="s">
        <v>22</v>
      </c>
      <c r="F447">
        <v>7.6</v>
      </c>
      <c r="G447">
        <v>1</v>
      </c>
      <c r="H447" s="1" t="s">
        <v>18</v>
      </c>
      <c r="I447" s="1" t="s">
        <v>127</v>
      </c>
      <c r="J447" s="12">
        <v>45693</v>
      </c>
      <c r="K447">
        <v>0</v>
      </c>
      <c r="L447" s="1">
        <f t="shared" si="24"/>
        <v>7.6</v>
      </c>
      <c r="M447" s="1">
        <f t="shared" si="25"/>
        <v>4</v>
      </c>
      <c r="N447" s="2">
        <f t="shared" si="26"/>
        <v>45689</v>
      </c>
      <c r="O447" t="str">
        <f t="shared" si="27"/>
        <v>pes</v>
      </c>
    </row>
    <row r="448" spans="1:15" x14ac:dyDescent="0.25">
      <c r="A448">
        <v>7962</v>
      </c>
      <c r="B448" s="11">
        <v>4028899001126</v>
      </c>
      <c r="C448" s="1" t="s">
        <v>16</v>
      </c>
      <c r="D448" s="1" t="s">
        <v>12</v>
      </c>
      <c r="E448" s="1" t="s">
        <v>17</v>
      </c>
      <c r="F448">
        <v>2.8</v>
      </c>
      <c r="G448">
        <v>4</v>
      </c>
      <c r="H448" s="1" t="s">
        <v>14</v>
      </c>
      <c r="I448" s="1" t="s">
        <v>15</v>
      </c>
      <c r="J448" s="12">
        <v>45693</v>
      </c>
      <c r="K448">
        <v>0</v>
      </c>
      <c r="L448" s="1">
        <f t="shared" si="24"/>
        <v>11.2</v>
      </c>
      <c r="M448" s="1" t="str">
        <f t="shared" si="25"/>
        <v/>
      </c>
      <c r="N448" s="2">
        <f t="shared" si="26"/>
        <v>45689</v>
      </c>
      <c r="O448" t="str">
        <f t="shared" si="27"/>
        <v>pes</v>
      </c>
    </row>
    <row r="449" spans="1:15" x14ac:dyDescent="0.25">
      <c r="A449">
        <v>7963</v>
      </c>
      <c r="B449" s="11">
        <v>4013456789017</v>
      </c>
      <c r="C449" s="1" t="s">
        <v>11</v>
      </c>
      <c r="D449" s="1" t="s">
        <v>12</v>
      </c>
      <c r="E449" s="1" t="s">
        <v>13</v>
      </c>
      <c r="F449">
        <v>6</v>
      </c>
      <c r="G449">
        <v>2</v>
      </c>
      <c r="H449" s="1" t="s">
        <v>14</v>
      </c>
      <c r="I449" s="1" t="s">
        <v>15</v>
      </c>
      <c r="J449" s="12">
        <v>45693</v>
      </c>
      <c r="K449">
        <v>0</v>
      </c>
      <c r="L449" s="1">
        <f t="shared" si="24"/>
        <v>12</v>
      </c>
      <c r="M449" s="1" t="str">
        <f t="shared" si="25"/>
        <v/>
      </c>
      <c r="N449" s="2">
        <f t="shared" si="26"/>
        <v>45689</v>
      </c>
      <c r="O449" t="str">
        <f t="shared" si="27"/>
        <v>pes</v>
      </c>
    </row>
    <row r="450" spans="1:15" x14ac:dyDescent="0.25">
      <c r="A450">
        <v>7964</v>
      </c>
      <c r="B450" s="11">
        <v>4040123456795</v>
      </c>
      <c r="C450" s="1" t="s">
        <v>20</v>
      </c>
      <c r="D450" s="1" t="s">
        <v>21</v>
      </c>
      <c r="E450" s="1" t="s">
        <v>22</v>
      </c>
      <c r="F450">
        <v>8.8000000000000007</v>
      </c>
      <c r="G450">
        <v>1</v>
      </c>
      <c r="H450" s="1" t="s">
        <v>14</v>
      </c>
      <c r="I450" s="1" t="s">
        <v>15</v>
      </c>
      <c r="J450" s="12">
        <v>45693</v>
      </c>
      <c r="K450">
        <v>0</v>
      </c>
      <c r="L450" s="1">
        <f t="shared" ref="L450:L513" si="28">F450*G450</f>
        <v>8.8000000000000007</v>
      </c>
      <c r="M450" s="1" t="str">
        <f t="shared" ref="M450:M513" si="29">IF(H450="NULL", "",VALUE(H450))</f>
        <v/>
      </c>
      <c r="N450" s="2">
        <f t="shared" ref="N450:N513" si="30">DATE(YEAR(J450),MONTH(J450),1)</f>
        <v>45689</v>
      </c>
      <c r="O450" t="str">
        <f t="shared" ref="O450:O513" si="31">IF(ISNUMBER(SEARCH("Mačky",D450)),"mačka",IF(ISNUMBER(SEARCH("Psy",D450)),"pes","iné"))</f>
        <v>pes</v>
      </c>
    </row>
    <row r="451" spans="1:15" hidden="1" x14ac:dyDescent="0.25">
      <c r="A451">
        <v>7965</v>
      </c>
      <c r="B451" s="11">
        <v>4010123456783</v>
      </c>
      <c r="C451" s="1" t="s">
        <v>35</v>
      </c>
      <c r="D451" s="1" t="s">
        <v>36</v>
      </c>
      <c r="E451" s="1" t="s">
        <v>37</v>
      </c>
      <c r="F451">
        <v>14</v>
      </c>
      <c r="G451">
        <v>2</v>
      </c>
      <c r="H451" s="1" t="s">
        <v>14</v>
      </c>
      <c r="I451" s="1" t="s">
        <v>15</v>
      </c>
      <c r="J451" s="12">
        <v>45693</v>
      </c>
      <c r="K451">
        <v>0</v>
      </c>
      <c r="L451" s="1">
        <f t="shared" si="28"/>
        <v>28</v>
      </c>
      <c r="M451" s="1" t="str">
        <f t="shared" si="29"/>
        <v/>
      </c>
      <c r="N451" s="2">
        <f t="shared" si="30"/>
        <v>45689</v>
      </c>
      <c r="O451" t="str">
        <f t="shared" si="31"/>
        <v>mačka</v>
      </c>
    </row>
    <row r="452" spans="1:15" hidden="1" x14ac:dyDescent="0.25">
      <c r="A452">
        <v>7966</v>
      </c>
      <c r="B452" s="11">
        <v>4056789012345</v>
      </c>
      <c r="C452" s="1" t="s">
        <v>47</v>
      </c>
      <c r="D452" s="1" t="s">
        <v>29</v>
      </c>
      <c r="E452" s="1" t="s">
        <v>37</v>
      </c>
      <c r="F452">
        <v>2.4</v>
      </c>
      <c r="G452">
        <v>2</v>
      </c>
      <c r="H452" s="1" t="s">
        <v>14</v>
      </c>
      <c r="I452" s="1" t="s">
        <v>15</v>
      </c>
      <c r="J452" s="12">
        <v>45693</v>
      </c>
      <c r="K452">
        <v>0</v>
      </c>
      <c r="L452" s="1">
        <f t="shared" si="28"/>
        <v>4.8</v>
      </c>
      <c r="M452" s="1" t="str">
        <f t="shared" si="29"/>
        <v/>
      </c>
      <c r="N452" s="2">
        <f t="shared" si="30"/>
        <v>45689</v>
      </c>
      <c r="O452" t="str">
        <f t="shared" si="31"/>
        <v>mačka</v>
      </c>
    </row>
    <row r="453" spans="1:15" x14ac:dyDescent="0.25">
      <c r="A453">
        <v>7967</v>
      </c>
      <c r="B453" s="11">
        <v>4063456789014</v>
      </c>
      <c r="C453" s="1" t="s">
        <v>60</v>
      </c>
      <c r="D453" s="1" t="s">
        <v>12</v>
      </c>
      <c r="E453" s="1" t="s">
        <v>61</v>
      </c>
      <c r="F453">
        <v>36</v>
      </c>
      <c r="G453">
        <v>1</v>
      </c>
      <c r="H453" s="1" t="s">
        <v>14</v>
      </c>
      <c r="I453" s="1" t="s">
        <v>15</v>
      </c>
      <c r="J453" s="12">
        <v>45693</v>
      </c>
      <c r="K453">
        <v>0</v>
      </c>
      <c r="L453" s="1">
        <f t="shared" si="28"/>
        <v>36</v>
      </c>
      <c r="M453" s="1" t="str">
        <f t="shared" si="29"/>
        <v/>
      </c>
      <c r="N453" s="2">
        <f t="shared" si="30"/>
        <v>45689</v>
      </c>
      <c r="O453" t="str">
        <f t="shared" si="31"/>
        <v>pes</v>
      </c>
    </row>
    <row r="454" spans="1:15" x14ac:dyDescent="0.25">
      <c r="A454">
        <v>7968</v>
      </c>
      <c r="B454" s="11">
        <v>4028899001126</v>
      </c>
      <c r="C454" s="1" t="s">
        <v>16</v>
      </c>
      <c r="D454" s="1" t="s">
        <v>12</v>
      </c>
      <c r="E454" s="1" t="s">
        <v>17</v>
      </c>
      <c r="F454">
        <v>2.8</v>
      </c>
      <c r="G454">
        <v>5</v>
      </c>
      <c r="H454" s="1" t="s">
        <v>14</v>
      </c>
      <c r="I454" s="1" t="s">
        <v>15</v>
      </c>
      <c r="J454" s="12">
        <v>45694</v>
      </c>
      <c r="K454">
        <v>0</v>
      </c>
      <c r="L454" s="1">
        <f t="shared" si="28"/>
        <v>14</v>
      </c>
      <c r="M454" s="1" t="str">
        <f t="shared" si="29"/>
        <v/>
      </c>
      <c r="N454" s="2">
        <f t="shared" si="30"/>
        <v>45689</v>
      </c>
      <c r="O454" t="str">
        <f t="shared" si="31"/>
        <v>pes</v>
      </c>
    </row>
    <row r="455" spans="1:15" x14ac:dyDescent="0.25">
      <c r="A455">
        <v>7969</v>
      </c>
      <c r="B455" s="11">
        <v>4013456789017</v>
      </c>
      <c r="C455" s="1" t="s">
        <v>11</v>
      </c>
      <c r="D455" s="1" t="s">
        <v>12</v>
      </c>
      <c r="E455" s="1" t="s">
        <v>13</v>
      </c>
      <c r="F455">
        <v>6</v>
      </c>
      <c r="G455">
        <v>1</v>
      </c>
      <c r="H455" s="1" t="s">
        <v>14</v>
      </c>
      <c r="I455" s="1" t="s">
        <v>15</v>
      </c>
      <c r="J455" s="12">
        <v>45694</v>
      </c>
      <c r="K455">
        <v>0</v>
      </c>
      <c r="L455" s="1">
        <f t="shared" si="28"/>
        <v>6</v>
      </c>
      <c r="M455" s="1" t="str">
        <f t="shared" si="29"/>
        <v/>
      </c>
      <c r="N455" s="2">
        <f t="shared" si="30"/>
        <v>45689</v>
      </c>
      <c r="O455" t="str">
        <f t="shared" si="31"/>
        <v>pes</v>
      </c>
    </row>
    <row r="456" spans="1:15" x14ac:dyDescent="0.25">
      <c r="A456">
        <v>7970</v>
      </c>
      <c r="B456" s="11">
        <v>4040123456795</v>
      </c>
      <c r="C456" s="1" t="s">
        <v>20</v>
      </c>
      <c r="D456" s="1" t="s">
        <v>21</v>
      </c>
      <c r="E456" s="1" t="s">
        <v>22</v>
      </c>
      <c r="F456">
        <v>8.8000000000000007</v>
      </c>
      <c r="G456">
        <v>1</v>
      </c>
      <c r="H456" s="1" t="s">
        <v>18</v>
      </c>
      <c r="I456" s="1" t="s">
        <v>128</v>
      </c>
      <c r="J456" s="12">
        <v>45694</v>
      </c>
      <c r="K456">
        <v>0</v>
      </c>
      <c r="L456" s="1">
        <f t="shared" si="28"/>
        <v>8.8000000000000007</v>
      </c>
      <c r="M456" s="1">
        <f t="shared" si="29"/>
        <v>4</v>
      </c>
      <c r="N456" s="2">
        <f t="shared" si="30"/>
        <v>45689</v>
      </c>
      <c r="O456" t="str">
        <f t="shared" si="31"/>
        <v>pes</v>
      </c>
    </row>
    <row r="457" spans="1:15" hidden="1" x14ac:dyDescent="0.25">
      <c r="A457">
        <v>7971</v>
      </c>
      <c r="B457" s="11">
        <v>4010123456783</v>
      </c>
      <c r="C457" s="1" t="s">
        <v>35</v>
      </c>
      <c r="D457" s="1" t="s">
        <v>36</v>
      </c>
      <c r="E457" s="1" t="s">
        <v>37</v>
      </c>
      <c r="F457">
        <v>14</v>
      </c>
      <c r="G457">
        <v>1</v>
      </c>
      <c r="H457" s="1" t="s">
        <v>14</v>
      </c>
      <c r="I457" s="1" t="s">
        <v>15</v>
      </c>
      <c r="J457" s="12">
        <v>45694</v>
      </c>
      <c r="K457">
        <v>0</v>
      </c>
      <c r="L457" s="1">
        <f t="shared" si="28"/>
        <v>14</v>
      </c>
      <c r="M457" s="1" t="str">
        <f t="shared" si="29"/>
        <v/>
      </c>
      <c r="N457" s="2">
        <f t="shared" si="30"/>
        <v>45689</v>
      </c>
      <c r="O457" t="str">
        <f t="shared" si="31"/>
        <v>mačka</v>
      </c>
    </row>
    <row r="458" spans="1:15" hidden="1" x14ac:dyDescent="0.25">
      <c r="A458">
        <v>7972</v>
      </c>
      <c r="B458" s="11">
        <v>4056789012345</v>
      </c>
      <c r="C458" s="1" t="s">
        <v>47</v>
      </c>
      <c r="D458" s="1" t="s">
        <v>29</v>
      </c>
      <c r="E458" s="1" t="s">
        <v>37</v>
      </c>
      <c r="F458">
        <v>2.4</v>
      </c>
      <c r="G458">
        <v>2</v>
      </c>
      <c r="H458" s="1" t="s">
        <v>14</v>
      </c>
      <c r="I458" s="1" t="s">
        <v>15</v>
      </c>
      <c r="J458" s="12">
        <v>45694</v>
      </c>
      <c r="K458">
        <v>0</v>
      </c>
      <c r="L458" s="1">
        <f t="shared" si="28"/>
        <v>4.8</v>
      </c>
      <c r="M458" s="1" t="str">
        <f t="shared" si="29"/>
        <v/>
      </c>
      <c r="N458" s="2">
        <f t="shared" si="30"/>
        <v>45689</v>
      </c>
      <c r="O458" t="str">
        <f t="shared" si="31"/>
        <v>mačka</v>
      </c>
    </row>
    <row r="459" spans="1:15" x14ac:dyDescent="0.25">
      <c r="A459">
        <v>7973</v>
      </c>
      <c r="B459" s="11">
        <v>4063456789014</v>
      </c>
      <c r="C459" s="1" t="s">
        <v>60</v>
      </c>
      <c r="D459" s="1" t="s">
        <v>12</v>
      </c>
      <c r="E459" s="1" t="s">
        <v>61</v>
      </c>
      <c r="F459">
        <v>36</v>
      </c>
      <c r="G459">
        <v>1</v>
      </c>
      <c r="H459" s="1" t="s">
        <v>14</v>
      </c>
      <c r="I459" s="1" t="s">
        <v>15</v>
      </c>
      <c r="J459" s="12">
        <v>45694</v>
      </c>
      <c r="K459">
        <v>0</v>
      </c>
      <c r="L459" s="1">
        <f t="shared" si="28"/>
        <v>36</v>
      </c>
      <c r="M459" s="1" t="str">
        <f t="shared" si="29"/>
        <v/>
      </c>
      <c r="N459" s="2">
        <f t="shared" si="30"/>
        <v>45689</v>
      </c>
      <c r="O459" t="str">
        <f t="shared" si="31"/>
        <v>pes</v>
      </c>
    </row>
    <row r="460" spans="1:15" hidden="1" x14ac:dyDescent="0.25">
      <c r="A460">
        <v>7974</v>
      </c>
      <c r="B460" s="11">
        <v>4021234567894</v>
      </c>
      <c r="C460" s="1" t="s">
        <v>79</v>
      </c>
      <c r="D460" s="1" t="s">
        <v>36</v>
      </c>
      <c r="E460" s="1" t="s">
        <v>69</v>
      </c>
      <c r="F460">
        <v>8</v>
      </c>
      <c r="G460">
        <v>1</v>
      </c>
      <c r="H460" s="1" t="s">
        <v>14</v>
      </c>
      <c r="I460" s="1" t="s">
        <v>15</v>
      </c>
      <c r="J460" s="12">
        <v>45694</v>
      </c>
      <c r="K460">
        <v>0</v>
      </c>
      <c r="L460" s="1">
        <f t="shared" si="28"/>
        <v>8</v>
      </c>
      <c r="M460" s="1" t="str">
        <f t="shared" si="29"/>
        <v/>
      </c>
      <c r="N460" s="2">
        <f t="shared" si="30"/>
        <v>45689</v>
      </c>
      <c r="O460" t="str">
        <f t="shared" si="31"/>
        <v>mačka</v>
      </c>
    </row>
    <row r="461" spans="1:15" x14ac:dyDescent="0.25">
      <c r="A461">
        <v>7975</v>
      </c>
      <c r="B461" s="11">
        <v>4061011223346</v>
      </c>
      <c r="C461" s="1" t="s">
        <v>25</v>
      </c>
      <c r="D461" s="1" t="s">
        <v>26</v>
      </c>
      <c r="E461" s="1" t="s">
        <v>27</v>
      </c>
      <c r="F461">
        <v>19.600000000000001</v>
      </c>
      <c r="G461">
        <v>1</v>
      </c>
      <c r="H461" s="1" t="s">
        <v>14</v>
      </c>
      <c r="I461" s="1" t="s">
        <v>15</v>
      </c>
      <c r="J461" s="12">
        <v>45694</v>
      </c>
      <c r="K461">
        <v>0</v>
      </c>
      <c r="L461" s="1">
        <f t="shared" si="28"/>
        <v>19.600000000000001</v>
      </c>
      <c r="M461" s="1" t="str">
        <f t="shared" si="29"/>
        <v/>
      </c>
      <c r="N461" s="2">
        <f t="shared" si="30"/>
        <v>45689</v>
      </c>
      <c r="O461" t="str">
        <f t="shared" si="31"/>
        <v>pes</v>
      </c>
    </row>
    <row r="462" spans="1:15" hidden="1" x14ac:dyDescent="0.25">
      <c r="A462">
        <v>7976</v>
      </c>
      <c r="B462" s="11">
        <v>4026677889902</v>
      </c>
      <c r="C462" s="1" t="s">
        <v>52</v>
      </c>
      <c r="D462" s="1" t="s">
        <v>53</v>
      </c>
      <c r="E462" s="1" t="s">
        <v>54</v>
      </c>
      <c r="F462">
        <v>7.6</v>
      </c>
      <c r="G462">
        <v>1</v>
      </c>
      <c r="H462" s="1" t="s">
        <v>14</v>
      </c>
      <c r="I462" s="1" t="s">
        <v>15</v>
      </c>
      <c r="J462" s="12">
        <v>45694</v>
      </c>
      <c r="K462">
        <v>0</v>
      </c>
      <c r="L462" s="1">
        <f t="shared" si="28"/>
        <v>7.6</v>
      </c>
      <c r="M462" s="1" t="str">
        <f t="shared" si="29"/>
        <v/>
      </c>
      <c r="N462" s="2">
        <f t="shared" si="30"/>
        <v>45689</v>
      </c>
      <c r="O462" t="str">
        <f t="shared" si="31"/>
        <v>iné</v>
      </c>
    </row>
    <row r="463" spans="1:15" x14ac:dyDescent="0.25">
      <c r="A463">
        <v>7977</v>
      </c>
      <c r="B463" s="11">
        <v>4028899001126</v>
      </c>
      <c r="C463" s="1" t="s">
        <v>16</v>
      </c>
      <c r="D463" s="1" t="s">
        <v>12</v>
      </c>
      <c r="E463" s="1" t="s">
        <v>17</v>
      </c>
      <c r="F463">
        <v>2.8</v>
      </c>
      <c r="G463">
        <v>3</v>
      </c>
      <c r="H463" s="1" t="s">
        <v>14</v>
      </c>
      <c r="I463" s="1" t="s">
        <v>15</v>
      </c>
      <c r="J463" s="12">
        <v>45694</v>
      </c>
      <c r="K463">
        <v>0</v>
      </c>
      <c r="L463" s="1">
        <f t="shared" si="28"/>
        <v>8.3999999999999986</v>
      </c>
      <c r="M463" s="1" t="str">
        <f t="shared" si="29"/>
        <v/>
      </c>
      <c r="N463" s="2">
        <f t="shared" si="30"/>
        <v>45689</v>
      </c>
      <c r="O463" t="str">
        <f t="shared" si="31"/>
        <v>pes</v>
      </c>
    </row>
    <row r="464" spans="1:15" x14ac:dyDescent="0.25">
      <c r="A464">
        <v>7978</v>
      </c>
      <c r="B464" s="11">
        <v>4013456789017</v>
      </c>
      <c r="C464" s="1" t="s">
        <v>11</v>
      </c>
      <c r="D464" s="1" t="s">
        <v>12</v>
      </c>
      <c r="E464" s="1" t="s">
        <v>13</v>
      </c>
      <c r="F464">
        <v>6</v>
      </c>
      <c r="G464">
        <v>2</v>
      </c>
      <c r="H464" s="1" t="s">
        <v>14</v>
      </c>
      <c r="I464" s="1" t="s">
        <v>15</v>
      </c>
      <c r="J464" s="12">
        <v>45694</v>
      </c>
      <c r="K464">
        <v>0</v>
      </c>
      <c r="L464" s="1">
        <f t="shared" si="28"/>
        <v>12</v>
      </c>
      <c r="M464" s="1" t="str">
        <f t="shared" si="29"/>
        <v/>
      </c>
      <c r="N464" s="2">
        <f t="shared" si="30"/>
        <v>45689</v>
      </c>
      <c r="O464" t="str">
        <f t="shared" si="31"/>
        <v>pes</v>
      </c>
    </row>
    <row r="465" spans="1:15" x14ac:dyDescent="0.25">
      <c r="A465">
        <v>7979</v>
      </c>
      <c r="B465" s="11">
        <v>4040123456795</v>
      </c>
      <c r="C465" s="1" t="s">
        <v>20</v>
      </c>
      <c r="D465" s="1" t="s">
        <v>21</v>
      </c>
      <c r="E465" s="1" t="s">
        <v>22</v>
      </c>
      <c r="F465">
        <v>8.8000000000000007</v>
      </c>
      <c r="G465">
        <v>1</v>
      </c>
      <c r="H465" s="1" t="s">
        <v>14</v>
      </c>
      <c r="I465" s="1" t="s">
        <v>15</v>
      </c>
      <c r="J465" s="12">
        <v>45694</v>
      </c>
      <c r="K465">
        <v>0</v>
      </c>
      <c r="L465" s="1">
        <f t="shared" si="28"/>
        <v>8.8000000000000007</v>
      </c>
      <c r="M465" s="1" t="str">
        <f t="shared" si="29"/>
        <v/>
      </c>
      <c r="N465" s="2">
        <f t="shared" si="30"/>
        <v>45689</v>
      </c>
      <c r="O465" t="str">
        <f t="shared" si="31"/>
        <v>pes</v>
      </c>
    </row>
    <row r="466" spans="1:15" hidden="1" x14ac:dyDescent="0.25">
      <c r="A466">
        <v>7980</v>
      </c>
      <c r="B466" s="11">
        <v>4010123456783</v>
      </c>
      <c r="C466" s="1" t="s">
        <v>35</v>
      </c>
      <c r="D466" s="1" t="s">
        <v>36</v>
      </c>
      <c r="E466" s="1" t="s">
        <v>37</v>
      </c>
      <c r="F466">
        <v>14</v>
      </c>
      <c r="G466">
        <v>1</v>
      </c>
      <c r="H466" s="1" t="s">
        <v>14</v>
      </c>
      <c r="I466" s="1" t="s">
        <v>15</v>
      </c>
      <c r="J466" s="12">
        <v>45694</v>
      </c>
      <c r="K466">
        <v>0</v>
      </c>
      <c r="L466" s="1">
        <f t="shared" si="28"/>
        <v>14</v>
      </c>
      <c r="M466" s="1" t="str">
        <f t="shared" si="29"/>
        <v/>
      </c>
      <c r="N466" s="2">
        <f t="shared" si="30"/>
        <v>45689</v>
      </c>
      <c r="O466" t="str">
        <f t="shared" si="31"/>
        <v>mačka</v>
      </c>
    </row>
    <row r="467" spans="1:15" x14ac:dyDescent="0.25">
      <c r="A467">
        <v>7981</v>
      </c>
      <c r="B467" s="11">
        <v>4063456789014</v>
      </c>
      <c r="C467" s="1" t="s">
        <v>60</v>
      </c>
      <c r="D467" s="1" t="s">
        <v>12</v>
      </c>
      <c r="E467" s="1" t="s">
        <v>61</v>
      </c>
      <c r="F467">
        <v>36</v>
      </c>
      <c r="G467">
        <v>1</v>
      </c>
      <c r="H467" s="1" t="s">
        <v>23</v>
      </c>
      <c r="I467" s="1" t="s">
        <v>129</v>
      </c>
      <c r="J467" s="12">
        <v>45694</v>
      </c>
      <c r="K467">
        <v>0</v>
      </c>
      <c r="L467" s="1">
        <f t="shared" si="28"/>
        <v>36</v>
      </c>
      <c r="M467" s="1">
        <f t="shared" si="29"/>
        <v>5</v>
      </c>
      <c r="N467" s="2">
        <f t="shared" si="30"/>
        <v>45689</v>
      </c>
      <c r="O467" t="str">
        <f t="shared" si="31"/>
        <v>pes</v>
      </c>
    </row>
    <row r="468" spans="1:15" hidden="1" x14ac:dyDescent="0.25">
      <c r="A468">
        <v>7982</v>
      </c>
      <c r="B468" s="11">
        <v>4021234567894</v>
      </c>
      <c r="C468" s="1" t="s">
        <v>79</v>
      </c>
      <c r="D468" s="1" t="s">
        <v>36</v>
      </c>
      <c r="E468" s="1" t="s">
        <v>69</v>
      </c>
      <c r="F468">
        <v>8</v>
      </c>
      <c r="G468">
        <v>1</v>
      </c>
      <c r="H468" s="1" t="s">
        <v>14</v>
      </c>
      <c r="I468" s="1" t="s">
        <v>15</v>
      </c>
      <c r="J468" s="12">
        <v>45694</v>
      </c>
      <c r="K468">
        <v>0</v>
      </c>
      <c r="L468" s="1">
        <f t="shared" si="28"/>
        <v>8</v>
      </c>
      <c r="M468" s="1" t="str">
        <f t="shared" si="29"/>
        <v/>
      </c>
      <c r="N468" s="2">
        <f t="shared" si="30"/>
        <v>45689</v>
      </c>
      <c r="O468" t="str">
        <f t="shared" si="31"/>
        <v>mačka</v>
      </c>
    </row>
    <row r="469" spans="1:15" x14ac:dyDescent="0.25">
      <c r="A469">
        <v>7983</v>
      </c>
      <c r="B469" s="11">
        <v>4061011223346</v>
      </c>
      <c r="C469" s="1" t="s">
        <v>25</v>
      </c>
      <c r="D469" s="1" t="s">
        <v>26</v>
      </c>
      <c r="E469" s="1" t="s">
        <v>27</v>
      </c>
      <c r="F469">
        <v>19.600000000000001</v>
      </c>
      <c r="G469">
        <v>1</v>
      </c>
      <c r="H469" s="1" t="s">
        <v>14</v>
      </c>
      <c r="I469" s="1" t="s">
        <v>15</v>
      </c>
      <c r="J469" s="12">
        <v>45694</v>
      </c>
      <c r="K469">
        <v>0</v>
      </c>
      <c r="L469" s="1">
        <f t="shared" si="28"/>
        <v>19.600000000000001</v>
      </c>
      <c r="M469" s="1" t="str">
        <f t="shared" si="29"/>
        <v/>
      </c>
      <c r="N469" s="2">
        <f t="shared" si="30"/>
        <v>45689</v>
      </c>
      <c r="O469" t="str">
        <f t="shared" si="31"/>
        <v>pes</v>
      </c>
    </row>
    <row r="470" spans="1:15" x14ac:dyDescent="0.25">
      <c r="A470">
        <v>7984</v>
      </c>
      <c r="B470" s="11">
        <v>4028899001126</v>
      </c>
      <c r="C470" s="1" t="s">
        <v>16</v>
      </c>
      <c r="D470" s="1" t="s">
        <v>12</v>
      </c>
      <c r="E470" s="1" t="s">
        <v>17</v>
      </c>
      <c r="F470">
        <v>2.8</v>
      </c>
      <c r="G470">
        <v>4</v>
      </c>
      <c r="H470" s="1" t="s">
        <v>14</v>
      </c>
      <c r="I470" s="1" t="s">
        <v>15</v>
      </c>
      <c r="J470" s="12">
        <v>45695</v>
      </c>
      <c r="K470">
        <v>0</v>
      </c>
      <c r="L470" s="1">
        <f t="shared" si="28"/>
        <v>11.2</v>
      </c>
      <c r="M470" s="1" t="str">
        <f t="shared" si="29"/>
        <v/>
      </c>
      <c r="N470" s="2">
        <f t="shared" si="30"/>
        <v>45689</v>
      </c>
      <c r="O470" t="str">
        <f t="shared" si="31"/>
        <v>pes</v>
      </c>
    </row>
    <row r="471" spans="1:15" x14ac:dyDescent="0.25">
      <c r="A471">
        <v>7985</v>
      </c>
      <c r="B471" s="11">
        <v>4013456789017</v>
      </c>
      <c r="C471" s="1" t="s">
        <v>11</v>
      </c>
      <c r="D471" s="1" t="s">
        <v>12</v>
      </c>
      <c r="E471" s="1" t="s">
        <v>13</v>
      </c>
      <c r="F471">
        <v>6</v>
      </c>
      <c r="G471">
        <v>2</v>
      </c>
      <c r="H471" s="1" t="s">
        <v>14</v>
      </c>
      <c r="I471" s="1" t="s">
        <v>15</v>
      </c>
      <c r="J471" s="12">
        <v>45695</v>
      </c>
      <c r="K471">
        <v>0</v>
      </c>
      <c r="L471" s="1">
        <f t="shared" si="28"/>
        <v>12</v>
      </c>
      <c r="M471" s="1" t="str">
        <f t="shared" si="29"/>
        <v/>
      </c>
      <c r="N471" s="2">
        <f t="shared" si="30"/>
        <v>45689</v>
      </c>
      <c r="O471" t="str">
        <f t="shared" si="31"/>
        <v>pes</v>
      </c>
    </row>
    <row r="472" spans="1:15" x14ac:dyDescent="0.25">
      <c r="A472">
        <v>7986</v>
      </c>
      <c r="B472" s="11">
        <v>4040123456795</v>
      </c>
      <c r="C472" s="1" t="s">
        <v>20</v>
      </c>
      <c r="D472" s="1" t="s">
        <v>21</v>
      </c>
      <c r="E472" s="1" t="s">
        <v>22</v>
      </c>
      <c r="F472">
        <v>8.8000000000000007</v>
      </c>
      <c r="G472">
        <v>1</v>
      </c>
      <c r="H472" s="1" t="s">
        <v>14</v>
      </c>
      <c r="I472" s="1" t="s">
        <v>15</v>
      </c>
      <c r="J472" s="12">
        <v>45695</v>
      </c>
      <c r="K472">
        <v>0</v>
      </c>
      <c r="L472" s="1">
        <f t="shared" si="28"/>
        <v>8.8000000000000007</v>
      </c>
      <c r="M472" s="1" t="str">
        <f t="shared" si="29"/>
        <v/>
      </c>
      <c r="N472" s="2">
        <f t="shared" si="30"/>
        <v>45689</v>
      </c>
      <c r="O472" t="str">
        <f t="shared" si="31"/>
        <v>pes</v>
      </c>
    </row>
    <row r="473" spans="1:15" hidden="1" x14ac:dyDescent="0.25">
      <c r="A473">
        <v>7987</v>
      </c>
      <c r="B473" s="11">
        <v>4010123456783</v>
      </c>
      <c r="C473" s="1" t="s">
        <v>35</v>
      </c>
      <c r="D473" s="1" t="s">
        <v>36</v>
      </c>
      <c r="E473" s="1" t="s">
        <v>37</v>
      </c>
      <c r="F473">
        <v>14</v>
      </c>
      <c r="G473">
        <v>1</v>
      </c>
      <c r="H473" s="1" t="s">
        <v>14</v>
      </c>
      <c r="I473" s="1" t="s">
        <v>15</v>
      </c>
      <c r="J473" s="12">
        <v>45695</v>
      </c>
      <c r="K473">
        <v>0</v>
      </c>
      <c r="L473" s="1">
        <f t="shared" si="28"/>
        <v>14</v>
      </c>
      <c r="M473" s="1" t="str">
        <f t="shared" si="29"/>
        <v/>
      </c>
      <c r="N473" s="2">
        <f t="shared" si="30"/>
        <v>45689</v>
      </c>
      <c r="O473" t="str">
        <f t="shared" si="31"/>
        <v>mačka</v>
      </c>
    </row>
    <row r="474" spans="1:15" x14ac:dyDescent="0.25">
      <c r="A474">
        <v>7988</v>
      </c>
      <c r="B474" s="11">
        <v>4063456789014</v>
      </c>
      <c r="C474" s="1" t="s">
        <v>60</v>
      </c>
      <c r="D474" s="1" t="s">
        <v>12</v>
      </c>
      <c r="E474" s="1" t="s">
        <v>61</v>
      </c>
      <c r="F474">
        <v>36</v>
      </c>
      <c r="G474">
        <v>1</v>
      </c>
      <c r="H474" s="1" t="s">
        <v>14</v>
      </c>
      <c r="I474" s="1" t="s">
        <v>15</v>
      </c>
      <c r="J474" s="12">
        <v>45695</v>
      </c>
      <c r="K474">
        <v>0</v>
      </c>
      <c r="L474" s="1">
        <f t="shared" si="28"/>
        <v>36</v>
      </c>
      <c r="M474" s="1" t="str">
        <f t="shared" si="29"/>
        <v/>
      </c>
      <c r="N474" s="2">
        <f t="shared" si="30"/>
        <v>45689</v>
      </c>
      <c r="O474" t="str">
        <f t="shared" si="31"/>
        <v>pes</v>
      </c>
    </row>
    <row r="475" spans="1:15" hidden="1" x14ac:dyDescent="0.25">
      <c r="A475">
        <v>7989</v>
      </c>
      <c r="B475" s="11">
        <v>4056789012345</v>
      </c>
      <c r="C475" s="1" t="s">
        <v>47</v>
      </c>
      <c r="D475" s="1" t="s">
        <v>29</v>
      </c>
      <c r="E475" s="1" t="s">
        <v>37</v>
      </c>
      <c r="F475">
        <v>2.4</v>
      </c>
      <c r="G475">
        <v>3</v>
      </c>
      <c r="H475" s="1" t="s">
        <v>14</v>
      </c>
      <c r="I475" s="1" t="s">
        <v>15</v>
      </c>
      <c r="J475" s="12">
        <v>45695</v>
      </c>
      <c r="K475">
        <v>0</v>
      </c>
      <c r="L475" s="1">
        <f t="shared" si="28"/>
        <v>7.1999999999999993</v>
      </c>
      <c r="M475" s="1" t="str">
        <f t="shared" si="29"/>
        <v/>
      </c>
      <c r="N475" s="2">
        <f t="shared" si="30"/>
        <v>45689</v>
      </c>
      <c r="O475" t="str">
        <f t="shared" si="31"/>
        <v>mačka</v>
      </c>
    </row>
    <row r="476" spans="1:15" hidden="1" x14ac:dyDescent="0.25">
      <c r="A476">
        <v>7990</v>
      </c>
      <c r="B476" s="11">
        <v>4021234567894</v>
      </c>
      <c r="C476" s="1" t="s">
        <v>79</v>
      </c>
      <c r="D476" s="1" t="s">
        <v>36</v>
      </c>
      <c r="E476" s="1" t="s">
        <v>69</v>
      </c>
      <c r="F476">
        <v>8</v>
      </c>
      <c r="G476">
        <v>1</v>
      </c>
      <c r="H476" s="1" t="s">
        <v>14</v>
      </c>
      <c r="I476" s="1" t="s">
        <v>15</v>
      </c>
      <c r="J476" s="12">
        <v>45695</v>
      </c>
      <c r="K476">
        <v>0</v>
      </c>
      <c r="L476" s="1">
        <f t="shared" si="28"/>
        <v>8</v>
      </c>
      <c r="M476" s="1" t="str">
        <f t="shared" si="29"/>
        <v/>
      </c>
      <c r="N476" s="2">
        <f t="shared" si="30"/>
        <v>45689</v>
      </c>
      <c r="O476" t="str">
        <f t="shared" si="31"/>
        <v>mačka</v>
      </c>
    </row>
    <row r="477" spans="1:15" x14ac:dyDescent="0.25">
      <c r="A477">
        <v>7991</v>
      </c>
      <c r="B477" s="11">
        <v>4017890123450</v>
      </c>
      <c r="C477" s="1" t="s">
        <v>65</v>
      </c>
      <c r="D477" s="1" t="s">
        <v>39</v>
      </c>
      <c r="E477" s="1" t="s">
        <v>22</v>
      </c>
      <c r="F477">
        <v>7.6</v>
      </c>
      <c r="G477">
        <v>1</v>
      </c>
      <c r="H477" s="1" t="s">
        <v>14</v>
      </c>
      <c r="I477" s="1" t="s">
        <v>15</v>
      </c>
      <c r="J477" s="12">
        <v>45695</v>
      </c>
      <c r="K477">
        <v>0</v>
      </c>
      <c r="L477" s="1">
        <f t="shared" si="28"/>
        <v>7.6</v>
      </c>
      <c r="M477" s="1" t="str">
        <f t="shared" si="29"/>
        <v/>
      </c>
      <c r="N477" s="2">
        <f t="shared" si="30"/>
        <v>45689</v>
      </c>
      <c r="O477" t="str">
        <f t="shared" si="31"/>
        <v>pes</v>
      </c>
    </row>
    <row r="478" spans="1:15" hidden="1" x14ac:dyDescent="0.25">
      <c r="A478">
        <v>7992</v>
      </c>
      <c r="B478" s="11">
        <v>4026677889902</v>
      </c>
      <c r="C478" s="1" t="s">
        <v>52</v>
      </c>
      <c r="D478" s="1" t="s">
        <v>53</v>
      </c>
      <c r="E478" s="1" t="s">
        <v>54</v>
      </c>
      <c r="F478">
        <v>7.6</v>
      </c>
      <c r="G478">
        <v>1</v>
      </c>
      <c r="H478" s="1" t="s">
        <v>14</v>
      </c>
      <c r="I478" s="1" t="s">
        <v>15</v>
      </c>
      <c r="J478" s="12">
        <v>45695</v>
      </c>
      <c r="K478">
        <v>0</v>
      </c>
      <c r="L478" s="1">
        <f t="shared" si="28"/>
        <v>7.6</v>
      </c>
      <c r="M478" s="1" t="str">
        <f t="shared" si="29"/>
        <v/>
      </c>
      <c r="N478" s="2">
        <f t="shared" si="30"/>
        <v>45689</v>
      </c>
      <c r="O478" t="str">
        <f t="shared" si="31"/>
        <v>iné</v>
      </c>
    </row>
    <row r="479" spans="1:15" x14ac:dyDescent="0.25">
      <c r="A479">
        <v>7993</v>
      </c>
      <c r="B479" s="11">
        <v>4028899001126</v>
      </c>
      <c r="C479" s="1" t="s">
        <v>16</v>
      </c>
      <c r="D479" s="1" t="s">
        <v>12</v>
      </c>
      <c r="E479" s="1" t="s">
        <v>17</v>
      </c>
      <c r="F479">
        <v>2.8</v>
      </c>
      <c r="G479">
        <v>3</v>
      </c>
      <c r="H479" s="1" t="s">
        <v>14</v>
      </c>
      <c r="I479" s="1" t="s">
        <v>15</v>
      </c>
      <c r="J479" s="12">
        <v>45695</v>
      </c>
      <c r="K479">
        <v>0</v>
      </c>
      <c r="L479" s="1">
        <f t="shared" si="28"/>
        <v>8.3999999999999986</v>
      </c>
      <c r="M479" s="1" t="str">
        <f t="shared" si="29"/>
        <v/>
      </c>
      <c r="N479" s="2">
        <f t="shared" si="30"/>
        <v>45689</v>
      </c>
      <c r="O479" t="str">
        <f t="shared" si="31"/>
        <v>pes</v>
      </c>
    </row>
    <row r="480" spans="1:15" x14ac:dyDescent="0.25">
      <c r="A480">
        <v>7994</v>
      </c>
      <c r="B480" s="11">
        <v>4013456789017</v>
      </c>
      <c r="C480" s="1" t="s">
        <v>11</v>
      </c>
      <c r="D480" s="1" t="s">
        <v>12</v>
      </c>
      <c r="E480" s="1" t="s">
        <v>13</v>
      </c>
      <c r="F480">
        <v>6</v>
      </c>
      <c r="G480">
        <v>1</v>
      </c>
      <c r="H480" s="1" t="s">
        <v>14</v>
      </c>
      <c r="I480" s="1" t="s">
        <v>15</v>
      </c>
      <c r="J480" s="12">
        <v>45695</v>
      </c>
      <c r="K480">
        <v>0</v>
      </c>
      <c r="L480" s="1">
        <f t="shared" si="28"/>
        <v>6</v>
      </c>
      <c r="M480" s="1" t="str">
        <f t="shared" si="29"/>
        <v/>
      </c>
      <c r="N480" s="2">
        <f t="shared" si="30"/>
        <v>45689</v>
      </c>
      <c r="O480" t="str">
        <f t="shared" si="31"/>
        <v>pes</v>
      </c>
    </row>
    <row r="481" spans="1:15" x14ac:dyDescent="0.25">
      <c r="A481">
        <v>7995</v>
      </c>
      <c r="B481" s="11">
        <v>4040123456795</v>
      </c>
      <c r="C481" s="1" t="s">
        <v>20</v>
      </c>
      <c r="D481" s="1" t="s">
        <v>21</v>
      </c>
      <c r="E481" s="1" t="s">
        <v>22</v>
      </c>
      <c r="F481">
        <v>8.8000000000000007</v>
      </c>
      <c r="G481">
        <v>1</v>
      </c>
      <c r="H481" s="1" t="s">
        <v>14</v>
      </c>
      <c r="I481" s="1" t="s">
        <v>15</v>
      </c>
      <c r="J481" s="12">
        <v>45695</v>
      </c>
      <c r="K481">
        <v>0</v>
      </c>
      <c r="L481" s="1">
        <f t="shared" si="28"/>
        <v>8.8000000000000007</v>
      </c>
      <c r="M481" s="1" t="str">
        <f t="shared" si="29"/>
        <v/>
      </c>
      <c r="N481" s="2">
        <f t="shared" si="30"/>
        <v>45689</v>
      </c>
      <c r="O481" t="str">
        <f t="shared" si="31"/>
        <v>pes</v>
      </c>
    </row>
    <row r="482" spans="1:15" hidden="1" x14ac:dyDescent="0.25">
      <c r="A482">
        <v>7996</v>
      </c>
      <c r="B482" s="11">
        <v>4010123456783</v>
      </c>
      <c r="C482" s="1" t="s">
        <v>35</v>
      </c>
      <c r="D482" s="1" t="s">
        <v>36</v>
      </c>
      <c r="E482" s="1" t="s">
        <v>37</v>
      </c>
      <c r="F482">
        <v>14</v>
      </c>
      <c r="G482">
        <v>1</v>
      </c>
      <c r="H482" s="1" t="s">
        <v>14</v>
      </c>
      <c r="I482" s="1" t="s">
        <v>15</v>
      </c>
      <c r="J482" s="12">
        <v>45695</v>
      </c>
      <c r="K482">
        <v>0</v>
      </c>
      <c r="L482" s="1">
        <f t="shared" si="28"/>
        <v>14</v>
      </c>
      <c r="M482" s="1" t="str">
        <f t="shared" si="29"/>
        <v/>
      </c>
      <c r="N482" s="2">
        <f t="shared" si="30"/>
        <v>45689</v>
      </c>
      <c r="O482" t="str">
        <f t="shared" si="31"/>
        <v>mačka</v>
      </c>
    </row>
    <row r="483" spans="1:15" hidden="1" x14ac:dyDescent="0.25">
      <c r="A483">
        <v>7997</v>
      </c>
      <c r="B483" s="11">
        <v>4056789012345</v>
      </c>
      <c r="C483" s="1" t="s">
        <v>47</v>
      </c>
      <c r="D483" s="1" t="s">
        <v>29</v>
      </c>
      <c r="E483" s="1" t="s">
        <v>37</v>
      </c>
      <c r="F483">
        <v>2.4</v>
      </c>
      <c r="G483">
        <v>2</v>
      </c>
      <c r="H483" s="1" t="s">
        <v>14</v>
      </c>
      <c r="I483" s="1" t="s">
        <v>15</v>
      </c>
      <c r="J483" s="12">
        <v>45695</v>
      </c>
      <c r="K483">
        <v>0</v>
      </c>
      <c r="L483" s="1">
        <f t="shared" si="28"/>
        <v>4.8</v>
      </c>
      <c r="M483" s="1" t="str">
        <f t="shared" si="29"/>
        <v/>
      </c>
      <c r="N483" s="2">
        <f t="shared" si="30"/>
        <v>45689</v>
      </c>
      <c r="O483" t="str">
        <f t="shared" si="31"/>
        <v>mačka</v>
      </c>
    </row>
    <row r="484" spans="1:15" x14ac:dyDescent="0.25">
      <c r="A484">
        <v>7998</v>
      </c>
      <c r="B484" s="11">
        <v>4063456789014</v>
      </c>
      <c r="C484" s="1" t="s">
        <v>60</v>
      </c>
      <c r="D484" s="1" t="s">
        <v>12</v>
      </c>
      <c r="E484" s="1" t="s">
        <v>61</v>
      </c>
      <c r="F484">
        <v>36</v>
      </c>
      <c r="G484">
        <v>1</v>
      </c>
      <c r="H484" s="1" t="s">
        <v>18</v>
      </c>
      <c r="I484" s="1" t="s">
        <v>14</v>
      </c>
      <c r="J484" s="12">
        <v>45695</v>
      </c>
      <c r="K484">
        <v>0</v>
      </c>
      <c r="L484" s="1">
        <f t="shared" si="28"/>
        <v>36</v>
      </c>
      <c r="M484" s="1">
        <f t="shared" si="29"/>
        <v>4</v>
      </c>
      <c r="N484" s="2">
        <f t="shared" si="30"/>
        <v>45689</v>
      </c>
      <c r="O484" t="str">
        <f t="shared" si="31"/>
        <v>pes</v>
      </c>
    </row>
    <row r="485" spans="1:15" hidden="1" x14ac:dyDescent="0.25">
      <c r="A485">
        <v>7999</v>
      </c>
      <c r="B485" s="11">
        <v>4021234567894</v>
      </c>
      <c r="C485" s="1" t="s">
        <v>79</v>
      </c>
      <c r="D485" s="1" t="s">
        <v>36</v>
      </c>
      <c r="E485" s="1" t="s">
        <v>69</v>
      </c>
      <c r="F485">
        <v>8</v>
      </c>
      <c r="G485">
        <v>1</v>
      </c>
      <c r="H485" s="1" t="s">
        <v>14</v>
      </c>
      <c r="I485" s="1" t="s">
        <v>15</v>
      </c>
      <c r="J485" s="12">
        <v>45695</v>
      </c>
      <c r="K485">
        <v>0</v>
      </c>
      <c r="L485" s="1">
        <f t="shared" si="28"/>
        <v>8</v>
      </c>
      <c r="M485" s="1" t="str">
        <f t="shared" si="29"/>
        <v/>
      </c>
      <c r="N485" s="2">
        <f t="shared" si="30"/>
        <v>45689</v>
      </c>
      <c r="O485" t="str">
        <f t="shared" si="31"/>
        <v>mačka</v>
      </c>
    </row>
    <row r="486" spans="1:15" x14ac:dyDescent="0.25">
      <c r="A486">
        <v>8000</v>
      </c>
      <c r="B486" s="11">
        <v>4061011223346</v>
      </c>
      <c r="C486" s="1" t="s">
        <v>25</v>
      </c>
      <c r="D486" s="1" t="s">
        <v>26</v>
      </c>
      <c r="E486" s="1" t="s">
        <v>27</v>
      </c>
      <c r="F486">
        <v>19.600000000000001</v>
      </c>
      <c r="G486">
        <v>1</v>
      </c>
      <c r="H486" s="1" t="s">
        <v>14</v>
      </c>
      <c r="I486" s="1" t="s">
        <v>15</v>
      </c>
      <c r="J486" s="12">
        <v>45695</v>
      </c>
      <c r="K486">
        <v>0</v>
      </c>
      <c r="L486" s="1">
        <f t="shared" si="28"/>
        <v>19.600000000000001</v>
      </c>
      <c r="M486" s="1" t="str">
        <f t="shared" si="29"/>
        <v/>
      </c>
      <c r="N486" s="2">
        <f t="shared" si="30"/>
        <v>45689</v>
      </c>
      <c r="O486" t="str">
        <f t="shared" si="31"/>
        <v>pes</v>
      </c>
    </row>
    <row r="487" spans="1:15" x14ac:dyDescent="0.25">
      <c r="A487">
        <v>8001</v>
      </c>
      <c r="B487" s="11">
        <v>4028899001126</v>
      </c>
      <c r="C487" s="1" t="s">
        <v>16</v>
      </c>
      <c r="D487" s="1" t="s">
        <v>12</v>
      </c>
      <c r="E487" s="1" t="s">
        <v>17</v>
      </c>
      <c r="F487">
        <v>2.8</v>
      </c>
      <c r="G487">
        <v>3</v>
      </c>
      <c r="H487" s="1" t="s">
        <v>14</v>
      </c>
      <c r="I487" s="1" t="s">
        <v>15</v>
      </c>
      <c r="J487" s="12">
        <v>45695</v>
      </c>
      <c r="K487">
        <v>0</v>
      </c>
      <c r="L487" s="1">
        <f t="shared" si="28"/>
        <v>8.3999999999999986</v>
      </c>
      <c r="M487" s="1" t="str">
        <f t="shared" si="29"/>
        <v/>
      </c>
      <c r="N487" s="2">
        <f t="shared" si="30"/>
        <v>45689</v>
      </c>
      <c r="O487" t="str">
        <f t="shared" si="31"/>
        <v>pes</v>
      </c>
    </row>
    <row r="488" spans="1:15" x14ac:dyDescent="0.25">
      <c r="A488">
        <v>8002</v>
      </c>
      <c r="B488" s="11">
        <v>4013456789017</v>
      </c>
      <c r="C488" s="1" t="s">
        <v>11</v>
      </c>
      <c r="D488" s="1" t="s">
        <v>12</v>
      </c>
      <c r="E488" s="1" t="s">
        <v>13</v>
      </c>
      <c r="F488">
        <v>6</v>
      </c>
      <c r="G488">
        <v>2</v>
      </c>
      <c r="H488" s="1" t="s">
        <v>14</v>
      </c>
      <c r="I488" s="1" t="s">
        <v>15</v>
      </c>
      <c r="J488" s="12">
        <v>45695</v>
      </c>
      <c r="K488">
        <v>0</v>
      </c>
      <c r="L488" s="1">
        <f t="shared" si="28"/>
        <v>12</v>
      </c>
      <c r="M488" s="1" t="str">
        <f t="shared" si="29"/>
        <v/>
      </c>
      <c r="N488" s="2">
        <f t="shared" si="30"/>
        <v>45689</v>
      </c>
      <c r="O488" t="str">
        <f t="shared" si="31"/>
        <v>pes</v>
      </c>
    </row>
    <row r="489" spans="1:15" x14ac:dyDescent="0.25">
      <c r="A489">
        <v>8003</v>
      </c>
      <c r="B489" s="11">
        <v>4040123456795</v>
      </c>
      <c r="C489" s="1" t="s">
        <v>20</v>
      </c>
      <c r="D489" s="1" t="s">
        <v>21</v>
      </c>
      <c r="E489" s="1" t="s">
        <v>22</v>
      </c>
      <c r="F489">
        <v>8.8000000000000007</v>
      </c>
      <c r="G489">
        <v>1</v>
      </c>
      <c r="H489" s="1" t="s">
        <v>14</v>
      </c>
      <c r="I489" s="1" t="s">
        <v>15</v>
      </c>
      <c r="J489" s="12">
        <v>45695</v>
      </c>
      <c r="K489">
        <v>0</v>
      </c>
      <c r="L489" s="1">
        <f t="shared" si="28"/>
        <v>8.8000000000000007</v>
      </c>
      <c r="M489" s="1" t="str">
        <f t="shared" si="29"/>
        <v/>
      </c>
      <c r="N489" s="2">
        <f t="shared" si="30"/>
        <v>45689</v>
      </c>
      <c r="O489" t="str">
        <f t="shared" si="31"/>
        <v>pes</v>
      </c>
    </row>
    <row r="490" spans="1:15" hidden="1" x14ac:dyDescent="0.25">
      <c r="A490">
        <v>8004</v>
      </c>
      <c r="B490" s="11">
        <v>4010123456783</v>
      </c>
      <c r="C490" s="1" t="s">
        <v>35</v>
      </c>
      <c r="D490" s="1" t="s">
        <v>36</v>
      </c>
      <c r="E490" s="1" t="s">
        <v>37</v>
      </c>
      <c r="F490">
        <v>14</v>
      </c>
      <c r="G490">
        <v>1</v>
      </c>
      <c r="H490" s="1" t="s">
        <v>14</v>
      </c>
      <c r="I490" s="1" t="s">
        <v>15</v>
      </c>
      <c r="J490" s="12">
        <v>45695</v>
      </c>
      <c r="K490">
        <v>0</v>
      </c>
      <c r="L490" s="1">
        <f t="shared" si="28"/>
        <v>14</v>
      </c>
      <c r="M490" s="1" t="str">
        <f t="shared" si="29"/>
        <v/>
      </c>
      <c r="N490" s="2">
        <f t="shared" si="30"/>
        <v>45689</v>
      </c>
      <c r="O490" t="str">
        <f t="shared" si="31"/>
        <v>mačka</v>
      </c>
    </row>
    <row r="491" spans="1:15" x14ac:dyDescent="0.25">
      <c r="A491">
        <v>8005</v>
      </c>
      <c r="B491" s="11">
        <v>4063456789014</v>
      </c>
      <c r="C491" s="1" t="s">
        <v>60</v>
      </c>
      <c r="D491" s="1" t="s">
        <v>12</v>
      </c>
      <c r="E491" s="1" t="s">
        <v>61</v>
      </c>
      <c r="F491">
        <v>36</v>
      </c>
      <c r="G491">
        <v>1</v>
      </c>
      <c r="H491" s="1" t="s">
        <v>14</v>
      </c>
      <c r="I491" s="1" t="s">
        <v>15</v>
      </c>
      <c r="J491" s="12">
        <v>45695</v>
      </c>
      <c r="K491">
        <v>0</v>
      </c>
      <c r="L491" s="1">
        <f t="shared" si="28"/>
        <v>36</v>
      </c>
      <c r="M491" s="1" t="str">
        <f t="shared" si="29"/>
        <v/>
      </c>
      <c r="N491" s="2">
        <f t="shared" si="30"/>
        <v>45689</v>
      </c>
      <c r="O491" t="str">
        <f t="shared" si="31"/>
        <v>pes</v>
      </c>
    </row>
    <row r="492" spans="1:15" hidden="1" x14ac:dyDescent="0.25">
      <c r="A492">
        <v>8006</v>
      </c>
      <c r="B492" s="11">
        <v>4056789012345</v>
      </c>
      <c r="C492" s="1" t="s">
        <v>47</v>
      </c>
      <c r="D492" s="1" t="s">
        <v>29</v>
      </c>
      <c r="E492" s="1" t="s">
        <v>37</v>
      </c>
      <c r="F492">
        <v>2.4</v>
      </c>
      <c r="G492">
        <v>3</v>
      </c>
      <c r="H492" s="1" t="s">
        <v>14</v>
      </c>
      <c r="I492" s="1" t="s">
        <v>15</v>
      </c>
      <c r="J492" s="12">
        <v>45695</v>
      </c>
      <c r="K492">
        <v>0</v>
      </c>
      <c r="L492" s="1">
        <f t="shared" si="28"/>
        <v>7.1999999999999993</v>
      </c>
      <c r="M492" s="1" t="str">
        <f t="shared" si="29"/>
        <v/>
      </c>
      <c r="N492" s="2">
        <f t="shared" si="30"/>
        <v>45689</v>
      </c>
      <c r="O492" t="str">
        <f t="shared" si="31"/>
        <v>mačka</v>
      </c>
    </row>
    <row r="493" spans="1:15" x14ac:dyDescent="0.25">
      <c r="A493">
        <v>8007</v>
      </c>
      <c r="B493" s="11">
        <v>4061011223346</v>
      </c>
      <c r="C493" s="1" t="s">
        <v>25</v>
      </c>
      <c r="D493" s="1" t="s">
        <v>26</v>
      </c>
      <c r="E493" s="1" t="s">
        <v>27</v>
      </c>
      <c r="F493">
        <v>19.600000000000001</v>
      </c>
      <c r="G493">
        <v>1</v>
      </c>
      <c r="H493" s="1" t="s">
        <v>14</v>
      </c>
      <c r="I493" s="1" t="s">
        <v>15</v>
      </c>
      <c r="J493" s="12">
        <v>45695</v>
      </c>
      <c r="K493">
        <v>0</v>
      </c>
      <c r="L493" s="1">
        <f t="shared" si="28"/>
        <v>19.600000000000001</v>
      </c>
      <c r="M493" s="1" t="str">
        <f t="shared" si="29"/>
        <v/>
      </c>
      <c r="N493" s="2">
        <f t="shared" si="30"/>
        <v>45689</v>
      </c>
      <c r="O493" t="str">
        <f t="shared" si="31"/>
        <v>pes</v>
      </c>
    </row>
    <row r="494" spans="1:15" hidden="1" x14ac:dyDescent="0.25">
      <c r="A494">
        <v>8008</v>
      </c>
      <c r="B494" s="11">
        <v>4021234567894</v>
      </c>
      <c r="C494" s="1" t="s">
        <v>79</v>
      </c>
      <c r="D494" s="1" t="s">
        <v>36</v>
      </c>
      <c r="E494" s="1" t="s">
        <v>69</v>
      </c>
      <c r="F494">
        <v>8</v>
      </c>
      <c r="G494">
        <v>1</v>
      </c>
      <c r="H494" s="1" t="s">
        <v>14</v>
      </c>
      <c r="I494" s="1" t="s">
        <v>15</v>
      </c>
      <c r="J494" s="12">
        <v>45695</v>
      </c>
      <c r="K494">
        <v>0</v>
      </c>
      <c r="L494" s="1">
        <f t="shared" si="28"/>
        <v>8</v>
      </c>
      <c r="M494" s="1" t="str">
        <f t="shared" si="29"/>
        <v/>
      </c>
      <c r="N494" s="2">
        <f t="shared" si="30"/>
        <v>45689</v>
      </c>
      <c r="O494" t="str">
        <f t="shared" si="31"/>
        <v>mačka</v>
      </c>
    </row>
    <row r="495" spans="1:15" x14ac:dyDescent="0.25">
      <c r="A495">
        <v>8009</v>
      </c>
      <c r="B495" s="11">
        <v>4017890123450</v>
      </c>
      <c r="C495" s="1" t="s">
        <v>65</v>
      </c>
      <c r="D495" s="1" t="s">
        <v>39</v>
      </c>
      <c r="E495" s="1" t="s">
        <v>22</v>
      </c>
      <c r="F495">
        <v>7.6</v>
      </c>
      <c r="G495">
        <v>1</v>
      </c>
      <c r="H495" s="1" t="s">
        <v>14</v>
      </c>
      <c r="I495" s="1" t="s">
        <v>15</v>
      </c>
      <c r="J495" s="12">
        <v>45695</v>
      </c>
      <c r="K495">
        <v>0</v>
      </c>
      <c r="L495" s="1">
        <f t="shared" si="28"/>
        <v>7.6</v>
      </c>
      <c r="M495" s="1" t="str">
        <f t="shared" si="29"/>
        <v/>
      </c>
      <c r="N495" s="2">
        <f t="shared" si="30"/>
        <v>45689</v>
      </c>
      <c r="O495" t="str">
        <f t="shared" si="31"/>
        <v>pes</v>
      </c>
    </row>
    <row r="496" spans="1:15" hidden="1" x14ac:dyDescent="0.25">
      <c r="A496">
        <v>8010</v>
      </c>
      <c r="B496" s="11">
        <v>4026677889902</v>
      </c>
      <c r="C496" s="1" t="s">
        <v>52</v>
      </c>
      <c r="D496" s="1" t="s">
        <v>53</v>
      </c>
      <c r="E496" s="1" t="s">
        <v>54</v>
      </c>
      <c r="F496">
        <v>7.6</v>
      </c>
      <c r="G496">
        <v>1</v>
      </c>
      <c r="H496" s="1" t="s">
        <v>14</v>
      </c>
      <c r="I496" s="1" t="s">
        <v>15</v>
      </c>
      <c r="J496" s="12">
        <v>45695</v>
      </c>
      <c r="K496">
        <v>0</v>
      </c>
      <c r="L496" s="1">
        <f t="shared" si="28"/>
        <v>7.6</v>
      </c>
      <c r="M496" s="1" t="str">
        <f t="shared" si="29"/>
        <v/>
      </c>
      <c r="N496" s="2">
        <f t="shared" si="30"/>
        <v>45689</v>
      </c>
      <c r="O496" t="str">
        <f t="shared" si="31"/>
        <v>iné</v>
      </c>
    </row>
    <row r="497" spans="1:15" x14ac:dyDescent="0.25">
      <c r="A497">
        <v>8011</v>
      </c>
      <c r="B497" s="11">
        <v>4028899001126</v>
      </c>
      <c r="C497" s="1" t="s">
        <v>16</v>
      </c>
      <c r="D497" s="1" t="s">
        <v>12</v>
      </c>
      <c r="E497" s="1" t="s">
        <v>17</v>
      </c>
      <c r="F497">
        <v>2.8</v>
      </c>
      <c r="G497">
        <v>3</v>
      </c>
      <c r="H497" s="1" t="s">
        <v>23</v>
      </c>
      <c r="I497" s="1" t="s">
        <v>130</v>
      </c>
      <c r="J497" s="12">
        <v>45695</v>
      </c>
      <c r="K497">
        <v>0</v>
      </c>
      <c r="L497" s="1">
        <f t="shared" si="28"/>
        <v>8.3999999999999986</v>
      </c>
      <c r="M497" s="1">
        <f t="shared" si="29"/>
        <v>5</v>
      </c>
      <c r="N497" s="2">
        <f t="shared" si="30"/>
        <v>45689</v>
      </c>
      <c r="O497" t="str">
        <f t="shared" si="31"/>
        <v>pes</v>
      </c>
    </row>
    <row r="498" spans="1:15" x14ac:dyDescent="0.25">
      <c r="A498">
        <v>8012</v>
      </c>
      <c r="B498" s="11">
        <v>4013456789017</v>
      </c>
      <c r="C498" s="1" t="s">
        <v>11</v>
      </c>
      <c r="D498" s="1" t="s">
        <v>12</v>
      </c>
      <c r="E498" s="1" t="s">
        <v>13</v>
      </c>
      <c r="F498">
        <v>6</v>
      </c>
      <c r="G498">
        <v>2</v>
      </c>
      <c r="H498" s="1" t="s">
        <v>14</v>
      </c>
      <c r="I498" s="1" t="s">
        <v>15</v>
      </c>
      <c r="J498" s="12">
        <v>45695</v>
      </c>
      <c r="K498">
        <v>0</v>
      </c>
      <c r="L498" s="1">
        <f t="shared" si="28"/>
        <v>12</v>
      </c>
      <c r="M498" s="1" t="str">
        <f t="shared" si="29"/>
        <v/>
      </c>
      <c r="N498" s="2">
        <f t="shared" si="30"/>
        <v>45689</v>
      </c>
      <c r="O498" t="str">
        <f t="shared" si="31"/>
        <v>pes</v>
      </c>
    </row>
    <row r="499" spans="1:15" x14ac:dyDescent="0.25">
      <c r="A499">
        <v>8013</v>
      </c>
      <c r="B499" s="11">
        <v>4028899001126</v>
      </c>
      <c r="C499" s="1" t="s">
        <v>16</v>
      </c>
      <c r="D499" s="1" t="s">
        <v>12</v>
      </c>
      <c r="E499" s="1" t="s">
        <v>17</v>
      </c>
      <c r="F499">
        <v>2.8</v>
      </c>
      <c r="G499">
        <v>5</v>
      </c>
      <c r="H499" s="1" t="s">
        <v>14</v>
      </c>
      <c r="I499" s="1" t="s">
        <v>15</v>
      </c>
      <c r="J499" s="12">
        <v>45696</v>
      </c>
      <c r="K499">
        <v>0</v>
      </c>
      <c r="L499" s="1">
        <f t="shared" si="28"/>
        <v>14</v>
      </c>
      <c r="M499" s="1" t="str">
        <f t="shared" si="29"/>
        <v/>
      </c>
      <c r="N499" s="2">
        <f t="shared" si="30"/>
        <v>45689</v>
      </c>
      <c r="O499" t="str">
        <f t="shared" si="31"/>
        <v>pes</v>
      </c>
    </row>
    <row r="500" spans="1:15" x14ac:dyDescent="0.25">
      <c r="A500">
        <v>8014</v>
      </c>
      <c r="B500" s="11">
        <v>4013456789017</v>
      </c>
      <c r="C500" s="1" t="s">
        <v>11</v>
      </c>
      <c r="D500" s="1" t="s">
        <v>12</v>
      </c>
      <c r="E500" s="1" t="s">
        <v>13</v>
      </c>
      <c r="F500">
        <v>6</v>
      </c>
      <c r="G500">
        <v>1</v>
      </c>
      <c r="H500" s="1" t="s">
        <v>14</v>
      </c>
      <c r="I500" s="1" t="s">
        <v>15</v>
      </c>
      <c r="J500" s="12">
        <v>45696</v>
      </c>
      <c r="K500">
        <v>0</v>
      </c>
      <c r="L500" s="1">
        <f t="shared" si="28"/>
        <v>6</v>
      </c>
      <c r="M500" s="1" t="str">
        <f t="shared" si="29"/>
        <v/>
      </c>
      <c r="N500" s="2">
        <f t="shared" si="30"/>
        <v>45689</v>
      </c>
      <c r="O500" t="str">
        <f t="shared" si="31"/>
        <v>pes</v>
      </c>
    </row>
    <row r="501" spans="1:15" x14ac:dyDescent="0.25">
      <c r="A501">
        <v>8015</v>
      </c>
      <c r="B501" s="11">
        <v>4040123456795</v>
      </c>
      <c r="C501" s="1" t="s">
        <v>20</v>
      </c>
      <c r="D501" s="1" t="s">
        <v>21</v>
      </c>
      <c r="E501" s="1" t="s">
        <v>22</v>
      </c>
      <c r="F501">
        <v>8.8000000000000007</v>
      </c>
      <c r="G501">
        <v>1</v>
      </c>
      <c r="H501" s="1" t="s">
        <v>18</v>
      </c>
      <c r="I501" s="1" t="s">
        <v>131</v>
      </c>
      <c r="J501" s="12">
        <v>45696</v>
      </c>
      <c r="K501">
        <v>0</v>
      </c>
      <c r="L501" s="1">
        <f t="shared" si="28"/>
        <v>8.8000000000000007</v>
      </c>
      <c r="M501" s="1">
        <f t="shared" si="29"/>
        <v>4</v>
      </c>
      <c r="N501" s="2">
        <f t="shared" si="30"/>
        <v>45689</v>
      </c>
      <c r="O501" t="str">
        <f t="shared" si="31"/>
        <v>pes</v>
      </c>
    </row>
    <row r="502" spans="1:15" hidden="1" x14ac:dyDescent="0.25">
      <c r="A502">
        <v>8016</v>
      </c>
      <c r="B502" s="11">
        <v>4010123456783</v>
      </c>
      <c r="C502" s="1" t="s">
        <v>35</v>
      </c>
      <c r="D502" s="1" t="s">
        <v>36</v>
      </c>
      <c r="E502" s="1" t="s">
        <v>37</v>
      </c>
      <c r="F502">
        <v>14</v>
      </c>
      <c r="G502">
        <v>2</v>
      </c>
      <c r="H502" s="1" t="s">
        <v>14</v>
      </c>
      <c r="I502" s="1" t="s">
        <v>15</v>
      </c>
      <c r="J502" s="12">
        <v>45696</v>
      </c>
      <c r="K502">
        <v>0</v>
      </c>
      <c r="L502" s="1">
        <f t="shared" si="28"/>
        <v>28</v>
      </c>
      <c r="M502" s="1" t="str">
        <f t="shared" si="29"/>
        <v/>
      </c>
      <c r="N502" s="2">
        <f t="shared" si="30"/>
        <v>45689</v>
      </c>
      <c r="O502" t="str">
        <f t="shared" si="31"/>
        <v>mačka</v>
      </c>
    </row>
    <row r="503" spans="1:15" hidden="1" x14ac:dyDescent="0.25">
      <c r="A503">
        <v>8017</v>
      </c>
      <c r="B503" s="11">
        <v>4056789012345</v>
      </c>
      <c r="C503" s="1" t="s">
        <v>47</v>
      </c>
      <c r="D503" s="1" t="s">
        <v>29</v>
      </c>
      <c r="E503" s="1" t="s">
        <v>37</v>
      </c>
      <c r="F503">
        <v>2.4</v>
      </c>
      <c r="G503">
        <v>3</v>
      </c>
      <c r="H503" s="1" t="s">
        <v>14</v>
      </c>
      <c r="I503" s="1" t="s">
        <v>15</v>
      </c>
      <c r="J503" s="12">
        <v>45696</v>
      </c>
      <c r="K503">
        <v>0</v>
      </c>
      <c r="L503" s="1">
        <f t="shared" si="28"/>
        <v>7.1999999999999993</v>
      </c>
      <c r="M503" s="1" t="str">
        <f t="shared" si="29"/>
        <v/>
      </c>
      <c r="N503" s="2">
        <f t="shared" si="30"/>
        <v>45689</v>
      </c>
      <c r="O503" t="str">
        <f t="shared" si="31"/>
        <v>mačka</v>
      </c>
    </row>
    <row r="504" spans="1:15" x14ac:dyDescent="0.25">
      <c r="A504">
        <v>8018</v>
      </c>
      <c r="B504" s="11">
        <v>4063456789014</v>
      </c>
      <c r="C504" s="1" t="s">
        <v>60</v>
      </c>
      <c r="D504" s="1" t="s">
        <v>12</v>
      </c>
      <c r="E504" s="1" t="s">
        <v>61</v>
      </c>
      <c r="F504">
        <v>36</v>
      </c>
      <c r="G504">
        <v>1</v>
      </c>
      <c r="H504" s="1" t="s">
        <v>14</v>
      </c>
      <c r="I504" s="1" t="s">
        <v>15</v>
      </c>
      <c r="J504" s="12">
        <v>45696</v>
      </c>
      <c r="K504">
        <v>0</v>
      </c>
      <c r="L504" s="1">
        <f t="shared" si="28"/>
        <v>36</v>
      </c>
      <c r="M504" s="1" t="str">
        <f t="shared" si="29"/>
        <v/>
      </c>
      <c r="N504" s="2">
        <f t="shared" si="30"/>
        <v>45689</v>
      </c>
      <c r="O504" t="str">
        <f t="shared" si="31"/>
        <v>pes</v>
      </c>
    </row>
    <row r="505" spans="1:15" hidden="1" x14ac:dyDescent="0.25">
      <c r="A505">
        <v>8019</v>
      </c>
      <c r="B505" s="11">
        <v>4021234567894</v>
      </c>
      <c r="C505" s="1" t="s">
        <v>79</v>
      </c>
      <c r="D505" s="1" t="s">
        <v>36</v>
      </c>
      <c r="E505" s="1" t="s">
        <v>69</v>
      </c>
      <c r="F505">
        <v>8</v>
      </c>
      <c r="G505">
        <v>1</v>
      </c>
      <c r="H505" s="1" t="s">
        <v>14</v>
      </c>
      <c r="I505" s="1" t="s">
        <v>15</v>
      </c>
      <c r="J505" s="12">
        <v>45696</v>
      </c>
      <c r="K505">
        <v>0</v>
      </c>
      <c r="L505" s="1">
        <f t="shared" si="28"/>
        <v>8</v>
      </c>
      <c r="M505" s="1" t="str">
        <f t="shared" si="29"/>
        <v/>
      </c>
      <c r="N505" s="2">
        <f t="shared" si="30"/>
        <v>45689</v>
      </c>
      <c r="O505" t="str">
        <f t="shared" si="31"/>
        <v>mačka</v>
      </c>
    </row>
    <row r="506" spans="1:15" x14ac:dyDescent="0.25">
      <c r="A506">
        <v>8020</v>
      </c>
      <c r="B506" s="11">
        <v>4003344556679</v>
      </c>
      <c r="C506" s="1" t="s">
        <v>132</v>
      </c>
      <c r="D506" s="1" t="s">
        <v>133</v>
      </c>
      <c r="E506" s="1" t="s">
        <v>134</v>
      </c>
      <c r="F506">
        <v>51.64</v>
      </c>
      <c r="G506">
        <v>1</v>
      </c>
      <c r="H506" s="1" t="s">
        <v>18</v>
      </c>
      <c r="I506" s="1" t="s">
        <v>135</v>
      </c>
      <c r="J506" s="12">
        <v>45696</v>
      </c>
      <c r="K506">
        <v>0</v>
      </c>
      <c r="L506" s="1">
        <f t="shared" si="28"/>
        <v>51.64</v>
      </c>
      <c r="M506" s="1">
        <f t="shared" si="29"/>
        <v>4</v>
      </c>
      <c r="N506" s="2">
        <f t="shared" si="30"/>
        <v>45689</v>
      </c>
      <c r="O506" t="str">
        <f t="shared" si="31"/>
        <v>pes</v>
      </c>
    </row>
    <row r="507" spans="1:15" x14ac:dyDescent="0.25">
      <c r="A507">
        <v>8021</v>
      </c>
      <c r="B507" s="11">
        <v>8008901234561</v>
      </c>
      <c r="C507" s="1" t="s">
        <v>136</v>
      </c>
      <c r="D507" s="1" t="s">
        <v>133</v>
      </c>
      <c r="E507" s="1" t="s">
        <v>27</v>
      </c>
      <c r="F507">
        <v>28</v>
      </c>
      <c r="G507">
        <v>1</v>
      </c>
      <c r="H507" s="1" t="s">
        <v>23</v>
      </c>
      <c r="I507" s="1" t="s">
        <v>137</v>
      </c>
      <c r="J507" s="12">
        <v>45696</v>
      </c>
      <c r="K507">
        <v>0</v>
      </c>
      <c r="L507" s="1">
        <f t="shared" si="28"/>
        <v>28</v>
      </c>
      <c r="M507" s="1">
        <f t="shared" si="29"/>
        <v>5</v>
      </c>
      <c r="N507" s="2">
        <f t="shared" si="30"/>
        <v>45689</v>
      </c>
      <c r="O507" t="str">
        <f t="shared" si="31"/>
        <v>pes</v>
      </c>
    </row>
    <row r="508" spans="1:15" x14ac:dyDescent="0.25">
      <c r="A508">
        <v>8022</v>
      </c>
      <c r="B508" s="11">
        <v>8592233445568</v>
      </c>
      <c r="C508" s="1" t="s">
        <v>138</v>
      </c>
      <c r="D508" s="1" t="s">
        <v>133</v>
      </c>
      <c r="E508" s="1" t="s">
        <v>17</v>
      </c>
      <c r="F508">
        <v>79.64</v>
      </c>
      <c r="G508">
        <v>1</v>
      </c>
      <c r="H508" s="1" t="s">
        <v>14</v>
      </c>
      <c r="I508" s="1" t="s">
        <v>15</v>
      </c>
      <c r="J508" s="12">
        <v>45696</v>
      </c>
      <c r="K508">
        <v>0</v>
      </c>
      <c r="L508" s="1">
        <f t="shared" si="28"/>
        <v>79.64</v>
      </c>
      <c r="M508" s="1" t="str">
        <f t="shared" si="29"/>
        <v/>
      </c>
      <c r="N508" s="2">
        <f t="shared" si="30"/>
        <v>45689</v>
      </c>
      <c r="O508" t="str">
        <f t="shared" si="31"/>
        <v>pes</v>
      </c>
    </row>
    <row r="509" spans="1:15" x14ac:dyDescent="0.25">
      <c r="A509">
        <v>8023</v>
      </c>
      <c r="B509" s="11">
        <v>4028899001126</v>
      </c>
      <c r="C509" s="1" t="s">
        <v>16</v>
      </c>
      <c r="D509" s="1" t="s">
        <v>12</v>
      </c>
      <c r="E509" s="1" t="s">
        <v>17</v>
      </c>
      <c r="F509">
        <v>2.8</v>
      </c>
      <c r="G509">
        <v>3</v>
      </c>
      <c r="H509" s="1" t="s">
        <v>14</v>
      </c>
      <c r="I509" s="1" t="s">
        <v>15</v>
      </c>
      <c r="J509" s="12">
        <v>45696</v>
      </c>
      <c r="K509">
        <v>0</v>
      </c>
      <c r="L509" s="1">
        <f t="shared" si="28"/>
        <v>8.3999999999999986</v>
      </c>
      <c r="M509" s="1" t="str">
        <f t="shared" si="29"/>
        <v/>
      </c>
      <c r="N509" s="2">
        <f t="shared" si="30"/>
        <v>45689</v>
      </c>
      <c r="O509" t="str">
        <f t="shared" si="31"/>
        <v>pes</v>
      </c>
    </row>
    <row r="510" spans="1:15" x14ac:dyDescent="0.25">
      <c r="A510">
        <v>8024</v>
      </c>
      <c r="B510" s="11">
        <v>4013456789017</v>
      </c>
      <c r="C510" s="1" t="s">
        <v>11</v>
      </c>
      <c r="D510" s="1" t="s">
        <v>12</v>
      </c>
      <c r="E510" s="1" t="s">
        <v>13</v>
      </c>
      <c r="F510">
        <v>6</v>
      </c>
      <c r="G510">
        <v>1</v>
      </c>
      <c r="H510" s="1" t="s">
        <v>14</v>
      </c>
      <c r="I510" s="1" t="s">
        <v>15</v>
      </c>
      <c r="J510" s="12">
        <v>45696</v>
      </c>
      <c r="K510">
        <v>0</v>
      </c>
      <c r="L510" s="1">
        <f t="shared" si="28"/>
        <v>6</v>
      </c>
      <c r="M510" s="1" t="str">
        <f t="shared" si="29"/>
        <v/>
      </c>
      <c r="N510" s="2">
        <f t="shared" si="30"/>
        <v>45689</v>
      </c>
      <c r="O510" t="str">
        <f t="shared" si="31"/>
        <v>pes</v>
      </c>
    </row>
    <row r="511" spans="1:15" hidden="1" x14ac:dyDescent="0.25">
      <c r="A511">
        <v>8025</v>
      </c>
      <c r="B511" s="11">
        <v>8593456789012</v>
      </c>
      <c r="C511" s="1" t="s">
        <v>28</v>
      </c>
      <c r="D511" s="1" t="s">
        <v>29</v>
      </c>
      <c r="E511" s="1" t="s">
        <v>30</v>
      </c>
      <c r="F511">
        <v>42</v>
      </c>
      <c r="G511">
        <v>1</v>
      </c>
      <c r="H511" s="1" t="s">
        <v>14</v>
      </c>
      <c r="I511" s="1" t="s">
        <v>15</v>
      </c>
      <c r="J511" s="12">
        <v>45696</v>
      </c>
      <c r="K511">
        <v>0</v>
      </c>
      <c r="L511" s="1">
        <f t="shared" si="28"/>
        <v>42</v>
      </c>
      <c r="M511" s="1" t="str">
        <f t="shared" si="29"/>
        <v/>
      </c>
      <c r="N511" s="2">
        <f t="shared" si="30"/>
        <v>45689</v>
      </c>
      <c r="O511" t="str">
        <f t="shared" si="31"/>
        <v>mačka</v>
      </c>
    </row>
    <row r="512" spans="1:15" hidden="1" x14ac:dyDescent="0.25">
      <c r="A512">
        <v>8026</v>
      </c>
      <c r="B512" s="11">
        <v>4069900112236</v>
      </c>
      <c r="C512" s="1" t="s">
        <v>139</v>
      </c>
      <c r="D512" s="1" t="s">
        <v>140</v>
      </c>
      <c r="E512" s="1" t="s">
        <v>141</v>
      </c>
      <c r="F512">
        <v>20.8</v>
      </c>
      <c r="G512">
        <v>1</v>
      </c>
      <c r="H512" s="1" t="s">
        <v>23</v>
      </c>
      <c r="I512" s="1" t="s">
        <v>142</v>
      </c>
      <c r="J512" s="12">
        <v>45696</v>
      </c>
      <c r="K512">
        <v>0</v>
      </c>
      <c r="L512" s="1">
        <f t="shared" si="28"/>
        <v>20.8</v>
      </c>
      <c r="M512" s="1">
        <f t="shared" si="29"/>
        <v>5</v>
      </c>
      <c r="N512" s="2">
        <f t="shared" si="30"/>
        <v>45689</v>
      </c>
      <c r="O512" t="str">
        <f t="shared" si="31"/>
        <v>mačka</v>
      </c>
    </row>
    <row r="513" spans="1:15" x14ac:dyDescent="0.25">
      <c r="A513">
        <v>8027</v>
      </c>
      <c r="B513" s="11">
        <v>4017890123450</v>
      </c>
      <c r="C513" s="1" t="s">
        <v>65</v>
      </c>
      <c r="D513" s="1" t="s">
        <v>39</v>
      </c>
      <c r="E513" s="1" t="s">
        <v>22</v>
      </c>
      <c r="F513">
        <v>7.6</v>
      </c>
      <c r="G513">
        <v>1</v>
      </c>
      <c r="H513" s="1" t="s">
        <v>14</v>
      </c>
      <c r="I513" s="1" t="s">
        <v>15</v>
      </c>
      <c r="J513" s="12">
        <v>45696</v>
      </c>
      <c r="K513">
        <v>0</v>
      </c>
      <c r="L513" s="1">
        <f t="shared" si="28"/>
        <v>7.6</v>
      </c>
      <c r="M513" s="1" t="str">
        <f t="shared" si="29"/>
        <v/>
      </c>
      <c r="N513" s="2">
        <f t="shared" si="30"/>
        <v>45689</v>
      </c>
      <c r="O513" t="str">
        <f t="shared" si="31"/>
        <v>pes</v>
      </c>
    </row>
    <row r="514" spans="1:15" hidden="1" x14ac:dyDescent="0.25">
      <c r="A514">
        <v>8028</v>
      </c>
      <c r="B514" s="11">
        <v>4026677889902</v>
      </c>
      <c r="C514" s="1" t="s">
        <v>52</v>
      </c>
      <c r="D514" s="1" t="s">
        <v>53</v>
      </c>
      <c r="E514" s="1" t="s">
        <v>54</v>
      </c>
      <c r="F514">
        <v>7.6</v>
      </c>
      <c r="G514">
        <v>1</v>
      </c>
      <c r="H514" s="1" t="s">
        <v>14</v>
      </c>
      <c r="I514" s="1" t="s">
        <v>15</v>
      </c>
      <c r="J514" s="12">
        <v>45696</v>
      </c>
      <c r="K514">
        <v>0</v>
      </c>
      <c r="L514" s="1">
        <f t="shared" ref="L514:L577" si="32">F514*G514</f>
        <v>7.6</v>
      </c>
      <c r="M514" s="1" t="str">
        <f t="shared" ref="M514:M577" si="33">IF(H514="NULL", "",VALUE(H514))</f>
        <v/>
      </c>
      <c r="N514" s="2">
        <f t="shared" ref="N514:N577" si="34">DATE(YEAR(J514),MONTH(J514),1)</f>
        <v>45689</v>
      </c>
      <c r="O514" t="str">
        <f t="shared" ref="O514:O577" si="35">IF(ISNUMBER(SEARCH("Mačky",D514)),"mačka",IF(ISNUMBER(SEARCH("Psy",D514)),"pes","iné"))</f>
        <v>iné</v>
      </c>
    </row>
    <row r="515" spans="1:15" x14ac:dyDescent="0.25">
      <c r="A515">
        <v>8029</v>
      </c>
      <c r="B515" s="11">
        <v>4028899001126</v>
      </c>
      <c r="C515" s="1" t="s">
        <v>16</v>
      </c>
      <c r="D515" s="1" t="s">
        <v>12</v>
      </c>
      <c r="E515" s="1" t="s">
        <v>17</v>
      </c>
      <c r="F515">
        <v>2.8</v>
      </c>
      <c r="G515">
        <v>4</v>
      </c>
      <c r="H515" s="1" t="s">
        <v>14</v>
      </c>
      <c r="I515" s="1" t="s">
        <v>15</v>
      </c>
      <c r="J515" s="12">
        <v>45697</v>
      </c>
      <c r="K515">
        <v>0</v>
      </c>
      <c r="L515" s="1">
        <f t="shared" si="32"/>
        <v>11.2</v>
      </c>
      <c r="M515" s="1" t="str">
        <f t="shared" si="33"/>
        <v/>
      </c>
      <c r="N515" s="2">
        <f t="shared" si="34"/>
        <v>45689</v>
      </c>
      <c r="O515" t="str">
        <f t="shared" si="35"/>
        <v>pes</v>
      </c>
    </row>
    <row r="516" spans="1:15" x14ac:dyDescent="0.25">
      <c r="A516">
        <v>8030</v>
      </c>
      <c r="B516" s="11">
        <v>4013456789017</v>
      </c>
      <c r="C516" s="1" t="s">
        <v>11</v>
      </c>
      <c r="D516" s="1" t="s">
        <v>12</v>
      </c>
      <c r="E516" s="1" t="s">
        <v>13</v>
      </c>
      <c r="F516">
        <v>6</v>
      </c>
      <c r="G516">
        <v>2</v>
      </c>
      <c r="H516" s="1" t="s">
        <v>14</v>
      </c>
      <c r="I516" s="1" t="s">
        <v>15</v>
      </c>
      <c r="J516" s="12">
        <v>45697</v>
      </c>
      <c r="K516">
        <v>0</v>
      </c>
      <c r="L516" s="1">
        <f t="shared" si="32"/>
        <v>12</v>
      </c>
      <c r="M516" s="1" t="str">
        <f t="shared" si="33"/>
        <v/>
      </c>
      <c r="N516" s="2">
        <f t="shared" si="34"/>
        <v>45689</v>
      </c>
      <c r="O516" t="str">
        <f t="shared" si="35"/>
        <v>pes</v>
      </c>
    </row>
    <row r="517" spans="1:15" x14ac:dyDescent="0.25">
      <c r="A517">
        <v>8031</v>
      </c>
      <c r="B517" s="11">
        <v>4040123456795</v>
      </c>
      <c r="C517" s="1" t="s">
        <v>20</v>
      </c>
      <c r="D517" s="1" t="s">
        <v>21</v>
      </c>
      <c r="E517" s="1" t="s">
        <v>22</v>
      </c>
      <c r="F517">
        <v>8.8000000000000007</v>
      </c>
      <c r="G517">
        <v>1</v>
      </c>
      <c r="H517" s="1" t="s">
        <v>14</v>
      </c>
      <c r="I517" s="1" t="s">
        <v>15</v>
      </c>
      <c r="J517" s="12">
        <v>45697</v>
      </c>
      <c r="K517">
        <v>0</v>
      </c>
      <c r="L517" s="1">
        <f t="shared" si="32"/>
        <v>8.8000000000000007</v>
      </c>
      <c r="M517" s="1" t="str">
        <f t="shared" si="33"/>
        <v/>
      </c>
      <c r="N517" s="2">
        <f t="shared" si="34"/>
        <v>45689</v>
      </c>
      <c r="O517" t="str">
        <f t="shared" si="35"/>
        <v>pes</v>
      </c>
    </row>
    <row r="518" spans="1:15" hidden="1" x14ac:dyDescent="0.25">
      <c r="A518">
        <v>8032</v>
      </c>
      <c r="B518" s="11">
        <v>4010123456783</v>
      </c>
      <c r="C518" s="1" t="s">
        <v>35</v>
      </c>
      <c r="D518" s="1" t="s">
        <v>36</v>
      </c>
      <c r="E518" s="1" t="s">
        <v>37</v>
      </c>
      <c r="F518">
        <v>14</v>
      </c>
      <c r="G518">
        <v>1</v>
      </c>
      <c r="H518" s="1" t="s">
        <v>14</v>
      </c>
      <c r="I518" s="1" t="s">
        <v>15</v>
      </c>
      <c r="J518" s="12">
        <v>45697</v>
      </c>
      <c r="K518">
        <v>0</v>
      </c>
      <c r="L518" s="1">
        <f t="shared" si="32"/>
        <v>14</v>
      </c>
      <c r="M518" s="1" t="str">
        <f t="shared" si="33"/>
        <v/>
      </c>
      <c r="N518" s="2">
        <f t="shared" si="34"/>
        <v>45689</v>
      </c>
      <c r="O518" t="str">
        <f t="shared" si="35"/>
        <v>mačka</v>
      </c>
    </row>
    <row r="519" spans="1:15" hidden="1" x14ac:dyDescent="0.25">
      <c r="A519">
        <v>8033</v>
      </c>
      <c r="B519" s="11">
        <v>4069012345682</v>
      </c>
      <c r="C519" s="1" t="s">
        <v>143</v>
      </c>
      <c r="D519" s="1" t="s">
        <v>144</v>
      </c>
      <c r="E519" s="1" t="s">
        <v>30</v>
      </c>
      <c r="F519">
        <v>26</v>
      </c>
      <c r="G519">
        <v>1</v>
      </c>
      <c r="H519" s="1" t="s">
        <v>23</v>
      </c>
      <c r="I519" s="1" t="s">
        <v>145</v>
      </c>
      <c r="J519" s="12">
        <v>45697</v>
      </c>
      <c r="K519">
        <v>0</v>
      </c>
      <c r="L519" s="1">
        <f t="shared" si="32"/>
        <v>26</v>
      </c>
      <c r="M519" s="1">
        <f t="shared" si="33"/>
        <v>5</v>
      </c>
      <c r="N519" s="2">
        <f t="shared" si="34"/>
        <v>45689</v>
      </c>
      <c r="O519" t="str">
        <f t="shared" si="35"/>
        <v>mačka</v>
      </c>
    </row>
    <row r="520" spans="1:15" x14ac:dyDescent="0.25">
      <c r="A520">
        <v>8034</v>
      </c>
      <c r="B520" s="11">
        <v>4005566778891</v>
      </c>
      <c r="C520" s="1" t="s">
        <v>146</v>
      </c>
      <c r="D520" s="1" t="s">
        <v>26</v>
      </c>
      <c r="E520" s="1" t="s">
        <v>134</v>
      </c>
      <c r="F520">
        <v>18</v>
      </c>
      <c r="G520">
        <v>1</v>
      </c>
      <c r="H520" s="1" t="s">
        <v>14</v>
      </c>
      <c r="I520" s="1" t="s">
        <v>15</v>
      </c>
      <c r="J520" s="12">
        <v>45697</v>
      </c>
      <c r="K520">
        <v>0</v>
      </c>
      <c r="L520" s="1">
        <f t="shared" si="32"/>
        <v>18</v>
      </c>
      <c r="M520" s="1" t="str">
        <f t="shared" si="33"/>
        <v/>
      </c>
      <c r="N520" s="2">
        <f t="shared" si="34"/>
        <v>45689</v>
      </c>
      <c r="O520" t="str">
        <f t="shared" si="35"/>
        <v>pes</v>
      </c>
    </row>
    <row r="521" spans="1:15" x14ac:dyDescent="0.25">
      <c r="A521">
        <v>8035</v>
      </c>
      <c r="B521" s="11">
        <v>4028899001126</v>
      </c>
      <c r="C521" s="1" t="s">
        <v>16</v>
      </c>
      <c r="D521" s="1" t="s">
        <v>12</v>
      </c>
      <c r="E521" s="1" t="s">
        <v>17</v>
      </c>
      <c r="F521">
        <v>2.8</v>
      </c>
      <c r="G521">
        <v>3</v>
      </c>
      <c r="H521" s="1" t="s">
        <v>14</v>
      </c>
      <c r="I521" s="1" t="s">
        <v>15</v>
      </c>
      <c r="J521" s="12">
        <v>45697</v>
      </c>
      <c r="K521">
        <v>0</v>
      </c>
      <c r="L521" s="1">
        <f t="shared" si="32"/>
        <v>8.3999999999999986</v>
      </c>
      <c r="M521" s="1" t="str">
        <f t="shared" si="33"/>
        <v/>
      </c>
      <c r="N521" s="2">
        <f t="shared" si="34"/>
        <v>45689</v>
      </c>
      <c r="O521" t="str">
        <f t="shared" si="35"/>
        <v>pes</v>
      </c>
    </row>
    <row r="522" spans="1:15" x14ac:dyDescent="0.25">
      <c r="A522">
        <v>8036</v>
      </c>
      <c r="B522" s="11">
        <v>4013456789017</v>
      </c>
      <c r="C522" s="1" t="s">
        <v>11</v>
      </c>
      <c r="D522" s="1" t="s">
        <v>12</v>
      </c>
      <c r="E522" s="1" t="s">
        <v>13</v>
      </c>
      <c r="F522">
        <v>6</v>
      </c>
      <c r="G522">
        <v>1</v>
      </c>
      <c r="H522" s="1" t="s">
        <v>14</v>
      </c>
      <c r="I522" s="1" t="s">
        <v>15</v>
      </c>
      <c r="J522" s="12">
        <v>45697</v>
      </c>
      <c r="K522">
        <v>0</v>
      </c>
      <c r="L522" s="1">
        <f t="shared" si="32"/>
        <v>6</v>
      </c>
      <c r="M522" s="1" t="str">
        <f t="shared" si="33"/>
        <v/>
      </c>
      <c r="N522" s="2">
        <f t="shared" si="34"/>
        <v>45689</v>
      </c>
      <c r="O522" t="str">
        <f t="shared" si="35"/>
        <v>pes</v>
      </c>
    </row>
    <row r="523" spans="1:15" x14ac:dyDescent="0.25">
      <c r="A523">
        <v>8037</v>
      </c>
      <c r="B523" s="11">
        <v>4040123456795</v>
      </c>
      <c r="C523" s="1" t="s">
        <v>20</v>
      </c>
      <c r="D523" s="1" t="s">
        <v>21</v>
      </c>
      <c r="E523" s="1" t="s">
        <v>22</v>
      </c>
      <c r="F523">
        <v>8.8000000000000007</v>
      </c>
      <c r="G523">
        <v>1</v>
      </c>
      <c r="H523" s="1" t="s">
        <v>14</v>
      </c>
      <c r="I523" s="1" t="s">
        <v>15</v>
      </c>
      <c r="J523" s="12">
        <v>45697</v>
      </c>
      <c r="K523">
        <v>0</v>
      </c>
      <c r="L523" s="1">
        <f t="shared" si="32"/>
        <v>8.8000000000000007</v>
      </c>
      <c r="M523" s="1" t="str">
        <f t="shared" si="33"/>
        <v/>
      </c>
      <c r="N523" s="2">
        <f t="shared" si="34"/>
        <v>45689</v>
      </c>
      <c r="O523" t="str">
        <f t="shared" si="35"/>
        <v>pes</v>
      </c>
    </row>
    <row r="524" spans="1:15" hidden="1" x14ac:dyDescent="0.25">
      <c r="A524">
        <v>8038</v>
      </c>
      <c r="B524" s="11">
        <v>4010123456783</v>
      </c>
      <c r="C524" s="1" t="s">
        <v>35</v>
      </c>
      <c r="D524" s="1" t="s">
        <v>36</v>
      </c>
      <c r="E524" s="1" t="s">
        <v>37</v>
      </c>
      <c r="F524">
        <v>14</v>
      </c>
      <c r="G524">
        <v>1</v>
      </c>
      <c r="H524" s="1" t="s">
        <v>14</v>
      </c>
      <c r="I524" s="1" t="s">
        <v>15</v>
      </c>
      <c r="J524" s="12">
        <v>45697</v>
      </c>
      <c r="K524">
        <v>0</v>
      </c>
      <c r="L524" s="1">
        <f t="shared" si="32"/>
        <v>14</v>
      </c>
      <c r="M524" s="1" t="str">
        <f t="shared" si="33"/>
        <v/>
      </c>
      <c r="N524" s="2">
        <f t="shared" si="34"/>
        <v>45689</v>
      </c>
      <c r="O524" t="str">
        <f t="shared" si="35"/>
        <v>mačka</v>
      </c>
    </row>
    <row r="525" spans="1:15" hidden="1" x14ac:dyDescent="0.25">
      <c r="A525">
        <v>8039</v>
      </c>
      <c r="B525" s="11">
        <v>4056789012345</v>
      </c>
      <c r="C525" s="1" t="s">
        <v>47</v>
      </c>
      <c r="D525" s="1" t="s">
        <v>29</v>
      </c>
      <c r="E525" s="1" t="s">
        <v>37</v>
      </c>
      <c r="F525">
        <v>2.4</v>
      </c>
      <c r="G525">
        <v>3</v>
      </c>
      <c r="H525" s="1" t="s">
        <v>14</v>
      </c>
      <c r="I525" s="1" t="s">
        <v>15</v>
      </c>
      <c r="J525" s="12">
        <v>45697</v>
      </c>
      <c r="K525">
        <v>0</v>
      </c>
      <c r="L525" s="1">
        <f t="shared" si="32"/>
        <v>7.1999999999999993</v>
      </c>
      <c r="M525" s="1" t="str">
        <f t="shared" si="33"/>
        <v/>
      </c>
      <c r="N525" s="2">
        <f t="shared" si="34"/>
        <v>45689</v>
      </c>
      <c r="O525" t="str">
        <f t="shared" si="35"/>
        <v>mačka</v>
      </c>
    </row>
    <row r="526" spans="1:15" x14ac:dyDescent="0.25">
      <c r="A526">
        <v>8040</v>
      </c>
      <c r="B526" s="11">
        <v>4028899001126</v>
      </c>
      <c r="C526" s="1" t="s">
        <v>16</v>
      </c>
      <c r="D526" s="1" t="s">
        <v>12</v>
      </c>
      <c r="E526" s="1" t="s">
        <v>17</v>
      </c>
      <c r="F526">
        <v>2.8</v>
      </c>
      <c r="G526">
        <v>4</v>
      </c>
      <c r="H526" s="1" t="s">
        <v>23</v>
      </c>
      <c r="I526" s="1" t="s">
        <v>147</v>
      </c>
      <c r="J526" s="12">
        <v>45697</v>
      </c>
      <c r="K526">
        <v>0</v>
      </c>
      <c r="L526" s="1">
        <f t="shared" si="32"/>
        <v>11.2</v>
      </c>
      <c r="M526" s="1">
        <f t="shared" si="33"/>
        <v>5</v>
      </c>
      <c r="N526" s="2">
        <f t="shared" si="34"/>
        <v>45689</v>
      </c>
      <c r="O526" t="str">
        <f t="shared" si="35"/>
        <v>pes</v>
      </c>
    </row>
    <row r="527" spans="1:15" x14ac:dyDescent="0.25">
      <c r="A527">
        <v>8041</v>
      </c>
      <c r="B527" s="11">
        <v>4063456789014</v>
      </c>
      <c r="C527" s="1" t="s">
        <v>60</v>
      </c>
      <c r="D527" s="1" t="s">
        <v>12</v>
      </c>
      <c r="E527" s="1" t="s">
        <v>61</v>
      </c>
      <c r="F527">
        <v>36</v>
      </c>
      <c r="G527">
        <v>1</v>
      </c>
      <c r="H527" s="1" t="s">
        <v>14</v>
      </c>
      <c r="I527" s="1" t="s">
        <v>15</v>
      </c>
      <c r="J527" s="12">
        <v>45697</v>
      </c>
      <c r="K527">
        <v>0</v>
      </c>
      <c r="L527" s="1">
        <f t="shared" si="32"/>
        <v>36</v>
      </c>
      <c r="M527" s="1" t="str">
        <f t="shared" si="33"/>
        <v/>
      </c>
      <c r="N527" s="2">
        <f t="shared" si="34"/>
        <v>45689</v>
      </c>
      <c r="O527" t="str">
        <f t="shared" si="35"/>
        <v>pes</v>
      </c>
    </row>
    <row r="528" spans="1:15" hidden="1" x14ac:dyDescent="0.25">
      <c r="A528">
        <v>8042</v>
      </c>
      <c r="B528" s="11">
        <v>4021234567894</v>
      </c>
      <c r="C528" s="1" t="s">
        <v>79</v>
      </c>
      <c r="D528" s="1" t="s">
        <v>36</v>
      </c>
      <c r="E528" s="1" t="s">
        <v>69</v>
      </c>
      <c r="F528">
        <v>8</v>
      </c>
      <c r="G528">
        <v>1</v>
      </c>
      <c r="H528" s="1" t="s">
        <v>14</v>
      </c>
      <c r="I528" s="1" t="s">
        <v>15</v>
      </c>
      <c r="J528" s="12">
        <v>45697</v>
      </c>
      <c r="K528">
        <v>0</v>
      </c>
      <c r="L528" s="1">
        <f t="shared" si="32"/>
        <v>8</v>
      </c>
      <c r="M528" s="1" t="str">
        <f t="shared" si="33"/>
        <v/>
      </c>
      <c r="N528" s="2">
        <f t="shared" si="34"/>
        <v>45689</v>
      </c>
      <c r="O528" t="str">
        <f t="shared" si="35"/>
        <v>mačka</v>
      </c>
    </row>
    <row r="529" spans="1:15" x14ac:dyDescent="0.25">
      <c r="A529">
        <v>8043</v>
      </c>
      <c r="B529" s="11">
        <v>4003344556679</v>
      </c>
      <c r="C529" s="1" t="s">
        <v>132</v>
      </c>
      <c r="D529" s="1" t="s">
        <v>133</v>
      </c>
      <c r="E529" s="1" t="s">
        <v>134</v>
      </c>
      <c r="F529">
        <v>51.64</v>
      </c>
      <c r="G529">
        <v>1</v>
      </c>
      <c r="H529" s="1" t="s">
        <v>18</v>
      </c>
      <c r="I529" s="1" t="s">
        <v>148</v>
      </c>
      <c r="J529" s="12">
        <v>45698</v>
      </c>
      <c r="K529">
        <v>0</v>
      </c>
      <c r="L529" s="1">
        <f t="shared" si="32"/>
        <v>51.64</v>
      </c>
      <c r="M529" s="1">
        <f t="shared" si="33"/>
        <v>4</v>
      </c>
      <c r="N529" s="2">
        <f t="shared" si="34"/>
        <v>45689</v>
      </c>
      <c r="O529" t="str">
        <f t="shared" si="35"/>
        <v>pes</v>
      </c>
    </row>
    <row r="530" spans="1:15" x14ac:dyDescent="0.25">
      <c r="A530">
        <v>8044</v>
      </c>
      <c r="B530" s="11">
        <v>8008901234561</v>
      </c>
      <c r="C530" s="1" t="s">
        <v>136</v>
      </c>
      <c r="D530" s="1" t="s">
        <v>133</v>
      </c>
      <c r="E530" s="1" t="s">
        <v>27</v>
      </c>
      <c r="F530">
        <v>28</v>
      </c>
      <c r="G530">
        <v>1</v>
      </c>
      <c r="H530" s="1" t="s">
        <v>14</v>
      </c>
      <c r="I530" s="1" t="s">
        <v>15</v>
      </c>
      <c r="J530" s="12">
        <v>45698</v>
      </c>
      <c r="K530">
        <v>0</v>
      </c>
      <c r="L530" s="1">
        <f t="shared" si="32"/>
        <v>28</v>
      </c>
      <c r="M530" s="1" t="str">
        <f t="shared" si="33"/>
        <v/>
      </c>
      <c r="N530" s="2">
        <f t="shared" si="34"/>
        <v>45689</v>
      </c>
      <c r="O530" t="str">
        <f t="shared" si="35"/>
        <v>pes</v>
      </c>
    </row>
    <row r="531" spans="1:15" x14ac:dyDescent="0.25">
      <c r="A531">
        <v>8045</v>
      </c>
      <c r="B531" s="11">
        <v>8592233445568</v>
      </c>
      <c r="C531" s="1" t="s">
        <v>138</v>
      </c>
      <c r="D531" s="1" t="s">
        <v>133</v>
      </c>
      <c r="E531" s="1" t="s">
        <v>17</v>
      </c>
      <c r="F531">
        <v>79.64</v>
      </c>
      <c r="G531">
        <v>1</v>
      </c>
      <c r="H531" s="1" t="s">
        <v>14</v>
      </c>
      <c r="I531" s="1" t="s">
        <v>15</v>
      </c>
      <c r="J531" s="12">
        <v>45698</v>
      </c>
      <c r="K531">
        <v>0</v>
      </c>
      <c r="L531" s="1">
        <f t="shared" si="32"/>
        <v>79.64</v>
      </c>
      <c r="M531" s="1" t="str">
        <f t="shared" si="33"/>
        <v/>
      </c>
      <c r="N531" s="2">
        <f t="shared" si="34"/>
        <v>45689</v>
      </c>
      <c r="O531" t="str">
        <f t="shared" si="35"/>
        <v>pes</v>
      </c>
    </row>
    <row r="532" spans="1:15" hidden="1" x14ac:dyDescent="0.25">
      <c r="A532">
        <v>8046</v>
      </c>
      <c r="B532" s="11">
        <v>8597890123456</v>
      </c>
      <c r="C532" s="1" t="s">
        <v>149</v>
      </c>
      <c r="D532" s="1" t="s">
        <v>144</v>
      </c>
      <c r="E532" s="1" t="s">
        <v>30</v>
      </c>
      <c r="F532">
        <v>18.8</v>
      </c>
      <c r="G532">
        <v>1</v>
      </c>
      <c r="H532" s="1" t="s">
        <v>14</v>
      </c>
      <c r="I532" s="1" t="s">
        <v>15</v>
      </c>
      <c r="J532" s="12">
        <v>45698</v>
      </c>
      <c r="K532">
        <v>0</v>
      </c>
      <c r="L532" s="1">
        <f t="shared" si="32"/>
        <v>18.8</v>
      </c>
      <c r="M532" s="1" t="str">
        <f t="shared" si="33"/>
        <v/>
      </c>
      <c r="N532" s="2">
        <f t="shared" si="34"/>
        <v>45689</v>
      </c>
      <c r="O532" t="str">
        <f t="shared" si="35"/>
        <v>mačka</v>
      </c>
    </row>
    <row r="533" spans="1:15" x14ac:dyDescent="0.25">
      <c r="A533">
        <v>8047</v>
      </c>
      <c r="B533" s="11">
        <v>4028899001126</v>
      </c>
      <c r="C533" s="1" t="s">
        <v>16</v>
      </c>
      <c r="D533" s="1" t="s">
        <v>12</v>
      </c>
      <c r="E533" s="1" t="s">
        <v>17</v>
      </c>
      <c r="F533">
        <v>2.8</v>
      </c>
      <c r="G533">
        <v>3</v>
      </c>
      <c r="H533" s="1" t="s">
        <v>14</v>
      </c>
      <c r="I533" s="1" t="s">
        <v>15</v>
      </c>
      <c r="J533" s="12">
        <v>45698</v>
      </c>
      <c r="K533">
        <v>0</v>
      </c>
      <c r="L533" s="1">
        <f t="shared" si="32"/>
        <v>8.3999999999999986</v>
      </c>
      <c r="M533" s="1" t="str">
        <f t="shared" si="33"/>
        <v/>
      </c>
      <c r="N533" s="2">
        <f t="shared" si="34"/>
        <v>45689</v>
      </c>
      <c r="O533" t="str">
        <f t="shared" si="35"/>
        <v>pes</v>
      </c>
    </row>
    <row r="534" spans="1:15" x14ac:dyDescent="0.25">
      <c r="A534">
        <v>8048</v>
      </c>
      <c r="B534" s="11">
        <v>4013456789017</v>
      </c>
      <c r="C534" s="1" t="s">
        <v>11</v>
      </c>
      <c r="D534" s="1" t="s">
        <v>12</v>
      </c>
      <c r="E534" s="1" t="s">
        <v>13</v>
      </c>
      <c r="F534">
        <v>6</v>
      </c>
      <c r="G534">
        <v>1</v>
      </c>
      <c r="H534" s="1" t="s">
        <v>14</v>
      </c>
      <c r="I534" s="1" t="s">
        <v>15</v>
      </c>
      <c r="J534" s="12">
        <v>45698</v>
      </c>
      <c r="K534">
        <v>0</v>
      </c>
      <c r="L534" s="1">
        <f t="shared" si="32"/>
        <v>6</v>
      </c>
      <c r="M534" s="1" t="str">
        <f t="shared" si="33"/>
        <v/>
      </c>
      <c r="N534" s="2">
        <f t="shared" si="34"/>
        <v>45689</v>
      </c>
      <c r="O534" t="str">
        <f t="shared" si="35"/>
        <v>pes</v>
      </c>
    </row>
    <row r="535" spans="1:15" x14ac:dyDescent="0.25">
      <c r="A535">
        <v>8049</v>
      </c>
      <c r="B535" s="11">
        <v>4040123456795</v>
      </c>
      <c r="C535" s="1" t="s">
        <v>20</v>
      </c>
      <c r="D535" s="1" t="s">
        <v>21</v>
      </c>
      <c r="E535" s="1" t="s">
        <v>22</v>
      </c>
      <c r="F535">
        <v>8.8000000000000007</v>
      </c>
      <c r="G535">
        <v>1</v>
      </c>
      <c r="H535" s="1" t="s">
        <v>14</v>
      </c>
      <c r="I535" s="1" t="s">
        <v>15</v>
      </c>
      <c r="J535" s="12">
        <v>45698</v>
      </c>
      <c r="K535">
        <v>0</v>
      </c>
      <c r="L535" s="1">
        <f t="shared" si="32"/>
        <v>8.8000000000000007</v>
      </c>
      <c r="M535" s="1" t="str">
        <f t="shared" si="33"/>
        <v/>
      </c>
      <c r="N535" s="2">
        <f t="shared" si="34"/>
        <v>45689</v>
      </c>
      <c r="O535" t="str">
        <f t="shared" si="35"/>
        <v>pes</v>
      </c>
    </row>
    <row r="536" spans="1:15" hidden="1" x14ac:dyDescent="0.25">
      <c r="A536">
        <v>8050</v>
      </c>
      <c r="B536" s="11">
        <v>4010123456783</v>
      </c>
      <c r="C536" s="1" t="s">
        <v>35</v>
      </c>
      <c r="D536" s="1" t="s">
        <v>36</v>
      </c>
      <c r="E536" s="1" t="s">
        <v>37</v>
      </c>
      <c r="F536">
        <v>14</v>
      </c>
      <c r="G536">
        <v>1</v>
      </c>
      <c r="H536" s="1" t="s">
        <v>14</v>
      </c>
      <c r="I536" s="1" t="s">
        <v>15</v>
      </c>
      <c r="J536" s="12">
        <v>45698</v>
      </c>
      <c r="K536">
        <v>0</v>
      </c>
      <c r="L536" s="1">
        <f t="shared" si="32"/>
        <v>14</v>
      </c>
      <c r="M536" s="1" t="str">
        <f t="shared" si="33"/>
        <v/>
      </c>
      <c r="N536" s="2">
        <f t="shared" si="34"/>
        <v>45689</v>
      </c>
      <c r="O536" t="str">
        <f t="shared" si="35"/>
        <v>mačka</v>
      </c>
    </row>
    <row r="537" spans="1:15" hidden="1" x14ac:dyDescent="0.25">
      <c r="A537">
        <v>8051</v>
      </c>
      <c r="B537" s="11">
        <v>4056789012345</v>
      </c>
      <c r="C537" s="1" t="s">
        <v>47</v>
      </c>
      <c r="D537" s="1" t="s">
        <v>29</v>
      </c>
      <c r="E537" s="1" t="s">
        <v>37</v>
      </c>
      <c r="F537">
        <v>2.4</v>
      </c>
      <c r="G537">
        <v>3</v>
      </c>
      <c r="H537" s="1" t="s">
        <v>14</v>
      </c>
      <c r="I537" s="1" t="s">
        <v>15</v>
      </c>
      <c r="J537" s="12">
        <v>45698</v>
      </c>
      <c r="K537">
        <v>0</v>
      </c>
      <c r="L537" s="1">
        <f t="shared" si="32"/>
        <v>7.1999999999999993</v>
      </c>
      <c r="M537" s="1" t="str">
        <f t="shared" si="33"/>
        <v/>
      </c>
      <c r="N537" s="2">
        <f t="shared" si="34"/>
        <v>45689</v>
      </c>
      <c r="O537" t="str">
        <f t="shared" si="35"/>
        <v>mačka</v>
      </c>
    </row>
    <row r="538" spans="1:15" x14ac:dyDescent="0.25">
      <c r="A538">
        <v>8052</v>
      </c>
      <c r="B538" s="11">
        <v>4063456789014</v>
      </c>
      <c r="C538" s="1" t="s">
        <v>60</v>
      </c>
      <c r="D538" s="1" t="s">
        <v>12</v>
      </c>
      <c r="E538" s="1" t="s">
        <v>61</v>
      </c>
      <c r="F538">
        <v>36</v>
      </c>
      <c r="G538">
        <v>1</v>
      </c>
      <c r="H538" s="1" t="s">
        <v>18</v>
      </c>
      <c r="I538" s="1" t="s">
        <v>14</v>
      </c>
      <c r="J538" s="12">
        <v>45698</v>
      </c>
      <c r="K538">
        <v>0</v>
      </c>
      <c r="L538" s="1">
        <f t="shared" si="32"/>
        <v>36</v>
      </c>
      <c r="M538" s="1">
        <f t="shared" si="33"/>
        <v>4</v>
      </c>
      <c r="N538" s="2">
        <f t="shared" si="34"/>
        <v>45689</v>
      </c>
      <c r="O538" t="str">
        <f t="shared" si="35"/>
        <v>pes</v>
      </c>
    </row>
    <row r="539" spans="1:15" x14ac:dyDescent="0.25">
      <c r="A539">
        <v>8053</v>
      </c>
      <c r="B539" s="11">
        <v>4028899001126</v>
      </c>
      <c r="C539" s="1" t="s">
        <v>16</v>
      </c>
      <c r="D539" s="1" t="s">
        <v>12</v>
      </c>
      <c r="E539" s="1" t="s">
        <v>17</v>
      </c>
      <c r="F539">
        <v>2.8</v>
      </c>
      <c r="G539">
        <v>4</v>
      </c>
      <c r="H539" s="1" t="s">
        <v>14</v>
      </c>
      <c r="I539" s="1" t="s">
        <v>15</v>
      </c>
      <c r="J539" s="12">
        <v>45699</v>
      </c>
      <c r="K539">
        <v>0</v>
      </c>
      <c r="L539" s="1">
        <f t="shared" si="32"/>
        <v>11.2</v>
      </c>
      <c r="M539" s="1" t="str">
        <f t="shared" si="33"/>
        <v/>
      </c>
      <c r="N539" s="2">
        <f t="shared" si="34"/>
        <v>45689</v>
      </c>
      <c r="O539" t="str">
        <f t="shared" si="35"/>
        <v>pes</v>
      </c>
    </row>
    <row r="540" spans="1:15" x14ac:dyDescent="0.25">
      <c r="A540">
        <v>8054</v>
      </c>
      <c r="B540" s="11">
        <v>4013456789017</v>
      </c>
      <c r="C540" s="1" t="s">
        <v>11</v>
      </c>
      <c r="D540" s="1" t="s">
        <v>12</v>
      </c>
      <c r="E540" s="1" t="s">
        <v>13</v>
      </c>
      <c r="F540">
        <v>6</v>
      </c>
      <c r="G540">
        <v>2</v>
      </c>
      <c r="H540" s="1" t="s">
        <v>14</v>
      </c>
      <c r="I540" s="1" t="s">
        <v>15</v>
      </c>
      <c r="J540" s="12">
        <v>45699</v>
      </c>
      <c r="K540">
        <v>0</v>
      </c>
      <c r="L540" s="1">
        <f t="shared" si="32"/>
        <v>12</v>
      </c>
      <c r="M540" s="1" t="str">
        <f t="shared" si="33"/>
        <v/>
      </c>
      <c r="N540" s="2">
        <f t="shared" si="34"/>
        <v>45689</v>
      </c>
      <c r="O540" t="str">
        <f t="shared" si="35"/>
        <v>pes</v>
      </c>
    </row>
    <row r="541" spans="1:15" x14ac:dyDescent="0.25">
      <c r="A541">
        <v>8055</v>
      </c>
      <c r="B541" s="11">
        <v>4040123456795</v>
      </c>
      <c r="C541" s="1" t="s">
        <v>20</v>
      </c>
      <c r="D541" s="1" t="s">
        <v>21</v>
      </c>
      <c r="E541" s="1" t="s">
        <v>22</v>
      </c>
      <c r="F541">
        <v>8.8000000000000007</v>
      </c>
      <c r="G541">
        <v>1</v>
      </c>
      <c r="H541" s="1" t="s">
        <v>14</v>
      </c>
      <c r="I541" s="1" t="s">
        <v>15</v>
      </c>
      <c r="J541" s="12">
        <v>45699</v>
      </c>
      <c r="K541">
        <v>0</v>
      </c>
      <c r="L541" s="1">
        <f t="shared" si="32"/>
        <v>8.8000000000000007</v>
      </c>
      <c r="M541" s="1" t="str">
        <f t="shared" si="33"/>
        <v/>
      </c>
      <c r="N541" s="2">
        <f t="shared" si="34"/>
        <v>45689</v>
      </c>
      <c r="O541" t="str">
        <f t="shared" si="35"/>
        <v>pes</v>
      </c>
    </row>
    <row r="542" spans="1:15" hidden="1" x14ac:dyDescent="0.25">
      <c r="A542">
        <v>8056</v>
      </c>
      <c r="B542" s="11">
        <v>4010123456783</v>
      </c>
      <c r="C542" s="1" t="s">
        <v>35</v>
      </c>
      <c r="D542" s="1" t="s">
        <v>36</v>
      </c>
      <c r="E542" s="1" t="s">
        <v>37</v>
      </c>
      <c r="F542">
        <v>14</v>
      </c>
      <c r="G542">
        <v>1</v>
      </c>
      <c r="H542" s="1" t="s">
        <v>14</v>
      </c>
      <c r="I542" s="1" t="s">
        <v>15</v>
      </c>
      <c r="J542" s="12">
        <v>45699</v>
      </c>
      <c r="K542">
        <v>0</v>
      </c>
      <c r="L542" s="1">
        <f t="shared" si="32"/>
        <v>14</v>
      </c>
      <c r="M542" s="1" t="str">
        <f t="shared" si="33"/>
        <v/>
      </c>
      <c r="N542" s="2">
        <f t="shared" si="34"/>
        <v>45689</v>
      </c>
      <c r="O542" t="str">
        <f t="shared" si="35"/>
        <v>mačka</v>
      </c>
    </row>
    <row r="543" spans="1:15" hidden="1" x14ac:dyDescent="0.25">
      <c r="A543">
        <v>8057</v>
      </c>
      <c r="B543" s="11">
        <v>4069012345682</v>
      </c>
      <c r="C543" s="1" t="s">
        <v>143</v>
      </c>
      <c r="D543" s="1" t="s">
        <v>144</v>
      </c>
      <c r="E543" s="1" t="s">
        <v>30</v>
      </c>
      <c r="F543">
        <v>26</v>
      </c>
      <c r="G543">
        <v>1</v>
      </c>
      <c r="H543" s="1" t="s">
        <v>23</v>
      </c>
      <c r="I543" s="1" t="s">
        <v>150</v>
      </c>
      <c r="J543" s="12">
        <v>45699</v>
      </c>
      <c r="K543">
        <v>0</v>
      </c>
      <c r="L543" s="1">
        <f t="shared" si="32"/>
        <v>26</v>
      </c>
      <c r="M543" s="1">
        <f t="shared" si="33"/>
        <v>5</v>
      </c>
      <c r="N543" s="2">
        <f t="shared" si="34"/>
        <v>45689</v>
      </c>
      <c r="O543" t="str">
        <f t="shared" si="35"/>
        <v>mačka</v>
      </c>
    </row>
    <row r="544" spans="1:15" x14ac:dyDescent="0.25">
      <c r="A544">
        <v>8058</v>
      </c>
      <c r="B544" s="11">
        <v>4005566778891</v>
      </c>
      <c r="C544" s="1" t="s">
        <v>146</v>
      </c>
      <c r="D544" s="1" t="s">
        <v>26</v>
      </c>
      <c r="E544" s="1" t="s">
        <v>134</v>
      </c>
      <c r="F544">
        <v>18</v>
      </c>
      <c r="G544">
        <v>1</v>
      </c>
      <c r="H544" s="1" t="s">
        <v>14</v>
      </c>
      <c r="I544" s="1" t="s">
        <v>15</v>
      </c>
      <c r="J544" s="12">
        <v>45699</v>
      </c>
      <c r="K544">
        <v>0</v>
      </c>
      <c r="L544" s="1">
        <f t="shared" si="32"/>
        <v>18</v>
      </c>
      <c r="M544" s="1" t="str">
        <f t="shared" si="33"/>
        <v/>
      </c>
      <c r="N544" s="2">
        <f t="shared" si="34"/>
        <v>45689</v>
      </c>
      <c r="O544" t="str">
        <f t="shared" si="35"/>
        <v>pes</v>
      </c>
    </row>
    <row r="545" spans="1:15" x14ac:dyDescent="0.25">
      <c r="A545">
        <v>8059</v>
      </c>
      <c r="B545" s="11">
        <v>4028899001126</v>
      </c>
      <c r="C545" s="1" t="s">
        <v>16</v>
      </c>
      <c r="D545" s="1" t="s">
        <v>12</v>
      </c>
      <c r="E545" s="1" t="s">
        <v>17</v>
      </c>
      <c r="F545">
        <v>2.8</v>
      </c>
      <c r="G545">
        <v>3</v>
      </c>
      <c r="H545" s="1" t="s">
        <v>14</v>
      </c>
      <c r="I545" s="1" t="s">
        <v>15</v>
      </c>
      <c r="J545" s="12">
        <v>45699</v>
      </c>
      <c r="K545">
        <v>0</v>
      </c>
      <c r="L545" s="1">
        <f t="shared" si="32"/>
        <v>8.3999999999999986</v>
      </c>
      <c r="M545" s="1" t="str">
        <f t="shared" si="33"/>
        <v/>
      </c>
      <c r="N545" s="2">
        <f t="shared" si="34"/>
        <v>45689</v>
      </c>
      <c r="O545" t="str">
        <f t="shared" si="35"/>
        <v>pes</v>
      </c>
    </row>
    <row r="546" spans="1:15" x14ac:dyDescent="0.25">
      <c r="A546">
        <v>8060</v>
      </c>
      <c r="B546" s="11">
        <v>4013456789017</v>
      </c>
      <c r="C546" s="1" t="s">
        <v>11</v>
      </c>
      <c r="D546" s="1" t="s">
        <v>12</v>
      </c>
      <c r="E546" s="1" t="s">
        <v>13</v>
      </c>
      <c r="F546">
        <v>6</v>
      </c>
      <c r="G546">
        <v>1</v>
      </c>
      <c r="H546" s="1" t="s">
        <v>14</v>
      </c>
      <c r="I546" s="1" t="s">
        <v>15</v>
      </c>
      <c r="J546" s="12">
        <v>45699</v>
      </c>
      <c r="K546">
        <v>0</v>
      </c>
      <c r="L546" s="1">
        <f t="shared" si="32"/>
        <v>6</v>
      </c>
      <c r="M546" s="1" t="str">
        <f t="shared" si="33"/>
        <v/>
      </c>
      <c r="N546" s="2">
        <f t="shared" si="34"/>
        <v>45689</v>
      </c>
      <c r="O546" t="str">
        <f t="shared" si="35"/>
        <v>pes</v>
      </c>
    </row>
    <row r="547" spans="1:15" x14ac:dyDescent="0.25">
      <c r="A547">
        <v>8061</v>
      </c>
      <c r="B547" s="11">
        <v>4040123456795</v>
      </c>
      <c r="C547" s="1" t="s">
        <v>20</v>
      </c>
      <c r="D547" s="1" t="s">
        <v>21</v>
      </c>
      <c r="E547" s="1" t="s">
        <v>22</v>
      </c>
      <c r="F547">
        <v>8.8000000000000007</v>
      </c>
      <c r="G547">
        <v>1</v>
      </c>
      <c r="H547" s="1" t="s">
        <v>14</v>
      </c>
      <c r="I547" s="1" t="s">
        <v>15</v>
      </c>
      <c r="J547" s="12">
        <v>45699</v>
      </c>
      <c r="K547">
        <v>0</v>
      </c>
      <c r="L547" s="1">
        <f t="shared" si="32"/>
        <v>8.8000000000000007</v>
      </c>
      <c r="M547" s="1" t="str">
        <f t="shared" si="33"/>
        <v/>
      </c>
      <c r="N547" s="2">
        <f t="shared" si="34"/>
        <v>45689</v>
      </c>
      <c r="O547" t="str">
        <f t="shared" si="35"/>
        <v>pes</v>
      </c>
    </row>
    <row r="548" spans="1:15" hidden="1" x14ac:dyDescent="0.25">
      <c r="A548">
        <v>8062</v>
      </c>
      <c r="B548" s="11">
        <v>4010123456783</v>
      </c>
      <c r="C548" s="1" t="s">
        <v>35</v>
      </c>
      <c r="D548" s="1" t="s">
        <v>36</v>
      </c>
      <c r="E548" s="1" t="s">
        <v>37</v>
      </c>
      <c r="F548">
        <v>14</v>
      </c>
      <c r="G548">
        <v>1</v>
      </c>
      <c r="H548" s="1" t="s">
        <v>14</v>
      </c>
      <c r="I548" s="1" t="s">
        <v>15</v>
      </c>
      <c r="J548" s="12">
        <v>45699</v>
      </c>
      <c r="K548">
        <v>0</v>
      </c>
      <c r="L548" s="1">
        <f t="shared" si="32"/>
        <v>14</v>
      </c>
      <c r="M548" s="1" t="str">
        <f t="shared" si="33"/>
        <v/>
      </c>
      <c r="N548" s="2">
        <f t="shared" si="34"/>
        <v>45689</v>
      </c>
      <c r="O548" t="str">
        <f t="shared" si="35"/>
        <v>mačka</v>
      </c>
    </row>
    <row r="549" spans="1:15" x14ac:dyDescent="0.25">
      <c r="A549">
        <v>8063</v>
      </c>
      <c r="B549" s="11">
        <v>4028899001126</v>
      </c>
      <c r="C549" s="1" t="s">
        <v>16</v>
      </c>
      <c r="D549" s="1" t="s">
        <v>12</v>
      </c>
      <c r="E549" s="1" t="s">
        <v>17</v>
      </c>
      <c r="F549">
        <v>2.8</v>
      </c>
      <c r="G549">
        <v>4</v>
      </c>
      <c r="H549" s="1" t="s">
        <v>14</v>
      </c>
      <c r="I549" s="1" t="s">
        <v>15</v>
      </c>
      <c r="J549" s="12">
        <v>45700</v>
      </c>
      <c r="K549">
        <v>0</v>
      </c>
      <c r="L549" s="1">
        <f t="shared" si="32"/>
        <v>11.2</v>
      </c>
      <c r="M549" s="1" t="str">
        <f t="shared" si="33"/>
        <v/>
      </c>
      <c r="N549" s="2">
        <f t="shared" si="34"/>
        <v>45689</v>
      </c>
      <c r="O549" t="str">
        <f t="shared" si="35"/>
        <v>pes</v>
      </c>
    </row>
    <row r="550" spans="1:15" x14ac:dyDescent="0.25">
      <c r="A550">
        <v>8064</v>
      </c>
      <c r="B550" s="11">
        <v>4013456789017</v>
      </c>
      <c r="C550" s="1" t="s">
        <v>11</v>
      </c>
      <c r="D550" s="1" t="s">
        <v>12</v>
      </c>
      <c r="E550" s="1" t="s">
        <v>13</v>
      </c>
      <c r="F550">
        <v>6</v>
      </c>
      <c r="G550">
        <v>2</v>
      </c>
      <c r="H550" s="1" t="s">
        <v>14</v>
      </c>
      <c r="I550" s="1" t="s">
        <v>15</v>
      </c>
      <c r="J550" s="12">
        <v>45700</v>
      </c>
      <c r="K550">
        <v>0</v>
      </c>
      <c r="L550" s="1">
        <f t="shared" si="32"/>
        <v>12</v>
      </c>
      <c r="M550" s="1" t="str">
        <f t="shared" si="33"/>
        <v/>
      </c>
      <c r="N550" s="2">
        <f t="shared" si="34"/>
        <v>45689</v>
      </c>
      <c r="O550" t="str">
        <f t="shared" si="35"/>
        <v>pes</v>
      </c>
    </row>
    <row r="551" spans="1:15" x14ac:dyDescent="0.25">
      <c r="A551">
        <v>8065</v>
      </c>
      <c r="B551" s="11">
        <v>4040123456795</v>
      </c>
      <c r="C551" s="1" t="s">
        <v>20</v>
      </c>
      <c r="D551" s="1" t="s">
        <v>21</v>
      </c>
      <c r="E551" s="1" t="s">
        <v>22</v>
      </c>
      <c r="F551">
        <v>8.8000000000000007</v>
      </c>
      <c r="G551">
        <v>1</v>
      </c>
      <c r="H551" s="1" t="s">
        <v>14</v>
      </c>
      <c r="I551" s="1" t="s">
        <v>15</v>
      </c>
      <c r="J551" s="12">
        <v>45700</v>
      </c>
      <c r="K551">
        <v>0</v>
      </c>
      <c r="L551" s="1">
        <f t="shared" si="32"/>
        <v>8.8000000000000007</v>
      </c>
      <c r="M551" s="1" t="str">
        <f t="shared" si="33"/>
        <v/>
      </c>
      <c r="N551" s="2">
        <f t="shared" si="34"/>
        <v>45689</v>
      </c>
      <c r="O551" t="str">
        <f t="shared" si="35"/>
        <v>pes</v>
      </c>
    </row>
    <row r="552" spans="1:15" hidden="1" x14ac:dyDescent="0.25">
      <c r="A552">
        <v>8066</v>
      </c>
      <c r="B552" s="11">
        <v>4010123456783</v>
      </c>
      <c r="C552" s="1" t="s">
        <v>35</v>
      </c>
      <c r="D552" s="1" t="s">
        <v>36</v>
      </c>
      <c r="E552" s="1" t="s">
        <v>37</v>
      </c>
      <c r="F552">
        <v>14</v>
      </c>
      <c r="G552">
        <v>2</v>
      </c>
      <c r="H552" s="1" t="s">
        <v>14</v>
      </c>
      <c r="I552" s="1" t="s">
        <v>15</v>
      </c>
      <c r="J552" s="12">
        <v>45700</v>
      </c>
      <c r="K552">
        <v>0</v>
      </c>
      <c r="L552" s="1">
        <f t="shared" si="32"/>
        <v>28</v>
      </c>
      <c r="M552" s="1" t="str">
        <f t="shared" si="33"/>
        <v/>
      </c>
      <c r="N552" s="2">
        <f t="shared" si="34"/>
        <v>45689</v>
      </c>
      <c r="O552" t="str">
        <f t="shared" si="35"/>
        <v>mačka</v>
      </c>
    </row>
    <row r="553" spans="1:15" x14ac:dyDescent="0.25">
      <c r="A553">
        <v>8067</v>
      </c>
      <c r="B553" s="11">
        <v>4003344556679</v>
      </c>
      <c r="C553" s="1" t="s">
        <v>132</v>
      </c>
      <c r="D553" s="1" t="s">
        <v>133</v>
      </c>
      <c r="E553" s="1" t="s">
        <v>134</v>
      </c>
      <c r="F553">
        <v>51.64</v>
      </c>
      <c r="G553">
        <v>1</v>
      </c>
      <c r="H553" s="1" t="s">
        <v>18</v>
      </c>
      <c r="I553" s="1" t="s">
        <v>151</v>
      </c>
      <c r="J553" s="12">
        <v>45700</v>
      </c>
      <c r="K553">
        <v>0</v>
      </c>
      <c r="L553" s="1">
        <f t="shared" si="32"/>
        <v>51.64</v>
      </c>
      <c r="M553" s="1">
        <f t="shared" si="33"/>
        <v>4</v>
      </c>
      <c r="N553" s="2">
        <f t="shared" si="34"/>
        <v>45689</v>
      </c>
      <c r="O553" t="str">
        <f t="shared" si="35"/>
        <v>pes</v>
      </c>
    </row>
    <row r="554" spans="1:15" x14ac:dyDescent="0.25">
      <c r="A554">
        <v>8068</v>
      </c>
      <c r="B554" s="11">
        <v>8008901234561</v>
      </c>
      <c r="C554" s="1" t="s">
        <v>136</v>
      </c>
      <c r="D554" s="1" t="s">
        <v>133</v>
      </c>
      <c r="E554" s="1" t="s">
        <v>27</v>
      </c>
      <c r="F554">
        <v>28</v>
      </c>
      <c r="G554">
        <v>1</v>
      </c>
      <c r="H554" s="1" t="s">
        <v>14</v>
      </c>
      <c r="I554" s="1" t="s">
        <v>15</v>
      </c>
      <c r="J554" s="12">
        <v>45700</v>
      </c>
      <c r="K554">
        <v>0</v>
      </c>
      <c r="L554" s="1">
        <f t="shared" si="32"/>
        <v>28</v>
      </c>
      <c r="M554" s="1" t="str">
        <f t="shared" si="33"/>
        <v/>
      </c>
      <c r="N554" s="2">
        <f t="shared" si="34"/>
        <v>45689</v>
      </c>
      <c r="O554" t="str">
        <f t="shared" si="35"/>
        <v>pes</v>
      </c>
    </row>
    <row r="555" spans="1:15" x14ac:dyDescent="0.25">
      <c r="A555">
        <v>8069</v>
      </c>
      <c r="B555" s="11">
        <v>8592233445568</v>
      </c>
      <c r="C555" s="1" t="s">
        <v>138</v>
      </c>
      <c r="D555" s="1" t="s">
        <v>133</v>
      </c>
      <c r="E555" s="1" t="s">
        <v>17</v>
      </c>
      <c r="F555">
        <v>79.64</v>
      </c>
      <c r="G555">
        <v>1</v>
      </c>
      <c r="H555" s="1" t="s">
        <v>14</v>
      </c>
      <c r="I555" s="1" t="s">
        <v>15</v>
      </c>
      <c r="J555" s="12">
        <v>45700</v>
      </c>
      <c r="K555">
        <v>0</v>
      </c>
      <c r="L555" s="1">
        <f t="shared" si="32"/>
        <v>79.64</v>
      </c>
      <c r="M555" s="1" t="str">
        <f t="shared" si="33"/>
        <v/>
      </c>
      <c r="N555" s="2">
        <f t="shared" si="34"/>
        <v>45689</v>
      </c>
      <c r="O555" t="str">
        <f t="shared" si="35"/>
        <v>pes</v>
      </c>
    </row>
    <row r="556" spans="1:15" hidden="1" x14ac:dyDescent="0.25">
      <c r="A556">
        <v>8070</v>
      </c>
      <c r="B556" s="11">
        <v>8597890123456</v>
      </c>
      <c r="C556" s="1" t="s">
        <v>149</v>
      </c>
      <c r="D556" s="1" t="s">
        <v>144</v>
      </c>
      <c r="E556" s="1" t="s">
        <v>30</v>
      </c>
      <c r="F556">
        <v>18.8</v>
      </c>
      <c r="G556">
        <v>1</v>
      </c>
      <c r="H556" s="1" t="s">
        <v>23</v>
      </c>
      <c r="I556" s="1" t="s">
        <v>152</v>
      </c>
      <c r="J556" s="12">
        <v>45700</v>
      </c>
      <c r="K556">
        <v>0</v>
      </c>
      <c r="L556" s="1">
        <f t="shared" si="32"/>
        <v>18.8</v>
      </c>
      <c r="M556" s="1">
        <f t="shared" si="33"/>
        <v>5</v>
      </c>
      <c r="N556" s="2">
        <f t="shared" si="34"/>
        <v>45689</v>
      </c>
      <c r="O556" t="str">
        <f t="shared" si="35"/>
        <v>mačka</v>
      </c>
    </row>
    <row r="557" spans="1:15" x14ac:dyDescent="0.25">
      <c r="A557">
        <v>8071</v>
      </c>
      <c r="B557" s="11">
        <v>4028899001126</v>
      </c>
      <c r="C557" s="1" t="s">
        <v>16</v>
      </c>
      <c r="D557" s="1" t="s">
        <v>12</v>
      </c>
      <c r="E557" s="1" t="s">
        <v>17</v>
      </c>
      <c r="F557">
        <v>2.8</v>
      </c>
      <c r="G557">
        <v>3</v>
      </c>
      <c r="H557" s="1" t="s">
        <v>14</v>
      </c>
      <c r="I557" s="1" t="s">
        <v>15</v>
      </c>
      <c r="J557" s="12">
        <v>45700</v>
      </c>
      <c r="K557">
        <v>0</v>
      </c>
      <c r="L557" s="1">
        <f t="shared" si="32"/>
        <v>8.3999999999999986</v>
      </c>
      <c r="M557" s="1" t="str">
        <f t="shared" si="33"/>
        <v/>
      </c>
      <c r="N557" s="2">
        <f t="shared" si="34"/>
        <v>45689</v>
      </c>
      <c r="O557" t="str">
        <f t="shared" si="35"/>
        <v>pes</v>
      </c>
    </row>
    <row r="558" spans="1:15" x14ac:dyDescent="0.25">
      <c r="A558">
        <v>8072</v>
      </c>
      <c r="B558" s="11">
        <v>4013456789017</v>
      </c>
      <c r="C558" s="1" t="s">
        <v>11</v>
      </c>
      <c r="D558" s="1" t="s">
        <v>12</v>
      </c>
      <c r="E558" s="1" t="s">
        <v>13</v>
      </c>
      <c r="F558">
        <v>6</v>
      </c>
      <c r="G558">
        <v>1</v>
      </c>
      <c r="H558" s="1" t="s">
        <v>14</v>
      </c>
      <c r="I558" s="1" t="s">
        <v>15</v>
      </c>
      <c r="J558" s="12">
        <v>45700</v>
      </c>
      <c r="K558">
        <v>0</v>
      </c>
      <c r="L558" s="1">
        <f t="shared" si="32"/>
        <v>6</v>
      </c>
      <c r="M558" s="1" t="str">
        <f t="shared" si="33"/>
        <v/>
      </c>
      <c r="N558" s="2">
        <f t="shared" si="34"/>
        <v>45689</v>
      </c>
      <c r="O558" t="str">
        <f t="shared" si="35"/>
        <v>pes</v>
      </c>
    </row>
    <row r="559" spans="1:15" x14ac:dyDescent="0.25">
      <c r="A559">
        <v>8073</v>
      </c>
      <c r="B559" s="11">
        <v>4040123456795</v>
      </c>
      <c r="C559" s="1" t="s">
        <v>20</v>
      </c>
      <c r="D559" s="1" t="s">
        <v>21</v>
      </c>
      <c r="E559" s="1" t="s">
        <v>22</v>
      </c>
      <c r="F559">
        <v>8.8000000000000007</v>
      </c>
      <c r="G559">
        <v>1</v>
      </c>
      <c r="H559" s="1" t="s">
        <v>14</v>
      </c>
      <c r="I559" s="1" t="s">
        <v>15</v>
      </c>
      <c r="J559" s="12">
        <v>45700</v>
      </c>
      <c r="K559">
        <v>0</v>
      </c>
      <c r="L559" s="1">
        <f t="shared" si="32"/>
        <v>8.8000000000000007</v>
      </c>
      <c r="M559" s="1" t="str">
        <f t="shared" si="33"/>
        <v/>
      </c>
      <c r="N559" s="2">
        <f t="shared" si="34"/>
        <v>45689</v>
      </c>
      <c r="O559" t="str">
        <f t="shared" si="35"/>
        <v>pes</v>
      </c>
    </row>
    <row r="560" spans="1:15" hidden="1" x14ac:dyDescent="0.25">
      <c r="A560">
        <v>8074</v>
      </c>
      <c r="B560" s="11">
        <v>4010123456783</v>
      </c>
      <c r="C560" s="1" t="s">
        <v>35</v>
      </c>
      <c r="D560" s="1" t="s">
        <v>36</v>
      </c>
      <c r="E560" s="1" t="s">
        <v>37</v>
      </c>
      <c r="F560">
        <v>14</v>
      </c>
      <c r="G560">
        <v>1</v>
      </c>
      <c r="H560" s="1" t="s">
        <v>14</v>
      </c>
      <c r="I560" s="1" t="s">
        <v>15</v>
      </c>
      <c r="J560" s="12">
        <v>45700</v>
      </c>
      <c r="K560">
        <v>0</v>
      </c>
      <c r="L560" s="1">
        <f t="shared" si="32"/>
        <v>14</v>
      </c>
      <c r="M560" s="1" t="str">
        <f t="shared" si="33"/>
        <v/>
      </c>
      <c r="N560" s="2">
        <f t="shared" si="34"/>
        <v>45689</v>
      </c>
      <c r="O560" t="str">
        <f t="shared" si="35"/>
        <v>mačka</v>
      </c>
    </row>
    <row r="561" spans="1:15" hidden="1" x14ac:dyDescent="0.25">
      <c r="A561">
        <v>8075</v>
      </c>
      <c r="B561" s="11">
        <v>4056789012345</v>
      </c>
      <c r="C561" s="1" t="s">
        <v>47</v>
      </c>
      <c r="D561" s="1" t="s">
        <v>29</v>
      </c>
      <c r="E561" s="1" t="s">
        <v>37</v>
      </c>
      <c r="F561">
        <v>2.4</v>
      </c>
      <c r="G561">
        <v>2</v>
      </c>
      <c r="H561" s="1" t="s">
        <v>14</v>
      </c>
      <c r="I561" s="1" t="s">
        <v>15</v>
      </c>
      <c r="J561" s="12">
        <v>45700</v>
      </c>
      <c r="K561">
        <v>0</v>
      </c>
      <c r="L561" s="1">
        <f t="shared" si="32"/>
        <v>4.8</v>
      </c>
      <c r="M561" s="1" t="str">
        <f t="shared" si="33"/>
        <v/>
      </c>
      <c r="N561" s="2">
        <f t="shared" si="34"/>
        <v>45689</v>
      </c>
      <c r="O561" t="str">
        <f t="shared" si="35"/>
        <v>mačka</v>
      </c>
    </row>
    <row r="562" spans="1:15" x14ac:dyDescent="0.25">
      <c r="A562">
        <v>8076</v>
      </c>
      <c r="B562" s="11">
        <v>4028899001126</v>
      </c>
      <c r="C562" s="1" t="s">
        <v>16</v>
      </c>
      <c r="D562" s="1" t="s">
        <v>12</v>
      </c>
      <c r="E562" s="1" t="s">
        <v>17</v>
      </c>
      <c r="F562">
        <v>2.8</v>
      </c>
      <c r="G562">
        <v>5</v>
      </c>
      <c r="H562" s="1" t="s">
        <v>23</v>
      </c>
      <c r="I562" s="1" t="s">
        <v>153</v>
      </c>
      <c r="J562" s="12">
        <v>45700</v>
      </c>
      <c r="K562">
        <v>0</v>
      </c>
      <c r="L562" s="1">
        <f t="shared" si="32"/>
        <v>14</v>
      </c>
      <c r="M562" s="1">
        <f t="shared" si="33"/>
        <v>5</v>
      </c>
      <c r="N562" s="2">
        <f t="shared" si="34"/>
        <v>45689</v>
      </c>
      <c r="O562" t="str">
        <f t="shared" si="35"/>
        <v>pes</v>
      </c>
    </row>
    <row r="563" spans="1:15" x14ac:dyDescent="0.25">
      <c r="A563">
        <v>8077</v>
      </c>
      <c r="B563" s="11">
        <v>4063456789014</v>
      </c>
      <c r="C563" s="1" t="s">
        <v>60</v>
      </c>
      <c r="D563" s="1" t="s">
        <v>12</v>
      </c>
      <c r="E563" s="1" t="s">
        <v>61</v>
      </c>
      <c r="F563">
        <v>36</v>
      </c>
      <c r="G563">
        <v>1</v>
      </c>
      <c r="H563" s="1" t="s">
        <v>14</v>
      </c>
      <c r="I563" s="1" t="s">
        <v>15</v>
      </c>
      <c r="J563" s="12">
        <v>45700</v>
      </c>
      <c r="K563">
        <v>0</v>
      </c>
      <c r="L563" s="1">
        <f t="shared" si="32"/>
        <v>36</v>
      </c>
      <c r="M563" s="1" t="str">
        <f t="shared" si="33"/>
        <v/>
      </c>
      <c r="N563" s="2">
        <f t="shared" si="34"/>
        <v>45689</v>
      </c>
      <c r="O563" t="str">
        <f t="shared" si="35"/>
        <v>pes</v>
      </c>
    </row>
    <row r="564" spans="1:15" hidden="1" x14ac:dyDescent="0.25">
      <c r="A564">
        <v>8078</v>
      </c>
      <c r="B564" s="11">
        <v>4021234567894</v>
      </c>
      <c r="C564" s="1" t="s">
        <v>79</v>
      </c>
      <c r="D564" s="1" t="s">
        <v>36</v>
      </c>
      <c r="E564" s="1" t="s">
        <v>69</v>
      </c>
      <c r="F564">
        <v>8</v>
      </c>
      <c r="G564">
        <v>1</v>
      </c>
      <c r="H564" s="1" t="s">
        <v>14</v>
      </c>
      <c r="I564" s="1" t="s">
        <v>15</v>
      </c>
      <c r="J564" s="12">
        <v>45700</v>
      </c>
      <c r="K564">
        <v>0</v>
      </c>
      <c r="L564" s="1">
        <f t="shared" si="32"/>
        <v>8</v>
      </c>
      <c r="M564" s="1" t="str">
        <f t="shared" si="33"/>
        <v/>
      </c>
      <c r="N564" s="2">
        <f t="shared" si="34"/>
        <v>45689</v>
      </c>
      <c r="O564" t="str">
        <f t="shared" si="35"/>
        <v>mačka</v>
      </c>
    </row>
    <row r="565" spans="1:15" hidden="1" x14ac:dyDescent="0.25">
      <c r="A565">
        <v>8079</v>
      </c>
      <c r="B565" s="11">
        <v>4069012345682</v>
      </c>
      <c r="C565" s="1" t="s">
        <v>143</v>
      </c>
      <c r="D565" s="1" t="s">
        <v>144</v>
      </c>
      <c r="E565" s="1" t="s">
        <v>30</v>
      </c>
      <c r="F565">
        <v>26</v>
      </c>
      <c r="G565">
        <v>1</v>
      </c>
      <c r="H565" s="1" t="s">
        <v>23</v>
      </c>
      <c r="I565" s="1" t="s">
        <v>154</v>
      </c>
      <c r="J565" s="12">
        <v>45700</v>
      </c>
      <c r="K565">
        <v>0</v>
      </c>
      <c r="L565" s="1">
        <f t="shared" si="32"/>
        <v>26</v>
      </c>
      <c r="M565" s="1">
        <f t="shared" si="33"/>
        <v>5</v>
      </c>
      <c r="N565" s="2">
        <f t="shared" si="34"/>
        <v>45689</v>
      </c>
      <c r="O565" t="str">
        <f t="shared" si="35"/>
        <v>mačka</v>
      </c>
    </row>
    <row r="566" spans="1:15" x14ac:dyDescent="0.25">
      <c r="A566">
        <v>8080</v>
      </c>
      <c r="B566" s="11">
        <v>4005566778891</v>
      </c>
      <c r="C566" s="1" t="s">
        <v>146</v>
      </c>
      <c r="D566" s="1" t="s">
        <v>26</v>
      </c>
      <c r="E566" s="1" t="s">
        <v>134</v>
      </c>
      <c r="F566">
        <v>18</v>
      </c>
      <c r="G566">
        <v>1</v>
      </c>
      <c r="H566" s="1" t="s">
        <v>14</v>
      </c>
      <c r="I566" s="1" t="s">
        <v>15</v>
      </c>
      <c r="J566" s="12">
        <v>45700</v>
      </c>
      <c r="K566">
        <v>0</v>
      </c>
      <c r="L566" s="1">
        <f t="shared" si="32"/>
        <v>18</v>
      </c>
      <c r="M566" s="1" t="str">
        <f t="shared" si="33"/>
        <v/>
      </c>
      <c r="N566" s="2">
        <f t="shared" si="34"/>
        <v>45689</v>
      </c>
      <c r="O566" t="str">
        <f t="shared" si="35"/>
        <v>pes</v>
      </c>
    </row>
    <row r="567" spans="1:15" x14ac:dyDescent="0.25">
      <c r="A567">
        <v>8081</v>
      </c>
      <c r="B567" s="11">
        <v>4028899001126</v>
      </c>
      <c r="C567" s="1" t="s">
        <v>16</v>
      </c>
      <c r="D567" s="1" t="s">
        <v>12</v>
      </c>
      <c r="E567" s="1" t="s">
        <v>17</v>
      </c>
      <c r="F567">
        <v>2.8</v>
      </c>
      <c r="G567">
        <v>3</v>
      </c>
      <c r="H567" s="1" t="s">
        <v>14</v>
      </c>
      <c r="I567" s="1" t="s">
        <v>15</v>
      </c>
      <c r="J567" s="12">
        <v>45701</v>
      </c>
      <c r="K567">
        <v>0</v>
      </c>
      <c r="L567" s="1">
        <f t="shared" si="32"/>
        <v>8.3999999999999986</v>
      </c>
      <c r="M567" s="1" t="str">
        <f t="shared" si="33"/>
        <v/>
      </c>
      <c r="N567" s="2">
        <f t="shared" si="34"/>
        <v>45689</v>
      </c>
      <c r="O567" t="str">
        <f t="shared" si="35"/>
        <v>pes</v>
      </c>
    </row>
    <row r="568" spans="1:15" x14ac:dyDescent="0.25">
      <c r="A568">
        <v>8082</v>
      </c>
      <c r="B568" s="11">
        <v>4013456789017</v>
      </c>
      <c r="C568" s="1" t="s">
        <v>11</v>
      </c>
      <c r="D568" s="1" t="s">
        <v>12</v>
      </c>
      <c r="E568" s="1" t="s">
        <v>13</v>
      </c>
      <c r="F568">
        <v>6</v>
      </c>
      <c r="G568">
        <v>2</v>
      </c>
      <c r="H568" s="1" t="s">
        <v>14</v>
      </c>
      <c r="I568" s="1" t="s">
        <v>15</v>
      </c>
      <c r="J568" s="12">
        <v>45701</v>
      </c>
      <c r="K568">
        <v>0</v>
      </c>
      <c r="L568" s="1">
        <f t="shared" si="32"/>
        <v>12</v>
      </c>
      <c r="M568" s="1" t="str">
        <f t="shared" si="33"/>
        <v/>
      </c>
      <c r="N568" s="2">
        <f t="shared" si="34"/>
        <v>45689</v>
      </c>
      <c r="O568" t="str">
        <f t="shared" si="35"/>
        <v>pes</v>
      </c>
    </row>
    <row r="569" spans="1:15" x14ac:dyDescent="0.25">
      <c r="A569">
        <v>8083</v>
      </c>
      <c r="B569" s="11">
        <v>4040123456795</v>
      </c>
      <c r="C569" s="1" t="s">
        <v>20</v>
      </c>
      <c r="D569" s="1" t="s">
        <v>21</v>
      </c>
      <c r="E569" s="1" t="s">
        <v>22</v>
      </c>
      <c r="F569">
        <v>8.8000000000000007</v>
      </c>
      <c r="G569">
        <v>1</v>
      </c>
      <c r="H569" s="1" t="s">
        <v>14</v>
      </c>
      <c r="I569" s="1" t="s">
        <v>15</v>
      </c>
      <c r="J569" s="12">
        <v>45701</v>
      </c>
      <c r="K569">
        <v>0</v>
      </c>
      <c r="L569" s="1">
        <f t="shared" si="32"/>
        <v>8.8000000000000007</v>
      </c>
      <c r="M569" s="1" t="str">
        <f t="shared" si="33"/>
        <v/>
      </c>
      <c r="N569" s="2">
        <f t="shared" si="34"/>
        <v>45689</v>
      </c>
      <c r="O569" t="str">
        <f t="shared" si="35"/>
        <v>pes</v>
      </c>
    </row>
    <row r="570" spans="1:15" hidden="1" x14ac:dyDescent="0.25">
      <c r="A570">
        <v>8084</v>
      </c>
      <c r="B570" s="11">
        <v>4010123456783</v>
      </c>
      <c r="C570" s="1" t="s">
        <v>35</v>
      </c>
      <c r="D570" s="1" t="s">
        <v>36</v>
      </c>
      <c r="E570" s="1" t="s">
        <v>37</v>
      </c>
      <c r="F570">
        <v>14</v>
      </c>
      <c r="G570">
        <v>1</v>
      </c>
      <c r="H570" s="1" t="s">
        <v>14</v>
      </c>
      <c r="I570" s="1" t="s">
        <v>15</v>
      </c>
      <c r="J570" s="12">
        <v>45701</v>
      </c>
      <c r="K570">
        <v>0</v>
      </c>
      <c r="L570" s="1">
        <f t="shared" si="32"/>
        <v>14</v>
      </c>
      <c r="M570" s="1" t="str">
        <f t="shared" si="33"/>
        <v/>
      </c>
      <c r="N570" s="2">
        <f t="shared" si="34"/>
        <v>45689</v>
      </c>
      <c r="O570" t="str">
        <f t="shared" si="35"/>
        <v>mačka</v>
      </c>
    </row>
    <row r="571" spans="1:15" x14ac:dyDescent="0.25">
      <c r="A571">
        <v>8085</v>
      </c>
      <c r="B571" s="11">
        <v>4063456789014</v>
      </c>
      <c r="C571" s="1" t="s">
        <v>60</v>
      </c>
      <c r="D571" s="1" t="s">
        <v>12</v>
      </c>
      <c r="E571" s="1" t="s">
        <v>61</v>
      </c>
      <c r="F571">
        <v>36</v>
      </c>
      <c r="G571">
        <v>1</v>
      </c>
      <c r="H571" s="1" t="s">
        <v>18</v>
      </c>
      <c r="I571" s="1" t="s">
        <v>155</v>
      </c>
      <c r="J571" s="12">
        <v>45701</v>
      </c>
      <c r="K571">
        <v>0</v>
      </c>
      <c r="L571" s="1">
        <f t="shared" si="32"/>
        <v>36</v>
      </c>
      <c r="M571" s="1">
        <f t="shared" si="33"/>
        <v>4</v>
      </c>
      <c r="N571" s="2">
        <f t="shared" si="34"/>
        <v>45689</v>
      </c>
      <c r="O571" t="str">
        <f t="shared" si="35"/>
        <v>pes</v>
      </c>
    </row>
    <row r="572" spans="1:15" hidden="1" x14ac:dyDescent="0.25">
      <c r="A572">
        <v>8086</v>
      </c>
      <c r="B572" s="11">
        <v>4021234567894</v>
      </c>
      <c r="C572" s="1" t="s">
        <v>79</v>
      </c>
      <c r="D572" s="1" t="s">
        <v>36</v>
      </c>
      <c r="E572" s="1" t="s">
        <v>69</v>
      </c>
      <c r="F572">
        <v>8</v>
      </c>
      <c r="G572">
        <v>1</v>
      </c>
      <c r="H572" s="1" t="s">
        <v>14</v>
      </c>
      <c r="I572" s="1" t="s">
        <v>15</v>
      </c>
      <c r="J572" s="12">
        <v>45701</v>
      </c>
      <c r="K572">
        <v>0</v>
      </c>
      <c r="L572" s="1">
        <f t="shared" si="32"/>
        <v>8</v>
      </c>
      <c r="M572" s="1" t="str">
        <f t="shared" si="33"/>
        <v/>
      </c>
      <c r="N572" s="2">
        <f t="shared" si="34"/>
        <v>45689</v>
      </c>
      <c r="O572" t="str">
        <f t="shared" si="35"/>
        <v>mačka</v>
      </c>
    </row>
    <row r="573" spans="1:15" x14ac:dyDescent="0.25">
      <c r="A573">
        <v>8087</v>
      </c>
      <c r="B573" s="11">
        <v>4061011223346</v>
      </c>
      <c r="C573" s="1" t="s">
        <v>25</v>
      </c>
      <c r="D573" s="1" t="s">
        <v>26</v>
      </c>
      <c r="E573" s="1" t="s">
        <v>27</v>
      </c>
      <c r="F573">
        <v>19.600000000000001</v>
      </c>
      <c r="G573">
        <v>1</v>
      </c>
      <c r="H573" s="1" t="s">
        <v>14</v>
      </c>
      <c r="I573" s="1" t="s">
        <v>15</v>
      </c>
      <c r="J573" s="12">
        <v>45701</v>
      </c>
      <c r="K573">
        <v>0</v>
      </c>
      <c r="L573" s="1">
        <f t="shared" si="32"/>
        <v>19.600000000000001</v>
      </c>
      <c r="M573" s="1" t="str">
        <f t="shared" si="33"/>
        <v/>
      </c>
      <c r="N573" s="2">
        <f t="shared" si="34"/>
        <v>45689</v>
      </c>
      <c r="O573" t="str">
        <f t="shared" si="35"/>
        <v>pes</v>
      </c>
    </row>
    <row r="574" spans="1:15" hidden="1" x14ac:dyDescent="0.25">
      <c r="A574">
        <v>8088</v>
      </c>
      <c r="B574" s="11">
        <v>4026677889902</v>
      </c>
      <c r="C574" s="1" t="s">
        <v>52</v>
      </c>
      <c r="D574" s="1" t="s">
        <v>53</v>
      </c>
      <c r="E574" s="1" t="s">
        <v>54</v>
      </c>
      <c r="F574">
        <v>7.6</v>
      </c>
      <c r="G574">
        <v>1</v>
      </c>
      <c r="H574" s="1" t="s">
        <v>14</v>
      </c>
      <c r="I574" s="1" t="s">
        <v>15</v>
      </c>
      <c r="J574" s="12">
        <v>45701</v>
      </c>
      <c r="K574">
        <v>0</v>
      </c>
      <c r="L574" s="1">
        <f t="shared" si="32"/>
        <v>7.6</v>
      </c>
      <c r="M574" s="1" t="str">
        <f t="shared" si="33"/>
        <v/>
      </c>
      <c r="N574" s="2">
        <f t="shared" si="34"/>
        <v>45689</v>
      </c>
      <c r="O574" t="str">
        <f t="shared" si="35"/>
        <v>iné</v>
      </c>
    </row>
    <row r="575" spans="1:15" x14ac:dyDescent="0.25">
      <c r="A575">
        <v>8089</v>
      </c>
      <c r="B575" s="11">
        <v>4028899001126</v>
      </c>
      <c r="C575" s="1" t="s">
        <v>16</v>
      </c>
      <c r="D575" s="1" t="s">
        <v>12</v>
      </c>
      <c r="E575" s="1" t="s">
        <v>17</v>
      </c>
      <c r="F575">
        <v>2.8</v>
      </c>
      <c r="G575">
        <v>4</v>
      </c>
      <c r="H575" s="1" t="s">
        <v>14</v>
      </c>
      <c r="I575" s="1" t="s">
        <v>15</v>
      </c>
      <c r="J575" s="12">
        <v>45701</v>
      </c>
      <c r="K575">
        <v>0</v>
      </c>
      <c r="L575" s="1">
        <f t="shared" si="32"/>
        <v>11.2</v>
      </c>
      <c r="M575" s="1" t="str">
        <f t="shared" si="33"/>
        <v/>
      </c>
      <c r="N575" s="2">
        <f t="shared" si="34"/>
        <v>45689</v>
      </c>
      <c r="O575" t="str">
        <f t="shared" si="35"/>
        <v>pes</v>
      </c>
    </row>
    <row r="576" spans="1:15" x14ac:dyDescent="0.25">
      <c r="A576">
        <v>8090</v>
      </c>
      <c r="B576" s="11">
        <v>4013456789017</v>
      </c>
      <c r="C576" s="1" t="s">
        <v>11</v>
      </c>
      <c r="D576" s="1" t="s">
        <v>12</v>
      </c>
      <c r="E576" s="1" t="s">
        <v>13</v>
      </c>
      <c r="F576">
        <v>6</v>
      </c>
      <c r="G576">
        <v>1</v>
      </c>
      <c r="H576" s="1" t="s">
        <v>14</v>
      </c>
      <c r="I576" s="1" t="s">
        <v>15</v>
      </c>
      <c r="J576" s="12">
        <v>45701</v>
      </c>
      <c r="K576">
        <v>0</v>
      </c>
      <c r="L576" s="1">
        <f t="shared" si="32"/>
        <v>6</v>
      </c>
      <c r="M576" s="1" t="str">
        <f t="shared" si="33"/>
        <v/>
      </c>
      <c r="N576" s="2">
        <f t="shared" si="34"/>
        <v>45689</v>
      </c>
      <c r="O576" t="str">
        <f t="shared" si="35"/>
        <v>pes</v>
      </c>
    </row>
    <row r="577" spans="1:15" x14ac:dyDescent="0.25">
      <c r="A577">
        <v>8091</v>
      </c>
      <c r="B577" s="11">
        <v>4040123456795</v>
      </c>
      <c r="C577" s="1" t="s">
        <v>20</v>
      </c>
      <c r="D577" s="1" t="s">
        <v>21</v>
      </c>
      <c r="E577" s="1" t="s">
        <v>22</v>
      </c>
      <c r="F577">
        <v>8.8000000000000007</v>
      </c>
      <c r="G577">
        <v>1</v>
      </c>
      <c r="H577" s="1" t="s">
        <v>14</v>
      </c>
      <c r="I577" s="1" t="s">
        <v>15</v>
      </c>
      <c r="J577" s="12">
        <v>45701</v>
      </c>
      <c r="K577">
        <v>0</v>
      </c>
      <c r="L577" s="1">
        <f t="shared" si="32"/>
        <v>8.8000000000000007</v>
      </c>
      <c r="M577" s="1" t="str">
        <f t="shared" si="33"/>
        <v/>
      </c>
      <c r="N577" s="2">
        <f t="shared" si="34"/>
        <v>45689</v>
      </c>
      <c r="O577" t="str">
        <f t="shared" si="35"/>
        <v>pes</v>
      </c>
    </row>
    <row r="578" spans="1:15" hidden="1" x14ac:dyDescent="0.25">
      <c r="A578">
        <v>8092</v>
      </c>
      <c r="B578" s="11">
        <v>4010123456783</v>
      </c>
      <c r="C578" s="1" t="s">
        <v>35</v>
      </c>
      <c r="D578" s="1" t="s">
        <v>36</v>
      </c>
      <c r="E578" s="1" t="s">
        <v>37</v>
      </c>
      <c r="F578">
        <v>14</v>
      </c>
      <c r="G578">
        <v>1</v>
      </c>
      <c r="H578" s="1" t="s">
        <v>14</v>
      </c>
      <c r="I578" s="1" t="s">
        <v>15</v>
      </c>
      <c r="J578" s="12">
        <v>45701</v>
      </c>
      <c r="K578">
        <v>0</v>
      </c>
      <c r="L578" s="1">
        <f t="shared" ref="L578:L641" si="36">F578*G578</f>
        <v>14</v>
      </c>
      <c r="M578" s="1" t="str">
        <f t="shared" ref="M578:M641" si="37">IF(H578="NULL", "",VALUE(H578))</f>
        <v/>
      </c>
      <c r="N578" s="2">
        <f t="shared" ref="N578:N641" si="38">DATE(YEAR(J578),MONTH(J578),1)</f>
        <v>45689</v>
      </c>
      <c r="O578" t="str">
        <f t="shared" ref="O578:O641" si="39">IF(ISNUMBER(SEARCH("Mačky",D578)),"mačka",IF(ISNUMBER(SEARCH("Psy",D578)),"pes","iné"))</f>
        <v>mačka</v>
      </c>
    </row>
    <row r="579" spans="1:15" x14ac:dyDescent="0.25">
      <c r="A579">
        <v>8093</v>
      </c>
      <c r="B579" s="11">
        <v>4063456789014</v>
      </c>
      <c r="C579" s="1" t="s">
        <v>60</v>
      </c>
      <c r="D579" s="1" t="s">
        <v>12</v>
      </c>
      <c r="E579" s="1" t="s">
        <v>61</v>
      </c>
      <c r="F579">
        <v>36</v>
      </c>
      <c r="G579">
        <v>1</v>
      </c>
      <c r="H579" s="1" t="s">
        <v>14</v>
      </c>
      <c r="I579" s="1" t="s">
        <v>15</v>
      </c>
      <c r="J579" s="12">
        <v>45701</v>
      </c>
      <c r="K579">
        <v>0</v>
      </c>
      <c r="L579" s="1">
        <f t="shared" si="36"/>
        <v>36</v>
      </c>
      <c r="M579" s="1" t="str">
        <f t="shared" si="37"/>
        <v/>
      </c>
      <c r="N579" s="2">
        <f t="shared" si="38"/>
        <v>45689</v>
      </c>
      <c r="O579" t="str">
        <f t="shared" si="39"/>
        <v>pes</v>
      </c>
    </row>
    <row r="580" spans="1:15" x14ac:dyDescent="0.25">
      <c r="A580">
        <v>8094</v>
      </c>
      <c r="B580" s="11">
        <v>4028899001126</v>
      </c>
      <c r="C580" s="1" t="s">
        <v>16</v>
      </c>
      <c r="D580" s="1" t="s">
        <v>12</v>
      </c>
      <c r="E580" s="1" t="s">
        <v>17</v>
      </c>
      <c r="F580">
        <v>2.8</v>
      </c>
      <c r="G580">
        <v>3</v>
      </c>
      <c r="H580" s="1" t="s">
        <v>23</v>
      </c>
      <c r="I580" s="1" t="s">
        <v>156</v>
      </c>
      <c r="J580" s="12">
        <v>45701</v>
      </c>
      <c r="K580">
        <v>0</v>
      </c>
      <c r="L580" s="1">
        <f t="shared" si="36"/>
        <v>8.3999999999999986</v>
      </c>
      <c r="M580" s="1">
        <f t="shared" si="37"/>
        <v>5</v>
      </c>
      <c r="N580" s="2">
        <f t="shared" si="38"/>
        <v>45689</v>
      </c>
      <c r="O580" t="str">
        <f t="shared" si="39"/>
        <v>pes</v>
      </c>
    </row>
    <row r="581" spans="1:15" x14ac:dyDescent="0.25">
      <c r="A581">
        <v>8095</v>
      </c>
      <c r="B581" s="11">
        <v>4013456789017</v>
      </c>
      <c r="C581" s="1" t="s">
        <v>11</v>
      </c>
      <c r="D581" s="1" t="s">
        <v>12</v>
      </c>
      <c r="E581" s="1" t="s">
        <v>13</v>
      </c>
      <c r="F581">
        <v>6</v>
      </c>
      <c r="G581">
        <v>2</v>
      </c>
      <c r="H581" s="1" t="s">
        <v>14</v>
      </c>
      <c r="I581" s="1" t="s">
        <v>15</v>
      </c>
      <c r="J581" s="12">
        <v>45701</v>
      </c>
      <c r="K581">
        <v>0</v>
      </c>
      <c r="L581" s="1">
        <f t="shared" si="36"/>
        <v>12</v>
      </c>
      <c r="M581" s="1" t="str">
        <f t="shared" si="37"/>
        <v/>
      </c>
      <c r="N581" s="2">
        <f t="shared" si="38"/>
        <v>45689</v>
      </c>
      <c r="O581" t="str">
        <f t="shared" si="39"/>
        <v>pes</v>
      </c>
    </row>
    <row r="582" spans="1:15" x14ac:dyDescent="0.25">
      <c r="A582">
        <v>8096</v>
      </c>
      <c r="B582" s="11">
        <v>4040123456795</v>
      </c>
      <c r="C582" s="1" t="s">
        <v>20</v>
      </c>
      <c r="D582" s="1" t="s">
        <v>21</v>
      </c>
      <c r="E582" s="1" t="s">
        <v>22</v>
      </c>
      <c r="F582">
        <v>8.8000000000000007</v>
      </c>
      <c r="G582">
        <v>1</v>
      </c>
      <c r="H582" s="1" t="s">
        <v>14</v>
      </c>
      <c r="I582" s="1" t="s">
        <v>15</v>
      </c>
      <c r="J582" s="12">
        <v>45701</v>
      </c>
      <c r="K582">
        <v>0</v>
      </c>
      <c r="L582" s="1">
        <f t="shared" si="36"/>
        <v>8.8000000000000007</v>
      </c>
      <c r="M582" s="1" t="str">
        <f t="shared" si="37"/>
        <v/>
      </c>
      <c r="N582" s="2">
        <f t="shared" si="38"/>
        <v>45689</v>
      </c>
      <c r="O582" t="str">
        <f t="shared" si="39"/>
        <v>pes</v>
      </c>
    </row>
    <row r="583" spans="1:15" hidden="1" x14ac:dyDescent="0.25">
      <c r="A583">
        <v>8097</v>
      </c>
      <c r="B583" s="11">
        <v>4010123456783</v>
      </c>
      <c r="C583" s="1" t="s">
        <v>35</v>
      </c>
      <c r="D583" s="1" t="s">
        <v>36</v>
      </c>
      <c r="E583" s="1" t="s">
        <v>37</v>
      </c>
      <c r="F583">
        <v>14</v>
      </c>
      <c r="G583">
        <v>1</v>
      </c>
      <c r="H583" s="1" t="s">
        <v>14</v>
      </c>
      <c r="I583" s="1" t="s">
        <v>15</v>
      </c>
      <c r="J583" s="12">
        <v>45701</v>
      </c>
      <c r="K583">
        <v>0</v>
      </c>
      <c r="L583" s="1">
        <f t="shared" si="36"/>
        <v>14</v>
      </c>
      <c r="M583" s="1" t="str">
        <f t="shared" si="37"/>
        <v/>
      </c>
      <c r="N583" s="2">
        <f t="shared" si="38"/>
        <v>45689</v>
      </c>
      <c r="O583" t="str">
        <f t="shared" si="39"/>
        <v>mačka</v>
      </c>
    </row>
    <row r="584" spans="1:15" hidden="1" x14ac:dyDescent="0.25">
      <c r="A584">
        <v>8098</v>
      </c>
      <c r="B584" s="11">
        <v>4026677889902</v>
      </c>
      <c r="C584" s="1" t="s">
        <v>52</v>
      </c>
      <c r="D584" s="1" t="s">
        <v>53</v>
      </c>
      <c r="E584" s="1" t="s">
        <v>54</v>
      </c>
      <c r="F584">
        <v>7.6</v>
      </c>
      <c r="G584">
        <v>1</v>
      </c>
      <c r="H584" s="1" t="s">
        <v>14</v>
      </c>
      <c r="I584" s="1" t="s">
        <v>15</v>
      </c>
      <c r="J584" s="12">
        <v>45701</v>
      </c>
      <c r="K584">
        <v>0</v>
      </c>
      <c r="L584" s="1">
        <f t="shared" si="36"/>
        <v>7.6</v>
      </c>
      <c r="M584" s="1" t="str">
        <f t="shared" si="37"/>
        <v/>
      </c>
      <c r="N584" s="2">
        <f t="shared" si="38"/>
        <v>45689</v>
      </c>
      <c r="O584" t="str">
        <f t="shared" si="39"/>
        <v>iné</v>
      </c>
    </row>
    <row r="585" spans="1:15" x14ac:dyDescent="0.25">
      <c r="A585">
        <v>8099</v>
      </c>
      <c r="B585" s="11">
        <v>4028899001126</v>
      </c>
      <c r="C585" s="1" t="s">
        <v>16</v>
      </c>
      <c r="D585" s="1" t="s">
        <v>12</v>
      </c>
      <c r="E585" s="1" t="s">
        <v>17</v>
      </c>
      <c r="F585">
        <v>2.8</v>
      </c>
      <c r="G585">
        <v>5</v>
      </c>
      <c r="H585" s="1" t="s">
        <v>14</v>
      </c>
      <c r="I585" s="1" t="s">
        <v>15</v>
      </c>
      <c r="J585" s="12">
        <v>45702</v>
      </c>
      <c r="K585">
        <v>0</v>
      </c>
      <c r="L585" s="1">
        <f t="shared" si="36"/>
        <v>14</v>
      </c>
      <c r="M585" s="1" t="str">
        <f t="shared" si="37"/>
        <v/>
      </c>
      <c r="N585" s="2">
        <f t="shared" si="38"/>
        <v>45689</v>
      </c>
      <c r="O585" t="str">
        <f t="shared" si="39"/>
        <v>pes</v>
      </c>
    </row>
    <row r="586" spans="1:15" x14ac:dyDescent="0.25">
      <c r="A586">
        <v>8100</v>
      </c>
      <c r="B586" s="11">
        <v>4013456789017</v>
      </c>
      <c r="C586" s="1" t="s">
        <v>11</v>
      </c>
      <c r="D586" s="1" t="s">
        <v>12</v>
      </c>
      <c r="E586" s="1" t="s">
        <v>13</v>
      </c>
      <c r="F586">
        <v>6</v>
      </c>
      <c r="G586">
        <v>2</v>
      </c>
      <c r="H586" s="1" t="s">
        <v>14</v>
      </c>
      <c r="I586" s="1" t="s">
        <v>15</v>
      </c>
      <c r="J586" s="12">
        <v>45702</v>
      </c>
      <c r="K586">
        <v>0</v>
      </c>
      <c r="L586" s="1">
        <f t="shared" si="36"/>
        <v>12</v>
      </c>
      <c r="M586" s="1" t="str">
        <f t="shared" si="37"/>
        <v/>
      </c>
      <c r="N586" s="2">
        <f t="shared" si="38"/>
        <v>45689</v>
      </c>
      <c r="O586" t="str">
        <f t="shared" si="39"/>
        <v>pes</v>
      </c>
    </row>
    <row r="587" spans="1:15" x14ac:dyDescent="0.25">
      <c r="A587">
        <v>8101</v>
      </c>
      <c r="B587" s="11">
        <v>4040123456795</v>
      </c>
      <c r="C587" s="1" t="s">
        <v>20</v>
      </c>
      <c r="D587" s="1" t="s">
        <v>21</v>
      </c>
      <c r="E587" s="1" t="s">
        <v>22</v>
      </c>
      <c r="F587">
        <v>8.8000000000000007</v>
      </c>
      <c r="G587">
        <v>1</v>
      </c>
      <c r="H587" s="1" t="s">
        <v>14</v>
      </c>
      <c r="I587" s="1" t="s">
        <v>15</v>
      </c>
      <c r="J587" s="12">
        <v>45702</v>
      </c>
      <c r="K587">
        <v>0</v>
      </c>
      <c r="L587" s="1">
        <f t="shared" si="36"/>
        <v>8.8000000000000007</v>
      </c>
      <c r="M587" s="1" t="str">
        <f t="shared" si="37"/>
        <v/>
      </c>
      <c r="N587" s="2">
        <f t="shared" si="38"/>
        <v>45689</v>
      </c>
      <c r="O587" t="str">
        <f t="shared" si="39"/>
        <v>pes</v>
      </c>
    </row>
    <row r="588" spans="1:15" hidden="1" x14ac:dyDescent="0.25">
      <c r="A588">
        <v>8102</v>
      </c>
      <c r="B588" s="11">
        <v>4010123456783</v>
      </c>
      <c r="C588" s="1" t="s">
        <v>35</v>
      </c>
      <c r="D588" s="1" t="s">
        <v>36</v>
      </c>
      <c r="E588" s="1" t="s">
        <v>37</v>
      </c>
      <c r="F588">
        <v>14</v>
      </c>
      <c r="G588">
        <v>1</v>
      </c>
      <c r="H588" s="1" t="s">
        <v>33</v>
      </c>
      <c r="I588" s="1" t="s">
        <v>14</v>
      </c>
      <c r="J588" s="12">
        <v>45702</v>
      </c>
      <c r="K588">
        <v>0</v>
      </c>
      <c r="L588" s="1">
        <f t="shared" si="36"/>
        <v>14</v>
      </c>
      <c r="M588" s="1">
        <f t="shared" si="37"/>
        <v>3</v>
      </c>
      <c r="N588" s="2">
        <f t="shared" si="38"/>
        <v>45689</v>
      </c>
      <c r="O588" t="str">
        <f t="shared" si="39"/>
        <v>mačka</v>
      </c>
    </row>
    <row r="589" spans="1:15" hidden="1" x14ac:dyDescent="0.25">
      <c r="A589">
        <v>8103</v>
      </c>
      <c r="B589" s="11">
        <v>4056789012345</v>
      </c>
      <c r="C589" s="1" t="s">
        <v>47</v>
      </c>
      <c r="D589" s="1" t="s">
        <v>29</v>
      </c>
      <c r="E589" s="1" t="s">
        <v>37</v>
      </c>
      <c r="F589">
        <v>2.4</v>
      </c>
      <c r="G589">
        <v>2</v>
      </c>
      <c r="H589" s="1" t="s">
        <v>14</v>
      </c>
      <c r="I589" s="1" t="s">
        <v>15</v>
      </c>
      <c r="J589" s="12">
        <v>45702</v>
      </c>
      <c r="K589">
        <v>0</v>
      </c>
      <c r="L589" s="1">
        <f t="shared" si="36"/>
        <v>4.8</v>
      </c>
      <c r="M589" s="1" t="str">
        <f t="shared" si="37"/>
        <v/>
      </c>
      <c r="N589" s="2">
        <f t="shared" si="38"/>
        <v>45689</v>
      </c>
      <c r="O589" t="str">
        <f t="shared" si="39"/>
        <v>mačka</v>
      </c>
    </row>
    <row r="590" spans="1:15" x14ac:dyDescent="0.25">
      <c r="A590">
        <v>8104</v>
      </c>
      <c r="B590" s="11">
        <v>4063456789014</v>
      </c>
      <c r="C590" s="1" t="s">
        <v>60</v>
      </c>
      <c r="D590" s="1" t="s">
        <v>12</v>
      </c>
      <c r="E590" s="1" t="s">
        <v>61</v>
      </c>
      <c r="F590">
        <v>36</v>
      </c>
      <c r="G590">
        <v>1</v>
      </c>
      <c r="H590" s="1" t="s">
        <v>14</v>
      </c>
      <c r="I590" s="1" t="s">
        <v>15</v>
      </c>
      <c r="J590" s="12">
        <v>45702</v>
      </c>
      <c r="K590">
        <v>0</v>
      </c>
      <c r="L590" s="1">
        <f t="shared" si="36"/>
        <v>36</v>
      </c>
      <c r="M590" s="1" t="str">
        <f t="shared" si="37"/>
        <v/>
      </c>
      <c r="N590" s="2">
        <f t="shared" si="38"/>
        <v>45689</v>
      </c>
      <c r="O590" t="str">
        <f t="shared" si="39"/>
        <v>pes</v>
      </c>
    </row>
    <row r="591" spans="1:15" hidden="1" x14ac:dyDescent="0.25">
      <c r="A591">
        <v>8105</v>
      </c>
      <c r="B591" s="11">
        <v>4021234567894</v>
      </c>
      <c r="C591" s="1" t="s">
        <v>79</v>
      </c>
      <c r="D591" s="1" t="s">
        <v>36</v>
      </c>
      <c r="E591" s="1" t="s">
        <v>69</v>
      </c>
      <c r="F591">
        <v>8</v>
      </c>
      <c r="G591">
        <v>1</v>
      </c>
      <c r="H591" s="1" t="s">
        <v>14</v>
      </c>
      <c r="I591" s="1" t="s">
        <v>15</v>
      </c>
      <c r="J591" s="12">
        <v>45702</v>
      </c>
      <c r="K591">
        <v>0</v>
      </c>
      <c r="L591" s="1">
        <f t="shared" si="36"/>
        <v>8</v>
      </c>
      <c r="M591" s="1" t="str">
        <f t="shared" si="37"/>
        <v/>
      </c>
      <c r="N591" s="2">
        <f t="shared" si="38"/>
        <v>45689</v>
      </c>
      <c r="O591" t="str">
        <f t="shared" si="39"/>
        <v>mačka</v>
      </c>
    </row>
    <row r="592" spans="1:15" x14ac:dyDescent="0.25">
      <c r="A592">
        <v>8106</v>
      </c>
      <c r="B592" s="11">
        <v>4061011223346</v>
      </c>
      <c r="C592" s="1" t="s">
        <v>25</v>
      </c>
      <c r="D592" s="1" t="s">
        <v>26</v>
      </c>
      <c r="E592" s="1" t="s">
        <v>27</v>
      </c>
      <c r="F592">
        <v>19.600000000000001</v>
      </c>
      <c r="G592">
        <v>1</v>
      </c>
      <c r="H592" s="1" t="s">
        <v>14</v>
      </c>
      <c r="I592" s="1" t="s">
        <v>15</v>
      </c>
      <c r="J592" s="12">
        <v>45702</v>
      </c>
      <c r="K592">
        <v>0</v>
      </c>
      <c r="L592" s="1">
        <f t="shared" si="36"/>
        <v>19.600000000000001</v>
      </c>
      <c r="M592" s="1" t="str">
        <f t="shared" si="37"/>
        <v/>
      </c>
      <c r="N592" s="2">
        <f t="shared" si="38"/>
        <v>45689</v>
      </c>
      <c r="O592" t="str">
        <f t="shared" si="39"/>
        <v>pes</v>
      </c>
    </row>
    <row r="593" spans="1:15" hidden="1" x14ac:dyDescent="0.25">
      <c r="A593">
        <v>8107</v>
      </c>
      <c r="B593" s="11">
        <v>4026677889902</v>
      </c>
      <c r="C593" s="1" t="s">
        <v>52</v>
      </c>
      <c r="D593" s="1" t="s">
        <v>53</v>
      </c>
      <c r="E593" s="1" t="s">
        <v>54</v>
      </c>
      <c r="F593">
        <v>7.6</v>
      </c>
      <c r="G593">
        <v>1</v>
      </c>
      <c r="H593" s="1" t="s">
        <v>14</v>
      </c>
      <c r="I593" s="1" t="s">
        <v>15</v>
      </c>
      <c r="J593" s="12">
        <v>45702</v>
      </c>
      <c r="K593">
        <v>0</v>
      </c>
      <c r="L593" s="1">
        <f t="shared" si="36"/>
        <v>7.6</v>
      </c>
      <c r="M593" s="1" t="str">
        <f t="shared" si="37"/>
        <v/>
      </c>
      <c r="N593" s="2">
        <f t="shared" si="38"/>
        <v>45689</v>
      </c>
      <c r="O593" t="str">
        <f t="shared" si="39"/>
        <v>iné</v>
      </c>
    </row>
    <row r="594" spans="1:15" x14ac:dyDescent="0.25">
      <c r="A594">
        <v>8108</v>
      </c>
      <c r="B594" s="11">
        <v>4028899001126</v>
      </c>
      <c r="C594" s="1" t="s">
        <v>16</v>
      </c>
      <c r="D594" s="1" t="s">
        <v>12</v>
      </c>
      <c r="E594" s="1" t="s">
        <v>17</v>
      </c>
      <c r="F594">
        <v>2.8</v>
      </c>
      <c r="G594">
        <v>3</v>
      </c>
      <c r="H594" s="1" t="s">
        <v>23</v>
      </c>
      <c r="I594" s="1" t="s">
        <v>157</v>
      </c>
      <c r="J594" s="12">
        <v>45702</v>
      </c>
      <c r="K594">
        <v>0</v>
      </c>
      <c r="L594" s="1">
        <f t="shared" si="36"/>
        <v>8.3999999999999986</v>
      </c>
      <c r="M594" s="1">
        <f t="shared" si="37"/>
        <v>5</v>
      </c>
      <c r="N594" s="2">
        <f t="shared" si="38"/>
        <v>45689</v>
      </c>
      <c r="O594" t="str">
        <f t="shared" si="39"/>
        <v>pes</v>
      </c>
    </row>
    <row r="595" spans="1:15" x14ac:dyDescent="0.25">
      <c r="A595">
        <v>8109</v>
      </c>
      <c r="B595" s="11">
        <v>4013456789017</v>
      </c>
      <c r="C595" s="1" t="s">
        <v>11</v>
      </c>
      <c r="D595" s="1" t="s">
        <v>12</v>
      </c>
      <c r="E595" s="1" t="s">
        <v>13</v>
      </c>
      <c r="F595">
        <v>6</v>
      </c>
      <c r="G595">
        <v>1</v>
      </c>
      <c r="H595" s="1" t="s">
        <v>14</v>
      </c>
      <c r="I595" s="1" t="s">
        <v>15</v>
      </c>
      <c r="J595" s="12">
        <v>45702</v>
      </c>
      <c r="K595">
        <v>0</v>
      </c>
      <c r="L595" s="1">
        <f t="shared" si="36"/>
        <v>6</v>
      </c>
      <c r="M595" s="1" t="str">
        <f t="shared" si="37"/>
        <v/>
      </c>
      <c r="N595" s="2">
        <f t="shared" si="38"/>
        <v>45689</v>
      </c>
      <c r="O595" t="str">
        <f t="shared" si="39"/>
        <v>pes</v>
      </c>
    </row>
    <row r="596" spans="1:15" x14ac:dyDescent="0.25">
      <c r="A596">
        <v>8110</v>
      </c>
      <c r="B596" s="11">
        <v>4040123456795</v>
      </c>
      <c r="C596" s="1" t="s">
        <v>20</v>
      </c>
      <c r="D596" s="1" t="s">
        <v>21</v>
      </c>
      <c r="E596" s="1" t="s">
        <v>22</v>
      </c>
      <c r="F596">
        <v>8.8000000000000007</v>
      </c>
      <c r="G596">
        <v>1</v>
      </c>
      <c r="H596" s="1" t="s">
        <v>14</v>
      </c>
      <c r="I596" s="1" t="s">
        <v>15</v>
      </c>
      <c r="J596" s="12">
        <v>45702</v>
      </c>
      <c r="K596">
        <v>0</v>
      </c>
      <c r="L596" s="1">
        <f t="shared" si="36"/>
        <v>8.8000000000000007</v>
      </c>
      <c r="M596" s="1" t="str">
        <f t="shared" si="37"/>
        <v/>
      </c>
      <c r="N596" s="2">
        <f t="shared" si="38"/>
        <v>45689</v>
      </c>
      <c r="O596" t="str">
        <f t="shared" si="39"/>
        <v>pes</v>
      </c>
    </row>
    <row r="597" spans="1:15" hidden="1" x14ac:dyDescent="0.25">
      <c r="A597">
        <v>8111</v>
      </c>
      <c r="B597" s="11">
        <v>4010123456783</v>
      </c>
      <c r="C597" s="1" t="s">
        <v>35</v>
      </c>
      <c r="D597" s="1" t="s">
        <v>36</v>
      </c>
      <c r="E597" s="1" t="s">
        <v>37</v>
      </c>
      <c r="F597">
        <v>14</v>
      </c>
      <c r="G597">
        <v>1</v>
      </c>
      <c r="H597" s="1" t="s">
        <v>14</v>
      </c>
      <c r="I597" s="1" t="s">
        <v>15</v>
      </c>
      <c r="J597" s="12">
        <v>45702</v>
      </c>
      <c r="K597">
        <v>0</v>
      </c>
      <c r="L597" s="1">
        <f t="shared" si="36"/>
        <v>14</v>
      </c>
      <c r="M597" s="1" t="str">
        <f t="shared" si="37"/>
        <v/>
      </c>
      <c r="N597" s="2">
        <f t="shared" si="38"/>
        <v>45689</v>
      </c>
      <c r="O597" t="str">
        <f t="shared" si="39"/>
        <v>mačka</v>
      </c>
    </row>
    <row r="598" spans="1:15" hidden="1" x14ac:dyDescent="0.25">
      <c r="A598">
        <v>8112</v>
      </c>
      <c r="B598" s="11">
        <v>4056789012345</v>
      </c>
      <c r="C598" s="1" t="s">
        <v>47</v>
      </c>
      <c r="D598" s="1" t="s">
        <v>29</v>
      </c>
      <c r="E598" s="1" t="s">
        <v>37</v>
      </c>
      <c r="F598">
        <v>2.4</v>
      </c>
      <c r="G598">
        <v>2</v>
      </c>
      <c r="H598" s="1" t="s">
        <v>14</v>
      </c>
      <c r="I598" s="1" t="s">
        <v>15</v>
      </c>
      <c r="J598" s="12">
        <v>45702</v>
      </c>
      <c r="K598">
        <v>0</v>
      </c>
      <c r="L598" s="1">
        <f t="shared" si="36"/>
        <v>4.8</v>
      </c>
      <c r="M598" s="1" t="str">
        <f t="shared" si="37"/>
        <v/>
      </c>
      <c r="N598" s="2">
        <f t="shared" si="38"/>
        <v>45689</v>
      </c>
      <c r="O598" t="str">
        <f t="shared" si="39"/>
        <v>mačka</v>
      </c>
    </row>
    <row r="599" spans="1:15" x14ac:dyDescent="0.25">
      <c r="A599">
        <v>8113</v>
      </c>
      <c r="B599" s="11">
        <v>4028899001126</v>
      </c>
      <c r="C599" s="1" t="s">
        <v>16</v>
      </c>
      <c r="D599" s="1" t="s">
        <v>12</v>
      </c>
      <c r="E599" s="1" t="s">
        <v>17</v>
      </c>
      <c r="F599">
        <v>2.8</v>
      </c>
      <c r="G599">
        <v>4</v>
      </c>
      <c r="H599" s="1" t="s">
        <v>14</v>
      </c>
      <c r="I599" s="1" t="s">
        <v>15</v>
      </c>
      <c r="J599" s="12">
        <v>45707</v>
      </c>
      <c r="K599">
        <v>0</v>
      </c>
      <c r="L599" s="1">
        <f t="shared" si="36"/>
        <v>11.2</v>
      </c>
      <c r="M599" s="1" t="str">
        <f t="shared" si="37"/>
        <v/>
      </c>
      <c r="N599" s="2">
        <f t="shared" si="38"/>
        <v>45689</v>
      </c>
      <c r="O599" t="str">
        <f t="shared" si="39"/>
        <v>pes</v>
      </c>
    </row>
    <row r="600" spans="1:15" x14ac:dyDescent="0.25">
      <c r="A600">
        <v>8114</v>
      </c>
      <c r="B600" s="11">
        <v>4013456789017</v>
      </c>
      <c r="C600" s="1" t="s">
        <v>11</v>
      </c>
      <c r="D600" s="1" t="s">
        <v>12</v>
      </c>
      <c r="E600" s="1" t="s">
        <v>13</v>
      </c>
      <c r="F600">
        <v>6</v>
      </c>
      <c r="G600">
        <v>2</v>
      </c>
      <c r="H600" s="1" t="s">
        <v>14</v>
      </c>
      <c r="I600" s="1" t="s">
        <v>15</v>
      </c>
      <c r="J600" s="12">
        <v>45707</v>
      </c>
      <c r="K600">
        <v>0</v>
      </c>
      <c r="L600" s="1">
        <f t="shared" si="36"/>
        <v>12</v>
      </c>
      <c r="M600" s="1" t="str">
        <f t="shared" si="37"/>
        <v/>
      </c>
      <c r="N600" s="2">
        <f t="shared" si="38"/>
        <v>45689</v>
      </c>
      <c r="O600" t="str">
        <f t="shared" si="39"/>
        <v>pes</v>
      </c>
    </row>
    <row r="601" spans="1:15" x14ac:dyDescent="0.25">
      <c r="A601">
        <v>8115</v>
      </c>
      <c r="B601" s="11">
        <v>4040123456795</v>
      </c>
      <c r="C601" s="1" t="s">
        <v>20</v>
      </c>
      <c r="D601" s="1" t="s">
        <v>21</v>
      </c>
      <c r="E601" s="1" t="s">
        <v>22</v>
      </c>
      <c r="F601">
        <v>8.8000000000000007</v>
      </c>
      <c r="G601">
        <v>1</v>
      </c>
      <c r="H601" s="1" t="s">
        <v>18</v>
      </c>
      <c r="I601" s="1" t="s">
        <v>158</v>
      </c>
      <c r="J601" s="12">
        <v>45707</v>
      </c>
      <c r="K601">
        <v>0</v>
      </c>
      <c r="L601" s="1">
        <f t="shared" si="36"/>
        <v>8.8000000000000007</v>
      </c>
      <c r="M601" s="1">
        <f t="shared" si="37"/>
        <v>4</v>
      </c>
      <c r="N601" s="2">
        <f t="shared" si="38"/>
        <v>45689</v>
      </c>
      <c r="O601" t="str">
        <f t="shared" si="39"/>
        <v>pes</v>
      </c>
    </row>
    <row r="602" spans="1:15" hidden="1" x14ac:dyDescent="0.25">
      <c r="A602">
        <v>8116</v>
      </c>
      <c r="B602" s="11">
        <v>4010123456783</v>
      </c>
      <c r="C602" s="1" t="s">
        <v>35</v>
      </c>
      <c r="D602" s="1" t="s">
        <v>36</v>
      </c>
      <c r="E602" s="1" t="s">
        <v>37</v>
      </c>
      <c r="F602">
        <v>14</v>
      </c>
      <c r="G602">
        <v>1</v>
      </c>
      <c r="H602" s="1" t="s">
        <v>14</v>
      </c>
      <c r="I602" s="1" t="s">
        <v>15</v>
      </c>
      <c r="J602" s="12">
        <v>45707</v>
      </c>
      <c r="K602">
        <v>0</v>
      </c>
      <c r="L602" s="1">
        <f t="shared" si="36"/>
        <v>14</v>
      </c>
      <c r="M602" s="1" t="str">
        <f t="shared" si="37"/>
        <v/>
      </c>
      <c r="N602" s="2">
        <f t="shared" si="38"/>
        <v>45689</v>
      </c>
      <c r="O602" t="str">
        <f t="shared" si="39"/>
        <v>mačka</v>
      </c>
    </row>
    <row r="603" spans="1:15" hidden="1" x14ac:dyDescent="0.25">
      <c r="A603">
        <v>8117</v>
      </c>
      <c r="B603" s="11">
        <v>4069012345682</v>
      </c>
      <c r="C603" s="1" t="s">
        <v>143</v>
      </c>
      <c r="D603" s="1" t="s">
        <v>144</v>
      </c>
      <c r="E603" s="1" t="s">
        <v>30</v>
      </c>
      <c r="F603">
        <v>26</v>
      </c>
      <c r="G603">
        <v>1</v>
      </c>
      <c r="H603" s="1" t="s">
        <v>14</v>
      </c>
      <c r="I603" s="1" t="s">
        <v>15</v>
      </c>
      <c r="J603" s="12">
        <v>45707</v>
      </c>
      <c r="K603">
        <v>0</v>
      </c>
      <c r="L603" s="1">
        <f t="shared" si="36"/>
        <v>26</v>
      </c>
      <c r="M603" s="1" t="str">
        <f t="shared" si="37"/>
        <v/>
      </c>
      <c r="N603" s="2">
        <f t="shared" si="38"/>
        <v>45689</v>
      </c>
      <c r="O603" t="str">
        <f t="shared" si="39"/>
        <v>mačka</v>
      </c>
    </row>
    <row r="604" spans="1:15" x14ac:dyDescent="0.25">
      <c r="A604">
        <v>8118</v>
      </c>
      <c r="B604" s="11">
        <v>4005566778891</v>
      </c>
      <c r="C604" s="1" t="s">
        <v>146</v>
      </c>
      <c r="D604" s="1" t="s">
        <v>26</v>
      </c>
      <c r="E604" s="1" t="s">
        <v>134</v>
      </c>
      <c r="F604">
        <v>18</v>
      </c>
      <c r="G604">
        <v>1</v>
      </c>
      <c r="H604" s="1" t="s">
        <v>14</v>
      </c>
      <c r="I604" s="1" t="s">
        <v>15</v>
      </c>
      <c r="J604" s="12">
        <v>45707</v>
      </c>
      <c r="K604">
        <v>0</v>
      </c>
      <c r="L604" s="1">
        <f t="shared" si="36"/>
        <v>18</v>
      </c>
      <c r="M604" s="1" t="str">
        <f t="shared" si="37"/>
        <v/>
      </c>
      <c r="N604" s="2">
        <f t="shared" si="38"/>
        <v>45689</v>
      </c>
      <c r="O604" t="str">
        <f t="shared" si="39"/>
        <v>pes</v>
      </c>
    </row>
    <row r="605" spans="1:15" x14ac:dyDescent="0.25">
      <c r="A605">
        <v>8119</v>
      </c>
      <c r="B605" s="11">
        <v>4028899001126</v>
      </c>
      <c r="C605" s="1" t="s">
        <v>16</v>
      </c>
      <c r="D605" s="1" t="s">
        <v>12</v>
      </c>
      <c r="E605" s="1" t="s">
        <v>17</v>
      </c>
      <c r="F605">
        <v>2.8</v>
      </c>
      <c r="G605">
        <v>3</v>
      </c>
      <c r="H605" s="1" t="s">
        <v>14</v>
      </c>
      <c r="I605" s="1" t="s">
        <v>15</v>
      </c>
      <c r="J605" s="12">
        <v>45707</v>
      </c>
      <c r="K605">
        <v>0</v>
      </c>
      <c r="L605" s="1">
        <f t="shared" si="36"/>
        <v>8.3999999999999986</v>
      </c>
      <c r="M605" s="1" t="str">
        <f t="shared" si="37"/>
        <v/>
      </c>
      <c r="N605" s="2">
        <f t="shared" si="38"/>
        <v>45689</v>
      </c>
      <c r="O605" t="str">
        <f t="shared" si="39"/>
        <v>pes</v>
      </c>
    </row>
    <row r="606" spans="1:15" x14ac:dyDescent="0.25">
      <c r="A606">
        <v>8120</v>
      </c>
      <c r="B606" s="11">
        <v>4013456789017</v>
      </c>
      <c r="C606" s="1" t="s">
        <v>11</v>
      </c>
      <c r="D606" s="1" t="s">
        <v>12</v>
      </c>
      <c r="E606" s="1" t="s">
        <v>13</v>
      </c>
      <c r="F606">
        <v>6</v>
      </c>
      <c r="G606">
        <v>1</v>
      </c>
      <c r="H606" s="1" t="s">
        <v>14</v>
      </c>
      <c r="I606" s="1" t="s">
        <v>15</v>
      </c>
      <c r="J606" s="12">
        <v>45707</v>
      </c>
      <c r="K606">
        <v>0</v>
      </c>
      <c r="L606" s="1">
        <f t="shared" si="36"/>
        <v>6</v>
      </c>
      <c r="M606" s="1" t="str">
        <f t="shared" si="37"/>
        <v/>
      </c>
      <c r="N606" s="2">
        <f t="shared" si="38"/>
        <v>45689</v>
      </c>
      <c r="O606" t="str">
        <f t="shared" si="39"/>
        <v>pes</v>
      </c>
    </row>
    <row r="607" spans="1:15" x14ac:dyDescent="0.25">
      <c r="A607">
        <v>8121</v>
      </c>
      <c r="B607" s="11">
        <v>4040123456795</v>
      </c>
      <c r="C607" s="1" t="s">
        <v>20</v>
      </c>
      <c r="D607" s="1" t="s">
        <v>21</v>
      </c>
      <c r="E607" s="1" t="s">
        <v>22</v>
      </c>
      <c r="F607">
        <v>8.8000000000000007</v>
      </c>
      <c r="G607">
        <v>1</v>
      </c>
      <c r="H607" s="1" t="s">
        <v>14</v>
      </c>
      <c r="I607" s="1" t="s">
        <v>15</v>
      </c>
      <c r="J607" s="12">
        <v>45707</v>
      </c>
      <c r="K607">
        <v>0</v>
      </c>
      <c r="L607" s="1">
        <f t="shared" si="36"/>
        <v>8.8000000000000007</v>
      </c>
      <c r="M607" s="1" t="str">
        <f t="shared" si="37"/>
        <v/>
      </c>
      <c r="N607" s="2">
        <f t="shared" si="38"/>
        <v>45689</v>
      </c>
      <c r="O607" t="str">
        <f t="shared" si="39"/>
        <v>pes</v>
      </c>
    </row>
    <row r="608" spans="1:15" hidden="1" x14ac:dyDescent="0.25">
      <c r="A608">
        <v>8122</v>
      </c>
      <c r="B608" s="11">
        <v>4010123456783</v>
      </c>
      <c r="C608" s="1" t="s">
        <v>35</v>
      </c>
      <c r="D608" s="1" t="s">
        <v>36</v>
      </c>
      <c r="E608" s="1" t="s">
        <v>37</v>
      </c>
      <c r="F608">
        <v>14</v>
      </c>
      <c r="G608">
        <v>2</v>
      </c>
      <c r="H608" s="1" t="s">
        <v>14</v>
      </c>
      <c r="I608" s="1" t="s">
        <v>15</v>
      </c>
      <c r="J608" s="12">
        <v>45707</v>
      </c>
      <c r="K608">
        <v>0</v>
      </c>
      <c r="L608" s="1">
        <f t="shared" si="36"/>
        <v>28</v>
      </c>
      <c r="M608" s="1" t="str">
        <f t="shared" si="37"/>
        <v/>
      </c>
      <c r="N608" s="2">
        <f t="shared" si="38"/>
        <v>45689</v>
      </c>
      <c r="O608" t="str">
        <f t="shared" si="39"/>
        <v>mačka</v>
      </c>
    </row>
    <row r="609" spans="1:15" hidden="1" x14ac:dyDescent="0.25">
      <c r="A609">
        <v>8123</v>
      </c>
      <c r="B609" s="11">
        <v>4056789012345</v>
      </c>
      <c r="C609" s="1" t="s">
        <v>47</v>
      </c>
      <c r="D609" s="1" t="s">
        <v>29</v>
      </c>
      <c r="E609" s="1" t="s">
        <v>37</v>
      </c>
      <c r="F609">
        <v>2.4</v>
      </c>
      <c r="G609">
        <v>2</v>
      </c>
      <c r="H609" s="1" t="s">
        <v>14</v>
      </c>
      <c r="I609" s="1" t="s">
        <v>15</v>
      </c>
      <c r="J609" s="12">
        <v>45707</v>
      </c>
      <c r="K609">
        <v>0</v>
      </c>
      <c r="L609" s="1">
        <f t="shared" si="36"/>
        <v>4.8</v>
      </c>
      <c r="M609" s="1" t="str">
        <f t="shared" si="37"/>
        <v/>
      </c>
      <c r="N609" s="2">
        <f t="shared" si="38"/>
        <v>45689</v>
      </c>
      <c r="O609" t="str">
        <f t="shared" si="39"/>
        <v>mačka</v>
      </c>
    </row>
    <row r="610" spans="1:15" x14ac:dyDescent="0.25">
      <c r="A610">
        <v>8124</v>
      </c>
      <c r="B610" s="11">
        <v>4063456789014</v>
      </c>
      <c r="C610" s="1" t="s">
        <v>60</v>
      </c>
      <c r="D610" s="1" t="s">
        <v>12</v>
      </c>
      <c r="E610" s="1" t="s">
        <v>61</v>
      </c>
      <c r="F610">
        <v>36</v>
      </c>
      <c r="G610">
        <v>1</v>
      </c>
      <c r="H610" s="1" t="s">
        <v>23</v>
      </c>
      <c r="I610" s="1" t="s">
        <v>159</v>
      </c>
      <c r="J610" s="12">
        <v>45707</v>
      </c>
      <c r="K610">
        <v>0</v>
      </c>
      <c r="L610" s="1">
        <f t="shared" si="36"/>
        <v>36</v>
      </c>
      <c r="M610" s="1">
        <f t="shared" si="37"/>
        <v>5</v>
      </c>
      <c r="N610" s="2">
        <f t="shared" si="38"/>
        <v>45689</v>
      </c>
      <c r="O610" t="str">
        <f t="shared" si="39"/>
        <v>pes</v>
      </c>
    </row>
    <row r="611" spans="1:15" hidden="1" x14ac:dyDescent="0.25">
      <c r="A611">
        <v>8125</v>
      </c>
      <c r="B611" s="11">
        <v>4021234567894</v>
      </c>
      <c r="C611" s="1" t="s">
        <v>79</v>
      </c>
      <c r="D611" s="1" t="s">
        <v>36</v>
      </c>
      <c r="E611" s="1" t="s">
        <v>69</v>
      </c>
      <c r="F611">
        <v>8</v>
      </c>
      <c r="G611">
        <v>1</v>
      </c>
      <c r="H611" s="1" t="s">
        <v>14</v>
      </c>
      <c r="I611" s="1" t="s">
        <v>15</v>
      </c>
      <c r="J611" s="12">
        <v>45707</v>
      </c>
      <c r="K611">
        <v>0</v>
      </c>
      <c r="L611" s="1">
        <f t="shared" si="36"/>
        <v>8</v>
      </c>
      <c r="M611" s="1" t="str">
        <f t="shared" si="37"/>
        <v/>
      </c>
      <c r="N611" s="2">
        <f t="shared" si="38"/>
        <v>45689</v>
      </c>
      <c r="O611" t="str">
        <f t="shared" si="39"/>
        <v>mačka</v>
      </c>
    </row>
    <row r="612" spans="1:15" x14ac:dyDescent="0.25">
      <c r="A612">
        <v>8126</v>
      </c>
      <c r="B612" s="11">
        <v>4061011223346</v>
      </c>
      <c r="C612" s="1" t="s">
        <v>25</v>
      </c>
      <c r="D612" s="1" t="s">
        <v>26</v>
      </c>
      <c r="E612" s="1" t="s">
        <v>27</v>
      </c>
      <c r="F612">
        <v>19.600000000000001</v>
      </c>
      <c r="G612">
        <v>1</v>
      </c>
      <c r="H612" s="1" t="s">
        <v>14</v>
      </c>
      <c r="I612" s="1" t="s">
        <v>15</v>
      </c>
      <c r="J612" s="12">
        <v>45707</v>
      </c>
      <c r="K612">
        <v>0</v>
      </c>
      <c r="L612" s="1">
        <f t="shared" si="36"/>
        <v>19.600000000000001</v>
      </c>
      <c r="M612" s="1" t="str">
        <f t="shared" si="37"/>
        <v/>
      </c>
      <c r="N612" s="2">
        <f t="shared" si="38"/>
        <v>45689</v>
      </c>
      <c r="O612" t="str">
        <f t="shared" si="39"/>
        <v>pes</v>
      </c>
    </row>
    <row r="613" spans="1:15" hidden="1" x14ac:dyDescent="0.25">
      <c r="A613">
        <v>8127</v>
      </c>
      <c r="B613" s="11">
        <v>4026677889902</v>
      </c>
      <c r="C613" s="1" t="s">
        <v>52</v>
      </c>
      <c r="D613" s="1" t="s">
        <v>53</v>
      </c>
      <c r="E613" s="1" t="s">
        <v>54</v>
      </c>
      <c r="F613">
        <v>7.6</v>
      </c>
      <c r="G613">
        <v>1</v>
      </c>
      <c r="H613" s="1" t="s">
        <v>14</v>
      </c>
      <c r="I613" s="1" t="s">
        <v>15</v>
      </c>
      <c r="J613" s="12">
        <v>45707</v>
      </c>
      <c r="K613">
        <v>0</v>
      </c>
      <c r="L613" s="1">
        <f t="shared" si="36"/>
        <v>7.6</v>
      </c>
      <c r="M613" s="1" t="str">
        <f t="shared" si="37"/>
        <v/>
      </c>
      <c r="N613" s="2">
        <f t="shared" si="38"/>
        <v>45689</v>
      </c>
      <c r="O613" t="str">
        <f t="shared" si="39"/>
        <v>iné</v>
      </c>
    </row>
    <row r="614" spans="1:15" x14ac:dyDescent="0.25">
      <c r="A614">
        <v>8128</v>
      </c>
      <c r="B614" s="11">
        <v>4028899001126</v>
      </c>
      <c r="C614" s="1" t="s">
        <v>16</v>
      </c>
      <c r="D614" s="1" t="s">
        <v>12</v>
      </c>
      <c r="E614" s="1" t="s">
        <v>17</v>
      </c>
      <c r="F614">
        <v>2.8</v>
      </c>
      <c r="G614">
        <v>3</v>
      </c>
      <c r="H614" s="1" t="s">
        <v>14</v>
      </c>
      <c r="I614" s="1" t="s">
        <v>15</v>
      </c>
      <c r="J614" s="12">
        <v>45708</v>
      </c>
      <c r="K614">
        <v>0</v>
      </c>
      <c r="L614" s="1">
        <f t="shared" si="36"/>
        <v>8.3999999999999986</v>
      </c>
      <c r="M614" s="1" t="str">
        <f t="shared" si="37"/>
        <v/>
      </c>
      <c r="N614" s="2">
        <f t="shared" si="38"/>
        <v>45689</v>
      </c>
      <c r="O614" t="str">
        <f t="shared" si="39"/>
        <v>pes</v>
      </c>
    </row>
    <row r="615" spans="1:15" x14ac:dyDescent="0.25">
      <c r="A615">
        <v>8129</v>
      </c>
      <c r="B615" s="11">
        <v>4013456789017</v>
      </c>
      <c r="C615" s="1" t="s">
        <v>11</v>
      </c>
      <c r="D615" s="1" t="s">
        <v>12</v>
      </c>
      <c r="E615" s="1" t="s">
        <v>13</v>
      </c>
      <c r="F615">
        <v>6</v>
      </c>
      <c r="G615">
        <v>2</v>
      </c>
      <c r="H615" s="1" t="s">
        <v>14</v>
      </c>
      <c r="I615" s="1" t="s">
        <v>15</v>
      </c>
      <c r="J615" s="12">
        <v>45708</v>
      </c>
      <c r="K615">
        <v>0</v>
      </c>
      <c r="L615" s="1">
        <f t="shared" si="36"/>
        <v>12</v>
      </c>
      <c r="M615" s="1" t="str">
        <f t="shared" si="37"/>
        <v/>
      </c>
      <c r="N615" s="2">
        <f t="shared" si="38"/>
        <v>45689</v>
      </c>
      <c r="O615" t="str">
        <f t="shared" si="39"/>
        <v>pes</v>
      </c>
    </row>
    <row r="616" spans="1:15" x14ac:dyDescent="0.25">
      <c r="A616">
        <v>8130</v>
      </c>
      <c r="B616" s="11">
        <v>4040123456795</v>
      </c>
      <c r="C616" s="1" t="s">
        <v>20</v>
      </c>
      <c r="D616" s="1" t="s">
        <v>21</v>
      </c>
      <c r="E616" s="1" t="s">
        <v>22</v>
      </c>
      <c r="F616">
        <v>8.8000000000000007</v>
      </c>
      <c r="G616">
        <v>1</v>
      </c>
      <c r="H616" s="1" t="s">
        <v>14</v>
      </c>
      <c r="I616" s="1" t="s">
        <v>15</v>
      </c>
      <c r="J616" s="12">
        <v>45708</v>
      </c>
      <c r="K616">
        <v>0</v>
      </c>
      <c r="L616" s="1">
        <f t="shared" si="36"/>
        <v>8.8000000000000007</v>
      </c>
      <c r="M616" s="1" t="str">
        <f t="shared" si="37"/>
        <v/>
      </c>
      <c r="N616" s="2">
        <f t="shared" si="38"/>
        <v>45689</v>
      </c>
      <c r="O616" t="str">
        <f t="shared" si="39"/>
        <v>pes</v>
      </c>
    </row>
    <row r="617" spans="1:15" hidden="1" x14ac:dyDescent="0.25">
      <c r="A617">
        <v>8131</v>
      </c>
      <c r="B617" s="11">
        <v>4010123456783</v>
      </c>
      <c r="C617" s="1" t="s">
        <v>35</v>
      </c>
      <c r="D617" s="1" t="s">
        <v>36</v>
      </c>
      <c r="E617" s="1" t="s">
        <v>37</v>
      </c>
      <c r="F617">
        <v>14</v>
      </c>
      <c r="G617">
        <v>1</v>
      </c>
      <c r="H617" s="1" t="s">
        <v>14</v>
      </c>
      <c r="I617" s="1" t="s">
        <v>15</v>
      </c>
      <c r="J617" s="12">
        <v>45708</v>
      </c>
      <c r="K617">
        <v>0</v>
      </c>
      <c r="L617" s="1">
        <f t="shared" si="36"/>
        <v>14</v>
      </c>
      <c r="M617" s="1" t="str">
        <f t="shared" si="37"/>
        <v/>
      </c>
      <c r="N617" s="2">
        <f t="shared" si="38"/>
        <v>45689</v>
      </c>
      <c r="O617" t="str">
        <f t="shared" si="39"/>
        <v>mačka</v>
      </c>
    </row>
    <row r="618" spans="1:15" x14ac:dyDescent="0.25">
      <c r="A618">
        <v>8132</v>
      </c>
      <c r="B618" s="11">
        <v>4063456789014</v>
      </c>
      <c r="C618" s="1" t="s">
        <v>60</v>
      </c>
      <c r="D618" s="1" t="s">
        <v>12</v>
      </c>
      <c r="E618" s="1" t="s">
        <v>61</v>
      </c>
      <c r="F618">
        <v>36</v>
      </c>
      <c r="G618">
        <v>1</v>
      </c>
      <c r="H618" s="1" t="s">
        <v>14</v>
      </c>
      <c r="I618" s="1" t="s">
        <v>15</v>
      </c>
      <c r="J618" s="12">
        <v>45708</v>
      </c>
      <c r="K618">
        <v>0</v>
      </c>
      <c r="L618" s="1">
        <f t="shared" si="36"/>
        <v>36</v>
      </c>
      <c r="M618" s="1" t="str">
        <f t="shared" si="37"/>
        <v/>
      </c>
      <c r="N618" s="2">
        <f t="shared" si="38"/>
        <v>45689</v>
      </c>
      <c r="O618" t="str">
        <f t="shared" si="39"/>
        <v>pes</v>
      </c>
    </row>
    <row r="619" spans="1:15" hidden="1" x14ac:dyDescent="0.25">
      <c r="A619">
        <v>8133</v>
      </c>
      <c r="B619" s="11">
        <v>4021234567894</v>
      </c>
      <c r="C619" s="1" t="s">
        <v>79</v>
      </c>
      <c r="D619" s="1" t="s">
        <v>36</v>
      </c>
      <c r="E619" s="1" t="s">
        <v>69</v>
      </c>
      <c r="F619">
        <v>8</v>
      </c>
      <c r="G619">
        <v>1</v>
      </c>
      <c r="H619" s="1" t="s">
        <v>33</v>
      </c>
      <c r="I619" s="1" t="s">
        <v>14</v>
      </c>
      <c r="J619" s="12">
        <v>45708</v>
      </c>
      <c r="K619">
        <v>0</v>
      </c>
      <c r="L619" s="1">
        <f t="shared" si="36"/>
        <v>8</v>
      </c>
      <c r="M619" s="1">
        <f t="shared" si="37"/>
        <v>3</v>
      </c>
      <c r="N619" s="2">
        <f t="shared" si="38"/>
        <v>45689</v>
      </c>
      <c r="O619" t="str">
        <f t="shared" si="39"/>
        <v>mačka</v>
      </c>
    </row>
    <row r="620" spans="1:15" hidden="1" x14ac:dyDescent="0.25">
      <c r="A620">
        <v>8134</v>
      </c>
      <c r="B620" s="11">
        <v>4069012345682</v>
      </c>
      <c r="C620" s="1" t="s">
        <v>143</v>
      </c>
      <c r="D620" s="1" t="s">
        <v>144</v>
      </c>
      <c r="E620" s="1" t="s">
        <v>30</v>
      </c>
      <c r="F620">
        <v>26</v>
      </c>
      <c r="G620">
        <v>1</v>
      </c>
      <c r="H620" s="1" t="s">
        <v>23</v>
      </c>
      <c r="I620" s="1" t="s">
        <v>160</v>
      </c>
      <c r="J620" s="12">
        <v>45708</v>
      </c>
      <c r="K620">
        <v>0</v>
      </c>
      <c r="L620" s="1">
        <f t="shared" si="36"/>
        <v>26</v>
      </c>
      <c r="M620" s="1">
        <f t="shared" si="37"/>
        <v>5</v>
      </c>
      <c r="N620" s="2">
        <f t="shared" si="38"/>
        <v>45689</v>
      </c>
      <c r="O620" t="str">
        <f t="shared" si="39"/>
        <v>mačka</v>
      </c>
    </row>
    <row r="621" spans="1:15" x14ac:dyDescent="0.25">
      <c r="A621">
        <v>8135</v>
      </c>
      <c r="B621" s="11">
        <v>4005566778891</v>
      </c>
      <c r="C621" s="1" t="s">
        <v>146</v>
      </c>
      <c r="D621" s="1" t="s">
        <v>26</v>
      </c>
      <c r="E621" s="1" t="s">
        <v>134</v>
      </c>
      <c r="F621">
        <v>18</v>
      </c>
      <c r="G621">
        <v>1</v>
      </c>
      <c r="H621" s="1" t="s">
        <v>14</v>
      </c>
      <c r="I621" s="1" t="s">
        <v>15</v>
      </c>
      <c r="J621" s="12">
        <v>45708</v>
      </c>
      <c r="K621">
        <v>0</v>
      </c>
      <c r="L621" s="1">
        <f t="shared" si="36"/>
        <v>18</v>
      </c>
      <c r="M621" s="1" t="str">
        <f t="shared" si="37"/>
        <v/>
      </c>
      <c r="N621" s="2">
        <f t="shared" si="38"/>
        <v>45689</v>
      </c>
      <c r="O621" t="str">
        <f t="shared" si="39"/>
        <v>pes</v>
      </c>
    </row>
    <row r="622" spans="1:15" x14ac:dyDescent="0.25">
      <c r="A622">
        <v>8136</v>
      </c>
      <c r="B622" s="11">
        <v>4028899001126</v>
      </c>
      <c r="C622" s="1" t="s">
        <v>16</v>
      </c>
      <c r="D622" s="1" t="s">
        <v>12</v>
      </c>
      <c r="E622" s="1" t="s">
        <v>17</v>
      </c>
      <c r="F622">
        <v>2.8</v>
      </c>
      <c r="G622">
        <v>5</v>
      </c>
      <c r="H622" s="1" t="s">
        <v>14</v>
      </c>
      <c r="I622" s="1" t="s">
        <v>15</v>
      </c>
      <c r="J622" s="12">
        <v>45708</v>
      </c>
      <c r="K622">
        <v>0</v>
      </c>
      <c r="L622" s="1">
        <f t="shared" si="36"/>
        <v>14</v>
      </c>
      <c r="M622" s="1" t="str">
        <f t="shared" si="37"/>
        <v/>
      </c>
      <c r="N622" s="2">
        <f t="shared" si="38"/>
        <v>45689</v>
      </c>
      <c r="O622" t="str">
        <f t="shared" si="39"/>
        <v>pes</v>
      </c>
    </row>
    <row r="623" spans="1:15" x14ac:dyDescent="0.25">
      <c r="A623">
        <v>8137</v>
      </c>
      <c r="B623" s="11">
        <v>4013456789017</v>
      </c>
      <c r="C623" s="1" t="s">
        <v>11</v>
      </c>
      <c r="D623" s="1" t="s">
        <v>12</v>
      </c>
      <c r="E623" s="1" t="s">
        <v>13</v>
      </c>
      <c r="F623">
        <v>6</v>
      </c>
      <c r="G623">
        <v>2</v>
      </c>
      <c r="H623" s="1" t="s">
        <v>14</v>
      </c>
      <c r="I623" s="1" t="s">
        <v>15</v>
      </c>
      <c r="J623" s="12">
        <v>45708</v>
      </c>
      <c r="K623">
        <v>0</v>
      </c>
      <c r="L623" s="1">
        <f t="shared" si="36"/>
        <v>12</v>
      </c>
      <c r="M623" s="1" t="str">
        <f t="shared" si="37"/>
        <v/>
      </c>
      <c r="N623" s="2">
        <f t="shared" si="38"/>
        <v>45689</v>
      </c>
      <c r="O623" t="str">
        <f t="shared" si="39"/>
        <v>pes</v>
      </c>
    </row>
    <row r="624" spans="1:15" x14ac:dyDescent="0.25">
      <c r="A624">
        <v>8138</v>
      </c>
      <c r="B624" s="11">
        <v>4040123456795</v>
      </c>
      <c r="C624" s="1" t="s">
        <v>20</v>
      </c>
      <c r="D624" s="1" t="s">
        <v>21</v>
      </c>
      <c r="E624" s="1" t="s">
        <v>22</v>
      </c>
      <c r="F624">
        <v>8.8000000000000007</v>
      </c>
      <c r="G624">
        <v>1</v>
      </c>
      <c r="H624" s="1" t="s">
        <v>14</v>
      </c>
      <c r="I624" s="1" t="s">
        <v>15</v>
      </c>
      <c r="J624" s="12">
        <v>45708</v>
      </c>
      <c r="K624">
        <v>0</v>
      </c>
      <c r="L624" s="1">
        <f t="shared" si="36"/>
        <v>8.8000000000000007</v>
      </c>
      <c r="M624" s="1" t="str">
        <f t="shared" si="37"/>
        <v/>
      </c>
      <c r="N624" s="2">
        <f t="shared" si="38"/>
        <v>45689</v>
      </c>
      <c r="O624" t="str">
        <f t="shared" si="39"/>
        <v>pes</v>
      </c>
    </row>
    <row r="625" spans="1:15" hidden="1" x14ac:dyDescent="0.25">
      <c r="A625">
        <v>8139</v>
      </c>
      <c r="B625" s="11">
        <v>4010123456783</v>
      </c>
      <c r="C625" s="1" t="s">
        <v>35</v>
      </c>
      <c r="D625" s="1" t="s">
        <v>36</v>
      </c>
      <c r="E625" s="1" t="s">
        <v>37</v>
      </c>
      <c r="F625">
        <v>14</v>
      </c>
      <c r="G625">
        <v>2</v>
      </c>
      <c r="H625" s="1" t="s">
        <v>14</v>
      </c>
      <c r="I625" s="1" t="s">
        <v>15</v>
      </c>
      <c r="J625" s="12">
        <v>45708</v>
      </c>
      <c r="K625">
        <v>0</v>
      </c>
      <c r="L625" s="1">
        <f t="shared" si="36"/>
        <v>28</v>
      </c>
      <c r="M625" s="1" t="str">
        <f t="shared" si="37"/>
        <v/>
      </c>
      <c r="N625" s="2">
        <f t="shared" si="38"/>
        <v>45689</v>
      </c>
      <c r="O625" t="str">
        <f t="shared" si="39"/>
        <v>mačka</v>
      </c>
    </row>
    <row r="626" spans="1:15" hidden="1" x14ac:dyDescent="0.25">
      <c r="A626">
        <v>8140</v>
      </c>
      <c r="B626" s="11">
        <v>4056789012345</v>
      </c>
      <c r="C626" s="1" t="s">
        <v>47</v>
      </c>
      <c r="D626" s="1" t="s">
        <v>29</v>
      </c>
      <c r="E626" s="1" t="s">
        <v>37</v>
      </c>
      <c r="F626">
        <v>2.4</v>
      </c>
      <c r="G626">
        <v>3</v>
      </c>
      <c r="H626" s="1" t="s">
        <v>14</v>
      </c>
      <c r="I626" s="1" t="s">
        <v>15</v>
      </c>
      <c r="J626" s="12">
        <v>45708</v>
      </c>
      <c r="K626">
        <v>0</v>
      </c>
      <c r="L626" s="1">
        <f t="shared" si="36"/>
        <v>7.1999999999999993</v>
      </c>
      <c r="M626" s="1" t="str">
        <f t="shared" si="37"/>
        <v/>
      </c>
      <c r="N626" s="2">
        <f t="shared" si="38"/>
        <v>45689</v>
      </c>
      <c r="O626" t="str">
        <f t="shared" si="39"/>
        <v>mačka</v>
      </c>
    </row>
    <row r="627" spans="1:15" x14ac:dyDescent="0.25">
      <c r="A627">
        <v>8141</v>
      </c>
      <c r="B627" s="11">
        <v>4063456789014</v>
      </c>
      <c r="C627" s="1" t="s">
        <v>60</v>
      </c>
      <c r="D627" s="1" t="s">
        <v>12</v>
      </c>
      <c r="E627" s="1" t="s">
        <v>61</v>
      </c>
      <c r="F627">
        <v>36</v>
      </c>
      <c r="G627">
        <v>1</v>
      </c>
      <c r="H627" s="1" t="s">
        <v>14</v>
      </c>
      <c r="I627" s="1" t="s">
        <v>15</v>
      </c>
      <c r="J627" s="12">
        <v>45708</v>
      </c>
      <c r="K627">
        <v>0</v>
      </c>
      <c r="L627" s="1">
        <f t="shared" si="36"/>
        <v>36</v>
      </c>
      <c r="M627" s="1" t="str">
        <f t="shared" si="37"/>
        <v/>
      </c>
      <c r="N627" s="2">
        <f t="shared" si="38"/>
        <v>45689</v>
      </c>
      <c r="O627" t="str">
        <f t="shared" si="39"/>
        <v>pes</v>
      </c>
    </row>
    <row r="628" spans="1:15" x14ac:dyDescent="0.25">
      <c r="A628">
        <v>8142</v>
      </c>
      <c r="B628" s="11">
        <v>4028899001126</v>
      </c>
      <c r="C628" s="1" t="s">
        <v>16</v>
      </c>
      <c r="D628" s="1" t="s">
        <v>12</v>
      </c>
      <c r="E628" s="1" t="s">
        <v>17</v>
      </c>
      <c r="F628">
        <v>2.8</v>
      </c>
      <c r="G628">
        <v>4</v>
      </c>
      <c r="H628" s="1" t="s">
        <v>23</v>
      </c>
      <c r="I628" s="1" t="s">
        <v>161</v>
      </c>
      <c r="J628" s="12">
        <v>45709</v>
      </c>
      <c r="K628">
        <v>0</v>
      </c>
      <c r="L628" s="1">
        <f t="shared" si="36"/>
        <v>11.2</v>
      </c>
      <c r="M628" s="1">
        <f t="shared" si="37"/>
        <v>5</v>
      </c>
      <c r="N628" s="2">
        <f t="shared" si="38"/>
        <v>45689</v>
      </c>
      <c r="O628" t="str">
        <f t="shared" si="39"/>
        <v>pes</v>
      </c>
    </row>
    <row r="629" spans="1:15" x14ac:dyDescent="0.25">
      <c r="A629">
        <v>8143</v>
      </c>
      <c r="B629" s="11">
        <v>4013456789017</v>
      </c>
      <c r="C629" s="1" t="s">
        <v>11</v>
      </c>
      <c r="D629" s="1" t="s">
        <v>12</v>
      </c>
      <c r="E629" s="1" t="s">
        <v>13</v>
      </c>
      <c r="F629">
        <v>6</v>
      </c>
      <c r="G629">
        <v>1</v>
      </c>
      <c r="H629" s="1" t="s">
        <v>14</v>
      </c>
      <c r="I629" s="1" t="s">
        <v>15</v>
      </c>
      <c r="J629" s="12">
        <v>45709</v>
      </c>
      <c r="K629">
        <v>0</v>
      </c>
      <c r="L629" s="1">
        <f t="shared" si="36"/>
        <v>6</v>
      </c>
      <c r="M629" s="1" t="str">
        <f t="shared" si="37"/>
        <v/>
      </c>
      <c r="N629" s="2">
        <f t="shared" si="38"/>
        <v>45689</v>
      </c>
      <c r="O629" t="str">
        <f t="shared" si="39"/>
        <v>pes</v>
      </c>
    </row>
    <row r="630" spans="1:15" x14ac:dyDescent="0.25">
      <c r="A630">
        <v>8144</v>
      </c>
      <c r="B630" s="11">
        <v>4040123456795</v>
      </c>
      <c r="C630" s="1" t="s">
        <v>20</v>
      </c>
      <c r="D630" s="1" t="s">
        <v>21</v>
      </c>
      <c r="E630" s="1" t="s">
        <v>22</v>
      </c>
      <c r="F630">
        <v>8.8000000000000007</v>
      </c>
      <c r="G630">
        <v>1</v>
      </c>
      <c r="H630" s="1" t="s">
        <v>14</v>
      </c>
      <c r="I630" s="1" t="s">
        <v>15</v>
      </c>
      <c r="J630" s="12">
        <v>45709</v>
      </c>
      <c r="K630">
        <v>0</v>
      </c>
      <c r="L630" s="1">
        <f t="shared" si="36"/>
        <v>8.8000000000000007</v>
      </c>
      <c r="M630" s="1" t="str">
        <f t="shared" si="37"/>
        <v/>
      </c>
      <c r="N630" s="2">
        <f t="shared" si="38"/>
        <v>45689</v>
      </c>
      <c r="O630" t="str">
        <f t="shared" si="39"/>
        <v>pes</v>
      </c>
    </row>
    <row r="631" spans="1:15" hidden="1" x14ac:dyDescent="0.25">
      <c r="A631">
        <v>8145</v>
      </c>
      <c r="B631" s="11">
        <v>4010123456783</v>
      </c>
      <c r="C631" s="1" t="s">
        <v>35</v>
      </c>
      <c r="D631" s="1" t="s">
        <v>36</v>
      </c>
      <c r="E631" s="1" t="s">
        <v>37</v>
      </c>
      <c r="F631">
        <v>14</v>
      </c>
      <c r="G631">
        <v>1</v>
      </c>
      <c r="H631" s="1" t="s">
        <v>14</v>
      </c>
      <c r="I631" s="1" t="s">
        <v>15</v>
      </c>
      <c r="J631" s="12">
        <v>45709</v>
      </c>
      <c r="K631">
        <v>0</v>
      </c>
      <c r="L631" s="1">
        <f t="shared" si="36"/>
        <v>14</v>
      </c>
      <c r="M631" s="1" t="str">
        <f t="shared" si="37"/>
        <v/>
      </c>
      <c r="N631" s="2">
        <f t="shared" si="38"/>
        <v>45689</v>
      </c>
      <c r="O631" t="str">
        <f t="shared" si="39"/>
        <v>mačka</v>
      </c>
    </row>
    <row r="632" spans="1:15" x14ac:dyDescent="0.25">
      <c r="A632">
        <v>8146</v>
      </c>
      <c r="B632" s="11">
        <v>4063456789014</v>
      </c>
      <c r="C632" s="1" t="s">
        <v>60</v>
      </c>
      <c r="D632" s="1" t="s">
        <v>12</v>
      </c>
      <c r="E632" s="1" t="s">
        <v>61</v>
      </c>
      <c r="F632">
        <v>36</v>
      </c>
      <c r="G632">
        <v>1</v>
      </c>
      <c r="H632" s="1" t="s">
        <v>14</v>
      </c>
      <c r="I632" s="1" t="s">
        <v>15</v>
      </c>
      <c r="J632" s="12">
        <v>45709</v>
      </c>
      <c r="K632">
        <v>0</v>
      </c>
      <c r="L632" s="1">
        <f t="shared" si="36"/>
        <v>36</v>
      </c>
      <c r="M632" s="1" t="str">
        <f t="shared" si="37"/>
        <v/>
      </c>
      <c r="N632" s="2">
        <f t="shared" si="38"/>
        <v>45689</v>
      </c>
      <c r="O632" t="str">
        <f t="shared" si="39"/>
        <v>pes</v>
      </c>
    </row>
    <row r="633" spans="1:15" hidden="1" x14ac:dyDescent="0.25">
      <c r="A633">
        <v>8147</v>
      </c>
      <c r="B633" s="11">
        <v>4021234567894</v>
      </c>
      <c r="C633" s="1" t="s">
        <v>79</v>
      </c>
      <c r="D633" s="1" t="s">
        <v>36</v>
      </c>
      <c r="E633" s="1" t="s">
        <v>69</v>
      </c>
      <c r="F633">
        <v>8</v>
      </c>
      <c r="G633">
        <v>1</v>
      </c>
      <c r="H633" s="1" t="s">
        <v>14</v>
      </c>
      <c r="I633" s="1" t="s">
        <v>15</v>
      </c>
      <c r="J633" s="12">
        <v>45709</v>
      </c>
      <c r="K633">
        <v>0</v>
      </c>
      <c r="L633" s="1">
        <f t="shared" si="36"/>
        <v>8</v>
      </c>
      <c r="M633" s="1" t="str">
        <f t="shared" si="37"/>
        <v/>
      </c>
      <c r="N633" s="2">
        <f t="shared" si="38"/>
        <v>45689</v>
      </c>
      <c r="O633" t="str">
        <f t="shared" si="39"/>
        <v>mačka</v>
      </c>
    </row>
    <row r="634" spans="1:15" x14ac:dyDescent="0.25">
      <c r="A634">
        <v>8148</v>
      </c>
      <c r="B634" s="11">
        <v>4061011223346</v>
      </c>
      <c r="C634" s="1" t="s">
        <v>25</v>
      </c>
      <c r="D634" s="1" t="s">
        <v>26</v>
      </c>
      <c r="E634" s="1" t="s">
        <v>27</v>
      </c>
      <c r="F634">
        <v>19.600000000000001</v>
      </c>
      <c r="G634">
        <v>1</v>
      </c>
      <c r="H634" s="1" t="s">
        <v>18</v>
      </c>
      <c r="I634" s="1" t="s">
        <v>162</v>
      </c>
      <c r="J634" s="12">
        <v>45709</v>
      </c>
      <c r="K634">
        <v>0</v>
      </c>
      <c r="L634" s="1">
        <f t="shared" si="36"/>
        <v>19.600000000000001</v>
      </c>
      <c r="M634" s="1">
        <f t="shared" si="37"/>
        <v>4</v>
      </c>
      <c r="N634" s="2">
        <f t="shared" si="38"/>
        <v>45689</v>
      </c>
      <c r="O634" t="str">
        <f t="shared" si="39"/>
        <v>pes</v>
      </c>
    </row>
    <row r="635" spans="1:15" hidden="1" x14ac:dyDescent="0.25">
      <c r="A635">
        <v>8149</v>
      </c>
      <c r="B635" s="11">
        <v>4026677889902</v>
      </c>
      <c r="C635" s="1" t="s">
        <v>52</v>
      </c>
      <c r="D635" s="1" t="s">
        <v>53</v>
      </c>
      <c r="E635" s="1" t="s">
        <v>54</v>
      </c>
      <c r="F635">
        <v>7.6</v>
      </c>
      <c r="G635">
        <v>1</v>
      </c>
      <c r="H635" s="1" t="s">
        <v>14</v>
      </c>
      <c r="I635" s="1" t="s">
        <v>15</v>
      </c>
      <c r="J635" s="12">
        <v>45709</v>
      </c>
      <c r="K635">
        <v>0</v>
      </c>
      <c r="L635" s="1">
        <f t="shared" si="36"/>
        <v>7.6</v>
      </c>
      <c r="M635" s="1" t="str">
        <f t="shared" si="37"/>
        <v/>
      </c>
      <c r="N635" s="2">
        <f t="shared" si="38"/>
        <v>45689</v>
      </c>
      <c r="O635" t="str">
        <f t="shared" si="39"/>
        <v>iné</v>
      </c>
    </row>
    <row r="636" spans="1:15" x14ac:dyDescent="0.25">
      <c r="A636">
        <v>8150</v>
      </c>
      <c r="B636" s="11">
        <v>4028899001126</v>
      </c>
      <c r="C636" s="1" t="s">
        <v>16</v>
      </c>
      <c r="D636" s="1" t="s">
        <v>12</v>
      </c>
      <c r="E636" s="1" t="s">
        <v>17</v>
      </c>
      <c r="F636">
        <v>2.8</v>
      </c>
      <c r="G636">
        <v>5</v>
      </c>
      <c r="H636" s="1" t="s">
        <v>14</v>
      </c>
      <c r="I636" s="1" t="s">
        <v>15</v>
      </c>
      <c r="J636" s="12">
        <v>45709</v>
      </c>
      <c r="K636">
        <v>0</v>
      </c>
      <c r="L636" s="1">
        <f t="shared" si="36"/>
        <v>14</v>
      </c>
      <c r="M636" s="1" t="str">
        <f t="shared" si="37"/>
        <v/>
      </c>
      <c r="N636" s="2">
        <f t="shared" si="38"/>
        <v>45689</v>
      </c>
      <c r="O636" t="str">
        <f t="shared" si="39"/>
        <v>pes</v>
      </c>
    </row>
    <row r="637" spans="1:15" x14ac:dyDescent="0.25">
      <c r="A637">
        <v>8151</v>
      </c>
      <c r="B637" s="11">
        <v>4013456789017</v>
      </c>
      <c r="C637" s="1" t="s">
        <v>11</v>
      </c>
      <c r="D637" s="1" t="s">
        <v>12</v>
      </c>
      <c r="E637" s="1" t="s">
        <v>13</v>
      </c>
      <c r="F637">
        <v>6</v>
      </c>
      <c r="G637">
        <v>2</v>
      </c>
      <c r="H637" s="1" t="s">
        <v>14</v>
      </c>
      <c r="I637" s="1" t="s">
        <v>15</v>
      </c>
      <c r="J637" s="12">
        <v>45709</v>
      </c>
      <c r="K637">
        <v>0</v>
      </c>
      <c r="L637" s="1">
        <f t="shared" si="36"/>
        <v>12</v>
      </c>
      <c r="M637" s="1" t="str">
        <f t="shared" si="37"/>
        <v/>
      </c>
      <c r="N637" s="2">
        <f t="shared" si="38"/>
        <v>45689</v>
      </c>
      <c r="O637" t="str">
        <f t="shared" si="39"/>
        <v>pes</v>
      </c>
    </row>
    <row r="638" spans="1:15" x14ac:dyDescent="0.25">
      <c r="A638">
        <v>8152</v>
      </c>
      <c r="B638" s="11">
        <v>4040123456795</v>
      </c>
      <c r="C638" s="1" t="s">
        <v>20</v>
      </c>
      <c r="D638" s="1" t="s">
        <v>21</v>
      </c>
      <c r="E638" s="1" t="s">
        <v>22</v>
      </c>
      <c r="F638">
        <v>8.8000000000000007</v>
      </c>
      <c r="G638">
        <v>1</v>
      </c>
      <c r="H638" s="1" t="s">
        <v>14</v>
      </c>
      <c r="I638" s="1" t="s">
        <v>15</v>
      </c>
      <c r="J638" s="12">
        <v>45709</v>
      </c>
      <c r="K638">
        <v>0</v>
      </c>
      <c r="L638" s="1">
        <f t="shared" si="36"/>
        <v>8.8000000000000007</v>
      </c>
      <c r="M638" s="1" t="str">
        <f t="shared" si="37"/>
        <v/>
      </c>
      <c r="N638" s="2">
        <f t="shared" si="38"/>
        <v>45689</v>
      </c>
      <c r="O638" t="str">
        <f t="shared" si="39"/>
        <v>pes</v>
      </c>
    </row>
    <row r="639" spans="1:15" hidden="1" x14ac:dyDescent="0.25">
      <c r="A639">
        <v>8153</v>
      </c>
      <c r="B639" s="11">
        <v>4010123456783</v>
      </c>
      <c r="C639" s="1" t="s">
        <v>35</v>
      </c>
      <c r="D639" s="1" t="s">
        <v>36</v>
      </c>
      <c r="E639" s="1" t="s">
        <v>37</v>
      </c>
      <c r="F639">
        <v>14</v>
      </c>
      <c r="G639">
        <v>2</v>
      </c>
      <c r="H639" s="1" t="s">
        <v>14</v>
      </c>
      <c r="I639" s="1" t="s">
        <v>15</v>
      </c>
      <c r="J639" s="12">
        <v>45709</v>
      </c>
      <c r="K639">
        <v>0</v>
      </c>
      <c r="L639" s="1">
        <f t="shared" si="36"/>
        <v>28</v>
      </c>
      <c r="M639" s="1" t="str">
        <f t="shared" si="37"/>
        <v/>
      </c>
      <c r="N639" s="2">
        <f t="shared" si="38"/>
        <v>45689</v>
      </c>
      <c r="O639" t="str">
        <f t="shared" si="39"/>
        <v>mačka</v>
      </c>
    </row>
    <row r="640" spans="1:15" hidden="1" x14ac:dyDescent="0.25">
      <c r="A640">
        <v>8154</v>
      </c>
      <c r="B640" s="11">
        <v>4069012345682</v>
      </c>
      <c r="C640" s="1" t="s">
        <v>143</v>
      </c>
      <c r="D640" s="1" t="s">
        <v>144</v>
      </c>
      <c r="E640" s="1" t="s">
        <v>30</v>
      </c>
      <c r="F640">
        <v>26</v>
      </c>
      <c r="G640">
        <v>1</v>
      </c>
      <c r="H640" s="1" t="s">
        <v>14</v>
      </c>
      <c r="I640" s="1" t="s">
        <v>15</v>
      </c>
      <c r="J640" s="12">
        <v>45709</v>
      </c>
      <c r="K640">
        <v>0</v>
      </c>
      <c r="L640" s="1">
        <f t="shared" si="36"/>
        <v>26</v>
      </c>
      <c r="M640" s="1" t="str">
        <f t="shared" si="37"/>
        <v/>
      </c>
      <c r="N640" s="2">
        <f t="shared" si="38"/>
        <v>45689</v>
      </c>
      <c r="O640" t="str">
        <f t="shared" si="39"/>
        <v>mačka</v>
      </c>
    </row>
    <row r="641" spans="1:15" x14ac:dyDescent="0.25">
      <c r="A641">
        <v>8155</v>
      </c>
      <c r="B641" s="11">
        <v>4005566778891</v>
      </c>
      <c r="C641" s="1" t="s">
        <v>146</v>
      </c>
      <c r="D641" s="1" t="s">
        <v>26</v>
      </c>
      <c r="E641" s="1" t="s">
        <v>134</v>
      </c>
      <c r="F641">
        <v>18</v>
      </c>
      <c r="G641">
        <v>1</v>
      </c>
      <c r="H641" s="1" t="s">
        <v>14</v>
      </c>
      <c r="I641" s="1" t="s">
        <v>15</v>
      </c>
      <c r="J641" s="12">
        <v>45709</v>
      </c>
      <c r="K641">
        <v>0</v>
      </c>
      <c r="L641" s="1">
        <f t="shared" si="36"/>
        <v>18</v>
      </c>
      <c r="M641" s="1" t="str">
        <f t="shared" si="37"/>
        <v/>
      </c>
      <c r="N641" s="2">
        <f t="shared" si="38"/>
        <v>45689</v>
      </c>
      <c r="O641" t="str">
        <f t="shared" si="39"/>
        <v>pes</v>
      </c>
    </row>
    <row r="642" spans="1:15" x14ac:dyDescent="0.25">
      <c r="A642">
        <v>8156</v>
      </c>
      <c r="B642" s="11">
        <v>4028899001126</v>
      </c>
      <c r="C642" s="1" t="s">
        <v>16</v>
      </c>
      <c r="D642" s="1" t="s">
        <v>12</v>
      </c>
      <c r="E642" s="1" t="s">
        <v>17</v>
      </c>
      <c r="F642">
        <v>2.8</v>
      </c>
      <c r="G642">
        <v>3</v>
      </c>
      <c r="H642" s="1" t="s">
        <v>14</v>
      </c>
      <c r="I642" s="1" t="s">
        <v>15</v>
      </c>
      <c r="J642" s="12">
        <v>45710</v>
      </c>
      <c r="K642">
        <v>0</v>
      </c>
      <c r="L642" s="1">
        <f t="shared" ref="L642:L705" si="40">F642*G642</f>
        <v>8.3999999999999986</v>
      </c>
      <c r="M642" s="1" t="str">
        <f t="shared" ref="M642:M705" si="41">IF(H642="NULL", "",VALUE(H642))</f>
        <v/>
      </c>
      <c r="N642" s="2">
        <f t="shared" ref="N642:N705" si="42">DATE(YEAR(J642),MONTH(J642),1)</f>
        <v>45689</v>
      </c>
      <c r="O642" t="str">
        <f t="shared" ref="O642:O705" si="43">IF(ISNUMBER(SEARCH("Mačky",D642)),"mačka",IF(ISNUMBER(SEARCH("Psy",D642)),"pes","iné"))</f>
        <v>pes</v>
      </c>
    </row>
    <row r="643" spans="1:15" x14ac:dyDescent="0.25">
      <c r="A643">
        <v>8157</v>
      </c>
      <c r="B643" s="11">
        <v>4013456789017</v>
      </c>
      <c r="C643" s="1" t="s">
        <v>11</v>
      </c>
      <c r="D643" s="1" t="s">
        <v>12</v>
      </c>
      <c r="E643" s="1" t="s">
        <v>13</v>
      </c>
      <c r="F643">
        <v>6</v>
      </c>
      <c r="G643">
        <v>1</v>
      </c>
      <c r="H643" s="1" t="s">
        <v>14</v>
      </c>
      <c r="I643" s="1" t="s">
        <v>15</v>
      </c>
      <c r="J643" s="12">
        <v>45710</v>
      </c>
      <c r="K643">
        <v>0</v>
      </c>
      <c r="L643" s="1">
        <f t="shared" si="40"/>
        <v>6</v>
      </c>
      <c r="M643" s="1" t="str">
        <f t="shared" si="41"/>
        <v/>
      </c>
      <c r="N643" s="2">
        <f t="shared" si="42"/>
        <v>45689</v>
      </c>
      <c r="O643" t="str">
        <f t="shared" si="43"/>
        <v>pes</v>
      </c>
    </row>
    <row r="644" spans="1:15" x14ac:dyDescent="0.25">
      <c r="A644">
        <v>8158</v>
      </c>
      <c r="B644" s="11">
        <v>4040123456795</v>
      </c>
      <c r="C644" s="1" t="s">
        <v>20</v>
      </c>
      <c r="D644" s="1" t="s">
        <v>21</v>
      </c>
      <c r="E644" s="1" t="s">
        <v>22</v>
      </c>
      <c r="F644">
        <v>8.8000000000000007</v>
      </c>
      <c r="G644">
        <v>1</v>
      </c>
      <c r="H644" s="1" t="s">
        <v>14</v>
      </c>
      <c r="I644" s="1" t="s">
        <v>15</v>
      </c>
      <c r="J644" s="12">
        <v>45710</v>
      </c>
      <c r="K644">
        <v>0</v>
      </c>
      <c r="L644" s="1">
        <f t="shared" si="40"/>
        <v>8.8000000000000007</v>
      </c>
      <c r="M644" s="1" t="str">
        <f t="shared" si="41"/>
        <v/>
      </c>
      <c r="N644" s="2">
        <f t="shared" si="42"/>
        <v>45689</v>
      </c>
      <c r="O644" t="str">
        <f t="shared" si="43"/>
        <v>pes</v>
      </c>
    </row>
    <row r="645" spans="1:15" hidden="1" x14ac:dyDescent="0.25">
      <c r="A645">
        <v>8159</v>
      </c>
      <c r="B645" s="11">
        <v>4010123456783</v>
      </c>
      <c r="C645" s="1" t="s">
        <v>35</v>
      </c>
      <c r="D645" s="1" t="s">
        <v>36</v>
      </c>
      <c r="E645" s="1" t="s">
        <v>37</v>
      </c>
      <c r="F645">
        <v>14</v>
      </c>
      <c r="G645">
        <v>1</v>
      </c>
      <c r="H645" s="1" t="s">
        <v>14</v>
      </c>
      <c r="I645" s="1" t="s">
        <v>15</v>
      </c>
      <c r="J645" s="12">
        <v>45710</v>
      </c>
      <c r="K645">
        <v>0</v>
      </c>
      <c r="L645" s="1">
        <f t="shared" si="40"/>
        <v>14</v>
      </c>
      <c r="M645" s="1" t="str">
        <f t="shared" si="41"/>
        <v/>
      </c>
      <c r="N645" s="2">
        <f t="shared" si="42"/>
        <v>45689</v>
      </c>
      <c r="O645" t="str">
        <f t="shared" si="43"/>
        <v>mačka</v>
      </c>
    </row>
    <row r="646" spans="1:15" x14ac:dyDescent="0.25">
      <c r="A646">
        <v>8160</v>
      </c>
      <c r="B646" s="11">
        <v>4063456789014</v>
      </c>
      <c r="C646" s="1" t="s">
        <v>60</v>
      </c>
      <c r="D646" s="1" t="s">
        <v>12</v>
      </c>
      <c r="E646" s="1" t="s">
        <v>61</v>
      </c>
      <c r="F646">
        <v>36</v>
      </c>
      <c r="G646">
        <v>1</v>
      </c>
      <c r="H646" s="1" t="s">
        <v>14</v>
      </c>
      <c r="I646" s="1" t="s">
        <v>15</v>
      </c>
      <c r="J646" s="12">
        <v>45710</v>
      </c>
      <c r="K646">
        <v>0</v>
      </c>
      <c r="L646" s="1">
        <f t="shared" si="40"/>
        <v>36</v>
      </c>
      <c r="M646" s="1" t="str">
        <f t="shared" si="41"/>
        <v/>
      </c>
      <c r="N646" s="2">
        <f t="shared" si="42"/>
        <v>45689</v>
      </c>
      <c r="O646" t="str">
        <f t="shared" si="43"/>
        <v>pes</v>
      </c>
    </row>
    <row r="647" spans="1:15" hidden="1" x14ac:dyDescent="0.25">
      <c r="A647">
        <v>8161</v>
      </c>
      <c r="B647" s="11">
        <v>4056789012345</v>
      </c>
      <c r="C647" s="1" t="s">
        <v>47</v>
      </c>
      <c r="D647" s="1" t="s">
        <v>29</v>
      </c>
      <c r="E647" s="1" t="s">
        <v>37</v>
      </c>
      <c r="F647">
        <v>2.4</v>
      </c>
      <c r="G647">
        <v>3</v>
      </c>
      <c r="H647" s="1" t="s">
        <v>14</v>
      </c>
      <c r="I647" s="1" t="s">
        <v>15</v>
      </c>
      <c r="J647" s="12">
        <v>45710</v>
      </c>
      <c r="K647">
        <v>0</v>
      </c>
      <c r="L647" s="1">
        <f t="shared" si="40"/>
        <v>7.1999999999999993</v>
      </c>
      <c r="M647" s="1" t="str">
        <f t="shared" si="41"/>
        <v/>
      </c>
      <c r="N647" s="2">
        <f t="shared" si="42"/>
        <v>45689</v>
      </c>
      <c r="O647" t="str">
        <f t="shared" si="43"/>
        <v>mačka</v>
      </c>
    </row>
    <row r="648" spans="1:15" hidden="1" x14ac:dyDescent="0.25">
      <c r="A648">
        <v>8162</v>
      </c>
      <c r="B648" s="11">
        <v>4021234567894</v>
      </c>
      <c r="C648" s="1" t="s">
        <v>79</v>
      </c>
      <c r="D648" s="1" t="s">
        <v>36</v>
      </c>
      <c r="E648" s="1" t="s">
        <v>69</v>
      </c>
      <c r="F648">
        <v>8</v>
      </c>
      <c r="G648">
        <v>1</v>
      </c>
      <c r="H648" s="1" t="s">
        <v>18</v>
      </c>
      <c r="I648" s="1" t="s">
        <v>163</v>
      </c>
      <c r="J648" s="12">
        <v>45710</v>
      </c>
      <c r="K648">
        <v>0</v>
      </c>
      <c r="L648" s="1">
        <f t="shared" si="40"/>
        <v>8</v>
      </c>
      <c r="M648" s="1">
        <f t="shared" si="41"/>
        <v>4</v>
      </c>
      <c r="N648" s="2">
        <f t="shared" si="42"/>
        <v>45689</v>
      </c>
      <c r="O648" t="str">
        <f t="shared" si="43"/>
        <v>mačka</v>
      </c>
    </row>
    <row r="649" spans="1:15" x14ac:dyDescent="0.25">
      <c r="A649">
        <v>8163</v>
      </c>
      <c r="B649" s="11">
        <v>4061011223346</v>
      </c>
      <c r="C649" s="1" t="s">
        <v>25</v>
      </c>
      <c r="D649" s="1" t="s">
        <v>26</v>
      </c>
      <c r="E649" s="1" t="s">
        <v>27</v>
      </c>
      <c r="F649">
        <v>19.600000000000001</v>
      </c>
      <c r="G649">
        <v>1</v>
      </c>
      <c r="H649" s="1" t="s">
        <v>14</v>
      </c>
      <c r="I649" s="1" t="s">
        <v>15</v>
      </c>
      <c r="J649" s="12">
        <v>45710</v>
      </c>
      <c r="K649">
        <v>0</v>
      </c>
      <c r="L649" s="1">
        <f t="shared" si="40"/>
        <v>19.600000000000001</v>
      </c>
      <c r="M649" s="1" t="str">
        <f t="shared" si="41"/>
        <v/>
      </c>
      <c r="N649" s="2">
        <f t="shared" si="42"/>
        <v>45689</v>
      </c>
      <c r="O649" t="str">
        <f t="shared" si="43"/>
        <v>pes</v>
      </c>
    </row>
    <row r="650" spans="1:15" x14ac:dyDescent="0.25">
      <c r="A650">
        <v>8164</v>
      </c>
      <c r="B650" s="11">
        <v>4028899001126</v>
      </c>
      <c r="C650" s="1" t="s">
        <v>16</v>
      </c>
      <c r="D650" s="1" t="s">
        <v>12</v>
      </c>
      <c r="E650" s="1" t="s">
        <v>17</v>
      </c>
      <c r="F650">
        <v>2.8</v>
      </c>
      <c r="G650">
        <v>4</v>
      </c>
      <c r="H650" s="1" t="s">
        <v>14</v>
      </c>
      <c r="I650" s="1" t="s">
        <v>15</v>
      </c>
      <c r="J650" s="12">
        <v>45710</v>
      </c>
      <c r="K650">
        <v>0</v>
      </c>
      <c r="L650" s="1">
        <f t="shared" si="40"/>
        <v>11.2</v>
      </c>
      <c r="M650" s="1" t="str">
        <f t="shared" si="41"/>
        <v/>
      </c>
      <c r="N650" s="2">
        <f t="shared" si="42"/>
        <v>45689</v>
      </c>
      <c r="O650" t="str">
        <f t="shared" si="43"/>
        <v>pes</v>
      </c>
    </row>
    <row r="651" spans="1:15" x14ac:dyDescent="0.25">
      <c r="A651">
        <v>8165</v>
      </c>
      <c r="B651" s="11">
        <v>4013456789017</v>
      </c>
      <c r="C651" s="1" t="s">
        <v>11</v>
      </c>
      <c r="D651" s="1" t="s">
        <v>12</v>
      </c>
      <c r="E651" s="1" t="s">
        <v>13</v>
      </c>
      <c r="F651">
        <v>6</v>
      </c>
      <c r="G651">
        <v>2</v>
      </c>
      <c r="H651" s="1" t="s">
        <v>14</v>
      </c>
      <c r="I651" s="1" t="s">
        <v>15</v>
      </c>
      <c r="J651" s="12">
        <v>45710</v>
      </c>
      <c r="K651">
        <v>0</v>
      </c>
      <c r="L651" s="1">
        <f t="shared" si="40"/>
        <v>12</v>
      </c>
      <c r="M651" s="1" t="str">
        <f t="shared" si="41"/>
        <v/>
      </c>
      <c r="N651" s="2">
        <f t="shared" si="42"/>
        <v>45689</v>
      </c>
      <c r="O651" t="str">
        <f t="shared" si="43"/>
        <v>pes</v>
      </c>
    </row>
    <row r="652" spans="1:15" x14ac:dyDescent="0.25">
      <c r="A652">
        <v>8166</v>
      </c>
      <c r="B652" s="11">
        <v>4040123456795</v>
      </c>
      <c r="C652" s="1" t="s">
        <v>20</v>
      </c>
      <c r="D652" s="1" t="s">
        <v>21</v>
      </c>
      <c r="E652" s="1" t="s">
        <v>22</v>
      </c>
      <c r="F652">
        <v>8.8000000000000007</v>
      </c>
      <c r="G652">
        <v>1</v>
      </c>
      <c r="H652" s="1" t="s">
        <v>14</v>
      </c>
      <c r="I652" s="1" t="s">
        <v>15</v>
      </c>
      <c r="J652" s="12">
        <v>45710</v>
      </c>
      <c r="K652">
        <v>0</v>
      </c>
      <c r="L652" s="1">
        <f t="shared" si="40"/>
        <v>8.8000000000000007</v>
      </c>
      <c r="M652" s="1" t="str">
        <f t="shared" si="41"/>
        <v/>
      </c>
      <c r="N652" s="2">
        <f t="shared" si="42"/>
        <v>45689</v>
      </c>
      <c r="O652" t="str">
        <f t="shared" si="43"/>
        <v>pes</v>
      </c>
    </row>
    <row r="653" spans="1:15" hidden="1" x14ac:dyDescent="0.25">
      <c r="A653">
        <v>8167</v>
      </c>
      <c r="B653" s="11">
        <v>4010123456783</v>
      </c>
      <c r="C653" s="1" t="s">
        <v>35</v>
      </c>
      <c r="D653" s="1" t="s">
        <v>36</v>
      </c>
      <c r="E653" s="1" t="s">
        <v>37</v>
      </c>
      <c r="F653">
        <v>14</v>
      </c>
      <c r="G653">
        <v>2</v>
      </c>
      <c r="H653" s="1" t="s">
        <v>14</v>
      </c>
      <c r="I653" s="1" t="s">
        <v>15</v>
      </c>
      <c r="J653" s="12">
        <v>45710</v>
      </c>
      <c r="K653">
        <v>0</v>
      </c>
      <c r="L653" s="1">
        <f t="shared" si="40"/>
        <v>28</v>
      </c>
      <c r="M653" s="1" t="str">
        <f t="shared" si="41"/>
        <v/>
      </c>
      <c r="N653" s="2">
        <f t="shared" si="42"/>
        <v>45689</v>
      </c>
      <c r="O653" t="str">
        <f t="shared" si="43"/>
        <v>mačka</v>
      </c>
    </row>
    <row r="654" spans="1:15" x14ac:dyDescent="0.25">
      <c r="A654">
        <v>8168</v>
      </c>
      <c r="B654" s="11">
        <v>4063456789014</v>
      </c>
      <c r="C654" s="1" t="s">
        <v>60</v>
      </c>
      <c r="D654" s="1" t="s">
        <v>12</v>
      </c>
      <c r="E654" s="1" t="s">
        <v>61</v>
      </c>
      <c r="F654">
        <v>36</v>
      </c>
      <c r="G654">
        <v>1</v>
      </c>
      <c r="H654" s="1" t="s">
        <v>14</v>
      </c>
      <c r="I654" s="1" t="s">
        <v>15</v>
      </c>
      <c r="J654" s="12">
        <v>45710</v>
      </c>
      <c r="K654">
        <v>0</v>
      </c>
      <c r="L654" s="1">
        <f t="shared" si="40"/>
        <v>36</v>
      </c>
      <c r="M654" s="1" t="str">
        <f t="shared" si="41"/>
        <v/>
      </c>
      <c r="N654" s="2">
        <f t="shared" si="42"/>
        <v>45689</v>
      </c>
      <c r="O654" t="str">
        <f t="shared" si="43"/>
        <v>pes</v>
      </c>
    </row>
    <row r="655" spans="1:15" x14ac:dyDescent="0.25">
      <c r="A655">
        <v>8169</v>
      </c>
      <c r="B655" s="11">
        <v>4028899001126</v>
      </c>
      <c r="C655" s="1" t="s">
        <v>16</v>
      </c>
      <c r="D655" s="1" t="s">
        <v>12</v>
      </c>
      <c r="E655" s="1" t="s">
        <v>17</v>
      </c>
      <c r="F655">
        <v>2.8</v>
      </c>
      <c r="G655">
        <v>3</v>
      </c>
      <c r="H655" s="1" t="s">
        <v>23</v>
      </c>
      <c r="I655" s="1" t="s">
        <v>164</v>
      </c>
      <c r="J655" s="12">
        <v>45711</v>
      </c>
      <c r="K655">
        <v>0</v>
      </c>
      <c r="L655" s="1">
        <f t="shared" si="40"/>
        <v>8.3999999999999986</v>
      </c>
      <c r="M655" s="1">
        <f t="shared" si="41"/>
        <v>5</v>
      </c>
      <c r="N655" s="2">
        <f t="shared" si="42"/>
        <v>45689</v>
      </c>
      <c r="O655" t="str">
        <f t="shared" si="43"/>
        <v>pes</v>
      </c>
    </row>
    <row r="656" spans="1:15" x14ac:dyDescent="0.25">
      <c r="A656">
        <v>8170</v>
      </c>
      <c r="B656" s="11">
        <v>4013456789017</v>
      </c>
      <c r="C656" s="1" t="s">
        <v>11</v>
      </c>
      <c r="D656" s="1" t="s">
        <v>12</v>
      </c>
      <c r="E656" s="1" t="s">
        <v>13</v>
      </c>
      <c r="F656">
        <v>6</v>
      </c>
      <c r="G656">
        <v>1</v>
      </c>
      <c r="H656" s="1" t="s">
        <v>14</v>
      </c>
      <c r="I656" s="1" t="s">
        <v>15</v>
      </c>
      <c r="J656" s="12">
        <v>45711</v>
      </c>
      <c r="K656">
        <v>0</v>
      </c>
      <c r="L656" s="1">
        <f t="shared" si="40"/>
        <v>6</v>
      </c>
      <c r="M656" s="1" t="str">
        <f t="shared" si="41"/>
        <v/>
      </c>
      <c r="N656" s="2">
        <f t="shared" si="42"/>
        <v>45689</v>
      </c>
      <c r="O656" t="str">
        <f t="shared" si="43"/>
        <v>pes</v>
      </c>
    </row>
    <row r="657" spans="1:15" x14ac:dyDescent="0.25">
      <c r="A657">
        <v>8171</v>
      </c>
      <c r="B657" s="11">
        <v>4040123456795</v>
      </c>
      <c r="C657" s="1" t="s">
        <v>20</v>
      </c>
      <c r="D657" s="1" t="s">
        <v>21</v>
      </c>
      <c r="E657" s="1" t="s">
        <v>22</v>
      </c>
      <c r="F657">
        <v>8.8000000000000007</v>
      </c>
      <c r="G657">
        <v>1</v>
      </c>
      <c r="H657" s="1" t="s">
        <v>14</v>
      </c>
      <c r="I657" s="1" t="s">
        <v>15</v>
      </c>
      <c r="J657" s="12">
        <v>45711</v>
      </c>
      <c r="K657">
        <v>0</v>
      </c>
      <c r="L657" s="1">
        <f t="shared" si="40"/>
        <v>8.8000000000000007</v>
      </c>
      <c r="M657" s="1" t="str">
        <f t="shared" si="41"/>
        <v/>
      </c>
      <c r="N657" s="2">
        <f t="shared" si="42"/>
        <v>45689</v>
      </c>
      <c r="O657" t="str">
        <f t="shared" si="43"/>
        <v>pes</v>
      </c>
    </row>
    <row r="658" spans="1:15" hidden="1" x14ac:dyDescent="0.25">
      <c r="A658">
        <v>8172</v>
      </c>
      <c r="B658" s="11">
        <v>4010123456783</v>
      </c>
      <c r="C658" s="1" t="s">
        <v>35</v>
      </c>
      <c r="D658" s="1" t="s">
        <v>36</v>
      </c>
      <c r="E658" s="1" t="s">
        <v>37</v>
      </c>
      <c r="F658">
        <v>14</v>
      </c>
      <c r="G658">
        <v>1</v>
      </c>
      <c r="H658" s="1" t="s">
        <v>14</v>
      </c>
      <c r="I658" s="1" t="s">
        <v>15</v>
      </c>
      <c r="J658" s="12">
        <v>45711</v>
      </c>
      <c r="K658">
        <v>0</v>
      </c>
      <c r="L658" s="1">
        <f t="shared" si="40"/>
        <v>14</v>
      </c>
      <c r="M658" s="1" t="str">
        <f t="shared" si="41"/>
        <v/>
      </c>
      <c r="N658" s="2">
        <f t="shared" si="42"/>
        <v>45689</v>
      </c>
      <c r="O658" t="str">
        <f t="shared" si="43"/>
        <v>mačka</v>
      </c>
    </row>
    <row r="659" spans="1:15" x14ac:dyDescent="0.25">
      <c r="A659">
        <v>8173</v>
      </c>
      <c r="B659" s="11">
        <v>4063456789014</v>
      </c>
      <c r="C659" s="1" t="s">
        <v>60</v>
      </c>
      <c r="D659" s="1" t="s">
        <v>12</v>
      </c>
      <c r="E659" s="1" t="s">
        <v>61</v>
      </c>
      <c r="F659">
        <v>36</v>
      </c>
      <c r="G659">
        <v>1</v>
      </c>
      <c r="H659" s="1" t="s">
        <v>14</v>
      </c>
      <c r="I659" s="1" t="s">
        <v>15</v>
      </c>
      <c r="J659" s="12">
        <v>45711</v>
      </c>
      <c r="K659">
        <v>0</v>
      </c>
      <c r="L659" s="1">
        <f t="shared" si="40"/>
        <v>36</v>
      </c>
      <c r="M659" s="1" t="str">
        <f t="shared" si="41"/>
        <v/>
      </c>
      <c r="N659" s="2">
        <f t="shared" si="42"/>
        <v>45689</v>
      </c>
      <c r="O659" t="str">
        <f t="shared" si="43"/>
        <v>pes</v>
      </c>
    </row>
    <row r="660" spans="1:15" hidden="1" x14ac:dyDescent="0.25">
      <c r="A660">
        <v>8174</v>
      </c>
      <c r="B660" s="11">
        <v>4021234567894</v>
      </c>
      <c r="C660" s="1" t="s">
        <v>79</v>
      </c>
      <c r="D660" s="1" t="s">
        <v>36</v>
      </c>
      <c r="E660" s="1" t="s">
        <v>69</v>
      </c>
      <c r="F660">
        <v>8</v>
      </c>
      <c r="G660">
        <v>1</v>
      </c>
      <c r="H660" s="1" t="s">
        <v>14</v>
      </c>
      <c r="I660" s="1" t="s">
        <v>15</v>
      </c>
      <c r="J660" s="12">
        <v>45711</v>
      </c>
      <c r="K660">
        <v>0</v>
      </c>
      <c r="L660" s="1">
        <f t="shared" si="40"/>
        <v>8</v>
      </c>
      <c r="M660" s="1" t="str">
        <f t="shared" si="41"/>
        <v/>
      </c>
      <c r="N660" s="2">
        <f t="shared" si="42"/>
        <v>45689</v>
      </c>
      <c r="O660" t="str">
        <f t="shared" si="43"/>
        <v>mačka</v>
      </c>
    </row>
    <row r="661" spans="1:15" x14ac:dyDescent="0.25">
      <c r="A661">
        <v>8175</v>
      </c>
      <c r="B661" s="11">
        <v>4061011223346</v>
      </c>
      <c r="C661" s="1" t="s">
        <v>25</v>
      </c>
      <c r="D661" s="1" t="s">
        <v>26</v>
      </c>
      <c r="E661" s="1" t="s">
        <v>27</v>
      </c>
      <c r="F661">
        <v>19.600000000000001</v>
      </c>
      <c r="G661">
        <v>1</v>
      </c>
      <c r="H661" s="1" t="s">
        <v>14</v>
      </c>
      <c r="I661" s="1" t="s">
        <v>15</v>
      </c>
      <c r="J661" s="12">
        <v>45711</v>
      </c>
      <c r="K661">
        <v>0</v>
      </c>
      <c r="L661" s="1">
        <f t="shared" si="40"/>
        <v>19.600000000000001</v>
      </c>
      <c r="M661" s="1" t="str">
        <f t="shared" si="41"/>
        <v/>
      </c>
      <c r="N661" s="2">
        <f t="shared" si="42"/>
        <v>45689</v>
      </c>
      <c r="O661" t="str">
        <f t="shared" si="43"/>
        <v>pes</v>
      </c>
    </row>
    <row r="662" spans="1:15" hidden="1" x14ac:dyDescent="0.25">
      <c r="A662">
        <v>8176</v>
      </c>
      <c r="B662" s="11">
        <v>4026677889902</v>
      </c>
      <c r="C662" s="1" t="s">
        <v>52</v>
      </c>
      <c r="D662" s="1" t="s">
        <v>53</v>
      </c>
      <c r="E662" s="1" t="s">
        <v>54</v>
      </c>
      <c r="F662">
        <v>7.6</v>
      </c>
      <c r="G662">
        <v>1</v>
      </c>
      <c r="H662" s="1" t="s">
        <v>14</v>
      </c>
      <c r="I662" s="1" t="s">
        <v>15</v>
      </c>
      <c r="J662" s="12">
        <v>45711</v>
      </c>
      <c r="K662">
        <v>0</v>
      </c>
      <c r="L662" s="1">
        <f t="shared" si="40"/>
        <v>7.6</v>
      </c>
      <c r="M662" s="1" t="str">
        <f t="shared" si="41"/>
        <v/>
      </c>
      <c r="N662" s="2">
        <f t="shared" si="42"/>
        <v>45689</v>
      </c>
      <c r="O662" t="str">
        <f t="shared" si="43"/>
        <v>iné</v>
      </c>
    </row>
    <row r="663" spans="1:15" x14ac:dyDescent="0.25">
      <c r="A663">
        <v>8177</v>
      </c>
      <c r="B663" s="11">
        <v>4028899001126</v>
      </c>
      <c r="C663" s="1" t="s">
        <v>16</v>
      </c>
      <c r="D663" s="1" t="s">
        <v>12</v>
      </c>
      <c r="E663" s="1" t="s">
        <v>17</v>
      </c>
      <c r="F663">
        <v>2.8</v>
      </c>
      <c r="G663">
        <v>3</v>
      </c>
      <c r="H663" s="1" t="s">
        <v>14</v>
      </c>
      <c r="I663" s="1" t="s">
        <v>15</v>
      </c>
      <c r="J663" s="12">
        <v>45711</v>
      </c>
      <c r="K663">
        <v>0</v>
      </c>
      <c r="L663" s="1">
        <f t="shared" si="40"/>
        <v>8.3999999999999986</v>
      </c>
      <c r="M663" s="1" t="str">
        <f t="shared" si="41"/>
        <v/>
      </c>
      <c r="N663" s="2">
        <f t="shared" si="42"/>
        <v>45689</v>
      </c>
      <c r="O663" t="str">
        <f t="shared" si="43"/>
        <v>pes</v>
      </c>
    </row>
    <row r="664" spans="1:15" x14ac:dyDescent="0.25">
      <c r="A664">
        <v>8178</v>
      </c>
      <c r="B664" s="11">
        <v>4013456789017</v>
      </c>
      <c r="C664" s="1" t="s">
        <v>11</v>
      </c>
      <c r="D664" s="1" t="s">
        <v>12</v>
      </c>
      <c r="E664" s="1" t="s">
        <v>13</v>
      </c>
      <c r="F664">
        <v>6</v>
      </c>
      <c r="G664">
        <v>2</v>
      </c>
      <c r="H664" s="1" t="s">
        <v>14</v>
      </c>
      <c r="I664" s="1" t="s">
        <v>15</v>
      </c>
      <c r="J664" s="12">
        <v>45711</v>
      </c>
      <c r="K664">
        <v>0</v>
      </c>
      <c r="L664" s="1">
        <f t="shared" si="40"/>
        <v>12</v>
      </c>
      <c r="M664" s="1" t="str">
        <f t="shared" si="41"/>
        <v/>
      </c>
      <c r="N664" s="2">
        <f t="shared" si="42"/>
        <v>45689</v>
      </c>
      <c r="O664" t="str">
        <f t="shared" si="43"/>
        <v>pes</v>
      </c>
    </row>
    <row r="665" spans="1:15" x14ac:dyDescent="0.25">
      <c r="A665">
        <v>8179</v>
      </c>
      <c r="B665" s="11">
        <v>4040123456795</v>
      </c>
      <c r="C665" s="1" t="s">
        <v>20</v>
      </c>
      <c r="D665" s="1" t="s">
        <v>21</v>
      </c>
      <c r="E665" s="1" t="s">
        <v>22</v>
      </c>
      <c r="F665">
        <v>8.8000000000000007</v>
      </c>
      <c r="G665">
        <v>1</v>
      </c>
      <c r="H665" s="1" t="s">
        <v>14</v>
      </c>
      <c r="I665" s="1" t="s">
        <v>15</v>
      </c>
      <c r="J665" s="12">
        <v>45711</v>
      </c>
      <c r="K665">
        <v>0</v>
      </c>
      <c r="L665" s="1">
        <f t="shared" si="40"/>
        <v>8.8000000000000007</v>
      </c>
      <c r="M665" s="1" t="str">
        <f t="shared" si="41"/>
        <v/>
      </c>
      <c r="N665" s="2">
        <f t="shared" si="42"/>
        <v>45689</v>
      </c>
      <c r="O665" t="str">
        <f t="shared" si="43"/>
        <v>pes</v>
      </c>
    </row>
    <row r="666" spans="1:15" hidden="1" x14ac:dyDescent="0.25">
      <c r="A666">
        <v>8180</v>
      </c>
      <c r="B666" s="11">
        <v>4010123456783</v>
      </c>
      <c r="C666" s="1" t="s">
        <v>35</v>
      </c>
      <c r="D666" s="1" t="s">
        <v>36</v>
      </c>
      <c r="E666" s="1" t="s">
        <v>37</v>
      </c>
      <c r="F666">
        <v>14</v>
      </c>
      <c r="G666">
        <v>1</v>
      </c>
      <c r="H666" s="1" t="s">
        <v>14</v>
      </c>
      <c r="I666" s="1" t="s">
        <v>15</v>
      </c>
      <c r="J666" s="12">
        <v>45711</v>
      </c>
      <c r="K666">
        <v>0</v>
      </c>
      <c r="L666" s="1">
        <f t="shared" si="40"/>
        <v>14</v>
      </c>
      <c r="M666" s="1" t="str">
        <f t="shared" si="41"/>
        <v/>
      </c>
      <c r="N666" s="2">
        <f t="shared" si="42"/>
        <v>45689</v>
      </c>
      <c r="O666" t="str">
        <f t="shared" si="43"/>
        <v>mačka</v>
      </c>
    </row>
    <row r="667" spans="1:15" hidden="1" x14ac:dyDescent="0.25">
      <c r="A667">
        <v>8181</v>
      </c>
      <c r="B667" s="11">
        <v>4056789012345</v>
      </c>
      <c r="C667" s="1" t="s">
        <v>47</v>
      </c>
      <c r="D667" s="1" t="s">
        <v>29</v>
      </c>
      <c r="E667" s="1" t="s">
        <v>37</v>
      </c>
      <c r="F667">
        <v>2.4</v>
      </c>
      <c r="G667">
        <v>2</v>
      </c>
      <c r="H667" s="1" t="s">
        <v>14</v>
      </c>
      <c r="I667" s="1" t="s">
        <v>15</v>
      </c>
      <c r="J667" s="12">
        <v>45711</v>
      </c>
      <c r="K667">
        <v>0</v>
      </c>
      <c r="L667" s="1">
        <f t="shared" si="40"/>
        <v>4.8</v>
      </c>
      <c r="M667" s="1" t="str">
        <f t="shared" si="41"/>
        <v/>
      </c>
      <c r="N667" s="2">
        <f t="shared" si="42"/>
        <v>45689</v>
      </c>
      <c r="O667" t="str">
        <f t="shared" si="43"/>
        <v>mačka</v>
      </c>
    </row>
    <row r="668" spans="1:15" x14ac:dyDescent="0.25">
      <c r="A668">
        <v>8182</v>
      </c>
      <c r="B668" s="11">
        <v>4063456789014</v>
      </c>
      <c r="C668" s="1" t="s">
        <v>60</v>
      </c>
      <c r="D668" s="1" t="s">
        <v>12</v>
      </c>
      <c r="E668" s="1" t="s">
        <v>61</v>
      </c>
      <c r="F668">
        <v>36</v>
      </c>
      <c r="G668">
        <v>1</v>
      </c>
      <c r="H668" s="1" t="s">
        <v>18</v>
      </c>
      <c r="I668" s="1" t="s">
        <v>14</v>
      </c>
      <c r="J668" s="12">
        <v>45711</v>
      </c>
      <c r="K668">
        <v>0</v>
      </c>
      <c r="L668" s="1">
        <f t="shared" si="40"/>
        <v>36</v>
      </c>
      <c r="M668" s="1">
        <f t="shared" si="41"/>
        <v>4</v>
      </c>
      <c r="N668" s="2">
        <f t="shared" si="42"/>
        <v>45689</v>
      </c>
      <c r="O668" t="str">
        <f t="shared" si="43"/>
        <v>pes</v>
      </c>
    </row>
    <row r="669" spans="1:15" x14ac:dyDescent="0.25">
      <c r="A669">
        <v>8183</v>
      </c>
      <c r="B669" s="11">
        <v>4028899001126</v>
      </c>
      <c r="C669" s="1" t="s">
        <v>16</v>
      </c>
      <c r="D669" s="1" t="s">
        <v>12</v>
      </c>
      <c r="E669" s="1" t="s">
        <v>17</v>
      </c>
      <c r="F669">
        <v>2.8</v>
      </c>
      <c r="G669">
        <v>4</v>
      </c>
      <c r="H669" s="1" t="s">
        <v>14</v>
      </c>
      <c r="I669" s="1" t="s">
        <v>15</v>
      </c>
      <c r="J669" s="12">
        <v>45712</v>
      </c>
      <c r="K669">
        <v>0</v>
      </c>
      <c r="L669" s="1">
        <f t="shared" si="40"/>
        <v>11.2</v>
      </c>
      <c r="M669" s="1" t="str">
        <f t="shared" si="41"/>
        <v/>
      </c>
      <c r="N669" s="2">
        <f t="shared" si="42"/>
        <v>45689</v>
      </c>
      <c r="O669" t="str">
        <f t="shared" si="43"/>
        <v>pes</v>
      </c>
    </row>
    <row r="670" spans="1:15" x14ac:dyDescent="0.25">
      <c r="A670">
        <v>8184</v>
      </c>
      <c r="B670" s="11">
        <v>4013456789017</v>
      </c>
      <c r="C670" s="1" t="s">
        <v>11</v>
      </c>
      <c r="D670" s="1" t="s">
        <v>12</v>
      </c>
      <c r="E670" s="1" t="s">
        <v>13</v>
      </c>
      <c r="F670">
        <v>6</v>
      </c>
      <c r="G670">
        <v>2</v>
      </c>
      <c r="H670" s="1" t="s">
        <v>14</v>
      </c>
      <c r="I670" s="1" t="s">
        <v>15</v>
      </c>
      <c r="J670" s="12">
        <v>45712</v>
      </c>
      <c r="K670">
        <v>0</v>
      </c>
      <c r="L670" s="1">
        <f t="shared" si="40"/>
        <v>12</v>
      </c>
      <c r="M670" s="1" t="str">
        <f t="shared" si="41"/>
        <v/>
      </c>
      <c r="N670" s="2">
        <f t="shared" si="42"/>
        <v>45689</v>
      </c>
      <c r="O670" t="str">
        <f t="shared" si="43"/>
        <v>pes</v>
      </c>
    </row>
    <row r="671" spans="1:15" x14ac:dyDescent="0.25">
      <c r="A671">
        <v>8185</v>
      </c>
      <c r="B671" s="11">
        <v>4040123456795</v>
      </c>
      <c r="C671" s="1" t="s">
        <v>20</v>
      </c>
      <c r="D671" s="1" t="s">
        <v>21</v>
      </c>
      <c r="E671" s="1" t="s">
        <v>22</v>
      </c>
      <c r="F671">
        <v>8.8000000000000007</v>
      </c>
      <c r="G671">
        <v>1</v>
      </c>
      <c r="H671" s="1" t="s">
        <v>14</v>
      </c>
      <c r="I671" s="1" t="s">
        <v>15</v>
      </c>
      <c r="J671" s="12">
        <v>45712</v>
      </c>
      <c r="K671">
        <v>0</v>
      </c>
      <c r="L671" s="1">
        <f t="shared" si="40"/>
        <v>8.8000000000000007</v>
      </c>
      <c r="M671" s="1" t="str">
        <f t="shared" si="41"/>
        <v/>
      </c>
      <c r="N671" s="2">
        <f t="shared" si="42"/>
        <v>45689</v>
      </c>
      <c r="O671" t="str">
        <f t="shared" si="43"/>
        <v>pes</v>
      </c>
    </row>
    <row r="672" spans="1:15" hidden="1" x14ac:dyDescent="0.25">
      <c r="A672">
        <v>8186</v>
      </c>
      <c r="B672" s="11">
        <v>4010123456783</v>
      </c>
      <c r="C672" s="1" t="s">
        <v>35</v>
      </c>
      <c r="D672" s="1" t="s">
        <v>36</v>
      </c>
      <c r="E672" s="1" t="s">
        <v>37</v>
      </c>
      <c r="F672">
        <v>14</v>
      </c>
      <c r="G672">
        <v>1</v>
      </c>
      <c r="H672" s="1" t="s">
        <v>14</v>
      </c>
      <c r="I672" s="1" t="s">
        <v>15</v>
      </c>
      <c r="J672" s="12">
        <v>45712</v>
      </c>
      <c r="K672">
        <v>0</v>
      </c>
      <c r="L672" s="1">
        <f t="shared" si="40"/>
        <v>14</v>
      </c>
      <c r="M672" s="1" t="str">
        <f t="shared" si="41"/>
        <v/>
      </c>
      <c r="N672" s="2">
        <f t="shared" si="42"/>
        <v>45689</v>
      </c>
      <c r="O672" t="str">
        <f t="shared" si="43"/>
        <v>mačka</v>
      </c>
    </row>
    <row r="673" spans="1:15" x14ac:dyDescent="0.25">
      <c r="A673">
        <v>8187</v>
      </c>
      <c r="B673" s="11">
        <v>4063456789014</v>
      </c>
      <c r="C673" s="1" t="s">
        <v>60</v>
      </c>
      <c r="D673" s="1" t="s">
        <v>12</v>
      </c>
      <c r="E673" s="1" t="s">
        <v>61</v>
      </c>
      <c r="F673">
        <v>36</v>
      </c>
      <c r="G673">
        <v>1</v>
      </c>
      <c r="H673" s="1" t="s">
        <v>14</v>
      </c>
      <c r="I673" s="1" t="s">
        <v>15</v>
      </c>
      <c r="J673" s="12">
        <v>45712</v>
      </c>
      <c r="K673">
        <v>0</v>
      </c>
      <c r="L673" s="1">
        <f t="shared" si="40"/>
        <v>36</v>
      </c>
      <c r="M673" s="1" t="str">
        <f t="shared" si="41"/>
        <v/>
      </c>
      <c r="N673" s="2">
        <f t="shared" si="42"/>
        <v>45689</v>
      </c>
      <c r="O673" t="str">
        <f t="shared" si="43"/>
        <v>pes</v>
      </c>
    </row>
    <row r="674" spans="1:15" hidden="1" x14ac:dyDescent="0.25">
      <c r="A674">
        <v>8188</v>
      </c>
      <c r="B674" s="11">
        <v>4021234567894</v>
      </c>
      <c r="C674" s="1" t="s">
        <v>79</v>
      </c>
      <c r="D674" s="1" t="s">
        <v>36</v>
      </c>
      <c r="E674" s="1" t="s">
        <v>69</v>
      </c>
      <c r="F674">
        <v>8</v>
      </c>
      <c r="G674">
        <v>1</v>
      </c>
      <c r="H674" s="1" t="s">
        <v>14</v>
      </c>
      <c r="I674" s="1" t="s">
        <v>15</v>
      </c>
      <c r="J674" s="12">
        <v>45712</v>
      </c>
      <c r="K674">
        <v>0</v>
      </c>
      <c r="L674" s="1">
        <f t="shared" si="40"/>
        <v>8</v>
      </c>
      <c r="M674" s="1" t="str">
        <f t="shared" si="41"/>
        <v/>
      </c>
      <c r="N674" s="2">
        <f t="shared" si="42"/>
        <v>45689</v>
      </c>
      <c r="O674" t="str">
        <f t="shared" si="43"/>
        <v>mačka</v>
      </c>
    </row>
    <row r="675" spans="1:15" x14ac:dyDescent="0.25">
      <c r="A675">
        <v>8189</v>
      </c>
      <c r="B675" s="11">
        <v>4061011223346</v>
      </c>
      <c r="C675" s="1" t="s">
        <v>25</v>
      </c>
      <c r="D675" s="1" t="s">
        <v>26</v>
      </c>
      <c r="E675" s="1" t="s">
        <v>27</v>
      </c>
      <c r="F675">
        <v>19.600000000000001</v>
      </c>
      <c r="G675">
        <v>1</v>
      </c>
      <c r="H675" s="1" t="s">
        <v>18</v>
      </c>
      <c r="I675" s="1" t="s">
        <v>165</v>
      </c>
      <c r="J675" s="12">
        <v>45712</v>
      </c>
      <c r="K675">
        <v>0</v>
      </c>
      <c r="L675" s="1">
        <f t="shared" si="40"/>
        <v>19.600000000000001</v>
      </c>
      <c r="M675" s="1">
        <f t="shared" si="41"/>
        <v>4</v>
      </c>
      <c r="N675" s="2">
        <f t="shared" si="42"/>
        <v>45689</v>
      </c>
      <c r="O675" t="str">
        <f t="shared" si="43"/>
        <v>pes</v>
      </c>
    </row>
    <row r="676" spans="1:15" hidden="1" x14ac:dyDescent="0.25">
      <c r="A676">
        <v>8190</v>
      </c>
      <c r="B676" s="11">
        <v>4026677889902</v>
      </c>
      <c r="C676" s="1" t="s">
        <v>52</v>
      </c>
      <c r="D676" s="1" t="s">
        <v>53</v>
      </c>
      <c r="E676" s="1" t="s">
        <v>54</v>
      </c>
      <c r="F676">
        <v>7.6</v>
      </c>
      <c r="G676">
        <v>1</v>
      </c>
      <c r="H676" s="1" t="s">
        <v>14</v>
      </c>
      <c r="I676" s="1" t="s">
        <v>15</v>
      </c>
      <c r="J676" s="12">
        <v>45712</v>
      </c>
      <c r="K676">
        <v>0</v>
      </c>
      <c r="L676" s="1">
        <f t="shared" si="40"/>
        <v>7.6</v>
      </c>
      <c r="M676" s="1" t="str">
        <f t="shared" si="41"/>
        <v/>
      </c>
      <c r="N676" s="2">
        <f t="shared" si="42"/>
        <v>45689</v>
      </c>
      <c r="O676" t="str">
        <f t="shared" si="43"/>
        <v>iné</v>
      </c>
    </row>
    <row r="677" spans="1:15" x14ac:dyDescent="0.25">
      <c r="A677">
        <v>8191</v>
      </c>
      <c r="B677" s="11">
        <v>4028899001126</v>
      </c>
      <c r="C677" s="1" t="s">
        <v>16</v>
      </c>
      <c r="D677" s="1" t="s">
        <v>12</v>
      </c>
      <c r="E677" s="1" t="s">
        <v>17</v>
      </c>
      <c r="F677">
        <v>2.8</v>
      </c>
      <c r="G677">
        <v>3</v>
      </c>
      <c r="H677" s="1" t="s">
        <v>14</v>
      </c>
      <c r="I677" s="1" t="s">
        <v>15</v>
      </c>
      <c r="J677" s="12">
        <v>45713</v>
      </c>
      <c r="K677">
        <v>0</v>
      </c>
      <c r="L677" s="1">
        <f t="shared" si="40"/>
        <v>8.3999999999999986</v>
      </c>
      <c r="M677" s="1" t="str">
        <f t="shared" si="41"/>
        <v/>
      </c>
      <c r="N677" s="2">
        <f t="shared" si="42"/>
        <v>45689</v>
      </c>
      <c r="O677" t="str">
        <f t="shared" si="43"/>
        <v>pes</v>
      </c>
    </row>
    <row r="678" spans="1:15" x14ac:dyDescent="0.25">
      <c r="A678">
        <v>8192</v>
      </c>
      <c r="B678" s="11">
        <v>4013456789017</v>
      </c>
      <c r="C678" s="1" t="s">
        <v>11</v>
      </c>
      <c r="D678" s="1" t="s">
        <v>12</v>
      </c>
      <c r="E678" s="1" t="s">
        <v>13</v>
      </c>
      <c r="F678">
        <v>6</v>
      </c>
      <c r="G678">
        <v>2</v>
      </c>
      <c r="H678" s="1" t="s">
        <v>14</v>
      </c>
      <c r="I678" s="1" t="s">
        <v>15</v>
      </c>
      <c r="J678" s="12">
        <v>45713</v>
      </c>
      <c r="K678">
        <v>0</v>
      </c>
      <c r="L678" s="1">
        <f t="shared" si="40"/>
        <v>12</v>
      </c>
      <c r="M678" s="1" t="str">
        <f t="shared" si="41"/>
        <v/>
      </c>
      <c r="N678" s="2">
        <f t="shared" si="42"/>
        <v>45689</v>
      </c>
      <c r="O678" t="str">
        <f t="shared" si="43"/>
        <v>pes</v>
      </c>
    </row>
    <row r="679" spans="1:15" x14ac:dyDescent="0.25">
      <c r="A679">
        <v>8193</v>
      </c>
      <c r="B679" s="11">
        <v>4040123456795</v>
      </c>
      <c r="C679" s="1" t="s">
        <v>20</v>
      </c>
      <c r="D679" s="1" t="s">
        <v>21</v>
      </c>
      <c r="E679" s="1" t="s">
        <v>22</v>
      </c>
      <c r="F679">
        <v>8.8000000000000007</v>
      </c>
      <c r="G679">
        <v>1</v>
      </c>
      <c r="H679" s="1" t="s">
        <v>14</v>
      </c>
      <c r="I679" s="1" t="s">
        <v>15</v>
      </c>
      <c r="J679" s="12">
        <v>45713</v>
      </c>
      <c r="K679">
        <v>0</v>
      </c>
      <c r="L679" s="1">
        <f t="shared" si="40"/>
        <v>8.8000000000000007</v>
      </c>
      <c r="M679" s="1" t="str">
        <f t="shared" si="41"/>
        <v/>
      </c>
      <c r="N679" s="2">
        <f t="shared" si="42"/>
        <v>45689</v>
      </c>
      <c r="O679" t="str">
        <f t="shared" si="43"/>
        <v>pes</v>
      </c>
    </row>
    <row r="680" spans="1:15" hidden="1" x14ac:dyDescent="0.25">
      <c r="A680">
        <v>8194</v>
      </c>
      <c r="B680" s="11">
        <v>4010123456783</v>
      </c>
      <c r="C680" s="1" t="s">
        <v>35</v>
      </c>
      <c r="D680" s="1" t="s">
        <v>36</v>
      </c>
      <c r="E680" s="1" t="s">
        <v>37</v>
      </c>
      <c r="F680">
        <v>14</v>
      </c>
      <c r="G680">
        <v>1</v>
      </c>
      <c r="H680" s="1" t="s">
        <v>14</v>
      </c>
      <c r="I680" s="1" t="s">
        <v>15</v>
      </c>
      <c r="J680" s="12">
        <v>45713</v>
      </c>
      <c r="K680">
        <v>0</v>
      </c>
      <c r="L680" s="1">
        <f t="shared" si="40"/>
        <v>14</v>
      </c>
      <c r="M680" s="1" t="str">
        <f t="shared" si="41"/>
        <v/>
      </c>
      <c r="N680" s="2">
        <f t="shared" si="42"/>
        <v>45689</v>
      </c>
      <c r="O680" t="str">
        <f t="shared" si="43"/>
        <v>mačka</v>
      </c>
    </row>
    <row r="681" spans="1:15" x14ac:dyDescent="0.25">
      <c r="A681">
        <v>8195</v>
      </c>
      <c r="B681" s="11">
        <v>4063456789014</v>
      </c>
      <c r="C681" s="1" t="s">
        <v>60</v>
      </c>
      <c r="D681" s="1" t="s">
        <v>12</v>
      </c>
      <c r="E681" s="1" t="s">
        <v>61</v>
      </c>
      <c r="F681">
        <v>36</v>
      </c>
      <c r="G681">
        <v>1</v>
      </c>
      <c r="H681" s="1" t="s">
        <v>18</v>
      </c>
      <c r="I681" s="1" t="s">
        <v>166</v>
      </c>
      <c r="J681" s="12">
        <v>45713</v>
      </c>
      <c r="K681">
        <v>0</v>
      </c>
      <c r="L681" s="1">
        <f t="shared" si="40"/>
        <v>36</v>
      </c>
      <c r="M681" s="1">
        <f t="shared" si="41"/>
        <v>4</v>
      </c>
      <c r="N681" s="2">
        <f t="shared" si="42"/>
        <v>45689</v>
      </c>
      <c r="O681" t="str">
        <f t="shared" si="43"/>
        <v>pes</v>
      </c>
    </row>
    <row r="682" spans="1:15" hidden="1" x14ac:dyDescent="0.25">
      <c r="A682">
        <v>8196</v>
      </c>
      <c r="B682" s="11">
        <v>4021234567894</v>
      </c>
      <c r="C682" s="1" t="s">
        <v>79</v>
      </c>
      <c r="D682" s="1" t="s">
        <v>36</v>
      </c>
      <c r="E682" s="1" t="s">
        <v>69</v>
      </c>
      <c r="F682">
        <v>8</v>
      </c>
      <c r="G682">
        <v>1</v>
      </c>
      <c r="H682" s="1" t="s">
        <v>14</v>
      </c>
      <c r="I682" s="1" t="s">
        <v>15</v>
      </c>
      <c r="J682" s="12">
        <v>45713</v>
      </c>
      <c r="K682">
        <v>0</v>
      </c>
      <c r="L682" s="1">
        <f t="shared" si="40"/>
        <v>8</v>
      </c>
      <c r="M682" s="1" t="str">
        <f t="shared" si="41"/>
        <v/>
      </c>
      <c r="N682" s="2">
        <f t="shared" si="42"/>
        <v>45689</v>
      </c>
      <c r="O682" t="str">
        <f t="shared" si="43"/>
        <v>mačka</v>
      </c>
    </row>
    <row r="683" spans="1:15" hidden="1" x14ac:dyDescent="0.25">
      <c r="A683">
        <v>8197</v>
      </c>
      <c r="B683" s="11">
        <v>4069012345682</v>
      </c>
      <c r="C683" s="1" t="s">
        <v>143</v>
      </c>
      <c r="D683" s="1" t="s">
        <v>144</v>
      </c>
      <c r="E683" s="1" t="s">
        <v>30</v>
      </c>
      <c r="F683">
        <v>26</v>
      </c>
      <c r="G683">
        <v>1</v>
      </c>
      <c r="H683" s="1" t="s">
        <v>23</v>
      </c>
      <c r="I683" s="1" t="s">
        <v>167</v>
      </c>
      <c r="J683" s="12">
        <v>45713</v>
      </c>
      <c r="K683">
        <v>0</v>
      </c>
      <c r="L683" s="1">
        <f t="shared" si="40"/>
        <v>26</v>
      </c>
      <c r="M683" s="1">
        <f t="shared" si="41"/>
        <v>5</v>
      </c>
      <c r="N683" s="2">
        <f t="shared" si="42"/>
        <v>45689</v>
      </c>
      <c r="O683" t="str">
        <f t="shared" si="43"/>
        <v>mačka</v>
      </c>
    </row>
    <row r="684" spans="1:15" x14ac:dyDescent="0.25">
      <c r="A684">
        <v>8198</v>
      </c>
      <c r="B684" s="11">
        <v>4005566778891</v>
      </c>
      <c r="C684" s="1" t="s">
        <v>146</v>
      </c>
      <c r="D684" s="1" t="s">
        <v>26</v>
      </c>
      <c r="E684" s="1" t="s">
        <v>134</v>
      </c>
      <c r="F684">
        <v>18</v>
      </c>
      <c r="G684">
        <v>1</v>
      </c>
      <c r="H684" s="1" t="s">
        <v>14</v>
      </c>
      <c r="I684" s="1" t="s">
        <v>15</v>
      </c>
      <c r="J684" s="12">
        <v>45713</v>
      </c>
      <c r="K684">
        <v>0</v>
      </c>
      <c r="L684" s="1">
        <f t="shared" si="40"/>
        <v>18</v>
      </c>
      <c r="M684" s="1" t="str">
        <f t="shared" si="41"/>
        <v/>
      </c>
      <c r="N684" s="2">
        <f t="shared" si="42"/>
        <v>45689</v>
      </c>
      <c r="O684" t="str">
        <f t="shared" si="43"/>
        <v>pes</v>
      </c>
    </row>
    <row r="685" spans="1:15" x14ac:dyDescent="0.25">
      <c r="A685">
        <v>8199</v>
      </c>
      <c r="B685" s="11">
        <v>4028899001126</v>
      </c>
      <c r="C685" s="1" t="s">
        <v>16</v>
      </c>
      <c r="D685" s="1" t="s">
        <v>12</v>
      </c>
      <c r="E685" s="1" t="s">
        <v>17</v>
      </c>
      <c r="F685">
        <v>2.8</v>
      </c>
      <c r="G685">
        <v>3</v>
      </c>
      <c r="H685" s="1" t="s">
        <v>14</v>
      </c>
      <c r="I685" s="1" t="s">
        <v>15</v>
      </c>
      <c r="J685" s="12">
        <v>45714</v>
      </c>
      <c r="K685">
        <v>0</v>
      </c>
      <c r="L685" s="1">
        <f t="shared" si="40"/>
        <v>8.3999999999999986</v>
      </c>
      <c r="M685" s="1" t="str">
        <f t="shared" si="41"/>
        <v/>
      </c>
      <c r="N685" s="2">
        <f t="shared" si="42"/>
        <v>45689</v>
      </c>
      <c r="O685" t="str">
        <f t="shared" si="43"/>
        <v>pes</v>
      </c>
    </row>
    <row r="686" spans="1:15" x14ac:dyDescent="0.25">
      <c r="A686">
        <v>8200</v>
      </c>
      <c r="B686" s="11">
        <v>4013456789017</v>
      </c>
      <c r="C686" s="1" t="s">
        <v>11</v>
      </c>
      <c r="D686" s="1" t="s">
        <v>12</v>
      </c>
      <c r="E686" s="1" t="s">
        <v>13</v>
      </c>
      <c r="F686">
        <v>6</v>
      </c>
      <c r="G686">
        <v>1</v>
      </c>
      <c r="H686" s="1" t="s">
        <v>14</v>
      </c>
      <c r="I686" s="1" t="s">
        <v>15</v>
      </c>
      <c r="J686" s="12">
        <v>45714</v>
      </c>
      <c r="K686">
        <v>0</v>
      </c>
      <c r="L686" s="1">
        <f t="shared" si="40"/>
        <v>6</v>
      </c>
      <c r="M686" s="1" t="str">
        <f t="shared" si="41"/>
        <v/>
      </c>
      <c r="N686" s="2">
        <f t="shared" si="42"/>
        <v>45689</v>
      </c>
      <c r="O686" t="str">
        <f t="shared" si="43"/>
        <v>pes</v>
      </c>
    </row>
    <row r="687" spans="1:15" x14ac:dyDescent="0.25">
      <c r="A687">
        <v>8201</v>
      </c>
      <c r="B687" s="11">
        <v>4040123456795</v>
      </c>
      <c r="C687" s="1" t="s">
        <v>20</v>
      </c>
      <c r="D687" s="1" t="s">
        <v>21</v>
      </c>
      <c r="E687" s="1" t="s">
        <v>22</v>
      </c>
      <c r="F687">
        <v>8.8000000000000007</v>
      </c>
      <c r="G687">
        <v>1</v>
      </c>
      <c r="H687" s="1" t="s">
        <v>14</v>
      </c>
      <c r="I687" s="1" t="s">
        <v>15</v>
      </c>
      <c r="J687" s="12">
        <v>45714</v>
      </c>
      <c r="K687">
        <v>0</v>
      </c>
      <c r="L687" s="1">
        <f t="shared" si="40"/>
        <v>8.8000000000000007</v>
      </c>
      <c r="M687" s="1" t="str">
        <f t="shared" si="41"/>
        <v/>
      </c>
      <c r="N687" s="2">
        <f t="shared" si="42"/>
        <v>45689</v>
      </c>
      <c r="O687" t="str">
        <f t="shared" si="43"/>
        <v>pes</v>
      </c>
    </row>
    <row r="688" spans="1:15" hidden="1" x14ac:dyDescent="0.25">
      <c r="A688">
        <v>8202</v>
      </c>
      <c r="B688" s="11">
        <v>4010123456783</v>
      </c>
      <c r="C688" s="1" t="s">
        <v>35</v>
      </c>
      <c r="D688" s="1" t="s">
        <v>36</v>
      </c>
      <c r="E688" s="1" t="s">
        <v>37</v>
      </c>
      <c r="F688">
        <v>14</v>
      </c>
      <c r="G688">
        <v>2</v>
      </c>
      <c r="H688" s="1" t="s">
        <v>14</v>
      </c>
      <c r="I688" s="1" t="s">
        <v>15</v>
      </c>
      <c r="J688" s="12">
        <v>45714</v>
      </c>
      <c r="K688">
        <v>0</v>
      </c>
      <c r="L688" s="1">
        <f t="shared" si="40"/>
        <v>28</v>
      </c>
      <c r="M688" s="1" t="str">
        <f t="shared" si="41"/>
        <v/>
      </c>
      <c r="N688" s="2">
        <f t="shared" si="42"/>
        <v>45689</v>
      </c>
      <c r="O688" t="str">
        <f t="shared" si="43"/>
        <v>mačka</v>
      </c>
    </row>
    <row r="689" spans="1:15" hidden="1" x14ac:dyDescent="0.25">
      <c r="A689">
        <v>8203</v>
      </c>
      <c r="B689" s="11">
        <v>4056789012345</v>
      </c>
      <c r="C689" s="1" t="s">
        <v>47</v>
      </c>
      <c r="D689" s="1" t="s">
        <v>29</v>
      </c>
      <c r="E689" s="1" t="s">
        <v>37</v>
      </c>
      <c r="F689">
        <v>2.4</v>
      </c>
      <c r="G689">
        <v>2</v>
      </c>
      <c r="H689" s="1" t="s">
        <v>14</v>
      </c>
      <c r="I689" s="1" t="s">
        <v>15</v>
      </c>
      <c r="J689" s="12">
        <v>45714</v>
      </c>
      <c r="K689">
        <v>0</v>
      </c>
      <c r="L689" s="1">
        <f t="shared" si="40"/>
        <v>4.8</v>
      </c>
      <c r="M689" s="1" t="str">
        <f t="shared" si="41"/>
        <v/>
      </c>
      <c r="N689" s="2">
        <f t="shared" si="42"/>
        <v>45689</v>
      </c>
      <c r="O689" t="str">
        <f t="shared" si="43"/>
        <v>mačka</v>
      </c>
    </row>
    <row r="690" spans="1:15" x14ac:dyDescent="0.25">
      <c r="A690">
        <v>8204</v>
      </c>
      <c r="B690" s="11">
        <v>4063456789014</v>
      </c>
      <c r="C690" s="1" t="s">
        <v>60</v>
      </c>
      <c r="D690" s="1" t="s">
        <v>12</v>
      </c>
      <c r="E690" s="1" t="s">
        <v>61</v>
      </c>
      <c r="F690">
        <v>36</v>
      </c>
      <c r="G690">
        <v>1</v>
      </c>
      <c r="H690" s="1" t="s">
        <v>23</v>
      </c>
      <c r="I690" s="1" t="s">
        <v>168</v>
      </c>
      <c r="J690" s="12">
        <v>45714</v>
      </c>
      <c r="K690">
        <v>0</v>
      </c>
      <c r="L690" s="1">
        <f t="shared" si="40"/>
        <v>36</v>
      </c>
      <c r="M690" s="1">
        <f t="shared" si="41"/>
        <v>5</v>
      </c>
      <c r="N690" s="2">
        <f t="shared" si="42"/>
        <v>45689</v>
      </c>
      <c r="O690" t="str">
        <f t="shared" si="43"/>
        <v>pes</v>
      </c>
    </row>
    <row r="691" spans="1:15" hidden="1" x14ac:dyDescent="0.25">
      <c r="A691">
        <v>8205</v>
      </c>
      <c r="B691" s="11">
        <v>4021234567894</v>
      </c>
      <c r="C691" s="1" t="s">
        <v>79</v>
      </c>
      <c r="D691" s="1" t="s">
        <v>36</v>
      </c>
      <c r="E691" s="1" t="s">
        <v>69</v>
      </c>
      <c r="F691">
        <v>8</v>
      </c>
      <c r="G691">
        <v>1</v>
      </c>
      <c r="H691" s="1" t="s">
        <v>14</v>
      </c>
      <c r="I691" s="1" t="s">
        <v>15</v>
      </c>
      <c r="J691" s="12">
        <v>45714</v>
      </c>
      <c r="K691">
        <v>0</v>
      </c>
      <c r="L691" s="1">
        <f t="shared" si="40"/>
        <v>8</v>
      </c>
      <c r="M691" s="1" t="str">
        <f t="shared" si="41"/>
        <v/>
      </c>
      <c r="N691" s="2">
        <f t="shared" si="42"/>
        <v>45689</v>
      </c>
      <c r="O691" t="str">
        <f t="shared" si="43"/>
        <v>mačka</v>
      </c>
    </row>
    <row r="692" spans="1:15" x14ac:dyDescent="0.25">
      <c r="A692">
        <v>8206</v>
      </c>
      <c r="B692" s="11">
        <v>4061011223346</v>
      </c>
      <c r="C692" s="1" t="s">
        <v>25</v>
      </c>
      <c r="D692" s="1" t="s">
        <v>26</v>
      </c>
      <c r="E692" s="1" t="s">
        <v>27</v>
      </c>
      <c r="F692">
        <v>19.600000000000001</v>
      </c>
      <c r="G692">
        <v>1</v>
      </c>
      <c r="H692" s="1" t="s">
        <v>18</v>
      </c>
      <c r="I692" s="1" t="s">
        <v>169</v>
      </c>
      <c r="J692" s="12">
        <v>45714</v>
      </c>
      <c r="K692">
        <v>0</v>
      </c>
      <c r="L692" s="1">
        <f t="shared" si="40"/>
        <v>19.600000000000001</v>
      </c>
      <c r="M692" s="1">
        <f t="shared" si="41"/>
        <v>4</v>
      </c>
      <c r="N692" s="2">
        <f t="shared" si="42"/>
        <v>45689</v>
      </c>
      <c r="O692" t="str">
        <f t="shared" si="43"/>
        <v>pes</v>
      </c>
    </row>
    <row r="693" spans="1:15" hidden="1" x14ac:dyDescent="0.25">
      <c r="A693">
        <v>8207</v>
      </c>
      <c r="B693" s="11">
        <v>4026677889902</v>
      </c>
      <c r="C693" s="1" t="s">
        <v>52</v>
      </c>
      <c r="D693" s="1" t="s">
        <v>53</v>
      </c>
      <c r="E693" s="1" t="s">
        <v>54</v>
      </c>
      <c r="F693">
        <v>7.6</v>
      </c>
      <c r="G693">
        <v>1</v>
      </c>
      <c r="H693" s="1" t="s">
        <v>14</v>
      </c>
      <c r="I693" s="1" t="s">
        <v>15</v>
      </c>
      <c r="J693" s="12">
        <v>45714</v>
      </c>
      <c r="K693">
        <v>0</v>
      </c>
      <c r="L693" s="1">
        <f t="shared" si="40"/>
        <v>7.6</v>
      </c>
      <c r="M693" s="1" t="str">
        <f t="shared" si="41"/>
        <v/>
      </c>
      <c r="N693" s="2">
        <f t="shared" si="42"/>
        <v>45689</v>
      </c>
      <c r="O693" t="str">
        <f t="shared" si="43"/>
        <v>iné</v>
      </c>
    </row>
    <row r="694" spans="1:15" x14ac:dyDescent="0.25">
      <c r="A694">
        <v>8208</v>
      </c>
      <c r="B694" s="11">
        <v>4028899001126</v>
      </c>
      <c r="C694" s="1" t="s">
        <v>16</v>
      </c>
      <c r="D694" s="1" t="s">
        <v>12</v>
      </c>
      <c r="E694" s="1" t="s">
        <v>17</v>
      </c>
      <c r="F694">
        <v>2.8</v>
      </c>
      <c r="G694">
        <v>5</v>
      </c>
      <c r="H694" s="1" t="s">
        <v>14</v>
      </c>
      <c r="I694" s="1" t="s">
        <v>15</v>
      </c>
      <c r="J694" s="12">
        <v>45714</v>
      </c>
      <c r="K694">
        <v>0</v>
      </c>
      <c r="L694" s="1">
        <f t="shared" si="40"/>
        <v>14</v>
      </c>
      <c r="M694" s="1" t="str">
        <f t="shared" si="41"/>
        <v/>
      </c>
      <c r="N694" s="2">
        <f t="shared" si="42"/>
        <v>45689</v>
      </c>
      <c r="O694" t="str">
        <f t="shared" si="43"/>
        <v>pes</v>
      </c>
    </row>
    <row r="695" spans="1:15" x14ac:dyDescent="0.25">
      <c r="A695">
        <v>8209</v>
      </c>
      <c r="B695" s="11">
        <v>4013456789017</v>
      </c>
      <c r="C695" s="1" t="s">
        <v>11</v>
      </c>
      <c r="D695" s="1" t="s">
        <v>12</v>
      </c>
      <c r="E695" s="1" t="s">
        <v>13</v>
      </c>
      <c r="F695">
        <v>6</v>
      </c>
      <c r="G695">
        <v>2</v>
      </c>
      <c r="H695" s="1" t="s">
        <v>14</v>
      </c>
      <c r="I695" s="1" t="s">
        <v>15</v>
      </c>
      <c r="J695" s="12">
        <v>45714</v>
      </c>
      <c r="K695">
        <v>0</v>
      </c>
      <c r="L695" s="1">
        <f t="shared" si="40"/>
        <v>12</v>
      </c>
      <c r="M695" s="1" t="str">
        <f t="shared" si="41"/>
        <v/>
      </c>
      <c r="N695" s="2">
        <f t="shared" si="42"/>
        <v>45689</v>
      </c>
      <c r="O695" t="str">
        <f t="shared" si="43"/>
        <v>pes</v>
      </c>
    </row>
    <row r="696" spans="1:15" x14ac:dyDescent="0.25">
      <c r="A696">
        <v>8210</v>
      </c>
      <c r="B696" s="11">
        <v>4040123456795</v>
      </c>
      <c r="C696" s="1" t="s">
        <v>20</v>
      </c>
      <c r="D696" s="1" t="s">
        <v>21</v>
      </c>
      <c r="E696" s="1" t="s">
        <v>22</v>
      </c>
      <c r="F696">
        <v>8.8000000000000007</v>
      </c>
      <c r="G696">
        <v>1</v>
      </c>
      <c r="H696" s="1" t="s">
        <v>14</v>
      </c>
      <c r="I696" s="1" t="s">
        <v>15</v>
      </c>
      <c r="J696" s="12">
        <v>45714</v>
      </c>
      <c r="K696">
        <v>0</v>
      </c>
      <c r="L696" s="1">
        <f t="shared" si="40"/>
        <v>8.8000000000000007</v>
      </c>
      <c r="M696" s="1" t="str">
        <f t="shared" si="41"/>
        <v/>
      </c>
      <c r="N696" s="2">
        <f t="shared" si="42"/>
        <v>45689</v>
      </c>
      <c r="O696" t="str">
        <f t="shared" si="43"/>
        <v>pes</v>
      </c>
    </row>
    <row r="697" spans="1:15" hidden="1" x14ac:dyDescent="0.25">
      <c r="A697">
        <v>8211</v>
      </c>
      <c r="B697" s="11">
        <v>4010123456783</v>
      </c>
      <c r="C697" s="1" t="s">
        <v>35</v>
      </c>
      <c r="D697" s="1" t="s">
        <v>36</v>
      </c>
      <c r="E697" s="1" t="s">
        <v>37</v>
      </c>
      <c r="F697">
        <v>14</v>
      </c>
      <c r="G697">
        <v>1</v>
      </c>
      <c r="H697" s="1" t="s">
        <v>14</v>
      </c>
      <c r="I697" s="1" t="s">
        <v>15</v>
      </c>
      <c r="J697" s="12">
        <v>45714</v>
      </c>
      <c r="K697">
        <v>0</v>
      </c>
      <c r="L697" s="1">
        <f t="shared" si="40"/>
        <v>14</v>
      </c>
      <c r="M697" s="1" t="str">
        <f t="shared" si="41"/>
        <v/>
      </c>
      <c r="N697" s="2">
        <f t="shared" si="42"/>
        <v>45689</v>
      </c>
      <c r="O697" t="str">
        <f t="shared" si="43"/>
        <v>mačka</v>
      </c>
    </row>
    <row r="698" spans="1:15" x14ac:dyDescent="0.25">
      <c r="A698">
        <v>8212</v>
      </c>
      <c r="B698" s="11">
        <v>4063456789014</v>
      </c>
      <c r="C698" s="1" t="s">
        <v>60</v>
      </c>
      <c r="D698" s="1" t="s">
        <v>12</v>
      </c>
      <c r="E698" s="1" t="s">
        <v>61</v>
      </c>
      <c r="F698">
        <v>36</v>
      </c>
      <c r="G698">
        <v>1</v>
      </c>
      <c r="H698" s="1" t="s">
        <v>14</v>
      </c>
      <c r="I698" s="1" t="s">
        <v>15</v>
      </c>
      <c r="J698" s="12">
        <v>45714</v>
      </c>
      <c r="K698">
        <v>0</v>
      </c>
      <c r="L698" s="1">
        <f t="shared" si="40"/>
        <v>36</v>
      </c>
      <c r="M698" s="1" t="str">
        <f t="shared" si="41"/>
        <v/>
      </c>
      <c r="N698" s="2">
        <f t="shared" si="42"/>
        <v>45689</v>
      </c>
      <c r="O698" t="str">
        <f t="shared" si="43"/>
        <v>pes</v>
      </c>
    </row>
    <row r="699" spans="1:15" x14ac:dyDescent="0.25">
      <c r="A699">
        <v>8213</v>
      </c>
      <c r="B699" s="11">
        <v>4028899001126</v>
      </c>
      <c r="C699" s="1" t="s">
        <v>16</v>
      </c>
      <c r="D699" s="1" t="s">
        <v>12</v>
      </c>
      <c r="E699" s="1" t="s">
        <v>17</v>
      </c>
      <c r="F699">
        <v>2.8</v>
      </c>
      <c r="G699">
        <v>3</v>
      </c>
      <c r="H699" s="1" t="s">
        <v>23</v>
      </c>
      <c r="I699" s="1" t="s">
        <v>170</v>
      </c>
      <c r="J699" s="12">
        <v>45715</v>
      </c>
      <c r="K699">
        <v>0</v>
      </c>
      <c r="L699" s="1">
        <f t="shared" si="40"/>
        <v>8.3999999999999986</v>
      </c>
      <c r="M699" s="1">
        <f t="shared" si="41"/>
        <v>5</v>
      </c>
      <c r="N699" s="2">
        <f t="shared" si="42"/>
        <v>45689</v>
      </c>
      <c r="O699" t="str">
        <f t="shared" si="43"/>
        <v>pes</v>
      </c>
    </row>
    <row r="700" spans="1:15" x14ac:dyDescent="0.25">
      <c r="A700">
        <v>8214</v>
      </c>
      <c r="B700" s="11">
        <v>4013456789017</v>
      </c>
      <c r="C700" s="1" t="s">
        <v>11</v>
      </c>
      <c r="D700" s="1" t="s">
        <v>12</v>
      </c>
      <c r="E700" s="1" t="s">
        <v>13</v>
      </c>
      <c r="F700">
        <v>6</v>
      </c>
      <c r="G700">
        <v>2</v>
      </c>
      <c r="H700" s="1" t="s">
        <v>14</v>
      </c>
      <c r="I700" s="1" t="s">
        <v>15</v>
      </c>
      <c r="J700" s="12">
        <v>45715</v>
      </c>
      <c r="K700">
        <v>0</v>
      </c>
      <c r="L700" s="1">
        <f t="shared" si="40"/>
        <v>12</v>
      </c>
      <c r="M700" s="1" t="str">
        <f t="shared" si="41"/>
        <v/>
      </c>
      <c r="N700" s="2">
        <f t="shared" si="42"/>
        <v>45689</v>
      </c>
      <c r="O700" t="str">
        <f t="shared" si="43"/>
        <v>pes</v>
      </c>
    </row>
    <row r="701" spans="1:15" x14ac:dyDescent="0.25">
      <c r="A701">
        <v>8215</v>
      </c>
      <c r="B701" s="11">
        <v>4040123456795</v>
      </c>
      <c r="C701" s="1" t="s">
        <v>20</v>
      </c>
      <c r="D701" s="1" t="s">
        <v>21</v>
      </c>
      <c r="E701" s="1" t="s">
        <v>22</v>
      </c>
      <c r="F701">
        <v>8.8000000000000007</v>
      </c>
      <c r="G701">
        <v>1</v>
      </c>
      <c r="H701" s="1" t="s">
        <v>14</v>
      </c>
      <c r="I701" s="1" t="s">
        <v>15</v>
      </c>
      <c r="J701" s="12">
        <v>45715</v>
      </c>
      <c r="K701">
        <v>0</v>
      </c>
      <c r="L701" s="1">
        <f t="shared" si="40"/>
        <v>8.8000000000000007</v>
      </c>
      <c r="M701" s="1" t="str">
        <f t="shared" si="41"/>
        <v/>
      </c>
      <c r="N701" s="2">
        <f t="shared" si="42"/>
        <v>45689</v>
      </c>
      <c r="O701" t="str">
        <f t="shared" si="43"/>
        <v>pes</v>
      </c>
    </row>
    <row r="702" spans="1:15" hidden="1" x14ac:dyDescent="0.25">
      <c r="A702">
        <v>8216</v>
      </c>
      <c r="B702" s="11">
        <v>4010123456783</v>
      </c>
      <c r="C702" s="1" t="s">
        <v>35</v>
      </c>
      <c r="D702" s="1" t="s">
        <v>36</v>
      </c>
      <c r="E702" s="1" t="s">
        <v>37</v>
      </c>
      <c r="F702">
        <v>14</v>
      </c>
      <c r="G702">
        <v>2</v>
      </c>
      <c r="H702" s="1" t="s">
        <v>14</v>
      </c>
      <c r="I702" s="1" t="s">
        <v>15</v>
      </c>
      <c r="J702" s="12">
        <v>45715</v>
      </c>
      <c r="K702">
        <v>0</v>
      </c>
      <c r="L702" s="1">
        <f t="shared" si="40"/>
        <v>28</v>
      </c>
      <c r="M702" s="1" t="str">
        <f t="shared" si="41"/>
        <v/>
      </c>
      <c r="N702" s="2">
        <f t="shared" si="42"/>
        <v>45689</v>
      </c>
      <c r="O702" t="str">
        <f t="shared" si="43"/>
        <v>mačka</v>
      </c>
    </row>
    <row r="703" spans="1:15" hidden="1" x14ac:dyDescent="0.25">
      <c r="A703">
        <v>8217</v>
      </c>
      <c r="B703" s="11">
        <v>4056789012345</v>
      </c>
      <c r="C703" s="1" t="s">
        <v>47</v>
      </c>
      <c r="D703" s="1" t="s">
        <v>29</v>
      </c>
      <c r="E703" s="1" t="s">
        <v>37</v>
      </c>
      <c r="F703">
        <v>2.4</v>
      </c>
      <c r="G703">
        <v>3</v>
      </c>
      <c r="H703" s="1" t="s">
        <v>14</v>
      </c>
      <c r="I703" s="1" t="s">
        <v>15</v>
      </c>
      <c r="J703" s="12">
        <v>45715</v>
      </c>
      <c r="K703">
        <v>0</v>
      </c>
      <c r="L703" s="1">
        <f t="shared" si="40"/>
        <v>7.1999999999999993</v>
      </c>
      <c r="M703" s="1" t="str">
        <f t="shared" si="41"/>
        <v/>
      </c>
      <c r="N703" s="2">
        <f t="shared" si="42"/>
        <v>45689</v>
      </c>
      <c r="O703" t="str">
        <f t="shared" si="43"/>
        <v>mačka</v>
      </c>
    </row>
    <row r="704" spans="1:15" x14ac:dyDescent="0.25">
      <c r="A704">
        <v>8218</v>
      </c>
      <c r="B704" s="11">
        <v>4063456789014</v>
      </c>
      <c r="C704" s="1" t="s">
        <v>60</v>
      </c>
      <c r="D704" s="1" t="s">
        <v>12</v>
      </c>
      <c r="E704" s="1" t="s">
        <v>61</v>
      </c>
      <c r="F704">
        <v>36</v>
      </c>
      <c r="G704">
        <v>1</v>
      </c>
      <c r="H704" s="1" t="s">
        <v>14</v>
      </c>
      <c r="I704" s="1" t="s">
        <v>15</v>
      </c>
      <c r="J704" s="12">
        <v>45715</v>
      </c>
      <c r="K704">
        <v>0</v>
      </c>
      <c r="L704" s="1">
        <f t="shared" si="40"/>
        <v>36</v>
      </c>
      <c r="M704" s="1" t="str">
        <f t="shared" si="41"/>
        <v/>
      </c>
      <c r="N704" s="2">
        <f t="shared" si="42"/>
        <v>45689</v>
      </c>
      <c r="O704" t="str">
        <f t="shared" si="43"/>
        <v>pes</v>
      </c>
    </row>
    <row r="705" spans="1:15" hidden="1" x14ac:dyDescent="0.25">
      <c r="A705">
        <v>8219</v>
      </c>
      <c r="B705" s="11">
        <v>4021234567894</v>
      </c>
      <c r="C705" s="1" t="s">
        <v>79</v>
      </c>
      <c r="D705" s="1" t="s">
        <v>36</v>
      </c>
      <c r="E705" s="1" t="s">
        <v>69</v>
      </c>
      <c r="F705">
        <v>8</v>
      </c>
      <c r="G705">
        <v>1</v>
      </c>
      <c r="H705" s="1" t="s">
        <v>14</v>
      </c>
      <c r="I705" s="1" t="s">
        <v>15</v>
      </c>
      <c r="J705" s="12">
        <v>45715</v>
      </c>
      <c r="K705">
        <v>0</v>
      </c>
      <c r="L705" s="1">
        <f t="shared" si="40"/>
        <v>8</v>
      </c>
      <c r="M705" s="1" t="str">
        <f t="shared" si="41"/>
        <v/>
      </c>
      <c r="N705" s="2">
        <f t="shared" si="42"/>
        <v>45689</v>
      </c>
      <c r="O705" t="str">
        <f t="shared" si="43"/>
        <v>mačka</v>
      </c>
    </row>
    <row r="706" spans="1:15" hidden="1" x14ac:dyDescent="0.25">
      <c r="A706">
        <v>8220</v>
      </c>
      <c r="B706" s="11">
        <v>4069012345682</v>
      </c>
      <c r="C706" s="1" t="s">
        <v>143</v>
      </c>
      <c r="D706" s="1" t="s">
        <v>144</v>
      </c>
      <c r="E706" s="1" t="s">
        <v>30</v>
      </c>
      <c r="F706">
        <v>26</v>
      </c>
      <c r="G706">
        <v>1</v>
      </c>
      <c r="H706" s="1" t="s">
        <v>18</v>
      </c>
      <c r="I706" s="1" t="s">
        <v>171</v>
      </c>
      <c r="J706" s="12">
        <v>45715</v>
      </c>
      <c r="K706">
        <v>0</v>
      </c>
      <c r="L706" s="1">
        <f t="shared" ref="L706:L769" si="44">F706*G706</f>
        <v>26</v>
      </c>
      <c r="M706" s="1">
        <f t="shared" ref="M706:M769" si="45">IF(H706="NULL", "",VALUE(H706))</f>
        <v>4</v>
      </c>
      <c r="N706" s="2">
        <f t="shared" ref="N706:N769" si="46">DATE(YEAR(J706),MONTH(J706),1)</f>
        <v>45689</v>
      </c>
      <c r="O706" t="str">
        <f t="shared" ref="O706:O769" si="47">IF(ISNUMBER(SEARCH("Mačky",D706)),"mačka",IF(ISNUMBER(SEARCH("Psy",D706)),"pes","iné"))</f>
        <v>mačka</v>
      </c>
    </row>
    <row r="707" spans="1:15" hidden="1" x14ac:dyDescent="0.25">
      <c r="A707">
        <v>8221</v>
      </c>
      <c r="B707" s="11">
        <v>4026677889902</v>
      </c>
      <c r="C707" s="1" t="s">
        <v>52</v>
      </c>
      <c r="D707" s="1" t="s">
        <v>53</v>
      </c>
      <c r="E707" s="1" t="s">
        <v>54</v>
      </c>
      <c r="F707">
        <v>7.6</v>
      </c>
      <c r="G707">
        <v>1</v>
      </c>
      <c r="H707" s="1" t="s">
        <v>14</v>
      </c>
      <c r="I707" s="1" t="s">
        <v>15</v>
      </c>
      <c r="J707" s="12">
        <v>45715</v>
      </c>
      <c r="K707">
        <v>0</v>
      </c>
      <c r="L707" s="1">
        <f t="shared" si="44"/>
        <v>7.6</v>
      </c>
      <c r="M707" s="1" t="str">
        <f t="shared" si="45"/>
        <v/>
      </c>
      <c r="N707" s="2">
        <f t="shared" si="46"/>
        <v>45689</v>
      </c>
      <c r="O707" t="str">
        <f t="shared" si="47"/>
        <v>iné</v>
      </c>
    </row>
    <row r="708" spans="1:15" x14ac:dyDescent="0.25">
      <c r="A708">
        <v>8222</v>
      </c>
      <c r="B708" s="11">
        <v>4028899001126</v>
      </c>
      <c r="C708" s="1" t="s">
        <v>16</v>
      </c>
      <c r="D708" s="1" t="s">
        <v>12</v>
      </c>
      <c r="E708" s="1" t="s">
        <v>17</v>
      </c>
      <c r="F708">
        <v>2.8</v>
      </c>
      <c r="G708">
        <v>4</v>
      </c>
      <c r="H708" s="1" t="s">
        <v>14</v>
      </c>
      <c r="I708" s="1" t="s">
        <v>15</v>
      </c>
      <c r="J708" s="12">
        <v>45716</v>
      </c>
      <c r="K708">
        <v>0</v>
      </c>
      <c r="L708" s="1">
        <f t="shared" si="44"/>
        <v>11.2</v>
      </c>
      <c r="M708" s="1" t="str">
        <f t="shared" si="45"/>
        <v/>
      </c>
      <c r="N708" s="2">
        <f t="shared" si="46"/>
        <v>45689</v>
      </c>
      <c r="O708" t="str">
        <f t="shared" si="47"/>
        <v>pes</v>
      </c>
    </row>
    <row r="709" spans="1:15" x14ac:dyDescent="0.25">
      <c r="A709">
        <v>8223</v>
      </c>
      <c r="B709" s="11">
        <v>4013456789017</v>
      </c>
      <c r="C709" s="1" t="s">
        <v>11</v>
      </c>
      <c r="D709" s="1" t="s">
        <v>12</v>
      </c>
      <c r="E709" s="1" t="s">
        <v>13</v>
      </c>
      <c r="F709">
        <v>6</v>
      </c>
      <c r="G709">
        <v>2</v>
      </c>
      <c r="H709" s="1" t="s">
        <v>14</v>
      </c>
      <c r="I709" s="1" t="s">
        <v>15</v>
      </c>
      <c r="J709" s="12">
        <v>45716</v>
      </c>
      <c r="K709">
        <v>0</v>
      </c>
      <c r="L709" s="1">
        <f t="shared" si="44"/>
        <v>12</v>
      </c>
      <c r="M709" s="1" t="str">
        <f t="shared" si="45"/>
        <v/>
      </c>
      <c r="N709" s="2">
        <f t="shared" si="46"/>
        <v>45689</v>
      </c>
      <c r="O709" t="str">
        <f t="shared" si="47"/>
        <v>pes</v>
      </c>
    </row>
    <row r="710" spans="1:15" x14ac:dyDescent="0.25">
      <c r="A710">
        <v>8224</v>
      </c>
      <c r="B710" s="11">
        <v>4040123456795</v>
      </c>
      <c r="C710" s="1" t="s">
        <v>20</v>
      </c>
      <c r="D710" s="1" t="s">
        <v>21</v>
      </c>
      <c r="E710" s="1" t="s">
        <v>22</v>
      </c>
      <c r="F710">
        <v>8.8000000000000007</v>
      </c>
      <c r="G710">
        <v>1</v>
      </c>
      <c r="H710" s="1" t="s">
        <v>14</v>
      </c>
      <c r="I710" s="1" t="s">
        <v>15</v>
      </c>
      <c r="J710" s="12">
        <v>45716</v>
      </c>
      <c r="K710">
        <v>0</v>
      </c>
      <c r="L710" s="1">
        <f t="shared" si="44"/>
        <v>8.8000000000000007</v>
      </c>
      <c r="M710" s="1" t="str">
        <f t="shared" si="45"/>
        <v/>
      </c>
      <c r="N710" s="2">
        <f t="shared" si="46"/>
        <v>45689</v>
      </c>
      <c r="O710" t="str">
        <f t="shared" si="47"/>
        <v>pes</v>
      </c>
    </row>
    <row r="711" spans="1:15" hidden="1" x14ac:dyDescent="0.25">
      <c r="A711">
        <v>8225</v>
      </c>
      <c r="B711" s="11">
        <v>4010123456783</v>
      </c>
      <c r="C711" s="1" t="s">
        <v>35</v>
      </c>
      <c r="D711" s="1" t="s">
        <v>36</v>
      </c>
      <c r="E711" s="1" t="s">
        <v>37</v>
      </c>
      <c r="F711">
        <v>14</v>
      </c>
      <c r="G711">
        <v>1</v>
      </c>
      <c r="H711" s="1" t="s">
        <v>14</v>
      </c>
      <c r="I711" s="1" t="s">
        <v>15</v>
      </c>
      <c r="J711" s="12">
        <v>45716</v>
      </c>
      <c r="K711">
        <v>0</v>
      </c>
      <c r="L711" s="1">
        <f t="shared" si="44"/>
        <v>14</v>
      </c>
      <c r="M711" s="1" t="str">
        <f t="shared" si="45"/>
        <v/>
      </c>
      <c r="N711" s="2">
        <f t="shared" si="46"/>
        <v>45689</v>
      </c>
      <c r="O711" t="str">
        <f t="shared" si="47"/>
        <v>mačka</v>
      </c>
    </row>
    <row r="712" spans="1:15" x14ac:dyDescent="0.25">
      <c r="A712">
        <v>8226</v>
      </c>
      <c r="B712" s="11">
        <v>4063456789014</v>
      </c>
      <c r="C712" s="1" t="s">
        <v>60</v>
      </c>
      <c r="D712" s="1" t="s">
        <v>12</v>
      </c>
      <c r="E712" s="1" t="s">
        <v>61</v>
      </c>
      <c r="F712">
        <v>36</v>
      </c>
      <c r="G712">
        <v>1</v>
      </c>
      <c r="H712" s="1" t="s">
        <v>14</v>
      </c>
      <c r="I712" s="1" t="s">
        <v>15</v>
      </c>
      <c r="J712" s="12">
        <v>45716</v>
      </c>
      <c r="K712">
        <v>0</v>
      </c>
      <c r="L712" s="1">
        <f t="shared" si="44"/>
        <v>36</v>
      </c>
      <c r="M712" s="1" t="str">
        <f t="shared" si="45"/>
        <v/>
      </c>
      <c r="N712" s="2">
        <f t="shared" si="46"/>
        <v>45689</v>
      </c>
      <c r="O712" t="str">
        <f t="shared" si="47"/>
        <v>pes</v>
      </c>
    </row>
    <row r="713" spans="1:15" hidden="1" x14ac:dyDescent="0.25">
      <c r="A713">
        <v>8227</v>
      </c>
      <c r="B713" s="11">
        <v>4021234567894</v>
      </c>
      <c r="C713" s="1" t="s">
        <v>79</v>
      </c>
      <c r="D713" s="1" t="s">
        <v>36</v>
      </c>
      <c r="E713" s="1" t="s">
        <v>69</v>
      </c>
      <c r="F713">
        <v>8</v>
      </c>
      <c r="G713">
        <v>1</v>
      </c>
      <c r="H713" s="1" t="s">
        <v>33</v>
      </c>
      <c r="I713" s="1" t="s">
        <v>14</v>
      </c>
      <c r="J713" s="12">
        <v>45716</v>
      </c>
      <c r="K713">
        <v>0</v>
      </c>
      <c r="L713" s="1">
        <f t="shared" si="44"/>
        <v>8</v>
      </c>
      <c r="M713" s="1">
        <f t="shared" si="45"/>
        <v>3</v>
      </c>
      <c r="N713" s="2">
        <f t="shared" si="46"/>
        <v>45689</v>
      </c>
      <c r="O713" t="str">
        <f t="shared" si="47"/>
        <v>mačka</v>
      </c>
    </row>
    <row r="714" spans="1:15" x14ac:dyDescent="0.25">
      <c r="A714">
        <v>8228</v>
      </c>
      <c r="B714" s="11">
        <v>4061011223346</v>
      </c>
      <c r="C714" s="1" t="s">
        <v>25</v>
      </c>
      <c r="D714" s="1" t="s">
        <v>26</v>
      </c>
      <c r="E714" s="1" t="s">
        <v>27</v>
      </c>
      <c r="F714">
        <v>19.600000000000001</v>
      </c>
      <c r="G714">
        <v>1</v>
      </c>
      <c r="H714" s="1" t="s">
        <v>14</v>
      </c>
      <c r="I714" s="1" t="s">
        <v>15</v>
      </c>
      <c r="J714" s="12">
        <v>45716</v>
      </c>
      <c r="K714">
        <v>0</v>
      </c>
      <c r="L714" s="1">
        <f t="shared" si="44"/>
        <v>19.600000000000001</v>
      </c>
      <c r="M714" s="1" t="str">
        <f t="shared" si="45"/>
        <v/>
      </c>
      <c r="N714" s="2">
        <f t="shared" si="46"/>
        <v>45689</v>
      </c>
      <c r="O714" t="str">
        <f t="shared" si="47"/>
        <v>pes</v>
      </c>
    </row>
    <row r="715" spans="1:15" hidden="1" x14ac:dyDescent="0.25">
      <c r="A715">
        <v>8229</v>
      </c>
      <c r="B715" s="11">
        <v>4026677889902</v>
      </c>
      <c r="C715" s="1" t="s">
        <v>52</v>
      </c>
      <c r="D715" s="1" t="s">
        <v>53</v>
      </c>
      <c r="E715" s="1" t="s">
        <v>54</v>
      </c>
      <c r="F715">
        <v>7.6</v>
      </c>
      <c r="G715">
        <v>1</v>
      </c>
      <c r="H715" s="1" t="s">
        <v>14</v>
      </c>
      <c r="I715" s="1" t="s">
        <v>15</v>
      </c>
      <c r="J715" s="12">
        <v>45716</v>
      </c>
      <c r="K715">
        <v>0</v>
      </c>
      <c r="L715" s="1">
        <f t="shared" si="44"/>
        <v>7.6</v>
      </c>
      <c r="M715" s="1" t="str">
        <f t="shared" si="45"/>
        <v/>
      </c>
      <c r="N715" s="2">
        <f t="shared" si="46"/>
        <v>45689</v>
      </c>
      <c r="O715" t="str">
        <f t="shared" si="47"/>
        <v>iné</v>
      </c>
    </row>
    <row r="716" spans="1:15" x14ac:dyDescent="0.25">
      <c r="A716">
        <v>8230</v>
      </c>
      <c r="B716" s="11">
        <v>4028899001126</v>
      </c>
      <c r="C716" s="1" t="s">
        <v>16</v>
      </c>
      <c r="D716" s="1" t="s">
        <v>12</v>
      </c>
      <c r="E716" s="1" t="s">
        <v>17</v>
      </c>
      <c r="F716">
        <v>2.8</v>
      </c>
      <c r="G716">
        <v>3</v>
      </c>
      <c r="H716" s="1" t="s">
        <v>14</v>
      </c>
      <c r="I716" s="1" t="s">
        <v>15</v>
      </c>
      <c r="J716" s="12">
        <v>45716</v>
      </c>
      <c r="K716">
        <v>0</v>
      </c>
      <c r="L716" s="1">
        <f t="shared" si="44"/>
        <v>8.3999999999999986</v>
      </c>
      <c r="M716" s="1" t="str">
        <f t="shared" si="45"/>
        <v/>
      </c>
      <c r="N716" s="2">
        <f t="shared" si="46"/>
        <v>45689</v>
      </c>
      <c r="O716" t="str">
        <f t="shared" si="47"/>
        <v>pes</v>
      </c>
    </row>
    <row r="717" spans="1:15" x14ac:dyDescent="0.25">
      <c r="A717">
        <v>8231</v>
      </c>
      <c r="B717" s="11">
        <v>4013456789017</v>
      </c>
      <c r="C717" s="1" t="s">
        <v>11</v>
      </c>
      <c r="D717" s="1" t="s">
        <v>12</v>
      </c>
      <c r="E717" s="1" t="s">
        <v>13</v>
      </c>
      <c r="F717">
        <v>6</v>
      </c>
      <c r="G717">
        <v>2</v>
      </c>
      <c r="H717" s="1" t="s">
        <v>14</v>
      </c>
      <c r="I717" s="1" t="s">
        <v>15</v>
      </c>
      <c r="J717" s="12">
        <v>45716</v>
      </c>
      <c r="K717">
        <v>0</v>
      </c>
      <c r="L717" s="1">
        <f t="shared" si="44"/>
        <v>12</v>
      </c>
      <c r="M717" s="1" t="str">
        <f t="shared" si="45"/>
        <v/>
      </c>
      <c r="N717" s="2">
        <f t="shared" si="46"/>
        <v>45689</v>
      </c>
      <c r="O717" t="str">
        <f t="shared" si="47"/>
        <v>pes</v>
      </c>
    </row>
    <row r="718" spans="1:15" x14ac:dyDescent="0.25">
      <c r="A718">
        <v>8232</v>
      </c>
      <c r="B718" s="11">
        <v>4040123456795</v>
      </c>
      <c r="C718" s="1" t="s">
        <v>20</v>
      </c>
      <c r="D718" s="1" t="s">
        <v>21</v>
      </c>
      <c r="E718" s="1" t="s">
        <v>22</v>
      </c>
      <c r="F718">
        <v>8.8000000000000007</v>
      </c>
      <c r="G718">
        <v>1</v>
      </c>
      <c r="H718" s="1" t="s">
        <v>14</v>
      </c>
      <c r="I718" s="1" t="s">
        <v>15</v>
      </c>
      <c r="J718" s="12">
        <v>45716</v>
      </c>
      <c r="K718">
        <v>0</v>
      </c>
      <c r="L718" s="1">
        <f t="shared" si="44"/>
        <v>8.8000000000000007</v>
      </c>
      <c r="M718" s="1" t="str">
        <f t="shared" si="45"/>
        <v/>
      </c>
      <c r="N718" s="2">
        <f t="shared" si="46"/>
        <v>45689</v>
      </c>
      <c r="O718" t="str">
        <f t="shared" si="47"/>
        <v>pes</v>
      </c>
    </row>
    <row r="719" spans="1:15" hidden="1" x14ac:dyDescent="0.25">
      <c r="A719">
        <v>8233</v>
      </c>
      <c r="B719" s="11">
        <v>4010123456783</v>
      </c>
      <c r="C719" s="1" t="s">
        <v>35</v>
      </c>
      <c r="D719" s="1" t="s">
        <v>36</v>
      </c>
      <c r="E719" s="1" t="s">
        <v>37</v>
      </c>
      <c r="F719">
        <v>14</v>
      </c>
      <c r="G719">
        <v>1</v>
      </c>
      <c r="H719" s="1" t="s">
        <v>14</v>
      </c>
      <c r="I719" s="1" t="s">
        <v>15</v>
      </c>
      <c r="J719" s="12">
        <v>45716</v>
      </c>
      <c r="K719">
        <v>0</v>
      </c>
      <c r="L719" s="1">
        <f t="shared" si="44"/>
        <v>14</v>
      </c>
      <c r="M719" s="1" t="str">
        <f t="shared" si="45"/>
        <v/>
      </c>
      <c r="N719" s="2">
        <f t="shared" si="46"/>
        <v>45689</v>
      </c>
      <c r="O719" t="str">
        <f t="shared" si="47"/>
        <v>mačka</v>
      </c>
    </row>
    <row r="720" spans="1:15" x14ac:dyDescent="0.25">
      <c r="A720">
        <v>8234</v>
      </c>
      <c r="B720" s="11">
        <v>4063456789014</v>
      </c>
      <c r="C720" s="1" t="s">
        <v>60</v>
      </c>
      <c r="D720" s="1" t="s">
        <v>12</v>
      </c>
      <c r="E720" s="1" t="s">
        <v>61</v>
      </c>
      <c r="F720">
        <v>36</v>
      </c>
      <c r="G720">
        <v>1</v>
      </c>
      <c r="H720" s="1" t="s">
        <v>14</v>
      </c>
      <c r="I720" s="1" t="s">
        <v>15</v>
      </c>
      <c r="J720" s="12">
        <v>45716</v>
      </c>
      <c r="K720">
        <v>0</v>
      </c>
      <c r="L720" s="1">
        <f t="shared" si="44"/>
        <v>36</v>
      </c>
      <c r="M720" s="1" t="str">
        <f t="shared" si="45"/>
        <v/>
      </c>
      <c r="N720" s="2">
        <f t="shared" si="46"/>
        <v>45689</v>
      </c>
      <c r="O720" t="str">
        <f t="shared" si="47"/>
        <v>pes</v>
      </c>
    </row>
    <row r="721" spans="1:15" x14ac:dyDescent="0.25">
      <c r="A721">
        <v>8235</v>
      </c>
      <c r="B721" s="11">
        <v>4028899001126</v>
      </c>
      <c r="C721" s="1" t="s">
        <v>16</v>
      </c>
      <c r="D721" s="1" t="s">
        <v>12</v>
      </c>
      <c r="E721" s="1" t="s">
        <v>17</v>
      </c>
      <c r="F721">
        <v>2.8</v>
      </c>
      <c r="G721">
        <v>5</v>
      </c>
      <c r="H721" s="1" t="s">
        <v>14</v>
      </c>
      <c r="I721" s="1" t="s">
        <v>15</v>
      </c>
      <c r="J721" s="12">
        <v>45716</v>
      </c>
      <c r="K721">
        <v>0</v>
      </c>
      <c r="L721" s="1">
        <f t="shared" si="44"/>
        <v>14</v>
      </c>
      <c r="M721" s="1" t="str">
        <f t="shared" si="45"/>
        <v/>
      </c>
      <c r="N721" s="2">
        <f t="shared" si="46"/>
        <v>45689</v>
      </c>
      <c r="O721" t="str">
        <f t="shared" si="47"/>
        <v>pes</v>
      </c>
    </row>
    <row r="722" spans="1:15" x14ac:dyDescent="0.25">
      <c r="A722">
        <v>8236</v>
      </c>
      <c r="B722" s="11">
        <v>4013456789017</v>
      </c>
      <c r="C722" s="1" t="s">
        <v>11</v>
      </c>
      <c r="D722" s="1" t="s">
        <v>12</v>
      </c>
      <c r="E722" s="1" t="s">
        <v>13</v>
      </c>
      <c r="F722">
        <v>6</v>
      </c>
      <c r="G722">
        <v>1</v>
      </c>
      <c r="H722" s="1" t="s">
        <v>14</v>
      </c>
      <c r="I722" s="1" t="s">
        <v>15</v>
      </c>
      <c r="J722" s="12">
        <v>45716</v>
      </c>
      <c r="K722">
        <v>0</v>
      </c>
      <c r="L722" s="1">
        <f t="shared" si="44"/>
        <v>6</v>
      </c>
      <c r="M722" s="1" t="str">
        <f t="shared" si="45"/>
        <v/>
      </c>
      <c r="N722" s="2">
        <f t="shared" si="46"/>
        <v>45689</v>
      </c>
      <c r="O722" t="str">
        <f t="shared" si="47"/>
        <v>pes</v>
      </c>
    </row>
    <row r="723" spans="1:15" x14ac:dyDescent="0.25">
      <c r="A723">
        <v>8237</v>
      </c>
      <c r="B723" s="11">
        <v>4040123456795</v>
      </c>
      <c r="C723" s="1" t="s">
        <v>20</v>
      </c>
      <c r="D723" s="1" t="s">
        <v>21</v>
      </c>
      <c r="E723" s="1" t="s">
        <v>22</v>
      </c>
      <c r="F723">
        <v>8.8000000000000007</v>
      </c>
      <c r="G723">
        <v>1</v>
      </c>
      <c r="H723" s="1" t="s">
        <v>14</v>
      </c>
      <c r="I723" s="1" t="s">
        <v>15</v>
      </c>
      <c r="J723" s="12">
        <v>45716</v>
      </c>
      <c r="K723">
        <v>0</v>
      </c>
      <c r="L723" s="1">
        <f t="shared" si="44"/>
        <v>8.8000000000000007</v>
      </c>
      <c r="M723" s="1" t="str">
        <f t="shared" si="45"/>
        <v/>
      </c>
      <c r="N723" s="2">
        <f t="shared" si="46"/>
        <v>45689</v>
      </c>
      <c r="O723" t="str">
        <f t="shared" si="47"/>
        <v>pes</v>
      </c>
    </row>
    <row r="724" spans="1:15" hidden="1" x14ac:dyDescent="0.25">
      <c r="A724">
        <v>8238</v>
      </c>
      <c r="B724" s="11">
        <v>4010123456783</v>
      </c>
      <c r="C724" s="1" t="s">
        <v>35</v>
      </c>
      <c r="D724" s="1" t="s">
        <v>36</v>
      </c>
      <c r="E724" s="1" t="s">
        <v>37</v>
      </c>
      <c r="F724">
        <v>14</v>
      </c>
      <c r="G724">
        <v>2</v>
      </c>
      <c r="H724" s="1" t="s">
        <v>14</v>
      </c>
      <c r="I724" s="1" t="s">
        <v>15</v>
      </c>
      <c r="J724" s="12">
        <v>45716</v>
      </c>
      <c r="K724">
        <v>0</v>
      </c>
      <c r="L724" s="1">
        <f t="shared" si="44"/>
        <v>28</v>
      </c>
      <c r="M724" s="1" t="str">
        <f t="shared" si="45"/>
        <v/>
      </c>
      <c r="N724" s="2">
        <f t="shared" si="46"/>
        <v>45689</v>
      </c>
      <c r="O724" t="str">
        <f t="shared" si="47"/>
        <v>mačka</v>
      </c>
    </row>
    <row r="725" spans="1:15" hidden="1" x14ac:dyDescent="0.25">
      <c r="A725">
        <v>8239</v>
      </c>
      <c r="B725" s="11">
        <v>4056789012345</v>
      </c>
      <c r="C725" s="1" t="s">
        <v>47</v>
      </c>
      <c r="D725" s="1" t="s">
        <v>29</v>
      </c>
      <c r="E725" s="1" t="s">
        <v>37</v>
      </c>
      <c r="F725">
        <v>2.4</v>
      </c>
      <c r="G725">
        <v>3</v>
      </c>
      <c r="H725" s="1" t="s">
        <v>14</v>
      </c>
      <c r="I725" s="1" t="s">
        <v>15</v>
      </c>
      <c r="J725" s="12">
        <v>45716</v>
      </c>
      <c r="K725">
        <v>0</v>
      </c>
      <c r="L725" s="1">
        <f t="shared" si="44"/>
        <v>7.1999999999999993</v>
      </c>
      <c r="M725" s="1" t="str">
        <f t="shared" si="45"/>
        <v/>
      </c>
      <c r="N725" s="2">
        <f t="shared" si="46"/>
        <v>45689</v>
      </c>
      <c r="O725" t="str">
        <f t="shared" si="47"/>
        <v>mačka</v>
      </c>
    </row>
    <row r="726" spans="1:15" x14ac:dyDescent="0.25">
      <c r="A726">
        <v>8240</v>
      </c>
      <c r="B726" s="11">
        <v>4063456789014</v>
      </c>
      <c r="C726" s="1" t="s">
        <v>60</v>
      </c>
      <c r="D726" s="1" t="s">
        <v>12</v>
      </c>
      <c r="E726" s="1" t="s">
        <v>61</v>
      </c>
      <c r="F726">
        <v>36</v>
      </c>
      <c r="G726">
        <v>1</v>
      </c>
      <c r="H726" s="1" t="s">
        <v>18</v>
      </c>
      <c r="I726" s="1" t="s">
        <v>172</v>
      </c>
      <c r="J726" s="12">
        <v>45716</v>
      </c>
      <c r="K726">
        <v>0</v>
      </c>
      <c r="L726" s="1">
        <f t="shared" si="44"/>
        <v>36</v>
      </c>
      <c r="M726" s="1">
        <f t="shared" si="45"/>
        <v>4</v>
      </c>
      <c r="N726" s="2">
        <f t="shared" si="46"/>
        <v>45689</v>
      </c>
      <c r="O726" t="str">
        <f t="shared" si="47"/>
        <v>pes</v>
      </c>
    </row>
    <row r="727" spans="1:15" x14ac:dyDescent="0.25">
      <c r="A727">
        <v>8241</v>
      </c>
      <c r="B727" s="11">
        <v>4028899001126</v>
      </c>
      <c r="C727" s="1" t="s">
        <v>16</v>
      </c>
      <c r="D727" s="1" t="s">
        <v>12</v>
      </c>
      <c r="E727" s="1" t="s">
        <v>17</v>
      </c>
      <c r="F727">
        <v>2.8</v>
      </c>
      <c r="G727">
        <v>4</v>
      </c>
      <c r="H727" s="1" t="s">
        <v>14</v>
      </c>
      <c r="I727" s="1" t="s">
        <v>15</v>
      </c>
      <c r="J727" s="12">
        <v>45716</v>
      </c>
      <c r="K727">
        <v>0</v>
      </c>
      <c r="L727" s="1">
        <f t="shared" si="44"/>
        <v>11.2</v>
      </c>
      <c r="M727" s="1" t="str">
        <f t="shared" si="45"/>
        <v/>
      </c>
      <c r="N727" s="2">
        <f t="shared" si="46"/>
        <v>45689</v>
      </c>
      <c r="O727" t="str">
        <f t="shared" si="47"/>
        <v>pes</v>
      </c>
    </row>
    <row r="728" spans="1:15" x14ac:dyDescent="0.25">
      <c r="A728">
        <v>8242</v>
      </c>
      <c r="B728" s="11">
        <v>4013456789017</v>
      </c>
      <c r="C728" s="1" t="s">
        <v>11</v>
      </c>
      <c r="D728" s="1" t="s">
        <v>12</v>
      </c>
      <c r="E728" s="1" t="s">
        <v>13</v>
      </c>
      <c r="F728">
        <v>6</v>
      </c>
      <c r="G728">
        <v>2</v>
      </c>
      <c r="H728" s="1" t="s">
        <v>14</v>
      </c>
      <c r="I728" s="1" t="s">
        <v>15</v>
      </c>
      <c r="J728" s="12">
        <v>45716</v>
      </c>
      <c r="K728">
        <v>0</v>
      </c>
      <c r="L728" s="1">
        <f t="shared" si="44"/>
        <v>12</v>
      </c>
      <c r="M728" s="1" t="str">
        <f t="shared" si="45"/>
        <v/>
      </c>
      <c r="N728" s="2">
        <f t="shared" si="46"/>
        <v>45689</v>
      </c>
      <c r="O728" t="str">
        <f t="shared" si="47"/>
        <v>pes</v>
      </c>
    </row>
    <row r="729" spans="1:15" x14ac:dyDescent="0.25">
      <c r="A729">
        <v>8243</v>
      </c>
      <c r="B729" s="11">
        <v>4040123456795</v>
      </c>
      <c r="C729" s="1" t="s">
        <v>20</v>
      </c>
      <c r="D729" s="1" t="s">
        <v>21</v>
      </c>
      <c r="E729" s="1" t="s">
        <v>22</v>
      </c>
      <c r="F729">
        <v>8.8000000000000007</v>
      </c>
      <c r="G729">
        <v>1</v>
      </c>
      <c r="H729" s="1" t="s">
        <v>14</v>
      </c>
      <c r="I729" s="1" t="s">
        <v>15</v>
      </c>
      <c r="J729" s="12">
        <v>45716</v>
      </c>
      <c r="K729">
        <v>0</v>
      </c>
      <c r="L729" s="1">
        <f t="shared" si="44"/>
        <v>8.8000000000000007</v>
      </c>
      <c r="M729" s="1" t="str">
        <f t="shared" si="45"/>
        <v/>
      </c>
      <c r="N729" s="2">
        <f t="shared" si="46"/>
        <v>45689</v>
      </c>
      <c r="O729" t="str">
        <f t="shared" si="47"/>
        <v>pes</v>
      </c>
    </row>
    <row r="730" spans="1:15" hidden="1" x14ac:dyDescent="0.25">
      <c r="A730">
        <v>8244</v>
      </c>
      <c r="B730" s="11">
        <v>4010123456783</v>
      </c>
      <c r="C730" s="1" t="s">
        <v>35</v>
      </c>
      <c r="D730" s="1" t="s">
        <v>36</v>
      </c>
      <c r="E730" s="1" t="s">
        <v>37</v>
      </c>
      <c r="F730">
        <v>14</v>
      </c>
      <c r="G730">
        <v>1</v>
      </c>
      <c r="H730" s="1" t="s">
        <v>14</v>
      </c>
      <c r="I730" s="1" t="s">
        <v>15</v>
      </c>
      <c r="J730" s="12">
        <v>45716</v>
      </c>
      <c r="K730">
        <v>0</v>
      </c>
      <c r="L730" s="1">
        <f t="shared" si="44"/>
        <v>14</v>
      </c>
      <c r="M730" s="1" t="str">
        <f t="shared" si="45"/>
        <v/>
      </c>
      <c r="N730" s="2">
        <f t="shared" si="46"/>
        <v>45689</v>
      </c>
      <c r="O730" t="str">
        <f t="shared" si="47"/>
        <v>mačka</v>
      </c>
    </row>
    <row r="731" spans="1:15" x14ac:dyDescent="0.25">
      <c r="A731">
        <v>8245</v>
      </c>
      <c r="B731" s="11">
        <v>4063456789014</v>
      </c>
      <c r="C731" s="1" t="s">
        <v>60</v>
      </c>
      <c r="D731" s="1" t="s">
        <v>12</v>
      </c>
      <c r="E731" s="1" t="s">
        <v>61</v>
      </c>
      <c r="F731">
        <v>36</v>
      </c>
      <c r="G731">
        <v>1</v>
      </c>
      <c r="H731" s="1" t="s">
        <v>14</v>
      </c>
      <c r="I731" s="1" t="s">
        <v>15</v>
      </c>
      <c r="J731" s="12">
        <v>45716</v>
      </c>
      <c r="K731">
        <v>0</v>
      </c>
      <c r="L731" s="1">
        <f t="shared" si="44"/>
        <v>36</v>
      </c>
      <c r="M731" s="1" t="str">
        <f t="shared" si="45"/>
        <v/>
      </c>
      <c r="N731" s="2">
        <f t="shared" si="46"/>
        <v>45689</v>
      </c>
      <c r="O731" t="str">
        <f t="shared" si="47"/>
        <v>pes</v>
      </c>
    </row>
    <row r="732" spans="1:15" hidden="1" x14ac:dyDescent="0.25">
      <c r="A732">
        <v>8246</v>
      </c>
      <c r="B732" s="11">
        <v>4021234567894</v>
      </c>
      <c r="C732" s="1" t="s">
        <v>79</v>
      </c>
      <c r="D732" s="1" t="s">
        <v>36</v>
      </c>
      <c r="E732" s="1" t="s">
        <v>69</v>
      </c>
      <c r="F732">
        <v>8</v>
      </c>
      <c r="G732">
        <v>1</v>
      </c>
      <c r="H732" s="1" t="s">
        <v>14</v>
      </c>
      <c r="I732" s="1" t="s">
        <v>15</v>
      </c>
      <c r="J732" s="12">
        <v>45716</v>
      </c>
      <c r="K732">
        <v>0</v>
      </c>
      <c r="L732" s="1">
        <f t="shared" si="44"/>
        <v>8</v>
      </c>
      <c r="M732" s="1" t="str">
        <f t="shared" si="45"/>
        <v/>
      </c>
      <c r="N732" s="2">
        <f t="shared" si="46"/>
        <v>45689</v>
      </c>
      <c r="O732" t="str">
        <f t="shared" si="47"/>
        <v>mačka</v>
      </c>
    </row>
    <row r="733" spans="1:15" x14ac:dyDescent="0.25">
      <c r="A733">
        <v>8247</v>
      </c>
      <c r="B733" s="11">
        <v>4061011223346</v>
      </c>
      <c r="C733" s="1" t="s">
        <v>25</v>
      </c>
      <c r="D733" s="1" t="s">
        <v>26</v>
      </c>
      <c r="E733" s="1" t="s">
        <v>27</v>
      </c>
      <c r="F733">
        <v>19.600000000000001</v>
      </c>
      <c r="G733">
        <v>1</v>
      </c>
      <c r="H733" s="1" t="s">
        <v>14</v>
      </c>
      <c r="I733" s="1" t="s">
        <v>15</v>
      </c>
      <c r="J733" s="12">
        <v>45716</v>
      </c>
      <c r="K733">
        <v>0</v>
      </c>
      <c r="L733" s="1">
        <f t="shared" si="44"/>
        <v>19.600000000000001</v>
      </c>
      <c r="M733" s="1" t="str">
        <f t="shared" si="45"/>
        <v/>
      </c>
      <c r="N733" s="2">
        <f t="shared" si="46"/>
        <v>45689</v>
      </c>
      <c r="O733" t="str">
        <f t="shared" si="47"/>
        <v>pes</v>
      </c>
    </row>
    <row r="734" spans="1:15" hidden="1" x14ac:dyDescent="0.25">
      <c r="A734">
        <v>8248</v>
      </c>
      <c r="B734" s="11">
        <v>4026677889902</v>
      </c>
      <c r="C734" s="1" t="s">
        <v>52</v>
      </c>
      <c r="D734" s="1" t="s">
        <v>53</v>
      </c>
      <c r="E734" s="1" t="s">
        <v>54</v>
      </c>
      <c r="F734">
        <v>7.6</v>
      </c>
      <c r="G734">
        <v>1</v>
      </c>
      <c r="H734" s="1" t="s">
        <v>14</v>
      </c>
      <c r="I734" s="1" t="s">
        <v>15</v>
      </c>
      <c r="J734" s="12">
        <v>45716</v>
      </c>
      <c r="K734">
        <v>0</v>
      </c>
      <c r="L734" s="1">
        <f t="shared" si="44"/>
        <v>7.6</v>
      </c>
      <c r="M734" s="1" t="str">
        <f t="shared" si="45"/>
        <v/>
      </c>
      <c r="N734" s="2">
        <f t="shared" si="46"/>
        <v>45689</v>
      </c>
      <c r="O734" t="str">
        <f t="shared" si="47"/>
        <v>iné</v>
      </c>
    </row>
    <row r="735" spans="1:15" x14ac:dyDescent="0.25">
      <c r="A735">
        <v>8249</v>
      </c>
      <c r="B735" s="11">
        <v>4028899001126</v>
      </c>
      <c r="C735" s="1" t="s">
        <v>16</v>
      </c>
      <c r="D735" s="1" t="s">
        <v>12</v>
      </c>
      <c r="E735" s="1" t="s">
        <v>17</v>
      </c>
      <c r="F735">
        <v>2.8</v>
      </c>
      <c r="G735">
        <v>3</v>
      </c>
      <c r="H735" s="1" t="s">
        <v>14</v>
      </c>
      <c r="I735" s="1" t="s">
        <v>15</v>
      </c>
      <c r="J735" s="12">
        <v>45716</v>
      </c>
      <c r="K735">
        <v>0</v>
      </c>
      <c r="L735" s="1">
        <f t="shared" si="44"/>
        <v>8.3999999999999986</v>
      </c>
      <c r="M735" s="1" t="str">
        <f t="shared" si="45"/>
        <v/>
      </c>
      <c r="N735" s="2">
        <f t="shared" si="46"/>
        <v>45689</v>
      </c>
      <c r="O735" t="str">
        <f t="shared" si="47"/>
        <v>pes</v>
      </c>
    </row>
    <row r="736" spans="1:15" x14ac:dyDescent="0.25">
      <c r="A736">
        <v>8250</v>
      </c>
      <c r="B736" s="11">
        <v>4013456789017</v>
      </c>
      <c r="C736" s="1" t="s">
        <v>11</v>
      </c>
      <c r="D736" s="1" t="s">
        <v>12</v>
      </c>
      <c r="E736" s="1" t="s">
        <v>13</v>
      </c>
      <c r="F736">
        <v>6</v>
      </c>
      <c r="G736">
        <v>1</v>
      </c>
      <c r="H736" s="1" t="s">
        <v>14</v>
      </c>
      <c r="I736" s="1" t="s">
        <v>15</v>
      </c>
      <c r="J736" s="12">
        <v>45716</v>
      </c>
      <c r="K736">
        <v>0</v>
      </c>
      <c r="L736" s="1">
        <f t="shared" si="44"/>
        <v>6</v>
      </c>
      <c r="M736" s="1" t="str">
        <f t="shared" si="45"/>
        <v/>
      </c>
      <c r="N736" s="2">
        <f t="shared" si="46"/>
        <v>45689</v>
      </c>
      <c r="O736" t="str">
        <f t="shared" si="47"/>
        <v>pes</v>
      </c>
    </row>
    <row r="737" spans="1:15" x14ac:dyDescent="0.25">
      <c r="A737">
        <v>8251</v>
      </c>
      <c r="B737" s="11">
        <v>4040123456795</v>
      </c>
      <c r="C737" s="1" t="s">
        <v>20</v>
      </c>
      <c r="D737" s="1" t="s">
        <v>21</v>
      </c>
      <c r="E737" s="1" t="s">
        <v>22</v>
      </c>
      <c r="F737">
        <v>8.8000000000000007</v>
      </c>
      <c r="G737">
        <v>1</v>
      </c>
      <c r="H737" s="1" t="s">
        <v>14</v>
      </c>
      <c r="I737" s="1" t="s">
        <v>15</v>
      </c>
      <c r="J737" s="12">
        <v>45716</v>
      </c>
      <c r="K737">
        <v>0</v>
      </c>
      <c r="L737" s="1">
        <f t="shared" si="44"/>
        <v>8.8000000000000007</v>
      </c>
      <c r="M737" s="1" t="str">
        <f t="shared" si="45"/>
        <v/>
      </c>
      <c r="N737" s="2">
        <f t="shared" si="46"/>
        <v>45689</v>
      </c>
      <c r="O737" t="str">
        <f t="shared" si="47"/>
        <v>pes</v>
      </c>
    </row>
    <row r="738" spans="1:15" hidden="1" x14ac:dyDescent="0.25">
      <c r="A738">
        <v>8252</v>
      </c>
      <c r="B738" s="11">
        <v>4010123456783</v>
      </c>
      <c r="C738" s="1" t="s">
        <v>35</v>
      </c>
      <c r="D738" s="1" t="s">
        <v>36</v>
      </c>
      <c r="E738" s="1" t="s">
        <v>37</v>
      </c>
      <c r="F738">
        <v>14</v>
      </c>
      <c r="G738">
        <v>1</v>
      </c>
      <c r="H738" s="1" t="s">
        <v>14</v>
      </c>
      <c r="I738" s="1" t="s">
        <v>15</v>
      </c>
      <c r="J738" s="12">
        <v>45716</v>
      </c>
      <c r="K738">
        <v>0</v>
      </c>
      <c r="L738" s="1">
        <f t="shared" si="44"/>
        <v>14</v>
      </c>
      <c r="M738" s="1" t="str">
        <f t="shared" si="45"/>
        <v/>
      </c>
      <c r="N738" s="2">
        <f t="shared" si="46"/>
        <v>45689</v>
      </c>
      <c r="O738" t="str">
        <f t="shared" si="47"/>
        <v>mačka</v>
      </c>
    </row>
    <row r="739" spans="1:15" x14ac:dyDescent="0.25">
      <c r="A739">
        <v>8253</v>
      </c>
      <c r="B739" s="11">
        <v>4063456789014</v>
      </c>
      <c r="C739" s="1" t="s">
        <v>60</v>
      </c>
      <c r="D739" s="1" t="s">
        <v>12</v>
      </c>
      <c r="E739" s="1" t="s">
        <v>61</v>
      </c>
      <c r="F739">
        <v>36</v>
      </c>
      <c r="G739">
        <v>1</v>
      </c>
      <c r="H739" s="1" t="s">
        <v>14</v>
      </c>
      <c r="I739" s="1" t="s">
        <v>15</v>
      </c>
      <c r="J739" s="12">
        <v>45716</v>
      </c>
      <c r="K739">
        <v>0</v>
      </c>
      <c r="L739" s="1">
        <f t="shared" si="44"/>
        <v>36</v>
      </c>
      <c r="M739" s="1" t="str">
        <f t="shared" si="45"/>
        <v/>
      </c>
      <c r="N739" s="2">
        <f t="shared" si="46"/>
        <v>45689</v>
      </c>
      <c r="O739" t="str">
        <f t="shared" si="47"/>
        <v>pes</v>
      </c>
    </row>
    <row r="740" spans="1:15" x14ac:dyDescent="0.25">
      <c r="A740">
        <v>8254</v>
      </c>
      <c r="B740" s="11">
        <v>4028899001126</v>
      </c>
      <c r="C740" s="1" t="s">
        <v>16</v>
      </c>
      <c r="D740" s="1" t="s">
        <v>12</v>
      </c>
      <c r="E740" s="1" t="s">
        <v>17</v>
      </c>
      <c r="F740">
        <v>2.8</v>
      </c>
      <c r="G740">
        <v>3</v>
      </c>
      <c r="H740" s="1" t="s">
        <v>14</v>
      </c>
      <c r="I740" s="1" t="s">
        <v>15</v>
      </c>
      <c r="J740" s="12">
        <v>45716</v>
      </c>
      <c r="K740">
        <v>0</v>
      </c>
      <c r="L740" s="1">
        <f t="shared" si="44"/>
        <v>8.3999999999999986</v>
      </c>
      <c r="M740" s="1" t="str">
        <f t="shared" si="45"/>
        <v/>
      </c>
      <c r="N740" s="2">
        <f t="shared" si="46"/>
        <v>45689</v>
      </c>
      <c r="O740" t="str">
        <f t="shared" si="47"/>
        <v>pes</v>
      </c>
    </row>
    <row r="741" spans="1:15" x14ac:dyDescent="0.25">
      <c r="A741">
        <v>8255</v>
      </c>
      <c r="B741" s="11">
        <v>4013456789017</v>
      </c>
      <c r="C741" s="1" t="s">
        <v>11</v>
      </c>
      <c r="D741" s="1" t="s">
        <v>12</v>
      </c>
      <c r="E741" s="1" t="s">
        <v>13</v>
      </c>
      <c r="F741">
        <v>6</v>
      </c>
      <c r="G741">
        <v>1</v>
      </c>
      <c r="H741" s="1" t="s">
        <v>14</v>
      </c>
      <c r="I741" s="1" t="s">
        <v>15</v>
      </c>
      <c r="J741" s="12">
        <v>45716</v>
      </c>
      <c r="K741">
        <v>0</v>
      </c>
      <c r="L741" s="1">
        <f t="shared" si="44"/>
        <v>6</v>
      </c>
      <c r="M741" s="1" t="str">
        <f t="shared" si="45"/>
        <v/>
      </c>
      <c r="N741" s="2">
        <f t="shared" si="46"/>
        <v>45689</v>
      </c>
      <c r="O741" t="str">
        <f t="shared" si="47"/>
        <v>pes</v>
      </c>
    </row>
    <row r="742" spans="1:15" x14ac:dyDescent="0.25">
      <c r="A742">
        <v>8256</v>
      </c>
      <c r="B742" s="11">
        <v>4040123456795</v>
      </c>
      <c r="C742" s="1" t="s">
        <v>20</v>
      </c>
      <c r="D742" s="1" t="s">
        <v>21</v>
      </c>
      <c r="E742" s="1" t="s">
        <v>22</v>
      </c>
      <c r="F742">
        <v>8.8000000000000007</v>
      </c>
      <c r="G742">
        <v>1</v>
      </c>
      <c r="H742" s="1" t="s">
        <v>14</v>
      </c>
      <c r="I742" s="1" t="s">
        <v>15</v>
      </c>
      <c r="J742" s="12">
        <v>45716</v>
      </c>
      <c r="K742">
        <v>0</v>
      </c>
      <c r="L742" s="1">
        <f t="shared" si="44"/>
        <v>8.8000000000000007</v>
      </c>
      <c r="M742" s="1" t="str">
        <f t="shared" si="45"/>
        <v/>
      </c>
      <c r="N742" s="2">
        <f t="shared" si="46"/>
        <v>45689</v>
      </c>
      <c r="O742" t="str">
        <f t="shared" si="47"/>
        <v>pes</v>
      </c>
    </row>
    <row r="743" spans="1:15" hidden="1" x14ac:dyDescent="0.25">
      <c r="A743">
        <v>8257</v>
      </c>
      <c r="B743" s="11">
        <v>4010123456783</v>
      </c>
      <c r="C743" s="1" t="s">
        <v>35</v>
      </c>
      <c r="D743" s="1" t="s">
        <v>36</v>
      </c>
      <c r="E743" s="1" t="s">
        <v>37</v>
      </c>
      <c r="F743">
        <v>14</v>
      </c>
      <c r="G743">
        <v>2</v>
      </c>
      <c r="H743" s="1" t="s">
        <v>14</v>
      </c>
      <c r="I743" s="1" t="s">
        <v>15</v>
      </c>
      <c r="J743" s="12">
        <v>45716</v>
      </c>
      <c r="K743">
        <v>0</v>
      </c>
      <c r="L743" s="1">
        <f t="shared" si="44"/>
        <v>28</v>
      </c>
      <c r="M743" s="1" t="str">
        <f t="shared" si="45"/>
        <v/>
      </c>
      <c r="N743" s="2">
        <f t="shared" si="46"/>
        <v>45689</v>
      </c>
      <c r="O743" t="str">
        <f t="shared" si="47"/>
        <v>mačka</v>
      </c>
    </row>
    <row r="744" spans="1:15" hidden="1" x14ac:dyDescent="0.25">
      <c r="A744">
        <v>8258</v>
      </c>
      <c r="B744" s="11">
        <v>4056789012345</v>
      </c>
      <c r="C744" s="1" t="s">
        <v>47</v>
      </c>
      <c r="D744" s="1" t="s">
        <v>29</v>
      </c>
      <c r="E744" s="1" t="s">
        <v>37</v>
      </c>
      <c r="F744">
        <v>2.4</v>
      </c>
      <c r="G744">
        <v>2</v>
      </c>
      <c r="H744" s="1" t="s">
        <v>14</v>
      </c>
      <c r="I744" s="1" t="s">
        <v>15</v>
      </c>
      <c r="J744" s="12">
        <v>45716</v>
      </c>
      <c r="K744">
        <v>0</v>
      </c>
      <c r="L744" s="1">
        <f t="shared" si="44"/>
        <v>4.8</v>
      </c>
      <c r="M744" s="1" t="str">
        <f t="shared" si="45"/>
        <v/>
      </c>
      <c r="N744" s="2">
        <f t="shared" si="46"/>
        <v>45689</v>
      </c>
      <c r="O744" t="str">
        <f t="shared" si="47"/>
        <v>mačka</v>
      </c>
    </row>
    <row r="745" spans="1:15" x14ac:dyDescent="0.25">
      <c r="A745">
        <v>8259</v>
      </c>
      <c r="B745" s="11">
        <v>4063456789014</v>
      </c>
      <c r="C745" s="1" t="s">
        <v>60</v>
      </c>
      <c r="D745" s="1" t="s">
        <v>12</v>
      </c>
      <c r="E745" s="1" t="s">
        <v>61</v>
      </c>
      <c r="F745">
        <v>36</v>
      </c>
      <c r="G745">
        <v>1</v>
      </c>
      <c r="H745" s="1" t="s">
        <v>14</v>
      </c>
      <c r="I745" s="1" t="s">
        <v>15</v>
      </c>
      <c r="J745" s="12">
        <v>45716</v>
      </c>
      <c r="K745">
        <v>0</v>
      </c>
      <c r="L745" s="1">
        <f t="shared" si="44"/>
        <v>36</v>
      </c>
      <c r="M745" s="1" t="str">
        <f t="shared" si="45"/>
        <v/>
      </c>
      <c r="N745" s="2">
        <f t="shared" si="46"/>
        <v>45689</v>
      </c>
      <c r="O745" t="str">
        <f t="shared" si="47"/>
        <v>pes</v>
      </c>
    </row>
    <row r="746" spans="1:15" x14ac:dyDescent="0.25">
      <c r="A746">
        <v>8260</v>
      </c>
      <c r="B746" s="11">
        <v>4028899001126</v>
      </c>
      <c r="C746" s="1" t="s">
        <v>16</v>
      </c>
      <c r="D746" s="1" t="s">
        <v>12</v>
      </c>
      <c r="E746" s="1" t="s">
        <v>17</v>
      </c>
      <c r="F746">
        <v>2.8</v>
      </c>
      <c r="G746">
        <v>5</v>
      </c>
      <c r="H746" s="1" t="s">
        <v>14</v>
      </c>
      <c r="I746" s="1" t="s">
        <v>15</v>
      </c>
      <c r="J746" s="12">
        <v>45716</v>
      </c>
      <c r="K746">
        <v>0</v>
      </c>
      <c r="L746" s="1">
        <f t="shared" si="44"/>
        <v>14</v>
      </c>
      <c r="M746" s="1" t="str">
        <f t="shared" si="45"/>
        <v/>
      </c>
      <c r="N746" s="2">
        <f t="shared" si="46"/>
        <v>45689</v>
      </c>
      <c r="O746" t="str">
        <f t="shared" si="47"/>
        <v>pes</v>
      </c>
    </row>
    <row r="747" spans="1:15" x14ac:dyDescent="0.25">
      <c r="A747">
        <v>8261</v>
      </c>
      <c r="B747" s="11">
        <v>4013456789017</v>
      </c>
      <c r="C747" s="1" t="s">
        <v>11</v>
      </c>
      <c r="D747" s="1" t="s">
        <v>12</v>
      </c>
      <c r="E747" s="1" t="s">
        <v>13</v>
      </c>
      <c r="F747">
        <v>6</v>
      </c>
      <c r="G747">
        <v>1</v>
      </c>
      <c r="H747" s="1" t="s">
        <v>14</v>
      </c>
      <c r="I747" s="1" t="s">
        <v>15</v>
      </c>
      <c r="J747" s="12">
        <v>45716</v>
      </c>
      <c r="K747">
        <v>0</v>
      </c>
      <c r="L747" s="1">
        <f t="shared" si="44"/>
        <v>6</v>
      </c>
      <c r="M747" s="1" t="str">
        <f t="shared" si="45"/>
        <v/>
      </c>
      <c r="N747" s="2">
        <f t="shared" si="46"/>
        <v>45689</v>
      </c>
      <c r="O747" t="str">
        <f t="shared" si="47"/>
        <v>pes</v>
      </c>
    </row>
    <row r="748" spans="1:15" x14ac:dyDescent="0.25">
      <c r="A748">
        <v>8262</v>
      </c>
      <c r="B748" s="11">
        <v>4040123456795</v>
      </c>
      <c r="C748" s="1" t="s">
        <v>20</v>
      </c>
      <c r="D748" s="1" t="s">
        <v>21</v>
      </c>
      <c r="E748" s="1" t="s">
        <v>22</v>
      </c>
      <c r="F748">
        <v>8.8000000000000007</v>
      </c>
      <c r="G748">
        <v>1</v>
      </c>
      <c r="H748" s="1" t="s">
        <v>14</v>
      </c>
      <c r="I748" s="1" t="s">
        <v>15</v>
      </c>
      <c r="J748" s="12">
        <v>45716</v>
      </c>
      <c r="K748">
        <v>0</v>
      </c>
      <c r="L748" s="1">
        <f t="shared" si="44"/>
        <v>8.8000000000000007</v>
      </c>
      <c r="M748" s="1" t="str">
        <f t="shared" si="45"/>
        <v/>
      </c>
      <c r="N748" s="2">
        <f t="shared" si="46"/>
        <v>45689</v>
      </c>
      <c r="O748" t="str">
        <f t="shared" si="47"/>
        <v>pes</v>
      </c>
    </row>
    <row r="749" spans="1:15" hidden="1" x14ac:dyDescent="0.25">
      <c r="A749">
        <v>8263</v>
      </c>
      <c r="B749" s="11">
        <v>4010123456783</v>
      </c>
      <c r="C749" s="1" t="s">
        <v>35</v>
      </c>
      <c r="D749" s="1" t="s">
        <v>36</v>
      </c>
      <c r="E749" s="1" t="s">
        <v>37</v>
      </c>
      <c r="F749">
        <v>14</v>
      </c>
      <c r="G749">
        <v>1</v>
      </c>
      <c r="H749" s="1" t="s">
        <v>14</v>
      </c>
      <c r="I749" s="1" t="s">
        <v>15</v>
      </c>
      <c r="J749" s="12">
        <v>45716</v>
      </c>
      <c r="K749">
        <v>0</v>
      </c>
      <c r="L749" s="1">
        <f t="shared" si="44"/>
        <v>14</v>
      </c>
      <c r="M749" s="1" t="str">
        <f t="shared" si="45"/>
        <v/>
      </c>
      <c r="N749" s="2">
        <f t="shared" si="46"/>
        <v>45689</v>
      </c>
      <c r="O749" t="str">
        <f t="shared" si="47"/>
        <v>mačka</v>
      </c>
    </row>
    <row r="750" spans="1:15" x14ac:dyDescent="0.25">
      <c r="A750">
        <v>8264</v>
      </c>
      <c r="B750" s="11">
        <v>4063456789014</v>
      </c>
      <c r="C750" s="1" t="s">
        <v>60</v>
      </c>
      <c r="D750" s="1" t="s">
        <v>12</v>
      </c>
      <c r="E750" s="1" t="s">
        <v>61</v>
      </c>
      <c r="F750">
        <v>36</v>
      </c>
      <c r="G750">
        <v>1</v>
      </c>
      <c r="H750" s="1" t="s">
        <v>14</v>
      </c>
      <c r="I750" s="1" t="s">
        <v>15</v>
      </c>
      <c r="J750" s="12">
        <v>45716</v>
      </c>
      <c r="K750">
        <v>0</v>
      </c>
      <c r="L750" s="1">
        <f t="shared" si="44"/>
        <v>36</v>
      </c>
      <c r="M750" s="1" t="str">
        <f t="shared" si="45"/>
        <v/>
      </c>
      <c r="N750" s="2">
        <f t="shared" si="46"/>
        <v>45689</v>
      </c>
      <c r="O750" t="str">
        <f t="shared" si="47"/>
        <v>pes</v>
      </c>
    </row>
    <row r="751" spans="1:15" hidden="1" x14ac:dyDescent="0.25">
      <c r="A751">
        <v>8265</v>
      </c>
      <c r="B751" s="11">
        <v>4021234567894</v>
      </c>
      <c r="C751" s="1" t="s">
        <v>79</v>
      </c>
      <c r="D751" s="1" t="s">
        <v>36</v>
      </c>
      <c r="E751" s="1" t="s">
        <v>69</v>
      </c>
      <c r="F751">
        <v>8</v>
      </c>
      <c r="G751">
        <v>1</v>
      </c>
      <c r="H751" s="1" t="s">
        <v>18</v>
      </c>
      <c r="I751" s="1" t="s">
        <v>173</v>
      </c>
      <c r="J751" s="12">
        <v>45716</v>
      </c>
      <c r="K751">
        <v>0</v>
      </c>
      <c r="L751" s="1">
        <f t="shared" si="44"/>
        <v>8</v>
      </c>
      <c r="M751" s="1">
        <f t="shared" si="45"/>
        <v>4</v>
      </c>
      <c r="N751" s="2">
        <f t="shared" si="46"/>
        <v>45689</v>
      </c>
      <c r="O751" t="str">
        <f t="shared" si="47"/>
        <v>mačka</v>
      </c>
    </row>
    <row r="752" spans="1:15" x14ac:dyDescent="0.25">
      <c r="A752">
        <v>8266</v>
      </c>
      <c r="B752" s="11">
        <v>4061011223346</v>
      </c>
      <c r="C752" s="1" t="s">
        <v>25</v>
      </c>
      <c r="D752" s="1" t="s">
        <v>26</v>
      </c>
      <c r="E752" s="1" t="s">
        <v>27</v>
      </c>
      <c r="F752">
        <v>19.600000000000001</v>
      </c>
      <c r="G752">
        <v>1</v>
      </c>
      <c r="H752" s="1" t="s">
        <v>14</v>
      </c>
      <c r="I752" s="1" t="s">
        <v>15</v>
      </c>
      <c r="J752" s="12">
        <v>45716</v>
      </c>
      <c r="K752">
        <v>0</v>
      </c>
      <c r="L752" s="1">
        <f t="shared" si="44"/>
        <v>19.600000000000001</v>
      </c>
      <c r="M752" s="1" t="str">
        <f t="shared" si="45"/>
        <v/>
      </c>
      <c r="N752" s="2">
        <f t="shared" si="46"/>
        <v>45689</v>
      </c>
      <c r="O752" t="str">
        <f t="shared" si="47"/>
        <v>pes</v>
      </c>
    </row>
    <row r="753" spans="1:15" hidden="1" x14ac:dyDescent="0.25">
      <c r="A753">
        <v>8267</v>
      </c>
      <c r="B753" s="11">
        <v>4026677889902</v>
      </c>
      <c r="C753" s="1" t="s">
        <v>52</v>
      </c>
      <c r="D753" s="1" t="s">
        <v>53</v>
      </c>
      <c r="E753" s="1" t="s">
        <v>54</v>
      </c>
      <c r="F753">
        <v>7.6</v>
      </c>
      <c r="G753">
        <v>1</v>
      </c>
      <c r="H753" s="1" t="s">
        <v>14</v>
      </c>
      <c r="I753" s="1" t="s">
        <v>15</v>
      </c>
      <c r="J753" s="12">
        <v>45716</v>
      </c>
      <c r="K753">
        <v>0</v>
      </c>
      <c r="L753" s="1">
        <f t="shared" si="44"/>
        <v>7.6</v>
      </c>
      <c r="M753" s="1" t="str">
        <f t="shared" si="45"/>
        <v/>
      </c>
      <c r="N753" s="2">
        <f t="shared" si="46"/>
        <v>45689</v>
      </c>
      <c r="O753" t="str">
        <f t="shared" si="47"/>
        <v>iné</v>
      </c>
    </row>
    <row r="754" spans="1:15" x14ac:dyDescent="0.25">
      <c r="A754">
        <v>8268</v>
      </c>
      <c r="B754" s="11">
        <v>4028899001126</v>
      </c>
      <c r="C754" s="1" t="s">
        <v>16</v>
      </c>
      <c r="D754" s="1" t="s">
        <v>12</v>
      </c>
      <c r="E754" s="1" t="s">
        <v>17</v>
      </c>
      <c r="F754">
        <v>2.8</v>
      </c>
      <c r="G754">
        <v>3</v>
      </c>
      <c r="H754" s="1" t="s">
        <v>14</v>
      </c>
      <c r="I754" s="1" t="s">
        <v>15</v>
      </c>
      <c r="J754" s="12">
        <v>45716</v>
      </c>
      <c r="K754">
        <v>0</v>
      </c>
      <c r="L754" s="1">
        <f t="shared" si="44"/>
        <v>8.3999999999999986</v>
      </c>
      <c r="M754" s="1" t="str">
        <f t="shared" si="45"/>
        <v/>
      </c>
      <c r="N754" s="2">
        <f t="shared" si="46"/>
        <v>45689</v>
      </c>
      <c r="O754" t="str">
        <f t="shared" si="47"/>
        <v>pes</v>
      </c>
    </row>
    <row r="755" spans="1:15" x14ac:dyDescent="0.25">
      <c r="A755">
        <v>8269</v>
      </c>
      <c r="B755" s="11">
        <v>4013456789017</v>
      </c>
      <c r="C755" s="1" t="s">
        <v>11</v>
      </c>
      <c r="D755" s="1" t="s">
        <v>12</v>
      </c>
      <c r="E755" s="1" t="s">
        <v>13</v>
      </c>
      <c r="F755">
        <v>6</v>
      </c>
      <c r="G755">
        <v>1</v>
      </c>
      <c r="H755" s="1" t="s">
        <v>14</v>
      </c>
      <c r="I755" s="1" t="s">
        <v>15</v>
      </c>
      <c r="J755" s="12">
        <v>45716</v>
      </c>
      <c r="K755">
        <v>0</v>
      </c>
      <c r="L755" s="1">
        <f t="shared" si="44"/>
        <v>6</v>
      </c>
      <c r="M755" s="1" t="str">
        <f t="shared" si="45"/>
        <v/>
      </c>
      <c r="N755" s="2">
        <f t="shared" si="46"/>
        <v>45689</v>
      </c>
      <c r="O755" t="str">
        <f t="shared" si="47"/>
        <v>pes</v>
      </c>
    </row>
    <row r="756" spans="1:15" x14ac:dyDescent="0.25">
      <c r="A756">
        <v>8270</v>
      </c>
      <c r="B756" s="11">
        <v>4040123456795</v>
      </c>
      <c r="C756" s="1" t="s">
        <v>20</v>
      </c>
      <c r="D756" s="1" t="s">
        <v>21</v>
      </c>
      <c r="E756" s="1" t="s">
        <v>22</v>
      </c>
      <c r="F756">
        <v>8.8000000000000007</v>
      </c>
      <c r="G756">
        <v>1</v>
      </c>
      <c r="H756" s="1" t="s">
        <v>14</v>
      </c>
      <c r="I756" s="1" t="s">
        <v>15</v>
      </c>
      <c r="J756" s="12">
        <v>45716</v>
      </c>
      <c r="K756">
        <v>0</v>
      </c>
      <c r="L756" s="1">
        <f t="shared" si="44"/>
        <v>8.8000000000000007</v>
      </c>
      <c r="M756" s="1" t="str">
        <f t="shared" si="45"/>
        <v/>
      </c>
      <c r="N756" s="2">
        <f t="shared" si="46"/>
        <v>45689</v>
      </c>
      <c r="O756" t="str">
        <f t="shared" si="47"/>
        <v>pes</v>
      </c>
    </row>
    <row r="757" spans="1:15" hidden="1" x14ac:dyDescent="0.25">
      <c r="A757">
        <v>8271</v>
      </c>
      <c r="B757" s="11">
        <v>4010123456783</v>
      </c>
      <c r="C757" s="1" t="s">
        <v>35</v>
      </c>
      <c r="D757" s="1" t="s">
        <v>36</v>
      </c>
      <c r="E757" s="1" t="s">
        <v>37</v>
      </c>
      <c r="F757">
        <v>14</v>
      </c>
      <c r="G757">
        <v>1</v>
      </c>
      <c r="H757" s="1" t="s">
        <v>14</v>
      </c>
      <c r="I757" s="1" t="s">
        <v>15</v>
      </c>
      <c r="J757" s="12">
        <v>45716</v>
      </c>
      <c r="K757">
        <v>0</v>
      </c>
      <c r="L757" s="1">
        <f t="shared" si="44"/>
        <v>14</v>
      </c>
      <c r="M757" s="1" t="str">
        <f t="shared" si="45"/>
        <v/>
      </c>
      <c r="N757" s="2">
        <f t="shared" si="46"/>
        <v>45689</v>
      </c>
      <c r="O757" t="str">
        <f t="shared" si="47"/>
        <v>mačka</v>
      </c>
    </row>
    <row r="758" spans="1:15" x14ac:dyDescent="0.25">
      <c r="A758">
        <v>8272</v>
      </c>
      <c r="B758" s="11">
        <v>4063456789014</v>
      </c>
      <c r="C758" s="1" t="s">
        <v>60</v>
      </c>
      <c r="D758" s="1" t="s">
        <v>12</v>
      </c>
      <c r="E758" s="1" t="s">
        <v>61</v>
      </c>
      <c r="F758">
        <v>36</v>
      </c>
      <c r="G758">
        <v>1</v>
      </c>
      <c r="H758" s="1" t="s">
        <v>14</v>
      </c>
      <c r="I758" s="1" t="s">
        <v>15</v>
      </c>
      <c r="J758" s="12">
        <v>45716</v>
      </c>
      <c r="K758">
        <v>0</v>
      </c>
      <c r="L758" s="1">
        <f t="shared" si="44"/>
        <v>36</v>
      </c>
      <c r="M758" s="1" t="str">
        <f t="shared" si="45"/>
        <v/>
      </c>
      <c r="N758" s="2">
        <f t="shared" si="46"/>
        <v>45689</v>
      </c>
      <c r="O758" t="str">
        <f t="shared" si="47"/>
        <v>pes</v>
      </c>
    </row>
    <row r="759" spans="1:15" x14ac:dyDescent="0.25">
      <c r="A759">
        <v>8273</v>
      </c>
      <c r="B759" s="11">
        <v>4028899001126</v>
      </c>
      <c r="C759" s="1" t="s">
        <v>16</v>
      </c>
      <c r="D759" s="1" t="s">
        <v>12</v>
      </c>
      <c r="E759" s="1" t="s">
        <v>17</v>
      </c>
      <c r="F759">
        <v>2.8</v>
      </c>
      <c r="G759">
        <v>4</v>
      </c>
      <c r="H759" s="1" t="s">
        <v>14</v>
      </c>
      <c r="I759" s="1" t="s">
        <v>15</v>
      </c>
      <c r="J759" s="12">
        <v>45717</v>
      </c>
      <c r="K759">
        <v>0</v>
      </c>
      <c r="L759" s="1">
        <f t="shared" si="44"/>
        <v>11.2</v>
      </c>
      <c r="M759" s="1" t="str">
        <f t="shared" si="45"/>
        <v/>
      </c>
      <c r="N759" s="2">
        <f t="shared" si="46"/>
        <v>45717</v>
      </c>
      <c r="O759" t="str">
        <f t="shared" si="47"/>
        <v>pes</v>
      </c>
    </row>
    <row r="760" spans="1:15" x14ac:dyDescent="0.25">
      <c r="A760">
        <v>8274</v>
      </c>
      <c r="B760" s="11">
        <v>4013456789017</v>
      </c>
      <c r="C760" s="1" t="s">
        <v>11</v>
      </c>
      <c r="D760" s="1" t="s">
        <v>12</v>
      </c>
      <c r="E760" s="1" t="s">
        <v>13</v>
      </c>
      <c r="F760">
        <v>6</v>
      </c>
      <c r="G760">
        <v>2</v>
      </c>
      <c r="H760" s="1" t="s">
        <v>14</v>
      </c>
      <c r="I760" s="1" t="s">
        <v>15</v>
      </c>
      <c r="J760" s="12">
        <v>45717</v>
      </c>
      <c r="K760">
        <v>0</v>
      </c>
      <c r="L760" s="1">
        <f t="shared" si="44"/>
        <v>12</v>
      </c>
      <c r="M760" s="1" t="str">
        <f t="shared" si="45"/>
        <v/>
      </c>
      <c r="N760" s="2">
        <f t="shared" si="46"/>
        <v>45717</v>
      </c>
      <c r="O760" t="str">
        <f t="shared" si="47"/>
        <v>pes</v>
      </c>
    </row>
    <row r="761" spans="1:15" x14ac:dyDescent="0.25">
      <c r="A761">
        <v>8275</v>
      </c>
      <c r="B761" s="11">
        <v>4040123456795</v>
      </c>
      <c r="C761" s="1" t="s">
        <v>20</v>
      </c>
      <c r="D761" s="1" t="s">
        <v>21</v>
      </c>
      <c r="E761" s="1" t="s">
        <v>22</v>
      </c>
      <c r="F761">
        <v>8.8000000000000007</v>
      </c>
      <c r="G761">
        <v>1</v>
      </c>
      <c r="H761" s="1" t="s">
        <v>23</v>
      </c>
      <c r="I761" s="1" t="s">
        <v>174</v>
      </c>
      <c r="J761" s="12">
        <v>45717</v>
      </c>
      <c r="K761">
        <v>0</v>
      </c>
      <c r="L761" s="1">
        <f t="shared" si="44"/>
        <v>8.8000000000000007</v>
      </c>
      <c r="M761" s="1">
        <f t="shared" si="45"/>
        <v>5</v>
      </c>
      <c r="N761" s="2">
        <f t="shared" si="46"/>
        <v>45717</v>
      </c>
      <c r="O761" t="str">
        <f t="shared" si="47"/>
        <v>pes</v>
      </c>
    </row>
    <row r="762" spans="1:15" hidden="1" x14ac:dyDescent="0.25">
      <c r="A762">
        <v>8276</v>
      </c>
      <c r="B762" s="11">
        <v>4010123456783</v>
      </c>
      <c r="C762" s="1" t="s">
        <v>35</v>
      </c>
      <c r="D762" s="1" t="s">
        <v>36</v>
      </c>
      <c r="E762" s="1" t="s">
        <v>37</v>
      </c>
      <c r="F762">
        <v>14</v>
      </c>
      <c r="G762">
        <v>2</v>
      </c>
      <c r="H762" s="1" t="s">
        <v>14</v>
      </c>
      <c r="I762" s="1" t="s">
        <v>15</v>
      </c>
      <c r="J762" s="12">
        <v>45717</v>
      </c>
      <c r="K762">
        <v>0</v>
      </c>
      <c r="L762" s="1">
        <f t="shared" si="44"/>
        <v>28</v>
      </c>
      <c r="M762" s="1" t="str">
        <f t="shared" si="45"/>
        <v/>
      </c>
      <c r="N762" s="2">
        <f t="shared" si="46"/>
        <v>45717</v>
      </c>
      <c r="O762" t="str">
        <f t="shared" si="47"/>
        <v>mačka</v>
      </c>
    </row>
    <row r="763" spans="1:15" x14ac:dyDescent="0.25">
      <c r="A763">
        <v>8277</v>
      </c>
      <c r="B763" s="11">
        <v>4063456789014</v>
      </c>
      <c r="C763" s="1" t="s">
        <v>60</v>
      </c>
      <c r="D763" s="1" t="s">
        <v>12</v>
      </c>
      <c r="E763" s="1" t="s">
        <v>61</v>
      </c>
      <c r="F763">
        <v>36</v>
      </c>
      <c r="G763">
        <v>1</v>
      </c>
      <c r="H763" s="1" t="s">
        <v>14</v>
      </c>
      <c r="I763" s="1" t="s">
        <v>15</v>
      </c>
      <c r="J763" s="12">
        <v>45717</v>
      </c>
      <c r="K763">
        <v>0</v>
      </c>
      <c r="L763" s="1">
        <f t="shared" si="44"/>
        <v>36</v>
      </c>
      <c r="M763" s="1" t="str">
        <f t="shared" si="45"/>
        <v/>
      </c>
      <c r="N763" s="2">
        <f t="shared" si="46"/>
        <v>45717</v>
      </c>
      <c r="O763" t="str">
        <f t="shared" si="47"/>
        <v>pes</v>
      </c>
    </row>
    <row r="764" spans="1:15" hidden="1" x14ac:dyDescent="0.25">
      <c r="A764">
        <v>8278</v>
      </c>
      <c r="B764" s="11">
        <v>4021234567894</v>
      </c>
      <c r="C764" s="1" t="s">
        <v>79</v>
      </c>
      <c r="D764" s="1" t="s">
        <v>36</v>
      </c>
      <c r="E764" s="1" t="s">
        <v>69</v>
      </c>
      <c r="F764">
        <v>8</v>
      </c>
      <c r="G764">
        <v>1</v>
      </c>
      <c r="H764" s="1" t="s">
        <v>14</v>
      </c>
      <c r="I764" s="1" t="s">
        <v>15</v>
      </c>
      <c r="J764" s="12">
        <v>45717</v>
      </c>
      <c r="K764">
        <v>0</v>
      </c>
      <c r="L764" s="1">
        <f t="shared" si="44"/>
        <v>8</v>
      </c>
      <c r="M764" s="1" t="str">
        <f t="shared" si="45"/>
        <v/>
      </c>
      <c r="N764" s="2">
        <f t="shared" si="46"/>
        <v>45717</v>
      </c>
      <c r="O764" t="str">
        <f t="shared" si="47"/>
        <v>mačka</v>
      </c>
    </row>
    <row r="765" spans="1:15" x14ac:dyDescent="0.25">
      <c r="A765">
        <v>8279</v>
      </c>
      <c r="B765" s="11">
        <v>4028899001126</v>
      </c>
      <c r="C765" s="1" t="s">
        <v>16</v>
      </c>
      <c r="D765" s="1" t="s">
        <v>12</v>
      </c>
      <c r="E765" s="1" t="s">
        <v>17</v>
      </c>
      <c r="F765">
        <v>2.8</v>
      </c>
      <c r="G765">
        <v>3</v>
      </c>
      <c r="H765" s="1" t="s">
        <v>14</v>
      </c>
      <c r="I765" s="1" t="s">
        <v>15</v>
      </c>
      <c r="J765" s="12">
        <v>45717</v>
      </c>
      <c r="K765">
        <v>0</v>
      </c>
      <c r="L765" s="1">
        <f t="shared" si="44"/>
        <v>8.3999999999999986</v>
      </c>
      <c r="M765" s="1" t="str">
        <f t="shared" si="45"/>
        <v/>
      </c>
      <c r="N765" s="2">
        <f t="shared" si="46"/>
        <v>45717</v>
      </c>
      <c r="O765" t="str">
        <f t="shared" si="47"/>
        <v>pes</v>
      </c>
    </row>
    <row r="766" spans="1:15" x14ac:dyDescent="0.25">
      <c r="A766">
        <v>8280</v>
      </c>
      <c r="B766" s="11">
        <v>4013456789017</v>
      </c>
      <c r="C766" s="1" t="s">
        <v>11</v>
      </c>
      <c r="D766" s="1" t="s">
        <v>12</v>
      </c>
      <c r="E766" s="1" t="s">
        <v>13</v>
      </c>
      <c r="F766">
        <v>6</v>
      </c>
      <c r="G766">
        <v>2</v>
      </c>
      <c r="H766" s="1" t="s">
        <v>14</v>
      </c>
      <c r="I766" s="1" t="s">
        <v>15</v>
      </c>
      <c r="J766" s="12">
        <v>45717</v>
      </c>
      <c r="K766">
        <v>0</v>
      </c>
      <c r="L766" s="1">
        <f t="shared" si="44"/>
        <v>12</v>
      </c>
      <c r="M766" s="1" t="str">
        <f t="shared" si="45"/>
        <v/>
      </c>
      <c r="N766" s="2">
        <f t="shared" si="46"/>
        <v>45717</v>
      </c>
      <c r="O766" t="str">
        <f t="shared" si="47"/>
        <v>pes</v>
      </c>
    </row>
    <row r="767" spans="1:15" x14ac:dyDescent="0.25">
      <c r="A767">
        <v>8281</v>
      </c>
      <c r="B767" s="11">
        <v>4040123456795</v>
      </c>
      <c r="C767" s="1" t="s">
        <v>20</v>
      </c>
      <c r="D767" s="1" t="s">
        <v>21</v>
      </c>
      <c r="E767" s="1" t="s">
        <v>22</v>
      </c>
      <c r="F767">
        <v>8.8000000000000007</v>
      </c>
      <c r="G767">
        <v>1</v>
      </c>
      <c r="H767" s="1" t="s">
        <v>14</v>
      </c>
      <c r="I767" s="1" t="s">
        <v>15</v>
      </c>
      <c r="J767" s="12">
        <v>45717</v>
      </c>
      <c r="K767">
        <v>0</v>
      </c>
      <c r="L767" s="1">
        <f t="shared" si="44"/>
        <v>8.8000000000000007</v>
      </c>
      <c r="M767" s="1" t="str">
        <f t="shared" si="45"/>
        <v/>
      </c>
      <c r="N767" s="2">
        <f t="shared" si="46"/>
        <v>45717</v>
      </c>
      <c r="O767" t="str">
        <f t="shared" si="47"/>
        <v>pes</v>
      </c>
    </row>
    <row r="768" spans="1:15" hidden="1" x14ac:dyDescent="0.25">
      <c r="A768">
        <v>8282</v>
      </c>
      <c r="B768" s="11">
        <v>4010123456783</v>
      </c>
      <c r="C768" s="1" t="s">
        <v>35</v>
      </c>
      <c r="D768" s="1" t="s">
        <v>36</v>
      </c>
      <c r="E768" s="1" t="s">
        <v>37</v>
      </c>
      <c r="F768">
        <v>14</v>
      </c>
      <c r="G768">
        <v>1</v>
      </c>
      <c r="H768" s="1" t="s">
        <v>14</v>
      </c>
      <c r="I768" s="1" t="s">
        <v>15</v>
      </c>
      <c r="J768" s="12">
        <v>45717</v>
      </c>
      <c r="K768">
        <v>0</v>
      </c>
      <c r="L768" s="1">
        <f t="shared" si="44"/>
        <v>14</v>
      </c>
      <c r="M768" s="1" t="str">
        <f t="shared" si="45"/>
        <v/>
      </c>
      <c r="N768" s="2">
        <f t="shared" si="46"/>
        <v>45717</v>
      </c>
      <c r="O768" t="str">
        <f t="shared" si="47"/>
        <v>mačka</v>
      </c>
    </row>
    <row r="769" spans="1:15" hidden="1" x14ac:dyDescent="0.25">
      <c r="A769">
        <v>8283</v>
      </c>
      <c r="B769" s="11">
        <v>4056789012345</v>
      </c>
      <c r="C769" s="1" t="s">
        <v>47</v>
      </c>
      <c r="D769" s="1" t="s">
        <v>29</v>
      </c>
      <c r="E769" s="1" t="s">
        <v>37</v>
      </c>
      <c r="F769">
        <v>2.4</v>
      </c>
      <c r="G769">
        <v>3</v>
      </c>
      <c r="H769" s="1" t="s">
        <v>14</v>
      </c>
      <c r="I769" s="1" t="s">
        <v>15</v>
      </c>
      <c r="J769" s="12">
        <v>45717</v>
      </c>
      <c r="K769">
        <v>0</v>
      </c>
      <c r="L769" s="1">
        <f t="shared" si="44"/>
        <v>7.1999999999999993</v>
      </c>
      <c r="M769" s="1" t="str">
        <f t="shared" si="45"/>
        <v/>
      </c>
      <c r="N769" s="2">
        <f t="shared" si="46"/>
        <v>45717</v>
      </c>
      <c r="O769" t="str">
        <f t="shared" si="47"/>
        <v>mačka</v>
      </c>
    </row>
    <row r="770" spans="1:15" hidden="1" x14ac:dyDescent="0.25">
      <c r="A770">
        <v>8284</v>
      </c>
      <c r="B770" s="11">
        <v>4069012345682</v>
      </c>
      <c r="C770" s="1" t="s">
        <v>143</v>
      </c>
      <c r="D770" s="1" t="s">
        <v>144</v>
      </c>
      <c r="E770" s="1" t="s">
        <v>30</v>
      </c>
      <c r="F770">
        <v>26</v>
      </c>
      <c r="G770">
        <v>1</v>
      </c>
      <c r="H770" s="1" t="s">
        <v>18</v>
      </c>
      <c r="I770" s="1" t="s">
        <v>175</v>
      </c>
      <c r="J770" s="12">
        <v>45717</v>
      </c>
      <c r="K770">
        <v>0</v>
      </c>
      <c r="L770" s="1">
        <f t="shared" ref="L770:L833" si="48">F770*G770</f>
        <v>26</v>
      </c>
      <c r="M770" s="1">
        <f t="shared" ref="M770:M833" si="49">IF(H770="NULL", "",VALUE(H770))</f>
        <v>4</v>
      </c>
      <c r="N770" s="2">
        <f t="shared" ref="N770:N833" si="50">DATE(YEAR(J770),MONTH(J770),1)</f>
        <v>45717</v>
      </c>
      <c r="O770" t="str">
        <f t="shared" ref="O770:O833" si="51">IF(ISNUMBER(SEARCH("Mačky",D770)),"mačka",IF(ISNUMBER(SEARCH("Psy",D770)),"pes","iné"))</f>
        <v>mačka</v>
      </c>
    </row>
    <row r="771" spans="1:15" x14ac:dyDescent="0.25">
      <c r="A771">
        <v>8285</v>
      </c>
      <c r="B771" s="11">
        <v>4005566778891</v>
      </c>
      <c r="C771" s="1" t="s">
        <v>146</v>
      </c>
      <c r="D771" s="1" t="s">
        <v>26</v>
      </c>
      <c r="E771" s="1" t="s">
        <v>134</v>
      </c>
      <c r="F771">
        <v>18</v>
      </c>
      <c r="G771">
        <v>1</v>
      </c>
      <c r="H771" s="1" t="s">
        <v>14</v>
      </c>
      <c r="I771" s="1" t="s">
        <v>15</v>
      </c>
      <c r="J771" s="12">
        <v>45717</v>
      </c>
      <c r="K771">
        <v>0</v>
      </c>
      <c r="L771" s="1">
        <f t="shared" si="48"/>
        <v>18</v>
      </c>
      <c r="M771" s="1" t="str">
        <f t="shared" si="49"/>
        <v/>
      </c>
      <c r="N771" s="2">
        <f t="shared" si="50"/>
        <v>45717</v>
      </c>
      <c r="O771" t="str">
        <f t="shared" si="51"/>
        <v>pes</v>
      </c>
    </row>
    <row r="772" spans="1:15" x14ac:dyDescent="0.25">
      <c r="A772">
        <v>8286</v>
      </c>
      <c r="B772" s="11">
        <v>4028899001126</v>
      </c>
      <c r="C772" s="1" t="s">
        <v>16</v>
      </c>
      <c r="D772" s="1" t="s">
        <v>12</v>
      </c>
      <c r="E772" s="1" t="s">
        <v>17</v>
      </c>
      <c r="F772">
        <v>2.8</v>
      </c>
      <c r="G772">
        <v>5</v>
      </c>
      <c r="H772" s="1" t="s">
        <v>14</v>
      </c>
      <c r="I772" s="1" t="s">
        <v>15</v>
      </c>
      <c r="J772" s="12">
        <v>45718</v>
      </c>
      <c r="K772">
        <v>0</v>
      </c>
      <c r="L772" s="1">
        <f t="shared" si="48"/>
        <v>14</v>
      </c>
      <c r="M772" s="1" t="str">
        <f t="shared" si="49"/>
        <v/>
      </c>
      <c r="N772" s="2">
        <f t="shared" si="50"/>
        <v>45717</v>
      </c>
      <c r="O772" t="str">
        <f t="shared" si="51"/>
        <v>pes</v>
      </c>
    </row>
    <row r="773" spans="1:15" x14ac:dyDescent="0.25">
      <c r="A773">
        <v>8287</v>
      </c>
      <c r="B773" s="11">
        <v>4013456789017</v>
      </c>
      <c r="C773" s="1" t="s">
        <v>11</v>
      </c>
      <c r="D773" s="1" t="s">
        <v>12</v>
      </c>
      <c r="E773" s="1" t="s">
        <v>13</v>
      </c>
      <c r="F773">
        <v>6</v>
      </c>
      <c r="G773">
        <v>1</v>
      </c>
      <c r="H773" s="1" t="s">
        <v>14</v>
      </c>
      <c r="I773" s="1" t="s">
        <v>15</v>
      </c>
      <c r="J773" s="12">
        <v>45718</v>
      </c>
      <c r="K773">
        <v>0</v>
      </c>
      <c r="L773" s="1">
        <f t="shared" si="48"/>
        <v>6</v>
      </c>
      <c r="M773" s="1" t="str">
        <f t="shared" si="49"/>
        <v/>
      </c>
      <c r="N773" s="2">
        <f t="shared" si="50"/>
        <v>45717</v>
      </c>
      <c r="O773" t="str">
        <f t="shared" si="51"/>
        <v>pes</v>
      </c>
    </row>
    <row r="774" spans="1:15" x14ac:dyDescent="0.25">
      <c r="A774">
        <v>8288</v>
      </c>
      <c r="B774" s="11">
        <v>4040123456795</v>
      </c>
      <c r="C774" s="1" t="s">
        <v>20</v>
      </c>
      <c r="D774" s="1" t="s">
        <v>21</v>
      </c>
      <c r="E774" s="1" t="s">
        <v>22</v>
      </c>
      <c r="F774">
        <v>8.8000000000000007</v>
      </c>
      <c r="G774">
        <v>1</v>
      </c>
      <c r="H774" s="1" t="s">
        <v>14</v>
      </c>
      <c r="I774" s="1" t="s">
        <v>15</v>
      </c>
      <c r="J774" s="12">
        <v>45718</v>
      </c>
      <c r="K774">
        <v>0</v>
      </c>
      <c r="L774" s="1">
        <f t="shared" si="48"/>
        <v>8.8000000000000007</v>
      </c>
      <c r="M774" s="1" t="str">
        <f t="shared" si="49"/>
        <v/>
      </c>
      <c r="N774" s="2">
        <f t="shared" si="50"/>
        <v>45717</v>
      </c>
      <c r="O774" t="str">
        <f t="shared" si="51"/>
        <v>pes</v>
      </c>
    </row>
    <row r="775" spans="1:15" hidden="1" x14ac:dyDescent="0.25">
      <c r="A775">
        <v>8289</v>
      </c>
      <c r="B775" s="11">
        <v>4010123456783</v>
      </c>
      <c r="C775" s="1" t="s">
        <v>35</v>
      </c>
      <c r="D775" s="1" t="s">
        <v>36</v>
      </c>
      <c r="E775" s="1" t="s">
        <v>37</v>
      </c>
      <c r="F775">
        <v>14</v>
      </c>
      <c r="G775">
        <v>2</v>
      </c>
      <c r="H775" s="1" t="s">
        <v>14</v>
      </c>
      <c r="I775" s="1" t="s">
        <v>15</v>
      </c>
      <c r="J775" s="12">
        <v>45718</v>
      </c>
      <c r="K775">
        <v>0</v>
      </c>
      <c r="L775" s="1">
        <f t="shared" si="48"/>
        <v>28</v>
      </c>
      <c r="M775" s="1" t="str">
        <f t="shared" si="49"/>
        <v/>
      </c>
      <c r="N775" s="2">
        <f t="shared" si="50"/>
        <v>45717</v>
      </c>
      <c r="O775" t="str">
        <f t="shared" si="51"/>
        <v>mačka</v>
      </c>
    </row>
    <row r="776" spans="1:15" x14ac:dyDescent="0.25">
      <c r="A776">
        <v>8290</v>
      </c>
      <c r="B776" s="11">
        <v>4063456789014</v>
      </c>
      <c r="C776" s="1" t="s">
        <v>60</v>
      </c>
      <c r="D776" s="1" t="s">
        <v>12</v>
      </c>
      <c r="E776" s="1" t="s">
        <v>61</v>
      </c>
      <c r="F776">
        <v>36</v>
      </c>
      <c r="G776">
        <v>1</v>
      </c>
      <c r="H776" s="1" t="s">
        <v>23</v>
      </c>
      <c r="I776" s="1" t="s">
        <v>176</v>
      </c>
      <c r="J776" s="12">
        <v>45718</v>
      </c>
      <c r="K776">
        <v>0</v>
      </c>
      <c r="L776" s="1">
        <f t="shared" si="48"/>
        <v>36</v>
      </c>
      <c r="M776" s="1">
        <f t="shared" si="49"/>
        <v>5</v>
      </c>
      <c r="N776" s="2">
        <f t="shared" si="50"/>
        <v>45717</v>
      </c>
      <c r="O776" t="str">
        <f t="shared" si="51"/>
        <v>pes</v>
      </c>
    </row>
    <row r="777" spans="1:15" hidden="1" x14ac:dyDescent="0.25">
      <c r="A777">
        <v>8291</v>
      </c>
      <c r="B777" s="11">
        <v>4021234567894</v>
      </c>
      <c r="C777" s="1" t="s">
        <v>79</v>
      </c>
      <c r="D777" s="1" t="s">
        <v>36</v>
      </c>
      <c r="E777" s="1" t="s">
        <v>69</v>
      </c>
      <c r="F777">
        <v>8</v>
      </c>
      <c r="G777">
        <v>1</v>
      </c>
      <c r="H777" s="1" t="s">
        <v>14</v>
      </c>
      <c r="I777" s="1" t="s">
        <v>15</v>
      </c>
      <c r="J777" s="12">
        <v>45718</v>
      </c>
      <c r="K777">
        <v>0</v>
      </c>
      <c r="L777" s="1">
        <f t="shared" si="48"/>
        <v>8</v>
      </c>
      <c r="M777" s="1" t="str">
        <f t="shared" si="49"/>
        <v/>
      </c>
      <c r="N777" s="2">
        <f t="shared" si="50"/>
        <v>45717</v>
      </c>
      <c r="O777" t="str">
        <f t="shared" si="51"/>
        <v>mačka</v>
      </c>
    </row>
    <row r="778" spans="1:15" x14ac:dyDescent="0.25">
      <c r="A778">
        <v>8292</v>
      </c>
      <c r="B778" s="11">
        <v>4061011223346</v>
      </c>
      <c r="C778" s="1" t="s">
        <v>25</v>
      </c>
      <c r="D778" s="1" t="s">
        <v>26</v>
      </c>
      <c r="E778" s="1" t="s">
        <v>27</v>
      </c>
      <c r="F778">
        <v>19.600000000000001</v>
      </c>
      <c r="G778">
        <v>1</v>
      </c>
      <c r="H778" s="1" t="s">
        <v>14</v>
      </c>
      <c r="I778" s="1" t="s">
        <v>15</v>
      </c>
      <c r="J778" s="12">
        <v>45718</v>
      </c>
      <c r="K778">
        <v>0</v>
      </c>
      <c r="L778" s="1">
        <f t="shared" si="48"/>
        <v>19.600000000000001</v>
      </c>
      <c r="M778" s="1" t="str">
        <f t="shared" si="49"/>
        <v/>
      </c>
      <c r="N778" s="2">
        <f t="shared" si="50"/>
        <v>45717</v>
      </c>
      <c r="O778" t="str">
        <f t="shared" si="51"/>
        <v>pes</v>
      </c>
    </row>
    <row r="779" spans="1:15" hidden="1" x14ac:dyDescent="0.25">
      <c r="A779">
        <v>8293</v>
      </c>
      <c r="B779" s="11">
        <v>4026677889902</v>
      </c>
      <c r="C779" s="1" t="s">
        <v>52</v>
      </c>
      <c r="D779" s="1" t="s">
        <v>53</v>
      </c>
      <c r="E779" s="1" t="s">
        <v>54</v>
      </c>
      <c r="F779">
        <v>7.6</v>
      </c>
      <c r="G779">
        <v>1</v>
      </c>
      <c r="H779" s="1" t="s">
        <v>14</v>
      </c>
      <c r="I779" s="1" t="s">
        <v>15</v>
      </c>
      <c r="J779" s="12">
        <v>45718</v>
      </c>
      <c r="K779">
        <v>0</v>
      </c>
      <c r="L779" s="1">
        <f t="shared" si="48"/>
        <v>7.6</v>
      </c>
      <c r="M779" s="1" t="str">
        <f t="shared" si="49"/>
        <v/>
      </c>
      <c r="N779" s="2">
        <f t="shared" si="50"/>
        <v>45717</v>
      </c>
      <c r="O779" t="str">
        <f t="shared" si="51"/>
        <v>iné</v>
      </c>
    </row>
    <row r="780" spans="1:15" x14ac:dyDescent="0.25">
      <c r="A780">
        <v>8294</v>
      </c>
      <c r="B780" s="11">
        <v>4028899001126</v>
      </c>
      <c r="C780" s="1" t="s">
        <v>16</v>
      </c>
      <c r="D780" s="1" t="s">
        <v>12</v>
      </c>
      <c r="E780" s="1" t="s">
        <v>17</v>
      </c>
      <c r="F780">
        <v>2.8</v>
      </c>
      <c r="G780">
        <v>3</v>
      </c>
      <c r="H780" s="1" t="s">
        <v>14</v>
      </c>
      <c r="I780" s="1" t="s">
        <v>15</v>
      </c>
      <c r="J780" s="12">
        <v>45718</v>
      </c>
      <c r="K780">
        <v>0</v>
      </c>
      <c r="L780" s="1">
        <f t="shared" si="48"/>
        <v>8.3999999999999986</v>
      </c>
      <c r="M780" s="1" t="str">
        <f t="shared" si="49"/>
        <v/>
      </c>
      <c r="N780" s="2">
        <f t="shared" si="50"/>
        <v>45717</v>
      </c>
      <c r="O780" t="str">
        <f t="shared" si="51"/>
        <v>pes</v>
      </c>
    </row>
    <row r="781" spans="1:15" x14ac:dyDescent="0.25">
      <c r="A781">
        <v>8295</v>
      </c>
      <c r="B781" s="11">
        <v>4013456789017</v>
      </c>
      <c r="C781" s="1" t="s">
        <v>11</v>
      </c>
      <c r="D781" s="1" t="s">
        <v>12</v>
      </c>
      <c r="E781" s="1" t="s">
        <v>13</v>
      </c>
      <c r="F781">
        <v>6</v>
      </c>
      <c r="G781">
        <v>1</v>
      </c>
      <c r="H781" s="1" t="s">
        <v>14</v>
      </c>
      <c r="I781" s="1" t="s">
        <v>15</v>
      </c>
      <c r="J781" s="12">
        <v>45718</v>
      </c>
      <c r="K781">
        <v>0</v>
      </c>
      <c r="L781" s="1">
        <f t="shared" si="48"/>
        <v>6</v>
      </c>
      <c r="M781" s="1" t="str">
        <f t="shared" si="49"/>
        <v/>
      </c>
      <c r="N781" s="2">
        <f t="shared" si="50"/>
        <v>45717</v>
      </c>
      <c r="O781" t="str">
        <f t="shared" si="51"/>
        <v>pes</v>
      </c>
    </row>
    <row r="782" spans="1:15" x14ac:dyDescent="0.25">
      <c r="A782">
        <v>8296</v>
      </c>
      <c r="B782" s="11">
        <v>4040123456795</v>
      </c>
      <c r="C782" s="1" t="s">
        <v>20</v>
      </c>
      <c r="D782" s="1" t="s">
        <v>21</v>
      </c>
      <c r="E782" s="1" t="s">
        <v>22</v>
      </c>
      <c r="F782">
        <v>8.8000000000000007</v>
      </c>
      <c r="G782">
        <v>1</v>
      </c>
      <c r="H782" s="1" t="s">
        <v>14</v>
      </c>
      <c r="I782" s="1" t="s">
        <v>15</v>
      </c>
      <c r="J782" s="12">
        <v>45718</v>
      </c>
      <c r="K782">
        <v>0</v>
      </c>
      <c r="L782" s="1">
        <f t="shared" si="48"/>
        <v>8.8000000000000007</v>
      </c>
      <c r="M782" s="1" t="str">
        <f t="shared" si="49"/>
        <v/>
      </c>
      <c r="N782" s="2">
        <f t="shared" si="50"/>
        <v>45717</v>
      </c>
      <c r="O782" t="str">
        <f t="shared" si="51"/>
        <v>pes</v>
      </c>
    </row>
    <row r="783" spans="1:15" hidden="1" x14ac:dyDescent="0.25">
      <c r="A783">
        <v>8297</v>
      </c>
      <c r="B783" s="11">
        <v>4010123456783</v>
      </c>
      <c r="C783" s="1" t="s">
        <v>35</v>
      </c>
      <c r="D783" s="1" t="s">
        <v>36</v>
      </c>
      <c r="E783" s="1" t="s">
        <v>37</v>
      </c>
      <c r="F783">
        <v>14</v>
      </c>
      <c r="G783">
        <v>2</v>
      </c>
      <c r="H783" s="1" t="s">
        <v>14</v>
      </c>
      <c r="I783" s="1" t="s">
        <v>15</v>
      </c>
      <c r="J783" s="12">
        <v>45718</v>
      </c>
      <c r="K783">
        <v>0</v>
      </c>
      <c r="L783" s="1">
        <f t="shared" si="48"/>
        <v>28</v>
      </c>
      <c r="M783" s="1" t="str">
        <f t="shared" si="49"/>
        <v/>
      </c>
      <c r="N783" s="2">
        <f t="shared" si="50"/>
        <v>45717</v>
      </c>
      <c r="O783" t="str">
        <f t="shared" si="51"/>
        <v>mačka</v>
      </c>
    </row>
    <row r="784" spans="1:15" x14ac:dyDescent="0.25">
      <c r="A784">
        <v>8298</v>
      </c>
      <c r="B784" s="11">
        <v>4063456789014</v>
      </c>
      <c r="C784" s="1" t="s">
        <v>60</v>
      </c>
      <c r="D784" s="1" t="s">
        <v>12</v>
      </c>
      <c r="E784" s="1" t="s">
        <v>61</v>
      </c>
      <c r="F784">
        <v>36</v>
      </c>
      <c r="G784">
        <v>1</v>
      </c>
      <c r="H784" s="1" t="s">
        <v>14</v>
      </c>
      <c r="I784" s="1" t="s">
        <v>15</v>
      </c>
      <c r="J784" s="12">
        <v>45718</v>
      </c>
      <c r="K784">
        <v>0</v>
      </c>
      <c r="L784" s="1">
        <f t="shared" si="48"/>
        <v>36</v>
      </c>
      <c r="M784" s="1" t="str">
        <f t="shared" si="49"/>
        <v/>
      </c>
      <c r="N784" s="2">
        <f t="shared" si="50"/>
        <v>45717</v>
      </c>
      <c r="O784" t="str">
        <f t="shared" si="51"/>
        <v>pes</v>
      </c>
    </row>
    <row r="785" spans="1:15" x14ac:dyDescent="0.25">
      <c r="A785">
        <v>8299</v>
      </c>
      <c r="B785" s="11">
        <v>4028899001126</v>
      </c>
      <c r="C785" s="1" t="s">
        <v>16</v>
      </c>
      <c r="D785" s="1" t="s">
        <v>12</v>
      </c>
      <c r="E785" s="1" t="s">
        <v>17</v>
      </c>
      <c r="F785">
        <v>2.8</v>
      </c>
      <c r="G785">
        <v>4</v>
      </c>
      <c r="H785" s="1" t="s">
        <v>14</v>
      </c>
      <c r="I785" s="1" t="s">
        <v>15</v>
      </c>
      <c r="J785" s="12">
        <v>45719</v>
      </c>
      <c r="K785">
        <v>0</v>
      </c>
      <c r="L785" s="1">
        <f t="shared" si="48"/>
        <v>11.2</v>
      </c>
      <c r="M785" s="1" t="str">
        <f t="shared" si="49"/>
        <v/>
      </c>
      <c r="N785" s="2">
        <f t="shared" si="50"/>
        <v>45717</v>
      </c>
      <c r="O785" t="str">
        <f t="shared" si="51"/>
        <v>pes</v>
      </c>
    </row>
    <row r="786" spans="1:15" x14ac:dyDescent="0.25">
      <c r="A786">
        <v>8300</v>
      </c>
      <c r="B786" s="11">
        <v>4013456789017</v>
      </c>
      <c r="C786" s="1" t="s">
        <v>11</v>
      </c>
      <c r="D786" s="1" t="s">
        <v>12</v>
      </c>
      <c r="E786" s="1" t="s">
        <v>13</v>
      </c>
      <c r="F786">
        <v>6</v>
      </c>
      <c r="G786">
        <v>2</v>
      </c>
      <c r="H786" s="1" t="s">
        <v>14</v>
      </c>
      <c r="I786" s="1" t="s">
        <v>15</v>
      </c>
      <c r="J786" s="12">
        <v>45719</v>
      </c>
      <c r="K786">
        <v>0</v>
      </c>
      <c r="L786" s="1">
        <f t="shared" si="48"/>
        <v>12</v>
      </c>
      <c r="M786" s="1" t="str">
        <f t="shared" si="49"/>
        <v/>
      </c>
      <c r="N786" s="2">
        <f t="shared" si="50"/>
        <v>45717</v>
      </c>
      <c r="O786" t="str">
        <f t="shared" si="51"/>
        <v>pes</v>
      </c>
    </row>
    <row r="787" spans="1:15" x14ac:dyDescent="0.25">
      <c r="A787">
        <v>8301</v>
      </c>
      <c r="B787" s="11">
        <v>4040123456795</v>
      </c>
      <c r="C787" s="1" t="s">
        <v>20</v>
      </c>
      <c r="D787" s="1" t="s">
        <v>21</v>
      </c>
      <c r="E787" s="1" t="s">
        <v>22</v>
      </c>
      <c r="F787">
        <v>8.8000000000000007</v>
      </c>
      <c r="G787">
        <v>1</v>
      </c>
      <c r="H787" s="1" t="s">
        <v>18</v>
      </c>
      <c r="I787" s="1" t="s">
        <v>177</v>
      </c>
      <c r="J787" s="12">
        <v>45719</v>
      </c>
      <c r="K787">
        <v>0</v>
      </c>
      <c r="L787" s="1">
        <f t="shared" si="48"/>
        <v>8.8000000000000007</v>
      </c>
      <c r="M787" s="1">
        <f t="shared" si="49"/>
        <v>4</v>
      </c>
      <c r="N787" s="2">
        <f t="shared" si="50"/>
        <v>45717</v>
      </c>
      <c r="O787" t="str">
        <f t="shared" si="51"/>
        <v>pes</v>
      </c>
    </row>
    <row r="788" spans="1:15" hidden="1" x14ac:dyDescent="0.25">
      <c r="A788">
        <v>8302</v>
      </c>
      <c r="B788" s="11">
        <v>4010123456783</v>
      </c>
      <c r="C788" s="1" t="s">
        <v>35</v>
      </c>
      <c r="D788" s="1" t="s">
        <v>36</v>
      </c>
      <c r="E788" s="1" t="s">
        <v>37</v>
      </c>
      <c r="F788">
        <v>14</v>
      </c>
      <c r="G788">
        <v>2</v>
      </c>
      <c r="H788" s="1" t="s">
        <v>14</v>
      </c>
      <c r="I788" s="1" t="s">
        <v>15</v>
      </c>
      <c r="J788" s="12">
        <v>45719</v>
      </c>
      <c r="K788">
        <v>0</v>
      </c>
      <c r="L788" s="1">
        <f t="shared" si="48"/>
        <v>28</v>
      </c>
      <c r="M788" s="1" t="str">
        <f t="shared" si="49"/>
        <v/>
      </c>
      <c r="N788" s="2">
        <f t="shared" si="50"/>
        <v>45717</v>
      </c>
      <c r="O788" t="str">
        <f t="shared" si="51"/>
        <v>mačka</v>
      </c>
    </row>
    <row r="789" spans="1:15" hidden="1" x14ac:dyDescent="0.25">
      <c r="A789">
        <v>8303</v>
      </c>
      <c r="B789" s="11">
        <v>4056789012345</v>
      </c>
      <c r="C789" s="1" t="s">
        <v>47</v>
      </c>
      <c r="D789" s="1" t="s">
        <v>29</v>
      </c>
      <c r="E789" s="1" t="s">
        <v>37</v>
      </c>
      <c r="F789">
        <v>2.4</v>
      </c>
      <c r="G789">
        <v>2</v>
      </c>
      <c r="H789" s="1" t="s">
        <v>14</v>
      </c>
      <c r="I789" s="1" t="s">
        <v>15</v>
      </c>
      <c r="J789" s="12">
        <v>45719</v>
      </c>
      <c r="K789">
        <v>0</v>
      </c>
      <c r="L789" s="1">
        <f t="shared" si="48"/>
        <v>4.8</v>
      </c>
      <c r="M789" s="1" t="str">
        <f t="shared" si="49"/>
        <v/>
      </c>
      <c r="N789" s="2">
        <f t="shared" si="50"/>
        <v>45717</v>
      </c>
      <c r="O789" t="str">
        <f t="shared" si="51"/>
        <v>mačka</v>
      </c>
    </row>
    <row r="790" spans="1:15" x14ac:dyDescent="0.25">
      <c r="A790">
        <v>8304</v>
      </c>
      <c r="B790" s="11">
        <v>4063456789014</v>
      </c>
      <c r="C790" s="1" t="s">
        <v>60</v>
      </c>
      <c r="D790" s="1" t="s">
        <v>12</v>
      </c>
      <c r="E790" s="1" t="s">
        <v>61</v>
      </c>
      <c r="F790">
        <v>36</v>
      </c>
      <c r="G790">
        <v>1</v>
      </c>
      <c r="H790" s="1" t="s">
        <v>14</v>
      </c>
      <c r="I790" s="1" t="s">
        <v>15</v>
      </c>
      <c r="J790" s="12">
        <v>45719</v>
      </c>
      <c r="K790">
        <v>0</v>
      </c>
      <c r="L790" s="1">
        <f t="shared" si="48"/>
        <v>36</v>
      </c>
      <c r="M790" s="1" t="str">
        <f t="shared" si="49"/>
        <v/>
      </c>
      <c r="N790" s="2">
        <f t="shared" si="50"/>
        <v>45717</v>
      </c>
      <c r="O790" t="str">
        <f t="shared" si="51"/>
        <v>pes</v>
      </c>
    </row>
    <row r="791" spans="1:15" hidden="1" x14ac:dyDescent="0.25">
      <c r="A791">
        <v>8305</v>
      </c>
      <c r="B791" s="11">
        <v>4021234567894</v>
      </c>
      <c r="C791" s="1" t="s">
        <v>79</v>
      </c>
      <c r="D791" s="1" t="s">
        <v>36</v>
      </c>
      <c r="E791" s="1" t="s">
        <v>69</v>
      </c>
      <c r="F791">
        <v>8</v>
      </c>
      <c r="G791">
        <v>1</v>
      </c>
      <c r="H791" s="1" t="s">
        <v>14</v>
      </c>
      <c r="I791" s="1" t="s">
        <v>15</v>
      </c>
      <c r="J791" s="12">
        <v>45719</v>
      </c>
      <c r="K791">
        <v>0</v>
      </c>
      <c r="L791" s="1">
        <f t="shared" si="48"/>
        <v>8</v>
      </c>
      <c r="M791" s="1" t="str">
        <f t="shared" si="49"/>
        <v/>
      </c>
      <c r="N791" s="2">
        <f t="shared" si="50"/>
        <v>45717</v>
      </c>
      <c r="O791" t="str">
        <f t="shared" si="51"/>
        <v>mačka</v>
      </c>
    </row>
    <row r="792" spans="1:15" x14ac:dyDescent="0.25">
      <c r="A792">
        <v>8306</v>
      </c>
      <c r="B792" s="11">
        <v>4061011223346</v>
      </c>
      <c r="C792" s="1" t="s">
        <v>25</v>
      </c>
      <c r="D792" s="1" t="s">
        <v>26</v>
      </c>
      <c r="E792" s="1" t="s">
        <v>27</v>
      </c>
      <c r="F792">
        <v>19.600000000000001</v>
      </c>
      <c r="G792">
        <v>1</v>
      </c>
      <c r="H792" s="1" t="s">
        <v>14</v>
      </c>
      <c r="I792" s="1" t="s">
        <v>15</v>
      </c>
      <c r="J792" s="12">
        <v>45719</v>
      </c>
      <c r="K792">
        <v>0</v>
      </c>
      <c r="L792" s="1">
        <f t="shared" si="48"/>
        <v>19.600000000000001</v>
      </c>
      <c r="M792" s="1" t="str">
        <f t="shared" si="49"/>
        <v/>
      </c>
      <c r="N792" s="2">
        <f t="shared" si="50"/>
        <v>45717</v>
      </c>
      <c r="O792" t="str">
        <f t="shared" si="51"/>
        <v>pes</v>
      </c>
    </row>
    <row r="793" spans="1:15" hidden="1" x14ac:dyDescent="0.25">
      <c r="A793">
        <v>8307</v>
      </c>
      <c r="B793" s="11">
        <v>4026677889902</v>
      </c>
      <c r="C793" s="1" t="s">
        <v>52</v>
      </c>
      <c r="D793" s="1" t="s">
        <v>53</v>
      </c>
      <c r="E793" s="1" t="s">
        <v>54</v>
      </c>
      <c r="F793">
        <v>7.6</v>
      </c>
      <c r="G793">
        <v>1</v>
      </c>
      <c r="H793" s="1" t="s">
        <v>14</v>
      </c>
      <c r="I793" s="1" t="s">
        <v>15</v>
      </c>
      <c r="J793" s="12">
        <v>45719</v>
      </c>
      <c r="K793">
        <v>0</v>
      </c>
      <c r="L793" s="1">
        <f t="shared" si="48"/>
        <v>7.6</v>
      </c>
      <c r="M793" s="1" t="str">
        <f t="shared" si="49"/>
        <v/>
      </c>
      <c r="N793" s="2">
        <f t="shared" si="50"/>
        <v>45717</v>
      </c>
      <c r="O793" t="str">
        <f t="shared" si="51"/>
        <v>iné</v>
      </c>
    </row>
    <row r="794" spans="1:15" x14ac:dyDescent="0.25">
      <c r="A794">
        <v>8308</v>
      </c>
      <c r="B794" s="11">
        <v>4028899001126</v>
      </c>
      <c r="C794" s="1" t="s">
        <v>16</v>
      </c>
      <c r="D794" s="1" t="s">
        <v>12</v>
      </c>
      <c r="E794" s="1" t="s">
        <v>17</v>
      </c>
      <c r="F794">
        <v>2.8</v>
      </c>
      <c r="G794">
        <v>3</v>
      </c>
      <c r="H794" s="1" t="s">
        <v>14</v>
      </c>
      <c r="I794" s="1" t="s">
        <v>15</v>
      </c>
      <c r="J794" s="12">
        <v>45719</v>
      </c>
      <c r="K794">
        <v>0</v>
      </c>
      <c r="L794" s="1">
        <f t="shared" si="48"/>
        <v>8.3999999999999986</v>
      </c>
      <c r="M794" s="1" t="str">
        <f t="shared" si="49"/>
        <v/>
      </c>
      <c r="N794" s="2">
        <f t="shared" si="50"/>
        <v>45717</v>
      </c>
      <c r="O794" t="str">
        <f t="shared" si="51"/>
        <v>pes</v>
      </c>
    </row>
    <row r="795" spans="1:15" x14ac:dyDescent="0.25">
      <c r="A795">
        <v>8309</v>
      </c>
      <c r="B795" s="11">
        <v>4013456789017</v>
      </c>
      <c r="C795" s="1" t="s">
        <v>11</v>
      </c>
      <c r="D795" s="1" t="s">
        <v>12</v>
      </c>
      <c r="E795" s="1" t="s">
        <v>13</v>
      </c>
      <c r="F795">
        <v>6</v>
      </c>
      <c r="G795">
        <v>2</v>
      </c>
      <c r="H795" s="1" t="s">
        <v>14</v>
      </c>
      <c r="I795" s="1" t="s">
        <v>15</v>
      </c>
      <c r="J795" s="12">
        <v>45719</v>
      </c>
      <c r="K795">
        <v>0</v>
      </c>
      <c r="L795" s="1">
        <f t="shared" si="48"/>
        <v>12</v>
      </c>
      <c r="M795" s="1" t="str">
        <f t="shared" si="49"/>
        <v/>
      </c>
      <c r="N795" s="2">
        <f t="shared" si="50"/>
        <v>45717</v>
      </c>
      <c r="O795" t="str">
        <f t="shared" si="51"/>
        <v>pes</v>
      </c>
    </row>
    <row r="796" spans="1:15" x14ac:dyDescent="0.25">
      <c r="A796">
        <v>8310</v>
      </c>
      <c r="B796" s="11">
        <v>4040123456795</v>
      </c>
      <c r="C796" s="1" t="s">
        <v>20</v>
      </c>
      <c r="D796" s="1" t="s">
        <v>21</v>
      </c>
      <c r="E796" s="1" t="s">
        <v>22</v>
      </c>
      <c r="F796">
        <v>8.8000000000000007</v>
      </c>
      <c r="G796">
        <v>1</v>
      </c>
      <c r="H796" s="1" t="s">
        <v>14</v>
      </c>
      <c r="I796" s="1" t="s">
        <v>15</v>
      </c>
      <c r="J796" s="12">
        <v>45719</v>
      </c>
      <c r="K796">
        <v>0</v>
      </c>
      <c r="L796" s="1">
        <f t="shared" si="48"/>
        <v>8.8000000000000007</v>
      </c>
      <c r="M796" s="1" t="str">
        <f t="shared" si="49"/>
        <v/>
      </c>
      <c r="N796" s="2">
        <f t="shared" si="50"/>
        <v>45717</v>
      </c>
      <c r="O796" t="str">
        <f t="shared" si="51"/>
        <v>pes</v>
      </c>
    </row>
    <row r="797" spans="1:15" hidden="1" x14ac:dyDescent="0.25">
      <c r="A797">
        <v>8311</v>
      </c>
      <c r="B797" s="11">
        <v>4010123456783</v>
      </c>
      <c r="C797" s="1" t="s">
        <v>35</v>
      </c>
      <c r="D797" s="1" t="s">
        <v>36</v>
      </c>
      <c r="E797" s="1" t="s">
        <v>37</v>
      </c>
      <c r="F797">
        <v>14</v>
      </c>
      <c r="G797">
        <v>2</v>
      </c>
      <c r="H797" s="1" t="s">
        <v>14</v>
      </c>
      <c r="I797" s="1" t="s">
        <v>15</v>
      </c>
      <c r="J797" s="12">
        <v>45719</v>
      </c>
      <c r="K797">
        <v>0</v>
      </c>
      <c r="L797" s="1">
        <f t="shared" si="48"/>
        <v>28</v>
      </c>
      <c r="M797" s="1" t="str">
        <f t="shared" si="49"/>
        <v/>
      </c>
      <c r="N797" s="2">
        <f t="shared" si="50"/>
        <v>45717</v>
      </c>
      <c r="O797" t="str">
        <f t="shared" si="51"/>
        <v>mačka</v>
      </c>
    </row>
    <row r="798" spans="1:15" x14ac:dyDescent="0.25">
      <c r="A798">
        <v>8312</v>
      </c>
      <c r="B798" s="11">
        <v>4063456789014</v>
      </c>
      <c r="C798" s="1" t="s">
        <v>60</v>
      </c>
      <c r="D798" s="1" t="s">
        <v>12</v>
      </c>
      <c r="E798" s="1" t="s">
        <v>61</v>
      </c>
      <c r="F798">
        <v>36</v>
      </c>
      <c r="G798">
        <v>1</v>
      </c>
      <c r="H798" s="1" t="s">
        <v>14</v>
      </c>
      <c r="I798" s="1" t="s">
        <v>15</v>
      </c>
      <c r="J798" s="12">
        <v>45719</v>
      </c>
      <c r="K798">
        <v>0</v>
      </c>
      <c r="L798" s="1">
        <f t="shared" si="48"/>
        <v>36</v>
      </c>
      <c r="M798" s="1" t="str">
        <f t="shared" si="49"/>
        <v/>
      </c>
      <c r="N798" s="2">
        <f t="shared" si="50"/>
        <v>45717</v>
      </c>
      <c r="O798" t="str">
        <f t="shared" si="51"/>
        <v>pes</v>
      </c>
    </row>
    <row r="799" spans="1:15" x14ac:dyDescent="0.25">
      <c r="A799">
        <v>8313</v>
      </c>
      <c r="B799" s="11">
        <v>4028899001126</v>
      </c>
      <c r="C799" s="1" t="s">
        <v>16</v>
      </c>
      <c r="D799" s="1" t="s">
        <v>12</v>
      </c>
      <c r="E799" s="1" t="s">
        <v>17</v>
      </c>
      <c r="F799">
        <v>2.8</v>
      </c>
      <c r="G799">
        <v>4</v>
      </c>
      <c r="H799" s="1" t="s">
        <v>23</v>
      </c>
      <c r="I799" s="1" t="s">
        <v>178</v>
      </c>
      <c r="J799" s="12">
        <v>45720</v>
      </c>
      <c r="K799">
        <v>0</v>
      </c>
      <c r="L799" s="1">
        <f t="shared" si="48"/>
        <v>11.2</v>
      </c>
      <c r="M799" s="1">
        <f t="shared" si="49"/>
        <v>5</v>
      </c>
      <c r="N799" s="2">
        <f t="shared" si="50"/>
        <v>45717</v>
      </c>
      <c r="O799" t="str">
        <f t="shared" si="51"/>
        <v>pes</v>
      </c>
    </row>
    <row r="800" spans="1:15" x14ac:dyDescent="0.25">
      <c r="A800">
        <v>8314</v>
      </c>
      <c r="B800" s="11">
        <v>4013456789017</v>
      </c>
      <c r="C800" s="1" t="s">
        <v>11</v>
      </c>
      <c r="D800" s="1" t="s">
        <v>12</v>
      </c>
      <c r="E800" s="1" t="s">
        <v>13</v>
      </c>
      <c r="F800">
        <v>6</v>
      </c>
      <c r="G800">
        <v>1</v>
      </c>
      <c r="H800" s="1" t="s">
        <v>14</v>
      </c>
      <c r="I800" s="1" t="s">
        <v>15</v>
      </c>
      <c r="J800" s="12">
        <v>45720</v>
      </c>
      <c r="K800">
        <v>0</v>
      </c>
      <c r="L800" s="1">
        <f t="shared" si="48"/>
        <v>6</v>
      </c>
      <c r="M800" s="1" t="str">
        <f t="shared" si="49"/>
        <v/>
      </c>
      <c r="N800" s="2">
        <f t="shared" si="50"/>
        <v>45717</v>
      </c>
      <c r="O800" t="str">
        <f t="shared" si="51"/>
        <v>pes</v>
      </c>
    </row>
    <row r="801" spans="1:15" x14ac:dyDescent="0.25">
      <c r="A801">
        <v>8315</v>
      </c>
      <c r="B801" s="11">
        <v>4040123456795</v>
      </c>
      <c r="C801" s="1" t="s">
        <v>20</v>
      </c>
      <c r="D801" s="1" t="s">
        <v>21</v>
      </c>
      <c r="E801" s="1" t="s">
        <v>22</v>
      </c>
      <c r="F801">
        <v>8.8000000000000007</v>
      </c>
      <c r="G801">
        <v>1</v>
      </c>
      <c r="H801" s="1" t="s">
        <v>14</v>
      </c>
      <c r="I801" s="1" t="s">
        <v>15</v>
      </c>
      <c r="J801" s="12">
        <v>45720</v>
      </c>
      <c r="K801">
        <v>0</v>
      </c>
      <c r="L801" s="1">
        <f t="shared" si="48"/>
        <v>8.8000000000000007</v>
      </c>
      <c r="M801" s="1" t="str">
        <f t="shared" si="49"/>
        <v/>
      </c>
      <c r="N801" s="2">
        <f t="shared" si="50"/>
        <v>45717</v>
      </c>
      <c r="O801" t="str">
        <f t="shared" si="51"/>
        <v>pes</v>
      </c>
    </row>
    <row r="802" spans="1:15" hidden="1" x14ac:dyDescent="0.25">
      <c r="A802">
        <v>8316</v>
      </c>
      <c r="B802" s="11">
        <v>4010123456783</v>
      </c>
      <c r="C802" s="1" t="s">
        <v>35</v>
      </c>
      <c r="D802" s="1" t="s">
        <v>36</v>
      </c>
      <c r="E802" s="1" t="s">
        <v>37</v>
      </c>
      <c r="F802">
        <v>14</v>
      </c>
      <c r="G802">
        <v>1</v>
      </c>
      <c r="H802" s="1" t="s">
        <v>14</v>
      </c>
      <c r="I802" s="1" t="s">
        <v>15</v>
      </c>
      <c r="J802" s="12">
        <v>45720</v>
      </c>
      <c r="K802">
        <v>0</v>
      </c>
      <c r="L802" s="1">
        <f t="shared" si="48"/>
        <v>14</v>
      </c>
      <c r="M802" s="1" t="str">
        <f t="shared" si="49"/>
        <v/>
      </c>
      <c r="N802" s="2">
        <f t="shared" si="50"/>
        <v>45717</v>
      </c>
      <c r="O802" t="str">
        <f t="shared" si="51"/>
        <v>mačka</v>
      </c>
    </row>
    <row r="803" spans="1:15" hidden="1" x14ac:dyDescent="0.25">
      <c r="A803">
        <v>8317</v>
      </c>
      <c r="B803" s="11">
        <v>4056789012345</v>
      </c>
      <c r="C803" s="1" t="s">
        <v>47</v>
      </c>
      <c r="D803" s="1" t="s">
        <v>29</v>
      </c>
      <c r="E803" s="1" t="s">
        <v>37</v>
      </c>
      <c r="F803">
        <v>2.4</v>
      </c>
      <c r="G803">
        <v>2</v>
      </c>
      <c r="H803" s="1" t="s">
        <v>14</v>
      </c>
      <c r="I803" s="1" t="s">
        <v>15</v>
      </c>
      <c r="J803" s="12">
        <v>45720</v>
      </c>
      <c r="K803">
        <v>0</v>
      </c>
      <c r="L803" s="1">
        <f t="shared" si="48"/>
        <v>4.8</v>
      </c>
      <c r="M803" s="1" t="str">
        <f t="shared" si="49"/>
        <v/>
      </c>
      <c r="N803" s="2">
        <f t="shared" si="50"/>
        <v>45717</v>
      </c>
      <c r="O803" t="str">
        <f t="shared" si="51"/>
        <v>mačka</v>
      </c>
    </row>
    <row r="804" spans="1:15" x14ac:dyDescent="0.25">
      <c r="A804">
        <v>8318</v>
      </c>
      <c r="B804" s="11">
        <v>4063456789014</v>
      </c>
      <c r="C804" s="1" t="s">
        <v>60</v>
      </c>
      <c r="D804" s="1" t="s">
        <v>12</v>
      </c>
      <c r="E804" s="1" t="s">
        <v>61</v>
      </c>
      <c r="F804">
        <v>36</v>
      </c>
      <c r="G804">
        <v>1</v>
      </c>
      <c r="H804" s="1" t="s">
        <v>14</v>
      </c>
      <c r="I804" s="1" t="s">
        <v>15</v>
      </c>
      <c r="J804" s="12">
        <v>45720</v>
      </c>
      <c r="K804">
        <v>0</v>
      </c>
      <c r="L804" s="1">
        <f t="shared" si="48"/>
        <v>36</v>
      </c>
      <c r="M804" s="1" t="str">
        <f t="shared" si="49"/>
        <v/>
      </c>
      <c r="N804" s="2">
        <f t="shared" si="50"/>
        <v>45717</v>
      </c>
      <c r="O804" t="str">
        <f t="shared" si="51"/>
        <v>pes</v>
      </c>
    </row>
    <row r="805" spans="1:15" hidden="1" x14ac:dyDescent="0.25">
      <c r="A805">
        <v>8319</v>
      </c>
      <c r="B805" s="11">
        <v>4021234567894</v>
      </c>
      <c r="C805" s="1" t="s">
        <v>79</v>
      </c>
      <c r="D805" s="1" t="s">
        <v>36</v>
      </c>
      <c r="E805" s="1" t="s">
        <v>69</v>
      </c>
      <c r="F805">
        <v>8</v>
      </c>
      <c r="G805">
        <v>1</v>
      </c>
      <c r="H805" s="1" t="s">
        <v>14</v>
      </c>
      <c r="I805" s="1" t="s">
        <v>15</v>
      </c>
      <c r="J805" s="12">
        <v>45720</v>
      </c>
      <c r="K805">
        <v>0</v>
      </c>
      <c r="L805" s="1">
        <f t="shared" si="48"/>
        <v>8</v>
      </c>
      <c r="M805" s="1" t="str">
        <f t="shared" si="49"/>
        <v/>
      </c>
      <c r="N805" s="2">
        <f t="shared" si="50"/>
        <v>45717</v>
      </c>
      <c r="O805" t="str">
        <f t="shared" si="51"/>
        <v>mačka</v>
      </c>
    </row>
    <row r="806" spans="1:15" hidden="1" x14ac:dyDescent="0.25">
      <c r="A806">
        <v>8320</v>
      </c>
      <c r="B806" s="11">
        <v>4069012345682</v>
      </c>
      <c r="C806" s="1" t="s">
        <v>143</v>
      </c>
      <c r="D806" s="1" t="s">
        <v>144</v>
      </c>
      <c r="E806" s="1" t="s">
        <v>30</v>
      </c>
      <c r="F806">
        <v>26</v>
      </c>
      <c r="G806">
        <v>1</v>
      </c>
      <c r="H806" s="1" t="s">
        <v>14</v>
      </c>
      <c r="I806" s="1" t="s">
        <v>15</v>
      </c>
      <c r="J806" s="12">
        <v>45720</v>
      </c>
      <c r="K806">
        <v>0</v>
      </c>
      <c r="L806" s="1">
        <f t="shared" si="48"/>
        <v>26</v>
      </c>
      <c r="M806" s="1" t="str">
        <f t="shared" si="49"/>
        <v/>
      </c>
      <c r="N806" s="2">
        <f t="shared" si="50"/>
        <v>45717</v>
      </c>
      <c r="O806" t="str">
        <f t="shared" si="51"/>
        <v>mačka</v>
      </c>
    </row>
    <row r="807" spans="1:15" hidden="1" x14ac:dyDescent="0.25">
      <c r="A807">
        <v>8321</v>
      </c>
      <c r="B807" s="11">
        <v>4026677889902</v>
      </c>
      <c r="C807" s="1" t="s">
        <v>52</v>
      </c>
      <c r="D807" s="1" t="s">
        <v>53</v>
      </c>
      <c r="E807" s="1" t="s">
        <v>54</v>
      </c>
      <c r="F807">
        <v>7.6</v>
      </c>
      <c r="G807">
        <v>1</v>
      </c>
      <c r="H807" s="1" t="s">
        <v>14</v>
      </c>
      <c r="I807" s="1" t="s">
        <v>15</v>
      </c>
      <c r="J807" s="12">
        <v>45720</v>
      </c>
      <c r="K807">
        <v>0</v>
      </c>
      <c r="L807" s="1">
        <f t="shared" si="48"/>
        <v>7.6</v>
      </c>
      <c r="M807" s="1" t="str">
        <f t="shared" si="49"/>
        <v/>
      </c>
      <c r="N807" s="2">
        <f t="shared" si="50"/>
        <v>45717</v>
      </c>
      <c r="O807" t="str">
        <f t="shared" si="51"/>
        <v>iné</v>
      </c>
    </row>
    <row r="808" spans="1:15" x14ac:dyDescent="0.25">
      <c r="A808">
        <v>8322</v>
      </c>
      <c r="B808" s="11">
        <v>4028899001126</v>
      </c>
      <c r="C808" s="1" t="s">
        <v>16</v>
      </c>
      <c r="D808" s="1" t="s">
        <v>12</v>
      </c>
      <c r="E808" s="1" t="s">
        <v>17</v>
      </c>
      <c r="F808">
        <v>2.8</v>
      </c>
      <c r="G808">
        <v>5</v>
      </c>
      <c r="H808" s="1" t="s">
        <v>14</v>
      </c>
      <c r="I808" s="1" t="s">
        <v>15</v>
      </c>
      <c r="J808" s="12">
        <v>45721</v>
      </c>
      <c r="K808">
        <v>0</v>
      </c>
      <c r="L808" s="1">
        <f t="shared" si="48"/>
        <v>14</v>
      </c>
      <c r="M808" s="1" t="str">
        <f t="shared" si="49"/>
        <v/>
      </c>
      <c r="N808" s="2">
        <f t="shared" si="50"/>
        <v>45717</v>
      </c>
      <c r="O808" t="str">
        <f t="shared" si="51"/>
        <v>pes</v>
      </c>
    </row>
    <row r="809" spans="1:15" x14ac:dyDescent="0.25">
      <c r="A809">
        <v>8323</v>
      </c>
      <c r="B809" s="11">
        <v>4013456789017</v>
      </c>
      <c r="C809" s="1" t="s">
        <v>11</v>
      </c>
      <c r="D809" s="1" t="s">
        <v>12</v>
      </c>
      <c r="E809" s="1" t="s">
        <v>13</v>
      </c>
      <c r="F809">
        <v>6</v>
      </c>
      <c r="G809">
        <v>1</v>
      </c>
      <c r="H809" s="1" t="s">
        <v>14</v>
      </c>
      <c r="I809" s="1" t="s">
        <v>15</v>
      </c>
      <c r="J809" s="12">
        <v>45721</v>
      </c>
      <c r="K809">
        <v>0</v>
      </c>
      <c r="L809" s="1">
        <f t="shared" si="48"/>
        <v>6</v>
      </c>
      <c r="M809" s="1" t="str">
        <f t="shared" si="49"/>
        <v/>
      </c>
      <c r="N809" s="2">
        <f t="shared" si="50"/>
        <v>45717</v>
      </c>
      <c r="O809" t="str">
        <f t="shared" si="51"/>
        <v>pes</v>
      </c>
    </row>
    <row r="810" spans="1:15" x14ac:dyDescent="0.25">
      <c r="A810">
        <v>8324</v>
      </c>
      <c r="B810" s="11">
        <v>4040123456795</v>
      </c>
      <c r="C810" s="1" t="s">
        <v>20</v>
      </c>
      <c r="D810" s="1" t="s">
        <v>21</v>
      </c>
      <c r="E810" s="1" t="s">
        <v>22</v>
      </c>
      <c r="F810">
        <v>8.8000000000000007</v>
      </c>
      <c r="G810">
        <v>1</v>
      </c>
      <c r="H810" s="1" t="s">
        <v>14</v>
      </c>
      <c r="I810" s="1" t="s">
        <v>15</v>
      </c>
      <c r="J810" s="12">
        <v>45721</v>
      </c>
      <c r="K810">
        <v>0</v>
      </c>
      <c r="L810" s="1">
        <f t="shared" si="48"/>
        <v>8.8000000000000007</v>
      </c>
      <c r="M810" s="1" t="str">
        <f t="shared" si="49"/>
        <v/>
      </c>
      <c r="N810" s="2">
        <f t="shared" si="50"/>
        <v>45717</v>
      </c>
      <c r="O810" t="str">
        <f t="shared" si="51"/>
        <v>pes</v>
      </c>
    </row>
    <row r="811" spans="1:15" hidden="1" x14ac:dyDescent="0.25">
      <c r="A811">
        <v>8325</v>
      </c>
      <c r="B811" s="11">
        <v>4010123456783</v>
      </c>
      <c r="C811" s="1" t="s">
        <v>35</v>
      </c>
      <c r="D811" s="1" t="s">
        <v>36</v>
      </c>
      <c r="E811" s="1" t="s">
        <v>37</v>
      </c>
      <c r="F811">
        <v>14</v>
      </c>
      <c r="G811">
        <v>1</v>
      </c>
      <c r="H811" s="1" t="s">
        <v>14</v>
      </c>
      <c r="I811" s="1" t="s">
        <v>15</v>
      </c>
      <c r="J811" s="12">
        <v>45721</v>
      </c>
      <c r="K811">
        <v>0</v>
      </c>
      <c r="L811" s="1">
        <f t="shared" si="48"/>
        <v>14</v>
      </c>
      <c r="M811" s="1" t="str">
        <f t="shared" si="49"/>
        <v/>
      </c>
      <c r="N811" s="2">
        <f t="shared" si="50"/>
        <v>45717</v>
      </c>
      <c r="O811" t="str">
        <f t="shared" si="51"/>
        <v>mačka</v>
      </c>
    </row>
    <row r="812" spans="1:15" x14ac:dyDescent="0.25">
      <c r="A812">
        <v>8326</v>
      </c>
      <c r="B812" s="11">
        <v>4063456789014</v>
      </c>
      <c r="C812" s="1" t="s">
        <v>60</v>
      </c>
      <c r="D812" s="1" t="s">
        <v>12</v>
      </c>
      <c r="E812" s="1" t="s">
        <v>61</v>
      </c>
      <c r="F812">
        <v>36</v>
      </c>
      <c r="G812">
        <v>1</v>
      </c>
      <c r="H812" s="1" t="s">
        <v>18</v>
      </c>
      <c r="I812" s="1" t="s">
        <v>179</v>
      </c>
      <c r="J812" s="12">
        <v>45721</v>
      </c>
      <c r="K812">
        <v>0</v>
      </c>
      <c r="L812" s="1">
        <f t="shared" si="48"/>
        <v>36</v>
      </c>
      <c r="M812" s="1">
        <f t="shared" si="49"/>
        <v>4</v>
      </c>
      <c r="N812" s="2">
        <f t="shared" si="50"/>
        <v>45717</v>
      </c>
      <c r="O812" t="str">
        <f t="shared" si="51"/>
        <v>pes</v>
      </c>
    </row>
    <row r="813" spans="1:15" hidden="1" x14ac:dyDescent="0.25">
      <c r="A813">
        <v>8327</v>
      </c>
      <c r="B813" s="11">
        <v>4021234567894</v>
      </c>
      <c r="C813" s="1" t="s">
        <v>79</v>
      </c>
      <c r="D813" s="1" t="s">
        <v>36</v>
      </c>
      <c r="E813" s="1" t="s">
        <v>69</v>
      </c>
      <c r="F813">
        <v>8</v>
      </c>
      <c r="G813">
        <v>1</v>
      </c>
      <c r="H813" s="1" t="s">
        <v>14</v>
      </c>
      <c r="I813" s="1" t="s">
        <v>15</v>
      </c>
      <c r="J813" s="12">
        <v>45721</v>
      </c>
      <c r="K813">
        <v>0</v>
      </c>
      <c r="L813" s="1">
        <f t="shared" si="48"/>
        <v>8</v>
      </c>
      <c r="M813" s="1" t="str">
        <f t="shared" si="49"/>
        <v/>
      </c>
      <c r="N813" s="2">
        <f t="shared" si="50"/>
        <v>45717</v>
      </c>
      <c r="O813" t="str">
        <f t="shared" si="51"/>
        <v>mačka</v>
      </c>
    </row>
    <row r="814" spans="1:15" x14ac:dyDescent="0.25">
      <c r="A814">
        <v>8328</v>
      </c>
      <c r="B814" s="11">
        <v>4061011223346</v>
      </c>
      <c r="C814" s="1" t="s">
        <v>25</v>
      </c>
      <c r="D814" s="1" t="s">
        <v>26</v>
      </c>
      <c r="E814" s="1" t="s">
        <v>27</v>
      </c>
      <c r="F814">
        <v>19.600000000000001</v>
      </c>
      <c r="G814">
        <v>1</v>
      </c>
      <c r="H814" s="1" t="s">
        <v>14</v>
      </c>
      <c r="I814" s="1" t="s">
        <v>15</v>
      </c>
      <c r="J814" s="12">
        <v>45721</v>
      </c>
      <c r="K814">
        <v>0</v>
      </c>
      <c r="L814" s="1">
        <f t="shared" si="48"/>
        <v>19.600000000000001</v>
      </c>
      <c r="M814" s="1" t="str">
        <f t="shared" si="49"/>
        <v/>
      </c>
      <c r="N814" s="2">
        <f t="shared" si="50"/>
        <v>45717</v>
      </c>
      <c r="O814" t="str">
        <f t="shared" si="51"/>
        <v>pes</v>
      </c>
    </row>
    <row r="815" spans="1:15" hidden="1" x14ac:dyDescent="0.25">
      <c r="A815">
        <v>8329</v>
      </c>
      <c r="B815" s="11">
        <v>4026677889902</v>
      </c>
      <c r="C815" s="1" t="s">
        <v>52</v>
      </c>
      <c r="D815" s="1" t="s">
        <v>53</v>
      </c>
      <c r="E815" s="1" t="s">
        <v>54</v>
      </c>
      <c r="F815">
        <v>7.6</v>
      </c>
      <c r="G815">
        <v>1</v>
      </c>
      <c r="H815" s="1" t="s">
        <v>14</v>
      </c>
      <c r="I815" s="1" t="s">
        <v>15</v>
      </c>
      <c r="J815" s="12">
        <v>45721</v>
      </c>
      <c r="K815">
        <v>0</v>
      </c>
      <c r="L815" s="1">
        <f t="shared" si="48"/>
        <v>7.6</v>
      </c>
      <c r="M815" s="1" t="str">
        <f t="shared" si="49"/>
        <v/>
      </c>
      <c r="N815" s="2">
        <f t="shared" si="50"/>
        <v>45717</v>
      </c>
      <c r="O815" t="str">
        <f t="shared" si="51"/>
        <v>iné</v>
      </c>
    </row>
    <row r="816" spans="1:15" x14ac:dyDescent="0.25">
      <c r="A816">
        <v>8330</v>
      </c>
      <c r="B816" s="11">
        <v>4028899001126</v>
      </c>
      <c r="C816" s="1" t="s">
        <v>16</v>
      </c>
      <c r="D816" s="1" t="s">
        <v>12</v>
      </c>
      <c r="E816" s="1" t="s">
        <v>17</v>
      </c>
      <c r="F816">
        <v>2.8</v>
      </c>
      <c r="G816">
        <v>3</v>
      </c>
      <c r="H816" s="1" t="s">
        <v>14</v>
      </c>
      <c r="I816" s="1" t="s">
        <v>15</v>
      </c>
      <c r="J816" s="12">
        <v>45721</v>
      </c>
      <c r="K816">
        <v>0</v>
      </c>
      <c r="L816" s="1">
        <f t="shared" si="48"/>
        <v>8.3999999999999986</v>
      </c>
      <c r="M816" s="1" t="str">
        <f t="shared" si="49"/>
        <v/>
      </c>
      <c r="N816" s="2">
        <f t="shared" si="50"/>
        <v>45717</v>
      </c>
      <c r="O816" t="str">
        <f t="shared" si="51"/>
        <v>pes</v>
      </c>
    </row>
    <row r="817" spans="1:15" x14ac:dyDescent="0.25">
      <c r="A817">
        <v>8331</v>
      </c>
      <c r="B817" s="11">
        <v>4013456789017</v>
      </c>
      <c r="C817" s="1" t="s">
        <v>11</v>
      </c>
      <c r="D817" s="1" t="s">
        <v>12</v>
      </c>
      <c r="E817" s="1" t="s">
        <v>13</v>
      </c>
      <c r="F817">
        <v>6</v>
      </c>
      <c r="G817">
        <v>1</v>
      </c>
      <c r="H817" s="1" t="s">
        <v>14</v>
      </c>
      <c r="I817" s="1" t="s">
        <v>15</v>
      </c>
      <c r="J817" s="12">
        <v>45721</v>
      </c>
      <c r="K817">
        <v>0</v>
      </c>
      <c r="L817" s="1">
        <f t="shared" si="48"/>
        <v>6</v>
      </c>
      <c r="M817" s="1" t="str">
        <f t="shared" si="49"/>
        <v/>
      </c>
      <c r="N817" s="2">
        <f t="shared" si="50"/>
        <v>45717</v>
      </c>
      <c r="O817" t="str">
        <f t="shared" si="51"/>
        <v>pes</v>
      </c>
    </row>
    <row r="818" spans="1:15" x14ac:dyDescent="0.25">
      <c r="A818">
        <v>8332</v>
      </c>
      <c r="B818" s="11">
        <v>4040123456795</v>
      </c>
      <c r="C818" s="1" t="s">
        <v>20</v>
      </c>
      <c r="D818" s="1" t="s">
        <v>21</v>
      </c>
      <c r="E818" s="1" t="s">
        <v>22</v>
      </c>
      <c r="F818">
        <v>8.8000000000000007</v>
      </c>
      <c r="G818">
        <v>1</v>
      </c>
      <c r="H818" s="1" t="s">
        <v>14</v>
      </c>
      <c r="I818" s="1" t="s">
        <v>15</v>
      </c>
      <c r="J818" s="12">
        <v>45721</v>
      </c>
      <c r="K818">
        <v>0</v>
      </c>
      <c r="L818" s="1">
        <f t="shared" si="48"/>
        <v>8.8000000000000007</v>
      </c>
      <c r="M818" s="1" t="str">
        <f t="shared" si="49"/>
        <v/>
      </c>
      <c r="N818" s="2">
        <f t="shared" si="50"/>
        <v>45717</v>
      </c>
      <c r="O818" t="str">
        <f t="shared" si="51"/>
        <v>pes</v>
      </c>
    </row>
    <row r="819" spans="1:15" hidden="1" x14ac:dyDescent="0.25">
      <c r="A819">
        <v>8333</v>
      </c>
      <c r="B819" s="11">
        <v>4010123456783</v>
      </c>
      <c r="C819" s="1" t="s">
        <v>35</v>
      </c>
      <c r="D819" s="1" t="s">
        <v>36</v>
      </c>
      <c r="E819" s="1" t="s">
        <v>37</v>
      </c>
      <c r="F819">
        <v>14</v>
      </c>
      <c r="G819">
        <v>2</v>
      </c>
      <c r="H819" s="1" t="s">
        <v>14</v>
      </c>
      <c r="I819" s="1" t="s">
        <v>15</v>
      </c>
      <c r="J819" s="12">
        <v>45721</v>
      </c>
      <c r="K819">
        <v>0</v>
      </c>
      <c r="L819" s="1">
        <f t="shared" si="48"/>
        <v>28</v>
      </c>
      <c r="M819" s="1" t="str">
        <f t="shared" si="49"/>
        <v/>
      </c>
      <c r="N819" s="2">
        <f t="shared" si="50"/>
        <v>45717</v>
      </c>
      <c r="O819" t="str">
        <f t="shared" si="51"/>
        <v>mačka</v>
      </c>
    </row>
    <row r="820" spans="1:15" hidden="1" x14ac:dyDescent="0.25">
      <c r="A820">
        <v>8334</v>
      </c>
      <c r="B820" s="11">
        <v>4056789012345</v>
      </c>
      <c r="C820" s="1" t="s">
        <v>47</v>
      </c>
      <c r="D820" s="1" t="s">
        <v>29</v>
      </c>
      <c r="E820" s="1" t="s">
        <v>37</v>
      </c>
      <c r="F820">
        <v>2.4</v>
      </c>
      <c r="G820">
        <v>2</v>
      </c>
      <c r="H820" s="1" t="s">
        <v>14</v>
      </c>
      <c r="I820" s="1" t="s">
        <v>15</v>
      </c>
      <c r="J820" s="12">
        <v>45721</v>
      </c>
      <c r="K820">
        <v>0</v>
      </c>
      <c r="L820" s="1">
        <f t="shared" si="48"/>
        <v>4.8</v>
      </c>
      <c r="M820" s="1" t="str">
        <f t="shared" si="49"/>
        <v/>
      </c>
      <c r="N820" s="2">
        <f t="shared" si="50"/>
        <v>45717</v>
      </c>
      <c r="O820" t="str">
        <f t="shared" si="51"/>
        <v>mačka</v>
      </c>
    </row>
    <row r="821" spans="1:15" x14ac:dyDescent="0.25">
      <c r="A821">
        <v>8335</v>
      </c>
      <c r="B821" s="11">
        <v>4063456789014</v>
      </c>
      <c r="C821" s="1" t="s">
        <v>60</v>
      </c>
      <c r="D821" s="1" t="s">
        <v>12</v>
      </c>
      <c r="E821" s="1" t="s">
        <v>61</v>
      </c>
      <c r="F821">
        <v>36</v>
      </c>
      <c r="G821">
        <v>1</v>
      </c>
      <c r="H821" s="1" t="s">
        <v>14</v>
      </c>
      <c r="I821" s="1" t="s">
        <v>15</v>
      </c>
      <c r="J821" s="12">
        <v>45721</v>
      </c>
      <c r="K821">
        <v>0</v>
      </c>
      <c r="L821" s="1">
        <f t="shared" si="48"/>
        <v>36</v>
      </c>
      <c r="M821" s="1" t="str">
        <f t="shared" si="49"/>
        <v/>
      </c>
      <c r="N821" s="2">
        <f t="shared" si="50"/>
        <v>45717</v>
      </c>
      <c r="O821" t="str">
        <f t="shared" si="51"/>
        <v>pes</v>
      </c>
    </row>
    <row r="822" spans="1:15" x14ac:dyDescent="0.25">
      <c r="A822">
        <v>8336</v>
      </c>
      <c r="B822" s="11">
        <v>4028899001126</v>
      </c>
      <c r="C822" s="1" t="s">
        <v>16</v>
      </c>
      <c r="D822" s="1" t="s">
        <v>12</v>
      </c>
      <c r="E822" s="1" t="s">
        <v>17</v>
      </c>
      <c r="F822">
        <v>2.8</v>
      </c>
      <c r="G822">
        <v>4</v>
      </c>
      <c r="H822" s="1" t="s">
        <v>14</v>
      </c>
      <c r="I822" s="1" t="s">
        <v>15</v>
      </c>
      <c r="J822" s="12">
        <v>45722</v>
      </c>
      <c r="K822">
        <v>0</v>
      </c>
      <c r="L822" s="1">
        <f t="shared" si="48"/>
        <v>11.2</v>
      </c>
      <c r="M822" s="1" t="str">
        <f t="shared" si="49"/>
        <v/>
      </c>
      <c r="N822" s="2">
        <f t="shared" si="50"/>
        <v>45717</v>
      </c>
      <c r="O822" t="str">
        <f t="shared" si="51"/>
        <v>pes</v>
      </c>
    </row>
    <row r="823" spans="1:15" x14ac:dyDescent="0.25">
      <c r="A823">
        <v>8337</v>
      </c>
      <c r="B823" s="11">
        <v>4013456789017</v>
      </c>
      <c r="C823" s="1" t="s">
        <v>11</v>
      </c>
      <c r="D823" s="1" t="s">
        <v>12</v>
      </c>
      <c r="E823" s="1" t="s">
        <v>13</v>
      </c>
      <c r="F823">
        <v>6</v>
      </c>
      <c r="G823">
        <v>1</v>
      </c>
      <c r="H823" s="1" t="s">
        <v>14</v>
      </c>
      <c r="I823" s="1" t="s">
        <v>15</v>
      </c>
      <c r="J823" s="12">
        <v>45722</v>
      </c>
      <c r="K823">
        <v>0</v>
      </c>
      <c r="L823" s="1">
        <f t="shared" si="48"/>
        <v>6</v>
      </c>
      <c r="M823" s="1" t="str">
        <f t="shared" si="49"/>
        <v/>
      </c>
      <c r="N823" s="2">
        <f t="shared" si="50"/>
        <v>45717</v>
      </c>
      <c r="O823" t="str">
        <f t="shared" si="51"/>
        <v>pes</v>
      </c>
    </row>
    <row r="824" spans="1:15" x14ac:dyDescent="0.25">
      <c r="A824">
        <v>8338</v>
      </c>
      <c r="B824" s="11">
        <v>4040123456795</v>
      </c>
      <c r="C824" s="1" t="s">
        <v>20</v>
      </c>
      <c r="D824" s="1" t="s">
        <v>21</v>
      </c>
      <c r="E824" s="1" t="s">
        <v>22</v>
      </c>
      <c r="F824">
        <v>8.8000000000000007</v>
      </c>
      <c r="G824">
        <v>1</v>
      </c>
      <c r="H824" s="1" t="s">
        <v>14</v>
      </c>
      <c r="I824" s="1" t="s">
        <v>15</v>
      </c>
      <c r="J824" s="12">
        <v>45722</v>
      </c>
      <c r="K824">
        <v>0</v>
      </c>
      <c r="L824" s="1">
        <f t="shared" si="48"/>
        <v>8.8000000000000007</v>
      </c>
      <c r="M824" s="1" t="str">
        <f t="shared" si="49"/>
        <v/>
      </c>
      <c r="N824" s="2">
        <f t="shared" si="50"/>
        <v>45717</v>
      </c>
      <c r="O824" t="str">
        <f t="shared" si="51"/>
        <v>pes</v>
      </c>
    </row>
    <row r="825" spans="1:15" hidden="1" x14ac:dyDescent="0.25">
      <c r="A825">
        <v>8339</v>
      </c>
      <c r="B825" s="11">
        <v>4010123456783</v>
      </c>
      <c r="C825" s="1" t="s">
        <v>35</v>
      </c>
      <c r="D825" s="1" t="s">
        <v>36</v>
      </c>
      <c r="E825" s="1" t="s">
        <v>37</v>
      </c>
      <c r="F825">
        <v>14</v>
      </c>
      <c r="G825">
        <v>1</v>
      </c>
      <c r="H825" s="1" t="s">
        <v>14</v>
      </c>
      <c r="I825" s="1" t="s">
        <v>15</v>
      </c>
      <c r="J825" s="12">
        <v>45722</v>
      </c>
      <c r="K825">
        <v>0</v>
      </c>
      <c r="L825" s="1">
        <f t="shared" si="48"/>
        <v>14</v>
      </c>
      <c r="M825" s="1" t="str">
        <f t="shared" si="49"/>
        <v/>
      </c>
      <c r="N825" s="2">
        <f t="shared" si="50"/>
        <v>45717</v>
      </c>
      <c r="O825" t="str">
        <f t="shared" si="51"/>
        <v>mačka</v>
      </c>
    </row>
    <row r="826" spans="1:15" x14ac:dyDescent="0.25">
      <c r="A826">
        <v>8340</v>
      </c>
      <c r="B826" s="11">
        <v>4063456789014</v>
      </c>
      <c r="C826" s="1" t="s">
        <v>60</v>
      </c>
      <c r="D826" s="1" t="s">
        <v>12</v>
      </c>
      <c r="E826" s="1" t="s">
        <v>61</v>
      </c>
      <c r="F826">
        <v>36</v>
      </c>
      <c r="G826">
        <v>1</v>
      </c>
      <c r="H826" s="1" t="s">
        <v>14</v>
      </c>
      <c r="I826" s="1" t="s">
        <v>15</v>
      </c>
      <c r="J826" s="12">
        <v>45722</v>
      </c>
      <c r="K826">
        <v>0</v>
      </c>
      <c r="L826" s="1">
        <f t="shared" si="48"/>
        <v>36</v>
      </c>
      <c r="M826" s="1" t="str">
        <f t="shared" si="49"/>
        <v/>
      </c>
      <c r="N826" s="2">
        <f t="shared" si="50"/>
        <v>45717</v>
      </c>
      <c r="O826" t="str">
        <f t="shared" si="51"/>
        <v>pes</v>
      </c>
    </row>
    <row r="827" spans="1:15" hidden="1" x14ac:dyDescent="0.25">
      <c r="A827">
        <v>8341</v>
      </c>
      <c r="B827" s="11">
        <v>4021234567894</v>
      </c>
      <c r="C827" s="1" t="s">
        <v>79</v>
      </c>
      <c r="D827" s="1" t="s">
        <v>36</v>
      </c>
      <c r="E827" s="1" t="s">
        <v>69</v>
      </c>
      <c r="F827">
        <v>8</v>
      </c>
      <c r="G827">
        <v>1</v>
      </c>
      <c r="H827" s="1" t="s">
        <v>14</v>
      </c>
      <c r="I827" s="1" t="s">
        <v>15</v>
      </c>
      <c r="J827" s="12">
        <v>45722</v>
      </c>
      <c r="K827">
        <v>0</v>
      </c>
      <c r="L827" s="1">
        <f t="shared" si="48"/>
        <v>8</v>
      </c>
      <c r="M827" s="1" t="str">
        <f t="shared" si="49"/>
        <v/>
      </c>
      <c r="N827" s="2">
        <f t="shared" si="50"/>
        <v>45717</v>
      </c>
      <c r="O827" t="str">
        <f t="shared" si="51"/>
        <v>mačka</v>
      </c>
    </row>
    <row r="828" spans="1:15" x14ac:dyDescent="0.25">
      <c r="A828">
        <v>8342</v>
      </c>
      <c r="B828" s="11">
        <v>4061011223346</v>
      </c>
      <c r="C828" s="1" t="s">
        <v>25</v>
      </c>
      <c r="D828" s="1" t="s">
        <v>26</v>
      </c>
      <c r="E828" s="1" t="s">
        <v>27</v>
      </c>
      <c r="F828">
        <v>19.600000000000001</v>
      </c>
      <c r="G828">
        <v>1</v>
      </c>
      <c r="H828" s="1" t="s">
        <v>14</v>
      </c>
      <c r="I828" s="1" t="s">
        <v>15</v>
      </c>
      <c r="J828" s="12">
        <v>45722</v>
      </c>
      <c r="K828">
        <v>0</v>
      </c>
      <c r="L828" s="1">
        <f t="shared" si="48"/>
        <v>19.600000000000001</v>
      </c>
      <c r="M828" s="1" t="str">
        <f t="shared" si="49"/>
        <v/>
      </c>
      <c r="N828" s="2">
        <f t="shared" si="50"/>
        <v>45717</v>
      </c>
      <c r="O828" t="str">
        <f t="shared" si="51"/>
        <v>pes</v>
      </c>
    </row>
    <row r="829" spans="1:15" hidden="1" x14ac:dyDescent="0.25">
      <c r="A829">
        <v>8343</v>
      </c>
      <c r="B829" s="11">
        <v>4026677889902</v>
      </c>
      <c r="C829" s="1" t="s">
        <v>52</v>
      </c>
      <c r="D829" s="1" t="s">
        <v>53</v>
      </c>
      <c r="E829" s="1" t="s">
        <v>54</v>
      </c>
      <c r="F829">
        <v>7.6</v>
      </c>
      <c r="G829">
        <v>1</v>
      </c>
      <c r="H829" s="1" t="s">
        <v>14</v>
      </c>
      <c r="I829" s="1" t="s">
        <v>15</v>
      </c>
      <c r="J829" s="12">
        <v>45722</v>
      </c>
      <c r="K829">
        <v>0</v>
      </c>
      <c r="L829" s="1">
        <f t="shared" si="48"/>
        <v>7.6</v>
      </c>
      <c r="M829" s="1" t="str">
        <f t="shared" si="49"/>
        <v/>
      </c>
      <c r="N829" s="2">
        <f t="shared" si="50"/>
        <v>45717</v>
      </c>
      <c r="O829" t="str">
        <f t="shared" si="51"/>
        <v>iné</v>
      </c>
    </row>
    <row r="830" spans="1:15" x14ac:dyDescent="0.25">
      <c r="A830">
        <v>8344</v>
      </c>
      <c r="B830" s="11">
        <v>4028899001126</v>
      </c>
      <c r="C830" s="1" t="s">
        <v>16</v>
      </c>
      <c r="D830" s="1" t="s">
        <v>12</v>
      </c>
      <c r="E830" s="1" t="s">
        <v>17</v>
      </c>
      <c r="F830">
        <v>2.8</v>
      </c>
      <c r="G830">
        <v>3</v>
      </c>
      <c r="H830" s="1" t="s">
        <v>14</v>
      </c>
      <c r="I830" s="1" t="s">
        <v>15</v>
      </c>
      <c r="J830" s="12">
        <v>45722</v>
      </c>
      <c r="K830">
        <v>0</v>
      </c>
      <c r="L830" s="1">
        <f t="shared" si="48"/>
        <v>8.3999999999999986</v>
      </c>
      <c r="M830" s="1" t="str">
        <f t="shared" si="49"/>
        <v/>
      </c>
      <c r="N830" s="2">
        <f t="shared" si="50"/>
        <v>45717</v>
      </c>
      <c r="O830" t="str">
        <f t="shared" si="51"/>
        <v>pes</v>
      </c>
    </row>
    <row r="831" spans="1:15" x14ac:dyDescent="0.25">
      <c r="A831">
        <v>8345</v>
      </c>
      <c r="B831" s="11">
        <v>4013456789017</v>
      </c>
      <c r="C831" s="1" t="s">
        <v>11</v>
      </c>
      <c r="D831" s="1" t="s">
        <v>12</v>
      </c>
      <c r="E831" s="1" t="s">
        <v>13</v>
      </c>
      <c r="F831">
        <v>6</v>
      </c>
      <c r="G831">
        <v>2</v>
      </c>
      <c r="H831" s="1" t="s">
        <v>14</v>
      </c>
      <c r="I831" s="1" t="s">
        <v>15</v>
      </c>
      <c r="J831" s="12">
        <v>45722</v>
      </c>
      <c r="K831">
        <v>0</v>
      </c>
      <c r="L831" s="1">
        <f t="shared" si="48"/>
        <v>12</v>
      </c>
      <c r="M831" s="1" t="str">
        <f t="shared" si="49"/>
        <v/>
      </c>
      <c r="N831" s="2">
        <f t="shared" si="50"/>
        <v>45717</v>
      </c>
      <c r="O831" t="str">
        <f t="shared" si="51"/>
        <v>pes</v>
      </c>
    </row>
    <row r="832" spans="1:15" x14ac:dyDescent="0.25">
      <c r="A832">
        <v>8346</v>
      </c>
      <c r="B832" s="11">
        <v>4040123456795</v>
      </c>
      <c r="C832" s="1" t="s">
        <v>20</v>
      </c>
      <c r="D832" s="1" t="s">
        <v>21</v>
      </c>
      <c r="E832" s="1" t="s">
        <v>22</v>
      </c>
      <c r="F832">
        <v>8.8000000000000007</v>
      </c>
      <c r="G832">
        <v>1</v>
      </c>
      <c r="H832" s="1" t="s">
        <v>14</v>
      </c>
      <c r="I832" s="1" t="s">
        <v>15</v>
      </c>
      <c r="J832" s="12">
        <v>45722</v>
      </c>
      <c r="K832">
        <v>0</v>
      </c>
      <c r="L832" s="1">
        <f t="shared" si="48"/>
        <v>8.8000000000000007</v>
      </c>
      <c r="M832" s="1" t="str">
        <f t="shared" si="49"/>
        <v/>
      </c>
      <c r="N832" s="2">
        <f t="shared" si="50"/>
        <v>45717</v>
      </c>
      <c r="O832" t="str">
        <f t="shared" si="51"/>
        <v>pes</v>
      </c>
    </row>
    <row r="833" spans="1:15" hidden="1" x14ac:dyDescent="0.25">
      <c r="A833">
        <v>8347</v>
      </c>
      <c r="B833" s="11">
        <v>4010123456783</v>
      </c>
      <c r="C833" s="1" t="s">
        <v>35</v>
      </c>
      <c r="D833" s="1" t="s">
        <v>36</v>
      </c>
      <c r="E833" s="1" t="s">
        <v>37</v>
      </c>
      <c r="F833">
        <v>14</v>
      </c>
      <c r="G833">
        <v>1</v>
      </c>
      <c r="H833" s="1" t="s">
        <v>14</v>
      </c>
      <c r="I833" s="1" t="s">
        <v>15</v>
      </c>
      <c r="J833" s="12">
        <v>45722</v>
      </c>
      <c r="K833">
        <v>0</v>
      </c>
      <c r="L833" s="1">
        <f t="shared" si="48"/>
        <v>14</v>
      </c>
      <c r="M833" s="1" t="str">
        <f t="shared" si="49"/>
        <v/>
      </c>
      <c r="N833" s="2">
        <f t="shared" si="50"/>
        <v>45717</v>
      </c>
      <c r="O833" t="str">
        <f t="shared" si="51"/>
        <v>mačka</v>
      </c>
    </row>
    <row r="834" spans="1:15" x14ac:dyDescent="0.25">
      <c r="A834">
        <v>8348</v>
      </c>
      <c r="B834" s="11">
        <v>4063456789014</v>
      </c>
      <c r="C834" s="1" t="s">
        <v>60</v>
      </c>
      <c r="D834" s="1" t="s">
        <v>12</v>
      </c>
      <c r="E834" s="1" t="s">
        <v>61</v>
      </c>
      <c r="F834">
        <v>36</v>
      </c>
      <c r="G834">
        <v>1</v>
      </c>
      <c r="H834" s="1" t="s">
        <v>14</v>
      </c>
      <c r="I834" s="1" t="s">
        <v>15</v>
      </c>
      <c r="J834" s="12">
        <v>45722</v>
      </c>
      <c r="K834">
        <v>0</v>
      </c>
      <c r="L834" s="1">
        <f t="shared" ref="L834:L897" si="52">F834*G834</f>
        <v>36</v>
      </c>
      <c r="M834" s="1" t="str">
        <f t="shared" ref="M834:M897" si="53">IF(H834="NULL", "",VALUE(H834))</f>
        <v/>
      </c>
      <c r="N834" s="2">
        <f t="shared" ref="N834:N897" si="54">DATE(YEAR(J834),MONTH(J834),1)</f>
        <v>45717</v>
      </c>
      <c r="O834" t="str">
        <f t="shared" ref="O834:O897" si="55">IF(ISNUMBER(SEARCH("Mačky",D834)),"mačka",IF(ISNUMBER(SEARCH("Psy",D834)),"pes","iné"))</f>
        <v>pes</v>
      </c>
    </row>
    <row r="835" spans="1:15" x14ac:dyDescent="0.25">
      <c r="A835">
        <v>8349</v>
      </c>
      <c r="B835" s="11">
        <v>4028899001126</v>
      </c>
      <c r="C835" s="1" t="s">
        <v>16</v>
      </c>
      <c r="D835" s="1" t="s">
        <v>12</v>
      </c>
      <c r="E835" s="1" t="s">
        <v>17</v>
      </c>
      <c r="F835">
        <v>2.8</v>
      </c>
      <c r="G835">
        <v>4</v>
      </c>
      <c r="H835" s="1" t="s">
        <v>23</v>
      </c>
      <c r="I835" s="1" t="s">
        <v>180</v>
      </c>
      <c r="J835" s="12">
        <v>45723</v>
      </c>
      <c r="K835">
        <v>0</v>
      </c>
      <c r="L835" s="1">
        <f t="shared" si="52"/>
        <v>11.2</v>
      </c>
      <c r="M835" s="1">
        <f t="shared" si="53"/>
        <v>5</v>
      </c>
      <c r="N835" s="2">
        <f t="shared" si="54"/>
        <v>45717</v>
      </c>
      <c r="O835" t="str">
        <f t="shared" si="55"/>
        <v>pes</v>
      </c>
    </row>
    <row r="836" spans="1:15" x14ac:dyDescent="0.25">
      <c r="A836">
        <v>8350</v>
      </c>
      <c r="B836" s="11">
        <v>4013456789017</v>
      </c>
      <c r="C836" s="1" t="s">
        <v>11</v>
      </c>
      <c r="D836" s="1" t="s">
        <v>12</v>
      </c>
      <c r="E836" s="1" t="s">
        <v>13</v>
      </c>
      <c r="F836">
        <v>6</v>
      </c>
      <c r="G836">
        <v>1</v>
      </c>
      <c r="H836" s="1" t="s">
        <v>14</v>
      </c>
      <c r="I836" s="1" t="s">
        <v>15</v>
      </c>
      <c r="J836" s="12">
        <v>45723</v>
      </c>
      <c r="K836">
        <v>0</v>
      </c>
      <c r="L836" s="1">
        <f t="shared" si="52"/>
        <v>6</v>
      </c>
      <c r="M836" s="1" t="str">
        <f t="shared" si="53"/>
        <v/>
      </c>
      <c r="N836" s="2">
        <f t="shared" si="54"/>
        <v>45717</v>
      </c>
      <c r="O836" t="str">
        <f t="shared" si="55"/>
        <v>pes</v>
      </c>
    </row>
    <row r="837" spans="1:15" x14ac:dyDescent="0.25">
      <c r="A837">
        <v>8351</v>
      </c>
      <c r="B837" s="11">
        <v>4040123456795</v>
      </c>
      <c r="C837" s="1" t="s">
        <v>20</v>
      </c>
      <c r="D837" s="1" t="s">
        <v>21</v>
      </c>
      <c r="E837" s="1" t="s">
        <v>22</v>
      </c>
      <c r="F837">
        <v>8.8000000000000007</v>
      </c>
      <c r="G837">
        <v>1</v>
      </c>
      <c r="H837" s="1" t="s">
        <v>14</v>
      </c>
      <c r="I837" s="1" t="s">
        <v>15</v>
      </c>
      <c r="J837" s="12">
        <v>45723</v>
      </c>
      <c r="K837">
        <v>0</v>
      </c>
      <c r="L837" s="1">
        <f t="shared" si="52"/>
        <v>8.8000000000000007</v>
      </c>
      <c r="M837" s="1" t="str">
        <f t="shared" si="53"/>
        <v/>
      </c>
      <c r="N837" s="2">
        <f t="shared" si="54"/>
        <v>45717</v>
      </c>
      <c r="O837" t="str">
        <f t="shared" si="55"/>
        <v>pes</v>
      </c>
    </row>
    <row r="838" spans="1:15" hidden="1" x14ac:dyDescent="0.25">
      <c r="A838">
        <v>8352</v>
      </c>
      <c r="B838" s="11">
        <v>4010123456783</v>
      </c>
      <c r="C838" s="1" t="s">
        <v>35</v>
      </c>
      <c r="D838" s="1" t="s">
        <v>36</v>
      </c>
      <c r="E838" s="1" t="s">
        <v>37</v>
      </c>
      <c r="F838">
        <v>14</v>
      </c>
      <c r="G838">
        <v>1</v>
      </c>
      <c r="H838" s="1" t="s">
        <v>14</v>
      </c>
      <c r="I838" s="1" t="s">
        <v>15</v>
      </c>
      <c r="J838" s="12">
        <v>45723</v>
      </c>
      <c r="K838">
        <v>0</v>
      </c>
      <c r="L838" s="1">
        <f t="shared" si="52"/>
        <v>14</v>
      </c>
      <c r="M838" s="1" t="str">
        <f t="shared" si="53"/>
        <v/>
      </c>
      <c r="N838" s="2">
        <f t="shared" si="54"/>
        <v>45717</v>
      </c>
      <c r="O838" t="str">
        <f t="shared" si="55"/>
        <v>mačka</v>
      </c>
    </row>
    <row r="839" spans="1:15" hidden="1" x14ac:dyDescent="0.25">
      <c r="A839">
        <v>8353</v>
      </c>
      <c r="B839" s="11">
        <v>4056789012345</v>
      </c>
      <c r="C839" s="1" t="s">
        <v>47</v>
      </c>
      <c r="D839" s="1" t="s">
        <v>29</v>
      </c>
      <c r="E839" s="1" t="s">
        <v>37</v>
      </c>
      <c r="F839">
        <v>2.4</v>
      </c>
      <c r="G839">
        <v>2</v>
      </c>
      <c r="H839" s="1" t="s">
        <v>14</v>
      </c>
      <c r="I839" s="1" t="s">
        <v>15</v>
      </c>
      <c r="J839" s="12">
        <v>45723</v>
      </c>
      <c r="K839">
        <v>0</v>
      </c>
      <c r="L839" s="1">
        <f t="shared" si="52"/>
        <v>4.8</v>
      </c>
      <c r="M839" s="1" t="str">
        <f t="shared" si="53"/>
        <v/>
      </c>
      <c r="N839" s="2">
        <f t="shared" si="54"/>
        <v>45717</v>
      </c>
      <c r="O839" t="str">
        <f t="shared" si="55"/>
        <v>mačka</v>
      </c>
    </row>
    <row r="840" spans="1:15" x14ac:dyDescent="0.25">
      <c r="A840">
        <v>8354</v>
      </c>
      <c r="B840" s="11">
        <v>4063456789014</v>
      </c>
      <c r="C840" s="1" t="s">
        <v>60</v>
      </c>
      <c r="D840" s="1" t="s">
        <v>12</v>
      </c>
      <c r="E840" s="1" t="s">
        <v>61</v>
      </c>
      <c r="F840">
        <v>36</v>
      </c>
      <c r="G840">
        <v>1</v>
      </c>
      <c r="H840" s="1" t="s">
        <v>14</v>
      </c>
      <c r="I840" s="1" t="s">
        <v>15</v>
      </c>
      <c r="J840" s="12">
        <v>45723</v>
      </c>
      <c r="K840">
        <v>0</v>
      </c>
      <c r="L840" s="1">
        <f t="shared" si="52"/>
        <v>36</v>
      </c>
      <c r="M840" s="1" t="str">
        <f t="shared" si="53"/>
        <v/>
      </c>
      <c r="N840" s="2">
        <f t="shared" si="54"/>
        <v>45717</v>
      </c>
      <c r="O840" t="str">
        <f t="shared" si="55"/>
        <v>pes</v>
      </c>
    </row>
    <row r="841" spans="1:15" hidden="1" x14ac:dyDescent="0.25">
      <c r="A841">
        <v>8355</v>
      </c>
      <c r="B841" s="11">
        <v>4021234567894</v>
      </c>
      <c r="C841" s="1" t="s">
        <v>79</v>
      </c>
      <c r="D841" s="1" t="s">
        <v>36</v>
      </c>
      <c r="E841" s="1" t="s">
        <v>69</v>
      </c>
      <c r="F841">
        <v>8</v>
      </c>
      <c r="G841">
        <v>1</v>
      </c>
      <c r="H841" s="1" t="s">
        <v>14</v>
      </c>
      <c r="I841" s="1" t="s">
        <v>15</v>
      </c>
      <c r="J841" s="12">
        <v>45723</v>
      </c>
      <c r="K841">
        <v>0</v>
      </c>
      <c r="L841" s="1">
        <f t="shared" si="52"/>
        <v>8</v>
      </c>
      <c r="M841" s="1" t="str">
        <f t="shared" si="53"/>
        <v/>
      </c>
      <c r="N841" s="2">
        <f t="shared" si="54"/>
        <v>45717</v>
      </c>
      <c r="O841" t="str">
        <f t="shared" si="55"/>
        <v>mačka</v>
      </c>
    </row>
    <row r="842" spans="1:15" x14ac:dyDescent="0.25">
      <c r="A842">
        <v>8356</v>
      </c>
      <c r="B842" s="11">
        <v>4061011223346</v>
      </c>
      <c r="C842" s="1" t="s">
        <v>25</v>
      </c>
      <c r="D842" s="1" t="s">
        <v>26</v>
      </c>
      <c r="E842" s="1" t="s">
        <v>27</v>
      </c>
      <c r="F842">
        <v>19.600000000000001</v>
      </c>
      <c r="G842">
        <v>1</v>
      </c>
      <c r="H842" s="1" t="s">
        <v>14</v>
      </c>
      <c r="I842" s="1" t="s">
        <v>15</v>
      </c>
      <c r="J842" s="12">
        <v>45723</v>
      </c>
      <c r="K842">
        <v>0</v>
      </c>
      <c r="L842" s="1">
        <f t="shared" si="52"/>
        <v>19.600000000000001</v>
      </c>
      <c r="M842" s="1" t="str">
        <f t="shared" si="53"/>
        <v/>
      </c>
      <c r="N842" s="2">
        <f t="shared" si="54"/>
        <v>45717</v>
      </c>
      <c r="O842" t="str">
        <f t="shared" si="55"/>
        <v>pes</v>
      </c>
    </row>
    <row r="843" spans="1:15" hidden="1" x14ac:dyDescent="0.25">
      <c r="A843">
        <v>8357</v>
      </c>
      <c r="B843" s="11">
        <v>4026677889902</v>
      </c>
      <c r="C843" s="1" t="s">
        <v>52</v>
      </c>
      <c r="D843" s="1" t="s">
        <v>53</v>
      </c>
      <c r="E843" s="1" t="s">
        <v>54</v>
      </c>
      <c r="F843">
        <v>7.6</v>
      </c>
      <c r="G843">
        <v>1</v>
      </c>
      <c r="H843" s="1" t="s">
        <v>14</v>
      </c>
      <c r="I843" s="1" t="s">
        <v>15</v>
      </c>
      <c r="J843" s="12">
        <v>45723</v>
      </c>
      <c r="K843">
        <v>0</v>
      </c>
      <c r="L843" s="1">
        <f t="shared" si="52"/>
        <v>7.6</v>
      </c>
      <c r="M843" s="1" t="str">
        <f t="shared" si="53"/>
        <v/>
      </c>
      <c r="N843" s="2">
        <f t="shared" si="54"/>
        <v>45717</v>
      </c>
      <c r="O843" t="str">
        <f t="shared" si="55"/>
        <v>iné</v>
      </c>
    </row>
    <row r="844" spans="1:15" x14ac:dyDescent="0.25">
      <c r="A844">
        <v>8358</v>
      </c>
      <c r="B844" s="11">
        <v>4028899001126</v>
      </c>
      <c r="C844" s="1" t="s">
        <v>16</v>
      </c>
      <c r="D844" s="1" t="s">
        <v>12</v>
      </c>
      <c r="E844" s="1" t="s">
        <v>17</v>
      </c>
      <c r="F844">
        <v>2.8</v>
      </c>
      <c r="G844">
        <v>3</v>
      </c>
      <c r="H844" s="1" t="s">
        <v>14</v>
      </c>
      <c r="I844" s="1" t="s">
        <v>15</v>
      </c>
      <c r="J844" s="12">
        <v>45723</v>
      </c>
      <c r="K844">
        <v>0</v>
      </c>
      <c r="L844" s="1">
        <f t="shared" si="52"/>
        <v>8.3999999999999986</v>
      </c>
      <c r="M844" s="1" t="str">
        <f t="shared" si="53"/>
        <v/>
      </c>
      <c r="N844" s="2">
        <f t="shared" si="54"/>
        <v>45717</v>
      </c>
      <c r="O844" t="str">
        <f t="shared" si="55"/>
        <v>pes</v>
      </c>
    </row>
    <row r="845" spans="1:15" x14ac:dyDescent="0.25">
      <c r="A845">
        <v>8359</v>
      </c>
      <c r="B845" s="11">
        <v>4013456789017</v>
      </c>
      <c r="C845" s="1" t="s">
        <v>11</v>
      </c>
      <c r="D845" s="1" t="s">
        <v>12</v>
      </c>
      <c r="E845" s="1" t="s">
        <v>13</v>
      </c>
      <c r="F845">
        <v>6</v>
      </c>
      <c r="G845">
        <v>2</v>
      </c>
      <c r="H845" s="1" t="s">
        <v>14</v>
      </c>
      <c r="I845" s="1" t="s">
        <v>15</v>
      </c>
      <c r="J845" s="12">
        <v>45723</v>
      </c>
      <c r="K845">
        <v>0</v>
      </c>
      <c r="L845" s="1">
        <f t="shared" si="52"/>
        <v>12</v>
      </c>
      <c r="M845" s="1" t="str">
        <f t="shared" si="53"/>
        <v/>
      </c>
      <c r="N845" s="2">
        <f t="shared" si="54"/>
        <v>45717</v>
      </c>
      <c r="O845" t="str">
        <f t="shared" si="55"/>
        <v>pes</v>
      </c>
    </row>
    <row r="846" spans="1:15" x14ac:dyDescent="0.25">
      <c r="A846">
        <v>8360</v>
      </c>
      <c r="B846" s="11">
        <v>4040123456795</v>
      </c>
      <c r="C846" s="1" t="s">
        <v>20</v>
      </c>
      <c r="D846" s="1" t="s">
        <v>21</v>
      </c>
      <c r="E846" s="1" t="s">
        <v>22</v>
      </c>
      <c r="F846">
        <v>8.8000000000000007</v>
      </c>
      <c r="G846">
        <v>1</v>
      </c>
      <c r="H846" s="1" t="s">
        <v>14</v>
      </c>
      <c r="I846" s="1" t="s">
        <v>15</v>
      </c>
      <c r="J846" s="12">
        <v>45723</v>
      </c>
      <c r="K846">
        <v>0</v>
      </c>
      <c r="L846" s="1">
        <f t="shared" si="52"/>
        <v>8.8000000000000007</v>
      </c>
      <c r="M846" s="1" t="str">
        <f t="shared" si="53"/>
        <v/>
      </c>
      <c r="N846" s="2">
        <f t="shared" si="54"/>
        <v>45717</v>
      </c>
      <c r="O846" t="str">
        <f t="shared" si="55"/>
        <v>pes</v>
      </c>
    </row>
    <row r="847" spans="1:15" hidden="1" x14ac:dyDescent="0.25">
      <c r="A847">
        <v>8361</v>
      </c>
      <c r="B847" s="11">
        <v>4010123456783</v>
      </c>
      <c r="C847" s="1" t="s">
        <v>35</v>
      </c>
      <c r="D847" s="1" t="s">
        <v>36</v>
      </c>
      <c r="E847" s="1" t="s">
        <v>37</v>
      </c>
      <c r="F847">
        <v>14</v>
      </c>
      <c r="G847">
        <v>1</v>
      </c>
      <c r="H847" s="1" t="s">
        <v>14</v>
      </c>
      <c r="I847" s="1" t="s">
        <v>15</v>
      </c>
      <c r="J847" s="12">
        <v>45723</v>
      </c>
      <c r="K847">
        <v>0</v>
      </c>
      <c r="L847" s="1">
        <f t="shared" si="52"/>
        <v>14</v>
      </c>
      <c r="M847" s="1" t="str">
        <f t="shared" si="53"/>
        <v/>
      </c>
      <c r="N847" s="2">
        <f t="shared" si="54"/>
        <v>45717</v>
      </c>
      <c r="O847" t="str">
        <f t="shared" si="55"/>
        <v>mačka</v>
      </c>
    </row>
    <row r="848" spans="1:15" x14ac:dyDescent="0.25">
      <c r="A848">
        <v>8362</v>
      </c>
      <c r="B848" s="11">
        <v>4063456789014</v>
      </c>
      <c r="C848" s="1" t="s">
        <v>60</v>
      </c>
      <c r="D848" s="1" t="s">
        <v>12</v>
      </c>
      <c r="E848" s="1" t="s">
        <v>61</v>
      </c>
      <c r="F848">
        <v>36</v>
      </c>
      <c r="G848">
        <v>1</v>
      </c>
      <c r="H848" s="1" t="s">
        <v>14</v>
      </c>
      <c r="I848" s="1" t="s">
        <v>15</v>
      </c>
      <c r="J848" s="12">
        <v>45723</v>
      </c>
      <c r="K848">
        <v>0</v>
      </c>
      <c r="L848" s="1">
        <f t="shared" si="52"/>
        <v>36</v>
      </c>
      <c r="M848" s="1" t="str">
        <f t="shared" si="53"/>
        <v/>
      </c>
      <c r="N848" s="2">
        <f t="shared" si="54"/>
        <v>45717</v>
      </c>
      <c r="O848" t="str">
        <f t="shared" si="55"/>
        <v>pes</v>
      </c>
    </row>
    <row r="849" spans="1:15" x14ac:dyDescent="0.25">
      <c r="A849">
        <v>8363</v>
      </c>
      <c r="B849" s="11">
        <v>4028899001126</v>
      </c>
      <c r="C849" s="1" t="s">
        <v>16</v>
      </c>
      <c r="D849" s="1" t="s">
        <v>12</v>
      </c>
      <c r="E849" s="1" t="s">
        <v>17</v>
      </c>
      <c r="F849">
        <v>2.8</v>
      </c>
      <c r="G849">
        <v>5</v>
      </c>
      <c r="H849" s="1" t="s">
        <v>18</v>
      </c>
      <c r="I849" s="1" t="s">
        <v>181</v>
      </c>
      <c r="J849" s="12">
        <v>45723</v>
      </c>
      <c r="K849">
        <v>0</v>
      </c>
      <c r="L849" s="1">
        <f t="shared" si="52"/>
        <v>14</v>
      </c>
      <c r="M849" s="1">
        <f t="shared" si="53"/>
        <v>4</v>
      </c>
      <c r="N849" s="2">
        <f t="shared" si="54"/>
        <v>45717</v>
      </c>
      <c r="O849" t="str">
        <f t="shared" si="55"/>
        <v>pes</v>
      </c>
    </row>
    <row r="850" spans="1:15" x14ac:dyDescent="0.25">
      <c r="A850">
        <v>8364</v>
      </c>
      <c r="B850" s="11">
        <v>4013456789017</v>
      </c>
      <c r="C850" s="1" t="s">
        <v>11</v>
      </c>
      <c r="D850" s="1" t="s">
        <v>12</v>
      </c>
      <c r="E850" s="1" t="s">
        <v>13</v>
      </c>
      <c r="F850">
        <v>6</v>
      </c>
      <c r="G850">
        <v>1</v>
      </c>
      <c r="H850" s="1" t="s">
        <v>14</v>
      </c>
      <c r="I850" s="1" t="s">
        <v>15</v>
      </c>
      <c r="J850" s="12">
        <v>45723</v>
      </c>
      <c r="K850">
        <v>0</v>
      </c>
      <c r="L850" s="1">
        <f t="shared" si="52"/>
        <v>6</v>
      </c>
      <c r="M850" s="1" t="str">
        <f t="shared" si="53"/>
        <v/>
      </c>
      <c r="N850" s="2">
        <f t="shared" si="54"/>
        <v>45717</v>
      </c>
      <c r="O850" t="str">
        <f t="shared" si="55"/>
        <v>pes</v>
      </c>
    </row>
    <row r="851" spans="1:15" x14ac:dyDescent="0.25">
      <c r="A851">
        <v>8365</v>
      </c>
      <c r="B851" s="11">
        <v>4040123456795</v>
      </c>
      <c r="C851" s="1" t="s">
        <v>20</v>
      </c>
      <c r="D851" s="1" t="s">
        <v>21</v>
      </c>
      <c r="E851" s="1" t="s">
        <v>22</v>
      </c>
      <c r="F851">
        <v>8.8000000000000007</v>
      </c>
      <c r="G851">
        <v>1</v>
      </c>
      <c r="H851" s="1" t="s">
        <v>14</v>
      </c>
      <c r="I851" s="1" t="s">
        <v>15</v>
      </c>
      <c r="J851" s="12">
        <v>45723</v>
      </c>
      <c r="K851">
        <v>0</v>
      </c>
      <c r="L851" s="1">
        <f t="shared" si="52"/>
        <v>8.8000000000000007</v>
      </c>
      <c r="M851" s="1" t="str">
        <f t="shared" si="53"/>
        <v/>
      </c>
      <c r="N851" s="2">
        <f t="shared" si="54"/>
        <v>45717</v>
      </c>
      <c r="O851" t="str">
        <f t="shared" si="55"/>
        <v>pes</v>
      </c>
    </row>
    <row r="852" spans="1:15" hidden="1" x14ac:dyDescent="0.25">
      <c r="A852">
        <v>8366</v>
      </c>
      <c r="B852" s="11">
        <v>4010123456783</v>
      </c>
      <c r="C852" s="1" t="s">
        <v>35</v>
      </c>
      <c r="D852" s="1" t="s">
        <v>36</v>
      </c>
      <c r="E852" s="1" t="s">
        <v>37</v>
      </c>
      <c r="F852">
        <v>14</v>
      </c>
      <c r="G852">
        <v>1</v>
      </c>
      <c r="H852" s="1" t="s">
        <v>14</v>
      </c>
      <c r="I852" s="1" t="s">
        <v>15</v>
      </c>
      <c r="J852" s="12">
        <v>45723</v>
      </c>
      <c r="K852">
        <v>0</v>
      </c>
      <c r="L852" s="1">
        <f t="shared" si="52"/>
        <v>14</v>
      </c>
      <c r="M852" s="1" t="str">
        <f t="shared" si="53"/>
        <v/>
      </c>
      <c r="N852" s="2">
        <f t="shared" si="54"/>
        <v>45717</v>
      </c>
      <c r="O852" t="str">
        <f t="shared" si="55"/>
        <v>mačka</v>
      </c>
    </row>
    <row r="853" spans="1:15" hidden="1" x14ac:dyDescent="0.25">
      <c r="A853">
        <v>8367</v>
      </c>
      <c r="B853" s="11">
        <v>4056789012345</v>
      </c>
      <c r="C853" s="1" t="s">
        <v>47</v>
      </c>
      <c r="D853" s="1" t="s">
        <v>29</v>
      </c>
      <c r="E853" s="1" t="s">
        <v>37</v>
      </c>
      <c r="F853">
        <v>2.4</v>
      </c>
      <c r="G853">
        <v>2</v>
      </c>
      <c r="H853" s="1" t="s">
        <v>14</v>
      </c>
      <c r="I853" s="1" t="s">
        <v>15</v>
      </c>
      <c r="J853" s="12">
        <v>45723</v>
      </c>
      <c r="K853">
        <v>0</v>
      </c>
      <c r="L853" s="1">
        <f t="shared" si="52"/>
        <v>4.8</v>
      </c>
      <c r="M853" s="1" t="str">
        <f t="shared" si="53"/>
        <v/>
      </c>
      <c r="N853" s="2">
        <f t="shared" si="54"/>
        <v>45717</v>
      </c>
      <c r="O853" t="str">
        <f t="shared" si="55"/>
        <v>mačka</v>
      </c>
    </row>
    <row r="854" spans="1:15" x14ac:dyDescent="0.25">
      <c r="A854">
        <v>8368</v>
      </c>
      <c r="B854" s="11">
        <v>4063456789014</v>
      </c>
      <c r="C854" s="1" t="s">
        <v>60</v>
      </c>
      <c r="D854" s="1" t="s">
        <v>12</v>
      </c>
      <c r="E854" s="1" t="s">
        <v>61</v>
      </c>
      <c r="F854">
        <v>36</v>
      </c>
      <c r="G854">
        <v>1</v>
      </c>
      <c r="H854" s="1" t="s">
        <v>14</v>
      </c>
      <c r="I854" s="1" t="s">
        <v>15</v>
      </c>
      <c r="J854" s="12">
        <v>45723</v>
      </c>
      <c r="K854">
        <v>0</v>
      </c>
      <c r="L854" s="1">
        <f t="shared" si="52"/>
        <v>36</v>
      </c>
      <c r="M854" s="1" t="str">
        <f t="shared" si="53"/>
        <v/>
      </c>
      <c r="N854" s="2">
        <f t="shared" si="54"/>
        <v>45717</v>
      </c>
      <c r="O854" t="str">
        <f t="shared" si="55"/>
        <v>pes</v>
      </c>
    </row>
    <row r="855" spans="1:15" hidden="1" x14ac:dyDescent="0.25">
      <c r="A855">
        <v>8369</v>
      </c>
      <c r="B855" s="11">
        <v>4021234567894</v>
      </c>
      <c r="C855" s="1" t="s">
        <v>79</v>
      </c>
      <c r="D855" s="1" t="s">
        <v>36</v>
      </c>
      <c r="E855" s="1" t="s">
        <v>69</v>
      </c>
      <c r="F855">
        <v>8</v>
      </c>
      <c r="G855">
        <v>1</v>
      </c>
      <c r="H855" s="1" t="s">
        <v>14</v>
      </c>
      <c r="I855" s="1" t="s">
        <v>15</v>
      </c>
      <c r="J855" s="12">
        <v>45723</v>
      </c>
      <c r="K855">
        <v>0</v>
      </c>
      <c r="L855" s="1">
        <f t="shared" si="52"/>
        <v>8</v>
      </c>
      <c r="M855" s="1" t="str">
        <f t="shared" si="53"/>
        <v/>
      </c>
      <c r="N855" s="2">
        <f t="shared" si="54"/>
        <v>45717</v>
      </c>
      <c r="O855" t="str">
        <f t="shared" si="55"/>
        <v>mačka</v>
      </c>
    </row>
    <row r="856" spans="1:15" x14ac:dyDescent="0.25">
      <c r="A856">
        <v>8370</v>
      </c>
      <c r="B856" s="11">
        <v>4061011223346</v>
      </c>
      <c r="C856" s="1" t="s">
        <v>25</v>
      </c>
      <c r="D856" s="1" t="s">
        <v>26</v>
      </c>
      <c r="E856" s="1" t="s">
        <v>27</v>
      </c>
      <c r="F856">
        <v>19.600000000000001</v>
      </c>
      <c r="G856">
        <v>1</v>
      </c>
      <c r="H856" s="1" t="s">
        <v>14</v>
      </c>
      <c r="I856" s="1" t="s">
        <v>15</v>
      </c>
      <c r="J856" s="12">
        <v>45723</v>
      </c>
      <c r="K856">
        <v>0</v>
      </c>
      <c r="L856" s="1">
        <f t="shared" si="52"/>
        <v>19.600000000000001</v>
      </c>
      <c r="M856" s="1" t="str">
        <f t="shared" si="53"/>
        <v/>
      </c>
      <c r="N856" s="2">
        <f t="shared" si="54"/>
        <v>45717</v>
      </c>
      <c r="O856" t="str">
        <f t="shared" si="55"/>
        <v>pes</v>
      </c>
    </row>
    <row r="857" spans="1:15" hidden="1" x14ac:dyDescent="0.25">
      <c r="A857">
        <v>8371</v>
      </c>
      <c r="B857" s="11">
        <v>4026677889902</v>
      </c>
      <c r="C857" s="1" t="s">
        <v>52</v>
      </c>
      <c r="D857" s="1" t="s">
        <v>53</v>
      </c>
      <c r="E857" s="1" t="s">
        <v>54</v>
      </c>
      <c r="F857">
        <v>7.6</v>
      </c>
      <c r="G857">
        <v>1</v>
      </c>
      <c r="H857" s="1" t="s">
        <v>14</v>
      </c>
      <c r="I857" s="1" t="s">
        <v>15</v>
      </c>
      <c r="J857" s="12">
        <v>45723</v>
      </c>
      <c r="K857">
        <v>0</v>
      </c>
      <c r="L857" s="1">
        <f t="shared" si="52"/>
        <v>7.6</v>
      </c>
      <c r="M857" s="1" t="str">
        <f t="shared" si="53"/>
        <v/>
      </c>
      <c r="N857" s="2">
        <f t="shared" si="54"/>
        <v>45717</v>
      </c>
      <c r="O857" t="str">
        <f t="shared" si="55"/>
        <v>iné</v>
      </c>
    </row>
    <row r="858" spans="1:15" x14ac:dyDescent="0.25">
      <c r="A858">
        <v>8372</v>
      </c>
      <c r="B858" s="11">
        <v>4028899001126</v>
      </c>
      <c r="C858" s="1" t="s">
        <v>16</v>
      </c>
      <c r="D858" s="1" t="s">
        <v>12</v>
      </c>
      <c r="E858" s="1" t="s">
        <v>17</v>
      </c>
      <c r="F858">
        <v>2.8</v>
      </c>
      <c r="G858">
        <v>3</v>
      </c>
      <c r="H858" s="1" t="s">
        <v>14</v>
      </c>
      <c r="I858" s="1" t="s">
        <v>15</v>
      </c>
      <c r="J858" s="12">
        <v>45723</v>
      </c>
      <c r="K858">
        <v>0</v>
      </c>
      <c r="L858" s="1">
        <f t="shared" si="52"/>
        <v>8.3999999999999986</v>
      </c>
      <c r="M858" s="1" t="str">
        <f t="shared" si="53"/>
        <v/>
      </c>
      <c r="N858" s="2">
        <f t="shared" si="54"/>
        <v>45717</v>
      </c>
      <c r="O858" t="str">
        <f t="shared" si="55"/>
        <v>pes</v>
      </c>
    </row>
    <row r="859" spans="1:15" x14ac:dyDescent="0.25">
      <c r="A859">
        <v>8373</v>
      </c>
      <c r="B859" s="11">
        <v>4028899001126</v>
      </c>
      <c r="C859" s="1" t="s">
        <v>16</v>
      </c>
      <c r="D859" s="1" t="s">
        <v>12</v>
      </c>
      <c r="E859" s="1" t="s">
        <v>17</v>
      </c>
      <c r="F859">
        <v>2.8</v>
      </c>
      <c r="G859">
        <v>4</v>
      </c>
      <c r="H859" s="1" t="s">
        <v>14</v>
      </c>
      <c r="I859" s="1" t="s">
        <v>15</v>
      </c>
      <c r="J859" s="12">
        <v>45724</v>
      </c>
      <c r="K859">
        <v>0</v>
      </c>
      <c r="L859" s="1">
        <f t="shared" si="52"/>
        <v>11.2</v>
      </c>
      <c r="M859" s="1" t="str">
        <f t="shared" si="53"/>
        <v/>
      </c>
      <c r="N859" s="2">
        <f t="shared" si="54"/>
        <v>45717</v>
      </c>
      <c r="O859" t="str">
        <f t="shared" si="55"/>
        <v>pes</v>
      </c>
    </row>
    <row r="860" spans="1:15" x14ac:dyDescent="0.25">
      <c r="A860">
        <v>8374</v>
      </c>
      <c r="B860" s="11">
        <v>4013456789017</v>
      </c>
      <c r="C860" s="1" t="s">
        <v>11</v>
      </c>
      <c r="D860" s="1" t="s">
        <v>12</v>
      </c>
      <c r="E860" s="1" t="s">
        <v>13</v>
      </c>
      <c r="F860">
        <v>6</v>
      </c>
      <c r="G860">
        <v>1</v>
      </c>
      <c r="H860" s="1" t="s">
        <v>14</v>
      </c>
      <c r="I860" s="1" t="s">
        <v>15</v>
      </c>
      <c r="J860" s="12">
        <v>45724</v>
      </c>
      <c r="K860">
        <v>0</v>
      </c>
      <c r="L860" s="1">
        <f t="shared" si="52"/>
        <v>6</v>
      </c>
      <c r="M860" s="1" t="str">
        <f t="shared" si="53"/>
        <v/>
      </c>
      <c r="N860" s="2">
        <f t="shared" si="54"/>
        <v>45717</v>
      </c>
      <c r="O860" t="str">
        <f t="shared" si="55"/>
        <v>pes</v>
      </c>
    </row>
    <row r="861" spans="1:15" x14ac:dyDescent="0.25">
      <c r="A861">
        <v>8375</v>
      </c>
      <c r="B861" s="11">
        <v>4040123456795</v>
      </c>
      <c r="C861" s="1" t="s">
        <v>20</v>
      </c>
      <c r="D861" s="1" t="s">
        <v>21</v>
      </c>
      <c r="E861" s="1" t="s">
        <v>22</v>
      </c>
      <c r="F861">
        <v>8.8000000000000007</v>
      </c>
      <c r="G861">
        <v>1</v>
      </c>
      <c r="H861" s="1" t="s">
        <v>14</v>
      </c>
      <c r="I861" s="1" t="s">
        <v>15</v>
      </c>
      <c r="J861" s="12">
        <v>45724</v>
      </c>
      <c r="K861">
        <v>0</v>
      </c>
      <c r="L861" s="1">
        <f t="shared" si="52"/>
        <v>8.8000000000000007</v>
      </c>
      <c r="M861" s="1" t="str">
        <f t="shared" si="53"/>
        <v/>
      </c>
      <c r="N861" s="2">
        <f t="shared" si="54"/>
        <v>45717</v>
      </c>
      <c r="O861" t="str">
        <f t="shared" si="55"/>
        <v>pes</v>
      </c>
    </row>
    <row r="862" spans="1:15" hidden="1" x14ac:dyDescent="0.25">
      <c r="A862">
        <v>8376</v>
      </c>
      <c r="B862" s="11">
        <v>4010123456783</v>
      </c>
      <c r="C862" s="1" t="s">
        <v>35</v>
      </c>
      <c r="D862" s="1" t="s">
        <v>36</v>
      </c>
      <c r="E862" s="1" t="s">
        <v>37</v>
      </c>
      <c r="F862">
        <v>14</v>
      </c>
      <c r="G862">
        <v>1</v>
      </c>
      <c r="H862" s="1" t="s">
        <v>14</v>
      </c>
      <c r="I862" s="1" t="s">
        <v>15</v>
      </c>
      <c r="J862" s="12">
        <v>45724</v>
      </c>
      <c r="K862">
        <v>0</v>
      </c>
      <c r="L862" s="1">
        <f t="shared" si="52"/>
        <v>14</v>
      </c>
      <c r="M862" s="1" t="str">
        <f t="shared" si="53"/>
        <v/>
      </c>
      <c r="N862" s="2">
        <f t="shared" si="54"/>
        <v>45717</v>
      </c>
      <c r="O862" t="str">
        <f t="shared" si="55"/>
        <v>mačka</v>
      </c>
    </row>
    <row r="863" spans="1:15" x14ac:dyDescent="0.25">
      <c r="A863">
        <v>8377</v>
      </c>
      <c r="B863" s="11">
        <v>4063456789014</v>
      </c>
      <c r="C863" s="1" t="s">
        <v>60</v>
      </c>
      <c r="D863" s="1" t="s">
        <v>12</v>
      </c>
      <c r="E863" s="1" t="s">
        <v>61</v>
      </c>
      <c r="F863">
        <v>36</v>
      </c>
      <c r="G863">
        <v>1</v>
      </c>
      <c r="H863" s="1" t="s">
        <v>23</v>
      </c>
      <c r="I863" s="1" t="s">
        <v>182</v>
      </c>
      <c r="J863" s="12">
        <v>45724</v>
      </c>
      <c r="K863">
        <v>0</v>
      </c>
      <c r="L863" s="1">
        <f t="shared" si="52"/>
        <v>36</v>
      </c>
      <c r="M863" s="1">
        <f t="shared" si="53"/>
        <v>5</v>
      </c>
      <c r="N863" s="2">
        <f t="shared" si="54"/>
        <v>45717</v>
      </c>
      <c r="O863" t="str">
        <f t="shared" si="55"/>
        <v>pes</v>
      </c>
    </row>
    <row r="864" spans="1:15" hidden="1" x14ac:dyDescent="0.25">
      <c r="A864">
        <v>8378</v>
      </c>
      <c r="B864" s="11">
        <v>4021234567894</v>
      </c>
      <c r="C864" s="1" t="s">
        <v>79</v>
      </c>
      <c r="D864" s="1" t="s">
        <v>36</v>
      </c>
      <c r="E864" s="1" t="s">
        <v>69</v>
      </c>
      <c r="F864">
        <v>8</v>
      </c>
      <c r="G864">
        <v>1</v>
      </c>
      <c r="H864" s="1" t="s">
        <v>14</v>
      </c>
      <c r="I864" s="1" t="s">
        <v>15</v>
      </c>
      <c r="J864" s="12">
        <v>45724</v>
      </c>
      <c r="K864">
        <v>0</v>
      </c>
      <c r="L864" s="1">
        <f t="shared" si="52"/>
        <v>8</v>
      </c>
      <c r="M864" s="1" t="str">
        <f t="shared" si="53"/>
        <v/>
      </c>
      <c r="N864" s="2">
        <f t="shared" si="54"/>
        <v>45717</v>
      </c>
      <c r="O864" t="str">
        <f t="shared" si="55"/>
        <v>mačka</v>
      </c>
    </row>
    <row r="865" spans="1:15" hidden="1" x14ac:dyDescent="0.25">
      <c r="A865">
        <v>8379</v>
      </c>
      <c r="B865" s="11">
        <v>4069012345682</v>
      </c>
      <c r="C865" s="1" t="s">
        <v>143</v>
      </c>
      <c r="D865" s="1" t="s">
        <v>144</v>
      </c>
      <c r="E865" s="1" t="s">
        <v>30</v>
      </c>
      <c r="F865">
        <v>26</v>
      </c>
      <c r="G865">
        <v>1</v>
      </c>
      <c r="H865" s="1" t="s">
        <v>14</v>
      </c>
      <c r="I865" s="1" t="s">
        <v>15</v>
      </c>
      <c r="J865" s="12">
        <v>45724</v>
      </c>
      <c r="K865">
        <v>0</v>
      </c>
      <c r="L865" s="1">
        <f t="shared" si="52"/>
        <v>26</v>
      </c>
      <c r="M865" s="1" t="str">
        <f t="shared" si="53"/>
        <v/>
      </c>
      <c r="N865" s="2">
        <f t="shared" si="54"/>
        <v>45717</v>
      </c>
      <c r="O865" t="str">
        <f t="shared" si="55"/>
        <v>mačka</v>
      </c>
    </row>
    <row r="866" spans="1:15" hidden="1" x14ac:dyDescent="0.25">
      <c r="A866">
        <v>8380</v>
      </c>
      <c r="B866" s="11">
        <v>4026677889902</v>
      </c>
      <c r="C866" s="1" t="s">
        <v>52</v>
      </c>
      <c r="D866" s="1" t="s">
        <v>53</v>
      </c>
      <c r="E866" s="1" t="s">
        <v>54</v>
      </c>
      <c r="F866">
        <v>7.6</v>
      </c>
      <c r="G866">
        <v>1</v>
      </c>
      <c r="H866" s="1" t="s">
        <v>14</v>
      </c>
      <c r="I866" s="1" t="s">
        <v>15</v>
      </c>
      <c r="J866" s="12">
        <v>45724</v>
      </c>
      <c r="K866">
        <v>0</v>
      </c>
      <c r="L866" s="1">
        <f t="shared" si="52"/>
        <v>7.6</v>
      </c>
      <c r="M866" s="1" t="str">
        <f t="shared" si="53"/>
        <v/>
      </c>
      <c r="N866" s="2">
        <f t="shared" si="54"/>
        <v>45717</v>
      </c>
      <c r="O866" t="str">
        <f t="shared" si="55"/>
        <v>iné</v>
      </c>
    </row>
    <row r="867" spans="1:15" x14ac:dyDescent="0.25">
      <c r="A867">
        <v>8381</v>
      </c>
      <c r="B867" s="11">
        <v>4028899001126</v>
      </c>
      <c r="C867" s="1" t="s">
        <v>16</v>
      </c>
      <c r="D867" s="1" t="s">
        <v>12</v>
      </c>
      <c r="E867" s="1" t="s">
        <v>17</v>
      </c>
      <c r="F867">
        <v>2.8</v>
      </c>
      <c r="G867">
        <v>3</v>
      </c>
      <c r="H867" s="1" t="s">
        <v>14</v>
      </c>
      <c r="I867" s="1" t="s">
        <v>15</v>
      </c>
      <c r="J867" s="12">
        <v>45724</v>
      </c>
      <c r="K867">
        <v>0</v>
      </c>
      <c r="L867" s="1">
        <f t="shared" si="52"/>
        <v>8.3999999999999986</v>
      </c>
      <c r="M867" s="1" t="str">
        <f t="shared" si="53"/>
        <v/>
      </c>
      <c r="N867" s="2">
        <f t="shared" si="54"/>
        <v>45717</v>
      </c>
      <c r="O867" t="str">
        <f t="shared" si="55"/>
        <v>pes</v>
      </c>
    </row>
    <row r="868" spans="1:15" x14ac:dyDescent="0.25">
      <c r="A868">
        <v>8382</v>
      </c>
      <c r="B868" s="11">
        <v>4013456789017</v>
      </c>
      <c r="C868" s="1" t="s">
        <v>11</v>
      </c>
      <c r="D868" s="1" t="s">
        <v>12</v>
      </c>
      <c r="E868" s="1" t="s">
        <v>13</v>
      </c>
      <c r="F868">
        <v>6</v>
      </c>
      <c r="G868">
        <v>2</v>
      </c>
      <c r="H868" s="1" t="s">
        <v>14</v>
      </c>
      <c r="I868" s="1" t="s">
        <v>15</v>
      </c>
      <c r="J868" s="12">
        <v>45724</v>
      </c>
      <c r="K868">
        <v>0</v>
      </c>
      <c r="L868" s="1">
        <f t="shared" si="52"/>
        <v>12</v>
      </c>
      <c r="M868" s="1" t="str">
        <f t="shared" si="53"/>
        <v/>
      </c>
      <c r="N868" s="2">
        <f t="shared" si="54"/>
        <v>45717</v>
      </c>
      <c r="O868" t="str">
        <f t="shared" si="55"/>
        <v>pes</v>
      </c>
    </row>
    <row r="869" spans="1:15" x14ac:dyDescent="0.25">
      <c r="A869">
        <v>8383</v>
      </c>
      <c r="B869" s="11">
        <v>4040123456795</v>
      </c>
      <c r="C869" s="1" t="s">
        <v>20</v>
      </c>
      <c r="D869" s="1" t="s">
        <v>21</v>
      </c>
      <c r="E869" s="1" t="s">
        <v>22</v>
      </c>
      <c r="F869">
        <v>8.8000000000000007</v>
      </c>
      <c r="G869">
        <v>1</v>
      </c>
      <c r="H869" s="1" t="s">
        <v>14</v>
      </c>
      <c r="I869" s="1" t="s">
        <v>15</v>
      </c>
      <c r="J869" s="12">
        <v>45724</v>
      </c>
      <c r="K869">
        <v>0</v>
      </c>
      <c r="L869" s="1">
        <f t="shared" si="52"/>
        <v>8.8000000000000007</v>
      </c>
      <c r="M869" s="1" t="str">
        <f t="shared" si="53"/>
        <v/>
      </c>
      <c r="N869" s="2">
        <f t="shared" si="54"/>
        <v>45717</v>
      </c>
      <c r="O869" t="str">
        <f t="shared" si="55"/>
        <v>pes</v>
      </c>
    </row>
    <row r="870" spans="1:15" hidden="1" x14ac:dyDescent="0.25">
      <c r="A870">
        <v>8384</v>
      </c>
      <c r="B870" s="11">
        <v>4010123456783</v>
      </c>
      <c r="C870" s="1" t="s">
        <v>35</v>
      </c>
      <c r="D870" s="1" t="s">
        <v>36</v>
      </c>
      <c r="E870" s="1" t="s">
        <v>37</v>
      </c>
      <c r="F870">
        <v>14</v>
      </c>
      <c r="G870">
        <v>2</v>
      </c>
      <c r="H870" s="1" t="s">
        <v>14</v>
      </c>
      <c r="I870" s="1" t="s">
        <v>15</v>
      </c>
      <c r="J870" s="12">
        <v>45724</v>
      </c>
      <c r="K870">
        <v>0</v>
      </c>
      <c r="L870" s="1">
        <f t="shared" si="52"/>
        <v>28</v>
      </c>
      <c r="M870" s="1" t="str">
        <f t="shared" si="53"/>
        <v/>
      </c>
      <c r="N870" s="2">
        <f t="shared" si="54"/>
        <v>45717</v>
      </c>
      <c r="O870" t="str">
        <f t="shared" si="55"/>
        <v>mačka</v>
      </c>
    </row>
    <row r="871" spans="1:15" x14ac:dyDescent="0.25">
      <c r="A871">
        <v>8385</v>
      </c>
      <c r="B871" s="11">
        <v>4063456789014</v>
      </c>
      <c r="C871" s="1" t="s">
        <v>60</v>
      </c>
      <c r="D871" s="1" t="s">
        <v>12</v>
      </c>
      <c r="E871" s="1" t="s">
        <v>61</v>
      </c>
      <c r="F871">
        <v>36</v>
      </c>
      <c r="G871">
        <v>1</v>
      </c>
      <c r="H871" s="1" t="s">
        <v>14</v>
      </c>
      <c r="I871" s="1" t="s">
        <v>15</v>
      </c>
      <c r="J871" s="12">
        <v>45724</v>
      </c>
      <c r="K871">
        <v>0</v>
      </c>
      <c r="L871" s="1">
        <f t="shared" si="52"/>
        <v>36</v>
      </c>
      <c r="M871" s="1" t="str">
        <f t="shared" si="53"/>
        <v/>
      </c>
      <c r="N871" s="2">
        <f t="shared" si="54"/>
        <v>45717</v>
      </c>
      <c r="O871" t="str">
        <f t="shared" si="55"/>
        <v>pes</v>
      </c>
    </row>
    <row r="872" spans="1:15" hidden="1" x14ac:dyDescent="0.25">
      <c r="A872">
        <v>8386</v>
      </c>
      <c r="B872" s="11">
        <v>4056789012345</v>
      </c>
      <c r="C872" s="1" t="s">
        <v>47</v>
      </c>
      <c r="D872" s="1" t="s">
        <v>29</v>
      </c>
      <c r="E872" s="1" t="s">
        <v>37</v>
      </c>
      <c r="F872">
        <v>2.4</v>
      </c>
      <c r="G872">
        <v>3</v>
      </c>
      <c r="H872" s="1" t="s">
        <v>14</v>
      </c>
      <c r="I872" s="1" t="s">
        <v>15</v>
      </c>
      <c r="J872" s="12">
        <v>45724</v>
      </c>
      <c r="K872">
        <v>0</v>
      </c>
      <c r="L872" s="1">
        <f t="shared" si="52"/>
        <v>7.1999999999999993</v>
      </c>
      <c r="M872" s="1" t="str">
        <f t="shared" si="53"/>
        <v/>
      </c>
      <c r="N872" s="2">
        <f t="shared" si="54"/>
        <v>45717</v>
      </c>
      <c r="O872" t="str">
        <f t="shared" si="55"/>
        <v>mačka</v>
      </c>
    </row>
    <row r="873" spans="1:15" x14ac:dyDescent="0.25">
      <c r="A873">
        <v>8387</v>
      </c>
      <c r="B873" s="11">
        <v>4028899001126</v>
      </c>
      <c r="C873" s="1" t="s">
        <v>16</v>
      </c>
      <c r="D873" s="1" t="s">
        <v>12</v>
      </c>
      <c r="E873" s="1" t="s">
        <v>17</v>
      </c>
      <c r="F873">
        <v>2.8</v>
      </c>
      <c r="G873">
        <v>4</v>
      </c>
      <c r="H873" s="1" t="s">
        <v>14</v>
      </c>
      <c r="I873" s="1" t="s">
        <v>15</v>
      </c>
      <c r="J873" s="12">
        <v>45725</v>
      </c>
      <c r="K873">
        <v>0</v>
      </c>
      <c r="L873" s="1">
        <f t="shared" si="52"/>
        <v>11.2</v>
      </c>
      <c r="M873" s="1" t="str">
        <f t="shared" si="53"/>
        <v/>
      </c>
      <c r="N873" s="2">
        <f t="shared" si="54"/>
        <v>45717</v>
      </c>
      <c r="O873" t="str">
        <f t="shared" si="55"/>
        <v>pes</v>
      </c>
    </row>
    <row r="874" spans="1:15" x14ac:dyDescent="0.25">
      <c r="A874">
        <v>8388</v>
      </c>
      <c r="B874" s="11">
        <v>4013456789017</v>
      </c>
      <c r="C874" s="1" t="s">
        <v>11</v>
      </c>
      <c r="D874" s="1" t="s">
        <v>12</v>
      </c>
      <c r="E874" s="1" t="s">
        <v>13</v>
      </c>
      <c r="F874">
        <v>6</v>
      </c>
      <c r="G874">
        <v>2</v>
      </c>
      <c r="H874" s="1" t="s">
        <v>14</v>
      </c>
      <c r="I874" s="1" t="s">
        <v>15</v>
      </c>
      <c r="J874" s="12">
        <v>45725</v>
      </c>
      <c r="K874">
        <v>0</v>
      </c>
      <c r="L874" s="1">
        <f t="shared" si="52"/>
        <v>12</v>
      </c>
      <c r="M874" s="1" t="str">
        <f t="shared" si="53"/>
        <v/>
      </c>
      <c r="N874" s="2">
        <f t="shared" si="54"/>
        <v>45717</v>
      </c>
      <c r="O874" t="str">
        <f t="shared" si="55"/>
        <v>pes</v>
      </c>
    </row>
    <row r="875" spans="1:15" x14ac:dyDescent="0.25">
      <c r="A875">
        <v>8389</v>
      </c>
      <c r="B875" s="11">
        <v>4040123456795</v>
      </c>
      <c r="C875" s="1" t="s">
        <v>20</v>
      </c>
      <c r="D875" s="1" t="s">
        <v>21</v>
      </c>
      <c r="E875" s="1" t="s">
        <v>22</v>
      </c>
      <c r="F875">
        <v>8.8000000000000007</v>
      </c>
      <c r="G875">
        <v>1</v>
      </c>
      <c r="H875" s="1" t="s">
        <v>14</v>
      </c>
      <c r="I875" s="1" t="s">
        <v>15</v>
      </c>
      <c r="J875" s="12">
        <v>45725</v>
      </c>
      <c r="K875">
        <v>0</v>
      </c>
      <c r="L875" s="1">
        <f t="shared" si="52"/>
        <v>8.8000000000000007</v>
      </c>
      <c r="M875" s="1" t="str">
        <f t="shared" si="53"/>
        <v/>
      </c>
      <c r="N875" s="2">
        <f t="shared" si="54"/>
        <v>45717</v>
      </c>
      <c r="O875" t="str">
        <f t="shared" si="55"/>
        <v>pes</v>
      </c>
    </row>
    <row r="876" spans="1:15" hidden="1" x14ac:dyDescent="0.25">
      <c r="A876">
        <v>8390</v>
      </c>
      <c r="B876" s="11">
        <v>4010123456783</v>
      </c>
      <c r="C876" s="1" t="s">
        <v>35</v>
      </c>
      <c r="D876" s="1" t="s">
        <v>36</v>
      </c>
      <c r="E876" s="1" t="s">
        <v>37</v>
      </c>
      <c r="F876">
        <v>14</v>
      </c>
      <c r="G876">
        <v>1</v>
      </c>
      <c r="H876" s="1" t="s">
        <v>14</v>
      </c>
      <c r="I876" s="1" t="s">
        <v>15</v>
      </c>
      <c r="J876" s="12">
        <v>45725</v>
      </c>
      <c r="K876">
        <v>0</v>
      </c>
      <c r="L876" s="1">
        <f t="shared" si="52"/>
        <v>14</v>
      </c>
      <c r="M876" s="1" t="str">
        <f t="shared" si="53"/>
        <v/>
      </c>
      <c r="N876" s="2">
        <f t="shared" si="54"/>
        <v>45717</v>
      </c>
      <c r="O876" t="str">
        <f t="shared" si="55"/>
        <v>mačka</v>
      </c>
    </row>
    <row r="877" spans="1:15" x14ac:dyDescent="0.25">
      <c r="A877">
        <v>8391</v>
      </c>
      <c r="B877" s="11">
        <v>4063456789014</v>
      </c>
      <c r="C877" s="1" t="s">
        <v>60</v>
      </c>
      <c r="D877" s="1" t="s">
        <v>12</v>
      </c>
      <c r="E877" s="1" t="s">
        <v>61</v>
      </c>
      <c r="F877">
        <v>36</v>
      </c>
      <c r="G877">
        <v>1</v>
      </c>
      <c r="H877" s="1" t="s">
        <v>18</v>
      </c>
      <c r="I877" s="1" t="s">
        <v>183</v>
      </c>
      <c r="J877" s="12">
        <v>45725</v>
      </c>
      <c r="K877">
        <v>0</v>
      </c>
      <c r="L877" s="1">
        <f t="shared" si="52"/>
        <v>36</v>
      </c>
      <c r="M877" s="1">
        <f t="shared" si="53"/>
        <v>4</v>
      </c>
      <c r="N877" s="2">
        <f t="shared" si="54"/>
        <v>45717</v>
      </c>
      <c r="O877" t="str">
        <f t="shared" si="55"/>
        <v>pes</v>
      </c>
    </row>
    <row r="878" spans="1:15" hidden="1" x14ac:dyDescent="0.25">
      <c r="A878">
        <v>8392</v>
      </c>
      <c r="B878" s="11">
        <v>4021234567894</v>
      </c>
      <c r="C878" s="1" t="s">
        <v>79</v>
      </c>
      <c r="D878" s="1" t="s">
        <v>36</v>
      </c>
      <c r="E878" s="1" t="s">
        <v>69</v>
      </c>
      <c r="F878">
        <v>8</v>
      </c>
      <c r="G878">
        <v>1</v>
      </c>
      <c r="H878" s="1" t="s">
        <v>14</v>
      </c>
      <c r="I878" s="1" t="s">
        <v>15</v>
      </c>
      <c r="J878" s="12">
        <v>45725</v>
      </c>
      <c r="K878">
        <v>0</v>
      </c>
      <c r="L878" s="1">
        <f t="shared" si="52"/>
        <v>8</v>
      </c>
      <c r="M878" s="1" t="str">
        <f t="shared" si="53"/>
        <v/>
      </c>
      <c r="N878" s="2">
        <f t="shared" si="54"/>
        <v>45717</v>
      </c>
      <c r="O878" t="str">
        <f t="shared" si="55"/>
        <v>mačka</v>
      </c>
    </row>
    <row r="879" spans="1:15" x14ac:dyDescent="0.25">
      <c r="A879">
        <v>8393</v>
      </c>
      <c r="B879" s="11">
        <v>4061011223346</v>
      </c>
      <c r="C879" s="1" t="s">
        <v>25</v>
      </c>
      <c r="D879" s="1" t="s">
        <v>26</v>
      </c>
      <c r="E879" s="1" t="s">
        <v>27</v>
      </c>
      <c r="F879">
        <v>19.600000000000001</v>
      </c>
      <c r="G879">
        <v>1</v>
      </c>
      <c r="H879" s="1" t="s">
        <v>14</v>
      </c>
      <c r="I879" s="1" t="s">
        <v>15</v>
      </c>
      <c r="J879" s="12">
        <v>45725</v>
      </c>
      <c r="K879">
        <v>0</v>
      </c>
      <c r="L879" s="1">
        <f t="shared" si="52"/>
        <v>19.600000000000001</v>
      </c>
      <c r="M879" s="1" t="str">
        <f t="shared" si="53"/>
        <v/>
      </c>
      <c r="N879" s="2">
        <f t="shared" si="54"/>
        <v>45717</v>
      </c>
      <c r="O879" t="str">
        <f t="shared" si="55"/>
        <v>pes</v>
      </c>
    </row>
    <row r="880" spans="1:15" hidden="1" x14ac:dyDescent="0.25">
      <c r="A880">
        <v>8394</v>
      </c>
      <c r="B880" s="11">
        <v>4026677889902</v>
      </c>
      <c r="C880" s="1" t="s">
        <v>52</v>
      </c>
      <c r="D880" s="1" t="s">
        <v>53</v>
      </c>
      <c r="E880" s="1" t="s">
        <v>54</v>
      </c>
      <c r="F880">
        <v>7.6</v>
      </c>
      <c r="G880">
        <v>1</v>
      </c>
      <c r="H880" s="1" t="s">
        <v>14</v>
      </c>
      <c r="I880" s="1" t="s">
        <v>15</v>
      </c>
      <c r="J880" s="12">
        <v>45725</v>
      </c>
      <c r="K880">
        <v>0</v>
      </c>
      <c r="L880" s="1">
        <f t="shared" si="52"/>
        <v>7.6</v>
      </c>
      <c r="M880" s="1" t="str">
        <f t="shared" si="53"/>
        <v/>
      </c>
      <c r="N880" s="2">
        <f t="shared" si="54"/>
        <v>45717</v>
      </c>
      <c r="O880" t="str">
        <f t="shared" si="55"/>
        <v>iné</v>
      </c>
    </row>
    <row r="881" spans="1:15" x14ac:dyDescent="0.25">
      <c r="A881">
        <v>8395</v>
      </c>
      <c r="B881" s="11">
        <v>4028899001126</v>
      </c>
      <c r="C881" s="1" t="s">
        <v>16</v>
      </c>
      <c r="D881" s="1" t="s">
        <v>12</v>
      </c>
      <c r="E881" s="1" t="s">
        <v>17</v>
      </c>
      <c r="F881">
        <v>2.8</v>
      </c>
      <c r="G881">
        <v>5</v>
      </c>
      <c r="H881" s="1" t="s">
        <v>14</v>
      </c>
      <c r="I881" s="1" t="s">
        <v>15</v>
      </c>
      <c r="J881" s="12">
        <v>45725</v>
      </c>
      <c r="K881">
        <v>0</v>
      </c>
      <c r="L881" s="1">
        <f t="shared" si="52"/>
        <v>14</v>
      </c>
      <c r="M881" s="1" t="str">
        <f t="shared" si="53"/>
        <v/>
      </c>
      <c r="N881" s="2">
        <f t="shared" si="54"/>
        <v>45717</v>
      </c>
      <c r="O881" t="str">
        <f t="shared" si="55"/>
        <v>pes</v>
      </c>
    </row>
    <row r="882" spans="1:15" x14ac:dyDescent="0.25">
      <c r="A882">
        <v>8396</v>
      </c>
      <c r="B882" s="11">
        <v>4013456789017</v>
      </c>
      <c r="C882" s="1" t="s">
        <v>11</v>
      </c>
      <c r="D882" s="1" t="s">
        <v>12</v>
      </c>
      <c r="E882" s="1" t="s">
        <v>13</v>
      </c>
      <c r="F882">
        <v>6</v>
      </c>
      <c r="G882">
        <v>2</v>
      </c>
      <c r="H882" s="1" t="s">
        <v>14</v>
      </c>
      <c r="I882" s="1" t="s">
        <v>15</v>
      </c>
      <c r="J882" s="12">
        <v>45725</v>
      </c>
      <c r="K882">
        <v>0</v>
      </c>
      <c r="L882" s="1">
        <f t="shared" si="52"/>
        <v>12</v>
      </c>
      <c r="M882" s="1" t="str">
        <f t="shared" si="53"/>
        <v/>
      </c>
      <c r="N882" s="2">
        <f t="shared" si="54"/>
        <v>45717</v>
      </c>
      <c r="O882" t="str">
        <f t="shared" si="55"/>
        <v>pes</v>
      </c>
    </row>
    <row r="883" spans="1:15" x14ac:dyDescent="0.25">
      <c r="A883">
        <v>8397</v>
      </c>
      <c r="B883" s="11">
        <v>4040123456795</v>
      </c>
      <c r="C883" s="1" t="s">
        <v>20</v>
      </c>
      <c r="D883" s="1" t="s">
        <v>21</v>
      </c>
      <c r="E883" s="1" t="s">
        <v>22</v>
      </c>
      <c r="F883">
        <v>8.8000000000000007</v>
      </c>
      <c r="G883">
        <v>1</v>
      </c>
      <c r="H883" s="1" t="s">
        <v>14</v>
      </c>
      <c r="I883" s="1" t="s">
        <v>15</v>
      </c>
      <c r="J883" s="12">
        <v>45725</v>
      </c>
      <c r="K883">
        <v>0</v>
      </c>
      <c r="L883" s="1">
        <f t="shared" si="52"/>
        <v>8.8000000000000007</v>
      </c>
      <c r="M883" s="1" t="str">
        <f t="shared" si="53"/>
        <v/>
      </c>
      <c r="N883" s="2">
        <f t="shared" si="54"/>
        <v>45717</v>
      </c>
      <c r="O883" t="str">
        <f t="shared" si="55"/>
        <v>pes</v>
      </c>
    </row>
    <row r="884" spans="1:15" hidden="1" x14ac:dyDescent="0.25">
      <c r="A884">
        <v>8398</v>
      </c>
      <c r="B884" s="11">
        <v>4010123456783</v>
      </c>
      <c r="C884" s="1" t="s">
        <v>35</v>
      </c>
      <c r="D884" s="1" t="s">
        <v>36</v>
      </c>
      <c r="E884" s="1" t="s">
        <v>37</v>
      </c>
      <c r="F884">
        <v>14</v>
      </c>
      <c r="G884">
        <v>1</v>
      </c>
      <c r="H884" s="1" t="s">
        <v>14</v>
      </c>
      <c r="I884" s="1" t="s">
        <v>15</v>
      </c>
      <c r="J884" s="12">
        <v>45725</v>
      </c>
      <c r="K884">
        <v>0</v>
      </c>
      <c r="L884" s="1">
        <f t="shared" si="52"/>
        <v>14</v>
      </c>
      <c r="M884" s="1" t="str">
        <f t="shared" si="53"/>
        <v/>
      </c>
      <c r="N884" s="2">
        <f t="shared" si="54"/>
        <v>45717</v>
      </c>
      <c r="O884" t="str">
        <f t="shared" si="55"/>
        <v>mačka</v>
      </c>
    </row>
    <row r="885" spans="1:15" x14ac:dyDescent="0.25">
      <c r="A885">
        <v>8399</v>
      </c>
      <c r="B885" s="11">
        <v>4063456789014</v>
      </c>
      <c r="C885" s="1" t="s">
        <v>60</v>
      </c>
      <c r="D885" s="1" t="s">
        <v>12</v>
      </c>
      <c r="E885" s="1" t="s">
        <v>61</v>
      </c>
      <c r="F885">
        <v>36</v>
      </c>
      <c r="G885">
        <v>1</v>
      </c>
      <c r="H885" s="1" t="s">
        <v>14</v>
      </c>
      <c r="I885" s="1" t="s">
        <v>15</v>
      </c>
      <c r="J885" s="12">
        <v>45725</v>
      </c>
      <c r="K885">
        <v>0</v>
      </c>
      <c r="L885" s="1">
        <f t="shared" si="52"/>
        <v>36</v>
      </c>
      <c r="M885" s="1" t="str">
        <f t="shared" si="53"/>
        <v/>
      </c>
      <c r="N885" s="2">
        <f t="shared" si="54"/>
        <v>45717</v>
      </c>
      <c r="O885" t="str">
        <f t="shared" si="55"/>
        <v>pes</v>
      </c>
    </row>
    <row r="886" spans="1:15" x14ac:dyDescent="0.25">
      <c r="A886">
        <v>8400</v>
      </c>
      <c r="B886" s="11">
        <v>4028899001126</v>
      </c>
      <c r="C886" s="1" t="s">
        <v>16</v>
      </c>
      <c r="D886" s="1" t="s">
        <v>12</v>
      </c>
      <c r="E886" s="1" t="s">
        <v>17</v>
      </c>
      <c r="F886">
        <v>2.8</v>
      </c>
      <c r="G886">
        <v>4</v>
      </c>
      <c r="H886" s="1" t="s">
        <v>14</v>
      </c>
      <c r="I886" s="1" t="s">
        <v>15</v>
      </c>
      <c r="J886" s="12">
        <v>45726</v>
      </c>
      <c r="K886">
        <v>0</v>
      </c>
      <c r="L886" s="1">
        <f t="shared" si="52"/>
        <v>11.2</v>
      </c>
      <c r="M886" s="1" t="str">
        <f t="shared" si="53"/>
        <v/>
      </c>
      <c r="N886" s="2">
        <f t="shared" si="54"/>
        <v>45717</v>
      </c>
      <c r="O886" t="str">
        <f t="shared" si="55"/>
        <v>pes</v>
      </c>
    </row>
    <row r="887" spans="1:15" x14ac:dyDescent="0.25">
      <c r="A887">
        <v>8401</v>
      </c>
      <c r="B887" s="11">
        <v>4013456789017</v>
      </c>
      <c r="C887" s="1" t="s">
        <v>11</v>
      </c>
      <c r="D887" s="1" t="s">
        <v>12</v>
      </c>
      <c r="E887" s="1" t="s">
        <v>13</v>
      </c>
      <c r="F887">
        <v>6</v>
      </c>
      <c r="G887">
        <v>1</v>
      </c>
      <c r="H887" s="1" t="s">
        <v>14</v>
      </c>
      <c r="I887" s="1" t="s">
        <v>15</v>
      </c>
      <c r="J887" s="12">
        <v>45726</v>
      </c>
      <c r="K887">
        <v>0</v>
      </c>
      <c r="L887" s="1">
        <f t="shared" si="52"/>
        <v>6</v>
      </c>
      <c r="M887" s="1" t="str">
        <f t="shared" si="53"/>
        <v/>
      </c>
      <c r="N887" s="2">
        <f t="shared" si="54"/>
        <v>45717</v>
      </c>
      <c r="O887" t="str">
        <f t="shared" si="55"/>
        <v>pes</v>
      </c>
    </row>
    <row r="888" spans="1:15" x14ac:dyDescent="0.25">
      <c r="A888">
        <v>8402</v>
      </c>
      <c r="B888" s="11">
        <v>4040123456795</v>
      </c>
      <c r="C888" s="1" t="s">
        <v>20</v>
      </c>
      <c r="D888" s="1" t="s">
        <v>21</v>
      </c>
      <c r="E888" s="1" t="s">
        <v>22</v>
      </c>
      <c r="F888">
        <v>8.8000000000000007</v>
      </c>
      <c r="G888">
        <v>1</v>
      </c>
      <c r="H888" s="1" t="s">
        <v>14</v>
      </c>
      <c r="I888" s="1" t="s">
        <v>15</v>
      </c>
      <c r="J888" s="12">
        <v>45726</v>
      </c>
      <c r="K888">
        <v>0</v>
      </c>
      <c r="L888" s="1">
        <f t="shared" si="52"/>
        <v>8.8000000000000007</v>
      </c>
      <c r="M888" s="1" t="str">
        <f t="shared" si="53"/>
        <v/>
      </c>
      <c r="N888" s="2">
        <f t="shared" si="54"/>
        <v>45717</v>
      </c>
      <c r="O888" t="str">
        <f t="shared" si="55"/>
        <v>pes</v>
      </c>
    </row>
    <row r="889" spans="1:15" hidden="1" x14ac:dyDescent="0.25">
      <c r="A889">
        <v>8403</v>
      </c>
      <c r="B889" s="11">
        <v>4010123456783</v>
      </c>
      <c r="C889" s="1" t="s">
        <v>35</v>
      </c>
      <c r="D889" s="1" t="s">
        <v>36</v>
      </c>
      <c r="E889" s="1" t="s">
        <v>37</v>
      </c>
      <c r="F889">
        <v>14</v>
      </c>
      <c r="G889">
        <v>1</v>
      </c>
      <c r="H889" s="1" t="s">
        <v>14</v>
      </c>
      <c r="I889" s="1" t="s">
        <v>15</v>
      </c>
      <c r="J889" s="12">
        <v>45726</v>
      </c>
      <c r="K889">
        <v>0</v>
      </c>
      <c r="L889" s="1">
        <f t="shared" si="52"/>
        <v>14</v>
      </c>
      <c r="M889" s="1" t="str">
        <f t="shared" si="53"/>
        <v/>
      </c>
      <c r="N889" s="2">
        <f t="shared" si="54"/>
        <v>45717</v>
      </c>
      <c r="O889" t="str">
        <f t="shared" si="55"/>
        <v>mačka</v>
      </c>
    </row>
    <row r="890" spans="1:15" hidden="1" x14ac:dyDescent="0.25">
      <c r="A890">
        <v>8404</v>
      </c>
      <c r="B890" s="11">
        <v>4056789012345</v>
      </c>
      <c r="C890" s="1" t="s">
        <v>47</v>
      </c>
      <c r="D890" s="1" t="s">
        <v>29</v>
      </c>
      <c r="E890" s="1" t="s">
        <v>37</v>
      </c>
      <c r="F890">
        <v>2.4</v>
      </c>
      <c r="G890">
        <v>2</v>
      </c>
      <c r="H890" s="1" t="s">
        <v>14</v>
      </c>
      <c r="I890" s="1" t="s">
        <v>15</v>
      </c>
      <c r="J890" s="12">
        <v>45726</v>
      </c>
      <c r="K890">
        <v>0</v>
      </c>
      <c r="L890" s="1">
        <f t="shared" si="52"/>
        <v>4.8</v>
      </c>
      <c r="M890" s="1" t="str">
        <f t="shared" si="53"/>
        <v/>
      </c>
      <c r="N890" s="2">
        <f t="shared" si="54"/>
        <v>45717</v>
      </c>
      <c r="O890" t="str">
        <f t="shared" si="55"/>
        <v>mačka</v>
      </c>
    </row>
    <row r="891" spans="1:15" x14ac:dyDescent="0.25">
      <c r="A891">
        <v>8405</v>
      </c>
      <c r="B891" s="11">
        <v>4063456789014</v>
      </c>
      <c r="C891" s="1" t="s">
        <v>60</v>
      </c>
      <c r="D891" s="1" t="s">
        <v>12</v>
      </c>
      <c r="E891" s="1" t="s">
        <v>61</v>
      </c>
      <c r="F891">
        <v>36</v>
      </c>
      <c r="G891">
        <v>1</v>
      </c>
      <c r="H891" s="1" t="s">
        <v>14</v>
      </c>
      <c r="I891" s="1" t="s">
        <v>15</v>
      </c>
      <c r="J891" s="12">
        <v>45726</v>
      </c>
      <c r="K891">
        <v>0</v>
      </c>
      <c r="L891" s="1">
        <f t="shared" si="52"/>
        <v>36</v>
      </c>
      <c r="M891" s="1" t="str">
        <f t="shared" si="53"/>
        <v/>
      </c>
      <c r="N891" s="2">
        <f t="shared" si="54"/>
        <v>45717</v>
      </c>
      <c r="O891" t="str">
        <f t="shared" si="55"/>
        <v>pes</v>
      </c>
    </row>
    <row r="892" spans="1:15" hidden="1" x14ac:dyDescent="0.25">
      <c r="A892">
        <v>8406</v>
      </c>
      <c r="B892" s="11">
        <v>4021234567894</v>
      </c>
      <c r="C892" s="1" t="s">
        <v>79</v>
      </c>
      <c r="D892" s="1" t="s">
        <v>36</v>
      </c>
      <c r="E892" s="1" t="s">
        <v>69</v>
      </c>
      <c r="F892">
        <v>8</v>
      </c>
      <c r="G892">
        <v>1</v>
      </c>
      <c r="H892" s="1" t="s">
        <v>14</v>
      </c>
      <c r="I892" s="1" t="s">
        <v>15</v>
      </c>
      <c r="J892" s="12">
        <v>45726</v>
      </c>
      <c r="K892">
        <v>0</v>
      </c>
      <c r="L892" s="1">
        <f t="shared" si="52"/>
        <v>8</v>
      </c>
      <c r="M892" s="1" t="str">
        <f t="shared" si="53"/>
        <v/>
      </c>
      <c r="N892" s="2">
        <f t="shared" si="54"/>
        <v>45717</v>
      </c>
      <c r="O892" t="str">
        <f t="shared" si="55"/>
        <v>mačka</v>
      </c>
    </row>
    <row r="893" spans="1:15" x14ac:dyDescent="0.25">
      <c r="A893">
        <v>8407</v>
      </c>
      <c r="B893" s="11">
        <v>4061011223346</v>
      </c>
      <c r="C893" s="1" t="s">
        <v>25</v>
      </c>
      <c r="D893" s="1" t="s">
        <v>26</v>
      </c>
      <c r="E893" s="1" t="s">
        <v>27</v>
      </c>
      <c r="F893">
        <v>19.600000000000001</v>
      </c>
      <c r="G893">
        <v>1</v>
      </c>
      <c r="H893" s="1" t="s">
        <v>14</v>
      </c>
      <c r="I893" s="1" t="s">
        <v>15</v>
      </c>
      <c r="J893" s="12">
        <v>45726</v>
      </c>
      <c r="K893">
        <v>0</v>
      </c>
      <c r="L893" s="1">
        <f t="shared" si="52"/>
        <v>19.600000000000001</v>
      </c>
      <c r="M893" s="1" t="str">
        <f t="shared" si="53"/>
        <v/>
      </c>
      <c r="N893" s="2">
        <f t="shared" si="54"/>
        <v>45717</v>
      </c>
      <c r="O893" t="str">
        <f t="shared" si="55"/>
        <v>pes</v>
      </c>
    </row>
    <row r="894" spans="1:15" hidden="1" x14ac:dyDescent="0.25">
      <c r="A894">
        <v>8408</v>
      </c>
      <c r="B894" s="11">
        <v>4026677889902</v>
      </c>
      <c r="C894" s="1" t="s">
        <v>52</v>
      </c>
      <c r="D894" s="1" t="s">
        <v>53</v>
      </c>
      <c r="E894" s="1" t="s">
        <v>54</v>
      </c>
      <c r="F894">
        <v>7.6</v>
      </c>
      <c r="G894">
        <v>1</v>
      </c>
      <c r="H894" s="1" t="s">
        <v>14</v>
      </c>
      <c r="I894" s="1" t="s">
        <v>15</v>
      </c>
      <c r="J894" s="12">
        <v>45726</v>
      </c>
      <c r="K894">
        <v>0</v>
      </c>
      <c r="L894" s="1">
        <f t="shared" si="52"/>
        <v>7.6</v>
      </c>
      <c r="M894" s="1" t="str">
        <f t="shared" si="53"/>
        <v/>
      </c>
      <c r="N894" s="2">
        <f t="shared" si="54"/>
        <v>45717</v>
      </c>
      <c r="O894" t="str">
        <f t="shared" si="55"/>
        <v>iné</v>
      </c>
    </row>
    <row r="895" spans="1:15" x14ac:dyDescent="0.25">
      <c r="A895">
        <v>8409</v>
      </c>
      <c r="B895" s="11">
        <v>4028899001126</v>
      </c>
      <c r="C895" s="1" t="s">
        <v>16</v>
      </c>
      <c r="D895" s="1" t="s">
        <v>12</v>
      </c>
      <c r="E895" s="1" t="s">
        <v>17</v>
      </c>
      <c r="F895">
        <v>2.8</v>
      </c>
      <c r="G895">
        <v>3</v>
      </c>
      <c r="H895" s="1" t="s">
        <v>14</v>
      </c>
      <c r="I895" s="1" t="s">
        <v>15</v>
      </c>
      <c r="J895" s="12">
        <v>45726</v>
      </c>
      <c r="K895">
        <v>0</v>
      </c>
      <c r="L895" s="1">
        <f t="shared" si="52"/>
        <v>8.3999999999999986</v>
      </c>
      <c r="M895" s="1" t="str">
        <f t="shared" si="53"/>
        <v/>
      </c>
      <c r="N895" s="2">
        <f t="shared" si="54"/>
        <v>45717</v>
      </c>
      <c r="O895" t="str">
        <f t="shared" si="55"/>
        <v>pes</v>
      </c>
    </row>
    <row r="896" spans="1:15" x14ac:dyDescent="0.25">
      <c r="A896">
        <v>8410</v>
      </c>
      <c r="B896" s="11">
        <v>4013456789017</v>
      </c>
      <c r="C896" s="1" t="s">
        <v>11</v>
      </c>
      <c r="D896" s="1" t="s">
        <v>12</v>
      </c>
      <c r="E896" s="1" t="s">
        <v>13</v>
      </c>
      <c r="F896">
        <v>6</v>
      </c>
      <c r="G896">
        <v>2</v>
      </c>
      <c r="H896" s="1" t="s">
        <v>14</v>
      </c>
      <c r="I896" s="1" t="s">
        <v>15</v>
      </c>
      <c r="J896" s="12">
        <v>45726</v>
      </c>
      <c r="K896">
        <v>0</v>
      </c>
      <c r="L896" s="1">
        <f t="shared" si="52"/>
        <v>12</v>
      </c>
      <c r="M896" s="1" t="str">
        <f t="shared" si="53"/>
        <v/>
      </c>
      <c r="N896" s="2">
        <f t="shared" si="54"/>
        <v>45717</v>
      </c>
      <c r="O896" t="str">
        <f t="shared" si="55"/>
        <v>pes</v>
      </c>
    </row>
    <row r="897" spans="1:15" x14ac:dyDescent="0.25">
      <c r="A897">
        <v>8411</v>
      </c>
      <c r="B897" s="11">
        <v>4040123456795</v>
      </c>
      <c r="C897" s="1" t="s">
        <v>20</v>
      </c>
      <c r="D897" s="1" t="s">
        <v>21</v>
      </c>
      <c r="E897" s="1" t="s">
        <v>22</v>
      </c>
      <c r="F897">
        <v>8.8000000000000007</v>
      </c>
      <c r="G897">
        <v>1</v>
      </c>
      <c r="H897" s="1" t="s">
        <v>14</v>
      </c>
      <c r="I897" s="1" t="s">
        <v>15</v>
      </c>
      <c r="J897" s="12">
        <v>45726</v>
      </c>
      <c r="K897">
        <v>0</v>
      </c>
      <c r="L897" s="1">
        <f t="shared" si="52"/>
        <v>8.8000000000000007</v>
      </c>
      <c r="M897" s="1" t="str">
        <f t="shared" si="53"/>
        <v/>
      </c>
      <c r="N897" s="2">
        <f t="shared" si="54"/>
        <v>45717</v>
      </c>
      <c r="O897" t="str">
        <f t="shared" si="55"/>
        <v>pes</v>
      </c>
    </row>
    <row r="898" spans="1:15" hidden="1" x14ac:dyDescent="0.25">
      <c r="A898">
        <v>8412</v>
      </c>
      <c r="B898" s="11">
        <v>4010123456783</v>
      </c>
      <c r="C898" s="1" t="s">
        <v>35</v>
      </c>
      <c r="D898" s="1" t="s">
        <v>36</v>
      </c>
      <c r="E898" s="1" t="s">
        <v>37</v>
      </c>
      <c r="F898">
        <v>14</v>
      </c>
      <c r="G898">
        <v>2</v>
      </c>
      <c r="H898" s="1" t="s">
        <v>14</v>
      </c>
      <c r="I898" s="1" t="s">
        <v>15</v>
      </c>
      <c r="J898" s="12">
        <v>45726</v>
      </c>
      <c r="K898">
        <v>0</v>
      </c>
      <c r="L898" s="1">
        <f t="shared" ref="L898:L961" si="56">F898*G898</f>
        <v>28</v>
      </c>
      <c r="M898" s="1" t="str">
        <f t="shared" ref="M898:M961" si="57">IF(H898="NULL", "",VALUE(H898))</f>
        <v/>
      </c>
      <c r="N898" s="2">
        <f t="shared" ref="N898:N961" si="58">DATE(YEAR(J898),MONTH(J898),1)</f>
        <v>45717</v>
      </c>
      <c r="O898" t="str">
        <f t="shared" ref="O898:O961" si="59">IF(ISNUMBER(SEARCH("Mačky",D898)),"mačka",IF(ISNUMBER(SEARCH("Psy",D898)),"pes","iné"))</f>
        <v>mačka</v>
      </c>
    </row>
    <row r="899" spans="1:15" x14ac:dyDescent="0.25">
      <c r="A899">
        <v>8413</v>
      </c>
      <c r="B899" s="11">
        <v>4063456789014</v>
      </c>
      <c r="C899" s="1" t="s">
        <v>60</v>
      </c>
      <c r="D899" s="1" t="s">
        <v>12</v>
      </c>
      <c r="E899" s="1" t="s">
        <v>61</v>
      </c>
      <c r="F899">
        <v>36</v>
      </c>
      <c r="G899">
        <v>1</v>
      </c>
      <c r="H899" s="1" t="s">
        <v>14</v>
      </c>
      <c r="I899" s="1" t="s">
        <v>15</v>
      </c>
      <c r="J899" s="12">
        <v>45726</v>
      </c>
      <c r="K899">
        <v>0</v>
      </c>
      <c r="L899" s="1">
        <f t="shared" si="56"/>
        <v>36</v>
      </c>
      <c r="M899" s="1" t="str">
        <f t="shared" si="57"/>
        <v/>
      </c>
      <c r="N899" s="2">
        <f t="shared" si="58"/>
        <v>45717</v>
      </c>
      <c r="O899" t="str">
        <f t="shared" si="59"/>
        <v>pes</v>
      </c>
    </row>
    <row r="900" spans="1:15" x14ac:dyDescent="0.25">
      <c r="A900">
        <v>8414</v>
      </c>
      <c r="B900" s="11">
        <v>4028899001126</v>
      </c>
      <c r="C900" s="1" t="s">
        <v>16</v>
      </c>
      <c r="D900" s="1" t="s">
        <v>12</v>
      </c>
      <c r="E900" s="1" t="s">
        <v>17</v>
      </c>
      <c r="F900">
        <v>2.8</v>
      </c>
      <c r="G900">
        <v>5</v>
      </c>
      <c r="H900" s="1" t="s">
        <v>23</v>
      </c>
      <c r="I900" s="1" t="s">
        <v>184</v>
      </c>
      <c r="J900" s="12">
        <v>45727</v>
      </c>
      <c r="K900">
        <v>0</v>
      </c>
      <c r="L900" s="1">
        <f t="shared" si="56"/>
        <v>14</v>
      </c>
      <c r="M900" s="1">
        <f t="shared" si="57"/>
        <v>5</v>
      </c>
      <c r="N900" s="2">
        <f t="shared" si="58"/>
        <v>45717</v>
      </c>
      <c r="O900" t="str">
        <f t="shared" si="59"/>
        <v>pes</v>
      </c>
    </row>
    <row r="901" spans="1:15" x14ac:dyDescent="0.25">
      <c r="A901">
        <v>8415</v>
      </c>
      <c r="B901" s="11">
        <v>4013456789017</v>
      </c>
      <c r="C901" s="1" t="s">
        <v>11</v>
      </c>
      <c r="D901" s="1" t="s">
        <v>12</v>
      </c>
      <c r="E901" s="1" t="s">
        <v>13</v>
      </c>
      <c r="F901">
        <v>6</v>
      </c>
      <c r="G901">
        <v>1</v>
      </c>
      <c r="H901" s="1" t="s">
        <v>14</v>
      </c>
      <c r="I901" s="1" t="s">
        <v>15</v>
      </c>
      <c r="J901" s="12">
        <v>45727</v>
      </c>
      <c r="K901">
        <v>0</v>
      </c>
      <c r="L901" s="1">
        <f t="shared" si="56"/>
        <v>6</v>
      </c>
      <c r="M901" s="1" t="str">
        <f t="shared" si="57"/>
        <v/>
      </c>
      <c r="N901" s="2">
        <f t="shared" si="58"/>
        <v>45717</v>
      </c>
      <c r="O901" t="str">
        <f t="shared" si="59"/>
        <v>pes</v>
      </c>
    </row>
    <row r="902" spans="1:15" x14ac:dyDescent="0.25">
      <c r="A902">
        <v>8416</v>
      </c>
      <c r="B902" s="11">
        <v>4040123456795</v>
      </c>
      <c r="C902" s="1" t="s">
        <v>20</v>
      </c>
      <c r="D902" s="1" t="s">
        <v>21</v>
      </c>
      <c r="E902" s="1" t="s">
        <v>22</v>
      </c>
      <c r="F902">
        <v>8.8000000000000007</v>
      </c>
      <c r="G902">
        <v>1</v>
      </c>
      <c r="H902" s="1" t="s">
        <v>14</v>
      </c>
      <c r="I902" s="1" t="s">
        <v>15</v>
      </c>
      <c r="J902" s="12">
        <v>45727</v>
      </c>
      <c r="K902">
        <v>0</v>
      </c>
      <c r="L902" s="1">
        <f t="shared" si="56"/>
        <v>8.8000000000000007</v>
      </c>
      <c r="M902" s="1" t="str">
        <f t="shared" si="57"/>
        <v/>
      </c>
      <c r="N902" s="2">
        <f t="shared" si="58"/>
        <v>45717</v>
      </c>
      <c r="O902" t="str">
        <f t="shared" si="59"/>
        <v>pes</v>
      </c>
    </row>
    <row r="903" spans="1:15" hidden="1" x14ac:dyDescent="0.25">
      <c r="A903">
        <v>8417</v>
      </c>
      <c r="B903" s="11">
        <v>4010123456783</v>
      </c>
      <c r="C903" s="1" t="s">
        <v>35</v>
      </c>
      <c r="D903" s="1" t="s">
        <v>36</v>
      </c>
      <c r="E903" s="1" t="s">
        <v>37</v>
      </c>
      <c r="F903">
        <v>14</v>
      </c>
      <c r="G903">
        <v>1</v>
      </c>
      <c r="H903" s="1" t="s">
        <v>14</v>
      </c>
      <c r="I903" s="1" t="s">
        <v>15</v>
      </c>
      <c r="J903" s="12">
        <v>45727</v>
      </c>
      <c r="K903">
        <v>0</v>
      </c>
      <c r="L903" s="1">
        <f t="shared" si="56"/>
        <v>14</v>
      </c>
      <c r="M903" s="1" t="str">
        <f t="shared" si="57"/>
        <v/>
      </c>
      <c r="N903" s="2">
        <f t="shared" si="58"/>
        <v>45717</v>
      </c>
      <c r="O903" t="str">
        <f t="shared" si="59"/>
        <v>mačka</v>
      </c>
    </row>
    <row r="904" spans="1:15" x14ac:dyDescent="0.25">
      <c r="A904">
        <v>8418</v>
      </c>
      <c r="B904" s="11">
        <v>4063456789014</v>
      </c>
      <c r="C904" s="1" t="s">
        <v>60</v>
      </c>
      <c r="D904" s="1" t="s">
        <v>12</v>
      </c>
      <c r="E904" s="1" t="s">
        <v>61</v>
      </c>
      <c r="F904">
        <v>36</v>
      </c>
      <c r="G904">
        <v>1</v>
      </c>
      <c r="H904" s="1" t="s">
        <v>18</v>
      </c>
      <c r="I904" s="1" t="s">
        <v>185</v>
      </c>
      <c r="J904" s="12">
        <v>45727</v>
      </c>
      <c r="K904">
        <v>0</v>
      </c>
      <c r="L904" s="1">
        <f t="shared" si="56"/>
        <v>36</v>
      </c>
      <c r="M904" s="1">
        <f t="shared" si="57"/>
        <v>4</v>
      </c>
      <c r="N904" s="2">
        <f t="shared" si="58"/>
        <v>45717</v>
      </c>
      <c r="O904" t="str">
        <f t="shared" si="59"/>
        <v>pes</v>
      </c>
    </row>
    <row r="905" spans="1:15" hidden="1" x14ac:dyDescent="0.25">
      <c r="A905">
        <v>8419</v>
      </c>
      <c r="B905" s="11">
        <v>4021234567894</v>
      </c>
      <c r="C905" s="1" t="s">
        <v>79</v>
      </c>
      <c r="D905" s="1" t="s">
        <v>36</v>
      </c>
      <c r="E905" s="1" t="s">
        <v>69</v>
      </c>
      <c r="F905">
        <v>8</v>
      </c>
      <c r="G905">
        <v>1</v>
      </c>
      <c r="H905" s="1" t="s">
        <v>14</v>
      </c>
      <c r="I905" s="1" t="s">
        <v>15</v>
      </c>
      <c r="J905" s="12">
        <v>45727</v>
      </c>
      <c r="K905">
        <v>0</v>
      </c>
      <c r="L905" s="1">
        <f t="shared" si="56"/>
        <v>8</v>
      </c>
      <c r="M905" s="1" t="str">
        <f t="shared" si="57"/>
        <v/>
      </c>
      <c r="N905" s="2">
        <f t="shared" si="58"/>
        <v>45717</v>
      </c>
      <c r="O905" t="str">
        <f t="shared" si="59"/>
        <v>mačka</v>
      </c>
    </row>
    <row r="906" spans="1:15" x14ac:dyDescent="0.25">
      <c r="A906">
        <v>8420</v>
      </c>
      <c r="B906" s="11">
        <v>4061011223346</v>
      </c>
      <c r="C906" s="1" t="s">
        <v>25</v>
      </c>
      <c r="D906" s="1" t="s">
        <v>26</v>
      </c>
      <c r="E906" s="1" t="s">
        <v>27</v>
      </c>
      <c r="F906">
        <v>19.600000000000001</v>
      </c>
      <c r="G906">
        <v>1</v>
      </c>
      <c r="H906" s="1" t="s">
        <v>14</v>
      </c>
      <c r="I906" s="1" t="s">
        <v>15</v>
      </c>
      <c r="J906" s="12">
        <v>45727</v>
      </c>
      <c r="K906">
        <v>0</v>
      </c>
      <c r="L906" s="1">
        <f t="shared" si="56"/>
        <v>19.600000000000001</v>
      </c>
      <c r="M906" s="1" t="str">
        <f t="shared" si="57"/>
        <v/>
      </c>
      <c r="N906" s="2">
        <f t="shared" si="58"/>
        <v>45717</v>
      </c>
      <c r="O906" t="str">
        <f t="shared" si="59"/>
        <v>pes</v>
      </c>
    </row>
    <row r="907" spans="1:15" hidden="1" x14ac:dyDescent="0.25">
      <c r="A907">
        <v>8421</v>
      </c>
      <c r="B907" s="11">
        <v>4026677889902</v>
      </c>
      <c r="C907" s="1" t="s">
        <v>52</v>
      </c>
      <c r="D907" s="1" t="s">
        <v>53</v>
      </c>
      <c r="E907" s="1" t="s">
        <v>54</v>
      </c>
      <c r="F907">
        <v>7.6</v>
      </c>
      <c r="G907">
        <v>1</v>
      </c>
      <c r="H907" s="1" t="s">
        <v>14</v>
      </c>
      <c r="I907" s="1" t="s">
        <v>15</v>
      </c>
      <c r="J907" s="12">
        <v>45727</v>
      </c>
      <c r="K907">
        <v>0</v>
      </c>
      <c r="L907" s="1">
        <f t="shared" si="56"/>
        <v>7.6</v>
      </c>
      <c r="M907" s="1" t="str">
        <f t="shared" si="57"/>
        <v/>
      </c>
      <c r="N907" s="2">
        <f t="shared" si="58"/>
        <v>45717</v>
      </c>
      <c r="O907" t="str">
        <f t="shared" si="59"/>
        <v>iné</v>
      </c>
    </row>
    <row r="908" spans="1:15" x14ac:dyDescent="0.25">
      <c r="A908">
        <v>8422</v>
      </c>
      <c r="B908" s="11">
        <v>4028899001126</v>
      </c>
      <c r="C908" s="1" t="s">
        <v>16</v>
      </c>
      <c r="D908" s="1" t="s">
        <v>12</v>
      </c>
      <c r="E908" s="1" t="s">
        <v>17</v>
      </c>
      <c r="F908">
        <v>2.8</v>
      </c>
      <c r="G908">
        <v>4</v>
      </c>
      <c r="H908" s="1" t="s">
        <v>14</v>
      </c>
      <c r="I908" s="1" t="s">
        <v>15</v>
      </c>
      <c r="J908" s="12">
        <v>45727</v>
      </c>
      <c r="K908">
        <v>0</v>
      </c>
      <c r="L908" s="1">
        <f t="shared" si="56"/>
        <v>11.2</v>
      </c>
      <c r="M908" s="1" t="str">
        <f t="shared" si="57"/>
        <v/>
      </c>
      <c r="N908" s="2">
        <f t="shared" si="58"/>
        <v>45717</v>
      </c>
      <c r="O908" t="str">
        <f t="shared" si="59"/>
        <v>pes</v>
      </c>
    </row>
    <row r="909" spans="1:15" x14ac:dyDescent="0.25">
      <c r="A909">
        <v>8423</v>
      </c>
      <c r="B909" s="11">
        <v>4013456789017</v>
      </c>
      <c r="C909" s="1" t="s">
        <v>11</v>
      </c>
      <c r="D909" s="1" t="s">
        <v>12</v>
      </c>
      <c r="E909" s="1" t="s">
        <v>13</v>
      </c>
      <c r="F909">
        <v>6</v>
      </c>
      <c r="G909">
        <v>2</v>
      </c>
      <c r="H909" s="1" t="s">
        <v>14</v>
      </c>
      <c r="I909" s="1" t="s">
        <v>15</v>
      </c>
      <c r="J909" s="12">
        <v>45727</v>
      </c>
      <c r="K909">
        <v>0</v>
      </c>
      <c r="L909" s="1">
        <f t="shared" si="56"/>
        <v>12</v>
      </c>
      <c r="M909" s="1" t="str">
        <f t="shared" si="57"/>
        <v/>
      </c>
      <c r="N909" s="2">
        <f t="shared" si="58"/>
        <v>45717</v>
      </c>
      <c r="O909" t="str">
        <f t="shared" si="59"/>
        <v>pes</v>
      </c>
    </row>
    <row r="910" spans="1:15" x14ac:dyDescent="0.25">
      <c r="A910">
        <v>8424</v>
      </c>
      <c r="B910" s="11">
        <v>4040123456795</v>
      </c>
      <c r="C910" s="1" t="s">
        <v>20</v>
      </c>
      <c r="D910" s="1" t="s">
        <v>21</v>
      </c>
      <c r="E910" s="1" t="s">
        <v>22</v>
      </c>
      <c r="F910">
        <v>8.8000000000000007</v>
      </c>
      <c r="G910">
        <v>1</v>
      </c>
      <c r="H910" s="1" t="s">
        <v>14</v>
      </c>
      <c r="I910" s="1" t="s">
        <v>15</v>
      </c>
      <c r="J910" s="12">
        <v>45727</v>
      </c>
      <c r="K910">
        <v>0</v>
      </c>
      <c r="L910" s="1">
        <f t="shared" si="56"/>
        <v>8.8000000000000007</v>
      </c>
      <c r="M910" s="1" t="str">
        <f t="shared" si="57"/>
        <v/>
      </c>
      <c r="N910" s="2">
        <f t="shared" si="58"/>
        <v>45717</v>
      </c>
      <c r="O910" t="str">
        <f t="shared" si="59"/>
        <v>pes</v>
      </c>
    </row>
    <row r="911" spans="1:15" hidden="1" x14ac:dyDescent="0.25">
      <c r="A911">
        <v>8425</v>
      </c>
      <c r="B911" s="11">
        <v>4010123456783</v>
      </c>
      <c r="C911" s="1" t="s">
        <v>35</v>
      </c>
      <c r="D911" s="1" t="s">
        <v>36</v>
      </c>
      <c r="E911" s="1" t="s">
        <v>37</v>
      </c>
      <c r="F911">
        <v>14</v>
      </c>
      <c r="G911">
        <v>2</v>
      </c>
      <c r="H911" s="1" t="s">
        <v>14</v>
      </c>
      <c r="I911" s="1" t="s">
        <v>15</v>
      </c>
      <c r="J911" s="12">
        <v>45727</v>
      </c>
      <c r="K911">
        <v>0</v>
      </c>
      <c r="L911" s="1">
        <f t="shared" si="56"/>
        <v>28</v>
      </c>
      <c r="M911" s="1" t="str">
        <f t="shared" si="57"/>
        <v/>
      </c>
      <c r="N911" s="2">
        <f t="shared" si="58"/>
        <v>45717</v>
      </c>
      <c r="O911" t="str">
        <f t="shared" si="59"/>
        <v>mačka</v>
      </c>
    </row>
    <row r="912" spans="1:15" x14ac:dyDescent="0.25">
      <c r="A912">
        <v>8426</v>
      </c>
      <c r="B912" s="11">
        <v>4063456789014</v>
      </c>
      <c r="C912" s="1" t="s">
        <v>60</v>
      </c>
      <c r="D912" s="1" t="s">
        <v>12</v>
      </c>
      <c r="E912" s="1" t="s">
        <v>61</v>
      </c>
      <c r="F912">
        <v>36</v>
      </c>
      <c r="G912">
        <v>1</v>
      </c>
      <c r="H912" s="1" t="s">
        <v>14</v>
      </c>
      <c r="I912" s="1" t="s">
        <v>15</v>
      </c>
      <c r="J912" s="12">
        <v>45727</v>
      </c>
      <c r="K912">
        <v>0</v>
      </c>
      <c r="L912" s="1">
        <f t="shared" si="56"/>
        <v>36</v>
      </c>
      <c r="M912" s="1" t="str">
        <f t="shared" si="57"/>
        <v/>
      </c>
      <c r="N912" s="2">
        <f t="shared" si="58"/>
        <v>45717</v>
      </c>
      <c r="O912" t="str">
        <f t="shared" si="59"/>
        <v>pes</v>
      </c>
    </row>
    <row r="913" spans="1:15" x14ac:dyDescent="0.25">
      <c r="A913">
        <v>8427</v>
      </c>
      <c r="B913" s="11">
        <v>4028899001126</v>
      </c>
      <c r="C913" s="1" t="s">
        <v>16</v>
      </c>
      <c r="D913" s="1" t="s">
        <v>12</v>
      </c>
      <c r="E913" s="1" t="s">
        <v>17</v>
      </c>
      <c r="F913">
        <v>2.8</v>
      </c>
      <c r="G913">
        <v>3</v>
      </c>
      <c r="H913" s="1" t="s">
        <v>14</v>
      </c>
      <c r="I913" s="1" t="s">
        <v>15</v>
      </c>
      <c r="J913" s="12">
        <v>45728</v>
      </c>
      <c r="K913">
        <v>0</v>
      </c>
      <c r="L913" s="1">
        <f t="shared" si="56"/>
        <v>8.3999999999999986</v>
      </c>
      <c r="M913" s="1" t="str">
        <f t="shared" si="57"/>
        <v/>
      </c>
      <c r="N913" s="2">
        <f t="shared" si="58"/>
        <v>45717</v>
      </c>
      <c r="O913" t="str">
        <f t="shared" si="59"/>
        <v>pes</v>
      </c>
    </row>
    <row r="914" spans="1:15" x14ac:dyDescent="0.25">
      <c r="A914">
        <v>8428</v>
      </c>
      <c r="B914" s="11">
        <v>4013456789017</v>
      </c>
      <c r="C914" s="1" t="s">
        <v>11</v>
      </c>
      <c r="D914" s="1" t="s">
        <v>12</v>
      </c>
      <c r="E914" s="1" t="s">
        <v>13</v>
      </c>
      <c r="F914">
        <v>6</v>
      </c>
      <c r="G914">
        <v>2</v>
      </c>
      <c r="H914" s="1" t="s">
        <v>14</v>
      </c>
      <c r="I914" s="1" t="s">
        <v>15</v>
      </c>
      <c r="J914" s="12">
        <v>45728</v>
      </c>
      <c r="K914">
        <v>0</v>
      </c>
      <c r="L914" s="1">
        <f t="shared" si="56"/>
        <v>12</v>
      </c>
      <c r="M914" s="1" t="str">
        <f t="shared" si="57"/>
        <v/>
      </c>
      <c r="N914" s="2">
        <f t="shared" si="58"/>
        <v>45717</v>
      </c>
      <c r="O914" t="str">
        <f t="shared" si="59"/>
        <v>pes</v>
      </c>
    </row>
    <row r="915" spans="1:15" x14ac:dyDescent="0.25">
      <c r="A915">
        <v>8429</v>
      </c>
      <c r="B915" s="11">
        <v>4040123456795</v>
      </c>
      <c r="C915" s="1" t="s">
        <v>20</v>
      </c>
      <c r="D915" s="1" t="s">
        <v>21</v>
      </c>
      <c r="E915" s="1" t="s">
        <v>22</v>
      </c>
      <c r="F915">
        <v>8.8000000000000007</v>
      </c>
      <c r="G915">
        <v>1</v>
      </c>
      <c r="H915" s="1" t="s">
        <v>14</v>
      </c>
      <c r="I915" s="1" t="s">
        <v>15</v>
      </c>
      <c r="J915" s="12">
        <v>45728</v>
      </c>
      <c r="K915">
        <v>0</v>
      </c>
      <c r="L915" s="1">
        <f t="shared" si="56"/>
        <v>8.8000000000000007</v>
      </c>
      <c r="M915" s="1" t="str">
        <f t="shared" si="57"/>
        <v/>
      </c>
      <c r="N915" s="2">
        <f t="shared" si="58"/>
        <v>45717</v>
      </c>
      <c r="O915" t="str">
        <f t="shared" si="59"/>
        <v>pes</v>
      </c>
    </row>
    <row r="916" spans="1:15" hidden="1" x14ac:dyDescent="0.25">
      <c r="A916">
        <v>8430</v>
      </c>
      <c r="B916" s="11">
        <v>4010123456783</v>
      </c>
      <c r="C916" s="1" t="s">
        <v>35</v>
      </c>
      <c r="D916" s="1" t="s">
        <v>36</v>
      </c>
      <c r="E916" s="1" t="s">
        <v>37</v>
      </c>
      <c r="F916">
        <v>14</v>
      </c>
      <c r="G916">
        <v>1</v>
      </c>
      <c r="H916" s="1" t="s">
        <v>14</v>
      </c>
      <c r="I916" s="1" t="s">
        <v>15</v>
      </c>
      <c r="J916" s="12">
        <v>45728</v>
      </c>
      <c r="K916">
        <v>0</v>
      </c>
      <c r="L916" s="1">
        <f t="shared" si="56"/>
        <v>14</v>
      </c>
      <c r="M916" s="1" t="str">
        <f t="shared" si="57"/>
        <v/>
      </c>
      <c r="N916" s="2">
        <f t="shared" si="58"/>
        <v>45717</v>
      </c>
      <c r="O916" t="str">
        <f t="shared" si="59"/>
        <v>mačka</v>
      </c>
    </row>
    <row r="917" spans="1:15" hidden="1" x14ac:dyDescent="0.25">
      <c r="A917">
        <v>8431</v>
      </c>
      <c r="B917" s="11">
        <v>4056789012345</v>
      </c>
      <c r="C917" s="1" t="s">
        <v>47</v>
      </c>
      <c r="D917" s="1" t="s">
        <v>29</v>
      </c>
      <c r="E917" s="1" t="s">
        <v>37</v>
      </c>
      <c r="F917">
        <v>2.4</v>
      </c>
      <c r="G917">
        <v>2</v>
      </c>
      <c r="H917" s="1" t="s">
        <v>14</v>
      </c>
      <c r="I917" s="1" t="s">
        <v>15</v>
      </c>
      <c r="J917" s="12">
        <v>45728</v>
      </c>
      <c r="K917">
        <v>0</v>
      </c>
      <c r="L917" s="1">
        <f t="shared" si="56"/>
        <v>4.8</v>
      </c>
      <c r="M917" s="1" t="str">
        <f t="shared" si="57"/>
        <v/>
      </c>
      <c r="N917" s="2">
        <f t="shared" si="58"/>
        <v>45717</v>
      </c>
      <c r="O917" t="str">
        <f t="shared" si="59"/>
        <v>mačka</v>
      </c>
    </row>
    <row r="918" spans="1:15" x14ac:dyDescent="0.25">
      <c r="A918">
        <v>8432</v>
      </c>
      <c r="B918" s="11">
        <v>4063456789014</v>
      </c>
      <c r="C918" s="1" t="s">
        <v>60</v>
      </c>
      <c r="D918" s="1" t="s">
        <v>12</v>
      </c>
      <c r="E918" s="1" t="s">
        <v>61</v>
      </c>
      <c r="F918">
        <v>36</v>
      </c>
      <c r="G918">
        <v>1</v>
      </c>
      <c r="H918" s="1" t="s">
        <v>14</v>
      </c>
      <c r="I918" s="1" t="s">
        <v>15</v>
      </c>
      <c r="J918" s="12">
        <v>45728</v>
      </c>
      <c r="K918">
        <v>0</v>
      </c>
      <c r="L918" s="1">
        <f t="shared" si="56"/>
        <v>36</v>
      </c>
      <c r="M918" s="1" t="str">
        <f t="shared" si="57"/>
        <v/>
      </c>
      <c r="N918" s="2">
        <f t="shared" si="58"/>
        <v>45717</v>
      </c>
      <c r="O918" t="str">
        <f t="shared" si="59"/>
        <v>pes</v>
      </c>
    </row>
    <row r="919" spans="1:15" hidden="1" x14ac:dyDescent="0.25">
      <c r="A919">
        <v>8433</v>
      </c>
      <c r="B919" s="11">
        <v>4021234567894</v>
      </c>
      <c r="C919" s="1" t="s">
        <v>79</v>
      </c>
      <c r="D919" s="1" t="s">
        <v>36</v>
      </c>
      <c r="E919" s="1" t="s">
        <v>69</v>
      </c>
      <c r="F919">
        <v>8</v>
      </c>
      <c r="G919">
        <v>1</v>
      </c>
      <c r="H919" s="1" t="s">
        <v>14</v>
      </c>
      <c r="I919" s="1" t="s">
        <v>15</v>
      </c>
      <c r="J919" s="12">
        <v>45728</v>
      </c>
      <c r="K919">
        <v>0</v>
      </c>
      <c r="L919" s="1">
        <f t="shared" si="56"/>
        <v>8</v>
      </c>
      <c r="M919" s="1" t="str">
        <f t="shared" si="57"/>
        <v/>
      </c>
      <c r="N919" s="2">
        <f t="shared" si="58"/>
        <v>45717</v>
      </c>
      <c r="O919" t="str">
        <f t="shared" si="59"/>
        <v>mačka</v>
      </c>
    </row>
    <row r="920" spans="1:15" x14ac:dyDescent="0.25">
      <c r="A920">
        <v>8434</v>
      </c>
      <c r="B920" s="11">
        <v>4061011223346</v>
      </c>
      <c r="C920" s="1" t="s">
        <v>25</v>
      </c>
      <c r="D920" s="1" t="s">
        <v>26</v>
      </c>
      <c r="E920" s="1" t="s">
        <v>27</v>
      </c>
      <c r="F920">
        <v>19.600000000000001</v>
      </c>
      <c r="G920">
        <v>1</v>
      </c>
      <c r="H920" s="1" t="s">
        <v>14</v>
      </c>
      <c r="I920" s="1" t="s">
        <v>15</v>
      </c>
      <c r="J920" s="12">
        <v>45728</v>
      </c>
      <c r="K920">
        <v>0</v>
      </c>
      <c r="L920" s="1">
        <f t="shared" si="56"/>
        <v>19.600000000000001</v>
      </c>
      <c r="M920" s="1" t="str">
        <f t="shared" si="57"/>
        <v/>
      </c>
      <c r="N920" s="2">
        <f t="shared" si="58"/>
        <v>45717</v>
      </c>
      <c r="O920" t="str">
        <f t="shared" si="59"/>
        <v>pes</v>
      </c>
    </row>
    <row r="921" spans="1:15" hidden="1" x14ac:dyDescent="0.25">
      <c r="A921">
        <v>8435</v>
      </c>
      <c r="B921" s="11">
        <v>4026677889902</v>
      </c>
      <c r="C921" s="1" t="s">
        <v>52</v>
      </c>
      <c r="D921" s="1" t="s">
        <v>53</v>
      </c>
      <c r="E921" s="1" t="s">
        <v>54</v>
      </c>
      <c r="F921">
        <v>7.6</v>
      </c>
      <c r="G921">
        <v>1</v>
      </c>
      <c r="H921" s="1" t="s">
        <v>14</v>
      </c>
      <c r="I921" s="1" t="s">
        <v>15</v>
      </c>
      <c r="J921" s="12">
        <v>45728</v>
      </c>
      <c r="K921">
        <v>0</v>
      </c>
      <c r="L921" s="1">
        <f t="shared" si="56"/>
        <v>7.6</v>
      </c>
      <c r="M921" s="1" t="str">
        <f t="shared" si="57"/>
        <v/>
      </c>
      <c r="N921" s="2">
        <f t="shared" si="58"/>
        <v>45717</v>
      </c>
      <c r="O921" t="str">
        <f t="shared" si="59"/>
        <v>iné</v>
      </c>
    </row>
    <row r="922" spans="1:15" x14ac:dyDescent="0.25">
      <c r="A922">
        <v>8436</v>
      </c>
      <c r="B922" s="11">
        <v>4028899001126</v>
      </c>
      <c r="C922" s="1" t="s">
        <v>16</v>
      </c>
      <c r="D922" s="1" t="s">
        <v>12</v>
      </c>
      <c r="E922" s="1" t="s">
        <v>17</v>
      </c>
      <c r="F922">
        <v>2.8</v>
      </c>
      <c r="G922">
        <v>4</v>
      </c>
      <c r="H922" s="1" t="s">
        <v>14</v>
      </c>
      <c r="I922" s="1" t="s">
        <v>15</v>
      </c>
      <c r="J922" s="12">
        <v>45728</v>
      </c>
      <c r="K922">
        <v>0</v>
      </c>
      <c r="L922" s="1">
        <f t="shared" si="56"/>
        <v>11.2</v>
      </c>
      <c r="M922" s="1" t="str">
        <f t="shared" si="57"/>
        <v/>
      </c>
      <c r="N922" s="2">
        <f t="shared" si="58"/>
        <v>45717</v>
      </c>
      <c r="O922" t="str">
        <f t="shared" si="59"/>
        <v>pes</v>
      </c>
    </row>
    <row r="923" spans="1:15" x14ac:dyDescent="0.25">
      <c r="A923">
        <v>8437</v>
      </c>
      <c r="B923" s="11">
        <v>4013456789017</v>
      </c>
      <c r="C923" s="1" t="s">
        <v>11</v>
      </c>
      <c r="D923" s="1" t="s">
        <v>12</v>
      </c>
      <c r="E923" s="1" t="s">
        <v>13</v>
      </c>
      <c r="F923">
        <v>6</v>
      </c>
      <c r="G923">
        <v>2</v>
      </c>
      <c r="H923" s="1" t="s">
        <v>14</v>
      </c>
      <c r="I923" s="1" t="s">
        <v>15</v>
      </c>
      <c r="J923" s="12">
        <v>45728</v>
      </c>
      <c r="K923">
        <v>0</v>
      </c>
      <c r="L923" s="1">
        <f t="shared" si="56"/>
        <v>12</v>
      </c>
      <c r="M923" s="1" t="str">
        <f t="shared" si="57"/>
        <v/>
      </c>
      <c r="N923" s="2">
        <f t="shared" si="58"/>
        <v>45717</v>
      </c>
      <c r="O923" t="str">
        <f t="shared" si="59"/>
        <v>pes</v>
      </c>
    </row>
    <row r="924" spans="1:15" x14ac:dyDescent="0.25">
      <c r="A924">
        <v>8438</v>
      </c>
      <c r="B924" s="11">
        <v>4040123456795</v>
      </c>
      <c r="C924" s="1" t="s">
        <v>20</v>
      </c>
      <c r="D924" s="1" t="s">
        <v>21</v>
      </c>
      <c r="E924" s="1" t="s">
        <v>22</v>
      </c>
      <c r="F924">
        <v>8.8000000000000007</v>
      </c>
      <c r="G924">
        <v>1</v>
      </c>
      <c r="H924" s="1" t="s">
        <v>14</v>
      </c>
      <c r="I924" s="1" t="s">
        <v>15</v>
      </c>
      <c r="J924" s="12">
        <v>45728</v>
      </c>
      <c r="K924">
        <v>0</v>
      </c>
      <c r="L924" s="1">
        <f t="shared" si="56"/>
        <v>8.8000000000000007</v>
      </c>
      <c r="M924" s="1" t="str">
        <f t="shared" si="57"/>
        <v/>
      </c>
      <c r="N924" s="2">
        <f t="shared" si="58"/>
        <v>45717</v>
      </c>
      <c r="O924" t="str">
        <f t="shared" si="59"/>
        <v>pes</v>
      </c>
    </row>
    <row r="925" spans="1:15" hidden="1" x14ac:dyDescent="0.25">
      <c r="A925">
        <v>8439</v>
      </c>
      <c r="B925" s="11">
        <v>4010123456783</v>
      </c>
      <c r="C925" s="1" t="s">
        <v>35</v>
      </c>
      <c r="D925" s="1" t="s">
        <v>36</v>
      </c>
      <c r="E925" s="1" t="s">
        <v>37</v>
      </c>
      <c r="F925">
        <v>14</v>
      </c>
      <c r="G925">
        <v>1</v>
      </c>
      <c r="H925" s="1" t="s">
        <v>14</v>
      </c>
      <c r="I925" s="1" t="s">
        <v>15</v>
      </c>
      <c r="J925" s="12">
        <v>45728</v>
      </c>
      <c r="K925">
        <v>0</v>
      </c>
      <c r="L925" s="1">
        <f t="shared" si="56"/>
        <v>14</v>
      </c>
      <c r="M925" s="1" t="str">
        <f t="shared" si="57"/>
        <v/>
      </c>
      <c r="N925" s="2">
        <f t="shared" si="58"/>
        <v>45717</v>
      </c>
      <c r="O925" t="str">
        <f t="shared" si="59"/>
        <v>mačka</v>
      </c>
    </row>
    <row r="926" spans="1:15" x14ac:dyDescent="0.25">
      <c r="A926">
        <v>8440</v>
      </c>
      <c r="B926" s="11">
        <v>4063456789014</v>
      </c>
      <c r="C926" s="1" t="s">
        <v>60</v>
      </c>
      <c r="D926" s="1" t="s">
        <v>12</v>
      </c>
      <c r="E926" s="1" t="s">
        <v>61</v>
      </c>
      <c r="F926">
        <v>36</v>
      </c>
      <c r="G926">
        <v>1</v>
      </c>
      <c r="H926" s="1" t="s">
        <v>14</v>
      </c>
      <c r="I926" s="1" t="s">
        <v>15</v>
      </c>
      <c r="J926" s="12">
        <v>45728</v>
      </c>
      <c r="K926">
        <v>0</v>
      </c>
      <c r="L926" s="1">
        <f t="shared" si="56"/>
        <v>36</v>
      </c>
      <c r="M926" s="1" t="str">
        <f t="shared" si="57"/>
        <v/>
      </c>
      <c r="N926" s="2">
        <f t="shared" si="58"/>
        <v>45717</v>
      </c>
      <c r="O926" t="str">
        <f t="shared" si="59"/>
        <v>pes</v>
      </c>
    </row>
    <row r="927" spans="1:15" x14ac:dyDescent="0.25">
      <c r="A927">
        <v>8441</v>
      </c>
      <c r="B927" s="11">
        <v>4028899001126</v>
      </c>
      <c r="C927" s="1" t="s">
        <v>16</v>
      </c>
      <c r="D927" s="1" t="s">
        <v>12</v>
      </c>
      <c r="E927" s="1" t="s">
        <v>17</v>
      </c>
      <c r="F927">
        <v>2.8</v>
      </c>
      <c r="G927">
        <v>4</v>
      </c>
      <c r="H927" s="1" t="s">
        <v>23</v>
      </c>
      <c r="I927" s="1" t="s">
        <v>186</v>
      </c>
      <c r="J927" s="12">
        <v>45729</v>
      </c>
      <c r="K927">
        <v>0</v>
      </c>
      <c r="L927" s="1">
        <f t="shared" si="56"/>
        <v>11.2</v>
      </c>
      <c r="M927" s="1">
        <f t="shared" si="57"/>
        <v>5</v>
      </c>
      <c r="N927" s="2">
        <f t="shared" si="58"/>
        <v>45717</v>
      </c>
      <c r="O927" t="str">
        <f t="shared" si="59"/>
        <v>pes</v>
      </c>
    </row>
    <row r="928" spans="1:15" x14ac:dyDescent="0.25">
      <c r="A928">
        <v>8442</v>
      </c>
      <c r="B928" s="11">
        <v>4013456789017</v>
      </c>
      <c r="C928" s="1" t="s">
        <v>11</v>
      </c>
      <c r="D928" s="1" t="s">
        <v>12</v>
      </c>
      <c r="E928" s="1" t="s">
        <v>13</v>
      </c>
      <c r="F928">
        <v>6</v>
      </c>
      <c r="G928">
        <v>2</v>
      </c>
      <c r="H928" s="1" t="s">
        <v>14</v>
      </c>
      <c r="I928" s="1" t="s">
        <v>15</v>
      </c>
      <c r="J928" s="12">
        <v>45729</v>
      </c>
      <c r="K928">
        <v>0</v>
      </c>
      <c r="L928" s="1">
        <f t="shared" si="56"/>
        <v>12</v>
      </c>
      <c r="M928" s="1" t="str">
        <f t="shared" si="57"/>
        <v/>
      </c>
      <c r="N928" s="2">
        <f t="shared" si="58"/>
        <v>45717</v>
      </c>
      <c r="O928" t="str">
        <f t="shared" si="59"/>
        <v>pes</v>
      </c>
    </row>
    <row r="929" spans="1:15" x14ac:dyDescent="0.25">
      <c r="A929">
        <v>8443</v>
      </c>
      <c r="B929" s="11">
        <v>4040123456795</v>
      </c>
      <c r="C929" s="1" t="s">
        <v>20</v>
      </c>
      <c r="D929" s="1" t="s">
        <v>21</v>
      </c>
      <c r="E929" s="1" t="s">
        <v>22</v>
      </c>
      <c r="F929">
        <v>8.8000000000000007</v>
      </c>
      <c r="G929">
        <v>1</v>
      </c>
      <c r="H929" s="1" t="s">
        <v>14</v>
      </c>
      <c r="I929" s="1" t="s">
        <v>15</v>
      </c>
      <c r="J929" s="12">
        <v>45729</v>
      </c>
      <c r="K929">
        <v>0</v>
      </c>
      <c r="L929" s="1">
        <f t="shared" si="56"/>
        <v>8.8000000000000007</v>
      </c>
      <c r="M929" s="1" t="str">
        <f t="shared" si="57"/>
        <v/>
      </c>
      <c r="N929" s="2">
        <f t="shared" si="58"/>
        <v>45717</v>
      </c>
      <c r="O929" t="str">
        <f t="shared" si="59"/>
        <v>pes</v>
      </c>
    </row>
    <row r="930" spans="1:15" hidden="1" x14ac:dyDescent="0.25">
      <c r="A930">
        <v>8444</v>
      </c>
      <c r="B930" s="11">
        <v>4010123456783</v>
      </c>
      <c r="C930" s="1" t="s">
        <v>35</v>
      </c>
      <c r="D930" s="1" t="s">
        <v>36</v>
      </c>
      <c r="E930" s="1" t="s">
        <v>37</v>
      </c>
      <c r="F930">
        <v>14</v>
      </c>
      <c r="G930">
        <v>2</v>
      </c>
      <c r="H930" s="1" t="s">
        <v>14</v>
      </c>
      <c r="I930" s="1" t="s">
        <v>15</v>
      </c>
      <c r="J930" s="12">
        <v>45729</v>
      </c>
      <c r="K930">
        <v>0</v>
      </c>
      <c r="L930" s="1">
        <f t="shared" si="56"/>
        <v>28</v>
      </c>
      <c r="M930" s="1" t="str">
        <f t="shared" si="57"/>
        <v/>
      </c>
      <c r="N930" s="2">
        <f t="shared" si="58"/>
        <v>45717</v>
      </c>
      <c r="O930" t="str">
        <f t="shared" si="59"/>
        <v>mačka</v>
      </c>
    </row>
    <row r="931" spans="1:15" hidden="1" x14ac:dyDescent="0.25">
      <c r="A931">
        <v>8445</v>
      </c>
      <c r="B931" s="11">
        <v>4056789012345</v>
      </c>
      <c r="C931" s="1" t="s">
        <v>47</v>
      </c>
      <c r="D931" s="1" t="s">
        <v>29</v>
      </c>
      <c r="E931" s="1" t="s">
        <v>37</v>
      </c>
      <c r="F931">
        <v>2.4</v>
      </c>
      <c r="G931">
        <v>2</v>
      </c>
      <c r="H931" s="1" t="s">
        <v>14</v>
      </c>
      <c r="I931" s="1" t="s">
        <v>15</v>
      </c>
      <c r="J931" s="12">
        <v>45729</v>
      </c>
      <c r="K931">
        <v>0</v>
      </c>
      <c r="L931" s="1">
        <f t="shared" si="56"/>
        <v>4.8</v>
      </c>
      <c r="M931" s="1" t="str">
        <f t="shared" si="57"/>
        <v/>
      </c>
      <c r="N931" s="2">
        <f t="shared" si="58"/>
        <v>45717</v>
      </c>
      <c r="O931" t="str">
        <f t="shared" si="59"/>
        <v>mačka</v>
      </c>
    </row>
    <row r="932" spans="1:15" x14ac:dyDescent="0.25">
      <c r="A932">
        <v>8446</v>
      </c>
      <c r="B932" s="11">
        <v>4063456789014</v>
      </c>
      <c r="C932" s="1" t="s">
        <v>60</v>
      </c>
      <c r="D932" s="1" t="s">
        <v>12</v>
      </c>
      <c r="E932" s="1" t="s">
        <v>61</v>
      </c>
      <c r="F932">
        <v>36</v>
      </c>
      <c r="G932">
        <v>1</v>
      </c>
      <c r="H932" s="1" t="s">
        <v>14</v>
      </c>
      <c r="I932" s="1" t="s">
        <v>15</v>
      </c>
      <c r="J932" s="12">
        <v>45729</v>
      </c>
      <c r="K932">
        <v>0</v>
      </c>
      <c r="L932" s="1">
        <f t="shared" si="56"/>
        <v>36</v>
      </c>
      <c r="M932" s="1" t="str">
        <f t="shared" si="57"/>
        <v/>
      </c>
      <c r="N932" s="2">
        <f t="shared" si="58"/>
        <v>45717</v>
      </c>
      <c r="O932" t="str">
        <f t="shared" si="59"/>
        <v>pes</v>
      </c>
    </row>
    <row r="933" spans="1:15" hidden="1" x14ac:dyDescent="0.25">
      <c r="A933">
        <v>8447</v>
      </c>
      <c r="B933" s="11">
        <v>4021234567894</v>
      </c>
      <c r="C933" s="1" t="s">
        <v>79</v>
      </c>
      <c r="D933" s="1" t="s">
        <v>36</v>
      </c>
      <c r="E933" s="1" t="s">
        <v>69</v>
      </c>
      <c r="F933">
        <v>8</v>
      </c>
      <c r="G933">
        <v>1</v>
      </c>
      <c r="H933" s="1" t="s">
        <v>14</v>
      </c>
      <c r="I933" s="1" t="s">
        <v>15</v>
      </c>
      <c r="J933" s="12">
        <v>45729</v>
      </c>
      <c r="K933">
        <v>0</v>
      </c>
      <c r="L933" s="1">
        <f t="shared" si="56"/>
        <v>8</v>
      </c>
      <c r="M933" s="1" t="str">
        <f t="shared" si="57"/>
        <v/>
      </c>
      <c r="N933" s="2">
        <f t="shared" si="58"/>
        <v>45717</v>
      </c>
      <c r="O933" t="str">
        <f t="shared" si="59"/>
        <v>mačka</v>
      </c>
    </row>
    <row r="934" spans="1:15" x14ac:dyDescent="0.25">
      <c r="A934">
        <v>8448</v>
      </c>
      <c r="B934" s="11">
        <v>4061011223346</v>
      </c>
      <c r="C934" s="1" t="s">
        <v>25</v>
      </c>
      <c r="D934" s="1" t="s">
        <v>26</v>
      </c>
      <c r="E934" s="1" t="s">
        <v>27</v>
      </c>
      <c r="F934">
        <v>19.600000000000001</v>
      </c>
      <c r="G934">
        <v>1</v>
      </c>
      <c r="H934" s="1" t="s">
        <v>14</v>
      </c>
      <c r="I934" s="1" t="s">
        <v>15</v>
      </c>
      <c r="J934" s="12">
        <v>45729</v>
      </c>
      <c r="K934">
        <v>0</v>
      </c>
      <c r="L934" s="1">
        <f t="shared" si="56"/>
        <v>19.600000000000001</v>
      </c>
      <c r="M934" s="1" t="str">
        <f t="shared" si="57"/>
        <v/>
      </c>
      <c r="N934" s="2">
        <f t="shared" si="58"/>
        <v>45717</v>
      </c>
      <c r="O934" t="str">
        <f t="shared" si="59"/>
        <v>pes</v>
      </c>
    </row>
    <row r="935" spans="1:15" hidden="1" x14ac:dyDescent="0.25">
      <c r="A935">
        <v>8449</v>
      </c>
      <c r="B935" s="11">
        <v>4026677889902</v>
      </c>
      <c r="C935" s="1" t="s">
        <v>52</v>
      </c>
      <c r="D935" s="1" t="s">
        <v>53</v>
      </c>
      <c r="E935" s="1" t="s">
        <v>54</v>
      </c>
      <c r="F935">
        <v>7.6</v>
      </c>
      <c r="G935">
        <v>1</v>
      </c>
      <c r="H935" s="1" t="s">
        <v>14</v>
      </c>
      <c r="I935" s="1" t="s">
        <v>15</v>
      </c>
      <c r="J935" s="12">
        <v>45729</v>
      </c>
      <c r="K935">
        <v>0</v>
      </c>
      <c r="L935" s="1">
        <f t="shared" si="56"/>
        <v>7.6</v>
      </c>
      <c r="M935" s="1" t="str">
        <f t="shared" si="57"/>
        <v/>
      </c>
      <c r="N935" s="2">
        <f t="shared" si="58"/>
        <v>45717</v>
      </c>
      <c r="O935" t="str">
        <f t="shared" si="59"/>
        <v>iné</v>
      </c>
    </row>
    <row r="936" spans="1:15" x14ac:dyDescent="0.25">
      <c r="A936">
        <v>8450</v>
      </c>
      <c r="B936" s="11">
        <v>4028899001126</v>
      </c>
      <c r="C936" s="1" t="s">
        <v>16</v>
      </c>
      <c r="D936" s="1" t="s">
        <v>12</v>
      </c>
      <c r="E936" s="1" t="s">
        <v>17</v>
      </c>
      <c r="F936">
        <v>2.8</v>
      </c>
      <c r="G936">
        <v>3</v>
      </c>
      <c r="H936" s="1" t="s">
        <v>14</v>
      </c>
      <c r="I936" s="1" t="s">
        <v>15</v>
      </c>
      <c r="J936" s="12">
        <v>45729</v>
      </c>
      <c r="K936">
        <v>0</v>
      </c>
      <c r="L936" s="1">
        <f t="shared" si="56"/>
        <v>8.3999999999999986</v>
      </c>
      <c r="M936" s="1" t="str">
        <f t="shared" si="57"/>
        <v/>
      </c>
      <c r="N936" s="2">
        <f t="shared" si="58"/>
        <v>45717</v>
      </c>
      <c r="O936" t="str">
        <f t="shared" si="59"/>
        <v>pes</v>
      </c>
    </row>
    <row r="937" spans="1:15" x14ac:dyDescent="0.25">
      <c r="A937">
        <v>8451</v>
      </c>
      <c r="B937" s="11">
        <v>4013456789017</v>
      </c>
      <c r="C937" s="1" t="s">
        <v>11</v>
      </c>
      <c r="D937" s="1" t="s">
        <v>12</v>
      </c>
      <c r="E937" s="1" t="s">
        <v>13</v>
      </c>
      <c r="F937">
        <v>6</v>
      </c>
      <c r="G937">
        <v>2</v>
      </c>
      <c r="H937" s="1" t="s">
        <v>14</v>
      </c>
      <c r="I937" s="1" t="s">
        <v>15</v>
      </c>
      <c r="J937" s="12">
        <v>45729</v>
      </c>
      <c r="K937">
        <v>0</v>
      </c>
      <c r="L937" s="1">
        <f t="shared" si="56"/>
        <v>12</v>
      </c>
      <c r="M937" s="1" t="str">
        <f t="shared" si="57"/>
        <v/>
      </c>
      <c r="N937" s="2">
        <f t="shared" si="58"/>
        <v>45717</v>
      </c>
      <c r="O937" t="str">
        <f t="shared" si="59"/>
        <v>pes</v>
      </c>
    </row>
    <row r="938" spans="1:15" x14ac:dyDescent="0.25">
      <c r="A938">
        <v>8452</v>
      </c>
      <c r="B938" s="11">
        <v>4040123456795</v>
      </c>
      <c r="C938" s="1" t="s">
        <v>20</v>
      </c>
      <c r="D938" s="1" t="s">
        <v>21</v>
      </c>
      <c r="E938" s="1" t="s">
        <v>22</v>
      </c>
      <c r="F938">
        <v>8.8000000000000007</v>
      </c>
      <c r="G938">
        <v>1</v>
      </c>
      <c r="H938" s="1" t="s">
        <v>14</v>
      </c>
      <c r="I938" s="1" t="s">
        <v>15</v>
      </c>
      <c r="J938" s="12">
        <v>45729</v>
      </c>
      <c r="K938">
        <v>0</v>
      </c>
      <c r="L938" s="1">
        <f t="shared" si="56"/>
        <v>8.8000000000000007</v>
      </c>
      <c r="M938" s="1" t="str">
        <f t="shared" si="57"/>
        <v/>
      </c>
      <c r="N938" s="2">
        <f t="shared" si="58"/>
        <v>45717</v>
      </c>
      <c r="O938" t="str">
        <f t="shared" si="59"/>
        <v>pes</v>
      </c>
    </row>
    <row r="939" spans="1:15" hidden="1" x14ac:dyDescent="0.25">
      <c r="A939">
        <v>8453</v>
      </c>
      <c r="B939" s="11">
        <v>4010123456783</v>
      </c>
      <c r="C939" s="1" t="s">
        <v>35</v>
      </c>
      <c r="D939" s="1" t="s">
        <v>36</v>
      </c>
      <c r="E939" s="1" t="s">
        <v>37</v>
      </c>
      <c r="F939">
        <v>14</v>
      </c>
      <c r="G939">
        <v>1</v>
      </c>
      <c r="H939" s="1" t="s">
        <v>14</v>
      </c>
      <c r="I939" s="1" t="s">
        <v>15</v>
      </c>
      <c r="J939" s="12">
        <v>45730</v>
      </c>
      <c r="K939">
        <v>0</v>
      </c>
      <c r="L939" s="1">
        <f t="shared" si="56"/>
        <v>14</v>
      </c>
      <c r="M939" s="1" t="str">
        <f t="shared" si="57"/>
        <v/>
      </c>
      <c r="N939" s="2">
        <f t="shared" si="58"/>
        <v>45717</v>
      </c>
      <c r="O939" t="str">
        <f t="shared" si="59"/>
        <v>mačka</v>
      </c>
    </row>
    <row r="940" spans="1:15" x14ac:dyDescent="0.25">
      <c r="A940">
        <v>8454</v>
      </c>
      <c r="B940" s="11">
        <v>4063456789014</v>
      </c>
      <c r="C940" s="1" t="s">
        <v>60</v>
      </c>
      <c r="D940" s="1" t="s">
        <v>12</v>
      </c>
      <c r="E940" s="1" t="s">
        <v>61</v>
      </c>
      <c r="F940">
        <v>36</v>
      </c>
      <c r="G940">
        <v>1</v>
      </c>
      <c r="H940" s="1" t="s">
        <v>14</v>
      </c>
      <c r="I940" s="1" t="s">
        <v>15</v>
      </c>
      <c r="J940" s="12">
        <v>45730</v>
      </c>
      <c r="K940">
        <v>0</v>
      </c>
      <c r="L940" s="1">
        <f t="shared" si="56"/>
        <v>36</v>
      </c>
      <c r="M940" s="1" t="str">
        <f t="shared" si="57"/>
        <v/>
      </c>
      <c r="N940" s="2">
        <f t="shared" si="58"/>
        <v>45717</v>
      </c>
      <c r="O940" t="str">
        <f t="shared" si="59"/>
        <v>pes</v>
      </c>
    </row>
    <row r="941" spans="1:15" x14ac:dyDescent="0.25">
      <c r="A941">
        <v>8455</v>
      </c>
      <c r="B941" s="11">
        <v>4028899001126</v>
      </c>
      <c r="C941" s="1" t="s">
        <v>16</v>
      </c>
      <c r="D941" s="1" t="s">
        <v>12</v>
      </c>
      <c r="E941" s="1" t="s">
        <v>17</v>
      </c>
      <c r="F941">
        <v>2.8</v>
      </c>
      <c r="G941">
        <v>3</v>
      </c>
      <c r="H941" s="1" t="s">
        <v>14</v>
      </c>
      <c r="I941" s="1" t="s">
        <v>15</v>
      </c>
      <c r="J941" s="12">
        <v>45730</v>
      </c>
      <c r="K941">
        <v>0</v>
      </c>
      <c r="L941" s="1">
        <f t="shared" si="56"/>
        <v>8.3999999999999986</v>
      </c>
      <c r="M941" s="1" t="str">
        <f t="shared" si="57"/>
        <v/>
      </c>
      <c r="N941" s="2">
        <f t="shared" si="58"/>
        <v>45717</v>
      </c>
      <c r="O941" t="str">
        <f t="shared" si="59"/>
        <v>pes</v>
      </c>
    </row>
    <row r="942" spans="1:15" x14ac:dyDescent="0.25">
      <c r="A942">
        <v>8456</v>
      </c>
      <c r="B942" s="11">
        <v>4013456789017</v>
      </c>
      <c r="C942" s="1" t="s">
        <v>11</v>
      </c>
      <c r="D942" s="1" t="s">
        <v>12</v>
      </c>
      <c r="E942" s="1" t="s">
        <v>13</v>
      </c>
      <c r="F942">
        <v>6</v>
      </c>
      <c r="G942">
        <v>2</v>
      </c>
      <c r="H942" s="1" t="s">
        <v>14</v>
      </c>
      <c r="I942" s="1" t="s">
        <v>15</v>
      </c>
      <c r="J942" s="12">
        <v>45730</v>
      </c>
      <c r="K942">
        <v>0</v>
      </c>
      <c r="L942" s="1">
        <f t="shared" si="56"/>
        <v>12</v>
      </c>
      <c r="M942" s="1" t="str">
        <f t="shared" si="57"/>
        <v/>
      </c>
      <c r="N942" s="2">
        <f t="shared" si="58"/>
        <v>45717</v>
      </c>
      <c r="O942" t="str">
        <f t="shared" si="59"/>
        <v>pes</v>
      </c>
    </row>
    <row r="943" spans="1:15" x14ac:dyDescent="0.25">
      <c r="A943">
        <v>8457</v>
      </c>
      <c r="B943" s="11">
        <v>4040123456795</v>
      </c>
      <c r="C943" s="1" t="s">
        <v>20</v>
      </c>
      <c r="D943" s="1" t="s">
        <v>21</v>
      </c>
      <c r="E943" s="1" t="s">
        <v>22</v>
      </c>
      <c r="F943">
        <v>8.8000000000000007</v>
      </c>
      <c r="G943">
        <v>1</v>
      </c>
      <c r="H943" s="1" t="s">
        <v>14</v>
      </c>
      <c r="I943" s="1" t="s">
        <v>15</v>
      </c>
      <c r="J943" s="12">
        <v>45730</v>
      </c>
      <c r="K943">
        <v>0</v>
      </c>
      <c r="L943" s="1">
        <f t="shared" si="56"/>
        <v>8.8000000000000007</v>
      </c>
      <c r="M943" s="1" t="str">
        <f t="shared" si="57"/>
        <v/>
      </c>
      <c r="N943" s="2">
        <f t="shared" si="58"/>
        <v>45717</v>
      </c>
      <c r="O943" t="str">
        <f t="shared" si="59"/>
        <v>pes</v>
      </c>
    </row>
    <row r="944" spans="1:15" hidden="1" x14ac:dyDescent="0.25">
      <c r="A944">
        <v>8458</v>
      </c>
      <c r="B944" s="11">
        <v>4010123456783</v>
      </c>
      <c r="C944" s="1" t="s">
        <v>35</v>
      </c>
      <c r="D944" s="1" t="s">
        <v>36</v>
      </c>
      <c r="E944" s="1" t="s">
        <v>37</v>
      </c>
      <c r="F944">
        <v>14</v>
      </c>
      <c r="G944">
        <v>1</v>
      </c>
      <c r="H944" s="1" t="s">
        <v>14</v>
      </c>
      <c r="I944" s="1" t="s">
        <v>15</v>
      </c>
      <c r="J944" s="12">
        <v>45730</v>
      </c>
      <c r="K944">
        <v>0</v>
      </c>
      <c r="L944" s="1">
        <f t="shared" si="56"/>
        <v>14</v>
      </c>
      <c r="M944" s="1" t="str">
        <f t="shared" si="57"/>
        <v/>
      </c>
      <c r="N944" s="2">
        <f t="shared" si="58"/>
        <v>45717</v>
      </c>
      <c r="O944" t="str">
        <f t="shared" si="59"/>
        <v>mačka</v>
      </c>
    </row>
    <row r="945" spans="1:15" x14ac:dyDescent="0.25">
      <c r="A945">
        <v>8459</v>
      </c>
      <c r="B945" s="11">
        <v>4063456789014</v>
      </c>
      <c r="C945" s="1" t="s">
        <v>60</v>
      </c>
      <c r="D945" s="1" t="s">
        <v>12</v>
      </c>
      <c r="E945" s="1" t="s">
        <v>61</v>
      </c>
      <c r="F945">
        <v>36</v>
      </c>
      <c r="G945">
        <v>1</v>
      </c>
      <c r="H945" s="1" t="s">
        <v>18</v>
      </c>
      <c r="I945" s="1" t="s">
        <v>187</v>
      </c>
      <c r="J945" s="12">
        <v>45730</v>
      </c>
      <c r="K945">
        <v>0</v>
      </c>
      <c r="L945" s="1">
        <f t="shared" si="56"/>
        <v>36</v>
      </c>
      <c r="M945" s="1">
        <f t="shared" si="57"/>
        <v>4</v>
      </c>
      <c r="N945" s="2">
        <f t="shared" si="58"/>
        <v>45717</v>
      </c>
      <c r="O945" t="str">
        <f t="shared" si="59"/>
        <v>pes</v>
      </c>
    </row>
    <row r="946" spans="1:15" hidden="1" x14ac:dyDescent="0.25">
      <c r="A946">
        <v>8460</v>
      </c>
      <c r="B946" s="11">
        <v>4021234567894</v>
      </c>
      <c r="C946" s="1" t="s">
        <v>79</v>
      </c>
      <c r="D946" s="1" t="s">
        <v>36</v>
      </c>
      <c r="E946" s="1" t="s">
        <v>69</v>
      </c>
      <c r="F946">
        <v>8</v>
      </c>
      <c r="G946">
        <v>1</v>
      </c>
      <c r="H946" s="1" t="s">
        <v>14</v>
      </c>
      <c r="I946" s="1" t="s">
        <v>15</v>
      </c>
      <c r="J946" s="12">
        <v>45730</v>
      </c>
      <c r="K946">
        <v>0</v>
      </c>
      <c r="L946" s="1">
        <f t="shared" si="56"/>
        <v>8</v>
      </c>
      <c r="M946" s="1" t="str">
        <f t="shared" si="57"/>
        <v/>
      </c>
      <c r="N946" s="2">
        <f t="shared" si="58"/>
        <v>45717</v>
      </c>
      <c r="O946" t="str">
        <f t="shared" si="59"/>
        <v>mačka</v>
      </c>
    </row>
    <row r="947" spans="1:15" x14ac:dyDescent="0.25">
      <c r="A947">
        <v>8461</v>
      </c>
      <c r="B947" s="11">
        <v>4061011223346</v>
      </c>
      <c r="C947" s="1" t="s">
        <v>25</v>
      </c>
      <c r="D947" s="1" t="s">
        <v>26</v>
      </c>
      <c r="E947" s="1" t="s">
        <v>27</v>
      </c>
      <c r="F947">
        <v>19.600000000000001</v>
      </c>
      <c r="G947">
        <v>1</v>
      </c>
      <c r="H947" s="1" t="s">
        <v>14</v>
      </c>
      <c r="I947" s="1" t="s">
        <v>15</v>
      </c>
      <c r="J947" s="12">
        <v>45730</v>
      </c>
      <c r="K947">
        <v>0</v>
      </c>
      <c r="L947" s="1">
        <f t="shared" si="56"/>
        <v>19.600000000000001</v>
      </c>
      <c r="M947" s="1" t="str">
        <f t="shared" si="57"/>
        <v/>
      </c>
      <c r="N947" s="2">
        <f t="shared" si="58"/>
        <v>45717</v>
      </c>
      <c r="O947" t="str">
        <f t="shared" si="59"/>
        <v>pes</v>
      </c>
    </row>
    <row r="948" spans="1:15" hidden="1" x14ac:dyDescent="0.25">
      <c r="A948">
        <v>8462</v>
      </c>
      <c r="B948" s="11">
        <v>4026677889902</v>
      </c>
      <c r="C948" s="1" t="s">
        <v>52</v>
      </c>
      <c r="D948" s="1" t="s">
        <v>53</v>
      </c>
      <c r="E948" s="1" t="s">
        <v>54</v>
      </c>
      <c r="F948">
        <v>7.6</v>
      </c>
      <c r="G948">
        <v>1</v>
      </c>
      <c r="H948" s="1" t="s">
        <v>14</v>
      </c>
      <c r="I948" s="1" t="s">
        <v>15</v>
      </c>
      <c r="J948" s="12">
        <v>45730</v>
      </c>
      <c r="K948">
        <v>0</v>
      </c>
      <c r="L948" s="1">
        <f t="shared" si="56"/>
        <v>7.6</v>
      </c>
      <c r="M948" s="1" t="str">
        <f t="shared" si="57"/>
        <v/>
      </c>
      <c r="N948" s="2">
        <f t="shared" si="58"/>
        <v>45717</v>
      </c>
      <c r="O948" t="str">
        <f t="shared" si="59"/>
        <v>iné</v>
      </c>
    </row>
    <row r="949" spans="1:15" x14ac:dyDescent="0.25">
      <c r="A949">
        <v>8463</v>
      </c>
      <c r="B949" s="11">
        <v>4028899001126</v>
      </c>
      <c r="C949" s="1" t="s">
        <v>16</v>
      </c>
      <c r="D949" s="1" t="s">
        <v>12</v>
      </c>
      <c r="E949" s="1" t="s">
        <v>17</v>
      </c>
      <c r="F949">
        <v>2.8</v>
      </c>
      <c r="G949">
        <v>5</v>
      </c>
      <c r="H949" s="1" t="s">
        <v>23</v>
      </c>
      <c r="I949" s="1" t="s">
        <v>188</v>
      </c>
      <c r="J949" s="12">
        <v>45731</v>
      </c>
      <c r="K949">
        <v>0</v>
      </c>
      <c r="L949" s="1">
        <f t="shared" si="56"/>
        <v>14</v>
      </c>
      <c r="M949" s="1">
        <f t="shared" si="57"/>
        <v>5</v>
      </c>
      <c r="N949" s="2">
        <f t="shared" si="58"/>
        <v>45717</v>
      </c>
      <c r="O949" t="str">
        <f t="shared" si="59"/>
        <v>pes</v>
      </c>
    </row>
    <row r="950" spans="1:15" x14ac:dyDescent="0.25">
      <c r="A950">
        <v>8464</v>
      </c>
      <c r="B950" s="11">
        <v>4013456789017</v>
      </c>
      <c r="C950" s="1" t="s">
        <v>11</v>
      </c>
      <c r="D950" s="1" t="s">
        <v>12</v>
      </c>
      <c r="E950" s="1" t="s">
        <v>13</v>
      </c>
      <c r="F950">
        <v>6</v>
      </c>
      <c r="G950">
        <v>1</v>
      </c>
      <c r="H950" s="1" t="s">
        <v>14</v>
      </c>
      <c r="I950" s="1" t="s">
        <v>15</v>
      </c>
      <c r="J950" s="12">
        <v>45731</v>
      </c>
      <c r="K950">
        <v>0</v>
      </c>
      <c r="L950" s="1">
        <f t="shared" si="56"/>
        <v>6</v>
      </c>
      <c r="M950" s="1" t="str">
        <f t="shared" si="57"/>
        <v/>
      </c>
      <c r="N950" s="2">
        <f t="shared" si="58"/>
        <v>45717</v>
      </c>
      <c r="O950" t="str">
        <f t="shared" si="59"/>
        <v>pes</v>
      </c>
    </row>
    <row r="951" spans="1:15" x14ac:dyDescent="0.25">
      <c r="A951">
        <v>8465</v>
      </c>
      <c r="B951" s="11">
        <v>4040123456795</v>
      </c>
      <c r="C951" s="1" t="s">
        <v>20</v>
      </c>
      <c r="D951" s="1" t="s">
        <v>21</v>
      </c>
      <c r="E951" s="1" t="s">
        <v>22</v>
      </c>
      <c r="F951">
        <v>8.8000000000000007</v>
      </c>
      <c r="G951">
        <v>1</v>
      </c>
      <c r="H951" s="1" t="s">
        <v>14</v>
      </c>
      <c r="I951" s="1" t="s">
        <v>15</v>
      </c>
      <c r="J951" s="12">
        <v>45731</v>
      </c>
      <c r="K951">
        <v>0</v>
      </c>
      <c r="L951" s="1">
        <f t="shared" si="56"/>
        <v>8.8000000000000007</v>
      </c>
      <c r="M951" s="1" t="str">
        <f t="shared" si="57"/>
        <v/>
      </c>
      <c r="N951" s="2">
        <f t="shared" si="58"/>
        <v>45717</v>
      </c>
      <c r="O951" t="str">
        <f t="shared" si="59"/>
        <v>pes</v>
      </c>
    </row>
    <row r="952" spans="1:15" hidden="1" x14ac:dyDescent="0.25">
      <c r="A952">
        <v>8466</v>
      </c>
      <c r="B952" s="11">
        <v>4010123456783</v>
      </c>
      <c r="C952" s="1" t="s">
        <v>35</v>
      </c>
      <c r="D952" s="1" t="s">
        <v>36</v>
      </c>
      <c r="E952" s="1" t="s">
        <v>37</v>
      </c>
      <c r="F952">
        <v>14</v>
      </c>
      <c r="G952">
        <v>2</v>
      </c>
      <c r="H952" s="1" t="s">
        <v>14</v>
      </c>
      <c r="I952" s="1" t="s">
        <v>15</v>
      </c>
      <c r="J952" s="12">
        <v>45731</v>
      </c>
      <c r="K952">
        <v>0</v>
      </c>
      <c r="L952" s="1">
        <f t="shared" si="56"/>
        <v>28</v>
      </c>
      <c r="M952" s="1" t="str">
        <f t="shared" si="57"/>
        <v/>
      </c>
      <c r="N952" s="2">
        <f t="shared" si="58"/>
        <v>45717</v>
      </c>
      <c r="O952" t="str">
        <f t="shared" si="59"/>
        <v>mačka</v>
      </c>
    </row>
    <row r="953" spans="1:15" hidden="1" x14ac:dyDescent="0.25">
      <c r="A953">
        <v>8467</v>
      </c>
      <c r="B953" s="11">
        <v>4056789012345</v>
      </c>
      <c r="C953" s="1" t="s">
        <v>47</v>
      </c>
      <c r="D953" s="1" t="s">
        <v>29</v>
      </c>
      <c r="E953" s="1" t="s">
        <v>37</v>
      </c>
      <c r="F953">
        <v>2.4</v>
      </c>
      <c r="G953">
        <v>2</v>
      </c>
      <c r="H953" s="1" t="s">
        <v>14</v>
      </c>
      <c r="I953" s="1" t="s">
        <v>15</v>
      </c>
      <c r="J953" s="12">
        <v>45731</v>
      </c>
      <c r="K953">
        <v>0</v>
      </c>
      <c r="L953" s="1">
        <f t="shared" si="56"/>
        <v>4.8</v>
      </c>
      <c r="M953" s="1" t="str">
        <f t="shared" si="57"/>
        <v/>
      </c>
      <c r="N953" s="2">
        <f t="shared" si="58"/>
        <v>45717</v>
      </c>
      <c r="O953" t="str">
        <f t="shared" si="59"/>
        <v>mačka</v>
      </c>
    </row>
    <row r="954" spans="1:15" x14ac:dyDescent="0.25">
      <c r="A954">
        <v>8468</v>
      </c>
      <c r="B954" s="11">
        <v>4063456789014</v>
      </c>
      <c r="C954" s="1" t="s">
        <v>60</v>
      </c>
      <c r="D954" s="1" t="s">
        <v>12</v>
      </c>
      <c r="E954" s="1" t="s">
        <v>61</v>
      </c>
      <c r="F954">
        <v>36</v>
      </c>
      <c r="G954">
        <v>1</v>
      </c>
      <c r="H954" s="1" t="s">
        <v>14</v>
      </c>
      <c r="I954" s="1" t="s">
        <v>15</v>
      </c>
      <c r="J954" s="12">
        <v>45731</v>
      </c>
      <c r="K954">
        <v>0</v>
      </c>
      <c r="L954" s="1">
        <f t="shared" si="56"/>
        <v>36</v>
      </c>
      <c r="M954" s="1" t="str">
        <f t="shared" si="57"/>
        <v/>
      </c>
      <c r="N954" s="2">
        <f t="shared" si="58"/>
        <v>45717</v>
      </c>
      <c r="O954" t="str">
        <f t="shared" si="59"/>
        <v>pes</v>
      </c>
    </row>
    <row r="955" spans="1:15" hidden="1" x14ac:dyDescent="0.25">
      <c r="A955">
        <v>8469</v>
      </c>
      <c r="B955" s="11">
        <v>4021234567894</v>
      </c>
      <c r="C955" s="1" t="s">
        <v>79</v>
      </c>
      <c r="D955" s="1" t="s">
        <v>36</v>
      </c>
      <c r="E955" s="1" t="s">
        <v>69</v>
      </c>
      <c r="F955">
        <v>8</v>
      </c>
      <c r="G955">
        <v>1</v>
      </c>
      <c r="H955" s="1" t="s">
        <v>14</v>
      </c>
      <c r="I955" s="1" t="s">
        <v>15</v>
      </c>
      <c r="J955" s="12">
        <v>45731</v>
      </c>
      <c r="K955">
        <v>0</v>
      </c>
      <c r="L955" s="1">
        <f t="shared" si="56"/>
        <v>8</v>
      </c>
      <c r="M955" s="1" t="str">
        <f t="shared" si="57"/>
        <v/>
      </c>
      <c r="N955" s="2">
        <f t="shared" si="58"/>
        <v>45717</v>
      </c>
      <c r="O955" t="str">
        <f t="shared" si="59"/>
        <v>mačka</v>
      </c>
    </row>
    <row r="956" spans="1:15" x14ac:dyDescent="0.25">
      <c r="A956">
        <v>8470</v>
      </c>
      <c r="B956" s="11">
        <v>4061011223346</v>
      </c>
      <c r="C956" s="1" t="s">
        <v>25</v>
      </c>
      <c r="D956" s="1" t="s">
        <v>26</v>
      </c>
      <c r="E956" s="1" t="s">
        <v>27</v>
      </c>
      <c r="F956">
        <v>19.600000000000001</v>
      </c>
      <c r="G956">
        <v>1</v>
      </c>
      <c r="H956" s="1" t="s">
        <v>14</v>
      </c>
      <c r="I956" s="1" t="s">
        <v>15</v>
      </c>
      <c r="J956" s="12">
        <v>45731</v>
      </c>
      <c r="K956">
        <v>0</v>
      </c>
      <c r="L956" s="1">
        <f t="shared" si="56"/>
        <v>19.600000000000001</v>
      </c>
      <c r="M956" s="1" t="str">
        <f t="shared" si="57"/>
        <v/>
      </c>
      <c r="N956" s="2">
        <f t="shared" si="58"/>
        <v>45717</v>
      </c>
      <c r="O956" t="str">
        <f t="shared" si="59"/>
        <v>pes</v>
      </c>
    </row>
    <row r="957" spans="1:15" hidden="1" x14ac:dyDescent="0.25">
      <c r="A957">
        <v>8471</v>
      </c>
      <c r="B957" s="11">
        <v>4026677889902</v>
      </c>
      <c r="C957" s="1" t="s">
        <v>52</v>
      </c>
      <c r="D957" s="1" t="s">
        <v>53</v>
      </c>
      <c r="E957" s="1" t="s">
        <v>54</v>
      </c>
      <c r="F957">
        <v>7.6</v>
      </c>
      <c r="G957">
        <v>1</v>
      </c>
      <c r="H957" s="1" t="s">
        <v>14</v>
      </c>
      <c r="I957" s="1" t="s">
        <v>15</v>
      </c>
      <c r="J957" s="12">
        <v>45731</v>
      </c>
      <c r="K957">
        <v>0</v>
      </c>
      <c r="L957" s="1">
        <f t="shared" si="56"/>
        <v>7.6</v>
      </c>
      <c r="M957" s="1" t="str">
        <f t="shared" si="57"/>
        <v/>
      </c>
      <c r="N957" s="2">
        <f t="shared" si="58"/>
        <v>45717</v>
      </c>
      <c r="O957" t="str">
        <f t="shared" si="59"/>
        <v>iné</v>
      </c>
    </row>
    <row r="958" spans="1:15" x14ac:dyDescent="0.25">
      <c r="A958">
        <v>8472</v>
      </c>
      <c r="B958" s="11">
        <v>4028899001126</v>
      </c>
      <c r="C958" s="1" t="s">
        <v>16</v>
      </c>
      <c r="D958" s="1" t="s">
        <v>12</v>
      </c>
      <c r="E958" s="1" t="s">
        <v>17</v>
      </c>
      <c r="F958">
        <v>2.8</v>
      </c>
      <c r="G958">
        <v>4</v>
      </c>
      <c r="H958" s="1" t="s">
        <v>14</v>
      </c>
      <c r="I958" s="1" t="s">
        <v>15</v>
      </c>
      <c r="J958" s="12">
        <v>45731</v>
      </c>
      <c r="K958">
        <v>0</v>
      </c>
      <c r="L958" s="1">
        <f t="shared" si="56"/>
        <v>11.2</v>
      </c>
      <c r="M958" s="1" t="str">
        <f t="shared" si="57"/>
        <v/>
      </c>
      <c r="N958" s="2">
        <f t="shared" si="58"/>
        <v>45717</v>
      </c>
      <c r="O958" t="str">
        <f t="shared" si="59"/>
        <v>pes</v>
      </c>
    </row>
    <row r="959" spans="1:15" x14ac:dyDescent="0.25">
      <c r="A959">
        <v>8473</v>
      </c>
      <c r="B959" s="11">
        <v>4013456789017</v>
      </c>
      <c r="C959" s="1" t="s">
        <v>11</v>
      </c>
      <c r="D959" s="1" t="s">
        <v>12</v>
      </c>
      <c r="E959" s="1" t="s">
        <v>13</v>
      </c>
      <c r="F959">
        <v>6</v>
      </c>
      <c r="G959">
        <v>2</v>
      </c>
      <c r="H959" s="1" t="s">
        <v>14</v>
      </c>
      <c r="I959" s="1" t="s">
        <v>15</v>
      </c>
      <c r="J959" s="12">
        <v>45731</v>
      </c>
      <c r="K959">
        <v>0</v>
      </c>
      <c r="L959" s="1">
        <f t="shared" si="56"/>
        <v>12</v>
      </c>
      <c r="M959" s="1" t="str">
        <f t="shared" si="57"/>
        <v/>
      </c>
      <c r="N959" s="2">
        <f t="shared" si="58"/>
        <v>45717</v>
      </c>
      <c r="O959" t="str">
        <f t="shared" si="59"/>
        <v>pes</v>
      </c>
    </row>
    <row r="960" spans="1:15" x14ac:dyDescent="0.25">
      <c r="A960">
        <v>8474</v>
      </c>
      <c r="B960" s="11">
        <v>4040123456795</v>
      </c>
      <c r="C960" s="1" t="s">
        <v>20</v>
      </c>
      <c r="D960" s="1" t="s">
        <v>21</v>
      </c>
      <c r="E960" s="1" t="s">
        <v>22</v>
      </c>
      <c r="F960">
        <v>8.8000000000000007</v>
      </c>
      <c r="G960">
        <v>1</v>
      </c>
      <c r="H960" s="1" t="s">
        <v>14</v>
      </c>
      <c r="I960" s="1" t="s">
        <v>15</v>
      </c>
      <c r="J960" s="12">
        <v>45731</v>
      </c>
      <c r="K960">
        <v>0</v>
      </c>
      <c r="L960" s="1">
        <f t="shared" si="56"/>
        <v>8.8000000000000007</v>
      </c>
      <c r="M960" s="1" t="str">
        <f t="shared" si="57"/>
        <v/>
      </c>
      <c r="N960" s="2">
        <f t="shared" si="58"/>
        <v>45717</v>
      </c>
      <c r="O960" t="str">
        <f t="shared" si="59"/>
        <v>pes</v>
      </c>
    </row>
    <row r="961" spans="1:15" hidden="1" x14ac:dyDescent="0.25">
      <c r="A961">
        <v>8475</v>
      </c>
      <c r="B961" s="11">
        <v>4010123456783</v>
      </c>
      <c r="C961" s="1" t="s">
        <v>35</v>
      </c>
      <c r="D961" s="1" t="s">
        <v>36</v>
      </c>
      <c r="E961" s="1" t="s">
        <v>37</v>
      </c>
      <c r="F961">
        <v>14</v>
      </c>
      <c r="G961">
        <v>1</v>
      </c>
      <c r="H961" s="1" t="s">
        <v>14</v>
      </c>
      <c r="I961" s="1" t="s">
        <v>15</v>
      </c>
      <c r="J961" s="12">
        <v>45731</v>
      </c>
      <c r="K961">
        <v>0</v>
      </c>
      <c r="L961" s="1">
        <f t="shared" si="56"/>
        <v>14</v>
      </c>
      <c r="M961" s="1" t="str">
        <f t="shared" si="57"/>
        <v/>
      </c>
      <c r="N961" s="2">
        <f t="shared" si="58"/>
        <v>45717</v>
      </c>
      <c r="O961" t="str">
        <f t="shared" si="59"/>
        <v>mačka</v>
      </c>
    </row>
    <row r="962" spans="1:15" x14ac:dyDescent="0.25">
      <c r="A962">
        <v>8476</v>
      </c>
      <c r="B962" s="11">
        <v>4063456789014</v>
      </c>
      <c r="C962" s="1" t="s">
        <v>60</v>
      </c>
      <c r="D962" s="1" t="s">
        <v>12</v>
      </c>
      <c r="E962" s="1" t="s">
        <v>61</v>
      </c>
      <c r="F962">
        <v>36</v>
      </c>
      <c r="G962">
        <v>1</v>
      </c>
      <c r="H962" s="1" t="s">
        <v>14</v>
      </c>
      <c r="I962" s="1" t="s">
        <v>15</v>
      </c>
      <c r="J962" s="12">
        <v>45731</v>
      </c>
      <c r="K962">
        <v>0</v>
      </c>
      <c r="L962" s="1">
        <f t="shared" ref="L962:L1025" si="60">F962*G962</f>
        <v>36</v>
      </c>
      <c r="M962" s="1" t="str">
        <f t="shared" ref="M962:M1025" si="61">IF(H962="NULL", "",VALUE(H962))</f>
        <v/>
      </c>
      <c r="N962" s="2">
        <f t="shared" ref="N962:N1025" si="62">DATE(YEAR(J962),MONTH(J962),1)</f>
        <v>45717</v>
      </c>
      <c r="O962" t="str">
        <f t="shared" ref="O962:O1025" si="63">IF(ISNUMBER(SEARCH("Mačky",D962)),"mačka",IF(ISNUMBER(SEARCH("Psy",D962)),"pes","iné"))</f>
        <v>pes</v>
      </c>
    </row>
    <row r="963" spans="1:15" x14ac:dyDescent="0.25">
      <c r="A963">
        <v>8477</v>
      </c>
      <c r="B963" s="11">
        <v>4028899001126</v>
      </c>
      <c r="C963" s="1" t="s">
        <v>16</v>
      </c>
      <c r="D963" s="1" t="s">
        <v>12</v>
      </c>
      <c r="E963" s="1" t="s">
        <v>17</v>
      </c>
      <c r="F963">
        <v>2.8</v>
      </c>
      <c r="G963">
        <v>3</v>
      </c>
      <c r="H963" s="1" t="s">
        <v>14</v>
      </c>
      <c r="I963" s="1" t="s">
        <v>15</v>
      </c>
      <c r="J963" s="12">
        <v>45732</v>
      </c>
      <c r="K963">
        <v>0</v>
      </c>
      <c r="L963" s="1">
        <f t="shared" si="60"/>
        <v>8.3999999999999986</v>
      </c>
      <c r="M963" s="1" t="str">
        <f t="shared" si="61"/>
        <v/>
      </c>
      <c r="N963" s="2">
        <f t="shared" si="62"/>
        <v>45717</v>
      </c>
      <c r="O963" t="str">
        <f t="shared" si="63"/>
        <v>pes</v>
      </c>
    </row>
    <row r="964" spans="1:15" x14ac:dyDescent="0.25">
      <c r="A964">
        <v>8478</v>
      </c>
      <c r="B964" s="11">
        <v>4013456789017</v>
      </c>
      <c r="C964" s="1" t="s">
        <v>11</v>
      </c>
      <c r="D964" s="1" t="s">
        <v>12</v>
      </c>
      <c r="E964" s="1" t="s">
        <v>13</v>
      </c>
      <c r="F964">
        <v>6</v>
      </c>
      <c r="G964">
        <v>1</v>
      </c>
      <c r="H964" s="1" t="s">
        <v>14</v>
      </c>
      <c r="I964" s="1" t="s">
        <v>15</v>
      </c>
      <c r="J964" s="12">
        <v>45732</v>
      </c>
      <c r="K964">
        <v>0</v>
      </c>
      <c r="L964" s="1">
        <f t="shared" si="60"/>
        <v>6</v>
      </c>
      <c r="M964" s="1" t="str">
        <f t="shared" si="61"/>
        <v/>
      </c>
      <c r="N964" s="2">
        <f t="shared" si="62"/>
        <v>45717</v>
      </c>
      <c r="O964" t="str">
        <f t="shared" si="63"/>
        <v>pes</v>
      </c>
    </row>
    <row r="965" spans="1:15" x14ac:dyDescent="0.25">
      <c r="A965">
        <v>8479</v>
      </c>
      <c r="B965" s="11">
        <v>4040123456795</v>
      </c>
      <c r="C965" s="1" t="s">
        <v>20</v>
      </c>
      <c r="D965" s="1" t="s">
        <v>21</v>
      </c>
      <c r="E965" s="1" t="s">
        <v>22</v>
      </c>
      <c r="F965">
        <v>8.8000000000000007</v>
      </c>
      <c r="G965">
        <v>1</v>
      </c>
      <c r="H965" s="1" t="s">
        <v>14</v>
      </c>
      <c r="I965" s="1" t="s">
        <v>15</v>
      </c>
      <c r="J965" s="12">
        <v>45732</v>
      </c>
      <c r="K965">
        <v>0</v>
      </c>
      <c r="L965" s="1">
        <f t="shared" si="60"/>
        <v>8.8000000000000007</v>
      </c>
      <c r="M965" s="1" t="str">
        <f t="shared" si="61"/>
        <v/>
      </c>
      <c r="N965" s="2">
        <f t="shared" si="62"/>
        <v>45717</v>
      </c>
      <c r="O965" t="str">
        <f t="shared" si="63"/>
        <v>pes</v>
      </c>
    </row>
    <row r="966" spans="1:15" hidden="1" x14ac:dyDescent="0.25">
      <c r="A966">
        <v>8480</v>
      </c>
      <c r="B966" s="11">
        <v>4010123456783</v>
      </c>
      <c r="C966" s="1" t="s">
        <v>35</v>
      </c>
      <c r="D966" s="1" t="s">
        <v>36</v>
      </c>
      <c r="E966" s="1" t="s">
        <v>37</v>
      </c>
      <c r="F966">
        <v>14</v>
      </c>
      <c r="G966">
        <v>1</v>
      </c>
      <c r="H966" s="1" t="s">
        <v>14</v>
      </c>
      <c r="I966" s="1" t="s">
        <v>15</v>
      </c>
      <c r="J966" s="12">
        <v>45732</v>
      </c>
      <c r="K966">
        <v>0</v>
      </c>
      <c r="L966" s="1">
        <f t="shared" si="60"/>
        <v>14</v>
      </c>
      <c r="M966" s="1" t="str">
        <f t="shared" si="61"/>
        <v/>
      </c>
      <c r="N966" s="2">
        <f t="shared" si="62"/>
        <v>45717</v>
      </c>
      <c r="O966" t="str">
        <f t="shared" si="63"/>
        <v>mačka</v>
      </c>
    </row>
    <row r="967" spans="1:15" x14ac:dyDescent="0.25">
      <c r="A967">
        <v>8481</v>
      </c>
      <c r="B967" s="11">
        <v>4063456789014</v>
      </c>
      <c r="C967" s="1" t="s">
        <v>60</v>
      </c>
      <c r="D967" s="1" t="s">
        <v>12</v>
      </c>
      <c r="E967" s="1" t="s">
        <v>61</v>
      </c>
      <c r="F967">
        <v>36</v>
      </c>
      <c r="G967">
        <v>1</v>
      </c>
      <c r="H967" s="1" t="s">
        <v>23</v>
      </c>
      <c r="I967" s="1" t="s">
        <v>189</v>
      </c>
      <c r="J967" s="12">
        <v>45732</v>
      </c>
      <c r="K967">
        <v>0</v>
      </c>
      <c r="L967" s="1">
        <f t="shared" si="60"/>
        <v>36</v>
      </c>
      <c r="M967" s="1">
        <f t="shared" si="61"/>
        <v>5</v>
      </c>
      <c r="N967" s="2">
        <f t="shared" si="62"/>
        <v>45717</v>
      </c>
      <c r="O967" t="str">
        <f t="shared" si="63"/>
        <v>pes</v>
      </c>
    </row>
    <row r="968" spans="1:15" hidden="1" x14ac:dyDescent="0.25">
      <c r="A968">
        <v>8482</v>
      </c>
      <c r="B968" s="11">
        <v>4021234567894</v>
      </c>
      <c r="C968" s="1" t="s">
        <v>79</v>
      </c>
      <c r="D968" s="1" t="s">
        <v>36</v>
      </c>
      <c r="E968" s="1" t="s">
        <v>69</v>
      </c>
      <c r="F968">
        <v>8</v>
      </c>
      <c r="G968">
        <v>1</v>
      </c>
      <c r="H968" s="1" t="s">
        <v>14</v>
      </c>
      <c r="I968" s="1" t="s">
        <v>15</v>
      </c>
      <c r="J968" s="12">
        <v>45732</v>
      </c>
      <c r="K968">
        <v>0</v>
      </c>
      <c r="L968" s="1">
        <f t="shared" si="60"/>
        <v>8</v>
      </c>
      <c r="M968" s="1" t="str">
        <f t="shared" si="61"/>
        <v/>
      </c>
      <c r="N968" s="2">
        <f t="shared" si="62"/>
        <v>45717</v>
      </c>
      <c r="O968" t="str">
        <f t="shared" si="63"/>
        <v>mačka</v>
      </c>
    </row>
    <row r="969" spans="1:15" x14ac:dyDescent="0.25">
      <c r="A969">
        <v>8483</v>
      </c>
      <c r="B969" s="11">
        <v>4061011223346</v>
      </c>
      <c r="C969" s="1" t="s">
        <v>25</v>
      </c>
      <c r="D969" s="1" t="s">
        <v>26</v>
      </c>
      <c r="E969" s="1" t="s">
        <v>27</v>
      </c>
      <c r="F969">
        <v>19.600000000000001</v>
      </c>
      <c r="G969">
        <v>1</v>
      </c>
      <c r="H969" s="1" t="s">
        <v>14</v>
      </c>
      <c r="I969" s="1" t="s">
        <v>15</v>
      </c>
      <c r="J969" s="12">
        <v>45732</v>
      </c>
      <c r="K969">
        <v>0</v>
      </c>
      <c r="L969" s="1">
        <f t="shared" si="60"/>
        <v>19.600000000000001</v>
      </c>
      <c r="M969" s="1" t="str">
        <f t="shared" si="61"/>
        <v/>
      </c>
      <c r="N969" s="2">
        <f t="shared" si="62"/>
        <v>45717</v>
      </c>
      <c r="O969" t="str">
        <f t="shared" si="63"/>
        <v>pes</v>
      </c>
    </row>
    <row r="970" spans="1:15" hidden="1" x14ac:dyDescent="0.25">
      <c r="A970">
        <v>8484</v>
      </c>
      <c r="B970" s="11">
        <v>4026677889902</v>
      </c>
      <c r="C970" s="1" t="s">
        <v>52</v>
      </c>
      <c r="D970" s="1" t="s">
        <v>53</v>
      </c>
      <c r="E970" s="1" t="s">
        <v>54</v>
      </c>
      <c r="F970">
        <v>7.6</v>
      </c>
      <c r="G970">
        <v>1</v>
      </c>
      <c r="H970" s="1" t="s">
        <v>14</v>
      </c>
      <c r="I970" s="1" t="s">
        <v>15</v>
      </c>
      <c r="J970" s="12">
        <v>45732</v>
      </c>
      <c r="K970">
        <v>0</v>
      </c>
      <c r="L970" s="1">
        <f t="shared" si="60"/>
        <v>7.6</v>
      </c>
      <c r="M970" s="1" t="str">
        <f t="shared" si="61"/>
        <v/>
      </c>
      <c r="N970" s="2">
        <f t="shared" si="62"/>
        <v>45717</v>
      </c>
      <c r="O970" t="str">
        <f t="shared" si="63"/>
        <v>iné</v>
      </c>
    </row>
    <row r="971" spans="1:15" x14ac:dyDescent="0.25">
      <c r="A971">
        <v>8485</v>
      </c>
      <c r="B971" s="11">
        <v>4028899001126</v>
      </c>
      <c r="C971" s="1" t="s">
        <v>16</v>
      </c>
      <c r="D971" s="1" t="s">
        <v>12</v>
      </c>
      <c r="E971" s="1" t="s">
        <v>17</v>
      </c>
      <c r="F971">
        <v>2.8</v>
      </c>
      <c r="G971">
        <v>4</v>
      </c>
      <c r="H971" s="1" t="s">
        <v>14</v>
      </c>
      <c r="I971" s="1" t="s">
        <v>15</v>
      </c>
      <c r="J971" s="12">
        <v>45732</v>
      </c>
      <c r="K971">
        <v>0</v>
      </c>
      <c r="L971" s="1">
        <f t="shared" si="60"/>
        <v>11.2</v>
      </c>
      <c r="M971" s="1" t="str">
        <f t="shared" si="61"/>
        <v/>
      </c>
      <c r="N971" s="2">
        <f t="shared" si="62"/>
        <v>45717</v>
      </c>
      <c r="O971" t="str">
        <f t="shared" si="63"/>
        <v>pes</v>
      </c>
    </row>
    <row r="972" spans="1:15" x14ac:dyDescent="0.25">
      <c r="A972">
        <v>8486</v>
      </c>
      <c r="B972" s="11">
        <v>4013456789017</v>
      </c>
      <c r="C972" s="1" t="s">
        <v>11</v>
      </c>
      <c r="D972" s="1" t="s">
        <v>12</v>
      </c>
      <c r="E972" s="1" t="s">
        <v>13</v>
      </c>
      <c r="F972">
        <v>6</v>
      </c>
      <c r="G972">
        <v>2</v>
      </c>
      <c r="H972" s="1" t="s">
        <v>14</v>
      </c>
      <c r="I972" s="1" t="s">
        <v>15</v>
      </c>
      <c r="J972" s="12">
        <v>45732</v>
      </c>
      <c r="K972">
        <v>0</v>
      </c>
      <c r="L972" s="1">
        <f t="shared" si="60"/>
        <v>12</v>
      </c>
      <c r="M972" s="1" t="str">
        <f t="shared" si="61"/>
        <v/>
      </c>
      <c r="N972" s="2">
        <f t="shared" si="62"/>
        <v>45717</v>
      </c>
      <c r="O972" t="str">
        <f t="shared" si="63"/>
        <v>pes</v>
      </c>
    </row>
    <row r="973" spans="1:15" x14ac:dyDescent="0.25">
      <c r="A973">
        <v>8487</v>
      </c>
      <c r="B973" s="11">
        <v>4040123456795</v>
      </c>
      <c r="C973" s="1" t="s">
        <v>20</v>
      </c>
      <c r="D973" s="1" t="s">
        <v>21</v>
      </c>
      <c r="E973" s="1" t="s">
        <v>22</v>
      </c>
      <c r="F973">
        <v>8.8000000000000007</v>
      </c>
      <c r="G973">
        <v>1</v>
      </c>
      <c r="H973" s="1" t="s">
        <v>14</v>
      </c>
      <c r="I973" s="1" t="s">
        <v>15</v>
      </c>
      <c r="J973" s="12">
        <v>45732</v>
      </c>
      <c r="K973">
        <v>0</v>
      </c>
      <c r="L973" s="1">
        <f t="shared" si="60"/>
        <v>8.8000000000000007</v>
      </c>
      <c r="M973" s="1" t="str">
        <f t="shared" si="61"/>
        <v/>
      </c>
      <c r="N973" s="2">
        <f t="shared" si="62"/>
        <v>45717</v>
      </c>
      <c r="O973" t="str">
        <f t="shared" si="63"/>
        <v>pes</v>
      </c>
    </row>
    <row r="974" spans="1:15" hidden="1" x14ac:dyDescent="0.25">
      <c r="A974">
        <v>8488</v>
      </c>
      <c r="B974" s="11">
        <v>4010123456783</v>
      </c>
      <c r="C974" s="1" t="s">
        <v>35</v>
      </c>
      <c r="D974" s="1" t="s">
        <v>36</v>
      </c>
      <c r="E974" s="1" t="s">
        <v>37</v>
      </c>
      <c r="F974">
        <v>14</v>
      </c>
      <c r="G974">
        <v>2</v>
      </c>
      <c r="H974" s="1" t="s">
        <v>14</v>
      </c>
      <c r="I974" s="1" t="s">
        <v>15</v>
      </c>
      <c r="J974" s="12">
        <v>45732</v>
      </c>
      <c r="K974">
        <v>0</v>
      </c>
      <c r="L974" s="1">
        <f t="shared" si="60"/>
        <v>28</v>
      </c>
      <c r="M974" s="1" t="str">
        <f t="shared" si="61"/>
        <v/>
      </c>
      <c r="N974" s="2">
        <f t="shared" si="62"/>
        <v>45717</v>
      </c>
      <c r="O974" t="str">
        <f t="shared" si="63"/>
        <v>mačka</v>
      </c>
    </row>
    <row r="975" spans="1:15" x14ac:dyDescent="0.25">
      <c r="A975">
        <v>8489</v>
      </c>
      <c r="B975" s="11">
        <v>4063456789014</v>
      </c>
      <c r="C975" s="1" t="s">
        <v>60</v>
      </c>
      <c r="D975" s="1" t="s">
        <v>12</v>
      </c>
      <c r="E975" s="1" t="s">
        <v>61</v>
      </c>
      <c r="F975">
        <v>36</v>
      </c>
      <c r="G975">
        <v>1</v>
      </c>
      <c r="H975" s="1" t="s">
        <v>14</v>
      </c>
      <c r="I975" s="1" t="s">
        <v>15</v>
      </c>
      <c r="J975" s="12">
        <v>45732</v>
      </c>
      <c r="K975">
        <v>0</v>
      </c>
      <c r="L975" s="1">
        <f t="shared" si="60"/>
        <v>36</v>
      </c>
      <c r="M975" s="1" t="str">
        <f t="shared" si="61"/>
        <v/>
      </c>
      <c r="N975" s="2">
        <f t="shared" si="62"/>
        <v>45717</v>
      </c>
      <c r="O975" t="str">
        <f t="shared" si="63"/>
        <v>pes</v>
      </c>
    </row>
    <row r="976" spans="1:15" x14ac:dyDescent="0.25">
      <c r="A976">
        <v>8490</v>
      </c>
      <c r="B976" s="11">
        <v>4028899001126</v>
      </c>
      <c r="C976" s="1" t="s">
        <v>16</v>
      </c>
      <c r="D976" s="1" t="s">
        <v>12</v>
      </c>
      <c r="E976" s="1" t="s">
        <v>17</v>
      </c>
      <c r="F976">
        <v>2.8</v>
      </c>
      <c r="G976">
        <v>4</v>
      </c>
      <c r="H976" s="1" t="s">
        <v>14</v>
      </c>
      <c r="I976" s="1" t="s">
        <v>15</v>
      </c>
      <c r="J976" s="12">
        <v>45733</v>
      </c>
      <c r="K976">
        <v>0</v>
      </c>
      <c r="L976" s="1">
        <f t="shared" si="60"/>
        <v>11.2</v>
      </c>
      <c r="M976" s="1" t="str">
        <f t="shared" si="61"/>
        <v/>
      </c>
      <c r="N976" s="2">
        <f t="shared" si="62"/>
        <v>45717</v>
      </c>
      <c r="O976" t="str">
        <f t="shared" si="63"/>
        <v>pes</v>
      </c>
    </row>
    <row r="977" spans="1:15" x14ac:dyDescent="0.25">
      <c r="A977">
        <v>8491</v>
      </c>
      <c r="B977" s="11">
        <v>4013456789017</v>
      </c>
      <c r="C977" s="1" t="s">
        <v>11</v>
      </c>
      <c r="D977" s="1" t="s">
        <v>12</v>
      </c>
      <c r="E977" s="1" t="s">
        <v>13</v>
      </c>
      <c r="F977">
        <v>6</v>
      </c>
      <c r="G977">
        <v>2</v>
      </c>
      <c r="H977" s="1" t="s">
        <v>14</v>
      </c>
      <c r="I977" s="1" t="s">
        <v>15</v>
      </c>
      <c r="J977" s="12">
        <v>45733</v>
      </c>
      <c r="K977">
        <v>0</v>
      </c>
      <c r="L977" s="1">
        <f t="shared" si="60"/>
        <v>12</v>
      </c>
      <c r="M977" s="1" t="str">
        <f t="shared" si="61"/>
        <v/>
      </c>
      <c r="N977" s="2">
        <f t="shared" si="62"/>
        <v>45717</v>
      </c>
      <c r="O977" t="str">
        <f t="shared" si="63"/>
        <v>pes</v>
      </c>
    </row>
    <row r="978" spans="1:15" x14ac:dyDescent="0.25">
      <c r="A978">
        <v>8492</v>
      </c>
      <c r="B978" s="11">
        <v>4040123456795</v>
      </c>
      <c r="C978" s="1" t="s">
        <v>20</v>
      </c>
      <c r="D978" s="1" t="s">
        <v>21</v>
      </c>
      <c r="E978" s="1" t="s">
        <v>22</v>
      </c>
      <c r="F978">
        <v>8.8000000000000007</v>
      </c>
      <c r="G978">
        <v>1</v>
      </c>
      <c r="H978" s="1" t="s">
        <v>14</v>
      </c>
      <c r="I978" s="1" t="s">
        <v>15</v>
      </c>
      <c r="J978" s="12">
        <v>45733</v>
      </c>
      <c r="K978">
        <v>0</v>
      </c>
      <c r="L978" s="1">
        <f t="shared" si="60"/>
        <v>8.8000000000000007</v>
      </c>
      <c r="M978" s="1" t="str">
        <f t="shared" si="61"/>
        <v/>
      </c>
      <c r="N978" s="2">
        <f t="shared" si="62"/>
        <v>45717</v>
      </c>
      <c r="O978" t="str">
        <f t="shared" si="63"/>
        <v>pes</v>
      </c>
    </row>
    <row r="979" spans="1:15" hidden="1" x14ac:dyDescent="0.25">
      <c r="A979">
        <v>8493</v>
      </c>
      <c r="B979" s="11">
        <v>4010123456783</v>
      </c>
      <c r="C979" s="1" t="s">
        <v>35</v>
      </c>
      <c r="D979" s="1" t="s">
        <v>36</v>
      </c>
      <c r="E979" s="1" t="s">
        <v>37</v>
      </c>
      <c r="F979">
        <v>14</v>
      </c>
      <c r="G979">
        <v>1</v>
      </c>
      <c r="H979" s="1" t="s">
        <v>14</v>
      </c>
      <c r="I979" s="1" t="s">
        <v>15</v>
      </c>
      <c r="J979" s="12">
        <v>45733</v>
      </c>
      <c r="K979">
        <v>0</v>
      </c>
      <c r="L979" s="1">
        <f t="shared" si="60"/>
        <v>14</v>
      </c>
      <c r="M979" s="1" t="str">
        <f t="shared" si="61"/>
        <v/>
      </c>
      <c r="N979" s="2">
        <f t="shared" si="62"/>
        <v>45717</v>
      </c>
      <c r="O979" t="str">
        <f t="shared" si="63"/>
        <v>mačka</v>
      </c>
    </row>
    <row r="980" spans="1:15" hidden="1" x14ac:dyDescent="0.25">
      <c r="A980">
        <v>8494</v>
      </c>
      <c r="B980" s="11">
        <v>4056789012345</v>
      </c>
      <c r="C980" s="1" t="s">
        <v>47</v>
      </c>
      <c r="D980" s="1" t="s">
        <v>29</v>
      </c>
      <c r="E980" s="1" t="s">
        <v>37</v>
      </c>
      <c r="F980">
        <v>2.4</v>
      </c>
      <c r="G980">
        <v>2</v>
      </c>
      <c r="H980" s="1" t="s">
        <v>14</v>
      </c>
      <c r="I980" s="1" t="s">
        <v>15</v>
      </c>
      <c r="J980" s="12">
        <v>45733</v>
      </c>
      <c r="K980">
        <v>0</v>
      </c>
      <c r="L980" s="1">
        <f t="shared" si="60"/>
        <v>4.8</v>
      </c>
      <c r="M980" s="1" t="str">
        <f t="shared" si="61"/>
        <v/>
      </c>
      <c r="N980" s="2">
        <f t="shared" si="62"/>
        <v>45717</v>
      </c>
      <c r="O980" t="str">
        <f t="shared" si="63"/>
        <v>mačka</v>
      </c>
    </row>
    <row r="981" spans="1:15" x14ac:dyDescent="0.25">
      <c r="A981">
        <v>8495</v>
      </c>
      <c r="B981" s="11">
        <v>4063456789014</v>
      </c>
      <c r="C981" s="1" t="s">
        <v>60</v>
      </c>
      <c r="D981" s="1" t="s">
        <v>12</v>
      </c>
      <c r="E981" s="1" t="s">
        <v>61</v>
      </c>
      <c r="F981">
        <v>36</v>
      </c>
      <c r="G981">
        <v>1</v>
      </c>
      <c r="H981" s="1" t="s">
        <v>14</v>
      </c>
      <c r="I981" s="1" t="s">
        <v>15</v>
      </c>
      <c r="J981" s="12">
        <v>45733</v>
      </c>
      <c r="K981">
        <v>0</v>
      </c>
      <c r="L981" s="1">
        <f t="shared" si="60"/>
        <v>36</v>
      </c>
      <c r="M981" s="1" t="str">
        <f t="shared" si="61"/>
        <v/>
      </c>
      <c r="N981" s="2">
        <f t="shared" si="62"/>
        <v>45717</v>
      </c>
      <c r="O981" t="str">
        <f t="shared" si="63"/>
        <v>pes</v>
      </c>
    </row>
    <row r="982" spans="1:15" hidden="1" x14ac:dyDescent="0.25">
      <c r="A982">
        <v>8496</v>
      </c>
      <c r="B982" s="11">
        <v>4021234567894</v>
      </c>
      <c r="C982" s="1" t="s">
        <v>79</v>
      </c>
      <c r="D982" s="1" t="s">
        <v>36</v>
      </c>
      <c r="E982" s="1" t="s">
        <v>69</v>
      </c>
      <c r="F982">
        <v>8</v>
      </c>
      <c r="G982">
        <v>1</v>
      </c>
      <c r="H982" s="1" t="s">
        <v>14</v>
      </c>
      <c r="I982" s="1" t="s">
        <v>15</v>
      </c>
      <c r="J982" s="12">
        <v>45733</v>
      </c>
      <c r="K982">
        <v>0</v>
      </c>
      <c r="L982" s="1">
        <f t="shared" si="60"/>
        <v>8</v>
      </c>
      <c r="M982" s="1" t="str">
        <f t="shared" si="61"/>
        <v/>
      </c>
      <c r="N982" s="2">
        <f t="shared" si="62"/>
        <v>45717</v>
      </c>
      <c r="O982" t="str">
        <f t="shared" si="63"/>
        <v>mačka</v>
      </c>
    </row>
    <row r="983" spans="1:15" x14ac:dyDescent="0.25">
      <c r="A983">
        <v>8497</v>
      </c>
      <c r="B983" s="11">
        <v>4061011223346</v>
      </c>
      <c r="C983" s="1" t="s">
        <v>25</v>
      </c>
      <c r="D983" s="1" t="s">
        <v>26</v>
      </c>
      <c r="E983" s="1" t="s">
        <v>27</v>
      </c>
      <c r="F983">
        <v>19.600000000000001</v>
      </c>
      <c r="G983">
        <v>1</v>
      </c>
      <c r="H983" s="1" t="s">
        <v>14</v>
      </c>
      <c r="I983" s="1" t="s">
        <v>15</v>
      </c>
      <c r="J983" s="12">
        <v>45733</v>
      </c>
      <c r="K983">
        <v>0</v>
      </c>
      <c r="L983" s="1">
        <f t="shared" si="60"/>
        <v>19.600000000000001</v>
      </c>
      <c r="M983" s="1" t="str">
        <f t="shared" si="61"/>
        <v/>
      </c>
      <c r="N983" s="2">
        <f t="shared" si="62"/>
        <v>45717</v>
      </c>
      <c r="O983" t="str">
        <f t="shared" si="63"/>
        <v>pes</v>
      </c>
    </row>
    <row r="984" spans="1:15" hidden="1" x14ac:dyDescent="0.25">
      <c r="A984">
        <v>8498</v>
      </c>
      <c r="B984" s="11">
        <v>4026677889902</v>
      </c>
      <c r="C984" s="1" t="s">
        <v>52</v>
      </c>
      <c r="D984" s="1" t="s">
        <v>53</v>
      </c>
      <c r="E984" s="1" t="s">
        <v>54</v>
      </c>
      <c r="F984">
        <v>7.6</v>
      </c>
      <c r="G984">
        <v>1</v>
      </c>
      <c r="H984" s="1" t="s">
        <v>14</v>
      </c>
      <c r="I984" s="1" t="s">
        <v>15</v>
      </c>
      <c r="J984" s="12">
        <v>45733</v>
      </c>
      <c r="K984">
        <v>0</v>
      </c>
      <c r="L984" s="1">
        <f t="shared" si="60"/>
        <v>7.6</v>
      </c>
      <c r="M984" s="1" t="str">
        <f t="shared" si="61"/>
        <v/>
      </c>
      <c r="N984" s="2">
        <f t="shared" si="62"/>
        <v>45717</v>
      </c>
      <c r="O984" t="str">
        <f t="shared" si="63"/>
        <v>iné</v>
      </c>
    </row>
    <row r="985" spans="1:15" x14ac:dyDescent="0.25">
      <c r="A985">
        <v>8499</v>
      </c>
      <c r="B985" s="11">
        <v>4028899001126</v>
      </c>
      <c r="C985" s="1" t="s">
        <v>16</v>
      </c>
      <c r="D985" s="1" t="s">
        <v>12</v>
      </c>
      <c r="E985" s="1" t="s">
        <v>17</v>
      </c>
      <c r="F985">
        <v>2.8</v>
      </c>
      <c r="G985">
        <v>3</v>
      </c>
      <c r="H985" s="1" t="s">
        <v>14</v>
      </c>
      <c r="I985" s="1" t="s">
        <v>15</v>
      </c>
      <c r="J985" s="12">
        <v>45733</v>
      </c>
      <c r="K985">
        <v>0</v>
      </c>
      <c r="L985" s="1">
        <f t="shared" si="60"/>
        <v>8.3999999999999986</v>
      </c>
      <c r="M985" s="1" t="str">
        <f t="shared" si="61"/>
        <v/>
      </c>
      <c r="N985" s="2">
        <f t="shared" si="62"/>
        <v>45717</v>
      </c>
      <c r="O985" t="str">
        <f t="shared" si="63"/>
        <v>pes</v>
      </c>
    </row>
    <row r="986" spans="1:15" x14ac:dyDescent="0.25">
      <c r="A986">
        <v>8500</v>
      </c>
      <c r="B986" s="11">
        <v>4013456789017</v>
      </c>
      <c r="C986" s="1" t="s">
        <v>11</v>
      </c>
      <c r="D986" s="1" t="s">
        <v>12</v>
      </c>
      <c r="E986" s="1" t="s">
        <v>13</v>
      </c>
      <c r="F986">
        <v>6</v>
      </c>
      <c r="G986">
        <v>2</v>
      </c>
      <c r="H986" s="1" t="s">
        <v>14</v>
      </c>
      <c r="I986" s="1" t="s">
        <v>15</v>
      </c>
      <c r="J986" s="12">
        <v>45733</v>
      </c>
      <c r="K986">
        <v>0</v>
      </c>
      <c r="L986" s="1">
        <f t="shared" si="60"/>
        <v>12</v>
      </c>
      <c r="M986" s="1" t="str">
        <f t="shared" si="61"/>
        <v/>
      </c>
      <c r="N986" s="2">
        <f t="shared" si="62"/>
        <v>45717</v>
      </c>
      <c r="O986" t="str">
        <f t="shared" si="63"/>
        <v>pes</v>
      </c>
    </row>
    <row r="987" spans="1:15" x14ac:dyDescent="0.25">
      <c r="A987">
        <v>8501</v>
      </c>
      <c r="B987" s="11">
        <v>4040123456795</v>
      </c>
      <c r="C987" s="1" t="s">
        <v>20</v>
      </c>
      <c r="D987" s="1" t="s">
        <v>21</v>
      </c>
      <c r="E987" s="1" t="s">
        <v>22</v>
      </c>
      <c r="F987">
        <v>8.8000000000000007</v>
      </c>
      <c r="G987">
        <v>1</v>
      </c>
      <c r="H987" s="1" t="s">
        <v>14</v>
      </c>
      <c r="I987" s="1" t="s">
        <v>15</v>
      </c>
      <c r="J987" s="12">
        <v>45733</v>
      </c>
      <c r="K987">
        <v>0</v>
      </c>
      <c r="L987" s="1">
        <f t="shared" si="60"/>
        <v>8.8000000000000007</v>
      </c>
      <c r="M987" s="1" t="str">
        <f t="shared" si="61"/>
        <v/>
      </c>
      <c r="N987" s="2">
        <f t="shared" si="62"/>
        <v>45717</v>
      </c>
      <c r="O987" t="str">
        <f t="shared" si="63"/>
        <v>pes</v>
      </c>
    </row>
    <row r="988" spans="1:15" hidden="1" x14ac:dyDescent="0.25">
      <c r="A988">
        <v>8502</v>
      </c>
      <c r="B988" s="11">
        <v>4010123456783</v>
      </c>
      <c r="C988" s="1" t="s">
        <v>35</v>
      </c>
      <c r="D988" s="1" t="s">
        <v>36</v>
      </c>
      <c r="E988" s="1" t="s">
        <v>37</v>
      </c>
      <c r="F988">
        <v>14</v>
      </c>
      <c r="G988">
        <v>2</v>
      </c>
      <c r="H988" s="1" t="s">
        <v>14</v>
      </c>
      <c r="I988" s="1" t="s">
        <v>15</v>
      </c>
      <c r="J988" s="12">
        <v>45733</v>
      </c>
      <c r="K988">
        <v>0</v>
      </c>
      <c r="L988" s="1">
        <f t="shared" si="60"/>
        <v>28</v>
      </c>
      <c r="M988" s="1" t="str">
        <f t="shared" si="61"/>
        <v/>
      </c>
      <c r="N988" s="2">
        <f t="shared" si="62"/>
        <v>45717</v>
      </c>
      <c r="O988" t="str">
        <f t="shared" si="63"/>
        <v>mačka</v>
      </c>
    </row>
    <row r="989" spans="1:15" x14ac:dyDescent="0.25">
      <c r="A989">
        <v>8503</v>
      </c>
      <c r="B989" s="11">
        <v>4063456789014</v>
      </c>
      <c r="C989" s="1" t="s">
        <v>60</v>
      </c>
      <c r="D989" s="1" t="s">
        <v>12</v>
      </c>
      <c r="E989" s="1" t="s">
        <v>61</v>
      </c>
      <c r="F989">
        <v>36</v>
      </c>
      <c r="G989">
        <v>1</v>
      </c>
      <c r="H989" s="1" t="s">
        <v>14</v>
      </c>
      <c r="I989" s="1" t="s">
        <v>15</v>
      </c>
      <c r="J989" s="12">
        <v>45733</v>
      </c>
      <c r="K989">
        <v>0</v>
      </c>
      <c r="L989" s="1">
        <f t="shared" si="60"/>
        <v>36</v>
      </c>
      <c r="M989" s="1" t="str">
        <f t="shared" si="61"/>
        <v/>
      </c>
      <c r="N989" s="2">
        <f t="shared" si="62"/>
        <v>45717</v>
      </c>
      <c r="O989" t="str">
        <f t="shared" si="63"/>
        <v>pes</v>
      </c>
    </row>
    <row r="990" spans="1:15" x14ac:dyDescent="0.25">
      <c r="A990">
        <v>8504</v>
      </c>
      <c r="B990" s="11">
        <v>4028899001126</v>
      </c>
      <c r="C990" s="1" t="s">
        <v>16</v>
      </c>
      <c r="D990" s="1" t="s">
        <v>12</v>
      </c>
      <c r="E990" s="1" t="s">
        <v>17</v>
      </c>
      <c r="F990">
        <v>2.8</v>
      </c>
      <c r="G990">
        <v>5</v>
      </c>
      <c r="H990" s="1" t="s">
        <v>18</v>
      </c>
      <c r="I990" s="1" t="s">
        <v>190</v>
      </c>
      <c r="J990" s="12">
        <v>45734</v>
      </c>
      <c r="K990">
        <v>0</v>
      </c>
      <c r="L990" s="1">
        <f t="shared" si="60"/>
        <v>14</v>
      </c>
      <c r="M990" s="1">
        <f t="shared" si="61"/>
        <v>4</v>
      </c>
      <c r="N990" s="2">
        <f t="shared" si="62"/>
        <v>45717</v>
      </c>
      <c r="O990" t="str">
        <f t="shared" si="63"/>
        <v>pes</v>
      </c>
    </row>
    <row r="991" spans="1:15" x14ac:dyDescent="0.25">
      <c r="A991">
        <v>8505</v>
      </c>
      <c r="B991" s="11">
        <v>4013456789017</v>
      </c>
      <c r="C991" s="1" t="s">
        <v>11</v>
      </c>
      <c r="D991" s="1" t="s">
        <v>12</v>
      </c>
      <c r="E991" s="1" t="s">
        <v>13</v>
      </c>
      <c r="F991">
        <v>6</v>
      </c>
      <c r="G991">
        <v>2</v>
      </c>
      <c r="H991" s="1" t="s">
        <v>14</v>
      </c>
      <c r="I991" s="1" t="s">
        <v>15</v>
      </c>
      <c r="J991" s="12">
        <v>45734</v>
      </c>
      <c r="K991">
        <v>0</v>
      </c>
      <c r="L991" s="1">
        <f t="shared" si="60"/>
        <v>12</v>
      </c>
      <c r="M991" s="1" t="str">
        <f t="shared" si="61"/>
        <v/>
      </c>
      <c r="N991" s="2">
        <f t="shared" si="62"/>
        <v>45717</v>
      </c>
      <c r="O991" t="str">
        <f t="shared" si="63"/>
        <v>pes</v>
      </c>
    </row>
    <row r="992" spans="1:15" x14ac:dyDescent="0.25">
      <c r="A992">
        <v>8506</v>
      </c>
      <c r="B992" s="11">
        <v>4040123456795</v>
      </c>
      <c r="C992" s="1" t="s">
        <v>20</v>
      </c>
      <c r="D992" s="1" t="s">
        <v>21</v>
      </c>
      <c r="E992" s="1" t="s">
        <v>22</v>
      </c>
      <c r="F992">
        <v>8.8000000000000007</v>
      </c>
      <c r="G992">
        <v>1</v>
      </c>
      <c r="H992" s="1" t="s">
        <v>14</v>
      </c>
      <c r="I992" s="1" t="s">
        <v>15</v>
      </c>
      <c r="J992" s="12">
        <v>45734</v>
      </c>
      <c r="K992">
        <v>0</v>
      </c>
      <c r="L992" s="1">
        <f t="shared" si="60"/>
        <v>8.8000000000000007</v>
      </c>
      <c r="M992" s="1" t="str">
        <f t="shared" si="61"/>
        <v/>
      </c>
      <c r="N992" s="2">
        <f t="shared" si="62"/>
        <v>45717</v>
      </c>
      <c r="O992" t="str">
        <f t="shared" si="63"/>
        <v>pes</v>
      </c>
    </row>
    <row r="993" spans="1:15" hidden="1" x14ac:dyDescent="0.25">
      <c r="A993">
        <v>8507</v>
      </c>
      <c r="B993" s="11">
        <v>4010123456783</v>
      </c>
      <c r="C993" s="1" t="s">
        <v>35</v>
      </c>
      <c r="D993" s="1" t="s">
        <v>36</v>
      </c>
      <c r="E993" s="1" t="s">
        <v>37</v>
      </c>
      <c r="F993">
        <v>14</v>
      </c>
      <c r="G993">
        <v>1</v>
      </c>
      <c r="H993" s="1" t="s">
        <v>14</v>
      </c>
      <c r="I993" s="1" t="s">
        <v>15</v>
      </c>
      <c r="J993" s="12">
        <v>45734</v>
      </c>
      <c r="K993">
        <v>0</v>
      </c>
      <c r="L993" s="1">
        <f t="shared" si="60"/>
        <v>14</v>
      </c>
      <c r="M993" s="1" t="str">
        <f t="shared" si="61"/>
        <v/>
      </c>
      <c r="N993" s="2">
        <f t="shared" si="62"/>
        <v>45717</v>
      </c>
      <c r="O993" t="str">
        <f t="shared" si="63"/>
        <v>mačka</v>
      </c>
    </row>
    <row r="994" spans="1:15" x14ac:dyDescent="0.25">
      <c r="A994">
        <v>8508</v>
      </c>
      <c r="B994" s="11">
        <v>4063456789014</v>
      </c>
      <c r="C994" s="1" t="s">
        <v>60</v>
      </c>
      <c r="D994" s="1" t="s">
        <v>12</v>
      </c>
      <c r="E994" s="1" t="s">
        <v>61</v>
      </c>
      <c r="F994">
        <v>36</v>
      </c>
      <c r="G994">
        <v>1</v>
      </c>
      <c r="H994" s="1" t="s">
        <v>14</v>
      </c>
      <c r="I994" s="1" t="s">
        <v>15</v>
      </c>
      <c r="J994" s="12">
        <v>45734</v>
      </c>
      <c r="K994">
        <v>0</v>
      </c>
      <c r="L994" s="1">
        <f t="shared" si="60"/>
        <v>36</v>
      </c>
      <c r="M994" s="1" t="str">
        <f t="shared" si="61"/>
        <v/>
      </c>
      <c r="N994" s="2">
        <f t="shared" si="62"/>
        <v>45717</v>
      </c>
      <c r="O994" t="str">
        <f t="shared" si="63"/>
        <v>pes</v>
      </c>
    </row>
    <row r="995" spans="1:15" hidden="1" x14ac:dyDescent="0.25">
      <c r="A995">
        <v>8509</v>
      </c>
      <c r="B995" s="11">
        <v>4021234567894</v>
      </c>
      <c r="C995" s="1" t="s">
        <v>79</v>
      </c>
      <c r="D995" s="1" t="s">
        <v>36</v>
      </c>
      <c r="E995" s="1" t="s">
        <v>69</v>
      </c>
      <c r="F995">
        <v>8</v>
      </c>
      <c r="G995">
        <v>1</v>
      </c>
      <c r="H995" s="1" t="s">
        <v>14</v>
      </c>
      <c r="I995" s="1" t="s">
        <v>15</v>
      </c>
      <c r="J995" s="12">
        <v>45734</v>
      </c>
      <c r="K995">
        <v>0</v>
      </c>
      <c r="L995" s="1">
        <f t="shared" si="60"/>
        <v>8</v>
      </c>
      <c r="M995" s="1" t="str">
        <f t="shared" si="61"/>
        <v/>
      </c>
      <c r="N995" s="2">
        <f t="shared" si="62"/>
        <v>45717</v>
      </c>
      <c r="O995" t="str">
        <f t="shared" si="63"/>
        <v>mačka</v>
      </c>
    </row>
    <row r="996" spans="1:15" x14ac:dyDescent="0.25">
      <c r="A996">
        <v>8510</v>
      </c>
      <c r="B996" s="11">
        <v>4061011223346</v>
      </c>
      <c r="C996" s="1" t="s">
        <v>25</v>
      </c>
      <c r="D996" s="1" t="s">
        <v>26</v>
      </c>
      <c r="E996" s="1" t="s">
        <v>27</v>
      </c>
      <c r="F996">
        <v>19.600000000000001</v>
      </c>
      <c r="G996">
        <v>1</v>
      </c>
      <c r="H996" s="1" t="s">
        <v>14</v>
      </c>
      <c r="I996" s="1" t="s">
        <v>15</v>
      </c>
      <c r="J996" s="12">
        <v>45734</v>
      </c>
      <c r="K996">
        <v>0</v>
      </c>
      <c r="L996" s="1">
        <f t="shared" si="60"/>
        <v>19.600000000000001</v>
      </c>
      <c r="M996" s="1" t="str">
        <f t="shared" si="61"/>
        <v/>
      </c>
      <c r="N996" s="2">
        <f t="shared" si="62"/>
        <v>45717</v>
      </c>
      <c r="O996" t="str">
        <f t="shared" si="63"/>
        <v>pes</v>
      </c>
    </row>
    <row r="997" spans="1:15" hidden="1" x14ac:dyDescent="0.25">
      <c r="A997">
        <v>8511</v>
      </c>
      <c r="B997" s="11">
        <v>4026677889902</v>
      </c>
      <c r="C997" s="1" t="s">
        <v>52</v>
      </c>
      <c r="D997" s="1" t="s">
        <v>53</v>
      </c>
      <c r="E997" s="1" t="s">
        <v>54</v>
      </c>
      <c r="F997">
        <v>7.6</v>
      </c>
      <c r="G997">
        <v>1</v>
      </c>
      <c r="H997" s="1" t="s">
        <v>14</v>
      </c>
      <c r="I997" s="1" t="s">
        <v>15</v>
      </c>
      <c r="J997" s="12">
        <v>45734</v>
      </c>
      <c r="K997">
        <v>0</v>
      </c>
      <c r="L997" s="1">
        <f t="shared" si="60"/>
        <v>7.6</v>
      </c>
      <c r="M997" s="1" t="str">
        <f t="shared" si="61"/>
        <v/>
      </c>
      <c r="N997" s="2">
        <f t="shared" si="62"/>
        <v>45717</v>
      </c>
      <c r="O997" t="str">
        <f t="shared" si="63"/>
        <v>iné</v>
      </c>
    </row>
    <row r="998" spans="1:15" x14ac:dyDescent="0.25">
      <c r="A998">
        <v>8512</v>
      </c>
      <c r="B998" s="11">
        <v>4028899001126</v>
      </c>
      <c r="C998" s="1" t="s">
        <v>16</v>
      </c>
      <c r="D998" s="1" t="s">
        <v>12</v>
      </c>
      <c r="E998" s="1" t="s">
        <v>17</v>
      </c>
      <c r="F998">
        <v>2.8</v>
      </c>
      <c r="G998">
        <v>3</v>
      </c>
      <c r="H998" s="1" t="s">
        <v>14</v>
      </c>
      <c r="I998" s="1" t="s">
        <v>15</v>
      </c>
      <c r="J998" s="12">
        <v>45734</v>
      </c>
      <c r="K998">
        <v>0</v>
      </c>
      <c r="L998" s="1">
        <f t="shared" si="60"/>
        <v>8.3999999999999986</v>
      </c>
      <c r="M998" s="1" t="str">
        <f t="shared" si="61"/>
        <v/>
      </c>
      <c r="N998" s="2">
        <f t="shared" si="62"/>
        <v>45717</v>
      </c>
      <c r="O998" t="str">
        <f t="shared" si="63"/>
        <v>pes</v>
      </c>
    </row>
    <row r="999" spans="1:15" x14ac:dyDescent="0.25">
      <c r="A999">
        <v>8513</v>
      </c>
      <c r="B999" s="11">
        <v>4013456789017</v>
      </c>
      <c r="C999" s="1" t="s">
        <v>11</v>
      </c>
      <c r="D999" s="1" t="s">
        <v>12</v>
      </c>
      <c r="E999" s="1" t="s">
        <v>13</v>
      </c>
      <c r="F999">
        <v>6</v>
      </c>
      <c r="G999">
        <v>2</v>
      </c>
      <c r="H999" s="1" t="s">
        <v>14</v>
      </c>
      <c r="I999" s="1" t="s">
        <v>15</v>
      </c>
      <c r="J999" s="12">
        <v>45734</v>
      </c>
      <c r="K999">
        <v>0</v>
      </c>
      <c r="L999" s="1">
        <f t="shared" si="60"/>
        <v>12</v>
      </c>
      <c r="M999" s="1" t="str">
        <f t="shared" si="61"/>
        <v/>
      </c>
      <c r="N999" s="2">
        <f t="shared" si="62"/>
        <v>45717</v>
      </c>
      <c r="O999" t="str">
        <f t="shared" si="63"/>
        <v>pes</v>
      </c>
    </row>
    <row r="1000" spans="1:15" x14ac:dyDescent="0.25">
      <c r="A1000">
        <v>8514</v>
      </c>
      <c r="B1000" s="11">
        <v>4040123456795</v>
      </c>
      <c r="C1000" s="1" t="s">
        <v>20</v>
      </c>
      <c r="D1000" s="1" t="s">
        <v>21</v>
      </c>
      <c r="E1000" s="1" t="s">
        <v>22</v>
      </c>
      <c r="F1000">
        <v>8.8000000000000007</v>
      </c>
      <c r="G1000">
        <v>1</v>
      </c>
      <c r="H1000" s="1" t="s">
        <v>14</v>
      </c>
      <c r="I1000" s="1" t="s">
        <v>15</v>
      </c>
      <c r="J1000" s="12">
        <v>45734</v>
      </c>
      <c r="K1000">
        <v>0</v>
      </c>
      <c r="L1000" s="1">
        <f t="shared" si="60"/>
        <v>8.8000000000000007</v>
      </c>
      <c r="M1000" s="1" t="str">
        <f t="shared" si="61"/>
        <v/>
      </c>
      <c r="N1000" s="2">
        <f t="shared" si="62"/>
        <v>45717</v>
      </c>
      <c r="O1000" t="str">
        <f t="shared" si="63"/>
        <v>pes</v>
      </c>
    </row>
    <row r="1001" spans="1:15" hidden="1" x14ac:dyDescent="0.25">
      <c r="A1001">
        <v>8515</v>
      </c>
      <c r="B1001" s="11">
        <v>4010123456783</v>
      </c>
      <c r="C1001" s="1" t="s">
        <v>35</v>
      </c>
      <c r="D1001" s="1" t="s">
        <v>36</v>
      </c>
      <c r="E1001" s="1" t="s">
        <v>37</v>
      </c>
      <c r="F1001">
        <v>14</v>
      </c>
      <c r="G1001">
        <v>1</v>
      </c>
      <c r="H1001" s="1" t="s">
        <v>14</v>
      </c>
      <c r="I1001" s="1" t="s">
        <v>15</v>
      </c>
      <c r="J1001" s="12">
        <v>45734</v>
      </c>
      <c r="K1001">
        <v>0</v>
      </c>
      <c r="L1001" s="1">
        <f t="shared" si="60"/>
        <v>14</v>
      </c>
      <c r="M1001" s="1" t="str">
        <f t="shared" si="61"/>
        <v/>
      </c>
      <c r="N1001" s="2">
        <f t="shared" si="62"/>
        <v>45717</v>
      </c>
      <c r="O1001" t="str">
        <f t="shared" si="63"/>
        <v>mačka</v>
      </c>
    </row>
    <row r="1002" spans="1:15" x14ac:dyDescent="0.25">
      <c r="A1002">
        <v>8516</v>
      </c>
      <c r="B1002" s="11">
        <v>4063456789014</v>
      </c>
      <c r="C1002" s="1" t="s">
        <v>60</v>
      </c>
      <c r="D1002" s="1" t="s">
        <v>12</v>
      </c>
      <c r="E1002" s="1" t="s">
        <v>61</v>
      </c>
      <c r="F1002">
        <v>36</v>
      </c>
      <c r="G1002">
        <v>1</v>
      </c>
      <c r="H1002" s="1" t="s">
        <v>14</v>
      </c>
      <c r="I1002" s="1" t="s">
        <v>15</v>
      </c>
      <c r="J1002" s="12">
        <v>45734</v>
      </c>
      <c r="K1002">
        <v>0</v>
      </c>
      <c r="L1002" s="1">
        <f t="shared" si="60"/>
        <v>36</v>
      </c>
      <c r="M1002" s="1" t="str">
        <f t="shared" si="61"/>
        <v/>
      </c>
      <c r="N1002" s="2">
        <f t="shared" si="62"/>
        <v>45717</v>
      </c>
      <c r="O1002" t="str">
        <f t="shared" si="63"/>
        <v>pes</v>
      </c>
    </row>
    <row r="1003" spans="1:15" x14ac:dyDescent="0.25">
      <c r="A1003">
        <v>8517</v>
      </c>
      <c r="B1003" s="11">
        <v>4028899001126</v>
      </c>
      <c r="C1003" s="1" t="s">
        <v>16</v>
      </c>
      <c r="D1003" s="1" t="s">
        <v>12</v>
      </c>
      <c r="E1003" s="1" t="s">
        <v>17</v>
      </c>
      <c r="F1003">
        <v>2.8</v>
      </c>
      <c r="G1003">
        <v>5</v>
      </c>
      <c r="H1003" s="1" t="s">
        <v>14</v>
      </c>
      <c r="I1003" s="1" t="s">
        <v>15</v>
      </c>
      <c r="J1003" s="12">
        <v>45735</v>
      </c>
      <c r="K1003">
        <v>0</v>
      </c>
      <c r="L1003" s="1">
        <f t="shared" si="60"/>
        <v>14</v>
      </c>
      <c r="M1003" s="1" t="str">
        <f t="shared" si="61"/>
        <v/>
      </c>
      <c r="N1003" s="2">
        <f t="shared" si="62"/>
        <v>45717</v>
      </c>
      <c r="O1003" t="str">
        <f t="shared" si="63"/>
        <v>pes</v>
      </c>
    </row>
    <row r="1004" spans="1:15" x14ac:dyDescent="0.25">
      <c r="A1004">
        <v>8518</v>
      </c>
      <c r="B1004" s="11">
        <v>4013456789017</v>
      </c>
      <c r="C1004" s="1" t="s">
        <v>11</v>
      </c>
      <c r="D1004" s="1" t="s">
        <v>12</v>
      </c>
      <c r="E1004" s="1" t="s">
        <v>13</v>
      </c>
      <c r="F1004">
        <v>6</v>
      </c>
      <c r="G1004">
        <v>2</v>
      </c>
      <c r="H1004" s="1" t="s">
        <v>14</v>
      </c>
      <c r="I1004" s="1" t="s">
        <v>15</v>
      </c>
      <c r="J1004" s="12">
        <v>45735</v>
      </c>
      <c r="K1004">
        <v>0</v>
      </c>
      <c r="L1004" s="1">
        <f t="shared" si="60"/>
        <v>12</v>
      </c>
      <c r="M1004" s="1" t="str">
        <f t="shared" si="61"/>
        <v/>
      </c>
      <c r="N1004" s="2">
        <f t="shared" si="62"/>
        <v>45717</v>
      </c>
      <c r="O1004" t="str">
        <f t="shared" si="63"/>
        <v>pes</v>
      </c>
    </row>
    <row r="1005" spans="1:15" x14ac:dyDescent="0.25">
      <c r="A1005">
        <v>8519</v>
      </c>
      <c r="B1005" s="11">
        <v>4040123456795</v>
      </c>
      <c r="C1005" s="1" t="s">
        <v>20</v>
      </c>
      <c r="D1005" s="1" t="s">
        <v>21</v>
      </c>
      <c r="E1005" s="1" t="s">
        <v>22</v>
      </c>
      <c r="F1005">
        <v>8.8000000000000007</v>
      </c>
      <c r="G1005">
        <v>1</v>
      </c>
      <c r="H1005" s="1" t="s">
        <v>14</v>
      </c>
      <c r="I1005" s="1" t="s">
        <v>15</v>
      </c>
      <c r="J1005" s="12">
        <v>45735</v>
      </c>
      <c r="K1005">
        <v>0</v>
      </c>
      <c r="L1005" s="1">
        <f t="shared" si="60"/>
        <v>8.8000000000000007</v>
      </c>
      <c r="M1005" s="1" t="str">
        <f t="shared" si="61"/>
        <v/>
      </c>
      <c r="N1005" s="2">
        <f t="shared" si="62"/>
        <v>45717</v>
      </c>
      <c r="O1005" t="str">
        <f t="shared" si="63"/>
        <v>pes</v>
      </c>
    </row>
    <row r="1006" spans="1:15" hidden="1" x14ac:dyDescent="0.25">
      <c r="A1006">
        <v>8520</v>
      </c>
      <c r="B1006" s="11">
        <v>4010123456783</v>
      </c>
      <c r="C1006" s="1" t="s">
        <v>35</v>
      </c>
      <c r="D1006" s="1" t="s">
        <v>36</v>
      </c>
      <c r="E1006" s="1" t="s">
        <v>37</v>
      </c>
      <c r="F1006">
        <v>14</v>
      </c>
      <c r="G1006">
        <v>1</v>
      </c>
      <c r="H1006" s="1" t="s">
        <v>14</v>
      </c>
      <c r="I1006" s="1" t="s">
        <v>15</v>
      </c>
      <c r="J1006" s="12">
        <v>45735</v>
      </c>
      <c r="K1006">
        <v>0</v>
      </c>
      <c r="L1006" s="1">
        <f t="shared" si="60"/>
        <v>14</v>
      </c>
      <c r="M1006" s="1" t="str">
        <f t="shared" si="61"/>
        <v/>
      </c>
      <c r="N1006" s="2">
        <f t="shared" si="62"/>
        <v>45717</v>
      </c>
      <c r="O1006" t="str">
        <f t="shared" si="63"/>
        <v>mačka</v>
      </c>
    </row>
    <row r="1007" spans="1:15" hidden="1" x14ac:dyDescent="0.25">
      <c r="A1007">
        <v>8521</v>
      </c>
      <c r="B1007" s="11">
        <v>4056789012345</v>
      </c>
      <c r="C1007" s="1" t="s">
        <v>47</v>
      </c>
      <c r="D1007" s="1" t="s">
        <v>29</v>
      </c>
      <c r="E1007" s="1" t="s">
        <v>37</v>
      </c>
      <c r="F1007">
        <v>2.4</v>
      </c>
      <c r="G1007">
        <v>2</v>
      </c>
      <c r="H1007" s="1" t="s">
        <v>14</v>
      </c>
      <c r="I1007" s="1" t="s">
        <v>15</v>
      </c>
      <c r="J1007" s="12">
        <v>45735</v>
      </c>
      <c r="K1007">
        <v>0</v>
      </c>
      <c r="L1007" s="1">
        <f t="shared" si="60"/>
        <v>4.8</v>
      </c>
      <c r="M1007" s="1" t="str">
        <f t="shared" si="61"/>
        <v/>
      </c>
      <c r="N1007" s="2">
        <f t="shared" si="62"/>
        <v>45717</v>
      </c>
      <c r="O1007" t="str">
        <f t="shared" si="63"/>
        <v>mačka</v>
      </c>
    </row>
    <row r="1008" spans="1:15" x14ac:dyDescent="0.25">
      <c r="A1008">
        <v>8522</v>
      </c>
      <c r="B1008" s="11">
        <v>4063456789014</v>
      </c>
      <c r="C1008" s="1" t="s">
        <v>60</v>
      </c>
      <c r="D1008" s="1" t="s">
        <v>12</v>
      </c>
      <c r="E1008" s="1" t="s">
        <v>61</v>
      </c>
      <c r="F1008">
        <v>36</v>
      </c>
      <c r="G1008">
        <v>1</v>
      </c>
      <c r="H1008" s="1" t="s">
        <v>14</v>
      </c>
      <c r="I1008" s="1" t="s">
        <v>15</v>
      </c>
      <c r="J1008" s="12">
        <v>45735</v>
      </c>
      <c r="K1008">
        <v>0</v>
      </c>
      <c r="L1008" s="1">
        <f t="shared" si="60"/>
        <v>36</v>
      </c>
      <c r="M1008" s="1" t="str">
        <f t="shared" si="61"/>
        <v/>
      </c>
      <c r="N1008" s="2">
        <f t="shared" si="62"/>
        <v>45717</v>
      </c>
      <c r="O1008" t="str">
        <f t="shared" si="63"/>
        <v>pes</v>
      </c>
    </row>
    <row r="1009" spans="1:15" hidden="1" x14ac:dyDescent="0.25">
      <c r="A1009">
        <v>8523</v>
      </c>
      <c r="B1009" s="11">
        <v>4021234567894</v>
      </c>
      <c r="C1009" s="1" t="s">
        <v>79</v>
      </c>
      <c r="D1009" s="1" t="s">
        <v>36</v>
      </c>
      <c r="E1009" s="1" t="s">
        <v>69</v>
      </c>
      <c r="F1009">
        <v>8</v>
      </c>
      <c r="G1009">
        <v>1</v>
      </c>
      <c r="H1009" s="1" t="s">
        <v>14</v>
      </c>
      <c r="I1009" s="1" t="s">
        <v>15</v>
      </c>
      <c r="J1009" s="12">
        <v>45735</v>
      </c>
      <c r="K1009">
        <v>0</v>
      </c>
      <c r="L1009" s="1">
        <f t="shared" si="60"/>
        <v>8</v>
      </c>
      <c r="M1009" s="1" t="str">
        <f t="shared" si="61"/>
        <v/>
      </c>
      <c r="N1009" s="2">
        <f t="shared" si="62"/>
        <v>45717</v>
      </c>
      <c r="O1009" t="str">
        <f t="shared" si="63"/>
        <v>mačka</v>
      </c>
    </row>
    <row r="1010" spans="1:15" x14ac:dyDescent="0.25">
      <c r="A1010">
        <v>8524</v>
      </c>
      <c r="B1010" s="11">
        <v>4061011223346</v>
      </c>
      <c r="C1010" s="1" t="s">
        <v>25</v>
      </c>
      <c r="D1010" s="1" t="s">
        <v>26</v>
      </c>
      <c r="E1010" s="1" t="s">
        <v>27</v>
      </c>
      <c r="F1010">
        <v>19.600000000000001</v>
      </c>
      <c r="G1010">
        <v>1</v>
      </c>
      <c r="H1010" s="1" t="s">
        <v>14</v>
      </c>
      <c r="I1010" s="1" t="s">
        <v>15</v>
      </c>
      <c r="J1010" s="12">
        <v>45735</v>
      </c>
      <c r="K1010">
        <v>0</v>
      </c>
      <c r="L1010" s="1">
        <f t="shared" si="60"/>
        <v>19.600000000000001</v>
      </c>
      <c r="M1010" s="1" t="str">
        <f t="shared" si="61"/>
        <v/>
      </c>
      <c r="N1010" s="2">
        <f t="shared" si="62"/>
        <v>45717</v>
      </c>
      <c r="O1010" t="str">
        <f t="shared" si="63"/>
        <v>pes</v>
      </c>
    </row>
    <row r="1011" spans="1:15" hidden="1" x14ac:dyDescent="0.25">
      <c r="A1011">
        <v>8525</v>
      </c>
      <c r="B1011" s="11">
        <v>4026677889902</v>
      </c>
      <c r="C1011" s="1" t="s">
        <v>52</v>
      </c>
      <c r="D1011" s="1" t="s">
        <v>53</v>
      </c>
      <c r="E1011" s="1" t="s">
        <v>54</v>
      </c>
      <c r="F1011">
        <v>7.6</v>
      </c>
      <c r="G1011">
        <v>1</v>
      </c>
      <c r="H1011" s="1" t="s">
        <v>14</v>
      </c>
      <c r="I1011" s="1" t="s">
        <v>15</v>
      </c>
      <c r="J1011" s="12">
        <v>45735</v>
      </c>
      <c r="K1011">
        <v>0</v>
      </c>
      <c r="L1011" s="1">
        <f t="shared" si="60"/>
        <v>7.6</v>
      </c>
      <c r="M1011" s="1" t="str">
        <f t="shared" si="61"/>
        <v/>
      </c>
      <c r="N1011" s="2">
        <f t="shared" si="62"/>
        <v>45717</v>
      </c>
      <c r="O1011" t="str">
        <f t="shared" si="63"/>
        <v>iné</v>
      </c>
    </row>
    <row r="1012" spans="1:15" x14ac:dyDescent="0.25">
      <c r="A1012">
        <v>8526</v>
      </c>
      <c r="B1012" s="11">
        <v>4028899001126</v>
      </c>
      <c r="C1012" s="1" t="s">
        <v>16</v>
      </c>
      <c r="D1012" s="1" t="s">
        <v>12</v>
      </c>
      <c r="E1012" s="1" t="s">
        <v>17</v>
      </c>
      <c r="F1012">
        <v>2.8</v>
      </c>
      <c r="G1012">
        <v>4</v>
      </c>
      <c r="H1012" s="1" t="s">
        <v>14</v>
      </c>
      <c r="I1012" s="1" t="s">
        <v>15</v>
      </c>
      <c r="J1012" s="12">
        <v>45735</v>
      </c>
      <c r="K1012">
        <v>0</v>
      </c>
      <c r="L1012" s="1">
        <f t="shared" si="60"/>
        <v>11.2</v>
      </c>
      <c r="M1012" s="1" t="str">
        <f t="shared" si="61"/>
        <v/>
      </c>
      <c r="N1012" s="2">
        <f t="shared" si="62"/>
        <v>45717</v>
      </c>
      <c r="O1012" t="str">
        <f t="shared" si="63"/>
        <v>pes</v>
      </c>
    </row>
    <row r="1013" spans="1:15" x14ac:dyDescent="0.25">
      <c r="A1013">
        <v>8527</v>
      </c>
      <c r="B1013" s="11">
        <v>4013456789017</v>
      </c>
      <c r="C1013" s="1" t="s">
        <v>11</v>
      </c>
      <c r="D1013" s="1" t="s">
        <v>12</v>
      </c>
      <c r="E1013" s="1" t="s">
        <v>13</v>
      </c>
      <c r="F1013">
        <v>6</v>
      </c>
      <c r="G1013">
        <v>2</v>
      </c>
      <c r="H1013" s="1" t="s">
        <v>14</v>
      </c>
      <c r="I1013" s="1" t="s">
        <v>15</v>
      </c>
      <c r="J1013" s="12">
        <v>45735</v>
      </c>
      <c r="K1013">
        <v>0</v>
      </c>
      <c r="L1013" s="1">
        <f t="shared" si="60"/>
        <v>12</v>
      </c>
      <c r="M1013" s="1" t="str">
        <f t="shared" si="61"/>
        <v/>
      </c>
      <c r="N1013" s="2">
        <f t="shared" si="62"/>
        <v>45717</v>
      </c>
      <c r="O1013" t="str">
        <f t="shared" si="63"/>
        <v>pes</v>
      </c>
    </row>
    <row r="1014" spans="1:15" x14ac:dyDescent="0.25">
      <c r="A1014">
        <v>8528</v>
      </c>
      <c r="B1014" s="11">
        <v>4040123456795</v>
      </c>
      <c r="C1014" s="1" t="s">
        <v>20</v>
      </c>
      <c r="D1014" s="1" t="s">
        <v>21</v>
      </c>
      <c r="E1014" s="1" t="s">
        <v>22</v>
      </c>
      <c r="F1014">
        <v>8.8000000000000007</v>
      </c>
      <c r="G1014">
        <v>1</v>
      </c>
      <c r="H1014" s="1" t="s">
        <v>14</v>
      </c>
      <c r="I1014" s="1" t="s">
        <v>15</v>
      </c>
      <c r="J1014" s="12">
        <v>45735</v>
      </c>
      <c r="K1014">
        <v>0</v>
      </c>
      <c r="L1014" s="1">
        <f t="shared" si="60"/>
        <v>8.8000000000000007</v>
      </c>
      <c r="M1014" s="1" t="str">
        <f t="shared" si="61"/>
        <v/>
      </c>
      <c r="N1014" s="2">
        <f t="shared" si="62"/>
        <v>45717</v>
      </c>
      <c r="O1014" t="str">
        <f t="shared" si="63"/>
        <v>pes</v>
      </c>
    </row>
    <row r="1015" spans="1:15" hidden="1" x14ac:dyDescent="0.25">
      <c r="A1015">
        <v>8529</v>
      </c>
      <c r="B1015" s="11">
        <v>4010123456783</v>
      </c>
      <c r="C1015" s="1" t="s">
        <v>35</v>
      </c>
      <c r="D1015" s="1" t="s">
        <v>36</v>
      </c>
      <c r="E1015" s="1" t="s">
        <v>37</v>
      </c>
      <c r="F1015">
        <v>14</v>
      </c>
      <c r="G1015">
        <v>2</v>
      </c>
      <c r="H1015" s="1" t="s">
        <v>14</v>
      </c>
      <c r="I1015" s="1" t="s">
        <v>15</v>
      </c>
      <c r="J1015" s="12">
        <v>45735</v>
      </c>
      <c r="K1015">
        <v>0</v>
      </c>
      <c r="L1015" s="1">
        <f t="shared" si="60"/>
        <v>28</v>
      </c>
      <c r="M1015" s="1" t="str">
        <f t="shared" si="61"/>
        <v/>
      </c>
      <c r="N1015" s="2">
        <f t="shared" si="62"/>
        <v>45717</v>
      </c>
      <c r="O1015" t="str">
        <f t="shared" si="63"/>
        <v>mačka</v>
      </c>
    </row>
    <row r="1016" spans="1:15" x14ac:dyDescent="0.25">
      <c r="A1016">
        <v>8530</v>
      </c>
      <c r="B1016" s="11">
        <v>4063456789014</v>
      </c>
      <c r="C1016" s="1" t="s">
        <v>60</v>
      </c>
      <c r="D1016" s="1" t="s">
        <v>12</v>
      </c>
      <c r="E1016" s="1" t="s">
        <v>61</v>
      </c>
      <c r="F1016">
        <v>36</v>
      </c>
      <c r="G1016">
        <v>1</v>
      </c>
      <c r="H1016" s="1" t="s">
        <v>14</v>
      </c>
      <c r="I1016" s="1" t="s">
        <v>15</v>
      </c>
      <c r="J1016" s="12">
        <v>45735</v>
      </c>
      <c r="K1016">
        <v>0</v>
      </c>
      <c r="L1016" s="1">
        <f t="shared" si="60"/>
        <v>36</v>
      </c>
      <c r="M1016" s="1" t="str">
        <f t="shared" si="61"/>
        <v/>
      </c>
      <c r="N1016" s="2">
        <f t="shared" si="62"/>
        <v>45717</v>
      </c>
      <c r="O1016" t="str">
        <f t="shared" si="63"/>
        <v>pes</v>
      </c>
    </row>
    <row r="1017" spans="1:15" x14ac:dyDescent="0.25">
      <c r="A1017">
        <v>8531</v>
      </c>
      <c r="B1017" s="11">
        <v>4028899001126</v>
      </c>
      <c r="C1017" s="1" t="s">
        <v>16</v>
      </c>
      <c r="D1017" s="1" t="s">
        <v>12</v>
      </c>
      <c r="E1017" s="1" t="s">
        <v>17</v>
      </c>
      <c r="F1017">
        <v>2.8</v>
      </c>
      <c r="G1017">
        <v>3</v>
      </c>
      <c r="H1017" s="1" t="s">
        <v>23</v>
      </c>
      <c r="I1017" s="1" t="s">
        <v>191</v>
      </c>
      <c r="J1017" s="12">
        <v>45736</v>
      </c>
      <c r="K1017">
        <v>0</v>
      </c>
      <c r="L1017" s="1">
        <f t="shared" si="60"/>
        <v>8.3999999999999986</v>
      </c>
      <c r="M1017" s="1">
        <f t="shared" si="61"/>
        <v>5</v>
      </c>
      <c r="N1017" s="2">
        <f t="shared" si="62"/>
        <v>45717</v>
      </c>
      <c r="O1017" t="str">
        <f t="shared" si="63"/>
        <v>pes</v>
      </c>
    </row>
    <row r="1018" spans="1:15" x14ac:dyDescent="0.25">
      <c r="A1018">
        <v>8532</v>
      </c>
      <c r="B1018" s="11">
        <v>4013456789017</v>
      </c>
      <c r="C1018" s="1" t="s">
        <v>11</v>
      </c>
      <c r="D1018" s="1" t="s">
        <v>12</v>
      </c>
      <c r="E1018" s="1" t="s">
        <v>13</v>
      </c>
      <c r="F1018">
        <v>6</v>
      </c>
      <c r="G1018">
        <v>1</v>
      </c>
      <c r="H1018" s="1" t="s">
        <v>14</v>
      </c>
      <c r="I1018" s="1" t="s">
        <v>15</v>
      </c>
      <c r="J1018" s="12">
        <v>45736</v>
      </c>
      <c r="K1018">
        <v>0</v>
      </c>
      <c r="L1018" s="1">
        <f t="shared" si="60"/>
        <v>6</v>
      </c>
      <c r="M1018" s="1" t="str">
        <f t="shared" si="61"/>
        <v/>
      </c>
      <c r="N1018" s="2">
        <f t="shared" si="62"/>
        <v>45717</v>
      </c>
      <c r="O1018" t="str">
        <f t="shared" si="63"/>
        <v>pes</v>
      </c>
    </row>
    <row r="1019" spans="1:15" x14ac:dyDescent="0.25">
      <c r="A1019">
        <v>8533</v>
      </c>
      <c r="B1019" s="11">
        <v>4040123456795</v>
      </c>
      <c r="C1019" s="1" t="s">
        <v>20</v>
      </c>
      <c r="D1019" s="1" t="s">
        <v>21</v>
      </c>
      <c r="E1019" s="1" t="s">
        <v>22</v>
      </c>
      <c r="F1019">
        <v>8.8000000000000007</v>
      </c>
      <c r="G1019">
        <v>1</v>
      </c>
      <c r="H1019" s="1" t="s">
        <v>14</v>
      </c>
      <c r="I1019" s="1" t="s">
        <v>15</v>
      </c>
      <c r="J1019" s="12">
        <v>45736</v>
      </c>
      <c r="K1019">
        <v>0</v>
      </c>
      <c r="L1019" s="1">
        <f t="shared" si="60"/>
        <v>8.8000000000000007</v>
      </c>
      <c r="M1019" s="1" t="str">
        <f t="shared" si="61"/>
        <v/>
      </c>
      <c r="N1019" s="2">
        <f t="shared" si="62"/>
        <v>45717</v>
      </c>
      <c r="O1019" t="str">
        <f t="shared" si="63"/>
        <v>pes</v>
      </c>
    </row>
    <row r="1020" spans="1:15" hidden="1" x14ac:dyDescent="0.25">
      <c r="A1020">
        <v>8534</v>
      </c>
      <c r="B1020" s="11">
        <v>4010123456783</v>
      </c>
      <c r="C1020" s="1" t="s">
        <v>35</v>
      </c>
      <c r="D1020" s="1" t="s">
        <v>36</v>
      </c>
      <c r="E1020" s="1" t="s">
        <v>37</v>
      </c>
      <c r="F1020">
        <v>14</v>
      </c>
      <c r="G1020">
        <v>1</v>
      </c>
      <c r="H1020" s="1" t="s">
        <v>14</v>
      </c>
      <c r="I1020" s="1" t="s">
        <v>15</v>
      </c>
      <c r="J1020" s="12">
        <v>45736</v>
      </c>
      <c r="K1020">
        <v>0</v>
      </c>
      <c r="L1020" s="1">
        <f t="shared" si="60"/>
        <v>14</v>
      </c>
      <c r="M1020" s="1" t="str">
        <f t="shared" si="61"/>
        <v/>
      </c>
      <c r="N1020" s="2">
        <f t="shared" si="62"/>
        <v>45717</v>
      </c>
      <c r="O1020" t="str">
        <f t="shared" si="63"/>
        <v>mačka</v>
      </c>
    </row>
    <row r="1021" spans="1:15" hidden="1" x14ac:dyDescent="0.25">
      <c r="A1021">
        <v>8535</v>
      </c>
      <c r="B1021" s="11">
        <v>4056789012345</v>
      </c>
      <c r="C1021" s="1" t="s">
        <v>47</v>
      </c>
      <c r="D1021" s="1" t="s">
        <v>29</v>
      </c>
      <c r="E1021" s="1" t="s">
        <v>37</v>
      </c>
      <c r="F1021">
        <v>2.4</v>
      </c>
      <c r="G1021">
        <v>2</v>
      </c>
      <c r="H1021" s="1" t="s">
        <v>14</v>
      </c>
      <c r="I1021" s="1" t="s">
        <v>15</v>
      </c>
      <c r="J1021" s="12">
        <v>45736</v>
      </c>
      <c r="K1021">
        <v>0</v>
      </c>
      <c r="L1021" s="1">
        <f t="shared" si="60"/>
        <v>4.8</v>
      </c>
      <c r="M1021" s="1" t="str">
        <f t="shared" si="61"/>
        <v/>
      </c>
      <c r="N1021" s="2">
        <f t="shared" si="62"/>
        <v>45717</v>
      </c>
      <c r="O1021" t="str">
        <f t="shared" si="63"/>
        <v>mačka</v>
      </c>
    </row>
    <row r="1022" spans="1:15" x14ac:dyDescent="0.25">
      <c r="A1022">
        <v>8536</v>
      </c>
      <c r="B1022" s="11">
        <v>4063456789014</v>
      </c>
      <c r="C1022" s="1" t="s">
        <v>60</v>
      </c>
      <c r="D1022" s="1" t="s">
        <v>12</v>
      </c>
      <c r="E1022" s="1" t="s">
        <v>61</v>
      </c>
      <c r="F1022">
        <v>36</v>
      </c>
      <c r="G1022">
        <v>1</v>
      </c>
      <c r="H1022" s="1" t="s">
        <v>14</v>
      </c>
      <c r="I1022" s="1" t="s">
        <v>15</v>
      </c>
      <c r="J1022" s="12">
        <v>45736</v>
      </c>
      <c r="K1022">
        <v>0</v>
      </c>
      <c r="L1022" s="1">
        <f t="shared" si="60"/>
        <v>36</v>
      </c>
      <c r="M1022" s="1" t="str">
        <f t="shared" si="61"/>
        <v/>
      </c>
      <c r="N1022" s="2">
        <f t="shared" si="62"/>
        <v>45717</v>
      </c>
      <c r="O1022" t="str">
        <f t="shared" si="63"/>
        <v>pes</v>
      </c>
    </row>
    <row r="1023" spans="1:15" hidden="1" x14ac:dyDescent="0.25">
      <c r="A1023">
        <v>8537</v>
      </c>
      <c r="B1023" s="11">
        <v>4021234567894</v>
      </c>
      <c r="C1023" s="1" t="s">
        <v>79</v>
      </c>
      <c r="D1023" s="1" t="s">
        <v>36</v>
      </c>
      <c r="E1023" s="1" t="s">
        <v>69</v>
      </c>
      <c r="F1023">
        <v>8</v>
      </c>
      <c r="G1023">
        <v>1</v>
      </c>
      <c r="H1023" s="1" t="s">
        <v>14</v>
      </c>
      <c r="I1023" s="1" t="s">
        <v>15</v>
      </c>
      <c r="J1023" s="12">
        <v>45736</v>
      </c>
      <c r="K1023">
        <v>0</v>
      </c>
      <c r="L1023" s="1">
        <f t="shared" si="60"/>
        <v>8</v>
      </c>
      <c r="M1023" s="1" t="str">
        <f t="shared" si="61"/>
        <v/>
      </c>
      <c r="N1023" s="2">
        <f t="shared" si="62"/>
        <v>45717</v>
      </c>
      <c r="O1023" t="str">
        <f t="shared" si="63"/>
        <v>mačka</v>
      </c>
    </row>
    <row r="1024" spans="1:15" x14ac:dyDescent="0.25">
      <c r="A1024">
        <v>8538</v>
      </c>
      <c r="B1024" s="11">
        <v>4061011223346</v>
      </c>
      <c r="C1024" s="1" t="s">
        <v>25</v>
      </c>
      <c r="D1024" s="1" t="s">
        <v>26</v>
      </c>
      <c r="E1024" s="1" t="s">
        <v>27</v>
      </c>
      <c r="F1024">
        <v>19.600000000000001</v>
      </c>
      <c r="G1024">
        <v>1</v>
      </c>
      <c r="H1024" s="1" t="s">
        <v>14</v>
      </c>
      <c r="I1024" s="1" t="s">
        <v>15</v>
      </c>
      <c r="J1024" s="12">
        <v>45736</v>
      </c>
      <c r="K1024">
        <v>0</v>
      </c>
      <c r="L1024" s="1">
        <f t="shared" si="60"/>
        <v>19.600000000000001</v>
      </c>
      <c r="M1024" s="1" t="str">
        <f t="shared" si="61"/>
        <v/>
      </c>
      <c r="N1024" s="2">
        <f t="shared" si="62"/>
        <v>45717</v>
      </c>
      <c r="O1024" t="str">
        <f t="shared" si="63"/>
        <v>pes</v>
      </c>
    </row>
    <row r="1025" spans="1:15" hidden="1" x14ac:dyDescent="0.25">
      <c r="A1025">
        <v>8539</v>
      </c>
      <c r="B1025" s="11">
        <v>4026677889902</v>
      </c>
      <c r="C1025" s="1" t="s">
        <v>52</v>
      </c>
      <c r="D1025" s="1" t="s">
        <v>53</v>
      </c>
      <c r="E1025" s="1" t="s">
        <v>54</v>
      </c>
      <c r="F1025">
        <v>7.6</v>
      </c>
      <c r="G1025">
        <v>1</v>
      </c>
      <c r="H1025" s="1" t="s">
        <v>14</v>
      </c>
      <c r="I1025" s="1" t="s">
        <v>15</v>
      </c>
      <c r="J1025" s="12">
        <v>45736</v>
      </c>
      <c r="K1025">
        <v>0</v>
      </c>
      <c r="L1025" s="1">
        <f t="shared" si="60"/>
        <v>7.6</v>
      </c>
      <c r="M1025" s="1" t="str">
        <f t="shared" si="61"/>
        <v/>
      </c>
      <c r="N1025" s="2">
        <f t="shared" si="62"/>
        <v>45717</v>
      </c>
      <c r="O1025" t="str">
        <f t="shared" si="63"/>
        <v>iné</v>
      </c>
    </row>
    <row r="1026" spans="1:15" x14ac:dyDescent="0.25">
      <c r="A1026">
        <v>8540</v>
      </c>
      <c r="B1026" s="11">
        <v>4028899001126</v>
      </c>
      <c r="C1026" s="1" t="s">
        <v>16</v>
      </c>
      <c r="D1026" s="1" t="s">
        <v>12</v>
      </c>
      <c r="E1026" s="1" t="s">
        <v>17</v>
      </c>
      <c r="F1026">
        <v>2.8</v>
      </c>
      <c r="G1026">
        <v>4</v>
      </c>
      <c r="H1026" s="1" t="s">
        <v>14</v>
      </c>
      <c r="I1026" s="1" t="s">
        <v>15</v>
      </c>
      <c r="J1026" s="12">
        <v>45736</v>
      </c>
      <c r="K1026">
        <v>0</v>
      </c>
      <c r="L1026" s="1">
        <f t="shared" ref="L1026:L1089" si="64">F1026*G1026</f>
        <v>11.2</v>
      </c>
      <c r="M1026" s="1" t="str">
        <f t="shared" ref="M1026:M1089" si="65">IF(H1026="NULL", "",VALUE(H1026))</f>
        <v/>
      </c>
      <c r="N1026" s="2">
        <f t="shared" ref="N1026:N1089" si="66">DATE(YEAR(J1026),MONTH(J1026),1)</f>
        <v>45717</v>
      </c>
      <c r="O1026" t="str">
        <f t="shared" ref="O1026:O1089" si="67">IF(ISNUMBER(SEARCH("Mačky",D1026)),"mačka",IF(ISNUMBER(SEARCH("Psy",D1026)),"pes","iné"))</f>
        <v>pes</v>
      </c>
    </row>
    <row r="1027" spans="1:15" x14ac:dyDescent="0.25">
      <c r="A1027">
        <v>8541</v>
      </c>
      <c r="B1027" s="11">
        <v>4013456789017</v>
      </c>
      <c r="C1027" s="1" t="s">
        <v>11</v>
      </c>
      <c r="D1027" s="1" t="s">
        <v>12</v>
      </c>
      <c r="E1027" s="1" t="s">
        <v>13</v>
      </c>
      <c r="F1027">
        <v>6</v>
      </c>
      <c r="G1027">
        <v>2</v>
      </c>
      <c r="H1027" s="1" t="s">
        <v>14</v>
      </c>
      <c r="I1027" s="1" t="s">
        <v>15</v>
      </c>
      <c r="J1027" s="12">
        <v>45736</v>
      </c>
      <c r="K1027">
        <v>0</v>
      </c>
      <c r="L1027" s="1">
        <f t="shared" si="64"/>
        <v>12</v>
      </c>
      <c r="M1027" s="1" t="str">
        <f t="shared" si="65"/>
        <v/>
      </c>
      <c r="N1027" s="2">
        <f t="shared" si="66"/>
        <v>45717</v>
      </c>
      <c r="O1027" t="str">
        <f t="shared" si="67"/>
        <v>pes</v>
      </c>
    </row>
    <row r="1028" spans="1:15" x14ac:dyDescent="0.25">
      <c r="A1028">
        <v>8542</v>
      </c>
      <c r="B1028" s="11">
        <v>4040123456795</v>
      </c>
      <c r="C1028" s="1" t="s">
        <v>20</v>
      </c>
      <c r="D1028" s="1" t="s">
        <v>21</v>
      </c>
      <c r="E1028" s="1" t="s">
        <v>22</v>
      </c>
      <c r="F1028">
        <v>8.8000000000000007</v>
      </c>
      <c r="G1028">
        <v>1</v>
      </c>
      <c r="H1028" s="1" t="s">
        <v>14</v>
      </c>
      <c r="I1028" s="1" t="s">
        <v>15</v>
      </c>
      <c r="J1028" s="12">
        <v>45736</v>
      </c>
      <c r="K1028">
        <v>0</v>
      </c>
      <c r="L1028" s="1">
        <f t="shared" si="64"/>
        <v>8.8000000000000007</v>
      </c>
      <c r="M1028" s="1" t="str">
        <f t="shared" si="65"/>
        <v/>
      </c>
      <c r="N1028" s="2">
        <f t="shared" si="66"/>
        <v>45717</v>
      </c>
      <c r="O1028" t="str">
        <f t="shared" si="67"/>
        <v>pes</v>
      </c>
    </row>
    <row r="1029" spans="1:15" hidden="1" x14ac:dyDescent="0.25">
      <c r="A1029">
        <v>8543</v>
      </c>
      <c r="B1029" s="11">
        <v>4010123456783</v>
      </c>
      <c r="C1029" s="1" t="s">
        <v>35</v>
      </c>
      <c r="D1029" s="1" t="s">
        <v>36</v>
      </c>
      <c r="E1029" s="1" t="s">
        <v>37</v>
      </c>
      <c r="F1029">
        <v>14</v>
      </c>
      <c r="G1029">
        <v>2</v>
      </c>
      <c r="H1029" s="1" t="s">
        <v>14</v>
      </c>
      <c r="I1029" s="1" t="s">
        <v>15</v>
      </c>
      <c r="J1029" s="12">
        <v>45736</v>
      </c>
      <c r="K1029">
        <v>0</v>
      </c>
      <c r="L1029" s="1">
        <f t="shared" si="64"/>
        <v>28</v>
      </c>
      <c r="M1029" s="1" t="str">
        <f t="shared" si="65"/>
        <v/>
      </c>
      <c r="N1029" s="2">
        <f t="shared" si="66"/>
        <v>45717</v>
      </c>
      <c r="O1029" t="str">
        <f t="shared" si="67"/>
        <v>mačka</v>
      </c>
    </row>
    <row r="1030" spans="1:15" x14ac:dyDescent="0.25">
      <c r="A1030">
        <v>8544</v>
      </c>
      <c r="B1030" s="11">
        <v>4063456789014</v>
      </c>
      <c r="C1030" s="1" t="s">
        <v>60</v>
      </c>
      <c r="D1030" s="1" t="s">
        <v>12</v>
      </c>
      <c r="E1030" s="1" t="s">
        <v>61</v>
      </c>
      <c r="F1030">
        <v>36</v>
      </c>
      <c r="G1030">
        <v>1</v>
      </c>
      <c r="H1030" s="1" t="s">
        <v>14</v>
      </c>
      <c r="I1030" s="1" t="s">
        <v>15</v>
      </c>
      <c r="J1030" s="12">
        <v>45736</v>
      </c>
      <c r="K1030">
        <v>0</v>
      </c>
      <c r="L1030" s="1">
        <f t="shared" si="64"/>
        <v>36</v>
      </c>
      <c r="M1030" s="1" t="str">
        <f t="shared" si="65"/>
        <v/>
      </c>
      <c r="N1030" s="2">
        <f t="shared" si="66"/>
        <v>45717</v>
      </c>
      <c r="O1030" t="str">
        <f t="shared" si="67"/>
        <v>pes</v>
      </c>
    </row>
    <row r="1031" spans="1:15" x14ac:dyDescent="0.25">
      <c r="A1031">
        <v>8545</v>
      </c>
      <c r="B1031" s="11">
        <v>4028899001126</v>
      </c>
      <c r="C1031" s="1" t="s">
        <v>16</v>
      </c>
      <c r="D1031" s="1" t="s">
        <v>12</v>
      </c>
      <c r="E1031" s="1" t="s">
        <v>17</v>
      </c>
      <c r="F1031">
        <v>2.8</v>
      </c>
      <c r="G1031">
        <v>3</v>
      </c>
      <c r="H1031" s="1" t="s">
        <v>14</v>
      </c>
      <c r="I1031" s="1" t="s">
        <v>15</v>
      </c>
      <c r="J1031" s="12">
        <v>45736</v>
      </c>
      <c r="K1031">
        <v>0</v>
      </c>
      <c r="L1031" s="1">
        <f t="shared" si="64"/>
        <v>8.3999999999999986</v>
      </c>
      <c r="M1031" s="1" t="str">
        <f t="shared" si="65"/>
        <v/>
      </c>
      <c r="N1031" s="2">
        <f t="shared" si="66"/>
        <v>45717</v>
      </c>
      <c r="O1031" t="str">
        <f t="shared" si="67"/>
        <v>pes</v>
      </c>
    </row>
    <row r="1032" spans="1:15" x14ac:dyDescent="0.25">
      <c r="A1032">
        <v>8546</v>
      </c>
      <c r="B1032" s="11">
        <v>4013456789017</v>
      </c>
      <c r="C1032" s="1" t="s">
        <v>11</v>
      </c>
      <c r="D1032" s="1" t="s">
        <v>12</v>
      </c>
      <c r="E1032" s="1" t="s">
        <v>13</v>
      </c>
      <c r="F1032">
        <v>6</v>
      </c>
      <c r="G1032">
        <v>2</v>
      </c>
      <c r="H1032" s="1" t="s">
        <v>14</v>
      </c>
      <c r="I1032" s="1" t="s">
        <v>15</v>
      </c>
      <c r="J1032" s="12">
        <v>45736</v>
      </c>
      <c r="K1032">
        <v>0</v>
      </c>
      <c r="L1032" s="1">
        <f t="shared" si="64"/>
        <v>12</v>
      </c>
      <c r="M1032" s="1" t="str">
        <f t="shared" si="65"/>
        <v/>
      </c>
      <c r="N1032" s="2">
        <f t="shared" si="66"/>
        <v>45717</v>
      </c>
      <c r="O1032" t="str">
        <f t="shared" si="67"/>
        <v>pes</v>
      </c>
    </row>
    <row r="1033" spans="1:15" x14ac:dyDescent="0.25">
      <c r="A1033">
        <v>8547</v>
      </c>
      <c r="B1033" s="11">
        <v>4040123456795</v>
      </c>
      <c r="C1033" s="1" t="s">
        <v>20</v>
      </c>
      <c r="D1033" s="1" t="s">
        <v>21</v>
      </c>
      <c r="E1033" s="1" t="s">
        <v>22</v>
      </c>
      <c r="F1033">
        <v>8.8000000000000007</v>
      </c>
      <c r="G1033">
        <v>1</v>
      </c>
      <c r="H1033" s="1" t="s">
        <v>14</v>
      </c>
      <c r="I1033" s="1" t="s">
        <v>15</v>
      </c>
      <c r="J1033" s="12">
        <v>45736</v>
      </c>
      <c r="K1033">
        <v>0</v>
      </c>
      <c r="L1033" s="1">
        <f t="shared" si="64"/>
        <v>8.8000000000000007</v>
      </c>
      <c r="M1033" s="1" t="str">
        <f t="shared" si="65"/>
        <v/>
      </c>
      <c r="N1033" s="2">
        <f t="shared" si="66"/>
        <v>45717</v>
      </c>
      <c r="O1033" t="str">
        <f t="shared" si="67"/>
        <v>pes</v>
      </c>
    </row>
    <row r="1034" spans="1:15" hidden="1" x14ac:dyDescent="0.25">
      <c r="A1034">
        <v>8548</v>
      </c>
      <c r="B1034" s="11">
        <v>4010123456783</v>
      </c>
      <c r="C1034" s="1" t="s">
        <v>35</v>
      </c>
      <c r="D1034" s="1" t="s">
        <v>36</v>
      </c>
      <c r="E1034" s="1" t="s">
        <v>37</v>
      </c>
      <c r="F1034">
        <v>14</v>
      </c>
      <c r="G1034">
        <v>2</v>
      </c>
      <c r="H1034" s="1" t="s">
        <v>14</v>
      </c>
      <c r="I1034" s="1" t="s">
        <v>15</v>
      </c>
      <c r="J1034" s="12">
        <v>45736</v>
      </c>
      <c r="K1034">
        <v>0</v>
      </c>
      <c r="L1034" s="1">
        <f t="shared" si="64"/>
        <v>28</v>
      </c>
      <c r="M1034" s="1" t="str">
        <f t="shared" si="65"/>
        <v/>
      </c>
      <c r="N1034" s="2">
        <f t="shared" si="66"/>
        <v>45717</v>
      </c>
      <c r="O1034" t="str">
        <f t="shared" si="67"/>
        <v>mačka</v>
      </c>
    </row>
    <row r="1035" spans="1:15" x14ac:dyDescent="0.25">
      <c r="A1035">
        <v>8549</v>
      </c>
      <c r="B1035" s="11">
        <v>4063456789014</v>
      </c>
      <c r="C1035" s="1" t="s">
        <v>60</v>
      </c>
      <c r="D1035" s="1" t="s">
        <v>12</v>
      </c>
      <c r="E1035" s="1" t="s">
        <v>61</v>
      </c>
      <c r="F1035">
        <v>36</v>
      </c>
      <c r="G1035">
        <v>1</v>
      </c>
      <c r="H1035" s="1" t="s">
        <v>14</v>
      </c>
      <c r="I1035" s="1" t="s">
        <v>15</v>
      </c>
      <c r="J1035" s="12">
        <v>45736</v>
      </c>
      <c r="K1035">
        <v>0</v>
      </c>
      <c r="L1035" s="1">
        <f t="shared" si="64"/>
        <v>36</v>
      </c>
      <c r="M1035" s="1" t="str">
        <f t="shared" si="65"/>
        <v/>
      </c>
      <c r="N1035" s="2">
        <f t="shared" si="66"/>
        <v>45717</v>
      </c>
      <c r="O1035" t="str">
        <f t="shared" si="67"/>
        <v>pes</v>
      </c>
    </row>
    <row r="1036" spans="1:15" x14ac:dyDescent="0.25">
      <c r="A1036">
        <v>8550</v>
      </c>
      <c r="B1036" s="11">
        <v>4028899001126</v>
      </c>
      <c r="C1036" s="1" t="s">
        <v>16</v>
      </c>
      <c r="D1036" s="1" t="s">
        <v>12</v>
      </c>
      <c r="E1036" s="1" t="s">
        <v>17</v>
      </c>
      <c r="F1036">
        <v>2.8</v>
      </c>
      <c r="G1036">
        <v>4</v>
      </c>
      <c r="H1036" s="1" t="s">
        <v>18</v>
      </c>
      <c r="I1036" s="1" t="s">
        <v>192</v>
      </c>
      <c r="J1036" s="12">
        <v>45736</v>
      </c>
      <c r="K1036">
        <v>0</v>
      </c>
      <c r="L1036" s="1">
        <f t="shared" si="64"/>
        <v>11.2</v>
      </c>
      <c r="M1036" s="1">
        <f t="shared" si="65"/>
        <v>4</v>
      </c>
      <c r="N1036" s="2">
        <f t="shared" si="66"/>
        <v>45717</v>
      </c>
      <c r="O1036" t="str">
        <f t="shared" si="67"/>
        <v>pes</v>
      </c>
    </row>
    <row r="1037" spans="1:15" x14ac:dyDescent="0.25">
      <c r="A1037">
        <v>8551</v>
      </c>
      <c r="B1037" s="11">
        <v>4013456789017</v>
      </c>
      <c r="C1037" s="1" t="s">
        <v>11</v>
      </c>
      <c r="D1037" s="1" t="s">
        <v>12</v>
      </c>
      <c r="E1037" s="1" t="s">
        <v>13</v>
      </c>
      <c r="F1037">
        <v>6</v>
      </c>
      <c r="G1037">
        <v>2</v>
      </c>
      <c r="H1037" s="1" t="s">
        <v>14</v>
      </c>
      <c r="I1037" s="1" t="s">
        <v>15</v>
      </c>
      <c r="J1037" s="12">
        <v>45736</v>
      </c>
      <c r="K1037">
        <v>0</v>
      </c>
      <c r="L1037" s="1">
        <f t="shared" si="64"/>
        <v>12</v>
      </c>
      <c r="M1037" s="1" t="str">
        <f t="shared" si="65"/>
        <v/>
      </c>
      <c r="N1037" s="2">
        <f t="shared" si="66"/>
        <v>45717</v>
      </c>
      <c r="O1037" t="str">
        <f t="shared" si="67"/>
        <v>pes</v>
      </c>
    </row>
    <row r="1038" spans="1:15" x14ac:dyDescent="0.25">
      <c r="A1038">
        <v>8552</v>
      </c>
      <c r="B1038" s="11">
        <v>4040123456795</v>
      </c>
      <c r="C1038" s="1" t="s">
        <v>20</v>
      </c>
      <c r="D1038" s="1" t="s">
        <v>21</v>
      </c>
      <c r="E1038" s="1" t="s">
        <v>22</v>
      </c>
      <c r="F1038">
        <v>8.8000000000000007</v>
      </c>
      <c r="G1038">
        <v>1</v>
      </c>
      <c r="H1038" s="1" t="s">
        <v>14</v>
      </c>
      <c r="I1038" s="1" t="s">
        <v>15</v>
      </c>
      <c r="J1038" s="12">
        <v>45736</v>
      </c>
      <c r="K1038">
        <v>0</v>
      </c>
      <c r="L1038" s="1">
        <f t="shared" si="64"/>
        <v>8.8000000000000007</v>
      </c>
      <c r="M1038" s="1" t="str">
        <f t="shared" si="65"/>
        <v/>
      </c>
      <c r="N1038" s="2">
        <f t="shared" si="66"/>
        <v>45717</v>
      </c>
      <c r="O1038" t="str">
        <f t="shared" si="67"/>
        <v>pes</v>
      </c>
    </row>
    <row r="1039" spans="1:15" hidden="1" x14ac:dyDescent="0.25">
      <c r="A1039">
        <v>8553</v>
      </c>
      <c r="B1039" s="11">
        <v>4010123456783</v>
      </c>
      <c r="C1039" s="1" t="s">
        <v>35</v>
      </c>
      <c r="D1039" s="1" t="s">
        <v>36</v>
      </c>
      <c r="E1039" s="1" t="s">
        <v>37</v>
      </c>
      <c r="F1039">
        <v>14</v>
      </c>
      <c r="G1039">
        <v>1</v>
      </c>
      <c r="H1039" s="1" t="s">
        <v>14</v>
      </c>
      <c r="I1039" s="1" t="s">
        <v>15</v>
      </c>
      <c r="J1039" s="12">
        <v>45737</v>
      </c>
      <c r="K1039">
        <v>0</v>
      </c>
      <c r="L1039" s="1">
        <f t="shared" si="64"/>
        <v>14</v>
      </c>
      <c r="M1039" s="1" t="str">
        <f t="shared" si="65"/>
        <v/>
      </c>
      <c r="N1039" s="2">
        <f t="shared" si="66"/>
        <v>45717</v>
      </c>
      <c r="O1039" t="str">
        <f t="shared" si="67"/>
        <v>mačka</v>
      </c>
    </row>
    <row r="1040" spans="1:15" x14ac:dyDescent="0.25">
      <c r="A1040">
        <v>8554</v>
      </c>
      <c r="B1040" s="11">
        <v>4063456789014</v>
      </c>
      <c r="C1040" s="1" t="s">
        <v>60</v>
      </c>
      <c r="D1040" s="1" t="s">
        <v>12</v>
      </c>
      <c r="E1040" s="1" t="s">
        <v>61</v>
      </c>
      <c r="F1040">
        <v>36</v>
      </c>
      <c r="G1040">
        <v>1</v>
      </c>
      <c r="H1040" s="1" t="s">
        <v>14</v>
      </c>
      <c r="I1040" s="1" t="s">
        <v>15</v>
      </c>
      <c r="J1040" s="12">
        <v>45737</v>
      </c>
      <c r="K1040">
        <v>0</v>
      </c>
      <c r="L1040" s="1">
        <f t="shared" si="64"/>
        <v>36</v>
      </c>
      <c r="M1040" s="1" t="str">
        <f t="shared" si="65"/>
        <v/>
      </c>
      <c r="N1040" s="2">
        <f t="shared" si="66"/>
        <v>45717</v>
      </c>
      <c r="O1040" t="str">
        <f t="shared" si="67"/>
        <v>pes</v>
      </c>
    </row>
    <row r="1041" spans="1:15" x14ac:dyDescent="0.25">
      <c r="A1041">
        <v>8555</v>
      </c>
      <c r="B1041" s="11">
        <v>4028899001126</v>
      </c>
      <c r="C1041" s="1" t="s">
        <v>16</v>
      </c>
      <c r="D1041" s="1" t="s">
        <v>12</v>
      </c>
      <c r="E1041" s="1" t="s">
        <v>17</v>
      </c>
      <c r="F1041">
        <v>2.8</v>
      </c>
      <c r="G1041">
        <v>5</v>
      </c>
      <c r="H1041" s="1" t="s">
        <v>14</v>
      </c>
      <c r="I1041" s="1" t="s">
        <v>15</v>
      </c>
      <c r="J1041" s="12">
        <v>45737</v>
      </c>
      <c r="K1041">
        <v>0</v>
      </c>
      <c r="L1041" s="1">
        <f t="shared" si="64"/>
        <v>14</v>
      </c>
      <c r="M1041" s="1" t="str">
        <f t="shared" si="65"/>
        <v/>
      </c>
      <c r="N1041" s="2">
        <f t="shared" si="66"/>
        <v>45717</v>
      </c>
      <c r="O1041" t="str">
        <f t="shared" si="67"/>
        <v>pes</v>
      </c>
    </row>
    <row r="1042" spans="1:15" x14ac:dyDescent="0.25">
      <c r="A1042">
        <v>8556</v>
      </c>
      <c r="B1042" s="11">
        <v>4013456789017</v>
      </c>
      <c r="C1042" s="1" t="s">
        <v>11</v>
      </c>
      <c r="D1042" s="1" t="s">
        <v>12</v>
      </c>
      <c r="E1042" s="1" t="s">
        <v>13</v>
      </c>
      <c r="F1042">
        <v>6</v>
      </c>
      <c r="G1042">
        <v>2</v>
      </c>
      <c r="H1042" s="1" t="s">
        <v>14</v>
      </c>
      <c r="I1042" s="1" t="s">
        <v>15</v>
      </c>
      <c r="J1042" s="12">
        <v>45737</v>
      </c>
      <c r="K1042">
        <v>0</v>
      </c>
      <c r="L1042" s="1">
        <f t="shared" si="64"/>
        <v>12</v>
      </c>
      <c r="M1042" s="1" t="str">
        <f t="shared" si="65"/>
        <v/>
      </c>
      <c r="N1042" s="2">
        <f t="shared" si="66"/>
        <v>45717</v>
      </c>
      <c r="O1042" t="str">
        <f t="shared" si="67"/>
        <v>pes</v>
      </c>
    </row>
    <row r="1043" spans="1:15" x14ac:dyDescent="0.25">
      <c r="A1043">
        <v>8557</v>
      </c>
      <c r="B1043" s="11">
        <v>4040123456795</v>
      </c>
      <c r="C1043" s="1" t="s">
        <v>20</v>
      </c>
      <c r="D1043" s="1" t="s">
        <v>21</v>
      </c>
      <c r="E1043" s="1" t="s">
        <v>22</v>
      </c>
      <c r="F1043">
        <v>8.8000000000000007</v>
      </c>
      <c r="G1043">
        <v>1</v>
      </c>
      <c r="H1043" s="1" t="s">
        <v>14</v>
      </c>
      <c r="I1043" s="1" t="s">
        <v>15</v>
      </c>
      <c r="J1043" s="12">
        <v>45737</v>
      </c>
      <c r="K1043">
        <v>0</v>
      </c>
      <c r="L1043" s="1">
        <f t="shared" si="64"/>
        <v>8.8000000000000007</v>
      </c>
      <c r="M1043" s="1" t="str">
        <f t="shared" si="65"/>
        <v/>
      </c>
      <c r="N1043" s="2">
        <f t="shared" si="66"/>
        <v>45717</v>
      </c>
      <c r="O1043" t="str">
        <f t="shared" si="67"/>
        <v>pes</v>
      </c>
    </row>
    <row r="1044" spans="1:15" hidden="1" x14ac:dyDescent="0.25">
      <c r="A1044">
        <v>8558</v>
      </c>
      <c r="B1044" s="11">
        <v>4010123456783</v>
      </c>
      <c r="C1044" s="1" t="s">
        <v>35</v>
      </c>
      <c r="D1044" s="1" t="s">
        <v>36</v>
      </c>
      <c r="E1044" s="1" t="s">
        <v>37</v>
      </c>
      <c r="F1044">
        <v>14</v>
      </c>
      <c r="G1044">
        <v>2</v>
      </c>
      <c r="H1044" s="1" t="s">
        <v>14</v>
      </c>
      <c r="I1044" s="1" t="s">
        <v>15</v>
      </c>
      <c r="J1044" s="12">
        <v>45737</v>
      </c>
      <c r="K1044">
        <v>0</v>
      </c>
      <c r="L1044" s="1">
        <f t="shared" si="64"/>
        <v>28</v>
      </c>
      <c r="M1044" s="1" t="str">
        <f t="shared" si="65"/>
        <v/>
      </c>
      <c r="N1044" s="2">
        <f t="shared" si="66"/>
        <v>45717</v>
      </c>
      <c r="O1044" t="str">
        <f t="shared" si="67"/>
        <v>mačka</v>
      </c>
    </row>
    <row r="1045" spans="1:15" x14ac:dyDescent="0.25">
      <c r="A1045">
        <v>8559</v>
      </c>
      <c r="B1045" s="11">
        <v>4063456789014</v>
      </c>
      <c r="C1045" s="1" t="s">
        <v>60</v>
      </c>
      <c r="D1045" s="1" t="s">
        <v>12</v>
      </c>
      <c r="E1045" s="1" t="s">
        <v>61</v>
      </c>
      <c r="F1045">
        <v>36</v>
      </c>
      <c r="G1045">
        <v>1</v>
      </c>
      <c r="H1045" s="1" t="s">
        <v>18</v>
      </c>
      <c r="I1045" s="1" t="s">
        <v>193</v>
      </c>
      <c r="J1045" s="12">
        <v>45737</v>
      </c>
      <c r="K1045">
        <v>0</v>
      </c>
      <c r="L1045" s="1">
        <f t="shared" si="64"/>
        <v>36</v>
      </c>
      <c r="M1045" s="1">
        <f t="shared" si="65"/>
        <v>4</v>
      </c>
      <c r="N1045" s="2">
        <f t="shared" si="66"/>
        <v>45717</v>
      </c>
      <c r="O1045" t="str">
        <f t="shared" si="67"/>
        <v>pes</v>
      </c>
    </row>
    <row r="1046" spans="1:15" hidden="1" x14ac:dyDescent="0.25">
      <c r="A1046">
        <v>8560</v>
      </c>
      <c r="B1046" s="11">
        <v>4021234567894</v>
      </c>
      <c r="C1046" s="1" t="s">
        <v>79</v>
      </c>
      <c r="D1046" s="1" t="s">
        <v>36</v>
      </c>
      <c r="E1046" s="1" t="s">
        <v>69</v>
      </c>
      <c r="F1046">
        <v>8</v>
      </c>
      <c r="G1046">
        <v>1</v>
      </c>
      <c r="H1046" s="1" t="s">
        <v>14</v>
      </c>
      <c r="I1046" s="1" t="s">
        <v>15</v>
      </c>
      <c r="J1046" s="12">
        <v>45737</v>
      </c>
      <c r="K1046">
        <v>0</v>
      </c>
      <c r="L1046" s="1">
        <f t="shared" si="64"/>
        <v>8</v>
      </c>
      <c r="M1046" s="1" t="str">
        <f t="shared" si="65"/>
        <v/>
      </c>
      <c r="N1046" s="2">
        <f t="shared" si="66"/>
        <v>45717</v>
      </c>
      <c r="O1046" t="str">
        <f t="shared" si="67"/>
        <v>mačka</v>
      </c>
    </row>
    <row r="1047" spans="1:15" x14ac:dyDescent="0.25">
      <c r="A1047">
        <v>8561</v>
      </c>
      <c r="B1047" s="11">
        <v>4061011223346</v>
      </c>
      <c r="C1047" s="1" t="s">
        <v>25</v>
      </c>
      <c r="D1047" s="1" t="s">
        <v>26</v>
      </c>
      <c r="E1047" s="1" t="s">
        <v>27</v>
      </c>
      <c r="F1047">
        <v>19.600000000000001</v>
      </c>
      <c r="G1047">
        <v>1</v>
      </c>
      <c r="H1047" s="1" t="s">
        <v>14</v>
      </c>
      <c r="I1047" s="1" t="s">
        <v>15</v>
      </c>
      <c r="J1047" s="12">
        <v>45737</v>
      </c>
      <c r="K1047">
        <v>0</v>
      </c>
      <c r="L1047" s="1">
        <f t="shared" si="64"/>
        <v>19.600000000000001</v>
      </c>
      <c r="M1047" s="1" t="str">
        <f t="shared" si="65"/>
        <v/>
      </c>
      <c r="N1047" s="2">
        <f t="shared" si="66"/>
        <v>45717</v>
      </c>
      <c r="O1047" t="str">
        <f t="shared" si="67"/>
        <v>pes</v>
      </c>
    </row>
    <row r="1048" spans="1:15" hidden="1" x14ac:dyDescent="0.25">
      <c r="A1048">
        <v>8562</v>
      </c>
      <c r="B1048" s="11">
        <v>4026677889902</v>
      </c>
      <c r="C1048" s="1" t="s">
        <v>52</v>
      </c>
      <c r="D1048" s="1" t="s">
        <v>53</v>
      </c>
      <c r="E1048" s="1" t="s">
        <v>54</v>
      </c>
      <c r="F1048">
        <v>7.6</v>
      </c>
      <c r="G1048">
        <v>1</v>
      </c>
      <c r="H1048" s="1" t="s">
        <v>14</v>
      </c>
      <c r="I1048" s="1" t="s">
        <v>15</v>
      </c>
      <c r="J1048" s="12">
        <v>45737</v>
      </c>
      <c r="K1048">
        <v>0</v>
      </c>
      <c r="L1048" s="1">
        <f t="shared" si="64"/>
        <v>7.6</v>
      </c>
      <c r="M1048" s="1" t="str">
        <f t="shared" si="65"/>
        <v/>
      </c>
      <c r="N1048" s="2">
        <f t="shared" si="66"/>
        <v>45717</v>
      </c>
      <c r="O1048" t="str">
        <f t="shared" si="67"/>
        <v>iné</v>
      </c>
    </row>
    <row r="1049" spans="1:15" x14ac:dyDescent="0.25">
      <c r="A1049">
        <v>8563</v>
      </c>
      <c r="B1049" s="11">
        <v>4028899001126</v>
      </c>
      <c r="C1049" s="1" t="s">
        <v>16</v>
      </c>
      <c r="D1049" s="1" t="s">
        <v>12</v>
      </c>
      <c r="E1049" s="1" t="s">
        <v>17</v>
      </c>
      <c r="F1049">
        <v>2.8</v>
      </c>
      <c r="G1049">
        <v>3</v>
      </c>
      <c r="H1049" s="1" t="s">
        <v>14</v>
      </c>
      <c r="I1049" s="1" t="s">
        <v>15</v>
      </c>
      <c r="J1049" s="12">
        <v>45738</v>
      </c>
      <c r="K1049">
        <v>0</v>
      </c>
      <c r="L1049" s="1">
        <f t="shared" si="64"/>
        <v>8.3999999999999986</v>
      </c>
      <c r="M1049" s="1" t="str">
        <f t="shared" si="65"/>
        <v/>
      </c>
      <c r="N1049" s="2">
        <f t="shared" si="66"/>
        <v>45717</v>
      </c>
      <c r="O1049" t="str">
        <f t="shared" si="67"/>
        <v>pes</v>
      </c>
    </row>
    <row r="1050" spans="1:15" x14ac:dyDescent="0.25">
      <c r="A1050">
        <v>8564</v>
      </c>
      <c r="B1050" s="11">
        <v>4013456789017</v>
      </c>
      <c r="C1050" s="1" t="s">
        <v>11</v>
      </c>
      <c r="D1050" s="1" t="s">
        <v>12</v>
      </c>
      <c r="E1050" s="1" t="s">
        <v>13</v>
      </c>
      <c r="F1050">
        <v>6</v>
      </c>
      <c r="G1050">
        <v>2</v>
      </c>
      <c r="H1050" s="1" t="s">
        <v>14</v>
      </c>
      <c r="I1050" s="1" t="s">
        <v>15</v>
      </c>
      <c r="J1050" s="12">
        <v>45738</v>
      </c>
      <c r="K1050">
        <v>0</v>
      </c>
      <c r="L1050" s="1">
        <f t="shared" si="64"/>
        <v>12</v>
      </c>
      <c r="M1050" s="1" t="str">
        <f t="shared" si="65"/>
        <v/>
      </c>
      <c r="N1050" s="2">
        <f t="shared" si="66"/>
        <v>45717</v>
      </c>
      <c r="O1050" t="str">
        <f t="shared" si="67"/>
        <v>pes</v>
      </c>
    </row>
    <row r="1051" spans="1:15" x14ac:dyDescent="0.25">
      <c r="A1051">
        <v>8565</v>
      </c>
      <c r="B1051" s="11">
        <v>4040123456795</v>
      </c>
      <c r="C1051" s="1" t="s">
        <v>20</v>
      </c>
      <c r="D1051" s="1" t="s">
        <v>21</v>
      </c>
      <c r="E1051" s="1" t="s">
        <v>22</v>
      </c>
      <c r="F1051">
        <v>8.8000000000000007</v>
      </c>
      <c r="G1051">
        <v>1</v>
      </c>
      <c r="H1051" s="1" t="s">
        <v>14</v>
      </c>
      <c r="I1051" s="1" t="s">
        <v>15</v>
      </c>
      <c r="J1051" s="12">
        <v>45738</v>
      </c>
      <c r="K1051">
        <v>0</v>
      </c>
      <c r="L1051" s="1">
        <f t="shared" si="64"/>
        <v>8.8000000000000007</v>
      </c>
      <c r="M1051" s="1" t="str">
        <f t="shared" si="65"/>
        <v/>
      </c>
      <c r="N1051" s="2">
        <f t="shared" si="66"/>
        <v>45717</v>
      </c>
      <c r="O1051" t="str">
        <f t="shared" si="67"/>
        <v>pes</v>
      </c>
    </row>
    <row r="1052" spans="1:15" hidden="1" x14ac:dyDescent="0.25">
      <c r="A1052">
        <v>8566</v>
      </c>
      <c r="B1052" s="11">
        <v>4010123456783</v>
      </c>
      <c r="C1052" s="1" t="s">
        <v>35</v>
      </c>
      <c r="D1052" s="1" t="s">
        <v>36</v>
      </c>
      <c r="E1052" s="1" t="s">
        <v>37</v>
      </c>
      <c r="F1052">
        <v>14</v>
      </c>
      <c r="G1052">
        <v>1</v>
      </c>
      <c r="H1052" s="1" t="s">
        <v>14</v>
      </c>
      <c r="I1052" s="1" t="s">
        <v>15</v>
      </c>
      <c r="J1052" s="12">
        <v>45738</v>
      </c>
      <c r="K1052">
        <v>0</v>
      </c>
      <c r="L1052" s="1">
        <f t="shared" si="64"/>
        <v>14</v>
      </c>
      <c r="M1052" s="1" t="str">
        <f t="shared" si="65"/>
        <v/>
      </c>
      <c r="N1052" s="2">
        <f t="shared" si="66"/>
        <v>45717</v>
      </c>
      <c r="O1052" t="str">
        <f t="shared" si="67"/>
        <v>mačka</v>
      </c>
    </row>
    <row r="1053" spans="1:15" hidden="1" x14ac:dyDescent="0.25">
      <c r="A1053">
        <v>8567</v>
      </c>
      <c r="B1053" s="11">
        <v>4056789012345</v>
      </c>
      <c r="C1053" s="1" t="s">
        <v>47</v>
      </c>
      <c r="D1053" s="1" t="s">
        <v>29</v>
      </c>
      <c r="E1053" s="1" t="s">
        <v>37</v>
      </c>
      <c r="F1053">
        <v>2.4</v>
      </c>
      <c r="G1053">
        <v>2</v>
      </c>
      <c r="H1053" s="1" t="s">
        <v>14</v>
      </c>
      <c r="I1053" s="1" t="s">
        <v>15</v>
      </c>
      <c r="J1053" s="12">
        <v>45738</v>
      </c>
      <c r="K1053">
        <v>0</v>
      </c>
      <c r="L1053" s="1">
        <f t="shared" si="64"/>
        <v>4.8</v>
      </c>
      <c r="M1053" s="1" t="str">
        <f t="shared" si="65"/>
        <v/>
      </c>
      <c r="N1053" s="2">
        <f t="shared" si="66"/>
        <v>45717</v>
      </c>
      <c r="O1053" t="str">
        <f t="shared" si="67"/>
        <v>mačka</v>
      </c>
    </row>
    <row r="1054" spans="1:15" x14ac:dyDescent="0.25">
      <c r="A1054">
        <v>8568</v>
      </c>
      <c r="B1054" s="11">
        <v>4063456789014</v>
      </c>
      <c r="C1054" s="1" t="s">
        <v>60</v>
      </c>
      <c r="D1054" s="1" t="s">
        <v>12</v>
      </c>
      <c r="E1054" s="1" t="s">
        <v>61</v>
      </c>
      <c r="F1054">
        <v>36</v>
      </c>
      <c r="G1054">
        <v>1</v>
      </c>
      <c r="H1054" s="1" t="s">
        <v>14</v>
      </c>
      <c r="I1054" s="1" t="s">
        <v>15</v>
      </c>
      <c r="J1054" s="12">
        <v>45738</v>
      </c>
      <c r="K1054">
        <v>0</v>
      </c>
      <c r="L1054" s="1">
        <f t="shared" si="64"/>
        <v>36</v>
      </c>
      <c r="M1054" s="1" t="str">
        <f t="shared" si="65"/>
        <v/>
      </c>
      <c r="N1054" s="2">
        <f t="shared" si="66"/>
        <v>45717</v>
      </c>
      <c r="O1054" t="str">
        <f t="shared" si="67"/>
        <v>pes</v>
      </c>
    </row>
    <row r="1055" spans="1:15" hidden="1" x14ac:dyDescent="0.25">
      <c r="A1055">
        <v>8569</v>
      </c>
      <c r="B1055" s="11">
        <v>4021234567894</v>
      </c>
      <c r="C1055" s="1" t="s">
        <v>79</v>
      </c>
      <c r="D1055" s="1" t="s">
        <v>36</v>
      </c>
      <c r="E1055" s="1" t="s">
        <v>69</v>
      </c>
      <c r="F1055">
        <v>8</v>
      </c>
      <c r="G1055">
        <v>1</v>
      </c>
      <c r="H1055" s="1" t="s">
        <v>14</v>
      </c>
      <c r="I1055" s="1" t="s">
        <v>15</v>
      </c>
      <c r="J1055" s="12">
        <v>45738</v>
      </c>
      <c r="K1055">
        <v>0</v>
      </c>
      <c r="L1055" s="1">
        <f t="shared" si="64"/>
        <v>8</v>
      </c>
      <c r="M1055" s="1" t="str">
        <f t="shared" si="65"/>
        <v/>
      </c>
      <c r="N1055" s="2">
        <f t="shared" si="66"/>
        <v>45717</v>
      </c>
      <c r="O1055" t="str">
        <f t="shared" si="67"/>
        <v>mačka</v>
      </c>
    </row>
    <row r="1056" spans="1:15" x14ac:dyDescent="0.25">
      <c r="A1056">
        <v>8570</v>
      </c>
      <c r="B1056" s="11">
        <v>4061011223346</v>
      </c>
      <c r="C1056" s="1" t="s">
        <v>25</v>
      </c>
      <c r="D1056" s="1" t="s">
        <v>26</v>
      </c>
      <c r="E1056" s="1" t="s">
        <v>27</v>
      </c>
      <c r="F1056">
        <v>19.600000000000001</v>
      </c>
      <c r="G1056">
        <v>1</v>
      </c>
      <c r="H1056" s="1" t="s">
        <v>14</v>
      </c>
      <c r="I1056" s="1" t="s">
        <v>15</v>
      </c>
      <c r="J1056" s="12">
        <v>45738</v>
      </c>
      <c r="K1056">
        <v>0</v>
      </c>
      <c r="L1056" s="1">
        <f t="shared" si="64"/>
        <v>19.600000000000001</v>
      </c>
      <c r="M1056" s="1" t="str">
        <f t="shared" si="65"/>
        <v/>
      </c>
      <c r="N1056" s="2">
        <f t="shared" si="66"/>
        <v>45717</v>
      </c>
      <c r="O1056" t="str">
        <f t="shared" si="67"/>
        <v>pes</v>
      </c>
    </row>
    <row r="1057" spans="1:15" hidden="1" x14ac:dyDescent="0.25">
      <c r="A1057">
        <v>8571</v>
      </c>
      <c r="B1057" s="11">
        <v>4026677889902</v>
      </c>
      <c r="C1057" s="1" t="s">
        <v>52</v>
      </c>
      <c r="D1057" s="1" t="s">
        <v>53</v>
      </c>
      <c r="E1057" s="1" t="s">
        <v>54</v>
      </c>
      <c r="F1057">
        <v>7.6</v>
      </c>
      <c r="G1057">
        <v>1</v>
      </c>
      <c r="H1057" s="1" t="s">
        <v>14</v>
      </c>
      <c r="I1057" s="1" t="s">
        <v>15</v>
      </c>
      <c r="J1057" s="12">
        <v>45738</v>
      </c>
      <c r="K1057">
        <v>0</v>
      </c>
      <c r="L1057" s="1">
        <f t="shared" si="64"/>
        <v>7.6</v>
      </c>
      <c r="M1057" s="1" t="str">
        <f t="shared" si="65"/>
        <v/>
      </c>
      <c r="N1057" s="2">
        <f t="shared" si="66"/>
        <v>45717</v>
      </c>
      <c r="O1057" t="str">
        <f t="shared" si="67"/>
        <v>iné</v>
      </c>
    </row>
    <row r="1058" spans="1:15" x14ac:dyDescent="0.25">
      <c r="A1058">
        <v>8572</v>
      </c>
      <c r="B1058" s="11">
        <v>4028899001126</v>
      </c>
      <c r="C1058" s="1" t="s">
        <v>16</v>
      </c>
      <c r="D1058" s="1" t="s">
        <v>12</v>
      </c>
      <c r="E1058" s="1" t="s">
        <v>17</v>
      </c>
      <c r="F1058">
        <v>2.8</v>
      </c>
      <c r="G1058">
        <v>4</v>
      </c>
      <c r="H1058" s="1" t="s">
        <v>14</v>
      </c>
      <c r="I1058" s="1" t="s">
        <v>15</v>
      </c>
      <c r="J1058" s="12">
        <v>45738</v>
      </c>
      <c r="K1058">
        <v>0</v>
      </c>
      <c r="L1058" s="1">
        <f t="shared" si="64"/>
        <v>11.2</v>
      </c>
      <c r="M1058" s="1" t="str">
        <f t="shared" si="65"/>
        <v/>
      </c>
      <c r="N1058" s="2">
        <f t="shared" si="66"/>
        <v>45717</v>
      </c>
      <c r="O1058" t="str">
        <f t="shared" si="67"/>
        <v>pes</v>
      </c>
    </row>
    <row r="1059" spans="1:15" x14ac:dyDescent="0.25">
      <c r="A1059">
        <v>8573</v>
      </c>
      <c r="B1059" s="11">
        <v>4013456789017</v>
      </c>
      <c r="C1059" s="1" t="s">
        <v>11</v>
      </c>
      <c r="D1059" s="1" t="s">
        <v>12</v>
      </c>
      <c r="E1059" s="1" t="s">
        <v>13</v>
      </c>
      <c r="F1059">
        <v>6</v>
      </c>
      <c r="G1059">
        <v>2</v>
      </c>
      <c r="H1059" s="1" t="s">
        <v>14</v>
      </c>
      <c r="I1059" s="1" t="s">
        <v>15</v>
      </c>
      <c r="J1059" s="12">
        <v>45738</v>
      </c>
      <c r="K1059">
        <v>0</v>
      </c>
      <c r="L1059" s="1">
        <f t="shared" si="64"/>
        <v>12</v>
      </c>
      <c r="M1059" s="1" t="str">
        <f t="shared" si="65"/>
        <v/>
      </c>
      <c r="N1059" s="2">
        <f t="shared" si="66"/>
        <v>45717</v>
      </c>
      <c r="O1059" t="str">
        <f t="shared" si="67"/>
        <v>pes</v>
      </c>
    </row>
    <row r="1060" spans="1:15" x14ac:dyDescent="0.25">
      <c r="A1060">
        <v>8574</v>
      </c>
      <c r="B1060" s="11">
        <v>4040123456795</v>
      </c>
      <c r="C1060" s="1" t="s">
        <v>20</v>
      </c>
      <c r="D1060" s="1" t="s">
        <v>21</v>
      </c>
      <c r="E1060" s="1" t="s">
        <v>22</v>
      </c>
      <c r="F1060">
        <v>8.8000000000000007</v>
      </c>
      <c r="G1060">
        <v>1</v>
      </c>
      <c r="H1060" s="1" t="s">
        <v>14</v>
      </c>
      <c r="I1060" s="1" t="s">
        <v>15</v>
      </c>
      <c r="J1060" s="12">
        <v>45738</v>
      </c>
      <c r="K1060">
        <v>0</v>
      </c>
      <c r="L1060" s="1">
        <f t="shared" si="64"/>
        <v>8.8000000000000007</v>
      </c>
      <c r="M1060" s="1" t="str">
        <f t="shared" si="65"/>
        <v/>
      </c>
      <c r="N1060" s="2">
        <f t="shared" si="66"/>
        <v>45717</v>
      </c>
      <c r="O1060" t="str">
        <f t="shared" si="67"/>
        <v>pes</v>
      </c>
    </row>
    <row r="1061" spans="1:15" hidden="1" x14ac:dyDescent="0.25">
      <c r="A1061">
        <v>8575</v>
      </c>
      <c r="B1061" s="11">
        <v>4010123456783</v>
      </c>
      <c r="C1061" s="1" t="s">
        <v>35</v>
      </c>
      <c r="D1061" s="1" t="s">
        <v>36</v>
      </c>
      <c r="E1061" s="1" t="s">
        <v>37</v>
      </c>
      <c r="F1061">
        <v>14</v>
      </c>
      <c r="G1061">
        <v>1</v>
      </c>
      <c r="H1061" s="1" t="s">
        <v>14</v>
      </c>
      <c r="I1061" s="1" t="s">
        <v>15</v>
      </c>
      <c r="J1061" s="12">
        <v>45738</v>
      </c>
      <c r="K1061">
        <v>0</v>
      </c>
      <c r="L1061" s="1">
        <f t="shared" si="64"/>
        <v>14</v>
      </c>
      <c r="M1061" s="1" t="str">
        <f t="shared" si="65"/>
        <v/>
      </c>
      <c r="N1061" s="2">
        <f t="shared" si="66"/>
        <v>45717</v>
      </c>
      <c r="O1061" t="str">
        <f t="shared" si="67"/>
        <v>mačka</v>
      </c>
    </row>
    <row r="1062" spans="1:15" x14ac:dyDescent="0.25">
      <c r="A1062">
        <v>8576</v>
      </c>
      <c r="B1062" s="11">
        <v>4063456789014</v>
      </c>
      <c r="C1062" s="1" t="s">
        <v>60</v>
      </c>
      <c r="D1062" s="1" t="s">
        <v>12</v>
      </c>
      <c r="E1062" s="1" t="s">
        <v>61</v>
      </c>
      <c r="F1062">
        <v>36</v>
      </c>
      <c r="G1062">
        <v>1</v>
      </c>
      <c r="H1062" s="1" t="s">
        <v>14</v>
      </c>
      <c r="I1062" s="1" t="s">
        <v>15</v>
      </c>
      <c r="J1062" s="12">
        <v>45738</v>
      </c>
      <c r="K1062">
        <v>0</v>
      </c>
      <c r="L1062" s="1">
        <f t="shared" si="64"/>
        <v>36</v>
      </c>
      <c r="M1062" s="1" t="str">
        <f t="shared" si="65"/>
        <v/>
      </c>
      <c r="N1062" s="2">
        <f t="shared" si="66"/>
        <v>45717</v>
      </c>
      <c r="O1062" t="str">
        <f t="shared" si="67"/>
        <v>pes</v>
      </c>
    </row>
    <row r="1063" spans="1:15" x14ac:dyDescent="0.25">
      <c r="A1063">
        <v>8577</v>
      </c>
      <c r="B1063" s="11">
        <v>4028899001126</v>
      </c>
      <c r="C1063" s="1" t="s">
        <v>16</v>
      </c>
      <c r="D1063" s="1" t="s">
        <v>12</v>
      </c>
      <c r="E1063" s="1" t="s">
        <v>17</v>
      </c>
      <c r="F1063">
        <v>2.8</v>
      </c>
      <c r="G1063">
        <v>5</v>
      </c>
      <c r="H1063" s="1" t="s">
        <v>23</v>
      </c>
      <c r="I1063" s="1" t="s">
        <v>194</v>
      </c>
      <c r="J1063" s="12">
        <v>45739</v>
      </c>
      <c r="K1063">
        <v>0</v>
      </c>
      <c r="L1063" s="1">
        <f t="shared" si="64"/>
        <v>14</v>
      </c>
      <c r="M1063" s="1">
        <f t="shared" si="65"/>
        <v>5</v>
      </c>
      <c r="N1063" s="2">
        <f t="shared" si="66"/>
        <v>45717</v>
      </c>
      <c r="O1063" t="str">
        <f t="shared" si="67"/>
        <v>pes</v>
      </c>
    </row>
    <row r="1064" spans="1:15" x14ac:dyDescent="0.25">
      <c r="A1064">
        <v>8578</v>
      </c>
      <c r="B1064" s="11">
        <v>4013456789017</v>
      </c>
      <c r="C1064" s="1" t="s">
        <v>11</v>
      </c>
      <c r="D1064" s="1" t="s">
        <v>12</v>
      </c>
      <c r="E1064" s="1" t="s">
        <v>13</v>
      </c>
      <c r="F1064">
        <v>6</v>
      </c>
      <c r="G1064">
        <v>1</v>
      </c>
      <c r="H1064" s="1" t="s">
        <v>14</v>
      </c>
      <c r="I1064" s="1" t="s">
        <v>15</v>
      </c>
      <c r="J1064" s="12">
        <v>45739</v>
      </c>
      <c r="K1064">
        <v>0</v>
      </c>
      <c r="L1064" s="1">
        <f t="shared" si="64"/>
        <v>6</v>
      </c>
      <c r="M1064" s="1" t="str">
        <f t="shared" si="65"/>
        <v/>
      </c>
      <c r="N1064" s="2">
        <f t="shared" si="66"/>
        <v>45717</v>
      </c>
      <c r="O1064" t="str">
        <f t="shared" si="67"/>
        <v>pes</v>
      </c>
    </row>
    <row r="1065" spans="1:15" x14ac:dyDescent="0.25">
      <c r="A1065">
        <v>8579</v>
      </c>
      <c r="B1065" s="11">
        <v>4040123456795</v>
      </c>
      <c r="C1065" s="1" t="s">
        <v>20</v>
      </c>
      <c r="D1065" s="1" t="s">
        <v>21</v>
      </c>
      <c r="E1065" s="1" t="s">
        <v>22</v>
      </c>
      <c r="F1065">
        <v>8.8000000000000007</v>
      </c>
      <c r="G1065">
        <v>1</v>
      </c>
      <c r="H1065" s="1" t="s">
        <v>14</v>
      </c>
      <c r="I1065" s="1" t="s">
        <v>15</v>
      </c>
      <c r="J1065" s="12">
        <v>45739</v>
      </c>
      <c r="K1065">
        <v>0</v>
      </c>
      <c r="L1065" s="1">
        <f t="shared" si="64"/>
        <v>8.8000000000000007</v>
      </c>
      <c r="M1065" s="1" t="str">
        <f t="shared" si="65"/>
        <v/>
      </c>
      <c r="N1065" s="2">
        <f t="shared" si="66"/>
        <v>45717</v>
      </c>
      <c r="O1065" t="str">
        <f t="shared" si="67"/>
        <v>pes</v>
      </c>
    </row>
    <row r="1066" spans="1:15" hidden="1" x14ac:dyDescent="0.25">
      <c r="A1066">
        <v>8580</v>
      </c>
      <c r="B1066" s="11">
        <v>4010123456783</v>
      </c>
      <c r="C1066" s="1" t="s">
        <v>35</v>
      </c>
      <c r="D1066" s="1" t="s">
        <v>36</v>
      </c>
      <c r="E1066" s="1" t="s">
        <v>37</v>
      </c>
      <c r="F1066">
        <v>14</v>
      </c>
      <c r="G1066">
        <v>2</v>
      </c>
      <c r="H1066" s="1" t="s">
        <v>14</v>
      </c>
      <c r="I1066" s="1" t="s">
        <v>15</v>
      </c>
      <c r="J1066" s="12">
        <v>45739</v>
      </c>
      <c r="K1066">
        <v>0</v>
      </c>
      <c r="L1066" s="1">
        <f t="shared" si="64"/>
        <v>28</v>
      </c>
      <c r="M1066" s="1" t="str">
        <f t="shared" si="65"/>
        <v/>
      </c>
      <c r="N1066" s="2">
        <f t="shared" si="66"/>
        <v>45717</v>
      </c>
      <c r="O1066" t="str">
        <f t="shared" si="67"/>
        <v>mačka</v>
      </c>
    </row>
    <row r="1067" spans="1:15" x14ac:dyDescent="0.25">
      <c r="A1067">
        <v>8581</v>
      </c>
      <c r="B1067" s="11">
        <v>4063456789014</v>
      </c>
      <c r="C1067" s="1" t="s">
        <v>60</v>
      </c>
      <c r="D1067" s="1" t="s">
        <v>12</v>
      </c>
      <c r="E1067" s="1" t="s">
        <v>61</v>
      </c>
      <c r="F1067">
        <v>36</v>
      </c>
      <c r="G1067">
        <v>1</v>
      </c>
      <c r="H1067" s="1" t="s">
        <v>14</v>
      </c>
      <c r="I1067" s="1" t="s">
        <v>15</v>
      </c>
      <c r="J1067" s="12">
        <v>45739</v>
      </c>
      <c r="K1067">
        <v>0</v>
      </c>
      <c r="L1067" s="1">
        <f t="shared" si="64"/>
        <v>36</v>
      </c>
      <c r="M1067" s="1" t="str">
        <f t="shared" si="65"/>
        <v/>
      </c>
      <c r="N1067" s="2">
        <f t="shared" si="66"/>
        <v>45717</v>
      </c>
      <c r="O1067" t="str">
        <f t="shared" si="67"/>
        <v>pes</v>
      </c>
    </row>
    <row r="1068" spans="1:15" hidden="1" x14ac:dyDescent="0.25">
      <c r="A1068">
        <v>8582</v>
      </c>
      <c r="B1068" s="11">
        <v>4021234567894</v>
      </c>
      <c r="C1068" s="1" t="s">
        <v>79</v>
      </c>
      <c r="D1068" s="1" t="s">
        <v>36</v>
      </c>
      <c r="E1068" s="1" t="s">
        <v>69</v>
      </c>
      <c r="F1068">
        <v>8</v>
      </c>
      <c r="G1068">
        <v>1</v>
      </c>
      <c r="H1068" s="1" t="s">
        <v>14</v>
      </c>
      <c r="I1068" s="1" t="s">
        <v>15</v>
      </c>
      <c r="J1068" s="12">
        <v>45739</v>
      </c>
      <c r="K1068">
        <v>0</v>
      </c>
      <c r="L1068" s="1">
        <f t="shared" si="64"/>
        <v>8</v>
      </c>
      <c r="M1068" s="1" t="str">
        <f t="shared" si="65"/>
        <v/>
      </c>
      <c r="N1068" s="2">
        <f t="shared" si="66"/>
        <v>45717</v>
      </c>
      <c r="O1068" t="str">
        <f t="shared" si="67"/>
        <v>mačka</v>
      </c>
    </row>
    <row r="1069" spans="1:15" x14ac:dyDescent="0.25">
      <c r="A1069">
        <v>8583</v>
      </c>
      <c r="B1069" s="11">
        <v>4061011223346</v>
      </c>
      <c r="C1069" s="1" t="s">
        <v>25</v>
      </c>
      <c r="D1069" s="1" t="s">
        <v>26</v>
      </c>
      <c r="E1069" s="1" t="s">
        <v>27</v>
      </c>
      <c r="F1069">
        <v>19.600000000000001</v>
      </c>
      <c r="G1069">
        <v>1</v>
      </c>
      <c r="H1069" s="1" t="s">
        <v>14</v>
      </c>
      <c r="I1069" s="1" t="s">
        <v>15</v>
      </c>
      <c r="J1069" s="12">
        <v>45739</v>
      </c>
      <c r="K1069">
        <v>0</v>
      </c>
      <c r="L1069" s="1">
        <f t="shared" si="64"/>
        <v>19.600000000000001</v>
      </c>
      <c r="M1069" s="1" t="str">
        <f t="shared" si="65"/>
        <v/>
      </c>
      <c r="N1069" s="2">
        <f t="shared" si="66"/>
        <v>45717</v>
      </c>
      <c r="O1069" t="str">
        <f t="shared" si="67"/>
        <v>pes</v>
      </c>
    </row>
    <row r="1070" spans="1:15" hidden="1" x14ac:dyDescent="0.25">
      <c r="A1070">
        <v>8584</v>
      </c>
      <c r="B1070" s="11">
        <v>4026677889902</v>
      </c>
      <c r="C1070" s="1" t="s">
        <v>52</v>
      </c>
      <c r="D1070" s="1" t="s">
        <v>53</v>
      </c>
      <c r="E1070" s="1" t="s">
        <v>54</v>
      </c>
      <c r="F1070">
        <v>7.6</v>
      </c>
      <c r="G1070">
        <v>1</v>
      </c>
      <c r="H1070" s="1" t="s">
        <v>14</v>
      </c>
      <c r="I1070" s="1" t="s">
        <v>15</v>
      </c>
      <c r="J1070" s="12">
        <v>45739</v>
      </c>
      <c r="K1070">
        <v>0</v>
      </c>
      <c r="L1070" s="1">
        <f t="shared" si="64"/>
        <v>7.6</v>
      </c>
      <c r="M1070" s="1" t="str">
        <f t="shared" si="65"/>
        <v/>
      </c>
      <c r="N1070" s="2">
        <f t="shared" si="66"/>
        <v>45717</v>
      </c>
      <c r="O1070" t="str">
        <f t="shared" si="67"/>
        <v>iné</v>
      </c>
    </row>
    <row r="1071" spans="1:15" x14ac:dyDescent="0.25">
      <c r="A1071">
        <v>8585</v>
      </c>
      <c r="B1071" s="11">
        <v>4028899001126</v>
      </c>
      <c r="C1071" s="1" t="s">
        <v>16</v>
      </c>
      <c r="D1071" s="1" t="s">
        <v>12</v>
      </c>
      <c r="E1071" s="1" t="s">
        <v>17</v>
      </c>
      <c r="F1071">
        <v>2.8</v>
      </c>
      <c r="G1071">
        <v>3</v>
      </c>
      <c r="H1071" s="1" t="s">
        <v>14</v>
      </c>
      <c r="I1071" s="1" t="s">
        <v>15</v>
      </c>
      <c r="J1071" s="12">
        <v>45739</v>
      </c>
      <c r="K1071">
        <v>0</v>
      </c>
      <c r="L1071" s="1">
        <f t="shared" si="64"/>
        <v>8.3999999999999986</v>
      </c>
      <c r="M1071" s="1" t="str">
        <f t="shared" si="65"/>
        <v/>
      </c>
      <c r="N1071" s="2">
        <f t="shared" si="66"/>
        <v>45717</v>
      </c>
      <c r="O1071" t="str">
        <f t="shared" si="67"/>
        <v>pes</v>
      </c>
    </row>
    <row r="1072" spans="1:15" x14ac:dyDescent="0.25">
      <c r="A1072">
        <v>8586</v>
      </c>
      <c r="B1072" s="11">
        <v>4013456789017</v>
      </c>
      <c r="C1072" s="1" t="s">
        <v>11</v>
      </c>
      <c r="D1072" s="1" t="s">
        <v>12</v>
      </c>
      <c r="E1072" s="1" t="s">
        <v>13</v>
      </c>
      <c r="F1072">
        <v>6</v>
      </c>
      <c r="G1072">
        <v>2</v>
      </c>
      <c r="H1072" s="1" t="s">
        <v>14</v>
      </c>
      <c r="I1072" s="1" t="s">
        <v>15</v>
      </c>
      <c r="J1072" s="12">
        <v>45739</v>
      </c>
      <c r="K1072">
        <v>0</v>
      </c>
      <c r="L1072" s="1">
        <f t="shared" si="64"/>
        <v>12</v>
      </c>
      <c r="M1072" s="1" t="str">
        <f t="shared" si="65"/>
        <v/>
      </c>
      <c r="N1072" s="2">
        <f t="shared" si="66"/>
        <v>45717</v>
      </c>
      <c r="O1072" t="str">
        <f t="shared" si="67"/>
        <v>pes</v>
      </c>
    </row>
    <row r="1073" spans="1:15" x14ac:dyDescent="0.25">
      <c r="A1073">
        <v>8587</v>
      </c>
      <c r="B1073" s="11">
        <v>4040123456795</v>
      </c>
      <c r="C1073" s="1" t="s">
        <v>20</v>
      </c>
      <c r="D1073" s="1" t="s">
        <v>21</v>
      </c>
      <c r="E1073" s="1" t="s">
        <v>22</v>
      </c>
      <c r="F1073">
        <v>8.8000000000000007</v>
      </c>
      <c r="G1073">
        <v>1</v>
      </c>
      <c r="H1073" s="1" t="s">
        <v>14</v>
      </c>
      <c r="I1073" s="1" t="s">
        <v>15</v>
      </c>
      <c r="J1073" s="12">
        <v>45739</v>
      </c>
      <c r="K1073">
        <v>0</v>
      </c>
      <c r="L1073" s="1">
        <f t="shared" si="64"/>
        <v>8.8000000000000007</v>
      </c>
      <c r="M1073" s="1" t="str">
        <f t="shared" si="65"/>
        <v/>
      </c>
      <c r="N1073" s="2">
        <f t="shared" si="66"/>
        <v>45717</v>
      </c>
      <c r="O1073" t="str">
        <f t="shared" si="67"/>
        <v>pes</v>
      </c>
    </row>
    <row r="1074" spans="1:15" hidden="1" x14ac:dyDescent="0.25">
      <c r="A1074">
        <v>8588</v>
      </c>
      <c r="B1074" s="11">
        <v>4010123456783</v>
      </c>
      <c r="C1074" s="1" t="s">
        <v>35</v>
      </c>
      <c r="D1074" s="1" t="s">
        <v>36</v>
      </c>
      <c r="E1074" s="1" t="s">
        <v>37</v>
      </c>
      <c r="F1074">
        <v>14</v>
      </c>
      <c r="G1074">
        <v>1</v>
      </c>
      <c r="H1074" s="1" t="s">
        <v>14</v>
      </c>
      <c r="I1074" s="1" t="s">
        <v>15</v>
      </c>
      <c r="J1074" s="12">
        <v>45739</v>
      </c>
      <c r="K1074">
        <v>0</v>
      </c>
      <c r="L1074" s="1">
        <f t="shared" si="64"/>
        <v>14</v>
      </c>
      <c r="M1074" s="1" t="str">
        <f t="shared" si="65"/>
        <v/>
      </c>
      <c r="N1074" s="2">
        <f t="shared" si="66"/>
        <v>45717</v>
      </c>
      <c r="O1074" t="str">
        <f t="shared" si="67"/>
        <v>mačka</v>
      </c>
    </row>
    <row r="1075" spans="1:15" x14ac:dyDescent="0.25">
      <c r="A1075">
        <v>8589</v>
      </c>
      <c r="B1075" s="11">
        <v>4063456789014</v>
      </c>
      <c r="C1075" s="1" t="s">
        <v>60</v>
      </c>
      <c r="D1075" s="1" t="s">
        <v>12</v>
      </c>
      <c r="E1075" s="1" t="s">
        <v>61</v>
      </c>
      <c r="F1075">
        <v>36</v>
      </c>
      <c r="G1075">
        <v>1</v>
      </c>
      <c r="H1075" s="1" t="s">
        <v>14</v>
      </c>
      <c r="I1075" s="1" t="s">
        <v>15</v>
      </c>
      <c r="J1075" s="12">
        <v>45739</v>
      </c>
      <c r="K1075">
        <v>0</v>
      </c>
      <c r="L1075" s="1">
        <f t="shared" si="64"/>
        <v>36</v>
      </c>
      <c r="M1075" s="1" t="str">
        <f t="shared" si="65"/>
        <v/>
      </c>
      <c r="N1075" s="2">
        <f t="shared" si="66"/>
        <v>45717</v>
      </c>
      <c r="O1075" t="str">
        <f t="shared" si="67"/>
        <v>pes</v>
      </c>
    </row>
    <row r="1076" spans="1:15" x14ac:dyDescent="0.25">
      <c r="A1076">
        <v>8590</v>
      </c>
      <c r="B1076" s="11">
        <v>4028899001126</v>
      </c>
      <c r="C1076" s="1" t="s">
        <v>16</v>
      </c>
      <c r="D1076" s="1" t="s">
        <v>12</v>
      </c>
      <c r="E1076" s="1" t="s">
        <v>17</v>
      </c>
      <c r="F1076">
        <v>2.8</v>
      </c>
      <c r="G1076">
        <v>4</v>
      </c>
      <c r="H1076" s="1" t="s">
        <v>14</v>
      </c>
      <c r="I1076" s="1" t="s">
        <v>15</v>
      </c>
      <c r="J1076" s="12">
        <v>45740</v>
      </c>
      <c r="K1076">
        <v>0</v>
      </c>
      <c r="L1076" s="1">
        <f t="shared" si="64"/>
        <v>11.2</v>
      </c>
      <c r="M1076" s="1" t="str">
        <f t="shared" si="65"/>
        <v/>
      </c>
      <c r="N1076" s="2">
        <f t="shared" si="66"/>
        <v>45717</v>
      </c>
      <c r="O1076" t="str">
        <f t="shared" si="67"/>
        <v>pes</v>
      </c>
    </row>
    <row r="1077" spans="1:15" x14ac:dyDescent="0.25">
      <c r="A1077">
        <v>8591</v>
      </c>
      <c r="B1077" s="11">
        <v>4013456789017</v>
      </c>
      <c r="C1077" s="1" t="s">
        <v>11</v>
      </c>
      <c r="D1077" s="1" t="s">
        <v>12</v>
      </c>
      <c r="E1077" s="1" t="s">
        <v>13</v>
      </c>
      <c r="F1077">
        <v>6</v>
      </c>
      <c r="G1077">
        <v>2</v>
      </c>
      <c r="H1077" s="1" t="s">
        <v>14</v>
      </c>
      <c r="I1077" s="1" t="s">
        <v>15</v>
      </c>
      <c r="J1077" s="12">
        <v>45740</v>
      </c>
      <c r="K1077">
        <v>0</v>
      </c>
      <c r="L1077" s="1">
        <f t="shared" si="64"/>
        <v>12</v>
      </c>
      <c r="M1077" s="1" t="str">
        <f t="shared" si="65"/>
        <v/>
      </c>
      <c r="N1077" s="2">
        <f t="shared" si="66"/>
        <v>45717</v>
      </c>
      <c r="O1077" t="str">
        <f t="shared" si="67"/>
        <v>pes</v>
      </c>
    </row>
    <row r="1078" spans="1:15" x14ac:dyDescent="0.25">
      <c r="A1078">
        <v>8592</v>
      </c>
      <c r="B1078" s="11">
        <v>4040123456795</v>
      </c>
      <c r="C1078" s="1" t="s">
        <v>20</v>
      </c>
      <c r="D1078" s="1" t="s">
        <v>21</v>
      </c>
      <c r="E1078" s="1" t="s">
        <v>22</v>
      </c>
      <c r="F1078">
        <v>8.8000000000000007</v>
      </c>
      <c r="G1078">
        <v>1</v>
      </c>
      <c r="H1078" s="1" t="s">
        <v>14</v>
      </c>
      <c r="I1078" s="1" t="s">
        <v>15</v>
      </c>
      <c r="J1078" s="12">
        <v>45740</v>
      </c>
      <c r="K1078">
        <v>0</v>
      </c>
      <c r="L1078" s="1">
        <f t="shared" si="64"/>
        <v>8.8000000000000007</v>
      </c>
      <c r="M1078" s="1" t="str">
        <f t="shared" si="65"/>
        <v/>
      </c>
      <c r="N1078" s="2">
        <f t="shared" si="66"/>
        <v>45717</v>
      </c>
      <c r="O1078" t="str">
        <f t="shared" si="67"/>
        <v>pes</v>
      </c>
    </row>
    <row r="1079" spans="1:15" hidden="1" x14ac:dyDescent="0.25">
      <c r="A1079">
        <v>8593</v>
      </c>
      <c r="B1079" s="11">
        <v>4010123456783</v>
      </c>
      <c r="C1079" s="1" t="s">
        <v>35</v>
      </c>
      <c r="D1079" s="1" t="s">
        <v>36</v>
      </c>
      <c r="E1079" s="1" t="s">
        <v>37</v>
      </c>
      <c r="F1079">
        <v>14</v>
      </c>
      <c r="G1079">
        <v>2</v>
      </c>
      <c r="H1079" s="1" t="s">
        <v>14</v>
      </c>
      <c r="I1079" s="1" t="s">
        <v>15</v>
      </c>
      <c r="J1079" s="12">
        <v>45740</v>
      </c>
      <c r="K1079">
        <v>0</v>
      </c>
      <c r="L1079" s="1">
        <f t="shared" si="64"/>
        <v>28</v>
      </c>
      <c r="M1079" s="1" t="str">
        <f t="shared" si="65"/>
        <v/>
      </c>
      <c r="N1079" s="2">
        <f t="shared" si="66"/>
        <v>45717</v>
      </c>
      <c r="O1079" t="str">
        <f t="shared" si="67"/>
        <v>mačka</v>
      </c>
    </row>
    <row r="1080" spans="1:15" hidden="1" x14ac:dyDescent="0.25">
      <c r="A1080">
        <v>8594</v>
      </c>
      <c r="B1080" s="11">
        <v>4056789012345</v>
      </c>
      <c r="C1080" s="1" t="s">
        <v>47</v>
      </c>
      <c r="D1080" s="1" t="s">
        <v>29</v>
      </c>
      <c r="E1080" s="1" t="s">
        <v>37</v>
      </c>
      <c r="F1080">
        <v>2.4</v>
      </c>
      <c r="G1080">
        <v>2</v>
      </c>
      <c r="H1080" s="1" t="s">
        <v>14</v>
      </c>
      <c r="I1080" s="1" t="s">
        <v>15</v>
      </c>
      <c r="J1080" s="12">
        <v>45740</v>
      </c>
      <c r="K1080">
        <v>0</v>
      </c>
      <c r="L1080" s="1">
        <f t="shared" si="64"/>
        <v>4.8</v>
      </c>
      <c r="M1080" s="1" t="str">
        <f t="shared" si="65"/>
        <v/>
      </c>
      <c r="N1080" s="2">
        <f t="shared" si="66"/>
        <v>45717</v>
      </c>
      <c r="O1080" t="str">
        <f t="shared" si="67"/>
        <v>mačka</v>
      </c>
    </row>
    <row r="1081" spans="1:15" x14ac:dyDescent="0.25">
      <c r="A1081">
        <v>8595</v>
      </c>
      <c r="B1081" s="11">
        <v>4063456789014</v>
      </c>
      <c r="C1081" s="1" t="s">
        <v>60</v>
      </c>
      <c r="D1081" s="1" t="s">
        <v>12</v>
      </c>
      <c r="E1081" s="1" t="s">
        <v>61</v>
      </c>
      <c r="F1081">
        <v>36</v>
      </c>
      <c r="G1081">
        <v>1</v>
      </c>
      <c r="H1081" s="1" t="s">
        <v>14</v>
      </c>
      <c r="I1081" s="1" t="s">
        <v>15</v>
      </c>
      <c r="J1081" s="12">
        <v>45740</v>
      </c>
      <c r="K1081">
        <v>0</v>
      </c>
      <c r="L1081" s="1">
        <f t="shared" si="64"/>
        <v>36</v>
      </c>
      <c r="M1081" s="1" t="str">
        <f t="shared" si="65"/>
        <v/>
      </c>
      <c r="N1081" s="2">
        <f t="shared" si="66"/>
        <v>45717</v>
      </c>
      <c r="O1081" t="str">
        <f t="shared" si="67"/>
        <v>pes</v>
      </c>
    </row>
    <row r="1082" spans="1:15" hidden="1" x14ac:dyDescent="0.25">
      <c r="A1082">
        <v>8596</v>
      </c>
      <c r="B1082" s="11">
        <v>4021234567894</v>
      </c>
      <c r="C1082" s="1" t="s">
        <v>79</v>
      </c>
      <c r="D1082" s="1" t="s">
        <v>36</v>
      </c>
      <c r="E1082" s="1" t="s">
        <v>69</v>
      </c>
      <c r="F1082">
        <v>8</v>
      </c>
      <c r="G1082">
        <v>1</v>
      </c>
      <c r="H1082" s="1" t="s">
        <v>14</v>
      </c>
      <c r="I1082" s="1" t="s">
        <v>15</v>
      </c>
      <c r="J1082" s="12">
        <v>45740</v>
      </c>
      <c r="K1082">
        <v>0</v>
      </c>
      <c r="L1082" s="1">
        <f t="shared" si="64"/>
        <v>8</v>
      </c>
      <c r="M1082" s="1" t="str">
        <f t="shared" si="65"/>
        <v/>
      </c>
      <c r="N1082" s="2">
        <f t="shared" si="66"/>
        <v>45717</v>
      </c>
      <c r="O1082" t="str">
        <f t="shared" si="67"/>
        <v>mačka</v>
      </c>
    </row>
    <row r="1083" spans="1:15" x14ac:dyDescent="0.25">
      <c r="A1083">
        <v>8597</v>
      </c>
      <c r="B1083" s="11">
        <v>4061011223346</v>
      </c>
      <c r="C1083" s="1" t="s">
        <v>25</v>
      </c>
      <c r="D1083" s="1" t="s">
        <v>26</v>
      </c>
      <c r="E1083" s="1" t="s">
        <v>27</v>
      </c>
      <c r="F1083">
        <v>19.600000000000001</v>
      </c>
      <c r="G1083">
        <v>1</v>
      </c>
      <c r="H1083" s="1" t="s">
        <v>14</v>
      </c>
      <c r="I1083" s="1" t="s">
        <v>15</v>
      </c>
      <c r="J1083" s="12">
        <v>45740</v>
      </c>
      <c r="K1083">
        <v>0</v>
      </c>
      <c r="L1083" s="1">
        <f t="shared" si="64"/>
        <v>19.600000000000001</v>
      </c>
      <c r="M1083" s="1" t="str">
        <f t="shared" si="65"/>
        <v/>
      </c>
      <c r="N1083" s="2">
        <f t="shared" si="66"/>
        <v>45717</v>
      </c>
      <c r="O1083" t="str">
        <f t="shared" si="67"/>
        <v>pes</v>
      </c>
    </row>
    <row r="1084" spans="1:15" hidden="1" x14ac:dyDescent="0.25">
      <c r="A1084">
        <v>8598</v>
      </c>
      <c r="B1084" s="11">
        <v>4026677889902</v>
      </c>
      <c r="C1084" s="1" t="s">
        <v>52</v>
      </c>
      <c r="D1084" s="1" t="s">
        <v>53</v>
      </c>
      <c r="E1084" s="1" t="s">
        <v>54</v>
      </c>
      <c r="F1084">
        <v>7.6</v>
      </c>
      <c r="G1084">
        <v>1</v>
      </c>
      <c r="H1084" s="1" t="s">
        <v>14</v>
      </c>
      <c r="I1084" s="1" t="s">
        <v>15</v>
      </c>
      <c r="J1084" s="12">
        <v>45740</v>
      </c>
      <c r="K1084">
        <v>0</v>
      </c>
      <c r="L1084" s="1">
        <f t="shared" si="64"/>
        <v>7.6</v>
      </c>
      <c r="M1084" s="1" t="str">
        <f t="shared" si="65"/>
        <v/>
      </c>
      <c r="N1084" s="2">
        <f t="shared" si="66"/>
        <v>45717</v>
      </c>
      <c r="O1084" t="str">
        <f t="shared" si="67"/>
        <v>iné</v>
      </c>
    </row>
    <row r="1085" spans="1:15" x14ac:dyDescent="0.25">
      <c r="A1085">
        <v>8599</v>
      </c>
      <c r="B1085" s="11">
        <v>4028899001126</v>
      </c>
      <c r="C1085" s="1" t="s">
        <v>16</v>
      </c>
      <c r="D1085" s="1" t="s">
        <v>12</v>
      </c>
      <c r="E1085" s="1" t="s">
        <v>17</v>
      </c>
      <c r="F1085">
        <v>2.8</v>
      </c>
      <c r="G1085">
        <v>3</v>
      </c>
      <c r="H1085" s="1" t="s">
        <v>14</v>
      </c>
      <c r="I1085" s="1" t="s">
        <v>15</v>
      </c>
      <c r="J1085" s="12">
        <v>45740</v>
      </c>
      <c r="K1085">
        <v>0</v>
      </c>
      <c r="L1085" s="1">
        <f t="shared" si="64"/>
        <v>8.3999999999999986</v>
      </c>
      <c r="M1085" s="1" t="str">
        <f t="shared" si="65"/>
        <v/>
      </c>
      <c r="N1085" s="2">
        <f t="shared" si="66"/>
        <v>45717</v>
      </c>
      <c r="O1085" t="str">
        <f t="shared" si="67"/>
        <v>pes</v>
      </c>
    </row>
    <row r="1086" spans="1:15" x14ac:dyDescent="0.25">
      <c r="A1086">
        <v>8600</v>
      </c>
      <c r="B1086" s="11">
        <v>4013456789017</v>
      </c>
      <c r="C1086" s="1" t="s">
        <v>11</v>
      </c>
      <c r="D1086" s="1" t="s">
        <v>12</v>
      </c>
      <c r="E1086" s="1" t="s">
        <v>13</v>
      </c>
      <c r="F1086">
        <v>6</v>
      </c>
      <c r="G1086">
        <v>2</v>
      </c>
      <c r="H1086" s="1" t="s">
        <v>14</v>
      </c>
      <c r="I1086" s="1" t="s">
        <v>15</v>
      </c>
      <c r="J1086" s="12">
        <v>45740</v>
      </c>
      <c r="K1086">
        <v>0</v>
      </c>
      <c r="L1086" s="1">
        <f t="shared" si="64"/>
        <v>12</v>
      </c>
      <c r="M1086" s="1" t="str">
        <f t="shared" si="65"/>
        <v/>
      </c>
      <c r="N1086" s="2">
        <f t="shared" si="66"/>
        <v>45717</v>
      </c>
      <c r="O1086" t="str">
        <f t="shared" si="67"/>
        <v>pes</v>
      </c>
    </row>
    <row r="1087" spans="1:15" x14ac:dyDescent="0.25">
      <c r="A1087">
        <v>8601</v>
      </c>
      <c r="B1087" s="11">
        <v>4040123456795</v>
      </c>
      <c r="C1087" s="1" t="s">
        <v>20</v>
      </c>
      <c r="D1087" s="1" t="s">
        <v>21</v>
      </c>
      <c r="E1087" s="1" t="s">
        <v>22</v>
      </c>
      <c r="F1087">
        <v>8.8000000000000007</v>
      </c>
      <c r="G1087">
        <v>1</v>
      </c>
      <c r="H1087" s="1" t="s">
        <v>14</v>
      </c>
      <c r="I1087" s="1" t="s">
        <v>15</v>
      </c>
      <c r="J1087" s="12">
        <v>45740</v>
      </c>
      <c r="K1087">
        <v>0</v>
      </c>
      <c r="L1087" s="1">
        <f t="shared" si="64"/>
        <v>8.8000000000000007</v>
      </c>
      <c r="M1087" s="1" t="str">
        <f t="shared" si="65"/>
        <v/>
      </c>
      <c r="N1087" s="2">
        <f t="shared" si="66"/>
        <v>45717</v>
      </c>
      <c r="O1087" t="str">
        <f t="shared" si="67"/>
        <v>pes</v>
      </c>
    </row>
    <row r="1088" spans="1:15" hidden="1" x14ac:dyDescent="0.25">
      <c r="A1088">
        <v>8602</v>
      </c>
      <c r="B1088" s="11">
        <v>4010123456783</v>
      </c>
      <c r="C1088" s="1" t="s">
        <v>35</v>
      </c>
      <c r="D1088" s="1" t="s">
        <v>36</v>
      </c>
      <c r="E1088" s="1" t="s">
        <v>37</v>
      </c>
      <c r="F1088">
        <v>14</v>
      </c>
      <c r="G1088">
        <v>1</v>
      </c>
      <c r="H1088" s="1" t="s">
        <v>14</v>
      </c>
      <c r="I1088" s="1" t="s">
        <v>15</v>
      </c>
      <c r="J1088" s="12">
        <v>45740</v>
      </c>
      <c r="K1088">
        <v>0</v>
      </c>
      <c r="L1088" s="1">
        <f t="shared" si="64"/>
        <v>14</v>
      </c>
      <c r="M1088" s="1" t="str">
        <f t="shared" si="65"/>
        <v/>
      </c>
      <c r="N1088" s="2">
        <f t="shared" si="66"/>
        <v>45717</v>
      </c>
      <c r="O1088" t="str">
        <f t="shared" si="67"/>
        <v>mačka</v>
      </c>
    </row>
    <row r="1089" spans="1:15" x14ac:dyDescent="0.25">
      <c r="A1089">
        <v>8603</v>
      </c>
      <c r="B1089" s="11">
        <v>4063456789014</v>
      </c>
      <c r="C1089" s="1" t="s">
        <v>60</v>
      </c>
      <c r="D1089" s="1" t="s">
        <v>12</v>
      </c>
      <c r="E1089" s="1" t="s">
        <v>61</v>
      </c>
      <c r="F1089">
        <v>36</v>
      </c>
      <c r="G1089">
        <v>1</v>
      </c>
      <c r="H1089" s="1" t="s">
        <v>14</v>
      </c>
      <c r="I1089" s="1" t="s">
        <v>15</v>
      </c>
      <c r="J1089" s="12">
        <v>45740</v>
      </c>
      <c r="K1089">
        <v>0</v>
      </c>
      <c r="L1089" s="1">
        <f t="shared" si="64"/>
        <v>36</v>
      </c>
      <c r="M1089" s="1" t="str">
        <f t="shared" si="65"/>
        <v/>
      </c>
      <c r="N1089" s="2">
        <f t="shared" si="66"/>
        <v>45717</v>
      </c>
      <c r="O1089" t="str">
        <f t="shared" si="67"/>
        <v>pes</v>
      </c>
    </row>
    <row r="1090" spans="1:15" x14ac:dyDescent="0.25">
      <c r="A1090">
        <v>8604</v>
      </c>
      <c r="B1090" s="11">
        <v>4028899001126</v>
      </c>
      <c r="C1090" s="1" t="s">
        <v>16</v>
      </c>
      <c r="D1090" s="1" t="s">
        <v>12</v>
      </c>
      <c r="E1090" s="1" t="s">
        <v>17</v>
      </c>
      <c r="F1090">
        <v>2.8</v>
      </c>
      <c r="G1090">
        <v>5</v>
      </c>
      <c r="H1090" s="1" t="s">
        <v>18</v>
      </c>
      <c r="I1090" s="1" t="s">
        <v>195</v>
      </c>
      <c r="J1090" s="12">
        <v>45741</v>
      </c>
      <c r="K1090">
        <v>0</v>
      </c>
      <c r="L1090" s="1">
        <f t="shared" ref="L1090:L1153" si="68">F1090*G1090</f>
        <v>14</v>
      </c>
      <c r="M1090" s="1">
        <f t="shared" ref="M1090:M1153" si="69">IF(H1090="NULL", "",VALUE(H1090))</f>
        <v>4</v>
      </c>
      <c r="N1090" s="2">
        <f t="shared" ref="N1090:N1153" si="70">DATE(YEAR(J1090),MONTH(J1090),1)</f>
        <v>45717</v>
      </c>
      <c r="O1090" t="str">
        <f t="shared" ref="O1090:O1153" si="71">IF(ISNUMBER(SEARCH("Mačky",D1090)),"mačka",IF(ISNUMBER(SEARCH("Psy",D1090)),"pes","iné"))</f>
        <v>pes</v>
      </c>
    </row>
    <row r="1091" spans="1:15" x14ac:dyDescent="0.25">
      <c r="A1091">
        <v>8605</v>
      </c>
      <c r="B1091" s="11">
        <v>4013456789017</v>
      </c>
      <c r="C1091" s="1" t="s">
        <v>11</v>
      </c>
      <c r="D1091" s="1" t="s">
        <v>12</v>
      </c>
      <c r="E1091" s="1" t="s">
        <v>13</v>
      </c>
      <c r="F1091">
        <v>6</v>
      </c>
      <c r="G1091">
        <v>1</v>
      </c>
      <c r="H1091" s="1" t="s">
        <v>14</v>
      </c>
      <c r="I1091" s="1" t="s">
        <v>15</v>
      </c>
      <c r="J1091" s="12">
        <v>45741</v>
      </c>
      <c r="K1091">
        <v>0</v>
      </c>
      <c r="L1091" s="1">
        <f t="shared" si="68"/>
        <v>6</v>
      </c>
      <c r="M1091" s="1" t="str">
        <f t="shared" si="69"/>
        <v/>
      </c>
      <c r="N1091" s="2">
        <f t="shared" si="70"/>
        <v>45717</v>
      </c>
      <c r="O1091" t="str">
        <f t="shared" si="71"/>
        <v>pes</v>
      </c>
    </row>
    <row r="1092" spans="1:15" x14ac:dyDescent="0.25">
      <c r="A1092">
        <v>8606</v>
      </c>
      <c r="B1092" s="11">
        <v>4040123456795</v>
      </c>
      <c r="C1092" s="1" t="s">
        <v>20</v>
      </c>
      <c r="D1092" s="1" t="s">
        <v>21</v>
      </c>
      <c r="E1092" s="1" t="s">
        <v>22</v>
      </c>
      <c r="F1092">
        <v>8.8000000000000007</v>
      </c>
      <c r="G1092">
        <v>1</v>
      </c>
      <c r="H1092" s="1" t="s">
        <v>14</v>
      </c>
      <c r="I1092" s="1" t="s">
        <v>15</v>
      </c>
      <c r="J1092" s="12">
        <v>45741</v>
      </c>
      <c r="K1092">
        <v>0</v>
      </c>
      <c r="L1092" s="1">
        <f t="shared" si="68"/>
        <v>8.8000000000000007</v>
      </c>
      <c r="M1092" s="1" t="str">
        <f t="shared" si="69"/>
        <v/>
      </c>
      <c r="N1092" s="2">
        <f t="shared" si="70"/>
        <v>45717</v>
      </c>
      <c r="O1092" t="str">
        <f t="shared" si="71"/>
        <v>pes</v>
      </c>
    </row>
    <row r="1093" spans="1:15" hidden="1" x14ac:dyDescent="0.25">
      <c r="A1093">
        <v>8607</v>
      </c>
      <c r="B1093" s="11">
        <v>4010123456783</v>
      </c>
      <c r="C1093" s="1" t="s">
        <v>35</v>
      </c>
      <c r="D1093" s="1" t="s">
        <v>36</v>
      </c>
      <c r="E1093" s="1" t="s">
        <v>37</v>
      </c>
      <c r="F1093">
        <v>14</v>
      </c>
      <c r="G1093">
        <v>2</v>
      </c>
      <c r="H1093" s="1" t="s">
        <v>14</v>
      </c>
      <c r="I1093" s="1" t="s">
        <v>15</v>
      </c>
      <c r="J1093" s="12">
        <v>45741</v>
      </c>
      <c r="K1093">
        <v>0</v>
      </c>
      <c r="L1093" s="1">
        <f t="shared" si="68"/>
        <v>28</v>
      </c>
      <c r="M1093" s="1" t="str">
        <f t="shared" si="69"/>
        <v/>
      </c>
      <c r="N1093" s="2">
        <f t="shared" si="70"/>
        <v>45717</v>
      </c>
      <c r="O1093" t="str">
        <f t="shared" si="71"/>
        <v>mačka</v>
      </c>
    </row>
    <row r="1094" spans="1:15" x14ac:dyDescent="0.25">
      <c r="A1094">
        <v>8608</v>
      </c>
      <c r="B1094" s="11">
        <v>4063456789014</v>
      </c>
      <c r="C1094" s="1" t="s">
        <v>60</v>
      </c>
      <c r="D1094" s="1" t="s">
        <v>12</v>
      </c>
      <c r="E1094" s="1" t="s">
        <v>61</v>
      </c>
      <c r="F1094">
        <v>36</v>
      </c>
      <c r="G1094">
        <v>1</v>
      </c>
      <c r="H1094" s="1" t="s">
        <v>14</v>
      </c>
      <c r="I1094" s="1" t="s">
        <v>15</v>
      </c>
      <c r="J1094" s="12">
        <v>45741</v>
      </c>
      <c r="K1094">
        <v>0</v>
      </c>
      <c r="L1094" s="1">
        <f t="shared" si="68"/>
        <v>36</v>
      </c>
      <c r="M1094" s="1" t="str">
        <f t="shared" si="69"/>
        <v/>
      </c>
      <c r="N1094" s="2">
        <f t="shared" si="70"/>
        <v>45717</v>
      </c>
      <c r="O1094" t="str">
        <f t="shared" si="71"/>
        <v>pes</v>
      </c>
    </row>
    <row r="1095" spans="1:15" hidden="1" x14ac:dyDescent="0.25">
      <c r="A1095">
        <v>8609</v>
      </c>
      <c r="B1095" s="11">
        <v>4021234567894</v>
      </c>
      <c r="C1095" s="1" t="s">
        <v>79</v>
      </c>
      <c r="D1095" s="1" t="s">
        <v>36</v>
      </c>
      <c r="E1095" s="1" t="s">
        <v>69</v>
      </c>
      <c r="F1095">
        <v>8</v>
      </c>
      <c r="G1095">
        <v>1</v>
      </c>
      <c r="H1095" s="1" t="s">
        <v>14</v>
      </c>
      <c r="I1095" s="1" t="s">
        <v>15</v>
      </c>
      <c r="J1095" s="12">
        <v>45741</v>
      </c>
      <c r="K1095">
        <v>0</v>
      </c>
      <c r="L1095" s="1">
        <f t="shared" si="68"/>
        <v>8</v>
      </c>
      <c r="M1095" s="1" t="str">
        <f t="shared" si="69"/>
        <v/>
      </c>
      <c r="N1095" s="2">
        <f t="shared" si="70"/>
        <v>45717</v>
      </c>
      <c r="O1095" t="str">
        <f t="shared" si="71"/>
        <v>mačka</v>
      </c>
    </row>
    <row r="1096" spans="1:15" x14ac:dyDescent="0.25">
      <c r="A1096">
        <v>8610</v>
      </c>
      <c r="B1096" s="11">
        <v>4061011223346</v>
      </c>
      <c r="C1096" s="1" t="s">
        <v>25</v>
      </c>
      <c r="D1096" s="1" t="s">
        <v>26</v>
      </c>
      <c r="E1096" s="1" t="s">
        <v>27</v>
      </c>
      <c r="F1096">
        <v>19.600000000000001</v>
      </c>
      <c r="G1096">
        <v>1</v>
      </c>
      <c r="H1096" s="1" t="s">
        <v>14</v>
      </c>
      <c r="I1096" s="1" t="s">
        <v>15</v>
      </c>
      <c r="J1096" s="12">
        <v>45741</v>
      </c>
      <c r="K1096">
        <v>0</v>
      </c>
      <c r="L1096" s="1">
        <f t="shared" si="68"/>
        <v>19.600000000000001</v>
      </c>
      <c r="M1096" s="1" t="str">
        <f t="shared" si="69"/>
        <v/>
      </c>
      <c r="N1096" s="2">
        <f t="shared" si="70"/>
        <v>45717</v>
      </c>
      <c r="O1096" t="str">
        <f t="shared" si="71"/>
        <v>pes</v>
      </c>
    </row>
    <row r="1097" spans="1:15" hidden="1" x14ac:dyDescent="0.25">
      <c r="A1097">
        <v>8611</v>
      </c>
      <c r="B1097" s="11">
        <v>4026677889902</v>
      </c>
      <c r="C1097" s="1" t="s">
        <v>52</v>
      </c>
      <c r="D1097" s="1" t="s">
        <v>53</v>
      </c>
      <c r="E1097" s="1" t="s">
        <v>54</v>
      </c>
      <c r="F1097">
        <v>7.6</v>
      </c>
      <c r="G1097">
        <v>1</v>
      </c>
      <c r="H1097" s="1" t="s">
        <v>14</v>
      </c>
      <c r="I1097" s="1" t="s">
        <v>15</v>
      </c>
      <c r="J1097" s="12">
        <v>45741</v>
      </c>
      <c r="K1097">
        <v>0</v>
      </c>
      <c r="L1097" s="1">
        <f t="shared" si="68"/>
        <v>7.6</v>
      </c>
      <c r="M1097" s="1" t="str">
        <f t="shared" si="69"/>
        <v/>
      </c>
      <c r="N1097" s="2">
        <f t="shared" si="70"/>
        <v>45717</v>
      </c>
      <c r="O1097" t="str">
        <f t="shared" si="71"/>
        <v>iné</v>
      </c>
    </row>
    <row r="1098" spans="1:15" x14ac:dyDescent="0.25">
      <c r="A1098">
        <v>8612</v>
      </c>
      <c r="B1098" s="11">
        <v>4028899001126</v>
      </c>
      <c r="C1098" s="1" t="s">
        <v>16</v>
      </c>
      <c r="D1098" s="1" t="s">
        <v>12</v>
      </c>
      <c r="E1098" s="1" t="s">
        <v>17</v>
      </c>
      <c r="F1098">
        <v>2.8</v>
      </c>
      <c r="G1098">
        <v>3</v>
      </c>
      <c r="H1098" s="1" t="s">
        <v>14</v>
      </c>
      <c r="I1098" s="1" t="s">
        <v>15</v>
      </c>
      <c r="J1098" s="12">
        <v>45741</v>
      </c>
      <c r="K1098">
        <v>0</v>
      </c>
      <c r="L1098" s="1">
        <f t="shared" si="68"/>
        <v>8.3999999999999986</v>
      </c>
      <c r="M1098" s="1" t="str">
        <f t="shared" si="69"/>
        <v/>
      </c>
      <c r="N1098" s="2">
        <f t="shared" si="70"/>
        <v>45717</v>
      </c>
      <c r="O1098" t="str">
        <f t="shared" si="71"/>
        <v>pes</v>
      </c>
    </row>
    <row r="1099" spans="1:15" x14ac:dyDescent="0.25">
      <c r="A1099">
        <v>8613</v>
      </c>
      <c r="B1099" s="11">
        <v>4013456789017</v>
      </c>
      <c r="C1099" s="1" t="s">
        <v>11</v>
      </c>
      <c r="D1099" s="1" t="s">
        <v>12</v>
      </c>
      <c r="E1099" s="1" t="s">
        <v>13</v>
      </c>
      <c r="F1099">
        <v>6</v>
      </c>
      <c r="G1099">
        <v>2</v>
      </c>
      <c r="H1099" s="1" t="s">
        <v>14</v>
      </c>
      <c r="I1099" s="1" t="s">
        <v>15</v>
      </c>
      <c r="J1099" s="12">
        <v>45741</v>
      </c>
      <c r="K1099">
        <v>0</v>
      </c>
      <c r="L1099" s="1">
        <f t="shared" si="68"/>
        <v>12</v>
      </c>
      <c r="M1099" s="1" t="str">
        <f t="shared" si="69"/>
        <v/>
      </c>
      <c r="N1099" s="2">
        <f t="shared" si="70"/>
        <v>45717</v>
      </c>
      <c r="O1099" t="str">
        <f t="shared" si="71"/>
        <v>pes</v>
      </c>
    </row>
    <row r="1100" spans="1:15" x14ac:dyDescent="0.25">
      <c r="A1100">
        <v>8614</v>
      </c>
      <c r="B1100" s="11">
        <v>4040123456795</v>
      </c>
      <c r="C1100" s="1" t="s">
        <v>20</v>
      </c>
      <c r="D1100" s="1" t="s">
        <v>21</v>
      </c>
      <c r="E1100" s="1" t="s">
        <v>22</v>
      </c>
      <c r="F1100">
        <v>8.8000000000000007</v>
      </c>
      <c r="G1100">
        <v>1</v>
      </c>
      <c r="H1100" s="1" t="s">
        <v>14</v>
      </c>
      <c r="I1100" s="1" t="s">
        <v>15</v>
      </c>
      <c r="J1100" s="12">
        <v>45741</v>
      </c>
      <c r="K1100">
        <v>0</v>
      </c>
      <c r="L1100" s="1">
        <f t="shared" si="68"/>
        <v>8.8000000000000007</v>
      </c>
      <c r="M1100" s="1" t="str">
        <f t="shared" si="69"/>
        <v/>
      </c>
      <c r="N1100" s="2">
        <f t="shared" si="70"/>
        <v>45717</v>
      </c>
      <c r="O1100" t="str">
        <f t="shared" si="71"/>
        <v>pes</v>
      </c>
    </row>
    <row r="1101" spans="1:15" hidden="1" x14ac:dyDescent="0.25">
      <c r="A1101">
        <v>8615</v>
      </c>
      <c r="B1101" s="11">
        <v>4010123456783</v>
      </c>
      <c r="C1101" s="1" t="s">
        <v>35</v>
      </c>
      <c r="D1101" s="1" t="s">
        <v>36</v>
      </c>
      <c r="E1101" s="1" t="s">
        <v>37</v>
      </c>
      <c r="F1101">
        <v>14</v>
      </c>
      <c r="G1101">
        <v>1</v>
      </c>
      <c r="H1101" s="1" t="s">
        <v>14</v>
      </c>
      <c r="I1101" s="1" t="s">
        <v>15</v>
      </c>
      <c r="J1101" s="12">
        <v>45741</v>
      </c>
      <c r="K1101">
        <v>0</v>
      </c>
      <c r="L1101" s="1">
        <f t="shared" si="68"/>
        <v>14</v>
      </c>
      <c r="M1101" s="1" t="str">
        <f t="shared" si="69"/>
        <v/>
      </c>
      <c r="N1101" s="2">
        <f t="shared" si="70"/>
        <v>45717</v>
      </c>
      <c r="O1101" t="str">
        <f t="shared" si="71"/>
        <v>mačka</v>
      </c>
    </row>
    <row r="1102" spans="1:15" x14ac:dyDescent="0.25">
      <c r="A1102">
        <v>8616</v>
      </c>
      <c r="B1102" s="11">
        <v>4063456789014</v>
      </c>
      <c r="C1102" s="1" t="s">
        <v>60</v>
      </c>
      <c r="D1102" s="1" t="s">
        <v>12</v>
      </c>
      <c r="E1102" s="1" t="s">
        <v>61</v>
      </c>
      <c r="F1102">
        <v>36</v>
      </c>
      <c r="G1102">
        <v>1</v>
      </c>
      <c r="H1102" s="1" t="s">
        <v>14</v>
      </c>
      <c r="I1102" s="1" t="s">
        <v>15</v>
      </c>
      <c r="J1102" s="12">
        <v>45741</v>
      </c>
      <c r="K1102">
        <v>0</v>
      </c>
      <c r="L1102" s="1">
        <f t="shared" si="68"/>
        <v>36</v>
      </c>
      <c r="M1102" s="1" t="str">
        <f t="shared" si="69"/>
        <v/>
      </c>
      <c r="N1102" s="2">
        <f t="shared" si="70"/>
        <v>45717</v>
      </c>
      <c r="O1102" t="str">
        <f t="shared" si="71"/>
        <v>pes</v>
      </c>
    </row>
    <row r="1103" spans="1:15" x14ac:dyDescent="0.25">
      <c r="A1103">
        <v>8617</v>
      </c>
      <c r="B1103" s="11">
        <v>4028899001126</v>
      </c>
      <c r="C1103" s="1" t="s">
        <v>16</v>
      </c>
      <c r="D1103" s="1" t="s">
        <v>12</v>
      </c>
      <c r="E1103" s="1" t="s">
        <v>17</v>
      </c>
      <c r="F1103">
        <v>2.8</v>
      </c>
      <c r="G1103">
        <v>4</v>
      </c>
      <c r="H1103" s="1" t="s">
        <v>14</v>
      </c>
      <c r="I1103" s="1" t="s">
        <v>15</v>
      </c>
      <c r="J1103" s="12">
        <v>45742</v>
      </c>
      <c r="K1103">
        <v>0</v>
      </c>
      <c r="L1103" s="1">
        <f t="shared" si="68"/>
        <v>11.2</v>
      </c>
      <c r="M1103" s="1" t="str">
        <f t="shared" si="69"/>
        <v/>
      </c>
      <c r="N1103" s="2">
        <f t="shared" si="70"/>
        <v>45717</v>
      </c>
      <c r="O1103" t="str">
        <f t="shared" si="71"/>
        <v>pes</v>
      </c>
    </row>
    <row r="1104" spans="1:15" x14ac:dyDescent="0.25">
      <c r="A1104">
        <v>8618</v>
      </c>
      <c r="B1104" s="11">
        <v>4013456789017</v>
      </c>
      <c r="C1104" s="1" t="s">
        <v>11</v>
      </c>
      <c r="D1104" s="1" t="s">
        <v>12</v>
      </c>
      <c r="E1104" s="1" t="s">
        <v>13</v>
      </c>
      <c r="F1104">
        <v>6</v>
      </c>
      <c r="G1104">
        <v>2</v>
      </c>
      <c r="H1104" s="1" t="s">
        <v>14</v>
      </c>
      <c r="I1104" s="1" t="s">
        <v>15</v>
      </c>
      <c r="J1104" s="12">
        <v>45742</v>
      </c>
      <c r="K1104">
        <v>0</v>
      </c>
      <c r="L1104" s="1">
        <f t="shared" si="68"/>
        <v>12</v>
      </c>
      <c r="M1104" s="1" t="str">
        <f t="shared" si="69"/>
        <v/>
      </c>
      <c r="N1104" s="2">
        <f t="shared" si="70"/>
        <v>45717</v>
      </c>
      <c r="O1104" t="str">
        <f t="shared" si="71"/>
        <v>pes</v>
      </c>
    </row>
    <row r="1105" spans="1:15" x14ac:dyDescent="0.25">
      <c r="A1105">
        <v>8619</v>
      </c>
      <c r="B1105" s="11">
        <v>4040123456795</v>
      </c>
      <c r="C1105" s="1" t="s">
        <v>20</v>
      </c>
      <c r="D1105" s="1" t="s">
        <v>21</v>
      </c>
      <c r="E1105" s="1" t="s">
        <v>22</v>
      </c>
      <c r="F1105">
        <v>8.8000000000000007</v>
      </c>
      <c r="G1105">
        <v>1</v>
      </c>
      <c r="H1105" s="1" t="s">
        <v>14</v>
      </c>
      <c r="I1105" s="1" t="s">
        <v>15</v>
      </c>
      <c r="J1105" s="12">
        <v>45742</v>
      </c>
      <c r="K1105">
        <v>0</v>
      </c>
      <c r="L1105" s="1">
        <f t="shared" si="68"/>
        <v>8.8000000000000007</v>
      </c>
      <c r="M1105" s="1" t="str">
        <f t="shared" si="69"/>
        <v/>
      </c>
      <c r="N1105" s="2">
        <f t="shared" si="70"/>
        <v>45717</v>
      </c>
      <c r="O1105" t="str">
        <f t="shared" si="71"/>
        <v>pes</v>
      </c>
    </row>
    <row r="1106" spans="1:15" hidden="1" x14ac:dyDescent="0.25">
      <c r="A1106">
        <v>8620</v>
      </c>
      <c r="B1106" s="11">
        <v>4010123456783</v>
      </c>
      <c r="C1106" s="1" t="s">
        <v>35</v>
      </c>
      <c r="D1106" s="1" t="s">
        <v>36</v>
      </c>
      <c r="E1106" s="1" t="s">
        <v>37</v>
      </c>
      <c r="F1106">
        <v>14</v>
      </c>
      <c r="G1106">
        <v>2</v>
      </c>
      <c r="H1106" s="1" t="s">
        <v>14</v>
      </c>
      <c r="I1106" s="1" t="s">
        <v>15</v>
      </c>
      <c r="J1106" s="12">
        <v>45742</v>
      </c>
      <c r="K1106">
        <v>0</v>
      </c>
      <c r="L1106" s="1">
        <f t="shared" si="68"/>
        <v>28</v>
      </c>
      <c r="M1106" s="1" t="str">
        <f t="shared" si="69"/>
        <v/>
      </c>
      <c r="N1106" s="2">
        <f t="shared" si="70"/>
        <v>45717</v>
      </c>
      <c r="O1106" t="str">
        <f t="shared" si="71"/>
        <v>mačka</v>
      </c>
    </row>
    <row r="1107" spans="1:15" hidden="1" x14ac:dyDescent="0.25">
      <c r="A1107">
        <v>8621</v>
      </c>
      <c r="B1107" s="11">
        <v>4056789012345</v>
      </c>
      <c r="C1107" s="1" t="s">
        <v>47</v>
      </c>
      <c r="D1107" s="1" t="s">
        <v>29</v>
      </c>
      <c r="E1107" s="1" t="s">
        <v>37</v>
      </c>
      <c r="F1107">
        <v>2.4</v>
      </c>
      <c r="G1107">
        <v>2</v>
      </c>
      <c r="H1107" s="1" t="s">
        <v>14</v>
      </c>
      <c r="I1107" s="1" t="s">
        <v>15</v>
      </c>
      <c r="J1107" s="12">
        <v>45742</v>
      </c>
      <c r="K1107">
        <v>0</v>
      </c>
      <c r="L1107" s="1">
        <f t="shared" si="68"/>
        <v>4.8</v>
      </c>
      <c r="M1107" s="1" t="str">
        <f t="shared" si="69"/>
        <v/>
      </c>
      <c r="N1107" s="2">
        <f t="shared" si="70"/>
        <v>45717</v>
      </c>
      <c r="O1107" t="str">
        <f t="shared" si="71"/>
        <v>mačka</v>
      </c>
    </row>
    <row r="1108" spans="1:15" x14ac:dyDescent="0.25">
      <c r="A1108">
        <v>8622</v>
      </c>
      <c r="B1108" s="11">
        <v>4063456789014</v>
      </c>
      <c r="C1108" s="1" t="s">
        <v>60</v>
      </c>
      <c r="D1108" s="1" t="s">
        <v>12</v>
      </c>
      <c r="E1108" s="1" t="s">
        <v>61</v>
      </c>
      <c r="F1108">
        <v>36</v>
      </c>
      <c r="G1108">
        <v>1</v>
      </c>
      <c r="H1108" s="1" t="s">
        <v>14</v>
      </c>
      <c r="I1108" s="1" t="s">
        <v>15</v>
      </c>
      <c r="J1108" s="12">
        <v>45742</v>
      </c>
      <c r="K1108">
        <v>0</v>
      </c>
      <c r="L1108" s="1">
        <f t="shared" si="68"/>
        <v>36</v>
      </c>
      <c r="M1108" s="1" t="str">
        <f t="shared" si="69"/>
        <v/>
      </c>
      <c r="N1108" s="2">
        <f t="shared" si="70"/>
        <v>45717</v>
      </c>
      <c r="O1108" t="str">
        <f t="shared" si="71"/>
        <v>pes</v>
      </c>
    </row>
    <row r="1109" spans="1:15" hidden="1" x14ac:dyDescent="0.25">
      <c r="A1109">
        <v>8623</v>
      </c>
      <c r="B1109" s="11">
        <v>4021234567894</v>
      </c>
      <c r="C1109" s="1" t="s">
        <v>79</v>
      </c>
      <c r="D1109" s="1" t="s">
        <v>36</v>
      </c>
      <c r="E1109" s="1" t="s">
        <v>69</v>
      </c>
      <c r="F1109">
        <v>8</v>
      </c>
      <c r="G1109">
        <v>1</v>
      </c>
      <c r="H1109" s="1" t="s">
        <v>14</v>
      </c>
      <c r="I1109" s="1" t="s">
        <v>15</v>
      </c>
      <c r="J1109" s="12">
        <v>45742</v>
      </c>
      <c r="K1109">
        <v>0</v>
      </c>
      <c r="L1109" s="1">
        <f t="shared" si="68"/>
        <v>8</v>
      </c>
      <c r="M1109" s="1" t="str">
        <f t="shared" si="69"/>
        <v/>
      </c>
      <c r="N1109" s="2">
        <f t="shared" si="70"/>
        <v>45717</v>
      </c>
      <c r="O1109" t="str">
        <f t="shared" si="71"/>
        <v>mačka</v>
      </c>
    </row>
    <row r="1110" spans="1:15" x14ac:dyDescent="0.25">
      <c r="A1110">
        <v>8624</v>
      </c>
      <c r="B1110" s="11">
        <v>4061011223346</v>
      </c>
      <c r="C1110" s="1" t="s">
        <v>25</v>
      </c>
      <c r="D1110" s="1" t="s">
        <v>26</v>
      </c>
      <c r="E1110" s="1" t="s">
        <v>27</v>
      </c>
      <c r="F1110">
        <v>19.600000000000001</v>
      </c>
      <c r="G1110">
        <v>1</v>
      </c>
      <c r="H1110" s="1" t="s">
        <v>14</v>
      </c>
      <c r="I1110" s="1" t="s">
        <v>15</v>
      </c>
      <c r="J1110" s="12">
        <v>45742</v>
      </c>
      <c r="K1110">
        <v>0</v>
      </c>
      <c r="L1110" s="1">
        <f t="shared" si="68"/>
        <v>19.600000000000001</v>
      </c>
      <c r="M1110" s="1" t="str">
        <f t="shared" si="69"/>
        <v/>
      </c>
      <c r="N1110" s="2">
        <f t="shared" si="70"/>
        <v>45717</v>
      </c>
      <c r="O1110" t="str">
        <f t="shared" si="71"/>
        <v>pes</v>
      </c>
    </row>
    <row r="1111" spans="1:15" hidden="1" x14ac:dyDescent="0.25">
      <c r="A1111">
        <v>8625</v>
      </c>
      <c r="B1111" s="11">
        <v>4026677889902</v>
      </c>
      <c r="C1111" s="1" t="s">
        <v>52</v>
      </c>
      <c r="D1111" s="1" t="s">
        <v>53</v>
      </c>
      <c r="E1111" s="1" t="s">
        <v>54</v>
      </c>
      <c r="F1111">
        <v>7.6</v>
      </c>
      <c r="G1111">
        <v>1</v>
      </c>
      <c r="H1111" s="1" t="s">
        <v>14</v>
      </c>
      <c r="I1111" s="1" t="s">
        <v>15</v>
      </c>
      <c r="J1111" s="12">
        <v>45742</v>
      </c>
      <c r="K1111">
        <v>0</v>
      </c>
      <c r="L1111" s="1">
        <f t="shared" si="68"/>
        <v>7.6</v>
      </c>
      <c r="M1111" s="1" t="str">
        <f t="shared" si="69"/>
        <v/>
      </c>
      <c r="N1111" s="2">
        <f t="shared" si="70"/>
        <v>45717</v>
      </c>
      <c r="O1111" t="str">
        <f t="shared" si="71"/>
        <v>iné</v>
      </c>
    </row>
    <row r="1112" spans="1:15" x14ac:dyDescent="0.25">
      <c r="A1112">
        <v>8626</v>
      </c>
      <c r="B1112" s="11">
        <v>4028899001126</v>
      </c>
      <c r="C1112" s="1" t="s">
        <v>16</v>
      </c>
      <c r="D1112" s="1" t="s">
        <v>12</v>
      </c>
      <c r="E1112" s="1" t="s">
        <v>17</v>
      </c>
      <c r="F1112">
        <v>2.8</v>
      </c>
      <c r="G1112">
        <v>3</v>
      </c>
      <c r="H1112" s="1" t="s">
        <v>14</v>
      </c>
      <c r="I1112" s="1" t="s">
        <v>15</v>
      </c>
      <c r="J1112" s="12">
        <v>45742</v>
      </c>
      <c r="K1112">
        <v>0</v>
      </c>
      <c r="L1112" s="1">
        <f t="shared" si="68"/>
        <v>8.3999999999999986</v>
      </c>
      <c r="M1112" s="1" t="str">
        <f t="shared" si="69"/>
        <v/>
      </c>
      <c r="N1112" s="2">
        <f t="shared" si="70"/>
        <v>45717</v>
      </c>
      <c r="O1112" t="str">
        <f t="shared" si="71"/>
        <v>pes</v>
      </c>
    </row>
    <row r="1113" spans="1:15" x14ac:dyDescent="0.25">
      <c r="A1113">
        <v>8627</v>
      </c>
      <c r="B1113" s="11">
        <v>4013456789017</v>
      </c>
      <c r="C1113" s="1" t="s">
        <v>11</v>
      </c>
      <c r="D1113" s="1" t="s">
        <v>12</v>
      </c>
      <c r="E1113" s="1" t="s">
        <v>13</v>
      </c>
      <c r="F1113">
        <v>6</v>
      </c>
      <c r="G1113">
        <v>2</v>
      </c>
      <c r="H1113" s="1" t="s">
        <v>14</v>
      </c>
      <c r="I1113" s="1" t="s">
        <v>15</v>
      </c>
      <c r="J1113" s="12">
        <v>45742</v>
      </c>
      <c r="K1113">
        <v>0</v>
      </c>
      <c r="L1113" s="1">
        <f t="shared" si="68"/>
        <v>12</v>
      </c>
      <c r="M1113" s="1" t="str">
        <f t="shared" si="69"/>
        <v/>
      </c>
      <c r="N1113" s="2">
        <f t="shared" si="70"/>
        <v>45717</v>
      </c>
      <c r="O1113" t="str">
        <f t="shared" si="71"/>
        <v>pes</v>
      </c>
    </row>
    <row r="1114" spans="1:15" x14ac:dyDescent="0.25">
      <c r="A1114">
        <v>8628</v>
      </c>
      <c r="B1114" s="11">
        <v>4040123456795</v>
      </c>
      <c r="C1114" s="1" t="s">
        <v>20</v>
      </c>
      <c r="D1114" s="1" t="s">
        <v>21</v>
      </c>
      <c r="E1114" s="1" t="s">
        <v>22</v>
      </c>
      <c r="F1114">
        <v>8.8000000000000007</v>
      </c>
      <c r="G1114">
        <v>1</v>
      </c>
      <c r="H1114" s="1" t="s">
        <v>14</v>
      </c>
      <c r="I1114" s="1" t="s">
        <v>15</v>
      </c>
      <c r="J1114" s="12">
        <v>45742</v>
      </c>
      <c r="K1114">
        <v>0</v>
      </c>
      <c r="L1114" s="1">
        <f t="shared" si="68"/>
        <v>8.8000000000000007</v>
      </c>
      <c r="M1114" s="1" t="str">
        <f t="shared" si="69"/>
        <v/>
      </c>
      <c r="N1114" s="2">
        <f t="shared" si="70"/>
        <v>45717</v>
      </c>
      <c r="O1114" t="str">
        <f t="shared" si="71"/>
        <v>pes</v>
      </c>
    </row>
    <row r="1115" spans="1:15" hidden="1" x14ac:dyDescent="0.25">
      <c r="A1115">
        <v>8629</v>
      </c>
      <c r="B1115" s="11">
        <v>4010123456783</v>
      </c>
      <c r="C1115" s="1" t="s">
        <v>35</v>
      </c>
      <c r="D1115" s="1" t="s">
        <v>36</v>
      </c>
      <c r="E1115" s="1" t="s">
        <v>37</v>
      </c>
      <c r="F1115">
        <v>14</v>
      </c>
      <c r="G1115">
        <v>1</v>
      </c>
      <c r="H1115" s="1" t="s">
        <v>14</v>
      </c>
      <c r="I1115" s="1" t="s">
        <v>15</v>
      </c>
      <c r="J1115" s="12">
        <v>45742</v>
      </c>
      <c r="K1115">
        <v>0</v>
      </c>
      <c r="L1115" s="1">
        <f t="shared" si="68"/>
        <v>14</v>
      </c>
      <c r="M1115" s="1" t="str">
        <f t="shared" si="69"/>
        <v/>
      </c>
      <c r="N1115" s="2">
        <f t="shared" si="70"/>
        <v>45717</v>
      </c>
      <c r="O1115" t="str">
        <f t="shared" si="71"/>
        <v>mačka</v>
      </c>
    </row>
    <row r="1116" spans="1:15" x14ac:dyDescent="0.25">
      <c r="A1116">
        <v>8630</v>
      </c>
      <c r="B1116" s="11">
        <v>4063456789014</v>
      </c>
      <c r="C1116" s="1" t="s">
        <v>60</v>
      </c>
      <c r="D1116" s="1" t="s">
        <v>12</v>
      </c>
      <c r="E1116" s="1" t="s">
        <v>61</v>
      </c>
      <c r="F1116">
        <v>36</v>
      </c>
      <c r="G1116">
        <v>1</v>
      </c>
      <c r="H1116" s="1" t="s">
        <v>14</v>
      </c>
      <c r="I1116" s="1" t="s">
        <v>15</v>
      </c>
      <c r="J1116" s="12">
        <v>45742</v>
      </c>
      <c r="K1116">
        <v>0</v>
      </c>
      <c r="L1116" s="1">
        <f t="shared" si="68"/>
        <v>36</v>
      </c>
      <c r="M1116" s="1" t="str">
        <f t="shared" si="69"/>
        <v/>
      </c>
      <c r="N1116" s="2">
        <f t="shared" si="70"/>
        <v>45717</v>
      </c>
      <c r="O1116" t="str">
        <f t="shared" si="71"/>
        <v>pes</v>
      </c>
    </row>
    <row r="1117" spans="1:15" x14ac:dyDescent="0.25">
      <c r="A1117">
        <v>8631</v>
      </c>
      <c r="B1117" s="11">
        <v>4028899001126</v>
      </c>
      <c r="C1117" s="1" t="s">
        <v>16</v>
      </c>
      <c r="D1117" s="1" t="s">
        <v>12</v>
      </c>
      <c r="E1117" s="1" t="s">
        <v>17</v>
      </c>
      <c r="F1117">
        <v>2.8</v>
      </c>
      <c r="G1117">
        <v>4</v>
      </c>
      <c r="H1117" s="1" t="s">
        <v>23</v>
      </c>
      <c r="I1117" s="1" t="s">
        <v>196</v>
      </c>
      <c r="J1117" s="12">
        <v>45743</v>
      </c>
      <c r="K1117">
        <v>0</v>
      </c>
      <c r="L1117" s="1">
        <f t="shared" si="68"/>
        <v>11.2</v>
      </c>
      <c r="M1117" s="1">
        <f t="shared" si="69"/>
        <v>5</v>
      </c>
      <c r="N1117" s="2">
        <f t="shared" si="70"/>
        <v>45717</v>
      </c>
      <c r="O1117" t="str">
        <f t="shared" si="71"/>
        <v>pes</v>
      </c>
    </row>
    <row r="1118" spans="1:15" x14ac:dyDescent="0.25">
      <c r="A1118">
        <v>8632</v>
      </c>
      <c r="B1118" s="11">
        <v>4013456789017</v>
      </c>
      <c r="C1118" s="1" t="s">
        <v>11</v>
      </c>
      <c r="D1118" s="1" t="s">
        <v>12</v>
      </c>
      <c r="E1118" s="1" t="s">
        <v>13</v>
      </c>
      <c r="F1118">
        <v>6</v>
      </c>
      <c r="G1118">
        <v>2</v>
      </c>
      <c r="H1118" s="1" t="s">
        <v>14</v>
      </c>
      <c r="I1118" s="1" t="s">
        <v>15</v>
      </c>
      <c r="J1118" s="12">
        <v>45743</v>
      </c>
      <c r="K1118">
        <v>0</v>
      </c>
      <c r="L1118" s="1">
        <f t="shared" si="68"/>
        <v>12</v>
      </c>
      <c r="M1118" s="1" t="str">
        <f t="shared" si="69"/>
        <v/>
      </c>
      <c r="N1118" s="2">
        <f t="shared" si="70"/>
        <v>45717</v>
      </c>
      <c r="O1118" t="str">
        <f t="shared" si="71"/>
        <v>pes</v>
      </c>
    </row>
    <row r="1119" spans="1:15" x14ac:dyDescent="0.25">
      <c r="A1119">
        <v>8633</v>
      </c>
      <c r="B1119" s="11">
        <v>4040123456795</v>
      </c>
      <c r="C1119" s="1" t="s">
        <v>20</v>
      </c>
      <c r="D1119" s="1" t="s">
        <v>21</v>
      </c>
      <c r="E1119" s="1" t="s">
        <v>22</v>
      </c>
      <c r="F1119">
        <v>8.8000000000000007</v>
      </c>
      <c r="G1119">
        <v>1</v>
      </c>
      <c r="H1119" s="1" t="s">
        <v>14</v>
      </c>
      <c r="I1119" s="1" t="s">
        <v>15</v>
      </c>
      <c r="J1119" s="12">
        <v>45743</v>
      </c>
      <c r="K1119">
        <v>0</v>
      </c>
      <c r="L1119" s="1">
        <f t="shared" si="68"/>
        <v>8.8000000000000007</v>
      </c>
      <c r="M1119" s="1" t="str">
        <f t="shared" si="69"/>
        <v/>
      </c>
      <c r="N1119" s="2">
        <f t="shared" si="70"/>
        <v>45717</v>
      </c>
      <c r="O1119" t="str">
        <f t="shared" si="71"/>
        <v>pes</v>
      </c>
    </row>
    <row r="1120" spans="1:15" x14ac:dyDescent="0.25">
      <c r="A1120">
        <v>8633</v>
      </c>
      <c r="B1120" s="11">
        <v>4013456789017</v>
      </c>
      <c r="C1120" s="1" t="s">
        <v>11</v>
      </c>
      <c r="D1120" s="1" t="s">
        <v>12</v>
      </c>
      <c r="E1120" s="1" t="s">
        <v>13</v>
      </c>
      <c r="F1120">
        <v>6</v>
      </c>
      <c r="G1120">
        <v>1</v>
      </c>
      <c r="H1120" s="1" t="s">
        <v>18</v>
      </c>
      <c r="I1120" s="1" t="s">
        <v>197</v>
      </c>
      <c r="J1120" s="12">
        <v>45743</v>
      </c>
      <c r="K1120">
        <v>0</v>
      </c>
      <c r="L1120" s="1">
        <f t="shared" si="68"/>
        <v>6</v>
      </c>
      <c r="M1120" s="1">
        <f t="shared" si="69"/>
        <v>4</v>
      </c>
      <c r="N1120" s="2">
        <f t="shared" si="70"/>
        <v>45717</v>
      </c>
      <c r="O1120" t="str">
        <f t="shared" si="71"/>
        <v>pes</v>
      </c>
    </row>
    <row r="1121" spans="1:15" x14ac:dyDescent="0.25">
      <c r="A1121">
        <v>8634</v>
      </c>
      <c r="B1121" s="11">
        <v>4028899001126</v>
      </c>
      <c r="C1121" s="1" t="s">
        <v>16</v>
      </c>
      <c r="D1121" s="1" t="s">
        <v>12</v>
      </c>
      <c r="E1121" s="1" t="s">
        <v>17</v>
      </c>
      <c r="F1121">
        <v>2.8</v>
      </c>
      <c r="G1121">
        <v>4</v>
      </c>
      <c r="H1121" s="1" t="s">
        <v>14</v>
      </c>
      <c r="I1121" s="1" t="s">
        <v>15</v>
      </c>
      <c r="J1121" s="12">
        <v>45743</v>
      </c>
      <c r="K1121">
        <v>0</v>
      </c>
      <c r="L1121" s="1">
        <f t="shared" si="68"/>
        <v>11.2</v>
      </c>
      <c r="M1121" s="1" t="str">
        <f t="shared" si="69"/>
        <v/>
      </c>
      <c r="N1121" s="2">
        <f t="shared" si="70"/>
        <v>45717</v>
      </c>
      <c r="O1121" t="str">
        <f t="shared" si="71"/>
        <v>pes</v>
      </c>
    </row>
    <row r="1122" spans="1:15" hidden="1" x14ac:dyDescent="0.25">
      <c r="A1122">
        <v>8635</v>
      </c>
      <c r="B1122" s="11">
        <v>4010123456783</v>
      </c>
      <c r="C1122" s="1" t="s">
        <v>35</v>
      </c>
      <c r="D1122" s="1" t="s">
        <v>36</v>
      </c>
      <c r="E1122" s="1" t="s">
        <v>37</v>
      </c>
      <c r="F1122">
        <v>14</v>
      </c>
      <c r="G1122">
        <v>2</v>
      </c>
      <c r="H1122" s="1" t="s">
        <v>14</v>
      </c>
      <c r="I1122" s="1" t="s">
        <v>15</v>
      </c>
      <c r="J1122" s="12">
        <v>45743</v>
      </c>
      <c r="K1122">
        <v>0</v>
      </c>
      <c r="L1122" s="1">
        <f t="shared" si="68"/>
        <v>28</v>
      </c>
      <c r="M1122" s="1" t="str">
        <f t="shared" si="69"/>
        <v/>
      </c>
      <c r="N1122" s="2">
        <f t="shared" si="70"/>
        <v>45717</v>
      </c>
      <c r="O1122" t="str">
        <f t="shared" si="71"/>
        <v>mačka</v>
      </c>
    </row>
    <row r="1123" spans="1:15" x14ac:dyDescent="0.25">
      <c r="A1123">
        <v>8636</v>
      </c>
      <c r="B1123" s="11">
        <v>4063456789014</v>
      </c>
      <c r="C1123" s="1" t="s">
        <v>60</v>
      </c>
      <c r="D1123" s="1" t="s">
        <v>12</v>
      </c>
      <c r="E1123" s="1" t="s">
        <v>61</v>
      </c>
      <c r="F1123">
        <v>36</v>
      </c>
      <c r="G1123">
        <v>1</v>
      </c>
      <c r="H1123" s="1" t="s">
        <v>23</v>
      </c>
      <c r="I1123" s="1" t="s">
        <v>198</v>
      </c>
      <c r="J1123" s="12">
        <v>45743</v>
      </c>
      <c r="K1123">
        <v>0</v>
      </c>
      <c r="L1123" s="1">
        <f t="shared" si="68"/>
        <v>36</v>
      </c>
      <c r="M1123" s="1">
        <f t="shared" si="69"/>
        <v>5</v>
      </c>
      <c r="N1123" s="2">
        <f t="shared" si="70"/>
        <v>45717</v>
      </c>
      <c r="O1123" t="str">
        <f t="shared" si="71"/>
        <v>pes</v>
      </c>
    </row>
    <row r="1124" spans="1:15" hidden="1" x14ac:dyDescent="0.25">
      <c r="A1124">
        <v>8637</v>
      </c>
      <c r="B1124" s="11">
        <v>4021234567894</v>
      </c>
      <c r="C1124" s="1" t="s">
        <v>79</v>
      </c>
      <c r="D1124" s="1" t="s">
        <v>36</v>
      </c>
      <c r="E1124" s="1" t="s">
        <v>69</v>
      </c>
      <c r="F1124">
        <v>8</v>
      </c>
      <c r="G1124">
        <v>1</v>
      </c>
      <c r="H1124" s="1" t="s">
        <v>14</v>
      </c>
      <c r="I1124" s="1" t="s">
        <v>15</v>
      </c>
      <c r="J1124" s="12">
        <v>45743</v>
      </c>
      <c r="K1124">
        <v>0</v>
      </c>
      <c r="L1124" s="1">
        <f t="shared" si="68"/>
        <v>8</v>
      </c>
      <c r="M1124" s="1" t="str">
        <f t="shared" si="69"/>
        <v/>
      </c>
      <c r="N1124" s="2">
        <f t="shared" si="70"/>
        <v>45717</v>
      </c>
      <c r="O1124" t="str">
        <f t="shared" si="71"/>
        <v>mačka</v>
      </c>
    </row>
    <row r="1125" spans="1:15" hidden="1" x14ac:dyDescent="0.25">
      <c r="A1125">
        <v>8638</v>
      </c>
      <c r="B1125" s="11">
        <v>4056789012345</v>
      </c>
      <c r="C1125" s="1" t="s">
        <v>47</v>
      </c>
      <c r="D1125" s="1" t="s">
        <v>29</v>
      </c>
      <c r="E1125" s="1" t="s">
        <v>37</v>
      </c>
      <c r="F1125">
        <v>2.4</v>
      </c>
      <c r="G1125">
        <v>2</v>
      </c>
      <c r="H1125" s="1" t="s">
        <v>14</v>
      </c>
      <c r="I1125" s="1" t="s">
        <v>15</v>
      </c>
      <c r="J1125" s="12">
        <v>45743</v>
      </c>
      <c r="K1125">
        <v>0</v>
      </c>
      <c r="L1125" s="1">
        <f t="shared" si="68"/>
        <v>4.8</v>
      </c>
      <c r="M1125" s="1" t="str">
        <f t="shared" si="69"/>
        <v/>
      </c>
      <c r="N1125" s="2">
        <f t="shared" si="70"/>
        <v>45717</v>
      </c>
      <c r="O1125" t="str">
        <f t="shared" si="71"/>
        <v>mačka</v>
      </c>
    </row>
    <row r="1126" spans="1:15" x14ac:dyDescent="0.25">
      <c r="A1126">
        <v>8639</v>
      </c>
      <c r="B1126" s="11">
        <v>4061011223346</v>
      </c>
      <c r="C1126" s="1" t="s">
        <v>25</v>
      </c>
      <c r="D1126" s="1" t="s">
        <v>26</v>
      </c>
      <c r="E1126" s="1" t="s">
        <v>27</v>
      </c>
      <c r="F1126">
        <v>19.600000000000001</v>
      </c>
      <c r="G1126">
        <v>1</v>
      </c>
      <c r="H1126" s="1" t="s">
        <v>14</v>
      </c>
      <c r="I1126" s="1" t="s">
        <v>15</v>
      </c>
      <c r="J1126" s="12">
        <v>45743</v>
      </c>
      <c r="K1126">
        <v>0</v>
      </c>
      <c r="L1126" s="1">
        <f t="shared" si="68"/>
        <v>19.600000000000001</v>
      </c>
      <c r="M1126" s="1" t="str">
        <f t="shared" si="69"/>
        <v/>
      </c>
      <c r="N1126" s="2">
        <f t="shared" si="70"/>
        <v>45717</v>
      </c>
      <c r="O1126" t="str">
        <f t="shared" si="71"/>
        <v>pes</v>
      </c>
    </row>
    <row r="1127" spans="1:15" hidden="1" x14ac:dyDescent="0.25">
      <c r="A1127">
        <v>8640</v>
      </c>
      <c r="B1127" s="11">
        <v>4026677889902</v>
      </c>
      <c r="C1127" s="1" t="s">
        <v>52</v>
      </c>
      <c r="D1127" s="1" t="s">
        <v>53</v>
      </c>
      <c r="E1127" s="1" t="s">
        <v>54</v>
      </c>
      <c r="F1127">
        <v>7.6</v>
      </c>
      <c r="G1127">
        <v>1</v>
      </c>
      <c r="H1127" s="1" t="s">
        <v>14</v>
      </c>
      <c r="I1127" s="1" t="s">
        <v>15</v>
      </c>
      <c r="J1127" s="12">
        <v>45743</v>
      </c>
      <c r="K1127">
        <v>0</v>
      </c>
      <c r="L1127" s="1">
        <f t="shared" si="68"/>
        <v>7.6</v>
      </c>
      <c r="M1127" s="1" t="str">
        <f t="shared" si="69"/>
        <v/>
      </c>
      <c r="N1127" s="2">
        <f t="shared" si="70"/>
        <v>45717</v>
      </c>
      <c r="O1127" t="str">
        <f t="shared" si="71"/>
        <v>iné</v>
      </c>
    </row>
    <row r="1128" spans="1:15" x14ac:dyDescent="0.25">
      <c r="A1128">
        <v>8641</v>
      </c>
      <c r="B1128" s="11">
        <v>4013456789017</v>
      </c>
      <c r="C1128" s="1" t="s">
        <v>11</v>
      </c>
      <c r="D1128" s="1" t="s">
        <v>12</v>
      </c>
      <c r="E1128" s="1" t="s">
        <v>13</v>
      </c>
      <c r="F1128">
        <v>6</v>
      </c>
      <c r="G1128">
        <v>1</v>
      </c>
      <c r="H1128" s="1" t="s">
        <v>14</v>
      </c>
      <c r="I1128" s="1" t="s">
        <v>15</v>
      </c>
      <c r="J1128" s="12">
        <v>45744</v>
      </c>
      <c r="K1128">
        <v>0</v>
      </c>
      <c r="L1128" s="1">
        <f t="shared" si="68"/>
        <v>6</v>
      </c>
      <c r="M1128" s="1" t="str">
        <f t="shared" si="69"/>
        <v/>
      </c>
      <c r="N1128" s="2">
        <f t="shared" si="70"/>
        <v>45717</v>
      </c>
      <c r="O1128" t="str">
        <f t="shared" si="71"/>
        <v>pes</v>
      </c>
    </row>
    <row r="1129" spans="1:15" x14ac:dyDescent="0.25">
      <c r="A1129">
        <v>8641</v>
      </c>
      <c r="B1129" s="11">
        <v>4028899001126</v>
      </c>
      <c r="C1129" s="1" t="s">
        <v>16</v>
      </c>
      <c r="D1129" s="1" t="s">
        <v>12</v>
      </c>
      <c r="E1129" s="1" t="s">
        <v>17</v>
      </c>
      <c r="F1129">
        <v>2.8</v>
      </c>
      <c r="G1129">
        <v>3</v>
      </c>
      <c r="H1129" s="1" t="s">
        <v>14</v>
      </c>
      <c r="I1129" s="1" t="s">
        <v>15</v>
      </c>
      <c r="J1129" s="12">
        <v>45744</v>
      </c>
      <c r="K1129">
        <v>0</v>
      </c>
      <c r="L1129" s="1">
        <f t="shared" si="68"/>
        <v>8.3999999999999986</v>
      </c>
      <c r="M1129" s="1" t="str">
        <f t="shared" si="69"/>
        <v/>
      </c>
      <c r="N1129" s="2">
        <f t="shared" si="70"/>
        <v>45717</v>
      </c>
      <c r="O1129" t="str">
        <f t="shared" si="71"/>
        <v>pes</v>
      </c>
    </row>
    <row r="1130" spans="1:15" x14ac:dyDescent="0.25">
      <c r="A1130">
        <v>8642</v>
      </c>
      <c r="B1130" s="11">
        <v>4040123456795</v>
      </c>
      <c r="C1130" s="1" t="s">
        <v>20</v>
      </c>
      <c r="D1130" s="1" t="s">
        <v>21</v>
      </c>
      <c r="E1130" s="1" t="s">
        <v>22</v>
      </c>
      <c r="F1130">
        <v>8.8000000000000007</v>
      </c>
      <c r="G1130">
        <v>1</v>
      </c>
      <c r="H1130" s="1" t="s">
        <v>14</v>
      </c>
      <c r="I1130" s="1" t="s">
        <v>15</v>
      </c>
      <c r="J1130" s="12">
        <v>45744</v>
      </c>
      <c r="K1130">
        <v>0</v>
      </c>
      <c r="L1130" s="1">
        <f t="shared" si="68"/>
        <v>8.8000000000000007</v>
      </c>
      <c r="M1130" s="1" t="str">
        <f t="shared" si="69"/>
        <v/>
      </c>
      <c r="N1130" s="2">
        <f t="shared" si="70"/>
        <v>45717</v>
      </c>
      <c r="O1130" t="str">
        <f t="shared" si="71"/>
        <v>pes</v>
      </c>
    </row>
    <row r="1131" spans="1:15" hidden="1" x14ac:dyDescent="0.25">
      <c r="A1131">
        <v>8643</v>
      </c>
      <c r="B1131" s="11">
        <v>4010123456783</v>
      </c>
      <c r="C1131" s="1" t="s">
        <v>35</v>
      </c>
      <c r="D1131" s="1" t="s">
        <v>36</v>
      </c>
      <c r="E1131" s="1" t="s">
        <v>37</v>
      </c>
      <c r="F1131">
        <v>14</v>
      </c>
      <c r="G1131">
        <v>1</v>
      </c>
      <c r="H1131" s="1" t="s">
        <v>33</v>
      </c>
      <c r="I1131" s="1" t="s">
        <v>113</v>
      </c>
      <c r="J1131" s="12">
        <v>45744</v>
      </c>
      <c r="K1131">
        <v>0</v>
      </c>
      <c r="L1131" s="1">
        <f t="shared" si="68"/>
        <v>14</v>
      </c>
      <c r="M1131" s="1">
        <f t="shared" si="69"/>
        <v>3</v>
      </c>
      <c r="N1131" s="2">
        <f t="shared" si="70"/>
        <v>45717</v>
      </c>
      <c r="O1131" t="str">
        <f t="shared" si="71"/>
        <v>mačka</v>
      </c>
    </row>
    <row r="1132" spans="1:15" x14ac:dyDescent="0.25">
      <c r="A1132">
        <v>8644</v>
      </c>
      <c r="B1132" s="11">
        <v>4063456789014</v>
      </c>
      <c r="C1132" s="1" t="s">
        <v>60</v>
      </c>
      <c r="D1132" s="1" t="s">
        <v>12</v>
      </c>
      <c r="E1132" s="1" t="s">
        <v>61</v>
      </c>
      <c r="F1132">
        <v>36</v>
      </c>
      <c r="G1132">
        <v>1</v>
      </c>
      <c r="H1132" s="1" t="s">
        <v>14</v>
      </c>
      <c r="I1132" s="1" t="s">
        <v>15</v>
      </c>
      <c r="J1132" s="12">
        <v>45744</v>
      </c>
      <c r="K1132">
        <v>0</v>
      </c>
      <c r="L1132" s="1">
        <f t="shared" si="68"/>
        <v>36</v>
      </c>
      <c r="M1132" s="1" t="str">
        <f t="shared" si="69"/>
        <v/>
      </c>
      <c r="N1132" s="2">
        <f t="shared" si="70"/>
        <v>45717</v>
      </c>
      <c r="O1132" t="str">
        <f t="shared" si="71"/>
        <v>pes</v>
      </c>
    </row>
    <row r="1133" spans="1:15" hidden="1" x14ac:dyDescent="0.25">
      <c r="A1133">
        <v>8645</v>
      </c>
      <c r="B1133" s="11">
        <v>4021234567894</v>
      </c>
      <c r="C1133" s="1" t="s">
        <v>79</v>
      </c>
      <c r="D1133" s="1" t="s">
        <v>36</v>
      </c>
      <c r="E1133" s="1" t="s">
        <v>69</v>
      </c>
      <c r="F1133">
        <v>8</v>
      </c>
      <c r="G1133">
        <v>1</v>
      </c>
      <c r="H1133" s="1" t="s">
        <v>14</v>
      </c>
      <c r="I1133" s="1" t="s">
        <v>15</v>
      </c>
      <c r="J1133" s="12">
        <v>45744</v>
      </c>
      <c r="K1133">
        <v>0</v>
      </c>
      <c r="L1133" s="1">
        <f t="shared" si="68"/>
        <v>8</v>
      </c>
      <c r="M1133" s="1" t="str">
        <f t="shared" si="69"/>
        <v/>
      </c>
      <c r="N1133" s="2">
        <f t="shared" si="70"/>
        <v>45717</v>
      </c>
      <c r="O1133" t="str">
        <f t="shared" si="71"/>
        <v>mačka</v>
      </c>
    </row>
    <row r="1134" spans="1:15" hidden="1" x14ac:dyDescent="0.25">
      <c r="A1134">
        <v>8646</v>
      </c>
      <c r="B1134" s="11">
        <v>4056789012345</v>
      </c>
      <c r="C1134" s="1" t="s">
        <v>47</v>
      </c>
      <c r="D1134" s="1" t="s">
        <v>29</v>
      </c>
      <c r="E1134" s="1" t="s">
        <v>37</v>
      </c>
      <c r="F1134">
        <v>2.4</v>
      </c>
      <c r="G1134">
        <v>3</v>
      </c>
      <c r="H1134" s="1" t="s">
        <v>14</v>
      </c>
      <c r="I1134" s="1" t="s">
        <v>15</v>
      </c>
      <c r="J1134" s="12">
        <v>45744</v>
      </c>
      <c r="K1134">
        <v>0</v>
      </c>
      <c r="L1134" s="1">
        <f t="shared" si="68"/>
        <v>7.1999999999999993</v>
      </c>
      <c r="M1134" s="1" t="str">
        <f t="shared" si="69"/>
        <v/>
      </c>
      <c r="N1134" s="2">
        <f t="shared" si="70"/>
        <v>45717</v>
      </c>
      <c r="O1134" t="str">
        <f t="shared" si="71"/>
        <v>mačka</v>
      </c>
    </row>
    <row r="1135" spans="1:15" x14ac:dyDescent="0.25">
      <c r="A1135">
        <v>8647</v>
      </c>
      <c r="B1135" s="11">
        <v>4061011223346</v>
      </c>
      <c r="C1135" s="1" t="s">
        <v>25</v>
      </c>
      <c r="D1135" s="1" t="s">
        <v>26</v>
      </c>
      <c r="E1135" s="1" t="s">
        <v>27</v>
      </c>
      <c r="F1135">
        <v>19.600000000000001</v>
      </c>
      <c r="G1135">
        <v>1</v>
      </c>
      <c r="H1135" s="1" t="s">
        <v>18</v>
      </c>
      <c r="I1135" s="1" t="s">
        <v>199</v>
      </c>
      <c r="J1135" s="12">
        <v>45744</v>
      </c>
      <c r="K1135">
        <v>0</v>
      </c>
      <c r="L1135" s="1">
        <f t="shared" si="68"/>
        <v>19.600000000000001</v>
      </c>
      <c r="M1135" s="1">
        <f t="shared" si="69"/>
        <v>4</v>
      </c>
      <c r="N1135" s="2">
        <f t="shared" si="70"/>
        <v>45717</v>
      </c>
      <c r="O1135" t="str">
        <f t="shared" si="71"/>
        <v>pes</v>
      </c>
    </row>
    <row r="1136" spans="1:15" hidden="1" x14ac:dyDescent="0.25">
      <c r="A1136">
        <v>8648</v>
      </c>
      <c r="B1136" s="11">
        <v>4026677889902</v>
      </c>
      <c r="C1136" s="1" t="s">
        <v>52</v>
      </c>
      <c r="D1136" s="1" t="s">
        <v>53</v>
      </c>
      <c r="E1136" s="1" t="s">
        <v>54</v>
      </c>
      <c r="F1136">
        <v>7.6</v>
      </c>
      <c r="G1136">
        <v>1</v>
      </c>
      <c r="H1136" s="1" t="s">
        <v>14</v>
      </c>
      <c r="I1136" s="1" t="s">
        <v>15</v>
      </c>
      <c r="J1136" s="12">
        <v>45744</v>
      </c>
      <c r="K1136">
        <v>0</v>
      </c>
      <c r="L1136" s="1">
        <f t="shared" si="68"/>
        <v>7.6</v>
      </c>
      <c r="M1136" s="1" t="str">
        <f t="shared" si="69"/>
        <v/>
      </c>
      <c r="N1136" s="2">
        <f t="shared" si="70"/>
        <v>45717</v>
      </c>
      <c r="O1136" t="str">
        <f t="shared" si="71"/>
        <v>iné</v>
      </c>
    </row>
    <row r="1137" spans="1:15" hidden="1" x14ac:dyDescent="0.25">
      <c r="A1137">
        <v>8649</v>
      </c>
      <c r="B1137" s="11">
        <v>8593456789012</v>
      </c>
      <c r="C1137" s="1" t="s">
        <v>28</v>
      </c>
      <c r="D1137" s="1" t="s">
        <v>29</v>
      </c>
      <c r="E1137" s="1" t="s">
        <v>30</v>
      </c>
      <c r="F1137">
        <v>42</v>
      </c>
      <c r="G1137">
        <v>1</v>
      </c>
      <c r="H1137" s="1" t="s">
        <v>14</v>
      </c>
      <c r="I1137" s="1" t="s">
        <v>15</v>
      </c>
      <c r="J1137" s="12">
        <v>45744</v>
      </c>
      <c r="K1137">
        <v>0</v>
      </c>
      <c r="L1137" s="1">
        <f t="shared" si="68"/>
        <v>42</v>
      </c>
      <c r="M1137" s="1" t="str">
        <f t="shared" si="69"/>
        <v/>
      </c>
      <c r="N1137" s="2">
        <f t="shared" si="70"/>
        <v>45717</v>
      </c>
      <c r="O1137" t="str">
        <f t="shared" si="71"/>
        <v>mačka</v>
      </c>
    </row>
    <row r="1138" spans="1:15" hidden="1" x14ac:dyDescent="0.25">
      <c r="A1138">
        <v>8650</v>
      </c>
      <c r="B1138" s="11">
        <v>4001234567893</v>
      </c>
      <c r="C1138" s="1" t="s">
        <v>31</v>
      </c>
      <c r="D1138" s="1" t="s">
        <v>29</v>
      </c>
      <c r="E1138" s="1" t="s">
        <v>32</v>
      </c>
      <c r="F1138">
        <v>9.1999999999999993</v>
      </c>
      <c r="G1138">
        <v>2</v>
      </c>
      <c r="H1138" s="1" t="s">
        <v>14</v>
      </c>
      <c r="I1138" s="1" t="s">
        <v>15</v>
      </c>
      <c r="J1138" s="12">
        <v>45744</v>
      </c>
      <c r="K1138">
        <v>0</v>
      </c>
      <c r="L1138" s="1">
        <f t="shared" si="68"/>
        <v>18.399999999999999</v>
      </c>
      <c r="M1138" s="1" t="str">
        <f t="shared" si="69"/>
        <v/>
      </c>
      <c r="N1138" s="2">
        <f t="shared" si="70"/>
        <v>45717</v>
      </c>
      <c r="O1138" t="str">
        <f t="shared" si="71"/>
        <v>mačka</v>
      </c>
    </row>
    <row r="1139" spans="1:15" x14ac:dyDescent="0.25">
      <c r="A1139">
        <v>8651</v>
      </c>
      <c r="B1139" s="11">
        <v>4028899001126</v>
      </c>
      <c r="C1139" s="1" t="s">
        <v>16</v>
      </c>
      <c r="D1139" s="1" t="s">
        <v>12</v>
      </c>
      <c r="E1139" s="1" t="s">
        <v>17</v>
      </c>
      <c r="F1139">
        <v>2.8</v>
      </c>
      <c r="G1139">
        <v>4</v>
      </c>
      <c r="H1139" s="1" t="s">
        <v>23</v>
      </c>
      <c r="I1139" s="1" t="s">
        <v>200</v>
      </c>
      <c r="J1139" s="12">
        <v>45745</v>
      </c>
      <c r="K1139">
        <v>0</v>
      </c>
      <c r="L1139" s="1">
        <f t="shared" si="68"/>
        <v>11.2</v>
      </c>
      <c r="M1139" s="1">
        <f t="shared" si="69"/>
        <v>5</v>
      </c>
      <c r="N1139" s="2">
        <f t="shared" si="70"/>
        <v>45717</v>
      </c>
      <c r="O1139" t="str">
        <f t="shared" si="71"/>
        <v>pes</v>
      </c>
    </row>
    <row r="1140" spans="1:15" x14ac:dyDescent="0.25">
      <c r="A1140">
        <v>8652</v>
      </c>
      <c r="B1140" s="11">
        <v>4013456789017</v>
      </c>
      <c r="C1140" s="1" t="s">
        <v>11</v>
      </c>
      <c r="D1140" s="1" t="s">
        <v>12</v>
      </c>
      <c r="E1140" s="1" t="s">
        <v>13</v>
      </c>
      <c r="F1140">
        <v>6</v>
      </c>
      <c r="G1140">
        <v>1</v>
      </c>
      <c r="H1140" s="1" t="s">
        <v>14</v>
      </c>
      <c r="I1140" s="1" t="s">
        <v>15</v>
      </c>
      <c r="J1140" s="12">
        <v>45745</v>
      </c>
      <c r="K1140">
        <v>0</v>
      </c>
      <c r="L1140" s="1">
        <f t="shared" si="68"/>
        <v>6</v>
      </c>
      <c r="M1140" s="1" t="str">
        <f t="shared" si="69"/>
        <v/>
      </c>
      <c r="N1140" s="2">
        <f t="shared" si="70"/>
        <v>45717</v>
      </c>
      <c r="O1140" t="str">
        <f t="shared" si="71"/>
        <v>pes</v>
      </c>
    </row>
    <row r="1141" spans="1:15" x14ac:dyDescent="0.25">
      <c r="A1141">
        <v>8652</v>
      </c>
      <c r="B1141" s="11">
        <v>4040123456795</v>
      </c>
      <c r="C1141" s="1" t="s">
        <v>20</v>
      </c>
      <c r="D1141" s="1" t="s">
        <v>21</v>
      </c>
      <c r="E1141" s="1" t="s">
        <v>22</v>
      </c>
      <c r="F1141">
        <v>8.8000000000000007</v>
      </c>
      <c r="G1141">
        <v>1</v>
      </c>
      <c r="H1141" s="1" t="s">
        <v>14</v>
      </c>
      <c r="I1141" s="1" t="s">
        <v>15</v>
      </c>
      <c r="J1141" s="12">
        <v>45745</v>
      </c>
      <c r="K1141">
        <v>0</v>
      </c>
      <c r="L1141" s="1">
        <f t="shared" si="68"/>
        <v>8.8000000000000007</v>
      </c>
      <c r="M1141" s="1" t="str">
        <f t="shared" si="69"/>
        <v/>
      </c>
      <c r="N1141" s="2">
        <f t="shared" si="70"/>
        <v>45717</v>
      </c>
      <c r="O1141" t="str">
        <f t="shared" si="71"/>
        <v>pes</v>
      </c>
    </row>
    <row r="1142" spans="1:15" hidden="1" x14ac:dyDescent="0.25">
      <c r="A1142">
        <v>8653</v>
      </c>
      <c r="B1142" s="11">
        <v>4010123456783</v>
      </c>
      <c r="C1142" s="1" t="s">
        <v>35</v>
      </c>
      <c r="D1142" s="1" t="s">
        <v>36</v>
      </c>
      <c r="E1142" s="1" t="s">
        <v>37</v>
      </c>
      <c r="F1142">
        <v>14</v>
      </c>
      <c r="G1142">
        <v>2</v>
      </c>
      <c r="H1142" s="1" t="s">
        <v>14</v>
      </c>
      <c r="I1142" s="1" t="s">
        <v>15</v>
      </c>
      <c r="J1142" s="12">
        <v>45745</v>
      </c>
      <c r="K1142">
        <v>0</v>
      </c>
      <c r="L1142" s="1">
        <f t="shared" si="68"/>
        <v>28</v>
      </c>
      <c r="M1142" s="1" t="str">
        <f t="shared" si="69"/>
        <v/>
      </c>
      <c r="N1142" s="2">
        <f t="shared" si="70"/>
        <v>45717</v>
      </c>
      <c r="O1142" t="str">
        <f t="shared" si="71"/>
        <v>mačka</v>
      </c>
    </row>
    <row r="1143" spans="1:15" x14ac:dyDescent="0.25">
      <c r="A1143">
        <v>8654</v>
      </c>
      <c r="B1143" s="11">
        <v>4063456789014</v>
      </c>
      <c r="C1143" s="1" t="s">
        <v>60</v>
      </c>
      <c r="D1143" s="1" t="s">
        <v>12</v>
      </c>
      <c r="E1143" s="1" t="s">
        <v>61</v>
      </c>
      <c r="F1143">
        <v>36</v>
      </c>
      <c r="G1143">
        <v>1</v>
      </c>
      <c r="H1143" s="1" t="s">
        <v>18</v>
      </c>
      <c r="I1143" s="1" t="s">
        <v>201</v>
      </c>
      <c r="J1143" s="12">
        <v>45745</v>
      </c>
      <c r="K1143">
        <v>0</v>
      </c>
      <c r="L1143" s="1">
        <f t="shared" si="68"/>
        <v>36</v>
      </c>
      <c r="M1143" s="1">
        <f t="shared" si="69"/>
        <v>4</v>
      </c>
      <c r="N1143" s="2">
        <f t="shared" si="70"/>
        <v>45717</v>
      </c>
      <c r="O1143" t="str">
        <f t="shared" si="71"/>
        <v>pes</v>
      </c>
    </row>
    <row r="1144" spans="1:15" hidden="1" x14ac:dyDescent="0.25">
      <c r="A1144">
        <v>8655</v>
      </c>
      <c r="B1144" s="11">
        <v>4021234567894</v>
      </c>
      <c r="C1144" s="1" t="s">
        <v>79</v>
      </c>
      <c r="D1144" s="1" t="s">
        <v>36</v>
      </c>
      <c r="E1144" s="1" t="s">
        <v>69</v>
      </c>
      <c r="F1144">
        <v>8</v>
      </c>
      <c r="G1144">
        <v>1</v>
      </c>
      <c r="H1144" s="1" t="s">
        <v>14</v>
      </c>
      <c r="I1144" s="1" t="s">
        <v>15</v>
      </c>
      <c r="J1144" s="12">
        <v>45745</v>
      </c>
      <c r="K1144">
        <v>0</v>
      </c>
      <c r="L1144" s="1">
        <f t="shared" si="68"/>
        <v>8</v>
      </c>
      <c r="M1144" s="1" t="str">
        <f t="shared" si="69"/>
        <v/>
      </c>
      <c r="N1144" s="2">
        <f t="shared" si="70"/>
        <v>45717</v>
      </c>
      <c r="O1144" t="str">
        <f t="shared" si="71"/>
        <v>mačka</v>
      </c>
    </row>
    <row r="1145" spans="1:15" hidden="1" x14ac:dyDescent="0.25">
      <c r="A1145">
        <v>8656</v>
      </c>
      <c r="B1145" s="11">
        <v>4056789012345</v>
      </c>
      <c r="C1145" s="1" t="s">
        <v>47</v>
      </c>
      <c r="D1145" s="1" t="s">
        <v>29</v>
      </c>
      <c r="E1145" s="1" t="s">
        <v>37</v>
      </c>
      <c r="F1145">
        <v>2.4</v>
      </c>
      <c r="G1145">
        <v>2</v>
      </c>
      <c r="H1145" s="1" t="s">
        <v>14</v>
      </c>
      <c r="I1145" s="1" t="s">
        <v>15</v>
      </c>
      <c r="J1145" s="12">
        <v>45745</v>
      </c>
      <c r="K1145">
        <v>0</v>
      </c>
      <c r="L1145" s="1">
        <f t="shared" si="68"/>
        <v>4.8</v>
      </c>
      <c r="M1145" s="1" t="str">
        <f t="shared" si="69"/>
        <v/>
      </c>
      <c r="N1145" s="2">
        <f t="shared" si="70"/>
        <v>45717</v>
      </c>
      <c r="O1145" t="str">
        <f t="shared" si="71"/>
        <v>mačka</v>
      </c>
    </row>
    <row r="1146" spans="1:15" x14ac:dyDescent="0.25">
      <c r="A1146">
        <v>8657</v>
      </c>
      <c r="B1146" s="11">
        <v>4061011223346</v>
      </c>
      <c r="C1146" s="1" t="s">
        <v>25</v>
      </c>
      <c r="D1146" s="1" t="s">
        <v>26</v>
      </c>
      <c r="E1146" s="1" t="s">
        <v>27</v>
      </c>
      <c r="F1146">
        <v>19.600000000000001</v>
      </c>
      <c r="G1146">
        <v>1</v>
      </c>
      <c r="H1146" s="1" t="s">
        <v>14</v>
      </c>
      <c r="I1146" s="1" t="s">
        <v>15</v>
      </c>
      <c r="J1146" s="12">
        <v>45745</v>
      </c>
      <c r="K1146">
        <v>0</v>
      </c>
      <c r="L1146" s="1">
        <f t="shared" si="68"/>
        <v>19.600000000000001</v>
      </c>
      <c r="M1146" s="1" t="str">
        <f t="shared" si="69"/>
        <v/>
      </c>
      <c r="N1146" s="2">
        <f t="shared" si="70"/>
        <v>45717</v>
      </c>
      <c r="O1146" t="str">
        <f t="shared" si="71"/>
        <v>pes</v>
      </c>
    </row>
    <row r="1147" spans="1:15" hidden="1" x14ac:dyDescent="0.25">
      <c r="A1147">
        <v>8658</v>
      </c>
      <c r="B1147" s="11">
        <v>4026677889902</v>
      </c>
      <c r="C1147" s="1" t="s">
        <v>52</v>
      </c>
      <c r="D1147" s="1" t="s">
        <v>53</v>
      </c>
      <c r="E1147" s="1" t="s">
        <v>54</v>
      </c>
      <c r="F1147">
        <v>7.6</v>
      </c>
      <c r="G1147">
        <v>1</v>
      </c>
      <c r="H1147" s="1" t="s">
        <v>14</v>
      </c>
      <c r="I1147" s="1" t="s">
        <v>15</v>
      </c>
      <c r="J1147" s="12">
        <v>45745</v>
      </c>
      <c r="K1147">
        <v>0</v>
      </c>
      <c r="L1147" s="1">
        <f t="shared" si="68"/>
        <v>7.6</v>
      </c>
      <c r="M1147" s="1" t="str">
        <f t="shared" si="69"/>
        <v/>
      </c>
      <c r="N1147" s="2">
        <f t="shared" si="70"/>
        <v>45717</v>
      </c>
      <c r="O1147" t="str">
        <f t="shared" si="71"/>
        <v>iné</v>
      </c>
    </row>
    <row r="1148" spans="1:15" x14ac:dyDescent="0.25">
      <c r="A1148">
        <v>8659</v>
      </c>
      <c r="B1148" s="11">
        <v>4028899001126</v>
      </c>
      <c r="C1148" s="1" t="s">
        <v>16</v>
      </c>
      <c r="D1148" s="1" t="s">
        <v>12</v>
      </c>
      <c r="E1148" s="1" t="s">
        <v>17</v>
      </c>
      <c r="F1148">
        <v>2.8</v>
      </c>
      <c r="G1148">
        <v>5</v>
      </c>
      <c r="H1148" s="1" t="s">
        <v>14</v>
      </c>
      <c r="I1148" s="1" t="s">
        <v>15</v>
      </c>
      <c r="J1148" s="12">
        <v>45745</v>
      </c>
      <c r="K1148">
        <v>0</v>
      </c>
      <c r="L1148" s="1">
        <f t="shared" si="68"/>
        <v>14</v>
      </c>
      <c r="M1148" s="1" t="str">
        <f t="shared" si="69"/>
        <v/>
      </c>
      <c r="N1148" s="2">
        <f t="shared" si="70"/>
        <v>45717</v>
      </c>
      <c r="O1148" t="str">
        <f t="shared" si="71"/>
        <v>pes</v>
      </c>
    </row>
    <row r="1149" spans="1:15" x14ac:dyDescent="0.25">
      <c r="A1149">
        <v>8660</v>
      </c>
      <c r="B1149" s="11">
        <v>4013456789017</v>
      </c>
      <c r="C1149" s="1" t="s">
        <v>11</v>
      </c>
      <c r="D1149" s="1" t="s">
        <v>12</v>
      </c>
      <c r="E1149" s="1" t="s">
        <v>13</v>
      </c>
      <c r="F1149">
        <v>6</v>
      </c>
      <c r="G1149">
        <v>2</v>
      </c>
      <c r="H1149" s="1" t="s">
        <v>14</v>
      </c>
      <c r="I1149" s="1" t="s">
        <v>15</v>
      </c>
      <c r="J1149" s="12">
        <v>45745</v>
      </c>
      <c r="K1149">
        <v>0</v>
      </c>
      <c r="L1149" s="1">
        <f t="shared" si="68"/>
        <v>12</v>
      </c>
      <c r="M1149" s="1" t="str">
        <f t="shared" si="69"/>
        <v/>
      </c>
      <c r="N1149" s="2">
        <f t="shared" si="70"/>
        <v>45717</v>
      </c>
      <c r="O1149" t="str">
        <f t="shared" si="71"/>
        <v>pes</v>
      </c>
    </row>
    <row r="1150" spans="1:15" x14ac:dyDescent="0.25">
      <c r="A1150">
        <v>8661</v>
      </c>
      <c r="B1150" s="11">
        <v>4040123456795</v>
      </c>
      <c r="C1150" s="1" t="s">
        <v>20</v>
      </c>
      <c r="D1150" s="1" t="s">
        <v>21</v>
      </c>
      <c r="E1150" s="1" t="s">
        <v>22</v>
      </c>
      <c r="F1150">
        <v>8.8000000000000007</v>
      </c>
      <c r="G1150">
        <v>1</v>
      </c>
      <c r="H1150" s="1" t="s">
        <v>18</v>
      </c>
      <c r="I1150" s="1" t="s">
        <v>14</v>
      </c>
      <c r="J1150" s="12">
        <v>45745</v>
      </c>
      <c r="K1150">
        <v>0</v>
      </c>
      <c r="L1150" s="1">
        <f t="shared" si="68"/>
        <v>8.8000000000000007</v>
      </c>
      <c r="M1150" s="1">
        <f t="shared" si="69"/>
        <v>4</v>
      </c>
      <c r="N1150" s="2">
        <f t="shared" si="70"/>
        <v>45717</v>
      </c>
      <c r="O1150" t="str">
        <f t="shared" si="71"/>
        <v>pes</v>
      </c>
    </row>
    <row r="1151" spans="1:15" hidden="1" x14ac:dyDescent="0.25">
      <c r="A1151">
        <v>8662</v>
      </c>
      <c r="B1151" s="11">
        <v>4010123456783</v>
      </c>
      <c r="C1151" s="1" t="s">
        <v>35</v>
      </c>
      <c r="D1151" s="1" t="s">
        <v>36</v>
      </c>
      <c r="E1151" s="1" t="s">
        <v>37</v>
      </c>
      <c r="F1151">
        <v>14</v>
      </c>
      <c r="G1151">
        <v>1</v>
      </c>
      <c r="H1151" s="1" t="s">
        <v>14</v>
      </c>
      <c r="I1151" s="1" t="s">
        <v>15</v>
      </c>
      <c r="J1151" s="12">
        <v>45745</v>
      </c>
      <c r="K1151">
        <v>0</v>
      </c>
      <c r="L1151" s="1">
        <f t="shared" si="68"/>
        <v>14</v>
      </c>
      <c r="M1151" s="1" t="str">
        <f t="shared" si="69"/>
        <v/>
      </c>
      <c r="N1151" s="2">
        <f t="shared" si="70"/>
        <v>45717</v>
      </c>
      <c r="O1151" t="str">
        <f t="shared" si="71"/>
        <v>mačka</v>
      </c>
    </row>
    <row r="1152" spans="1:15" x14ac:dyDescent="0.25">
      <c r="A1152">
        <v>8663</v>
      </c>
      <c r="B1152" s="11">
        <v>4063456789014</v>
      </c>
      <c r="C1152" s="1" t="s">
        <v>60</v>
      </c>
      <c r="D1152" s="1" t="s">
        <v>12</v>
      </c>
      <c r="E1152" s="1" t="s">
        <v>61</v>
      </c>
      <c r="F1152">
        <v>36</v>
      </c>
      <c r="G1152">
        <v>1</v>
      </c>
      <c r="H1152" s="1" t="s">
        <v>14</v>
      </c>
      <c r="I1152" s="1" t="s">
        <v>15</v>
      </c>
      <c r="J1152" s="12">
        <v>45745</v>
      </c>
      <c r="K1152">
        <v>0</v>
      </c>
      <c r="L1152" s="1">
        <f t="shared" si="68"/>
        <v>36</v>
      </c>
      <c r="M1152" s="1" t="str">
        <f t="shared" si="69"/>
        <v/>
      </c>
      <c r="N1152" s="2">
        <f t="shared" si="70"/>
        <v>45717</v>
      </c>
      <c r="O1152" t="str">
        <f t="shared" si="71"/>
        <v>pes</v>
      </c>
    </row>
    <row r="1153" spans="1:15" x14ac:dyDescent="0.25">
      <c r="A1153">
        <v>8664</v>
      </c>
      <c r="B1153" s="11">
        <v>4028899001126</v>
      </c>
      <c r="C1153" s="1" t="s">
        <v>16</v>
      </c>
      <c r="D1153" s="1" t="s">
        <v>12</v>
      </c>
      <c r="E1153" s="1" t="s">
        <v>17</v>
      </c>
      <c r="F1153">
        <v>2.8</v>
      </c>
      <c r="G1153">
        <v>4</v>
      </c>
      <c r="H1153" s="1" t="s">
        <v>14</v>
      </c>
      <c r="I1153" s="1" t="s">
        <v>15</v>
      </c>
      <c r="J1153" s="12">
        <v>45746</v>
      </c>
      <c r="K1153">
        <v>0</v>
      </c>
      <c r="L1153" s="1">
        <f t="shared" si="68"/>
        <v>11.2</v>
      </c>
      <c r="M1153" s="1" t="str">
        <f t="shared" si="69"/>
        <v/>
      </c>
      <c r="N1153" s="2">
        <f t="shared" si="70"/>
        <v>45717</v>
      </c>
      <c r="O1153" t="str">
        <f t="shared" si="71"/>
        <v>pes</v>
      </c>
    </row>
    <row r="1154" spans="1:15" x14ac:dyDescent="0.25">
      <c r="A1154">
        <v>8664</v>
      </c>
      <c r="B1154" s="11">
        <v>4013456789017</v>
      </c>
      <c r="C1154" s="1" t="s">
        <v>11</v>
      </c>
      <c r="D1154" s="1" t="s">
        <v>12</v>
      </c>
      <c r="E1154" s="1" t="s">
        <v>13</v>
      </c>
      <c r="F1154">
        <v>6</v>
      </c>
      <c r="G1154">
        <v>1</v>
      </c>
      <c r="H1154" s="1" t="s">
        <v>14</v>
      </c>
      <c r="I1154" s="1" t="s">
        <v>15</v>
      </c>
      <c r="J1154" s="12">
        <v>45746</v>
      </c>
      <c r="K1154">
        <v>0</v>
      </c>
      <c r="L1154" s="1">
        <f t="shared" ref="L1154:L1217" si="72">F1154*G1154</f>
        <v>6</v>
      </c>
      <c r="M1154" s="1" t="str">
        <f t="shared" ref="M1154:M1217" si="73">IF(H1154="NULL", "",VALUE(H1154))</f>
        <v/>
      </c>
      <c r="N1154" s="2">
        <f t="shared" ref="N1154:N1217" si="74">DATE(YEAR(J1154),MONTH(J1154),1)</f>
        <v>45717</v>
      </c>
      <c r="O1154" t="str">
        <f t="shared" ref="O1154:O1217" si="75">IF(ISNUMBER(SEARCH("Mačky",D1154)),"mačka",IF(ISNUMBER(SEARCH("Psy",D1154)),"pes","iné"))</f>
        <v>pes</v>
      </c>
    </row>
    <row r="1155" spans="1:15" x14ac:dyDescent="0.25">
      <c r="A1155">
        <v>8665</v>
      </c>
      <c r="B1155" s="11">
        <v>4040123456795</v>
      </c>
      <c r="C1155" s="1" t="s">
        <v>20</v>
      </c>
      <c r="D1155" s="1" t="s">
        <v>21</v>
      </c>
      <c r="E1155" s="1" t="s">
        <v>22</v>
      </c>
      <c r="F1155">
        <v>8.8000000000000007</v>
      </c>
      <c r="G1155">
        <v>1</v>
      </c>
      <c r="H1155" s="1" t="s">
        <v>14</v>
      </c>
      <c r="I1155" s="1" t="s">
        <v>15</v>
      </c>
      <c r="J1155" s="12">
        <v>45746</v>
      </c>
      <c r="K1155">
        <v>0</v>
      </c>
      <c r="L1155" s="1">
        <f t="shared" si="72"/>
        <v>8.8000000000000007</v>
      </c>
      <c r="M1155" s="1" t="str">
        <f t="shared" si="73"/>
        <v/>
      </c>
      <c r="N1155" s="2">
        <f t="shared" si="74"/>
        <v>45717</v>
      </c>
      <c r="O1155" t="str">
        <f t="shared" si="75"/>
        <v>pes</v>
      </c>
    </row>
    <row r="1156" spans="1:15" hidden="1" x14ac:dyDescent="0.25">
      <c r="A1156">
        <v>8666</v>
      </c>
      <c r="B1156" s="11">
        <v>4010123456783</v>
      </c>
      <c r="C1156" s="1" t="s">
        <v>35</v>
      </c>
      <c r="D1156" s="1" t="s">
        <v>36</v>
      </c>
      <c r="E1156" s="1" t="s">
        <v>37</v>
      </c>
      <c r="F1156">
        <v>14</v>
      </c>
      <c r="G1156">
        <v>2</v>
      </c>
      <c r="H1156" s="1" t="s">
        <v>48</v>
      </c>
      <c r="I1156" s="1" t="s">
        <v>202</v>
      </c>
      <c r="J1156" s="12">
        <v>45746</v>
      </c>
      <c r="K1156">
        <v>1</v>
      </c>
      <c r="L1156" s="1">
        <f t="shared" si="72"/>
        <v>28</v>
      </c>
      <c r="M1156" s="1">
        <f t="shared" si="73"/>
        <v>2</v>
      </c>
      <c r="N1156" s="2">
        <f t="shared" si="74"/>
        <v>45717</v>
      </c>
      <c r="O1156" t="str">
        <f t="shared" si="75"/>
        <v>mačka</v>
      </c>
    </row>
    <row r="1157" spans="1:15" hidden="1" x14ac:dyDescent="0.25">
      <c r="A1157">
        <v>8667</v>
      </c>
      <c r="B1157" s="11">
        <v>4056789012345</v>
      </c>
      <c r="C1157" s="1" t="s">
        <v>47</v>
      </c>
      <c r="D1157" s="1" t="s">
        <v>29</v>
      </c>
      <c r="E1157" s="1" t="s">
        <v>37</v>
      </c>
      <c r="F1157">
        <v>2.4</v>
      </c>
      <c r="G1157">
        <v>2</v>
      </c>
      <c r="H1157" s="1" t="s">
        <v>14</v>
      </c>
      <c r="I1157" s="1" t="s">
        <v>15</v>
      </c>
      <c r="J1157" s="12">
        <v>45746</v>
      </c>
      <c r="K1157">
        <v>0</v>
      </c>
      <c r="L1157" s="1">
        <f t="shared" si="72"/>
        <v>4.8</v>
      </c>
      <c r="M1157" s="1" t="str">
        <f t="shared" si="73"/>
        <v/>
      </c>
      <c r="N1157" s="2">
        <f t="shared" si="74"/>
        <v>45717</v>
      </c>
      <c r="O1157" t="str">
        <f t="shared" si="75"/>
        <v>mačka</v>
      </c>
    </row>
    <row r="1158" spans="1:15" x14ac:dyDescent="0.25">
      <c r="A1158">
        <v>8668</v>
      </c>
      <c r="B1158" s="11">
        <v>4063456789014</v>
      </c>
      <c r="C1158" s="1" t="s">
        <v>60</v>
      </c>
      <c r="D1158" s="1" t="s">
        <v>12</v>
      </c>
      <c r="E1158" s="1" t="s">
        <v>61</v>
      </c>
      <c r="F1158">
        <v>36</v>
      </c>
      <c r="G1158">
        <v>1</v>
      </c>
      <c r="H1158" s="1" t="s">
        <v>14</v>
      </c>
      <c r="I1158" s="1" t="s">
        <v>15</v>
      </c>
      <c r="J1158" s="12">
        <v>45746</v>
      </c>
      <c r="K1158">
        <v>0</v>
      </c>
      <c r="L1158" s="1">
        <f t="shared" si="72"/>
        <v>36</v>
      </c>
      <c r="M1158" s="1" t="str">
        <f t="shared" si="73"/>
        <v/>
      </c>
      <c r="N1158" s="2">
        <f t="shared" si="74"/>
        <v>45717</v>
      </c>
      <c r="O1158" t="str">
        <f t="shared" si="75"/>
        <v>pes</v>
      </c>
    </row>
    <row r="1159" spans="1:15" hidden="1" x14ac:dyDescent="0.25">
      <c r="A1159">
        <v>8669</v>
      </c>
      <c r="B1159" s="11">
        <v>4021234567894</v>
      </c>
      <c r="C1159" s="1" t="s">
        <v>79</v>
      </c>
      <c r="D1159" s="1" t="s">
        <v>36</v>
      </c>
      <c r="E1159" s="1" t="s">
        <v>69</v>
      </c>
      <c r="F1159">
        <v>8</v>
      </c>
      <c r="G1159">
        <v>1</v>
      </c>
      <c r="H1159" s="1" t="s">
        <v>14</v>
      </c>
      <c r="I1159" s="1" t="s">
        <v>15</v>
      </c>
      <c r="J1159" s="12">
        <v>45746</v>
      </c>
      <c r="K1159">
        <v>0</v>
      </c>
      <c r="L1159" s="1">
        <f t="shared" si="72"/>
        <v>8</v>
      </c>
      <c r="M1159" s="1" t="str">
        <f t="shared" si="73"/>
        <v/>
      </c>
      <c r="N1159" s="2">
        <f t="shared" si="74"/>
        <v>45717</v>
      </c>
      <c r="O1159" t="str">
        <f t="shared" si="75"/>
        <v>mačka</v>
      </c>
    </row>
    <row r="1160" spans="1:15" x14ac:dyDescent="0.25">
      <c r="A1160">
        <v>8670</v>
      </c>
      <c r="B1160" s="11">
        <v>4061011223346</v>
      </c>
      <c r="C1160" s="1" t="s">
        <v>25</v>
      </c>
      <c r="D1160" s="1" t="s">
        <v>26</v>
      </c>
      <c r="E1160" s="1" t="s">
        <v>27</v>
      </c>
      <c r="F1160">
        <v>19.600000000000001</v>
      </c>
      <c r="G1160">
        <v>1</v>
      </c>
      <c r="H1160" s="1" t="s">
        <v>18</v>
      </c>
      <c r="I1160" s="1" t="s">
        <v>203</v>
      </c>
      <c r="J1160" s="12">
        <v>45746</v>
      </c>
      <c r="K1160">
        <v>0</v>
      </c>
      <c r="L1160" s="1">
        <f t="shared" si="72"/>
        <v>19.600000000000001</v>
      </c>
      <c r="M1160" s="1">
        <f t="shared" si="73"/>
        <v>4</v>
      </c>
      <c r="N1160" s="2">
        <f t="shared" si="74"/>
        <v>45717</v>
      </c>
      <c r="O1160" t="str">
        <f t="shared" si="75"/>
        <v>pes</v>
      </c>
    </row>
    <row r="1161" spans="1:15" hidden="1" x14ac:dyDescent="0.25">
      <c r="A1161">
        <v>8671</v>
      </c>
      <c r="B1161" s="11">
        <v>4026677889902</v>
      </c>
      <c r="C1161" s="1" t="s">
        <v>52</v>
      </c>
      <c r="D1161" s="1" t="s">
        <v>53</v>
      </c>
      <c r="E1161" s="1" t="s">
        <v>54</v>
      </c>
      <c r="F1161">
        <v>7.6</v>
      </c>
      <c r="G1161">
        <v>1</v>
      </c>
      <c r="H1161" s="1" t="s">
        <v>14</v>
      </c>
      <c r="I1161" s="1" t="s">
        <v>15</v>
      </c>
      <c r="J1161" s="12">
        <v>45746</v>
      </c>
      <c r="K1161">
        <v>0</v>
      </c>
      <c r="L1161" s="1">
        <f t="shared" si="72"/>
        <v>7.6</v>
      </c>
      <c r="M1161" s="1" t="str">
        <f t="shared" si="73"/>
        <v/>
      </c>
      <c r="N1161" s="2">
        <f t="shared" si="74"/>
        <v>45717</v>
      </c>
      <c r="O1161" t="str">
        <f t="shared" si="75"/>
        <v>iné</v>
      </c>
    </row>
    <row r="1162" spans="1:15" x14ac:dyDescent="0.25">
      <c r="A1162">
        <v>8672</v>
      </c>
      <c r="B1162" s="11">
        <v>4028899001126</v>
      </c>
      <c r="C1162" s="1" t="s">
        <v>16</v>
      </c>
      <c r="D1162" s="1" t="s">
        <v>12</v>
      </c>
      <c r="E1162" s="1" t="s">
        <v>17</v>
      </c>
      <c r="F1162">
        <v>2.8</v>
      </c>
      <c r="G1162">
        <v>3</v>
      </c>
      <c r="H1162" s="1" t="s">
        <v>14</v>
      </c>
      <c r="I1162" s="1" t="s">
        <v>15</v>
      </c>
      <c r="J1162" s="12">
        <v>45746</v>
      </c>
      <c r="K1162">
        <v>0</v>
      </c>
      <c r="L1162" s="1">
        <f t="shared" si="72"/>
        <v>8.3999999999999986</v>
      </c>
      <c r="M1162" s="1" t="str">
        <f t="shared" si="73"/>
        <v/>
      </c>
      <c r="N1162" s="2">
        <f t="shared" si="74"/>
        <v>45717</v>
      </c>
      <c r="O1162" t="str">
        <f t="shared" si="75"/>
        <v>pes</v>
      </c>
    </row>
    <row r="1163" spans="1:15" x14ac:dyDescent="0.25">
      <c r="A1163">
        <v>8673</v>
      </c>
      <c r="B1163" s="11">
        <v>4013456789017</v>
      </c>
      <c r="C1163" s="1" t="s">
        <v>11</v>
      </c>
      <c r="D1163" s="1" t="s">
        <v>12</v>
      </c>
      <c r="E1163" s="1" t="s">
        <v>13</v>
      </c>
      <c r="F1163">
        <v>6</v>
      </c>
      <c r="G1163">
        <v>2</v>
      </c>
      <c r="H1163" s="1" t="s">
        <v>14</v>
      </c>
      <c r="I1163" s="1" t="s">
        <v>15</v>
      </c>
      <c r="J1163" s="12">
        <v>45746</v>
      </c>
      <c r="K1163">
        <v>0</v>
      </c>
      <c r="L1163" s="1">
        <f t="shared" si="72"/>
        <v>12</v>
      </c>
      <c r="M1163" s="1" t="str">
        <f t="shared" si="73"/>
        <v/>
      </c>
      <c r="N1163" s="2">
        <f t="shared" si="74"/>
        <v>45717</v>
      </c>
      <c r="O1163" t="str">
        <f t="shared" si="75"/>
        <v>pes</v>
      </c>
    </row>
    <row r="1164" spans="1:15" x14ac:dyDescent="0.25">
      <c r="A1164">
        <v>8674</v>
      </c>
      <c r="B1164" s="11">
        <v>4040123456795</v>
      </c>
      <c r="C1164" s="1" t="s">
        <v>20</v>
      </c>
      <c r="D1164" s="1" t="s">
        <v>21</v>
      </c>
      <c r="E1164" s="1" t="s">
        <v>22</v>
      </c>
      <c r="F1164">
        <v>8.8000000000000007</v>
      </c>
      <c r="G1164">
        <v>1</v>
      </c>
      <c r="H1164" s="1" t="s">
        <v>14</v>
      </c>
      <c r="I1164" s="1" t="s">
        <v>15</v>
      </c>
      <c r="J1164" s="12">
        <v>45746</v>
      </c>
      <c r="K1164">
        <v>0</v>
      </c>
      <c r="L1164" s="1">
        <f t="shared" si="72"/>
        <v>8.8000000000000007</v>
      </c>
      <c r="M1164" s="1" t="str">
        <f t="shared" si="73"/>
        <v/>
      </c>
      <c r="N1164" s="2">
        <f t="shared" si="74"/>
        <v>45717</v>
      </c>
      <c r="O1164" t="str">
        <f t="shared" si="75"/>
        <v>pes</v>
      </c>
    </row>
    <row r="1165" spans="1:15" hidden="1" x14ac:dyDescent="0.25">
      <c r="A1165">
        <v>8675</v>
      </c>
      <c r="B1165" s="11">
        <v>4010123456783</v>
      </c>
      <c r="C1165" s="1" t="s">
        <v>35</v>
      </c>
      <c r="D1165" s="1" t="s">
        <v>36</v>
      </c>
      <c r="E1165" s="1" t="s">
        <v>37</v>
      </c>
      <c r="F1165">
        <v>14</v>
      </c>
      <c r="G1165">
        <v>1</v>
      </c>
      <c r="H1165" s="1" t="s">
        <v>14</v>
      </c>
      <c r="I1165" s="1" t="s">
        <v>15</v>
      </c>
      <c r="J1165" s="12">
        <v>45746</v>
      </c>
      <c r="K1165">
        <v>0</v>
      </c>
      <c r="L1165" s="1">
        <f t="shared" si="72"/>
        <v>14</v>
      </c>
      <c r="M1165" s="1" t="str">
        <f t="shared" si="73"/>
        <v/>
      </c>
      <c r="N1165" s="2">
        <f t="shared" si="74"/>
        <v>45717</v>
      </c>
      <c r="O1165" t="str">
        <f t="shared" si="75"/>
        <v>mačka</v>
      </c>
    </row>
    <row r="1166" spans="1:15" x14ac:dyDescent="0.25">
      <c r="A1166">
        <v>8676</v>
      </c>
      <c r="B1166" s="11">
        <v>4063456789014</v>
      </c>
      <c r="C1166" s="1" t="s">
        <v>60</v>
      </c>
      <c r="D1166" s="1" t="s">
        <v>12</v>
      </c>
      <c r="E1166" s="1" t="s">
        <v>61</v>
      </c>
      <c r="F1166">
        <v>36</v>
      </c>
      <c r="G1166">
        <v>1</v>
      </c>
      <c r="H1166" s="1" t="s">
        <v>23</v>
      </c>
      <c r="I1166" s="1" t="s">
        <v>204</v>
      </c>
      <c r="J1166" s="12">
        <v>45746</v>
      </c>
      <c r="K1166">
        <v>0</v>
      </c>
      <c r="L1166" s="1">
        <f t="shared" si="72"/>
        <v>36</v>
      </c>
      <c r="M1166" s="1">
        <f t="shared" si="73"/>
        <v>5</v>
      </c>
      <c r="N1166" s="2">
        <f t="shared" si="74"/>
        <v>45717</v>
      </c>
      <c r="O1166" t="str">
        <f t="shared" si="75"/>
        <v>pes</v>
      </c>
    </row>
    <row r="1167" spans="1:15" x14ac:dyDescent="0.25">
      <c r="A1167">
        <v>8677</v>
      </c>
      <c r="B1167" s="11">
        <v>4028899001126</v>
      </c>
      <c r="C1167" s="1" t="s">
        <v>16</v>
      </c>
      <c r="D1167" s="1" t="s">
        <v>12</v>
      </c>
      <c r="E1167" s="1" t="s">
        <v>17</v>
      </c>
      <c r="F1167">
        <v>2.8</v>
      </c>
      <c r="G1167">
        <v>4</v>
      </c>
      <c r="H1167" s="1" t="s">
        <v>14</v>
      </c>
      <c r="I1167" s="1" t="s">
        <v>15</v>
      </c>
      <c r="J1167" s="12">
        <v>45747</v>
      </c>
      <c r="K1167">
        <v>0</v>
      </c>
      <c r="L1167" s="1">
        <f t="shared" si="72"/>
        <v>11.2</v>
      </c>
      <c r="M1167" s="1" t="str">
        <f t="shared" si="73"/>
        <v/>
      </c>
      <c r="N1167" s="2">
        <f t="shared" si="74"/>
        <v>45717</v>
      </c>
      <c r="O1167" t="str">
        <f t="shared" si="75"/>
        <v>pes</v>
      </c>
    </row>
    <row r="1168" spans="1:15" x14ac:dyDescent="0.25">
      <c r="A1168">
        <v>8678</v>
      </c>
      <c r="B1168" s="11">
        <v>4013456789017</v>
      </c>
      <c r="C1168" s="1" t="s">
        <v>11</v>
      </c>
      <c r="D1168" s="1" t="s">
        <v>12</v>
      </c>
      <c r="E1168" s="1" t="s">
        <v>13</v>
      </c>
      <c r="F1168">
        <v>6</v>
      </c>
      <c r="G1168">
        <v>1</v>
      </c>
      <c r="H1168" s="1" t="s">
        <v>14</v>
      </c>
      <c r="I1168" s="1" t="s">
        <v>15</v>
      </c>
      <c r="J1168" s="12">
        <v>45747</v>
      </c>
      <c r="K1168">
        <v>0</v>
      </c>
      <c r="L1168" s="1">
        <f t="shared" si="72"/>
        <v>6</v>
      </c>
      <c r="M1168" s="1" t="str">
        <f t="shared" si="73"/>
        <v/>
      </c>
      <c r="N1168" s="2">
        <f t="shared" si="74"/>
        <v>45717</v>
      </c>
      <c r="O1168" t="str">
        <f t="shared" si="75"/>
        <v>pes</v>
      </c>
    </row>
    <row r="1169" spans="1:15" x14ac:dyDescent="0.25">
      <c r="A1169">
        <v>8679</v>
      </c>
      <c r="B1169" s="11">
        <v>4040123456795</v>
      </c>
      <c r="C1169" s="1" t="s">
        <v>20</v>
      </c>
      <c r="D1169" s="1" t="s">
        <v>21</v>
      </c>
      <c r="E1169" s="1" t="s">
        <v>22</v>
      </c>
      <c r="F1169">
        <v>8.8000000000000007</v>
      </c>
      <c r="G1169">
        <v>1</v>
      </c>
      <c r="H1169" s="1" t="s">
        <v>18</v>
      </c>
      <c r="I1169" s="1" t="s">
        <v>205</v>
      </c>
      <c r="J1169" s="12">
        <v>45747</v>
      </c>
      <c r="K1169">
        <v>0</v>
      </c>
      <c r="L1169" s="1">
        <f t="shared" si="72"/>
        <v>8.8000000000000007</v>
      </c>
      <c r="M1169" s="1">
        <f t="shared" si="73"/>
        <v>4</v>
      </c>
      <c r="N1169" s="2">
        <f t="shared" si="74"/>
        <v>45717</v>
      </c>
      <c r="O1169" t="str">
        <f t="shared" si="75"/>
        <v>pes</v>
      </c>
    </row>
    <row r="1170" spans="1:15" hidden="1" x14ac:dyDescent="0.25">
      <c r="A1170">
        <v>8680</v>
      </c>
      <c r="B1170" s="11">
        <v>4010123456783</v>
      </c>
      <c r="C1170" s="1" t="s">
        <v>35</v>
      </c>
      <c r="D1170" s="1" t="s">
        <v>36</v>
      </c>
      <c r="E1170" s="1" t="s">
        <v>37</v>
      </c>
      <c r="F1170">
        <v>14</v>
      </c>
      <c r="G1170">
        <v>2</v>
      </c>
      <c r="H1170" s="1" t="s">
        <v>14</v>
      </c>
      <c r="I1170" s="1" t="s">
        <v>15</v>
      </c>
      <c r="J1170" s="12">
        <v>45747</v>
      </c>
      <c r="K1170">
        <v>0</v>
      </c>
      <c r="L1170" s="1">
        <f t="shared" si="72"/>
        <v>28</v>
      </c>
      <c r="M1170" s="1" t="str">
        <f t="shared" si="73"/>
        <v/>
      </c>
      <c r="N1170" s="2">
        <f t="shared" si="74"/>
        <v>45717</v>
      </c>
      <c r="O1170" t="str">
        <f t="shared" si="75"/>
        <v>mačka</v>
      </c>
    </row>
    <row r="1171" spans="1:15" hidden="1" x14ac:dyDescent="0.25">
      <c r="A1171">
        <v>8681</v>
      </c>
      <c r="B1171" s="11">
        <v>4056789012345</v>
      </c>
      <c r="C1171" s="1" t="s">
        <v>47</v>
      </c>
      <c r="D1171" s="1" t="s">
        <v>29</v>
      </c>
      <c r="E1171" s="1" t="s">
        <v>37</v>
      </c>
      <c r="F1171">
        <v>2.4</v>
      </c>
      <c r="G1171">
        <v>3</v>
      </c>
      <c r="H1171" s="1" t="s">
        <v>14</v>
      </c>
      <c r="I1171" s="1" t="s">
        <v>15</v>
      </c>
      <c r="J1171" s="12">
        <v>45747</v>
      </c>
      <c r="K1171">
        <v>0</v>
      </c>
      <c r="L1171" s="1">
        <f t="shared" si="72"/>
        <v>7.1999999999999993</v>
      </c>
      <c r="M1171" s="1" t="str">
        <f t="shared" si="73"/>
        <v/>
      </c>
      <c r="N1171" s="2">
        <f t="shared" si="74"/>
        <v>45717</v>
      </c>
      <c r="O1171" t="str">
        <f t="shared" si="75"/>
        <v>mačka</v>
      </c>
    </row>
    <row r="1172" spans="1:15" x14ac:dyDescent="0.25">
      <c r="A1172">
        <v>8682</v>
      </c>
      <c r="B1172" s="11">
        <v>4063456789014</v>
      </c>
      <c r="C1172" s="1" t="s">
        <v>60</v>
      </c>
      <c r="D1172" s="1" t="s">
        <v>12</v>
      </c>
      <c r="E1172" s="1" t="s">
        <v>61</v>
      </c>
      <c r="F1172">
        <v>36</v>
      </c>
      <c r="G1172">
        <v>1</v>
      </c>
      <c r="H1172" s="1" t="s">
        <v>14</v>
      </c>
      <c r="I1172" s="1" t="s">
        <v>15</v>
      </c>
      <c r="J1172" s="12">
        <v>45747</v>
      </c>
      <c r="K1172">
        <v>0</v>
      </c>
      <c r="L1172" s="1">
        <f t="shared" si="72"/>
        <v>36</v>
      </c>
      <c r="M1172" s="1" t="str">
        <f t="shared" si="73"/>
        <v/>
      </c>
      <c r="N1172" s="2">
        <f t="shared" si="74"/>
        <v>45717</v>
      </c>
      <c r="O1172" t="str">
        <f t="shared" si="75"/>
        <v>pes</v>
      </c>
    </row>
    <row r="1173" spans="1:15" hidden="1" x14ac:dyDescent="0.25">
      <c r="A1173">
        <v>8683</v>
      </c>
      <c r="B1173" s="11">
        <v>4021234567894</v>
      </c>
      <c r="C1173" s="1" t="s">
        <v>79</v>
      </c>
      <c r="D1173" s="1" t="s">
        <v>36</v>
      </c>
      <c r="E1173" s="1" t="s">
        <v>69</v>
      </c>
      <c r="F1173">
        <v>8</v>
      </c>
      <c r="G1173">
        <v>1</v>
      </c>
      <c r="H1173" s="1" t="s">
        <v>14</v>
      </c>
      <c r="I1173" s="1" t="s">
        <v>15</v>
      </c>
      <c r="J1173" s="12">
        <v>45747</v>
      </c>
      <c r="K1173">
        <v>0</v>
      </c>
      <c r="L1173" s="1">
        <f t="shared" si="72"/>
        <v>8</v>
      </c>
      <c r="M1173" s="1" t="str">
        <f t="shared" si="73"/>
        <v/>
      </c>
      <c r="N1173" s="2">
        <f t="shared" si="74"/>
        <v>45717</v>
      </c>
      <c r="O1173" t="str">
        <f t="shared" si="75"/>
        <v>mačka</v>
      </c>
    </row>
    <row r="1174" spans="1:15" x14ac:dyDescent="0.25">
      <c r="A1174">
        <v>8684</v>
      </c>
      <c r="B1174" s="11">
        <v>4061011223346</v>
      </c>
      <c r="C1174" s="1" t="s">
        <v>25</v>
      </c>
      <c r="D1174" s="1" t="s">
        <v>26</v>
      </c>
      <c r="E1174" s="1" t="s">
        <v>27</v>
      </c>
      <c r="F1174">
        <v>19.600000000000001</v>
      </c>
      <c r="G1174">
        <v>1</v>
      </c>
      <c r="H1174" s="1" t="s">
        <v>14</v>
      </c>
      <c r="I1174" s="1" t="s">
        <v>15</v>
      </c>
      <c r="J1174" s="12">
        <v>45747</v>
      </c>
      <c r="K1174">
        <v>0</v>
      </c>
      <c r="L1174" s="1">
        <f t="shared" si="72"/>
        <v>19.600000000000001</v>
      </c>
      <c r="M1174" s="1" t="str">
        <f t="shared" si="73"/>
        <v/>
      </c>
      <c r="N1174" s="2">
        <f t="shared" si="74"/>
        <v>45717</v>
      </c>
      <c r="O1174" t="str">
        <f t="shared" si="75"/>
        <v>pes</v>
      </c>
    </row>
    <row r="1175" spans="1:15" hidden="1" x14ac:dyDescent="0.25">
      <c r="A1175">
        <v>8685</v>
      </c>
      <c r="B1175" s="11">
        <v>4026677889902</v>
      </c>
      <c r="C1175" s="1" t="s">
        <v>52</v>
      </c>
      <c r="D1175" s="1" t="s">
        <v>53</v>
      </c>
      <c r="E1175" s="1" t="s">
        <v>54</v>
      </c>
      <c r="F1175">
        <v>7.6</v>
      </c>
      <c r="G1175">
        <v>1</v>
      </c>
      <c r="H1175" s="1" t="s">
        <v>33</v>
      </c>
      <c r="I1175" s="1" t="s">
        <v>14</v>
      </c>
      <c r="J1175" s="12">
        <v>45747</v>
      </c>
      <c r="K1175">
        <v>0</v>
      </c>
      <c r="L1175" s="1">
        <f t="shared" si="72"/>
        <v>7.6</v>
      </c>
      <c r="M1175" s="1">
        <f t="shared" si="73"/>
        <v>3</v>
      </c>
      <c r="N1175" s="2">
        <f t="shared" si="74"/>
        <v>45717</v>
      </c>
      <c r="O1175" t="str">
        <f t="shared" si="75"/>
        <v>iné</v>
      </c>
    </row>
    <row r="1176" spans="1:15" hidden="1" x14ac:dyDescent="0.25">
      <c r="A1176">
        <v>8686</v>
      </c>
      <c r="B1176" s="11">
        <v>8593456789012</v>
      </c>
      <c r="C1176" s="1" t="s">
        <v>28</v>
      </c>
      <c r="D1176" s="1" t="s">
        <v>29</v>
      </c>
      <c r="E1176" s="1" t="s">
        <v>30</v>
      </c>
      <c r="F1176">
        <v>42</v>
      </c>
      <c r="G1176">
        <v>1</v>
      </c>
      <c r="H1176" s="1" t="s">
        <v>14</v>
      </c>
      <c r="I1176" s="1" t="s">
        <v>15</v>
      </c>
      <c r="J1176" s="12">
        <v>45747</v>
      </c>
      <c r="K1176">
        <v>0</v>
      </c>
      <c r="L1176" s="1">
        <f t="shared" si="72"/>
        <v>42</v>
      </c>
      <c r="M1176" s="1" t="str">
        <f t="shared" si="73"/>
        <v/>
      </c>
      <c r="N1176" s="2">
        <f t="shared" si="74"/>
        <v>45717</v>
      </c>
      <c r="O1176" t="str">
        <f t="shared" si="75"/>
        <v>mačka</v>
      </c>
    </row>
    <row r="1177" spans="1:15" hidden="1" x14ac:dyDescent="0.25">
      <c r="A1177">
        <v>8687</v>
      </c>
      <c r="B1177" s="11">
        <v>4006677889904</v>
      </c>
      <c r="C1177" s="1" t="s">
        <v>206</v>
      </c>
      <c r="D1177" s="1" t="s">
        <v>29</v>
      </c>
      <c r="E1177" s="1" t="s">
        <v>30</v>
      </c>
      <c r="F1177">
        <v>2</v>
      </c>
      <c r="G1177">
        <v>4</v>
      </c>
      <c r="H1177" s="1" t="s">
        <v>14</v>
      </c>
      <c r="I1177" s="1" t="s">
        <v>15</v>
      </c>
      <c r="J1177" s="12">
        <v>45747</v>
      </c>
      <c r="K1177">
        <v>0</v>
      </c>
      <c r="L1177" s="1">
        <f t="shared" si="72"/>
        <v>8</v>
      </c>
      <c r="M1177" s="1" t="str">
        <f t="shared" si="73"/>
        <v/>
      </c>
      <c r="N1177" s="2">
        <f t="shared" si="74"/>
        <v>45717</v>
      </c>
      <c r="O1177" t="str">
        <f t="shared" si="75"/>
        <v>mačka</v>
      </c>
    </row>
    <row r="1178" spans="1:15" hidden="1" x14ac:dyDescent="0.25">
      <c r="A1178">
        <v>8688</v>
      </c>
      <c r="B1178" s="11">
        <v>4001234567893</v>
      </c>
      <c r="C1178" s="1" t="s">
        <v>31</v>
      </c>
      <c r="D1178" s="1" t="s">
        <v>29</v>
      </c>
      <c r="E1178" s="1" t="s">
        <v>32</v>
      </c>
      <c r="F1178">
        <v>9.1999999999999993</v>
      </c>
      <c r="G1178">
        <v>2</v>
      </c>
      <c r="H1178" s="1" t="s">
        <v>18</v>
      </c>
      <c r="I1178" s="1" t="s">
        <v>207</v>
      </c>
      <c r="J1178" s="12">
        <v>45747</v>
      </c>
      <c r="K1178">
        <v>0</v>
      </c>
      <c r="L1178" s="1">
        <f t="shared" si="72"/>
        <v>18.399999999999999</v>
      </c>
      <c r="M1178" s="1">
        <f t="shared" si="73"/>
        <v>4</v>
      </c>
      <c r="N1178" s="2">
        <f t="shared" si="74"/>
        <v>45717</v>
      </c>
      <c r="O1178" t="str">
        <f t="shared" si="75"/>
        <v>mačka</v>
      </c>
    </row>
    <row r="1179" spans="1:15" x14ac:dyDescent="0.25">
      <c r="A1179">
        <v>8689</v>
      </c>
      <c r="B1179" s="11">
        <v>4028899001126</v>
      </c>
      <c r="C1179" s="1" t="s">
        <v>16</v>
      </c>
      <c r="D1179" s="1" t="s">
        <v>12</v>
      </c>
      <c r="E1179" s="1" t="s">
        <v>17</v>
      </c>
      <c r="F1179">
        <v>2.8</v>
      </c>
      <c r="G1179">
        <v>5</v>
      </c>
      <c r="H1179" s="1" t="s">
        <v>23</v>
      </c>
      <c r="I1179" s="1" t="s">
        <v>208</v>
      </c>
      <c r="J1179" s="12">
        <v>45747</v>
      </c>
      <c r="K1179">
        <v>0</v>
      </c>
      <c r="L1179" s="1">
        <f t="shared" si="72"/>
        <v>14</v>
      </c>
      <c r="M1179" s="1">
        <f t="shared" si="73"/>
        <v>5</v>
      </c>
      <c r="N1179" s="2">
        <f t="shared" si="74"/>
        <v>45717</v>
      </c>
      <c r="O1179" t="str">
        <f t="shared" si="75"/>
        <v>pes</v>
      </c>
    </row>
    <row r="1180" spans="1:15" x14ac:dyDescent="0.25">
      <c r="A1180">
        <v>8690</v>
      </c>
      <c r="B1180" s="11">
        <v>4013456789017</v>
      </c>
      <c r="C1180" s="1" t="s">
        <v>11</v>
      </c>
      <c r="D1180" s="1" t="s">
        <v>12</v>
      </c>
      <c r="E1180" s="1" t="s">
        <v>13</v>
      </c>
      <c r="F1180">
        <v>6</v>
      </c>
      <c r="G1180">
        <v>2</v>
      </c>
      <c r="H1180" s="1" t="s">
        <v>14</v>
      </c>
      <c r="I1180" s="1" t="s">
        <v>15</v>
      </c>
      <c r="J1180" s="12">
        <v>45747</v>
      </c>
      <c r="K1180">
        <v>0</v>
      </c>
      <c r="L1180" s="1">
        <f t="shared" si="72"/>
        <v>12</v>
      </c>
      <c r="M1180" s="1" t="str">
        <f t="shared" si="73"/>
        <v/>
      </c>
      <c r="N1180" s="2">
        <f t="shared" si="74"/>
        <v>45717</v>
      </c>
      <c r="O1180" t="str">
        <f t="shared" si="75"/>
        <v>pes</v>
      </c>
    </row>
    <row r="1181" spans="1:15" x14ac:dyDescent="0.25">
      <c r="A1181">
        <v>8691</v>
      </c>
      <c r="B1181" s="11">
        <v>4040123456795</v>
      </c>
      <c r="C1181" s="1" t="s">
        <v>20</v>
      </c>
      <c r="D1181" s="1" t="s">
        <v>21</v>
      </c>
      <c r="E1181" s="1" t="s">
        <v>22</v>
      </c>
      <c r="F1181">
        <v>8.8000000000000007</v>
      </c>
      <c r="G1181">
        <v>1</v>
      </c>
      <c r="H1181" s="1" t="s">
        <v>14</v>
      </c>
      <c r="I1181" s="1" t="s">
        <v>15</v>
      </c>
      <c r="J1181" s="12">
        <v>45747</v>
      </c>
      <c r="K1181">
        <v>0</v>
      </c>
      <c r="L1181" s="1">
        <f t="shared" si="72"/>
        <v>8.8000000000000007</v>
      </c>
      <c r="M1181" s="1" t="str">
        <f t="shared" si="73"/>
        <v/>
      </c>
      <c r="N1181" s="2">
        <f t="shared" si="74"/>
        <v>45717</v>
      </c>
      <c r="O1181" t="str">
        <f t="shared" si="75"/>
        <v>pes</v>
      </c>
    </row>
    <row r="1182" spans="1:15" x14ac:dyDescent="0.25">
      <c r="A1182">
        <v>8692</v>
      </c>
      <c r="B1182" s="11">
        <v>4013456789017</v>
      </c>
      <c r="C1182" s="1" t="s">
        <v>11</v>
      </c>
      <c r="D1182" s="1" t="s">
        <v>12</v>
      </c>
      <c r="E1182" s="1" t="s">
        <v>13</v>
      </c>
      <c r="F1182">
        <v>6</v>
      </c>
      <c r="G1182">
        <v>1</v>
      </c>
      <c r="H1182" s="1" t="s">
        <v>14</v>
      </c>
      <c r="I1182" s="1" t="s">
        <v>15</v>
      </c>
      <c r="J1182" s="12">
        <v>45748</v>
      </c>
      <c r="K1182">
        <v>0</v>
      </c>
      <c r="L1182" s="1">
        <f t="shared" si="72"/>
        <v>6</v>
      </c>
      <c r="M1182" s="1" t="str">
        <f t="shared" si="73"/>
        <v/>
      </c>
      <c r="N1182" s="2">
        <f t="shared" si="74"/>
        <v>45748</v>
      </c>
      <c r="O1182" t="str">
        <f t="shared" si="75"/>
        <v>pes</v>
      </c>
    </row>
    <row r="1183" spans="1:15" x14ac:dyDescent="0.25">
      <c r="A1183">
        <v>8692</v>
      </c>
      <c r="B1183" s="11">
        <v>4028899001126</v>
      </c>
      <c r="C1183" s="1" t="s">
        <v>16</v>
      </c>
      <c r="D1183" s="1" t="s">
        <v>12</v>
      </c>
      <c r="E1183" s="1" t="s">
        <v>17</v>
      </c>
      <c r="F1183">
        <v>2.8</v>
      </c>
      <c r="G1183">
        <v>3</v>
      </c>
      <c r="H1183" s="1" t="s">
        <v>23</v>
      </c>
      <c r="I1183" s="1" t="s">
        <v>209</v>
      </c>
      <c r="J1183" s="12">
        <v>45748</v>
      </c>
      <c r="K1183">
        <v>0</v>
      </c>
      <c r="L1183" s="1">
        <f t="shared" si="72"/>
        <v>8.3999999999999986</v>
      </c>
      <c r="M1183" s="1">
        <f t="shared" si="73"/>
        <v>5</v>
      </c>
      <c r="N1183" s="2">
        <f t="shared" si="74"/>
        <v>45748</v>
      </c>
      <c r="O1183" t="str">
        <f t="shared" si="75"/>
        <v>pes</v>
      </c>
    </row>
    <row r="1184" spans="1:15" x14ac:dyDescent="0.25">
      <c r="A1184">
        <v>8693</v>
      </c>
      <c r="B1184" s="11">
        <v>4040123456795</v>
      </c>
      <c r="C1184" s="1" t="s">
        <v>20</v>
      </c>
      <c r="D1184" s="1" t="s">
        <v>21</v>
      </c>
      <c r="E1184" s="1" t="s">
        <v>22</v>
      </c>
      <c r="F1184">
        <v>8.8000000000000007</v>
      </c>
      <c r="G1184">
        <v>1</v>
      </c>
      <c r="H1184" s="1" t="s">
        <v>14</v>
      </c>
      <c r="I1184" s="1" t="s">
        <v>15</v>
      </c>
      <c r="J1184" s="12">
        <v>45748</v>
      </c>
      <c r="K1184">
        <v>0</v>
      </c>
      <c r="L1184" s="1">
        <f t="shared" si="72"/>
        <v>8.8000000000000007</v>
      </c>
      <c r="M1184" s="1" t="str">
        <f t="shared" si="73"/>
        <v/>
      </c>
      <c r="N1184" s="2">
        <f t="shared" si="74"/>
        <v>45748</v>
      </c>
      <c r="O1184" t="str">
        <f t="shared" si="75"/>
        <v>pes</v>
      </c>
    </row>
    <row r="1185" spans="1:15" hidden="1" x14ac:dyDescent="0.25">
      <c r="A1185">
        <v>8694</v>
      </c>
      <c r="B1185" s="11">
        <v>4056789012345</v>
      </c>
      <c r="C1185" s="1" t="s">
        <v>47</v>
      </c>
      <c r="D1185" s="1" t="s">
        <v>29</v>
      </c>
      <c r="E1185" s="1" t="s">
        <v>37</v>
      </c>
      <c r="F1185">
        <v>2.4</v>
      </c>
      <c r="G1185">
        <v>2</v>
      </c>
      <c r="H1185" s="1" t="s">
        <v>14</v>
      </c>
      <c r="I1185" s="1" t="s">
        <v>15</v>
      </c>
      <c r="J1185" s="12">
        <v>45748</v>
      </c>
      <c r="K1185">
        <v>0</v>
      </c>
      <c r="L1185" s="1">
        <f t="shared" si="72"/>
        <v>4.8</v>
      </c>
      <c r="M1185" s="1" t="str">
        <f t="shared" si="73"/>
        <v/>
      </c>
      <c r="N1185" s="2">
        <f t="shared" si="74"/>
        <v>45748</v>
      </c>
      <c r="O1185" t="str">
        <f t="shared" si="75"/>
        <v>mačka</v>
      </c>
    </row>
    <row r="1186" spans="1:15" x14ac:dyDescent="0.25">
      <c r="A1186">
        <v>8695</v>
      </c>
      <c r="B1186" s="11">
        <v>4063456789014</v>
      </c>
      <c r="C1186" s="1" t="s">
        <v>60</v>
      </c>
      <c r="D1186" s="1" t="s">
        <v>12</v>
      </c>
      <c r="E1186" s="1" t="s">
        <v>61</v>
      </c>
      <c r="F1186">
        <v>36</v>
      </c>
      <c r="G1186">
        <v>1</v>
      </c>
      <c r="H1186" s="1" t="s">
        <v>14</v>
      </c>
      <c r="I1186" s="1" t="s">
        <v>15</v>
      </c>
      <c r="J1186" s="12">
        <v>45748</v>
      </c>
      <c r="K1186">
        <v>0</v>
      </c>
      <c r="L1186" s="1">
        <f t="shared" si="72"/>
        <v>36</v>
      </c>
      <c r="M1186" s="1" t="str">
        <f t="shared" si="73"/>
        <v/>
      </c>
      <c r="N1186" s="2">
        <f t="shared" si="74"/>
        <v>45748</v>
      </c>
      <c r="O1186" t="str">
        <f t="shared" si="75"/>
        <v>pes</v>
      </c>
    </row>
    <row r="1187" spans="1:15" hidden="1" x14ac:dyDescent="0.25">
      <c r="A1187">
        <v>8696</v>
      </c>
      <c r="B1187" s="11">
        <v>4010123456783</v>
      </c>
      <c r="C1187" s="1" t="s">
        <v>35</v>
      </c>
      <c r="D1187" s="1" t="s">
        <v>36</v>
      </c>
      <c r="E1187" s="1" t="s">
        <v>37</v>
      </c>
      <c r="F1187">
        <v>14</v>
      </c>
      <c r="G1187">
        <v>1</v>
      </c>
      <c r="H1187" s="1" t="s">
        <v>18</v>
      </c>
      <c r="I1187" s="1" t="s">
        <v>210</v>
      </c>
      <c r="J1187" s="12">
        <v>45748</v>
      </c>
      <c r="K1187">
        <v>0</v>
      </c>
      <c r="L1187" s="1">
        <f t="shared" si="72"/>
        <v>14</v>
      </c>
      <c r="M1187" s="1">
        <f t="shared" si="73"/>
        <v>4</v>
      </c>
      <c r="N1187" s="2">
        <f t="shared" si="74"/>
        <v>45748</v>
      </c>
      <c r="O1187" t="str">
        <f t="shared" si="75"/>
        <v>mačka</v>
      </c>
    </row>
    <row r="1188" spans="1:15" hidden="1" x14ac:dyDescent="0.25">
      <c r="A1188">
        <v>8697</v>
      </c>
      <c r="B1188" s="11">
        <v>4021234567894</v>
      </c>
      <c r="C1188" s="1" t="s">
        <v>79</v>
      </c>
      <c r="D1188" s="1" t="s">
        <v>36</v>
      </c>
      <c r="E1188" s="1" t="s">
        <v>69</v>
      </c>
      <c r="F1188">
        <v>8</v>
      </c>
      <c r="G1188">
        <v>1</v>
      </c>
      <c r="H1188" s="1" t="s">
        <v>14</v>
      </c>
      <c r="I1188" s="1" t="s">
        <v>15</v>
      </c>
      <c r="J1188" s="12">
        <v>45749</v>
      </c>
      <c r="K1188">
        <v>0</v>
      </c>
      <c r="L1188" s="1">
        <f t="shared" si="72"/>
        <v>8</v>
      </c>
      <c r="M1188" s="1" t="str">
        <f t="shared" si="73"/>
        <v/>
      </c>
      <c r="N1188" s="2">
        <f t="shared" si="74"/>
        <v>45748</v>
      </c>
      <c r="O1188" t="str">
        <f t="shared" si="75"/>
        <v>mačka</v>
      </c>
    </row>
    <row r="1189" spans="1:15" x14ac:dyDescent="0.25">
      <c r="A1189">
        <v>8698</v>
      </c>
      <c r="B1189" s="11">
        <v>4061011223346</v>
      </c>
      <c r="C1189" s="1" t="s">
        <v>25</v>
      </c>
      <c r="D1189" s="1" t="s">
        <v>26</v>
      </c>
      <c r="E1189" s="1" t="s">
        <v>27</v>
      </c>
      <c r="F1189">
        <v>19.600000000000001</v>
      </c>
      <c r="G1189">
        <v>1</v>
      </c>
      <c r="H1189" s="1" t="s">
        <v>14</v>
      </c>
      <c r="I1189" s="1" t="s">
        <v>15</v>
      </c>
      <c r="J1189" s="12">
        <v>45749</v>
      </c>
      <c r="K1189">
        <v>0</v>
      </c>
      <c r="L1189" s="1">
        <f t="shared" si="72"/>
        <v>19.600000000000001</v>
      </c>
      <c r="M1189" s="1" t="str">
        <f t="shared" si="73"/>
        <v/>
      </c>
      <c r="N1189" s="2">
        <f t="shared" si="74"/>
        <v>45748</v>
      </c>
      <c r="O1189" t="str">
        <f t="shared" si="75"/>
        <v>pes</v>
      </c>
    </row>
    <row r="1190" spans="1:15" hidden="1" x14ac:dyDescent="0.25">
      <c r="A1190">
        <v>8699</v>
      </c>
      <c r="B1190" s="11">
        <v>4026677889902</v>
      </c>
      <c r="C1190" s="1" t="s">
        <v>52</v>
      </c>
      <c r="D1190" s="1" t="s">
        <v>53</v>
      </c>
      <c r="E1190" s="1" t="s">
        <v>54</v>
      </c>
      <c r="F1190">
        <v>7.6</v>
      </c>
      <c r="G1190">
        <v>1</v>
      </c>
      <c r="H1190" s="1" t="s">
        <v>14</v>
      </c>
      <c r="I1190" s="1" t="s">
        <v>15</v>
      </c>
      <c r="J1190" s="12">
        <v>45749</v>
      </c>
      <c r="K1190">
        <v>0</v>
      </c>
      <c r="L1190" s="1">
        <f t="shared" si="72"/>
        <v>7.6</v>
      </c>
      <c r="M1190" s="1" t="str">
        <f t="shared" si="73"/>
        <v/>
      </c>
      <c r="N1190" s="2">
        <f t="shared" si="74"/>
        <v>45748</v>
      </c>
      <c r="O1190" t="str">
        <f t="shared" si="75"/>
        <v>iné</v>
      </c>
    </row>
    <row r="1191" spans="1:15" x14ac:dyDescent="0.25">
      <c r="A1191">
        <v>8700</v>
      </c>
      <c r="B1191" s="11">
        <v>4028899001126</v>
      </c>
      <c r="C1191" s="1" t="s">
        <v>16</v>
      </c>
      <c r="D1191" s="1" t="s">
        <v>12</v>
      </c>
      <c r="E1191" s="1" t="s">
        <v>17</v>
      </c>
      <c r="F1191">
        <v>2.8</v>
      </c>
      <c r="G1191">
        <v>5</v>
      </c>
      <c r="H1191" s="1" t="s">
        <v>14</v>
      </c>
      <c r="I1191" s="1" t="s">
        <v>15</v>
      </c>
      <c r="J1191" s="12">
        <v>45749</v>
      </c>
      <c r="K1191">
        <v>0</v>
      </c>
      <c r="L1191" s="1">
        <f t="shared" si="72"/>
        <v>14</v>
      </c>
      <c r="M1191" s="1" t="str">
        <f t="shared" si="73"/>
        <v/>
      </c>
      <c r="N1191" s="2">
        <f t="shared" si="74"/>
        <v>45748</v>
      </c>
      <c r="O1191" t="str">
        <f t="shared" si="75"/>
        <v>pes</v>
      </c>
    </row>
    <row r="1192" spans="1:15" x14ac:dyDescent="0.25">
      <c r="A1192">
        <v>8701</v>
      </c>
      <c r="B1192" s="11">
        <v>4013456789017</v>
      </c>
      <c r="C1192" s="1" t="s">
        <v>11</v>
      </c>
      <c r="D1192" s="1" t="s">
        <v>12</v>
      </c>
      <c r="E1192" s="1" t="s">
        <v>13</v>
      </c>
      <c r="F1192">
        <v>6</v>
      </c>
      <c r="G1192">
        <v>2</v>
      </c>
      <c r="H1192" s="1" t="s">
        <v>33</v>
      </c>
      <c r="I1192" s="1" t="s">
        <v>211</v>
      </c>
      <c r="J1192" s="12">
        <v>45749</v>
      </c>
      <c r="K1192">
        <v>0</v>
      </c>
      <c r="L1192" s="1">
        <f t="shared" si="72"/>
        <v>12</v>
      </c>
      <c r="M1192" s="1">
        <f t="shared" si="73"/>
        <v>3</v>
      </c>
      <c r="N1192" s="2">
        <f t="shared" si="74"/>
        <v>45748</v>
      </c>
      <c r="O1192" t="str">
        <f t="shared" si="75"/>
        <v>pes</v>
      </c>
    </row>
    <row r="1193" spans="1:15" x14ac:dyDescent="0.25">
      <c r="A1193">
        <v>8702</v>
      </c>
      <c r="B1193" s="11">
        <v>4040123456795</v>
      </c>
      <c r="C1193" s="1" t="s">
        <v>20</v>
      </c>
      <c r="D1193" s="1" t="s">
        <v>21</v>
      </c>
      <c r="E1193" s="1" t="s">
        <v>22</v>
      </c>
      <c r="F1193">
        <v>8.8000000000000007</v>
      </c>
      <c r="G1193">
        <v>1</v>
      </c>
      <c r="H1193" s="1" t="s">
        <v>14</v>
      </c>
      <c r="I1193" s="1" t="s">
        <v>15</v>
      </c>
      <c r="J1193" s="12">
        <v>45749</v>
      </c>
      <c r="K1193">
        <v>0</v>
      </c>
      <c r="L1193" s="1">
        <f t="shared" si="72"/>
        <v>8.8000000000000007</v>
      </c>
      <c r="M1193" s="1" t="str">
        <f t="shared" si="73"/>
        <v/>
      </c>
      <c r="N1193" s="2">
        <f t="shared" si="74"/>
        <v>45748</v>
      </c>
      <c r="O1193" t="str">
        <f t="shared" si="75"/>
        <v>pes</v>
      </c>
    </row>
    <row r="1194" spans="1:15" hidden="1" x14ac:dyDescent="0.25">
      <c r="A1194">
        <v>8703</v>
      </c>
      <c r="B1194" s="11">
        <v>4010123456783</v>
      </c>
      <c r="C1194" s="1" t="s">
        <v>35</v>
      </c>
      <c r="D1194" s="1" t="s">
        <v>36</v>
      </c>
      <c r="E1194" s="1" t="s">
        <v>37</v>
      </c>
      <c r="F1194">
        <v>14</v>
      </c>
      <c r="G1194">
        <v>1</v>
      </c>
      <c r="H1194" s="1" t="s">
        <v>14</v>
      </c>
      <c r="I1194" s="1" t="s">
        <v>15</v>
      </c>
      <c r="J1194" s="12">
        <v>45750</v>
      </c>
      <c r="K1194">
        <v>0</v>
      </c>
      <c r="L1194" s="1">
        <f t="shared" si="72"/>
        <v>14</v>
      </c>
      <c r="M1194" s="1" t="str">
        <f t="shared" si="73"/>
        <v/>
      </c>
      <c r="N1194" s="2">
        <f t="shared" si="74"/>
        <v>45748</v>
      </c>
      <c r="O1194" t="str">
        <f t="shared" si="75"/>
        <v>mačka</v>
      </c>
    </row>
    <row r="1195" spans="1:15" hidden="1" x14ac:dyDescent="0.25">
      <c r="A1195">
        <v>8704</v>
      </c>
      <c r="B1195" s="11">
        <v>4056789012345</v>
      </c>
      <c r="C1195" s="1" t="s">
        <v>47</v>
      </c>
      <c r="D1195" s="1" t="s">
        <v>29</v>
      </c>
      <c r="E1195" s="1" t="s">
        <v>37</v>
      </c>
      <c r="F1195">
        <v>2.4</v>
      </c>
      <c r="G1195">
        <v>2</v>
      </c>
      <c r="H1195" s="1" t="s">
        <v>14</v>
      </c>
      <c r="I1195" s="1" t="s">
        <v>15</v>
      </c>
      <c r="J1195" s="12">
        <v>45750</v>
      </c>
      <c r="K1195">
        <v>0</v>
      </c>
      <c r="L1195" s="1">
        <f t="shared" si="72"/>
        <v>4.8</v>
      </c>
      <c r="M1195" s="1" t="str">
        <f t="shared" si="73"/>
        <v/>
      </c>
      <c r="N1195" s="2">
        <f t="shared" si="74"/>
        <v>45748</v>
      </c>
      <c r="O1195" t="str">
        <f t="shared" si="75"/>
        <v>mačka</v>
      </c>
    </row>
    <row r="1196" spans="1:15" x14ac:dyDescent="0.25">
      <c r="A1196">
        <v>8705</v>
      </c>
      <c r="B1196" s="11">
        <v>4063456789014</v>
      </c>
      <c r="C1196" s="1" t="s">
        <v>60</v>
      </c>
      <c r="D1196" s="1" t="s">
        <v>12</v>
      </c>
      <c r="E1196" s="1" t="s">
        <v>61</v>
      </c>
      <c r="F1196">
        <v>36</v>
      </c>
      <c r="G1196">
        <v>1</v>
      </c>
      <c r="H1196" s="1" t="s">
        <v>14</v>
      </c>
      <c r="I1196" s="1" t="s">
        <v>15</v>
      </c>
      <c r="J1196" s="12">
        <v>45750</v>
      </c>
      <c r="K1196">
        <v>0</v>
      </c>
      <c r="L1196" s="1">
        <f t="shared" si="72"/>
        <v>36</v>
      </c>
      <c r="M1196" s="1" t="str">
        <f t="shared" si="73"/>
        <v/>
      </c>
      <c r="N1196" s="2">
        <f t="shared" si="74"/>
        <v>45748</v>
      </c>
      <c r="O1196" t="str">
        <f t="shared" si="75"/>
        <v>pes</v>
      </c>
    </row>
    <row r="1197" spans="1:15" x14ac:dyDescent="0.25">
      <c r="A1197">
        <v>8706</v>
      </c>
      <c r="B1197" s="11">
        <v>4028899001126</v>
      </c>
      <c r="C1197" s="1" t="s">
        <v>16</v>
      </c>
      <c r="D1197" s="1" t="s">
        <v>12</v>
      </c>
      <c r="E1197" s="1" t="s">
        <v>17</v>
      </c>
      <c r="F1197">
        <v>2.8</v>
      </c>
      <c r="G1197">
        <v>3</v>
      </c>
      <c r="H1197" s="1" t="s">
        <v>18</v>
      </c>
      <c r="I1197" s="1" t="s">
        <v>170</v>
      </c>
      <c r="J1197" s="12">
        <v>45750</v>
      </c>
      <c r="K1197">
        <v>0</v>
      </c>
      <c r="L1197" s="1">
        <f t="shared" si="72"/>
        <v>8.3999999999999986</v>
      </c>
      <c r="M1197" s="1">
        <f t="shared" si="73"/>
        <v>4</v>
      </c>
      <c r="N1197" s="2">
        <f t="shared" si="74"/>
        <v>45748</v>
      </c>
      <c r="O1197" t="str">
        <f t="shared" si="75"/>
        <v>pes</v>
      </c>
    </row>
    <row r="1198" spans="1:15" x14ac:dyDescent="0.25">
      <c r="A1198">
        <v>8707</v>
      </c>
      <c r="B1198" s="11">
        <v>4013456789017</v>
      </c>
      <c r="C1198" s="1" t="s">
        <v>11</v>
      </c>
      <c r="D1198" s="1" t="s">
        <v>12</v>
      </c>
      <c r="E1198" s="1" t="s">
        <v>13</v>
      </c>
      <c r="F1198">
        <v>6</v>
      </c>
      <c r="G1198">
        <v>1</v>
      </c>
      <c r="H1198" s="1" t="s">
        <v>14</v>
      </c>
      <c r="I1198" s="1" t="s">
        <v>15</v>
      </c>
      <c r="J1198" s="12">
        <v>45750</v>
      </c>
      <c r="K1198">
        <v>0</v>
      </c>
      <c r="L1198" s="1">
        <f t="shared" si="72"/>
        <v>6</v>
      </c>
      <c r="M1198" s="1" t="str">
        <f t="shared" si="73"/>
        <v/>
      </c>
      <c r="N1198" s="2">
        <f t="shared" si="74"/>
        <v>45748</v>
      </c>
      <c r="O1198" t="str">
        <f t="shared" si="75"/>
        <v>pes</v>
      </c>
    </row>
    <row r="1199" spans="1:15" x14ac:dyDescent="0.25">
      <c r="A1199">
        <v>8708</v>
      </c>
      <c r="B1199" s="11">
        <v>4040123456795</v>
      </c>
      <c r="C1199" s="1" t="s">
        <v>20</v>
      </c>
      <c r="D1199" s="1" t="s">
        <v>21</v>
      </c>
      <c r="E1199" s="1" t="s">
        <v>22</v>
      </c>
      <c r="F1199">
        <v>8.8000000000000007</v>
      </c>
      <c r="G1199">
        <v>1</v>
      </c>
      <c r="H1199" s="1" t="s">
        <v>14</v>
      </c>
      <c r="I1199" s="1" t="s">
        <v>15</v>
      </c>
      <c r="J1199" s="12">
        <v>45750</v>
      </c>
      <c r="K1199">
        <v>0</v>
      </c>
      <c r="L1199" s="1">
        <f t="shared" si="72"/>
        <v>8.8000000000000007</v>
      </c>
      <c r="M1199" s="1" t="str">
        <f t="shared" si="73"/>
        <v/>
      </c>
      <c r="N1199" s="2">
        <f t="shared" si="74"/>
        <v>45748</v>
      </c>
      <c r="O1199" t="str">
        <f t="shared" si="75"/>
        <v>pes</v>
      </c>
    </row>
    <row r="1200" spans="1:15" hidden="1" x14ac:dyDescent="0.25">
      <c r="A1200">
        <v>8709</v>
      </c>
      <c r="B1200" s="11">
        <v>4010123456783</v>
      </c>
      <c r="C1200" s="1" t="s">
        <v>35</v>
      </c>
      <c r="D1200" s="1" t="s">
        <v>36</v>
      </c>
      <c r="E1200" s="1" t="s">
        <v>37</v>
      </c>
      <c r="F1200">
        <v>14</v>
      </c>
      <c r="G1200">
        <v>2</v>
      </c>
      <c r="H1200" s="1" t="s">
        <v>14</v>
      </c>
      <c r="I1200" s="1" t="s">
        <v>15</v>
      </c>
      <c r="J1200" s="12">
        <v>45751</v>
      </c>
      <c r="K1200">
        <v>0</v>
      </c>
      <c r="L1200" s="1">
        <f t="shared" si="72"/>
        <v>28</v>
      </c>
      <c r="M1200" s="1" t="str">
        <f t="shared" si="73"/>
        <v/>
      </c>
      <c r="N1200" s="2">
        <f t="shared" si="74"/>
        <v>45748</v>
      </c>
      <c r="O1200" t="str">
        <f t="shared" si="75"/>
        <v>mačka</v>
      </c>
    </row>
    <row r="1201" spans="1:15" x14ac:dyDescent="0.25">
      <c r="A1201">
        <v>8710</v>
      </c>
      <c r="B1201" s="11">
        <v>4063456789014</v>
      </c>
      <c r="C1201" s="1" t="s">
        <v>60</v>
      </c>
      <c r="D1201" s="1" t="s">
        <v>12</v>
      </c>
      <c r="E1201" s="1" t="s">
        <v>61</v>
      </c>
      <c r="F1201">
        <v>36</v>
      </c>
      <c r="G1201">
        <v>1</v>
      </c>
      <c r="H1201" s="1" t="s">
        <v>14</v>
      </c>
      <c r="I1201" s="1" t="s">
        <v>15</v>
      </c>
      <c r="J1201" s="12">
        <v>45751</v>
      </c>
      <c r="K1201">
        <v>0</v>
      </c>
      <c r="L1201" s="1">
        <f t="shared" si="72"/>
        <v>36</v>
      </c>
      <c r="M1201" s="1" t="str">
        <f t="shared" si="73"/>
        <v/>
      </c>
      <c r="N1201" s="2">
        <f t="shared" si="74"/>
        <v>45748</v>
      </c>
      <c r="O1201" t="str">
        <f t="shared" si="75"/>
        <v>pes</v>
      </c>
    </row>
    <row r="1202" spans="1:15" hidden="1" x14ac:dyDescent="0.25">
      <c r="A1202">
        <v>8711</v>
      </c>
      <c r="B1202" s="11">
        <v>4021234567894</v>
      </c>
      <c r="C1202" s="1" t="s">
        <v>79</v>
      </c>
      <c r="D1202" s="1" t="s">
        <v>36</v>
      </c>
      <c r="E1202" s="1" t="s">
        <v>69</v>
      </c>
      <c r="F1202">
        <v>8</v>
      </c>
      <c r="G1202">
        <v>1</v>
      </c>
      <c r="H1202" s="1" t="s">
        <v>14</v>
      </c>
      <c r="I1202" s="1" t="s">
        <v>15</v>
      </c>
      <c r="J1202" s="12">
        <v>45751</v>
      </c>
      <c r="K1202">
        <v>0</v>
      </c>
      <c r="L1202" s="1">
        <f t="shared" si="72"/>
        <v>8</v>
      </c>
      <c r="M1202" s="1" t="str">
        <f t="shared" si="73"/>
        <v/>
      </c>
      <c r="N1202" s="2">
        <f t="shared" si="74"/>
        <v>45748</v>
      </c>
      <c r="O1202" t="str">
        <f t="shared" si="75"/>
        <v>mačka</v>
      </c>
    </row>
    <row r="1203" spans="1:15" hidden="1" x14ac:dyDescent="0.25">
      <c r="A1203">
        <v>8712</v>
      </c>
      <c r="B1203" s="11">
        <v>4056789012345</v>
      </c>
      <c r="C1203" s="1" t="s">
        <v>47</v>
      </c>
      <c r="D1203" s="1" t="s">
        <v>29</v>
      </c>
      <c r="E1203" s="1" t="s">
        <v>37</v>
      </c>
      <c r="F1203">
        <v>2.4</v>
      </c>
      <c r="G1203">
        <v>3</v>
      </c>
      <c r="H1203" s="1" t="s">
        <v>18</v>
      </c>
      <c r="I1203" s="1" t="s">
        <v>212</v>
      </c>
      <c r="J1203" s="12">
        <v>45751</v>
      </c>
      <c r="K1203">
        <v>0</v>
      </c>
      <c r="L1203" s="1">
        <f t="shared" si="72"/>
        <v>7.1999999999999993</v>
      </c>
      <c r="M1203" s="1">
        <f t="shared" si="73"/>
        <v>4</v>
      </c>
      <c r="N1203" s="2">
        <f t="shared" si="74"/>
        <v>45748</v>
      </c>
      <c r="O1203" t="str">
        <f t="shared" si="75"/>
        <v>mačka</v>
      </c>
    </row>
    <row r="1204" spans="1:15" x14ac:dyDescent="0.25">
      <c r="A1204">
        <v>8713</v>
      </c>
      <c r="B1204" s="11">
        <v>4061011223346</v>
      </c>
      <c r="C1204" s="1" t="s">
        <v>25</v>
      </c>
      <c r="D1204" s="1" t="s">
        <v>26</v>
      </c>
      <c r="E1204" s="1" t="s">
        <v>27</v>
      </c>
      <c r="F1204">
        <v>19.600000000000001</v>
      </c>
      <c r="G1204">
        <v>1</v>
      </c>
      <c r="H1204" s="1" t="s">
        <v>14</v>
      </c>
      <c r="I1204" s="1" t="s">
        <v>15</v>
      </c>
      <c r="J1204" s="12">
        <v>45751</v>
      </c>
      <c r="K1204">
        <v>0</v>
      </c>
      <c r="L1204" s="1">
        <f t="shared" si="72"/>
        <v>19.600000000000001</v>
      </c>
      <c r="M1204" s="1" t="str">
        <f t="shared" si="73"/>
        <v/>
      </c>
      <c r="N1204" s="2">
        <f t="shared" si="74"/>
        <v>45748</v>
      </c>
      <c r="O1204" t="str">
        <f t="shared" si="75"/>
        <v>pes</v>
      </c>
    </row>
    <row r="1205" spans="1:15" hidden="1" x14ac:dyDescent="0.25">
      <c r="A1205">
        <v>8714</v>
      </c>
      <c r="B1205" s="11">
        <v>4026677889902</v>
      </c>
      <c r="C1205" s="1" t="s">
        <v>52</v>
      </c>
      <c r="D1205" s="1" t="s">
        <v>53</v>
      </c>
      <c r="E1205" s="1" t="s">
        <v>54</v>
      </c>
      <c r="F1205">
        <v>7.6</v>
      </c>
      <c r="G1205">
        <v>1</v>
      </c>
      <c r="H1205" s="1" t="s">
        <v>14</v>
      </c>
      <c r="I1205" s="1" t="s">
        <v>15</v>
      </c>
      <c r="J1205" s="12">
        <v>45751</v>
      </c>
      <c r="K1205">
        <v>0</v>
      </c>
      <c r="L1205" s="1">
        <f t="shared" si="72"/>
        <v>7.6</v>
      </c>
      <c r="M1205" s="1" t="str">
        <f t="shared" si="73"/>
        <v/>
      </c>
      <c r="N1205" s="2">
        <f t="shared" si="74"/>
        <v>45748</v>
      </c>
      <c r="O1205" t="str">
        <f t="shared" si="75"/>
        <v>iné</v>
      </c>
    </row>
    <row r="1206" spans="1:15" x14ac:dyDescent="0.25">
      <c r="A1206">
        <v>8715</v>
      </c>
      <c r="B1206" s="11">
        <v>4028899001126</v>
      </c>
      <c r="C1206" s="1" t="s">
        <v>16</v>
      </c>
      <c r="D1206" s="1" t="s">
        <v>12</v>
      </c>
      <c r="E1206" s="1" t="s">
        <v>17</v>
      </c>
      <c r="F1206">
        <v>2.8</v>
      </c>
      <c r="G1206">
        <v>4</v>
      </c>
      <c r="H1206" s="1" t="s">
        <v>14</v>
      </c>
      <c r="I1206" s="1" t="s">
        <v>15</v>
      </c>
      <c r="J1206" s="12">
        <v>45752</v>
      </c>
      <c r="K1206">
        <v>0</v>
      </c>
      <c r="L1206" s="1">
        <f t="shared" si="72"/>
        <v>11.2</v>
      </c>
      <c r="M1206" s="1" t="str">
        <f t="shared" si="73"/>
        <v/>
      </c>
      <c r="N1206" s="2">
        <f t="shared" si="74"/>
        <v>45748</v>
      </c>
      <c r="O1206" t="str">
        <f t="shared" si="75"/>
        <v>pes</v>
      </c>
    </row>
    <row r="1207" spans="1:15" x14ac:dyDescent="0.25">
      <c r="A1207">
        <v>8715</v>
      </c>
      <c r="B1207" s="11">
        <v>4013456789017</v>
      </c>
      <c r="C1207" s="1" t="s">
        <v>11</v>
      </c>
      <c r="D1207" s="1" t="s">
        <v>12</v>
      </c>
      <c r="E1207" s="1" t="s">
        <v>13</v>
      </c>
      <c r="F1207">
        <v>6</v>
      </c>
      <c r="G1207">
        <v>1</v>
      </c>
      <c r="H1207" s="1" t="s">
        <v>14</v>
      </c>
      <c r="I1207" s="1" t="s">
        <v>15</v>
      </c>
      <c r="J1207" s="12">
        <v>45752</v>
      </c>
      <c r="K1207">
        <v>0</v>
      </c>
      <c r="L1207" s="1">
        <f t="shared" si="72"/>
        <v>6</v>
      </c>
      <c r="M1207" s="1" t="str">
        <f t="shared" si="73"/>
        <v/>
      </c>
      <c r="N1207" s="2">
        <f t="shared" si="74"/>
        <v>45748</v>
      </c>
      <c r="O1207" t="str">
        <f t="shared" si="75"/>
        <v>pes</v>
      </c>
    </row>
    <row r="1208" spans="1:15" x14ac:dyDescent="0.25">
      <c r="A1208">
        <v>8716</v>
      </c>
      <c r="B1208" s="11">
        <v>4040123456795</v>
      </c>
      <c r="C1208" s="1" t="s">
        <v>20</v>
      </c>
      <c r="D1208" s="1" t="s">
        <v>21</v>
      </c>
      <c r="E1208" s="1" t="s">
        <v>22</v>
      </c>
      <c r="F1208">
        <v>8.8000000000000007</v>
      </c>
      <c r="G1208">
        <v>1</v>
      </c>
      <c r="H1208" s="1" t="s">
        <v>14</v>
      </c>
      <c r="I1208" s="1" t="s">
        <v>15</v>
      </c>
      <c r="J1208" s="12">
        <v>45752</v>
      </c>
      <c r="K1208">
        <v>0</v>
      </c>
      <c r="L1208" s="1">
        <f t="shared" si="72"/>
        <v>8.8000000000000007</v>
      </c>
      <c r="M1208" s="1" t="str">
        <f t="shared" si="73"/>
        <v/>
      </c>
      <c r="N1208" s="2">
        <f t="shared" si="74"/>
        <v>45748</v>
      </c>
      <c r="O1208" t="str">
        <f t="shared" si="75"/>
        <v>pes</v>
      </c>
    </row>
    <row r="1209" spans="1:15" hidden="1" x14ac:dyDescent="0.25">
      <c r="A1209">
        <v>8717</v>
      </c>
      <c r="B1209" s="11">
        <v>4010123456783</v>
      </c>
      <c r="C1209" s="1" t="s">
        <v>35</v>
      </c>
      <c r="D1209" s="1" t="s">
        <v>36</v>
      </c>
      <c r="E1209" s="1" t="s">
        <v>37</v>
      </c>
      <c r="F1209">
        <v>14</v>
      </c>
      <c r="G1209">
        <v>1</v>
      </c>
      <c r="H1209" s="1" t="s">
        <v>18</v>
      </c>
      <c r="I1209" s="1" t="s">
        <v>213</v>
      </c>
      <c r="J1209" s="12">
        <v>45752</v>
      </c>
      <c r="K1209">
        <v>0</v>
      </c>
      <c r="L1209" s="1">
        <f t="shared" si="72"/>
        <v>14</v>
      </c>
      <c r="M1209" s="1">
        <f t="shared" si="73"/>
        <v>4</v>
      </c>
      <c r="N1209" s="2">
        <f t="shared" si="74"/>
        <v>45748</v>
      </c>
      <c r="O1209" t="str">
        <f t="shared" si="75"/>
        <v>mačka</v>
      </c>
    </row>
    <row r="1210" spans="1:15" x14ac:dyDescent="0.25">
      <c r="A1210">
        <v>8718</v>
      </c>
      <c r="B1210" s="11">
        <v>4063456789014</v>
      </c>
      <c r="C1210" s="1" t="s">
        <v>60</v>
      </c>
      <c r="D1210" s="1" t="s">
        <v>12</v>
      </c>
      <c r="E1210" s="1" t="s">
        <v>61</v>
      </c>
      <c r="F1210">
        <v>36</v>
      </c>
      <c r="G1210">
        <v>1</v>
      </c>
      <c r="H1210" s="1" t="s">
        <v>14</v>
      </c>
      <c r="I1210" s="1" t="s">
        <v>15</v>
      </c>
      <c r="J1210" s="12">
        <v>45752</v>
      </c>
      <c r="K1210">
        <v>0</v>
      </c>
      <c r="L1210" s="1">
        <f t="shared" si="72"/>
        <v>36</v>
      </c>
      <c r="M1210" s="1" t="str">
        <f t="shared" si="73"/>
        <v/>
      </c>
      <c r="N1210" s="2">
        <f t="shared" si="74"/>
        <v>45748</v>
      </c>
      <c r="O1210" t="str">
        <f t="shared" si="75"/>
        <v>pes</v>
      </c>
    </row>
    <row r="1211" spans="1:15" hidden="1" x14ac:dyDescent="0.25">
      <c r="A1211">
        <v>8719</v>
      </c>
      <c r="B1211" s="11">
        <v>4021234567894</v>
      </c>
      <c r="C1211" s="1" t="s">
        <v>79</v>
      </c>
      <c r="D1211" s="1" t="s">
        <v>36</v>
      </c>
      <c r="E1211" s="1" t="s">
        <v>69</v>
      </c>
      <c r="F1211">
        <v>8</v>
      </c>
      <c r="G1211">
        <v>1</v>
      </c>
      <c r="H1211" s="1" t="s">
        <v>14</v>
      </c>
      <c r="I1211" s="1" t="s">
        <v>15</v>
      </c>
      <c r="J1211" s="12">
        <v>45753</v>
      </c>
      <c r="K1211">
        <v>0</v>
      </c>
      <c r="L1211" s="1">
        <f t="shared" si="72"/>
        <v>8</v>
      </c>
      <c r="M1211" s="1" t="str">
        <f t="shared" si="73"/>
        <v/>
      </c>
      <c r="N1211" s="2">
        <f t="shared" si="74"/>
        <v>45748</v>
      </c>
      <c r="O1211" t="str">
        <f t="shared" si="75"/>
        <v>mačka</v>
      </c>
    </row>
    <row r="1212" spans="1:15" x14ac:dyDescent="0.25">
      <c r="A1212">
        <v>8720</v>
      </c>
      <c r="B1212" s="11">
        <v>4028899001126</v>
      </c>
      <c r="C1212" s="1" t="s">
        <v>16</v>
      </c>
      <c r="D1212" s="1" t="s">
        <v>12</v>
      </c>
      <c r="E1212" s="1" t="s">
        <v>17</v>
      </c>
      <c r="F1212">
        <v>2.8</v>
      </c>
      <c r="G1212">
        <v>5</v>
      </c>
      <c r="H1212" s="1" t="s">
        <v>33</v>
      </c>
      <c r="I1212" s="1" t="s">
        <v>214</v>
      </c>
      <c r="J1212" s="12">
        <v>45753</v>
      </c>
      <c r="K1212">
        <v>0</v>
      </c>
      <c r="L1212" s="1">
        <f t="shared" si="72"/>
        <v>14</v>
      </c>
      <c r="M1212" s="1">
        <f t="shared" si="73"/>
        <v>3</v>
      </c>
      <c r="N1212" s="2">
        <f t="shared" si="74"/>
        <v>45748</v>
      </c>
      <c r="O1212" t="str">
        <f t="shared" si="75"/>
        <v>pes</v>
      </c>
    </row>
    <row r="1213" spans="1:15" x14ac:dyDescent="0.25">
      <c r="A1213">
        <v>8721</v>
      </c>
      <c r="B1213" s="11">
        <v>4013456789017</v>
      </c>
      <c r="C1213" s="1" t="s">
        <v>11</v>
      </c>
      <c r="D1213" s="1" t="s">
        <v>12</v>
      </c>
      <c r="E1213" s="1" t="s">
        <v>13</v>
      </c>
      <c r="F1213">
        <v>6</v>
      </c>
      <c r="G1213">
        <v>1</v>
      </c>
      <c r="H1213" s="1" t="s">
        <v>14</v>
      </c>
      <c r="I1213" s="1" t="s">
        <v>15</v>
      </c>
      <c r="J1213" s="12">
        <v>45753</v>
      </c>
      <c r="K1213">
        <v>0</v>
      </c>
      <c r="L1213" s="1">
        <f t="shared" si="72"/>
        <v>6</v>
      </c>
      <c r="M1213" s="1" t="str">
        <f t="shared" si="73"/>
        <v/>
      </c>
      <c r="N1213" s="2">
        <f t="shared" si="74"/>
        <v>45748</v>
      </c>
      <c r="O1213" t="str">
        <f t="shared" si="75"/>
        <v>pes</v>
      </c>
    </row>
    <row r="1214" spans="1:15" x14ac:dyDescent="0.25">
      <c r="A1214">
        <v>8722</v>
      </c>
      <c r="B1214" s="11">
        <v>4040123456795</v>
      </c>
      <c r="C1214" s="1" t="s">
        <v>20</v>
      </c>
      <c r="D1214" s="1" t="s">
        <v>21</v>
      </c>
      <c r="E1214" s="1" t="s">
        <v>22</v>
      </c>
      <c r="F1214">
        <v>8.8000000000000007</v>
      </c>
      <c r="G1214">
        <v>1</v>
      </c>
      <c r="H1214" s="1" t="s">
        <v>14</v>
      </c>
      <c r="I1214" s="1" t="s">
        <v>15</v>
      </c>
      <c r="J1214" s="12">
        <v>45753</v>
      </c>
      <c r="K1214">
        <v>0</v>
      </c>
      <c r="L1214" s="1">
        <f t="shared" si="72"/>
        <v>8.8000000000000007</v>
      </c>
      <c r="M1214" s="1" t="str">
        <f t="shared" si="73"/>
        <v/>
      </c>
      <c r="N1214" s="2">
        <f t="shared" si="74"/>
        <v>45748</v>
      </c>
      <c r="O1214" t="str">
        <f t="shared" si="75"/>
        <v>pes</v>
      </c>
    </row>
    <row r="1215" spans="1:15" hidden="1" x14ac:dyDescent="0.25">
      <c r="A1215">
        <v>8723</v>
      </c>
      <c r="B1215" s="11">
        <v>4010123456783</v>
      </c>
      <c r="C1215" s="1" t="s">
        <v>35</v>
      </c>
      <c r="D1215" s="1" t="s">
        <v>36</v>
      </c>
      <c r="E1215" s="1" t="s">
        <v>37</v>
      </c>
      <c r="F1215">
        <v>14</v>
      </c>
      <c r="G1215">
        <v>2</v>
      </c>
      <c r="H1215" s="1" t="s">
        <v>14</v>
      </c>
      <c r="I1215" s="1" t="s">
        <v>15</v>
      </c>
      <c r="J1215" s="12">
        <v>45753</v>
      </c>
      <c r="K1215">
        <v>0</v>
      </c>
      <c r="L1215" s="1">
        <f t="shared" si="72"/>
        <v>28</v>
      </c>
      <c r="M1215" s="1" t="str">
        <f t="shared" si="73"/>
        <v/>
      </c>
      <c r="N1215" s="2">
        <f t="shared" si="74"/>
        <v>45748</v>
      </c>
      <c r="O1215" t="str">
        <f t="shared" si="75"/>
        <v>mačka</v>
      </c>
    </row>
    <row r="1216" spans="1:15" x14ac:dyDescent="0.25">
      <c r="A1216">
        <v>8724</v>
      </c>
      <c r="B1216" s="11">
        <v>4063456789014</v>
      </c>
      <c r="C1216" s="1" t="s">
        <v>60</v>
      </c>
      <c r="D1216" s="1" t="s">
        <v>12</v>
      </c>
      <c r="E1216" s="1" t="s">
        <v>61</v>
      </c>
      <c r="F1216">
        <v>36</v>
      </c>
      <c r="G1216">
        <v>1</v>
      </c>
      <c r="H1216" s="1" t="s">
        <v>18</v>
      </c>
      <c r="I1216" s="1" t="s">
        <v>215</v>
      </c>
      <c r="J1216" s="12">
        <v>45753</v>
      </c>
      <c r="K1216">
        <v>0</v>
      </c>
      <c r="L1216" s="1">
        <f t="shared" si="72"/>
        <v>36</v>
      </c>
      <c r="M1216" s="1">
        <f t="shared" si="73"/>
        <v>4</v>
      </c>
      <c r="N1216" s="2">
        <f t="shared" si="74"/>
        <v>45748</v>
      </c>
      <c r="O1216" t="str">
        <f t="shared" si="75"/>
        <v>pes</v>
      </c>
    </row>
    <row r="1217" spans="1:15" hidden="1" x14ac:dyDescent="0.25">
      <c r="A1217">
        <v>8725</v>
      </c>
      <c r="B1217" s="11">
        <v>4021234567894</v>
      </c>
      <c r="C1217" s="1" t="s">
        <v>79</v>
      </c>
      <c r="D1217" s="1" t="s">
        <v>36</v>
      </c>
      <c r="E1217" s="1" t="s">
        <v>69</v>
      </c>
      <c r="F1217">
        <v>8</v>
      </c>
      <c r="G1217">
        <v>1</v>
      </c>
      <c r="H1217" s="1" t="s">
        <v>14</v>
      </c>
      <c r="I1217" s="1" t="s">
        <v>15</v>
      </c>
      <c r="J1217" s="12">
        <v>45754</v>
      </c>
      <c r="K1217">
        <v>0</v>
      </c>
      <c r="L1217" s="1">
        <f t="shared" si="72"/>
        <v>8</v>
      </c>
      <c r="M1217" s="1" t="str">
        <f t="shared" si="73"/>
        <v/>
      </c>
      <c r="N1217" s="2">
        <f t="shared" si="74"/>
        <v>45748</v>
      </c>
      <c r="O1217" t="str">
        <f t="shared" si="75"/>
        <v>mačka</v>
      </c>
    </row>
    <row r="1218" spans="1:15" hidden="1" x14ac:dyDescent="0.25">
      <c r="A1218">
        <v>8726</v>
      </c>
      <c r="B1218" s="11">
        <v>4056789012345</v>
      </c>
      <c r="C1218" s="1" t="s">
        <v>47</v>
      </c>
      <c r="D1218" s="1" t="s">
        <v>29</v>
      </c>
      <c r="E1218" s="1" t="s">
        <v>37</v>
      </c>
      <c r="F1218">
        <v>2.4</v>
      </c>
      <c r="G1218">
        <v>2</v>
      </c>
      <c r="H1218" s="1" t="s">
        <v>14</v>
      </c>
      <c r="I1218" s="1" t="s">
        <v>15</v>
      </c>
      <c r="J1218" s="12">
        <v>45754</v>
      </c>
      <c r="K1218">
        <v>0</v>
      </c>
      <c r="L1218" s="1">
        <f t="shared" ref="L1218:L1281" si="76">F1218*G1218</f>
        <v>4.8</v>
      </c>
      <c r="M1218" s="1" t="str">
        <f t="shared" ref="M1218:M1281" si="77">IF(H1218="NULL", "",VALUE(H1218))</f>
        <v/>
      </c>
      <c r="N1218" s="2">
        <f t="shared" ref="N1218:N1281" si="78">DATE(YEAR(J1218),MONTH(J1218),1)</f>
        <v>45748</v>
      </c>
      <c r="O1218" t="str">
        <f t="shared" ref="O1218:O1281" si="79">IF(ISNUMBER(SEARCH("Mačky",D1218)),"mačka",IF(ISNUMBER(SEARCH("Psy",D1218)),"pes","iné"))</f>
        <v>mačka</v>
      </c>
    </row>
    <row r="1219" spans="1:15" x14ac:dyDescent="0.25">
      <c r="A1219">
        <v>8727</v>
      </c>
      <c r="B1219" s="11">
        <v>4061011223346</v>
      </c>
      <c r="C1219" s="1" t="s">
        <v>25</v>
      </c>
      <c r="D1219" s="1" t="s">
        <v>26</v>
      </c>
      <c r="E1219" s="1" t="s">
        <v>27</v>
      </c>
      <c r="F1219">
        <v>19.600000000000001</v>
      </c>
      <c r="G1219">
        <v>1</v>
      </c>
      <c r="H1219" s="1" t="s">
        <v>14</v>
      </c>
      <c r="I1219" s="1" t="s">
        <v>15</v>
      </c>
      <c r="J1219" s="12">
        <v>45754</v>
      </c>
      <c r="K1219">
        <v>0</v>
      </c>
      <c r="L1219" s="1">
        <f t="shared" si="76"/>
        <v>19.600000000000001</v>
      </c>
      <c r="M1219" s="1" t="str">
        <f t="shared" si="77"/>
        <v/>
      </c>
      <c r="N1219" s="2">
        <f t="shared" si="78"/>
        <v>45748</v>
      </c>
      <c r="O1219" t="str">
        <f t="shared" si="79"/>
        <v>pes</v>
      </c>
    </row>
    <row r="1220" spans="1:15" hidden="1" x14ac:dyDescent="0.25">
      <c r="A1220">
        <v>8728</v>
      </c>
      <c r="B1220" s="11">
        <v>4026677889902</v>
      </c>
      <c r="C1220" s="1" t="s">
        <v>52</v>
      </c>
      <c r="D1220" s="1" t="s">
        <v>53</v>
      </c>
      <c r="E1220" s="1" t="s">
        <v>54</v>
      </c>
      <c r="F1220">
        <v>7.6</v>
      </c>
      <c r="G1220">
        <v>1</v>
      </c>
      <c r="H1220" s="1" t="s">
        <v>14</v>
      </c>
      <c r="I1220" s="1" t="s">
        <v>15</v>
      </c>
      <c r="J1220" s="12">
        <v>45754</v>
      </c>
      <c r="K1220">
        <v>0</v>
      </c>
      <c r="L1220" s="1">
        <f t="shared" si="76"/>
        <v>7.6</v>
      </c>
      <c r="M1220" s="1" t="str">
        <f t="shared" si="77"/>
        <v/>
      </c>
      <c r="N1220" s="2">
        <f t="shared" si="78"/>
        <v>45748</v>
      </c>
      <c r="O1220" t="str">
        <f t="shared" si="79"/>
        <v>iné</v>
      </c>
    </row>
    <row r="1221" spans="1:15" x14ac:dyDescent="0.25">
      <c r="A1221">
        <v>8729</v>
      </c>
      <c r="B1221" s="11">
        <v>4028899001126</v>
      </c>
      <c r="C1221" s="1" t="s">
        <v>16</v>
      </c>
      <c r="D1221" s="1" t="s">
        <v>12</v>
      </c>
      <c r="E1221" s="1" t="s">
        <v>17</v>
      </c>
      <c r="F1221">
        <v>2.8</v>
      </c>
      <c r="G1221">
        <v>4</v>
      </c>
      <c r="H1221" s="1" t="s">
        <v>23</v>
      </c>
      <c r="I1221" s="1" t="s">
        <v>216</v>
      </c>
      <c r="J1221" s="12">
        <v>45754</v>
      </c>
      <c r="K1221">
        <v>0</v>
      </c>
      <c r="L1221" s="1">
        <f t="shared" si="76"/>
        <v>11.2</v>
      </c>
      <c r="M1221" s="1">
        <f t="shared" si="77"/>
        <v>5</v>
      </c>
      <c r="N1221" s="2">
        <f t="shared" si="78"/>
        <v>45748</v>
      </c>
      <c r="O1221" t="str">
        <f t="shared" si="79"/>
        <v>pes</v>
      </c>
    </row>
    <row r="1222" spans="1:15" x14ac:dyDescent="0.25">
      <c r="A1222">
        <v>8730</v>
      </c>
      <c r="B1222" s="11">
        <v>4013456789017</v>
      </c>
      <c r="C1222" s="1" t="s">
        <v>11</v>
      </c>
      <c r="D1222" s="1" t="s">
        <v>12</v>
      </c>
      <c r="E1222" s="1" t="s">
        <v>13</v>
      </c>
      <c r="F1222">
        <v>6</v>
      </c>
      <c r="G1222">
        <v>2</v>
      </c>
      <c r="H1222" s="1" t="s">
        <v>14</v>
      </c>
      <c r="I1222" s="1" t="s">
        <v>15</v>
      </c>
      <c r="J1222" s="12">
        <v>45754</v>
      </c>
      <c r="K1222">
        <v>0</v>
      </c>
      <c r="L1222" s="1">
        <f t="shared" si="76"/>
        <v>12</v>
      </c>
      <c r="M1222" s="1" t="str">
        <f t="shared" si="77"/>
        <v/>
      </c>
      <c r="N1222" s="2">
        <f t="shared" si="78"/>
        <v>45748</v>
      </c>
      <c r="O1222" t="str">
        <f t="shared" si="79"/>
        <v>pes</v>
      </c>
    </row>
    <row r="1223" spans="1:15" x14ac:dyDescent="0.25">
      <c r="A1223">
        <v>8731</v>
      </c>
      <c r="B1223" s="11">
        <v>4040123456795</v>
      </c>
      <c r="C1223" s="1" t="s">
        <v>20</v>
      </c>
      <c r="D1223" s="1" t="s">
        <v>21</v>
      </c>
      <c r="E1223" s="1" t="s">
        <v>22</v>
      </c>
      <c r="F1223">
        <v>8.8000000000000007</v>
      </c>
      <c r="G1223">
        <v>1</v>
      </c>
      <c r="H1223" s="1" t="s">
        <v>14</v>
      </c>
      <c r="I1223" s="1" t="s">
        <v>15</v>
      </c>
      <c r="J1223" s="12">
        <v>45754</v>
      </c>
      <c r="K1223">
        <v>0</v>
      </c>
      <c r="L1223" s="1">
        <f t="shared" si="76"/>
        <v>8.8000000000000007</v>
      </c>
      <c r="M1223" s="1" t="str">
        <f t="shared" si="77"/>
        <v/>
      </c>
      <c r="N1223" s="2">
        <f t="shared" si="78"/>
        <v>45748</v>
      </c>
      <c r="O1223" t="str">
        <f t="shared" si="79"/>
        <v>pes</v>
      </c>
    </row>
    <row r="1224" spans="1:15" hidden="1" x14ac:dyDescent="0.25">
      <c r="A1224">
        <v>8732</v>
      </c>
      <c r="B1224" s="11">
        <v>4010123456783</v>
      </c>
      <c r="C1224" s="1" t="s">
        <v>35</v>
      </c>
      <c r="D1224" s="1" t="s">
        <v>36</v>
      </c>
      <c r="E1224" s="1" t="s">
        <v>37</v>
      </c>
      <c r="F1224">
        <v>14</v>
      </c>
      <c r="G1224">
        <v>1</v>
      </c>
      <c r="H1224" s="1" t="s">
        <v>14</v>
      </c>
      <c r="I1224" s="1" t="s">
        <v>15</v>
      </c>
      <c r="J1224" s="12">
        <v>45755</v>
      </c>
      <c r="K1224">
        <v>0</v>
      </c>
      <c r="L1224" s="1">
        <f t="shared" si="76"/>
        <v>14</v>
      </c>
      <c r="M1224" s="1" t="str">
        <f t="shared" si="77"/>
        <v/>
      </c>
      <c r="N1224" s="2">
        <f t="shared" si="78"/>
        <v>45748</v>
      </c>
      <c r="O1224" t="str">
        <f t="shared" si="79"/>
        <v>mačka</v>
      </c>
    </row>
    <row r="1225" spans="1:15" x14ac:dyDescent="0.25">
      <c r="A1225">
        <v>8733</v>
      </c>
      <c r="B1225" s="11">
        <v>4063456789014</v>
      </c>
      <c r="C1225" s="1" t="s">
        <v>60</v>
      </c>
      <c r="D1225" s="1" t="s">
        <v>12</v>
      </c>
      <c r="E1225" s="1" t="s">
        <v>61</v>
      </c>
      <c r="F1225">
        <v>36</v>
      </c>
      <c r="G1225">
        <v>1</v>
      </c>
      <c r="H1225" s="1" t="s">
        <v>14</v>
      </c>
      <c r="I1225" s="1" t="s">
        <v>15</v>
      </c>
      <c r="J1225" s="12">
        <v>45755</v>
      </c>
      <c r="K1225">
        <v>0</v>
      </c>
      <c r="L1225" s="1">
        <f t="shared" si="76"/>
        <v>36</v>
      </c>
      <c r="M1225" s="1" t="str">
        <f t="shared" si="77"/>
        <v/>
      </c>
      <c r="N1225" s="2">
        <f t="shared" si="78"/>
        <v>45748</v>
      </c>
      <c r="O1225" t="str">
        <f t="shared" si="79"/>
        <v>pes</v>
      </c>
    </row>
    <row r="1226" spans="1:15" hidden="1" x14ac:dyDescent="0.25">
      <c r="A1226">
        <v>8734</v>
      </c>
      <c r="B1226" s="11">
        <v>4021234567894</v>
      </c>
      <c r="C1226" s="1" t="s">
        <v>79</v>
      </c>
      <c r="D1226" s="1" t="s">
        <v>36</v>
      </c>
      <c r="E1226" s="1" t="s">
        <v>69</v>
      </c>
      <c r="F1226">
        <v>8</v>
      </c>
      <c r="G1226">
        <v>1</v>
      </c>
      <c r="H1226" s="1" t="s">
        <v>18</v>
      </c>
      <c r="I1226" s="1" t="s">
        <v>217</v>
      </c>
      <c r="J1226" s="12">
        <v>45755</v>
      </c>
      <c r="K1226">
        <v>0</v>
      </c>
      <c r="L1226" s="1">
        <f t="shared" si="76"/>
        <v>8</v>
      </c>
      <c r="M1226" s="1">
        <f t="shared" si="77"/>
        <v>4</v>
      </c>
      <c r="N1226" s="2">
        <f t="shared" si="78"/>
        <v>45748</v>
      </c>
      <c r="O1226" t="str">
        <f t="shared" si="79"/>
        <v>mačka</v>
      </c>
    </row>
    <row r="1227" spans="1:15" hidden="1" x14ac:dyDescent="0.25">
      <c r="A1227">
        <v>8735</v>
      </c>
      <c r="B1227" s="11">
        <v>4056789012345</v>
      </c>
      <c r="C1227" s="1" t="s">
        <v>47</v>
      </c>
      <c r="D1227" s="1" t="s">
        <v>29</v>
      </c>
      <c r="E1227" s="1" t="s">
        <v>37</v>
      </c>
      <c r="F1227">
        <v>2.4</v>
      </c>
      <c r="G1227">
        <v>3</v>
      </c>
      <c r="H1227" s="1" t="s">
        <v>14</v>
      </c>
      <c r="I1227" s="1" t="s">
        <v>15</v>
      </c>
      <c r="J1227" s="12">
        <v>45755</v>
      </c>
      <c r="K1227">
        <v>0</v>
      </c>
      <c r="L1227" s="1">
        <f t="shared" si="76"/>
        <v>7.1999999999999993</v>
      </c>
      <c r="M1227" s="1" t="str">
        <f t="shared" si="77"/>
        <v/>
      </c>
      <c r="N1227" s="2">
        <f t="shared" si="78"/>
        <v>45748</v>
      </c>
      <c r="O1227" t="str">
        <f t="shared" si="79"/>
        <v>mačka</v>
      </c>
    </row>
    <row r="1228" spans="1:15" x14ac:dyDescent="0.25">
      <c r="A1228">
        <v>8736</v>
      </c>
      <c r="B1228" s="11">
        <v>4061011223346</v>
      </c>
      <c r="C1228" s="1" t="s">
        <v>25</v>
      </c>
      <c r="D1228" s="1" t="s">
        <v>26</v>
      </c>
      <c r="E1228" s="1" t="s">
        <v>27</v>
      </c>
      <c r="F1228">
        <v>19.600000000000001</v>
      </c>
      <c r="G1228">
        <v>1</v>
      </c>
      <c r="H1228" s="1" t="s">
        <v>14</v>
      </c>
      <c r="I1228" s="1" t="s">
        <v>15</v>
      </c>
      <c r="J1228" s="12">
        <v>45755</v>
      </c>
      <c r="K1228">
        <v>0</v>
      </c>
      <c r="L1228" s="1">
        <f t="shared" si="76"/>
        <v>19.600000000000001</v>
      </c>
      <c r="M1228" s="1" t="str">
        <f t="shared" si="77"/>
        <v/>
      </c>
      <c r="N1228" s="2">
        <f t="shared" si="78"/>
        <v>45748</v>
      </c>
      <c r="O1228" t="str">
        <f t="shared" si="79"/>
        <v>pes</v>
      </c>
    </row>
    <row r="1229" spans="1:15" hidden="1" x14ac:dyDescent="0.25">
      <c r="A1229">
        <v>8737</v>
      </c>
      <c r="B1229" s="11">
        <v>4026677889902</v>
      </c>
      <c r="C1229" s="1" t="s">
        <v>52</v>
      </c>
      <c r="D1229" s="1" t="s">
        <v>53</v>
      </c>
      <c r="E1229" s="1" t="s">
        <v>54</v>
      </c>
      <c r="F1229">
        <v>7.6</v>
      </c>
      <c r="G1229">
        <v>1</v>
      </c>
      <c r="H1229" s="1" t="s">
        <v>14</v>
      </c>
      <c r="I1229" s="1" t="s">
        <v>15</v>
      </c>
      <c r="J1229" s="12">
        <v>45755</v>
      </c>
      <c r="K1229">
        <v>0</v>
      </c>
      <c r="L1229" s="1">
        <f t="shared" si="76"/>
        <v>7.6</v>
      </c>
      <c r="M1229" s="1" t="str">
        <f t="shared" si="77"/>
        <v/>
      </c>
      <c r="N1229" s="2">
        <f t="shared" si="78"/>
        <v>45748</v>
      </c>
      <c r="O1229" t="str">
        <f t="shared" si="79"/>
        <v>iné</v>
      </c>
    </row>
    <row r="1230" spans="1:15" x14ac:dyDescent="0.25">
      <c r="A1230">
        <v>8738</v>
      </c>
      <c r="B1230" s="11">
        <v>4028899001126</v>
      </c>
      <c r="C1230" s="1" t="s">
        <v>16</v>
      </c>
      <c r="D1230" s="1" t="s">
        <v>12</v>
      </c>
      <c r="E1230" s="1" t="s">
        <v>17</v>
      </c>
      <c r="F1230">
        <v>2.8</v>
      </c>
      <c r="G1230">
        <v>3</v>
      </c>
      <c r="H1230" s="1" t="s">
        <v>14</v>
      </c>
      <c r="I1230" s="1" t="s">
        <v>15</v>
      </c>
      <c r="J1230" s="12">
        <v>45755</v>
      </c>
      <c r="K1230">
        <v>0</v>
      </c>
      <c r="L1230" s="1">
        <f t="shared" si="76"/>
        <v>8.3999999999999986</v>
      </c>
      <c r="M1230" s="1" t="str">
        <f t="shared" si="77"/>
        <v/>
      </c>
      <c r="N1230" s="2">
        <f t="shared" si="78"/>
        <v>45748</v>
      </c>
      <c r="O1230" t="str">
        <f t="shared" si="79"/>
        <v>pes</v>
      </c>
    </row>
    <row r="1231" spans="1:15" x14ac:dyDescent="0.25">
      <c r="A1231">
        <v>8739</v>
      </c>
      <c r="B1231" s="11">
        <v>4013456789017</v>
      </c>
      <c r="C1231" s="1" t="s">
        <v>11</v>
      </c>
      <c r="D1231" s="1" t="s">
        <v>12</v>
      </c>
      <c r="E1231" s="1" t="s">
        <v>13</v>
      </c>
      <c r="F1231">
        <v>6</v>
      </c>
      <c r="G1231">
        <v>1</v>
      </c>
      <c r="H1231" s="1" t="s">
        <v>14</v>
      </c>
      <c r="I1231" s="1" t="s">
        <v>15</v>
      </c>
      <c r="J1231" s="12">
        <v>45755</v>
      </c>
      <c r="K1231">
        <v>0</v>
      </c>
      <c r="L1231" s="1">
        <f t="shared" si="76"/>
        <v>6</v>
      </c>
      <c r="M1231" s="1" t="str">
        <f t="shared" si="77"/>
        <v/>
      </c>
      <c r="N1231" s="2">
        <f t="shared" si="78"/>
        <v>45748</v>
      </c>
      <c r="O1231" t="str">
        <f t="shared" si="79"/>
        <v>pes</v>
      </c>
    </row>
    <row r="1232" spans="1:15" x14ac:dyDescent="0.25">
      <c r="A1232">
        <v>8740</v>
      </c>
      <c r="B1232" s="11">
        <v>4040123456795</v>
      </c>
      <c r="C1232" s="1" t="s">
        <v>20</v>
      </c>
      <c r="D1232" s="1" t="s">
        <v>21</v>
      </c>
      <c r="E1232" s="1" t="s">
        <v>22</v>
      </c>
      <c r="F1232">
        <v>8.8000000000000007</v>
      </c>
      <c r="G1232">
        <v>1</v>
      </c>
      <c r="H1232" s="1" t="s">
        <v>23</v>
      </c>
      <c r="I1232" s="1" t="s">
        <v>218</v>
      </c>
      <c r="J1232" s="12">
        <v>45756</v>
      </c>
      <c r="K1232">
        <v>0</v>
      </c>
      <c r="L1232" s="1">
        <f t="shared" si="76"/>
        <v>8.8000000000000007</v>
      </c>
      <c r="M1232" s="1">
        <f t="shared" si="77"/>
        <v>5</v>
      </c>
      <c r="N1232" s="2">
        <f t="shared" si="78"/>
        <v>45748</v>
      </c>
      <c r="O1232" t="str">
        <f t="shared" si="79"/>
        <v>pes</v>
      </c>
    </row>
    <row r="1233" spans="1:15" hidden="1" x14ac:dyDescent="0.25">
      <c r="A1233">
        <v>8741</v>
      </c>
      <c r="B1233" s="11">
        <v>4010123456783</v>
      </c>
      <c r="C1233" s="1" t="s">
        <v>35</v>
      </c>
      <c r="D1233" s="1" t="s">
        <v>36</v>
      </c>
      <c r="E1233" s="1" t="s">
        <v>37</v>
      </c>
      <c r="F1233">
        <v>14</v>
      </c>
      <c r="G1233">
        <v>2</v>
      </c>
      <c r="H1233" s="1" t="s">
        <v>14</v>
      </c>
      <c r="I1233" s="1" t="s">
        <v>15</v>
      </c>
      <c r="J1233" s="12">
        <v>45756</v>
      </c>
      <c r="K1233">
        <v>0</v>
      </c>
      <c r="L1233" s="1">
        <f t="shared" si="76"/>
        <v>28</v>
      </c>
      <c r="M1233" s="1" t="str">
        <f t="shared" si="77"/>
        <v/>
      </c>
      <c r="N1233" s="2">
        <f t="shared" si="78"/>
        <v>45748</v>
      </c>
      <c r="O1233" t="str">
        <f t="shared" si="79"/>
        <v>mačka</v>
      </c>
    </row>
    <row r="1234" spans="1:15" x14ac:dyDescent="0.25">
      <c r="A1234">
        <v>8742</v>
      </c>
      <c r="B1234" s="11">
        <v>4063456789014</v>
      </c>
      <c r="C1234" s="1" t="s">
        <v>60</v>
      </c>
      <c r="D1234" s="1" t="s">
        <v>12</v>
      </c>
      <c r="E1234" s="1" t="s">
        <v>61</v>
      </c>
      <c r="F1234">
        <v>36</v>
      </c>
      <c r="G1234">
        <v>1</v>
      </c>
      <c r="H1234" s="1" t="s">
        <v>14</v>
      </c>
      <c r="I1234" s="1" t="s">
        <v>15</v>
      </c>
      <c r="J1234" s="12">
        <v>45756</v>
      </c>
      <c r="K1234">
        <v>0</v>
      </c>
      <c r="L1234" s="1">
        <f t="shared" si="76"/>
        <v>36</v>
      </c>
      <c r="M1234" s="1" t="str">
        <f t="shared" si="77"/>
        <v/>
      </c>
      <c r="N1234" s="2">
        <f t="shared" si="78"/>
        <v>45748</v>
      </c>
      <c r="O1234" t="str">
        <f t="shared" si="79"/>
        <v>pes</v>
      </c>
    </row>
    <row r="1235" spans="1:15" hidden="1" x14ac:dyDescent="0.25">
      <c r="A1235">
        <v>8743</v>
      </c>
      <c r="B1235" s="11">
        <v>4021234567894</v>
      </c>
      <c r="C1235" s="1" t="s">
        <v>79</v>
      </c>
      <c r="D1235" s="1" t="s">
        <v>36</v>
      </c>
      <c r="E1235" s="1" t="s">
        <v>69</v>
      </c>
      <c r="F1235">
        <v>8</v>
      </c>
      <c r="G1235">
        <v>1</v>
      </c>
      <c r="H1235" s="1" t="s">
        <v>14</v>
      </c>
      <c r="I1235" s="1" t="s">
        <v>15</v>
      </c>
      <c r="J1235" s="12">
        <v>45756</v>
      </c>
      <c r="K1235">
        <v>0</v>
      </c>
      <c r="L1235" s="1">
        <f t="shared" si="76"/>
        <v>8</v>
      </c>
      <c r="M1235" s="1" t="str">
        <f t="shared" si="77"/>
        <v/>
      </c>
      <c r="N1235" s="2">
        <f t="shared" si="78"/>
        <v>45748</v>
      </c>
      <c r="O1235" t="str">
        <f t="shared" si="79"/>
        <v>mačka</v>
      </c>
    </row>
    <row r="1236" spans="1:15" hidden="1" x14ac:dyDescent="0.25">
      <c r="A1236">
        <v>8744</v>
      </c>
      <c r="B1236" s="11">
        <v>4056789012345</v>
      </c>
      <c r="C1236" s="1" t="s">
        <v>47</v>
      </c>
      <c r="D1236" s="1" t="s">
        <v>29</v>
      </c>
      <c r="E1236" s="1" t="s">
        <v>37</v>
      </c>
      <c r="F1236">
        <v>2.4</v>
      </c>
      <c r="G1236">
        <v>3</v>
      </c>
      <c r="H1236" s="1" t="s">
        <v>33</v>
      </c>
      <c r="I1236" s="1" t="s">
        <v>219</v>
      </c>
      <c r="J1236" s="12">
        <v>45756</v>
      </c>
      <c r="K1236">
        <v>0</v>
      </c>
      <c r="L1236" s="1">
        <f t="shared" si="76"/>
        <v>7.1999999999999993</v>
      </c>
      <c r="M1236" s="1">
        <f t="shared" si="77"/>
        <v>3</v>
      </c>
      <c r="N1236" s="2">
        <f t="shared" si="78"/>
        <v>45748</v>
      </c>
      <c r="O1236" t="str">
        <f t="shared" si="79"/>
        <v>mačka</v>
      </c>
    </row>
    <row r="1237" spans="1:15" x14ac:dyDescent="0.25">
      <c r="A1237">
        <v>8745</v>
      </c>
      <c r="B1237" s="11">
        <v>4061011223346</v>
      </c>
      <c r="C1237" s="1" t="s">
        <v>25</v>
      </c>
      <c r="D1237" s="1" t="s">
        <v>26</v>
      </c>
      <c r="E1237" s="1" t="s">
        <v>27</v>
      </c>
      <c r="F1237">
        <v>19.600000000000001</v>
      </c>
      <c r="G1237">
        <v>1</v>
      </c>
      <c r="H1237" s="1" t="s">
        <v>14</v>
      </c>
      <c r="I1237" s="1" t="s">
        <v>15</v>
      </c>
      <c r="J1237" s="12">
        <v>45756</v>
      </c>
      <c r="K1237">
        <v>0</v>
      </c>
      <c r="L1237" s="1">
        <f t="shared" si="76"/>
        <v>19.600000000000001</v>
      </c>
      <c r="M1237" s="1" t="str">
        <f t="shared" si="77"/>
        <v/>
      </c>
      <c r="N1237" s="2">
        <f t="shared" si="78"/>
        <v>45748</v>
      </c>
      <c r="O1237" t="str">
        <f t="shared" si="79"/>
        <v>pes</v>
      </c>
    </row>
    <row r="1238" spans="1:15" hidden="1" x14ac:dyDescent="0.25">
      <c r="A1238">
        <v>8746</v>
      </c>
      <c r="B1238" s="11">
        <v>4026677889902</v>
      </c>
      <c r="C1238" s="1" t="s">
        <v>52</v>
      </c>
      <c r="D1238" s="1" t="s">
        <v>53</v>
      </c>
      <c r="E1238" s="1" t="s">
        <v>54</v>
      </c>
      <c r="F1238">
        <v>7.6</v>
      </c>
      <c r="G1238">
        <v>1</v>
      </c>
      <c r="H1238" s="1" t="s">
        <v>14</v>
      </c>
      <c r="I1238" s="1" t="s">
        <v>15</v>
      </c>
      <c r="J1238" s="12">
        <v>45756</v>
      </c>
      <c r="K1238">
        <v>0</v>
      </c>
      <c r="L1238" s="1">
        <f t="shared" si="76"/>
        <v>7.6</v>
      </c>
      <c r="M1238" s="1" t="str">
        <f t="shared" si="77"/>
        <v/>
      </c>
      <c r="N1238" s="2">
        <f t="shared" si="78"/>
        <v>45748</v>
      </c>
      <c r="O1238" t="str">
        <f t="shared" si="79"/>
        <v>iné</v>
      </c>
    </row>
    <row r="1239" spans="1:15" x14ac:dyDescent="0.25">
      <c r="A1239">
        <v>8747</v>
      </c>
      <c r="B1239" s="11">
        <v>4028899001126</v>
      </c>
      <c r="C1239" s="1" t="s">
        <v>16</v>
      </c>
      <c r="D1239" s="1" t="s">
        <v>12</v>
      </c>
      <c r="E1239" s="1" t="s">
        <v>17</v>
      </c>
      <c r="F1239">
        <v>2.8</v>
      </c>
      <c r="G1239">
        <v>5</v>
      </c>
      <c r="H1239" s="1" t="s">
        <v>14</v>
      </c>
      <c r="I1239" s="1" t="s">
        <v>15</v>
      </c>
      <c r="J1239" s="12">
        <v>45756</v>
      </c>
      <c r="K1239">
        <v>0</v>
      </c>
      <c r="L1239" s="1">
        <f t="shared" si="76"/>
        <v>14</v>
      </c>
      <c r="M1239" s="1" t="str">
        <f t="shared" si="77"/>
        <v/>
      </c>
      <c r="N1239" s="2">
        <f t="shared" si="78"/>
        <v>45748</v>
      </c>
      <c r="O1239" t="str">
        <f t="shared" si="79"/>
        <v>pes</v>
      </c>
    </row>
    <row r="1240" spans="1:15" x14ac:dyDescent="0.25">
      <c r="A1240">
        <v>8748</v>
      </c>
      <c r="B1240" s="11">
        <v>4013456789017</v>
      </c>
      <c r="C1240" s="1" t="s">
        <v>11</v>
      </c>
      <c r="D1240" s="1" t="s">
        <v>12</v>
      </c>
      <c r="E1240" s="1" t="s">
        <v>13</v>
      </c>
      <c r="F1240">
        <v>6</v>
      </c>
      <c r="G1240">
        <v>2</v>
      </c>
      <c r="H1240" s="1" t="s">
        <v>14</v>
      </c>
      <c r="I1240" s="1" t="s">
        <v>15</v>
      </c>
      <c r="J1240" s="12">
        <v>45757</v>
      </c>
      <c r="K1240">
        <v>0</v>
      </c>
      <c r="L1240" s="1">
        <f t="shared" si="76"/>
        <v>12</v>
      </c>
      <c r="M1240" s="1" t="str">
        <f t="shared" si="77"/>
        <v/>
      </c>
      <c r="N1240" s="2">
        <f t="shared" si="78"/>
        <v>45748</v>
      </c>
      <c r="O1240" t="str">
        <f t="shared" si="79"/>
        <v>pes</v>
      </c>
    </row>
    <row r="1241" spans="1:15" x14ac:dyDescent="0.25">
      <c r="A1241">
        <v>8749</v>
      </c>
      <c r="B1241" s="11">
        <v>4040123456795</v>
      </c>
      <c r="C1241" s="1" t="s">
        <v>20</v>
      </c>
      <c r="D1241" s="1" t="s">
        <v>21</v>
      </c>
      <c r="E1241" s="1" t="s">
        <v>22</v>
      </c>
      <c r="F1241">
        <v>8.8000000000000007</v>
      </c>
      <c r="G1241">
        <v>1</v>
      </c>
      <c r="H1241" s="1" t="s">
        <v>14</v>
      </c>
      <c r="I1241" s="1" t="s">
        <v>15</v>
      </c>
      <c r="J1241" s="12">
        <v>45757</v>
      </c>
      <c r="K1241">
        <v>0</v>
      </c>
      <c r="L1241" s="1">
        <f t="shared" si="76"/>
        <v>8.8000000000000007</v>
      </c>
      <c r="M1241" s="1" t="str">
        <f t="shared" si="77"/>
        <v/>
      </c>
      <c r="N1241" s="2">
        <f t="shared" si="78"/>
        <v>45748</v>
      </c>
      <c r="O1241" t="str">
        <f t="shared" si="79"/>
        <v>pes</v>
      </c>
    </row>
    <row r="1242" spans="1:15" hidden="1" x14ac:dyDescent="0.25">
      <c r="A1242">
        <v>8750</v>
      </c>
      <c r="B1242" s="11">
        <v>4010123456783</v>
      </c>
      <c r="C1242" s="1" t="s">
        <v>35</v>
      </c>
      <c r="D1242" s="1" t="s">
        <v>36</v>
      </c>
      <c r="E1242" s="1" t="s">
        <v>37</v>
      </c>
      <c r="F1242">
        <v>14</v>
      </c>
      <c r="G1242">
        <v>1</v>
      </c>
      <c r="H1242" s="1" t="s">
        <v>14</v>
      </c>
      <c r="I1242" s="1" t="s">
        <v>15</v>
      </c>
      <c r="J1242" s="12">
        <v>45757</v>
      </c>
      <c r="K1242">
        <v>0</v>
      </c>
      <c r="L1242" s="1">
        <f t="shared" si="76"/>
        <v>14</v>
      </c>
      <c r="M1242" s="1" t="str">
        <f t="shared" si="77"/>
        <v/>
      </c>
      <c r="N1242" s="2">
        <f t="shared" si="78"/>
        <v>45748</v>
      </c>
      <c r="O1242" t="str">
        <f t="shared" si="79"/>
        <v>mačka</v>
      </c>
    </row>
    <row r="1243" spans="1:15" x14ac:dyDescent="0.25">
      <c r="A1243">
        <v>8751</v>
      </c>
      <c r="B1243" s="11">
        <v>4063456789014</v>
      </c>
      <c r="C1243" s="1" t="s">
        <v>60</v>
      </c>
      <c r="D1243" s="1" t="s">
        <v>12</v>
      </c>
      <c r="E1243" s="1" t="s">
        <v>61</v>
      </c>
      <c r="F1243">
        <v>36</v>
      </c>
      <c r="G1243">
        <v>1</v>
      </c>
      <c r="H1243" s="1" t="s">
        <v>18</v>
      </c>
      <c r="I1243" s="1" t="s">
        <v>220</v>
      </c>
      <c r="J1243" s="12">
        <v>45757</v>
      </c>
      <c r="K1243">
        <v>0</v>
      </c>
      <c r="L1243" s="1">
        <f t="shared" si="76"/>
        <v>36</v>
      </c>
      <c r="M1243" s="1">
        <f t="shared" si="77"/>
        <v>4</v>
      </c>
      <c r="N1243" s="2">
        <f t="shared" si="78"/>
        <v>45748</v>
      </c>
      <c r="O1243" t="str">
        <f t="shared" si="79"/>
        <v>pes</v>
      </c>
    </row>
    <row r="1244" spans="1:15" hidden="1" x14ac:dyDescent="0.25">
      <c r="A1244">
        <v>8752</v>
      </c>
      <c r="B1244" s="11">
        <v>4021234567894</v>
      </c>
      <c r="C1244" s="1" t="s">
        <v>79</v>
      </c>
      <c r="D1244" s="1" t="s">
        <v>36</v>
      </c>
      <c r="E1244" s="1" t="s">
        <v>69</v>
      </c>
      <c r="F1244">
        <v>8</v>
      </c>
      <c r="G1244">
        <v>1</v>
      </c>
      <c r="H1244" s="1" t="s">
        <v>14</v>
      </c>
      <c r="I1244" s="1" t="s">
        <v>15</v>
      </c>
      <c r="J1244" s="12">
        <v>45757</v>
      </c>
      <c r="K1244">
        <v>0</v>
      </c>
      <c r="L1244" s="1">
        <f t="shared" si="76"/>
        <v>8</v>
      </c>
      <c r="M1244" s="1" t="str">
        <f t="shared" si="77"/>
        <v/>
      </c>
      <c r="N1244" s="2">
        <f t="shared" si="78"/>
        <v>45748</v>
      </c>
      <c r="O1244" t="str">
        <f t="shared" si="79"/>
        <v>mačka</v>
      </c>
    </row>
    <row r="1245" spans="1:15" hidden="1" x14ac:dyDescent="0.25">
      <c r="A1245">
        <v>8753</v>
      </c>
      <c r="B1245" s="11">
        <v>4056789012345</v>
      </c>
      <c r="C1245" s="1" t="s">
        <v>47</v>
      </c>
      <c r="D1245" s="1" t="s">
        <v>29</v>
      </c>
      <c r="E1245" s="1" t="s">
        <v>37</v>
      </c>
      <c r="F1245">
        <v>2.4</v>
      </c>
      <c r="G1245">
        <v>2</v>
      </c>
      <c r="H1245" s="1" t="s">
        <v>14</v>
      </c>
      <c r="I1245" s="1" t="s">
        <v>15</v>
      </c>
      <c r="J1245" s="12">
        <v>45757</v>
      </c>
      <c r="K1245">
        <v>0</v>
      </c>
      <c r="L1245" s="1">
        <f t="shared" si="76"/>
        <v>4.8</v>
      </c>
      <c r="M1245" s="1" t="str">
        <f t="shared" si="77"/>
        <v/>
      </c>
      <c r="N1245" s="2">
        <f t="shared" si="78"/>
        <v>45748</v>
      </c>
      <c r="O1245" t="str">
        <f t="shared" si="79"/>
        <v>mačka</v>
      </c>
    </row>
    <row r="1246" spans="1:15" x14ac:dyDescent="0.25">
      <c r="A1246">
        <v>8754</v>
      </c>
      <c r="B1246" s="11">
        <v>4061011223346</v>
      </c>
      <c r="C1246" s="1" t="s">
        <v>25</v>
      </c>
      <c r="D1246" s="1" t="s">
        <v>26</v>
      </c>
      <c r="E1246" s="1" t="s">
        <v>27</v>
      </c>
      <c r="F1246">
        <v>19.600000000000001</v>
      </c>
      <c r="G1246">
        <v>1</v>
      </c>
      <c r="H1246" s="1" t="s">
        <v>14</v>
      </c>
      <c r="I1246" s="1" t="s">
        <v>15</v>
      </c>
      <c r="J1246" s="12">
        <v>45757</v>
      </c>
      <c r="K1246">
        <v>0</v>
      </c>
      <c r="L1246" s="1">
        <f t="shared" si="76"/>
        <v>19.600000000000001</v>
      </c>
      <c r="M1246" s="1" t="str">
        <f t="shared" si="77"/>
        <v/>
      </c>
      <c r="N1246" s="2">
        <f t="shared" si="78"/>
        <v>45748</v>
      </c>
      <c r="O1246" t="str">
        <f t="shared" si="79"/>
        <v>pes</v>
      </c>
    </row>
    <row r="1247" spans="1:15" hidden="1" x14ac:dyDescent="0.25">
      <c r="A1247">
        <v>8755</v>
      </c>
      <c r="B1247" s="11">
        <v>4026677889902</v>
      </c>
      <c r="C1247" s="1" t="s">
        <v>52</v>
      </c>
      <c r="D1247" s="1" t="s">
        <v>53</v>
      </c>
      <c r="E1247" s="1" t="s">
        <v>54</v>
      </c>
      <c r="F1247">
        <v>7.6</v>
      </c>
      <c r="G1247">
        <v>1</v>
      </c>
      <c r="H1247" s="1" t="s">
        <v>14</v>
      </c>
      <c r="I1247" s="1" t="s">
        <v>15</v>
      </c>
      <c r="J1247" s="12">
        <v>45757</v>
      </c>
      <c r="K1247">
        <v>0</v>
      </c>
      <c r="L1247" s="1">
        <f t="shared" si="76"/>
        <v>7.6</v>
      </c>
      <c r="M1247" s="1" t="str">
        <f t="shared" si="77"/>
        <v/>
      </c>
      <c r="N1247" s="2">
        <f t="shared" si="78"/>
        <v>45748</v>
      </c>
      <c r="O1247" t="str">
        <f t="shared" si="79"/>
        <v>iné</v>
      </c>
    </row>
    <row r="1248" spans="1:15" x14ac:dyDescent="0.25">
      <c r="A1248">
        <v>8756</v>
      </c>
      <c r="B1248" s="11">
        <v>4028899001126</v>
      </c>
      <c r="C1248" s="1" t="s">
        <v>16</v>
      </c>
      <c r="D1248" s="1" t="s">
        <v>12</v>
      </c>
      <c r="E1248" s="1" t="s">
        <v>17</v>
      </c>
      <c r="F1248">
        <v>2.8</v>
      </c>
      <c r="G1248">
        <v>4</v>
      </c>
      <c r="H1248" s="1" t="s">
        <v>14</v>
      </c>
      <c r="I1248" s="1" t="s">
        <v>15</v>
      </c>
      <c r="J1248" s="12">
        <v>45757</v>
      </c>
      <c r="K1248">
        <v>0</v>
      </c>
      <c r="L1248" s="1">
        <f t="shared" si="76"/>
        <v>11.2</v>
      </c>
      <c r="M1248" s="1" t="str">
        <f t="shared" si="77"/>
        <v/>
      </c>
      <c r="N1248" s="2">
        <f t="shared" si="78"/>
        <v>45748</v>
      </c>
      <c r="O1248" t="str">
        <f t="shared" si="79"/>
        <v>pes</v>
      </c>
    </row>
    <row r="1249" spans="1:15" x14ac:dyDescent="0.25">
      <c r="A1249">
        <v>8757</v>
      </c>
      <c r="B1249" s="11">
        <v>4013456789017</v>
      </c>
      <c r="C1249" s="1" t="s">
        <v>11</v>
      </c>
      <c r="D1249" s="1" t="s">
        <v>12</v>
      </c>
      <c r="E1249" s="1" t="s">
        <v>13</v>
      </c>
      <c r="F1249">
        <v>6</v>
      </c>
      <c r="G1249">
        <v>1</v>
      </c>
      <c r="H1249" s="1" t="s">
        <v>14</v>
      </c>
      <c r="I1249" s="1" t="s">
        <v>15</v>
      </c>
      <c r="J1249" s="12">
        <v>45757</v>
      </c>
      <c r="K1249">
        <v>0</v>
      </c>
      <c r="L1249" s="1">
        <f t="shared" si="76"/>
        <v>6</v>
      </c>
      <c r="M1249" s="1" t="str">
        <f t="shared" si="77"/>
        <v/>
      </c>
      <c r="N1249" s="2">
        <f t="shared" si="78"/>
        <v>45748</v>
      </c>
      <c r="O1249" t="str">
        <f t="shared" si="79"/>
        <v>pes</v>
      </c>
    </row>
    <row r="1250" spans="1:15" x14ac:dyDescent="0.25">
      <c r="A1250">
        <v>8758</v>
      </c>
      <c r="B1250" s="11">
        <v>4040123456795</v>
      </c>
      <c r="C1250" s="1" t="s">
        <v>20</v>
      </c>
      <c r="D1250" s="1" t="s">
        <v>21</v>
      </c>
      <c r="E1250" s="1" t="s">
        <v>22</v>
      </c>
      <c r="F1250">
        <v>8.8000000000000007</v>
      </c>
      <c r="G1250">
        <v>1</v>
      </c>
      <c r="H1250" s="1" t="s">
        <v>14</v>
      </c>
      <c r="I1250" s="1" t="s">
        <v>15</v>
      </c>
      <c r="J1250" s="12">
        <v>45758</v>
      </c>
      <c r="K1250">
        <v>0</v>
      </c>
      <c r="L1250" s="1">
        <f t="shared" si="76"/>
        <v>8.8000000000000007</v>
      </c>
      <c r="M1250" s="1" t="str">
        <f t="shared" si="77"/>
        <v/>
      </c>
      <c r="N1250" s="2">
        <f t="shared" si="78"/>
        <v>45748</v>
      </c>
      <c r="O1250" t="str">
        <f t="shared" si="79"/>
        <v>pes</v>
      </c>
    </row>
    <row r="1251" spans="1:15" hidden="1" x14ac:dyDescent="0.25">
      <c r="A1251">
        <v>8759</v>
      </c>
      <c r="B1251" s="11">
        <v>4010123456783</v>
      </c>
      <c r="C1251" s="1" t="s">
        <v>35</v>
      </c>
      <c r="D1251" s="1" t="s">
        <v>36</v>
      </c>
      <c r="E1251" s="1" t="s">
        <v>37</v>
      </c>
      <c r="F1251">
        <v>14</v>
      </c>
      <c r="G1251">
        <v>2</v>
      </c>
      <c r="H1251" s="1" t="s">
        <v>14</v>
      </c>
      <c r="I1251" s="1" t="s">
        <v>15</v>
      </c>
      <c r="J1251" s="12">
        <v>45758</v>
      </c>
      <c r="K1251">
        <v>0</v>
      </c>
      <c r="L1251" s="1">
        <f t="shared" si="76"/>
        <v>28</v>
      </c>
      <c r="M1251" s="1" t="str">
        <f t="shared" si="77"/>
        <v/>
      </c>
      <c r="N1251" s="2">
        <f t="shared" si="78"/>
        <v>45748</v>
      </c>
      <c r="O1251" t="str">
        <f t="shared" si="79"/>
        <v>mačka</v>
      </c>
    </row>
    <row r="1252" spans="1:15" x14ac:dyDescent="0.25">
      <c r="A1252">
        <v>8760</v>
      </c>
      <c r="B1252" s="11">
        <v>4063456789014</v>
      </c>
      <c r="C1252" s="1" t="s">
        <v>60</v>
      </c>
      <c r="D1252" s="1" t="s">
        <v>12</v>
      </c>
      <c r="E1252" s="1" t="s">
        <v>61</v>
      </c>
      <c r="F1252">
        <v>36</v>
      </c>
      <c r="G1252">
        <v>1</v>
      </c>
      <c r="H1252" s="1" t="s">
        <v>14</v>
      </c>
      <c r="I1252" s="1" t="s">
        <v>15</v>
      </c>
      <c r="J1252" s="12">
        <v>45758</v>
      </c>
      <c r="K1252">
        <v>0</v>
      </c>
      <c r="L1252" s="1">
        <f t="shared" si="76"/>
        <v>36</v>
      </c>
      <c r="M1252" s="1" t="str">
        <f t="shared" si="77"/>
        <v/>
      </c>
      <c r="N1252" s="2">
        <f t="shared" si="78"/>
        <v>45748</v>
      </c>
      <c r="O1252" t="str">
        <f t="shared" si="79"/>
        <v>pes</v>
      </c>
    </row>
    <row r="1253" spans="1:15" hidden="1" x14ac:dyDescent="0.25">
      <c r="A1253">
        <v>8761</v>
      </c>
      <c r="B1253" s="11">
        <v>4021234567894</v>
      </c>
      <c r="C1253" s="1" t="s">
        <v>79</v>
      </c>
      <c r="D1253" s="1" t="s">
        <v>36</v>
      </c>
      <c r="E1253" s="1" t="s">
        <v>69</v>
      </c>
      <c r="F1253">
        <v>8</v>
      </c>
      <c r="G1253">
        <v>1</v>
      </c>
      <c r="H1253" s="1" t="s">
        <v>23</v>
      </c>
      <c r="I1253" s="1" t="s">
        <v>221</v>
      </c>
      <c r="J1253" s="12">
        <v>45758</v>
      </c>
      <c r="K1253">
        <v>0</v>
      </c>
      <c r="L1253" s="1">
        <f t="shared" si="76"/>
        <v>8</v>
      </c>
      <c r="M1253" s="1">
        <f t="shared" si="77"/>
        <v>5</v>
      </c>
      <c r="N1253" s="2">
        <f t="shared" si="78"/>
        <v>45748</v>
      </c>
      <c r="O1253" t="str">
        <f t="shared" si="79"/>
        <v>mačka</v>
      </c>
    </row>
    <row r="1254" spans="1:15" hidden="1" x14ac:dyDescent="0.25">
      <c r="A1254">
        <v>8762</v>
      </c>
      <c r="B1254" s="11">
        <v>4056789012345</v>
      </c>
      <c r="C1254" s="1" t="s">
        <v>47</v>
      </c>
      <c r="D1254" s="1" t="s">
        <v>29</v>
      </c>
      <c r="E1254" s="1" t="s">
        <v>37</v>
      </c>
      <c r="F1254">
        <v>2.4</v>
      </c>
      <c r="G1254">
        <v>3</v>
      </c>
      <c r="H1254" s="1" t="s">
        <v>14</v>
      </c>
      <c r="I1254" s="1" t="s">
        <v>15</v>
      </c>
      <c r="J1254" s="12">
        <v>45758</v>
      </c>
      <c r="K1254">
        <v>0</v>
      </c>
      <c r="L1254" s="1">
        <f t="shared" si="76"/>
        <v>7.1999999999999993</v>
      </c>
      <c r="M1254" s="1" t="str">
        <f t="shared" si="77"/>
        <v/>
      </c>
      <c r="N1254" s="2">
        <f t="shared" si="78"/>
        <v>45748</v>
      </c>
      <c r="O1254" t="str">
        <f t="shared" si="79"/>
        <v>mačka</v>
      </c>
    </row>
    <row r="1255" spans="1:15" x14ac:dyDescent="0.25">
      <c r="A1255">
        <v>8763</v>
      </c>
      <c r="B1255" s="11">
        <v>4061011223346</v>
      </c>
      <c r="C1255" s="1" t="s">
        <v>25</v>
      </c>
      <c r="D1255" s="1" t="s">
        <v>26</v>
      </c>
      <c r="E1255" s="1" t="s">
        <v>27</v>
      </c>
      <c r="F1255">
        <v>19.600000000000001</v>
      </c>
      <c r="G1255">
        <v>1</v>
      </c>
      <c r="H1255" s="1" t="s">
        <v>14</v>
      </c>
      <c r="I1255" s="1" t="s">
        <v>15</v>
      </c>
      <c r="J1255" s="12">
        <v>45758</v>
      </c>
      <c r="K1255">
        <v>0</v>
      </c>
      <c r="L1255" s="1">
        <f t="shared" si="76"/>
        <v>19.600000000000001</v>
      </c>
      <c r="M1255" s="1" t="str">
        <f t="shared" si="77"/>
        <v/>
      </c>
      <c r="N1255" s="2">
        <f t="shared" si="78"/>
        <v>45748</v>
      </c>
      <c r="O1255" t="str">
        <f t="shared" si="79"/>
        <v>pes</v>
      </c>
    </row>
    <row r="1256" spans="1:15" hidden="1" x14ac:dyDescent="0.25">
      <c r="A1256">
        <v>8764</v>
      </c>
      <c r="B1256" s="11">
        <v>4026677889902</v>
      </c>
      <c r="C1256" s="1" t="s">
        <v>52</v>
      </c>
      <c r="D1256" s="1" t="s">
        <v>53</v>
      </c>
      <c r="E1256" s="1" t="s">
        <v>54</v>
      </c>
      <c r="F1256">
        <v>7.6</v>
      </c>
      <c r="G1256">
        <v>1</v>
      </c>
      <c r="H1256" s="1" t="s">
        <v>14</v>
      </c>
      <c r="I1256" s="1" t="s">
        <v>15</v>
      </c>
      <c r="J1256" s="12">
        <v>45758</v>
      </c>
      <c r="K1256">
        <v>0</v>
      </c>
      <c r="L1256" s="1">
        <f t="shared" si="76"/>
        <v>7.6</v>
      </c>
      <c r="M1256" s="1" t="str">
        <f t="shared" si="77"/>
        <v/>
      </c>
      <c r="N1256" s="2">
        <f t="shared" si="78"/>
        <v>45748</v>
      </c>
      <c r="O1256" t="str">
        <f t="shared" si="79"/>
        <v>iné</v>
      </c>
    </row>
    <row r="1257" spans="1:15" x14ac:dyDescent="0.25">
      <c r="A1257">
        <v>8765</v>
      </c>
      <c r="B1257" s="11">
        <v>4028899001126</v>
      </c>
      <c r="C1257" s="1" t="s">
        <v>16</v>
      </c>
      <c r="D1257" s="1" t="s">
        <v>12</v>
      </c>
      <c r="E1257" s="1" t="s">
        <v>17</v>
      </c>
      <c r="F1257">
        <v>2.8</v>
      </c>
      <c r="G1257">
        <v>3</v>
      </c>
      <c r="H1257" s="1" t="s">
        <v>14</v>
      </c>
      <c r="I1257" s="1" t="s">
        <v>15</v>
      </c>
      <c r="J1257" s="12">
        <v>45758</v>
      </c>
      <c r="K1257">
        <v>0</v>
      </c>
      <c r="L1257" s="1">
        <f t="shared" si="76"/>
        <v>8.3999999999999986</v>
      </c>
      <c r="M1257" s="1" t="str">
        <f t="shared" si="77"/>
        <v/>
      </c>
      <c r="N1257" s="2">
        <f t="shared" si="78"/>
        <v>45748</v>
      </c>
      <c r="O1257" t="str">
        <f t="shared" si="79"/>
        <v>pes</v>
      </c>
    </row>
    <row r="1258" spans="1:15" x14ac:dyDescent="0.25">
      <c r="A1258">
        <v>8766</v>
      </c>
      <c r="B1258" s="11">
        <v>4013456789017</v>
      </c>
      <c r="C1258" s="1" t="s">
        <v>11</v>
      </c>
      <c r="D1258" s="1" t="s">
        <v>12</v>
      </c>
      <c r="E1258" s="1" t="s">
        <v>13</v>
      </c>
      <c r="F1258">
        <v>6</v>
      </c>
      <c r="G1258">
        <v>1</v>
      </c>
      <c r="H1258" s="1" t="s">
        <v>14</v>
      </c>
      <c r="I1258" s="1" t="s">
        <v>15</v>
      </c>
      <c r="J1258" s="12">
        <v>45758</v>
      </c>
      <c r="K1258">
        <v>0</v>
      </c>
      <c r="L1258" s="1">
        <f t="shared" si="76"/>
        <v>6</v>
      </c>
      <c r="M1258" s="1" t="str">
        <f t="shared" si="77"/>
        <v/>
      </c>
      <c r="N1258" s="2">
        <f t="shared" si="78"/>
        <v>45748</v>
      </c>
      <c r="O1258" t="str">
        <f t="shared" si="79"/>
        <v>pes</v>
      </c>
    </row>
    <row r="1259" spans="1:15" x14ac:dyDescent="0.25">
      <c r="A1259">
        <v>8767</v>
      </c>
      <c r="B1259" s="11">
        <v>4040123456795</v>
      </c>
      <c r="C1259" s="1" t="s">
        <v>20</v>
      </c>
      <c r="D1259" s="1" t="s">
        <v>21</v>
      </c>
      <c r="E1259" s="1" t="s">
        <v>22</v>
      </c>
      <c r="F1259">
        <v>8.8000000000000007</v>
      </c>
      <c r="G1259">
        <v>1</v>
      </c>
      <c r="H1259" s="1" t="s">
        <v>14</v>
      </c>
      <c r="I1259" s="1" t="s">
        <v>15</v>
      </c>
      <c r="J1259" s="12">
        <v>45759</v>
      </c>
      <c r="K1259">
        <v>0</v>
      </c>
      <c r="L1259" s="1">
        <f t="shared" si="76"/>
        <v>8.8000000000000007</v>
      </c>
      <c r="M1259" s="1" t="str">
        <f t="shared" si="77"/>
        <v/>
      </c>
      <c r="N1259" s="2">
        <f t="shared" si="78"/>
        <v>45748</v>
      </c>
      <c r="O1259" t="str">
        <f t="shared" si="79"/>
        <v>pes</v>
      </c>
    </row>
    <row r="1260" spans="1:15" hidden="1" x14ac:dyDescent="0.25">
      <c r="A1260">
        <v>8768</v>
      </c>
      <c r="B1260" s="11">
        <v>4010123456783</v>
      </c>
      <c r="C1260" s="1" t="s">
        <v>35</v>
      </c>
      <c r="D1260" s="1" t="s">
        <v>36</v>
      </c>
      <c r="E1260" s="1" t="s">
        <v>37</v>
      </c>
      <c r="F1260">
        <v>14</v>
      </c>
      <c r="G1260">
        <v>1</v>
      </c>
      <c r="H1260" s="1" t="s">
        <v>14</v>
      </c>
      <c r="I1260" s="1" t="s">
        <v>15</v>
      </c>
      <c r="J1260" s="12">
        <v>45759</v>
      </c>
      <c r="K1260">
        <v>0</v>
      </c>
      <c r="L1260" s="1">
        <f t="shared" si="76"/>
        <v>14</v>
      </c>
      <c r="M1260" s="1" t="str">
        <f t="shared" si="77"/>
        <v/>
      </c>
      <c r="N1260" s="2">
        <f t="shared" si="78"/>
        <v>45748</v>
      </c>
      <c r="O1260" t="str">
        <f t="shared" si="79"/>
        <v>mačka</v>
      </c>
    </row>
    <row r="1261" spans="1:15" x14ac:dyDescent="0.25">
      <c r="A1261">
        <v>8769</v>
      </c>
      <c r="B1261" s="11">
        <v>4063456789014</v>
      </c>
      <c r="C1261" s="1" t="s">
        <v>60</v>
      </c>
      <c r="D1261" s="1" t="s">
        <v>12</v>
      </c>
      <c r="E1261" s="1" t="s">
        <v>61</v>
      </c>
      <c r="F1261">
        <v>36</v>
      </c>
      <c r="G1261">
        <v>1</v>
      </c>
      <c r="H1261" s="1" t="s">
        <v>33</v>
      </c>
      <c r="I1261" s="1" t="s">
        <v>14</v>
      </c>
      <c r="J1261" s="12">
        <v>45759</v>
      </c>
      <c r="K1261">
        <v>0</v>
      </c>
      <c r="L1261" s="1">
        <f t="shared" si="76"/>
        <v>36</v>
      </c>
      <c r="M1261" s="1">
        <f t="shared" si="77"/>
        <v>3</v>
      </c>
      <c r="N1261" s="2">
        <f t="shared" si="78"/>
        <v>45748</v>
      </c>
      <c r="O1261" t="str">
        <f t="shared" si="79"/>
        <v>pes</v>
      </c>
    </row>
    <row r="1262" spans="1:15" hidden="1" x14ac:dyDescent="0.25">
      <c r="A1262">
        <v>8770</v>
      </c>
      <c r="B1262" s="11">
        <v>4021234567894</v>
      </c>
      <c r="C1262" s="1" t="s">
        <v>79</v>
      </c>
      <c r="D1262" s="1" t="s">
        <v>36</v>
      </c>
      <c r="E1262" s="1" t="s">
        <v>69</v>
      </c>
      <c r="F1262">
        <v>8</v>
      </c>
      <c r="G1262">
        <v>1</v>
      </c>
      <c r="H1262" s="1" t="s">
        <v>14</v>
      </c>
      <c r="I1262" s="1" t="s">
        <v>15</v>
      </c>
      <c r="J1262" s="12">
        <v>45759</v>
      </c>
      <c r="K1262">
        <v>0</v>
      </c>
      <c r="L1262" s="1">
        <f t="shared" si="76"/>
        <v>8</v>
      </c>
      <c r="M1262" s="1" t="str">
        <f t="shared" si="77"/>
        <v/>
      </c>
      <c r="N1262" s="2">
        <f t="shared" si="78"/>
        <v>45748</v>
      </c>
      <c r="O1262" t="str">
        <f t="shared" si="79"/>
        <v>mačka</v>
      </c>
    </row>
    <row r="1263" spans="1:15" hidden="1" x14ac:dyDescent="0.25">
      <c r="A1263">
        <v>8771</v>
      </c>
      <c r="B1263" s="11">
        <v>4056789012345</v>
      </c>
      <c r="C1263" s="1" t="s">
        <v>47</v>
      </c>
      <c r="D1263" s="1" t="s">
        <v>29</v>
      </c>
      <c r="E1263" s="1" t="s">
        <v>37</v>
      </c>
      <c r="F1263">
        <v>2.4</v>
      </c>
      <c r="G1263">
        <v>3</v>
      </c>
      <c r="H1263" s="1" t="s">
        <v>14</v>
      </c>
      <c r="I1263" s="1" t="s">
        <v>15</v>
      </c>
      <c r="J1263" s="12">
        <v>45759</v>
      </c>
      <c r="K1263">
        <v>0</v>
      </c>
      <c r="L1263" s="1">
        <f t="shared" si="76"/>
        <v>7.1999999999999993</v>
      </c>
      <c r="M1263" s="1" t="str">
        <f t="shared" si="77"/>
        <v/>
      </c>
      <c r="N1263" s="2">
        <f t="shared" si="78"/>
        <v>45748</v>
      </c>
      <c r="O1263" t="str">
        <f t="shared" si="79"/>
        <v>mačka</v>
      </c>
    </row>
    <row r="1264" spans="1:15" x14ac:dyDescent="0.25">
      <c r="A1264">
        <v>8772</v>
      </c>
      <c r="B1264" s="11">
        <v>4061011223346</v>
      </c>
      <c r="C1264" s="1" t="s">
        <v>25</v>
      </c>
      <c r="D1264" s="1" t="s">
        <v>26</v>
      </c>
      <c r="E1264" s="1" t="s">
        <v>27</v>
      </c>
      <c r="F1264">
        <v>19.600000000000001</v>
      </c>
      <c r="G1264">
        <v>1</v>
      </c>
      <c r="H1264" s="1" t="s">
        <v>14</v>
      </c>
      <c r="I1264" s="1" t="s">
        <v>15</v>
      </c>
      <c r="J1264" s="12">
        <v>45759</v>
      </c>
      <c r="K1264">
        <v>0</v>
      </c>
      <c r="L1264" s="1">
        <f t="shared" si="76"/>
        <v>19.600000000000001</v>
      </c>
      <c r="M1264" s="1" t="str">
        <f t="shared" si="77"/>
        <v/>
      </c>
      <c r="N1264" s="2">
        <f t="shared" si="78"/>
        <v>45748</v>
      </c>
      <c r="O1264" t="str">
        <f t="shared" si="79"/>
        <v>pes</v>
      </c>
    </row>
    <row r="1265" spans="1:15" hidden="1" x14ac:dyDescent="0.25">
      <c r="A1265">
        <v>8773</v>
      </c>
      <c r="B1265" s="11">
        <v>4026677889902</v>
      </c>
      <c r="C1265" s="1" t="s">
        <v>52</v>
      </c>
      <c r="D1265" s="1" t="s">
        <v>53</v>
      </c>
      <c r="E1265" s="1" t="s">
        <v>54</v>
      </c>
      <c r="F1265">
        <v>7.6</v>
      </c>
      <c r="G1265">
        <v>1</v>
      </c>
      <c r="H1265" s="1" t="s">
        <v>14</v>
      </c>
      <c r="I1265" s="1" t="s">
        <v>15</v>
      </c>
      <c r="J1265" s="12">
        <v>45759</v>
      </c>
      <c r="K1265">
        <v>0</v>
      </c>
      <c r="L1265" s="1">
        <f t="shared" si="76"/>
        <v>7.6</v>
      </c>
      <c r="M1265" s="1" t="str">
        <f t="shared" si="77"/>
        <v/>
      </c>
      <c r="N1265" s="2">
        <f t="shared" si="78"/>
        <v>45748</v>
      </c>
      <c r="O1265" t="str">
        <f t="shared" si="79"/>
        <v>iné</v>
      </c>
    </row>
    <row r="1266" spans="1:15" x14ac:dyDescent="0.25">
      <c r="A1266">
        <v>8774</v>
      </c>
      <c r="B1266" s="11">
        <v>4028899001126</v>
      </c>
      <c r="C1266" s="1" t="s">
        <v>16</v>
      </c>
      <c r="D1266" s="1" t="s">
        <v>12</v>
      </c>
      <c r="E1266" s="1" t="s">
        <v>17</v>
      </c>
      <c r="F1266">
        <v>2.8</v>
      </c>
      <c r="G1266">
        <v>4</v>
      </c>
      <c r="H1266" s="1" t="s">
        <v>14</v>
      </c>
      <c r="I1266" s="1" t="s">
        <v>15</v>
      </c>
      <c r="J1266" s="12">
        <v>45759</v>
      </c>
      <c r="K1266">
        <v>0</v>
      </c>
      <c r="L1266" s="1">
        <f t="shared" si="76"/>
        <v>11.2</v>
      </c>
      <c r="M1266" s="1" t="str">
        <f t="shared" si="77"/>
        <v/>
      </c>
      <c r="N1266" s="2">
        <f t="shared" si="78"/>
        <v>45748</v>
      </c>
      <c r="O1266" t="str">
        <f t="shared" si="79"/>
        <v>pes</v>
      </c>
    </row>
    <row r="1267" spans="1:15" x14ac:dyDescent="0.25">
      <c r="A1267">
        <v>8775</v>
      </c>
      <c r="B1267" s="11">
        <v>4013456789017</v>
      </c>
      <c r="C1267" s="1" t="s">
        <v>11</v>
      </c>
      <c r="D1267" s="1" t="s">
        <v>12</v>
      </c>
      <c r="E1267" s="1" t="s">
        <v>13</v>
      </c>
      <c r="F1267">
        <v>6</v>
      </c>
      <c r="G1267">
        <v>1</v>
      </c>
      <c r="H1267" s="1" t="s">
        <v>14</v>
      </c>
      <c r="I1267" s="1" t="s">
        <v>15</v>
      </c>
      <c r="J1267" s="12">
        <v>45759</v>
      </c>
      <c r="K1267">
        <v>0</v>
      </c>
      <c r="L1267" s="1">
        <f t="shared" si="76"/>
        <v>6</v>
      </c>
      <c r="M1267" s="1" t="str">
        <f t="shared" si="77"/>
        <v/>
      </c>
      <c r="N1267" s="2">
        <f t="shared" si="78"/>
        <v>45748</v>
      </c>
      <c r="O1267" t="str">
        <f t="shared" si="79"/>
        <v>pes</v>
      </c>
    </row>
    <row r="1268" spans="1:15" x14ac:dyDescent="0.25">
      <c r="A1268">
        <v>8776</v>
      </c>
      <c r="B1268" s="11">
        <v>4040123456795</v>
      </c>
      <c r="C1268" s="1" t="s">
        <v>20</v>
      </c>
      <c r="D1268" s="1" t="s">
        <v>21</v>
      </c>
      <c r="E1268" s="1" t="s">
        <v>22</v>
      </c>
      <c r="F1268">
        <v>8.8000000000000007</v>
      </c>
      <c r="G1268">
        <v>1</v>
      </c>
      <c r="H1268" s="1" t="s">
        <v>14</v>
      </c>
      <c r="I1268" s="1" t="s">
        <v>15</v>
      </c>
      <c r="J1268" s="12">
        <v>45759</v>
      </c>
      <c r="K1268">
        <v>0</v>
      </c>
      <c r="L1268" s="1">
        <f t="shared" si="76"/>
        <v>8.8000000000000007</v>
      </c>
      <c r="M1268" s="1" t="str">
        <f t="shared" si="77"/>
        <v/>
      </c>
      <c r="N1268" s="2">
        <f t="shared" si="78"/>
        <v>45748</v>
      </c>
      <c r="O1268" t="str">
        <f t="shared" si="79"/>
        <v>pes</v>
      </c>
    </row>
    <row r="1269" spans="1:15" hidden="1" x14ac:dyDescent="0.25">
      <c r="A1269">
        <v>8777</v>
      </c>
      <c r="B1269" s="11">
        <v>4010123456783</v>
      </c>
      <c r="C1269" s="1" t="s">
        <v>35</v>
      </c>
      <c r="D1269" s="1" t="s">
        <v>36</v>
      </c>
      <c r="E1269" s="1" t="s">
        <v>37</v>
      </c>
      <c r="F1269">
        <v>14</v>
      </c>
      <c r="G1269">
        <v>2</v>
      </c>
      <c r="H1269" s="1" t="s">
        <v>14</v>
      </c>
      <c r="I1269" s="1" t="s">
        <v>15</v>
      </c>
      <c r="J1269" s="12">
        <v>45759</v>
      </c>
      <c r="K1269">
        <v>0</v>
      </c>
      <c r="L1269" s="1">
        <f t="shared" si="76"/>
        <v>28</v>
      </c>
      <c r="M1269" s="1" t="str">
        <f t="shared" si="77"/>
        <v/>
      </c>
      <c r="N1269" s="2">
        <f t="shared" si="78"/>
        <v>45748</v>
      </c>
      <c r="O1269" t="str">
        <f t="shared" si="79"/>
        <v>mačka</v>
      </c>
    </row>
    <row r="1270" spans="1:15" x14ac:dyDescent="0.25">
      <c r="A1270">
        <v>8778</v>
      </c>
      <c r="B1270" s="11">
        <v>4063456789014</v>
      </c>
      <c r="C1270" s="1" t="s">
        <v>60</v>
      </c>
      <c r="D1270" s="1" t="s">
        <v>12</v>
      </c>
      <c r="E1270" s="1" t="s">
        <v>61</v>
      </c>
      <c r="F1270">
        <v>36</v>
      </c>
      <c r="G1270">
        <v>1</v>
      </c>
      <c r="H1270" s="1" t="s">
        <v>23</v>
      </c>
      <c r="I1270" s="1" t="s">
        <v>222</v>
      </c>
      <c r="J1270" s="12">
        <v>45759</v>
      </c>
      <c r="K1270">
        <v>0</v>
      </c>
      <c r="L1270" s="1">
        <f t="shared" si="76"/>
        <v>36</v>
      </c>
      <c r="M1270" s="1">
        <f t="shared" si="77"/>
        <v>5</v>
      </c>
      <c r="N1270" s="2">
        <f t="shared" si="78"/>
        <v>45748</v>
      </c>
      <c r="O1270" t="str">
        <f t="shared" si="79"/>
        <v>pes</v>
      </c>
    </row>
    <row r="1271" spans="1:15" hidden="1" x14ac:dyDescent="0.25">
      <c r="A1271">
        <v>8779</v>
      </c>
      <c r="B1271" s="11">
        <v>4021234567894</v>
      </c>
      <c r="C1271" s="1" t="s">
        <v>79</v>
      </c>
      <c r="D1271" s="1" t="s">
        <v>36</v>
      </c>
      <c r="E1271" s="1" t="s">
        <v>69</v>
      </c>
      <c r="F1271">
        <v>8</v>
      </c>
      <c r="G1271">
        <v>1</v>
      </c>
      <c r="H1271" s="1" t="s">
        <v>14</v>
      </c>
      <c r="I1271" s="1" t="s">
        <v>15</v>
      </c>
      <c r="J1271" s="12">
        <v>45760</v>
      </c>
      <c r="K1271">
        <v>0</v>
      </c>
      <c r="L1271" s="1">
        <f t="shared" si="76"/>
        <v>8</v>
      </c>
      <c r="M1271" s="1" t="str">
        <f t="shared" si="77"/>
        <v/>
      </c>
      <c r="N1271" s="2">
        <f t="shared" si="78"/>
        <v>45748</v>
      </c>
      <c r="O1271" t="str">
        <f t="shared" si="79"/>
        <v>mačka</v>
      </c>
    </row>
    <row r="1272" spans="1:15" hidden="1" x14ac:dyDescent="0.25">
      <c r="A1272">
        <v>8780</v>
      </c>
      <c r="B1272" s="11">
        <v>4056789012345</v>
      </c>
      <c r="C1272" s="1" t="s">
        <v>47</v>
      </c>
      <c r="D1272" s="1" t="s">
        <v>29</v>
      </c>
      <c r="E1272" s="1" t="s">
        <v>37</v>
      </c>
      <c r="F1272">
        <v>2.4</v>
      </c>
      <c r="G1272">
        <v>2</v>
      </c>
      <c r="H1272" s="1" t="s">
        <v>14</v>
      </c>
      <c r="I1272" s="1" t="s">
        <v>15</v>
      </c>
      <c r="J1272" s="12">
        <v>45760</v>
      </c>
      <c r="K1272">
        <v>0</v>
      </c>
      <c r="L1272" s="1">
        <f t="shared" si="76"/>
        <v>4.8</v>
      </c>
      <c r="M1272" s="1" t="str">
        <f t="shared" si="77"/>
        <v/>
      </c>
      <c r="N1272" s="2">
        <f t="shared" si="78"/>
        <v>45748</v>
      </c>
      <c r="O1272" t="str">
        <f t="shared" si="79"/>
        <v>mačka</v>
      </c>
    </row>
    <row r="1273" spans="1:15" x14ac:dyDescent="0.25">
      <c r="A1273">
        <v>8781</v>
      </c>
      <c r="B1273" s="11">
        <v>4061011223346</v>
      </c>
      <c r="C1273" s="1" t="s">
        <v>25</v>
      </c>
      <c r="D1273" s="1" t="s">
        <v>26</v>
      </c>
      <c r="E1273" s="1" t="s">
        <v>27</v>
      </c>
      <c r="F1273">
        <v>19.600000000000001</v>
      </c>
      <c r="G1273">
        <v>1</v>
      </c>
      <c r="H1273" s="1" t="s">
        <v>14</v>
      </c>
      <c r="I1273" s="1" t="s">
        <v>15</v>
      </c>
      <c r="J1273" s="12">
        <v>45760</v>
      </c>
      <c r="K1273">
        <v>0</v>
      </c>
      <c r="L1273" s="1">
        <f t="shared" si="76"/>
        <v>19.600000000000001</v>
      </c>
      <c r="M1273" s="1" t="str">
        <f t="shared" si="77"/>
        <v/>
      </c>
      <c r="N1273" s="2">
        <f t="shared" si="78"/>
        <v>45748</v>
      </c>
      <c r="O1273" t="str">
        <f t="shared" si="79"/>
        <v>pes</v>
      </c>
    </row>
    <row r="1274" spans="1:15" hidden="1" x14ac:dyDescent="0.25">
      <c r="A1274">
        <v>8782</v>
      </c>
      <c r="B1274" s="11">
        <v>4026677889902</v>
      </c>
      <c r="C1274" s="1" t="s">
        <v>52</v>
      </c>
      <c r="D1274" s="1" t="s">
        <v>53</v>
      </c>
      <c r="E1274" s="1" t="s">
        <v>54</v>
      </c>
      <c r="F1274">
        <v>7.6</v>
      </c>
      <c r="G1274">
        <v>1</v>
      </c>
      <c r="H1274" s="1" t="s">
        <v>14</v>
      </c>
      <c r="I1274" s="1" t="s">
        <v>15</v>
      </c>
      <c r="J1274" s="12">
        <v>45760</v>
      </c>
      <c r="K1274">
        <v>0</v>
      </c>
      <c r="L1274" s="1">
        <f t="shared" si="76"/>
        <v>7.6</v>
      </c>
      <c r="M1274" s="1" t="str">
        <f t="shared" si="77"/>
        <v/>
      </c>
      <c r="N1274" s="2">
        <f t="shared" si="78"/>
        <v>45748</v>
      </c>
      <c r="O1274" t="str">
        <f t="shared" si="79"/>
        <v>iné</v>
      </c>
    </row>
    <row r="1275" spans="1:15" x14ac:dyDescent="0.25">
      <c r="A1275">
        <v>8783</v>
      </c>
      <c r="B1275" s="11">
        <v>4028899001126</v>
      </c>
      <c r="C1275" s="1" t="s">
        <v>16</v>
      </c>
      <c r="D1275" s="1" t="s">
        <v>12</v>
      </c>
      <c r="E1275" s="1" t="s">
        <v>17</v>
      </c>
      <c r="F1275">
        <v>2.8</v>
      </c>
      <c r="G1275">
        <v>5</v>
      </c>
      <c r="H1275" s="1" t="s">
        <v>14</v>
      </c>
      <c r="I1275" s="1" t="s">
        <v>15</v>
      </c>
      <c r="J1275" s="12">
        <v>45760</v>
      </c>
      <c r="K1275">
        <v>0</v>
      </c>
      <c r="L1275" s="1">
        <f t="shared" si="76"/>
        <v>14</v>
      </c>
      <c r="M1275" s="1" t="str">
        <f t="shared" si="77"/>
        <v/>
      </c>
      <c r="N1275" s="2">
        <f t="shared" si="78"/>
        <v>45748</v>
      </c>
      <c r="O1275" t="str">
        <f t="shared" si="79"/>
        <v>pes</v>
      </c>
    </row>
    <row r="1276" spans="1:15" x14ac:dyDescent="0.25">
      <c r="A1276">
        <v>8784</v>
      </c>
      <c r="B1276" s="11">
        <v>4013456789017</v>
      </c>
      <c r="C1276" s="1" t="s">
        <v>11</v>
      </c>
      <c r="D1276" s="1" t="s">
        <v>12</v>
      </c>
      <c r="E1276" s="1" t="s">
        <v>13</v>
      </c>
      <c r="F1276">
        <v>6</v>
      </c>
      <c r="G1276">
        <v>1</v>
      </c>
      <c r="H1276" s="1" t="s">
        <v>14</v>
      </c>
      <c r="I1276" s="1" t="s">
        <v>15</v>
      </c>
      <c r="J1276" s="12">
        <v>45760</v>
      </c>
      <c r="K1276">
        <v>0</v>
      </c>
      <c r="L1276" s="1">
        <f t="shared" si="76"/>
        <v>6</v>
      </c>
      <c r="M1276" s="1" t="str">
        <f t="shared" si="77"/>
        <v/>
      </c>
      <c r="N1276" s="2">
        <f t="shared" si="78"/>
        <v>45748</v>
      </c>
      <c r="O1276" t="str">
        <f t="shared" si="79"/>
        <v>pes</v>
      </c>
    </row>
    <row r="1277" spans="1:15" x14ac:dyDescent="0.25">
      <c r="A1277">
        <v>8785</v>
      </c>
      <c r="B1277" s="11">
        <v>4040123456795</v>
      </c>
      <c r="C1277" s="1" t="s">
        <v>20</v>
      </c>
      <c r="D1277" s="1" t="s">
        <v>21</v>
      </c>
      <c r="E1277" s="1" t="s">
        <v>22</v>
      </c>
      <c r="F1277">
        <v>8.8000000000000007</v>
      </c>
      <c r="G1277">
        <v>1</v>
      </c>
      <c r="H1277" s="1" t="s">
        <v>14</v>
      </c>
      <c r="I1277" s="1" t="s">
        <v>15</v>
      </c>
      <c r="J1277" s="12">
        <v>45760</v>
      </c>
      <c r="K1277">
        <v>0</v>
      </c>
      <c r="L1277" s="1">
        <f t="shared" si="76"/>
        <v>8.8000000000000007</v>
      </c>
      <c r="M1277" s="1" t="str">
        <f t="shared" si="77"/>
        <v/>
      </c>
      <c r="N1277" s="2">
        <f t="shared" si="78"/>
        <v>45748</v>
      </c>
      <c r="O1277" t="str">
        <f t="shared" si="79"/>
        <v>pes</v>
      </c>
    </row>
    <row r="1278" spans="1:15" hidden="1" x14ac:dyDescent="0.25">
      <c r="A1278">
        <v>8786</v>
      </c>
      <c r="B1278" s="11">
        <v>4010123456783</v>
      </c>
      <c r="C1278" s="1" t="s">
        <v>35</v>
      </c>
      <c r="D1278" s="1" t="s">
        <v>36</v>
      </c>
      <c r="E1278" s="1" t="s">
        <v>37</v>
      </c>
      <c r="F1278">
        <v>14</v>
      </c>
      <c r="G1278">
        <v>2</v>
      </c>
      <c r="H1278" s="1" t="s">
        <v>14</v>
      </c>
      <c r="I1278" s="1" t="s">
        <v>15</v>
      </c>
      <c r="J1278" s="12">
        <v>45760</v>
      </c>
      <c r="K1278">
        <v>0</v>
      </c>
      <c r="L1278" s="1">
        <f t="shared" si="76"/>
        <v>28</v>
      </c>
      <c r="M1278" s="1" t="str">
        <f t="shared" si="77"/>
        <v/>
      </c>
      <c r="N1278" s="2">
        <f t="shared" si="78"/>
        <v>45748</v>
      </c>
      <c r="O1278" t="str">
        <f t="shared" si="79"/>
        <v>mačka</v>
      </c>
    </row>
    <row r="1279" spans="1:15" x14ac:dyDescent="0.25">
      <c r="A1279">
        <v>8787</v>
      </c>
      <c r="B1279" s="11">
        <v>4063456789014</v>
      </c>
      <c r="C1279" s="1" t="s">
        <v>60</v>
      </c>
      <c r="D1279" s="1" t="s">
        <v>12</v>
      </c>
      <c r="E1279" s="1" t="s">
        <v>61</v>
      </c>
      <c r="F1279">
        <v>36</v>
      </c>
      <c r="G1279">
        <v>1</v>
      </c>
      <c r="H1279" s="1" t="s">
        <v>14</v>
      </c>
      <c r="I1279" s="1" t="s">
        <v>15</v>
      </c>
      <c r="J1279" s="12">
        <v>45760</v>
      </c>
      <c r="K1279">
        <v>0</v>
      </c>
      <c r="L1279" s="1">
        <f t="shared" si="76"/>
        <v>36</v>
      </c>
      <c r="M1279" s="1" t="str">
        <f t="shared" si="77"/>
        <v/>
      </c>
      <c r="N1279" s="2">
        <f t="shared" si="78"/>
        <v>45748</v>
      </c>
      <c r="O1279" t="str">
        <f t="shared" si="79"/>
        <v>pes</v>
      </c>
    </row>
    <row r="1280" spans="1:15" hidden="1" x14ac:dyDescent="0.25">
      <c r="A1280">
        <v>8788</v>
      </c>
      <c r="B1280" s="11">
        <v>4021234567894</v>
      </c>
      <c r="C1280" s="1" t="s">
        <v>79</v>
      </c>
      <c r="D1280" s="1" t="s">
        <v>36</v>
      </c>
      <c r="E1280" s="1" t="s">
        <v>69</v>
      </c>
      <c r="F1280">
        <v>8</v>
      </c>
      <c r="G1280">
        <v>1</v>
      </c>
      <c r="H1280" s="1" t="s">
        <v>14</v>
      </c>
      <c r="I1280" s="1" t="s">
        <v>15</v>
      </c>
      <c r="J1280" s="12">
        <v>45760</v>
      </c>
      <c r="K1280">
        <v>0</v>
      </c>
      <c r="L1280" s="1">
        <f t="shared" si="76"/>
        <v>8</v>
      </c>
      <c r="M1280" s="1" t="str">
        <f t="shared" si="77"/>
        <v/>
      </c>
      <c r="N1280" s="2">
        <f t="shared" si="78"/>
        <v>45748</v>
      </c>
      <c r="O1280" t="str">
        <f t="shared" si="79"/>
        <v>mačka</v>
      </c>
    </row>
    <row r="1281" spans="1:15" hidden="1" x14ac:dyDescent="0.25">
      <c r="A1281">
        <v>8789</v>
      </c>
      <c r="B1281" s="11">
        <v>4056789012345</v>
      </c>
      <c r="C1281" s="1" t="s">
        <v>47</v>
      </c>
      <c r="D1281" s="1" t="s">
        <v>29</v>
      </c>
      <c r="E1281" s="1" t="s">
        <v>37</v>
      </c>
      <c r="F1281">
        <v>2.4</v>
      </c>
      <c r="G1281">
        <v>3</v>
      </c>
      <c r="H1281" s="1" t="s">
        <v>18</v>
      </c>
      <c r="I1281" s="1" t="s">
        <v>223</v>
      </c>
      <c r="J1281" s="12">
        <v>45760</v>
      </c>
      <c r="K1281">
        <v>0</v>
      </c>
      <c r="L1281" s="1">
        <f t="shared" si="76"/>
        <v>7.1999999999999993</v>
      </c>
      <c r="M1281" s="1">
        <f t="shared" si="77"/>
        <v>4</v>
      </c>
      <c r="N1281" s="2">
        <f t="shared" si="78"/>
        <v>45748</v>
      </c>
      <c r="O1281" t="str">
        <f t="shared" si="79"/>
        <v>mačka</v>
      </c>
    </row>
    <row r="1282" spans="1:15" x14ac:dyDescent="0.25">
      <c r="A1282">
        <v>8790</v>
      </c>
      <c r="B1282" s="11">
        <v>4013456789017</v>
      </c>
      <c r="C1282" s="1" t="s">
        <v>11</v>
      </c>
      <c r="D1282" s="1" t="s">
        <v>12</v>
      </c>
      <c r="E1282" s="1" t="s">
        <v>13</v>
      </c>
      <c r="F1282">
        <v>6</v>
      </c>
      <c r="G1282">
        <v>1</v>
      </c>
      <c r="H1282" s="1" t="s">
        <v>14</v>
      </c>
      <c r="I1282" s="1" t="s">
        <v>15</v>
      </c>
      <c r="J1282" s="12">
        <v>45761</v>
      </c>
      <c r="K1282">
        <v>0</v>
      </c>
      <c r="L1282" s="1">
        <f t="shared" ref="L1282:L1345" si="80">F1282*G1282</f>
        <v>6</v>
      </c>
      <c r="M1282" s="1" t="str">
        <f t="shared" ref="M1282:M1345" si="81">IF(H1282="NULL", "",VALUE(H1282))</f>
        <v/>
      </c>
      <c r="N1282" s="2">
        <f t="shared" ref="N1282:N1345" si="82">DATE(YEAR(J1282),MONTH(J1282),1)</f>
        <v>45748</v>
      </c>
      <c r="O1282" t="str">
        <f t="shared" ref="O1282:O1345" si="83">IF(ISNUMBER(SEARCH("Mačky",D1282)),"mačka",IF(ISNUMBER(SEARCH("Psy",D1282)),"pes","iné"))</f>
        <v>pes</v>
      </c>
    </row>
    <row r="1283" spans="1:15" x14ac:dyDescent="0.25">
      <c r="A1283">
        <v>8790</v>
      </c>
      <c r="B1283" s="11">
        <v>4028899001126</v>
      </c>
      <c r="C1283" s="1" t="s">
        <v>16</v>
      </c>
      <c r="D1283" s="1" t="s">
        <v>12</v>
      </c>
      <c r="E1283" s="1" t="s">
        <v>17</v>
      </c>
      <c r="F1283">
        <v>2.8</v>
      </c>
      <c r="G1283">
        <v>3</v>
      </c>
      <c r="H1283" s="1" t="s">
        <v>14</v>
      </c>
      <c r="I1283" s="1" t="s">
        <v>15</v>
      </c>
      <c r="J1283" s="12">
        <v>45761</v>
      </c>
      <c r="K1283">
        <v>0</v>
      </c>
      <c r="L1283" s="1">
        <f t="shared" si="80"/>
        <v>8.3999999999999986</v>
      </c>
      <c r="M1283" s="1" t="str">
        <f t="shared" si="81"/>
        <v/>
      </c>
      <c r="N1283" s="2">
        <f t="shared" si="82"/>
        <v>45748</v>
      </c>
      <c r="O1283" t="str">
        <f t="shared" si="83"/>
        <v>pes</v>
      </c>
    </row>
    <row r="1284" spans="1:15" x14ac:dyDescent="0.25">
      <c r="A1284">
        <v>8791</v>
      </c>
      <c r="B1284" s="11">
        <v>4040123456795</v>
      </c>
      <c r="C1284" s="1" t="s">
        <v>20</v>
      </c>
      <c r="D1284" s="1" t="s">
        <v>21</v>
      </c>
      <c r="E1284" s="1" t="s">
        <v>22</v>
      </c>
      <c r="F1284">
        <v>8.8000000000000007</v>
      </c>
      <c r="G1284">
        <v>1</v>
      </c>
      <c r="H1284" s="1" t="s">
        <v>18</v>
      </c>
      <c r="I1284" s="1" t="s">
        <v>224</v>
      </c>
      <c r="J1284" s="12">
        <v>45761</v>
      </c>
      <c r="K1284">
        <v>0</v>
      </c>
      <c r="L1284" s="1">
        <f t="shared" si="80"/>
        <v>8.8000000000000007</v>
      </c>
      <c r="M1284" s="1">
        <f t="shared" si="81"/>
        <v>4</v>
      </c>
      <c r="N1284" s="2">
        <f t="shared" si="82"/>
        <v>45748</v>
      </c>
      <c r="O1284" t="str">
        <f t="shared" si="83"/>
        <v>pes</v>
      </c>
    </row>
    <row r="1285" spans="1:15" hidden="1" x14ac:dyDescent="0.25">
      <c r="A1285">
        <v>8792</v>
      </c>
      <c r="B1285" s="11">
        <v>4010123456783</v>
      </c>
      <c r="C1285" s="1" t="s">
        <v>35</v>
      </c>
      <c r="D1285" s="1" t="s">
        <v>36</v>
      </c>
      <c r="E1285" s="1" t="s">
        <v>37</v>
      </c>
      <c r="F1285">
        <v>14</v>
      </c>
      <c r="G1285">
        <v>1</v>
      </c>
      <c r="H1285" s="1" t="s">
        <v>14</v>
      </c>
      <c r="I1285" s="1" t="s">
        <v>15</v>
      </c>
      <c r="J1285" s="12">
        <v>45761</v>
      </c>
      <c r="K1285">
        <v>0</v>
      </c>
      <c r="L1285" s="1">
        <f t="shared" si="80"/>
        <v>14</v>
      </c>
      <c r="M1285" s="1" t="str">
        <f t="shared" si="81"/>
        <v/>
      </c>
      <c r="N1285" s="2">
        <f t="shared" si="82"/>
        <v>45748</v>
      </c>
      <c r="O1285" t="str">
        <f t="shared" si="83"/>
        <v>mačka</v>
      </c>
    </row>
    <row r="1286" spans="1:15" x14ac:dyDescent="0.25">
      <c r="A1286">
        <v>8793</v>
      </c>
      <c r="B1286" s="11">
        <v>4063456789014</v>
      </c>
      <c r="C1286" s="1" t="s">
        <v>60</v>
      </c>
      <c r="D1286" s="1" t="s">
        <v>12</v>
      </c>
      <c r="E1286" s="1" t="s">
        <v>61</v>
      </c>
      <c r="F1286">
        <v>36</v>
      </c>
      <c r="G1286">
        <v>1</v>
      </c>
      <c r="H1286" s="1" t="s">
        <v>14</v>
      </c>
      <c r="I1286" s="1" t="s">
        <v>15</v>
      </c>
      <c r="J1286" s="12">
        <v>45761</v>
      </c>
      <c r="K1286">
        <v>0</v>
      </c>
      <c r="L1286" s="1">
        <f t="shared" si="80"/>
        <v>36</v>
      </c>
      <c r="M1286" s="1" t="str">
        <f t="shared" si="81"/>
        <v/>
      </c>
      <c r="N1286" s="2">
        <f t="shared" si="82"/>
        <v>45748</v>
      </c>
      <c r="O1286" t="str">
        <f t="shared" si="83"/>
        <v>pes</v>
      </c>
    </row>
    <row r="1287" spans="1:15" hidden="1" x14ac:dyDescent="0.25">
      <c r="A1287">
        <v>8794</v>
      </c>
      <c r="B1287" s="11">
        <v>4056789012345</v>
      </c>
      <c r="C1287" s="1" t="s">
        <v>47</v>
      </c>
      <c r="D1287" s="1" t="s">
        <v>29</v>
      </c>
      <c r="E1287" s="1" t="s">
        <v>37</v>
      </c>
      <c r="F1287">
        <v>2.4</v>
      </c>
      <c r="G1287">
        <v>3</v>
      </c>
      <c r="H1287" s="1" t="s">
        <v>33</v>
      </c>
      <c r="I1287" s="1" t="s">
        <v>225</v>
      </c>
      <c r="J1287" s="12">
        <v>45761</v>
      </c>
      <c r="K1287">
        <v>0</v>
      </c>
      <c r="L1287" s="1">
        <f t="shared" si="80"/>
        <v>7.1999999999999993</v>
      </c>
      <c r="M1287" s="1">
        <f t="shared" si="81"/>
        <v>3</v>
      </c>
      <c r="N1287" s="2">
        <f t="shared" si="82"/>
        <v>45748</v>
      </c>
      <c r="O1287" t="str">
        <f t="shared" si="83"/>
        <v>mačka</v>
      </c>
    </row>
    <row r="1288" spans="1:15" hidden="1" x14ac:dyDescent="0.25">
      <c r="A1288">
        <v>8795</v>
      </c>
      <c r="B1288" s="11">
        <v>4021234567894</v>
      </c>
      <c r="C1288" s="1" t="s">
        <v>79</v>
      </c>
      <c r="D1288" s="1" t="s">
        <v>36</v>
      </c>
      <c r="E1288" s="1" t="s">
        <v>69</v>
      </c>
      <c r="F1288">
        <v>8</v>
      </c>
      <c r="G1288">
        <v>1</v>
      </c>
      <c r="H1288" s="1" t="s">
        <v>14</v>
      </c>
      <c r="I1288" s="1" t="s">
        <v>15</v>
      </c>
      <c r="J1288" s="12">
        <v>45761</v>
      </c>
      <c r="K1288">
        <v>0</v>
      </c>
      <c r="L1288" s="1">
        <f t="shared" si="80"/>
        <v>8</v>
      </c>
      <c r="M1288" s="1" t="str">
        <f t="shared" si="81"/>
        <v/>
      </c>
      <c r="N1288" s="2">
        <f t="shared" si="82"/>
        <v>45748</v>
      </c>
      <c r="O1288" t="str">
        <f t="shared" si="83"/>
        <v>mačka</v>
      </c>
    </row>
    <row r="1289" spans="1:15" x14ac:dyDescent="0.25">
      <c r="A1289">
        <v>8796</v>
      </c>
      <c r="B1289" s="11">
        <v>4061011223346</v>
      </c>
      <c r="C1289" s="1" t="s">
        <v>25</v>
      </c>
      <c r="D1289" s="1" t="s">
        <v>26</v>
      </c>
      <c r="E1289" s="1" t="s">
        <v>27</v>
      </c>
      <c r="F1289">
        <v>19.600000000000001</v>
      </c>
      <c r="G1289">
        <v>1</v>
      </c>
      <c r="H1289" s="1" t="s">
        <v>14</v>
      </c>
      <c r="I1289" s="1" t="s">
        <v>15</v>
      </c>
      <c r="J1289" s="12">
        <v>45762</v>
      </c>
      <c r="K1289">
        <v>0</v>
      </c>
      <c r="L1289" s="1">
        <f t="shared" si="80"/>
        <v>19.600000000000001</v>
      </c>
      <c r="M1289" s="1" t="str">
        <f t="shared" si="81"/>
        <v/>
      </c>
      <c r="N1289" s="2">
        <f t="shared" si="82"/>
        <v>45748</v>
      </c>
      <c r="O1289" t="str">
        <f t="shared" si="83"/>
        <v>pes</v>
      </c>
    </row>
    <row r="1290" spans="1:15" hidden="1" x14ac:dyDescent="0.25">
      <c r="A1290">
        <v>8797</v>
      </c>
      <c r="B1290" s="11">
        <v>4026677889902</v>
      </c>
      <c r="C1290" s="1" t="s">
        <v>52</v>
      </c>
      <c r="D1290" s="1" t="s">
        <v>53</v>
      </c>
      <c r="E1290" s="1" t="s">
        <v>54</v>
      </c>
      <c r="F1290">
        <v>7.6</v>
      </c>
      <c r="G1290">
        <v>1</v>
      </c>
      <c r="H1290" s="1" t="s">
        <v>14</v>
      </c>
      <c r="I1290" s="1" t="s">
        <v>15</v>
      </c>
      <c r="J1290" s="12">
        <v>45762</v>
      </c>
      <c r="K1290">
        <v>0</v>
      </c>
      <c r="L1290" s="1">
        <f t="shared" si="80"/>
        <v>7.6</v>
      </c>
      <c r="M1290" s="1" t="str">
        <f t="shared" si="81"/>
        <v/>
      </c>
      <c r="N1290" s="2">
        <f t="shared" si="82"/>
        <v>45748</v>
      </c>
      <c r="O1290" t="str">
        <f t="shared" si="83"/>
        <v>iné</v>
      </c>
    </row>
    <row r="1291" spans="1:15" x14ac:dyDescent="0.25">
      <c r="A1291">
        <v>8798</v>
      </c>
      <c r="B1291" s="11">
        <v>4028899001126</v>
      </c>
      <c r="C1291" s="1" t="s">
        <v>16</v>
      </c>
      <c r="D1291" s="1" t="s">
        <v>12</v>
      </c>
      <c r="E1291" s="1" t="s">
        <v>17</v>
      </c>
      <c r="F1291">
        <v>2.8</v>
      </c>
      <c r="G1291">
        <v>4</v>
      </c>
      <c r="H1291" s="1" t="s">
        <v>23</v>
      </c>
      <c r="I1291" s="1" t="s">
        <v>226</v>
      </c>
      <c r="J1291" s="12">
        <v>45762</v>
      </c>
      <c r="K1291">
        <v>0</v>
      </c>
      <c r="L1291" s="1">
        <f t="shared" si="80"/>
        <v>11.2</v>
      </c>
      <c r="M1291" s="1">
        <f t="shared" si="81"/>
        <v>5</v>
      </c>
      <c r="N1291" s="2">
        <f t="shared" si="82"/>
        <v>45748</v>
      </c>
      <c r="O1291" t="str">
        <f t="shared" si="83"/>
        <v>pes</v>
      </c>
    </row>
    <row r="1292" spans="1:15" x14ac:dyDescent="0.25">
      <c r="A1292">
        <v>8799</v>
      </c>
      <c r="B1292" s="11">
        <v>4013456789017</v>
      </c>
      <c r="C1292" s="1" t="s">
        <v>11</v>
      </c>
      <c r="D1292" s="1" t="s">
        <v>12</v>
      </c>
      <c r="E1292" s="1" t="s">
        <v>13</v>
      </c>
      <c r="F1292">
        <v>6</v>
      </c>
      <c r="G1292">
        <v>1</v>
      </c>
      <c r="H1292" s="1" t="s">
        <v>14</v>
      </c>
      <c r="I1292" s="1" t="s">
        <v>15</v>
      </c>
      <c r="J1292" s="12">
        <v>45762</v>
      </c>
      <c r="K1292">
        <v>0</v>
      </c>
      <c r="L1292" s="1">
        <f t="shared" si="80"/>
        <v>6</v>
      </c>
      <c r="M1292" s="1" t="str">
        <f t="shared" si="81"/>
        <v/>
      </c>
      <c r="N1292" s="2">
        <f t="shared" si="82"/>
        <v>45748</v>
      </c>
      <c r="O1292" t="str">
        <f t="shared" si="83"/>
        <v>pes</v>
      </c>
    </row>
    <row r="1293" spans="1:15" x14ac:dyDescent="0.25">
      <c r="A1293">
        <v>8800</v>
      </c>
      <c r="B1293" s="11">
        <v>4040123456795</v>
      </c>
      <c r="C1293" s="1" t="s">
        <v>20</v>
      </c>
      <c r="D1293" s="1" t="s">
        <v>21</v>
      </c>
      <c r="E1293" s="1" t="s">
        <v>22</v>
      </c>
      <c r="F1293">
        <v>8.8000000000000007</v>
      </c>
      <c r="G1293">
        <v>1</v>
      </c>
      <c r="H1293" s="1" t="s">
        <v>14</v>
      </c>
      <c r="I1293" s="1" t="s">
        <v>15</v>
      </c>
      <c r="J1293" s="12">
        <v>45762</v>
      </c>
      <c r="K1293">
        <v>0</v>
      </c>
      <c r="L1293" s="1">
        <f t="shared" si="80"/>
        <v>8.8000000000000007</v>
      </c>
      <c r="M1293" s="1" t="str">
        <f t="shared" si="81"/>
        <v/>
      </c>
      <c r="N1293" s="2">
        <f t="shared" si="82"/>
        <v>45748</v>
      </c>
      <c r="O1293" t="str">
        <f t="shared" si="83"/>
        <v>pes</v>
      </c>
    </row>
    <row r="1294" spans="1:15" hidden="1" x14ac:dyDescent="0.25">
      <c r="A1294">
        <v>8801</v>
      </c>
      <c r="B1294" s="11">
        <v>4010123456783</v>
      </c>
      <c r="C1294" s="1" t="s">
        <v>35</v>
      </c>
      <c r="D1294" s="1" t="s">
        <v>36</v>
      </c>
      <c r="E1294" s="1" t="s">
        <v>37</v>
      </c>
      <c r="F1294">
        <v>14</v>
      </c>
      <c r="G1294">
        <v>2</v>
      </c>
      <c r="H1294" s="1" t="s">
        <v>14</v>
      </c>
      <c r="I1294" s="1" t="s">
        <v>15</v>
      </c>
      <c r="J1294" s="12">
        <v>45762</v>
      </c>
      <c r="K1294">
        <v>0</v>
      </c>
      <c r="L1294" s="1">
        <f t="shared" si="80"/>
        <v>28</v>
      </c>
      <c r="M1294" s="1" t="str">
        <f t="shared" si="81"/>
        <v/>
      </c>
      <c r="N1294" s="2">
        <f t="shared" si="82"/>
        <v>45748</v>
      </c>
      <c r="O1294" t="str">
        <f t="shared" si="83"/>
        <v>mačka</v>
      </c>
    </row>
    <row r="1295" spans="1:15" x14ac:dyDescent="0.25">
      <c r="A1295">
        <v>8802</v>
      </c>
      <c r="B1295" s="11">
        <v>4063456789014</v>
      </c>
      <c r="C1295" s="1" t="s">
        <v>60</v>
      </c>
      <c r="D1295" s="1" t="s">
        <v>12</v>
      </c>
      <c r="E1295" s="1" t="s">
        <v>61</v>
      </c>
      <c r="F1295">
        <v>36</v>
      </c>
      <c r="G1295">
        <v>1</v>
      </c>
      <c r="H1295" s="1" t="s">
        <v>14</v>
      </c>
      <c r="I1295" s="1" t="s">
        <v>15</v>
      </c>
      <c r="J1295" s="12">
        <v>45762</v>
      </c>
      <c r="K1295">
        <v>0</v>
      </c>
      <c r="L1295" s="1">
        <f t="shared" si="80"/>
        <v>36</v>
      </c>
      <c r="M1295" s="1" t="str">
        <f t="shared" si="81"/>
        <v/>
      </c>
      <c r="N1295" s="2">
        <f t="shared" si="82"/>
        <v>45748</v>
      </c>
      <c r="O1295" t="str">
        <f t="shared" si="83"/>
        <v>pes</v>
      </c>
    </row>
    <row r="1296" spans="1:15" hidden="1" x14ac:dyDescent="0.25">
      <c r="A1296">
        <v>8803</v>
      </c>
      <c r="B1296" s="11">
        <v>4021234567894</v>
      </c>
      <c r="C1296" s="1" t="s">
        <v>79</v>
      </c>
      <c r="D1296" s="1" t="s">
        <v>36</v>
      </c>
      <c r="E1296" s="1" t="s">
        <v>69</v>
      </c>
      <c r="F1296">
        <v>8</v>
      </c>
      <c r="G1296">
        <v>1</v>
      </c>
      <c r="H1296" s="1" t="s">
        <v>18</v>
      </c>
      <c r="I1296" s="1" t="s">
        <v>227</v>
      </c>
      <c r="J1296" s="12">
        <v>45762</v>
      </c>
      <c r="K1296">
        <v>0</v>
      </c>
      <c r="L1296" s="1">
        <f t="shared" si="80"/>
        <v>8</v>
      </c>
      <c r="M1296" s="1">
        <f t="shared" si="81"/>
        <v>4</v>
      </c>
      <c r="N1296" s="2">
        <f t="shared" si="82"/>
        <v>45748</v>
      </c>
      <c r="O1296" t="str">
        <f t="shared" si="83"/>
        <v>mačka</v>
      </c>
    </row>
    <row r="1297" spans="1:15" hidden="1" x14ac:dyDescent="0.25">
      <c r="A1297">
        <v>8804</v>
      </c>
      <c r="B1297" s="11">
        <v>4056789012345</v>
      </c>
      <c r="C1297" s="1" t="s">
        <v>47</v>
      </c>
      <c r="D1297" s="1" t="s">
        <v>29</v>
      </c>
      <c r="E1297" s="1" t="s">
        <v>37</v>
      </c>
      <c r="F1297">
        <v>2.4</v>
      </c>
      <c r="G1297">
        <v>2</v>
      </c>
      <c r="H1297" s="1" t="s">
        <v>14</v>
      </c>
      <c r="I1297" s="1" t="s">
        <v>15</v>
      </c>
      <c r="J1297" s="12">
        <v>45763</v>
      </c>
      <c r="K1297">
        <v>0</v>
      </c>
      <c r="L1297" s="1">
        <f t="shared" si="80"/>
        <v>4.8</v>
      </c>
      <c r="M1297" s="1" t="str">
        <f t="shared" si="81"/>
        <v/>
      </c>
      <c r="N1297" s="2">
        <f t="shared" si="82"/>
        <v>45748</v>
      </c>
      <c r="O1297" t="str">
        <f t="shared" si="83"/>
        <v>mačka</v>
      </c>
    </row>
    <row r="1298" spans="1:15" x14ac:dyDescent="0.25">
      <c r="A1298">
        <v>8805</v>
      </c>
      <c r="B1298" s="11">
        <v>4061011223346</v>
      </c>
      <c r="C1298" s="1" t="s">
        <v>25</v>
      </c>
      <c r="D1298" s="1" t="s">
        <v>26</v>
      </c>
      <c r="E1298" s="1" t="s">
        <v>27</v>
      </c>
      <c r="F1298">
        <v>19.600000000000001</v>
      </c>
      <c r="G1298">
        <v>1</v>
      </c>
      <c r="H1298" s="1" t="s">
        <v>14</v>
      </c>
      <c r="I1298" s="1" t="s">
        <v>15</v>
      </c>
      <c r="J1298" s="12">
        <v>45763</v>
      </c>
      <c r="K1298">
        <v>0</v>
      </c>
      <c r="L1298" s="1">
        <f t="shared" si="80"/>
        <v>19.600000000000001</v>
      </c>
      <c r="M1298" s="1" t="str">
        <f t="shared" si="81"/>
        <v/>
      </c>
      <c r="N1298" s="2">
        <f t="shared" si="82"/>
        <v>45748</v>
      </c>
      <c r="O1298" t="str">
        <f t="shared" si="83"/>
        <v>pes</v>
      </c>
    </row>
    <row r="1299" spans="1:15" hidden="1" x14ac:dyDescent="0.25">
      <c r="A1299">
        <v>8806</v>
      </c>
      <c r="B1299" s="11">
        <v>4026677889902</v>
      </c>
      <c r="C1299" s="1" t="s">
        <v>52</v>
      </c>
      <c r="D1299" s="1" t="s">
        <v>53</v>
      </c>
      <c r="E1299" s="1" t="s">
        <v>54</v>
      </c>
      <c r="F1299">
        <v>7.6</v>
      </c>
      <c r="G1299">
        <v>1</v>
      </c>
      <c r="H1299" s="1" t="s">
        <v>14</v>
      </c>
      <c r="I1299" s="1" t="s">
        <v>15</v>
      </c>
      <c r="J1299" s="12">
        <v>45763</v>
      </c>
      <c r="K1299">
        <v>0</v>
      </c>
      <c r="L1299" s="1">
        <f t="shared" si="80"/>
        <v>7.6</v>
      </c>
      <c r="M1299" s="1" t="str">
        <f t="shared" si="81"/>
        <v/>
      </c>
      <c r="N1299" s="2">
        <f t="shared" si="82"/>
        <v>45748</v>
      </c>
      <c r="O1299" t="str">
        <f t="shared" si="83"/>
        <v>iné</v>
      </c>
    </row>
    <row r="1300" spans="1:15" x14ac:dyDescent="0.25">
      <c r="A1300">
        <v>8807</v>
      </c>
      <c r="B1300" s="11">
        <v>4028899001126</v>
      </c>
      <c r="C1300" s="1" t="s">
        <v>16</v>
      </c>
      <c r="D1300" s="1" t="s">
        <v>12</v>
      </c>
      <c r="E1300" s="1" t="s">
        <v>17</v>
      </c>
      <c r="F1300">
        <v>2.8</v>
      </c>
      <c r="G1300">
        <v>3</v>
      </c>
      <c r="H1300" s="1" t="s">
        <v>14</v>
      </c>
      <c r="I1300" s="1" t="s">
        <v>15</v>
      </c>
      <c r="J1300" s="12">
        <v>45763</v>
      </c>
      <c r="K1300">
        <v>0</v>
      </c>
      <c r="L1300" s="1">
        <f t="shared" si="80"/>
        <v>8.3999999999999986</v>
      </c>
      <c r="M1300" s="1" t="str">
        <f t="shared" si="81"/>
        <v/>
      </c>
      <c r="N1300" s="2">
        <f t="shared" si="82"/>
        <v>45748</v>
      </c>
      <c r="O1300" t="str">
        <f t="shared" si="83"/>
        <v>pes</v>
      </c>
    </row>
    <row r="1301" spans="1:15" x14ac:dyDescent="0.25">
      <c r="A1301">
        <v>8808</v>
      </c>
      <c r="B1301" s="11">
        <v>4013456789017</v>
      </c>
      <c r="C1301" s="1" t="s">
        <v>11</v>
      </c>
      <c r="D1301" s="1" t="s">
        <v>12</v>
      </c>
      <c r="E1301" s="1" t="s">
        <v>13</v>
      </c>
      <c r="F1301">
        <v>6</v>
      </c>
      <c r="G1301">
        <v>1</v>
      </c>
      <c r="H1301" s="1" t="s">
        <v>18</v>
      </c>
      <c r="I1301" s="1" t="s">
        <v>228</v>
      </c>
      <c r="J1301" s="12">
        <v>45763</v>
      </c>
      <c r="K1301">
        <v>0</v>
      </c>
      <c r="L1301" s="1">
        <f t="shared" si="80"/>
        <v>6</v>
      </c>
      <c r="M1301" s="1">
        <f t="shared" si="81"/>
        <v>4</v>
      </c>
      <c r="N1301" s="2">
        <f t="shared" si="82"/>
        <v>45748</v>
      </c>
      <c r="O1301" t="str">
        <f t="shared" si="83"/>
        <v>pes</v>
      </c>
    </row>
    <row r="1302" spans="1:15" x14ac:dyDescent="0.25">
      <c r="A1302">
        <v>8809</v>
      </c>
      <c r="B1302" s="11">
        <v>4040123456795</v>
      </c>
      <c r="C1302" s="1" t="s">
        <v>20</v>
      </c>
      <c r="D1302" s="1" t="s">
        <v>21</v>
      </c>
      <c r="E1302" s="1" t="s">
        <v>22</v>
      </c>
      <c r="F1302">
        <v>8.8000000000000007</v>
      </c>
      <c r="G1302">
        <v>1</v>
      </c>
      <c r="H1302" s="1" t="s">
        <v>14</v>
      </c>
      <c r="I1302" s="1" t="s">
        <v>15</v>
      </c>
      <c r="J1302" s="12">
        <v>45763</v>
      </c>
      <c r="K1302">
        <v>0</v>
      </c>
      <c r="L1302" s="1">
        <f t="shared" si="80"/>
        <v>8.8000000000000007</v>
      </c>
      <c r="M1302" s="1" t="str">
        <f t="shared" si="81"/>
        <v/>
      </c>
      <c r="N1302" s="2">
        <f t="shared" si="82"/>
        <v>45748</v>
      </c>
      <c r="O1302" t="str">
        <f t="shared" si="83"/>
        <v>pes</v>
      </c>
    </row>
    <row r="1303" spans="1:15" hidden="1" x14ac:dyDescent="0.25">
      <c r="A1303">
        <v>8810</v>
      </c>
      <c r="B1303" s="11">
        <v>4010123456783</v>
      </c>
      <c r="C1303" s="1" t="s">
        <v>35</v>
      </c>
      <c r="D1303" s="1" t="s">
        <v>36</v>
      </c>
      <c r="E1303" s="1" t="s">
        <v>37</v>
      </c>
      <c r="F1303">
        <v>14</v>
      </c>
      <c r="G1303">
        <v>1</v>
      </c>
      <c r="H1303" s="1" t="s">
        <v>14</v>
      </c>
      <c r="I1303" s="1" t="s">
        <v>15</v>
      </c>
      <c r="J1303" s="12">
        <v>45763</v>
      </c>
      <c r="K1303">
        <v>0</v>
      </c>
      <c r="L1303" s="1">
        <f t="shared" si="80"/>
        <v>14</v>
      </c>
      <c r="M1303" s="1" t="str">
        <f t="shared" si="81"/>
        <v/>
      </c>
      <c r="N1303" s="2">
        <f t="shared" si="82"/>
        <v>45748</v>
      </c>
      <c r="O1303" t="str">
        <f t="shared" si="83"/>
        <v>mačka</v>
      </c>
    </row>
    <row r="1304" spans="1:15" x14ac:dyDescent="0.25">
      <c r="A1304">
        <v>8811</v>
      </c>
      <c r="B1304" s="11">
        <v>4063456789014</v>
      </c>
      <c r="C1304" s="1" t="s">
        <v>60</v>
      </c>
      <c r="D1304" s="1" t="s">
        <v>12</v>
      </c>
      <c r="E1304" s="1" t="s">
        <v>61</v>
      </c>
      <c r="F1304">
        <v>36</v>
      </c>
      <c r="G1304">
        <v>1</v>
      </c>
      <c r="H1304" s="1" t="s">
        <v>14</v>
      </c>
      <c r="I1304" s="1" t="s">
        <v>15</v>
      </c>
      <c r="J1304" s="12">
        <v>45763</v>
      </c>
      <c r="K1304">
        <v>0</v>
      </c>
      <c r="L1304" s="1">
        <f t="shared" si="80"/>
        <v>36</v>
      </c>
      <c r="M1304" s="1" t="str">
        <f t="shared" si="81"/>
        <v/>
      </c>
      <c r="N1304" s="2">
        <f t="shared" si="82"/>
        <v>45748</v>
      </c>
      <c r="O1304" t="str">
        <f t="shared" si="83"/>
        <v>pes</v>
      </c>
    </row>
    <row r="1305" spans="1:15" hidden="1" x14ac:dyDescent="0.25">
      <c r="A1305">
        <v>8812</v>
      </c>
      <c r="B1305" s="11">
        <v>4021234567894</v>
      </c>
      <c r="C1305" s="1" t="s">
        <v>79</v>
      </c>
      <c r="D1305" s="1" t="s">
        <v>36</v>
      </c>
      <c r="E1305" s="1" t="s">
        <v>69</v>
      </c>
      <c r="F1305">
        <v>8</v>
      </c>
      <c r="G1305">
        <v>1</v>
      </c>
      <c r="H1305" s="1" t="s">
        <v>14</v>
      </c>
      <c r="I1305" s="1" t="s">
        <v>15</v>
      </c>
      <c r="J1305" s="12">
        <v>45763</v>
      </c>
      <c r="K1305">
        <v>0</v>
      </c>
      <c r="L1305" s="1">
        <f t="shared" si="80"/>
        <v>8</v>
      </c>
      <c r="M1305" s="1" t="str">
        <f t="shared" si="81"/>
        <v/>
      </c>
      <c r="N1305" s="2">
        <f t="shared" si="82"/>
        <v>45748</v>
      </c>
      <c r="O1305" t="str">
        <f t="shared" si="83"/>
        <v>mačka</v>
      </c>
    </row>
    <row r="1306" spans="1:15" hidden="1" x14ac:dyDescent="0.25">
      <c r="A1306">
        <v>8813</v>
      </c>
      <c r="B1306" s="11">
        <v>4056789012345</v>
      </c>
      <c r="C1306" s="1" t="s">
        <v>47</v>
      </c>
      <c r="D1306" s="1" t="s">
        <v>29</v>
      </c>
      <c r="E1306" s="1" t="s">
        <v>37</v>
      </c>
      <c r="F1306">
        <v>2.4</v>
      </c>
      <c r="G1306">
        <v>3</v>
      </c>
      <c r="H1306" s="1" t="s">
        <v>33</v>
      </c>
      <c r="I1306" s="1" t="s">
        <v>229</v>
      </c>
      <c r="J1306" s="12">
        <v>45764</v>
      </c>
      <c r="K1306">
        <v>0</v>
      </c>
      <c r="L1306" s="1">
        <f t="shared" si="80"/>
        <v>7.1999999999999993</v>
      </c>
      <c r="M1306" s="1">
        <f t="shared" si="81"/>
        <v>3</v>
      </c>
      <c r="N1306" s="2">
        <f t="shared" si="82"/>
        <v>45748</v>
      </c>
      <c r="O1306" t="str">
        <f t="shared" si="83"/>
        <v>mačka</v>
      </c>
    </row>
    <row r="1307" spans="1:15" x14ac:dyDescent="0.25">
      <c r="A1307">
        <v>8814</v>
      </c>
      <c r="B1307" s="11">
        <v>4061011223346</v>
      </c>
      <c r="C1307" s="1" t="s">
        <v>25</v>
      </c>
      <c r="D1307" s="1" t="s">
        <v>26</v>
      </c>
      <c r="E1307" s="1" t="s">
        <v>27</v>
      </c>
      <c r="F1307">
        <v>19.600000000000001</v>
      </c>
      <c r="G1307">
        <v>1</v>
      </c>
      <c r="H1307" s="1" t="s">
        <v>14</v>
      </c>
      <c r="I1307" s="1" t="s">
        <v>15</v>
      </c>
      <c r="J1307" s="12">
        <v>45764</v>
      </c>
      <c r="K1307">
        <v>0</v>
      </c>
      <c r="L1307" s="1">
        <f t="shared" si="80"/>
        <v>19.600000000000001</v>
      </c>
      <c r="M1307" s="1" t="str">
        <f t="shared" si="81"/>
        <v/>
      </c>
      <c r="N1307" s="2">
        <f t="shared" si="82"/>
        <v>45748</v>
      </c>
      <c r="O1307" t="str">
        <f t="shared" si="83"/>
        <v>pes</v>
      </c>
    </row>
    <row r="1308" spans="1:15" hidden="1" x14ac:dyDescent="0.25">
      <c r="A1308">
        <v>8815</v>
      </c>
      <c r="B1308" s="11">
        <v>4026677889902</v>
      </c>
      <c r="C1308" s="1" t="s">
        <v>52</v>
      </c>
      <c r="D1308" s="1" t="s">
        <v>53</v>
      </c>
      <c r="E1308" s="1" t="s">
        <v>54</v>
      </c>
      <c r="F1308">
        <v>7.6</v>
      </c>
      <c r="G1308">
        <v>1</v>
      </c>
      <c r="H1308" s="1" t="s">
        <v>14</v>
      </c>
      <c r="I1308" s="1" t="s">
        <v>15</v>
      </c>
      <c r="J1308" s="12">
        <v>45764</v>
      </c>
      <c r="K1308">
        <v>0</v>
      </c>
      <c r="L1308" s="1">
        <f t="shared" si="80"/>
        <v>7.6</v>
      </c>
      <c r="M1308" s="1" t="str">
        <f t="shared" si="81"/>
        <v/>
      </c>
      <c r="N1308" s="2">
        <f t="shared" si="82"/>
        <v>45748</v>
      </c>
      <c r="O1308" t="str">
        <f t="shared" si="83"/>
        <v>iné</v>
      </c>
    </row>
    <row r="1309" spans="1:15" x14ac:dyDescent="0.25">
      <c r="A1309">
        <v>8816</v>
      </c>
      <c r="B1309" s="11">
        <v>4028899001126</v>
      </c>
      <c r="C1309" s="1" t="s">
        <v>16</v>
      </c>
      <c r="D1309" s="1" t="s">
        <v>12</v>
      </c>
      <c r="E1309" s="1" t="s">
        <v>17</v>
      </c>
      <c r="F1309">
        <v>2.8</v>
      </c>
      <c r="G1309">
        <v>4</v>
      </c>
      <c r="H1309" s="1" t="s">
        <v>14</v>
      </c>
      <c r="I1309" s="1" t="s">
        <v>15</v>
      </c>
      <c r="J1309" s="12">
        <v>45764</v>
      </c>
      <c r="K1309">
        <v>0</v>
      </c>
      <c r="L1309" s="1">
        <f t="shared" si="80"/>
        <v>11.2</v>
      </c>
      <c r="M1309" s="1" t="str">
        <f t="shared" si="81"/>
        <v/>
      </c>
      <c r="N1309" s="2">
        <f t="shared" si="82"/>
        <v>45748</v>
      </c>
      <c r="O1309" t="str">
        <f t="shared" si="83"/>
        <v>pes</v>
      </c>
    </row>
    <row r="1310" spans="1:15" x14ac:dyDescent="0.25">
      <c r="A1310">
        <v>8817</v>
      </c>
      <c r="B1310" s="11">
        <v>4013456789017</v>
      </c>
      <c r="C1310" s="1" t="s">
        <v>11</v>
      </c>
      <c r="D1310" s="1" t="s">
        <v>12</v>
      </c>
      <c r="E1310" s="1" t="s">
        <v>13</v>
      </c>
      <c r="F1310">
        <v>6</v>
      </c>
      <c r="G1310">
        <v>2</v>
      </c>
      <c r="H1310" s="1" t="s">
        <v>14</v>
      </c>
      <c r="I1310" s="1" t="s">
        <v>15</v>
      </c>
      <c r="J1310" s="12">
        <v>45764</v>
      </c>
      <c r="K1310">
        <v>0</v>
      </c>
      <c r="L1310" s="1">
        <f t="shared" si="80"/>
        <v>12</v>
      </c>
      <c r="M1310" s="1" t="str">
        <f t="shared" si="81"/>
        <v/>
      </c>
      <c r="N1310" s="2">
        <f t="shared" si="82"/>
        <v>45748</v>
      </c>
      <c r="O1310" t="str">
        <f t="shared" si="83"/>
        <v>pes</v>
      </c>
    </row>
    <row r="1311" spans="1:15" x14ac:dyDescent="0.25">
      <c r="A1311">
        <v>8818</v>
      </c>
      <c r="B1311" s="11">
        <v>4040123456795</v>
      </c>
      <c r="C1311" s="1" t="s">
        <v>20</v>
      </c>
      <c r="D1311" s="1" t="s">
        <v>21</v>
      </c>
      <c r="E1311" s="1" t="s">
        <v>22</v>
      </c>
      <c r="F1311">
        <v>8.8000000000000007</v>
      </c>
      <c r="G1311">
        <v>1</v>
      </c>
      <c r="H1311" s="1" t="s">
        <v>14</v>
      </c>
      <c r="I1311" s="1" t="s">
        <v>15</v>
      </c>
      <c r="J1311" s="12">
        <v>45764</v>
      </c>
      <c r="K1311">
        <v>0</v>
      </c>
      <c r="L1311" s="1">
        <f t="shared" si="80"/>
        <v>8.8000000000000007</v>
      </c>
      <c r="M1311" s="1" t="str">
        <f t="shared" si="81"/>
        <v/>
      </c>
      <c r="N1311" s="2">
        <f t="shared" si="82"/>
        <v>45748</v>
      </c>
      <c r="O1311" t="str">
        <f t="shared" si="83"/>
        <v>pes</v>
      </c>
    </row>
    <row r="1312" spans="1:15" hidden="1" x14ac:dyDescent="0.25">
      <c r="A1312">
        <v>8819</v>
      </c>
      <c r="B1312" s="11">
        <v>4010123456783</v>
      </c>
      <c r="C1312" s="1" t="s">
        <v>35</v>
      </c>
      <c r="D1312" s="1" t="s">
        <v>36</v>
      </c>
      <c r="E1312" s="1" t="s">
        <v>37</v>
      </c>
      <c r="F1312">
        <v>14</v>
      </c>
      <c r="G1312">
        <v>1</v>
      </c>
      <c r="H1312" s="1" t="s">
        <v>14</v>
      </c>
      <c r="I1312" s="1" t="s">
        <v>15</v>
      </c>
      <c r="J1312" s="12">
        <v>45764</v>
      </c>
      <c r="K1312">
        <v>0</v>
      </c>
      <c r="L1312" s="1">
        <f t="shared" si="80"/>
        <v>14</v>
      </c>
      <c r="M1312" s="1" t="str">
        <f t="shared" si="81"/>
        <v/>
      </c>
      <c r="N1312" s="2">
        <f t="shared" si="82"/>
        <v>45748</v>
      </c>
      <c r="O1312" t="str">
        <f t="shared" si="83"/>
        <v>mačka</v>
      </c>
    </row>
    <row r="1313" spans="1:15" x14ac:dyDescent="0.25">
      <c r="A1313">
        <v>8820</v>
      </c>
      <c r="B1313" s="11">
        <v>4063456789014</v>
      </c>
      <c r="C1313" s="1" t="s">
        <v>60</v>
      </c>
      <c r="D1313" s="1" t="s">
        <v>12</v>
      </c>
      <c r="E1313" s="1" t="s">
        <v>61</v>
      </c>
      <c r="F1313">
        <v>36</v>
      </c>
      <c r="G1313">
        <v>1</v>
      </c>
      <c r="H1313" s="1" t="s">
        <v>23</v>
      </c>
      <c r="I1313" s="1" t="s">
        <v>230</v>
      </c>
      <c r="J1313" s="12">
        <v>45764</v>
      </c>
      <c r="K1313">
        <v>0</v>
      </c>
      <c r="L1313" s="1">
        <f t="shared" si="80"/>
        <v>36</v>
      </c>
      <c r="M1313" s="1">
        <f t="shared" si="81"/>
        <v>5</v>
      </c>
      <c r="N1313" s="2">
        <f t="shared" si="82"/>
        <v>45748</v>
      </c>
      <c r="O1313" t="str">
        <f t="shared" si="83"/>
        <v>pes</v>
      </c>
    </row>
    <row r="1314" spans="1:15" hidden="1" x14ac:dyDescent="0.25">
      <c r="A1314">
        <v>8821</v>
      </c>
      <c r="B1314" s="11">
        <v>4021234567894</v>
      </c>
      <c r="C1314" s="1" t="s">
        <v>79</v>
      </c>
      <c r="D1314" s="1" t="s">
        <v>36</v>
      </c>
      <c r="E1314" s="1" t="s">
        <v>69</v>
      </c>
      <c r="F1314">
        <v>8</v>
      </c>
      <c r="G1314">
        <v>1</v>
      </c>
      <c r="H1314" s="1" t="s">
        <v>14</v>
      </c>
      <c r="I1314" s="1" t="s">
        <v>15</v>
      </c>
      <c r="J1314" s="12">
        <v>45765</v>
      </c>
      <c r="K1314">
        <v>0</v>
      </c>
      <c r="L1314" s="1">
        <f t="shared" si="80"/>
        <v>8</v>
      </c>
      <c r="M1314" s="1" t="str">
        <f t="shared" si="81"/>
        <v/>
      </c>
      <c r="N1314" s="2">
        <f t="shared" si="82"/>
        <v>45748</v>
      </c>
      <c r="O1314" t="str">
        <f t="shared" si="83"/>
        <v>mačka</v>
      </c>
    </row>
    <row r="1315" spans="1:15" hidden="1" x14ac:dyDescent="0.25">
      <c r="A1315">
        <v>8822</v>
      </c>
      <c r="B1315" s="11">
        <v>4056789012345</v>
      </c>
      <c r="C1315" s="1" t="s">
        <v>47</v>
      </c>
      <c r="D1315" s="1" t="s">
        <v>29</v>
      </c>
      <c r="E1315" s="1" t="s">
        <v>37</v>
      </c>
      <c r="F1315">
        <v>2.4</v>
      </c>
      <c r="G1315">
        <v>2</v>
      </c>
      <c r="H1315" s="1" t="s">
        <v>14</v>
      </c>
      <c r="I1315" s="1" t="s">
        <v>15</v>
      </c>
      <c r="J1315" s="12">
        <v>45765</v>
      </c>
      <c r="K1315">
        <v>0</v>
      </c>
      <c r="L1315" s="1">
        <f t="shared" si="80"/>
        <v>4.8</v>
      </c>
      <c r="M1315" s="1" t="str">
        <f t="shared" si="81"/>
        <v/>
      </c>
      <c r="N1315" s="2">
        <f t="shared" si="82"/>
        <v>45748</v>
      </c>
      <c r="O1315" t="str">
        <f t="shared" si="83"/>
        <v>mačka</v>
      </c>
    </row>
    <row r="1316" spans="1:15" x14ac:dyDescent="0.25">
      <c r="A1316">
        <v>8823</v>
      </c>
      <c r="B1316" s="11">
        <v>4061011223346</v>
      </c>
      <c r="C1316" s="1" t="s">
        <v>25</v>
      </c>
      <c r="D1316" s="1" t="s">
        <v>26</v>
      </c>
      <c r="E1316" s="1" t="s">
        <v>27</v>
      </c>
      <c r="F1316">
        <v>19.600000000000001</v>
      </c>
      <c r="G1316">
        <v>1</v>
      </c>
      <c r="H1316" s="1" t="s">
        <v>14</v>
      </c>
      <c r="I1316" s="1" t="s">
        <v>15</v>
      </c>
      <c r="J1316" s="12">
        <v>45765</v>
      </c>
      <c r="K1316">
        <v>0</v>
      </c>
      <c r="L1316" s="1">
        <f t="shared" si="80"/>
        <v>19.600000000000001</v>
      </c>
      <c r="M1316" s="1" t="str">
        <f t="shared" si="81"/>
        <v/>
      </c>
      <c r="N1316" s="2">
        <f t="shared" si="82"/>
        <v>45748</v>
      </c>
      <c r="O1316" t="str">
        <f t="shared" si="83"/>
        <v>pes</v>
      </c>
    </row>
    <row r="1317" spans="1:15" hidden="1" x14ac:dyDescent="0.25">
      <c r="A1317">
        <v>8824</v>
      </c>
      <c r="B1317" s="11">
        <v>4026677889902</v>
      </c>
      <c r="C1317" s="1" t="s">
        <v>52</v>
      </c>
      <c r="D1317" s="1" t="s">
        <v>53</v>
      </c>
      <c r="E1317" s="1" t="s">
        <v>54</v>
      </c>
      <c r="F1317">
        <v>7.6</v>
      </c>
      <c r="G1317">
        <v>1</v>
      </c>
      <c r="H1317" s="1" t="s">
        <v>14</v>
      </c>
      <c r="I1317" s="1" t="s">
        <v>15</v>
      </c>
      <c r="J1317" s="12">
        <v>45765</v>
      </c>
      <c r="K1317">
        <v>0</v>
      </c>
      <c r="L1317" s="1">
        <f t="shared" si="80"/>
        <v>7.6</v>
      </c>
      <c r="M1317" s="1" t="str">
        <f t="shared" si="81"/>
        <v/>
      </c>
      <c r="N1317" s="2">
        <f t="shared" si="82"/>
        <v>45748</v>
      </c>
      <c r="O1317" t="str">
        <f t="shared" si="83"/>
        <v>iné</v>
      </c>
    </row>
    <row r="1318" spans="1:15" x14ac:dyDescent="0.25">
      <c r="A1318">
        <v>8825</v>
      </c>
      <c r="B1318" s="11">
        <v>4028899001126</v>
      </c>
      <c r="C1318" s="1" t="s">
        <v>16</v>
      </c>
      <c r="D1318" s="1" t="s">
        <v>12</v>
      </c>
      <c r="E1318" s="1" t="s">
        <v>17</v>
      </c>
      <c r="F1318">
        <v>2.8</v>
      </c>
      <c r="G1318">
        <v>3</v>
      </c>
      <c r="H1318" s="1" t="s">
        <v>14</v>
      </c>
      <c r="I1318" s="1" t="s">
        <v>15</v>
      </c>
      <c r="J1318" s="12">
        <v>45765</v>
      </c>
      <c r="K1318">
        <v>0</v>
      </c>
      <c r="L1318" s="1">
        <f t="shared" si="80"/>
        <v>8.3999999999999986</v>
      </c>
      <c r="M1318" s="1" t="str">
        <f t="shared" si="81"/>
        <v/>
      </c>
      <c r="N1318" s="2">
        <f t="shared" si="82"/>
        <v>45748</v>
      </c>
      <c r="O1318" t="str">
        <f t="shared" si="83"/>
        <v>pes</v>
      </c>
    </row>
    <row r="1319" spans="1:15" x14ac:dyDescent="0.25">
      <c r="A1319">
        <v>8826</v>
      </c>
      <c r="B1319" s="11">
        <v>4013456789017</v>
      </c>
      <c r="C1319" s="1" t="s">
        <v>11</v>
      </c>
      <c r="D1319" s="1" t="s">
        <v>12</v>
      </c>
      <c r="E1319" s="1" t="s">
        <v>13</v>
      </c>
      <c r="F1319">
        <v>6</v>
      </c>
      <c r="G1319">
        <v>1</v>
      </c>
      <c r="H1319" s="1" t="s">
        <v>14</v>
      </c>
      <c r="I1319" s="1" t="s">
        <v>15</v>
      </c>
      <c r="J1319" s="12">
        <v>45765</v>
      </c>
      <c r="K1319">
        <v>0</v>
      </c>
      <c r="L1319" s="1">
        <f t="shared" si="80"/>
        <v>6</v>
      </c>
      <c r="M1319" s="1" t="str">
        <f t="shared" si="81"/>
        <v/>
      </c>
      <c r="N1319" s="2">
        <f t="shared" si="82"/>
        <v>45748</v>
      </c>
      <c r="O1319" t="str">
        <f t="shared" si="83"/>
        <v>pes</v>
      </c>
    </row>
    <row r="1320" spans="1:15" x14ac:dyDescent="0.25">
      <c r="A1320">
        <v>8827</v>
      </c>
      <c r="B1320" s="11">
        <v>4040123456795</v>
      </c>
      <c r="C1320" s="1" t="s">
        <v>20</v>
      </c>
      <c r="D1320" s="1" t="s">
        <v>21</v>
      </c>
      <c r="E1320" s="1" t="s">
        <v>22</v>
      </c>
      <c r="F1320">
        <v>8.8000000000000007</v>
      </c>
      <c r="G1320">
        <v>1</v>
      </c>
      <c r="H1320" s="1" t="s">
        <v>14</v>
      </c>
      <c r="I1320" s="1" t="s">
        <v>15</v>
      </c>
      <c r="J1320" s="12">
        <v>45765</v>
      </c>
      <c r="K1320">
        <v>0</v>
      </c>
      <c r="L1320" s="1">
        <f t="shared" si="80"/>
        <v>8.8000000000000007</v>
      </c>
      <c r="M1320" s="1" t="str">
        <f t="shared" si="81"/>
        <v/>
      </c>
      <c r="N1320" s="2">
        <f t="shared" si="82"/>
        <v>45748</v>
      </c>
      <c r="O1320" t="str">
        <f t="shared" si="83"/>
        <v>pes</v>
      </c>
    </row>
    <row r="1321" spans="1:15" hidden="1" x14ac:dyDescent="0.25">
      <c r="A1321">
        <v>8828</v>
      </c>
      <c r="B1321" s="11">
        <v>4010123456783</v>
      </c>
      <c r="C1321" s="1" t="s">
        <v>35</v>
      </c>
      <c r="D1321" s="1" t="s">
        <v>36</v>
      </c>
      <c r="E1321" s="1" t="s">
        <v>37</v>
      </c>
      <c r="F1321">
        <v>14</v>
      </c>
      <c r="G1321">
        <v>2</v>
      </c>
      <c r="H1321" s="1" t="s">
        <v>14</v>
      </c>
      <c r="I1321" s="1" t="s">
        <v>15</v>
      </c>
      <c r="J1321" s="12">
        <v>45765</v>
      </c>
      <c r="K1321">
        <v>0</v>
      </c>
      <c r="L1321" s="1">
        <f t="shared" si="80"/>
        <v>28</v>
      </c>
      <c r="M1321" s="1" t="str">
        <f t="shared" si="81"/>
        <v/>
      </c>
      <c r="N1321" s="2">
        <f t="shared" si="82"/>
        <v>45748</v>
      </c>
      <c r="O1321" t="str">
        <f t="shared" si="83"/>
        <v>mačka</v>
      </c>
    </row>
    <row r="1322" spans="1:15" x14ac:dyDescent="0.25">
      <c r="A1322">
        <v>8829</v>
      </c>
      <c r="B1322" s="11">
        <v>4063456789014</v>
      </c>
      <c r="C1322" s="1" t="s">
        <v>60</v>
      </c>
      <c r="D1322" s="1" t="s">
        <v>12</v>
      </c>
      <c r="E1322" s="1" t="s">
        <v>61</v>
      </c>
      <c r="F1322">
        <v>36</v>
      </c>
      <c r="G1322">
        <v>1</v>
      </c>
      <c r="H1322" s="1" t="s">
        <v>14</v>
      </c>
      <c r="I1322" s="1" t="s">
        <v>15</v>
      </c>
      <c r="J1322" s="12">
        <v>45765</v>
      </c>
      <c r="K1322">
        <v>0</v>
      </c>
      <c r="L1322" s="1">
        <f t="shared" si="80"/>
        <v>36</v>
      </c>
      <c r="M1322" s="1" t="str">
        <f t="shared" si="81"/>
        <v/>
      </c>
      <c r="N1322" s="2">
        <f t="shared" si="82"/>
        <v>45748</v>
      </c>
      <c r="O1322" t="str">
        <f t="shared" si="83"/>
        <v>pes</v>
      </c>
    </row>
    <row r="1323" spans="1:15" hidden="1" x14ac:dyDescent="0.25">
      <c r="A1323">
        <v>8830</v>
      </c>
      <c r="B1323" s="11">
        <v>4021234567894</v>
      </c>
      <c r="C1323" s="1" t="s">
        <v>79</v>
      </c>
      <c r="D1323" s="1" t="s">
        <v>36</v>
      </c>
      <c r="E1323" s="1" t="s">
        <v>69</v>
      </c>
      <c r="F1323">
        <v>8</v>
      </c>
      <c r="G1323">
        <v>1</v>
      </c>
      <c r="H1323" s="1" t="s">
        <v>14</v>
      </c>
      <c r="I1323" s="1" t="s">
        <v>15</v>
      </c>
      <c r="J1323" s="12">
        <v>45766</v>
      </c>
      <c r="K1323">
        <v>0</v>
      </c>
      <c r="L1323" s="1">
        <f t="shared" si="80"/>
        <v>8</v>
      </c>
      <c r="M1323" s="1" t="str">
        <f t="shared" si="81"/>
        <v/>
      </c>
      <c r="N1323" s="2">
        <f t="shared" si="82"/>
        <v>45748</v>
      </c>
      <c r="O1323" t="str">
        <f t="shared" si="83"/>
        <v>mačka</v>
      </c>
    </row>
    <row r="1324" spans="1:15" hidden="1" x14ac:dyDescent="0.25">
      <c r="A1324">
        <v>8831</v>
      </c>
      <c r="B1324" s="11">
        <v>4056789012345</v>
      </c>
      <c r="C1324" s="1" t="s">
        <v>47</v>
      </c>
      <c r="D1324" s="1" t="s">
        <v>29</v>
      </c>
      <c r="E1324" s="1" t="s">
        <v>37</v>
      </c>
      <c r="F1324">
        <v>2.4</v>
      </c>
      <c r="G1324">
        <v>3</v>
      </c>
      <c r="H1324" s="1" t="s">
        <v>14</v>
      </c>
      <c r="I1324" s="1" t="s">
        <v>15</v>
      </c>
      <c r="J1324" s="12">
        <v>45766</v>
      </c>
      <c r="K1324">
        <v>0</v>
      </c>
      <c r="L1324" s="1">
        <f t="shared" si="80"/>
        <v>7.1999999999999993</v>
      </c>
      <c r="M1324" s="1" t="str">
        <f t="shared" si="81"/>
        <v/>
      </c>
      <c r="N1324" s="2">
        <f t="shared" si="82"/>
        <v>45748</v>
      </c>
      <c r="O1324" t="str">
        <f t="shared" si="83"/>
        <v>mačka</v>
      </c>
    </row>
    <row r="1325" spans="1:15" x14ac:dyDescent="0.25">
      <c r="A1325">
        <v>8832</v>
      </c>
      <c r="B1325" s="11">
        <v>4061011223346</v>
      </c>
      <c r="C1325" s="1" t="s">
        <v>25</v>
      </c>
      <c r="D1325" s="1" t="s">
        <v>26</v>
      </c>
      <c r="E1325" s="1" t="s">
        <v>27</v>
      </c>
      <c r="F1325">
        <v>19.600000000000001</v>
      </c>
      <c r="G1325">
        <v>1</v>
      </c>
      <c r="H1325" s="1" t="s">
        <v>14</v>
      </c>
      <c r="I1325" s="1" t="s">
        <v>15</v>
      </c>
      <c r="J1325" s="12">
        <v>45766</v>
      </c>
      <c r="K1325">
        <v>0</v>
      </c>
      <c r="L1325" s="1">
        <f t="shared" si="80"/>
        <v>19.600000000000001</v>
      </c>
      <c r="M1325" s="1" t="str">
        <f t="shared" si="81"/>
        <v/>
      </c>
      <c r="N1325" s="2">
        <f t="shared" si="82"/>
        <v>45748</v>
      </c>
      <c r="O1325" t="str">
        <f t="shared" si="83"/>
        <v>pes</v>
      </c>
    </row>
    <row r="1326" spans="1:15" hidden="1" x14ac:dyDescent="0.25">
      <c r="A1326">
        <v>8833</v>
      </c>
      <c r="B1326" s="11">
        <v>4026677889902</v>
      </c>
      <c r="C1326" s="1" t="s">
        <v>52</v>
      </c>
      <c r="D1326" s="1" t="s">
        <v>53</v>
      </c>
      <c r="E1326" s="1" t="s">
        <v>54</v>
      </c>
      <c r="F1326">
        <v>7.6</v>
      </c>
      <c r="G1326">
        <v>1</v>
      </c>
      <c r="H1326" s="1" t="s">
        <v>14</v>
      </c>
      <c r="I1326" s="1" t="s">
        <v>15</v>
      </c>
      <c r="J1326" s="12">
        <v>45766</v>
      </c>
      <c r="K1326">
        <v>0</v>
      </c>
      <c r="L1326" s="1">
        <f t="shared" si="80"/>
        <v>7.6</v>
      </c>
      <c r="M1326" s="1" t="str">
        <f t="shared" si="81"/>
        <v/>
      </c>
      <c r="N1326" s="2">
        <f t="shared" si="82"/>
        <v>45748</v>
      </c>
      <c r="O1326" t="str">
        <f t="shared" si="83"/>
        <v>iné</v>
      </c>
    </row>
    <row r="1327" spans="1:15" x14ac:dyDescent="0.25">
      <c r="A1327">
        <v>8834</v>
      </c>
      <c r="B1327" s="11">
        <v>4028899001126</v>
      </c>
      <c r="C1327" s="1" t="s">
        <v>16</v>
      </c>
      <c r="D1327" s="1" t="s">
        <v>12</v>
      </c>
      <c r="E1327" s="1" t="s">
        <v>17</v>
      </c>
      <c r="F1327">
        <v>2.8</v>
      </c>
      <c r="G1327">
        <v>5</v>
      </c>
      <c r="H1327" s="1" t="s">
        <v>18</v>
      </c>
      <c r="I1327" s="1" t="s">
        <v>231</v>
      </c>
      <c r="J1327" s="12">
        <v>45766</v>
      </c>
      <c r="K1327">
        <v>0</v>
      </c>
      <c r="L1327" s="1">
        <f t="shared" si="80"/>
        <v>14</v>
      </c>
      <c r="M1327" s="1">
        <f t="shared" si="81"/>
        <v>4</v>
      </c>
      <c r="N1327" s="2">
        <f t="shared" si="82"/>
        <v>45748</v>
      </c>
      <c r="O1327" t="str">
        <f t="shared" si="83"/>
        <v>pes</v>
      </c>
    </row>
    <row r="1328" spans="1:15" x14ac:dyDescent="0.25">
      <c r="A1328">
        <v>8835</v>
      </c>
      <c r="B1328" s="11">
        <v>4013456789017</v>
      </c>
      <c r="C1328" s="1" t="s">
        <v>11</v>
      </c>
      <c r="D1328" s="1" t="s">
        <v>12</v>
      </c>
      <c r="E1328" s="1" t="s">
        <v>13</v>
      </c>
      <c r="F1328">
        <v>6</v>
      </c>
      <c r="G1328">
        <v>2</v>
      </c>
      <c r="H1328" s="1" t="s">
        <v>14</v>
      </c>
      <c r="I1328" s="1" t="s">
        <v>15</v>
      </c>
      <c r="J1328" s="12">
        <v>45766</v>
      </c>
      <c r="K1328">
        <v>0</v>
      </c>
      <c r="L1328" s="1">
        <f t="shared" si="80"/>
        <v>12</v>
      </c>
      <c r="M1328" s="1" t="str">
        <f t="shared" si="81"/>
        <v/>
      </c>
      <c r="N1328" s="2">
        <f t="shared" si="82"/>
        <v>45748</v>
      </c>
      <c r="O1328" t="str">
        <f t="shared" si="83"/>
        <v>pes</v>
      </c>
    </row>
    <row r="1329" spans="1:15" x14ac:dyDescent="0.25">
      <c r="A1329">
        <v>8836</v>
      </c>
      <c r="B1329" s="11">
        <v>4040123456795</v>
      </c>
      <c r="C1329" s="1" t="s">
        <v>20</v>
      </c>
      <c r="D1329" s="1" t="s">
        <v>21</v>
      </c>
      <c r="E1329" s="1" t="s">
        <v>22</v>
      </c>
      <c r="F1329">
        <v>8.8000000000000007</v>
      </c>
      <c r="G1329">
        <v>1</v>
      </c>
      <c r="H1329" s="1" t="s">
        <v>14</v>
      </c>
      <c r="I1329" s="1" t="s">
        <v>15</v>
      </c>
      <c r="J1329" s="12">
        <v>45766</v>
      </c>
      <c r="K1329">
        <v>0</v>
      </c>
      <c r="L1329" s="1">
        <f t="shared" si="80"/>
        <v>8.8000000000000007</v>
      </c>
      <c r="M1329" s="1" t="str">
        <f t="shared" si="81"/>
        <v/>
      </c>
      <c r="N1329" s="2">
        <f t="shared" si="82"/>
        <v>45748</v>
      </c>
      <c r="O1329" t="str">
        <f t="shared" si="83"/>
        <v>pes</v>
      </c>
    </row>
    <row r="1330" spans="1:15" hidden="1" x14ac:dyDescent="0.25">
      <c r="A1330">
        <v>8837</v>
      </c>
      <c r="B1330" s="11">
        <v>4010123456783</v>
      </c>
      <c r="C1330" s="1" t="s">
        <v>35</v>
      </c>
      <c r="D1330" s="1" t="s">
        <v>36</v>
      </c>
      <c r="E1330" s="1" t="s">
        <v>37</v>
      </c>
      <c r="F1330">
        <v>14</v>
      </c>
      <c r="G1330">
        <v>2</v>
      </c>
      <c r="H1330" s="1" t="s">
        <v>14</v>
      </c>
      <c r="I1330" s="1" t="s">
        <v>15</v>
      </c>
      <c r="J1330" s="12">
        <v>45766</v>
      </c>
      <c r="K1330">
        <v>0</v>
      </c>
      <c r="L1330" s="1">
        <f t="shared" si="80"/>
        <v>28</v>
      </c>
      <c r="M1330" s="1" t="str">
        <f t="shared" si="81"/>
        <v/>
      </c>
      <c r="N1330" s="2">
        <f t="shared" si="82"/>
        <v>45748</v>
      </c>
      <c r="O1330" t="str">
        <f t="shared" si="83"/>
        <v>mačka</v>
      </c>
    </row>
    <row r="1331" spans="1:15" x14ac:dyDescent="0.25">
      <c r="A1331">
        <v>8838</v>
      </c>
      <c r="B1331" s="11">
        <v>4063456789014</v>
      </c>
      <c r="C1331" s="1" t="s">
        <v>60</v>
      </c>
      <c r="D1331" s="1" t="s">
        <v>12</v>
      </c>
      <c r="E1331" s="1" t="s">
        <v>61</v>
      </c>
      <c r="F1331">
        <v>36</v>
      </c>
      <c r="G1331">
        <v>1</v>
      </c>
      <c r="H1331" s="1" t="s">
        <v>14</v>
      </c>
      <c r="I1331" s="1" t="s">
        <v>15</v>
      </c>
      <c r="J1331" s="12">
        <v>45766</v>
      </c>
      <c r="K1331">
        <v>0</v>
      </c>
      <c r="L1331" s="1">
        <f t="shared" si="80"/>
        <v>36</v>
      </c>
      <c r="M1331" s="1" t="str">
        <f t="shared" si="81"/>
        <v/>
      </c>
      <c r="N1331" s="2">
        <f t="shared" si="82"/>
        <v>45748</v>
      </c>
      <c r="O1331" t="str">
        <f t="shared" si="83"/>
        <v>pes</v>
      </c>
    </row>
    <row r="1332" spans="1:15" x14ac:dyDescent="0.25">
      <c r="A1332">
        <v>8839</v>
      </c>
      <c r="B1332" s="11">
        <v>4028899001126</v>
      </c>
      <c r="C1332" s="1" t="s">
        <v>16</v>
      </c>
      <c r="D1332" s="1" t="s">
        <v>12</v>
      </c>
      <c r="E1332" s="1" t="s">
        <v>17</v>
      </c>
      <c r="F1332">
        <v>2.8</v>
      </c>
      <c r="G1332">
        <v>3</v>
      </c>
      <c r="H1332" s="1" t="s">
        <v>14</v>
      </c>
      <c r="I1332" s="1" t="s">
        <v>15</v>
      </c>
      <c r="J1332" s="12">
        <v>45767</v>
      </c>
      <c r="K1332">
        <v>0</v>
      </c>
      <c r="L1332" s="1">
        <f t="shared" si="80"/>
        <v>8.3999999999999986</v>
      </c>
      <c r="M1332" s="1" t="str">
        <f t="shared" si="81"/>
        <v/>
      </c>
      <c r="N1332" s="2">
        <f t="shared" si="82"/>
        <v>45748</v>
      </c>
      <c r="O1332" t="str">
        <f t="shared" si="83"/>
        <v>pes</v>
      </c>
    </row>
    <row r="1333" spans="1:15" x14ac:dyDescent="0.25">
      <c r="A1333">
        <v>8840</v>
      </c>
      <c r="B1333" s="11">
        <v>4013456789017</v>
      </c>
      <c r="C1333" s="1" t="s">
        <v>11</v>
      </c>
      <c r="D1333" s="1" t="s">
        <v>12</v>
      </c>
      <c r="E1333" s="1" t="s">
        <v>13</v>
      </c>
      <c r="F1333">
        <v>6</v>
      </c>
      <c r="G1333">
        <v>1</v>
      </c>
      <c r="H1333" s="1" t="s">
        <v>14</v>
      </c>
      <c r="I1333" s="1" t="s">
        <v>15</v>
      </c>
      <c r="J1333" s="12">
        <v>45767</v>
      </c>
      <c r="K1333">
        <v>0</v>
      </c>
      <c r="L1333" s="1">
        <f t="shared" si="80"/>
        <v>6</v>
      </c>
      <c r="M1333" s="1" t="str">
        <f t="shared" si="81"/>
        <v/>
      </c>
      <c r="N1333" s="2">
        <f t="shared" si="82"/>
        <v>45748</v>
      </c>
      <c r="O1333" t="str">
        <f t="shared" si="83"/>
        <v>pes</v>
      </c>
    </row>
    <row r="1334" spans="1:15" x14ac:dyDescent="0.25">
      <c r="A1334">
        <v>8841</v>
      </c>
      <c r="B1334" s="11">
        <v>4040123456795</v>
      </c>
      <c r="C1334" s="1" t="s">
        <v>20</v>
      </c>
      <c r="D1334" s="1" t="s">
        <v>21</v>
      </c>
      <c r="E1334" s="1" t="s">
        <v>22</v>
      </c>
      <c r="F1334">
        <v>8.8000000000000007</v>
      </c>
      <c r="G1334">
        <v>1</v>
      </c>
      <c r="H1334" s="1" t="s">
        <v>18</v>
      </c>
      <c r="I1334" s="1" t="s">
        <v>232</v>
      </c>
      <c r="J1334" s="12">
        <v>45767</v>
      </c>
      <c r="K1334">
        <v>0</v>
      </c>
      <c r="L1334" s="1">
        <f t="shared" si="80"/>
        <v>8.8000000000000007</v>
      </c>
      <c r="M1334" s="1">
        <f t="shared" si="81"/>
        <v>4</v>
      </c>
      <c r="N1334" s="2">
        <f t="shared" si="82"/>
        <v>45748</v>
      </c>
      <c r="O1334" t="str">
        <f t="shared" si="83"/>
        <v>pes</v>
      </c>
    </row>
    <row r="1335" spans="1:15" hidden="1" x14ac:dyDescent="0.25">
      <c r="A1335">
        <v>8842</v>
      </c>
      <c r="B1335" s="11">
        <v>4010123456783</v>
      </c>
      <c r="C1335" s="1" t="s">
        <v>35</v>
      </c>
      <c r="D1335" s="1" t="s">
        <v>36</v>
      </c>
      <c r="E1335" s="1" t="s">
        <v>37</v>
      </c>
      <c r="F1335">
        <v>14</v>
      </c>
      <c r="G1335">
        <v>2</v>
      </c>
      <c r="H1335" s="1" t="s">
        <v>14</v>
      </c>
      <c r="I1335" s="1" t="s">
        <v>15</v>
      </c>
      <c r="J1335" s="12">
        <v>45767</v>
      </c>
      <c r="K1335">
        <v>0</v>
      </c>
      <c r="L1335" s="1">
        <f t="shared" si="80"/>
        <v>28</v>
      </c>
      <c r="M1335" s="1" t="str">
        <f t="shared" si="81"/>
        <v/>
      </c>
      <c r="N1335" s="2">
        <f t="shared" si="82"/>
        <v>45748</v>
      </c>
      <c r="O1335" t="str">
        <f t="shared" si="83"/>
        <v>mačka</v>
      </c>
    </row>
    <row r="1336" spans="1:15" x14ac:dyDescent="0.25">
      <c r="A1336">
        <v>8843</v>
      </c>
      <c r="B1336" s="11">
        <v>4063456789014</v>
      </c>
      <c r="C1336" s="1" t="s">
        <v>60</v>
      </c>
      <c r="D1336" s="1" t="s">
        <v>12</v>
      </c>
      <c r="E1336" s="1" t="s">
        <v>61</v>
      </c>
      <c r="F1336">
        <v>36</v>
      </c>
      <c r="G1336">
        <v>1</v>
      </c>
      <c r="H1336" s="1" t="s">
        <v>14</v>
      </c>
      <c r="I1336" s="1" t="s">
        <v>15</v>
      </c>
      <c r="J1336" s="12">
        <v>45767</v>
      </c>
      <c r="K1336">
        <v>0</v>
      </c>
      <c r="L1336" s="1">
        <f t="shared" si="80"/>
        <v>36</v>
      </c>
      <c r="M1336" s="1" t="str">
        <f t="shared" si="81"/>
        <v/>
      </c>
      <c r="N1336" s="2">
        <f t="shared" si="82"/>
        <v>45748</v>
      </c>
      <c r="O1336" t="str">
        <f t="shared" si="83"/>
        <v>pes</v>
      </c>
    </row>
    <row r="1337" spans="1:15" hidden="1" x14ac:dyDescent="0.25">
      <c r="A1337">
        <v>8844</v>
      </c>
      <c r="B1337" s="11">
        <v>4021234567894</v>
      </c>
      <c r="C1337" s="1" t="s">
        <v>79</v>
      </c>
      <c r="D1337" s="1" t="s">
        <v>36</v>
      </c>
      <c r="E1337" s="1" t="s">
        <v>69</v>
      </c>
      <c r="F1337">
        <v>8</v>
      </c>
      <c r="G1337">
        <v>1</v>
      </c>
      <c r="H1337" s="1" t="s">
        <v>14</v>
      </c>
      <c r="I1337" s="1" t="s">
        <v>15</v>
      </c>
      <c r="J1337" s="12">
        <v>45767</v>
      </c>
      <c r="K1337">
        <v>0</v>
      </c>
      <c r="L1337" s="1">
        <f t="shared" si="80"/>
        <v>8</v>
      </c>
      <c r="M1337" s="1" t="str">
        <f t="shared" si="81"/>
        <v/>
      </c>
      <c r="N1337" s="2">
        <f t="shared" si="82"/>
        <v>45748</v>
      </c>
      <c r="O1337" t="str">
        <f t="shared" si="83"/>
        <v>mačka</v>
      </c>
    </row>
    <row r="1338" spans="1:15" hidden="1" x14ac:dyDescent="0.25">
      <c r="A1338">
        <v>8845</v>
      </c>
      <c r="B1338" s="11">
        <v>4056789012345</v>
      </c>
      <c r="C1338" s="1" t="s">
        <v>47</v>
      </c>
      <c r="D1338" s="1" t="s">
        <v>29</v>
      </c>
      <c r="E1338" s="1" t="s">
        <v>37</v>
      </c>
      <c r="F1338">
        <v>2.4</v>
      </c>
      <c r="G1338">
        <v>3</v>
      </c>
      <c r="H1338" s="1" t="s">
        <v>23</v>
      </c>
      <c r="I1338" s="1" t="s">
        <v>233</v>
      </c>
      <c r="J1338" s="12">
        <v>45768</v>
      </c>
      <c r="K1338">
        <v>0</v>
      </c>
      <c r="L1338" s="1">
        <f t="shared" si="80"/>
        <v>7.1999999999999993</v>
      </c>
      <c r="M1338" s="1">
        <f t="shared" si="81"/>
        <v>5</v>
      </c>
      <c r="N1338" s="2">
        <f t="shared" si="82"/>
        <v>45748</v>
      </c>
      <c r="O1338" t="str">
        <f t="shared" si="83"/>
        <v>mačka</v>
      </c>
    </row>
    <row r="1339" spans="1:15" x14ac:dyDescent="0.25">
      <c r="A1339">
        <v>8846</v>
      </c>
      <c r="B1339" s="11">
        <v>4061011223346</v>
      </c>
      <c r="C1339" s="1" t="s">
        <v>25</v>
      </c>
      <c r="D1339" s="1" t="s">
        <v>26</v>
      </c>
      <c r="E1339" s="1" t="s">
        <v>27</v>
      </c>
      <c r="F1339">
        <v>19.600000000000001</v>
      </c>
      <c r="G1339">
        <v>1</v>
      </c>
      <c r="H1339" s="1" t="s">
        <v>14</v>
      </c>
      <c r="I1339" s="1" t="s">
        <v>15</v>
      </c>
      <c r="J1339" s="12">
        <v>45768</v>
      </c>
      <c r="K1339">
        <v>0</v>
      </c>
      <c r="L1339" s="1">
        <f t="shared" si="80"/>
        <v>19.600000000000001</v>
      </c>
      <c r="M1339" s="1" t="str">
        <f t="shared" si="81"/>
        <v/>
      </c>
      <c r="N1339" s="2">
        <f t="shared" si="82"/>
        <v>45748</v>
      </c>
      <c r="O1339" t="str">
        <f t="shared" si="83"/>
        <v>pes</v>
      </c>
    </row>
    <row r="1340" spans="1:15" hidden="1" x14ac:dyDescent="0.25">
      <c r="A1340">
        <v>8847</v>
      </c>
      <c r="B1340" s="11">
        <v>4026677889902</v>
      </c>
      <c r="C1340" s="1" t="s">
        <v>52</v>
      </c>
      <c r="D1340" s="1" t="s">
        <v>53</v>
      </c>
      <c r="E1340" s="1" t="s">
        <v>54</v>
      </c>
      <c r="F1340">
        <v>7.6</v>
      </c>
      <c r="G1340">
        <v>1</v>
      </c>
      <c r="H1340" s="1" t="s">
        <v>14</v>
      </c>
      <c r="I1340" s="1" t="s">
        <v>15</v>
      </c>
      <c r="J1340" s="12">
        <v>45768</v>
      </c>
      <c r="K1340">
        <v>0</v>
      </c>
      <c r="L1340" s="1">
        <f t="shared" si="80"/>
        <v>7.6</v>
      </c>
      <c r="M1340" s="1" t="str">
        <f t="shared" si="81"/>
        <v/>
      </c>
      <c r="N1340" s="2">
        <f t="shared" si="82"/>
        <v>45748</v>
      </c>
      <c r="O1340" t="str">
        <f t="shared" si="83"/>
        <v>iné</v>
      </c>
    </row>
    <row r="1341" spans="1:15" x14ac:dyDescent="0.25">
      <c r="A1341">
        <v>8848</v>
      </c>
      <c r="B1341" s="11">
        <v>4028899001126</v>
      </c>
      <c r="C1341" s="1" t="s">
        <v>16</v>
      </c>
      <c r="D1341" s="1" t="s">
        <v>12</v>
      </c>
      <c r="E1341" s="1" t="s">
        <v>17</v>
      </c>
      <c r="F1341">
        <v>2.8</v>
      </c>
      <c r="G1341">
        <v>5</v>
      </c>
      <c r="H1341" s="1" t="s">
        <v>14</v>
      </c>
      <c r="I1341" s="1" t="s">
        <v>15</v>
      </c>
      <c r="J1341" s="12">
        <v>45768</v>
      </c>
      <c r="K1341">
        <v>0</v>
      </c>
      <c r="L1341" s="1">
        <f t="shared" si="80"/>
        <v>14</v>
      </c>
      <c r="M1341" s="1" t="str">
        <f t="shared" si="81"/>
        <v/>
      </c>
      <c r="N1341" s="2">
        <f t="shared" si="82"/>
        <v>45748</v>
      </c>
      <c r="O1341" t="str">
        <f t="shared" si="83"/>
        <v>pes</v>
      </c>
    </row>
    <row r="1342" spans="1:15" x14ac:dyDescent="0.25">
      <c r="A1342">
        <v>8849</v>
      </c>
      <c r="B1342" s="11">
        <v>4013456789017</v>
      </c>
      <c r="C1342" s="1" t="s">
        <v>11</v>
      </c>
      <c r="D1342" s="1" t="s">
        <v>12</v>
      </c>
      <c r="E1342" s="1" t="s">
        <v>13</v>
      </c>
      <c r="F1342">
        <v>6</v>
      </c>
      <c r="G1342">
        <v>1</v>
      </c>
      <c r="H1342" s="1" t="s">
        <v>14</v>
      </c>
      <c r="I1342" s="1" t="s">
        <v>15</v>
      </c>
      <c r="J1342" s="12">
        <v>45768</v>
      </c>
      <c r="K1342">
        <v>0</v>
      </c>
      <c r="L1342" s="1">
        <f t="shared" si="80"/>
        <v>6</v>
      </c>
      <c r="M1342" s="1" t="str">
        <f t="shared" si="81"/>
        <v/>
      </c>
      <c r="N1342" s="2">
        <f t="shared" si="82"/>
        <v>45748</v>
      </c>
      <c r="O1342" t="str">
        <f t="shared" si="83"/>
        <v>pes</v>
      </c>
    </row>
    <row r="1343" spans="1:15" x14ac:dyDescent="0.25">
      <c r="A1343">
        <v>8850</v>
      </c>
      <c r="B1343" s="11">
        <v>4040123456795</v>
      </c>
      <c r="C1343" s="1" t="s">
        <v>20</v>
      </c>
      <c r="D1343" s="1" t="s">
        <v>21</v>
      </c>
      <c r="E1343" s="1" t="s">
        <v>22</v>
      </c>
      <c r="F1343">
        <v>8.8000000000000007</v>
      </c>
      <c r="G1343">
        <v>1</v>
      </c>
      <c r="H1343" s="1" t="s">
        <v>14</v>
      </c>
      <c r="I1343" s="1" t="s">
        <v>15</v>
      </c>
      <c r="J1343" s="12">
        <v>45768</v>
      </c>
      <c r="K1343">
        <v>0</v>
      </c>
      <c r="L1343" s="1">
        <f t="shared" si="80"/>
        <v>8.8000000000000007</v>
      </c>
      <c r="M1343" s="1" t="str">
        <f t="shared" si="81"/>
        <v/>
      </c>
      <c r="N1343" s="2">
        <f t="shared" si="82"/>
        <v>45748</v>
      </c>
      <c r="O1343" t="str">
        <f t="shared" si="83"/>
        <v>pes</v>
      </c>
    </row>
    <row r="1344" spans="1:15" hidden="1" x14ac:dyDescent="0.25">
      <c r="A1344">
        <v>8851</v>
      </c>
      <c r="B1344" s="11">
        <v>4010123456783</v>
      </c>
      <c r="C1344" s="1" t="s">
        <v>35</v>
      </c>
      <c r="D1344" s="1" t="s">
        <v>36</v>
      </c>
      <c r="E1344" s="1" t="s">
        <v>37</v>
      </c>
      <c r="F1344">
        <v>14</v>
      </c>
      <c r="G1344">
        <v>1</v>
      </c>
      <c r="H1344" s="1" t="s">
        <v>33</v>
      </c>
      <c r="I1344" s="1" t="s">
        <v>234</v>
      </c>
      <c r="J1344" s="12">
        <v>45768</v>
      </c>
      <c r="K1344">
        <v>0</v>
      </c>
      <c r="L1344" s="1">
        <f t="shared" si="80"/>
        <v>14</v>
      </c>
      <c r="M1344" s="1">
        <f t="shared" si="81"/>
        <v>3</v>
      </c>
      <c r="N1344" s="2">
        <f t="shared" si="82"/>
        <v>45748</v>
      </c>
      <c r="O1344" t="str">
        <f t="shared" si="83"/>
        <v>mačka</v>
      </c>
    </row>
    <row r="1345" spans="1:15" x14ac:dyDescent="0.25">
      <c r="A1345">
        <v>8852</v>
      </c>
      <c r="B1345" s="11">
        <v>4063456789014</v>
      </c>
      <c r="C1345" s="1" t="s">
        <v>60</v>
      </c>
      <c r="D1345" s="1" t="s">
        <v>12</v>
      </c>
      <c r="E1345" s="1" t="s">
        <v>61</v>
      </c>
      <c r="F1345">
        <v>36</v>
      </c>
      <c r="G1345">
        <v>1</v>
      </c>
      <c r="H1345" s="1" t="s">
        <v>14</v>
      </c>
      <c r="I1345" s="1" t="s">
        <v>15</v>
      </c>
      <c r="J1345" s="12">
        <v>45768</v>
      </c>
      <c r="K1345">
        <v>0</v>
      </c>
      <c r="L1345" s="1">
        <f t="shared" si="80"/>
        <v>36</v>
      </c>
      <c r="M1345" s="1" t="str">
        <f t="shared" si="81"/>
        <v/>
      </c>
      <c r="N1345" s="2">
        <f t="shared" si="82"/>
        <v>45748</v>
      </c>
      <c r="O1345" t="str">
        <f t="shared" si="83"/>
        <v>pes</v>
      </c>
    </row>
    <row r="1346" spans="1:15" hidden="1" x14ac:dyDescent="0.25">
      <c r="A1346">
        <v>8853</v>
      </c>
      <c r="B1346" s="11">
        <v>4021234567894</v>
      </c>
      <c r="C1346" s="1" t="s">
        <v>79</v>
      </c>
      <c r="D1346" s="1" t="s">
        <v>36</v>
      </c>
      <c r="E1346" s="1" t="s">
        <v>69</v>
      </c>
      <c r="F1346">
        <v>8</v>
      </c>
      <c r="G1346">
        <v>1</v>
      </c>
      <c r="H1346" s="1" t="s">
        <v>14</v>
      </c>
      <c r="I1346" s="1" t="s">
        <v>15</v>
      </c>
      <c r="J1346" s="12">
        <v>45769</v>
      </c>
      <c r="K1346">
        <v>0</v>
      </c>
      <c r="L1346" s="1">
        <f t="shared" ref="L1346:L1409" si="84">F1346*G1346</f>
        <v>8</v>
      </c>
      <c r="M1346" s="1" t="str">
        <f t="shared" ref="M1346:M1409" si="85">IF(H1346="NULL", "",VALUE(H1346))</f>
        <v/>
      </c>
      <c r="N1346" s="2">
        <f t="shared" ref="N1346:N1409" si="86">DATE(YEAR(J1346),MONTH(J1346),1)</f>
        <v>45748</v>
      </c>
      <c r="O1346" t="str">
        <f t="shared" ref="O1346:O1409" si="87">IF(ISNUMBER(SEARCH("Mačky",D1346)),"mačka",IF(ISNUMBER(SEARCH("Psy",D1346)),"pes","iné"))</f>
        <v>mačka</v>
      </c>
    </row>
    <row r="1347" spans="1:15" hidden="1" x14ac:dyDescent="0.25">
      <c r="A1347">
        <v>8854</v>
      </c>
      <c r="B1347" s="11">
        <v>4056789012345</v>
      </c>
      <c r="C1347" s="1" t="s">
        <v>47</v>
      </c>
      <c r="D1347" s="1" t="s">
        <v>29</v>
      </c>
      <c r="E1347" s="1" t="s">
        <v>37</v>
      </c>
      <c r="F1347">
        <v>2.4</v>
      </c>
      <c r="G1347">
        <v>2</v>
      </c>
      <c r="H1347" s="1" t="s">
        <v>14</v>
      </c>
      <c r="I1347" s="1" t="s">
        <v>15</v>
      </c>
      <c r="J1347" s="12">
        <v>45769</v>
      </c>
      <c r="K1347">
        <v>0</v>
      </c>
      <c r="L1347" s="1">
        <f t="shared" si="84"/>
        <v>4.8</v>
      </c>
      <c r="M1347" s="1" t="str">
        <f t="shared" si="85"/>
        <v/>
      </c>
      <c r="N1347" s="2">
        <f t="shared" si="86"/>
        <v>45748</v>
      </c>
      <c r="O1347" t="str">
        <f t="shared" si="87"/>
        <v>mačka</v>
      </c>
    </row>
    <row r="1348" spans="1:15" x14ac:dyDescent="0.25">
      <c r="A1348">
        <v>8855</v>
      </c>
      <c r="B1348" s="11">
        <v>4061011223346</v>
      </c>
      <c r="C1348" s="1" t="s">
        <v>25</v>
      </c>
      <c r="D1348" s="1" t="s">
        <v>26</v>
      </c>
      <c r="E1348" s="1" t="s">
        <v>27</v>
      </c>
      <c r="F1348">
        <v>19.600000000000001</v>
      </c>
      <c r="G1348">
        <v>1</v>
      </c>
      <c r="H1348" s="1" t="s">
        <v>14</v>
      </c>
      <c r="I1348" s="1" t="s">
        <v>15</v>
      </c>
      <c r="J1348" s="12">
        <v>45769</v>
      </c>
      <c r="K1348">
        <v>0</v>
      </c>
      <c r="L1348" s="1">
        <f t="shared" si="84"/>
        <v>19.600000000000001</v>
      </c>
      <c r="M1348" s="1" t="str">
        <f t="shared" si="85"/>
        <v/>
      </c>
      <c r="N1348" s="2">
        <f t="shared" si="86"/>
        <v>45748</v>
      </c>
      <c r="O1348" t="str">
        <f t="shared" si="87"/>
        <v>pes</v>
      </c>
    </row>
    <row r="1349" spans="1:15" hidden="1" x14ac:dyDescent="0.25">
      <c r="A1349">
        <v>8856</v>
      </c>
      <c r="B1349" s="11">
        <v>4026677889902</v>
      </c>
      <c r="C1349" s="1" t="s">
        <v>52</v>
      </c>
      <c r="D1349" s="1" t="s">
        <v>53</v>
      </c>
      <c r="E1349" s="1" t="s">
        <v>54</v>
      </c>
      <c r="F1349">
        <v>7.6</v>
      </c>
      <c r="G1349">
        <v>1</v>
      </c>
      <c r="H1349" s="1" t="s">
        <v>14</v>
      </c>
      <c r="I1349" s="1" t="s">
        <v>15</v>
      </c>
      <c r="J1349" s="12">
        <v>45769</v>
      </c>
      <c r="K1349">
        <v>0</v>
      </c>
      <c r="L1349" s="1">
        <f t="shared" si="84"/>
        <v>7.6</v>
      </c>
      <c r="M1349" s="1" t="str">
        <f t="shared" si="85"/>
        <v/>
      </c>
      <c r="N1349" s="2">
        <f t="shared" si="86"/>
        <v>45748</v>
      </c>
      <c r="O1349" t="str">
        <f t="shared" si="87"/>
        <v>iné</v>
      </c>
    </row>
    <row r="1350" spans="1:15" x14ac:dyDescent="0.25">
      <c r="A1350">
        <v>8857</v>
      </c>
      <c r="B1350" s="11">
        <v>4028899001126</v>
      </c>
      <c r="C1350" s="1" t="s">
        <v>16</v>
      </c>
      <c r="D1350" s="1" t="s">
        <v>12</v>
      </c>
      <c r="E1350" s="1" t="s">
        <v>17</v>
      </c>
      <c r="F1350">
        <v>2.8</v>
      </c>
      <c r="G1350">
        <v>3</v>
      </c>
      <c r="H1350" s="1" t="s">
        <v>18</v>
      </c>
      <c r="I1350" s="1" t="s">
        <v>235</v>
      </c>
      <c r="J1350" s="12">
        <v>45769</v>
      </c>
      <c r="K1350">
        <v>0</v>
      </c>
      <c r="L1350" s="1">
        <f t="shared" si="84"/>
        <v>8.3999999999999986</v>
      </c>
      <c r="M1350" s="1">
        <f t="shared" si="85"/>
        <v>4</v>
      </c>
      <c r="N1350" s="2">
        <f t="shared" si="86"/>
        <v>45748</v>
      </c>
      <c r="O1350" t="str">
        <f t="shared" si="87"/>
        <v>pes</v>
      </c>
    </row>
    <row r="1351" spans="1:15" x14ac:dyDescent="0.25">
      <c r="A1351">
        <v>8858</v>
      </c>
      <c r="B1351" s="11">
        <v>4013456789017</v>
      </c>
      <c r="C1351" s="1" t="s">
        <v>11</v>
      </c>
      <c r="D1351" s="1" t="s">
        <v>12</v>
      </c>
      <c r="E1351" s="1" t="s">
        <v>13</v>
      </c>
      <c r="F1351">
        <v>6</v>
      </c>
      <c r="G1351">
        <v>1</v>
      </c>
      <c r="H1351" s="1" t="s">
        <v>14</v>
      </c>
      <c r="I1351" s="1" t="s">
        <v>15</v>
      </c>
      <c r="J1351" s="12">
        <v>45769</v>
      </c>
      <c r="K1351">
        <v>0</v>
      </c>
      <c r="L1351" s="1">
        <f t="shared" si="84"/>
        <v>6</v>
      </c>
      <c r="M1351" s="1" t="str">
        <f t="shared" si="85"/>
        <v/>
      </c>
      <c r="N1351" s="2">
        <f t="shared" si="86"/>
        <v>45748</v>
      </c>
      <c r="O1351" t="str">
        <f t="shared" si="87"/>
        <v>pes</v>
      </c>
    </row>
    <row r="1352" spans="1:15" x14ac:dyDescent="0.25">
      <c r="A1352">
        <v>8859</v>
      </c>
      <c r="B1352" s="11">
        <v>4040123456795</v>
      </c>
      <c r="C1352" s="1" t="s">
        <v>20</v>
      </c>
      <c r="D1352" s="1" t="s">
        <v>21</v>
      </c>
      <c r="E1352" s="1" t="s">
        <v>22</v>
      </c>
      <c r="F1352">
        <v>8.8000000000000007</v>
      </c>
      <c r="G1352">
        <v>1</v>
      </c>
      <c r="H1352" s="1" t="s">
        <v>14</v>
      </c>
      <c r="I1352" s="1" t="s">
        <v>15</v>
      </c>
      <c r="J1352" s="12">
        <v>45769</v>
      </c>
      <c r="K1352">
        <v>0</v>
      </c>
      <c r="L1352" s="1">
        <f t="shared" si="84"/>
        <v>8.8000000000000007</v>
      </c>
      <c r="M1352" s="1" t="str">
        <f t="shared" si="85"/>
        <v/>
      </c>
      <c r="N1352" s="2">
        <f t="shared" si="86"/>
        <v>45748</v>
      </c>
      <c r="O1352" t="str">
        <f t="shared" si="87"/>
        <v>pes</v>
      </c>
    </row>
    <row r="1353" spans="1:15" hidden="1" x14ac:dyDescent="0.25">
      <c r="A1353">
        <v>8860</v>
      </c>
      <c r="B1353" s="11">
        <v>4010123456783</v>
      </c>
      <c r="C1353" s="1" t="s">
        <v>35</v>
      </c>
      <c r="D1353" s="1" t="s">
        <v>36</v>
      </c>
      <c r="E1353" s="1" t="s">
        <v>37</v>
      </c>
      <c r="F1353">
        <v>14</v>
      </c>
      <c r="G1353">
        <v>2</v>
      </c>
      <c r="H1353" s="1" t="s">
        <v>14</v>
      </c>
      <c r="I1353" s="1" t="s">
        <v>15</v>
      </c>
      <c r="J1353" s="12">
        <v>45769</v>
      </c>
      <c r="K1353">
        <v>0</v>
      </c>
      <c r="L1353" s="1">
        <f t="shared" si="84"/>
        <v>28</v>
      </c>
      <c r="M1353" s="1" t="str">
        <f t="shared" si="85"/>
        <v/>
      </c>
      <c r="N1353" s="2">
        <f t="shared" si="86"/>
        <v>45748</v>
      </c>
      <c r="O1353" t="str">
        <f t="shared" si="87"/>
        <v>mačka</v>
      </c>
    </row>
    <row r="1354" spans="1:15" x14ac:dyDescent="0.25">
      <c r="A1354">
        <v>8861</v>
      </c>
      <c r="B1354" s="11">
        <v>4063456789014</v>
      </c>
      <c r="C1354" s="1" t="s">
        <v>60</v>
      </c>
      <c r="D1354" s="1" t="s">
        <v>12</v>
      </c>
      <c r="E1354" s="1" t="s">
        <v>61</v>
      </c>
      <c r="F1354">
        <v>36</v>
      </c>
      <c r="G1354">
        <v>1</v>
      </c>
      <c r="H1354" s="1" t="s">
        <v>14</v>
      </c>
      <c r="I1354" s="1" t="s">
        <v>15</v>
      </c>
      <c r="J1354" s="12">
        <v>45770</v>
      </c>
      <c r="K1354">
        <v>0</v>
      </c>
      <c r="L1354" s="1">
        <f t="shared" si="84"/>
        <v>36</v>
      </c>
      <c r="M1354" s="1" t="str">
        <f t="shared" si="85"/>
        <v/>
      </c>
      <c r="N1354" s="2">
        <f t="shared" si="86"/>
        <v>45748</v>
      </c>
      <c r="O1354" t="str">
        <f t="shared" si="87"/>
        <v>pes</v>
      </c>
    </row>
    <row r="1355" spans="1:15" hidden="1" x14ac:dyDescent="0.25">
      <c r="A1355">
        <v>8862</v>
      </c>
      <c r="B1355" s="11">
        <v>4021234567894</v>
      </c>
      <c r="C1355" s="1" t="s">
        <v>79</v>
      </c>
      <c r="D1355" s="1" t="s">
        <v>36</v>
      </c>
      <c r="E1355" s="1" t="s">
        <v>69</v>
      </c>
      <c r="F1355">
        <v>8</v>
      </c>
      <c r="G1355">
        <v>1</v>
      </c>
      <c r="H1355" s="1" t="s">
        <v>23</v>
      </c>
      <c r="I1355" s="1" t="s">
        <v>236</v>
      </c>
      <c r="J1355" s="12">
        <v>45770</v>
      </c>
      <c r="K1355">
        <v>0</v>
      </c>
      <c r="L1355" s="1">
        <f t="shared" si="84"/>
        <v>8</v>
      </c>
      <c r="M1355" s="1">
        <f t="shared" si="85"/>
        <v>5</v>
      </c>
      <c r="N1355" s="2">
        <f t="shared" si="86"/>
        <v>45748</v>
      </c>
      <c r="O1355" t="str">
        <f t="shared" si="87"/>
        <v>mačka</v>
      </c>
    </row>
    <row r="1356" spans="1:15" hidden="1" x14ac:dyDescent="0.25">
      <c r="A1356">
        <v>8863</v>
      </c>
      <c r="B1356" s="11">
        <v>4056789012345</v>
      </c>
      <c r="C1356" s="1" t="s">
        <v>47</v>
      </c>
      <c r="D1356" s="1" t="s">
        <v>29</v>
      </c>
      <c r="E1356" s="1" t="s">
        <v>37</v>
      </c>
      <c r="F1356">
        <v>2.4</v>
      </c>
      <c r="G1356">
        <v>3</v>
      </c>
      <c r="H1356" s="1" t="s">
        <v>14</v>
      </c>
      <c r="I1356" s="1" t="s">
        <v>15</v>
      </c>
      <c r="J1356" s="12">
        <v>45770</v>
      </c>
      <c r="K1356">
        <v>0</v>
      </c>
      <c r="L1356" s="1">
        <f t="shared" si="84"/>
        <v>7.1999999999999993</v>
      </c>
      <c r="M1356" s="1" t="str">
        <f t="shared" si="85"/>
        <v/>
      </c>
      <c r="N1356" s="2">
        <f t="shared" si="86"/>
        <v>45748</v>
      </c>
      <c r="O1356" t="str">
        <f t="shared" si="87"/>
        <v>mačka</v>
      </c>
    </row>
    <row r="1357" spans="1:15" x14ac:dyDescent="0.25">
      <c r="A1357">
        <v>8864</v>
      </c>
      <c r="B1357" s="11">
        <v>4061011223346</v>
      </c>
      <c r="C1357" s="1" t="s">
        <v>25</v>
      </c>
      <c r="D1357" s="1" t="s">
        <v>26</v>
      </c>
      <c r="E1357" s="1" t="s">
        <v>27</v>
      </c>
      <c r="F1357">
        <v>19.600000000000001</v>
      </c>
      <c r="G1357">
        <v>1</v>
      </c>
      <c r="H1357" s="1" t="s">
        <v>14</v>
      </c>
      <c r="I1357" s="1" t="s">
        <v>15</v>
      </c>
      <c r="J1357" s="12">
        <v>45770</v>
      </c>
      <c r="K1357">
        <v>0</v>
      </c>
      <c r="L1357" s="1">
        <f t="shared" si="84"/>
        <v>19.600000000000001</v>
      </c>
      <c r="M1357" s="1" t="str">
        <f t="shared" si="85"/>
        <v/>
      </c>
      <c r="N1357" s="2">
        <f t="shared" si="86"/>
        <v>45748</v>
      </c>
      <c r="O1357" t="str">
        <f t="shared" si="87"/>
        <v>pes</v>
      </c>
    </row>
    <row r="1358" spans="1:15" hidden="1" x14ac:dyDescent="0.25">
      <c r="A1358">
        <v>8865</v>
      </c>
      <c r="B1358" s="11">
        <v>4026677889902</v>
      </c>
      <c r="C1358" s="1" t="s">
        <v>52</v>
      </c>
      <c r="D1358" s="1" t="s">
        <v>53</v>
      </c>
      <c r="E1358" s="1" t="s">
        <v>54</v>
      </c>
      <c r="F1358">
        <v>7.6</v>
      </c>
      <c r="G1358">
        <v>1</v>
      </c>
      <c r="H1358" s="1" t="s">
        <v>14</v>
      </c>
      <c r="I1358" s="1" t="s">
        <v>15</v>
      </c>
      <c r="J1358" s="12">
        <v>45770</v>
      </c>
      <c r="K1358">
        <v>0</v>
      </c>
      <c r="L1358" s="1">
        <f t="shared" si="84"/>
        <v>7.6</v>
      </c>
      <c r="M1358" s="1" t="str">
        <f t="shared" si="85"/>
        <v/>
      </c>
      <c r="N1358" s="2">
        <f t="shared" si="86"/>
        <v>45748</v>
      </c>
      <c r="O1358" t="str">
        <f t="shared" si="87"/>
        <v>iné</v>
      </c>
    </row>
    <row r="1359" spans="1:15" x14ac:dyDescent="0.25">
      <c r="A1359">
        <v>8866</v>
      </c>
      <c r="B1359" s="11">
        <v>4028899001126</v>
      </c>
      <c r="C1359" s="1" t="s">
        <v>16</v>
      </c>
      <c r="D1359" s="1" t="s">
        <v>12</v>
      </c>
      <c r="E1359" s="1" t="s">
        <v>17</v>
      </c>
      <c r="F1359">
        <v>2.8</v>
      </c>
      <c r="G1359">
        <v>4</v>
      </c>
      <c r="H1359" s="1" t="s">
        <v>14</v>
      </c>
      <c r="I1359" s="1" t="s">
        <v>15</v>
      </c>
      <c r="J1359" s="12">
        <v>45770</v>
      </c>
      <c r="K1359">
        <v>0</v>
      </c>
      <c r="L1359" s="1">
        <f t="shared" si="84"/>
        <v>11.2</v>
      </c>
      <c r="M1359" s="1" t="str">
        <f t="shared" si="85"/>
        <v/>
      </c>
      <c r="N1359" s="2">
        <f t="shared" si="86"/>
        <v>45748</v>
      </c>
      <c r="O1359" t="str">
        <f t="shared" si="87"/>
        <v>pes</v>
      </c>
    </row>
    <row r="1360" spans="1:15" x14ac:dyDescent="0.25">
      <c r="A1360">
        <v>8867</v>
      </c>
      <c r="B1360" s="11">
        <v>4013456789017</v>
      </c>
      <c r="C1360" s="1" t="s">
        <v>11</v>
      </c>
      <c r="D1360" s="1" t="s">
        <v>12</v>
      </c>
      <c r="E1360" s="1" t="s">
        <v>13</v>
      </c>
      <c r="F1360">
        <v>6</v>
      </c>
      <c r="G1360">
        <v>1</v>
      </c>
      <c r="H1360" s="1" t="s">
        <v>14</v>
      </c>
      <c r="I1360" s="1" t="s">
        <v>15</v>
      </c>
      <c r="J1360" s="12">
        <v>45770</v>
      </c>
      <c r="K1360">
        <v>0</v>
      </c>
      <c r="L1360" s="1">
        <f t="shared" si="84"/>
        <v>6</v>
      </c>
      <c r="M1360" s="1" t="str">
        <f t="shared" si="85"/>
        <v/>
      </c>
      <c r="N1360" s="2">
        <f t="shared" si="86"/>
        <v>45748</v>
      </c>
      <c r="O1360" t="str">
        <f t="shared" si="87"/>
        <v>pes</v>
      </c>
    </row>
    <row r="1361" spans="1:15" x14ac:dyDescent="0.25">
      <c r="A1361">
        <v>8868</v>
      </c>
      <c r="B1361" s="11">
        <v>4040123456795</v>
      </c>
      <c r="C1361" s="1" t="s">
        <v>20</v>
      </c>
      <c r="D1361" s="1" t="s">
        <v>21</v>
      </c>
      <c r="E1361" s="1" t="s">
        <v>22</v>
      </c>
      <c r="F1361">
        <v>8.8000000000000007</v>
      </c>
      <c r="G1361">
        <v>1</v>
      </c>
      <c r="H1361" s="1" t="s">
        <v>14</v>
      </c>
      <c r="I1361" s="1" t="s">
        <v>15</v>
      </c>
      <c r="J1361" s="12">
        <v>45770</v>
      </c>
      <c r="K1361">
        <v>0</v>
      </c>
      <c r="L1361" s="1">
        <f t="shared" si="84"/>
        <v>8.8000000000000007</v>
      </c>
      <c r="M1361" s="1" t="str">
        <f t="shared" si="85"/>
        <v/>
      </c>
      <c r="N1361" s="2">
        <f t="shared" si="86"/>
        <v>45748</v>
      </c>
      <c r="O1361" t="str">
        <f t="shared" si="87"/>
        <v>pes</v>
      </c>
    </row>
    <row r="1362" spans="1:15" hidden="1" x14ac:dyDescent="0.25">
      <c r="A1362">
        <v>8869</v>
      </c>
      <c r="B1362" s="11">
        <v>4010123456783</v>
      </c>
      <c r="C1362" s="1" t="s">
        <v>35</v>
      </c>
      <c r="D1362" s="1" t="s">
        <v>36</v>
      </c>
      <c r="E1362" s="1" t="s">
        <v>37</v>
      </c>
      <c r="F1362">
        <v>14</v>
      </c>
      <c r="G1362">
        <v>1</v>
      </c>
      <c r="H1362" s="1" t="s">
        <v>14</v>
      </c>
      <c r="I1362" s="1" t="s">
        <v>15</v>
      </c>
      <c r="J1362" s="12">
        <v>45770</v>
      </c>
      <c r="K1362">
        <v>0</v>
      </c>
      <c r="L1362" s="1">
        <f t="shared" si="84"/>
        <v>14</v>
      </c>
      <c r="M1362" s="1" t="str">
        <f t="shared" si="85"/>
        <v/>
      </c>
      <c r="N1362" s="2">
        <f t="shared" si="86"/>
        <v>45748</v>
      </c>
      <c r="O1362" t="str">
        <f t="shared" si="87"/>
        <v>mačka</v>
      </c>
    </row>
    <row r="1363" spans="1:15" x14ac:dyDescent="0.25">
      <c r="A1363">
        <v>8870</v>
      </c>
      <c r="B1363" s="11">
        <v>4063456789014</v>
      </c>
      <c r="C1363" s="1" t="s">
        <v>60</v>
      </c>
      <c r="D1363" s="1" t="s">
        <v>12</v>
      </c>
      <c r="E1363" s="1" t="s">
        <v>61</v>
      </c>
      <c r="F1363">
        <v>36</v>
      </c>
      <c r="G1363">
        <v>1</v>
      </c>
      <c r="H1363" s="1" t="s">
        <v>23</v>
      </c>
      <c r="I1363" s="1" t="s">
        <v>237</v>
      </c>
      <c r="J1363" s="12">
        <v>45770</v>
      </c>
      <c r="K1363">
        <v>0</v>
      </c>
      <c r="L1363" s="1">
        <f t="shared" si="84"/>
        <v>36</v>
      </c>
      <c r="M1363" s="1">
        <f t="shared" si="85"/>
        <v>5</v>
      </c>
      <c r="N1363" s="2">
        <f t="shared" si="86"/>
        <v>45748</v>
      </c>
      <c r="O1363" t="str">
        <f t="shared" si="87"/>
        <v>pes</v>
      </c>
    </row>
    <row r="1364" spans="1:15" hidden="1" x14ac:dyDescent="0.25">
      <c r="A1364">
        <v>8871</v>
      </c>
      <c r="B1364" s="11">
        <v>4021234567894</v>
      </c>
      <c r="C1364" s="1" t="s">
        <v>79</v>
      </c>
      <c r="D1364" s="1" t="s">
        <v>36</v>
      </c>
      <c r="E1364" s="1" t="s">
        <v>69</v>
      </c>
      <c r="F1364">
        <v>8</v>
      </c>
      <c r="G1364">
        <v>1</v>
      </c>
      <c r="H1364" s="1" t="s">
        <v>14</v>
      </c>
      <c r="I1364" s="1" t="s">
        <v>15</v>
      </c>
      <c r="J1364" s="12">
        <v>45771</v>
      </c>
      <c r="K1364">
        <v>0</v>
      </c>
      <c r="L1364" s="1">
        <f t="shared" si="84"/>
        <v>8</v>
      </c>
      <c r="M1364" s="1" t="str">
        <f t="shared" si="85"/>
        <v/>
      </c>
      <c r="N1364" s="2">
        <f t="shared" si="86"/>
        <v>45748</v>
      </c>
      <c r="O1364" t="str">
        <f t="shared" si="87"/>
        <v>mačka</v>
      </c>
    </row>
    <row r="1365" spans="1:15" hidden="1" x14ac:dyDescent="0.25">
      <c r="A1365">
        <v>8872</v>
      </c>
      <c r="B1365" s="11">
        <v>4056789012345</v>
      </c>
      <c r="C1365" s="1" t="s">
        <v>47</v>
      </c>
      <c r="D1365" s="1" t="s">
        <v>29</v>
      </c>
      <c r="E1365" s="1" t="s">
        <v>37</v>
      </c>
      <c r="F1365">
        <v>2.4</v>
      </c>
      <c r="G1365">
        <v>3</v>
      </c>
      <c r="H1365" s="1" t="s">
        <v>14</v>
      </c>
      <c r="I1365" s="1" t="s">
        <v>15</v>
      </c>
      <c r="J1365" s="12">
        <v>45771</v>
      </c>
      <c r="K1365">
        <v>0</v>
      </c>
      <c r="L1365" s="1">
        <f t="shared" si="84"/>
        <v>7.1999999999999993</v>
      </c>
      <c r="M1365" s="1" t="str">
        <f t="shared" si="85"/>
        <v/>
      </c>
      <c r="N1365" s="2">
        <f t="shared" si="86"/>
        <v>45748</v>
      </c>
      <c r="O1365" t="str">
        <f t="shared" si="87"/>
        <v>mačka</v>
      </c>
    </row>
    <row r="1366" spans="1:15" x14ac:dyDescent="0.25">
      <c r="A1366">
        <v>8873</v>
      </c>
      <c r="B1366" s="11">
        <v>4061011223346</v>
      </c>
      <c r="C1366" s="1" t="s">
        <v>25</v>
      </c>
      <c r="D1366" s="1" t="s">
        <v>26</v>
      </c>
      <c r="E1366" s="1" t="s">
        <v>27</v>
      </c>
      <c r="F1366">
        <v>19.600000000000001</v>
      </c>
      <c r="G1366">
        <v>1</v>
      </c>
      <c r="H1366" s="1" t="s">
        <v>14</v>
      </c>
      <c r="I1366" s="1" t="s">
        <v>15</v>
      </c>
      <c r="J1366" s="12">
        <v>45771</v>
      </c>
      <c r="K1366">
        <v>0</v>
      </c>
      <c r="L1366" s="1">
        <f t="shared" si="84"/>
        <v>19.600000000000001</v>
      </c>
      <c r="M1366" s="1" t="str">
        <f t="shared" si="85"/>
        <v/>
      </c>
      <c r="N1366" s="2">
        <f t="shared" si="86"/>
        <v>45748</v>
      </c>
      <c r="O1366" t="str">
        <f t="shared" si="87"/>
        <v>pes</v>
      </c>
    </row>
    <row r="1367" spans="1:15" hidden="1" x14ac:dyDescent="0.25">
      <c r="A1367">
        <v>8874</v>
      </c>
      <c r="B1367" s="11">
        <v>4026677889902</v>
      </c>
      <c r="C1367" s="1" t="s">
        <v>52</v>
      </c>
      <c r="D1367" s="1" t="s">
        <v>53</v>
      </c>
      <c r="E1367" s="1" t="s">
        <v>54</v>
      </c>
      <c r="F1367">
        <v>7.6</v>
      </c>
      <c r="G1367">
        <v>1</v>
      </c>
      <c r="H1367" s="1" t="s">
        <v>14</v>
      </c>
      <c r="I1367" s="1" t="s">
        <v>15</v>
      </c>
      <c r="J1367" s="12">
        <v>45771</v>
      </c>
      <c r="K1367">
        <v>0</v>
      </c>
      <c r="L1367" s="1">
        <f t="shared" si="84"/>
        <v>7.6</v>
      </c>
      <c r="M1367" s="1" t="str">
        <f t="shared" si="85"/>
        <v/>
      </c>
      <c r="N1367" s="2">
        <f t="shared" si="86"/>
        <v>45748</v>
      </c>
      <c r="O1367" t="str">
        <f t="shared" si="87"/>
        <v>iné</v>
      </c>
    </row>
    <row r="1368" spans="1:15" x14ac:dyDescent="0.25">
      <c r="A1368">
        <v>8875</v>
      </c>
      <c r="B1368" s="11">
        <v>4028899001126</v>
      </c>
      <c r="C1368" s="1" t="s">
        <v>16</v>
      </c>
      <c r="D1368" s="1" t="s">
        <v>12</v>
      </c>
      <c r="E1368" s="1" t="s">
        <v>17</v>
      </c>
      <c r="F1368">
        <v>2.8</v>
      </c>
      <c r="G1368">
        <v>3</v>
      </c>
      <c r="H1368" s="1" t="s">
        <v>14</v>
      </c>
      <c r="I1368" s="1" t="s">
        <v>15</v>
      </c>
      <c r="J1368" s="12">
        <v>45771</v>
      </c>
      <c r="K1368">
        <v>0</v>
      </c>
      <c r="L1368" s="1">
        <f t="shared" si="84"/>
        <v>8.3999999999999986</v>
      </c>
      <c r="M1368" s="1" t="str">
        <f t="shared" si="85"/>
        <v/>
      </c>
      <c r="N1368" s="2">
        <f t="shared" si="86"/>
        <v>45748</v>
      </c>
      <c r="O1368" t="str">
        <f t="shared" si="87"/>
        <v>pes</v>
      </c>
    </row>
    <row r="1369" spans="1:15" x14ac:dyDescent="0.25">
      <c r="A1369">
        <v>8876</v>
      </c>
      <c r="B1369" s="11">
        <v>4013456789017</v>
      </c>
      <c r="C1369" s="1" t="s">
        <v>11</v>
      </c>
      <c r="D1369" s="1" t="s">
        <v>12</v>
      </c>
      <c r="E1369" s="1" t="s">
        <v>13</v>
      </c>
      <c r="F1369">
        <v>6</v>
      </c>
      <c r="G1369">
        <v>1</v>
      </c>
      <c r="H1369" s="1" t="s">
        <v>18</v>
      </c>
      <c r="I1369" s="1" t="s">
        <v>238</v>
      </c>
      <c r="J1369" s="12">
        <v>45771</v>
      </c>
      <c r="K1369">
        <v>0</v>
      </c>
      <c r="L1369" s="1">
        <f t="shared" si="84"/>
        <v>6</v>
      </c>
      <c r="M1369" s="1">
        <f t="shared" si="85"/>
        <v>4</v>
      </c>
      <c r="N1369" s="2">
        <f t="shared" si="86"/>
        <v>45748</v>
      </c>
      <c r="O1369" t="str">
        <f t="shared" si="87"/>
        <v>pes</v>
      </c>
    </row>
    <row r="1370" spans="1:15" x14ac:dyDescent="0.25">
      <c r="A1370">
        <v>8877</v>
      </c>
      <c r="B1370" s="11">
        <v>4040123456795</v>
      </c>
      <c r="C1370" s="1" t="s">
        <v>20</v>
      </c>
      <c r="D1370" s="1" t="s">
        <v>21</v>
      </c>
      <c r="E1370" s="1" t="s">
        <v>22</v>
      </c>
      <c r="F1370">
        <v>8.8000000000000007</v>
      </c>
      <c r="G1370">
        <v>1</v>
      </c>
      <c r="H1370" s="1" t="s">
        <v>14</v>
      </c>
      <c r="I1370" s="1" t="s">
        <v>15</v>
      </c>
      <c r="J1370" s="12">
        <v>45771</v>
      </c>
      <c r="K1370">
        <v>0</v>
      </c>
      <c r="L1370" s="1">
        <f t="shared" si="84"/>
        <v>8.8000000000000007</v>
      </c>
      <c r="M1370" s="1" t="str">
        <f t="shared" si="85"/>
        <v/>
      </c>
      <c r="N1370" s="2">
        <f t="shared" si="86"/>
        <v>45748</v>
      </c>
      <c r="O1370" t="str">
        <f t="shared" si="87"/>
        <v>pes</v>
      </c>
    </row>
    <row r="1371" spans="1:15" hidden="1" x14ac:dyDescent="0.25">
      <c r="A1371">
        <v>8878</v>
      </c>
      <c r="B1371" s="11">
        <v>4010123456783</v>
      </c>
      <c r="C1371" s="1" t="s">
        <v>35</v>
      </c>
      <c r="D1371" s="1" t="s">
        <v>36</v>
      </c>
      <c r="E1371" s="1" t="s">
        <v>37</v>
      </c>
      <c r="F1371">
        <v>14</v>
      </c>
      <c r="G1371">
        <v>2</v>
      </c>
      <c r="H1371" s="1" t="s">
        <v>14</v>
      </c>
      <c r="I1371" s="1" t="s">
        <v>15</v>
      </c>
      <c r="J1371" s="12">
        <v>45771</v>
      </c>
      <c r="K1371">
        <v>0</v>
      </c>
      <c r="L1371" s="1">
        <f t="shared" si="84"/>
        <v>28</v>
      </c>
      <c r="M1371" s="1" t="str">
        <f t="shared" si="85"/>
        <v/>
      </c>
      <c r="N1371" s="2">
        <f t="shared" si="86"/>
        <v>45748</v>
      </c>
      <c r="O1371" t="str">
        <f t="shared" si="87"/>
        <v>mačka</v>
      </c>
    </row>
    <row r="1372" spans="1:15" x14ac:dyDescent="0.25">
      <c r="A1372">
        <v>8879</v>
      </c>
      <c r="B1372" s="11">
        <v>4063456789014</v>
      </c>
      <c r="C1372" s="1" t="s">
        <v>60</v>
      </c>
      <c r="D1372" s="1" t="s">
        <v>12</v>
      </c>
      <c r="E1372" s="1" t="s">
        <v>61</v>
      </c>
      <c r="F1372">
        <v>36</v>
      </c>
      <c r="G1372">
        <v>1</v>
      </c>
      <c r="H1372" s="1" t="s">
        <v>14</v>
      </c>
      <c r="I1372" s="1" t="s">
        <v>15</v>
      </c>
      <c r="J1372" s="12">
        <v>45771</v>
      </c>
      <c r="K1372">
        <v>0</v>
      </c>
      <c r="L1372" s="1">
        <f t="shared" si="84"/>
        <v>36</v>
      </c>
      <c r="M1372" s="1" t="str">
        <f t="shared" si="85"/>
        <v/>
      </c>
      <c r="N1372" s="2">
        <f t="shared" si="86"/>
        <v>45748</v>
      </c>
      <c r="O1372" t="str">
        <f t="shared" si="87"/>
        <v>pes</v>
      </c>
    </row>
    <row r="1373" spans="1:15" hidden="1" x14ac:dyDescent="0.25">
      <c r="A1373">
        <v>8880</v>
      </c>
      <c r="B1373" s="11">
        <v>4021234567894</v>
      </c>
      <c r="C1373" s="1" t="s">
        <v>79</v>
      </c>
      <c r="D1373" s="1" t="s">
        <v>36</v>
      </c>
      <c r="E1373" s="1" t="s">
        <v>69</v>
      </c>
      <c r="F1373">
        <v>8</v>
      </c>
      <c r="G1373">
        <v>1</v>
      </c>
      <c r="H1373" s="1" t="s">
        <v>14</v>
      </c>
      <c r="I1373" s="1" t="s">
        <v>15</v>
      </c>
      <c r="J1373" s="12">
        <v>45772</v>
      </c>
      <c r="K1373">
        <v>0</v>
      </c>
      <c r="L1373" s="1">
        <f t="shared" si="84"/>
        <v>8</v>
      </c>
      <c r="M1373" s="1" t="str">
        <f t="shared" si="85"/>
        <v/>
      </c>
      <c r="N1373" s="2">
        <f t="shared" si="86"/>
        <v>45748</v>
      </c>
      <c r="O1373" t="str">
        <f t="shared" si="87"/>
        <v>mačka</v>
      </c>
    </row>
    <row r="1374" spans="1:15" hidden="1" x14ac:dyDescent="0.25">
      <c r="A1374">
        <v>8881</v>
      </c>
      <c r="B1374" s="11">
        <v>4056789012345</v>
      </c>
      <c r="C1374" s="1" t="s">
        <v>47</v>
      </c>
      <c r="D1374" s="1" t="s">
        <v>29</v>
      </c>
      <c r="E1374" s="1" t="s">
        <v>37</v>
      </c>
      <c r="F1374">
        <v>2.4</v>
      </c>
      <c r="G1374">
        <v>2</v>
      </c>
      <c r="H1374" s="1" t="s">
        <v>14</v>
      </c>
      <c r="I1374" s="1" t="s">
        <v>15</v>
      </c>
      <c r="J1374" s="12">
        <v>45772</v>
      </c>
      <c r="K1374">
        <v>0</v>
      </c>
      <c r="L1374" s="1">
        <f t="shared" si="84"/>
        <v>4.8</v>
      </c>
      <c r="M1374" s="1" t="str">
        <f t="shared" si="85"/>
        <v/>
      </c>
      <c r="N1374" s="2">
        <f t="shared" si="86"/>
        <v>45748</v>
      </c>
      <c r="O1374" t="str">
        <f t="shared" si="87"/>
        <v>mačka</v>
      </c>
    </row>
    <row r="1375" spans="1:15" x14ac:dyDescent="0.25">
      <c r="A1375">
        <v>8882</v>
      </c>
      <c r="B1375" s="11">
        <v>4061011223346</v>
      </c>
      <c r="C1375" s="1" t="s">
        <v>25</v>
      </c>
      <c r="D1375" s="1" t="s">
        <v>26</v>
      </c>
      <c r="E1375" s="1" t="s">
        <v>27</v>
      </c>
      <c r="F1375">
        <v>19.600000000000001</v>
      </c>
      <c r="G1375">
        <v>1</v>
      </c>
      <c r="H1375" s="1" t="s">
        <v>14</v>
      </c>
      <c r="I1375" s="1" t="s">
        <v>15</v>
      </c>
      <c r="J1375" s="12">
        <v>45772</v>
      </c>
      <c r="K1375">
        <v>0</v>
      </c>
      <c r="L1375" s="1">
        <f t="shared" si="84"/>
        <v>19.600000000000001</v>
      </c>
      <c r="M1375" s="1" t="str">
        <f t="shared" si="85"/>
        <v/>
      </c>
      <c r="N1375" s="2">
        <f t="shared" si="86"/>
        <v>45748</v>
      </c>
      <c r="O1375" t="str">
        <f t="shared" si="87"/>
        <v>pes</v>
      </c>
    </row>
    <row r="1376" spans="1:15" hidden="1" x14ac:dyDescent="0.25">
      <c r="A1376">
        <v>8883</v>
      </c>
      <c r="B1376" s="11">
        <v>4026677889902</v>
      </c>
      <c r="C1376" s="1" t="s">
        <v>52</v>
      </c>
      <c r="D1376" s="1" t="s">
        <v>53</v>
      </c>
      <c r="E1376" s="1" t="s">
        <v>54</v>
      </c>
      <c r="F1376">
        <v>7.6</v>
      </c>
      <c r="G1376">
        <v>1</v>
      </c>
      <c r="H1376" s="1" t="s">
        <v>14</v>
      </c>
      <c r="I1376" s="1" t="s">
        <v>15</v>
      </c>
      <c r="J1376" s="12">
        <v>45772</v>
      </c>
      <c r="K1376">
        <v>0</v>
      </c>
      <c r="L1376" s="1">
        <f t="shared" si="84"/>
        <v>7.6</v>
      </c>
      <c r="M1376" s="1" t="str">
        <f t="shared" si="85"/>
        <v/>
      </c>
      <c r="N1376" s="2">
        <f t="shared" si="86"/>
        <v>45748</v>
      </c>
      <c r="O1376" t="str">
        <f t="shared" si="87"/>
        <v>iné</v>
      </c>
    </row>
    <row r="1377" spans="1:15" x14ac:dyDescent="0.25">
      <c r="A1377">
        <v>8884</v>
      </c>
      <c r="B1377" s="11">
        <v>4028899001126</v>
      </c>
      <c r="C1377" s="1" t="s">
        <v>16</v>
      </c>
      <c r="D1377" s="1" t="s">
        <v>12</v>
      </c>
      <c r="E1377" s="1" t="s">
        <v>17</v>
      </c>
      <c r="F1377">
        <v>2.8</v>
      </c>
      <c r="G1377">
        <v>4</v>
      </c>
      <c r="H1377" s="1" t="s">
        <v>23</v>
      </c>
      <c r="I1377" s="1" t="s">
        <v>239</v>
      </c>
      <c r="J1377" s="12">
        <v>45772</v>
      </c>
      <c r="K1377">
        <v>0</v>
      </c>
      <c r="L1377" s="1">
        <f t="shared" si="84"/>
        <v>11.2</v>
      </c>
      <c r="M1377" s="1">
        <f t="shared" si="85"/>
        <v>5</v>
      </c>
      <c r="N1377" s="2">
        <f t="shared" si="86"/>
        <v>45748</v>
      </c>
      <c r="O1377" t="str">
        <f t="shared" si="87"/>
        <v>pes</v>
      </c>
    </row>
    <row r="1378" spans="1:15" x14ac:dyDescent="0.25">
      <c r="A1378">
        <v>8885</v>
      </c>
      <c r="B1378" s="11">
        <v>4013456789017</v>
      </c>
      <c r="C1378" s="1" t="s">
        <v>11</v>
      </c>
      <c r="D1378" s="1" t="s">
        <v>12</v>
      </c>
      <c r="E1378" s="1" t="s">
        <v>13</v>
      </c>
      <c r="F1378">
        <v>6</v>
      </c>
      <c r="G1378">
        <v>1</v>
      </c>
      <c r="H1378" s="1" t="s">
        <v>14</v>
      </c>
      <c r="I1378" s="1" t="s">
        <v>15</v>
      </c>
      <c r="J1378" s="12">
        <v>45772</v>
      </c>
      <c r="K1378">
        <v>0</v>
      </c>
      <c r="L1378" s="1">
        <f t="shared" si="84"/>
        <v>6</v>
      </c>
      <c r="M1378" s="1" t="str">
        <f t="shared" si="85"/>
        <v/>
      </c>
      <c r="N1378" s="2">
        <f t="shared" si="86"/>
        <v>45748</v>
      </c>
      <c r="O1378" t="str">
        <f t="shared" si="87"/>
        <v>pes</v>
      </c>
    </row>
    <row r="1379" spans="1:15" x14ac:dyDescent="0.25">
      <c r="A1379">
        <v>8886</v>
      </c>
      <c r="B1379" s="11">
        <v>4040123456795</v>
      </c>
      <c r="C1379" s="1" t="s">
        <v>20</v>
      </c>
      <c r="D1379" s="1" t="s">
        <v>21</v>
      </c>
      <c r="E1379" s="1" t="s">
        <v>22</v>
      </c>
      <c r="F1379">
        <v>8.8000000000000007</v>
      </c>
      <c r="G1379">
        <v>1</v>
      </c>
      <c r="H1379" s="1" t="s">
        <v>14</v>
      </c>
      <c r="I1379" s="1" t="s">
        <v>15</v>
      </c>
      <c r="J1379" s="12">
        <v>45772</v>
      </c>
      <c r="K1379">
        <v>0</v>
      </c>
      <c r="L1379" s="1">
        <f t="shared" si="84"/>
        <v>8.8000000000000007</v>
      </c>
      <c r="M1379" s="1" t="str">
        <f t="shared" si="85"/>
        <v/>
      </c>
      <c r="N1379" s="2">
        <f t="shared" si="86"/>
        <v>45748</v>
      </c>
      <c r="O1379" t="str">
        <f t="shared" si="87"/>
        <v>pes</v>
      </c>
    </row>
    <row r="1380" spans="1:15" hidden="1" x14ac:dyDescent="0.25">
      <c r="A1380">
        <v>8887</v>
      </c>
      <c r="B1380" s="11">
        <v>4010123456783</v>
      </c>
      <c r="C1380" s="1" t="s">
        <v>35</v>
      </c>
      <c r="D1380" s="1" t="s">
        <v>36</v>
      </c>
      <c r="E1380" s="1" t="s">
        <v>37</v>
      </c>
      <c r="F1380">
        <v>14</v>
      </c>
      <c r="G1380">
        <v>2</v>
      </c>
      <c r="H1380" s="1" t="s">
        <v>14</v>
      </c>
      <c r="I1380" s="1" t="s">
        <v>15</v>
      </c>
      <c r="J1380" s="12">
        <v>45772</v>
      </c>
      <c r="K1380">
        <v>0</v>
      </c>
      <c r="L1380" s="1">
        <f t="shared" si="84"/>
        <v>28</v>
      </c>
      <c r="M1380" s="1" t="str">
        <f t="shared" si="85"/>
        <v/>
      </c>
      <c r="N1380" s="2">
        <f t="shared" si="86"/>
        <v>45748</v>
      </c>
      <c r="O1380" t="str">
        <f t="shared" si="87"/>
        <v>mačka</v>
      </c>
    </row>
    <row r="1381" spans="1:15" x14ac:dyDescent="0.25">
      <c r="A1381">
        <v>8888</v>
      </c>
      <c r="B1381" s="11">
        <v>4063456789014</v>
      </c>
      <c r="C1381" s="1" t="s">
        <v>60</v>
      </c>
      <c r="D1381" s="1" t="s">
        <v>12</v>
      </c>
      <c r="E1381" s="1" t="s">
        <v>61</v>
      </c>
      <c r="F1381">
        <v>36</v>
      </c>
      <c r="G1381">
        <v>1</v>
      </c>
      <c r="H1381" s="1" t="s">
        <v>14</v>
      </c>
      <c r="I1381" s="1" t="s">
        <v>15</v>
      </c>
      <c r="J1381" s="12">
        <v>45772</v>
      </c>
      <c r="K1381">
        <v>0</v>
      </c>
      <c r="L1381" s="1">
        <f t="shared" si="84"/>
        <v>36</v>
      </c>
      <c r="M1381" s="1" t="str">
        <f t="shared" si="85"/>
        <v/>
      </c>
      <c r="N1381" s="2">
        <f t="shared" si="86"/>
        <v>45748</v>
      </c>
      <c r="O1381" t="str">
        <f t="shared" si="87"/>
        <v>pes</v>
      </c>
    </row>
    <row r="1382" spans="1:15" x14ac:dyDescent="0.25">
      <c r="A1382">
        <v>8889</v>
      </c>
      <c r="B1382" s="11">
        <v>4028899001126</v>
      </c>
      <c r="C1382" s="1" t="s">
        <v>16</v>
      </c>
      <c r="D1382" s="1" t="s">
        <v>12</v>
      </c>
      <c r="E1382" s="1" t="s">
        <v>17</v>
      </c>
      <c r="F1382">
        <v>2.8</v>
      </c>
      <c r="G1382">
        <v>3</v>
      </c>
      <c r="H1382" s="1" t="s">
        <v>14</v>
      </c>
      <c r="I1382" s="1" t="s">
        <v>15</v>
      </c>
      <c r="J1382" s="12">
        <v>45773</v>
      </c>
      <c r="K1382">
        <v>0</v>
      </c>
      <c r="L1382" s="1">
        <f t="shared" si="84"/>
        <v>8.3999999999999986</v>
      </c>
      <c r="M1382" s="1" t="str">
        <f t="shared" si="85"/>
        <v/>
      </c>
      <c r="N1382" s="2">
        <f t="shared" si="86"/>
        <v>45748</v>
      </c>
      <c r="O1382" t="str">
        <f t="shared" si="87"/>
        <v>pes</v>
      </c>
    </row>
    <row r="1383" spans="1:15" x14ac:dyDescent="0.25">
      <c r="A1383">
        <v>8890</v>
      </c>
      <c r="B1383" s="11">
        <v>4013456789017</v>
      </c>
      <c r="C1383" s="1" t="s">
        <v>11</v>
      </c>
      <c r="D1383" s="1" t="s">
        <v>12</v>
      </c>
      <c r="E1383" s="1" t="s">
        <v>13</v>
      </c>
      <c r="F1383">
        <v>6</v>
      </c>
      <c r="G1383">
        <v>2</v>
      </c>
      <c r="H1383" s="1" t="s">
        <v>14</v>
      </c>
      <c r="I1383" s="1" t="s">
        <v>15</v>
      </c>
      <c r="J1383" s="12">
        <v>45773</v>
      </c>
      <c r="K1383">
        <v>0</v>
      </c>
      <c r="L1383" s="1">
        <f t="shared" si="84"/>
        <v>12</v>
      </c>
      <c r="M1383" s="1" t="str">
        <f t="shared" si="85"/>
        <v/>
      </c>
      <c r="N1383" s="2">
        <f t="shared" si="86"/>
        <v>45748</v>
      </c>
      <c r="O1383" t="str">
        <f t="shared" si="87"/>
        <v>pes</v>
      </c>
    </row>
    <row r="1384" spans="1:15" x14ac:dyDescent="0.25">
      <c r="A1384">
        <v>8891</v>
      </c>
      <c r="B1384" s="11">
        <v>4040123456795</v>
      </c>
      <c r="C1384" s="1" t="s">
        <v>20</v>
      </c>
      <c r="D1384" s="1" t="s">
        <v>21</v>
      </c>
      <c r="E1384" s="1" t="s">
        <v>22</v>
      </c>
      <c r="F1384">
        <v>8.8000000000000007</v>
      </c>
      <c r="G1384">
        <v>1</v>
      </c>
      <c r="H1384" s="1" t="s">
        <v>23</v>
      </c>
      <c r="I1384" s="1" t="s">
        <v>240</v>
      </c>
      <c r="J1384" s="12">
        <v>45773</v>
      </c>
      <c r="K1384">
        <v>0</v>
      </c>
      <c r="L1384" s="1">
        <f t="shared" si="84"/>
        <v>8.8000000000000007</v>
      </c>
      <c r="M1384" s="1">
        <f t="shared" si="85"/>
        <v>5</v>
      </c>
      <c r="N1384" s="2">
        <f t="shared" si="86"/>
        <v>45748</v>
      </c>
      <c r="O1384" t="str">
        <f t="shared" si="87"/>
        <v>pes</v>
      </c>
    </row>
    <row r="1385" spans="1:15" hidden="1" x14ac:dyDescent="0.25">
      <c r="A1385">
        <v>8892</v>
      </c>
      <c r="B1385" s="11">
        <v>4010123456783</v>
      </c>
      <c r="C1385" s="1" t="s">
        <v>35</v>
      </c>
      <c r="D1385" s="1" t="s">
        <v>36</v>
      </c>
      <c r="E1385" s="1" t="s">
        <v>37</v>
      </c>
      <c r="F1385">
        <v>14</v>
      </c>
      <c r="G1385">
        <v>2</v>
      </c>
      <c r="H1385" s="1" t="s">
        <v>14</v>
      </c>
      <c r="I1385" s="1" t="s">
        <v>15</v>
      </c>
      <c r="J1385" s="12">
        <v>45773</v>
      </c>
      <c r="K1385">
        <v>0</v>
      </c>
      <c r="L1385" s="1">
        <f t="shared" si="84"/>
        <v>28</v>
      </c>
      <c r="M1385" s="1" t="str">
        <f t="shared" si="85"/>
        <v/>
      </c>
      <c r="N1385" s="2">
        <f t="shared" si="86"/>
        <v>45748</v>
      </c>
      <c r="O1385" t="str">
        <f t="shared" si="87"/>
        <v>mačka</v>
      </c>
    </row>
    <row r="1386" spans="1:15" x14ac:dyDescent="0.25">
      <c r="A1386">
        <v>8893</v>
      </c>
      <c r="B1386" s="11">
        <v>4063456789014</v>
      </c>
      <c r="C1386" s="1" t="s">
        <v>60</v>
      </c>
      <c r="D1386" s="1" t="s">
        <v>12</v>
      </c>
      <c r="E1386" s="1" t="s">
        <v>61</v>
      </c>
      <c r="F1386">
        <v>36</v>
      </c>
      <c r="G1386">
        <v>1</v>
      </c>
      <c r="H1386" s="1" t="s">
        <v>14</v>
      </c>
      <c r="I1386" s="1" t="s">
        <v>15</v>
      </c>
      <c r="J1386" s="12">
        <v>45773</v>
      </c>
      <c r="K1386">
        <v>0</v>
      </c>
      <c r="L1386" s="1">
        <f t="shared" si="84"/>
        <v>36</v>
      </c>
      <c r="M1386" s="1" t="str">
        <f t="shared" si="85"/>
        <v/>
      </c>
      <c r="N1386" s="2">
        <f t="shared" si="86"/>
        <v>45748</v>
      </c>
      <c r="O1386" t="str">
        <f t="shared" si="87"/>
        <v>pes</v>
      </c>
    </row>
    <row r="1387" spans="1:15" hidden="1" x14ac:dyDescent="0.25">
      <c r="A1387">
        <v>8894</v>
      </c>
      <c r="B1387" s="11">
        <v>4021234567894</v>
      </c>
      <c r="C1387" s="1" t="s">
        <v>79</v>
      </c>
      <c r="D1387" s="1" t="s">
        <v>36</v>
      </c>
      <c r="E1387" s="1" t="s">
        <v>69</v>
      </c>
      <c r="F1387">
        <v>8</v>
      </c>
      <c r="G1387">
        <v>1</v>
      </c>
      <c r="H1387" s="1" t="s">
        <v>14</v>
      </c>
      <c r="I1387" s="1" t="s">
        <v>15</v>
      </c>
      <c r="J1387" s="12">
        <v>45773</v>
      </c>
      <c r="K1387">
        <v>0</v>
      </c>
      <c r="L1387" s="1">
        <f t="shared" si="84"/>
        <v>8</v>
      </c>
      <c r="M1387" s="1" t="str">
        <f t="shared" si="85"/>
        <v/>
      </c>
      <c r="N1387" s="2">
        <f t="shared" si="86"/>
        <v>45748</v>
      </c>
      <c r="O1387" t="str">
        <f t="shared" si="87"/>
        <v>mačka</v>
      </c>
    </row>
    <row r="1388" spans="1:15" hidden="1" x14ac:dyDescent="0.25">
      <c r="A1388">
        <v>8895</v>
      </c>
      <c r="B1388" s="11">
        <v>4056789012345</v>
      </c>
      <c r="C1388" s="1" t="s">
        <v>47</v>
      </c>
      <c r="D1388" s="1" t="s">
        <v>29</v>
      </c>
      <c r="E1388" s="1" t="s">
        <v>37</v>
      </c>
      <c r="F1388">
        <v>2.4</v>
      </c>
      <c r="G1388">
        <v>3</v>
      </c>
      <c r="H1388" s="1" t="s">
        <v>33</v>
      </c>
      <c r="I1388" s="1" t="s">
        <v>225</v>
      </c>
      <c r="J1388" s="12">
        <v>45773</v>
      </c>
      <c r="K1388">
        <v>0</v>
      </c>
      <c r="L1388" s="1">
        <f t="shared" si="84"/>
        <v>7.1999999999999993</v>
      </c>
      <c r="M1388" s="1">
        <f t="shared" si="85"/>
        <v>3</v>
      </c>
      <c r="N1388" s="2">
        <f t="shared" si="86"/>
        <v>45748</v>
      </c>
      <c r="O1388" t="str">
        <f t="shared" si="87"/>
        <v>mačka</v>
      </c>
    </row>
    <row r="1389" spans="1:15" x14ac:dyDescent="0.25">
      <c r="A1389">
        <v>8896</v>
      </c>
      <c r="B1389" s="11">
        <v>4061011223346</v>
      </c>
      <c r="C1389" s="1" t="s">
        <v>25</v>
      </c>
      <c r="D1389" s="1" t="s">
        <v>26</v>
      </c>
      <c r="E1389" s="1" t="s">
        <v>27</v>
      </c>
      <c r="F1389">
        <v>19.600000000000001</v>
      </c>
      <c r="G1389">
        <v>1</v>
      </c>
      <c r="H1389" s="1" t="s">
        <v>14</v>
      </c>
      <c r="I1389" s="1" t="s">
        <v>15</v>
      </c>
      <c r="J1389" s="12">
        <v>45773</v>
      </c>
      <c r="K1389">
        <v>0</v>
      </c>
      <c r="L1389" s="1">
        <f t="shared" si="84"/>
        <v>19.600000000000001</v>
      </c>
      <c r="M1389" s="1" t="str">
        <f t="shared" si="85"/>
        <v/>
      </c>
      <c r="N1389" s="2">
        <f t="shared" si="86"/>
        <v>45748</v>
      </c>
      <c r="O1389" t="str">
        <f t="shared" si="87"/>
        <v>pes</v>
      </c>
    </row>
    <row r="1390" spans="1:15" hidden="1" x14ac:dyDescent="0.25">
      <c r="A1390">
        <v>8897</v>
      </c>
      <c r="B1390" s="11">
        <v>4026677889902</v>
      </c>
      <c r="C1390" s="1" t="s">
        <v>52</v>
      </c>
      <c r="D1390" s="1" t="s">
        <v>53</v>
      </c>
      <c r="E1390" s="1" t="s">
        <v>54</v>
      </c>
      <c r="F1390">
        <v>7.6</v>
      </c>
      <c r="G1390">
        <v>1</v>
      </c>
      <c r="H1390" s="1" t="s">
        <v>14</v>
      </c>
      <c r="I1390" s="1" t="s">
        <v>15</v>
      </c>
      <c r="J1390" s="12">
        <v>45773</v>
      </c>
      <c r="K1390">
        <v>0</v>
      </c>
      <c r="L1390" s="1">
        <f t="shared" si="84"/>
        <v>7.6</v>
      </c>
      <c r="M1390" s="1" t="str">
        <f t="shared" si="85"/>
        <v/>
      </c>
      <c r="N1390" s="2">
        <f t="shared" si="86"/>
        <v>45748</v>
      </c>
      <c r="O1390" t="str">
        <f t="shared" si="87"/>
        <v>iné</v>
      </c>
    </row>
    <row r="1391" spans="1:15" x14ac:dyDescent="0.25">
      <c r="A1391">
        <v>8898</v>
      </c>
      <c r="B1391" s="11">
        <v>4028899001126</v>
      </c>
      <c r="C1391" s="1" t="s">
        <v>16</v>
      </c>
      <c r="D1391" s="1" t="s">
        <v>12</v>
      </c>
      <c r="E1391" s="1" t="s">
        <v>17</v>
      </c>
      <c r="F1391">
        <v>2.8</v>
      </c>
      <c r="G1391">
        <v>4</v>
      </c>
      <c r="H1391" s="1" t="s">
        <v>14</v>
      </c>
      <c r="I1391" s="1" t="s">
        <v>15</v>
      </c>
      <c r="J1391" s="12">
        <v>45774</v>
      </c>
      <c r="K1391">
        <v>0</v>
      </c>
      <c r="L1391" s="1">
        <f t="shared" si="84"/>
        <v>11.2</v>
      </c>
      <c r="M1391" s="1" t="str">
        <f t="shared" si="85"/>
        <v/>
      </c>
      <c r="N1391" s="2">
        <f t="shared" si="86"/>
        <v>45748</v>
      </c>
      <c r="O1391" t="str">
        <f t="shared" si="87"/>
        <v>pes</v>
      </c>
    </row>
    <row r="1392" spans="1:15" x14ac:dyDescent="0.25">
      <c r="A1392">
        <v>8899</v>
      </c>
      <c r="B1392" s="11">
        <v>4013456789017</v>
      </c>
      <c r="C1392" s="1" t="s">
        <v>11</v>
      </c>
      <c r="D1392" s="1" t="s">
        <v>12</v>
      </c>
      <c r="E1392" s="1" t="s">
        <v>13</v>
      </c>
      <c r="F1392">
        <v>6</v>
      </c>
      <c r="G1392">
        <v>1</v>
      </c>
      <c r="H1392" s="1" t="s">
        <v>14</v>
      </c>
      <c r="I1392" s="1" t="s">
        <v>15</v>
      </c>
      <c r="J1392" s="12">
        <v>45774</v>
      </c>
      <c r="K1392">
        <v>0</v>
      </c>
      <c r="L1392" s="1">
        <f t="shared" si="84"/>
        <v>6</v>
      </c>
      <c r="M1392" s="1" t="str">
        <f t="shared" si="85"/>
        <v/>
      </c>
      <c r="N1392" s="2">
        <f t="shared" si="86"/>
        <v>45748</v>
      </c>
      <c r="O1392" t="str">
        <f t="shared" si="87"/>
        <v>pes</v>
      </c>
    </row>
    <row r="1393" spans="1:15" x14ac:dyDescent="0.25">
      <c r="A1393">
        <v>8900</v>
      </c>
      <c r="B1393" s="11">
        <v>4040123456795</v>
      </c>
      <c r="C1393" s="1" t="s">
        <v>20</v>
      </c>
      <c r="D1393" s="1" t="s">
        <v>21</v>
      </c>
      <c r="E1393" s="1" t="s">
        <v>22</v>
      </c>
      <c r="F1393">
        <v>8.8000000000000007</v>
      </c>
      <c r="G1393">
        <v>1</v>
      </c>
      <c r="H1393" s="1" t="s">
        <v>14</v>
      </c>
      <c r="I1393" s="1" t="s">
        <v>15</v>
      </c>
      <c r="J1393" s="12">
        <v>45774</v>
      </c>
      <c r="K1393">
        <v>0</v>
      </c>
      <c r="L1393" s="1">
        <f t="shared" si="84"/>
        <v>8.8000000000000007</v>
      </c>
      <c r="M1393" s="1" t="str">
        <f t="shared" si="85"/>
        <v/>
      </c>
      <c r="N1393" s="2">
        <f t="shared" si="86"/>
        <v>45748</v>
      </c>
      <c r="O1393" t="str">
        <f t="shared" si="87"/>
        <v>pes</v>
      </c>
    </row>
    <row r="1394" spans="1:15" hidden="1" x14ac:dyDescent="0.25">
      <c r="A1394">
        <v>8901</v>
      </c>
      <c r="B1394" s="11">
        <v>4010123456783</v>
      </c>
      <c r="C1394" s="1" t="s">
        <v>35</v>
      </c>
      <c r="D1394" s="1" t="s">
        <v>36</v>
      </c>
      <c r="E1394" s="1" t="s">
        <v>37</v>
      </c>
      <c r="F1394">
        <v>14</v>
      </c>
      <c r="G1394">
        <v>1</v>
      </c>
      <c r="H1394" s="1" t="s">
        <v>18</v>
      </c>
      <c r="I1394" s="1" t="s">
        <v>241</v>
      </c>
      <c r="J1394" s="12">
        <v>45774</v>
      </c>
      <c r="K1394">
        <v>0</v>
      </c>
      <c r="L1394" s="1">
        <f t="shared" si="84"/>
        <v>14</v>
      </c>
      <c r="M1394" s="1">
        <f t="shared" si="85"/>
        <v>4</v>
      </c>
      <c r="N1394" s="2">
        <f t="shared" si="86"/>
        <v>45748</v>
      </c>
      <c r="O1394" t="str">
        <f t="shared" si="87"/>
        <v>mačka</v>
      </c>
    </row>
    <row r="1395" spans="1:15" x14ac:dyDescent="0.25">
      <c r="A1395">
        <v>8902</v>
      </c>
      <c r="B1395" s="11">
        <v>4063456789014</v>
      </c>
      <c r="C1395" s="1" t="s">
        <v>60</v>
      </c>
      <c r="D1395" s="1" t="s">
        <v>12</v>
      </c>
      <c r="E1395" s="1" t="s">
        <v>61</v>
      </c>
      <c r="F1395">
        <v>36</v>
      </c>
      <c r="G1395">
        <v>1</v>
      </c>
      <c r="H1395" s="1" t="s">
        <v>14</v>
      </c>
      <c r="I1395" s="1" t="s">
        <v>15</v>
      </c>
      <c r="J1395" s="12">
        <v>45774</v>
      </c>
      <c r="K1395">
        <v>0</v>
      </c>
      <c r="L1395" s="1">
        <f t="shared" si="84"/>
        <v>36</v>
      </c>
      <c r="M1395" s="1" t="str">
        <f t="shared" si="85"/>
        <v/>
      </c>
      <c r="N1395" s="2">
        <f t="shared" si="86"/>
        <v>45748</v>
      </c>
      <c r="O1395" t="str">
        <f t="shared" si="87"/>
        <v>pes</v>
      </c>
    </row>
    <row r="1396" spans="1:15" hidden="1" x14ac:dyDescent="0.25">
      <c r="A1396">
        <v>8903</v>
      </c>
      <c r="B1396" s="11">
        <v>4021234567894</v>
      </c>
      <c r="C1396" s="1" t="s">
        <v>79</v>
      </c>
      <c r="D1396" s="1" t="s">
        <v>36</v>
      </c>
      <c r="E1396" s="1" t="s">
        <v>69</v>
      </c>
      <c r="F1396">
        <v>8</v>
      </c>
      <c r="G1396">
        <v>1</v>
      </c>
      <c r="H1396" s="1" t="s">
        <v>14</v>
      </c>
      <c r="I1396" s="1" t="s">
        <v>15</v>
      </c>
      <c r="J1396" s="12">
        <v>45774</v>
      </c>
      <c r="K1396">
        <v>0</v>
      </c>
      <c r="L1396" s="1">
        <f t="shared" si="84"/>
        <v>8</v>
      </c>
      <c r="M1396" s="1" t="str">
        <f t="shared" si="85"/>
        <v/>
      </c>
      <c r="N1396" s="2">
        <f t="shared" si="86"/>
        <v>45748</v>
      </c>
      <c r="O1396" t="str">
        <f t="shared" si="87"/>
        <v>mačka</v>
      </c>
    </row>
    <row r="1397" spans="1:15" hidden="1" x14ac:dyDescent="0.25">
      <c r="A1397">
        <v>8904</v>
      </c>
      <c r="B1397" s="11">
        <v>4056789012345</v>
      </c>
      <c r="C1397" s="1" t="s">
        <v>47</v>
      </c>
      <c r="D1397" s="1" t="s">
        <v>29</v>
      </c>
      <c r="E1397" s="1" t="s">
        <v>37</v>
      </c>
      <c r="F1397">
        <v>2.4</v>
      </c>
      <c r="G1397">
        <v>3</v>
      </c>
      <c r="H1397" s="1" t="s">
        <v>14</v>
      </c>
      <c r="I1397" s="1" t="s">
        <v>15</v>
      </c>
      <c r="J1397" s="12">
        <v>45774</v>
      </c>
      <c r="K1397">
        <v>0</v>
      </c>
      <c r="L1397" s="1">
        <f t="shared" si="84"/>
        <v>7.1999999999999993</v>
      </c>
      <c r="M1397" s="1" t="str">
        <f t="shared" si="85"/>
        <v/>
      </c>
      <c r="N1397" s="2">
        <f t="shared" si="86"/>
        <v>45748</v>
      </c>
      <c r="O1397" t="str">
        <f t="shared" si="87"/>
        <v>mačka</v>
      </c>
    </row>
    <row r="1398" spans="1:15" x14ac:dyDescent="0.25">
      <c r="A1398">
        <v>8905</v>
      </c>
      <c r="B1398" s="11">
        <v>4061011223346</v>
      </c>
      <c r="C1398" s="1" t="s">
        <v>25</v>
      </c>
      <c r="D1398" s="1" t="s">
        <v>26</v>
      </c>
      <c r="E1398" s="1" t="s">
        <v>27</v>
      </c>
      <c r="F1398">
        <v>19.600000000000001</v>
      </c>
      <c r="G1398">
        <v>1</v>
      </c>
      <c r="H1398" s="1" t="s">
        <v>14</v>
      </c>
      <c r="I1398" s="1" t="s">
        <v>15</v>
      </c>
      <c r="J1398" s="12">
        <v>45774</v>
      </c>
      <c r="K1398">
        <v>0</v>
      </c>
      <c r="L1398" s="1">
        <f t="shared" si="84"/>
        <v>19.600000000000001</v>
      </c>
      <c r="M1398" s="1" t="str">
        <f t="shared" si="85"/>
        <v/>
      </c>
      <c r="N1398" s="2">
        <f t="shared" si="86"/>
        <v>45748</v>
      </c>
      <c r="O1398" t="str">
        <f t="shared" si="87"/>
        <v>pes</v>
      </c>
    </row>
    <row r="1399" spans="1:15" hidden="1" x14ac:dyDescent="0.25">
      <c r="A1399">
        <v>8906</v>
      </c>
      <c r="B1399" s="11">
        <v>4026677889902</v>
      </c>
      <c r="C1399" s="1" t="s">
        <v>52</v>
      </c>
      <c r="D1399" s="1" t="s">
        <v>53</v>
      </c>
      <c r="E1399" s="1" t="s">
        <v>54</v>
      </c>
      <c r="F1399">
        <v>7.6</v>
      </c>
      <c r="G1399">
        <v>1</v>
      </c>
      <c r="H1399" s="1" t="s">
        <v>14</v>
      </c>
      <c r="I1399" s="1" t="s">
        <v>15</v>
      </c>
      <c r="J1399" s="12">
        <v>45774</v>
      </c>
      <c r="K1399">
        <v>0</v>
      </c>
      <c r="L1399" s="1">
        <f t="shared" si="84"/>
        <v>7.6</v>
      </c>
      <c r="M1399" s="1" t="str">
        <f t="shared" si="85"/>
        <v/>
      </c>
      <c r="N1399" s="2">
        <f t="shared" si="86"/>
        <v>45748</v>
      </c>
      <c r="O1399" t="str">
        <f t="shared" si="87"/>
        <v>iné</v>
      </c>
    </row>
    <row r="1400" spans="1:15" x14ac:dyDescent="0.25">
      <c r="A1400">
        <v>8907</v>
      </c>
      <c r="B1400" s="11">
        <v>4028899001126</v>
      </c>
      <c r="C1400" s="1" t="s">
        <v>16</v>
      </c>
      <c r="D1400" s="1" t="s">
        <v>12</v>
      </c>
      <c r="E1400" s="1" t="s">
        <v>17</v>
      </c>
      <c r="F1400">
        <v>2.8</v>
      </c>
      <c r="G1400">
        <v>5</v>
      </c>
      <c r="H1400" s="1" t="s">
        <v>18</v>
      </c>
      <c r="I1400" s="1" t="s">
        <v>242</v>
      </c>
      <c r="J1400" s="12">
        <v>45774</v>
      </c>
      <c r="K1400">
        <v>0</v>
      </c>
      <c r="L1400" s="1">
        <f t="shared" si="84"/>
        <v>14</v>
      </c>
      <c r="M1400" s="1">
        <f t="shared" si="85"/>
        <v>4</v>
      </c>
      <c r="N1400" s="2">
        <f t="shared" si="86"/>
        <v>45748</v>
      </c>
      <c r="O1400" t="str">
        <f t="shared" si="87"/>
        <v>pes</v>
      </c>
    </row>
    <row r="1401" spans="1:15" x14ac:dyDescent="0.25">
      <c r="A1401">
        <v>8908</v>
      </c>
      <c r="B1401" s="11">
        <v>4013456789017</v>
      </c>
      <c r="C1401" s="1" t="s">
        <v>11</v>
      </c>
      <c r="D1401" s="1" t="s">
        <v>12</v>
      </c>
      <c r="E1401" s="1" t="s">
        <v>13</v>
      </c>
      <c r="F1401">
        <v>6</v>
      </c>
      <c r="G1401">
        <v>2</v>
      </c>
      <c r="H1401" s="1" t="s">
        <v>14</v>
      </c>
      <c r="I1401" s="1" t="s">
        <v>15</v>
      </c>
      <c r="J1401" s="12">
        <v>45774</v>
      </c>
      <c r="K1401">
        <v>0</v>
      </c>
      <c r="L1401" s="1">
        <f t="shared" si="84"/>
        <v>12</v>
      </c>
      <c r="M1401" s="1" t="str">
        <f t="shared" si="85"/>
        <v/>
      </c>
      <c r="N1401" s="2">
        <f t="shared" si="86"/>
        <v>45748</v>
      </c>
      <c r="O1401" t="str">
        <f t="shared" si="87"/>
        <v>pes</v>
      </c>
    </row>
    <row r="1402" spans="1:15" x14ac:dyDescent="0.25">
      <c r="A1402">
        <v>8909</v>
      </c>
      <c r="B1402" s="11">
        <v>4040123456795</v>
      </c>
      <c r="C1402" s="1" t="s">
        <v>20</v>
      </c>
      <c r="D1402" s="1" t="s">
        <v>21</v>
      </c>
      <c r="E1402" s="1" t="s">
        <v>22</v>
      </c>
      <c r="F1402">
        <v>8.8000000000000007</v>
      </c>
      <c r="G1402">
        <v>1</v>
      </c>
      <c r="H1402" s="1" t="s">
        <v>14</v>
      </c>
      <c r="I1402" s="1" t="s">
        <v>15</v>
      </c>
      <c r="J1402" s="12">
        <v>45774</v>
      </c>
      <c r="K1402">
        <v>0</v>
      </c>
      <c r="L1402" s="1">
        <f t="shared" si="84"/>
        <v>8.8000000000000007</v>
      </c>
      <c r="M1402" s="1" t="str">
        <f t="shared" si="85"/>
        <v/>
      </c>
      <c r="N1402" s="2">
        <f t="shared" si="86"/>
        <v>45748</v>
      </c>
      <c r="O1402" t="str">
        <f t="shared" si="87"/>
        <v>pes</v>
      </c>
    </row>
    <row r="1403" spans="1:15" hidden="1" x14ac:dyDescent="0.25">
      <c r="A1403">
        <v>8910</v>
      </c>
      <c r="B1403" s="11">
        <v>4010123456783</v>
      </c>
      <c r="C1403" s="1" t="s">
        <v>35</v>
      </c>
      <c r="D1403" s="1" t="s">
        <v>36</v>
      </c>
      <c r="E1403" s="1" t="s">
        <v>37</v>
      </c>
      <c r="F1403">
        <v>14</v>
      </c>
      <c r="G1403">
        <v>1</v>
      </c>
      <c r="H1403" s="1" t="s">
        <v>14</v>
      </c>
      <c r="I1403" s="1" t="s">
        <v>15</v>
      </c>
      <c r="J1403" s="12">
        <v>45775</v>
      </c>
      <c r="K1403">
        <v>0</v>
      </c>
      <c r="L1403" s="1">
        <f t="shared" si="84"/>
        <v>14</v>
      </c>
      <c r="M1403" s="1" t="str">
        <f t="shared" si="85"/>
        <v/>
      </c>
      <c r="N1403" s="2">
        <f t="shared" si="86"/>
        <v>45748</v>
      </c>
      <c r="O1403" t="str">
        <f t="shared" si="87"/>
        <v>mačka</v>
      </c>
    </row>
    <row r="1404" spans="1:15" x14ac:dyDescent="0.25">
      <c r="A1404">
        <v>8911</v>
      </c>
      <c r="B1404" s="11">
        <v>4063456789014</v>
      </c>
      <c r="C1404" s="1" t="s">
        <v>60</v>
      </c>
      <c r="D1404" s="1" t="s">
        <v>12</v>
      </c>
      <c r="E1404" s="1" t="s">
        <v>61</v>
      </c>
      <c r="F1404">
        <v>36</v>
      </c>
      <c r="G1404">
        <v>1</v>
      </c>
      <c r="H1404" s="1" t="s">
        <v>14</v>
      </c>
      <c r="I1404" s="1" t="s">
        <v>15</v>
      </c>
      <c r="J1404" s="12">
        <v>45775</v>
      </c>
      <c r="K1404">
        <v>0</v>
      </c>
      <c r="L1404" s="1">
        <f t="shared" si="84"/>
        <v>36</v>
      </c>
      <c r="M1404" s="1" t="str">
        <f t="shared" si="85"/>
        <v/>
      </c>
      <c r="N1404" s="2">
        <f t="shared" si="86"/>
        <v>45748</v>
      </c>
      <c r="O1404" t="str">
        <f t="shared" si="87"/>
        <v>pes</v>
      </c>
    </row>
    <row r="1405" spans="1:15" hidden="1" x14ac:dyDescent="0.25">
      <c r="A1405">
        <v>8912</v>
      </c>
      <c r="B1405" s="11">
        <v>4021234567894</v>
      </c>
      <c r="C1405" s="1" t="s">
        <v>79</v>
      </c>
      <c r="D1405" s="1" t="s">
        <v>36</v>
      </c>
      <c r="E1405" s="1" t="s">
        <v>69</v>
      </c>
      <c r="F1405">
        <v>8</v>
      </c>
      <c r="G1405">
        <v>1</v>
      </c>
      <c r="H1405" s="1" t="s">
        <v>23</v>
      </c>
      <c r="I1405" s="1" t="s">
        <v>243</v>
      </c>
      <c r="J1405" s="12">
        <v>45775</v>
      </c>
      <c r="K1405">
        <v>0</v>
      </c>
      <c r="L1405" s="1">
        <f t="shared" si="84"/>
        <v>8</v>
      </c>
      <c r="M1405" s="1">
        <f t="shared" si="85"/>
        <v>5</v>
      </c>
      <c r="N1405" s="2">
        <f t="shared" si="86"/>
        <v>45748</v>
      </c>
      <c r="O1405" t="str">
        <f t="shared" si="87"/>
        <v>mačka</v>
      </c>
    </row>
    <row r="1406" spans="1:15" hidden="1" x14ac:dyDescent="0.25">
      <c r="A1406">
        <v>8913</v>
      </c>
      <c r="B1406" s="11">
        <v>4056789012345</v>
      </c>
      <c r="C1406" s="1" t="s">
        <v>47</v>
      </c>
      <c r="D1406" s="1" t="s">
        <v>29</v>
      </c>
      <c r="E1406" s="1" t="s">
        <v>37</v>
      </c>
      <c r="F1406">
        <v>2.4</v>
      </c>
      <c r="G1406">
        <v>2</v>
      </c>
      <c r="H1406" s="1" t="s">
        <v>14</v>
      </c>
      <c r="I1406" s="1" t="s">
        <v>15</v>
      </c>
      <c r="J1406" s="12">
        <v>45775</v>
      </c>
      <c r="K1406">
        <v>0</v>
      </c>
      <c r="L1406" s="1">
        <f t="shared" si="84"/>
        <v>4.8</v>
      </c>
      <c r="M1406" s="1" t="str">
        <f t="shared" si="85"/>
        <v/>
      </c>
      <c r="N1406" s="2">
        <f t="shared" si="86"/>
        <v>45748</v>
      </c>
      <c r="O1406" t="str">
        <f t="shared" si="87"/>
        <v>mačka</v>
      </c>
    </row>
    <row r="1407" spans="1:15" x14ac:dyDescent="0.25">
      <c r="A1407">
        <v>8914</v>
      </c>
      <c r="B1407" s="11">
        <v>4061011223346</v>
      </c>
      <c r="C1407" s="1" t="s">
        <v>25</v>
      </c>
      <c r="D1407" s="1" t="s">
        <v>26</v>
      </c>
      <c r="E1407" s="1" t="s">
        <v>27</v>
      </c>
      <c r="F1407">
        <v>19.600000000000001</v>
      </c>
      <c r="G1407">
        <v>1</v>
      </c>
      <c r="H1407" s="1" t="s">
        <v>14</v>
      </c>
      <c r="I1407" s="1" t="s">
        <v>15</v>
      </c>
      <c r="J1407" s="12">
        <v>45775</v>
      </c>
      <c r="K1407">
        <v>0</v>
      </c>
      <c r="L1407" s="1">
        <f t="shared" si="84"/>
        <v>19.600000000000001</v>
      </c>
      <c r="M1407" s="1" t="str">
        <f t="shared" si="85"/>
        <v/>
      </c>
      <c r="N1407" s="2">
        <f t="shared" si="86"/>
        <v>45748</v>
      </c>
      <c r="O1407" t="str">
        <f t="shared" si="87"/>
        <v>pes</v>
      </c>
    </row>
    <row r="1408" spans="1:15" hidden="1" x14ac:dyDescent="0.25">
      <c r="A1408">
        <v>8915</v>
      </c>
      <c r="B1408" s="11">
        <v>4026677889902</v>
      </c>
      <c r="C1408" s="1" t="s">
        <v>52</v>
      </c>
      <c r="D1408" s="1" t="s">
        <v>53</v>
      </c>
      <c r="E1408" s="1" t="s">
        <v>54</v>
      </c>
      <c r="F1408">
        <v>7.6</v>
      </c>
      <c r="G1408">
        <v>1</v>
      </c>
      <c r="H1408" s="1" t="s">
        <v>14</v>
      </c>
      <c r="I1408" s="1" t="s">
        <v>15</v>
      </c>
      <c r="J1408" s="12">
        <v>45775</v>
      </c>
      <c r="K1408">
        <v>0</v>
      </c>
      <c r="L1408" s="1">
        <f t="shared" si="84"/>
        <v>7.6</v>
      </c>
      <c r="M1408" s="1" t="str">
        <f t="shared" si="85"/>
        <v/>
      </c>
      <c r="N1408" s="2">
        <f t="shared" si="86"/>
        <v>45748</v>
      </c>
      <c r="O1408" t="str">
        <f t="shared" si="87"/>
        <v>iné</v>
      </c>
    </row>
    <row r="1409" spans="1:15" x14ac:dyDescent="0.25">
      <c r="A1409">
        <v>8916</v>
      </c>
      <c r="B1409" s="11">
        <v>4028899001126</v>
      </c>
      <c r="C1409" s="1" t="s">
        <v>16</v>
      </c>
      <c r="D1409" s="1" t="s">
        <v>12</v>
      </c>
      <c r="E1409" s="1" t="s">
        <v>17</v>
      </c>
      <c r="F1409">
        <v>2.8</v>
      </c>
      <c r="G1409">
        <v>4</v>
      </c>
      <c r="H1409" s="1" t="s">
        <v>14</v>
      </c>
      <c r="I1409" s="1" t="s">
        <v>15</v>
      </c>
      <c r="J1409" s="12">
        <v>45775</v>
      </c>
      <c r="K1409">
        <v>0</v>
      </c>
      <c r="L1409" s="1">
        <f t="shared" si="84"/>
        <v>11.2</v>
      </c>
      <c r="M1409" s="1" t="str">
        <f t="shared" si="85"/>
        <v/>
      </c>
      <c r="N1409" s="2">
        <f t="shared" si="86"/>
        <v>45748</v>
      </c>
      <c r="O1409" t="str">
        <f t="shared" si="87"/>
        <v>pes</v>
      </c>
    </row>
    <row r="1410" spans="1:15" x14ac:dyDescent="0.25">
      <c r="A1410">
        <v>8917</v>
      </c>
      <c r="B1410" s="11">
        <v>4013456789017</v>
      </c>
      <c r="C1410" s="1" t="s">
        <v>11</v>
      </c>
      <c r="D1410" s="1" t="s">
        <v>12</v>
      </c>
      <c r="E1410" s="1" t="s">
        <v>13</v>
      </c>
      <c r="F1410">
        <v>6</v>
      </c>
      <c r="G1410">
        <v>1</v>
      </c>
      <c r="H1410" s="1" t="s">
        <v>14</v>
      </c>
      <c r="I1410" s="1" t="s">
        <v>15</v>
      </c>
      <c r="J1410" s="12">
        <v>45775</v>
      </c>
      <c r="K1410">
        <v>0</v>
      </c>
      <c r="L1410" s="1">
        <f t="shared" ref="L1410:L1473" si="88">F1410*G1410</f>
        <v>6</v>
      </c>
      <c r="M1410" s="1" t="str">
        <f t="shared" ref="M1410:M1473" si="89">IF(H1410="NULL", "",VALUE(H1410))</f>
        <v/>
      </c>
      <c r="N1410" s="2">
        <f t="shared" ref="N1410:N1473" si="90">DATE(YEAR(J1410),MONTH(J1410),1)</f>
        <v>45748</v>
      </c>
      <c r="O1410" t="str">
        <f t="shared" ref="O1410:O1473" si="91">IF(ISNUMBER(SEARCH("Mačky",D1410)),"mačka",IF(ISNUMBER(SEARCH("Psy",D1410)),"pes","iné"))</f>
        <v>pes</v>
      </c>
    </row>
    <row r="1411" spans="1:15" x14ac:dyDescent="0.25">
      <c r="A1411">
        <v>8918</v>
      </c>
      <c r="B1411" s="11">
        <v>4040123456795</v>
      </c>
      <c r="C1411" s="1" t="s">
        <v>20</v>
      </c>
      <c r="D1411" s="1" t="s">
        <v>21</v>
      </c>
      <c r="E1411" s="1" t="s">
        <v>22</v>
      </c>
      <c r="F1411">
        <v>8.8000000000000007</v>
      </c>
      <c r="G1411">
        <v>1</v>
      </c>
      <c r="H1411" s="1" t="s">
        <v>14</v>
      </c>
      <c r="I1411" s="1" t="s">
        <v>15</v>
      </c>
      <c r="J1411" s="12">
        <v>45775</v>
      </c>
      <c r="K1411">
        <v>0</v>
      </c>
      <c r="L1411" s="1">
        <f t="shared" si="88"/>
        <v>8.8000000000000007</v>
      </c>
      <c r="M1411" s="1" t="str">
        <f t="shared" si="89"/>
        <v/>
      </c>
      <c r="N1411" s="2">
        <f t="shared" si="90"/>
        <v>45748</v>
      </c>
      <c r="O1411" t="str">
        <f t="shared" si="91"/>
        <v>pes</v>
      </c>
    </row>
    <row r="1412" spans="1:15" hidden="1" x14ac:dyDescent="0.25">
      <c r="A1412">
        <v>8919</v>
      </c>
      <c r="B1412" s="11">
        <v>4010123456783</v>
      </c>
      <c r="C1412" s="1" t="s">
        <v>35</v>
      </c>
      <c r="D1412" s="1" t="s">
        <v>36</v>
      </c>
      <c r="E1412" s="1" t="s">
        <v>37</v>
      </c>
      <c r="F1412">
        <v>14</v>
      </c>
      <c r="G1412">
        <v>1</v>
      </c>
      <c r="H1412" s="1" t="s">
        <v>14</v>
      </c>
      <c r="I1412" s="1" t="s">
        <v>15</v>
      </c>
      <c r="J1412" s="12">
        <v>45775</v>
      </c>
      <c r="K1412">
        <v>0</v>
      </c>
      <c r="L1412" s="1">
        <f t="shared" si="88"/>
        <v>14</v>
      </c>
      <c r="M1412" s="1" t="str">
        <f t="shared" si="89"/>
        <v/>
      </c>
      <c r="N1412" s="2">
        <f t="shared" si="90"/>
        <v>45748</v>
      </c>
      <c r="O1412" t="str">
        <f t="shared" si="91"/>
        <v>mačka</v>
      </c>
    </row>
    <row r="1413" spans="1:15" x14ac:dyDescent="0.25">
      <c r="A1413">
        <v>8920</v>
      </c>
      <c r="B1413" s="11">
        <v>4063456789014</v>
      </c>
      <c r="C1413" s="1" t="s">
        <v>60</v>
      </c>
      <c r="D1413" s="1" t="s">
        <v>12</v>
      </c>
      <c r="E1413" s="1" t="s">
        <v>61</v>
      </c>
      <c r="F1413">
        <v>36</v>
      </c>
      <c r="G1413">
        <v>1</v>
      </c>
      <c r="H1413" s="1" t="s">
        <v>23</v>
      </c>
      <c r="I1413" s="1" t="s">
        <v>244</v>
      </c>
      <c r="J1413" s="12">
        <v>45775</v>
      </c>
      <c r="K1413">
        <v>0</v>
      </c>
      <c r="L1413" s="1">
        <f t="shared" si="88"/>
        <v>36</v>
      </c>
      <c r="M1413" s="1">
        <f t="shared" si="89"/>
        <v>5</v>
      </c>
      <c r="N1413" s="2">
        <f t="shared" si="90"/>
        <v>45748</v>
      </c>
      <c r="O1413" t="str">
        <f t="shared" si="91"/>
        <v>pes</v>
      </c>
    </row>
    <row r="1414" spans="1:15" hidden="1" x14ac:dyDescent="0.25">
      <c r="A1414">
        <v>8921</v>
      </c>
      <c r="B1414" s="11">
        <v>4021234567894</v>
      </c>
      <c r="C1414" s="1" t="s">
        <v>79</v>
      </c>
      <c r="D1414" s="1" t="s">
        <v>36</v>
      </c>
      <c r="E1414" s="1" t="s">
        <v>69</v>
      </c>
      <c r="F1414">
        <v>8</v>
      </c>
      <c r="G1414">
        <v>1</v>
      </c>
      <c r="H1414" s="1" t="s">
        <v>14</v>
      </c>
      <c r="I1414" s="1" t="s">
        <v>15</v>
      </c>
      <c r="J1414" s="12">
        <v>45775</v>
      </c>
      <c r="K1414">
        <v>0</v>
      </c>
      <c r="L1414" s="1">
        <f t="shared" si="88"/>
        <v>8</v>
      </c>
      <c r="M1414" s="1" t="str">
        <f t="shared" si="89"/>
        <v/>
      </c>
      <c r="N1414" s="2">
        <f t="shared" si="90"/>
        <v>45748</v>
      </c>
      <c r="O1414" t="str">
        <f t="shared" si="91"/>
        <v>mačka</v>
      </c>
    </row>
    <row r="1415" spans="1:15" hidden="1" x14ac:dyDescent="0.25">
      <c r="A1415">
        <v>8922</v>
      </c>
      <c r="B1415" s="11">
        <v>4056789012345</v>
      </c>
      <c r="C1415" s="1" t="s">
        <v>47</v>
      </c>
      <c r="D1415" s="1" t="s">
        <v>29</v>
      </c>
      <c r="E1415" s="1" t="s">
        <v>37</v>
      </c>
      <c r="F1415">
        <v>2.4</v>
      </c>
      <c r="G1415">
        <v>2</v>
      </c>
      <c r="H1415" s="1" t="s">
        <v>14</v>
      </c>
      <c r="I1415" s="1" t="s">
        <v>15</v>
      </c>
      <c r="J1415" s="12">
        <v>45775</v>
      </c>
      <c r="K1415">
        <v>0</v>
      </c>
      <c r="L1415" s="1">
        <f t="shared" si="88"/>
        <v>4.8</v>
      </c>
      <c r="M1415" s="1" t="str">
        <f t="shared" si="89"/>
        <v/>
      </c>
      <c r="N1415" s="2">
        <f t="shared" si="90"/>
        <v>45748</v>
      </c>
      <c r="O1415" t="str">
        <f t="shared" si="91"/>
        <v>mačka</v>
      </c>
    </row>
    <row r="1416" spans="1:15" x14ac:dyDescent="0.25">
      <c r="A1416">
        <v>8923</v>
      </c>
      <c r="B1416" s="11">
        <v>4061011223346</v>
      </c>
      <c r="C1416" s="1" t="s">
        <v>25</v>
      </c>
      <c r="D1416" s="1" t="s">
        <v>26</v>
      </c>
      <c r="E1416" s="1" t="s">
        <v>27</v>
      </c>
      <c r="F1416">
        <v>19.600000000000001</v>
      </c>
      <c r="G1416">
        <v>1</v>
      </c>
      <c r="H1416" s="1" t="s">
        <v>14</v>
      </c>
      <c r="I1416" s="1" t="s">
        <v>15</v>
      </c>
      <c r="J1416" s="12">
        <v>45775</v>
      </c>
      <c r="K1416">
        <v>0</v>
      </c>
      <c r="L1416" s="1">
        <f t="shared" si="88"/>
        <v>19.600000000000001</v>
      </c>
      <c r="M1416" s="1" t="str">
        <f t="shared" si="89"/>
        <v/>
      </c>
      <c r="N1416" s="2">
        <f t="shared" si="90"/>
        <v>45748</v>
      </c>
      <c r="O1416" t="str">
        <f t="shared" si="91"/>
        <v>pes</v>
      </c>
    </row>
    <row r="1417" spans="1:15" hidden="1" x14ac:dyDescent="0.25">
      <c r="A1417">
        <v>8924</v>
      </c>
      <c r="B1417" s="11">
        <v>4026677889902</v>
      </c>
      <c r="C1417" s="1" t="s">
        <v>52</v>
      </c>
      <c r="D1417" s="1" t="s">
        <v>53</v>
      </c>
      <c r="E1417" s="1" t="s">
        <v>54</v>
      </c>
      <c r="F1417">
        <v>7.6</v>
      </c>
      <c r="G1417">
        <v>1</v>
      </c>
      <c r="H1417" s="1" t="s">
        <v>14</v>
      </c>
      <c r="I1417" s="1" t="s">
        <v>15</v>
      </c>
      <c r="J1417" s="12">
        <v>45776</v>
      </c>
      <c r="K1417">
        <v>0</v>
      </c>
      <c r="L1417" s="1">
        <f t="shared" si="88"/>
        <v>7.6</v>
      </c>
      <c r="M1417" s="1" t="str">
        <f t="shared" si="89"/>
        <v/>
      </c>
      <c r="N1417" s="2">
        <f t="shared" si="90"/>
        <v>45748</v>
      </c>
      <c r="O1417" t="str">
        <f t="shared" si="91"/>
        <v>iné</v>
      </c>
    </row>
    <row r="1418" spans="1:15" x14ac:dyDescent="0.25">
      <c r="A1418">
        <v>8925</v>
      </c>
      <c r="B1418" s="11">
        <v>4028899001126</v>
      </c>
      <c r="C1418" s="1" t="s">
        <v>16</v>
      </c>
      <c r="D1418" s="1" t="s">
        <v>12</v>
      </c>
      <c r="E1418" s="1" t="s">
        <v>17</v>
      </c>
      <c r="F1418">
        <v>2.8</v>
      </c>
      <c r="G1418">
        <v>5</v>
      </c>
      <c r="H1418" s="1" t="s">
        <v>14</v>
      </c>
      <c r="I1418" s="1" t="s">
        <v>15</v>
      </c>
      <c r="J1418" s="12">
        <v>45776</v>
      </c>
      <c r="K1418">
        <v>0</v>
      </c>
      <c r="L1418" s="1">
        <f t="shared" si="88"/>
        <v>14</v>
      </c>
      <c r="M1418" s="1" t="str">
        <f t="shared" si="89"/>
        <v/>
      </c>
      <c r="N1418" s="2">
        <f t="shared" si="90"/>
        <v>45748</v>
      </c>
      <c r="O1418" t="str">
        <f t="shared" si="91"/>
        <v>pes</v>
      </c>
    </row>
    <row r="1419" spans="1:15" x14ac:dyDescent="0.25">
      <c r="A1419">
        <v>8926</v>
      </c>
      <c r="B1419" s="11">
        <v>4013456789017</v>
      </c>
      <c r="C1419" s="1" t="s">
        <v>11</v>
      </c>
      <c r="D1419" s="1" t="s">
        <v>12</v>
      </c>
      <c r="E1419" s="1" t="s">
        <v>13</v>
      </c>
      <c r="F1419">
        <v>6</v>
      </c>
      <c r="G1419">
        <v>2</v>
      </c>
      <c r="H1419" s="1" t="s">
        <v>14</v>
      </c>
      <c r="I1419" s="1" t="s">
        <v>15</v>
      </c>
      <c r="J1419" s="12">
        <v>45776</v>
      </c>
      <c r="K1419">
        <v>0</v>
      </c>
      <c r="L1419" s="1">
        <f t="shared" si="88"/>
        <v>12</v>
      </c>
      <c r="M1419" s="1" t="str">
        <f t="shared" si="89"/>
        <v/>
      </c>
      <c r="N1419" s="2">
        <f t="shared" si="90"/>
        <v>45748</v>
      </c>
      <c r="O1419" t="str">
        <f t="shared" si="91"/>
        <v>pes</v>
      </c>
    </row>
    <row r="1420" spans="1:15" x14ac:dyDescent="0.25">
      <c r="A1420">
        <v>8927</v>
      </c>
      <c r="B1420" s="11">
        <v>4040123456795</v>
      </c>
      <c r="C1420" s="1" t="s">
        <v>20</v>
      </c>
      <c r="D1420" s="1" t="s">
        <v>21</v>
      </c>
      <c r="E1420" s="1" t="s">
        <v>22</v>
      </c>
      <c r="F1420">
        <v>8.8000000000000007</v>
      </c>
      <c r="G1420">
        <v>1</v>
      </c>
      <c r="H1420" s="1" t="s">
        <v>14</v>
      </c>
      <c r="I1420" s="1" t="s">
        <v>15</v>
      </c>
      <c r="J1420" s="12">
        <v>45776</v>
      </c>
      <c r="K1420">
        <v>0</v>
      </c>
      <c r="L1420" s="1">
        <f t="shared" si="88"/>
        <v>8.8000000000000007</v>
      </c>
      <c r="M1420" s="1" t="str">
        <f t="shared" si="89"/>
        <v/>
      </c>
      <c r="N1420" s="2">
        <f t="shared" si="90"/>
        <v>45748</v>
      </c>
      <c r="O1420" t="str">
        <f t="shared" si="91"/>
        <v>pes</v>
      </c>
    </row>
    <row r="1421" spans="1:15" hidden="1" x14ac:dyDescent="0.25">
      <c r="A1421">
        <v>8928</v>
      </c>
      <c r="B1421" s="11">
        <v>4010123456783</v>
      </c>
      <c r="C1421" s="1" t="s">
        <v>35</v>
      </c>
      <c r="D1421" s="1" t="s">
        <v>36</v>
      </c>
      <c r="E1421" s="1" t="s">
        <v>37</v>
      </c>
      <c r="F1421">
        <v>14</v>
      </c>
      <c r="G1421">
        <v>1</v>
      </c>
      <c r="H1421" s="1" t="s">
        <v>18</v>
      </c>
      <c r="I1421" s="1" t="s">
        <v>245</v>
      </c>
      <c r="J1421" s="12">
        <v>45776</v>
      </c>
      <c r="K1421">
        <v>0</v>
      </c>
      <c r="L1421" s="1">
        <f t="shared" si="88"/>
        <v>14</v>
      </c>
      <c r="M1421" s="1">
        <f t="shared" si="89"/>
        <v>4</v>
      </c>
      <c r="N1421" s="2">
        <f t="shared" si="90"/>
        <v>45748</v>
      </c>
      <c r="O1421" t="str">
        <f t="shared" si="91"/>
        <v>mačka</v>
      </c>
    </row>
    <row r="1422" spans="1:15" x14ac:dyDescent="0.25">
      <c r="A1422">
        <v>8929</v>
      </c>
      <c r="B1422" s="11">
        <v>4063456789014</v>
      </c>
      <c r="C1422" s="1" t="s">
        <v>60</v>
      </c>
      <c r="D1422" s="1" t="s">
        <v>12</v>
      </c>
      <c r="E1422" s="1" t="s">
        <v>61</v>
      </c>
      <c r="F1422">
        <v>36</v>
      </c>
      <c r="G1422">
        <v>1</v>
      </c>
      <c r="H1422" s="1" t="s">
        <v>14</v>
      </c>
      <c r="I1422" s="1" t="s">
        <v>15</v>
      </c>
      <c r="J1422" s="12">
        <v>45776</v>
      </c>
      <c r="K1422">
        <v>0</v>
      </c>
      <c r="L1422" s="1">
        <f t="shared" si="88"/>
        <v>36</v>
      </c>
      <c r="M1422" s="1" t="str">
        <f t="shared" si="89"/>
        <v/>
      </c>
      <c r="N1422" s="2">
        <f t="shared" si="90"/>
        <v>45748</v>
      </c>
      <c r="O1422" t="str">
        <f t="shared" si="91"/>
        <v>pes</v>
      </c>
    </row>
    <row r="1423" spans="1:15" hidden="1" x14ac:dyDescent="0.25">
      <c r="A1423">
        <v>8930</v>
      </c>
      <c r="B1423" s="11">
        <v>4021234567894</v>
      </c>
      <c r="C1423" s="1" t="s">
        <v>79</v>
      </c>
      <c r="D1423" s="1" t="s">
        <v>36</v>
      </c>
      <c r="E1423" s="1" t="s">
        <v>69</v>
      </c>
      <c r="F1423">
        <v>8</v>
      </c>
      <c r="G1423">
        <v>1</v>
      </c>
      <c r="H1423" s="1" t="s">
        <v>14</v>
      </c>
      <c r="I1423" s="1" t="s">
        <v>15</v>
      </c>
      <c r="J1423" s="12">
        <v>45776</v>
      </c>
      <c r="K1423">
        <v>0</v>
      </c>
      <c r="L1423" s="1">
        <f t="shared" si="88"/>
        <v>8</v>
      </c>
      <c r="M1423" s="1" t="str">
        <f t="shared" si="89"/>
        <v/>
      </c>
      <c r="N1423" s="2">
        <f t="shared" si="90"/>
        <v>45748</v>
      </c>
      <c r="O1423" t="str">
        <f t="shared" si="91"/>
        <v>mačka</v>
      </c>
    </row>
    <row r="1424" spans="1:15" hidden="1" x14ac:dyDescent="0.25">
      <c r="A1424">
        <v>8931</v>
      </c>
      <c r="B1424" s="11">
        <v>4056789012345</v>
      </c>
      <c r="C1424" s="1" t="s">
        <v>47</v>
      </c>
      <c r="D1424" s="1" t="s">
        <v>29</v>
      </c>
      <c r="E1424" s="1" t="s">
        <v>37</v>
      </c>
      <c r="F1424">
        <v>2.4</v>
      </c>
      <c r="G1424">
        <v>2</v>
      </c>
      <c r="H1424" s="1" t="s">
        <v>14</v>
      </c>
      <c r="I1424" s="1" t="s">
        <v>15</v>
      </c>
      <c r="J1424" s="12">
        <v>45776</v>
      </c>
      <c r="K1424">
        <v>0</v>
      </c>
      <c r="L1424" s="1">
        <f t="shared" si="88"/>
        <v>4.8</v>
      </c>
      <c r="M1424" s="1" t="str">
        <f t="shared" si="89"/>
        <v/>
      </c>
      <c r="N1424" s="2">
        <f t="shared" si="90"/>
        <v>45748</v>
      </c>
      <c r="O1424" t="str">
        <f t="shared" si="91"/>
        <v>mačka</v>
      </c>
    </row>
    <row r="1425" spans="1:15" x14ac:dyDescent="0.25">
      <c r="A1425">
        <v>8932</v>
      </c>
      <c r="B1425" s="11">
        <v>4061011223346</v>
      </c>
      <c r="C1425" s="1" t="s">
        <v>25</v>
      </c>
      <c r="D1425" s="1" t="s">
        <v>26</v>
      </c>
      <c r="E1425" s="1" t="s">
        <v>27</v>
      </c>
      <c r="F1425">
        <v>19.600000000000001</v>
      </c>
      <c r="G1425">
        <v>1</v>
      </c>
      <c r="H1425" s="1" t="s">
        <v>14</v>
      </c>
      <c r="I1425" s="1" t="s">
        <v>15</v>
      </c>
      <c r="J1425" s="12">
        <v>45776</v>
      </c>
      <c r="K1425">
        <v>0</v>
      </c>
      <c r="L1425" s="1">
        <f t="shared" si="88"/>
        <v>19.600000000000001</v>
      </c>
      <c r="M1425" s="1" t="str">
        <f t="shared" si="89"/>
        <v/>
      </c>
      <c r="N1425" s="2">
        <f t="shared" si="90"/>
        <v>45748</v>
      </c>
      <c r="O1425" t="str">
        <f t="shared" si="91"/>
        <v>pes</v>
      </c>
    </row>
    <row r="1426" spans="1:15" hidden="1" x14ac:dyDescent="0.25">
      <c r="A1426">
        <v>8933</v>
      </c>
      <c r="B1426" s="11">
        <v>4026677889902</v>
      </c>
      <c r="C1426" s="1" t="s">
        <v>52</v>
      </c>
      <c r="D1426" s="1" t="s">
        <v>53</v>
      </c>
      <c r="E1426" s="1" t="s">
        <v>54</v>
      </c>
      <c r="F1426">
        <v>7.6</v>
      </c>
      <c r="G1426">
        <v>1</v>
      </c>
      <c r="H1426" s="1" t="s">
        <v>14</v>
      </c>
      <c r="I1426" s="1" t="s">
        <v>15</v>
      </c>
      <c r="J1426" s="12">
        <v>45776</v>
      </c>
      <c r="K1426">
        <v>0</v>
      </c>
      <c r="L1426" s="1">
        <f t="shared" si="88"/>
        <v>7.6</v>
      </c>
      <c r="M1426" s="1" t="str">
        <f t="shared" si="89"/>
        <v/>
      </c>
      <c r="N1426" s="2">
        <f t="shared" si="90"/>
        <v>45748</v>
      </c>
      <c r="O1426" t="str">
        <f t="shared" si="91"/>
        <v>iné</v>
      </c>
    </row>
    <row r="1427" spans="1:15" x14ac:dyDescent="0.25">
      <c r="A1427">
        <v>8934</v>
      </c>
      <c r="B1427" s="11">
        <v>4028899001126</v>
      </c>
      <c r="C1427" s="1" t="s">
        <v>16</v>
      </c>
      <c r="D1427" s="1" t="s">
        <v>12</v>
      </c>
      <c r="E1427" s="1" t="s">
        <v>17</v>
      </c>
      <c r="F1427">
        <v>2.8</v>
      </c>
      <c r="G1427">
        <v>4</v>
      </c>
      <c r="H1427" s="1" t="s">
        <v>18</v>
      </c>
      <c r="I1427" s="1" t="s">
        <v>246</v>
      </c>
      <c r="J1427" s="12">
        <v>45777</v>
      </c>
      <c r="K1427">
        <v>0</v>
      </c>
      <c r="L1427" s="1">
        <f t="shared" si="88"/>
        <v>11.2</v>
      </c>
      <c r="M1427" s="1">
        <f t="shared" si="89"/>
        <v>4</v>
      </c>
      <c r="N1427" s="2">
        <f t="shared" si="90"/>
        <v>45748</v>
      </c>
      <c r="O1427" t="str">
        <f t="shared" si="91"/>
        <v>pes</v>
      </c>
    </row>
    <row r="1428" spans="1:15" x14ac:dyDescent="0.25">
      <c r="A1428">
        <v>8935</v>
      </c>
      <c r="B1428" s="11">
        <v>4013456789017</v>
      </c>
      <c r="C1428" s="1" t="s">
        <v>11</v>
      </c>
      <c r="D1428" s="1" t="s">
        <v>12</v>
      </c>
      <c r="E1428" s="1" t="s">
        <v>13</v>
      </c>
      <c r="F1428">
        <v>6</v>
      </c>
      <c r="G1428">
        <v>1</v>
      </c>
      <c r="H1428" s="1" t="s">
        <v>14</v>
      </c>
      <c r="I1428" s="1" t="s">
        <v>15</v>
      </c>
      <c r="J1428" s="12">
        <v>45777</v>
      </c>
      <c r="K1428">
        <v>0</v>
      </c>
      <c r="L1428" s="1">
        <f t="shared" si="88"/>
        <v>6</v>
      </c>
      <c r="M1428" s="1" t="str">
        <f t="shared" si="89"/>
        <v/>
      </c>
      <c r="N1428" s="2">
        <f t="shared" si="90"/>
        <v>45748</v>
      </c>
      <c r="O1428" t="str">
        <f t="shared" si="91"/>
        <v>pes</v>
      </c>
    </row>
    <row r="1429" spans="1:15" x14ac:dyDescent="0.25">
      <c r="A1429">
        <v>8936</v>
      </c>
      <c r="B1429" s="11">
        <v>4040123456795</v>
      </c>
      <c r="C1429" s="1" t="s">
        <v>20</v>
      </c>
      <c r="D1429" s="1" t="s">
        <v>21</v>
      </c>
      <c r="E1429" s="1" t="s">
        <v>22</v>
      </c>
      <c r="F1429">
        <v>8.8000000000000007</v>
      </c>
      <c r="G1429">
        <v>1</v>
      </c>
      <c r="H1429" s="1" t="s">
        <v>14</v>
      </c>
      <c r="I1429" s="1" t="s">
        <v>15</v>
      </c>
      <c r="J1429" s="12">
        <v>45777</v>
      </c>
      <c r="K1429">
        <v>0</v>
      </c>
      <c r="L1429" s="1">
        <f t="shared" si="88"/>
        <v>8.8000000000000007</v>
      </c>
      <c r="M1429" s="1" t="str">
        <f t="shared" si="89"/>
        <v/>
      </c>
      <c r="N1429" s="2">
        <f t="shared" si="90"/>
        <v>45748</v>
      </c>
      <c r="O1429" t="str">
        <f t="shared" si="91"/>
        <v>pes</v>
      </c>
    </row>
    <row r="1430" spans="1:15" hidden="1" x14ac:dyDescent="0.25">
      <c r="A1430">
        <v>8937</v>
      </c>
      <c r="B1430" s="11">
        <v>4010123456783</v>
      </c>
      <c r="C1430" s="1" t="s">
        <v>35</v>
      </c>
      <c r="D1430" s="1" t="s">
        <v>36</v>
      </c>
      <c r="E1430" s="1" t="s">
        <v>37</v>
      </c>
      <c r="F1430">
        <v>14</v>
      </c>
      <c r="G1430">
        <v>1</v>
      </c>
      <c r="H1430" s="1" t="s">
        <v>14</v>
      </c>
      <c r="I1430" s="1" t="s">
        <v>15</v>
      </c>
      <c r="J1430" s="12">
        <v>45777</v>
      </c>
      <c r="K1430">
        <v>0</v>
      </c>
      <c r="L1430" s="1">
        <f t="shared" si="88"/>
        <v>14</v>
      </c>
      <c r="M1430" s="1" t="str">
        <f t="shared" si="89"/>
        <v/>
      </c>
      <c r="N1430" s="2">
        <f t="shared" si="90"/>
        <v>45748</v>
      </c>
      <c r="O1430" t="str">
        <f t="shared" si="91"/>
        <v>mačka</v>
      </c>
    </row>
    <row r="1431" spans="1:15" x14ac:dyDescent="0.25">
      <c r="A1431">
        <v>8938</v>
      </c>
      <c r="B1431" s="11">
        <v>4063456789014</v>
      </c>
      <c r="C1431" s="1" t="s">
        <v>60</v>
      </c>
      <c r="D1431" s="1" t="s">
        <v>12</v>
      </c>
      <c r="E1431" s="1" t="s">
        <v>61</v>
      </c>
      <c r="F1431">
        <v>36</v>
      </c>
      <c r="G1431">
        <v>1</v>
      </c>
      <c r="H1431" s="1" t="s">
        <v>14</v>
      </c>
      <c r="I1431" s="1" t="s">
        <v>15</v>
      </c>
      <c r="J1431" s="12">
        <v>45777</v>
      </c>
      <c r="K1431">
        <v>0</v>
      </c>
      <c r="L1431" s="1">
        <f t="shared" si="88"/>
        <v>36</v>
      </c>
      <c r="M1431" s="1" t="str">
        <f t="shared" si="89"/>
        <v/>
      </c>
      <c r="N1431" s="2">
        <f t="shared" si="90"/>
        <v>45748</v>
      </c>
      <c r="O1431" t="str">
        <f t="shared" si="91"/>
        <v>pes</v>
      </c>
    </row>
    <row r="1432" spans="1:15" hidden="1" x14ac:dyDescent="0.25">
      <c r="A1432">
        <v>8939</v>
      </c>
      <c r="B1432" s="11">
        <v>4021234567894</v>
      </c>
      <c r="C1432" s="1" t="s">
        <v>79</v>
      </c>
      <c r="D1432" s="1" t="s">
        <v>36</v>
      </c>
      <c r="E1432" s="1" t="s">
        <v>69</v>
      </c>
      <c r="F1432">
        <v>8</v>
      </c>
      <c r="G1432">
        <v>1</v>
      </c>
      <c r="H1432" s="1" t="s">
        <v>14</v>
      </c>
      <c r="I1432" s="1" t="s">
        <v>15</v>
      </c>
      <c r="J1432" s="12">
        <v>45777</v>
      </c>
      <c r="K1432">
        <v>0</v>
      </c>
      <c r="L1432" s="1">
        <f t="shared" si="88"/>
        <v>8</v>
      </c>
      <c r="M1432" s="1" t="str">
        <f t="shared" si="89"/>
        <v/>
      </c>
      <c r="N1432" s="2">
        <f t="shared" si="90"/>
        <v>45748</v>
      </c>
      <c r="O1432" t="str">
        <f t="shared" si="91"/>
        <v>mačka</v>
      </c>
    </row>
    <row r="1433" spans="1:15" hidden="1" x14ac:dyDescent="0.25">
      <c r="A1433">
        <v>8940</v>
      </c>
      <c r="B1433" s="11">
        <v>4056789012345</v>
      </c>
      <c r="C1433" s="1" t="s">
        <v>47</v>
      </c>
      <c r="D1433" s="1" t="s">
        <v>29</v>
      </c>
      <c r="E1433" s="1" t="s">
        <v>37</v>
      </c>
      <c r="F1433">
        <v>2.4</v>
      </c>
      <c r="G1433">
        <v>3</v>
      </c>
      <c r="H1433" s="1" t="s">
        <v>33</v>
      </c>
      <c r="I1433" s="1" t="s">
        <v>247</v>
      </c>
      <c r="J1433" s="12">
        <v>45777</v>
      </c>
      <c r="K1433">
        <v>0</v>
      </c>
      <c r="L1433" s="1">
        <f t="shared" si="88"/>
        <v>7.1999999999999993</v>
      </c>
      <c r="M1433" s="1">
        <f t="shared" si="89"/>
        <v>3</v>
      </c>
      <c r="N1433" s="2">
        <f t="shared" si="90"/>
        <v>45748</v>
      </c>
      <c r="O1433" t="str">
        <f t="shared" si="91"/>
        <v>mačka</v>
      </c>
    </row>
    <row r="1434" spans="1:15" x14ac:dyDescent="0.25">
      <c r="A1434">
        <v>8941</v>
      </c>
      <c r="B1434" s="11">
        <v>4061011223346</v>
      </c>
      <c r="C1434" s="1" t="s">
        <v>25</v>
      </c>
      <c r="D1434" s="1" t="s">
        <v>26</v>
      </c>
      <c r="E1434" s="1" t="s">
        <v>27</v>
      </c>
      <c r="F1434">
        <v>19.600000000000001</v>
      </c>
      <c r="G1434">
        <v>1</v>
      </c>
      <c r="H1434" s="1" t="s">
        <v>14</v>
      </c>
      <c r="I1434" s="1" t="s">
        <v>15</v>
      </c>
      <c r="J1434" s="12">
        <v>45777</v>
      </c>
      <c r="K1434">
        <v>0</v>
      </c>
      <c r="L1434" s="1">
        <f t="shared" si="88"/>
        <v>19.600000000000001</v>
      </c>
      <c r="M1434" s="1" t="str">
        <f t="shared" si="89"/>
        <v/>
      </c>
      <c r="N1434" s="2">
        <f t="shared" si="90"/>
        <v>45748</v>
      </c>
      <c r="O1434" t="str">
        <f t="shared" si="91"/>
        <v>pes</v>
      </c>
    </row>
    <row r="1435" spans="1:15" hidden="1" x14ac:dyDescent="0.25">
      <c r="A1435">
        <v>8942</v>
      </c>
      <c r="B1435" s="11">
        <v>4026677889902</v>
      </c>
      <c r="C1435" s="1" t="s">
        <v>52</v>
      </c>
      <c r="D1435" s="1" t="s">
        <v>53</v>
      </c>
      <c r="E1435" s="1" t="s">
        <v>54</v>
      </c>
      <c r="F1435">
        <v>7.6</v>
      </c>
      <c r="G1435">
        <v>1</v>
      </c>
      <c r="H1435" s="1" t="s">
        <v>14</v>
      </c>
      <c r="I1435" s="1" t="s">
        <v>15</v>
      </c>
      <c r="J1435" s="12">
        <v>45777</v>
      </c>
      <c r="K1435">
        <v>0</v>
      </c>
      <c r="L1435" s="1">
        <f t="shared" si="88"/>
        <v>7.6</v>
      </c>
      <c r="M1435" s="1" t="str">
        <f t="shared" si="89"/>
        <v/>
      </c>
      <c r="N1435" s="2">
        <f t="shared" si="90"/>
        <v>45748</v>
      </c>
      <c r="O1435" t="str">
        <f t="shared" si="91"/>
        <v>iné</v>
      </c>
    </row>
    <row r="1436" spans="1:15" x14ac:dyDescent="0.25">
      <c r="A1436">
        <v>8943</v>
      </c>
      <c r="B1436" s="11">
        <v>4028899001126</v>
      </c>
      <c r="C1436" s="1" t="s">
        <v>16</v>
      </c>
      <c r="D1436" s="1" t="s">
        <v>12</v>
      </c>
      <c r="E1436" s="1" t="s">
        <v>17</v>
      </c>
      <c r="F1436">
        <v>2.8</v>
      </c>
      <c r="G1436">
        <v>3</v>
      </c>
      <c r="H1436" s="1" t="s">
        <v>14</v>
      </c>
      <c r="I1436" s="1" t="s">
        <v>15</v>
      </c>
      <c r="J1436" s="12">
        <v>45777</v>
      </c>
      <c r="K1436">
        <v>0</v>
      </c>
      <c r="L1436" s="1">
        <f t="shared" si="88"/>
        <v>8.3999999999999986</v>
      </c>
      <c r="M1436" s="1" t="str">
        <f t="shared" si="89"/>
        <v/>
      </c>
      <c r="N1436" s="2">
        <f t="shared" si="90"/>
        <v>45748</v>
      </c>
      <c r="O1436" t="str">
        <f t="shared" si="91"/>
        <v>pes</v>
      </c>
    </row>
    <row r="1437" spans="1:15" x14ac:dyDescent="0.25">
      <c r="A1437">
        <v>8944</v>
      </c>
      <c r="B1437" s="11">
        <v>4013456789017</v>
      </c>
      <c r="C1437" s="1" t="s">
        <v>11</v>
      </c>
      <c r="D1437" s="1" t="s">
        <v>12</v>
      </c>
      <c r="E1437" s="1" t="s">
        <v>13</v>
      </c>
      <c r="F1437">
        <v>6</v>
      </c>
      <c r="G1437">
        <v>1</v>
      </c>
      <c r="H1437" s="1" t="s">
        <v>14</v>
      </c>
      <c r="I1437" s="1" t="s">
        <v>15</v>
      </c>
      <c r="J1437" s="12">
        <v>45777</v>
      </c>
      <c r="K1437">
        <v>0</v>
      </c>
      <c r="L1437" s="1">
        <f t="shared" si="88"/>
        <v>6</v>
      </c>
      <c r="M1437" s="1" t="str">
        <f t="shared" si="89"/>
        <v/>
      </c>
      <c r="N1437" s="2">
        <f t="shared" si="90"/>
        <v>45748</v>
      </c>
      <c r="O1437" t="str">
        <f t="shared" si="91"/>
        <v>pes</v>
      </c>
    </row>
    <row r="1438" spans="1:15" x14ac:dyDescent="0.25">
      <c r="A1438">
        <v>8945</v>
      </c>
      <c r="B1438" s="11">
        <v>4040123456795</v>
      </c>
      <c r="C1438" s="1" t="s">
        <v>20</v>
      </c>
      <c r="D1438" s="1" t="s">
        <v>21</v>
      </c>
      <c r="E1438" s="1" t="s">
        <v>22</v>
      </c>
      <c r="F1438">
        <v>8.8000000000000007</v>
      </c>
      <c r="G1438">
        <v>1</v>
      </c>
      <c r="H1438" s="1" t="s">
        <v>14</v>
      </c>
      <c r="I1438" s="1" t="s">
        <v>15</v>
      </c>
      <c r="J1438" s="12">
        <v>45777</v>
      </c>
      <c r="K1438">
        <v>0</v>
      </c>
      <c r="L1438" s="1">
        <f t="shared" si="88"/>
        <v>8.8000000000000007</v>
      </c>
      <c r="M1438" s="1" t="str">
        <f t="shared" si="89"/>
        <v/>
      </c>
      <c r="N1438" s="2">
        <f t="shared" si="90"/>
        <v>45748</v>
      </c>
      <c r="O1438" t="str">
        <f t="shared" si="91"/>
        <v>pes</v>
      </c>
    </row>
    <row r="1439" spans="1:15" hidden="1" x14ac:dyDescent="0.25">
      <c r="A1439">
        <v>8946</v>
      </c>
      <c r="B1439" s="11">
        <v>4010123456783</v>
      </c>
      <c r="C1439" s="1" t="s">
        <v>35</v>
      </c>
      <c r="D1439" s="1" t="s">
        <v>36</v>
      </c>
      <c r="E1439" s="1" t="s">
        <v>37</v>
      </c>
      <c r="F1439">
        <v>14</v>
      </c>
      <c r="G1439">
        <v>1</v>
      </c>
      <c r="H1439" s="1" t="s">
        <v>14</v>
      </c>
      <c r="I1439" s="1" t="s">
        <v>15</v>
      </c>
      <c r="J1439" s="12">
        <v>45777</v>
      </c>
      <c r="K1439">
        <v>0</v>
      </c>
      <c r="L1439" s="1">
        <f t="shared" si="88"/>
        <v>14</v>
      </c>
      <c r="M1439" s="1" t="str">
        <f t="shared" si="89"/>
        <v/>
      </c>
      <c r="N1439" s="2">
        <f t="shared" si="90"/>
        <v>45748</v>
      </c>
      <c r="O1439" t="str">
        <f t="shared" si="91"/>
        <v>mačka</v>
      </c>
    </row>
    <row r="1440" spans="1:15" x14ac:dyDescent="0.25">
      <c r="A1440">
        <v>8947</v>
      </c>
      <c r="B1440" s="11">
        <v>4063456789014</v>
      </c>
      <c r="C1440" s="1" t="s">
        <v>60</v>
      </c>
      <c r="D1440" s="1" t="s">
        <v>12</v>
      </c>
      <c r="E1440" s="1" t="s">
        <v>61</v>
      </c>
      <c r="F1440">
        <v>36</v>
      </c>
      <c r="G1440">
        <v>1</v>
      </c>
      <c r="H1440" s="1" t="s">
        <v>14</v>
      </c>
      <c r="I1440" s="1" t="s">
        <v>15</v>
      </c>
      <c r="J1440" s="12">
        <v>45777</v>
      </c>
      <c r="K1440">
        <v>0</v>
      </c>
      <c r="L1440" s="1">
        <f t="shared" si="88"/>
        <v>36</v>
      </c>
      <c r="M1440" s="1" t="str">
        <f t="shared" si="89"/>
        <v/>
      </c>
      <c r="N1440" s="2">
        <f t="shared" si="90"/>
        <v>45748</v>
      </c>
      <c r="O1440" t="str">
        <f t="shared" si="91"/>
        <v>pes</v>
      </c>
    </row>
    <row r="1441" spans="1:15" hidden="1" x14ac:dyDescent="0.25">
      <c r="A1441">
        <v>8948</v>
      </c>
      <c r="B1441" s="11">
        <v>4021234567894</v>
      </c>
      <c r="C1441" s="1" t="s">
        <v>79</v>
      </c>
      <c r="D1441" s="1" t="s">
        <v>36</v>
      </c>
      <c r="E1441" s="1" t="s">
        <v>69</v>
      </c>
      <c r="F1441">
        <v>8</v>
      </c>
      <c r="G1441">
        <v>1</v>
      </c>
      <c r="H1441" s="1" t="s">
        <v>14</v>
      </c>
      <c r="I1441" s="1" t="s">
        <v>15</v>
      </c>
      <c r="J1441" s="12">
        <v>45777</v>
      </c>
      <c r="K1441">
        <v>0</v>
      </c>
      <c r="L1441" s="1">
        <f t="shared" si="88"/>
        <v>8</v>
      </c>
      <c r="M1441" s="1" t="str">
        <f t="shared" si="89"/>
        <v/>
      </c>
      <c r="N1441" s="2">
        <f t="shared" si="90"/>
        <v>45748</v>
      </c>
      <c r="O1441" t="str">
        <f t="shared" si="91"/>
        <v>mačka</v>
      </c>
    </row>
    <row r="1442" spans="1:15" hidden="1" x14ac:dyDescent="0.25">
      <c r="A1442">
        <v>8949</v>
      </c>
      <c r="B1442" s="11">
        <v>4056789012345</v>
      </c>
      <c r="C1442" s="1" t="s">
        <v>47</v>
      </c>
      <c r="D1442" s="1" t="s">
        <v>29</v>
      </c>
      <c r="E1442" s="1" t="s">
        <v>37</v>
      </c>
      <c r="F1442">
        <v>2.4</v>
      </c>
      <c r="G1442">
        <v>2</v>
      </c>
      <c r="H1442" s="1" t="s">
        <v>14</v>
      </c>
      <c r="I1442" s="1" t="s">
        <v>15</v>
      </c>
      <c r="J1442" s="12">
        <v>45777</v>
      </c>
      <c r="K1442">
        <v>0</v>
      </c>
      <c r="L1442" s="1">
        <f t="shared" si="88"/>
        <v>4.8</v>
      </c>
      <c r="M1442" s="1" t="str">
        <f t="shared" si="89"/>
        <v/>
      </c>
      <c r="N1442" s="2">
        <f t="shared" si="90"/>
        <v>45748</v>
      </c>
      <c r="O1442" t="str">
        <f t="shared" si="91"/>
        <v>mačka</v>
      </c>
    </row>
    <row r="1443" spans="1:15" x14ac:dyDescent="0.25">
      <c r="A1443">
        <v>8950</v>
      </c>
      <c r="B1443" s="11">
        <v>4061011223346</v>
      </c>
      <c r="C1443" s="1" t="s">
        <v>25</v>
      </c>
      <c r="D1443" s="1" t="s">
        <v>26</v>
      </c>
      <c r="E1443" s="1" t="s">
        <v>27</v>
      </c>
      <c r="F1443">
        <v>19.600000000000001</v>
      </c>
      <c r="G1443">
        <v>1</v>
      </c>
      <c r="H1443" s="1" t="s">
        <v>14</v>
      </c>
      <c r="I1443" s="1" t="s">
        <v>15</v>
      </c>
      <c r="J1443" s="12">
        <v>45777</v>
      </c>
      <c r="K1443">
        <v>0</v>
      </c>
      <c r="L1443" s="1">
        <f t="shared" si="88"/>
        <v>19.600000000000001</v>
      </c>
      <c r="M1443" s="1" t="str">
        <f t="shared" si="89"/>
        <v/>
      </c>
      <c r="N1443" s="2">
        <f t="shared" si="90"/>
        <v>45748</v>
      </c>
      <c r="O1443" t="str">
        <f t="shared" si="91"/>
        <v>pes</v>
      </c>
    </row>
    <row r="1444" spans="1:15" hidden="1" x14ac:dyDescent="0.25">
      <c r="A1444">
        <v>8951</v>
      </c>
      <c r="B1444" s="11">
        <v>4026677889902</v>
      </c>
      <c r="C1444" s="1" t="s">
        <v>52</v>
      </c>
      <c r="D1444" s="1" t="s">
        <v>53</v>
      </c>
      <c r="E1444" s="1" t="s">
        <v>54</v>
      </c>
      <c r="F1444">
        <v>7.6</v>
      </c>
      <c r="G1444">
        <v>1</v>
      </c>
      <c r="H1444" s="1" t="s">
        <v>14</v>
      </c>
      <c r="I1444" s="1" t="s">
        <v>15</v>
      </c>
      <c r="J1444" s="12">
        <v>45777</v>
      </c>
      <c r="K1444">
        <v>0</v>
      </c>
      <c r="L1444" s="1">
        <f t="shared" si="88"/>
        <v>7.6</v>
      </c>
      <c r="M1444" s="1" t="str">
        <f t="shared" si="89"/>
        <v/>
      </c>
      <c r="N1444" s="2">
        <f t="shared" si="90"/>
        <v>45748</v>
      </c>
      <c r="O1444" t="str">
        <f t="shared" si="91"/>
        <v>iné</v>
      </c>
    </row>
    <row r="1445" spans="1:15" x14ac:dyDescent="0.25">
      <c r="A1445">
        <v>8952</v>
      </c>
      <c r="B1445" s="11">
        <v>4028899001126</v>
      </c>
      <c r="C1445" s="1" t="s">
        <v>16</v>
      </c>
      <c r="D1445" s="1" t="s">
        <v>12</v>
      </c>
      <c r="E1445" s="1" t="s">
        <v>17</v>
      </c>
      <c r="F1445">
        <v>2.8</v>
      </c>
      <c r="G1445">
        <v>5</v>
      </c>
      <c r="H1445" s="1" t="s">
        <v>14</v>
      </c>
      <c r="I1445" s="1" t="s">
        <v>15</v>
      </c>
      <c r="J1445" s="12">
        <v>45777</v>
      </c>
      <c r="K1445">
        <v>0</v>
      </c>
      <c r="L1445" s="1">
        <f t="shared" si="88"/>
        <v>14</v>
      </c>
      <c r="M1445" s="1" t="str">
        <f t="shared" si="89"/>
        <v/>
      </c>
      <c r="N1445" s="2">
        <f t="shared" si="90"/>
        <v>45748</v>
      </c>
      <c r="O1445" t="str">
        <f t="shared" si="91"/>
        <v>pes</v>
      </c>
    </row>
    <row r="1446" spans="1:15" x14ac:dyDescent="0.25">
      <c r="A1446">
        <v>8953</v>
      </c>
      <c r="B1446" s="11">
        <v>4013456789017</v>
      </c>
      <c r="C1446" s="1" t="s">
        <v>11</v>
      </c>
      <c r="D1446" s="1" t="s">
        <v>12</v>
      </c>
      <c r="E1446" s="1" t="s">
        <v>13</v>
      </c>
      <c r="F1446">
        <v>6</v>
      </c>
      <c r="G1446">
        <v>1</v>
      </c>
      <c r="H1446" s="1" t="s">
        <v>14</v>
      </c>
      <c r="I1446" s="1" t="s">
        <v>15</v>
      </c>
      <c r="J1446" s="12">
        <v>45777</v>
      </c>
      <c r="K1446">
        <v>0</v>
      </c>
      <c r="L1446" s="1">
        <f t="shared" si="88"/>
        <v>6</v>
      </c>
      <c r="M1446" s="1" t="str">
        <f t="shared" si="89"/>
        <v/>
      </c>
      <c r="N1446" s="2">
        <f t="shared" si="90"/>
        <v>45748</v>
      </c>
      <c r="O1446" t="str">
        <f t="shared" si="91"/>
        <v>pes</v>
      </c>
    </row>
    <row r="1447" spans="1:15" x14ac:dyDescent="0.25">
      <c r="A1447">
        <v>8954</v>
      </c>
      <c r="B1447" s="11">
        <v>4040123456795</v>
      </c>
      <c r="C1447" s="1" t="s">
        <v>20</v>
      </c>
      <c r="D1447" s="1" t="s">
        <v>21</v>
      </c>
      <c r="E1447" s="1" t="s">
        <v>22</v>
      </c>
      <c r="F1447">
        <v>8.8000000000000007</v>
      </c>
      <c r="G1447">
        <v>1</v>
      </c>
      <c r="H1447" s="1" t="s">
        <v>14</v>
      </c>
      <c r="I1447" s="1" t="s">
        <v>15</v>
      </c>
      <c r="J1447" s="12">
        <v>45777</v>
      </c>
      <c r="K1447">
        <v>0</v>
      </c>
      <c r="L1447" s="1">
        <f t="shared" si="88"/>
        <v>8.8000000000000007</v>
      </c>
      <c r="M1447" s="1" t="str">
        <f t="shared" si="89"/>
        <v/>
      </c>
      <c r="N1447" s="2">
        <f t="shared" si="90"/>
        <v>45748</v>
      </c>
      <c r="O1447" t="str">
        <f t="shared" si="91"/>
        <v>pes</v>
      </c>
    </row>
    <row r="1448" spans="1:15" hidden="1" x14ac:dyDescent="0.25">
      <c r="A1448">
        <v>8955</v>
      </c>
      <c r="B1448" s="11">
        <v>4010123456783</v>
      </c>
      <c r="C1448" s="1" t="s">
        <v>35</v>
      </c>
      <c r="D1448" s="1" t="s">
        <v>36</v>
      </c>
      <c r="E1448" s="1" t="s">
        <v>37</v>
      </c>
      <c r="F1448">
        <v>14</v>
      </c>
      <c r="G1448">
        <v>2</v>
      </c>
      <c r="H1448" s="1" t="s">
        <v>14</v>
      </c>
      <c r="I1448" s="1" t="s">
        <v>15</v>
      </c>
      <c r="J1448" s="12">
        <v>45777</v>
      </c>
      <c r="K1448">
        <v>0</v>
      </c>
      <c r="L1448" s="1">
        <f t="shared" si="88"/>
        <v>28</v>
      </c>
      <c r="M1448" s="1" t="str">
        <f t="shared" si="89"/>
        <v/>
      </c>
      <c r="N1448" s="2">
        <f t="shared" si="90"/>
        <v>45748</v>
      </c>
      <c r="O1448" t="str">
        <f t="shared" si="91"/>
        <v>mačka</v>
      </c>
    </row>
    <row r="1449" spans="1:15" x14ac:dyDescent="0.25">
      <c r="A1449">
        <v>8956</v>
      </c>
      <c r="B1449" s="11">
        <v>4063456789014</v>
      </c>
      <c r="C1449" s="1" t="s">
        <v>60</v>
      </c>
      <c r="D1449" s="1" t="s">
        <v>12</v>
      </c>
      <c r="E1449" s="1" t="s">
        <v>61</v>
      </c>
      <c r="F1449">
        <v>36</v>
      </c>
      <c r="G1449">
        <v>1</v>
      </c>
      <c r="H1449" s="1" t="s">
        <v>23</v>
      </c>
      <c r="I1449" s="1" t="s">
        <v>248</v>
      </c>
      <c r="J1449" s="12">
        <v>45777</v>
      </c>
      <c r="K1449">
        <v>0</v>
      </c>
      <c r="L1449" s="1">
        <f t="shared" si="88"/>
        <v>36</v>
      </c>
      <c r="M1449" s="1">
        <f t="shared" si="89"/>
        <v>5</v>
      </c>
      <c r="N1449" s="2">
        <f t="shared" si="90"/>
        <v>45748</v>
      </c>
      <c r="O1449" t="str">
        <f t="shared" si="91"/>
        <v>pes</v>
      </c>
    </row>
    <row r="1450" spans="1:15" hidden="1" x14ac:dyDescent="0.25">
      <c r="A1450">
        <v>8957</v>
      </c>
      <c r="B1450" s="11">
        <v>4021234567894</v>
      </c>
      <c r="C1450" s="1" t="s">
        <v>79</v>
      </c>
      <c r="D1450" s="1" t="s">
        <v>36</v>
      </c>
      <c r="E1450" s="1" t="s">
        <v>69</v>
      </c>
      <c r="F1450">
        <v>8</v>
      </c>
      <c r="G1450">
        <v>1</v>
      </c>
      <c r="H1450" s="1" t="s">
        <v>14</v>
      </c>
      <c r="I1450" s="1" t="s">
        <v>15</v>
      </c>
      <c r="J1450" s="12">
        <v>45777</v>
      </c>
      <c r="K1450">
        <v>0</v>
      </c>
      <c r="L1450" s="1">
        <f t="shared" si="88"/>
        <v>8</v>
      </c>
      <c r="M1450" s="1" t="str">
        <f t="shared" si="89"/>
        <v/>
      </c>
      <c r="N1450" s="2">
        <f t="shared" si="90"/>
        <v>45748</v>
      </c>
      <c r="O1450" t="str">
        <f t="shared" si="91"/>
        <v>mačka</v>
      </c>
    </row>
    <row r="1451" spans="1:15" hidden="1" x14ac:dyDescent="0.25">
      <c r="A1451">
        <v>8958</v>
      </c>
      <c r="B1451" s="11">
        <v>4056789012345</v>
      </c>
      <c r="C1451" s="1" t="s">
        <v>47</v>
      </c>
      <c r="D1451" s="1" t="s">
        <v>29</v>
      </c>
      <c r="E1451" s="1" t="s">
        <v>37</v>
      </c>
      <c r="F1451">
        <v>2.4</v>
      </c>
      <c r="G1451">
        <v>3</v>
      </c>
      <c r="H1451" s="1" t="s">
        <v>14</v>
      </c>
      <c r="I1451" s="1" t="s">
        <v>15</v>
      </c>
      <c r="J1451" s="12">
        <v>45777</v>
      </c>
      <c r="K1451">
        <v>0</v>
      </c>
      <c r="L1451" s="1">
        <f t="shared" si="88"/>
        <v>7.1999999999999993</v>
      </c>
      <c r="M1451" s="1" t="str">
        <f t="shared" si="89"/>
        <v/>
      </c>
      <c r="N1451" s="2">
        <f t="shared" si="90"/>
        <v>45748</v>
      </c>
      <c r="O1451" t="str">
        <f t="shared" si="91"/>
        <v>mačka</v>
      </c>
    </row>
    <row r="1452" spans="1:15" x14ac:dyDescent="0.25">
      <c r="A1452">
        <v>8959</v>
      </c>
      <c r="B1452" s="11">
        <v>4061011223346</v>
      </c>
      <c r="C1452" s="1" t="s">
        <v>25</v>
      </c>
      <c r="D1452" s="1" t="s">
        <v>26</v>
      </c>
      <c r="E1452" s="1" t="s">
        <v>27</v>
      </c>
      <c r="F1452">
        <v>19.600000000000001</v>
      </c>
      <c r="G1452">
        <v>1</v>
      </c>
      <c r="H1452" s="1" t="s">
        <v>14</v>
      </c>
      <c r="I1452" s="1" t="s">
        <v>15</v>
      </c>
      <c r="J1452" s="12">
        <v>45777</v>
      </c>
      <c r="K1452">
        <v>0</v>
      </c>
      <c r="L1452" s="1">
        <f t="shared" si="88"/>
        <v>19.600000000000001</v>
      </c>
      <c r="M1452" s="1" t="str">
        <f t="shared" si="89"/>
        <v/>
      </c>
      <c r="N1452" s="2">
        <f t="shared" si="90"/>
        <v>45748</v>
      </c>
      <c r="O1452" t="str">
        <f t="shared" si="91"/>
        <v>pes</v>
      </c>
    </row>
    <row r="1453" spans="1:15" hidden="1" x14ac:dyDescent="0.25">
      <c r="A1453">
        <v>8960</v>
      </c>
      <c r="B1453" s="11">
        <v>4026677889902</v>
      </c>
      <c r="C1453" s="1" t="s">
        <v>52</v>
      </c>
      <c r="D1453" s="1" t="s">
        <v>53</v>
      </c>
      <c r="E1453" s="1" t="s">
        <v>54</v>
      </c>
      <c r="F1453">
        <v>7.6</v>
      </c>
      <c r="G1453">
        <v>1</v>
      </c>
      <c r="H1453" s="1" t="s">
        <v>14</v>
      </c>
      <c r="I1453" s="1" t="s">
        <v>15</v>
      </c>
      <c r="J1453" s="12">
        <v>45777</v>
      </c>
      <c r="K1453">
        <v>0</v>
      </c>
      <c r="L1453" s="1">
        <f t="shared" si="88"/>
        <v>7.6</v>
      </c>
      <c r="M1453" s="1" t="str">
        <f t="shared" si="89"/>
        <v/>
      </c>
      <c r="N1453" s="2">
        <f t="shared" si="90"/>
        <v>45748</v>
      </c>
      <c r="O1453" t="str">
        <f t="shared" si="91"/>
        <v>iné</v>
      </c>
    </row>
    <row r="1454" spans="1:15" x14ac:dyDescent="0.25">
      <c r="A1454">
        <v>8961</v>
      </c>
      <c r="B1454" s="11">
        <v>4028899001126</v>
      </c>
      <c r="C1454" s="1" t="s">
        <v>16</v>
      </c>
      <c r="D1454" s="1" t="s">
        <v>12</v>
      </c>
      <c r="E1454" s="1" t="s">
        <v>17</v>
      </c>
      <c r="F1454">
        <v>2.8</v>
      </c>
      <c r="G1454">
        <v>5</v>
      </c>
      <c r="H1454" s="1" t="s">
        <v>14</v>
      </c>
      <c r="I1454" s="1" t="s">
        <v>15</v>
      </c>
      <c r="J1454" s="12">
        <v>45777</v>
      </c>
      <c r="K1454">
        <v>0</v>
      </c>
      <c r="L1454" s="1">
        <f t="shared" si="88"/>
        <v>14</v>
      </c>
      <c r="M1454" s="1" t="str">
        <f t="shared" si="89"/>
        <v/>
      </c>
      <c r="N1454" s="2">
        <f t="shared" si="90"/>
        <v>45748</v>
      </c>
      <c r="O1454" t="str">
        <f t="shared" si="91"/>
        <v>pes</v>
      </c>
    </row>
    <row r="1455" spans="1:15" x14ac:dyDescent="0.25">
      <c r="A1455">
        <v>8962</v>
      </c>
      <c r="B1455" s="11">
        <v>4013456789017</v>
      </c>
      <c r="C1455" s="1" t="s">
        <v>11</v>
      </c>
      <c r="D1455" s="1" t="s">
        <v>12</v>
      </c>
      <c r="E1455" s="1" t="s">
        <v>13</v>
      </c>
      <c r="F1455">
        <v>6</v>
      </c>
      <c r="G1455">
        <v>1</v>
      </c>
      <c r="H1455" s="1" t="s">
        <v>14</v>
      </c>
      <c r="I1455" s="1" t="s">
        <v>15</v>
      </c>
      <c r="J1455" s="12">
        <v>45777</v>
      </c>
      <c r="K1455">
        <v>0</v>
      </c>
      <c r="L1455" s="1">
        <f t="shared" si="88"/>
        <v>6</v>
      </c>
      <c r="M1455" s="1" t="str">
        <f t="shared" si="89"/>
        <v/>
      </c>
      <c r="N1455" s="2">
        <f t="shared" si="90"/>
        <v>45748</v>
      </c>
      <c r="O1455" t="str">
        <f t="shared" si="91"/>
        <v>pes</v>
      </c>
    </row>
    <row r="1456" spans="1:15" x14ac:dyDescent="0.25">
      <c r="A1456">
        <v>8963</v>
      </c>
      <c r="B1456" s="11">
        <v>4040123456795</v>
      </c>
      <c r="C1456" s="1" t="s">
        <v>20</v>
      </c>
      <c r="D1456" s="1" t="s">
        <v>21</v>
      </c>
      <c r="E1456" s="1" t="s">
        <v>22</v>
      </c>
      <c r="F1456">
        <v>8.8000000000000007</v>
      </c>
      <c r="G1456">
        <v>1</v>
      </c>
      <c r="H1456" s="1" t="s">
        <v>14</v>
      </c>
      <c r="I1456" s="1" t="s">
        <v>15</v>
      </c>
      <c r="J1456" s="12">
        <v>45777</v>
      </c>
      <c r="K1456">
        <v>0</v>
      </c>
      <c r="L1456" s="1">
        <f t="shared" si="88"/>
        <v>8.8000000000000007</v>
      </c>
      <c r="M1456" s="1" t="str">
        <f t="shared" si="89"/>
        <v/>
      </c>
      <c r="N1456" s="2">
        <f t="shared" si="90"/>
        <v>45748</v>
      </c>
      <c r="O1456" t="str">
        <f t="shared" si="91"/>
        <v>pes</v>
      </c>
    </row>
    <row r="1457" spans="1:15" hidden="1" x14ac:dyDescent="0.25">
      <c r="A1457">
        <v>8964</v>
      </c>
      <c r="B1457" s="11">
        <v>4010123456783</v>
      </c>
      <c r="C1457" s="1" t="s">
        <v>35</v>
      </c>
      <c r="D1457" s="1" t="s">
        <v>36</v>
      </c>
      <c r="E1457" s="1" t="s">
        <v>37</v>
      </c>
      <c r="F1457">
        <v>14</v>
      </c>
      <c r="G1457">
        <v>1</v>
      </c>
      <c r="H1457" s="1" t="s">
        <v>14</v>
      </c>
      <c r="I1457" s="1" t="s">
        <v>15</v>
      </c>
      <c r="J1457" s="12">
        <v>45777</v>
      </c>
      <c r="K1457">
        <v>0</v>
      </c>
      <c r="L1457" s="1">
        <f t="shared" si="88"/>
        <v>14</v>
      </c>
      <c r="M1457" s="1" t="str">
        <f t="shared" si="89"/>
        <v/>
      </c>
      <c r="N1457" s="2">
        <f t="shared" si="90"/>
        <v>45748</v>
      </c>
      <c r="O1457" t="str">
        <f t="shared" si="91"/>
        <v>mačka</v>
      </c>
    </row>
    <row r="1458" spans="1:15" x14ac:dyDescent="0.25">
      <c r="A1458">
        <v>8965</v>
      </c>
      <c r="B1458" s="11">
        <v>4063456789014</v>
      </c>
      <c r="C1458" s="1" t="s">
        <v>60</v>
      </c>
      <c r="D1458" s="1" t="s">
        <v>12</v>
      </c>
      <c r="E1458" s="1" t="s">
        <v>61</v>
      </c>
      <c r="F1458">
        <v>36</v>
      </c>
      <c r="G1458">
        <v>1</v>
      </c>
      <c r="H1458" s="1" t="s">
        <v>14</v>
      </c>
      <c r="I1458" s="1" t="s">
        <v>15</v>
      </c>
      <c r="J1458" s="12">
        <v>45777</v>
      </c>
      <c r="K1458">
        <v>0</v>
      </c>
      <c r="L1458" s="1">
        <f t="shared" si="88"/>
        <v>36</v>
      </c>
      <c r="M1458" s="1" t="str">
        <f t="shared" si="89"/>
        <v/>
      </c>
      <c r="N1458" s="2">
        <f t="shared" si="90"/>
        <v>45748</v>
      </c>
      <c r="O1458" t="str">
        <f t="shared" si="91"/>
        <v>pes</v>
      </c>
    </row>
    <row r="1459" spans="1:15" hidden="1" x14ac:dyDescent="0.25">
      <c r="A1459">
        <v>8966</v>
      </c>
      <c r="B1459" s="11">
        <v>4021234567894</v>
      </c>
      <c r="C1459" s="1" t="s">
        <v>79</v>
      </c>
      <c r="D1459" s="1" t="s">
        <v>36</v>
      </c>
      <c r="E1459" s="1" t="s">
        <v>69</v>
      </c>
      <c r="F1459">
        <v>8</v>
      </c>
      <c r="G1459">
        <v>1</v>
      </c>
      <c r="H1459" s="1" t="s">
        <v>18</v>
      </c>
      <c r="I1459" s="1" t="s">
        <v>249</v>
      </c>
      <c r="J1459" s="12">
        <v>45777</v>
      </c>
      <c r="K1459">
        <v>0</v>
      </c>
      <c r="L1459" s="1">
        <f t="shared" si="88"/>
        <v>8</v>
      </c>
      <c r="M1459" s="1">
        <f t="shared" si="89"/>
        <v>4</v>
      </c>
      <c r="N1459" s="2">
        <f t="shared" si="90"/>
        <v>45748</v>
      </c>
      <c r="O1459" t="str">
        <f t="shared" si="91"/>
        <v>mačka</v>
      </c>
    </row>
    <row r="1460" spans="1:15" hidden="1" x14ac:dyDescent="0.25">
      <c r="A1460">
        <v>8967</v>
      </c>
      <c r="B1460" s="11">
        <v>4056789012345</v>
      </c>
      <c r="C1460" s="1" t="s">
        <v>47</v>
      </c>
      <c r="D1460" s="1" t="s">
        <v>29</v>
      </c>
      <c r="E1460" s="1" t="s">
        <v>37</v>
      </c>
      <c r="F1460">
        <v>2.4</v>
      </c>
      <c r="G1460">
        <v>2</v>
      </c>
      <c r="H1460" s="1" t="s">
        <v>14</v>
      </c>
      <c r="I1460" s="1" t="s">
        <v>15</v>
      </c>
      <c r="J1460" s="12">
        <v>45777</v>
      </c>
      <c r="K1460">
        <v>0</v>
      </c>
      <c r="L1460" s="1">
        <f t="shared" si="88"/>
        <v>4.8</v>
      </c>
      <c r="M1460" s="1" t="str">
        <f t="shared" si="89"/>
        <v/>
      </c>
      <c r="N1460" s="2">
        <f t="shared" si="90"/>
        <v>45748</v>
      </c>
      <c r="O1460" t="str">
        <f t="shared" si="91"/>
        <v>mačka</v>
      </c>
    </row>
    <row r="1461" spans="1:15" x14ac:dyDescent="0.25">
      <c r="A1461">
        <v>8968</v>
      </c>
      <c r="B1461" s="11">
        <v>4061011223346</v>
      </c>
      <c r="C1461" s="1" t="s">
        <v>25</v>
      </c>
      <c r="D1461" s="1" t="s">
        <v>26</v>
      </c>
      <c r="E1461" s="1" t="s">
        <v>27</v>
      </c>
      <c r="F1461">
        <v>19.600000000000001</v>
      </c>
      <c r="G1461">
        <v>1</v>
      </c>
      <c r="H1461" s="1" t="s">
        <v>14</v>
      </c>
      <c r="I1461" s="1" t="s">
        <v>15</v>
      </c>
      <c r="J1461" s="12">
        <v>45777</v>
      </c>
      <c r="K1461">
        <v>0</v>
      </c>
      <c r="L1461" s="1">
        <f t="shared" si="88"/>
        <v>19.600000000000001</v>
      </c>
      <c r="M1461" s="1" t="str">
        <f t="shared" si="89"/>
        <v/>
      </c>
      <c r="N1461" s="2">
        <f t="shared" si="90"/>
        <v>45748</v>
      </c>
      <c r="O1461" t="str">
        <f t="shared" si="91"/>
        <v>pes</v>
      </c>
    </row>
    <row r="1462" spans="1:15" hidden="1" x14ac:dyDescent="0.25">
      <c r="A1462">
        <v>8969</v>
      </c>
      <c r="B1462" s="11">
        <v>4026677889902</v>
      </c>
      <c r="C1462" s="1" t="s">
        <v>52</v>
      </c>
      <c r="D1462" s="1" t="s">
        <v>53</v>
      </c>
      <c r="E1462" s="1" t="s">
        <v>54</v>
      </c>
      <c r="F1462">
        <v>7.6</v>
      </c>
      <c r="G1462">
        <v>1</v>
      </c>
      <c r="H1462" s="1" t="s">
        <v>14</v>
      </c>
      <c r="I1462" s="1" t="s">
        <v>15</v>
      </c>
      <c r="J1462" s="12">
        <v>45777</v>
      </c>
      <c r="K1462">
        <v>0</v>
      </c>
      <c r="L1462" s="1">
        <f t="shared" si="88"/>
        <v>7.6</v>
      </c>
      <c r="M1462" s="1" t="str">
        <f t="shared" si="89"/>
        <v/>
      </c>
      <c r="N1462" s="2">
        <f t="shared" si="90"/>
        <v>45748</v>
      </c>
      <c r="O1462" t="str">
        <f t="shared" si="91"/>
        <v>iné</v>
      </c>
    </row>
    <row r="1463" spans="1:15" x14ac:dyDescent="0.25">
      <c r="A1463">
        <v>8970</v>
      </c>
      <c r="B1463" s="11">
        <v>4028899001126</v>
      </c>
      <c r="C1463" s="1" t="s">
        <v>16</v>
      </c>
      <c r="D1463" s="1" t="s">
        <v>12</v>
      </c>
      <c r="E1463" s="1" t="s">
        <v>17</v>
      </c>
      <c r="F1463">
        <v>2.8</v>
      </c>
      <c r="G1463">
        <v>4</v>
      </c>
      <c r="H1463" s="1" t="s">
        <v>14</v>
      </c>
      <c r="I1463" s="1" t="s">
        <v>15</v>
      </c>
      <c r="J1463" s="12">
        <v>45777</v>
      </c>
      <c r="K1463">
        <v>0</v>
      </c>
      <c r="L1463" s="1">
        <f t="shared" si="88"/>
        <v>11.2</v>
      </c>
      <c r="M1463" s="1" t="str">
        <f t="shared" si="89"/>
        <v/>
      </c>
      <c r="N1463" s="2">
        <f t="shared" si="90"/>
        <v>45748</v>
      </c>
      <c r="O1463" t="str">
        <f t="shared" si="91"/>
        <v>pes</v>
      </c>
    </row>
    <row r="1464" spans="1:15" x14ac:dyDescent="0.25">
      <c r="A1464">
        <v>8971</v>
      </c>
      <c r="B1464" s="11">
        <v>4013456789017</v>
      </c>
      <c r="C1464" s="1" t="s">
        <v>11</v>
      </c>
      <c r="D1464" s="1" t="s">
        <v>12</v>
      </c>
      <c r="E1464" s="1" t="s">
        <v>13</v>
      </c>
      <c r="F1464">
        <v>6</v>
      </c>
      <c r="G1464">
        <v>1</v>
      </c>
      <c r="H1464" s="1" t="s">
        <v>14</v>
      </c>
      <c r="I1464" s="1" t="s">
        <v>15</v>
      </c>
      <c r="J1464" s="12">
        <v>45777</v>
      </c>
      <c r="K1464">
        <v>0</v>
      </c>
      <c r="L1464" s="1">
        <f t="shared" si="88"/>
        <v>6</v>
      </c>
      <c r="M1464" s="1" t="str">
        <f t="shared" si="89"/>
        <v/>
      </c>
      <c r="N1464" s="2">
        <f t="shared" si="90"/>
        <v>45748</v>
      </c>
      <c r="O1464" t="str">
        <f t="shared" si="91"/>
        <v>pes</v>
      </c>
    </row>
    <row r="1465" spans="1:15" x14ac:dyDescent="0.25">
      <c r="A1465">
        <v>8972</v>
      </c>
      <c r="B1465" s="11">
        <v>4040123456795</v>
      </c>
      <c r="C1465" s="1" t="s">
        <v>20</v>
      </c>
      <c r="D1465" s="1" t="s">
        <v>21</v>
      </c>
      <c r="E1465" s="1" t="s">
        <v>22</v>
      </c>
      <c r="F1465">
        <v>8.8000000000000007</v>
      </c>
      <c r="G1465">
        <v>1</v>
      </c>
      <c r="H1465" s="1" t="s">
        <v>14</v>
      </c>
      <c r="I1465" s="1" t="s">
        <v>15</v>
      </c>
      <c r="J1465" s="12">
        <v>45777</v>
      </c>
      <c r="K1465">
        <v>0</v>
      </c>
      <c r="L1465" s="1">
        <f t="shared" si="88"/>
        <v>8.8000000000000007</v>
      </c>
      <c r="M1465" s="1" t="str">
        <f t="shared" si="89"/>
        <v/>
      </c>
      <c r="N1465" s="2">
        <f t="shared" si="90"/>
        <v>45748</v>
      </c>
      <c r="O1465" t="str">
        <f t="shared" si="91"/>
        <v>pes</v>
      </c>
    </row>
    <row r="1466" spans="1:15" hidden="1" x14ac:dyDescent="0.25">
      <c r="A1466">
        <v>8973</v>
      </c>
      <c r="B1466" s="11">
        <v>4010123456783</v>
      </c>
      <c r="C1466" s="1" t="s">
        <v>35</v>
      </c>
      <c r="D1466" s="1" t="s">
        <v>36</v>
      </c>
      <c r="E1466" s="1" t="s">
        <v>37</v>
      </c>
      <c r="F1466">
        <v>14</v>
      </c>
      <c r="G1466">
        <v>1</v>
      </c>
      <c r="H1466" s="1" t="s">
        <v>14</v>
      </c>
      <c r="I1466" s="1" t="s">
        <v>15</v>
      </c>
      <c r="J1466" s="12">
        <v>45777</v>
      </c>
      <c r="K1466">
        <v>0</v>
      </c>
      <c r="L1466" s="1">
        <f t="shared" si="88"/>
        <v>14</v>
      </c>
      <c r="M1466" s="1" t="str">
        <f t="shared" si="89"/>
        <v/>
      </c>
      <c r="N1466" s="2">
        <f t="shared" si="90"/>
        <v>45748</v>
      </c>
      <c r="O1466" t="str">
        <f t="shared" si="91"/>
        <v>mačka</v>
      </c>
    </row>
    <row r="1467" spans="1:15" x14ac:dyDescent="0.25">
      <c r="A1467">
        <v>8974</v>
      </c>
      <c r="B1467" s="11">
        <v>4063456789014</v>
      </c>
      <c r="C1467" s="1" t="s">
        <v>60</v>
      </c>
      <c r="D1467" s="1" t="s">
        <v>12</v>
      </c>
      <c r="E1467" s="1" t="s">
        <v>61</v>
      </c>
      <c r="F1467">
        <v>36</v>
      </c>
      <c r="G1467">
        <v>1</v>
      </c>
      <c r="H1467" s="1" t="s">
        <v>14</v>
      </c>
      <c r="I1467" s="1" t="s">
        <v>15</v>
      </c>
      <c r="J1467" s="12">
        <v>45777</v>
      </c>
      <c r="K1467">
        <v>0</v>
      </c>
      <c r="L1467" s="1">
        <f t="shared" si="88"/>
        <v>36</v>
      </c>
      <c r="M1467" s="1" t="str">
        <f t="shared" si="89"/>
        <v/>
      </c>
      <c r="N1467" s="2">
        <f t="shared" si="90"/>
        <v>45748</v>
      </c>
      <c r="O1467" t="str">
        <f t="shared" si="91"/>
        <v>pes</v>
      </c>
    </row>
    <row r="1468" spans="1:15" hidden="1" x14ac:dyDescent="0.25">
      <c r="A1468">
        <v>8975</v>
      </c>
      <c r="B1468" s="11">
        <v>4021234567894</v>
      </c>
      <c r="C1468" s="1" t="s">
        <v>79</v>
      </c>
      <c r="D1468" s="1" t="s">
        <v>36</v>
      </c>
      <c r="E1468" s="1" t="s">
        <v>69</v>
      </c>
      <c r="F1468">
        <v>8</v>
      </c>
      <c r="G1468">
        <v>1</v>
      </c>
      <c r="H1468" s="1" t="s">
        <v>14</v>
      </c>
      <c r="I1468" s="1" t="s">
        <v>15</v>
      </c>
      <c r="J1468" s="12">
        <v>45777</v>
      </c>
      <c r="K1468">
        <v>0</v>
      </c>
      <c r="L1468" s="1">
        <f t="shared" si="88"/>
        <v>8</v>
      </c>
      <c r="M1468" s="1" t="str">
        <f t="shared" si="89"/>
        <v/>
      </c>
      <c r="N1468" s="2">
        <f t="shared" si="90"/>
        <v>45748</v>
      </c>
      <c r="O1468" t="str">
        <f t="shared" si="91"/>
        <v>mačka</v>
      </c>
    </row>
    <row r="1469" spans="1:15" hidden="1" x14ac:dyDescent="0.25">
      <c r="A1469">
        <v>8976</v>
      </c>
      <c r="B1469" s="11">
        <v>4056789012345</v>
      </c>
      <c r="C1469" s="1" t="s">
        <v>47</v>
      </c>
      <c r="D1469" s="1" t="s">
        <v>29</v>
      </c>
      <c r="E1469" s="1" t="s">
        <v>37</v>
      </c>
      <c r="F1469">
        <v>2.4</v>
      </c>
      <c r="G1469">
        <v>2</v>
      </c>
      <c r="H1469" s="1" t="s">
        <v>14</v>
      </c>
      <c r="I1469" s="1" t="s">
        <v>15</v>
      </c>
      <c r="J1469" s="12">
        <v>45777</v>
      </c>
      <c r="K1469">
        <v>0</v>
      </c>
      <c r="L1469" s="1">
        <f t="shared" si="88"/>
        <v>4.8</v>
      </c>
      <c r="M1469" s="1" t="str">
        <f t="shared" si="89"/>
        <v/>
      </c>
      <c r="N1469" s="2">
        <f t="shared" si="90"/>
        <v>45748</v>
      </c>
      <c r="O1469" t="str">
        <f t="shared" si="91"/>
        <v>mačka</v>
      </c>
    </row>
    <row r="1470" spans="1:15" x14ac:dyDescent="0.25">
      <c r="A1470">
        <v>8977</v>
      </c>
      <c r="B1470" s="11">
        <v>4061011223346</v>
      </c>
      <c r="C1470" s="1" t="s">
        <v>25</v>
      </c>
      <c r="D1470" s="1" t="s">
        <v>26</v>
      </c>
      <c r="E1470" s="1" t="s">
        <v>27</v>
      </c>
      <c r="F1470">
        <v>19.600000000000001</v>
      </c>
      <c r="G1470">
        <v>1</v>
      </c>
      <c r="H1470" s="1" t="s">
        <v>14</v>
      </c>
      <c r="I1470" s="1" t="s">
        <v>15</v>
      </c>
      <c r="J1470" s="12">
        <v>45777</v>
      </c>
      <c r="K1470">
        <v>0</v>
      </c>
      <c r="L1470" s="1">
        <f t="shared" si="88"/>
        <v>19.600000000000001</v>
      </c>
      <c r="M1470" s="1" t="str">
        <f t="shared" si="89"/>
        <v/>
      </c>
      <c r="N1470" s="2">
        <f t="shared" si="90"/>
        <v>45748</v>
      </c>
      <c r="O1470" t="str">
        <f t="shared" si="91"/>
        <v>pes</v>
      </c>
    </row>
    <row r="1471" spans="1:15" hidden="1" x14ac:dyDescent="0.25">
      <c r="A1471">
        <v>8978</v>
      </c>
      <c r="B1471" s="11">
        <v>4026677889902</v>
      </c>
      <c r="C1471" s="1" t="s">
        <v>52</v>
      </c>
      <c r="D1471" s="1" t="s">
        <v>53</v>
      </c>
      <c r="E1471" s="1" t="s">
        <v>54</v>
      </c>
      <c r="F1471">
        <v>7.6</v>
      </c>
      <c r="G1471">
        <v>1</v>
      </c>
      <c r="H1471" s="1" t="s">
        <v>14</v>
      </c>
      <c r="I1471" s="1" t="s">
        <v>15</v>
      </c>
      <c r="J1471" s="12">
        <v>45777</v>
      </c>
      <c r="K1471">
        <v>0</v>
      </c>
      <c r="L1471" s="1">
        <f t="shared" si="88"/>
        <v>7.6</v>
      </c>
      <c r="M1471" s="1" t="str">
        <f t="shared" si="89"/>
        <v/>
      </c>
      <c r="N1471" s="2">
        <f t="shared" si="90"/>
        <v>45748</v>
      </c>
      <c r="O1471" t="str">
        <f t="shared" si="91"/>
        <v>iné</v>
      </c>
    </row>
    <row r="1472" spans="1:15" x14ac:dyDescent="0.25">
      <c r="A1472">
        <v>8979</v>
      </c>
      <c r="B1472" s="11">
        <v>4028899001126</v>
      </c>
      <c r="C1472" s="1" t="s">
        <v>16</v>
      </c>
      <c r="D1472" s="1" t="s">
        <v>12</v>
      </c>
      <c r="E1472" s="1" t="s">
        <v>17</v>
      </c>
      <c r="F1472">
        <v>2.8</v>
      </c>
      <c r="G1472">
        <v>3</v>
      </c>
      <c r="H1472" s="1" t="s">
        <v>33</v>
      </c>
      <c r="I1472" s="1" t="s">
        <v>250</v>
      </c>
      <c r="J1472" s="12">
        <v>45777</v>
      </c>
      <c r="K1472">
        <v>0</v>
      </c>
      <c r="L1472" s="1">
        <f t="shared" si="88"/>
        <v>8.3999999999999986</v>
      </c>
      <c r="M1472" s="1">
        <f t="shared" si="89"/>
        <v>3</v>
      </c>
      <c r="N1472" s="2">
        <f t="shared" si="90"/>
        <v>45748</v>
      </c>
      <c r="O1472" t="str">
        <f t="shared" si="91"/>
        <v>pes</v>
      </c>
    </row>
    <row r="1473" spans="1:15" x14ac:dyDescent="0.25">
      <c r="A1473">
        <v>8980</v>
      </c>
      <c r="B1473" s="11">
        <v>4013456789017</v>
      </c>
      <c r="C1473" s="1" t="s">
        <v>11</v>
      </c>
      <c r="D1473" s="1" t="s">
        <v>12</v>
      </c>
      <c r="E1473" s="1" t="s">
        <v>13</v>
      </c>
      <c r="F1473">
        <v>6</v>
      </c>
      <c r="G1473">
        <v>1</v>
      </c>
      <c r="H1473" s="1" t="s">
        <v>14</v>
      </c>
      <c r="I1473" s="1" t="s">
        <v>15</v>
      </c>
      <c r="J1473" s="12">
        <v>45777</v>
      </c>
      <c r="K1473">
        <v>0</v>
      </c>
      <c r="L1473" s="1">
        <f t="shared" si="88"/>
        <v>6</v>
      </c>
      <c r="M1473" s="1" t="str">
        <f t="shared" si="89"/>
        <v/>
      </c>
      <c r="N1473" s="2">
        <f t="shared" si="90"/>
        <v>45748</v>
      </c>
      <c r="O1473" t="str">
        <f t="shared" si="91"/>
        <v>pes</v>
      </c>
    </row>
    <row r="1474" spans="1:15" x14ac:dyDescent="0.25">
      <c r="A1474">
        <v>8981</v>
      </c>
      <c r="B1474" s="11">
        <v>4040123456795</v>
      </c>
      <c r="C1474" s="1" t="s">
        <v>20</v>
      </c>
      <c r="D1474" s="1" t="s">
        <v>21</v>
      </c>
      <c r="E1474" s="1" t="s">
        <v>22</v>
      </c>
      <c r="F1474">
        <v>8.8000000000000007</v>
      </c>
      <c r="G1474">
        <v>1</v>
      </c>
      <c r="H1474" s="1" t="s">
        <v>14</v>
      </c>
      <c r="I1474" s="1" t="s">
        <v>15</v>
      </c>
      <c r="J1474" s="12">
        <v>45777</v>
      </c>
      <c r="K1474">
        <v>0</v>
      </c>
      <c r="L1474" s="1">
        <f t="shared" ref="L1474:L1537" si="92">F1474*G1474</f>
        <v>8.8000000000000007</v>
      </c>
      <c r="M1474" s="1" t="str">
        <f t="shared" ref="M1474:M1537" si="93">IF(H1474="NULL", "",VALUE(H1474))</f>
        <v/>
      </c>
      <c r="N1474" s="2">
        <f t="shared" ref="N1474:N1537" si="94">DATE(YEAR(J1474),MONTH(J1474),1)</f>
        <v>45748</v>
      </c>
      <c r="O1474" t="str">
        <f t="shared" ref="O1474:O1537" si="95">IF(ISNUMBER(SEARCH("Mačky",D1474)),"mačka",IF(ISNUMBER(SEARCH("Psy",D1474)),"pes","iné"))</f>
        <v>pes</v>
      </c>
    </row>
    <row r="1475" spans="1:15" hidden="1" x14ac:dyDescent="0.25">
      <c r="A1475">
        <v>8982</v>
      </c>
      <c r="B1475" s="11">
        <v>4010123456783</v>
      </c>
      <c r="C1475" s="1" t="s">
        <v>35</v>
      </c>
      <c r="D1475" s="1" t="s">
        <v>36</v>
      </c>
      <c r="E1475" s="1" t="s">
        <v>37</v>
      </c>
      <c r="F1475">
        <v>14</v>
      </c>
      <c r="G1475">
        <v>1</v>
      </c>
      <c r="H1475" s="1" t="s">
        <v>14</v>
      </c>
      <c r="I1475" s="1" t="s">
        <v>15</v>
      </c>
      <c r="J1475" s="12">
        <v>45777</v>
      </c>
      <c r="K1475">
        <v>0</v>
      </c>
      <c r="L1475" s="1">
        <f t="shared" si="92"/>
        <v>14</v>
      </c>
      <c r="M1475" s="1" t="str">
        <f t="shared" si="93"/>
        <v/>
      </c>
      <c r="N1475" s="2">
        <f t="shared" si="94"/>
        <v>45748</v>
      </c>
      <c r="O1475" t="str">
        <f t="shared" si="95"/>
        <v>mačka</v>
      </c>
    </row>
    <row r="1476" spans="1:15" x14ac:dyDescent="0.25">
      <c r="A1476">
        <v>8983</v>
      </c>
      <c r="B1476" s="11">
        <v>4063456789014</v>
      </c>
      <c r="C1476" s="1" t="s">
        <v>60</v>
      </c>
      <c r="D1476" s="1" t="s">
        <v>12</v>
      </c>
      <c r="E1476" s="1" t="s">
        <v>61</v>
      </c>
      <c r="F1476">
        <v>36</v>
      </c>
      <c r="G1476">
        <v>1</v>
      </c>
      <c r="H1476" s="1" t="s">
        <v>23</v>
      </c>
      <c r="I1476" s="1" t="s">
        <v>251</v>
      </c>
      <c r="J1476" s="12">
        <v>45777</v>
      </c>
      <c r="K1476">
        <v>0</v>
      </c>
      <c r="L1476" s="1">
        <f t="shared" si="92"/>
        <v>36</v>
      </c>
      <c r="M1476" s="1">
        <f t="shared" si="93"/>
        <v>5</v>
      </c>
      <c r="N1476" s="2">
        <f t="shared" si="94"/>
        <v>45748</v>
      </c>
      <c r="O1476" t="str">
        <f t="shared" si="95"/>
        <v>pes</v>
      </c>
    </row>
    <row r="1477" spans="1:15" hidden="1" x14ac:dyDescent="0.25">
      <c r="A1477">
        <v>8984</v>
      </c>
      <c r="B1477" s="11">
        <v>4021234567894</v>
      </c>
      <c r="C1477" s="1" t="s">
        <v>79</v>
      </c>
      <c r="D1477" s="1" t="s">
        <v>36</v>
      </c>
      <c r="E1477" s="1" t="s">
        <v>69</v>
      </c>
      <c r="F1477">
        <v>8</v>
      </c>
      <c r="G1477">
        <v>1</v>
      </c>
      <c r="H1477" s="1" t="s">
        <v>14</v>
      </c>
      <c r="I1477" s="1" t="s">
        <v>15</v>
      </c>
      <c r="J1477" s="12">
        <v>45777</v>
      </c>
      <c r="K1477">
        <v>0</v>
      </c>
      <c r="L1477" s="1">
        <f t="shared" si="92"/>
        <v>8</v>
      </c>
      <c r="M1477" s="1" t="str">
        <f t="shared" si="93"/>
        <v/>
      </c>
      <c r="N1477" s="2">
        <f t="shared" si="94"/>
        <v>45748</v>
      </c>
      <c r="O1477" t="str">
        <f t="shared" si="95"/>
        <v>mačka</v>
      </c>
    </row>
    <row r="1478" spans="1:15" hidden="1" x14ac:dyDescent="0.25">
      <c r="A1478">
        <v>8985</v>
      </c>
      <c r="B1478" s="11">
        <v>4056789012345</v>
      </c>
      <c r="C1478" s="1" t="s">
        <v>47</v>
      </c>
      <c r="D1478" s="1" t="s">
        <v>29</v>
      </c>
      <c r="E1478" s="1" t="s">
        <v>37</v>
      </c>
      <c r="F1478">
        <v>2.4</v>
      </c>
      <c r="G1478">
        <v>3</v>
      </c>
      <c r="H1478" s="1" t="s">
        <v>14</v>
      </c>
      <c r="I1478" s="1" t="s">
        <v>15</v>
      </c>
      <c r="J1478" s="12">
        <v>45777</v>
      </c>
      <c r="K1478">
        <v>0</v>
      </c>
      <c r="L1478" s="1">
        <f t="shared" si="92"/>
        <v>7.1999999999999993</v>
      </c>
      <c r="M1478" s="1" t="str">
        <f t="shared" si="93"/>
        <v/>
      </c>
      <c r="N1478" s="2">
        <f t="shared" si="94"/>
        <v>45748</v>
      </c>
      <c r="O1478" t="str">
        <f t="shared" si="95"/>
        <v>mačka</v>
      </c>
    </row>
    <row r="1479" spans="1:15" x14ac:dyDescent="0.25">
      <c r="A1479">
        <v>8986</v>
      </c>
      <c r="B1479" s="11">
        <v>4061011223346</v>
      </c>
      <c r="C1479" s="1" t="s">
        <v>25</v>
      </c>
      <c r="D1479" s="1" t="s">
        <v>26</v>
      </c>
      <c r="E1479" s="1" t="s">
        <v>27</v>
      </c>
      <c r="F1479">
        <v>19.600000000000001</v>
      </c>
      <c r="G1479">
        <v>1</v>
      </c>
      <c r="H1479" s="1" t="s">
        <v>14</v>
      </c>
      <c r="I1479" s="1" t="s">
        <v>15</v>
      </c>
      <c r="J1479" s="12">
        <v>45777</v>
      </c>
      <c r="K1479">
        <v>0</v>
      </c>
      <c r="L1479" s="1">
        <f t="shared" si="92"/>
        <v>19.600000000000001</v>
      </c>
      <c r="M1479" s="1" t="str">
        <f t="shared" si="93"/>
        <v/>
      </c>
      <c r="N1479" s="2">
        <f t="shared" si="94"/>
        <v>45748</v>
      </c>
      <c r="O1479" t="str">
        <f t="shared" si="95"/>
        <v>pes</v>
      </c>
    </row>
    <row r="1480" spans="1:15" hidden="1" x14ac:dyDescent="0.25">
      <c r="A1480">
        <v>8987</v>
      </c>
      <c r="B1480" s="11">
        <v>4026677889902</v>
      </c>
      <c r="C1480" s="1" t="s">
        <v>52</v>
      </c>
      <c r="D1480" s="1" t="s">
        <v>53</v>
      </c>
      <c r="E1480" s="1" t="s">
        <v>54</v>
      </c>
      <c r="F1480">
        <v>7.6</v>
      </c>
      <c r="G1480">
        <v>1</v>
      </c>
      <c r="H1480" s="1" t="s">
        <v>14</v>
      </c>
      <c r="I1480" s="1" t="s">
        <v>15</v>
      </c>
      <c r="J1480" s="12">
        <v>45777</v>
      </c>
      <c r="K1480">
        <v>0</v>
      </c>
      <c r="L1480" s="1">
        <f t="shared" si="92"/>
        <v>7.6</v>
      </c>
      <c r="M1480" s="1" t="str">
        <f t="shared" si="93"/>
        <v/>
      </c>
      <c r="N1480" s="2">
        <f t="shared" si="94"/>
        <v>45748</v>
      </c>
      <c r="O1480" t="str">
        <f t="shared" si="95"/>
        <v>iné</v>
      </c>
    </row>
    <row r="1481" spans="1:15" x14ac:dyDescent="0.25">
      <c r="A1481">
        <v>8988</v>
      </c>
      <c r="B1481" s="11">
        <v>4028899001126</v>
      </c>
      <c r="C1481" s="1" t="s">
        <v>16</v>
      </c>
      <c r="D1481" s="1" t="s">
        <v>12</v>
      </c>
      <c r="E1481" s="1" t="s">
        <v>17</v>
      </c>
      <c r="F1481">
        <v>2.8</v>
      </c>
      <c r="G1481">
        <v>5</v>
      </c>
      <c r="H1481" s="1" t="s">
        <v>14</v>
      </c>
      <c r="I1481" s="1" t="s">
        <v>15</v>
      </c>
      <c r="J1481" s="12">
        <v>45777</v>
      </c>
      <c r="K1481">
        <v>0</v>
      </c>
      <c r="L1481" s="1">
        <f t="shared" si="92"/>
        <v>14</v>
      </c>
      <c r="M1481" s="1" t="str">
        <f t="shared" si="93"/>
        <v/>
      </c>
      <c r="N1481" s="2">
        <f t="shared" si="94"/>
        <v>45748</v>
      </c>
      <c r="O1481" t="str">
        <f t="shared" si="95"/>
        <v>pes</v>
      </c>
    </row>
    <row r="1482" spans="1:15" x14ac:dyDescent="0.25">
      <c r="A1482">
        <v>8989</v>
      </c>
      <c r="B1482" s="11">
        <v>4013456789017</v>
      </c>
      <c r="C1482" s="1" t="s">
        <v>11</v>
      </c>
      <c r="D1482" s="1" t="s">
        <v>12</v>
      </c>
      <c r="E1482" s="1" t="s">
        <v>13</v>
      </c>
      <c r="F1482">
        <v>6</v>
      </c>
      <c r="G1482">
        <v>2</v>
      </c>
      <c r="H1482" s="1" t="s">
        <v>14</v>
      </c>
      <c r="I1482" s="1" t="s">
        <v>15</v>
      </c>
      <c r="J1482" s="12">
        <v>45777</v>
      </c>
      <c r="K1482">
        <v>0</v>
      </c>
      <c r="L1482" s="1">
        <f t="shared" si="92"/>
        <v>12</v>
      </c>
      <c r="M1482" s="1" t="str">
        <f t="shared" si="93"/>
        <v/>
      </c>
      <c r="N1482" s="2">
        <f t="shared" si="94"/>
        <v>45748</v>
      </c>
      <c r="O1482" t="str">
        <f t="shared" si="95"/>
        <v>pes</v>
      </c>
    </row>
    <row r="1483" spans="1:15" x14ac:dyDescent="0.25">
      <c r="A1483">
        <v>8990</v>
      </c>
      <c r="B1483" s="11">
        <v>4040123456795</v>
      </c>
      <c r="C1483" s="1" t="s">
        <v>20</v>
      </c>
      <c r="D1483" s="1" t="s">
        <v>21</v>
      </c>
      <c r="E1483" s="1" t="s">
        <v>22</v>
      </c>
      <c r="F1483">
        <v>8.8000000000000007</v>
      </c>
      <c r="G1483">
        <v>1</v>
      </c>
      <c r="H1483" s="1" t="s">
        <v>14</v>
      </c>
      <c r="I1483" s="1" t="s">
        <v>15</v>
      </c>
      <c r="J1483" s="12">
        <v>45777</v>
      </c>
      <c r="K1483">
        <v>0</v>
      </c>
      <c r="L1483" s="1">
        <f t="shared" si="92"/>
        <v>8.8000000000000007</v>
      </c>
      <c r="M1483" s="1" t="str">
        <f t="shared" si="93"/>
        <v/>
      </c>
      <c r="N1483" s="2">
        <f t="shared" si="94"/>
        <v>45748</v>
      </c>
      <c r="O1483" t="str">
        <f t="shared" si="95"/>
        <v>pes</v>
      </c>
    </row>
    <row r="1484" spans="1:15" hidden="1" x14ac:dyDescent="0.25">
      <c r="A1484">
        <v>8991</v>
      </c>
      <c r="B1484" s="11">
        <v>4010123456783</v>
      </c>
      <c r="C1484" s="1" t="s">
        <v>35</v>
      </c>
      <c r="D1484" s="1" t="s">
        <v>36</v>
      </c>
      <c r="E1484" s="1" t="s">
        <v>37</v>
      </c>
      <c r="F1484">
        <v>14</v>
      </c>
      <c r="G1484">
        <v>1</v>
      </c>
      <c r="H1484" s="1" t="s">
        <v>14</v>
      </c>
      <c r="I1484" s="1" t="s">
        <v>15</v>
      </c>
      <c r="J1484" s="12">
        <v>45777</v>
      </c>
      <c r="K1484">
        <v>0</v>
      </c>
      <c r="L1484" s="1">
        <f t="shared" si="92"/>
        <v>14</v>
      </c>
      <c r="M1484" s="1" t="str">
        <f t="shared" si="93"/>
        <v/>
      </c>
      <c r="N1484" s="2">
        <f t="shared" si="94"/>
        <v>45748</v>
      </c>
      <c r="O1484" t="str">
        <f t="shared" si="95"/>
        <v>mačka</v>
      </c>
    </row>
    <row r="1485" spans="1:15" x14ac:dyDescent="0.25">
      <c r="A1485">
        <v>8992</v>
      </c>
      <c r="B1485" s="11">
        <v>4063456789014</v>
      </c>
      <c r="C1485" s="1" t="s">
        <v>60</v>
      </c>
      <c r="D1485" s="1" t="s">
        <v>12</v>
      </c>
      <c r="E1485" s="1" t="s">
        <v>61</v>
      </c>
      <c r="F1485">
        <v>36</v>
      </c>
      <c r="G1485">
        <v>1</v>
      </c>
      <c r="H1485" s="1" t="s">
        <v>14</v>
      </c>
      <c r="I1485" s="1" t="s">
        <v>15</v>
      </c>
      <c r="J1485" s="12">
        <v>45777</v>
      </c>
      <c r="K1485">
        <v>0</v>
      </c>
      <c r="L1485" s="1">
        <f t="shared" si="92"/>
        <v>36</v>
      </c>
      <c r="M1485" s="1" t="str">
        <f t="shared" si="93"/>
        <v/>
      </c>
      <c r="N1485" s="2">
        <f t="shared" si="94"/>
        <v>45748</v>
      </c>
      <c r="O1485" t="str">
        <f t="shared" si="95"/>
        <v>pes</v>
      </c>
    </row>
    <row r="1486" spans="1:15" hidden="1" x14ac:dyDescent="0.25">
      <c r="A1486">
        <v>8993</v>
      </c>
      <c r="B1486" s="11">
        <v>4021234567894</v>
      </c>
      <c r="C1486" s="1" t="s">
        <v>79</v>
      </c>
      <c r="D1486" s="1" t="s">
        <v>36</v>
      </c>
      <c r="E1486" s="1" t="s">
        <v>69</v>
      </c>
      <c r="F1486">
        <v>8</v>
      </c>
      <c r="G1486">
        <v>1</v>
      </c>
      <c r="H1486" s="1" t="s">
        <v>23</v>
      </c>
      <c r="I1486" s="1" t="s">
        <v>252</v>
      </c>
      <c r="J1486" s="12">
        <v>45777</v>
      </c>
      <c r="K1486">
        <v>0</v>
      </c>
      <c r="L1486" s="1">
        <f t="shared" si="92"/>
        <v>8</v>
      </c>
      <c r="M1486" s="1">
        <f t="shared" si="93"/>
        <v>5</v>
      </c>
      <c r="N1486" s="2">
        <f t="shared" si="94"/>
        <v>45748</v>
      </c>
      <c r="O1486" t="str">
        <f t="shared" si="95"/>
        <v>mačka</v>
      </c>
    </row>
    <row r="1487" spans="1:15" hidden="1" x14ac:dyDescent="0.25">
      <c r="A1487">
        <v>8994</v>
      </c>
      <c r="B1487" s="11">
        <v>4056789012345</v>
      </c>
      <c r="C1487" s="1" t="s">
        <v>47</v>
      </c>
      <c r="D1487" s="1" t="s">
        <v>29</v>
      </c>
      <c r="E1487" s="1" t="s">
        <v>37</v>
      </c>
      <c r="F1487">
        <v>2.4</v>
      </c>
      <c r="G1487">
        <v>3</v>
      </c>
      <c r="H1487" s="1" t="s">
        <v>14</v>
      </c>
      <c r="I1487" s="1" t="s">
        <v>15</v>
      </c>
      <c r="J1487" s="12">
        <v>45777</v>
      </c>
      <c r="K1487">
        <v>0</v>
      </c>
      <c r="L1487" s="1">
        <f t="shared" si="92"/>
        <v>7.1999999999999993</v>
      </c>
      <c r="M1487" s="1" t="str">
        <f t="shared" si="93"/>
        <v/>
      </c>
      <c r="N1487" s="2">
        <f t="shared" si="94"/>
        <v>45748</v>
      </c>
      <c r="O1487" t="str">
        <f t="shared" si="95"/>
        <v>mačka</v>
      </c>
    </row>
    <row r="1488" spans="1:15" x14ac:dyDescent="0.25">
      <c r="A1488">
        <v>8995</v>
      </c>
      <c r="B1488" s="11">
        <v>4061011223346</v>
      </c>
      <c r="C1488" s="1" t="s">
        <v>25</v>
      </c>
      <c r="D1488" s="1" t="s">
        <v>26</v>
      </c>
      <c r="E1488" s="1" t="s">
        <v>27</v>
      </c>
      <c r="F1488">
        <v>19.600000000000001</v>
      </c>
      <c r="G1488">
        <v>1</v>
      </c>
      <c r="H1488" s="1" t="s">
        <v>14</v>
      </c>
      <c r="I1488" s="1" t="s">
        <v>15</v>
      </c>
      <c r="J1488" s="12">
        <v>45777</v>
      </c>
      <c r="K1488">
        <v>0</v>
      </c>
      <c r="L1488" s="1">
        <f t="shared" si="92"/>
        <v>19.600000000000001</v>
      </c>
      <c r="M1488" s="1" t="str">
        <f t="shared" si="93"/>
        <v/>
      </c>
      <c r="N1488" s="2">
        <f t="shared" si="94"/>
        <v>45748</v>
      </c>
      <c r="O1488" t="str">
        <f t="shared" si="95"/>
        <v>pes</v>
      </c>
    </row>
    <row r="1489" spans="1:15" hidden="1" x14ac:dyDescent="0.25">
      <c r="A1489">
        <v>8996</v>
      </c>
      <c r="B1489" s="11">
        <v>4026677889902</v>
      </c>
      <c r="C1489" s="1" t="s">
        <v>52</v>
      </c>
      <c r="D1489" s="1" t="s">
        <v>53</v>
      </c>
      <c r="E1489" s="1" t="s">
        <v>54</v>
      </c>
      <c r="F1489">
        <v>7.6</v>
      </c>
      <c r="G1489">
        <v>1</v>
      </c>
      <c r="H1489" s="1" t="s">
        <v>14</v>
      </c>
      <c r="I1489" s="1" t="s">
        <v>15</v>
      </c>
      <c r="J1489" s="12">
        <v>45777</v>
      </c>
      <c r="K1489">
        <v>0</v>
      </c>
      <c r="L1489" s="1">
        <f t="shared" si="92"/>
        <v>7.6</v>
      </c>
      <c r="M1489" s="1" t="str">
        <f t="shared" si="93"/>
        <v/>
      </c>
      <c r="N1489" s="2">
        <f t="shared" si="94"/>
        <v>45748</v>
      </c>
      <c r="O1489" t="str">
        <f t="shared" si="95"/>
        <v>iné</v>
      </c>
    </row>
    <row r="1490" spans="1:15" x14ac:dyDescent="0.25">
      <c r="A1490">
        <v>8997</v>
      </c>
      <c r="B1490" s="11">
        <v>4028899001126</v>
      </c>
      <c r="C1490" s="1" t="s">
        <v>16</v>
      </c>
      <c r="D1490" s="1" t="s">
        <v>12</v>
      </c>
      <c r="E1490" s="1" t="s">
        <v>17</v>
      </c>
      <c r="F1490">
        <v>2.8</v>
      </c>
      <c r="G1490">
        <v>4</v>
      </c>
      <c r="H1490" s="1" t="s">
        <v>14</v>
      </c>
      <c r="I1490" s="1" t="s">
        <v>15</v>
      </c>
      <c r="J1490" s="12">
        <v>45777</v>
      </c>
      <c r="K1490">
        <v>0</v>
      </c>
      <c r="L1490" s="1">
        <f t="shared" si="92"/>
        <v>11.2</v>
      </c>
      <c r="M1490" s="1" t="str">
        <f t="shared" si="93"/>
        <v/>
      </c>
      <c r="N1490" s="2">
        <f t="shared" si="94"/>
        <v>45748</v>
      </c>
      <c r="O1490" t="str">
        <f t="shared" si="95"/>
        <v>pes</v>
      </c>
    </row>
    <row r="1491" spans="1:15" x14ac:dyDescent="0.25">
      <c r="A1491">
        <v>8998</v>
      </c>
      <c r="B1491" s="11">
        <v>4013456789017</v>
      </c>
      <c r="C1491" s="1" t="s">
        <v>11</v>
      </c>
      <c r="D1491" s="1" t="s">
        <v>12</v>
      </c>
      <c r="E1491" s="1" t="s">
        <v>13</v>
      </c>
      <c r="F1491">
        <v>6</v>
      </c>
      <c r="G1491">
        <v>1</v>
      </c>
      <c r="H1491" s="1" t="s">
        <v>14</v>
      </c>
      <c r="I1491" s="1" t="s">
        <v>15</v>
      </c>
      <c r="J1491" s="12">
        <v>45777</v>
      </c>
      <c r="K1491">
        <v>0</v>
      </c>
      <c r="L1491" s="1">
        <f t="shared" si="92"/>
        <v>6</v>
      </c>
      <c r="M1491" s="1" t="str">
        <f t="shared" si="93"/>
        <v/>
      </c>
      <c r="N1491" s="2">
        <f t="shared" si="94"/>
        <v>45748</v>
      </c>
      <c r="O1491" t="str">
        <f t="shared" si="95"/>
        <v>pes</v>
      </c>
    </row>
    <row r="1492" spans="1:15" x14ac:dyDescent="0.25">
      <c r="A1492">
        <v>8999</v>
      </c>
      <c r="B1492" s="11">
        <v>4040123456795</v>
      </c>
      <c r="C1492" s="1" t="s">
        <v>20</v>
      </c>
      <c r="D1492" s="1" t="s">
        <v>21</v>
      </c>
      <c r="E1492" s="1" t="s">
        <v>22</v>
      </c>
      <c r="F1492">
        <v>8.8000000000000007</v>
      </c>
      <c r="G1492">
        <v>1</v>
      </c>
      <c r="H1492" s="1" t="s">
        <v>14</v>
      </c>
      <c r="I1492" s="1" t="s">
        <v>15</v>
      </c>
      <c r="J1492" s="12">
        <v>45777</v>
      </c>
      <c r="K1492">
        <v>0</v>
      </c>
      <c r="L1492" s="1">
        <f t="shared" si="92"/>
        <v>8.8000000000000007</v>
      </c>
      <c r="M1492" s="1" t="str">
        <f t="shared" si="93"/>
        <v/>
      </c>
      <c r="N1492" s="2">
        <f t="shared" si="94"/>
        <v>45748</v>
      </c>
      <c r="O1492" t="str">
        <f t="shared" si="95"/>
        <v>pes</v>
      </c>
    </row>
    <row r="1493" spans="1:15" hidden="1" x14ac:dyDescent="0.25">
      <c r="A1493">
        <v>9000</v>
      </c>
      <c r="B1493" s="11">
        <v>4010123456783</v>
      </c>
      <c r="C1493" s="1" t="s">
        <v>35</v>
      </c>
      <c r="D1493" s="1" t="s">
        <v>36</v>
      </c>
      <c r="E1493" s="1" t="s">
        <v>37</v>
      </c>
      <c r="F1493">
        <v>14</v>
      </c>
      <c r="G1493">
        <v>1</v>
      </c>
      <c r="H1493" s="1" t="s">
        <v>14</v>
      </c>
      <c r="I1493" s="1" t="s">
        <v>15</v>
      </c>
      <c r="J1493" s="12">
        <v>45777</v>
      </c>
      <c r="K1493">
        <v>0</v>
      </c>
      <c r="L1493" s="1">
        <f t="shared" si="92"/>
        <v>14</v>
      </c>
      <c r="M1493" s="1" t="str">
        <f t="shared" si="93"/>
        <v/>
      </c>
      <c r="N1493" s="2">
        <f t="shared" si="94"/>
        <v>45748</v>
      </c>
      <c r="O1493" t="str">
        <f t="shared" si="95"/>
        <v>mačka</v>
      </c>
    </row>
    <row r="1494" spans="1:15" x14ac:dyDescent="0.25">
      <c r="A1494">
        <v>9001</v>
      </c>
      <c r="B1494" s="11">
        <v>4063456789014</v>
      </c>
      <c r="C1494" s="1" t="s">
        <v>60</v>
      </c>
      <c r="D1494" s="1" t="s">
        <v>12</v>
      </c>
      <c r="E1494" s="1" t="s">
        <v>61</v>
      </c>
      <c r="F1494">
        <v>36</v>
      </c>
      <c r="G1494">
        <v>1</v>
      </c>
      <c r="H1494" s="1" t="s">
        <v>18</v>
      </c>
      <c r="I1494" s="1" t="s">
        <v>253</v>
      </c>
      <c r="J1494" s="12">
        <v>45777</v>
      </c>
      <c r="K1494">
        <v>0</v>
      </c>
      <c r="L1494" s="1">
        <f t="shared" si="92"/>
        <v>36</v>
      </c>
      <c r="M1494" s="1">
        <f t="shared" si="93"/>
        <v>4</v>
      </c>
      <c r="N1494" s="2">
        <f t="shared" si="94"/>
        <v>45748</v>
      </c>
      <c r="O1494" t="str">
        <f t="shared" si="95"/>
        <v>pes</v>
      </c>
    </row>
    <row r="1495" spans="1:15" hidden="1" x14ac:dyDescent="0.25">
      <c r="A1495">
        <v>9002</v>
      </c>
      <c r="B1495" s="11">
        <v>4021234567894</v>
      </c>
      <c r="C1495" s="1" t="s">
        <v>79</v>
      </c>
      <c r="D1495" s="1" t="s">
        <v>36</v>
      </c>
      <c r="E1495" s="1" t="s">
        <v>69</v>
      </c>
      <c r="F1495">
        <v>8</v>
      </c>
      <c r="G1495">
        <v>1</v>
      </c>
      <c r="H1495" s="1" t="s">
        <v>14</v>
      </c>
      <c r="I1495" s="1" t="s">
        <v>15</v>
      </c>
      <c r="J1495" s="12">
        <v>45777</v>
      </c>
      <c r="K1495">
        <v>0</v>
      </c>
      <c r="L1495" s="1">
        <f t="shared" si="92"/>
        <v>8</v>
      </c>
      <c r="M1495" s="1" t="str">
        <f t="shared" si="93"/>
        <v/>
      </c>
      <c r="N1495" s="2">
        <f t="shared" si="94"/>
        <v>45748</v>
      </c>
      <c r="O1495" t="str">
        <f t="shared" si="95"/>
        <v>mačka</v>
      </c>
    </row>
    <row r="1496" spans="1:15" hidden="1" x14ac:dyDescent="0.25">
      <c r="A1496">
        <v>9003</v>
      </c>
      <c r="B1496" s="11">
        <v>4056789012345</v>
      </c>
      <c r="C1496" s="1" t="s">
        <v>47</v>
      </c>
      <c r="D1496" s="1" t="s">
        <v>29</v>
      </c>
      <c r="E1496" s="1" t="s">
        <v>37</v>
      </c>
      <c r="F1496">
        <v>2.4</v>
      </c>
      <c r="G1496">
        <v>2</v>
      </c>
      <c r="H1496" s="1" t="s">
        <v>14</v>
      </c>
      <c r="I1496" s="1" t="s">
        <v>15</v>
      </c>
      <c r="J1496" s="12">
        <v>45777</v>
      </c>
      <c r="K1496">
        <v>0</v>
      </c>
      <c r="L1496" s="1">
        <f t="shared" si="92"/>
        <v>4.8</v>
      </c>
      <c r="M1496" s="1" t="str">
        <f t="shared" si="93"/>
        <v/>
      </c>
      <c r="N1496" s="2">
        <f t="shared" si="94"/>
        <v>45748</v>
      </c>
      <c r="O1496" t="str">
        <f t="shared" si="95"/>
        <v>mačka</v>
      </c>
    </row>
    <row r="1497" spans="1:15" x14ac:dyDescent="0.25">
      <c r="A1497">
        <v>9004</v>
      </c>
      <c r="B1497" s="11">
        <v>4061011223346</v>
      </c>
      <c r="C1497" s="1" t="s">
        <v>25</v>
      </c>
      <c r="D1497" s="1" t="s">
        <v>26</v>
      </c>
      <c r="E1497" s="1" t="s">
        <v>27</v>
      </c>
      <c r="F1497">
        <v>19.600000000000001</v>
      </c>
      <c r="G1497">
        <v>1</v>
      </c>
      <c r="H1497" s="1" t="s">
        <v>14</v>
      </c>
      <c r="I1497" s="1" t="s">
        <v>15</v>
      </c>
      <c r="J1497" s="12">
        <v>45777</v>
      </c>
      <c r="K1497">
        <v>0</v>
      </c>
      <c r="L1497" s="1">
        <f t="shared" si="92"/>
        <v>19.600000000000001</v>
      </c>
      <c r="M1497" s="1" t="str">
        <f t="shared" si="93"/>
        <v/>
      </c>
      <c r="N1497" s="2">
        <f t="shared" si="94"/>
        <v>45748</v>
      </c>
      <c r="O1497" t="str">
        <f t="shared" si="95"/>
        <v>pes</v>
      </c>
    </row>
    <row r="1498" spans="1:15" hidden="1" x14ac:dyDescent="0.25">
      <c r="A1498">
        <v>9005</v>
      </c>
      <c r="B1498" s="11">
        <v>4026677889902</v>
      </c>
      <c r="C1498" s="1" t="s">
        <v>52</v>
      </c>
      <c r="D1498" s="1" t="s">
        <v>53</v>
      </c>
      <c r="E1498" s="1" t="s">
        <v>54</v>
      </c>
      <c r="F1498">
        <v>7.6</v>
      </c>
      <c r="G1498">
        <v>1</v>
      </c>
      <c r="H1498" s="1" t="s">
        <v>14</v>
      </c>
      <c r="I1498" s="1" t="s">
        <v>15</v>
      </c>
      <c r="J1498" s="12">
        <v>45777</v>
      </c>
      <c r="K1498">
        <v>0</v>
      </c>
      <c r="L1498" s="1">
        <f t="shared" si="92"/>
        <v>7.6</v>
      </c>
      <c r="M1498" s="1" t="str">
        <f t="shared" si="93"/>
        <v/>
      </c>
      <c r="N1498" s="2">
        <f t="shared" si="94"/>
        <v>45748</v>
      </c>
      <c r="O1498" t="str">
        <f t="shared" si="95"/>
        <v>iné</v>
      </c>
    </row>
    <row r="1499" spans="1:15" x14ac:dyDescent="0.25">
      <c r="A1499">
        <v>9006</v>
      </c>
      <c r="B1499" s="11">
        <v>4028899001126</v>
      </c>
      <c r="C1499" s="1" t="s">
        <v>16</v>
      </c>
      <c r="D1499" s="1" t="s">
        <v>12</v>
      </c>
      <c r="E1499" s="1" t="s">
        <v>17</v>
      </c>
      <c r="F1499">
        <v>2.8</v>
      </c>
      <c r="G1499">
        <v>5</v>
      </c>
      <c r="H1499" s="1" t="s">
        <v>14</v>
      </c>
      <c r="I1499" s="1" t="s">
        <v>15</v>
      </c>
      <c r="J1499" s="12">
        <v>45777</v>
      </c>
      <c r="K1499">
        <v>0</v>
      </c>
      <c r="L1499" s="1">
        <f t="shared" si="92"/>
        <v>14</v>
      </c>
      <c r="M1499" s="1" t="str">
        <f t="shared" si="93"/>
        <v/>
      </c>
      <c r="N1499" s="2">
        <f t="shared" si="94"/>
        <v>45748</v>
      </c>
      <c r="O1499" t="str">
        <f t="shared" si="95"/>
        <v>pes</v>
      </c>
    </row>
    <row r="1500" spans="1:15" x14ac:dyDescent="0.25">
      <c r="A1500">
        <v>9007</v>
      </c>
      <c r="B1500" s="11">
        <v>4013456789017</v>
      </c>
      <c r="C1500" s="1" t="s">
        <v>11</v>
      </c>
      <c r="D1500" s="1" t="s">
        <v>12</v>
      </c>
      <c r="E1500" s="1" t="s">
        <v>13</v>
      </c>
      <c r="F1500">
        <v>6</v>
      </c>
      <c r="G1500">
        <v>1</v>
      </c>
      <c r="H1500" s="1" t="s">
        <v>14</v>
      </c>
      <c r="I1500" s="1" t="s">
        <v>15</v>
      </c>
      <c r="J1500" s="12">
        <v>45777</v>
      </c>
      <c r="K1500">
        <v>0</v>
      </c>
      <c r="L1500" s="1">
        <f t="shared" si="92"/>
        <v>6</v>
      </c>
      <c r="M1500" s="1" t="str">
        <f t="shared" si="93"/>
        <v/>
      </c>
      <c r="N1500" s="2">
        <f t="shared" si="94"/>
        <v>45748</v>
      </c>
      <c r="O1500" t="str">
        <f t="shared" si="95"/>
        <v>pes</v>
      </c>
    </row>
    <row r="1501" spans="1:15" x14ac:dyDescent="0.25">
      <c r="A1501">
        <v>9008</v>
      </c>
      <c r="B1501" s="11">
        <v>4040123456795</v>
      </c>
      <c r="C1501" s="1" t="s">
        <v>20</v>
      </c>
      <c r="D1501" s="1" t="s">
        <v>21</v>
      </c>
      <c r="E1501" s="1" t="s">
        <v>22</v>
      </c>
      <c r="F1501">
        <v>8.8000000000000007</v>
      </c>
      <c r="G1501">
        <v>1</v>
      </c>
      <c r="H1501" s="1" t="s">
        <v>14</v>
      </c>
      <c r="I1501" s="1" t="s">
        <v>15</v>
      </c>
      <c r="J1501" s="12">
        <v>45777</v>
      </c>
      <c r="K1501">
        <v>0</v>
      </c>
      <c r="L1501" s="1">
        <f t="shared" si="92"/>
        <v>8.8000000000000007</v>
      </c>
      <c r="M1501" s="1" t="str">
        <f t="shared" si="93"/>
        <v/>
      </c>
      <c r="N1501" s="2">
        <f t="shared" si="94"/>
        <v>45748</v>
      </c>
      <c r="O1501" t="str">
        <f t="shared" si="95"/>
        <v>pes</v>
      </c>
    </row>
    <row r="1502" spans="1:15" hidden="1" x14ac:dyDescent="0.25">
      <c r="A1502">
        <v>9009</v>
      </c>
      <c r="B1502" s="11">
        <v>4010123456783</v>
      </c>
      <c r="C1502" s="1" t="s">
        <v>35</v>
      </c>
      <c r="D1502" s="1" t="s">
        <v>36</v>
      </c>
      <c r="E1502" s="1" t="s">
        <v>37</v>
      </c>
      <c r="F1502">
        <v>14</v>
      </c>
      <c r="G1502">
        <v>1</v>
      </c>
      <c r="H1502" s="1" t="s">
        <v>14</v>
      </c>
      <c r="I1502" s="1" t="s">
        <v>15</v>
      </c>
      <c r="J1502" s="12">
        <v>45777</v>
      </c>
      <c r="K1502">
        <v>0</v>
      </c>
      <c r="L1502" s="1">
        <f t="shared" si="92"/>
        <v>14</v>
      </c>
      <c r="M1502" s="1" t="str">
        <f t="shared" si="93"/>
        <v/>
      </c>
      <c r="N1502" s="2">
        <f t="shared" si="94"/>
        <v>45748</v>
      </c>
      <c r="O1502" t="str">
        <f t="shared" si="95"/>
        <v>mačka</v>
      </c>
    </row>
    <row r="1503" spans="1:15" x14ac:dyDescent="0.25">
      <c r="A1503">
        <v>9010</v>
      </c>
      <c r="B1503" s="11">
        <v>4063456789014</v>
      </c>
      <c r="C1503" s="1" t="s">
        <v>60</v>
      </c>
      <c r="D1503" s="1" t="s">
        <v>12</v>
      </c>
      <c r="E1503" s="1" t="s">
        <v>61</v>
      </c>
      <c r="F1503">
        <v>36</v>
      </c>
      <c r="G1503">
        <v>1</v>
      </c>
      <c r="H1503" s="1" t="s">
        <v>14</v>
      </c>
      <c r="I1503" s="1" t="s">
        <v>15</v>
      </c>
      <c r="J1503" s="12">
        <v>45777</v>
      </c>
      <c r="K1503">
        <v>0</v>
      </c>
      <c r="L1503" s="1">
        <f t="shared" si="92"/>
        <v>36</v>
      </c>
      <c r="M1503" s="1" t="str">
        <f t="shared" si="93"/>
        <v/>
      </c>
      <c r="N1503" s="2">
        <f t="shared" si="94"/>
        <v>45748</v>
      </c>
      <c r="O1503" t="str">
        <f t="shared" si="95"/>
        <v>pes</v>
      </c>
    </row>
    <row r="1504" spans="1:15" hidden="1" x14ac:dyDescent="0.25">
      <c r="A1504">
        <v>9011</v>
      </c>
      <c r="B1504" s="11">
        <v>4021234567894</v>
      </c>
      <c r="C1504" s="1" t="s">
        <v>79</v>
      </c>
      <c r="D1504" s="1" t="s">
        <v>36</v>
      </c>
      <c r="E1504" s="1" t="s">
        <v>69</v>
      </c>
      <c r="F1504">
        <v>8</v>
      </c>
      <c r="G1504">
        <v>1</v>
      </c>
      <c r="H1504" s="1" t="s">
        <v>14</v>
      </c>
      <c r="I1504" s="1" t="s">
        <v>15</v>
      </c>
      <c r="J1504" s="12">
        <v>45777</v>
      </c>
      <c r="K1504">
        <v>0</v>
      </c>
      <c r="L1504" s="1">
        <f t="shared" si="92"/>
        <v>8</v>
      </c>
      <c r="M1504" s="1" t="str">
        <f t="shared" si="93"/>
        <v/>
      </c>
      <c r="N1504" s="2">
        <f t="shared" si="94"/>
        <v>45748</v>
      </c>
      <c r="O1504" t="str">
        <f t="shared" si="95"/>
        <v>mačka</v>
      </c>
    </row>
    <row r="1505" spans="1:15" hidden="1" x14ac:dyDescent="0.25">
      <c r="A1505">
        <v>9012</v>
      </c>
      <c r="B1505" s="11">
        <v>4056789012345</v>
      </c>
      <c r="C1505" s="1" t="s">
        <v>47</v>
      </c>
      <c r="D1505" s="1" t="s">
        <v>29</v>
      </c>
      <c r="E1505" s="1" t="s">
        <v>37</v>
      </c>
      <c r="F1505">
        <v>2.4</v>
      </c>
      <c r="G1505">
        <v>2</v>
      </c>
      <c r="H1505" s="1" t="s">
        <v>14</v>
      </c>
      <c r="I1505" s="1" t="s">
        <v>15</v>
      </c>
      <c r="J1505" s="12">
        <v>45777</v>
      </c>
      <c r="K1505">
        <v>0</v>
      </c>
      <c r="L1505" s="1">
        <f t="shared" si="92"/>
        <v>4.8</v>
      </c>
      <c r="M1505" s="1" t="str">
        <f t="shared" si="93"/>
        <v/>
      </c>
      <c r="N1505" s="2">
        <f t="shared" si="94"/>
        <v>45748</v>
      </c>
      <c r="O1505" t="str">
        <f t="shared" si="95"/>
        <v>mačka</v>
      </c>
    </row>
    <row r="1506" spans="1:15" x14ac:dyDescent="0.25">
      <c r="A1506">
        <v>9013</v>
      </c>
      <c r="B1506" s="11">
        <v>4061011223346</v>
      </c>
      <c r="C1506" s="1" t="s">
        <v>25</v>
      </c>
      <c r="D1506" s="1" t="s">
        <v>26</v>
      </c>
      <c r="E1506" s="1" t="s">
        <v>27</v>
      </c>
      <c r="F1506">
        <v>19.600000000000001</v>
      </c>
      <c r="G1506">
        <v>1</v>
      </c>
      <c r="H1506" s="1" t="s">
        <v>14</v>
      </c>
      <c r="I1506" s="1" t="s">
        <v>15</v>
      </c>
      <c r="J1506" s="12">
        <v>45777</v>
      </c>
      <c r="K1506">
        <v>0</v>
      </c>
      <c r="L1506" s="1">
        <f t="shared" si="92"/>
        <v>19.600000000000001</v>
      </c>
      <c r="M1506" s="1" t="str">
        <f t="shared" si="93"/>
        <v/>
      </c>
      <c r="N1506" s="2">
        <f t="shared" si="94"/>
        <v>45748</v>
      </c>
      <c r="O1506" t="str">
        <f t="shared" si="95"/>
        <v>pes</v>
      </c>
    </row>
    <row r="1507" spans="1:15" hidden="1" x14ac:dyDescent="0.25">
      <c r="A1507">
        <v>9014</v>
      </c>
      <c r="B1507" s="11">
        <v>4026677889902</v>
      </c>
      <c r="C1507" s="1" t="s">
        <v>52</v>
      </c>
      <c r="D1507" s="1" t="s">
        <v>53</v>
      </c>
      <c r="E1507" s="1" t="s">
        <v>54</v>
      </c>
      <c r="F1507">
        <v>7.6</v>
      </c>
      <c r="G1507">
        <v>1</v>
      </c>
      <c r="H1507" s="1" t="s">
        <v>14</v>
      </c>
      <c r="I1507" s="1" t="s">
        <v>15</v>
      </c>
      <c r="J1507" s="12">
        <v>45777</v>
      </c>
      <c r="K1507">
        <v>0</v>
      </c>
      <c r="L1507" s="1">
        <f t="shared" si="92"/>
        <v>7.6</v>
      </c>
      <c r="M1507" s="1" t="str">
        <f t="shared" si="93"/>
        <v/>
      </c>
      <c r="N1507" s="2">
        <f t="shared" si="94"/>
        <v>45748</v>
      </c>
      <c r="O1507" t="str">
        <f t="shared" si="95"/>
        <v>iné</v>
      </c>
    </row>
    <row r="1508" spans="1:15" x14ac:dyDescent="0.25">
      <c r="A1508">
        <v>9015</v>
      </c>
      <c r="B1508" s="11">
        <v>4028899001126</v>
      </c>
      <c r="C1508" s="1" t="s">
        <v>16</v>
      </c>
      <c r="D1508" s="1" t="s">
        <v>12</v>
      </c>
      <c r="E1508" s="1" t="s">
        <v>17</v>
      </c>
      <c r="F1508">
        <v>2.8</v>
      </c>
      <c r="G1508">
        <v>3</v>
      </c>
      <c r="H1508" s="1" t="s">
        <v>14</v>
      </c>
      <c r="I1508" s="1" t="s">
        <v>15</v>
      </c>
      <c r="J1508" s="12">
        <v>45777</v>
      </c>
      <c r="K1508">
        <v>0</v>
      </c>
      <c r="L1508" s="1">
        <f t="shared" si="92"/>
        <v>8.3999999999999986</v>
      </c>
      <c r="M1508" s="1" t="str">
        <f t="shared" si="93"/>
        <v/>
      </c>
      <c r="N1508" s="2">
        <f t="shared" si="94"/>
        <v>45748</v>
      </c>
      <c r="O1508" t="str">
        <f t="shared" si="95"/>
        <v>pes</v>
      </c>
    </row>
    <row r="1509" spans="1:15" x14ac:dyDescent="0.25">
      <c r="A1509">
        <v>9016</v>
      </c>
      <c r="B1509" s="11">
        <v>4013456789017</v>
      </c>
      <c r="C1509" s="1" t="s">
        <v>11</v>
      </c>
      <c r="D1509" s="1" t="s">
        <v>12</v>
      </c>
      <c r="E1509" s="1" t="s">
        <v>13</v>
      </c>
      <c r="F1509">
        <v>6</v>
      </c>
      <c r="G1509">
        <v>1</v>
      </c>
      <c r="H1509" s="1" t="s">
        <v>14</v>
      </c>
      <c r="I1509" s="1" t="s">
        <v>15</v>
      </c>
      <c r="J1509" s="12">
        <v>45777</v>
      </c>
      <c r="K1509">
        <v>0</v>
      </c>
      <c r="L1509" s="1">
        <f t="shared" si="92"/>
        <v>6</v>
      </c>
      <c r="M1509" s="1" t="str">
        <f t="shared" si="93"/>
        <v/>
      </c>
      <c r="N1509" s="2">
        <f t="shared" si="94"/>
        <v>45748</v>
      </c>
      <c r="O1509" t="str">
        <f t="shared" si="95"/>
        <v>pes</v>
      </c>
    </row>
    <row r="1510" spans="1:15" x14ac:dyDescent="0.25">
      <c r="A1510">
        <v>9017</v>
      </c>
      <c r="B1510" s="11">
        <v>4040123456795</v>
      </c>
      <c r="C1510" s="1" t="s">
        <v>20</v>
      </c>
      <c r="D1510" s="1" t="s">
        <v>21</v>
      </c>
      <c r="E1510" s="1" t="s">
        <v>22</v>
      </c>
      <c r="F1510">
        <v>8.8000000000000007</v>
      </c>
      <c r="G1510">
        <v>1</v>
      </c>
      <c r="H1510" s="1" t="s">
        <v>14</v>
      </c>
      <c r="I1510" s="1" t="s">
        <v>15</v>
      </c>
      <c r="J1510" s="12">
        <v>45777</v>
      </c>
      <c r="K1510">
        <v>0</v>
      </c>
      <c r="L1510" s="1">
        <f t="shared" si="92"/>
        <v>8.8000000000000007</v>
      </c>
      <c r="M1510" s="1" t="str">
        <f t="shared" si="93"/>
        <v/>
      </c>
      <c r="N1510" s="2">
        <f t="shared" si="94"/>
        <v>45748</v>
      </c>
      <c r="O1510" t="str">
        <f t="shared" si="95"/>
        <v>pes</v>
      </c>
    </row>
    <row r="1511" spans="1:15" hidden="1" x14ac:dyDescent="0.25">
      <c r="A1511">
        <v>9018</v>
      </c>
      <c r="B1511" s="11">
        <v>4010123456783</v>
      </c>
      <c r="C1511" s="1" t="s">
        <v>35</v>
      </c>
      <c r="D1511" s="1" t="s">
        <v>36</v>
      </c>
      <c r="E1511" s="1" t="s">
        <v>37</v>
      </c>
      <c r="F1511">
        <v>14</v>
      </c>
      <c r="G1511">
        <v>1</v>
      </c>
      <c r="H1511" s="1" t="s">
        <v>14</v>
      </c>
      <c r="I1511" s="1" t="s">
        <v>15</v>
      </c>
      <c r="J1511" s="12">
        <v>45777</v>
      </c>
      <c r="K1511">
        <v>0</v>
      </c>
      <c r="L1511" s="1">
        <f t="shared" si="92"/>
        <v>14</v>
      </c>
      <c r="M1511" s="1" t="str">
        <f t="shared" si="93"/>
        <v/>
      </c>
      <c r="N1511" s="2">
        <f t="shared" si="94"/>
        <v>45748</v>
      </c>
      <c r="O1511" t="str">
        <f t="shared" si="95"/>
        <v>mačka</v>
      </c>
    </row>
    <row r="1512" spans="1:15" x14ac:dyDescent="0.25">
      <c r="A1512">
        <v>9019</v>
      </c>
      <c r="B1512" s="11">
        <v>4063456789014</v>
      </c>
      <c r="C1512" s="1" t="s">
        <v>60</v>
      </c>
      <c r="D1512" s="1" t="s">
        <v>12</v>
      </c>
      <c r="E1512" s="1" t="s">
        <v>61</v>
      </c>
      <c r="F1512">
        <v>36</v>
      </c>
      <c r="G1512">
        <v>1</v>
      </c>
      <c r="H1512" s="1" t="s">
        <v>14</v>
      </c>
      <c r="I1512" s="1" t="s">
        <v>15</v>
      </c>
      <c r="J1512" s="12">
        <v>45777</v>
      </c>
      <c r="K1512">
        <v>0</v>
      </c>
      <c r="L1512" s="1">
        <f t="shared" si="92"/>
        <v>36</v>
      </c>
      <c r="M1512" s="1" t="str">
        <f t="shared" si="93"/>
        <v/>
      </c>
      <c r="N1512" s="2">
        <f t="shared" si="94"/>
        <v>45748</v>
      </c>
      <c r="O1512" t="str">
        <f t="shared" si="95"/>
        <v>pes</v>
      </c>
    </row>
    <row r="1513" spans="1:15" hidden="1" x14ac:dyDescent="0.25">
      <c r="A1513">
        <v>9020</v>
      </c>
      <c r="B1513" s="11">
        <v>4021234567894</v>
      </c>
      <c r="C1513" s="1" t="s">
        <v>79</v>
      </c>
      <c r="D1513" s="1" t="s">
        <v>36</v>
      </c>
      <c r="E1513" s="1" t="s">
        <v>69</v>
      </c>
      <c r="F1513">
        <v>8</v>
      </c>
      <c r="G1513">
        <v>1</v>
      </c>
      <c r="H1513" s="1" t="s">
        <v>33</v>
      </c>
      <c r="I1513" s="1" t="s">
        <v>254</v>
      </c>
      <c r="J1513" s="12">
        <v>45777</v>
      </c>
      <c r="K1513">
        <v>0</v>
      </c>
      <c r="L1513" s="1">
        <f t="shared" si="92"/>
        <v>8</v>
      </c>
      <c r="M1513" s="1">
        <f t="shared" si="93"/>
        <v>3</v>
      </c>
      <c r="N1513" s="2">
        <f t="shared" si="94"/>
        <v>45748</v>
      </c>
      <c r="O1513" t="str">
        <f t="shared" si="95"/>
        <v>mačka</v>
      </c>
    </row>
    <row r="1514" spans="1:15" hidden="1" x14ac:dyDescent="0.25">
      <c r="A1514">
        <v>9021</v>
      </c>
      <c r="B1514" s="11">
        <v>4056789012345</v>
      </c>
      <c r="C1514" s="1" t="s">
        <v>47</v>
      </c>
      <c r="D1514" s="1" t="s">
        <v>29</v>
      </c>
      <c r="E1514" s="1" t="s">
        <v>37</v>
      </c>
      <c r="F1514">
        <v>2.4</v>
      </c>
      <c r="G1514">
        <v>3</v>
      </c>
      <c r="H1514" s="1" t="s">
        <v>14</v>
      </c>
      <c r="I1514" s="1" t="s">
        <v>15</v>
      </c>
      <c r="J1514" s="12">
        <v>45777</v>
      </c>
      <c r="K1514">
        <v>0</v>
      </c>
      <c r="L1514" s="1">
        <f t="shared" si="92"/>
        <v>7.1999999999999993</v>
      </c>
      <c r="M1514" s="1" t="str">
        <f t="shared" si="93"/>
        <v/>
      </c>
      <c r="N1514" s="2">
        <f t="shared" si="94"/>
        <v>45748</v>
      </c>
      <c r="O1514" t="str">
        <f t="shared" si="95"/>
        <v>mačka</v>
      </c>
    </row>
    <row r="1515" spans="1:15" x14ac:dyDescent="0.25">
      <c r="A1515">
        <v>9022</v>
      </c>
      <c r="B1515" s="11">
        <v>4061011223346</v>
      </c>
      <c r="C1515" s="1" t="s">
        <v>25</v>
      </c>
      <c r="D1515" s="1" t="s">
        <v>26</v>
      </c>
      <c r="E1515" s="1" t="s">
        <v>27</v>
      </c>
      <c r="F1515">
        <v>19.600000000000001</v>
      </c>
      <c r="G1515">
        <v>1</v>
      </c>
      <c r="H1515" s="1" t="s">
        <v>14</v>
      </c>
      <c r="I1515" s="1" t="s">
        <v>15</v>
      </c>
      <c r="J1515" s="12">
        <v>45777</v>
      </c>
      <c r="K1515">
        <v>0</v>
      </c>
      <c r="L1515" s="1">
        <f t="shared" si="92"/>
        <v>19.600000000000001</v>
      </c>
      <c r="M1515" s="1" t="str">
        <f t="shared" si="93"/>
        <v/>
      </c>
      <c r="N1515" s="2">
        <f t="shared" si="94"/>
        <v>45748</v>
      </c>
      <c r="O1515" t="str">
        <f t="shared" si="95"/>
        <v>pes</v>
      </c>
    </row>
    <row r="1516" spans="1:15" hidden="1" x14ac:dyDescent="0.25">
      <c r="A1516">
        <v>9023</v>
      </c>
      <c r="B1516" s="11">
        <v>4026677889902</v>
      </c>
      <c r="C1516" s="1" t="s">
        <v>52</v>
      </c>
      <c r="D1516" s="1" t="s">
        <v>53</v>
      </c>
      <c r="E1516" s="1" t="s">
        <v>54</v>
      </c>
      <c r="F1516">
        <v>7.6</v>
      </c>
      <c r="G1516">
        <v>1</v>
      </c>
      <c r="H1516" s="1" t="s">
        <v>14</v>
      </c>
      <c r="I1516" s="1" t="s">
        <v>15</v>
      </c>
      <c r="J1516" s="12">
        <v>45777</v>
      </c>
      <c r="K1516">
        <v>0</v>
      </c>
      <c r="L1516" s="1">
        <f t="shared" si="92"/>
        <v>7.6</v>
      </c>
      <c r="M1516" s="1" t="str">
        <f t="shared" si="93"/>
        <v/>
      </c>
      <c r="N1516" s="2">
        <f t="shared" si="94"/>
        <v>45748</v>
      </c>
      <c r="O1516" t="str">
        <f t="shared" si="95"/>
        <v>iné</v>
      </c>
    </row>
    <row r="1517" spans="1:15" x14ac:dyDescent="0.25">
      <c r="A1517">
        <v>9024</v>
      </c>
      <c r="B1517" s="11">
        <v>4028899001126</v>
      </c>
      <c r="C1517" s="1" t="s">
        <v>16</v>
      </c>
      <c r="D1517" s="1" t="s">
        <v>12</v>
      </c>
      <c r="E1517" s="1" t="s">
        <v>17</v>
      </c>
      <c r="F1517">
        <v>2.8</v>
      </c>
      <c r="G1517">
        <v>4</v>
      </c>
      <c r="H1517" s="1" t="s">
        <v>14</v>
      </c>
      <c r="I1517" s="1" t="s">
        <v>15</v>
      </c>
      <c r="J1517" s="12">
        <v>45777</v>
      </c>
      <c r="K1517">
        <v>0</v>
      </c>
      <c r="L1517" s="1">
        <f t="shared" si="92"/>
        <v>11.2</v>
      </c>
      <c r="M1517" s="1" t="str">
        <f t="shared" si="93"/>
        <v/>
      </c>
      <c r="N1517" s="2">
        <f t="shared" si="94"/>
        <v>45748</v>
      </c>
      <c r="O1517" t="str">
        <f t="shared" si="95"/>
        <v>pes</v>
      </c>
    </row>
    <row r="1518" spans="1:15" x14ac:dyDescent="0.25">
      <c r="A1518">
        <v>9025</v>
      </c>
      <c r="B1518" s="11">
        <v>4013456789017</v>
      </c>
      <c r="C1518" s="1" t="s">
        <v>11</v>
      </c>
      <c r="D1518" s="1" t="s">
        <v>12</v>
      </c>
      <c r="E1518" s="1" t="s">
        <v>13</v>
      </c>
      <c r="F1518">
        <v>6</v>
      </c>
      <c r="G1518">
        <v>1</v>
      </c>
      <c r="H1518" s="1" t="s">
        <v>14</v>
      </c>
      <c r="I1518" s="1" t="s">
        <v>15</v>
      </c>
      <c r="J1518" s="12">
        <v>45777</v>
      </c>
      <c r="K1518">
        <v>0</v>
      </c>
      <c r="L1518" s="1">
        <f t="shared" si="92"/>
        <v>6</v>
      </c>
      <c r="M1518" s="1" t="str">
        <f t="shared" si="93"/>
        <v/>
      </c>
      <c r="N1518" s="2">
        <f t="shared" si="94"/>
        <v>45748</v>
      </c>
      <c r="O1518" t="str">
        <f t="shared" si="95"/>
        <v>pes</v>
      </c>
    </row>
    <row r="1519" spans="1:15" x14ac:dyDescent="0.25">
      <c r="A1519">
        <v>9026</v>
      </c>
      <c r="B1519" s="11">
        <v>4040123456795</v>
      </c>
      <c r="C1519" s="1" t="s">
        <v>20</v>
      </c>
      <c r="D1519" s="1" t="s">
        <v>21</v>
      </c>
      <c r="E1519" s="1" t="s">
        <v>22</v>
      </c>
      <c r="F1519">
        <v>8.8000000000000007</v>
      </c>
      <c r="G1519">
        <v>1</v>
      </c>
      <c r="H1519" s="1" t="s">
        <v>14</v>
      </c>
      <c r="I1519" s="1" t="s">
        <v>15</v>
      </c>
      <c r="J1519" s="12">
        <v>45777</v>
      </c>
      <c r="K1519">
        <v>0</v>
      </c>
      <c r="L1519" s="1">
        <f t="shared" si="92"/>
        <v>8.8000000000000007</v>
      </c>
      <c r="M1519" s="1" t="str">
        <f t="shared" si="93"/>
        <v/>
      </c>
      <c r="N1519" s="2">
        <f t="shared" si="94"/>
        <v>45748</v>
      </c>
      <c r="O1519" t="str">
        <f t="shared" si="95"/>
        <v>pes</v>
      </c>
    </row>
    <row r="1520" spans="1:15" hidden="1" x14ac:dyDescent="0.25">
      <c r="A1520">
        <v>9027</v>
      </c>
      <c r="B1520" s="11">
        <v>4010123456783</v>
      </c>
      <c r="C1520" s="1" t="s">
        <v>35</v>
      </c>
      <c r="D1520" s="1" t="s">
        <v>36</v>
      </c>
      <c r="E1520" s="1" t="s">
        <v>37</v>
      </c>
      <c r="F1520">
        <v>14</v>
      </c>
      <c r="G1520">
        <v>1</v>
      </c>
      <c r="H1520" s="1" t="s">
        <v>14</v>
      </c>
      <c r="I1520" s="1" t="s">
        <v>15</v>
      </c>
      <c r="J1520" s="12">
        <v>45777</v>
      </c>
      <c r="K1520">
        <v>0</v>
      </c>
      <c r="L1520" s="1">
        <f t="shared" si="92"/>
        <v>14</v>
      </c>
      <c r="M1520" s="1" t="str">
        <f t="shared" si="93"/>
        <v/>
      </c>
      <c r="N1520" s="2">
        <f t="shared" si="94"/>
        <v>45748</v>
      </c>
      <c r="O1520" t="str">
        <f t="shared" si="95"/>
        <v>mačka</v>
      </c>
    </row>
    <row r="1521" spans="1:15" x14ac:dyDescent="0.25">
      <c r="A1521">
        <v>9028</v>
      </c>
      <c r="B1521" s="11">
        <v>4063456789014</v>
      </c>
      <c r="C1521" s="1" t="s">
        <v>60</v>
      </c>
      <c r="D1521" s="1" t="s">
        <v>12</v>
      </c>
      <c r="E1521" s="1" t="s">
        <v>61</v>
      </c>
      <c r="F1521">
        <v>36</v>
      </c>
      <c r="G1521">
        <v>1</v>
      </c>
      <c r="H1521" s="1" t="s">
        <v>14</v>
      </c>
      <c r="I1521" s="1" t="s">
        <v>15</v>
      </c>
      <c r="J1521" s="12">
        <v>45777</v>
      </c>
      <c r="K1521">
        <v>0</v>
      </c>
      <c r="L1521" s="1">
        <f t="shared" si="92"/>
        <v>36</v>
      </c>
      <c r="M1521" s="1" t="str">
        <f t="shared" si="93"/>
        <v/>
      </c>
      <c r="N1521" s="2">
        <f t="shared" si="94"/>
        <v>45748</v>
      </c>
      <c r="O1521" t="str">
        <f t="shared" si="95"/>
        <v>pes</v>
      </c>
    </row>
    <row r="1522" spans="1:15" hidden="1" x14ac:dyDescent="0.25">
      <c r="A1522">
        <v>9029</v>
      </c>
      <c r="B1522" s="11">
        <v>4021234567894</v>
      </c>
      <c r="C1522" s="1" t="s">
        <v>79</v>
      </c>
      <c r="D1522" s="1" t="s">
        <v>36</v>
      </c>
      <c r="E1522" s="1" t="s">
        <v>69</v>
      </c>
      <c r="F1522">
        <v>8</v>
      </c>
      <c r="G1522">
        <v>1</v>
      </c>
      <c r="H1522" s="1" t="s">
        <v>14</v>
      </c>
      <c r="I1522" s="1" t="s">
        <v>15</v>
      </c>
      <c r="J1522" s="12">
        <v>45777</v>
      </c>
      <c r="K1522">
        <v>0</v>
      </c>
      <c r="L1522" s="1">
        <f t="shared" si="92"/>
        <v>8</v>
      </c>
      <c r="M1522" s="1" t="str">
        <f t="shared" si="93"/>
        <v/>
      </c>
      <c r="N1522" s="2">
        <f t="shared" si="94"/>
        <v>45748</v>
      </c>
      <c r="O1522" t="str">
        <f t="shared" si="95"/>
        <v>mačka</v>
      </c>
    </row>
    <row r="1523" spans="1:15" hidden="1" x14ac:dyDescent="0.25">
      <c r="A1523">
        <v>9030</v>
      </c>
      <c r="B1523" s="11">
        <v>4056789012345</v>
      </c>
      <c r="C1523" s="1" t="s">
        <v>47</v>
      </c>
      <c r="D1523" s="1" t="s">
        <v>29</v>
      </c>
      <c r="E1523" s="1" t="s">
        <v>37</v>
      </c>
      <c r="F1523">
        <v>2.4</v>
      </c>
      <c r="G1523">
        <v>2</v>
      </c>
      <c r="H1523" s="1" t="s">
        <v>14</v>
      </c>
      <c r="I1523" s="1" t="s">
        <v>15</v>
      </c>
      <c r="J1523" s="12">
        <v>45777</v>
      </c>
      <c r="K1523">
        <v>0</v>
      </c>
      <c r="L1523" s="1">
        <f t="shared" si="92"/>
        <v>4.8</v>
      </c>
      <c r="M1523" s="1" t="str">
        <f t="shared" si="93"/>
        <v/>
      </c>
      <c r="N1523" s="2">
        <f t="shared" si="94"/>
        <v>45748</v>
      </c>
      <c r="O1523" t="str">
        <f t="shared" si="95"/>
        <v>mačka</v>
      </c>
    </row>
    <row r="1524" spans="1:15" x14ac:dyDescent="0.25">
      <c r="A1524">
        <v>9031</v>
      </c>
      <c r="B1524" s="11">
        <v>4061011223346</v>
      </c>
      <c r="C1524" s="1" t="s">
        <v>25</v>
      </c>
      <c r="D1524" s="1" t="s">
        <v>26</v>
      </c>
      <c r="E1524" s="1" t="s">
        <v>27</v>
      </c>
      <c r="F1524">
        <v>19.600000000000001</v>
      </c>
      <c r="G1524">
        <v>1</v>
      </c>
      <c r="H1524" s="1" t="s">
        <v>14</v>
      </c>
      <c r="I1524" s="1" t="s">
        <v>15</v>
      </c>
      <c r="J1524" s="12">
        <v>45777</v>
      </c>
      <c r="K1524">
        <v>0</v>
      </c>
      <c r="L1524" s="1">
        <f t="shared" si="92"/>
        <v>19.600000000000001</v>
      </c>
      <c r="M1524" s="1" t="str">
        <f t="shared" si="93"/>
        <v/>
      </c>
      <c r="N1524" s="2">
        <f t="shared" si="94"/>
        <v>45748</v>
      </c>
      <c r="O1524" t="str">
        <f t="shared" si="95"/>
        <v>pes</v>
      </c>
    </row>
    <row r="1525" spans="1:15" hidden="1" x14ac:dyDescent="0.25">
      <c r="A1525">
        <v>9032</v>
      </c>
      <c r="B1525" s="11">
        <v>4026677889902</v>
      </c>
      <c r="C1525" s="1" t="s">
        <v>52</v>
      </c>
      <c r="D1525" s="1" t="s">
        <v>53</v>
      </c>
      <c r="E1525" s="1" t="s">
        <v>54</v>
      </c>
      <c r="F1525">
        <v>7.6</v>
      </c>
      <c r="G1525">
        <v>1</v>
      </c>
      <c r="H1525" s="1" t="s">
        <v>14</v>
      </c>
      <c r="I1525" s="1" t="s">
        <v>15</v>
      </c>
      <c r="J1525" s="12">
        <v>45777</v>
      </c>
      <c r="K1525">
        <v>0</v>
      </c>
      <c r="L1525" s="1">
        <f t="shared" si="92"/>
        <v>7.6</v>
      </c>
      <c r="M1525" s="1" t="str">
        <f t="shared" si="93"/>
        <v/>
      </c>
      <c r="N1525" s="2">
        <f t="shared" si="94"/>
        <v>45748</v>
      </c>
      <c r="O1525" t="str">
        <f t="shared" si="95"/>
        <v>iné</v>
      </c>
    </row>
    <row r="1526" spans="1:15" x14ac:dyDescent="0.25">
      <c r="A1526">
        <v>9033</v>
      </c>
      <c r="B1526" s="11">
        <v>4028899001126</v>
      </c>
      <c r="C1526" s="1" t="s">
        <v>16</v>
      </c>
      <c r="D1526" s="1" t="s">
        <v>12</v>
      </c>
      <c r="E1526" s="1" t="s">
        <v>17</v>
      </c>
      <c r="F1526">
        <v>2.8</v>
      </c>
      <c r="G1526">
        <v>3</v>
      </c>
      <c r="H1526" s="1" t="s">
        <v>14</v>
      </c>
      <c r="I1526" s="1" t="s">
        <v>15</v>
      </c>
      <c r="J1526" s="12">
        <v>45777</v>
      </c>
      <c r="K1526">
        <v>0</v>
      </c>
      <c r="L1526" s="1">
        <f t="shared" si="92"/>
        <v>8.3999999999999986</v>
      </c>
      <c r="M1526" s="1" t="str">
        <f t="shared" si="93"/>
        <v/>
      </c>
      <c r="N1526" s="2">
        <f t="shared" si="94"/>
        <v>45748</v>
      </c>
      <c r="O1526" t="str">
        <f t="shared" si="95"/>
        <v>pes</v>
      </c>
    </row>
    <row r="1527" spans="1:15" x14ac:dyDescent="0.25">
      <c r="A1527">
        <v>9034</v>
      </c>
      <c r="B1527" s="11">
        <v>4013456789017</v>
      </c>
      <c r="C1527" s="1" t="s">
        <v>11</v>
      </c>
      <c r="D1527" s="1" t="s">
        <v>12</v>
      </c>
      <c r="E1527" s="1" t="s">
        <v>13</v>
      </c>
      <c r="F1527">
        <v>6</v>
      </c>
      <c r="G1527">
        <v>1</v>
      </c>
      <c r="H1527" s="1" t="s">
        <v>14</v>
      </c>
      <c r="I1527" s="1" t="s">
        <v>15</v>
      </c>
      <c r="J1527" s="12">
        <v>45777</v>
      </c>
      <c r="K1527">
        <v>0</v>
      </c>
      <c r="L1527" s="1">
        <f t="shared" si="92"/>
        <v>6</v>
      </c>
      <c r="M1527" s="1" t="str">
        <f t="shared" si="93"/>
        <v/>
      </c>
      <c r="N1527" s="2">
        <f t="shared" si="94"/>
        <v>45748</v>
      </c>
      <c r="O1527" t="str">
        <f t="shared" si="95"/>
        <v>pes</v>
      </c>
    </row>
    <row r="1528" spans="1:15" x14ac:dyDescent="0.25">
      <c r="A1528">
        <v>9035</v>
      </c>
      <c r="B1528" s="11">
        <v>4040123456795</v>
      </c>
      <c r="C1528" s="1" t="s">
        <v>20</v>
      </c>
      <c r="D1528" s="1" t="s">
        <v>21</v>
      </c>
      <c r="E1528" s="1" t="s">
        <v>22</v>
      </c>
      <c r="F1528">
        <v>8.8000000000000007</v>
      </c>
      <c r="G1528">
        <v>1</v>
      </c>
      <c r="H1528" s="1" t="s">
        <v>14</v>
      </c>
      <c r="I1528" s="1" t="s">
        <v>15</v>
      </c>
      <c r="J1528" s="12">
        <v>45777</v>
      </c>
      <c r="K1528">
        <v>0</v>
      </c>
      <c r="L1528" s="1">
        <f t="shared" si="92"/>
        <v>8.8000000000000007</v>
      </c>
      <c r="M1528" s="1" t="str">
        <f t="shared" si="93"/>
        <v/>
      </c>
      <c r="N1528" s="2">
        <f t="shared" si="94"/>
        <v>45748</v>
      </c>
      <c r="O1528" t="str">
        <f t="shared" si="95"/>
        <v>pes</v>
      </c>
    </row>
    <row r="1529" spans="1:15" hidden="1" x14ac:dyDescent="0.25">
      <c r="A1529">
        <v>9036</v>
      </c>
      <c r="B1529" s="11">
        <v>4010123456783</v>
      </c>
      <c r="C1529" s="1" t="s">
        <v>35</v>
      </c>
      <c r="D1529" s="1" t="s">
        <v>36</v>
      </c>
      <c r="E1529" s="1" t="s">
        <v>37</v>
      </c>
      <c r="F1529">
        <v>14</v>
      </c>
      <c r="G1529">
        <v>1</v>
      </c>
      <c r="H1529" s="1" t="s">
        <v>14</v>
      </c>
      <c r="I1529" s="1" t="s">
        <v>15</v>
      </c>
      <c r="J1529" s="12">
        <v>45777</v>
      </c>
      <c r="K1529">
        <v>0</v>
      </c>
      <c r="L1529" s="1">
        <f t="shared" si="92"/>
        <v>14</v>
      </c>
      <c r="M1529" s="1" t="str">
        <f t="shared" si="93"/>
        <v/>
      </c>
      <c r="N1529" s="2">
        <f t="shared" si="94"/>
        <v>45748</v>
      </c>
      <c r="O1529" t="str">
        <f t="shared" si="95"/>
        <v>mačka</v>
      </c>
    </row>
    <row r="1530" spans="1:15" x14ac:dyDescent="0.25">
      <c r="A1530">
        <v>9037</v>
      </c>
      <c r="B1530" s="11">
        <v>4063456789014</v>
      </c>
      <c r="C1530" s="1" t="s">
        <v>60</v>
      </c>
      <c r="D1530" s="1" t="s">
        <v>12</v>
      </c>
      <c r="E1530" s="1" t="s">
        <v>61</v>
      </c>
      <c r="F1530">
        <v>36</v>
      </c>
      <c r="G1530">
        <v>1</v>
      </c>
      <c r="H1530" s="1" t="s">
        <v>14</v>
      </c>
      <c r="I1530" s="1" t="s">
        <v>15</v>
      </c>
      <c r="J1530" s="12">
        <v>45777</v>
      </c>
      <c r="K1530">
        <v>0</v>
      </c>
      <c r="L1530" s="1">
        <f t="shared" si="92"/>
        <v>36</v>
      </c>
      <c r="M1530" s="1" t="str">
        <f t="shared" si="93"/>
        <v/>
      </c>
      <c r="N1530" s="2">
        <f t="shared" si="94"/>
        <v>45748</v>
      </c>
      <c r="O1530" t="str">
        <f t="shared" si="95"/>
        <v>pes</v>
      </c>
    </row>
    <row r="1531" spans="1:15" hidden="1" x14ac:dyDescent="0.25">
      <c r="A1531">
        <v>9038</v>
      </c>
      <c r="B1531" s="11">
        <v>4021234567894</v>
      </c>
      <c r="C1531" s="1" t="s">
        <v>79</v>
      </c>
      <c r="D1531" s="1" t="s">
        <v>36</v>
      </c>
      <c r="E1531" s="1" t="s">
        <v>69</v>
      </c>
      <c r="F1531">
        <v>8</v>
      </c>
      <c r="G1531">
        <v>1</v>
      </c>
      <c r="H1531" s="1" t="s">
        <v>23</v>
      </c>
      <c r="I1531" s="1" t="s">
        <v>255</v>
      </c>
      <c r="J1531" s="12">
        <v>45777</v>
      </c>
      <c r="K1531">
        <v>0</v>
      </c>
      <c r="L1531" s="1">
        <f t="shared" si="92"/>
        <v>8</v>
      </c>
      <c r="M1531" s="1">
        <f t="shared" si="93"/>
        <v>5</v>
      </c>
      <c r="N1531" s="2">
        <f t="shared" si="94"/>
        <v>45748</v>
      </c>
      <c r="O1531" t="str">
        <f t="shared" si="95"/>
        <v>mačka</v>
      </c>
    </row>
    <row r="1532" spans="1:15" hidden="1" x14ac:dyDescent="0.25">
      <c r="A1532">
        <v>9039</v>
      </c>
      <c r="B1532" s="11">
        <v>4056789012345</v>
      </c>
      <c r="C1532" s="1" t="s">
        <v>47</v>
      </c>
      <c r="D1532" s="1" t="s">
        <v>29</v>
      </c>
      <c r="E1532" s="1" t="s">
        <v>37</v>
      </c>
      <c r="F1532">
        <v>2.4</v>
      </c>
      <c r="G1532">
        <v>2</v>
      </c>
      <c r="H1532" s="1" t="s">
        <v>14</v>
      </c>
      <c r="I1532" s="1" t="s">
        <v>15</v>
      </c>
      <c r="J1532" s="12">
        <v>45777</v>
      </c>
      <c r="K1532">
        <v>0</v>
      </c>
      <c r="L1532" s="1">
        <f t="shared" si="92"/>
        <v>4.8</v>
      </c>
      <c r="M1532" s="1" t="str">
        <f t="shared" si="93"/>
        <v/>
      </c>
      <c r="N1532" s="2">
        <f t="shared" si="94"/>
        <v>45748</v>
      </c>
      <c r="O1532" t="str">
        <f t="shared" si="95"/>
        <v>mačka</v>
      </c>
    </row>
    <row r="1533" spans="1:15" x14ac:dyDescent="0.25">
      <c r="A1533">
        <v>9040</v>
      </c>
      <c r="B1533" s="11">
        <v>4061011223346</v>
      </c>
      <c r="C1533" s="1" t="s">
        <v>25</v>
      </c>
      <c r="D1533" s="1" t="s">
        <v>26</v>
      </c>
      <c r="E1533" s="1" t="s">
        <v>27</v>
      </c>
      <c r="F1533">
        <v>19.600000000000001</v>
      </c>
      <c r="G1533">
        <v>1</v>
      </c>
      <c r="H1533" s="1" t="s">
        <v>14</v>
      </c>
      <c r="I1533" s="1" t="s">
        <v>15</v>
      </c>
      <c r="J1533" s="12">
        <v>45777</v>
      </c>
      <c r="K1533">
        <v>0</v>
      </c>
      <c r="L1533" s="1">
        <f t="shared" si="92"/>
        <v>19.600000000000001</v>
      </c>
      <c r="M1533" s="1" t="str">
        <f t="shared" si="93"/>
        <v/>
      </c>
      <c r="N1533" s="2">
        <f t="shared" si="94"/>
        <v>45748</v>
      </c>
      <c r="O1533" t="str">
        <f t="shared" si="95"/>
        <v>pes</v>
      </c>
    </row>
    <row r="1534" spans="1:15" hidden="1" x14ac:dyDescent="0.25">
      <c r="A1534">
        <v>9041</v>
      </c>
      <c r="B1534" s="11">
        <v>4026677889902</v>
      </c>
      <c r="C1534" s="1" t="s">
        <v>52</v>
      </c>
      <c r="D1534" s="1" t="s">
        <v>53</v>
      </c>
      <c r="E1534" s="1" t="s">
        <v>54</v>
      </c>
      <c r="F1534">
        <v>7.6</v>
      </c>
      <c r="G1534">
        <v>1</v>
      </c>
      <c r="H1534" s="1" t="s">
        <v>14</v>
      </c>
      <c r="I1534" s="1" t="s">
        <v>15</v>
      </c>
      <c r="J1534" s="12">
        <v>45777</v>
      </c>
      <c r="K1534">
        <v>0</v>
      </c>
      <c r="L1534" s="1">
        <f t="shared" si="92"/>
        <v>7.6</v>
      </c>
      <c r="M1534" s="1" t="str">
        <f t="shared" si="93"/>
        <v/>
      </c>
      <c r="N1534" s="2">
        <f t="shared" si="94"/>
        <v>45748</v>
      </c>
      <c r="O1534" t="str">
        <f t="shared" si="95"/>
        <v>iné</v>
      </c>
    </row>
    <row r="1535" spans="1:15" x14ac:dyDescent="0.25">
      <c r="A1535">
        <v>9042</v>
      </c>
      <c r="B1535" s="11">
        <v>4028899001126</v>
      </c>
      <c r="C1535" s="1" t="s">
        <v>16</v>
      </c>
      <c r="D1535" s="1" t="s">
        <v>12</v>
      </c>
      <c r="E1535" s="1" t="s">
        <v>17</v>
      </c>
      <c r="F1535">
        <v>2.8</v>
      </c>
      <c r="G1535">
        <v>5</v>
      </c>
      <c r="H1535" s="1" t="s">
        <v>14</v>
      </c>
      <c r="I1535" s="1" t="s">
        <v>15</v>
      </c>
      <c r="J1535" s="12">
        <v>45777</v>
      </c>
      <c r="K1535">
        <v>0</v>
      </c>
      <c r="L1535" s="1">
        <f t="shared" si="92"/>
        <v>14</v>
      </c>
      <c r="M1535" s="1" t="str">
        <f t="shared" si="93"/>
        <v/>
      </c>
      <c r="N1535" s="2">
        <f t="shared" si="94"/>
        <v>45748</v>
      </c>
      <c r="O1535" t="str">
        <f t="shared" si="95"/>
        <v>pes</v>
      </c>
    </row>
    <row r="1536" spans="1:15" x14ac:dyDescent="0.25">
      <c r="A1536">
        <v>9043</v>
      </c>
      <c r="B1536" s="11">
        <v>4013456789017</v>
      </c>
      <c r="C1536" s="1" t="s">
        <v>11</v>
      </c>
      <c r="D1536" s="1" t="s">
        <v>12</v>
      </c>
      <c r="E1536" s="1" t="s">
        <v>13</v>
      </c>
      <c r="F1536">
        <v>6</v>
      </c>
      <c r="G1536">
        <v>1</v>
      </c>
      <c r="H1536" s="1" t="s">
        <v>14</v>
      </c>
      <c r="I1536" s="1" t="s">
        <v>15</v>
      </c>
      <c r="J1536" s="12">
        <v>45777</v>
      </c>
      <c r="K1536">
        <v>0</v>
      </c>
      <c r="L1536" s="1">
        <f t="shared" si="92"/>
        <v>6</v>
      </c>
      <c r="M1536" s="1" t="str">
        <f t="shared" si="93"/>
        <v/>
      </c>
      <c r="N1536" s="2">
        <f t="shared" si="94"/>
        <v>45748</v>
      </c>
      <c r="O1536" t="str">
        <f t="shared" si="95"/>
        <v>pes</v>
      </c>
    </row>
    <row r="1537" spans="1:15" x14ac:dyDescent="0.25">
      <c r="A1537">
        <v>9044</v>
      </c>
      <c r="B1537" s="11">
        <v>4040123456795</v>
      </c>
      <c r="C1537" s="1" t="s">
        <v>20</v>
      </c>
      <c r="D1537" s="1" t="s">
        <v>21</v>
      </c>
      <c r="E1537" s="1" t="s">
        <v>22</v>
      </c>
      <c r="F1537">
        <v>8.8000000000000007</v>
      </c>
      <c r="G1537">
        <v>1</v>
      </c>
      <c r="H1537" s="1" t="s">
        <v>14</v>
      </c>
      <c r="I1537" s="1" t="s">
        <v>15</v>
      </c>
      <c r="J1537" s="12">
        <v>45777</v>
      </c>
      <c r="K1537">
        <v>0</v>
      </c>
      <c r="L1537" s="1">
        <f t="shared" si="92"/>
        <v>8.8000000000000007</v>
      </c>
      <c r="M1537" s="1" t="str">
        <f t="shared" si="93"/>
        <v/>
      </c>
      <c r="N1537" s="2">
        <f t="shared" si="94"/>
        <v>45748</v>
      </c>
      <c r="O1537" t="str">
        <f t="shared" si="95"/>
        <v>pes</v>
      </c>
    </row>
    <row r="1538" spans="1:15" hidden="1" x14ac:dyDescent="0.25">
      <c r="A1538">
        <v>9045</v>
      </c>
      <c r="B1538" s="11">
        <v>4010123456783</v>
      </c>
      <c r="C1538" s="1" t="s">
        <v>35</v>
      </c>
      <c r="D1538" s="1" t="s">
        <v>36</v>
      </c>
      <c r="E1538" s="1" t="s">
        <v>37</v>
      </c>
      <c r="F1538">
        <v>14</v>
      </c>
      <c r="G1538">
        <v>1</v>
      </c>
      <c r="H1538" s="1" t="s">
        <v>14</v>
      </c>
      <c r="I1538" s="1" t="s">
        <v>15</v>
      </c>
      <c r="J1538" s="12">
        <v>45777</v>
      </c>
      <c r="K1538">
        <v>0</v>
      </c>
      <c r="L1538" s="1">
        <f t="shared" ref="L1538:L1601" si="96">F1538*G1538</f>
        <v>14</v>
      </c>
      <c r="M1538" s="1" t="str">
        <f t="shared" ref="M1538:M1601" si="97">IF(H1538="NULL", "",VALUE(H1538))</f>
        <v/>
      </c>
      <c r="N1538" s="2">
        <f t="shared" ref="N1538:N1601" si="98">DATE(YEAR(J1538),MONTH(J1538),1)</f>
        <v>45748</v>
      </c>
      <c r="O1538" t="str">
        <f t="shared" ref="O1538:O1601" si="99">IF(ISNUMBER(SEARCH("Mačky",D1538)),"mačka",IF(ISNUMBER(SEARCH("Psy",D1538)),"pes","iné"))</f>
        <v>mačka</v>
      </c>
    </row>
    <row r="1539" spans="1:15" x14ac:dyDescent="0.25">
      <c r="A1539">
        <v>9046</v>
      </c>
      <c r="B1539" s="11">
        <v>4063456789014</v>
      </c>
      <c r="C1539" s="1" t="s">
        <v>60</v>
      </c>
      <c r="D1539" s="1" t="s">
        <v>12</v>
      </c>
      <c r="E1539" s="1" t="s">
        <v>61</v>
      </c>
      <c r="F1539">
        <v>36</v>
      </c>
      <c r="G1539">
        <v>1</v>
      </c>
      <c r="H1539" s="1" t="s">
        <v>14</v>
      </c>
      <c r="I1539" s="1" t="s">
        <v>15</v>
      </c>
      <c r="J1539" s="12">
        <v>45777</v>
      </c>
      <c r="K1539">
        <v>0</v>
      </c>
      <c r="L1539" s="1">
        <f t="shared" si="96"/>
        <v>36</v>
      </c>
      <c r="M1539" s="1" t="str">
        <f t="shared" si="97"/>
        <v/>
      </c>
      <c r="N1539" s="2">
        <f t="shared" si="98"/>
        <v>45748</v>
      </c>
      <c r="O1539" t="str">
        <f t="shared" si="99"/>
        <v>pes</v>
      </c>
    </row>
    <row r="1540" spans="1:15" hidden="1" x14ac:dyDescent="0.25">
      <c r="A1540">
        <v>9047</v>
      </c>
      <c r="B1540" s="11">
        <v>4021234567894</v>
      </c>
      <c r="C1540" s="1" t="s">
        <v>79</v>
      </c>
      <c r="D1540" s="1" t="s">
        <v>36</v>
      </c>
      <c r="E1540" s="1" t="s">
        <v>69</v>
      </c>
      <c r="F1540">
        <v>8</v>
      </c>
      <c r="G1540">
        <v>1</v>
      </c>
      <c r="H1540" s="1" t="s">
        <v>14</v>
      </c>
      <c r="I1540" s="1" t="s">
        <v>15</v>
      </c>
      <c r="J1540" s="12">
        <v>45777</v>
      </c>
      <c r="K1540">
        <v>0</v>
      </c>
      <c r="L1540" s="1">
        <f t="shared" si="96"/>
        <v>8</v>
      </c>
      <c r="M1540" s="1" t="str">
        <f t="shared" si="97"/>
        <v/>
      </c>
      <c r="N1540" s="2">
        <f t="shared" si="98"/>
        <v>45748</v>
      </c>
      <c r="O1540" t="str">
        <f t="shared" si="99"/>
        <v>mačka</v>
      </c>
    </row>
    <row r="1541" spans="1:15" hidden="1" x14ac:dyDescent="0.25">
      <c r="A1541">
        <v>9048</v>
      </c>
      <c r="B1541" s="11">
        <v>4056789012345</v>
      </c>
      <c r="C1541" s="1" t="s">
        <v>47</v>
      </c>
      <c r="D1541" s="1" t="s">
        <v>29</v>
      </c>
      <c r="E1541" s="1" t="s">
        <v>37</v>
      </c>
      <c r="F1541">
        <v>2.4</v>
      </c>
      <c r="G1541">
        <v>2</v>
      </c>
      <c r="H1541" s="1" t="s">
        <v>14</v>
      </c>
      <c r="I1541" s="1" t="s">
        <v>15</v>
      </c>
      <c r="J1541" s="12">
        <v>45777</v>
      </c>
      <c r="K1541">
        <v>0</v>
      </c>
      <c r="L1541" s="1">
        <f t="shared" si="96"/>
        <v>4.8</v>
      </c>
      <c r="M1541" s="1" t="str">
        <f t="shared" si="97"/>
        <v/>
      </c>
      <c r="N1541" s="2">
        <f t="shared" si="98"/>
        <v>45748</v>
      </c>
      <c r="O1541" t="str">
        <f t="shared" si="99"/>
        <v>mačka</v>
      </c>
    </row>
    <row r="1542" spans="1:15" x14ac:dyDescent="0.25">
      <c r="A1542">
        <v>9049</v>
      </c>
      <c r="B1542" s="11">
        <v>4061011223346</v>
      </c>
      <c r="C1542" s="1" t="s">
        <v>25</v>
      </c>
      <c r="D1542" s="1" t="s">
        <v>26</v>
      </c>
      <c r="E1542" s="1" t="s">
        <v>27</v>
      </c>
      <c r="F1542">
        <v>19.600000000000001</v>
      </c>
      <c r="G1542">
        <v>1</v>
      </c>
      <c r="H1542" s="1" t="s">
        <v>14</v>
      </c>
      <c r="I1542" s="1" t="s">
        <v>15</v>
      </c>
      <c r="J1542" s="12">
        <v>45777</v>
      </c>
      <c r="K1542">
        <v>0</v>
      </c>
      <c r="L1542" s="1">
        <f t="shared" si="96"/>
        <v>19.600000000000001</v>
      </c>
      <c r="M1542" s="1" t="str">
        <f t="shared" si="97"/>
        <v/>
      </c>
      <c r="N1542" s="2">
        <f t="shared" si="98"/>
        <v>45748</v>
      </c>
      <c r="O1542" t="str">
        <f t="shared" si="99"/>
        <v>pes</v>
      </c>
    </row>
    <row r="1543" spans="1:15" hidden="1" x14ac:dyDescent="0.25">
      <c r="A1543">
        <v>9050</v>
      </c>
      <c r="B1543" s="11">
        <v>4026677889902</v>
      </c>
      <c r="C1543" s="1" t="s">
        <v>52</v>
      </c>
      <c r="D1543" s="1" t="s">
        <v>53</v>
      </c>
      <c r="E1543" s="1" t="s">
        <v>54</v>
      </c>
      <c r="F1543">
        <v>7.6</v>
      </c>
      <c r="G1543">
        <v>1</v>
      </c>
      <c r="H1543" s="1" t="s">
        <v>14</v>
      </c>
      <c r="I1543" s="1" t="s">
        <v>15</v>
      </c>
      <c r="J1543" s="12">
        <v>45777</v>
      </c>
      <c r="K1543">
        <v>0</v>
      </c>
      <c r="L1543" s="1">
        <f t="shared" si="96"/>
        <v>7.6</v>
      </c>
      <c r="M1543" s="1" t="str">
        <f t="shared" si="97"/>
        <v/>
      </c>
      <c r="N1543" s="2">
        <f t="shared" si="98"/>
        <v>45748</v>
      </c>
      <c r="O1543" t="str">
        <f t="shared" si="99"/>
        <v>iné</v>
      </c>
    </row>
    <row r="1544" spans="1:15" x14ac:dyDescent="0.25">
      <c r="A1544">
        <v>9051</v>
      </c>
      <c r="B1544" s="11">
        <v>4028899001126</v>
      </c>
      <c r="C1544" s="1" t="s">
        <v>16</v>
      </c>
      <c r="D1544" s="1" t="s">
        <v>12</v>
      </c>
      <c r="E1544" s="1" t="s">
        <v>17</v>
      </c>
      <c r="F1544">
        <v>2.8</v>
      </c>
      <c r="G1544">
        <v>4</v>
      </c>
      <c r="H1544" s="1" t="s">
        <v>14</v>
      </c>
      <c r="I1544" s="1" t="s">
        <v>15</v>
      </c>
      <c r="J1544" s="12">
        <v>45777</v>
      </c>
      <c r="K1544">
        <v>0</v>
      </c>
      <c r="L1544" s="1">
        <f t="shared" si="96"/>
        <v>11.2</v>
      </c>
      <c r="M1544" s="1" t="str">
        <f t="shared" si="97"/>
        <v/>
      </c>
      <c r="N1544" s="2">
        <f t="shared" si="98"/>
        <v>45748</v>
      </c>
      <c r="O1544" t="str">
        <f t="shared" si="99"/>
        <v>pes</v>
      </c>
    </row>
    <row r="1545" spans="1:15" x14ac:dyDescent="0.25">
      <c r="A1545">
        <v>9052</v>
      </c>
      <c r="B1545" s="11">
        <v>4013456789017</v>
      </c>
      <c r="C1545" s="1" t="s">
        <v>11</v>
      </c>
      <c r="D1545" s="1" t="s">
        <v>12</v>
      </c>
      <c r="E1545" s="1" t="s">
        <v>13</v>
      </c>
      <c r="F1545">
        <v>6</v>
      </c>
      <c r="G1545">
        <v>1</v>
      </c>
      <c r="H1545" s="1" t="s">
        <v>14</v>
      </c>
      <c r="I1545" s="1" t="s">
        <v>15</v>
      </c>
      <c r="J1545" s="12">
        <v>45777</v>
      </c>
      <c r="K1545">
        <v>0</v>
      </c>
      <c r="L1545" s="1">
        <f t="shared" si="96"/>
        <v>6</v>
      </c>
      <c r="M1545" s="1" t="str">
        <f t="shared" si="97"/>
        <v/>
      </c>
      <c r="N1545" s="2">
        <f t="shared" si="98"/>
        <v>45748</v>
      </c>
      <c r="O1545" t="str">
        <f t="shared" si="99"/>
        <v>pes</v>
      </c>
    </row>
    <row r="1546" spans="1:15" x14ac:dyDescent="0.25">
      <c r="A1546">
        <v>9053</v>
      </c>
      <c r="B1546" s="11">
        <v>4040123456795</v>
      </c>
      <c r="C1546" s="1" t="s">
        <v>20</v>
      </c>
      <c r="D1546" s="1" t="s">
        <v>21</v>
      </c>
      <c r="E1546" s="1" t="s">
        <v>22</v>
      </c>
      <c r="F1546">
        <v>8.8000000000000007</v>
      </c>
      <c r="G1546">
        <v>1</v>
      </c>
      <c r="H1546" s="1" t="s">
        <v>14</v>
      </c>
      <c r="I1546" s="1" t="s">
        <v>15</v>
      </c>
      <c r="J1546" s="12">
        <v>45777</v>
      </c>
      <c r="K1546">
        <v>0</v>
      </c>
      <c r="L1546" s="1">
        <f t="shared" si="96"/>
        <v>8.8000000000000007</v>
      </c>
      <c r="M1546" s="1" t="str">
        <f t="shared" si="97"/>
        <v/>
      </c>
      <c r="N1546" s="2">
        <f t="shared" si="98"/>
        <v>45748</v>
      </c>
      <c r="O1546" t="str">
        <f t="shared" si="99"/>
        <v>pes</v>
      </c>
    </row>
    <row r="1547" spans="1:15" hidden="1" x14ac:dyDescent="0.25">
      <c r="A1547">
        <v>9054</v>
      </c>
      <c r="B1547" s="11">
        <v>4010123456783</v>
      </c>
      <c r="C1547" s="1" t="s">
        <v>35</v>
      </c>
      <c r="D1547" s="1" t="s">
        <v>36</v>
      </c>
      <c r="E1547" s="1" t="s">
        <v>37</v>
      </c>
      <c r="F1547">
        <v>14</v>
      </c>
      <c r="G1547">
        <v>1</v>
      </c>
      <c r="H1547" s="1" t="s">
        <v>14</v>
      </c>
      <c r="I1547" s="1" t="s">
        <v>15</v>
      </c>
      <c r="J1547" s="12">
        <v>45777</v>
      </c>
      <c r="K1547">
        <v>0</v>
      </c>
      <c r="L1547" s="1">
        <f t="shared" si="96"/>
        <v>14</v>
      </c>
      <c r="M1547" s="1" t="str">
        <f t="shared" si="97"/>
        <v/>
      </c>
      <c r="N1547" s="2">
        <f t="shared" si="98"/>
        <v>45748</v>
      </c>
      <c r="O1547" t="str">
        <f t="shared" si="99"/>
        <v>mačka</v>
      </c>
    </row>
    <row r="1548" spans="1:15" x14ac:dyDescent="0.25">
      <c r="A1548">
        <v>9055</v>
      </c>
      <c r="B1548" s="11">
        <v>4063456789014</v>
      </c>
      <c r="C1548" s="1" t="s">
        <v>60</v>
      </c>
      <c r="D1548" s="1" t="s">
        <v>12</v>
      </c>
      <c r="E1548" s="1" t="s">
        <v>61</v>
      </c>
      <c r="F1548">
        <v>36</v>
      </c>
      <c r="G1548">
        <v>1</v>
      </c>
      <c r="H1548" s="1" t="s">
        <v>14</v>
      </c>
      <c r="I1548" s="1" t="s">
        <v>15</v>
      </c>
      <c r="J1548" s="12">
        <v>45777</v>
      </c>
      <c r="K1548">
        <v>0</v>
      </c>
      <c r="L1548" s="1">
        <f t="shared" si="96"/>
        <v>36</v>
      </c>
      <c r="M1548" s="1" t="str">
        <f t="shared" si="97"/>
        <v/>
      </c>
      <c r="N1548" s="2">
        <f t="shared" si="98"/>
        <v>45748</v>
      </c>
      <c r="O1548" t="str">
        <f t="shared" si="99"/>
        <v>pes</v>
      </c>
    </row>
    <row r="1549" spans="1:15" hidden="1" x14ac:dyDescent="0.25">
      <c r="A1549">
        <v>9056</v>
      </c>
      <c r="B1549" s="11">
        <v>4021234567894</v>
      </c>
      <c r="C1549" s="1" t="s">
        <v>79</v>
      </c>
      <c r="D1549" s="1" t="s">
        <v>36</v>
      </c>
      <c r="E1549" s="1" t="s">
        <v>69</v>
      </c>
      <c r="F1549">
        <v>8</v>
      </c>
      <c r="G1549">
        <v>1</v>
      </c>
      <c r="H1549" s="1" t="s">
        <v>18</v>
      </c>
      <c r="I1549" s="1" t="s">
        <v>256</v>
      </c>
      <c r="J1549" s="12">
        <v>45777</v>
      </c>
      <c r="K1549">
        <v>0</v>
      </c>
      <c r="L1549" s="1">
        <f t="shared" si="96"/>
        <v>8</v>
      </c>
      <c r="M1549" s="1">
        <f t="shared" si="97"/>
        <v>4</v>
      </c>
      <c r="N1549" s="2">
        <f t="shared" si="98"/>
        <v>45748</v>
      </c>
      <c r="O1549" t="str">
        <f t="shared" si="99"/>
        <v>mačka</v>
      </c>
    </row>
    <row r="1550" spans="1:15" hidden="1" x14ac:dyDescent="0.25">
      <c r="A1550">
        <v>9057</v>
      </c>
      <c r="B1550" s="11">
        <v>4056789012345</v>
      </c>
      <c r="C1550" s="1" t="s">
        <v>47</v>
      </c>
      <c r="D1550" s="1" t="s">
        <v>29</v>
      </c>
      <c r="E1550" s="1" t="s">
        <v>37</v>
      </c>
      <c r="F1550">
        <v>2.4</v>
      </c>
      <c r="G1550">
        <v>2</v>
      </c>
      <c r="H1550" s="1" t="s">
        <v>14</v>
      </c>
      <c r="I1550" s="1" t="s">
        <v>15</v>
      </c>
      <c r="J1550" s="12">
        <v>45777</v>
      </c>
      <c r="K1550">
        <v>0</v>
      </c>
      <c r="L1550" s="1">
        <f t="shared" si="96"/>
        <v>4.8</v>
      </c>
      <c r="M1550" s="1" t="str">
        <f t="shared" si="97"/>
        <v/>
      </c>
      <c r="N1550" s="2">
        <f t="shared" si="98"/>
        <v>45748</v>
      </c>
      <c r="O1550" t="str">
        <f t="shared" si="99"/>
        <v>mačka</v>
      </c>
    </row>
    <row r="1551" spans="1:15" x14ac:dyDescent="0.25">
      <c r="A1551">
        <v>9058</v>
      </c>
      <c r="B1551" s="11">
        <v>4061011223346</v>
      </c>
      <c r="C1551" s="1" t="s">
        <v>25</v>
      </c>
      <c r="D1551" s="1" t="s">
        <v>26</v>
      </c>
      <c r="E1551" s="1" t="s">
        <v>27</v>
      </c>
      <c r="F1551">
        <v>19.600000000000001</v>
      </c>
      <c r="G1551">
        <v>1</v>
      </c>
      <c r="H1551" s="1" t="s">
        <v>14</v>
      </c>
      <c r="I1551" s="1" t="s">
        <v>15</v>
      </c>
      <c r="J1551" s="12">
        <v>45777</v>
      </c>
      <c r="K1551">
        <v>0</v>
      </c>
      <c r="L1551" s="1">
        <f t="shared" si="96"/>
        <v>19.600000000000001</v>
      </c>
      <c r="M1551" s="1" t="str">
        <f t="shared" si="97"/>
        <v/>
      </c>
      <c r="N1551" s="2">
        <f t="shared" si="98"/>
        <v>45748</v>
      </c>
      <c r="O1551" t="str">
        <f t="shared" si="99"/>
        <v>pes</v>
      </c>
    </row>
    <row r="1552" spans="1:15" hidden="1" x14ac:dyDescent="0.25">
      <c r="A1552">
        <v>9059</v>
      </c>
      <c r="B1552" s="11">
        <v>4026677889902</v>
      </c>
      <c r="C1552" s="1" t="s">
        <v>52</v>
      </c>
      <c r="D1552" s="1" t="s">
        <v>53</v>
      </c>
      <c r="E1552" s="1" t="s">
        <v>54</v>
      </c>
      <c r="F1552">
        <v>7.6</v>
      </c>
      <c r="G1552">
        <v>1</v>
      </c>
      <c r="H1552" s="1" t="s">
        <v>14</v>
      </c>
      <c r="I1552" s="1" t="s">
        <v>15</v>
      </c>
      <c r="J1552" s="12">
        <v>45777</v>
      </c>
      <c r="K1552">
        <v>0</v>
      </c>
      <c r="L1552" s="1">
        <f t="shared" si="96"/>
        <v>7.6</v>
      </c>
      <c r="M1552" s="1" t="str">
        <f t="shared" si="97"/>
        <v/>
      </c>
      <c r="N1552" s="2">
        <f t="shared" si="98"/>
        <v>45748</v>
      </c>
      <c r="O1552" t="str">
        <f t="shared" si="99"/>
        <v>iné</v>
      </c>
    </row>
    <row r="1553" spans="1:15" x14ac:dyDescent="0.25">
      <c r="A1553">
        <v>9060</v>
      </c>
      <c r="B1553" s="11">
        <v>4028899001126</v>
      </c>
      <c r="C1553" s="1" t="s">
        <v>16</v>
      </c>
      <c r="D1553" s="1" t="s">
        <v>12</v>
      </c>
      <c r="E1553" s="1" t="s">
        <v>17</v>
      </c>
      <c r="F1553">
        <v>2.8</v>
      </c>
      <c r="G1553">
        <v>3</v>
      </c>
      <c r="H1553" s="1" t="s">
        <v>14</v>
      </c>
      <c r="I1553" s="1" t="s">
        <v>15</v>
      </c>
      <c r="J1553" s="12">
        <v>45777</v>
      </c>
      <c r="K1553">
        <v>0</v>
      </c>
      <c r="L1553" s="1">
        <f t="shared" si="96"/>
        <v>8.3999999999999986</v>
      </c>
      <c r="M1553" s="1" t="str">
        <f t="shared" si="97"/>
        <v/>
      </c>
      <c r="N1553" s="2">
        <f t="shared" si="98"/>
        <v>45748</v>
      </c>
      <c r="O1553" t="str">
        <f t="shared" si="99"/>
        <v>pes</v>
      </c>
    </row>
    <row r="1554" spans="1:15" x14ac:dyDescent="0.25">
      <c r="A1554">
        <v>9061</v>
      </c>
      <c r="B1554" s="11">
        <v>4013456789017</v>
      </c>
      <c r="C1554" s="1" t="s">
        <v>11</v>
      </c>
      <c r="D1554" s="1" t="s">
        <v>12</v>
      </c>
      <c r="E1554" s="1" t="s">
        <v>13</v>
      </c>
      <c r="F1554">
        <v>6</v>
      </c>
      <c r="G1554">
        <v>1</v>
      </c>
      <c r="H1554" s="1" t="s">
        <v>14</v>
      </c>
      <c r="I1554" s="1" t="s">
        <v>15</v>
      </c>
      <c r="J1554" s="12">
        <v>45777</v>
      </c>
      <c r="K1554">
        <v>0</v>
      </c>
      <c r="L1554" s="1">
        <f t="shared" si="96"/>
        <v>6</v>
      </c>
      <c r="M1554" s="1" t="str">
        <f t="shared" si="97"/>
        <v/>
      </c>
      <c r="N1554" s="2">
        <f t="shared" si="98"/>
        <v>45748</v>
      </c>
      <c r="O1554" t="str">
        <f t="shared" si="99"/>
        <v>pes</v>
      </c>
    </row>
    <row r="1555" spans="1:15" x14ac:dyDescent="0.25">
      <c r="A1555">
        <v>9062</v>
      </c>
      <c r="B1555" s="11">
        <v>4040123456795</v>
      </c>
      <c r="C1555" s="1" t="s">
        <v>20</v>
      </c>
      <c r="D1555" s="1" t="s">
        <v>21</v>
      </c>
      <c r="E1555" s="1" t="s">
        <v>22</v>
      </c>
      <c r="F1555">
        <v>8.8000000000000007</v>
      </c>
      <c r="G1555">
        <v>1</v>
      </c>
      <c r="H1555" s="1" t="s">
        <v>14</v>
      </c>
      <c r="I1555" s="1" t="s">
        <v>15</v>
      </c>
      <c r="J1555" s="12">
        <v>45777</v>
      </c>
      <c r="K1555">
        <v>0</v>
      </c>
      <c r="L1555" s="1">
        <f t="shared" si="96"/>
        <v>8.8000000000000007</v>
      </c>
      <c r="M1555" s="1" t="str">
        <f t="shared" si="97"/>
        <v/>
      </c>
      <c r="N1555" s="2">
        <f t="shared" si="98"/>
        <v>45748</v>
      </c>
      <c r="O1555" t="str">
        <f t="shared" si="99"/>
        <v>pes</v>
      </c>
    </row>
    <row r="1556" spans="1:15" hidden="1" x14ac:dyDescent="0.25">
      <c r="A1556">
        <v>9063</v>
      </c>
      <c r="B1556" s="11">
        <v>4010123456783</v>
      </c>
      <c r="C1556" s="1" t="s">
        <v>35</v>
      </c>
      <c r="D1556" s="1" t="s">
        <v>36</v>
      </c>
      <c r="E1556" s="1" t="s">
        <v>37</v>
      </c>
      <c r="F1556">
        <v>14</v>
      </c>
      <c r="G1556">
        <v>1</v>
      </c>
      <c r="H1556" s="1" t="s">
        <v>14</v>
      </c>
      <c r="I1556" s="1" t="s">
        <v>15</v>
      </c>
      <c r="J1556" s="12">
        <v>45777</v>
      </c>
      <c r="K1556">
        <v>0</v>
      </c>
      <c r="L1556" s="1">
        <f t="shared" si="96"/>
        <v>14</v>
      </c>
      <c r="M1556" s="1" t="str">
        <f t="shared" si="97"/>
        <v/>
      </c>
      <c r="N1556" s="2">
        <f t="shared" si="98"/>
        <v>45748</v>
      </c>
      <c r="O1556" t="str">
        <f t="shared" si="99"/>
        <v>mačka</v>
      </c>
    </row>
    <row r="1557" spans="1:15" x14ac:dyDescent="0.25">
      <c r="A1557">
        <v>9064</v>
      </c>
      <c r="B1557" s="11">
        <v>4063456789014</v>
      </c>
      <c r="C1557" s="1" t="s">
        <v>60</v>
      </c>
      <c r="D1557" s="1" t="s">
        <v>12</v>
      </c>
      <c r="E1557" s="1" t="s">
        <v>61</v>
      </c>
      <c r="F1557">
        <v>36</v>
      </c>
      <c r="G1557">
        <v>1</v>
      </c>
      <c r="H1557" s="1" t="s">
        <v>23</v>
      </c>
      <c r="I1557" s="1" t="s">
        <v>257</v>
      </c>
      <c r="J1557" s="12">
        <v>45777</v>
      </c>
      <c r="K1557">
        <v>0</v>
      </c>
      <c r="L1557" s="1">
        <f t="shared" si="96"/>
        <v>36</v>
      </c>
      <c r="M1557" s="1">
        <f t="shared" si="97"/>
        <v>5</v>
      </c>
      <c r="N1557" s="2">
        <f t="shared" si="98"/>
        <v>45748</v>
      </c>
      <c r="O1557" t="str">
        <f t="shared" si="99"/>
        <v>pes</v>
      </c>
    </row>
    <row r="1558" spans="1:15" hidden="1" x14ac:dyDescent="0.25">
      <c r="A1558">
        <v>9065</v>
      </c>
      <c r="B1558" s="11">
        <v>4021234567894</v>
      </c>
      <c r="C1558" s="1" t="s">
        <v>79</v>
      </c>
      <c r="D1558" s="1" t="s">
        <v>36</v>
      </c>
      <c r="E1558" s="1" t="s">
        <v>69</v>
      </c>
      <c r="F1558">
        <v>8</v>
      </c>
      <c r="G1558">
        <v>1</v>
      </c>
      <c r="H1558" s="1" t="s">
        <v>14</v>
      </c>
      <c r="I1558" s="1" t="s">
        <v>15</v>
      </c>
      <c r="J1558" s="12">
        <v>45777</v>
      </c>
      <c r="K1558">
        <v>0</v>
      </c>
      <c r="L1558" s="1">
        <f t="shared" si="96"/>
        <v>8</v>
      </c>
      <c r="M1558" s="1" t="str">
        <f t="shared" si="97"/>
        <v/>
      </c>
      <c r="N1558" s="2">
        <f t="shared" si="98"/>
        <v>45748</v>
      </c>
      <c r="O1558" t="str">
        <f t="shared" si="99"/>
        <v>mačka</v>
      </c>
    </row>
    <row r="1559" spans="1:15" hidden="1" x14ac:dyDescent="0.25">
      <c r="A1559">
        <v>9066</v>
      </c>
      <c r="B1559" s="11">
        <v>4056789012345</v>
      </c>
      <c r="C1559" s="1" t="s">
        <v>47</v>
      </c>
      <c r="D1559" s="1" t="s">
        <v>29</v>
      </c>
      <c r="E1559" s="1" t="s">
        <v>37</v>
      </c>
      <c r="F1559">
        <v>2.4</v>
      </c>
      <c r="G1559">
        <v>3</v>
      </c>
      <c r="H1559" s="1" t="s">
        <v>14</v>
      </c>
      <c r="I1559" s="1" t="s">
        <v>15</v>
      </c>
      <c r="J1559" s="12">
        <v>45777</v>
      </c>
      <c r="K1559">
        <v>0</v>
      </c>
      <c r="L1559" s="1">
        <f t="shared" si="96"/>
        <v>7.1999999999999993</v>
      </c>
      <c r="M1559" s="1" t="str">
        <f t="shared" si="97"/>
        <v/>
      </c>
      <c r="N1559" s="2">
        <f t="shared" si="98"/>
        <v>45748</v>
      </c>
      <c r="O1559" t="str">
        <f t="shared" si="99"/>
        <v>mačka</v>
      </c>
    </row>
    <row r="1560" spans="1:15" x14ac:dyDescent="0.25">
      <c r="A1560">
        <v>9067</v>
      </c>
      <c r="B1560" s="11">
        <v>4061011223346</v>
      </c>
      <c r="C1560" s="1" t="s">
        <v>25</v>
      </c>
      <c r="D1560" s="1" t="s">
        <v>26</v>
      </c>
      <c r="E1560" s="1" t="s">
        <v>27</v>
      </c>
      <c r="F1560">
        <v>19.600000000000001</v>
      </c>
      <c r="G1560">
        <v>1</v>
      </c>
      <c r="H1560" s="1" t="s">
        <v>14</v>
      </c>
      <c r="I1560" s="1" t="s">
        <v>15</v>
      </c>
      <c r="J1560" s="12">
        <v>45777</v>
      </c>
      <c r="K1560">
        <v>0</v>
      </c>
      <c r="L1560" s="1">
        <f t="shared" si="96"/>
        <v>19.600000000000001</v>
      </c>
      <c r="M1560" s="1" t="str">
        <f t="shared" si="97"/>
        <v/>
      </c>
      <c r="N1560" s="2">
        <f t="shared" si="98"/>
        <v>45748</v>
      </c>
      <c r="O1560" t="str">
        <f t="shared" si="99"/>
        <v>pes</v>
      </c>
    </row>
    <row r="1561" spans="1:15" hidden="1" x14ac:dyDescent="0.25">
      <c r="A1561">
        <v>9068</v>
      </c>
      <c r="B1561" s="11">
        <v>4026677889902</v>
      </c>
      <c r="C1561" s="1" t="s">
        <v>52</v>
      </c>
      <c r="D1561" s="1" t="s">
        <v>53</v>
      </c>
      <c r="E1561" s="1" t="s">
        <v>54</v>
      </c>
      <c r="F1561">
        <v>7.6</v>
      </c>
      <c r="G1561">
        <v>1</v>
      </c>
      <c r="H1561" s="1" t="s">
        <v>14</v>
      </c>
      <c r="I1561" s="1" t="s">
        <v>15</v>
      </c>
      <c r="J1561" s="12">
        <v>45777</v>
      </c>
      <c r="K1561">
        <v>0</v>
      </c>
      <c r="L1561" s="1">
        <f t="shared" si="96"/>
        <v>7.6</v>
      </c>
      <c r="M1561" s="1" t="str">
        <f t="shared" si="97"/>
        <v/>
      </c>
      <c r="N1561" s="2">
        <f t="shared" si="98"/>
        <v>45748</v>
      </c>
      <c r="O1561" t="str">
        <f t="shared" si="99"/>
        <v>iné</v>
      </c>
    </row>
    <row r="1562" spans="1:15" x14ac:dyDescent="0.25">
      <c r="A1562">
        <v>9069</v>
      </c>
      <c r="B1562" s="11">
        <v>4028899001126</v>
      </c>
      <c r="C1562" s="1" t="s">
        <v>16</v>
      </c>
      <c r="D1562" s="1" t="s">
        <v>12</v>
      </c>
      <c r="E1562" s="1" t="s">
        <v>17</v>
      </c>
      <c r="F1562">
        <v>2.8</v>
      </c>
      <c r="G1562">
        <v>5</v>
      </c>
      <c r="H1562" s="1" t="s">
        <v>14</v>
      </c>
      <c r="I1562" s="1" t="s">
        <v>15</v>
      </c>
      <c r="J1562" s="12">
        <v>45777</v>
      </c>
      <c r="K1562">
        <v>0</v>
      </c>
      <c r="L1562" s="1">
        <f t="shared" si="96"/>
        <v>14</v>
      </c>
      <c r="M1562" s="1" t="str">
        <f t="shared" si="97"/>
        <v/>
      </c>
      <c r="N1562" s="2">
        <f t="shared" si="98"/>
        <v>45748</v>
      </c>
      <c r="O1562" t="str">
        <f t="shared" si="99"/>
        <v>pes</v>
      </c>
    </row>
    <row r="1563" spans="1:15" x14ac:dyDescent="0.25">
      <c r="A1563">
        <v>9070</v>
      </c>
      <c r="B1563" s="11">
        <v>4013456789017</v>
      </c>
      <c r="C1563" s="1" t="s">
        <v>11</v>
      </c>
      <c r="D1563" s="1" t="s">
        <v>12</v>
      </c>
      <c r="E1563" s="1" t="s">
        <v>13</v>
      </c>
      <c r="F1563">
        <v>6</v>
      </c>
      <c r="G1563">
        <v>1</v>
      </c>
      <c r="H1563" s="1" t="s">
        <v>14</v>
      </c>
      <c r="I1563" s="1" t="s">
        <v>15</v>
      </c>
      <c r="J1563" s="12">
        <v>45777</v>
      </c>
      <c r="K1563">
        <v>0</v>
      </c>
      <c r="L1563" s="1">
        <f t="shared" si="96"/>
        <v>6</v>
      </c>
      <c r="M1563" s="1" t="str">
        <f t="shared" si="97"/>
        <v/>
      </c>
      <c r="N1563" s="2">
        <f t="shared" si="98"/>
        <v>45748</v>
      </c>
      <c r="O1563" t="str">
        <f t="shared" si="99"/>
        <v>pes</v>
      </c>
    </row>
    <row r="1564" spans="1:15" x14ac:dyDescent="0.25">
      <c r="A1564">
        <v>9071</v>
      </c>
      <c r="B1564" s="11">
        <v>4040123456795</v>
      </c>
      <c r="C1564" s="1" t="s">
        <v>20</v>
      </c>
      <c r="D1564" s="1" t="s">
        <v>21</v>
      </c>
      <c r="E1564" s="1" t="s">
        <v>22</v>
      </c>
      <c r="F1564">
        <v>8.8000000000000007</v>
      </c>
      <c r="G1564">
        <v>1</v>
      </c>
      <c r="H1564" s="1" t="s">
        <v>14</v>
      </c>
      <c r="I1564" s="1" t="s">
        <v>15</v>
      </c>
      <c r="J1564" s="12">
        <v>45777</v>
      </c>
      <c r="K1564">
        <v>0</v>
      </c>
      <c r="L1564" s="1">
        <f t="shared" si="96"/>
        <v>8.8000000000000007</v>
      </c>
      <c r="M1564" s="1" t="str">
        <f t="shared" si="97"/>
        <v/>
      </c>
      <c r="N1564" s="2">
        <f t="shared" si="98"/>
        <v>45748</v>
      </c>
      <c r="O1564" t="str">
        <f t="shared" si="99"/>
        <v>pes</v>
      </c>
    </row>
    <row r="1565" spans="1:15" hidden="1" x14ac:dyDescent="0.25">
      <c r="A1565">
        <v>9072</v>
      </c>
      <c r="B1565" s="11">
        <v>4010123456783</v>
      </c>
      <c r="C1565" s="1" t="s">
        <v>35</v>
      </c>
      <c r="D1565" s="1" t="s">
        <v>36</v>
      </c>
      <c r="E1565" s="1" t="s">
        <v>37</v>
      </c>
      <c r="F1565">
        <v>14</v>
      </c>
      <c r="G1565">
        <v>1</v>
      </c>
      <c r="H1565" s="1" t="s">
        <v>14</v>
      </c>
      <c r="I1565" s="1" t="s">
        <v>15</v>
      </c>
      <c r="J1565" s="12">
        <v>45777</v>
      </c>
      <c r="K1565">
        <v>0</v>
      </c>
      <c r="L1565" s="1">
        <f t="shared" si="96"/>
        <v>14</v>
      </c>
      <c r="M1565" s="1" t="str">
        <f t="shared" si="97"/>
        <v/>
      </c>
      <c r="N1565" s="2">
        <f t="shared" si="98"/>
        <v>45748</v>
      </c>
      <c r="O1565" t="str">
        <f t="shared" si="99"/>
        <v>mačka</v>
      </c>
    </row>
    <row r="1566" spans="1:15" x14ac:dyDescent="0.25">
      <c r="A1566">
        <v>9073</v>
      </c>
      <c r="B1566" s="11">
        <v>4063456789014</v>
      </c>
      <c r="C1566" s="1" t="s">
        <v>60</v>
      </c>
      <c r="D1566" s="1" t="s">
        <v>12</v>
      </c>
      <c r="E1566" s="1" t="s">
        <v>61</v>
      </c>
      <c r="F1566">
        <v>36</v>
      </c>
      <c r="G1566">
        <v>1</v>
      </c>
      <c r="H1566" s="1" t="s">
        <v>14</v>
      </c>
      <c r="I1566" s="1" t="s">
        <v>15</v>
      </c>
      <c r="J1566" s="12">
        <v>45777</v>
      </c>
      <c r="K1566">
        <v>0</v>
      </c>
      <c r="L1566" s="1">
        <f t="shared" si="96"/>
        <v>36</v>
      </c>
      <c r="M1566" s="1" t="str">
        <f t="shared" si="97"/>
        <v/>
      </c>
      <c r="N1566" s="2">
        <f t="shared" si="98"/>
        <v>45748</v>
      </c>
      <c r="O1566" t="str">
        <f t="shared" si="99"/>
        <v>pes</v>
      </c>
    </row>
    <row r="1567" spans="1:15" hidden="1" x14ac:dyDescent="0.25">
      <c r="A1567">
        <v>9074</v>
      </c>
      <c r="B1567" s="11">
        <v>4021234567894</v>
      </c>
      <c r="C1567" s="1" t="s">
        <v>79</v>
      </c>
      <c r="D1567" s="1" t="s">
        <v>36</v>
      </c>
      <c r="E1567" s="1" t="s">
        <v>69</v>
      </c>
      <c r="F1567">
        <v>8</v>
      </c>
      <c r="G1567">
        <v>1</v>
      </c>
      <c r="H1567" s="1" t="s">
        <v>14</v>
      </c>
      <c r="I1567" s="1" t="s">
        <v>15</v>
      </c>
      <c r="J1567" s="12">
        <v>45777</v>
      </c>
      <c r="K1567">
        <v>0</v>
      </c>
      <c r="L1567" s="1">
        <f t="shared" si="96"/>
        <v>8</v>
      </c>
      <c r="M1567" s="1" t="str">
        <f t="shared" si="97"/>
        <v/>
      </c>
      <c r="N1567" s="2">
        <f t="shared" si="98"/>
        <v>45748</v>
      </c>
      <c r="O1567" t="str">
        <f t="shared" si="99"/>
        <v>mačka</v>
      </c>
    </row>
    <row r="1568" spans="1:15" hidden="1" x14ac:dyDescent="0.25">
      <c r="A1568">
        <v>9075</v>
      </c>
      <c r="B1568" s="11">
        <v>4056789012345</v>
      </c>
      <c r="C1568" s="1" t="s">
        <v>47</v>
      </c>
      <c r="D1568" s="1" t="s">
        <v>29</v>
      </c>
      <c r="E1568" s="1" t="s">
        <v>37</v>
      </c>
      <c r="F1568">
        <v>2.4</v>
      </c>
      <c r="G1568">
        <v>2</v>
      </c>
      <c r="H1568" s="1" t="s">
        <v>14</v>
      </c>
      <c r="I1568" s="1" t="s">
        <v>15</v>
      </c>
      <c r="J1568" s="12">
        <v>45777</v>
      </c>
      <c r="K1568">
        <v>0</v>
      </c>
      <c r="L1568" s="1">
        <f t="shared" si="96"/>
        <v>4.8</v>
      </c>
      <c r="M1568" s="1" t="str">
        <f t="shared" si="97"/>
        <v/>
      </c>
      <c r="N1568" s="2">
        <f t="shared" si="98"/>
        <v>45748</v>
      </c>
      <c r="O1568" t="str">
        <f t="shared" si="99"/>
        <v>mačka</v>
      </c>
    </row>
    <row r="1569" spans="1:15" x14ac:dyDescent="0.25">
      <c r="A1569">
        <v>9076</v>
      </c>
      <c r="B1569" s="11">
        <v>4061011223346</v>
      </c>
      <c r="C1569" s="1" t="s">
        <v>25</v>
      </c>
      <c r="D1569" s="1" t="s">
        <v>26</v>
      </c>
      <c r="E1569" s="1" t="s">
        <v>27</v>
      </c>
      <c r="F1569">
        <v>19.600000000000001</v>
      </c>
      <c r="G1569">
        <v>1</v>
      </c>
      <c r="H1569" s="1" t="s">
        <v>14</v>
      </c>
      <c r="I1569" s="1" t="s">
        <v>15</v>
      </c>
      <c r="J1569" s="12">
        <v>45777</v>
      </c>
      <c r="K1569">
        <v>0</v>
      </c>
      <c r="L1569" s="1">
        <f t="shared" si="96"/>
        <v>19.600000000000001</v>
      </c>
      <c r="M1569" s="1" t="str">
        <f t="shared" si="97"/>
        <v/>
      </c>
      <c r="N1569" s="2">
        <f t="shared" si="98"/>
        <v>45748</v>
      </c>
      <c r="O1569" t="str">
        <f t="shared" si="99"/>
        <v>pes</v>
      </c>
    </row>
    <row r="1570" spans="1:15" hidden="1" x14ac:dyDescent="0.25">
      <c r="A1570">
        <v>9077</v>
      </c>
      <c r="B1570" s="11">
        <v>4026677889902</v>
      </c>
      <c r="C1570" s="1" t="s">
        <v>52</v>
      </c>
      <c r="D1570" s="1" t="s">
        <v>53</v>
      </c>
      <c r="E1570" s="1" t="s">
        <v>54</v>
      </c>
      <c r="F1570">
        <v>7.6</v>
      </c>
      <c r="G1570">
        <v>1</v>
      </c>
      <c r="H1570" s="1" t="s">
        <v>14</v>
      </c>
      <c r="I1570" s="1" t="s">
        <v>15</v>
      </c>
      <c r="J1570" s="12">
        <v>45777</v>
      </c>
      <c r="K1570">
        <v>0</v>
      </c>
      <c r="L1570" s="1">
        <f t="shared" si="96"/>
        <v>7.6</v>
      </c>
      <c r="M1570" s="1" t="str">
        <f t="shared" si="97"/>
        <v/>
      </c>
      <c r="N1570" s="2">
        <f t="shared" si="98"/>
        <v>45748</v>
      </c>
      <c r="O1570" t="str">
        <f t="shared" si="99"/>
        <v>iné</v>
      </c>
    </row>
    <row r="1571" spans="1:15" x14ac:dyDescent="0.25">
      <c r="A1571">
        <v>9078</v>
      </c>
      <c r="B1571" s="11">
        <v>4028899001126</v>
      </c>
      <c r="C1571" s="1" t="s">
        <v>16</v>
      </c>
      <c r="D1571" s="1" t="s">
        <v>12</v>
      </c>
      <c r="E1571" s="1" t="s">
        <v>17</v>
      </c>
      <c r="F1571">
        <v>2.8</v>
      </c>
      <c r="G1571">
        <v>4</v>
      </c>
      <c r="H1571" s="1" t="s">
        <v>18</v>
      </c>
      <c r="I1571" s="1" t="s">
        <v>258</v>
      </c>
      <c r="J1571" s="12">
        <v>45777</v>
      </c>
      <c r="K1571">
        <v>0</v>
      </c>
      <c r="L1571" s="1">
        <f t="shared" si="96"/>
        <v>11.2</v>
      </c>
      <c r="M1571" s="1">
        <f t="shared" si="97"/>
        <v>4</v>
      </c>
      <c r="N1571" s="2">
        <f t="shared" si="98"/>
        <v>45748</v>
      </c>
      <c r="O1571" t="str">
        <f t="shared" si="99"/>
        <v>pes</v>
      </c>
    </row>
    <row r="1572" spans="1:15" x14ac:dyDescent="0.25">
      <c r="A1572">
        <v>9079</v>
      </c>
      <c r="B1572" s="11">
        <v>4013456789017</v>
      </c>
      <c r="C1572" s="1" t="s">
        <v>11</v>
      </c>
      <c r="D1572" s="1" t="s">
        <v>12</v>
      </c>
      <c r="E1572" s="1" t="s">
        <v>13</v>
      </c>
      <c r="F1572">
        <v>6</v>
      </c>
      <c r="G1572">
        <v>1</v>
      </c>
      <c r="H1572" s="1" t="s">
        <v>14</v>
      </c>
      <c r="I1572" s="1" t="s">
        <v>15</v>
      </c>
      <c r="J1572" s="12">
        <v>45777</v>
      </c>
      <c r="K1572">
        <v>0</v>
      </c>
      <c r="L1572" s="1">
        <f t="shared" si="96"/>
        <v>6</v>
      </c>
      <c r="M1572" s="1" t="str">
        <f t="shared" si="97"/>
        <v/>
      </c>
      <c r="N1572" s="2">
        <f t="shared" si="98"/>
        <v>45748</v>
      </c>
      <c r="O1572" t="str">
        <f t="shared" si="99"/>
        <v>pes</v>
      </c>
    </row>
    <row r="1573" spans="1:15" x14ac:dyDescent="0.25">
      <c r="A1573">
        <v>9080</v>
      </c>
      <c r="B1573" s="11">
        <v>4040123456795</v>
      </c>
      <c r="C1573" s="1" t="s">
        <v>20</v>
      </c>
      <c r="D1573" s="1" t="s">
        <v>21</v>
      </c>
      <c r="E1573" s="1" t="s">
        <v>22</v>
      </c>
      <c r="F1573">
        <v>8.8000000000000007</v>
      </c>
      <c r="G1573">
        <v>1</v>
      </c>
      <c r="H1573" s="1" t="s">
        <v>14</v>
      </c>
      <c r="I1573" s="1" t="s">
        <v>15</v>
      </c>
      <c r="J1573" s="12">
        <v>45777</v>
      </c>
      <c r="K1573">
        <v>0</v>
      </c>
      <c r="L1573" s="1">
        <f t="shared" si="96"/>
        <v>8.8000000000000007</v>
      </c>
      <c r="M1573" s="1" t="str">
        <f t="shared" si="97"/>
        <v/>
      </c>
      <c r="N1573" s="2">
        <f t="shared" si="98"/>
        <v>45748</v>
      </c>
      <c r="O1573" t="str">
        <f t="shared" si="99"/>
        <v>pes</v>
      </c>
    </row>
    <row r="1574" spans="1:15" hidden="1" x14ac:dyDescent="0.25">
      <c r="A1574">
        <v>9081</v>
      </c>
      <c r="B1574" s="11">
        <v>4010123456783</v>
      </c>
      <c r="C1574" s="1" t="s">
        <v>35</v>
      </c>
      <c r="D1574" s="1" t="s">
        <v>36</v>
      </c>
      <c r="E1574" s="1" t="s">
        <v>37</v>
      </c>
      <c r="F1574">
        <v>14</v>
      </c>
      <c r="G1574">
        <v>1</v>
      </c>
      <c r="H1574" s="1" t="s">
        <v>14</v>
      </c>
      <c r="I1574" s="1" t="s">
        <v>15</v>
      </c>
      <c r="J1574" s="12">
        <v>45777</v>
      </c>
      <c r="K1574">
        <v>0</v>
      </c>
      <c r="L1574" s="1">
        <f t="shared" si="96"/>
        <v>14</v>
      </c>
      <c r="M1574" s="1" t="str">
        <f t="shared" si="97"/>
        <v/>
      </c>
      <c r="N1574" s="2">
        <f t="shared" si="98"/>
        <v>45748</v>
      </c>
      <c r="O1574" t="str">
        <f t="shared" si="99"/>
        <v>mačka</v>
      </c>
    </row>
    <row r="1575" spans="1:15" x14ac:dyDescent="0.25">
      <c r="A1575">
        <v>9082</v>
      </c>
      <c r="B1575" s="11">
        <v>4063456789014</v>
      </c>
      <c r="C1575" s="1" t="s">
        <v>60</v>
      </c>
      <c r="D1575" s="1" t="s">
        <v>12</v>
      </c>
      <c r="E1575" s="1" t="s">
        <v>61</v>
      </c>
      <c r="F1575">
        <v>36</v>
      </c>
      <c r="G1575">
        <v>1</v>
      </c>
      <c r="H1575" s="1" t="s">
        <v>14</v>
      </c>
      <c r="I1575" s="1" t="s">
        <v>15</v>
      </c>
      <c r="J1575" s="12">
        <v>45777</v>
      </c>
      <c r="K1575">
        <v>0</v>
      </c>
      <c r="L1575" s="1">
        <f t="shared" si="96"/>
        <v>36</v>
      </c>
      <c r="M1575" s="1" t="str">
        <f t="shared" si="97"/>
        <v/>
      </c>
      <c r="N1575" s="2">
        <f t="shared" si="98"/>
        <v>45748</v>
      </c>
      <c r="O1575" t="str">
        <f t="shared" si="99"/>
        <v>pes</v>
      </c>
    </row>
    <row r="1576" spans="1:15" hidden="1" x14ac:dyDescent="0.25">
      <c r="A1576">
        <v>9083</v>
      </c>
      <c r="B1576" s="11">
        <v>4021234567894</v>
      </c>
      <c r="C1576" s="1" t="s">
        <v>79</v>
      </c>
      <c r="D1576" s="1" t="s">
        <v>36</v>
      </c>
      <c r="E1576" s="1" t="s">
        <v>69</v>
      </c>
      <c r="F1576">
        <v>8</v>
      </c>
      <c r="G1576">
        <v>1</v>
      </c>
      <c r="H1576" s="1" t="s">
        <v>14</v>
      </c>
      <c r="I1576" s="1" t="s">
        <v>15</v>
      </c>
      <c r="J1576" s="12">
        <v>45777</v>
      </c>
      <c r="K1576">
        <v>0</v>
      </c>
      <c r="L1576" s="1">
        <f t="shared" si="96"/>
        <v>8</v>
      </c>
      <c r="M1576" s="1" t="str">
        <f t="shared" si="97"/>
        <v/>
      </c>
      <c r="N1576" s="2">
        <f t="shared" si="98"/>
        <v>45748</v>
      </c>
      <c r="O1576" t="str">
        <f t="shared" si="99"/>
        <v>mačka</v>
      </c>
    </row>
    <row r="1577" spans="1:15" hidden="1" x14ac:dyDescent="0.25">
      <c r="A1577">
        <v>9084</v>
      </c>
      <c r="B1577" s="11">
        <v>4056789012345</v>
      </c>
      <c r="C1577" s="1" t="s">
        <v>47</v>
      </c>
      <c r="D1577" s="1" t="s">
        <v>29</v>
      </c>
      <c r="E1577" s="1" t="s">
        <v>37</v>
      </c>
      <c r="F1577">
        <v>2.4</v>
      </c>
      <c r="G1577">
        <v>2</v>
      </c>
      <c r="H1577" s="1" t="s">
        <v>14</v>
      </c>
      <c r="I1577" s="1" t="s">
        <v>15</v>
      </c>
      <c r="J1577" s="12">
        <v>45777</v>
      </c>
      <c r="K1577">
        <v>0</v>
      </c>
      <c r="L1577" s="1">
        <f t="shared" si="96"/>
        <v>4.8</v>
      </c>
      <c r="M1577" s="1" t="str">
        <f t="shared" si="97"/>
        <v/>
      </c>
      <c r="N1577" s="2">
        <f t="shared" si="98"/>
        <v>45748</v>
      </c>
      <c r="O1577" t="str">
        <f t="shared" si="99"/>
        <v>mačka</v>
      </c>
    </row>
    <row r="1578" spans="1:15" x14ac:dyDescent="0.25">
      <c r="A1578">
        <v>9085</v>
      </c>
      <c r="B1578" s="11">
        <v>4061011223346</v>
      </c>
      <c r="C1578" s="1" t="s">
        <v>25</v>
      </c>
      <c r="D1578" s="1" t="s">
        <v>26</v>
      </c>
      <c r="E1578" s="1" t="s">
        <v>27</v>
      </c>
      <c r="F1578">
        <v>19.600000000000001</v>
      </c>
      <c r="G1578">
        <v>1</v>
      </c>
      <c r="H1578" s="1" t="s">
        <v>14</v>
      </c>
      <c r="I1578" s="1" t="s">
        <v>15</v>
      </c>
      <c r="J1578" s="12">
        <v>45777</v>
      </c>
      <c r="K1578">
        <v>0</v>
      </c>
      <c r="L1578" s="1">
        <f t="shared" si="96"/>
        <v>19.600000000000001</v>
      </c>
      <c r="M1578" s="1" t="str">
        <f t="shared" si="97"/>
        <v/>
      </c>
      <c r="N1578" s="2">
        <f t="shared" si="98"/>
        <v>45748</v>
      </c>
      <c r="O1578" t="str">
        <f t="shared" si="99"/>
        <v>pes</v>
      </c>
    </row>
    <row r="1579" spans="1:15" hidden="1" x14ac:dyDescent="0.25">
      <c r="A1579">
        <v>9086</v>
      </c>
      <c r="B1579" s="11">
        <v>4026677889902</v>
      </c>
      <c r="C1579" s="1" t="s">
        <v>52</v>
      </c>
      <c r="D1579" s="1" t="s">
        <v>53</v>
      </c>
      <c r="E1579" s="1" t="s">
        <v>54</v>
      </c>
      <c r="F1579">
        <v>7.6</v>
      </c>
      <c r="G1579">
        <v>1</v>
      </c>
      <c r="H1579" s="1" t="s">
        <v>14</v>
      </c>
      <c r="I1579" s="1" t="s">
        <v>15</v>
      </c>
      <c r="J1579" s="12">
        <v>45777</v>
      </c>
      <c r="K1579">
        <v>0</v>
      </c>
      <c r="L1579" s="1">
        <f t="shared" si="96"/>
        <v>7.6</v>
      </c>
      <c r="M1579" s="1" t="str">
        <f t="shared" si="97"/>
        <v/>
      </c>
      <c r="N1579" s="2">
        <f t="shared" si="98"/>
        <v>45748</v>
      </c>
      <c r="O1579" t="str">
        <f t="shared" si="99"/>
        <v>iné</v>
      </c>
    </row>
    <row r="1580" spans="1:15" x14ac:dyDescent="0.25">
      <c r="A1580">
        <v>9087</v>
      </c>
      <c r="B1580" s="11">
        <v>4028899001126</v>
      </c>
      <c r="C1580" s="1" t="s">
        <v>16</v>
      </c>
      <c r="D1580" s="1" t="s">
        <v>12</v>
      </c>
      <c r="E1580" s="1" t="s">
        <v>17</v>
      </c>
      <c r="F1580">
        <v>2.8</v>
      </c>
      <c r="G1580">
        <v>5</v>
      </c>
      <c r="H1580" s="1" t="s">
        <v>14</v>
      </c>
      <c r="I1580" s="1" t="s">
        <v>15</v>
      </c>
      <c r="J1580" s="12">
        <v>45777</v>
      </c>
      <c r="K1580">
        <v>0</v>
      </c>
      <c r="L1580" s="1">
        <f t="shared" si="96"/>
        <v>14</v>
      </c>
      <c r="M1580" s="1" t="str">
        <f t="shared" si="97"/>
        <v/>
      </c>
      <c r="N1580" s="2">
        <f t="shared" si="98"/>
        <v>45748</v>
      </c>
      <c r="O1580" t="str">
        <f t="shared" si="99"/>
        <v>pes</v>
      </c>
    </row>
    <row r="1581" spans="1:15" x14ac:dyDescent="0.25">
      <c r="A1581">
        <v>9088</v>
      </c>
      <c r="B1581" s="11">
        <v>4013456789017</v>
      </c>
      <c r="C1581" s="1" t="s">
        <v>11</v>
      </c>
      <c r="D1581" s="1" t="s">
        <v>12</v>
      </c>
      <c r="E1581" s="1" t="s">
        <v>13</v>
      </c>
      <c r="F1581">
        <v>6</v>
      </c>
      <c r="G1581">
        <v>1</v>
      </c>
      <c r="H1581" s="1" t="s">
        <v>14</v>
      </c>
      <c r="I1581" s="1" t="s">
        <v>15</v>
      </c>
      <c r="J1581" s="12">
        <v>45777</v>
      </c>
      <c r="K1581">
        <v>0</v>
      </c>
      <c r="L1581" s="1">
        <f t="shared" si="96"/>
        <v>6</v>
      </c>
      <c r="M1581" s="1" t="str">
        <f t="shared" si="97"/>
        <v/>
      </c>
      <c r="N1581" s="2">
        <f t="shared" si="98"/>
        <v>45748</v>
      </c>
      <c r="O1581" t="str">
        <f t="shared" si="99"/>
        <v>pes</v>
      </c>
    </row>
    <row r="1582" spans="1:15" x14ac:dyDescent="0.25">
      <c r="A1582">
        <v>9089</v>
      </c>
      <c r="B1582" s="11">
        <v>4040123456795</v>
      </c>
      <c r="C1582" s="1" t="s">
        <v>20</v>
      </c>
      <c r="D1582" s="1" t="s">
        <v>21</v>
      </c>
      <c r="E1582" s="1" t="s">
        <v>22</v>
      </c>
      <c r="F1582">
        <v>8.8000000000000007</v>
      </c>
      <c r="G1582">
        <v>1</v>
      </c>
      <c r="H1582" s="1" t="s">
        <v>14</v>
      </c>
      <c r="I1582" s="1" t="s">
        <v>15</v>
      </c>
      <c r="J1582" s="12">
        <v>45777</v>
      </c>
      <c r="K1582">
        <v>0</v>
      </c>
      <c r="L1582" s="1">
        <f t="shared" si="96"/>
        <v>8.8000000000000007</v>
      </c>
      <c r="M1582" s="1" t="str">
        <f t="shared" si="97"/>
        <v/>
      </c>
      <c r="N1582" s="2">
        <f t="shared" si="98"/>
        <v>45748</v>
      </c>
      <c r="O1582" t="str">
        <f t="shared" si="99"/>
        <v>pes</v>
      </c>
    </row>
    <row r="1583" spans="1:15" hidden="1" x14ac:dyDescent="0.25">
      <c r="A1583">
        <v>9090</v>
      </c>
      <c r="B1583" s="11">
        <v>4010123456783</v>
      </c>
      <c r="C1583" s="1" t="s">
        <v>35</v>
      </c>
      <c r="D1583" s="1" t="s">
        <v>36</v>
      </c>
      <c r="E1583" s="1" t="s">
        <v>37</v>
      </c>
      <c r="F1583">
        <v>14</v>
      </c>
      <c r="G1583">
        <v>1</v>
      </c>
      <c r="H1583" s="1" t="s">
        <v>14</v>
      </c>
      <c r="I1583" s="1" t="s">
        <v>15</v>
      </c>
      <c r="J1583" s="12">
        <v>45777</v>
      </c>
      <c r="K1583">
        <v>0</v>
      </c>
      <c r="L1583" s="1">
        <f t="shared" si="96"/>
        <v>14</v>
      </c>
      <c r="M1583" s="1" t="str">
        <f t="shared" si="97"/>
        <v/>
      </c>
      <c r="N1583" s="2">
        <f t="shared" si="98"/>
        <v>45748</v>
      </c>
      <c r="O1583" t="str">
        <f t="shared" si="99"/>
        <v>mačka</v>
      </c>
    </row>
    <row r="1584" spans="1:15" x14ac:dyDescent="0.25">
      <c r="A1584">
        <v>9091</v>
      </c>
      <c r="B1584" s="11">
        <v>4063456789014</v>
      </c>
      <c r="C1584" s="1" t="s">
        <v>60</v>
      </c>
      <c r="D1584" s="1" t="s">
        <v>12</v>
      </c>
      <c r="E1584" s="1" t="s">
        <v>61</v>
      </c>
      <c r="F1584">
        <v>36</v>
      </c>
      <c r="G1584">
        <v>1</v>
      </c>
      <c r="H1584" s="1" t="s">
        <v>14</v>
      </c>
      <c r="I1584" s="1" t="s">
        <v>15</v>
      </c>
      <c r="J1584" s="12">
        <v>45777</v>
      </c>
      <c r="K1584">
        <v>0</v>
      </c>
      <c r="L1584" s="1">
        <f t="shared" si="96"/>
        <v>36</v>
      </c>
      <c r="M1584" s="1" t="str">
        <f t="shared" si="97"/>
        <v/>
      </c>
      <c r="N1584" s="2">
        <f t="shared" si="98"/>
        <v>45748</v>
      </c>
      <c r="O1584" t="str">
        <f t="shared" si="99"/>
        <v>pes</v>
      </c>
    </row>
    <row r="1585" spans="1:15" hidden="1" x14ac:dyDescent="0.25">
      <c r="A1585">
        <v>9092</v>
      </c>
      <c r="B1585" s="11">
        <v>4021234567894</v>
      </c>
      <c r="C1585" s="1" t="s">
        <v>79</v>
      </c>
      <c r="D1585" s="1" t="s">
        <v>36</v>
      </c>
      <c r="E1585" s="1" t="s">
        <v>69</v>
      </c>
      <c r="F1585">
        <v>8</v>
      </c>
      <c r="G1585">
        <v>1</v>
      </c>
      <c r="H1585" s="1" t="s">
        <v>33</v>
      </c>
      <c r="I1585" s="1" t="s">
        <v>259</v>
      </c>
      <c r="J1585" s="12">
        <v>45777</v>
      </c>
      <c r="K1585">
        <v>0</v>
      </c>
      <c r="L1585" s="1">
        <f t="shared" si="96"/>
        <v>8</v>
      </c>
      <c r="M1585" s="1">
        <f t="shared" si="97"/>
        <v>3</v>
      </c>
      <c r="N1585" s="2">
        <f t="shared" si="98"/>
        <v>45748</v>
      </c>
      <c r="O1585" t="str">
        <f t="shared" si="99"/>
        <v>mačka</v>
      </c>
    </row>
    <row r="1586" spans="1:15" hidden="1" x14ac:dyDescent="0.25">
      <c r="A1586">
        <v>9093</v>
      </c>
      <c r="B1586" s="11">
        <v>4056789012345</v>
      </c>
      <c r="C1586" s="1" t="s">
        <v>47</v>
      </c>
      <c r="D1586" s="1" t="s">
        <v>29</v>
      </c>
      <c r="E1586" s="1" t="s">
        <v>37</v>
      </c>
      <c r="F1586">
        <v>2.4</v>
      </c>
      <c r="G1586">
        <v>3</v>
      </c>
      <c r="H1586" s="1" t="s">
        <v>14</v>
      </c>
      <c r="I1586" s="1" t="s">
        <v>15</v>
      </c>
      <c r="J1586" s="12">
        <v>45777</v>
      </c>
      <c r="K1586">
        <v>0</v>
      </c>
      <c r="L1586" s="1">
        <f t="shared" si="96"/>
        <v>7.1999999999999993</v>
      </c>
      <c r="M1586" s="1" t="str">
        <f t="shared" si="97"/>
        <v/>
      </c>
      <c r="N1586" s="2">
        <f t="shared" si="98"/>
        <v>45748</v>
      </c>
      <c r="O1586" t="str">
        <f t="shared" si="99"/>
        <v>mačka</v>
      </c>
    </row>
    <row r="1587" spans="1:15" x14ac:dyDescent="0.25">
      <c r="A1587">
        <v>9094</v>
      </c>
      <c r="B1587" s="11">
        <v>4061011223346</v>
      </c>
      <c r="C1587" s="1" t="s">
        <v>25</v>
      </c>
      <c r="D1587" s="1" t="s">
        <v>26</v>
      </c>
      <c r="E1587" s="1" t="s">
        <v>27</v>
      </c>
      <c r="F1587">
        <v>19.600000000000001</v>
      </c>
      <c r="G1587">
        <v>1</v>
      </c>
      <c r="H1587" s="1" t="s">
        <v>14</v>
      </c>
      <c r="I1587" s="1" t="s">
        <v>15</v>
      </c>
      <c r="J1587" s="12">
        <v>45777</v>
      </c>
      <c r="K1587">
        <v>0</v>
      </c>
      <c r="L1587" s="1">
        <f t="shared" si="96"/>
        <v>19.600000000000001</v>
      </c>
      <c r="M1587" s="1" t="str">
        <f t="shared" si="97"/>
        <v/>
      </c>
      <c r="N1587" s="2">
        <f t="shared" si="98"/>
        <v>45748</v>
      </c>
      <c r="O1587" t="str">
        <f t="shared" si="99"/>
        <v>pes</v>
      </c>
    </row>
    <row r="1588" spans="1:15" hidden="1" x14ac:dyDescent="0.25">
      <c r="A1588">
        <v>9095</v>
      </c>
      <c r="B1588" s="11">
        <v>4026677889902</v>
      </c>
      <c r="C1588" s="1" t="s">
        <v>52</v>
      </c>
      <c r="D1588" s="1" t="s">
        <v>53</v>
      </c>
      <c r="E1588" s="1" t="s">
        <v>54</v>
      </c>
      <c r="F1588">
        <v>7.6</v>
      </c>
      <c r="G1588">
        <v>1</v>
      </c>
      <c r="H1588" s="1" t="s">
        <v>14</v>
      </c>
      <c r="I1588" s="1" t="s">
        <v>15</v>
      </c>
      <c r="J1588" s="12">
        <v>45777</v>
      </c>
      <c r="K1588">
        <v>0</v>
      </c>
      <c r="L1588" s="1">
        <f t="shared" si="96"/>
        <v>7.6</v>
      </c>
      <c r="M1588" s="1" t="str">
        <f t="shared" si="97"/>
        <v/>
      </c>
      <c r="N1588" s="2">
        <f t="shared" si="98"/>
        <v>45748</v>
      </c>
      <c r="O1588" t="str">
        <f t="shared" si="99"/>
        <v>iné</v>
      </c>
    </row>
    <row r="1589" spans="1:15" x14ac:dyDescent="0.25">
      <c r="A1589">
        <v>9096</v>
      </c>
      <c r="B1589" s="11">
        <v>4028899001126</v>
      </c>
      <c r="C1589" s="1" t="s">
        <v>16</v>
      </c>
      <c r="D1589" s="1" t="s">
        <v>12</v>
      </c>
      <c r="E1589" s="1" t="s">
        <v>17</v>
      </c>
      <c r="F1589">
        <v>2.8</v>
      </c>
      <c r="G1589">
        <v>4</v>
      </c>
      <c r="H1589" s="1" t="s">
        <v>14</v>
      </c>
      <c r="I1589" s="1" t="s">
        <v>15</v>
      </c>
      <c r="J1589" s="12">
        <v>45777</v>
      </c>
      <c r="K1589">
        <v>0</v>
      </c>
      <c r="L1589" s="1">
        <f t="shared" si="96"/>
        <v>11.2</v>
      </c>
      <c r="M1589" s="1" t="str">
        <f t="shared" si="97"/>
        <v/>
      </c>
      <c r="N1589" s="2">
        <f t="shared" si="98"/>
        <v>45748</v>
      </c>
      <c r="O1589" t="str">
        <f t="shared" si="99"/>
        <v>pes</v>
      </c>
    </row>
    <row r="1590" spans="1:15" x14ac:dyDescent="0.25">
      <c r="A1590">
        <v>9097</v>
      </c>
      <c r="B1590" s="11">
        <v>4013456789017</v>
      </c>
      <c r="C1590" s="1" t="s">
        <v>11</v>
      </c>
      <c r="D1590" s="1" t="s">
        <v>12</v>
      </c>
      <c r="E1590" s="1" t="s">
        <v>13</v>
      </c>
      <c r="F1590">
        <v>6</v>
      </c>
      <c r="G1590">
        <v>1</v>
      </c>
      <c r="H1590" s="1" t="s">
        <v>14</v>
      </c>
      <c r="I1590" s="1" t="s">
        <v>15</v>
      </c>
      <c r="J1590" s="12">
        <v>45777</v>
      </c>
      <c r="K1590">
        <v>0</v>
      </c>
      <c r="L1590" s="1">
        <f t="shared" si="96"/>
        <v>6</v>
      </c>
      <c r="M1590" s="1" t="str">
        <f t="shared" si="97"/>
        <v/>
      </c>
      <c r="N1590" s="2">
        <f t="shared" si="98"/>
        <v>45748</v>
      </c>
      <c r="O1590" t="str">
        <f t="shared" si="99"/>
        <v>pes</v>
      </c>
    </row>
    <row r="1591" spans="1:15" x14ac:dyDescent="0.25">
      <c r="A1591">
        <v>9098</v>
      </c>
      <c r="B1591" s="11">
        <v>4040123456795</v>
      </c>
      <c r="C1591" s="1" t="s">
        <v>20</v>
      </c>
      <c r="D1591" s="1" t="s">
        <v>21</v>
      </c>
      <c r="E1591" s="1" t="s">
        <v>22</v>
      </c>
      <c r="F1591">
        <v>8.8000000000000007</v>
      </c>
      <c r="G1591">
        <v>1</v>
      </c>
      <c r="H1591" s="1" t="s">
        <v>14</v>
      </c>
      <c r="I1591" s="1" t="s">
        <v>15</v>
      </c>
      <c r="J1591" s="12">
        <v>45777</v>
      </c>
      <c r="K1591">
        <v>0</v>
      </c>
      <c r="L1591" s="1">
        <f t="shared" si="96"/>
        <v>8.8000000000000007</v>
      </c>
      <c r="M1591" s="1" t="str">
        <f t="shared" si="97"/>
        <v/>
      </c>
      <c r="N1591" s="2">
        <f t="shared" si="98"/>
        <v>45748</v>
      </c>
      <c r="O1591" t="str">
        <f t="shared" si="99"/>
        <v>pes</v>
      </c>
    </row>
    <row r="1592" spans="1:15" hidden="1" x14ac:dyDescent="0.25">
      <c r="A1592">
        <v>9099</v>
      </c>
      <c r="B1592" s="11">
        <v>4010123456783</v>
      </c>
      <c r="C1592" s="1" t="s">
        <v>35</v>
      </c>
      <c r="D1592" s="1" t="s">
        <v>36</v>
      </c>
      <c r="E1592" s="1" t="s">
        <v>37</v>
      </c>
      <c r="F1592">
        <v>14</v>
      </c>
      <c r="G1592">
        <v>1</v>
      </c>
      <c r="H1592" s="1" t="s">
        <v>14</v>
      </c>
      <c r="I1592" s="1" t="s">
        <v>15</v>
      </c>
      <c r="J1592" s="12">
        <v>45777</v>
      </c>
      <c r="K1592">
        <v>0</v>
      </c>
      <c r="L1592" s="1">
        <f t="shared" si="96"/>
        <v>14</v>
      </c>
      <c r="M1592" s="1" t="str">
        <f t="shared" si="97"/>
        <v/>
      </c>
      <c r="N1592" s="2">
        <f t="shared" si="98"/>
        <v>45748</v>
      </c>
      <c r="O1592" t="str">
        <f t="shared" si="99"/>
        <v>mačka</v>
      </c>
    </row>
    <row r="1593" spans="1:15" x14ac:dyDescent="0.25">
      <c r="A1593">
        <v>9100</v>
      </c>
      <c r="B1593" s="11">
        <v>4063456789014</v>
      </c>
      <c r="C1593" s="1" t="s">
        <v>60</v>
      </c>
      <c r="D1593" s="1" t="s">
        <v>12</v>
      </c>
      <c r="E1593" s="1" t="s">
        <v>61</v>
      </c>
      <c r="F1593">
        <v>36</v>
      </c>
      <c r="G1593">
        <v>1</v>
      </c>
      <c r="H1593" s="1" t="s">
        <v>23</v>
      </c>
      <c r="I1593" s="1" t="s">
        <v>260</v>
      </c>
      <c r="J1593" s="12">
        <v>45777</v>
      </c>
      <c r="K1593">
        <v>0</v>
      </c>
      <c r="L1593" s="1">
        <f t="shared" si="96"/>
        <v>36</v>
      </c>
      <c r="M1593" s="1">
        <f t="shared" si="97"/>
        <v>5</v>
      </c>
      <c r="N1593" s="2">
        <f t="shared" si="98"/>
        <v>45748</v>
      </c>
      <c r="O1593" t="str">
        <f t="shared" si="99"/>
        <v>pes</v>
      </c>
    </row>
    <row r="1594" spans="1:15" hidden="1" x14ac:dyDescent="0.25">
      <c r="A1594">
        <v>9101</v>
      </c>
      <c r="B1594" s="11">
        <v>4021234567894</v>
      </c>
      <c r="C1594" s="1" t="s">
        <v>79</v>
      </c>
      <c r="D1594" s="1" t="s">
        <v>36</v>
      </c>
      <c r="E1594" s="1" t="s">
        <v>69</v>
      </c>
      <c r="F1594">
        <v>8</v>
      </c>
      <c r="G1594">
        <v>1</v>
      </c>
      <c r="H1594" s="1" t="s">
        <v>14</v>
      </c>
      <c r="I1594" s="1" t="s">
        <v>15</v>
      </c>
      <c r="J1594" s="12">
        <v>45777</v>
      </c>
      <c r="K1594">
        <v>0</v>
      </c>
      <c r="L1594" s="1">
        <f t="shared" si="96"/>
        <v>8</v>
      </c>
      <c r="M1594" s="1" t="str">
        <f t="shared" si="97"/>
        <v/>
      </c>
      <c r="N1594" s="2">
        <f t="shared" si="98"/>
        <v>45748</v>
      </c>
      <c r="O1594" t="str">
        <f t="shared" si="99"/>
        <v>mačka</v>
      </c>
    </row>
    <row r="1595" spans="1:15" hidden="1" x14ac:dyDescent="0.25">
      <c r="A1595">
        <v>9102</v>
      </c>
      <c r="B1595" s="11">
        <v>4056789012345</v>
      </c>
      <c r="C1595" s="1" t="s">
        <v>47</v>
      </c>
      <c r="D1595" s="1" t="s">
        <v>29</v>
      </c>
      <c r="E1595" s="1" t="s">
        <v>37</v>
      </c>
      <c r="F1595">
        <v>2.4</v>
      </c>
      <c r="G1595">
        <v>3</v>
      </c>
      <c r="H1595" s="1" t="s">
        <v>14</v>
      </c>
      <c r="I1595" s="1" t="s">
        <v>15</v>
      </c>
      <c r="J1595" s="12">
        <v>45777</v>
      </c>
      <c r="K1595">
        <v>0</v>
      </c>
      <c r="L1595" s="1">
        <f t="shared" si="96"/>
        <v>7.1999999999999993</v>
      </c>
      <c r="M1595" s="1" t="str">
        <f t="shared" si="97"/>
        <v/>
      </c>
      <c r="N1595" s="2">
        <f t="shared" si="98"/>
        <v>45748</v>
      </c>
      <c r="O1595" t="str">
        <f t="shared" si="99"/>
        <v>mačka</v>
      </c>
    </row>
    <row r="1596" spans="1:15" x14ac:dyDescent="0.25">
      <c r="A1596">
        <v>9103</v>
      </c>
      <c r="B1596" s="11">
        <v>4061011223346</v>
      </c>
      <c r="C1596" s="1" t="s">
        <v>25</v>
      </c>
      <c r="D1596" s="1" t="s">
        <v>26</v>
      </c>
      <c r="E1596" s="1" t="s">
        <v>27</v>
      </c>
      <c r="F1596">
        <v>19.600000000000001</v>
      </c>
      <c r="G1596">
        <v>1</v>
      </c>
      <c r="H1596" s="1" t="s">
        <v>14</v>
      </c>
      <c r="I1596" s="1" t="s">
        <v>15</v>
      </c>
      <c r="J1596" s="12">
        <v>45777</v>
      </c>
      <c r="K1596">
        <v>0</v>
      </c>
      <c r="L1596" s="1">
        <f t="shared" si="96"/>
        <v>19.600000000000001</v>
      </c>
      <c r="M1596" s="1" t="str">
        <f t="shared" si="97"/>
        <v/>
      </c>
      <c r="N1596" s="2">
        <f t="shared" si="98"/>
        <v>45748</v>
      </c>
      <c r="O1596" t="str">
        <f t="shared" si="99"/>
        <v>pes</v>
      </c>
    </row>
    <row r="1597" spans="1:15" hidden="1" x14ac:dyDescent="0.25">
      <c r="A1597">
        <v>9104</v>
      </c>
      <c r="B1597" s="11">
        <v>4026677889902</v>
      </c>
      <c r="C1597" s="1" t="s">
        <v>52</v>
      </c>
      <c r="D1597" s="1" t="s">
        <v>53</v>
      </c>
      <c r="E1597" s="1" t="s">
        <v>54</v>
      </c>
      <c r="F1597">
        <v>7.6</v>
      </c>
      <c r="G1597">
        <v>1</v>
      </c>
      <c r="H1597" s="1" t="s">
        <v>14</v>
      </c>
      <c r="I1597" s="1" t="s">
        <v>15</v>
      </c>
      <c r="J1597" s="12">
        <v>45777</v>
      </c>
      <c r="K1597">
        <v>0</v>
      </c>
      <c r="L1597" s="1">
        <f t="shared" si="96"/>
        <v>7.6</v>
      </c>
      <c r="M1597" s="1" t="str">
        <f t="shared" si="97"/>
        <v/>
      </c>
      <c r="N1597" s="2">
        <f t="shared" si="98"/>
        <v>45748</v>
      </c>
      <c r="O1597" t="str">
        <f t="shared" si="99"/>
        <v>iné</v>
      </c>
    </row>
    <row r="1598" spans="1:15" x14ac:dyDescent="0.25">
      <c r="A1598">
        <v>9105</v>
      </c>
      <c r="B1598" s="11">
        <v>4028899001126</v>
      </c>
      <c r="C1598" s="1" t="s">
        <v>16</v>
      </c>
      <c r="D1598" s="1" t="s">
        <v>12</v>
      </c>
      <c r="E1598" s="1" t="s">
        <v>17</v>
      </c>
      <c r="F1598">
        <v>2.8</v>
      </c>
      <c r="G1598">
        <v>5</v>
      </c>
      <c r="H1598" s="1" t="s">
        <v>14</v>
      </c>
      <c r="I1598" s="1" t="s">
        <v>15</v>
      </c>
      <c r="J1598" s="12">
        <v>45777</v>
      </c>
      <c r="K1598">
        <v>0</v>
      </c>
      <c r="L1598" s="1">
        <f t="shared" si="96"/>
        <v>14</v>
      </c>
      <c r="M1598" s="1" t="str">
        <f t="shared" si="97"/>
        <v/>
      </c>
      <c r="N1598" s="2">
        <f t="shared" si="98"/>
        <v>45748</v>
      </c>
      <c r="O1598" t="str">
        <f t="shared" si="99"/>
        <v>pes</v>
      </c>
    </row>
    <row r="1599" spans="1:15" x14ac:dyDescent="0.25">
      <c r="A1599">
        <v>9106</v>
      </c>
      <c r="B1599" s="11">
        <v>4013456789017</v>
      </c>
      <c r="C1599" s="1" t="s">
        <v>11</v>
      </c>
      <c r="D1599" s="1" t="s">
        <v>12</v>
      </c>
      <c r="E1599" s="1" t="s">
        <v>13</v>
      </c>
      <c r="F1599">
        <v>6</v>
      </c>
      <c r="G1599">
        <v>1</v>
      </c>
      <c r="H1599" s="1" t="s">
        <v>14</v>
      </c>
      <c r="I1599" s="1" t="s">
        <v>15</v>
      </c>
      <c r="J1599" s="12">
        <v>45777</v>
      </c>
      <c r="K1599">
        <v>0</v>
      </c>
      <c r="L1599" s="1">
        <f t="shared" si="96"/>
        <v>6</v>
      </c>
      <c r="M1599" s="1" t="str">
        <f t="shared" si="97"/>
        <v/>
      </c>
      <c r="N1599" s="2">
        <f t="shared" si="98"/>
        <v>45748</v>
      </c>
      <c r="O1599" t="str">
        <f t="shared" si="99"/>
        <v>pes</v>
      </c>
    </row>
    <row r="1600" spans="1:15" x14ac:dyDescent="0.25">
      <c r="A1600">
        <v>9107</v>
      </c>
      <c r="B1600" s="11">
        <v>4040123456795</v>
      </c>
      <c r="C1600" s="1" t="s">
        <v>20</v>
      </c>
      <c r="D1600" s="1" t="s">
        <v>21</v>
      </c>
      <c r="E1600" s="1" t="s">
        <v>22</v>
      </c>
      <c r="F1600">
        <v>8.8000000000000007</v>
      </c>
      <c r="G1600">
        <v>1</v>
      </c>
      <c r="H1600" s="1" t="s">
        <v>14</v>
      </c>
      <c r="I1600" s="1" t="s">
        <v>15</v>
      </c>
      <c r="J1600" s="12">
        <v>45777</v>
      </c>
      <c r="K1600">
        <v>0</v>
      </c>
      <c r="L1600" s="1">
        <f t="shared" si="96"/>
        <v>8.8000000000000007</v>
      </c>
      <c r="M1600" s="1" t="str">
        <f t="shared" si="97"/>
        <v/>
      </c>
      <c r="N1600" s="2">
        <f t="shared" si="98"/>
        <v>45748</v>
      </c>
      <c r="O1600" t="str">
        <f t="shared" si="99"/>
        <v>pes</v>
      </c>
    </row>
    <row r="1601" spans="1:15" hidden="1" x14ac:dyDescent="0.25">
      <c r="A1601">
        <v>9108</v>
      </c>
      <c r="B1601" s="11">
        <v>4010123456783</v>
      </c>
      <c r="C1601" s="1" t="s">
        <v>35</v>
      </c>
      <c r="D1601" s="1" t="s">
        <v>36</v>
      </c>
      <c r="E1601" s="1" t="s">
        <v>37</v>
      </c>
      <c r="F1601">
        <v>14</v>
      </c>
      <c r="G1601">
        <v>1</v>
      </c>
      <c r="H1601" s="1" t="s">
        <v>14</v>
      </c>
      <c r="I1601" s="1" t="s">
        <v>15</v>
      </c>
      <c r="J1601" s="12">
        <v>45777</v>
      </c>
      <c r="K1601">
        <v>0</v>
      </c>
      <c r="L1601" s="1">
        <f t="shared" si="96"/>
        <v>14</v>
      </c>
      <c r="M1601" s="1" t="str">
        <f t="shared" si="97"/>
        <v/>
      </c>
      <c r="N1601" s="2">
        <f t="shared" si="98"/>
        <v>45748</v>
      </c>
      <c r="O1601" t="str">
        <f t="shared" si="99"/>
        <v>mačka</v>
      </c>
    </row>
    <row r="1602" spans="1:15" x14ac:dyDescent="0.25">
      <c r="A1602">
        <v>9109</v>
      </c>
      <c r="B1602" s="11">
        <v>4063456789014</v>
      </c>
      <c r="C1602" s="1" t="s">
        <v>60</v>
      </c>
      <c r="D1602" s="1" t="s">
        <v>12</v>
      </c>
      <c r="E1602" s="1" t="s">
        <v>61</v>
      </c>
      <c r="F1602">
        <v>36</v>
      </c>
      <c r="G1602">
        <v>1</v>
      </c>
      <c r="H1602" s="1" t="s">
        <v>14</v>
      </c>
      <c r="I1602" s="1" t="s">
        <v>15</v>
      </c>
      <c r="J1602" s="12">
        <v>45777</v>
      </c>
      <c r="K1602">
        <v>0</v>
      </c>
      <c r="L1602" s="1">
        <f t="shared" ref="L1602:L1665" si="100">F1602*G1602</f>
        <v>36</v>
      </c>
      <c r="M1602" s="1" t="str">
        <f t="shared" ref="M1602:M1665" si="101">IF(H1602="NULL", "",VALUE(H1602))</f>
        <v/>
      </c>
      <c r="N1602" s="2">
        <f t="shared" ref="N1602:N1665" si="102">DATE(YEAR(J1602),MONTH(J1602),1)</f>
        <v>45748</v>
      </c>
      <c r="O1602" t="str">
        <f t="shared" ref="O1602:O1665" si="103">IF(ISNUMBER(SEARCH("Mačky",D1602)),"mačka",IF(ISNUMBER(SEARCH("Psy",D1602)),"pes","iné"))</f>
        <v>pes</v>
      </c>
    </row>
    <row r="1603" spans="1:15" hidden="1" x14ac:dyDescent="0.25">
      <c r="A1603">
        <v>9110</v>
      </c>
      <c r="B1603" s="11">
        <v>4021234567894</v>
      </c>
      <c r="C1603" s="1" t="s">
        <v>79</v>
      </c>
      <c r="D1603" s="1" t="s">
        <v>36</v>
      </c>
      <c r="E1603" s="1" t="s">
        <v>69</v>
      </c>
      <c r="F1603">
        <v>8</v>
      </c>
      <c r="G1603">
        <v>1</v>
      </c>
      <c r="H1603" s="1" t="s">
        <v>14</v>
      </c>
      <c r="I1603" s="1" t="s">
        <v>15</v>
      </c>
      <c r="J1603" s="12">
        <v>45777</v>
      </c>
      <c r="K1603">
        <v>0</v>
      </c>
      <c r="L1603" s="1">
        <f t="shared" si="100"/>
        <v>8</v>
      </c>
      <c r="M1603" s="1" t="str">
        <f t="shared" si="101"/>
        <v/>
      </c>
      <c r="N1603" s="2">
        <f t="shared" si="102"/>
        <v>45748</v>
      </c>
      <c r="O1603" t="str">
        <f t="shared" si="103"/>
        <v>mačka</v>
      </c>
    </row>
    <row r="1604" spans="1:15" hidden="1" x14ac:dyDescent="0.25">
      <c r="A1604">
        <v>9111</v>
      </c>
      <c r="B1604" s="11">
        <v>4056789012345</v>
      </c>
      <c r="C1604" s="1" t="s">
        <v>47</v>
      </c>
      <c r="D1604" s="1" t="s">
        <v>29</v>
      </c>
      <c r="E1604" s="1" t="s">
        <v>37</v>
      </c>
      <c r="F1604">
        <v>2.4</v>
      </c>
      <c r="G1604">
        <v>3</v>
      </c>
      <c r="H1604" s="1" t="s">
        <v>14</v>
      </c>
      <c r="I1604" s="1" t="s">
        <v>15</v>
      </c>
      <c r="J1604" s="12">
        <v>45777</v>
      </c>
      <c r="K1604">
        <v>0</v>
      </c>
      <c r="L1604" s="1">
        <f t="shared" si="100"/>
        <v>7.1999999999999993</v>
      </c>
      <c r="M1604" s="1" t="str">
        <f t="shared" si="101"/>
        <v/>
      </c>
      <c r="N1604" s="2">
        <f t="shared" si="102"/>
        <v>45748</v>
      </c>
      <c r="O1604" t="str">
        <f t="shared" si="103"/>
        <v>mačka</v>
      </c>
    </row>
    <row r="1605" spans="1:15" x14ac:dyDescent="0.25">
      <c r="A1605">
        <v>9112</v>
      </c>
      <c r="B1605" s="11">
        <v>4061011223346</v>
      </c>
      <c r="C1605" s="1" t="s">
        <v>25</v>
      </c>
      <c r="D1605" s="1" t="s">
        <v>26</v>
      </c>
      <c r="E1605" s="1" t="s">
        <v>27</v>
      </c>
      <c r="F1605">
        <v>19.600000000000001</v>
      </c>
      <c r="G1605">
        <v>1</v>
      </c>
      <c r="H1605" s="1" t="s">
        <v>14</v>
      </c>
      <c r="I1605" s="1" t="s">
        <v>15</v>
      </c>
      <c r="J1605" s="12">
        <v>45777</v>
      </c>
      <c r="K1605">
        <v>0</v>
      </c>
      <c r="L1605" s="1">
        <f t="shared" si="100"/>
        <v>19.600000000000001</v>
      </c>
      <c r="M1605" s="1" t="str">
        <f t="shared" si="101"/>
        <v/>
      </c>
      <c r="N1605" s="2">
        <f t="shared" si="102"/>
        <v>45748</v>
      </c>
      <c r="O1605" t="str">
        <f t="shared" si="103"/>
        <v>pes</v>
      </c>
    </row>
    <row r="1606" spans="1:15" hidden="1" x14ac:dyDescent="0.25">
      <c r="A1606">
        <v>9113</v>
      </c>
      <c r="B1606" s="11">
        <v>4026677889902</v>
      </c>
      <c r="C1606" s="1" t="s">
        <v>52</v>
      </c>
      <c r="D1606" s="1" t="s">
        <v>53</v>
      </c>
      <c r="E1606" s="1" t="s">
        <v>54</v>
      </c>
      <c r="F1606">
        <v>7.6</v>
      </c>
      <c r="G1606">
        <v>1</v>
      </c>
      <c r="H1606" s="1" t="s">
        <v>14</v>
      </c>
      <c r="I1606" s="1" t="s">
        <v>15</v>
      </c>
      <c r="J1606" s="12">
        <v>45777</v>
      </c>
      <c r="K1606">
        <v>0</v>
      </c>
      <c r="L1606" s="1">
        <f t="shared" si="100"/>
        <v>7.6</v>
      </c>
      <c r="M1606" s="1" t="str">
        <f t="shared" si="101"/>
        <v/>
      </c>
      <c r="N1606" s="2">
        <f t="shared" si="102"/>
        <v>45748</v>
      </c>
      <c r="O1606" t="str">
        <f t="shared" si="103"/>
        <v>iné</v>
      </c>
    </row>
    <row r="1607" spans="1:15" x14ac:dyDescent="0.25">
      <c r="A1607">
        <v>9114</v>
      </c>
      <c r="B1607" s="11">
        <v>4028899001126</v>
      </c>
      <c r="C1607" s="1" t="s">
        <v>16</v>
      </c>
      <c r="D1607" s="1" t="s">
        <v>12</v>
      </c>
      <c r="E1607" s="1" t="s">
        <v>17</v>
      </c>
      <c r="F1607">
        <v>2.8</v>
      </c>
      <c r="G1607">
        <v>4</v>
      </c>
      <c r="H1607" s="1" t="s">
        <v>14</v>
      </c>
      <c r="I1607" s="1" t="s">
        <v>15</v>
      </c>
      <c r="J1607" s="12">
        <v>45777</v>
      </c>
      <c r="K1607">
        <v>0</v>
      </c>
      <c r="L1607" s="1">
        <f t="shared" si="100"/>
        <v>11.2</v>
      </c>
      <c r="M1607" s="1" t="str">
        <f t="shared" si="101"/>
        <v/>
      </c>
      <c r="N1607" s="2">
        <f t="shared" si="102"/>
        <v>45748</v>
      </c>
      <c r="O1607" t="str">
        <f t="shared" si="103"/>
        <v>pes</v>
      </c>
    </row>
    <row r="1608" spans="1:15" x14ac:dyDescent="0.25">
      <c r="A1608">
        <v>9115</v>
      </c>
      <c r="B1608" s="11">
        <v>4013456789017</v>
      </c>
      <c r="C1608" s="1" t="s">
        <v>11</v>
      </c>
      <c r="D1608" s="1" t="s">
        <v>12</v>
      </c>
      <c r="E1608" s="1" t="s">
        <v>13</v>
      </c>
      <c r="F1608">
        <v>6</v>
      </c>
      <c r="G1608">
        <v>1</v>
      </c>
      <c r="H1608" s="1" t="s">
        <v>14</v>
      </c>
      <c r="I1608" s="1" t="s">
        <v>15</v>
      </c>
      <c r="J1608" s="12">
        <v>45777</v>
      </c>
      <c r="K1608">
        <v>0</v>
      </c>
      <c r="L1608" s="1">
        <f t="shared" si="100"/>
        <v>6</v>
      </c>
      <c r="M1608" s="1" t="str">
        <f t="shared" si="101"/>
        <v/>
      </c>
      <c r="N1608" s="2">
        <f t="shared" si="102"/>
        <v>45748</v>
      </c>
      <c r="O1608" t="str">
        <f t="shared" si="103"/>
        <v>pes</v>
      </c>
    </row>
    <row r="1609" spans="1:15" x14ac:dyDescent="0.25">
      <c r="A1609">
        <v>9116</v>
      </c>
      <c r="B1609" s="11">
        <v>4040123456795</v>
      </c>
      <c r="C1609" s="1" t="s">
        <v>20</v>
      </c>
      <c r="D1609" s="1" t="s">
        <v>21</v>
      </c>
      <c r="E1609" s="1" t="s">
        <v>22</v>
      </c>
      <c r="F1609">
        <v>8.8000000000000007</v>
      </c>
      <c r="G1609">
        <v>1</v>
      </c>
      <c r="H1609" s="1" t="s">
        <v>14</v>
      </c>
      <c r="I1609" s="1" t="s">
        <v>15</v>
      </c>
      <c r="J1609" s="12">
        <v>45777</v>
      </c>
      <c r="K1609">
        <v>0</v>
      </c>
      <c r="L1609" s="1">
        <f t="shared" si="100"/>
        <v>8.8000000000000007</v>
      </c>
      <c r="M1609" s="1" t="str">
        <f t="shared" si="101"/>
        <v/>
      </c>
      <c r="N1609" s="2">
        <f t="shared" si="102"/>
        <v>45748</v>
      </c>
      <c r="O1609" t="str">
        <f t="shared" si="103"/>
        <v>pes</v>
      </c>
    </row>
    <row r="1610" spans="1:15" hidden="1" x14ac:dyDescent="0.25">
      <c r="A1610">
        <v>9117</v>
      </c>
      <c r="B1610" s="11">
        <v>4010123456783</v>
      </c>
      <c r="C1610" s="1" t="s">
        <v>35</v>
      </c>
      <c r="D1610" s="1" t="s">
        <v>36</v>
      </c>
      <c r="E1610" s="1" t="s">
        <v>37</v>
      </c>
      <c r="F1610">
        <v>14</v>
      </c>
      <c r="G1610">
        <v>1</v>
      </c>
      <c r="H1610" s="1" t="s">
        <v>14</v>
      </c>
      <c r="I1610" s="1" t="s">
        <v>15</v>
      </c>
      <c r="J1610" s="12">
        <v>45777</v>
      </c>
      <c r="K1610">
        <v>0</v>
      </c>
      <c r="L1610" s="1">
        <f t="shared" si="100"/>
        <v>14</v>
      </c>
      <c r="M1610" s="1" t="str">
        <f t="shared" si="101"/>
        <v/>
      </c>
      <c r="N1610" s="2">
        <f t="shared" si="102"/>
        <v>45748</v>
      </c>
      <c r="O1610" t="str">
        <f t="shared" si="103"/>
        <v>mačka</v>
      </c>
    </row>
    <row r="1611" spans="1:15" x14ac:dyDescent="0.25">
      <c r="A1611">
        <v>9118</v>
      </c>
      <c r="B1611" s="11">
        <v>4063456789014</v>
      </c>
      <c r="C1611" s="1" t="s">
        <v>60</v>
      </c>
      <c r="D1611" s="1" t="s">
        <v>12</v>
      </c>
      <c r="E1611" s="1" t="s">
        <v>61</v>
      </c>
      <c r="F1611">
        <v>36</v>
      </c>
      <c r="G1611">
        <v>1</v>
      </c>
      <c r="H1611" s="1" t="s">
        <v>14</v>
      </c>
      <c r="I1611" s="1" t="s">
        <v>15</v>
      </c>
      <c r="J1611" s="12">
        <v>45777</v>
      </c>
      <c r="K1611">
        <v>0</v>
      </c>
      <c r="L1611" s="1">
        <f t="shared" si="100"/>
        <v>36</v>
      </c>
      <c r="M1611" s="1" t="str">
        <f t="shared" si="101"/>
        <v/>
      </c>
      <c r="N1611" s="2">
        <f t="shared" si="102"/>
        <v>45748</v>
      </c>
      <c r="O1611" t="str">
        <f t="shared" si="103"/>
        <v>pes</v>
      </c>
    </row>
    <row r="1612" spans="1:15" hidden="1" x14ac:dyDescent="0.25">
      <c r="A1612">
        <v>9119</v>
      </c>
      <c r="B1612" s="11">
        <v>4021234567894</v>
      </c>
      <c r="C1612" s="1" t="s">
        <v>79</v>
      </c>
      <c r="D1612" s="1" t="s">
        <v>36</v>
      </c>
      <c r="E1612" s="1" t="s">
        <v>69</v>
      </c>
      <c r="F1612">
        <v>8</v>
      </c>
      <c r="G1612">
        <v>1</v>
      </c>
      <c r="H1612" s="1" t="s">
        <v>14</v>
      </c>
      <c r="I1612" s="1" t="s">
        <v>15</v>
      </c>
      <c r="J1612" s="12">
        <v>45777</v>
      </c>
      <c r="K1612">
        <v>0</v>
      </c>
      <c r="L1612" s="1">
        <f t="shared" si="100"/>
        <v>8</v>
      </c>
      <c r="M1612" s="1" t="str">
        <f t="shared" si="101"/>
        <v/>
      </c>
      <c r="N1612" s="2">
        <f t="shared" si="102"/>
        <v>45748</v>
      </c>
      <c r="O1612" t="str">
        <f t="shared" si="103"/>
        <v>mačka</v>
      </c>
    </row>
    <row r="1613" spans="1:15" hidden="1" x14ac:dyDescent="0.25">
      <c r="A1613">
        <v>9120</v>
      </c>
      <c r="B1613" s="11">
        <v>4056789012345</v>
      </c>
      <c r="C1613" s="1" t="s">
        <v>47</v>
      </c>
      <c r="D1613" s="1" t="s">
        <v>29</v>
      </c>
      <c r="E1613" s="1" t="s">
        <v>37</v>
      </c>
      <c r="F1613">
        <v>2.4</v>
      </c>
      <c r="G1613">
        <v>3</v>
      </c>
      <c r="H1613" s="1" t="s">
        <v>14</v>
      </c>
      <c r="I1613" s="1" t="s">
        <v>15</v>
      </c>
      <c r="J1613" s="12">
        <v>45777</v>
      </c>
      <c r="K1613">
        <v>0</v>
      </c>
      <c r="L1613" s="1">
        <f t="shared" si="100"/>
        <v>7.1999999999999993</v>
      </c>
      <c r="M1613" s="1" t="str">
        <f t="shared" si="101"/>
        <v/>
      </c>
      <c r="N1613" s="2">
        <f t="shared" si="102"/>
        <v>45748</v>
      </c>
      <c r="O1613" t="str">
        <f t="shared" si="103"/>
        <v>mačka</v>
      </c>
    </row>
    <row r="1614" spans="1:15" x14ac:dyDescent="0.25">
      <c r="A1614">
        <v>9121</v>
      </c>
      <c r="B1614" s="11">
        <v>4061011223346</v>
      </c>
      <c r="C1614" s="1" t="s">
        <v>25</v>
      </c>
      <c r="D1614" s="1" t="s">
        <v>26</v>
      </c>
      <c r="E1614" s="1" t="s">
        <v>27</v>
      </c>
      <c r="F1614">
        <v>19.600000000000001</v>
      </c>
      <c r="G1614">
        <v>1</v>
      </c>
      <c r="H1614" s="1" t="s">
        <v>14</v>
      </c>
      <c r="I1614" s="1" t="s">
        <v>15</v>
      </c>
      <c r="J1614" s="12">
        <v>45777</v>
      </c>
      <c r="K1614">
        <v>0</v>
      </c>
      <c r="L1614" s="1">
        <f t="shared" si="100"/>
        <v>19.600000000000001</v>
      </c>
      <c r="M1614" s="1" t="str">
        <f t="shared" si="101"/>
        <v/>
      </c>
      <c r="N1614" s="2">
        <f t="shared" si="102"/>
        <v>45748</v>
      </c>
      <c r="O1614" t="str">
        <f t="shared" si="103"/>
        <v>pes</v>
      </c>
    </row>
    <row r="1615" spans="1:15" hidden="1" x14ac:dyDescent="0.25">
      <c r="A1615">
        <v>9122</v>
      </c>
      <c r="B1615" s="11">
        <v>4026677889902</v>
      </c>
      <c r="C1615" s="1" t="s">
        <v>52</v>
      </c>
      <c r="D1615" s="1" t="s">
        <v>53</v>
      </c>
      <c r="E1615" s="1" t="s">
        <v>54</v>
      </c>
      <c r="F1615">
        <v>7.6</v>
      </c>
      <c r="G1615">
        <v>1</v>
      </c>
      <c r="H1615" s="1" t="s">
        <v>14</v>
      </c>
      <c r="I1615" s="1" t="s">
        <v>15</v>
      </c>
      <c r="J1615" s="12">
        <v>45777</v>
      </c>
      <c r="K1615">
        <v>0</v>
      </c>
      <c r="L1615" s="1">
        <f t="shared" si="100"/>
        <v>7.6</v>
      </c>
      <c r="M1615" s="1" t="str">
        <f t="shared" si="101"/>
        <v/>
      </c>
      <c r="N1615" s="2">
        <f t="shared" si="102"/>
        <v>45748</v>
      </c>
      <c r="O1615" t="str">
        <f t="shared" si="103"/>
        <v>iné</v>
      </c>
    </row>
    <row r="1616" spans="1:15" x14ac:dyDescent="0.25">
      <c r="A1616">
        <v>9123</v>
      </c>
      <c r="B1616" s="11">
        <v>4028899001126</v>
      </c>
      <c r="C1616" s="1" t="s">
        <v>16</v>
      </c>
      <c r="D1616" s="1" t="s">
        <v>12</v>
      </c>
      <c r="E1616" s="1" t="s">
        <v>17</v>
      </c>
      <c r="F1616">
        <v>2.8</v>
      </c>
      <c r="G1616">
        <v>4</v>
      </c>
      <c r="H1616" s="1" t="s">
        <v>23</v>
      </c>
      <c r="I1616" s="1" t="s">
        <v>261</v>
      </c>
      <c r="J1616" s="12">
        <v>45777</v>
      </c>
      <c r="K1616">
        <v>0</v>
      </c>
      <c r="L1616" s="1">
        <f t="shared" si="100"/>
        <v>11.2</v>
      </c>
      <c r="M1616" s="1">
        <f t="shared" si="101"/>
        <v>5</v>
      </c>
      <c r="N1616" s="2">
        <f t="shared" si="102"/>
        <v>45748</v>
      </c>
      <c r="O1616" t="str">
        <f t="shared" si="103"/>
        <v>pes</v>
      </c>
    </row>
    <row r="1617" spans="1:15" x14ac:dyDescent="0.25">
      <c r="A1617">
        <v>9124</v>
      </c>
      <c r="B1617" s="11">
        <v>4013456789017</v>
      </c>
      <c r="C1617" s="1" t="s">
        <v>11</v>
      </c>
      <c r="D1617" s="1" t="s">
        <v>12</v>
      </c>
      <c r="E1617" s="1" t="s">
        <v>13</v>
      </c>
      <c r="F1617">
        <v>6</v>
      </c>
      <c r="G1617">
        <v>1</v>
      </c>
      <c r="H1617" s="1" t="s">
        <v>14</v>
      </c>
      <c r="I1617" s="1" t="s">
        <v>15</v>
      </c>
      <c r="J1617" s="12">
        <v>45777</v>
      </c>
      <c r="K1617">
        <v>0</v>
      </c>
      <c r="L1617" s="1">
        <f t="shared" si="100"/>
        <v>6</v>
      </c>
      <c r="M1617" s="1" t="str">
        <f t="shared" si="101"/>
        <v/>
      </c>
      <c r="N1617" s="2">
        <f t="shared" si="102"/>
        <v>45748</v>
      </c>
      <c r="O1617" t="str">
        <f t="shared" si="103"/>
        <v>pes</v>
      </c>
    </row>
    <row r="1618" spans="1:15" x14ac:dyDescent="0.25">
      <c r="A1618">
        <v>9125</v>
      </c>
      <c r="B1618" s="11">
        <v>4040123456795</v>
      </c>
      <c r="C1618" s="1" t="s">
        <v>20</v>
      </c>
      <c r="D1618" s="1" t="s">
        <v>21</v>
      </c>
      <c r="E1618" s="1" t="s">
        <v>22</v>
      </c>
      <c r="F1618">
        <v>8.8000000000000007</v>
      </c>
      <c r="G1618">
        <v>1</v>
      </c>
      <c r="H1618" s="1" t="s">
        <v>14</v>
      </c>
      <c r="I1618" s="1" t="s">
        <v>15</v>
      </c>
      <c r="J1618" s="12">
        <v>45777</v>
      </c>
      <c r="K1618">
        <v>0</v>
      </c>
      <c r="L1618" s="1">
        <f t="shared" si="100"/>
        <v>8.8000000000000007</v>
      </c>
      <c r="M1618" s="1" t="str">
        <f t="shared" si="101"/>
        <v/>
      </c>
      <c r="N1618" s="2">
        <f t="shared" si="102"/>
        <v>45748</v>
      </c>
      <c r="O1618" t="str">
        <f t="shared" si="103"/>
        <v>pes</v>
      </c>
    </row>
    <row r="1619" spans="1:15" hidden="1" x14ac:dyDescent="0.25">
      <c r="A1619">
        <v>9126</v>
      </c>
      <c r="B1619" s="11">
        <v>4010123456783</v>
      </c>
      <c r="C1619" s="1" t="s">
        <v>35</v>
      </c>
      <c r="D1619" s="1" t="s">
        <v>36</v>
      </c>
      <c r="E1619" s="1" t="s">
        <v>37</v>
      </c>
      <c r="F1619">
        <v>14</v>
      </c>
      <c r="G1619">
        <v>1</v>
      </c>
      <c r="H1619" s="1" t="s">
        <v>14</v>
      </c>
      <c r="I1619" s="1" t="s">
        <v>15</v>
      </c>
      <c r="J1619" s="12">
        <v>45777</v>
      </c>
      <c r="K1619">
        <v>0</v>
      </c>
      <c r="L1619" s="1">
        <f t="shared" si="100"/>
        <v>14</v>
      </c>
      <c r="M1619" s="1" t="str">
        <f t="shared" si="101"/>
        <v/>
      </c>
      <c r="N1619" s="2">
        <f t="shared" si="102"/>
        <v>45748</v>
      </c>
      <c r="O1619" t="str">
        <f t="shared" si="103"/>
        <v>mačka</v>
      </c>
    </row>
    <row r="1620" spans="1:15" x14ac:dyDescent="0.25">
      <c r="A1620">
        <v>9127</v>
      </c>
      <c r="B1620" s="11">
        <v>4063456789014</v>
      </c>
      <c r="C1620" s="1" t="s">
        <v>60</v>
      </c>
      <c r="D1620" s="1" t="s">
        <v>12</v>
      </c>
      <c r="E1620" s="1" t="s">
        <v>61</v>
      </c>
      <c r="F1620">
        <v>36</v>
      </c>
      <c r="G1620">
        <v>1</v>
      </c>
      <c r="H1620" s="1" t="s">
        <v>14</v>
      </c>
      <c r="I1620" s="1" t="s">
        <v>15</v>
      </c>
      <c r="J1620" s="12">
        <v>45777</v>
      </c>
      <c r="K1620">
        <v>0</v>
      </c>
      <c r="L1620" s="1">
        <f t="shared" si="100"/>
        <v>36</v>
      </c>
      <c r="M1620" s="1" t="str">
        <f t="shared" si="101"/>
        <v/>
      </c>
      <c r="N1620" s="2">
        <f t="shared" si="102"/>
        <v>45748</v>
      </c>
      <c r="O1620" t="str">
        <f t="shared" si="103"/>
        <v>pes</v>
      </c>
    </row>
    <row r="1621" spans="1:15" hidden="1" x14ac:dyDescent="0.25">
      <c r="A1621">
        <v>9128</v>
      </c>
      <c r="B1621" s="11">
        <v>4021234567894</v>
      </c>
      <c r="C1621" s="1" t="s">
        <v>79</v>
      </c>
      <c r="D1621" s="1" t="s">
        <v>36</v>
      </c>
      <c r="E1621" s="1" t="s">
        <v>69</v>
      </c>
      <c r="F1621">
        <v>8</v>
      </c>
      <c r="G1621">
        <v>1</v>
      </c>
      <c r="H1621" s="1" t="s">
        <v>14</v>
      </c>
      <c r="I1621" s="1" t="s">
        <v>15</v>
      </c>
      <c r="J1621" s="12">
        <v>45777</v>
      </c>
      <c r="K1621">
        <v>0</v>
      </c>
      <c r="L1621" s="1">
        <f t="shared" si="100"/>
        <v>8</v>
      </c>
      <c r="M1621" s="1" t="str">
        <f t="shared" si="101"/>
        <v/>
      </c>
      <c r="N1621" s="2">
        <f t="shared" si="102"/>
        <v>45748</v>
      </c>
      <c r="O1621" t="str">
        <f t="shared" si="103"/>
        <v>mačka</v>
      </c>
    </row>
    <row r="1622" spans="1:15" hidden="1" x14ac:dyDescent="0.25">
      <c r="A1622">
        <v>9129</v>
      </c>
      <c r="B1622" s="11">
        <v>4056789012345</v>
      </c>
      <c r="C1622" s="1" t="s">
        <v>47</v>
      </c>
      <c r="D1622" s="1" t="s">
        <v>29</v>
      </c>
      <c r="E1622" s="1" t="s">
        <v>37</v>
      </c>
      <c r="F1622">
        <v>2.4</v>
      </c>
      <c r="G1622">
        <v>2</v>
      </c>
      <c r="H1622" s="1" t="s">
        <v>14</v>
      </c>
      <c r="I1622" s="1" t="s">
        <v>15</v>
      </c>
      <c r="J1622" s="12">
        <v>45777</v>
      </c>
      <c r="K1622">
        <v>0</v>
      </c>
      <c r="L1622" s="1">
        <f t="shared" si="100"/>
        <v>4.8</v>
      </c>
      <c r="M1622" s="1" t="str">
        <f t="shared" si="101"/>
        <v/>
      </c>
      <c r="N1622" s="2">
        <f t="shared" si="102"/>
        <v>45748</v>
      </c>
      <c r="O1622" t="str">
        <f t="shared" si="103"/>
        <v>mačka</v>
      </c>
    </row>
    <row r="1623" spans="1:15" x14ac:dyDescent="0.25">
      <c r="A1623">
        <v>9130</v>
      </c>
      <c r="B1623" s="11">
        <v>4061011223346</v>
      </c>
      <c r="C1623" s="1" t="s">
        <v>25</v>
      </c>
      <c r="D1623" s="1" t="s">
        <v>26</v>
      </c>
      <c r="E1623" s="1" t="s">
        <v>27</v>
      </c>
      <c r="F1623">
        <v>19.600000000000001</v>
      </c>
      <c r="G1623">
        <v>1</v>
      </c>
      <c r="H1623" s="1" t="s">
        <v>14</v>
      </c>
      <c r="I1623" s="1" t="s">
        <v>15</v>
      </c>
      <c r="J1623" s="12">
        <v>45777</v>
      </c>
      <c r="K1623">
        <v>0</v>
      </c>
      <c r="L1623" s="1">
        <f t="shared" si="100"/>
        <v>19.600000000000001</v>
      </c>
      <c r="M1623" s="1" t="str">
        <f t="shared" si="101"/>
        <v/>
      </c>
      <c r="N1623" s="2">
        <f t="shared" si="102"/>
        <v>45748</v>
      </c>
      <c r="O1623" t="str">
        <f t="shared" si="103"/>
        <v>pes</v>
      </c>
    </row>
    <row r="1624" spans="1:15" hidden="1" x14ac:dyDescent="0.25">
      <c r="A1624">
        <v>9131</v>
      </c>
      <c r="B1624" s="11">
        <v>4026677889902</v>
      </c>
      <c r="C1624" s="1" t="s">
        <v>52</v>
      </c>
      <c r="D1624" s="1" t="s">
        <v>53</v>
      </c>
      <c r="E1624" s="1" t="s">
        <v>54</v>
      </c>
      <c r="F1624">
        <v>7.6</v>
      </c>
      <c r="G1624">
        <v>1</v>
      </c>
      <c r="H1624" s="1" t="s">
        <v>14</v>
      </c>
      <c r="I1624" s="1" t="s">
        <v>15</v>
      </c>
      <c r="J1624" s="12">
        <v>45777</v>
      </c>
      <c r="K1624">
        <v>0</v>
      </c>
      <c r="L1624" s="1">
        <f t="shared" si="100"/>
        <v>7.6</v>
      </c>
      <c r="M1624" s="1" t="str">
        <f t="shared" si="101"/>
        <v/>
      </c>
      <c r="N1624" s="2">
        <f t="shared" si="102"/>
        <v>45748</v>
      </c>
      <c r="O1624" t="str">
        <f t="shared" si="103"/>
        <v>iné</v>
      </c>
    </row>
    <row r="1625" spans="1:15" x14ac:dyDescent="0.25">
      <c r="A1625">
        <v>9133</v>
      </c>
      <c r="B1625" s="11">
        <v>4013456789017</v>
      </c>
      <c r="C1625" s="1" t="s">
        <v>11</v>
      </c>
      <c r="D1625" s="1" t="s">
        <v>12</v>
      </c>
      <c r="E1625" s="1" t="s">
        <v>13</v>
      </c>
      <c r="F1625">
        <v>6</v>
      </c>
      <c r="G1625">
        <v>1</v>
      </c>
      <c r="H1625" s="1" t="s">
        <v>14</v>
      </c>
      <c r="I1625" s="1" t="s">
        <v>15</v>
      </c>
      <c r="J1625" s="12">
        <v>45777</v>
      </c>
      <c r="K1625">
        <v>0</v>
      </c>
      <c r="L1625" s="1">
        <f t="shared" si="100"/>
        <v>6</v>
      </c>
      <c r="M1625" s="1" t="str">
        <f t="shared" si="101"/>
        <v/>
      </c>
      <c r="N1625" s="2">
        <f t="shared" si="102"/>
        <v>45748</v>
      </c>
      <c r="O1625" t="str">
        <f t="shared" si="103"/>
        <v>pes</v>
      </c>
    </row>
    <row r="1626" spans="1:15" x14ac:dyDescent="0.25">
      <c r="A1626">
        <v>9134</v>
      </c>
      <c r="B1626" s="11">
        <v>4040123456795</v>
      </c>
      <c r="C1626" s="1" t="s">
        <v>20</v>
      </c>
      <c r="D1626" s="1" t="s">
        <v>21</v>
      </c>
      <c r="E1626" s="1" t="s">
        <v>22</v>
      </c>
      <c r="F1626">
        <v>8.8000000000000007</v>
      </c>
      <c r="G1626">
        <v>1</v>
      </c>
      <c r="H1626" s="1" t="s">
        <v>14</v>
      </c>
      <c r="I1626" s="1" t="s">
        <v>15</v>
      </c>
      <c r="J1626" s="12">
        <v>45777</v>
      </c>
      <c r="K1626">
        <v>0</v>
      </c>
      <c r="L1626" s="1">
        <f t="shared" si="100"/>
        <v>8.8000000000000007</v>
      </c>
      <c r="M1626" s="1" t="str">
        <f t="shared" si="101"/>
        <v/>
      </c>
      <c r="N1626" s="2">
        <f t="shared" si="102"/>
        <v>45748</v>
      </c>
      <c r="O1626" t="str">
        <f t="shared" si="103"/>
        <v>pes</v>
      </c>
    </row>
    <row r="1627" spans="1:15" hidden="1" x14ac:dyDescent="0.25">
      <c r="A1627">
        <v>9135</v>
      </c>
      <c r="B1627" s="11">
        <v>4010123456783</v>
      </c>
      <c r="C1627" s="1" t="s">
        <v>35</v>
      </c>
      <c r="D1627" s="1" t="s">
        <v>36</v>
      </c>
      <c r="E1627" s="1" t="s">
        <v>37</v>
      </c>
      <c r="F1627">
        <v>14</v>
      </c>
      <c r="G1627">
        <v>1</v>
      </c>
      <c r="H1627" s="1" t="s">
        <v>14</v>
      </c>
      <c r="I1627" s="1" t="s">
        <v>15</v>
      </c>
      <c r="J1627" s="12">
        <v>45777</v>
      </c>
      <c r="K1627">
        <v>0</v>
      </c>
      <c r="L1627" s="1">
        <f t="shared" si="100"/>
        <v>14</v>
      </c>
      <c r="M1627" s="1" t="str">
        <f t="shared" si="101"/>
        <v/>
      </c>
      <c r="N1627" s="2">
        <f t="shared" si="102"/>
        <v>45748</v>
      </c>
      <c r="O1627" t="str">
        <f t="shared" si="103"/>
        <v>mačka</v>
      </c>
    </row>
    <row r="1628" spans="1:15" x14ac:dyDescent="0.25">
      <c r="A1628">
        <v>9136</v>
      </c>
      <c r="B1628" s="11">
        <v>4063456789014</v>
      </c>
      <c r="C1628" s="1" t="s">
        <v>60</v>
      </c>
      <c r="D1628" s="1" t="s">
        <v>12</v>
      </c>
      <c r="E1628" s="1" t="s">
        <v>61</v>
      </c>
      <c r="F1628">
        <v>36</v>
      </c>
      <c r="G1628">
        <v>1</v>
      </c>
      <c r="H1628" s="1" t="s">
        <v>14</v>
      </c>
      <c r="I1628" s="1" t="s">
        <v>15</v>
      </c>
      <c r="J1628" s="12">
        <v>45777</v>
      </c>
      <c r="K1628">
        <v>0</v>
      </c>
      <c r="L1628" s="1">
        <f t="shared" si="100"/>
        <v>36</v>
      </c>
      <c r="M1628" s="1" t="str">
        <f t="shared" si="101"/>
        <v/>
      </c>
      <c r="N1628" s="2">
        <f t="shared" si="102"/>
        <v>45748</v>
      </c>
      <c r="O1628" t="str">
        <f t="shared" si="103"/>
        <v>pes</v>
      </c>
    </row>
    <row r="1629" spans="1:15" hidden="1" x14ac:dyDescent="0.25">
      <c r="A1629">
        <v>9137</v>
      </c>
      <c r="B1629" s="11">
        <v>4021234567894</v>
      </c>
      <c r="C1629" s="1" t="s">
        <v>79</v>
      </c>
      <c r="D1629" s="1" t="s">
        <v>36</v>
      </c>
      <c r="E1629" s="1" t="s">
        <v>69</v>
      </c>
      <c r="F1629">
        <v>8</v>
      </c>
      <c r="G1629">
        <v>1</v>
      </c>
      <c r="H1629" s="1" t="s">
        <v>18</v>
      </c>
      <c r="I1629" s="1" t="s">
        <v>262</v>
      </c>
      <c r="J1629" s="12">
        <v>45777</v>
      </c>
      <c r="K1629">
        <v>0</v>
      </c>
      <c r="L1629" s="1">
        <f t="shared" si="100"/>
        <v>8</v>
      </c>
      <c r="M1629" s="1">
        <f t="shared" si="101"/>
        <v>4</v>
      </c>
      <c r="N1629" s="2">
        <f t="shared" si="102"/>
        <v>45748</v>
      </c>
      <c r="O1629" t="str">
        <f t="shared" si="103"/>
        <v>mačka</v>
      </c>
    </row>
    <row r="1630" spans="1:15" hidden="1" x14ac:dyDescent="0.25">
      <c r="A1630">
        <v>9138</v>
      </c>
      <c r="B1630" s="11">
        <v>4056789012345</v>
      </c>
      <c r="C1630" s="1" t="s">
        <v>47</v>
      </c>
      <c r="D1630" s="1" t="s">
        <v>29</v>
      </c>
      <c r="E1630" s="1" t="s">
        <v>37</v>
      </c>
      <c r="F1630">
        <v>2.4</v>
      </c>
      <c r="G1630">
        <v>3</v>
      </c>
      <c r="H1630" s="1" t="s">
        <v>14</v>
      </c>
      <c r="I1630" s="1" t="s">
        <v>15</v>
      </c>
      <c r="J1630" s="12">
        <v>45777</v>
      </c>
      <c r="K1630">
        <v>0</v>
      </c>
      <c r="L1630" s="1">
        <f t="shared" si="100"/>
        <v>7.1999999999999993</v>
      </c>
      <c r="M1630" s="1" t="str">
        <f t="shared" si="101"/>
        <v/>
      </c>
      <c r="N1630" s="2">
        <f t="shared" si="102"/>
        <v>45748</v>
      </c>
      <c r="O1630" t="str">
        <f t="shared" si="103"/>
        <v>mačka</v>
      </c>
    </row>
    <row r="1631" spans="1:15" x14ac:dyDescent="0.25">
      <c r="A1631">
        <v>9139</v>
      </c>
      <c r="B1631" s="11">
        <v>4061011223346</v>
      </c>
      <c r="C1631" s="1" t="s">
        <v>25</v>
      </c>
      <c r="D1631" s="1" t="s">
        <v>26</v>
      </c>
      <c r="E1631" s="1" t="s">
        <v>27</v>
      </c>
      <c r="F1631">
        <v>19.600000000000001</v>
      </c>
      <c r="G1631">
        <v>1</v>
      </c>
      <c r="H1631" s="1" t="s">
        <v>14</v>
      </c>
      <c r="I1631" s="1" t="s">
        <v>15</v>
      </c>
      <c r="J1631" s="12">
        <v>45777</v>
      </c>
      <c r="K1631">
        <v>0</v>
      </c>
      <c r="L1631" s="1">
        <f t="shared" si="100"/>
        <v>19.600000000000001</v>
      </c>
      <c r="M1631" s="1" t="str">
        <f t="shared" si="101"/>
        <v/>
      </c>
      <c r="N1631" s="2">
        <f t="shared" si="102"/>
        <v>45748</v>
      </c>
      <c r="O1631" t="str">
        <f t="shared" si="103"/>
        <v>pes</v>
      </c>
    </row>
    <row r="1632" spans="1:15" hidden="1" x14ac:dyDescent="0.25">
      <c r="A1632">
        <v>9140</v>
      </c>
      <c r="B1632" s="11">
        <v>4026677889902</v>
      </c>
      <c r="C1632" s="1" t="s">
        <v>52</v>
      </c>
      <c r="D1632" s="1" t="s">
        <v>53</v>
      </c>
      <c r="E1632" s="1" t="s">
        <v>54</v>
      </c>
      <c r="F1632">
        <v>7.6</v>
      </c>
      <c r="G1632">
        <v>1</v>
      </c>
      <c r="H1632" s="1" t="s">
        <v>14</v>
      </c>
      <c r="I1632" s="1" t="s">
        <v>15</v>
      </c>
      <c r="J1632" s="12">
        <v>45777</v>
      </c>
      <c r="K1632">
        <v>0</v>
      </c>
      <c r="L1632" s="1">
        <f t="shared" si="100"/>
        <v>7.6</v>
      </c>
      <c r="M1632" s="1" t="str">
        <f t="shared" si="101"/>
        <v/>
      </c>
      <c r="N1632" s="2">
        <f t="shared" si="102"/>
        <v>45748</v>
      </c>
      <c r="O1632" t="str">
        <f t="shared" si="103"/>
        <v>iné</v>
      </c>
    </row>
    <row r="1633" spans="1:15" x14ac:dyDescent="0.25">
      <c r="A1633">
        <v>9141</v>
      </c>
      <c r="B1633" s="11">
        <v>4028899001126</v>
      </c>
      <c r="C1633" s="1" t="s">
        <v>16</v>
      </c>
      <c r="D1633" s="1" t="s">
        <v>12</v>
      </c>
      <c r="E1633" s="1" t="s">
        <v>17</v>
      </c>
      <c r="F1633">
        <v>2.8</v>
      </c>
      <c r="G1633">
        <v>4</v>
      </c>
      <c r="H1633" s="1" t="s">
        <v>14</v>
      </c>
      <c r="I1633" s="1" t="s">
        <v>15</v>
      </c>
      <c r="J1633" s="12">
        <v>45777</v>
      </c>
      <c r="K1633">
        <v>0</v>
      </c>
      <c r="L1633" s="1">
        <f t="shared" si="100"/>
        <v>11.2</v>
      </c>
      <c r="M1633" s="1" t="str">
        <f t="shared" si="101"/>
        <v/>
      </c>
      <c r="N1633" s="2">
        <f t="shared" si="102"/>
        <v>45748</v>
      </c>
      <c r="O1633" t="str">
        <f t="shared" si="103"/>
        <v>pes</v>
      </c>
    </row>
    <row r="1634" spans="1:15" x14ac:dyDescent="0.25">
      <c r="A1634">
        <v>9142</v>
      </c>
      <c r="B1634" s="11">
        <v>4013456789017</v>
      </c>
      <c r="C1634" s="1" t="s">
        <v>11</v>
      </c>
      <c r="D1634" s="1" t="s">
        <v>12</v>
      </c>
      <c r="E1634" s="1" t="s">
        <v>13</v>
      </c>
      <c r="F1634">
        <v>6</v>
      </c>
      <c r="G1634">
        <v>1</v>
      </c>
      <c r="H1634" s="1" t="s">
        <v>14</v>
      </c>
      <c r="I1634" s="1" t="s">
        <v>15</v>
      </c>
      <c r="J1634" s="12">
        <v>45777</v>
      </c>
      <c r="K1634">
        <v>0</v>
      </c>
      <c r="L1634" s="1">
        <f t="shared" si="100"/>
        <v>6</v>
      </c>
      <c r="M1634" s="1" t="str">
        <f t="shared" si="101"/>
        <v/>
      </c>
      <c r="N1634" s="2">
        <f t="shared" si="102"/>
        <v>45748</v>
      </c>
      <c r="O1634" t="str">
        <f t="shared" si="103"/>
        <v>pes</v>
      </c>
    </row>
    <row r="1635" spans="1:15" x14ac:dyDescent="0.25">
      <c r="A1635">
        <v>9143</v>
      </c>
      <c r="B1635" s="11">
        <v>4040123456795</v>
      </c>
      <c r="C1635" s="1" t="s">
        <v>20</v>
      </c>
      <c r="D1635" s="1" t="s">
        <v>21</v>
      </c>
      <c r="E1635" s="1" t="s">
        <v>22</v>
      </c>
      <c r="F1635">
        <v>8.8000000000000007</v>
      </c>
      <c r="G1635">
        <v>1</v>
      </c>
      <c r="H1635" s="1" t="s">
        <v>14</v>
      </c>
      <c r="I1635" s="1" t="s">
        <v>15</v>
      </c>
      <c r="J1635" s="12">
        <v>45777</v>
      </c>
      <c r="K1635">
        <v>0</v>
      </c>
      <c r="L1635" s="1">
        <f t="shared" si="100"/>
        <v>8.8000000000000007</v>
      </c>
      <c r="M1635" s="1" t="str">
        <f t="shared" si="101"/>
        <v/>
      </c>
      <c r="N1635" s="2">
        <f t="shared" si="102"/>
        <v>45748</v>
      </c>
      <c r="O1635" t="str">
        <f t="shared" si="103"/>
        <v>pes</v>
      </c>
    </row>
    <row r="1636" spans="1:15" hidden="1" x14ac:dyDescent="0.25">
      <c r="A1636">
        <v>9144</v>
      </c>
      <c r="B1636" s="11">
        <v>4010123456783</v>
      </c>
      <c r="C1636" s="1" t="s">
        <v>35</v>
      </c>
      <c r="D1636" s="1" t="s">
        <v>36</v>
      </c>
      <c r="E1636" s="1" t="s">
        <v>37</v>
      </c>
      <c r="F1636">
        <v>14</v>
      </c>
      <c r="G1636">
        <v>1</v>
      </c>
      <c r="H1636" s="1" t="s">
        <v>14</v>
      </c>
      <c r="I1636" s="1" t="s">
        <v>15</v>
      </c>
      <c r="J1636" s="12">
        <v>45777</v>
      </c>
      <c r="K1636">
        <v>0</v>
      </c>
      <c r="L1636" s="1">
        <f t="shared" si="100"/>
        <v>14</v>
      </c>
      <c r="M1636" s="1" t="str">
        <f t="shared" si="101"/>
        <v/>
      </c>
      <c r="N1636" s="2">
        <f t="shared" si="102"/>
        <v>45748</v>
      </c>
      <c r="O1636" t="str">
        <f t="shared" si="103"/>
        <v>mačka</v>
      </c>
    </row>
    <row r="1637" spans="1:15" x14ac:dyDescent="0.25">
      <c r="A1637">
        <v>9145</v>
      </c>
      <c r="B1637" s="11">
        <v>4063456789014</v>
      </c>
      <c r="C1637" s="1" t="s">
        <v>60</v>
      </c>
      <c r="D1637" s="1" t="s">
        <v>12</v>
      </c>
      <c r="E1637" s="1" t="s">
        <v>61</v>
      </c>
      <c r="F1637">
        <v>36</v>
      </c>
      <c r="G1637">
        <v>1</v>
      </c>
      <c r="H1637" s="1" t="s">
        <v>23</v>
      </c>
      <c r="I1637" s="1" t="s">
        <v>263</v>
      </c>
      <c r="J1637" s="12">
        <v>45777</v>
      </c>
      <c r="K1637">
        <v>0</v>
      </c>
      <c r="L1637" s="1">
        <f t="shared" si="100"/>
        <v>36</v>
      </c>
      <c r="M1637" s="1">
        <f t="shared" si="101"/>
        <v>5</v>
      </c>
      <c r="N1637" s="2">
        <f t="shared" si="102"/>
        <v>45748</v>
      </c>
      <c r="O1637" t="str">
        <f t="shared" si="103"/>
        <v>pes</v>
      </c>
    </row>
    <row r="1638" spans="1:15" hidden="1" x14ac:dyDescent="0.25">
      <c r="A1638">
        <v>9146</v>
      </c>
      <c r="B1638" s="11">
        <v>4021234567894</v>
      </c>
      <c r="C1638" s="1" t="s">
        <v>79</v>
      </c>
      <c r="D1638" s="1" t="s">
        <v>36</v>
      </c>
      <c r="E1638" s="1" t="s">
        <v>69</v>
      </c>
      <c r="F1638">
        <v>8</v>
      </c>
      <c r="G1638">
        <v>1</v>
      </c>
      <c r="H1638" s="1" t="s">
        <v>14</v>
      </c>
      <c r="I1638" s="1" t="s">
        <v>15</v>
      </c>
      <c r="J1638" s="12">
        <v>45777</v>
      </c>
      <c r="K1638">
        <v>0</v>
      </c>
      <c r="L1638" s="1">
        <f t="shared" si="100"/>
        <v>8</v>
      </c>
      <c r="M1638" s="1" t="str">
        <f t="shared" si="101"/>
        <v/>
      </c>
      <c r="N1638" s="2">
        <f t="shared" si="102"/>
        <v>45748</v>
      </c>
      <c r="O1638" t="str">
        <f t="shared" si="103"/>
        <v>mačka</v>
      </c>
    </row>
    <row r="1639" spans="1:15" hidden="1" x14ac:dyDescent="0.25">
      <c r="A1639">
        <v>9147</v>
      </c>
      <c r="B1639" s="11">
        <v>4056789012345</v>
      </c>
      <c r="C1639" s="1" t="s">
        <v>47</v>
      </c>
      <c r="D1639" s="1" t="s">
        <v>29</v>
      </c>
      <c r="E1639" s="1" t="s">
        <v>37</v>
      </c>
      <c r="F1639">
        <v>2.4</v>
      </c>
      <c r="G1639">
        <v>2</v>
      </c>
      <c r="H1639" s="1" t="s">
        <v>14</v>
      </c>
      <c r="I1639" s="1" t="s">
        <v>15</v>
      </c>
      <c r="J1639" s="12">
        <v>45777</v>
      </c>
      <c r="K1639">
        <v>0</v>
      </c>
      <c r="L1639" s="1">
        <f t="shared" si="100"/>
        <v>4.8</v>
      </c>
      <c r="M1639" s="1" t="str">
        <f t="shared" si="101"/>
        <v/>
      </c>
      <c r="N1639" s="2">
        <f t="shared" si="102"/>
        <v>45748</v>
      </c>
      <c r="O1639" t="str">
        <f t="shared" si="103"/>
        <v>mačka</v>
      </c>
    </row>
    <row r="1640" spans="1:15" x14ac:dyDescent="0.25">
      <c r="A1640">
        <v>9148</v>
      </c>
      <c r="B1640" s="11">
        <v>4028899001126</v>
      </c>
      <c r="C1640" s="1" t="s">
        <v>16</v>
      </c>
      <c r="D1640" s="1" t="s">
        <v>12</v>
      </c>
      <c r="E1640" s="1" t="s">
        <v>17</v>
      </c>
      <c r="F1640">
        <v>2.8</v>
      </c>
      <c r="G1640">
        <v>4</v>
      </c>
      <c r="H1640" s="1" t="s">
        <v>14</v>
      </c>
      <c r="I1640" s="1" t="s">
        <v>15</v>
      </c>
      <c r="J1640" s="12">
        <v>45778</v>
      </c>
      <c r="K1640">
        <v>0</v>
      </c>
      <c r="L1640" s="1">
        <f t="shared" si="100"/>
        <v>11.2</v>
      </c>
      <c r="M1640" s="1" t="str">
        <f t="shared" si="101"/>
        <v/>
      </c>
      <c r="N1640" s="2">
        <f t="shared" si="102"/>
        <v>45778</v>
      </c>
      <c r="O1640" t="str">
        <f t="shared" si="103"/>
        <v>pes</v>
      </c>
    </row>
    <row r="1641" spans="1:15" x14ac:dyDescent="0.25">
      <c r="A1641">
        <v>9149</v>
      </c>
      <c r="B1641" s="11">
        <v>4013456789017</v>
      </c>
      <c r="C1641" s="1" t="s">
        <v>11</v>
      </c>
      <c r="D1641" s="1" t="s">
        <v>12</v>
      </c>
      <c r="E1641" s="1" t="s">
        <v>13</v>
      </c>
      <c r="F1641">
        <v>6</v>
      </c>
      <c r="G1641">
        <v>1</v>
      </c>
      <c r="H1641" s="1" t="s">
        <v>18</v>
      </c>
      <c r="I1641" s="1" t="s">
        <v>264</v>
      </c>
      <c r="J1641" s="12">
        <v>45778</v>
      </c>
      <c r="K1641">
        <v>0</v>
      </c>
      <c r="L1641" s="1">
        <f t="shared" si="100"/>
        <v>6</v>
      </c>
      <c r="M1641" s="1">
        <f t="shared" si="101"/>
        <v>4</v>
      </c>
      <c r="N1641" s="2">
        <f t="shared" si="102"/>
        <v>45778</v>
      </c>
      <c r="O1641" t="str">
        <f t="shared" si="103"/>
        <v>pes</v>
      </c>
    </row>
    <row r="1642" spans="1:15" x14ac:dyDescent="0.25">
      <c r="A1642">
        <v>9150</v>
      </c>
      <c r="B1642" s="11">
        <v>4040123456795</v>
      </c>
      <c r="C1642" s="1" t="s">
        <v>20</v>
      </c>
      <c r="D1642" s="1" t="s">
        <v>21</v>
      </c>
      <c r="E1642" s="1" t="s">
        <v>22</v>
      </c>
      <c r="F1642">
        <v>8.8000000000000007</v>
      </c>
      <c r="G1642">
        <v>1</v>
      </c>
      <c r="H1642" s="1" t="s">
        <v>14</v>
      </c>
      <c r="I1642" s="1" t="s">
        <v>15</v>
      </c>
      <c r="J1642" s="12">
        <v>45778</v>
      </c>
      <c r="K1642">
        <v>0</v>
      </c>
      <c r="L1642" s="1">
        <f t="shared" si="100"/>
        <v>8.8000000000000007</v>
      </c>
      <c r="M1642" s="1" t="str">
        <f t="shared" si="101"/>
        <v/>
      </c>
      <c r="N1642" s="2">
        <f t="shared" si="102"/>
        <v>45778</v>
      </c>
      <c r="O1642" t="str">
        <f t="shared" si="103"/>
        <v>pes</v>
      </c>
    </row>
    <row r="1643" spans="1:15" hidden="1" x14ac:dyDescent="0.25">
      <c r="A1643">
        <v>9151</v>
      </c>
      <c r="B1643" s="11">
        <v>4010123456783</v>
      </c>
      <c r="C1643" s="1" t="s">
        <v>35</v>
      </c>
      <c r="D1643" s="1" t="s">
        <v>36</v>
      </c>
      <c r="E1643" s="1" t="s">
        <v>37</v>
      </c>
      <c r="F1643">
        <v>14</v>
      </c>
      <c r="G1643">
        <v>1</v>
      </c>
      <c r="H1643" s="1" t="s">
        <v>14</v>
      </c>
      <c r="I1643" s="1" t="s">
        <v>15</v>
      </c>
      <c r="J1643" s="12">
        <v>45778</v>
      </c>
      <c r="K1643">
        <v>0</v>
      </c>
      <c r="L1643" s="1">
        <f t="shared" si="100"/>
        <v>14</v>
      </c>
      <c r="M1643" s="1" t="str">
        <f t="shared" si="101"/>
        <v/>
      </c>
      <c r="N1643" s="2">
        <f t="shared" si="102"/>
        <v>45778</v>
      </c>
      <c r="O1643" t="str">
        <f t="shared" si="103"/>
        <v>mačka</v>
      </c>
    </row>
    <row r="1644" spans="1:15" x14ac:dyDescent="0.25">
      <c r="A1644">
        <v>9152</v>
      </c>
      <c r="B1644" s="11">
        <v>4063456789014</v>
      </c>
      <c r="C1644" s="1" t="s">
        <v>60</v>
      </c>
      <c r="D1644" s="1" t="s">
        <v>12</v>
      </c>
      <c r="E1644" s="1" t="s">
        <v>61</v>
      </c>
      <c r="F1644">
        <v>36</v>
      </c>
      <c r="G1644">
        <v>1</v>
      </c>
      <c r="H1644" s="1" t="s">
        <v>14</v>
      </c>
      <c r="I1644" s="1" t="s">
        <v>15</v>
      </c>
      <c r="J1644" s="12">
        <v>45778</v>
      </c>
      <c r="K1644">
        <v>0</v>
      </c>
      <c r="L1644" s="1">
        <f t="shared" si="100"/>
        <v>36</v>
      </c>
      <c r="M1644" s="1" t="str">
        <f t="shared" si="101"/>
        <v/>
      </c>
      <c r="N1644" s="2">
        <f t="shared" si="102"/>
        <v>45778</v>
      </c>
      <c r="O1644" t="str">
        <f t="shared" si="103"/>
        <v>pes</v>
      </c>
    </row>
    <row r="1645" spans="1:15" hidden="1" x14ac:dyDescent="0.25">
      <c r="A1645">
        <v>9153</v>
      </c>
      <c r="B1645" s="11">
        <v>4021234567894</v>
      </c>
      <c r="C1645" s="1" t="s">
        <v>79</v>
      </c>
      <c r="D1645" s="1" t="s">
        <v>36</v>
      </c>
      <c r="E1645" s="1" t="s">
        <v>69</v>
      </c>
      <c r="F1645">
        <v>8</v>
      </c>
      <c r="G1645">
        <v>1</v>
      </c>
      <c r="H1645" s="1" t="s">
        <v>14</v>
      </c>
      <c r="I1645" s="1" t="s">
        <v>15</v>
      </c>
      <c r="J1645" s="12">
        <v>45778</v>
      </c>
      <c r="K1645">
        <v>0</v>
      </c>
      <c r="L1645" s="1">
        <f t="shared" si="100"/>
        <v>8</v>
      </c>
      <c r="M1645" s="1" t="str">
        <f t="shared" si="101"/>
        <v/>
      </c>
      <c r="N1645" s="2">
        <f t="shared" si="102"/>
        <v>45778</v>
      </c>
      <c r="O1645" t="str">
        <f t="shared" si="103"/>
        <v>mačka</v>
      </c>
    </row>
    <row r="1646" spans="1:15" hidden="1" x14ac:dyDescent="0.25">
      <c r="A1646">
        <v>9154</v>
      </c>
      <c r="B1646" s="11">
        <v>4056789012345</v>
      </c>
      <c r="C1646" s="1" t="s">
        <v>47</v>
      </c>
      <c r="D1646" s="1" t="s">
        <v>29</v>
      </c>
      <c r="E1646" s="1" t="s">
        <v>37</v>
      </c>
      <c r="F1646">
        <v>2.4</v>
      </c>
      <c r="G1646">
        <v>2</v>
      </c>
      <c r="H1646" s="1" t="s">
        <v>14</v>
      </c>
      <c r="I1646" s="1" t="s">
        <v>15</v>
      </c>
      <c r="J1646" s="12">
        <v>45778</v>
      </c>
      <c r="K1646">
        <v>0</v>
      </c>
      <c r="L1646" s="1">
        <f t="shared" si="100"/>
        <v>4.8</v>
      </c>
      <c r="M1646" s="1" t="str">
        <f t="shared" si="101"/>
        <v/>
      </c>
      <c r="N1646" s="2">
        <f t="shared" si="102"/>
        <v>45778</v>
      </c>
      <c r="O1646" t="str">
        <f t="shared" si="103"/>
        <v>mačka</v>
      </c>
    </row>
    <row r="1647" spans="1:15" x14ac:dyDescent="0.25">
      <c r="A1647">
        <v>9155</v>
      </c>
      <c r="B1647" s="11">
        <v>4061011223346</v>
      </c>
      <c r="C1647" s="1" t="s">
        <v>25</v>
      </c>
      <c r="D1647" s="1" t="s">
        <v>26</v>
      </c>
      <c r="E1647" s="1" t="s">
        <v>27</v>
      </c>
      <c r="F1647">
        <v>19.600000000000001</v>
      </c>
      <c r="G1647">
        <v>1</v>
      </c>
      <c r="H1647" s="1" t="s">
        <v>23</v>
      </c>
      <c r="I1647" s="1" t="s">
        <v>265</v>
      </c>
      <c r="J1647" s="12">
        <v>45778</v>
      </c>
      <c r="K1647">
        <v>0</v>
      </c>
      <c r="L1647" s="1">
        <f t="shared" si="100"/>
        <v>19.600000000000001</v>
      </c>
      <c r="M1647" s="1">
        <f t="shared" si="101"/>
        <v>5</v>
      </c>
      <c r="N1647" s="2">
        <f t="shared" si="102"/>
        <v>45778</v>
      </c>
      <c r="O1647" t="str">
        <f t="shared" si="103"/>
        <v>pes</v>
      </c>
    </row>
    <row r="1648" spans="1:15" hidden="1" x14ac:dyDescent="0.25">
      <c r="A1648">
        <v>9156</v>
      </c>
      <c r="B1648" s="11">
        <v>4026677889902</v>
      </c>
      <c r="C1648" s="1" t="s">
        <v>52</v>
      </c>
      <c r="D1648" s="1" t="s">
        <v>53</v>
      </c>
      <c r="E1648" s="1" t="s">
        <v>54</v>
      </c>
      <c r="F1648">
        <v>7.6</v>
      </c>
      <c r="G1648">
        <v>1</v>
      </c>
      <c r="H1648" s="1" t="s">
        <v>14</v>
      </c>
      <c r="I1648" s="1" t="s">
        <v>15</v>
      </c>
      <c r="J1648" s="12">
        <v>45778</v>
      </c>
      <c r="K1648">
        <v>0</v>
      </c>
      <c r="L1648" s="1">
        <f t="shared" si="100"/>
        <v>7.6</v>
      </c>
      <c r="M1648" s="1" t="str">
        <f t="shared" si="101"/>
        <v/>
      </c>
      <c r="N1648" s="2">
        <f t="shared" si="102"/>
        <v>45778</v>
      </c>
      <c r="O1648" t="str">
        <f t="shared" si="103"/>
        <v>iné</v>
      </c>
    </row>
    <row r="1649" spans="1:15" x14ac:dyDescent="0.25">
      <c r="A1649">
        <v>9157</v>
      </c>
      <c r="B1649" s="11">
        <v>4028899001126</v>
      </c>
      <c r="C1649" s="1" t="s">
        <v>16</v>
      </c>
      <c r="D1649" s="1" t="s">
        <v>12</v>
      </c>
      <c r="E1649" s="1" t="s">
        <v>17</v>
      </c>
      <c r="F1649">
        <v>2.8</v>
      </c>
      <c r="G1649">
        <v>3</v>
      </c>
      <c r="H1649" s="1" t="s">
        <v>14</v>
      </c>
      <c r="I1649" s="1" t="s">
        <v>15</v>
      </c>
      <c r="J1649" s="12">
        <v>45778</v>
      </c>
      <c r="K1649">
        <v>0</v>
      </c>
      <c r="L1649" s="1">
        <f t="shared" si="100"/>
        <v>8.3999999999999986</v>
      </c>
      <c r="M1649" s="1" t="str">
        <f t="shared" si="101"/>
        <v/>
      </c>
      <c r="N1649" s="2">
        <f t="shared" si="102"/>
        <v>45778</v>
      </c>
      <c r="O1649" t="str">
        <f t="shared" si="103"/>
        <v>pes</v>
      </c>
    </row>
    <row r="1650" spans="1:15" x14ac:dyDescent="0.25">
      <c r="A1650">
        <v>9158</v>
      </c>
      <c r="B1650" s="11">
        <v>4013456789017</v>
      </c>
      <c r="C1650" s="1" t="s">
        <v>11</v>
      </c>
      <c r="D1650" s="1" t="s">
        <v>12</v>
      </c>
      <c r="E1650" s="1" t="s">
        <v>13</v>
      </c>
      <c r="F1650">
        <v>6</v>
      </c>
      <c r="G1650">
        <v>1</v>
      </c>
      <c r="H1650" s="1" t="s">
        <v>14</v>
      </c>
      <c r="I1650" s="1" t="s">
        <v>15</v>
      </c>
      <c r="J1650" s="12">
        <v>45778</v>
      </c>
      <c r="K1650">
        <v>0</v>
      </c>
      <c r="L1650" s="1">
        <f t="shared" si="100"/>
        <v>6</v>
      </c>
      <c r="M1650" s="1" t="str">
        <f t="shared" si="101"/>
        <v/>
      </c>
      <c r="N1650" s="2">
        <f t="shared" si="102"/>
        <v>45778</v>
      </c>
      <c r="O1650" t="str">
        <f t="shared" si="103"/>
        <v>pes</v>
      </c>
    </row>
    <row r="1651" spans="1:15" hidden="1" x14ac:dyDescent="0.25">
      <c r="A1651">
        <v>9159</v>
      </c>
      <c r="B1651" s="11">
        <v>4044567890123</v>
      </c>
      <c r="C1651" s="1" t="s">
        <v>266</v>
      </c>
      <c r="D1651" s="1" t="s">
        <v>267</v>
      </c>
      <c r="E1651" s="1" t="s">
        <v>37</v>
      </c>
      <c r="F1651">
        <v>6</v>
      </c>
      <c r="G1651">
        <v>1</v>
      </c>
      <c r="H1651" s="1" t="s">
        <v>14</v>
      </c>
      <c r="I1651" s="1" t="s">
        <v>15</v>
      </c>
      <c r="J1651" s="12">
        <v>45778</v>
      </c>
      <c r="K1651">
        <v>0</v>
      </c>
      <c r="L1651" s="1">
        <f t="shared" si="100"/>
        <v>6</v>
      </c>
      <c r="M1651" s="1" t="str">
        <f t="shared" si="101"/>
        <v/>
      </c>
      <c r="N1651" s="2">
        <f t="shared" si="102"/>
        <v>45778</v>
      </c>
      <c r="O1651" t="str">
        <f t="shared" si="103"/>
        <v>mačka</v>
      </c>
    </row>
    <row r="1652" spans="1:15" x14ac:dyDescent="0.25">
      <c r="A1652">
        <v>9160</v>
      </c>
      <c r="B1652" s="11">
        <v>4006789012349</v>
      </c>
      <c r="C1652" s="1" t="s">
        <v>38</v>
      </c>
      <c r="D1652" s="1" t="s">
        <v>39</v>
      </c>
      <c r="E1652" s="1" t="s">
        <v>13</v>
      </c>
      <c r="F1652">
        <v>12</v>
      </c>
      <c r="G1652">
        <v>1</v>
      </c>
      <c r="H1652" s="1" t="s">
        <v>14</v>
      </c>
      <c r="I1652" s="1" t="s">
        <v>15</v>
      </c>
      <c r="J1652" s="12">
        <v>45779</v>
      </c>
      <c r="K1652">
        <v>0</v>
      </c>
      <c r="L1652" s="1">
        <f t="shared" si="100"/>
        <v>12</v>
      </c>
      <c r="M1652" s="1" t="str">
        <f t="shared" si="101"/>
        <v/>
      </c>
      <c r="N1652" s="2">
        <f t="shared" si="102"/>
        <v>45778</v>
      </c>
      <c r="O1652" t="str">
        <f t="shared" si="103"/>
        <v>pes</v>
      </c>
    </row>
    <row r="1653" spans="1:15" hidden="1" x14ac:dyDescent="0.25">
      <c r="A1653">
        <v>9161</v>
      </c>
      <c r="B1653" s="11">
        <v>4050123456794</v>
      </c>
      <c r="C1653" s="1" t="s">
        <v>41</v>
      </c>
      <c r="D1653" s="1" t="s">
        <v>36</v>
      </c>
      <c r="E1653" s="1" t="s">
        <v>42</v>
      </c>
      <c r="F1653">
        <v>7.2</v>
      </c>
      <c r="G1653">
        <v>1</v>
      </c>
      <c r="H1653" s="1" t="s">
        <v>14</v>
      </c>
      <c r="I1653" s="1" t="s">
        <v>15</v>
      </c>
      <c r="J1653" s="12">
        <v>45779</v>
      </c>
      <c r="K1653">
        <v>0</v>
      </c>
      <c r="L1653" s="1">
        <f t="shared" si="100"/>
        <v>7.2</v>
      </c>
      <c r="M1653" s="1" t="str">
        <f t="shared" si="101"/>
        <v/>
      </c>
      <c r="N1653" s="2">
        <f t="shared" si="102"/>
        <v>45778</v>
      </c>
      <c r="O1653" t="str">
        <f t="shared" si="103"/>
        <v>mačka</v>
      </c>
    </row>
    <row r="1654" spans="1:15" hidden="1" x14ac:dyDescent="0.25">
      <c r="A1654">
        <v>9162</v>
      </c>
      <c r="B1654" s="11">
        <v>4002233445566</v>
      </c>
      <c r="C1654" s="1" t="s">
        <v>268</v>
      </c>
      <c r="D1654" s="1" t="s">
        <v>140</v>
      </c>
      <c r="E1654" s="1" t="s">
        <v>30</v>
      </c>
      <c r="F1654">
        <v>20</v>
      </c>
      <c r="G1654">
        <v>1</v>
      </c>
      <c r="H1654" s="1" t="s">
        <v>14</v>
      </c>
      <c r="I1654" s="1" t="s">
        <v>15</v>
      </c>
      <c r="J1654" s="12">
        <v>45779</v>
      </c>
      <c r="K1654">
        <v>0</v>
      </c>
      <c r="L1654" s="1">
        <f t="shared" si="100"/>
        <v>20</v>
      </c>
      <c r="M1654" s="1" t="str">
        <f t="shared" si="101"/>
        <v/>
      </c>
      <c r="N1654" s="2">
        <f t="shared" si="102"/>
        <v>45778</v>
      </c>
      <c r="O1654" t="str">
        <f t="shared" si="103"/>
        <v>mačka</v>
      </c>
    </row>
    <row r="1655" spans="1:15" x14ac:dyDescent="0.25">
      <c r="A1655">
        <v>9163</v>
      </c>
      <c r="B1655" s="11">
        <v>4027788990013</v>
      </c>
      <c r="C1655" s="1" t="s">
        <v>43</v>
      </c>
      <c r="D1655" s="1" t="s">
        <v>21</v>
      </c>
      <c r="E1655" s="1" t="s">
        <v>22</v>
      </c>
      <c r="F1655">
        <v>8</v>
      </c>
      <c r="G1655">
        <v>1</v>
      </c>
      <c r="H1655" s="1" t="s">
        <v>18</v>
      </c>
      <c r="I1655" s="1" t="s">
        <v>269</v>
      </c>
      <c r="J1655" s="12">
        <v>45779</v>
      </c>
      <c r="K1655">
        <v>0</v>
      </c>
      <c r="L1655" s="1">
        <f t="shared" si="100"/>
        <v>8</v>
      </c>
      <c r="M1655" s="1">
        <f t="shared" si="101"/>
        <v>4</v>
      </c>
      <c r="N1655" s="2">
        <f t="shared" si="102"/>
        <v>45778</v>
      </c>
      <c r="O1655" t="str">
        <f t="shared" si="103"/>
        <v>pes</v>
      </c>
    </row>
    <row r="1656" spans="1:15" x14ac:dyDescent="0.25">
      <c r="A1656">
        <v>9164</v>
      </c>
      <c r="B1656" s="11">
        <v>4028899001126</v>
      </c>
      <c r="C1656" s="1" t="s">
        <v>16</v>
      </c>
      <c r="D1656" s="1" t="s">
        <v>12</v>
      </c>
      <c r="E1656" s="1" t="s">
        <v>17</v>
      </c>
      <c r="F1656">
        <v>2.8</v>
      </c>
      <c r="G1656">
        <v>5</v>
      </c>
      <c r="H1656" s="1" t="s">
        <v>14</v>
      </c>
      <c r="I1656" s="1" t="s">
        <v>15</v>
      </c>
      <c r="J1656" s="12">
        <v>45779</v>
      </c>
      <c r="K1656">
        <v>0</v>
      </c>
      <c r="L1656" s="1">
        <f t="shared" si="100"/>
        <v>14</v>
      </c>
      <c r="M1656" s="1" t="str">
        <f t="shared" si="101"/>
        <v/>
      </c>
      <c r="N1656" s="2">
        <f t="shared" si="102"/>
        <v>45778</v>
      </c>
      <c r="O1656" t="str">
        <f t="shared" si="103"/>
        <v>pes</v>
      </c>
    </row>
    <row r="1657" spans="1:15" x14ac:dyDescent="0.25">
      <c r="A1657">
        <v>9165</v>
      </c>
      <c r="B1657" s="11">
        <v>4013456789017</v>
      </c>
      <c r="C1657" s="1" t="s">
        <v>11</v>
      </c>
      <c r="D1657" s="1" t="s">
        <v>12</v>
      </c>
      <c r="E1657" s="1" t="s">
        <v>13</v>
      </c>
      <c r="F1657">
        <v>6</v>
      </c>
      <c r="G1657">
        <v>1</v>
      </c>
      <c r="H1657" s="1" t="s">
        <v>14</v>
      </c>
      <c r="I1657" s="1" t="s">
        <v>15</v>
      </c>
      <c r="J1657" s="12">
        <v>45779</v>
      </c>
      <c r="K1657">
        <v>0</v>
      </c>
      <c r="L1657" s="1">
        <f t="shared" si="100"/>
        <v>6</v>
      </c>
      <c r="M1657" s="1" t="str">
        <f t="shared" si="101"/>
        <v/>
      </c>
      <c r="N1657" s="2">
        <f t="shared" si="102"/>
        <v>45778</v>
      </c>
      <c r="O1657" t="str">
        <f t="shared" si="103"/>
        <v>pes</v>
      </c>
    </row>
    <row r="1658" spans="1:15" x14ac:dyDescent="0.25">
      <c r="A1658">
        <v>9166</v>
      </c>
      <c r="B1658" s="11">
        <v>4040123456795</v>
      </c>
      <c r="C1658" s="1" t="s">
        <v>20</v>
      </c>
      <c r="D1658" s="1" t="s">
        <v>21</v>
      </c>
      <c r="E1658" s="1" t="s">
        <v>22</v>
      </c>
      <c r="F1658">
        <v>8.8000000000000007</v>
      </c>
      <c r="G1658">
        <v>1</v>
      </c>
      <c r="H1658" s="1" t="s">
        <v>14</v>
      </c>
      <c r="I1658" s="1" t="s">
        <v>15</v>
      </c>
      <c r="J1658" s="12">
        <v>45779</v>
      </c>
      <c r="K1658">
        <v>0</v>
      </c>
      <c r="L1658" s="1">
        <f t="shared" si="100"/>
        <v>8.8000000000000007</v>
      </c>
      <c r="M1658" s="1" t="str">
        <f t="shared" si="101"/>
        <v/>
      </c>
      <c r="N1658" s="2">
        <f t="shared" si="102"/>
        <v>45778</v>
      </c>
      <c r="O1658" t="str">
        <f t="shared" si="103"/>
        <v>pes</v>
      </c>
    </row>
    <row r="1659" spans="1:15" hidden="1" x14ac:dyDescent="0.25">
      <c r="A1659">
        <v>9167</v>
      </c>
      <c r="B1659" s="11">
        <v>4010123456783</v>
      </c>
      <c r="C1659" s="1" t="s">
        <v>35</v>
      </c>
      <c r="D1659" s="1" t="s">
        <v>36</v>
      </c>
      <c r="E1659" s="1" t="s">
        <v>37</v>
      </c>
      <c r="F1659">
        <v>14</v>
      </c>
      <c r="G1659">
        <v>2</v>
      </c>
      <c r="H1659" s="1" t="s">
        <v>14</v>
      </c>
      <c r="I1659" s="1" t="s">
        <v>15</v>
      </c>
      <c r="J1659" s="12">
        <v>45779</v>
      </c>
      <c r="K1659">
        <v>0</v>
      </c>
      <c r="L1659" s="1">
        <f t="shared" si="100"/>
        <v>28</v>
      </c>
      <c r="M1659" s="1" t="str">
        <f t="shared" si="101"/>
        <v/>
      </c>
      <c r="N1659" s="2">
        <f t="shared" si="102"/>
        <v>45778</v>
      </c>
      <c r="O1659" t="str">
        <f t="shared" si="103"/>
        <v>mačka</v>
      </c>
    </row>
    <row r="1660" spans="1:15" x14ac:dyDescent="0.25">
      <c r="A1660">
        <v>9168</v>
      </c>
      <c r="B1660" s="11">
        <v>4063456789014</v>
      </c>
      <c r="C1660" s="1" t="s">
        <v>60</v>
      </c>
      <c r="D1660" s="1" t="s">
        <v>12</v>
      </c>
      <c r="E1660" s="1" t="s">
        <v>61</v>
      </c>
      <c r="F1660">
        <v>36</v>
      </c>
      <c r="G1660">
        <v>1</v>
      </c>
      <c r="H1660" s="1" t="s">
        <v>14</v>
      </c>
      <c r="I1660" s="1" t="s">
        <v>15</v>
      </c>
      <c r="J1660" s="12">
        <v>45779</v>
      </c>
      <c r="K1660">
        <v>0</v>
      </c>
      <c r="L1660" s="1">
        <f t="shared" si="100"/>
        <v>36</v>
      </c>
      <c r="M1660" s="1" t="str">
        <f t="shared" si="101"/>
        <v/>
      </c>
      <c r="N1660" s="2">
        <f t="shared" si="102"/>
        <v>45778</v>
      </c>
      <c r="O1660" t="str">
        <f t="shared" si="103"/>
        <v>pes</v>
      </c>
    </row>
    <row r="1661" spans="1:15" hidden="1" x14ac:dyDescent="0.25">
      <c r="A1661">
        <v>9169</v>
      </c>
      <c r="B1661" s="11">
        <v>4021234567894</v>
      </c>
      <c r="C1661" s="1" t="s">
        <v>79</v>
      </c>
      <c r="D1661" s="1" t="s">
        <v>36</v>
      </c>
      <c r="E1661" s="1" t="s">
        <v>69</v>
      </c>
      <c r="F1661">
        <v>8</v>
      </c>
      <c r="G1661">
        <v>1</v>
      </c>
      <c r="H1661" s="1" t="s">
        <v>33</v>
      </c>
      <c r="I1661" s="1" t="s">
        <v>270</v>
      </c>
      <c r="J1661" s="12">
        <v>45779</v>
      </c>
      <c r="K1661">
        <v>0</v>
      </c>
      <c r="L1661" s="1">
        <f t="shared" si="100"/>
        <v>8</v>
      </c>
      <c r="M1661" s="1">
        <f t="shared" si="101"/>
        <v>3</v>
      </c>
      <c r="N1661" s="2">
        <f t="shared" si="102"/>
        <v>45778</v>
      </c>
      <c r="O1661" t="str">
        <f t="shared" si="103"/>
        <v>mačka</v>
      </c>
    </row>
    <row r="1662" spans="1:15" hidden="1" x14ac:dyDescent="0.25">
      <c r="A1662">
        <v>9170</v>
      </c>
      <c r="B1662" s="11">
        <v>4056789012345</v>
      </c>
      <c r="C1662" s="1" t="s">
        <v>47</v>
      </c>
      <c r="D1662" s="1" t="s">
        <v>29</v>
      </c>
      <c r="E1662" s="1" t="s">
        <v>37</v>
      </c>
      <c r="F1662">
        <v>2.4</v>
      </c>
      <c r="G1662">
        <v>3</v>
      </c>
      <c r="H1662" s="1" t="s">
        <v>14</v>
      </c>
      <c r="I1662" s="1" t="s">
        <v>15</v>
      </c>
      <c r="J1662" s="12">
        <v>45779</v>
      </c>
      <c r="K1662">
        <v>0</v>
      </c>
      <c r="L1662" s="1">
        <f t="shared" si="100"/>
        <v>7.1999999999999993</v>
      </c>
      <c r="M1662" s="1" t="str">
        <f t="shared" si="101"/>
        <v/>
      </c>
      <c r="N1662" s="2">
        <f t="shared" si="102"/>
        <v>45778</v>
      </c>
      <c r="O1662" t="str">
        <f t="shared" si="103"/>
        <v>mačka</v>
      </c>
    </row>
    <row r="1663" spans="1:15" x14ac:dyDescent="0.25">
      <c r="A1663">
        <v>9171</v>
      </c>
      <c r="B1663" s="11">
        <v>4061011223346</v>
      </c>
      <c r="C1663" s="1" t="s">
        <v>25</v>
      </c>
      <c r="D1663" s="1" t="s">
        <v>26</v>
      </c>
      <c r="E1663" s="1" t="s">
        <v>27</v>
      </c>
      <c r="F1663">
        <v>19.600000000000001</v>
      </c>
      <c r="G1663">
        <v>1</v>
      </c>
      <c r="H1663" s="1" t="s">
        <v>14</v>
      </c>
      <c r="I1663" s="1" t="s">
        <v>15</v>
      </c>
      <c r="J1663" s="12">
        <v>45779</v>
      </c>
      <c r="K1663">
        <v>0</v>
      </c>
      <c r="L1663" s="1">
        <f t="shared" si="100"/>
        <v>19.600000000000001</v>
      </c>
      <c r="M1663" s="1" t="str">
        <f t="shared" si="101"/>
        <v/>
      </c>
      <c r="N1663" s="2">
        <f t="shared" si="102"/>
        <v>45778</v>
      </c>
      <c r="O1663" t="str">
        <f t="shared" si="103"/>
        <v>pes</v>
      </c>
    </row>
    <row r="1664" spans="1:15" hidden="1" x14ac:dyDescent="0.25">
      <c r="A1664">
        <v>9172</v>
      </c>
      <c r="B1664" s="11">
        <v>4026677889902</v>
      </c>
      <c r="C1664" s="1" t="s">
        <v>52</v>
      </c>
      <c r="D1664" s="1" t="s">
        <v>53</v>
      </c>
      <c r="E1664" s="1" t="s">
        <v>54</v>
      </c>
      <c r="F1664">
        <v>7.6</v>
      </c>
      <c r="G1664">
        <v>1</v>
      </c>
      <c r="H1664" s="1" t="s">
        <v>14</v>
      </c>
      <c r="I1664" s="1" t="s">
        <v>15</v>
      </c>
      <c r="J1664" s="12">
        <v>45779</v>
      </c>
      <c r="K1664">
        <v>0</v>
      </c>
      <c r="L1664" s="1">
        <f t="shared" si="100"/>
        <v>7.6</v>
      </c>
      <c r="M1664" s="1" t="str">
        <f t="shared" si="101"/>
        <v/>
      </c>
      <c r="N1664" s="2">
        <f t="shared" si="102"/>
        <v>45778</v>
      </c>
      <c r="O1664" t="str">
        <f t="shared" si="103"/>
        <v>iné</v>
      </c>
    </row>
    <row r="1665" spans="1:15" x14ac:dyDescent="0.25">
      <c r="A1665">
        <v>9173</v>
      </c>
      <c r="B1665" s="11">
        <v>4028899001126</v>
      </c>
      <c r="C1665" s="1" t="s">
        <v>16</v>
      </c>
      <c r="D1665" s="1" t="s">
        <v>12</v>
      </c>
      <c r="E1665" s="1" t="s">
        <v>17</v>
      </c>
      <c r="F1665">
        <v>2.8</v>
      </c>
      <c r="G1665">
        <v>3</v>
      </c>
      <c r="H1665" s="1" t="s">
        <v>14</v>
      </c>
      <c r="I1665" s="1" t="s">
        <v>15</v>
      </c>
      <c r="J1665" s="12">
        <v>45779</v>
      </c>
      <c r="K1665">
        <v>0</v>
      </c>
      <c r="L1665" s="1">
        <f t="shared" si="100"/>
        <v>8.3999999999999986</v>
      </c>
      <c r="M1665" s="1" t="str">
        <f t="shared" si="101"/>
        <v/>
      </c>
      <c r="N1665" s="2">
        <f t="shared" si="102"/>
        <v>45778</v>
      </c>
      <c r="O1665" t="str">
        <f t="shared" si="103"/>
        <v>pes</v>
      </c>
    </row>
    <row r="1666" spans="1:15" x14ac:dyDescent="0.25">
      <c r="A1666">
        <v>9174</v>
      </c>
      <c r="B1666" s="11">
        <v>4013456789017</v>
      </c>
      <c r="C1666" s="1" t="s">
        <v>11</v>
      </c>
      <c r="D1666" s="1" t="s">
        <v>12</v>
      </c>
      <c r="E1666" s="1" t="s">
        <v>13</v>
      </c>
      <c r="F1666">
        <v>6</v>
      </c>
      <c r="G1666">
        <v>1</v>
      </c>
      <c r="H1666" s="1" t="s">
        <v>14</v>
      </c>
      <c r="I1666" s="1" t="s">
        <v>15</v>
      </c>
      <c r="J1666" s="12">
        <v>45779</v>
      </c>
      <c r="K1666">
        <v>0</v>
      </c>
      <c r="L1666" s="1">
        <f t="shared" ref="L1666:L1729" si="104">F1666*G1666</f>
        <v>6</v>
      </c>
      <c r="M1666" s="1" t="str">
        <f t="shared" ref="M1666:M1729" si="105">IF(H1666="NULL", "",VALUE(H1666))</f>
        <v/>
      </c>
      <c r="N1666" s="2">
        <f t="shared" ref="N1666:N1729" si="106">DATE(YEAR(J1666),MONTH(J1666),1)</f>
        <v>45778</v>
      </c>
      <c r="O1666" t="str">
        <f t="shared" ref="O1666:O1729" si="107">IF(ISNUMBER(SEARCH("Mačky",D1666)),"mačka",IF(ISNUMBER(SEARCH("Psy",D1666)),"pes","iné"))</f>
        <v>pes</v>
      </c>
    </row>
    <row r="1667" spans="1:15" x14ac:dyDescent="0.25">
      <c r="A1667">
        <v>9175</v>
      </c>
      <c r="B1667" s="11">
        <v>4040123456795</v>
      </c>
      <c r="C1667" s="1" t="s">
        <v>20</v>
      </c>
      <c r="D1667" s="1" t="s">
        <v>21</v>
      </c>
      <c r="E1667" s="1" t="s">
        <v>22</v>
      </c>
      <c r="F1667">
        <v>8.8000000000000007</v>
      </c>
      <c r="G1667">
        <v>1</v>
      </c>
      <c r="H1667" s="1" t="s">
        <v>14</v>
      </c>
      <c r="I1667" s="1" t="s">
        <v>15</v>
      </c>
      <c r="J1667" s="12">
        <v>45779</v>
      </c>
      <c r="K1667">
        <v>0</v>
      </c>
      <c r="L1667" s="1">
        <f t="shared" si="104"/>
        <v>8.8000000000000007</v>
      </c>
      <c r="M1667" s="1" t="str">
        <f t="shared" si="105"/>
        <v/>
      </c>
      <c r="N1667" s="2">
        <f t="shared" si="106"/>
        <v>45778</v>
      </c>
      <c r="O1667" t="str">
        <f t="shared" si="107"/>
        <v>pes</v>
      </c>
    </row>
    <row r="1668" spans="1:15" hidden="1" x14ac:dyDescent="0.25">
      <c r="A1668">
        <v>9176</v>
      </c>
      <c r="B1668" s="11">
        <v>4010123456783</v>
      </c>
      <c r="C1668" s="1" t="s">
        <v>35</v>
      </c>
      <c r="D1668" s="1" t="s">
        <v>36</v>
      </c>
      <c r="E1668" s="1" t="s">
        <v>37</v>
      </c>
      <c r="F1668">
        <v>14</v>
      </c>
      <c r="G1668">
        <v>2</v>
      </c>
      <c r="H1668" s="1" t="s">
        <v>14</v>
      </c>
      <c r="I1668" s="1" t="s">
        <v>15</v>
      </c>
      <c r="J1668" s="12">
        <v>45780</v>
      </c>
      <c r="K1668">
        <v>0</v>
      </c>
      <c r="L1668" s="1">
        <f t="shared" si="104"/>
        <v>28</v>
      </c>
      <c r="M1668" s="1" t="str">
        <f t="shared" si="105"/>
        <v/>
      </c>
      <c r="N1668" s="2">
        <f t="shared" si="106"/>
        <v>45778</v>
      </c>
      <c r="O1668" t="str">
        <f t="shared" si="107"/>
        <v>mačka</v>
      </c>
    </row>
    <row r="1669" spans="1:15" x14ac:dyDescent="0.25">
      <c r="A1669">
        <v>9177</v>
      </c>
      <c r="B1669" s="11">
        <v>4063456789014</v>
      </c>
      <c r="C1669" s="1" t="s">
        <v>60</v>
      </c>
      <c r="D1669" s="1" t="s">
        <v>12</v>
      </c>
      <c r="E1669" s="1" t="s">
        <v>61</v>
      </c>
      <c r="F1669">
        <v>36</v>
      </c>
      <c r="G1669">
        <v>1</v>
      </c>
      <c r="H1669" s="1" t="s">
        <v>14</v>
      </c>
      <c r="I1669" s="1" t="s">
        <v>15</v>
      </c>
      <c r="J1669" s="12">
        <v>45780</v>
      </c>
      <c r="K1669">
        <v>0</v>
      </c>
      <c r="L1669" s="1">
        <f t="shared" si="104"/>
        <v>36</v>
      </c>
      <c r="M1669" s="1" t="str">
        <f t="shared" si="105"/>
        <v/>
      </c>
      <c r="N1669" s="2">
        <f t="shared" si="106"/>
        <v>45778</v>
      </c>
      <c r="O1669" t="str">
        <f t="shared" si="107"/>
        <v>pes</v>
      </c>
    </row>
    <row r="1670" spans="1:15" hidden="1" x14ac:dyDescent="0.25">
      <c r="A1670">
        <v>9178</v>
      </c>
      <c r="B1670" s="11">
        <v>4021234567894</v>
      </c>
      <c r="C1670" s="1" t="s">
        <v>79</v>
      </c>
      <c r="D1670" s="1" t="s">
        <v>36</v>
      </c>
      <c r="E1670" s="1" t="s">
        <v>69</v>
      </c>
      <c r="F1670">
        <v>8</v>
      </c>
      <c r="G1670">
        <v>1</v>
      </c>
      <c r="H1670" s="1" t="s">
        <v>14</v>
      </c>
      <c r="I1670" s="1" t="s">
        <v>15</v>
      </c>
      <c r="J1670" s="12">
        <v>45780</v>
      </c>
      <c r="K1670">
        <v>0</v>
      </c>
      <c r="L1670" s="1">
        <f t="shared" si="104"/>
        <v>8</v>
      </c>
      <c r="M1670" s="1" t="str">
        <f t="shared" si="105"/>
        <v/>
      </c>
      <c r="N1670" s="2">
        <f t="shared" si="106"/>
        <v>45778</v>
      </c>
      <c r="O1670" t="str">
        <f t="shared" si="107"/>
        <v>mačka</v>
      </c>
    </row>
    <row r="1671" spans="1:15" hidden="1" x14ac:dyDescent="0.25">
      <c r="A1671">
        <v>9179</v>
      </c>
      <c r="B1671" s="11">
        <v>4056789012345</v>
      </c>
      <c r="C1671" s="1" t="s">
        <v>47</v>
      </c>
      <c r="D1671" s="1" t="s">
        <v>29</v>
      </c>
      <c r="E1671" s="1" t="s">
        <v>37</v>
      </c>
      <c r="F1671">
        <v>2.4</v>
      </c>
      <c r="G1671">
        <v>2</v>
      </c>
      <c r="H1671" s="1" t="s">
        <v>14</v>
      </c>
      <c r="I1671" s="1" t="s">
        <v>15</v>
      </c>
      <c r="J1671" s="12">
        <v>45780</v>
      </c>
      <c r="K1671">
        <v>0</v>
      </c>
      <c r="L1671" s="1">
        <f t="shared" si="104"/>
        <v>4.8</v>
      </c>
      <c r="M1671" s="1" t="str">
        <f t="shared" si="105"/>
        <v/>
      </c>
      <c r="N1671" s="2">
        <f t="shared" si="106"/>
        <v>45778</v>
      </c>
      <c r="O1671" t="str">
        <f t="shared" si="107"/>
        <v>mačka</v>
      </c>
    </row>
    <row r="1672" spans="1:15" x14ac:dyDescent="0.25">
      <c r="A1672">
        <v>9180</v>
      </c>
      <c r="B1672" s="11">
        <v>4061011223346</v>
      </c>
      <c r="C1672" s="1" t="s">
        <v>25</v>
      </c>
      <c r="D1672" s="1" t="s">
        <v>26</v>
      </c>
      <c r="E1672" s="1" t="s">
        <v>27</v>
      </c>
      <c r="F1672">
        <v>19.600000000000001</v>
      </c>
      <c r="G1672">
        <v>1</v>
      </c>
      <c r="H1672" s="1" t="s">
        <v>14</v>
      </c>
      <c r="I1672" s="1" t="s">
        <v>15</v>
      </c>
      <c r="J1672" s="12">
        <v>45780</v>
      </c>
      <c r="K1672">
        <v>0</v>
      </c>
      <c r="L1672" s="1">
        <f t="shared" si="104"/>
        <v>19.600000000000001</v>
      </c>
      <c r="M1672" s="1" t="str">
        <f t="shared" si="105"/>
        <v/>
      </c>
      <c r="N1672" s="2">
        <f t="shared" si="106"/>
        <v>45778</v>
      </c>
      <c r="O1672" t="str">
        <f t="shared" si="107"/>
        <v>pes</v>
      </c>
    </row>
    <row r="1673" spans="1:15" hidden="1" x14ac:dyDescent="0.25">
      <c r="A1673">
        <v>9181</v>
      </c>
      <c r="B1673" s="11">
        <v>4026677889902</v>
      </c>
      <c r="C1673" s="1" t="s">
        <v>52</v>
      </c>
      <c r="D1673" s="1" t="s">
        <v>53</v>
      </c>
      <c r="E1673" s="1" t="s">
        <v>54</v>
      </c>
      <c r="F1673">
        <v>7.6</v>
      </c>
      <c r="G1673">
        <v>1</v>
      </c>
      <c r="H1673" s="1" t="s">
        <v>23</v>
      </c>
      <c r="I1673" s="1" t="s">
        <v>271</v>
      </c>
      <c r="J1673" s="12">
        <v>45780</v>
      </c>
      <c r="K1673">
        <v>0</v>
      </c>
      <c r="L1673" s="1">
        <f t="shared" si="104"/>
        <v>7.6</v>
      </c>
      <c r="M1673" s="1">
        <f t="shared" si="105"/>
        <v>5</v>
      </c>
      <c r="N1673" s="2">
        <f t="shared" si="106"/>
        <v>45778</v>
      </c>
      <c r="O1673" t="str">
        <f t="shared" si="107"/>
        <v>iné</v>
      </c>
    </row>
    <row r="1674" spans="1:15" x14ac:dyDescent="0.25">
      <c r="A1674">
        <v>9182</v>
      </c>
      <c r="B1674" s="11">
        <v>4028899001126</v>
      </c>
      <c r="C1674" s="1" t="s">
        <v>16</v>
      </c>
      <c r="D1674" s="1" t="s">
        <v>12</v>
      </c>
      <c r="E1674" s="1" t="s">
        <v>17</v>
      </c>
      <c r="F1674">
        <v>2.8</v>
      </c>
      <c r="G1674">
        <v>4</v>
      </c>
      <c r="H1674" s="1" t="s">
        <v>14</v>
      </c>
      <c r="I1674" s="1" t="s">
        <v>15</v>
      </c>
      <c r="J1674" s="12">
        <v>45780</v>
      </c>
      <c r="K1674">
        <v>0</v>
      </c>
      <c r="L1674" s="1">
        <f t="shared" si="104"/>
        <v>11.2</v>
      </c>
      <c r="M1674" s="1" t="str">
        <f t="shared" si="105"/>
        <v/>
      </c>
      <c r="N1674" s="2">
        <f t="shared" si="106"/>
        <v>45778</v>
      </c>
      <c r="O1674" t="str">
        <f t="shared" si="107"/>
        <v>pes</v>
      </c>
    </row>
    <row r="1675" spans="1:15" x14ac:dyDescent="0.25">
      <c r="A1675">
        <v>9183</v>
      </c>
      <c r="B1675" s="11">
        <v>4013456789017</v>
      </c>
      <c r="C1675" s="1" t="s">
        <v>11</v>
      </c>
      <c r="D1675" s="1" t="s">
        <v>12</v>
      </c>
      <c r="E1675" s="1" t="s">
        <v>13</v>
      </c>
      <c r="F1675">
        <v>6</v>
      </c>
      <c r="G1675">
        <v>1</v>
      </c>
      <c r="H1675" s="1" t="s">
        <v>14</v>
      </c>
      <c r="I1675" s="1" t="s">
        <v>15</v>
      </c>
      <c r="J1675" s="12">
        <v>45780</v>
      </c>
      <c r="K1675">
        <v>0</v>
      </c>
      <c r="L1675" s="1">
        <f t="shared" si="104"/>
        <v>6</v>
      </c>
      <c r="M1675" s="1" t="str">
        <f t="shared" si="105"/>
        <v/>
      </c>
      <c r="N1675" s="2">
        <f t="shared" si="106"/>
        <v>45778</v>
      </c>
      <c r="O1675" t="str">
        <f t="shared" si="107"/>
        <v>pes</v>
      </c>
    </row>
    <row r="1676" spans="1:15" x14ac:dyDescent="0.25">
      <c r="A1676">
        <v>9184</v>
      </c>
      <c r="B1676" s="11">
        <v>4040123456795</v>
      </c>
      <c r="C1676" s="1" t="s">
        <v>20</v>
      </c>
      <c r="D1676" s="1" t="s">
        <v>21</v>
      </c>
      <c r="E1676" s="1" t="s">
        <v>22</v>
      </c>
      <c r="F1676">
        <v>8.8000000000000007</v>
      </c>
      <c r="G1676">
        <v>1</v>
      </c>
      <c r="H1676" s="1" t="s">
        <v>14</v>
      </c>
      <c r="I1676" s="1" t="s">
        <v>15</v>
      </c>
      <c r="J1676" s="12">
        <v>45780</v>
      </c>
      <c r="K1676">
        <v>0</v>
      </c>
      <c r="L1676" s="1">
        <f t="shared" si="104"/>
        <v>8.8000000000000007</v>
      </c>
      <c r="M1676" s="1" t="str">
        <f t="shared" si="105"/>
        <v/>
      </c>
      <c r="N1676" s="2">
        <f t="shared" si="106"/>
        <v>45778</v>
      </c>
      <c r="O1676" t="str">
        <f t="shared" si="107"/>
        <v>pes</v>
      </c>
    </row>
    <row r="1677" spans="1:15" hidden="1" x14ac:dyDescent="0.25">
      <c r="A1677">
        <v>9185</v>
      </c>
      <c r="B1677" s="11">
        <v>4010123456783</v>
      </c>
      <c r="C1677" s="1" t="s">
        <v>35</v>
      </c>
      <c r="D1677" s="1" t="s">
        <v>36</v>
      </c>
      <c r="E1677" s="1" t="s">
        <v>37</v>
      </c>
      <c r="F1677">
        <v>14</v>
      </c>
      <c r="G1677">
        <v>1</v>
      </c>
      <c r="H1677" s="1" t="s">
        <v>14</v>
      </c>
      <c r="I1677" s="1" t="s">
        <v>15</v>
      </c>
      <c r="J1677" s="12">
        <v>45780</v>
      </c>
      <c r="K1677">
        <v>0</v>
      </c>
      <c r="L1677" s="1">
        <f t="shared" si="104"/>
        <v>14</v>
      </c>
      <c r="M1677" s="1" t="str">
        <f t="shared" si="105"/>
        <v/>
      </c>
      <c r="N1677" s="2">
        <f t="shared" si="106"/>
        <v>45778</v>
      </c>
      <c r="O1677" t="str">
        <f t="shared" si="107"/>
        <v>mačka</v>
      </c>
    </row>
    <row r="1678" spans="1:15" x14ac:dyDescent="0.25">
      <c r="A1678">
        <v>9186</v>
      </c>
      <c r="B1678" s="11">
        <v>4063456789014</v>
      </c>
      <c r="C1678" s="1" t="s">
        <v>60</v>
      </c>
      <c r="D1678" s="1" t="s">
        <v>12</v>
      </c>
      <c r="E1678" s="1" t="s">
        <v>61</v>
      </c>
      <c r="F1678">
        <v>36</v>
      </c>
      <c r="G1678">
        <v>1</v>
      </c>
      <c r="H1678" s="1" t="s">
        <v>14</v>
      </c>
      <c r="I1678" s="1" t="s">
        <v>15</v>
      </c>
      <c r="J1678" s="12">
        <v>45780</v>
      </c>
      <c r="K1678">
        <v>0</v>
      </c>
      <c r="L1678" s="1">
        <f t="shared" si="104"/>
        <v>36</v>
      </c>
      <c r="M1678" s="1" t="str">
        <f t="shared" si="105"/>
        <v/>
      </c>
      <c r="N1678" s="2">
        <f t="shared" si="106"/>
        <v>45778</v>
      </c>
      <c r="O1678" t="str">
        <f t="shared" si="107"/>
        <v>pes</v>
      </c>
    </row>
    <row r="1679" spans="1:15" hidden="1" x14ac:dyDescent="0.25">
      <c r="A1679">
        <v>9187</v>
      </c>
      <c r="B1679" s="11">
        <v>4021234567894</v>
      </c>
      <c r="C1679" s="1" t="s">
        <v>79</v>
      </c>
      <c r="D1679" s="1" t="s">
        <v>36</v>
      </c>
      <c r="E1679" s="1" t="s">
        <v>69</v>
      </c>
      <c r="F1679">
        <v>8</v>
      </c>
      <c r="G1679">
        <v>1</v>
      </c>
      <c r="H1679" s="1" t="s">
        <v>14</v>
      </c>
      <c r="I1679" s="1" t="s">
        <v>15</v>
      </c>
      <c r="J1679" s="12">
        <v>45780</v>
      </c>
      <c r="K1679">
        <v>0</v>
      </c>
      <c r="L1679" s="1">
        <f t="shared" si="104"/>
        <v>8</v>
      </c>
      <c r="M1679" s="1" t="str">
        <f t="shared" si="105"/>
        <v/>
      </c>
      <c r="N1679" s="2">
        <f t="shared" si="106"/>
        <v>45778</v>
      </c>
      <c r="O1679" t="str">
        <f t="shared" si="107"/>
        <v>mačka</v>
      </c>
    </row>
    <row r="1680" spans="1:15" hidden="1" x14ac:dyDescent="0.25">
      <c r="A1680">
        <v>9188</v>
      </c>
      <c r="B1680" s="11">
        <v>4056789012345</v>
      </c>
      <c r="C1680" s="1" t="s">
        <v>47</v>
      </c>
      <c r="D1680" s="1" t="s">
        <v>29</v>
      </c>
      <c r="E1680" s="1" t="s">
        <v>37</v>
      </c>
      <c r="F1680">
        <v>2.4</v>
      </c>
      <c r="G1680">
        <v>3</v>
      </c>
      <c r="H1680" s="1" t="s">
        <v>18</v>
      </c>
      <c r="I1680" s="1" t="s">
        <v>272</v>
      </c>
      <c r="J1680" s="12">
        <v>45780</v>
      </c>
      <c r="K1680">
        <v>0</v>
      </c>
      <c r="L1680" s="1">
        <f t="shared" si="104"/>
        <v>7.1999999999999993</v>
      </c>
      <c r="M1680" s="1">
        <f t="shared" si="105"/>
        <v>4</v>
      </c>
      <c r="N1680" s="2">
        <f t="shared" si="106"/>
        <v>45778</v>
      </c>
      <c r="O1680" t="str">
        <f t="shared" si="107"/>
        <v>mačka</v>
      </c>
    </row>
    <row r="1681" spans="1:15" x14ac:dyDescent="0.25">
      <c r="A1681">
        <v>9189</v>
      </c>
      <c r="B1681" s="11">
        <v>4061011223346</v>
      </c>
      <c r="C1681" s="1" t="s">
        <v>25</v>
      </c>
      <c r="D1681" s="1" t="s">
        <v>26</v>
      </c>
      <c r="E1681" s="1" t="s">
        <v>27</v>
      </c>
      <c r="F1681">
        <v>19.600000000000001</v>
      </c>
      <c r="G1681">
        <v>1</v>
      </c>
      <c r="H1681" s="1" t="s">
        <v>14</v>
      </c>
      <c r="I1681" s="1" t="s">
        <v>15</v>
      </c>
      <c r="J1681" s="12">
        <v>45780</v>
      </c>
      <c r="K1681">
        <v>0</v>
      </c>
      <c r="L1681" s="1">
        <f t="shared" si="104"/>
        <v>19.600000000000001</v>
      </c>
      <c r="M1681" s="1" t="str">
        <f t="shared" si="105"/>
        <v/>
      </c>
      <c r="N1681" s="2">
        <f t="shared" si="106"/>
        <v>45778</v>
      </c>
      <c r="O1681" t="str">
        <f t="shared" si="107"/>
        <v>pes</v>
      </c>
    </row>
    <row r="1682" spans="1:15" hidden="1" x14ac:dyDescent="0.25">
      <c r="A1682">
        <v>9190</v>
      </c>
      <c r="B1682" s="11">
        <v>4026677889902</v>
      </c>
      <c r="C1682" s="1" t="s">
        <v>52</v>
      </c>
      <c r="D1682" s="1" t="s">
        <v>53</v>
      </c>
      <c r="E1682" s="1" t="s">
        <v>54</v>
      </c>
      <c r="F1682">
        <v>7.6</v>
      </c>
      <c r="G1682">
        <v>1</v>
      </c>
      <c r="H1682" s="1" t="s">
        <v>14</v>
      </c>
      <c r="I1682" s="1" t="s">
        <v>15</v>
      </c>
      <c r="J1682" s="12">
        <v>45780</v>
      </c>
      <c r="K1682">
        <v>0</v>
      </c>
      <c r="L1682" s="1">
        <f t="shared" si="104"/>
        <v>7.6</v>
      </c>
      <c r="M1682" s="1" t="str">
        <f t="shared" si="105"/>
        <v/>
      </c>
      <c r="N1682" s="2">
        <f t="shared" si="106"/>
        <v>45778</v>
      </c>
      <c r="O1682" t="str">
        <f t="shared" si="107"/>
        <v>iné</v>
      </c>
    </row>
    <row r="1683" spans="1:15" x14ac:dyDescent="0.25">
      <c r="A1683">
        <v>9191</v>
      </c>
      <c r="B1683" s="11">
        <v>4028899001126</v>
      </c>
      <c r="C1683" s="1" t="s">
        <v>16</v>
      </c>
      <c r="D1683" s="1" t="s">
        <v>12</v>
      </c>
      <c r="E1683" s="1" t="s">
        <v>17</v>
      </c>
      <c r="F1683">
        <v>2.8</v>
      </c>
      <c r="G1683">
        <v>5</v>
      </c>
      <c r="H1683" s="1" t="s">
        <v>14</v>
      </c>
      <c r="I1683" s="1" t="s">
        <v>15</v>
      </c>
      <c r="J1683" s="12">
        <v>45780</v>
      </c>
      <c r="K1683">
        <v>0</v>
      </c>
      <c r="L1683" s="1">
        <f t="shared" si="104"/>
        <v>14</v>
      </c>
      <c r="M1683" s="1" t="str">
        <f t="shared" si="105"/>
        <v/>
      </c>
      <c r="N1683" s="2">
        <f t="shared" si="106"/>
        <v>45778</v>
      </c>
      <c r="O1683" t="str">
        <f t="shared" si="107"/>
        <v>pes</v>
      </c>
    </row>
    <row r="1684" spans="1:15" x14ac:dyDescent="0.25">
      <c r="A1684">
        <v>9192</v>
      </c>
      <c r="B1684" s="11">
        <v>4013456789017</v>
      </c>
      <c r="C1684" s="1" t="s">
        <v>11</v>
      </c>
      <c r="D1684" s="1" t="s">
        <v>12</v>
      </c>
      <c r="E1684" s="1" t="s">
        <v>13</v>
      </c>
      <c r="F1684">
        <v>6</v>
      </c>
      <c r="G1684">
        <v>1</v>
      </c>
      <c r="H1684" s="1" t="s">
        <v>14</v>
      </c>
      <c r="I1684" s="1" t="s">
        <v>15</v>
      </c>
      <c r="J1684" s="12">
        <v>45780</v>
      </c>
      <c r="K1684">
        <v>0</v>
      </c>
      <c r="L1684" s="1">
        <f t="shared" si="104"/>
        <v>6</v>
      </c>
      <c r="M1684" s="1" t="str">
        <f t="shared" si="105"/>
        <v/>
      </c>
      <c r="N1684" s="2">
        <f t="shared" si="106"/>
        <v>45778</v>
      </c>
      <c r="O1684" t="str">
        <f t="shared" si="107"/>
        <v>pes</v>
      </c>
    </row>
    <row r="1685" spans="1:15" x14ac:dyDescent="0.25">
      <c r="A1685">
        <v>9193</v>
      </c>
      <c r="B1685" s="11">
        <v>4040123456795</v>
      </c>
      <c r="C1685" s="1" t="s">
        <v>20</v>
      </c>
      <c r="D1685" s="1" t="s">
        <v>21</v>
      </c>
      <c r="E1685" s="1" t="s">
        <v>22</v>
      </c>
      <c r="F1685">
        <v>8.8000000000000007</v>
      </c>
      <c r="G1685">
        <v>1</v>
      </c>
      <c r="H1685" s="1" t="s">
        <v>14</v>
      </c>
      <c r="I1685" s="1" t="s">
        <v>15</v>
      </c>
      <c r="J1685" s="12">
        <v>45781</v>
      </c>
      <c r="K1685">
        <v>0</v>
      </c>
      <c r="L1685" s="1">
        <f t="shared" si="104"/>
        <v>8.8000000000000007</v>
      </c>
      <c r="M1685" s="1" t="str">
        <f t="shared" si="105"/>
        <v/>
      </c>
      <c r="N1685" s="2">
        <f t="shared" si="106"/>
        <v>45778</v>
      </c>
      <c r="O1685" t="str">
        <f t="shared" si="107"/>
        <v>pes</v>
      </c>
    </row>
    <row r="1686" spans="1:15" hidden="1" x14ac:dyDescent="0.25">
      <c r="A1686">
        <v>9194</v>
      </c>
      <c r="B1686" s="11">
        <v>4010123456783</v>
      </c>
      <c r="C1686" s="1" t="s">
        <v>35</v>
      </c>
      <c r="D1686" s="1" t="s">
        <v>36</v>
      </c>
      <c r="E1686" s="1" t="s">
        <v>37</v>
      </c>
      <c r="F1686">
        <v>14</v>
      </c>
      <c r="G1686">
        <v>2</v>
      </c>
      <c r="H1686" s="1" t="s">
        <v>14</v>
      </c>
      <c r="I1686" s="1" t="s">
        <v>15</v>
      </c>
      <c r="J1686" s="12">
        <v>45781</v>
      </c>
      <c r="K1686">
        <v>0</v>
      </c>
      <c r="L1686" s="1">
        <f t="shared" si="104"/>
        <v>28</v>
      </c>
      <c r="M1686" s="1" t="str">
        <f t="shared" si="105"/>
        <v/>
      </c>
      <c r="N1686" s="2">
        <f t="shared" si="106"/>
        <v>45778</v>
      </c>
      <c r="O1686" t="str">
        <f t="shared" si="107"/>
        <v>mačka</v>
      </c>
    </row>
    <row r="1687" spans="1:15" x14ac:dyDescent="0.25">
      <c r="A1687">
        <v>9195</v>
      </c>
      <c r="B1687" s="11">
        <v>4063456789014</v>
      </c>
      <c r="C1687" s="1" t="s">
        <v>60</v>
      </c>
      <c r="D1687" s="1" t="s">
        <v>12</v>
      </c>
      <c r="E1687" s="1" t="s">
        <v>61</v>
      </c>
      <c r="F1687">
        <v>36</v>
      </c>
      <c r="G1687">
        <v>1</v>
      </c>
      <c r="H1687" s="1" t="s">
        <v>14</v>
      </c>
      <c r="I1687" s="1" t="s">
        <v>15</v>
      </c>
      <c r="J1687" s="12">
        <v>45781</v>
      </c>
      <c r="K1687">
        <v>0</v>
      </c>
      <c r="L1687" s="1">
        <f t="shared" si="104"/>
        <v>36</v>
      </c>
      <c r="M1687" s="1" t="str">
        <f t="shared" si="105"/>
        <v/>
      </c>
      <c r="N1687" s="2">
        <f t="shared" si="106"/>
        <v>45778</v>
      </c>
      <c r="O1687" t="str">
        <f t="shared" si="107"/>
        <v>pes</v>
      </c>
    </row>
    <row r="1688" spans="1:15" hidden="1" x14ac:dyDescent="0.25">
      <c r="A1688">
        <v>9196</v>
      </c>
      <c r="B1688" s="11">
        <v>4021234567894</v>
      </c>
      <c r="C1688" s="1" t="s">
        <v>79</v>
      </c>
      <c r="D1688" s="1" t="s">
        <v>36</v>
      </c>
      <c r="E1688" s="1" t="s">
        <v>69</v>
      </c>
      <c r="F1688">
        <v>8</v>
      </c>
      <c r="G1688">
        <v>1</v>
      </c>
      <c r="H1688" s="1" t="s">
        <v>14</v>
      </c>
      <c r="I1688" s="1" t="s">
        <v>15</v>
      </c>
      <c r="J1688" s="12">
        <v>45781</v>
      </c>
      <c r="K1688">
        <v>0</v>
      </c>
      <c r="L1688" s="1">
        <f t="shared" si="104"/>
        <v>8</v>
      </c>
      <c r="M1688" s="1" t="str">
        <f t="shared" si="105"/>
        <v/>
      </c>
      <c r="N1688" s="2">
        <f t="shared" si="106"/>
        <v>45778</v>
      </c>
      <c r="O1688" t="str">
        <f t="shared" si="107"/>
        <v>mačka</v>
      </c>
    </row>
    <row r="1689" spans="1:15" hidden="1" x14ac:dyDescent="0.25">
      <c r="A1689">
        <v>9197</v>
      </c>
      <c r="B1689" s="11">
        <v>4056789012345</v>
      </c>
      <c r="C1689" s="1" t="s">
        <v>47</v>
      </c>
      <c r="D1689" s="1" t="s">
        <v>29</v>
      </c>
      <c r="E1689" s="1" t="s">
        <v>37</v>
      </c>
      <c r="F1689">
        <v>2.4</v>
      </c>
      <c r="G1689">
        <v>2</v>
      </c>
      <c r="H1689" s="1" t="s">
        <v>14</v>
      </c>
      <c r="I1689" s="1" t="s">
        <v>15</v>
      </c>
      <c r="J1689" s="12">
        <v>45781</v>
      </c>
      <c r="K1689">
        <v>0</v>
      </c>
      <c r="L1689" s="1">
        <f t="shared" si="104"/>
        <v>4.8</v>
      </c>
      <c r="M1689" s="1" t="str">
        <f t="shared" si="105"/>
        <v/>
      </c>
      <c r="N1689" s="2">
        <f t="shared" si="106"/>
        <v>45778</v>
      </c>
      <c r="O1689" t="str">
        <f t="shared" si="107"/>
        <v>mačka</v>
      </c>
    </row>
    <row r="1690" spans="1:15" x14ac:dyDescent="0.25">
      <c r="A1690">
        <v>9198</v>
      </c>
      <c r="B1690" s="11">
        <v>4061011223346</v>
      </c>
      <c r="C1690" s="1" t="s">
        <v>25</v>
      </c>
      <c r="D1690" s="1" t="s">
        <v>26</v>
      </c>
      <c r="E1690" s="1" t="s">
        <v>27</v>
      </c>
      <c r="F1690">
        <v>19.600000000000001</v>
      </c>
      <c r="G1690">
        <v>1</v>
      </c>
      <c r="H1690" s="1" t="s">
        <v>14</v>
      </c>
      <c r="I1690" s="1" t="s">
        <v>15</v>
      </c>
      <c r="J1690" s="12">
        <v>45781</v>
      </c>
      <c r="K1690">
        <v>0</v>
      </c>
      <c r="L1690" s="1">
        <f t="shared" si="104"/>
        <v>19.600000000000001</v>
      </c>
      <c r="M1690" s="1" t="str">
        <f t="shared" si="105"/>
        <v/>
      </c>
      <c r="N1690" s="2">
        <f t="shared" si="106"/>
        <v>45778</v>
      </c>
      <c r="O1690" t="str">
        <f t="shared" si="107"/>
        <v>pes</v>
      </c>
    </row>
    <row r="1691" spans="1:15" hidden="1" x14ac:dyDescent="0.25">
      <c r="A1691">
        <v>9199</v>
      </c>
      <c r="B1691" s="11">
        <v>4026677889902</v>
      </c>
      <c r="C1691" s="1" t="s">
        <v>52</v>
      </c>
      <c r="D1691" s="1" t="s">
        <v>53</v>
      </c>
      <c r="E1691" s="1" t="s">
        <v>54</v>
      </c>
      <c r="F1691">
        <v>7.6</v>
      </c>
      <c r="G1691">
        <v>1</v>
      </c>
      <c r="H1691" s="1" t="s">
        <v>14</v>
      </c>
      <c r="I1691" s="1" t="s">
        <v>15</v>
      </c>
      <c r="J1691" s="12">
        <v>45781</v>
      </c>
      <c r="K1691">
        <v>0</v>
      </c>
      <c r="L1691" s="1">
        <f t="shared" si="104"/>
        <v>7.6</v>
      </c>
      <c r="M1691" s="1" t="str">
        <f t="shared" si="105"/>
        <v/>
      </c>
      <c r="N1691" s="2">
        <f t="shared" si="106"/>
        <v>45778</v>
      </c>
      <c r="O1691" t="str">
        <f t="shared" si="107"/>
        <v>iné</v>
      </c>
    </row>
    <row r="1692" spans="1:15" x14ac:dyDescent="0.25">
      <c r="A1692">
        <v>9200</v>
      </c>
      <c r="B1692" s="11">
        <v>4028899001126</v>
      </c>
      <c r="C1692" s="1" t="s">
        <v>16</v>
      </c>
      <c r="D1692" s="1" t="s">
        <v>12</v>
      </c>
      <c r="E1692" s="1" t="s">
        <v>17</v>
      </c>
      <c r="F1692">
        <v>2.8</v>
      </c>
      <c r="G1692">
        <v>3</v>
      </c>
      <c r="H1692" s="1" t="s">
        <v>14</v>
      </c>
      <c r="I1692" s="1" t="s">
        <v>15</v>
      </c>
      <c r="J1692" s="12">
        <v>45781</v>
      </c>
      <c r="K1692">
        <v>0</v>
      </c>
      <c r="L1692" s="1">
        <f t="shared" si="104"/>
        <v>8.3999999999999986</v>
      </c>
      <c r="M1692" s="1" t="str">
        <f t="shared" si="105"/>
        <v/>
      </c>
      <c r="N1692" s="2">
        <f t="shared" si="106"/>
        <v>45778</v>
      </c>
      <c r="O1692" t="str">
        <f t="shared" si="107"/>
        <v>pes</v>
      </c>
    </row>
    <row r="1693" spans="1:15" x14ac:dyDescent="0.25">
      <c r="A1693">
        <v>9201</v>
      </c>
      <c r="B1693" s="11">
        <v>4013456789017</v>
      </c>
      <c r="C1693" s="1" t="s">
        <v>11</v>
      </c>
      <c r="D1693" s="1" t="s">
        <v>12</v>
      </c>
      <c r="E1693" s="1" t="s">
        <v>13</v>
      </c>
      <c r="F1693">
        <v>6</v>
      </c>
      <c r="G1693">
        <v>1</v>
      </c>
      <c r="H1693" s="1" t="s">
        <v>14</v>
      </c>
      <c r="I1693" s="1" t="s">
        <v>15</v>
      </c>
      <c r="J1693" s="12">
        <v>45781</v>
      </c>
      <c r="K1693">
        <v>0</v>
      </c>
      <c r="L1693" s="1">
        <f t="shared" si="104"/>
        <v>6</v>
      </c>
      <c r="M1693" s="1" t="str">
        <f t="shared" si="105"/>
        <v/>
      </c>
      <c r="N1693" s="2">
        <f t="shared" si="106"/>
        <v>45778</v>
      </c>
      <c r="O1693" t="str">
        <f t="shared" si="107"/>
        <v>pes</v>
      </c>
    </row>
    <row r="1694" spans="1:15" x14ac:dyDescent="0.25">
      <c r="A1694">
        <v>9202</v>
      </c>
      <c r="B1694" s="11">
        <v>4040123456795</v>
      </c>
      <c r="C1694" s="1" t="s">
        <v>20</v>
      </c>
      <c r="D1694" s="1" t="s">
        <v>21</v>
      </c>
      <c r="E1694" s="1" t="s">
        <v>22</v>
      </c>
      <c r="F1694">
        <v>8.8000000000000007</v>
      </c>
      <c r="G1694">
        <v>1</v>
      </c>
      <c r="H1694" s="1" t="s">
        <v>14</v>
      </c>
      <c r="I1694" s="1" t="s">
        <v>15</v>
      </c>
      <c r="J1694" s="12">
        <v>45781</v>
      </c>
      <c r="K1694">
        <v>0</v>
      </c>
      <c r="L1694" s="1">
        <f t="shared" si="104"/>
        <v>8.8000000000000007</v>
      </c>
      <c r="M1694" s="1" t="str">
        <f t="shared" si="105"/>
        <v/>
      </c>
      <c r="N1694" s="2">
        <f t="shared" si="106"/>
        <v>45778</v>
      </c>
      <c r="O1694" t="str">
        <f t="shared" si="107"/>
        <v>pes</v>
      </c>
    </row>
    <row r="1695" spans="1:15" hidden="1" x14ac:dyDescent="0.25">
      <c r="A1695">
        <v>9203</v>
      </c>
      <c r="B1695" s="11">
        <v>4010123456783</v>
      </c>
      <c r="C1695" s="1" t="s">
        <v>35</v>
      </c>
      <c r="D1695" s="1" t="s">
        <v>36</v>
      </c>
      <c r="E1695" s="1" t="s">
        <v>37</v>
      </c>
      <c r="F1695">
        <v>14</v>
      </c>
      <c r="G1695">
        <v>1</v>
      </c>
      <c r="H1695" s="1" t="s">
        <v>14</v>
      </c>
      <c r="I1695" s="1" t="s">
        <v>15</v>
      </c>
      <c r="J1695" s="12">
        <v>45781</v>
      </c>
      <c r="K1695">
        <v>0</v>
      </c>
      <c r="L1695" s="1">
        <f t="shared" si="104"/>
        <v>14</v>
      </c>
      <c r="M1695" s="1" t="str">
        <f t="shared" si="105"/>
        <v/>
      </c>
      <c r="N1695" s="2">
        <f t="shared" si="106"/>
        <v>45778</v>
      </c>
      <c r="O1695" t="str">
        <f t="shared" si="107"/>
        <v>mačka</v>
      </c>
    </row>
    <row r="1696" spans="1:15" x14ac:dyDescent="0.25">
      <c r="A1696">
        <v>9204</v>
      </c>
      <c r="B1696" s="11">
        <v>4063456789014</v>
      </c>
      <c r="C1696" s="1" t="s">
        <v>60</v>
      </c>
      <c r="D1696" s="1" t="s">
        <v>12</v>
      </c>
      <c r="E1696" s="1" t="s">
        <v>61</v>
      </c>
      <c r="F1696">
        <v>36</v>
      </c>
      <c r="G1696">
        <v>1</v>
      </c>
      <c r="H1696" s="1" t="s">
        <v>14</v>
      </c>
      <c r="I1696" s="1" t="s">
        <v>15</v>
      </c>
      <c r="J1696" s="12">
        <v>45781</v>
      </c>
      <c r="K1696">
        <v>0</v>
      </c>
      <c r="L1696" s="1">
        <f t="shared" si="104"/>
        <v>36</v>
      </c>
      <c r="M1696" s="1" t="str">
        <f t="shared" si="105"/>
        <v/>
      </c>
      <c r="N1696" s="2">
        <f t="shared" si="106"/>
        <v>45778</v>
      </c>
      <c r="O1696" t="str">
        <f t="shared" si="107"/>
        <v>pes</v>
      </c>
    </row>
    <row r="1697" spans="1:15" hidden="1" x14ac:dyDescent="0.25">
      <c r="A1697">
        <v>9205</v>
      </c>
      <c r="B1697" s="11">
        <v>4021234567894</v>
      </c>
      <c r="C1697" s="1" t="s">
        <v>79</v>
      </c>
      <c r="D1697" s="1" t="s">
        <v>36</v>
      </c>
      <c r="E1697" s="1" t="s">
        <v>69</v>
      </c>
      <c r="F1697">
        <v>8</v>
      </c>
      <c r="G1697">
        <v>1</v>
      </c>
      <c r="H1697" s="1" t="s">
        <v>14</v>
      </c>
      <c r="I1697" s="1" t="s">
        <v>15</v>
      </c>
      <c r="J1697" s="12">
        <v>45781</v>
      </c>
      <c r="K1697">
        <v>0</v>
      </c>
      <c r="L1697" s="1">
        <f t="shared" si="104"/>
        <v>8</v>
      </c>
      <c r="M1697" s="1" t="str">
        <f t="shared" si="105"/>
        <v/>
      </c>
      <c r="N1697" s="2">
        <f t="shared" si="106"/>
        <v>45778</v>
      </c>
      <c r="O1697" t="str">
        <f t="shared" si="107"/>
        <v>mačka</v>
      </c>
    </row>
    <row r="1698" spans="1:15" hidden="1" x14ac:dyDescent="0.25">
      <c r="A1698">
        <v>9206</v>
      </c>
      <c r="B1698" s="11">
        <v>4056789012345</v>
      </c>
      <c r="C1698" s="1" t="s">
        <v>47</v>
      </c>
      <c r="D1698" s="1" t="s">
        <v>29</v>
      </c>
      <c r="E1698" s="1" t="s">
        <v>37</v>
      </c>
      <c r="F1698">
        <v>2.4</v>
      </c>
      <c r="G1698">
        <v>3</v>
      </c>
      <c r="H1698" s="1" t="s">
        <v>23</v>
      </c>
      <c r="I1698" s="1" t="s">
        <v>273</v>
      </c>
      <c r="J1698" s="12">
        <v>45782</v>
      </c>
      <c r="K1698">
        <v>0</v>
      </c>
      <c r="L1698" s="1">
        <f t="shared" si="104"/>
        <v>7.1999999999999993</v>
      </c>
      <c r="M1698" s="1">
        <f t="shared" si="105"/>
        <v>5</v>
      </c>
      <c r="N1698" s="2">
        <f t="shared" si="106"/>
        <v>45778</v>
      </c>
      <c r="O1698" t="str">
        <f t="shared" si="107"/>
        <v>mačka</v>
      </c>
    </row>
    <row r="1699" spans="1:15" x14ac:dyDescent="0.25">
      <c r="A1699">
        <v>9207</v>
      </c>
      <c r="B1699" s="11">
        <v>4061011223346</v>
      </c>
      <c r="C1699" s="1" t="s">
        <v>25</v>
      </c>
      <c r="D1699" s="1" t="s">
        <v>26</v>
      </c>
      <c r="E1699" s="1" t="s">
        <v>27</v>
      </c>
      <c r="F1699">
        <v>19.600000000000001</v>
      </c>
      <c r="G1699">
        <v>1</v>
      </c>
      <c r="H1699" s="1" t="s">
        <v>14</v>
      </c>
      <c r="I1699" s="1" t="s">
        <v>15</v>
      </c>
      <c r="J1699" s="12">
        <v>45782</v>
      </c>
      <c r="K1699">
        <v>0</v>
      </c>
      <c r="L1699" s="1">
        <f t="shared" si="104"/>
        <v>19.600000000000001</v>
      </c>
      <c r="M1699" s="1" t="str">
        <f t="shared" si="105"/>
        <v/>
      </c>
      <c r="N1699" s="2">
        <f t="shared" si="106"/>
        <v>45778</v>
      </c>
      <c r="O1699" t="str">
        <f t="shared" si="107"/>
        <v>pes</v>
      </c>
    </row>
    <row r="1700" spans="1:15" hidden="1" x14ac:dyDescent="0.25">
      <c r="A1700">
        <v>9208</v>
      </c>
      <c r="B1700" s="11">
        <v>4026677889902</v>
      </c>
      <c r="C1700" s="1" t="s">
        <v>52</v>
      </c>
      <c r="D1700" s="1" t="s">
        <v>53</v>
      </c>
      <c r="E1700" s="1" t="s">
        <v>54</v>
      </c>
      <c r="F1700">
        <v>7.6</v>
      </c>
      <c r="G1700">
        <v>1</v>
      </c>
      <c r="H1700" s="1" t="s">
        <v>14</v>
      </c>
      <c r="I1700" s="1" t="s">
        <v>15</v>
      </c>
      <c r="J1700" s="12">
        <v>45782</v>
      </c>
      <c r="K1700">
        <v>0</v>
      </c>
      <c r="L1700" s="1">
        <f t="shared" si="104"/>
        <v>7.6</v>
      </c>
      <c r="M1700" s="1" t="str">
        <f t="shared" si="105"/>
        <v/>
      </c>
      <c r="N1700" s="2">
        <f t="shared" si="106"/>
        <v>45778</v>
      </c>
      <c r="O1700" t="str">
        <f t="shared" si="107"/>
        <v>iné</v>
      </c>
    </row>
    <row r="1701" spans="1:15" x14ac:dyDescent="0.25">
      <c r="A1701">
        <v>9209</v>
      </c>
      <c r="B1701" s="11">
        <v>4028899001126</v>
      </c>
      <c r="C1701" s="1" t="s">
        <v>16</v>
      </c>
      <c r="D1701" s="1" t="s">
        <v>12</v>
      </c>
      <c r="E1701" s="1" t="s">
        <v>17</v>
      </c>
      <c r="F1701">
        <v>2.8</v>
      </c>
      <c r="G1701">
        <v>4</v>
      </c>
      <c r="H1701" s="1" t="s">
        <v>14</v>
      </c>
      <c r="I1701" s="1" t="s">
        <v>15</v>
      </c>
      <c r="J1701" s="12">
        <v>45782</v>
      </c>
      <c r="K1701">
        <v>0</v>
      </c>
      <c r="L1701" s="1">
        <f t="shared" si="104"/>
        <v>11.2</v>
      </c>
      <c r="M1701" s="1" t="str">
        <f t="shared" si="105"/>
        <v/>
      </c>
      <c r="N1701" s="2">
        <f t="shared" si="106"/>
        <v>45778</v>
      </c>
      <c r="O1701" t="str">
        <f t="shared" si="107"/>
        <v>pes</v>
      </c>
    </row>
    <row r="1702" spans="1:15" x14ac:dyDescent="0.25">
      <c r="A1702">
        <v>9210</v>
      </c>
      <c r="B1702" s="11">
        <v>4013456789017</v>
      </c>
      <c r="C1702" s="1" t="s">
        <v>11</v>
      </c>
      <c r="D1702" s="1" t="s">
        <v>12</v>
      </c>
      <c r="E1702" s="1" t="s">
        <v>13</v>
      </c>
      <c r="F1702">
        <v>6</v>
      </c>
      <c r="G1702">
        <v>1</v>
      </c>
      <c r="H1702" s="1" t="s">
        <v>14</v>
      </c>
      <c r="I1702" s="1" t="s">
        <v>15</v>
      </c>
      <c r="J1702" s="12">
        <v>45782</v>
      </c>
      <c r="K1702">
        <v>0</v>
      </c>
      <c r="L1702" s="1">
        <f t="shared" si="104"/>
        <v>6</v>
      </c>
      <c r="M1702" s="1" t="str">
        <f t="shared" si="105"/>
        <v/>
      </c>
      <c r="N1702" s="2">
        <f t="shared" si="106"/>
        <v>45778</v>
      </c>
      <c r="O1702" t="str">
        <f t="shared" si="107"/>
        <v>pes</v>
      </c>
    </row>
    <row r="1703" spans="1:15" x14ac:dyDescent="0.25">
      <c r="A1703">
        <v>9211</v>
      </c>
      <c r="B1703" s="11">
        <v>4040123456795</v>
      </c>
      <c r="C1703" s="1" t="s">
        <v>20</v>
      </c>
      <c r="D1703" s="1" t="s">
        <v>21</v>
      </c>
      <c r="E1703" s="1" t="s">
        <v>22</v>
      </c>
      <c r="F1703">
        <v>8.8000000000000007</v>
      </c>
      <c r="G1703">
        <v>1</v>
      </c>
      <c r="H1703" s="1" t="s">
        <v>14</v>
      </c>
      <c r="I1703" s="1" t="s">
        <v>15</v>
      </c>
      <c r="J1703" s="12">
        <v>45782</v>
      </c>
      <c r="K1703">
        <v>0</v>
      </c>
      <c r="L1703" s="1">
        <f t="shared" si="104"/>
        <v>8.8000000000000007</v>
      </c>
      <c r="M1703" s="1" t="str">
        <f t="shared" si="105"/>
        <v/>
      </c>
      <c r="N1703" s="2">
        <f t="shared" si="106"/>
        <v>45778</v>
      </c>
      <c r="O1703" t="str">
        <f t="shared" si="107"/>
        <v>pes</v>
      </c>
    </row>
    <row r="1704" spans="1:15" hidden="1" x14ac:dyDescent="0.25">
      <c r="A1704">
        <v>9212</v>
      </c>
      <c r="B1704" s="11">
        <v>4010123456783</v>
      </c>
      <c r="C1704" s="1" t="s">
        <v>35</v>
      </c>
      <c r="D1704" s="1" t="s">
        <v>36</v>
      </c>
      <c r="E1704" s="1" t="s">
        <v>37</v>
      </c>
      <c r="F1704">
        <v>14</v>
      </c>
      <c r="G1704">
        <v>1</v>
      </c>
      <c r="H1704" s="1" t="s">
        <v>14</v>
      </c>
      <c r="I1704" s="1" t="s">
        <v>15</v>
      </c>
      <c r="J1704" s="12">
        <v>45782</v>
      </c>
      <c r="K1704">
        <v>0</v>
      </c>
      <c r="L1704" s="1">
        <f t="shared" si="104"/>
        <v>14</v>
      </c>
      <c r="M1704" s="1" t="str">
        <f t="shared" si="105"/>
        <v/>
      </c>
      <c r="N1704" s="2">
        <f t="shared" si="106"/>
        <v>45778</v>
      </c>
      <c r="O1704" t="str">
        <f t="shared" si="107"/>
        <v>mačka</v>
      </c>
    </row>
    <row r="1705" spans="1:15" x14ac:dyDescent="0.25">
      <c r="A1705">
        <v>9213</v>
      </c>
      <c r="B1705" s="11">
        <v>4063456789014</v>
      </c>
      <c r="C1705" s="1" t="s">
        <v>60</v>
      </c>
      <c r="D1705" s="1" t="s">
        <v>12</v>
      </c>
      <c r="E1705" s="1" t="s">
        <v>61</v>
      </c>
      <c r="F1705">
        <v>36</v>
      </c>
      <c r="G1705">
        <v>1</v>
      </c>
      <c r="H1705" s="1" t="s">
        <v>14</v>
      </c>
      <c r="I1705" s="1" t="s">
        <v>15</v>
      </c>
      <c r="J1705" s="12">
        <v>45782</v>
      </c>
      <c r="K1705">
        <v>0</v>
      </c>
      <c r="L1705" s="1">
        <f t="shared" si="104"/>
        <v>36</v>
      </c>
      <c r="M1705" s="1" t="str">
        <f t="shared" si="105"/>
        <v/>
      </c>
      <c r="N1705" s="2">
        <f t="shared" si="106"/>
        <v>45778</v>
      </c>
      <c r="O1705" t="str">
        <f t="shared" si="107"/>
        <v>pes</v>
      </c>
    </row>
    <row r="1706" spans="1:15" hidden="1" x14ac:dyDescent="0.25">
      <c r="A1706">
        <v>9214</v>
      </c>
      <c r="B1706" s="11">
        <v>4021234567894</v>
      </c>
      <c r="C1706" s="1" t="s">
        <v>79</v>
      </c>
      <c r="D1706" s="1" t="s">
        <v>36</v>
      </c>
      <c r="E1706" s="1" t="s">
        <v>69</v>
      </c>
      <c r="F1706">
        <v>8</v>
      </c>
      <c r="G1706">
        <v>1</v>
      </c>
      <c r="H1706" s="1" t="s">
        <v>14</v>
      </c>
      <c r="I1706" s="1" t="s">
        <v>15</v>
      </c>
      <c r="J1706" s="12">
        <v>45782</v>
      </c>
      <c r="K1706">
        <v>0</v>
      </c>
      <c r="L1706" s="1">
        <f t="shared" si="104"/>
        <v>8</v>
      </c>
      <c r="M1706" s="1" t="str">
        <f t="shared" si="105"/>
        <v/>
      </c>
      <c r="N1706" s="2">
        <f t="shared" si="106"/>
        <v>45778</v>
      </c>
      <c r="O1706" t="str">
        <f t="shared" si="107"/>
        <v>mačka</v>
      </c>
    </row>
    <row r="1707" spans="1:15" hidden="1" x14ac:dyDescent="0.25">
      <c r="A1707">
        <v>9215</v>
      </c>
      <c r="B1707" s="11">
        <v>4056789012345</v>
      </c>
      <c r="C1707" s="1" t="s">
        <v>47</v>
      </c>
      <c r="D1707" s="1" t="s">
        <v>29</v>
      </c>
      <c r="E1707" s="1" t="s">
        <v>37</v>
      </c>
      <c r="F1707">
        <v>2.4</v>
      </c>
      <c r="G1707">
        <v>2</v>
      </c>
      <c r="H1707" s="1" t="s">
        <v>14</v>
      </c>
      <c r="I1707" s="1" t="s">
        <v>15</v>
      </c>
      <c r="J1707" s="12">
        <v>45782</v>
      </c>
      <c r="K1707">
        <v>0</v>
      </c>
      <c r="L1707" s="1">
        <f t="shared" si="104"/>
        <v>4.8</v>
      </c>
      <c r="M1707" s="1" t="str">
        <f t="shared" si="105"/>
        <v/>
      </c>
      <c r="N1707" s="2">
        <f t="shared" si="106"/>
        <v>45778</v>
      </c>
      <c r="O1707" t="str">
        <f t="shared" si="107"/>
        <v>mačka</v>
      </c>
    </row>
    <row r="1708" spans="1:15" x14ac:dyDescent="0.25">
      <c r="A1708">
        <v>9216</v>
      </c>
      <c r="B1708" s="11">
        <v>4061011223346</v>
      </c>
      <c r="C1708" s="1" t="s">
        <v>25</v>
      </c>
      <c r="D1708" s="1" t="s">
        <v>26</v>
      </c>
      <c r="E1708" s="1" t="s">
        <v>27</v>
      </c>
      <c r="F1708">
        <v>19.600000000000001</v>
      </c>
      <c r="G1708">
        <v>1</v>
      </c>
      <c r="H1708" s="1" t="s">
        <v>14</v>
      </c>
      <c r="I1708" s="1" t="s">
        <v>15</v>
      </c>
      <c r="J1708" s="12">
        <v>45782</v>
      </c>
      <c r="K1708">
        <v>0</v>
      </c>
      <c r="L1708" s="1">
        <f t="shared" si="104"/>
        <v>19.600000000000001</v>
      </c>
      <c r="M1708" s="1" t="str">
        <f t="shared" si="105"/>
        <v/>
      </c>
      <c r="N1708" s="2">
        <f t="shared" si="106"/>
        <v>45778</v>
      </c>
      <c r="O1708" t="str">
        <f t="shared" si="107"/>
        <v>pes</v>
      </c>
    </row>
    <row r="1709" spans="1:15" hidden="1" x14ac:dyDescent="0.25">
      <c r="A1709">
        <v>9217</v>
      </c>
      <c r="B1709" s="11">
        <v>4026677889902</v>
      </c>
      <c r="C1709" s="1" t="s">
        <v>52</v>
      </c>
      <c r="D1709" s="1" t="s">
        <v>53</v>
      </c>
      <c r="E1709" s="1" t="s">
        <v>54</v>
      </c>
      <c r="F1709">
        <v>7.6</v>
      </c>
      <c r="G1709">
        <v>1</v>
      </c>
      <c r="H1709" s="1" t="s">
        <v>14</v>
      </c>
      <c r="I1709" s="1" t="s">
        <v>15</v>
      </c>
      <c r="J1709" s="12">
        <v>45782</v>
      </c>
      <c r="K1709">
        <v>0</v>
      </c>
      <c r="L1709" s="1">
        <f t="shared" si="104"/>
        <v>7.6</v>
      </c>
      <c r="M1709" s="1" t="str">
        <f t="shared" si="105"/>
        <v/>
      </c>
      <c r="N1709" s="2">
        <f t="shared" si="106"/>
        <v>45778</v>
      </c>
      <c r="O1709" t="str">
        <f t="shared" si="107"/>
        <v>iné</v>
      </c>
    </row>
    <row r="1710" spans="1:15" x14ac:dyDescent="0.25">
      <c r="A1710">
        <v>9218</v>
      </c>
      <c r="B1710" s="11">
        <v>4028899001126</v>
      </c>
      <c r="C1710" s="1" t="s">
        <v>16</v>
      </c>
      <c r="D1710" s="1" t="s">
        <v>12</v>
      </c>
      <c r="E1710" s="1" t="s">
        <v>17</v>
      </c>
      <c r="F1710">
        <v>2.8</v>
      </c>
      <c r="G1710">
        <v>3</v>
      </c>
      <c r="H1710" s="1" t="s">
        <v>14</v>
      </c>
      <c r="I1710" s="1" t="s">
        <v>15</v>
      </c>
      <c r="J1710" s="12">
        <v>45782</v>
      </c>
      <c r="K1710">
        <v>0</v>
      </c>
      <c r="L1710" s="1">
        <f t="shared" si="104"/>
        <v>8.3999999999999986</v>
      </c>
      <c r="M1710" s="1" t="str">
        <f t="shared" si="105"/>
        <v/>
      </c>
      <c r="N1710" s="2">
        <f t="shared" si="106"/>
        <v>45778</v>
      </c>
      <c r="O1710" t="str">
        <f t="shared" si="107"/>
        <v>pes</v>
      </c>
    </row>
    <row r="1711" spans="1:15" x14ac:dyDescent="0.25">
      <c r="A1711">
        <v>9219</v>
      </c>
      <c r="B1711" s="11">
        <v>4013456789017</v>
      </c>
      <c r="C1711" s="1" t="s">
        <v>11</v>
      </c>
      <c r="D1711" s="1" t="s">
        <v>12</v>
      </c>
      <c r="E1711" s="1" t="s">
        <v>13</v>
      </c>
      <c r="F1711">
        <v>6</v>
      </c>
      <c r="G1711">
        <v>1</v>
      </c>
      <c r="H1711" s="1" t="s">
        <v>14</v>
      </c>
      <c r="I1711" s="1" t="s">
        <v>15</v>
      </c>
      <c r="J1711" s="12">
        <v>45782</v>
      </c>
      <c r="K1711">
        <v>0</v>
      </c>
      <c r="L1711" s="1">
        <f t="shared" si="104"/>
        <v>6</v>
      </c>
      <c r="M1711" s="1" t="str">
        <f t="shared" si="105"/>
        <v/>
      </c>
      <c r="N1711" s="2">
        <f t="shared" si="106"/>
        <v>45778</v>
      </c>
      <c r="O1711" t="str">
        <f t="shared" si="107"/>
        <v>pes</v>
      </c>
    </row>
    <row r="1712" spans="1:15" x14ac:dyDescent="0.25">
      <c r="A1712">
        <v>9220</v>
      </c>
      <c r="B1712" s="11">
        <v>4040123456795</v>
      </c>
      <c r="C1712" s="1" t="s">
        <v>20</v>
      </c>
      <c r="D1712" s="1" t="s">
        <v>21</v>
      </c>
      <c r="E1712" s="1" t="s">
        <v>22</v>
      </c>
      <c r="F1712">
        <v>8.8000000000000007</v>
      </c>
      <c r="G1712">
        <v>1</v>
      </c>
      <c r="H1712" s="1" t="s">
        <v>14</v>
      </c>
      <c r="I1712" s="1" t="s">
        <v>15</v>
      </c>
      <c r="J1712" s="12">
        <v>45782</v>
      </c>
      <c r="K1712">
        <v>0</v>
      </c>
      <c r="L1712" s="1">
        <f t="shared" si="104"/>
        <v>8.8000000000000007</v>
      </c>
      <c r="M1712" s="1" t="str">
        <f t="shared" si="105"/>
        <v/>
      </c>
      <c r="N1712" s="2">
        <f t="shared" si="106"/>
        <v>45778</v>
      </c>
      <c r="O1712" t="str">
        <f t="shared" si="107"/>
        <v>pes</v>
      </c>
    </row>
    <row r="1713" spans="1:15" hidden="1" x14ac:dyDescent="0.25">
      <c r="A1713">
        <v>9221</v>
      </c>
      <c r="B1713" s="11">
        <v>4010123456783</v>
      </c>
      <c r="C1713" s="1" t="s">
        <v>35</v>
      </c>
      <c r="D1713" s="1" t="s">
        <v>36</v>
      </c>
      <c r="E1713" s="1" t="s">
        <v>37</v>
      </c>
      <c r="F1713">
        <v>14</v>
      </c>
      <c r="G1713">
        <v>1</v>
      </c>
      <c r="H1713" s="1" t="s">
        <v>14</v>
      </c>
      <c r="I1713" s="1" t="s">
        <v>15</v>
      </c>
      <c r="J1713" s="12">
        <v>45782</v>
      </c>
      <c r="K1713">
        <v>0</v>
      </c>
      <c r="L1713" s="1">
        <f t="shared" si="104"/>
        <v>14</v>
      </c>
      <c r="M1713" s="1" t="str">
        <f t="shared" si="105"/>
        <v/>
      </c>
      <c r="N1713" s="2">
        <f t="shared" si="106"/>
        <v>45778</v>
      </c>
      <c r="O1713" t="str">
        <f t="shared" si="107"/>
        <v>mačka</v>
      </c>
    </row>
    <row r="1714" spans="1:15" x14ac:dyDescent="0.25">
      <c r="A1714">
        <v>9222</v>
      </c>
      <c r="B1714" s="11">
        <v>4063456789014</v>
      </c>
      <c r="C1714" s="1" t="s">
        <v>60</v>
      </c>
      <c r="D1714" s="1" t="s">
        <v>12</v>
      </c>
      <c r="E1714" s="1" t="s">
        <v>61</v>
      </c>
      <c r="F1714">
        <v>36</v>
      </c>
      <c r="G1714">
        <v>1</v>
      </c>
      <c r="H1714" s="1" t="s">
        <v>18</v>
      </c>
      <c r="I1714" s="1" t="s">
        <v>274</v>
      </c>
      <c r="J1714" s="12">
        <v>45782</v>
      </c>
      <c r="K1714">
        <v>0</v>
      </c>
      <c r="L1714" s="1">
        <f t="shared" si="104"/>
        <v>36</v>
      </c>
      <c r="M1714" s="1">
        <f t="shared" si="105"/>
        <v>4</v>
      </c>
      <c r="N1714" s="2">
        <f t="shared" si="106"/>
        <v>45778</v>
      </c>
      <c r="O1714" t="str">
        <f t="shared" si="107"/>
        <v>pes</v>
      </c>
    </row>
    <row r="1715" spans="1:15" hidden="1" x14ac:dyDescent="0.25">
      <c r="A1715">
        <v>9223</v>
      </c>
      <c r="B1715" s="11">
        <v>4021234567894</v>
      </c>
      <c r="C1715" s="1" t="s">
        <v>79</v>
      </c>
      <c r="D1715" s="1" t="s">
        <v>36</v>
      </c>
      <c r="E1715" s="1" t="s">
        <v>69</v>
      </c>
      <c r="F1715">
        <v>8</v>
      </c>
      <c r="G1715">
        <v>1</v>
      </c>
      <c r="H1715" s="1" t="s">
        <v>14</v>
      </c>
      <c r="I1715" s="1" t="s">
        <v>15</v>
      </c>
      <c r="J1715" s="12">
        <v>45782</v>
      </c>
      <c r="K1715">
        <v>0</v>
      </c>
      <c r="L1715" s="1">
        <f t="shared" si="104"/>
        <v>8</v>
      </c>
      <c r="M1715" s="1" t="str">
        <f t="shared" si="105"/>
        <v/>
      </c>
      <c r="N1715" s="2">
        <f t="shared" si="106"/>
        <v>45778</v>
      </c>
      <c r="O1715" t="str">
        <f t="shared" si="107"/>
        <v>mačka</v>
      </c>
    </row>
    <row r="1716" spans="1:15" hidden="1" x14ac:dyDescent="0.25">
      <c r="A1716">
        <v>9224</v>
      </c>
      <c r="B1716" s="11">
        <v>4056789012345</v>
      </c>
      <c r="C1716" s="1" t="s">
        <v>47</v>
      </c>
      <c r="D1716" s="1" t="s">
        <v>29</v>
      </c>
      <c r="E1716" s="1" t="s">
        <v>37</v>
      </c>
      <c r="F1716">
        <v>2.4</v>
      </c>
      <c r="G1716">
        <v>2</v>
      </c>
      <c r="H1716" s="1" t="s">
        <v>14</v>
      </c>
      <c r="I1716" s="1" t="s">
        <v>15</v>
      </c>
      <c r="J1716" s="12">
        <v>45782</v>
      </c>
      <c r="K1716">
        <v>0</v>
      </c>
      <c r="L1716" s="1">
        <f t="shared" si="104"/>
        <v>4.8</v>
      </c>
      <c r="M1716" s="1" t="str">
        <f t="shared" si="105"/>
        <v/>
      </c>
      <c r="N1716" s="2">
        <f t="shared" si="106"/>
        <v>45778</v>
      </c>
      <c r="O1716" t="str">
        <f t="shared" si="107"/>
        <v>mačka</v>
      </c>
    </row>
    <row r="1717" spans="1:15" x14ac:dyDescent="0.25">
      <c r="A1717">
        <v>9225</v>
      </c>
      <c r="B1717" s="11">
        <v>4061011223346</v>
      </c>
      <c r="C1717" s="1" t="s">
        <v>25</v>
      </c>
      <c r="D1717" s="1" t="s">
        <v>26</v>
      </c>
      <c r="E1717" s="1" t="s">
        <v>27</v>
      </c>
      <c r="F1717">
        <v>19.600000000000001</v>
      </c>
      <c r="G1717">
        <v>1</v>
      </c>
      <c r="H1717" s="1" t="s">
        <v>14</v>
      </c>
      <c r="I1717" s="1" t="s">
        <v>15</v>
      </c>
      <c r="J1717" s="12">
        <v>45782</v>
      </c>
      <c r="K1717">
        <v>0</v>
      </c>
      <c r="L1717" s="1">
        <f t="shared" si="104"/>
        <v>19.600000000000001</v>
      </c>
      <c r="M1717" s="1" t="str">
        <f t="shared" si="105"/>
        <v/>
      </c>
      <c r="N1717" s="2">
        <f t="shared" si="106"/>
        <v>45778</v>
      </c>
      <c r="O1717" t="str">
        <f t="shared" si="107"/>
        <v>pes</v>
      </c>
    </row>
    <row r="1718" spans="1:15" hidden="1" x14ac:dyDescent="0.25">
      <c r="A1718">
        <v>9226</v>
      </c>
      <c r="B1718" s="11">
        <v>4026677889902</v>
      </c>
      <c r="C1718" s="1" t="s">
        <v>52</v>
      </c>
      <c r="D1718" s="1" t="s">
        <v>53</v>
      </c>
      <c r="E1718" s="1" t="s">
        <v>54</v>
      </c>
      <c r="F1718">
        <v>7.6</v>
      </c>
      <c r="G1718">
        <v>1</v>
      </c>
      <c r="H1718" s="1" t="s">
        <v>14</v>
      </c>
      <c r="I1718" s="1" t="s">
        <v>15</v>
      </c>
      <c r="J1718" s="12">
        <v>45783</v>
      </c>
      <c r="K1718">
        <v>0</v>
      </c>
      <c r="L1718" s="1">
        <f t="shared" si="104"/>
        <v>7.6</v>
      </c>
      <c r="M1718" s="1" t="str">
        <f t="shared" si="105"/>
        <v/>
      </c>
      <c r="N1718" s="2">
        <f t="shared" si="106"/>
        <v>45778</v>
      </c>
      <c r="O1718" t="str">
        <f t="shared" si="107"/>
        <v>iné</v>
      </c>
    </row>
    <row r="1719" spans="1:15" x14ac:dyDescent="0.25">
      <c r="A1719">
        <v>9227</v>
      </c>
      <c r="B1719" s="11">
        <v>4028899001126</v>
      </c>
      <c r="C1719" s="1" t="s">
        <v>16</v>
      </c>
      <c r="D1719" s="1" t="s">
        <v>12</v>
      </c>
      <c r="E1719" s="1" t="s">
        <v>17</v>
      </c>
      <c r="F1719">
        <v>2.8</v>
      </c>
      <c r="G1719">
        <v>4</v>
      </c>
      <c r="H1719" s="1" t="s">
        <v>23</v>
      </c>
      <c r="I1719" s="1" t="s">
        <v>275</v>
      </c>
      <c r="J1719" s="12">
        <v>45783</v>
      </c>
      <c r="K1719">
        <v>0</v>
      </c>
      <c r="L1719" s="1">
        <f t="shared" si="104"/>
        <v>11.2</v>
      </c>
      <c r="M1719" s="1">
        <f t="shared" si="105"/>
        <v>5</v>
      </c>
      <c r="N1719" s="2">
        <f t="shared" si="106"/>
        <v>45778</v>
      </c>
      <c r="O1719" t="str">
        <f t="shared" si="107"/>
        <v>pes</v>
      </c>
    </row>
    <row r="1720" spans="1:15" x14ac:dyDescent="0.25">
      <c r="A1720">
        <v>9228</v>
      </c>
      <c r="B1720" s="11">
        <v>4013456789017</v>
      </c>
      <c r="C1720" s="1" t="s">
        <v>11</v>
      </c>
      <c r="D1720" s="1" t="s">
        <v>12</v>
      </c>
      <c r="E1720" s="1" t="s">
        <v>13</v>
      </c>
      <c r="F1720">
        <v>6</v>
      </c>
      <c r="G1720">
        <v>1</v>
      </c>
      <c r="H1720" s="1" t="s">
        <v>14</v>
      </c>
      <c r="I1720" s="1" t="s">
        <v>15</v>
      </c>
      <c r="J1720" s="12">
        <v>45783</v>
      </c>
      <c r="K1720">
        <v>0</v>
      </c>
      <c r="L1720" s="1">
        <f t="shared" si="104"/>
        <v>6</v>
      </c>
      <c r="M1720" s="1" t="str">
        <f t="shared" si="105"/>
        <v/>
      </c>
      <c r="N1720" s="2">
        <f t="shared" si="106"/>
        <v>45778</v>
      </c>
      <c r="O1720" t="str">
        <f t="shared" si="107"/>
        <v>pes</v>
      </c>
    </row>
    <row r="1721" spans="1:15" x14ac:dyDescent="0.25">
      <c r="A1721">
        <v>9229</v>
      </c>
      <c r="B1721" s="11">
        <v>4040123456795</v>
      </c>
      <c r="C1721" s="1" t="s">
        <v>20</v>
      </c>
      <c r="D1721" s="1" t="s">
        <v>21</v>
      </c>
      <c r="E1721" s="1" t="s">
        <v>22</v>
      </c>
      <c r="F1721">
        <v>8.8000000000000007</v>
      </c>
      <c r="G1721">
        <v>1</v>
      </c>
      <c r="H1721" s="1" t="s">
        <v>14</v>
      </c>
      <c r="I1721" s="1" t="s">
        <v>15</v>
      </c>
      <c r="J1721" s="12">
        <v>45783</v>
      </c>
      <c r="K1721">
        <v>0</v>
      </c>
      <c r="L1721" s="1">
        <f t="shared" si="104"/>
        <v>8.8000000000000007</v>
      </c>
      <c r="M1721" s="1" t="str">
        <f t="shared" si="105"/>
        <v/>
      </c>
      <c r="N1721" s="2">
        <f t="shared" si="106"/>
        <v>45778</v>
      </c>
      <c r="O1721" t="str">
        <f t="shared" si="107"/>
        <v>pes</v>
      </c>
    </row>
    <row r="1722" spans="1:15" hidden="1" x14ac:dyDescent="0.25">
      <c r="A1722">
        <v>9230</v>
      </c>
      <c r="B1722" s="11">
        <v>4010123456783</v>
      </c>
      <c r="C1722" s="1" t="s">
        <v>35</v>
      </c>
      <c r="D1722" s="1" t="s">
        <v>36</v>
      </c>
      <c r="E1722" s="1" t="s">
        <v>37</v>
      </c>
      <c r="F1722">
        <v>14</v>
      </c>
      <c r="G1722">
        <v>2</v>
      </c>
      <c r="H1722" s="1" t="s">
        <v>14</v>
      </c>
      <c r="I1722" s="1" t="s">
        <v>15</v>
      </c>
      <c r="J1722" s="12">
        <v>45783</v>
      </c>
      <c r="K1722">
        <v>0</v>
      </c>
      <c r="L1722" s="1">
        <f t="shared" si="104"/>
        <v>28</v>
      </c>
      <c r="M1722" s="1" t="str">
        <f t="shared" si="105"/>
        <v/>
      </c>
      <c r="N1722" s="2">
        <f t="shared" si="106"/>
        <v>45778</v>
      </c>
      <c r="O1722" t="str">
        <f t="shared" si="107"/>
        <v>mačka</v>
      </c>
    </row>
    <row r="1723" spans="1:15" x14ac:dyDescent="0.25">
      <c r="A1723">
        <v>9231</v>
      </c>
      <c r="B1723" s="11">
        <v>4063456789014</v>
      </c>
      <c r="C1723" s="1" t="s">
        <v>60</v>
      </c>
      <c r="D1723" s="1" t="s">
        <v>12</v>
      </c>
      <c r="E1723" s="1" t="s">
        <v>61</v>
      </c>
      <c r="F1723">
        <v>36</v>
      </c>
      <c r="G1723">
        <v>1</v>
      </c>
      <c r="H1723" s="1" t="s">
        <v>14</v>
      </c>
      <c r="I1723" s="1" t="s">
        <v>15</v>
      </c>
      <c r="J1723" s="12">
        <v>45783</v>
      </c>
      <c r="K1723">
        <v>0</v>
      </c>
      <c r="L1723" s="1">
        <f t="shared" si="104"/>
        <v>36</v>
      </c>
      <c r="M1723" s="1" t="str">
        <f t="shared" si="105"/>
        <v/>
      </c>
      <c r="N1723" s="2">
        <f t="shared" si="106"/>
        <v>45778</v>
      </c>
      <c r="O1723" t="str">
        <f t="shared" si="107"/>
        <v>pes</v>
      </c>
    </row>
    <row r="1724" spans="1:15" hidden="1" x14ac:dyDescent="0.25">
      <c r="A1724">
        <v>9232</v>
      </c>
      <c r="B1724" s="11">
        <v>4021234567894</v>
      </c>
      <c r="C1724" s="1" t="s">
        <v>79</v>
      </c>
      <c r="D1724" s="1" t="s">
        <v>36</v>
      </c>
      <c r="E1724" s="1" t="s">
        <v>69</v>
      </c>
      <c r="F1724">
        <v>8</v>
      </c>
      <c r="G1724">
        <v>1</v>
      </c>
      <c r="H1724" s="1" t="s">
        <v>14</v>
      </c>
      <c r="I1724" s="1" t="s">
        <v>15</v>
      </c>
      <c r="J1724" s="12">
        <v>45783</v>
      </c>
      <c r="K1724">
        <v>0</v>
      </c>
      <c r="L1724" s="1">
        <f t="shared" si="104"/>
        <v>8</v>
      </c>
      <c r="M1724" s="1" t="str">
        <f t="shared" si="105"/>
        <v/>
      </c>
      <c r="N1724" s="2">
        <f t="shared" si="106"/>
        <v>45778</v>
      </c>
      <c r="O1724" t="str">
        <f t="shared" si="107"/>
        <v>mačka</v>
      </c>
    </row>
    <row r="1725" spans="1:15" hidden="1" x14ac:dyDescent="0.25">
      <c r="A1725">
        <v>9233</v>
      </c>
      <c r="B1725" s="11">
        <v>4056789012345</v>
      </c>
      <c r="C1725" s="1" t="s">
        <v>47</v>
      </c>
      <c r="D1725" s="1" t="s">
        <v>29</v>
      </c>
      <c r="E1725" s="1" t="s">
        <v>37</v>
      </c>
      <c r="F1725">
        <v>2.4</v>
      </c>
      <c r="G1725">
        <v>2</v>
      </c>
      <c r="H1725" s="1" t="s">
        <v>14</v>
      </c>
      <c r="I1725" s="1" t="s">
        <v>15</v>
      </c>
      <c r="J1725" s="12">
        <v>45783</v>
      </c>
      <c r="K1725">
        <v>0</v>
      </c>
      <c r="L1725" s="1">
        <f t="shared" si="104"/>
        <v>4.8</v>
      </c>
      <c r="M1725" s="1" t="str">
        <f t="shared" si="105"/>
        <v/>
      </c>
      <c r="N1725" s="2">
        <f t="shared" si="106"/>
        <v>45778</v>
      </c>
      <c r="O1725" t="str">
        <f t="shared" si="107"/>
        <v>mačka</v>
      </c>
    </row>
    <row r="1726" spans="1:15" x14ac:dyDescent="0.25">
      <c r="A1726">
        <v>9234</v>
      </c>
      <c r="B1726" s="11">
        <v>4061011223346</v>
      </c>
      <c r="C1726" s="1" t="s">
        <v>25</v>
      </c>
      <c r="D1726" s="1" t="s">
        <v>26</v>
      </c>
      <c r="E1726" s="1" t="s">
        <v>27</v>
      </c>
      <c r="F1726">
        <v>19.600000000000001</v>
      </c>
      <c r="G1726">
        <v>1</v>
      </c>
      <c r="H1726" s="1" t="s">
        <v>14</v>
      </c>
      <c r="I1726" s="1" t="s">
        <v>15</v>
      </c>
      <c r="J1726" s="12">
        <v>45783</v>
      </c>
      <c r="K1726">
        <v>0</v>
      </c>
      <c r="L1726" s="1">
        <f t="shared" si="104"/>
        <v>19.600000000000001</v>
      </c>
      <c r="M1726" s="1" t="str">
        <f t="shared" si="105"/>
        <v/>
      </c>
      <c r="N1726" s="2">
        <f t="shared" si="106"/>
        <v>45778</v>
      </c>
      <c r="O1726" t="str">
        <f t="shared" si="107"/>
        <v>pes</v>
      </c>
    </row>
    <row r="1727" spans="1:15" hidden="1" x14ac:dyDescent="0.25">
      <c r="A1727">
        <v>9235</v>
      </c>
      <c r="B1727" s="11">
        <v>4026677889902</v>
      </c>
      <c r="C1727" s="1" t="s">
        <v>52</v>
      </c>
      <c r="D1727" s="1" t="s">
        <v>53</v>
      </c>
      <c r="E1727" s="1" t="s">
        <v>54</v>
      </c>
      <c r="F1727">
        <v>7.6</v>
      </c>
      <c r="G1727">
        <v>1</v>
      </c>
      <c r="H1727" s="1" t="s">
        <v>14</v>
      </c>
      <c r="I1727" s="1" t="s">
        <v>15</v>
      </c>
      <c r="J1727" s="12">
        <v>45783</v>
      </c>
      <c r="K1727">
        <v>0</v>
      </c>
      <c r="L1727" s="1">
        <f t="shared" si="104"/>
        <v>7.6</v>
      </c>
      <c r="M1727" s="1" t="str">
        <f t="shared" si="105"/>
        <v/>
      </c>
      <c r="N1727" s="2">
        <f t="shared" si="106"/>
        <v>45778</v>
      </c>
      <c r="O1727" t="str">
        <f t="shared" si="107"/>
        <v>iné</v>
      </c>
    </row>
    <row r="1728" spans="1:15" x14ac:dyDescent="0.25">
      <c r="A1728">
        <v>9236</v>
      </c>
      <c r="B1728" s="11">
        <v>4028899001126</v>
      </c>
      <c r="C1728" s="1" t="s">
        <v>16</v>
      </c>
      <c r="D1728" s="1" t="s">
        <v>12</v>
      </c>
      <c r="E1728" s="1" t="s">
        <v>17</v>
      </c>
      <c r="F1728">
        <v>2.8</v>
      </c>
      <c r="G1728">
        <v>3</v>
      </c>
      <c r="H1728" s="1" t="s">
        <v>14</v>
      </c>
      <c r="I1728" s="1" t="s">
        <v>15</v>
      </c>
      <c r="J1728" s="12">
        <v>45783</v>
      </c>
      <c r="K1728">
        <v>0</v>
      </c>
      <c r="L1728" s="1">
        <f t="shared" si="104"/>
        <v>8.3999999999999986</v>
      </c>
      <c r="M1728" s="1" t="str">
        <f t="shared" si="105"/>
        <v/>
      </c>
      <c r="N1728" s="2">
        <f t="shared" si="106"/>
        <v>45778</v>
      </c>
      <c r="O1728" t="str">
        <f t="shared" si="107"/>
        <v>pes</v>
      </c>
    </row>
    <row r="1729" spans="1:15" x14ac:dyDescent="0.25">
      <c r="A1729">
        <v>9237</v>
      </c>
      <c r="B1729" s="11">
        <v>4013456789017</v>
      </c>
      <c r="C1729" s="1" t="s">
        <v>11</v>
      </c>
      <c r="D1729" s="1" t="s">
        <v>12</v>
      </c>
      <c r="E1729" s="1" t="s">
        <v>13</v>
      </c>
      <c r="F1729">
        <v>6</v>
      </c>
      <c r="G1729">
        <v>1</v>
      </c>
      <c r="H1729" s="1" t="s">
        <v>18</v>
      </c>
      <c r="I1729" s="1" t="s">
        <v>276</v>
      </c>
      <c r="J1729" s="12">
        <v>45783</v>
      </c>
      <c r="K1729">
        <v>0</v>
      </c>
      <c r="L1729" s="1">
        <f t="shared" si="104"/>
        <v>6</v>
      </c>
      <c r="M1729" s="1">
        <f t="shared" si="105"/>
        <v>4</v>
      </c>
      <c r="N1729" s="2">
        <f t="shared" si="106"/>
        <v>45778</v>
      </c>
      <c r="O1729" t="str">
        <f t="shared" si="107"/>
        <v>pes</v>
      </c>
    </row>
    <row r="1730" spans="1:15" x14ac:dyDescent="0.25">
      <c r="A1730">
        <v>9238</v>
      </c>
      <c r="B1730" s="11">
        <v>4040123456795</v>
      </c>
      <c r="C1730" s="1" t="s">
        <v>20</v>
      </c>
      <c r="D1730" s="1" t="s">
        <v>21</v>
      </c>
      <c r="E1730" s="1" t="s">
        <v>22</v>
      </c>
      <c r="F1730">
        <v>8.8000000000000007</v>
      </c>
      <c r="G1730">
        <v>1</v>
      </c>
      <c r="H1730" s="1" t="s">
        <v>14</v>
      </c>
      <c r="I1730" s="1" t="s">
        <v>15</v>
      </c>
      <c r="J1730" s="12">
        <v>45783</v>
      </c>
      <c r="K1730">
        <v>0</v>
      </c>
      <c r="L1730" s="1">
        <f t="shared" ref="L1730:L1793" si="108">F1730*G1730</f>
        <v>8.8000000000000007</v>
      </c>
      <c r="M1730" s="1" t="str">
        <f t="shared" ref="M1730:M1793" si="109">IF(H1730="NULL", "",VALUE(H1730))</f>
        <v/>
      </c>
      <c r="N1730" s="2">
        <f t="shared" ref="N1730:N1793" si="110">DATE(YEAR(J1730),MONTH(J1730),1)</f>
        <v>45778</v>
      </c>
      <c r="O1730" t="str">
        <f t="shared" ref="O1730:O1793" si="111">IF(ISNUMBER(SEARCH("Mačky",D1730)),"mačka",IF(ISNUMBER(SEARCH("Psy",D1730)),"pes","iné"))</f>
        <v>pes</v>
      </c>
    </row>
    <row r="1731" spans="1:15" hidden="1" x14ac:dyDescent="0.25">
      <c r="A1731">
        <v>9239</v>
      </c>
      <c r="B1731" s="11">
        <v>4010123456783</v>
      </c>
      <c r="C1731" s="1" t="s">
        <v>35</v>
      </c>
      <c r="D1731" s="1" t="s">
        <v>36</v>
      </c>
      <c r="E1731" s="1" t="s">
        <v>37</v>
      </c>
      <c r="F1731">
        <v>14</v>
      </c>
      <c r="G1731">
        <v>1</v>
      </c>
      <c r="H1731" s="1" t="s">
        <v>14</v>
      </c>
      <c r="I1731" s="1" t="s">
        <v>15</v>
      </c>
      <c r="J1731" s="12">
        <v>45783</v>
      </c>
      <c r="K1731">
        <v>0</v>
      </c>
      <c r="L1731" s="1">
        <f t="shared" si="108"/>
        <v>14</v>
      </c>
      <c r="M1731" s="1" t="str">
        <f t="shared" si="109"/>
        <v/>
      </c>
      <c r="N1731" s="2">
        <f t="shared" si="110"/>
        <v>45778</v>
      </c>
      <c r="O1731" t="str">
        <f t="shared" si="111"/>
        <v>mačka</v>
      </c>
    </row>
    <row r="1732" spans="1:15" x14ac:dyDescent="0.25">
      <c r="A1732">
        <v>9240</v>
      </c>
      <c r="B1732" s="11">
        <v>4063456789014</v>
      </c>
      <c r="C1732" s="1" t="s">
        <v>60</v>
      </c>
      <c r="D1732" s="1" t="s">
        <v>12</v>
      </c>
      <c r="E1732" s="1" t="s">
        <v>61</v>
      </c>
      <c r="F1732">
        <v>36</v>
      </c>
      <c r="G1732">
        <v>1</v>
      </c>
      <c r="H1732" s="1" t="s">
        <v>14</v>
      </c>
      <c r="I1732" s="1" t="s">
        <v>15</v>
      </c>
      <c r="J1732" s="12">
        <v>45784</v>
      </c>
      <c r="K1732">
        <v>0</v>
      </c>
      <c r="L1732" s="1">
        <f t="shared" si="108"/>
        <v>36</v>
      </c>
      <c r="M1732" s="1" t="str">
        <f t="shared" si="109"/>
        <v/>
      </c>
      <c r="N1732" s="2">
        <f t="shared" si="110"/>
        <v>45778</v>
      </c>
      <c r="O1732" t="str">
        <f t="shared" si="111"/>
        <v>pes</v>
      </c>
    </row>
    <row r="1733" spans="1:15" hidden="1" x14ac:dyDescent="0.25">
      <c r="A1733">
        <v>9241</v>
      </c>
      <c r="B1733" s="11">
        <v>4021234567894</v>
      </c>
      <c r="C1733" s="1" t="s">
        <v>79</v>
      </c>
      <c r="D1733" s="1" t="s">
        <v>36</v>
      </c>
      <c r="E1733" s="1" t="s">
        <v>69</v>
      </c>
      <c r="F1733">
        <v>8</v>
      </c>
      <c r="G1733">
        <v>1</v>
      </c>
      <c r="H1733" s="1" t="s">
        <v>14</v>
      </c>
      <c r="I1733" s="1" t="s">
        <v>15</v>
      </c>
      <c r="J1733" s="12">
        <v>45784</v>
      </c>
      <c r="K1733">
        <v>0</v>
      </c>
      <c r="L1733" s="1">
        <f t="shared" si="108"/>
        <v>8</v>
      </c>
      <c r="M1733" s="1" t="str">
        <f t="shared" si="109"/>
        <v/>
      </c>
      <c r="N1733" s="2">
        <f t="shared" si="110"/>
        <v>45778</v>
      </c>
      <c r="O1733" t="str">
        <f t="shared" si="111"/>
        <v>mačka</v>
      </c>
    </row>
    <row r="1734" spans="1:15" hidden="1" x14ac:dyDescent="0.25">
      <c r="A1734">
        <v>9242</v>
      </c>
      <c r="B1734" s="11">
        <v>4056789012345</v>
      </c>
      <c r="C1734" s="1" t="s">
        <v>47</v>
      </c>
      <c r="D1734" s="1" t="s">
        <v>29</v>
      </c>
      <c r="E1734" s="1" t="s">
        <v>37</v>
      </c>
      <c r="F1734">
        <v>2.4</v>
      </c>
      <c r="G1734">
        <v>2</v>
      </c>
      <c r="H1734" s="1" t="s">
        <v>14</v>
      </c>
      <c r="I1734" s="1" t="s">
        <v>15</v>
      </c>
      <c r="J1734" s="12">
        <v>45784</v>
      </c>
      <c r="K1734">
        <v>0</v>
      </c>
      <c r="L1734" s="1">
        <f t="shared" si="108"/>
        <v>4.8</v>
      </c>
      <c r="M1734" s="1" t="str">
        <f t="shared" si="109"/>
        <v/>
      </c>
      <c r="N1734" s="2">
        <f t="shared" si="110"/>
        <v>45778</v>
      </c>
      <c r="O1734" t="str">
        <f t="shared" si="111"/>
        <v>mačka</v>
      </c>
    </row>
    <row r="1735" spans="1:15" x14ac:dyDescent="0.25">
      <c r="A1735">
        <v>9243</v>
      </c>
      <c r="B1735" s="11">
        <v>4061011223346</v>
      </c>
      <c r="C1735" s="1" t="s">
        <v>25</v>
      </c>
      <c r="D1735" s="1" t="s">
        <v>26</v>
      </c>
      <c r="E1735" s="1" t="s">
        <v>27</v>
      </c>
      <c r="F1735">
        <v>19.600000000000001</v>
      </c>
      <c r="G1735">
        <v>1</v>
      </c>
      <c r="H1735" s="1" t="s">
        <v>14</v>
      </c>
      <c r="I1735" s="1" t="s">
        <v>15</v>
      </c>
      <c r="J1735" s="12">
        <v>45784</v>
      </c>
      <c r="K1735">
        <v>0</v>
      </c>
      <c r="L1735" s="1">
        <f t="shared" si="108"/>
        <v>19.600000000000001</v>
      </c>
      <c r="M1735" s="1" t="str">
        <f t="shared" si="109"/>
        <v/>
      </c>
      <c r="N1735" s="2">
        <f t="shared" si="110"/>
        <v>45778</v>
      </c>
      <c r="O1735" t="str">
        <f t="shared" si="111"/>
        <v>pes</v>
      </c>
    </row>
    <row r="1736" spans="1:15" hidden="1" x14ac:dyDescent="0.25">
      <c r="A1736">
        <v>9244</v>
      </c>
      <c r="B1736" s="11">
        <v>4026677889902</v>
      </c>
      <c r="C1736" s="1" t="s">
        <v>52</v>
      </c>
      <c r="D1736" s="1" t="s">
        <v>53</v>
      </c>
      <c r="E1736" s="1" t="s">
        <v>54</v>
      </c>
      <c r="F1736">
        <v>7.6</v>
      </c>
      <c r="G1736">
        <v>1</v>
      </c>
      <c r="H1736" s="1" t="s">
        <v>14</v>
      </c>
      <c r="I1736" s="1" t="s">
        <v>15</v>
      </c>
      <c r="J1736" s="12">
        <v>45784</v>
      </c>
      <c r="K1736">
        <v>0</v>
      </c>
      <c r="L1736" s="1">
        <f t="shared" si="108"/>
        <v>7.6</v>
      </c>
      <c r="M1736" s="1" t="str">
        <f t="shared" si="109"/>
        <v/>
      </c>
      <c r="N1736" s="2">
        <f t="shared" si="110"/>
        <v>45778</v>
      </c>
      <c r="O1736" t="str">
        <f t="shared" si="111"/>
        <v>iné</v>
      </c>
    </row>
    <row r="1737" spans="1:15" x14ac:dyDescent="0.25">
      <c r="A1737">
        <v>9245</v>
      </c>
      <c r="B1737" s="11">
        <v>4028899001126</v>
      </c>
      <c r="C1737" s="1" t="s">
        <v>16</v>
      </c>
      <c r="D1737" s="1" t="s">
        <v>12</v>
      </c>
      <c r="E1737" s="1" t="s">
        <v>17</v>
      </c>
      <c r="F1737">
        <v>2.8</v>
      </c>
      <c r="G1737">
        <v>5</v>
      </c>
      <c r="H1737" s="1" t="s">
        <v>14</v>
      </c>
      <c r="I1737" s="1" t="s">
        <v>15</v>
      </c>
      <c r="J1737" s="12">
        <v>45784</v>
      </c>
      <c r="K1737">
        <v>0</v>
      </c>
      <c r="L1737" s="1">
        <f t="shared" si="108"/>
        <v>14</v>
      </c>
      <c r="M1737" s="1" t="str">
        <f t="shared" si="109"/>
        <v/>
      </c>
      <c r="N1737" s="2">
        <f t="shared" si="110"/>
        <v>45778</v>
      </c>
      <c r="O1737" t="str">
        <f t="shared" si="111"/>
        <v>pes</v>
      </c>
    </row>
    <row r="1738" spans="1:15" x14ac:dyDescent="0.25">
      <c r="A1738">
        <v>9246</v>
      </c>
      <c r="B1738" s="11">
        <v>4013456789017</v>
      </c>
      <c r="C1738" s="1" t="s">
        <v>11</v>
      </c>
      <c r="D1738" s="1" t="s">
        <v>12</v>
      </c>
      <c r="E1738" s="1" t="s">
        <v>13</v>
      </c>
      <c r="F1738">
        <v>6</v>
      </c>
      <c r="G1738">
        <v>1</v>
      </c>
      <c r="H1738" s="1" t="s">
        <v>14</v>
      </c>
      <c r="I1738" s="1" t="s">
        <v>15</v>
      </c>
      <c r="J1738" s="12">
        <v>45784</v>
      </c>
      <c r="K1738">
        <v>0</v>
      </c>
      <c r="L1738" s="1">
        <f t="shared" si="108"/>
        <v>6</v>
      </c>
      <c r="M1738" s="1" t="str">
        <f t="shared" si="109"/>
        <v/>
      </c>
      <c r="N1738" s="2">
        <f t="shared" si="110"/>
        <v>45778</v>
      </c>
      <c r="O1738" t="str">
        <f t="shared" si="111"/>
        <v>pes</v>
      </c>
    </row>
    <row r="1739" spans="1:15" x14ac:dyDescent="0.25">
      <c r="A1739">
        <v>9247</v>
      </c>
      <c r="B1739" s="11">
        <v>4040123456795</v>
      </c>
      <c r="C1739" s="1" t="s">
        <v>20</v>
      </c>
      <c r="D1739" s="1" t="s">
        <v>21</v>
      </c>
      <c r="E1739" s="1" t="s">
        <v>22</v>
      </c>
      <c r="F1739">
        <v>8.8000000000000007</v>
      </c>
      <c r="G1739">
        <v>1</v>
      </c>
      <c r="H1739" s="1" t="s">
        <v>14</v>
      </c>
      <c r="I1739" s="1" t="s">
        <v>15</v>
      </c>
      <c r="J1739" s="12">
        <v>45784</v>
      </c>
      <c r="K1739">
        <v>0</v>
      </c>
      <c r="L1739" s="1">
        <f t="shared" si="108"/>
        <v>8.8000000000000007</v>
      </c>
      <c r="M1739" s="1" t="str">
        <f t="shared" si="109"/>
        <v/>
      </c>
      <c r="N1739" s="2">
        <f t="shared" si="110"/>
        <v>45778</v>
      </c>
      <c r="O1739" t="str">
        <f t="shared" si="111"/>
        <v>pes</v>
      </c>
    </row>
    <row r="1740" spans="1:15" hidden="1" x14ac:dyDescent="0.25">
      <c r="A1740">
        <v>9248</v>
      </c>
      <c r="B1740" s="11">
        <v>4010123456783</v>
      </c>
      <c r="C1740" s="1" t="s">
        <v>35</v>
      </c>
      <c r="D1740" s="1" t="s">
        <v>36</v>
      </c>
      <c r="E1740" s="1" t="s">
        <v>37</v>
      </c>
      <c r="F1740">
        <v>14</v>
      </c>
      <c r="G1740">
        <v>1</v>
      </c>
      <c r="H1740" s="1" t="s">
        <v>18</v>
      </c>
      <c r="I1740" s="1" t="s">
        <v>277</v>
      </c>
      <c r="J1740" s="12">
        <v>45784</v>
      </c>
      <c r="K1740">
        <v>0</v>
      </c>
      <c r="L1740" s="1">
        <f t="shared" si="108"/>
        <v>14</v>
      </c>
      <c r="M1740" s="1">
        <f t="shared" si="109"/>
        <v>4</v>
      </c>
      <c r="N1740" s="2">
        <f t="shared" si="110"/>
        <v>45778</v>
      </c>
      <c r="O1740" t="str">
        <f t="shared" si="111"/>
        <v>mačka</v>
      </c>
    </row>
    <row r="1741" spans="1:15" x14ac:dyDescent="0.25">
      <c r="A1741">
        <v>9249</v>
      </c>
      <c r="B1741" s="11">
        <v>4063456789014</v>
      </c>
      <c r="C1741" s="1" t="s">
        <v>60</v>
      </c>
      <c r="D1741" s="1" t="s">
        <v>12</v>
      </c>
      <c r="E1741" s="1" t="s">
        <v>61</v>
      </c>
      <c r="F1741">
        <v>36</v>
      </c>
      <c r="G1741">
        <v>1</v>
      </c>
      <c r="H1741" s="1" t="s">
        <v>14</v>
      </c>
      <c r="I1741" s="1" t="s">
        <v>15</v>
      </c>
      <c r="J1741" s="12">
        <v>45784</v>
      </c>
      <c r="K1741">
        <v>0</v>
      </c>
      <c r="L1741" s="1">
        <f t="shared" si="108"/>
        <v>36</v>
      </c>
      <c r="M1741" s="1" t="str">
        <f t="shared" si="109"/>
        <v/>
      </c>
      <c r="N1741" s="2">
        <f t="shared" si="110"/>
        <v>45778</v>
      </c>
      <c r="O1741" t="str">
        <f t="shared" si="111"/>
        <v>pes</v>
      </c>
    </row>
    <row r="1742" spans="1:15" hidden="1" x14ac:dyDescent="0.25">
      <c r="A1742">
        <v>9250</v>
      </c>
      <c r="B1742" s="11">
        <v>4021234567894</v>
      </c>
      <c r="C1742" s="1" t="s">
        <v>79</v>
      </c>
      <c r="D1742" s="1" t="s">
        <v>36</v>
      </c>
      <c r="E1742" s="1" t="s">
        <v>69</v>
      </c>
      <c r="F1742">
        <v>8</v>
      </c>
      <c r="G1742">
        <v>1</v>
      </c>
      <c r="H1742" s="1" t="s">
        <v>14</v>
      </c>
      <c r="I1742" s="1" t="s">
        <v>15</v>
      </c>
      <c r="J1742" s="12">
        <v>45784</v>
      </c>
      <c r="K1742">
        <v>0</v>
      </c>
      <c r="L1742" s="1">
        <f t="shared" si="108"/>
        <v>8</v>
      </c>
      <c r="M1742" s="1" t="str">
        <f t="shared" si="109"/>
        <v/>
      </c>
      <c r="N1742" s="2">
        <f t="shared" si="110"/>
        <v>45778</v>
      </c>
      <c r="O1742" t="str">
        <f t="shared" si="111"/>
        <v>mačka</v>
      </c>
    </row>
    <row r="1743" spans="1:15" hidden="1" x14ac:dyDescent="0.25">
      <c r="A1743">
        <v>9251</v>
      </c>
      <c r="B1743" s="11">
        <v>4056789012345</v>
      </c>
      <c r="C1743" s="1" t="s">
        <v>47</v>
      </c>
      <c r="D1743" s="1" t="s">
        <v>29</v>
      </c>
      <c r="E1743" s="1" t="s">
        <v>37</v>
      </c>
      <c r="F1743">
        <v>2.4</v>
      </c>
      <c r="G1743">
        <v>2</v>
      </c>
      <c r="H1743" s="1" t="s">
        <v>14</v>
      </c>
      <c r="I1743" s="1" t="s">
        <v>15</v>
      </c>
      <c r="J1743" s="12">
        <v>45784</v>
      </c>
      <c r="K1743">
        <v>0</v>
      </c>
      <c r="L1743" s="1">
        <f t="shared" si="108"/>
        <v>4.8</v>
      </c>
      <c r="M1743" s="1" t="str">
        <f t="shared" si="109"/>
        <v/>
      </c>
      <c r="N1743" s="2">
        <f t="shared" si="110"/>
        <v>45778</v>
      </c>
      <c r="O1743" t="str">
        <f t="shared" si="111"/>
        <v>mačka</v>
      </c>
    </row>
    <row r="1744" spans="1:15" x14ac:dyDescent="0.25">
      <c r="A1744">
        <v>9252</v>
      </c>
      <c r="B1744" s="11">
        <v>4061011223346</v>
      </c>
      <c r="C1744" s="1" t="s">
        <v>25</v>
      </c>
      <c r="D1744" s="1" t="s">
        <v>26</v>
      </c>
      <c r="E1744" s="1" t="s">
        <v>27</v>
      </c>
      <c r="F1744">
        <v>19.600000000000001</v>
      </c>
      <c r="G1744">
        <v>1</v>
      </c>
      <c r="H1744" s="1" t="s">
        <v>14</v>
      </c>
      <c r="I1744" s="1" t="s">
        <v>15</v>
      </c>
      <c r="J1744" s="12">
        <v>45784</v>
      </c>
      <c r="K1744">
        <v>0</v>
      </c>
      <c r="L1744" s="1">
        <f t="shared" si="108"/>
        <v>19.600000000000001</v>
      </c>
      <c r="M1744" s="1" t="str">
        <f t="shared" si="109"/>
        <v/>
      </c>
      <c r="N1744" s="2">
        <f t="shared" si="110"/>
        <v>45778</v>
      </c>
      <c r="O1744" t="str">
        <f t="shared" si="111"/>
        <v>pes</v>
      </c>
    </row>
    <row r="1745" spans="1:15" hidden="1" x14ac:dyDescent="0.25">
      <c r="A1745">
        <v>9253</v>
      </c>
      <c r="B1745" s="11">
        <v>4026677889902</v>
      </c>
      <c r="C1745" s="1" t="s">
        <v>52</v>
      </c>
      <c r="D1745" s="1" t="s">
        <v>53</v>
      </c>
      <c r="E1745" s="1" t="s">
        <v>54</v>
      </c>
      <c r="F1745">
        <v>7.6</v>
      </c>
      <c r="G1745">
        <v>1</v>
      </c>
      <c r="H1745" s="1" t="s">
        <v>14</v>
      </c>
      <c r="I1745" s="1" t="s">
        <v>15</v>
      </c>
      <c r="J1745" s="12">
        <v>45784</v>
      </c>
      <c r="K1745">
        <v>0</v>
      </c>
      <c r="L1745" s="1">
        <f t="shared" si="108"/>
        <v>7.6</v>
      </c>
      <c r="M1745" s="1" t="str">
        <f t="shared" si="109"/>
        <v/>
      </c>
      <c r="N1745" s="2">
        <f t="shared" si="110"/>
        <v>45778</v>
      </c>
      <c r="O1745" t="str">
        <f t="shared" si="111"/>
        <v>iné</v>
      </c>
    </row>
    <row r="1746" spans="1:15" x14ac:dyDescent="0.25">
      <c r="A1746">
        <v>9254</v>
      </c>
      <c r="B1746" s="11">
        <v>4028899001126</v>
      </c>
      <c r="C1746" s="1" t="s">
        <v>16</v>
      </c>
      <c r="D1746" s="1" t="s">
        <v>12</v>
      </c>
      <c r="E1746" s="1" t="s">
        <v>17</v>
      </c>
      <c r="F1746">
        <v>2.8</v>
      </c>
      <c r="G1746">
        <v>3</v>
      </c>
      <c r="H1746" s="1" t="s">
        <v>14</v>
      </c>
      <c r="I1746" s="1" t="s">
        <v>15</v>
      </c>
      <c r="J1746" s="12">
        <v>45784</v>
      </c>
      <c r="K1746">
        <v>0</v>
      </c>
      <c r="L1746" s="1">
        <f t="shared" si="108"/>
        <v>8.3999999999999986</v>
      </c>
      <c r="M1746" s="1" t="str">
        <f t="shared" si="109"/>
        <v/>
      </c>
      <c r="N1746" s="2">
        <f t="shared" si="110"/>
        <v>45778</v>
      </c>
      <c r="O1746" t="str">
        <f t="shared" si="111"/>
        <v>pes</v>
      </c>
    </row>
    <row r="1747" spans="1:15" x14ac:dyDescent="0.25">
      <c r="A1747">
        <v>9255</v>
      </c>
      <c r="B1747" s="11">
        <v>4013456789017</v>
      </c>
      <c r="C1747" s="1" t="s">
        <v>11</v>
      </c>
      <c r="D1747" s="1" t="s">
        <v>12</v>
      </c>
      <c r="E1747" s="1" t="s">
        <v>13</v>
      </c>
      <c r="F1747">
        <v>6</v>
      </c>
      <c r="G1747">
        <v>1</v>
      </c>
      <c r="H1747" s="1" t="s">
        <v>14</v>
      </c>
      <c r="I1747" s="1" t="s">
        <v>15</v>
      </c>
      <c r="J1747" s="12">
        <v>45784</v>
      </c>
      <c r="K1747">
        <v>0</v>
      </c>
      <c r="L1747" s="1">
        <f t="shared" si="108"/>
        <v>6</v>
      </c>
      <c r="M1747" s="1" t="str">
        <f t="shared" si="109"/>
        <v/>
      </c>
      <c r="N1747" s="2">
        <f t="shared" si="110"/>
        <v>45778</v>
      </c>
      <c r="O1747" t="str">
        <f t="shared" si="111"/>
        <v>pes</v>
      </c>
    </row>
    <row r="1748" spans="1:15" x14ac:dyDescent="0.25">
      <c r="A1748">
        <v>9256</v>
      </c>
      <c r="B1748" s="11">
        <v>4040123456795</v>
      </c>
      <c r="C1748" s="1" t="s">
        <v>20</v>
      </c>
      <c r="D1748" s="1" t="s">
        <v>21</v>
      </c>
      <c r="E1748" s="1" t="s">
        <v>22</v>
      </c>
      <c r="F1748">
        <v>8.8000000000000007</v>
      </c>
      <c r="G1748">
        <v>1</v>
      </c>
      <c r="H1748" s="1" t="s">
        <v>14</v>
      </c>
      <c r="I1748" s="1" t="s">
        <v>15</v>
      </c>
      <c r="J1748" s="12">
        <v>45784</v>
      </c>
      <c r="K1748">
        <v>0</v>
      </c>
      <c r="L1748" s="1">
        <f t="shared" si="108"/>
        <v>8.8000000000000007</v>
      </c>
      <c r="M1748" s="1" t="str">
        <f t="shared" si="109"/>
        <v/>
      </c>
      <c r="N1748" s="2">
        <f t="shared" si="110"/>
        <v>45778</v>
      </c>
      <c r="O1748" t="str">
        <f t="shared" si="111"/>
        <v>pes</v>
      </c>
    </row>
    <row r="1749" spans="1:15" hidden="1" x14ac:dyDescent="0.25">
      <c r="A1749">
        <v>9257</v>
      </c>
      <c r="B1749" s="11">
        <v>4010123456783</v>
      </c>
      <c r="C1749" s="1" t="s">
        <v>35</v>
      </c>
      <c r="D1749" s="1" t="s">
        <v>36</v>
      </c>
      <c r="E1749" s="1" t="s">
        <v>37</v>
      </c>
      <c r="F1749">
        <v>14</v>
      </c>
      <c r="G1749">
        <v>2</v>
      </c>
      <c r="H1749" s="1" t="s">
        <v>14</v>
      </c>
      <c r="I1749" s="1" t="s">
        <v>15</v>
      </c>
      <c r="J1749" s="12">
        <v>45785</v>
      </c>
      <c r="K1749">
        <v>0</v>
      </c>
      <c r="L1749" s="1">
        <f t="shared" si="108"/>
        <v>28</v>
      </c>
      <c r="M1749" s="1" t="str">
        <f t="shared" si="109"/>
        <v/>
      </c>
      <c r="N1749" s="2">
        <f t="shared" si="110"/>
        <v>45778</v>
      </c>
      <c r="O1749" t="str">
        <f t="shared" si="111"/>
        <v>mačka</v>
      </c>
    </row>
    <row r="1750" spans="1:15" x14ac:dyDescent="0.25">
      <c r="A1750">
        <v>9258</v>
      </c>
      <c r="B1750" s="11">
        <v>4063456789014</v>
      </c>
      <c r="C1750" s="1" t="s">
        <v>60</v>
      </c>
      <c r="D1750" s="1" t="s">
        <v>12</v>
      </c>
      <c r="E1750" s="1" t="s">
        <v>61</v>
      </c>
      <c r="F1750">
        <v>36</v>
      </c>
      <c r="G1750">
        <v>1</v>
      </c>
      <c r="H1750" s="1" t="s">
        <v>14</v>
      </c>
      <c r="I1750" s="1" t="s">
        <v>15</v>
      </c>
      <c r="J1750" s="12">
        <v>45785</v>
      </c>
      <c r="K1750">
        <v>0</v>
      </c>
      <c r="L1750" s="1">
        <f t="shared" si="108"/>
        <v>36</v>
      </c>
      <c r="M1750" s="1" t="str">
        <f t="shared" si="109"/>
        <v/>
      </c>
      <c r="N1750" s="2">
        <f t="shared" si="110"/>
        <v>45778</v>
      </c>
      <c r="O1750" t="str">
        <f t="shared" si="111"/>
        <v>pes</v>
      </c>
    </row>
    <row r="1751" spans="1:15" hidden="1" x14ac:dyDescent="0.25">
      <c r="A1751">
        <v>9259</v>
      </c>
      <c r="B1751" s="11">
        <v>4021234567894</v>
      </c>
      <c r="C1751" s="1" t="s">
        <v>79</v>
      </c>
      <c r="D1751" s="1" t="s">
        <v>36</v>
      </c>
      <c r="E1751" s="1" t="s">
        <v>69</v>
      </c>
      <c r="F1751">
        <v>8</v>
      </c>
      <c r="G1751">
        <v>1</v>
      </c>
      <c r="H1751" s="1" t="s">
        <v>14</v>
      </c>
      <c r="I1751" s="1" t="s">
        <v>15</v>
      </c>
      <c r="J1751" s="12">
        <v>45785</v>
      </c>
      <c r="K1751">
        <v>0</v>
      </c>
      <c r="L1751" s="1">
        <f t="shared" si="108"/>
        <v>8</v>
      </c>
      <c r="M1751" s="1" t="str">
        <f t="shared" si="109"/>
        <v/>
      </c>
      <c r="N1751" s="2">
        <f t="shared" si="110"/>
        <v>45778</v>
      </c>
      <c r="O1751" t="str">
        <f t="shared" si="111"/>
        <v>mačka</v>
      </c>
    </row>
    <row r="1752" spans="1:15" hidden="1" x14ac:dyDescent="0.25">
      <c r="A1752">
        <v>9260</v>
      </c>
      <c r="B1752" s="11">
        <v>4056789012345</v>
      </c>
      <c r="C1752" s="1" t="s">
        <v>47</v>
      </c>
      <c r="D1752" s="1" t="s">
        <v>29</v>
      </c>
      <c r="E1752" s="1" t="s">
        <v>37</v>
      </c>
      <c r="F1752">
        <v>2.4</v>
      </c>
      <c r="G1752">
        <v>3</v>
      </c>
      <c r="H1752" s="1" t="s">
        <v>14</v>
      </c>
      <c r="I1752" s="1" t="s">
        <v>15</v>
      </c>
      <c r="J1752" s="12">
        <v>45785</v>
      </c>
      <c r="K1752">
        <v>0</v>
      </c>
      <c r="L1752" s="1">
        <f t="shared" si="108"/>
        <v>7.1999999999999993</v>
      </c>
      <c r="M1752" s="1" t="str">
        <f t="shared" si="109"/>
        <v/>
      </c>
      <c r="N1752" s="2">
        <f t="shared" si="110"/>
        <v>45778</v>
      </c>
      <c r="O1752" t="str">
        <f t="shared" si="111"/>
        <v>mačka</v>
      </c>
    </row>
    <row r="1753" spans="1:15" x14ac:dyDescent="0.25">
      <c r="A1753">
        <v>9261</v>
      </c>
      <c r="B1753" s="11">
        <v>4061011223346</v>
      </c>
      <c r="C1753" s="1" t="s">
        <v>25</v>
      </c>
      <c r="D1753" s="1" t="s">
        <v>26</v>
      </c>
      <c r="E1753" s="1" t="s">
        <v>27</v>
      </c>
      <c r="F1753">
        <v>19.600000000000001</v>
      </c>
      <c r="G1753">
        <v>1</v>
      </c>
      <c r="H1753" s="1" t="s">
        <v>14</v>
      </c>
      <c r="I1753" s="1" t="s">
        <v>15</v>
      </c>
      <c r="J1753" s="12">
        <v>45785</v>
      </c>
      <c r="K1753">
        <v>0</v>
      </c>
      <c r="L1753" s="1">
        <f t="shared" si="108"/>
        <v>19.600000000000001</v>
      </c>
      <c r="M1753" s="1" t="str">
        <f t="shared" si="109"/>
        <v/>
      </c>
      <c r="N1753" s="2">
        <f t="shared" si="110"/>
        <v>45778</v>
      </c>
      <c r="O1753" t="str">
        <f t="shared" si="111"/>
        <v>pes</v>
      </c>
    </row>
    <row r="1754" spans="1:15" hidden="1" x14ac:dyDescent="0.25">
      <c r="A1754">
        <v>9262</v>
      </c>
      <c r="B1754" s="11">
        <v>4026677889902</v>
      </c>
      <c r="C1754" s="1" t="s">
        <v>52</v>
      </c>
      <c r="D1754" s="1" t="s">
        <v>53</v>
      </c>
      <c r="E1754" s="1" t="s">
        <v>54</v>
      </c>
      <c r="F1754">
        <v>7.6</v>
      </c>
      <c r="G1754">
        <v>1</v>
      </c>
      <c r="H1754" s="1" t="s">
        <v>14</v>
      </c>
      <c r="I1754" s="1" t="s">
        <v>15</v>
      </c>
      <c r="J1754" s="12">
        <v>45785</v>
      </c>
      <c r="K1754">
        <v>0</v>
      </c>
      <c r="L1754" s="1">
        <f t="shared" si="108"/>
        <v>7.6</v>
      </c>
      <c r="M1754" s="1" t="str">
        <f t="shared" si="109"/>
        <v/>
      </c>
      <c r="N1754" s="2">
        <f t="shared" si="110"/>
        <v>45778</v>
      </c>
      <c r="O1754" t="str">
        <f t="shared" si="111"/>
        <v>iné</v>
      </c>
    </row>
    <row r="1755" spans="1:15" x14ac:dyDescent="0.25">
      <c r="A1755">
        <v>9263</v>
      </c>
      <c r="B1755" s="11">
        <v>4028899001126</v>
      </c>
      <c r="C1755" s="1" t="s">
        <v>16</v>
      </c>
      <c r="D1755" s="1" t="s">
        <v>12</v>
      </c>
      <c r="E1755" s="1" t="s">
        <v>17</v>
      </c>
      <c r="F1755">
        <v>2.8</v>
      </c>
      <c r="G1755">
        <v>4</v>
      </c>
      <c r="H1755" s="1" t="s">
        <v>23</v>
      </c>
      <c r="I1755" s="1" t="s">
        <v>278</v>
      </c>
      <c r="J1755" s="12">
        <v>45785</v>
      </c>
      <c r="K1755">
        <v>0</v>
      </c>
      <c r="L1755" s="1">
        <f t="shared" si="108"/>
        <v>11.2</v>
      </c>
      <c r="M1755" s="1">
        <f t="shared" si="109"/>
        <v>5</v>
      </c>
      <c r="N1755" s="2">
        <f t="shared" si="110"/>
        <v>45778</v>
      </c>
      <c r="O1755" t="str">
        <f t="shared" si="111"/>
        <v>pes</v>
      </c>
    </row>
    <row r="1756" spans="1:15" x14ac:dyDescent="0.25">
      <c r="A1756">
        <v>9264</v>
      </c>
      <c r="B1756" s="11">
        <v>4013456789017</v>
      </c>
      <c r="C1756" s="1" t="s">
        <v>11</v>
      </c>
      <c r="D1756" s="1" t="s">
        <v>12</v>
      </c>
      <c r="E1756" s="1" t="s">
        <v>13</v>
      </c>
      <c r="F1756">
        <v>6</v>
      </c>
      <c r="G1756">
        <v>1</v>
      </c>
      <c r="H1756" s="1" t="s">
        <v>14</v>
      </c>
      <c r="I1756" s="1" t="s">
        <v>15</v>
      </c>
      <c r="J1756" s="12">
        <v>45785</v>
      </c>
      <c r="K1756">
        <v>0</v>
      </c>
      <c r="L1756" s="1">
        <f t="shared" si="108"/>
        <v>6</v>
      </c>
      <c r="M1756" s="1" t="str">
        <f t="shared" si="109"/>
        <v/>
      </c>
      <c r="N1756" s="2">
        <f t="shared" si="110"/>
        <v>45778</v>
      </c>
      <c r="O1756" t="str">
        <f t="shared" si="111"/>
        <v>pes</v>
      </c>
    </row>
    <row r="1757" spans="1:15" x14ac:dyDescent="0.25">
      <c r="A1757">
        <v>9265</v>
      </c>
      <c r="B1757" s="11">
        <v>4040123456795</v>
      </c>
      <c r="C1757" s="1" t="s">
        <v>20</v>
      </c>
      <c r="D1757" s="1" t="s">
        <v>21</v>
      </c>
      <c r="E1757" s="1" t="s">
        <v>22</v>
      </c>
      <c r="F1757">
        <v>8.8000000000000007</v>
      </c>
      <c r="G1757">
        <v>1</v>
      </c>
      <c r="H1757" s="1" t="s">
        <v>14</v>
      </c>
      <c r="I1757" s="1" t="s">
        <v>15</v>
      </c>
      <c r="J1757" s="12">
        <v>45785</v>
      </c>
      <c r="K1757">
        <v>0</v>
      </c>
      <c r="L1757" s="1">
        <f t="shared" si="108"/>
        <v>8.8000000000000007</v>
      </c>
      <c r="M1757" s="1" t="str">
        <f t="shared" si="109"/>
        <v/>
      </c>
      <c r="N1757" s="2">
        <f t="shared" si="110"/>
        <v>45778</v>
      </c>
      <c r="O1757" t="str">
        <f t="shared" si="111"/>
        <v>pes</v>
      </c>
    </row>
    <row r="1758" spans="1:15" hidden="1" x14ac:dyDescent="0.25">
      <c r="A1758">
        <v>9266</v>
      </c>
      <c r="B1758" s="11">
        <v>4010123456783</v>
      </c>
      <c r="C1758" s="1" t="s">
        <v>35</v>
      </c>
      <c r="D1758" s="1" t="s">
        <v>36</v>
      </c>
      <c r="E1758" s="1" t="s">
        <v>37</v>
      </c>
      <c r="F1758">
        <v>14</v>
      </c>
      <c r="G1758">
        <v>1</v>
      </c>
      <c r="H1758" s="1" t="s">
        <v>14</v>
      </c>
      <c r="I1758" s="1" t="s">
        <v>15</v>
      </c>
      <c r="J1758" s="12">
        <v>45785</v>
      </c>
      <c r="K1758">
        <v>0</v>
      </c>
      <c r="L1758" s="1">
        <f t="shared" si="108"/>
        <v>14</v>
      </c>
      <c r="M1758" s="1" t="str">
        <f t="shared" si="109"/>
        <v/>
      </c>
      <c r="N1758" s="2">
        <f t="shared" si="110"/>
        <v>45778</v>
      </c>
      <c r="O1758" t="str">
        <f t="shared" si="111"/>
        <v>mačka</v>
      </c>
    </row>
    <row r="1759" spans="1:15" x14ac:dyDescent="0.25">
      <c r="A1759">
        <v>9267</v>
      </c>
      <c r="B1759" s="11">
        <v>4063456789014</v>
      </c>
      <c r="C1759" s="1" t="s">
        <v>60</v>
      </c>
      <c r="D1759" s="1" t="s">
        <v>12</v>
      </c>
      <c r="E1759" s="1" t="s">
        <v>61</v>
      </c>
      <c r="F1759">
        <v>36</v>
      </c>
      <c r="G1759">
        <v>1</v>
      </c>
      <c r="H1759" s="1" t="s">
        <v>14</v>
      </c>
      <c r="I1759" s="1" t="s">
        <v>15</v>
      </c>
      <c r="J1759" s="12">
        <v>45785</v>
      </c>
      <c r="K1759">
        <v>0</v>
      </c>
      <c r="L1759" s="1">
        <f t="shared" si="108"/>
        <v>36</v>
      </c>
      <c r="M1759" s="1" t="str">
        <f t="shared" si="109"/>
        <v/>
      </c>
      <c r="N1759" s="2">
        <f t="shared" si="110"/>
        <v>45778</v>
      </c>
      <c r="O1759" t="str">
        <f t="shared" si="111"/>
        <v>pes</v>
      </c>
    </row>
    <row r="1760" spans="1:15" hidden="1" x14ac:dyDescent="0.25">
      <c r="A1760">
        <v>9268</v>
      </c>
      <c r="B1760" s="11">
        <v>4021234567894</v>
      </c>
      <c r="C1760" s="1" t="s">
        <v>79</v>
      </c>
      <c r="D1760" s="1" t="s">
        <v>36</v>
      </c>
      <c r="E1760" s="1" t="s">
        <v>69</v>
      </c>
      <c r="F1760">
        <v>8</v>
      </c>
      <c r="G1760">
        <v>1</v>
      </c>
      <c r="H1760" s="1" t="s">
        <v>14</v>
      </c>
      <c r="I1760" s="1" t="s">
        <v>15</v>
      </c>
      <c r="J1760" s="12">
        <v>45785</v>
      </c>
      <c r="K1760">
        <v>0</v>
      </c>
      <c r="L1760" s="1">
        <f t="shared" si="108"/>
        <v>8</v>
      </c>
      <c r="M1760" s="1" t="str">
        <f t="shared" si="109"/>
        <v/>
      </c>
      <c r="N1760" s="2">
        <f t="shared" si="110"/>
        <v>45778</v>
      </c>
      <c r="O1760" t="str">
        <f t="shared" si="111"/>
        <v>mačka</v>
      </c>
    </row>
    <row r="1761" spans="1:15" hidden="1" x14ac:dyDescent="0.25">
      <c r="A1761">
        <v>9269</v>
      </c>
      <c r="B1761" s="11">
        <v>4056789012345</v>
      </c>
      <c r="C1761" s="1" t="s">
        <v>47</v>
      </c>
      <c r="D1761" s="1" t="s">
        <v>29</v>
      </c>
      <c r="E1761" s="1" t="s">
        <v>37</v>
      </c>
      <c r="F1761">
        <v>2.4</v>
      </c>
      <c r="G1761">
        <v>3</v>
      </c>
      <c r="H1761" s="1" t="s">
        <v>14</v>
      </c>
      <c r="I1761" s="1" t="s">
        <v>15</v>
      </c>
      <c r="J1761" s="12">
        <v>45785</v>
      </c>
      <c r="K1761">
        <v>0</v>
      </c>
      <c r="L1761" s="1">
        <f t="shared" si="108"/>
        <v>7.1999999999999993</v>
      </c>
      <c r="M1761" s="1" t="str">
        <f t="shared" si="109"/>
        <v/>
      </c>
      <c r="N1761" s="2">
        <f t="shared" si="110"/>
        <v>45778</v>
      </c>
      <c r="O1761" t="str">
        <f t="shared" si="111"/>
        <v>mačka</v>
      </c>
    </row>
    <row r="1762" spans="1:15" x14ac:dyDescent="0.25">
      <c r="A1762">
        <v>9270</v>
      </c>
      <c r="B1762" s="11">
        <v>4061011223346</v>
      </c>
      <c r="C1762" s="1" t="s">
        <v>25</v>
      </c>
      <c r="D1762" s="1" t="s">
        <v>26</v>
      </c>
      <c r="E1762" s="1" t="s">
        <v>27</v>
      </c>
      <c r="F1762">
        <v>19.600000000000001</v>
      </c>
      <c r="G1762">
        <v>1</v>
      </c>
      <c r="H1762" s="1" t="s">
        <v>14</v>
      </c>
      <c r="I1762" s="1" t="s">
        <v>15</v>
      </c>
      <c r="J1762" s="12">
        <v>45785</v>
      </c>
      <c r="K1762">
        <v>0</v>
      </c>
      <c r="L1762" s="1">
        <f t="shared" si="108"/>
        <v>19.600000000000001</v>
      </c>
      <c r="M1762" s="1" t="str">
        <f t="shared" si="109"/>
        <v/>
      </c>
      <c r="N1762" s="2">
        <f t="shared" si="110"/>
        <v>45778</v>
      </c>
      <c r="O1762" t="str">
        <f t="shared" si="111"/>
        <v>pes</v>
      </c>
    </row>
    <row r="1763" spans="1:15" hidden="1" x14ac:dyDescent="0.25">
      <c r="A1763">
        <v>9271</v>
      </c>
      <c r="B1763" s="11">
        <v>4026677889902</v>
      </c>
      <c r="C1763" s="1" t="s">
        <v>52</v>
      </c>
      <c r="D1763" s="1" t="s">
        <v>53</v>
      </c>
      <c r="E1763" s="1" t="s">
        <v>54</v>
      </c>
      <c r="F1763">
        <v>7.6</v>
      </c>
      <c r="G1763">
        <v>1</v>
      </c>
      <c r="H1763" s="1" t="s">
        <v>14</v>
      </c>
      <c r="I1763" s="1" t="s">
        <v>15</v>
      </c>
      <c r="J1763" s="12">
        <v>45786</v>
      </c>
      <c r="K1763">
        <v>0</v>
      </c>
      <c r="L1763" s="1">
        <f t="shared" si="108"/>
        <v>7.6</v>
      </c>
      <c r="M1763" s="1" t="str">
        <f t="shared" si="109"/>
        <v/>
      </c>
      <c r="N1763" s="2">
        <f t="shared" si="110"/>
        <v>45778</v>
      </c>
      <c r="O1763" t="str">
        <f t="shared" si="111"/>
        <v>iné</v>
      </c>
    </row>
    <row r="1764" spans="1:15" x14ac:dyDescent="0.25">
      <c r="A1764">
        <v>9272</v>
      </c>
      <c r="B1764" s="11">
        <v>4028899001126</v>
      </c>
      <c r="C1764" s="1" t="s">
        <v>16</v>
      </c>
      <c r="D1764" s="1" t="s">
        <v>12</v>
      </c>
      <c r="E1764" s="1" t="s">
        <v>17</v>
      </c>
      <c r="F1764">
        <v>2.8</v>
      </c>
      <c r="G1764">
        <v>3</v>
      </c>
      <c r="H1764" s="1" t="s">
        <v>14</v>
      </c>
      <c r="I1764" s="1" t="s">
        <v>15</v>
      </c>
      <c r="J1764" s="12">
        <v>45786</v>
      </c>
      <c r="K1764">
        <v>0</v>
      </c>
      <c r="L1764" s="1">
        <f t="shared" si="108"/>
        <v>8.3999999999999986</v>
      </c>
      <c r="M1764" s="1" t="str">
        <f t="shared" si="109"/>
        <v/>
      </c>
      <c r="N1764" s="2">
        <f t="shared" si="110"/>
        <v>45778</v>
      </c>
      <c r="O1764" t="str">
        <f t="shared" si="111"/>
        <v>pes</v>
      </c>
    </row>
    <row r="1765" spans="1:15" x14ac:dyDescent="0.25">
      <c r="A1765">
        <v>9273</v>
      </c>
      <c r="B1765" s="11">
        <v>4013456789017</v>
      </c>
      <c r="C1765" s="1" t="s">
        <v>11</v>
      </c>
      <c r="D1765" s="1" t="s">
        <v>12</v>
      </c>
      <c r="E1765" s="1" t="s">
        <v>13</v>
      </c>
      <c r="F1765">
        <v>6</v>
      </c>
      <c r="G1765">
        <v>1</v>
      </c>
      <c r="H1765" s="1" t="s">
        <v>14</v>
      </c>
      <c r="I1765" s="1" t="s">
        <v>15</v>
      </c>
      <c r="J1765" s="12">
        <v>45786</v>
      </c>
      <c r="K1765">
        <v>0</v>
      </c>
      <c r="L1765" s="1">
        <f t="shared" si="108"/>
        <v>6</v>
      </c>
      <c r="M1765" s="1" t="str">
        <f t="shared" si="109"/>
        <v/>
      </c>
      <c r="N1765" s="2">
        <f t="shared" si="110"/>
        <v>45778</v>
      </c>
      <c r="O1765" t="str">
        <f t="shared" si="111"/>
        <v>pes</v>
      </c>
    </row>
    <row r="1766" spans="1:15" x14ac:dyDescent="0.25">
      <c r="A1766">
        <v>9274</v>
      </c>
      <c r="B1766" s="11">
        <v>4040123456795</v>
      </c>
      <c r="C1766" s="1" t="s">
        <v>20</v>
      </c>
      <c r="D1766" s="1" t="s">
        <v>21</v>
      </c>
      <c r="E1766" s="1" t="s">
        <v>22</v>
      </c>
      <c r="F1766">
        <v>8.8000000000000007</v>
      </c>
      <c r="G1766">
        <v>1</v>
      </c>
      <c r="H1766" s="1" t="s">
        <v>14</v>
      </c>
      <c r="I1766" s="1" t="s">
        <v>15</v>
      </c>
      <c r="J1766" s="12">
        <v>45786</v>
      </c>
      <c r="K1766">
        <v>0</v>
      </c>
      <c r="L1766" s="1">
        <f t="shared" si="108"/>
        <v>8.8000000000000007</v>
      </c>
      <c r="M1766" s="1" t="str">
        <f t="shared" si="109"/>
        <v/>
      </c>
      <c r="N1766" s="2">
        <f t="shared" si="110"/>
        <v>45778</v>
      </c>
      <c r="O1766" t="str">
        <f t="shared" si="111"/>
        <v>pes</v>
      </c>
    </row>
    <row r="1767" spans="1:15" hidden="1" x14ac:dyDescent="0.25">
      <c r="A1767">
        <v>9275</v>
      </c>
      <c r="B1767" s="11">
        <v>4010123456783</v>
      </c>
      <c r="C1767" s="1" t="s">
        <v>35</v>
      </c>
      <c r="D1767" s="1" t="s">
        <v>36</v>
      </c>
      <c r="E1767" s="1" t="s">
        <v>37</v>
      </c>
      <c r="F1767">
        <v>14</v>
      </c>
      <c r="G1767">
        <v>1</v>
      </c>
      <c r="H1767" s="1" t="s">
        <v>14</v>
      </c>
      <c r="I1767" s="1" t="s">
        <v>15</v>
      </c>
      <c r="J1767" s="12">
        <v>45786</v>
      </c>
      <c r="K1767">
        <v>0</v>
      </c>
      <c r="L1767" s="1">
        <f t="shared" si="108"/>
        <v>14</v>
      </c>
      <c r="M1767" s="1" t="str">
        <f t="shared" si="109"/>
        <v/>
      </c>
      <c r="N1767" s="2">
        <f t="shared" si="110"/>
        <v>45778</v>
      </c>
      <c r="O1767" t="str">
        <f t="shared" si="111"/>
        <v>mačka</v>
      </c>
    </row>
    <row r="1768" spans="1:15" x14ac:dyDescent="0.25">
      <c r="A1768">
        <v>9276</v>
      </c>
      <c r="B1768" s="11">
        <v>4063456789014</v>
      </c>
      <c r="C1768" s="1" t="s">
        <v>60</v>
      </c>
      <c r="D1768" s="1" t="s">
        <v>12</v>
      </c>
      <c r="E1768" s="1" t="s">
        <v>61</v>
      </c>
      <c r="F1768">
        <v>36</v>
      </c>
      <c r="G1768">
        <v>1</v>
      </c>
      <c r="H1768" s="1" t="s">
        <v>33</v>
      </c>
      <c r="I1768" s="1" t="s">
        <v>279</v>
      </c>
      <c r="J1768" s="12">
        <v>45786</v>
      </c>
      <c r="K1768">
        <v>0</v>
      </c>
      <c r="L1768" s="1">
        <f t="shared" si="108"/>
        <v>36</v>
      </c>
      <c r="M1768" s="1">
        <f t="shared" si="109"/>
        <v>3</v>
      </c>
      <c r="N1768" s="2">
        <f t="shared" si="110"/>
        <v>45778</v>
      </c>
      <c r="O1768" t="str">
        <f t="shared" si="111"/>
        <v>pes</v>
      </c>
    </row>
    <row r="1769" spans="1:15" hidden="1" x14ac:dyDescent="0.25">
      <c r="A1769">
        <v>9277</v>
      </c>
      <c r="B1769" s="11">
        <v>4021234567894</v>
      </c>
      <c r="C1769" s="1" t="s">
        <v>79</v>
      </c>
      <c r="D1769" s="1" t="s">
        <v>36</v>
      </c>
      <c r="E1769" s="1" t="s">
        <v>69</v>
      </c>
      <c r="F1769">
        <v>8</v>
      </c>
      <c r="G1769">
        <v>1</v>
      </c>
      <c r="H1769" s="1" t="s">
        <v>14</v>
      </c>
      <c r="I1769" s="1" t="s">
        <v>15</v>
      </c>
      <c r="J1769" s="12">
        <v>45786</v>
      </c>
      <c r="K1769">
        <v>0</v>
      </c>
      <c r="L1769" s="1">
        <f t="shared" si="108"/>
        <v>8</v>
      </c>
      <c r="M1769" s="1" t="str">
        <f t="shared" si="109"/>
        <v/>
      </c>
      <c r="N1769" s="2">
        <f t="shared" si="110"/>
        <v>45778</v>
      </c>
      <c r="O1769" t="str">
        <f t="shared" si="111"/>
        <v>mačka</v>
      </c>
    </row>
    <row r="1770" spans="1:15" hidden="1" x14ac:dyDescent="0.25">
      <c r="A1770">
        <v>9278</v>
      </c>
      <c r="B1770" s="11">
        <v>4056789012345</v>
      </c>
      <c r="C1770" s="1" t="s">
        <v>47</v>
      </c>
      <c r="D1770" s="1" t="s">
        <v>29</v>
      </c>
      <c r="E1770" s="1" t="s">
        <v>37</v>
      </c>
      <c r="F1770">
        <v>2.4</v>
      </c>
      <c r="G1770">
        <v>3</v>
      </c>
      <c r="H1770" s="1" t="s">
        <v>14</v>
      </c>
      <c r="I1770" s="1" t="s">
        <v>15</v>
      </c>
      <c r="J1770" s="12">
        <v>45786</v>
      </c>
      <c r="K1770">
        <v>0</v>
      </c>
      <c r="L1770" s="1">
        <f t="shared" si="108"/>
        <v>7.1999999999999993</v>
      </c>
      <c r="M1770" s="1" t="str">
        <f t="shared" si="109"/>
        <v/>
      </c>
      <c r="N1770" s="2">
        <f t="shared" si="110"/>
        <v>45778</v>
      </c>
      <c r="O1770" t="str">
        <f t="shared" si="111"/>
        <v>mačka</v>
      </c>
    </row>
    <row r="1771" spans="1:15" x14ac:dyDescent="0.25">
      <c r="A1771">
        <v>9279</v>
      </c>
      <c r="B1771" s="11">
        <v>4061011223346</v>
      </c>
      <c r="C1771" s="1" t="s">
        <v>25</v>
      </c>
      <c r="D1771" s="1" t="s">
        <v>26</v>
      </c>
      <c r="E1771" s="1" t="s">
        <v>27</v>
      </c>
      <c r="F1771">
        <v>19.600000000000001</v>
      </c>
      <c r="G1771">
        <v>1</v>
      </c>
      <c r="H1771" s="1" t="s">
        <v>14</v>
      </c>
      <c r="I1771" s="1" t="s">
        <v>15</v>
      </c>
      <c r="J1771" s="12">
        <v>45786</v>
      </c>
      <c r="K1771">
        <v>0</v>
      </c>
      <c r="L1771" s="1">
        <f t="shared" si="108"/>
        <v>19.600000000000001</v>
      </c>
      <c r="M1771" s="1" t="str">
        <f t="shared" si="109"/>
        <v/>
      </c>
      <c r="N1771" s="2">
        <f t="shared" si="110"/>
        <v>45778</v>
      </c>
      <c r="O1771" t="str">
        <f t="shared" si="111"/>
        <v>pes</v>
      </c>
    </row>
    <row r="1772" spans="1:15" hidden="1" x14ac:dyDescent="0.25">
      <c r="A1772">
        <v>9280</v>
      </c>
      <c r="B1772" s="11">
        <v>4026677889902</v>
      </c>
      <c r="C1772" s="1" t="s">
        <v>52</v>
      </c>
      <c r="D1772" s="1" t="s">
        <v>53</v>
      </c>
      <c r="E1772" s="1" t="s">
        <v>54</v>
      </c>
      <c r="F1772">
        <v>7.6</v>
      </c>
      <c r="G1772">
        <v>1</v>
      </c>
      <c r="H1772" s="1" t="s">
        <v>14</v>
      </c>
      <c r="I1772" s="1" t="s">
        <v>15</v>
      </c>
      <c r="J1772" s="12">
        <v>45786</v>
      </c>
      <c r="K1772">
        <v>0</v>
      </c>
      <c r="L1772" s="1">
        <f t="shared" si="108"/>
        <v>7.6</v>
      </c>
      <c r="M1772" s="1" t="str">
        <f t="shared" si="109"/>
        <v/>
      </c>
      <c r="N1772" s="2">
        <f t="shared" si="110"/>
        <v>45778</v>
      </c>
      <c r="O1772" t="str">
        <f t="shared" si="111"/>
        <v>iné</v>
      </c>
    </row>
    <row r="1773" spans="1:15" x14ac:dyDescent="0.25">
      <c r="A1773">
        <v>9281</v>
      </c>
      <c r="B1773" s="11">
        <v>4028899001126</v>
      </c>
      <c r="C1773" s="1" t="s">
        <v>16</v>
      </c>
      <c r="D1773" s="1" t="s">
        <v>12</v>
      </c>
      <c r="E1773" s="1" t="s">
        <v>17</v>
      </c>
      <c r="F1773">
        <v>2.8</v>
      </c>
      <c r="G1773">
        <v>4</v>
      </c>
      <c r="H1773" s="1" t="s">
        <v>14</v>
      </c>
      <c r="I1773" s="1" t="s">
        <v>15</v>
      </c>
      <c r="J1773" s="12">
        <v>45786</v>
      </c>
      <c r="K1773">
        <v>0</v>
      </c>
      <c r="L1773" s="1">
        <f t="shared" si="108"/>
        <v>11.2</v>
      </c>
      <c r="M1773" s="1" t="str">
        <f t="shared" si="109"/>
        <v/>
      </c>
      <c r="N1773" s="2">
        <f t="shared" si="110"/>
        <v>45778</v>
      </c>
      <c r="O1773" t="str">
        <f t="shared" si="111"/>
        <v>pes</v>
      </c>
    </row>
    <row r="1774" spans="1:15" x14ac:dyDescent="0.25">
      <c r="A1774">
        <v>9282</v>
      </c>
      <c r="B1774" s="11">
        <v>4013456789017</v>
      </c>
      <c r="C1774" s="1" t="s">
        <v>11</v>
      </c>
      <c r="D1774" s="1" t="s">
        <v>12</v>
      </c>
      <c r="E1774" s="1" t="s">
        <v>13</v>
      </c>
      <c r="F1774">
        <v>6</v>
      </c>
      <c r="G1774">
        <v>1</v>
      </c>
      <c r="H1774" s="1" t="s">
        <v>14</v>
      </c>
      <c r="I1774" s="1" t="s">
        <v>15</v>
      </c>
      <c r="J1774" s="12">
        <v>45786</v>
      </c>
      <c r="K1774">
        <v>0</v>
      </c>
      <c r="L1774" s="1">
        <f t="shared" si="108"/>
        <v>6</v>
      </c>
      <c r="M1774" s="1" t="str">
        <f t="shared" si="109"/>
        <v/>
      </c>
      <c r="N1774" s="2">
        <f t="shared" si="110"/>
        <v>45778</v>
      </c>
      <c r="O1774" t="str">
        <f t="shared" si="111"/>
        <v>pes</v>
      </c>
    </row>
    <row r="1775" spans="1:15" x14ac:dyDescent="0.25">
      <c r="A1775">
        <v>9283</v>
      </c>
      <c r="B1775" s="11">
        <v>4040123456795</v>
      </c>
      <c r="C1775" s="1" t="s">
        <v>20</v>
      </c>
      <c r="D1775" s="1" t="s">
        <v>21</v>
      </c>
      <c r="E1775" s="1" t="s">
        <v>22</v>
      </c>
      <c r="F1775">
        <v>8.8000000000000007</v>
      </c>
      <c r="G1775">
        <v>1</v>
      </c>
      <c r="H1775" s="1" t="s">
        <v>14</v>
      </c>
      <c r="I1775" s="1" t="s">
        <v>15</v>
      </c>
      <c r="J1775" s="12">
        <v>45786</v>
      </c>
      <c r="K1775">
        <v>0</v>
      </c>
      <c r="L1775" s="1">
        <f t="shared" si="108"/>
        <v>8.8000000000000007</v>
      </c>
      <c r="M1775" s="1" t="str">
        <f t="shared" si="109"/>
        <v/>
      </c>
      <c r="N1775" s="2">
        <f t="shared" si="110"/>
        <v>45778</v>
      </c>
      <c r="O1775" t="str">
        <f t="shared" si="111"/>
        <v>pes</v>
      </c>
    </row>
    <row r="1776" spans="1:15" hidden="1" x14ac:dyDescent="0.25">
      <c r="A1776">
        <v>9284</v>
      </c>
      <c r="B1776" s="11">
        <v>4010123456783</v>
      </c>
      <c r="C1776" s="1" t="s">
        <v>35</v>
      </c>
      <c r="D1776" s="1" t="s">
        <v>36</v>
      </c>
      <c r="E1776" s="1" t="s">
        <v>37</v>
      </c>
      <c r="F1776">
        <v>14</v>
      </c>
      <c r="G1776">
        <v>2</v>
      </c>
      <c r="H1776" s="1" t="s">
        <v>14</v>
      </c>
      <c r="I1776" s="1" t="s">
        <v>15</v>
      </c>
      <c r="J1776" s="12">
        <v>45786</v>
      </c>
      <c r="K1776">
        <v>0</v>
      </c>
      <c r="L1776" s="1">
        <f t="shared" si="108"/>
        <v>28</v>
      </c>
      <c r="M1776" s="1" t="str">
        <f t="shared" si="109"/>
        <v/>
      </c>
      <c r="N1776" s="2">
        <f t="shared" si="110"/>
        <v>45778</v>
      </c>
      <c r="O1776" t="str">
        <f t="shared" si="111"/>
        <v>mačka</v>
      </c>
    </row>
    <row r="1777" spans="1:15" x14ac:dyDescent="0.25">
      <c r="A1777">
        <v>9285</v>
      </c>
      <c r="B1777" s="11">
        <v>4063456789014</v>
      </c>
      <c r="C1777" s="1" t="s">
        <v>60</v>
      </c>
      <c r="D1777" s="1" t="s">
        <v>12</v>
      </c>
      <c r="E1777" s="1" t="s">
        <v>61</v>
      </c>
      <c r="F1777">
        <v>36</v>
      </c>
      <c r="G1777">
        <v>1</v>
      </c>
      <c r="H1777" s="1" t="s">
        <v>14</v>
      </c>
      <c r="I1777" s="1" t="s">
        <v>15</v>
      </c>
      <c r="J1777" s="12">
        <v>45787</v>
      </c>
      <c r="K1777">
        <v>0</v>
      </c>
      <c r="L1777" s="1">
        <f t="shared" si="108"/>
        <v>36</v>
      </c>
      <c r="M1777" s="1" t="str">
        <f t="shared" si="109"/>
        <v/>
      </c>
      <c r="N1777" s="2">
        <f t="shared" si="110"/>
        <v>45778</v>
      </c>
      <c r="O1777" t="str">
        <f t="shared" si="111"/>
        <v>pes</v>
      </c>
    </row>
    <row r="1778" spans="1:15" hidden="1" x14ac:dyDescent="0.25">
      <c r="A1778">
        <v>9286</v>
      </c>
      <c r="B1778" s="11">
        <v>4021234567894</v>
      </c>
      <c r="C1778" s="1" t="s">
        <v>79</v>
      </c>
      <c r="D1778" s="1" t="s">
        <v>36</v>
      </c>
      <c r="E1778" s="1" t="s">
        <v>69</v>
      </c>
      <c r="F1778">
        <v>8</v>
      </c>
      <c r="G1778">
        <v>1</v>
      </c>
      <c r="H1778" s="1" t="s">
        <v>14</v>
      </c>
      <c r="I1778" s="1" t="s">
        <v>15</v>
      </c>
      <c r="J1778" s="12">
        <v>45787</v>
      </c>
      <c r="K1778">
        <v>0</v>
      </c>
      <c r="L1778" s="1">
        <f t="shared" si="108"/>
        <v>8</v>
      </c>
      <c r="M1778" s="1" t="str">
        <f t="shared" si="109"/>
        <v/>
      </c>
      <c r="N1778" s="2">
        <f t="shared" si="110"/>
        <v>45778</v>
      </c>
      <c r="O1778" t="str">
        <f t="shared" si="111"/>
        <v>mačka</v>
      </c>
    </row>
    <row r="1779" spans="1:15" hidden="1" x14ac:dyDescent="0.25">
      <c r="A1779">
        <v>9287</v>
      </c>
      <c r="B1779" s="11">
        <v>4056789012345</v>
      </c>
      <c r="C1779" s="1" t="s">
        <v>47</v>
      </c>
      <c r="D1779" s="1" t="s">
        <v>29</v>
      </c>
      <c r="E1779" s="1" t="s">
        <v>37</v>
      </c>
      <c r="F1779">
        <v>2.4</v>
      </c>
      <c r="G1779">
        <v>3</v>
      </c>
      <c r="H1779" s="1" t="s">
        <v>14</v>
      </c>
      <c r="I1779" s="1" t="s">
        <v>15</v>
      </c>
      <c r="J1779" s="12">
        <v>45787</v>
      </c>
      <c r="K1779">
        <v>0</v>
      </c>
      <c r="L1779" s="1">
        <f t="shared" si="108"/>
        <v>7.1999999999999993</v>
      </c>
      <c r="M1779" s="1" t="str">
        <f t="shared" si="109"/>
        <v/>
      </c>
      <c r="N1779" s="2">
        <f t="shared" si="110"/>
        <v>45778</v>
      </c>
      <c r="O1779" t="str">
        <f t="shared" si="111"/>
        <v>mačka</v>
      </c>
    </row>
    <row r="1780" spans="1:15" x14ac:dyDescent="0.25">
      <c r="A1780">
        <v>9288</v>
      </c>
      <c r="B1780" s="11">
        <v>4061011223346</v>
      </c>
      <c r="C1780" s="1" t="s">
        <v>25</v>
      </c>
      <c r="D1780" s="1" t="s">
        <v>26</v>
      </c>
      <c r="E1780" s="1" t="s">
        <v>27</v>
      </c>
      <c r="F1780">
        <v>19.600000000000001</v>
      </c>
      <c r="G1780">
        <v>1</v>
      </c>
      <c r="H1780" s="1" t="s">
        <v>14</v>
      </c>
      <c r="I1780" s="1" t="s">
        <v>15</v>
      </c>
      <c r="J1780" s="12">
        <v>45787</v>
      </c>
      <c r="K1780">
        <v>0</v>
      </c>
      <c r="L1780" s="1">
        <f t="shared" si="108"/>
        <v>19.600000000000001</v>
      </c>
      <c r="M1780" s="1" t="str">
        <f t="shared" si="109"/>
        <v/>
      </c>
      <c r="N1780" s="2">
        <f t="shared" si="110"/>
        <v>45778</v>
      </c>
      <c r="O1780" t="str">
        <f t="shared" si="111"/>
        <v>pes</v>
      </c>
    </row>
    <row r="1781" spans="1:15" hidden="1" x14ac:dyDescent="0.25">
      <c r="A1781">
        <v>9289</v>
      </c>
      <c r="B1781" s="11">
        <v>4026677889902</v>
      </c>
      <c r="C1781" s="1" t="s">
        <v>52</v>
      </c>
      <c r="D1781" s="1" t="s">
        <v>53</v>
      </c>
      <c r="E1781" s="1" t="s">
        <v>54</v>
      </c>
      <c r="F1781">
        <v>7.6</v>
      </c>
      <c r="G1781">
        <v>1</v>
      </c>
      <c r="H1781" s="1" t="s">
        <v>14</v>
      </c>
      <c r="I1781" s="1" t="s">
        <v>15</v>
      </c>
      <c r="J1781" s="12">
        <v>45787</v>
      </c>
      <c r="K1781">
        <v>0</v>
      </c>
      <c r="L1781" s="1">
        <f t="shared" si="108"/>
        <v>7.6</v>
      </c>
      <c r="M1781" s="1" t="str">
        <f t="shared" si="109"/>
        <v/>
      </c>
      <c r="N1781" s="2">
        <f t="shared" si="110"/>
        <v>45778</v>
      </c>
      <c r="O1781" t="str">
        <f t="shared" si="111"/>
        <v>iné</v>
      </c>
    </row>
    <row r="1782" spans="1:15" x14ac:dyDescent="0.25">
      <c r="A1782">
        <v>9290</v>
      </c>
      <c r="B1782" s="11">
        <v>4028899001126</v>
      </c>
      <c r="C1782" s="1" t="s">
        <v>16</v>
      </c>
      <c r="D1782" s="1" t="s">
        <v>12</v>
      </c>
      <c r="E1782" s="1" t="s">
        <v>17</v>
      </c>
      <c r="F1782">
        <v>2.8</v>
      </c>
      <c r="G1782">
        <v>3</v>
      </c>
      <c r="H1782" s="1" t="s">
        <v>23</v>
      </c>
      <c r="I1782" s="1" t="s">
        <v>280</v>
      </c>
      <c r="J1782" s="12">
        <v>45787</v>
      </c>
      <c r="K1782">
        <v>0</v>
      </c>
      <c r="L1782" s="1">
        <f t="shared" si="108"/>
        <v>8.3999999999999986</v>
      </c>
      <c r="M1782" s="1">
        <f t="shared" si="109"/>
        <v>5</v>
      </c>
      <c r="N1782" s="2">
        <f t="shared" si="110"/>
        <v>45778</v>
      </c>
      <c r="O1782" t="str">
        <f t="shared" si="111"/>
        <v>pes</v>
      </c>
    </row>
    <row r="1783" spans="1:15" x14ac:dyDescent="0.25">
      <c r="A1783">
        <v>9291</v>
      </c>
      <c r="B1783" s="11">
        <v>4013456789017</v>
      </c>
      <c r="C1783" s="1" t="s">
        <v>11</v>
      </c>
      <c r="D1783" s="1" t="s">
        <v>12</v>
      </c>
      <c r="E1783" s="1" t="s">
        <v>13</v>
      </c>
      <c r="F1783">
        <v>6</v>
      </c>
      <c r="G1783">
        <v>1</v>
      </c>
      <c r="H1783" s="1" t="s">
        <v>14</v>
      </c>
      <c r="I1783" s="1" t="s">
        <v>15</v>
      </c>
      <c r="J1783" s="12">
        <v>45787</v>
      </c>
      <c r="K1783">
        <v>0</v>
      </c>
      <c r="L1783" s="1">
        <f t="shared" si="108"/>
        <v>6</v>
      </c>
      <c r="M1783" s="1" t="str">
        <f t="shared" si="109"/>
        <v/>
      </c>
      <c r="N1783" s="2">
        <f t="shared" si="110"/>
        <v>45778</v>
      </c>
      <c r="O1783" t="str">
        <f t="shared" si="111"/>
        <v>pes</v>
      </c>
    </row>
    <row r="1784" spans="1:15" x14ac:dyDescent="0.25">
      <c r="A1784">
        <v>9292</v>
      </c>
      <c r="B1784" s="11">
        <v>4040123456795</v>
      </c>
      <c r="C1784" s="1" t="s">
        <v>20</v>
      </c>
      <c r="D1784" s="1" t="s">
        <v>21</v>
      </c>
      <c r="E1784" s="1" t="s">
        <v>22</v>
      </c>
      <c r="F1784">
        <v>8.8000000000000007</v>
      </c>
      <c r="G1784">
        <v>1</v>
      </c>
      <c r="H1784" s="1" t="s">
        <v>14</v>
      </c>
      <c r="I1784" s="1" t="s">
        <v>15</v>
      </c>
      <c r="J1784" s="12">
        <v>45787</v>
      </c>
      <c r="K1784">
        <v>0</v>
      </c>
      <c r="L1784" s="1">
        <f t="shared" si="108"/>
        <v>8.8000000000000007</v>
      </c>
      <c r="M1784" s="1" t="str">
        <f t="shared" si="109"/>
        <v/>
      </c>
      <c r="N1784" s="2">
        <f t="shared" si="110"/>
        <v>45778</v>
      </c>
      <c r="O1784" t="str">
        <f t="shared" si="111"/>
        <v>pes</v>
      </c>
    </row>
    <row r="1785" spans="1:15" hidden="1" x14ac:dyDescent="0.25">
      <c r="A1785">
        <v>9293</v>
      </c>
      <c r="B1785" s="11">
        <v>4010123456783</v>
      </c>
      <c r="C1785" s="1" t="s">
        <v>35</v>
      </c>
      <c r="D1785" s="1" t="s">
        <v>36</v>
      </c>
      <c r="E1785" s="1" t="s">
        <v>37</v>
      </c>
      <c r="F1785">
        <v>14</v>
      </c>
      <c r="G1785">
        <v>1</v>
      </c>
      <c r="H1785" s="1" t="s">
        <v>14</v>
      </c>
      <c r="I1785" s="1" t="s">
        <v>15</v>
      </c>
      <c r="J1785" s="12">
        <v>45787</v>
      </c>
      <c r="K1785">
        <v>0</v>
      </c>
      <c r="L1785" s="1">
        <f t="shared" si="108"/>
        <v>14</v>
      </c>
      <c r="M1785" s="1" t="str">
        <f t="shared" si="109"/>
        <v/>
      </c>
      <c r="N1785" s="2">
        <f t="shared" si="110"/>
        <v>45778</v>
      </c>
      <c r="O1785" t="str">
        <f t="shared" si="111"/>
        <v>mačka</v>
      </c>
    </row>
    <row r="1786" spans="1:15" x14ac:dyDescent="0.25">
      <c r="A1786">
        <v>9294</v>
      </c>
      <c r="B1786" s="11">
        <v>4063456789014</v>
      </c>
      <c r="C1786" s="1" t="s">
        <v>60</v>
      </c>
      <c r="D1786" s="1" t="s">
        <v>12</v>
      </c>
      <c r="E1786" s="1" t="s">
        <v>61</v>
      </c>
      <c r="F1786">
        <v>36</v>
      </c>
      <c r="G1786">
        <v>1</v>
      </c>
      <c r="H1786" s="1" t="s">
        <v>14</v>
      </c>
      <c r="I1786" s="1" t="s">
        <v>15</v>
      </c>
      <c r="J1786" s="12">
        <v>45787</v>
      </c>
      <c r="K1786">
        <v>0</v>
      </c>
      <c r="L1786" s="1">
        <f t="shared" si="108"/>
        <v>36</v>
      </c>
      <c r="M1786" s="1" t="str">
        <f t="shared" si="109"/>
        <v/>
      </c>
      <c r="N1786" s="2">
        <f t="shared" si="110"/>
        <v>45778</v>
      </c>
      <c r="O1786" t="str">
        <f t="shared" si="111"/>
        <v>pes</v>
      </c>
    </row>
    <row r="1787" spans="1:15" hidden="1" x14ac:dyDescent="0.25">
      <c r="A1787">
        <v>9295</v>
      </c>
      <c r="B1787" s="11">
        <v>4021234567894</v>
      </c>
      <c r="C1787" s="1" t="s">
        <v>79</v>
      </c>
      <c r="D1787" s="1" t="s">
        <v>36</v>
      </c>
      <c r="E1787" s="1" t="s">
        <v>69</v>
      </c>
      <c r="F1787">
        <v>8</v>
      </c>
      <c r="G1787">
        <v>1</v>
      </c>
      <c r="H1787" s="1" t="s">
        <v>14</v>
      </c>
      <c r="I1787" s="1" t="s">
        <v>15</v>
      </c>
      <c r="J1787" s="12">
        <v>45787</v>
      </c>
      <c r="K1787">
        <v>0</v>
      </c>
      <c r="L1787" s="1">
        <f t="shared" si="108"/>
        <v>8</v>
      </c>
      <c r="M1787" s="1" t="str">
        <f t="shared" si="109"/>
        <v/>
      </c>
      <c r="N1787" s="2">
        <f t="shared" si="110"/>
        <v>45778</v>
      </c>
      <c r="O1787" t="str">
        <f t="shared" si="111"/>
        <v>mačka</v>
      </c>
    </row>
    <row r="1788" spans="1:15" hidden="1" x14ac:dyDescent="0.25">
      <c r="A1788">
        <v>9296</v>
      </c>
      <c r="B1788" s="11">
        <v>4056789012345</v>
      </c>
      <c r="C1788" s="1" t="s">
        <v>47</v>
      </c>
      <c r="D1788" s="1" t="s">
        <v>29</v>
      </c>
      <c r="E1788" s="1" t="s">
        <v>37</v>
      </c>
      <c r="F1788">
        <v>2.4</v>
      </c>
      <c r="G1788">
        <v>3</v>
      </c>
      <c r="H1788" s="1" t="s">
        <v>14</v>
      </c>
      <c r="I1788" s="1" t="s">
        <v>15</v>
      </c>
      <c r="J1788" s="12">
        <v>45787</v>
      </c>
      <c r="K1788">
        <v>0</v>
      </c>
      <c r="L1788" s="1">
        <f t="shared" si="108"/>
        <v>7.1999999999999993</v>
      </c>
      <c r="M1788" s="1" t="str">
        <f t="shared" si="109"/>
        <v/>
      </c>
      <c r="N1788" s="2">
        <f t="shared" si="110"/>
        <v>45778</v>
      </c>
      <c r="O1788" t="str">
        <f t="shared" si="111"/>
        <v>mačka</v>
      </c>
    </row>
    <row r="1789" spans="1:15" x14ac:dyDescent="0.25">
      <c r="A1789">
        <v>9297</v>
      </c>
      <c r="B1789" s="11">
        <v>4061011223346</v>
      </c>
      <c r="C1789" s="1" t="s">
        <v>25</v>
      </c>
      <c r="D1789" s="1" t="s">
        <v>26</v>
      </c>
      <c r="E1789" s="1" t="s">
        <v>27</v>
      </c>
      <c r="F1789">
        <v>19.600000000000001</v>
      </c>
      <c r="G1789">
        <v>1</v>
      </c>
      <c r="H1789" s="1" t="s">
        <v>14</v>
      </c>
      <c r="I1789" s="1" t="s">
        <v>15</v>
      </c>
      <c r="J1789" s="12">
        <v>45787</v>
      </c>
      <c r="K1789">
        <v>0</v>
      </c>
      <c r="L1789" s="1">
        <f t="shared" si="108"/>
        <v>19.600000000000001</v>
      </c>
      <c r="M1789" s="1" t="str">
        <f t="shared" si="109"/>
        <v/>
      </c>
      <c r="N1789" s="2">
        <f t="shared" si="110"/>
        <v>45778</v>
      </c>
      <c r="O1789" t="str">
        <f t="shared" si="111"/>
        <v>pes</v>
      </c>
    </row>
    <row r="1790" spans="1:15" hidden="1" x14ac:dyDescent="0.25">
      <c r="A1790">
        <v>9298</v>
      </c>
      <c r="B1790" s="11">
        <v>4026677889902</v>
      </c>
      <c r="C1790" s="1" t="s">
        <v>52</v>
      </c>
      <c r="D1790" s="1" t="s">
        <v>53</v>
      </c>
      <c r="E1790" s="1" t="s">
        <v>54</v>
      </c>
      <c r="F1790">
        <v>7.6</v>
      </c>
      <c r="G1790">
        <v>1</v>
      </c>
      <c r="H1790" s="1" t="s">
        <v>14</v>
      </c>
      <c r="I1790" s="1" t="s">
        <v>15</v>
      </c>
      <c r="J1790" s="12">
        <v>45788</v>
      </c>
      <c r="K1790">
        <v>0</v>
      </c>
      <c r="L1790" s="1">
        <f t="shared" si="108"/>
        <v>7.6</v>
      </c>
      <c r="M1790" s="1" t="str">
        <f t="shared" si="109"/>
        <v/>
      </c>
      <c r="N1790" s="2">
        <f t="shared" si="110"/>
        <v>45778</v>
      </c>
      <c r="O1790" t="str">
        <f t="shared" si="111"/>
        <v>iné</v>
      </c>
    </row>
    <row r="1791" spans="1:15" x14ac:dyDescent="0.25">
      <c r="A1791">
        <v>9299</v>
      </c>
      <c r="B1791" s="11">
        <v>4028899001126</v>
      </c>
      <c r="C1791" s="1" t="s">
        <v>16</v>
      </c>
      <c r="D1791" s="1" t="s">
        <v>12</v>
      </c>
      <c r="E1791" s="1" t="s">
        <v>17</v>
      </c>
      <c r="F1791">
        <v>2.8</v>
      </c>
      <c r="G1791">
        <v>3</v>
      </c>
      <c r="H1791" s="1" t="s">
        <v>14</v>
      </c>
      <c r="I1791" s="1" t="s">
        <v>15</v>
      </c>
      <c r="J1791" s="12">
        <v>45788</v>
      </c>
      <c r="K1791">
        <v>0</v>
      </c>
      <c r="L1791" s="1">
        <f t="shared" si="108"/>
        <v>8.3999999999999986</v>
      </c>
      <c r="M1791" s="1" t="str">
        <f t="shared" si="109"/>
        <v/>
      </c>
      <c r="N1791" s="2">
        <f t="shared" si="110"/>
        <v>45778</v>
      </c>
      <c r="O1791" t="str">
        <f t="shared" si="111"/>
        <v>pes</v>
      </c>
    </row>
    <row r="1792" spans="1:15" x14ac:dyDescent="0.25">
      <c r="A1792">
        <v>9300</v>
      </c>
      <c r="B1792" s="11">
        <v>4013456789017</v>
      </c>
      <c r="C1792" s="1" t="s">
        <v>11</v>
      </c>
      <c r="D1792" s="1" t="s">
        <v>12</v>
      </c>
      <c r="E1792" s="1" t="s">
        <v>13</v>
      </c>
      <c r="F1792">
        <v>6</v>
      </c>
      <c r="G1792">
        <v>1</v>
      </c>
      <c r="H1792" s="1" t="s">
        <v>14</v>
      </c>
      <c r="I1792" s="1" t="s">
        <v>15</v>
      </c>
      <c r="J1792" s="12">
        <v>45788</v>
      </c>
      <c r="K1792">
        <v>0</v>
      </c>
      <c r="L1792" s="1">
        <f t="shared" si="108"/>
        <v>6</v>
      </c>
      <c r="M1792" s="1" t="str">
        <f t="shared" si="109"/>
        <v/>
      </c>
      <c r="N1792" s="2">
        <f t="shared" si="110"/>
        <v>45778</v>
      </c>
      <c r="O1792" t="str">
        <f t="shared" si="111"/>
        <v>pes</v>
      </c>
    </row>
    <row r="1793" spans="1:15" x14ac:dyDescent="0.25">
      <c r="A1793">
        <v>9301</v>
      </c>
      <c r="B1793" s="11">
        <v>4040123456795</v>
      </c>
      <c r="C1793" s="1" t="s">
        <v>20</v>
      </c>
      <c r="D1793" s="1" t="s">
        <v>21</v>
      </c>
      <c r="E1793" s="1" t="s">
        <v>22</v>
      </c>
      <c r="F1793">
        <v>8.8000000000000007</v>
      </c>
      <c r="G1793">
        <v>1</v>
      </c>
      <c r="H1793" s="1" t="s">
        <v>14</v>
      </c>
      <c r="I1793" s="1" t="s">
        <v>15</v>
      </c>
      <c r="J1793" s="12">
        <v>45788</v>
      </c>
      <c r="K1793">
        <v>0</v>
      </c>
      <c r="L1793" s="1">
        <f t="shared" si="108"/>
        <v>8.8000000000000007</v>
      </c>
      <c r="M1793" s="1" t="str">
        <f t="shared" si="109"/>
        <v/>
      </c>
      <c r="N1793" s="2">
        <f t="shared" si="110"/>
        <v>45778</v>
      </c>
      <c r="O1793" t="str">
        <f t="shared" si="111"/>
        <v>pes</v>
      </c>
    </row>
    <row r="1794" spans="1:15" hidden="1" x14ac:dyDescent="0.25">
      <c r="A1794">
        <v>9302</v>
      </c>
      <c r="B1794" s="11">
        <v>4010123456783</v>
      </c>
      <c r="C1794" s="1" t="s">
        <v>35</v>
      </c>
      <c r="D1794" s="1" t="s">
        <v>36</v>
      </c>
      <c r="E1794" s="1" t="s">
        <v>37</v>
      </c>
      <c r="F1794">
        <v>14</v>
      </c>
      <c r="G1794">
        <v>2</v>
      </c>
      <c r="H1794" s="1" t="s">
        <v>14</v>
      </c>
      <c r="I1794" s="1" t="s">
        <v>15</v>
      </c>
      <c r="J1794" s="12">
        <v>45788</v>
      </c>
      <c r="K1794">
        <v>0</v>
      </c>
      <c r="L1794" s="1">
        <f t="shared" ref="L1794:L1857" si="112">F1794*G1794</f>
        <v>28</v>
      </c>
      <c r="M1794" s="1" t="str">
        <f t="shared" ref="M1794:M1857" si="113">IF(H1794="NULL", "",VALUE(H1794))</f>
        <v/>
      </c>
      <c r="N1794" s="2">
        <f t="shared" ref="N1794:N1857" si="114">DATE(YEAR(J1794),MONTH(J1794),1)</f>
        <v>45778</v>
      </c>
      <c r="O1794" t="str">
        <f t="shared" ref="O1794:O1857" si="115">IF(ISNUMBER(SEARCH("Mačky",D1794)),"mačka",IF(ISNUMBER(SEARCH("Psy",D1794)),"pes","iné"))</f>
        <v>mačka</v>
      </c>
    </row>
    <row r="1795" spans="1:15" x14ac:dyDescent="0.25">
      <c r="A1795">
        <v>9303</v>
      </c>
      <c r="B1795" s="11">
        <v>4063456789014</v>
      </c>
      <c r="C1795" s="1" t="s">
        <v>60</v>
      </c>
      <c r="D1795" s="1" t="s">
        <v>12</v>
      </c>
      <c r="E1795" s="1" t="s">
        <v>61</v>
      </c>
      <c r="F1795">
        <v>36</v>
      </c>
      <c r="G1795">
        <v>1</v>
      </c>
      <c r="H1795" s="1" t="s">
        <v>14</v>
      </c>
      <c r="I1795" s="1" t="s">
        <v>15</v>
      </c>
      <c r="J1795" s="12">
        <v>45788</v>
      </c>
      <c r="K1795">
        <v>0</v>
      </c>
      <c r="L1795" s="1">
        <f t="shared" si="112"/>
        <v>36</v>
      </c>
      <c r="M1795" s="1" t="str">
        <f t="shared" si="113"/>
        <v/>
      </c>
      <c r="N1795" s="2">
        <f t="shared" si="114"/>
        <v>45778</v>
      </c>
      <c r="O1795" t="str">
        <f t="shared" si="115"/>
        <v>pes</v>
      </c>
    </row>
    <row r="1796" spans="1:15" hidden="1" x14ac:dyDescent="0.25">
      <c r="A1796">
        <v>9304</v>
      </c>
      <c r="B1796" s="11">
        <v>4021234567894</v>
      </c>
      <c r="C1796" s="1" t="s">
        <v>79</v>
      </c>
      <c r="D1796" s="1" t="s">
        <v>36</v>
      </c>
      <c r="E1796" s="1" t="s">
        <v>69</v>
      </c>
      <c r="F1796">
        <v>8</v>
      </c>
      <c r="G1796">
        <v>1</v>
      </c>
      <c r="H1796" s="1" t="s">
        <v>14</v>
      </c>
      <c r="I1796" s="1" t="s">
        <v>15</v>
      </c>
      <c r="J1796" s="12">
        <v>45788</v>
      </c>
      <c r="K1796">
        <v>0</v>
      </c>
      <c r="L1796" s="1">
        <f t="shared" si="112"/>
        <v>8</v>
      </c>
      <c r="M1796" s="1" t="str">
        <f t="shared" si="113"/>
        <v/>
      </c>
      <c r="N1796" s="2">
        <f t="shared" si="114"/>
        <v>45778</v>
      </c>
      <c r="O1796" t="str">
        <f t="shared" si="115"/>
        <v>mačka</v>
      </c>
    </row>
    <row r="1797" spans="1:15" hidden="1" x14ac:dyDescent="0.25">
      <c r="A1797">
        <v>9305</v>
      </c>
      <c r="B1797" s="11">
        <v>4056789012345</v>
      </c>
      <c r="C1797" s="1" t="s">
        <v>47</v>
      </c>
      <c r="D1797" s="1" t="s">
        <v>29</v>
      </c>
      <c r="E1797" s="1" t="s">
        <v>37</v>
      </c>
      <c r="F1797">
        <v>2.4</v>
      </c>
      <c r="G1797">
        <v>3</v>
      </c>
      <c r="H1797" s="1" t="s">
        <v>14</v>
      </c>
      <c r="I1797" s="1" t="s">
        <v>15</v>
      </c>
      <c r="J1797" s="12">
        <v>45788</v>
      </c>
      <c r="K1797">
        <v>0</v>
      </c>
      <c r="L1797" s="1">
        <f t="shared" si="112"/>
        <v>7.1999999999999993</v>
      </c>
      <c r="M1797" s="1" t="str">
        <f t="shared" si="113"/>
        <v/>
      </c>
      <c r="N1797" s="2">
        <f t="shared" si="114"/>
        <v>45778</v>
      </c>
      <c r="O1797" t="str">
        <f t="shared" si="115"/>
        <v>mačka</v>
      </c>
    </row>
    <row r="1798" spans="1:15" x14ac:dyDescent="0.25">
      <c r="A1798">
        <v>9306</v>
      </c>
      <c r="B1798" s="11">
        <v>4061011223346</v>
      </c>
      <c r="C1798" s="1" t="s">
        <v>25</v>
      </c>
      <c r="D1798" s="1" t="s">
        <v>26</v>
      </c>
      <c r="E1798" s="1" t="s">
        <v>27</v>
      </c>
      <c r="F1798">
        <v>19.600000000000001</v>
      </c>
      <c r="G1798">
        <v>1</v>
      </c>
      <c r="H1798" s="1" t="s">
        <v>14</v>
      </c>
      <c r="I1798" s="1" t="s">
        <v>15</v>
      </c>
      <c r="J1798" s="12">
        <v>45788</v>
      </c>
      <c r="K1798">
        <v>0</v>
      </c>
      <c r="L1798" s="1">
        <f t="shared" si="112"/>
        <v>19.600000000000001</v>
      </c>
      <c r="M1798" s="1" t="str">
        <f t="shared" si="113"/>
        <v/>
      </c>
      <c r="N1798" s="2">
        <f t="shared" si="114"/>
        <v>45778</v>
      </c>
      <c r="O1798" t="str">
        <f t="shared" si="115"/>
        <v>pes</v>
      </c>
    </row>
    <row r="1799" spans="1:15" hidden="1" x14ac:dyDescent="0.25">
      <c r="A1799">
        <v>9307</v>
      </c>
      <c r="B1799" s="11">
        <v>4026677889902</v>
      </c>
      <c r="C1799" s="1" t="s">
        <v>52</v>
      </c>
      <c r="D1799" s="1" t="s">
        <v>53</v>
      </c>
      <c r="E1799" s="1" t="s">
        <v>54</v>
      </c>
      <c r="F1799">
        <v>7.6</v>
      </c>
      <c r="G1799">
        <v>1</v>
      </c>
      <c r="H1799" s="1" t="s">
        <v>18</v>
      </c>
      <c r="I1799" s="1" t="s">
        <v>281</v>
      </c>
      <c r="J1799" s="12">
        <v>45788</v>
      </c>
      <c r="K1799">
        <v>0</v>
      </c>
      <c r="L1799" s="1">
        <f t="shared" si="112"/>
        <v>7.6</v>
      </c>
      <c r="M1799" s="1">
        <f t="shared" si="113"/>
        <v>4</v>
      </c>
      <c r="N1799" s="2">
        <f t="shared" si="114"/>
        <v>45778</v>
      </c>
      <c r="O1799" t="str">
        <f t="shared" si="115"/>
        <v>iné</v>
      </c>
    </row>
    <row r="1800" spans="1:15" x14ac:dyDescent="0.25">
      <c r="A1800">
        <v>9308</v>
      </c>
      <c r="B1800" s="11">
        <v>4028899001126</v>
      </c>
      <c r="C1800" s="1" t="s">
        <v>16</v>
      </c>
      <c r="D1800" s="1" t="s">
        <v>12</v>
      </c>
      <c r="E1800" s="1" t="s">
        <v>17</v>
      </c>
      <c r="F1800">
        <v>2.8</v>
      </c>
      <c r="G1800">
        <v>4</v>
      </c>
      <c r="H1800" s="1" t="s">
        <v>14</v>
      </c>
      <c r="I1800" s="1" t="s">
        <v>15</v>
      </c>
      <c r="J1800" s="12">
        <v>45788</v>
      </c>
      <c r="K1800">
        <v>0</v>
      </c>
      <c r="L1800" s="1">
        <f t="shared" si="112"/>
        <v>11.2</v>
      </c>
      <c r="M1800" s="1" t="str">
        <f t="shared" si="113"/>
        <v/>
      </c>
      <c r="N1800" s="2">
        <f t="shared" si="114"/>
        <v>45778</v>
      </c>
      <c r="O1800" t="str">
        <f t="shared" si="115"/>
        <v>pes</v>
      </c>
    </row>
    <row r="1801" spans="1:15" x14ac:dyDescent="0.25">
      <c r="A1801">
        <v>9309</v>
      </c>
      <c r="B1801" s="11">
        <v>4013456789017</v>
      </c>
      <c r="C1801" s="1" t="s">
        <v>11</v>
      </c>
      <c r="D1801" s="1" t="s">
        <v>12</v>
      </c>
      <c r="E1801" s="1" t="s">
        <v>13</v>
      </c>
      <c r="F1801">
        <v>6</v>
      </c>
      <c r="G1801">
        <v>1</v>
      </c>
      <c r="H1801" s="1" t="s">
        <v>14</v>
      </c>
      <c r="I1801" s="1" t="s">
        <v>15</v>
      </c>
      <c r="J1801" s="12">
        <v>45789</v>
      </c>
      <c r="K1801">
        <v>0</v>
      </c>
      <c r="L1801" s="1">
        <f t="shared" si="112"/>
        <v>6</v>
      </c>
      <c r="M1801" s="1" t="str">
        <f t="shared" si="113"/>
        <v/>
      </c>
      <c r="N1801" s="2">
        <f t="shared" si="114"/>
        <v>45778</v>
      </c>
      <c r="O1801" t="str">
        <f t="shared" si="115"/>
        <v>pes</v>
      </c>
    </row>
    <row r="1802" spans="1:15" x14ac:dyDescent="0.25">
      <c r="A1802">
        <v>9310</v>
      </c>
      <c r="B1802" s="11">
        <v>4040123456795</v>
      </c>
      <c r="C1802" s="1" t="s">
        <v>20</v>
      </c>
      <c r="D1802" s="1" t="s">
        <v>21</v>
      </c>
      <c r="E1802" s="1" t="s">
        <v>22</v>
      </c>
      <c r="F1802">
        <v>8.8000000000000007</v>
      </c>
      <c r="G1802">
        <v>1</v>
      </c>
      <c r="H1802" s="1" t="s">
        <v>14</v>
      </c>
      <c r="I1802" s="1" t="s">
        <v>15</v>
      </c>
      <c r="J1802" s="12">
        <v>45789</v>
      </c>
      <c r="K1802">
        <v>0</v>
      </c>
      <c r="L1802" s="1">
        <f t="shared" si="112"/>
        <v>8.8000000000000007</v>
      </c>
      <c r="M1802" s="1" t="str">
        <f t="shared" si="113"/>
        <v/>
      </c>
      <c r="N1802" s="2">
        <f t="shared" si="114"/>
        <v>45778</v>
      </c>
      <c r="O1802" t="str">
        <f t="shared" si="115"/>
        <v>pes</v>
      </c>
    </row>
    <row r="1803" spans="1:15" hidden="1" x14ac:dyDescent="0.25">
      <c r="A1803">
        <v>9311</v>
      </c>
      <c r="B1803" s="11">
        <v>4010123456783</v>
      </c>
      <c r="C1803" s="1" t="s">
        <v>35</v>
      </c>
      <c r="D1803" s="1" t="s">
        <v>36</v>
      </c>
      <c r="E1803" s="1" t="s">
        <v>37</v>
      </c>
      <c r="F1803">
        <v>14</v>
      </c>
      <c r="G1803">
        <v>1</v>
      </c>
      <c r="H1803" s="1" t="s">
        <v>14</v>
      </c>
      <c r="I1803" s="1" t="s">
        <v>15</v>
      </c>
      <c r="J1803" s="12">
        <v>45789</v>
      </c>
      <c r="K1803">
        <v>0</v>
      </c>
      <c r="L1803" s="1">
        <f t="shared" si="112"/>
        <v>14</v>
      </c>
      <c r="M1803" s="1" t="str">
        <f t="shared" si="113"/>
        <v/>
      </c>
      <c r="N1803" s="2">
        <f t="shared" si="114"/>
        <v>45778</v>
      </c>
      <c r="O1803" t="str">
        <f t="shared" si="115"/>
        <v>mačka</v>
      </c>
    </row>
    <row r="1804" spans="1:15" x14ac:dyDescent="0.25">
      <c r="A1804">
        <v>9312</v>
      </c>
      <c r="B1804" s="11">
        <v>4063456789014</v>
      </c>
      <c r="C1804" s="1" t="s">
        <v>60</v>
      </c>
      <c r="D1804" s="1" t="s">
        <v>12</v>
      </c>
      <c r="E1804" s="1" t="s">
        <v>61</v>
      </c>
      <c r="F1804">
        <v>36</v>
      </c>
      <c r="G1804">
        <v>1</v>
      </c>
      <c r="H1804" s="1" t="s">
        <v>23</v>
      </c>
      <c r="I1804" s="1" t="s">
        <v>282</v>
      </c>
      <c r="J1804" s="12">
        <v>45789</v>
      </c>
      <c r="K1804">
        <v>0</v>
      </c>
      <c r="L1804" s="1">
        <f t="shared" si="112"/>
        <v>36</v>
      </c>
      <c r="M1804" s="1">
        <f t="shared" si="113"/>
        <v>5</v>
      </c>
      <c r="N1804" s="2">
        <f t="shared" si="114"/>
        <v>45778</v>
      </c>
      <c r="O1804" t="str">
        <f t="shared" si="115"/>
        <v>pes</v>
      </c>
    </row>
    <row r="1805" spans="1:15" hidden="1" x14ac:dyDescent="0.25">
      <c r="A1805">
        <v>9313</v>
      </c>
      <c r="B1805" s="11">
        <v>4021234567894</v>
      </c>
      <c r="C1805" s="1" t="s">
        <v>79</v>
      </c>
      <c r="D1805" s="1" t="s">
        <v>36</v>
      </c>
      <c r="E1805" s="1" t="s">
        <v>69</v>
      </c>
      <c r="F1805">
        <v>8</v>
      </c>
      <c r="G1805">
        <v>1</v>
      </c>
      <c r="H1805" s="1" t="s">
        <v>14</v>
      </c>
      <c r="I1805" s="1" t="s">
        <v>15</v>
      </c>
      <c r="J1805" s="12">
        <v>45789</v>
      </c>
      <c r="K1805">
        <v>0</v>
      </c>
      <c r="L1805" s="1">
        <f t="shared" si="112"/>
        <v>8</v>
      </c>
      <c r="M1805" s="1" t="str">
        <f t="shared" si="113"/>
        <v/>
      </c>
      <c r="N1805" s="2">
        <f t="shared" si="114"/>
        <v>45778</v>
      </c>
      <c r="O1805" t="str">
        <f t="shared" si="115"/>
        <v>mačka</v>
      </c>
    </row>
    <row r="1806" spans="1:15" hidden="1" x14ac:dyDescent="0.25">
      <c r="A1806">
        <v>9314</v>
      </c>
      <c r="B1806" s="11">
        <v>4056789012345</v>
      </c>
      <c r="C1806" s="1" t="s">
        <v>47</v>
      </c>
      <c r="D1806" s="1" t="s">
        <v>29</v>
      </c>
      <c r="E1806" s="1" t="s">
        <v>37</v>
      </c>
      <c r="F1806">
        <v>2.4</v>
      </c>
      <c r="G1806">
        <v>3</v>
      </c>
      <c r="H1806" s="1" t="s">
        <v>14</v>
      </c>
      <c r="I1806" s="1" t="s">
        <v>15</v>
      </c>
      <c r="J1806" s="12">
        <v>45789</v>
      </c>
      <c r="K1806">
        <v>0</v>
      </c>
      <c r="L1806" s="1">
        <f t="shared" si="112"/>
        <v>7.1999999999999993</v>
      </c>
      <c r="M1806" s="1" t="str">
        <f t="shared" si="113"/>
        <v/>
      </c>
      <c r="N1806" s="2">
        <f t="shared" si="114"/>
        <v>45778</v>
      </c>
      <c r="O1806" t="str">
        <f t="shared" si="115"/>
        <v>mačka</v>
      </c>
    </row>
    <row r="1807" spans="1:15" x14ac:dyDescent="0.25">
      <c r="A1807">
        <v>9315</v>
      </c>
      <c r="B1807" s="11">
        <v>4061011223346</v>
      </c>
      <c r="C1807" s="1" t="s">
        <v>25</v>
      </c>
      <c r="D1807" s="1" t="s">
        <v>26</v>
      </c>
      <c r="E1807" s="1" t="s">
        <v>27</v>
      </c>
      <c r="F1807">
        <v>19.600000000000001</v>
      </c>
      <c r="G1807">
        <v>1</v>
      </c>
      <c r="H1807" s="1" t="s">
        <v>14</v>
      </c>
      <c r="I1807" s="1" t="s">
        <v>15</v>
      </c>
      <c r="J1807" s="12">
        <v>45789</v>
      </c>
      <c r="K1807">
        <v>0</v>
      </c>
      <c r="L1807" s="1">
        <f t="shared" si="112"/>
        <v>19.600000000000001</v>
      </c>
      <c r="M1807" s="1" t="str">
        <f t="shared" si="113"/>
        <v/>
      </c>
      <c r="N1807" s="2">
        <f t="shared" si="114"/>
        <v>45778</v>
      </c>
      <c r="O1807" t="str">
        <f t="shared" si="115"/>
        <v>pes</v>
      </c>
    </row>
    <row r="1808" spans="1:15" hidden="1" x14ac:dyDescent="0.25">
      <c r="A1808">
        <v>9316</v>
      </c>
      <c r="B1808" s="11">
        <v>4026677889902</v>
      </c>
      <c r="C1808" s="1" t="s">
        <v>52</v>
      </c>
      <c r="D1808" s="1" t="s">
        <v>53</v>
      </c>
      <c r="E1808" s="1" t="s">
        <v>54</v>
      </c>
      <c r="F1808">
        <v>7.6</v>
      </c>
      <c r="G1808">
        <v>1</v>
      </c>
      <c r="H1808" s="1" t="s">
        <v>14</v>
      </c>
      <c r="I1808" s="1" t="s">
        <v>15</v>
      </c>
      <c r="J1808" s="12">
        <v>45789</v>
      </c>
      <c r="K1808">
        <v>0</v>
      </c>
      <c r="L1808" s="1">
        <f t="shared" si="112"/>
        <v>7.6</v>
      </c>
      <c r="M1808" s="1" t="str">
        <f t="shared" si="113"/>
        <v/>
      </c>
      <c r="N1808" s="2">
        <f t="shared" si="114"/>
        <v>45778</v>
      </c>
      <c r="O1808" t="str">
        <f t="shared" si="115"/>
        <v>iné</v>
      </c>
    </row>
    <row r="1809" spans="1:15" x14ac:dyDescent="0.25">
      <c r="A1809">
        <v>9317</v>
      </c>
      <c r="B1809" s="11">
        <v>4028899001126</v>
      </c>
      <c r="C1809" s="1" t="s">
        <v>16</v>
      </c>
      <c r="D1809" s="1" t="s">
        <v>12</v>
      </c>
      <c r="E1809" s="1" t="s">
        <v>17</v>
      </c>
      <c r="F1809">
        <v>2.8</v>
      </c>
      <c r="G1809">
        <v>3</v>
      </c>
      <c r="H1809" s="1" t="s">
        <v>14</v>
      </c>
      <c r="I1809" s="1" t="s">
        <v>15</v>
      </c>
      <c r="J1809" s="12">
        <v>45789</v>
      </c>
      <c r="K1809">
        <v>0</v>
      </c>
      <c r="L1809" s="1">
        <f t="shared" si="112"/>
        <v>8.3999999999999986</v>
      </c>
      <c r="M1809" s="1" t="str">
        <f t="shared" si="113"/>
        <v/>
      </c>
      <c r="N1809" s="2">
        <f t="shared" si="114"/>
        <v>45778</v>
      </c>
      <c r="O1809" t="str">
        <f t="shared" si="115"/>
        <v>pes</v>
      </c>
    </row>
    <row r="1810" spans="1:15" x14ac:dyDescent="0.25">
      <c r="A1810">
        <v>9318</v>
      </c>
      <c r="B1810" s="11">
        <v>4013456789017</v>
      </c>
      <c r="C1810" s="1" t="s">
        <v>11</v>
      </c>
      <c r="D1810" s="1" t="s">
        <v>12</v>
      </c>
      <c r="E1810" s="1" t="s">
        <v>13</v>
      </c>
      <c r="F1810">
        <v>6</v>
      </c>
      <c r="G1810">
        <v>1</v>
      </c>
      <c r="H1810" s="1" t="s">
        <v>14</v>
      </c>
      <c r="I1810" s="1" t="s">
        <v>15</v>
      </c>
      <c r="J1810" s="12">
        <v>45789</v>
      </c>
      <c r="K1810">
        <v>0</v>
      </c>
      <c r="L1810" s="1">
        <f t="shared" si="112"/>
        <v>6</v>
      </c>
      <c r="M1810" s="1" t="str">
        <f t="shared" si="113"/>
        <v/>
      </c>
      <c r="N1810" s="2">
        <f t="shared" si="114"/>
        <v>45778</v>
      </c>
      <c r="O1810" t="str">
        <f t="shared" si="115"/>
        <v>pes</v>
      </c>
    </row>
    <row r="1811" spans="1:15" x14ac:dyDescent="0.25">
      <c r="A1811">
        <v>9319</v>
      </c>
      <c r="B1811" s="11">
        <v>4040123456795</v>
      </c>
      <c r="C1811" s="1" t="s">
        <v>20</v>
      </c>
      <c r="D1811" s="1" t="s">
        <v>21</v>
      </c>
      <c r="E1811" s="1" t="s">
        <v>22</v>
      </c>
      <c r="F1811">
        <v>8.8000000000000007</v>
      </c>
      <c r="G1811">
        <v>1</v>
      </c>
      <c r="H1811" s="1" t="s">
        <v>14</v>
      </c>
      <c r="I1811" s="1" t="s">
        <v>15</v>
      </c>
      <c r="J1811" s="12">
        <v>45789</v>
      </c>
      <c r="K1811">
        <v>0</v>
      </c>
      <c r="L1811" s="1">
        <f t="shared" si="112"/>
        <v>8.8000000000000007</v>
      </c>
      <c r="M1811" s="1" t="str">
        <f t="shared" si="113"/>
        <v/>
      </c>
      <c r="N1811" s="2">
        <f t="shared" si="114"/>
        <v>45778</v>
      </c>
      <c r="O1811" t="str">
        <f t="shared" si="115"/>
        <v>pes</v>
      </c>
    </row>
    <row r="1812" spans="1:15" hidden="1" x14ac:dyDescent="0.25">
      <c r="A1812">
        <v>9320</v>
      </c>
      <c r="B1812" s="11">
        <v>4010123456783</v>
      </c>
      <c r="C1812" s="1" t="s">
        <v>35</v>
      </c>
      <c r="D1812" s="1" t="s">
        <v>36</v>
      </c>
      <c r="E1812" s="1" t="s">
        <v>37</v>
      </c>
      <c r="F1812">
        <v>14</v>
      </c>
      <c r="G1812">
        <v>2</v>
      </c>
      <c r="H1812" s="1" t="s">
        <v>14</v>
      </c>
      <c r="I1812" s="1" t="s">
        <v>15</v>
      </c>
      <c r="J1812" s="12">
        <v>45789</v>
      </c>
      <c r="K1812">
        <v>0</v>
      </c>
      <c r="L1812" s="1">
        <f t="shared" si="112"/>
        <v>28</v>
      </c>
      <c r="M1812" s="1" t="str">
        <f t="shared" si="113"/>
        <v/>
      </c>
      <c r="N1812" s="2">
        <f t="shared" si="114"/>
        <v>45778</v>
      </c>
      <c r="O1812" t="str">
        <f t="shared" si="115"/>
        <v>mačka</v>
      </c>
    </row>
    <row r="1813" spans="1:15" x14ac:dyDescent="0.25">
      <c r="A1813">
        <v>9321</v>
      </c>
      <c r="B1813" s="11">
        <v>4063456789014</v>
      </c>
      <c r="C1813" s="1" t="s">
        <v>60</v>
      </c>
      <c r="D1813" s="1" t="s">
        <v>12</v>
      </c>
      <c r="E1813" s="1" t="s">
        <v>61</v>
      </c>
      <c r="F1813">
        <v>36</v>
      </c>
      <c r="G1813">
        <v>1</v>
      </c>
      <c r="H1813" s="1" t="s">
        <v>14</v>
      </c>
      <c r="I1813" s="1" t="s">
        <v>15</v>
      </c>
      <c r="J1813" s="12">
        <v>45790</v>
      </c>
      <c r="K1813">
        <v>0</v>
      </c>
      <c r="L1813" s="1">
        <f t="shared" si="112"/>
        <v>36</v>
      </c>
      <c r="M1813" s="1" t="str">
        <f t="shared" si="113"/>
        <v/>
      </c>
      <c r="N1813" s="2">
        <f t="shared" si="114"/>
        <v>45778</v>
      </c>
      <c r="O1813" t="str">
        <f t="shared" si="115"/>
        <v>pes</v>
      </c>
    </row>
    <row r="1814" spans="1:15" hidden="1" x14ac:dyDescent="0.25">
      <c r="A1814">
        <v>9322</v>
      </c>
      <c r="B1814" s="11">
        <v>4021234567894</v>
      </c>
      <c r="C1814" s="1" t="s">
        <v>79</v>
      </c>
      <c r="D1814" s="1" t="s">
        <v>36</v>
      </c>
      <c r="E1814" s="1" t="s">
        <v>69</v>
      </c>
      <c r="F1814">
        <v>8</v>
      </c>
      <c r="G1814">
        <v>1</v>
      </c>
      <c r="H1814" s="1" t="s">
        <v>14</v>
      </c>
      <c r="I1814" s="1" t="s">
        <v>15</v>
      </c>
      <c r="J1814" s="12">
        <v>45790</v>
      </c>
      <c r="K1814">
        <v>0</v>
      </c>
      <c r="L1814" s="1">
        <f t="shared" si="112"/>
        <v>8</v>
      </c>
      <c r="M1814" s="1" t="str">
        <f t="shared" si="113"/>
        <v/>
      </c>
      <c r="N1814" s="2">
        <f t="shared" si="114"/>
        <v>45778</v>
      </c>
      <c r="O1814" t="str">
        <f t="shared" si="115"/>
        <v>mačka</v>
      </c>
    </row>
    <row r="1815" spans="1:15" hidden="1" x14ac:dyDescent="0.25">
      <c r="A1815">
        <v>9323</v>
      </c>
      <c r="B1815" s="11">
        <v>4056789012345</v>
      </c>
      <c r="C1815" s="1" t="s">
        <v>47</v>
      </c>
      <c r="D1815" s="1" t="s">
        <v>29</v>
      </c>
      <c r="E1815" s="1" t="s">
        <v>37</v>
      </c>
      <c r="F1815">
        <v>2.4</v>
      </c>
      <c r="G1815">
        <v>3</v>
      </c>
      <c r="H1815" s="1" t="s">
        <v>14</v>
      </c>
      <c r="I1815" s="1" t="s">
        <v>15</v>
      </c>
      <c r="J1815" s="12">
        <v>45790</v>
      </c>
      <c r="K1815">
        <v>0</v>
      </c>
      <c r="L1815" s="1">
        <f t="shared" si="112"/>
        <v>7.1999999999999993</v>
      </c>
      <c r="M1815" s="1" t="str">
        <f t="shared" si="113"/>
        <v/>
      </c>
      <c r="N1815" s="2">
        <f t="shared" si="114"/>
        <v>45778</v>
      </c>
      <c r="O1815" t="str">
        <f t="shared" si="115"/>
        <v>mačka</v>
      </c>
    </row>
    <row r="1816" spans="1:15" x14ac:dyDescent="0.25">
      <c r="A1816">
        <v>9324</v>
      </c>
      <c r="B1816" s="11">
        <v>4061011223346</v>
      </c>
      <c r="C1816" s="1" t="s">
        <v>25</v>
      </c>
      <c r="D1816" s="1" t="s">
        <v>26</v>
      </c>
      <c r="E1816" s="1" t="s">
        <v>27</v>
      </c>
      <c r="F1816">
        <v>19.600000000000001</v>
      </c>
      <c r="G1816">
        <v>1</v>
      </c>
      <c r="H1816" s="1" t="s">
        <v>14</v>
      </c>
      <c r="I1816" s="1" t="s">
        <v>15</v>
      </c>
      <c r="J1816" s="12">
        <v>45790</v>
      </c>
      <c r="K1816">
        <v>0</v>
      </c>
      <c r="L1816" s="1">
        <f t="shared" si="112"/>
        <v>19.600000000000001</v>
      </c>
      <c r="M1816" s="1" t="str">
        <f t="shared" si="113"/>
        <v/>
      </c>
      <c r="N1816" s="2">
        <f t="shared" si="114"/>
        <v>45778</v>
      </c>
      <c r="O1816" t="str">
        <f t="shared" si="115"/>
        <v>pes</v>
      </c>
    </row>
    <row r="1817" spans="1:15" hidden="1" x14ac:dyDescent="0.25">
      <c r="A1817">
        <v>9325</v>
      </c>
      <c r="B1817" s="11">
        <v>4026677889902</v>
      </c>
      <c r="C1817" s="1" t="s">
        <v>52</v>
      </c>
      <c r="D1817" s="1" t="s">
        <v>53</v>
      </c>
      <c r="E1817" s="1" t="s">
        <v>54</v>
      </c>
      <c r="F1817">
        <v>7.6</v>
      </c>
      <c r="G1817">
        <v>1</v>
      </c>
      <c r="H1817" s="1" t="s">
        <v>14</v>
      </c>
      <c r="I1817" s="1" t="s">
        <v>15</v>
      </c>
      <c r="J1817" s="12">
        <v>45790</v>
      </c>
      <c r="K1817">
        <v>0</v>
      </c>
      <c r="L1817" s="1">
        <f t="shared" si="112"/>
        <v>7.6</v>
      </c>
      <c r="M1817" s="1" t="str">
        <f t="shared" si="113"/>
        <v/>
      </c>
      <c r="N1817" s="2">
        <f t="shared" si="114"/>
        <v>45778</v>
      </c>
      <c r="O1817" t="str">
        <f t="shared" si="115"/>
        <v>iné</v>
      </c>
    </row>
    <row r="1818" spans="1:15" x14ac:dyDescent="0.25">
      <c r="A1818">
        <v>9326</v>
      </c>
      <c r="B1818" s="11">
        <v>4028899001126</v>
      </c>
      <c r="C1818" s="1" t="s">
        <v>16</v>
      </c>
      <c r="D1818" s="1" t="s">
        <v>12</v>
      </c>
      <c r="E1818" s="1" t="s">
        <v>17</v>
      </c>
      <c r="F1818">
        <v>2.8</v>
      </c>
      <c r="G1818">
        <v>4</v>
      </c>
      <c r="H1818" s="1" t="s">
        <v>14</v>
      </c>
      <c r="I1818" s="1" t="s">
        <v>15</v>
      </c>
      <c r="J1818" s="12">
        <v>45790</v>
      </c>
      <c r="K1818">
        <v>0</v>
      </c>
      <c r="L1818" s="1">
        <f t="shared" si="112"/>
        <v>11.2</v>
      </c>
      <c r="M1818" s="1" t="str">
        <f t="shared" si="113"/>
        <v/>
      </c>
      <c r="N1818" s="2">
        <f t="shared" si="114"/>
        <v>45778</v>
      </c>
      <c r="O1818" t="str">
        <f t="shared" si="115"/>
        <v>pes</v>
      </c>
    </row>
    <row r="1819" spans="1:15" x14ac:dyDescent="0.25">
      <c r="A1819">
        <v>9327</v>
      </c>
      <c r="B1819" s="11">
        <v>4013456789017</v>
      </c>
      <c r="C1819" s="1" t="s">
        <v>11</v>
      </c>
      <c r="D1819" s="1" t="s">
        <v>12</v>
      </c>
      <c r="E1819" s="1" t="s">
        <v>13</v>
      </c>
      <c r="F1819">
        <v>6</v>
      </c>
      <c r="G1819">
        <v>1</v>
      </c>
      <c r="H1819" s="1" t="s">
        <v>14</v>
      </c>
      <c r="I1819" s="1" t="s">
        <v>15</v>
      </c>
      <c r="J1819" s="12">
        <v>45790</v>
      </c>
      <c r="K1819">
        <v>0</v>
      </c>
      <c r="L1819" s="1">
        <f t="shared" si="112"/>
        <v>6</v>
      </c>
      <c r="M1819" s="1" t="str">
        <f t="shared" si="113"/>
        <v/>
      </c>
      <c r="N1819" s="2">
        <f t="shared" si="114"/>
        <v>45778</v>
      </c>
      <c r="O1819" t="str">
        <f t="shared" si="115"/>
        <v>pes</v>
      </c>
    </row>
    <row r="1820" spans="1:15" x14ac:dyDescent="0.25">
      <c r="A1820">
        <v>9328</v>
      </c>
      <c r="B1820" s="11">
        <v>4040123456795</v>
      </c>
      <c r="C1820" s="1" t="s">
        <v>20</v>
      </c>
      <c r="D1820" s="1" t="s">
        <v>21</v>
      </c>
      <c r="E1820" s="1" t="s">
        <v>22</v>
      </c>
      <c r="F1820">
        <v>8.8000000000000007</v>
      </c>
      <c r="G1820">
        <v>1</v>
      </c>
      <c r="H1820" s="1" t="s">
        <v>14</v>
      </c>
      <c r="I1820" s="1" t="s">
        <v>15</v>
      </c>
      <c r="J1820" s="12">
        <v>45790</v>
      </c>
      <c r="K1820">
        <v>0</v>
      </c>
      <c r="L1820" s="1">
        <f t="shared" si="112"/>
        <v>8.8000000000000007</v>
      </c>
      <c r="M1820" s="1" t="str">
        <f t="shared" si="113"/>
        <v/>
      </c>
      <c r="N1820" s="2">
        <f t="shared" si="114"/>
        <v>45778</v>
      </c>
      <c r="O1820" t="str">
        <f t="shared" si="115"/>
        <v>pes</v>
      </c>
    </row>
    <row r="1821" spans="1:15" hidden="1" x14ac:dyDescent="0.25">
      <c r="A1821">
        <v>9329</v>
      </c>
      <c r="B1821" s="11">
        <v>4010123456783</v>
      </c>
      <c r="C1821" s="1" t="s">
        <v>35</v>
      </c>
      <c r="D1821" s="1" t="s">
        <v>36</v>
      </c>
      <c r="E1821" s="1" t="s">
        <v>37</v>
      </c>
      <c r="F1821">
        <v>14</v>
      </c>
      <c r="G1821">
        <v>1</v>
      </c>
      <c r="H1821" s="1" t="s">
        <v>14</v>
      </c>
      <c r="I1821" s="1" t="s">
        <v>15</v>
      </c>
      <c r="J1821" s="12">
        <v>45790</v>
      </c>
      <c r="K1821">
        <v>0</v>
      </c>
      <c r="L1821" s="1">
        <f t="shared" si="112"/>
        <v>14</v>
      </c>
      <c r="M1821" s="1" t="str">
        <f t="shared" si="113"/>
        <v/>
      </c>
      <c r="N1821" s="2">
        <f t="shared" si="114"/>
        <v>45778</v>
      </c>
      <c r="O1821" t="str">
        <f t="shared" si="115"/>
        <v>mačka</v>
      </c>
    </row>
    <row r="1822" spans="1:15" x14ac:dyDescent="0.25">
      <c r="A1822">
        <v>9330</v>
      </c>
      <c r="B1822" s="11">
        <v>4063456789014</v>
      </c>
      <c r="C1822" s="1" t="s">
        <v>60</v>
      </c>
      <c r="D1822" s="1" t="s">
        <v>12</v>
      </c>
      <c r="E1822" s="1" t="s">
        <v>61</v>
      </c>
      <c r="F1822">
        <v>36</v>
      </c>
      <c r="G1822">
        <v>1</v>
      </c>
      <c r="H1822" s="1" t="s">
        <v>14</v>
      </c>
      <c r="I1822" s="1" t="s">
        <v>15</v>
      </c>
      <c r="J1822" s="12">
        <v>45790</v>
      </c>
      <c r="K1822">
        <v>0</v>
      </c>
      <c r="L1822" s="1">
        <f t="shared" si="112"/>
        <v>36</v>
      </c>
      <c r="M1822" s="1" t="str">
        <f t="shared" si="113"/>
        <v/>
      </c>
      <c r="N1822" s="2">
        <f t="shared" si="114"/>
        <v>45778</v>
      </c>
      <c r="O1822" t="str">
        <f t="shared" si="115"/>
        <v>pes</v>
      </c>
    </row>
    <row r="1823" spans="1:15" hidden="1" x14ac:dyDescent="0.25">
      <c r="A1823">
        <v>9331</v>
      </c>
      <c r="B1823" s="11">
        <v>4021234567894</v>
      </c>
      <c r="C1823" s="1" t="s">
        <v>79</v>
      </c>
      <c r="D1823" s="1" t="s">
        <v>36</v>
      </c>
      <c r="E1823" s="1" t="s">
        <v>69</v>
      </c>
      <c r="F1823">
        <v>8</v>
      </c>
      <c r="G1823">
        <v>1</v>
      </c>
      <c r="H1823" s="1" t="s">
        <v>14</v>
      </c>
      <c r="I1823" s="1" t="s">
        <v>15</v>
      </c>
      <c r="J1823" s="12">
        <v>45790</v>
      </c>
      <c r="K1823">
        <v>0</v>
      </c>
      <c r="L1823" s="1">
        <f t="shared" si="112"/>
        <v>8</v>
      </c>
      <c r="M1823" s="1" t="str">
        <f t="shared" si="113"/>
        <v/>
      </c>
      <c r="N1823" s="2">
        <f t="shared" si="114"/>
        <v>45778</v>
      </c>
      <c r="O1823" t="str">
        <f t="shared" si="115"/>
        <v>mačka</v>
      </c>
    </row>
    <row r="1824" spans="1:15" hidden="1" x14ac:dyDescent="0.25">
      <c r="A1824">
        <v>9332</v>
      </c>
      <c r="B1824" s="11">
        <v>4056789012345</v>
      </c>
      <c r="C1824" s="1" t="s">
        <v>47</v>
      </c>
      <c r="D1824" s="1" t="s">
        <v>29</v>
      </c>
      <c r="E1824" s="1" t="s">
        <v>37</v>
      </c>
      <c r="F1824">
        <v>2.4</v>
      </c>
      <c r="G1824">
        <v>2</v>
      </c>
      <c r="H1824" s="1" t="s">
        <v>14</v>
      </c>
      <c r="I1824" s="1" t="s">
        <v>15</v>
      </c>
      <c r="J1824" s="12">
        <v>45790</v>
      </c>
      <c r="K1824">
        <v>0</v>
      </c>
      <c r="L1824" s="1">
        <f t="shared" si="112"/>
        <v>4.8</v>
      </c>
      <c r="M1824" s="1" t="str">
        <f t="shared" si="113"/>
        <v/>
      </c>
      <c r="N1824" s="2">
        <f t="shared" si="114"/>
        <v>45778</v>
      </c>
      <c r="O1824" t="str">
        <f t="shared" si="115"/>
        <v>mačka</v>
      </c>
    </row>
    <row r="1825" spans="1:15" x14ac:dyDescent="0.25">
      <c r="A1825">
        <v>9333</v>
      </c>
      <c r="B1825" s="11">
        <v>4061011223346</v>
      </c>
      <c r="C1825" s="1" t="s">
        <v>25</v>
      </c>
      <c r="D1825" s="1" t="s">
        <v>26</v>
      </c>
      <c r="E1825" s="1" t="s">
        <v>27</v>
      </c>
      <c r="F1825">
        <v>19.600000000000001</v>
      </c>
      <c r="G1825">
        <v>1</v>
      </c>
      <c r="H1825" s="1" t="s">
        <v>14</v>
      </c>
      <c r="I1825" s="1" t="s">
        <v>15</v>
      </c>
      <c r="J1825" s="12">
        <v>45790</v>
      </c>
      <c r="K1825">
        <v>0</v>
      </c>
      <c r="L1825" s="1">
        <f t="shared" si="112"/>
        <v>19.600000000000001</v>
      </c>
      <c r="M1825" s="1" t="str">
        <f t="shared" si="113"/>
        <v/>
      </c>
      <c r="N1825" s="2">
        <f t="shared" si="114"/>
        <v>45778</v>
      </c>
      <c r="O1825" t="str">
        <f t="shared" si="115"/>
        <v>pes</v>
      </c>
    </row>
    <row r="1826" spans="1:15" hidden="1" x14ac:dyDescent="0.25">
      <c r="A1826">
        <v>9334</v>
      </c>
      <c r="B1826" s="11">
        <v>4026677889902</v>
      </c>
      <c r="C1826" s="1" t="s">
        <v>52</v>
      </c>
      <c r="D1826" s="1" t="s">
        <v>53</v>
      </c>
      <c r="E1826" s="1" t="s">
        <v>54</v>
      </c>
      <c r="F1826">
        <v>7.6</v>
      </c>
      <c r="G1826">
        <v>1</v>
      </c>
      <c r="H1826" s="1" t="s">
        <v>14</v>
      </c>
      <c r="I1826" s="1" t="s">
        <v>15</v>
      </c>
      <c r="J1826" s="12">
        <v>45791</v>
      </c>
      <c r="K1826">
        <v>0</v>
      </c>
      <c r="L1826" s="1">
        <f t="shared" si="112"/>
        <v>7.6</v>
      </c>
      <c r="M1826" s="1" t="str">
        <f t="shared" si="113"/>
        <v/>
      </c>
      <c r="N1826" s="2">
        <f t="shared" si="114"/>
        <v>45778</v>
      </c>
      <c r="O1826" t="str">
        <f t="shared" si="115"/>
        <v>iné</v>
      </c>
    </row>
    <row r="1827" spans="1:15" x14ac:dyDescent="0.25">
      <c r="A1827">
        <v>9335</v>
      </c>
      <c r="B1827" s="11">
        <v>4028899001126</v>
      </c>
      <c r="C1827" s="1" t="s">
        <v>16</v>
      </c>
      <c r="D1827" s="1" t="s">
        <v>12</v>
      </c>
      <c r="E1827" s="1" t="s">
        <v>17</v>
      </c>
      <c r="F1827">
        <v>2.8</v>
      </c>
      <c r="G1827">
        <v>4</v>
      </c>
      <c r="H1827" s="1" t="s">
        <v>23</v>
      </c>
      <c r="I1827" s="1" t="s">
        <v>283</v>
      </c>
      <c r="J1827" s="12">
        <v>45791</v>
      </c>
      <c r="K1827">
        <v>0</v>
      </c>
      <c r="L1827" s="1">
        <f t="shared" si="112"/>
        <v>11.2</v>
      </c>
      <c r="M1827" s="1">
        <f t="shared" si="113"/>
        <v>5</v>
      </c>
      <c r="N1827" s="2">
        <f t="shared" si="114"/>
        <v>45778</v>
      </c>
      <c r="O1827" t="str">
        <f t="shared" si="115"/>
        <v>pes</v>
      </c>
    </row>
    <row r="1828" spans="1:15" x14ac:dyDescent="0.25">
      <c r="A1828">
        <v>9336</v>
      </c>
      <c r="B1828" s="11">
        <v>4013456789017</v>
      </c>
      <c r="C1828" s="1" t="s">
        <v>11</v>
      </c>
      <c r="D1828" s="1" t="s">
        <v>12</v>
      </c>
      <c r="E1828" s="1" t="s">
        <v>13</v>
      </c>
      <c r="F1828">
        <v>6</v>
      </c>
      <c r="G1828">
        <v>1</v>
      </c>
      <c r="H1828" s="1" t="s">
        <v>14</v>
      </c>
      <c r="I1828" s="1" t="s">
        <v>15</v>
      </c>
      <c r="J1828" s="12">
        <v>45791</v>
      </c>
      <c r="K1828">
        <v>0</v>
      </c>
      <c r="L1828" s="1">
        <f t="shared" si="112"/>
        <v>6</v>
      </c>
      <c r="M1828" s="1" t="str">
        <f t="shared" si="113"/>
        <v/>
      </c>
      <c r="N1828" s="2">
        <f t="shared" si="114"/>
        <v>45778</v>
      </c>
      <c r="O1828" t="str">
        <f t="shared" si="115"/>
        <v>pes</v>
      </c>
    </row>
    <row r="1829" spans="1:15" x14ac:dyDescent="0.25">
      <c r="A1829">
        <v>9337</v>
      </c>
      <c r="B1829" s="11">
        <v>4040123456795</v>
      </c>
      <c r="C1829" s="1" t="s">
        <v>20</v>
      </c>
      <c r="D1829" s="1" t="s">
        <v>21</v>
      </c>
      <c r="E1829" s="1" t="s">
        <v>22</v>
      </c>
      <c r="F1829">
        <v>8.8000000000000007</v>
      </c>
      <c r="G1829">
        <v>1</v>
      </c>
      <c r="H1829" s="1" t="s">
        <v>14</v>
      </c>
      <c r="I1829" s="1" t="s">
        <v>15</v>
      </c>
      <c r="J1829" s="12">
        <v>45791</v>
      </c>
      <c r="K1829">
        <v>0</v>
      </c>
      <c r="L1829" s="1">
        <f t="shared" si="112"/>
        <v>8.8000000000000007</v>
      </c>
      <c r="M1829" s="1" t="str">
        <f t="shared" si="113"/>
        <v/>
      </c>
      <c r="N1829" s="2">
        <f t="shared" si="114"/>
        <v>45778</v>
      </c>
      <c r="O1829" t="str">
        <f t="shared" si="115"/>
        <v>pes</v>
      </c>
    </row>
    <row r="1830" spans="1:15" hidden="1" x14ac:dyDescent="0.25">
      <c r="A1830">
        <v>9338</v>
      </c>
      <c r="B1830" s="11">
        <v>4010123456783</v>
      </c>
      <c r="C1830" s="1" t="s">
        <v>35</v>
      </c>
      <c r="D1830" s="1" t="s">
        <v>36</v>
      </c>
      <c r="E1830" s="1" t="s">
        <v>37</v>
      </c>
      <c r="F1830">
        <v>14</v>
      </c>
      <c r="G1830">
        <v>2</v>
      </c>
      <c r="H1830" s="1" t="s">
        <v>14</v>
      </c>
      <c r="I1830" s="1" t="s">
        <v>15</v>
      </c>
      <c r="J1830" s="12">
        <v>45791</v>
      </c>
      <c r="K1830">
        <v>0</v>
      </c>
      <c r="L1830" s="1">
        <f t="shared" si="112"/>
        <v>28</v>
      </c>
      <c r="M1830" s="1" t="str">
        <f t="shared" si="113"/>
        <v/>
      </c>
      <c r="N1830" s="2">
        <f t="shared" si="114"/>
        <v>45778</v>
      </c>
      <c r="O1830" t="str">
        <f t="shared" si="115"/>
        <v>mačka</v>
      </c>
    </row>
    <row r="1831" spans="1:15" x14ac:dyDescent="0.25">
      <c r="A1831">
        <v>9339</v>
      </c>
      <c r="B1831" s="11">
        <v>4063456789014</v>
      </c>
      <c r="C1831" s="1" t="s">
        <v>60</v>
      </c>
      <c r="D1831" s="1" t="s">
        <v>12</v>
      </c>
      <c r="E1831" s="1" t="s">
        <v>61</v>
      </c>
      <c r="F1831">
        <v>36</v>
      </c>
      <c r="G1831">
        <v>1</v>
      </c>
      <c r="H1831" s="1" t="s">
        <v>14</v>
      </c>
      <c r="I1831" s="1" t="s">
        <v>15</v>
      </c>
      <c r="J1831" s="12">
        <v>45791</v>
      </c>
      <c r="K1831">
        <v>0</v>
      </c>
      <c r="L1831" s="1">
        <f t="shared" si="112"/>
        <v>36</v>
      </c>
      <c r="M1831" s="1" t="str">
        <f t="shared" si="113"/>
        <v/>
      </c>
      <c r="N1831" s="2">
        <f t="shared" si="114"/>
        <v>45778</v>
      </c>
      <c r="O1831" t="str">
        <f t="shared" si="115"/>
        <v>pes</v>
      </c>
    </row>
    <row r="1832" spans="1:15" hidden="1" x14ac:dyDescent="0.25">
      <c r="A1832">
        <v>9340</v>
      </c>
      <c r="B1832" s="11">
        <v>4021234567894</v>
      </c>
      <c r="C1832" s="1" t="s">
        <v>79</v>
      </c>
      <c r="D1832" s="1" t="s">
        <v>36</v>
      </c>
      <c r="E1832" s="1" t="s">
        <v>69</v>
      </c>
      <c r="F1832">
        <v>8</v>
      </c>
      <c r="G1832">
        <v>1</v>
      </c>
      <c r="H1832" s="1" t="s">
        <v>14</v>
      </c>
      <c r="I1832" s="1" t="s">
        <v>15</v>
      </c>
      <c r="J1832" s="12">
        <v>45791</v>
      </c>
      <c r="K1832">
        <v>0</v>
      </c>
      <c r="L1832" s="1">
        <f t="shared" si="112"/>
        <v>8</v>
      </c>
      <c r="M1832" s="1" t="str">
        <f t="shared" si="113"/>
        <v/>
      </c>
      <c r="N1832" s="2">
        <f t="shared" si="114"/>
        <v>45778</v>
      </c>
      <c r="O1832" t="str">
        <f t="shared" si="115"/>
        <v>mačka</v>
      </c>
    </row>
    <row r="1833" spans="1:15" hidden="1" x14ac:dyDescent="0.25">
      <c r="A1833">
        <v>9341</v>
      </c>
      <c r="B1833" s="11">
        <v>4056789012345</v>
      </c>
      <c r="C1833" s="1" t="s">
        <v>47</v>
      </c>
      <c r="D1833" s="1" t="s">
        <v>29</v>
      </c>
      <c r="E1833" s="1" t="s">
        <v>37</v>
      </c>
      <c r="F1833">
        <v>2.4</v>
      </c>
      <c r="G1833">
        <v>2</v>
      </c>
      <c r="H1833" s="1" t="s">
        <v>14</v>
      </c>
      <c r="I1833" s="1" t="s">
        <v>15</v>
      </c>
      <c r="J1833" s="12">
        <v>45791</v>
      </c>
      <c r="K1833">
        <v>0</v>
      </c>
      <c r="L1833" s="1">
        <f t="shared" si="112"/>
        <v>4.8</v>
      </c>
      <c r="M1833" s="1" t="str">
        <f t="shared" si="113"/>
        <v/>
      </c>
      <c r="N1833" s="2">
        <f t="shared" si="114"/>
        <v>45778</v>
      </c>
      <c r="O1833" t="str">
        <f t="shared" si="115"/>
        <v>mačka</v>
      </c>
    </row>
    <row r="1834" spans="1:15" x14ac:dyDescent="0.25">
      <c r="A1834">
        <v>9342</v>
      </c>
      <c r="B1834" s="11">
        <v>4061011223346</v>
      </c>
      <c r="C1834" s="1" t="s">
        <v>25</v>
      </c>
      <c r="D1834" s="1" t="s">
        <v>26</v>
      </c>
      <c r="E1834" s="1" t="s">
        <v>27</v>
      </c>
      <c r="F1834">
        <v>19.600000000000001</v>
      </c>
      <c r="G1834">
        <v>1</v>
      </c>
      <c r="H1834" s="1" t="s">
        <v>14</v>
      </c>
      <c r="I1834" s="1" t="s">
        <v>15</v>
      </c>
      <c r="J1834" s="12">
        <v>45791</v>
      </c>
      <c r="K1834">
        <v>0</v>
      </c>
      <c r="L1834" s="1">
        <f t="shared" si="112"/>
        <v>19.600000000000001</v>
      </c>
      <c r="M1834" s="1" t="str">
        <f t="shared" si="113"/>
        <v/>
      </c>
      <c r="N1834" s="2">
        <f t="shared" si="114"/>
        <v>45778</v>
      </c>
      <c r="O1834" t="str">
        <f t="shared" si="115"/>
        <v>pes</v>
      </c>
    </row>
    <row r="1835" spans="1:15" hidden="1" x14ac:dyDescent="0.25">
      <c r="A1835">
        <v>9343</v>
      </c>
      <c r="B1835" s="11">
        <v>4026677889902</v>
      </c>
      <c r="C1835" s="1" t="s">
        <v>52</v>
      </c>
      <c r="D1835" s="1" t="s">
        <v>53</v>
      </c>
      <c r="E1835" s="1" t="s">
        <v>54</v>
      </c>
      <c r="F1835">
        <v>7.6</v>
      </c>
      <c r="G1835">
        <v>1</v>
      </c>
      <c r="H1835" s="1" t="s">
        <v>14</v>
      </c>
      <c r="I1835" s="1" t="s">
        <v>15</v>
      </c>
      <c r="J1835" s="12">
        <v>45791</v>
      </c>
      <c r="K1835">
        <v>0</v>
      </c>
      <c r="L1835" s="1">
        <f t="shared" si="112"/>
        <v>7.6</v>
      </c>
      <c r="M1835" s="1" t="str">
        <f t="shared" si="113"/>
        <v/>
      </c>
      <c r="N1835" s="2">
        <f t="shared" si="114"/>
        <v>45778</v>
      </c>
      <c r="O1835" t="str">
        <f t="shared" si="115"/>
        <v>iné</v>
      </c>
    </row>
    <row r="1836" spans="1:15" x14ac:dyDescent="0.25">
      <c r="A1836">
        <v>9344</v>
      </c>
      <c r="B1836" s="11">
        <v>4028899001126</v>
      </c>
      <c r="C1836" s="1" t="s">
        <v>16</v>
      </c>
      <c r="D1836" s="1" t="s">
        <v>12</v>
      </c>
      <c r="E1836" s="1" t="s">
        <v>17</v>
      </c>
      <c r="F1836">
        <v>2.8</v>
      </c>
      <c r="G1836">
        <v>3</v>
      </c>
      <c r="H1836" s="1" t="s">
        <v>14</v>
      </c>
      <c r="I1836" s="1" t="s">
        <v>15</v>
      </c>
      <c r="J1836" s="12">
        <v>45792</v>
      </c>
      <c r="K1836">
        <v>0</v>
      </c>
      <c r="L1836" s="1">
        <f t="shared" si="112"/>
        <v>8.3999999999999986</v>
      </c>
      <c r="M1836" s="1" t="str">
        <f t="shared" si="113"/>
        <v/>
      </c>
      <c r="N1836" s="2">
        <f t="shared" si="114"/>
        <v>45778</v>
      </c>
      <c r="O1836" t="str">
        <f t="shared" si="115"/>
        <v>pes</v>
      </c>
    </row>
    <row r="1837" spans="1:15" x14ac:dyDescent="0.25">
      <c r="A1837">
        <v>9345</v>
      </c>
      <c r="B1837" s="11">
        <v>4013456789017</v>
      </c>
      <c r="C1837" s="1" t="s">
        <v>11</v>
      </c>
      <c r="D1837" s="1" t="s">
        <v>12</v>
      </c>
      <c r="E1837" s="1" t="s">
        <v>13</v>
      </c>
      <c r="F1837">
        <v>6</v>
      </c>
      <c r="G1837">
        <v>1</v>
      </c>
      <c r="H1837" s="1" t="s">
        <v>14</v>
      </c>
      <c r="I1837" s="1" t="s">
        <v>15</v>
      </c>
      <c r="J1837" s="12">
        <v>45792</v>
      </c>
      <c r="K1837">
        <v>0</v>
      </c>
      <c r="L1837" s="1">
        <f t="shared" si="112"/>
        <v>6</v>
      </c>
      <c r="M1837" s="1" t="str">
        <f t="shared" si="113"/>
        <v/>
      </c>
      <c r="N1837" s="2">
        <f t="shared" si="114"/>
        <v>45778</v>
      </c>
      <c r="O1837" t="str">
        <f t="shared" si="115"/>
        <v>pes</v>
      </c>
    </row>
    <row r="1838" spans="1:15" x14ac:dyDescent="0.25">
      <c r="A1838">
        <v>9346</v>
      </c>
      <c r="B1838" s="11">
        <v>4040123456795</v>
      </c>
      <c r="C1838" s="1" t="s">
        <v>20</v>
      </c>
      <c r="D1838" s="1" t="s">
        <v>21</v>
      </c>
      <c r="E1838" s="1" t="s">
        <v>22</v>
      </c>
      <c r="F1838">
        <v>8.8000000000000007</v>
      </c>
      <c r="G1838">
        <v>1</v>
      </c>
      <c r="H1838" s="1" t="s">
        <v>14</v>
      </c>
      <c r="I1838" s="1" t="s">
        <v>15</v>
      </c>
      <c r="J1838" s="12">
        <v>45792</v>
      </c>
      <c r="K1838">
        <v>0</v>
      </c>
      <c r="L1838" s="1">
        <f t="shared" si="112"/>
        <v>8.8000000000000007</v>
      </c>
      <c r="M1838" s="1" t="str">
        <f t="shared" si="113"/>
        <v/>
      </c>
      <c r="N1838" s="2">
        <f t="shared" si="114"/>
        <v>45778</v>
      </c>
      <c r="O1838" t="str">
        <f t="shared" si="115"/>
        <v>pes</v>
      </c>
    </row>
    <row r="1839" spans="1:15" hidden="1" x14ac:dyDescent="0.25">
      <c r="A1839">
        <v>9347</v>
      </c>
      <c r="B1839" s="11">
        <v>4010123456783</v>
      </c>
      <c r="C1839" s="1" t="s">
        <v>35</v>
      </c>
      <c r="D1839" s="1" t="s">
        <v>36</v>
      </c>
      <c r="E1839" s="1" t="s">
        <v>37</v>
      </c>
      <c r="F1839">
        <v>14</v>
      </c>
      <c r="G1839">
        <v>1</v>
      </c>
      <c r="H1839" s="1" t="s">
        <v>14</v>
      </c>
      <c r="I1839" s="1" t="s">
        <v>15</v>
      </c>
      <c r="J1839" s="12">
        <v>45792</v>
      </c>
      <c r="K1839">
        <v>0</v>
      </c>
      <c r="L1839" s="1">
        <f t="shared" si="112"/>
        <v>14</v>
      </c>
      <c r="M1839" s="1" t="str">
        <f t="shared" si="113"/>
        <v/>
      </c>
      <c r="N1839" s="2">
        <f t="shared" si="114"/>
        <v>45778</v>
      </c>
      <c r="O1839" t="str">
        <f t="shared" si="115"/>
        <v>mačka</v>
      </c>
    </row>
    <row r="1840" spans="1:15" x14ac:dyDescent="0.25">
      <c r="A1840">
        <v>9348</v>
      </c>
      <c r="B1840" s="11">
        <v>4063456789014</v>
      </c>
      <c r="C1840" s="1" t="s">
        <v>60</v>
      </c>
      <c r="D1840" s="1" t="s">
        <v>12</v>
      </c>
      <c r="E1840" s="1" t="s">
        <v>61</v>
      </c>
      <c r="F1840">
        <v>36</v>
      </c>
      <c r="G1840">
        <v>1</v>
      </c>
      <c r="H1840" s="1" t="s">
        <v>14</v>
      </c>
      <c r="I1840" s="1" t="s">
        <v>15</v>
      </c>
      <c r="J1840" s="12">
        <v>45792</v>
      </c>
      <c r="K1840">
        <v>0</v>
      </c>
      <c r="L1840" s="1">
        <f t="shared" si="112"/>
        <v>36</v>
      </c>
      <c r="M1840" s="1" t="str">
        <f t="shared" si="113"/>
        <v/>
      </c>
      <c r="N1840" s="2">
        <f t="shared" si="114"/>
        <v>45778</v>
      </c>
      <c r="O1840" t="str">
        <f t="shared" si="115"/>
        <v>pes</v>
      </c>
    </row>
    <row r="1841" spans="1:15" hidden="1" x14ac:dyDescent="0.25">
      <c r="A1841">
        <v>9349</v>
      </c>
      <c r="B1841" s="11">
        <v>4021234567894</v>
      </c>
      <c r="C1841" s="1" t="s">
        <v>79</v>
      </c>
      <c r="D1841" s="1" t="s">
        <v>36</v>
      </c>
      <c r="E1841" s="1" t="s">
        <v>69</v>
      </c>
      <c r="F1841">
        <v>8</v>
      </c>
      <c r="G1841">
        <v>1</v>
      </c>
      <c r="H1841" s="1" t="s">
        <v>14</v>
      </c>
      <c r="I1841" s="1" t="s">
        <v>15</v>
      </c>
      <c r="J1841" s="12">
        <v>45792</v>
      </c>
      <c r="K1841">
        <v>0</v>
      </c>
      <c r="L1841" s="1">
        <f t="shared" si="112"/>
        <v>8</v>
      </c>
      <c r="M1841" s="1" t="str">
        <f t="shared" si="113"/>
        <v/>
      </c>
      <c r="N1841" s="2">
        <f t="shared" si="114"/>
        <v>45778</v>
      </c>
      <c r="O1841" t="str">
        <f t="shared" si="115"/>
        <v>mačka</v>
      </c>
    </row>
    <row r="1842" spans="1:15" hidden="1" x14ac:dyDescent="0.25">
      <c r="A1842">
        <v>9350</v>
      </c>
      <c r="B1842" s="11">
        <v>4056789012345</v>
      </c>
      <c r="C1842" s="1" t="s">
        <v>47</v>
      </c>
      <c r="D1842" s="1" t="s">
        <v>29</v>
      </c>
      <c r="E1842" s="1" t="s">
        <v>37</v>
      </c>
      <c r="F1842">
        <v>2.4</v>
      </c>
      <c r="G1842">
        <v>3</v>
      </c>
      <c r="H1842" s="1" t="s">
        <v>14</v>
      </c>
      <c r="I1842" s="1" t="s">
        <v>15</v>
      </c>
      <c r="J1842" s="12">
        <v>45792</v>
      </c>
      <c r="K1842">
        <v>0</v>
      </c>
      <c r="L1842" s="1">
        <f t="shared" si="112"/>
        <v>7.1999999999999993</v>
      </c>
      <c r="M1842" s="1" t="str">
        <f t="shared" si="113"/>
        <v/>
      </c>
      <c r="N1842" s="2">
        <f t="shared" si="114"/>
        <v>45778</v>
      </c>
      <c r="O1842" t="str">
        <f t="shared" si="115"/>
        <v>mačka</v>
      </c>
    </row>
    <row r="1843" spans="1:15" x14ac:dyDescent="0.25">
      <c r="A1843">
        <v>9351</v>
      </c>
      <c r="B1843" s="11">
        <v>4061011223346</v>
      </c>
      <c r="C1843" s="1" t="s">
        <v>25</v>
      </c>
      <c r="D1843" s="1" t="s">
        <v>26</v>
      </c>
      <c r="E1843" s="1" t="s">
        <v>27</v>
      </c>
      <c r="F1843">
        <v>19.600000000000001</v>
      </c>
      <c r="G1843">
        <v>1</v>
      </c>
      <c r="H1843" s="1" t="s">
        <v>14</v>
      </c>
      <c r="I1843" s="1" t="s">
        <v>15</v>
      </c>
      <c r="J1843" s="12">
        <v>45792</v>
      </c>
      <c r="K1843">
        <v>0</v>
      </c>
      <c r="L1843" s="1">
        <f t="shared" si="112"/>
        <v>19.600000000000001</v>
      </c>
      <c r="M1843" s="1" t="str">
        <f t="shared" si="113"/>
        <v/>
      </c>
      <c r="N1843" s="2">
        <f t="shared" si="114"/>
        <v>45778</v>
      </c>
      <c r="O1843" t="str">
        <f t="shared" si="115"/>
        <v>pes</v>
      </c>
    </row>
    <row r="1844" spans="1:15" hidden="1" x14ac:dyDescent="0.25">
      <c r="A1844">
        <v>9352</v>
      </c>
      <c r="B1844" s="11">
        <v>4026677889902</v>
      </c>
      <c r="C1844" s="1" t="s">
        <v>52</v>
      </c>
      <c r="D1844" s="1" t="s">
        <v>53</v>
      </c>
      <c r="E1844" s="1" t="s">
        <v>54</v>
      </c>
      <c r="F1844">
        <v>7.6</v>
      </c>
      <c r="G1844">
        <v>1</v>
      </c>
      <c r="H1844" s="1" t="s">
        <v>14</v>
      </c>
      <c r="I1844" s="1" t="s">
        <v>15</v>
      </c>
      <c r="J1844" s="12">
        <v>45792</v>
      </c>
      <c r="K1844">
        <v>0</v>
      </c>
      <c r="L1844" s="1">
        <f t="shared" si="112"/>
        <v>7.6</v>
      </c>
      <c r="M1844" s="1" t="str">
        <f t="shared" si="113"/>
        <v/>
      </c>
      <c r="N1844" s="2">
        <f t="shared" si="114"/>
        <v>45778</v>
      </c>
      <c r="O1844" t="str">
        <f t="shared" si="115"/>
        <v>iné</v>
      </c>
    </row>
    <row r="1845" spans="1:15" x14ac:dyDescent="0.25">
      <c r="A1845">
        <v>9353</v>
      </c>
      <c r="B1845" s="11">
        <v>4028899001126</v>
      </c>
      <c r="C1845" s="1" t="s">
        <v>16</v>
      </c>
      <c r="D1845" s="1" t="s">
        <v>12</v>
      </c>
      <c r="E1845" s="1" t="s">
        <v>17</v>
      </c>
      <c r="F1845">
        <v>2.8</v>
      </c>
      <c r="G1845">
        <v>3</v>
      </c>
      <c r="H1845" s="1" t="s">
        <v>14</v>
      </c>
      <c r="I1845" s="1" t="s">
        <v>15</v>
      </c>
      <c r="J1845" s="12">
        <v>45792</v>
      </c>
      <c r="K1845">
        <v>0</v>
      </c>
      <c r="L1845" s="1">
        <f t="shared" si="112"/>
        <v>8.3999999999999986</v>
      </c>
      <c r="M1845" s="1" t="str">
        <f t="shared" si="113"/>
        <v/>
      </c>
      <c r="N1845" s="2">
        <f t="shared" si="114"/>
        <v>45778</v>
      </c>
      <c r="O1845" t="str">
        <f t="shared" si="115"/>
        <v>pes</v>
      </c>
    </row>
    <row r="1846" spans="1:15" x14ac:dyDescent="0.25">
      <c r="A1846">
        <v>9354</v>
      </c>
      <c r="B1846" s="11">
        <v>4013456789017</v>
      </c>
      <c r="C1846" s="1" t="s">
        <v>11</v>
      </c>
      <c r="D1846" s="1" t="s">
        <v>12</v>
      </c>
      <c r="E1846" s="1" t="s">
        <v>13</v>
      </c>
      <c r="F1846">
        <v>6</v>
      </c>
      <c r="G1846">
        <v>1</v>
      </c>
      <c r="H1846" s="1" t="s">
        <v>14</v>
      </c>
      <c r="I1846" s="1" t="s">
        <v>15</v>
      </c>
      <c r="J1846" s="12">
        <v>45792</v>
      </c>
      <c r="K1846">
        <v>0</v>
      </c>
      <c r="L1846" s="1">
        <f t="shared" si="112"/>
        <v>6</v>
      </c>
      <c r="M1846" s="1" t="str">
        <f t="shared" si="113"/>
        <v/>
      </c>
      <c r="N1846" s="2">
        <f t="shared" si="114"/>
        <v>45778</v>
      </c>
      <c r="O1846" t="str">
        <f t="shared" si="115"/>
        <v>pes</v>
      </c>
    </row>
    <row r="1847" spans="1:15" x14ac:dyDescent="0.25">
      <c r="A1847">
        <v>9355</v>
      </c>
      <c r="B1847" s="11">
        <v>4040123456795</v>
      </c>
      <c r="C1847" s="1" t="s">
        <v>20</v>
      </c>
      <c r="D1847" s="1" t="s">
        <v>21</v>
      </c>
      <c r="E1847" s="1" t="s">
        <v>22</v>
      </c>
      <c r="F1847">
        <v>8.8000000000000007</v>
      </c>
      <c r="G1847">
        <v>1</v>
      </c>
      <c r="H1847" s="1" t="s">
        <v>14</v>
      </c>
      <c r="I1847" s="1" t="s">
        <v>15</v>
      </c>
      <c r="J1847" s="12">
        <v>45792</v>
      </c>
      <c r="K1847">
        <v>0</v>
      </c>
      <c r="L1847" s="1">
        <f t="shared" si="112"/>
        <v>8.8000000000000007</v>
      </c>
      <c r="M1847" s="1" t="str">
        <f t="shared" si="113"/>
        <v/>
      </c>
      <c r="N1847" s="2">
        <f t="shared" si="114"/>
        <v>45778</v>
      </c>
      <c r="O1847" t="str">
        <f t="shared" si="115"/>
        <v>pes</v>
      </c>
    </row>
    <row r="1848" spans="1:15" hidden="1" x14ac:dyDescent="0.25">
      <c r="A1848">
        <v>9356</v>
      </c>
      <c r="B1848" s="11">
        <v>4010123456783</v>
      </c>
      <c r="C1848" s="1" t="s">
        <v>35</v>
      </c>
      <c r="D1848" s="1" t="s">
        <v>36</v>
      </c>
      <c r="E1848" s="1" t="s">
        <v>37</v>
      </c>
      <c r="F1848">
        <v>14</v>
      </c>
      <c r="G1848">
        <v>1</v>
      </c>
      <c r="H1848" s="1" t="s">
        <v>14</v>
      </c>
      <c r="I1848" s="1" t="s">
        <v>15</v>
      </c>
      <c r="J1848" s="12">
        <v>45792</v>
      </c>
      <c r="K1848">
        <v>0</v>
      </c>
      <c r="L1848" s="1">
        <f t="shared" si="112"/>
        <v>14</v>
      </c>
      <c r="M1848" s="1" t="str">
        <f t="shared" si="113"/>
        <v/>
      </c>
      <c r="N1848" s="2">
        <f t="shared" si="114"/>
        <v>45778</v>
      </c>
      <c r="O1848" t="str">
        <f t="shared" si="115"/>
        <v>mačka</v>
      </c>
    </row>
    <row r="1849" spans="1:15" x14ac:dyDescent="0.25">
      <c r="A1849">
        <v>9357</v>
      </c>
      <c r="B1849" s="11">
        <v>4063456789014</v>
      </c>
      <c r="C1849" s="1" t="s">
        <v>60</v>
      </c>
      <c r="D1849" s="1" t="s">
        <v>12</v>
      </c>
      <c r="E1849" s="1" t="s">
        <v>61</v>
      </c>
      <c r="F1849">
        <v>36</v>
      </c>
      <c r="G1849">
        <v>1</v>
      </c>
      <c r="H1849" s="1" t="s">
        <v>14</v>
      </c>
      <c r="I1849" s="1" t="s">
        <v>15</v>
      </c>
      <c r="J1849" s="12">
        <v>45793</v>
      </c>
      <c r="K1849">
        <v>0</v>
      </c>
      <c r="L1849" s="1">
        <f t="shared" si="112"/>
        <v>36</v>
      </c>
      <c r="M1849" s="1" t="str">
        <f t="shared" si="113"/>
        <v/>
      </c>
      <c r="N1849" s="2">
        <f t="shared" si="114"/>
        <v>45778</v>
      </c>
      <c r="O1849" t="str">
        <f t="shared" si="115"/>
        <v>pes</v>
      </c>
    </row>
    <row r="1850" spans="1:15" hidden="1" x14ac:dyDescent="0.25">
      <c r="A1850">
        <v>9358</v>
      </c>
      <c r="B1850" s="11">
        <v>4021234567894</v>
      </c>
      <c r="C1850" s="1" t="s">
        <v>79</v>
      </c>
      <c r="D1850" s="1" t="s">
        <v>36</v>
      </c>
      <c r="E1850" s="1" t="s">
        <v>69</v>
      </c>
      <c r="F1850">
        <v>8</v>
      </c>
      <c r="G1850">
        <v>1</v>
      </c>
      <c r="H1850" s="1" t="s">
        <v>14</v>
      </c>
      <c r="I1850" s="1" t="s">
        <v>15</v>
      </c>
      <c r="J1850" s="12">
        <v>45793</v>
      </c>
      <c r="K1850">
        <v>0</v>
      </c>
      <c r="L1850" s="1">
        <f t="shared" si="112"/>
        <v>8</v>
      </c>
      <c r="M1850" s="1" t="str">
        <f t="shared" si="113"/>
        <v/>
      </c>
      <c r="N1850" s="2">
        <f t="shared" si="114"/>
        <v>45778</v>
      </c>
      <c r="O1850" t="str">
        <f t="shared" si="115"/>
        <v>mačka</v>
      </c>
    </row>
    <row r="1851" spans="1:15" hidden="1" x14ac:dyDescent="0.25">
      <c r="A1851">
        <v>9359</v>
      </c>
      <c r="B1851" s="11">
        <v>4056789012345</v>
      </c>
      <c r="C1851" s="1" t="s">
        <v>47</v>
      </c>
      <c r="D1851" s="1" t="s">
        <v>29</v>
      </c>
      <c r="E1851" s="1" t="s">
        <v>37</v>
      </c>
      <c r="F1851">
        <v>2.4</v>
      </c>
      <c r="G1851">
        <v>3</v>
      </c>
      <c r="H1851" s="1" t="s">
        <v>14</v>
      </c>
      <c r="I1851" s="1" t="s">
        <v>15</v>
      </c>
      <c r="J1851" s="12">
        <v>45793</v>
      </c>
      <c r="K1851">
        <v>0</v>
      </c>
      <c r="L1851" s="1">
        <f t="shared" si="112"/>
        <v>7.1999999999999993</v>
      </c>
      <c r="M1851" s="1" t="str">
        <f t="shared" si="113"/>
        <v/>
      </c>
      <c r="N1851" s="2">
        <f t="shared" si="114"/>
        <v>45778</v>
      </c>
      <c r="O1851" t="str">
        <f t="shared" si="115"/>
        <v>mačka</v>
      </c>
    </row>
    <row r="1852" spans="1:15" x14ac:dyDescent="0.25">
      <c r="A1852">
        <v>9360</v>
      </c>
      <c r="B1852" s="11">
        <v>4061011223346</v>
      </c>
      <c r="C1852" s="1" t="s">
        <v>25</v>
      </c>
      <c r="D1852" s="1" t="s">
        <v>26</v>
      </c>
      <c r="E1852" s="1" t="s">
        <v>27</v>
      </c>
      <c r="F1852">
        <v>19.600000000000001</v>
      </c>
      <c r="G1852">
        <v>1</v>
      </c>
      <c r="H1852" s="1" t="s">
        <v>14</v>
      </c>
      <c r="I1852" s="1" t="s">
        <v>15</v>
      </c>
      <c r="J1852" s="12">
        <v>45793</v>
      </c>
      <c r="K1852">
        <v>0</v>
      </c>
      <c r="L1852" s="1">
        <f t="shared" si="112"/>
        <v>19.600000000000001</v>
      </c>
      <c r="M1852" s="1" t="str">
        <f t="shared" si="113"/>
        <v/>
      </c>
      <c r="N1852" s="2">
        <f t="shared" si="114"/>
        <v>45778</v>
      </c>
      <c r="O1852" t="str">
        <f t="shared" si="115"/>
        <v>pes</v>
      </c>
    </row>
    <row r="1853" spans="1:15" hidden="1" x14ac:dyDescent="0.25">
      <c r="A1853">
        <v>9361</v>
      </c>
      <c r="B1853" s="11">
        <v>4026677889902</v>
      </c>
      <c r="C1853" s="1" t="s">
        <v>52</v>
      </c>
      <c r="D1853" s="1" t="s">
        <v>53</v>
      </c>
      <c r="E1853" s="1" t="s">
        <v>54</v>
      </c>
      <c r="F1853">
        <v>7.6</v>
      </c>
      <c r="G1853">
        <v>1</v>
      </c>
      <c r="H1853" s="1" t="s">
        <v>14</v>
      </c>
      <c r="I1853" s="1" t="s">
        <v>15</v>
      </c>
      <c r="J1853" s="12">
        <v>45793</v>
      </c>
      <c r="K1853">
        <v>0</v>
      </c>
      <c r="L1853" s="1">
        <f t="shared" si="112"/>
        <v>7.6</v>
      </c>
      <c r="M1853" s="1" t="str">
        <f t="shared" si="113"/>
        <v/>
      </c>
      <c r="N1853" s="2">
        <f t="shared" si="114"/>
        <v>45778</v>
      </c>
      <c r="O1853" t="str">
        <f t="shared" si="115"/>
        <v>iné</v>
      </c>
    </row>
    <row r="1854" spans="1:15" x14ac:dyDescent="0.25">
      <c r="A1854">
        <v>9362</v>
      </c>
      <c r="B1854" s="11">
        <v>4028899001126</v>
      </c>
      <c r="C1854" s="1" t="s">
        <v>16</v>
      </c>
      <c r="D1854" s="1" t="s">
        <v>12</v>
      </c>
      <c r="E1854" s="1" t="s">
        <v>17</v>
      </c>
      <c r="F1854">
        <v>2.8</v>
      </c>
      <c r="G1854">
        <v>4</v>
      </c>
      <c r="H1854" s="1" t="s">
        <v>23</v>
      </c>
      <c r="I1854" s="1" t="s">
        <v>284</v>
      </c>
      <c r="J1854" s="12">
        <v>45793</v>
      </c>
      <c r="K1854">
        <v>0</v>
      </c>
      <c r="L1854" s="1">
        <f t="shared" si="112"/>
        <v>11.2</v>
      </c>
      <c r="M1854" s="1">
        <f t="shared" si="113"/>
        <v>5</v>
      </c>
      <c r="N1854" s="2">
        <f t="shared" si="114"/>
        <v>45778</v>
      </c>
      <c r="O1854" t="str">
        <f t="shared" si="115"/>
        <v>pes</v>
      </c>
    </row>
    <row r="1855" spans="1:15" x14ac:dyDescent="0.25">
      <c r="A1855">
        <v>9363</v>
      </c>
      <c r="B1855" s="11">
        <v>4013456789017</v>
      </c>
      <c r="C1855" s="1" t="s">
        <v>11</v>
      </c>
      <c r="D1855" s="1" t="s">
        <v>12</v>
      </c>
      <c r="E1855" s="1" t="s">
        <v>13</v>
      </c>
      <c r="F1855">
        <v>6</v>
      </c>
      <c r="G1855">
        <v>1</v>
      </c>
      <c r="H1855" s="1" t="s">
        <v>14</v>
      </c>
      <c r="I1855" s="1" t="s">
        <v>15</v>
      </c>
      <c r="J1855" s="12">
        <v>45793</v>
      </c>
      <c r="K1855">
        <v>0</v>
      </c>
      <c r="L1855" s="1">
        <f t="shared" si="112"/>
        <v>6</v>
      </c>
      <c r="M1855" s="1" t="str">
        <f t="shared" si="113"/>
        <v/>
      </c>
      <c r="N1855" s="2">
        <f t="shared" si="114"/>
        <v>45778</v>
      </c>
      <c r="O1855" t="str">
        <f t="shared" si="115"/>
        <v>pes</v>
      </c>
    </row>
    <row r="1856" spans="1:15" x14ac:dyDescent="0.25">
      <c r="A1856">
        <v>9364</v>
      </c>
      <c r="B1856" s="11">
        <v>4040123456795</v>
      </c>
      <c r="C1856" s="1" t="s">
        <v>20</v>
      </c>
      <c r="D1856" s="1" t="s">
        <v>21</v>
      </c>
      <c r="E1856" s="1" t="s">
        <v>22</v>
      </c>
      <c r="F1856">
        <v>8.8000000000000007</v>
      </c>
      <c r="G1856">
        <v>1</v>
      </c>
      <c r="H1856" s="1" t="s">
        <v>14</v>
      </c>
      <c r="I1856" s="1" t="s">
        <v>15</v>
      </c>
      <c r="J1856" s="12">
        <v>45793</v>
      </c>
      <c r="K1856">
        <v>0</v>
      </c>
      <c r="L1856" s="1">
        <f t="shared" si="112"/>
        <v>8.8000000000000007</v>
      </c>
      <c r="M1856" s="1" t="str">
        <f t="shared" si="113"/>
        <v/>
      </c>
      <c r="N1856" s="2">
        <f t="shared" si="114"/>
        <v>45778</v>
      </c>
      <c r="O1856" t="str">
        <f t="shared" si="115"/>
        <v>pes</v>
      </c>
    </row>
    <row r="1857" spans="1:15" hidden="1" x14ac:dyDescent="0.25">
      <c r="A1857">
        <v>9365</v>
      </c>
      <c r="B1857" s="11">
        <v>4010123456783</v>
      </c>
      <c r="C1857" s="1" t="s">
        <v>35</v>
      </c>
      <c r="D1857" s="1" t="s">
        <v>36</v>
      </c>
      <c r="E1857" s="1" t="s">
        <v>37</v>
      </c>
      <c r="F1857">
        <v>14</v>
      </c>
      <c r="G1857">
        <v>2</v>
      </c>
      <c r="H1857" s="1" t="s">
        <v>14</v>
      </c>
      <c r="I1857" s="1" t="s">
        <v>15</v>
      </c>
      <c r="J1857" s="12">
        <v>45793</v>
      </c>
      <c r="K1857">
        <v>0</v>
      </c>
      <c r="L1857" s="1">
        <f t="shared" si="112"/>
        <v>28</v>
      </c>
      <c r="M1857" s="1" t="str">
        <f t="shared" si="113"/>
        <v/>
      </c>
      <c r="N1857" s="2">
        <f t="shared" si="114"/>
        <v>45778</v>
      </c>
      <c r="O1857" t="str">
        <f t="shared" si="115"/>
        <v>mačka</v>
      </c>
    </row>
    <row r="1858" spans="1:15" hidden="1" x14ac:dyDescent="0.25">
      <c r="A1858">
        <v>9366</v>
      </c>
      <c r="B1858" s="11">
        <v>4010123456783</v>
      </c>
      <c r="C1858" s="1" t="s">
        <v>35</v>
      </c>
      <c r="D1858" s="1" t="s">
        <v>36</v>
      </c>
      <c r="E1858" s="1" t="s">
        <v>37</v>
      </c>
      <c r="F1858">
        <v>14</v>
      </c>
      <c r="G1858">
        <v>1</v>
      </c>
      <c r="H1858" s="1" t="s">
        <v>14</v>
      </c>
      <c r="I1858" s="1" t="s">
        <v>15</v>
      </c>
      <c r="J1858" s="12">
        <v>45792</v>
      </c>
      <c r="K1858">
        <v>0</v>
      </c>
      <c r="L1858" s="1">
        <f t="shared" ref="L1858:L1921" si="116">F1858*G1858</f>
        <v>14</v>
      </c>
      <c r="M1858" s="1" t="str">
        <f t="shared" ref="M1858:M1921" si="117">IF(H1858="NULL", "",VALUE(H1858))</f>
        <v/>
      </c>
      <c r="N1858" s="2">
        <f t="shared" ref="N1858:N1921" si="118">DATE(YEAR(J1858),MONTH(J1858),1)</f>
        <v>45778</v>
      </c>
      <c r="O1858" t="str">
        <f t="shared" ref="O1858:O1921" si="119">IF(ISNUMBER(SEARCH("Mačky",D1858)),"mačka",IF(ISNUMBER(SEARCH("Psy",D1858)),"pes","iné"))</f>
        <v>mačka</v>
      </c>
    </row>
    <row r="1859" spans="1:15" x14ac:dyDescent="0.25">
      <c r="A1859">
        <v>9367</v>
      </c>
      <c r="B1859" s="11">
        <v>4063456789014</v>
      </c>
      <c r="C1859" s="1" t="s">
        <v>60</v>
      </c>
      <c r="D1859" s="1" t="s">
        <v>12</v>
      </c>
      <c r="E1859" s="1" t="s">
        <v>61</v>
      </c>
      <c r="F1859">
        <v>36</v>
      </c>
      <c r="G1859">
        <v>1</v>
      </c>
      <c r="H1859" s="1" t="s">
        <v>18</v>
      </c>
      <c r="I1859" s="1" t="s">
        <v>274</v>
      </c>
      <c r="J1859" s="12">
        <v>45792</v>
      </c>
      <c r="K1859">
        <v>0</v>
      </c>
      <c r="L1859" s="1">
        <f t="shared" si="116"/>
        <v>36</v>
      </c>
      <c r="M1859" s="1">
        <f t="shared" si="117"/>
        <v>4</v>
      </c>
      <c r="N1859" s="2">
        <f t="shared" si="118"/>
        <v>45778</v>
      </c>
      <c r="O1859" t="str">
        <f t="shared" si="119"/>
        <v>pes</v>
      </c>
    </row>
    <row r="1860" spans="1:15" hidden="1" x14ac:dyDescent="0.25">
      <c r="A1860">
        <v>9368</v>
      </c>
      <c r="B1860" s="11">
        <v>4021234567894</v>
      </c>
      <c r="C1860" s="1" t="s">
        <v>79</v>
      </c>
      <c r="D1860" s="1" t="s">
        <v>36</v>
      </c>
      <c r="E1860" s="1" t="s">
        <v>69</v>
      </c>
      <c r="F1860">
        <v>8</v>
      </c>
      <c r="G1860">
        <v>1</v>
      </c>
      <c r="H1860" s="1" t="s">
        <v>14</v>
      </c>
      <c r="I1860" s="1" t="s">
        <v>15</v>
      </c>
      <c r="J1860" s="12">
        <v>45792</v>
      </c>
      <c r="K1860">
        <v>0</v>
      </c>
      <c r="L1860" s="1">
        <f t="shared" si="116"/>
        <v>8</v>
      </c>
      <c r="M1860" s="1" t="str">
        <f t="shared" si="117"/>
        <v/>
      </c>
      <c r="N1860" s="2">
        <f t="shared" si="118"/>
        <v>45778</v>
      </c>
      <c r="O1860" t="str">
        <f t="shared" si="119"/>
        <v>mačka</v>
      </c>
    </row>
    <row r="1861" spans="1:15" hidden="1" x14ac:dyDescent="0.25">
      <c r="A1861">
        <v>9369</v>
      </c>
      <c r="B1861" s="11">
        <v>4056789012345</v>
      </c>
      <c r="C1861" s="1" t="s">
        <v>47</v>
      </c>
      <c r="D1861" s="1" t="s">
        <v>29</v>
      </c>
      <c r="E1861" s="1" t="s">
        <v>37</v>
      </c>
      <c r="F1861">
        <v>2.4</v>
      </c>
      <c r="G1861">
        <v>2</v>
      </c>
      <c r="H1861" s="1" t="s">
        <v>14</v>
      </c>
      <c r="I1861" s="1" t="s">
        <v>15</v>
      </c>
      <c r="J1861" s="12">
        <v>45792</v>
      </c>
      <c r="K1861">
        <v>0</v>
      </c>
      <c r="L1861" s="1">
        <f t="shared" si="116"/>
        <v>4.8</v>
      </c>
      <c r="M1861" s="1" t="str">
        <f t="shared" si="117"/>
        <v/>
      </c>
      <c r="N1861" s="2">
        <f t="shared" si="118"/>
        <v>45778</v>
      </c>
      <c r="O1861" t="str">
        <f t="shared" si="119"/>
        <v>mačka</v>
      </c>
    </row>
    <row r="1862" spans="1:15" x14ac:dyDescent="0.25">
      <c r="A1862">
        <v>9370</v>
      </c>
      <c r="B1862" s="11">
        <v>4061011223346</v>
      </c>
      <c r="C1862" s="1" t="s">
        <v>25</v>
      </c>
      <c r="D1862" s="1" t="s">
        <v>26</v>
      </c>
      <c r="E1862" s="1" t="s">
        <v>27</v>
      </c>
      <c r="F1862">
        <v>19.600000000000001</v>
      </c>
      <c r="G1862">
        <v>1</v>
      </c>
      <c r="H1862" s="1" t="s">
        <v>14</v>
      </c>
      <c r="I1862" s="1" t="s">
        <v>15</v>
      </c>
      <c r="J1862" s="12">
        <v>45792</v>
      </c>
      <c r="K1862">
        <v>0</v>
      </c>
      <c r="L1862" s="1">
        <f t="shared" si="116"/>
        <v>19.600000000000001</v>
      </c>
      <c r="M1862" s="1" t="str">
        <f t="shared" si="117"/>
        <v/>
      </c>
      <c r="N1862" s="2">
        <f t="shared" si="118"/>
        <v>45778</v>
      </c>
      <c r="O1862" t="str">
        <f t="shared" si="119"/>
        <v>pes</v>
      </c>
    </row>
    <row r="1863" spans="1:15" hidden="1" x14ac:dyDescent="0.25">
      <c r="A1863">
        <v>9371</v>
      </c>
      <c r="B1863" s="11">
        <v>4026677889902</v>
      </c>
      <c r="C1863" s="1" t="s">
        <v>52</v>
      </c>
      <c r="D1863" s="1" t="s">
        <v>53</v>
      </c>
      <c r="E1863" s="1" t="s">
        <v>54</v>
      </c>
      <c r="F1863">
        <v>7.6</v>
      </c>
      <c r="G1863">
        <v>1</v>
      </c>
      <c r="H1863" s="1" t="s">
        <v>14</v>
      </c>
      <c r="I1863" s="1" t="s">
        <v>15</v>
      </c>
      <c r="J1863" s="12">
        <v>45792</v>
      </c>
      <c r="K1863">
        <v>0</v>
      </c>
      <c r="L1863" s="1">
        <f t="shared" si="116"/>
        <v>7.6</v>
      </c>
      <c r="M1863" s="1" t="str">
        <f t="shared" si="117"/>
        <v/>
      </c>
      <c r="N1863" s="2">
        <f t="shared" si="118"/>
        <v>45778</v>
      </c>
      <c r="O1863" t="str">
        <f t="shared" si="119"/>
        <v>iné</v>
      </c>
    </row>
    <row r="1864" spans="1:15" x14ac:dyDescent="0.25">
      <c r="A1864">
        <v>9372</v>
      </c>
      <c r="B1864" s="11">
        <v>4028899001126</v>
      </c>
      <c r="C1864" s="1" t="s">
        <v>16</v>
      </c>
      <c r="D1864" s="1" t="s">
        <v>12</v>
      </c>
      <c r="E1864" s="1" t="s">
        <v>17</v>
      </c>
      <c r="F1864">
        <v>2.8</v>
      </c>
      <c r="G1864">
        <v>4</v>
      </c>
      <c r="H1864" s="1" t="s">
        <v>14</v>
      </c>
      <c r="I1864" s="1" t="s">
        <v>15</v>
      </c>
      <c r="J1864" s="12">
        <v>45792</v>
      </c>
      <c r="K1864">
        <v>0</v>
      </c>
      <c r="L1864" s="1">
        <f t="shared" si="116"/>
        <v>11.2</v>
      </c>
      <c r="M1864" s="1" t="str">
        <f t="shared" si="117"/>
        <v/>
      </c>
      <c r="N1864" s="2">
        <f t="shared" si="118"/>
        <v>45778</v>
      </c>
      <c r="O1864" t="str">
        <f t="shared" si="119"/>
        <v>pes</v>
      </c>
    </row>
    <row r="1865" spans="1:15" x14ac:dyDescent="0.25">
      <c r="A1865">
        <v>9373</v>
      </c>
      <c r="B1865" s="11">
        <v>4013456789017</v>
      </c>
      <c r="C1865" s="1" t="s">
        <v>11</v>
      </c>
      <c r="D1865" s="1" t="s">
        <v>12</v>
      </c>
      <c r="E1865" s="1" t="s">
        <v>13</v>
      </c>
      <c r="F1865">
        <v>6</v>
      </c>
      <c r="G1865">
        <v>1</v>
      </c>
      <c r="H1865" s="1" t="s">
        <v>14</v>
      </c>
      <c r="I1865" s="1" t="s">
        <v>15</v>
      </c>
      <c r="J1865" s="12">
        <v>45792</v>
      </c>
      <c r="K1865">
        <v>0</v>
      </c>
      <c r="L1865" s="1">
        <f t="shared" si="116"/>
        <v>6</v>
      </c>
      <c r="M1865" s="1" t="str">
        <f t="shared" si="117"/>
        <v/>
      </c>
      <c r="N1865" s="2">
        <f t="shared" si="118"/>
        <v>45778</v>
      </c>
      <c r="O1865" t="str">
        <f t="shared" si="119"/>
        <v>pes</v>
      </c>
    </row>
    <row r="1866" spans="1:15" x14ac:dyDescent="0.25">
      <c r="A1866">
        <v>9374</v>
      </c>
      <c r="B1866" s="11">
        <v>4040123456795</v>
      </c>
      <c r="C1866" s="1" t="s">
        <v>20</v>
      </c>
      <c r="D1866" s="1" t="s">
        <v>21</v>
      </c>
      <c r="E1866" s="1" t="s">
        <v>22</v>
      </c>
      <c r="F1866">
        <v>8.8000000000000007</v>
      </c>
      <c r="G1866">
        <v>1</v>
      </c>
      <c r="H1866" s="1" t="s">
        <v>14</v>
      </c>
      <c r="I1866" s="1" t="s">
        <v>15</v>
      </c>
      <c r="J1866" s="12">
        <v>45792</v>
      </c>
      <c r="K1866">
        <v>0</v>
      </c>
      <c r="L1866" s="1">
        <f t="shared" si="116"/>
        <v>8.8000000000000007</v>
      </c>
      <c r="M1866" s="1" t="str">
        <f t="shared" si="117"/>
        <v/>
      </c>
      <c r="N1866" s="2">
        <f t="shared" si="118"/>
        <v>45778</v>
      </c>
      <c r="O1866" t="str">
        <f t="shared" si="119"/>
        <v>pes</v>
      </c>
    </row>
    <row r="1867" spans="1:15" hidden="1" x14ac:dyDescent="0.25">
      <c r="A1867">
        <v>9375</v>
      </c>
      <c r="B1867" s="11">
        <v>4010123456783</v>
      </c>
      <c r="C1867" s="1" t="s">
        <v>35</v>
      </c>
      <c r="D1867" s="1" t="s">
        <v>36</v>
      </c>
      <c r="E1867" s="1" t="s">
        <v>37</v>
      </c>
      <c r="F1867">
        <v>14</v>
      </c>
      <c r="G1867">
        <v>2</v>
      </c>
      <c r="H1867" s="1" t="s">
        <v>14</v>
      </c>
      <c r="I1867" s="1" t="s">
        <v>15</v>
      </c>
      <c r="J1867" s="12">
        <v>45792</v>
      </c>
      <c r="K1867">
        <v>0</v>
      </c>
      <c r="L1867" s="1">
        <f t="shared" si="116"/>
        <v>28</v>
      </c>
      <c r="M1867" s="1" t="str">
        <f t="shared" si="117"/>
        <v/>
      </c>
      <c r="N1867" s="2">
        <f t="shared" si="118"/>
        <v>45778</v>
      </c>
      <c r="O1867" t="str">
        <f t="shared" si="119"/>
        <v>mačka</v>
      </c>
    </row>
    <row r="1868" spans="1:15" x14ac:dyDescent="0.25">
      <c r="A1868">
        <v>9376</v>
      </c>
      <c r="B1868" s="11">
        <v>4063456789014</v>
      </c>
      <c r="C1868" s="1" t="s">
        <v>60</v>
      </c>
      <c r="D1868" s="1" t="s">
        <v>12</v>
      </c>
      <c r="E1868" s="1" t="s">
        <v>61</v>
      </c>
      <c r="F1868">
        <v>36</v>
      </c>
      <c r="G1868">
        <v>1</v>
      </c>
      <c r="H1868" s="1" t="s">
        <v>14</v>
      </c>
      <c r="I1868" s="1" t="s">
        <v>15</v>
      </c>
      <c r="J1868" s="12">
        <v>45793</v>
      </c>
      <c r="K1868">
        <v>0</v>
      </c>
      <c r="L1868" s="1">
        <f t="shared" si="116"/>
        <v>36</v>
      </c>
      <c r="M1868" s="1" t="str">
        <f t="shared" si="117"/>
        <v/>
      </c>
      <c r="N1868" s="2">
        <f t="shared" si="118"/>
        <v>45778</v>
      </c>
      <c r="O1868" t="str">
        <f t="shared" si="119"/>
        <v>pes</v>
      </c>
    </row>
    <row r="1869" spans="1:15" hidden="1" x14ac:dyDescent="0.25">
      <c r="A1869">
        <v>9377</v>
      </c>
      <c r="B1869" s="11">
        <v>4021234567894</v>
      </c>
      <c r="C1869" s="1" t="s">
        <v>79</v>
      </c>
      <c r="D1869" s="1" t="s">
        <v>36</v>
      </c>
      <c r="E1869" s="1" t="s">
        <v>69</v>
      </c>
      <c r="F1869">
        <v>8</v>
      </c>
      <c r="G1869">
        <v>1</v>
      </c>
      <c r="H1869" s="1" t="s">
        <v>14</v>
      </c>
      <c r="I1869" s="1" t="s">
        <v>15</v>
      </c>
      <c r="J1869" s="12">
        <v>45793</v>
      </c>
      <c r="K1869">
        <v>0</v>
      </c>
      <c r="L1869" s="1">
        <f t="shared" si="116"/>
        <v>8</v>
      </c>
      <c r="M1869" s="1" t="str">
        <f t="shared" si="117"/>
        <v/>
      </c>
      <c r="N1869" s="2">
        <f t="shared" si="118"/>
        <v>45778</v>
      </c>
      <c r="O1869" t="str">
        <f t="shared" si="119"/>
        <v>mačka</v>
      </c>
    </row>
    <row r="1870" spans="1:15" hidden="1" x14ac:dyDescent="0.25">
      <c r="A1870">
        <v>9378</v>
      </c>
      <c r="B1870" s="11">
        <v>4056789012345</v>
      </c>
      <c r="C1870" s="1" t="s">
        <v>47</v>
      </c>
      <c r="D1870" s="1" t="s">
        <v>29</v>
      </c>
      <c r="E1870" s="1" t="s">
        <v>37</v>
      </c>
      <c r="F1870">
        <v>2.4</v>
      </c>
      <c r="G1870">
        <v>3</v>
      </c>
      <c r="H1870" s="1" t="s">
        <v>23</v>
      </c>
      <c r="I1870" s="1" t="s">
        <v>285</v>
      </c>
      <c r="J1870" s="12">
        <v>45793</v>
      </c>
      <c r="K1870">
        <v>0</v>
      </c>
      <c r="L1870" s="1">
        <f t="shared" si="116"/>
        <v>7.1999999999999993</v>
      </c>
      <c r="M1870" s="1">
        <f t="shared" si="117"/>
        <v>5</v>
      </c>
      <c r="N1870" s="2">
        <f t="shared" si="118"/>
        <v>45778</v>
      </c>
      <c r="O1870" t="str">
        <f t="shared" si="119"/>
        <v>mačka</v>
      </c>
    </row>
    <row r="1871" spans="1:15" x14ac:dyDescent="0.25">
      <c r="A1871">
        <v>9379</v>
      </c>
      <c r="B1871" s="11">
        <v>4061011223346</v>
      </c>
      <c r="C1871" s="1" t="s">
        <v>25</v>
      </c>
      <c r="D1871" s="1" t="s">
        <v>26</v>
      </c>
      <c r="E1871" s="1" t="s">
        <v>27</v>
      </c>
      <c r="F1871">
        <v>19.600000000000001</v>
      </c>
      <c r="G1871">
        <v>1</v>
      </c>
      <c r="H1871" s="1" t="s">
        <v>14</v>
      </c>
      <c r="I1871" s="1" t="s">
        <v>15</v>
      </c>
      <c r="J1871" s="12">
        <v>45793</v>
      </c>
      <c r="K1871">
        <v>0</v>
      </c>
      <c r="L1871" s="1">
        <f t="shared" si="116"/>
        <v>19.600000000000001</v>
      </c>
      <c r="M1871" s="1" t="str">
        <f t="shared" si="117"/>
        <v/>
      </c>
      <c r="N1871" s="2">
        <f t="shared" si="118"/>
        <v>45778</v>
      </c>
      <c r="O1871" t="str">
        <f t="shared" si="119"/>
        <v>pes</v>
      </c>
    </row>
    <row r="1872" spans="1:15" hidden="1" x14ac:dyDescent="0.25">
      <c r="A1872">
        <v>9380</v>
      </c>
      <c r="B1872" s="11">
        <v>4026677889902</v>
      </c>
      <c r="C1872" s="1" t="s">
        <v>52</v>
      </c>
      <c r="D1872" s="1" t="s">
        <v>53</v>
      </c>
      <c r="E1872" s="1" t="s">
        <v>54</v>
      </c>
      <c r="F1872">
        <v>7.6</v>
      </c>
      <c r="G1872">
        <v>1</v>
      </c>
      <c r="H1872" s="1" t="s">
        <v>14</v>
      </c>
      <c r="I1872" s="1" t="s">
        <v>15</v>
      </c>
      <c r="J1872" s="12">
        <v>45793</v>
      </c>
      <c r="K1872">
        <v>0</v>
      </c>
      <c r="L1872" s="1">
        <f t="shared" si="116"/>
        <v>7.6</v>
      </c>
      <c r="M1872" s="1" t="str">
        <f t="shared" si="117"/>
        <v/>
      </c>
      <c r="N1872" s="2">
        <f t="shared" si="118"/>
        <v>45778</v>
      </c>
      <c r="O1872" t="str">
        <f t="shared" si="119"/>
        <v>iné</v>
      </c>
    </row>
    <row r="1873" spans="1:15" x14ac:dyDescent="0.25">
      <c r="A1873">
        <v>9381</v>
      </c>
      <c r="B1873" s="11">
        <v>4028899001126</v>
      </c>
      <c r="C1873" s="1" t="s">
        <v>16</v>
      </c>
      <c r="D1873" s="1" t="s">
        <v>12</v>
      </c>
      <c r="E1873" s="1" t="s">
        <v>17</v>
      </c>
      <c r="F1873">
        <v>2.8</v>
      </c>
      <c r="G1873">
        <v>3</v>
      </c>
      <c r="H1873" s="1" t="s">
        <v>14</v>
      </c>
      <c r="I1873" s="1" t="s">
        <v>15</v>
      </c>
      <c r="J1873" s="12">
        <v>45793</v>
      </c>
      <c r="K1873">
        <v>0</v>
      </c>
      <c r="L1873" s="1">
        <f t="shared" si="116"/>
        <v>8.3999999999999986</v>
      </c>
      <c r="M1873" s="1" t="str">
        <f t="shared" si="117"/>
        <v/>
      </c>
      <c r="N1873" s="2">
        <f t="shared" si="118"/>
        <v>45778</v>
      </c>
      <c r="O1873" t="str">
        <f t="shared" si="119"/>
        <v>pes</v>
      </c>
    </row>
    <row r="1874" spans="1:15" x14ac:dyDescent="0.25">
      <c r="A1874">
        <v>9382</v>
      </c>
      <c r="B1874" s="11">
        <v>4013456789017</v>
      </c>
      <c r="C1874" s="1" t="s">
        <v>11</v>
      </c>
      <c r="D1874" s="1" t="s">
        <v>12</v>
      </c>
      <c r="E1874" s="1" t="s">
        <v>13</v>
      </c>
      <c r="F1874">
        <v>6</v>
      </c>
      <c r="G1874">
        <v>1</v>
      </c>
      <c r="H1874" s="1" t="s">
        <v>14</v>
      </c>
      <c r="I1874" s="1" t="s">
        <v>15</v>
      </c>
      <c r="J1874" s="12">
        <v>45793</v>
      </c>
      <c r="K1874">
        <v>0</v>
      </c>
      <c r="L1874" s="1">
        <f t="shared" si="116"/>
        <v>6</v>
      </c>
      <c r="M1874" s="1" t="str">
        <f t="shared" si="117"/>
        <v/>
      </c>
      <c r="N1874" s="2">
        <f t="shared" si="118"/>
        <v>45778</v>
      </c>
      <c r="O1874" t="str">
        <f t="shared" si="119"/>
        <v>pes</v>
      </c>
    </row>
    <row r="1875" spans="1:15" x14ac:dyDescent="0.25">
      <c r="A1875">
        <v>9383</v>
      </c>
      <c r="B1875" s="11">
        <v>4040123456795</v>
      </c>
      <c r="C1875" s="1" t="s">
        <v>20</v>
      </c>
      <c r="D1875" s="1" t="s">
        <v>21</v>
      </c>
      <c r="E1875" s="1" t="s">
        <v>22</v>
      </c>
      <c r="F1875">
        <v>8.8000000000000007</v>
      </c>
      <c r="G1875">
        <v>1</v>
      </c>
      <c r="H1875" s="1" t="s">
        <v>14</v>
      </c>
      <c r="I1875" s="1" t="s">
        <v>15</v>
      </c>
      <c r="J1875" s="12">
        <v>45793</v>
      </c>
      <c r="K1875">
        <v>0</v>
      </c>
      <c r="L1875" s="1">
        <f t="shared" si="116"/>
        <v>8.8000000000000007</v>
      </c>
      <c r="M1875" s="1" t="str">
        <f t="shared" si="117"/>
        <v/>
      </c>
      <c r="N1875" s="2">
        <f t="shared" si="118"/>
        <v>45778</v>
      </c>
      <c r="O1875" t="str">
        <f t="shared" si="119"/>
        <v>pes</v>
      </c>
    </row>
    <row r="1876" spans="1:15" hidden="1" x14ac:dyDescent="0.25">
      <c r="A1876">
        <v>9384</v>
      </c>
      <c r="B1876" s="11">
        <v>4010123456783</v>
      </c>
      <c r="C1876" s="1" t="s">
        <v>35</v>
      </c>
      <c r="D1876" s="1" t="s">
        <v>36</v>
      </c>
      <c r="E1876" s="1" t="s">
        <v>37</v>
      </c>
      <c r="F1876">
        <v>14</v>
      </c>
      <c r="G1876">
        <v>1</v>
      </c>
      <c r="H1876" s="1" t="s">
        <v>14</v>
      </c>
      <c r="I1876" s="1" t="s">
        <v>15</v>
      </c>
      <c r="J1876" s="12">
        <v>45793</v>
      </c>
      <c r="K1876">
        <v>0</v>
      </c>
      <c r="L1876" s="1">
        <f t="shared" si="116"/>
        <v>14</v>
      </c>
      <c r="M1876" s="1" t="str">
        <f t="shared" si="117"/>
        <v/>
      </c>
      <c r="N1876" s="2">
        <f t="shared" si="118"/>
        <v>45778</v>
      </c>
      <c r="O1876" t="str">
        <f t="shared" si="119"/>
        <v>mačka</v>
      </c>
    </row>
    <row r="1877" spans="1:15" x14ac:dyDescent="0.25">
      <c r="A1877">
        <v>9385</v>
      </c>
      <c r="B1877" s="11">
        <v>4063456789014</v>
      </c>
      <c r="C1877" s="1" t="s">
        <v>60</v>
      </c>
      <c r="D1877" s="1" t="s">
        <v>12</v>
      </c>
      <c r="E1877" s="1" t="s">
        <v>61</v>
      </c>
      <c r="F1877">
        <v>36</v>
      </c>
      <c r="G1877">
        <v>1</v>
      </c>
      <c r="H1877" s="1" t="s">
        <v>14</v>
      </c>
      <c r="I1877" s="1" t="s">
        <v>15</v>
      </c>
      <c r="J1877" s="12">
        <v>45793</v>
      </c>
      <c r="K1877">
        <v>0</v>
      </c>
      <c r="L1877" s="1">
        <f t="shared" si="116"/>
        <v>36</v>
      </c>
      <c r="M1877" s="1" t="str">
        <f t="shared" si="117"/>
        <v/>
      </c>
      <c r="N1877" s="2">
        <f t="shared" si="118"/>
        <v>45778</v>
      </c>
      <c r="O1877" t="str">
        <f t="shared" si="119"/>
        <v>pes</v>
      </c>
    </row>
    <row r="1878" spans="1:15" hidden="1" x14ac:dyDescent="0.25">
      <c r="A1878">
        <v>9386</v>
      </c>
      <c r="B1878" s="11">
        <v>4021234567894</v>
      </c>
      <c r="C1878" s="1" t="s">
        <v>79</v>
      </c>
      <c r="D1878" s="1" t="s">
        <v>36</v>
      </c>
      <c r="E1878" s="1" t="s">
        <v>69</v>
      </c>
      <c r="F1878">
        <v>8</v>
      </c>
      <c r="G1878">
        <v>1</v>
      </c>
      <c r="H1878" s="1" t="s">
        <v>14</v>
      </c>
      <c r="I1878" s="1" t="s">
        <v>15</v>
      </c>
      <c r="J1878" s="12">
        <v>45793</v>
      </c>
      <c r="K1878">
        <v>0</v>
      </c>
      <c r="L1878" s="1">
        <f t="shared" si="116"/>
        <v>8</v>
      </c>
      <c r="M1878" s="1" t="str">
        <f t="shared" si="117"/>
        <v/>
      </c>
      <c r="N1878" s="2">
        <f t="shared" si="118"/>
        <v>45778</v>
      </c>
      <c r="O1878" t="str">
        <f t="shared" si="119"/>
        <v>mačka</v>
      </c>
    </row>
    <row r="1879" spans="1:15" hidden="1" x14ac:dyDescent="0.25">
      <c r="A1879">
        <v>9387</v>
      </c>
      <c r="B1879" s="11">
        <v>4056789012345</v>
      </c>
      <c r="C1879" s="1" t="s">
        <v>47</v>
      </c>
      <c r="D1879" s="1" t="s">
        <v>29</v>
      </c>
      <c r="E1879" s="1" t="s">
        <v>37</v>
      </c>
      <c r="F1879">
        <v>2.4</v>
      </c>
      <c r="G1879">
        <v>2</v>
      </c>
      <c r="H1879" s="1" t="s">
        <v>14</v>
      </c>
      <c r="I1879" s="1" t="s">
        <v>15</v>
      </c>
      <c r="J1879" s="12">
        <v>45793</v>
      </c>
      <c r="K1879">
        <v>0</v>
      </c>
      <c r="L1879" s="1">
        <f t="shared" si="116"/>
        <v>4.8</v>
      </c>
      <c r="M1879" s="1" t="str">
        <f t="shared" si="117"/>
        <v/>
      </c>
      <c r="N1879" s="2">
        <f t="shared" si="118"/>
        <v>45778</v>
      </c>
      <c r="O1879" t="str">
        <f t="shared" si="119"/>
        <v>mačka</v>
      </c>
    </row>
    <row r="1880" spans="1:15" x14ac:dyDescent="0.25">
      <c r="A1880">
        <v>9388</v>
      </c>
      <c r="B1880" s="11">
        <v>4061011223346</v>
      </c>
      <c r="C1880" s="1" t="s">
        <v>25</v>
      </c>
      <c r="D1880" s="1" t="s">
        <v>26</v>
      </c>
      <c r="E1880" s="1" t="s">
        <v>27</v>
      </c>
      <c r="F1880">
        <v>19.600000000000001</v>
      </c>
      <c r="G1880">
        <v>1</v>
      </c>
      <c r="H1880" s="1" t="s">
        <v>14</v>
      </c>
      <c r="I1880" s="1" t="s">
        <v>15</v>
      </c>
      <c r="J1880" s="12">
        <v>45794</v>
      </c>
      <c r="K1880">
        <v>0</v>
      </c>
      <c r="L1880" s="1">
        <f t="shared" si="116"/>
        <v>19.600000000000001</v>
      </c>
      <c r="M1880" s="1" t="str">
        <f t="shared" si="117"/>
        <v/>
      </c>
      <c r="N1880" s="2">
        <f t="shared" si="118"/>
        <v>45778</v>
      </c>
      <c r="O1880" t="str">
        <f t="shared" si="119"/>
        <v>pes</v>
      </c>
    </row>
    <row r="1881" spans="1:15" hidden="1" x14ac:dyDescent="0.25">
      <c r="A1881">
        <v>9389</v>
      </c>
      <c r="B1881" s="11">
        <v>4026677889902</v>
      </c>
      <c r="C1881" s="1" t="s">
        <v>52</v>
      </c>
      <c r="D1881" s="1" t="s">
        <v>53</v>
      </c>
      <c r="E1881" s="1" t="s">
        <v>54</v>
      </c>
      <c r="F1881">
        <v>7.6</v>
      </c>
      <c r="G1881">
        <v>1</v>
      </c>
      <c r="H1881" s="1" t="s">
        <v>18</v>
      </c>
      <c r="I1881" s="1" t="s">
        <v>286</v>
      </c>
      <c r="J1881" s="12">
        <v>45794</v>
      </c>
      <c r="K1881">
        <v>0</v>
      </c>
      <c r="L1881" s="1">
        <f t="shared" si="116"/>
        <v>7.6</v>
      </c>
      <c r="M1881" s="1">
        <f t="shared" si="117"/>
        <v>4</v>
      </c>
      <c r="N1881" s="2">
        <f t="shared" si="118"/>
        <v>45778</v>
      </c>
      <c r="O1881" t="str">
        <f t="shared" si="119"/>
        <v>iné</v>
      </c>
    </row>
    <row r="1882" spans="1:15" x14ac:dyDescent="0.25">
      <c r="A1882">
        <v>9390</v>
      </c>
      <c r="B1882" s="11">
        <v>4028899001126</v>
      </c>
      <c r="C1882" s="1" t="s">
        <v>16</v>
      </c>
      <c r="D1882" s="1" t="s">
        <v>12</v>
      </c>
      <c r="E1882" s="1" t="s">
        <v>17</v>
      </c>
      <c r="F1882">
        <v>2.8</v>
      </c>
      <c r="G1882">
        <v>3</v>
      </c>
      <c r="H1882" s="1" t="s">
        <v>14</v>
      </c>
      <c r="I1882" s="1" t="s">
        <v>15</v>
      </c>
      <c r="J1882" s="12">
        <v>45794</v>
      </c>
      <c r="K1882">
        <v>0</v>
      </c>
      <c r="L1882" s="1">
        <f t="shared" si="116"/>
        <v>8.3999999999999986</v>
      </c>
      <c r="M1882" s="1" t="str">
        <f t="shared" si="117"/>
        <v/>
      </c>
      <c r="N1882" s="2">
        <f t="shared" si="118"/>
        <v>45778</v>
      </c>
      <c r="O1882" t="str">
        <f t="shared" si="119"/>
        <v>pes</v>
      </c>
    </row>
    <row r="1883" spans="1:15" x14ac:dyDescent="0.25">
      <c r="A1883">
        <v>9391</v>
      </c>
      <c r="B1883" s="11">
        <v>4013456789017</v>
      </c>
      <c r="C1883" s="1" t="s">
        <v>11</v>
      </c>
      <c r="D1883" s="1" t="s">
        <v>12</v>
      </c>
      <c r="E1883" s="1" t="s">
        <v>13</v>
      </c>
      <c r="F1883">
        <v>6</v>
      </c>
      <c r="G1883">
        <v>1</v>
      </c>
      <c r="H1883" s="1" t="s">
        <v>14</v>
      </c>
      <c r="I1883" s="1" t="s">
        <v>15</v>
      </c>
      <c r="J1883" s="12">
        <v>45794</v>
      </c>
      <c r="K1883">
        <v>0</v>
      </c>
      <c r="L1883" s="1">
        <f t="shared" si="116"/>
        <v>6</v>
      </c>
      <c r="M1883" s="1" t="str">
        <f t="shared" si="117"/>
        <v/>
      </c>
      <c r="N1883" s="2">
        <f t="shared" si="118"/>
        <v>45778</v>
      </c>
      <c r="O1883" t="str">
        <f t="shared" si="119"/>
        <v>pes</v>
      </c>
    </row>
    <row r="1884" spans="1:15" x14ac:dyDescent="0.25">
      <c r="A1884">
        <v>9392</v>
      </c>
      <c r="B1884" s="11">
        <v>4040123456795</v>
      </c>
      <c r="C1884" s="1" t="s">
        <v>20</v>
      </c>
      <c r="D1884" s="1" t="s">
        <v>21</v>
      </c>
      <c r="E1884" s="1" t="s">
        <v>22</v>
      </c>
      <c r="F1884">
        <v>8.8000000000000007</v>
      </c>
      <c r="G1884">
        <v>1</v>
      </c>
      <c r="H1884" s="1" t="s">
        <v>14</v>
      </c>
      <c r="I1884" s="1" t="s">
        <v>15</v>
      </c>
      <c r="J1884" s="12">
        <v>45794</v>
      </c>
      <c r="K1884">
        <v>0</v>
      </c>
      <c r="L1884" s="1">
        <f t="shared" si="116"/>
        <v>8.8000000000000007</v>
      </c>
      <c r="M1884" s="1" t="str">
        <f t="shared" si="117"/>
        <v/>
      </c>
      <c r="N1884" s="2">
        <f t="shared" si="118"/>
        <v>45778</v>
      </c>
      <c r="O1884" t="str">
        <f t="shared" si="119"/>
        <v>pes</v>
      </c>
    </row>
    <row r="1885" spans="1:15" hidden="1" x14ac:dyDescent="0.25">
      <c r="A1885">
        <v>9393</v>
      </c>
      <c r="B1885" s="11">
        <v>4010123456783</v>
      </c>
      <c r="C1885" s="1" t="s">
        <v>35</v>
      </c>
      <c r="D1885" s="1" t="s">
        <v>36</v>
      </c>
      <c r="E1885" s="1" t="s">
        <v>37</v>
      </c>
      <c r="F1885">
        <v>14</v>
      </c>
      <c r="G1885">
        <v>1</v>
      </c>
      <c r="H1885" s="1" t="s">
        <v>14</v>
      </c>
      <c r="I1885" s="1" t="s">
        <v>15</v>
      </c>
      <c r="J1885" s="12">
        <v>45794</v>
      </c>
      <c r="K1885">
        <v>0</v>
      </c>
      <c r="L1885" s="1">
        <f t="shared" si="116"/>
        <v>14</v>
      </c>
      <c r="M1885" s="1" t="str">
        <f t="shared" si="117"/>
        <v/>
      </c>
      <c r="N1885" s="2">
        <f t="shared" si="118"/>
        <v>45778</v>
      </c>
      <c r="O1885" t="str">
        <f t="shared" si="119"/>
        <v>mačka</v>
      </c>
    </row>
    <row r="1886" spans="1:15" x14ac:dyDescent="0.25">
      <c r="A1886">
        <v>9394</v>
      </c>
      <c r="B1886" s="11">
        <v>4063456789014</v>
      </c>
      <c r="C1886" s="1" t="s">
        <v>60</v>
      </c>
      <c r="D1886" s="1" t="s">
        <v>12</v>
      </c>
      <c r="E1886" s="1" t="s">
        <v>61</v>
      </c>
      <c r="F1886">
        <v>36</v>
      </c>
      <c r="G1886">
        <v>1</v>
      </c>
      <c r="H1886" s="1" t="s">
        <v>14</v>
      </c>
      <c r="I1886" s="1" t="s">
        <v>15</v>
      </c>
      <c r="J1886" s="12">
        <v>45794</v>
      </c>
      <c r="K1886">
        <v>0</v>
      </c>
      <c r="L1886" s="1">
        <f t="shared" si="116"/>
        <v>36</v>
      </c>
      <c r="M1886" s="1" t="str">
        <f t="shared" si="117"/>
        <v/>
      </c>
      <c r="N1886" s="2">
        <f t="shared" si="118"/>
        <v>45778</v>
      </c>
      <c r="O1886" t="str">
        <f t="shared" si="119"/>
        <v>pes</v>
      </c>
    </row>
    <row r="1887" spans="1:15" hidden="1" x14ac:dyDescent="0.25">
      <c r="A1887">
        <v>9395</v>
      </c>
      <c r="B1887" s="11">
        <v>4021234567894</v>
      </c>
      <c r="C1887" s="1" t="s">
        <v>79</v>
      </c>
      <c r="D1887" s="1" t="s">
        <v>36</v>
      </c>
      <c r="E1887" s="1" t="s">
        <v>69</v>
      </c>
      <c r="F1887">
        <v>8</v>
      </c>
      <c r="G1887">
        <v>1</v>
      </c>
      <c r="H1887" s="1" t="s">
        <v>14</v>
      </c>
      <c r="I1887" s="1" t="s">
        <v>15</v>
      </c>
      <c r="J1887" s="12">
        <v>45794</v>
      </c>
      <c r="K1887">
        <v>0</v>
      </c>
      <c r="L1887" s="1">
        <f t="shared" si="116"/>
        <v>8</v>
      </c>
      <c r="M1887" s="1" t="str">
        <f t="shared" si="117"/>
        <v/>
      </c>
      <c r="N1887" s="2">
        <f t="shared" si="118"/>
        <v>45778</v>
      </c>
      <c r="O1887" t="str">
        <f t="shared" si="119"/>
        <v>mačka</v>
      </c>
    </row>
    <row r="1888" spans="1:15" hidden="1" x14ac:dyDescent="0.25">
      <c r="A1888">
        <v>9396</v>
      </c>
      <c r="B1888" s="11">
        <v>4056789012345</v>
      </c>
      <c r="C1888" s="1" t="s">
        <v>47</v>
      </c>
      <c r="D1888" s="1" t="s">
        <v>29</v>
      </c>
      <c r="E1888" s="1" t="s">
        <v>37</v>
      </c>
      <c r="F1888">
        <v>2.4</v>
      </c>
      <c r="G1888">
        <v>2</v>
      </c>
      <c r="H1888" s="1" t="s">
        <v>14</v>
      </c>
      <c r="I1888" s="1" t="s">
        <v>15</v>
      </c>
      <c r="J1888" s="12">
        <v>45794</v>
      </c>
      <c r="K1888">
        <v>0</v>
      </c>
      <c r="L1888" s="1">
        <f t="shared" si="116"/>
        <v>4.8</v>
      </c>
      <c r="M1888" s="1" t="str">
        <f t="shared" si="117"/>
        <v/>
      </c>
      <c r="N1888" s="2">
        <f t="shared" si="118"/>
        <v>45778</v>
      </c>
      <c r="O1888" t="str">
        <f t="shared" si="119"/>
        <v>mačka</v>
      </c>
    </row>
    <row r="1889" spans="1:15" x14ac:dyDescent="0.25">
      <c r="A1889">
        <v>9397</v>
      </c>
      <c r="B1889" s="11">
        <v>4061011223346</v>
      </c>
      <c r="C1889" s="1" t="s">
        <v>25</v>
      </c>
      <c r="D1889" s="1" t="s">
        <v>26</v>
      </c>
      <c r="E1889" s="1" t="s">
        <v>27</v>
      </c>
      <c r="F1889">
        <v>19.600000000000001</v>
      </c>
      <c r="G1889">
        <v>1</v>
      </c>
      <c r="H1889" s="1" t="s">
        <v>14</v>
      </c>
      <c r="I1889" s="1" t="s">
        <v>15</v>
      </c>
      <c r="J1889" s="12">
        <v>45794</v>
      </c>
      <c r="K1889">
        <v>0</v>
      </c>
      <c r="L1889" s="1">
        <f t="shared" si="116"/>
        <v>19.600000000000001</v>
      </c>
      <c r="M1889" s="1" t="str">
        <f t="shared" si="117"/>
        <v/>
      </c>
      <c r="N1889" s="2">
        <f t="shared" si="118"/>
        <v>45778</v>
      </c>
      <c r="O1889" t="str">
        <f t="shared" si="119"/>
        <v>pes</v>
      </c>
    </row>
    <row r="1890" spans="1:15" hidden="1" x14ac:dyDescent="0.25">
      <c r="A1890">
        <v>9398</v>
      </c>
      <c r="B1890" s="11">
        <v>4026677889902</v>
      </c>
      <c r="C1890" s="1" t="s">
        <v>52</v>
      </c>
      <c r="D1890" s="1" t="s">
        <v>53</v>
      </c>
      <c r="E1890" s="1" t="s">
        <v>54</v>
      </c>
      <c r="F1890">
        <v>7.6</v>
      </c>
      <c r="G1890">
        <v>1</v>
      </c>
      <c r="H1890" s="1" t="s">
        <v>14</v>
      </c>
      <c r="I1890" s="1" t="s">
        <v>15</v>
      </c>
      <c r="J1890" s="12">
        <v>45794</v>
      </c>
      <c r="K1890">
        <v>0</v>
      </c>
      <c r="L1890" s="1">
        <f t="shared" si="116"/>
        <v>7.6</v>
      </c>
      <c r="M1890" s="1" t="str">
        <f t="shared" si="117"/>
        <v/>
      </c>
      <c r="N1890" s="2">
        <f t="shared" si="118"/>
        <v>45778</v>
      </c>
      <c r="O1890" t="str">
        <f t="shared" si="119"/>
        <v>iné</v>
      </c>
    </row>
    <row r="1891" spans="1:15" x14ac:dyDescent="0.25">
      <c r="A1891">
        <v>9399</v>
      </c>
      <c r="B1891" s="11">
        <v>4028899001126</v>
      </c>
      <c r="C1891" s="1" t="s">
        <v>16</v>
      </c>
      <c r="D1891" s="1" t="s">
        <v>12</v>
      </c>
      <c r="E1891" s="1" t="s">
        <v>17</v>
      </c>
      <c r="F1891">
        <v>2.8</v>
      </c>
      <c r="G1891">
        <v>4</v>
      </c>
      <c r="H1891" s="1" t="s">
        <v>14</v>
      </c>
      <c r="I1891" s="1" t="s">
        <v>15</v>
      </c>
      <c r="J1891" s="12">
        <v>45794</v>
      </c>
      <c r="K1891">
        <v>0</v>
      </c>
      <c r="L1891" s="1">
        <f t="shared" si="116"/>
        <v>11.2</v>
      </c>
      <c r="M1891" s="1" t="str">
        <f t="shared" si="117"/>
        <v/>
      </c>
      <c r="N1891" s="2">
        <f t="shared" si="118"/>
        <v>45778</v>
      </c>
      <c r="O1891" t="str">
        <f t="shared" si="119"/>
        <v>pes</v>
      </c>
    </row>
    <row r="1892" spans="1:15" x14ac:dyDescent="0.25">
      <c r="A1892">
        <v>9400</v>
      </c>
      <c r="B1892" s="11">
        <v>4013456789017</v>
      </c>
      <c r="C1892" s="1" t="s">
        <v>11</v>
      </c>
      <c r="D1892" s="1" t="s">
        <v>12</v>
      </c>
      <c r="E1892" s="1" t="s">
        <v>13</v>
      </c>
      <c r="F1892">
        <v>6</v>
      </c>
      <c r="G1892">
        <v>1</v>
      </c>
      <c r="H1892" s="1" t="s">
        <v>14</v>
      </c>
      <c r="I1892" s="1" t="s">
        <v>15</v>
      </c>
      <c r="J1892" s="12">
        <v>45794</v>
      </c>
      <c r="K1892">
        <v>0</v>
      </c>
      <c r="L1892" s="1">
        <f t="shared" si="116"/>
        <v>6</v>
      </c>
      <c r="M1892" s="1" t="str">
        <f t="shared" si="117"/>
        <v/>
      </c>
      <c r="N1892" s="2">
        <f t="shared" si="118"/>
        <v>45778</v>
      </c>
      <c r="O1892" t="str">
        <f t="shared" si="119"/>
        <v>pes</v>
      </c>
    </row>
    <row r="1893" spans="1:15" x14ac:dyDescent="0.25">
      <c r="A1893">
        <v>9401</v>
      </c>
      <c r="B1893" s="11">
        <v>4040123456795</v>
      </c>
      <c r="C1893" s="1" t="s">
        <v>20</v>
      </c>
      <c r="D1893" s="1" t="s">
        <v>21</v>
      </c>
      <c r="E1893" s="1" t="s">
        <v>22</v>
      </c>
      <c r="F1893">
        <v>8.8000000000000007</v>
      </c>
      <c r="G1893">
        <v>1</v>
      </c>
      <c r="H1893" s="1" t="s">
        <v>18</v>
      </c>
      <c r="I1893" s="1" t="s">
        <v>287</v>
      </c>
      <c r="J1893" s="12">
        <v>45794</v>
      </c>
      <c r="K1893">
        <v>0</v>
      </c>
      <c r="L1893" s="1">
        <f t="shared" si="116"/>
        <v>8.8000000000000007</v>
      </c>
      <c r="M1893" s="1">
        <f t="shared" si="117"/>
        <v>4</v>
      </c>
      <c r="N1893" s="2">
        <f t="shared" si="118"/>
        <v>45778</v>
      </c>
      <c r="O1893" t="str">
        <f t="shared" si="119"/>
        <v>pes</v>
      </c>
    </row>
    <row r="1894" spans="1:15" hidden="1" x14ac:dyDescent="0.25">
      <c r="A1894">
        <v>9402</v>
      </c>
      <c r="B1894" s="11">
        <v>4010123456783</v>
      </c>
      <c r="C1894" s="1" t="s">
        <v>35</v>
      </c>
      <c r="D1894" s="1" t="s">
        <v>36</v>
      </c>
      <c r="E1894" s="1" t="s">
        <v>37</v>
      </c>
      <c r="F1894">
        <v>14</v>
      </c>
      <c r="G1894">
        <v>1</v>
      </c>
      <c r="H1894" s="1" t="s">
        <v>14</v>
      </c>
      <c r="I1894" s="1" t="s">
        <v>15</v>
      </c>
      <c r="J1894" s="12">
        <v>45795</v>
      </c>
      <c r="K1894">
        <v>0</v>
      </c>
      <c r="L1894" s="1">
        <f t="shared" si="116"/>
        <v>14</v>
      </c>
      <c r="M1894" s="1" t="str">
        <f t="shared" si="117"/>
        <v/>
      </c>
      <c r="N1894" s="2">
        <f t="shared" si="118"/>
        <v>45778</v>
      </c>
      <c r="O1894" t="str">
        <f t="shared" si="119"/>
        <v>mačka</v>
      </c>
    </row>
    <row r="1895" spans="1:15" x14ac:dyDescent="0.25">
      <c r="A1895">
        <v>9403</v>
      </c>
      <c r="B1895" s="11">
        <v>4063456789014</v>
      </c>
      <c r="C1895" s="1" t="s">
        <v>60</v>
      </c>
      <c r="D1895" s="1" t="s">
        <v>12</v>
      </c>
      <c r="E1895" s="1" t="s">
        <v>61</v>
      </c>
      <c r="F1895">
        <v>36</v>
      </c>
      <c r="G1895">
        <v>1</v>
      </c>
      <c r="H1895" s="1" t="s">
        <v>14</v>
      </c>
      <c r="I1895" s="1" t="s">
        <v>15</v>
      </c>
      <c r="J1895" s="12">
        <v>45795</v>
      </c>
      <c r="K1895">
        <v>0</v>
      </c>
      <c r="L1895" s="1">
        <f t="shared" si="116"/>
        <v>36</v>
      </c>
      <c r="M1895" s="1" t="str">
        <f t="shared" si="117"/>
        <v/>
      </c>
      <c r="N1895" s="2">
        <f t="shared" si="118"/>
        <v>45778</v>
      </c>
      <c r="O1895" t="str">
        <f t="shared" si="119"/>
        <v>pes</v>
      </c>
    </row>
    <row r="1896" spans="1:15" hidden="1" x14ac:dyDescent="0.25">
      <c r="A1896">
        <v>9404</v>
      </c>
      <c r="B1896" s="11">
        <v>4021234567894</v>
      </c>
      <c r="C1896" s="1" t="s">
        <v>79</v>
      </c>
      <c r="D1896" s="1" t="s">
        <v>36</v>
      </c>
      <c r="E1896" s="1" t="s">
        <v>69</v>
      </c>
      <c r="F1896">
        <v>8</v>
      </c>
      <c r="G1896">
        <v>1</v>
      </c>
      <c r="H1896" s="1" t="s">
        <v>14</v>
      </c>
      <c r="I1896" s="1" t="s">
        <v>15</v>
      </c>
      <c r="J1896" s="12">
        <v>45795</v>
      </c>
      <c r="K1896">
        <v>0</v>
      </c>
      <c r="L1896" s="1">
        <f t="shared" si="116"/>
        <v>8</v>
      </c>
      <c r="M1896" s="1" t="str">
        <f t="shared" si="117"/>
        <v/>
      </c>
      <c r="N1896" s="2">
        <f t="shared" si="118"/>
        <v>45778</v>
      </c>
      <c r="O1896" t="str">
        <f t="shared" si="119"/>
        <v>mačka</v>
      </c>
    </row>
    <row r="1897" spans="1:15" hidden="1" x14ac:dyDescent="0.25">
      <c r="A1897">
        <v>9405</v>
      </c>
      <c r="B1897" s="11">
        <v>4056789012345</v>
      </c>
      <c r="C1897" s="1" t="s">
        <v>47</v>
      </c>
      <c r="D1897" s="1" t="s">
        <v>29</v>
      </c>
      <c r="E1897" s="1" t="s">
        <v>37</v>
      </c>
      <c r="F1897">
        <v>2.4</v>
      </c>
      <c r="G1897">
        <v>3</v>
      </c>
      <c r="H1897" s="1" t="s">
        <v>14</v>
      </c>
      <c r="I1897" s="1" t="s">
        <v>15</v>
      </c>
      <c r="J1897" s="12">
        <v>45795</v>
      </c>
      <c r="K1897">
        <v>0</v>
      </c>
      <c r="L1897" s="1">
        <f t="shared" si="116"/>
        <v>7.1999999999999993</v>
      </c>
      <c r="M1897" s="1" t="str">
        <f t="shared" si="117"/>
        <v/>
      </c>
      <c r="N1897" s="2">
        <f t="shared" si="118"/>
        <v>45778</v>
      </c>
      <c r="O1897" t="str">
        <f t="shared" si="119"/>
        <v>mačka</v>
      </c>
    </row>
    <row r="1898" spans="1:15" x14ac:dyDescent="0.25">
      <c r="A1898">
        <v>9406</v>
      </c>
      <c r="B1898" s="11">
        <v>4061011223346</v>
      </c>
      <c r="C1898" s="1" t="s">
        <v>25</v>
      </c>
      <c r="D1898" s="1" t="s">
        <v>26</v>
      </c>
      <c r="E1898" s="1" t="s">
        <v>27</v>
      </c>
      <c r="F1898">
        <v>19.600000000000001</v>
      </c>
      <c r="G1898">
        <v>1</v>
      </c>
      <c r="H1898" s="1" t="s">
        <v>14</v>
      </c>
      <c r="I1898" s="1" t="s">
        <v>15</v>
      </c>
      <c r="J1898" s="12">
        <v>45795</v>
      </c>
      <c r="K1898">
        <v>0</v>
      </c>
      <c r="L1898" s="1">
        <f t="shared" si="116"/>
        <v>19.600000000000001</v>
      </c>
      <c r="M1898" s="1" t="str">
        <f t="shared" si="117"/>
        <v/>
      </c>
      <c r="N1898" s="2">
        <f t="shared" si="118"/>
        <v>45778</v>
      </c>
      <c r="O1898" t="str">
        <f t="shared" si="119"/>
        <v>pes</v>
      </c>
    </row>
    <row r="1899" spans="1:15" hidden="1" x14ac:dyDescent="0.25">
      <c r="A1899">
        <v>9407</v>
      </c>
      <c r="B1899" s="11">
        <v>4026677889902</v>
      </c>
      <c r="C1899" s="1" t="s">
        <v>52</v>
      </c>
      <c r="D1899" s="1" t="s">
        <v>53</v>
      </c>
      <c r="E1899" s="1" t="s">
        <v>54</v>
      </c>
      <c r="F1899">
        <v>7.6</v>
      </c>
      <c r="G1899">
        <v>1</v>
      </c>
      <c r="H1899" s="1" t="s">
        <v>14</v>
      </c>
      <c r="I1899" s="1" t="s">
        <v>15</v>
      </c>
      <c r="J1899" s="12">
        <v>45795</v>
      </c>
      <c r="K1899">
        <v>0</v>
      </c>
      <c r="L1899" s="1">
        <f t="shared" si="116"/>
        <v>7.6</v>
      </c>
      <c r="M1899" s="1" t="str">
        <f t="shared" si="117"/>
        <v/>
      </c>
      <c r="N1899" s="2">
        <f t="shared" si="118"/>
        <v>45778</v>
      </c>
      <c r="O1899" t="str">
        <f t="shared" si="119"/>
        <v>iné</v>
      </c>
    </row>
    <row r="1900" spans="1:15" x14ac:dyDescent="0.25">
      <c r="A1900">
        <v>9408</v>
      </c>
      <c r="B1900" s="11">
        <v>4028899001126</v>
      </c>
      <c r="C1900" s="1" t="s">
        <v>16</v>
      </c>
      <c r="D1900" s="1" t="s">
        <v>12</v>
      </c>
      <c r="E1900" s="1" t="s">
        <v>17</v>
      </c>
      <c r="F1900">
        <v>2.8</v>
      </c>
      <c r="G1900">
        <v>3</v>
      </c>
      <c r="H1900" s="1" t="s">
        <v>14</v>
      </c>
      <c r="I1900" s="1" t="s">
        <v>15</v>
      </c>
      <c r="J1900" s="12">
        <v>45795</v>
      </c>
      <c r="K1900">
        <v>0</v>
      </c>
      <c r="L1900" s="1">
        <f t="shared" si="116"/>
        <v>8.3999999999999986</v>
      </c>
      <c r="M1900" s="1" t="str">
        <f t="shared" si="117"/>
        <v/>
      </c>
      <c r="N1900" s="2">
        <f t="shared" si="118"/>
        <v>45778</v>
      </c>
      <c r="O1900" t="str">
        <f t="shared" si="119"/>
        <v>pes</v>
      </c>
    </row>
    <row r="1901" spans="1:15" x14ac:dyDescent="0.25">
      <c r="A1901">
        <v>9409</v>
      </c>
      <c r="B1901" s="11">
        <v>4013456789017</v>
      </c>
      <c r="C1901" s="1" t="s">
        <v>11</v>
      </c>
      <c r="D1901" s="1" t="s">
        <v>12</v>
      </c>
      <c r="E1901" s="1" t="s">
        <v>13</v>
      </c>
      <c r="F1901">
        <v>6</v>
      </c>
      <c r="G1901">
        <v>1</v>
      </c>
      <c r="H1901" s="1" t="s">
        <v>14</v>
      </c>
      <c r="I1901" s="1" t="s">
        <v>15</v>
      </c>
      <c r="J1901" s="12">
        <v>45795</v>
      </c>
      <c r="K1901">
        <v>0</v>
      </c>
      <c r="L1901" s="1">
        <f t="shared" si="116"/>
        <v>6</v>
      </c>
      <c r="M1901" s="1" t="str">
        <f t="shared" si="117"/>
        <v/>
      </c>
      <c r="N1901" s="2">
        <f t="shared" si="118"/>
        <v>45778</v>
      </c>
      <c r="O1901" t="str">
        <f t="shared" si="119"/>
        <v>pes</v>
      </c>
    </row>
    <row r="1902" spans="1:15" x14ac:dyDescent="0.25">
      <c r="A1902">
        <v>9410</v>
      </c>
      <c r="B1902" s="11">
        <v>4040123456795</v>
      </c>
      <c r="C1902" s="1" t="s">
        <v>20</v>
      </c>
      <c r="D1902" s="1" t="s">
        <v>21</v>
      </c>
      <c r="E1902" s="1" t="s">
        <v>22</v>
      </c>
      <c r="F1902">
        <v>8.8000000000000007</v>
      </c>
      <c r="G1902">
        <v>1</v>
      </c>
      <c r="H1902" s="1" t="s">
        <v>14</v>
      </c>
      <c r="I1902" s="1" t="s">
        <v>15</v>
      </c>
      <c r="J1902" s="12">
        <v>45795</v>
      </c>
      <c r="K1902">
        <v>0</v>
      </c>
      <c r="L1902" s="1">
        <f t="shared" si="116"/>
        <v>8.8000000000000007</v>
      </c>
      <c r="M1902" s="1" t="str">
        <f t="shared" si="117"/>
        <v/>
      </c>
      <c r="N1902" s="2">
        <f t="shared" si="118"/>
        <v>45778</v>
      </c>
      <c r="O1902" t="str">
        <f t="shared" si="119"/>
        <v>pes</v>
      </c>
    </row>
    <row r="1903" spans="1:15" hidden="1" x14ac:dyDescent="0.25">
      <c r="A1903">
        <v>9411</v>
      </c>
      <c r="B1903" s="11">
        <v>4010123456783</v>
      </c>
      <c r="C1903" s="1" t="s">
        <v>35</v>
      </c>
      <c r="D1903" s="1" t="s">
        <v>36</v>
      </c>
      <c r="E1903" s="1" t="s">
        <v>37</v>
      </c>
      <c r="F1903">
        <v>14</v>
      </c>
      <c r="G1903">
        <v>2</v>
      </c>
      <c r="H1903" s="1" t="s">
        <v>14</v>
      </c>
      <c r="I1903" s="1" t="s">
        <v>15</v>
      </c>
      <c r="J1903" s="12">
        <v>45795</v>
      </c>
      <c r="K1903">
        <v>0</v>
      </c>
      <c r="L1903" s="1">
        <f t="shared" si="116"/>
        <v>28</v>
      </c>
      <c r="M1903" s="1" t="str">
        <f t="shared" si="117"/>
        <v/>
      </c>
      <c r="N1903" s="2">
        <f t="shared" si="118"/>
        <v>45778</v>
      </c>
      <c r="O1903" t="str">
        <f t="shared" si="119"/>
        <v>mačka</v>
      </c>
    </row>
    <row r="1904" spans="1:15" x14ac:dyDescent="0.25">
      <c r="A1904">
        <v>9412</v>
      </c>
      <c r="B1904" s="11">
        <v>4063456789014</v>
      </c>
      <c r="C1904" s="1" t="s">
        <v>60</v>
      </c>
      <c r="D1904" s="1" t="s">
        <v>12</v>
      </c>
      <c r="E1904" s="1" t="s">
        <v>61</v>
      </c>
      <c r="F1904">
        <v>36</v>
      </c>
      <c r="G1904">
        <v>1</v>
      </c>
      <c r="H1904" s="1" t="s">
        <v>14</v>
      </c>
      <c r="I1904" s="1" t="s">
        <v>15</v>
      </c>
      <c r="J1904" s="12">
        <v>45795</v>
      </c>
      <c r="K1904">
        <v>0</v>
      </c>
      <c r="L1904" s="1">
        <f t="shared" si="116"/>
        <v>36</v>
      </c>
      <c r="M1904" s="1" t="str">
        <f t="shared" si="117"/>
        <v/>
      </c>
      <c r="N1904" s="2">
        <f t="shared" si="118"/>
        <v>45778</v>
      </c>
      <c r="O1904" t="str">
        <f t="shared" si="119"/>
        <v>pes</v>
      </c>
    </row>
    <row r="1905" spans="1:15" hidden="1" x14ac:dyDescent="0.25">
      <c r="A1905">
        <v>9413</v>
      </c>
      <c r="B1905" s="11">
        <v>4021234567894</v>
      </c>
      <c r="C1905" s="1" t="s">
        <v>79</v>
      </c>
      <c r="D1905" s="1" t="s">
        <v>36</v>
      </c>
      <c r="E1905" s="1" t="s">
        <v>69</v>
      </c>
      <c r="F1905">
        <v>8</v>
      </c>
      <c r="G1905">
        <v>1</v>
      </c>
      <c r="H1905" s="1" t="s">
        <v>14</v>
      </c>
      <c r="I1905" s="1" t="s">
        <v>15</v>
      </c>
      <c r="J1905" s="12">
        <v>45795</v>
      </c>
      <c r="K1905">
        <v>0</v>
      </c>
      <c r="L1905" s="1">
        <f t="shared" si="116"/>
        <v>8</v>
      </c>
      <c r="M1905" s="1" t="str">
        <f t="shared" si="117"/>
        <v/>
      </c>
      <c r="N1905" s="2">
        <f t="shared" si="118"/>
        <v>45778</v>
      </c>
      <c r="O1905" t="str">
        <f t="shared" si="119"/>
        <v>mačka</v>
      </c>
    </row>
    <row r="1906" spans="1:15" hidden="1" x14ac:dyDescent="0.25">
      <c r="A1906">
        <v>9414</v>
      </c>
      <c r="B1906" s="11">
        <v>4056789012345</v>
      </c>
      <c r="C1906" s="1" t="s">
        <v>47</v>
      </c>
      <c r="D1906" s="1" t="s">
        <v>29</v>
      </c>
      <c r="E1906" s="1" t="s">
        <v>37</v>
      </c>
      <c r="F1906">
        <v>2.4</v>
      </c>
      <c r="G1906">
        <v>2</v>
      </c>
      <c r="H1906" s="1" t="s">
        <v>14</v>
      </c>
      <c r="I1906" s="1" t="s">
        <v>15</v>
      </c>
      <c r="J1906" s="12">
        <v>45795</v>
      </c>
      <c r="K1906">
        <v>0</v>
      </c>
      <c r="L1906" s="1">
        <f t="shared" si="116"/>
        <v>4.8</v>
      </c>
      <c r="M1906" s="1" t="str">
        <f t="shared" si="117"/>
        <v/>
      </c>
      <c r="N1906" s="2">
        <f t="shared" si="118"/>
        <v>45778</v>
      </c>
      <c r="O1906" t="str">
        <f t="shared" si="119"/>
        <v>mačka</v>
      </c>
    </row>
    <row r="1907" spans="1:15" x14ac:dyDescent="0.25">
      <c r="A1907">
        <v>9415</v>
      </c>
      <c r="B1907" s="11">
        <v>4061011223346</v>
      </c>
      <c r="C1907" s="1" t="s">
        <v>25</v>
      </c>
      <c r="D1907" s="1" t="s">
        <v>26</v>
      </c>
      <c r="E1907" s="1" t="s">
        <v>27</v>
      </c>
      <c r="F1907">
        <v>19.600000000000001</v>
      </c>
      <c r="G1907">
        <v>1</v>
      </c>
      <c r="H1907" s="1" t="s">
        <v>14</v>
      </c>
      <c r="I1907" s="1" t="s">
        <v>15</v>
      </c>
      <c r="J1907" s="12">
        <v>45796</v>
      </c>
      <c r="K1907">
        <v>0</v>
      </c>
      <c r="L1907" s="1">
        <f t="shared" si="116"/>
        <v>19.600000000000001</v>
      </c>
      <c r="M1907" s="1" t="str">
        <f t="shared" si="117"/>
        <v/>
      </c>
      <c r="N1907" s="2">
        <f t="shared" si="118"/>
        <v>45778</v>
      </c>
      <c r="O1907" t="str">
        <f t="shared" si="119"/>
        <v>pes</v>
      </c>
    </row>
    <row r="1908" spans="1:15" hidden="1" x14ac:dyDescent="0.25">
      <c r="A1908">
        <v>9416</v>
      </c>
      <c r="B1908" s="11">
        <v>4026677889902</v>
      </c>
      <c r="C1908" s="1" t="s">
        <v>52</v>
      </c>
      <c r="D1908" s="1" t="s">
        <v>53</v>
      </c>
      <c r="E1908" s="1" t="s">
        <v>54</v>
      </c>
      <c r="F1908">
        <v>7.6</v>
      </c>
      <c r="G1908">
        <v>1</v>
      </c>
      <c r="H1908" s="1" t="s">
        <v>14</v>
      </c>
      <c r="I1908" s="1" t="s">
        <v>15</v>
      </c>
      <c r="J1908" s="12">
        <v>45796</v>
      </c>
      <c r="K1908">
        <v>0</v>
      </c>
      <c r="L1908" s="1">
        <f t="shared" si="116"/>
        <v>7.6</v>
      </c>
      <c r="M1908" s="1" t="str">
        <f t="shared" si="117"/>
        <v/>
      </c>
      <c r="N1908" s="2">
        <f t="shared" si="118"/>
        <v>45778</v>
      </c>
      <c r="O1908" t="str">
        <f t="shared" si="119"/>
        <v>iné</v>
      </c>
    </row>
    <row r="1909" spans="1:15" x14ac:dyDescent="0.25">
      <c r="A1909">
        <v>9417</v>
      </c>
      <c r="B1909" s="11">
        <v>4028899001126</v>
      </c>
      <c r="C1909" s="1" t="s">
        <v>16</v>
      </c>
      <c r="D1909" s="1" t="s">
        <v>12</v>
      </c>
      <c r="E1909" s="1" t="s">
        <v>17</v>
      </c>
      <c r="F1909">
        <v>2.8</v>
      </c>
      <c r="G1909">
        <v>4</v>
      </c>
      <c r="H1909" s="1" t="s">
        <v>33</v>
      </c>
      <c r="I1909" s="1" t="s">
        <v>288</v>
      </c>
      <c r="J1909" s="12">
        <v>45796</v>
      </c>
      <c r="K1909">
        <v>0</v>
      </c>
      <c r="L1909" s="1">
        <f t="shared" si="116"/>
        <v>11.2</v>
      </c>
      <c r="M1909" s="1">
        <f t="shared" si="117"/>
        <v>3</v>
      </c>
      <c r="N1909" s="2">
        <f t="shared" si="118"/>
        <v>45778</v>
      </c>
      <c r="O1909" t="str">
        <f t="shared" si="119"/>
        <v>pes</v>
      </c>
    </row>
    <row r="1910" spans="1:15" x14ac:dyDescent="0.25">
      <c r="A1910">
        <v>9418</v>
      </c>
      <c r="B1910" s="11">
        <v>4013456789017</v>
      </c>
      <c r="C1910" s="1" t="s">
        <v>11</v>
      </c>
      <c r="D1910" s="1" t="s">
        <v>12</v>
      </c>
      <c r="E1910" s="1" t="s">
        <v>13</v>
      </c>
      <c r="F1910">
        <v>6</v>
      </c>
      <c r="G1910">
        <v>1</v>
      </c>
      <c r="H1910" s="1" t="s">
        <v>14</v>
      </c>
      <c r="I1910" s="1" t="s">
        <v>15</v>
      </c>
      <c r="J1910" s="12">
        <v>45796</v>
      </c>
      <c r="K1910">
        <v>0</v>
      </c>
      <c r="L1910" s="1">
        <f t="shared" si="116"/>
        <v>6</v>
      </c>
      <c r="M1910" s="1" t="str">
        <f t="shared" si="117"/>
        <v/>
      </c>
      <c r="N1910" s="2">
        <f t="shared" si="118"/>
        <v>45778</v>
      </c>
      <c r="O1910" t="str">
        <f t="shared" si="119"/>
        <v>pes</v>
      </c>
    </row>
    <row r="1911" spans="1:15" x14ac:dyDescent="0.25">
      <c r="A1911">
        <v>9419</v>
      </c>
      <c r="B1911" s="11">
        <v>4040123456795</v>
      </c>
      <c r="C1911" s="1" t="s">
        <v>20</v>
      </c>
      <c r="D1911" s="1" t="s">
        <v>21</v>
      </c>
      <c r="E1911" s="1" t="s">
        <v>22</v>
      </c>
      <c r="F1911">
        <v>8.8000000000000007</v>
      </c>
      <c r="G1911">
        <v>1</v>
      </c>
      <c r="H1911" s="1" t="s">
        <v>14</v>
      </c>
      <c r="I1911" s="1" t="s">
        <v>15</v>
      </c>
      <c r="J1911" s="12">
        <v>45796</v>
      </c>
      <c r="K1911">
        <v>0</v>
      </c>
      <c r="L1911" s="1">
        <f t="shared" si="116"/>
        <v>8.8000000000000007</v>
      </c>
      <c r="M1911" s="1" t="str">
        <f t="shared" si="117"/>
        <v/>
      </c>
      <c r="N1911" s="2">
        <f t="shared" si="118"/>
        <v>45778</v>
      </c>
      <c r="O1911" t="str">
        <f t="shared" si="119"/>
        <v>pes</v>
      </c>
    </row>
    <row r="1912" spans="1:15" hidden="1" x14ac:dyDescent="0.25">
      <c r="A1912">
        <v>9420</v>
      </c>
      <c r="B1912" s="11">
        <v>4010123456783</v>
      </c>
      <c r="C1912" s="1" t="s">
        <v>35</v>
      </c>
      <c r="D1912" s="1" t="s">
        <v>36</v>
      </c>
      <c r="E1912" s="1" t="s">
        <v>37</v>
      </c>
      <c r="F1912">
        <v>14</v>
      </c>
      <c r="G1912">
        <v>2</v>
      </c>
      <c r="H1912" s="1" t="s">
        <v>14</v>
      </c>
      <c r="I1912" s="1" t="s">
        <v>15</v>
      </c>
      <c r="J1912" s="12">
        <v>45796</v>
      </c>
      <c r="K1912">
        <v>0</v>
      </c>
      <c r="L1912" s="1">
        <f t="shared" si="116"/>
        <v>28</v>
      </c>
      <c r="M1912" s="1" t="str">
        <f t="shared" si="117"/>
        <v/>
      </c>
      <c r="N1912" s="2">
        <f t="shared" si="118"/>
        <v>45778</v>
      </c>
      <c r="O1912" t="str">
        <f t="shared" si="119"/>
        <v>mačka</v>
      </c>
    </row>
    <row r="1913" spans="1:15" x14ac:dyDescent="0.25">
      <c r="A1913">
        <v>9421</v>
      </c>
      <c r="B1913" s="11">
        <v>4063456789014</v>
      </c>
      <c r="C1913" s="1" t="s">
        <v>60</v>
      </c>
      <c r="D1913" s="1" t="s">
        <v>12</v>
      </c>
      <c r="E1913" s="1" t="s">
        <v>61</v>
      </c>
      <c r="F1913">
        <v>36</v>
      </c>
      <c r="G1913">
        <v>1</v>
      </c>
      <c r="H1913" s="1" t="s">
        <v>14</v>
      </c>
      <c r="I1913" s="1" t="s">
        <v>15</v>
      </c>
      <c r="J1913" s="12">
        <v>45796</v>
      </c>
      <c r="K1913">
        <v>0</v>
      </c>
      <c r="L1913" s="1">
        <f t="shared" si="116"/>
        <v>36</v>
      </c>
      <c r="M1913" s="1" t="str">
        <f t="shared" si="117"/>
        <v/>
      </c>
      <c r="N1913" s="2">
        <f t="shared" si="118"/>
        <v>45778</v>
      </c>
      <c r="O1913" t="str">
        <f t="shared" si="119"/>
        <v>pes</v>
      </c>
    </row>
    <row r="1914" spans="1:15" hidden="1" x14ac:dyDescent="0.25">
      <c r="A1914">
        <v>9422</v>
      </c>
      <c r="B1914" s="11">
        <v>4021234567894</v>
      </c>
      <c r="C1914" s="1" t="s">
        <v>79</v>
      </c>
      <c r="D1914" s="1" t="s">
        <v>36</v>
      </c>
      <c r="E1914" s="1" t="s">
        <v>69</v>
      </c>
      <c r="F1914">
        <v>8</v>
      </c>
      <c r="G1914">
        <v>1</v>
      </c>
      <c r="H1914" s="1" t="s">
        <v>14</v>
      </c>
      <c r="I1914" s="1" t="s">
        <v>15</v>
      </c>
      <c r="J1914" s="12">
        <v>45796</v>
      </c>
      <c r="K1914">
        <v>0</v>
      </c>
      <c r="L1914" s="1">
        <f t="shared" si="116"/>
        <v>8</v>
      </c>
      <c r="M1914" s="1" t="str">
        <f t="shared" si="117"/>
        <v/>
      </c>
      <c r="N1914" s="2">
        <f t="shared" si="118"/>
        <v>45778</v>
      </c>
      <c r="O1914" t="str">
        <f t="shared" si="119"/>
        <v>mačka</v>
      </c>
    </row>
    <row r="1915" spans="1:15" hidden="1" x14ac:dyDescent="0.25">
      <c r="A1915">
        <v>9423</v>
      </c>
      <c r="B1915" s="11">
        <v>4056789012345</v>
      </c>
      <c r="C1915" s="1" t="s">
        <v>47</v>
      </c>
      <c r="D1915" s="1" t="s">
        <v>29</v>
      </c>
      <c r="E1915" s="1" t="s">
        <v>37</v>
      </c>
      <c r="F1915">
        <v>2.4</v>
      </c>
      <c r="G1915">
        <v>2</v>
      </c>
      <c r="H1915" s="1" t="s">
        <v>14</v>
      </c>
      <c r="I1915" s="1" t="s">
        <v>15</v>
      </c>
      <c r="J1915" s="12">
        <v>45796</v>
      </c>
      <c r="K1915">
        <v>0</v>
      </c>
      <c r="L1915" s="1">
        <f t="shared" si="116"/>
        <v>4.8</v>
      </c>
      <c r="M1915" s="1" t="str">
        <f t="shared" si="117"/>
        <v/>
      </c>
      <c r="N1915" s="2">
        <f t="shared" si="118"/>
        <v>45778</v>
      </c>
      <c r="O1915" t="str">
        <f t="shared" si="119"/>
        <v>mačka</v>
      </c>
    </row>
    <row r="1916" spans="1:15" x14ac:dyDescent="0.25">
      <c r="A1916">
        <v>9424</v>
      </c>
      <c r="B1916" s="11">
        <v>4061011223346</v>
      </c>
      <c r="C1916" s="1" t="s">
        <v>25</v>
      </c>
      <c r="D1916" s="1" t="s">
        <v>26</v>
      </c>
      <c r="E1916" s="1" t="s">
        <v>27</v>
      </c>
      <c r="F1916">
        <v>19.600000000000001</v>
      </c>
      <c r="G1916">
        <v>1</v>
      </c>
      <c r="H1916" s="1" t="s">
        <v>14</v>
      </c>
      <c r="I1916" s="1" t="s">
        <v>15</v>
      </c>
      <c r="J1916" s="12">
        <v>45796</v>
      </c>
      <c r="K1916">
        <v>0</v>
      </c>
      <c r="L1916" s="1">
        <f t="shared" si="116"/>
        <v>19.600000000000001</v>
      </c>
      <c r="M1916" s="1" t="str">
        <f t="shared" si="117"/>
        <v/>
      </c>
      <c r="N1916" s="2">
        <f t="shared" si="118"/>
        <v>45778</v>
      </c>
      <c r="O1916" t="str">
        <f t="shared" si="119"/>
        <v>pes</v>
      </c>
    </row>
    <row r="1917" spans="1:15" hidden="1" x14ac:dyDescent="0.25">
      <c r="A1917">
        <v>9425</v>
      </c>
      <c r="B1917" s="11">
        <v>4026677889902</v>
      </c>
      <c r="C1917" s="1" t="s">
        <v>52</v>
      </c>
      <c r="D1917" s="1" t="s">
        <v>53</v>
      </c>
      <c r="E1917" s="1" t="s">
        <v>54</v>
      </c>
      <c r="F1917">
        <v>7.6</v>
      </c>
      <c r="G1917">
        <v>1</v>
      </c>
      <c r="H1917" s="1" t="s">
        <v>14</v>
      </c>
      <c r="I1917" s="1" t="s">
        <v>15</v>
      </c>
      <c r="J1917" s="12">
        <v>45796</v>
      </c>
      <c r="K1917">
        <v>0</v>
      </c>
      <c r="L1917" s="1">
        <f t="shared" si="116"/>
        <v>7.6</v>
      </c>
      <c r="M1917" s="1" t="str">
        <f t="shared" si="117"/>
        <v/>
      </c>
      <c r="N1917" s="2">
        <f t="shared" si="118"/>
        <v>45778</v>
      </c>
      <c r="O1917" t="str">
        <f t="shared" si="119"/>
        <v>iné</v>
      </c>
    </row>
    <row r="1918" spans="1:15" x14ac:dyDescent="0.25">
      <c r="A1918">
        <v>9426</v>
      </c>
      <c r="B1918" s="11">
        <v>4028899001126</v>
      </c>
      <c r="C1918" s="1" t="s">
        <v>16</v>
      </c>
      <c r="D1918" s="1" t="s">
        <v>12</v>
      </c>
      <c r="E1918" s="1" t="s">
        <v>17</v>
      </c>
      <c r="F1918">
        <v>2.8</v>
      </c>
      <c r="G1918">
        <v>3</v>
      </c>
      <c r="H1918" s="1" t="s">
        <v>14</v>
      </c>
      <c r="I1918" s="1" t="s">
        <v>15</v>
      </c>
      <c r="J1918" s="12">
        <v>45797</v>
      </c>
      <c r="K1918">
        <v>0</v>
      </c>
      <c r="L1918" s="1">
        <f t="shared" si="116"/>
        <v>8.3999999999999986</v>
      </c>
      <c r="M1918" s="1" t="str">
        <f t="shared" si="117"/>
        <v/>
      </c>
      <c r="N1918" s="2">
        <f t="shared" si="118"/>
        <v>45778</v>
      </c>
      <c r="O1918" t="str">
        <f t="shared" si="119"/>
        <v>pes</v>
      </c>
    </row>
    <row r="1919" spans="1:15" x14ac:dyDescent="0.25">
      <c r="A1919">
        <v>9427</v>
      </c>
      <c r="B1919" s="11">
        <v>4013456789017</v>
      </c>
      <c r="C1919" s="1" t="s">
        <v>11</v>
      </c>
      <c r="D1919" s="1" t="s">
        <v>12</v>
      </c>
      <c r="E1919" s="1" t="s">
        <v>13</v>
      </c>
      <c r="F1919">
        <v>6</v>
      </c>
      <c r="G1919">
        <v>1</v>
      </c>
      <c r="H1919" s="1" t="s">
        <v>14</v>
      </c>
      <c r="I1919" s="1" t="s">
        <v>15</v>
      </c>
      <c r="J1919" s="12">
        <v>45797</v>
      </c>
      <c r="K1919">
        <v>0</v>
      </c>
      <c r="L1919" s="1">
        <f t="shared" si="116"/>
        <v>6</v>
      </c>
      <c r="M1919" s="1" t="str">
        <f t="shared" si="117"/>
        <v/>
      </c>
      <c r="N1919" s="2">
        <f t="shared" si="118"/>
        <v>45778</v>
      </c>
      <c r="O1919" t="str">
        <f t="shared" si="119"/>
        <v>pes</v>
      </c>
    </row>
    <row r="1920" spans="1:15" x14ac:dyDescent="0.25">
      <c r="A1920">
        <v>9428</v>
      </c>
      <c r="B1920" s="11">
        <v>4040123456795</v>
      </c>
      <c r="C1920" s="1" t="s">
        <v>20</v>
      </c>
      <c r="D1920" s="1" t="s">
        <v>21</v>
      </c>
      <c r="E1920" s="1" t="s">
        <v>22</v>
      </c>
      <c r="F1920">
        <v>8.8000000000000007</v>
      </c>
      <c r="G1920">
        <v>1</v>
      </c>
      <c r="H1920" s="1" t="s">
        <v>14</v>
      </c>
      <c r="I1920" s="1" t="s">
        <v>15</v>
      </c>
      <c r="J1920" s="12">
        <v>45797</v>
      </c>
      <c r="K1920">
        <v>0</v>
      </c>
      <c r="L1920" s="1">
        <f t="shared" si="116"/>
        <v>8.8000000000000007</v>
      </c>
      <c r="M1920" s="1" t="str">
        <f t="shared" si="117"/>
        <v/>
      </c>
      <c r="N1920" s="2">
        <f t="shared" si="118"/>
        <v>45778</v>
      </c>
      <c r="O1920" t="str">
        <f t="shared" si="119"/>
        <v>pes</v>
      </c>
    </row>
    <row r="1921" spans="1:15" hidden="1" x14ac:dyDescent="0.25">
      <c r="A1921">
        <v>9429</v>
      </c>
      <c r="B1921" s="11">
        <v>4010123456783</v>
      </c>
      <c r="C1921" s="1" t="s">
        <v>35</v>
      </c>
      <c r="D1921" s="1" t="s">
        <v>36</v>
      </c>
      <c r="E1921" s="1" t="s">
        <v>37</v>
      </c>
      <c r="F1921">
        <v>14</v>
      </c>
      <c r="G1921">
        <v>1</v>
      </c>
      <c r="H1921" s="1" t="s">
        <v>14</v>
      </c>
      <c r="I1921" s="1" t="s">
        <v>15</v>
      </c>
      <c r="J1921" s="12">
        <v>45797</v>
      </c>
      <c r="K1921">
        <v>0</v>
      </c>
      <c r="L1921" s="1">
        <f t="shared" si="116"/>
        <v>14</v>
      </c>
      <c r="M1921" s="1" t="str">
        <f t="shared" si="117"/>
        <v/>
      </c>
      <c r="N1921" s="2">
        <f t="shared" si="118"/>
        <v>45778</v>
      </c>
      <c r="O1921" t="str">
        <f t="shared" si="119"/>
        <v>mačka</v>
      </c>
    </row>
    <row r="1922" spans="1:15" x14ac:dyDescent="0.25">
      <c r="A1922">
        <v>9430</v>
      </c>
      <c r="B1922" s="11">
        <v>4063456789014</v>
      </c>
      <c r="C1922" s="1" t="s">
        <v>60</v>
      </c>
      <c r="D1922" s="1" t="s">
        <v>12</v>
      </c>
      <c r="E1922" s="1" t="s">
        <v>61</v>
      </c>
      <c r="F1922">
        <v>36</v>
      </c>
      <c r="G1922">
        <v>1</v>
      </c>
      <c r="H1922" s="1" t="s">
        <v>14</v>
      </c>
      <c r="I1922" s="1" t="s">
        <v>15</v>
      </c>
      <c r="J1922" s="12">
        <v>45797</v>
      </c>
      <c r="K1922">
        <v>0</v>
      </c>
      <c r="L1922" s="1">
        <f t="shared" ref="L1922:L1985" si="120">F1922*G1922</f>
        <v>36</v>
      </c>
      <c r="M1922" s="1" t="str">
        <f t="shared" ref="M1922:M1985" si="121">IF(H1922="NULL", "",VALUE(H1922))</f>
        <v/>
      </c>
      <c r="N1922" s="2">
        <f t="shared" ref="N1922:N1985" si="122">DATE(YEAR(J1922),MONTH(J1922),1)</f>
        <v>45778</v>
      </c>
      <c r="O1922" t="str">
        <f t="shared" ref="O1922:O1985" si="123">IF(ISNUMBER(SEARCH("Mačky",D1922)),"mačka",IF(ISNUMBER(SEARCH("Psy",D1922)),"pes","iné"))</f>
        <v>pes</v>
      </c>
    </row>
    <row r="1923" spans="1:15" hidden="1" x14ac:dyDescent="0.25">
      <c r="A1923">
        <v>9431</v>
      </c>
      <c r="B1923" s="11">
        <v>4021234567894</v>
      </c>
      <c r="C1923" s="1" t="s">
        <v>79</v>
      </c>
      <c r="D1923" s="1" t="s">
        <v>36</v>
      </c>
      <c r="E1923" s="1" t="s">
        <v>69</v>
      </c>
      <c r="F1923">
        <v>8</v>
      </c>
      <c r="G1923">
        <v>1</v>
      </c>
      <c r="H1923" s="1" t="s">
        <v>14</v>
      </c>
      <c r="I1923" s="1" t="s">
        <v>15</v>
      </c>
      <c r="J1923" s="12">
        <v>45797</v>
      </c>
      <c r="K1923">
        <v>0</v>
      </c>
      <c r="L1923" s="1">
        <f t="shared" si="120"/>
        <v>8</v>
      </c>
      <c r="M1923" s="1" t="str">
        <f t="shared" si="121"/>
        <v/>
      </c>
      <c r="N1923" s="2">
        <f t="shared" si="122"/>
        <v>45778</v>
      </c>
      <c r="O1923" t="str">
        <f t="shared" si="123"/>
        <v>mačka</v>
      </c>
    </row>
    <row r="1924" spans="1:15" hidden="1" x14ac:dyDescent="0.25">
      <c r="A1924">
        <v>9432</v>
      </c>
      <c r="B1924" s="11">
        <v>4056789012345</v>
      </c>
      <c r="C1924" s="1" t="s">
        <v>47</v>
      </c>
      <c r="D1924" s="1" t="s">
        <v>29</v>
      </c>
      <c r="E1924" s="1" t="s">
        <v>37</v>
      </c>
      <c r="F1924">
        <v>2.4</v>
      </c>
      <c r="G1924">
        <v>2</v>
      </c>
      <c r="H1924" s="1" t="s">
        <v>14</v>
      </c>
      <c r="I1924" s="1" t="s">
        <v>15</v>
      </c>
      <c r="J1924" s="12">
        <v>45797</v>
      </c>
      <c r="K1924">
        <v>0</v>
      </c>
      <c r="L1924" s="1">
        <f t="shared" si="120"/>
        <v>4.8</v>
      </c>
      <c r="M1924" s="1" t="str">
        <f t="shared" si="121"/>
        <v/>
      </c>
      <c r="N1924" s="2">
        <f t="shared" si="122"/>
        <v>45778</v>
      </c>
      <c r="O1924" t="str">
        <f t="shared" si="123"/>
        <v>mačka</v>
      </c>
    </row>
    <row r="1925" spans="1:15" x14ac:dyDescent="0.25">
      <c r="A1925">
        <v>9433</v>
      </c>
      <c r="B1925" s="11">
        <v>4061011223346</v>
      </c>
      <c r="C1925" s="1" t="s">
        <v>25</v>
      </c>
      <c r="D1925" s="1" t="s">
        <v>26</v>
      </c>
      <c r="E1925" s="1" t="s">
        <v>27</v>
      </c>
      <c r="F1925">
        <v>19.600000000000001</v>
      </c>
      <c r="G1925">
        <v>1</v>
      </c>
      <c r="H1925" s="1" t="s">
        <v>14</v>
      </c>
      <c r="I1925" s="1" t="s">
        <v>15</v>
      </c>
      <c r="J1925" s="12">
        <v>45797</v>
      </c>
      <c r="K1925">
        <v>0</v>
      </c>
      <c r="L1925" s="1">
        <f t="shared" si="120"/>
        <v>19.600000000000001</v>
      </c>
      <c r="M1925" s="1" t="str">
        <f t="shared" si="121"/>
        <v/>
      </c>
      <c r="N1925" s="2">
        <f t="shared" si="122"/>
        <v>45778</v>
      </c>
      <c r="O1925" t="str">
        <f t="shared" si="123"/>
        <v>pes</v>
      </c>
    </row>
    <row r="1926" spans="1:15" hidden="1" x14ac:dyDescent="0.25">
      <c r="A1926">
        <v>9434</v>
      </c>
      <c r="B1926" s="11">
        <v>4026677889902</v>
      </c>
      <c r="C1926" s="1" t="s">
        <v>52</v>
      </c>
      <c r="D1926" s="1" t="s">
        <v>53</v>
      </c>
      <c r="E1926" s="1" t="s">
        <v>54</v>
      </c>
      <c r="F1926">
        <v>7.6</v>
      </c>
      <c r="G1926">
        <v>1</v>
      </c>
      <c r="H1926" s="1" t="s">
        <v>23</v>
      </c>
      <c r="I1926" s="1" t="s">
        <v>289</v>
      </c>
      <c r="J1926" s="12">
        <v>45797</v>
      </c>
      <c r="K1926">
        <v>0</v>
      </c>
      <c r="L1926" s="1">
        <f t="shared" si="120"/>
        <v>7.6</v>
      </c>
      <c r="M1926" s="1">
        <f t="shared" si="121"/>
        <v>5</v>
      </c>
      <c r="N1926" s="2">
        <f t="shared" si="122"/>
        <v>45778</v>
      </c>
      <c r="O1926" t="str">
        <f t="shared" si="123"/>
        <v>iné</v>
      </c>
    </row>
    <row r="1927" spans="1:15" x14ac:dyDescent="0.25">
      <c r="A1927">
        <v>9435</v>
      </c>
      <c r="B1927" s="11">
        <v>4028899001126</v>
      </c>
      <c r="C1927" s="1" t="s">
        <v>16</v>
      </c>
      <c r="D1927" s="1" t="s">
        <v>12</v>
      </c>
      <c r="E1927" s="1" t="s">
        <v>17</v>
      </c>
      <c r="F1927">
        <v>2.8</v>
      </c>
      <c r="G1927">
        <v>4</v>
      </c>
      <c r="H1927" s="1" t="s">
        <v>14</v>
      </c>
      <c r="I1927" s="1" t="s">
        <v>15</v>
      </c>
      <c r="J1927" s="12">
        <v>45797</v>
      </c>
      <c r="K1927">
        <v>0</v>
      </c>
      <c r="L1927" s="1">
        <f t="shared" si="120"/>
        <v>11.2</v>
      </c>
      <c r="M1927" s="1" t="str">
        <f t="shared" si="121"/>
        <v/>
      </c>
      <c r="N1927" s="2">
        <f t="shared" si="122"/>
        <v>45778</v>
      </c>
      <c r="O1927" t="str">
        <f t="shared" si="123"/>
        <v>pes</v>
      </c>
    </row>
    <row r="1928" spans="1:15" x14ac:dyDescent="0.25">
      <c r="A1928">
        <v>9436</v>
      </c>
      <c r="B1928" s="11">
        <v>4013456789017</v>
      </c>
      <c r="C1928" s="1" t="s">
        <v>11</v>
      </c>
      <c r="D1928" s="1" t="s">
        <v>12</v>
      </c>
      <c r="E1928" s="1" t="s">
        <v>13</v>
      </c>
      <c r="F1928">
        <v>6</v>
      </c>
      <c r="G1928">
        <v>1</v>
      </c>
      <c r="H1928" s="1" t="s">
        <v>14</v>
      </c>
      <c r="I1928" s="1" t="s">
        <v>15</v>
      </c>
      <c r="J1928" s="12">
        <v>45797</v>
      </c>
      <c r="K1928">
        <v>0</v>
      </c>
      <c r="L1928" s="1">
        <f t="shared" si="120"/>
        <v>6</v>
      </c>
      <c r="M1928" s="1" t="str">
        <f t="shared" si="121"/>
        <v/>
      </c>
      <c r="N1928" s="2">
        <f t="shared" si="122"/>
        <v>45778</v>
      </c>
      <c r="O1928" t="str">
        <f t="shared" si="123"/>
        <v>pes</v>
      </c>
    </row>
    <row r="1929" spans="1:15" x14ac:dyDescent="0.25">
      <c r="A1929">
        <v>9437</v>
      </c>
      <c r="B1929" s="11">
        <v>4040123456795</v>
      </c>
      <c r="C1929" s="1" t="s">
        <v>20</v>
      </c>
      <c r="D1929" s="1" t="s">
        <v>21</v>
      </c>
      <c r="E1929" s="1" t="s">
        <v>22</v>
      </c>
      <c r="F1929">
        <v>8.8000000000000007</v>
      </c>
      <c r="G1929">
        <v>1</v>
      </c>
      <c r="H1929" s="1" t="s">
        <v>14</v>
      </c>
      <c r="I1929" s="1" t="s">
        <v>15</v>
      </c>
      <c r="J1929" s="12">
        <v>45797</v>
      </c>
      <c r="K1929">
        <v>0</v>
      </c>
      <c r="L1929" s="1">
        <f t="shared" si="120"/>
        <v>8.8000000000000007</v>
      </c>
      <c r="M1929" s="1" t="str">
        <f t="shared" si="121"/>
        <v/>
      </c>
      <c r="N1929" s="2">
        <f t="shared" si="122"/>
        <v>45778</v>
      </c>
      <c r="O1929" t="str">
        <f t="shared" si="123"/>
        <v>pes</v>
      </c>
    </row>
    <row r="1930" spans="1:15" hidden="1" x14ac:dyDescent="0.25">
      <c r="A1930">
        <v>9438</v>
      </c>
      <c r="B1930" s="11">
        <v>4010123456783</v>
      </c>
      <c r="C1930" s="1" t="s">
        <v>35</v>
      </c>
      <c r="D1930" s="1" t="s">
        <v>36</v>
      </c>
      <c r="E1930" s="1" t="s">
        <v>37</v>
      </c>
      <c r="F1930">
        <v>14</v>
      </c>
      <c r="G1930">
        <v>1</v>
      </c>
      <c r="H1930" s="1" t="s">
        <v>14</v>
      </c>
      <c r="I1930" s="1" t="s">
        <v>15</v>
      </c>
      <c r="J1930" s="12">
        <v>45797</v>
      </c>
      <c r="K1930">
        <v>0</v>
      </c>
      <c r="L1930" s="1">
        <f t="shared" si="120"/>
        <v>14</v>
      </c>
      <c r="M1930" s="1" t="str">
        <f t="shared" si="121"/>
        <v/>
      </c>
      <c r="N1930" s="2">
        <f t="shared" si="122"/>
        <v>45778</v>
      </c>
      <c r="O1930" t="str">
        <f t="shared" si="123"/>
        <v>mačka</v>
      </c>
    </row>
    <row r="1931" spans="1:15" x14ac:dyDescent="0.25">
      <c r="A1931">
        <v>9439</v>
      </c>
      <c r="B1931" s="11">
        <v>4063456789014</v>
      </c>
      <c r="C1931" s="1" t="s">
        <v>60</v>
      </c>
      <c r="D1931" s="1" t="s">
        <v>12</v>
      </c>
      <c r="E1931" s="1" t="s">
        <v>61</v>
      </c>
      <c r="F1931">
        <v>36</v>
      </c>
      <c r="G1931">
        <v>1</v>
      </c>
      <c r="H1931" s="1" t="s">
        <v>14</v>
      </c>
      <c r="I1931" s="1" t="s">
        <v>15</v>
      </c>
      <c r="J1931" s="12">
        <v>45797</v>
      </c>
      <c r="K1931">
        <v>0</v>
      </c>
      <c r="L1931" s="1">
        <f t="shared" si="120"/>
        <v>36</v>
      </c>
      <c r="M1931" s="1" t="str">
        <f t="shared" si="121"/>
        <v/>
      </c>
      <c r="N1931" s="2">
        <f t="shared" si="122"/>
        <v>45778</v>
      </c>
      <c r="O1931" t="str">
        <f t="shared" si="123"/>
        <v>pes</v>
      </c>
    </row>
    <row r="1932" spans="1:15" hidden="1" x14ac:dyDescent="0.25">
      <c r="A1932">
        <v>9440</v>
      </c>
      <c r="B1932" s="11">
        <v>4021234567894</v>
      </c>
      <c r="C1932" s="1" t="s">
        <v>79</v>
      </c>
      <c r="D1932" s="1" t="s">
        <v>36</v>
      </c>
      <c r="E1932" s="1" t="s">
        <v>69</v>
      </c>
      <c r="F1932">
        <v>8</v>
      </c>
      <c r="G1932">
        <v>1</v>
      </c>
      <c r="H1932" s="1" t="s">
        <v>14</v>
      </c>
      <c r="I1932" s="1" t="s">
        <v>15</v>
      </c>
      <c r="J1932" s="12">
        <v>45797</v>
      </c>
      <c r="K1932">
        <v>0</v>
      </c>
      <c r="L1932" s="1">
        <f t="shared" si="120"/>
        <v>8</v>
      </c>
      <c r="M1932" s="1" t="str">
        <f t="shared" si="121"/>
        <v/>
      </c>
      <c r="N1932" s="2">
        <f t="shared" si="122"/>
        <v>45778</v>
      </c>
      <c r="O1932" t="str">
        <f t="shared" si="123"/>
        <v>mačka</v>
      </c>
    </row>
    <row r="1933" spans="1:15" hidden="1" x14ac:dyDescent="0.25">
      <c r="A1933">
        <v>9441</v>
      </c>
      <c r="B1933" s="11">
        <v>4056789012345</v>
      </c>
      <c r="C1933" s="1" t="s">
        <v>47</v>
      </c>
      <c r="D1933" s="1" t="s">
        <v>29</v>
      </c>
      <c r="E1933" s="1" t="s">
        <v>37</v>
      </c>
      <c r="F1933">
        <v>2.4</v>
      </c>
      <c r="G1933">
        <v>3</v>
      </c>
      <c r="H1933" s="1" t="s">
        <v>14</v>
      </c>
      <c r="I1933" s="1" t="s">
        <v>15</v>
      </c>
      <c r="J1933" s="12">
        <v>45797</v>
      </c>
      <c r="K1933">
        <v>0</v>
      </c>
      <c r="L1933" s="1">
        <f t="shared" si="120"/>
        <v>7.1999999999999993</v>
      </c>
      <c r="M1933" s="1" t="str">
        <f t="shared" si="121"/>
        <v/>
      </c>
      <c r="N1933" s="2">
        <f t="shared" si="122"/>
        <v>45778</v>
      </c>
      <c r="O1933" t="str">
        <f t="shared" si="123"/>
        <v>mačka</v>
      </c>
    </row>
    <row r="1934" spans="1:15" x14ac:dyDescent="0.25">
      <c r="A1934">
        <v>9442</v>
      </c>
      <c r="B1934" s="11">
        <v>4061011223346</v>
      </c>
      <c r="C1934" s="1" t="s">
        <v>25</v>
      </c>
      <c r="D1934" s="1" t="s">
        <v>26</v>
      </c>
      <c r="E1934" s="1" t="s">
        <v>27</v>
      </c>
      <c r="F1934">
        <v>19.600000000000001</v>
      </c>
      <c r="G1934">
        <v>1</v>
      </c>
      <c r="H1934" s="1" t="s">
        <v>14</v>
      </c>
      <c r="I1934" s="1" t="s">
        <v>15</v>
      </c>
      <c r="J1934" s="12">
        <v>45797</v>
      </c>
      <c r="K1934">
        <v>0</v>
      </c>
      <c r="L1934" s="1">
        <f t="shared" si="120"/>
        <v>19.600000000000001</v>
      </c>
      <c r="M1934" s="1" t="str">
        <f t="shared" si="121"/>
        <v/>
      </c>
      <c r="N1934" s="2">
        <f t="shared" si="122"/>
        <v>45778</v>
      </c>
      <c r="O1934" t="str">
        <f t="shared" si="123"/>
        <v>pes</v>
      </c>
    </row>
    <row r="1935" spans="1:15" hidden="1" x14ac:dyDescent="0.25">
      <c r="A1935">
        <v>9443</v>
      </c>
      <c r="B1935" s="11">
        <v>4026677889902</v>
      </c>
      <c r="C1935" s="1" t="s">
        <v>52</v>
      </c>
      <c r="D1935" s="1" t="s">
        <v>53</v>
      </c>
      <c r="E1935" s="1" t="s">
        <v>54</v>
      </c>
      <c r="F1935">
        <v>7.6</v>
      </c>
      <c r="G1935">
        <v>1</v>
      </c>
      <c r="H1935" s="1" t="s">
        <v>14</v>
      </c>
      <c r="I1935" s="1" t="s">
        <v>15</v>
      </c>
      <c r="J1935" s="12">
        <v>45797</v>
      </c>
      <c r="K1935">
        <v>0</v>
      </c>
      <c r="L1935" s="1">
        <f t="shared" si="120"/>
        <v>7.6</v>
      </c>
      <c r="M1935" s="1" t="str">
        <f t="shared" si="121"/>
        <v/>
      </c>
      <c r="N1935" s="2">
        <f t="shared" si="122"/>
        <v>45778</v>
      </c>
      <c r="O1935" t="str">
        <f t="shared" si="123"/>
        <v>iné</v>
      </c>
    </row>
    <row r="1936" spans="1:15" x14ac:dyDescent="0.25">
      <c r="A1936">
        <v>9444</v>
      </c>
      <c r="B1936" s="11">
        <v>4028899001126</v>
      </c>
      <c r="C1936" s="1" t="s">
        <v>16</v>
      </c>
      <c r="D1936" s="1" t="s">
        <v>12</v>
      </c>
      <c r="E1936" s="1" t="s">
        <v>17</v>
      </c>
      <c r="F1936">
        <v>2.8</v>
      </c>
      <c r="G1936">
        <v>4</v>
      </c>
      <c r="H1936" s="1" t="s">
        <v>14</v>
      </c>
      <c r="I1936" s="1" t="s">
        <v>15</v>
      </c>
      <c r="J1936" s="12">
        <v>45797</v>
      </c>
      <c r="K1936">
        <v>0</v>
      </c>
      <c r="L1936" s="1">
        <f t="shared" si="120"/>
        <v>11.2</v>
      </c>
      <c r="M1936" s="1" t="str">
        <f t="shared" si="121"/>
        <v/>
      </c>
      <c r="N1936" s="2">
        <f t="shared" si="122"/>
        <v>45778</v>
      </c>
      <c r="O1936" t="str">
        <f t="shared" si="123"/>
        <v>pes</v>
      </c>
    </row>
    <row r="1937" spans="1:15" x14ac:dyDescent="0.25">
      <c r="A1937">
        <v>9446</v>
      </c>
      <c r="B1937" s="11">
        <v>4040123456795</v>
      </c>
      <c r="C1937" s="1" t="s">
        <v>20</v>
      </c>
      <c r="D1937" s="1" t="s">
        <v>21</v>
      </c>
      <c r="E1937" s="1" t="s">
        <v>22</v>
      </c>
      <c r="F1937">
        <v>8.8000000000000007</v>
      </c>
      <c r="G1937">
        <v>1</v>
      </c>
      <c r="H1937" s="1" t="s">
        <v>14</v>
      </c>
      <c r="I1937" s="1" t="s">
        <v>15</v>
      </c>
      <c r="J1937" s="12">
        <v>45798</v>
      </c>
      <c r="K1937">
        <v>0</v>
      </c>
      <c r="L1937" s="1">
        <f t="shared" si="120"/>
        <v>8.8000000000000007</v>
      </c>
      <c r="M1937" s="1" t="str">
        <f t="shared" si="121"/>
        <v/>
      </c>
      <c r="N1937" s="2">
        <f t="shared" si="122"/>
        <v>45778</v>
      </c>
      <c r="O1937" t="str">
        <f t="shared" si="123"/>
        <v>pes</v>
      </c>
    </row>
    <row r="1938" spans="1:15" hidden="1" x14ac:dyDescent="0.25">
      <c r="A1938">
        <v>9447</v>
      </c>
      <c r="B1938" s="11">
        <v>4010123456783</v>
      </c>
      <c r="C1938" s="1" t="s">
        <v>35</v>
      </c>
      <c r="D1938" s="1" t="s">
        <v>36</v>
      </c>
      <c r="E1938" s="1" t="s">
        <v>37</v>
      </c>
      <c r="F1938">
        <v>14</v>
      </c>
      <c r="G1938">
        <v>1</v>
      </c>
      <c r="H1938" s="1" t="s">
        <v>14</v>
      </c>
      <c r="I1938" s="1" t="s">
        <v>15</v>
      </c>
      <c r="J1938" s="12">
        <v>45798</v>
      </c>
      <c r="K1938">
        <v>0</v>
      </c>
      <c r="L1938" s="1">
        <f t="shared" si="120"/>
        <v>14</v>
      </c>
      <c r="M1938" s="1" t="str">
        <f t="shared" si="121"/>
        <v/>
      </c>
      <c r="N1938" s="2">
        <f t="shared" si="122"/>
        <v>45778</v>
      </c>
      <c r="O1938" t="str">
        <f t="shared" si="123"/>
        <v>mačka</v>
      </c>
    </row>
    <row r="1939" spans="1:15" x14ac:dyDescent="0.25">
      <c r="A1939">
        <v>9448</v>
      </c>
      <c r="B1939" s="11">
        <v>4063456789014</v>
      </c>
      <c r="C1939" s="1" t="s">
        <v>60</v>
      </c>
      <c r="D1939" s="1" t="s">
        <v>12</v>
      </c>
      <c r="E1939" s="1" t="s">
        <v>61</v>
      </c>
      <c r="F1939">
        <v>36</v>
      </c>
      <c r="G1939">
        <v>1</v>
      </c>
      <c r="H1939" s="1" t="s">
        <v>14</v>
      </c>
      <c r="I1939" s="1" t="s">
        <v>15</v>
      </c>
      <c r="J1939" s="12">
        <v>45798</v>
      </c>
      <c r="K1939">
        <v>0</v>
      </c>
      <c r="L1939" s="1">
        <f t="shared" si="120"/>
        <v>36</v>
      </c>
      <c r="M1939" s="1" t="str">
        <f t="shared" si="121"/>
        <v/>
      </c>
      <c r="N1939" s="2">
        <f t="shared" si="122"/>
        <v>45778</v>
      </c>
      <c r="O1939" t="str">
        <f t="shared" si="123"/>
        <v>pes</v>
      </c>
    </row>
    <row r="1940" spans="1:15" hidden="1" x14ac:dyDescent="0.25">
      <c r="A1940">
        <v>9449</v>
      </c>
      <c r="B1940" s="11">
        <v>4021234567894</v>
      </c>
      <c r="C1940" s="1" t="s">
        <v>79</v>
      </c>
      <c r="D1940" s="1" t="s">
        <v>36</v>
      </c>
      <c r="E1940" s="1" t="s">
        <v>69</v>
      </c>
      <c r="F1940">
        <v>8</v>
      </c>
      <c r="G1940">
        <v>1</v>
      </c>
      <c r="H1940" s="1" t="s">
        <v>14</v>
      </c>
      <c r="I1940" s="1" t="s">
        <v>15</v>
      </c>
      <c r="J1940" s="12">
        <v>45798</v>
      </c>
      <c r="K1940">
        <v>0</v>
      </c>
      <c r="L1940" s="1">
        <f t="shared" si="120"/>
        <v>8</v>
      </c>
      <c r="M1940" s="1" t="str">
        <f t="shared" si="121"/>
        <v/>
      </c>
      <c r="N1940" s="2">
        <f t="shared" si="122"/>
        <v>45778</v>
      </c>
      <c r="O1940" t="str">
        <f t="shared" si="123"/>
        <v>mačka</v>
      </c>
    </row>
    <row r="1941" spans="1:15" hidden="1" x14ac:dyDescent="0.25">
      <c r="A1941">
        <v>9450</v>
      </c>
      <c r="B1941" s="11">
        <v>4056789012345</v>
      </c>
      <c r="C1941" s="1" t="s">
        <v>47</v>
      </c>
      <c r="D1941" s="1" t="s">
        <v>29</v>
      </c>
      <c r="E1941" s="1" t="s">
        <v>37</v>
      </c>
      <c r="F1941">
        <v>2.4</v>
      </c>
      <c r="G1941">
        <v>3</v>
      </c>
      <c r="H1941" s="1" t="s">
        <v>14</v>
      </c>
      <c r="I1941" s="1" t="s">
        <v>15</v>
      </c>
      <c r="J1941" s="12">
        <v>45798</v>
      </c>
      <c r="K1941">
        <v>0</v>
      </c>
      <c r="L1941" s="1">
        <f t="shared" si="120"/>
        <v>7.1999999999999993</v>
      </c>
      <c r="M1941" s="1" t="str">
        <f t="shared" si="121"/>
        <v/>
      </c>
      <c r="N1941" s="2">
        <f t="shared" si="122"/>
        <v>45778</v>
      </c>
      <c r="O1941" t="str">
        <f t="shared" si="123"/>
        <v>mačka</v>
      </c>
    </row>
    <row r="1942" spans="1:15" x14ac:dyDescent="0.25">
      <c r="A1942">
        <v>9451</v>
      </c>
      <c r="B1942" s="11">
        <v>4061011223346</v>
      </c>
      <c r="C1942" s="1" t="s">
        <v>25</v>
      </c>
      <c r="D1942" s="1" t="s">
        <v>26</v>
      </c>
      <c r="E1942" s="1" t="s">
        <v>27</v>
      </c>
      <c r="F1942">
        <v>19.600000000000001</v>
      </c>
      <c r="G1942">
        <v>1</v>
      </c>
      <c r="H1942" s="1" t="s">
        <v>14</v>
      </c>
      <c r="I1942" s="1" t="s">
        <v>15</v>
      </c>
      <c r="J1942" s="12">
        <v>45798</v>
      </c>
      <c r="K1942">
        <v>0</v>
      </c>
      <c r="L1942" s="1">
        <f t="shared" si="120"/>
        <v>19.600000000000001</v>
      </c>
      <c r="M1942" s="1" t="str">
        <f t="shared" si="121"/>
        <v/>
      </c>
      <c r="N1942" s="2">
        <f t="shared" si="122"/>
        <v>45778</v>
      </c>
      <c r="O1942" t="str">
        <f t="shared" si="123"/>
        <v>pes</v>
      </c>
    </row>
    <row r="1943" spans="1:15" hidden="1" x14ac:dyDescent="0.25">
      <c r="A1943">
        <v>9452</v>
      </c>
      <c r="B1943" s="11">
        <v>4026677889902</v>
      </c>
      <c r="C1943" s="1" t="s">
        <v>52</v>
      </c>
      <c r="D1943" s="1" t="s">
        <v>53</v>
      </c>
      <c r="E1943" s="1" t="s">
        <v>54</v>
      </c>
      <c r="F1943">
        <v>7.6</v>
      </c>
      <c r="G1943">
        <v>1</v>
      </c>
      <c r="H1943" s="1" t="s">
        <v>14</v>
      </c>
      <c r="I1943" s="1" t="s">
        <v>15</v>
      </c>
      <c r="J1943" s="12">
        <v>45798</v>
      </c>
      <c r="K1943">
        <v>0</v>
      </c>
      <c r="L1943" s="1">
        <f t="shared" si="120"/>
        <v>7.6</v>
      </c>
      <c r="M1943" s="1" t="str">
        <f t="shared" si="121"/>
        <v/>
      </c>
      <c r="N1943" s="2">
        <f t="shared" si="122"/>
        <v>45778</v>
      </c>
      <c r="O1943" t="str">
        <f t="shared" si="123"/>
        <v>iné</v>
      </c>
    </row>
    <row r="1944" spans="1:15" x14ac:dyDescent="0.25">
      <c r="A1944">
        <v>9453</v>
      </c>
      <c r="B1944" s="11">
        <v>4028899001126</v>
      </c>
      <c r="C1944" s="1" t="s">
        <v>16</v>
      </c>
      <c r="D1944" s="1" t="s">
        <v>12</v>
      </c>
      <c r="E1944" s="1" t="s">
        <v>17</v>
      </c>
      <c r="F1944">
        <v>2.8</v>
      </c>
      <c r="G1944">
        <v>3</v>
      </c>
      <c r="H1944" s="1" t="s">
        <v>14</v>
      </c>
      <c r="I1944" s="1" t="s">
        <v>15</v>
      </c>
      <c r="J1944" s="12">
        <v>45798</v>
      </c>
      <c r="K1944">
        <v>0</v>
      </c>
      <c r="L1944" s="1">
        <f t="shared" si="120"/>
        <v>8.3999999999999986</v>
      </c>
      <c r="M1944" s="1" t="str">
        <f t="shared" si="121"/>
        <v/>
      </c>
      <c r="N1944" s="2">
        <f t="shared" si="122"/>
        <v>45778</v>
      </c>
      <c r="O1944" t="str">
        <f t="shared" si="123"/>
        <v>pes</v>
      </c>
    </row>
    <row r="1945" spans="1:15" x14ac:dyDescent="0.25">
      <c r="A1945">
        <v>9454</v>
      </c>
      <c r="B1945" s="11">
        <v>4013456789017</v>
      </c>
      <c r="C1945" s="1" t="s">
        <v>11</v>
      </c>
      <c r="D1945" s="1" t="s">
        <v>12</v>
      </c>
      <c r="E1945" s="1" t="s">
        <v>13</v>
      </c>
      <c r="F1945">
        <v>6</v>
      </c>
      <c r="G1945">
        <v>1</v>
      </c>
      <c r="H1945" s="1" t="s">
        <v>14</v>
      </c>
      <c r="I1945" s="1" t="s">
        <v>15</v>
      </c>
      <c r="J1945" s="12">
        <v>45798</v>
      </c>
      <c r="K1945">
        <v>0</v>
      </c>
      <c r="L1945" s="1">
        <f t="shared" si="120"/>
        <v>6</v>
      </c>
      <c r="M1945" s="1" t="str">
        <f t="shared" si="121"/>
        <v/>
      </c>
      <c r="N1945" s="2">
        <f t="shared" si="122"/>
        <v>45778</v>
      </c>
      <c r="O1945" t="str">
        <f t="shared" si="123"/>
        <v>pes</v>
      </c>
    </row>
    <row r="1946" spans="1:15" x14ac:dyDescent="0.25">
      <c r="A1946">
        <v>9455</v>
      </c>
      <c r="B1946" s="11">
        <v>4040123456795</v>
      </c>
      <c r="C1946" s="1" t="s">
        <v>20</v>
      </c>
      <c r="D1946" s="1" t="s">
        <v>21</v>
      </c>
      <c r="E1946" s="1" t="s">
        <v>22</v>
      </c>
      <c r="F1946">
        <v>8.8000000000000007</v>
      </c>
      <c r="G1946">
        <v>1</v>
      </c>
      <c r="H1946" s="1" t="s">
        <v>23</v>
      </c>
      <c r="I1946" s="1" t="s">
        <v>290</v>
      </c>
      <c r="J1946" s="12">
        <v>45798</v>
      </c>
      <c r="K1946">
        <v>0</v>
      </c>
      <c r="L1946" s="1">
        <f t="shared" si="120"/>
        <v>8.8000000000000007</v>
      </c>
      <c r="M1946" s="1">
        <f t="shared" si="121"/>
        <v>5</v>
      </c>
      <c r="N1946" s="2">
        <f t="shared" si="122"/>
        <v>45778</v>
      </c>
      <c r="O1946" t="str">
        <f t="shared" si="123"/>
        <v>pes</v>
      </c>
    </row>
    <row r="1947" spans="1:15" hidden="1" x14ac:dyDescent="0.25">
      <c r="A1947">
        <v>9456</v>
      </c>
      <c r="B1947" s="11">
        <v>4010123456783</v>
      </c>
      <c r="C1947" s="1" t="s">
        <v>35</v>
      </c>
      <c r="D1947" s="1" t="s">
        <v>36</v>
      </c>
      <c r="E1947" s="1" t="s">
        <v>37</v>
      </c>
      <c r="F1947">
        <v>14</v>
      </c>
      <c r="G1947">
        <v>1</v>
      </c>
      <c r="H1947" s="1" t="s">
        <v>14</v>
      </c>
      <c r="I1947" s="1" t="s">
        <v>15</v>
      </c>
      <c r="J1947" s="12">
        <v>45798</v>
      </c>
      <c r="K1947">
        <v>0</v>
      </c>
      <c r="L1947" s="1">
        <f t="shared" si="120"/>
        <v>14</v>
      </c>
      <c r="M1947" s="1" t="str">
        <f t="shared" si="121"/>
        <v/>
      </c>
      <c r="N1947" s="2">
        <f t="shared" si="122"/>
        <v>45778</v>
      </c>
      <c r="O1947" t="str">
        <f t="shared" si="123"/>
        <v>mačka</v>
      </c>
    </row>
    <row r="1948" spans="1:15" x14ac:dyDescent="0.25">
      <c r="A1948">
        <v>9457</v>
      </c>
      <c r="B1948" s="11">
        <v>4063456789014</v>
      </c>
      <c r="C1948" s="1" t="s">
        <v>60</v>
      </c>
      <c r="D1948" s="1" t="s">
        <v>12</v>
      </c>
      <c r="E1948" s="1" t="s">
        <v>61</v>
      </c>
      <c r="F1948">
        <v>36</v>
      </c>
      <c r="G1948">
        <v>1</v>
      </c>
      <c r="H1948" s="1" t="s">
        <v>14</v>
      </c>
      <c r="I1948" s="1" t="s">
        <v>15</v>
      </c>
      <c r="J1948" s="12">
        <v>45799</v>
      </c>
      <c r="K1948">
        <v>0</v>
      </c>
      <c r="L1948" s="1">
        <f t="shared" si="120"/>
        <v>36</v>
      </c>
      <c r="M1948" s="1" t="str">
        <f t="shared" si="121"/>
        <v/>
      </c>
      <c r="N1948" s="2">
        <f t="shared" si="122"/>
        <v>45778</v>
      </c>
      <c r="O1948" t="str">
        <f t="shared" si="123"/>
        <v>pes</v>
      </c>
    </row>
    <row r="1949" spans="1:15" hidden="1" x14ac:dyDescent="0.25">
      <c r="A1949">
        <v>9458</v>
      </c>
      <c r="B1949" s="11">
        <v>4021234567894</v>
      </c>
      <c r="C1949" s="1" t="s">
        <v>79</v>
      </c>
      <c r="D1949" s="1" t="s">
        <v>36</v>
      </c>
      <c r="E1949" s="1" t="s">
        <v>69</v>
      </c>
      <c r="F1949">
        <v>8</v>
      </c>
      <c r="G1949">
        <v>1</v>
      </c>
      <c r="H1949" s="1" t="s">
        <v>14</v>
      </c>
      <c r="I1949" s="1" t="s">
        <v>15</v>
      </c>
      <c r="J1949" s="12">
        <v>45799</v>
      </c>
      <c r="K1949">
        <v>0</v>
      </c>
      <c r="L1949" s="1">
        <f t="shared" si="120"/>
        <v>8</v>
      </c>
      <c r="M1949" s="1" t="str">
        <f t="shared" si="121"/>
        <v/>
      </c>
      <c r="N1949" s="2">
        <f t="shared" si="122"/>
        <v>45778</v>
      </c>
      <c r="O1949" t="str">
        <f t="shared" si="123"/>
        <v>mačka</v>
      </c>
    </row>
    <row r="1950" spans="1:15" hidden="1" x14ac:dyDescent="0.25">
      <c r="A1950">
        <v>9459</v>
      </c>
      <c r="B1950" s="11">
        <v>4056789012345</v>
      </c>
      <c r="C1950" s="1" t="s">
        <v>47</v>
      </c>
      <c r="D1950" s="1" t="s">
        <v>29</v>
      </c>
      <c r="E1950" s="1" t="s">
        <v>37</v>
      </c>
      <c r="F1950">
        <v>2.4</v>
      </c>
      <c r="G1950">
        <v>2</v>
      </c>
      <c r="H1950" s="1" t="s">
        <v>14</v>
      </c>
      <c r="I1950" s="1" t="s">
        <v>15</v>
      </c>
      <c r="J1950" s="12">
        <v>45799</v>
      </c>
      <c r="K1950">
        <v>0</v>
      </c>
      <c r="L1950" s="1">
        <f t="shared" si="120"/>
        <v>4.8</v>
      </c>
      <c r="M1950" s="1" t="str">
        <f t="shared" si="121"/>
        <v/>
      </c>
      <c r="N1950" s="2">
        <f t="shared" si="122"/>
        <v>45778</v>
      </c>
      <c r="O1950" t="str">
        <f t="shared" si="123"/>
        <v>mačka</v>
      </c>
    </row>
    <row r="1951" spans="1:15" x14ac:dyDescent="0.25">
      <c r="A1951">
        <v>9460</v>
      </c>
      <c r="B1951" s="11">
        <v>4061011223346</v>
      </c>
      <c r="C1951" s="1" t="s">
        <v>25</v>
      </c>
      <c r="D1951" s="1" t="s">
        <v>26</v>
      </c>
      <c r="E1951" s="1" t="s">
        <v>27</v>
      </c>
      <c r="F1951">
        <v>19.600000000000001</v>
      </c>
      <c r="G1951">
        <v>1</v>
      </c>
      <c r="H1951" s="1" t="s">
        <v>14</v>
      </c>
      <c r="I1951" s="1" t="s">
        <v>15</v>
      </c>
      <c r="J1951" s="12">
        <v>45799</v>
      </c>
      <c r="K1951">
        <v>0</v>
      </c>
      <c r="L1951" s="1">
        <f t="shared" si="120"/>
        <v>19.600000000000001</v>
      </c>
      <c r="M1951" s="1" t="str">
        <f t="shared" si="121"/>
        <v/>
      </c>
      <c r="N1951" s="2">
        <f t="shared" si="122"/>
        <v>45778</v>
      </c>
      <c r="O1951" t="str">
        <f t="shared" si="123"/>
        <v>pes</v>
      </c>
    </row>
    <row r="1952" spans="1:15" hidden="1" x14ac:dyDescent="0.25">
      <c r="A1952">
        <v>9461</v>
      </c>
      <c r="B1952" s="11">
        <v>4026677889902</v>
      </c>
      <c r="C1952" s="1" t="s">
        <v>52</v>
      </c>
      <c r="D1952" s="1" t="s">
        <v>53</v>
      </c>
      <c r="E1952" s="1" t="s">
        <v>54</v>
      </c>
      <c r="F1952">
        <v>7.6</v>
      </c>
      <c r="G1952">
        <v>1</v>
      </c>
      <c r="H1952" s="1" t="s">
        <v>14</v>
      </c>
      <c r="I1952" s="1" t="s">
        <v>15</v>
      </c>
      <c r="J1952" s="12">
        <v>45799</v>
      </c>
      <c r="K1952">
        <v>0</v>
      </c>
      <c r="L1952" s="1">
        <f t="shared" si="120"/>
        <v>7.6</v>
      </c>
      <c r="M1952" s="1" t="str">
        <f t="shared" si="121"/>
        <v/>
      </c>
      <c r="N1952" s="2">
        <f t="shared" si="122"/>
        <v>45778</v>
      </c>
      <c r="O1952" t="str">
        <f t="shared" si="123"/>
        <v>iné</v>
      </c>
    </row>
    <row r="1953" spans="1:15" x14ac:dyDescent="0.25">
      <c r="A1953">
        <v>9462</v>
      </c>
      <c r="B1953" s="11">
        <v>4028899001126</v>
      </c>
      <c r="C1953" s="1" t="s">
        <v>16</v>
      </c>
      <c r="D1953" s="1" t="s">
        <v>12</v>
      </c>
      <c r="E1953" s="1" t="s">
        <v>17</v>
      </c>
      <c r="F1953">
        <v>2.8</v>
      </c>
      <c r="G1953">
        <v>5</v>
      </c>
      <c r="H1953" s="1" t="s">
        <v>14</v>
      </c>
      <c r="I1953" s="1" t="s">
        <v>15</v>
      </c>
      <c r="J1953" s="12">
        <v>45799</v>
      </c>
      <c r="K1953">
        <v>0</v>
      </c>
      <c r="L1953" s="1">
        <f t="shared" si="120"/>
        <v>14</v>
      </c>
      <c r="M1953" s="1" t="str">
        <f t="shared" si="121"/>
        <v/>
      </c>
      <c r="N1953" s="2">
        <f t="shared" si="122"/>
        <v>45778</v>
      </c>
      <c r="O1953" t="str">
        <f t="shared" si="123"/>
        <v>pes</v>
      </c>
    </row>
    <row r="1954" spans="1:15" x14ac:dyDescent="0.25">
      <c r="A1954">
        <v>9463</v>
      </c>
      <c r="B1954" s="11">
        <v>4013456789017</v>
      </c>
      <c r="C1954" s="1" t="s">
        <v>11</v>
      </c>
      <c r="D1954" s="1" t="s">
        <v>12</v>
      </c>
      <c r="E1954" s="1" t="s">
        <v>13</v>
      </c>
      <c r="F1954">
        <v>6</v>
      </c>
      <c r="G1954">
        <v>1</v>
      </c>
      <c r="H1954" s="1" t="s">
        <v>14</v>
      </c>
      <c r="I1954" s="1" t="s">
        <v>15</v>
      </c>
      <c r="J1954" s="12">
        <v>45799</v>
      </c>
      <c r="K1954">
        <v>0</v>
      </c>
      <c r="L1954" s="1">
        <f t="shared" si="120"/>
        <v>6</v>
      </c>
      <c r="M1954" s="1" t="str">
        <f t="shared" si="121"/>
        <v/>
      </c>
      <c r="N1954" s="2">
        <f t="shared" si="122"/>
        <v>45778</v>
      </c>
      <c r="O1954" t="str">
        <f t="shared" si="123"/>
        <v>pes</v>
      </c>
    </row>
    <row r="1955" spans="1:15" x14ac:dyDescent="0.25">
      <c r="A1955">
        <v>9464</v>
      </c>
      <c r="B1955" s="11">
        <v>4040123456795</v>
      </c>
      <c r="C1955" s="1" t="s">
        <v>20</v>
      </c>
      <c r="D1955" s="1" t="s">
        <v>21</v>
      </c>
      <c r="E1955" s="1" t="s">
        <v>22</v>
      </c>
      <c r="F1955">
        <v>8.8000000000000007</v>
      </c>
      <c r="G1955">
        <v>1</v>
      </c>
      <c r="H1955" s="1" t="s">
        <v>14</v>
      </c>
      <c r="I1955" s="1" t="s">
        <v>15</v>
      </c>
      <c r="J1955" s="12">
        <v>45799</v>
      </c>
      <c r="K1955">
        <v>0</v>
      </c>
      <c r="L1955" s="1">
        <f t="shared" si="120"/>
        <v>8.8000000000000007</v>
      </c>
      <c r="M1955" s="1" t="str">
        <f t="shared" si="121"/>
        <v/>
      </c>
      <c r="N1955" s="2">
        <f t="shared" si="122"/>
        <v>45778</v>
      </c>
      <c r="O1955" t="str">
        <f t="shared" si="123"/>
        <v>pes</v>
      </c>
    </row>
    <row r="1956" spans="1:15" hidden="1" x14ac:dyDescent="0.25">
      <c r="A1956">
        <v>9465</v>
      </c>
      <c r="B1956" s="11">
        <v>4010123456783</v>
      </c>
      <c r="C1956" s="1" t="s">
        <v>35</v>
      </c>
      <c r="D1956" s="1" t="s">
        <v>36</v>
      </c>
      <c r="E1956" s="1" t="s">
        <v>37</v>
      </c>
      <c r="F1956">
        <v>14</v>
      </c>
      <c r="G1956">
        <v>1</v>
      </c>
      <c r="H1956" s="1" t="s">
        <v>14</v>
      </c>
      <c r="I1956" s="1" t="s">
        <v>15</v>
      </c>
      <c r="J1956" s="12">
        <v>45799</v>
      </c>
      <c r="K1956">
        <v>0</v>
      </c>
      <c r="L1956" s="1">
        <f t="shared" si="120"/>
        <v>14</v>
      </c>
      <c r="M1956" s="1" t="str">
        <f t="shared" si="121"/>
        <v/>
      </c>
      <c r="N1956" s="2">
        <f t="shared" si="122"/>
        <v>45778</v>
      </c>
      <c r="O1956" t="str">
        <f t="shared" si="123"/>
        <v>mačka</v>
      </c>
    </row>
    <row r="1957" spans="1:15" x14ac:dyDescent="0.25">
      <c r="A1957">
        <v>9466</v>
      </c>
      <c r="B1957" s="11">
        <v>4063456789014</v>
      </c>
      <c r="C1957" s="1" t="s">
        <v>60</v>
      </c>
      <c r="D1957" s="1" t="s">
        <v>12</v>
      </c>
      <c r="E1957" s="1" t="s">
        <v>61</v>
      </c>
      <c r="F1957">
        <v>36</v>
      </c>
      <c r="G1957">
        <v>1</v>
      </c>
      <c r="H1957" s="1" t="s">
        <v>14</v>
      </c>
      <c r="I1957" s="1" t="s">
        <v>15</v>
      </c>
      <c r="J1957" s="12">
        <v>45799</v>
      </c>
      <c r="K1957">
        <v>0</v>
      </c>
      <c r="L1957" s="1">
        <f t="shared" si="120"/>
        <v>36</v>
      </c>
      <c r="M1957" s="1" t="str">
        <f t="shared" si="121"/>
        <v/>
      </c>
      <c r="N1957" s="2">
        <f t="shared" si="122"/>
        <v>45778</v>
      </c>
      <c r="O1957" t="str">
        <f t="shared" si="123"/>
        <v>pes</v>
      </c>
    </row>
    <row r="1958" spans="1:15" hidden="1" x14ac:dyDescent="0.25">
      <c r="A1958">
        <v>9467</v>
      </c>
      <c r="B1958" s="11">
        <v>4021234567894</v>
      </c>
      <c r="C1958" s="1" t="s">
        <v>79</v>
      </c>
      <c r="D1958" s="1" t="s">
        <v>36</v>
      </c>
      <c r="E1958" s="1" t="s">
        <v>69</v>
      </c>
      <c r="F1958">
        <v>8</v>
      </c>
      <c r="G1958">
        <v>1</v>
      </c>
      <c r="H1958" s="1" t="s">
        <v>14</v>
      </c>
      <c r="I1958" s="1" t="s">
        <v>15</v>
      </c>
      <c r="J1958" s="12">
        <v>45799</v>
      </c>
      <c r="K1958">
        <v>0</v>
      </c>
      <c r="L1958" s="1">
        <f t="shared" si="120"/>
        <v>8</v>
      </c>
      <c r="M1958" s="1" t="str">
        <f t="shared" si="121"/>
        <v/>
      </c>
      <c r="N1958" s="2">
        <f t="shared" si="122"/>
        <v>45778</v>
      </c>
      <c r="O1958" t="str">
        <f t="shared" si="123"/>
        <v>mačka</v>
      </c>
    </row>
    <row r="1959" spans="1:15" hidden="1" x14ac:dyDescent="0.25">
      <c r="A1959">
        <v>9468</v>
      </c>
      <c r="B1959" s="11">
        <v>4056789012345</v>
      </c>
      <c r="C1959" s="1" t="s">
        <v>47</v>
      </c>
      <c r="D1959" s="1" t="s">
        <v>29</v>
      </c>
      <c r="E1959" s="1" t="s">
        <v>37</v>
      </c>
      <c r="F1959">
        <v>2.4</v>
      </c>
      <c r="G1959">
        <v>2</v>
      </c>
      <c r="H1959" s="1" t="s">
        <v>18</v>
      </c>
      <c r="I1959" s="1" t="s">
        <v>291</v>
      </c>
      <c r="J1959" s="12">
        <v>45799</v>
      </c>
      <c r="K1959">
        <v>0</v>
      </c>
      <c r="L1959" s="1">
        <f t="shared" si="120"/>
        <v>4.8</v>
      </c>
      <c r="M1959" s="1">
        <f t="shared" si="121"/>
        <v>4</v>
      </c>
      <c r="N1959" s="2">
        <f t="shared" si="122"/>
        <v>45778</v>
      </c>
      <c r="O1959" t="str">
        <f t="shared" si="123"/>
        <v>mačka</v>
      </c>
    </row>
    <row r="1960" spans="1:15" x14ac:dyDescent="0.25">
      <c r="A1960">
        <v>9469</v>
      </c>
      <c r="B1960" s="11">
        <v>4061011223346</v>
      </c>
      <c r="C1960" s="1" t="s">
        <v>25</v>
      </c>
      <c r="D1960" s="1" t="s">
        <v>26</v>
      </c>
      <c r="E1960" s="1" t="s">
        <v>27</v>
      </c>
      <c r="F1960">
        <v>19.600000000000001</v>
      </c>
      <c r="G1960">
        <v>1</v>
      </c>
      <c r="H1960" s="1" t="s">
        <v>14</v>
      </c>
      <c r="I1960" s="1" t="s">
        <v>15</v>
      </c>
      <c r="J1960" s="12">
        <v>45800</v>
      </c>
      <c r="K1960">
        <v>0</v>
      </c>
      <c r="L1960" s="1">
        <f t="shared" si="120"/>
        <v>19.600000000000001</v>
      </c>
      <c r="M1960" s="1" t="str">
        <f t="shared" si="121"/>
        <v/>
      </c>
      <c r="N1960" s="2">
        <f t="shared" si="122"/>
        <v>45778</v>
      </c>
      <c r="O1960" t="str">
        <f t="shared" si="123"/>
        <v>pes</v>
      </c>
    </row>
    <row r="1961" spans="1:15" hidden="1" x14ac:dyDescent="0.25">
      <c r="A1961">
        <v>9470</v>
      </c>
      <c r="B1961" s="11">
        <v>4026677889902</v>
      </c>
      <c r="C1961" s="1" t="s">
        <v>52</v>
      </c>
      <c r="D1961" s="1" t="s">
        <v>53</v>
      </c>
      <c r="E1961" s="1" t="s">
        <v>54</v>
      </c>
      <c r="F1961">
        <v>7.6</v>
      </c>
      <c r="G1961">
        <v>1</v>
      </c>
      <c r="H1961" s="1" t="s">
        <v>14</v>
      </c>
      <c r="I1961" s="1" t="s">
        <v>15</v>
      </c>
      <c r="J1961" s="12">
        <v>45800</v>
      </c>
      <c r="K1961">
        <v>0</v>
      </c>
      <c r="L1961" s="1">
        <f t="shared" si="120"/>
        <v>7.6</v>
      </c>
      <c r="M1961" s="1" t="str">
        <f t="shared" si="121"/>
        <v/>
      </c>
      <c r="N1961" s="2">
        <f t="shared" si="122"/>
        <v>45778</v>
      </c>
      <c r="O1961" t="str">
        <f t="shared" si="123"/>
        <v>iné</v>
      </c>
    </row>
    <row r="1962" spans="1:15" x14ac:dyDescent="0.25">
      <c r="A1962">
        <v>9471</v>
      </c>
      <c r="B1962" s="11">
        <v>4028899001126</v>
      </c>
      <c r="C1962" s="1" t="s">
        <v>16</v>
      </c>
      <c r="D1962" s="1" t="s">
        <v>12</v>
      </c>
      <c r="E1962" s="1" t="s">
        <v>17</v>
      </c>
      <c r="F1962">
        <v>2.8</v>
      </c>
      <c r="G1962">
        <v>3</v>
      </c>
      <c r="H1962" s="1" t="s">
        <v>14</v>
      </c>
      <c r="I1962" s="1" t="s">
        <v>15</v>
      </c>
      <c r="J1962" s="12">
        <v>45800</v>
      </c>
      <c r="K1962">
        <v>0</v>
      </c>
      <c r="L1962" s="1">
        <f t="shared" si="120"/>
        <v>8.3999999999999986</v>
      </c>
      <c r="M1962" s="1" t="str">
        <f t="shared" si="121"/>
        <v/>
      </c>
      <c r="N1962" s="2">
        <f t="shared" si="122"/>
        <v>45778</v>
      </c>
      <c r="O1962" t="str">
        <f t="shared" si="123"/>
        <v>pes</v>
      </c>
    </row>
    <row r="1963" spans="1:15" x14ac:dyDescent="0.25">
      <c r="A1963">
        <v>9472</v>
      </c>
      <c r="B1963" s="11">
        <v>4013456789017</v>
      </c>
      <c r="C1963" s="1" t="s">
        <v>11</v>
      </c>
      <c r="D1963" s="1" t="s">
        <v>12</v>
      </c>
      <c r="E1963" s="1" t="s">
        <v>13</v>
      </c>
      <c r="F1963">
        <v>6</v>
      </c>
      <c r="G1963">
        <v>1</v>
      </c>
      <c r="H1963" s="1" t="s">
        <v>14</v>
      </c>
      <c r="I1963" s="1" t="s">
        <v>15</v>
      </c>
      <c r="J1963" s="12">
        <v>45800</v>
      </c>
      <c r="K1963">
        <v>0</v>
      </c>
      <c r="L1963" s="1">
        <f t="shared" si="120"/>
        <v>6</v>
      </c>
      <c r="M1963" s="1" t="str">
        <f t="shared" si="121"/>
        <v/>
      </c>
      <c r="N1963" s="2">
        <f t="shared" si="122"/>
        <v>45778</v>
      </c>
      <c r="O1963" t="str">
        <f t="shared" si="123"/>
        <v>pes</v>
      </c>
    </row>
    <row r="1964" spans="1:15" x14ac:dyDescent="0.25">
      <c r="A1964">
        <v>9473</v>
      </c>
      <c r="B1964" s="11">
        <v>4040123456795</v>
      </c>
      <c r="C1964" s="1" t="s">
        <v>20</v>
      </c>
      <c r="D1964" s="1" t="s">
        <v>21</v>
      </c>
      <c r="E1964" s="1" t="s">
        <v>22</v>
      </c>
      <c r="F1964">
        <v>8.8000000000000007</v>
      </c>
      <c r="G1964">
        <v>1</v>
      </c>
      <c r="H1964" s="1" t="s">
        <v>14</v>
      </c>
      <c r="I1964" s="1" t="s">
        <v>15</v>
      </c>
      <c r="J1964" s="12">
        <v>45800</v>
      </c>
      <c r="K1964">
        <v>0</v>
      </c>
      <c r="L1964" s="1">
        <f t="shared" si="120"/>
        <v>8.8000000000000007</v>
      </c>
      <c r="M1964" s="1" t="str">
        <f t="shared" si="121"/>
        <v/>
      </c>
      <c r="N1964" s="2">
        <f t="shared" si="122"/>
        <v>45778</v>
      </c>
      <c r="O1964" t="str">
        <f t="shared" si="123"/>
        <v>pes</v>
      </c>
    </row>
    <row r="1965" spans="1:15" hidden="1" x14ac:dyDescent="0.25">
      <c r="A1965">
        <v>9474</v>
      </c>
      <c r="B1965" s="11">
        <v>4010123456783</v>
      </c>
      <c r="C1965" s="1" t="s">
        <v>35</v>
      </c>
      <c r="D1965" s="1" t="s">
        <v>36</v>
      </c>
      <c r="E1965" s="1" t="s">
        <v>37</v>
      </c>
      <c r="F1965">
        <v>14</v>
      </c>
      <c r="G1965">
        <v>2</v>
      </c>
      <c r="H1965" s="1" t="s">
        <v>14</v>
      </c>
      <c r="I1965" s="1" t="s">
        <v>15</v>
      </c>
      <c r="J1965" s="12">
        <v>45800</v>
      </c>
      <c r="K1965">
        <v>0</v>
      </c>
      <c r="L1965" s="1">
        <f t="shared" si="120"/>
        <v>28</v>
      </c>
      <c r="M1965" s="1" t="str">
        <f t="shared" si="121"/>
        <v/>
      </c>
      <c r="N1965" s="2">
        <f t="shared" si="122"/>
        <v>45778</v>
      </c>
      <c r="O1965" t="str">
        <f t="shared" si="123"/>
        <v>mačka</v>
      </c>
    </row>
    <row r="1966" spans="1:15" x14ac:dyDescent="0.25">
      <c r="A1966">
        <v>9475</v>
      </c>
      <c r="B1966" s="11">
        <v>4063456789014</v>
      </c>
      <c r="C1966" s="1" t="s">
        <v>60</v>
      </c>
      <c r="D1966" s="1" t="s">
        <v>12</v>
      </c>
      <c r="E1966" s="1" t="s">
        <v>61</v>
      </c>
      <c r="F1966">
        <v>36</v>
      </c>
      <c r="G1966">
        <v>1</v>
      </c>
      <c r="H1966" s="1" t="s">
        <v>14</v>
      </c>
      <c r="I1966" s="1" t="s">
        <v>15</v>
      </c>
      <c r="J1966" s="12">
        <v>45800</v>
      </c>
      <c r="K1966">
        <v>0</v>
      </c>
      <c r="L1966" s="1">
        <f t="shared" si="120"/>
        <v>36</v>
      </c>
      <c r="M1966" s="1" t="str">
        <f t="shared" si="121"/>
        <v/>
      </c>
      <c r="N1966" s="2">
        <f t="shared" si="122"/>
        <v>45778</v>
      </c>
      <c r="O1966" t="str">
        <f t="shared" si="123"/>
        <v>pes</v>
      </c>
    </row>
    <row r="1967" spans="1:15" hidden="1" x14ac:dyDescent="0.25">
      <c r="A1967">
        <v>9476</v>
      </c>
      <c r="B1967" s="11">
        <v>4021234567894</v>
      </c>
      <c r="C1967" s="1" t="s">
        <v>79</v>
      </c>
      <c r="D1967" s="1" t="s">
        <v>36</v>
      </c>
      <c r="E1967" s="1" t="s">
        <v>69</v>
      </c>
      <c r="F1967">
        <v>8</v>
      </c>
      <c r="G1967">
        <v>1</v>
      </c>
      <c r="H1967" s="1" t="s">
        <v>14</v>
      </c>
      <c r="I1967" s="1" t="s">
        <v>15</v>
      </c>
      <c r="J1967" s="12">
        <v>45800</v>
      </c>
      <c r="K1967">
        <v>0</v>
      </c>
      <c r="L1967" s="1">
        <f t="shared" si="120"/>
        <v>8</v>
      </c>
      <c r="M1967" s="1" t="str">
        <f t="shared" si="121"/>
        <v/>
      </c>
      <c r="N1967" s="2">
        <f t="shared" si="122"/>
        <v>45778</v>
      </c>
      <c r="O1967" t="str">
        <f t="shared" si="123"/>
        <v>mačka</v>
      </c>
    </row>
    <row r="1968" spans="1:15" hidden="1" x14ac:dyDescent="0.25">
      <c r="A1968">
        <v>9477</v>
      </c>
      <c r="B1968" s="11">
        <v>4056789012345</v>
      </c>
      <c r="C1968" s="1" t="s">
        <v>47</v>
      </c>
      <c r="D1968" s="1" t="s">
        <v>29</v>
      </c>
      <c r="E1968" s="1" t="s">
        <v>37</v>
      </c>
      <c r="F1968">
        <v>2.4</v>
      </c>
      <c r="G1968">
        <v>2</v>
      </c>
      <c r="H1968" s="1" t="s">
        <v>14</v>
      </c>
      <c r="I1968" s="1" t="s">
        <v>15</v>
      </c>
      <c r="J1968" s="12">
        <v>45800</v>
      </c>
      <c r="K1968">
        <v>0</v>
      </c>
      <c r="L1968" s="1">
        <f t="shared" si="120"/>
        <v>4.8</v>
      </c>
      <c r="M1968" s="1" t="str">
        <f t="shared" si="121"/>
        <v/>
      </c>
      <c r="N1968" s="2">
        <f t="shared" si="122"/>
        <v>45778</v>
      </c>
      <c r="O1968" t="str">
        <f t="shared" si="123"/>
        <v>mačka</v>
      </c>
    </row>
    <row r="1969" spans="1:15" x14ac:dyDescent="0.25">
      <c r="A1969">
        <v>9478</v>
      </c>
      <c r="B1969" s="11">
        <v>4061011223346</v>
      </c>
      <c r="C1969" s="1" t="s">
        <v>25</v>
      </c>
      <c r="D1969" s="1" t="s">
        <v>26</v>
      </c>
      <c r="E1969" s="1" t="s">
        <v>27</v>
      </c>
      <c r="F1969">
        <v>19.600000000000001</v>
      </c>
      <c r="G1969">
        <v>1</v>
      </c>
      <c r="H1969" s="1" t="s">
        <v>14</v>
      </c>
      <c r="I1969" s="1" t="s">
        <v>15</v>
      </c>
      <c r="J1969" s="12">
        <v>45800</v>
      </c>
      <c r="K1969">
        <v>0</v>
      </c>
      <c r="L1969" s="1">
        <f t="shared" si="120"/>
        <v>19.600000000000001</v>
      </c>
      <c r="M1969" s="1" t="str">
        <f t="shared" si="121"/>
        <v/>
      </c>
      <c r="N1969" s="2">
        <f t="shared" si="122"/>
        <v>45778</v>
      </c>
      <c r="O1969" t="str">
        <f t="shared" si="123"/>
        <v>pes</v>
      </c>
    </row>
    <row r="1970" spans="1:15" hidden="1" x14ac:dyDescent="0.25">
      <c r="A1970">
        <v>9479</v>
      </c>
      <c r="B1970" s="11">
        <v>4026677889902</v>
      </c>
      <c r="C1970" s="1" t="s">
        <v>52</v>
      </c>
      <c r="D1970" s="1" t="s">
        <v>53</v>
      </c>
      <c r="E1970" s="1" t="s">
        <v>54</v>
      </c>
      <c r="F1970">
        <v>7.6</v>
      </c>
      <c r="G1970">
        <v>1</v>
      </c>
      <c r="H1970" s="1" t="s">
        <v>23</v>
      </c>
      <c r="I1970" s="1" t="s">
        <v>292</v>
      </c>
      <c r="J1970" s="12">
        <v>45800</v>
      </c>
      <c r="K1970">
        <v>0</v>
      </c>
      <c r="L1970" s="1">
        <f t="shared" si="120"/>
        <v>7.6</v>
      </c>
      <c r="M1970" s="1">
        <f t="shared" si="121"/>
        <v>5</v>
      </c>
      <c r="N1970" s="2">
        <f t="shared" si="122"/>
        <v>45778</v>
      </c>
      <c r="O1970" t="str">
        <f t="shared" si="123"/>
        <v>iné</v>
      </c>
    </row>
    <row r="1971" spans="1:15" x14ac:dyDescent="0.25">
      <c r="A1971">
        <v>9480</v>
      </c>
      <c r="B1971" s="11">
        <v>4028899001126</v>
      </c>
      <c r="C1971" s="1" t="s">
        <v>16</v>
      </c>
      <c r="D1971" s="1" t="s">
        <v>12</v>
      </c>
      <c r="E1971" s="1" t="s">
        <v>17</v>
      </c>
      <c r="F1971">
        <v>2.8</v>
      </c>
      <c r="G1971">
        <v>4</v>
      </c>
      <c r="H1971" s="1" t="s">
        <v>14</v>
      </c>
      <c r="I1971" s="1" t="s">
        <v>15</v>
      </c>
      <c r="J1971" s="12">
        <v>45800</v>
      </c>
      <c r="K1971">
        <v>0</v>
      </c>
      <c r="L1971" s="1">
        <f t="shared" si="120"/>
        <v>11.2</v>
      </c>
      <c r="M1971" s="1" t="str">
        <f t="shared" si="121"/>
        <v/>
      </c>
      <c r="N1971" s="2">
        <f t="shared" si="122"/>
        <v>45778</v>
      </c>
      <c r="O1971" t="str">
        <f t="shared" si="123"/>
        <v>pes</v>
      </c>
    </row>
    <row r="1972" spans="1:15" x14ac:dyDescent="0.25">
      <c r="A1972">
        <v>9481</v>
      </c>
      <c r="B1972" s="11">
        <v>4013456789017</v>
      </c>
      <c r="C1972" s="1" t="s">
        <v>11</v>
      </c>
      <c r="D1972" s="1" t="s">
        <v>12</v>
      </c>
      <c r="E1972" s="1" t="s">
        <v>13</v>
      </c>
      <c r="F1972">
        <v>6</v>
      </c>
      <c r="G1972">
        <v>1</v>
      </c>
      <c r="H1972" s="1" t="s">
        <v>14</v>
      </c>
      <c r="I1972" s="1" t="s">
        <v>15</v>
      </c>
      <c r="J1972" s="12">
        <v>45800</v>
      </c>
      <c r="K1972">
        <v>0</v>
      </c>
      <c r="L1972" s="1">
        <f t="shared" si="120"/>
        <v>6</v>
      </c>
      <c r="M1972" s="1" t="str">
        <f t="shared" si="121"/>
        <v/>
      </c>
      <c r="N1972" s="2">
        <f t="shared" si="122"/>
        <v>45778</v>
      </c>
      <c r="O1972" t="str">
        <f t="shared" si="123"/>
        <v>pes</v>
      </c>
    </row>
    <row r="1973" spans="1:15" x14ac:dyDescent="0.25">
      <c r="A1973">
        <v>9482</v>
      </c>
      <c r="B1973" s="11">
        <v>4040123456795</v>
      </c>
      <c r="C1973" s="1" t="s">
        <v>20</v>
      </c>
      <c r="D1973" s="1" t="s">
        <v>21</v>
      </c>
      <c r="E1973" s="1" t="s">
        <v>22</v>
      </c>
      <c r="F1973">
        <v>8.8000000000000007</v>
      </c>
      <c r="G1973">
        <v>1</v>
      </c>
      <c r="H1973" s="1" t="s">
        <v>14</v>
      </c>
      <c r="I1973" s="1" t="s">
        <v>15</v>
      </c>
      <c r="J1973" s="12">
        <v>45800</v>
      </c>
      <c r="K1973">
        <v>0</v>
      </c>
      <c r="L1973" s="1">
        <f t="shared" si="120"/>
        <v>8.8000000000000007</v>
      </c>
      <c r="M1973" s="1" t="str">
        <f t="shared" si="121"/>
        <v/>
      </c>
      <c r="N1973" s="2">
        <f t="shared" si="122"/>
        <v>45778</v>
      </c>
      <c r="O1973" t="str">
        <f t="shared" si="123"/>
        <v>pes</v>
      </c>
    </row>
    <row r="1974" spans="1:15" hidden="1" x14ac:dyDescent="0.25">
      <c r="A1974">
        <v>9483</v>
      </c>
      <c r="B1974" s="11">
        <v>4010123456783</v>
      </c>
      <c r="C1974" s="1" t="s">
        <v>35</v>
      </c>
      <c r="D1974" s="1" t="s">
        <v>36</v>
      </c>
      <c r="E1974" s="1" t="s">
        <v>37</v>
      </c>
      <c r="F1974">
        <v>14</v>
      </c>
      <c r="G1974">
        <v>1</v>
      </c>
      <c r="H1974" s="1" t="s">
        <v>14</v>
      </c>
      <c r="I1974" s="1" t="s">
        <v>15</v>
      </c>
      <c r="J1974" s="12">
        <v>45801</v>
      </c>
      <c r="K1974">
        <v>0</v>
      </c>
      <c r="L1974" s="1">
        <f t="shared" si="120"/>
        <v>14</v>
      </c>
      <c r="M1974" s="1" t="str">
        <f t="shared" si="121"/>
        <v/>
      </c>
      <c r="N1974" s="2">
        <f t="shared" si="122"/>
        <v>45778</v>
      </c>
      <c r="O1974" t="str">
        <f t="shared" si="123"/>
        <v>mačka</v>
      </c>
    </row>
    <row r="1975" spans="1:15" x14ac:dyDescent="0.25">
      <c r="A1975">
        <v>9484</v>
      </c>
      <c r="B1975" s="11">
        <v>4063456789014</v>
      </c>
      <c r="C1975" s="1" t="s">
        <v>60</v>
      </c>
      <c r="D1975" s="1" t="s">
        <v>12</v>
      </c>
      <c r="E1975" s="1" t="s">
        <v>61</v>
      </c>
      <c r="F1975">
        <v>36</v>
      </c>
      <c r="G1975">
        <v>1</v>
      </c>
      <c r="H1975" s="1" t="s">
        <v>14</v>
      </c>
      <c r="I1975" s="1" t="s">
        <v>15</v>
      </c>
      <c r="J1975" s="12">
        <v>45801</v>
      </c>
      <c r="K1975">
        <v>0</v>
      </c>
      <c r="L1975" s="1">
        <f t="shared" si="120"/>
        <v>36</v>
      </c>
      <c r="M1975" s="1" t="str">
        <f t="shared" si="121"/>
        <v/>
      </c>
      <c r="N1975" s="2">
        <f t="shared" si="122"/>
        <v>45778</v>
      </c>
      <c r="O1975" t="str">
        <f t="shared" si="123"/>
        <v>pes</v>
      </c>
    </row>
    <row r="1976" spans="1:15" hidden="1" x14ac:dyDescent="0.25">
      <c r="A1976">
        <v>9485</v>
      </c>
      <c r="B1976" s="11">
        <v>4021234567894</v>
      </c>
      <c r="C1976" s="1" t="s">
        <v>79</v>
      </c>
      <c r="D1976" s="1" t="s">
        <v>36</v>
      </c>
      <c r="E1976" s="1" t="s">
        <v>69</v>
      </c>
      <c r="F1976">
        <v>8</v>
      </c>
      <c r="G1976">
        <v>1</v>
      </c>
      <c r="H1976" s="1" t="s">
        <v>14</v>
      </c>
      <c r="I1976" s="1" t="s">
        <v>15</v>
      </c>
      <c r="J1976" s="12">
        <v>45801</v>
      </c>
      <c r="K1976">
        <v>0</v>
      </c>
      <c r="L1976" s="1">
        <f t="shared" si="120"/>
        <v>8</v>
      </c>
      <c r="M1976" s="1" t="str">
        <f t="shared" si="121"/>
        <v/>
      </c>
      <c r="N1976" s="2">
        <f t="shared" si="122"/>
        <v>45778</v>
      </c>
      <c r="O1976" t="str">
        <f t="shared" si="123"/>
        <v>mačka</v>
      </c>
    </row>
    <row r="1977" spans="1:15" hidden="1" x14ac:dyDescent="0.25">
      <c r="A1977">
        <v>9486</v>
      </c>
      <c r="B1977" s="11">
        <v>4056789012345</v>
      </c>
      <c r="C1977" s="1" t="s">
        <v>47</v>
      </c>
      <c r="D1977" s="1" t="s">
        <v>29</v>
      </c>
      <c r="E1977" s="1" t="s">
        <v>37</v>
      </c>
      <c r="F1977">
        <v>2.4</v>
      </c>
      <c r="G1977">
        <v>2</v>
      </c>
      <c r="H1977" s="1" t="s">
        <v>14</v>
      </c>
      <c r="I1977" s="1" t="s">
        <v>15</v>
      </c>
      <c r="J1977" s="12">
        <v>45801</v>
      </c>
      <c r="K1977">
        <v>0</v>
      </c>
      <c r="L1977" s="1">
        <f t="shared" si="120"/>
        <v>4.8</v>
      </c>
      <c r="M1977" s="1" t="str">
        <f t="shared" si="121"/>
        <v/>
      </c>
      <c r="N1977" s="2">
        <f t="shared" si="122"/>
        <v>45778</v>
      </c>
      <c r="O1977" t="str">
        <f t="shared" si="123"/>
        <v>mačka</v>
      </c>
    </row>
    <row r="1978" spans="1:15" x14ac:dyDescent="0.25">
      <c r="A1978">
        <v>9487</v>
      </c>
      <c r="B1978" s="11">
        <v>4061011223346</v>
      </c>
      <c r="C1978" s="1" t="s">
        <v>25</v>
      </c>
      <c r="D1978" s="1" t="s">
        <v>26</v>
      </c>
      <c r="E1978" s="1" t="s">
        <v>27</v>
      </c>
      <c r="F1978">
        <v>19.600000000000001</v>
      </c>
      <c r="G1978">
        <v>1</v>
      </c>
      <c r="H1978" s="1" t="s">
        <v>14</v>
      </c>
      <c r="I1978" s="1" t="s">
        <v>15</v>
      </c>
      <c r="J1978" s="12">
        <v>45801</v>
      </c>
      <c r="K1978">
        <v>0</v>
      </c>
      <c r="L1978" s="1">
        <f t="shared" si="120"/>
        <v>19.600000000000001</v>
      </c>
      <c r="M1978" s="1" t="str">
        <f t="shared" si="121"/>
        <v/>
      </c>
      <c r="N1978" s="2">
        <f t="shared" si="122"/>
        <v>45778</v>
      </c>
      <c r="O1978" t="str">
        <f t="shared" si="123"/>
        <v>pes</v>
      </c>
    </row>
    <row r="1979" spans="1:15" hidden="1" x14ac:dyDescent="0.25">
      <c r="A1979">
        <v>9488</v>
      </c>
      <c r="B1979" s="11">
        <v>4026677889902</v>
      </c>
      <c r="C1979" s="1" t="s">
        <v>52</v>
      </c>
      <c r="D1979" s="1" t="s">
        <v>53</v>
      </c>
      <c r="E1979" s="1" t="s">
        <v>54</v>
      </c>
      <c r="F1979">
        <v>7.6</v>
      </c>
      <c r="G1979">
        <v>1</v>
      </c>
      <c r="H1979" s="1" t="s">
        <v>14</v>
      </c>
      <c r="I1979" s="1" t="s">
        <v>15</v>
      </c>
      <c r="J1979" s="12">
        <v>45801</v>
      </c>
      <c r="K1979">
        <v>0</v>
      </c>
      <c r="L1979" s="1">
        <f t="shared" si="120"/>
        <v>7.6</v>
      </c>
      <c r="M1979" s="1" t="str">
        <f t="shared" si="121"/>
        <v/>
      </c>
      <c r="N1979" s="2">
        <f t="shared" si="122"/>
        <v>45778</v>
      </c>
      <c r="O1979" t="str">
        <f t="shared" si="123"/>
        <v>iné</v>
      </c>
    </row>
    <row r="1980" spans="1:15" x14ac:dyDescent="0.25">
      <c r="A1980">
        <v>9489</v>
      </c>
      <c r="B1980" s="11">
        <v>4028899001126</v>
      </c>
      <c r="C1980" s="1" t="s">
        <v>16</v>
      </c>
      <c r="D1980" s="1" t="s">
        <v>12</v>
      </c>
      <c r="E1980" s="1" t="s">
        <v>17</v>
      </c>
      <c r="F1980">
        <v>2.8</v>
      </c>
      <c r="G1980">
        <v>4</v>
      </c>
      <c r="H1980" s="1" t="s">
        <v>14</v>
      </c>
      <c r="I1980" s="1" t="s">
        <v>15</v>
      </c>
      <c r="J1980" s="12">
        <v>45801</v>
      </c>
      <c r="K1980">
        <v>0</v>
      </c>
      <c r="L1980" s="1">
        <f t="shared" si="120"/>
        <v>11.2</v>
      </c>
      <c r="M1980" s="1" t="str">
        <f t="shared" si="121"/>
        <v/>
      </c>
      <c r="N1980" s="2">
        <f t="shared" si="122"/>
        <v>45778</v>
      </c>
      <c r="O1980" t="str">
        <f t="shared" si="123"/>
        <v>pes</v>
      </c>
    </row>
    <row r="1981" spans="1:15" x14ac:dyDescent="0.25">
      <c r="A1981">
        <v>9490</v>
      </c>
      <c r="B1981" s="11">
        <v>4013456789017</v>
      </c>
      <c r="C1981" s="1" t="s">
        <v>11</v>
      </c>
      <c r="D1981" s="1" t="s">
        <v>12</v>
      </c>
      <c r="E1981" s="1" t="s">
        <v>13</v>
      </c>
      <c r="F1981">
        <v>6</v>
      </c>
      <c r="G1981">
        <v>1</v>
      </c>
      <c r="H1981" s="1" t="s">
        <v>14</v>
      </c>
      <c r="I1981" s="1" t="s">
        <v>15</v>
      </c>
      <c r="J1981" s="12">
        <v>45801</v>
      </c>
      <c r="K1981">
        <v>0</v>
      </c>
      <c r="L1981" s="1">
        <f t="shared" si="120"/>
        <v>6</v>
      </c>
      <c r="M1981" s="1" t="str">
        <f t="shared" si="121"/>
        <v/>
      </c>
      <c r="N1981" s="2">
        <f t="shared" si="122"/>
        <v>45778</v>
      </c>
      <c r="O1981" t="str">
        <f t="shared" si="123"/>
        <v>pes</v>
      </c>
    </row>
    <row r="1982" spans="1:15" x14ac:dyDescent="0.25">
      <c r="A1982">
        <v>9491</v>
      </c>
      <c r="B1982" s="11">
        <v>4040123456795</v>
      </c>
      <c r="C1982" s="1" t="s">
        <v>20</v>
      </c>
      <c r="D1982" s="1" t="s">
        <v>21</v>
      </c>
      <c r="E1982" s="1" t="s">
        <v>22</v>
      </c>
      <c r="F1982">
        <v>8.8000000000000007</v>
      </c>
      <c r="G1982">
        <v>1</v>
      </c>
      <c r="H1982" s="1" t="s">
        <v>14</v>
      </c>
      <c r="I1982" s="1" t="s">
        <v>15</v>
      </c>
      <c r="J1982" s="12">
        <v>45801</v>
      </c>
      <c r="K1982">
        <v>0</v>
      </c>
      <c r="L1982" s="1">
        <f t="shared" si="120"/>
        <v>8.8000000000000007</v>
      </c>
      <c r="M1982" s="1" t="str">
        <f t="shared" si="121"/>
        <v/>
      </c>
      <c r="N1982" s="2">
        <f t="shared" si="122"/>
        <v>45778</v>
      </c>
      <c r="O1982" t="str">
        <f t="shared" si="123"/>
        <v>pes</v>
      </c>
    </row>
    <row r="1983" spans="1:15" hidden="1" x14ac:dyDescent="0.25">
      <c r="A1983">
        <v>9492</v>
      </c>
      <c r="B1983" s="11">
        <v>4010123456783</v>
      </c>
      <c r="C1983" s="1" t="s">
        <v>35</v>
      </c>
      <c r="D1983" s="1" t="s">
        <v>36</v>
      </c>
      <c r="E1983" s="1" t="s">
        <v>37</v>
      </c>
      <c r="F1983">
        <v>14</v>
      </c>
      <c r="G1983">
        <v>2</v>
      </c>
      <c r="H1983" s="1" t="s">
        <v>14</v>
      </c>
      <c r="I1983" s="1" t="s">
        <v>15</v>
      </c>
      <c r="J1983" s="12">
        <v>45801</v>
      </c>
      <c r="K1983">
        <v>0</v>
      </c>
      <c r="L1983" s="1">
        <f t="shared" si="120"/>
        <v>28</v>
      </c>
      <c r="M1983" s="1" t="str">
        <f t="shared" si="121"/>
        <v/>
      </c>
      <c r="N1983" s="2">
        <f t="shared" si="122"/>
        <v>45778</v>
      </c>
      <c r="O1983" t="str">
        <f t="shared" si="123"/>
        <v>mačka</v>
      </c>
    </row>
    <row r="1984" spans="1:15" x14ac:dyDescent="0.25">
      <c r="A1984">
        <v>9493</v>
      </c>
      <c r="B1984" s="11">
        <v>4063456789014</v>
      </c>
      <c r="C1984" s="1" t="s">
        <v>60</v>
      </c>
      <c r="D1984" s="1" t="s">
        <v>12</v>
      </c>
      <c r="E1984" s="1" t="s">
        <v>61</v>
      </c>
      <c r="F1984">
        <v>36</v>
      </c>
      <c r="G1984">
        <v>1</v>
      </c>
      <c r="H1984" s="1" t="s">
        <v>33</v>
      </c>
      <c r="I1984" s="1" t="s">
        <v>293</v>
      </c>
      <c r="J1984" s="12">
        <v>45801</v>
      </c>
      <c r="K1984">
        <v>0</v>
      </c>
      <c r="L1984" s="1">
        <f t="shared" si="120"/>
        <v>36</v>
      </c>
      <c r="M1984" s="1">
        <f t="shared" si="121"/>
        <v>3</v>
      </c>
      <c r="N1984" s="2">
        <f t="shared" si="122"/>
        <v>45778</v>
      </c>
      <c r="O1984" t="str">
        <f t="shared" si="123"/>
        <v>pes</v>
      </c>
    </row>
    <row r="1985" spans="1:15" hidden="1" x14ac:dyDescent="0.25">
      <c r="A1985">
        <v>9494</v>
      </c>
      <c r="B1985" s="11">
        <v>4021234567894</v>
      </c>
      <c r="C1985" s="1" t="s">
        <v>79</v>
      </c>
      <c r="D1985" s="1" t="s">
        <v>36</v>
      </c>
      <c r="E1985" s="1" t="s">
        <v>69</v>
      </c>
      <c r="F1985">
        <v>8</v>
      </c>
      <c r="G1985">
        <v>1</v>
      </c>
      <c r="H1985" s="1" t="s">
        <v>14</v>
      </c>
      <c r="I1985" s="1" t="s">
        <v>15</v>
      </c>
      <c r="J1985" s="12">
        <v>45801</v>
      </c>
      <c r="K1985">
        <v>0</v>
      </c>
      <c r="L1985" s="1">
        <f t="shared" si="120"/>
        <v>8</v>
      </c>
      <c r="M1985" s="1" t="str">
        <f t="shared" si="121"/>
        <v/>
      </c>
      <c r="N1985" s="2">
        <f t="shared" si="122"/>
        <v>45778</v>
      </c>
      <c r="O1985" t="str">
        <f t="shared" si="123"/>
        <v>mačka</v>
      </c>
    </row>
    <row r="1986" spans="1:15" hidden="1" x14ac:dyDescent="0.25">
      <c r="A1986">
        <v>9495</v>
      </c>
      <c r="B1986" s="11">
        <v>4056789012345</v>
      </c>
      <c r="C1986" s="1" t="s">
        <v>47</v>
      </c>
      <c r="D1986" s="1" t="s">
        <v>29</v>
      </c>
      <c r="E1986" s="1" t="s">
        <v>37</v>
      </c>
      <c r="F1986">
        <v>2.4</v>
      </c>
      <c r="G1986">
        <v>2</v>
      </c>
      <c r="H1986" s="1" t="s">
        <v>14</v>
      </c>
      <c r="I1986" s="1" t="s">
        <v>15</v>
      </c>
      <c r="J1986" s="12">
        <v>45802</v>
      </c>
      <c r="K1986">
        <v>0</v>
      </c>
      <c r="L1986" s="1">
        <f t="shared" ref="L1986:L2049" si="124">F1986*G1986</f>
        <v>4.8</v>
      </c>
      <c r="M1986" s="1" t="str">
        <f t="shared" ref="M1986:M2049" si="125">IF(H1986="NULL", "",VALUE(H1986))</f>
        <v/>
      </c>
      <c r="N1986" s="2">
        <f t="shared" ref="N1986:N2049" si="126">DATE(YEAR(J1986),MONTH(J1986),1)</f>
        <v>45778</v>
      </c>
      <c r="O1986" t="str">
        <f t="shared" ref="O1986:O2049" si="127">IF(ISNUMBER(SEARCH("Mačky",D1986)),"mačka",IF(ISNUMBER(SEARCH("Psy",D1986)),"pes","iné"))</f>
        <v>mačka</v>
      </c>
    </row>
    <row r="1987" spans="1:15" x14ac:dyDescent="0.25">
      <c r="A1987">
        <v>9496</v>
      </c>
      <c r="B1987" s="11">
        <v>4061011223346</v>
      </c>
      <c r="C1987" s="1" t="s">
        <v>25</v>
      </c>
      <c r="D1987" s="1" t="s">
        <v>26</v>
      </c>
      <c r="E1987" s="1" t="s">
        <v>27</v>
      </c>
      <c r="F1987">
        <v>19.600000000000001</v>
      </c>
      <c r="G1987">
        <v>1</v>
      </c>
      <c r="H1987" s="1" t="s">
        <v>14</v>
      </c>
      <c r="I1987" s="1" t="s">
        <v>15</v>
      </c>
      <c r="J1987" s="12">
        <v>45802</v>
      </c>
      <c r="K1987">
        <v>0</v>
      </c>
      <c r="L1987" s="1">
        <f t="shared" si="124"/>
        <v>19.600000000000001</v>
      </c>
      <c r="M1987" s="1" t="str">
        <f t="shared" si="125"/>
        <v/>
      </c>
      <c r="N1987" s="2">
        <f t="shared" si="126"/>
        <v>45778</v>
      </c>
      <c r="O1987" t="str">
        <f t="shared" si="127"/>
        <v>pes</v>
      </c>
    </row>
    <row r="1988" spans="1:15" hidden="1" x14ac:dyDescent="0.25">
      <c r="A1988">
        <v>9497</v>
      </c>
      <c r="B1988" s="11">
        <v>4026677889902</v>
      </c>
      <c r="C1988" s="1" t="s">
        <v>52</v>
      </c>
      <c r="D1988" s="1" t="s">
        <v>53</v>
      </c>
      <c r="E1988" s="1" t="s">
        <v>54</v>
      </c>
      <c r="F1988">
        <v>7.6</v>
      </c>
      <c r="G1988">
        <v>1</v>
      </c>
      <c r="H1988" s="1" t="s">
        <v>14</v>
      </c>
      <c r="I1988" s="1" t="s">
        <v>15</v>
      </c>
      <c r="J1988" s="12">
        <v>45802</v>
      </c>
      <c r="K1988">
        <v>0</v>
      </c>
      <c r="L1988" s="1">
        <f t="shared" si="124"/>
        <v>7.6</v>
      </c>
      <c r="M1988" s="1" t="str">
        <f t="shared" si="125"/>
        <v/>
      </c>
      <c r="N1988" s="2">
        <f t="shared" si="126"/>
        <v>45778</v>
      </c>
      <c r="O1988" t="str">
        <f t="shared" si="127"/>
        <v>iné</v>
      </c>
    </row>
    <row r="1989" spans="1:15" x14ac:dyDescent="0.25">
      <c r="A1989">
        <v>9498</v>
      </c>
      <c r="B1989" s="11">
        <v>4028899001126</v>
      </c>
      <c r="C1989" s="1" t="s">
        <v>16</v>
      </c>
      <c r="D1989" s="1" t="s">
        <v>12</v>
      </c>
      <c r="E1989" s="1" t="s">
        <v>17</v>
      </c>
      <c r="F1989">
        <v>2.8</v>
      </c>
      <c r="G1989">
        <v>3</v>
      </c>
      <c r="H1989" s="1" t="s">
        <v>14</v>
      </c>
      <c r="I1989" s="1" t="s">
        <v>15</v>
      </c>
      <c r="J1989" s="12">
        <v>45802</v>
      </c>
      <c r="K1989">
        <v>0</v>
      </c>
      <c r="L1989" s="1">
        <f t="shared" si="124"/>
        <v>8.3999999999999986</v>
      </c>
      <c r="M1989" s="1" t="str">
        <f t="shared" si="125"/>
        <v/>
      </c>
      <c r="N1989" s="2">
        <f t="shared" si="126"/>
        <v>45778</v>
      </c>
      <c r="O1989" t="str">
        <f t="shared" si="127"/>
        <v>pes</v>
      </c>
    </row>
    <row r="1990" spans="1:15" x14ac:dyDescent="0.25">
      <c r="A1990">
        <v>9499</v>
      </c>
      <c r="B1990" s="11">
        <v>4013456789017</v>
      </c>
      <c r="C1990" s="1" t="s">
        <v>11</v>
      </c>
      <c r="D1990" s="1" t="s">
        <v>12</v>
      </c>
      <c r="E1990" s="1" t="s">
        <v>13</v>
      </c>
      <c r="F1990">
        <v>6</v>
      </c>
      <c r="G1990">
        <v>1</v>
      </c>
      <c r="H1990" s="1" t="s">
        <v>14</v>
      </c>
      <c r="I1990" s="1" t="s">
        <v>15</v>
      </c>
      <c r="J1990" s="12">
        <v>45802</v>
      </c>
      <c r="K1990">
        <v>0</v>
      </c>
      <c r="L1990" s="1">
        <f t="shared" si="124"/>
        <v>6</v>
      </c>
      <c r="M1990" s="1" t="str">
        <f t="shared" si="125"/>
        <v/>
      </c>
      <c r="N1990" s="2">
        <f t="shared" si="126"/>
        <v>45778</v>
      </c>
      <c r="O1990" t="str">
        <f t="shared" si="127"/>
        <v>pes</v>
      </c>
    </row>
    <row r="1991" spans="1:15" x14ac:dyDescent="0.25">
      <c r="A1991">
        <v>9500</v>
      </c>
      <c r="B1991" s="11">
        <v>4040123456795</v>
      </c>
      <c r="C1991" s="1" t="s">
        <v>20</v>
      </c>
      <c r="D1991" s="1" t="s">
        <v>21</v>
      </c>
      <c r="E1991" s="1" t="s">
        <v>22</v>
      </c>
      <c r="F1991">
        <v>8.8000000000000007</v>
      </c>
      <c r="G1991">
        <v>1</v>
      </c>
      <c r="H1991" s="1" t="s">
        <v>14</v>
      </c>
      <c r="I1991" s="1" t="s">
        <v>15</v>
      </c>
      <c r="J1991" s="12">
        <v>45802</v>
      </c>
      <c r="K1991">
        <v>0</v>
      </c>
      <c r="L1991" s="1">
        <f t="shared" si="124"/>
        <v>8.8000000000000007</v>
      </c>
      <c r="M1991" s="1" t="str">
        <f t="shared" si="125"/>
        <v/>
      </c>
      <c r="N1991" s="2">
        <f t="shared" si="126"/>
        <v>45778</v>
      </c>
      <c r="O1991" t="str">
        <f t="shared" si="127"/>
        <v>pes</v>
      </c>
    </row>
    <row r="1992" spans="1:15" hidden="1" x14ac:dyDescent="0.25">
      <c r="A1992">
        <v>9501</v>
      </c>
      <c r="B1992" s="11">
        <v>4010123456783</v>
      </c>
      <c r="C1992" s="1" t="s">
        <v>35</v>
      </c>
      <c r="D1992" s="1" t="s">
        <v>36</v>
      </c>
      <c r="E1992" s="1" t="s">
        <v>37</v>
      </c>
      <c r="F1992">
        <v>14</v>
      </c>
      <c r="G1992">
        <v>1</v>
      </c>
      <c r="H1992" s="1" t="s">
        <v>14</v>
      </c>
      <c r="I1992" s="1" t="s">
        <v>15</v>
      </c>
      <c r="J1992" s="12">
        <v>45802</v>
      </c>
      <c r="K1992">
        <v>0</v>
      </c>
      <c r="L1992" s="1">
        <f t="shared" si="124"/>
        <v>14</v>
      </c>
      <c r="M1992" s="1" t="str">
        <f t="shared" si="125"/>
        <v/>
      </c>
      <c r="N1992" s="2">
        <f t="shared" si="126"/>
        <v>45778</v>
      </c>
      <c r="O1992" t="str">
        <f t="shared" si="127"/>
        <v>mačka</v>
      </c>
    </row>
    <row r="1993" spans="1:15" x14ac:dyDescent="0.25">
      <c r="A1993">
        <v>9502</v>
      </c>
      <c r="B1993" s="11">
        <v>4063456789014</v>
      </c>
      <c r="C1993" s="1" t="s">
        <v>60</v>
      </c>
      <c r="D1993" s="1" t="s">
        <v>12</v>
      </c>
      <c r="E1993" s="1" t="s">
        <v>61</v>
      </c>
      <c r="F1993">
        <v>36</v>
      </c>
      <c r="G1993">
        <v>1</v>
      </c>
      <c r="H1993" s="1" t="s">
        <v>14</v>
      </c>
      <c r="I1993" s="1" t="s">
        <v>15</v>
      </c>
      <c r="J1993" s="12">
        <v>45802</v>
      </c>
      <c r="K1993">
        <v>0</v>
      </c>
      <c r="L1993" s="1">
        <f t="shared" si="124"/>
        <v>36</v>
      </c>
      <c r="M1993" s="1" t="str">
        <f t="shared" si="125"/>
        <v/>
      </c>
      <c r="N1993" s="2">
        <f t="shared" si="126"/>
        <v>45778</v>
      </c>
      <c r="O1993" t="str">
        <f t="shared" si="127"/>
        <v>pes</v>
      </c>
    </row>
    <row r="1994" spans="1:15" hidden="1" x14ac:dyDescent="0.25">
      <c r="A1994">
        <v>9503</v>
      </c>
      <c r="B1994" s="11">
        <v>4021234567894</v>
      </c>
      <c r="C1994" s="1" t="s">
        <v>79</v>
      </c>
      <c r="D1994" s="1" t="s">
        <v>36</v>
      </c>
      <c r="E1994" s="1" t="s">
        <v>69</v>
      </c>
      <c r="F1994">
        <v>8</v>
      </c>
      <c r="G1994">
        <v>1</v>
      </c>
      <c r="H1994" s="1" t="s">
        <v>14</v>
      </c>
      <c r="I1994" s="1" t="s">
        <v>15</v>
      </c>
      <c r="J1994" s="12">
        <v>45802</v>
      </c>
      <c r="K1994">
        <v>0</v>
      </c>
      <c r="L1994" s="1">
        <f t="shared" si="124"/>
        <v>8</v>
      </c>
      <c r="M1994" s="1" t="str">
        <f t="shared" si="125"/>
        <v/>
      </c>
      <c r="N1994" s="2">
        <f t="shared" si="126"/>
        <v>45778</v>
      </c>
      <c r="O1994" t="str">
        <f t="shared" si="127"/>
        <v>mačka</v>
      </c>
    </row>
    <row r="1995" spans="1:15" hidden="1" x14ac:dyDescent="0.25">
      <c r="A1995">
        <v>9504</v>
      </c>
      <c r="B1995" s="11">
        <v>4056789012345</v>
      </c>
      <c r="C1995" s="1" t="s">
        <v>47</v>
      </c>
      <c r="D1995" s="1" t="s">
        <v>29</v>
      </c>
      <c r="E1995" s="1" t="s">
        <v>37</v>
      </c>
      <c r="F1995">
        <v>2.4</v>
      </c>
      <c r="G1995">
        <v>3</v>
      </c>
      <c r="H1995" s="1" t="s">
        <v>14</v>
      </c>
      <c r="I1995" s="1" t="s">
        <v>15</v>
      </c>
      <c r="J1995" s="12">
        <v>45802</v>
      </c>
      <c r="K1995">
        <v>0</v>
      </c>
      <c r="L1995" s="1">
        <f t="shared" si="124"/>
        <v>7.1999999999999993</v>
      </c>
      <c r="M1995" s="1" t="str">
        <f t="shared" si="125"/>
        <v/>
      </c>
      <c r="N1995" s="2">
        <f t="shared" si="126"/>
        <v>45778</v>
      </c>
      <c r="O1995" t="str">
        <f t="shared" si="127"/>
        <v>mačka</v>
      </c>
    </row>
    <row r="1996" spans="1:15" x14ac:dyDescent="0.25">
      <c r="A1996">
        <v>9505</v>
      </c>
      <c r="B1996" s="11">
        <v>4061011223346</v>
      </c>
      <c r="C1996" s="1" t="s">
        <v>25</v>
      </c>
      <c r="D1996" s="1" t="s">
        <v>26</v>
      </c>
      <c r="E1996" s="1" t="s">
        <v>27</v>
      </c>
      <c r="F1996">
        <v>19.600000000000001</v>
      </c>
      <c r="G1996">
        <v>1</v>
      </c>
      <c r="H1996" s="1" t="s">
        <v>14</v>
      </c>
      <c r="I1996" s="1" t="s">
        <v>15</v>
      </c>
      <c r="J1996" s="12">
        <v>45802</v>
      </c>
      <c r="K1996">
        <v>0</v>
      </c>
      <c r="L1996" s="1">
        <f t="shared" si="124"/>
        <v>19.600000000000001</v>
      </c>
      <c r="M1996" s="1" t="str">
        <f t="shared" si="125"/>
        <v/>
      </c>
      <c r="N1996" s="2">
        <f t="shared" si="126"/>
        <v>45778</v>
      </c>
      <c r="O1996" t="str">
        <f t="shared" si="127"/>
        <v>pes</v>
      </c>
    </row>
    <row r="1997" spans="1:15" hidden="1" x14ac:dyDescent="0.25">
      <c r="A1997">
        <v>9506</v>
      </c>
      <c r="B1997" s="11">
        <v>4026677889902</v>
      </c>
      <c r="C1997" s="1" t="s">
        <v>52</v>
      </c>
      <c r="D1997" s="1" t="s">
        <v>53</v>
      </c>
      <c r="E1997" s="1" t="s">
        <v>54</v>
      </c>
      <c r="F1997">
        <v>7.6</v>
      </c>
      <c r="G1997">
        <v>1</v>
      </c>
      <c r="H1997" s="1" t="s">
        <v>14</v>
      </c>
      <c r="I1997" s="1" t="s">
        <v>15</v>
      </c>
      <c r="J1997" s="12">
        <v>45802</v>
      </c>
      <c r="K1997">
        <v>0</v>
      </c>
      <c r="L1997" s="1">
        <f t="shared" si="124"/>
        <v>7.6</v>
      </c>
      <c r="M1997" s="1" t="str">
        <f t="shared" si="125"/>
        <v/>
      </c>
      <c r="N1997" s="2">
        <f t="shared" si="126"/>
        <v>45778</v>
      </c>
      <c r="O1997" t="str">
        <f t="shared" si="127"/>
        <v>iné</v>
      </c>
    </row>
    <row r="1998" spans="1:15" x14ac:dyDescent="0.25">
      <c r="A1998">
        <v>9507</v>
      </c>
      <c r="B1998" s="11">
        <v>4028899001126</v>
      </c>
      <c r="C1998" s="1" t="s">
        <v>16</v>
      </c>
      <c r="D1998" s="1" t="s">
        <v>12</v>
      </c>
      <c r="E1998" s="1" t="s">
        <v>17</v>
      </c>
      <c r="F1998">
        <v>2.8</v>
      </c>
      <c r="G1998">
        <v>4</v>
      </c>
      <c r="H1998" s="1" t="s">
        <v>18</v>
      </c>
      <c r="I1998" s="1" t="s">
        <v>294</v>
      </c>
      <c r="J1998" s="12">
        <v>45803</v>
      </c>
      <c r="K1998">
        <v>0</v>
      </c>
      <c r="L1998" s="1">
        <f t="shared" si="124"/>
        <v>11.2</v>
      </c>
      <c r="M1998" s="1">
        <f t="shared" si="125"/>
        <v>4</v>
      </c>
      <c r="N1998" s="2">
        <f t="shared" si="126"/>
        <v>45778</v>
      </c>
      <c r="O1998" t="str">
        <f t="shared" si="127"/>
        <v>pes</v>
      </c>
    </row>
    <row r="1999" spans="1:15" x14ac:dyDescent="0.25">
      <c r="A1999">
        <v>9508</v>
      </c>
      <c r="B1999" s="11">
        <v>4013456789017</v>
      </c>
      <c r="C1999" s="1" t="s">
        <v>11</v>
      </c>
      <c r="D1999" s="1" t="s">
        <v>12</v>
      </c>
      <c r="E1999" s="1" t="s">
        <v>13</v>
      </c>
      <c r="F1999">
        <v>6</v>
      </c>
      <c r="G1999">
        <v>1</v>
      </c>
      <c r="H1999" s="1" t="s">
        <v>14</v>
      </c>
      <c r="I1999" s="1" t="s">
        <v>15</v>
      </c>
      <c r="J1999" s="12">
        <v>45803</v>
      </c>
      <c r="K1999">
        <v>0</v>
      </c>
      <c r="L1999" s="1">
        <f t="shared" si="124"/>
        <v>6</v>
      </c>
      <c r="M1999" s="1" t="str">
        <f t="shared" si="125"/>
        <v/>
      </c>
      <c r="N1999" s="2">
        <f t="shared" si="126"/>
        <v>45778</v>
      </c>
      <c r="O1999" t="str">
        <f t="shared" si="127"/>
        <v>pes</v>
      </c>
    </row>
    <row r="2000" spans="1:15" x14ac:dyDescent="0.25">
      <c r="A2000">
        <v>9509</v>
      </c>
      <c r="B2000" s="11">
        <v>4040123456795</v>
      </c>
      <c r="C2000" s="1" t="s">
        <v>20</v>
      </c>
      <c r="D2000" s="1" t="s">
        <v>21</v>
      </c>
      <c r="E2000" s="1" t="s">
        <v>22</v>
      </c>
      <c r="F2000">
        <v>8.8000000000000007</v>
      </c>
      <c r="G2000">
        <v>1</v>
      </c>
      <c r="H2000" s="1" t="s">
        <v>14</v>
      </c>
      <c r="I2000" s="1" t="s">
        <v>15</v>
      </c>
      <c r="J2000" s="12">
        <v>45803</v>
      </c>
      <c r="K2000">
        <v>0</v>
      </c>
      <c r="L2000" s="1">
        <f t="shared" si="124"/>
        <v>8.8000000000000007</v>
      </c>
      <c r="M2000" s="1" t="str">
        <f t="shared" si="125"/>
        <v/>
      </c>
      <c r="N2000" s="2">
        <f t="shared" si="126"/>
        <v>45778</v>
      </c>
      <c r="O2000" t="str">
        <f t="shared" si="127"/>
        <v>pes</v>
      </c>
    </row>
    <row r="2001" spans="1:15" hidden="1" x14ac:dyDescent="0.25">
      <c r="A2001">
        <v>9510</v>
      </c>
      <c r="B2001" s="11">
        <v>4010123456783</v>
      </c>
      <c r="C2001" s="1" t="s">
        <v>35</v>
      </c>
      <c r="D2001" s="1" t="s">
        <v>36</v>
      </c>
      <c r="E2001" s="1" t="s">
        <v>37</v>
      </c>
      <c r="F2001">
        <v>14</v>
      </c>
      <c r="G2001">
        <v>1</v>
      </c>
      <c r="H2001" s="1" t="s">
        <v>14</v>
      </c>
      <c r="I2001" s="1" t="s">
        <v>15</v>
      </c>
      <c r="J2001" s="12">
        <v>45803</v>
      </c>
      <c r="K2001">
        <v>0</v>
      </c>
      <c r="L2001" s="1">
        <f t="shared" si="124"/>
        <v>14</v>
      </c>
      <c r="M2001" s="1" t="str">
        <f t="shared" si="125"/>
        <v/>
      </c>
      <c r="N2001" s="2">
        <f t="shared" si="126"/>
        <v>45778</v>
      </c>
      <c r="O2001" t="str">
        <f t="shared" si="127"/>
        <v>mačka</v>
      </c>
    </row>
    <row r="2002" spans="1:15" x14ac:dyDescent="0.25">
      <c r="A2002">
        <v>9511</v>
      </c>
      <c r="B2002" s="11">
        <v>4063456789014</v>
      </c>
      <c r="C2002" s="1" t="s">
        <v>60</v>
      </c>
      <c r="D2002" s="1" t="s">
        <v>12</v>
      </c>
      <c r="E2002" s="1" t="s">
        <v>61</v>
      </c>
      <c r="F2002">
        <v>36</v>
      </c>
      <c r="G2002">
        <v>1</v>
      </c>
      <c r="H2002" s="1" t="s">
        <v>14</v>
      </c>
      <c r="I2002" s="1" t="s">
        <v>15</v>
      </c>
      <c r="J2002" s="12">
        <v>45803</v>
      </c>
      <c r="K2002">
        <v>0</v>
      </c>
      <c r="L2002" s="1">
        <f t="shared" si="124"/>
        <v>36</v>
      </c>
      <c r="M2002" s="1" t="str">
        <f t="shared" si="125"/>
        <v/>
      </c>
      <c r="N2002" s="2">
        <f t="shared" si="126"/>
        <v>45778</v>
      </c>
      <c r="O2002" t="str">
        <f t="shared" si="127"/>
        <v>pes</v>
      </c>
    </row>
    <row r="2003" spans="1:15" hidden="1" x14ac:dyDescent="0.25">
      <c r="A2003">
        <v>9512</v>
      </c>
      <c r="B2003" s="11">
        <v>4021234567894</v>
      </c>
      <c r="C2003" s="1" t="s">
        <v>79</v>
      </c>
      <c r="D2003" s="1" t="s">
        <v>36</v>
      </c>
      <c r="E2003" s="1" t="s">
        <v>69</v>
      </c>
      <c r="F2003">
        <v>8</v>
      </c>
      <c r="G2003">
        <v>1</v>
      </c>
      <c r="H2003" s="1" t="s">
        <v>14</v>
      </c>
      <c r="I2003" s="1" t="s">
        <v>15</v>
      </c>
      <c r="J2003" s="12">
        <v>45803</v>
      </c>
      <c r="K2003">
        <v>0</v>
      </c>
      <c r="L2003" s="1">
        <f t="shared" si="124"/>
        <v>8</v>
      </c>
      <c r="M2003" s="1" t="str">
        <f t="shared" si="125"/>
        <v/>
      </c>
      <c r="N2003" s="2">
        <f t="shared" si="126"/>
        <v>45778</v>
      </c>
      <c r="O2003" t="str">
        <f t="shared" si="127"/>
        <v>mačka</v>
      </c>
    </row>
    <row r="2004" spans="1:15" hidden="1" x14ac:dyDescent="0.25">
      <c r="A2004">
        <v>9513</v>
      </c>
      <c r="B2004" s="11">
        <v>4056789012345</v>
      </c>
      <c r="C2004" s="1" t="s">
        <v>47</v>
      </c>
      <c r="D2004" s="1" t="s">
        <v>29</v>
      </c>
      <c r="E2004" s="1" t="s">
        <v>37</v>
      </c>
      <c r="F2004">
        <v>2.4</v>
      </c>
      <c r="G2004">
        <v>3</v>
      </c>
      <c r="H2004" s="1" t="s">
        <v>14</v>
      </c>
      <c r="I2004" s="1" t="s">
        <v>15</v>
      </c>
      <c r="J2004" s="12">
        <v>45803</v>
      </c>
      <c r="K2004">
        <v>0</v>
      </c>
      <c r="L2004" s="1">
        <f t="shared" si="124"/>
        <v>7.1999999999999993</v>
      </c>
      <c r="M2004" s="1" t="str">
        <f t="shared" si="125"/>
        <v/>
      </c>
      <c r="N2004" s="2">
        <f t="shared" si="126"/>
        <v>45778</v>
      </c>
      <c r="O2004" t="str">
        <f t="shared" si="127"/>
        <v>mačka</v>
      </c>
    </row>
    <row r="2005" spans="1:15" x14ac:dyDescent="0.25">
      <c r="A2005">
        <v>9514</v>
      </c>
      <c r="B2005" s="11">
        <v>4061011223346</v>
      </c>
      <c r="C2005" s="1" t="s">
        <v>25</v>
      </c>
      <c r="D2005" s="1" t="s">
        <v>26</v>
      </c>
      <c r="E2005" s="1" t="s">
        <v>27</v>
      </c>
      <c r="F2005">
        <v>19.600000000000001</v>
      </c>
      <c r="G2005">
        <v>1</v>
      </c>
      <c r="H2005" s="1" t="s">
        <v>14</v>
      </c>
      <c r="I2005" s="1" t="s">
        <v>15</v>
      </c>
      <c r="J2005" s="12">
        <v>45803</v>
      </c>
      <c r="K2005">
        <v>0</v>
      </c>
      <c r="L2005" s="1">
        <f t="shared" si="124"/>
        <v>19.600000000000001</v>
      </c>
      <c r="M2005" s="1" t="str">
        <f t="shared" si="125"/>
        <v/>
      </c>
      <c r="N2005" s="2">
        <f t="shared" si="126"/>
        <v>45778</v>
      </c>
      <c r="O2005" t="str">
        <f t="shared" si="127"/>
        <v>pes</v>
      </c>
    </row>
    <row r="2006" spans="1:15" hidden="1" x14ac:dyDescent="0.25">
      <c r="A2006">
        <v>9515</v>
      </c>
      <c r="B2006" s="11">
        <v>4026677889902</v>
      </c>
      <c r="C2006" s="1" t="s">
        <v>52</v>
      </c>
      <c r="D2006" s="1" t="s">
        <v>53</v>
      </c>
      <c r="E2006" s="1" t="s">
        <v>54</v>
      </c>
      <c r="F2006">
        <v>7.6</v>
      </c>
      <c r="G2006">
        <v>1</v>
      </c>
      <c r="H2006" s="1" t="s">
        <v>14</v>
      </c>
      <c r="I2006" s="1" t="s">
        <v>15</v>
      </c>
      <c r="J2006" s="12">
        <v>45803</v>
      </c>
      <c r="K2006">
        <v>0</v>
      </c>
      <c r="L2006" s="1">
        <f t="shared" si="124"/>
        <v>7.6</v>
      </c>
      <c r="M2006" s="1" t="str">
        <f t="shared" si="125"/>
        <v/>
      </c>
      <c r="N2006" s="2">
        <f t="shared" si="126"/>
        <v>45778</v>
      </c>
      <c r="O2006" t="str">
        <f t="shared" si="127"/>
        <v>iné</v>
      </c>
    </row>
    <row r="2007" spans="1:15" x14ac:dyDescent="0.25">
      <c r="A2007">
        <v>9516</v>
      </c>
      <c r="B2007" s="11">
        <v>4028899001126</v>
      </c>
      <c r="C2007" s="1" t="s">
        <v>16</v>
      </c>
      <c r="D2007" s="1" t="s">
        <v>12</v>
      </c>
      <c r="E2007" s="1" t="s">
        <v>17</v>
      </c>
      <c r="F2007">
        <v>2.8</v>
      </c>
      <c r="G2007">
        <v>3</v>
      </c>
      <c r="H2007" s="1" t="s">
        <v>14</v>
      </c>
      <c r="I2007" s="1" t="s">
        <v>15</v>
      </c>
      <c r="J2007" s="12">
        <v>45803</v>
      </c>
      <c r="K2007">
        <v>0</v>
      </c>
      <c r="L2007" s="1">
        <f t="shared" si="124"/>
        <v>8.3999999999999986</v>
      </c>
      <c r="M2007" s="1" t="str">
        <f t="shared" si="125"/>
        <v/>
      </c>
      <c r="N2007" s="2">
        <f t="shared" si="126"/>
        <v>45778</v>
      </c>
      <c r="O2007" t="str">
        <f t="shared" si="127"/>
        <v>pes</v>
      </c>
    </row>
    <row r="2008" spans="1:15" x14ac:dyDescent="0.25">
      <c r="A2008">
        <v>9517</v>
      </c>
      <c r="B2008" s="11">
        <v>4013456789017</v>
      </c>
      <c r="C2008" s="1" t="s">
        <v>11</v>
      </c>
      <c r="D2008" s="1" t="s">
        <v>12</v>
      </c>
      <c r="E2008" s="1" t="s">
        <v>13</v>
      </c>
      <c r="F2008">
        <v>6</v>
      </c>
      <c r="G2008">
        <v>1</v>
      </c>
      <c r="H2008" s="1" t="s">
        <v>14</v>
      </c>
      <c r="I2008" s="1" t="s">
        <v>15</v>
      </c>
      <c r="J2008" s="12">
        <v>45803</v>
      </c>
      <c r="K2008">
        <v>0</v>
      </c>
      <c r="L2008" s="1">
        <f t="shared" si="124"/>
        <v>6</v>
      </c>
      <c r="M2008" s="1" t="str">
        <f t="shared" si="125"/>
        <v/>
      </c>
      <c r="N2008" s="2">
        <f t="shared" si="126"/>
        <v>45778</v>
      </c>
      <c r="O2008" t="str">
        <f t="shared" si="127"/>
        <v>pes</v>
      </c>
    </row>
    <row r="2009" spans="1:15" x14ac:dyDescent="0.25">
      <c r="A2009">
        <v>9518</v>
      </c>
      <c r="B2009" s="11">
        <v>4040123456795</v>
      </c>
      <c r="C2009" s="1" t="s">
        <v>20</v>
      </c>
      <c r="D2009" s="1" t="s">
        <v>21</v>
      </c>
      <c r="E2009" s="1" t="s">
        <v>22</v>
      </c>
      <c r="F2009">
        <v>8.8000000000000007</v>
      </c>
      <c r="G2009">
        <v>1</v>
      </c>
      <c r="H2009" s="1" t="s">
        <v>14</v>
      </c>
      <c r="I2009" s="1" t="s">
        <v>15</v>
      </c>
      <c r="J2009" s="12">
        <v>45803</v>
      </c>
      <c r="K2009">
        <v>0</v>
      </c>
      <c r="L2009" s="1">
        <f t="shared" si="124"/>
        <v>8.8000000000000007</v>
      </c>
      <c r="M2009" s="1" t="str">
        <f t="shared" si="125"/>
        <v/>
      </c>
      <c r="N2009" s="2">
        <f t="shared" si="126"/>
        <v>45778</v>
      </c>
      <c r="O2009" t="str">
        <f t="shared" si="127"/>
        <v>pes</v>
      </c>
    </row>
    <row r="2010" spans="1:15" hidden="1" x14ac:dyDescent="0.25">
      <c r="A2010">
        <v>9519</v>
      </c>
      <c r="B2010" s="11">
        <v>4010123456783</v>
      </c>
      <c r="C2010" s="1" t="s">
        <v>35</v>
      </c>
      <c r="D2010" s="1" t="s">
        <v>36</v>
      </c>
      <c r="E2010" s="1" t="s">
        <v>37</v>
      </c>
      <c r="F2010">
        <v>14</v>
      </c>
      <c r="G2010">
        <v>2</v>
      </c>
      <c r="H2010" s="1" t="s">
        <v>14</v>
      </c>
      <c r="I2010" s="1" t="s">
        <v>15</v>
      </c>
      <c r="J2010" s="12">
        <v>45803</v>
      </c>
      <c r="K2010">
        <v>0</v>
      </c>
      <c r="L2010" s="1">
        <f t="shared" si="124"/>
        <v>28</v>
      </c>
      <c r="M2010" s="1" t="str">
        <f t="shared" si="125"/>
        <v/>
      </c>
      <c r="N2010" s="2">
        <f t="shared" si="126"/>
        <v>45778</v>
      </c>
      <c r="O2010" t="str">
        <f t="shared" si="127"/>
        <v>mačka</v>
      </c>
    </row>
    <row r="2011" spans="1:15" x14ac:dyDescent="0.25">
      <c r="A2011">
        <v>9520</v>
      </c>
      <c r="B2011" s="11">
        <v>4063456789014</v>
      </c>
      <c r="C2011" s="1" t="s">
        <v>60</v>
      </c>
      <c r="D2011" s="1" t="s">
        <v>12</v>
      </c>
      <c r="E2011" s="1" t="s">
        <v>61</v>
      </c>
      <c r="F2011">
        <v>36</v>
      </c>
      <c r="G2011">
        <v>1</v>
      </c>
      <c r="H2011" s="1" t="s">
        <v>14</v>
      </c>
      <c r="I2011" s="1" t="s">
        <v>15</v>
      </c>
      <c r="J2011" s="12">
        <v>45803</v>
      </c>
      <c r="K2011">
        <v>0</v>
      </c>
      <c r="L2011" s="1">
        <f t="shared" si="124"/>
        <v>36</v>
      </c>
      <c r="M2011" s="1" t="str">
        <f t="shared" si="125"/>
        <v/>
      </c>
      <c r="N2011" s="2">
        <f t="shared" si="126"/>
        <v>45778</v>
      </c>
      <c r="O2011" t="str">
        <f t="shared" si="127"/>
        <v>pes</v>
      </c>
    </row>
    <row r="2012" spans="1:15" hidden="1" x14ac:dyDescent="0.25">
      <c r="A2012">
        <v>9521</v>
      </c>
      <c r="B2012" s="11">
        <v>4021234567894</v>
      </c>
      <c r="C2012" s="1" t="s">
        <v>79</v>
      </c>
      <c r="D2012" s="1" t="s">
        <v>36</v>
      </c>
      <c r="E2012" s="1" t="s">
        <v>69</v>
      </c>
      <c r="F2012">
        <v>8</v>
      </c>
      <c r="G2012">
        <v>1</v>
      </c>
      <c r="H2012" s="1" t="s">
        <v>14</v>
      </c>
      <c r="I2012" s="1" t="s">
        <v>15</v>
      </c>
      <c r="J2012" s="12">
        <v>45803</v>
      </c>
      <c r="K2012">
        <v>0</v>
      </c>
      <c r="L2012" s="1">
        <f t="shared" si="124"/>
        <v>8</v>
      </c>
      <c r="M2012" s="1" t="str">
        <f t="shared" si="125"/>
        <v/>
      </c>
      <c r="N2012" s="2">
        <f t="shared" si="126"/>
        <v>45778</v>
      </c>
      <c r="O2012" t="str">
        <f t="shared" si="127"/>
        <v>mačka</v>
      </c>
    </row>
    <row r="2013" spans="1:15" hidden="1" x14ac:dyDescent="0.25">
      <c r="A2013">
        <v>9522</v>
      </c>
      <c r="B2013" s="11">
        <v>4056789012345</v>
      </c>
      <c r="C2013" s="1" t="s">
        <v>47</v>
      </c>
      <c r="D2013" s="1" t="s">
        <v>29</v>
      </c>
      <c r="E2013" s="1" t="s">
        <v>37</v>
      </c>
      <c r="F2013">
        <v>2.4</v>
      </c>
      <c r="G2013">
        <v>2</v>
      </c>
      <c r="H2013" s="1" t="s">
        <v>14</v>
      </c>
      <c r="I2013" s="1" t="s">
        <v>15</v>
      </c>
      <c r="J2013" s="12">
        <v>45803</v>
      </c>
      <c r="K2013">
        <v>0</v>
      </c>
      <c r="L2013" s="1">
        <f t="shared" si="124"/>
        <v>4.8</v>
      </c>
      <c r="M2013" s="1" t="str">
        <f t="shared" si="125"/>
        <v/>
      </c>
      <c r="N2013" s="2">
        <f t="shared" si="126"/>
        <v>45778</v>
      </c>
      <c r="O2013" t="str">
        <f t="shared" si="127"/>
        <v>mačka</v>
      </c>
    </row>
    <row r="2014" spans="1:15" x14ac:dyDescent="0.25">
      <c r="A2014">
        <v>9523</v>
      </c>
      <c r="B2014" s="11">
        <v>4061011223346</v>
      </c>
      <c r="C2014" s="1" t="s">
        <v>25</v>
      </c>
      <c r="D2014" s="1" t="s">
        <v>26</v>
      </c>
      <c r="E2014" s="1" t="s">
        <v>27</v>
      </c>
      <c r="F2014">
        <v>19.600000000000001</v>
      </c>
      <c r="G2014">
        <v>1</v>
      </c>
      <c r="H2014" s="1" t="s">
        <v>14</v>
      </c>
      <c r="I2014" s="1" t="s">
        <v>15</v>
      </c>
      <c r="J2014" s="12">
        <v>45803</v>
      </c>
      <c r="K2014">
        <v>0</v>
      </c>
      <c r="L2014" s="1">
        <f t="shared" si="124"/>
        <v>19.600000000000001</v>
      </c>
      <c r="M2014" s="1" t="str">
        <f t="shared" si="125"/>
        <v/>
      </c>
      <c r="N2014" s="2">
        <f t="shared" si="126"/>
        <v>45778</v>
      </c>
      <c r="O2014" t="str">
        <f t="shared" si="127"/>
        <v>pes</v>
      </c>
    </row>
    <row r="2015" spans="1:15" hidden="1" x14ac:dyDescent="0.25">
      <c r="A2015">
        <v>9524</v>
      </c>
      <c r="B2015" s="11">
        <v>4026677889902</v>
      </c>
      <c r="C2015" s="1" t="s">
        <v>52</v>
      </c>
      <c r="D2015" s="1" t="s">
        <v>53</v>
      </c>
      <c r="E2015" s="1" t="s">
        <v>54</v>
      </c>
      <c r="F2015">
        <v>7.6</v>
      </c>
      <c r="G2015">
        <v>1</v>
      </c>
      <c r="H2015" s="1" t="s">
        <v>14</v>
      </c>
      <c r="I2015" s="1" t="s">
        <v>15</v>
      </c>
      <c r="J2015" s="12">
        <v>45803</v>
      </c>
      <c r="K2015">
        <v>0</v>
      </c>
      <c r="L2015" s="1">
        <f t="shared" si="124"/>
        <v>7.6</v>
      </c>
      <c r="M2015" s="1" t="str">
        <f t="shared" si="125"/>
        <v/>
      </c>
      <c r="N2015" s="2">
        <f t="shared" si="126"/>
        <v>45778</v>
      </c>
      <c r="O2015" t="str">
        <f t="shared" si="127"/>
        <v>iné</v>
      </c>
    </row>
    <row r="2016" spans="1:15" x14ac:dyDescent="0.25">
      <c r="A2016">
        <v>9525</v>
      </c>
      <c r="B2016" s="11">
        <v>4028899001126</v>
      </c>
      <c r="C2016" s="1" t="s">
        <v>16</v>
      </c>
      <c r="D2016" s="1" t="s">
        <v>12</v>
      </c>
      <c r="E2016" s="1" t="s">
        <v>17</v>
      </c>
      <c r="F2016">
        <v>2.8</v>
      </c>
      <c r="G2016">
        <v>4</v>
      </c>
      <c r="H2016" s="1" t="s">
        <v>14</v>
      </c>
      <c r="I2016" s="1" t="s">
        <v>15</v>
      </c>
      <c r="J2016" s="12">
        <v>45803</v>
      </c>
      <c r="K2016">
        <v>0</v>
      </c>
      <c r="L2016" s="1">
        <f t="shared" si="124"/>
        <v>11.2</v>
      </c>
      <c r="M2016" s="1" t="str">
        <f t="shared" si="125"/>
        <v/>
      </c>
      <c r="N2016" s="2">
        <f t="shared" si="126"/>
        <v>45778</v>
      </c>
      <c r="O2016" t="str">
        <f t="shared" si="127"/>
        <v>pes</v>
      </c>
    </row>
    <row r="2017" spans="1:15" x14ac:dyDescent="0.25">
      <c r="A2017">
        <v>9526</v>
      </c>
      <c r="B2017" s="11">
        <v>4013456789017</v>
      </c>
      <c r="C2017" s="1" t="s">
        <v>11</v>
      </c>
      <c r="D2017" s="1" t="s">
        <v>12</v>
      </c>
      <c r="E2017" s="1" t="s">
        <v>13</v>
      </c>
      <c r="F2017">
        <v>6</v>
      </c>
      <c r="G2017">
        <v>1</v>
      </c>
      <c r="H2017" s="1" t="s">
        <v>14</v>
      </c>
      <c r="I2017" s="1" t="s">
        <v>15</v>
      </c>
      <c r="J2017" s="12">
        <v>45804</v>
      </c>
      <c r="K2017">
        <v>0</v>
      </c>
      <c r="L2017" s="1">
        <f t="shared" si="124"/>
        <v>6</v>
      </c>
      <c r="M2017" s="1" t="str">
        <f t="shared" si="125"/>
        <v/>
      </c>
      <c r="N2017" s="2">
        <f t="shared" si="126"/>
        <v>45778</v>
      </c>
      <c r="O2017" t="str">
        <f t="shared" si="127"/>
        <v>pes</v>
      </c>
    </row>
    <row r="2018" spans="1:15" x14ac:dyDescent="0.25">
      <c r="A2018">
        <v>9527</v>
      </c>
      <c r="B2018" s="11">
        <v>4040123456795</v>
      </c>
      <c r="C2018" s="1" t="s">
        <v>20</v>
      </c>
      <c r="D2018" s="1" t="s">
        <v>21</v>
      </c>
      <c r="E2018" s="1" t="s">
        <v>22</v>
      </c>
      <c r="F2018">
        <v>8.8000000000000007</v>
      </c>
      <c r="G2018">
        <v>1</v>
      </c>
      <c r="H2018" s="1" t="s">
        <v>14</v>
      </c>
      <c r="I2018" s="1" t="s">
        <v>15</v>
      </c>
      <c r="J2018" s="12">
        <v>45804</v>
      </c>
      <c r="K2018">
        <v>0</v>
      </c>
      <c r="L2018" s="1">
        <f t="shared" si="124"/>
        <v>8.8000000000000007</v>
      </c>
      <c r="M2018" s="1" t="str">
        <f t="shared" si="125"/>
        <v/>
      </c>
      <c r="N2018" s="2">
        <f t="shared" si="126"/>
        <v>45778</v>
      </c>
      <c r="O2018" t="str">
        <f t="shared" si="127"/>
        <v>pes</v>
      </c>
    </row>
    <row r="2019" spans="1:15" hidden="1" x14ac:dyDescent="0.25">
      <c r="A2019">
        <v>9528</v>
      </c>
      <c r="B2019" s="11">
        <v>4010123456783</v>
      </c>
      <c r="C2019" s="1" t="s">
        <v>35</v>
      </c>
      <c r="D2019" s="1" t="s">
        <v>36</v>
      </c>
      <c r="E2019" s="1" t="s">
        <v>37</v>
      </c>
      <c r="F2019">
        <v>14</v>
      </c>
      <c r="G2019">
        <v>1</v>
      </c>
      <c r="H2019" s="1" t="s">
        <v>14</v>
      </c>
      <c r="I2019" s="1" t="s">
        <v>15</v>
      </c>
      <c r="J2019" s="12">
        <v>45804</v>
      </c>
      <c r="K2019">
        <v>0</v>
      </c>
      <c r="L2019" s="1">
        <f t="shared" si="124"/>
        <v>14</v>
      </c>
      <c r="M2019" s="1" t="str">
        <f t="shared" si="125"/>
        <v/>
      </c>
      <c r="N2019" s="2">
        <f t="shared" si="126"/>
        <v>45778</v>
      </c>
      <c r="O2019" t="str">
        <f t="shared" si="127"/>
        <v>mačka</v>
      </c>
    </row>
    <row r="2020" spans="1:15" x14ac:dyDescent="0.25">
      <c r="A2020">
        <v>9529</v>
      </c>
      <c r="B2020" s="11">
        <v>4063456789014</v>
      </c>
      <c r="C2020" s="1" t="s">
        <v>60</v>
      </c>
      <c r="D2020" s="1" t="s">
        <v>12</v>
      </c>
      <c r="E2020" s="1" t="s">
        <v>61</v>
      </c>
      <c r="F2020">
        <v>36</v>
      </c>
      <c r="G2020">
        <v>1</v>
      </c>
      <c r="H2020" s="1" t="s">
        <v>14</v>
      </c>
      <c r="I2020" s="1" t="s">
        <v>15</v>
      </c>
      <c r="J2020" s="12">
        <v>45804</v>
      </c>
      <c r="K2020">
        <v>0</v>
      </c>
      <c r="L2020" s="1">
        <f t="shared" si="124"/>
        <v>36</v>
      </c>
      <c r="M2020" s="1" t="str">
        <f t="shared" si="125"/>
        <v/>
      </c>
      <c r="N2020" s="2">
        <f t="shared" si="126"/>
        <v>45778</v>
      </c>
      <c r="O2020" t="str">
        <f t="shared" si="127"/>
        <v>pes</v>
      </c>
    </row>
    <row r="2021" spans="1:15" hidden="1" x14ac:dyDescent="0.25">
      <c r="A2021">
        <v>9530</v>
      </c>
      <c r="B2021" s="11">
        <v>4021234567894</v>
      </c>
      <c r="C2021" s="1" t="s">
        <v>79</v>
      </c>
      <c r="D2021" s="1" t="s">
        <v>36</v>
      </c>
      <c r="E2021" s="1" t="s">
        <v>69</v>
      </c>
      <c r="F2021">
        <v>8</v>
      </c>
      <c r="G2021">
        <v>1</v>
      </c>
      <c r="H2021" s="1" t="s">
        <v>14</v>
      </c>
      <c r="I2021" s="1" t="s">
        <v>15</v>
      </c>
      <c r="J2021" s="12">
        <v>45804</v>
      </c>
      <c r="K2021">
        <v>0</v>
      </c>
      <c r="L2021" s="1">
        <f t="shared" si="124"/>
        <v>8</v>
      </c>
      <c r="M2021" s="1" t="str">
        <f t="shared" si="125"/>
        <v/>
      </c>
      <c r="N2021" s="2">
        <f t="shared" si="126"/>
        <v>45778</v>
      </c>
      <c r="O2021" t="str">
        <f t="shared" si="127"/>
        <v>mačka</v>
      </c>
    </row>
    <row r="2022" spans="1:15" hidden="1" x14ac:dyDescent="0.25">
      <c r="A2022">
        <v>9531</v>
      </c>
      <c r="B2022" s="11">
        <v>4056789012345</v>
      </c>
      <c r="C2022" s="1" t="s">
        <v>47</v>
      </c>
      <c r="D2022" s="1" t="s">
        <v>29</v>
      </c>
      <c r="E2022" s="1" t="s">
        <v>37</v>
      </c>
      <c r="F2022">
        <v>2.4</v>
      </c>
      <c r="G2022">
        <v>2</v>
      </c>
      <c r="H2022" s="1" t="s">
        <v>14</v>
      </c>
      <c r="I2022" s="1" t="s">
        <v>15</v>
      </c>
      <c r="J2022" s="12">
        <v>45804</v>
      </c>
      <c r="K2022">
        <v>0</v>
      </c>
      <c r="L2022" s="1">
        <f t="shared" si="124"/>
        <v>4.8</v>
      </c>
      <c r="M2022" s="1" t="str">
        <f t="shared" si="125"/>
        <v/>
      </c>
      <c r="N2022" s="2">
        <f t="shared" si="126"/>
        <v>45778</v>
      </c>
      <c r="O2022" t="str">
        <f t="shared" si="127"/>
        <v>mačka</v>
      </c>
    </row>
    <row r="2023" spans="1:15" x14ac:dyDescent="0.25">
      <c r="A2023">
        <v>9532</v>
      </c>
      <c r="B2023" s="11">
        <v>4061011223346</v>
      </c>
      <c r="C2023" s="1" t="s">
        <v>25</v>
      </c>
      <c r="D2023" s="1" t="s">
        <v>26</v>
      </c>
      <c r="E2023" s="1" t="s">
        <v>27</v>
      </c>
      <c r="F2023">
        <v>19.600000000000001</v>
      </c>
      <c r="G2023">
        <v>1</v>
      </c>
      <c r="H2023" s="1" t="s">
        <v>14</v>
      </c>
      <c r="I2023" s="1" t="s">
        <v>15</v>
      </c>
      <c r="J2023" s="12">
        <v>45804</v>
      </c>
      <c r="K2023">
        <v>0</v>
      </c>
      <c r="L2023" s="1">
        <f t="shared" si="124"/>
        <v>19.600000000000001</v>
      </c>
      <c r="M2023" s="1" t="str">
        <f t="shared" si="125"/>
        <v/>
      </c>
      <c r="N2023" s="2">
        <f t="shared" si="126"/>
        <v>45778</v>
      </c>
      <c r="O2023" t="str">
        <f t="shared" si="127"/>
        <v>pes</v>
      </c>
    </row>
    <row r="2024" spans="1:15" hidden="1" x14ac:dyDescent="0.25">
      <c r="A2024">
        <v>9533</v>
      </c>
      <c r="B2024" s="11">
        <v>4026677889902</v>
      </c>
      <c r="C2024" s="1" t="s">
        <v>52</v>
      </c>
      <c r="D2024" s="1" t="s">
        <v>53</v>
      </c>
      <c r="E2024" s="1" t="s">
        <v>54</v>
      </c>
      <c r="F2024">
        <v>7.6</v>
      </c>
      <c r="G2024">
        <v>1</v>
      </c>
      <c r="H2024" s="1" t="s">
        <v>14</v>
      </c>
      <c r="I2024" s="1" t="s">
        <v>15</v>
      </c>
      <c r="J2024" s="12">
        <v>45804</v>
      </c>
      <c r="K2024">
        <v>0</v>
      </c>
      <c r="L2024" s="1">
        <f t="shared" si="124"/>
        <v>7.6</v>
      </c>
      <c r="M2024" s="1" t="str">
        <f t="shared" si="125"/>
        <v/>
      </c>
      <c r="N2024" s="2">
        <f t="shared" si="126"/>
        <v>45778</v>
      </c>
      <c r="O2024" t="str">
        <f t="shared" si="127"/>
        <v>iné</v>
      </c>
    </row>
    <row r="2025" spans="1:15" x14ac:dyDescent="0.25">
      <c r="A2025">
        <v>9534</v>
      </c>
      <c r="B2025" s="11">
        <v>4028899001126</v>
      </c>
      <c r="C2025" s="1" t="s">
        <v>16</v>
      </c>
      <c r="D2025" s="1" t="s">
        <v>12</v>
      </c>
      <c r="E2025" s="1" t="s">
        <v>17</v>
      </c>
      <c r="F2025">
        <v>2.8</v>
      </c>
      <c r="G2025">
        <v>3</v>
      </c>
      <c r="H2025" s="1" t="s">
        <v>14</v>
      </c>
      <c r="I2025" s="1" t="s">
        <v>15</v>
      </c>
      <c r="J2025" s="12">
        <v>45804</v>
      </c>
      <c r="K2025">
        <v>0</v>
      </c>
      <c r="L2025" s="1">
        <f t="shared" si="124"/>
        <v>8.3999999999999986</v>
      </c>
      <c r="M2025" s="1" t="str">
        <f t="shared" si="125"/>
        <v/>
      </c>
      <c r="N2025" s="2">
        <f t="shared" si="126"/>
        <v>45778</v>
      </c>
      <c r="O2025" t="str">
        <f t="shared" si="127"/>
        <v>pes</v>
      </c>
    </row>
    <row r="2026" spans="1:15" x14ac:dyDescent="0.25">
      <c r="A2026">
        <v>9535</v>
      </c>
      <c r="B2026" s="11">
        <v>4013456789017</v>
      </c>
      <c r="C2026" s="1" t="s">
        <v>11</v>
      </c>
      <c r="D2026" s="1" t="s">
        <v>12</v>
      </c>
      <c r="E2026" s="1" t="s">
        <v>13</v>
      </c>
      <c r="F2026">
        <v>6</v>
      </c>
      <c r="G2026">
        <v>1</v>
      </c>
      <c r="H2026" s="1" t="s">
        <v>14</v>
      </c>
      <c r="I2026" s="1" t="s">
        <v>15</v>
      </c>
      <c r="J2026" s="12">
        <v>45804</v>
      </c>
      <c r="K2026">
        <v>0</v>
      </c>
      <c r="L2026" s="1">
        <f t="shared" si="124"/>
        <v>6</v>
      </c>
      <c r="M2026" s="1" t="str">
        <f t="shared" si="125"/>
        <v/>
      </c>
      <c r="N2026" s="2">
        <f t="shared" si="126"/>
        <v>45778</v>
      </c>
      <c r="O2026" t="str">
        <f t="shared" si="127"/>
        <v>pes</v>
      </c>
    </row>
    <row r="2027" spans="1:15" x14ac:dyDescent="0.25">
      <c r="A2027">
        <v>9536</v>
      </c>
      <c r="B2027" s="11">
        <v>4040123456795</v>
      </c>
      <c r="C2027" s="1" t="s">
        <v>20</v>
      </c>
      <c r="D2027" s="1" t="s">
        <v>21</v>
      </c>
      <c r="E2027" s="1" t="s">
        <v>22</v>
      </c>
      <c r="F2027">
        <v>8.8000000000000007</v>
      </c>
      <c r="G2027">
        <v>1</v>
      </c>
      <c r="H2027" s="1" t="s">
        <v>14</v>
      </c>
      <c r="I2027" s="1" t="s">
        <v>15</v>
      </c>
      <c r="J2027" s="12">
        <v>45804</v>
      </c>
      <c r="K2027">
        <v>0</v>
      </c>
      <c r="L2027" s="1">
        <f t="shared" si="124"/>
        <v>8.8000000000000007</v>
      </c>
      <c r="M2027" s="1" t="str">
        <f t="shared" si="125"/>
        <v/>
      </c>
      <c r="N2027" s="2">
        <f t="shared" si="126"/>
        <v>45778</v>
      </c>
      <c r="O2027" t="str">
        <f t="shared" si="127"/>
        <v>pes</v>
      </c>
    </row>
    <row r="2028" spans="1:15" hidden="1" x14ac:dyDescent="0.25">
      <c r="A2028">
        <v>9537</v>
      </c>
      <c r="B2028" s="11">
        <v>4010123456783</v>
      </c>
      <c r="C2028" s="1" t="s">
        <v>35</v>
      </c>
      <c r="D2028" s="1" t="s">
        <v>36</v>
      </c>
      <c r="E2028" s="1" t="s">
        <v>37</v>
      </c>
      <c r="F2028">
        <v>14</v>
      </c>
      <c r="G2028">
        <v>1</v>
      </c>
      <c r="H2028" s="1" t="s">
        <v>14</v>
      </c>
      <c r="I2028" s="1" t="s">
        <v>15</v>
      </c>
      <c r="J2028" s="12">
        <v>45804</v>
      </c>
      <c r="K2028">
        <v>0</v>
      </c>
      <c r="L2028" s="1">
        <f t="shared" si="124"/>
        <v>14</v>
      </c>
      <c r="M2028" s="1" t="str">
        <f t="shared" si="125"/>
        <v/>
      </c>
      <c r="N2028" s="2">
        <f t="shared" si="126"/>
        <v>45778</v>
      </c>
      <c r="O2028" t="str">
        <f t="shared" si="127"/>
        <v>mačka</v>
      </c>
    </row>
    <row r="2029" spans="1:15" x14ac:dyDescent="0.25">
      <c r="A2029">
        <v>9538</v>
      </c>
      <c r="B2029" s="11">
        <v>4063456789014</v>
      </c>
      <c r="C2029" s="1" t="s">
        <v>60</v>
      </c>
      <c r="D2029" s="1" t="s">
        <v>12</v>
      </c>
      <c r="E2029" s="1" t="s">
        <v>61</v>
      </c>
      <c r="F2029">
        <v>36</v>
      </c>
      <c r="G2029">
        <v>1</v>
      </c>
      <c r="H2029" s="1" t="s">
        <v>14</v>
      </c>
      <c r="I2029" s="1" t="s">
        <v>15</v>
      </c>
      <c r="J2029" s="12">
        <v>45805</v>
      </c>
      <c r="K2029">
        <v>0</v>
      </c>
      <c r="L2029" s="1">
        <f t="shared" si="124"/>
        <v>36</v>
      </c>
      <c r="M2029" s="1" t="str">
        <f t="shared" si="125"/>
        <v/>
      </c>
      <c r="N2029" s="2">
        <f t="shared" si="126"/>
        <v>45778</v>
      </c>
      <c r="O2029" t="str">
        <f t="shared" si="127"/>
        <v>pes</v>
      </c>
    </row>
    <row r="2030" spans="1:15" hidden="1" x14ac:dyDescent="0.25">
      <c r="A2030">
        <v>9539</v>
      </c>
      <c r="B2030" s="11">
        <v>4021234567894</v>
      </c>
      <c r="C2030" s="1" t="s">
        <v>79</v>
      </c>
      <c r="D2030" s="1" t="s">
        <v>36</v>
      </c>
      <c r="E2030" s="1" t="s">
        <v>69</v>
      </c>
      <c r="F2030">
        <v>8</v>
      </c>
      <c r="G2030">
        <v>1</v>
      </c>
      <c r="H2030" s="1" t="s">
        <v>14</v>
      </c>
      <c r="I2030" s="1" t="s">
        <v>15</v>
      </c>
      <c r="J2030" s="12">
        <v>45805</v>
      </c>
      <c r="K2030">
        <v>0</v>
      </c>
      <c r="L2030" s="1">
        <f t="shared" si="124"/>
        <v>8</v>
      </c>
      <c r="M2030" s="1" t="str">
        <f t="shared" si="125"/>
        <v/>
      </c>
      <c r="N2030" s="2">
        <f t="shared" si="126"/>
        <v>45778</v>
      </c>
      <c r="O2030" t="str">
        <f t="shared" si="127"/>
        <v>mačka</v>
      </c>
    </row>
    <row r="2031" spans="1:15" hidden="1" x14ac:dyDescent="0.25">
      <c r="A2031">
        <v>9540</v>
      </c>
      <c r="B2031" s="11">
        <v>4056789012345</v>
      </c>
      <c r="C2031" s="1" t="s">
        <v>47</v>
      </c>
      <c r="D2031" s="1" t="s">
        <v>29</v>
      </c>
      <c r="E2031" s="1" t="s">
        <v>37</v>
      </c>
      <c r="F2031">
        <v>2.4</v>
      </c>
      <c r="G2031">
        <v>3</v>
      </c>
      <c r="H2031" s="1" t="s">
        <v>14</v>
      </c>
      <c r="I2031" s="1" t="s">
        <v>15</v>
      </c>
      <c r="J2031" s="12">
        <v>45805</v>
      </c>
      <c r="K2031">
        <v>0</v>
      </c>
      <c r="L2031" s="1">
        <f t="shared" si="124"/>
        <v>7.1999999999999993</v>
      </c>
      <c r="M2031" s="1" t="str">
        <f t="shared" si="125"/>
        <v/>
      </c>
      <c r="N2031" s="2">
        <f t="shared" si="126"/>
        <v>45778</v>
      </c>
      <c r="O2031" t="str">
        <f t="shared" si="127"/>
        <v>mačka</v>
      </c>
    </row>
    <row r="2032" spans="1:15" x14ac:dyDescent="0.25">
      <c r="A2032">
        <v>9541</v>
      </c>
      <c r="B2032" s="11">
        <v>4061011223346</v>
      </c>
      <c r="C2032" s="1" t="s">
        <v>25</v>
      </c>
      <c r="D2032" s="1" t="s">
        <v>26</v>
      </c>
      <c r="E2032" s="1" t="s">
        <v>27</v>
      </c>
      <c r="F2032">
        <v>19.600000000000001</v>
      </c>
      <c r="G2032">
        <v>1</v>
      </c>
      <c r="H2032" s="1" t="s">
        <v>14</v>
      </c>
      <c r="I2032" s="1" t="s">
        <v>15</v>
      </c>
      <c r="J2032" s="12">
        <v>45805</v>
      </c>
      <c r="K2032">
        <v>0</v>
      </c>
      <c r="L2032" s="1">
        <f t="shared" si="124"/>
        <v>19.600000000000001</v>
      </c>
      <c r="M2032" s="1" t="str">
        <f t="shared" si="125"/>
        <v/>
      </c>
      <c r="N2032" s="2">
        <f t="shared" si="126"/>
        <v>45778</v>
      </c>
      <c r="O2032" t="str">
        <f t="shared" si="127"/>
        <v>pes</v>
      </c>
    </row>
    <row r="2033" spans="1:15" hidden="1" x14ac:dyDescent="0.25">
      <c r="A2033">
        <v>9542</v>
      </c>
      <c r="B2033" s="11">
        <v>4026677889902</v>
      </c>
      <c r="C2033" s="1" t="s">
        <v>52</v>
      </c>
      <c r="D2033" s="1" t="s">
        <v>53</v>
      </c>
      <c r="E2033" s="1" t="s">
        <v>54</v>
      </c>
      <c r="F2033">
        <v>7.6</v>
      </c>
      <c r="G2033">
        <v>1</v>
      </c>
      <c r="H2033" s="1" t="s">
        <v>14</v>
      </c>
      <c r="I2033" s="1" t="s">
        <v>15</v>
      </c>
      <c r="J2033" s="12">
        <v>45805</v>
      </c>
      <c r="K2033">
        <v>0</v>
      </c>
      <c r="L2033" s="1">
        <f t="shared" si="124"/>
        <v>7.6</v>
      </c>
      <c r="M2033" s="1" t="str">
        <f t="shared" si="125"/>
        <v/>
      </c>
      <c r="N2033" s="2">
        <f t="shared" si="126"/>
        <v>45778</v>
      </c>
      <c r="O2033" t="str">
        <f t="shared" si="127"/>
        <v>iné</v>
      </c>
    </row>
    <row r="2034" spans="1:15" x14ac:dyDescent="0.25">
      <c r="A2034">
        <v>9543</v>
      </c>
      <c r="B2034" s="11">
        <v>4028899001126</v>
      </c>
      <c r="C2034" s="1" t="s">
        <v>16</v>
      </c>
      <c r="D2034" s="1" t="s">
        <v>12</v>
      </c>
      <c r="E2034" s="1" t="s">
        <v>17</v>
      </c>
      <c r="F2034">
        <v>2.8</v>
      </c>
      <c r="G2034">
        <v>4</v>
      </c>
      <c r="H2034" s="1" t="s">
        <v>14</v>
      </c>
      <c r="I2034" s="1" t="s">
        <v>15</v>
      </c>
      <c r="J2034" s="12">
        <v>45805</v>
      </c>
      <c r="K2034">
        <v>0</v>
      </c>
      <c r="L2034" s="1">
        <f t="shared" si="124"/>
        <v>11.2</v>
      </c>
      <c r="M2034" s="1" t="str">
        <f t="shared" si="125"/>
        <v/>
      </c>
      <c r="N2034" s="2">
        <f t="shared" si="126"/>
        <v>45778</v>
      </c>
      <c r="O2034" t="str">
        <f t="shared" si="127"/>
        <v>pes</v>
      </c>
    </row>
    <row r="2035" spans="1:15" x14ac:dyDescent="0.25">
      <c r="A2035">
        <v>9544</v>
      </c>
      <c r="B2035" s="11">
        <v>4013456789017</v>
      </c>
      <c r="C2035" s="1" t="s">
        <v>11</v>
      </c>
      <c r="D2035" s="1" t="s">
        <v>12</v>
      </c>
      <c r="E2035" s="1" t="s">
        <v>13</v>
      </c>
      <c r="F2035">
        <v>6</v>
      </c>
      <c r="G2035">
        <v>1</v>
      </c>
      <c r="H2035" s="1" t="s">
        <v>14</v>
      </c>
      <c r="I2035" s="1" t="s">
        <v>15</v>
      </c>
      <c r="J2035" s="12">
        <v>45805</v>
      </c>
      <c r="K2035">
        <v>0</v>
      </c>
      <c r="L2035" s="1">
        <f t="shared" si="124"/>
        <v>6</v>
      </c>
      <c r="M2035" s="1" t="str">
        <f t="shared" si="125"/>
        <v/>
      </c>
      <c r="N2035" s="2">
        <f t="shared" si="126"/>
        <v>45778</v>
      </c>
      <c r="O2035" t="str">
        <f t="shared" si="127"/>
        <v>pes</v>
      </c>
    </row>
    <row r="2036" spans="1:15" x14ac:dyDescent="0.25">
      <c r="A2036">
        <v>9545</v>
      </c>
      <c r="B2036" s="11">
        <v>4040123456795</v>
      </c>
      <c r="C2036" s="1" t="s">
        <v>20</v>
      </c>
      <c r="D2036" s="1" t="s">
        <v>21</v>
      </c>
      <c r="E2036" s="1" t="s">
        <v>22</v>
      </c>
      <c r="F2036">
        <v>8.8000000000000007</v>
      </c>
      <c r="G2036">
        <v>1</v>
      </c>
      <c r="H2036" s="1" t="s">
        <v>14</v>
      </c>
      <c r="I2036" s="1" t="s">
        <v>15</v>
      </c>
      <c r="J2036" s="12">
        <v>45805</v>
      </c>
      <c r="K2036">
        <v>0</v>
      </c>
      <c r="L2036" s="1">
        <f t="shared" si="124"/>
        <v>8.8000000000000007</v>
      </c>
      <c r="M2036" s="1" t="str">
        <f t="shared" si="125"/>
        <v/>
      </c>
      <c r="N2036" s="2">
        <f t="shared" si="126"/>
        <v>45778</v>
      </c>
      <c r="O2036" t="str">
        <f t="shared" si="127"/>
        <v>pes</v>
      </c>
    </row>
    <row r="2037" spans="1:15" hidden="1" x14ac:dyDescent="0.25">
      <c r="A2037">
        <v>9546</v>
      </c>
      <c r="B2037" s="11">
        <v>4010123456783</v>
      </c>
      <c r="C2037" s="1" t="s">
        <v>35</v>
      </c>
      <c r="D2037" s="1" t="s">
        <v>36</v>
      </c>
      <c r="E2037" s="1" t="s">
        <v>37</v>
      </c>
      <c r="F2037">
        <v>14</v>
      </c>
      <c r="G2037">
        <v>1</v>
      </c>
      <c r="H2037" s="1" t="s">
        <v>14</v>
      </c>
      <c r="I2037" s="1" t="s">
        <v>15</v>
      </c>
      <c r="J2037" s="12">
        <v>45805</v>
      </c>
      <c r="K2037">
        <v>0</v>
      </c>
      <c r="L2037" s="1">
        <f t="shared" si="124"/>
        <v>14</v>
      </c>
      <c r="M2037" s="1" t="str">
        <f t="shared" si="125"/>
        <v/>
      </c>
      <c r="N2037" s="2">
        <f t="shared" si="126"/>
        <v>45778</v>
      </c>
      <c r="O2037" t="str">
        <f t="shared" si="127"/>
        <v>mačka</v>
      </c>
    </row>
    <row r="2038" spans="1:15" x14ac:dyDescent="0.25">
      <c r="A2038">
        <v>9547</v>
      </c>
      <c r="B2038" s="11">
        <v>4063456789014</v>
      </c>
      <c r="C2038" s="1" t="s">
        <v>60</v>
      </c>
      <c r="D2038" s="1" t="s">
        <v>12</v>
      </c>
      <c r="E2038" s="1" t="s">
        <v>61</v>
      </c>
      <c r="F2038">
        <v>36</v>
      </c>
      <c r="G2038">
        <v>1</v>
      </c>
      <c r="H2038" s="1" t="s">
        <v>23</v>
      </c>
      <c r="I2038" s="1" t="s">
        <v>295</v>
      </c>
      <c r="J2038" s="12">
        <v>45805</v>
      </c>
      <c r="K2038">
        <v>0</v>
      </c>
      <c r="L2038" s="1">
        <f t="shared" si="124"/>
        <v>36</v>
      </c>
      <c r="M2038" s="1">
        <f t="shared" si="125"/>
        <v>5</v>
      </c>
      <c r="N2038" s="2">
        <f t="shared" si="126"/>
        <v>45778</v>
      </c>
      <c r="O2038" t="str">
        <f t="shared" si="127"/>
        <v>pes</v>
      </c>
    </row>
    <row r="2039" spans="1:15" hidden="1" x14ac:dyDescent="0.25">
      <c r="A2039">
        <v>9548</v>
      </c>
      <c r="B2039" s="11">
        <v>4021234567894</v>
      </c>
      <c r="C2039" s="1" t="s">
        <v>79</v>
      </c>
      <c r="D2039" s="1" t="s">
        <v>36</v>
      </c>
      <c r="E2039" s="1" t="s">
        <v>69</v>
      </c>
      <c r="F2039">
        <v>8</v>
      </c>
      <c r="G2039">
        <v>1</v>
      </c>
      <c r="H2039" s="1" t="s">
        <v>14</v>
      </c>
      <c r="I2039" s="1" t="s">
        <v>15</v>
      </c>
      <c r="J2039" s="12">
        <v>45805</v>
      </c>
      <c r="K2039">
        <v>0</v>
      </c>
      <c r="L2039" s="1">
        <f t="shared" si="124"/>
        <v>8</v>
      </c>
      <c r="M2039" s="1" t="str">
        <f t="shared" si="125"/>
        <v/>
      </c>
      <c r="N2039" s="2">
        <f t="shared" si="126"/>
        <v>45778</v>
      </c>
      <c r="O2039" t="str">
        <f t="shared" si="127"/>
        <v>mačka</v>
      </c>
    </row>
    <row r="2040" spans="1:15" hidden="1" x14ac:dyDescent="0.25">
      <c r="A2040">
        <v>9549</v>
      </c>
      <c r="B2040" s="11">
        <v>4056789012345</v>
      </c>
      <c r="C2040" s="1" t="s">
        <v>47</v>
      </c>
      <c r="D2040" s="1" t="s">
        <v>29</v>
      </c>
      <c r="E2040" s="1" t="s">
        <v>37</v>
      </c>
      <c r="F2040">
        <v>2.4</v>
      </c>
      <c r="G2040">
        <v>3</v>
      </c>
      <c r="H2040" s="1" t="s">
        <v>14</v>
      </c>
      <c r="I2040" s="1" t="s">
        <v>15</v>
      </c>
      <c r="J2040" s="12">
        <v>45806</v>
      </c>
      <c r="K2040">
        <v>0</v>
      </c>
      <c r="L2040" s="1">
        <f t="shared" si="124"/>
        <v>7.1999999999999993</v>
      </c>
      <c r="M2040" s="1" t="str">
        <f t="shared" si="125"/>
        <v/>
      </c>
      <c r="N2040" s="2">
        <f t="shared" si="126"/>
        <v>45778</v>
      </c>
      <c r="O2040" t="str">
        <f t="shared" si="127"/>
        <v>mačka</v>
      </c>
    </row>
    <row r="2041" spans="1:15" x14ac:dyDescent="0.25">
      <c r="A2041">
        <v>9550</v>
      </c>
      <c r="B2041" s="11">
        <v>4061011223346</v>
      </c>
      <c r="C2041" s="1" t="s">
        <v>25</v>
      </c>
      <c r="D2041" s="1" t="s">
        <v>26</v>
      </c>
      <c r="E2041" s="1" t="s">
        <v>27</v>
      </c>
      <c r="F2041">
        <v>19.600000000000001</v>
      </c>
      <c r="G2041">
        <v>1</v>
      </c>
      <c r="H2041" s="1" t="s">
        <v>14</v>
      </c>
      <c r="I2041" s="1" t="s">
        <v>15</v>
      </c>
      <c r="J2041" s="12">
        <v>45806</v>
      </c>
      <c r="K2041">
        <v>0</v>
      </c>
      <c r="L2041" s="1">
        <f t="shared" si="124"/>
        <v>19.600000000000001</v>
      </c>
      <c r="M2041" s="1" t="str">
        <f t="shared" si="125"/>
        <v/>
      </c>
      <c r="N2041" s="2">
        <f t="shared" si="126"/>
        <v>45778</v>
      </c>
      <c r="O2041" t="str">
        <f t="shared" si="127"/>
        <v>pes</v>
      </c>
    </row>
    <row r="2042" spans="1:15" hidden="1" x14ac:dyDescent="0.25">
      <c r="A2042">
        <v>9551</v>
      </c>
      <c r="B2042" s="11">
        <v>4026677889902</v>
      </c>
      <c r="C2042" s="1" t="s">
        <v>52</v>
      </c>
      <c r="D2042" s="1" t="s">
        <v>53</v>
      </c>
      <c r="E2042" s="1" t="s">
        <v>54</v>
      </c>
      <c r="F2042">
        <v>7.6</v>
      </c>
      <c r="G2042">
        <v>1</v>
      </c>
      <c r="H2042" s="1" t="s">
        <v>14</v>
      </c>
      <c r="I2042" s="1" t="s">
        <v>15</v>
      </c>
      <c r="J2042" s="12">
        <v>45806</v>
      </c>
      <c r="K2042">
        <v>0</v>
      </c>
      <c r="L2042" s="1">
        <f t="shared" si="124"/>
        <v>7.6</v>
      </c>
      <c r="M2042" s="1" t="str">
        <f t="shared" si="125"/>
        <v/>
      </c>
      <c r="N2042" s="2">
        <f t="shared" si="126"/>
        <v>45778</v>
      </c>
      <c r="O2042" t="str">
        <f t="shared" si="127"/>
        <v>iné</v>
      </c>
    </row>
    <row r="2043" spans="1:15" x14ac:dyDescent="0.25">
      <c r="A2043">
        <v>9552</v>
      </c>
      <c r="B2043" s="11">
        <v>4028899001126</v>
      </c>
      <c r="C2043" s="1" t="s">
        <v>16</v>
      </c>
      <c r="D2043" s="1" t="s">
        <v>12</v>
      </c>
      <c r="E2043" s="1" t="s">
        <v>17</v>
      </c>
      <c r="F2043">
        <v>2.8</v>
      </c>
      <c r="G2043">
        <v>3</v>
      </c>
      <c r="H2043" s="1" t="s">
        <v>14</v>
      </c>
      <c r="I2043" s="1" t="s">
        <v>15</v>
      </c>
      <c r="J2043" s="12">
        <v>45806</v>
      </c>
      <c r="K2043">
        <v>0</v>
      </c>
      <c r="L2043" s="1">
        <f t="shared" si="124"/>
        <v>8.3999999999999986</v>
      </c>
      <c r="M2043" s="1" t="str">
        <f t="shared" si="125"/>
        <v/>
      </c>
      <c r="N2043" s="2">
        <f t="shared" si="126"/>
        <v>45778</v>
      </c>
      <c r="O2043" t="str">
        <f t="shared" si="127"/>
        <v>pes</v>
      </c>
    </row>
    <row r="2044" spans="1:15" x14ac:dyDescent="0.25">
      <c r="A2044">
        <v>9553</v>
      </c>
      <c r="B2044" s="11">
        <v>4013456789017</v>
      </c>
      <c r="C2044" s="1" t="s">
        <v>11</v>
      </c>
      <c r="D2044" s="1" t="s">
        <v>12</v>
      </c>
      <c r="E2044" s="1" t="s">
        <v>13</v>
      </c>
      <c r="F2044">
        <v>6</v>
      </c>
      <c r="G2044">
        <v>1</v>
      </c>
      <c r="H2044" s="1" t="s">
        <v>14</v>
      </c>
      <c r="I2044" s="1" t="s">
        <v>15</v>
      </c>
      <c r="J2044" s="12">
        <v>45806</v>
      </c>
      <c r="K2044">
        <v>0</v>
      </c>
      <c r="L2044" s="1">
        <f t="shared" si="124"/>
        <v>6</v>
      </c>
      <c r="M2044" s="1" t="str">
        <f t="shared" si="125"/>
        <v/>
      </c>
      <c r="N2044" s="2">
        <f t="shared" si="126"/>
        <v>45778</v>
      </c>
      <c r="O2044" t="str">
        <f t="shared" si="127"/>
        <v>pes</v>
      </c>
    </row>
    <row r="2045" spans="1:15" x14ac:dyDescent="0.25">
      <c r="A2045">
        <v>9554</v>
      </c>
      <c r="B2045" s="11">
        <v>4040123456795</v>
      </c>
      <c r="C2045" s="1" t="s">
        <v>20</v>
      </c>
      <c r="D2045" s="1" t="s">
        <v>21</v>
      </c>
      <c r="E2045" s="1" t="s">
        <v>22</v>
      </c>
      <c r="F2045">
        <v>8.8000000000000007</v>
      </c>
      <c r="G2045">
        <v>1</v>
      </c>
      <c r="H2045" s="1" t="s">
        <v>14</v>
      </c>
      <c r="I2045" s="1" t="s">
        <v>15</v>
      </c>
      <c r="J2045" s="12">
        <v>45806</v>
      </c>
      <c r="K2045">
        <v>0</v>
      </c>
      <c r="L2045" s="1">
        <f t="shared" si="124"/>
        <v>8.8000000000000007</v>
      </c>
      <c r="M2045" s="1" t="str">
        <f t="shared" si="125"/>
        <v/>
      </c>
      <c r="N2045" s="2">
        <f t="shared" si="126"/>
        <v>45778</v>
      </c>
      <c r="O2045" t="str">
        <f t="shared" si="127"/>
        <v>pes</v>
      </c>
    </row>
    <row r="2046" spans="1:15" hidden="1" x14ac:dyDescent="0.25">
      <c r="A2046">
        <v>9555</v>
      </c>
      <c r="B2046" s="11">
        <v>4010123456783</v>
      </c>
      <c r="C2046" s="1" t="s">
        <v>35</v>
      </c>
      <c r="D2046" s="1" t="s">
        <v>36</v>
      </c>
      <c r="E2046" s="1" t="s">
        <v>37</v>
      </c>
      <c r="F2046">
        <v>14</v>
      </c>
      <c r="G2046">
        <v>1</v>
      </c>
      <c r="H2046" s="1" t="s">
        <v>14</v>
      </c>
      <c r="I2046" s="1" t="s">
        <v>15</v>
      </c>
      <c r="J2046" s="12">
        <v>45806</v>
      </c>
      <c r="K2046">
        <v>0</v>
      </c>
      <c r="L2046" s="1">
        <f t="shared" si="124"/>
        <v>14</v>
      </c>
      <c r="M2046" s="1" t="str">
        <f t="shared" si="125"/>
        <v/>
      </c>
      <c r="N2046" s="2">
        <f t="shared" si="126"/>
        <v>45778</v>
      </c>
      <c r="O2046" t="str">
        <f t="shared" si="127"/>
        <v>mačka</v>
      </c>
    </row>
    <row r="2047" spans="1:15" x14ac:dyDescent="0.25">
      <c r="A2047">
        <v>9556</v>
      </c>
      <c r="B2047" s="11">
        <v>4063456789014</v>
      </c>
      <c r="C2047" s="1" t="s">
        <v>60</v>
      </c>
      <c r="D2047" s="1" t="s">
        <v>12</v>
      </c>
      <c r="E2047" s="1" t="s">
        <v>61</v>
      </c>
      <c r="F2047">
        <v>36</v>
      </c>
      <c r="G2047">
        <v>1</v>
      </c>
      <c r="H2047" s="1" t="s">
        <v>14</v>
      </c>
      <c r="I2047" s="1" t="s">
        <v>15</v>
      </c>
      <c r="J2047" s="12">
        <v>45806</v>
      </c>
      <c r="K2047">
        <v>0</v>
      </c>
      <c r="L2047" s="1">
        <f t="shared" si="124"/>
        <v>36</v>
      </c>
      <c r="M2047" s="1" t="str">
        <f t="shared" si="125"/>
        <v/>
      </c>
      <c r="N2047" s="2">
        <f t="shared" si="126"/>
        <v>45778</v>
      </c>
      <c r="O2047" t="str">
        <f t="shared" si="127"/>
        <v>pes</v>
      </c>
    </row>
    <row r="2048" spans="1:15" hidden="1" x14ac:dyDescent="0.25">
      <c r="A2048">
        <v>9557</v>
      </c>
      <c r="B2048" s="11">
        <v>4021234567894</v>
      </c>
      <c r="C2048" s="1" t="s">
        <v>79</v>
      </c>
      <c r="D2048" s="1" t="s">
        <v>36</v>
      </c>
      <c r="E2048" s="1" t="s">
        <v>69</v>
      </c>
      <c r="F2048">
        <v>8</v>
      </c>
      <c r="G2048">
        <v>1</v>
      </c>
      <c r="H2048" s="1" t="s">
        <v>14</v>
      </c>
      <c r="I2048" s="1" t="s">
        <v>15</v>
      </c>
      <c r="J2048" s="12">
        <v>45806</v>
      </c>
      <c r="K2048">
        <v>0</v>
      </c>
      <c r="L2048" s="1">
        <f t="shared" si="124"/>
        <v>8</v>
      </c>
      <c r="M2048" s="1" t="str">
        <f t="shared" si="125"/>
        <v/>
      </c>
      <c r="N2048" s="2">
        <f t="shared" si="126"/>
        <v>45778</v>
      </c>
      <c r="O2048" t="str">
        <f t="shared" si="127"/>
        <v>mačka</v>
      </c>
    </row>
    <row r="2049" spans="1:15" hidden="1" x14ac:dyDescent="0.25">
      <c r="A2049">
        <v>9558</v>
      </c>
      <c r="B2049" s="11">
        <v>4056789012345</v>
      </c>
      <c r="C2049" s="1" t="s">
        <v>47</v>
      </c>
      <c r="D2049" s="1" t="s">
        <v>29</v>
      </c>
      <c r="E2049" s="1" t="s">
        <v>37</v>
      </c>
      <c r="F2049">
        <v>2.4</v>
      </c>
      <c r="G2049">
        <v>2</v>
      </c>
      <c r="H2049" s="1" t="s">
        <v>14</v>
      </c>
      <c r="I2049" s="1" t="s">
        <v>15</v>
      </c>
      <c r="J2049" s="12">
        <v>45806</v>
      </c>
      <c r="K2049">
        <v>0</v>
      </c>
      <c r="L2049" s="1">
        <f t="shared" si="124"/>
        <v>4.8</v>
      </c>
      <c r="M2049" s="1" t="str">
        <f t="shared" si="125"/>
        <v/>
      </c>
      <c r="N2049" s="2">
        <f t="shared" si="126"/>
        <v>45778</v>
      </c>
      <c r="O2049" t="str">
        <f t="shared" si="127"/>
        <v>mačka</v>
      </c>
    </row>
    <row r="2050" spans="1:15" x14ac:dyDescent="0.25">
      <c r="A2050">
        <v>9559</v>
      </c>
      <c r="B2050" s="11">
        <v>4061011223346</v>
      </c>
      <c r="C2050" s="1" t="s">
        <v>25</v>
      </c>
      <c r="D2050" s="1" t="s">
        <v>26</v>
      </c>
      <c r="E2050" s="1" t="s">
        <v>27</v>
      </c>
      <c r="F2050">
        <v>19.600000000000001</v>
      </c>
      <c r="G2050">
        <v>1</v>
      </c>
      <c r="H2050" s="1" t="s">
        <v>14</v>
      </c>
      <c r="I2050" s="1" t="s">
        <v>15</v>
      </c>
      <c r="J2050" s="12">
        <v>45806</v>
      </c>
      <c r="K2050">
        <v>0</v>
      </c>
      <c r="L2050" s="1">
        <f t="shared" ref="L2050:L2113" si="128">F2050*G2050</f>
        <v>19.600000000000001</v>
      </c>
      <c r="M2050" s="1" t="str">
        <f t="shared" ref="M2050:M2113" si="129">IF(H2050="NULL", "",VALUE(H2050))</f>
        <v/>
      </c>
      <c r="N2050" s="2">
        <f t="shared" ref="N2050:N2113" si="130">DATE(YEAR(J2050),MONTH(J2050),1)</f>
        <v>45778</v>
      </c>
      <c r="O2050" t="str">
        <f t="shared" ref="O2050:O2113" si="131">IF(ISNUMBER(SEARCH("Mačky",D2050)),"mačka",IF(ISNUMBER(SEARCH("Psy",D2050)),"pes","iné"))</f>
        <v>pes</v>
      </c>
    </row>
    <row r="2051" spans="1:15" hidden="1" x14ac:dyDescent="0.25">
      <c r="A2051">
        <v>9560</v>
      </c>
      <c r="B2051" s="11">
        <v>4026677889902</v>
      </c>
      <c r="C2051" s="1" t="s">
        <v>52</v>
      </c>
      <c r="D2051" s="1" t="s">
        <v>53</v>
      </c>
      <c r="E2051" s="1" t="s">
        <v>54</v>
      </c>
      <c r="F2051">
        <v>7.6</v>
      </c>
      <c r="G2051">
        <v>1</v>
      </c>
      <c r="H2051" s="1" t="s">
        <v>14</v>
      </c>
      <c r="I2051" s="1" t="s">
        <v>15</v>
      </c>
      <c r="J2051" s="12">
        <v>45806</v>
      </c>
      <c r="K2051">
        <v>0</v>
      </c>
      <c r="L2051" s="1">
        <f t="shared" si="128"/>
        <v>7.6</v>
      </c>
      <c r="M2051" s="1" t="str">
        <f t="shared" si="129"/>
        <v/>
      </c>
      <c r="N2051" s="2">
        <f t="shared" si="130"/>
        <v>45778</v>
      </c>
      <c r="O2051" t="str">
        <f t="shared" si="131"/>
        <v>iné</v>
      </c>
    </row>
    <row r="2052" spans="1:15" x14ac:dyDescent="0.25">
      <c r="A2052">
        <v>9561</v>
      </c>
      <c r="B2052" s="11">
        <v>4028899001126</v>
      </c>
      <c r="C2052" s="1" t="s">
        <v>16</v>
      </c>
      <c r="D2052" s="1" t="s">
        <v>12</v>
      </c>
      <c r="E2052" s="1" t="s">
        <v>17</v>
      </c>
      <c r="F2052">
        <v>2.8</v>
      </c>
      <c r="G2052">
        <v>4</v>
      </c>
      <c r="H2052" s="1" t="s">
        <v>14</v>
      </c>
      <c r="I2052" s="1" t="s">
        <v>15</v>
      </c>
      <c r="J2052" s="12">
        <v>45806</v>
      </c>
      <c r="K2052">
        <v>0</v>
      </c>
      <c r="L2052" s="1">
        <f t="shared" si="128"/>
        <v>11.2</v>
      </c>
      <c r="M2052" s="1" t="str">
        <f t="shared" si="129"/>
        <v/>
      </c>
      <c r="N2052" s="2">
        <f t="shared" si="130"/>
        <v>45778</v>
      </c>
      <c r="O2052" t="str">
        <f t="shared" si="131"/>
        <v>pes</v>
      </c>
    </row>
    <row r="2053" spans="1:15" x14ac:dyDescent="0.25">
      <c r="A2053">
        <v>9562</v>
      </c>
      <c r="B2053" s="11">
        <v>4013456789017</v>
      </c>
      <c r="C2053" s="1" t="s">
        <v>11</v>
      </c>
      <c r="D2053" s="1" t="s">
        <v>12</v>
      </c>
      <c r="E2053" s="1" t="s">
        <v>13</v>
      </c>
      <c r="F2053">
        <v>6</v>
      </c>
      <c r="G2053">
        <v>1</v>
      </c>
      <c r="H2053" s="1" t="s">
        <v>14</v>
      </c>
      <c r="I2053" s="1" t="s">
        <v>15</v>
      </c>
      <c r="J2053" s="12">
        <v>45806</v>
      </c>
      <c r="K2053">
        <v>0</v>
      </c>
      <c r="L2053" s="1">
        <f t="shared" si="128"/>
        <v>6</v>
      </c>
      <c r="M2053" s="1" t="str">
        <f t="shared" si="129"/>
        <v/>
      </c>
      <c r="N2053" s="2">
        <f t="shared" si="130"/>
        <v>45778</v>
      </c>
      <c r="O2053" t="str">
        <f t="shared" si="131"/>
        <v>pes</v>
      </c>
    </row>
    <row r="2054" spans="1:15" x14ac:dyDescent="0.25">
      <c r="A2054">
        <v>9563</v>
      </c>
      <c r="B2054" s="11">
        <v>4040123456795</v>
      </c>
      <c r="C2054" s="1" t="s">
        <v>20</v>
      </c>
      <c r="D2054" s="1" t="s">
        <v>21</v>
      </c>
      <c r="E2054" s="1" t="s">
        <v>22</v>
      </c>
      <c r="F2054">
        <v>8.8000000000000007</v>
      </c>
      <c r="G2054">
        <v>1</v>
      </c>
      <c r="H2054" s="1" t="s">
        <v>14</v>
      </c>
      <c r="I2054" s="1" t="s">
        <v>15</v>
      </c>
      <c r="J2054" s="12">
        <v>45806</v>
      </c>
      <c r="K2054">
        <v>0</v>
      </c>
      <c r="L2054" s="1">
        <f t="shared" si="128"/>
        <v>8.8000000000000007</v>
      </c>
      <c r="M2054" s="1" t="str">
        <f t="shared" si="129"/>
        <v/>
      </c>
      <c r="N2054" s="2">
        <f t="shared" si="130"/>
        <v>45778</v>
      </c>
      <c r="O2054" t="str">
        <f t="shared" si="131"/>
        <v>pes</v>
      </c>
    </row>
    <row r="2055" spans="1:15" hidden="1" x14ac:dyDescent="0.25">
      <c r="A2055">
        <v>9564</v>
      </c>
      <c r="B2055" s="11">
        <v>4010123456783</v>
      </c>
      <c r="C2055" s="1" t="s">
        <v>35</v>
      </c>
      <c r="D2055" s="1" t="s">
        <v>36</v>
      </c>
      <c r="E2055" s="1" t="s">
        <v>37</v>
      </c>
      <c r="F2055">
        <v>14</v>
      </c>
      <c r="G2055">
        <v>2</v>
      </c>
      <c r="H2055" s="1" t="s">
        <v>14</v>
      </c>
      <c r="I2055" s="1" t="s">
        <v>15</v>
      </c>
      <c r="J2055" s="12">
        <v>45806</v>
      </c>
      <c r="K2055">
        <v>0</v>
      </c>
      <c r="L2055" s="1">
        <f t="shared" si="128"/>
        <v>28</v>
      </c>
      <c r="M2055" s="1" t="str">
        <f t="shared" si="129"/>
        <v/>
      </c>
      <c r="N2055" s="2">
        <f t="shared" si="130"/>
        <v>45778</v>
      </c>
      <c r="O2055" t="str">
        <f t="shared" si="131"/>
        <v>mačka</v>
      </c>
    </row>
    <row r="2056" spans="1:15" x14ac:dyDescent="0.25">
      <c r="A2056">
        <v>9565</v>
      </c>
      <c r="B2056" s="11">
        <v>4063456789014</v>
      </c>
      <c r="C2056" s="1" t="s">
        <v>60</v>
      </c>
      <c r="D2056" s="1" t="s">
        <v>12</v>
      </c>
      <c r="E2056" s="1" t="s">
        <v>61</v>
      </c>
      <c r="F2056">
        <v>36</v>
      </c>
      <c r="G2056">
        <v>1</v>
      </c>
      <c r="H2056" s="1" t="s">
        <v>14</v>
      </c>
      <c r="I2056" s="1" t="s">
        <v>15</v>
      </c>
      <c r="J2056" s="12">
        <v>45806</v>
      </c>
      <c r="K2056">
        <v>0</v>
      </c>
      <c r="L2056" s="1">
        <f t="shared" si="128"/>
        <v>36</v>
      </c>
      <c r="M2056" s="1" t="str">
        <f t="shared" si="129"/>
        <v/>
      </c>
      <c r="N2056" s="2">
        <f t="shared" si="130"/>
        <v>45778</v>
      </c>
      <c r="O2056" t="str">
        <f t="shared" si="131"/>
        <v>pes</v>
      </c>
    </row>
    <row r="2057" spans="1:15" hidden="1" x14ac:dyDescent="0.25">
      <c r="A2057">
        <v>9566</v>
      </c>
      <c r="B2057" s="11">
        <v>4021234567894</v>
      </c>
      <c r="C2057" s="1" t="s">
        <v>79</v>
      </c>
      <c r="D2057" s="1" t="s">
        <v>36</v>
      </c>
      <c r="E2057" s="1" t="s">
        <v>69</v>
      </c>
      <c r="F2057">
        <v>8</v>
      </c>
      <c r="G2057">
        <v>1</v>
      </c>
      <c r="H2057" s="1" t="s">
        <v>14</v>
      </c>
      <c r="I2057" s="1" t="s">
        <v>15</v>
      </c>
      <c r="J2057" s="12">
        <v>45806</v>
      </c>
      <c r="K2057">
        <v>0</v>
      </c>
      <c r="L2057" s="1">
        <f t="shared" si="128"/>
        <v>8</v>
      </c>
      <c r="M2057" s="1" t="str">
        <f t="shared" si="129"/>
        <v/>
      </c>
      <c r="N2057" s="2">
        <f t="shared" si="130"/>
        <v>45778</v>
      </c>
      <c r="O2057" t="str">
        <f t="shared" si="131"/>
        <v>mačka</v>
      </c>
    </row>
    <row r="2058" spans="1:15" hidden="1" x14ac:dyDescent="0.25">
      <c r="A2058">
        <v>9567</v>
      </c>
      <c r="B2058" s="11">
        <v>4056789012345</v>
      </c>
      <c r="C2058" s="1" t="s">
        <v>47</v>
      </c>
      <c r="D2058" s="1" t="s">
        <v>29</v>
      </c>
      <c r="E2058" s="1" t="s">
        <v>37</v>
      </c>
      <c r="F2058">
        <v>2.4</v>
      </c>
      <c r="G2058">
        <v>3</v>
      </c>
      <c r="H2058" s="1" t="s">
        <v>14</v>
      </c>
      <c r="I2058" s="1" t="s">
        <v>15</v>
      </c>
      <c r="J2058" s="12">
        <v>45806</v>
      </c>
      <c r="K2058">
        <v>0</v>
      </c>
      <c r="L2058" s="1">
        <f t="shared" si="128"/>
        <v>7.1999999999999993</v>
      </c>
      <c r="M2058" s="1" t="str">
        <f t="shared" si="129"/>
        <v/>
      </c>
      <c r="N2058" s="2">
        <f t="shared" si="130"/>
        <v>45778</v>
      </c>
      <c r="O2058" t="str">
        <f t="shared" si="131"/>
        <v>mačka</v>
      </c>
    </row>
    <row r="2059" spans="1:15" x14ac:dyDescent="0.25">
      <c r="A2059">
        <v>9568</v>
      </c>
      <c r="B2059" s="11">
        <v>4061011223346</v>
      </c>
      <c r="C2059" s="1" t="s">
        <v>25</v>
      </c>
      <c r="D2059" s="1" t="s">
        <v>26</v>
      </c>
      <c r="E2059" s="1" t="s">
        <v>27</v>
      </c>
      <c r="F2059">
        <v>19.600000000000001</v>
      </c>
      <c r="G2059">
        <v>1</v>
      </c>
      <c r="H2059" s="1" t="s">
        <v>14</v>
      </c>
      <c r="I2059" s="1" t="s">
        <v>15</v>
      </c>
      <c r="J2059" s="12">
        <v>45806</v>
      </c>
      <c r="K2059">
        <v>0</v>
      </c>
      <c r="L2059" s="1">
        <f t="shared" si="128"/>
        <v>19.600000000000001</v>
      </c>
      <c r="M2059" s="1" t="str">
        <f t="shared" si="129"/>
        <v/>
      </c>
      <c r="N2059" s="2">
        <f t="shared" si="130"/>
        <v>45778</v>
      </c>
      <c r="O2059" t="str">
        <f t="shared" si="131"/>
        <v>pes</v>
      </c>
    </row>
    <row r="2060" spans="1:15" hidden="1" x14ac:dyDescent="0.25">
      <c r="A2060">
        <v>9569</v>
      </c>
      <c r="B2060" s="11">
        <v>4026677889902</v>
      </c>
      <c r="C2060" s="1" t="s">
        <v>52</v>
      </c>
      <c r="D2060" s="1" t="s">
        <v>53</v>
      </c>
      <c r="E2060" s="1" t="s">
        <v>54</v>
      </c>
      <c r="F2060">
        <v>7.6</v>
      </c>
      <c r="G2060">
        <v>1</v>
      </c>
      <c r="H2060" s="1" t="s">
        <v>14</v>
      </c>
      <c r="I2060" s="1" t="s">
        <v>15</v>
      </c>
      <c r="J2060" s="12">
        <v>45807</v>
      </c>
      <c r="K2060">
        <v>0</v>
      </c>
      <c r="L2060" s="1">
        <f t="shared" si="128"/>
        <v>7.6</v>
      </c>
      <c r="M2060" s="1" t="str">
        <f t="shared" si="129"/>
        <v/>
      </c>
      <c r="N2060" s="2">
        <f t="shared" si="130"/>
        <v>45778</v>
      </c>
      <c r="O2060" t="str">
        <f t="shared" si="131"/>
        <v>iné</v>
      </c>
    </row>
    <row r="2061" spans="1:15" x14ac:dyDescent="0.25">
      <c r="A2061">
        <v>9570</v>
      </c>
      <c r="B2061" s="11">
        <v>4028899001126</v>
      </c>
      <c r="C2061" s="1" t="s">
        <v>16</v>
      </c>
      <c r="D2061" s="1" t="s">
        <v>12</v>
      </c>
      <c r="E2061" s="1" t="s">
        <v>17</v>
      </c>
      <c r="F2061">
        <v>2.8</v>
      </c>
      <c r="G2061">
        <v>3</v>
      </c>
      <c r="H2061" s="1" t="s">
        <v>14</v>
      </c>
      <c r="I2061" s="1" t="s">
        <v>15</v>
      </c>
      <c r="J2061" s="12">
        <v>45807</v>
      </c>
      <c r="K2061">
        <v>0</v>
      </c>
      <c r="L2061" s="1">
        <f t="shared" si="128"/>
        <v>8.3999999999999986</v>
      </c>
      <c r="M2061" s="1" t="str">
        <f t="shared" si="129"/>
        <v/>
      </c>
      <c r="N2061" s="2">
        <f t="shared" si="130"/>
        <v>45778</v>
      </c>
      <c r="O2061" t="str">
        <f t="shared" si="131"/>
        <v>pes</v>
      </c>
    </row>
    <row r="2062" spans="1:15" x14ac:dyDescent="0.25">
      <c r="A2062">
        <v>9571</v>
      </c>
      <c r="B2062" s="11">
        <v>4013456789017</v>
      </c>
      <c r="C2062" s="1" t="s">
        <v>11</v>
      </c>
      <c r="D2062" s="1" t="s">
        <v>12</v>
      </c>
      <c r="E2062" s="1" t="s">
        <v>13</v>
      </c>
      <c r="F2062">
        <v>6</v>
      </c>
      <c r="G2062">
        <v>1</v>
      </c>
      <c r="H2062" s="1" t="s">
        <v>14</v>
      </c>
      <c r="I2062" s="1" t="s">
        <v>15</v>
      </c>
      <c r="J2062" s="12">
        <v>45807</v>
      </c>
      <c r="K2062">
        <v>0</v>
      </c>
      <c r="L2062" s="1">
        <f t="shared" si="128"/>
        <v>6</v>
      </c>
      <c r="M2062" s="1" t="str">
        <f t="shared" si="129"/>
        <v/>
      </c>
      <c r="N2062" s="2">
        <f t="shared" si="130"/>
        <v>45778</v>
      </c>
      <c r="O2062" t="str">
        <f t="shared" si="131"/>
        <v>pes</v>
      </c>
    </row>
    <row r="2063" spans="1:15" x14ac:dyDescent="0.25">
      <c r="A2063">
        <v>9572</v>
      </c>
      <c r="B2063" s="11">
        <v>4040123456795</v>
      </c>
      <c r="C2063" s="1" t="s">
        <v>20</v>
      </c>
      <c r="D2063" s="1" t="s">
        <v>21</v>
      </c>
      <c r="E2063" s="1" t="s">
        <v>22</v>
      </c>
      <c r="F2063">
        <v>8.8000000000000007</v>
      </c>
      <c r="G2063">
        <v>1</v>
      </c>
      <c r="H2063" s="1" t="s">
        <v>14</v>
      </c>
      <c r="I2063" s="1" t="s">
        <v>15</v>
      </c>
      <c r="J2063" s="12">
        <v>45807</v>
      </c>
      <c r="K2063">
        <v>0</v>
      </c>
      <c r="L2063" s="1">
        <f t="shared" si="128"/>
        <v>8.8000000000000007</v>
      </c>
      <c r="M2063" s="1" t="str">
        <f t="shared" si="129"/>
        <v/>
      </c>
      <c r="N2063" s="2">
        <f t="shared" si="130"/>
        <v>45778</v>
      </c>
      <c r="O2063" t="str">
        <f t="shared" si="131"/>
        <v>pes</v>
      </c>
    </row>
    <row r="2064" spans="1:15" hidden="1" x14ac:dyDescent="0.25">
      <c r="A2064">
        <v>9573</v>
      </c>
      <c r="B2064" s="11">
        <v>4010123456783</v>
      </c>
      <c r="C2064" s="1" t="s">
        <v>35</v>
      </c>
      <c r="D2064" s="1" t="s">
        <v>36</v>
      </c>
      <c r="E2064" s="1" t="s">
        <v>37</v>
      </c>
      <c r="F2064">
        <v>14</v>
      </c>
      <c r="G2064">
        <v>1</v>
      </c>
      <c r="H2064" s="1" t="s">
        <v>14</v>
      </c>
      <c r="I2064" s="1" t="s">
        <v>15</v>
      </c>
      <c r="J2064" s="12">
        <v>45807</v>
      </c>
      <c r="K2064">
        <v>0</v>
      </c>
      <c r="L2064" s="1">
        <f t="shared" si="128"/>
        <v>14</v>
      </c>
      <c r="M2064" s="1" t="str">
        <f t="shared" si="129"/>
        <v/>
      </c>
      <c r="N2064" s="2">
        <f t="shared" si="130"/>
        <v>45778</v>
      </c>
      <c r="O2064" t="str">
        <f t="shared" si="131"/>
        <v>mačka</v>
      </c>
    </row>
    <row r="2065" spans="1:15" x14ac:dyDescent="0.25">
      <c r="A2065">
        <v>9574</v>
      </c>
      <c r="B2065" s="11">
        <v>4063456789014</v>
      </c>
      <c r="C2065" s="1" t="s">
        <v>60</v>
      </c>
      <c r="D2065" s="1" t="s">
        <v>12</v>
      </c>
      <c r="E2065" s="1" t="s">
        <v>61</v>
      </c>
      <c r="F2065">
        <v>36</v>
      </c>
      <c r="G2065">
        <v>1</v>
      </c>
      <c r="H2065" s="1" t="s">
        <v>14</v>
      </c>
      <c r="I2065" s="1" t="s">
        <v>15</v>
      </c>
      <c r="J2065" s="12">
        <v>45807</v>
      </c>
      <c r="K2065">
        <v>0</v>
      </c>
      <c r="L2065" s="1">
        <f t="shared" si="128"/>
        <v>36</v>
      </c>
      <c r="M2065" s="1" t="str">
        <f t="shared" si="129"/>
        <v/>
      </c>
      <c r="N2065" s="2">
        <f t="shared" si="130"/>
        <v>45778</v>
      </c>
      <c r="O2065" t="str">
        <f t="shared" si="131"/>
        <v>pes</v>
      </c>
    </row>
    <row r="2066" spans="1:15" hidden="1" x14ac:dyDescent="0.25">
      <c r="A2066">
        <v>9575</v>
      </c>
      <c r="B2066" s="11">
        <v>4021234567894</v>
      </c>
      <c r="C2066" s="1" t="s">
        <v>79</v>
      </c>
      <c r="D2066" s="1" t="s">
        <v>36</v>
      </c>
      <c r="E2066" s="1" t="s">
        <v>69</v>
      </c>
      <c r="F2066">
        <v>8</v>
      </c>
      <c r="G2066">
        <v>1</v>
      </c>
      <c r="H2066" s="1" t="s">
        <v>14</v>
      </c>
      <c r="I2066" s="1" t="s">
        <v>15</v>
      </c>
      <c r="J2066" s="12">
        <v>45807</v>
      </c>
      <c r="K2066">
        <v>0</v>
      </c>
      <c r="L2066" s="1">
        <f t="shared" si="128"/>
        <v>8</v>
      </c>
      <c r="M2066" s="1" t="str">
        <f t="shared" si="129"/>
        <v/>
      </c>
      <c r="N2066" s="2">
        <f t="shared" si="130"/>
        <v>45778</v>
      </c>
      <c r="O2066" t="str">
        <f t="shared" si="131"/>
        <v>mačka</v>
      </c>
    </row>
    <row r="2067" spans="1:15" hidden="1" x14ac:dyDescent="0.25">
      <c r="A2067">
        <v>9576</v>
      </c>
      <c r="B2067" s="11">
        <v>4056789012345</v>
      </c>
      <c r="C2067" s="1" t="s">
        <v>47</v>
      </c>
      <c r="D2067" s="1" t="s">
        <v>29</v>
      </c>
      <c r="E2067" s="1" t="s">
        <v>37</v>
      </c>
      <c r="F2067">
        <v>2.4</v>
      </c>
      <c r="G2067">
        <v>2</v>
      </c>
      <c r="H2067" s="1" t="s">
        <v>14</v>
      </c>
      <c r="I2067" s="1" t="s">
        <v>15</v>
      </c>
      <c r="J2067" s="12">
        <v>45807</v>
      </c>
      <c r="K2067">
        <v>0</v>
      </c>
      <c r="L2067" s="1">
        <f t="shared" si="128"/>
        <v>4.8</v>
      </c>
      <c r="M2067" s="1" t="str">
        <f t="shared" si="129"/>
        <v/>
      </c>
      <c r="N2067" s="2">
        <f t="shared" si="130"/>
        <v>45778</v>
      </c>
      <c r="O2067" t="str">
        <f t="shared" si="131"/>
        <v>mačka</v>
      </c>
    </row>
    <row r="2068" spans="1:15" x14ac:dyDescent="0.25">
      <c r="A2068">
        <v>9577</v>
      </c>
      <c r="B2068" s="11">
        <v>4061011223346</v>
      </c>
      <c r="C2068" s="1" t="s">
        <v>25</v>
      </c>
      <c r="D2068" s="1" t="s">
        <v>26</v>
      </c>
      <c r="E2068" s="1" t="s">
        <v>27</v>
      </c>
      <c r="F2068">
        <v>19.600000000000001</v>
      </c>
      <c r="G2068">
        <v>1</v>
      </c>
      <c r="H2068" s="1" t="s">
        <v>14</v>
      </c>
      <c r="I2068" s="1" t="s">
        <v>15</v>
      </c>
      <c r="J2068" s="12">
        <v>45807</v>
      </c>
      <c r="K2068">
        <v>0</v>
      </c>
      <c r="L2068" s="1">
        <f t="shared" si="128"/>
        <v>19.600000000000001</v>
      </c>
      <c r="M2068" s="1" t="str">
        <f t="shared" si="129"/>
        <v/>
      </c>
      <c r="N2068" s="2">
        <f t="shared" si="130"/>
        <v>45778</v>
      </c>
      <c r="O2068" t="str">
        <f t="shared" si="131"/>
        <v>pes</v>
      </c>
    </row>
    <row r="2069" spans="1:15" hidden="1" x14ac:dyDescent="0.25">
      <c r="A2069">
        <v>9578</v>
      </c>
      <c r="B2069" s="11">
        <v>4026677889902</v>
      </c>
      <c r="C2069" s="1" t="s">
        <v>52</v>
      </c>
      <c r="D2069" s="1" t="s">
        <v>53</v>
      </c>
      <c r="E2069" s="1" t="s">
        <v>54</v>
      </c>
      <c r="F2069">
        <v>7.6</v>
      </c>
      <c r="G2069">
        <v>1</v>
      </c>
      <c r="H2069" s="1" t="s">
        <v>14</v>
      </c>
      <c r="I2069" s="1" t="s">
        <v>15</v>
      </c>
      <c r="J2069" s="12">
        <v>45807</v>
      </c>
      <c r="K2069">
        <v>0</v>
      </c>
      <c r="L2069" s="1">
        <f t="shared" si="128"/>
        <v>7.6</v>
      </c>
      <c r="M2069" s="1" t="str">
        <f t="shared" si="129"/>
        <v/>
      </c>
      <c r="N2069" s="2">
        <f t="shared" si="130"/>
        <v>45778</v>
      </c>
      <c r="O2069" t="str">
        <f t="shared" si="131"/>
        <v>iné</v>
      </c>
    </row>
    <row r="2070" spans="1:15" x14ac:dyDescent="0.25">
      <c r="A2070">
        <v>9579</v>
      </c>
      <c r="B2070" s="11">
        <v>4028899001126</v>
      </c>
      <c r="C2070" s="1" t="s">
        <v>16</v>
      </c>
      <c r="D2070" s="1" t="s">
        <v>12</v>
      </c>
      <c r="E2070" s="1" t="s">
        <v>17</v>
      </c>
      <c r="F2070">
        <v>2.8</v>
      </c>
      <c r="G2070">
        <v>3</v>
      </c>
      <c r="H2070" s="1" t="s">
        <v>14</v>
      </c>
      <c r="I2070" s="1" t="s">
        <v>15</v>
      </c>
      <c r="J2070" s="12">
        <v>45807</v>
      </c>
      <c r="K2070">
        <v>0</v>
      </c>
      <c r="L2070" s="1">
        <f t="shared" si="128"/>
        <v>8.3999999999999986</v>
      </c>
      <c r="M2070" s="1" t="str">
        <f t="shared" si="129"/>
        <v/>
      </c>
      <c r="N2070" s="2">
        <f t="shared" si="130"/>
        <v>45778</v>
      </c>
      <c r="O2070" t="str">
        <f t="shared" si="131"/>
        <v>pes</v>
      </c>
    </row>
    <row r="2071" spans="1:15" x14ac:dyDescent="0.25">
      <c r="A2071">
        <v>9580</v>
      </c>
      <c r="B2071" s="11">
        <v>4013456789017</v>
      </c>
      <c r="C2071" s="1" t="s">
        <v>11</v>
      </c>
      <c r="D2071" s="1" t="s">
        <v>12</v>
      </c>
      <c r="E2071" s="1" t="s">
        <v>13</v>
      </c>
      <c r="F2071">
        <v>6</v>
      </c>
      <c r="G2071">
        <v>1</v>
      </c>
      <c r="H2071" s="1" t="s">
        <v>14</v>
      </c>
      <c r="I2071" s="1" t="s">
        <v>15</v>
      </c>
      <c r="J2071" s="12">
        <v>45807</v>
      </c>
      <c r="K2071">
        <v>0</v>
      </c>
      <c r="L2071" s="1">
        <f t="shared" si="128"/>
        <v>6</v>
      </c>
      <c r="M2071" s="1" t="str">
        <f t="shared" si="129"/>
        <v/>
      </c>
      <c r="N2071" s="2">
        <f t="shared" si="130"/>
        <v>45778</v>
      </c>
      <c r="O2071" t="str">
        <f t="shared" si="131"/>
        <v>pes</v>
      </c>
    </row>
    <row r="2072" spans="1:15" x14ac:dyDescent="0.25">
      <c r="A2072">
        <v>9581</v>
      </c>
      <c r="B2072" s="11">
        <v>4040123456795</v>
      </c>
      <c r="C2072" s="1" t="s">
        <v>20</v>
      </c>
      <c r="D2072" s="1" t="s">
        <v>21</v>
      </c>
      <c r="E2072" s="1" t="s">
        <v>22</v>
      </c>
      <c r="F2072">
        <v>8.8000000000000007</v>
      </c>
      <c r="G2072">
        <v>1</v>
      </c>
      <c r="H2072" s="1" t="s">
        <v>14</v>
      </c>
      <c r="I2072" s="1" t="s">
        <v>15</v>
      </c>
      <c r="J2072" s="12">
        <v>45807</v>
      </c>
      <c r="K2072">
        <v>0</v>
      </c>
      <c r="L2072" s="1">
        <f t="shared" si="128"/>
        <v>8.8000000000000007</v>
      </c>
      <c r="M2072" s="1" t="str">
        <f t="shared" si="129"/>
        <v/>
      </c>
      <c r="N2072" s="2">
        <f t="shared" si="130"/>
        <v>45778</v>
      </c>
      <c r="O2072" t="str">
        <f t="shared" si="131"/>
        <v>pes</v>
      </c>
    </row>
    <row r="2073" spans="1:15" hidden="1" x14ac:dyDescent="0.25">
      <c r="A2073">
        <v>9582</v>
      </c>
      <c r="B2073" s="11">
        <v>4010123456783</v>
      </c>
      <c r="C2073" s="1" t="s">
        <v>35</v>
      </c>
      <c r="D2073" s="1" t="s">
        <v>36</v>
      </c>
      <c r="E2073" s="1" t="s">
        <v>37</v>
      </c>
      <c r="F2073">
        <v>14</v>
      </c>
      <c r="G2073">
        <v>1</v>
      </c>
      <c r="H2073" s="1" t="s">
        <v>14</v>
      </c>
      <c r="I2073" s="1" t="s">
        <v>15</v>
      </c>
      <c r="J2073" s="12">
        <v>45807</v>
      </c>
      <c r="K2073">
        <v>0</v>
      </c>
      <c r="L2073" s="1">
        <f t="shared" si="128"/>
        <v>14</v>
      </c>
      <c r="M2073" s="1" t="str">
        <f t="shared" si="129"/>
        <v/>
      </c>
      <c r="N2073" s="2">
        <f t="shared" si="130"/>
        <v>45778</v>
      </c>
      <c r="O2073" t="str">
        <f t="shared" si="131"/>
        <v>mačka</v>
      </c>
    </row>
    <row r="2074" spans="1:15" x14ac:dyDescent="0.25">
      <c r="A2074">
        <v>9583</v>
      </c>
      <c r="B2074" s="11">
        <v>4063456789014</v>
      </c>
      <c r="C2074" s="1" t="s">
        <v>60</v>
      </c>
      <c r="D2074" s="1" t="s">
        <v>12</v>
      </c>
      <c r="E2074" s="1" t="s">
        <v>61</v>
      </c>
      <c r="F2074">
        <v>36</v>
      </c>
      <c r="G2074">
        <v>1</v>
      </c>
      <c r="H2074" s="1" t="s">
        <v>14</v>
      </c>
      <c r="I2074" s="1" t="s">
        <v>15</v>
      </c>
      <c r="J2074" s="12">
        <v>45807</v>
      </c>
      <c r="K2074">
        <v>0</v>
      </c>
      <c r="L2074" s="1">
        <f t="shared" si="128"/>
        <v>36</v>
      </c>
      <c r="M2074" s="1" t="str">
        <f t="shared" si="129"/>
        <v/>
      </c>
      <c r="N2074" s="2">
        <f t="shared" si="130"/>
        <v>45778</v>
      </c>
      <c r="O2074" t="str">
        <f t="shared" si="131"/>
        <v>pes</v>
      </c>
    </row>
    <row r="2075" spans="1:15" hidden="1" x14ac:dyDescent="0.25">
      <c r="A2075">
        <v>9584</v>
      </c>
      <c r="B2075" s="11">
        <v>4021234567894</v>
      </c>
      <c r="C2075" s="1" t="s">
        <v>79</v>
      </c>
      <c r="D2075" s="1" t="s">
        <v>36</v>
      </c>
      <c r="E2075" s="1" t="s">
        <v>69</v>
      </c>
      <c r="F2075">
        <v>8</v>
      </c>
      <c r="G2075">
        <v>1</v>
      </c>
      <c r="H2075" s="1" t="s">
        <v>14</v>
      </c>
      <c r="I2075" s="1" t="s">
        <v>15</v>
      </c>
      <c r="J2075" s="12">
        <v>45807</v>
      </c>
      <c r="K2075">
        <v>0</v>
      </c>
      <c r="L2075" s="1">
        <f t="shared" si="128"/>
        <v>8</v>
      </c>
      <c r="M2075" s="1" t="str">
        <f t="shared" si="129"/>
        <v/>
      </c>
      <c r="N2075" s="2">
        <f t="shared" si="130"/>
        <v>45778</v>
      </c>
      <c r="O2075" t="str">
        <f t="shared" si="131"/>
        <v>mačka</v>
      </c>
    </row>
    <row r="2076" spans="1:15" hidden="1" x14ac:dyDescent="0.25">
      <c r="A2076">
        <v>9585</v>
      </c>
      <c r="B2076" s="11">
        <v>4056789012345</v>
      </c>
      <c r="C2076" s="1" t="s">
        <v>47</v>
      </c>
      <c r="D2076" s="1" t="s">
        <v>29</v>
      </c>
      <c r="E2076" s="1" t="s">
        <v>37</v>
      </c>
      <c r="F2076">
        <v>2.4</v>
      </c>
      <c r="G2076">
        <v>2</v>
      </c>
      <c r="H2076" s="1" t="s">
        <v>14</v>
      </c>
      <c r="I2076" s="1" t="s">
        <v>15</v>
      </c>
      <c r="J2076" s="12">
        <v>45807</v>
      </c>
      <c r="K2076">
        <v>0</v>
      </c>
      <c r="L2076" s="1">
        <f t="shared" si="128"/>
        <v>4.8</v>
      </c>
      <c r="M2076" s="1" t="str">
        <f t="shared" si="129"/>
        <v/>
      </c>
      <c r="N2076" s="2">
        <f t="shared" si="130"/>
        <v>45778</v>
      </c>
      <c r="O2076" t="str">
        <f t="shared" si="131"/>
        <v>mačka</v>
      </c>
    </row>
    <row r="2077" spans="1:15" x14ac:dyDescent="0.25">
      <c r="A2077">
        <v>9586</v>
      </c>
      <c r="B2077" s="11">
        <v>4061011223346</v>
      </c>
      <c r="C2077" s="1" t="s">
        <v>25</v>
      </c>
      <c r="D2077" s="1" t="s">
        <v>26</v>
      </c>
      <c r="E2077" s="1" t="s">
        <v>27</v>
      </c>
      <c r="F2077">
        <v>19.600000000000001</v>
      </c>
      <c r="G2077">
        <v>1</v>
      </c>
      <c r="H2077" s="1" t="s">
        <v>14</v>
      </c>
      <c r="I2077" s="1" t="s">
        <v>15</v>
      </c>
      <c r="J2077" s="12">
        <v>45807</v>
      </c>
      <c r="K2077">
        <v>0</v>
      </c>
      <c r="L2077" s="1">
        <f t="shared" si="128"/>
        <v>19.600000000000001</v>
      </c>
      <c r="M2077" s="1" t="str">
        <f t="shared" si="129"/>
        <v/>
      </c>
      <c r="N2077" s="2">
        <f t="shared" si="130"/>
        <v>45778</v>
      </c>
      <c r="O2077" t="str">
        <f t="shared" si="131"/>
        <v>pes</v>
      </c>
    </row>
    <row r="2078" spans="1:15" hidden="1" x14ac:dyDescent="0.25">
      <c r="A2078">
        <v>9587</v>
      </c>
      <c r="B2078" s="11">
        <v>4026677889902</v>
      </c>
      <c r="C2078" s="1" t="s">
        <v>52</v>
      </c>
      <c r="D2078" s="1" t="s">
        <v>53</v>
      </c>
      <c r="E2078" s="1" t="s">
        <v>54</v>
      </c>
      <c r="F2078">
        <v>7.6</v>
      </c>
      <c r="G2078">
        <v>1</v>
      </c>
      <c r="H2078" s="1" t="s">
        <v>14</v>
      </c>
      <c r="I2078" s="1" t="s">
        <v>15</v>
      </c>
      <c r="J2078" s="12">
        <v>45807</v>
      </c>
      <c r="K2078">
        <v>0</v>
      </c>
      <c r="L2078" s="1">
        <f t="shared" si="128"/>
        <v>7.6</v>
      </c>
      <c r="M2078" s="1" t="str">
        <f t="shared" si="129"/>
        <v/>
      </c>
      <c r="N2078" s="2">
        <f t="shared" si="130"/>
        <v>45778</v>
      </c>
      <c r="O2078" t="str">
        <f t="shared" si="131"/>
        <v>iné</v>
      </c>
    </row>
    <row r="2079" spans="1:15" x14ac:dyDescent="0.25">
      <c r="A2079">
        <v>9588</v>
      </c>
      <c r="B2079" s="11">
        <v>4028899001126</v>
      </c>
      <c r="C2079" s="1" t="s">
        <v>16</v>
      </c>
      <c r="D2079" s="1" t="s">
        <v>12</v>
      </c>
      <c r="E2079" s="1" t="s">
        <v>17</v>
      </c>
      <c r="F2079">
        <v>2.8</v>
      </c>
      <c r="G2079">
        <v>4</v>
      </c>
      <c r="H2079" s="1" t="s">
        <v>14</v>
      </c>
      <c r="I2079" s="1" t="s">
        <v>15</v>
      </c>
      <c r="J2079" s="12">
        <v>45807</v>
      </c>
      <c r="K2079">
        <v>0</v>
      </c>
      <c r="L2079" s="1">
        <f t="shared" si="128"/>
        <v>11.2</v>
      </c>
      <c r="M2079" s="1" t="str">
        <f t="shared" si="129"/>
        <v/>
      </c>
      <c r="N2079" s="2">
        <f t="shared" si="130"/>
        <v>45778</v>
      </c>
      <c r="O2079" t="str">
        <f t="shared" si="131"/>
        <v>pes</v>
      </c>
    </row>
    <row r="2080" spans="1:15" x14ac:dyDescent="0.25">
      <c r="A2080">
        <v>9589</v>
      </c>
      <c r="B2080" s="11">
        <v>4013456789017</v>
      </c>
      <c r="C2080" s="1" t="s">
        <v>11</v>
      </c>
      <c r="D2080" s="1" t="s">
        <v>12</v>
      </c>
      <c r="E2080" s="1" t="s">
        <v>13</v>
      </c>
      <c r="F2080">
        <v>6</v>
      </c>
      <c r="G2080">
        <v>1</v>
      </c>
      <c r="H2080" s="1" t="s">
        <v>14</v>
      </c>
      <c r="I2080" s="1" t="s">
        <v>15</v>
      </c>
      <c r="J2080" s="12">
        <v>45808</v>
      </c>
      <c r="K2080">
        <v>0</v>
      </c>
      <c r="L2080" s="1">
        <f t="shared" si="128"/>
        <v>6</v>
      </c>
      <c r="M2080" s="1" t="str">
        <f t="shared" si="129"/>
        <v/>
      </c>
      <c r="N2080" s="2">
        <f t="shared" si="130"/>
        <v>45778</v>
      </c>
      <c r="O2080" t="str">
        <f t="shared" si="131"/>
        <v>pes</v>
      </c>
    </row>
    <row r="2081" spans="1:15" x14ac:dyDescent="0.25">
      <c r="A2081">
        <v>9590</v>
      </c>
      <c r="B2081" s="11">
        <v>4040123456795</v>
      </c>
      <c r="C2081" s="1" t="s">
        <v>20</v>
      </c>
      <c r="D2081" s="1" t="s">
        <v>21</v>
      </c>
      <c r="E2081" s="1" t="s">
        <v>22</v>
      </c>
      <c r="F2081">
        <v>8.8000000000000007</v>
      </c>
      <c r="G2081">
        <v>1</v>
      </c>
      <c r="H2081" s="1" t="s">
        <v>14</v>
      </c>
      <c r="I2081" s="1" t="s">
        <v>15</v>
      </c>
      <c r="J2081" s="12">
        <v>45808</v>
      </c>
      <c r="K2081">
        <v>0</v>
      </c>
      <c r="L2081" s="1">
        <f t="shared" si="128"/>
        <v>8.8000000000000007</v>
      </c>
      <c r="M2081" s="1" t="str">
        <f t="shared" si="129"/>
        <v/>
      </c>
      <c r="N2081" s="2">
        <f t="shared" si="130"/>
        <v>45778</v>
      </c>
      <c r="O2081" t="str">
        <f t="shared" si="131"/>
        <v>pes</v>
      </c>
    </row>
    <row r="2082" spans="1:15" hidden="1" x14ac:dyDescent="0.25">
      <c r="A2082">
        <v>9591</v>
      </c>
      <c r="B2082" s="11">
        <v>4010123456783</v>
      </c>
      <c r="C2082" s="1" t="s">
        <v>35</v>
      </c>
      <c r="D2082" s="1" t="s">
        <v>36</v>
      </c>
      <c r="E2082" s="1" t="s">
        <v>37</v>
      </c>
      <c r="F2082">
        <v>14</v>
      </c>
      <c r="G2082">
        <v>1</v>
      </c>
      <c r="H2082" s="1" t="s">
        <v>14</v>
      </c>
      <c r="I2082" s="1" t="s">
        <v>15</v>
      </c>
      <c r="J2082" s="12">
        <v>45808</v>
      </c>
      <c r="K2082">
        <v>0</v>
      </c>
      <c r="L2082" s="1">
        <f t="shared" si="128"/>
        <v>14</v>
      </c>
      <c r="M2082" s="1" t="str">
        <f t="shared" si="129"/>
        <v/>
      </c>
      <c r="N2082" s="2">
        <f t="shared" si="130"/>
        <v>45778</v>
      </c>
      <c r="O2082" t="str">
        <f t="shared" si="131"/>
        <v>mačka</v>
      </c>
    </row>
    <row r="2083" spans="1:15" x14ac:dyDescent="0.25">
      <c r="A2083">
        <v>9592</v>
      </c>
      <c r="B2083" s="11">
        <v>4063456789014</v>
      </c>
      <c r="C2083" s="1" t="s">
        <v>60</v>
      </c>
      <c r="D2083" s="1" t="s">
        <v>12</v>
      </c>
      <c r="E2083" s="1" t="s">
        <v>61</v>
      </c>
      <c r="F2083">
        <v>36</v>
      </c>
      <c r="G2083">
        <v>1</v>
      </c>
      <c r="H2083" s="1" t="s">
        <v>14</v>
      </c>
      <c r="I2083" s="1" t="s">
        <v>15</v>
      </c>
      <c r="J2083" s="12">
        <v>45808</v>
      </c>
      <c r="K2083">
        <v>0</v>
      </c>
      <c r="L2083" s="1">
        <f t="shared" si="128"/>
        <v>36</v>
      </c>
      <c r="M2083" s="1" t="str">
        <f t="shared" si="129"/>
        <v/>
      </c>
      <c r="N2083" s="2">
        <f t="shared" si="130"/>
        <v>45778</v>
      </c>
      <c r="O2083" t="str">
        <f t="shared" si="131"/>
        <v>pes</v>
      </c>
    </row>
    <row r="2084" spans="1:15" hidden="1" x14ac:dyDescent="0.25">
      <c r="A2084">
        <v>9593</v>
      </c>
      <c r="B2084" s="11">
        <v>4021234567894</v>
      </c>
      <c r="C2084" s="1" t="s">
        <v>79</v>
      </c>
      <c r="D2084" s="1" t="s">
        <v>36</v>
      </c>
      <c r="E2084" s="1" t="s">
        <v>69</v>
      </c>
      <c r="F2084">
        <v>8</v>
      </c>
      <c r="G2084">
        <v>1</v>
      </c>
      <c r="H2084" s="1" t="s">
        <v>14</v>
      </c>
      <c r="I2084" s="1" t="s">
        <v>15</v>
      </c>
      <c r="J2084" s="12">
        <v>45808</v>
      </c>
      <c r="K2084">
        <v>0</v>
      </c>
      <c r="L2084" s="1">
        <f t="shared" si="128"/>
        <v>8</v>
      </c>
      <c r="M2084" s="1" t="str">
        <f t="shared" si="129"/>
        <v/>
      </c>
      <c r="N2084" s="2">
        <f t="shared" si="130"/>
        <v>45778</v>
      </c>
      <c r="O2084" t="str">
        <f t="shared" si="131"/>
        <v>mačka</v>
      </c>
    </row>
    <row r="2085" spans="1:15" hidden="1" x14ac:dyDescent="0.25">
      <c r="A2085">
        <v>9594</v>
      </c>
      <c r="B2085" s="11">
        <v>4056789012345</v>
      </c>
      <c r="C2085" s="1" t="s">
        <v>47</v>
      </c>
      <c r="D2085" s="1" t="s">
        <v>29</v>
      </c>
      <c r="E2085" s="1" t="s">
        <v>37</v>
      </c>
      <c r="F2085">
        <v>2.4</v>
      </c>
      <c r="G2085">
        <v>3</v>
      </c>
      <c r="H2085" s="1" t="s">
        <v>14</v>
      </c>
      <c r="I2085" s="1" t="s">
        <v>15</v>
      </c>
      <c r="J2085" s="12">
        <v>45808</v>
      </c>
      <c r="K2085">
        <v>0</v>
      </c>
      <c r="L2085" s="1">
        <f t="shared" si="128"/>
        <v>7.1999999999999993</v>
      </c>
      <c r="M2085" s="1" t="str">
        <f t="shared" si="129"/>
        <v/>
      </c>
      <c r="N2085" s="2">
        <f t="shared" si="130"/>
        <v>45778</v>
      </c>
      <c r="O2085" t="str">
        <f t="shared" si="131"/>
        <v>mačka</v>
      </c>
    </row>
    <row r="2086" spans="1:15" x14ac:dyDescent="0.25">
      <c r="A2086">
        <v>9595</v>
      </c>
      <c r="B2086" s="11">
        <v>4061011223346</v>
      </c>
      <c r="C2086" s="1" t="s">
        <v>25</v>
      </c>
      <c r="D2086" s="1" t="s">
        <v>26</v>
      </c>
      <c r="E2086" s="1" t="s">
        <v>27</v>
      </c>
      <c r="F2086">
        <v>19.600000000000001</v>
      </c>
      <c r="G2086">
        <v>1</v>
      </c>
      <c r="H2086" s="1" t="s">
        <v>14</v>
      </c>
      <c r="I2086" s="1" t="s">
        <v>15</v>
      </c>
      <c r="J2086" s="12">
        <v>45808</v>
      </c>
      <c r="K2086">
        <v>0</v>
      </c>
      <c r="L2086" s="1">
        <f t="shared" si="128"/>
        <v>19.600000000000001</v>
      </c>
      <c r="M2086" s="1" t="str">
        <f t="shared" si="129"/>
        <v/>
      </c>
      <c r="N2086" s="2">
        <f t="shared" si="130"/>
        <v>45778</v>
      </c>
      <c r="O2086" t="str">
        <f t="shared" si="131"/>
        <v>pes</v>
      </c>
    </row>
    <row r="2087" spans="1:15" hidden="1" x14ac:dyDescent="0.25">
      <c r="A2087">
        <v>9596</v>
      </c>
      <c r="B2087" s="11">
        <v>4026677889902</v>
      </c>
      <c r="C2087" s="1" t="s">
        <v>52</v>
      </c>
      <c r="D2087" s="1" t="s">
        <v>53</v>
      </c>
      <c r="E2087" s="1" t="s">
        <v>54</v>
      </c>
      <c r="F2087">
        <v>7.6</v>
      </c>
      <c r="G2087">
        <v>1</v>
      </c>
      <c r="H2087" s="1" t="s">
        <v>14</v>
      </c>
      <c r="I2087" s="1" t="s">
        <v>15</v>
      </c>
      <c r="J2087" s="12">
        <v>45808</v>
      </c>
      <c r="K2087">
        <v>0</v>
      </c>
      <c r="L2087" s="1">
        <f t="shared" si="128"/>
        <v>7.6</v>
      </c>
      <c r="M2087" s="1" t="str">
        <f t="shared" si="129"/>
        <v/>
      </c>
      <c r="N2087" s="2">
        <f t="shared" si="130"/>
        <v>45778</v>
      </c>
      <c r="O2087" t="str">
        <f t="shared" si="131"/>
        <v>iné</v>
      </c>
    </row>
    <row r="2088" spans="1:15" x14ac:dyDescent="0.25">
      <c r="A2088">
        <v>9597</v>
      </c>
      <c r="B2088" s="11">
        <v>4028899001126</v>
      </c>
      <c r="C2088" s="1" t="s">
        <v>16</v>
      </c>
      <c r="D2088" s="1" t="s">
        <v>12</v>
      </c>
      <c r="E2088" s="1" t="s">
        <v>17</v>
      </c>
      <c r="F2088">
        <v>2.8</v>
      </c>
      <c r="G2088">
        <v>3</v>
      </c>
      <c r="H2088" s="1" t="s">
        <v>14</v>
      </c>
      <c r="I2088" s="1" t="s">
        <v>15</v>
      </c>
      <c r="J2088" s="12">
        <v>45808</v>
      </c>
      <c r="K2088">
        <v>0</v>
      </c>
      <c r="L2088" s="1">
        <f t="shared" si="128"/>
        <v>8.3999999999999986</v>
      </c>
      <c r="M2088" s="1" t="str">
        <f t="shared" si="129"/>
        <v/>
      </c>
      <c r="N2088" s="2">
        <f t="shared" si="130"/>
        <v>45778</v>
      </c>
      <c r="O2088" t="str">
        <f t="shared" si="131"/>
        <v>pes</v>
      </c>
    </row>
    <row r="2089" spans="1:15" x14ac:dyDescent="0.25">
      <c r="A2089">
        <v>9598</v>
      </c>
      <c r="B2089" s="11">
        <v>4013456789017</v>
      </c>
      <c r="C2089" s="1" t="s">
        <v>11</v>
      </c>
      <c r="D2089" s="1" t="s">
        <v>12</v>
      </c>
      <c r="E2089" s="1" t="s">
        <v>13</v>
      </c>
      <c r="F2089">
        <v>6</v>
      </c>
      <c r="G2089">
        <v>1</v>
      </c>
      <c r="H2089" s="1" t="s">
        <v>14</v>
      </c>
      <c r="I2089" s="1" t="s">
        <v>15</v>
      </c>
      <c r="J2089" s="12">
        <v>45808</v>
      </c>
      <c r="K2089">
        <v>0</v>
      </c>
      <c r="L2089" s="1">
        <f t="shared" si="128"/>
        <v>6</v>
      </c>
      <c r="M2089" s="1" t="str">
        <f t="shared" si="129"/>
        <v/>
      </c>
      <c r="N2089" s="2">
        <f t="shared" si="130"/>
        <v>45778</v>
      </c>
      <c r="O2089" t="str">
        <f t="shared" si="131"/>
        <v>pes</v>
      </c>
    </row>
    <row r="2090" spans="1:15" x14ac:dyDescent="0.25">
      <c r="A2090">
        <v>9599</v>
      </c>
      <c r="B2090" s="11">
        <v>4040123456795</v>
      </c>
      <c r="C2090" s="1" t="s">
        <v>20</v>
      </c>
      <c r="D2090" s="1" t="s">
        <v>21</v>
      </c>
      <c r="E2090" s="1" t="s">
        <v>22</v>
      </c>
      <c r="F2090">
        <v>8.8000000000000007</v>
      </c>
      <c r="G2090">
        <v>1</v>
      </c>
      <c r="H2090" s="1" t="s">
        <v>14</v>
      </c>
      <c r="I2090" s="1" t="s">
        <v>15</v>
      </c>
      <c r="J2090" s="12">
        <v>45808</v>
      </c>
      <c r="K2090">
        <v>0</v>
      </c>
      <c r="L2090" s="1">
        <f t="shared" si="128"/>
        <v>8.8000000000000007</v>
      </c>
      <c r="M2090" s="1" t="str">
        <f t="shared" si="129"/>
        <v/>
      </c>
      <c r="N2090" s="2">
        <f t="shared" si="130"/>
        <v>45778</v>
      </c>
      <c r="O2090" t="str">
        <f t="shared" si="131"/>
        <v>pes</v>
      </c>
    </row>
    <row r="2091" spans="1:15" hidden="1" x14ac:dyDescent="0.25">
      <c r="A2091">
        <v>9600</v>
      </c>
      <c r="B2091" s="11">
        <v>4010123456783</v>
      </c>
      <c r="C2091" s="1" t="s">
        <v>35</v>
      </c>
      <c r="D2091" s="1" t="s">
        <v>36</v>
      </c>
      <c r="E2091" s="1" t="s">
        <v>37</v>
      </c>
      <c r="F2091">
        <v>14</v>
      </c>
      <c r="G2091">
        <v>1</v>
      </c>
      <c r="H2091" s="1" t="s">
        <v>14</v>
      </c>
      <c r="I2091" s="1" t="s">
        <v>15</v>
      </c>
      <c r="J2091" s="12">
        <v>45808</v>
      </c>
      <c r="K2091">
        <v>0</v>
      </c>
      <c r="L2091" s="1">
        <f t="shared" si="128"/>
        <v>14</v>
      </c>
      <c r="M2091" s="1" t="str">
        <f t="shared" si="129"/>
        <v/>
      </c>
      <c r="N2091" s="2">
        <f t="shared" si="130"/>
        <v>45778</v>
      </c>
      <c r="O2091" t="str">
        <f t="shared" si="131"/>
        <v>mačka</v>
      </c>
    </row>
    <row r="2092" spans="1:15" x14ac:dyDescent="0.25">
      <c r="A2092">
        <v>9601</v>
      </c>
      <c r="B2092" s="11">
        <v>4063456789014</v>
      </c>
      <c r="C2092" s="1" t="s">
        <v>60</v>
      </c>
      <c r="D2092" s="1" t="s">
        <v>12</v>
      </c>
      <c r="E2092" s="1" t="s">
        <v>61</v>
      </c>
      <c r="F2092">
        <v>36</v>
      </c>
      <c r="G2092">
        <v>1</v>
      </c>
      <c r="H2092" s="1" t="s">
        <v>14</v>
      </c>
      <c r="I2092" s="1" t="s">
        <v>15</v>
      </c>
      <c r="J2092" s="12">
        <v>45808</v>
      </c>
      <c r="K2092">
        <v>0</v>
      </c>
      <c r="L2092" s="1">
        <f t="shared" si="128"/>
        <v>36</v>
      </c>
      <c r="M2092" s="1" t="str">
        <f t="shared" si="129"/>
        <v/>
      </c>
      <c r="N2092" s="2">
        <f t="shared" si="130"/>
        <v>45778</v>
      </c>
      <c r="O2092" t="str">
        <f t="shared" si="131"/>
        <v>pes</v>
      </c>
    </row>
    <row r="2093" spans="1:15" hidden="1" x14ac:dyDescent="0.25">
      <c r="A2093">
        <v>9602</v>
      </c>
      <c r="B2093" s="11">
        <v>4021234567894</v>
      </c>
      <c r="C2093" s="1" t="s">
        <v>79</v>
      </c>
      <c r="D2093" s="1" t="s">
        <v>36</v>
      </c>
      <c r="E2093" s="1" t="s">
        <v>69</v>
      </c>
      <c r="F2093">
        <v>8</v>
      </c>
      <c r="G2093">
        <v>1</v>
      </c>
      <c r="H2093" s="1" t="s">
        <v>14</v>
      </c>
      <c r="I2093" s="1" t="s">
        <v>15</v>
      </c>
      <c r="J2093" s="12">
        <v>45808</v>
      </c>
      <c r="K2093">
        <v>0</v>
      </c>
      <c r="L2093" s="1">
        <f t="shared" si="128"/>
        <v>8</v>
      </c>
      <c r="M2093" s="1" t="str">
        <f t="shared" si="129"/>
        <v/>
      </c>
      <c r="N2093" s="2">
        <f t="shared" si="130"/>
        <v>45778</v>
      </c>
      <c r="O2093" t="str">
        <f t="shared" si="131"/>
        <v>mačka</v>
      </c>
    </row>
    <row r="2094" spans="1:15" hidden="1" x14ac:dyDescent="0.25">
      <c r="A2094">
        <v>9603</v>
      </c>
      <c r="B2094" s="11">
        <v>4056789012345</v>
      </c>
      <c r="C2094" s="1" t="s">
        <v>47</v>
      </c>
      <c r="D2094" s="1" t="s">
        <v>29</v>
      </c>
      <c r="E2094" s="1" t="s">
        <v>37</v>
      </c>
      <c r="F2094">
        <v>2.4</v>
      </c>
      <c r="G2094">
        <v>3</v>
      </c>
      <c r="H2094" s="1" t="s">
        <v>14</v>
      </c>
      <c r="I2094" s="1" t="s">
        <v>15</v>
      </c>
      <c r="J2094" s="12">
        <v>45808</v>
      </c>
      <c r="K2094">
        <v>0</v>
      </c>
      <c r="L2094" s="1">
        <f t="shared" si="128"/>
        <v>7.1999999999999993</v>
      </c>
      <c r="M2094" s="1" t="str">
        <f t="shared" si="129"/>
        <v/>
      </c>
      <c r="N2094" s="2">
        <f t="shared" si="130"/>
        <v>45778</v>
      </c>
      <c r="O2094" t="str">
        <f t="shared" si="131"/>
        <v>mačka</v>
      </c>
    </row>
    <row r="2095" spans="1:15" x14ac:dyDescent="0.25">
      <c r="A2095">
        <v>9604</v>
      </c>
      <c r="B2095" s="11">
        <v>4061011223346</v>
      </c>
      <c r="C2095" s="1" t="s">
        <v>25</v>
      </c>
      <c r="D2095" s="1" t="s">
        <v>26</v>
      </c>
      <c r="E2095" s="1" t="s">
        <v>27</v>
      </c>
      <c r="F2095">
        <v>19.600000000000001</v>
      </c>
      <c r="G2095">
        <v>1</v>
      </c>
      <c r="H2095" s="1" t="s">
        <v>14</v>
      </c>
      <c r="I2095" s="1" t="s">
        <v>15</v>
      </c>
      <c r="J2095" s="12">
        <v>45808</v>
      </c>
      <c r="K2095">
        <v>0</v>
      </c>
      <c r="L2095" s="1">
        <f t="shared" si="128"/>
        <v>19.600000000000001</v>
      </c>
      <c r="M2095" s="1" t="str">
        <f t="shared" si="129"/>
        <v/>
      </c>
      <c r="N2095" s="2">
        <f t="shared" si="130"/>
        <v>45778</v>
      </c>
      <c r="O2095" t="str">
        <f t="shared" si="131"/>
        <v>pes</v>
      </c>
    </row>
    <row r="2096" spans="1:15" hidden="1" x14ac:dyDescent="0.25">
      <c r="A2096">
        <v>9605</v>
      </c>
      <c r="B2096" s="11">
        <v>4026677889902</v>
      </c>
      <c r="C2096" s="1" t="s">
        <v>52</v>
      </c>
      <c r="D2096" s="1" t="s">
        <v>53</v>
      </c>
      <c r="E2096" s="1" t="s">
        <v>54</v>
      </c>
      <c r="F2096">
        <v>7.6</v>
      </c>
      <c r="G2096">
        <v>1</v>
      </c>
      <c r="H2096" s="1" t="s">
        <v>14</v>
      </c>
      <c r="I2096" s="1" t="s">
        <v>15</v>
      </c>
      <c r="J2096" s="12">
        <v>45808</v>
      </c>
      <c r="K2096">
        <v>0</v>
      </c>
      <c r="L2096" s="1">
        <f t="shared" si="128"/>
        <v>7.6</v>
      </c>
      <c r="M2096" s="1" t="str">
        <f t="shared" si="129"/>
        <v/>
      </c>
      <c r="N2096" s="2">
        <f t="shared" si="130"/>
        <v>45778</v>
      </c>
      <c r="O2096" t="str">
        <f t="shared" si="131"/>
        <v>iné</v>
      </c>
    </row>
    <row r="2097" spans="1:15" x14ac:dyDescent="0.25">
      <c r="A2097">
        <v>9606</v>
      </c>
      <c r="B2097" s="11">
        <v>4028899001126</v>
      </c>
      <c r="C2097" s="1" t="s">
        <v>16</v>
      </c>
      <c r="D2097" s="1" t="s">
        <v>12</v>
      </c>
      <c r="E2097" s="1" t="s">
        <v>17</v>
      </c>
      <c r="F2097">
        <v>2.8</v>
      </c>
      <c r="G2097">
        <v>4</v>
      </c>
      <c r="H2097" s="1" t="s">
        <v>14</v>
      </c>
      <c r="I2097" s="1" t="s">
        <v>15</v>
      </c>
      <c r="J2097" s="12">
        <v>45808</v>
      </c>
      <c r="K2097">
        <v>0</v>
      </c>
      <c r="L2097" s="1">
        <f t="shared" si="128"/>
        <v>11.2</v>
      </c>
      <c r="M2097" s="1" t="str">
        <f t="shared" si="129"/>
        <v/>
      </c>
      <c r="N2097" s="2">
        <f t="shared" si="130"/>
        <v>45778</v>
      </c>
      <c r="O2097" t="str">
        <f t="shared" si="131"/>
        <v>pes</v>
      </c>
    </row>
    <row r="2098" spans="1:15" x14ac:dyDescent="0.25">
      <c r="A2098">
        <v>9607</v>
      </c>
      <c r="B2098" s="11">
        <v>4013456789017</v>
      </c>
      <c r="C2098" s="1" t="s">
        <v>11</v>
      </c>
      <c r="D2098" s="1" t="s">
        <v>12</v>
      </c>
      <c r="E2098" s="1" t="s">
        <v>13</v>
      </c>
      <c r="F2098">
        <v>6</v>
      </c>
      <c r="G2098">
        <v>1</v>
      </c>
      <c r="H2098" s="1" t="s">
        <v>14</v>
      </c>
      <c r="I2098" s="1" t="s">
        <v>15</v>
      </c>
      <c r="J2098" s="12">
        <v>45808</v>
      </c>
      <c r="K2098">
        <v>0</v>
      </c>
      <c r="L2098" s="1">
        <f t="shared" si="128"/>
        <v>6</v>
      </c>
      <c r="M2098" s="1" t="str">
        <f t="shared" si="129"/>
        <v/>
      </c>
      <c r="N2098" s="2">
        <f t="shared" si="130"/>
        <v>45778</v>
      </c>
      <c r="O2098" t="str">
        <f t="shared" si="131"/>
        <v>pes</v>
      </c>
    </row>
    <row r="2099" spans="1:15" x14ac:dyDescent="0.25">
      <c r="A2099">
        <v>9608</v>
      </c>
      <c r="B2099" s="11">
        <v>4040123456795</v>
      </c>
      <c r="C2099" s="1" t="s">
        <v>20</v>
      </c>
      <c r="D2099" s="1" t="s">
        <v>21</v>
      </c>
      <c r="E2099" s="1" t="s">
        <v>22</v>
      </c>
      <c r="F2099">
        <v>8.8000000000000007</v>
      </c>
      <c r="G2099">
        <v>1</v>
      </c>
      <c r="H2099" s="1" t="s">
        <v>14</v>
      </c>
      <c r="I2099" s="1" t="s">
        <v>15</v>
      </c>
      <c r="J2099" s="12">
        <v>45808</v>
      </c>
      <c r="K2099">
        <v>0</v>
      </c>
      <c r="L2099" s="1">
        <f t="shared" si="128"/>
        <v>8.8000000000000007</v>
      </c>
      <c r="M2099" s="1" t="str">
        <f t="shared" si="129"/>
        <v/>
      </c>
      <c r="N2099" s="2">
        <f t="shared" si="130"/>
        <v>45778</v>
      </c>
      <c r="O2099" t="str">
        <f t="shared" si="131"/>
        <v>pes</v>
      </c>
    </row>
    <row r="2100" spans="1:15" hidden="1" x14ac:dyDescent="0.25">
      <c r="A2100">
        <v>9609</v>
      </c>
      <c r="B2100" s="11">
        <v>4010123456783</v>
      </c>
      <c r="C2100" s="1" t="s">
        <v>35</v>
      </c>
      <c r="D2100" s="1" t="s">
        <v>36</v>
      </c>
      <c r="E2100" s="1" t="s">
        <v>37</v>
      </c>
      <c r="F2100">
        <v>14</v>
      </c>
      <c r="G2100">
        <v>1</v>
      </c>
      <c r="H2100" s="1" t="s">
        <v>14</v>
      </c>
      <c r="I2100" s="1" t="s">
        <v>15</v>
      </c>
      <c r="J2100" s="12">
        <v>45808</v>
      </c>
      <c r="K2100">
        <v>0</v>
      </c>
      <c r="L2100" s="1">
        <f t="shared" si="128"/>
        <v>14</v>
      </c>
      <c r="M2100" s="1" t="str">
        <f t="shared" si="129"/>
        <v/>
      </c>
      <c r="N2100" s="2">
        <f t="shared" si="130"/>
        <v>45778</v>
      </c>
      <c r="O2100" t="str">
        <f t="shared" si="131"/>
        <v>mačka</v>
      </c>
    </row>
    <row r="2101" spans="1:15" x14ac:dyDescent="0.25">
      <c r="A2101">
        <v>9610</v>
      </c>
      <c r="B2101" s="11">
        <v>4063456789014</v>
      </c>
      <c r="C2101" s="1" t="s">
        <v>60</v>
      </c>
      <c r="D2101" s="1" t="s">
        <v>12</v>
      </c>
      <c r="E2101" s="1" t="s">
        <v>61</v>
      </c>
      <c r="F2101">
        <v>36</v>
      </c>
      <c r="G2101">
        <v>1</v>
      </c>
      <c r="H2101" s="1" t="s">
        <v>14</v>
      </c>
      <c r="I2101" s="1" t="s">
        <v>15</v>
      </c>
      <c r="J2101" s="12">
        <v>45808</v>
      </c>
      <c r="K2101">
        <v>0</v>
      </c>
      <c r="L2101" s="1">
        <f t="shared" si="128"/>
        <v>36</v>
      </c>
      <c r="M2101" s="1" t="str">
        <f t="shared" si="129"/>
        <v/>
      </c>
      <c r="N2101" s="2">
        <f t="shared" si="130"/>
        <v>45778</v>
      </c>
      <c r="O2101" t="str">
        <f t="shared" si="131"/>
        <v>pes</v>
      </c>
    </row>
    <row r="2102" spans="1:15" hidden="1" x14ac:dyDescent="0.25">
      <c r="A2102">
        <v>9611</v>
      </c>
      <c r="B2102" s="11">
        <v>4021234567894</v>
      </c>
      <c r="C2102" s="1" t="s">
        <v>79</v>
      </c>
      <c r="D2102" s="1" t="s">
        <v>36</v>
      </c>
      <c r="E2102" s="1" t="s">
        <v>69</v>
      </c>
      <c r="F2102">
        <v>8</v>
      </c>
      <c r="G2102">
        <v>1</v>
      </c>
      <c r="H2102" s="1" t="s">
        <v>14</v>
      </c>
      <c r="I2102" s="1" t="s">
        <v>15</v>
      </c>
      <c r="J2102" s="12">
        <v>45808</v>
      </c>
      <c r="K2102">
        <v>0</v>
      </c>
      <c r="L2102" s="1">
        <f t="shared" si="128"/>
        <v>8</v>
      </c>
      <c r="M2102" s="1" t="str">
        <f t="shared" si="129"/>
        <v/>
      </c>
      <c r="N2102" s="2">
        <f t="shared" si="130"/>
        <v>45778</v>
      </c>
      <c r="O2102" t="str">
        <f t="shared" si="131"/>
        <v>mačka</v>
      </c>
    </row>
    <row r="2103" spans="1:15" hidden="1" x14ac:dyDescent="0.25">
      <c r="A2103">
        <v>9612</v>
      </c>
      <c r="B2103" s="11">
        <v>4056789012345</v>
      </c>
      <c r="C2103" s="1" t="s">
        <v>47</v>
      </c>
      <c r="D2103" s="1" t="s">
        <v>29</v>
      </c>
      <c r="E2103" s="1" t="s">
        <v>37</v>
      </c>
      <c r="F2103">
        <v>2.4</v>
      </c>
      <c r="G2103">
        <v>2</v>
      </c>
      <c r="H2103" s="1" t="s">
        <v>14</v>
      </c>
      <c r="I2103" s="1" t="s">
        <v>15</v>
      </c>
      <c r="J2103" s="12">
        <v>45808</v>
      </c>
      <c r="K2103">
        <v>0</v>
      </c>
      <c r="L2103" s="1">
        <f t="shared" si="128"/>
        <v>4.8</v>
      </c>
      <c r="M2103" s="1" t="str">
        <f t="shared" si="129"/>
        <v/>
      </c>
      <c r="N2103" s="2">
        <f t="shared" si="130"/>
        <v>45778</v>
      </c>
      <c r="O2103" t="str">
        <f t="shared" si="131"/>
        <v>mačka</v>
      </c>
    </row>
    <row r="2104" spans="1:15" x14ac:dyDescent="0.25">
      <c r="A2104">
        <v>9613</v>
      </c>
      <c r="B2104" s="11">
        <v>4061011223346</v>
      </c>
      <c r="C2104" s="1" t="s">
        <v>25</v>
      </c>
      <c r="D2104" s="1" t="s">
        <v>26</v>
      </c>
      <c r="E2104" s="1" t="s">
        <v>27</v>
      </c>
      <c r="F2104">
        <v>19.600000000000001</v>
      </c>
      <c r="G2104">
        <v>1</v>
      </c>
      <c r="H2104" s="1" t="s">
        <v>14</v>
      </c>
      <c r="I2104" s="1" t="s">
        <v>15</v>
      </c>
      <c r="J2104" s="12">
        <v>45808</v>
      </c>
      <c r="K2104">
        <v>0</v>
      </c>
      <c r="L2104" s="1">
        <f t="shared" si="128"/>
        <v>19.600000000000001</v>
      </c>
      <c r="M2104" s="1" t="str">
        <f t="shared" si="129"/>
        <v/>
      </c>
      <c r="N2104" s="2">
        <f t="shared" si="130"/>
        <v>45778</v>
      </c>
      <c r="O2104" t="str">
        <f t="shared" si="131"/>
        <v>pes</v>
      </c>
    </row>
    <row r="2105" spans="1:15" hidden="1" x14ac:dyDescent="0.25">
      <c r="A2105">
        <v>9614</v>
      </c>
      <c r="B2105" s="11">
        <v>4026677889902</v>
      </c>
      <c r="C2105" s="1" t="s">
        <v>52</v>
      </c>
      <c r="D2105" s="1" t="s">
        <v>53</v>
      </c>
      <c r="E2105" s="1" t="s">
        <v>54</v>
      </c>
      <c r="F2105">
        <v>7.6</v>
      </c>
      <c r="G2105">
        <v>1</v>
      </c>
      <c r="H2105" s="1" t="s">
        <v>14</v>
      </c>
      <c r="I2105" s="1" t="s">
        <v>15</v>
      </c>
      <c r="J2105" s="12">
        <v>45808</v>
      </c>
      <c r="K2105">
        <v>0</v>
      </c>
      <c r="L2105" s="1">
        <f t="shared" si="128"/>
        <v>7.6</v>
      </c>
      <c r="M2105" s="1" t="str">
        <f t="shared" si="129"/>
        <v/>
      </c>
      <c r="N2105" s="2">
        <f t="shared" si="130"/>
        <v>45778</v>
      </c>
      <c r="O2105" t="str">
        <f t="shared" si="131"/>
        <v>iné</v>
      </c>
    </row>
    <row r="2106" spans="1:15" x14ac:dyDescent="0.25">
      <c r="A2106">
        <v>9615</v>
      </c>
      <c r="B2106" s="11">
        <v>4028899001126</v>
      </c>
      <c r="C2106" s="1" t="s">
        <v>16</v>
      </c>
      <c r="D2106" s="1" t="s">
        <v>12</v>
      </c>
      <c r="E2106" s="1" t="s">
        <v>17</v>
      </c>
      <c r="F2106">
        <v>2.8</v>
      </c>
      <c r="G2106">
        <v>3</v>
      </c>
      <c r="H2106" s="1" t="s">
        <v>14</v>
      </c>
      <c r="I2106" s="1" t="s">
        <v>15</v>
      </c>
      <c r="J2106" s="12">
        <v>45808</v>
      </c>
      <c r="K2106">
        <v>0</v>
      </c>
      <c r="L2106" s="1">
        <f t="shared" si="128"/>
        <v>8.3999999999999986</v>
      </c>
      <c r="M2106" s="1" t="str">
        <f t="shared" si="129"/>
        <v/>
      </c>
      <c r="N2106" s="2">
        <f t="shared" si="130"/>
        <v>45778</v>
      </c>
      <c r="O2106" t="str">
        <f t="shared" si="131"/>
        <v>pes</v>
      </c>
    </row>
    <row r="2107" spans="1:15" x14ac:dyDescent="0.25">
      <c r="A2107">
        <v>9616</v>
      </c>
      <c r="B2107" s="11">
        <v>4013456789017</v>
      </c>
      <c r="C2107" s="1" t="s">
        <v>11</v>
      </c>
      <c r="D2107" s="1" t="s">
        <v>12</v>
      </c>
      <c r="E2107" s="1" t="s">
        <v>13</v>
      </c>
      <c r="F2107">
        <v>6</v>
      </c>
      <c r="G2107">
        <v>1</v>
      </c>
      <c r="H2107" s="1" t="s">
        <v>14</v>
      </c>
      <c r="I2107" s="1" t="s">
        <v>15</v>
      </c>
      <c r="J2107" s="12">
        <v>45808</v>
      </c>
      <c r="K2107">
        <v>0</v>
      </c>
      <c r="L2107" s="1">
        <f t="shared" si="128"/>
        <v>6</v>
      </c>
      <c r="M2107" s="1" t="str">
        <f t="shared" si="129"/>
        <v/>
      </c>
      <c r="N2107" s="2">
        <f t="shared" si="130"/>
        <v>45778</v>
      </c>
      <c r="O2107" t="str">
        <f t="shared" si="131"/>
        <v>pes</v>
      </c>
    </row>
    <row r="2108" spans="1:15" x14ac:dyDescent="0.25">
      <c r="A2108">
        <v>9617</v>
      </c>
      <c r="B2108" s="11">
        <v>4040123456795</v>
      </c>
      <c r="C2108" s="1" t="s">
        <v>20</v>
      </c>
      <c r="D2108" s="1" t="s">
        <v>21</v>
      </c>
      <c r="E2108" s="1" t="s">
        <v>22</v>
      </c>
      <c r="F2108">
        <v>8.8000000000000007</v>
      </c>
      <c r="G2108">
        <v>1</v>
      </c>
      <c r="H2108" s="1" t="s">
        <v>14</v>
      </c>
      <c r="I2108" s="1" t="s">
        <v>15</v>
      </c>
      <c r="J2108" s="12">
        <v>45808</v>
      </c>
      <c r="K2108">
        <v>0</v>
      </c>
      <c r="L2108" s="1">
        <f t="shared" si="128"/>
        <v>8.8000000000000007</v>
      </c>
      <c r="M2108" s="1" t="str">
        <f t="shared" si="129"/>
        <v/>
      </c>
      <c r="N2108" s="2">
        <f t="shared" si="130"/>
        <v>45778</v>
      </c>
      <c r="O2108" t="str">
        <f t="shared" si="131"/>
        <v>pes</v>
      </c>
    </row>
    <row r="2109" spans="1:15" hidden="1" x14ac:dyDescent="0.25">
      <c r="A2109">
        <v>9618</v>
      </c>
      <c r="B2109" s="11">
        <v>4010123456783</v>
      </c>
      <c r="C2109" s="1" t="s">
        <v>35</v>
      </c>
      <c r="D2109" s="1" t="s">
        <v>36</v>
      </c>
      <c r="E2109" s="1" t="s">
        <v>37</v>
      </c>
      <c r="F2109">
        <v>14</v>
      </c>
      <c r="G2109">
        <v>1</v>
      </c>
      <c r="H2109" s="1" t="s">
        <v>14</v>
      </c>
      <c r="I2109" s="1" t="s">
        <v>15</v>
      </c>
      <c r="J2109" s="12">
        <v>45808</v>
      </c>
      <c r="K2109">
        <v>0</v>
      </c>
      <c r="L2109" s="1">
        <f t="shared" si="128"/>
        <v>14</v>
      </c>
      <c r="M2109" s="1" t="str">
        <f t="shared" si="129"/>
        <v/>
      </c>
      <c r="N2109" s="2">
        <f t="shared" si="130"/>
        <v>45778</v>
      </c>
      <c r="O2109" t="str">
        <f t="shared" si="131"/>
        <v>mačka</v>
      </c>
    </row>
    <row r="2110" spans="1:15" x14ac:dyDescent="0.25">
      <c r="A2110">
        <v>9619</v>
      </c>
      <c r="B2110" s="11">
        <v>4063456789014</v>
      </c>
      <c r="C2110" s="1" t="s">
        <v>60</v>
      </c>
      <c r="D2110" s="1" t="s">
        <v>12</v>
      </c>
      <c r="E2110" s="1" t="s">
        <v>61</v>
      </c>
      <c r="F2110">
        <v>36</v>
      </c>
      <c r="G2110">
        <v>1</v>
      </c>
      <c r="H2110" s="1" t="s">
        <v>14</v>
      </c>
      <c r="I2110" s="1" t="s">
        <v>15</v>
      </c>
      <c r="J2110" s="12">
        <v>45808</v>
      </c>
      <c r="K2110">
        <v>0</v>
      </c>
      <c r="L2110" s="1">
        <f t="shared" si="128"/>
        <v>36</v>
      </c>
      <c r="M2110" s="1" t="str">
        <f t="shared" si="129"/>
        <v/>
      </c>
      <c r="N2110" s="2">
        <f t="shared" si="130"/>
        <v>45778</v>
      </c>
      <c r="O2110" t="str">
        <f t="shared" si="131"/>
        <v>pes</v>
      </c>
    </row>
    <row r="2111" spans="1:15" hidden="1" x14ac:dyDescent="0.25">
      <c r="A2111">
        <v>9620</v>
      </c>
      <c r="B2111" s="11">
        <v>4021234567894</v>
      </c>
      <c r="C2111" s="1" t="s">
        <v>79</v>
      </c>
      <c r="D2111" s="1" t="s">
        <v>36</v>
      </c>
      <c r="E2111" s="1" t="s">
        <v>69</v>
      </c>
      <c r="F2111">
        <v>8</v>
      </c>
      <c r="G2111">
        <v>1</v>
      </c>
      <c r="H2111" s="1" t="s">
        <v>14</v>
      </c>
      <c r="I2111" s="1" t="s">
        <v>15</v>
      </c>
      <c r="J2111" s="12">
        <v>45808</v>
      </c>
      <c r="K2111">
        <v>0</v>
      </c>
      <c r="L2111" s="1">
        <f t="shared" si="128"/>
        <v>8</v>
      </c>
      <c r="M2111" s="1" t="str">
        <f t="shared" si="129"/>
        <v/>
      </c>
      <c r="N2111" s="2">
        <f t="shared" si="130"/>
        <v>45778</v>
      </c>
      <c r="O2111" t="str">
        <f t="shared" si="131"/>
        <v>mačka</v>
      </c>
    </row>
    <row r="2112" spans="1:15" hidden="1" x14ac:dyDescent="0.25">
      <c r="A2112">
        <v>9621</v>
      </c>
      <c r="B2112" s="11">
        <v>4056789012345</v>
      </c>
      <c r="C2112" s="1" t="s">
        <v>47</v>
      </c>
      <c r="D2112" s="1" t="s">
        <v>29</v>
      </c>
      <c r="E2112" s="1" t="s">
        <v>37</v>
      </c>
      <c r="F2112">
        <v>2.4</v>
      </c>
      <c r="G2112">
        <v>2</v>
      </c>
      <c r="H2112" s="1" t="s">
        <v>14</v>
      </c>
      <c r="I2112" s="1" t="s">
        <v>15</v>
      </c>
      <c r="J2112" s="12">
        <v>45808</v>
      </c>
      <c r="K2112">
        <v>0</v>
      </c>
      <c r="L2112" s="1">
        <f t="shared" si="128"/>
        <v>4.8</v>
      </c>
      <c r="M2112" s="1" t="str">
        <f t="shared" si="129"/>
        <v/>
      </c>
      <c r="N2112" s="2">
        <f t="shared" si="130"/>
        <v>45778</v>
      </c>
      <c r="O2112" t="str">
        <f t="shared" si="131"/>
        <v>mačka</v>
      </c>
    </row>
    <row r="2113" spans="1:15" x14ac:dyDescent="0.25">
      <c r="A2113">
        <v>9622</v>
      </c>
      <c r="B2113" s="11">
        <v>4061011223346</v>
      </c>
      <c r="C2113" s="1" t="s">
        <v>25</v>
      </c>
      <c r="D2113" s="1" t="s">
        <v>26</v>
      </c>
      <c r="E2113" s="1" t="s">
        <v>27</v>
      </c>
      <c r="F2113">
        <v>19.600000000000001</v>
      </c>
      <c r="G2113">
        <v>1</v>
      </c>
      <c r="H2113" s="1" t="s">
        <v>14</v>
      </c>
      <c r="I2113" s="1" t="s">
        <v>15</v>
      </c>
      <c r="J2113" s="12">
        <v>45808</v>
      </c>
      <c r="K2113">
        <v>0</v>
      </c>
      <c r="L2113" s="1">
        <f t="shared" si="128"/>
        <v>19.600000000000001</v>
      </c>
      <c r="M2113" s="1" t="str">
        <f t="shared" si="129"/>
        <v/>
      </c>
      <c r="N2113" s="2">
        <f t="shared" si="130"/>
        <v>45778</v>
      </c>
      <c r="O2113" t="str">
        <f t="shared" si="131"/>
        <v>pes</v>
      </c>
    </row>
    <row r="2114" spans="1:15" hidden="1" x14ac:dyDescent="0.25">
      <c r="A2114">
        <v>9623</v>
      </c>
      <c r="B2114" s="11">
        <v>4026677889902</v>
      </c>
      <c r="C2114" s="1" t="s">
        <v>52</v>
      </c>
      <c r="D2114" s="1" t="s">
        <v>53</v>
      </c>
      <c r="E2114" s="1" t="s">
        <v>54</v>
      </c>
      <c r="F2114">
        <v>7.6</v>
      </c>
      <c r="G2114">
        <v>1</v>
      </c>
      <c r="H2114" s="1" t="s">
        <v>14</v>
      </c>
      <c r="I2114" s="1" t="s">
        <v>15</v>
      </c>
      <c r="J2114" s="12">
        <v>45808</v>
      </c>
      <c r="K2114">
        <v>0</v>
      </c>
      <c r="L2114" s="1">
        <f t="shared" ref="L2114:L2177" si="132">F2114*G2114</f>
        <v>7.6</v>
      </c>
      <c r="M2114" s="1" t="str">
        <f t="shared" ref="M2114:M2177" si="133">IF(H2114="NULL", "",VALUE(H2114))</f>
        <v/>
      </c>
      <c r="N2114" s="2">
        <f t="shared" ref="N2114:N2177" si="134">DATE(YEAR(J2114),MONTH(J2114),1)</f>
        <v>45778</v>
      </c>
      <c r="O2114" t="str">
        <f t="shared" ref="O2114:O2177" si="135">IF(ISNUMBER(SEARCH("Mačky",D2114)),"mačka",IF(ISNUMBER(SEARCH("Psy",D2114)),"pes","iné"))</f>
        <v>iné</v>
      </c>
    </row>
    <row r="2115" spans="1:15" x14ac:dyDescent="0.25">
      <c r="A2115">
        <v>9624</v>
      </c>
      <c r="B2115" s="11">
        <v>4028899001126</v>
      </c>
      <c r="C2115" s="1" t="s">
        <v>16</v>
      </c>
      <c r="D2115" s="1" t="s">
        <v>12</v>
      </c>
      <c r="E2115" s="1" t="s">
        <v>17</v>
      </c>
      <c r="F2115">
        <v>2.8</v>
      </c>
      <c r="G2115">
        <v>4</v>
      </c>
      <c r="H2115" s="1" t="s">
        <v>14</v>
      </c>
      <c r="I2115" s="1" t="s">
        <v>15</v>
      </c>
      <c r="J2115" s="12">
        <v>45808</v>
      </c>
      <c r="K2115">
        <v>0</v>
      </c>
      <c r="L2115" s="1">
        <f t="shared" si="132"/>
        <v>11.2</v>
      </c>
      <c r="M2115" s="1" t="str">
        <f t="shared" si="133"/>
        <v/>
      </c>
      <c r="N2115" s="2">
        <f t="shared" si="134"/>
        <v>45778</v>
      </c>
      <c r="O2115" t="str">
        <f t="shared" si="135"/>
        <v>pes</v>
      </c>
    </row>
    <row r="2116" spans="1:15" x14ac:dyDescent="0.25">
      <c r="A2116">
        <v>9625</v>
      </c>
      <c r="B2116" s="11">
        <v>4013456789017</v>
      </c>
      <c r="C2116" s="1" t="s">
        <v>11</v>
      </c>
      <c r="D2116" s="1" t="s">
        <v>12</v>
      </c>
      <c r="E2116" s="1" t="s">
        <v>13</v>
      </c>
      <c r="F2116">
        <v>6</v>
      </c>
      <c r="G2116">
        <v>1</v>
      </c>
      <c r="H2116" s="1" t="s">
        <v>14</v>
      </c>
      <c r="I2116" s="1" t="s">
        <v>15</v>
      </c>
      <c r="J2116" s="12">
        <v>45808</v>
      </c>
      <c r="K2116">
        <v>0</v>
      </c>
      <c r="L2116" s="1">
        <f t="shared" si="132"/>
        <v>6</v>
      </c>
      <c r="M2116" s="1" t="str">
        <f t="shared" si="133"/>
        <v/>
      </c>
      <c r="N2116" s="2">
        <f t="shared" si="134"/>
        <v>45778</v>
      </c>
      <c r="O2116" t="str">
        <f t="shared" si="135"/>
        <v>pes</v>
      </c>
    </row>
    <row r="2117" spans="1:15" x14ac:dyDescent="0.25">
      <c r="A2117">
        <v>9626</v>
      </c>
      <c r="B2117" s="11">
        <v>4040123456795</v>
      </c>
      <c r="C2117" s="1" t="s">
        <v>20</v>
      </c>
      <c r="D2117" s="1" t="s">
        <v>21</v>
      </c>
      <c r="E2117" s="1" t="s">
        <v>22</v>
      </c>
      <c r="F2117">
        <v>8.8000000000000007</v>
      </c>
      <c r="G2117">
        <v>1</v>
      </c>
      <c r="H2117" s="1" t="s">
        <v>14</v>
      </c>
      <c r="I2117" s="1" t="s">
        <v>15</v>
      </c>
      <c r="J2117" s="12">
        <v>45808</v>
      </c>
      <c r="K2117">
        <v>0</v>
      </c>
      <c r="L2117" s="1">
        <f t="shared" si="132"/>
        <v>8.8000000000000007</v>
      </c>
      <c r="M2117" s="1" t="str">
        <f t="shared" si="133"/>
        <v/>
      </c>
      <c r="N2117" s="2">
        <f t="shared" si="134"/>
        <v>45778</v>
      </c>
      <c r="O2117" t="str">
        <f t="shared" si="135"/>
        <v>pes</v>
      </c>
    </row>
    <row r="2118" spans="1:15" hidden="1" x14ac:dyDescent="0.25">
      <c r="A2118">
        <v>9627</v>
      </c>
      <c r="B2118" s="11">
        <v>4010123456783</v>
      </c>
      <c r="C2118" s="1" t="s">
        <v>35</v>
      </c>
      <c r="D2118" s="1" t="s">
        <v>36</v>
      </c>
      <c r="E2118" s="1" t="s">
        <v>37</v>
      </c>
      <c r="F2118">
        <v>14</v>
      </c>
      <c r="G2118">
        <v>1</v>
      </c>
      <c r="H2118" s="1" t="s">
        <v>14</v>
      </c>
      <c r="I2118" s="1" t="s">
        <v>15</v>
      </c>
      <c r="J2118" s="12">
        <v>45808</v>
      </c>
      <c r="K2118">
        <v>0</v>
      </c>
      <c r="L2118" s="1">
        <f t="shared" si="132"/>
        <v>14</v>
      </c>
      <c r="M2118" s="1" t="str">
        <f t="shared" si="133"/>
        <v/>
      </c>
      <c r="N2118" s="2">
        <f t="shared" si="134"/>
        <v>45778</v>
      </c>
      <c r="O2118" t="str">
        <f t="shared" si="135"/>
        <v>mačka</v>
      </c>
    </row>
    <row r="2119" spans="1:15" x14ac:dyDescent="0.25">
      <c r="A2119">
        <v>9628</v>
      </c>
      <c r="B2119" s="11">
        <v>4063456789014</v>
      </c>
      <c r="C2119" s="1" t="s">
        <v>60</v>
      </c>
      <c r="D2119" s="1" t="s">
        <v>12</v>
      </c>
      <c r="E2119" s="1" t="s">
        <v>61</v>
      </c>
      <c r="F2119">
        <v>36</v>
      </c>
      <c r="G2119">
        <v>1</v>
      </c>
      <c r="H2119" s="1" t="s">
        <v>14</v>
      </c>
      <c r="I2119" s="1" t="s">
        <v>15</v>
      </c>
      <c r="J2119" s="12">
        <v>45808</v>
      </c>
      <c r="K2119">
        <v>0</v>
      </c>
      <c r="L2119" s="1">
        <f t="shared" si="132"/>
        <v>36</v>
      </c>
      <c r="M2119" s="1" t="str">
        <f t="shared" si="133"/>
        <v/>
      </c>
      <c r="N2119" s="2">
        <f t="shared" si="134"/>
        <v>45778</v>
      </c>
      <c r="O2119" t="str">
        <f t="shared" si="135"/>
        <v>pes</v>
      </c>
    </row>
    <row r="2120" spans="1:15" hidden="1" x14ac:dyDescent="0.25">
      <c r="A2120">
        <v>9629</v>
      </c>
      <c r="B2120" s="11">
        <v>4021234567894</v>
      </c>
      <c r="C2120" s="1" t="s">
        <v>79</v>
      </c>
      <c r="D2120" s="1" t="s">
        <v>36</v>
      </c>
      <c r="E2120" s="1" t="s">
        <v>69</v>
      </c>
      <c r="F2120">
        <v>8</v>
      </c>
      <c r="G2120">
        <v>1</v>
      </c>
      <c r="H2120" s="1" t="s">
        <v>14</v>
      </c>
      <c r="I2120" s="1" t="s">
        <v>15</v>
      </c>
      <c r="J2120" s="12">
        <v>45808</v>
      </c>
      <c r="K2120">
        <v>0</v>
      </c>
      <c r="L2120" s="1">
        <f t="shared" si="132"/>
        <v>8</v>
      </c>
      <c r="M2120" s="1" t="str">
        <f t="shared" si="133"/>
        <v/>
      </c>
      <c r="N2120" s="2">
        <f t="shared" si="134"/>
        <v>45778</v>
      </c>
      <c r="O2120" t="str">
        <f t="shared" si="135"/>
        <v>mačka</v>
      </c>
    </row>
    <row r="2121" spans="1:15" hidden="1" x14ac:dyDescent="0.25">
      <c r="A2121">
        <v>9630</v>
      </c>
      <c r="B2121" s="11">
        <v>4056789012345</v>
      </c>
      <c r="C2121" s="1" t="s">
        <v>47</v>
      </c>
      <c r="D2121" s="1" t="s">
        <v>29</v>
      </c>
      <c r="E2121" s="1" t="s">
        <v>37</v>
      </c>
      <c r="F2121">
        <v>2.4</v>
      </c>
      <c r="G2121">
        <v>3</v>
      </c>
      <c r="H2121" s="1" t="s">
        <v>14</v>
      </c>
      <c r="I2121" s="1" t="s">
        <v>15</v>
      </c>
      <c r="J2121" s="12">
        <v>45808</v>
      </c>
      <c r="K2121">
        <v>0</v>
      </c>
      <c r="L2121" s="1">
        <f t="shared" si="132"/>
        <v>7.1999999999999993</v>
      </c>
      <c r="M2121" s="1" t="str">
        <f t="shared" si="133"/>
        <v/>
      </c>
      <c r="N2121" s="2">
        <f t="shared" si="134"/>
        <v>45778</v>
      </c>
      <c r="O2121" t="str">
        <f t="shared" si="135"/>
        <v>mačka</v>
      </c>
    </row>
    <row r="2122" spans="1:15" x14ac:dyDescent="0.25">
      <c r="A2122">
        <v>9631</v>
      </c>
      <c r="B2122" s="11">
        <v>4061011223346</v>
      </c>
      <c r="C2122" s="1" t="s">
        <v>25</v>
      </c>
      <c r="D2122" s="1" t="s">
        <v>26</v>
      </c>
      <c r="E2122" s="1" t="s">
        <v>27</v>
      </c>
      <c r="F2122">
        <v>19.600000000000001</v>
      </c>
      <c r="G2122">
        <v>1</v>
      </c>
      <c r="H2122" s="1" t="s">
        <v>14</v>
      </c>
      <c r="I2122" s="1" t="s">
        <v>15</v>
      </c>
      <c r="J2122" s="12">
        <v>45808</v>
      </c>
      <c r="K2122">
        <v>0</v>
      </c>
      <c r="L2122" s="1">
        <f t="shared" si="132"/>
        <v>19.600000000000001</v>
      </c>
      <c r="M2122" s="1" t="str">
        <f t="shared" si="133"/>
        <v/>
      </c>
      <c r="N2122" s="2">
        <f t="shared" si="134"/>
        <v>45778</v>
      </c>
      <c r="O2122" t="str">
        <f t="shared" si="135"/>
        <v>pes</v>
      </c>
    </row>
    <row r="2123" spans="1:15" hidden="1" x14ac:dyDescent="0.25">
      <c r="A2123">
        <v>9632</v>
      </c>
      <c r="B2123" s="11">
        <v>4026677889902</v>
      </c>
      <c r="C2123" s="1" t="s">
        <v>52</v>
      </c>
      <c r="D2123" s="1" t="s">
        <v>53</v>
      </c>
      <c r="E2123" s="1" t="s">
        <v>54</v>
      </c>
      <c r="F2123">
        <v>7.6</v>
      </c>
      <c r="G2123">
        <v>1</v>
      </c>
      <c r="H2123" s="1" t="s">
        <v>14</v>
      </c>
      <c r="I2123" s="1" t="s">
        <v>15</v>
      </c>
      <c r="J2123" s="12">
        <v>45808</v>
      </c>
      <c r="K2123">
        <v>0</v>
      </c>
      <c r="L2123" s="1">
        <f t="shared" si="132"/>
        <v>7.6</v>
      </c>
      <c r="M2123" s="1" t="str">
        <f t="shared" si="133"/>
        <v/>
      </c>
      <c r="N2123" s="2">
        <f t="shared" si="134"/>
        <v>45778</v>
      </c>
      <c r="O2123" t="str">
        <f t="shared" si="135"/>
        <v>iné</v>
      </c>
    </row>
    <row r="2124" spans="1:15" x14ac:dyDescent="0.25">
      <c r="A2124">
        <v>9633</v>
      </c>
      <c r="B2124" s="11">
        <v>4028899001126</v>
      </c>
      <c r="C2124" s="1" t="s">
        <v>16</v>
      </c>
      <c r="D2124" s="1" t="s">
        <v>12</v>
      </c>
      <c r="E2124" s="1" t="s">
        <v>17</v>
      </c>
      <c r="F2124">
        <v>2.8</v>
      </c>
      <c r="G2124">
        <v>3</v>
      </c>
      <c r="H2124" s="1" t="s">
        <v>14</v>
      </c>
      <c r="I2124" s="1" t="s">
        <v>15</v>
      </c>
      <c r="J2124" s="12">
        <v>45808</v>
      </c>
      <c r="K2124">
        <v>0</v>
      </c>
      <c r="L2124" s="1">
        <f t="shared" si="132"/>
        <v>8.3999999999999986</v>
      </c>
      <c r="M2124" s="1" t="str">
        <f t="shared" si="133"/>
        <v/>
      </c>
      <c r="N2124" s="2">
        <f t="shared" si="134"/>
        <v>45778</v>
      </c>
      <c r="O2124" t="str">
        <f t="shared" si="135"/>
        <v>pes</v>
      </c>
    </row>
    <row r="2125" spans="1:15" x14ac:dyDescent="0.25">
      <c r="A2125">
        <v>9634</v>
      </c>
      <c r="B2125" s="11">
        <v>4013456789017</v>
      </c>
      <c r="C2125" s="1" t="s">
        <v>11</v>
      </c>
      <c r="D2125" s="1" t="s">
        <v>12</v>
      </c>
      <c r="E2125" s="1" t="s">
        <v>13</v>
      </c>
      <c r="F2125">
        <v>6</v>
      </c>
      <c r="G2125">
        <v>1</v>
      </c>
      <c r="H2125" s="1" t="s">
        <v>14</v>
      </c>
      <c r="I2125" s="1" t="s">
        <v>15</v>
      </c>
      <c r="J2125" s="12">
        <v>45808</v>
      </c>
      <c r="K2125">
        <v>0</v>
      </c>
      <c r="L2125" s="1">
        <f t="shared" si="132"/>
        <v>6</v>
      </c>
      <c r="M2125" s="1" t="str">
        <f t="shared" si="133"/>
        <v/>
      </c>
      <c r="N2125" s="2">
        <f t="shared" si="134"/>
        <v>45778</v>
      </c>
      <c r="O2125" t="str">
        <f t="shared" si="135"/>
        <v>pes</v>
      </c>
    </row>
    <row r="2126" spans="1:15" x14ac:dyDescent="0.25">
      <c r="A2126">
        <v>9635</v>
      </c>
      <c r="B2126" s="11">
        <v>4040123456795</v>
      </c>
      <c r="C2126" s="1" t="s">
        <v>20</v>
      </c>
      <c r="D2126" s="1" t="s">
        <v>21</v>
      </c>
      <c r="E2126" s="1" t="s">
        <v>22</v>
      </c>
      <c r="F2126">
        <v>8.8000000000000007</v>
      </c>
      <c r="G2126">
        <v>1</v>
      </c>
      <c r="H2126" s="1" t="s">
        <v>14</v>
      </c>
      <c r="I2126" s="1" t="s">
        <v>15</v>
      </c>
      <c r="J2126" s="12">
        <v>45808</v>
      </c>
      <c r="K2126">
        <v>0</v>
      </c>
      <c r="L2126" s="1">
        <f t="shared" si="132"/>
        <v>8.8000000000000007</v>
      </c>
      <c r="M2126" s="1" t="str">
        <f t="shared" si="133"/>
        <v/>
      </c>
      <c r="N2126" s="2">
        <f t="shared" si="134"/>
        <v>45778</v>
      </c>
      <c r="O2126" t="str">
        <f t="shared" si="135"/>
        <v>pes</v>
      </c>
    </row>
    <row r="2127" spans="1:15" hidden="1" x14ac:dyDescent="0.25">
      <c r="A2127">
        <v>9636</v>
      </c>
      <c r="B2127" s="11">
        <v>4010123456783</v>
      </c>
      <c r="C2127" s="1" t="s">
        <v>35</v>
      </c>
      <c r="D2127" s="1" t="s">
        <v>36</v>
      </c>
      <c r="E2127" s="1" t="s">
        <v>37</v>
      </c>
      <c r="F2127">
        <v>14</v>
      </c>
      <c r="G2127">
        <v>1</v>
      </c>
      <c r="H2127" s="1" t="s">
        <v>14</v>
      </c>
      <c r="I2127" s="1" t="s">
        <v>15</v>
      </c>
      <c r="J2127" s="12">
        <v>45808</v>
      </c>
      <c r="K2127">
        <v>0</v>
      </c>
      <c r="L2127" s="1">
        <f t="shared" si="132"/>
        <v>14</v>
      </c>
      <c r="M2127" s="1" t="str">
        <f t="shared" si="133"/>
        <v/>
      </c>
      <c r="N2127" s="2">
        <f t="shared" si="134"/>
        <v>45778</v>
      </c>
      <c r="O2127" t="str">
        <f t="shared" si="135"/>
        <v>mačka</v>
      </c>
    </row>
    <row r="2128" spans="1:15" x14ac:dyDescent="0.25">
      <c r="A2128">
        <v>9637</v>
      </c>
      <c r="B2128" s="11">
        <v>4063456789014</v>
      </c>
      <c r="C2128" s="1" t="s">
        <v>60</v>
      </c>
      <c r="D2128" s="1" t="s">
        <v>12</v>
      </c>
      <c r="E2128" s="1" t="s">
        <v>61</v>
      </c>
      <c r="F2128">
        <v>36</v>
      </c>
      <c r="G2128">
        <v>1</v>
      </c>
      <c r="H2128" s="1" t="s">
        <v>14</v>
      </c>
      <c r="I2128" s="1" t="s">
        <v>15</v>
      </c>
      <c r="J2128" s="12">
        <v>45808</v>
      </c>
      <c r="K2128">
        <v>0</v>
      </c>
      <c r="L2128" s="1">
        <f t="shared" si="132"/>
        <v>36</v>
      </c>
      <c r="M2128" s="1" t="str">
        <f t="shared" si="133"/>
        <v/>
      </c>
      <c r="N2128" s="2">
        <f t="shared" si="134"/>
        <v>45778</v>
      </c>
      <c r="O2128" t="str">
        <f t="shared" si="135"/>
        <v>pes</v>
      </c>
    </row>
    <row r="2129" spans="1:15" hidden="1" x14ac:dyDescent="0.25">
      <c r="A2129">
        <v>9638</v>
      </c>
      <c r="B2129" s="11">
        <v>4021234567894</v>
      </c>
      <c r="C2129" s="1" t="s">
        <v>79</v>
      </c>
      <c r="D2129" s="1" t="s">
        <v>36</v>
      </c>
      <c r="E2129" s="1" t="s">
        <v>69</v>
      </c>
      <c r="F2129">
        <v>8</v>
      </c>
      <c r="G2129">
        <v>1</v>
      </c>
      <c r="H2129" s="1" t="s">
        <v>14</v>
      </c>
      <c r="I2129" s="1" t="s">
        <v>15</v>
      </c>
      <c r="J2129" s="12">
        <v>45808</v>
      </c>
      <c r="K2129">
        <v>0</v>
      </c>
      <c r="L2129" s="1">
        <f t="shared" si="132"/>
        <v>8</v>
      </c>
      <c r="M2129" s="1" t="str">
        <f t="shared" si="133"/>
        <v/>
      </c>
      <c r="N2129" s="2">
        <f t="shared" si="134"/>
        <v>45778</v>
      </c>
      <c r="O2129" t="str">
        <f t="shared" si="135"/>
        <v>mačka</v>
      </c>
    </row>
    <row r="2130" spans="1:15" hidden="1" x14ac:dyDescent="0.25">
      <c r="A2130">
        <v>9639</v>
      </c>
      <c r="B2130" s="11">
        <v>4056789012345</v>
      </c>
      <c r="C2130" s="1" t="s">
        <v>47</v>
      </c>
      <c r="D2130" s="1" t="s">
        <v>29</v>
      </c>
      <c r="E2130" s="1" t="s">
        <v>37</v>
      </c>
      <c r="F2130">
        <v>2.4</v>
      </c>
      <c r="G2130">
        <v>2</v>
      </c>
      <c r="H2130" s="1" t="s">
        <v>14</v>
      </c>
      <c r="I2130" s="1" t="s">
        <v>15</v>
      </c>
      <c r="J2130" s="12">
        <v>45808</v>
      </c>
      <c r="K2130">
        <v>0</v>
      </c>
      <c r="L2130" s="1">
        <f t="shared" si="132"/>
        <v>4.8</v>
      </c>
      <c r="M2130" s="1" t="str">
        <f t="shared" si="133"/>
        <v/>
      </c>
      <c r="N2130" s="2">
        <f t="shared" si="134"/>
        <v>45778</v>
      </c>
      <c r="O2130" t="str">
        <f t="shared" si="135"/>
        <v>mačka</v>
      </c>
    </row>
    <row r="2131" spans="1:15" x14ac:dyDescent="0.25">
      <c r="A2131">
        <v>9640</v>
      </c>
      <c r="B2131" s="11">
        <v>4061011223346</v>
      </c>
      <c r="C2131" s="1" t="s">
        <v>25</v>
      </c>
      <c r="D2131" s="1" t="s">
        <v>26</v>
      </c>
      <c r="E2131" s="1" t="s">
        <v>27</v>
      </c>
      <c r="F2131">
        <v>19.600000000000001</v>
      </c>
      <c r="G2131">
        <v>1</v>
      </c>
      <c r="H2131" s="1" t="s">
        <v>14</v>
      </c>
      <c r="I2131" s="1" t="s">
        <v>15</v>
      </c>
      <c r="J2131" s="12">
        <v>45808</v>
      </c>
      <c r="K2131">
        <v>0</v>
      </c>
      <c r="L2131" s="1">
        <f t="shared" si="132"/>
        <v>19.600000000000001</v>
      </c>
      <c r="M2131" s="1" t="str">
        <f t="shared" si="133"/>
        <v/>
      </c>
      <c r="N2131" s="2">
        <f t="shared" si="134"/>
        <v>45778</v>
      </c>
      <c r="O2131" t="str">
        <f t="shared" si="135"/>
        <v>pes</v>
      </c>
    </row>
    <row r="2132" spans="1:15" hidden="1" x14ac:dyDescent="0.25">
      <c r="A2132">
        <v>9641</v>
      </c>
      <c r="B2132" s="11">
        <v>4026677889902</v>
      </c>
      <c r="C2132" s="1" t="s">
        <v>52</v>
      </c>
      <c r="D2132" s="1" t="s">
        <v>53</v>
      </c>
      <c r="E2132" s="1" t="s">
        <v>54</v>
      </c>
      <c r="F2132">
        <v>7.6</v>
      </c>
      <c r="G2132">
        <v>1</v>
      </c>
      <c r="H2132" s="1" t="s">
        <v>14</v>
      </c>
      <c r="I2132" s="1" t="s">
        <v>15</v>
      </c>
      <c r="J2132" s="12">
        <v>45808</v>
      </c>
      <c r="K2132">
        <v>0</v>
      </c>
      <c r="L2132" s="1">
        <f t="shared" si="132"/>
        <v>7.6</v>
      </c>
      <c r="M2132" s="1" t="str">
        <f t="shared" si="133"/>
        <v/>
      </c>
      <c r="N2132" s="2">
        <f t="shared" si="134"/>
        <v>45778</v>
      </c>
      <c r="O2132" t="str">
        <f t="shared" si="135"/>
        <v>iné</v>
      </c>
    </row>
    <row r="2133" spans="1:15" x14ac:dyDescent="0.25">
      <c r="A2133">
        <v>9642</v>
      </c>
      <c r="B2133" s="11">
        <v>4028899001126</v>
      </c>
      <c r="C2133" s="1" t="s">
        <v>16</v>
      </c>
      <c r="D2133" s="1" t="s">
        <v>12</v>
      </c>
      <c r="E2133" s="1" t="s">
        <v>17</v>
      </c>
      <c r="F2133">
        <v>2.8</v>
      </c>
      <c r="G2133">
        <v>3</v>
      </c>
      <c r="H2133" s="1" t="s">
        <v>14</v>
      </c>
      <c r="I2133" s="1" t="s">
        <v>15</v>
      </c>
      <c r="J2133" s="12">
        <v>45808</v>
      </c>
      <c r="K2133">
        <v>0</v>
      </c>
      <c r="L2133" s="1">
        <f t="shared" si="132"/>
        <v>8.3999999999999986</v>
      </c>
      <c r="M2133" s="1" t="str">
        <f t="shared" si="133"/>
        <v/>
      </c>
      <c r="N2133" s="2">
        <f t="shared" si="134"/>
        <v>45778</v>
      </c>
      <c r="O2133" t="str">
        <f t="shared" si="135"/>
        <v>pes</v>
      </c>
    </row>
    <row r="2134" spans="1:15" x14ac:dyDescent="0.25">
      <c r="A2134">
        <v>9643</v>
      </c>
      <c r="B2134" s="11">
        <v>4013456789017</v>
      </c>
      <c r="C2134" s="1" t="s">
        <v>11</v>
      </c>
      <c r="D2134" s="1" t="s">
        <v>12</v>
      </c>
      <c r="E2134" s="1" t="s">
        <v>13</v>
      </c>
      <c r="F2134">
        <v>6</v>
      </c>
      <c r="G2134">
        <v>1</v>
      </c>
      <c r="H2134" s="1" t="s">
        <v>14</v>
      </c>
      <c r="I2134" s="1" t="s">
        <v>15</v>
      </c>
      <c r="J2134" s="12">
        <v>45808</v>
      </c>
      <c r="K2134">
        <v>0</v>
      </c>
      <c r="L2134" s="1">
        <f t="shared" si="132"/>
        <v>6</v>
      </c>
      <c r="M2134" s="1" t="str">
        <f t="shared" si="133"/>
        <v/>
      </c>
      <c r="N2134" s="2">
        <f t="shared" si="134"/>
        <v>45778</v>
      </c>
      <c r="O2134" t="str">
        <f t="shared" si="135"/>
        <v>pes</v>
      </c>
    </row>
    <row r="2135" spans="1:15" x14ac:dyDescent="0.25">
      <c r="A2135">
        <v>9644</v>
      </c>
      <c r="B2135" s="11">
        <v>4040123456795</v>
      </c>
      <c r="C2135" s="1" t="s">
        <v>20</v>
      </c>
      <c r="D2135" s="1" t="s">
        <v>21</v>
      </c>
      <c r="E2135" s="1" t="s">
        <v>22</v>
      </c>
      <c r="F2135">
        <v>8.8000000000000007</v>
      </c>
      <c r="G2135">
        <v>1</v>
      </c>
      <c r="H2135" s="1" t="s">
        <v>14</v>
      </c>
      <c r="I2135" s="1" t="s">
        <v>15</v>
      </c>
      <c r="J2135" s="12">
        <v>45808</v>
      </c>
      <c r="K2135">
        <v>0</v>
      </c>
      <c r="L2135" s="1">
        <f t="shared" si="132"/>
        <v>8.8000000000000007</v>
      </c>
      <c r="M2135" s="1" t="str">
        <f t="shared" si="133"/>
        <v/>
      </c>
      <c r="N2135" s="2">
        <f t="shared" si="134"/>
        <v>45778</v>
      </c>
      <c r="O2135" t="str">
        <f t="shared" si="135"/>
        <v>pes</v>
      </c>
    </row>
    <row r="2136" spans="1:15" hidden="1" x14ac:dyDescent="0.25">
      <c r="A2136">
        <v>9645</v>
      </c>
      <c r="B2136" s="11">
        <v>4010123456783</v>
      </c>
      <c r="C2136" s="1" t="s">
        <v>35</v>
      </c>
      <c r="D2136" s="1" t="s">
        <v>36</v>
      </c>
      <c r="E2136" s="1" t="s">
        <v>37</v>
      </c>
      <c r="F2136">
        <v>14</v>
      </c>
      <c r="G2136">
        <v>1</v>
      </c>
      <c r="H2136" s="1" t="s">
        <v>14</v>
      </c>
      <c r="I2136" s="1" t="s">
        <v>15</v>
      </c>
      <c r="J2136" s="12">
        <v>45808</v>
      </c>
      <c r="K2136">
        <v>0</v>
      </c>
      <c r="L2136" s="1">
        <f t="shared" si="132"/>
        <v>14</v>
      </c>
      <c r="M2136" s="1" t="str">
        <f t="shared" si="133"/>
        <v/>
      </c>
      <c r="N2136" s="2">
        <f t="shared" si="134"/>
        <v>45778</v>
      </c>
      <c r="O2136" t="str">
        <f t="shared" si="135"/>
        <v>mačka</v>
      </c>
    </row>
    <row r="2137" spans="1:15" x14ac:dyDescent="0.25">
      <c r="A2137">
        <v>9646</v>
      </c>
      <c r="B2137" s="11">
        <v>4063456789014</v>
      </c>
      <c r="C2137" s="1" t="s">
        <v>60</v>
      </c>
      <c r="D2137" s="1" t="s">
        <v>12</v>
      </c>
      <c r="E2137" s="1" t="s">
        <v>61</v>
      </c>
      <c r="F2137">
        <v>36</v>
      </c>
      <c r="G2137">
        <v>1</v>
      </c>
      <c r="H2137" s="1" t="s">
        <v>14</v>
      </c>
      <c r="I2137" s="1" t="s">
        <v>15</v>
      </c>
      <c r="J2137" s="12">
        <v>45808</v>
      </c>
      <c r="K2137">
        <v>0</v>
      </c>
      <c r="L2137" s="1">
        <f t="shared" si="132"/>
        <v>36</v>
      </c>
      <c r="M2137" s="1" t="str">
        <f t="shared" si="133"/>
        <v/>
      </c>
      <c r="N2137" s="2">
        <f t="shared" si="134"/>
        <v>45778</v>
      </c>
      <c r="O2137" t="str">
        <f t="shared" si="135"/>
        <v>pes</v>
      </c>
    </row>
    <row r="2138" spans="1:15" hidden="1" x14ac:dyDescent="0.25">
      <c r="A2138">
        <v>9647</v>
      </c>
      <c r="B2138" s="11">
        <v>4021234567894</v>
      </c>
      <c r="C2138" s="1" t="s">
        <v>79</v>
      </c>
      <c r="D2138" s="1" t="s">
        <v>36</v>
      </c>
      <c r="E2138" s="1" t="s">
        <v>69</v>
      </c>
      <c r="F2138">
        <v>8</v>
      </c>
      <c r="G2138">
        <v>1</v>
      </c>
      <c r="H2138" s="1" t="s">
        <v>14</v>
      </c>
      <c r="I2138" s="1" t="s">
        <v>15</v>
      </c>
      <c r="J2138" s="12">
        <v>45808</v>
      </c>
      <c r="K2138">
        <v>0</v>
      </c>
      <c r="L2138" s="1">
        <f t="shared" si="132"/>
        <v>8</v>
      </c>
      <c r="M2138" s="1" t="str">
        <f t="shared" si="133"/>
        <v/>
      </c>
      <c r="N2138" s="2">
        <f t="shared" si="134"/>
        <v>45778</v>
      </c>
      <c r="O2138" t="str">
        <f t="shared" si="135"/>
        <v>mačka</v>
      </c>
    </row>
    <row r="2139" spans="1:15" hidden="1" x14ac:dyDescent="0.25">
      <c r="A2139">
        <v>9648</v>
      </c>
      <c r="B2139" s="11">
        <v>4056789012345</v>
      </c>
      <c r="C2139" s="1" t="s">
        <v>47</v>
      </c>
      <c r="D2139" s="1" t="s">
        <v>29</v>
      </c>
      <c r="E2139" s="1" t="s">
        <v>37</v>
      </c>
      <c r="F2139">
        <v>2.4</v>
      </c>
      <c r="G2139">
        <v>3</v>
      </c>
      <c r="H2139" s="1" t="s">
        <v>14</v>
      </c>
      <c r="I2139" s="1" t="s">
        <v>15</v>
      </c>
      <c r="J2139" s="12">
        <v>45808</v>
      </c>
      <c r="K2139">
        <v>0</v>
      </c>
      <c r="L2139" s="1">
        <f t="shared" si="132"/>
        <v>7.1999999999999993</v>
      </c>
      <c r="M2139" s="1" t="str">
        <f t="shared" si="133"/>
        <v/>
      </c>
      <c r="N2139" s="2">
        <f t="shared" si="134"/>
        <v>45778</v>
      </c>
      <c r="O2139" t="str">
        <f t="shared" si="135"/>
        <v>mačka</v>
      </c>
    </row>
    <row r="2140" spans="1:15" x14ac:dyDescent="0.25">
      <c r="A2140">
        <v>9649</v>
      </c>
      <c r="B2140" s="11">
        <v>4061011223346</v>
      </c>
      <c r="C2140" s="1" t="s">
        <v>25</v>
      </c>
      <c r="D2140" s="1" t="s">
        <v>26</v>
      </c>
      <c r="E2140" s="1" t="s">
        <v>27</v>
      </c>
      <c r="F2140">
        <v>19.600000000000001</v>
      </c>
      <c r="G2140">
        <v>1</v>
      </c>
      <c r="H2140" s="1" t="s">
        <v>14</v>
      </c>
      <c r="I2140" s="1" t="s">
        <v>15</v>
      </c>
      <c r="J2140" s="12">
        <v>45808</v>
      </c>
      <c r="K2140">
        <v>0</v>
      </c>
      <c r="L2140" s="1">
        <f t="shared" si="132"/>
        <v>19.600000000000001</v>
      </c>
      <c r="M2140" s="1" t="str">
        <f t="shared" si="133"/>
        <v/>
      </c>
      <c r="N2140" s="2">
        <f t="shared" si="134"/>
        <v>45778</v>
      </c>
      <c r="O2140" t="str">
        <f t="shared" si="135"/>
        <v>pes</v>
      </c>
    </row>
    <row r="2141" spans="1:15" hidden="1" x14ac:dyDescent="0.25">
      <c r="A2141">
        <v>9650</v>
      </c>
      <c r="B2141" s="11">
        <v>4026677889902</v>
      </c>
      <c r="C2141" s="1" t="s">
        <v>52</v>
      </c>
      <c r="D2141" s="1" t="s">
        <v>53</v>
      </c>
      <c r="E2141" s="1" t="s">
        <v>54</v>
      </c>
      <c r="F2141">
        <v>7.6</v>
      </c>
      <c r="G2141">
        <v>1</v>
      </c>
      <c r="H2141" s="1" t="s">
        <v>14</v>
      </c>
      <c r="I2141" s="1" t="s">
        <v>15</v>
      </c>
      <c r="J2141" s="12">
        <v>45808</v>
      </c>
      <c r="K2141">
        <v>0</v>
      </c>
      <c r="L2141" s="1">
        <f t="shared" si="132"/>
        <v>7.6</v>
      </c>
      <c r="M2141" s="1" t="str">
        <f t="shared" si="133"/>
        <v/>
      </c>
      <c r="N2141" s="2">
        <f t="shared" si="134"/>
        <v>45778</v>
      </c>
      <c r="O2141" t="str">
        <f t="shared" si="135"/>
        <v>iné</v>
      </c>
    </row>
    <row r="2142" spans="1:15" x14ac:dyDescent="0.25">
      <c r="A2142">
        <v>9651</v>
      </c>
      <c r="B2142" s="11">
        <v>4028899001126</v>
      </c>
      <c r="C2142" s="1" t="s">
        <v>16</v>
      </c>
      <c r="D2142" s="1" t="s">
        <v>12</v>
      </c>
      <c r="E2142" s="1" t="s">
        <v>17</v>
      </c>
      <c r="F2142">
        <v>2.8</v>
      </c>
      <c r="G2142">
        <v>3</v>
      </c>
      <c r="H2142" s="1" t="s">
        <v>14</v>
      </c>
      <c r="I2142" s="1" t="s">
        <v>15</v>
      </c>
      <c r="J2142" s="12">
        <v>45808</v>
      </c>
      <c r="K2142">
        <v>0</v>
      </c>
      <c r="L2142" s="1">
        <f t="shared" si="132"/>
        <v>8.3999999999999986</v>
      </c>
      <c r="M2142" s="1" t="str">
        <f t="shared" si="133"/>
        <v/>
      </c>
      <c r="N2142" s="2">
        <f t="shared" si="134"/>
        <v>45778</v>
      </c>
      <c r="O2142" t="str">
        <f t="shared" si="135"/>
        <v>pes</v>
      </c>
    </row>
    <row r="2143" spans="1:15" x14ac:dyDescent="0.25">
      <c r="A2143">
        <v>9652</v>
      </c>
      <c r="B2143" s="11">
        <v>4028899001126</v>
      </c>
      <c r="C2143" s="1" t="s">
        <v>16</v>
      </c>
      <c r="D2143" s="1" t="s">
        <v>12</v>
      </c>
      <c r="E2143" s="1" t="s">
        <v>17</v>
      </c>
      <c r="F2143">
        <v>2.8</v>
      </c>
      <c r="G2143">
        <v>3</v>
      </c>
      <c r="H2143" s="1" t="s">
        <v>18</v>
      </c>
      <c r="I2143" s="1" t="s">
        <v>296</v>
      </c>
      <c r="J2143" s="12">
        <v>45809</v>
      </c>
      <c r="K2143">
        <v>0</v>
      </c>
      <c r="L2143" s="1">
        <f t="shared" si="132"/>
        <v>8.3999999999999986</v>
      </c>
      <c r="M2143" s="1">
        <f t="shared" si="133"/>
        <v>4</v>
      </c>
      <c r="N2143" s="2">
        <f t="shared" si="134"/>
        <v>45809</v>
      </c>
      <c r="O2143" t="str">
        <f t="shared" si="135"/>
        <v>pes</v>
      </c>
    </row>
    <row r="2144" spans="1:15" x14ac:dyDescent="0.25">
      <c r="A2144">
        <v>9653</v>
      </c>
      <c r="B2144" s="11">
        <v>4013456789017</v>
      </c>
      <c r="C2144" s="1" t="s">
        <v>11</v>
      </c>
      <c r="D2144" s="1" t="s">
        <v>12</v>
      </c>
      <c r="E2144" s="1" t="s">
        <v>13</v>
      </c>
      <c r="F2144">
        <v>6</v>
      </c>
      <c r="G2144">
        <v>1</v>
      </c>
      <c r="H2144" s="1" t="s">
        <v>14</v>
      </c>
      <c r="I2144" s="1" t="s">
        <v>15</v>
      </c>
      <c r="J2144" s="12">
        <v>45809</v>
      </c>
      <c r="K2144">
        <v>0</v>
      </c>
      <c r="L2144" s="1">
        <f t="shared" si="132"/>
        <v>6</v>
      </c>
      <c r="M2144" s="1" t="str">
        <f t="shared" si="133"/>
        <v/>
      </c>
      <c r="N2144" s="2">
        <f t="shared" si="134"/>
        <v>45809</v>
      </c>
      <c r="O2144" t="str">
        <f t="shared" si="135"/>
        <v>pes</v>
      </c>
    </row>
    <row r="2145" spans="1:15" x14ac:dyDescent="0.25">
      <c r="A2145">
        <v>9654</v>
      </c>
      <c r="B2145" s="11">
        <v>4040123456795</v>
      </c>
      <c r="C2145" s="1" t="s">
        <v>20</v>
      </c>
      <c r="D2145" s="1" t="s">
        <v>21</v>
      </c>
      <c r="E2145" s="1" t="s">
        <v>22</v>
      </c>
      <c r="F2145">
        <v>8.8000000000000007</v>
      </c>
      <c r="G2145">
        <v>1</v>
      </c>
      <c r="H2145" s="1" t="s">
        <v>14</v>
      </c>
      <c r="I2145" s="1" t="s">
        <v>15</v>
      </c>
      <c r="J2145" s="12">
        <v>45809</v>
      </c>
      <c r="K2145">
        <v>0</v>
      </c>
      <c r="L2145" s="1">
        <f t="shared" si="132"/>
        <v>8.8000000000000007</v>
      </c>
      <c r="M2145" s="1" t="str">
        <f t="shared" si="133"/>
        <v/>
      </c>
      <c r="N2145" s="2">
        <f t="shared" si="134"/>
        <v>45809</v>
      </c>
      <c r="O2145" t="str">
        <f t="shared" si="135"/>
        <v>pes</v>
      </c>
    </row>
    <row r="2146" spans="1:15" hidden="1" x14ac:dyDescent="0.25">
      <c r="A2146">
        <v>9655</v>
      </c>
      <c r="B2146" s="11">
        <v>4010123456783</v>
      </c>
      <c r="C2146" s="1" t="s">
        <v>35</v>
      </c>
      <c r="D2146" s="1" t="s">
        <v>36</v>
      </c>
      <c r="E2146" s="1" t="s">
        <v>37</v>
      </c>
      <c r="F2146">
        <v>14</v>
      </c>
      <c r="G2146">
        <v>1</v>
      </c>
      <c r="H2146" s="1" t="s">
        <v>14</v>
      </c>
      <c r="I2146" s="1" t="s">
        <v>15</v>
      </c>
      <c r="J2146" s="12">
        <v>45809</v>
      </c>
      <c r="K2146">
        <v>0</v>
      </c>
      <c r="L2146" s="1">
        <f t="shared" si="132"/>
        <v>14</v>
      </c>
      <c r="M2146" s="1" t="str">
        <f t="shared" si="133"/>
        <v/>
      </c>
      <c r="N2146" s="2">
        <f t="shared" si="134"/>
        <v>45809</v>
      </c>
      <c r="O2146" t="str">
        <f t="shared" si="135"/>
        <v>mačka</v>
      </c>
    </row>
    <row r="2147" spans="1:15" x14ac:dyDescent="0.25">
      <c r="A2147">
        <v>9656</v>
      </c>
      <c r="B2147" s="11">
        <v>4063456789014</v>
      </c>
      <c r="C2147" s="1" t="s">
        <v>60</v>
      </c>
      <c r="D2147" s="1" t="s">
        <v>12</v>
      </c>
      <c r="E2147" s="1" t="s">
        <v>61</v>
      </c>
      <c r="F2147">
        <v>36</v>
      </c>
      <c r="G2147">
        <v>1</v>
      </c>
      <c r="H2147" s="1" t="s">
        <v>14</v>
      </c>
      <c r="I2147" s="1" t="s">
        <v>15</v>
      </c>
      <c r="J2147" s="12">
        <v>45809</v>
      </c>
      <c r="K2147">
        <v>0</v>
      </c>
      <c r="L2147" s="1">
        <f t="shared" si="132"/>
        <v>36</v>
      </c>
      <c r="M2147" s="1" t="str">
        <f t="shared" si="133"/>
        <v/>
      </c>
      <c r="N2147" s="2">
        <f t="shared" si="134"/>
        <v>45809</v>
      </c>
      <c r="O2147" t="str">
        <f t="shared" si="135"/>
        <v>pes</v>
      </c>
    </row>
    <row r="2148" spans="1:15" hidden="1" x14ac:dyDescent="0.25">
      <c r="A2148">
        <v>9657</v>
      </c>
      <c r="B2148" s="11">
        <v>4021234567894</v>
      </c>
      <c r="C2148" s="1" t="s">
        <v>79</v>
      </c>
      <c r="D2148" s="1" t="s">
        <v>36</v>
      </c>
      <c r="E2148" s="1" t="s">
        <v>69</v>
      </c>
      <c r="F2148">
        <v>8</v>
      </c>
      <c r="G2148">
        <v>1</v>
      </c>
      <c r="H2148" s="1" t="s">
        <v>14</v>
      </c>
      <c r="I2148" s="1" t="s">
        <v>15</v>
      </c>
      <c r="J2148" s="12">
        <v>45809</v>
      </c>
      <c r="K2148">
        <v>0</v>
      </c>
      <c r="L2148" s="1">
        <f t="shared" si="132"/>
        <v>8</v>
      </c>
      <c r="M2148" s="1" t="str">
        <f t="shared" si="133"/>
        <v/>
      </c>
      <c r="N2148" s="2">
        <f t="shared" si="134"/>
        <v>45809</v>
      </c>
      <c r="O2148" t="str">
        <f t="shared" si="135"/>
        <v>mačka</v>
      </c>
    </row>
    <row r="2149" spans="1:15" hidden="1" x14ac:dyDescent="0.25">
      <c r="A2149">
        <v>9658</v>
      </c>
      <c r="B2149" s="11">
        <v>4056789012345</v>
      </c>
      <c r="C2149" s="1" t="s">
        <v>47</v>
      </c>
      <c r="D2149" s="1" t="s">
        <v>29</v>
      </c>
      <c r="E2149" s="1" t="s">
        <v>37</v>
      </c>
      <c r="F2149">
        <v>2.4</v>
      </c>
      <c r="G2149">
        <v>3</v>
      </c>
      <c r="H2149" s="1" t="s">
        <v>14</v>
      </c>
      <c r="I2149" s="1" t="s">
        <v>15</v>
      </c>
      <c r="J2149" s="12">
        <v>45809</v>
      </c>
      <c r="K2149">
        <v>0</v>
      </c>
      <c r="L2149" s="1">
        <f t="shared" si="132"/>
        <v>7.1999999999999993</v>
      </c>
      <c r="M2149" s="1" t="str">
        <f t="shared" si="133"/>
        <v/>
      </c>
      <c r="N2149" s="2">
        <f t="shared" si="134"/>
        <v>45809</v>
      </c>
      <c r="O2149" t="str">
        <f t="shared" si="135"/>
        <v>mačka</v>
      </c>
    </row>
    <row r="2150" spans="1:15" x14ac:dyDescent="0.25">
      <c r="A2150">
        <v>9659</v>
      </c>
      <c r="B2150" s="11">
        <v>4061011223346</v>
      </c>
      <c r="C2150" s="1" t="s">
        <v>25</v>
      </c>
      <c r="D2150" s="1" t="s">
        <v>26</v>
      </c>
      <c r="E2150" s="1" t="s">
        <v>27</v>
      </c>
      <c r="F2150">
        <v>19.600000000000001</v>
      </c>
      <c r="G2150">
        <v>1</v>
      </c>
      <c r="H2150" s="1" t="s">
        <v>14</v>
      </c>
      <c r="I2150" s="1" t="s">
        <v>15</v>
      </c>
      <c r="J2150" s="12">
        <v>45809</v>
      </c>
      <c r="K2150">
        <v>0</v>
      </c>
      <c r="L2150" s="1">
        <f t="shared" si="132"/>
        <v>19.600000000000001</v>
      </c>
      <c r="M2150" s="1" t="str">
        <f t="shared" si="133"/>
        <v/>
      </c>
      <c r="N2150" s="2">
        <f t="shared" si="134"/>
        <v>45809</v>
      </c>
      <c r="O2150" t="str">
        <f t="shared" si="135"/>
        <v>pes</v>
      </c>
    </row>
    <row r="2151" spans="1:15" hidden="1" x14ac:dyDescent="0.25">
      <c r="A2151">
        <v>9660</v>
      </c>
      <c r="B2151" s="11">
        <v>4026677889902</v>
      </c>
      <c r="C2151" s="1" t="s">
        <v>52</v>
      </c>
      <c r="D2151" s="1" t="s">
        <v>53</v>
      </c>
      <c r="E2151" s="1" t="s">
        <v>54</v>
      </c>
      <c r="F2151">
        <v>7.6</v>
      </c>
      <c r="G2151">
        <v>1</v>
      </c>
      <c r="H2151" s="1" t="s">
        <v>14</v>
      </c>
      <c r="I2151" s="1" t="s">
        <v>15</v>
      </c>
      <c r="J2151" s="12">
        <v>45809</v>
      </c>
      <c r="K2151">
        <v>0</v>
      </c>
      <c r="L2151" s="1">
        <f t="shared" si="132"/>
        <v>7.6</v>
      </c>
      <c r="M2151" s="1" t="str">
        <f t="shared" si="133"/>
        <v/>
      </c>
      <c r="N2151" s="2">
        <f t="shared" si="134"/>
        <v>45809</v>
      </c>
      <c r="O2151" t="str">
        <f t="shared" si="135"/>
        <v>iné</v>
      </c>
    </row>
    <row r="2152" spans="1:15" x14ac:dyDescent="0.25">
      <c r="A2152">
        <v>9661</v>
      </c>
      <c r="B2152" s="11">
        <v>4028899001126</v>
      </c>
      <c r="C2152" s="1" t="s">
        <v>16</v>
      </c>
      <c r="D2152" s="1" t="s">
        <v>12</v>
      </c>
      <c r="E2152" s="1" t="s">
        <v>17</v>
      </c>
      <c r="F2152">
        <v>2.8</v>
      </c>
      <c r="G2152">
        <v>4</v>
      </c>
      <c r="H2152" s="1" t="s">
        <v>14</v>
      </c>
      <c r="I2152" s="1" t="s">
        <v>15</v>
      </c>
      <c r="J2152" s="12">
        <v>45809</v>
      </c>
      <c r="K2152">
        <v>0</v>
      </c>
      <c r="L2152" s="1">
        <f t="shared" si="132"/>
        <v>11.2</v>
      </c>
      <c r="M2152" s="1" t="str">
        <f t="shared" si="133"/>
        <v/>
      </c>
      <c r="N2152" s="2">
        <f t="shared" si="134"/>
        <v>45809</v>
      </c>
      <c r="O2152" t="str">
        <f t="shared" si="135"/>
        <v>pes</v>
      </c>
    </row>
    <row r="2153" spans="1:15" x14ac:dyDescent="0.25">
      <c r="A2153">
        <v>9662</v>
      </c>
      <c r="B2153" s="11">
        <v>4013456789017</v>
      </c>
      <c r="C2153" s="1" t="s">
        <v>11</v>
      </c>
      <c r="D2153" s="1" t="s">
        <v>12</v>
      </c>
      <c r="E2153" s="1" t="s">
        <v>13</v>
      </c>
      <c r="F2153">
        <v>6</v>
      </c>
      <c r="G2153">
        <v>1</v>
      </c>
      <c r="H2153" s="1" t="s">
        <v>14</v>
      </c>
      <c r="I2153" s="1" t="s">
        <v>15</v>
      </c>
      <c r="J2153" s="12">
        <v>45810</v>
      </c>
      <c r="K2153">
        <v>0</v>
      </c>
      <c r="L2153" s="1">
        <f t="shared" si="132"/>
        <v>6</v>
      </c>
      <c r="M2153" s="1" t="str">
        <f t="shared" si="133"/>
        <v/>
      </c>
      <c r="N2153" s="2">
        <f t="shared" si="134"/>
        <v>45809</v>
      </c>
      <c r="O2153" t="str">
        <f t="shared" si="135"/>
        <v>pes</v>
      </c>
    </row>
    <row r="2154" spans="1:15" x14ac:dyDescent="0.25">
      <c r="A2154">
        <v>9663</v>
      </c>
      <c r="B2154" s="11">
        <v>4040123456795</v>
      </c>
      <c r="C2154" s="1" t="s">
        <v>20</v>
      </c>
      <c r="D2154" s="1" t="s">
        <v>21</v>
      </c>
      <c r="E2154" s="1" t="s">
        <v>22</v>
      </c>
      <c r="F2154">
        <v>8.8000000000000007</v>
      </c>
      <c r="G2154">
        <v>1</v>
      </c>
      <c r="H2154" s="1" t="s">
        <v>14</v>
      </c>
      <c r="I2154" s="1" t="s">
        <v>15</v>
      </c>
      <c r="J2154" s="12">
        <v>45810</v>
      </c>
      <c r="K2154">
        <v>0</v>
      </c>
      <c r="L2154" s="1">
        <f t="shared" si="132"/>
        <v>8.8000000000000007</v>
      </c>
      <c r="M2154" s="1" t="str">
        <f t="shared" si="133"/>
        <v/>
      </c>
      <c r="N2154" s="2">
        <f t="shared" si="134"/>
        <v>45809</v>
      </c>
      <c r="O2154" t="str">
        <f t="shared" si="135"/>
        <v>pes</v>
      </c>
    </row>
    <row r="2155" spans="1:15" hidden="1" x14ac:dyDescent="0.25">
      <c r="A2155">
        <v>9664</v>
      </c>
      <c r="B2155" s="11">
        <v>4010123456783</v>
      </c>
      <c r="C2155" s="1" t="s">
        <v>35</v>
      </c>
      <c r="D2155" s="1" t="s">
        <v>36</v>
      </c>
      <c r="E2155" s="1" t="s">
        <v>37</v>
      </c>
      <c r="F2155">
        <v>14</v>
      </c>
      <c r="G2155">
        <v>1</v>
      </c>
      <c r="H2155" s="1" t="s">
        <v>14</v>
      </c>
      <c r="I2155" s="1" t="s">
        <v>15</v>
      </c>
      <c r="J2155" s="12">
        <v>45810</v>
      </c>
      <c r="K2155">
        <v>0</v>
      </c>
      <c r="L2155" s="1">
        <f t="shared" si="132"/>
        <v>14</v>
      </c>
      <c r="M2155" s="1" t="str">
        <f t="shared" si="133"/>
        <v/>
      </c>
      <c r="N2155" s="2">
        <f t="shared" si="134"/>
        <v>45809</v>
      </c>
      <c r="O2155" t="str">
        <f t="shared" si="135"/>
        <v>mačka</v>
      </c>
    </row>
    <row r="2156" spans="1:15" x14ac:dyDescent="0.25">
      <c r="A2156">
        <v>9665</v>
      </c>
      <c r="B2156" s="11">
        <v>4063456789014</v>
      </c>
      <c r="C2156" s="1" t="s">
        <v>60</v>
      </c>
      <c r="D2156" s="1" t="s">
        <v>12</v>
      </c>
      <c r="E2156" s="1" t="s">
        <v>61</v>
      </c>
      <c r="F2156">
        <v>36</v>
      </c>
      <c r="G2156">
        <v>1</v>
      </c>
      <c r="H2156" s="1" t="s">
        <v>14</v>
      </c>
      <c r="I2156" s="1" t="s">
        <v>15</v>
      </c>
      <c r="J2156" s="12">
        <v>45810</v>
      </c>
      <c r="K2156">
        <v>0</v>
      </c>
      <c r="L2156" s="1">
        <f t="shared" si="132"/>
        <v>36</v>
      </c>
      <c r="M2156" s="1" t="str">
        <f t="shared" si="133"/>
        <v/>
      </c>
      <c r="N2156" s="2">
        <f t="shared" si="134"/>
        <v>45809</v>
      </c>
      <c r="O2156" t="str">
        <f t="shared" si="135"/>
        <v>pes</v>
      </c>
    </row>
    <row r="2157" spans="1:15" hidden="1" x14ac:dyDescent="0.25">
      <c r="A2157">
        <v>9666</v>
      </c>
      <c r="B2157" s="11">
        <v>4021234567894</v>
      </c>
      <c r="C2157" s="1" t="s">
        <v>79</v>
      </c>
      <c r="D2157" s="1" t="s">
        <v>36</v>
      </c>
      <c r="E2157" s="1" t="s">
        <v>69</v>
      </c>
      <c r="F2157">
        <v>8</v>
      </c>
      <c r="G2157">
        <v>1</v>
      </c>
      <c r="H2157" s="1" t="s">
        <v>14</v>
      </c>
      <c r="I2157" s="1" t="s">
        <v>15</v>
      </c>
      <c r="J2157" s="12">
        <v>45810</v>
      </c>
      <c r="K2157">
        <v>0</v>
      </c>
      <c r="L2157" s="1">
        <f t="shared" si="132"/>
        <v>8</v>
      </c>
      <c r="M2157" s="1" t="str">
        <f t="shared" si="133"/>
        <v/>
      </c>
      <c r="N2157" s="2">
        <f t="shared" si="134"/>
        <v>45809</v>
      </c>
      <c r="O2157" t="str">
        <f t="shared" si="135"/>
        <v>mačka</v>
      </c>
    </row>
    <row r="2158" spans="1:15" hidden="1" x14ac:dyDescent="0.25">
      <c r="A2158">
        <v>9667</v>
      </c>
      <c r="B2158" s="11">
        <v>4056789012345</v>
      </c>
      <c r="C2158" s="1" t="s">
        <v>47</v>
      </c>
      <c r="D2158" s="1" t="s">
        <v>29</v>
      </c>
      <c r="E2158" s="1" t="s">
        <v>37</v>
      </c>
      <c r="F2158">
        <v>2.4</v>
      </c>
      <c r="G2158">
        <v>2</v>
      </c>
      <c r="H2158" s="1" t="s">
        <v>14</v>
      </c>
      <c r="I2158" s="1" t="s">
        <v>15</v>
      </c>
      <c r="J2158" s="12">
        <v>45810</v>
      </c>
      <c r="K2158">
        <v>0</v>
      </c>
      <c r="L2158" s="1">
        <f t="shared" si="132"/>
        <v>4.8</v>
      </c>
      <c r="M2158" s="1" t="str">
        <f t="shared" si="133"/>
        <v/>
      </c>
      <c r="N2158" s="2">
        <f t="shared" si="134"/>
        <v>45809</v>
      </c>
      <c r="O2158" t="str">
        <f t="shared" si="135"/>
        <v>mačka</v>
      </c>
    </row>
    <row r="2159" spans="1:15" x14ac:dyDescent="0.25">
      <c r="A2159">
        <v>9668</v>
      </c>
      <c r="B2159" s="11">
        <v>4061011223346</v>
      </c>
      <c r="C2159" s="1" t="s">
        <v>25</v>
      </c>
      <c r="D2159" s="1" t="s">
        <v>26</v>
      </c>
      <c r="E2159" s="1" t="s">
        <v>27</v>
      </c>
      <c r="F2159">
        <v>19.600000000000001</v>
      </c>
      <c r="G2159">
        <v>1</v>
      </c>
      <c r="H2159" s="1" t="s">
        <v>14</v>
      </c>
      <c r="I2159" s="1" t="s">
        <v>15</v>
      </c>
      <c r="J2159" s="12">
        <v>45810</v>
      </c>
      <c r="K2159">
        <v>0</v>
      </c>
      <c r="L2159" s="1">
        <f t="shared" si="132"/>
        <v>19.600000000000001</v>
      </c>
      <c r="M2159" s="1" t="str">
        <f t="shared" si="133"/>
        <v/>
      </c>
      <c r="N2159" s="2">
        <f t="shared" si="134"/>
        <v>45809</v>
      </c>
      <c r="O2159" t="str">
        <f t="shared" si="135"/>
        <v>pes</v>
      </c>
    </row>
    <row r="2160" spans="1:15" hidden="1" x14ac:dyDescent="0.25">
      <c r="A2160">
        <v>9669</v>
      </c>
      <c r="B2160" s="11">
        <v>4026677889902</v>
      </c>
      <c r="C2160" s="1" t="s">
        <v>52</v>
      </c>
      <c r="D2160" s="1" t="s">
        <v>53</v>
      </c>
      <c r="E2160" s="1" t="s">
        <v>54</v>
      </c>
      <c r="F2160">
        <v>7.6</v>
      </c>
      <c r="G2160">
        <v>1</v>
      </c>
      <c r="H2160" s="1" t="s">
        <v>14</v>
      </c>
      <c r="I2160" s="1" t="s">
        <v>15</v>
      </c>
      <c r="J2160" s="12">
        <v>45810</v>
      </c>
      <c r="K2160">
        <v>0</v>
      </c>
      <c r="L2160" s="1">
        <f t="shared" si="132"/>
        <v>7.6</v>
      </c>
      <c r="M2160" s="1" t="str">
        <f t="shared" si="133"/>
        <v/>
      </c>
      <c r="N2160" s="2">
        <f t="shared" si="134"/>
        <v>45809</v>
      </c>
      <c r="O2160" t="str">
        <f t="shared" si="135"/>
        <v>iné</v>
      </c>
    </row>
    <row r="2161" spans="1:15" x14ac:dyDescent="0.25">
      <c r="A2161">
        <v>9670</v>
      </c>
      <c r="B2161" s="11">
        <v>4028899001126</v>
      </c>
      <c r="C2161" s="1" t="s">
        <v>16</v>
      </c>
      <c r="D2161" s="1" t="s">
        <v>12</v>
      </c>
      <c r="E2161" s="1" t="s">
        <v>17</v>
      </c>
      <c r="F2161">
        <v>2.8</v>
      </c>
      <c r="G2161">
        <v>3</v>
      </c>
      <c r="H2161" s="1" t="s">
        <v>14</v>
      </c>
      <c r="I2161" s="1" t="s">
        <v>15</v>
      </c>
      <c r="J2161" s="12">
        <v>45810</v>
      </c>
      <c r="K2161">
        <v>0</v>
      </c>
      <c r="L2161" s="1">
        <f t="shared" si="132"/>
        <v>8.3999999999999986</v>
      </c>
      <c r="M2161" s="1" t="str">
        <f t="shared" si="133"/>
        <v/>
      </c>
      <c r="N2161" s="2">
        <f t="shared" si="134"/>
        <v>45809</v>
      </c>
      <c r="O2161" t="str">
        <f t="shared" si="135"/>
        <v>pes</v>
      </c>
    </row>
    <row r="2162" spans="1:15" x14ac:dyDescent="0.25">
      <c r="A2162">
        <v>9671</v>
      </c>
      <c r="B2162" s="11">
        <v>4013456789017</v>
      </c>
      <c r="C2162" s="1" t="s">
        <v>11</v>
      </c>
      <c r="D2162" s="1" t="s">
        <v>12</v>
      </c>
      <c r="E2162" s="1" t="s">
        <v>13</v>
      </c>
      <c r="F2162">
        <v>6</v>
      </c>
      <c r="G2162">
        <v>1</v>
      </c>
      <c r="H2162" s="1" t="s">
        <v>14</v>
      </c>
      <c r="I2162" s="1" t="s">
        <v>15</v>
      </c>
      <c r="J2162" s="12">
        <v>45810</v>
      </c>
      <c r="K2162">
        <v>0</v>
      </c>
      <c r="L2162" s="1">
        <f t="shared" si="132"/>
        <v>6</v>
      </c>
      <c r="M2162" s="1" t="str">
        <f t="shared" si="133"/>
        <v/>
      </c>
      <c r="N2162" s="2">
        <f t="shared" si="134"/>
        <v>45809</v>
      </c>
      <c r="O2162" t="str">
        <f t="shared" si="135"/>
        <v>pes</v>
      </c>
    </row>
    <row r="2163" spans="1:15" x14ac:dyDescent="0.25">
      <c r="A2163">
        <v>9672</v>
      </c>
      <c r="B2163" s="11">
        <v>4040123456795</v>
      </c>
      <c r="C2163" s="1" t="s">
        <v>20</v>
      </c>
      <c r="D2163" s="1" t="s">
        <v>21</v>
      </c>
      <c r="E2163" s="1" t="s">
        <v>22</v>
      </c>
      <c r="F2163">
        <v>8.8000000000000007</v>
      </c>
      <c r="G2163">
        <v>1</v>
      </c>
      <c r="H2163" s="1" t="s">
        <v>14</v>
      </c>
      <c r="I2163" s="1" t="s">
        <v>15</v>
      </c>
      <c r="J2163" s="12">
        <v>45810</v>
      </c>
      <c r="K2163">
        <v>0</v>
      </c>
      <c r="L2163" s="1">
        <f t="shared" si="132"/>
        <v>8.8000000000000007</v>
      </c>
      <c r="M2163" s="1" t="str">
        <f t="shared" si="133"/>
        <v/>
      </c>
      <c r="N2163" s="2">
        <f t="shared" si="134"/>
        <v>45809</v>
      </c>
      <c r="O2163" t="str">
        <f t="shared" si="135"/>
        <v>pes</v>
      </c>
    </row>
    <row r="2164" spans="1:15" hidden="1" x14ac:dyDescent="0.25">
      <c r="A2164">
        <v>9673</v>
      </c>
      <c r="B2164" s="11">
        <v>4010123456783</v>
      </c>
      <c r="C2164" s="1" t="s">
        <v>35</v>
      </c>
      <c r="D2164" s="1" t="s">
        <v>36</v>
      </c>
      <c r="E2164" s="1" t="s">
        <v>37</v>
      </c>
      <c r="F2164">
        <v>14</v>
      </c>
      <c r="G2164">
        <v>1</v>
      </c>
      <c r="H2164" s="1" t="s">
        <v>14</v>
      </c>
      <c r="I2164" s="1" t="s">
        <v>15</v>
      </c>
      <c r="J2164" s="12">
        <v>45811</v>
      </c>
      <c r="K2164">
        <v>0</v>
      </c>
      <c r="L2164" s="1">
        <f t="shared" si="132"/>
        <v>14</v>
      </c>
      <c r="M2164" s="1" t="str">
        <f t="shared" si="133"/>
        <v/>
      </c>
      <c r="N2164" s="2">
        <f t="shared" si="134"/>
        <v>45809</v>
      </c>
      <c r="O2164" t="str">
        <f t="shared" si="135"/>
        <v>mačka</v>
      </c>
    </row>
    <row r="2165" spans="1:15" x14ac:dyDescent="0.25">
      <c r="A2165">
        <v>9674</v>
      </c>
      <c r="B2165" s="11">
        <v>4063456789014</v>
      </c>
      <c r="C2165" s="1" t="s">
        <v>60</v>
      </c>
      <c r="D2165" s="1" t="s">
        <v>12</v>
      </c>
      <c r="E2165" s="1" t="s">
        <v>61</v>
      </c>
      <c r="F2165">
        <v>36</v>
      </c>
      <c r="G2165">
        <v>1</v>
      </c>
      <c r="H2165" s="1" t="s">
        <v>14</v>
      </c>
      <c r="I2165" s="1" t="s">
        <v>15</v>
      </c>
      <c r="J2165" s="12">
        <v>45811</v>
      </c>
      <c r="K2165">
        <v>0</v>
      </c>
      <c r="L2165" s="1">
        <f t="shared" si="132"/>
        <v>36</v>
      </c>
      <c r="M2165" s="1" t="str">
        <f t="shared" si="133"/>
        <v/>
      </c>
      <c r="N2165" s="2">
        <f t="shared" si="134"/>
        <v>45809</v>
      </c>
      <c r="O2165" t="str">
        <f t="shared" si="135"/>
        <v>pes</v>
      </c>
    </row>
    <row r="2166" spans="1:15" hidden="1" x14ac:dyDescent="0.25">
      <c r="A2166">
        <v>9675</v>
      </c>
      <c r="B2166" s="11">
        <v>4021234567894</v>
      </c>
      <c r="C2166" s="1" t="s">
        <v>79</v>
      </c>
      <c r="D2166" s="1" t="s">
        <v>36</v>
      </c>
      <c r="E2166" s="1" t="s">
        <v>69</v>
      </c>
      <c r="F2166">
        <v>8</v>
      </c>
      <c r="G2166">
        <v>1</v>
      </c>
      <c r="H2166" s="1" t="s">
        <v>14</v>
      </c>
      <c r="I2166" s="1" t="s">
        <v>15</v>
      </c>
      <c r="J2166" s="12">
        <v>45811</v>
      </c>
      <c r="K2166">
        <v>0</v>
      </c>
      <c r="L2166" s="1">
        <f t="shared" si="132"/>
        <v>8</v>
      </c>
      <c r="M2166" s="1" t="str">
        <f t="shared" si="133"/>
        <v/>
      </c>
      <c r="N2166" s="2">
        <f t="shared" si="134"/>
        <v>45809</v>
      </c>
      <c r="O2166" t="str">
        <f t="shared" si="135"/>
        <v>mačka</v>
      </c>
    </row>
    <row r="2167" spans="1:15" hidden="1" x14ac:dyDescent="0.25">
      <c r="A2167">
        <v>9676</v>
      </c>
      <c r="B2167" s="11">
        <v>4056789012345</v>
      </c>
      <c r="C2167" s="1" t="s">
        <v>47</v>
      </c>
      <c r="D2167" s="1" t="s">
        <v>29</v>
      </c>
      <c r="E2167" s="1" t="s">
        <v>37</v>
      </c>
      <c r="F2167">
        <v>2.4</v>
      </c>
      <c r="G2167">
        <v>2</v>
      </c>
      <c r="H2167" s="1" t="s">
        <v>14</v>
      </c>
      <c r="I2167" s="1" t="s">
        <v>15</v>
      </c>
      <c r="J2167" s="12">
        <v>45811</v>
      </c>
      <c r="K2167">
        <v>0</v>
      </c>
      <c r="L2167" s="1">
        <f t="shared" si="132"/>
        <v>4.8</v>
      </c>
      <c r="M2167" s="1" t="str">
        <f t="shared" si="133"/>
        <v/>
      </c>
      <c r="N2167" s="2">
        <f t="shared" si="134"/>
        <v>45809</v>
      </c>
      <c r="O2167" t="str">
        <f t="shared" si="135"/>
        <v>mačka</v>
      </c>
    </row>
    <row r="2168" spans="1:15" x14ac:dyDescent="0.25">
      <c r="A2168">
        <v>9677</v>
      </c>
      <c r="B2168" s="11">
        <v>4061011223346</v>
      </c>
      <c r="C2168" s="1" t="s">
        <v>25</v>
      </c>
      <c r="D2168" s="1" t="s">
        <v>26</v>
      </c>
      <c r="E2168" s="1" t="s">
        <v>27</v>
      </c>
      <c r="F2168">
        <v>19.600000000000001</v>
      </c>
      <c r="G2168">
        <v>1</v>
      </c>
      <c r="H2168" s="1" t="s">
        <v>14</v>
      </c>
      <c r="I2168" s="1" t="s">
        <v>15</v>
      </c>
      <c r="J2168" s="12">
        <v>45811</v>
      </c>
      <c r="K2168">
        <v>0</v>
      </c>
      <c r="L2168" s="1">
        <f t="shared" si="132"/>
        <v>19.600000000000001</v>
      </c>
      <c r="M2168" s="1" t="str">
        <f t="shared" si="133"/>
        <v/>
      </c>
      <c r="N2168" s="2">
        <f t="shared" si="134"/>
        <v>45809</v>
      </c>
      <c r="O2168" t="str">
        <f t="shared" si="135"/>
        <v>pes</v>
      </c>
    </row>
    <row r="2169" spans="1:15" hidden="1" x14ac:dyDescent="0.25">
      <c r="A2169">
        <v>9678</v>
      </c>
      <c r="B2169" s="11">
        <v>4026677889902</v>
      </c>
      <c r="C2169" s="1" t="s">
        <v>52</v>
      </c>
      <c r="D2169" s="1" t="s">
        <v>53</v>
      </c>
      <c r="E2169" s="1" t="s">
        <v>54</v>
      </c>
      <c r="F2169">
        <v>7.6</v>
      </c>
      <c r="G2169">
        <v>1</v>
      </c>
      <c r="H2169" s="1" t="s">
        <v>14</v>
      </c>
      <c r="I2169" s="1" t="s">
        <v>15</v>
      </c>
      <c r="J2169" s="12">
        <v>45811</v>
      </c>
      <c r="K2169">
        <v>0</v>
      </c>
      <c r="L2169" s="1">
        <f t="shared" si="132"/>
        <v>7.6</v>
      </c>
      <c r="M2169" s="1" t="str">
        <f t="shared" si="133"/>
        <v/>
      </c>
      <c r="N2169" s="2">
        <f t="shared" si="134"/>
        <v>45809</v>
      </c>
      <c r="O2169" t="str">
        <f t="shared" si="135"/>
        <v>iné</v>
      </c>
    </row>
    <row r="2170" spans="1:15" x14ac:dyDescent="0.25">
      <c r="A2170">
        <v>9679</v>
      </c>
      <c r="B2170" s="11">
        <v>4028899001126</v>
      </c>
      <c r="C2170" s="1" t="s">
        <v>16</v>
      </c>
      <c r="D2170" s="1" t="s">
        <v>12</v>
      </c>
      <c r="E2170" s="1" t="s">
        <v>17</v>
      </c>
      <c r="F2170">
        <v>2.8</v>
      </c>
      <c r="G2170">
        <v>4</v>
      </c>
      <c r="H2170" s="1" t="s">
        <v>14</v>
      </c>
      <c r="I2170" s="1" t="s">
        <v>15</v>
      </c>
      <c r="J2170" s="12">
        <v>45811</v>
      </c>
      <c r="K2170">
        <v>0</v>
      </c>
      <c r="L2170" s="1">
        <f t="shared" si="132"/>
        <v>11.2</v>
      </c>
      <c r="M2170" s="1" t="str">
        <f t="shared" si="133"/>
        <v/>
      </c>
      <c r="N2170" s="2">
        <f t="shared" si="134"/>
        <v>45809</v>
      </c>
      <c r="O2170" t="str">
        <f t="shared" si="135"/>
        <v>pes</v>
      </c>
    </row>
    <row r="2171" spans="1:15" x14ac:dyDescent="0.25">
      <c r="A2171">
        <v>9680</v>
      </c>
      <c r="B2171" s="11">
        <v>4013456789017</v>
      </c>
      <c r="C2171" s="1" t="s">
        <v>11</v>
      </c>
      <c r="D2171" s="1" t="s">
        <v>12</v>
      </c>
      <c r="E2171" s="1" t="s">
        <v>13</v>
      </c>
      <c r="F2171">
        <v>6</v>
      </c>
      <c r="G2171">
        <v>1</v>
      </c>
      <c r="H2171" s="1" t="s">
        <v>14</v>
      </c>
      <c r="I2171" s="1" t="s">
        <v>15</v>
      </c>
      <c r="J2171" s="12">
        <v>45811</v>
      </c>
      <c r="K2171">
        <v>0</v>
      </c>
      <c r="L2171" s="1">
        <f t="shared" si="132"/>
        <v>6</v>
      </c>
      <c r="M2171" s="1" t="str">
        <f t="shared" si="133"/>
        <v/>
      </c>
      <c r="N2171" s="2">
        <f t="shared" si="134"/>
        <v>45809</v>
      </c>
      <c r="O2171" t="str">
        <f t="shared" si="135"/>
        <v>pes</v>
      </c>
    </row>
    <row r="2172" spans="1:15" x14ac:dyDescent="0.25">
      <c r="A2172">
        <v>9681</v>
      </c>
      <c r="B2172" s="11">
        <v>4040123456795</v>
      </c>
      <c r="C2172" s="1" t="s">
        <v>20</v>
      </c>
      <c r="D2172" s="1" t="s">
        <v>21</v>
      </c>
      <c r="E2172" s="1" t="s">
        <v>22</v>
      </c>
      <c r="F2172">
        <v>8.8000000000000007</v>
      </c>
      <c r="G2172">
        <v>1</v>
      </c>
      <c r="H2172" s="1" t="s">
        <v>14</v>
      </c>
      <c r="I2172" s="1" t="s">
        <v>15</v>
      </c>
      <c r="J2172" s="12">
        <v>45811</v>
      </c>
      <c r="K2172">
        <v>0</v>
      </c>
      <c r="L2172" s="1">
        <f t="shared" si="132"/>
        <v>8.8000000000000007</v>
      </c>
      <c r="M2172" s="1" t="str">
        <f t="shared" si="133"/>
        <v/>
      </c>
      <c r="N2172" s="2">
        <f t="shared" si="134"/>
        <v>45809</v>
      </c>
      <c r="O2172" t="str">
        <f t="shared" si="135"/>
        <v>pes</v>
      </c>
    </row>
    <row r="2173" spans="1:15" hidden="1" x14ac:dyDescent="0.25">
      <c r="A2173">
        <v>9682</v>
      </c>
      <c r="B2173" s="11">
        <v>4010123456783</v>
      </c>
      <c r="C2173" s="1" t="s">
        <v>35</v>
      </c>
      <c r="D2173" s="1" t="s">
        <v>36</v>
      </c>
      <c r="E2173" s="1" t="s">
        <v>37</v>
      </c>
      <c r="F2173">
        <v>14</v>
      </c>
      <c r="G2173">
        <v>1</v>
      </c>
      <c r="H2173" s="1" t="s">
        <v>14</v>
      </c>
      <c r="I2173" s="1" t="s">
        <v>15</v>
      </c>
      <c r="J2173" s="12">
        <v>45811</v>
      </c>
      <c r="K2173">
        <v>0</v>
      </c>
      <c r="L2173" s="1">
        <f t="shared" si="132"/>
        <v>14</v>
      </c>
      <c r="M2173" s="1" t="str">
        <f t="shared" si="133"/>
        <v/>
      </c>
      <c r="N2173" s="2">
        <f t="shared" si="134"/>
        <v>45809</v>
      </c>
      <c r="O2173" t="str">
        <f t="shared" si="135"/>
        <v>mačka</v>
      </c>
    </row>
    <row r="2174" spans="1:15" x14ac:dyDescent="0.25">
      <c r="A2174">
        <v>9683</v>
      </c>
      <c r="B2174" s="11">
        <v>4063456789014</v>
      </c>
      <c r="C2174" s="1" t="s">
        <v>60</v>
      </c>
      <c r="D2174" s="1" t="s">
        <v>12</v>
      </c>
      <c r="E2174" s="1" t="s">
        <v>61</v>
      </c>
      <c r="F2174">
        <v>36</v>
      </c>
      <c r="G2174">
        <v>1</v>
      </c>
      <c r="H2174" s="1" t="s">
        <v>14</v>
      </c>
      <c r="I2174" s="1" t="s">
        <v>15</v>
      </c>
      <c r="J2174" s="12">
        <v>45811</v>
      </c>
      <c r="K2174">
        <v>0</v>
      </c>
      <c r="L2174" s="1">
        <f t="shared" si="132"/>
        <v>36</v>
      </c>
      <c r="M2174" s="1" t="str">
        <f t="shared" si="133"/>
        <v/>
      </c>
      <c r="N2174" s="2">
        <f t="shared" si="134"/>
        <v>45809</v>
      </c>
      <c r="O2174" t="str">
        <f t="shared" si="135"/>
        <v>pes</v>
      </c>
    </row>
    <row r="2175" spans="1:15" hidden="1" x14ac:dyDescent="0.25">
      <c r="A2175">
        <v>9684</v>
      </c>
      <c r="B2175" s="11">
        <v>4021234567894</v>
      </c>
      <c r="C2175" s="1" t="s">
        <v>79</v>
      </c>
      <c r="D2175" s="1" t="s">
        <v>36</v>
      </c>
      <c r="E2175" s="1" t="s">
        <v>69</v>
      </c>
      <c r="F2175">
        <v>8</v>
      </c>
      <c r="G2175">
        <v>1</v>
      </c>
      <c r="H2175" s="1" t="s">
        <v>14</v>
      </c>
      <c r="I2175" s="1" t="s">
        <v>15</v>
      </c>
      <c r="J2175" s="12">
        <v>45811</v>
      </c>
      <c r="K2175">
        <v>0</v>
      </c>
      <c r="L2175" s="1">
        <f t="shared" si="132"/>
        <v>8</v>
      </c>
      <c r="M2175" s="1" t="str">
        <f t="shared" si="133"/>
        <v/>
      </c>
      <c r="N2175" s="2">
        <f t="shared" si="134"/>
        <v>45809</v>
      </c>
      <c r="O2175" t="str">
        <f t="shared" si="135"/>
        <v>mačka</v>
      </c>
    </row>
    <row r="2176" spans="1:15" hidden="1" x14ac:dyDescent="0.25">
      <c r="A2176">
        <v>9685</v>
      </c>
      <c r="B2176" s="11">
        <v>4056789012345</v>
      </c>
      <c r="C2176" s="1" t="s">
        <v>47</v>
      </c>
      <c r="D2176" s="1" t="s">
        <v>29</v>
      </c>
      <c r="E2176" s="1" t="s">
        <v>37</v>
      </c>
      <c r="F2176">
        <v>2.4</v>
      </c>
      <c r="G2176">
        <v>3</v>
      </c>
      <c r="H2176" s="1" t="s">
        <v>14</v>
      </c>
      <c r="I2176" s="1" t="s">
        <v>15</v>
      </c>
      <c r="J2176" s="12">
        <v>45811</v>
      </c>
      <c r="K2176">
        <v>0</v>
      </c>
      <c r="L2176" s="1">
        <f t="shared" si="132"/>
        <v>7.1999999999999993</v>
      </c>
      <c r="M2176" s="1" t="str">
        <f t="shared" si="133"/>
        <v/>
      </c>
      <c r="N2176" s="2">
        <f t="shared" si="134"/>
        <v>45809</v>
      </c>
      <c r="O2176" t="str">
        <f t="shared" si="135"/>
        <v>mačka</v>
      </c>
    </row>
    <row r="2177" spans="1:15" x14ac:dyDescent="0.25">
      <c r="A2177">
        <v>9686</v>
      </c>
      <c r="B2177" s="11">
        <v>4061011223346</v>
      </c>
      <c r="C2177" s="1" t="s">
        <v>25</v>
      </c>
      <c r="D2177" s="1" t="s">
        <v>26</v>
      </c>
      <c r="E2177" s="1" t="s">
        <v>27</v>
      </c>
      <c r="F2177">
        <v>19.600000000000001</v>
      </c>
      <c r="G2177">
        <v>1</v>
      </c>
      <c r="H2177" s="1" t="s">
        <v>14</v>
      </c>
      <c r="I2177" s="1" t="s">
        <v>15</v>
      </c>
      <c r="J2177" s="12">
        <v>45812</v>
      </c>
      <c r="K2177">
        <v>0</v>
      </c>
      <c r="L2177" s="1">
        <f t="shared" si="132"/>
        <v>19.600000000000001</v>
      </c>
      <c r="M2177" s="1" t="str">
        <f t="shared" si="133"/>
        <v/>
      </c>
      <c r="N2177" s="2">
        <f t="shared" si="134"/>
        <v>45809</v>
      </c>
      <c r="O2177" t="str">
        <f t="shared" si="135"/>
        <v>pes</v>
      </c>
    </row>
    <row r="2178" spans="1:15" hidden="1" x14ac:dyDescent="0.25">
      <c r="A2178">
        <v>9687</v>
      </c>
      <c r="B2178" s="11">
        <v>4026677889902</v>
      </c>
      <c r="C2178" s="1" t="s">
        <v>52</v>
      </c>
      <c r="D2178" s="1" t="s">
        <v>53</v>
      </c>
      <c r="E2178" s="1" t="s">
        <v>54</v>
      </c>
      <c r="F2178">
        <v>7.6</v>
      </c>
      <c r="G2178">
        <v>1</v>
      </c>
      <c r="H2178" s="1" t="s">
        <v>14</v>
      </c>
      <c r="I2178" s="1" t="s">
        <v>15</v>
      </c>
      <c r="J2178" s="12">
        <v>45812</v>
      </c>
      <c r="K2178">
        <v>0</v>
      </c>
      <c r="L2178" s="1">
        <f t="shared" ref="L2178:L2241" si="136">F2178*G2178</f>
        <v>7.6</v>
      </c>
      <c r="M2178" s="1" t="str">
        <f t="shared" ref="M2178:M2241" si="137">IF(H2178="NULL", "",VALUE(H2178))</f>
        <v/>
      </c>
      <c r="N2178" s="2">
        <f t="shared" ref="N2178:N2241" si="138">DATE(YEAR(J2178),MONTH(J2178),1)</f>
        <v>45809</v>
      </c>
      <c r="O2178" t="str">
        <f t="shared" ref="O2178:O2241" si="139">IF(ISNUMBER(SEARCH("Mačky",D2178)),"mačka",IF(ISNUMBER(SEARCH("Psy",D2178)),"pes","iné"))</f>
        <v>iné</v>
      </c>
    </row>
    <row r="2179" spans="1:15" x14ac:dyDescent="0.25">
      <c r="A2179">
        <v>9688</v>
      </c>
      <c r="B2179" s="11">
        <v>4028899001126</v>
      </c>
      <c r="C2179" s="1" t="s">
        <v>16</v>
      </c>
      <c r="D2179" s="1" t="s">
        <v>12</v>
      </c>
      <c r="E2179" s="1" t="s">
        <v>17</v>
      </c>
      <c r="F2179">
        <v>2.8</v>
      </c>
      <c r="G2179">
        <v>4</v>
      </c>
      <c r="H2179" s="1" t="s">
        <v>14</v>
      </c>
      <c r="I2179" s="1" t="s">
        <v>15</v>
      </c>
      <c r="J2179" s="12">
        <v>45812</v>
      </c>
      <c r="K2179">
        <v>0</v>
      </c>
      <c r="L2179" s="1">
        <f t="shared" si="136"/>
        <v>11.2</v>
      </c>
      <c r="M2179" s="1" t="str">
        <f t="shared" si="137"/>
        <v/>
      </c>
      <c r="N2179" s="2">
        <f t="shared" si="138"/>
        <v>45809</v>
      </c>
      <c r="O2179" t="str">
        <f t="shared" si="139"/>
        <v>pes</v>
      </c>
    </row>
    <row r="2180" spans="1:15" x14ac:dyDescent="0.25">
      <c r="A2180">
        <v>9689</v>
      </c>
      <c r="B2180" s="11">
        <v>4013456789017</v>
      </c>
      <c r="C2180" s="1" t="s">
        <v>11</v>
      </c>
      <c r="D2180" s="1" t="s">
        <v>12</v>
      </c>
      <c r="E2180" s="1" t="s">
        <v>13</v>
      </c>
      <c r="F2180">
        <v>6</v>
      </c>
      <c r="G2180">
        <v>1</v>
      </c>
      <c r="H2180" s="1" t="s">
        <v>14</v>
      </c>
      <c r="I2180" s="1" t="s">
        <v>15</v>
      </c>
      <c r="J2180" s="12">
        <v>45812</v>
      </c>
      <c r="K2180">
        <v>0</v>
      </c>
      <c r="L2180" s="1">
        <f t="shared" si="136"/>
        <v>6</v>
      </c>
      <c r="M2180" s="1" t="str">
        <f t="shared" si="137"/>
        <v/>
      </c>
      <c r="N2180" s="2">
        <f t="shared" si="138"/>
        <v>45809</v>
      </c>
      <c r="O2180" t="str">
        <f t="shared" si="139"/>
        <v>pes</v>
      </c>
    </row>
    <row r="2181" spans="1:15" x14ac:dyDescent="0.25">
      <c r="A2181">
        <v>9690</v>
      </c>
      <c r="B2181" s="11">
        <v>4040123456795</v>
      </c>
      <c r="C2181" s="1" t="s">
        <v>20</v>
      </c>
      <c r="D2181" s="1" t="s">
        <v>21</v>
      </c>
      <c r="E2181" s="1" t="s">
        <v>22</v>
      </c>
      <c r="F2181">
        <v>8.8000000000000007</v>
      </c>
      <c r="G2181">
        <v>1</v>
      </c>
      <c r="H2181" s="1" t="s">
        <v>14</v>
      </c>
      <c r="I2181" s="1" t="s">
        <v>15</v>
      </c>
      <c r="J2181" s="12">
        <v>45812</v>
      </c>
      <c r="K2181">
        <v>0</v>
      </c>
      <c r="L2181" s="1">
        <f t="shared" si="136"/>
        <v>8.8000000000000007</v>
      </c>
      <c r="M2181" s="1" t="str">
        <f t="shared" si="137"/>
        <v/>
      </c>
      <c r="N2181" s="2">
        <f t="shared" si="138"/>
        <v>45809</v>
      </c>
      <c r="O2181" t="str">
        <f t="shared" si="139"/>
        <v>pes</v>
      </c>
    </row>
    <row r="2182" spans="1:15" hidden="1" x14ac:dyDescent="0.25">
      <c r="A2182">
        <v>9691</v>
      </c>
      <c r="B2182" s="11">
        <v>4010123456783</v>
      </c>
      <c r="C2182" s="1" t="s">
        <v>35</v>
      </c>
      <c r="D2182" s="1" t="s">
        <v>36</v>
      </c>
      <c r="E2182" s="1" t="s">
        <v>37</v>
      </c>
      <c r="F2182">
        <v>14</v>
      </c>
      <c r="G2182">
        <v>1</v>
      </c>
      <c r="H2182" s="1" t="s">
        <v>14</v>
      </c>
      <c r="I2182" s="1" t="s">
        <v>15</v>
      </c>
      <c r="J2182" s="12">
        <v>45812</v>
      </c>
      <c r="K2182">
        <v>0</v>
      </c>
      <c r="L2182" s="1">
        <f t="shared" si="136"/>
        <v>14</v>
      </c>
      <c r="M2182" s="1" t="str">
        <f t="shared" si="137"/>
        <v/>
      </c>
      <c r="N2182" s="2">
        <f t="shared" si="138"/>
        <v>45809</v>
      </c>
      <c r="O2182" t="str">
        <f t="shared" si="139"/>
        <v>mačka</v>
      </c>
    </row>
    <row r="2183" spans="1:15" x14ac:dyDescent="0.25">
      <c r="A2183">
        <v>9692</v>
      </c>
      <c r="B2183" s="11">
        <v>4063456789014</v>
      </c>
      <c r="C2183" s="1" t="s">
        <v>60</v>
      </c>
      <c r="D2183" s="1" t="s">
        <v>12</v>
      </c>
      <c r="E2183" s="1" t="s">
        <v>61</v>
      </c>
      <c r="F2183">
        <v>36</v>
      </c>
      <c r="G2183">
        <v>1</v>
      </c>
      <c r="H2183" s="1" t="s">
        <v>23</v>
      </c>
      <c r="I2183" s="1" t="s">
        <v>297</v>
      </c>
      <c r="J2183" s="12">
        <v>45812</v>
      </c>
      <c r="K2183">
        <v>0</v>
      </c>
      <c r="L2183" s="1">
        <f t="shared" si="136"/>
        <v>36</v>
      </c>
      <c r="M2183" s="1">
        <f t="shared" si="137"/>
        <v>5</v>
      </c>
      <c r="N2183" s="2">
        <f t="shared" si="138"/>
        <v>45809</v>
      </c>
      <c r="O2183" t="str">
        <f t="shared" si="139"/>
        <v>pes</v>
      </c>
    </row>
    <row r="2184" spans="1:15" hidden="1" x14ac:dyDescent="0.25">
      <c r="A2184">
        <v>9693</v>
      </c>
      <c r="B2184" s="11">
        <v>4021234567894</v>
      </c>
      <c r="C2184" s="1" t="s">
        <v>79</v>
      </c>
      <c r="D2184" s="1" t="s">
        <v>36</v>
      </c>
      <c r="E2184" s="1" t="s">
        <v>69</v>
      </c>
      <c r="F2184">
        <v>8</v>
      </c>
      <c r="G2184">
        <v>1</v>
      </c>
      <c r="H2184" s="1" t="s">
        <v>14</v>
      </c>
      <c r="I2184" s="1" t="s">
        <v>15</v>
      </c>
      <c r="J2184" s="12">
        <v>45812</v>
      </c>
      <c r="K2184">
        <v>0</v>
      </c>
      <c r="L2184" s="1">
        <f t="shared" si="136"/>
        <v>8</v>
      </c>
      <c r="M2184" s="1" t="str">
        <f t="shared" si="137"/>
        <v/>
      </c>
      <c r="N2184" s="2">
        <f t="shared" si="138"/>
        <v>45809</v>
      </c>
      <c r="O2184" t="str">
        <f t="shared" si="139"/>
        <v>mačka</v>
      </c>
    </row>
    <row r="2185" spans="1:15" hidden="1" x14ac:dyDescent="0.25">
      <c r="A2185">
        <v>9694</v>
      </c>
      <c r="B2185" s="11">
        <v>4056789012345</v>
      </c>
      <c r="C2185" s="1" t="s">
        <v>47</v>
      </c>
      <c r="D2185" s="1" t="s">
        <v>29</v>
      </c>
      <c r="E2185" s="1" t="s">
        <v>37</v>
      </c>
      <c r="F2185">
        <v>2.4</v>
      </c>
      <c r="G2185">
        <v>2</v>
      </c>
      <c r="H2185" s="1" t="s">
        <v>14</v>
      </c>
      <c r="I2185" s="1" t="s">
        <v>15</v>
      </c>
      <c r="J2185" s="12">
        <v>45812</v>
      </c>
      <c r="K2185">
        <v>0</v>
      </c>
      <c r="L2185" s="1">
        <f t="shared" si="136"/>
        <v>4.8</v>
      </c>
      <c r="M2185" s="1" t="str">
        <f t="shared" si="137"/>
        <v/>
      </c>
      <c r="N2185" s="2">
        <f t="shared" si="138"/>
        <v>45809</v>
      </c>
      <c r="O2185" t="str">
        <f t="shared" si="139"/>
        <v>mačka</v>
      </c>
    </row>
    <row r="2186" spans="1:15" x14ac:dyDescent="0.25">
      <c r="A2186">
        <v>9695</v>
      </c>
      <c r="B2186" s="11">
        <v>4061011223346</v>
      </c>
      <c r="C2186" s="1" t="s">
        <v>25</v>
      </c>
      <c r="D2186" s="1" t="s">
        <v>26</v>
      </c>
      <c r="E2186" s="1" t="s">
        <v>27</v>
      </c>
      <c r="F2186">
        <v>19.600000000000001</v>
      </c>
      <c r="G2186">
        <v>1</v>
      </c>
      <c r="H2186" s="1" t="s">
        <v>14</v>
      </c>
      <c r="I2186" s="1" t="s">
        <v>15</v>
      </c>
      <c r="J2186" s="12">
        <v>45812</v>
      </c>
      <c r="K2186">
        <v>0</v>
      </c>
      <c r="L2186" s="1">
        <f t="shared" si="136"/>
        <v>19.600000000000001</v>
      </c>
      <c r="M2186" s="1" t="str">
        <f t="shared" si="137"/>
        <v/>
      </c>
      <c r="N2186" s="2">
        <f t="shared" si="138"/>
        <v>45809</v>
      </c>
      <c r="O2186" t="str">
        <f t="shared" si="139"/>
        <v>pes</v>
      </c>
    </row>
    <row r="2187" spans="1:15" hidden="1" x14ac:dyDescent="0.25">
      <c r="A2187">
        <v>9696</v>
      </c>
      <c r="B2187" s="11">
        <v>4026677889902</v>
      </c>
      <c r="C2187" s="1" t="s">
        <v>52</v>
      </c>
      <c r="D2187" s="1" t="s">
        <v>53</v>
      </c>
      <c r="E2187" s="1" t="s">
        <v>54</v>
      </c>
      <c r="F2187">
        <v>7.6</v>
      </c>
      <c r="G2187">
        <v>1</v>
      </c>
      <c r="H2187" s="1" t="s">
        <v>14</v>
      </c>
      <c r="I2187" s="1" t="s">
        <v>15</v>
      </c>
      <c r="J2187" s="12">
        <v>45812</v>
      </c>
      <c r="K2187">
        <v>0</v>
      </c>
      <c r="L2187" s="1">
        <f t="shared" si="136"/>
        <v>7.6</v>
      </c>
      <c r="M2187" s="1" t="str">
        <f t="shared" si="137"/>
        <v/>
      </c>
      <c r="N2187" s="2">
        <f t="shared" si="138"/>
        <v>45809</v>
      </c>
      <c r="O2187" t="str">
        <f t="shared" si="139"/>
        <v>iné</v>
      </c>
    </row>
    <row r="2188" spans="1:15" x14ac:dyDescent="0.25">
      <c r="A2188">
        <v>9697</v>
      </c>
      <c r="B2188" s="11">
        <v>4028899001126</v>
      </c>
      <c r="C2188" s="1" t="s">
        <v>16</v>
      </c>
      <c r="D2188" s="1" t="s">
        <v>12</v>
      </c>
      <c r="E2188" s="1" t="s">
        <v>17</v>
      </c>
      <c r="F2188">
        <v>2.8</v>
      </c>
      <c r="G2188">
        <v>3</v>
      </c>
      <c r="H2188" s="1" t="s">
        <v>14</v>
      </c>
      <c r="I2188" s="1" t="s">
        <v>15</v>
      </c>
      <c r="J2188" s="12">
        <v>45812</v>
      </c>
      <c r="K2188">
        <v>0</v>
      </c>
      <c r="L2188" s="1">
        <f t="shared" si="136"/>
        <v>8.3999999999999986</v>
      </c>
      <c r="M2188" s="1" t="str">
        <f t="shared" si="137"/>
        <v/>
      </c>
      <c r="N2188" s="2">
        <f t="shared" si="138"/>
        <v>45809</v>
      </c>
      <c r="O2188" t="str">
        <f t="shared" si="139"/>
        <v>pes</v>
      </c>
    </row>
    <row r="2189" spans="1:15" x14ac:dyDescent="0.25">
      <c r="A2189">
        <v>9698</v>
      </c>
      <c r="B2189" s="11">
        <v>4013456789017</v>
      </c>
      <c r="C2189" s="1" t="s">
        <v>11</v>
      </c>
      <c r="D2189" s="1" t="s">
        <v>12</v>
      </c>
      <c r="E2189" s="1" t="s">
        <v>13</v>
      </c>
      <c r="F2189">
        <v>6</v>
      </c>
      <c r="G2189">
        <v>1</v>
      </c>
      <c r="H2189" s="1" t="s">
        <v>14</v>
      </c>
      <c r="I2189" s="1" t="s">
        <v>15</v>
      </c>
      <c r="J2189" s="12">
        <v>45812</v>
      </c>
      <c r="K2189">
        <v>0</v>
      </c>
      <c r="L2189" s="1">
        <f t="shared" si="136"/>
        <v>6</v>
      </c>
      <c r="M2189" s="1" t="str">
        <f t="shared" si="137"/>
        <v/>
      </c>
      <c r="N2189" s="2">
        <f t="shared" si="138"/>
        <v>45809</v>
      </c>
      <c r="O2189" t="str">
        <f t="shared" si="139"/>
        <v>pes</v>
      </c>
    </row>
    <row r="2190" spans="1:15" x14ac:dyDescent="0.25">
      <c r="A2190">
        <v>9699</v>
      </c>
      <c r="B2190" s="11">
        <v>4040123456795</v>
      </c>
      <c r="C2190" s="1" t="s">
        <v>20</v>
      </c>
      <c r="D2190" s="1" t="s">
        <v>21</v>
      </c>
      <c r="E2190" s="1" t="s">
        <v>22</v>
      </c>
      <c r="F2190">
        <v>8.8000000000000007</v>
      </c>
      <c r="G2190">
        <v>1</v>
      </c>
      <c r="H2190" s="1" t="s">
        <v>14</v>
      </c>
      <c r="I2190" s="1" t="s">
        <v>15</v>
      </c>
      <c r="J2190" s="12">
        <v>45812</v>
      </c>
      <c r="K2190">
        <v>0</v>
      </c>
      <c r="L2190" s="1">
        <f t="shared" si="136"/>
        <v>8.8000000000000007</v>
      </c>
      <c r="M2190" s="1" t="str">
        <f t="shared" si="137"/>
        <v/>
      </c>
      <c r="N2190" s="2">
        <f t="shared" si="138"/>
        <v>45809</v>
      </c>
      <c r="O2190" t="str">
        <f t="shared" si="139"/>
        <v>pes</v>
      </c>
    </row>
    <row r="2191" spans="1:15" hidden="1" x14ac:dyDescent="0.25">
      <c r="A2191">
        <v>9700</v>
      </c>
      <c r="B2191" s="11">
        <v>4010123456783</v>
      </c>
      <c r="C2191" s="1" t="s">
        <v>35</v>
      </c>
      <c r="D2191" s="1" t="s">
        <v>36</v>
      </c>
      <c r="E2191" s="1" t="s">
        <v>37</v>
      </c>
      <c r="F2191">
        <v>14</v>
      </c>
      <c r="G2191">
        <v>1</v>
      </c>
      <c r="H2191" s="1" t="s">
        <v>14</v>
      </c>
      <c r="I2191" s="1" t="s">
        <v>15</v>
      </c>
      <c r="J2191" s="12">
        <v>45812</v>
      </c>
      <c r="K2191">
        <v>0</v>
      </c>
      <c r="L2191" s="1">
        <f t="shared" si="136"/>
        <v>14</v>
      </c>
      <c r="M2191" s="1" t="str">
        <f t="shared" si="137"/>
        <v/>
      </c>
      <c r="N2191" s="2">
        <f t="shared" si="138"/>
        <v>45809</v>
      </c>
      <c r="O2191" t="str">
        <f t="shared" si="139"/>
        <v>mačka</v>
      </c>
    </row>
    <row r="2192" spans="1:15" x14ac:dyDescent="0.25">
      <c r="A2192">
        <v>9701</v>
      </c>
      <c r="B2192" s="11">
        <v>4063456789014</v>
      </c>
      <c r="C2192" s="1" t="s">
        <v>60</v>
      </c>
      <c r="D2192" s="1" t="s">
        <v>12</v>
      </c>
      <c r="E2192" s="1" t="s">
        <v>61</v>
      </c>
      <c r="F2192">
        <v>36</v>
      </c>
      <c r="G2192">
        <v>1</v>
      </c>
      <c r="H2192" s="1" t="s">
        <v>14</v>
      </c>
      <c r="I2192" s="1" t="s">
        <v>15</v>
      </c>
      <c r="J2192" s="12">
        <v>45812</v>
      </c>
      <c r="K2192">
        <v>0</v>
      </c>
      <c r="L2192" s="1">
        <f t="shared" si="136"/>
        <v>36</v>
      </c>
      <c r="M2192" s="1" t="str">
        <f t="shared" si="137"/>
        <v/>
      </c>
      <c r="N2192" s="2">
        <f t="shared" si="138"/>
        <v>45809</v>
      </c>
      <c r="O2192" t="str">
        <f t="shared" si="139"/>
        <v>pes</v>
      </c>
    </row>
    <row r="2193" spans="1:15" hidden="1" x14ac:dyDescent="0.25">
      <c r="A2193">
        <v>9702</v>
      </c>
      <c r="B2193" s="11">
        <v>4021234567894</v>
      </c>
      <c r="C2193" s="1" t="s">
        <v>79</v>
      </c>
      <c r="D2193" s="1" t="s">
        <v>36</v>
      </c>
      <c r="E2193" s="1" t="s">
        <v>69</v>
      </c>
      <c r="F2193">
        <v>8</v>
      </c>
      <c r="G2193">
        <v>1</v>
      </c>
      <c r="H2193" s="1" t="s">
        <v>14</v>
      </c>
      <c r="I2193" s="1" t="s">
        <v>15</v>
      </c>
      <c r="J2193" s="12">
        <v>45813</v>
      </c>
      <c r="K2193">
        <v>0</v>
      </c>
      <c r="L2193" s="1">
        <f t="shared" si="136"/>
        <v>8</v>
      </c>
      <c r="M2193" s="1" t="str">
        <f t="shared" si="137"/>
        <v/>
      </c>
      <c r="N2193" s="2">
        <f t="shared" si="138"/>
        <v>45809</v>
      </c>
      <c r="O2193" t="str">
        <f t="shared" si="139"/>
        <v>mačka</v>
      </c>
    </row>
    <row r="2194" spans="1:15" hidden="1" x14ac:dyDescent="0.25">
      <c r="A2194">
        <v>9703</v>
      </c>
      <c r="B2194" s="11">
        <v>4056789012345</v>
      </c>
      <c r="C2194" s="1" t="s">
        <v>47</v>
      </c>
      <c r="D2194" s="1" t="s">
        <v>29</v>
      </c>
      <c r="E2194" s="1" t="s">
        <v>37</v>
      </c>
      <c r="F2194">
        <v>2.4</v>
      </c>
      <c r="G2194">
        <v>2</v>
      </c>
      <c r="H2194" s="1" t="s">
        <v>14</v>
      </c>
      <c r="I2194" s="1" t="s">
        <v>15</v>
      </c>
      <c r="J2194" s="12">
        <v>45813</v>
      </c>
      <c r="K2194">
        <v>0</v>
      </c>
      <c r="L2194" s="1">
        <f t="shared" si="136"/>
        <v>4.8</v>
      </c>
      <c r="M2194" s="1" t="str">
        <f t="shared" si="137"/>
        <v/>
      </c>
      <c r="N2194" s="2">
        <f t="shared" si="138"/>
        <v>45809</v>
      </c>
      <c r="O2194" t="str">
        <f t="shared" si="139"/>
        <v>mačka</v>
      </c>
    </row>
    <row r="2195" spans="1:15" x14ac:dyDescent="0.25">
      <c r="A2195">
        <v>9704</v>
      </c>
      <c r="B2195" s="11">
        <v>4061011223346</v>
      </c>
      <c r="C2195" s="1" t="s">
        <v>25</v>
      </c>
      <c r="D2195" s="1" t="s">
        <v>26</v>
      </c>
      <c r="E2195" s="1" t="s">
        <v>27</v>
      </c>
      <c r="F2195">
        <v>19.600000000000001</v>
      </c>
      <c r="G2195">
        <v>1</v>
      </c>
      <c r="H2195" s="1" t="s">
        <v>14</v>
      </c>
      <c r="I2195" s="1" t="s">
        <v>15</v>
      </c>
      <c r="J2195" s="12">
        <v>45813</v>
      </c>
      <c r="K2195">
        <v>0</v>
      </c>
      <c r="L2195" s="1">
        <f t="shared" si="136"/>
        <v>19.600000000000001</v>
      </c>
      <c r="M2195" s="1" t="str">
        <f t="shared" si="137"/>
        <v/>
      </c>
      <c r="N2195" s="2">
        <f t="shared" si="138"/>
        <v>45809</v>
      </c>
      <c r="O2195" t="str">
        <f t="shared" si="139"/>
        <v>pes</v>
      </c>
    </row>
    <row r="2196" spans="1:15" hidden="1" x14ac:dyDescent="0.25">
      <c r="A2196">
        <v>9705</v>
      </c>
      <c r="B2196" s="11">
        <v>4026677889902</v>
      </c>
      <c r="C2196" s="1" t="s">
        <v>52</v>
      </c>
      <c r="D2196" s="1" t="s">
        <v>53</v>
      </c>
      <c r="E2196" s="1" t="s">
        <v>54</v>
      </c>
      <c r="F2196">
        <v>7.6</v>
      </c>
      <c r="G2196">
        <v>1</v>
      </c>
      <c r="H2196" s="1" t="s">
        <v>14</v>
      </c>
      <c r="I2196" s="1" t="s">
        <v>15</v>
      </c>
      <c r="J2196" s="12">
        <v>45813</v>
      </c>
      <c r="K2196">
        <v>0</v>
      </c>
      <c r="L2196" s="1">
        <f t="shared" si="136"/>
        <v>7.6</v>
      </c>
      <c r="M2196" s="1" t="str">
        <f t="shared" si="137"/>
        <v/>
      </c>
      <c r="N2196" s="2">
        <f t="shared" si="138"/>
        <v>45809</v>
      </c>
      <c r="O2196" t="str">
        <f t="shared" si="139"/>
        <v>iné</v>
      </c>
    </row>
    <row r="2197" spans="1:15" x14ac:dyDescent="0.25">
      <c r="A2197">
        <v>9706</v>
      </c>
      <c r="B2197" s="11">
        <v>4028899001126</v>
      </c>
      <c r="C2197" s="1" t="s">
        <v>16</v>
      </c>
      <c r="D2197" s="1" t="s">
        <v>12</v>
      </c>
      <c r="E2197" s="1" t="s">
        <v>17</v>
      </c>
      <c r="F2197">
        <v>2.8</v>
      </c>
      <c r="G2197">
        <v>3</v>
      </c>
      <c r="H2197" s="1" t="s">
        <v>14</v>
      </c>
      <c r="I2197" s="1" t="s">
        <v>15</v>
      </c>
      <c r="J2197" s="12">
        <v>45813</v>
      </c>
      <c r="K2197">
        <v>0</v>
      </c>
      <c r="L2197" s="1">
        <f t="shared" si="136"/>
        <v>8.3999999999999986</v>
      </c>
      <c r="M2197" s="1" t="str">
        <f t="shared" si="137"/>
        <v/>
      </c>
      <c r="N2197" s="2">
        <f t="shared" si="138"/>
        <v>45809</v>
      </c>
      <c r="O2197" t="str">
        <f t="shared" si="139"/>
        <v>pes</v>
      </c>
    </row>
    <row r="2198" spans="1:15" x14ac:dyDescent="0.25">
      <c r="A2198">
        <v>9707</v>
      </c>
      <c r="B2198" s="11">
        <v>4013456789017</v>
      </c>
      <c r="C2198" s="1" t="s">
        <v>11</v>
      </c>
      <c r="D2198" s="1" t="s">
        <v>12</v>
      </c>
      <c r="E2198" s="1" t="s">
        <v>13</v>
      </c>
      <c r="F2198">
        <v>6</v>
      </c>
      <c r="G2198">
        <v>1</v>
      </c>
      <c r="H2198" s="1" t="s">
        <v>14</v>
      </c>
      <c r="I2198" s="1" t="s">
        <v>15</v>
      </c>
      <c r="J2198" s="12">
        <v>45813</v>
      </c>
      <c r="K2198">
        <v>0</v>
      </c>
      <c r="L2198" s="1">
        <f t="shared" si="136"/>
        <v>6</v>
      </c>
      <c r="M2198" s="1" t="str">
        <f t="shared" si="137"/>
        <v/>
      </c>
      <c r="N2198" s="2">
        <f t="shared" si="138"/>
        <v>45809</v>
      </c>
      <c r="O2198" t="str">
        <f t="shared" si="139"/>
        <v>pes</v>
      </c>
    </row>
    <row r="2199" spans="1:15" x14ac:dyDescent="0.25">
      <c r="A2199">
        <v>9708</v>
      </c>
      <c r="B2199" s="11">
        <v>4040123456795</v>
      </c>
      <c r="C2199" s="1" t="s">
        <v>20</v>
      </c>
      <c r="D2199" s="1" t="s">
        <v>21</v>
      </c>
      <c r="E2199" s="1" t="s">
        <v>22</v>
      </c>
      <c r="F2199">
        <v>8.8000000000000007</v>
      </c>
      <c r="G2199">
        <v>1</v>
      </c>
      <c r="H2199" s="1" t="s">
        <v>14</v>
      </c>
      <c r="I2199" s="1" t="s">
        <v>15</v>
      </c>
      <c r="J2199" s="12">
        <v>45813</v>
      </c>
      <c r="K2199">
        <v>0</v>
      </c>
      <c r="L2199" s="1">
        <f t="shared" si="136"/>
        <v>8.8000000000000007</v>
      </c>
      <c r="M2199" s="1" t="str">
        <f t="shared" si="137"/>
        <v/>
      </c>
      <c r="N2199" s="2">
        <f t="shared" si="138"/>
        <v>45809</v>
      </c>
      <c r="O2199" t="str">
        <f t="shared" si="139"/>
        <v>pes</v>
      </c>
    </row>
    <row r="2200" spans="1:15" hidden="1" x14ac:dyDescent="0.25">
      <c r="A2200">
        <v>9709</v>
      </c>
      <c r="B2200" s="11">
        <v>4010123456783</v>
      </c>
      <c r="C2200" s="1" t="s">
        <v>35</v>
      </c>
      <c r="D2200" s="1" t="s">
        <v>36</v>
      </c>
      <c r="E2200" s="1" t="s">
        <v>37</v>
      </c>
      <c r="F2200">
        <v>14</v>
      </c>
      <c r="G2200">
        <v>1</v>
      </c>
      <c r="H2200" s="1" t="s">
        <v>14</v>
      </c>
      <c r="I2200" s="1" t="s">
        <v>15</v>
      </c>
      <c r="J2200" s="12">
        <v>45813</v>
      </c>
      <c r="K2200">
        <v>0</v>
      </c>
      <c r="L2200" s="1">
        <f t="shared" si="136"/>
        <v>14</v>
      </c>
      <c r="M2200" s="1" t="str">
        <f t="shared" si="137"/>
        <v/>
      </c>
      <c r="N2200" s="2">
        <f t="shared" si="138"/>
        <v>45809</v>
      </c>
      <c r="O2200" t="str">
        <f t="shared" si="139"/>
        <v>mačka</v>
      </c>
    </row>
    <row r="2201" spans="1:15" x14ac:dyDescent="0.25">
      <c r="A2201">
        <v>9710</v>
      </c>
      <c r="B2201" s="11">
        <v>4063456789014</v>
      </c>
      <c r="C2201" s="1" t="s">
        <v>60</v>
      </c>
      <c r="D2201" s="1" t="s">
        <v>12</v>
      </c>
      <c r="E2201" s="1" t="s">
        <v>61</v>
      </c>
      <c r="F2201">
        <v>36</v>
      </c>
      <c r="G2201">
        <v>1</v>
      </c>
      <c r="H2201" s="1" t="s">
        <v>14</v>
      </c>
      <c r="I2201" s="1" t="s">
        <v>15</v>
      </c>
      <c r="J2201" s="12">
        <v>45813</v>
      </c>
      <c r="K2201">
        <v>0</v>
      </c>
      <c r="L2201" s="1">
        <f t="shared" si="136"/>
        <v>36</v>
      </c>
      <c r="M2201" s="1" t="str">
        <f t="shared" si="137"/>
        <v/>
      </c>
      <c r="N2201" s="2">
        <f t="shared" si="138"/>
        <v>45809</v>
      </c>
      <c r="O2201" t="str">
        <f t="shared" si="139"/>
        <v>pes</v>
      </c>
    </row>
    <row r="2202" spans="1:15" hidden="1" x14ac:dyDescent="0.25">
      <c r="A2202">
        <v>9711</v>
      </c>
      <c r="B2202" s="11">
        <v>4021234567894</v>
      </c>
      <c r="C2202" s="1" t="s">
        <v>79</v>
      </c>
      <c r="D2202" s="1" t="s">
        <v>36</v>
      </c>
      <c r="E2202" s="1" t="s">
        <v>69</v>
      </c>
      <c r="F2202">
        <v>8</v>
      </c>
      <c r="G2202">
        <v>1</v>
      </c>
      <c r="H2202" s="1" t="s">
        <v>14</v>
      </c>
      <c r="I2202" s="1" t="s">
        <v>15</v>
      </c>
      <c r="J2202" s="12">
        <v>45813</v>
      </c>
      <c r="K2202">
        <v>0</v>
      </c>
      <c r="L2202" s="1">
        <f t="shared" si="136"/>
        <v>8</v>
      </c>
      <c r="M2202" s="1" t="str">
        <f t="shared" si="137"/>
        <v/>
      </c>
      <c r="N2202" s="2">
        <f t="shared" si="138"/>
        <v>45809</v>
      </c>
      <c r="O2202" t="str">
        <f t="shared" si="139"/>
        <v>mačka</v>
      </c>
    </row>
    <row r="2203" spans="1:15" hidden="1" x14ac:dyDescent="0.25">
      <c r="A2203">
        <v>9712</v>
      </c>
      <c r="B2203" s="11">
        <v>4056789012345</v>
      </c>
      <c r="C2203" s="1" t="s">
        <v>47</v>
      </c>
      <c r="D2203" s="1" t="s">
        <v>29</v>
      </c>
      <c r="E2203" s="1" t="s">
        <v>37</v>
      </c>
      <c r="F2203">
        <v>2.4</v>
      </c>
      <c r="G2203">
        <v>2</v>
      </c>
      <c r="H2203" s="1" t="s">
        <v>14</v>
      </c>
      <c r="I2203" s="1" t="s">
        <v>15</v>
      </c>
      <c r="J2203" s="12">
        <v>45813</v>
      </c>
      <c r="K2203">
        <v>0</v>
      </c>
      <c r="L2203" s="1">
        <f t="shared" si="136"/>
        <v>4.8</v>
      </c>
      <c r="M2203" s="1" t="str">
        <f t="shared" si="137"/>
        <v/>
      </c>
      <c r="N2203" s="2">
        <f t="shared" si="138"/>
        <v>45809</v>
      </c>
      <c r="O2203" t="str">
        <f t="shared" si="139"/>
        <v>mačka</v>
      </c>
    </row>
    <row r="2204" spans="1:15" x14ac:dyDescent="0.25">
      <c r="A2204">
        <v>9713</v>
      </c>
      <c r="B2204" s="11">
        <v>4061011223346</v>
      </c>
      <c r="C2204" s="1" t="s">
        <v>25</v>
      </c>
      <c r="D2204" s="1" t="s">
        <v>26</v>
      </c>
      <c r="E2204" s="1" t="s">
        <v>27</v>
      </c>
      <c r="F2204">
        <v>19.600000000000001</v>
      </c>
      <c r="G2204">
        <v>1</v>
      </c>
      <c r="H2204" s="1" t="s">
        <v>14</v>
      </c>
      <c r="I2204" s="1" t="s">
        <v>15</v>
      </c>
      <c r="J2204" s="12">
        <v>45813</v>
      </c>
      <c r="K2204">
        <v>0</v>
      </c>
      <c r="L2204" s="1">
        <f t="shared" si="136"/>
        <v>19.600000000000001</v>
      </c>
      <c r="M2204" s="1" t="str">
        <f t="shared" si="137"/>
        <v/>
      </c>
      <c r="N2204" s="2">
        <f t="shared" si="138"/>
        <v>45809</v>
      </c>
      <c r="O2204" t="str">
        <f t="shared" si="139"/>
        <v>pes</v>
      </c>
    </row>
    <row r="2205" spans="1:15" hidden="1" x14ac:dyDescent="0.25">
      <c r="A2205">
        <v>9714</v>
      </c>
      <c r="B2205" s="11">
        <v>4026677889902</v>
      </c>
      <c r="C2205" s="1" t="s">
        <v>52</v>
      </c>
      <c r="D2205" s="1" t="s">
        <v>53</v>
      </c>
      <c r="E2205" s="1" t="s">
        <v>54</v>
      </c>
      <c r="F2205">
        <v>7.6</v>
      </c>
      <c r="G2205">
        <v>1</v>
      </c>
      <c r="H2205" s="1" t="s">
        <v>14</v>
      </c>
      <c r="I2205" s="1" t="s">
        <v>15</v>
      </c>
      <c r="J2205" s="12">
        <v>45813</v>
      </c>
      <c r="K2205">
        <v>0</v>
      </c>
      <c r="L2205" s="1">
        <f t="shared" si="136"/>
        <v>7.6</v>
      </c>
      <c r="M2205" s="1" t="str">
        <f t="shared" si="137"/>
        <v/>
      </c>
      <c r="N2205" s="2">
        <f t="shared" si="138"/>
        <v>45809</v>
      </c>
      <c r="O2205" t="str">
        <f t="shared" si="139"/>
        <v>iné</v>
      </c>
    </row>
    <row r="2206" spans="1:15" x14ac:dyDescent="0.25">
      <c r="A2206">
        <v>9715</v>
      </c>
      <c r="B2206" s="11">
        <v>4028899001126</v>
      </c>
      <c r="C2206" s="1" t="s">
        <v>16</v>
      </c>
      <c r="D2206" s="1" t="s">
        <v>12</v>
      </c>
      <c r="E2206" s="1" t="s">
        <v>17</v>
      </c>
      <c r="F2206">
        <v>2.8</v>
      </c>
      <c r="G2206">
        <v>4</v>
      </c>
      <c r="H2206" s="1" t="s">
        <v>14</v>
      </c>
      <c r="I2206" s="1" t="s">
        <v>15</v>
      </c>
      <c r="J2206" s="12">
        <v>45813</v>
      </c>
      <c r="K2206">
        <v>0</v>
      </c>
      <c r="L2206" s="1">
        <f t="shared" si="136"/>
        <v>11.2</v>
      </c>
      <c r="M2206" s="1" t="str">
        <f t="shared" si="137"/>
        <v/>
      </c>
      <c r="N2206" s="2">
        <f t="shared" si="138"/>
        <v>45809</v>
      </c>
      <c r="O2206" t="str">
        <f t="shared" si="139"/>
        <v>pes</v>
      </c>
    </row>
    <row r="2207" spans="1:15" x14ac:dyDescent="0.25">
      <c r="A2207">
        <v>9716</v>
      </c>
      <c r="B2207" s="11">
        <v>4013456789017</v>
      </c>
      <c r="C2207" s="1" t="s">
        <v>11</v>
      </c>
      <c r="D2207" s="1" t="s">
        <v>12</v>
      </c>
      <c r="E2207" s="1" t="s">
        <v>13</v>
      </c>
      <c r="F2207">
        <v>6</v>
      </c>
      <c r="G2207">
        <v>1</v>
      </c>
      <c r="H2207" s="1" t="s">
        <v>14</v>
      </c>
      <c r="I2207" s="1" t="s">
        <v>15</v>
      </c>
      <c r="J2207" s="12">
        <v>45813</v>
      </c>
      <c r="K2207">
        <v>0</v>
      </c>
      <c r="L2207" s="1">
        <f t="shared" si="136"/>
        <v>6</v>
      </c>
      <c r="M2207" s="1" t="str">
        <f t="shared" si="137"/>
        <v/>
      </c>
      <c r="N2207" s="2">
        <f t="shared" si="138"/>
        <v>45809</v>
      </c>
      <c r="O2207" t="str">
        <f t="shared" si="139"/>
        <v>pes</v>
      </c>
    </row>
    <row r="2208" spans="1:15" x14ac:dyDescent="0.25">
      <c r="A2208">
        <v>9717</v>
      </c>
      <c r="B2208" s="11">
        <v>4040123456795</v>
      </c>
      <c r="C2208" s="1" t="s">
        <v>20</v>
      </c>
      <c r="D2208" s="1" t="s">
        <v>21</v>
      </c>
      <c r="E2208" s="1" t="s">
        <v>22</v>
      </c>
      <c r="F2208">
        <v>8.8000000000000007</v>
      </c>
      <c r="G2208">
        <v>1</v>
      </c>
      <c r="H2208" s="1" t="s">
        <v>14</v>
      </c>
      <c r="I2208" s="1" t="s">
        <v>15</v>
      </c>
      <c r="J2208" s="12">
        <v>45813</v>
      </c>
      <c r="K2208">
        <v>0</v>
      </c>
      <c r="L2208" s="1">
        <f t="shared" si="136"/>
        <v>8.8000000000000007</v>
      </c>
      <c r="M2208" s="1" t="str">
        <f t="shared" si="137"/>
        <v/>
      </c>
      <c r="N2208" s="2">
        <f t="shared" si="138"/>
        <v>45809</v>
      </c>
      <c r="O2208" t="str">
        <f t="shared" si="139"/>
        <v>pes</v>
      </c>
    </row>
    <row r="2209" spans="1:15" hidden="1" x14ac:dyDescent="0.25">
      <c r="A2209">
        <v>9718</v>
      </c>
      <c r="B2209" s="11">
        <v>4010123456783</v>
      </c>
      <c r="C2209" s="1" t="s">
        <v>35</v>
      </c>
      <c r="D2209" s="1" t="s">
        <v>36</v>
      </c>
      <c r="E2209" s="1" t="s">
        <v>37</v>
      </c>
      <c r="F2209">
        <v>14</v>
      </c>
      <c r="G2209">
        <v>2</v>
      </c>
      <c r="H2209" s="1" t="s">
        <v>14</v>
      </c>
      <c r="I2209" s="1" t="s">
        <v>15</v>
      </c>
      <c r="J2209" s="12">
        <v>45814</v>
      </c>
      <c r="K2209">
        <v>0</v>
      </c>
      <c r="L2209" s="1">
        <f t="shared" si="136"/>
        <v>28</v>
      </c>
      <c r="M2209" s="1" t="str">
        <f t="shared" si="137"/>
        <v/>
      </c>
      <c r="N2209" s="2">
        <f t="shared" si="138"/>
        <v>45809</v>
      </c>
      <c r="O2209" t="str">
        <f t="shared" si="139"/>
        <v>mačka</v>
      </c>
    </row>
    <row r="2210" spans="1:15" x14ac:dyDescent="0.25">
      <c r="A2210">
        <v>9719</v>
      </c>
      <c r="B2210" s="11">
        <v>4063456789014</v>
      </c>
      <c r="C2210" s="1" t="s">
        <v>60</v>
      </c>
      <c r="D2210" s="1" t="s">
        <v>12</v>
      </c>
      <c r="E2210" s="1" t="s">
        <v>61</v>
      </c>
      <c r="F2210">
        <v>36</v>
      </c>
      <c r="G2210">
        <v>1</v>
      </c>
      <c r="H2210" s="1" t="s">
        <v>14</v>
      </c>
      <c r="I2210" s="1" t="s">
        <v>15</v>
      </c>
      <c r="J2210" s="12">
        <v>45814</v>
      </c>
      <c r="K2210">
        <v>0</v>
      </c>
      <c r="L2210" s="1">
        <f t="shared" si="136"/>
        <v>36</v>
      </c>
      <c r="M2210" s="1" t="str">
        <f t="shared" si="137"/>
        <v/>
      </c>
      <c r="N2210" s="2">
        <f t="shared" si="138"/>
        <v>45809</v>
      </c>
      <c r="O2210" t="str">
        <f t="shared" si="139"/>
        <v>pes</v>
      </c>
    </row>
    <row r="2211" spans="1:15" hidden="1" x14ac:dyDescent="0.25">
      <c r="A2211">
        <v>9720</v>
      </c>
      <c r="B2211" s="11">
        <v>4021234567894</v>
      </c>
      <c r="C2211" s="1" t="s">
        <v>79</v>
      </c>
      <c r="D2211" s="1" t="s">
        <v>36</v>
      </c>
      <c r="E2211" s="1" t="s">
        <v>69</v>
      </c>
      <c r="F2211">
        <v>8</v>
      </c>
      <c r="G2211">
        <v>1</v>
      </c>
      <c r="H2211" s="1" t="s">
        <v>14</v>
      </c>
      <c r="I2211" s="1" t="s">
        <v>15</v>
      </c>
      <c r="J2211" s="12">
        <v>45814</v>
      </c>
      <c r="K2211">
        <v>0</v>
      </c>
      <c r="L2211" s="1">
        <f t="shared" si="136"/>
        <v>8</v>
      </c>
      <c r="M2211" s="1" t="str">
        <f t="shared" si="137"/>
        <v/>
      </c>
      <c r="N2211" s="2">
        <f t="shared" si="138"/>
        <v>45809</v>
      </c>
      <c r="O2211" t="str">
        <f t="shared" si="139"/>
        <v>mačka</v>
      </c>
    </row>
    <row r="2212" spans="1:15" hidden="1" x14ac:dyDescent="0.25">
      <c r="A2212">
        <v>9721</v>
      </c>
      <c r="B2212" s="11">
        <v>4056789012345</v>
      </c>
      <c r="C2212" s="1" t="s">
        <v>47</v>
      </c>
      <c r="D2212" s="1" t="s">
        <v>29</v>
      </c>
      <c r="E2212" s="1" t="s">
        <v>37</v>
      </c>
      <c r="F2212">
        <v>2.4</v>
      </c>
      <c r="G2212">
        <v>3</v>
      </c>
      <c r="H2212" s="1" t="s">
        <v>14</v>
      </c>
      <c r="I2212" s="1" t="s">
        <v>15</v>
      </c>
      <c r="J2212" s="12">
        <v>45814</v>
      </c>
      <c r="K2212">
        <v>0</v>
      </c>
      <c r="L2212" s="1">
        <f t="shared" si="136"/>
        <v>7.1999999999999993</v>
      </c>
      <c r="M2212" s="1" t="str">
        <f t="shared" si="137"/>
        <v/>
      </c>
      <c r="N2212" s="2">
        <f t="shared" si="138"/>
        <v>45809</v>
      </c>
      <c r="O2212" t="str">
        <f t="shared" si="139"/>
        <v>mačka</v>
      </c>
    </row>
    <row r="2213" spans="1:15" x14ac:dyDescent="0.25">
      <c r="A2213">
        <v>9722</v>
      </c>
      <c r="B2213" s="11">
        <v>4061011223346</v>
      </c>
      <c r="C2213" s="1" t="s">
        <v>25</v>
      </c>
      <c r="D2213" s="1" t="s">
        <v>26</v>
      </c>
      <c r="E2213" s="1" t="s">
        <v>27</v>
      </c>
      <c r="F2213">
        <v>19.600000000000001</v>
      </c>
      <c r="G2213">
        <v>1</v>
      </c>
      <c r="H2213" s="1" t="s">
        <v>14</v>
      </c>
      <c r="I2213" s="1" t="s">
        <v>15</v>
      </c>
      <c r="J2213" s="12">
        <v>45814</v>
      </c>
      <c r="K2213">
        <v>0</v>
      </c>
      <c r="L2213" s="1">
        <f t="shared" si="136"/>
        <v>19.600000000000001</v>
      </c>
      <c r="M2213" s="1" t="str">
        <f t="shared" si="137"/>
        <v/>
      </c>
      <c r="N2213" s="2">
        <f t="shared" si="138"/>
        <v>45809</v>
      </c>
      <c r="O2213" t="str">
        <f t="shared" si="139"/>
        <v>pes</v>
      </c>
    </row>
    <row r="2214" spans="1:15" hidden="1" x14ac:dyDescent="0.25">
      <c r="A2214">
        <v>9723</v>
      </c>
      <c r="B2214" s="11">
        <v>4026677889902</v>
      </c>
      <c r="C2214" s="1" t="s">
        <v>52</v>
      </c>
      <c r="D2214" s="1" t="s">
        <v>53</v>
      </c>
      <c r="E2214" s="1" t="s">
        <v>54</v>
      </c>
      <c r="F2214">
        <v>7.6</v>
      </c>
      <c r="G2214">
        <v>1</v>
      </c>
      <c r="H2214" s="1" t="s">
        <v>14</v>
      </c>
      <c r="I2214" s="1" t="s">
        <v>15</v>
      </c>
      <c r="J2214" s="12">
        <v>45814</v>
      </c>
      <c r="K2214">
        <v>0</v>
      </c>
      <c r="L2214" s="1">
        <f t="shared" si="136"/>
        <v>7.6</v>
      </c>
      <c r="M2214" s="1" t="str">
        <f t="shared" si="137"/>
        <v/>
      </c>
      <c r="N2214" s="2">
        <f t="shared" si="138"/>
        <v>45809</v>
      </c>
      <c r="O2214" t="str">
        <f t="shared" si="139"/>
        <v>iné</v>
      </c>
    </row>
    <row r="2215" spans="1:15" x14ac:dyDescent="0.25">
      <c r="A2215">
        <v>9724</v>
      </c>
      <c r="B2215" s="11">
        <v>4028899001126</v>
      </c>
      <c r="C2215" s="1" t="s">
        <v>16</v>
      </c>
      <c r="D2215" s="1" t="s">
        <v>12</v>
      </c>
      <c r="E2215" s="1" t="s">
        <v>17</v>
      </c>
      <c r="F2215">
        <v>2.8</v>
      </c>
      <c r="G2215">
        <v>3</v>
      </c>
      <c r="H2215" s="1" t="s">
        <v>14</v>
      </c>
      <c r="I2215" s="1" t="s">
        <v>15</v>
      </c>
      <c r="J2215" s="12">
        <v>45814</v>
      </c>
      <c r="K2215">
        <v>0</v>
      </c>
      <c r="L2215" s="1">
        <f t="shared" si="136"/>
        <v>8.3999999999999986</v>
      </c>
      <c r="M2215" s="1" t="str">
        <f t="shared" si="137"/>
        <v/>
      </c>
      <c r="N2215" s="2">
        <f t="shared" si="138"/>
        <v>45809</v>
      </c>
      <c r="O2215" t="str">
        <f t="shared" si="139"/>
        <v>pes</v>
      </c>
    </row>
    <row r="2216" spans="1:15" x14ac:dyDescent="0.25">
      <c r="A2216">
        <v>9725</v>
      </c>
      <c r="B2216" s="11">
        <v>4013456789017</v>
      </c>
      <c r="C2216" s="1" t="s">
        <v>11</v>
      </c>
      <c r="D2216" s="1" t="s">
        <v>12</v>
      </c>
      <c r="E2216" s="1" t="s">
        <v>13</v>
      </c>
      <c r="F2216">
        <v>6</v>
      </c>
      <c r="G2216">
        <v>1</v>
      </c>
      <c r="H2216" s="1" t="s">
        <v>14</v>
      </c>
      <c r="I2216" s="1" t="s">
        <v>15</v>
      </c>
      <c r="J2216" s="12">
        <v>45814</v>
      </c>
      <c r="K2216">
        <v>0</v>
      </c>
      <c r="L2216" s="1">
        <f t="shared" si="136"/>
        <v>6</v>
      </c>
      <c r="M2216" s="1" t="str">
        <f t="shared" si="137"/>
        <v/>
      </c>
      <c r="N2216" s="2">
        <f t="shared" si="138"/>
        <v>45809</v>
      </c>
      <c r="O2216" t="str">
        <f t="shared" si="139"/>
        <v>pes</v>
      </c>
    </row>
    <row r="2217" spans="1:15" x14ac:dyDescent="0.25">
      <c r="A2217">
        <v>9726</v>
      </c>
      <c r="B2217" s="11">
        <v>4040123456795</v>
      </c>
      <c r="C2217" s="1" t="s">
        <v>20</v>
      </c>
      <c r="D2217" s="1" t="s">
        <v>21</v>
      </c>
      <c r="E2217" s="1" t="s">
        <v>22</v>
      </c>
      <c r="F2217">
        <v>8.8000000000000007</v>
      </c>
      <c r="G2217">
        <v>1</v>
      </c>
      <c r="H2217" s="1" t="s">
        <v>14</v>
      </c>
      <c r="I2217" s="1" t="s">
        <v>15</v>
      </c>
      <c r="J2217" s="12">
        <v>45814</v>
      </c>
      <c r="K2217">
        <v>0</v>
      </c>
      <c r="L2217" s="1">
        <f t="shared" si="136"/>
        <v>8.8000000000000007</v>
      </c>
      <c r="M2217" s="1" t="str">
        <f t="shared" si="137"/>
        <v/>
      </c>
      <c r="N2217" s="2">
        <f t="shared" si="138"/>
        <v>45809</v>
      </c>
      <c r="O2217" t="str">
        <f t="shared" si="139"/>
        <v>pes</v>
      </c>
    </row>
    <row r="2218" spans="1:15" x14ac:dyDescent="0.25">
      <c r="A2218">
        <v>9727</v>
      </c>
      <c r="B2218" s="11">
        <v>4028899001126</v>
      </c>
      <c r="C2218" s="1" t="s">
        <v>16</v>
      </c>
      <c r="D2218" s="1" t="s">
        <v>12</v>
      </c>
      <c r="E2218" s="1" t="s">
        <v>17</v>
      </c>
      <c r="F2218">
        <v>2.8</v>
      </c>
      <c r="G2218">
        <v>4</v>
      </c>
      <c r="H2218" s="1" t="s">
        <v>14</v>
      </c>
      <c r="I2218" s="1" t="s">
        <v>15</v>
      </c>
      <c r="J2218" s="12">
        <v>45815</v>
      </c>
      <c r="K2218">
        <v>0</v>
      </c>
      <c r="L2218" s="1">
        <f t="shared" si="136"/>
        <v>11.2</v>
      </c>
      <c r="M2218" s="1" t="str">
        <f t="shared" si="137"/>
        <v/>
      </c>
      <c r="N2218" s="2">
        <f t="shared" si="138"/>
        <v>45809</v>
      </c>
      <c r="O2218" t="str">
        <f t="shared" si="139"/>
        <v>pes</v>
      </c>
    </row>
    <row r="2219" spans="1:15" x14ac:dyDescent="0.25">
      <c r="A2219">
        <v>9728</v>
      </c>
      <c r="B2219" s="11">
        <v>4013456789017</v>
      </c>
      <c r="C2219" s="1" t="s">
        <v>11</v>
      </c>
      <c r="D2219" s="1" t="s">
        <v>12</v>
      </c>
      <c r="E2219" s="1" t="s">
        <v>13</v>
      </c>
      <c r="F2219">
        <v>6</v>
      </c>
      <c r="G2219">
        <v>1</v>
      </c>
      <c r="H2219" s="1" t="s">
        <v>18</v>
      </c>
      <c r="I2219" s="1" t="s">
        <v>298</v>
      </c>
      <c r="J2219" s="12">
        <v>45815</v>
      </c>
      <c r="K2219">
        <v>0</v>
      </c>
      <c r="L2219" s="1">
        <f t="shared" si="136"/>
        <v>6</v>
      </c>
      <c r="M2219" s="1">
        <f t="shared" si="137"/>
        <v>4</v>
      </c>
      <c r="N2219" s="2">
        <f t="shared" si="138"/>
        <v>45809</v>
      </c>
      <c r="O2219" t="str">
        <f t="shared" si="139"/>
        <v>pes</v>
      </c>
    </row>
    <row r="2220" spans="1:15" x14ac:dyDescent="0.25">
      <c r="A2220">
        <v>9729</v>
      </c>
      <c r="B2220" s="11">
        <v>4040123456795</v>
      </c>
      <c r="C2220" s="1" t="s">
        <v>20</v>
      </c>
      <c r="D2220" s="1" t="s">
        <v>21</v>
      </c>
      <c r="E2220" s="1" t="s">
        <v>22</v>
      </c>
      <c r="F2220">
        <v>8.8000000000000007</v>
      </c>
      <c r="G2220">
        <v>1</v>
      </c>
      <c r="H2220" s="1" t="s">
        <v>14</v>
      </c>
      <c r="I2220" s="1" t="s">
        <v>15</v>
      </c>
      <c r="J2220" s="12">
        <v>45815</v>
      </c>
      <c r="K2220">
        <v>0</v>
      </c>
      <c r="L2220" s="1">
        <f t="shared" si="136"/>
        <v>8.8000000000000007</v>
      </c>
      <c r="M2220" s="1" t="str">
        <f t="shared" si="137"/>
        <v/>
      </c>
      <c r="N2220" s="2">
        <f t="shared" si="138"/>
        <v>45809</v>
      </c>
      <c r="O2220" t="str">
        <f t="shared" si="139"/>
        <v>pes</v>
      </c>
    </row>
    <row r="2221" spans="1:15" hidden="1" x14ac:dyDescent="0.25">
      <c r="A2221">
        <v>9730</v>
      </c>
      <c r="B2221" s="11">
        <v>4010123456783</v>
      </c>
      <c r="C2221" s="1" t="s">
        <v>35</v>
      </c>
      <c r="D2221" s="1" t="s">
        <v>36</v>
      </c>
      <c r="E2221" s="1" t="s">
        <v>37</v>
      </c>
      <c r="F2221">
        <v>14</v>
      </c>
      <c r="G2221">
        <v>1</v>
      </c>
      <c r="H2221" s="1" t="s">
        <v>14</v>
      </c>
      <c r="I2221" s="1" t="s">
        <v>15</v>
      </c>
      <c r="J2221" s="12">
        <v>45815</v>
      </c>
      <c r="K2221">
        <v>0</v>
      </c>
      <c r="L2221" s="1">
        <f t="shared" si="136"/>
        <v>14</v>
      </c>
      <c r="M2221" s="1" t="str">
        <f t="shared" si="137"/>
        <v/>
      </c>
      <c r="N2221" s="2">
        <f t="shared" si="138"/>
        <v>45809</v>
      </c>
      <c r="O2221" t="str">
        <f t="shared" si="139"/>
        <v>mačka</v>
      </c>
    </row>
    <row r="2222" spans="1:15" x14ac:dyDescent="0.25">
      <c r="A2222">
        <v>9731</v>
      </c>
      <c r="B2222" s="11">
        <v>4063456789014</v>
      </c>
      <c r="C2222" s="1" t="s">
        <v>60</v>
      </c>
      <c r="D2222" s="1" t="s">
        <v>12</v>
      </c>
      <c r="E2222" s="1" t="s">
        <v>61</v>
      </c>
      <c r="F2222">
        <v>36</v>
      </c>
      <c r="G2222">
        <v>1</v>
      </c>
      <c r="H2222" s="1" t="s">
        <v>23</v>
      </c>
      <c r="I2222" s="1" t="s">
        <v>299</v>
      </c>
      <c r="J2222" s="12">
        <v>45815</v>
      </c>
      <c r="K2222">
        <v>0</v>
      </c>
      <c r="L2222" s="1">
        <f t="shared" si="136"/>
        <v>36</v>
      </c>
      <c r="M2222" s="1">
        <f t="shared" si="137"/>
        <v>5</v>
      </c>
      <c r="N2222" s="2">
        <f t="shared" si="138"/>
        <v>45809</v>
      </c>
      <c r="O2222" t="str">
        <f t="shared" si="139"/>
        <v>pes</v>
      </c>
    </row>
    <row r="2223" spans="1:15" hidden="1" x14ac:dyDescent="0.25">
      <c r="A2223">
        <v>9732</v>
      </c>
      <c r="B2223" s="11">
        <v>4021234567894</v>
      </c>
      <c r="C2223" s="1" t="s">
        <v>79</v>
      </c>
      <c r="D2223" s="1" t="s">
        <v>36</v>
      </c>
      <c r="E2223" s="1" t="s">
        <v>69</v>
      </c>
      <c r="F2223">
        <v>8</v>
      </c>
      <c r="G2223">
        <v>1</v>
      </c>
      <c r="H2223" s="1" t="s">
        <v>14</v>
      </c>
      <c r="I2223" s="1" t="s">
        <v>15</v>
      </c>
      <c r="J2223" s="12">
        <v>45815</v>
      </c>
      <c r="K2223">
        <v>0</v>
      </c>
      <c r="L2223" s="1">
        <f t="shared" si="136"/>
        <v>8</v>
      </c>
      <c r="M2223" s="1" t="str">
        <f t="shared" si="137"/>
        <v/>
      </c>
      <c r="N2223" s="2">
        <f t="shared" si="138"/>
        <v>45809</v>
      </c>
      <c r="O2223" t="str">
        <f t="shared" si="139"/>
        <v>mačka</v>
      </c>
    </row>
    <row r="2224" spans="1:15" hidden="1" x14ac:dyDescent="0.25">
      <c r="A2224">
        <v>9733</v>
      </c>
      <c r="B2224" s="11">
        <v>4056789012345</v>
      </c>
      <c r="C2224" s="1" t="s">
        <v>47</v>
      </c>
      <c r="D2224" s="1" t="s">
        <v>29</v>
      </c>
      <c r="E2224" s="1" t="s">
        <v>37</v>
      </c>
      <c r="F2224">
        <v>2.4</v>
      </c>
      <c r="G2224">
        <v>2</v>
      </c>
      <c r="H2224" s="1" t="s">
        <v>14</v>
      </c>
      <c r="I2224" s="1" t="s">
        <v>15</v>
      </c>
      <c r="J2224" s="12">
        <v>45815</v>
      </c>
      <c r="K2224">
        <v>0</v>
      </c>
      <c r="L2224" s="1">
        <f t="shared" si="136"/>
        <v>4.8</v>
      </c>
      <c r="M2224" s="1" t="str">
        <f t="shared" si="137"/>
        <v/>
      </c>
      <c r="N2224" s="2">
        <f t="shared" si="138"/>
        <v>45809</v>
      </c>
      <c r="O2224" t="str">
        <f t="shared" si="139"/>
        <v>mačka</v>
      </c>
    </row>
    <row r="2225" spans="1:15" x14ac:dyDescent="0.25">
      <c r="A2225">
        <v>9734</v>
      </c>
      <c r="B2225" s="11">
        <v>4061011223346</v>
      </c>
      <c r="C2225" s="1" t="s">
        <v>25</v>
      </c>
      <c r="D2225" s="1" t="s">
        <v>26</v>
      </c>
      <c r="E2225" s="1" t="s">
        <v>27</v>
      </c>
      <c r="F2225">
        <v>19.600000000000001</v>
      </c>
      <c r="G2225">
        <v>1</v>
      </c>
      <c r="H2225" s="1" t="s">
        <v>23</v>
      </c>
      <c r="I2225" s="1" t="s">
        <v>300</v>
      </c>
      <c r="J2225" s="12">
        <v>45815</v>
      </c>
      <c r="K2225">
        <v>0</v>
      </c>
      <c r="L2225" s="1">
        <f t="shared" si="136"/>
        <v>19.600000000000001</v>
      </c>
      <c r="M2225" s="1">
        <f t="shared" si="137"/>
        <v>5</v>
      </c>
      <c r="N2225" s="2">
        <f t="shared" si="138"/>
        <v>45809</v>
      </c>
      <c r="O2225" t="str">
        <f t="shared" si="139"/>
        <v>pes</v>
      </c>
    </row>
    <row r="2226" spans="1:15" hidden="1" x14ac:dyDescent="0.25">
      <c r="A2226">
        <v>9735</v>
      </c>
      <c r="B2226" s="11">
        <v>4026677889902</v>
      </c>
      <c r="C2226" s="1" t="s">
        <v>52</v>
      </c>
      <c r="D2226" s="1" t="s">
        <v>53</v>
      </c>
      <c r="E2226" s="1" t="s">
        <v>54</v>
      </c>
      <c r="F2226">
        <v>7.6</v>
      </c>
      <c r="G2226">
        <v>1</v>
      </c>
      <c r="H2226" s="1" t="s">
        <v>14</v>
      </c>
      <c r="I2226" s="1" t="s">
        <v>15</v>
      </c>
      <c r="J2226" s="12">
        <v>45815</v>
      </c>
      <c r="K2226">
        <v>0</v>
      </c>
      <c r="L2226" s="1">
        <f t="shared" si="136"/>
        <v>7.6</v>
      </c>
      <c r="M2226" s="1" t="str">
        <f t="shared" si="137"/>
        <v/>
      </c>
      <c r="N2226" s="2">
        <f t="shared" si="138"/>
        <v>45809</v>
      </c>
      <c r="O2226" t="str">
        <f t="shared" si="139"/>
        <v>iné</v>
      </c>
    </row>
    <row r="2227" spans="1:15" x14ac:dyDescent="0.25">
      <c r="A2227">
        <v>9736</v>
      </c>
      <c r="B2227" s="11">
        <v>4028899001126</v>
      </c>
      <c r="C2227" s="1" t="s">
        <v>16</v>
      </c>
      <c r="D2227" s="1" t="s">
        <v>12</v>
      </c>
      <c r="E2227" s="1" t="s">
        <v>17</v>
      </c>
      <c r="F2227">
        <v>2.8</v>
      </c>
      <c r="G2227">
        <v>3</v>
      </c>
      <c r="H2227" s="1" t="s">
        <v>14</v>
      </c>
      <c r="I2227" s="1" t="s">
        <v>15</v>
      </c>
      <c r="J2227" s="12">
        <v>45815</v>
      </c>
      <c r="K2227">
        <v>0</v>
      </c>
      <c r="L2227" s="1">
        <f t="shared" si="136"/>
        <v>8.3999999999999986</v>
      </c>
      <c r="M2227" s="1" t="str">
        <f t="shared" si="137"/>
        <v/>
      </c>
      <c r="N2227" s="2">
        <f t="shared" si="138"/>
        <v>45809</v>
      </c>
      <c r="O2227" t="str">
        <f t="shared" si="139"/>
        <v>pes</v>
      </c>
    </row>
    <row r="2228" spans="1:15" x14ac:dyDescent="0.25">
      <c r="A2228">
        <v>9737</v>
      </c>
      <c r="B2228" s="11">
        <v>4013456789017</v>
      </c>
      <c r="C2228" s="1" t="s">
        <v>11</v>
      </c>
      <c r="D2228" s="1" t="s">
        <v>12</v>
      </c>
      <c r="E2228" s="1" t="s">
        <v>13</v>
      </c>
      <c r="F2228">
        <v>6</v>
      </c>
      <c r="G2228">
        <v>2</v>
      </c>
      <c r="H2228" s="1" t="s">
        <v>14</v>
      </c>
      <c r="I2228" s="1" t="s">
        <v>15</v>
      </c>
      <c r="J2228" s="12">
        <v>45815</v>
      </c>
      <c r="K2228">
        <v>0</v>
      </c>
      <c r="L2228" s="1">
        <f t="shared" si="136"/>
        <v>12</v>
      </c>
      <c r="M2228" s="1" t="str">
        <f t="shared" si="137"/>
        <v/>
      </c>
      <c r="N2228" s="2">
        <f t="shared" si="138"/>
        <v>45809</v>
      </c>
      <c r="O2228" t="str">
        <f t="shared" si="139"/>
        <v>pes</v>
      </c>
    </row>
    <row r="2229" spans="1:15" hidden="1" x14ac:dyDescent="0.25">
      <c r="A2229">
        <v>9738</v>
      </c>
      <c r="B2229" s="11">
        <v>4044567890123</v>
      </c>
      <c r="C2229" s="1" t="s">
        <v>266</v>
      </c>
      <c r="D2229" s="1" t="s">
        <v>267</v>
      </c>
      <c r="E2229" s="1" t="s">
        <v>37</v>
      </c>
      <c r="F2229">
        <v>6</v>
      </c>
      <c r="G2229">
        <v>1</v>
      </c>
      <c r="H2229" s="1" t="s">
        <v>18</v>
      </c>
      <c r="I2229" s="1" t="s">
        <v>301</v>
      </c>
      <c r="J2229" s="12">
        <v>45815</v>
      </c>
      <c r="K2229">
        <v>0</v>
      </c>
      <c r="L2229" s="1">
        <f t="shared" si="136"/>
        <v>6</v>
      </c>
      <c r="M2229" s="1">
        <f t="shared" si="137"/>
        <v>4</v>
      </c>
      <c r="N2229" s="2">
        <f t="shared" si="138"/>
        <v>45809</v>
      </c>
      <c r="O2229" t="str">
        <f t="shared" si="139"/>
        <v>mačka</v>
      </c>
    </row>
    <row r="2230" spans="1:15" hidden="1" x14ac:dyDescent="0.25">
      <c r="A2230">
        <v>9739</v>
      </c>
      <c r="B2230" s="11">
        <v>8006789012345</v>
      </c>
      <c r="C2230" s="1" t="s">
        <v>302</v>
      </c>
      <c r="D2230" s="1" t="s">
        <v>36</v>
      </c>
      <c r="E2230" s="1" t="s">
        <v>303</v>
      </c>
      <c r="F2230">
        <v>8</v>
      </c>
      <c r="G2230">
        <v>1</v>
      </c>
      <c r="H2230" s="1" t="s">
        <v>14</v>
      </c>
      <c r="I2230" s="1" t="s">
        <v>15</v>
      </c>
      <c r="J2230" s="12">
        <v>45815</v>
      </c>
      <c r="K2230">
        <v>0</v>
      </c>
      <c r="L2230" s="1">
        <f t="shared" si="136"/>
        <v>8</v>
      </c>
      <c r="M2230" s="1" t="str">
        <f t="shared" si="137"/>
        <v/>
      </c>
      <c r="N2230" s="2">
        <f t="shared" si="138"/>
        <v>45809</v>
      </c>
      <c r="O2230" t="str">
        <f t="shared" si="139"/>
        <v>mačka</v>
      </c>
    </row>
    <row r="2231" spans="1:15" x14ac:dyDescent="0.25">
      <c r="A2231">
        <v>9740</v>
      </c>
      <c r="B2231" s="11">
        <v>4046789012356</v>
      </c>
      <c r="C2231" s="1" t="s">
        <v>304</v>
      </c>
      <c r="D2231" s="1" t="s">
        <v>39</v>
      </c>
      <c r="E2231" s="1" t="s">
        <v>61</v>
      </c>
      <c r="F2231">
        <v>6.4</v>
      </c>
      <c r="G2231">
        <v>1</v>
      </c>
      <c r="H2231" s="1" t="s">
        <v>14</v>
      </c>
      <c r="I2231" s="1" t="s">
        <v>15</v>
      </c>
      <c r="J2231" s="12">
        <v>45815</v>
      </c>
      <c r="K2231">
        <v>0</v>
      </c>
      <c r="L2231" s="1">
        <f t="shared" si="136"/>
        <v>6.4</v>
      </c>
      <c r="M2231" s="1" t="str">
        <f t="shared" si="137"/>
        <v/>
      </c>
      <c r="N2231" s="2">
        <f t="shared" si="138"/>
        <v>45809</v>
      </c>
      <c r="O2231" t="str">
        <f t="shared" si="139"/>
        <v>pes</v>
      </c>
    </row>
    <row r="2232" spans="1:15" x14ac:dyDescent="0.25">
      <c r="A2232">
        <v>9741</v>
      </c>
      <c r="B2232" s="11">
        <v>4000123456786</v>
      </c>
      <c r="C2232" s="1" t="s">
        <v>305</v>
      </c>
      <c r="D2232" s="1" t="s">
        <v>21</v>
      </c>
      <c r="E2232" s="1" t="s">
        <v>27</v>
      </c>
      <c r="F2232">
        <v>6.8</v>
      </c>
      <c r="G2232">
        <v>1</v>
      </c>
      <c r="H2232" s="1" t="s">
        <v>14</v>
      </c>
      <c r="I2232" s="1" t="s">
        <v>15</v>
      </c>
      <c r="J2232" s="12">
        <v>45815</v>
      </c>
      <c r="K2232">
        <v>0</v>
      </c>
      <c r="L2232" s="1">
        <f t="shared" si="136"/>
        <v>6.8</v>
      </c>
      <c r="M2232" s="1" t="str">
        <f t="shared" si="137"/>
        <v/>
      </c>
      <c r="N2232" s="2">
        <f t="shared" si="138"/>
        <v>45809</v>
      </c>
      <c r="O2232" t="str">
        <f t="shared" si="139"/>
        <v>pes</v>
      </c>
    </row>
    <row r="2233" spans="1:15" x14ac:dyDescent="0.25">
      <c r="A2233">
        <v>9742</v>
      </c>
      <c r="B2233" s="11">
        <v>4028899001126</v>
      </c>
      <c r="C2233" s="1" t="s">
        <v>16</v>
      </c>
      <c r="D2233" s="1" t="s">
        <v>12</v>
      </c>
      <c r="E2233" s="1" t="s">
        <v>17</v>
      </c>
      <c r="F2233">
        <v>2.8</v>
      </c>
      <c r="G2233">
        <v>5</v>
      </c>
      <c r="H2233" s="1" t="s">
        <v>18</v>
      </c>
      <c r="I2233" s="1" t="s">
        <v>306</v>
      </c>
      <c r="J2233" s="12">
        <v>45816</v>
      </c>
      <c r="K2233">
        <v>0</v>
      </c>
      <c r="L2233" s="1">
        <f t="shared" si="136"/>
        <v>14</v>
      </c>
      <c r="M2233" s="1">
        <f t="shared" si="137"/>
        <v>4</v>
      </c>
      <c r="N2233" s="2">
        <f t="shared" si="138"/>
        <v>45809</v>
      </c>
      <c r="O2233" t="str">
        <f t="shared" si="139"/>
        <v>pes</v>
      </c>
    </row>
    <row r="2234" spans="1:15" hidden="1" x14ac:dyDescent="0.25">
      <c r="A2234">
        <v>9743</v>
      </c>
      <c r="B2234" s="11">
        <v>4010123456783</v>
      </c>
      <c r="C2234" s="1" t="s">
        <v>35</v>
      </c>
      <c r="D2234" s="1" t="s">
        <v>36</v>
      </c>
      <c r="E2234" s="1" t="s">
        <v>37</v>
      </c>
      <c r="F2234">
        <v>14</v>
      </c>
      <c r="G2234">
        <v>1</v>
      </c>
      <c r="H2234" s="1" t="s">
        <v>14</v>
      </c>
      <c r="I2234" s="1" t="s">
        <v>15</v>
      </c>
      <c r="J2234" s="12">
        <v>45816</v>
      </c>
      <c r="K2234">
        <v>0</v>
      </c>
      <c r="L2234" s="1">
        <f t="shared" si="136"/>
        <v>14</v>
      </c>
      <c r="M2234" s="1" t="str">
        <f t="shared" si="137"/>
        <v/>
      </c>
      <c r="N2234" s="2">
        <f t="shared" si="138"/>
        <v>45809</v>
      </c>
      <c r="O2234" t="str">
        <f t="shared" si="139"/>
        <v>mačka</v>
      </c>
    </row>
    <row r="2235" spans="1:15" x14ac:dyDescent="0.25">
      <c r="A2235">
        <v>9744</v>
      </c>
      <c r="B2235" s="11">
        <v>4063456789014</v>
      </c>
      <c r="C2235" s="1" t="s">
        <v>60</v>
      </c>
      <c r="D2235" s="1" t="s">
        <v>12</v>
      </c>
      <c r="E2235" s="1" t="s">
        <v>61</v>
      </c>
      <c r="F2235">
        <v>36</v>
      </c>
      <c r="G2235">
        <v>1</v>
      </c>
      <c r="H2235" s="1" t="s">
        <v>14</v>
      </c>
      <c r="I2235" s="1" t="s">
        <v>15</v>
      </c>
      <c r="J2235" s="12">
        <v>45816</v>
      </c>
      <c r="K2235">
        <v>0</v>
      </c>
      <c r="L2235" s="1">
        <f t="shared" si="136"/>
        <v>36</v>
      </c>
      <c r="M2235" s="1" t="str">
        <f t="shared" si="137"/>
        <v/>
      </c>
      <c r="N2235" s="2">
        <f t="shared" si="138"/>
        <v>45809</v>
      </c>
      <c r="O2235" t="str">
        <f t="shared" si="139"/>
        <v>pes</v>
      </c>
    </row>
    <row r="2236" spans="1:15" hidden="1" x14ac:dyDescent="0.25">
      <c r="A2236">
        <v>9745</v>
      </c>
      <c r="B2236" s="11">
        <v>4021234567894</v>
      </c>
      <c r="C2236" s="1" t="s">
        <v>79</v>
      </c>
      <c r="D2236" s="1" t="s">
        <v>36</v>
      </c>
      <c r="E2236" s="1" t="s">
        <v>69</v>
      </c>
      <c r="F2236">
        <v>8</v>
      </c>
      <c r="G2236">
        <v>1</v>
      </c>
      <c r="H2236" s="1" t="s">
        <v>14</v>
      </c>
      <c r="I2236" s="1" t="s">
        <v>15</v>
      </c>
      <c r="J2236" s="12">
        <v>45816</v>
      </c>
      <c r="K2236">
        <v>0</v>
      </c>
      <c r="L2236" s="1">
        <f t="shared" si="136"/>
        <v>8</v>
      </c>
      <c r="M2236" s="1" t="str">
        <f t="shared" si="137"/>
        <v/>
      </c>
      <c r="N2236" s="2">
        <f t="shared" si="138"/>
        <v>45809</v>
      </c>
      <c r="O2236" t="str">
        <f t="shared" si="139"/>
        <v>mačka</v>
      </c>
    </row>
    <row r="2237" spans="1:15" x14ac:dyDescent="0.25">
      <c r="A2237">
        <v>9746</v>
      </c>
      <c r="B2237" s="11">
        <v>4057890123467</v>
      </c>
      <c r="C2237" s="1" t="s">
        <v>307</v>
      </c>
      <c r="D2237" s="1" t="s">
        <v>39</v>
      </c>
      <c r="E2237" s="1" t="s">
        <v>308</v>
      </c>
      <c r="F2237">
        <v>9.6</v>
      </c>
      <c r="G2237">
        <v>1</v>
      </c>
      <c r="H2237" s="1" t="s">
        <v>33</v>
      </c>
      <c r="I2237" s="1" t="s">
        <v>309</v>
      </c>
      <c r="J2237" s="12">
        <v>45816</v>
      </c>
      <c r="K2237">
        <v>0</v>
      </c>
      <c r="L2237" s="1">
        <f t="shared" si="136"/>
        <v>9.6</v>
      </c>
      <c r="M2237" s="1">
        <f t="shared" si="137"/>
        <v>3</v>
      </c>
      <c r="N2237" s="2">
        <f t="shared" si="138"/>
        <v>45809</v>
      </c>
      <c r="O2237" t="str">
        <f t="shared" si="139"/>
        <v>pes</v>
      </c>
    </row>
    <row r="2238" spans="1:15" x14ac:dyDescent="0.25">
      <c r="A2238">
        <v>9747</v>
      </c>
      <c r="B2238" s="11">
        <v>4006789012349</v>
      </c>
      <c r="C2238" s="1" t="s">
        <v>38</v>
      </c>
      <c r="D2238" s="1" t="s">
        <v>39</v>
      </c>
      <c r="E2238" s="1" t="s">
        <v>13</v>
      </c>
      <c r="F2238">
        <v>12</v>
      </c>
      <c r="G2238">
        <v>1</v>
      </c>
      <c r="H2238" s="1" t="s">
        <v>14</v>
      </c>
      <c r="I2238" s="1" t="s">
        <v>15</v>
      </c>
      <c r="J2238" s="12">
        <v>45816</v>
      </c>
      <c r="K2238">
        <v>0</v>
      </c>
      <c r="L2238" s="1">
        <f t="shared" si="136"/>
        <v>12</v>
      </c>
      <c r="M2238" s="1" t="str">
        <f t="shared" si="137"/>
        <v/>
      </c>
      <c r="N2238" s="2">
        <f t="shared" si="138"/>
        <v>45809</v>
      </c>
      <c r="O2238" t="str">
        <f t="shared" si="139"/>
        <v>pes</v>
      </c>
    </row>
    <row r="2239" spans="1:15" hidden="1" x14ac:dyDescent="0.25">
      <c r="A2239">
        <v>9748</v>
      </c>
      <c r="B2239" s="11">
        <v>4041234567809</v>
      </c>
      <c r="C2239" s="1" t="s">
        <v>310</v>
      </c>
      <c r="D2239" s="1" t="s">
        <v>29</v>
      </c>
      <c r="E2239" s="1" t="s">
        <v>32</v>
      </c>
      <c r="F2239">
        <v>2</v>
      </c>
      <c r="G2239">
        <v>4</v>
      </c>
      <c r="H2239" s="1" t="s">
        <v>14</v>
      </c>
      <c r="I2239" s="1" t="s">
        <v>15</v>
      </c>
      <c r="J2239" s="12">
        <v>45816</v>
      </c>
      <c r="K2239">
        <v>0</v>
      </c>
      <c r="L2239" s="1">
        <f t="shared" si="136"/>
        <v>8</v>
      </c>
      <c r="M2239" s="1" t="str">
        <f t="shared" si="137"/>
        <v/>
      </c>
      <c r="N2239" s="2">
        <f t="shared" si="138"/>
        <v>45809</v>
      </c>
      <c r="O2239" t="str">
        <f t="shared" si="139"/>
        <v>mačka</v>
      </c>
    </row>
    <row r="2240" spans="1:15" hidden="1" x14ac:dyDescent="0.25">
      <c r="A2240">
        <v>9749</v>
      </c>
      <c r="B2240" s="11">
        <v>8593456789012</v>
      </c>
      <c r="C2240" s="1" t="s">
        <v>28</v>
      </c>
      <c r="D2240" s="1" t="s">
        <v>29</v>
      </c>
      <c r="E2240" s="1" t="s">
        <v>30</v>
      </c>
      <c r="F2240">
        <v>42</v>
      </c>
      <c r="G2240">
        <v>1</v>
      </c>
      <c r="H2240" s="1" t="s">
        <v>23</v>
      </c>
      <c r="I2240" s="1" t="s">
        <v>311</v>
      </c>
      <c r="J2240" s="12">
        <v>45816</v>
      </c>
      <c r="K2240">
        <v>0</v>
      </c>
      <c r="L2240" s="1">
        <f t="shared" si="136"/>
        <v>42</v>
      </c>
      <c r="M2240" s="1">
        <f t="shared" si="137"/>
        <v>5</v>
      </c>
      <c r="N2240" s="2">
        <f t="shared" si="138"/>
        <v>45809</v>
      </c>
      <c r="O2240" t="str">
        <f t="shared" si="139"/>
        <v>mačka</v>
      </c>
    </row>
    <row r="2241" spans="1:15" hidden="1" x14ac:dyDescent="0.25">
      <c r="A2241">
        <v>9750</v>
      </c>
      <c r="B2241" s="11">
        <v>4029012345678</v>
      </c>
      <c r="C2241" s="1" t="s">
        <v>312</v>
      </c>
      <c r="D2241" s="1" t="s">
        <v>144</v>
      </c>
      <c r="E2241" s="1" t="s">
        <v>69</v>
      </c>
      <c r="F2241">
        <v>12</v>
      </c>
      <c r="G2241">
        <v>1</v>
      </c>
      <c r="H2241" s="1" t="s">
        <v>14</v>
      </c>
      <c r="I2241" s="1" t="s">
        <v>15</v>
      </c>
      <c r="J2241" s="12">
        <v>45816</v>
      </c>
      <c r="K2241">
        <v>0</v>
      </c>
      <c r="L2241" s="1">
        <f t="shared" si="136"/>
        <v>12</v>
      </c>
      <c r="M2241" s="1" t="str">
        <f t="shared" si="137"/>
        <v/>
      </c>
      <c r="N2241" s="2">
        <f t="shared" si="138"/>
        <v>45809</v>
      </c>
      <c r="O2241" t="str">
        <f t="shared" si="139"/>
        <v>mačka</v>
      </c>
    </row>
    <row r="2242" spans="1:15" x14ac:dyDescent="0.25">
      <c r="A2242">
        <v>9751</v>
      </c>
      <c r="B2242" s="11">
        <v>4028899001126</v>
      </c>
      <c r="C2242" s="1" t="s">
        <v>16</v>
      </c>
      <c r="D2242" s="1" t="s">
        <v>12</v>
      </c>
      <c r="E2242" s="1" t="s">
        <v>17</v>
      </c>
      <c r="F2242">
        <v>2.8</v>
      </c>
      <c r="G2242">
        <v>2</v>
      </c>
      <c r="H2242" s="1" t="s">
        <v>14</v>
      </c>
      <c r="I2242" s="1" t="s">
        <v>15</v>
      </c>
      <c r="J2242" s="12">
        <v>45816</v>
      </c>
      <c r="K2242">
        <v>0</v>
      </c>
      <c r="L2242" s="1">
        <f t="shared" ref="L2242:L2305" si="140">F2242*G2242</f>
        <v>5.6</v>
      </c>
      <c r="M2242" s="1" t="str">
        <f t="shared" ref="M2242:M2305" si="141">IF(H2242="NULL", "",VALUE(H2242))</f>
        <v/>
      </c>
      <c r="N2242" s="2">
        <f t="shared" ref="N2242:N2305" si="142">DATE(YEAR(J2242),MONTH(J2242),1)</f>
        <v>45809</v>
      </c>
      <c r="O2242" t="str">
        <f t="shared" ref="O2242:O2305" si="143">IF(ISNUMBER(SEARCH("Mačky",D2242)),"mačka",IF(ISNUMBER(SEARCH("Psy",D2242)),"pes","iné"))</f>
        <v>pes</v>
      </c>
    </row>
    <row r="2243" spans="1:15" x14ac:dyDescent="0.25">
      <c r="A2243">
        <v>9752</v>
      </c>
      <c r="B2243" s="11">
        <v>4013456789017</v>
      </c>
      <c r="C2243" s="1" t="s">
        <v>11</v>
      </c>
      <c r="D2243" s="1" t="s">
        <v>12</v>
      </c>
      <c r="E2243" s="1" t="s">
        <v>13</v>
      </c>
      <c r="F2243">
        <v>6</v>
      </c>
      <c r="G2243">
        <v>1</v>
      </c>
      <c r="H2243" s="1" t="s">
        <v>14</v>
      </c>
      <c r="I2243" s="1" t="s">
        <v>15</v>
      </c>
      <c r="J2243" s="12">
        <v>45816</v>
      </c>
      <c r="K2243">
        <v>0</v>
      </c>
      <c r="L2243" s="1">
        <f t="shared" si="140"/>
        <v>6</v>
      </c>
      <c r="M2243" s="1" t="str">
        <f t="shared" si="141"/>
        <v/>
      </c>
      <c r="N2243" s="2">
        <f t="shared" si="142"/>
        <v>45809</v>
      </c>
      <c r="O2243" t="str">
        <f t="shared" si="143"/>
        <v>pes</v>
      </c>
    </row>
    <row r="2244" spans="1:15" x14ac:dyDescent="0.25">
      <c r="A2244">
        <v>9753</v>
      </c>
      <c r="B2244" s="11">
        <v>4040123456795</v>
      </c>
      <c r="C2244" s="1" t="s">
        <v>20</v>
      </c>
      <c r="D2244" s="1" t="s">
        <v>21</v>
      </c>
      <c r="E2244" s="1" t="s">
        <v>22</v>
      </c>
      <c r="F2244">
        <v>8.8000000000000007</v>
      </c>
      <c r="G2244">
        <v>1</v>
      </c>
      <c r="H2244" s="1" t="s">
        <v>14</v>
      </c>
      <c r="I2244" s="1" t="s">
        <v>15</v>
      </c>
      <c r="J2244" s="12">
        <v>45816</v>
      </c>
      <c r="K2244">
        <v>0</v>
      </c>
      <c r="L2244" s="1">
        <f t="shared" si="140"/>
        <v>8.8000000000000007</v>
      </c>
      <c r="M2244" s="1" t="str">
        <f t="shared" si="141"/>
        <v/>
      </c>
      <c r="N2244" s="2">
        <f t="shared" si="142"/>
        <v>45809</v>
      </c>
      <c r="O2244" t="str">
        <f t="shared" si="143"/>
        <v>pes</v>
      </c>
    </row>
    <row r="2245" spans="1:15" hidden="1" x14ac:dyDescent="0.25">
      <c r="A2245">
        <v>9754</v>
      </c>
      <c r="B2245" s="11">
        <v>4010123456783</v>
      </c>
      <c r="C2245" s="1" t="s">
        <v>35</v>
      </c>
      <c r="D2245" s="1" t="s">
        <v>36</v>
      </c>
      <c r="E2245" s="1" t="s">
        <v>37</v>
      </c>
      <c r="F2245">
        <v>14</v>
      </c>
      <c r="G2245">
        <v>1</v>
      </c>
      <c r="H2245" s="1" t="s">
        <v>18</v>
      </c>
      <c r="I2245" s="1" t="s">
        <v>313</v>
      </c>
      <c r="J2245" s="12">
        <v>45817</v>
      </c>
      <c r="K2245">
        <v>0</v>
      </c>
      <c r="L2245" s="1">
        <f t="shared" si="140"/>
        <v>14</v>
      </c>
      <c r="M2245" s="1">
        <f t="shared" si="141"/>
        <v>4</v>
      </c>
      <c r="N2245" s="2">
        <f t="shared" si="142"/>
        <v>45809</v>
      </c>
      <c r="O2245" t="str">
        <f t="shared" si="143"/>
        <v>mačka</v>
      </c>
    </row>
    <row r="2246" spans="1:15" x14ac:dyDescent="0.25">
      <c r="A2246">
        <v>9755</v>
      </c>
      <c r="B2246" s="11">
        <v>4063456789014</v>
      </c>
      <c r="C2246" s="1" t="s">
        <v>60</v>
      </c>
      <c r="D2246" s="1" t="s">
        <v>12</v>
      </c>
      <c r="E2246" s="1" t="s">
        <v>61</v>
      </c>
      <c r="F2246">
        <v>36</v>
      </c>
      <c r="G2246">
        <v>1</v>
      </c>
      <c r="H2246" s="1" t="s">
        <v>14</v>
      </c>
      <c r="I2246" s="1" t="s">
        <v>15</v>
      </c>
      <c r="J2246" s="12">
        <v>45817</v>
      </c>
      <c r="K2246">
        <v>0</v>
      </c>
      <c r="L2246" s="1">
        <f t="shared" si="140"/>
        <v>36</v>
      </c>
      <c r="M2246" s="1" t="str">
        <f t="shared" si="141"/>
        <v/>
      </c>
      <c r="N2246" s="2">
        <f t="shared" si="142"/>
        <v>45809</v>
      </c>
      <c r="O2246" t="str">
        <f t="shared" si="143"/>
        <v>pes</v>
      </c>
    </row>
    <row r="2247" spans="1:15" hidden="1" x14ac:dyDescent="0.25">
      <c r="A2247">
        <v>9756</v>
      </c>
      <c r="B2247" s="11">
        <v>4021234567894</v>
      </c>
      <c r="C2247" s="1" t="s">
        <v>79</v>
      </c>
      <c r="D2247" s="1" t="s">
        <v>36</v>
      </c>
      <c r="E2247" s="1" t="s">
        <v>69</v>
      </c>
      <c r="F2247">
        <v>8</v>
      </c>
      <c r="G2247">
        <v>1</v>
      </c>
      <c r="H2247" s="1" t="s">
        <v>14</v>
      </c>
      <c r="I2247" s="1" t="s">
        <v>15</v>
      </c>
      <c r="J2247" s="12">
        <v>45817</v>
      </c>
      <c r="K2247">
        <v>0</v>
      </c>
      <c r="L2247" s="1">
        <f t="shared" si="140"/>
        <v>8</v>
      </c>
      <c r="M2247" s="1" t="str">
        <f t="shared" si="141"/>
        <v/>
      </c>
      <c r="N2247" s="2">
        <f t="shared" si="142"/>
        <v>45809</v>
      </c>
      <c r="O2247" t="str">
        <f t="shared" si="143"/>
        <v>mačka</v>
      </c>
    </row>
    <row r="2248" spans="1:15" hidden="1" x14ac:dyDescent="0.25">
      <c r="A2248">
        <v>9757</v>
      </c>
      <c r="B2248" s="11">
        <v>4056789012345</v>
      </c>
      <c r="C2248" s="1" t="s">
        <v>47</v>
      </c>
      <c r="D2248" s="1" t="s">
        <v>29</v>
      </c>
      <c r="E2248" s="1" t="s">
        <v>37</v>
      </c>
      <c r="F2248">
        <v>2.4</v>
      </c>
      <c r="G2248">
        <v>3</v>
      </c>
      <c r="H2248" s="1" t="s">
        <v>14</v>
      </c>
      <c r="I2248" s="1" t="s">
        <v>15</v>
      </c>
      <c r="J2248" s="12">
        <v>45817</v>
      </c>
      <c r="K2248">
        <v>0</v>
      </c>
      <c r="L2248" s="1">
        <f t="shared" si="140"/>
        <v>7.1999999999999993</v>
      </c>
      <c r="M2248" s="1" t="str">
        <f t="shared" si="141"/>
        <v/>
      </c>
      <c r="N2248" s="2">
        <f t="shared" si="142"/>
        <v>45809</v>
      </c>
      <c r="O2248" t="str">
        <f t="shared" si="143"/>
        <v>mačka</v>
      </c>
    </row>
    <row r="2249" spans="1:15" x14ac:dyDescent="0.25">
      <c r="A2249">
        <v>9758</v>
      </c>
      <c r="B2249" s="11">
        <v>4061011223346</v>
      </c>
      <c r="C2249" s="1" t="s">
        <v>25</v>
      </c>
      <c r="D2249" s="1" t="s">
        <v>26</v>
      </c>
      <c r="E2249" s="1" t="s">
        <v>27</v>
      </c>
      <c r="F2249">
        <v>19.600000000000001</v>
      </c>
      <c r="G2249">
        <v>1</v>
      </c>
      <c r="H2249" s="1" t="s">
        <v>14</v>
      </c>
      <c r="I2249" s="1" t="s">
        <v>15</v>
      </c>
      <c r="J2249" s="12">
        <v>45817</v>
      </c>
      <c r="K2249">
        <v>0</v>
      </c>
      <c r="L2249" s="1">
        <f t="shared" si="140"/>
        <v>19.600000000000001</v>
      </c>
      <c r="M2249" s="1" t="str">
        <f t="shared" si="141"/>
        <v/>
      </c>
      <c r="N2249" s="2">
        <f t="shared" si="142"/>
        <v>45809</v>
      </c>
      <c r="O2249" t="str">
        <f t="shared" si="143"/>
        <v>pes</v>
      </c>
    </row>
    <row r="2250" spans="1:15" hidden="1" x14ac:dyDescent="0.25">
      <c r="A2250">
        <v>9759</v>
      </c>
      <c r="B2250" s="11">
        <v>4026677889902</v>
      </c>
      <c r="C2250" s="1" t="s">
        <v>52</v>
      </c>
      <c r="D2250" s="1" t="s">
        <v>53</v>
      </c>
      <c r="E2250" s="1" t="s">
        <v>54</v>
      </c>
      <c r="F2250">
        <v>7.6</v>
      </c>
      <c r="G2250">
        <v>1</v>
      </c>
      <c r="H2250" s="1" t="s">
        <v>14</v>
      </c>
      <c r="I2250" s="1" t="s">
        <v>15</v>
      </c>
      <c r="J2250" s="12">
        <v>45817</v>
      </c>
      <c r="K2250">
        <v>0</v>
      </c>
      <c r="L2250" s="1">
        <f t="shared" si="140"/>
        <v>7.6</v>
      </c>
      <c r="M2250" s="1" t="str">
        <f t="shared" si="141"/>
        <v/>
      </c>
      <c r="N2250" s="2">
        <f t="shared" si="142"/>
        <v>45809</v>
      </c>
      <c r="O2250" t="str">
        <f t="shared" si="143"/>
        <v>iné</v>
      </c>
    </row>
    <row r="2251" spans="1:15" hidden="1" x14ac:dyDescent="0.25">
      <c r="A2251">
        <v>9760</v>
      </c>
      <c r="B2251" s="11">
        <v>8591234567812</v>
      </c>
      <c r="C2251" s="1" t="s">
        <v>314</v>
      </c>
      <c r="D2251" s="1" t="s">
        <v>29</v>
      </c>
      <c r="E2251" s="1" t="s">
        <v>30</v>
      </c>
      <c r="F2251">
        <v>33.200000000000003</v>
      </c>
      <c r="G2251">
        <v>1</v>
      </c>
      <c r="H2251" s="1" t="s">
        <v>18</v>
      </c>
      <c r="I2251" s="1" t="s">
        <v>315</v>
      </c>
      <c r="J2251" s="12">
        <v>45817</v>
      </c>
      <c r="K2251">
        <v>0</v>
      </c>
      <c r="L2251" s="1">
        <f t="shared" si="140"/>
        <v>33.200000000000003</v>
      </c>
      <c r="M2251" s="1">
        <f t="shared" si="141"/>
        <v>4</v>
      </c>
      <c r="N2251" s="2">
        <f t="shared" si="142"/>
        <v>45809</v>
      </c>
      <c r="O2251" t="str">
        <f t="shared" si="143"/>
        <v>mačka</v>
      </c>
    </row>
    <row r="2252" spans="1:15" x14ac:dyDescent="0.25">
      <c r="A2252">
        <v>9761</v>
      </c>
      <c r="B2252" s="11">
        <v>4028899001126</v>
      </c>
      <c r="C2252" s="1" t="s">
        <v>16</v>
      </c>
      <c r="D2252" s="1" t="s">
        <v>12</v>
      </c>
      <c r="E2252" s="1" t="s">
        <v>17</v>
      </c>
      <c r="F2252">
        <v>2.8</v>
      </c>
      <c r="G2252">
        <v>5</v>
      </c>
      <c r="H2252" s="1" t="s">
        <v>14</v>
      </c>
      <c r="I2252" s="1" t="s">
        <v>15</v>
      </c>
      <c r="J2252" s="12">
        <v>45817</v>
      </c>
      <c r="K2252">
        <v>0</v>
      </c>
      <c r="L2252" s="1">
        <f t="shared" si="140"/>
        <v>14</v>
      </c>
      <c r="M2252" s="1" t="str">
        <f t="shared" si="141"/>
        <v/>
      </c>
      <c r="N2252" s="2">
        <f t="shared" si="142"/>
        <v>45809</v>
      </c>
      <c r="O2252" t="str">
        <f t="shared" si="143"/>
        <v>pes</v>
      </c>
    </row>
    <row r="2253" spans="1:15" x14ac:dyDescent="0.25">
      <c r="A2253">
        <v>9762</v>
      </c>
      <c r="B2253" s="11">
        <v>4013456789017</v>
      </c>
      <c r="C2253" s="1" t="s">
        <v>11</v>
      </c>
      <c r="D2253" s="1" t="s">
        <v>12</v>
      </c>
      <c r="E2253" s="1" t="s">
        <v>13</v>
      </c>
      <c r="F2253">
        <v>6</v>
      </c>
      <c r="G2253">
        <v>1</v>
      </c>
      <c r="H2253" s="1" t="s">
        <v>14</v>
      </c>
      <c r="I2253" s="1" t="s">
        <v>15</v>
      </c>
      <c r="J2253" s="12">
        <v>45817</v>
      </c>
      <c r="K2253">
        <v>0</v>
      </c>
      <c r="L2253" s="1">
        <f t="shared" si="140"/>
        <v>6</v>
      </c>
      <c r="M2253" s="1" t="str">
        <f t="shared" si="141"/>
        <v/>
      </c>
      <c r="N2253" s="2">
        <f t="shared" si="142"/>
        <v>45809</v>
      </c>
      <c r="O2253" t="str">
        <f t="shared" si="143"/>
        <v>pes</v>
      </c>
    </row>
    <row r="2254" spans="1:15" hidden="1" x14ac:dyDescent="0.25">
      <c r="A2254">
        <v>9763</v>
      </c>
      <c r="B2254" s="11">
        <v>4043344556676</v>
      </c>
      <c r="C2254" s="1" t="s">
        <v>316</v>
      </c>
      <c r="D2254" s="1" t="s">
        <v>317</v>
      </c>
      <c r="E2254" s="1" t="s">
        <v>58</v>
      </c>
      <c r="F2254">
        <v>10</v>
      </c>
      <c r="G2254">
        <v>1</v>
      </c>
      <c r="H2254" s="1" t="s">
        <v>14</v>
      </c>
      <c r="I2254" s="1" t="s">
        <v>15</v>
      </c>
      <c r="J2254" s="12">
        <v>45817</v>
      </c>
      <c r="K2254">
        <v>0</v>
      </c>
      <c r="L2254" s="1">
        <f t="shared" si="140"/>
        <v>10</v>
      </c>
      <c r="M2254" s="1" t="str">
        <f t="shared" si="141"/>
        <v/>
      </c>
      <c r="N2254" s="2">
        <f t="shared" si="142"/>
        <v>45809</v>
      </c>
      <c r="O2254" t="str">
        <f t="shared" si="143"/>
        <v>mačka</v>
      </c>
    </row>
    <row r="2255" spans="1:15" hidden="1" x14ac:dyDescent="0.25">
      <c r="A2255">
        <v>9764</v>
      </c>
      <c r="B2255" s="11">
        <v>8596677889011</v>
      </c>
      <c r="C2255" s="1" t="s">
        <v>318</v>
      </c>
      <c r="D2255" s="1" t="s">
        <v>29</v>
      </c>
      <c r="E2255" s="1" t="s">
        <v>30</v>
      </c>
      <c r="F2255">
        <v>35.200000000000003</v>
      </c>
      <c r="G2255">
        <v>1</v>
      </c>
      <c r="H2255" s="1" t="s">
        <v>14</v>
      </c>
      <c r="I2255" s="1" t="s">
        <v>15</v>
      </c>
      <c r="J2255" s="12">
        <v>45817</v>
      </c>
      <c r="K2255">
        <v>0</v>
      </c>
      <c r="L2255" s="1">
        <f t="shared" si="140"/>
        <v>35.200000000000003</v>
      </c>
      <c r="M2255" s="1" t="str">
        <f t="shared" si="141"/>
        <v/>
      </c>
      <c r="N2255" s="2">
        <f t="shared" si="142"/>
        <v>45809</v>
      </c>
      <c r="O2255" t="str">
        <f t="shared" si="143"/>
        <v>mačka</v>
      </c>
    </row>
    <row r="2256" spans="1:15" hidden="1" x14ac:dyDescent="0.25">
      <c r="A2256">
        <v>9765</v>
      </c>
      <c r="B2256" s="11">
        <v>4002233445566</v>
      </c>
      <c r="C2256" s="1" t="s">
        <v>268</v>
      </c>
      <c r="D2256" s="1" t="s">
        <v>140</v>
      </c>
      <c r="E2256" s="1" t="s">
        <v>30</v>
      </c>
      <c r="F2256">
        <v>20</v>
      </c>
      <c r="G2256">
        <v>1</v>
      </c>
      <c r="H2256" s="1" t="s">
        <v>33</v>
      </c>
      <c r="I2256" s="1" t="s">
        <v>319</v>
      </c>
      <c r="J2256" s="12">
        <v>45817</v>
      </c>
      <c r="K2256">
        <v>0</v>
      </c>
      <c r="L2256" s="1">
        <f t="shared" si="140"/>
        <v>20</v>
      </c>
      <c r="M2256" s="1">
        <f t="shared" si="141"/>
        <v>3</v>
      </c>
      <c r="N2256" s="2">
        <f t="shared" si="142"/>
        <v>45809</v>
      </c>
      <c r="O2256" t="str">
        <f t="shared" si="143"/>
        <v>mačka</v>
      </c>
    </row>
    <row r="2257" spans="1:15" hidden="1" x14ac:dyDescent="0.25">
      <c r="A2257">
        <v>9766</v>
      </c>
      <c r="B2257" s="11">
        <v>4025566778891</v>
      </c>
      <c r="C2257" s="1" t="s">
        <v>320</v>
      </c>
      <c r="D2257" s="1" t="s">
        <v>317</v>
      </c>
      <c r="E2257" s="1" t="s">
        <v>30</v>
      </c>
      <c r="F2257">
        <v>51.64</v>
      </c>
      <c r="G2257">
        <v>1</v>
      </c>
      <c r="H2257" s="1" t="s">
        <v>23</v>
      </c>
      <c r="I2257" s="1" t="s">
        <v>321</v>
      </c>
      <c r="J2257" s="12">
        <v>45817</v>
      </c>
      <c r="K2257">
        <v>0</v>
      </c>
      <c r="L2257" s="1">
        <f t="shared" si="140"/>
        <v>51.64</v>
      </c>
      <c r="M2257" s="1">
        <f t="shared" si="141"/>
        <v>5</v>
      </c>
      <c r="N2257" s="2">
        <f t="shared" si="142"/>
        <v>45809</v>
      </c>
      <c r="O2257" t="str">
        <f t="shared" si="143"/>
        <v>mačka</v>
      </c>
    </row>
    <row r="2258" spans="1:15" x14ac:dyDescent="0.25">
      <c r="A2258">
        <v>9767</v>
      </c>
      <c r="B2258" s="11">
        <v>4028899001126</v>
      </c>
      <c r="C2258" s="1" t="s">
        <v>16</v>
      </c>
      <c r="D2258" s="1" t="s">
        <v>12</v>
      </c>
      <c r="E2258" s="1" t="s">
        <v>17</v>
      </c>
      <c r="F2258">
        <v>2.8</v>
      </c>
      <c r="G2258">
        <v>3</v>
      </c>
      <c r="H2258" s="1" t="s">
        <v>14</v>
      </c>
      <c r="I2258" s="1" t="s">
        <v>15</v>
      </c>
      <c r="J2258" s="12">
        <v>45818</v>
      </c>
      <c r="K2258">
        <v>0</v>
      </c>
      <c r="L2258" s="1">
        <f t="shared" si="140"/>
        <v>8.3999999999999986</v>
      </c>
      <c r="M2258" s="1" t="str">
        <f t="shared" si="141"/>
        <v/>
      </c>
      <c r="N2258" s="2">
        <f t="shared" si="142"/>
        <v>45809</v>
      </c>
      <c r="O2258" t="str">
        <f t="shared" si="143"/>
        <v>pes</v>
      </c>
    </row>
    <row r="2259" spans="1:15" x14ac:dyDescent="0.25">
      <c r="A2259">
        <v>9768</v>
      </c>
      <c r="B2259" s="11">
        <v>4013456789017</v>
      </c>
      <c r="C2259" s="1" t="s">
        <v>11</v>
      </c>
      <c r="D2259" s="1" t="s">
        <v>12</v>
      </c>
      <c r="E2259" s="1" t="s">
        <v>13</v>
      </c>
      <c r="F2259">
        <v>6</v>
      </c>
      <c r="G2259">
        <v>2</v>
      </c>
      <c r="H2259" s="1" t="s">
        <v>14</v>
      </c>
      <c r="I2259" s="1" t="s">
        <v>15</v>
      </c>
      <c r="J2259" s="12">
        <v>45818</v>
      </c>
      <c r="K2259">
        <v>0</v>
      </c>
      <c r="L2259" s="1">
        <f t="shared" si="140"/>
        <v>12</v>
      </c>
      <c r="M2259" s="1" t="str">
        <f t="shared" si="141"/>
        <v/>
      </c>
      <c r="N2259" s="2">
        <f t="shared" si="142"/>
        <v>45809</v>
      </c>
      <c r="O2259" t="str">
        <f t="shared" si="143"/>
        <v>pes</v>
      </c>
    </row>
    <row r="2260" spans="1:15" x14ac:dyDescent="0.25">
      <c r="A2260">
        <v>9769</v>
      </c>
      <c r="B2260" s="11">
        <v>4040123456795</v>
      </c>
      <c r="C2260" s="1" t="s">
        <v>20</v>
      </c>
      <c r="D2260" s="1" t="s">
        <v>21</v>
      </c>
      <c r="E2260" s="1" t="s">
        <v>22</v>
      </c>
      <c r="F2260">
        <v>8.8000000000000007</v>
      </c>
      <c r="G2260">
        <v>1</v>
      </c>
      <c r="H2260" s="1" t="s">
        <v>18</v>
      </c>
      <c r="I2260" s="1" t="s">
        <v>322</v>
      </c>
      <c r="J2260" s="12">
        <v>45818</v>
      </c>
      <c r="K2260">
        <v>0</v>
      </c>
      <c r="L2260" s="1">
        <f t="shared" si="140"/>
        <v>8.8000000000000007</v>
      </c>
      <c r="M2260" s="1">
        <f t="shared" si="141"/>
        <v>4</v>
      </c>
      <c r="N2260" s="2">
        <f t="shared" si="142"/>
        <v>45809</v>
      </c>
      <c r="O2260" t="str">
        <f t="shared" si="143"/>
        <v>pes</v>
      </c>
    </row>
    <row r="2261" spans="1:15" hidden="1" x14ac:dyDescent="0.25">
      <c r="A2261">
        <v>9770</v>
      </c>
      <c r="B2261" s="11">
        <v>4010123456783</v>
      </c>
      <c r="C2261" s="1" t="s">
        <v>35</v>
      </c>
      <c r="D2261" s="1" t="s">
        <v>36</v>
      </c>
      <c r="E2261" s="1" t="s">
        <v>37</v>
      </c>
      <c r="F2261">
        <v>14</v>
      </c>
      <c r="G2261">
        <v>1</v>
      </c>
      <c r="H2261" s="1" t="s">
        <v>14</v>
      </c>
      <c r="I2261" s="1" t="s">
        <v>15</v>
      </c>
      <c r="J2261" s="12">
        <v>45818</v>
      </c>
      <c r="K2261">
        <v>0</v>
      </c>
      <c r="L2261" s="1">
        <f t="shared" si="140"/>
        <v>14</v>
      </c>
      <c r="M2261" s="1" t="str">
        <f t="shared" si="141"/>
        <v/>
      </c>
      <c r="N2261" s="2">
        <f t="shared" si="142"/>
        <v>45809</v>
      </c>
      <c r="O2261" t="str">
        <f t="shared" si="143"/>
        <v>mačka</v>
      </c>
    </row>
    <row r="2262" spans="1:15" x14ac:dyDescent="0.25">
      <c r="A2262">
        <v>9771</v>
      </c>
      <c r="B2262" s="11">
        <v>4063456789014</v>
      </c>
      <c r="C2262" s="1" t="s">
        <v>60</v>
      </c>
      <c r="D2262" s="1" t="s">
        <v>12</v>
      </c>
      <c r="E2262" s="1" t="s">
        <v>61</v>
      </c>
      <c r="F2262">
        <v>36</v>
      </c>
      <c r="G2262">
        <v>1</v>
      </c>
      <c r="H2262" s="1" t="s">
        <v>14</v>
      </c>
      <c r="I2262" s="1" t="s">
        <v>15</v>
      </c>
      <c r="J2262" s="12">
        <v>45818</v>
      </c>
      <c r="K2262">
        <v>0</v>
      </c>
      <c r="L2262" s="1">
        <f t="shared" si="140"/>
        <v>36</v>
      </c>
      <c r="M2262" s="1" t="str">
        <f t="shared" si="141"/>
        <v/>
      </c>
      <c r="N2262" s="2">
        <f t="shared" si="142"/>
        <v>45809</v>
      </c>
      <c r="O2262" t="str">
        <f t="shared" si="143"/>
        <v>pes</v>
      </c>
    </row>
    <row r="2263" spans="1:15" hidden="1" x14ac:dyDescent="0.25">
      <c r="A2263">
        <v>9772</v>
      </c>
      <c r="B2263" s="11">
        <v>4021234567894</v>
      </c>
      <c r="C2263" s="1" t="s">
        <v>79</v>
      </c>
      <c r="D2263" s="1" t="s">
        <v>36</v>
      </c>
      <c r="E2263" s="1" t="s">
        <v>69</v>
      </c>
      <c r="F2263">
        <v>8</v>
      </c>
      <c r="G2263">
        <v>1</v>
      </c>
      <c r="H2263" s="1" t="s">
        <v>14</v>
      </c>
      <c r="I2263" s="1" t="s">
        <v>15</v>
      </c>
      <c r="J2263" s="12">
        <v>45818</v>
      </c>
      <c r="K2263">
        <v>0</v>
      </c>
      <c r="L2263" s="1">
        <f t="shared" si="140"/>
        <v>8</v>
      </c>
      <c r="M2263" s="1" t="str">
        <f t="shared" si="141"/>
        <v/>
      </c>
      <c r="N2263" s="2">
        <f t="shared" si="142"/>
        <v>45809</v>
      </c>
      <c r="O2263" t="str">
        <f t="shared" si="143"/>
        <v>mačka</v>
      </c>
    </row>
    <row r="2264" spans="1:15" hidden="1" x14ac:dyDescent="0.25">
      <c r="A2264">
        <v>9773</v>
      </c>
      <c r="B2264" s="11">
        <v>4056789012345</v>
      </c>
      <c r="C2264" s="1" t="s">
        <v>47</v>
      </c>
      <c r="D2264" s="1" t="s">
        <v>29</v>
      </c>
      <c r="E2264" s="1" t="s">
        <v>37</v>
      </c>
      <c r="F2264">
        <v>2.4</v>
      </c>
      <c r="G2264">
        <v>2</v>
      </c>
      <c r="H2264" s="1" t="s">
        <v>14</v>
      </c>
      <c r="I2264" s="1" t="s">
        <v>15</v>
      </c>
      <c r="J2264" s="12">
        <v>45818</v>
      </c>
      <c r="K2264">
        <v>0</v>
      </c>
      <c r="L2264" s="1">
        <f t="shared" si="140"/>
        <v>4.8</v>
      </c>
      <c r="M2264" s="1" t="str">
        <f t="shared" si="141"/>
        <v/>
      </c>
      <c r="N2264" s="2">
        <f t="shared" si="142"/>
        <v>45809</v>
      </c>
      <c r="O2264" t="str">
        <f t="shared" si="143"/>
        <v>mačka</v>
      </c>
    </row>
    <row r="2265" spans="1:15" x14ac:dyDescent="0.25">
      <c r="A2265">
        <v>9774</v>
      </c>
      <c r="B2265" s="11">
        <v>4061011223346</v>
      </c>
      <c r="C2265" s="1" t="s">
        <v>25</v>
      </c>
      <c r="D2265" s="1" t="s">
        <v>26</v>
      </c>
      <c r="E2265" s="1" t="s">
        <v>27</v>
      </c>
      <c r="F2265">
        <v>19.600000000000001</v>
      </c>
      <c r="G2265">
        <v>1</v>
      </c>
      <c r="H2265" s="1" t="s">
        <v>14</v>
      </c>
      <c r="I2265" s="1" t="s">
        <v>15</v>
      </c>
      <c r="J2265" s="12">
        <v>45818</v>
      </c>
      <c r="K2265">
        <v>0</v>
      </c>
      <c r="L2265" s="1">
        <f t="shared" si="140"/>
        <v>19.600000000000001</v>
      </c>
      <c r="M2265" s="1" t="str">
        <f t="shared" si="141"/>
        <v/>
      </c>
      <c r="N2265" s="2">
        <f t="shared" si="142"/>
        <v>45809</v>
      </c>
      <c r="O2265" t="str">
        <f t="shared" si="143"/>
        <v>pes</v>
      </c>
    </row>
    <row r="2266" spans="1:15" hidden="1" x14ac:dyDescent="0.25">
      <c r="A2266">
        <v>9775</v>
      </c>
      <c r="B2266" s="11">
        <v>4026677889902</v>
      </c>
      <c r="C2266" s="1" t="s">
        <v>52</v>
      </c>
      <c r="D2266" s="1" t="s">
        <v>53</v>
      </c>
      <c r="E2266" s="1" t="s">
        <v>54</v>
      </c>
      <c r="F2266">
        <v>7.6</v>
      </c>
      <c r="G2266">
        <v>1</v>
      </c>
      <c r="H2266" s="1" t="s">
        <v>14</v>
      </c>
      <c r="I2266" s="1" t="s">
        <v>15</v>
      </c>
      <c r="J2266" s="12">
        <v>45818</v>
      </c>
      <c r="K2266">
        <v>0</v>
      </c>
      <c r="L2266" s="1">
        <f t="shared" si="140"/>
        <v>7.6</v>
      </c>
      <c r="M2266" s="1" t="str">
        <f t="shared" si="141"/>
        <v/>
      </c>
      <c r="N2266" s="2">
        <f t="shared" si="142"/>
        <v>45809</v>
      </c>
      <c r="O2266" t="str">
        <f t="shared" si="143"/>
        <v>iné</v>
      </c>
    </row>
    <row r="2267" spans="1:15" hidden="1" x14ac:dyDescent="0.25">
      <c r="A2267">
        <v>9776</v>
      </c>
      <c r="B2267" s="11">
        <v>5904455667782</v>
      </c>
      <c r="C2267" s="1" t="s">
        <v>323</v>
      </c>
      <c r="D2267" s="1" t="s">
        <v>317</v>
      </c>
      <c r="E2267" s="1" t="s">
        <v>42</v>
      </c>
      <c r="F2267">
        <v>51.64</v>
      </c>
      <c r="G2267">
        <v>1</v>
      </c>
      <c r="H2267" s="1" t="s">
        <v>23</v>
      </c>
      <c r="I2267" s="1" t="s">
        <v>324</v>
      </c>
      <c r="J2267" s="12">
        <v>45818</v>
      </c>
      <c r="K2267">
        <v>0</v>
      </c>
      <c r="L2267" s="1">
        <f t="shared" si="140"/>
        <v>51.64</v>
      </c>
      <c r="M2267" s="1">
        <f t="shared" si="141"/>
        <v>5</v>
      </c>
      <c r="N2267" s="2">
        <f t="shared" si="142"/>
        <v>45809</v>
      </c>
      <c r="O2267" t="str">
        <f t="shared" si="143"/>
        <v>mačka</v>
      </c>
    </row>
    <row r="2268" spans="1:15" x14ac:dyDescent="0.25">
      <c r="A2268">
        <v>9777</v>
      </c>
      <c r="B2268" s="11">
        <v>4028899001126</v>
      </c>
      <c r="C2268" s="1" t="s">
        <v>16</v>
      </c>
      <c r="D2268" s="1" t="s">
        <v>12</v>
      </c>
      <c r="E2268" s="1" t="s">
        <v>17</v>
      </c>
      <c r="F2268">
        <v>2.8</v>
      </c>
      <c r="G2268">
        <v>4</v>
      </c>
      <c r="H2268" s="1" t="s">
        <v>14</v>
      </c>
      <c r="I2268" s="1" t="s">
        <v>15</v>
      </c>
      <c r="J2268" s="12">
        <v>45818</v>
      </c>
      <c r="K2268">
        <v>0</v>
      </c>
      <c r="L2268" s="1">
        <f t="shared" si="140"/>
        <v>11.2</v>
      </c>
      <c r="M2268" s="1" t="str">
        <f t="shared" si="141"/>
        <v/>
      </c>
      <c r="N2268" s="2">
        <f t="shared" si="142"/>
        <v>45809</v>
      </c>
      <c r="O2268" t="str">
        <f t="shared" si="143"/>
        <v>pes</v>
      </c>
    </row>
    <row r="2269" spans="1:15" x14ac:dyDescent="0.25">
      <c r="A2269">
        <v>9778</v>
      </c>
      <c r="B2269" s="11">
        <v>4013456789017</v>
      </c>
      <c r="C2269" s="1" t="s">
        <v>11</v>
      </c>
      <c r="D2269" s="1" t="s">
        <v>12</v>
      </c>
      <c r="E2269" s="1" t="s">
        <v>13</v>
      </c>
      <c r="F2269">
        <v>6</v>
      </c>
      <c r="G2269">
        <v>1</v>
      </c>
      <c r="H2269" s="1" t="s">
        <v>14</v>
      </c>
      <c r="I2269" s="1" t="s">
        <v>15</v>
      </c>
      <c r="J2269" s="12">
        <v>45818</v>
      </c>
      <c r="K2269">
        <v>0</v>
      </c>
      <c r="L2269" s="1">
        <f t="shared" si="140"/>
        <v>6</v>
      </c>
      <c r="M2269" s="1" t="str">
        <f t="shared" si="141"/>
        <v/>
      </c>
      <c r="N2269" s="2">
        <f t="shared" si="142"/>
        <v>45809</v>
      </c>
      <c r="O2269" t="str">
        <f t="shared" si="143"/>
        <v>pes</v>
      </c>
    </row>
    <row r="2270" spans="1:15" hidden="1" x14ac:dyDescent="0.25">
      <c r="A2270">
        <v>9779</v>
      </c>
      <c r="B2270" s="11">
        <v>4047890123460</v>
      </c>
      <c r="C2270" s="1" t="s">
        <v>325</v>
      </c>
      <c r="D2270" s="1" t="s">
        <v>144</v>
      </c>
      <c r="E2270" s="1" t="s">
        <v>58</v>
      </c>
      <c r="F2270">
        <v>10</v>
      </c>
      <c r="G2270">
        <v>1</v>
      </c>
      <c r="H2270" s="1" t="s">
        <v>18</v>
      </c>
      <c r="I2270" s="1" t="s">
        <v>326</v>
      </c>
      <c r="J2270" s="12">
        <v>45818</v>
      </c>
      <c r="K2270">
        <v>0</v>
      </c>
      <c r="L2270" s="1">
        <f t="shared" si="140"/>
        <v>10</v>
      </c>
      <c r="M2270" s="1">
        <f t="shared" si="141"/>
        <v>4</v>
      </c>
      <c r="N2270" s="2">
        <f t="shared" si="142"/>
        <v>45809</v>
      </c>
      <c r="O2270" t="str">
        <f t="shared" si="143"/>
        <v>mačka</v>
      </c>
    </row>
    <row r="2271" spans="1:15" x14ac:dyDescent="0.25">
      <c r="A2271">
        <v>9780</v>
      </c>
      <c r="B2271" s="11">
        <v>4006789012349</v>
      </c>
      <c r="C2271" s="1" t="s">
        <v>38</v>
      </c>
      <c r="D2271" s="1" t="s">
        <v>39</v>
      </c>
      <c r="E2271" s="1" t="s">
        <v>13</v>
      </c>
      <c r="F2271">
        <v>12</v>
      </c>
      <c r="G2271">
        <v>1</v>
      </c>
      <c r="H2271" s="1" t="s">
        <v>14</v>
      </c>
      <c r="I2271" s="1" t="s">
        <v>15</v>
      </c>
      <c r="J2271" s="12">
        <v>45819</v>
      </c>
      <c r="K2271">
        <v>0</v>
      </c>
      <c r="L2271" s="1">
        <f t="shared" si="140"/>
        <v>12</v>
      </c>
      <c r="M2271" s="1" t="str">
        <f t="shared" si="141"/>
        <v/>
      </c>
      <c r="N2271" s="2">
        <f t="shared" si="142"/>
        <v>45809</v>
      </c>
      <c r="O2271" t="str">
        <f t="shared" si="143"/>
        <v>pes</v>
      </c>
    </row>
    <row r="2272" spans="1:15" x14ac:dyDescent="0.25">
      <c r="A2272">
        <v>9781</v>
      </c>
      <c r="B2272" s="11">
        <v>4020123456783</v>
      </c>
      <c r="C2272" s="1" t="s">
        <v>327</v>
      </c>
      <c r="D2272" s="1" t="s">
        <v>26</v>
      </c>
      <c r="E2272" s="1" t="s">
        <v>17</v>
      </c>
      <c r="F2272">
        <v>22</v>
      </c>
      <c r="G2272">
        <v>1</v>
      </c>
      <c r="H2272" s="1" t="s">
        <v>14</v>
      </c>
      <c r="I2272" s="1" t="s">
        <v>15</v>
      </c>
      <c r="J2272" s="12">
        <v>45819</v>
      </c>
      <c r="K2272">
        <v>0</v>
      </c>
      <c r="L2272" s="1">
        <f t="shared" si="140"/>
        <v>22</v>
      </c>
      <c r="M2272" s="1" t="str">
        <f t="shared" si="141"/>
        <v/>
      </c>
      <c r="N2272" s="2">
        <f t="shared" si="142"/>
        <v>45809</v>
      </c>
      <c r="O2272" t="str">
        <f t="shared" si="143"/>
        <v>pes</v>
      </c>
    </row>
    <row r="2273" spans="1:15" x14ac:dyDescent="0.25">
      <c r="A2273">
        <v>9782</v>
      </c>
      <c r="B2273" s="11">
        <v>4016677889902</v>
      </c>
      <c r="C2273" s="1" t="s">
        <v>328</v>
      </c>
      <c r="D2273" s="1" t="s">
        <v>26</v>
      </c>
      <c r="E2273" s="1" t="s">
        <v>17</v>
      </c>
      <c r="F2273">
        <v>22</v>
      </c>
      <c r="G2273">
        <v>1</v>
      </c>
      <c r="H2273" s="1" t="s">
        <v>18</v>
      </c>
      <c r="I2273" s="1" t="s">
        <v>329</v>
      </c>
      <c r="J2273" s="12">
        <v>45819</v>
      </c>
      <c r="K2273">
        <v>0</v>
      </c>
      <c r="L2273" s="1">
        <f t="shared" si="140"/>
        <v>22</v>
      </c>
      <c r="M2273" s="1">
        <f t="shared" si="141"/>
        <v>4</v>
      </c>
      <c r="N2273" s="2">
        <f t="shared" si="142"/>
        <v>45809</v>
      </c>
      <c r="O2273" t="str">
        <f t="shared" si="143"/>
        <v>pes</v>
      </c>
    </row>
    <row r="2274" spans="1:15" x14ac:dyDescent="0.25">
      <c r="A2274">
        <v>9783</v>
      </c>
      <c r="B2274" s="11">
        <v>4008901234561</v>
      </c>
      <c r="C2274" s="1" t="s">
        <v>330</v>
      </c>
      <c r="D2274" s="1" t="s">
        <v>26</v>
      </c>
      <c r="E2274" s="1" t="s">
        <v>331</v>
      </c>
      <c r="F2274">
        <v>40</v>
      </c>
      <c r="G2274">
        <v>1</v>
      </c>
      <c r="H2274" s="1" t="s">
        <v>14</v>
      </c>
      <c r="I2274" s="1" t="s">
        <v>15</v>
      </c>
      <c r="J2274" s="12">
        <v>45819</v>
      </c>
      <c r="K2274">
        <v>0</v>
      </c>
      <c r="L2274" s="1">
        <f t="shared" si="140"/>
        <v>40</v>
      </c>
      <c r="M2274" s="1" t="str">
        <f t="shared" si="141"/>
        <v/>
      </c>
      <c r="N2274" s="2">
        <f t="shared" si="142"/>
        <v>45809</v>
      </c>
      <c r="O2274" t="str">
        <f t="shared" si="143"/>
        <v>pes</v>
      </c>
    </row>
    <row r="2275" spans="1:15" hidden="1" x14ac:dyDescent="0.25">
      <c r="A2275">
        <v>9784</v>
      </c>
      <c r="B2275" s="11">
        <v>4008899001134</v>
      </c>
      <c r="C2275" s="1" t="s">
        <v>332</v>
      </c>
      <c r="D2275" s="1" t="s">
        <v>333</v>
      </c>
      <c r="E2275" s="1" t="s">
        <v>334</v>
      </c>
      <c r="F2275">
        <v>47.64</v>
      </c>
      <c r="G2275">
        <v>1</v>
      </c>
      <c r="H2275" s="1" t="s">
        <v>14</v>
      </c>
      <c r="I2275" s="1" t="s">
        <v>15</v>
      </c>
      <c r="J2275" s="12">
        <v>45819</v>
      </c>
      <c r="K2275">
        <v>0</v>
      </c>
      <c r="L2275" s="1">
        <f t="shared" si="140"/>
        <v>47.64</v>
      </c>
      <c r="M2275" s="1" t="str">
        <f t="shared" si="141"/>
        <v/>
      </c>
      <c r="N2275" s="2">
        <f t="shared" si="142"/>
        <v>45809</v>
      </c>
      <c r="O2275" t="str">
        <f t="shared" si="143"/>
        <v>iné</v>
      </c>
    </row>
    <row r="2276" spans="1:15" hidden="1" x14ac:dyDescent="0.25">
      <c r="A2276">
        <v>9785</v>
      </c>
      <c r="B2276" s="11">
        <v>8597788990023</v>
      </c>
      <c r="C2276" s="1" t="s">
        <v>335</v>
      </c>
      <c r="D2276" s="1" t="s">
        <v>336</v>
      </c>
      <c r="E2276" s="1" t="s">
        <v>54</v>
      </c>
      <c r="F2276">
        <v>6.4</v>
      </c>
      <c r="G2276">
        <v>2</v>
      </c>
      <c r="H2276" s="1" t="s">
        <v>23</v>
      </c>
      <c r="I2276" s="1" t="s">
        <v>337</v>
      </c>
      <c r="J2276" s="12">
        <v>45819</v>
      </c>
      <c r="K2276">
        <v>0</v>
      </c>
      <c r="L2276" s="1">
        <f t="shared" si="140"/>
        <v>12.8</v>
      </c>
      <c r="M2276" s="1">
        <f t="shared" si="141"/>
        <v>5</v>
      </c>
      <c r="N2276" s="2">
        <f t="shared" si="142"/>
        <v>45809</v>
      </c>
      <c r="O2276" t="str">
        <f t="shared" si="143"/>
        <v>iné</v>
      </c>
    </row>
    <row r="2277" spans="1:15" x14ac:dyDescent="0.25">
      <c r="A2277">
        <v>9786</v>
      </c>
      <c r="B2277" s="11">
        <v>4028899001126</v>
      </c>
      <c r="C2277" s="1" t="s">
        <v>16</v>
      </c>
      <c r="D2277" s="1" t="s">
        <v>12</v>
      </c>
      <c r="E2277" s="1" t="s">
        <v>17</v>
      </c>
      <c r="F2277">
        <v>2.8</v>
      </c>
      <c r="G2277">
        <v>3</v>
      </c>
      <c r="H2277" s="1" t="s">
        <v>14</v>
      </c>
      <c r="I2277" s="1" t="s">
        <v>15</v>
      </c>
      <c r="J2277" s="12">
        <v>45819</v>
      </c>
      <c r="K2277">
        <v>0</v>
      </c>
      <c r="L2277" s="1">
        <f t="shared" si="140"/>
        <v>8.3999999999999986</v>
      </c>
      <c r="M2277" s="1" t="str">
        <f t="shared" si="141"/>
        <v/>
      </c>
      <c r="N2277" s="2">
        <f t="shared" si="142"/>
        <v>45809</v>
      </c>
      <c r="O2277" t="str">
        <f t="shared" si="143"/>
        <v>pes</v>
      </c>
    </row>
    <row r="2278" spans="1:15" x14ac:dyDescent="0.25">
      <c r="A2278">
        <v>9787</v>
      </c>
      <c r="B2278" s="11">
        <v>4013456789017</v>
      </c>
      <c r="C2278" s="1" t="s">
        <v>11</v>
      </c>
      <c r="D2278" s="1" t="s">
        <v>12</v>
      </c>
      <c r="E2278" s="1" t="s">
        <v>13</v>
      </c>
      <c r="F2278">
        <v>6</v>
      </c>
      <c r="G2278">
        <v>1</v>
      </c>
      <c r="H2278" s="1" t="s">
        <v>14</v>
      </c>
      <c r="I2278" s="1" t="s">
        <v>15</v>
      </c>
      <c r="J2278" s="12">
        <v>45819</v>
      </c>
      <c r="K2278">
        <v>0</v>
      </c>
      <c r="L2278" s="1">
        <f t="shared" si="140"/>
        <v>6</v>
      </c>
      <c r="M2278" s="1" t="str">
        <f t="shared" si="141"/>
        <v/>
      </c>
      <c r="N2278" s="2">
        <f t="shared" si="142"/>
        <v>45809</v>
      </c>
      <c r="O2278" t="str">
        <f t="shared" si="143"/>
        <v>pes</v>
      </c>
    </row>
    <row r="2279" spans="1:15" x14ac:dyDescent="0.25">
      <c r="A2279">
        <v>9788</v>
      </c>
      <c r="B2279" s="11">
        <v>4040123456795</v>
      </c>
      <c r="C2279" s="1" t="s">
        <v>20</v>
      </c>
      <c r="D2279" s="1" t="s">
        <v>21</v>
      </c>
      <c r="E2279" s="1" t="s">
        <v>22</v>
      </c>
      <c r="F2279">
        <v>8.8000000000000007</v>
      </c>
      <c r="G2279">
        <v>1</v>
      </c>
      <c r="H2279" s="1" t="s">
        <v>14</v>
      </c>
      <c r="I2279" s="1" t="s">
        <v>15</v>
      </c>
      <c r="J2279" s="12">
        <v>45819</v>
      </c>
      <c r="K2279">
        <v>0</v>
      </c>
      <c r="L2279" s="1">
        <f t="shared" si="140"/>
        <v>8.8000000000000007</v>
      </c>
      <c r="M2279" s="1" t="str">
        <f t="shared" si="141"/>
        <v/>
      </c>
      <c r="N2279" s="2">
        <f t="shared" si="142"/>
        <v>45809</v>
      </c>
      <c r="O2279" t="str">
        <f t="shared" si="143"/>
        <v>pes</v>
      </c>
    </row>
    <row r="2280" spans="1:15" hidden="1" x14ac:dyDescent="0.25">
      <c r="A2280">
        <v>9789</v>
      </c>
      <c r="B2280" s="11">
        <v>4010123456783</v>
      </c>
      <c r="C2280" s="1" t="s">
        <v>35</v>
      </c>
      <c r="D2280" s="1" t="s">
        <v>36</v>
      </c>
      <c r="E2280" s="1" t="s">
        <v>37</v>
      </c>
      <c r="F2280">
        <v>14</v>
      </c>
      <c r="G2280">
        <v>1</v>
      </c>
      <c r="H2280" s="1" t="s">
        <v>14</v>
      </c>
      <c r="I2280" s="1" t="s">
        <v>15</v>
      </c>
      <c r="J2280" s="12">
        <v>45819</v>
      </c>
      <c r="K2280">
        <v>0</v>
      </c>
      <c r="L2280" s="1">
        <f t="shared" si="140"/>
        <v>14</v>
      </c>
      <c r="M2280" s="1" t="str">
        <f t="shared" si="141"/>
        <v/>
      </c>
      <c r="N2280" s="2">
        <f t="shared" si="142"/>
        <v>45809</v>
      </c>
      <c r="O2280" t="str">
        <f t="shared" si="143"/>
        <v>mačka</v>
      </c>
    </row>
    <row r="2281" spans="1:15" x14ac:dyDescent="0.25">
      <c r="A2281">
        <v>9790</v>
      </c>
      <c r="B2281" s="11">
        <v>4063456789014</v>
      </c>
      <c r="C2281" s="1" t="s">
        <v>60</v>
      </c>
      <c r="D2281" s="1" t="s">
        <v>12</v>
      </c>
      <c r="E2281" s="1" t="s">
        <v>61</v>
      </c>
      <c r="F2281">
        <v>36</v>
      </c>
      <c r="G2281">
        <v>1</v>
      </c>
      <c r="H2281" s="1" t="s">
        <v>18</v>
      </c>
      <c r="I2281" s="1" t="s">
        <v>338</v>
      </c>
      <c r="J2281" s="12">
        <v>45819</v>
      </c>
      <c r="K2281">
        <v>0</v>
      </c>
      <c r="L2281" s="1">
        <f t="shared" si="140"/>
        <v>36</v>
      </c>
      <c r="M2281" s="1">
        <f t="shared" si="141"/>
        <v>4</v>
      </c>
      <c r="N2281" s="2">
        <f t="shared" si="142"/>
        <v>45809</v>
      </c>
      <c r="O2281" t="str">
        <f t="shared" si="143"/>
        <v>pes</v>
      </c>
    </row>
    <row r="2282" spans="1:15" hidden="1" x14ac:dyDescent="0.25">
      <c r="A2282">
        <v>9791</v>
      </c>
      <c r="B2282" s="11">
        <v>4021234567894</v>
      </c>
      <c r="C2282" s="1" t="s">
        <v>79</v>
      </c>
      <c r="D2282" s="1" t="s">
        <v>36</v>
      </c>
      <c r="E2282" s="1" t="s">
        <v>69</v>
      </c>
      <c r="F2282">
        <v>8</v>
      </c>
      <c r="G2282">
        <v>1</v>
      </c>
      <c r="H2282" s="1" t="s">
        <v>14</v>
      </c>
      <c r="I2282" s="1" t="s">
        <v>15</v>
      </c>
      <c r="J2282" s="12">
        <v>45819</v>
      </c>
      <c r="K2282">
        <v>0</v>
      </c>
      <c r="L2282" s="1">
        <f t="shared" si="140"/>
        <v>8</v>
      </c>
      <c r="M2282" s="1" t="str">
        <f t="shared" si="141"/>
        <v/>
      </c>
      <c r="N2282" s="2">
        <f t="shared" si="142"/>
        <v>45809</v>
      </c>
      <c r="O2282" t="str">
        <f t="shared" si="143"/>
        <v>mačka</v>
      </c>
    </row>
    <row r="2283" spans="1:15" hidden="1" x14ac:dyDescent="0.25">
      <c r="A2283">
        <v>9792</v>
      </c>
      <c r="B2283" s="11">
        <v>4056789012345</v>
      </c>
      <c r="C2283" s="1" t="s">
        <v>47</v>
      </c>
      <c r="D2283" s="1" t="s">
        <v>29</v>
      </c>
      <c r="E2283" s="1" t="s">
        <v>37</v>
      </c>
      <c r="F2283">
        <v>2.4</v>
      </c>
      <c r="G2283">
        <v>2</v>
      </c>
      <c r="H2283" s="1" t="s">
        <v>14</v>
      </c>
      <c r="I2283" s="1" t="s">
        <v>15</v>
      </c>
      <c r="J2283" s="12">
        <v>45819</v>
      </c>
      <c r="K2283">
        <v>0</v>
      </c>
      <c r="L2283" s="1">
        <f t="shared" si="140"/>
        <v>4.8</v>
      </c>
      <c r="M2283" s="1" t="str">
        <f t="shared" si="141"/>
        <v/>
      </c>
      <c r="N2283" s="2">
        <f t="shared" si="142"/>
        <v>45809</v>
      </c>
      <c r="O2283" t="str">
        <f t="shared" si="143"/>
        <v>mačka</v>
      </c>
    </row>
    <row r="2284" spans="1:15" hidden="1" x14ac:dyDescent="0.25">
      <c r="A2284">
        <v>9793</v>
      </c>
      <c r="B2284" s="11">
        <v>4050123456794</v>
      </c>
      <c r="C2284" s="1" t="s">
        <v>41</v>
      </c>
      <c r="D2284" s="1" t="s">
        <v>36</v>
      </c>
      <c r="E2284" s="1" t="s">
        <v>42</v>
      </c>
      <c r="F2284">
        <v>7.2</v>
      </c>
      <c r="G2284">
        <v>1</v>
      </c>
      <c r="H2284" s="1" t="s">
        <v>14</v>
      </c>
      <c r="I2284" s="1" t="s">
        <v>15</v>
      </c>
      <c r="J2284" s="12">
        <v>45819</v>
      </c>
      <c r="K2284">
        <v>0</v>
      </c>
      <c r="L2284" s="1">
        <f t="shared" si="140"/>
        <v>7.2</v>
      </c>
      <c r="M2284" s="1" t="str">
        <f t="shared" si="141"/>
        <v/>
      </c>
      <c r="N2284" s="2">
        <f t="shared" si="142"/>
        <v>45809</v>
      </c>
      <c r="O2284" t="str">
        <f t="shared" si="143"/>
        <v>mačka</v>
      </c>
    </row>
    <row r="2285" spans="1:15" hidden="1" x14ac:dyDescent="0.25">
      <c r="A2285">
        <v>9794</v>
      </c>
      <c r="B2285" s="11">
        <v>8595678901234</v>
      </c>
      <c r="C2285" s="1" t="s">
        <v>339</v>
      </c>
      <c r="D2285" s="1" t="s">
        <v>340</v>
      </c>
      <c r="E2285" s="1" t="s">
        <v>69</v>
      </c>
      <c r="F2285">
        <v>6</v>
      </c>
      <c r="G2285">
        <v>1</v>
      </c>
      <c r="H2285" s="1" t="s">
        <v>14</v>
      </c>
      <c r="I2285" s="1" t="s">
        <v>15</v>
      </c>
      <c r="J2285" s="12">
        <v>45820</v>
      </c>
      <c r="K2285">
        <v>0</v>
      </c>
      <c r="L2285" s="1">
        <f t="shared" si="140"/>
        <v>6</v>
      </c>
      <c r="M2285" s="1" t="str">
        <f t="shared" si="141"/>
        <v/>
      </c>
      <c r="N2285" s="2">
        <f t="shared" si="142"/>
        <v>45809</v>
      </c>
      <c r="O2285" t="str">
        <f t="shared" si="143"/>
        <v>iné</v>
      </c>
    </row>
    <row r="2286" spans="1:15" x14ac:dyDescent="0.25">
      <c r="A2286">
        <v>9795</v>
      </c>
      <c r="B2286" s="11">
        <v>4011234567897</v>
      </c>
      <c r="C2286" s="1" t="s">
        <v>341</v>
      </c>
      <c r="D2286" s="1" t="s">
        <v>21</v>
      </c>
      <c r="E2286" s="1" t="s">
        <v>303</v>
      </c>
      <c r="F2286">
        <v>11.6</v>
      </c>
      <c r="G2286">
        <v>1</v>
      </c>
      <c r="H2286" s="1" t="s">
        <v>33</v>
      </c>
      <c r="I2286" s="1" t="s">
        <v>342</v>
      </c>
      <c r="J2286" s="12">
        <v>45820</v>
      </c>
      <c r="K2286">
        <v>0</v>
      </c>
      <c r="L2286" s="1">
        <f t="shared" si="140"/>
        <v>11.6</v>
      </c>
      <c r="M2286" s="1">
        <f t="shared" si="141"/>
        <v>3</v>
      </c>
      <c r="N2286" s="2">
        <f t="shared" si="142"/>
        <v>45809</v>
      </c>
      <c r="O2286" t="str">
        <f t="shared" si="143"/>
        <v>pes</v>
      </c>
    </row>
    <row r="2287" spans="1:15" x14ac:dyDescent="0.25">
      <c r="A2287">
        <v>9796</v>
      </c>
      <c r="B2287" s="11">
        <v>4008901234572</v>
      </c>
      <c r="C2287" s="1" t="s">
        <v>343</v>
      </c>
      <c r="D2287" s="1" t="s">
        <v>26</v>
      </c>
      <c r="E2287" s="1" t="s">
        <v>22</v>
      </c>
      <c r="F2287">
        <v>18</v>
      </c>
      <c r="G2287">
        <v>1</v>
      </c>
      <c r="H2287" s="1" t="s">
        <v>14</v>
      </c>
      <c r="I2287" s="1" t="s">
        <v>15</v>
      </c>
      <c r="J2287" s="12">
        <v>45820</v>
      </c>
      <c r="K2287">
        <v>0</v>
      </c>
      <c r="L2287" s="1">
        <f t="shared" si="140"/>
        <v>18</v>
      </c>
      <c r="M2287" s="1" t="str">
        <f t="shared" si="141"/>
        <v/>
      </c>
      <c r="N2287" s="2">
        <f t="shared" si="142"/>
        <v>45809</v>
      </c>
      <c r="O2287" t="str">
        <f t="shared" si="143"/>
        <v>pes</v>
      </c>
    </row>
    <row r="2288" spans="1:15" x14ac:dyDescent="0.25">
      <c r="A2288">
        <v>9797</v>
      </c>
      <c r="B2288" s="11">
        <v>4057890123467</v>
      </c>
      <c r="C2288" s="1" t="s">
        <v>307</v>
      </c>
      <c r="D2288" s="1" t="s">
        <v>39</v>
      </c>
      <c r="E2288" s="1" t="s">
        <v>308</v>
      </c>
      <c r="F2288">
        <v>9.6</v>
      </c>
      <c r="G2288">
        <v>1</v>
      </c>
      <c r="H2288" s="1" t="s">
        <v>14</v>
      </c>
      <c r="I2288" s="1" t="s">
        <v>15</v>
      </c>
      <c r="J2288" s="12">
        <v>45820</v>
      </c>
      <c r="K2288">
        <v>0</v>
      </c>
      <c r="L2288" s="1">
        <f t="shared" si="140"/>
        <v>9.6</v>
      </c>
      <c r="M2288" s="1" t="str">
        <f t="shared" si="141"/>
        <v/>
      </c>
      <c r="N2288" s="2">
        <f t="shared" si="142"/>
        <v>45809</v>
      </c>
      <c r="O2288" t="str">
        <f t="shared" si="143"/>
        <v>pes</v>
      </c>
    </row>
    <row r="2289" spans="1:15" hidden="1" x14ac:dyDescent="0.25">
      <c r="A2289">
        <v>9798</v>
      </c>
      <c r="B2289" s="11">
        <v>4009012345672</v>
      </c>
      <c r="C2289" s="1" t="s">
        <v>45</v>
      </c>
      <c r="D2289" s="1" t="s">
        <v>36</v>
      </c>
      <c r="E2289" s="1" t="s">
        <v>32</v>
      </c>
      <c r="F2289">
        <v>11.2</v>
      </c>
      <c r="G2289">
        <v>1</v>
      </c>
      <c r="H2289" s="1" t="s">
        <v>18</v>
      </c>
      <c r="I2289" s="1" t="s">
        <v>344</v>
      </c>
      <c r="J2289" s="12">
        <v>45820</v>
      </c>
      <c r="K2289">
        <v>0</v>
      </c>
      <c r="L2289" s="1">
        <f t="shared" si="140"/>
        <v>11.2</v>
      </c>
      <c r="M2289" s="1">
        <f t="shared" si="141"/>
        <v>4</v>
      </c>
      <c r="N2289" s="2">
        <f t="shared" si="142"/>
        <v>45809</v>
      </c>
      <c r="O2289" t="str">
        <f t="shared" si="143"/>
        <v>mačka</v>
      </c>
    </row>
    <row r="2290" spans="1:15" x14ac:dyDescent="0.25">
      <c r="A2290">
        <v>9799</v>
      </c>
      <c r="B2290" s="11">
        <v>4005566778891</v>
      </c>
      <c r="C2290" s="1" t="s">
        <v>146</v>
      </c>
      <c r="D2290" s="1" t="s">
        <v>26</v>
      </c>
      <c r="E2290" s="1" t="s">
        <v>134</v>
      </c>
      <c r="F2290">
        <v>18</v>
      </c>
      <c r="G2290">
        <v>1</v>
      </c>
      <c r="H2290" s="1" t="s">
        <v>14</v>
      </c>
      <c r="I2290" s="1" t="s">
        <v>15</v>
      </c>
      <c r="J2290" s="12">
        <v>45820</v>
      </c>
      <c r="K2290">
        <v>0</v>
      </c>
      <c r="L2290" s="1">
        <f t="shared" si="140"/>
        <v>18</v>
      </c>
      <c r="M2290" s="1" t="str">
        <f t="shared" si="141"/>
        <v/>
      </c>
      <c r="N2290" s="2">
        <f t="shared" si="142"/>
        <v>45809</v>
      </c>
      <c r="O2290" t="str">
        <f t="shared" si="143"/>
        <v>pes</v>
      </c>
    </row>
    <row r="2291" spans="1:15" x14ac:dyDescent="0.25">
      <c r="A2291">
        <v>9800</v>
      </c>
      <c r="B2291" s="11">
        <v>4059012345683</v>
      </c>
      <c r="C2291" s="1" t="s">
        <v>345</v>
      </c>
      <c r="D2291" s="1" t="s">
        <v>26</v>
      </c>
      <c r="E2291" s="1" t="s">
        <v>27</v>
      </c>
      <c r="F2291">
        <v>20</v>
      </c>
      <c r="G2291">
        <v>1</v>
      </c>
      <c r="H2291" s="1" t="s">
        <v>48</v>
      </c>
      <c r="I2291" s="1" t="s">
        <v>346</v>
      </c>
      <c r="J2291" s="12">
        <v>45820</v>
      </c>
      <c r="K2291">
        <v>1</v>
      </c>
      <c r="L2291" s="1">
        <f t="shared" si="140"/>
        <v>20</v>
      </c>
      <c r="M2291" s="1">
        <f t="shared" si="141"/>
        <v>2</v>
      </c>
      <c r="N2291" s="2">
        <f t="shared" si="142"/>
        <v>45809</v>
      </c>
      <c r="O2291" t="str">
        <f t="shared" si="143"/>
        <v>pes</v>
      </c>
    </row>
    <row r="2292" spans="1:15" hidden="1" x14ac:dyDescent="0.25">
      <c r="A2292">
        <v>9801</v>
      </c>
      <c r="B2292" s="11">
        <v>4026677889902</v>
      </c>
      <c r="C2292" s="1" t="s">
        <v>52</v>
      </c>
      <c r="D2292" s="1" t="s">
        <v>53</v>
      </c>
      <c r="E2292" s="1" t="s">
        <v>54</v>
      </c>
      <c r="F2292">
        <v>7.6</v>
      </c>
      <c r="G2292">
        <v>1</v>
      </c>
      <c r="H2292" s="1" t="s">
        <v>14</v>
      </c>
      <c r="I2292" s="1" t="s">
        <v>15</v>
      </c>
      <c r="J2292" s="12">
        <v>45820</v>
      </c>
      <c r="K2292">
        <v>0</v>
      </c>
      <c r="L2292" s="1">
        <f t="shared" si="140"/>
        <v>7.6</v>
      </c>
      <c r="M2292" s="1" t="str">
        <f t="shared" si="141"/>
        <v/>
      </c>
      <c r="N2292" s="2">
        <f t="shared" si="142"/>
        <v>45809</v>
      </c>
      <c r="O2292" t="str">
        <f t="shared" si="143"/>
        <v>iné</v>
      </c>
    </row>
    <row r="2293" spans="1:15" x14ac:dyDescent="0.25">
      <c r="A2293">
        <v>9802</v>
      </c>
      <c r="B2293" s="11">
        <v>4028899001126</v>
      </c>
      <c r="C2293" s="1" t="s">
        <v>16</v>
      </c>
      <c r="D2293" s="1" t="s">
        <v>12</v>
      </c>
      <c r="E2293" s="1" t="s">
        <v>17</v>
      </c>
      <c r="F2293">
        <v>2.8</v>
      </c>
      <c r="G2293">
        <v>4</v>
      </c>
      <c r="H2293" s="1" t="s">
        <v>14</v>
      </c>
      <c r="I2293" s="1" t="s">
        <v>15</v>
      </c>
      <c r="J2293" s="12">
        <v>45821</v>
      </c>
      <c r="K2293">
        <v>0</v>
      </c>
      <c r="L2293" s="1">
        <f t="shared" si="140"/>
        <v>11.2</v>
      </c>
      <c r="M2293" s="1" t="str">
        <f t="shared" si="141"/>
        <v/>
      </c>
      <c r="N2293" s="2">
        <f t="shared" si="142"/>
        <v>45809</v>
      </c>
      <c r="O2293" t="str">
        <f t="shared" si="143"/>
        <v>pes</v>
      </c>
    </row>
    <row r="2294" spans="1:15" x14ac:dyDescent="0.25">
      <c r="A2294">
        <v>9803</v>
      </c>
      <c r="B2294" s="11">
        <v>4013456789017</v>
      </c>
      <c r="C2294" s="1" t="s">
        <v>11</v>
      </c>
      <c r="D2294" s="1" t="s">
        <v>12</v>
      </c>
      <c r="E2294" s="1" t="s">
        <v>13</v>
      </c>
      <c r="F2294">
        <v>6</v>
      </c>
      <c r="G2294">
        <v>1</v>
      </c>
      <c r="H2294" s="1" t="s">
        <v>23</v>
      </c>
      <c r="I2294" s="1" t="s">
        <v>347</v>
      </c>
      <c r="J2294" s="12">
        <v>45821</v>
      </c>
      <c r="K2294">
        <v>0</v>
      </c>
      <c r="L2294" s="1">
        <f t="shared" si="140"/>
        <v>6</v>
      </c>
      <c r="M2294" s="1">
        <f t="shared" si="141"/>
        <v>5</v>
      </c>
      <c r="N2294" s="2">
        <f t="shared" si="142"/>
        <v>45809</v>
      </c>
      <c r="O2294" t="str">
        <f t="shared" si="143"/>
        <v>pes</v>
      </c>
    </row>
    <row r="2295" spans="1:15" x14ac:dyDescent="0.25">
      <c r="A2295">
        <v>9804</v>
      </c>
      <c r="B2295" s="11">
        <v>4040123456795</v>
      </c>
      <c r="C2295" s="1" t="s">
        <v>20</v>
      </c>
      <c r="D2295" s="1" t="s">
        <v>21</v>
      </c>
      <c r="E2295" s="1" t="s">
        <v>22</v>
      </c>
      <c r="F2295">
        <v>8.8000000000000007</v>
      </c>
      <c r="G2295">
        <v>1</v>
      </c>
      <c r="H2295" s="1" t="s">
        <v>14</v>
      </c>
      <c r="I2295" s="1" t="s">
        <v>15</v>
      </c>
      <c r="J2295" s="12">
        <v>45821</v>
      </c>
      <c r="K2295">
        <v>0</v>
      </c>
      <c r="L2295" s="1">
        <f t="shared" si="140"/>
        <v>8.8000000000000007</v>
      </c>
      <c r="M2295" s="1" t="str">
        <f t="shared" si="141"/>
        <v/>
      </c>
      <c r="N2295" s="2">
        <f t="shared" si="142"/>
        <v>45809</v>
      </c>
      <c r="O2295" t="str">
        <f t="shared" si="143"/>
        <v>pes</v>
      </c>
    </row>
    <row r="2296" spans="1:15" hidden="1" x14ac:dyDescent="0.25">
      <c r="A2296">
        <v>9805</v>
      </c>
      <c r="B2296" s="11">
        <v>4010123456783</v>
      </c>
      <c r="C2296" s="1" t="s">
        <v>35</v>
      </c>
      <c r="D2296" s="1" t="s">
        <v>36</v>
      </c>
      <c r="E2296" s="1" t="s">
        <v>37</v>
      </c>
      <c r="F2296">
        <v>14</v>
      </c>
      <c r="G2296">
        <v>1</v>
      </c>
      <c r="H2296" s="1" t="s">
        <v>14</v>
      </c>
      <c r="I2296" s="1" t="s">
        <v>15</v>
      </c>
      <c r="J2296" s="12">
        <v>45821</v>
      </c>
      <c r="K2296">
        <v>0</v>
      </c>
      <c r="L2296" s="1">
        <f t="shared" si="140"/>
        <v>14</v>
      </c>
      <c r="M2296" s="1" t="str">
        <f t="shared" si="141"/>
        <v/>
      </c>
      <c r="N2296" s="2">
        <f t="shared" si="142"/>
        <v>45809</v>
      </c>
      <c r="O2296" t="str">
        <f t="shared" si="143"/>
        <v>mačka</v>
      </c>
    </row>
    <row r="2297" spans="1:15" x14ac:dyDescent="0.25">
      <c r="A2297">
        <v>9806</v>
      </c>
      <c r="B2297" s="11">
        <v>4063456789014</v>
      </c>
      <c r="C2297" s="1" t="s">
        <v>60</v>
      </c>
      <c r="D2297" s="1" t="s">
        <v>12</v>
      </c>
      <c r="E2297" s="1" t="s">
        <v>61</v>
      </c>
      <c r="F2297">
        <v>36</v>
      </c>
      <c r="G2297">
        <v>1</v>
      </c>
      <c r="H2297" s="1" t="s">
        <v>18</v>
      </c>
      <c r="I2297" s="1" t="s">
        <v>348</v>
      </c>
      <c r="J2297" s="12">
        <v>45821</v>
      </c>
      <c r="K2297">
        <v>0</v>
      </c>
      <c r="L2297" s="1">
        <f t="shared" si="140"/>
        <v>36</v>
      </c>
      <c r="M2297" s="1">
        <f t="shared" si="141"/>
        <v>4</v>
      </c>
      <c r="N2297" s="2">
        <f t="shared" si="142"/>
        <v>45809</v>
      </c>
      <c r="O2297" t="str">
        <f t="shared" si="143"/>
        <v>pes</v>
      </c>
    </row>
    <row r="2298" spans="1:15" hidden="1" x14ac:dyDescent="0.25">
      <c r="A2298">
        <v>9807</v>
      </c>
      <c r="B2298" s="11">
        <v>4021234567894</v>
      </c>
      <c r="C2298" s="1" t="s">
        <v>79</v>
      </c>
      <c r="D2298" s="1" t="s">
        <v>36</v>
      </c>
      <c r="E2298" s="1" t="s">
        <v>69</v>
      </c>
      <c r="F2298">
        <v>8</v>
      </c>
      <c r="G2298">
        <v>1</v>
      </c>
      <c r="H2298" s="1" t="s">
        <v>14</v>
      </c>
      <c r="I2298" s="1" t="s">
        <v>15</v>
      </c>
      <c r="J2298" s="12">
        <v>45821</v>
      </c>
      <c r="K2298">
        <v>0</v>
      </c>
      <c r="L2298" s="1">
        <f t="shared" si="140"/>
        <v>8</v>
      </c>
      <c r="M2298" s="1" t="str">
        <f t="shared" si="141"/>
        <v/>
      </c>
      <c r="N2298" s="2">
        <f t="shared" si="142"/>
        <v>45809</v>
      </c>
      <c r="O2298" t="str">
        <f t="shared" si="143"/>
        <v>mačka</v>
      </c>
    </row>
    <row r="2299" spans="1:15" hidden="1" x14ac:dyDescent="0.25">
      <c r="A2299">
        <v>9808</v>
      </c>
      <c r="B2299" s="11">
        <v>4056789012345</v>
      </c>
      <c r="C2299" s="1" t="s">
        <v>47</v>
      </c>
      <c r="D2299" s="1" t="s">
        <v>29</v>
      </c>
      <c r="E2299" s="1" t="s">
        <v>37</v>
      </c>
      <c r="F2299">
        <v>2.4</v>
      </c>
      <c r="G2299">
        <v>3</v>
      </c>
      <c r="H2299" s="1" t="s">
        <v>14</v>
      </c>
      <c r="I2299" s="1" t="s">
        <v>15</v>
      </c>
      <c r="J2299" s="12">
        <v>45821</v>
      </c>
      <c r="K2299">
        <v>0</v>
      </c>
      <c r="L2299" s="1">
        <f t="shared" si="140"/>
        <v>7.1999999999999993</v>
      </c>
      <c r="M2299" s="1" t="str">
        <f t="shared" si="141"/>
        <v/>
      </c>
      <c r="N2299" s="2">
        <f t="shared" si="142"/>
        <v>45809</v>
      </c>
      <c r="O2299" t="str">
        <f t="shared" si="143"/>
        <v>mačka</v>
      </c>
    </row>
    <row r="2300" spans="1:15" x14ac:dyDescent="0.25">
      <c r="A2300">
        <v>9809</v>
      </c>
      <c r="B2300" s="11">
        <v>4061011223346</v>
      </c>
      <c r="C2300" s="1" t="s">
        <v>25</v>
      </c>
      <c r="D2300" s="1" t="s">
        <v>26</v>
      </c>
      <c r="E2300" s="1" t="s">
        <v>27</v>
      </c>
      <c r="F2300">
        <v>19.600000000000001</v>
      </c>
      <c r="G2300">
        <v>1</v>
      </c>
      <c r="H2300" s="1" t="s">
        <v>14</v>
      </c>
      <c r="I2300" s="1" t="s">
        <v>15</v>
      </c>
      <c r="J2300" s="12">
        <v>45821</v>
      </c>
      <c r="K2300">
        <v>0</v>
      </c>
      <c r="L2300" s="1">
        <f t="shared" si="140"/>
        <v>19.600000000000001</v>
      </c>
      <c r="M2300" s="1" t="str">
        <f t="shared" si="141"/>
        <v/>
      </c>
      <c r="N2300" s="2">
        <f t="shared" si="142"/>
        <v>45809</v>
      </c>
      <c r="O2300" t="str">
        <f t="shared" si="143"/>
        <v>pes</v>
      </c>
    </row>
    <row r="2301" spans="1:15" hidden="1" x14ac:dyDescent="0.25">
      <c r="A2301">
        <v>9810</v>
      </c>
      <c r="B2301" s="11">
        <v>4026677889902</v>
      </c>
      <c r="C2301" s="1" t="s">
        <v>52</v>
      </c>
      <c r="D2301" s="1" t="s">
        <v>53</v>
      </c>
      <c r="E2301" s="1" t="s">
        <v>54</v>
      </c>
      <c r="F2301">
        <v>7.6</v>
      </c>
      <c r="G2301">
        <v>1</v>
      </c>
      <c r="H2301" s="1" t="s">
        <v>14</v>
      </c>
      <c r="I2301" s="1" t="s">
        <v>15</v>
      </c>
      <c r="J2301" s="12">
        <v>45821</v>
      </c>
      <c r="K2301">
        <v>0</v>
      </c>
      <c r="L2301" s="1">
        <f t="shared" si="140"/>
        <v>7.6</v>
      </c>
      <c r="M2301" s="1" t="str">
        <f t="shared" si="141"/>
        <v/>
      </c>
      <c r="N2301" s="2">
        <f t="shared" si="142"/>
        <v>45809</v>
      </c>
      <c r="O2301" t="str">
        <f t="shared" si="143"/>
        <v>iné</v>
      </c>
    </row>
    <row r="2302" spans="1:15" x14ac:dyDescent="0.25">
      <c r="A2302">
        <v>9811</v>
      </c>
      <c r="B2302" s="11">
        <v>4028899001126</v>
      </c>
      <c r="C2302" s="1" t="s">
        <v>16</v>
      </c>
      <c r="D2302" s="1" t="s">
        <v>12</v>
      </c>
      <c r="E2302" s="1" t="s">
        <v>17</v>
      </c>
      <c r="F2302">
        <v>2.8</v>
      </c>
      <c r="G2302">
        <v>3</v>
      </c>
      <c r="H2302" s="1" t="s">
        <v>14</v>
      </c>
      <c r="I2302" s="1" t="s">
        <v>15</v>
      </c>
      <c r="J2302" s="12">
        <v>45821</v>
      </c>
      <c r="K2302">
        <v>0</v>
      </c>
      <c r="L2302" s="1">
        <f t="shared" si="140"/>
        <v>8.3999999999999986</v>
      </c>
      <c r="M2302" s="1" t="str">
        <f t="shared" si="141"/>
        <v/>
      </c>
      <c r="N2302" s="2">
        <f t="shared" si="142"/>
        <v>45809</v>
      </c>
      <c r="O2302" t="str">
        <f t="shared" si="143"/>
        <v>pes</v>
      </c>
    </row>
    <row r="2303" spans="1:15" x14ac:dyDescent="0.25">
      <c r="A2303">
        <v>9812</v>
      </c>
      <c r="B2303" s="11">
        <v>4013456789017</v>
      </c>
      <c r="C2303" s="1" t="s">
        <v>11</v>
      </c>
      <c r="D2303" s="1" t="s">
        <v>12</v>
      </c>
      <c r="E2303" s="1" t="s">
        <v>13</v>
      </c>
      <c r="F2303">
        <v>6</v>
      </c>
      <c r="G2303">
        <v>1</v>
      </c>
      <c r="H2303" s="1" t="s">
        <v>14</v>
      </c>
      <c r="I2303" s="1" t="s">
        <v>15</v>
      </c>
      <c r="J2303" s="12">
        <v>45821</v>
      </c>
      <c r="K2303">
        <v>0</v>
      </c>
      <c r="L2303" s="1">
        <f t="shared" si="140"/>
        <v>6</v>
      </c>
      <c r="M2303" s="1" t="str">
        <f t="shared" si="141"/>
        <v/>
      </c>
      <c r="N2303" s="2">
        <f t="shared" si="142"/>
        <v>45809</v>
      </c>
      <c r="O2303" t="str">
        <f t="shared" si="143"/>
        <v>pes</v>
      </c>
    </row>
    <row r="2304" spans="1:15" hidden="1" x14ac:dyDescent="0.25">
      <c r="A2304">
        <v>9813</v>
      </c>
      <c r="B2304" s="11">
        <v>4044567890123</v>
      </c>
      <c r="C2304" s="1" t="s">
        <v>266</v>
      </c>
      <c r="D2304" s="1" t="s">
        <v>267</v>
      </c>
      <c r="E2304" s="1" t="s">
        <v>37</v>
      </c>
      <c r="F2304">
        <v>6</v>
      </c>
      <c r="G2304">
        <v>1</v>
      </c>
      <c r="H2304" s="1" t="s">
        <v>33</v>
      </c>
      <c r="I2304" s="1" t="s">
        <v>349</v>
      </c>
      <c r="J2304" s="12">
        <v>45821</v>
      </c>
      <c r="K2304">
        <v>0</v>
      </c>
      <c r="L2304" s="1">
        <f t="shared" si="140"/>
        <v>6</v>
      </c>
      <c r="M2304" s="1">
        <f t="shared" si="141"/>
        <v>3</v>
      </c>
      <c r="N2304" s="2">
        <f t="shared" si="142"/>
        <v>45809</v>
      </c>
      <c r="O2304" t="str">
        <f t="shared" si="143"/>
        <v>mačka</v>
      </c>
    </row>
    <row r="2305" spans="1:15" hidden="1" x14ac:dyDescent="0.25">
      <c r="A2305">
        <v>9814</v>
      </c>
      <c r="B2305" s="11">
        <v>8006789012345</v>
      </c>
      <c r="C2305" s="1" t="s">
        <v>302</v>
      </c>
      <c r="D2305" s="1" t="s">
        <v>36</v>
      </c>
      <c r="E2305" s="1" t="s">
        <v>303</v>
      </c>
      <c r="F2305">
        <v>8</v>
      </c>
      <c r="G2305">
        <v>1</v>
      </c>
      <c r="H2305" s="1" t="s">
        <v>14</v>
      </c>
      <c r="I2305" s="1" t="s">
        <v>15</v>
      </c>
      <c r="J2305" s="12">
        <v>45821</v>
      </c>
      <c r="K2305">
        <v>0</v>
      </c>
      <c r="L2305" s="1">
        <f t="shared" si="140"/>
        <v>8</v>
      </c>
      <c r="M2305" s="1" t="str">
        <f t="shared" si="141"/>
        <v/>
      </c>
      <c r="N2305" s="2">
        <f t="shared" si="142"/>
        <v>45809</v>
      </c>
      <c r="O2305" t="str">
        <f t="shared" si="143"/>
        <v>mačka</v>
      </c>
    </row>
    <row r="2306" spans="1:15" x14ac:dyDescent="0.25">
      <c r="A2306">
        <v>9815</v>
      </c>
      <c r="B2306" s="11">
        <v>4046789012356</v>
      </c>
      <c r="C2306" s="1" t="s">
        <v>304</v>
      </c>
      <c r="D2306" s="1" t="s">
        <v>39</v>
      </c>
      <c r="E2306" s="1" t="s">
        <v>61</v>
      </c>
      <c r="F2306">
        <v>6.4</v>
      </c>
      <c r="G2306">
        <v>1</v>
      </c>
      <c r="H2306" s="1" t="s">
        <v>18</v>
      </c>
      <c r="I2306" s="1" t="s">
        <v>350</v>
      </c>
      <c r="J2306" s="12">
        <v>45821</v>
      </c>
      <c r="K2306">
        <v>0</v>
      </c>
      <c r="L2306" s="1">
        <f t="shared" ref="L2306:L2369" si="144">F2306*G2306</f>
        <v>6.4</v>
      </c>
      <c r="M2306" s="1">
        <f t="shared" ref="M2306:M2369" si="145">IF(H2306="NULL", "",VALUE(H2306))</f>
        <v>4</v>
      </c>
      <c r="N2306" s="2">
        <f t="shared" ref="N2306:N2369" si="146">DATE(YEAR(J2306),MONTH(J2306),1)</f>
        <v>45809</v>
      </c>
      <c r="O2306" t="str">
        <f t="shared" ref="O2306:O2369" si="147">IF(ISNUMBER(SEARCH("Mačky",D2306)),"mačka",IF(ISNUMBER(SEARCH("Psy",D2306)),"pes","iné"))</f>
        <v>pes</v>
      </c>
    </row>
    <row r="2307" spans="1:15" x14ac:dyDescent="0.25">
      <c r="A2307">
        <v>9816</v>
      </c>
      <c r="B2307" s="11">
        <v>4000123456786</v>
      </c>
      <c r="C2307" s="1" t="s">
        <v>305</v>
      </c>
      <c r="D2307" s="1" t="s">
        <v>21</v>
      </c>
      <c r="E2307" s="1" t="s">
        <v>27</v>
      </c>
      <c r="F2307">
        <v>6.8</v>
      </c>
      <c r="G2307">
        <v>1</v>
      </c>
      <c r="H2307" s="1" t="s">
        <v>14</v>
      </c>
      <c r="I2307" s="1" t="s">
        <v>15</v>
      </c>
      <c r="J2307" s="12">
        <v>45821</v>
      </c>
      <c r="K2307">
        <v>0</v>
      </c>
      <c r="L2307" s="1">
        <f t="shared" si="144"/>
        <v>6.8</v>
      </c>
      <c r="M2307" s="1" t="str">
        <f t="shared" si="145"/>
        <v/>
      </c>
      <c r="N2307" s="2">
        <f t="shared" si="146"/>
        <v>45809</v>
      </c>
      <c r="O2307" t="str">
        <f t="shared" si="147"/>
        <v>pes</v>
      </c>
    </row>
    <row r="2308" spans="1:15" hidden="1" x14ac:dyDescent="0.25">
      <c r="A2308">
        <v>9817</v>
      </c>
      <c r="B2308" s="11">
        <v>8591234567812</v>
      </c>
      <c r="C2308" s="1" t="s">
        <v>314</v>
      </c>
      <c r="D2308" s="1" t="s">
        <v>29</v>
      </c>
      <c r="E2308" s="1" t="s">
        <v>30</v>
      </c>
      <c r="F2308">
        <v>33.200000000000003</v>
      </c>
      <c r="G2308">
        <v>1</v>
      </c>
      <c r="H2308" s="1" t="s">
        <v>18</v>
      </c>
      <c r="I2308" s="1" t="s">
        <v>351</v>
      </c>
      <c r="J2308" s="12">
        <v>45822</v>
      </c>
      <c r="K2308">
        <v>0</v>
      </c>
      <c r="L2308" s="1">
        <f t="shared" si="144"/>
        <v>33.200000000000003</v>
      </c>
      <c r="M2308" s="1">
        <f t="shared" si="145"/>
        <v>4</v>
      </c>
      <c r="N2308" s="2">
        <f t="shared" si="146"/>
        <v>45809</v>
      </c>
      <c r="O2308" t="str">
        <f t="shared" si="147"/>
        <v>mačka</v>
      </c>
    </row>
    <row r="2309" spans="1:15" hidden="1" x14ac:dyDescent="0.25">
      <c r="A2309">
        <v>9818</v>
      </c>
      <c r="B2309" s="11">
        <v>4058899001125</v>
      </c>
      <c r="C2309" s="1" t="s">
        <v>352</v>
      </c>
      <c r="D2309" s="1" t="s">
        <v>267</v>
      </c>
      <c r="E2309" s="1" t="s">
        <v>58</v>
      </c>
      <c r="F2309">
        <v>10.4</v>
      </c>
      <c r="G2309">
        <v>1</v>
      </c>
      <c r="H2309" s="1" t="s">
        <v>14</v>
      </c>
      <c r="I2309" s="1" t="s">
        <v>15</v>
      </c>
      <c r="J2309" s="12">
        <v>45822</v>
      </c>
      <c r="K2309">
        <v>0</v>
      </c>
      <c r="L2309" s="1">
        <f t="shared" si="144"/>
        <v>10.4</v>
      </c>
      <c r="M2309" s="1" t="str">
        <f t="shared" si="145"/>
        <v/>
      </c>
      <c r="N2309" s="2">
        <f t="shared" si="146"/>
        <v>45809</v>
      </c>
      <c r="O2309" t="str">
        <f t="shared" si="147"/>
        <v>mačka</v>
      </c>
    </row>
    <row r="2310" spans="1:15" x14ac:dyDescent="0.25">
      <c r="A2310">
        <v>9819</v>
      </c>
      <c r="B2310" s="11">
        <v>4027788990013</v>
      </c>
      <c r="C2310" s="1" t="s">
        <v>43</v>
      </c>
      <c r="D2310" s="1" t="s">
        <v>21</v>
      </c>
      <c r="E2310" s="1" t="s">
        <v>22</v>
      </c>
      <c r="F2310">
        <v>8</v>
      </c>
      <c r="G2310">
        <v>1</v>
      </c>
      <c r="H2310" s="1" t="s">
        <v>14</v>
      </c>
      <c r="I2310" s="1" t="s">
        <v>15</v>
      </c>
      <c r="J2310" s="12">
        <v>45822</v>
      </c>
      <c r="K2310">
        <v>0</v>
      </c>
      <c r="L2310" s="1">
        <f t="shared" si="144"/>
        <v>8</v>
      </c>
      <c r="M2310" s="1" t="str">
        <f t="shared" si="145"/>
        <v/>
      </c>
      <c r="N2310" s="2">
        <f t="shared" si="146"/>
        <v>45809</v>
      </c>
      <c r="O2310" t="str">
        <f t="shared" si="147"/>
        <v>pes</v>
      </c>
    </row>
    <row r="2311" spans="1:15" hidden="1" x14ac:dyDescent="0.25">
      <c r="A2311">
        <v>9820</v>
      </c>
      <c r="B2311" s="11">
        <v>4066677889903</v>
      </c>
      <c r="C2311" s="1" t="s">
        <v>353</v>
      </c>
      <c r="D2311" s="1" t="s">
        <v>317</v>
      </c>
      <c r="E2311" s="1" t="s">
        <v>42</v>
      </c>
      <c r="F2311">
        <v>59.64</v>
      </c>
      <c r="G2311">
        <v>1</v>
      </c>
      <c r="H2311" s="1" t="s">
        <v>23</v>
      </c>
      <c r="I2311" s="1" t="s">
        <v>354</v>
      </c>
      <c r="J2311" s="12">
        <v>45822</v>
      </c>
      <c r="K2311">
        <v>0</v>
      </c>
      <c r="L2311" s="1">
        <f t="shared" si="144"/>
        <v>59.64</v>
      </c>
      <c r="M2311" s="1">
        <f t="shared" si="145"/>
        <v>5</v>
      </c>
      <c r="N2311" s="2">
        <f t="shared" si="146"/>
        <v>45809</v>
      </c>
      <c r="O2311" t="str">
        <f t="shared" si="147"/>
        <v>mačka</v>
      </c>
    </row>
    <row r="2312" spans="1:15" hidden="1" x14ac:dyDescent="0.25">
      <c r="A2312">
        <v>9821</v>
      </c>
      <c r="B2312" s="11">
        <v>4006677889904</v>
      </c>
      <c r="C2312" s="1" t="s">
        <v>206</v>
      </c>
      <c r="D2312" s="1" t="s">
        <v>29</v>
      </c>
      <c r="E2312" s="1" t="s">
        <v>30</v>
      </c>
      <c r="F2312">
        <v>2</v>
      </c>
      <c r="G2312">
        <v>4</v>
      </c>
      <c r="H2312" s="1" t="s">
        <v>14</v>
      </c>
      <c r="I2312" s="1" t="s">
        <v>15</v>
      </c>
      <c r="J2312" s="12">
        <v>45822</v>
      </c>
      <c r="K2312">
        <v>0</v>
      </c>
      <c r="L2312" s="1">
        <f t="shared" si="144"/>
        <v>8</v>
      </c>
      <c r="M2312" s="1" t="str">
        <f t="shared" si="145"/>
        <v/>
      </c>
      <c r="N2312" s="2">
        <f t="shared" si="146"/>
        <v>45809</v>
      </c>
      <c r="O2312" t="str">
        <f t="shared" si="147"/>
        <v>mačka</v>
      </c>
    </row>
    <row r="2313" spans="1:15" x14ac:dyDescent="0.25">
      <c r="A2313">
        <v>9822</v>
      </c>
      <c r="B2313" s="11">
        <v>4017890123450</v>
      </c>
      <c r="C2313" s="1" t="s">
        <v>65</v>
      </c>
      <c r="D2313" s="1" t="s">
        <v>39</v>
      </c>
      <c r="E2313" s="1" t="s">
        <v>22</v>
      </c>
      <c r="F2313">
        <v>7.6</v>
      </c>
      <c r="G2313">
        <v>1</v>
      </c>
      <c r="H2313" s="1" t="s">
        <v>14</v>
      </c>
      <c r="I2313" s="1" t="s">
        <v>15</v>
      </c>
      <c r="J2313" s="12">
        <v>45822</v>
      </c>
      <c r="K2313">
        <v>0</v>
      </c>
      <c r="L2313" s="1">
        <f t="shared" si="144"/>
        <v>7.6</v>
      </c>
      <c r="M2313" s="1" t="str">
        <f t="shared" si="145"/>
        <v/>
      </c>
      <c r="N2313" s="2">
        <f t="shared" si="146"/>
        <v>45809</v>
      </c>
      <c r="O2313" t="str">
        <f t="shared" si="147"/>
        <v>pes</v>
      </c>
    </row>
    <row r="2314" spans="1:15" hidden="1" x14ac:dyDescent="0.25">
      <c r="A2314">
        <v>9823</v>
      </c>
      <c r="B2314" s="11">
        <v>4014455667790</v>
      </c>
      <c r="C2314" s="1" t="s">
        <v>355</v>
      </c>
      <c r="D2314" s="1" t="s">
        <v>356</v>
      </c>
      <c r="E2314" s="1" t="s">
        <v>303</v>
      </c>
      <c r="F2314">
        <v>37.6</v>
      </c>
      <c r="G2314">
        <v>1</v>
      </c>
      <c r="H2314" s="1" t="s">
        <v>33</v>
      </c>
      <c r="I2314" s="1" t="s">
        <v>357</v>
      </c>
      <c r="J2314" s="12">
        <v>45822</v>
      </c>
      <c r="K2314">
        <v>0</v>
      </c>
      <c r="L2314" s="1">
        <f t="shared" si="144"/>
        <v>37.6</v>
      </c>
      <c r="M2314" s="1">
        <f t="shared" si="145"/>
        <v>3</v>
      </c>
      <c r="N2314" s="2">
        <f t="shared" si="146"/>
        <v>45809</v>
      </c>
      <c r="O2314" t="str">
        <f t="shared" si="147"/>
        <v>iné</v>
      </c>
    </row>
    <row r="2315" spans="1:15" x14ac:dyDescent="0.25">
      <c r="A2315">
        <v>9824</v>
      </c>
      <c r="B2315" s="11">
        <v>4028899001126</v>
      </c>
      <c r="C2315" s="1" t="s">
        <v>16</v>
      </c>
      <c r="D2315" s="1" t="s">
        <v>12</v>
      </c>
      <c r="E2315" s="1" t="s">
        <v>17</v>
      </c>
      <c r="F2315">
        <v>2.8</v>
      </c>
      <c r="G2315">
        <v>4</v>
      </c>
      <c r="H2315" s="1" t="s">
        <v>14</v>
      </c>
      <c r="I2315" s="1" t="s">
        <v>15</v>
      </c>
      <c r="J2315" s="12">
        <v>45822</v>
      </c>
      <c r="K2315">
        <v>0</v>
      </c>
      <c r="L2315" s="1">
        <f t="shared" si="144"/>
        <v>11.2</v>
      </c>
      <c r="M2315" s="1" t="str">
        <f t="shared" si="145"/>
        <v/>
      </c>
      <c r="N2315" s="2">
        <f t="shared" si="146"/>
        <v>45809</v>
      </c>
      <c r="O2315" t="str">
        <f t="shared" si="147"/>
        <v>pes</v>
      </c>
    </row>
    <row r="2316" spans="1:15" x14ac:dyDescent="0.25">
      <c r="A2316">
        <v>9825</v>
      </c>
      <c r="B2316" s="11">
        <v>4013456789017</v>
      </c>
      <c r="C2316" s="1" t="s">
        <v>11</v>
      </c>
      <c r="D2316" s="1" t="s">
        <v>12</v>
      </c>
      <c r="E2316" s="1" t="s">
        <v>13</v>
      </c>
      <c r="F2316">
        <v>6</v>
      </c>
      <c r="G2316">
        <v>1</v>
      </c>
      <c r="H2316" s="1" t="s">
        <v>14</v>
      </c>
      <c r="I2316" s="1" t="s">
        <v>15</v>
      </c>
      <c r="J2316" s="12">
        <v>45822</v>
      </c>
      <c r="K2316">
        <v>0</v>
      </c>
      <c r="L2316" s="1">
        <f t="shared" si="144"/>
        <v>6</v>
      </c>
      <c r="M2316" s="1" t="str">
        <f t="shared" si="145"/>
        <v/>
      </c>
      <c r="N2316" s="2">
        <f t="shared" si="146"/>
        <v>45809</v>
      </c>
      <c r="O2316" t="str">
        <f t="shared" si="147"/>
        <v>pes</v>
      </c>
    </row>
    <row r="2317" spans="1:15" x14ac:dyDescent="0.25">
      <c r="A2317">
        <v>9826</v>
      </c>
      <c r="B2317" s="11">
        <v>4040123456795</v>
      </c>
      <c r="C2317" s="1" t="s">
        <v>20</v>
      </c>
      <c r="D2317" s="1" t="s">
        <v>21</v>
      </c>
      <c r="E2317" s="1" t="s">
        <v>22</v>
      </c>
      <c r="F2317">
        <v>8.8000000000000007</v>
      </c>
      <c r="G2317">
        <v>1</v>
      </c>
      <c r="H2317" s="1" t="s">
        <v>23</v>
      </c>
      <c r="I2317" s="1" t="s">
        <v>358</v>
      </c>
      <c r="J2317" s="12">
        <v>45822</v>
      </c>
      <c r="K2317">
        <v>0</v>
      </c>
      <c r="L2317" s="1">
        <f t="shared" si="144"/>
        <v>8.8000000000000007</v>
      </c>
      <c r="M2317" s="1">
        <f t="shared" si="145"/>
        <v>5</v>
      </c>
      <c r="N2317" s="2">
        <f t="shared" si="146"/>
        <v>45809</v>
      </c>
      <c r="O2317" t="str">
        <f t="shared" si="147"/>
        <v>pes</v>
      </c>
    </row>
    <row r="2318" spans="1:15" hidden="1" x14ac:dyDescent="0.25">
      <c r="A2318">
        <v>9827</v>
      </c>
      <c r="B2318" s="11">
        <v>4010123456783</v>
      </c>
      <c r="C2318" s="1" t="s">
        <v>35</v>
      </c>
      <c r="D2318" s="1" t="s">
        <v>36</v>
      </c>
      <c r="E2318" s="1" t="s">
        <v>37</v>
      </c>
      <c r="F2318">
        <v>14</v>
      </c>
      <c r="G2318">
        <v>1</v>
      </c>
      <c r="H2318" s="1" t="s">
        <v>14</v>
      </c>
      <c r="I2318" s="1" t="s">
        <v>15</v>
      </c>
      <c r="J2318" s="12">
        <v>45822</v>
      </c>
      <c r="K2318">
        <v>0</v>
      </c>
      <c r="L2318" s="1">
        <f t="shared" si="144"/>
        <v>14</v>
      </c>
      <c r="M2318" s="1" t="str">
        <f t="shared" si="145"/>
        <v/>
      </c>
      <c r="N2318" s="2">
        <f t="shared" si="146"/>
        <v>45809</v>
      </c>
      <c r="O2318" t="str">
        <f t="shared" si="147"/>
        <v>mačka</v>
      </c>
    </row>
    <row r="2319" spans="1:15" x14ac:dyDescent="0.25">
      <c r="A2319">
        <v>9828</v>
      </c>
      <c r="B2319" s="11">
        <v>4063456789014</v>
      </c>
      <c r="C2319" s="1" t="s">
        <v>60</v>
      </c>
      <c r="D2319" s="1" t="s">
        <v>12</v>
      </c>
      <c r="E2319" s="1" t="s">
        <v>61</v>
      </c>
      <c r="F2319">
        <v>36</v>
      </c>
      <c r="G2319">
        <v>1</v>
      </c>
      <c r="H2319" s="1" t="s">
        <v>14</v>
      </c>
      <c r="I2319" s="1" t="s">
        <v>15</v>
      </c>
      <c r="J2319" s="12">
        <v>45822</v>
      </c>
      <c r="K2319">
        <v>0</v>
      </c>
      <c r="L2319" s="1">
        <f t="shared" si="144"/>
        <v>36</v>
      </c>
      <c r="M2319" s="1" t="str">
        <f t="shared" si="145"/>
        <v/>
      </c>
      <c r="N2319" s="2">
        <f t="shared" si="146"/>
        <v>45809</v>
      </c>
      <c r="O2319" t="str">
        <f t="shared" si="147"/>
        <v>pes</v>
      </c>
    </row>
    <row r="2320" spans="1:15" hidden="1" x14ac:dyDescent="0.25">
      <c r="A2320">
        <v>9829</v>
      </c>
      <c r="B2320" s="11">
        <v>4021234567894</v>
      </c>
      <c r="C2320" s="1" t="s">
        <v>79</v>
      </c>
      <c r="D2320" s="1" t="s">
        <v>36</v>
      </c>
      <c r="E2320" s="1" t="s">
        <v>69</v>
      </c>
      <c r="F2320">
        <v>8</v>
      </c>
      <c r="G2320">
        <v>1</v>
      </c>
      <c r="H2320" s="1" t="s">
        <v>14</v>
      </c>
      <c r="I2320" s="1" t="s">
        <v>15</v>
      </c>
      <c r="J2320" s="12">
        <v>45822</v>
      </c>
      <c r="K2320">
        <v>0</v>
      </c>
      <c r="L2320" s="1">
        <f t="shared" si="144"/>
        <v>8</v>
      </c>
      <c r="M2320" s="1" t="str">
        <f t="shared" si="145"/>
        <v/>
      </c>
      <c r="N2320" s="2">
        <f t="shared" si="146"/>
        <v>45809</v>
      </c>
      <c r="O2320" t="str">
        <f t="shared" si="147"/>
        <v>mačka</v>
      </c>
    </row>
    <row r="2321" spans="1:15" hidden="1" x14ac:dyDescent="0.25">
      <c r="A2321">
        <v>9830</v>
      </c>
      <c r="B2321" s="11">
        <v>4056789012345</v>
      </c>
      <c r="C2321" s="1" t="s">
        <v>47</v>
      </c>
      <c r="D2321" s="1" t="s">
        <v>29</v>
      </c>
      <c r="E2321" s="1" t="s">
        <v>37</v>
      </c>
      <c r="F2321">
        <v>2.4</v>
      </c>
      <c r="G2321">
        <v>3</v>
      </c>
      <c r="H2321" s="1" t="s">
        <v>14</v>
      </c>
      <c r="I2321" s="1" t="s">
        <v>15</v>
      </c>
      <c r="J2321" s="12">
        <v>45822</v>
      </c>
      <c r="K2321">
        <v>0</v>
      </c>
      <c r="L2321" s="1">
        <f t="shared" si="144"/>
        <v>7.1999999999999993</v>
      </c>
      <c r="M2321" s="1" t="str">
        <f t="shared" si="145"/>
        <v/>
      </c>
      <c r="N2321" s="2">
        <f t="shared" si="146"/>
        <v>45809</v>
      </c>
      <c r="O2321" t="str">
        <f t="shared" si="147"/>
        <v>mačka</v>
      </c>
    </row>
    <row r="2322" spans="1:15" x14ac:dyDescent="0.25">
      <c r="A2322">
        <v>9831</v>
      </c>
      <c r="B2322" s="11">
        <v>4061011223346</v>
      </c>
      <c r="C2322" s="1" t="s">
        <v>25</v>
      </c>
      <c r="D2322" s="1" t="s">
        <v>26</v>
      </c>
      <c r="E2322" s="1" t="s">
        <v>27</v>
      </c>
      <c r="F2322">
        <v>19.600000000000001</v>
      </c>
      <c r="G2322">
        <v>1</v>
      </c>
      <c r="H2322" s="1" t="s">
        <v>14</v>
      </c>
      <c r="I2322" s="1" t="s">
        <v>15</v>
      </c>
      <c r="J2322" s="12">
        <v>45822</v>
      </c>
      <c r="K2322">
        <v>0</v>
      </c>
      <c r="L2322" s="1">
        <f t="shared" si="144"/>
        <v>19.600000000000001</v>
      </c>
      <c r="M2322" s="1" t="str">
        <f t="shared" si="145"/>
        <v/>
      </c>
      <c r="N2322" s="2">
        <f t="shared" si="146"/>
        <v>45809</v>
      </c>
      <c r="O2322" t="str">
        <f t="shared" si="147"/>
        <v>pes</v>
      </c>
    </row>
    <row r="2323" spans="1:15" hidden="1" x14ac:dyDescent="0.25">
      <c r="A2323">
        <v>9832</v>
      </c>
      <c r="B2323" s="11">
        <v>4026677889902</v>
      </c>
      <c r="C2323" s="1" t="s">
        <v>52</v>
      </c>
      <c r="D2323" s="1" t="s">
        <v>53</v>
      </c>
      <c r="E2323" s="1" t="s">
        <v>54</v>
      </c>
      <c r="F2323">
        <v>7.6</v>
      </c>
      <c r="G2323">
        <v>1</v>
      </c>
      <c r="H2323" s="1" t="s">
        <v>18</v>
      </c>
      <c r="I2323" s="1" t="s">
        <v>359</v>
      </c>
      <c r="J2323" s="12">
        <v>45822</v>
      </c>
      <c r="K2323">
        <v>0</v>
      </c>
      <c r="L2323" s="1">
        <f t="shared" si="144"/>
        <v>7.6</v>
      </c>
      <c r="M2323" s="1">
        <f t="shared" si="145"/>
        <v>4</v>
      </c>
      <c r="N2323" s="2">
        <f t="shared" si="146"/>
        <v>45809</v>
      </c>
      <c r="O2323" t="str">
        <f t="shared" si="147"/>
        <v>iné</v>
      </c>
    </row>
    <row r="2324" spans="1:15" hidden="1" x14ac:dyDescent="0.25">
      <c r="A2324">
        <v>9833</v>
      </c>
      <c r="B2324" s="11">
        <v>8007890123454</v>
      </c>
      <c r="C2324" s="1" t="s">
        <v>360</v>
      </c>
      <c r="D2324" s="1" t="s">
        <v>140</v>
      </c>
      <c r="E2324" s="1" t="s">
        <v>37</v>
      </c>
      <c r="F2324">
        <v>43.64</v>
      </c>
      <c r="G2324">
        <v>1</v>
      </c>
      <c r="H2324" s="1" t="s">
        <v>14</v>
      </c>
      <c r="I2324" s="1" t="s">
        <v>15</v>
      </c>
      <c r="J2324" s="12">
        <v>45823</v>
      </c>
      <c r="K2324">
        <v>0</v>
      </c>
      <c r="L2324" s="1">
        <f t="shared" si="144"/>
        <v>43.64</v>
      </c>
      <c r="M2324" s="1" t="str">
        <f t="shared" si="145"/>
        <v/>
      </c>
      <c r="N2324" s="2">
        <f t="shared" si="146"/>
        <v>45809</v>
      </c>
      <c r="O2324" t="str">
        <f t="shared" si="147"/>
        <v>mačka</v>
      </c>
    </row>
    <row r="2325" spans="1:15" x14ac:dyDescent="0.25">
      <c r="A2325">
        <v>9834</v>
      </c>
      <c r="B2325" s="11">
        <v>4028899001126</v>
      </c>
      <c r="C2325" s="1" t="s">
        <v>16</v>
      </c>
      <c r="D2325" s="1" t="s">
        <v>12</v>
      </c>
      <c r="E2325" s="1" t="s">
        <v>17</v>
      </c>
      <c r="F2325">
        <v>2.8</v>
      </c>
      <c r="G2325">
        <v>5</v>
      </c>
      <c r="H2325" s="1" t="s">
        <v>14</v>
      </c>
      <c r="I2325" s="1" t="s">
        <v>15</v>
      </c>
      <c r="J2325" s="12">
        <v>45823</v>
      </c>
      <c r="K2325">
        <v>0</v>
      </c>
      <c r="L2325" s="1">
        <f t="shared" si="144"/>
        <v>14</v>
      </c>
      <c r="M2325" s="1" t="str">
        <f t="shared" si="145"/>
        <v/>
      </c>
      <c r="N2325" s="2">
        <f t="shared" si="146"/>
        <v>45809</v>
      </c>
      <c r="O2325" t="str">
        <f t="shared" si="147"/>
        <v>pes</v>
      </c>
    </row>
    <row r="2326" spans="1:15" x14ac:dyDescent="0.25">
      <c r="A2326">
        <v>9835</v>
      </c>
      <c r="B2326" s="11">
        <v>4013456789017</v>
      </c>
      <c r="C2326" s="1" t="s">
        <v>11</v>
      </c>
      <c r="D2326" s="1" t="s">
        <v>12</v>
      </c>
      <c r="E2326" s="1" t="s">
        <v>13</v>
      </c>
      <c r="F2326">
        <v>6</v>
      </c>
      <c r="G2326">
        <v>1</v>
      </c>
      <c r="H2326" s="1" t="s">
        <v>14</v>
      </c>
      <c r="I2326" s="1" t="s">
        <v>15</v>
      </c>
      <c r="J2326" s="12">
        <v>45823</v>
      </c>
      <c r="K2326">
        <v>0</v>
      </c>
      <c r="L2326" s="1">
        <f t="shared" si="144"/>
        <v>6</v>
      </c>
      <c r="M2326" s="1" t="str">
        <f t="shared" si="145"/>
        <v/>
      </c>
      <c r="N2326" s="2">
        <f t="shared" si="146"/>
        <v>45809</v>
      </c>
      <c r="O2326" t="str">
        <f t="shared" si="147"/>
        <v>pes</v>
      </c>
    </row>
    <row r="2327" spans="1:15" hidden="1" x14ac:dyDescent="0.25">
      <c r="A2327">
        <v>9836</v>
      </c>
      <c r="B2327" s="11">
        <v>4044567890123</v>
      </c>
      <c r="C2327" s="1" t="s">
        <v>266</v>
      </c>
      <c r="D2327" s="1" t="s">
        <v>267</v>
      </c>
      <c r="E2327" s="1" t="s">
        <v>37</v>
      </c>
      <c r="F2327">
        <v>6</v>
      </c>
      <c r="G2327">
        <v>1</v>
      </c>
      <c r="H2327" s="1" t="s">
        <v>14</v>
      </c>
      <c r="I2327" s="1" t="s">
        <v>15</v>
      </c>
      <c r="J2327" s="12">
        <v>45823</v>
      </c>
      <c r="K2327">
        <v>0</v>
      </c>
      <c r="L2327" s="1">
        <f t="shared" si="144"/>
        <v>6</v>
      </c>
      <c r="M2327" s="1" t="str">
        <f t="shared" si="145"/>
        <v/>
      </c>
      <c r="N2327" s="2">
        <f t="shared" si="146"/>
        <v>45809</v>
      </c>
      <c r="O2327" t="str">
        <f t="shared" si="147"/>
        <v>mačka</v>
      </c>
    </row>
    <row r="2328" spans="1:15" hidden="1" x14ac:dyDescent="0.25">
      <c r="A2328">
        <v>9837</v>
      </c>
      <c r="B2328" s="11">
        <v>4050123456794</v>
      </c>
      <c r="C2328" s="1" t="s">
        <v>41</v>
      </c>
      <c r="D2328" s="1" t="s">
        <v>36</v>
      </c>
      <c r="E2328" s="1" t="s">
        <v>42</v>
      </c>
      <c r="F2328">
        <v>7.2</v>
      </c>
      <c r="G2328">
        <v>1</v>
      </c>
      <c r="H2328" s="1" t="s">
        <v>14</v>
      </c>
      <c r="I2328" s="1" t="s">
        <v>15</v>
      </c>
      <c r="J2328" s="12">
        <v>45823</v>
      </c>
      <c r="K2328">
        <v>0</v>
      </c>
      <c r="L2328" s="1">
        <f t="shared" si="144"/>
        <v>7.2</v>
      </c>
      <c r="M2328" s="1" t="str">
        <f t="shared" si="145"/>
        <v/>
      </c>
      <c r="N2328" s="2">
        <f t="shared" si="146"/>
        <v>45809</v>
      </c>
      <c r="O2328" t="str">
        <f t="shared" si="147"/>
        <v>mačka</v>
      </c>
    </row>
    <row r="2329" spans="1:15" hidden="1" x14ac:dyDescent="0.25">
      <c r="A2329">
        <v>9838</v>
      </c>
      <c r="B2329" s="11">
        <v>4025566778891</v>
      </c>
      <c r="C2329" s="1" t="s">
        <v>320</v>
      </c>
      <c r="D2329" s="1" t="s">
        <v>317</v>
      </c>
      <c r="E2329" s="1" t="s">
        <v>30</v>
      </c>
      <c r="F2329">
        <v>51.64</v>
      </c>
      <c r="G2329">
        <v>1</v>
      </c>
      <c r="H2329" s="1" t="s">
        <v>23</v>
      </c>
      <c r="I2329" s="1" t="s">
        <v>361</v>
      </c>
      <c r="J2329" s="12">
        <v>45823</v>
      </c>
      <c r="K2329">
        <v>0</v>
      </c>
      <c r="L2329" s="1">
        <f t="shared" si="144"/>
        <v>51.64</v>
      </c>
      <c r="M2329" s="1">
        <f t="shared" si="145"/>
        <v>5</v>
      </c>
      <c r="N2329" s="2">
        <f t="shared" si="146"/>
        <v>45809</v>
      </c>
      <c r="O2329" t="str">
        <f t="shared" si="147"/>
        <v>mačka</v>
      </c>
    </row>
    <row r="2330" spans="1:15" hidden="1" x14ac:dyDescent="0.25">
      <c r="A2330">
        <v>9839</v>
      </c>
      <c r="B2330" s="11">
        <v>4055678901234</v>
      </c>
      <c r="C2330" s="1" t="s">
        <v>362</v>
      </c>
      <c r="D2330" s="1" t="s">
        <v>267</v>
      </c>
      <c r="E2330" s="1" t="s">
        <v>42</v>
      </c>
      <c r="F2330">
        <v>8</v>
      </c>
      <c r="G2330">
        <v>1</v>
      </c>
      <c r="H2330" s="1" t="s">
        <v>14</v>
      </c>
      <c r="I2330" s="1" t="s">
        <v>15</v>
      </c>
      <c r="J2330" s="12">
        <v>45823</v>
      </c>
      <c r="K2330">
        <v>0</v>
      </c>
      <c r="L2330" s="1">
        <f t="shared" si="144"/>
        <v>8</v>
      </c>
      <c r="M2330" s="1" t="str">
        <f t="shared" si="145"/>
        <v/>
      </c>
      <c r="N2330" s="2">
        <f t="shared" si="146"/>
        <v>45809</v>
      </c>
      <c r="O2330" t="str">
        <f t="shared" si="147"/>
        <v>mačka</v>
      </c>
    </row>
    <row r="2331" spans="1:15" x14ac:dyDescent="0.25">
      <c r="A2331">
        <v>9840</v>
      </c>
      <c r="B2331" s="11">
        <v>4022345678908</v>
      </c>
      <c r="C2331" s="1" t="s">
        <v>363</v>
      </c>
      <c r="D2331" s="1" t="s">
        <v>21</v>
      </c>
      <c r="E2331" s="1" t="s">
        <v>69</v>
      </c>
      <c r="F2331">
        <v>10</v>
      </c>
      <c r="G2331">
        <v>1</v>
      </c>
      <c r="H2331" s="1" t="s">
        <v>14</v>
      </c>
      <c r="I2331" s="1" t="s">
        <v>15</v>
      </c>
      <c r="J2331" s="12">
        <v>45823</v>
      </c>
      <c r="K2331">
        <v>0</v>
      </c>
      <c r="L2331" s="1">
        <f t="shared" si="144"/>
        <v>10</v>
      </c>
      <c r="M2331" s="1" t="str">
        <f t="shared" si="145"/>
        <v/>
      </c>
      <c r="N2331" s="2">
        <f t="shared" si="146"/>
        <v>45809</v>
      </c>
      <c r="O2331" t="str">
        <f t="shared" si="147"/>
        <v>pes</v>
      </c>
    </row>
    <row r="2332" spans="1:15" x14ac:dyDescent="0.25">
      <c r="A2332">
        <v>9841</v>
      </c>
      <c r="B2332" s="11">
        <v>4028899001126</v>
      </c>
      <c r="C2332" s="1" t="s">
        <v>16</v>
      </c>
      <c r="D2332" s="1" t="s">
        <v>12</v>
      </c>
      <c r="E2332" s="1" t="s">
        <v>17</v>
      </c>
      <c r="F2332">
        <v>2.8</v>
      </c>
      <c r="G2332">
        <v>4</v>
      </c>
      <c r="H2332" s="1" t="s">
        <v>14</v>
      </c>
      <c r="I2332" s="1" t="s">
        <v>15</v>
      </c>
      <c r="J2332" s="12">
        <v>45823</v>
      </c>
      <c r="K2332">
        <v>0</v>
      </c>
      <c r="L2332" s="1">
        <f t="shared" si="144"/>
        <v>11.2</v>
      </c>
      <c r="M2332" s="1" t="str">
        <f t="shared" si="145"/>
        <v/>
      </c>
      <c r="N2332" s="2">
        <f t="shared" si="146"/>
        <v>45809</v>
      </c>
      <c r="O2332" t="str">
        <f t="shared" si="147"/>
        <v>pes</v>
      </c>
    </row>
    <row r="2333" spans="1:15" x14ac:dyDescent="0.25">
      <c r="A2333">
        <v>9842</v>
      </c>
      <c r="B2333" s="11">
        <v>4013456789017</v>
      </c>
      <c r="C2333" s="1" t="s">
        <v>11</v>
      </c>
      <c r="D2333" s="1" t="s">
        <v>12</v>
      </c>
      <c r="E2333" s="1" t="s">
        <v>13</v>
      </c>
      <c r="F2333">
        <v>6</v>
      </c>
      <c r="G2333">
        <v>1</v>
      </c>
      <c r="H2333" s="1" t="s">
        <v>18</v>
      </c>
      <c r="I2333" s="1" t="s">
        <v>364</v>
      </c>
      <c r="J2333" s="12">
        <v>45823</v>
      </c>
      <c r="K2333">
        <v>0</v>
      </c>
      <c r="L2333" s="1">
        <f t="shared" si="144"/>
        <v>6</v>
      </c>
      <c r="M2333" s="1">
        <f t="shared" si="145"/>
        <v>4</v>
      </c>
      <c r="N2333" s="2">
        <f t="shared" si="146"/>
        <v>45809</v>
      </c>
      <c r="O2333" t="str">
        <f t="shared" si="147"/>
        <v>pes</v>
      </c>
    </row>
    <row r="2334" spans="1:15" x14ac:dyDescent="0.25">
      <c r="A2334">
        <v>9843</v>
      </c>
      <c r="B2334" s="11">
        <v>4040123456795</v>
      </c>
      <c r="C2334" s="1" t="s">
        <v>20</v>
      </c>
      <c r="D2334" s="1" t="s">
        <v>21</v>
      </c>
      <c r="E2334" s="1" t="s">
        <v>22</v>
      </c>
      <c r="F2334">
        <v>8.8000000000000007</v>
      </c>
      <c r="G2334">
        <v>1</v>
      </c>
      <c r="H2334" s="1" t="s">
        <v>14</v>
      </c>
      <c r="I2334" s="1" t="s">
        <v>15</v>
      </c>
      <c r="J2334" s="12">
        <v>45823</v>
      </c>
      <c r="K2334">
        <v>0</v>
      </c>
      <c r="L2334" s="1">
        <f t="shared" si="144"/>
        <v>8.8000000000000007</v>
      </c>
      <c r="M2334" s="1" t="str">
        <f t="shared" si="145"/>
        <v/>
      </c>
      <c r="N2334" s="2">
        <f t="shared" si="146"/>
        <v>45809</v>
      </c>
      <c r="O2334" t="str">
        <f t="shared" si="147"/>
        <v>pes</v>
      </c>
    </row>
    <row r="2335" spans="1:15" hidden="1" x14ac:dyDescent="0.25">
      <c r="A2335">
        <v>9844</v>
      </c>
      <c r="B2335" s="11">
        <v>4010123456783</v>
      </c>
      <c r="C2335" s="1" t="s">
        <v>35</v>
      </c>
      <c r="D2335" s="1" t="s">
        <v>36</v>
      </c>
      <c r="E2335" s="1" t="s">
        <v>37</v>
      </c>
      <c r="F2335">
        <v>14</v>
      </c>
      <c r="G2335">
        <v>1</v>
      </c>
      <c r="H2335" s="1" t="s">
        <v>14</v>
      </c>
      <c r="I2335" s="1" t="s">
        <v>15</v>
      </c>
      <c r="J2335" s="12">
        <v>45823</v>
      </c>
      <c r="K2335">
        <v>0</v>
      </c>
      <c r="L2335" s="1">
        <f t="shared" si="144"/>
        <v>14</v>
      </c>
      <c r="M2335" s="1" t="str">
        <f t="shared" si="145"/>
        <v/>
      </c>
      <c r="N2335" s="2">
        <f t="shared" si="146"/>
        <v>45809</v>
      </c>
      <c r="O2335" t="str">
        <f t="shared" si="147"/>
        <v>mačka</v>
      </c>
    </row>
    <row r="2336" spans="1:15" x14ac:dyDescent="0.25">
      <c r="A2336">
        <v>9845</v>
      </c>
      <c r="B2336" s="11">
        <v>4063456789014</v>
      </c>
      <c r="C2336" s="1" t="s">
        <v>60</v>
      </c>
      <c r="D2336" s="1" t="s">
        <v>12</v>
      </c>
      <c r="E2336" s="1" t="s">
        <v>61</v>
      </c>
      <c r="F2336">
        <v>36</v>
      </c>
      <c r="G2336">
        <v>1</v>
      </c>
      <c r="H2336" s="1" t="s">
        <v>14</v>
      </c>
      <c r="I2336" s="1" t="s">
        <v>15</v>
      </c>
      <c r="J2336" s="12">
        <v>45823</v>
      </c>
      <c r="K2336">
        <v>0</v>
      </c>
      <c r="L2336" s="1">
        <f t="shared" si="144"/>
        <v>36</v>
      </c>
      <c r="M2336" s="1" t="str">
        <f t="shared" si="145"/>
        <v/>
      </c>
      <c r="N2336" s="2">
        <f t="shared" si="146"/>
        <v>45809</v>
      </c>
      <c r="O2336" t="str">
        <f t="shared" si="147"/>
        <v>pes</v>
      </c>
    </row>
    <row r="2337" spans="1:15" hidden="1" x14ac:dyDescent="0.25">
      <c r="A2337">
        <v>9846</v>
      </c>
      <c r="B2337" s="11">
        <v>4021234567894</v>
      </c>
      <c r="C2337" s="1" t="s">
        <v>79</v>
      </c>
      <c r="D2337" s="1" t="s">
        <v>36</v>
      </c>
      <c r="E2337" s="1" t="s">
        <v>69</v>
      </c>
      <c r="F2337">
        <v>8</v>
      </c>
      <c r="G2337">
        <v>1</v>
      </c>
      <c r="H2337" s="1" t="s">
        <v>14</v>
      </c>
      <c r="I2337" s="1" t="s">
        <v>15</v>
      </c>
      <c r="J2337" s="12">
        <v>45823</v>
      </c>
      <c r="K2337">
        <v>0</v>
      </c>
      <c r="L2337" s="1">
        <f t="shared" si="144"/>
        <v>8</v>
      </c>
      <c r="M2337" s="1" t="str">
        <f t="shared" si="145"/>
        <v/>
      </c>
      <c r="N2337" s="2">
        <f t="shared" si="146"/>
        <v>45809</v>
      </c>
      <c r="O2337" t="str">
        <f t="shared" si="147"/>
        <v>mačka</v>
      </c>
    </row>
    <row r="2338" spans="1:15" hidden="1" x14ac:dyDescent="0.25">
      <c r="A2338">
        <v>9847</v>
      </c>
      <c r="B2338" s="11">
        <v>4056789012345</v>
      </c>
      <c r="C2338" s="1" t="s">
        <v>47</v>
      </c>
      <c r="D2338" s="1" t="s">
        <v>29</v>
      </c>
      <c r="E2338" s="1" t="s">
        <v>37</v>
      </c>
      <c r="F2338">
        <v>2.4</v>
      </c>
      <c r="G2338">
        <v>3</v>
      </c>
      <c r="H2338" s="1" t="s">
        <v>14</v>
      </c>
      <c r="I2338" s="1" t="s">
        <v>15</v>
      </c>
      <c r="J2338" s="12">
        <v>45823</v>
      </c>
      <c r="K2338">
        <v>0</v>
      </c>
      <c r="L2338" s="1">
        <f t="shared" si="144"/>
        <v>7.1999999999999993</v>
      </c>
      <c r="M2338" s="1" t="str">
        <f t="shared" si="145"/>
        <v/>
      </c>
      <c r="N2338" s="2">
        <f t="shared" si="146"/>
        <v>45809</v>
      </c>
      <c r="O2338" t="str">
        <f t="shared" si="147"/>
        <v>mačka</v>
      </c>
    </row>
    <row r="2339" spans="1:15" x14ac:dyDescent="0.25">
      <c r="A2339">
        <v>9848</v>
      </c>
      <c r="B2339" s="11">
        <v>4061011223346</v>
      </c>
      <c r="C2339" s="1" t="s">
        <v>25</v>
      </c>
      <c r="D2339" s="1" t="s">
        <v>26</v>
      </c>
      <c r="E2339" s="1" t="s">
        <v>27</v>
      </c>
      <c r="F2339">
        <v>19.600000000000001</v>
      </c>
      <c r="G2339">
        <v>1</v>
      </c>
      <c r="H2339" s="1" t="s">
        <v>18</v>
      </c>
      <c r="I2339" s="1" t="s">
        <v>365</v>
      </c>
      <c r="J2339" s="12">
        <v>45823</v>
      </c>
      <c r="K2339">
        <v>0</v>
      </c>
      <c r="L2339" s="1">
        <f t="shared" si="144"/>
        <v>19.600000000000001</v>
      </c>
      <c r="M2339" s="1">
        <f t="shared" si="145"/>
        <v>4</v>
      </c>
      <c r="N2339" s="2">
        <f t="shared" si="146"/>
        <v>45809</v>
      </c>
      <c r="O2339" t="str">
        <f t="shared" si="147"/>
        <v>pes</v>
      </c>
    </row>
    <row r="2340" spans="1:15" hidden="1" x14ac:dyDescent="0.25">
      <c r="A2340">
        <v>9849</v>
      </c>
      <c r="B2340" s="11">
        <v>4026677889902</v>
      </c>
      <c r="C2340" s="1" t="s">
        <v>52</v>
      </c>
      <c r="D2340" s="1" t="s">
        <v>53</v>
      </c>
      <c r="E2340" s="1" t="s">
        <v>54</v>
      </c>
      <c r="F2340">
        <v>7.6</v>
      </c>
      <c r="G2340">
        <v>1</v>
      </c>
      <c r="H2340" s="1" t="s">
        <v>14</v>
      </c>
      <c r="I2340" s="1" t="s">
        <v>15</v>
      </c>
      <c r="J2340" s="12">
        <v>45823</v>
      </c>
      <c r="K2340">
        <v>0</v>
      </c>
      <c r="L2340" s="1">
        <f t="shared" si="144"/>
        <v>7.6</v>
      </c>
      <c r="M2340" s="1" t="str">
        <f t="shared" si="145"/>
        <v/>
      </c>
      <c r="N2340" s="2">
        <f t="shared" si="146"/>
        <v>45809</v>
      </c>
      <c r="O2340" t="str">
        <f t="shared" si="147"/>
        <v>iné</v>
      </c>
    </row>
    <row r="2341" spans="1:15" x14ac:dyDescent="0.25">
      <c r="A2341">
        <v>9850</v>
      </c>
      <c r="B2341" s="11">
        <v>4028899001126</v>
      </c>
      <c r="C2341" s="1" t="s">
        <v>16</v>
      </c>
      <c r="D2341" s="1" t="s">
        <v>12</v>
      </c>
      <c r="E2341" s="1" t="s">
        <v>17</v>
      </c>
      <c r="F2341">
        <v>2.8</v>
      </c>
      <c r="G2341">
        <v>4</v>
      </c>
      <c r="H2341" s="1" t="s">
        <v>14</v>
      </c>
      <c r="I2341" s="1" t="s">
        <v>15</v>
      </c>
      <c r="J2341" s="12">
        <v>45824</v>
      </c>
      <c r="K2341">
        <v>0</v>
      </c>
      <c r="L2341" s="1">
        <f t="shared" si="144"/>
        <v>11.2</v>
      </c>
      <c r="M2341" s="1" t="str">
        <f t="shared" si="145"/>
        <v/>
      </c>
      <c r="N2341" s="2">
        <f t="shared" si="146"/>
        <v>45809</v>
      </c>
      <c r="O2341" t="str">
        <f t="shared" si="147"/>
        <v>pes</v>
      </c>
    </row>
    <row r="2342" spans="1:15" x14ac:dyDescent="0.25">
      <c r="A2342">
        <v>9851</v>
      </c>
      <c r="B2342" s="11">
        <v>4013456789017</v>
      </c>
      <c r="C2342" s="1" t="s">
        <v>11</v>
      </c>
      <c r="D2342" s="1" t="s">
        <v>12</v>
      </c>
      <c r="E2342" s="1" t="s">
        <v>13</v>
      </c>
      <c r="F2342">
        <v>6</v>
      </c>
      <c r="G2342">
        <v>1</v>
      </c>
      <c r="H2342" s="1" t="s">
        <v>14</v>
      </c>
      <c r="I2342" s="1" t="s">
        <v>15</v>
      </c>
      <c r="J2342" s="12">
        <v>45824</v>
      </c>
      <c r="K2342">
        <v>0</v>
      </c>
      <c r="L2342" s="1">
        <f t="shared" si="144"/>
        <v>6</v>
      </c>
      <c r="M2342" s="1" t="str">
        <f t="shared" si="145"/>
        <v/>
      </c>
      <c r="N2342" s="2">
        <f t="shared" si="146"/>
        <v>45809</v>
      </c>
      <c r="O2342" t="str">
        <f t="shared" si="147"/>
        <v>pes</v>
      </c>
    </row>
    <row r="2343" spans="1:15" x14ac:dyDescent="0.25">
      <c r="A2343">
        <v>9852</v>
      </c>
      <c r="B2343" s="11">
        <v>4040123456795</v>
      </c>
      <c r="C2343" s="1" t="s">
        <v>20</v>
      </c>
      <c r="D2343" s="1" t="s">
        <v>21</v>
      </c>
      <c r="E2343" s="1" t="s">
        <v>22</v>
      </c>
      <c r="F2343">
        <v>8.8000000000000007</v>
      </c>
      <c r="G2343">
        <v>1</v>
      </c>
      <c r="H2343" s="1" t="s">
        <v>14</v>
      </c>
      <c r="I2343" s="1" t="s">
        <v>15</v>
      </c>
      <c r="J2343" s="12">
        <v>45824</v>
      </c>
      <c r="K2343">
        <v>0</v>
      </c>
      <c r="L2343" s="1">
        <f t="shared" si="144"/>
        <v>8.8000000000000007</v>
      </c>
      <c r="M2343" s="1" t="str">
        <f t="shared" si="145"/>
        <v/>
      </c>
      <c r="N2343" s="2">
        <f t="shared" si="146"/>
        <v>45809</v>
      </c>
      <c r="O2343" t="str">
        <f t="shared" si="147"/>
        <v>pes</v>
      </c>
    </row>
    <row r="2344" spans="1:15" hidden="1" x14ac:dyDescent="0.25">
      <c r="A2344">
        <v>9853</v>
      </c>
      <c r="B2344" s="11">
        <v>4010123456783</v>
      </c>
      <c r="C2344" s="1" t="s">
        <v>35</v>
      </c>
      <c r="D2344" s="1" t="s">
        <v>36</v>
      </c>
      <c r="E2344" s="1" t="s">
        <v>37</v>
      </c>
      <c r="F2344">
        <v>14</v>
      </c>
      <c r="G2344">
        <v>1</v>
      </c>
      <c r="H2344" s="1" t="s">
        <v>14</v>
      </c>
      <c r="I2344" s="1" t="s">
        <v>15</v>
      </c>
      <c r="J2344" s="12">
        <v>45824</v>
      </c>
      <c r="K2344">
        <v>0</v>
      </c>
      <c r="L2344" s="1">
        <f t="shared" si="144"/>
        <v>14</v>
      </c>
      <c r="M2344" s="1" t="str">
        <f t="shared" si="145"/>
        <v/>
      </c>
      <c r="N2344" s="2">
        <f t="shared" si="146"/>
        <v>45809</v>
      </c>
      <c r="O2344" t="str">
        <f t="shared" si="147"/>
        <v>mačka</v>
      </c>
    </row>
    <row r="2345" spans="1:15" x14ac:dyDescent="0.25">
      <c r="A2345">
        <v>9854</v>
      </c>
      <c r="B2345" s="11">
        <v>4063456789014</v>
      </c>
      <c r="C2345" s="1" t="s">
        <v>60</v>
      </c>
      <c r="D2345" s="1" t="s">
        <v>12</v>
      </c>
      <c r="E2345" s="1" t="s">
        <v>61</v>
      </c>
      <c r="F2345">
        <v>36</v>
      </c>
      <c r="G2345">
        <v>1</v>
      </c>
      <c r="H2345" s="1" t="s">
        <v>23</v>
      </c>
      <c r="I2345" s="1" t="s">
        <v>366</v>
      </c>
      <c r="J2345" s="12">
        <v>45824</v>
      </c>
      <c r="K2345">
        <v>0</v>
      </c>
      <c r="L2345" s="1">
        <f t="shared" si="144"/>
        <v>36</v>
      </c>
      <c r="M2345" s="1">
        <f t="shared" si="145"/>
        <v>5</v>
      </c>
      <c r="N2345" s="2">
        <f t="shared" si="146"/>
        <v>45809</v>
      </c>
      <c r="O2345" t="str">
        <f t="shared" si="147"/>
        <v>pes</v>
      </c>
    </row>
    <row r="2346" spans="1:15" hidden="1" x14ac:dyDescent="0.25">
      <c r="A2346">
        <v>9855</v>
      </c>
      <c r="B2346" s="11">
        <v>4021234567894</v>
      </c>
      <c r="C2346" s="1" t="s">
        <v>79</v>
      </c>
      <c r="D2346" s="1" t="s">
        <v>36</v>
      </c>
      <c r="E2346" s="1" t="s">
        <v>69</v>
      </c>
      <c r="F2346">
        <v>8</v>
      </c>
      <c r="G2346">
        <v>1</v>
      </c>
      <c r="H2346" s="1" t="s">
        <v>14</v>
      </c>
      <c r="I2346" s="1" t="s">
        <v>15</v>
      </c>
      <c r="J2346" s="12">
        <v>45824</v>
      </c>
      <c r="K2346">
        <v>0</v>
      </c>
      <c r="L2346" s="1">
        <f t="shared" si="144"/>
        <v>8</v>
      </c>
      <c r="M2346" s="1" t="str">
        <f t="shared" si="145"/>
        <v/>
      </c>
      <c r="N2346" s="2">
        <f t="shared" si="146"/>
        <v>45809</v>
      </c>
      <c r="O2346" t="str">
        <f t="shared" si="147"/>
        <v>mačka</v>
      </c>
    </row>
    <row r="2347" spans="1:15" hidden="1" x14ac:dyDescent="0.25">
      <c r="A2347">
        <v>9856</v>
      </c>
      <c r="B2347" s="11">
        <v>4056789012345</v>
      </c>
      <c r="C2347" s="1" t="s">
        <v>47</v>
      </c>
      <c r="D2347" s="1" t="s">
        <v>29</v>
      </c>
      <c r="E2347" s="1" t="s">
        <v>37</v>
      </c>
      <c r="F2347">
        <v>2.4</v>
      </c>
      <c r="G2347">
        <v>2</v>
      </c>
      <c r="H2347" s="1" t="s">
        <v>14</v>
      </c>
      <c r="I2347" s="1" t="s">
        <v>15</v>
      </c>
      <c r="J2347" s="12">
        <v>45824</v>
      </c>
      <c r="K2347">
        <v>0</v>
      </c>
      <c r="L2347" s="1">
        <f t="shared" si="144"/>
        <v>4.8</v>
      </c>
      <c r="M2347" s="1" t="str">
        <f t="shared" si="145"/>
        <v/>
      </c>
      <c r="N2347" s="2">
        <f t="shared" si="146"/>
        <v>45809</v>
      </c>
      <c r="O2347" t="str">
        <f t="shared" si="147"/>
        <v>mačka</v>
      </c>
    </row>
    <row r="2348" spans="1:15" x14ac:dyDescent="0.25">
      <c r="A2348">
        <v>9857</v>
      </c>
      <c r="B2348" s="11">
        <v>4061011223346</v>
      </c>
      <c r="C2348" s="1" t="s">
        <v>25</v>
      </c>
      <c r="D2348" s="1" t="s">
        <v>26</v>
      </c>
      <c r="E2348" s="1" t="s">
        <v>27</v>
      </c>
      <c r="F2348">
        <v>19.600000000000001</v>
      </c>
      <c r="G2348">
        <v>1</v>
      </c>
      <c r="H2348" s="1" t="s">
        <v>14</v>
      </c>
      <c r="I2348" s="1" t="s">
        <v>15</v>
      </c>
      <c r="J2348" s="12">
        <v>45824</v>
      </c>
      <c r="K2348">
        <v>0</v>
      </c>
      <c r="L2348" s="1">
        <f t="shared" si="144"/>
        <v>19.600000000000001</v>
      </c>
      <c r="M2348" s="1" t="str">
        <f t="shared" si="145"/>
        <v/>
      </c>
      <c r="N2348" s="2">
        <f t="shared" si="146"/>
        <v>45809</v>
      </c>
      <c r="O2348" t="str">
        <f t="shared" si="147"/>
        <v>pes</v>
      </c>
    </row>
    <row r="2349" spans="1:15" hidden="1" x14ac:dyDescent="0.25">
      <c r="A2349">
        <v>9858</v>
      </c>
      <c r="B2349" s="11">
        <v>4026677889902</v>
      </c>
      <c r="C2349" s="1" t="s">
        <v>52</v>
      </c>
      <c r="D2349" s="1" t="s">
        <v>53</v>
      </c>
      <c r="E2349" s="1" t="s">
        <v>54</v>
      </c>
      <c r="F2349">
        <v>7.6</v>
      </c>
      <c r="G2349">
        <v>1</v>
      </c>
      <c r="H2349" s="1" t="s">
        <v>14</v>
      </c>
      <c r="I2349" s="1" t="s">
        <v>15</v>
      </c>
      <c r="J2349" s="12">
        <v>45824</v>
      </c>
      <c r="K2349">
        <v>0</v>
      </c>
      <c r="L2349" s="1">
        <f t="shared" si="144"/>
        <v>7.6</v>
      </c>
      <c r="M2349" s="1" t="str">
        <f t="shared" si="145"/>
        <v/>
      </c>
      <c r="N2349" s="2">
        <f t="shared" si="146"/>
        <v>45809</v>
      </c>
      <c r="O2349" t="str">
        <f t="shared" si="147"/>
        <v>iné</v>
      </c>
    </row>
    <row r="2350" spans="1:15" x14ac:dyDescent="0.25">
      <c r="A2350">
        <v>9859</v>
      </c>
      <c r="B2350" s="11">
        <v>4028899001126</v>
      </c>
      <c r="C2350" s="1" t="s">
        <v>16</v>
      </c>
      <c r="D2350" s="1" t="s">
        <v>12</v>
      </c>
      <c r="E2350" s="1" t="s">
        <v>17</v>
      </c>
      <c r="F2350">
        <v>2.8</v>
      </c>
      <c r="G2350">
        <v>3</v>
      </c>
      <c r="H2350" s="1" t="s">
        <v>14</v>
      </c>
      <c r="I2350" s="1" t="s">
        <v>15</v>
      </c>
      <c r="J2350" s="12">
        <v>45824</v>
      </c>
      <c r="K2350">
        <v>0</v>
      </c>
      <c r="L2350" s="1">
        <f t="shared" si="144"/>
        <v>8.3999999999999986</v>
      </c>
      <c r="M2350" s="1" t="str">
        <f t="shared" si="145"/>
        <v/>
      </c>
      <c r="N2350" s="2">
        <f t="shared" si="146"/>
        <v>45809</v>
      </c>
      <c r="O2350" t="str">
        <f t="shared" si="147"/>
        <v>pes</v>
      </c>
    </row>
    <row r="2351" spans="1:15" x14ac:dyDescent="0.25">
      <c r="A2351">
        <v>9860</v>
      </c>
      <c r="B2351" s="11">
        <v>4013456789017</v>
      </c>
      <c r="C2351" s="1" t="s">
        <v>11</v>
      </c>
      <c r="D2351" s="1" t="s">
        <v>12</v>
      </c>
      <c r="E2351" s="1" t="s">
        <v>13</v>
      </c>
      <c r="F2351">
        <v>6</v>
      </c>
      <c r="G2351">
        <v>1</v>
      </c>
      <c r="H2351" s="1" t="s">
        <v>18</v>
      </c>
      <c r="I2351" s="1" t="s">
        <v>367</v>
      </c>
      <c r="J2351" s="12">
        <v>45824</v>
      </c>
      <c r="K2351">
        <v>0</v>
      </c>
      <c r="L2351" s="1">
        <f t="shared" si="144"/>
        <v>6</v>
      </c>
      <c r="M2351" s="1">
        <f t="shared" si="145"/>
        <v>4</v>
      </c>
      <c r="N2351" s="2">
        <f t="shared" si="146"/>
        <v>45809</v>
      </c>
      <c r="O2351" t="str">
        <f t="shared" si="147"/>
        <v>pes</v>
      </c>
    </row>
    <row r="2352" spans="1:15" hidden="1" x14ac:dyDescent="0.25">
      <c r="A2352">
        <v>9861</v>
      </c>
      <c r="B2352" s="11">
        <v>4044567890123</v>
      </c>
      <c r="C2352" s="1" t="s">
        <v>266</v>
      </c>
      <c r="D2352" s="1" t="s">
        <v>267</v>
      </c>
      <c r="E2352" s="1" t="s">
        <v>37</v>
      </c>
      <c r="F2352">
        <v>6</v>
      </c>
      <c r="G2352">
        <v>1</v>
      </c>
      <c r="H2352" s="1" t="s">
        <v>14</v>
      </c>
      <c r="I2352" s="1" t="s">
        <v>15</v>
      </c>
      <c r="J2352" s="12">
        <v>45824</v>
      </c>
      <c r="K2352">
        <v>0</v>
      </c>
      <c r="L2352" s="1">
        <f t="shared" si="144"/>
        <v>6</v>
      </c>
      <c r="M2352" s="1" t="str">
        <f t="shared" si="145"/>
        <v/>
      </c>
      <c r="N2352" s="2">
        <f t="shared" si="146"/>
        <v>45809</v>
      </c>
      <c r="O2352" t="str">
        <f t="shared" si="147"/>
        <v>mačka</v>
      </c>
    </row>
    <row r="2353" spans="1:15" hidden="1" x14ac:dyDescent="0.25">
      <c r="A2353">
        <v>9862</v>
      </c>
      <c r="B2353" s="11">
        <v>8006789012345</v>
      </c>
      <c r="C2353" s="1" t="s">
        <v>302</v>
      </c>
      <c r="D2353" s="1" t="s">
        <v>36</v>
      </c>
      <c r="E2353" s="1" t="s">
        <v>303</v>
      </c>
      <c r="F2353">
        <v>8</v>
      </c>
      <c r="G2353">
        <v>1</v>
      </c>
      <c r="H2353" s="1" t="s">
        <v>14</v>
      </c>
      <c r="I2353" s="1" t="s">
        <v>15</v>
      </c>
      <c r="J2353" s="12">
        <v>45824</v>
      </c>
      <c r="K2353">
        <v>0</v>
      </c>
      <c r="L2353" s="1">
        <f t="shared" si="144"/>
        <v>8</v>
      </c>
      <c r="M2353" s="1" t="str">
        <f t="shared" si="145"/>
        <v/>
      </c>
      <c r="N2353" s="2">
        <f t="shared" si="146"/>
        <v>45809</v>
      </c>
      <c r="O2353" t="str">
        <f t="shared" si="147"/>
        <v>mačka</v>
      </c>
    </row>
    <row r="2354" spans="1:15" x14ac:dyDescent="0.25">
      <c r="A2354">
        <v>9863</v>
      </c>
      <c r="B2354" s="11">
        <v>4046789012356</v>
      </c>
      <c r="C2354" s="1" t="s">
        <v>304</v>
      </c>
      <c r="D2354" s="1" t="s">
        <v>39</v>
      </c>
      <c r="E2354" s="1" t="s">
        <v>61</v>
      </c>
      <c r="F2354">
        <v>6.4</v>
      </c>
      <c r="G2354">
        <v>1</v>
      </c>
      <c r="H2354" s="1" t="s">
        <v>23</v>
      </c>
      <c r="I2354" s="1" t="s">
        <v>368</v>
      </c>
      <c r="J2354" s="12">
        <v>45824</v>
      </c>
      <c r="K2354">
        <v>0</v>
      </c>
      <c r="L2354" s="1">
        <f t="shared" si="144"/>
        <v>6.4</v>
      </c>
      <c r="M2354" s="1">
        <f t="shared" si="145"/>
        <v>5</v>
      </c>
      <c r="N2354" s="2">
        <f t="shared" si="146"/>
        <v>45809</v>
      </c>
      <c r="O2354" t="str">
        <f t="shared" si="147"/>
        <v>pes</v>
      </c>
    </row>
    <row r="2355" spans="1:15" x14ac:dyDescent="0.25">
      <c r="A2355">
        <v>9864</v>
      </c>
      <c r="B2355" s="11">
        <v>4000123456786</v>
      </c>
      <c r="C2355" s="1" t="s">
        <v>305</v>
      </c>
      <c r="D2355" s="1" t="s">
        <v>21</v>
      </c>
      <c r="E2355" s="1" t="s">
        <v>27</v>
      </c>
      <c r="F2355">
        <v>6.8</v>
      </c>
      <c r="G2355">
        <v>1</v>
      </c>
      <c r="H2355" s="1" t="s">
        <v>14</v>
      </c>
      <c r="I2355" s="1" t="s">
        <v>15</v>
      </c>
      <c r="J2355" s="12">
        <v>45824</v>
      </c>
      <c r="K2355">
        <v>0</v>
      </c>
      <c r="L2355" s="1">
        <f t="shared" si="144"/>
        <v>6.8</v>
      </c>
      <c r="M2355" s="1" t="str">
        <f t="shared" si="145"/>
        <v/>
      </c>
      <c r="N2355" s="2">
        <f t="shared" si="146"/>
        <v>45809</v>
      </c>
      <c r="O2355" t="str">
        <f t="shared" si="147"/>
        <v>pes</v>
      </c>
    </row>
    <row r="2356" spans="1:15" x14ac:dyDescent="0.25">
      <c r="A2356">
        <v>9865</v>
      </c>
      <c r="B2356" s="11">
        <v>4028899001126</v>
      </c>
      <c r="C2356" s="1" t="s">
        <v>16</v>
      </c>
      <c r="D2356" s="1" t="s">
        <v>12</v>
      </c>
      <c r="E2356" s="1" t="s">
        <v>17</v>
      </c>
      <c r="F2356">
        <v>2.8</v>
      </c>
      <c r="G2356">
        <v>3</v>
      </c>
      <c r="H2356" s="1" t="s">
        <v>14</v>
      </c>
      <c r="I2356" s="1" t="s">
        <v>15</v>
      </c>
      <c r="J2356" s="12">
        <v>45825</v>
      </c>
      <c r="K2356">
        <v>0</v>
      </c>
      <c r="L2356" s="1">
        <f t="shared" si="144"/>
        <v>8.3999999999999986</v>
      </c>
      <c r="M2356" s="1" t="str">
        <f t="shared" si="145"/>
        <v/>
      </c>
      <c r="N2356" s="2">
        <f t="shared" si="146"/>
        <v>45809</v>
      </c>
      <c r="O2356" t="str">
        <f t="shared" si="147"/>
        <v>pes</v>
      </c>
    </row>
    <row r="2357" spans="1:15" x14ac:dyDescent="0.25">
      <c r="A2357">
        <v>9866</v>
      </c>
      <c r="B2357" s="11">
        <v>4013456789017</v>
      </c>
      <c r="C2357" s="1" t="s">
        <v>11</v>
      </c>
      <c r="D2357" s="1" t="s">
        <v>12</v>
      </c>
      <c r="E2357" s="1" t="s">
        <v>13</v>
      </c>
      <c r="F2357">
        <v>6</v>
      </c>
      <c r="G2357">
        <v>2</v>
      </c>
      <c r="H2357" s="1" t="s">
        <v>14</v>
      </c>
      <c r="I2357" s="1" t="s">
        <v>15</v>
      </c>
      <c r="J2357" s="12">
        <v>45825</v>
      </c>
      <c r="K2357">
        <v>0</v>
      </c>
      <c r="L2357" s="1">
        <f t="shared" si="144"/>
        <v>12</v>
      </c>
      <c r="M2357" s="1" t="str">
        <f t="shared" si="145"/>
        <v/>
      </c>
      <c r="N2357" s="2">
        <f t="shared" si="146"/>
        <v>45809</v>
      </c>
      <c r="O2357" t="str">
        <f t="shared" si="147"/>
        <v>pes</v>
      </c>
    </row>
    <row r="2358" spans="1:15" x14ac:dyDescent="0.25">
      <c r="A2358">
        <v>9867</v>
      </c>
      <c r="B2358" s="11">
        <v>4040123456795</v>
      </c>
      <c r="C2358" s="1" t="s">
        <v>20</v>
      </c>
      <c r="D2358" s="1" t="s">
        <v>21</v>
      </c>
      <c r="E2358" s="1" t="s">
        <v>22</v>
      </c>
      <c r="F2358">
        <v>8.8000000000000007</v>
      </c>
      <c r="G2358">
        <v>1</v>
      </c>
      <c r="H2358" s="1" t="s">
        <v>14</v>
      </c>
      <c r="I2358" s="1" t="s">
        <v>15</v>
      </c>
      <c r="J2358" s="12">
        <v>45825</v>
      </c>
      <c r="K2358">
        <v>0</v>
      </c>
      <c r="L2358" s="1">
        <f t="shared" si="144"/>
        <v>8.8000000000000007</v>
      </c>
      <c r="M2358" s="1" t="str">
        <f t="shared" si="145"/>
        <v/>
      </c>
      <c r="N2358" s="2">
        <f t="shared" si="146"/>
        <v>45809</v>
      </c>
      <c r="O2358" t="str">
        <f t="shared" si="147"/>
        <v>pes</v>
      </c>
    </row>
    <row r="2359" spans="1:15" hidden="1" x14ac:dyDescent="0.25">
      <c r="A2359">
        <v>9868</v>
      </c>
      <c r="B2359" s="11">
        <v>4010123456783</v>
      </c>
      <c r="C2359" s="1" t="s">
        <v>35</v>
      </c>
      <c r="D2359" s="1" t="s">
        <v>36</v>
      </c>
      <c r="E2359" s="1" t="s">
        <v>37</v>
      </c>
      <c r="F2359">
        <v>14</v>
      </c>
      <c r="G2359">
        <v>1</v>
      </c>
      <c r="H2359" s="1" t="s">
        <v>14</v>
      </c>
      <c r="I2359" s="1" t="s">
        <v>15</v>
      </c>
      <c r="J2359" s="12">
        <v>45825</v>
      </c>
      <c r="K2359">
        <v>0</v>
      </c>
      <c r="L2359" s="1">
        <f t="shared" si="144"/>
        <v>14</v>
      </c>
      <c r="M2359" s="1" t="str">
        <f t="shared" si="145"/>
        <v/>
      </c>
      <c r="N2359" s="2">
        <f t="shared" si="146"/>
        <v>45809</v>
      </c>
      <c r="O2359" t="str">
        <f t="shared" si="147"/>
        <v>mačka</v>
      </c>
    </row>
    <row r="2360" spans="1:15" x14ac:dyDescent="0.25">
      <c r="A2360">
        <v>9869</v>
      </c>
      <c r="B2360" s="11">
        <v>4063456789014</v>
      </c>
      <c r="C2360" s="1" t="s">
        <v>60</v>
      </c>
      <c r="D2360" s="1" t="s">
        <v>12</v>
      </c>
      <c r="E2360" s="1" t="s">
        <v>61</v>
      </c>
      <c r="F2360">
        <v>36</v>
      </c>
      <c r="G2360">
        <v>1</v>
      </c>
      <c r="H2360" s="1" t="s">
        <v>23</v>
      </c>
      <c r="I2360" s="1" t="s">
        <v>369</v>
      </c>
      <c r="J2360" s="12">
        <v>45825</v>
      </c>
      <c r="K2360">
        <v>0</v>
      </c>
      <c r="L2360" s="1">
        <f t="shared" si="144"/>
        <v>36</v>
      </c>
      <c r="M2360" s="1">
        <f t="shared" si="145"/>
        <v>5</v>
      </c>
      <c r="N2360" s="2">
        <f t="shared" si="146"/>
        <v>45809</v>
      </c>
      <c r="O2360" t="str">
        <f t="shared" si="147"/>
        <v>pes</v>
      </c>
    </row>
    <row r="2361" spans="1:15" hidden="1" x14ac:dyDescent="0.25">
      <c r="A2361">
        <v>9870</v>
      </c>
      <c r="B2361" s="11">
        <v>4021234567894</v>
      </c>
      <c r="C2361" s="1" t="s">
        <v>79</v>
      </c>
      <c r="D2361" s="1" t="s">
        <v>36</v>
      </c>
      <c r="E2361" s="1" t="s">
        <v>69</v>
      </c>
      <c r="F2361">
        <v>8</v>
      </c>
      <c r="G2361">
        <v>1</v>
      </c>
      <c r="H2361" s="1" t="s">
        <v>14</v>
      </c>
      <c r="I2361" s="1" t="s">
        <v>15</v>
      </c>
      <c r="J2361" s="12">
        <v>45825</v>
      </c>
      <c r="K2361">
        <v>0</v>
      </c>
      <c r="L2361" s="1">
        <f t="shared" si="144"/>
        <v>8</v>
      </c>
      <c r="M2361" s="1" t="str">
        <f t="shared" si="145"/>
        <v/>
      </c>
      <c r="N2361" s="2">
        <f t="shared" si="146"/>
        <v>45809</v>
      </c>
      <c r="O2361" t="str">
        <f t="shared" si="147"/>
        <v>mačka</v>
      </c>
    </row>
    <row r="2362" spans="1:15" hidden="1" x14ac:dyDescent="0.25">
      <c r="A2362">
        <v>9871</v>
      </c>
      <c r="B2362" s="11">
        <v>4056789012345</v>
      </c>
      <c r="C2362" s="1" t="s">
        <v>47</v>
      </c>
      <c r="D2362" s="1" t="s">
        <v>29</v>
      </c>
      <c r="E2362" s="1" t="s">
        <v>37</v>
      </c>
      <c r="F2362">
        <v>2.4</v>
      </c>
      <c r="G2362">
        <v>2</v>
      </c>
      <c r="H2362" s="1" t="s">
        <v>14</v>
      </c>
      <c r="I2362" s="1" t="s">
        <v>15</v>
      </c>
      <c r="J2362" s="12">
        <v>45825</v>
      </c>
      <c r="K2362">
        <v>0</v>
      </c>
      <c r="L2362" s="1">
        <f t="shared" si="144"/>
        <v>4.8</v>
      </c>
      <c r="M2362" s="1" t="str">
        <f t="shared" si="145"/>
        <v/>
      </c>
      <c r="N2362" s="2">
        <f t="shared" si="146"/>
        <v>45809</v>
      </c>
      <c r="O2362" t="str">
        <f t="shared" si="147"/>
        <v>mačka</v>
      </c>
    </row>
    <row r="2363" spans="1:15" x14ac:dyDescent="0.25">
      <c r="A2363">
        <v>9872</v>
      </c>
      <c r="B2363" s="11">
        <v>4061011223346</v>
      </c>
      <c r="C2363" s="1" t="s">
        <v>25</v>
      </c>
      <c r="D2363" s="1" t="s">
        <v>26</v>
      </c>
      <c r="E2363" s="1" t="s">
        <v>27</v>
      </c>
      <c r="F2363">
        <v>19.600000000000001</v>
      </c>
      <c r="G2363">
        <v>1</v>
      </c>
      <c r="H2363" s="1" t="s">
        <v>14</v>
      </c>
      <c r="I2363" s="1" t="s">
        <v>15</v>
      </c>
      <c r="J2363" s="12">
        <v>45825</v>
      </c>
      <c r="K2363">
        <v>0</v>
      </c>
      <c r="L2363" s="1">
        <f t="shared" si="144"/>
        <v>19.600000000000001</v>
      </c>
      <c r="M2363" s="1" t="str">
        <f t="shared" si="145"/>
        <v/>
      </c>
      <c r="N2363" s="2">
        <f t="shared" si="146"/>
        <v>45809</v>
      </c>
      <c r="O2363" t="str">
        <f t="shared" si="147"/>
        <v>pes</v>
      </c>
    </row>
    <row r="2364" spans="1:15" hidden="1" x14ac:dyDescent="0.25">
      <c r="A2364">
        <v>9873</v>
      </c>
      <c r="B2364" s="11">
        <v>4026677889902</v>
      </c>
      <c r="C2364" s="1" t="s">
        <v>52</v>
      </c>
      <c r="D2364" s="1" t="s">
        <v>53</v>
      </c>
      <c r="E2364" s="1" t="s">
        <v>54</v>
      </c>
      <c r="F2364">
        <v>7.6</v>
      </c>
      <c r="G2364">
        <v>1</v>
      </c>
      <c r="H2364" s="1" t="s">
        <v>14</v>
      </c>
      <c r="I2364" s="1" t="s">
        <v>15</v>
      </c>
      <c r="J2364" s="12">
        <v>45825</v>
      </c>
      <c r="K2364">
        <v>0</v>
      </c>
      <c r="L2364" s="1">
        <f t="shared" si="144"/>
        <v>7.6</v>
      </c>
      <c r="M2364" s="1" t="str">
        <f t="shared" si="145"/>
        <v/>
      </c>
      <c r="N2364" s="2">
        <f t="shared" si="146"/>
        <v>45809</v>
      </c>
      <c r="O2364" t="str">
        <f t="shared" si="147"/>
        <v>iné</v>
      </c>
    </row>
    <row r="2365" spans="1:15" x14ac:dyDescent="0.25">
      <c r="A2365">
        <v>9874</v>
      </c>
      <c r="B2365" s="11">
        <v>4028899001126</v>
      </c>
      <c r="C2365" s="1" t="s">
        <v>16</v>
      </c>
      <c r="D2365" s="1" t="s">
        <v>12</v>
      </c>
      <c r="E2365" s="1" t="s">
        <v>17</v>
      </c>
      <c r="F2365">
        <v>2.8</v>
      </c>
      <c r="G2365">
        <v>4</v>
      </c>
      <c r="H2365" s="1" t="s">
        <v>14</v>
      </c>
      <c r="I2365" s="1" t="s">
        <v>15</v>
      </c>
      <c r="J2365" s="12">
        <v>45825</v>
      </c>
      <c r="K2365">
        <v>0</v>
      </c>
      <c r="L2365" s="1">
        <f t="shared" si="144"/>
        <v>11.2</v>
      </c>
      <c r="M2365" s="1" t="str">
        <f t="shared" si="145"/>
        <v/>
      </c>
      <c r="N2365" s="2">
        <f t="shared" si="146"/>
        <v>45809</v>
      </c>
      <c r="O2365" t="str">
        <f t="shared" si="147"/>
        <v>pes</v>
      </c>
    </row>
    <row r="2366" spans="1:15" x14ac:dyDescent="0.25">
      <c r="A2366">
        <v>9875</v>
      </c>
      <c r="B2366" s="11">
        <v>4013456789017</v>
      </c>
      <c r="C2366" s="1" t="s">
        <v>11</v>
      </c>
      <c r="D2366" s="1" t="s">
        <v>12</v>
      </c>
      <c r="E2366" s="1" t="s">
        <v>13</v>
      </c>
      <c r="F2366">
        <v>6</v>
      </c>
      <c r="G2366">
        <v>1</v>
      </c>
      <c r="H2366" s="1" t="s">
        <v>14</v>
      </c>
      <c r="I2366" s="1" t="s">
        <v>15</v>
      </c>
      <c r="J2366" s="12">
        <v>45825</v>
      </c>
      <c r="K2366">
        <v>0</v>
      </c>
      <c r="L2366" s="1">
        <f t="shared" si="144"/>
        <v>6</v>
      </c>
      <c r="M2366" s="1" t="str">
        <f t="shared" si="145"/>
        <v/>
      </c>
      <c r="N2366" s="2">
        <f t="shared" si="146"/>
        <v>45809</v>
      </c>
      <c r="O2366" t="str">
        <f t="shared" si="147"/>
        <v>pes</v>
      </c>
    </row>
    <row r="2367" spans="1:15" hidden="1" x14ac:dyDescent="0.25">
      <c r="A2367">
        <v>9876</v>
      </c>
      <c r="B2367" s="11">
        <v>4047890123460</v>
      </c>
      <c r="C2367" s="1" t="s">
        <v>325</v>
      </c>
      <c r="D2367" s="1" t="s">
        <v>144</v>
      </c>
      <c r="E2367" s="1" t="s">
        <v>58</v>
      </c>
      <c r="F2367">
        <v>10</v>
      </c>
      <c r="G2367">
        <v>1</v>
      </c>
      <c r="H2367" s="1" t="s">
        <v>18</v>
      </c>
      <c r="I2367" s="1" t="s">
        <v>370</v>
      </c>
      <c r="J2367" s="12">
        <v>45825</v>
      </c>
      <c r="K2367">
        <v>0</v>
      </c>
      <c r="L2367" s="1">
        <f t="shared" si="144"/>
        <v>10</v>
      </c>
      <c r="M2367" s="1">
        <f t="shared" si="145"/>
        <v>4</v>
      </c>
      <c r="N2367" s="2">
        <f t="shared" si="146"/>
        <v>45809</v>
      </c>
      <c r="O2367" t="str">
        <f t="shared" si="147"/>
        <v>mačka</v>
      </c>
    </row>
    <row r="2368" spans="1:15" x14ac:dyDescent="0.25">
      <c r="A2368">
        <v>9877</v>
      </c>
      <c r="B2368" s="11">
        <v>4028899001126</v>
      </c>
      <c r="C2368" s="1" t="s">
        <v>16</v>
      </c>
      <c r="D2368" s="1" t="s">
        <v>12</v>
      </c>
      <c r="E2368" s="1" t="s">
        <v>17</v>
      </c>
      <c r="F2368">
        <v>2.8</v>
      </c>
      <c r="G2368">
        <v>4</v>
      </c>
      <c r="H2368" s="1" t="s">
        <v>14</v>
      </c>
      <c r="I2368" s="1" t="s">
        <v>15</v>
      </c>
      <c r="J2368" s="12">
        <v>45826</v>
      </c>
      <c r="K2368">
        <v>0</v>
      </c>
      <c r="L2368" s="1">
        <f t="shared" si="144"/>
        <v>11.2</v>
      </c>
      <c r="M2368" s="1" t="str">
        <f t="shared" si="145"/>
        <v/>
      </c>
      <c r="N2368" s="2">
        <f t="shared" si="146"/>
        <v>45809</v>
      </c>
      <c r="O2368" t="str">
        <f t="shared" si="147"/>
        <v>pes</v>
      </c>
    </row>
    <row r="2369" spans="1:15" x14ac:dyDescent="0.25">
      <c r="A2369">
        <v>9878</v>
      </c>
      <c r="B2369" s="11">
        <v>4013456789017</v>
      </c>
      <c r="C2369" s="1" t="s">
        <v>11</v>
      </c>
      <c r="D2369" s="1" t="s">
        <v>12</v>
      </c>
      <c r="E2369" s="1" t="s">
        <v>13</v>
      </c>
      <c r="F2369">
        <v>6</v>
      </c>
      <c r="G2369">
        <v>1</v>
      </c>
      <c r="H2369" s="1" t="s">
        <v>18</v>
      </c>
      <c r="I2369" s="1" t="s">
        <v>371</v>
      </c>
      <c r="J2369" s="12">
        <v>45826</v>
      </c>
      <c r="K2369">
        <v>0</v>
      </c>
      <c r="L2369" s="1">
        <f t="shared" si="144"/>
        <v>6</v>
      </c>
      <c r="M2369" s="1">
        <f t="shared" si="145"/>
        <v>4</v>
      </c>
      <c r="N2369" s="2">
        <f t="shared" si="146"/>
        <v>45809</v>
      </c>
      <c r="O2369" t="str">
        <f t="shared" si="147"/>
        <v>pes</v>
      </c>
    </row>
    <row r="2370" spans="1:15" x14ac:dyDescent="0.25">
      <c r="A2370">
        <v>9879</v>
      </c>
      <c r="B2370" s="11">
        <v>4040123456795</v>
      </c>
      <c r="C2370" s="1" t="s">
        <v>20</v>
      </c>
      <c r="D2370" s="1" t="s">
        <v>21</v>
      </c>
      <c r="E2370" s="1" t="s">
        <v>22</v>
      </c>
      <c r="F2370">
        <v>8.8000000000000007</v>
      </c>
      <c r="G2370">
        <v>1</v>
      </c>
      <c r="H2370" s="1" t="s">
        <v>14</v>
      </c>
      <c r="I2370" s="1" t="s">
        <v>15</v>
      </c>
      <c r="J2370" s="12">
        <v>45826</v>
      </c>
      <c r="K2370">
        <v>0</v>
      </c>
      <c r="L2370" s="1">
        <f t="shared" ref="L2370:L2433" si="148">F2370*G2370</f>
        <v>8.8000000000000007</v>
      </c>
      <c r="M2370" s="1" t="str">
        <f t="shared" ref="M2370:M2433" si="149">IF(H2370="NULL", "",VALUE(H2370))</f>
        <v/>
      </c>
      <c r="N2370" s="2">
        <f t="shared" ref="N2370:N2433" si="150">DATE(YEAR(J2370),MONTH(J2370),1)</f>
        <v>45809</v>
      </c>
      <c r="O2370" t="str">
        <f t="shared" ref="O2370:O2433" si="151">IF(ISNUMBER(SEARCH("Mačky",D2370)),"mačka",IF(ISNUMBER(SEARCH("Psy",D2370)),"pes","iné"))</f>
        <v>pes</v>
      </c>
    </row>
    <row r="2371" spans="1:15" hidden="1" x14ac:dyDescent="0.25">
      <c r="A2371">
        <v>9880</v>
      </c>
      <c r="B2371" s="11">
        <v>4010123456783</v>
      </c>
      <c r="C2371" s="1" t="s">
        <v>35</v>
      </c>
      <c r="D2371" s="1" t="s">
        <v>36</v>
      </c>
      <c r="E2371" s="1" t="s">
        <v>37</v>
      </c>
      <c r="F2371">
        <v>14</v>
      </c>
      <c r="G2371">
        <v>1</v>
      </c>
      <c r="H2371" s="1" t="s">
        <v>14</v>
      </c>
      <c r="I2371" s="1" t="s">
        <v>15</v>
      </c>
      <c r="J2371" s="12">
        <v>45826</v>
      </c>
      <c r="K2371">
        <v>0</v>
      </c>
      <c r="L2371" s="1">
        <f t="shared" si="148"/>
        <v>14</v>
      </c>
      <c r="M2371" s="1" t="str">
        <f t="shared" si="149"/>
        <v/>
      </c>
      <c r="N2371" s="2">
        <f t="shared" si="150"/>
        <v>45809</v>
      </c>
      <c r="O2371" t="str">
        <f t="shared" si="151"/>
        <v>mačka</v>
      </c>
    </row>
    <row r="2372" spans="1:15" x14ac:dyDescent="0.25">
      <c r="A2372">
        <v>9881</v>
      </c>
      <c r="B2372" s="11">
        <v>4063456789014</v>
      </c>
      <c r="C2372" s="1" t="s">
        <v>60</v>
      </c>
      <c r="D2372" s="1" t="s">
        <v>12</v>
      </c>
      <c r="E2372" s="1" t="s">
        <v>61</v>
      </c>
      <c r="F2372">
        <v>36</v>
      </c>
      <c r="G2372">
        <v>1</v>
      </c>
      <c r="H2372" s="1" t="s">
        <v>23</v>
      </c>
      <c r="I2372" s="1" t="s">
        <v>372</v>
      </c>
      <c r="J2372" s="12">
        <v>45826</v>
      </c>
      <c r="K2372">
        <v>0</v>
      </c>
      <c r="L2372" s="1">
        <f t="shared" si="148"/>
        <v>36</v>
      </c>
      <c r="M2372" s="1">
        <f t="shared" si="149"/>
        <v>5</v>
      </c>
      <c r="N2372" s="2">
        <f t="shared" si="150"/>
        <v>45809</v>
      </c>
      <c r="O2372" t="str">
        <f t="shared" si="151"/>
        <v>pes</v>
      </c>
    </row>
    <row r="2373" spans="1:15" hidden="1" x14ac:dyDescent="0.25">
      <c r="A2373">
        <v>9882</v>
      </c>
      <c r="B2373" s="11">
        <v>4021234567894</v>
      </c>
      <c r="C2373" s="1" t="s">
        <v>79</v>
      </c>
      <c r="D2373" s="1" t="s">
        <v>36</v>
      </c>
      <c r="E2373" s="1" t="s">
        <v>69</v>
      </c>
      <c r="F2373">
        <v>8</v>
      </c>
      <c r="G2373">
        <v>1</v>
      </c>
      <c r="H2373" s="1" t="s">
        <v>14</v>
      </c>
      <c r="I2373" s="1" t="s">
        <v>15</v>
      </c>
      <c r="J2373" s="12">
        <v>45826</v>
      </c>
      <c r="K2373">
        <v>0</v>
      </c>
      <c r="L2373" s="1">
        <f t="shared" si="148"/>
        <v>8</v>
      </c>
      <c r="M2373" s="1" t="str">
        <f t="shared" si="149"/>
        <v/>
      </c>
      <c r="N2373" s="2">
        <f t="shared" si="150"/>
        <v>45809</v>
      </c>
      <c r="O2373" t="str">
        <f t="shared" si="151"/>
        <v>mačka</v>
      </c>
    </row>
    <row r="2374" spans="1:15" hidden="1" x14ac:dyDescent="0.25">
      <c r="A2374">
        <v>9883</v>
      </c>
      <c r="B2374" s="11">
        <v>4056789012345</v>
      </c>
      <c r="C2374" s="1" t="s">
        <v>47</v>
      </c>
      <c r="D2374" s="1" t="s">
        <v>29</v>
      </c>
      <c r="E2374" s="1" t="s">
        <v>37</v>
      </c>
      <c r="F2374">
        <v>2.4</v>
      </c>
      <c r="G2374">
        <v>3</v>
      </c>
      <c r="H2374" s="1" t="s">
        <v>14</v>
      </c>
      <c r="I2374" s="1" t="s">
        <v>15</v>
      </c>
      <c r="J2374" s="12">
        <v>45826</v>
      </c>
      <c r="K2374">
        <v>0</v>
      </c>
      <c r="L2374" s="1">
        <f t="shared" si="148"/>
        <v>7.1999999999999993</v>
      </c>
      <c r="M2374" s="1" t="str">
        <f t="shared" si="149"/>
        <v/>
      </c>
      <c r="N2374" s="2">
        <f t="shared" si="150"/>
        <v>45809</v>
      </c>
      <c r="O2374" t="str">
        <f t="shared" si="151"/>
        <v>mačka</v>
      </c>
    </row>
    <row r="2375" spans="1:15" x14ac:dyDescent="0.25">
      <c r="A2375">
        <v>9884</v>
      </c>
      <c r="B2375" s="11">
        <v>4061011223346</v>
      </c>
      <c r="C2375" s="1" t="s">
        <v>25</v>
      </c>
      <c r="D2375" s="1" t="s">
        <v>26</v>
      </c>
      <c r="E2375" s="1" t="s">
        <v>27</v>
      </c>
      <c r="F2375">
        <v>19.600000000000001</v>
      </c>
      <c r="G2375">
        <v>1</v>
      </c>
      <c r="H2375" s="1" t="s">
        <v>18</v>
      </c>
      <c r="I2375" s="1" t="s">
        <v>373</v>
      </c>
      <c r="J2375" s="12">
        <v>45826</v>
      </c>
      <c r="K2375">
        <v>0</v>
      </c>
      <c r="L2375" s="1">
        <f t="shared" si="148"/>
        <v>19.600000000000001</v>
      </c>
      <c r="M2375" s="1">
        <f t="shared" si="149"/>
        <v>4</v>
      </c>
      <c r="N2375" s="2">
        <f t="shared" si="150"/>
        <v>45809</v>
      </c>
      <c r="O2375" t="str">
        <f t="shared" si="151"/>
        <v>pes</v>
      </c>
    </row>
    <row r="2376" spans="1:15" hidden="1" x14ac:dyDescent="0.25">
      <c r="A2376">
        <v>9885</v>
      </c>
      <c r="B2376" s="11">
        <v>4026677889902</v>
      </c>
      <c r="C2376" s="1" t="s">
        <v>52</v>
      </c>
      <c r="D2376" s="1" t="s">
        <v>53</v>
      </c>
      <c r="E2376" s="1" t="s">
        <v>54</v>
      </c>
      <c r="F2376">
        <v>7.6</v>
      </c>
      <c r="G2376">
        <v>1</v>
      </c>
      <c r="H2376" s="1" t="s">
        <v>14</v>
      </c>
      <c r="I2376" s="1" t="s">
        <v>15</v>
      </c>
      <c r="J2376" s="12">
        <v>45826</v>
      </c>
      <c r="K2376">
        <v>0</v>
      </c>
      <c r="L2376" s="1">
        <f t="shared" si="148"/>
        <v>7.6</v>
      </c>
      <c r="M2376" s="1" t="str">
        <f t="shared" si="149"/>
        <v/>
      </c>
      <c r="N2376" s="2">
        <f t="shared" si="150"/>
        <v>45809</v>
      </c>
      <c r="O2376" t="str">
        <f t="shared" si="151"/>
        <v>iné</v>
      </c>
    </row>
    <row r="2377" spans="1:15" x14ac:dyDescent="0.25">
      <c r="A2377">
        <v>9886</v>
      </c>
      <c r="B2377" s="11">
        <v>4028899001126</v>
      </c>
      <c r="C2377" s="1" t="s">
        <v>16</v>
      </c>
      <c r="D2377" s="1" t="s">
        <v>12</v>
      </c>
      <c r="E2377" s="1" t="s">
        <v>17</v>
      </c>
      <c r="F2377">
        <v>2.8</v>
      </c>
      <c r="G2377">
        <v>3</v>
      </c>
      <c r="H2377" s="1" t="s">
        <v>14</v>
      </c>
      <c r="I2377" s="1" t="s">
        <v>15</v>
      </c>
      <c r="J2377" s="12">
        <v>45826</v>
      </c>
      <c r="K2377">
        <v>0</v>
      </c>
      <c r="L2377" s="1">
        <f t="shared" si="148"/>
        <v>8.3999999999999986</v>
      </c>
      <c r="M2377" s="1" t="str">
        <f t="shared" si="149"/>
        <v/>
      </c>
      <c r="N2377" s="2">
        <f t="shared" si="150"/>
        <v>45809</v>
      </c>
      <c r="O2377" t="str">
        <f t="shared" si="151"/>
        <v>pes</v>
      </c>
    </row>
    <row r="2378" spans="1:15" x14ac:dyDescent="0.25">
      <c r="A2378">
        <v>9887</v>
      </c>
      <c r="B2378" s="11">
        <v>4013456789017</v>
      </c>
      <c r="C2378" s="1" t="s">
        <v>11</v>
      </c>
      <c r="D2378" s="1" t="s">
        <v>12</v>
      </c>
      <c r="E2378" s="1" t="s">
        <v>13</v>
      </c>
      <c r="F2378">
        <v>6</v>
      </c>
      <c r="G2378">
        <v>2</v>
      </c>
      <c r="H2378" s="1" t="s">
        <v>14</v>
      </c>
      <c r="I2378" s="1" t="s">
        <v>15</v>
      </c>
      <c r="J2378" s="12">
        <v>45826</v>
      </c>
      <c r="K2378">
        <v>0</v>
      </c>
      <c r="L2378" s="1">
        <f t="shared" si="148"/>
        <v>12</v>
      </c>
      <c r="M2378" s="1" t="str">
        <f t="shared" si="149"/>
        <v/>
      </c>
      <c r="N2378" s="2">
        <f t="shared" si="150"/>
        <v>45809</v>
      </c>
      <c r="O2378" t="str">
        <f t="shared" si="151"/>
        <v>pes</v>
      </c>
    </row>
    <row r="2379" spans="1:15" hidden="1" x14ac:dyDescent="0.25">
      <c r="A2379">
        <v>9888</v>
      </c>
      <c r="B2379" s="11">
        <v>4044567890123</v>
      </c>
      <c r="C2379" s="1" t="s">
        <v>266</v>
      </c>
      <c r="D2379" s="1" t="s">
        <v>267</v>
      </c>
      <c r="E2379" s="1" t="s">
        <v>37</v>
      </c>
      <c r="F2379">
        <v>6</v>
      </c>
      <c r="G2379">
        <v>1</v>
      </c>
      <c r="H2379" s="1" t="s">
        <v>14</v>
      </c>
      <c r="I2379" s="1" t="s">
        <v>15</v>
      </c>
      <c r="J2379" s="12">
        <v>45826</v>
      </c>
      <c r="K2379">
        <v>0</v>
      </c>
      <c r="L2379" s="1">
        <f t="shared" si="148"/>
        <v>6</v>
      </c>
      <c r="M2379" s="1" t="str">
        <f t="shared" si="149"/>
        <v/>
      </c>
      <c r="N2379" s="2">
        <f t="shared" si="150"/>
        <v>45809</v>
      </c>
      <c r="O2379" t="str">
        <f t="shared" si="151"/>
        <v>mačka</v>
      </c>
    </row>
    <row r="2380" spans="1:15" hidden="1" x14ac:dyDescent="0.25">
      <c r="A2380">
        <v>9889</v>
      </c>
      <c r="B2380" s="11">
        <v>8006789012345</v>
      </c>
      <c r="C2380" s="1" t="s">
        <v>302</v>
      </c>
      <c r="D2380" s="1" t="s">
        <v>36</v>
      </c>
      <c r="E2380" s="1" t="s">
        <v>303</v>
      </c>
      <c r="F2380">
        <v>8</v>
      </c>
      <c r="G2380">
        <v>1</v>
      </c>
      <c r="H2380" s="1" t="s">
        <v>33</v>
      </c>
      <c r="I2380" s="1" t="s">
        <v>374</v>
      </c>
      <c r="J2380" s="12">
        <v>45826</v>
      </c>
      <c r="K2380">
        <v>0</v>
      </c>
      <c r="L2380" s="1">
        <f t="shared" si="148"/>
        <v>8</v>
      </c>
      <c r="M2380" s="1">
        <f t="shared" si="149"/>
        <v>3</v>
      </c>
      <c r="N2380" s="2">
        <f t="shared" si="150"/>
        <v>45809</v>
      </c>
      <c r="O2380" t="str">
        <f t="shared" si="151"/>
        <v>mačka</v>
      </c>
    </row>
    <row r="2381" spans="1:15" x14ac:dyDescent="0.25">
      <c r="A2381">
        <v>9890</v>
      </c>
      <c r="B2381" s="11">
        <v>4046789012356</v>
      </c>
      <c r="C2381" s="1" t="s">
        <v>304</v>
      </c>
      <c r="D2381" s="1" t="s">
        <v>39</v>
      </c>
      <c r="E2381" s="1" t="s">
        <v>61</v>
      </c>
      <c r="F2381">
        <v>6.4</v>
      </c>
      <c r="G2381">
        <v>1</v>
      </c>
      <c r="H2381" s="1" t="s">
        <v>14</v>
      </c>
      <c r="I2381" s="1" t="s">
        <v>15</v>
      </c>
      <c r="J2381" s="12">
        <v>45826</v>
      </c>
      <c r="K2381">
        <v>0</v>
      </c>
      <c r="L2381" s="1">
        <f t="shared" si="148"/>
        <v>6.4</v>
      </c>
      <c r="M2381" s="1" t="str">
        <f t="shared" si="149"/>
        <v/>
      </c>
      <c r="N2381" s="2">
        <f t="shared" si="150"/>
        <v>45809</v>
      </c>
      <c r="O2381" t="str">
        <f t="shared" si="151"/>
        <v>pes</v>
      </c>
    </row>
    <row r="2382" spans="1:15" x14ac:dyDescent="0.25">
      <c r="A2382">
        <v>9891</v>
      </c>
      <c r="B2382" s="11">
        <v>4000123456786</v>
      </c>
      <c r="C2382" s="1" t="s">
        <v>305</v>
      </c>
      <c r="D2382" s="1" t="s">
        <v>21</v>
      </c>
      <c r="E2382" s="1" t="s">
        <v>27</v>
      </c>
      <c r="F2382">
        <v>6.8</v>
      </c>
      <c r="G2382">
        <v>1</v>
      </c>
      <c r="H2382" s="1" t="s">
        <v>14</v>
      </c>
      <c r="I2382" s="1" t="s">
        <v>15</v>
      </c>
      <c r="J2382" s="12">
        <v>45826</v>
      </c>
      <c r="K2382">
        <v>0</v>
      </c>
      <c r="L2382" s="1">
        <f t="shared" si="148"/>
        <v>6.8</v>
      </c>
      <c r="M2382" s="1" t="str">
        <f t="shared" si="149"/>
        <v/>
      </c>
      <c r="N2382" s="2">
        <f t="shared" si="150"/>
        <v>45809</v>
      </c>
      <c r="O2382" t="str">
        <f t="shared" si="151"/>
        <v>pes</v>
      </c>
    </row>
    <row r="2383" spans="1:15" hidden="1" x14ac:dyDescent="0.25">
      <c r="A2383">
        <v>9892</v>
      </c>
      <c r="B2383" s="11">
        <v>8596677889011</v>
      </c>
      <c r="C2383" s="1" t="s">
        <v>318</v>
      </c>
      <c r="D2383" s="1" t="s">
        <v>29</v>
      </c>
      <c r="E2383" s="1" t="s">
        <v>30</v>
      </c>
      <c r="F2383">
        <v>35.200000000000003</v>
      </c>
      <c r="G2383">
        <v>1</v>
      </c>
      <c r="H2383" s="1" t="s">
        <v>23</v>
      </c>
      <c r="I2383" s="1" t="s">
        <v>375</v>
      </c>
      <c r="J2383" s="12">
        <v>45827</v>
      </c>
      <c r="K2383">
        <v>0</v>
      </c>
      <c r="L2383" s="1">
        <f t="shared" si="148"/>
        <v>35.200000000000003</v>
      </c>
      <c r="M2383" s="1">
        <f t="shared" si="149"/>
        <v>5</v>
      </c>
      <c r="N2383" s="2">
        <f t="shared" si="150"/>
        <v>45809</v>
      </c>
      <c r="O2383" t="str">
        <f t="shared" si="151"/>
        <v>mačka</v>
      </c>
    </row>
    <row r="2384" spans="1:15" hidden="1" x14ac:dyDescent="0.25">
      <c r="A2384">
        <v>9893</v>
      </c>
      <c r="B2384" s="11">
        <v>4058899001125</v>
      </c>
      <c r="C2384" s="1" t="s">
        <v>352</v>
      </c>
      <c r="D2384" s="1" t="s">
        <v>267</v>
      </c>
      <c r="E2384" s="1" t="s">
        <v>58</v>
      </c>
      <c r="F2384">
        <v>10.4</v>
      </c>
      <c r="G2384">
        <v>1</v>
      </c>
      <c r="H2384" s="1" t="s">
        <v>14</v>
      </c>
      <c r="I2384" s="1" t="s">
        <v>15</v>
      </c>
      <c r="J2384" s="12">
        <v>45827</v>
      </c>
      <c r="K2384">
        <v>0</v>
      </c>
      <c r="L2384" s="1">
        <f t="shared" si="148"/>
        <v>10.4</v>
      </c>
      <c r="M2384" s="1" t="str">
        <f t="shared" si="149"/>
        <v/>
      </c>
      <c r="N2384" s="2">
        <f t="shared" si="150"/>
        <v>45809</v>
      </c>
      <c r="O2384" t="str">
        <f t="shared" si="151"/>
        <v>mačka</v>
      </c>
    </row>
    <row r="2385" spans="1:15" x14ac:dyDescent="0.25">
      <c r="A2385">
        <v>9894</v>
      </c>
      <c r="B2385" s="11">
        <v>4027788990013</v>
      </c>
      <c r="C2385" s="1" t="s">
        <v>43</v>
      </c>
      <c r="D2385" s="1" t="s">
        <v>21</v>
      </c>
      <c r="E2385" s="1" t="s">
        <v>22</v>
      </c>
      <c r="F2385">
        <v>8</v>
      </c>
      <c r="G2385">
        <v>1</v>
      </c>
      <c r="H2385" s="1" t="s">
        <v>14</v>
      </c>
      <c r="I2385" s="1" t="s">
        <v>15</v>
      </c>
      <c r="J2385" s="12">
        <v>45827</v>
      </c>
      <c r="K2385">
        <v>0</v>
      </c>
      <c r="L2385" s="1">
        <f t="shared" si="148"/>
        <v>8</v>
      </c>
      <c r="M2385" s="1" t="str">
        <f t="shared" si="149"/>
        <v/>
      </c>
      <c r="N2385" s="2">
        <f t="shared" si="150"/>
        <v>45809</v>
      </c>
      <c r="O2385" t="str">
        <f t="shared" si="151"/>
        <v>pes</v>
      </c>
    </row>
    <row r="2386" spans="1:15" hidden="1" x14ac:dyDescent="0.25">
      <c r="A2386">
        <v>9895</v>
      </c>
      <c r="B2386" s="11">
        <v>4066677889903</v>
      </c>
      <c r="C2386" s="1" t="s">
        <v>353</v>
      </c>
      <c r="D2386" s="1" t="s">
        <v>317</v>
      </c>
      <c r="E2386" s="1" t="s">
        <v>42</v>
      </c>
      <c r="F2386">
        <v>59.64</v>
      </c>
      <c r="G2386">
        <v>1</v>
      </c>
      <c r="H2386" s="1" t="s">
        <v>23</v>
      </c>
      <c r="I2386" s="1" t="s">
        <v>376</v>
      </c>
      <c r="J2386" s="12">
        <v>45827</v>
      </c>
      <c r="K2386">
        <v>0</v>
      </c>
      <c r="L2386" s="1">
        <f t="shared" si="148"/>
        <v>59.64</v>
      </c>
      <c r="M2386" s="1">
        <f t="shared" si="149"/>
        <v>5</v>
      </c>
      <c r="N2386" s="2">
        <f t="shared" si="150"/>
        <v>45809</v>
      </c>
      <c r="O2386" t="str">
        <f t="shared" si="151"/>
        <v>mačka</v>
      </c>
    </row>
    <row r="2387" spans="1:15" hidden="1" x14ac:dyDescent="0.25">
      <c r="A2387">
        <v>9896</v>
      </c>
      <c r="B2387" s="11">
        <v>4006677889904</v>
      </c>
      <c r="C2387" s="1" t="s">
        <v>206</v>
      </c>
      <c r="D2387" s="1" t="s">
        <v>29</v>
      </c>
      <c r="E2387" s="1" t="s">
        <v>30</v>
      </c>
      <c r="F2387">
        <v>2</v>
      </c>
      <c r="G2387">
        <v>4</v>
      </c>
      <c r="H2387" s="1" t="s">
        <v>14</v>
      </c>
      <c r="I2387" s="1" t="s">
        <v>15</v>
      </c>
      <c r="J2387" s="12">
        <v>45827</v>
      </c>
      <c r="K2387">
        <v>0</v>
      </c>
      <c r="L2387" s="1">
        <f t="shared" si="148"/>
        <v>8</v>
      </c>
      <c r="M2387" s="1" t="str">
        <f t="shared" si="149"/>
        <v/>
      </c>
      <c r="N2387" s="2">
        <f t="shared" si="150"/>
        <v>45809</v>
      </c>
      <c r="O2387" t="str">
        <f t="shared" si="151"/>
        <v>mačka</v>
      </c>
    </row>
    <row r="2388" spans="1:15" x14ac:dyDescent="0.25">
      <c r="A2388">
        <v>9897</v>
      </c>
      <c r="B2388" s="11">
        <v>4017890123450</v>
      </c>
      <c r="C2388" s="1" t="s">
        <v>65</v>
      </c>
      <c r="D2388" s="1" t="s">
        <v>39</v>
      </c>
      <c r="E2388" s="1" t="s">
        <v>22</v>
      </c>
      <c r="F2388">
        <v>7.6</v>
      </c>
      <c r="G2388">
        <v>1</v>
      </c>
      <c r="H2388" s="1" t="s">
        <v>14</v>
      </c>
      <c r="I2388" s="1" t="s">
        <v>15</v>
      </c>
      <c r="J2388" s="12">
        <v>45827</v>
      </c>
      <c r="K2388">
        <v>0</v>
      </c>
      <c r="L2388" s="1">
        <f t="shared" si="148"/>
        <v>7.6</v>
      </c>
      <c r="M2388" s="1" t="str">
        <f t="shared" si="149"/>
        <v/>
      </c>
      <c r="N2388" s="2">
        <f t="shared" si="150"/>
        <v>45809</v>
      </c>
      <c r="O2388" t="str">
        <f t="shared" si="151"/>
        <v>pes</v>
      </c>
    </row>
    <row r="2389" spans="1:15" hidden="1" x14ac:dyDescent="0.25">
      <c r="A2389">
        <v>9898</v>
      </c>
      <c r="B2389" s="11">
        <v>4014455667790</v>
      </c>
      <c r="C2389" s="1" t="s">
        <v>355</v>
      </c>
      <c r="D2389" s="1" t="s">
        <v>356</v>
      </c>
      <c r="E2389" s="1" t="s">
        <v>303</v>
      </c>
      <c r="F2389">
        <v>37.6</v>
      </c>
      <c r="G2389">
        <v>1</v>
      </c>
      <c r="H2389" s="1" t="s">
        <v>14</v>
      </c>
      <c r="I2389" s="1" t="s">
        <v>15</v>
      </c>
      <c r="J2389" s="12">
        <v>45827</v>
      </c>
      <c r="K2389">
        <v>0</v>
      </c>
      <c r="L2389" s="1">
        <f t="shared" si="148"/>
        <v>37.6</v>
      </c>
      <c r="M2389" s="1" t="str">
        <f t="shared" si="149"/>
        <v/>
      </c>
      <c r="N2389" s="2">
        <f t="shared" si="150"/>
        <v>45809</v>
      </c>
      <c r="O2389" t="str">
        <f t="shared" si="151"/>
        <v>iné</v>
      </c>
    </row>
    <row r="2390" spans="1:15" x14ac:dyDescent="0.25">
      <c r="A2390">
        <v>9899</v>
      </c>
      <c r="B2390" s="11">
        <v>4028899001126</v>
      </c>
      <c r="C2390" s="1" t="s">
        <v>16</v>
      </c>
      <c r="D2390" s="1" t="s">
        <v>12</v>
      </c>
      <c r="E2390" s="1" t="s">
        <v>17</v>
      </c>
      <c r="F2390">
        <v>2.8</v>
      </c>
      <c r="G2390">
        <v>5</v>
      </c>
      <c r="H2390" s="1" t="s">
        <v>14</v>
      </c>
      <c r="I2390" s="1" t="s">
        <v>15</v>
      </c>
      <c r="J2390" s="12">
        <v>45827</v>
      </c>
      <c r="K2390">
        <v>0</v>
      </c>
      <c r="L2390" s="1">
        <f t="shared" si="148"/>
        <v>14</v>
      </c>
      <c r="M2390" s="1" t="str">
        <f t="shared" si="149"/>
        <v/>
      </c>
      <c r="N2390" s="2">
        <f t="shared" si="150"/>
        <v>45809</v>
      </c>
      <c r="O2390" t="str">
        <f t="shared" si="151"/>
        <v>pes</v>
      </c>
    </row>
    <row r="2391" spans="1:15" x14ac:dyDescent="0.25">
      <c r="A2391">
        <v>9900</v>
      </c>
      <c r="B2391" s="11">
        <v>4013456789017</v>
      </c>
      <c r="C2391" s="1" t="s">
        <v>11</v>
      </c>
      <c r="D2391" s="1" t="s">
        <v>12</v>
      </c>
      <c r="E2391" s="1" t="s">
        <v>13</v>
      </c>
      <c r="F2391">
        <v>6</v>
      </c>
      <c r="G2391">
        <v>1</v>
      </c>
      <c r="H2391" s="1" t="s">
        <v>14</v>
      </c>
      <c r="I2391" s="1" t="s">
        <v>15</v>
      </c>
      <c r="J2391" s="12">
        <v>45827</v>
      </c>
      <c r="K2391">
        <v>0</v>
      </c>
      <c r="L2391" s="1">
        <f t="shared" si="148"/>
        <v>6</v>
      </c>
      <c r="M2391" s="1" t="str">
        <f t="shared" si="149"/>
        <v/>
      </c>
      <c r="N2391" s="2">
        <f t="shared" si="150"/>
        <v>45809</v>
      </c>
      <c r="O2391" t="str">
        <f t="shared" si="151"/>
        <v>pes</v>
      </c>
    </row>
    <row r="2392" spans="1:15" x14ac:dyDescent="0.25">
      <c r="A2392">
        <v>9901</v>
      </c>
      <c r="B2392" s="11">
        <v>4040123456795</v>
      </c>
      <c r="C2392" s="1" t="s">
        <v>20</v>
      </c>
      <c r="D2392" s="1" t="s">
        <v>21</v>
      </c>
      <c r="E2392" s="1" t="s">
        <v>22</v>
      </c>
      <c r="F2392">
        <v>8.8000000000000007</v>
      </c>
      <c r="G2392">
        <v>1</v>
      </c>
      <c r="H2392" s="1" t="s">
        <v>18</v>
      </c>
      <c r="I2392" s="1" t="s">
        <v>377</v>
      </c>
      <c r="J2392" s="12">
        <v>45827</v>
      </c>
      <c r="K2392">
        <v>0</v>
      </c>
      <c r="L2392" s="1">
        <f t="shared" si="148"/>
        <v>8.8000000000000007</v>
      </c>
      <c r="M2392" s="1">
        <f t="shared" si="149"/>
        <v>4</v>
      </c>
      <c r="N2392" s="2">
        <f t="shared" si="150"/>
        <v>45809</v>
      </c>
      <c r="O2392" t="str">
        <f t="shared" si="151"/>
        <v>pes</v>
      </c>
    </row>
    <row r="2393" spans="1:15" hidden="1" x14ac:dyDescent="0.25">
      <c r="A2393">
        <v>9902</v>
      </c>
      <c r="B2393" s="11">
        <v>4010123456783</v>
      </c>
      <c r="C2393" s="1" t="s">
        <v>35</v>
      </c>
      <c r="D2393" s="1" t="s">
        <v>36</v>
      </c>
      <c r="E2393" s="1" t="s">
        <v>37</v>
      </c>
      <c r="F2393">
        <v>14</v>
      </c>
      <c r="G2393">
        <v>1</v>
      </c>
      <c r="H2393" s="1" t="s">
        <v>14</v>
      </c>
      <c r="I2393" s="1" t="s">
        <v>15</v>
      </c>
      <c r="J2393" s="12">
        <v>45827</v>
      </c>
      <c r="K2393">
        <v>0</v>
      </c>
      <c r="L2393" s="1">
        <f t="shared" si="148"/>
        <v>14</v>
      </c>
      <c r="M2393" s="1" t="str">
        <f t="shared" si="149"/>
        <v/>
      </c>
      <c r="N2393" s="2">
        <f t="shared" si="150"/>
        <v>45809</v>
      </c>
      <c r="O2393" t="str">
        <f t="shared" si="151"/>
        <v>mačka</v>
      </c>
    </row>
    <row r="2394" spans="1:15" x14ac:dyDescent="0.25">
      <c r="A2394">
        <v>9903</v>
      </c>
      <c r="B2394" s="11">
        <v>4063456789014</v>
      </c>
      <c r="C2394" s="1" t="s">
        <v>60</v>
      </c>
      <c r="D2394" s="1" t="s">
        <v>12</v>
      </c>
      <c r="E2394" s="1" t="s">
        <v>61</v>
      </c>
      <c r="F2394">
        <v>36</v>
      </c>
      <c r="G2394">
        <v>1</v>
      </c>
      <c r="H2394" s="1" t="s">
        <v>14</v>
      </c>
      <c r="I2394" s="1" t="s">
        <v>15</v>
      </c>
      <c r="J2394" s="12">
        <v>45827</v>
      </c>
      <c r="K2394">
        <v>0</v>
      </c>
      <c r="L2394" s="1">
        <f t="shared" si="148"/>
        <v>36</v>
      </c>
      <c r="M2394" s="1" t="str">
        <f t="shared" si="149"/>
        <v/>
      </c>
      <c r="N2394" s="2">
        <f t="shared" si="150"/>
        <v>45809</v>
      </c>
      <c r="O2394" t="str">
        <f t="shared" si="151"/>
        <v>pes</v>
      </c>
    </row>
    <row r="2395" spans="1:15" hidden="1" x14ac:dyDescent="0.25">
      <c r="A2395">
        <v>9904</v>
      </c>
      <c r="B2395" s="11">
        <v>4021234567894</v>
      </c>
      <c r="C2395" s="1" t="s">
        <v>79</v>
      </c>
      <c r="D2395" s="1" t="s">
        <v>36</v>
      </c>
      <c r="E2395" s="1" t="s">
        <v>69</v>
      </c>
      <c r="F2395">
        <v>8</v>
      </c>
      <c r="G2395">
        <v>1</v>
      </c>
      <c r="H2395" s="1" t="s">
        <v>14</v>
      </c>
      <c r="I2395" s="1" t="s">
        <v>15</v>
      </c>
      <c r="J2395" s="12">
        <v>45827</v>
      </c>
      <c r="K2395">
        <v>0</v>
      </c>
      <c r="L2395" s="1">
        <f t="shared" si="148"/>
        <v>8</v>
      </c>
      <c r="M2395" s="1" t="str">
        <f t="shared" si="149"/>
        <v/>
      </c>
      <c r="N2395" s="2">
        <f t="shared" si="150"/>
        <v>45809</v>
      </c>
      <c r="O2395" t="str">
        <f t="shared" si="151"/>
        <v>mačka</v>
      </c>
    </row>
    <row r="2396" spans="1:15" hidden="1" x14ac:dyDescent="0.25">
      <c r="A2396">
        <v>9905</v>
      </c>
      <c r="B2396" s="11">
        <v>4056789012345</v>
      </c>
      <c r="C2396" s="1" t="s">
        <v>47</v>
      </c>
      <c r="D2396" s="1" t="s">
        <v>29</v>
      </c>
      <c r="E2396" s="1" t="s">
        <v>37</v>
      </c>
      <c r="F2396">
        <v>2.4</v>
      </c>
      <c r="G2396">
        <v>3</v>
      </c>
      <c r="H2396" s="1" t="s">
        <v>14</v>
      </c>
      <c r="I2396" s="1" t="s">
        <v>15</v>
      </c>
      <c r="J2396" s="12">
        <v>45827</v>
      </c>
      <c r="K2396">
        <v>0</v>
      </c>
      <c r="L2396" s="1">
        <f t="shared" si="148"/>
        <v>7.1999999999999993</v>
      </c>
      <c r="M2396" s="1" t="str">
        <f t="shared" si="149"/>
        <v/>
      </c>
      <c r="N2396" s="2">
        <f t="shared" si="150"/>
        <v>45809</v>
      </c>
      <c r="O2396" t="str">
        <f t="shared" si="151"/>
        <v>mačka</v>
      </c>
    </row>
    <row r="2397" spans="1:15" x14ac:dyDescent="0.25">
      <c r="A2397">
        <v>9906</v>
      </c>
      <c r="B2397" s="11">
        <v>4061011223346</v>
      </c>
      <c r="C2397" s="1" t="s">
        <v>25</v>
      </c>
      <c r="D2397" s="1" t="s">
        <v>26</v>
      </c>
      <c r="E2397" s="1" t="s">
        <v>27</v>
      </c>
      <c r="F2397">
        <v>19.600000000000001</v>
      </c>
      <c r="G2397">
        <v>1</v>
      </c>
      <c r="H2397" s="1" t="s">
        <v>14</v>
      </c>
      <c r="I2397" s="1" t="s">
        <v>15</v>
      </c>
      <c r="J2397" s="12">
        <v>45827</v>
      </c>
      <c r="K2397">
        <v>0</v>
      </c>
      <c r="L2397" s="1">
        <f t="shared" si="148"/>
        <v>19.600000000000001</v>
      </c>
      <c r="M2397" s="1" t="str">
        <f t="shared" si="149"/>
        <v/>
      </c>
      <c r="N2397" s="2">
        <f t="shared" si="150"/>
        <v>45809</v>
      </c>
      <c r="O2397" t="str">
        <f t="shared" si="151"/>
        <v>pes</v>
      </c>
    </row>
    <row r="2398" spans="1:15" hidden="1" x14ac:dyDescent="0.25">
      <c r="A2398">
        <v>9907</v>
      </c>
      <c r="B2398" s="11">
        <v>4026677889902</v>
      </c>
      <c r="C2398" s="1" t="s">
        <v>52</v>
      </c>
      <c r="D2398" s="1" t="s">
        <v>53</v>
      </c>
      <c r="E2398" s="1" t="s">
        <v>54</v>
      </c>
      <c r="F2398">
        <v>7.6</v>
      </c>
      <c r="G2398">
        <v>1</v>
      </c>
      <c r="H2398" s="1" t="s">
        <v>14</v>
      </c>
      <c r="I2398" s="1" t="s">
        <v>15</v>
      </c>
      <c r="J2398" s="12">
        <v>45827</v>
      </c>
      <c r="K2398">
        <v>0</v>
      </c>
      <c r="L2398" s="1">
        <f t="shared" si="148"/>
        <v>7.6</v>
      </c>
      <c r="M2398" s="1" t="str">
        <f t="shared" si="149"/>
        <v/>
      </c>
      <c r="N2398" s="2">
        <f t="shared" si="150"/>
        <v>45809</v>
      </c>
      <c r="O2398" t="str">
        <f t="shared" si="151"/>
        <v>iné</v>
      </c>
    </row>
    <row r="2399" spans="1:15" x14ac:dyDescent="0.25">
      <c r="A2399">
        <v>9908</v>
      </c>
      <c r="B2399" s="11">
        <v>4028899001126</v>
      </c>
      <c r="C2399" s="1" t="s">
        <v>16</v>
      </c>
      <c r="D2399" s="1" t="s">
        <v>12</v>
      </c>
      <c r="E2399" s="1" t="s">
        <v>17</v>
      </c>
      <c r="F2399">
        <v>2.8</v>
      </c>
      <c r="G2399">
        <v>3</v>
      </c>
      <c r="H2399" s="1" t="s">
        <v>14</v>
      </c>
      <c r="I2399" s="1" t="s">
        <v>15</v>
      </c>
      <c r="J2399" s="12">
        <v>45828</v>
      </c>
      <c r="K2399">
        <v>0</v>
      </c>
      <c r="L2399" s="1">
        <f t="shared" si="148"/>
        <v>8.3999999999999986</v>
      </c>
      <c r="M2399" s="1" t="str">
        <f t="shared" si="149"/>
        <v/>
      </c>
      <c r="N2399" s="2">
        <f t="shared" si="150"/>
        <v>45809</v>
      </c>
      <c r="O2399" t="str">
        <f t="shared" si="151"/>
        <v>pes</v>
      </c>
    </row>
    <row r="2400" spans="1:15" x14ac:dyDescent="0.25">
      <c r="A2400">
        <v>9909</v>
      </c>
      <c r="B2400" s="11">
        <v>4013456789017</v>
      </c>
      <c r="C2400" s="1" t="s">
        <v>11</v>
      </c>
      <c r="D2400" s="1" t="s">
        <v>12</v>
      </c>
      <c r="E2400" s="1" t="s">
        <v>13</v>
      </c>
      <c r="F2400">
        <v>6</v>
      </c>
      <c r="G2400">
        <v>2</v>
      </c>
      <c r="H2400" s="1" t="s">
        <v>14</v>
      </c>
      <c r="I2400" s="1" t="s">
        <v>15</v>
      </c>
      <c r="J2400" s="12">
        <v>45828</v>
      </c>
      <c r="K2400">
        <v>0</v>
      </c>
      <c r="L2400" s="1">
        <f t="shared" si="148"/>
        <v>12</v>
      </c>
      <c r="M2400" s="1" t="str">
        <f t="shared" si="149"/>
        <v/>
      </c>
      <c r="N2400" s="2">
        <f t="shared" si="150"/>
        <v>45809</v>
      </c>
      <c r="O2400" t="str">
        <f t="shared" si="151"/>
        <v>pes</v>
      </c>
    </row>
    <row r="2401" spans="1:15" hidden="1" x14ac:dyDescent="0.25">
      <c r="A2401">
        <v>9910</v>
      </c>
      <c r="B2401" s="11">
        <v>4044567890123</v>
      </c>
      <c r="C2401" s="1" t="s">
        <v>266</v>
      </c>
      <c r="D2401" s="1" t="s">
        <v>267</v>
      </c>
      <c r="E2401" s="1" t="s">
        <v>37</v>
      </c>
      <c r="F2401">
        <v>6</v>
      </c>
      <c r="G2401">
        <v>1</v>
      </c>
      <c r="H2401" s="1" t="s">
        <v>33</v>
      </c>
      <c r="I2401" s="1" t="s">
        <v>378</v>
      </c>
      <c r="J2401" s="12">
        <v>45828</v>
      </c>
      <c r="K2401">
        <v>0</v>
      </c>
      <c r="L2401" s="1">
        <f t="shared" si="148"/>
        <v>6</v>
      </c>
      <c r="M2401" s="1">
        <f t="shared" si="149"/>
        <v>3</v>
      </c>
      <c r="N2401" s="2">
        <f t="shared" si="150"/>
        <v>45809</v>
      </c>
      <c r="O2401" t="str">
        <f t="shared" si="151"/>
        <v>mačka</v>
      </c>
    </row>
    <row r="2402" spans="1:15" hidden="1" x14ac:dyDescent="0.25">
      <c r="A2402">
        <v>9911</v>
      </c>
      <c r="B2402" s="11">
        <v>4050123456794</v>
      </c>
      <c r="C2402" s="1" t="s">
        <v>41</v>
      </c>
      <c r="D2402" s="1" t="s">
        <v>36</v>
      </c>
      <c r="E2402" s="1" t="s">
        <v>42</v>
      </c>
      <c r="F2402">
        <v>7.2</v>
      </c>
      <c r="G2402">
        <v>1</v>
      </c>
      <c r="H2402" s="1" t="s">
        <v>14</v>
      </c>
      <c r="I2402" s="1" t="s">
        <v>15</v>
      </c>
      <c r="J2402" s="12">
        <v>45828</v>
      </c>
      <c r="K2402">
        <v>0</v>
      </c>
      <c r="L2402" s="1">
        <f t="shared" si="148"/>
        <v>7.2</v>
      </c>
      <c r="M2402" s="1" t="str">
        <f t="shared" si="149"/>
        <v/>
      </c>
      <c r="N2402" s="2">
        <f t="shared" si="150"/>
        <v>45809</v>
      </c>
      <c r="O2402" t="str">
        <f t="shared" si="151"/>
        <v>mačka</v>
      </c>
    </row>
    <row r="2403" spans="1:15" hidden="1" x14ac:dyDescent="0.25">
      <c r="A2403">
        <v>9912</v>
      </c>
      <c r="B2403" s="11">
        <v>4025566778891</v>
      </c>
      <c r="C2403" s="1" t="s">
        <v>320</v>
      </c>
      <c r="D2403" s="1" t="s">
        <v>317</v>
      </c>
      <c r="E2403" s="1" t="s">
        <v>30</v>
      </c>
      <c r="F2403">
        <v>51.64</v>
      </c>
      <c r="G2403">
        <v>1</v>
      </c>
      <c r="H2403" s="1" t="s">
        <v>14</v>
      </c>
      <c r="I2403" s="1" t="s">
        <v>15</v>
      </c>
      <c r="J2403" s="12">
        <v>45828</v>
      </c>
      <c r="K2403">
        <v>0</v>
      </c>
      <c r="L2403" s="1">
        <f t="shared" si="148"/>
        <v>51.64</v>
      </c>
      <c r="M2403" s="1" t="str">
        <f t="shared" si="149"/>
        <v/>
      </c>
      <c r="N2403" s="2">
        <f t="shared" si="150"/>
        <v>45809</v>
      </c>
      <c r="O2403" t="str">
        <f t="shared" si="151"/>
        <v>mačka</v>
      </c>
    </row>
    <row r="2404" spans="1:15" hidden="1" x14ac:dyDescent="0.25">
      <c r="A2404">
        <v>9913</v>
      </c>
      <c r="B2404" s="11">
        <v>4055678901234</v>
      </c>
      <c r="C2404" s="1" t="s">
        <v>362</v>
      </c>
      <c r="D2404" s="1" t="s">
        <v>267</v>
      </c>
      <c r="E2404" s="1" t="s">
        <v>42</v>
      </c>
      <c r="F2404">
        <v>8</v>
      </c>
      <c r="G2404">
        <v>1</v>
      </c>
      <c r="H2404" s="1" t="s">
        <v>14</v>
      </c>
      <c r="I2404" s="1" t="s">
        <v>15</v>
      </c>
      <c r="J2404" s="12">
        <v>45828</v>
      </c>
      <c r="K2404">
        <v>0</v>
      </c>
      <c r="L2404" s="1">
        <f t="shared" si="148"/>
        <v>8</v>
      </c>
      <c r="M2404" s="1" t="str">
        <f t="shared" si="149"/>
        <v/>
      </c>
      <c r="N2404" s="2">
        <f t="shared" si="150"/>
        <v>45809</v>
      </c>
      <c r="O2404" t="str">
        <f t="shared" si="151"/>
        <v>mačka</v>
      </c>
    </row>
    <row r="2405" spans="1:15" x14ac:dyDescent="0.25">
      <c r="A2405">
        <v>9914</v>
      </c>
      <c r="B2405" s="11">
        <v>4022345678908</v>
      </c>
      <c r="C2405" s="1" t="s">
        <v>363</v>
      </c>
      <c r="D2405" s="1" t="s">
        <v>21</v>
      </c>
      <c r="E2405" s="1" t="s">
        <v>69</v>
      </c>
      <c r="F2405">
        <v>10</v>
      </c>
      <c r="G2405">
        <v>1</v>
      </c>
      <c r="H2405" s="1" t="s">
        <v>14</v>
      </c>
      <c r="I2405" s="1" t="s">
        <v>15</v>
      </c>
      <c r="J2405" s="12">
        <v>45828</v>
      </c>
      <c r="K2405">
        <v>0</v>
      </c>
      <c r="L2405" s="1">
        <f t="shared" si="148"/>
        <v>10</v>
      </c>
      <c r="M2405" s="1" t="str">
        <f t="shared" si="149"/>
        <v/>
      </c>
      <c r="N2405" s="2">
        <f t="shared" si="150"/>
        <v>45809</v>
      </c>
      <c r="O2405" t="str">
        <f t="shared" si="151"/>
        <v>pes</v>
      </c>
    </row>
    <row r="2406" spans="1:15" x14ac:dyDescent="0.25">
      <c r="A2406">
        <v>9915</v>
      </c>
      <c r="B2406" s="11">
        <v>4028899001126</v>
      </c>
      <c r="C2406" s="1" t="s">
        <v>16</v>
      </c>
      <c r="D2406" s="1" t="s">
        <v>12</v>
      </c>
      <c r="E2406" s="1" t="s">
        <v>17</v>
      </c>
      <c r="F2406">
        <v>2.8</v>
      </c>
      <c r="G2406">
        <v>4</v>
      </c>
      <c r="H2406" s="1" t="s">
        <v>23</v>
      </c>
      <c r="I2406" s="1" t="s">
        <v>379</v>
      </c>
      <c r="J2406" s="12">
        <v>45828</v>
      </c>
      <c r="K2406">
        <v>0</v>
      </c>
      <c r="L2406" s="1">
        <f t="shared" si="148"/>
        <v>11.2</v>
      </c>
      <c r="M2406" s="1">
        <f t="shared" si="149"/>
        <v>5</v>
      </c>
      <c r="N2406" s="2">
        <f t="shared" si="150"/>
        <v>45809</v>
      </c>
      <c r="O2406" t="str">
        <f t="shared" si="151"/>
        <v>pes</v>
      </c>
    </row>
    <row r="2407" spans="1:15" x14ac:dyDescent="0.25">
      <c r="A2407">
        <v>9916</v>
      </c>
      <c r="B2407" s="11">
        <v>4013456789017</v>
      </c>
      <c r="C2407" s="1" t="s">
        <v>11</v>
      </c>
      <c r="D2407" s="1" t="s">
        <v>12</v>
      </c>
      <c r="E2407" s="1" t="s">
        <v>13</v>
      </c>
      <c r="F2407">
        <v>6</v>
      </c>
      <c r="G2407">
        <v>1</v>
      </c>
      <c r="H2407" s="1" t="s">
        <v>14</v>
      </c>
      <c r="I2407" s="1" t="s">
        <v>15</v>
      </c>
      <c r="J2407" s="12">
        <v>45828</v>
      </c>
      <c r="K2407">
        <v>0</v>
      </c>
      <c r="L2407" s="1">
        <f t="shared" si="148"/>
        <v>6</v>
      </c>
      <c r="M2407" s="1" t="str">
        <f t="shared" si="149"/>
        <v/>
      </c>
      <c r="N2407" s="2">
        <f t="shared" si="150"/>
        <v>45809</v>
      </c>
      <c r="O2407" t="str">
        <f t="shared" si="151"/>
        <v>pes</v>
      </c>
    </row>
    <row r="2408" spans="1:15" x14ac:dyDescent="0.25">
      <c r="A2408">
        <v>9917</v>
      </c>
      <c r="B2408" s="11">
        <v>4040123456795</v>
      </c>
      <c r="C2408" s="1" t="s">
        <v>20</v>
      </c>
      <c r="D2408" s="1" t="s">
        <v>21</v>
      </c>
      <c r="E2408" s="1" t="s">
        <v>22</v>
      </c>
      <c r="F2408">
        <v>8.8000000000000007</v>
      </c>
      <c r="G2408">
        <v>1</v>
      </c>
      <c r="H2408" s="1" t="s">
        <v>14</v>
      </c>
      <c r="I2408" s="1" t="s">
        <v>15</v>
      </c>
      <c r="J2408" s="12">
        <v>45828</v>
      </c>
      <c r="K2408">
        <v>0</v>
      </c>
      <c r="L2408" s="1">
        <f t="shared" si="148"/>
        <v>8.8000000000000007</v>
      </c>
      <c r="M2408" s="1" t="str">
        <f t="shared" si="149"/>
        <v/>
      </c>
      <c r="N2408" s="2">
        <f t="shared" si="150"/>
        <v>45809</v>
      </c>
      <c r="O2408" t="str">
        <f t="shared" si="151"/>
        <v>pes</v>
      </c>
    </row>
    <row r="2409" spans="1:15" hidden="1" x14ac:dyDescent="0.25">
      <c r="A2409">
        <v>9918</v>
      </c>
      <c r="B2409" s="11">
        <v>4010123456783</v>
      </c>
      <c r="C2409" s="1" t="s">
        <v>35</v>
      </c>
      <c r="D2409" s="1" t="s">
        <v>36</v>
      </c>
      <c r="E2409" s="1" t="s">
        <v>37</v>
      </c>
      <c r="F2409">
        <v>14</v>
      </c>
      <c r="G2409">
        <v>1</v>
      </c>
      <c r="H2409" s="1" t="s">
        <v>14</v>
      </c>
      <c r="I2409" s="1" t="s">
        <v>15</v>
      </c>
      <c r="J2409" s="12">
        <v>45828</v>
      </c>
      <c r="K2409">
        <v>0</v>
      </c>
      <c r="L2409" s="1">
        <f t="shared" si="148"/>
        <v>14</v>
      </c>
      <c r="M2409" s="1" t="str">
        <f t="shared" si="149"/>
        <v/>
      </c>
      <c r="N2409" s="2">
        <f t="shared" si="150"/>
        <v>45809</v>
      </c>
      <c r="O2409" t="str">
        <f t="shared" si="151"/>
        <v>mačka</v>
      </c>
    </row>
    <row r="2410" spans="1:15" x14ac:dyDescent="0.25">
      <c r="A2410">
        <v>9919</v>
      </c>
      <c r="B2410" s="11">
        <v>4063456789014</v>
      </c>
      <c r="C2410" s="1" t="s">
        <v>60</v>
      </c>
      <c r="D2410" s="1" t="s">
        <v>12</v>
      </c>
      <c r="E2410" s="1" t="s">
        <v>61</v>
      </c>
      <c r="F2410">
        <v>36</v>
      </c>
      <c r="G2410">
        <v>1</v>
      </c>
      <c r="H2410" s="1" t="s">
        <v>18</v>
      </c>
      <c r="I2410" s="1" t="s">
        <v>380</v>
      </c>
      <c r="J2410" s="12">
        <v>45828</v>
      </c>
      <c r="K2410">
        <v>0</v>
      </c>
      <c r="L2410" s="1">
        <f t="shared" si="148"/>
        <v>36</v>
      </c>
      <c r="M2410" s="1">
        <f t="shared" si="149"/>
        <v>4</v>
      </c>
      <c r="N2410" s="2">
        <f t="shared" si="150"/>
        <v>45809</v>
      </c>
      <c r="O2410" t="str">
        <f t="shared" si="151"/>
        <v>pes</v>
      </c>
    </row>
    <row r="2411" spans="1:15" hidden="1" x14ac:dyDescent="0.25">
      <c r="A2411">
        <v>9920</v>
      </c>
      <c r="B2411" s="11">
        <v>4021234567894</v>
      </c>
      <c r="C2411" s="1" t="s">
        <v>79</v>
      </c>
      <c r="D2411" s="1" t="s">
        <v>36</v>
      </c>
      <c r="E2411" s="1" t="s">
        <v>69</v>
      </c>
      <c r="F2411">
        <v>8</v>
      </c>
      <c r="G2411">
        <v>1</v>
      </c>
      <c r="H2411" s="1" t="s">
        <v>14</v>
      </c>
      <c r="I2411" s="1" t="s">
        <v>15</v>
      </c>
      <c r="J2411" s="12">
        <v>45828</v>
      </c>
      <c r="K2411">
        <v>0</v>
      </c>
      <c r="L2411" s="1">
        <f t="shared" si="148"/>
        <v>8</v>
      </c>
      <c r="M2411" s="1" t="str">
        <f t="shared" si="149"/>
        <v/>
      </c>
      <c r="N2411" s="2">
        <f t="shared" si="150"/>
        <v>45809</v>
      </c>
      <c r="O2411" t="str">
        <f t="shared" si="151"/>
        <v>mačka</v>
      </c>
    </row>
    <row r="2412" spans="1:15" hidden="1" x14ac:dyDescent="0.25">
      <c r="A2412">
        <v>9921</v>
      </c>
      <c r="B2412" s="11">
        <v>4056789012345</v>
      </c>
      <c r="C2412" s="1" t="s">
        <v>47</v>
      </c>
      <c r="D2412" s="1" t="s">
        <v>29</v>
      </c>
      <c r="E2412" s="1" t="s">
        <v>37</v>
      </c>
      <c r="F2412">
        <v>2.4</v>
      </c>
      <c r="G2412">
        <v>2</v>
      </c>
      <c r="H2412" s="1" t="s">
        <v>14</v>
      </c>
      <c r="I2412" s="1" t="s">
        <v>15</v>
      </c>
      <c r="J2412" s="12">
        <v>45828</v>
      </c>
      <c r="K2412">
        <v>0</v>
      </c>
      <c r="L2412" s="1">
        <f t="shared" si="148"/>
        <v>4.8</v>
      </c>
      <c r="M2412" s="1" t="str">
        <f t="shared" si="149"/>
        <v/>
      </c>
      <c r="N2412" s="2">
        <f t="shared" si="150"/>
        <v>45809</v>
      </c>
      <c r="O2412" t="str">
        <f t="shared" si="151"/>
        <v>mačka</v>
      </c>
    </row>
    <row r="2413" spans="1:15" x14ac:dyDescent="0.25">
      <c r="A2413">
        <v>9922</v>
      </c>
      <c r="B2413" s="11">
        <v>4061011223346</v>
      </c>
      <c r="C2413" s="1" t="s">
        <v>25</v>
      </c>
      <c r="D2413" s="1" t="s">
        <v>26</v>
      </c>
      <c r="E2413" s="1" t="s">
        <v>27</v>
      </c>
      <c r="F2413">
        <v>19.600000000000001</v>
      </c>
      <c r="G2413">
        <v>1</v>
      </c>
      <c r="H2413" s="1" t="s">
        <v>14</v>
      </c>
      <c r="I2413" s="1" t="s">
        <v>15</v>
      </c>
      <c r="J2413" s="12">
        <v>45828</v>
      </c>
      <c r="K2413">
        <v>0</v>
      </c>
      <c r="L2413" s="1">
        <f t="shared" si="148"/>
        <v>19.600000000000001</v>
      </c>
      <c r="M2413" s="1" t="str">
        <f t="shared" si="149"/>
        <v/>
      </c>
      <c r="N2413" s="2">
        <f t="shared" si="150"/>
        <v>45809</v>
      </c>
      <c r="O2413" t="str">
        <f t="shared" si="151"/>
        <v>pes</v>
      </c>
    </row>
    <row r="2414" spans="1:15" hidden="1" x14ac:dyDescent="0.25">
      <c r="A2414">
        <v>9923</v>
      </c>
      <c r="B2414" s="11">
        <v>4026677889902</v>
      </c>
      <c r="C2414" s="1" t="s">
        <v>52</v>
      </c>
      <c r="D2414" s="1" t="s">
        <v>53</v>
      </c>
      <c r="E2414" s="1" t="s">
        <v>54</v>
      </c>
      <c r="F2414">
        <v>7.6</v>
      </c>
      <c r="G2414">
        <v>1</v>
      </c>
      <c r="H2414" s="1" t="s">
        <v>14</v>
      </c>
      <c r="I2414" s="1" t="s">
        <v>15</v>
      </c>
      <c r="J2414" s="12">
        <v>45828</v>
      </c>
      <c r="K2414">
        <v>0</v>
      </c>
      <c r="L2414" s="1">
        <f t="shared" si="148"/>
        <v>7.6</v>
      </c>
      <c r="M2414" s="1" t="str">
        <f t="shared" si="149"/>
        <v/>
      </c>
      <c r="N2414" s="2">
        <f t="shared" si="150"/>
        <v>45809</v>
      </c>
      <c r="O2414" t="str">
        <f t="shared" si="151"/>
        <v>iné</v>
      </c>
    </row>
    <row r="2415" spans="1:15" x14ac:dyDescent="0.25">
      <c r="A2415">
        <v>9924</v>
      </c>
      <c r="B2415" s="11">
        <v>4028899001126</v>
      </c>
      <c r="C2415" s="1" t="s">
        <v>16</v>
      </c>
      <c r="D2415" s="1" t="s">
        <v>12</v>
      </c>
      <c r="E2415" s="1" t="s">
        <v>17</v>
      </c>
      <c r="F2415">
        <v>2.8</v>
      </c>
      <c r="G2415">
        <v>3</v>
      </c>
      <c r="H2415" s="1" t="s">
        <v>14</v>
      </c>
      <c r="I2415" s="1" t="s">
        <v>15</v>
      </c>
      <c r="J2415" s="12">
        <v>45829</v>
      </c>
      <c r="K2415">
        <v>0</v>
      </c>
      <c r="L2415" s="1">
        <f t="shared" si="148"/>
        <v>8.3999999999999986</v>
      </c>
      <c r="M2415" s="1" t="str">
        <f t="shared" si="149"/>
        <v/>
      </c>
      <c r="N2415" s="2">
        <f t="shared" si="150"/>
        <v>45809</v>
      </c>
      <c r="O2415" t="str">
        <f t="shared" si="151"/>
        <v>pes</v>
      </c>
    </row>
    <row r="2416" spans="1:15" x14ac:dyDescent="0.25">
      <c r="A2416">
        <v>9925</v>
      </c>
      <c r="B2416" s="11">
        <v>4013456789017</v>
      </c>
      <c r="C2416" s="1" t="s">
        <v>11</v>
      </c>
      <c r="D2416" s="1" t="s">
        <v>12</v>
      </c>
      <c r="E2416" s="1" t="s">
        <v>13</v>
      </c>
      <c r="F2416">
        <v>6</v>
      </c>
      <c r="G2416">
        <v>1</v>
      </c>
      <c r="H2416" s="1" t="s">
        <v>14</v>
      </c>
      <c r="I2416" s="1" t="s">
        <v>15</v>
      </c>
      <c r="J2416" s="12">
        <v>45829</v>
      </c>
      <c r="K2416">
        <v>0</v>
      </c>
      <c r="L2416" s="1">
        <f t="shared" si="148"/>
        <v>6</v>
      </c>
      <c r="M2416" s="1" t="str">
        <f t="shared" si="149"/>
        <v/>
      </c>
      <c r="N2416" s="2">
        <f t="shared" si="150"/>
        <v>45809</v>
      </c>
      <c r="O2416" t="str">
        <f t="shared" si="151"/>
        <v>pes</v>
      </c>
    </row>
    <row r="2417" spans="1:15" hidden="1" x14ac:dyDescent="0.25">
      <c r="A2417">
        <v>9926</v>
      </c>
      <c r="B2417" s="11">
        <v>4043344556676</v>
      </c>
      <c r="C2417" s="1" t="s">
        <v>316</v>
      </c>
      <c r="D2417" s="1" t="s">
        <v>317</v>
      </c>
      <c r="E2417" s="1" t="s">
        <v>58</v>
      </c>
      <c r="F2417">
        <v>10</v>
      </c>
      <c r="G2417">
        <v>1</v>
      </c>
      <c r="H2417" s="1" t="s">
        <v>23</v>
      </c>
      <c r="I2417" s="1" t="s">
        <v>381</v>
      </c>
      <c r="J2417" s="12">
        <v>45829</v>
      </c>
      <c r="K2417">
        <v>0</v>
      </c>
      <c r="L2417" s="1">
        <f t="shared" si="148"/>
        <v>10</v>
      </c>
      <c r="M2417" s="1">
        <f t="shared" si="149"/>
        <v>5</v>
      </c>
      <c r="N2417" s="2">
        <f t="shared" si="150"/>
        <v>45809</v>
      </c>
      <c r="O2417" t="str">
        <f t="shared" si="151"/>
        <v>mačka</v>
      </c>
    </row>
    <row r="2418" spans="1:15" hidden="1" x14ac:dyDescent="0.25">
      <c r="A2418">
        <v>9927</v>
      </c>
      <c r="B2418" s="11">
        <v>8596677889011</v>
      </c>
      <c r="C2418" s="1" t="s">
        <v>318</v>
      </c>
      <c r="D2418" s="1" t="s">
        <v>29</v>
      </c>
      <c r="E2418" s="1" t="s">
        <v>30</v>
      </c>
      <c r="F2418">
        <v>35.200000000000003</v>
      </c>
      <c r="G2418">
        <v>1</v>
      </c>
      <c r="H2418" s="1" t="s">
        <v>14</v>
      </c>
      <c r="I2418" s="1" t="s">
        <v>15</v>
      </c>
      <c r="J2418" s="12">
        <v>45829</v>
      </c>
      <c r="K2418">
        <v>0</v>
      </c>
      <c r="L2418" s="1">
        <f t="shared" si="148"/>
        <v>35.200000000000003</v>
      </c>
      <c r="M2418" s="1" t="str">
        <f t="shared" si="149"/>
        <v/>
      </c>
      <c r="N2418" s="2">
        <f t="shared" si="150"/>
        <v>45809</v>
      </c>
      <c r="O2418" t="str">
        <f t="shared" si="151"/>
        <v>mačka</v>
      </c>
    </row>
    <row r="2419" spans="1:15" hidden="1" x14ac:dyDescent="0.25">
      <c r="A2419">
        <v>9928</v>
      </c>
      <c r="B2419" s="11">
        <v>4002233445566</v>
      </c>
      <c r="C2419" s="1" t="s">
        <v>268</v>
      </c>
      <c r="D2419" s="1" t="s">
        <v>140</v>
      </c>
      <c r="E2419" s="1" t="s">
        <v>30</v>
      </c>
      <c r="F2419">
        <v>20</v>
      </c>
      <c r="G2419">
        <v>1</v>
      </c>
      <c r="H2419" s="1" t="s">
        <v>14</v>
      </c>
      <c r="I2419" s="1" t="s">
        <v>15</v>
      </c>
      <c r="J2419" s="12">
        <v>45829</v>
      </c>
      <c r="K2419">
        <v>0</v>
      </c>
      <c r="L2419" s="1">
        <f t="shared" si="148"/>
        <v>20</v>
      </c>
      <c r="M2419" s="1" t="str">
        <f t="shared" si="149"/>
        <v/>
      </c>
      <c r="N2419" s="2">
        <f t="shared" si="150"/>
        <v>45809</v>
      </c>
      <c r="O2419" t="str">
        <f t="shared" si="151"/>
        <v>mačka</v>
      </c>
    </row>
    <row r="2420" spans="1:15" hidden="1" x14ac:dyDescent="0.25">
      <c r="A2420">
        <v>9929</v>
      </c>
      <c r="B2420" s="11">
        <v>4025566778891</v>
      </c>
      <c r="C2420" s="1" t="s">
        <v>320</v>
      </c>
      <c r="D2420" s="1" t="s">
        <v>317</v>
      </c>
      <c r="E2420" s="1" t="s">
        <v>30</v>
      </c>
      <c r="F2420">
        <v>51.64</v>
      </c>
      <c r="G2420">
        <v>1</v>
      </c>
      <c r="H2420" s="1" t="s">
        <v>23</v>
      </c>
      <c r="I2420" s="1" t="s">
        <v>382</v>
      </c>
      <c r="J2420" s="12">
        <v>45829</v>
      </c>
      <c r="K2420">
        <v>0</v>
      </c>
      <c r="L2420" s="1">
        <f t="shared" si="148"/>
        <v>51.64</v>
      </c>
      <c r="M2420" s="1">
        <f t="shared" si="149"/>
        <v>5</v>
      </c>
      <c r="N2420" s="2">
        <f t="shared" si="150"/>
        <v>45809</v>
      </c>
      <c r="O2420" t="str">
        <f t="shared" si="151"/>
        <v>mačka</v>
      </c>
    </row>
    <row r="2421" spans="1:15" x14ac:dyDescent="0.25">
      <c r="A2421">
        <v>9930</v>
      </c>
      <c r="B2421" s="11">
        <v>4028899001126</v>
      </c>
      <c r="C2421" s="1" t="s">
        <v>16</v>
      </c>
      <c r="D2421" s="1" t="s">
        <v>12</v>
      </c>
      <c r="E2421" s="1" t="s">
        <v>17</v>
      </c>
      <c r="F2421">
        <v>2.8</v>
      </c>
      <c r="G2421">
        <v>4</v>
      </c>
      <c r="H2421" s="1" t="s">
        <v>14</v>
      </c>
      <c r="I2421" s="1" t="s">
        <v>15</v>
      </c>
      <c r="J2421" s="12">
        <v>45829</v>
      </c>
      <c r="K2421">
        <v>0</v>
      </c>
      <c r="L2421" s="1">
        <f t="shared" si="148"/>
        <v>11.2</v>
      </c>
      <c r="M2421" s="1" t="str">
        <f t="shared" si="149"/>
        <v/>
      </c>
      <c r="N2421" s="2">
        <f t="shared" si="150"/>
        <v>45809</v>
      </c>
      <c r="O2421" t="str">
        <f t="shared" si="151"/>
        <v>pes</v>
      </c>
    </row>
    <row r="2422" spans="1:15" x14ac:dyDescent="0.25">
      <c r="A2422">
        <v>9931</v>
      </c>
      <c r="B2422" s="11">
        <v>4013456789017</v>
      </c>
      <c r="C2422" s="1" t="s">
        <v>11</v>
      </c>
      <c r="D2422" s="1" t="s">
        <v>12</v>
      </c>
      <c r="E2422" s="1" t="s">
        <v>13</v>
      </c>
      <c r="F2422">
        <v>6</v>
      </c>
      <c r="G2422">
        <v>1</v>
      </c>
      <c r="H2422" s="1" t="s">
        <v>14</v>
      </c>
      <c r="I2422" s="1" t="s">
        <v>15</v>
      </c>
      <c r="J2422" s="12">
        <v>45829</v>
      </c>
      <c r="K2422">
        <v>0</v>
      </c>
      <c r="L2422" s="1">
        <f t="shared" si="148"/>
        <v>6</v>
      </c>
      <c r="M2422" s="1" t="str">
        <f t="shared" si="149"/>
        <v/>
      </c>
      <c r="N2422" s="2">
        <f t="shared" si="150"/>
        <v>45809</v>
      </c>
      <c r="O2422" t="str">
        <f t="shared" si="151"/>
        <v>pes</v>
      </c>
    </row>
    <row r="2423" spans="1:15" x14ac:dyDescent="0.25">
      <c r="A2423">
        <v>9932</v>
      </c>
      <c r="B2423" s="11">
        <v>4040123456795</v>
      </c>
      <c r="C2423" s="1" t="s">
        <v>20</v>
      </c>
      <c r="D2423" s="1" t="s">
        <v>21</v>
      </c>
      <c r="E2423" s="1" t="s">
        <v>22</v>
      </c>
      <c r="F2423">
        <v>8.8000000000000007</v>
      </c>
      <c r="G2423">
        <v>1</v>
      </c>
      <c r="H2423" s="1" t="s">
        <v>14</v>
      </c>
      <c r="I2423" s="1" t="s">
        <v>15</v>
      </c>
      <c r="J2423" s="12">
        <v>45829</v>
      </c>
      <c r="K2423">
        <v>0</v>
      </c>
      <c r="L2423" s="1">
        <f t="shared" si="148"/>
        <v>8.8000000000000007</v>
      </c>
      <c r="M2423" s="1" t="str">
        <f t="shared" si="149"/>
        <v/>
      </c>
      <c r="N2423" s="2">
        <f t="shared" si="150"/>
        <v>45809</v>
      </c>
      <c r="O2423" t="str">
        <f t="shared" si="151"/>
        <v>pes</v>
      </c>
    </row>
    <row r="2424" spans="1:15" hidden="1" x14ac:dyDescent="0.25">
      <c r="A2424">
        <v>9933</v>
      </c>
      <c r="B2424" s="11">
        <v>4010123456783</v>
      </c>
      <c r="C2424" s="1" t="s">
        <v>35</v>
      </c>
      <c r="D2424" s="1" t="s">
        <v>36</v>
      </c>
      <c r="E2424" s="1" t="s">
        <v>37</v>
      </c>
      <c r="F2424">
        <v>14</v>
      </c>
      <c r="G2424">
        <v>1</v>
      </c>
      <c r="H2424" s="1" t="s">
        <v>14</v>
      </c>
      <c r="I2424" s="1" t="s">
        <v>15</v>
      </c>
      <c r="J2424" s="12">
        <v>45829</v>
      </c>
      <c r="K2424">
        <v>0</v>
      </c>
      <c r="L2424" s="1">
        <f t="shared" si="148"/>
        <v>14</v>
      </c>
      <c r="M2424" s="1" t="str">
        <f t="shared" si="149"/>
        <v/>
      </c>
      <c r="N2424" s="2">
        <f t="shared" si="150"/>
        <v>45809</v>
      </c>
      <c r="O2424" t="str">
        <f t="shared" si="151"/>
        <v>mačka</v>
      </c>
    </row>
    <row r="2425" spans="1:15" x14ac:dyDescent="0.25">
      <c r="A2425">
        <v>9934</v>
      </c>
      <c r="B2425" s="11">
        <v>4063456789014</v>
      </c>
      <c r="C2425" s="1" t="s">
        <v>60</v>
      </c>
      <c r="D2425" s="1" t="s">
        <v>12</v>
      </c>
      <c r="E2425" s="1" t="s">
        <v>61</v>
      </c>
      <c r="F2425">
        <v>36</v>
      </c>
      <c r="G2425">
        <v>1</v>
      </c>
      <c r="H2425" s="1" t="s">
        <v>14</v>
      </c>
      <c r="I2425" s="1" t="s">
        <v>15</v>
      </c>
      <c r="J2425" s="12">
        <v>45829</v>
      </c>
      <c r="K2425">
        <v>0</v>
      </c>
      <c r="L2425" s="1">
        <f t="shared" si="148"/>
        <v>36</v>
      </c>
      <c r="M2425" s="1" t="str">
        <f t="shared" si="149"/>
        <v/>
      </c>
      <c r="N2425" s="2">
        <f t="shared" si="150"/>
        <v>45809</v>
      </c>
      <c r="O2425" t="str">
        <f t="shared" si="151"/>
        <v>pes</v>
      </c>
    </row>
    <row r="2426" spans="1:15" hidden="1" x14ac:dyDescent="0.25">
      <c r="A2426">
        <v>9935</v>
      </c>
      <c r="B2426" s="11">
        <v>4021234567894</v>
      </c>
      <c r="C2426" s="1" t="s">
        <v>79</v>
      </c>
      <c r="D2426" s="1" t="s">
        <v>36</v>
      </c>
      <c r="E2426" s="1" t="s">
        <v>69</v>
      </c>
      <c r="F2426">
        <v>8</v>
      </c>
      <c r="G2426">
        <v>1</v>
      </c>
      <c r="H2426" s="1" t="s">
        <v>14</v>
      </c>
      <c r="I2426" s="1" t="s">
        <v>15</v>
      </c>
      <c r="J2426" s="12">
        <v>45829</v>
      </c>
      <c r="K2426">
        <v>0</v>
      </c>
      <c r="L2426" s="1">
        <f t="shared" si="148"/>
        <v>8</v>
      </c>
      <c r="M2426" s="1" t="str">
        <f t="shared" si="149"/>
        <v/>
      </c>
      <c r="N2426" s="2">
        <f t="shared" si="150"/>
        <v>45809</v>
      </c>
      <c r="O2426" t="str">
        <f t="shared" si="151"/>
        <v>mačka</v>
      </c>
    </row>
    <row r="2427" spans="1:15" hidden="1" x14ac:dyDescent="0.25">
      <c r="A2427">
        <v>9936</v>
      </c>
      <c r="B2427" s="11">
        <v>4056789012345</v>
      </c>
      <c r="C2427" s="1" t="s">
        <v>47</v>
      </c>
      <c r="D2427" s="1" t="s">
        <v>29</v>
      </c>
      <c r="E2427" s="1" t="s">
        <v>37</v>
      </c>
      <c r="F2427">
        <v>2.4</v>
      </c>
      <c r="G2427">
        <v>3</v>
      </c>
      <c r="H2427" s="1" t="s">
        <v>14</v>
      </c>
      <c r="I2427" s="1" t="s">
        <v>15</v>
      </c>
      <c r="J2427" s="12">
        <v>45829</v>
      </c>
      <c r="K2427">
        <v>0</v>
      </c>
      <c r="L2427" s="1">
        <f t="shared" si="148"/>
        <v>7.1999999999999993</v>
      </c>
      <c r="M2427" s="1" t="str">
        <f t="shared" si="149"/>
        <v/>
      </c>
      <c r="N2427" s="2">
        <f t="shared" si="150"/>
        <v>45809</v>
      </c>
      <c r="O2427" t="str">
        <f t="shared" si="151"/>
        <v>mačka</v>
      </c>
    </row>
    <row r="2428" spans="1:15" x14ac:dyDescent="0.25">
      <c r="A2428">
        <v>9937</v>
      </c>
      <c r="B2428" s="11">
        <v>4061011223346</v>
      </c>
      <c r="C2428" s="1" t="s">
        <v>25</v>
      </c>
      <c r="D2428" s="1" t="s">
        <v>26</v>
      </c>
      <c r="E2428" s="1" t="s">
        <v>27</v>
      </c>
      <c r="F2428">
        <v>19.600000000000001</v>
      </c>
      <c r="G2428">
        <v>1</v>
      </c>
      <c r="H2428" s="1" t="s">
        <v>14</v>
      </c>
      <c r="I2428" s="1" t="s">
        <v>15</v>
      </c>
      <c r="J2428" s="12">
        <v>45829</v>
      </c>
      <c r="K2428">
        <v>0</v>
      </c>
      <c r="L2428" s="1">
        <f t="shared" si="148"/>
        <v>19.600000000000001</v>
      </c>
      <c r="M2428" s="1" t="str">
        <f t="shared" si="149"/>
        <v/>
      </c>
      <c r="N2428" s="2">
        <f t="shared" si="150"/>
        <v>45809</v>
      </c>
      <c r="O2428" t="str">
        <f t="shared" si="151"/>
        <v>pes</v>
      </c>
    </row>
    <row r="2429" spans="1:15" hidden="1" x14ac:dyDescent="0.25">
      <c r="A2429">
        <v>9938</v>
      </c>
      <c r="B2429" s="11">
        <v>4026677889902</v>
      </c>
      <c r="C2429" s="1" t="s">
        <v>52</v>
      </c>
      <c r="D2429" s="1" t="s">
        <v>53</v>
      </c>
      <c r="E2429" s="1" t="s">
        <v>54</v>
      </c>
      <c r="F2429">
        <v>7.6</v>
      </c>
      <c r="G2429">
        <v>1</v>
      </c>
      <c r="H2429" s="1" t="s">
        <v>14</v>
      </c>
      <c r="I2429" s="1" t="s">
        <v>15</v>
      </c>
      <c r="J2429" s="12">
        <v>45829</v>
      </c>
      <c r="K2429">
        <v>0</v>
      </c>
      <c r="L2429" s="1">
        <f t="shared" si="148"/>
        <v>7.6</v>
      </c>
      <c r="M2429" s="1" t="str">
        <f t="shared" si="149"/>
        <v/>
      </c>
      <c r="N2429" s="2">
        <f t="shared" si="150"/>
        <v>45809</v>
      </c>
      <c r="O2429" t="str">
        <f t="shared" si="151"/>
        <v>iné</v>
      </c>
    </row>
    <row r="2430" spans="1:15" x14ac:dyDescent="0.25">
      <c r="A2430">
        <v>9939</v>
      </c>
      <c r="B2430" s="11">
        <v>4028899001126</v>
      </c>
      <c r="C2430" s="1" t="s">
        <v>16</v>
      </c>
      <c r="D2430" s="1" t="s">
        <v>12</v>
      </c>
      <c r="E2430" s="1" t="s">
        <v>17</v>
      </c>
      <c r="F2430">
        <v>2.8</v>
      </c>
      <c r="G2430">
        <v>4</v>
      </c>
      <c r="H2430" s="1" t="s">
        <v>14</v>
      </c>
      <c r="I2430" s="1" t="s">
        <v>15</v>
      </c>
      <c r="J2430" s="12">
        <v>45830</v>
      </c>
      <c r="K2430">
        <v>0</v>
      </c>
      <c r="L2430" s="1">
        <f t="shared" si="148"/>
        <v>11.2</v>
      </c>
      <c r="M2430" s="1" t="str">
        <f t="shared" si="149"/>
        <v/>
      </c>
      <c r="N2430" s="2">
        <f t="shared" si="150"/>
        <v>45809</v>
      </c>
      <c r="O2430" t="str">
        <f t="shared" si="151"/>
        <v>pes</v>
      </c>
    </row>
    <row r="2431" spans="1:15" x14ac:dyDescent="0.25">
      <c r="A2431">
        <v>9940</v>
      </c>
      <c r="B2431" s="11">
        <v>4013456789017</v>
      </c>
      <c r="C2431" s="1" t="s">
        <v>11</v>
      </c>
      <c r="D2431" s="1" t="s">
        <v>12</v>
      </c>
      <c r="E2431" s="1" t="s">
        <v>13</v>
      </c>
      <c r="F2431">
        <v>6</v>
      </c>
      <c r="G2431">
        <v>1</v>
      </c>
      <c r="H2431" s="1" t="s">
        <v>14</v>
      </c>
      <c r="I2431" s="1" t="s">
        <v>15</v>
      </c>
      <c r="J2431" s="12">
        <v>45830</v>
      </c>
      <c r="K2431">
        <v>0</v>
      </c>
      <c r="L2431" s="1">
        <f t="shared" si="148"/>
        <v>6</v>
      </c>
      <c r="M2431" s="1" t="str">
        <f t="shared" si="149"/>
        <v/>
      </c>
      <c r="N2431" s="2">
        <f t="shared" si="150"/>
        <v>45809</v>
      </c>
      <c r="O2431" t="str">
        <f t="shared" si="151"/>
        <v>pes</v>
      </c>
    </row>
    <row r="2432" spans="1:15" x14ac:dyDescent="0.25">
      <c r="A2432">
        <v>9941</v>
      </c>
      <c r="B2432" s="11">
        <v>4040123456795</v>
      </c>
      <c r="C2432" s="1" t="s">
        <v>20</v>
      </c>
      <c r="D2432" s="1" t="s">
        <v>21</v>
      </c>
      <c r="E2432" s="1" t="s">
        <v>22</v>
      </c>
      <c r="F2432">
        <v>8.8000000000000007</v>
      </c>
      <c r="G2432">
        <v>1</v>
      </c>
      <c r="H2432" s="1" t="s">
        <v>18</v>
      </c>
      <c r="I2432" s="1" t="s">
        <v>383</v>
      </c>
      <c r="J2432" s="12">
        <v>45830</v>
      </c>
      <c r="K2432">
        <v>0</v>
      </c>
      <c r="L2432" s="1">
        <f t="shared" si="148"/>
        <v>8.8000000000000007</v>
      </c>
      <c r="M2432" s="1">
        <f t="shared" si="149"/>
        <v>4</v>
      </c>
      <c r="N2432" s="2">
        <f t="shared" si="150"/>
        <v>45809</v>
      </c>
      <c r="O2432" t="str">
        <f t="shared" si="151"/>
        <v>pes</v>
      </c>
    </row>
    <row r="2433" spans="1:15" hidden="1" x14ac:dyDescent="0.25">
      <c r="A2433">
        <v>9942</v>
      </c>
      <c r="B2433" s="11">
        <v>4010123456783</v>
      </c>
      <c r="C2433" s="1" t="s">
        <v>35</v>
      </c>
      <c r="D2433" s="1" t="s">
        <v>36</v>
      </c>
      <c r="E2433" s="1" t="s">
        <v>37</v>
      </c>
      <c r="F2433">
        <v>14</v>
      </c>
      <c r="G2433">
        <v>1</v>
      </c>
      <c r="H2433" s="1" t="s">
        <v>14</v>
      </c>
      <c r="I2433" s="1" t="s">
        <v>15</v>
      </c>
      <c r="J2433" s="12">
        <v>45830</v>
      </c>
      <c r="K2433">
        <v>0</v>
      </c>
      <c r="L2433" s="1">
        <f t="shared" si="148"/>
        <v>14</v>
      </c>
      <c r="M2433" s="1" t="str">
        <f t="shared" si="149"/>
        <v/>
      </c>
      <c r="N2433" s="2">
        <f t="shared" si="150"/>
        <v>45809</v>
      </c>
      <c r="O2433" t="str">
        <f t="shared" si="151"/>
        <v>mačka</v>
      </c>
    </row>
    <row r="2434" spans="1:15" x14ac:dyDescent="0.25">
      <c r="A2434">
        <v>9943</v>
      </c>
      <c r="B2434" s="11">
        <v>4063456789014</v>
      </c>
      <c r="C2434" s="1" t="s">
        <v>60</v>
      </c>
      <c r="D2434" s="1" t="s">
        <v>12</v>
      </c>
      <c r="E2434" s="1" t="s">
        <v>61</v>
      </c>
      <c r="F2434">
        <v>36</v>
      </c>
      <c r="G2434">
        <v>1</v>
      </c>
      <c r="H2434" s="1" t="s">
        <v>14</v>
      </c>
      <c r="I2434" s="1" t="s">
        <v>15</v>
      </c>
      <c r="J2434" s="12">
        <v>45830</v>
      </c>
      <c r="K2434">
        <v>0</v>
      </c>
      <c r="L2434" s="1">
        <f t="shared" ref="L2434:L2497" si="152">F2434*G2434</f>
        <v>36</v>
      </c>
      <c r="M2434" s="1" t="str">
        <f t="shared" ref="M2434:M2497" si="153">IF(H2434="NULL", "",VALUE(H2434))</f>
        <v/>
      </c>
      <c r="N2434" s="2">
        <f t="shared" ref="N2434:N2497" si="154">DATE(YEAR(J2434),MONTH(J2434),1)</f>
        <v>45809</v>
      </c>
      <c r="O2434" t="str">
        <f t="shared" ref="O2434:O2497" si="155">IF(ISNUMBER(SEARCH("Mačky",D2434)),"mačka",IF(ISNUMBER(SEARCH("Psy",D2434)),"pes","iné"))</f>
        <v>pes</v>
      </c>
    </row>
    <row r="2435" spans="1:15" hidden="1" x14ac:dyDescent="0.25">
      <c r="A2435">
        <v>9944</v>
      </c>
      <c r="B2435" s="11">
        <v>4021234567894</v>
      </c>
      <c r="C2435" s="1" t="s">
        <v>79</v>
      </c>
      <c r="D2435" s="1" t="s">
        <v>36</v>
      </c>
      <c r="E2435" s="1" t="s">
        <v>69</v>
      </c>
      <c r="F2435">
        <v>8</v>
      </c>
      <c r="G2435">
        <v>1</v>
      </c>
      <c r="H2435" s="1" t="s">
        <v>14</v>
      </c>
      <c r="I2435" s="1" t="s">
        <v>15</v>
      </c>
      <c r="J2435" s="12">
        <v>45830</v>
      </c>
      <c r="K2435">
        <v>0</v>
      </c>
      <c r="L2435" s="1">
        <f t="shared" si="152"/>
        <v>8</v>
      </c>
      <c r="M2435" s="1" t="str">
        <f t="shared" si="153"/>
        <v/>
      </c>
      <c r="N2435" s="2">
        <f t="shared" si="154"/>
        <v>45809</v>
      </c>
      <c r="O2435" t="str">
        <f t="shared" si="155"/>
        <v>mačka</v>
      </c>
    </row>
    <row r="2436" spans="1:15" hidden="1" x14ac:dyDescent="0.25">
      <c r="A2436">
        <v>9945</v>
      </c>
      <c r="B2436" s="11">
        <v>4056789012345</v>
      </c>
      <c r="C2436" s="1" t="s">
        <v>47</v>
      </c>
      <c r="D2436" s="1" t="s">
        <v>29</v>
      </c>
      <c r="E2436" s="1" t="s">
        <v>37</v>
      </c>
      <c r="F2436">
        <v>2.4</v>
      </c>
      <c r="G2436">
        <v>2</v>
      </c>
      <c r="H2436" s="1" t="s">
        <v>14</v>
      </c>
      <c r="I2436" s="1" t="s">
        <v>15</v>
      </c>
      <c r="J2436" s="12">
        <v>45830</v>
      </c>
      <c r="K2436">
        <v>0</v>
      </c>
      <c r="L2436" s="1">
        <f t="shared" si="152"/>
        <v>4.8</v>
      </c>
      <c r="M2436" s="1" t="str">
        <f t="shared" si="153"/>
        <v/>
      </c>
      <c r="N2436" s="2">
        <f t="shared" si="154"/>
        <v>45809</v>
      </c>
      <c r="O2436" t="str">
        <f t="shared" si="155"/>
        <v>mačka</v>
      </c>
    </row>
    <row r="2437" spans="1:15" x14ac:dyDescent="0.25">
      <c r="A2437">
        <v>9946</v>
      </c>
      <c r="B2437" s="11">
        <v>4061011223346</v>
      </c>
      <c r="C2437" s="1" t="s">
        <v>25</v>
      </c>
      <c r="D2437" s="1" t="s">
        <v>26</v>
      </c>
      <c r="E2437" s="1" t="s">
        <v>27</v>
      </c>
      <c r="F2437">
        <v>19.600000000000001</v>
      </c>
      <c r="G2437">
        <v>1</v>
      </c>
      <c r="H2437" s="1" t="s">
        <v>14</v>
      </c>
      <c r="I2437" s="1" t="s">
        <v>15</v>
      </c>
      <c r="J2437" s="12">
        <v>45830</v>
      </c>
      <c r="K2437">
        <v>0</v>
      </c>
      <c r="L2437" s="1">
        <f t="shared" si="152"/>
        <v>19.600000000000001</v>
      </c>
      <c r="M2437" s="1" t="str">
        <f t="shared" si="153"/>
        <v/>
      </c>
      <c r="N2437" s="2">
        <f t="shared" si="154"/>
        <v>45809</v>
      </c>
      <c r="O2437" t="str">
        <f t="shared" si="155"/>
        <v>pes</v>
      </c>
    </row>
    <row r="2438" spans="1:15" hidden="1" x14ac:dyDescent="0.25">
      <c r="A2438">
        <v>9947</v>
      </c>
      <c r="B2438" s="11">
        <v>4026677889902</v>
      </c>
      <c r="C2438" s="1" t="s">
        <v>52</v>
      </c>
      <c r="D2438" s="1" t="s">
        <v>53</v>
      </c>
      <c r="E2438" s="1" t="s">
        <v>54</v>
      </c>
      <c r="F2438">
        <v>7.6</v>
      </c>
      <c r="G2438">
        <v>1</v>
      </c>
      <c r="H2438" s="1" t="s">
        <v>14</v>
      </c>
      <c r="I2438" s="1" t="s">
        <v>15</v>
      </c>
      <c r="J2438" s="12">
        <v>45830</v>
      </c>
      <c r="K2438">
        <v>0</v>
      </c>
      <c r="L2438" s="1">
        <f t="shared" si="152"/>
        <v>7.6</v>
      </c>
      <c r="M2438" s="1" t="str">
        <f t="shared" si="153"/>
        <v/>
      </c>
      <c r="N2438" s="2">
        <f t="shared" si="154"/>
        <v>45809</v>
      </c>
      <c r="O2438" t="str">
        <f t="shared" si="155"/>
        <v>iné</v>
      </c>
    </row>
    <row r="2439" spans="1:15" x14ac:dyDescent="0.25">
      <c r="A2439">
        <v>9948</v>
      </c>
      <c r="B2439" s="11">
        <v>4028899001126</v>
      </c>
      <c r="C2439" s="1" t="s">
        <v>16</v>
      </c>
      <c r="D2439" s="1" t="s">
        <v>12</v>
      </c>
      <c r="E2439" s="1" t="s">
        <v>17</v>
      </c>
      <c r="F2439">
        <v>2.8</v>
      </c>
      <c r="G2439">
        <v>3</v>
      </c>
      <c r="H2439" s="1" t="s">
        <v>14</v>
      </c>
      <c r="I2439" s="1" t="s">
        <v>15</v>
      </c>
      <c r="J2439" s="12">
        <v>45830</v>
      </c>
      <c r="K2439">
        <v>0</v>
      </c>
      <c r="L2439" s="1">
        <f t="shared" si="152"/>
        <v>8.3999999999999986</v>
      </c>
      <c r="M2439" s="1" t="str">
        <f t="shared" si="153"/>
        <v/>
      </c>
      <c r="N2439" s="2">
        <f t="shared" si="154"/>
        <v>45809</v>
      </c>
      <c r="O2439" t="str">
        <f t="shared" si="155"/>
        <v>pes</v>
      </c>
    </row>
    <row r="2440" spans="1:15" x14ac:dyDescent="0.25">
      <c r="A2440">
        <v>9949</v>
      </c>
      <c r="B2440" s="11">
        <v>4013456789017</v>
      </c>
      <c r="C2440" s="1" t="s">
        <v>11</v>
      </c>
      <c r="D2440" s="1" t="s">
        <v>12</v>
      </c>
      <c r="E2440" s="1" t="s">
        <v>13</v>
      </c>
      <c r="F2440">
        <v>6</v>
      </c>
      <c r="G2440">
        <v>1</v>
      </c>
      <c r="H2440" s="1" t="s">
        <v>23</v>
      </c>
      <c r="I2440" s="1" t="s">
        <v>384</v>
      </c>
      <c r="J2440" s="12">
        <v>45830</v>
      </c>
      <c r="K2440">
        <v>0</v>
      </c>
      <c r="L2440" s="1">
        <f t="shared" si="152"/>
        <v>6</v>
      </c>
      <c r="M2440" s="1">
        <f t="shared" si="153"/>
        <v>5</v>
      </c>
      <c r="N2440" s="2">
        <f t="shared" si="154"/>
        <v>45809</v>
      </c>
      <c r="O2440" t="str">
        <f t="shared" si="155"/>
        <v>pes</v>
      </c>
    </row>
    <row r="2441" spans="1:15" x14ac:dyDescent="0.25">
      <c r="A2441">
        <v>9950</v>
      </c>
      <c r="B2441" s="11">
        <v>4040123456795</v>
      </c>
      <c r="C2441" s="1" t="s">
        <v>20</v>
      </c>
      <c r="D2441" s="1" t="s">
        <v>21</v>
      </c>
      <c r="E2441" s="1" t="s">
        <v>22</v>
      </c>
      <c r="F2441">
        <v>8.8000000000000007</v>
      </c>
      <c r="G2441">
        <v>1</v>
      </c>
      <c r="H2441" s="1" t="s">
        <v>14</v>
      </c>
      <c r="I2441" s="1" t="s">
        <v>15</v>
      </c>
      <c r="J2441" s="12">
        <v>45830</v>
      </c>
      <c r="K2441">
        <v>0</v>
      </c>
      <c r="L2441" s="1">
        <f t="shared" si="152"/>
        <v>8.8000000000000007</v>
      </c>
      <c r="M2441" s="1" t="str">
        <f t="shared" si="153"/>
        <v/>
      </c>
      <c r="N2441" s="2">
        <f t="shared" si="154"/>
        <v>45809</v>
      </c>
      <c r="O2441" t="str">
        <f t="shared" si="155"/>
        <v>pes</v>
      </c>
    </row>
    <row r="2442" spans="1:15" hidden="1" x14ac:dyDescent="0.25">
      <c r="A2442">
        <v>9951</v>
      </c>
      <c r="B2442" s="11">
        <v>4010123456783</v>
      </c>
      <c r="C2442" s="1" t="s">
        <v>35</v>
      </c>
      <c r="D2442" s="1" t="s">
        <v>36</v>
      </c>
      <c r="E2442" s="1" t="s">
        <v>37</v>
      </c>
      <c r="F2442">
        <v>14</v>
      </c>
      <c r="G2442">
        <v>1</v>
      </c>
      <c r="H2442" s="1" t="s">
        <v>14</v>
      </c>
      <c r="I2442" s="1" t="s">
        <v>15</v>
      </c>
      <c r="J2442" s="12">
        <v>45830</v>
      </c>
      <c r="K2442">
        <v>0</v>
      </c>
      <c r="L2442" s="1">
        <f t="shared" si="152"/>
        <v>14</v>
      </c>
      <c r="M2442" s="1" t="str">
        <f t="shared" si="153"/>
        <v/>
      </c>
      <c r="N2442" s="2">
        <f t="shared" si="154"/>
        <v>45809</v>
      </c>
      <c r="O2442" t="str">
        <f t="shared" si="155"/>
        <v>mačka</v>
      </c>
    </row>
    <row r="2443" spans="1:15" x14ac:dyDescent="0.25">
      <c r="A2443">
        <v>9952</v>
      </c>
      <c r="B2443" s="11">
        <v>4063456789014</v>
      </c>
      <c r="C2443" s="1" t="s">
        <v>60</v>
      </c>
      <c r="D2443" s="1" t="s">
        <v>12</v>
      </c>
      <c r="E2443" s="1" t="s">
        <v>61</v>
      </c>
      <c r="F2443">
        <v>36</v>
      </c>
      <c r="G2443">
        <v>1</v>
      </c>
      <c r="H2443" s="1" t="s">
        <v>18</v>
      </c>
      <c r="I2443" s="1" t="s">
        <v>385</v>
      </c>
      <c r="J2443" s="12">
        <v>45831</v>
      </c>
      <c r="K2443">
        <v>0</v>
      </c>
      <c r="L2443" s="1">
        <f t="shared" si="152"/>
        <v>36</v>
      </c>
      <c r="M2443" s="1">
        <f t="shared" si="153"/>
        <v>4</v>
      </c>
      <c r="N2443" s="2">
        <f t="shared" si="154"/>
        <v>45809</v>
      </c>
      <c r="O2443" t="str">
        <f t="shared" si="155"/>
        <v>pes</v>
      </c>
    </row>
    <row r="2444" spans="1:15" hidden="1" x14ac:dyDescent="0.25">
      <c r="A2444">
        <v>9953</v>
      </c>
      <c r="B2444" s="11">
        <v>4021234567894</v>
      </c>
      <c r="C2444" s="1" t="s">
        <v>79</v>
      </c>
      <c r="D2444" s="1" t="s">
        <v>36</v>
      </c>
      <c r="E2444" s="1" t="s">
        <v>69</v>
      </c>
      <c r="F2444">
        <v>8</v>
      </c>
      <c r="G2444">
        <v>1</v>
      </c>
      <c r="H2444" s="1" t="s">
        <v>14</v>
      </c>
      <c r="I2444" s="1" t="s">
        <v>15</v>
      </c>
      <c r="J2444" s="12">
        <v>45831</v>
      </c>
      <c r="K2444">
        <v>0</v>
      </c>
      <c r="L2444" s="1">
        <f t="shared" si="152"/>
        <v>8</v>
      </c>
      <c r="M2444" s="1" t="str">
        <f t="shared" si="153"/>
        <v/>
      </c>
      <c r="N2444" s="2">
        <f t="shared" si="154"/>
        <v>45809</v>
      </c>
      <c r="O2444" t="str">
        <f t="shared" si="155"/>
        <v>mačka</v>
      </c>
    </row>
    <row r="2445" spans="1:15" hidden="1" x14ac:dyDescent="0.25">
      <c r="A2445">
        <v>9954</v>
      </c>
      <c r="B2445" s="11">
        <v>4056789012345</v>
      </c>
      <c r="C2445" s="1" t="s">
        <v>47</v>
      </c>
      <c r="D2445" s="1" t="s">
        <v>29</v>
      </c>
      <c r="E2445" s="1" t="s">
        <v>37</v>
      </c>
      <c r="F2445">
        <v>2.4</v>
      </c>
      <c r="G2445">
        <v>2</v>
      </c>
      <c r="H2445" s="1" t="s">
        <v>14</v>
      </c>
      <c r="I2445" s="1" t="s">
        <v>15</v>
      </c>
      <c r="J2445" s="12">
        <v>45831</v>
      </c>
      <c r="K2445">
        <v>0</v>
      </c>
      <c r="L2445" s="1">
        <f t="shared" si="152"/>
        <v>4.8</v>
      </c>
      <c r="M2445" s="1" t="str">
        <f t="shared" si="153"/>
        <v/>
      </c>
      <c r="N2445" s="2">
        <f t="shared" si="154"/>
        <v>45809</v>
      </c>
      <c r="O2445" t="str">
        <f t="shared" si="155"/>
        <v>mačka</v>
      </c>
    </row>
    <row r="2446" spans="1:15" x14ac:dyDescent="0.25">
      <c r="A2446">
        <v>9955</v>
      </c>
      <c r="B2446" s="11">
        <v>4061011223346</v>
      </c>
      <c r="C2446" s="1" t="s">
        <v>25</v>
      </c>
      <c r="D2446" s="1" t="s">
        <v>26</v>
      </c>
      <c r="E2446" s="1" t="s">
        <v>27</v>
      </c>
      <c r="F2446">
        <v>19.600000000000001</v>
      </c>
      <c r="G2446">
        <v>1</v>
      </c>
      <c r="H2446" s="1" t="s">
        <v>14</v>
      </c>
      <c r="I2446" s="1" t="s">
        <v>15</v>
      </c>
      <c r="J2446" s="12">
        <v>45831</v>
      </c>
      <c r="K2446">
        <v>0</v>
      </c>
      <c r="L2446" s="1">
        <f t="shared" si="152"/>
        <v>19.600000000000001</v>
      </c>
      <c r="M2446" s="1" t="str">
        <f t="shared" si="153"/>
        <v/>
      </c>
      <c r="N2446" s="2">
        <f t="shared" si="154"/>
        <v>45809</v>
      </c>
      <c r="O2446" t="str">
        <f t="shared" si="155"/>
        <v>pes</v>
      </c>
    </row>
    <row r="2447" spans="1:15" hidden="1" x14ac:dyDescent="0.25">
      <c r="A2447">
        <v>9956</v>
      </c>
      <c r="B2447" s="11">
        <v>4026677889902</v>
      </c>
      <c r="C2447" s="1" t="s">
        <v>52</v>
      </c>
      <c r="D2447" s="1" t="s">
        <v>53</v>
      </c>
      <c r="E2447" s="1" t="s">
        <v>54</v>
      </c>
      <c r="F2447">
        <v>7.6</v>
      </c>
      <c r="G2447">
        <v>1</v>
      </c>
      <c r="H2447" s="1" t="s">
        <v>14</v>
      </c>
      <c r="I2447" s="1" t="s">
        <v>15</v>
      </c>
      <c r="J2447" s="12">
        <v>45831</v>
      </c>
      <c r="K2447">
        <v>0</v>
      </c>
      <c r="L2447" s="1">
        <f t="shared" si="152"/>
        <v>7.6</v>
      </c>
      <c r="M2447" s="1" t="str">
        <f t="shared" si="153"/>
        <v/>
      </c>
      <c r="N2447" s="2">
        <f t="shared" si="154"/>
        <v>45809</v>
      </c>
      <c r="O2447" t="str">
        <f t="shared" si="155"/>
        <v>iné</v>
      </c>
    </row>
    <row r="2448" spans="1:15" x14ac:dyDescent="0.25">
      <c r="A2448">
        <v>9957</v>
      </c>
      <c r="B2448" s="11">
        <v>4028899001126</v>
      </c>
      <c r="C2448" s="1" t="s">
        <v>16</v>
      </c>
      <c r="D2448" s="1" t="s">
        <v>12</v>
      </c>
      <c r="E2448" s="1" t="s">
        <v>17</v>
      </c>
      <c r="F2448">
        <v>2.8</v>
      </c>
      <c r="G2448">
        <v>4</v>
      </c>
      <c r="H2448" s="1" t="s">
        <v>14</v>
      </c>
      <c r="I2448" s="1" t="s">
        <v>15</v>
      </c>
      <c r="J2448" s="12">
        <v>45831</v>
      </c>
      <c r="K2448">
        <v>0</v>
      </c>
      <c r="L2448" s="1">
        <f t="shared" si="152"/>
        <v>11.2</v>
      </c>
      <c r="M2448" s="1" t="str">
        <f t="shared" si="153"/>
        <v/>
      </c>
      <c r="N2448" s="2">
        <f t="shared" si="154"/>
        <v>45809</v>
      </c>
      <c r="O2448" t="str">
        <f t="shared" si="155"/>
        <v>pes</v>
      </c>
    </row>
    <row r="2449" spans="1:15" x14ac:dyDescent="0.25">
      <c r="A2449">
        <v>9958</v>
      </c>
      <c r="B2449" s="11">
        <v>4013456789017</v>
      </c>
      <c r="C2449" s="1" t="s">
        <v>11</v>
      </c>
      <c r="D2449" s="1" t="s">
        <v>12</v>
      </c>
      <c r="E2449" s="1" t="s">
        <v>13</v>
      </c>
      <c r="F2449">
        <v>6</v>
      </c>
      <c r="G2449">
        <v>2</v>
      </c>
      <c r="H2449" s="1" t="s">
        <v>14</v>
      </c>
      <c r="I2449" s="1" t="s">
        <v>15</v>
      </c>
      <c r="J2449" s="12">
        <v>45831</v>
      </c>
      <c r="K2449">
        <v>0</v>
      </c>
      <c r="L2449" s="1">
        <f t="shared" si="152"/>
        <v>12</v>
      </c>
      <c r="M2449" s="1" t="str">
        <f t="shared" si="153"/>
        <v/>
      </c>
      <c r="N2449" s="2">
        <f t="shared" si="154"/>
        <v>45809</v>
      </c>
      <c r="O2449" t="str">
        <f t="shared" si="155"/>
        <v>pes</v>
      </c>
    </row>
    <row r="2450" spans="1:15" x14ac:dyDescent="0.25">
      <c r="A2450">
        <v>9959</v>
      </c>
      <c r="B2450" s="11">
        <v>4040123456795</v>
      </c>
      <c r="C2450" s="1" t="s">
        <v>20</v>
      </c>
      <c r="D2450" s="1" t="s">
        <v>21</v>
      </c>
      <c r="E2450" s="1" t="s">
        <v>22</v>
      </c>
      <c r="F2450">
        <v>8.8000000000000007</v>
      </c>
      <c r="G2450">
        <v>1</v>
      </c>
      <c r="H2450" s="1" t="s">
        <v>14</v>
      </c>
      <c r="I2450" s="1" t="s">
        <v>15</v>
      </c>
      <c r="J2450" s="12">
        <v>45831</v>
      </c>
      <c r="K2450">
        <v>0</v>
      </c>
      <c r="L2450" s="1">
        <f t="shared" si="152"/>
        <v>8.8000000000000007</v>
      </c>
      <c r="M2450" s="1" t="str">
        <f t="shared" si="153"/>
        <v/>
      </c>
      <c r="N2450" s="2">
        <f t="shared" si="154"/>
        <v>45809</v>
      </c>
      <c r="O2450" t="str">
        <f t="shared" si="155"/>
        <v>pes</v>
      </c>
    </row>
    <row r="2451" spans="1:15" hidden="1" x14ac:dyDescent="0.25">
      <c r="A2451">
        <v>9960</v>
      </c>
      <c r="B2451" s="11">
        <v>4010123456783</v>
      </c>
      <c r="C2451" s="1" t="s">
        <v>35</v>
      </c>
      <c r="D2451" s="1" t="s">
        <v>36</v>
      </c>
      <c r="E2451" s="1" t="s">
        <v>37</v>
      </c>
      <c r="F2451">
        <v>14</v>
      </c>
      <c r="G2451">
        <v>1</v>
      </c>
      <c r="H2451" s="1" t="s">
        <v>14</v>
      </c>
      <c r="I2451" s="1" t="s">
        <v>15</v>
      </c>
      <c r="J2451" s="12">
        <v>45831</v>
      </c>
      <c r="K2451">
        <v>0</v>
      </c>
      <c r="L2451" s="1">
        <f t="shared" si="152"/>
        <v>14</v>
      </c>
      <c r="M2451" s="1" t="str">
        <f t="shared" si="153"/>
        <v/>
      </c>
      <c r="N2451" s="2">
        <f t="shared" si="154"/>
        <v>45809</v>
      </c>
      <c r="O2451" t="str">
        <f t="shared" si="155"/>
        <v>mačka</v>
      </c>
    </row>
    <row r="2452" spans="1:15" x14ac:dyDescent="0.25">
      <c r="A2452">
        <v>9961</v>
      </c>
      <c r="B2452" s="11">
        <v>4063456789014</v>
      </c>
      <c r="C2452" s="1" t="s">
        <v>60</v>
      </c>
      <c r="D2452" s="1" t="s">
        <v>12</v>
      </c>
      <c r="E2452" s="1" t="s">
        <v>61</v>
      </c>
      <c r="F2452">
        <v>36</v>
      </c>
      <c r="G2452">
        <v>1</v>
      </c>
      <c r="H2452" s="1" t="s">
        <v>14</v>
      </c>
      <c r="I2452" s="1" t="s">
        <v>15</v>
      </c>
      <c r="J2452" s="12">
        <v>45831</v>
      </c>
      <c r="K2452">
        <v>0</v>
      </c>
      <c r="L2452" s="1">
        <f t="shared" si="152"/>
        <v>36</v>
      </c>
      <c r="M2452" s="1" t="str">
        <f t="shared" si="153"/>
        <v/>
      </c>
      <c r="N2452" s="2">
        <f t="shared" si="154"/>
        <v>45809</v>
      </c>
      <c r="O2452" t="str">
        <f t="shared" si="155"/>
        <v>pes</v>
      </c>
    </row>
    <row r="2453" spans="1:15" hidden="1" x14ac:dyDescent="0.25">
      <c r="A2453">
        <v>9962</v>
      </c>
      <c r="B2453" s="11">
        <v>4021234567894</v>
      </c>
      <c r="C2453" s="1" t="s">
        <v>79</v>
      </c>
      <c r="D2453" s="1" t="s">
        <v>36</v>
      </c>
      <c r="E2453" s="1" t="s">
        <v>69</v>
      </c>
      <c r="F2453">
        <v>8</v>
      </c>
      <c r="G2453">
        <v>1</v>
      </c>
      <c r="H2453" s="1" t="s">
        <v>14</v>
      </c>
      <c r="I2453" s="1" t="s">
        <v>15</v>
      </c>
      <c r="J2453" s="12">
        <v>45831</v>
      </c>
      <c r="K2453">
        <v>0</v>
      </c>
      <c r="L2453" s="1">
        <f t="shared" si="152"/>
        <v>8</v>
      </c>
      <c r="M2453" s="1" t="str">
        <f t="shared" si="153"/>
        <v/>
      </c>
      <c r="N2453" s="2">
        <f t="shared" si="154"/>
        <v>45809</v>
      </c>
      <c r="O2453" t="str">
        <f t="shared" si="155"/>
        <v>mačka</v>
      </c>
    </row>
    <row r="2454" spans="1:15" hidden="1" x14ac:dyDescent="0.25">
      <c r="A2454">
        <v>9963</v>
      </c>
      <c r="B2454" s="11">
        <v>4056789012345</v>
      </c>
      <c r="C2454" s="1" t="s">
        <v>47</v>
      </c>
      <c r="D2454" s="1" t="s">
        <v>29</v>
      </c>
      <c r="E2454" s="1" t="s">
        <v>37</v>
      </c>
      <c r="F2454">
        <v>2.4</v>
      </c>
      <c r="G2454">
        <v>3</v>
      </c>
      <c r="H2454" s="1" t="s">
        <v>14</v>
      </c>
      <c r="I2454" s="1" t="s">
        <v>15</v>
      </c>
      <c r="J2454" s="12">
        <v>45831</v>
      </c>
      <c r="K2454">
        <v>0</v>
      </c>
      <c r="L2454" s="1">
        <f t="shared" si="152"/>
        <v>7.1999999999999993</v>
      </c>
      <c r="M2454" s="1" t="str">
        <f t="shared" si="153"/>
        <v/>
      </c>
      <c r="N2454" s="2">
        <f t="shared" si="154"/>
        <v>45809</v>
      </c>
      <c r="O2454" t="str">
        <f t="shared" si="155"/>
        <v>mačka</v>
      </c>
    </row>
    <row r="2455" spans="1:15" x14ac:dyDescent="0.25">
      <c r="A2455">
        <v>9964</v>
      </c>
      <c r="B2455" s="11">
        <v>4061011223346</v>
      </c>
      <c r="C2455" s="1" t="s">
        <v>25</v>
      </c>
      <c r="D2455" s="1" t="s">
        <v>26</v>
      </c>
      <c r="E2455" s="1" t="s">
        <v>27</v>
      </c>
      <c r="F2455">
        <v>19.600000000000001</v>
      </c>
      <c r="G2455">
        <v>1</v>
      </c>
      <c r="H2455" s="1" t="s">
        <v>23</v>
      </c>
      <c r="I2455" s="1" t="s">
        <v>386</v>
      </c>
      <c r="J2455" s="12">
        <v>45831</v>
      </c>
      <c r="K2455">
        <v>0</v>
      </c>
      <c r="L2455" s="1">
        <f t="shared" si="152"/>
        <v>19.600000000000001</v>
      </c>
      <c r="M2455" s="1">
        <f t="shared" si="153"/>
        <v>5</v>
      </c>
      <c r="N2455" s="2">
        <f t="shared" si="154"/>
        <v>45809</v>
      </c>
      <c r="O2455" t="str">
        <f t="shared" si="155"/>
        <v>pes</v>
      </c>
    </row>
    <row r="2456" spans="1:15" hidden="1" x14ac:dyDescent="0.25">
      <c r="A2456">
        <v>9965</v>
      </c>
      <c r="B2456" s="11">
        <v>4026677889902</v>
      </c>
      <c r="C2456" s="1" t="s">
        <v>52</v>
      </c>
      <c r="D2456" s="1" t="s">
        <v>53</v>
      </c>
      <c r="E2456" s="1" t="s">
        <v>54</v>
      </c>
      <c r="F2456">
        <v>7.6</v>
      </c>
      <c r="G2456">
        <v>1</v>
      </c>
      <c r="H2456" s="1" t="s">
        <v>14</v>
      </c>
      <c r="I2456" s="1" t="s">
        <v>15</v>
      </c>
      <c r="J2456" s="12">
        <v>45831</v>
      </c>
      <c r="K2456">
        <v>0</v>
      </c>
      <c r="L2456" s="1">
        <f t="shared" si="152"/>
        <v>7.6</v>
      </c>
      <c r="M2456" s="1" t="str">
        <f t="shared" si="153"/>
        <v/>
      </c>
      <c r="N2456" s="2">
        <f t="shared" si="154"/>
        <v>45809</v>
      </c>
      <c r="O2456" t="str">
        <f t="shared" si="155"/>
        <v>iné</v>
      </c>
    </row>
    <row r="2457" spans="1:15" x14ac:dyDescent="0.25">
      <c r="A2457">
        <v>9966</v>
      </c>
      <c r="B2457" s="11">
        <v>4028899001126</v>
      </c>
      <c r="C2457" s="1" t="s">
        <v>16</v>
      </c>
      <c r="D2457" s="1" t="s">
        <v>12</v>
      </c>
      <c r="E2457" s="1" t="s">
        <v>17</v>
      </c>
      <c r="F2457">
        <v>2.8</v>
      </c>
      <c r="G2457">
        <v>3</v>
      </c>
      <c r="H2457" s="1" t="s">
        <v>14</v>
      </c>
      <c r="I2457" s="1" t="s">
        <v>15</v>
      </c>
      <c r="J2457" s="12">
        <v>45832</v>
      </c>
      <c r="K2457">
        <v>0</v>
      </c>
      <c r="L2457" s="1">
        <f t="shared" si="152"/>
        <v>8.3999999999999986</v>
      </c>
      <c r="M2457" s="1" t="str">
        <f t="shared" si="153"/>
        <v/>
      </c>
      <c r="N2457" s="2">
        <f t="shared" si="154"/>
        <v>45809</v>
      </c>
      <c r="O2457" t="str">
        <f t="shared" si="155"/>
        <v>pes</v>
      </c>
    </row>
    <row r="2458" spans="1:15" x14ac:dyDescent="0.25">
      <c r="A2458">
        <v>9967</v>
      </c>
      <c r="B2458" s="11">
        <v>4013456789017</v>
      </c>
      <c r="C2458" s="1" t="s">
        <v>11</v>
      </c>
      <c r="D2458" s="1" t="s">
        <v>12</v>
      </c>
      <c r="E2458" s="1" t="s">
        <v>13</v>
      </c>
      <c r="F2458">
        <v>6</v>
      </c>
      <c r="G2458">
        <v>1</v>
      </c>
      <c r="H2458" s="1" t="s">
        <v>18</v>
      </c>
      <c r="I2458" s="1" t="s">
        <v>387</v>
      </c>
      <c r="J2458" s="12">
        <v>45832</v>
      </c>
      <c r="K2458">
        <v>0</v>
      </c>
      <c r="L2458" s="1">
        <f t="shared" si="152"/>
        <v>6</v>
      </c>
      <c r="M2458" s="1">
        <f t="shared" si="153"/>
        <v>4</v>
      </c>
      <c r="N2458" s="2">
        <f t="shared" si="154"/>
        <v>45809</v>
      </c>
      <c r="O2458" t="str">
        <f t="shared" si="155"/>
        <v>pes</v>
      </c>
    </row>
    <row r="2459" spans="1:15" x14ac:dyDescent="0.25">
      <c r="A2459">
        <v>9968</v>
      </c>
      <c r="B2459" s="11">
        <v>4040123456795</v>
      </c>
      <c r="C2459" s="1" t="s">
        <v>20</v>
      </c>
      <c r="D2459" s="1" t="s">
        <v>21</v>
      </c>
      <c r="E2459" s="1" t="s">
        <v>22</v>
      </c>
      <c r="F2459">
        <v>8.8000000000000007</v>
      </c>
      <c r="G2459">
        <v>1</v>
      </c>
      <c r="H2459" s="1" t="s">
        <v>14</v>
      </c>
      <c r="I2459" s="1" t="s">
        <v>15</v>
      </c>
      <c r="J2459" s="12">
        <v>45832</v>
      </c>
      <c r="K2459">
        <v>0</v>
      </c>
      <c r="L2459" s="1">
        <f t="shared" si="152"/>
        <v>8.8000000000000007</v>
      </c>
      <c r="M2459" s="1" t="str">
        <f t="shared" si="153"/>
        <v/>
      </c>
      <c r="N2459" s="2">
        <f t="shared" si="154"/>
        <v>45809</v>
      </c>
      <c r="O2459" t="str">
        <f t="shared" si="155"/>
        <v>pes</v>
      </c>
    </row>
    <row r="2460" spans="1:15" hidden="1" x14ac:dyDescent="0.25">
      <c r="A2460">
        <v>9969</v>
      </c>
      <c r="B2460" s="11">
        <v>4010123456783</v>
      </c>
      <c r="C2460" s="1" t="s">
        <v>35</v>
      </c>
      <c r="D2460" s="1" t="s">
        <v>36</v>
      </c>
      <c r="E2460" s="1" t="s">
        <v>37</v>
      </c>
      <c r="F2460">
        <v>14</v>
      </c>
      <c r="G2460">
        <v>2</v>
      </c>
      <c r="H2460" s="1" t="s">
        <v>14</v>
      </c>
      <c r="I2460" s="1" t="s">
        <v>15</v>
      </c>
      <c r="J2460" s="12">
        <v>45832</v>
      </c>
      <c r="K2460">
        <v>0</v>
      </c>
      <c r="L2460" s="1">
        <f t="shared" si="152"/>
        <v>28</v>
      </c>
      <c r="M2460" s="1" t="str">
        <f t="shared" si="153"/>
        <v/>
      </c>
      <c r="N2460" s="2">
        <f t="shared" si="154"/>
        <v>45809</v>
      </c>
      <c r="O2460" t="str">
        <f t="shared" si="155"/>
        <v>mačka</v>
      </c>
    </row>
    <row r="2461" spans="1:15" x14ac:dyDescent="0.25">
      <c r="A2461">
        <v>9970</v>
      </c>
      <c r="B2461" s="11">
        <v>4063456789014</v>
      </c>
      <c r="C2461" s="1" t="s">
        <v>60</v>
      </c>
      <c r="D2461" s="1" t="s">
        <v>12</v>
      </c>
      <c r="E2461" s="1" t="s">
        <v>61</v>
      </c>
      <c r="F2461">
        <v>36</v>
      </c>
      <c r="G2461">
        <v>1</v>
      </c>
      <c r="H2461" s="1" t="s">
        <v>14</v>
      </c>
      <c r="I2461" s="1" t="s">
        <v>15</v>
      </c>
      <c r="J2461" s="12">
        <v>45832</v>
      </c>
      <c r="K2461">
        <v>0</v>
      </c>
      <c r="L2461" s="1">
        <f t="shared" si="152"/>
        <v>36</v>
      </c>
      <c r="M2461" s="1" t="str">
        <f t="shared" si="153"/>
        <v/>
      </c>
      <c r="N2461" s="2">
        <f t="shared" si="154"/>
        <v>45809</v>
      </c>
      <c r="O2461" t="str">
        <f t="shared" si="155"/>
        <v>pes</v>
      </c>
    </row>
    <row r="2462" spans="1:15" hidden="1" x14ac:dyDescent="0.25">
      <c r="A2462">
        <v>9971</v>
      </c>
      <c r="B2462" s="11">
        <v>4021234567894</v>
      </c>
      <c r="C2462" s="1" t="s">
        <v>79</v>
      </c>
      <c r="D2462" s="1" t="s">
        <v>36</v>
      </c>
      <c r="E2462" s="1" t="s">
        <v>69</v>
      </c>
      <c r="F2462">
        <v>8</v>
      </c>
      <c r="G2462">
        <v>1</v>
      </c>
      <c r="H2462" s="1" t="s">
        <v>14</v>
      </c>
      <c r="I2462" s="1" t="s">
        <v>15</v>
      </c>
      <c r="J2462" s="12">
        <v>45832</v>
      </c>
      <c r="K2462">
        <v>0</v>
      </c>
      <c r="L2462" s="1">
        <f t="shared" si="152"/>
        <v>8</v>
      </c>
      <c r="M2462" s="1" t="str">
        <f t="shared" si="153"/>
        <v/>
      </c>
      <c r="N2462" s="2">
        <f t="shared" si="154"/>
        <v>45809</v>
      </c>
      <c r="O2462" t="str">
        <f t="shared" si="155"/>
        <v>mačka</v>
      </c>
    </row>
    <row r="2463" spans="1:15" hidden="1" x14ac:dyDescent="0.25">
      <c r="A2463">
        <v>9972</v>
      </c>
      <c r="B2463" s="11">
        <v>4056789012345</v>
      </c>
      <c r="C2463" s="1" t="s">
        <v>47</v>
      </c>
      <c r="D2463" s="1" t="s">
        <v>29</v>
      </c>
      <c r="E2463" s="1" t="s">
        <v>37</v>
      </c>
      <c r="F2463">
        <v>2.4</v>
      </c>
      <c r="G2463">
        <v>2</v>
      </c>
      <c r="H2463" s="1" t="s">
        <v>14</v>
      </c>
      <c r="I2463" s="1" t="s">
        <v>15</v>
      </c>
      <c r="J2463" s="12">
        <v>45832</v>
      </c>
      <c r="K2463">
        <v>0</v>
      </c>
      <c r="L2463" s="1">
        <f t="shared" si="152"/>
        <v>4.8</v>
      </c>
      <c r="M2463" s="1" t="str">
        <f t="shared" si="153"/>
        <v/>
      </c>
      <c r="N2463" s="2">
        <f t="shared" si="154"/>
        <v>45809</v>
      </c>
      <c r="O2463" t="str">
        <f t="shared" si="155"/>
        <v>mačka</v>
      </c>
    </row>
    <row r="2464" spans="1:15" x14ac:dyDescent="0.25">
      <c r="A2464">
        <v>9973</v>
      </c>
      <c r="B2464" s="11">
        <v>4061011223346</v>
      </c>
      <c r="C2464" s="1" t="s">
        <v>25</v>
      </c>
      <c r="D2464" s="1" t="s">
        <v>26</v>
      </c>
      <c r="E2464" s="1" t="s">
        <v>27</v>
      </c>
      <c r="F2464">
        <v>19.600000000000001</v>
      </c>
      <c r="G2464">
        <v>1</v>
      </c>
      <c r="H2464" s="1" t="s">
        <v>14</v>
      </c>
      <c r="I2464" s="1" t="s">
        <v>15</v>
      </c>
      <c r="J2464" s="12">
        <v>45832</v>
      </c>
      <c r="K2464">
        <v>0</v>
      </c>
      <c r="L2464" s="1">
        <f t="shared" si="152"/>
        <v>19.600000000000001</v>
      </c>
      <c r="M2464" s="1" t="str">
        <f t="shared" si="153"/>
        <v/>
      </c>
      <c r="N2464" s="2">
        <f t="shared" si="154"/>
        <v>45809</v>
      </c>
      <c r="O2464" t="str">
        <f t="shared" si="155"/>
        <v>pes</v>
      </c>
    </row>
    <row r="2465" spans="1:15" hidden="1" x14ac:dyDescent="0.25">
      <c r="A2465">
        <v>9974</v>
      </c>
      <c r="B2465" s="11">
        <v>4026677889902</v>
      </c>
      <c r="C2465" s="1" t="s">
        <v>52</v>
      </c>
      <c r="D2465" s="1" t="s">
        <v>53</v>
      </c>
      <c r="E2465" s="1" t="s">
        <v>54</v>
      </c>
      <c r="F2465">
        <v>7.6</v>
      </c>
      <c r="G2465">
        <v>1</v>
      </c>
      <c r="H2465" s="1" t="s">
        <v>14</v>
      </c>
      <c r="I2465" s="1" t="s">
        <v>15</v>
      </c>
      <c r="J2465" s="12">
        <v>45832</v>
      </c>
      <c r="K2465">
        <v>0</v>
      </c>
      <c r="L2465" s="1">
        <f t="shared" si="152"/>
        <v>7.6</v>
      </c>
      <c r="M2465" s="1" t="str">
        <f t="shared" si="153"/>
        <v/>
      </c>
      <c r="N2465" s="2">
        <f t="shared" si="154"/>
        <v>45809</v>
      </c>
      <c r="O2465" t="str">
        <f t="shared" si="155"/>
        <v>iné</v>
      </c>
    </row>
    <row r="2466" spans="1:15" x14ac:dyDescent="0.25">
      <c r="A2466">
        <v>9975</v>
      </c>
      <c r="B2466" s="11">
        <v>4028899001126</v>
      </c>
      <c r="C2466" s="1" t="s">
        <v>16</v>
      </c>
      <c r="D2466" s="1" t="s">
        <v>12</v>
      </c>
      <c r="E2466" s="1" t="s">
        <v>17</v>
      </c>
      <c r="F2466">
        <v>2.8</v>
      </c>
      <c r="G2466">
        <v>4</v>
      </c>
      <c r="H2466" s="1" t="s">
        <v>14</v>
      </c>
      <c r="I2466" s="1" t="s">
        <v>15</v>
      </c>
      <c r="J2466" s="12">
        <v>45832</v>
      </c>
      <c r="K2466">
        <v>0</v>
      </c>
      <c r="L2466" s="1">
        <f t="shared" si="152"/>
        <v>11.2</v>
      </c>
      <c r="M2466" s="1" t="str">
        <f t="shared" si="153"/>
        <v/>
      </c>
      <c r="N2466" s="2">
        <f t="shared" si="154"/>
        <v>45809</v>
      </c>
      <c r="O2466" t="str">
        <f t="shared" si="155"/>
        <v>pes</v>
      </c>
    </row>
    <row r="2467" spans="1:15" x14ac:dyDescent="0.25">
      <c r="A2467">
        <v>9976</v>
      </c>
      <c r="B2467" s="11">
        <v>4013456789017</v>
      </c>
      <c r="C2467" s="1" t="s">
        <v>11</v>
      </c>
      <c r="D2467" s="1" t="s">
        <v>12</v>
      </c>
      <c r="E2467" s="1" t="s">
        <v>13</v>
      </c>
      <c r="F2467">
        <v>6</v>
      </c>
      <c r="G2467">
        <v>1</v>
      </c>
      <c r="H2467" s="1" t="s">
        <v>33</v>
      </c>
      <c r="I2467" s="1" t="s">
        <v>388</v>
      </c>
      <c r="J2467" s="12">
        <v>45832</v>
      </c>
      <c r="K2467">
        <v>0</v>
      </c>
      <c r="L2467" s="1">
        <f t="shared" si="152"/>
        <v>6</v>
      </c>
      <c r="M2467" s="1">
        <f t="shared" si="153"/>
        <v>3</v>
      </c>
      <c r="N2467" s="2">
        <f t="shared" si="154"/>
        <v>45809</v>
      </c>
      <c r="O2467" t="str">
        <f t="shared" si="155"/>
        <v>pes</v>
      </c>
    </row>
    <row r="2468" spans="1:15" x14ac:dyDescent="0.25">
      <c r="A2468">
        <v>9977</v>
      </c>
      <c r="B2468" s="11">
        <v>4040123456795</v>
      </c>
      <c r="C2468" s="1" t="s">
        <v>20</v>
      </c>
      <c r="D2468" s="1" t="s">
        <v>21</v>
      </c>
      <c r="E2468" s="1" t="s">
        <v>22</v>
      </c>
      <c r="F2468">
        <v>8.8000000000000007</v>
      </c>
      <c r="G2468">
        <v>1</v>
      </c>
      <c r="H2468" s="1" t="s">
        <v>14</v>
      </c>
      <c r="I2468" s="1" t="s">
        <v>15</v>
      </c>
      <c r="J2468" s="12">
        <v>45832</v>
      </c>
      <c r="K2468">
        <v>0</v>
      </c>
      <c r="L2468" s="1">
        <f t="shared" si="152"/>
        <v>8.8000000000000007</v>
      </c>
      <c r="M2468" s="1" t="str">
        <f t="shared" si="153"/>
        <v/>
      </c>
      <c r="N2468" s="2">
        <f t="shared" si="154"/>
        <v>45809</v>
      </c>
      <c r="O2468" t="str">
        <f t="shared" si="155"/>
        <v>pes</v>
      </c>
    </row>
    <row r="2469" spans="1:15" hidden="1" x14ac:dyDescent="0.25">
      <c r="A2469">
        <v>9978</v>
      </c>
      <c r="B2469" s="11">
        <v>4010123456783</v>
      </c>
      <c r="C2469" s="1" t="s">
        <v>35</v>
      </c>
      <c r="D2469" s="1" t="s">
        <v>36</v>
      </c>
      <c r="E2469" s="1" t="s">
        <v>37</v>
      </c>
      <c r="F2469">
        <v>14</v>
      </c>
      <c r="G2469">
        <v>1</v>
      </c>
      <c r="H2469" s="1" t="s">
        <v>14</v>
      </c>
      <c r="I2469" s="1" t="s">
        <v>15</v>
      </c>
      <c r="J2469" s="12">
        <v>45832</v>
      </c>
      <c r="K2469">
        <v>0</v>
      </c>
      <c r="L2469" s="1">
        <f t="shared" si="152"/>
        <v>14</v>
      </c>
      <c r="M2469" s="1" t="str">
        <f t="shared" si="153"/>
        <v/>
      </c>
      <c r="N2469" s="2">
        <f t="shared" si="154"/>
        <v>45809</v>
      </c>
      <c r="O2469" t="str">
        <f t="shared" si="155"/>
        <v>mačka</v>
      </c>
    </row>
    <row r="2470" spans="1:15" x14ac:dyDescent="0.25">
      <c r="A2470">
        <v>9979</v>
      </c>
      <c r="B2470" s="11">
        <v>4063456789014</v>
      </c>
      <c r="C2470" s="1" t="s">
        <v>60</v>
      </c>
      <c r="D2470" s="1" t="s">
        <v>12</v>
      </c>
      <c r="E2470" s="1" t="s">
        <v>61</v>
      </c>
      <c r="F2470">
        <v>36</v>
      </c>
      <c r="G2470">
        <v>1</v>
      </c>
      <c r="H2470" s="1" t="s">
        <v>14</v>
      </c>
      <c r="I2470" s="1" t="s">
        <v>15</v>
      </c>
      <c r="J2470" s="12">
        <v>45832</v>
      </c>
      <c r="K2470">
        <v>0</v>
      </c>
      <c r="L2470" s="1">
        <f t="shared" si="152"/>
        <v>36</v>
      </c>
      <c r="M2470" s="1" t="str">
        <f t="shared" si="153"/>
        <v/>
      </c>
      <c r="N2470" s="2">
        <f t="shared" si="154"/>
        <v>45809</v>
      </c>
      <c r="O2470" t="str">
        <f t="shared" si="155"/>
        <v>pes</v>
      </c>
    </row>
    <row r="2471" spans="1:15" hidden="1" x14ac:dyDescent="0.25">
      <c r="A2471">
        <v>9980</v>
      </c>
      <c r="B2471" s="11">
        <v>4021234567894</v>
      </c>
      <c r="C2471" s="1" t="s">
        <v>79</v>
      </c>
      <c r="D2471" s="1" t="s">
        <v>36</v>
      </c>
      <c r="E2471" s="1" t="s">
        <v>69</v>
      </c>
      <c r="F2471">
        <v>8</v>
      </c>
      <c r="G2471">
        <v>1</v>
      </c>
      <c r="H2471" s="1" t="s">
        <v>14</v>
      </c>
      <c r="I2471" s="1" t="s">
        <v>15</v>
      </c>
      <c r="J2471" s="12">
        <v>45832</v>
      </c>
      <c r="K2471">
        <v>0</v>
      </c>
      <c r="L2471" s="1">
        <f t="shared" si="152"/>
        <v>8</v>
      </c>
      <c r="M2471" s="1" t="str">
        <f t="shared" si="153"/>
        <v/>
      </c>
      <c r="N2471" s="2">
        <f t="shared" si="154"/>
        <v>45809</v>
      </c>
      <c r="O2471" t="str">
        <f t="shared" si="155"/>
        <v>mačka</v>
      </c>
    </row>
    <row r="2472" spans="1:15" hidden="1" x14ac:dyDescent="0.25">
      <c r="A2472">
        <v>9981</v>
      </c>
      <c r="B2472" s="11">
        <v>4056789012345</v>
      </c>
      <c r="C2472" s="1" t="s">
        <v>47</v>
      </c>
      <c r="D2472" s="1" t="s">
        <v>29</v>
      </c>
      <c r="E2472" s="1" t="s">
        <v>37</v>
      </c>
      <c r="F2472">
        <v>2.4</v>
      </c>
      <c r="G2472">
        <v>3</v>
      </c>
      <c r="H2472" s="1" t="s">
        <v>14</v>
      </c>
      <c r="I2472" s="1" t="s">
        <v>15</v>
      </c>
      <c r="J2472" s="12">
        <v>45832</v>
      </c>
      <c r="K2472">
        <v>0</v>
      </c>
      <c r="L2472" s="1">
        <f t="shared" si="152"/>
        <v>7.1999999999999993</v>
      </c>
      <c r="M2472" s="1" t="str">
        <f t="shared" si="153"/>
        <v/>
      </c>
      <c r="N2472" s="2">
        <f t="shared" si="154"/>
        <v>45809</v>
      </c>
      <c r="O2472" t="str">
        <f t="shared" si="155"/>
        <v>mačka</v>
      </c>
    </row>
    <row r="2473" spans="1:15" x14ac:dyDescent="0.25">
      <c r="A2473">
        <v>9982</v>
      </c>
      <c r="B2473" s="11">
        <v>4061011223346</v>
      </c>
      <c r="C2473" s="1" t="s">
        <v>25</v>
      </c>
      <c r="D2473" s="1" t="s">
        <v>26</v>
      </c>
      <c r="E2473" s="1" t="s">
        <v>27</v>
      </c>
      <c r="F2473">
        <v>19.600000000000001</v>
      </c>
      <c r="G2473">
        <v>1</v>
      </c>
      <c r="H2473" s="1" t="s">
        <v>23</v>
      </c>
      <c r="I2473" s="1" t="s">
        <v>389</v>
      </c>
      <c r="J2473" s="12">
        <v>45833</v>
      </c>
      <c r="K2473">
        <v>0</v>
      </c>
      <c r="L2473" s="1">
        <f t="shared" si="152"/>
        <v>19.600000000000001</v>
      </c>
      <c r="M2473" s="1">
        <f t="shared" si="153"/>
        <v>5</v>
      </c>
      <c r="N2473" s="2">
        <f t="shared" si="154"/>
        <v>45809</v>
      </c>
      <c r="O2473" t="str">
        <f t="shared" si="155"/>
        <v>pes</v>
      </c>
    </row>
    <row r="2474" spans="1:15" hidden="1" x14ac:dyDescent="0.25">
      <c r="A2474">
        <v>9983</v>
      </c>
      <c r="B2474" s="11">
        <v>4026677889902</v>
      </c>
      <c r="C2474" s="1" t="s">
        <v>52</v>
      </c>
      <c r="D2474" s="1" t="s">
        <v>53</v>
      </c>
      <c r="E2474" s="1" t="s">
        <v>54</v>
      </c>
      <c r="F2474">
        <v>7.6</v>
      </c>
      <c r="G2474">
        <v>1</v>
      </c>
      <c r="H2474" s="1" t="s">
        <v>14</v>
      </c>
      <c r="I2474" s="1" t="s">
        <v>15</v>
      </c>
      <c r="J2474" s="12">
        <v>45833</v>
      </c>
      <c r="K2474">
        <v>0</v>
      </c>
      <c r="L2474" s="1">
        <f t="shared" si="152"/>
        <v>7.6</v>
      </c>
      <c r="M2474" s="1" t="str">
        <f t="shared" si="153"/>
        <v/>
      </c>
      <c r="N2474" s="2">
        <f t="shared" si="154"/>
        <v>45809</v>
      </c>
      <c r="O2474" t="str">
        <f t="shared" si="155"/>
        <v>iné</v>
      </c>
    </row>
    <row r="2475" spans="1:15" x14ac:dyDescent="0.25">
      <c r="A2475">
        <v>9984</v>
      </c>
      <c r="B2475" s="11">
        <v>4028899001126</v>
      </c>
      <c r="C2475" s="1" t="s">
        <v>16</v>
      </c>
      <c r="D2475" s="1" t="s">
        <v>12</v>
      </c>
      <c r="E2475" s="1" t="s">
        <v>17</v>
      </c>
      <c r="F2475">
        <v>2.8</v>
      </c>
      <c r="G2475">
        <v>4</v>
      </c>
      <c r="H2475" s="1" t="s">
        <v>14</v>
      </c>
      <c r="I2475" s="1" t="s">
        <v>15</v>
      </c>
      <c r="J2475" s="12">
        <v>45833</v>
      </c>
      <c r="K2475">
        <v>0</v>
      </c>
      <c r="L2475" s="1">
        <f t="shared" si="152"/>
        <v>11.2</v>
      </c>
      <c r="M2475" s="1" t="str">
        <f t="shared" si="153"/>
        <v/>
      </c>
      <c r="N2475" s="2">
        <f t="shared" si="154"/>
        <v>45809</v>
      </c>
      <c r="O2475" t="str">
        <f t="shared" si="155"/>
        <v>pes</v>
      </c>
    </row>
    <row r="2476" spans="1:15" x14ac:dyDescent="0.25">
      <c r="A2476">
        <v>9985</v>
      </c>
      <c r="B2476" s="11">
        <v>4013456789017</v>
      </c>
      <c r="C2476" s="1" t="s">
        <v>11</v>
      </c>
      <c r="D2476" s="1" t="s">
        <v>12</v>
      </c>
      <c r="E2476" s="1" t="s">
        <v>13</v>
      </c>
      <c r="F2476">
        <v>6</v>
      </c>
      <c r="G2476">
        <v>1</v>
      </c>
      <c r="H2476" s="1" t="s">
        <v>14</v>
      </c>
      <c r="I2476" s="1" t="s">
        <v>15</v>
      </c>
      <c r="J2476" s="12">
        <v>45833</v>
      </c>
      <c r="K2476">
        <v>0</v>
      </c>
      <c r="L2476" s="1">
        <f t="shared" si="152"/>
        <v>6</v>
      </c>
      <c r="M2476" s="1" t="str">
        <f t="shared" si="153"/>
        <v/>
      </c>
      <c r="N2476" s="2">
        <f t="shared" si="154"/>
        <v>45809</v>
      </c>
      <c r="O2476" t="str">
        <f t="shared" si="155"/>
        <v>pes</v>
      </c>
    </row>
    <row r="2477" spans="1:15" x14ac:dyDescent="0.25">
      <c r="A2477">
        <v>9986</v>
      </c>
      <c r="B2477" s="11">
        <v>4040123456795</v>
      </c>
      <c r="C2477" s="1" t="s">
        <v>20</v>
      </c>
      <c r="D2477" s="1" t="s">
        <v>21</v>
      </c>
      <c r="E2477" s="1" t="s">
        <v>22</v>
      </c>
      <c r="F2477">
        <v>8.8000000000000007</v>
      </c>
      <c r="G2477">
        <v>1</v>
      </c>
      <c r="H2477" s="1" t="s">
        <v>14</v>
      </c>
      <c r="I2477" s="1" t="s">
        <v>15</v>
      </c>
      <c r="J2477" s="12">
        <v>45833</v>
      </c>
      <c r="K2477">
        <v>0</v>
      </c>
      <c r="L2477" s="1">
        <f t="shared" si="152"/>
        <v>8.8000000000000007</v>
      </c>
      <c r="M2477" s="1" t="str">
        <f t="shared" si="153"/>
        <v/>
      </c>
      <c r="N2477" s="2">
        <f t="shared" si="154"/>
        <v>45809</v>
      </c>
      <c r="O2477" t="str">
        <f t="shared" si="155"/>
        <v>pes</v>
      </c>
    </row>
    <row r="2478" spans="1:15" hidden="1" x14ac:dyDescent="0.25">
      <c r="A2478">
        <v>9987</v>
      </c>
      <c r="B2478" s="11">
        <v>4010123456783</v>
      </c>
      <c r="C2478" s="1" t="s">
        <v>35</v>
      </c>
      <c r="D2478" s="1" t="s">
        <v>36</v>
      </c>
      <c r="E2478" s="1" t="s">
        <v>37</v>
      </c>
      <c r="F2478">
        <v>14</v>
      </c>
      <c r="G2478">
        <v>1</v>
      </c>
      <c r="H2478" s="1" t="s">
        <v>14</v>
      </c>
      <c r="I2478" s="1" t="s">
        <v>15</v>
      </c>
      <c r="J2478" s="12">
        <v>45833</v>
      </c>
      <c r="K2478">
        <v>0</v>
      </c>
      <c r="L2478" s="1">
        <f t="shared" si="152"/>
        <v>14</v>
      </c>
      <c r="M2478" s="1" t="str">
        <f t="shared" si="153"/>
        <v/>
      </c>
      <c r="N2478" s="2">
        <f t="shared" si="154"/>
        <v>45809</v>
      </c>
      <c r="O2478" t="str">
        <f t="shared" si="155"/>
        <v>mačka</v>
      </c>
    </row>
    <row r="2479" spans="1:15" x14ac:dyDescent="0.25">
      <c r="A2479">
        <v>9988</v>
      </c>
      <c r="B2479" s="11">
        <v>4063456789014</v>
      </c>
      <c r="C2479" s="1" t="s">
        <v>60</v>
      </c>
      <c r="D2479" s="1" t="s">
        <v>12</v>
      </c>
      <c r="E2479" s="1" t="s">
        <v>61</v>
      </c>
      <c r="F2479">
        <v>36</v>
      </c>
      <c r="G2479">
        <v>1</v>
      </c>
      <c r="H2479" s="1" t="s">
        <v>14</v>
      </c>
      <c r="I2479" s="1" t="s">
        <v>15</v>
      </c>
      <c r="J2479" s="12">
        <v>45833</v>
      </c>
      <c r="K2479">
        <v>0</v>
      </c>
      <c r="L2479" s="1">
        <f t="shared" si="152"/>
        <v>36</v>
      </c>
      <c r="M2479" s="1" t="str">
        <f t="shared" si="153"/>
        <v/>
      </c>
      <c r="N2479" s="2">
        <f t="shared" si="154"/>
        <v>45809</v>
      </c>
      <c r="O2479" t="str">
        <f t="shared" si="155"/>
        <v>pes</v>
      </c>
    </row>
    <row r="2480" spans="1:15" hidden="1" x14ac:dyDescent="0.25">
      <c r="A2480">
        <v>9989</v>
      </c>
      <c r="B2480" s="11">
        <v>4021234567894</v>
      </c>
      <c r="C2480" s="1" t="s">
        <v>79</v>
      </c>
      <c r="D2480" s="1" t="s">
        <v>36</v>
      </c>
      <c r="E2480" s="1" t="s">
        <v>69</v>
      </c>
      <c r="F2480">
        <v>8</v>
      </c>
      <c r="G2480">
        <v>1</v>
      </c>
      <c r="H2480" s="1" t="s">
        <v>14</v>
      </c>
      <c r="I2480" s="1" t="s">
        <v>15</v>
      </c>
      <c r="J2480" s="12">
        <v>45833</v>
      </c>
      <c r="K2480">
        <v>0</v>
      </c>
      <c r="L2480" s="1">
        <f t="shared" si="152"/>
        <v>8</v>
      </c>
      <c r="M2480" s="1" t="str">
        <f t="shared" si="153"/>
        <v/>
      </c>
      <c r="N2480" s="2">
        <f t="shared" si="154"/>
        <v>45809</v>
      </c>
      <c r="O2480" t="str">
        <f t="shared" si="155"/>
        <v>mačka</v>
      </c>
    </row>
    <row r="2481" spans="1:15" hidden="1" x14ac:dyDescent="0.25">
      <c r="A2481">
        <v>9990</v>
      </c>
      <c r="B2481" s="11">
        <v>4056789012345</v>
      </c>
      <c r="C2481" s="1" t="s">
        <v>47</v>
      </c>
      <c r="D2481" s="1" t="s">
        <v>29</v>
      </c>
      <c r="E2481" s="1" t="s">
        <v>37</v>
      </c>
      <c r="F2481">
        <v>2.4</v>
      </c>
      <c r="G2481">
        <v>2</v>
      </c>
      <c r="H2481" s="1" t="s">
        <v>14</v>
      </c>
      <c r="I2481" s="1" t="s">
        <v>15</v>
      </c>
      <c r="J2481" s="12">
        <v>45833</v>
      </c>
      <c r="K2481">
        <v>0</v>
      </c>
      <c r="L2481" s="1">
        <f t="shared" si="152"/>
        <v>4.8</v>
      </c>
      <c r="M2481" s="1" t="str">
        <f t="shared" si="153"/>
        <v/>
      </c>
      <c r="N2481" s="2">
        <f t="shared" si="154"/>
        <v>45809</v>
      </c>
      <c r="O2481" t="str">
        <f t="shared" si="155"/>
        <v>mačka</v>
      </c>
    </row>
    <row r="2482" spans="1:15" x14ac:dyDescent="0.25">
      <c r="A2482">
        <v>9991</v>
      </c>
      <c r="B2482" s="11">
        <v>4061011223346</v>
      </c>
      <c r="C2482" s="1" t="s">
        <v>25</v>
      </c>
      <c r="D2482" s="1" t="s">
        <v>26</v>
      </c>
      <c r="E2482" s="1" t="s">
        <v>27</v>
      </c>
      <c r="F2482">
        <v>19.600000000000001</v>
      </c>
      <c r="G2482">
        <v>1</v>
      </c>
      <c r="H2482" s="1" t="s">
        <v>14</v>
      </c>
      <c r="I2482" s="1" t="s">
        <v>15</v>
      </c>
      <c r="J2482" s="12">
        <v>45833</v>
      </c>
      <c r="K2482">
        <v>0</v>
      </c>
      <c r="L2482" s="1">
        <f t="shared" si="152"/>
        <v>19.600000000000001</v>
      </c>
      <c r="M2482" s="1" t="str">
        <f t="shared" si="153"/>
        <v/>
      </c>
      <c r="N2482" s="2">
        <f t="shared" si="154"/>
        <v>45809</v>
      </c>
      <c r="O2482" t="str">
        <f t="shared" si="155"/>
        <v>pes</v>
      </c>
    </row>
    <row r="2483" spans="1:15" hidden="1" x14ac:dyDescent="0.25">
      <c r="A2483">
        <v>9992</v>
      </c>
      <c r="B2483" s="11">
        <v>4026677889902</v>
      </c>
      <c r="C2483" s="1" t="s">
        <v>52</v>
      </c>
      <c r="D2483" s="1" t="s">
        <v>53</v>
      </c>
      <c r="E2483" s="1" t="s">
        <v>54</v>
      </c>
      <c r="F2483">
        <v>7.6</v>
      </c>
      <c r="G2483">
        <v>1</v>
      </c>
      <c r="H2483" s="1" t="s">
        <v>14</v>
      </c>
      <c r="I2483" s="1" t="s">
        <v>15</v>
      </c>
      <c r="J2483" s="12">
        <v>45833</v>
      </c>
      <c r="K2483">
        <v>0</v>
      </c>
      <c r="L2483" s="1">
        <f t="shared" si="152"/>
        <v>7.6</v>
      </c>
      <c r="M2483" s="1" t="str">
        <f t="shared" si="153"/>
        <v/>
      </c>
      <c r="N2483" s="2">
        <f t="shared" si="154"/>
        <v>45809</v>
      </c>
      <c r="O2483" t="str">
        <f t="shared" si="155"/>
        <v>iné</v>
      </c>
    </row>
    <row r="2484" spans="1:15" x14ac:dyDescent="0.25">
      <c r="A2484">
        <v>9993</v>
      </c>
      <c r="B2484" s="11">
        <v>4028899001126</v>
      </c>
      <c r="C2484" s="1" t="s">
        <v>16</v>
      </c>
      <c r="D2484" s="1" t="s">
        <v>12</v>
      </c>
      <c r="E2484" s="1" t="s">
        <v>17</v>
      </c>
      <c r="F2484">
        <v>2.8</v>
      </c>
      <c r="G2484">
        <v>3</v>
      </c>
      <c r="H2484" s="1" t="s">
        <v>18</v>
      </c>
      <c r="I2484" s="1" t="s">
        <v>390</v>
      </c>
      <c r="J2484" s="12">
        <v>45833</v>
      </c>
      <c r="K2484">
        <v>0</v>
      </c>
      <c r="L2484" s="1">
        <f t="shared" si="152"/>
        <v>8.3999999999999986</v>
      </c>
      <c r="M2484" s="1">
        <f t="shared" si="153"/>
        <v>4</v>
      </c>
      <c r="N2484" s="2">
        <f t="shared" si="154"/>
        <v>45809</v>
      </c>
      <c r="O2484" t="str">
        <f t="shared" si="155"/>
        <v>pes</v>
      </c>
    </row>
    <row r="2485" spans="1:15" x14ac:dyDescent="0.25">
      <c r="A2485">
        <v>9994</v>
      </c>
      <c r="B2485" s="11">
        <v>4013456789017</v>
      </c>
      <c r="C2485" s="1" t="s">
        <v>11</v>
      </c>
      <c r="D2485" s="1" t="s">
        <v>12</v>
      </c>
      <c r="E2485" s="1" t="s">
        <v>13</v>
      </c>
      <c r="F2485">
        <v>6</v>
      </c>
      <c r="G2485">
        <v>1</v>
      </c>
      <c r="H2485" s="1" t="s">
        <v>14</v>
      </c>
      <c r="I2485" s="1" t="s">
        <v>15</v>
      </c>
      <c r="J2485" s="12">
        <v>45833</v>
      </c>
      <c r="K2485">
        <v>0</v>
      </c>
      <c r="L2485" s="1">
        <f t="shared" si="152"/>
        <v>6</v>
      </c>
      <c r="M2485" s="1" t="str">
        <f t="shared" si="153"/>
        <v/>
      </c>
      <c r="N2485" s="2">
        <f t="shared" si="154"/>
        <v>45809</v>
      </c>
      <c r="O2485" t="str">
        <f t="shared" si="155"/>
        <v>pes</v>
      </c>
    </row>
    <row r="2486" spans="1:15" x14ac:dyDescent="0.25">
      <c r="A2486">
        <v>9995</v>
      </c>
      <c r="B2486" s="11">
        <v>4040123456795</v>
      </c>
      <c r="C2486" s="1" t="s">
        <v>20</v>
      </c>
      <c r="D2486" s="1" t="s">
        <v>21</v>
      </c>
      <c r="E2486" s="1" t="s">
        <v>22</v>
      </c>
      <c r="F2486">
        <v>8.8000000000000007</v>
      </c>
      <c r="G2486">
        <v>1</v>
      </c>
      <c r="H2486" s="1" t="s">
        <v>14</v>
      </c>
      <c r="I2486" s="1" t="s">
        <v>15</v>
      </c>
      <c r="J2486" s="12">
        <v>45833</v>
      </c>
      <c r="K2486">
        <v>0</v>
      </c>
      <c r="L2486" s="1">
        <f t="shared" si="152"/>
        <v>8.8000000000000007</v>
      </c>
      <c r="M2486" s="1" t="str">
        <f t="shared" si="153"/>
        <v/>
      </c>
      <c r="N2486" s="2">
        <f t="shared" si="154"/>
        <v>45809</v>
      </c>
      <c r="O2486" t="str">
        <f t="shared" si="155"/>
        <v>pes</v>
      </c>
    </row>
    <row r="2487" spans="1:15" hidden="1" x14ac:dyDescent="0.25">
      <c r="A2487">
        <v>9996</v>
      </c>
      <c r="B2487" s="11">
        <v>4010123456783</v>
      </c>
      <c r="C2487" s="1" t="s">
        <v>35</v>
      </c>
      <c r="D2487" s="1" t="s">
        <v>36</v>
      </c>
      <c r="E2487" s="1" t="s">
        <v>37</v>
      </c>
      <c r="F2487">
        <v>14</v>
      </c>
      <c r="G2487">
        <v>1</v>
      </c>
      <c r="H2487" s="1" t="s">
        <v>14</v>
      </c>
      <c r="I2487" s="1" t="s">
        <v>15</v>
      </c>
      <c r="J2487" s="12">
        <v>45833</v>
      </c>
      <c r="K2487">
        <v>0</v>
      </c>
      <c r="L2487" s="1">
        <f t="shared" si="152"/>
        <v>14</v>
      </c>
      <c r="M2487" s="1" t="str">
        <f t="shared" si="153"/>
        <v/>
      </c>
      <c r="N2487" s="2">
        <f t="shared" si="154"/>
        <v>45809</v>
      </c>
      <c r="O2487" t="str">
        <f t="shared" si="155"/>
        <v>mačka</v>
      </c>
    </row>
    <row r="2488" spans="1:15" x14ac:dyDescent="0.25">
      <c r="A2488">
        <v>9997</v>
      </c>
      <c r="B2488" s="11">
        <v>4063456789014</v>
      </c>
      <c r="C2488" s="1" t="s">
        <v>60</v>
      </c>
      <c r="D2488" s="1" t="s">
        <v>12</v>
      </c>
      <c r="E2488" s="1" t="s">
        <v>61</v>
      </c>
      <c r="F2488">
        <v>36</v>
      </c>
      <c r="G2488">
        <v>1</v>
      </c>
      <c r="H2488" s="1" t="s">
        <v>14</v>
      </c>
      <c r="I2488" s="1" t="s">
        <v>15</v>
      </c>
      <c r="J2488" s="12">
        <v>45833</v>
      </c>
      <c r="K2488">
        <v>0</v>
      </c>
      <c r="L2488" s="1">
        <f t="shared" si="152"/>
        <v>36</v>
      </c>
      <c r="M2488" s="1" t="str">
        <f t="shared" si="153"/>
        <v/>
      </c>
      <c r="N2488" s="2">
        <f t="shared" si="154"/>
        <v>45809</v>
      </c>
      <c r="O2488" t="str">
        <f t="shared" si="155"/>
        <v>pes</v>
      </c>
    </row>
    <row r="2489" spans="1:15" hidden="1" x14ac:dyDescent="0.25">
      <c r="A2489">
        <v>9998</v>
      </c>
      <c r="B2489" s="11">
        <v>4021234567894</v>
      </c>
      <c r="C2489" s="1" t="s">
        <v>79</v>
      </c>
      <c r="D2489" s="1" t="s">
        <v>36</v>
      </c>
      <c r="E2489" s="1" t="s">
        <v>69</v>
      </c>
      <c r="F2489">
        <v>8</v>
      </c>
      <c r="G2489">
        <v>1</v>
      </c>
      <c r="H2489" s="1" t="s">
        <v>14</v>
      </c>
      <c r="I2489" s="1" t="s">
        <v>15</v>
      </c>
      <c r="J2489" s="12">
        <v>45833</v>
      </c>
      <c r="K2489">
        <v>0</v>
      </c>
      <c r="L2489" s="1">
        <f t="shared" si="152"/>
        <v>8</v>
      </c>
      <c r="M2489" s="1" t="str">
        <f t="shared" si="153"/>
        <v/>
      </c>
      <c r="N2489" s="2">
        <f t="shared" si="154"/>
        <v>45809</v>
      </c>
      <c r="O2489" t="str">
        <f t="shared" si="155"/>
        <v>mačka</v>
      </c>
    </row>
    <row r="2490" spans="1:15" hidden="1" x14ac:dyDescent="0.25">
      <c r="A2490">
        <v>9999</v>
      </c>
      <c r="B2490" s="11">
        <v>4056789012345</v>
      </c>
      <c r="C2490" s="1" t="s">
        <v>47</v>
      </c>
      <c r="D2490" s="1" t="s">
        <v>29</v>
      </c>
      <c r="E2490" s="1" t="s">
        <v>37</v>
      </c>
      <c r="F2490">
        <v>2.4</v>
      </c>
      <c r="G2490">
        <v>3</v>
      </c>
      <c r="H2490" s="1" t="s">
        <v>14</v>
      </c>
      <c r="I2490" s="1" t="s">
        <v>15</v>
      </c>
      <c r="J2490" s="12">
        <v>45833</v>
      </c>
      <c r="K2490">
        <v>0</v>
      </c>
      <c r="L2490" s="1">
        <f t="shared" si="152"/>
        <v>7.1999999999999993</v>
      </c>
      <c r="M2490" s="1" t="str">
        <f t="shared" si="153"/>
        <v/>
      </c>
      <c r="N2490" s="2">
        <f t="shared" si="154"/>
        <v>45809</v>
      </c>
      <c r="O2490" t="str">
        <f t="shared" si="155"/>
        <v>mačka</v>
      </c>
    </row>
    <row r="2491" spans="1:15" x14ac:dyDescent="0.25">
      <c r="A2491">
        <v>10000</v>
      </c>
      <c r="B2491" s="11">
        <v>4061011223346</v>
      </c>
      <c r="C2491" s="1" t="s">
        <v>25</v>
      </c>
      <c r="D2491" s="1" t="s">
        <v>26</v>
      </c>
      <c r="E2491" s="1" t="s">
        <v>27</v>
      </c>
      <c r="F2491">
        <v>19.600000000000001</v>
      </c>
      <c r="G2491">
        <v>1</v>
      </c>
      <c r="H2491" s="1" t="s">
        <v>14</v>
      </c>
      <c r="I2491" s="1" t="s">
        <v>15</v>
      </c>
      <c r="J2491" s="12">
        <v>45833</v>
      </c>
      <c r="K2491">
        <v>0</v>
      </c>
      <c r="L2491" s="1">
        <f t="shared" si="152"/>
        <v>19.600000000000001</v>
      </c>
      <c r="M2491" s="1" t="str">
        <f t="shared" si="153"/>
        <v/>
      </c>
      <c r="N2491" s="2">
        <f t="shared" si="154"/>
        <v>45809</v>
      </c>
      <c r="O2491" t="str">
        <f t="shared" si="155"/>
        <v>pes</v>
      </c>
    </row>
    <row r="2492" spans="1:15" hidden="1" x14ac:dyDescent="0.25">
      <c r="A2492">
        <v>10001</v>
      </c>
      <c r="B2492" s="11">
        <v>4026677889902</v>
      </c>
      <c r="C2492" s="1" t="s">
        <v>52</v>
      </c>
      <c r="D2492" s="1" t="s">
        <v>53</v>
      </c>
      <c r="E2492" s="1" t="s">
        <v>54</v>
      </c>
      <c r="F2492">
        <v>7.6</v>
      </c>
      <c r="G2492">
        <v>1</v>
      </c>
      <c r="H2492" s="1" t="s">
        <v>14</v>
      </c>
      <c r="I2492" s="1" t="s">
        <v>15</v>
      </c>
      <c r="J2492" s="12">
        <v>45834</v>
      </c>
      <c r="K2492">
        <v>0</v>
      </c>
      <c r="L2492" s="1">
        <f t="shared" si="152"/>
        <v>7.6</v>
      </c>
      <c r="M2492" s="1" t="str">
        <f t="shared" si="153"/>
        <v/>
      </c>
      <c r="N2492" s="2">
        <f t="shared" si="154"/>
        <v>45809</v>
      </c>
      <c r="O2492" t="str">
        <f t="shared" si="155"/>
        <v>iné</v>
      </c>
    </row>
    <row r="2493" spans="1:15" x14ac:dyDescent="0.25">
      <c r="A2493">
        <v>10002</v>
      </c>
      <c r="B2493" s="11">
        <v>4028899001126</v>
      </c>
      <c r="C2493" s="1" t="s">
        <v>16</v>
      </c>
      <c r="D2493" s="1" t="s">
        <v>12</v>
      </c>
      <c r="E2493" s="1" t="s">
        <v>17</v>
      </c>
      <c r="F2493">
        <v>2.8</v>
      </c>
      <c r="G2493">
        <v>4</v>
      </c>
      <c r="H2493" s="1" t="s">
        <v>14</v>
      </c>
      <c r="I2493" s="1" t="s">
        <v>15</v>
      </c>
      <c r="J2493" s="12">
        <v>45834</v>
      </c>
      <c r="K2493">
        <v>0</v>
      </c>
      <c r="L2493" s="1">
        <f t="shared" si="152"/>
        <v>11.2</v>
      </c>
      <c r="M2493" s="1" t="str">
        <f t="shared" si="153"/>
        <v/>
      </c>
      <c r="N2493" s="2">
        <f t="shared" si="154"/>
        <v>45809</v>
      </c>
      <c r="O2493" t="str">
        <f t="shared" si="155"/>
        <v>pes</v>
      </c>
    </row>
    <row r="2494" spans="1:15" x14ac:dyDescent="0.25">
      <c r="A2494">
        <v>10003</v>
      </c>
      <c r="B2494" s="11">
        <v>4013456789017</v>
      </c>
      <c r="C2494" s="1" t="s">
        <v>11</v>
      </c>
      <c r="D2494" s="1" t="s">
        <v>12</v>
      </c>
      <c r="E2494" s="1" t="s">
        <v>13</v>
      </c>
      <c r="F2494">
        <v>6</v>
      </c>
      <c r="G2494">
        <v>1</v>
      </c>
      <c r="H2494" s="1" t="s">
        <v>14</v>
      </c>
      <c r="I2494" s="1" t="s">
        <v>15</v>
      </c>
      <c r="J2494" s="12">
        <v>45834</v>
      </c>
      <c r="K2494">
        <v>0</v>
      </c>
      <c r="L2494" s="1">
        <f t="shared" si="152"/>
        <v>6</v>
      </c>
      <c r="M2494" s="1" t="str">
        <f t="shared" si="153"/>
        <v/>
      </c>
      <c r="N2494" s="2">
        <f t="shared" si="154"/>
        <v>45809</v>
      </c>
      <c r="O2494" t="str">
        <f t="shared" si="155"/>
        <v>pes</v>
      </c>
    </row>
    <row r="2495" spans="1:15" x14ac:dyDescent="0.25">
      <c r="A2495">
        <v>10004</v>
      </c>
      <c r="B2495" s="11">
        <v>4040123456795</v>
      </c>
      <c r="C2495" s="1" t="s">
        <v>20</v>
      </c>
      <c r="D2495" s="1" t="s">
        <v>21</v>
      </c>
      <c r="E2495" s="1" t="s">
        <v>22</v>
      </c>
      <c r="F2495">
        <v>8.8000000000000007</v>
      </c>
      <c r="G2495">
        <v>1</v>
      </c>
      <c r="H2495" s="1" t="s">
        <v>14</v>
      </c>
      <c r="I2495" s="1" t="s">
        <v>15</v>
      </c>
      <c r="J2495" s="12">
        <v>45834</v>
      </c>
      <c r="K2495">
        <v>0</v>
      </c>
      <c r="L2495" s="1">
        <f t="shared" si="152"/>
        <v>8.8000000000000007</v>
      </c>
      <c r="M2495" s="1" t="str">
        <f t="shared" si="153"/>
        <v/>
      </c>
      <c r="N2495" s="2">
        <f t="shared" si="154"/>
        <v>45809</v>
      </c>
      <c r="O2495" t="str">
        <f t="shared" si="155"/>
        <v>pes</v>
      </c>
    </row>
    <row r="2496" spans="1:15" hidden="1" x14ac:dyDescent="0.25">
      <c r="A2496">
        <v>10005</v>
      </c>
      <c r="B2496" s="11">
        <v>4010123456783</v>
      </c>
      <c r="C2496" s="1" t="s">
        <v>35</v>
      </c>
      <c r="D2496" s="1" t="s">
        <v>36</v>
      </c>
      <c r="E2496" s="1" t="s">
        <v>37</v>
      </c>
      <c r="F2496">
        <v>14</v>
      </c>
      <c r="G2496">
        <v>1</v>
      </c>
      <c r="H2496" s="1" t="s">
        <v>14</v>
      </c>
      <c r="I2496" s="1" t="s">
        <v>15</v>
      </c>
      <c r="J2496" s="12">
        <v>45834</v>
      </c>
      <c r="K2496">
        <v>0</v>
      </c>
      <c r="L2496" s="1">
        <f t="shared" si="152"/>
        <v>14</v>
      </c>
      <c r="M2496" s="1" t="str">
        <f t="shared" si="153"/>
        <v/>
      </c>
      <c r="N2496" s="2">
        <f t="shared" si="154"/>
        <v>45809</v>
      </c>
      <c r="O2496" t="str">
        <f t="shared" si="155"/>
        <v>mačka</v>
      </c>
    </row>
    <row r="2497" spans="1:15" x14ac:dyDescent="0.25">
      <c r="A2497">
        <v>10006</v>
      </c>
      <c r="B2497" s="11">
        <v>4063456789014</v>
      </c>
      <c r="C2497" s="1" t="s">
        <v>60</v>
      </c>
      <c r="D2497" s="1" t="s">
        <v>12</v>
      </c>
      <c r="E2497" s="1" t="s">
        <v>61</v>
      </c>
      <c r="F2497">
        <v>36</v>
      </c>
      <c r="G2497">
        <v>1</v>
      </c>
      <c r="H2497" s="1" t="s">
        <v>14</v>
      </c>
      <c r="I2497" s="1" t="s">
        <v>15</v>
      </c>
      <c r="J2497" s="12">
        <v>45834</v>
      </c>
      <c r="K2497">
        <v>0</v>
      </c>
      <c r="L2497" s="1">
        <f t="shared" si="152"/>
        <v>36</v>
      </c>
      <c r="M2497" s="1" t="str">
        <f t="shared" si="153"/>
        <v/>
      </c>
      <c r="N2497" s="2">
        <f t="shared" si="154"/>
        <v>45809</v>
      </c>
      <c r="O2497" t="str">
        <f t="shared" si="155"/>
        <v>pes</v>
      </c>
    </row>
    <row r="2498" spans="1:15" hidden="1" x14ac:dyDescent="0.25">
      <c r="A2498">
        <v>10007</v>
      </c>
      <c r="B2498" s="11">
        <v>4021234567894</v>
      </c>
      <c r="C2498" s="1" t="s">
        <v>79</v>
      </c>
      <c r="D2498" s="1" t="s">
        <v>36</v>
      </c>
      <c r="E2498" s="1" t="s">
        <v>69</v>
      </c>
      <c r="F2498">
        <v>8</v>
      </c>
      <c r="G2498">
        <v>1</v>
      </c>
      <c r="H2498" s="1" t="s">
        <v>14</v>
      </c>
      <c r="I2498" s="1" t="s">
        <v>15</v>
      </c>
      <c r="J2498" s="12">
        <v>45834</v>
      </c>
      <c r="K2498">
        <v>0</v>
      </c>
      <c r="L2498" s="1">
        <f t="shared" ref="L2498:L2561" si="156">F2498*G2498</f>
        <v>8</v>
      </c>
      <c r="M2498" s="1" t="str">
        <f t="shared" ref="M2498:M2561" si="157">IF(H2498="NULL", "",VALUE(H2498))</f>
        <v/>
      </c>
      <c r="N2498" s="2">
        <f t="shared" ref="N2498:N2561" si="158">DATE(YEAR(J2498),MONTH(J2498),1)</f>
        <v>45809</v>
      </c>
      <c r="O2498" t="str">
        <f t="shared" ref="O2498:O2561" si="159">IF(ISNUMBER(SEARCH("Mačky",D2498)),"mačka",IF(ISNUMBER(SEARCH("Psy",D2498)),"pes","iné"))</f>
        <v>mačka</v>
      </c>
    </row>
    <row r="2499" spans="1:15" hidden="1" x14ac:dyDescent="0.25">
      <c r="A2499">
        <v>10008</v>
      </c>
      <c r="B2499" s="11">
        <v>4056789012345</v>
      </c>
      <c r="C2499" s="1" t="s">
        <v>47</v>
      </c>
      <c r="D2499" s="1" t="s">
        <v>29</v>
      </c>
      <c r="E2499" s="1" t="s">
        <v>37</v>
      </c>
      <c r="F2499">
        <v>2.4</v>
      </c>
      <c r="G2499">
        <v>3</v>
      </c>
      <c r="H2499" s="1" t="s">
        <v>14</v>
      </c>
      <c r="I2499" s="1" t="s">
        <v>15</v>
      </c>
      <c r="J2499" s="12">
        <v>45834</v>
      </c>
      <c r="K2499">
        <v>0</v>
      </c>
      <c r="L2499" s="1">
        <f t="shared" si="156"/>
        <v>7.1999999999999993</v>
      </c>
      <c r="M2499" s="1" t="str">
        <f t="shared" si="157"/>
        <v/>
      </c>
      <c r="N2499" s="2">
        <f t="shared" si="158"/>
        <v>45809</v>
      </c>
      <c r="O2499" t="str">
        <f t="shared" si="159"/>
        <v>mačka</v>
      </c>
    </row>
    <row r="2500" spans="1:15" x14ac:dyDescent="0.25">
      <c r="A2500">
        <v>10009</v>
      </c>
      <c r="B2500" s="11">
        <v>4061011223346</v>
      </c>
      <c r="C2500" s="1" t="s">
        <v>25</v>
      </c>
      <c r="D2500" s="1" t="s">
        <v>26</v>
      </c>
      <c r="E2500" s="1" t="s">
        <v>27</v>
      </c>
      <c r="F2500">
        <v>19.600000000000001</v>
      </c>
      <c r="G2500">
        <v>1</v>
      </c>
      <c r="H2500" s="1" t="s">
        <v>14</v>
      </c>
      <c r="I2500" s="1" t="s">
        <v>15</v>
      </c>
      <c r="J2500" s="12">
        <v>45834</v>
      </c>
      <c r="K2500">
        <v>0</v>
      </c>
      <c r="L2500" s="1">
        <f t="shared" si="156"/>
        <v>19.600000000000001</v>
      </c>
      <c r="M2500" s="1" t="str">
        <f t="shared" si="157"/>
        <v/>
      </c>
      <c r="N2500" s="2">
        <f t="shared" si="158"/>
        <v>45809</v>
      </c>
      <c r="O2500" t="str">
        <f t="shared" si="159"/>
        <v>pes</v>
      </c>
    </row>
    <row r="2501" spans="1:15" hidden="1" x14ac:dyDescent="0.25">
      <c r="A2501">
        <v>10010</v>
      </c>
      <c r="B2501" s="11">
        <v>4026677889902</v>
      </c>
      <c r="C2501" s="1" t="s">
        <v>52</v>
      </c>
      <c r="D2501" s="1" t="s">
        <v>53</v>
      </c>
      <c r="E2501" s="1" t="s">
        <v>54</v>
      </c>
      <c r="F2501">
        <v>7.6</v>
      </c>
      <c r="G2501">
        <v>1</v>
      </c>
      <c r="H2501" s="1" t="s">
        <v>14</v>
      </c>
      <c r="I2501" s="1" t="s">
        <v>15</v>
      </c>
      <c r="J2501" s="12">
        <v>45834</v>
      </c>
      <c r="K2501">
        <v>0</v>
      </c>
      <c r="L2501" s="1">
        <f t="shared" si="156"/>
        <v>7.6</v>
      </c>
      <c r="M2501" s="1" t="str">
        <f t="shared" si="157"/>
        <v/>
      </c>
      <c r="N2501" s="2">
        <f t="shared" si="158"/>
        <v>45809</v>
      </c>
      <c r="O2501" t="str">
        <f t="shared" si="159"/>
        <v>iné</v>
      </c>
    </row>
    <row r="2502" spans="1:15" x14ac:dyDescent="0.25">
      <c r="A2502">
        <v>10011</v>
      </c>
      <c r="B2502" s="11">
        <v>4028899001126</v>
      </c>
      <c r="C2502" s="1" t="s">
        <v>16</v>
      </c>
      <c r="D2502" s="1" t="s">
        <v>12</v>
      </c>
      <c r="E2502" s="1" t="s">
        <v>17</v>
      </c>
      <c r="F2502">
        <v>2.8</v>
      </c>
      <c r="G2502">
        <v>3</v>
      </c>
      <c r="H2502" s="1" t="s">
        <v>14</v>
      </c>
      <c r="I2502" s="1" t="s">
        <v>15</v>
      </c>
      <c r="J2502" s="12">
        <v>45834</v>
      </c>
      <c r="K2502">
        <v>0</v>
      </c>
      <c r="L2502" s="1">
        <f t="shared" si="156"/>
        <v>8.3999999999999986</v>
      </c>
      <c r="M2502" s="1" t="str">
        <f t="shared" si="157"/>
        <v/>
      </c>
      <c r="N2502" s="2">
        <f t="shared" si="158"/>
        <v>45809</v>
      </c>
      <c r="O2502" t="str">
        <f t="shared" si="159"/>
        <v>pes</v>
      </c>
    </row>
    <row r="2503" spans="1:15" x14ac:dyDescent="0.25">
      <c r="A2503">
        <v>10012</v>
      </c>
      <c r="B2503" s="11">
        <v>4013456789017</v>
      </c>
      <c r="C2503" s="1" t="s">
        <v>11</v>
      </c>
      <c r="D2503" s="1" t="s">
        <v>12</v>
      </c>
      <c r="E2503" s="1" t="s">
        <v>13</v>
      </c>
      <c r="F2503">
        <v>6</v>
      </c>
      <c r="G2503">
        <v>1</v>
      </c>
      <c r="H2503" s="1" t="s">
        <v>18</v>
      </c>
      <c r="I2503" s="1" t="s">
        <v>391</v>
      </c>
      <c r="J2503" s="12">
        <v>45835</v>
      </c>
      <c r="K2503">
        <v>0</v>
      </c>
      <c r="L2503" s="1">
        <f t="shared" si="156"/>
        <v>6</v>
      </c>
      <c r="M2503" s="1">
        <f t="shared" si="157"/>
        <v>4</v>
      </c>
      <c r="N2503" s="2">
        <f t="shared" si="158"/>
        <v>45809</v>
      </c>
      <c r="O2503" t="str">
        <f t="shared" si="159"/>
        <v>pes</v>
      </c>
    </row>
    <row r="2504" spans="1:15" x14ac:dyDescent="0.25">
      <c r="A2504">
        <v>10013</v>
      </c>
      <c r="B2504" s="11">
        <v>4040123456795</v>
      </c>
      <c r="C2504" s="1" t="s">
        <v>20</v>
      </c>
      <c r="D2504" s="1" t="s">
        <v>21</v>
      </c>
      <c r="E2504" s="1" t="s">
        <v>22</v>
      </c>
      <c r="F2504">
        <v>8.8000000000000007</v>
      </c>
      <c r="G2504">
        <v>1</v>
      </c>
      <c r="H2504" s="1" t="s">
        <v>14</v>
      </c>
      <c r="I2504" s="1" t="s">
        <v>15</v>
      </c>
      <c r="J2504" s="12">
        <v>45835</v>
      </c>
      <c r="K2504">
        <v>0</v>
      </c>
      <c r="L2504" s="1">
        <f t="shared" si="156"/>
        <v>8.8000000000000007</v>
      </c>
      <c r="M2504" s="1" t="str">
        <f t="shared" si="157"/>
        <v/>
      </c>
      <c r="N2504" s="2">
        <f t="shared" si="158"/>
        <v>45809</v>
      </c>
      <c r="O2504" t="str">
        <f t="shared" si="159"/>
        <v>pes</v>
      </c>
    </row>
    <row r="2505" spans="1:15" hidden="1" x14ac:dyDescent="0.25">
      <c r="A2505">
        <v>10014</v>
      </c>
      <c r="B2505" s="11">
        <v>4010123456783</v>
      </c>
      <c r="C2505" s="1" t="s">
        <v>35</v>
      </c>
      <c r="D2505" s="1" t="s">
        <v>36</v>
      </c>
      <c r="E2505" s="1" t="s">
        <v>37</v>
      </c>
      <c r="F2505">
        <v>14</v>
      </c>
      <c r="G2505">
        <v>1</v>
      </c>
      <c r="H2505" s="1" t="s">
        <v>14</v>
      </c>
      <c r="I2505" s="1" t="s">
        <v>15</v>
      </c>
      <c r="J2505" s="12">
        <v>45835</v>
      </c>
      <c r="K2505">
        <v>0</v>
      </c>
      <c r="L2505" s="1">
        <f t="shared" si="156"/>
        <v>14</v>
      </c>
      <c r="M2505" s="1" t="str">
        <f t="shared" si="157"/>
        <v/>
      </c>
      <c r="N2505" s="2">
        <f t="shared" si="158"/>
        <v>45809</v>
      </c>
      <c r="O2505" t="str">
        <f t="shared" si="159"/>
        <v>mačka</v>
      </c>
    </row>
    <row r="2506" spans="1:15" x14ac:dyDescent="0.25">
      <c r="A2506">
        <v>10015</v>
      </c>
      <c r="B2506" s="11">
        <v>4063456789014</v>
      </c>
      <c r="C2506" s="1" t="s">
        <v>60</v>
      </c>
      <c r="D2506" s="1" t="s">
        <v>12</v>
      </c>
      <c r="E2506" s="1" t="s">
        <v>61</v>
      </c>
      <c r="F2506">
        <v>36</v>
      </c>
      <c r="G2506">
        <v>1</v>
      </c>
      <c r="H2506" s="1" t="s">
        <v>14</v>
      </c>
      <c r="I2506" s="1" t="s">
        <v>15</v>
      </c>
      <c r="J2506" s="12">
        <v>45835</v>
      </c>
      <c r="K2506">
        <v>0</v>
      </c>
      <c r="L2506" s="1">
        <f t="shared" si="156"/>
        <v>36</v>
      </c>
      <c r="M2506" s="1" t="str">
        <f t="shared" si="157"/>
        <v/>
      </c>
      <c r="N2506" s="2">
        <f t="shared" si="158"/>
        <v>45809</v>
      </c>
      <c r="O2506" t="str">
        <f t="shared" si="159"/>
        <v>pes</v>
      </c>
    </row>
    <row r="2507" spans="1:15" hidden="1" x14ac:dyDescent="0.25">
      <c r="A2507">
        <v>10016</v>
      </c>
      <c r="B2507" s="11">
        <v>4021234567894</v>
      </c>
      <c r="C2507" s="1" t="s">
        <v>79</v>
      </c>
      <c r="D2507" s="1" t="s">
        <v>36</v>
      </c>
      <c r="E2507" s="1" t="s">
        <v>69</v>
      </c>
      <c r="F2507">
        <v>8</v>
      </c>
      <c r="G2507">
        <v>1</v>
      </c>
      <c r="H2507" s="1" t="s">
        <v>14</v>
      </c>
      <c r="I2507" s="1" t="s">
        <v>15</v>
      </c>
      <c r="J2507" s="12">
        <v>45835</v>
      </c>
      <c r="K2507">
        <v>0</v>
      </c>
      <c r="L2507" s="1">
        <f t="shared" si="156"/>
        <v>8</v>
      </c>
      <c r="M2507" s="1" t="str">
        <f t="shared" si="157"/>
        <v/>
      </c>
      <c r="N2507" s="2">
        <f t="shared" si="158"/>
        <v>45809</v>
      </c>
      <c r="O2507" t="str">
        <f t="shared" si="159"/>
        <v>mačka</v>
      </c>
    </row>
    <row r="2508" spans="1:15" hidden="1" x14ac:dyDescent="0.25">
      <c r="A2508">
        <v>10017</v>
      </c>
      <c r="B2508" s="11">
        <v>4056789012345</v>
      </c>
      <c r="C2508" s="1" t="s">
        <v>47</v>
      </c>
      <c r="D2508" s="1" t="s">
        <v>29</v>
      </c>
      <c r="E2508" s="1" t="s">
        <v>37</v>
      </c>
      <c r="F2508">
        <v>2.4</v>
      </c>
      <c r="G2508">
        <v>3</v>
      </c>
      <c r="H2508" s="1" t="s">
        <v>14</v>
      </c>
      <c r="I2508" s="1" t="s">
        <v>15</v>
      </c>
      <c r="J2508" s="12">
        <v>45835</v>
      </c>
      <c r="K2508">
        <v>0</v>
      </c>
      <c r="L2508" s="1">
        <f t="shared" si="156"/>
        <v>7.1999999999999993</v>
      </c>
      <c r="M2508" s="1" t="str">
        <f t="shared" si="157"/>
        <v/>
      </c>
      <c r="N2508" s="2">
        <f t="shared" si="158"/>
        <v>45809</v>
      </c>
      <c r="O2508" t="str">
        <f t="shared" si="159"/>
        <v>mačka</v>
      </c>
    </row>
    <row r="2509" spans="1:15" x14ac:dyDescent="0.25">
      <c r="A2509">
        <v>10018</v>
      </c>
      <c r="B2509" s="11">
        <v>4061011223346</v>
      </c>
      <c r="C2509" s="1" t="s">
        <v>25</v>
      </c>
      <c r="D2509" s="1" t="s">
        <v>26</v>
      </c>
      <c r="E2509" s="1" t="s">
        <v>27</v>
      </c>
      <c r="F2509">
        <v>19.600000000000001</v>
      </c>
      <c r="G2509">
        <v>1</v>
      </c>
      <c r="H2509" s="1" t="s">
        <v>14</v>
      </c>
      <c r="I2509" s="1" t="s">
        <v>15</v>
      </c>
      <c r="J2509" s="12">
        <v>45835</v>
      </c>
      <c r="K2509">
        <v>0</v>
      </c>
      <c r="L2509" s="1">
        <f t="shared" si="156"/>
        <v>19.600000000000001</v>
      </c>
      <c r="M2509" s="1" t="str">
        <f t="shared" si="157"/>
        <v/>
      </c>
      <c r="N2509" s="2">
        <f t="shared" si="158"/>
        <v>45809</v>
      </c>
      <c r="O2509" t="str">
        <f t="shared" si="159"/>
        <v>pes</v>
      </c>
    </row>
    <row r="2510" spans="1:15" hidden="1" x14ac:dyDescent="0.25">
      <c r="A2510">
        <v>10019</v>
      </c>
      <c r="B2510" s="11">
        <v>4026677889902</v>
      </c>
      <c r="C2510" s="1" t="s">
        <v>52</v>
      </c>
      <c r="D2510" s="1" t="s">
        <v>53</v>
      </c>
      <c r="E2510" s="1" t="s">
        <v>54</v>
      </c>
      <c r="F2510">
        <v>7.6</v>
      </c>
      <c r="G2510">
        <v>1</v>
      </c>
      <c r="H2510" s="1" t="s">
        <v>14</v>
      </c>
      <c r="I2510" s="1" t="s">
        <v>15</v>
      </c>
      <c r="J2510" s="12">
        <v>45835</v>
      </c>
      <c r="K2510">
        <v>0</v>
      </c>
      <c r="L2510" s="1">
        <f t="shared" si="156"/>
        <v>7.6</v>
      </c>
      <c r="M2510" s="1" t="str">
        <f t="shared" si="157"/>
        <v/>
      </c>
      <c r="N2510" s="2">
        <f t="shared" si="158"/>
        <v>45809</v>
      </c>
      <c r="O2510" t="str">
        <f t="shared" si="159"/>
        <v>iné</v>
      </c>
    </row>
    <row r="2511" spans="1:15" x14ac:dyDescent="0.25">
      <c r="A2511">
        <v>10020</v>
      </c>
      <c r="B2511" s="11">
        <v>4028899001126</v>
      </c>
      <c r="C2511" s="1" t="s">
        <v>16</v>
      </c>
      <c r="D2511" s="1" t="s">
        <v>12</v>
      </c>
      <c r="E2511" s="1" t="s">
        <v>17</v>
      </c>
      <c r="F2511">
        <v>2.8</v>
      </c>
      <c r="G2511">
        <v>4</v>
      </c>
      <c r="H2511" s="1" t="s">
        <v>14</v>
      </c>
      <c r="I2511" s="1" t="s">
        <v>15</v>
      </c>
      <c r="J2511" s="12">
        <v>45835</v>
      </c>
      <c r="K2511">
        <v>0</v>
      </c>
      <c r="L2511" s="1">
        <f t="shared" si="156"/>
        <v>11.2</v>
      </c>
      <c r="M2511" s="1" t="str">
        <f t="shared" si="157"/>
        <v/>
      </c>
      <c r="N2511" s="2">
        <f t="shared" si="158"/>
        <v>45809</v>
      </c>
      <c r="O2511" t="str">
        <f t="shared" si="159"/>
        <v>pes</v>
      </c>
    </row>
    <row r="2512" spans="1:15" x14ac:dyDescent="0.25">
      <c r="A2512">
        <v>10021</v>
      </c>
      <c r="B2512" s="11">
        <v>4013456789017</v>
      </c>
      <c r="C2512" s="1" t="s">
        <v>11</v>
      </c>
      <c r="D2512" s="1" t="s">
        <v>12</v>
      </c>
      <c r="E2512" s="1" t="s">
        <v>13</v>
      </c>
      <c r="F2512">
        <v>6</v>
      </c>
      <c r="G2512">
        <v>1</v>
      </c>
      <c r="H2512" s="1" t="s">
        <v>14</v>
      </c>
      <c r="I2512" s="1" t="s">
        <v>15</v>
      </c>
      <c r="J2512" s="12">
        <v>45835</v>
      </c>
      <c r="K2512">
        <v>0</v>
      </c>
      <c r="L2512" s="1">
        <f t="shared" si="156"/>
        <v>6</v>
      </c>
      <c r="M2512" s="1" t="str">
        <f t="shared" si="157"/>
        <v/>
      </c>
      <c r="N2512" s="2">
        <f t="shared" si="158"/>
        <v>45809</v>
      </c>
      <c r="O2512" t="str">
        <f t="shared" si="159"/>
        <v>pes</v>
      </c>
    </row>
    <row r="2513" spans="1:15" x14ac:dyDescent="0.25">
      <c r="A2513">
        <v>10022</v>
      </c>
      <c r="B2513" s="11">
        <v>4040123456795</v>
      </c>
      <c r="C2513" s="1" t="s">
        <v>20</v>
      </c>
      <c r="D2513" s="1" t="s">
        <v>21</v>
      </c>
      <c r="E2513" s="1" t="s">
        <v>22</v>
      </c>
      <c r="F2513">
        <v>8.8000000000000007</v>
      </c>
      <c r="G2513">
        <v>1</v>
      </c>
      <c r="H2513" s="1" t="s">
        <v>14</v>
      </c>
      <c r="I2513" s="1" t="s">
        <v>15</v>
      </c>
      <c r="J2513" s="12">
        <v>45835</v>
      </c>
      <c r="K2513">
        <v>0</v>
      </c>
      <c r="L2513" s="1">
        <f t="shared" si="156"/>
        <v>8.8000000000000007</v>
      </c>
      <c r="M2513" s="1" t="str">
        <f t="shared" si="157"/>
        <v/>
      </c>
      <c r="N2513" s="2">
        <f t="shared" si="158"/>
        <v>45809</v>
      </c>
      <c r="O2513" t="str">
        <f t="shared" si="159"/>
        <v>pes</v>
      </c>
    </row>
    <row r="2514" spans="1:15" hidden="1" x14ac:dyDescent="0.25">
      <c r="A2514">
        <v>10023</v>
      </c>
      <c r="B2514" s="11">
        <v>4010123456783</v>
      </c>
      <c r="C2514" s="1" t="s">
        <v>35</v>
      </c>
      <c r="D2514" s="1" t="s">
        <v>36</v>
      </c>
      <c r="E2514" s="1" t="s">
        <v>37</v>
      </c>
      <c r="F2514">
        <v>14</v>
      </c>
      <c r="G2514">
        <v>1</v>
      </c>
      <c r="H2514" s="1" t="s">
        <v>14</v>
      </c>
      <c r="I2514" s="1" t="s">
        <v>15</v>
      </c>
      <c r="J2514" s="12">
        <v>45835</v>
      </c>
      <c r="K2514">
        <v>0</v>
      </c>
      <c r="L2514" s="1">
        <f t="shared" si="156"/>
        <v>14</v>
      </c>
      <c r="M2514" s="1" t="str">
        <f t="shared" si="157"/>
        <v/>
      </c>
      <c r="N2514" s="2">
        <f t="shared" si="158"/>
        <v>45809</v>
      </c>
      <c r="O2514" t="str">
        <f t="shared" si="159"/>
        <v>mačka</v>
      </c>
    </row>
    <row r="2515" spans="1:15" x14ac:dyDescent="0.25">
      <c r="A2515">
        <v>10024</v>
      </c>
      <c r="B2515" s="11">
        <v>4063456789014</v>
      </c>
      <c r="C2515" s="1" t="s">
        <v>60</v>
      </c>
      <c r="D2515" s="1" t="s">
        <v>12</v>
      </c>
      <c r="E2515" s="1" t="s">
        <v>61</v>
      </c>
      <c r="F2515">
        <v>36</v>
      </c>
      <c r="G2515">
        <v>1</v>
      </c>
      <c r="H2515" s="1" t="s">
        <v>14</v>
      </c>
      <c r="I2515" s="1" t="s">
        <v>15</v>
      </c>
      <c r="J2515" s="12">
        <v>45835</v>
      </c>
      <c r="K2515">
        <v>0</v>
      </c>
      <c r="L2515" s="1">
        <f t="shared" si="156"/>
        <v>36</v>
      </c>
      <c r="M2515" s="1" t="str">
        <f t="shared" si="157"/>
        <v/>
      </c>
      <c r="N2515" s="2">
        <f t="shared" si="158"/>
        <v>45809</v>
      </c>
      <c r="O2515" t="str">
        <f t="shared" si="159"/>
        <v>pes</v>
      </c>
    </row>
    <row r="2516" spans="1:15" hidden="1" x14ac:dyDescent="0.25">
      <c r="A2516">
        <v>10025</v>
      </c>
      <c r="B2516" s="11">
        <v>4021234567894</v>
      </c>
      <c r="C2516" s="1" t="s">
        <v>79</v>
      </c>
      <c r="D2516" s="1" t="s">
        <v>36</v>
      </c>
      <c r="E2516" s="1" t="s">
        <v>69</v>
      </c>
      <c r="F2516">
        <v>8</v>
      </c>
      <c r="G2516">
        <v>1</v>
      </c>
      <c r="H2516" s="1" t="s">
        <v>14</v>
      </c>
      <c r="I2516" s="1" t="s">
        <v>15</v>
      </c>
      <c r="J2516" s="12">
        <v>45835</v>
      </c>
      <c r="K2516">
        <v>0</v>
      </c>
      <c r="L2516" s="1">
        <f t="shared" si="156"/>
        <v>8</v>
      </c>
      <c r="M2516" s="1" t="str">
        <f t="shared" si="157"/>
        <v/>
      </c>
      <c r="N2516" s="2">
        <f t="shared" si="158"/>
        <v>45809</v>
      </c>
      <c r="O2516" t="str">
        <f t="shared" si="159"/>
        <v>mačka</v>
      </c>
    </row>
    <row r="2517" spans="1:15" hidden="1" x14ac:dyDescent="0.25">
      <c r="A2517">
        <v>10026</v>
      </c>
      <c r="B2517" s="11">
        <v>4056789012345</v>
      </c>
      <c r="C2517" s="1" t="s">
        <v>47</v>
      </c>
      <c r="D2517" s="1" t="s">
        <v>29</v>
      </c>
      <c r="E2517" s="1" t="s">
        <v>37</v>
      </c>
      <c r="F2517">
        <v>2.4</v>
      </c>
      <c r="G2517">
        <v>3</v>
      </c>
      <c r="H2517" s="1" t="s">
        <v>14</v>
      </c>
      <c r="I2517" s="1" t="s">
        <v>15</v>
      </c>
      <c r="J2517" s="12">
        <v>45835</v>
      </c>
      <c r="K2517">
        <v>0</v>
      </c>
      <c r="L2517" s="1">
        <f t="shared" si="156"/>
        <v>7.1999999999999993</v>
      </c>
      <c r="M2517" s="1" t="str">
        <f t="shared" si="157"/>
        <v/>
      </c>
      <c r="N2517" s="2">
        <f t="shared" si="158"/>
        <v>45809</v>
      </c>
      <c r="O2517" t="str">
        <f t="shared" si="159"/>
        <v>mačka</v>
      </c>
    </row>
    <row r="2518" spans="1:15" x14ac:dyDescent="0.25">
      <c r="A2518">
        <v>10027</v>
      </c>
      <c r="B2518" s="11">
        <v>4061011223346</v>
      </c>
      <c r="C2518" s="1" t="s">
        <v>25</v>
      </c>
      <c r="D2518" s="1" t="s">
        <v>26</v>
      </c>
      <c r="E2518" s="1" t="s">
        <v>27</v>
      </c>
      <c r="F2518">
        <v>19.600000000000001</v>
      </c>
      <c r="G2518">
        <v>1</v>
      </c>
      <c r="H2518" s="1" t="s">
        <v>14</v>
      </c>
      <c r="I2518" s="1" t="s">
        <v>15</v>
      </c>
      <c r="J2518" s="12">
        <v>45835</v>
      </c>
      <c r="K2518">
        <v>0</v>
      </c>
      <c r="L2518" s="1">
        <f t="shared" si="156"/>
        <v>19.600000000000001</v>
      </c>
      <c r="M2518" s="1" t="str">
        <f t="shared" si="157"/>
        <v/>
      </c>
      <c r="N2518" s="2">
        <f t="shared" si="158"/>
        <v>45809</v>
      </c>
      <c r="O2518" t="str">
        <f t="shared" si="159"/>
        <v>pes</v>
      </c>
    </row>
    <row r="2519" spans="1:15" hidden="1" x14ac:dyDescent="0.25">
      <c r="A2519">
        <v>10028</v>
      </c>
      <c r="B2519" s="11">
        <v>4026677889902</v>
      </c>
      <c r="C2519" s="1" t="s">
        <v>52</v>
      </c>
      <c r="D2519" s="1" t="s">
        <v>53</v>
      </c>
      <c r="E2519" s="1" t="s">
        <v>54</v>
      </c>
      <c r="F2519">
        <v>7.6</v>
      </c>
      <c r="G2519">
        <v>1</v>
      </c>
      <c r="H2519" s="1" t="s">
        <v>14</v>
      </c>
      <c r="I2519" s="1" t="s">
        <v>15</v>
      </c>
      <c r="J2519" s="12">
        <v>45836</v>
      </c>
      <c r="K2519">
        <v>0</v>
      </c>
      <c r="L2519" s="1">
        <f t="shared" si="156"/>
        <v>7.6</v>
      </c>
      <c r="M2519" s="1" t="str">
        <f t="shared" si="157"/>
        <v/>
      </c>
      <c r="N2519" s="2">
        <f t="shared" si="158"/>
        <v>45809</v>
      </c>
      <c r="O2519" t="str">
        <f t="shared" si="159"/>
        <v>iné</v>
      </c>
    </row>
    <row r="2520" spans="1:15" x14ac:dyDescent="0.25">
      <c r="A2520">
        <v>10029</v>
      </c>
      <c r="B2520" s="11">
        <v>4028899001126</v>
      </c>
      <c r="C2520" s="1" t="s">
        <v>16</v>
      </c>
      <c r="D2520" s="1" t="s">
        <v>12</v>
      </c>
      <c r="E2520" s="1" t="s">
        <v>17</v>
      </c>
      <c r="F2520">
        <v>2.8</v>
      </c>
      <c r="G2520">
        <v>4</v>
      </c>
      <c r="H2520" s="1" t="s">
        <v>23</v>
      </c>
      <c r="I2520" s="1" t="s">
        <v>392</v>
      </c>
      <c r="J2520" s="12">
        <v>45836</v>
      </c>
      <c r="K2520">
        <v>0</v>
      </c>
      <c r="L2520" s="1">
        <f t="shared" si="156"/>
        <v>11.2</v>
      </c>
      <c r="M2520" s="1">
        <f t="shared" si="157"/>
        <v>5</v>
      </c>
      <c r="N2520" s="2">
        <f t="shared" si="158"/>
        <v>45809</v>
      </c>
      <c r="O2520" t="str">
        <f t="shared" si="159"/>
        <v>pes</v>
      </c>
    </row>
    <row r="2521" spans="1:15" x14ac:dyDescent="0.25">
      <c r="A2521">
        <v>10030</v>
      </c>
      <c r="B2521" s="11">
        <v>4013456789017</v>
      </c>
      <c r="C2521" s="1" t="s">
        <v>11</v>
      </c>
      <c r="D2521" s="1" t="s">
        <v>12</v>
      </c>
      <c r="E2521" s="1" t="s">
        <v>13</v>
      </c>
      <c r="F2521">
        <v>6</v>
      </c>
      <c r="G2521">
        <v>1</v>
      </c>
      <c r="H2521" s="1" t="s">
        <v>14</v>
      </c>
      <c r="I2521" s="1" t="s">
        <v>15</v>
      </c>
      <c r="J2521" s="12">
        <v>45836</v>
      </c>
      <c r="K2521">
        <v>0</v>
      </c>
      <c r="L2521" s="1">
        <f t="shared" si="156"/>
        <v>6</v>
      </c>
      <c r="M2521" s="1" t="str">
        <f t="shared" si="157"/>
        <v/>
      </c>
      <c r="N2521" s="2">
        <f t="shared" si="158"/>
        <v>45809</v>
      </c>
      <c r="O2521" t="str">
        <f t="shared" si="159"/>
        <v>pes</v>
      </c>
    </row>
    <row r="2522" spans="1:15" x14ac:dyDescent="0.25">
      <c r="A2522">
        <v>10031</v>
      </c>
      <c r="B2522" s="11">
        <v>4040123456795</v>
      </c>
      <c r="C2522" s="1" t="s">
        <v>20</v>
      </c>
      <c r="D2522" s="1" t="s">
        <v>21</v>
      </c>
      <c r="E2522" s="1" t="s">
        <v>22</v>
      </c>
      <c r="F2522">
        <v>8.8000000000000007</v>
      </c>
      <c r="G2522">
        <v>1</v>
      </c>
      <c r="H2522" s="1" t="s">
        <v>14</v>
      </c>
      <c r="I2522" s="1" t="s">
        <v>15</v>
      </c>
      <c r="J2522" s="12">
        <v>45836</v>
      </c>
      <c r="K2522">
        <v>0</v>
      </c>
      <c r="L2522" s="1">
        <f t="shared" si="156"/>
        <v>8.8000000000000007</v>
      </c>
      <c r="M2522" s="1" t="str">
        <f t="shared" si="157"/>
        <v/>
      </c>
      <c r="N2522" s="2">
        <f t="shared" si="158"/>
        <v>45809</v>
      </c>
      <c r="O2522" t="str">
        <f t="shared" si="159"/>
        <v>pes</v>
      </c>
    </row>
    <row r="2523" spans="1:15" hidden="1" x14ac:dyDescent="0.25">
      <c r="A2523">
        <v>10032</v>
      </c>
      <c r="B2523" s="11">
        <v>4010123456783</v>
      </c>
      <c r="C2523" s="1" t="s">
        <v>35</v>
      </c>
      <c r="D2523" s="1" t="s">
        <v>36</v>
      </c>
      <c r="E2523" s="1" t="s">
        <v>37</v>
      </c>
      <c r="F2523">
        <v>14</v>
      </c>
      <c r="G2523">
        <v>1</v>
      </c>
      <c r="H2523" s="1" t="s">
        <v>14</v>
      </c>
      <c r="I2523" s="1" t="s">
        <v>15</v>
      </c>
      <c r="J2523" s="12">
        <v>45836</v>
      </c>
      <c r="K2523">
        <v>0</v>
      </c>
      <c r="L2523" s="1">
        <f t="shared" si="156"/>
        <v>14</v>
      </c>
      <c r="M2523" s="1" t="str">
        <f t="shared" si="157"/>
        <v/>
      </c>
      <c r="N2523" s="2">
        <f t="shared" si="158"/>
        <v>45809</v>
      </c>
      <c r="O2523" t="str">
        <f t="shared" si="159"/>
        <v>mačka</v>
      </c>
    </row>
    <row r="2524" spans="1:15" x14ac:dyDescent="0.25">
      <c r="A2524">
        <v>10033</v>
      </c>
      <c r="B2524" s="11">
        <v>8599988776654</v>
      </c>
      <c r="C2524" s="1" t="s">
        <v>393</v>
      </c>
      <c r="D2524" s="1" t="s">
        <v>133</v>
      </c>
      <c r="E2524" s="1" t="s">
        <v>17</v>
      </c>
      <c r="F2524">
        <v>16.8</v>
      </c>
      <c r="G2524">
        <v>1</v>
      </c>
      <c r="H2524" s="1" t="s">
        <v>23</v>
      </c>
      <c r="I2524" s="1" t="s">
        <v>394</v>
      </c>
      <c r="J2524" s="12">
        <v>45839</v>
      </c>
      <c r="K2524">
        <v>0</v>
      </c>
      <c r="L2524" s="1">
        <f t="shared" si="156"/>
        <v>16.8</v>
      </c>
      <c r="M2524" s="1">
        <f t="shared" si="157"/>
        <v>5</v>
      </c>
      <c r="N2524" s="2">
        <f t="shared" si="158"/>
        <v>45839</v>
      </c>
      <c r="O2524" t="str">
        <f t="shared" si="159"/>
        <v>pes</v>
      </c>
    </row>
    <row r="2525" spans="1:15" x14ac:dyDescent="0.25">
      <c r="A2525">
        <v>10034</v>
      </c>
      <c r="B2525" s="11">
        <v>8599988776654</v>
      </c>
      <c r="C2525" s="1" t="s">
        <v>393</v>
      </c>
      <c r="D2525" s="1" t="s">
        <v>133</v>
      </c>
      <c r="E2525" s="1" t="s">
        <v>17</v>
      </c>
      <c r="F2525">
        <v>16.8</v>
      </c>
      <c r="G2525">
        <v>2</v>
      </c>
      <c r="H2525" s="1" t="s">
        <v>14</v>
      </c>
      <c r="I2525" s="1" t="s">
        <v>15</v>
      </c>
      <c r="J2525" s="12">
        <v>45839</v>
      </c>
      <c r="K2525">
        <v>0</v>
      </c>
      <c r="L2525" s="1">
        <f t="shared" si="156"/>
        <v>33.6</v>
      </c>
      <c r="M2525" s="1" t="str">
        <f t="shared" si="157"/>
        <v/>
      </c>
      <c r="N2525" s="2">
        <f t="shared" si="158"/>
        <v>45839</v>
      </c>
      <c r="O2525" t="str">
        <f t="shared" si="159"/>
        <v>pes</v>
      </c>
    </row>
    <row r="2526" spans="1:15" x14ac:dyDescent="0.25">
      <c r="A2526">
        <v>10035</v>
      </c>
      <c r="B2526" s="11">
        <v>8599988776654</v>
      </c>
      <c r="C2526" s="1" t="s">
        <v>393</v>
      </c>
      <c r="D2526" s="1" t="s">
        <v>133</v>
      </c>
      <c r="E2526" s="1" t="s">
        <v>17</v>
      </c>
      <c r="F2526">
        <v>16.8</v>
      </c>
      <c r="G2526">
        <v>1</v>
      </c>
      <c r="H2526" s="1" t="s">
        <v>14</v>
      </c>
      <c r="I2526" s="1" t="s">
        <v>15</v>
      </c>
      <c r="J2526" s="12">
        <v>45839</v>
      </c>
      <c r="K2526">
        <v>0</v>
      </c>
      <c r="L2526" s="1">
        <f t="shared" si="156"/>
        <v>16.8</v>
      </c>
      <c r="M2526" s="1" t="str">
        <f t="shared" si="157"/>
        <v/>
      </c>
      <c r="N2526" s="2">
        <f t="shared" si="158"/>
        <v>45839</v>
      </c>
      <c r="O2526" t="str">
        <f t="shared" si="159"/>
        <v>pes</v>
      </c>
    </row>
    <row r="2527" spans="1:15" x14ac:dyDescent="0.25">
      <c r="A2527">
        <v>10036</v>
      </c>
      <c r="B2527" s="11">
        <v>8599988776654</v>
      </c>
      <c r="C2527" s="1" t="s">
        <v>393</v>
      </c>
      <c r="D2527" s="1" t="s">
        <v>133</v>
      </c>
      <c r="E2527" s="1" t="s">
        <v>17</v>
      </c>
      <c r="F2527">
        <v>16.8</v>
      </c>
      <c r="G2527">
        <v>3</v>
      </c>
      <c r="H2527" s="1" t="s">
        <v>23</v>
      </c>
      <c r="I2527" s="1" t="s">
        <v>395</v>
      </c>
      <c r="J2527" s="12">
        <v>45839</v>
      </c>
      <c r="K2527">
        <v>0</v>
      </c>
      <c r="L2527" s="1">
        <f t="shared" si="156"/>
        <v>50.400000000000006</v>
      </c>
      <c r="M2527" s="1">
        <f t="shared" si="157"/>
        <v>5</v>
      </c>
      <c r="N2527" s="2">
        <f t="shared" si="158"/>
        <v>45839</v>
      </c>
      <c r="O2527" t="str">
        <f t="shared" si="159"/>
        <v>pes</v>
      </c>
    </row>
    <row r="2528" spans="1:15" x14ac:dyDescent="0.25">
      <c r="A2528">
        <v>10037</v>
      </c>
      <c r="B2528" s="11">
        <v>8599988776654</v>
      </c>
      <c r="C2528" s="1" t="s">
        <v>393</v>
      </c>
      <c r="D2528" s="1" t="s">
        <v>133</v>
      </c>
      <c r="E2528" s="1" t="s">
        <v>17</v>
      </c>
      <c r="F2528">
        <v>16.8</v>
      </c>
      <c r="G2528">
        <v>1</v>
      </c>
      <c r="H2528" s="1" t="s">
        <v>14</v>
      </c>
      <c r="I2528" s="1" t="s">
        <v>15</v>
      </c>
      <c r="J2528" s="12">
        <v>45839</v>
      </c>
      <c r="K2528">
        <v>0</v>
      </c>
      <c r="L2528" s="1">
        <f t="shared" si="156"/>
        <v>16.8</v>
      </c>
      <c r="M2528" s="1" t="str">
        <f t="shared" si="157"/>
        <v/>
      </c>
      <c r="N2528" s="2">
        <f t="shared" si="158"/>
        <v>45839</v>
      </c>
      <c r="O2528" t="str">
        <f t="shared" si="159"/>
        <v>pes</v>
      </c>
    </row>
    <row r="2529" spans="1:15" x14ac:dyDescent="0.25">
      <c r="A2529">
        <v>10038</v>
      </c>
      <c r="B2529" s="11">
        <v>4028899001126</v>
      </c>
      <c r="C2529" s="1" t="s">
        <v>16</v>
      </c>
      <c r="D2529" s="1" t="s">
        <v>12</v>
      </c>
      <c r="E2529" s="1" t="s">
        <v>17</v>
      </c>
      <c r="F2529">
        <v>2.8</v>
      </c>
      <c r="G2529">
        <v>3</v>
      </c>
      <c r="H2529" s="1" t="s">
        <v>14</v>
      </c>
      <c r="I2529" s="1"/>
      <c r="J2529" s="12">
        <v>45839</v>
      </c>
      <c r="K2529">
        <v>0</v>
      </c>
      <c r="L2529" s="1">
        <f t="shared" si="156"/>
        <v>8.3999999999999986</v>
      </c>
      <c r="M2529" s="1" t="str">
        <f t="shared" si="157"/>
        <v/>
      </c>
      <c r="N2529" s="2">
        <f t="shared" si="158"/>
        <v>45839</v>
      </c>
      <c r="O2529" t="str">
        <f t="shared" si="159"/>
        <v>pes</v>
      </c>
    </row>
    <row r="2530" spans="1:15" x14ac:dyDescent="0.25">
      <c r="A2530">
        <v>10038</v>
      </c>
      <c r="B2530" s="11">
        <v>4013456789017</v>
      </c>
      <c r="C2530" s="1" t="s">
        <v>11</v>
      </c>
      <c r="D2530" s="1" t="s">
        <v>12</v>
      </c>
      <c r="E2530" s="1" t="s">
        <v>13</v>
      </c>
      <c r="F2530">
        <v>6</v>
      </c>
      <c r="G2530">
        <v>1</v>
      </c>
      <c r="H2530" s="1" t="s">
        <v>14</v>
      </c>
      <c r="I2530" s="1" t="s">
        <v>15</v>
      </c>
      <c r="J2530" s="12">
        <v>45839</v>
      </c>
      <c r="K2530">
        <v>0</v>
      </c>
      <c r="L2530" s="1">
        <f t="shared" si="156"/>
        <v>6</v>
      </c>
      <c r="M2530" s="1" t="str">
        <f t="shared" si="157"/>
        <v/>
      </c>
      <c r="N2530" s="2">
        <f t="shared" si="158"/>
        <v>45839</v>
      </c>
      <c r="O2530" t="str">
        <f t="shared" si="159"/>
        <v>pes</v>
      </c>
    </row>
    <row r="2531" spans="1:15" x14ac:dyDescent="0.25">
      <c r="A2531">
        <v>10039</v>
      </c>
      <c r="B2531" s="11">
        <v>8599988776654</v>
      </c>
      <c r="C2531" s="1" t="s">
        <v>393</v>
      </c>
      <c r="D2531" s="1" t="s">
        <v>133</v>
      </c>
      <c r="E2531" s="1" t="s">
        <v>17</v>
      </c>
      <c r="F2531">
        <v>16.8</v>
      </c>
      <c r="G2531">
        <v>1</v>
      </c>
      <c r="H2531" s="1" t="s">
        <v>23</v>
      </c>
      <c r="I2531" s="1" t="s">
        <v>396</v>
      </c>
      <c r="J2531" s="12">
        <v>45839</v>
      </c>
      <c r="K2531">
        <v>0</v>
      </c>
      <c r="L2531" s="1">
        <f t="shared" si="156"/>
        <v>16.8</v>
      </c>
      <c r="M2531" s="1">
        <f t="shared" si="157"/>
        <v>5</v>
      </c>
      <c r="N2531" s="2">
        <f t="shared" si="158"/>
        <v>45839</v>
      </c>
      <c r="O2531" t="str">
        <f t="shared" si="159"/>
        <v>pes</v>
      </c>
    </row>
    <row r="2532" spans="1:15" x14ac:dyDescent="0.25">
      <c r="A2532">
        <v>10040</v>
      </c>
      <c r="B2532" s="11">
        <v>8599988776654</v>
      </c>
      <c r="C2532" s="1" t="s">
        <v>393</v>
      </c>
      <c r="D2532" s="1" t="s">
        <v>133</v>
      </c>
      <c r="E2532" s="1" t="s">
        <v>17</v>
      </c>
      <c r="F2532">
        <v>16.8</v>
      </c>
      <c r="G2532">
        <v>2</v>
      </c>
      <c r="H2532" s="1" t="s">
        <v>14</v>
      </c>
      <c r="I2532" s="1" t="s">
        <v>15</v>
      </c>
      <c r="J2532" s="12">
        <v>45839</v>
      </c>
      <c r="K2532">
        <v>0</v>
      </c>
      <c r="L2532" s="1">
        <f t="shared" si="156"/>
        <v>33.6</v>
      </c>
      <c r="M2532" s="1" t="str">
        <f t="shared" si="157"/>
        <v/>
      </c>
      <c r="N2532" s="2">
        <f t="shared" si="158"/>
        <v>45839</v>
      </c>
      <c r="O2532" t="str">
        <f t="shared" si="159"/>
        <v>pes</v>
      </c>
    </row>
    <row r="2533" spans="1:15" hidden="1" x14ac:dyDescent="0.25">
      <c r="A2533">
        <v>10041</v>
      </c>
      <c r="B2533" s="11">
        <v>4010123456783</v>
      </c>
      <c r="C2533" s="1" t="s">
        <v>35</v>
      </c>
      <c r="D2533" s="1" t="s">
        <v>36</v>
      </c>
      <c r="E2533" s="1" t="s">
        <v>37</v>
      </c>
      <c r="F2533">
        <v>14</v>
      </c>
      <c r="G2533">
        <v>1</v>
      </c>
      <c r="H2533" s="1" t="s">
        <v>14</v>
      </c>
      <c r="I2533" s="1" t="s">
        <v>15</v>
      </c>
      <c r="J2533" s="12">
        <v>45839</v>
      </c>
      <c r="K2533">
        <v>0</v>
      </c>
      <c r="L2533" s="1">
        <f t="shared" si="156"/>
        <v>14</v>
      </c>
      <c r="M2533" s="1" t="str">
        <f t="shared" si="157"/>
        <v/>
      </c>
      <c r="N2533" s="2">
        <f t="shared" si="158"/>
        <v>45839</v>
      </c>
      <c r="O2533" t="str">
        <f t="shared" si="159"/>
        <v>mačka</v>
      </c>
    </row>
    <row r="2534" spans="1:15" x14ac:dyDescent="0.25">
      <c r="A2534">
        <v>10042</v>
      </c>
      <c r="B2534" s="11">
        <v>8599988776654</v>
      </c>
      <c r="C2534" s="1" t="s">
        <v>393</v>
      </c>
      <c r="D2534" s="1" t="s">
        <v>133</v>
      </c>
      <c r="E2534" s="1" t="s">
        <v>17</v>
      </c>
      <c r="F2534">
        <v>16.8</v>
      </c>
      <c r="G2534">
        <v>1</v>
      </c>
      <c r="H2534" s="1" t="s">
        <v>14</v>
      </c>
      <c r="I2534" s="1" t="s">
        <v>15</v>
      </c>
      <c r="J2534" s="12">
        <v>45839</v>
      </c>
      <c r="K2534">
        <v>0</v>
      </c>
      <c r="L2534" s="1">
        <f t="shared" si="156"/>
        <v>16.8</v>
      </c>
      <c r="M2534" s="1" t="str">
        <f t="shared" si="157"/>
        <v/>
      </c>
      <c r="N2534" s="2">
        <f t="shared" si="158"/>
        <v>45839</v>
      </c>
      <c r="O2534" t="str">
        <f t="shared" si="159"/>
        <v>pes</v>
      </c>
    </row>
    <row r="2535" spans="1:15" x14ac:dyDescent="0.25">
      <c r="A2535">
        <v>10043</v>
      </c>
      <c r="B2535" s="11">
        <v>4028899001126</v>
      </c>
      <c r="C2535" s="1" t="s">
        <v>16</v>
      </c>
      <c r="D2535" s="1" t="s">
        <v>12</v>
      </c>
      <c r="E2535" s="1" t="s">
        <v>17</v>
      </c>
      <c r="F2535">
        <v>2.8</v>
      </c>
      <c r="G2535">
        <v>4</v>
      </c>
      <c r="H2535" s="1" t="s">
        <v>18</v>
      </c>
      <c r="I2535" s="1" t="s">
        <v>397</v>
      </c>
      <c r="J2535" s="12">
        <v>45839</v>
      </c>
      <c r="K2535">
        <v>0</v>
      </c>
      <c r="L2535" s="1">
        <f t="shared" si="156"/>
        <v>11.2</v>
      </c>
      <c r="M2535" s="1">
        <f t="shared" si="157"/>
        <v>4</v>
      </c>
      <c r="N2535" s="2">
        <f t="shared" si="158"/>
        <v>45839</v>
      </c>
      <c r="O2535" t="str">
        <f t="shared" si="159"/>
        <v>pes</v>
      </c>
    </row>
    <row r="2536" spans="1:15" x14ac:dyDescent="0.25">
      <c r="A2536">
        <v>10044</v>
      </c>
      <c r="B2536" s="11">
        <v>8599988776654</v>
      </c>
      <c r="C2536" s="1" t="s">
        <v>393</v>
      </c>
      <c r="D2536" s="1" t="s">
        <v>133</v>
      </c>
      <c r="E2536" s="1" t="s">
        <v>17</v>
      </c>
      <c r="F2536">
        <v>16.8</v>
      </c>
      <c r="G2536">
        <v>1</v>
      </c>
      <c r="H2536" s="1" t="s">
        <v>14</v>
      </c>
      <c r="I2536" s="1" t="s">
        <v>15</v>
      </c>
      <c r="J2536" s="12">
        <v>45839</v>
      </c>
      <c r="K2536">
        <v>0</v>
      </c>
      <c r="L2536" s="1">
        <f t="shared" si="156"/>
        <v>16.8</v>
      </c>
      <c r="M2536" s="1" t="str">
        <f t="shared" si="157"/>
        <v/>
      </c>
      <c r="N2536" s="2">
        <f t="shared" si="158"/>
        <v>45839</v>
      </c>
      <c r="O2536" t="str">
        <f t="shared" si="159"/>
        <v>pes</v>
      </c>
    </row>
    <row r="2537" spans="1:15" hidden="1" x14ac:dyDescent="0.25">
      <c r="A2537">
        <v>10045</v>
      </c>
      <c r="B2537" s="11">
        <v>4056789012345</v>
      </c>
      <c r="C2537" s="1" t="s">
        <v>47</v>
      </c>
      <c r="D2537" s="1" t="s">
        <v>29</v>
      </c>
      <c r="E2537" s="1" t="s">
        <v>37</v>
      </c>
      <c r="F2537">
        <v>2.4</v>
      </c>
      <c r="G2537">
        <v>3</v>
      </c>
      <c r="H2537" s="1" t="s">
        <v>14</v>
      </c>
      <c r="I2537" s="1" t="s">
        <v>15</v>
      </c>
      <c r="J2537" s="12">
        <v>45839</v>
      </c>
      <c r="K2537">
        <v>0</v>
      </c>
      <c r="L2537" s="1">
        <f t="shared" si="156"/>
        <v>7.1999999999999993</v>
      </c>
      <c r="M2537" s="1" t="str">
        <f t="shared" si="157"/>
        <v/>
      </c>
      <c r="N2537" s="2">
        <f t="shared" si="158"/>
        <v>45839</v>
      </c>
      <c r="O2537" t="str">
        <f t="shared" si="159"/>
        <v>mačka</v>
      </c>
    </row>
    <row r="2538" spans="1:15" x14ac:dyDescent="0.25">
      <c r="A2538">
        <v>10046</v>
      </c>
      <c r="B2538" s="11">
        <v>8599988776654</v>
      </c>
      <c r="C2538" s="1" t="s">
        <v>393</v>
      </c>
      <c r="D2538" s="1" t="s">
        <v>133</v>
      </c>
      <c r="E2538" s="1" t="s">
        <v>17</v>
      </c>
      <c r="F2538">
        <v>16.8</v>
      </c>
      <c r="G2538">
        <v>2</v>
      </c>
      <c r="H2538" s="1" t="s">
        <v>23</v>
      </c>
      <c r="I2538" s="1" t="s">
        <v>398</v>
      </c>
      <c r="J2538" s="12">
        <v>45839</v>
      </c>
      <c r="K2538">
        <v>0</v>
      </c>
      <c r="L2538" s="1">
        <f t="shared" si="156"/>
        <v>33.6</v>
      </c>
      <c r="M2538" s="1">
        <f t="shared" si="157"/>
        <v>5</v>
      </c>
      <c r="N2538" s="2">
        <f t="shared" si="158"/>
        <v>45839</v>
      </c>
      <c r="O2538" t="str">
        <f t="shared" si="159"/>
        <v>pes</v>
      </c>
    </row>
    <row r="2539" spans="1:15" x14ac:dyDescent="0.25">
      <c r="A2539">
        <v>10047</v>
      </c>
      <c r="B2539" s="11">
        <v>8599988776654</v>
      </c>
      <c r="C2539" s="1" t="s">
        <v>393</v>
      </c>
      <c r="D2539" s="1" t="s">
        <v>133</v>
      </c>
      <c r="E2539" s="1" t="s">
        <v>17</v>
      </c>
      <c r="F2539">
        <v>16.8</v>
      </c>
      <c r="G2539">
        <v>1</v>
      </c>
      <c r="H2539" s="1" t="s">
        <v>14</v>
      </c>
      <c r="I2539" s="1" t="s">
        <v>15</v>
      </c>
      <c r="J2539" s="12">
        <v>45839</v>
      </c>
      <c r="K2539">
        <v>0</v>
      </c>
      <c r="L2539" s="1">
        <f t="shared" si="156"/>
        <v>16.8</v>
      </c>
      <c r="M2539" s="1" t="str">
        <f t="shared" si="157"/>
        <v/>
      </c>
      <c r="N2539" s="2">
        <f t="shared" si="158"/>
        <v>45839</v>
      </c>
      <c r="O2539" t="str">
        <f t="shared" si="159"/>
        <v>pes</v>
      </c>
    </row>
    <row r="2540" spans="1:15" x14ac:dyDescent="0.25">
      <c r="A2540">
        <v>10048</v>
      </c>
      <c r="B2540" s="11">
        <v>8599988776654</v>
      </c>
      <c r="C2540" s="1" t="s">
        <v>393</v>
      </c>
      <c r="D2540" s="1" t="s">
        <v>133</v>
      </c>
      <c r="E2540" s="1" t="s">
        <v>17</v>
      </c>
      <c r="F2540">
        <v>16.8</v>
      </c>
      <c r="G2540">
        <v>1</v>
      </c>
      <c r="H2540" s="1" t="s">
        <v>14</v>
      </c>
      <c r="I2540" s="1" t="s">
        <v>15</v>
      </c>
      <c r="J2540" s="12">
        <v>45839</v>
      </c>
      <c r="K2540">
        <v>0</v>
      </c>
      <c r="L2540" s="1">
        <f t="shared" si="156"/>
        <v>16.8</v>
      </c>
      <c r="M2540" s="1" t="str">
        <f t="shared" si="157"/>
        <v/>
      </c>
      <c r="N2540" s="2">
        <f t="shared" si="158"/>
        <v>45839</v>
      </c>
      <c r="O2540" t="str">
        <f t="shared" si="159"/>
        <v>pes</v>
      </c>
    </row>
    <row r="2541" spans="1:15" x14ac:dyDescent="0.25">
      <c r="A2541">
        <v>10049</v>
      </c>
      <c r="B2541" s="11">
        <v>8599988776654</v>
      </c>
      <c r="C2541" s="1" t="s">
        <v>393</v>
      </c>
      <c r="D2541" s="1" t="s">
        <v>133</v>
      </c>
      <c r="E2541" s="1" t="s">
        <v>17</v>
      </c>
      <c r="F2541">
        <v>16.8</v>
      </c>
      <c r="G2541">
        <v>2</v>
      </c>
      <c r="H2541" s="1" t="s">
        <v>14</v>
      </c>
      <c r="I2541" s="1" t="s">
        <v>15</v>
      </c>
      <c r="J2541" s="12">
        <v>45839</v>
      </c>
      <c r="K2541">
        <v>0</v>
      </c>
      <c r="L2541" s="1">
        <f t="shared" si="156"/>
        <v>33.6</v>
      </c>
      <c r="M2541" s="1" t="str">
        <f t="shared" si="157"/>
        <v/>
      </c>
      <c r="N2541" s="2">
        <f t="shared" si="158"/>
        <v>45839</v>
      </c>
      <c r="O2541" t="str">
        <f t="shared" si="159"/>
        <v>pes</v>
      </c>
    </row>
    <row r="2542" spans="1:15" x14ac:dyDescent="0.25">
      <c r="A2542">
        <v>10050</v>
      </c>
      <c r="B2542" s="11">
        <v>8599988776654</v>
      </c>
      <c r="C2542" s="1" t="s">
        <v>393</v>
      </c>
      <c r="D2542" s="1" t="s">
        <v>133</v>
      </c>
      <c r="E2542" s="1" t="s">
        <v>17</v>
      </c>
      <c r="F2542">
        <v>16.8</v>
      </c>
      <c r="G2542">
        <v>1</v>
      </c>
      <c r="H2542" s="1" t="s">
        <v>18</v>
      </c>
      <c r="I2542" s="1" t="s">
        <v>399</v>
      </c>
      <c r="J2542" s="12">
        <v>45839</v>
      </c>
      <c r="K2542">
        <v>0</v>
      </c>
      <c r="L2542" s="1">
        <f t="shared" si="156"/>
        <v>16.8</v>
      </c>
      <c r="M2542" s="1">
        <f t="shared" si="157"/>
        <v>4</v>
      </c>
      <c r="N2542" s="2">
        <f t="shared" si="158"/>
        <v>45839</v>
      </c>
      <c r="O2542" t="str">
        <f t="shared" si="159"/>
        <v>pes</v>
      </c>
    </row>
    <row r="2543" spans="1:15" x14ac:dyDescent="0.25">
      <c r="A2543">
        <v>10051</v>
      </c>
      <c r="B2543" s="11">
        <v>8599988776654</v>
      </c>
      <c r="C2543" s="1" t="s">
        <v>393</v>
      </c>
      <c r="D2543" s="1" t="s">
        <v>133</v>
      </c>
      <c r="E2543" s="1" t="s">
        <v>17</v>
      </c>
      <c r="F2543">
        <v>16.8</v>
      </c>
      <c r="G2543">
        <v>1</v>
      </c>
      <c r="H2543" s="1" t="s">
        <v>14</v>
      </c>
      <c r="I2543" s="1" t="s">
        <v>15</v>
      </c>
      <c r="J2543" s="12">
        <v>45840</v>
      </c>
      <c r="K2543">
        <v>0</v>
      </c>
      <c r="L2543" s="1">
        <f t="shared" si="156"/>
        <v>16.8</v>
      </c>
      <c r="M2543" s="1" t="str">
        <f t="shared" si="157"/>
        <v/>
      </c>
      <c r="N2543" s="2">
        <f t="shared" si="158"/>
        <v>45839</v>
      </c>
      <c r="O2543" t="str">
        <f t="shared" si="159"/>
        <v>pes</v>
      </c>
    </row>
    <row r="2544" spans="1:15" x14ac:dyDescent="0.25">
      <c r="A2544">
        <v>10052</v>
      </c>
      <c r="B2544" s="11">
        <v>4027788990013</v>
      </c>
      <c r="C2544" s="1" t="s">
        <v>43</v>
      </c>
      <c r="D2544" s="1" t="s">
        <v>21</v>
      </c>
      <c r="E2544" s="1" t="s">
        <v>22</v>
      </c>
      <c r="F2544">
        <v>8</v>
      </c>
      <c r="G2544">
        <v>1</v>
      </c>
      <c r="H2544" s="1" t="s">
        <v>14</v>
      </c>
      <c r="I2544" s="1" t="s">
        <v>15</v>
      </c>
      <c r="J2544" s="12">
        <v>45840</v>
      </c>
      <c r="K2544">
        <v>0</v>
      </c>
      <c r="L2544" s="1">
        <f t="shared" si="156"/>
        <v>8</v>
      </c>
      <c r="M2544" s="1" t="str">
        <f t="shared" si="157"/>
        <v/>
      </c>
      <c r="N2544" s="2">
        <f t="shared" si="158"/>
        <v>45839</v>
      </c>
      <c r="O2544" t="str">
        <f t="shared" si="159"/>
        <v>pes</v>
      </c>
    </row>
    <row r="2545" spans="1:15" x14ac:dyDescent="0.25">
      <c r="A2545">
        <v>10053</v>
      </c>
      <c r="B2545" s="11">
        <v>8599988776654</v>
      </c>
      <c r="C2545" s="1" t="s">
        <v>393</v>
      </c>
      <c r="D2545" s="1" t="s">
        <v>133</v>
      </c>
      <c r="E2545" s="1" t="s">
        <v>17</v>
      </c>
      <c r="F2545">
        <v>16.8</v>
      </c>
      <c r="G2545">
        <v>1</v>
      </c>
      <c r="H2545" s="1" t="s">
        <v>14</v>
      </c>
      <c r="I2545" s="1" t="s">
        <v>15</v>
      </c>
      <c r="J2545" s="12">
        <v>45840</v>
      </c>
      <c r="K2545">
        <v>0</v>
      </c>
      <c r="L2545" s="1">
        <f t="shared" si="156"/>
        <v>16.8</v>
      </c>
      <c r="M2545" s="1" t="str">
        <f t="shared" si="157"/>
        <v/>
      </c>
      <c r="N2545" s="2">
        <f t="shared" si="158"/>
        <v>45839</v>
      </c>
      <c r="O2545" t="str">
        <f t="shared" si="159"/>
        <v>pes</v>
      </c>
    </row>
    <row r="2546" spans="1:15" x14ac:dyDescent="0.25">
      <c r="A2546">
        <v>10054</v>
      </c>
      <c r="B2546" s="11">
        <v>4013456789017</v>
      </c>
      <c r="C2546" s="1" t="s">
        <v>11</v>
      </c>
      <c r="D2546" s="1" t="s">
        <v>12</v>
      </c>
      <c r="E2546" s="1" t="s">
        <v>13</v>
      </c>
      <c r="F2546">
        <v>6</v>
      </c>
      <c r="G2546">
        <v>2</v>
      </c>
      <c r="H2546" s="1" t="s">
        <v>14</v>
      </c>
      <c r="I2546" s="1" t="s">
        <v>15</v>
      </c>
      <c r="J2546" s="12">
        <v>45840</v>
      </c>
      <c r="K2546">
        <v>0</v>
      </c>
      <c r="L2546" s="1">
        <f t="shared" si="156"/>
        <v>12</v>
      </c>
      <c r="M2546" s="1" t="str">
        <f t="shared" si="157"/>
        <v/>
      </c>
      <c r="N2546" s="2">
        <f t="shared" si="158"/>
        <v>45839</v>
      </c>
      <c r="O2546" t="str">
        <f t="shared" si="159"/>
        <v>pes</v>
      </c>
    </row>
    <row r="2547" spans="1:15" x14ac:dyDescent="0.25">
      <c r="A2547">
        <v>10055</v>
      </c>
      <c r="B2547" s="11">
        <v>8599988776654</v>
      </c>
      <c r="C2547" s="1" t="s">
        <v>393</v>
      </c>
      <c r="D2547" s="1" t="s">
        <v>133</v>
      </c>
      <c r="E2547" s="1" t="s">
        <v>17</v>
      </c>
      <c r="F2547">
        <v>16.8</v>
      </c>
      <c r="G2547">
        <v>2</v>
      </c>
      <c r="H2547" s="1" t="s">
        <v>23</v>
      </c>
      <c r="I2547" s="1" t="s">
        <v>400</v>
      </c>
      <c r="J2547" s="12">
        <v>45840</v>
      </c>
      <c r="K2547">
        <v>0</v>
      </c>
      <c r="L2547" s="1">
        <f t="shared" si="156"/>
        <v>33.6</v>
      </c>
      <c r="M2547" s="1">
        <f t="shared" si="157"/>
        <v>5</v>
      </c>
      <c r="N2547" s="2">
        <f t="shared" si="158"/>
        <v>45839</v>
      </c>
      <c r="O2547" t="str">
        <f t="shared" si="159"/>
        <v>pes</v>
      </c>
    </row>
    <row r="2548" spans="1:15" x14ac:dyDescent="0.25">
      <c r="A2548">
        <v>10056</v>
      </c>
      <c r="B2548" s="11">
        <v>4061011223346</v>
      </c>
      <c r="C2548" s="1" t="s">
        <v>25</v>
      </c>
      <c r="D2548" s="1" t="s">
        <v>26</v>
      </c>
      <c r="E2548" s="1" t="s">
        <v>27</v>
      </c>
      <c r="F2548">
        <v>19.600000000000001</v>
      </c>
      <c r="G2548">
        <v>1</v>
      </c>
      <c r="H2548" s="1" t="s">
        <v>14</v>
      </c>
      <c r="I2548" s="1" t="s">
        <v>15</v>
      </c>
      <c r="J2548" s="12">
        <v>45840</v>
      </c>
      <c r="K2548">
        <v>0</v>
      </c>
      <c r="L2548" s="1">
        <f t="shared" si="156"/>
        <v>19.600000000000001</v>
      </c>
      <c r="M2548" s="1" t="str">
        <f t="shared" si="157"/>
        <v/>
      </c>
      <c r="N2548" s="2">
        <f t="shared" si="158"/>
        <v>45839</v>
      </c>
      <c r="O2548" t="str">
        <f t="shared" si="159"/>
        <v>pes</v>
      </c>
    </row>
    <row r="2549" spans="1:15" x14ac:dyDescent="0.25">
      <c r="A2549">
        <v>10057</v>
      </c>
      <c r="B2549" s="11">
        <v>8599988776654</v>
      </c>
      <c r="C2549" s="1" t="s">
        <v>393</v>
      </c>
      <c r="D2549" s="1" t="s">
        <v>133</v>
      </c>
      <c r="E2549" s="1" t="s">
        <v>17</v>
      </c>
      <c r="F2549">
        <v>16.8</v>
      </c>
      <c r="G2549">
        <v>1</v>
      </c>
      <c r="H2549" s="1" t="s">
        <v>14</v>
      </c>
      <c r="I2549" s="1" t="s">
        <v>15</v>
      </c>
      <c r="J2549" s="12">
        <v>45840</v>
      </c>
      <c r="K2549">
        <v>0</v>
      </c>
      <c r="L2549" s="1">
        <f t="shared" si="156"/>
        <v>16.8</v>
      </c>
      <c r="M2549" s="1" t="str">
        <f t="shared" si="157"/>
        <v/>
      </c>
      <c r="N2549" s="2">
        <f t="shared" si="158"/>
        <v>45839</v>
      </c>
      <c r="O2549" t="str">
        <f t="shared" si="159"/>
        <v>pes</v>
      </c>
    </row>
    <row r="2550" spans="1:15" hidden="1" x14ac:dyDescent="0.25">
      <c r="A2550">
        <v>10058</v>
      </c>
      <c r="B2550" s="11">
        <v>4010123456783</v>
      </c>
      <c r="C2550" s="1" t="s">
        <v>35</v>
      </c>
      <c r="D2550" s="1" t="s">
        <v>36</v>
      </c>
      <c r="E2550" s="1" t="s">
        <v>37</v>
      </c>
      <c r="F2550">
        <v>14</v>
      </c>
      <c r="G2550">
        <v>1</v>
      </c>
      <c r="H2550" s="1" t="s">
        <v>14</v>
      </c>
      <c r="I2550" s="1" t="s">
        <v>15</v>
      </c>
      <c r="J2550" s="12">
        <v>45840</v>
      </c>
      <c r="K2550">
        <v>0</v>
      </c>
      <c r="L2550" s="1">
        <f t="shared" si="156"/>
        <v>14</v>
      </c>
      <c r="M2550" s="1" t="str">
        <f t="shared" si="157"/>
        <v/>
      </c>
      <c r="N2550" s="2">
        <f t="shared" si="158"/>
        <v>45839</v>
      </c>
      <c r="O2550" t="str">
        <f t="shared" si="159"/>
        <v>mačka</v>
      </c>
    </row>
    <row r="2551" spans="1:15" x14ac:dyDescent="0.25">
      <c r="A2551">
        <v>10059</v>
      </c>
      <c r="B2551" s="11">
        <v>8599988776654</v>
      </c>
      <c r="C2551" s="1" t="s">
        <v>393</v>
      </c>
      <c r="D2551" s="1" t="s">
        <v>133</v>
      </c>
      <c r="E2551" s="1" t="s">
        <v>17</v>
      </c>
      <c r="F2551">
        <v>16.8</v>
      </c>
      <c r="G2551">
        <v>1</v>
      </c>
      <c r="H2551" s="1" t="s">
        <v>23</v>
      </c>
      <c r="I2551" s="1" t="s">
        <v>401</v>
      </c>
      <c r="J2551" s="12">
        <v>45840</v>
      </c>
      <c r="K2551">
        <v>0</v>
      </c>
      <c r="L2551" s="1">
        <f t="shared" si="156"/>
        <v>16.8</v>
      </c>
      <c r="M2551" s="1">
        <f t="shared" si="157"/>
        <v>5</v>
      </c>
      <c r="N2551" s="2">
        <f t="shared" si="158"/>
        <v>45839</v>
      </c>
      <c r="O2551" t="str">
        <f t="shared" si="159"/>
        <v>pes</v>
      </c>
    </row>
    <row r="2552" spans="1:15" x14ac:dyDescent="0.25">
      <c r="A2552">
        <v>10060</v>
      </c>
      <c r="B2552" s="11">
        <v>4028899001126</v>
      </c>
      <c r="C2552" s="1" t="s">
        <v>16</v>
      </c>
      <c r="D2552" s="1" t="s">
        <v>12</v>
      </c>
      <c r="E2552" s="1" t="s">
        <v>17</v>
      </c>
      <c r="F2552">
        <v>2.8</v>
      </c>
      <c r="G2552">
        <v>3</v>
      </c>
      <c r="H2552" s="1" t="s">
        <v>14</v>
      </c>
      <c r="I2552" s="1" t="s">
        <v>15</v>
      </c>
      <c r="J2552" s="12">
        <v>45840</v>
      </c>
      <c r="K2552">
        <v>0</v>
      </c>
      <c r="L2552" s="1">
        <f t="shared" si="156"/>
        <v>8.3999999999999986</v>
      </c>
      <c r="M2552" s="1" t="str">
        <f t="shared" si="157"/>
        <v/>
      </c>
      <c r="N2552" s="2">
        <f t="shared" si="158"/>
        <v>45839</v>
      </c>
      <c r="O2552" t="str">
        <f t="shared" si="159"/>
        <v>pes</v>
      </c>
    </row>
    <row r="2553" spans="1:15" x14ac:dyDescent="0.25">
      <c r="A2553">
        <v>10061</v>
      </c>
      <c r="B2553" s="11">
        <v>8599988776654</v>
      </c>
      <c r="C2553" s="1" t="s">
        <v>393</v>
      </c>
      <c r="D2553" s="1" t="s">
        <v>133</v>
      </c>
      <c r="E2553" s="1" t="s">
        <v>17</v>
      </c>
      <c r="F2553">
        <v>16.8</v>
      </c>
      <c r="G2553">
        <v>1</v>
      </c>
      <c r="H2553" s="1" t="s">
        <v>14</v>
      </c>
      <c r="I2553" s="1" t="s">
        <v>15</v>
      </c>
      <c r="J2553" s="12">
        <v>45840</v>
      </c>
      <c r="K2553">
        <v>0</v>
      </c>
      <c r="L2553" s="1">
        <f t="shared" si="156"/>
        <v>16.8</v>
      </c>
      <c r="M2553" s="1" t="str">
        <f t="shared" si="157"/>
        <v/>
      </c>
      <c r="N2553" s="2">
        <f t="shared" si="158"/>
        <v>45839</v>
      </c>
      <c r="O2553" t="str">
        <f t="shared" si="159"/>
        <v>pes</v>
      </c>
    </row>
    <row r="2554" spans="1:15" x14ac:dyDescent="0.25">
      <c r="A2554">
        <v>10062</v>
      </c>
      <c r="B2554" s="11">
        <v>8599988776654</v>
      </c>
      <c r="C2554" s="1" t="s">
        <v>393</v>
      </c>
      <c r="D2554" s="1" t="s">
        <v>133</v>
      </c>
      <c r="E2554" s="1" t="s">
        <v>17</v>
      </c>
      <c r="F2554">
        <v>16.8</v>
      </c>
      <c r="G2554">
        <v>2</v>
      </c>
      <c r="H2554" s="1" t="s">
        <v>18</v>
      </c>
      <c r="I2554" s="1" t="s">
        <v>402</v>
      </c>
      <c r="J2554" s="12">
        <v>45840</v>
      </c>
      <c r="K2554">
        <v>0</v>
      </c>
      <c r="L2554" s="1">
        <f t="shared" si="156"/>
        <v>33.6</v>
      </c>
      <c r="M2554" s="1">
        <f t="shared" si="157"/>
        <v>4</v>
      </c>
      <c r="N2554" s="2">
        <f t="shared" si="158"/>
        <v>45839</v>
      </c>
      <c r="O2554" t="str">
        <f t="shared" si="159"/>
        <v>pes</v>
      </c>
    </row>
    <row r="2555" spans="1:15" x14ac:dyDescent="0.25">
      <c r="A2555">
        <v>10063</v>
      </c>
      <c r="B2555" s="11">
        <v>8599988776654</v>
      </c>
      <c r="C2555" s="1" t="s">
        <v>393</v>
      </c>
      <c r="D2555" s="1" t="s">
        <v>133</v>
      </c>
      <c r="E2555" s="1" t="s">
        <v>17</v>
      </c>
      <c r="F2555">
        <v>16.8</v>
      </c>
      <c r="G2555">
        <v>1</v>
      </c>
      <c r="H2555" s="1" t="s">
        <v>14</v>
      </c>
      <c r="I2555" s="1" t="s">
        <v>15</v>
      </c>
      <c r="J2555" s="12">
        <v>45840</v>
      </c>
      <c r="K2555">
        <v>0</v>
      </c>
      <c r="L2555" s="1">
        <f t="shared" si="156"/>
        <v>16.8</v>
      </c>
      <c r="M2555" s="1" t="str">
        <f t="shared" si="157"/>
        <v/>
      </c>
      <c r="N2555" s="2">
        <f t="shared" si="158"/>
        <v>45839</v>
      </c>
      <c r="O2555" t="str">
        <f t="shared" si="159"/>
        <v>pes</v>
      </c>
    </row>
    <row r="2556" spans="1:15" x14ac:dyDescent="0.25">
      <c r="A2556">
        <v>10064</v>
      </c>
      <c r="B2556" s="11">
        <v>8599988776654</v>
      </c>
      <c r="C2556" s="1" t="s">
        <v>393</v>
      </c>
      <c r="D2556" s="1" t="s">
        <v>133</v>
      </c>
      <c r="E2556" s="1" t="s">
        <v>17</v>
      </c>
      <c r="F2556">
        <v>16.8</v>
      </c>
      <c r="G2556">
        <v>1</v>
      </c>
      <c r="H2556" s="1" t="s">
        <v>14</v>
      </c>
      <c r="I2556" s="1" t="s">
        <v>15</v>
      </c>
      <c r="J2556" s="12">
        <v>45840</v>
      </c>
      <c r="K2556">
        <v>0</v>
      </c>
      <c r="L2556" s="1">
        <f t="shared" si="156"/>
        <v>16.8</v>
      </c>
      <c r="M2556" s="1" t="str">
        <f t="shared" si="157"/>
        <v/>
      </c>
      <c r="N2556" s="2">
        <f t="shared" si="158"/>
        <v>45839</v>
      </c>
      <c r="O2556" t="str">
        <f t="shared" si="159"/>
        <v>pes</v>
      </c>
    </row>
    <row r="2557" spans="1:15" x14ac:dyDescent="0.25">
      <c r="A2557">
        <v>10065</v>
      </c>
      <c r="B2557" s="11">
        <v>8599988776654</v>
      </c>
      <c r="C2557" s="1" t="s">
        <v>393</v>
      </c>
      <c r="D2557" s="1" t="s">
        <v>133</v>
      </c>
      <c r="E2557" s="1" t="s">
        <v>17</v>
      </c>
      <c r="F2557">
        <v>16.8</v>
      </c>
      <c r="G2557">
        <v>1</v>
      </c>
      <c r="H2557" s="1" t="s">
        <v>14</v>
      </c>
      <c r="I2557" s="1" t="s">
        <v>15</v>
      </c>
      <c r="J2557" s="12">
        <v>45840</v>
      </c>
      <c r="K2557">
        <v>0</v>
      </c>
      <c r="L2557" s="1">
        <f t="shared" si="156"/>
        <v>16.8</v>
      </c>
      <c r="M2557" s="1" t="str">
        <f t="shared" si="157"/>
        <v/>
      </c>
      <c r="N2557" s="2">
        <f t="shared" si="158"/>
        <v>45839</v>
      </c>
      <c r="O2557" t="str">
        <f t="shared" si="159"/>
        <v>pes</v>
      </c>
    </row>
    <row r="2558" spans="1:15" hidden="1" x14ac:dyDescent="0.25">
      <c r="A2558">
        <v>10066</v>
      </c>
      <c r="B2558" s="11">
        <v>4021234567894</v>
      </c>
      <c r="C2558" s="1" t="s">
        <v>79</v>
      </c>
      <c r="D2558" s="1" t="s">
        <v>36</v>
      </c>
      <c r="E2558" s="1" t="s">
        <v>69</v>
      </c>
      <c r="F2558">
        <v>8</v>
      </c>
      <c r="G2558">
        <v>1</v>
      </c>
      <c r="H2558" s="1" t="s">
        <v>14</v>
      </c>
      <c r="I2558" s="1" t="s">
        <v>15</v>
      </c>
      <c r="J2558" s="12">
        <v>45840</v>
      </c>
      <c r="K2558">
        <v>0</v>
      </c>
      <c r="L2558" s="1">
        <f t="shared" si="156"/>
        <v>8</v>
      </c>
      <c r="M2558" s="1" t="str">
        <f t="shared" si="157"/>
        <v/>
      </c>
      <c r="N2558" s="2">
        <f t="shared" si="158"/>
        <v>45839</v>
      </c>
      <c r="O2558" t="str">
        <f t="shared" si="159"/>
        <v>mačka</v>
      </c>
    </row>
    <row r="2559" spans="1:15" x14ac:dyDescent="0.25">
      <c r="A2559">
        <v>10067</v>
      </c>
      <c r="B2559" s="11">
        <v>8599988776654</v>
      </c>
      <c r="C2559" s="1" t="s">
        <v>393</v>
      </c>
      <c r="D2559" s="1" t="s">
        <v>133</v>
      </c>
      <c r="E2559" s="1" t="s">
        <v>17</v>
      </c>
      <c r="F2559">
        <v>16.8</v>
      </c>
      <c r="G2559">
        <v>1</v>
      </c>
      <c r="H2559" s="1" t="s">
        <v>14</v>
      </c>
      <c r="I2559" s="1" t="s">
        <v>15</v>
      </c>
      <c r="J2559" s="12">
        <v>45840</v>
      </c>
      <c r="K2559">
        <v>0</v>
      </c>
      <c r="L2559" s="1">
        <f t="shared" si="156"/>
        <v>16.8</v>
      </c>
      <c r="M2559" s="1" t="str">
        <f t="shared" si="157"/>
        <v/>
      </c>
      <c r="N2559" s="2">
        <f t="shared" si="158"/>
        <v>45839</v>
      </c>
      <c r="O2559" t="str">
        <f t="shared" si="159"/>
        <v>pes</v>
      </c>
    </row>
    <row r="2560" spans="1:15" x14ac:dyDescent="0.25">
      <c r="A2560">
        <v>10068</v>
      </c>
      <c r="B2560" s="11">
        <v>4013456789017</v>
      </c>
      <c r="C2560" s="1" t="s">
        <v>11</v>
      </c>
      <c r="D2560" s="1" t="s">
        <v>12</v>
      </c>
      <c r="E2560" s="1" t="s">
        <v>13</v>
      </c>
      <c r="F2560">
        <v>6</v>
      </c>
      <c r="G2560">
        <v>1</v>
      </c>
      <c r="H2560" s="1" t="s">
        <v>14</v>
      </c>
      <c r="I2560" s="1" t="s">
        <v>15</v>
      </c>
      <c r="J2560" s="12">
        <v>45840</v>
      </c>
      <c r="K2560">
        <v>0</v>
      </c>
      <c r="L2560" s="1">
        <f t="shared" si="156"/>
        <v>6</v>
      </c>
      <c r="M2560" s="1" t="str">
        <f t="shared" si="157"/>
        <v/>
      </c>
      <c r="N2560" s="2">
        <f t="shared" si="158"/>
        <v>45839</v>
      </c>
      <c r="O2560" t="str">
        <f t="shared" si="159"/>
        <v>pes</v>
      </c>
    </row>
    <row r="2561" spans="1:15" x14ac:dyDescent="0.25">
      <c r="A2561">
        <v>10069</v>
      </c>
      <c r="B2561" s="11">
        <v>8599988776654</v>
      </c>
      <c r="C2561" s="1" t="s">
        <v>393</v>
      </c>
      <c r="D2561" s="1" t="s">
        <v>133</v>
      </c>
      <c r="E2561" s="1" t="s">
        <v>17</v>
      </c>
      <c r="F2561">
        <v>16.8</v>
      </c>
      <c r="G2561">
        <v>1</v>
      </c>
      <c r="H2561" s="1" t="s">
        <v>23</v>
      </c>
      <c r="I2561" s="1" t="s">
        <v>403</v>
      </c>
      <c r="J2561" s="12">
        <v>45840</v>
      </c>
      <c r="K2561">
        <v>0</v>
      </c>
      <c r="L2561" s="1">
        <f t="shared" si="156"/>
        <v>16.8</v>
      </c>
      <c r="M2561" s="1">
        <f t="shared" si="157"/>
        <v>5</v>
      </c>
      <c r="N2561" s="2">
        <f t="shared" si="158"/>
        <v>45839</v>
      </c>
      <c r="O2561" t="str">
        <f t="shared" si="159"/>
        <v>pes</v>
      </c>
    </row>
    <row r="2562" spans="1:15" x14ac:dyDescent="0.25">
      <c r="A2562">
        <v>10070</v>
      </c>
      <c r="B2562" s="11">
        <v>4028899001126</v>
      </c>
      <c r="C2562" s="1" t="s">
        <v>16</v>
      </c>
      <c r="D2562" s="1" t="s">
        <v>12</v>
      </c>
      <c r="E2562" s="1" t="s">
        <v>17</v>
      </c>
      <c r="F2562">
        <v>2.8</v>
      </c>
      <c r="G2562">
        <v>2</v>
      </c>
      <c r="H2562" s="1" t="s">
        <v>14</v>
      </c>
      <c r="I2562" s="1" t="s">
        <v>15</v>
      </c>
      <c r="J2562" s="12">
        <v>45840</v>
      </c>
      <c r="K2562">
        <v>0</v>
      </c>
      <c r="L2562" s="1">
        <f t="shared" ref="L2562:L2625" si="160">F2562*G2562</f>
        <v>5.6</v>
      </c>
      <c r="M2562" s="1" t="str">
        <f t="shared" ref="M2562:M2625" si="161">IF(H2562="NULL", "",VALUE(H2562))</f>
        <v/>
      </c>
      <c r="N2562" s="2">
        <f t="shared" ref="N2562:N2625" si="162">DATE(YEAR(J2562),MONTH(J2562),1)</f>
        <v>45839</v>
      </c>
      <c r="O2562" t="str">
        <f t="shared" ref="O2562:O2625" si="163">IF(ISNUMBER(SEARCH("Mačky",D2562)),"mačka",IF(ISNUMBER(SEARCH("Psy",D2562)),"pes","iné"))</f>
        <v>pes</v>
      </c>
    </row>
    <row r="2563" spans="1:15" x14ac:dyDescent="0.25">
      <c r="A2563">
        <v>10071</v>
      </c>
      <c r="B2563" s="11">
        <v>8599988776654</v>
      </c>
      <c r="C2563" s="1" t="s">
        <v>393</v>
      </c>
      <c r="D2563" s="1" t="s">
        <v>133</v>
      </c>
      <c r="E2563" s="1" t="s">
        <v>17</v>
      </c>
      <c r="F2563">
        <v>16.8</v>
      </c>
      <c r="G2563">
        <v>1</v>
      </c>
      <c r="H2563" s="1" t="s">
        <v>14</v>
      </c>
      <c r="I2563" s="1" t="s">
        <v>15</v>
      </c>
      <c r="J2563" s="12">
        <v>45840</v>
      </c>
      <c r="K2563">
        <v>0</v>
      </c>
      <c r="L2563" s="1">
        <f t="shared" si="160"/>
        <v>16.8</v>
      </c>
      <c r="M2563" s="1" t="str">
        <f t="shared" si="161"/>
        <v/>
      </c>
      <c r="N2563" s="2">
        <f t="shared" si="162"/>
        <v>45839</v>
      </c>
      <c r="O2563" t="str">
        <f t="shared" si="163"/>
        <v>pes</v>
      </c>
    </row>
    <row r="2564" spans="1:15" x14ac:dyDescent="0.25">
      <c r="A2564">
        <v>10072</v>
      </c>
      <c r="B2564" s="11">
        <v>4017890123450</v>
      </c>
      <c r="C2564" s="1" t="s">
        <v>65</v>
      </c>
      <c r="D2564" s="1" t="s">
        <v>39</v>
      </c>
      <c r="E2564" s="1" t="s">
        <v>22</v>
      </c>
      <c r="F2564">
        <v>7.6</v>
      </c>
      <c r="G2564">
        <v>1</v>
      </c>
      <c r="H2564" s="1" t="s">
        <v>14</v>
      </c>
      <c r="I2564" s="1" t="s">
        <v>15</v>
      </c>
      <c r="J2564" s="12">
        <v>45841</v>
      </c>
      <c r="K2564">
        <v>0</v>
      </c>
      <c r="L2564" s="1">
        <f t="shared" si="160"/>
        <v>7.6</v>
      </c>
      <c r="M2564" s="1" t="str">
        <f t="shared" si="161"/>
        <v/>
      </c>
      <c r="N2564" s="2">
        <f t="shared" si="162"/>
        <v>45839</v>
      </c>
      <c r="O2564" t="str">
        <f t="shared" si="163"/>
        <v>pes</v>
      </c>
    </row>
    <row r="2565" spans="1:15" x14ac:dyDescent="0.25">
      <c r="A2565">
        <v>10073</v>
      </c>
      <c r="B2565" s="11">
        <v>8599988776654</v>
      </c>
      <c r="C2565" s="1" t="s">
        <v>393</v>
      </c>
      <c r="D2565" s="1" t="s">
        <v>133</v>
      </c>
      <c r="E2565" s="1" t="s">
        <v>17</v>
      </c>
      <c r="F2565">
        <v>16.8</v>
      </c>
      <c r="G2565">
        <v>1</v>
      </c>
      <c r="H2565" s="1" t="s">
        <v>14</v>
      </c>
      <c r="I2565" s="1" t="s">
        <v>15</v>
      </c>
      <c r="J2565" s="12">
        <v>45841</v>
      </c>
      <c r="K2565">
        <v>0</v>
      </c>
      <c r="L2565" s="1">
        <f t="shared" si="160"/>
        <v>16.8</v>
      </c>
      <c r="M2565" s="1" t="str">
        <f t="shared" si="161"/>
        <v/>
      </c>
      <c r="N2565" s="2">
        <f t="shared" si="162"/>
        <v>45839</v>
      </c>
      <c r="O2565" t="str">
        <f t="shared" si="163"/>
        <v>pes</v>
      </c>
    </row>
    <row r="2566" spans="1:15" hidden="1" x14ac:dyDescent="0.25">
      <c r="A2566">
        <v>10074</v>
      </c>
      <c r="B2566" s="11">
        <v>4010123456783</v>
      </c>
      <c r="C2566" s="1" t="s">
        <v>35</v>
      </c>
      <c r="D2566" s="1" t="s">
        <v>36</v>
      </c>
      <c r="E2566" s="1" t="s">
        <v>37</v>
      </c>
      <c r="F2566">
        <v>14</v>
      </c>
      <c r="G2566">
        <v>2</v>
      </c>
      <c r="H2566" s="1" t="s">
        <v>14</v>
      </c>
      <c r="I2566" s="1" t="s">
        <v>15</v>
      </c>
      <c r="J2566" s="12">
        <v>45841</v>
      </c>
      <c r="K2566">
        <v>0</v>
      </c>
      <c r="L2566" s="1">
        <f t="shared" si="160"/>
        <v>28</v>
      </c>
      <c r="M2566" s="1" t="str">
        <f t="shared" si="161"/>
        <v/>
      </c>
      <c r="N2566" s="2">
        <f t="shared" si="162"/>
        <v>45839</v>
      </c>
      <c r="O2566" t="str">
        <f t="shared" si="163"/>
        <v>mačka</v>
      </c>
    </row>
    <row r="2567" spans="1:15" x14ac:dyDescent="0.25">
      <c r="A2567">
        <v>10075</v>
      </c>
      <c r="B2567" s="11">
        <v>8599988776654</v>
      </c>
      <c r="C2567" s="1" t="s">
        <v>393</v>
      </c>
      <c r="D2567" s="1" t="s">
        <v>133</v>
      </c>
      <c r="E2567" s="1" t="s">
        <v>17</v>
      </c>
      <c r="F2567">
        <v>16.8</v>
      </c>
      <c r="G2567">
        <v>2</v>
      </c>
      <c r="H2567" s="1" t="s">
        <v>14</v>
      </c>
      <c r="I2567" s="1" t="s">
        <v>15</v>
      </c>
      <c r="J2567" s="12">
        <v>45841</v>
      </c>
      <c r="K2567">
        <v>0</v>
      </c>
      <c r="L2567" s="1">
        <f t="shared" si="160"/>
        <v>33.6</v>
      </c>
      <c r="M2567" s="1" t="str">
        <f t="shared" si="161"/>
        <v/>
      </c>
      <c r="N2567" s="2">
        <f t="shared" si="162"/>
        <v>45839</v>
      </c>
      <c r="O2567" t="str">
        <f t="shared" si="163"/>
        <v>pes</v>
      </c>
    </row>
    <row r="2568" spans="1:15" x14ac:dyDescent="0.25">
      <c r="A2568">
        <v>10076</v>
      </c>
      <c r="B2568" s="11">
        <v>4063456789014</v>
      </c>
      <c r="C2568" s="1" t="s">
        <v>60</v>
      </c>
      <c r="D2568" s="1" t="s">
        <v>12</v>
      </c>
      <c r="E2568" s="1" t="s">
        <v>61</v>
      </c>
      <c r="F2568">
        <v>36</v>
      </c>
      <c r="G2568">
        <v>1</v>
      </c>
      <c r="H2568" s="1" t="s">
        <v>14</v>
      </c>
      <c r="I2568" s="1" t="s">
        <v>15</v>
      </c>
      <c r="J2568" s="12">
        <v>45841</v>
      </c>
      <c r="K2568">
        <v>0</v>
      </c>
      <c r="L2568" s="1">
        <f t="shared" si="160"/>
        <v>36</v>
      </c>
      <c r="M2568" s="1" t="str">
        <f t="shared" si="161"/>
        <v/>
      </c>
      <c r="N2568" s="2">
        <f t="shared" si="162"/>
        <v>45839</v>
      </c>
      <c r="O2568" t="str">
        <f t="shared" si="163"/>
        <v>pes</v>
      </c>
    </row>
    <row r="2569" spans="1:15" x14ac:dyDescent="0.25">
      <c r="A2569">
        <v>10077</v>
      </c>
      <c r="B2569" s="11">
        <v>8599988776654</v>
      </c>
      <c r="C2569" s="1" t="s">
        <v>393</v>
      </c>
      <c r="D2569" s="1" t="s">
        <v>133</v>
      </c>
      <c r="E2569" s="1" t="s">
        <v>17</v>
      </c>
      <c r="F2569">
        <v>16.8</v>
      </c>
      <c r="G2569">
        <v>1</v>
      </c>
      <c r="H2569" s="1" t="s">
        <v>14</v>
      </c>
      <c r="I2569" s="1" t="s">
        <v>15</v>
      </c>
      <c r="J2569" s="12">
        <v>45841</v>
      </c>
      <c r="K2569">
        <v>0</v>
      </c>
      <c r="L2569" s="1">
        <f t="shared" si="160"/>
        <v>16.8</v>
      </c>
      <c r="M2569" s="1" t="str">
        <f t="shared" si="161"/>
        <v/>
      </c>
      <c r="N2569" s="2">
        <f t="shared" si="162"/>
        <v>45839</v>
      </c>
      <c r="O2569" t="str">
        <f t="shared" si="163"/>
        <v>pes</v>
      </c>
    </row>
    <row r="2570" spans="1:15" hidden="1" x14ac:dyDescent="0.25">
      <c r="A2570">
        <v>10078</v>
      </c>
      <c r="B2570" s="11">
        <v>4056789012345</v>
      </c>
      <c r="C2570" s="1" t="s">
        <v>47</v>
      </c>
      <c r="D2570" s="1" t="s">
        <v>29</v>
      </c>
      <c r="E2570" s="1" t="s">
        <v>37</v>
      </c>
      <c r="F2570">
        <v>2.4</v>
      </c>
      <c r="G2570">
        <v>3</v>
      </c>
      <c r="H2570" s="1" t="s">
        <v>14</v>
      </c>
      <c r="I2570" s="1" t="s">
        <v>15</v>
      </c>
      <c r="J2570" s="12">
        <v>45841</v>
      </c>
      <c r="K2570">
        <v>0</v>
      </c>
      <c r="L2570" s="1">
        <f t="shared" si="160"/>
        <v>7.1999999999999993</v>
      </c>
      <c r="M2570" s="1" t="str">
        <f t="shared" si="161"/>
        <v/>
      </c>
      <c r="N2570" s="2">
        <f t="shared" si="162"/>
        <v>45839</v>
      </c>
      <c r="O2570" t="str">
        <f t="shared" si="163"/>
        <v>mačka</v>
      </c>
    </row>
    <row r="2571" spans="1:15" x14ac:dyDescent="0.25">
      <c r="A2571">
        <v>10079</v>
      </c>
      <c r="B2571" s="11">
        <v>8599988776654</v>
      </c>
      <c r="C2571" s="1" t="s">
        <v>393</v>
      </c>
      <c r="D2571" s="1" t="s">
        <v>133</v>
      </c>
      <c r="E2571" s="1" t="s">
        <v>17</v>
      </c>
      <c r="F2571">
        <v>16.8</v>
      </c>
      <c r="G2571">
        <v>1</v>
      </c>
      <c r="H2571" s="1" t="s">
        <v>18</v>
      </c>
      <c r="I2571" s="1" t="s">
        <v>404</v>
      </c>
      <c r="J2571" s="12">
        <v>45841</v>
      </c>
      <c r="K2571">
        <v>0</v>
      </c>
      <c r="L2571" s="1">
        <f t="shared" si="160"/>
        <v>16.8</v>
      </c>
      <c r="M2571" s="1">
        <f t="shared" si="161"/>
        <v>4</v>
      </c>
      <c r="N2571" s="2">
        <f t="shared" si="162"/>
        <v>45839</v>
      </c>
      <c r="O2571" t="str">
        <f t="shared" si="163"/>
        <v>pes</v>
      </c>
    </row>
    <row r="2572" spans="1:15" x14ac:dyDescent="0.25">
      <c r="A2572">
        <v>10080</v>
      </c>
      <c r="B2572" s="11">
        <v>4028899001126</v>
      </c>
      <c r="C2572" s="1" t="s">
        <v>16</v>
      </c>
      <c r="D2572" s="1" t="s">
        <v>12</v>
      </c>
      <c r="E2572" s="1" t="s">
        <v>17</v>
      </c>
      <c r="F2572">
        <v>2.8</v>
      </c>
      <c r="G2572">
        <v>3</v>
      </c>
      <c r="H2572" s="1" t="s">
        <v>14</v>
      </c>
      <c r="I2572" s="1" t="s">
        <v>15</v>
      </c>
      <c r="J2572" s="12">
        <v>45841</v>
      </c>
      <c r="K2572">
        <v>0</v>
      </c>
      <c r="L2572" s="1">
        <f t="shared" si="160"/>
        <v>8.3999999999999986</v>
      </c>
      <c r="M2572" s="1" t="str">
        <f t="shared" si="161"/>
        <v/>
      </c>
      <c r="N2572" s="2">
        <f t="shared" si="162"/>
        <v>45839</v>
      </c>
      <c r="O2572" t="str">
        <f t="shared" si="163"/>
        <v>pes</v>
      </c>
    </row>
    <row r="2573" spans="1:15" x14ac:dyDescent="0.25">
      <c r="A2573">
        <v>10081</v>
      </c>
      <c r="B2573" s="11">
        <v>8599988776654</v>
      </c>
      <c r="C2573" s="1" t="s">
        <v>393</v>
      </c>
      <c r="D2573" s="1" t="s">
        <v>133</v>
      </c>
      <c r="E2573" s="1" t="s">
        <v>17</v>
      </c>
      <c r="F2573">
        <v>16.8</v>
      </c>
      <c r="G2573">
        <v>2</v>
      </c>
      <c r="H2573" s="1" t="s">
        <v>14</v>
      </c>
      <c r="I2573" s="1" t="s">
        <v>15</v>
      </c>
      <c r="J2573" s="12">
        <v>45841</v>
      </c>
      <c r="K2573">
        <v>0</v>
      </c>
      <c r="L2573" s="1">
        <f t="shared" si="160"/>
        <v>33.6</v>
      </c>
      <c r="M2573" s="1" t="str">
        <f t="shared" si="161"/>
        <v/>
      </c>
      <c r="N2573" s="2">
        <f t="shared" si="162"/>
        <v>45839</v>
      </c>
      <c r="O2573" t="str">
        <f t="shared" si="163"/>
        <v>pes</v>
      </c>
    </row>
    <row r="2574" spans="1:15" x14ac:dyDescent="0.25">
      <c r="A2574">
        <v>10082</v>
      </c>
      <c r="B2574" s="11">
        <v>8599988776654</v>
      </c>
      <c r="C2574" s="1" t="s">
        <v>393</v>
      </c>
      <c r="D2574" s="1" t="s">
        <v>133</v>
      </c>
      <c r="E2574" s="1" t="s">
        <v>17</v>
      </c>
      <c r="F2574">
        <v>16.8</v>
      </c>
      <c r="G2574">
        <v>1</v>
      </c>
      <c r="H2574" s="1" t="s">
        <v>23</v>
      </c>
      <c r="I2574" s="1" t="s">
        <v>405</v>
      </c>
      <c r="J2574" s="12">
        <v>45841</v>
      </c>
      <c r="K2574">
        <v>0</v>
      </c>
      <c r="L2574" s="1">
        <f t="shared" si="160"/>
        <v>16.8</v>
      </c>
      <c r="M2574" s="1">
        <f t="shared" si="161"/>
        <v>5</v>
      </c>
      <c r="N2574" s="2">
        <f t="shared" si="162"/>
        <v>45839</v>
      </c>
      <c r="O2574" t="str">
        <f t="shared" si="163"/>
        <v>pes</v>
      </c>
    </row>
    <row r="2575" spans="1:15" x14ac:dyDescent="0.25">
      <c r="A2575">
        <v>10083</v>
      </c>
      <c r="B2575" s="11">
        <v>4013456789017</v>
      </c>
      <c r="C2575" s="1" t="s">
        <v>11</v>
      </c>
      <c r="D2575" s="1" t="s">
        <v>12</v>
      </c>
      <c r="E2575" s="1" t="s">
        <v>13</v>
      </c>
      <c r="F2575">
        <v>6</v>
      </c>
      <c r="G2575">
        <v>1</v>
      </c>
      <c r="H2575" s="1" t="s">
        <v>14</v>
      </c>
      <c r="I2575" s="1" t="s">
        <v>15</v>
      </c>
      <c r="J2575" s="12">
        <v>45841</v>
      </c>
      <c r="K2575">
        <v>0</v>
      </c>
      <c r="L2575" s="1">
        <f t="shared" si="160"/>
        <v>6</v>
      </c>
      <c r="M2575" s="1" t="str">
        <f t="shared" si="161"/>
        <v/>
      </c>
      <c r="N2575" s="2">
        <f t="shared" si="162"/>
        <v>45839</v>
      </c>
      <c r="O2575" t="str">
        <f t="shared" si="163"/>
        <v>pes</v>
      </c>
    </row>
    <row r="2576" spans="1:15" x14ac:dyDescent="0.25">
      <c r="A2576">
        <v>10084</v>
      </c>
      <c r="B2576" s="11">
        <v>8599988776654</v>
      </c>
      <c r="C2576" s="1" t="s">
        <v>393</v>
      </c>
      <c r="D2576" s="1" t="s">
        <v>133</v>
      </c>
      <c r="E2576" s="1" t="s">
        <v>17</v>
      </c>
      <c r="F2576">
        <v>16.8</v>
      </c>
      <c r="G2576">
        <v>1</v>
      </c>
      <c r="H2576" s="1" t="s">
        <v>14</v>
      </c>
      <c r="I2576" s="1" t="s">
        <v>15</v>
      </c>
      <c r="J2576" s="12">
        <v>45841</v>
      </c>
      <c r="K2576">
        <v>0</v>
      </c>
      <c r="L2576" s="1">
        <f t="shared" si="160"/>
        <v>16.8</v>
      </c>
      <c r="M2576" s="1" t="str">
        <f t="shared" si="161"/>
        <v/>
      </c>
      <c r="N2576" s="2">
        <f t="shared" si="162"/>
        <v>45839</v>
      </c>
      <c r="O2576" t="str">
        <f t="shared" si="163"/>
        <v>pes</v>
      </c>
    </row>
    <row r="2577" spans="1:15" x14ac:dyDescent="0.25">
      <c r="A2577">
        <v>10085</v>
      </c>
      <c r="B2577" s="11">
        <v>4028899001126</v>
      </c>
      <c r="C2577" s="1" t="s">
        <v>16</v>
      </c>
      <c r="D2577" s="1" t="s">
        <v>12</v>
      </c>
      <c r="E2577" s="1" t="s">
        <v>17</v>
      </c>
      <c r="F2577">
        <v>2.8</v>
      </c>
      <c r="G2577">
        <v>4</v>
      </c>
      <c r="H2577" s="1" t="s">
        <v>14</v>
      </c>
      <c r="I2577" s="1" t="s">
        <v>15</v>
      </c>
      <c r="J2577" s="12">
        <v>45841</v>
      </c>
      <c r="K2577">
        <v>0</v>
      </c>
      <c r="L2577" s="1">
        <f t="shared" si="160"/>
        <v>11.2</v>
      </c>
      <c r="M2577" s="1" t="str">
        <f t="shared" si="161"/>
        <v/>
      </c>
      <c r="N2577" s="2">
        <f t="shared" si="162"/>
        <v>45839</v>
      </c>
      <c r="O2577" t="str">
        <f t="shared" si="163"/>
        <v>pes</v>
      </c>
    </row>
    <row r="2578" spans="1:15" x14ac:dyDescent="0.25">
      <c r="A2578">
        <v>10086</v>
      </c>
      <c r="B2578" s="11">
        <v>8599988776654</v>
      </c>
      <c r="C2578" s="1" t="s">
        <v>393</v>
      </c>
      <c r="D2578" s="1" t="s">
        <v>133</v>
      </c>
      <c r="E2578" s="1" t="s">
        <v>17</v>
      </c>
      <c r="F2578">
        <v>16.8</v>
      </c>
      <c r="G2578">
        <v>1</v>
      </c>
      <c r="H2578" s="1" t="s">
        <v>14</v>
      </c>
      <c r="I2578" s="1" t="s">
        <v>15</v>
      </c>
      <c r="J2578" s="12">
        <v>45841</v>
      </c>
      <c r="K2578">
        <v>0</v>
      </c>
      <c r="L2578" s="1">
        <f t="shared" si="160"/>
        <v>16.8</v>
      </c>
      <c r="M2578" s="1" t="str">
        <f t="shared" si="161"/>
        <v/>
      </c>
      <c r="N2578" s="2">
        <f t="shared" si="162"/>
        <v>45839</v>
      </c>
      <c r="O2578" t="str">
        <f t="shared" si="163"/>
        <v>pes</v>
      </c>
    </row>
    <row r="2579" spans="1:15" hidden="1" x14ac:dyDescent="0.25">
      <c r="A2579">
        <v>10087</v>
      </c>
      <c r="B2579" s="11">
        <v>4010123456783</v>
      </c>
      <c r="C2579" s="1" t="s">
        <v>35</v>
      </c>
      <c r="D2579" s="1" t="s">
        <v>36</v>
      </c>
      <c r="E2579" s="1" t="s">
        <v>37</v>
      </c>
      <c r="F2579">
        <v>14</v>
      </c>
      <c r="G2579">
        <v>1</v>
      </c>
      <c r="H2579" s="1" t="s">
        <v>14</v>
      </c>
      <c r="I2579" s="1" t="s">
        <v>15</v>
      </c>
      <c r="J2579" s="12">
        <v>45841</v>
      </c>
      <c r="K2579">
        <v>0</v>
      </c>
      <c r="L2579" s="1">
        <f t="shared" si="160"/>
        <v>14</v>
      </c>
      <c r="M2579" s="1" t="str">
        <f t="shared" si="161"/>
        <v/>
      </c>
      <c r="N2579" s="2">
        <f t="shared" si="162"/>
        <v>45839</v>
      </c>
      <c r="O2579" t="str">
        <f t="shared" si="163"/>
        <v>mačka</v>
      </c>
    </row>
    <row r="2580" spans="1:15" x14ac:dyDescent="0.25">
      <c r="A2580">
        <v>10088</v>
      </c>
      <c r="B2580" s="11">
        <v>8599988776654</v>
      </c>
      <c r="C2580" s="1" t="s">
        <v>393</v>
      </c>
      <c r="D2580" s="1" t="s">
        <v>133</v>
      </c>
      <c r="E2580" s="1" t="s">
        <v>17</v>
      </c>
      <c r="F2580">
        <v>16.8</v>
      </c>
      <c r="G2580">
        <v>2</v>
      </c>
      <c r="H2580" s="1" t="s">
        <v>23</v>
      </c>
      <c r="I2580" s="1" t="s">
        <v>406</v>
      </c>
      <c r="J2580" s="12">
        <v>45841</v>
      </c>
      <c r="K2580">
        <v>0</v>
      </c>
      <c r="L2580" s="1">
        <f t="shared" si="160"/>
        <v>33.6</v>
      </c>
      <c r="M2580" s="1">
        <f t="shared" si="161"/>
        <v>5</v>
      </c>
      <c r="N2580" s="2">
        <f t="shared" si="162"/>
        <v>45839</v>
      </c>
      <c r="O2580" t="str">
        <f t="shared" si="163"/>
        <v>pes</v>
      </c>
    </row>
    <row r="2581" spans="1:15" hidden="1" x14ac:dyDescent="0.25">
      <c r="A2581">
        <v>10089</v>
      </c>
      <c r="B2581" s="11">
        <v>4056789012345</v>
      </c>
      <c r="C2581" s="1" t="s">
        <v>47</v>
      </c>
      <c r="D2581" s="1" t="s">
        <v>29</v>
      </c>
      <c r="E2581" s="1" t="s">
        <v>37</v>
      </c>
      <c r="F2581">
        <v>2.4</v>
      </c>
      <c r="G2581">
        <v>2</v>
      </c>
      <c r="H2581" s="1" t="s">
        <v>14</v>
      </c>
      <c r="I2581" s="1" t="s">
        <v>15</v>
      </c>
      <c r="J2581" s="12">
        <v>45841</v>
      </c>
      <c r="K2581">
        <v>0</v>
      </c>
      <c r="L2581" s="1">
        <f t="shared" si="160"/>
        <v>4.8</v>
      </c>
      <c r="M2581" s="1" t="str">
        <f t="shared" si="161"/>
        <v/>
      </c>
      <c r="N2581" s="2">
        <f t="shared" si="162"/>
        <v>45839</v>
      </c>
      <c r="O2581" t="str">
        <f t="shared" si="163"/>
        <v>mačka</v>
      </c>
    </row>
    <row r="2582" spans="1:15" x14ac:dyDescent="0.25">
      <c r="A2582">
        <v>10090</v>
      </c>
      <c r="B2582" s="11">
        <v>8599988776654</v>
      </c>
      <c r="C2582" s="1" t="s">
        <v>393</v>
      </c>
      <c r="D2582" s="1" t="s">
        <v>133</v>
      </c>
      <c r="E2582" s="1" t="s">
        <v>17</v>
      </c>
      <c r="F2582">
        <v>16.8</v>
      </c>
      <c r="G2582">
        <v>1</v>
      </c>
      <c r="H2582" s="1" t="s">
        <v>14</v>
      </c>
      <c r="I2582" s="1" t="s">
        <v>15</v>
      </c>
      <c r="J2582" s="12">
        <v>45841</v>
      </c>
      <c r="K2582">
        <v>0</v>
      </c>
      <c r="L2582" s="1">
        <f t="shared" si="160"/>
        <v>16.8</v>
      </c>
      <c r="M2582" s="1" t="str">
        <f t="shared" si="161"/>
        <v/>
      </c>
      <c r="N2582" s="2">
        <f t="shared" si="162"/>
        <v>45839</v>
      </c>
      <c r="O2582" t="str">
        <f t="shared" si="163"/>
        <v>pes</v>
      </c>
    </row>
    <row r="2583" spans="1:15" hidden="1" x14ac:dyDescent="0.25">
      <c r="A2583">
        <v>10091</v>
      </c>
      <c r="B2583" s="11">
        <v>4021234567894</v>
      </c>
      <c r="C2583" s="1" t="s">
        <v>79</v>
      </c>
      <c r="D2583" s="1" t="s">
        <v>36</v>
      </c>
      <c r="E2583" s="1" t="s">
        <v>69</v>
      </c>
      <c r="F2583">
        <v>8</v>
      </c>
      <c r="G2583">
        <v>1</v>
      </c>
      <c r="H2583" s="1" t="s">
        <v>14</v>
      </c>
      <c r="I2583" s="1" t="s">
        <v>15</v>
      </c>
      <c r="J2583" s="12">
        <v>45841</v>
      </c>
      <c r="K2583">
        <v>0</v>
      </c>
      <c r="L2583" s="1">
        <f t="shared" si="160"/>
        <v>8</v>
      </c>
      <c r="M2583" s="1" t="str">
        <f t="shared" si="161"/>
        <v/>
      </c>
      <c r="N2583" s="2">
        <f t="shared" si="162"/>
        <v>45839</v>
      </c>
      <c r="O2583" t="str">
        <f t="shared" si="163"/>
        <v>mačka</v>
      </c>
    </row>
    <row r="2584" spans="1:15" x14ac:dyDescent="0.25">
      <c r="A2584">
        <v>10092</v>
      </c>
      <c r="B2584" s="11">
        <v>8599988776654</v>
      </c>
      <c r="C2584" s="1" t="s">
        <v>393</v>
      </c>
      <c r="D2584" s="1" t="s">
        <v>133</v>
      </c>
      <c r="E2584" s="1" t="s">
        <v>17</v>
      </c>
      <c r="F2584">
        <v>16.8</v>
      </c>
      <c r="G2584">
        <v>1</v>
      </c>
      <c r="H2584" s="1" t="s">
        <v>14</v>
      </c>
      <c r="I2584" s="1" t="s">
        <v>15</v>
      </c>
      <c r="J2584" s="12">
        <v>45841</v>
      </c>
      <c r="K2584">
        <v>0</v>
      </c>
      <c r="L2584" s="1">
        <f t="shared" si="160"/>
        <v>16.8</v>
      </c>
      <c r="M2584" s="1" t="str">
        <f t="shared" si="161"/>
        <v/>
      </c>
      <c r="N2584" s="2">
        <f t="shared" si="162"/>
        <v>45839</v>
      </c>
      <c r="O2584" t="str">
        <f t="shared" si="163"/>
        <v>pes</v>
      </c>
    </row>
    <row r="2585" spans="1:15" x14ac:dyDescent="0.25">
      <c r="A2585">
        <v>10093</v>
      </c>
      <c r="B2585" s="11">
        <v>4063456789014</v>
      </c>
      <c r="C2585" s="1" t="s">
        <v>60</v>
      </c>
      <c r="D2585" s="1" t="s">
        <v>12</v>
      </c>
      <c r="E2585" s="1" t="s">
        <v>61</v>
      </c>
      <c r="F2585">
        <v>36</v>
      </c>
      <c r="G2585">
        <v>1</v>
      </c>
      <c r="H2585" s="1" t="s">
        <v>14</v>
      </c>
      <c r="I2585" s="1" t="s">
        <v>15</v>
      </c>
      <c r="J2585" s="12">
        <v>45841</v>
      </c>
      <c r="K2585">
        <v>0</v>
      </c>
      <c r="L2585" s="1">
        <f t="shared" si="160"/>
        <v>36</v>
      </c>
      <c r="M2585" s="1" t="str">
        <f t="shared" si="161"/>
        <v/>
      </c>
      <c r="N2585" s="2">
        <f t="shared" si="162"/>
        <v>45839</v>
      </c>
      <c r="O2585" t="str">
        <f t="shared" si="163"/>
        <v>pes</v>
      </c>
    </row>
    <row r="2586" spans="1:15" x14ac:dyDescent="0.25">
      <c r="A2586">
        <v>10094</v>
      </c>
      <c r="B2586" s="11">
        <v>8599988776654</v>
      </c>
      <c r="C2586" s="1" t="s">
        <v>393</v>
      </c>
      <c r="D2586" s="1" t="s">
        <v>133</v>
      </c>
      <c r="E2586" s="1" t="s">
        <v>17</v>
      </c>
      <c r="F2586">
        <v>16.8</v>
      </c>
      <c r="G2586">
        <v>2</v>
      </c>
      <c r="H2586" s="1" t="s">
        <v>18</v>
      </c>
      <c r="I2586" s="1" t="s">
        <v>407</v>
      </c>
      <c r="J2586" s="12">
        <v>45842</v>
      </c>
      <c r="K2586">
        <v>0</v>
      </c>
      <c r="L2586" s="1">
        <f t="shared" si="160"/>
        <v>33.6</v>
      </c>
      <c r="M2586" s="1">
        <f t="shared" si="161"/>
        <v>4</v>
      </c>
      <c r="N2586" s="2">
        <f t="shared" si="162"/>
        <v>45839</v>
      </c>
      <c r="O2586" t="str">
        <f t="shared" si="163"/>
        <v>pes</v>
      </c>
    </row>
    <row r="2587" spans="1:15" x14ac:dyDescent="0.25">
      <c r="A2587">
        <v>10095</v>
      </c>
      <c r="B2587" s="11">
        <v>4017890123450</v>
      </c>
      <c r="C2587" s="1" t="s">
        <v>65</v>
      </c>
      <c r="D2587" s="1" t="s">
        <v>39</v>
      </c>
      <c r="E2587" s="1" t="s">
        <v>22</v>
      </c>
      <c r="F2587">
        <v>7.6</v>
      </c>
      <c r="G2587">
        <v>1</v>
      </c>
      <c r="H2587" s="1" t="s">
        <v>14</v>
      </c>
      <c r="I2587" s="1" t="s">
        <v>15</v>
      </c>
      <c r="J2587" s="12">
        <v>45842</v>
      </c>
      <c r="K2587">
        <v>0</v>
      </c>
      <c r="L2587" s="1">
        <f t="shared" si="160"/>
        <v>7.6</v>
      </c>
      <c r="M2587" s="1" t="str">
        <f t="shared" si="161"/>
        <v/>
      </c>
      <c r="N2587" s="2">
        <f t="shared" si="162"/>
        <v>45839</v>
      </c>
      <c r="O2587" t="str">
        <f t="shared" si="163"/>
        <v>pes</v>
      </c>
    </row>
    <row r="2588" spans="1:15" x14ac:dyDescent="0.25">
      <c r="A2588">
        <v>10096</v>
      </c>
      <c r="B2588" s="11">
        <v>8599988776654</v>
      </c>
      <c r="C2588" s="1" t="s">
        <v>393</v>
      </c>
      <c r="D2588" s="1" t="s">
        <v>133</v>
      </c>
      <c r="E2588" s="1" t="s">
        <v>17</v>
      </c>
      <c r="F2588">
        <v>16.8</v>
      </c>
      <c r="G2588">
        <v>1</v>
      </c>
      <c r="H2588" s="1" t="s">
        <v>14</v>
      </c>
      <c r="I2588" s="1" t="s">
        <v>15</v>
      </c>
      <c r="J2588" s="12">
        <v>45842</v>
      </c>
      <c r="K2588">
        <v>0</v>
      </c>
      <c r="L2588" s="1">
        <f t="shared" si="160"/>
        <v>16.8</v>
      </c>
      <c r="M2588" s="1" t="str">
        <f t="shared" si="161"/>
        <v/>
      </c>
      <c r="N2588" s="2">
        <f t="shared" si="162"/>
        <v>45839</v>
      </c>
      <c r="O2588" t="str">
        <f t="shared" si="163"/>
        <v>pes</v>
      </c>
    </row>
    <row r="2589" spans="1:15" x14ac:dyDescent="0.25">
      <c r="A2589">
        <v>10097</v>
      </c>
      <c r="B2589" s="11">
        <v>4013456789017</v>
      </c>
      <c r="C2589" s="1" t="s">
        <v>11</v>
      </c>
      <c r="D2589" s="1" t="s">
        <v>12</v>
      </c>
      <c r="E2589" s="1" t="s">
        <v>13</v>
      </c>
      <c r="F2589">
        <v>6</v>
      </c>
      <c r="G2589">
        <v>2</v>
      </c>
      <c r="H2589" s="1" t="s">
        <v>14</v>
      </c>
      <c r="I2589" s="1" t="s">
        <v>15</v>
      </c>
      <c r="J2589" s="12">
        <v>45842</v>
      </c>
      <c r="K2589">
        <v>0</v>
      </c>
      <c r="L2589" s="1">
        <f t="shared" si="160"/>
        <v>12</v>
      </c>
      <c r="M2589" s="1" t="str">
        <f t="shared" si="161"/>
        <v/>
      </c>
      <c r="N2589" s="2">
        <f t="shared" si="162"/>
        <v>45839</v>
      </c>
      <c r="O2589" t="str">
        <f t="shared" si="163"/>
        <v>pes</v>
      </c>
    </row>
    <row r="2590" spans="1:15" x14ac:dyDescent="0.25">
      <c r="A2590">
        <v>10098</v>
      </c>
      <c r="B2590" s="11">
        <v>8599988776654</v>
      </c>
      <c r="C2590" s="1" t="s">
        <v>393</v>
      </c>
      <c r="D2590" s="1" t="s">
        <v>133</v>
      </c>
      <c r="E2590" s="1" t="s">
        <v>17</v>
      </c>
      <c r="F2590">
        <v>16.8</v>
      </c>
      <c r="G2590">
        <v>1</v>
      </c>
      <c r="H2590" s="1" t="s">
        <v>23</v>
      </c>
      <c r="I2590" s="1" t="s">
        <v>408</v>
      </c>
      <c r="J2590" s="12">
        <v>45842</v>
      </c>
      <c r="K2590">
        <v>0</v>
      </c>
      <c r="L2590" s="1">
        <f t="shared" si="160"/>
        <v>16.8</v>
      </c>
      <c r="M2590" s="1">
        <f t="shared" si="161"/>
        <v>5</v>
      </c>
      <c r="N2590" s="2">
        <f t="shared" si="162"/>
        <v>45839</v>
      </c>
      <c r="O2590" t="str">
        <f t="shared" si="163"/>
        <v>pes</v>
      </c>
    </row>
    <row r="2591" spans="1:15" x14ac:dyDescent="0.25">
      <c r="A2591">
        <v>10099</v>
      </c>
      <c r="B2591" s="11">
        <v>4028899001126</v>
      </c>
      <c r="C2591" s="1" t="s">
        <v>16</v>
      </c>
      <c r="D2591" s="1" t="s">
        <v>12</v>
      </c>
      <c r="E2591" s="1" t="s">
        <v>17</v>
      </c>
      <c r="F2591">
        <v>2.8</v>
      </c>
      <c r="G2591">
        <v>3</v>
      </c>
      <c r="H2591" s="1" t="s">
        <v>14</v>
      </c>
      <c r="I2591" s="1" t="s">
        <v>15</v>
      </c>
      <c r="J2591" s="12">
        <v>45842</v>
      </c>
      <c r="K2591">
        <v>0</v>
      </c>
      <c r="L2591" s="1">
        <f t="shared" si="160"/>
        <v>8.3999999999999986</v>
      </c>
      <c r="M2591" s="1" t="str">
        <f t="shared" si="161"/>
        <v/>
      </c>
      <c r="N2591" s="2">
        <f t="shared" si="162"/>
        <v>45839</v>
      </c>
      <c r="O2591" t="str">
        <f t="shared" si="163"/>
        <v>pes</v>
      </c>
    </row>
    <row r="2592" spans="1:15" x14ac:dyDescent="0.25">
      <c r="A2592">
        <v>10100</v>
      </c>
      <c r="B2592" s="11">
        <v>8599988776654</v>
      </c>
      <c r="C2592" s="1" t="s">
        <v>393</v>
      </c>
      <c r="D2592" s="1" t="s">
        <v>133</v>
      </c>
      <c r="E2592" s="1" t="s">
        <v>17</v>
      </c>
      <c r="F2592">
        <v>16.8</v>
      </c>
      <c r="G2592">
        <v>1</v>
      </c>
      <c r="H2592" s="1" t="s">
        <v>14</v>
      </c>
      <c r="I2592" s="1" t="s">
        <v>15</v>
      </c>
      <c r="J2592" s="12">
        <v>45842</v>
      </c>
      <c r="K2592">
        <v>0</v>
      </c>
      <c r="L2592" s="1">
        <f t="shared" si="160"/>
        <v>16.8</v>
      </c>
      <c r="M2592" s="1" t="str">
        <f t="shared" si="161"/>
        <v/>
      </c>
      <c r="N2592" s="2">
        <f t="shared" si="162"/>
        <v>45839</v>
      </c>
      <c r="O2592" t="str">
        <f t="shared" si="163"/>
        <v>pes</v>
      </c>
    </row>
    <row r="2593" spans="1:15" hidden="1" x14ac:dyDescent="0.25">
      <c r="A2593">
        <v>10101</v>
      </c>
      <c r="B2593" s="11">
        <v>4056789012345</v>
      </c>
      <c r="C2593" s="1" t="s">
        <v>47</v>
      </c>
      <c r="D2593" s="1" t="s">
        <v>29</v>
      </c>
      <c r="E2593" s="1" t="s">
        <v>37</v>
      </c>
      <c r="F2593">
        <v>2.4</v>
      </c>
      <c r="G2593">
        <v>2</v>
      </c>
      <c r="H2593" s="1" t="s">
        <v>14</v>
      </c>
      <c r="I2593" s="1" t="s">
        <v>15</v>
      </c>
      <c r="J2593" s="12">
        <v>45842</v>
      </c>
      <c r="K2593">
        <v>0</v>
      </c>
      <c r="L2593" s="1">
        <f t="shared" si="160"/>
        <v>4.8</v>
      </c>
      <c r="M2593" s="1" t="str">
        <f t="shared" si="161"/>
        <v/>
      </c>
      <c r="N2593" s="2">
        <f t="shared" si="162"/>
        <v>45839</v>
      </c>
      <c r="O2593" t="str">
        <f t="shared" si="163"/>
        <v>mačka</v>
      </c>
    </row>
    <row r="2594" spans="1:15" x14ac:dyDescent="0.25">
      <c r="A2594">
        <v>10102</v>
      </c>
      <c r="B2594" s="11">
        <v>8599988776654</v>
      </c>
      <c r="C2594" s="1" t="s">
        <v>393</v>
      </c>
      <c r="D2594" s="1" t="s">
        <v>133</v>
      </c>
      <c r="E2594" s="1" t="s">
        <v>17</v>
      </c>
      <c r="F2594">
        <v>16.8</v>
      </c>
      <c r="G2594">
        <v>1</v>
      </c>
      <c r="H2594" s="1" t="s">
        <v>14</v>
      </c>
      <c r="I2594" s="1" t="s">
        <v>15</v>
      </c>
      <c r="J2594" s="12">
        <v>45842</v>
      </c>
      <c r="K2594">
        <v>0</v>
      </c>
      <c r="L2594" s="1">
        <f t="shared" si="160"/>
        <v>16.8</v>
      </c>
      <c r="M2594" s="1" t="str">
        <f t="shared" si="161"/>
        <v/>
      </c>
      <c r="N2594" s="2">
        <f t="shared" si="162"/>
        <v>45839</v>
      </c>
      <c r="O2594" t="str">
        <f t="shared" si="163"/>
        <v>pes</v>
      </c>
    </row>
    <row r="2595" spans="1:15" hidden="1" x14ac:dyDescent="0.25">
      <c r="A2595">
        <v>10103</v>
      </c>
      <c r="B2595" s="11">
        <v>4010123456783</v>
      </c>
      <c r="C2595" s="1" t="s">
        <v>35</v>
      </c>
      <c r="D2595" s="1" t="s">
        <v>36</v>
      </c>
      <c r="E2595" s="1" t="s">
        <v>37</v>
      </c>
      <c r="F2595">
        <v>14</v>
      </c>
      <c r="G2595">
        <v>1</v>
      </c>
      <c r="H2595" s="1" t="s">
        <v>14</v>
      </c>
      <c r="I2595" s="1" t="s">
        <v>15</v>
      </c>
      <c r="J2595" s="12">
        <v>45842</v>
      </c>
      <c r="K2595">
        <v>0</v>
      </c>
      <c r="L2595" s="1">
        <f t="shared" si="160"/>
        <v>14</v>
      </c>
      <c r="M2595" s="1" t="str">
        <f t="shared" si="161"/>
        <v/>
      </c>
      <c r="N2595" s="2">
        <f t="shared" si="162"/>
        <v>45839</v>
      </c>
      <c r="O2595" t="str">
        <f t="shared" si="163"/>
        <v>mačka</v>
      </c>
    </row>
    <row r="2596" spans="1:15" x14ac:dyDescent="0.25">
      <c r="A2596">
        <v>10104</v>
      </c>
      <c r="B2596" s="11">
        <v>8599988776654</v>
      </c>
      <c r="C2596" s="1" t="s">
        <v>393</v>
      </c>
      <c r="D2596" s="1" t="s">
        <v>133</v>
      </c>
      <c r="E2596" s="1" t="s">
        <v>17</v>
      </c>
      <c r="F2596">
        <v>16.8</v>
      </c>
      <c r="G2596">
        <v>2</v>
      </c>
      <c r="H2596" s="1" t="s">
        <v>14</v>
      </c>
      <c r="I2596" s="1" t="s">
        <v>15</v>
      </c>
      <c r="J2596" s="12">
        <v>45842</v>
      </c>
      <c r="K2596">
        <v>0</v>
      </c>
      <c r="L2596" s="1">
        <f t="shared" si="160"/>
        <v>33.6</v>
      </c>
      <c r="M2596" s="1" t="str">
        <f t="shared" si="161"/>
        <v/>
      </c>
      <c r="N2596" s="2">
        <f t="shared" si="162"/>
        <v>45839</v>
      </c>
      <c r="O2596" t="str">
        <f t="shared" si="163"/>
        <v>pes</v>
      </c>
    </row>
    <row r="2597" spans="1:15" hidden="1" x14ac:dyDescent="0.25">
      <c r="A2597">
        <v>10105</v>
      </c>
      <c r="B2597" s="11">
        <v>4026677889902</v>
      </c>
      <c r="C2597" s="1" t="s">
        <v>52</v>
      </c>
      <c r="D2597" s="1" t="s">
        <v>53</v>
      </c>
      <c r="E2597" s="1" t="s">
        <v>54</v>
      </c>
      <c r="F2597">
        <v>7.6</v>
      </c>
      <c r="G2597">
        <v>1</v>
      </c>
      <c r="H2597" s="1" t="s">
        <v>14</v>
      </c>
      <c r="I2597" s="1" t="s">
        <v>15</v>
      </c>
      <c r="J2597" s="12">
        <v>45842</v>
      </c>
      <c r="K2597">
        <v>0</v>
      </c>
      <c r="L2597" s="1">
        <f t="shared" si="160"/>
        <v>7.6</v>
      </c>
      <c r="M2597" s="1" t="str">
        <f t="shared" si="161"/>
        <v/>
      </c>
      <c r="N2597" s="2">
        <f t="shared" si="162"/>
        <v>45839</v>
      </c>
      <c r="O2597" t="str">
        <f t="shared" si="163"/>
        <v>iné</v>
      </c>
    </row>
    <row r="2598" spans="1:15" x14ac:dyDescent="0.25">
      <c r="A2598">
        <v>10106</v>
      </c>
      <c r="B2598" s="11">
        <v>8599988776654</v>
      </c>
      <c r="C2598" s="1" t="s">
        <v>393</v>
      </c>
      <c r="D2598" s="1" t="s">
        <v>133</v>
      </c>
      <c r="E2598" s="1" t="s">
        <v>17</v>
      </c>
      <c r="F2598">
        <v>16.8</v>
      </c>
      <c r="G2598">
        <v>1</v>
      </c>
      <c r="H2598" s="1" t="s">
        <v>23</v>
      </c>
      <c r="I2598" s="1" t="s">
        <v>409</v>
      </c>
      <c r="J2598" s="12">
        <v>45842</v>
      </c>
      <c r="K2598">
        <v>0</v>
      </c>
      <c r="L2598" s="1">
        <f t="shared" si="160"/>
        <v>16.8</v>
      </c>
      <c r="M2598" s="1">
        <f t="shared" si="161"/>
        <v>5</v>
      </c>
      <c r="N2598" s="2">
        <f t="shared" si="162"/>
        <v>45839</v>
      </c>
      <c r="O2598" t="str">
        <f t="shared" si="163"/>
        <v>pes</v>
      </c>
    </row>
    <row r="2599" spans="1:15" x14ac:dyDescent="0.25">
      <c r="A2599">
        <v>10107</v>
      </c>
      <c r="B2599" s="11">
        <v>4028899001126</v>
      </c>
      <c r="C2599" s="1" t="s">
        <v>16</v>
      </c>
      <c r="D2599" s="1" t="s">
        <v>12</v>
      </c>
      <c r="E2599" s="1" t="s">
        <v>17</v>
      </c>
      <c r="F2599">
        <v>2.8</v>
      </c>
      <c r="G2599">
        <v>4</v>
      </c>
      <c r="H2599" s="1" t="s">
        <v>14</v>
      </c>
      <c r="I2599" s="1" t="s">
        <v>15</v>
      </c>
      <c r="J2599" s="12">
        <v>45842</v>
      </c>
      <c r="K2599">
        <v>0</v>
      </c>
      <c r="L2599" s="1">
        <f t="shared" si="160"/>
        <v>11.2</v>
      </c>
      <c r="M2599" s="1" t="str">
        <f t="shared" si="161"/>
        <v/>
      </c>
      <c r="N2599" s="2">
        <f t="shared" si="162"/>
        <v>45839</v>
      </c>
      <c r="O2599" t="str">
        <f t="shared" si="163"/>
        <v>pes</v>
      </c>
    </row>
    <row r="2600" spans="1:15" x14ac:dyDescent="0.25">
      <c r="A2600">
        <v>10108</v>
      </c>
      <c r="B2600" s="11">
        <v>8599988776654</v>
      </c>
      <c r="C2600" s="1" t="s">
        <v>393</v>
      </c>
      <c r="D2600" s="1" t="s">
        <v>133</v>
      </c>
      <c r="E2600" s="1" t="s">
        <v>17</v>
      </c>
      <c r="F2600">
        <v>16.8</v>
      </c>
      <c r="G2600">
        <v>1</v>
      </c>
      <c r="H2600" s="1" t="s">
        <v>14</v>
      </c>
      <c r="I2600" s="1" t="s">
        <v>15</v>
      </c>
      <c r="J2600" s="12">
        <v>45842</v>
      </c>
      <c r="K2600">
        <v>0</v>
      </c>
      <c r="L2600" s="1">
        <f t="shared" si="160"/>
        <v>16.8</v>
      </c>
      <c r="M2600" s="1" t="str">
        <f t="shared" si="161"/>
        <v/>
      </c>
      <c r="N2600" s="2">
        <f t="shared" si="162"/>
        <v>45839</v>
      </c>
      <c r="O2600" t="str">
        <f t="shared" si="163"/>
        <v>pes</v>
      </c>
    </row>
    <row r="2601" spans="1:15" x14ac:dyDescent="0.25">
      <c r="A2601">
        <v>10109</v>
      </c>
      <c r="B2601" s="11">
        <v>4013456789017</v>
      </c>
      <c r="C2601" s="1" t="s">
        <v>11</v>
      </c>
      <c r="D2601" s="1" t="s">
        <v>12</v>
      </c>
      <c r="E2601" s="1" t="s">
        <v>13</v>
      </c>
      <c r="F2601">
        <v>6</v>
      </c>
      <c r="G2601">
        <v>2</v>
      </c>
      <c r="H2601" s="1" t="s">
        <v>14</v>
      </c>
      <c r="I2601" s="1" t="s">
        <v>15</v>
      </c>
      <c r="J2601" s="12">
        <v>45842</v>
      </c>
      <c r="K2601">
        <v>0</v>
      </c>
      <c r="L2601" s="1">
        <f t="shared" si="160"/>
        <v>12</v>
      </c>
      <c r="M2601" s="1" t="str">
        <f t="shared" si="161"/>
        <v/>
      </c>
      <c r="N2601" s="2">
        <f t="shared" si="162"/>
        <v>45839</v>
      </c>
      <c r="O2601" t="str">
        <f t="shared" si="163"/>
        <v>pes</v>
      </c>
    </row>
    <row r="2602" spans="1:15" x14ac:dyDescent="0.25">
      <c r="A2602">
        <v>10110</v>
      </c>
      <c r="B2602" s="11">
        <v>8599988776654</v>
      </c>
      <c r="C2602" s="1" t="s">
        <v>393</v>
      </c>
      <c r="D2602" s="1" t="s">
        <v>133</v>
      </c>
      <c r="E2602" s="1" t="s">
        <v>17</v>
      </c>
      <c r="F2602">
        <v>16.8</v>
      </c>
      <c r="G2602">
        <v>1</v>
      </c>
      <c r="H2602" s="1" t="s">
        <v>14</v>
      </c>
      <c r="I2602" s="1" t="s">
        <v>15</v>
      </c>
      <c r="J2602" s="12">
        <v>45842</v>
      </c>
      <c r="K2602">
        <v>0</v>
      </c>
      <c r="L2602" s="1">
        <f t="shared" si="160"/>
        <v>16.8</v>
      </c>
      <c r="M2602" s="1" t="str">
        <f t="shared" si="161"/>
        <v/>
      </c>
      <c r="N2602" s="2">
        <f t="shared" si="162"/>
        <v>45839</v>
      </c>
      <c r="O2602" t="str">
        <f t="shared" si="163"/>
        <v>pes</v>
      </c>
    </row>
    <row r="2603" spans="1:15" x14ac:dyDescent="0.25">
      <c r="A2603">
        <v>10111</v>
      </c>
      <c r="B2603" s="11">
        <v>4061011223346</v>
      </c>
      <c r="C2603" s="1" t="s">
        <v>25</v>
      </c>
      <c r="D2603" s="1" t="s">
        <v>26</v>
      </c>
      <c r="E2603" s="1" t="s">
        <v>27</v>
      </c>
      <c r="F2603">
        <v>19.600000000000001</v>
      </c>
      <c r="G2603">
        <v>1</v>
      </c>
      <c r="H2603" s="1" t="s">
        <v>14</v>
      </c>
      <c r="I2603" s="1" t="s">
        <v>15</v>
      </c>
      <c r="J2603" s="12">
        <v>45842</v>
      </c>
      <c r="K2603">
        <v>0</v>
      </c>
      <c r="L2603" s="1">
        <f t="shared" si="160"/>
        <v>19.600000000000001</v>
      </c>
      <c r="M2603" s="1" t="str">
        <f t="shared" si="161"/>
        <v/>
      </c>
      <c r="N2603" s="2">
        <f t="shared" si="162"/>
        <v>45839</v>
      </c>
      <c r="O2603" t="str">
        <f t="shared" si="163"/>
        <v>pes</v>
      </c>
    </row>
    <row r="2604" spans="1:15" x14ac:dyDescent="0.25">
      <c r="A2604">
        <v>10112</v>
      </c>
      <c r="B2604" s="11">
        <v>8599988776654</v>
      </c>
      <c r="C2604" s="1" t="s">
        <v>393</v>
      </c>
      <c r="D2604" s="1" t="s">
        <v>133</v>
      </c>
      <c r="E2604" s="1" t="s">
        <v>17</v>
      </c>
      <c r="F2604">
        <v>16.8</v>
      </c>
      <c r="G2604">
        <v>1</v>
      </c>
      <c r="H2604" s="1" t="s">
        <v>18</v>
      </c>
      <c r="I2604" s="1" t="s">
        <v>410</v>
      </c>
      <c r="J2604" s="12">
        <v>45842</v>
      </c>
      <c r="K2604">
        <v>0</v>
      </c>
      <c r="L2604" s="1">
        <f t="shared" si="160"/>
        <v>16.8</v>
      </c>
      <c r="M2604" s="1">
        <f t="shared" si="161"/>
        <v>4</v>
      </c>
      <c r="N2604" s="2">
        <f t="shared" si="162"/>
        <v>45839</v>
      </c>
      <c r="O2604" t="str">
        <f t="shared" si="163"/>
        <v>pes</v>
      </c>
    </row>
    <row r="2605" spans="1:15" hidden="1" x14ac:dyDescent="0.25">
      <c r="A2605">
        <v>10113</v>
      </c>
      <c r="B2605" s="11">
        <v>4010123456783</v>
      </c>
      <c r="C2605" s="1" t="s">
        <v>35</v>
      </c>
      <c r="D2605" s="1" t="s">
        <v>36</v>
      </c>
      <c r="E2605" s="1" t="s">
        <v>37</v>
      </c>
      <c r="F2605">
        <v>14</v>
      </c>
      <c r="G2605">
        <v>1</v>
      </c>
      <c r="H2605" s="1" t="s">
        <v>14</v>
      </c>
      <c r="I2605" s="1" t="s">
        <v>15</v>
      </c>
      <c r="J2605" s="12">
        <v>45842</v>
      </c>
      <c r="K2605">
        <v>0</v>
      </c>
      <c r="L2605" s="1">
        <f t="shared" si="160"/>
        <v>14</v>
      </c>
      <c r="M2605" s="1" t="str">
        <f t="shared" si="161"/>
        <v/>
      </c>
      <c r="N2605" s="2">
        <f t="shared" si="162"/>
        <v>45839</v>
      </c>
      <c r="O2605" t="str">
        <f t="shared" si="163"/>
        <v>mačka</v>
      </c>
    </row>
    <row r="2606" spans="1:15" x14ac:dyDescent="0.25">
      <c r="A2606">
        <v>10114</v>
      </c>
      <c r="B2606" s="11">
        <v>8599988776654</v>
      </c>
      <c r="C2606" s="1" t="s">
        <v>393</v>
      </c>
      <c r="D2606" s="1" t="s">
        <v>133</v>
      </c>
      <c r="E2606" s="1" t="s">
        <v>17</v>
      </c>
      <c r="F2606">
        <v>16.8</v>
      </c>
      <c r="G2606">
        <v>1</v>
      </c>
      <c r="H2606" s="1" t="s">
        <v>14</v>
      </c>
      <c r="I2606" s="1" t="s">
        <v>15</v>
      </c>
      <c r="J2606" s="12">
        <v>45842</v>
      </c>
      <c r="K2606">
        <v>0</v>
      </c>
      <c r="L2606" s="1">
        <f t="shared" si="160"/>
        <v>16.8</v>
      </c>
      <c r="M2606" s="1" t="str">
        <f t="shared" si="161"/>
        <v/>
      </c>
      <c r="N2606" s="2">
        <f t="shared" si="162"/>
        <v>45839</v>
      </c>
      <c r="O2606" t="str">
        <f t="shared" si="163"/>
        <v>pes</v>
      </c>
    </row>
    <row r="2607" spans="1:15" hidden="1" x14ac:dyDescent="0.25">
      <c r="A2607">
        <v>10115</v>
      </c>
      <c r="B2607" s="11">
        <v>4056789012345</v>
      </c>
      <c r="C2607" s="1" t="s">
        <v>47</v>
      </c>
      <c r="D2607" s="1" t="s">
        <v>29</v>
      </c>
      <c r="E2607" s="1" t="s">
        <v>37</v>
      </c>
      <c r="F2607">
        <v>2.4</v>
      </c>
      <c r="G2607">
        <v>3</v>
      </c>
      <c r="H2607" s="1" t="s">
        <v>14</v>
      </c>
      <c r="I2607" s="1" t="s">
        <v>15</v>
      </c>
      <c r="J2607" s="12">
        <v>45842</v>
      </c>
      <c r="K2607">
        <v>0</v>
      </c>
      <c r="L2607" s="1">
        <f t="shared" si="160"/>
        <v>7.1999999999999993</v>
      </c>
      <c r="M2607" s="1" t="str">
        <f t="shared" si="161"/>
        <v/>
      </c>
      <c r="N2607" s="2">
        <f t="shared" si="162"/>
        <v>45839</v>
      </c>
      <c r="O2607" t="str">
        <f t="shared" si="163"/>
        <v>mačka</v>
      </c>
    </row>
    <row r="2608" spans="1:15" x14ac:dyDescent="0.25">
      <c r="A2608">
        <v>10116</v>
      </c>
      <c r="B2608" s="11">
        <v>8599988776654</v>
      </c>
      <c r="C2608" s="1" t="s">
        <v>393</v>
      </c>
      <c r="D2608" s="1" t="s">
        <v>133</v>
      </c>
      <c r="E2608" s="1" t="s">
        <v>17</v>
      </c>
      <c r="F2608">
        <v>16.8</v>
      </c>
      <c r="G2608">
        <v>2</v>
      </c>
      <c r="H2608" s="1" t="s">
        <v>14</v>
      </c>
      <c r="I2608" s="1" t="s">
        <v>15</v>
      </c>
      <c r="J2608" s="12">
        <v>45842</v>
      </c>
      <c r="K2608">
        <v>0</v>
      </c>
      <c r="L2608" s="1">
        <f t="shared" si="160"/>
        <v>33.6</v>
      </c>
      <c r="M2608" s="1" t="str">
        <f t="shared" si="161"/>
        <v/>
      </c>
      <c r="N2608" s="2">
        <f t="shared" si="162"/>
        <v>45839</v>
      </c>
      <c r="O2608" t="str">
        <f t="shared" si="163"/>
        <v>pes</v>
      </c>
    </row>
    <row r="2609" spans="1:15" x14ac:dyDescent="0.25">
      <c r="A2609">
        <v>10117</v>
      </c>
      <c r="B2609" s="11">
        <v>4027788990013</v>
      </c>
      <c r="C2609" s="1" t="s">
        <v>43</v>
      </c>
      <c r="D2609" s="1" t="s">
        <v>21</v>
      </c>
      <c r="E2609" s="1" t="s">
        <v>22</v>
      </c>
      <c r="F2609">
        <v>8</v>
      </c>
      <c r="G2609">
        <v>1</v>
      </c>
      <c r="H2609" s="1" t="s">
        <v>14</v>
      </c>
      <c r="I2609" s="1" t="s">
        <v>15</v>
      </c>
      <c r="J2609" s="12">
        <v>45842</v>
      </c>
      <c r="K2609">
        <v>0</v>
      </c>
      <c r="L2609" s="1">
        <f t="shared" si="160"/>
        <v>8</v>
      </c>
      <c r="M2609" s="1" t="str">
        <f t="shared" si="161"/>
        <v/>
      </c>
      <c r="N2609" s="2">
        <f t="shared" si="162"/>
        <v>45839</v>
      </c>
      <c r="O2609" t="str">
        <f t="shared" si="163"/>
        <v>pes</v>
      </c>
    </row>
    <row r="2610" spans="1:15" x14ac:dyDescent="0.25">
      <c r="A2610">
        <v>10118</v>
      </c>
      <c r="B2610" s="11">
        <v>8599988776654</v>
      </c>
      <c r="C2610" s="1" t="s">
        <v>393</v>
      </c>
      <c r="D2610" s="1" t="s">
        <v>133</v>
      </c>
      <c r="E2610" s="1" t="s">
        <v>17</v>
      </c>
      <c r="F2610">
        <v>16.8</v>
      </c>
      <c r="G2610">
        <v>1</v>
      </c>
      <c r="H2610" s="1" t="s">
        <v>23</v>
      </c>
      <c r="I2610" s="1" t="s">
        <v>411</v>
      </c>
      <c r="J2610" s="12">
        <v>45842</v>
      </c>
      <c r="K2610">
        <v>0</v>
      </c>
      <c r="L2610" s="1">
        <f t="shared" si="160"/>
        <v>16.8</v>
      </c>
      <c r="M2610" s="1">
        <f t="shared" si="161"/>
        <v>5</v>
      </c>
      <c r="N2610" s="2">
        <f t="shared" si="162"/>
        <v>45839</v>
      </c>
      <c r="O2610" t="str">
        <f t="shared" si="163"/>
        <v>pes</v>
      </c>
    </row>
    <row r="2611" spans="1:15" x14ac:dyDescent="0.25">
      <c r="A2611">
        <v>10119</v>
      </c>
      <c r="B2611" s="11">
        <v>4017890123450</v>
      </c>
      <c r="C2611" s="1" t="s">
        <v>65</v>
      </c>
      <c r="D2611" s="1" t="s">
        <v>39</v>
      </c>
      <c r="E2611" s="1" t="s">
        <v>22</v>
      </c>
      <c r="F2611">
        <v>7.6</v>
      </c>
      <c r="G2611">
        <v>1</v>
      </c>
      <c r="H2611" s="1" t="s">
        <v>14</v>
      </c>
      <c r="I2611" s="1" t="s">
        <v>15</v>
      </c>
      <c r="J2611" s="12">
        <v>45842</v>
      </c>
      <c r="K2611">
        <v>0</v>
      </c>
      <c r="L2611" s="1">
        <f t="shared" si="160"/>
        <v>7.6</v>
      </c>
      <c r="M2611" s="1" t="str">
        <f t="shared" si="161"/>
        <v/>
      </c>
      <c r="N2611" s="2">
        <f t="shared" si="162"/>
        <v>45839</v>
      </c>
      <c r="O2611" t="str">
        <f t="shared" si="163"/>
        <v>pes</v>
      </c>
    </row>
    <row r="2612" spans="1:15" x14ac:dyDescent="0.25">
      <c r="A2612">
        <v>10120</v>
      </c>
      <c r="B2612" s="11">
        <v>8599988776654</v>
      </c>
      <c r="C2612" s="1" t="s">
        <v>393</v>
      </c>
      <c r="D2612" s="1" t="s">
        <v>133</v>
      </c>
      <c r="E2612" s="1" t="s">
        <v>17</v>
      </c>
      <c r="F2612">
        <v>16.8</v>
      </c>
      <c r="G2612">
        <v>1</v>
      </c>
      <c r="H2612" s="1" t="s">
        <v>14</v>
      </c>
      <c r="I2612" s="1" t="s">
        <v>15</v>
      </c>
      <c r="J2612" s="12">
        <v>45842</v>
      </c>
      <c r="K2612">
        <v>0</v>
      </c>
      <c r="L2612" s="1">
        <f t="shared" si="160"/>
        <v>16.8</v>
      </c>
      <c r="M2612" s="1" t="str">
        <f t="shared" si="161"/>
        <v/>
      </c>
      <c r="N2612" s="2">
        <f t="shared" si="162"/>
        <v>45839</v>
      </c>
      <c r="O2612" t="str">
        <f t="shared" si="163"/>
        <v>pes</v>
      </c>
    </row>
    <row r="2613" spans="1:15" x14ac:dyDescent="0.25">
      <c r="A2613">
        <v>10121</v>
      </c>
      <c r="B2613" s="11">
        <v>4013456789017</v>
      </c>
      <c r="C2613" s="1" t="s">
        <v>11</v>
      </c>
      <c r="D2613" s="1" t="s">
        <v>12</v>
      </c>
      <c r="E2613" s="1" t="s">
        <v>13</v>
      </c>
      <c r="F2613">
        <v>6</v>
      </c>
      <c r="G2613">
        <v>1</v>
      </c>
      <c r="H2613" s="1" t="s">
        <v>14</v>
      </c>
      <c r="I2613" s="1" t="s">
        <v>15</v>
      </c>
      <c r="J2613" s="12">
        <v>45842</v>
      </c>
      <c r="K2613">
        <v>0</v>
      </c>
      <c r="L2613" s="1">
        <f t="shared" si="160"/>
        <v>6</v>
      </c>
      <c r="M2613" s="1" t="str">
        <f t="shared" si="161"/>
        <v/>
      </c>
      <c r="N2613" s="2">
        <f t="shared" si="162"/>
        <v>45839</v>
      </c>
      <c r="O2613" t="str">
        <f t="shared" si="163"/>
        <v>pes</v>
      </c>
    </row>
    <row r="2614" spans="1:15" x14ac:dyDescent="0.25">
      <c r="A2614">
        <v>10122</v>
      </c>
      <c r="B2614" s="11">
        <v>8599988776654</v>
      </c>
      <c r="C2614" s="1" t="s">
        <v>393</v>
      </c>
      <c r="D2614" s="1" t="s">
        <v>133</v>
      </c>
      <c r="E2614" s="1" t="s">
        <v>17</v>
      </c>
      <c r="F2614">
        <v>16.8</v>
      </c>
      <c r="G2614">
        <v>2</v>
      </c>
      <c r="H2614" s="1" t="s">
        <v>23</v>
      </c>
      <c r="I2614" s="1" t="s">
        <v>412</v>
      </c>
      <c r="J2614" s="12">
        <v>45842</v>
      </c>
      <c r="K2614">
        <v>0</v>
      </c>
      <c r="L2614" s="1">
        <f t="shared" si="160"/>
        <v>33.6</v>
      </c>
      <c r="M2614" s="1">
        <f t="shared" si="161"/>
        <v>5</v>
      </c>
      <c r="N2614" s="2">
        <f t="shared" si="162"/>
        <v>45839</v>
      </c>
      <c r="O2614" t="str">
        <f t="shared" si="163"/>
        <v>pes</v>
      </c>
    </row>
    <row r="2615" spans="1:15" x14ac:dyDescent="0.25">
      <c r="A2615">
        <v>10123</v>
      </c>
      <c r="B2615" s="11">
        <v>4028899001126</v>
      </c>
      <c r="C2615" s="1" t="s">
        <v>16</v>
      </c>
      <c r="D2615" s="1" t="s">
        <v>12</v>
      </c>
      <c r="E2615" s="1" t="s">
        <v>17</v>
      </c>
      <c r="F2615">
        <v>2.8</v>
      </c>
      <c r="G2615">
        <v>3</v>
      </c>
      <c r="H2615" s="1" t="s">
        <v>14</v>
      </c>
      <c r="I2615" s="1" t="s">
        <v>15</v>
      </c>
      <c r="J2615" s="12">
        <v>45842</v>
      </c>
      <c r="K2615">
        <v>0</v>
      </c>
      <c r="L2615" s="1">
        <f t="shared" si="160"/>
        <v>8.3999999999999986</v>
      </c>
      <c r="M2615" s="1" t="str">
        <f t="shared" si="161"/>
        <v/>
      </c>
      <c r="N2615" s="2">
        <f t="shared" si="162"/>
        <v>45839</v>
      </c>
      <c r="O2615" t="str">
        <f t="shared" si="163"/>
        <v>pes</v>
      </c>
    </row>
    <row r="2616" spans="1:15" x14ac:dyDescent="0.25">
      <c r="A2616">
        <v>10124</v>
      </c>
      <c r="B2616" s="11">
        <v>8599988776654</v>
      </c>
      <c r="C2616" s="1" t="s">
        <v>393</v>
      </c>
      <c r="D2616" s="1" t="s">
        <v>133</v>
      </c>
      <c r="E2616" s="1" t="s">
        <v>17</v>
      </c>
      <c r="F2616">
        <v>16.8</v>
      </c>
      <c r="G2616">
        <v>1</v>
      </c>
      <c r="H2616" s="1" t="s">
        <v>14</v>
      </c>
      <c r="I2616" s="1" t="s">
        <v>15</v>
      </c>
      <c r="J2616" s="12">
        <v>45842</v>
      </c>
      <c r="K2616">
        <v>0</v>
      </c>
      <c r="L2616" s="1">
        <f t="shared" si="160"/>
        <v>16.8</v>
      </c>
      <c r="M2616" s="1" t="str">
        <f t="shared" si="161"/>
        <v/>
      </c>
      <c r="N2616" s="2">
        <f t="shared" si="162"/>
        <v>45839</v>
      </c>
      <c r="O2616" t="str">
        <f t="shared" si="163"/>
        <v>pes</v>
      </c>
    </row>
    <row r="2617" spans="1:15" x14ac:dyDescent="0.25">
      <c r="A2617">
        <v>10125</v>
      </c>
      <c r="B2617" s="11">
        <v>4063456789014</v>
      </c>
      <c r="C2617" s="1" t="s">
        <v>60</v>
      </c>
      <c r="D2617" s="1" t="s">
        <v>12</v>
      </c>
      <c r="E2617" s="1" t="s">
        <v>61</v>
      </c>
      <c r="F2617">
        <v>36</v>
      </c>
      <c r="G2617">
        <v>1</v>
      </c>
      <c r="H2617" s="1" t="s">
        <v>14</v>
      </c>
      <c r="I2617" s="1" t="s">
        <v>15</v>
      </c>
      <c r="J2617" s="12">
        <v>45842</v>
      </c>
      <c r="K2617">
        <v>0</v>
      </c>
      <c r="L2617" s="1">
        <f t="shared" si="160"/>
        <v>36</v>
      </c>
      <c r="M2617" s="1" t="str">
        <f t="shared" si="161"/>
        <v/>
      </c>
      <c r="N2617" s="2">
        <f t="shared" si="162"/>
        <v>45839</v>
      </c>
      <c r="O2617" t="str">
        <f t="shared" si="163"/>
        <v>pes</v>
      </c>
    </row>
    <row r="2618" spans="1:15" x14ac:dyDescent="0.25">
      <c r="A2618">
        <v>10126</v>
      </c>
      <c r="B2618" s="11">
        <v>8599988776654</v>
      </c>
      <c r="C2618" s="1" t="s">
        <v>393</v>
      </c>
      <c r="D2618" s="1" t="s">
        <v>133</v>
      </c>
      <c r="E2618" s="1" t="s">
        <v>17</v>
      </c>
      <c r="F2618">
        <v>16.8</v>
      </c>
      <c r="G2618">
        <v>1</v>
      </c>
      <c r="H2618" s="1" t="s">
        <v>14</v>
      </c>
      <c r="I2618" s="1" t="s">
        <v>15</v>
      </c>
      <c r="J2618" s="12">
        <v>45842</v>
      </c>
      <c r="K2618">
        <v>0</v>
      </c>
      <c r="L2618" s="1">
        <f t="shared" si="160"/>
        <v>16.8</v>
      </c>
      <c r="M2618" s="1" t="str">
        <f t="shared" si="161"/>
        <v/>
      </c>
      <c r="N2618" s="2">
        <f t="shared" si="162"/>
        <v>45839</v>
      </c>
      <c r="O2618" t="str">
        <f t="shared" si="163"/>
        <v>pes</v>
      </c>
    </row>
    <row r="2619" spans="1:15" hidden="1" x14ac:dyDescent="0.25">
      <c r="A2619">
        <v>10127</v>
      </c>
      <c r="B2619" s="11">
        <v>4021234567894</v>
      </c>
      <c r="C2619" s="1" t="s">
        <v>79</v>
      </c>
      <c r="D2619" s="1" t="s">
        <v>36</v>
      </c>
      <c r="E2619" s="1" t="s">
        <v>69</v>
      </c>
      <c r="F2619">
        <v>8</v>
      </c>
      <c r="G2619">
        <v>1</v>
      </c>
      <c r="H2619" s="1" t="s">
        <v>14</v>
      </c>
      <c r="I2619" s="1" t="s">
        <v>15</v>
      </c>
      <c r="J2619" s="12">
        <v>45842</v>
      </c>
      <c r="K2619">
        <v>0</v>
      </c>
      <c r="L2619" s="1">
        <f t="shared" si="160"/>
        <v>8</v>
      </c>
      <c r="M2619" s="1" t="str">
        <f t="shared" si="161"/>
        <v/>
      </c>
      <c r="N2619" s="2">
        <f t="shared" si="162"/>
        <v>45839</v>
      </c>
      <c r="O2619" t="str">
        <f t="shared" si="163"/>
        <v>mačka</v>
      </c>
    </row>
    <row r="2620" spans="1:15" x14ac:dyDescent="0.25">
      <c r="A2620">
        <v>10128</v>
      </c>
      <c r="B2620" s="11">
        <v>8599988776654</v>
      </c>
      <c r="C2620" s="1" t="s">
        <v>393</v>
      </c>
      <c r="D2620" s="1" t="s">
        <v>133</v>
      </c>
      <c r="E2620" s="1" t="s">
        <v>17</v>
      </c>
      <c r="F2620">
        <v>16.8</v>
      </c>
      <c r="G2620">
        <v>1</v>
      </c>
      <c r="H2620" s="1" t="s">
        <v>14</v>
      </c>
      <c r="I2620" s="1" t="s">
        <v>15</v>
      </c>
      <c r="J2620" s="12">
        <v>45842</v>
      </c>
      <c r="K2620">
        <v>0</v>
      </c>
      <c r="L2620" s="1">
        <f t="shared" si="160"/>
        <v>16.8</v>
      </c>
      <c r="M2620" s="1" t="str">
        <f t="shared" si="161"/>
        <v/>
      </c>
      <c r="N2620" s="2">
        <f t="shared" si="162"/>
        <v>45839</v>
      </c>
      <c r="O2620" t="str">
        <f t="shared" si="163"/>
        <v>pes</v>
      </c>
    </row>
    <row r="2621" spans="1:15" hidden="1" x14ac:dyDescent="0.25">
      <c r="A2621">
        <v>10129</v>
      </c>
      <c r="B2621" s="11">
        <v>4010123456783</v>
      </c>
      <c r="C2621" s="1" t="s">
        <v>35</v>
      </c>
      <c r="D2621" s="1" t="s">
        <v>36</v>
      </c>
      <c r="E2621" s="1" t="s">
        <v>37</v>
      </c>
      <c r="F2621">
        <v>14</v>
      </c>
      <c r="G2621">
        <v>1</v>
      </c>
      <c r="H2621" s="1" t="s">
        <v>14</v>
      </c>
      <c r="I2621" s="1" t="s">
        <v>15</v>
      </c>
      <c r="J2621" s="12">
        <v>45842</v>
      </c>
      <c r="K2621">
        <v>0</v>
      </c>
      <c r="L2621" s="1">
        <f t="shared" si="160"/>
        <v>14</v>
      </c>
      <c r="M2621" s="1" t="str">
        <f t="shared" si="161"/>
        <v/>
      </c>
      <c r="N2621" s="2">
        <f t="shared" si="162"/>
        <v>45839</v>
      </c>
      <c r="O2621" t="str">
        <f t="shared" si="163"/>
        <v>mačka</v>
      </c>
    </row>
    <row r="2622" spans="1:15" x14ac:dyDescent="0.25">
      <c r="A2622">
        <v>10130</v>
      </c>
      <c r="B2622" s="11">
        <v>8599988776654</v>
      </c>
      <c r="C2622" s="1" t="s">
        <v>393</v>
      </c>
      <c r="D2622" s="1" t="s">
        <v>133</v>
      </c>
      <c r="E2622" s="1" t="s">
        <v>17</v>
      </c>
      <c r="F2622">
        <v>16.8</v>
      </c>
      <c r="G2622">
        <v>2</v>
      </c>
      <c r="H2622" s="1" t="s">
        <v>14</v>
      </c>
      <c r="I2622" s="1" t="s">
        <v>15</v>
      </c>
      <c r="J2622" s="12">
        <v>45842</v>
      </c>
      <c r="K2622">
        <v>0</v>
      </c>
      <c r="L2622" s="1">
        <f t="shared" si="160"/>
        <v>33.6</v>
      </c>
      <c r="M2622" s="1" t="str">
        <f t="shared" si="161"/>
        <v/>
      </c>
      <c r="N2622" s="2">
        <f t="shared" si="162"/>
        <v>45839</v>
      </c>
      <c r="O2622" t="str">
        <f t="shared" si="163"/>
        <v>pes</v>
      </c>
    </row>
    <row r="2623" spans="1:15" x14ac:dyDescent="0.25">
      <c r="A2623">
        <v>10131</v>
      </c>
      <c r="B2623" s="11">
        <v>4013456789017</v>
      </c>
      <c r="C2623" s="1" t="s">
        <v>11</v>
      </c>
      <c r="D2623" s="1" t="s">
        <v>12</v>
      </c>
      <c r="E2623" s="1" t="s">
        <v>13</v>
      </c>
      <c r="F2623">
        <v>6</v>
      </c>
      <c r="G2623">
        <v>1</v>
      </c>
      <c r="H2623" s="1" t="s">
        <v>14</v>
      </c>
      <c r="I2623" s="1" t="s">
        <v>15</v>
      </c>
      <c r="J2623" s="12">
        <v>45842</v>
      </c>
      <c r="K2623">
        <v>0</v>
      </c>
      <c r="L2623" s="1">
        <f t="shared" si="160"/>
        <v>6</v>
      </c>
      <c r="M2623" s="1" t="str">
        <f t="shared" si="161"/>
        <v/>
      </c>
      <c r="N2623" s="2">
        <f t="shared" si="162"/>
        <v>45839</v>
      </c>
      <c r="O2623" t="str">
        <f t="shared" si="163"/>
        <v>pes</v>
      </c>
    </row>
    <row r="2624" spans="1:15" x14ac:dyDescent="0.25">
      <c r="A2624">
        <v>10132</v>
      </c>
      <c r="B2624" s="11">
        <v>8599988776654</v>
      </c>
      <c r="C2624" s="1" t="s">
        <v>393</v>
      </c>
      <c r="D2624" s="1" t="s">
        <v>133</v>
      </c>
      <c r="E2624" s="1" t="s">
        <v>17</v>
      </c>
      <c r="F2624">
        <v>16.8</v>
      </c>
      <c r="G2624">
        <v>1</v>
      </c>
      <c r="H2624" s="1" t="s">
        <v>23</v>
      </c>
      <c r="I2624" s="1" t="s">
        <v>413</v>
      </c>
      <c r="J2624" s="12">
        <v>45843</v>
      </c>
      <c r="K2624">
        <v>0</v>
      </c>
      <c r="L2624" s="1">
        <f t="shared" si="160"/>
        <v>16.8</v>
      </c>
      <c r="M2624" s="1">
        <f t="shared" si="161"/>
        <v>5</v>
      </c>
      <c r="N2624" s="2">
        <f t="shared" si="162"/>
        <v>45839</v>
      </c>
      <c r="O2624" t="str">
        <f t="shared" si="163"/>
        <v>pes</v>
      </c>
    </row>
    <row r="2625" spans="1:15" x14ac:dyDescent="0.25">
      <c r="A2625">
        <v>10133</v>
      </c>
      <c r="B2625" s="11">
        <v>4028899001126</v>
      </c>
      <c r="C2625" s="1" t="s">
        <v>16</v>
      </c>
      <c r="D2625" s="1" t="s">
        <v>12</v>
      </c>
      <c r="E2625" s="1" t="s">
        <v>17</v>
      </c>
      <c r="F2625">
        <v>2.8</v>
      </c>
      <c r="G2625">
        <v>3</v>
      </c>
      <c r="H2625" s="1" t="s">
        <v>14</v>
      </c>
      <c r="I2625" s="1" t="s">
        <v>15</v>
      </c>
      <c r="J2625" s="12">
        <v>45843</v>
      </c>
      <c r="K2625">
        <v>0</v>
      </c>
      <c r="L2625" s="1">
        <f t="shared" si="160"/>
        <v>8.3999999999999986</v>
      </c>
      <c r="M2625" s="1" t="str">
        <f t="shared" si="161"/>
        <v/>
      </c>
      <c r="N2625" s="2">
        <f t="shared" si="162"/>
        <v>45839</v>
      </c>
      <c r="O2625" t="str">
        <f t="shared" si="163"/>
        <v>pes</v>
      </c>
    </row>
    <row r="2626" spans="1:15" x14ac:dyDescent="0.25">
      <c r="A2626">
        <v>10134</v>
      </c>
      <c r="B2626" s="11">
        <v>8599988776654</v>
      </c>
      <c r="C2626" s="1" t="s">
        <v>393</v>
      </c>
      <c r="D2626" s="1" t="s">
        <v>133</v>
      </c>
      <c r="E2626" s="1" t="s">
        <v>17</v>
      </c>
      <c r="F2626">
        <v>16.8</v>
      </c>
      <c r="G2626">
        <v>1</v>
      </c>
      <c r="H2626" s="1" t="s">
        <v>14</v>
      </c>
      <c r="I2626" s="1" t="s">
        <v>15</v>
      </c>
      <c r="J2626" s="12">
        <v>45843</v>
      </c>
      <c r="K2626">
        <v>0</v>
      </c>
      <c r="L2626" s="1">
        <f t="shared" ref="L2626:L2689" si="164">F2626*G2626</f>
        <v>16.8</v>
      </c>
      <c r="M2626" s="1" t="str">
        <f t="shared" ref="M2626:M2689" si="165">IF(H2626="NULL", "",VALUE(H2626))</f>
        <v/>
      </c>
      <c r="N2626" s="2">
        <f t="shared" ref="N2626:N2689" si="166">DATE(YEAR(J2626),MONTH(J2626),1)</f>
        <v>45839</v>
      </c>
      <c r="O2626" t="str">
        <f t="shared" ref="O2626:O2689" si="167">IF(ISNUMBER(SEARCH("Mačky",D2626)),"mačka",IF(ISNUMBER(SEARCH("Psy",D2626)),"pes","iné"))</f>
        <v>pes</v>
      </c>
    </row>
    <row r="2627" spans="1:15" x14ac:dyDescent="0.25">
      <c r="A2627">
        <v>10135</v>
      </c>
      <c r="B2627" s="11">
        <v>4013456789017</v>
      </c>
      <c r="C2627" s="1" t="s">
        <v>11</v>
      </c>
      <c r="D2627" s="1" t="s">
        <v>12</v>
      </c>
      <c r="E2627" s="1" t="s">
        <v>13</v>
      </c>
      <c r="F2627">
        <v>6</v>
      </c>
      <c r="G2627">
        <v>1</v>
      </c>
      <c r="H2627" s="1" t="s">
        <v>14</v>
      </c>
      <c r="I2627" s="1" t="s">
        <v>15</v>
      </c>
      <c r="J2627" s="12">
        <v>45843</v>
      </c>
      <c r="K2627">
        <v>0</v>
      </c>
      <c r="L2627" s="1">
        <f t="shared" si="164"/>
        <v>6</v>
      </c>
      <c r="M2627" s="1" t="str">
        <f t="shared" si="165"/>
        <v/>
      </c>
      <c r="N2627" s="2">
        <f t="shared" si="166"/>
        <v>45839</v>
      </c>
      <c r="O2627" t="str">
        <f t="shared" si="167"/>
        <v>pes</v>
      </c>
    </row>
    <row r="2628" spans="1:15" x14ac:dyDescent="0.25">
      <c r="A2628">
        <v>10136</v>
      </c>
      <c r="B2628" s="11">
        <v>8599988776654</v>
      </c>
      <c r="C2628" s="1" t="s">
        <v>393</v>
      </c>
      <c r="D2628" s="1" t="s">
        <v>133</v>
      </c>
      <c r="E2628" s="1" t="s">
        <v>17</v>
      </c>
      <c r="F2628">
        <v>16.8</v>
      </c>
      <c r="G2628">
        <v>2</v>
      </c>
      <c r="H2628" s="1" t="s">
        <v>14</v>
      </c>
      <c r="I2628" s="1" t="s">
        <v>15</v>
      </c>
      <c r="J2628" s="12">
        <v>45843</v>
      </c>
      <c r="K2628">
        <v>0</v>
      </c>
      <c r="L2628" s="1">
        <f t="shared" si="164"/>
        <v>33.6</v>
      </c>
      <c r="M2628" s="1" t="str">
        <f t="shared" si="165"/>
        <v/>
      </c>
      <c r="N2628" s="2">
        <f t="shared" si="166"/>
        <v>45839</v>
      </c>
      <c r="O2628" t="str">
        <f t="shared" si="167"/>
        <v>pes</v>
      </c>
    </row>
    <row r="2629" spans="1:15" hidden="1" x14ac:dyDescent="0.25">
      <c r="A2629">
        <v>10137</v>
      </c>
      <c r="B2629" s="11">
        <v>4056789012345</v>
      </c>
      <c r="C2629" s="1" t="s">
        <v>47</v>
      </c>
      <c r="D2629" s="1" t="s">
        <v>29</v>
      </c>
      <c r="E2629" s="1" t="s">
        <v>37</v>
      </c>
      <c r="F2629">
        <v>2.4</v>
      </c>
      <c r="G2629">
        <v>3</v>
      </c>
      <c r="H2629" s="1" t="s">
        <v>14</v>
      </c>
      <c r="I2629" s="1" t="s">
        <v>15</v>
      </c>
      <c r="J2629" s="12">
        <v>45843</v>
      </c>
      <c r="K2629">
        <v>0</v>
      </c>
      <c r="L2629" s="1">
        <f t="shared" si="164"/>
        <v>7.1999999999999993</v>
      </c>
      <c r="M2629" s="1" t="str">
        <f t="shared" si="165"/>
        <v/>
      </c>
      <c r="N2629" s="2">
        <f t="shared" si="166"/>
        <v>45839</v>
      </c>
      <c r="O2629" t="str">
        <f t="shared" si="167"/>
        <v>mačka</v>
      </c>
    </row>
    <row r="2630" spans="1:15" x14ac:dyDescent="0.25">
      <c r="A2630">
        <v>10138</v>
      </c>
      <c r="B2630" s="11">
        <v>8599988776654</v>
      </c>
      <c r="C2630" s="1" t="s">
        <v>393</v>
      </c>
      <c r="D2630" s="1" t="s">
        <v>133</v>
      </c>
      <c r="E2630" s="1" t="s">
        <v>17</v>
      </c>
      <c r="F2630">
        <v>16.8</v>
      </c>
      <c r="G2630">
        <v>1</v>
      </c>
      <c r="H2630" s="1" t="s">
        <v>23</v>
      </c>
      <c r="I2630" s="1" t="s">
        <v>414</v>
      </c>
      <c r="J2630" s="12">
        <v>45843</v>
      </c>
      <c r="K2630">
        <v>0</v>
      </c>
      <c r="L2630" s="1">
        <f t="shared" si="164"/>
        <v>16.8</v>
      </c>
      <c r="M2630" s="1">
        <f t="shared" si="165"/>
        <v>5</v>
      </c>
      <c r="N2630" s="2">
        <f t="shared" si="166"/>
        <v>45839</v>
      </c>
      <c r="O2630" t="str">
        <f t="shared" si="167"/>
        <v>pes</v>
      </c>
    </row>
    <row r="2631" spans="1:15" hidden="1" x14ac:dyDescent="0.25">
      <c r="A2631">
        <v>10139</v>
      </c>
      <c r="B2631" s="11">
        <v>4021234567894</v>
      </c>
      <c r="C2631" s="1" t="s">
        <v>79</v>
      </c>
      <c r="D2631" s="1" t="s">
        <v>36</v>
      </c>
      <c r="E2631" s="1" t="s">
        <v>69</v>
      </c>
      <c r="F2631">
        <v>8</v>
      </c>
      <c r="G2631">
        <v>1</v>
      </c>
      <c r="H2631" s="1" t="s">
        <v>14</v>
      </c>
      <c r="I2631" s="1" t="s">
        <v>15</v>
      </c>
      <c r="J2631" s="12">
        <v>45843</v>
      </c>
      <c r="K2631">
        <v>0</v>
      </c>
      <c r="L2631" s="1">
        <f t="shared" si="164"/>
        <v>8</v>
      </c>
      <c r="M2631" s="1" t="str">
        <f t="shared" si="165"/>
        <v/>
      </c>
      <c r="N2631" s="2">
        <f t="shared" si="166"/>
        <v>45839</v>
      </c>
      <c r="O2631" t="str">
        <f t="shared" si="167"/>
        <v>mačka</v>
      </c>
    </row>
    <row r="2632" spans="1:15" x14ac:dyDescent="0.25">
      <c r="A2632">
        <v>10140</v>
      </c>
      <c r="B2632" s="11">
        <v>8599988776654</v>
      </c>
      <c r="C2632" s="1" t="s">
        <v>393</v>
      </c>
      <c r="D2632" s="1" t="s">
        <v>133</v>
      </c>
      <c r="E2632" s="1" t="s">
        <v>17</v>
      </c>
      <c r="F2632">
        <v>16.8</v>
      </c>
      <c r="G2632">
        <v>1</v>
      </c>
      <c r="H2632" s="1" t="s">
        <v>14</v>
      </c>
      <c r="I2632" s="1" t="s">
        <v>15</v>
      </c>
      <c r="J2632" s="12">
        <v>45843</v>
      </c>
      <c r="K2632">
        <v>0</v>
      </c>
      <c r="L2632" s="1">
        <f t="shared" si="164"/>
        <v>16.8</v>
      </c>
      <c r="M2632" s="1" t="str">
        <f t="shared" si="165"/>
        <v/>
      </c>
      <c r="N2632" s="2">
        <f t="shared" si="166"/>
        <v>45839</v>
      </c>
      <c r="O2632" t="str">
        <f t="shared" si="167"/>
        <v>pes</v>
      </c>
    </row>
    <row r="2633" spans="1:15" x14ac:dyDescent="0.25">
      <c r="A2633">
        <v>10141</v>
      </c>
      <c r="B2633" s="11">
        <v>4063456789014</v>
      </c>
      <c r="C2633" s="1" t="s">
        <v>60</v>
      </c>
      <c r="D2633" s="1" t="s">
        <v>12</v>
      </c>
      <c r="E2633" s="1" t="s">
        <v>61</v>
      </c>
      <c r="F2633">
        <v>36</v>
      </c>
      <c r="G2633">
        <v>1</v>
      </c>
      <c r="H2633" s="1" t="s">
        <v>14</v>
      </c>
      <c r="I2633" s="1" t="s">
        <v>15</v>
      </c>
      <c r="J2633" s="12">
        <v>45843</v>
      </c>
      <c r="K2633">
        <v>0</v>
      </c>
      <c r="L2633" s="1">
        <f t="shared" si="164"/>
        <v>36</v>
      </c>
      <c r="M2633" s="1" t="str">
        <f t="shared" si="165"/>
        <v/>
      </c>
      <c r="N2633" s="2">
        <f t="shared" si="166"/>
        <v>45839</v>
      </c>
      <c r="O2633" t="str">
        <f t="shared" si="167"/>
        <v>pes</v>
      </c>
    </row>
    <row r="2634" spans="1:15" x14ac:dyDescent="0.25">
      <c r="A2634">
        <v>10142</v>
      </c>
      <c r="B2634" s="11">
        <v>8599988776654</v>
      </c>
      <c r="C2634" s="1" t="s">
        <v>393</v>
      </c>
      <c r="D2634" s="1" t="s">
        <v>133</v>
      </c>
      <c r="E2634" s="1" t="s">
        <v>17</v>
      </c>
      <c r="F2634">
        <v>16.8</v>
      </c>
      <c r="G2634">
        <v>2</v>
      </c>
      <c r="H2634" s="1" t="s">
        <v>18</v>
      </c>
      <c r="I2634" s="1" t="s">
        <v>415</v>
      </c>
      <c r="J2634" s="12">
        <v>45843</v>
      </c>
      <c r="K2634">
        <v>0</v>
      </c>
      <c r="L2634" s="1">
        <f t="shared" si="164"/>
        <v>33.6</v>
      </c>
      <c r="M2634" s="1">
        <f t="shared" si="165"/>
        <v>4</v>
      </c>
      <c r="N2634" s="2">
        <f t="shared" si="166"/>
        <v>45839</v>
      </c>
      <c r="O2634" t="str">
        <f t="shared" si="167"/>
        <v>pes</v>
      </c>
    </row>
    <row r="2635" spans="1:15" x14ac:dyDescent="0.25">
      <c r="A2635">
        <v>10143</v>
      </c>
      <c r="B2635" s="11">
        <v>4028899001126</v>
      </c>
      <c r="C2635" s="1" t="s">
        <v>16</v>
      </c>
      <c r="D2635" s="1" t="s">
        <v>12</v>
      </c>
      <c r="E2635" s="1" t="s">
        <v>17</v>
      </c>
      <c r="F2635">
        <v>2.8</v>
      </c>
      <c r="G2635">
        <v>4</v>
      </c>
      <c r="H2635" s="1" t="s">
        <v>14</v>
      </c>
      <c r="I2635" s="1" t="s">
        <v>15</v>
      </c>
      <c r="J2635" s="12">
        <v>45843</v>
      </c>
      <c r="K2635">
        <v>0</v>
      </c>
      <c r="L2635" s="1">
        <f t="shared" si="164"/>
        <v>11.2</v>
      </c>
      <c r="M2635" s="1" t="str">
        <f t="shared" si="165"/>
        <v/>
      </c>
      <c r="N2635" s="2">
        <f t="shared" si="166"/>
        <v>45839</v>
      </c>
      <c r="O2635" t="str">
        <f t="shared" si="167"/>
        <v>pes</v>
      </c>
    </row>
    <row r="2636" spans="1:15" x14ac:dyDescent="0.25">
      <c r="A2636">
        <v>10144</v>
      </c>
      <c r="B2636" s="11">
        <v>8599988776654</v>
      </c>
      <c r="C2636" s="1" t="s">
        <v>393</v>
      </c>
      <c r="D2636" s="1" t="s">
        <v>133</v>
      </c>
      <c r="E2636" s="1" t="s">
        <v>17</v>
      </c>
      <c r="F2636">
        <v>16.8</v>
      </c>
      <c r="G2636">
        <v>1</v>
      </c>
      <c r="H2636" s="1" t="s">
        <v>14</v>
      </c>
      <c r="I2636" s="1" t="s">
        <v>15</v>
      </c>
      <c r="J2636" s="12">
        <v>45843</v>
      </c>
      <c r="K2636">
        <v>0</v>
      </c>
      <c r="L2636" s="1">
        <f t="shared" si="164"/>
        <v>16.8</v>
      </c>
      <c r="M2636" s="1" t="str">
        <f t="shared" si="165"/>
        <v/>
      </c>
      <c r="N2636" s="2">
        <f t="shared" si="166"/>
        <v>45839</v>
      </c>
      <c r="O2636" t="str">
        <f t="shared" si="167"/>
        <v>pes</v>
      </c>
    </row>
    <row r="2637" spans="1:15" hidden="1" x14ac:dyDescent="0.25">
      <c r="A2637">
        <v>10145</v>
      </c>
      <c r="B2637" s="11">
        <v>4010123456783</v>
      </c>
      <c r="C2637" s="1" t="s">
        <v>35</v>
      </c>
      <c r="D2637" s="1" t="s">
        <v>36</v>
      </c>
      <c r="E2637" s="1" t="s">
        <v>37</v>
      </c>
      <c r="F2637">
        <v>14</v>
      </c>
      <c r="G2637">
        <v>2</v>
      </c>
      <c r="H2637" s="1" t="s">
        <v>14</v>
      </c>
      <c r="I2637" s="1" t="s">
        <v>15</v>
      </c>
      <c r="J2637" s="12">
        <v>45843</v>
      </c>
      <c r="K2637">
        <v>0</v>
      </c>
      <c r="L2637" s="1">
        <f t="shared" si="164"/>
        <v>28</v>
      </c>
      <c r="M2637" s="1" t="str">
        <f t="shared" si="165"/>
        <v/>
      </c>
      <c r="N2637" s="2">
        <f t="shared" si="166"/>
        <v>45839</v>
      </c>
      <c r="O2637" t="str">
        <f t="shared" si="167"/>
        <v>mačka</v>
      </c>
    </row>
    <row r="2638" spans="1:15" x14ac:dyDescent="0.25">
      <c r="A2638">
        <v>10146</v>
      </c>
      <c r="B2638" s="11">
        <v>8599988776654</v>
      </c>
      <c r="C2638" s="1" t="s">
        <v>393</v>
      </c>
      <c r="D2638" s="1" t="s">
        <v>133</v>
      </c>
      <c r="E2638" s="1" t="s">
        <v>17</v>
      </c>
      <c r="F2638">
        <v>16.8</v>
      </c>
      <c r="G2638">
        <v>1</v>
      </c>
      <c r="H2638" s="1" t="s">
        <v>14</v>
      </c>
      <c r="I2638" s="1" t="s">
        <v>15</v>
      </c>
      <c r="J2638" s="12">
        <v>45843</v>
      </c>
      <c r="K2638">
        <v>0</v>
      </c>
      <c r="L2638" s="1">
        <f t="shared" si="164"/>
        <v>16.8</v>
      </c>
      <c r="M2638" s="1" t="str">
        <f t="shared" si="165"/>
        <v/>
      </c>
      <c r="N2638" s="2">
        <f t="shared" si="166"/>
        <v>45839</v>
      </c>
      <c r="O2638" t="str">
        <f t="shared" si="167"/>
        <v>pes</v>
      </c>
    </row>
    <row r="2639" spans="1:15" x14ac:dyDescent="0.25">
      <c r="A2639">
        <v>10147</v>
      </c>
      <c r="B2639" s="11">
        <v>4013456789017</v>
      </c>
      <c r="C2639" s="1" t="s">
        <v>11</v>
      </c>
      <c r="D2639" s="1" t="s">
        <v>12</v>
      </c>
      <c r="E2639" s="1" t="s">
        <v>13</v>
      </c>
      <c r="F2639">
        <v>6</v>
      </c>
      <c r="G2639">
        <v>1</v>
      </c>
      <c r="H2639" s="1" t="s">
        <v>14</v>
      </c>
      <c r="I2639" s="1" t="s">
        <v>15</v>
      </c>
      <c r="J2639" s="12">
        <v>45844</v>
      </c>
      <c r="K2639">
        <v>0</v>
      </c>
      <c r="L2639" s="1">
        <f t="shared" si="164"/>
        <v>6</v>
      </c>
      <c r="M2639" s="1" t="str">
        <f t="shared" si="165"/>
        <v/>
      </c>
      <c r="N2639" s="2">
        <f t="shared" si="166"/>
        <v>45839</v>
      </c>
      <c r="O2639" t="str">
        <f t="shared" si="167"/>
        <v>pes</v>
      </c>
    </row>
    <row r="2640" spans="1:15" x14ac:dyDescent="0.25">
      <c r="A2640">
        <v>10148</v>
      </c>
      <c r="B2640" s="11">
        <v>8599988776654</v>
      </c>
      <c r="C2640" s="1" t="s">
        <v>393</v>
      </c>
      <c r="D2640" s="1" t="s">
        <v>133</v>
      </c>
      <c r="E2640" s="1" t="s">
        <v>17</v>
      </c>
      <c r="F2640">
        <v>16.8</v>
      </c>
      <c r="G2640">
        <v>1</v>
      </c>
      <c r="H2640" s="1" t="s">
        <v>23</v>
      </c>
      <c r="I2640" s="1" t="s">
        <v>416</v>
      </c>
      <c r="J2640" s="12">
        <v>45844</v>
      </c>
      <c r="K2640">
        <v>0</v>
      </c>
      <c r="L2640" s="1">
        <f t="shared" si="164"/>
        <v>16.8</v>
      </c>
      <c r="M2640" s="1">
        <f t="shared" si="165"/>
        <v>5</v>
      </c>
      <c r="N2640" s="2">
        <f t="shared" si="166"/>
        <v>45839</v>
      </c>
      <c r="O2640" t="str">
        <f t="shared" si="167"/>
        <v>pes</v>
      </c>
    </row>
    <row r="2641" spans="1:15" x14ac:dyDescent="0.25">
      <c r="A2641">
        <v>10149</v>
      </c>
      <c r="B2641" s="11">
        <v>4028899001126</v>
      </c>
      <c r="C2641" s="1" t="s">
        <v>16</v>
      </c>
      <c r="D2641" s="1" t="s">
        <v>12</v>
      </c>
      <c r="E2641" s="1" t="s">
        <v>17</v>
      </c>
      <c r="F2641">
        <v>2.8</v>
      </c>
      <c r="G2641">
        <v>3</v>
      </c>
      <c r="H2641" s="1" t="s">
        <v>14</v>
      </c>
      <c r="I2641" s="1" t="s">
        <v>15</v>
      </c>
      <c r="J2641" s="12">
        <v>45844</v>
      </c>
      <c r="K2641">
        <v>0</v>
      </c>
      <c r="L2641" s="1">
        <f t="shared" si="164"/>
        <v>8.3999999999999986</v>
      </c>
      <c r="M2641" s="1" t="str">
        <f t="shared" si="165"/>
        <v/>
      </c>
      <c r="N2641" s="2">
        <f t="shared" si="166"/>
        <v>45839</v>
      </c>
      <c r="O2641" t="str">
        <f t="shared" si="167"/>
        <v>pes</v>
      </c>
    </row>
    <row r="2642" spans="1:15" x14ac:dyDescent="0.25">
      <c r="A2642">
        <v>10150</v>
      </c>
      <c r="B2642" s="11">
        <v>8599988776654</v>
      </c>
      <c r="C2642" s="1" t="s">
        <v>393</v>
      </c>
      <c r="D2642" s="1" t="s">
        <v>133</v>
      </c>
      <c r="E2642" s="1" t="s">
        <v>17</v>
      </c>
      <c r="F2642">
        <v>16.8</v>
      </c>
      <c r="G2642">
        <v>2</v>
      </c>
      <c r="H2642" s="1" t="s">
        <v>14</v>
      </c>
      <c r="I2642" s="1" t="s">
        <v>15</v>
      </c>
      <c r="J2642" s="12">
        <v>45844</v>
      </c>
      <c r="K2642">
        <v>0</v>
      </c>
      <c r="L2642" s="1">
        <f t="shared" si="164"/>
        <v>33.6</v>
      </c>
      <c r="M2642" s="1" t="str">
        <f t="shared" si="165"/>
        <v/>
      </c>
      <c r="N2642" s="2">
        <f t="shared" si="166"/>
        <v>45839</v>
      </c>
      <c r="O2642" t="str">
        <f t="shared" si="167"/>
        <v>pes</v>
      </c>
    </row>
    <row r="2643" spans="1:15" hidden="1" x14ac:dyDescent="0.25">
      <c r="A2643">
        <v>10151</v>
      </c>
      <c r="B2643" s="11">
        <v>4056789012345</v>
      </c>
      <c r="C2643" s="1" t="s">
        <v>47</v>
      </c>
      <c r="D2643" s="1" t="s">
        <v>29</v>
      </c>
      <c r="E2643" s="1" t="s">
        <v>37</v>
      </c>
      <c r="F2643">
        <v>2.4</v>
      </c>
      <c r="G2643">
        <v>2</v>
      </c>
      <c r="H2643" s="1" t="s">
        <v>14</v>
      </c>
      <c r="I2643" s="1" t="s">
        <v>15</v>
      </c>
      <c r="J2643" s="12">
        <v>45844</v>
      </c>
      <c r="K2643">
        <v>0</v>
      </c>
      <c r="L2643" s="1">
        <f t="shared" si="164"/>
        <v>4.8</v>
      </c>
      <c r="M2643" s="1" t="str">
        <f t="shared" si="165"/>
        <v/>
      </c>
      <c r="N2643" s="2">
        <f t="shared" si="166"/>
        <v>45839</v>
      </c>
      <c r="O2643" t="str">
        <f t="shared" si="167"/>
        <v>mačka</v>
      </c>
    </row>
    <row r="2644" spans="1:15" x14ac:dyDescent="0.25">
      <c r="A2644">
        <v>10152</v>
      </c>
      <c r="B2644" s="11">
        <v>8599988776654</v>
      </c>
      <c r="C2644" s="1" t="s">
        <v>393</v>
      </c>
      <c r="D2644" s="1" t="s">
        <v>133</v>
      </c>
      <c r="E2644" s="1" t="s">
        <v>17</v>
      </c>
      <c r="F2644">
        <v>16.8</v>
      </c>
      <c r="G2644">
        <v>1</v>
      </c>
      <c r="H2644" s="1" t="s">
        <v>14</v>
      </c>
      <c r="I2644" s="1" t="s">
        <v>15</v>
      </c>
      <c r="J2644" s="12">
        <v>45844</v>
      </c>
      <c r="K2644">
        <v>0</v>
      </c>
      <c r="L2644" s="1">
        <f t="shared" si="164"/>
        <v>16.8</v>
      </c>
      <c r="M2644" s="1" t="str">
        <f t="shared" si="165"/>
        <v/>
      </c>
      <c r="N2644" s="2">
        <f t="shared" si="166"/>
        <v>45839</v>
      </c>
      <c r="O2644" t="str">
        <f t="shared" si="167"/>
        <v>pes</v>
      </c>
    </row>
    <row r="2645" spans="1:15" x14ac:dyDescent="0.25">
      <c r="A2645">
        <v>10153</v>
      </c>
      <c r="B2645" s="11">
        <v>4061011223346</v>
      </c>
      <c r="C2645" s="1" t="s">
        <v>25</v>
      </c>
      <c r="D2645" s="1" t="s">
        <v>26</v>
      </c>
      <c r="E2645" s="1" t="s">
        <v>27</v>
      </c>
      <c r="F2645">
        <v>19.600000000000001</v>
      </c>
      <c r="G2645">
        <v>1</v>
      </c>
      <c r="H2645" s="1" t="s">
        <v>14</v>
      </c>
      <c r="I2645" s="1" t="s">
        <v>15</v>
      </c>
      <c r="J2645" s="12">
        <v>45844</v>
      </c>
      <c r="K2645">
        <v>0</v>
      </c>
      <c r="L2645" s="1">
        <f t="shared" si="164"/>
        <v>19.600000000000001</v>
      </c>
      <c r="M2645" s="1" t="str">
        <f t="shared" si="165"/>
        <v/>
      </c>
      <c r="N2645" s="2">
        <f t="shared" si="166"/>
        <v>45839</v>
      </c>
      <c r="O2645" t="str">
        <f t="shared" si="167"/>
        <v>pes</v>
      </c>
    </row>
    <row r="2646" spans="1:15" x14ac:dyDescent="0.25">
      <c r="A2646">
        <v>10154</v>
      </c>
      <c r="B2646" s="11">
        <v>8599988776654</v>
      </c>
      <c r="C2646" s="1" t="s">
        <v>393</v>
      </c>
      <c r="D2646" s="1" t="s">
        <v>133</v>
      </c>
      <c r="E2646" s="1" t="s">
        <v>17</v>
      </c>
      <c r="F2646">
        <v>16.8</v>
      </c>
      <c r="G2646">
        <v>1</v>
      </c>
      <c r="H2646" s="1" t="s">
        <v>14</v>
      </c>
      <c r="I2646" s="1" t="s">
        <v>15</v>
      </c>
      <c r="J2646" s="12">
        <v>45844</v>
      </c>
      <c r="K2646">
        <v>0</v>
      </c>
      <c r="L2646" s="1">
        <f t="shared" si="164"/>
        <v>16.8</v>
      </c>
      <c r="M2646" s="1" t="str">
        <f t="shared" si="165"/>
        <v/>
      </c>
      <c r="N2646" s="2">
        <f t="shared" si="166"/>
        <v>45839</v>
      </c>
      <c r="O2646" t="str">
        <f t="shared" si="167"/>
        <v>pes</v>
      </c>
    </row>
    <row r="2647" spans="1:15" x14ac:dyDescent="0.25">
      <c r="A2647">
        <v>10155</v>
      </c>
      <c r="B2647" s="11">
        <v>4017890123450</v>
      </c>
      <c r="C2647" s="1" t="s">
        <v>65</v>
      </c>
      <c r="D2647" s="1" t="s">
        <v>39</v>
      </c>
      <c r="E2647" s="1" t="s">
        <v>22</v>
      </c>
      <c r="F2647">
        <v>7.6</v>
      </c>
      <c r="G2647">
        <v>1</v>
      </c>
      <c r="H2647" s="1" t="s">
        <v>14</v>
      </c>
      <c r="I2647" s="1" t="s">
        <v>15</v>
      </c>
      <c r="J2647" s="12">
        <v>45844</v>
      </c>
      <c r="K2647">
        <v>0</v>
      </c>
      <c r="L2647" s="1">
        <f t="shared" si="164"/>
        <v>7.6</v>
      </c>
      <c r="M2647" s="1" t="str">
        <f t="shared" si="165"/>
        <v/>
      </c>
      <c r="N2647" s="2">
        <f t="shared" si="166"/>
        <v>45839</v>
      </c>
      <c r="O2647" t="str">
        <f t="shared" si="167"/>
        <v>pes</v>
      </c>
    </row>
    <row r="2648" spans="1:15" x14ac:dyDescent="0.25">
      <c r="A2648">
        <v>10156</v>
      </c>
      <c r="B2648" s="11">
        <v>8599988776654</v>
      </c>
      <c r="C2648" s="1" t="s">
        <v>393</v>
      </c>
      <c r="D2648" s="1" t="s">
        <v>133</v>
      </c>
      <c r="E2648" s="1" t="s">
        <v>17</v>
      </c>
      <c r="F2648">
        <v>16.8</v>
      </c>
      <c r="G2648">
        <v>2</v>
      </c>
      <c r="H2648" s="1" t="s">
        <v>18</v>
      </c>
      <c r="I2648" s="1" t="s">
        <v>417</v>
      </c>
      <c r="J2648" s="12">
        <v>45844</v>
      </c>
      <c r="K2648">
        <v>0</v>
      </c>
      <c r="L2648" s="1">
        <f t="shared" si="164"/>
        <v>33.6</v>
      </c>
      <c r="M2648" s="1">
        <f t="shared" si="165"/>
        <v>4</v>
      </c>
      <c r="N2648" s="2">
        <f t="shared" si="166"/>
        <v>45839</v>
      </c>
      <c r="O2648" t="str">
        <f t="shared" si="167"/>
        <v>pes</v>
      </c>
    </row>
    <row r="2649" spans="1:15" hidden="1" x14ac:dyDescent="0.25">
      <c r="A2649">
        <v>10157</v>
      </c>
      <c r="B2649" s="11">
        <v>4010123456783</v>
      </c>
      <c r="C2649" s="1" t="s">
        <v>35</v>
      </c>
      <c r="D2649" s="1" t="s">
        <v>36</v>
      </c>
      <c r="E2649" s="1" t="s">
        <v>37</v>
      </c>
      <c r="F2649">
        <v>14</v>
      </c>
      <c r="G2649">
        <v>1</v>
      </c>
      <c r="H2649" s="1" t="s">
        <v>14</v>
      </c>
      <c r="I2649" s="1" t="s">
        <v>15</v>
      </c>
      <c r="J2649" s="12">
        <v>45844</v>
      </c>
      <c r="K2649">
        <v>0</v>
      </c>
      <c r="L2649" s="1">
        <f t="shared" si="164"/>
        <v>14</v>
      </c>
      <c r="M2649" s="1" t="str">
        <f t="shared" si="165"/>
        <v/>
      </c>
      <c r="N2649" s="2">
        <f t="shared" si="166"/>
        <v>45839</v>
      </c>
      <c r="O2649" t="str">
        <f t="shared" si="167"/>
        <v>mačka</v>
      </c>
    </row>
    <row r="2650" spans="1:15" x14ac:dyDescent="0.25">
      <c r="A2650">
        <v>10158</v>
      </c>
      <c r="B2650" s="11">
        <v>8599988776654</v>
      </c>
      <c r="C2650" s="1" t="s">
        <v>393</v>
      </c>
      <c r="D2650" s="1" t="s">
        <v>133</v>
      </c>
      <c r="E2650" s="1" t="s">
        <v>17</v>
      </c>
      <c r="F2650">
        <v>16.8</v>
      </c>
      <c r="G2650">
        <v>1</v>
      </c>
      <c r="H2650" s="1" t="s">
        <v>14</v>
      </c>
      <c r="I2650" s="1" t="s">
        <v>15</v>
      </c>
      <c r="J2650" s="12">
        <v>45844</v>
      </c>
      <c r="K2650">
        <v>0</v>
      </c>
      <c r="L2650" s="1">
        <f t="shared" si="164"/>
        <v>16.8</v>
      </c>
      <c r="M2650" s="1" t="str">
        <f t="shared" si="165"/>
        <v/>
      </c>
      <c r="N2650" s="2">
        <f t="shared" si="166"/>
        <v>45839</v>
      </c>
      <c r="O2650" t="str">
        <f t="shared" si="167"/>
        <v>pes</v>
      </c>
    </row>
    <row r="2651" spans="1:15" hidden="1" x14ac:dyDescent="0.25">
      <c r="A2651">
        <v>10159</v>
      </c>
      <c r="B2651" s="11">
        <v>4026677889902</v>
      </c>
      <c r="C2651" s="1" t="s">
        <v>52</v>
      </c>
      <c r="D2651" s="1" t="s">
        <v>53</v>
      </c>
      <c r="E2651" s="1" t="s">
        <v>54</v>
      </c>
      <c r="F2651">
        <v>7.6</v>
      </c>
      <c r="G2651">
        <v>1</v>
      </c>
      <c r="H2651" s="1" t="s">
        <v>14</v>
      </c>
      <c r="I2651" s="1" t="s">
        <v>15</v>
      </c>
      <c r="J2651" s="12">
        <v>45844</v>
      </c>
      <c r="K2651">
        <v>0</v>
      </c>
      <c r="L2651" s="1">
        <f t="shared" si="164"/>
        <v>7.6</v>
      </c>
      <c r="M2651" s="1" t="str">
        <f t="shared" si="165"/>
        <v/>
      </c>
      <c r="N2651" s="2">
        <f t="shared" si="166"/>
        <v>45839</v>
      </c>
      <c r="O2651" t="str">
        <f t="shared" si="167"/>
        <v>iné</v>
      </c>
    </row>
    <row r="2652" spans="1:15" x14ac:dyDescent="0.25">
      <c r="A2652">
        <v>10160</v>
      </c>
      <c r="B2652" s="11">
        <v>8599988776654</v>
      </c>
      <c r="C2652" s="1" t="s">
        <v>393</v>
      </c>
      <c r="D2652" s="1" t="s">
        <v>133</v>
      </c>
      <c r="E2652" s="1" t="s">
        <v>17</v>
      </c>
      <c r="F2652">
        <v>16.8</v>
      </c>
      <c r="G2652">
        <v>1</v>
      </c>
      <c r="H2652" s="1" t="s">
        <v>23</v>
      </c>
      <c r="I2652" s="1" t="s">
        <v>418</v>
      </c>
      <c r="J2652" s="12">
        <v>45844</v>
      </c>
      <c r="K2652">
        <v>0</v>
      </c>
      <c r="L2652" s="1">
        <f t="shared" si="164"/>
        <v>16.8</v>
      </c>
      <c r="M2652" s="1">
        <f t="shared" si="165"/>
        <v>5</v>
      </c>
      <c r="N2652" s="2">
        <f t="shared" si="166"/>
        <v>45839</v>
      </c>
      <c r="O2652" t="str">
        <f t="shared" si="167"/>
        <v>pes</v>
      </c>
    </row>
    <row r="2653" spans="1:15" x14ac:dyDescent="0.25">
      <c r="A2653">
        <v>10161</v>
      </c>
      <c r="B2653" s="11">
        <v>4028899001126</v>
      </c>
      <c r="C2653" s="1" t="s">
        <v>16</v>
      </c>
      <c r="D2653" s="1" t="s">
        <v>12</v>
      </c>
      <c r="E2653" s="1" t="s">
        <v>17</v>
      </c>
      <c r="F2653">
        <v>2.8</v>
      </c>
      <c r="G2653">
        <v>4</v>
      </c>
      <c r="H2653" s="1" t="s">
        <v>14</v>
      </c>
      <c r="I2653" s="1" t="s">
        <v>15</v>
      </c>
      <c r="J2653" s="12">
        <v>45844</v>
      </c>
      <c r="K2653">
        <v>0</v>
      </c>
      <c r="L2653" s="1">
        <f t="shared" si="164"/>
        <v>11.2</v>
      </c>
      <c r="M2653" s="1" t="str">
        <f t="shared" si="165"/>
        <v/>
      </c>
      <c r="N2653" s="2">
        <f t="shared" si="166"/>
        <v>45839</v>
      </c>
      <c r="O2653" t="str">
        <f t="shared" si="167"/>
        <v>pes</v>
      </c>
    </row>
    <row r="2654" spans="1:15" x14ac:dyDescent="0.25">
      <c r="A2654">
        <v>10162</v>
      </c>
      <c r="B2654" s="11">
        <v>8599988776654</v>
      </c>
      <c r="C2654" s="1" t="s">
        <v>393</v>
      </c>
      <c r="D2654" s="1" t="s">
        <v>133</v>
      </c>
      <c r="E2654" s="1" t="s">
        <v>17</v>
      </c>
      <c r="F2654">
        <v>16.8</v>
      </c>
      <c r="G2654">
        <v>1</v>
      </c>
      <c r="H2654" s="1" t="s">
        <v>14</v>
      </c>
      <c r="I2654" s="1" t="s">
        <v>15</v>
      </c>
      <c r="J2654" s="12">
        <v>45844</v>
      </c>
      <c r="K2654">
        <v>0</v>
      </c>
      <c r="L2654" s="1">
        <f t="shared" si="164"/>
        <v>16.8</v>
      </c>
      <c r="M2654" s="1" t="str">
        <f t="shared" si="165"/>
        <v/>
      </c>
      <c r="N2654" s="2">
        <f t="shared" si="166"/>
        <v>45839</v>
      </c>
      <c r="O2654" t="str">
        <f t="shared" si="167"/>
        <v>pes</v>
      </c>
    </row>
    <row r="2655" spans="1:15" x14ac:dyDescent="0.25">
      <c r="A2655">
        <v>10163</v>
      </c>
      <c r="B2655" s="11">
        <v>4013456789017</v>
      </c>
      <c r="C2655" s="1" t="s">
        <v>11</v>
      </c>
      <c r="D2655" s="1" t="s">
        <v>12</v>
      </c>
      <c r="E2655" s="1" t="s">
        <v>13</v>
      </c>
      <c r="F2655">
        <v>6</v>
      </c>
      <c r="G2655">
        <v>1</v>
      </c>
      <c r="H2655" s="1" t="s">
        <v>14</v>
      </c>
      <c r="I2655" s="1" t="s">
        <v>15</v>
      </c>
      <c r="J2655" s="12">
        <v>45844</v>
      </c>
      <c r="K2655">
        <v>0</v>
      </c>
      <c r="L2655" s="1">
        <f t="shared" si="164"/>
        <v>6</v>
      </c>
      <c r="M2655" s="1" t="str">
        <f t="shared" si="165"/>
        <v/>
      </c>
      <c r="N2655" s="2">
        <f t="shared" si="166"/>
        <v>45839</v>
      </c>
      <c r="O2655" t="str">
        <f t="shared" si="167"/>
        <v>pes</v>
      </c>
    </row>
    <row r="2656" spans="1:15" x14ac:dyDescent="0.25">
      <c r="A2656">
        <v>10164</v>
      </c>
      <c r="B2656" s="11">
        <v>8599988776654</v>
      </c>
      <c r="C2656" s="1" t="s">
        <v>393</v>
      </c>
      <c r="D2656" s="1" t="s">
        <v>133</v>
      </c>
      <c r="E2656" s="1" t="s">
        <v>17</v>
      </c>
      <c r="F2656">
        <v>16.8</v>
      </c>
      <c r="G2656">
        <v>1</v>
      </c>
      <c r="H2656" s="1" t="s">
        <v>14</v>
      </c>
      <c r="I2656" s="1" t="s">
        <v>15</v>
      </c>
      <c r="J2656" s="12">
        <v>45845</v>
      </c>
      <c r="K2656">
        <v>0</v>
      </c>
      <c r="L2656" s="1">
        <f t="shared" si="164"/>
        <v>16.8</v>
      </c>
      <c r="M2656" s="1" t="str">
        <f t="shared" si="165"/>
        <v/>
      </c>
      <c r="N2656" s="2">
        <f t="shared" si="166"/>
        <v>45839</v>
      </c>
      <c r="O2656" t="str">
        <f t="shared" si="167"/>
        <v>pes</v>
      </c>
    </row>
    <row r="2657" spans="1:15" x14ac:dyDescent="0.25">
      <c r="A2657">
        <v>10165</v>
      </c>
      <c r="B2657" s="11">
        <v>4028899001126</v>
      </c>
      <c r="C2657" s="1" t="s">
        <v>16</v>
      </c>
      <c r="D2657" s="1" t="s">
        <v>12</v>
      </c>
      <c r="E2657" s="1" t="s">
        <v>17</v>
      </c>
      <c r="F2657">
        <v>2.8</v>
      </c>
      <c r="G2657">
        <v>2</v>
      </c>
      <c r="H2657" s="1" t="s">
        <v>14</v>
      </c>
      <c r="I2657" s="1" t="s">
        <v>15</v>
      </c>
      <c r="J2657" s="12">
        <v>45845</v>
      </c>
      <c r="K2657">
        <v>0</v>
      </c>
      <c r="L2657" s="1">
        <f t="shared" si="164"/>
        <v>5.6</v>
      </c>
      <c r="M2657" s="1" t="str">
        <f t="shared" si="165"/>
        <v/>
      </c>
      <c r="N2657" s="2">
        <f t="shared" si="166"/>
        <v>45839</v>
      </c>
      <c r="O2657" t="str">
        <f t="shared" si="167"/>
        <v>pes</v>
      </c>
    </row>
    <row r="2658" spans="1:15" x14ac:dyDescent="0.25">
      <c r="A2658">
        <v>10166</v>
      </c>
      <c r="B2658" s="11">
        <v>8599988776654</v>
      </c>
      <c r="C2658" s="1" t="s">
        <v>393</v>
      </c>
      <c r="D2658" s="1" t="s">
        <v>133</v>
      </c>
      <c r="E2658" s="1" t="s">
        <v>17</v>
      </c>
      <c r="F2658">
        <v>16.8</v>
      </c>
      <c r="G2658">
        <v>1</v>
      </c>
      <c r="H2658" s="1" t="s">
        <v>14</v>
      </c>
      <c r="I2658" s="1" t="s">
        <v>15</v>
      </c>
      <c r="J2658" s="12">
        <v>45845</v>
      </c>
      <c r="K2658">
        <v>0</v>
      </c>
      <c r="L2658" s="1">
        <f t="shared" si="164"/>
        <v>16.8</v>
      </c>
      <c r="M2658" s="1" t="str">
        <f t="shared" si="165"/>
        <v/>
      </c>
      <c r="N2658" s="2">
        <f t="shared" si="166"/>
        <v>45839</v>
      </c>
      <c r="O2658" t="str">
        <f t="shared" si="167"/>
        <v>pes</v>
      </c>
    </row>
    <row r="2659" spans="1:15" hidden="1" x14ac:dyDescent="0.25">
      <c r="A2659">
        <v>10167</v>
      </c>
      <c r="B2659" s="11">
        <v>4056789012345</v>
      </c>
      <c r="C2659" s="1" t="s">
        <v>47</v>
      </c>
      <c r="D2659" s="1" t="s">
        <v>29</v>
      </c>
      <c r="E2659" s="1" t="s">
        <v>37</v>
      </c>
      <c r="F2659">
        <v>2.4</v>
      </c>
      <c r="G2659">
        <v>3</v>
      </c>
      <c r="H2659" s="1" t="s">
        <v>14</v>
      </c>
      <c r="I2659" s="1" t="s">
        <v>15</v>
      </c>
      <c r="J2659" s="12">
        <v>45845</v>
      </c>
      <c r="K2659">
        <v>0</v>
      </c>
      <c r="L2659" s="1">
        <f t="shared" si="164"/>
        <v>7.1999999999999993</v>
      </c>
      <c r="M2659" s="1" t="str">
        <f t="shared" si="165"/>
        <v/>
      </c>
      <c r="N2659" s="2">
        <f t="shared" si="166"/>
        <v>45839</v>
      </c>
      <c r="O2659" t="str">
        <f t="shared" si="167"/>
        <v>mačka</v>
      </c>
    </row>
    <row r="2660" spans="1:15" x14ac:dyDescent="0.25">
      <c r="A2660">
        <v>10168</v>
      </c>
      <c r="B2660" s="11">
        <v>8599988776654</v>
      </c>
      <c r="C2660" s="1" t="s">
        <v>393</v>
      </c>
      <c r="D2660" s="1" t="s">
        <v>133</v>
      </c>
      <c r="E2660" s="1" t="s">
        <v>17</v>
      </c>
      <c r="F2660">
        <v>16.8</v>
      </c>
      <c r="G2660">
        <v>1</v>
      </c>
      <c r="H2660" s="1" t="s">
        <v>23</v>
      </c>
      <c r="I2660" s="1" t="s">
        <v>419</v>
      </c>
      <c r="J2660" s="12">
        <v>45845</v>
      </c>
      <c r="K2660">
        <v>0</v>
      </c>
      <c r="L2660" s="1">
        <f t="shared" si="164"/>
        <v>16.8</v>
      </c>
      <c r="M2660" s="1">
        <f t="shared" si="165"/>
        <v>5</v>
      </c>
      <c r="N2660" s="2">
        <f t="shared" si="166"/>
        <v>45839</v>
      </c>
      <c r="O2660" t="str">
        <f t="shared" si="167"/>
        <v>pes</v>
      </c>
    </row>
    <row r="2661" spans="1:15" x14ac:dyDescent="0.25">
      <c r="A2661">
        <v>10169</v>
      </c>
      <c r="B2661" s="11">
        <v>4017890123450</v>
      </c>
      <c r="C2661" s="1" t="s">
        <v>65</v>
      </c>
      <c r="D2661" s="1" t="s">
        <v>39</v>
      </c>
      <c r="E2661" s="1" t="s">
        <v>22</v>
      </c>
      <c r="F2661">
        <v>7.6</v>
      </c>
      <c r="G2661">
        <v>1</v>
      </c>
      <c r="H2661" s="1" t="s">
        <v>14</v>
      </c>
      <c r="I2661" s="1" t="s">
        <v>15</v>
      </c>
      <c r="J2661" s="12">
        <v>45845</v>
      </c>
      <c r="K2661">
        <v>0</v>
      </c>
      <c r="L2661" s="1">
        <f t="shared" si="164"/>
        <v>7.6</v>
      </c>
      <c r="M2661" s="1" t="str">
        <f t="shared" si="165"/>
        <v/>
      </c>
      <c r="N2661" s="2">
        <f t="shared" si="166"/>
        <v>45839</v>
      </c>
      <c r="O2661" t="str">
        <f t="shared" si="167"/>
        <v>pes</v>
      </c>
    </row>
    <row r="2662" spans="1:15" x14ac:dyDescent="0.25">
      <c r="A2662">
        <v>10170</v>
      </c>
      <c r="B2662" s="11">
        <v>8599988776654</v>
      </c>
      <c r="C2662" s="1" t="s">
        <v>393</v>
      </c>
      <c r="D2662" s="1" t="s">
        <v>133</v>
      </c>
      <c r="E2662" s="1" t="s">
        <v>17</v>
      </c>
      <c r="F2662">
        <v>16.8</v>
      </c>
      <c r="G2662">
        <v>1</v>
      </c>
      <c r="H2662" s="1" t="s">
        <v>14</v>
      </c>
      <c r="I2662" s="1" t="s">
        <v>15</v>
      </c>
      <c r="J2662" s="12">
        <v>45845</v>
      </c>
      <c r="K2662">
        <v>0</v>
      </c>
      <c r="L2662" s="1">
        <f t="shared" si="164"/>
        <v>16.8</v>
      </c>
      <c r="M2662" s="1" t="str">
        <f t="shared" si="165"/>
        <v/>
      </c>
      <c r="N2662" s="2">
        <f t="shared" si="166"/>
        <v>45839</v>
      </c>
      <c r="O2662" t="str">
        <f t="shared" si="167"/>
        <v>pes</v>
      </c>
    </row>
    <row r="2663" spans="1:15" x14ac:dyDescent="0.25">
      <c r="A2663">
        <v>10171</v>
      </c>
      <c r="B2663" s="11">
        <v>4063456789014</v>
      </c>
      <c r="C2663" s="1" t="s">
        <v>60</v>
      </c>
      <c r="D2663" s="1" t="s">
        <v>12</v>
      </c>
      <c r="E2663" s="1" t="s">
        <v>61</v>
      </c>
      <c r="F2663">
        <v>36</v>
      </c>
      <c r="G2663">
        <v>1</v>
      </c>
      <c r="H2663" s="1" t="s">
        <v>14</v>
      </c>
      <c r="I2663" s="1" t="s">
        <v>15</v>
      </c>
      <c r="J2663" s="12">
        <v>45845</v>
      </c>
      <c r="K2663">
        <v>0</v>
      </c>
      <c r="L2663" s="1">
        <f t="shared" si="164"/>
        <v>36</v>
      </c>
      <c r="M2663" s="1" t="str">
        <f t="shared" si="165"/>
        <v/>
      </c>
      <c r="N2663" s="2">
        <f t="shared" si="166"/>
        <v>45839</v>
      </c>
      <c r="O2663" t="str">
        <f t="shared" si="167"/>
        <v>pes</v>
      </c>
    </row>
    <row r="2664" spans="1:15" x14ac:dyDescent="0.25">
      <c r="A2664">
        <v>10172</v>
      </c>
      <c r="B2664" s="11">
        <v>8599988776654</v>
      </c>
      <c r="C2664" s="1" t="s">
        <v>393</v>
      </c>
      <c r="D2664" s="1" t="s">
        <v>133</v>
      </c>
      <c r="E2664" s="1" t="s">
        <v>17</v>
      </c>
      <c r="F2664">
        <v>16.8</v>
      </c>
      <c r="G2664">
        <v>2</v>
      </c>
      <c r="H2664" s="1" t="s">
        <v>14</v>
      </c>
      <c r="I2664" s="1" t="s">
        <v>15</v>
      </c>
      <c r="J2664" s="12">
        <v>45845</v>
      </c>
      <c r="K2664">
        <v>0</v>
      </c>
      <c r="L2664" s="1">
        <f t="shared" si="164"/>
        <v>33.6</v>
      </c>
      <c r="M2664" s="1" t="str">
        <f t="shared" si="165"/>
        <v/>
      </c>
      <c r="N2664" s="2">
        <f t="shared" si="166"/>
        <v>45839</v>
      </c>
      <c r="O2664" t="str">
        <f t="shared" si="167"/>
        <v>pes</v>
      </c>
    </row>
    <row r="2665" spans="1:15" hidden="1" x14ac:dyDescent="0.25">
      <c r="A2665">
        <v>10173</v>
      </c>
      <c r="B2665" s="11">
        <v>4021234567894</v>
      </c>
      <c r="C2665" s="1" t="s">
        <v>79</v>
      </c>
      <c r="D2665" s="1" t="s">
        <v>36</v>
      </c>
      <c r="E2665" s="1" t="s">
        <v>69</v>
      </c>
      <c r="F2665">
        <v>8</v>
      </c>
      <c r="G2665">
        <v>1</v>
      </c>
      <c r="H2665" s="1" t="s">
        <v>14</v>
      </c>
      <c r="I2665" s="1" t="s">
        <v>15</v>
      </c>
      <c r="J2665" s="12">
        <v>45845</v>
      </c>
      <c r="K2665">
        <v>0</v>
      </c>
      <c r="L2665" s="1">
        <f t="shared" si="164"/>
        <v>8</v>
      </c>
      <c r="M2665" s="1" t="str">
        <f t="shared" si="165"/>
        <v/>
      </c>
      <c r="N2665" s="2">
        <f t="shared" si="166"/>
        <v>45839</v>
      </c>
      <c r="O2665" t="str">
        <f t="shared" si="167"/>
        <v>mačka</v>
      </c>
    </row>
    <row r="2666" spans="1:15" x14ac:dyDescent="0.25">
      <c r="A2666">
        <v>10174</v>
      </c>
      <c r="B2666" s="11">
        <v>8599988776654</v>
      </c>
      <c r="C2666" s="1" t="s">
        <v>393</v>
      </c>
      <c r="D2666" s="1" t="s">
        <v>133</v>
      </c>
      <c r="E2666" s="1" t="s">
        <v>17</v>
      </c>
      <c r="F2666">
        <v>16.8</v>
      </c>
      <c r="G2666">
        <v>1</v>
      </c>
      <c r="H2666" s="1" t="s">
        <v>14</v>
      </c>
      <c r="I2666" s="1" t="s">
        <v>15</v>
      </c>
      <c r="J2666" s="12">
        <v>45845</v>
      </c>
      <c r="K2666">
        <v>0</v>
      </c>
      <c r="L2666" s="1">
        <f t="shared" si="164"/>
        <v>16.8</v>
      </c>
      <c r="M2666" s="1" t="str">
        <f t="shared" si="165"/>
        <v/>
      </c>
      <c r="N2666" s="2">
        <f t="shared" si="166"/>
        <v>45839</v>
      </c>
      <c r="O2666" t="str">
        <f t="shared" si="167"/>
        <v>pes</v>
      </c>
    </row>
    <row r="2667" spans="1:15" hidden="1" x14ac:dyDescent="0.25">
      <c r="A2667">
        <v>10175</v>
      </c>
      <c r="B2667" s="11">
        <v>4010123456783</v>
      </c>
      <c r="C2667" s="1" t="s">
        <v>35</v>
      </c>
      <c r="D2667" s="1" t="s">
        <v>36</v>
      </c>
      <c r="E2667" s="1" t="s">
        <v>37</v>
      </c>
      <c r="F2667">
        <v>14</v>
      </c>
      <c r="G2667">
        <v>1</v>
      </c>
      <c r="H2667" s="1" t="s">
        <v>14</v>
      </c>
      <c r="I2667" s="1" t="s">
        <v>15</v>
      </c>
      <c r="J2667" s="12">
        <v>45845</v>
      </c>
      <c r="K2667">
        <v>0</v>
      </c>
      <c r="L2667" s="1">
        <f t="shared" si="164"/>
        <v>14</v>
      </c>
      <c r="M2667" s="1" t="str">
        <f t="shared" si="165"/>
        <v/>
      </c>
      <c r="N2667" s="2">
        <f t="shared" si="166"/>
        <v>45839</v>
      </c>
      <c r="O2667" t="str">
        <f t="shared" si="167"/>
        <v>mačka</v>
      </c>
    </row>
    <row r="2668" spans="1:15" x14ac:dyDescent="0.25">
      <c r="A2668">
        <v>10176</v>
      </c>
      <c r="B2668" s="11">
        <v>8599988776654</v>
      </c>
      <c r="C2668" s="1" t="s">
        <v>393</v>
      </c>
      <c r="D2668" s="1" t="s">
        <v>133</v>
      </c>
      <c r="E2668" s="1" t="s">
        <v>17</v>
      </c>
      <c r="F2668">
        <v>16.8</v>
      </c>
      <c r="G2668">
        <v>1</v>
      </c>
      <c r="H2668" s="1" t="s">
        <v>23</v>
      </c>
      <c r="I2668" s="1" t="s">
        <v>420</v>
      </c>
      <c r="J2668" s="12">
        <v>45845</v>
      </c>
      <c r="K2668">
        <v>0</v>
      </c>
      <c r="L2668" s="1">
        <f t="shared" si="164"/>
        <v>16.8</v>
      </c>
      <c r="M2668" s="1">
        <f t="shared" si="165"/>
        <v>5</v>
      </c>
      <c r="N2668" s="2">
        <f t="shared" si="166"/>
        <v>45839</v>
      </c>
      <c r="O2668" t="str">
        <f t="shared" si="167"/>
        <v>pes</v>
      </c>
    </row>
    <row r="2669" spans="1:15" x14ac:dyDescent="0.25">
      <c r="A2669">
        <v>10177</v>
      </c>
      <c r="B2669" s="11">
        <v>4028899001126</v>
      </c>
      <c r="C2669" s="1" t="s">
        <v>16</v>
      </c>
      <c r="D2669" s="1" t="s">
        <v>12</v>
      </c>
      <c r="E2669" s="1" t="s">
        <v>17</v>
      </c>
      <c r="F2669">
        <v>2.8</v>
      </c>
      <c r="G2669">
        <v>3</v>
      </c>
      <c r="H2669" s="1" t="s">
        <v>14</v>
      </c>
      <c r="I2669" s="1" t="s">
        <v>15</v>
      </c>
      <c r="J2669" s="12">
        <v>45845</v>
      </c>
      <c r="K2669">
        <v>0</v>
      </c>
      <c r="L2669" s="1">
        <f t="shared" si="164"/>
        <v>8.3999999999999986</v>
      </c>
      <c r="M2669" s="1" t="str">
        <f t="shared" si="165"/>
        <v/>
      </c>
      <c r="N2669" s="2">
        <f t="shared" si="166"/>
        <v>45839</v>
      </c>
      <c r="O2669" t="str">
        <f t="shared" si="167"/>
        <v>pes</v>
      </c>
    </row>
    <row r="2670" spans="1:15" x14ac:dyDescent="0.25">
      <c r="A2670">
        <v>10178</v>
      </c>
      <c r="B2670" s="11">
        <v>8599988776654</v>
      </c>
      <c r="C2670" s="1" t="s">
        <v>393</v>
      </c>
      <c r="D2670" s="1" t="s">
        <v>133</v>
      </c>
      <c r="E2670" s="1" t="s">
        <v>17</v>
      </c>
      <c r="F2670">
        <v>16.8</v>
      </c>
      <c r="G2670">
        <v>2</v>
      </c>
      <c r="H2670" s="1" t="s">
        <v>14</v>
      </c>
      <c r="I2670" s="1" t="s">
        <v>15</v>
      </c>
      <c r="J2670" s="12">
        <v>45845</v>
      </c>
      <c r="K2670">
        <v>0</v>
      </c>
      <c r="L2670" s="1">
        <f t="shared" si="164"/>
        <v>33.6</v>
      </c>
      <c r="M2670" s="1" t="str">
        <f t="shared" si="165"/>
        <v/>
      </c>
      <c r="N2670" s="2">
        <f t="shared" si="166"/>
        <v>45839</v>
      </c>
      <c r="O2670" t="str">
        <f t="shared" si="167"/>
        <v>pes</v>
      </c>
    </row>
    <row r="2671" spans="1:15" x14ac:dyDescent="0.25">
      <c r="A2671">
        <v>10179</v>
      </c>
      <c r="B2671" s="11">
        <v>4013456789017</v>
      </c>
      <c r="C2671" s="1" t="s">
        <v>11</v>
      </c>
      <c r="D2671" s="1" t="s">
        <v>12</v>
      </c>
      <c r="E2671" s="1" t="s">
        <v>13</v>
      </c>
      <c r="F2671">
        <v>6</v>
      </c>
      <c r="G2671">
        <v>1</v>
      </c>
      <c r="H2671" s="1" t="s">
        <v>14</v>
      </c>
      <c r="I2671" s="1" t="s">
        <v>15</v>
      </c>
      <c r="J2671" s="12">
        <v>45845</v>
      </c>
      <c r="K2671">
        <v>0</v>
      </c>
      <c r="L2671" s="1">
        <f t="shared" si="164"/>
        <v>6</v>
      </c>
      <c r="M2671" s="1" t="str">
        <f t="shared" si="165"/>
        <v/>
      </c>
      <c r="N2671" s="2">
        <f t="shared" si="166"/>
        <v>45839</v>
      </c>
      <c r="O2671" t="str">
        <f t="shared" si="167"/>
        <v>pes</v>
      </c>
    </row>
    <row r="2672" spans="1:15" x14ac:dyDescent="0.25">
      <c r="A2672">
        <v>10180</v>
      </c>
      <c r="B2672" s="11">
        <v>8599988776654</v>
      </c>
      <c r="C2672" s="1" t="s">
        <v>393</v>
      </c>
      <c r="D2672" s="1" t="s">
        <v>133</v>
      </c>
      <c r="E2672" s="1" t="s">
        <v>17</v>
      </c>
      <c r="F2672">
        <v>16.8</v>
      </c>
      <c r="G2672">
        <v>1</v>
      </c>
      <c r="H2672" s="1" t="s">
        <v>14</v>
      </c>
      <c r="I2672" s="1" t="s">
        <v>15</v>
      </c>
      <c r="J2672" s="12">
        <v>45846</v>
      </c>
      <c r="K2672">
        <v>0</v>
      </c>
      <c r="L2672" s="1">
        <f t="shared" si="164"/>
        <v>16.8</v>
      </c>
      <c r="M2672" s="1" t="str">
        <f t="shared" si="165"/>
        <v/>
      </c>
      <c r="N2672" s="2">
        <f t="shared" si="166"/>
        <v>45839</v>
      </c>
      <c r="O2672" t="str">
        <f t="shared" si="167"/>
        <v>pes</v>
      </c>
    </row>
    <row r="2673" spans="1:15" x14ac:dyDescent="0.25">
      <c r="A2673">
        <v>10181</v>
      </c>
      <c r="B2673" s="11">
        <v>4063456789014</v>
      </c>
      <c r="C2673" s="1" t="s">
        <v>60</v>
      </c>
      <c r="D2673" s="1" t="s">
        <v>12</v>
      </c>
      <c r="E2673" s="1" t="s">
        <v>61</v>
      </c>
      <c r="F2673">
        <v>36</v>
      </c>
      <c r="G2673">
        <v>1</v>
      </c>
      <c r="H2673" s="1" t="s">
        <v>14</v>
      </c>
      <c r="I2673" s="1" t="s">
        <v>15</v>
      </c>
      <c r="J2673" s="12">
        <v>45846</v>
      </c>
      <c r="K2673">
        <v>0</v>
      </c>
      <c r="L2673" s="1">
        <f t="shared" si="164"/>
        <v>36</v>
      </c>
      <c r="M2673" s="1" t="str">
        <f t="shared" si="165"/>
        <v/>
      </c>
      <c r="N2673" s="2">
        <f t="shared" si="166"/>
        <v>45839</v>
      </c>
      <c r="O2673" t="str">
        <f t="shared" si="167"/>
        <v>pes</v>
      </c>
    </row>
    <row r="2674" spans="1:15" x14ac:dyDescent="0.25">
      <c r="A2674">
        <v>10182</v>
      </c>
      <c r="B2674" s="11">
        <v>8599988776654</v>
      </c>
      <c r="C2674" s="1" t="s">
        <v>393</v>
      </c>
      <c r="D2674" s="1" t="s">
        <v>133</v>
      </c>
      <c r="E2674" s="1" t="s">
        <v>17</v>
      </c>
      <c r="F2674">
        <v>16.8</v>
      </c>
      <c r="G2674">
        <v>1</v>
      </c>
      <c r="H2674" s="1" t="s">
        <v>14</v>
      </c>
      <c r="I2674" s="1" t="s">
        <v>15</v>
      </c>
      <c r="J2674" s="12">
        <v>45846</v>
      </c>
      <c r="K2674">
        <v>0</v>
      </c>
      <c r="L2674" s="1">
        <f t="shared" si="164"/>
        <v>16.8</v>
      </c>
      <c r="M2674" s="1" t="str">
        <f t="shared" si="165"/>
        <v/>
      </c>
      <c r="N2674" s="2">
        <f t="shared" si="166"/>
        <v>45839</v>
      </c>
      <c r="O2674" t="str">
        <f t="shared" si="167"/>
        <v>pes</v>
      </c>
    </row>
    <row r="2675" spans="1:15" x14ac:dyDescent="0.25">
      <c r="A2675">
        <v>10183</v>
      </c>
      <c r="B2675" s="11">
        <v>4028899001126</v>
      </c>
      <c r="C2675" s="1" t="s">
        <v>16</v>
      </c>
      <c r="D2675" s="1" t="s">
        <v>12</v>
      </c>
      <c r="E2675" s="1" t="s">
        <v>17</v>
      </c>
      <c r="F2675">
        <v>2.8</v>
      </c>
      <c r="G2675">
        <v>4</v>
      </c>
      <c r="H2675" s="1" t="s">
        <v>14</v>
      </c>
      <c r="I2675" s="1" t="s">
        <v>15</v>
      </c>
      <c r="J2675" s="12">
        <v>45846</v>
      </c>
      <c r="K2675">
        <v>0</v>
      </c>
      <c r="L2675" s="1">
        <f t="shared" si="164"/>
        <v>11.2</v>
      </c>
      <c r="M2675" s="1" t="str">
        <f t="shared" si="165"/>
        <v/>
      </c>
      <c r="N2675" s="2">
        <f t="shared" si="166"/>
        <v>45839</v>
      </c>
      <c r="O2675" t="str">
        <f t="shared" si="167"/>
        <v>pes</v>
      </c>
    </row>
    <row r="2676" spans="1:15" x14ac:dyDescent="0.25">
      <c r="A2676">
        <v>10184</v>
      </c>
      <c r="B2676" s="11">
        <v>8599988776654</v>
      </c>
      <c r="C2676" s="1" t="s">
        <v>393</v>
      </c>
      <c r="D2676" s="1" t="s">
        <v>133</v>
      </c>
      <c r="E2676" s="1" t="s">
        <v>17</v>
      </c>
      <c r="F2676">
        <v>16.8</v>
      </c>
      <c r="G2676">
        <v>2</v>
      </c>
      <c r="H2676" s="1" t="s">
        <v>18</v>
      </c>
      <c r="I2676" s="1" t="s">
        <v>421</v>
      </c>
      <c r="J2676" s="12">
        <v>45846</v>
      </c>
      <c r="K2676">
        <v>0</v>
      </c>
      <c r="L2676" s="1">
        <f t="shared" si="164"/>
        <v>33.6</v>
      </c>
      <c r="M2676" s="1">
        <f t="shared" si="165"/>
        <v>4</v>
      </c>
      <c r="N2676" s="2">
        <f t="shared" si="166"/>
        <v>45839</v>
      </c>
      <c r="O2676" t="str">
        <f t="shared" si="167"/>
        <v>pes</v>
      </c>
    </row>
    <row r="2677" spans="1:15" hidden="1" x14ac:dyDescent="0.25">
      <c r="A2677">
        <v>10185</v>
      </c>
      <c r="B2677" s="11">
        <v>4010123456783</v>
      </c>
      <c r="C2677" s="1" t="s">
        <v>35</v>
      </c>
      <c r="D2677" s="1" t="s">
        <v>36</v>
      </c>
      <c r="E2677" s="1" t="s">
        <v>37</v>
      </c>
      <c r="F2677">
        <v>14</v>
      </c>
      <c r="G2677">
        <v>1</v>
      </c>
      <c r="H2677" s="1" t="s">
        <v>14</v>
      </c>
      <c r="I2677" s="1" t="s">
        <v>15</v>
      </c>
      <c r="J2677" s="12">
        <v>45846</v>
      </c>
      <c r="K2677">
        <v>0</v>
      </c>
      <c r="L2677" s="1">
        <f t="shared" si="164"/>
        <v>14</v>
      </c>
      <c r="M2677" s="1" t="str">
        <f t="shared" si="165"/>
        <v/>
      </c>
      <c r="N2677" s="2">
        <f t="shared" si="166"/>
        <v>45839</v>
      </c>
      <c r="O2677" t="str">
        <f t="shared" si="167"/>
        <v>mačka</v>
      </c>
    </row>
    <row r="2678" spans="1:15" x14ac:dyDescent="0.25">
      <c r="A2678">
        <v>10186</v>
      </c>
      <c r="B2678" s="11">
        <v>8599988776654</v>
      </c>
      <c r="C2678" s="1" t="s">
        <v>393</v>
      </c>
      <c r="D2678" s="1" t="s">
        <v>133</v>
      </c>
      <c r="E2678" s="1" t="s">
        <v>17</v>
      </c>
      <c r="F2678">
        <v>16.8</v>
      </c>
      <c r="G2678">
        <v>1</v>
      </c>
      <c r="H2678" s="1" t="s">
        <v>14</v>
      </c>
      <c r="I2678" s="1" t="s">
        <v>15</v>
      </c>
      <c r="J2678" s="12">
        <v>45846</v>
      </c>
      <c r="K2678">
        <v>0</v>
      </c>
      <c r="L2678" s="1">
        <f t="shared" si="164"/>
        <v>16.8</v>
      </c>
      <c r="M2678" s="1" t="str">
        <f t="shared" si="165"/>
        <v/>
      </c>
      <c r="N2678" s="2">
        <f t="shared" si="166"/>
        <v>45839</v>
      </c>
      <c r="O2678" t="str">
        <f t="shared" si="167"/>
        <v>pes</v>
      </c>
    </row>
    <row r="2679" spans="1:15" hidden="1" x14ac:dyDescent="0.25">
      <c r="A2679">
        <v>10187</v>
      </c>
      <c r="B2679" s="11">
        <v>4056789012345</v>
      </c>
      <c r="C2679" s="1" t="s">
        <v>47</v>
      </c>
      <c r="D2679" s="1" t="s">
        <v>29</v>
      </c>
      <c r="E2679" s="1" t="s">
        <v>37</v>
      </c>
      <c r="F2679">
        <v>2.4</v>
      </c>
      <c r="G2679">
        <v>2</v>
      </c>
      <c r="H2679" s="1" t="s">
        <v>14</v>
      </c>
      <c r="I2679" s="1" t="s">
        <v>15</v>
      </c>
      <c r="J2679" s="12">
        <v>45846</v>
      </c>
      <c r="K2679">
        <v>0</v>
      </c>
      <c r="L2679" s="1">
        <f t="shared" si="164"/>
        <v>4.8</v>
      </c>
      <c r="M2679" s="1" t="str">
        <f t="shared" si="165"/>
        <v/>
      </c>
      <c r="N2679" s="2">
        <f t="shared" si="166"/>
        <v>45839</v>
      </c>
      <c r="O2679" t="str">
        <f t="shared" si="167"/>
        <v>mačka</v>
      </c>
    </row>
    <row r="2680" spans="1:15" x14ac:dyDescent="0.25">
      <c r="A2680">
        <v>10188</v>
      </c>
      <c r="B2680" s="11">
        <v>8599988776654</v>
      </c>
      <c r="C2680" s="1" t="s">
        <v>393</v>
      </c>
      <c r="D2680" s="1" t="s">
        <v>133</v>
      </c>
      <c r="E2680" s="1" t="s">
        <v>17</v>
      </c>
      <c r="F2680">
        <v>16.8</v>
      </c>
      <c r="G2680">
        <v>1</v>
      </c>
      <c r="H2680" s="1" t="s">
        <v>23</v>
      </c>
      <c r="I2680" s="1" t="s">
        <v>422</v>
      </c>
      <c r="J2680" s="12">
        <v>45846</v>
      </c>
      <c r="K2680">
        <v>0</v>
      </c>
      <c r="L2680" s="1">
        <f t="shared" si="164"/>
        <v>16.8</v>
      </c>
      <c r="M2680" s="1">
        <f t="shared" si="165"/>
        <v>5</v>
      </c>
      <c r="N2680" s="2">
        <f t="shared" si="166"/>
        <v>45839</v>
      </c>
      <c r="O2680" t="str">
        <f t="shared" si="167"/>
        <v>pes</v>
      </c>
    </row>
    <row r="2681" spans="1:15" x14ac:dyDescent="0.25">
      <c r="A2681">
        <v>10189</v>
      </c>
      <c r="B2681" s="11">
        <v>4017890123450</v>
      </c>
      <c r="C2681" s="1" t="s">
        <v>65</v>
      </c>
      <c r="D2681" s="1" t="s">
        <v>39</v>
      </c>
      <c r="E2681" s="1" t="s">
        <v>22</v>
      </c>
      <c r="F2681">
        <v>7.6</v>
      </c>
      <c r="G2681">
        <v>1</v>
      </c>
      <c r="H2681" s="1" t="s">
        <v>14</v>
      </c>
      <c r="I2681" s="1" t="s">
        <v>15</v>
      </c>
      <c r="J2681" s="12">
        <v>45846</v>
      </c>
      <c r="K2681">
        <v>0</v>
      </c>
      <c r="L2681" s="1">
        <f t="shared" si="164"/>
        <v>7.6</v>
      </c>
      <c r="M2681" s="1" t="str">
        <f t="shared" si="165"/>
        <v/>
      </c>
      <c r="N2681" s="2">
        <f t="shared" si="166"/>
        <v>45839</v>
      </c>
      <c r="O2681" t="str">
        <f t="shared" si="167"/>
        <v>pes</v>
      </c>
    </row>
    <row r="2682" spans="1:15" x14ac:dyDescent="0.25">
      <c r="A2682">
        <v>10190</v>
      </c>
      <c r="B2682" s="11">
        <v>8599988776654</v>
      </c>
      <c r="C2682" s="1" t="s">
        <v>393</v>
      </c>
      <c r="D2682" s="1" t="s">
        <v>133</v>
      </c>
      <c r="E2682" s="1" t="s">
        <v>17</v>
      </c>
      <c r="F2682">
        <v>16.8</v>
      </c>
      <c r="G2682">
        <v>1</v>
      </c>
      <c r="H2682" s="1" t="s">
        <v>14</v>
      </c>
      <c r="I2682" s="1" t="s">
        <v>15</v>
      </c>
      <c r="J2682" s="12">
        <v>45846</v>
      </c>
      <c r="K2682">
        <v>0</v>
      </c>
      <c r="L2682" s="1">
        <f t="shared" si="164"/>
        <v>16.8</v>
      </c>
      <c r="M2682" s="1" t="str">
        <f t="shared" si="165"/>
        <v/>
      </c>
      <c r="N2682" s="2">
        <f t="shared" si="166"/>
        <v>45839</v>
      </c>
      <c r="O2682" t="str">
        <f t="shared" si="167"/>
        <v>pes</v>
      </c>
    </row>
    <row r="2683" spans="1:15" hidden="1" x14ac:dyDescent="0.25">
      <c r="A2683">
        <v>10191</v>
      </c>
      <c r="B2683" s="11">
        <v>4026677889902</v>
      </c>
      <c r="C2683" s="1" t="s">
        <v>52</v>
      </c>
      <c r="D2683" s="1" t="s">
        <v>53</v>
      </c>
      <c r="E2683" s="1" t="s">
        <v>54</v>
      </c>
      <c r="F2683">
        <v>7.6</v>
      </c>
      <c r="G2683">
        <v>1</v>
      </c>
      <c r="H2683" s="1" t="s">
        <v>14</v>
      </c>
      <c r="I2683" s="1" t="s">
        <v>15</v>
      </c>
      <c r="J2683" s="12">
        <v>45846</v>
      </c>
      <c r="K2683">
        <v>0</v>
      </c>
      <c r="L2683" s="1">
        <f t="shared" si="164"/>
        <v>7.6</v>
      </c>
      <c r="M2683" s="1" t="str">
        <f t="shared" si="165"/>
        <v/>
      </c>
      <c r="N2683" s="2">
        <f t="shared" si="166"/>
        <v>45839</v>
      </c>
      <c r="O2683" t="str">
        <f t="shared" si="167"/>
        <v>iné</v>
      </c>
    </row>
    <row r="2684" spans="1:15" x14ac:dyDescent="0.25">
      <c r="A2684">
        <v>10192</v>
      </c>
      <c r="B2684" s="11">
        <v>8599988776654</v>
      </c>
      <c r="C2684" s="1" t="s">
        <v>393</v>
      </c>
      <c r="D2684" s="1" t="s">
        <v>133</v>
      </c>
      <c r="E2684" s="1" t="s">
        <v>17</v>
      </c>
      <c r="F2684">
        <v>16.8</v>
      </c>
      <c r="G2684">
        <v>1</v>
      </c>
      <c r="H2684" s="1" t="s">
        <v>14</v>
      </c>
      <c r="I2684" s="1" t="s">
        <v>15</v>
      </c>
      <c r="J2684" s="12">
        <v>45846</v>
      </c>
      <c r="K2684">
        <v>0</v>
      </c>
      <c r="L2684" s="1">
        <f t="shared" si="164"/>
        <v>16.8</v>
      </c>
      <c r="M2684" s="1" t="str">
        <f t="shared" si="165"/>
        <v/>
      </c>
      <c r="N2684" s="2">
        <f t="shared" si="166"/>
        <v>45839</v>
      </c>
      <c r="O2684" t="str">
        <f t="shared" si="167"/>
        <v>pes</v>
      </c>
    </row>
    <row r="2685" spans="1:15" x14ac:dyDescent="0.25">
      <c r="A2685">
        <v>10193</v>
      </c>
      <c r="B2685" s="11">
        <v>4028899001126</v>
      </c>
      <c r="C2685" s="1" t="s">
        <v>16</v>
      </c>
      <c r="D2685" s="1" t="s">
        <v>12</v>
      </c>
      <c r="E2685" s="1" t="s">
        <v>17</v>
      </c>
      <c r="F2685">
        <v>2.8</v>
      </c>
      <c r="G2685">
        <v>3</v>
      </c>
      <c r="H2685" s="1" t="s">
        <v>14</v>
      </c>
      <c r="I2685" s="1" t="s">
        <v>15</v>
      </c>
      <c r="J2685" s="12">
        <v>45846</v>
      </c>
      <c r="K2685">
        <v>0</v>
      </c>
      <c r="L2685" s="1">
        <f t="shared" si="164"/>
        <v>8.3999999999999986</v>
      </c>
      <c r="M2685" s="1" t="str">
        <f t="shared" si="165"/>
        <v/>
      </c>
      <c r="N2685" s="2">
        <f t="shared" si="166"/>
        <v>45839</v>
      </c>
      <c r="O2685" t="str">
        <f t="shared" si="167"/>
        <v>pes</v>
      </c>
    </row>
    <row r="2686" spans="1:15" x14ac:dyDescent="0.25">
      <c r="A2686">
        <v>10194</v>
      </c>
      <c r="B2686" s="11">
        <v>8599988776654</v>
      </c>
      <c r="C2686" s="1" t="s">
        <v>393</v>
      </c>
      <c r="D2686" s="1" t="s">
        <v>133</v>
      </c>
      <c r="E2686" s="1" t="s">
        <v>17</v>
      </c>
      <c r="F2686">
        <v>16.8</v>
      </c>
      <c r="G2686">
        <v>1</v>
      </c>
      <c r="H2686" s="1" t="s">
        <v>18</v>
      </c>
      <c r="I2686" s="1" t="s">
        <v>423</v>
      </c>
      <c r="J2686" s="12">
        <v>45847</v>
      </c>
      <c r="K2686">
        <v>0</v>
      </c>
      <c r="L2686" s="1">
        <f t="shared" si="164"/>
        <v>16.8</v>
      </c>
      <c r="M2686" s="1">
        <f t="shared" si="165"/>
        <v>4</v>
      </c>
      <c r="N2686" s="2">
        <f t="shared" si="166"/>
        <v>45839</v>
      </c>
      <c r="O2686" t="str">
        <f t="shared" si="167"/>
        <v>pes</v>
      </c>
    </row>
    <row r="2687" spans="1:15" x14ac:dyDescent="0.25">
      <c r="A2687">
        <v>10195</v>
      </c>
      <c r="B2687" s="11">
        <v>4013456789017</v>
      </c>
      <c r="C2687" s="1" t="s">
        <v>11</v>
      </c>
      <c r="D2687" s="1" t="s">
        <v>12</v>
      </c>
      <c r="E2687" s="1" t="s">
        <v>13</v>
      </c>
      <c r="F2687">
        <v>6</v>
      </c>
      <c r="G2687">
        <v>1</v>
      </c>
      <c r="H2687" s="1" t="s">
        <v>14</v>
      </c>
      <c r="I2687" s="1" t="s">
        <v>15</v>
      </c>
      <c r="J2687" s="12">
        <v>45847</v>
      </c>
      <c r="K2687">
        <v>0</v>
      </c>
      <c r="L2687" s="1">
        <f t="shared" si="164"/>
        <v>6</v>
      </c>
      <c r="M2687" s="1" t="str">
        <f t="shared" si="165"/>
        <v/>
      </c>
      <c r="N2687" s="2">
        <f t="shared" si="166"/>
        <v>45839</v>
      </c>
      <c r="O2687" t="str">
        <f t="shared" si="167"/>
        <v>pes</v>
      </c>
    </row>
    <row r="2688" spans="1:15" x14ac:dyDescent="0.25">
      <c r="A2688">
        <v>10196</v>
      </c>
      <c r="B2688" s="11">
        <v>8599988776654</v>
      </c>
      <c r="C2688" s="1" t="s">
        <v>393</v>
      </c>
      <c r="D2688" s="1" t="s">
        <v>133</v>
      </c>
      <c r="E2688" s="1" t="s">
        <v>17</v>
      </c>
      <c r="F2688">
        <v>16.8</v>
      </c>
      <c r="G2688">
        <v>1</v>
      </c>
      <c r="H2688" s="1" t="s">
        <v>14</v>
      </c>
      <c r="I2688" s="1" t="s">
        <v>15</v>
      </c>
      <c r="J2688" s="12">
        <v>45847</v>
      </c>
      <c r="K2688">
        <v>0</v>
      </c>
      <c r="L2688" s="1">
        <f t="shared" si="164"/>
        <v>16.8</v>
      </c>
      <c r="M2688" s="1" t="str">
        <f t="shared" si="165"/>
        <v/>
      </c>
      <c r="N2688" s="2">
        <f t="shared" si="166"/>
        <v>45839</v>
      </c>
      <c r="O2688" t="str">
        <f t="shared" si="167"/>
        <v>pes</v>
      </c>
    </row>
    <row r="2689" spans="1:15" x14ac:dyDescent="0.25">
      <c r="A2689">
        <v>10197</v>
      </c>
      <c r="B2689" s="11">
        <v>4028899001126</v>
      </c>
      <c r="C2689" s="1" t="s">
        <v>16</v>
      </c>
      <c r="D2689" s="1" t="s">
        <v>12</v>
      </c>
      <c r="E2689" s="1" t="s">
        <v>17</v>
      </c>
      <c r="F2689">
        <v>2.8</v>
      </c>
      <c r="G2689">
        <v>3</v>
      </c>
      <c r="H2689" s="1" t="s">
        <v>14</v>
      </c>
      <c r="I2689" s="1" t="s">
        <v>15</v>
      </c>
      <c r="J2689" s="12">
        <v>45847</v>
      </c>
      <c r="K2689">
        <v>0</v>
      </c>
      <c r="L2689" s="1">
        <f t="shared" si="164"/>
        <v>8.3999999999999986</v>
      </c>
      <c r="M2689" s="1" t="str">
        <f t="shared" si="165"/>
        <v/>
      </c>
      <c r="N2689" s="2">
        <f t="shared" si="166"/>
        <v>45839</v>
      </c>
      <c r="O2689" t="str">
        <f t="shared" si="167"/>
        <v>pes</v>
      </c>
    </row>
    <row r="2690" spans="1:15" x14ac:dyDescent="0.25">
      <c r="A2690">
        <v>10198</v>
      </c>
      <c r="B2690" s="11">
        <v>8599988776654</v>
      </c>
      <c r="C2690" s="1" t="s">
        <v>393</v>
      </c>
      <c r="D2690" s="1" t="s">
        <v>133</v>
      </c>
      <c r="E2690" s="1" t="s">
        <v>17</v>
      </c>
      <c r="F2690">
        <v>16.8</v>
      </c>
      <c r="G2690">
        <v>2</v>
      </c>
      <c r="H2690" s="1" t="s">
        <v>14</v>
      </c>
      <c r="I2690" s="1" t="s">
        <v>15</v>
      </c>
      <c r="J2690" s="12">
        <v>45847</v>
      </c>
      <c r="K2690">
        <v>0</v>
      </c>
      <c r="L2690" s="1">
        <f t="shared" ref="L2690:L2753" si="168">F2690*G2690</f>
        <v>33.6</v>
      </c>
      <c r="M2690" s="1" t="str">
        <f t="shared" ref="M2690:M2753" si="169">IF(H2690="NULL", "",VALUE(H2690))</f>
        <v/>
      </c>
      <c r="N2690" s="2">
        <f t="shared" ref="N2690:N2753" si="170">DATE(YEAR(J2690),MONTH(J2690),1)</f>
        <v>45839</v>
      </c>
      <c r="O2690" t="str">
        <f t="shared" ref="O2690:O2753" si="171">IF(ISNUMBER(SEARCH("Mačky",D2690)),"mačka",IF(ISNUMBER(SEARCH("Psy",D2690)),"pes","iné"))</f>
        <v>pes</v>
      </c>
    </row>
    <row r="2691" spans="1:15" x14ac:dyDescent="0.25">
      <c r="A2691">
        <v>10199</v>
      </c>
      <c r="B2691" s="11">
        <v>4063456789014</v>
      </c>
      <c r="C2691" s="1" t="s">
        <v>60</v>
      </c>
      <c r="D2691" s="1" t="s">
        <v>12</v>
      </c>
      <c r="E2691" s="1" t="s">
        <v>61</v>
      </c>
      <c r="F2691">
        <v>36</v>
      </c>
      <c r="G2691">
        <v>1</v>
      </c>
      <c r="H2691" s="1" t="s">
        <v>14</v>
      </c>
      <c r="I2691" s="1" t="s">
        <v>15</v>
      </c>
      <c r="J2691" s="12">
        <v>45847</v>
      </c>
      <c r="K2691">
        <v>0</v>
      </c>
      <c r="L2691" s="1">
        <f t="shared" si="168"/>
        <v>36</v>
      </c>
      <c r="M2691" s="1" t="str">
        <f t="shared" si="169"/>
        <v/>
      </c>
      <c r="N2691" s="2">
        <f t="shared" si="170"/>
        <v>45839</v>
      </c>
      <c r="O2691" t="str">
        <f t="shared" si="171"/>
        <v>pes</v>
      </c>
    </row>
    <row r="2692" spans="1:15" x14ac:dyDescent="0.25">
      <c r="A2692">
        <v>10200</v>
      </c>
      <c r="B2692" s="11">
        <v>8599988776654</v>
      </c>
      <c r="C2692" s="1" t="s">
        <v>393</v>
      </c>
      <c r="D2692" s="1" t="s">
        <v>133</v>
      </c>
      <c r="E2692" s="1" t="s">
        <v>17</v>
      </c>
      <c r="F2692">
        <v>16.8</v>
      </c>
      <c r="G2692">
        <v>1</v>
      </c>
      <c r="H2692" s="1" t="s">
        <v>23</v>
      </c>
      <c r="I2692" s="1" t="s">
        <v>424</v>
      </c>
      <c r="J2692" s="12">
        <v>45847</v>
      </c>
      <c r="K2692">
        <v>0</v>
      </c>
      <c r="L2692" s="1">
        <f t="shared" si="168"/>
        <v>16.8</v>
      </c>
      <c r="M2692" s="1">
        <f t="shared" si="169"/>
        <v>5</v>
      </c>
      <c r="N2692" s="2">
        <f t="shared" si="170"/>
        <v>45839</v>
      </c>
      <c r="O2692" t="str">
        <f t="shared" si="171"/>
        <v>pes</v>
      </c>
    </row>
    <row r="2693" spans="1:15" hidden="1" x14ac:dyDescent="0.25">
      <c r="A2693">
        <v>10201</v>
      </c>
      <c r="B2693" s="11">
        <v>4010123456783</v>
      </c>
      <c r="C2693" s="1" t="s">
        <v>35</v>
      </c>
      <c r="D2693" s="1" t="s">
        <v>36</v>
      </c>
      <c r="E2693" s="1" t="s">
        <v>37</v>
      </c>
      <c r="F2693">
        <v>14</v>
      </c>
      <c r="G2693">
        <v>1</v>
      </c>
      <c r="H2693" s="1" t="s">
        <v>14</v>
      </c>
      <c r="I2693" s="1" t="s">
        <v>15</v>
      </c>
      <c r="J2693" s="12">
        <v>45847</v>
      </c>
      <c r="K2693">
        <v>0</v>
      </c>
      <c r="L2693" s="1">
        <f t="shared" si="168"/>
        <v>14</v>
      </c>
      <c r="M2693" s="1" t="str">
        <f t="shared" si="169"/>
        <v/>
      </c>
      <c r="N2693" s="2">
        <f t="shared" si="170"/>
        <v>45839</v>
      </c>
      <c r="O2693" t="str">
        <f t="shared" si="171"/>
        <v>mačka</v>
      </c>
    </row>
    <row r="2694" spans="1:15" x14ac:dyDescent="0.25">
      <c r="A2694">
        <v>10202</v>
      </c>
      <c r="B2694" s="11">
        <v>8599988776654</v>
      </c>
      <c r="C2694" s="1" t="s">
        <v>393</v>
      </c>
      <c r="D2694" s="1" t="s">
        <v>133</v>
      </c>
      <c r="E2694" s="1" t="s">
        <v>17</v>
      </c>
      <c r="F2694">
        <v>16.8</v>
      </c>
      <c r="G2694">
        <v>1</v>
      </c>
      <c r="H2694" s="1" t="s">
        <v>14</v>
      </c>
      <c r="I2694" s="1" t="s">
        <v>15</v>
      </c>
      <c r="J2694" s="12">
        <v>45847</v>
      </c>
      <c r="K2694">
        <v>0</v>
      </c>
      <c r="L2694" s="1">
        <f t="shared" si="168"/>
        <v>16.8</v>
      </c>
      <c r="M2694" s="1" t="str">
        <f t="shared" si="169"/>
        <v/>
      </c>
      <c r="N2694" s="2">
        <f t="shared" si="170"/>
        <v>45839</v>
      </c>
      <c r="O2694" t="str">
        <f t="shared" si="171"/>
        <v>pes</v>
      </c>
    </row>
    <row r="2695" spans="1:15" x14ac:dyDescent="0.25">
      <c r="A2695">
        <v>10203</v>
      </c>
      <c r="B2695" s="11">
        <v>4027788990013</v>
      </c>
      <c r="C2695" s="1" t="s">
        <v>43</v>
      </c>
      <c r="D2695" s="1" t="s">
        <v>21</v>
      </c>
      <c r="E2695" s="1" t="s">
        <v>22</v>
      </c>
      <c r="F2695">
        <v>8</v>
      </c>
      <c r="G2695">
        <v>1</v>
      </c>
      <c r="H2695" s="1" t="s">
        <v>14</v>
      </c>
      <c r="I2695" s="1" t="s">
        <v>15</v>
      </c>
      <c r="J2695" s="12">
        <v>45847</v>
      </c>
      <c r="K2695">
        <v>0</v>
      </c>
      <c r="L2695" s="1">
        <f t="shared" si="168"/>
        <v>8</v>
      </c>
      <c r="M2695" s="1" t="str">
        <f t="shared" si="169"/>
        <v/>
      </c>
      <c r="N2695" s="2">
        <f t="shared" si="170"/>
        <v>45839</v>
      </c>
      <c r="O2695" t="str">
        <f t="shared" si="171"/>
        <v>pes</v>
      </c>
    </row>
    <row r="2696" spans="1:15" x14ac:dyDescent="0.25">
      <c r="A2696">
        <v>10204</v>
      </c>
      <c r="B2696" s="11">
        <v>8599988776654</v>
      </c>
      <c r="C2696" s="1" t="s">
        <v>393</v>
      </c>
      <c r="D2696" s="1" t="s">
        <v>133</v>
      </c>
      <c r="E2696" s="1" t="s">
        <v>17</v>
      </c>
      <c r="F2696">
        <v>16.8</v>
      </c>
      <c r="G2696">
        <v>1</v>
      </c>
      <c r="H2696" s="1" t="s">
        <v>14</v>
      </c>
      <c r="I2696" s="1" t="s">
        <v>15</v>
      </c>
      <c r="J2696" s="12">
        <v>45847</v>
      </c>
      <c r="K2696">
        <v>0</v>
      </c>
      <c r="L2696" s="1">
        <f t="shared" si="168"/>
        <v>16.8</v>
      </c>
      <c r="M2696" s="1" t="str">
        <f t="shared" si="169"/>
        <v/>
      </c>
      <c r="N2696" s="2">
        <f t="shared" si="170"/>
        <v>45839</v>
      </c>
      <c r="O2696" t="str">
        <f t="shared" si="171"/>
        <v>pes</v>
      </c>
    </row>
    <row r="2697" spans="1:15" x14ac:dyDescent="0.25">
      <c r="A2697">
        <v>10205</v>
      </c>
      <c r="B2697" s="11">
        <v>4013456789017</v>
      </c>
      <c r="C2697" s="1" t="s">
        <v>11</v>
      </c>
      <c r="D2697" s="1" t="s">
        <v>12</v>
      </c>
      <c r="E2697" s="1" t="s">
        <v>13</v>
      </c>
      <c r="F2697">
        <v>6</v>
      </c>
      <c r="G2697">
        <v>2</v>
      </c>
      <c r="H2697" s="1" t="s">
        <v>14</v>
      </c>
      <c r="I2697" s="1" t="s">
        <v>15</v>
      </c>
      <c r="J2697" s="12">
        <v>45847</v>
      </c>
      <c r="K2697">
        <v>0</v>
      </c>
      <c r="L2697" s="1">
        <f t="shared" si="168"/>
        <v>12</v>
      </c>
      <c r="M2697" s="1" t="str">
        <f t="shared" si="169"/>
        <v/>
      </c>
      <c r="N2697" s="2">
        <f t="shared" si="170"/>
        <v>45839</v>
      </c>
      <c r="O2697" t="str">
        <f t="shared" si="171"/>
        <v>pes</v>
      </c>
    </row>
    <row r="2698" spans="1:15" x14ac:dyDescent="0.25">
      <c r="A2698">
        <v>10206</v>
      </c>
      <c r="B2698" s="11">
        <v>8599988776654</v>
      </c>
      <c r="C2698" s="1" t="s">
        <v>393</v>
      </c>
      <c r="D2698" s="1" t="s">
        <v>133</v>
      </c>
      <c r="E2698" s="1" t="s">
        <v>17</v>
      </c>
      <c r="F2698">
        <v>16.8</v>
      </c>
      <c r="G2698">
        <v>2</v>
      </c>
      <c r="H2698" s="1" t="s">
        <v>18</v>
      </c>
      <c r="I2698" s="1" t="s">
        <v>425</v>
      </c>
      <c r="J2698" s="12">
        <v>45847</v>
      </c>
      <c r="K2698">
        <v>0</v>
      </c>
      <c r="L2698" s="1">
        <f t="shared" si="168"/>
        <v>33.6</v>
      </c>
      <c r="M2698" s="1">
        <f t="shared" si="169"/>
        <v>4</v>
      </c>
      <c r="N2698" s="2">
        <f t="shared" si="170"/>
        <v>45839</v>
      </c>
      <c r="O2698" t="str">
        <f t="shared" si="171"/>
        <v>pes</v>
      </c>
    </row>
    <row r="2699" spans="1:15" x14ac:dyDescent="0.25">
      <c r="A2699">
        <v>10207</v>
      </c>
      <c r="B2699" s="11">
        <v>8599988776654</v>
      </c>
      <c r="C2699" s="1" t="s">
        <v>393</v>
      </c>
      <c r="D2699" s="1" t="s">
        <v>133</v>
      </c>
      <c r="E2699" s="1" t="s">
        <v>17</v>
      </c>
      <c r="F2699">
        <v>16.8</v>
      </c>
      <c r="G2699">
        <v>1</v>
      </c>
      <c r="H2699" s="1" t="s">
        <v>23</v>
      </c>
      <c r="I2699" s="1" t="s">
        <v>426</v>
      </c>
      <c r="J2699" s="12">
        <v>45847</v>
      </c>
      <c r="K2699">
        <v>0</v>
      </c>
      <c r="L2699" s="1">
        <f t="shared" si="168"/>
        <v>16.8</v>
      </c>
      <c r="M2699" s="1">
        <f t="shared" si="169"/>
        <v>5</v>
      </c>
      <c r="N2699" s="2">
        <f t="shared" si="170"/>
        <v>45839</v>
      </c>
      <c r="O2699" t="str">
        <f t="shared" si="171"/>
        <v>pes</v>
      </c>
    </row>
    <row r="2700" spans="1:15" x14ac:dyDescent="0.25">
      <c r="A2700">
        <v>10208</v>
      </c>
      <c r="B2700" s="11">
        <v>4028899001126</v>
      </c>
      <c r="C2700" s="1" t="s">
        <v>16</v>
      </c>
      <c r="D2700" s="1" t="s">
        <v>12</v>
      </c>
      <c r="E2700" s="1" t="s">
        <v>17</v>
      </c>
      <c r="F2700">
        <v>2.8</v>
      </c>
      <c r="G2700">
        <v>3</v>
      </c>
      <c r="H2700" s="1" t="s">
        <v>18</v>
      </c>
      <c r="I2700" s="1" t="s">
        <v>427</v>
      </c>
      <c r="J2700" s="12">
        <v>45847</v>
      </c>
      <c r="K2700">
        <v>0</v>
      </c>
      <c r="L2700" s="1">
        <f t="shared" si="168"/>
        <v>8.3999999999999986</v>
      </c>
      <c r="M2700" s="1">
        <f t="shared" si="169"/>
        <v>4</v>
      </c>
      <c r="N2700" s="2">
        <f t="shared" si="170"/>
        <v>45839</v>
      </c>
      <c r="O2700" t="str">
        <f t="shared" si="171"/>
        <v>pes</v>
      </c>
    </row>
    <row r="2701" spans="1:15" hidden="1" x14ac:dyDescent="0.25">
      <c r="A2701">
        <v>10209</v>
      </c>
      <c r="B2701" s="11">
        <v>4056789012345</v>
      </c>
      <c r="C2701" s="1" t="s">
        <v>47</v>
      </c>
      <c r="D2701" s="1" t="s">
        <v>29</v>
      </c>
      <c r="E2701" s="1" t="s">
        <v>37</v>
      </c>
      <c r="F2701">
        <v>2.4</v>
      </c>
      <c r="G2701">
        <v>2</v>
      </c>
      <c r="H2701" s="1" t="s">
        <v>14</v>
      </c>
      <c r="I2701" s="1" t="s">
        <v>15</v>
      </c>
      <c r="J2701" s="12">
        <v>45847</v>
      </c>
      <c r="K2701">
        <v>0</v>
      </c>
      <c r="L2701" s="1">
        <f t="shared" si="168"/>
        <v>4.8</v>
      </c>
      <c r="M2701" s="1" t="str">
        <f t="shared" si="169"/>
        <v/>
      </c>
      <c r="N2701" s="2">
        <f t="shared" si="170"/>
        <v>45839</v>
      </c>
      <c r="O2701" t="str">
        <f t="shared" si="171"/>
        <v>mačka</v>
      </c>
    </row>
    <row r="2702" spans="1:15" x14ac:dyDescent="0.25">
      <c r="A2702">
        <v>10210</v>
      </c>
      <c r="B2702" s="11">
        <v>4063456789014</v>
      </c>
      <c r="C2702" s="1" t="s">
        <v>60</v>
      </c>
      <c r="D2702" s="1" t="s">
        <v>12</v>
      </c>
      <c r="E2702" s="1" t="s">
        <v>61</v>
      </c>
      <c r="F2702">
        <v>36</v>
      </c>
      <c r="G2702">
        <v>1</v>
      </c>
      <c r="H2702" s="1" t="s">
        <v>14</v>
      </c>
      <c r="I2702" s="1" t="s">
        <v>15</v>
      </c>
      <c r="J2702" s="12">
        <v>45847</v>
      </c>
      <c r="K2702">
        <v>0</v>
      </c>
      <c r="L2702" s="1">
        <f t="shared" si="168"/>
        <v>36</v>
      </c>
      <c r="M2702" s="1" t="str">
        <f t="shared" si="169"/>
        <v/>
      </c>
      <c r="N2702" s="2">
        <f t="shared" si="170"/>
        <v>45839</v>
      </c>
      <c r="O2702" t="str">
        <f t="shared" si="171"/>
        <v>pes</v>
      </c>
    </row>
    <row r="2703" spans="1:15" x14ac:dyDescent="0.25">
      <c r="A2703">
        <v>10211</v>
      </c>
      <c r="B2703" s="11">
        <v>8599988776654</v>
      </c>
      <c r="C2703" s="1" t="s">
        <v>393</v>
      </c>
      <c r="D2703" s="1" t="s">
        <v>133</v>
      </c>
      <c r="E2703" s="1" t="s">
        <v>17</v>
      </c>
      <c r="F2703">
        <v>16.8</v>
      </c>
      <c r="G2703">
        <v>1</v>
      </c>
      <c r="H2703" s="1" t="s">
        <v>14</v>
      </c>
      <c r="I2703" s="1" t="s">
        <v>15</v>
      </c>
      <c r="J2703" s="12">
        <v>45847</v>
      </c>
      <c r="K2703">
        <v>0</v>
      </c>
      <c r="L2703" s="1">
        <f t="shared" si="168"/>
        <v>16.8</v>
      </c>
      <c r="M2703" s="1" t="str">
        <f t="shared" si="169"/>
        <v/>
      </c>
      <c r="N2703" s="2">
        <f t="shared" si="170"/>
        <v>45839</v>
      </c>
      <c r="O2703" t="str">
        <f t="shared" si="171"/>
        <v>pes</v>
      </c>
    </row>
    <row r="2704" spans="1:15" x14ac:dyDescent="0.25">
      <c r="A2704">
        <v>10212</v>
      </c>
      <c r="B2704" s="11">
        <v>4013456789017</v>
      </c>
      <c r="C2704" s="1" t="s">
        <v>11</v>
      </c>
      <c r="D2704" s="1" t="s">
        <v>12</v>
      </c>
      <c r="E2704" s="1" t="s">
        <v>13</v>
      </c>
      <c r="F2704">
        <v>6</v>
      </c>
      <c r="G2704">
        <v>2</v>
      </c>
      <c r="H2704" s="1" t="s">
        <v>18</v>
      </c>
      <c r="I2704" s="1" t="s">
        <v>428</v>
      </c>
      <c r="J2704" s="12">
        <v>45848</v>
      </c>
      <c r="K2704">
        <v>0</v>
      </c>
      <c r="L2704" s="1">
        <f t="shared" si="168"/>
        <v>12</v>
      </c>
      <c r="M2704" s="1">
        <f t="shared" si="169"/>
        <v>4</v>
      </c>
      <c r="N2704" s="2">
        <f t="shared" si="170"/>
        <v>45839</v>
      </c>
      <c r="O2704" t="str">
        <f t="shared" si="171"/>
        <v>pes</v>
      </c>
    </row>
    <row r="2705" spans="1:15" x14ac:dyDescent="0.25">
      <c r="A2705">
        <v>10213</v>
      </c>
      <c r="B2705" s="11">
        <v>8599988776654</v>
      </c>
      <c r="C2705" s="1" t="s">
        <v>393</v>
      </c>
      <c r="D2705" s="1" t="s">
        <v>133</v>
      </c>
      <c r="E2705" s="1" t="s">
        <v>17</v>
      </c>
      <c r="F2705">
        <v>16.8</v>
      </c>
      <c r="G2705">
        <v>2</v>
      </c>
      <c r="H2705" s="1" t="s">
        <v>14</v>
      </c>
      <c r="I2705" s="1" t="s">
        <v>15</v>
      </c>
      <c r="J2705" s="12">
        <v>45848</v>
      </c>
      <c r="K2705">
        <v>0</v>
      </c>
      <c r="L2705" s="1">
        <f t="shared" si="168"/>
        <v>33.6</v>
      </c>
      <c r="M2705" s="1" t="str">
        <f t="shared" si="169"/>
        <v/>
      </c>
      <c r="N2705" s="2">
        <f t="shared" si="170"/>
        <v>45839</v>
      </c>
      <c r="O2705" t="str">
        <f t="shared" si="171"/>
        <v>pes</v>
      </c>
    </row>
    <row r="2706" spans="1:15" hidden="1" x14ac:dyDescent="0.25">
      <c r="A2706">
        <v>10214</v>
      </c>
      <c r="B2706" s="11">
        <v>4010123456783</v>
      </c>
      <c r="C2706" s="1" t="s">
        <v>35</v>
      </c>
      <c r="D2706" s="1" t="s">
        <v>36</v>
      </c>
      <c r="E2706" s="1" t="s">
        <v>37</v>
      </c>
      <c r="F2706">
        <v>14</v>
      </c>
      <c r="G2706">
        <v>1</v>
      </c>
      <c r="H2706" s="1" t="s">
        <v>14</v>
      </c>
      <c r="I2706" s="1" t="s">
        <v>15</v>
      </c>
      <c r="J2706" s="12">
        <v>45848</v>
      </c>
      <c r="K2706">
        <v>0</v>
      </c>
      <c r="L2706" s="1">
        <f t="shared" si="168"/>
        <v>14</v>
      </c>
      <c r="M2706" s="1" t="str">
        <f t="shared" si="169"/>
        <v/>
      </c>
      <c r="N2706" s="2">
        <f t="shared" si="170"/>
        <v>45839</v>
      </c>
      <c r="O2706" t="str">
        <f t="shared" si="171"/>
        <v>mačka</v>
      </c>
    </row>
    <row r="2707" spans="1:15" hidden="1" x14ac:dyDescent="0.25">
      <c r="A2707">
        <v>10215</v>
      </c>
      <c r="B2707" s="11">
        <v>4021234567894</v>
      </c>
      <c r="C2707" s="1" t="s">
        <v>79</v>
      </c>
      <c r="D2707" s="1" t="s">
        <v>36</v>
      </c>
      <c r="E2707" s="1" t="s">
        <v>69</v>
      </c>
      <c r="F2707">
        <v>8</v>
      </c>
      <c r="G2707">
        <v>1</v>
      </c>
      <c r="H2707" s="1" t="s">
        <v>33</v>
      </c>
      <c r="I2707" s="1" t="s">
        <v>429</v>
      </c>
      <c r="J2707" s="12">
        <v>45848</v>
      </c>
      <c r="K2707">
        <v>0</v>
      </c>
      <c r="L2707" s="1">
        <f t="shared" si="168"/>
        <v>8</v>
      </c>
      <c r="M2707" s="1">
        <f t="shared" si="169"/>
        <v>3</v>
      </c>
      <c r="N2707" s="2">
        <f t="shared" si="170"/>
        <v>45839</v>
      </c>
      <c r="O2707" t="str">
        <f t="shared" si="171"/>
        <v>mačka</v>
      </c>
    </row>
    <row r="2708" spans="1:15" x14ac:dyDescent="0.25">
      <c r="A2708">
        <v>10216</v>
      </c>
      <c r="B2708" s="11">
        <v>8599988776654</v>
      </c>
      <c r="C2708" s="1" t="s">
        <v>393</v>
      </c>
      <c r="D2708" s="1" t="s">
        <v>133</v>
      </c>
      <c r="E2708" s="1" t="s">
        <v>17</v>
      </c>
      <c r="F2708">
        <v>16.8</v>
      </c>
      <c r="G2708">
        <v>1</v>
      </c>
      <c r="H2708" s="1" t="s">
        <v>14</v>
      </c>
      <c r="I2708" s="1" t="s">
        <v>15</v>
      </c>
      <c r="J2708" s="12">
        <v>45848</v>
      </c>
      <c r="K2708">
        <v>0</v>
      </c>
      <c r="L2708" s="1">
        <f t="shared" si="168"/>
        <v>16.8</v>
      </c>
      <c r="M2708" s="1" t="str">
        <f t="shared" si="169"/>
        <v/>
      </c>
      <c r="N2708" s="2">
        <f t="shared" si="170"/>
        <v>45839</v>
      </c>
      <c r="O2708" t="str">
        <f t="shared" si="171"/>
        <v>pes</v>
      </c>
    </row>
    <row r="2709" spans="1:15" x14ac:dyDescent="0.25">
      <c r="A2709">
        <v>10217</v>
      </c>
      <c r="B2709" s="11">
        <v>4017890123450</v>
      </c>
      <c r="C2709" s="1" t="s">
        <v>65</v>
      </c>
      <c r="D2709" s="1" t="s">
        <v>39</v>
      </c>
      <c r="E2709" s="1" t="s">
        <v>22</v>
      </c>
      <c r="F2709">
        <v>7.6</v>
      </c>
      <c r="G2709">
        <v>1</v>
      </c>
      <c r="H2709" s="1" t="s">
        <v>23</v>
      </c>
      <c r="I2709" s="1" t="s">
        <v>430</v>
      </c>
      <c r="J2709" s="12">
        <v>45848</v>
      </c>
      <c r="K2709">
        <v>0</v>
      </c>
      <c r="L2709" s="1">
        <f t="shared" si="168"/>
        <v>7.6</v>
      </c>
      <c r="M2709" s="1">
        <f t="shared" si="169"/>
        <v>5</v>
      </c>
      <c r="N2709" s="2">
        <f t="shared" si="170"/>
        <v>45839</v>
      </c>
      <c r="O2709" t="str">
        <f t="shared" si="171"/>
        <v>pes</v>
      </c>
    </row>
    <row r="2710" spans="1:15" x14ac:dyDescent="0.25">
      <c r="A2710">
        <v>10218</v>
      </c>
      <c r="B2710" s="11">
        <v>8599988776654</v>
      </c>
      <c r="C2710" s="1" t="s">
        <v>393</v>
      </c>
      <c r="D2710" s="1" t="s">
        <v>133</v>
      </c>
      <c r="E2710" s="1" t="s">
        <v>17</v>
      </c>
      <c r="F2710">
        <v>16.8</v>
      </c>
      <c r="G2710">
        <v>1</v>
      </c>
      <c r="H2710" s="1" t="s">
        <v>14</v>
      </c>
      <c r="I2710" s="1" t="s">
        <v>15</v>
      </c>
      <c r="J2710" s="12">
        <v>45848</v>
      </c>
      <c r="K2710">
        <v>0</v>
      </c>
      <c r="L2710" s="1">
        <f t="shared" si="168"/>
        <v>16.8</v>
      </c>
      <c r="M2710" s="1" t="str">
        <f t="shared" si="169"/>
        <v/>
      </c>
      <c r="N2710" s="2">
        <f t="shared" si="170"/>
        <v>45839</v>
      </c>
      <c r="O2710" t="str">
        <f t="shared" si="171"/>
        <v>pes</v>
      </c>
    </row>
    <row r="2711" spans="1:15" x14ac:dyDescent="0.25">
      <c r="A2711">
        <v>10219</v>
      </c>
      <c r="B2711" s="11">
        <v>4063456789014</v>
      </c>
      <c r="C2711" s="1" t="s">
        <v>60</v>
      </c>
      <c r="D2711" s="1" t="s">
        <v>12</v>
      </c>
      <c r="E2711" s="1" t="s">
        <v>61</v>
      </c>
      <c r="F2711">
        <v>36</v>
      </c>
      <c r="G2711">
        <v>1</v>
      </c>
      <c r="H2711" s="1" t="s">
        <v>14</v>
      </c>
      <c r="I2711" s="1" t="s">
        <v>15</v>
      </c>
      <c r="J2711" s="12">
        <v>45848</v>
      </c>
      <c r="K2711">
        <v>0</v>
      </c>
      <c r="L2711" s="1">
        <f t="shared" si="168"/>
        <v>36</v>
      </c>
      <c r="M2711" s="1" t="str">
        <f t="shared" si="169"/>
        <v/>
      </c>
      <c r="N2711" s="2">
        <f t="shared" si="170"/>
        <v>45839</v>
      </c>
      <c r="O2711" t="str">
        <f t="shared" si="171"/>
        <v>pes</v>
      </c>
    </row>
    <row r="2712" spans="1:15" x14ac:dyDescent="0.25">
      <c r="A2712">
        <v>10220</v>
      </c>
      <c r="B2712" s="11">
        <v>8599988776654</v>
      </c>
      <c r="C2712" s="1" t="s">
        <v>393</v>
      </c>
      <c r="D2712" s="1" t="s">
        <v>133</v>
      </c>
      <c r="E2712" s="1" t="s">
        <v>17</v>
      </c>
      <c r="F2712">
        <v>16.8</v>
      </c>
      <c r="G2712">
        <v>1</v>
      </c>
      <c r="H2712" s="1" t="s">
        <v>14</v>
      </c>
      <c r="I2712" s="1" t="s">
        <v>15</v>
      </c>
      <c r="J2712" s="12">
        <v>45848</v>
      </c>
      <c r="K2712">
        <v>0</v>
      </c>
      <c r="L2712" s="1">
        <f t="shared" si="168"/>
        <v>16.8</v>
      </c>
      <c r="M2712" s="1" t="str">
        <f t="shared" si="169"/>
        <v/>
      </c>
      <c r="N2712" s="2">
        <f t="shared" si="170"/>
        <v>45839</v>
      </c>
      <c r="O2712" t="str">
        <f t="shared" si="171"/>
        <v>pes</v>
      </c>
    </row>
    <row r="2713" spans="1:15" hidden="1" x14ac:dyDescent="0.25">
      <c r="A2713">
        <v>10221</v>
      </c>
      <c r="B2713" s="11">
        <v>4056789012345</v>
      </c>
      <c r="C2713" s="1" t="s">
        <v>47</v>
      </c>
      <c r="D2713" s="1" t="s">
        <v>29</v>
      </c>
      <c r="E2713" s="1" t="s">
        <v>37</v>
      </c>
      <c r="F2713">
        <v>2.4</v>
      </c>
      <c r="G2713">
        <v>3</v>
      </c>
      <c r="H2713" s="1" t="s">
        <v>18</v>
      </c>
      <c r="I2713" s="1" t="s">
        <v>431</v>
      </c>
      <c r="J2713" s="12">
        <v>45848</v>
      </c>
      <c r="K2713">
        <v>0</v>
      </c>
      <c r="L2713" s="1">
        <f t="shared" si="168"/>
        <v>7.1999999999999993</v>
      </c>
      <c r="M2713" s="1">
        <f t="shared" si="169"/>
        <v>4</v>
      </c>
      <c r="N2713" s="2">
        <f t="shared" si="170"/>
        <v>45839</v>
      </c>
      <c r="O2713" t="str">
        <f t="shared" si="171"/>
        <v>mačka</v>
      </c>
    </row>
    <row r="2714" spans="1:15" x14ac:dyDescent="0.25">
      <c r="A2714">
        <v>10222</v>
      </c>
      <c r="B2714" s="11">
        <v>8599988776654</v>
      </c>
      <c r="C2714" s="1" t="s">
        <v>393</v>
      </c>
      <c r="D2714" s="1" t="s">
        <v>133</v>
      </c>
      <c r="E2714" s="1" t="s">
        <v>17</v>
      </c>
      <c r="F2714">
        <v>16.8</v>
      </c>
      <c r="G2714">
        <v>1</v>
      </c>
      <c r="H2714" s="1" t="s">
        <v>14</v>
      </c>
      <c r="I2714" s="1" t="s">
        <v>15</v>
      </c>
      <c r="J2714" s="12">
        <v>45848</v>
      </c>
      <c r="K2714">
        <v>0</v>
      </c>
      <c r="L2714" s="1">
        <f t="shared" si="168"/>
        <v>16.8</v>
      </c>
      <c r="M2714" s="1" t="str">
        <f t="shared" si="169"/>
        <v/>
      </c>
      <c r="N2714" s="2">
        <f t="shared" si="170"/>
        <v>45839</v>
      </c>
      <c r="O2714" t="str">
        <f t="shared" si="171"/>
        <v>pes</v>
      </c>
    </row>
    <row r="2715" spans="1:15" x14ac:dyDescent="0.25">
      <c r="A2715">
        <v>10223</v>
      </c>
      <c r="B2715" s="11">
        <v>4028899001126</v>
      </c>
      <c r="C2715" s="1" t="s">
        <v>16</v>
      </c>
      <c r="D2715" s="1" t="s">
        <v>12</v>
      </c>
      <c r="E2715" s="1" t="s">
        <v>17</v>
      </c>
      <c r="F2715">
        <v>2.8</v>
      </c>
      <c r="G2715">
        <v>2</v>
      </c>
      <c r="H2715" s="1" t="s">
        <v>14</v>
      </c>
      <c r="I2715" s="1" t="s">
        <v>15</v>
      </c>
      <c r="J2715" s="12">
        <v>45848</v>
      </c>
      <c r="K2715">
        <v>0</v>
      </c>
      <c r="L2715" s="1">
        <f t="shared" si="168"/>
        <v>5.6</v>
      </c>
      <c r="M2715" s="1" t="str">
        <f t="shared" si="169"/>
        <v/>
      </c>
      <c r="N2715" s="2">
        <f t="shared" si="170"/>
        <v>45839</v>
      </c>
      <c r="O2715" t="str">
        <f t="shared" si="171"/>
        <v>pes</v>
      </c>
    </row>
    <row r="2716" spans="1:15" x14ac:dyDescent="0.25">
      <c r="A2716">
        <v>10224</v>
      </c>
      <c r="B2716" s="11">
        <v>8599988776654</v>
      </c>
      <c r="C2716" s="1" t="s">
        <v>393</v>
      </c>
      <c r="D2716" s="1" t="s">
        <v>133</v>
      </c>
      <c r="E2716" s="1" t="s">
        <v>17</v>
      </c>
      <c r="F2716">
        <v>16.8</v>
      </c>
      <c r="G2716">
        <v>2</v>
      </c>
      <c r="H2716" s="1" t="s">
        <v>23</v>
      </c>
      <c r="I2716" s="1" t="s">
        <v>432</v>
      </c>
      <c r="J2716" s="12">
        <v>45848</v>
      </c>
      <c r="K2716">
        <v>0</v>
      </c>
      <c r="L2716" s="1">
        <f t="shared" si="168"/>
        <v>33.6</v>
      </c>
      <c r="M2716" s="1">
        <f t="shared" si="169"/>
        <v>5</v>
      </c>
      <c r="N2716" s="2">
        <f t="shared" si="170"/>
        <v>45839</v>
      </c>
      <c r="O2716" t="str">
        <f t="shared" si="171"/>
        <v>pes</v>
      </c>
    </row>
    <row r="2717" spans="1:15" x14ac:dyDescent="0.25">
      <c r="A2717">
        <v>10225</v>
      </c>
      <c r="B2717" s="11">
        <v>4013456789017</v>
      </c>
      <c r="C2717" s="1" t="s">
        <v>11</v>
      </c>
      <c r="D2717" s="1" t="s">
        <v>12</v>
      </c>
      <c r="E2717" s="1" t="s">
        <v>13</v>
      </c>
      <c r="F2717">
        <v>6</v>
      </c>
      <c r="G2717">
        <v>1</v>
      </c>
      <c r="H2717" s="1" t="s">
        <v>14</v>
      </c>
      <c r="I2717" s="1" t="s">
        <v>15</v>
      </c>
      <c r="J2717" s="12">
        <v>45848</v>
      </c>
      <c r="K2717">
        <v>0</v>
      </c>
      <c r="L2717" s="1">
        <f t="shared" si="168"/>
        <v>6</v>
      </c>
      <c r="M2717" s="1" t="str">
        <f t="shared" si="169"/>
        <v/>
      </c>
      <c r="N2717" s="2">
        <f t="shared" si="170"/>
        <v>45839</v>
      </c>
      <c r="O2717" t="str">
        <f t="shared" si="171"/>
        <v>pes</v>
      </c>
    </row>
    <row r="2718" spans="1:15" x14ac:dyDescent="0.25">
      <c r="A2718">
        <v>10226</v>
      </c>
      <c r="B2718" s="11">
        <v>8599988776654</v>
      </c>
      <c r="C2718" s="1" t="s">
        <v>393</v>
      </c>
      <c r="D2718" s="1" t="s">
        <v>133</v>
      </c>
      <c r="E2718" s="1" t="s">
        <v>17</v>
      </c>
      <c r="F2718">
        <v>16.8</v>
      </c>
      <c r="G2718">
        <v>1</v>
      </c>
      <c r="H2718" s="1" t="s">
        <v>14</v>
      </c>
      <c r="I2718" s="1" t="s">
        <v>15</v>
      </c>
      <c r="J2718" s="12">
        <v>45848</v>
      </c>
      <c r="K2718">
        <v>0</v>
      </c>
      <c r="L2718" s="1">
        <f t="shared" si="168"/>
        <v>16.8</v>
      </c>
      <c r="M2718" s="1" t="str">
        <f t="shared" si="169"/>
        <v/>
      </c>
      <c r="N2718" s="2">
        <f t="shared" si="170"/>
        <v>45839</v>
      </c>
      <c r="O2718" t="str">
        <f t="shared" si="171"/>
        <v>pes</v>
      </c>
    </row>
    <row r="2719" spans="1:15" x14ac:dyDescent="0.25">
      <c r="A2719">
        <v>10227</v>
      </c>
      <c r="B2719" s="11">
        <v>4063456789014</v>
      </c>
      <c r="C2719" s="1" t="s">
        <v>60</v>
      </c>
      <c r="D2719" s="1" t="s">
        <v>12</v>
      </c>
      <c r="E2719" s="1" t="s">
        <v>61</v>
      </c>
      <c r="F2719">
        <v>36</v>
      </c>
      <c r="G2719">
        <v>1</v>
      </c>
      <c r="H2719" s="1" t="s">
        <v>14</v>
      </c>
      <c r="I2719" s="1" t="s">
        <v>15</v>
      </c>
      <c r="J2719" s="12">
        <v>45849</v>
      </c>
      <c r="K2719">
        <v>0</v>
      </c>
      <c r="L2719" s="1">
        <f t="shared" si="168"/>
        <v>36</v>
      </c>
      <c r="M2719" s="1" t="str">
        <f t="shared" si="169"/>
        <v/>
      </c>
      <c r="N2719" s="2">
        <f t="shared" si="170"/>
        <v>45839</v>
      </c>
      <c r="O2719" t="str">
        <f t="shared" si="171"/>
        <v>pes</v>
      </c>
    </row>
    <row r="2720" spans="1:15" x14ac:dyDescent="0.25">
      <c r="A2720">
        <v>10228</v>
      </c>
      <c r="B2720" s="11">
        <v>8599988776654</v>
      </c>
      <c r="C2720" s="1" t="s">
        <v>393</v>
      </c>
      <c r="D2720" s="1" t="s">
        <v>133</v>
      </c>
      <c r="E2720" s="1" t="s">
        <v>17</v>
      </c>
      <c r="F2720">
        <v>16.8</v>
      </c>
      <c r="G2720">
        <v>1</v>
      </c>
      <c r="H2720" s="1" t="s">
        <v>18</v>
      </c>
      <c r="I2720" s="1" t="s">
        <v>433</v>
      </c>
      <c r="J2720" s="12">
        <v>45849</v>
      </c>
      <c r="K2720">
        <v>0</v>
      </c>
      <c r="L2720" s="1">
        <f t="shared" si="168"/>
        <v>16.8</v>
      </c>
      <c r="M2720" s="1">
        <f t="shared" si="169"/>
        <v>4</v>
      </c>
      <c r="N2720" s="2">
        <f t="shared" si="170"/>
        <v>45839</v>
      </c>
      <c r="O2720" t="str">
        <f t="shared" si="171"/>
        <v>pes</v>
      </c>
    </row>
    <row r="2721" spans="1:15" hidden="1" x14ac:dyDescent="0.25">
      <c r="A2721">
        <v>10229</v>
      </c>
      <c r="B2721" s="11">
        <v>4010123456783</v>
      </c>
      <c r="C2721" s="1" t="s">
        <v>35</v>
      </c>
      <c r="D2721" s="1" t="s">
        <v>36</v>
      </c>
      <c r="E2721" s="1" t="s">
        <v>37</v>
      </c>
      <c r="F2721">
        <v>14</v>
      </c>
      <c r="G2721">
        <v>2</v>
      </c>
      <c r="H2721" s="1" t="s">
        <v>14</v>
      </c>
      <c r="I2721" s="1" t="s">
        <v>15</v>
      </c>
      <c r="J2721" s="12">
        <v>45849</v>
      </c>
      <c r="K2721">
        <v>0</v>
      </c>
      <c r="L2721" s="1">
        <f t="shared" si="168"/>
        <v>28</v>
      </c>
      <c r="M2721" s="1" t="str">
        <f t="shared" si="169"/>
        <v/>
      </c>
      <c r="N2721" s="2">
        <f t="shared" si="170"/>
        <v>45839</v>
      </c>
      <c r="O2721" t="str">
        <f t="shared" si="171"/>
        <v>mačka</v>
      </c>
    </row>
    <row r="2722" spans="1:15" x14ac:dyDescent="0.25">
      <c r="A2722">
        <v>10230</v>
      </c>
      <c r="B2722" s="11">
        <v>8599988776654</v>
      </c>
      <c r="C2722" s="1" t="s">
        <v>393</v>
      </c>
      <c r="D2722" s="1" t="s">
        <v>133</v>
      </c>
      <c r="E2722" s="1" t="s">
        <v>17</v>
      </c>
      <c r="F2722">
        <v>16.8</v>
      </c>
      <c r="G2722">
        <v>1</v>
      </c>
      <c r="H2722" s="1" t="s">
        <v>14</v>
      </c>
      <c r="I2722" s="1" t="s">
        <v>15</v>
      </c>
      <c r="J2722" s="12">
        <v>45849</v>
      </c>
      <c r="K2722">
        <v>0</v>
      </c>
      <c r="L2722" s="1">
        <f t="shared" si="168"/>
        <v>16.8</v>
      </c>
      <c r="M2722" s="1" t="str">
        <f t="shared" si="169"/>
        <v/>
      </c>
      <c r="N2722" s="2">
        <f t="shared" si="170"/>
        <v>45839</v>
      </c>
      <c r="O2722" t="str">
        <f t="shared" si="171"/>
        <v>pes</v>
      </c>
    </row>
    <row r="2723" spans="1:15" x14ac:dyDescent="0.25">
      <c r="A2723">
        <v>10231</v>
      </c>
      <c r="B2723" s="11">
        <v>4027788990013</v>
      </c>
      <c r="C2723" s="1" t="s">
        <v>43</v>
      </c>
      <c r="D2723" s="1" t="s">
        <v>21</v>
      </c>
      <c r="E2723" s="1" t="s">
        <v>22</v>
      </c>
      <c r="F2723">
        <v>8</v>
      </c>
      <c r="G2723">
        <v>1</v>
      </c>
      <c r="H2723" s="1" t="s">
        <v>18</v>
      </c>
      <c r="I2723" s="1" t="s">
        <v>434</v>
      </c>
      <c r="J2723" s="12">
        <v>45849</v>
      </c>
      <c r="K2723">
        <v>0</v>
      </c>
      <c r="L2723" s="1">
        <f t="shared" si="168"/>
        <v>8</v>
      </c>
      <c r="M2723" s="1">
        <f t="shared" si="169"/>
        <v>4</v>
      </c>
      <c r="N2723" s="2">
        <f t="shared" si="170"/>
        <v>45839</v>
      </c>
      <c r="O2723" t="str">
        <f t="shared" si="171"/>
        <v>pes</v>
      </c>
    </row>
    <row r="2724" spans="1:15" x14ac:dyDescent="0.25">
      <c r="A2724">
        <v>10232</v>
      </c>
      <c r="B2724" s="11">
        <v>8599988776654</v>
      </c>
      <c r="C2724" s="1" t="s">
        <v>393</v>
      </c>
      <c r="D2724" s="1" t="s">
        <v>133</v>
      </c>
      <c r="E2724" s="1" t="s">
        <v>17</v>
      </c>
      <c r="F2724">
        <v>16.8</v>
      </c>
      <c r="G2724">
        <v>2</v>
      </c>
      <c r="H2724" s="1" t="s">
        <v>14</v>
      </c>
      <c r="I2724" s="1" t="s">
        <v>15</v>
      </c>
      <c r="J2724" s="12">
        <v>45849</v>
      </c>
      <c r="K2724">
        <v>0</v>
      </c>
      <c r="L2724" s="1">
        <f t="shared" si="168"/>
        <v>33.6</v>
      </c>
      <c r="M2724" s="1" t="str">
        <f t="shared" si="169"/>
        <v/>
      </c>
      <c r="N2724" s="2">
        <f t="shared" si="170"/>
        <v>45839</v>
      </c>
      <c r="O2724" t="str">
        <f t="shared" si="171"/>
        <v>pes</v>
      </c>
    </row>
    <row r="2725" spans="1:15" x14ac:dyDescent="0.25">
      <c r="A2725">
        <v>10233</v>
      </c>
      <c r="B2725" s="11">
        <v>4017890123450</v>
      </c>
      <c r="C2725" s="1" t="s">
        <v>65</v>
      </c>
      <c r="D2725" s="1" t="s">
        <v>39</v>
      </c>
      <c r="E2725" s="1" t="s">
        <v>22</v>
      </c>
      <c r="F2725">
        <v>7.6</v>
      </c>
      <c r="G2725">
        <v>1</v>
      </c>
      <c r="H2725" s="1" t="s">
        <v>14</v>
      </c>
      <c r="I2725" s="1" t="s">
        <v>15</v>
      </c>
      <c r="J2725" s="12">
        <v>45849</v>
      </c>
      <c r="K2725">
        <v>0</v>
      </c>
      <c r="L2725" s="1">
        <f t="shared" si="168"/>
        <v>7.6</v>
      </c>
      <c r="M2725" s="1" t="str">
        <f t="shared" si="169"/>
        <v/>
      </c>
      <c r="N2725" s="2">
        <f t="shared" si="170"/>
        <v>45839</v>
      </c>
      <c r="O2725" t="str">
        <f t="shared" si="171"/>
        <v>pes</v>
      </c>
    </row>
    <row r="2726" spans="1:15" x14ac:dyDescent="0.25">
      <c r="A2726">
        <v>10234</v>
      </c>
      <c r="B2726" s="11">
        <v>8599988776654</v>
      </c>
      <c r="C2726" s="1" t="s">
        <v>393</v>
      </c>
      <c r="D2726" s="1" t="s">
        <v>133</v>
      </c>
      <c r="E2726" s="1" t="s">
        <v>17</v>
      </c>
      <c r="F2726">
        <v>16.8</v>
      </c>
      <c r="G2726">
        <v>1</v>
      </c>
      <c r="H2726" s="1" t="s">
        <v>14</v>
      </c>
      <c r="I2726" s="1" t="s">
        <v>15</v>
      </c>
      <c r="J2726" s="12">
        <v>45849</v>
      </c>
      <c r="K2726">
        <v>0</v>
      </c>
      <c r="L2726" s="1">
        <f t="shared" si="168"/>
        <v>16.8</v>
      </c>
      <c r="M2726" s="1" t="str">
        <f t="shared" si="169"/>
        <v/>
      </c>
      <c r="N2726" s="2">
        <f t="shared" si="170"/>
        <v>45839</v>
      </c>
      <c r="O2726" t="str">
        <f t="shared" si="171"/>
        <v>pes</v>
      </c>
    </row>
    <row r="2727" spans="1:15" x14ac:dyDescent="0.25">
      <c r="A2727">
        <v>10235</v>
      </c>
      <c r="B2727" s="11">
        <v>4013456789017</v>
      </c>
      <c r="C2727" s="1" t="s">
        <v>11</v>
      </c>
      <c r="D2727" s="1" t="s">
        <v>12</v>
      </c>
      <c r="E2727" s="1" t="s">
        <v>13</v>
      </c>
      <c r="F2727">
        <v>6</v>
      </c>
      <c r="G2727">
        <v>1</v>
      </c>
      <c r="H2727" s="1" t="s">
        <v>14</v>
      </c>
      <c r="I2727" s="1" t="s">
        <v>15</v>
      </c>
      <c r="J2727" s="12">
        <v>45849</v>
      </c>
      <c r="K2727">
        <v>0</v>
      </c>
      <c r="L2727" s="1">
        <f t="shared" si="168"/>
        <v>6</v>
      </c>
      <c r="M2727" s="1" t="str">
        <f t="shared" si="169"/>
        <v/>
      </c>
      <c r="N2727" s="2">
        <f t="shared" si="170"/>
        <v>45839</v>
      </c>
      <c r="O2727" t="str">
        <f t="shared" si="171"/>
        <v>pes</v>
      </c>
    </row>
    <row r="2728" spans="1:15" x14ac:dyDescent="0.25">
      <c r="A2728">
        <v>10236</v>
      </c>
      <c r="B2728" s="11">
        <v>8599988776654</v>
      </c>
      <c r="C2728" s="1" t="s">
        <v>393</v>
      </c>
      <c r="D2728" s="1" t="s">
        <v>133</v>
      </c>
      <c r="E2728" s="1" t="s">
        <v>17</v>
      </c>
      <c r="F2728">
        <v>16.8</v>
      </c>
      <c r="G2728">
        <v>1</v>
      </c>
      <c r="H2728" s="1" t="s">
        <v>23</v>
      </c>
      <c r="I2728" s="1" t="s">
        <v>435</v>
      </c>
      <c r="J2728" s="12">
        <v>45849</v>
      </c>
      <c r="K2728">
        <v>0</v>
      </c>
      <c r="L2728" s="1">
        <f t="shared" si="168"/>
        <v>16.8</v>
      </c>
      <c r="M2728" s="1">
        <f t="shared" si="169"/>
        <v>5</v>
      </c>
      <c r="N2728" s="2">
        <f t="shared" si="170"/>
        <v>45839</v>
      </c>
      <c r="O2728" t="str">
        <f t="shared" si="171"/>
        <v>pes</v>
      </c>
    </row>
    <row r="2729" spans="1:15" x14ac:dyDescent="0.25">
      <c r="A2729">
        <v>10237</v>
      </c>
      <c r="B2729" s="11">
        <v>4063456789014</v>
      </c>
      <c r="C2729" s="1" t="s">
        <v>60</v>
      </c>
      <c r="D2729" s="1" t="s">
        <v>12</v>
      </c>
      <c r="E2729" s="1" t="s">
        <v>61</v>
      </c>
      <c r="F2729">
        <v>36</v>
      </c>
      <c r="G2729">
        <v>1</v>
      </c>
      <c r="H2729" s="1" t="s">
        <v>14</v>
      </c>
      <c r="I2729" s="1" t="s">
        <v>15</v>
      </c>
      <c r="J2729" s="12">
        <v>45849</v>
      </c>
      <c r="K2729">
        <v>0</v>
      </c>
      <c r="L2729" s="1">
        <f t="shared" si="168"/>
        <v>36</v>
      </c>
      <c r="M2729" s="1" t="str">
        <f t="shared" si="169"/>
        <v/>
      </c>
      <c r="N2729" s="2">
        <f t="shared" si="170"/>
        <v>45839</v>
      </c>
      <c r="O2729" t="str">
        <f t="shared" si="171"/>
        <v>pes</v>
      </c>
    </row>
    <row r="2730" spans="1:15" x14ac:dyDescent="0.25">
      <c r="A2730">
        <v>10238</v>
      </c>
      <c r="B2730" s="11">
        <v>8599988776654</v>
      </c>
      <c r="C2730" s="1" t="s">
        <v>393</v>
      </c>
      <c r="D2730" s="1" t="s">
        <v>133</v>
      </c>
      <c r="E2730" s="1" t="s">
        <v>17</v>
      </c>
      <c r="F2730">
        <v>16.8</v>
      </c>
      <c r="G2730">
        <v>1</v>
      </c>
      <c r="H2730" s="1" t="s">
        <v>14</v>
      </c>
      <c r="I2730" s="1" t="s">
        <v>15</v>
      </c>
      <c r="J2730" s="12">
        <v>45849</v>
      </c>
      <c r="K2730">
        <v>0</v>
      </c>
      <c r="L2730" s="1">
        <f t="shared" si="168"/>
        <v>16.8</v>
      </c>
      <c r="M2730" s="1" t="str">
        <f t="shared" si="169"/>
        <v/>
      </c>
      <c r="N2730" s="2">
        <f t="shared" si="170"/>
        <v>45839</v>
      </c>
      <c r="O2730" t="str">
        <f t="shared" si="171"/>
        <v>pes</v>
      </c>
    </row>
    <row r="2731" spans="1:15" x14ac:dyDescent="0.25">
      <c r="A2731">
        <v>10239</v>
      </c>
      <c r="B2731" s="11">
        <v>4028899001126</v>
      </c>
      <c r="C2731" s="1" t="s">
        <v>16</v>
      </c>
      <c r="D2731" s="1" t="s">
        <v>12</v>
      </c>
      <c r="E2731" s="1" t="s">
        <v>17</v>
      </c>
      <c r="F2731">
        <v>2.8</v>
      </c>
      <c r="G2731">
        <v>3</v>
      </c>
      <c r="H2731" s="1" t="s">
        <v>14</v>
      </c>
      <c r="I2731" s="1" t="s">
        <v>15</v>
      </c>
      <c r="J2731" s="12">
        <v>45849</v>
      </c>
      <c r="K2731">
        <v>0</v>
      </c>
      <c r="L2731" s="1">
        <f t="shared" si="168"/>
        <v>8.3999999999999986</v>
      </c>
      <c r="M2731" s="1" t="str">
        <f t="shared" si="169"/>
        <v/>
      </c>
      <c r="N2731" s="2">
        <f t="shared" si="170"/>
        <v>45839</v>
      </c>
      <c r="O2731" t="str">
        <f t="shared" si="171"/>
        <v>pes</v>
      </c>
    </row>
    <row r="2732" spans="1:15" x14ac:dyDescent="0.25">
      <c r="A2732">
        <v>10240</v>
      </c>
      <c r="B2732" s="11">
        <v>8599988776654</v>
      </c>
      <c r="C2732" s="1" t="s">
        <v>393</v>
      </c>
      <c r="D2732" s="1" t="s">
        <v>133</v>
      </c>
      <c r="E2732" s="1" t="s">
        <v>17</v>
      </c>
      <c r="F2732">
        <v>16.8</v>
      </c>
      <c r="G2732">
        <v>1</v>
      </c>
      <c r="H2732" s="1" t="s">
        <v>14</v>
      </c>
      <c r="I2732" s="1" t="s">
        <v>15</v>
      </c>
      <c r="J2732" s="12">
        <v>45850</v>
      </c>
      <c r="K2732">
        <v>0</v>
      </c>
      <c r="L2732" s="1">
        <f t="shared" si="168"/>
        <v>16.8</v>
      </c>
      <c r="M2732" s="1" t="str">
        <f t="shared" si="169"/>
        <v/>
      </c>
      <c r="N2732" s="2">
        <f t="shared" si="170"/>
        <v>45839</v>
      </c>
      <c r="O2732" t="str">
        <f t="shared" si="171"/>
        <v>pes</v>
      </c>
    </row>
    <row r="2733" spans="1:15" hidden="1" x14ac:dyDescent="0.25">
      <c r="A2733">
        <v>10241</v>
      </c>
      <c r="B2733" s="11">
        <v>4010123456783</v>
      </c>
      <c r="C2733" s="1" t="s">
        <v>35</v>
      </c>
      <c r="D2733" s="1" t="s">
        <v>36</v>
      </c>
      <c r="E2733" s="1" t="s">
        <v>37</v>
      </c>
      <c r="F2733">
        <v>14</v>
      </c>
      <c r="G2733">
        <v>1</v>
      </c>
      <c r="H2733" s="1" t="s">
        <v>23</v>
      </c>
      <c r="I2733" s="1" t="s">
        <v>436</v>
      </c>
      <c r="J2733" s="12">
        <v>45850</v>
      </c>
      <c r="K2733">
        <v>0</v>
      </c>
      <c r="L2733" s="1">
        <f t="shared" si="168"/>
        <v>14</v>
      </c>
      <c r="M2733" s="1">
        <f t="shared" si="169"/>
        <v>5</v>
      </c>
      <c r="N2733" s="2">
        <f t="shared" si="170"/>
        <v>45839</v>
      </c>
      <c r="O2733" t="str">
        <f t="shared" si="171"/>
        <v>mačka</v>
      </c>
    </row>
    <row r="2734" spans="1:15" x14ac:dyDescent="0.25">
      <c r="A2734">
        <v>10242</v>
      </c>
      <c r="B2734" s="11">
        <v>8599988776654</v>
      </c>
      <c r="C2734" s="1" t="s">
        <v>393</v>
      </c>
      <c r="D2734" s="1" t="s">
        <v>133</v>
      </c>
      <c r="E2734" s="1" t="s">
        <v>17</v>
      </c>
      <c r="F2734">
        <v>16.8</v>
      </c>
      <c r="G2734">
        <v>2</v>
      </c>
      <c r="H2734" s="1" t="s">
        <v>14</v>
      </c>
      <c r="I2734" s="1" t="s">
        <v>15</v>
      </c>
      <c r="J2734" s="12">
        <v>45850</v>
      </c>
      <c r="K2734">
        <v>0</v>
      </c>
      <c r="L2734" s="1">
        <f t="shared" si="168"/>
        <v>33.6</v>
      </c>
      <c r="M2734" s="1" t="str">
        <f t="shared" si="169"/>
        <v/>
      </c>
      <c r="N2734" s="2">
        <f t="shared" si="170"/>
        <v>45839</v>
      </c>
      <c r="O2734" t="str">
        <f t="shared" si="171"/>
        <v>pes</v>
      </c>
    </row>
    <row r="2735" spans="1:15" x14ac:dyDescent="0.25">
      <c r="A2735">
        <v>10243</v>
      </c>
      <c r="B2735" s="11">
        <v>4013456789017</v>
      </c>
      <c r="C2735" s="1" t="s">
        <v>11</v>
      </c>
      <c r="D2735" s="1" t="s">
        <v>12</v>
      </c>
      <c r="E2735" s="1" t="s">
        <v>13</v>
      </c>
      <c r="F2735">
        <v>6</v>
      </c>
      <c r="G2735">
        <v>1</v>
      </c>
      <c r="H2735" s="1" t="s">
        <v>14</v>
      </c>
      <c r="I2735" s="1" t="s">
        <v>15</v>
      </c>
      <c r="J2735" s="12">
        <v>45850</v>
      </c>
      <c r="K2735">
        <v>0</v>
      </c>
      <c r="L2735" s="1">
        <f t="shared" si="168"/>
        <v>6</v>
      </c>
      <c r="M2735" s="1" t="str">
        <f t="shared" si="169"/>
        <v/>
      </c>
      <c r="N2735" s="2">
        <f t="shared" si="170"/>
        <v>45839</v>
      </c>
      <c r="O2735" t="str">
        <f t="shared" si="171"/>
        <v>pes</v>
      </c>
    </row>
    <row r="2736" spans="1:15" x14ac:dyDescent="0.25">
      <c r="A2736">
        <v>10244</v>
      </c>
      <c r="B2736" s="11">
        <v>8599988776654</v>
      </c>
      <c r="C2736" s="1" t="s">
        <v>393</v>
      </c>
      <c r="D2736" s="1" t="s">
        <v>133</v>
      </c>
      <c r="E2736" s="1" t="s">
        <v>17</v>
      </c>
      <c r="F2736">
        <v>16.8</v>
      </c>
      <c r="G2736">
        <v>1</v>
      </c>
      <c r="H2736" s="1" t="s">
        <v>14</v>
      </c>
      <c r="I2736" s="1" t="s">
        <v>15</v>
      </c>
      <c r="J2736" s="12">
        <v>45850</v>
      </c>
      <c r="K2736">
        <v>0</v>
      </c>
      <c r="L2736" s="1">
        <f t="shared" si="168"/>
        <v>16.8</v>
      </c>
      <c r="M2736" s="1" t="str">
        <f t="shared" si="169"/>
        <v/>
      </c>
      <c r="N2736" s="2">
        <f t="shared" si="170"/>
        <v>45839</v>
      </c>
      <c r="O2736" t="str">
        <f t="shared" si="171"/>
        <v>pes</v>
      </c>
    </row>
    <row r="2737" spans="1:15" hidden="1" x14ac:dyDescent="0.25">
      <c r="A2737">
        <v>10245</v>
      </c>
      <c r="B2737" s="11">
        <v>4021234567894</v>
      </c>
      <c r="C2737" s="1" t="s">
        <v>79</v>
      </c>
      <c r="D2737" s="1" t="s">
        <v>36</v>
      </c>
      <c r="E2737" s="1" t="s">
        <v>69</v>
      </c>
      <c r="F2737">
        <v>8</v>
      </c>
      <c r="G2737">
        <v>1</v>
      </c>
      <c r="H2737" s="1" t="s">
        <v>14</v>
      </c>
      <c r="I2737" s="1" t="s">
        <v>15</v>
      </c>
      <c r="J2737" s="12">
        <v>45850</v>
      </c>
      <c r="K2737">
        <v>0</v>
      </c>
      <c r="L2737" s="1">
        <f t="shared" si="168"/>
        <v>8</v>
      </c>
      <c r="M2737" s="1" t="str">
        <f t="shared" si="169"/>
        <v/>
      </c>
      <c r="N2737" s="2">
        <f t="shared" si="170"/>
        <v>45839</v>
      </c>
      <c r="O2737" t="str">
        <f t="shared" si="171"/>
        <v>mačka</v>
      </c>
    </row>
    <row r="2738" spans="1:15" x14ac:dyDescent="0.25">
      <c r="A2738">
        <v>10246</v>
      </c>
      <c r="B2738" s="11">
        <v>8599988776654</v>
      </c>
      <c r="C2738" s="1" t="s">
        <v>393</v>
      </c>
      <c r="D2738" s="1" t="s">
        <v>133</v>
      </c>
      <c r="E2738" s="1" t="s">
        <v>17</v>
      </c>
      <c r="F2738">
        <v>16.8</v>
      </c>
      <c r="G2738">
        <v>1</v>
      </c>
      <c r="H2738" s="1" t="s">
        <v>18</v>
      </c>
      <c r="I2738" s="1" t="s">
        <v>437</v>
      </c>
      <c r="J2738" s="12">
        <v>45850</v>
      </c>
      <c r="K2738">
        <v>0</v>
      </c>
      <c r="L2738" s="1">
        <f t="shared" si="168"/>
        <v>16.8</v>
      </c>
      <c r="M2738" s="1">
        <f t="shared" si="169"/>
        <v>4</v>
      </c>
      <c r="N2738" s="2">
        <f t="shared" si="170"/>
        <v>45839</v>
      </c>
      <c r="O2738" t="str">
        <f t="shared" si="171"/>
        <v>pes</v>
      </c>
    </row>
    <row r="2739" spans="1:15" hidden="1" x14ac:dyDescent="0.25">
      <c r="A2739">
        <v>10247</v>
      </c>
      <c r="B2739" s="11">
        <v>4056789012345</v>
      </c>
      <c r="C2739" s="1" t="s">
        <v>47</v>
      </c>
      <c r="D2739" s="1" t="s">
        <v>29</v>
      </c>
      <c r="E2739" s="1" t="s">
        <v>37</v>
      </c>
      <c r="F2739">
        <v>2.4</v>
      </c>
      <c r="G2739">
        <v>2</v>
      </c>
      <c r="H2739" s="1" t="s">
        <v>14</v>
      </c>
      <c r="I2739" s="1" t="s">
        <v>15</v>
      </c>
      <c r="J2739" s="12">
        <v>45850</v>
      </c>
      <c r="K2739">
        <v>0</v>
      </c>
      <c r="L2739" s="1">
        <f t="shared" si="168"/>
        <v>4.8</v>
      </c>
      <c r="M2739" s="1" t="str">
        <f t="shared" si="169"/>
        <v/>
      </c>
      <c r="N2739" s="2">
        <f t="shared" si="170"/>
        <v>45839</v>
      </c>
      <c r="O2739" t="str">
        <f t="shared" si="171"/>
        <v>mačka</v>
      </c>
    </row>
    <row r="2740" spans="1:15" x14ac:dyDescent="0.25">
      <c r="A2740">
        <v>10248</v>
      </c>
      <c r="B2740" s="11">
        <v>8599988776654</v>
      </c>
      <c r="C2740" s="1" t="s">
        <v>393</v>
      </c>
      <c r="D2740" s="1" t="s">
        <v>133</v>
      </c>
      <c r="E2740" s="1" t="s">
        <v>17</v>
      </c>
      <c r="F2740">
        <v>16.8</v>
      </c>
      <c r="G2740">
        <v>1</v>
      </c>
      <c r="H2740" s="1" t="s">
        <v>14</v>
      </c>
      <c r="I2740" s="1" t="s">
        <v>15</v>
      </c>
      <c r="J2740" s="12">
        <v>45850</v>
      </c>
      <c r="K2740">
        <v>0</v>
      </c>
      <c r="L2740" s="1">
        <f t="shared" si="168"/>
        <v>16.8</v>
      </c>
      <c r="M2740" s="1" t="str">
        <f t="shared" si="169"/>
        <v/>
      </c>
      <c r="N2740" s="2">
        <f t="shared" si="170"/>
        <v>45839</v>
      </c>
      <c r="O2740" t="str">
        <f t="shared" si="171"/>
        <v>pes</v>
      </c>
    </row>
    <row r="2741" spans="1:15" x14ac:dyDescent="0.25">
      <c r="A2741">
        <v>10249</v>
      </c>
      <c r="B2741" s="11">
        <v>4063456789014</v>
      </c>
      <c r="C2741" s="1" t="s">
        <v>60</v>
      </c>
      <c r="D2741" s="1" t="s">
        <v>12</v>
      </c>
      <c r="E2741" s="1" t="s">
        <v>61</v>
      </c>
      <c r="F2741">
        <v>36</v>
      </c>
      <c r="G2741">
        <v>1</v>
      </c>
      <c r="H2741" s="1" t="s">
        <v>14</v>
      </c>
      <c r="I2741" s="1" t="s">
        <v>15</v>
      </c>
      <c r="J2741" s="12">
        <v>45850</v>
      </c>
      <c r="K2741">
        <v>0</v>
      </c>
      <c r="L2741" s="1">
        <f t="shared" si="168"/>
        <v>36</v>
      </c>
      <c r="M2741" s="1" t="str">
        <f t="shared" si="169"/>
        <v/>
      </c>
      <c r="N2741" s="2">
        <f t="shared" si="170"/>
        <v>45839</v>
      </c>
      <c r="O2741" t="str">
        <f t="shared" si="171"/>
        <v>pes</v>
      </c>
    </row>
    <row r="2742" spans="1:15" x14ac:dyDescent="0.25">
      <c r="A2742">
        <v>10250</v>
      </c>
      <c r="B2742" s="11">
        <v>8599988776654</v>
      </c>
      <c r="C2742" s="1" t="s">
        <v>393</v>
      </c>
      <c r="D2742" s="1" t="s">
        <v>133</v>
      </c>
      <c r="E2742" s="1" t="s">
        <v>17</v>
      </c>
      <c r="F2742">
        <v>16.8</v>
      </c>
      <c r="G2742">
        <v>1</v>
      </c>
      <c r="H2742" s="1" t="s">
        <v>14</v>
      </c>
      <c r="I2742" s="1" t="s">
        <v>15</v>
      </c>
      <c r="J2742" s="12">
        <v>45850</v>
      </c>
      <c r="K2742">
        <v>0</v>
      </c>
      <c r="L2742" s="1">
        <f t="shared" si="168"/>
        <v>16.8</v>
      </c>
      <c r="M2742" s="1" t="str">
        <f t="shared" si="169"/>
        <v/>
      </c>
      <c r="N2742" s="2">
        <f t="shared" si="170"/>
        <v>45839</v>
      </c>
      <c r="O2742" t="str">
        <f t="shared" si="171"/>
        <v>pes</v>
      </c>
    </row>
    <row r="2743" spans="1:15" x14ac:dyDescent="0.25">
      <c r="A2743">
        <v>10251</v>
      </c>
      <c r="B2743" s="11">
        <v>4017890123450</v>
      </c>
      <c r="C2743" s="1" t="s">
        <v>65</v>
      </c>
      <c r="D2743" s="1" t="s">
        <v>39</v>
      </c>
      <c r="E2743" s="1" t="s">
        <v>22</v>
      </c>
      <c r="F2743">
        <v>7.6</v>
      </c>
      <c r="G2743">
        <v>1</v>
      </c>
      <c r="H2743" s="1" t="s">
        <v>18</v>
      </c>
      <c r="I2743" s="1" t="s">
        <v>438</v>
      </c>
      <c r="J2743" s="12">
        <v>45850</v>
      </c>
      <c r="K2743">
        <v>0</v>
      </c>
      <c r="L2743" s="1">
        <f t="shared" si="168"/>
        <v>7.6</v>
      </c>
      <c r="M2743" s="1">
        <f t="shared" si="169"/>
        <v>4</v>
      </c>
      <c r="N2743" s="2">
        <f t="shared" si="170"/>
        <v>45839</v>
      </c>
      <c r="O2743" t="str">
        <f t="shared" si="171"/>
        <v>pes</v>
      </c>
    </row>
    <row r="2744" spans="1:15" x14ac:dyDescent="0.25">
      <c r="A2744">
        <v>10252</v>
      </c>
      <c r="B2744" s="11">
        <v>8599988776654</v>
      </c>
      <c r="C2744" s="1" t="s">
        <v>393</v>
      </c>
      <c r="D2744" s="1" t="s">
        <v>133</v>
      </c>
      <c r="E2744" s="1" t="s">
        <v>17</v>
      </c>
      <c r="F2744">
        <v>16.8</v>
      </c>
      <c r="G2744">
        <v>1</v>
      </c>
      <c r="H2744" s="1" t="s">
        <v>14</v>
      </c>
      <c r="I2744" s="1" t="s">
        <v>15</v>
      </c>
      <c r="J2744" s="12">
        <v>45851</v>
      </c>
      <c r="K2744">
        <v>0</v>
      </c>
      <c r="L2744" s="1">
        <f t="shared" si="168"/>
        <v>16.8</v>
      </c>
      <c r="M2744" s="1" t="str">
        <f t="shared" si="169"/>
        <v/>
      </c>
      <c r="N2744" s="2">
        <f t="shared" si="170"/>
        <v>45839</v>
      </c>
      <c r="O2744" t="str">
        <f t="shared" si="171"/>
        <v>pes</v>
      </c>
    </row>
    <row r="2745" spans="1:15" x14ac:dyDescent="0.25">
      <c r="A2745">
        <v>10253</v>
      </c>
      <c r="B2745" s="11">
        <v>4028899001126</v>
      </c>
      <c r="C2745" s="1" t="s">
        <v>16</v>
      </c>
      <c r="D2745" s="1" t="s">
        <v>12</v>
      </c>
      <c r="E2745" s="1" t="s">
        <v>17</v>
      </c>
      <c r="F2745">
        <v>2.8</v>
      </c>
      <c r="G2745">
        <v>3</v>
      </c>
      <c r="H2745" s="1" t="s">
        <v>14</v>
      </c>
      <c r="I2745" s="1" t="s">
        <v>15</v>
      </c>
      <c r="J2745" s="12">
        <v>45851</v>
      </c>
      <c r="K2745">
        <v>0</v>
      </c>
      <c r="L2745" s="1">
        <f t="shared" si="168"/>
        <v>8.3999999999999986</v>
      </c>
      <c r="M2745" s="1" t="str">
        <f t="shared" si="169"/>
        <v/>
      </c>
      <c r="N2745" s="2">
        <f t="shared" si="170"/>
        <v>45839</v>
      </c>
      <c r="O2745" t="str">
        <f t="shared" si="171"/>
        <v>pes</v>
      </c>
    </row>
    <row r="2746" spans="1:15" x14ac:dyDescent="0.25">
      <c r="A2746">
        <v>10254</v>
      </c>
      <c r="B2746" s="11">
        <v>8599988776654</v>
      </c>
      <c r="C2746" s="1" t="s">
        <v>393</v>
      </c>
      <c r="D2746" s="1" t="s">
        <v>133</v>
      </c>
      <c r="E2746" s="1" t="s">
        <v>17</v>
      </c>
      <c r="F2746">
        <v>16.8</v>
      </c>
      <c r="G2746">
        <v>1</v>
      </c>
      <c r="H2746" s="1" t="s">
        <v>14</v>
      </c>
      <c r="I2746" s="1" t="s">
        <v>15</v>
      </c>
      <c r="J2746" s="12">
        <v>45851</v>
      </c>
      <c r="K2746">
        <v>0</v>
      </c>
      <c r="L2746" s="1">
        <f t="shared" si="168"/>
        <v>16.8</v>
      </c>
      <c r="M2746" s="1" t="str">
        <f t="shared" si="169"/>
        <v/>
      </c>
      <c r="N2746" s="2">
        <f t="shared" si="170"/>
        <v>45839</v>
      </c>
      <c r="O2746" t="str">
        <f t="shared" si="171"/>
        <v>pes</v>
      </c>
    </row>
    <row r="2747" spans="1:15" x14ac:dyDescent="0.25">
      <c r="A2747">
        <v>10255</v>
      </c>
      <c r="B2747" s="11">
        <v>4013456789017</v>
      </c>
      <c r="C2747" s="1" t="s">
        <v>11</v>
      </c>
      <c r="D2747" s="1" t="s">
        <v>12</v>
      </c>
      <c r="E2747" s="1" t="s">
        <v>13</v>
      </c>
      <c r="F2747">
        <v>6</v>
      </c>
      <c r="G2747">
        <v>1</v>
      </c>
      <c r="H2747" s="1" t="s">
        <v>33</v>
      </c>
      <c r="I2747" s="1" t="s">
        <v>439</v>
      </c>
      <c r="J2747" s="12">
        <v>45851</v>
      </c>
      <c r="K2747">
        <v>0</v>
      </c>
      <c r="L2747" s="1">
        <f t="shared" si="168"/>
        <v>6</v>
      </c>
      <c r="M2747" s="1">
        <f t="shared" si="169"/>
        <v>3</v>
      </c>
      <c r="N2747" s="2">
        <f t="shared" si="170"/>
        <v>45839</v>
      </c>
      <c r="O2747" t="str">
        <f t="shared" si="171"/>
        <v>pes</v>
      </c>
    </row>
    <row r="2748" spans="1:15" x14ac:dyDescent="0.25">
      <c r="A2748">
        <v>10256</v>
      </c>
      <c r="B2748" s="11">
        <v>8599988776654</v>
      </c>
      <c r="C2748" s="1" t="s">
        <v>393</v>
      </c>
      <c r="D2748" s="1" t="s">
        <v>133</v>
      </c>
      <c r="E2748" s="1" t="s">
        <v>17</v>
      </c>
      <c r="F2748">
        <v>16.8</v>
      </c>
      <c r="G2748">
        <v>2</v>
      </c>
      <c r="H2748" s="1" t="s">
        <v>14</v>
      </c>
      <c r="I2748" s="1" t="s">
        <v>15</v>
      </c>
      <c r="J2748" s="12">
        <v>45851</v>
      </c>
      <c r="K2748">
        <v>0</v>
      </c>
      <c r="L2748" s="1">
        <f t="shared" si="168"/>
        <v>33.6</v>
      </c>
      <c r="M2748" s="1" t="str">
        <f t="shared" si="169"/>
        <v/>
      </c>
      <c r="N2748" s="2">
        <f t="shared" si="170"/>
        <v>45839</v>
      </c>
      <c r="O2748" t="str">
        <f t="shared" si="171"/>
        <v>pes</v>
      </c>
    </row>
    <row r="2749" spans="1:15" x14ac:dyDescent="0.25">
      <c r="A2749">
        <v>10257</v>
      </c>
      <c r="B2749" s="11">
        <v>4063456789014</v>
      </c>
      <c r="C2749" s="1" t="s">
        <v>60</v>
      </c>
      <c r="D2749" s="1" t="s">
        <v>12</v>
      </c>
      <c r="E2749" s="1" t="s">
        <v>61</v>
      </c>
      <c r="F2749">
        <v>36</v>
      </c>
      <c r="G2749">
        <v>1</v>
      </c>
      <c r="H2749" s="1" t="s">
        <v>14</v>
      </c>
      <c r="I2749" s="1" t="s">
        <v>15</v>
      </c>
      <c r="J2749" s="12">
        <v>45851</v>
      </c>
      <c r="K2749">
        <v>0</v>
      </c>
      <c r="L2749" s="1">
        <f t="shared" si="168"/>
        <v>36</v>
      </c>
      <c r="M2749" s="1" t="str">
        <f t="shared" si="169"/>
        <v/>
      </c>
      <c r="N2749" s="2">
        <f t="shared" si="170"/>
        <v>45839</v>
      </c>
      <c r="O2749" t="str">
        <f t="shared" si="171"/>
        <v>pes</v>
      </c>
    </row>
    <row r="2750" spans="1:15" x14ac:dyDescent="0.25">
      <c r="A2750">
        <v>10258</v>
      </c>
      <c r="B2750" s="11">
        <v>8599988776654</v>
      </c>
      <c r="C2750" s="1" t="s">
        <v>393</v>
      </c>
      <c r="D2750" s="1" t="s">
        <v>133</v>
      </c>
      <c r="E2750" s="1" t="s">
        <v>17</v>
      </c>
      <c r="F2750">
        <v>16.8</v>
      </c>
      <c r="G2750">
        <v>1</v>
      </c>
      <c r="H2750" s="1" t="s">
        <v>23</v>
      </c>
      <c r="I2750" s="1" t="s">
        <v>440</v>
      </c>
      <c r="J2750" s="12">
        <v>45851</v>
      </c>
      <c r="K2750">
        <v>0</v>
      </c>
      <c r="L2750" s="1">
        <f t="shared" si="168"/>
        <v>16.8</v>
      </c>
      <c r="M2750" s="1">
        <f t="shared" si="169"/>
        <v>5</v>
      </c>
      <c r="N2750" s="2">
        <f t="shared" si="170"/>
        <v>45839</v>
      </c>
      <c r="O2750" t="str">
        <f t="shared" si="171"/>
        <v>pes</v>
      </c>
    </row>
    <row r="2751" spans="1:15" hidden="1" x14ac:dyDescent="0.25">
      <c r="A2751">
        <v>10259</v>
      </c>
      <c r="B2751" s="11">
        <v>4010123456783</v>
      </c>
      <c r="C2751" s="1" t="s">
        <v>35</v>
      </c>
      <c r="D2751" s="1" t="s">
        <v>36</v>
      </c>
      <c r="E2751" s="1" t="s">
        <v>37</v>
      </c>
      <c r="F2751">
        <v>14</v>
      </c>
      <c r="G2751">
        <v>1</v>
      </c>
      <c r="H2751" s="1" t="s">
        <v>14</v>
      </c>
      <c r="I2751" s="1" t="s">
        <v>15</v>
      </c>
      <c r="J2751" s="12">
        <v>45851</v>
      </c>
      <c r="K2751">
        <v>0</v>
      </c>
      <c r="L2751" s="1">
        <f t="shared" si="168"/>
        <v>14</v>
      </c>
      <c r="M2751" s="1" t="str">
        <f t="shared" si="169"/>
        <v/>
      </c>
      <c r="N2751" s="2">
        <f t="shared" si="170"/>
        <v>45839</v>
      </c>
      <c r="O2751" t="str">
        <f t="shared" si="171"/>
        <v>mačka</v>
      </c>
    </row>
    <row r="2752" spans="1:15" x14ac:dyDescent="0.25">
      <c r="A2752">
        <v>10260</v>
      </c>
      <c r="B2752" s="11">
        <v>8599988776654</v>
      </c>
      <c r="C2752" s="1" t="s">
        <v>393</v>
      </c>
      <c r="D2752" s="1" t="s">
        <v>133</v>
      </c>
      <c r="E2752" s="1" t="s">
        <v>17</v>
      </c>
      <c r="F2752">
        <v>16.8</v>
      </c>
      <c r="G2752">
        <v>1</v>
      </c>
      <c r="H2752" s="1" t="s">
        <v>14</v>
      </c>
      <c r="I2752" s="1" t="s">
        <v>15</v>
      </c>
      <c r="J2752" s="12">
        <v>45851</v>
      </c>
      <c r="K2752">
        <v>0</v>
      </c>
      <c r="L2752" s="1">
        <f t="shared" si="168"/>
        <v>16.8</v>
      </c>
      <c r="M2752" s="1" t="str">
        <f t="shared" si="169"/>
        <v/>
      </c>
      <c r="N2752" s="2">
        <f t="shared" si="170"/>
        <v>45839</v>
      </c>
      <c r="O2752" t="str">
        <f t="shared" si="171"/>
        <v>pes</v>
      </c>
    </row>
    <row r="2753" spans="1:15" hidden="1" x14ac:dyDescent="0.25">
      <c r="A2753">
        <v>10261</v>
      </c>
      <c r="B2753" s="11">
        <v>4026677889902</v>
      </c>
      <c r="C2753" s="1" t="s">
        <v>52</v>
      </c>
      <c r="D2753" s="1" t="s">
        <v>53</v>
      </c>
      <c r="E2753" s="1" t="s">
        <v>54</v>
      </c>
      <c r="F2753">
        <v>7.6</v>
      </c>
      <c r="G2753">
        <v>1</v>
      </c>
      <c r="H2753" s="1" t="s">
        <v>23</v>
      </c>
      <c r="I2753" s="1" t="s">
        <v>441</v>
      </c>
      <c r="J2753" s="12">
        <v>45851</v>
      </c>
      <c r="K2753">
        <v>0</v>
      </c>
      <c r="L2753" s="1">
        <f t="shared" si="168"/>
        <v>7.6</v>
      </c>
      <c r="M2753" s="1">
        <f t="shared" si="169"/>
        <v>5</v>
      </c>
      <c r="N2753" s="2">
        <f t="shared" si="170"/>
        <v>45839</v>
      </c>
      <c r="O2753" t="str">
        <f t="shared" si="171"/>
        <v>iné</v>
      </c>
    </row>
    <row r="2754" spans="1:15" x14ac:dyDescent="0.25">
      <c r="A2754">
        <v>10262</v>
      </c>
      <c r="B2754" s="11">
        <v>8599988776654</v>
      </c>
      <c r="C2754" s="1" t="s">
        <v>393</v>
      </c>
      <c r="D2754" s="1" t="s">
        <v>133</v>
      </c>
      <c r="E2754" s="1" t="s">
        <v>17</v>
      </c>
      <c r="F2754">
        <v>16.8</v>
      </c>
      <c r="G2754">
        <v>2</v>
      </c>
      <c r="H2754" s="1" t="s">
        <v>14</v>
      </c>
      <c r="I2754" s="1" t="s">
        <v>15</v>
      </c>
      <c r="J2754" s="12">
        <v>45851</v>
      </c>
      <c r="K2754">
        <v>0</v>
      </c>
      <c r="L2754" s="1">
        <f t="shared" ref="L2754:L2817" si="172">F2754*G2754</f>
        <v>33.6</v>
      </c>
      <c r="M2754" s="1" t="str">
        <f t="shared" ref="M2754:M2817" si="173">IF(H2754="NULL", "",VALUE(H2754))</f>
        <v/>
      </c>
      <c r="N2754" s="2">
        <f t="shared" ref="N2754:N2817" si="174">DATE(YEAR(J2754),MONTH(J2754),1)</f>
        <v>45839</v>
      </c>
      <c r="O2754" t="str">
        <f t="shared" ref="O2754:O2817" si="175">IF(ISNUMBER(SEARCH("Mačky",D2754)),"mačka",IF(ISNUMBER(SEARCH("Psy",D2754)),"pes","iné"))</f>
        <v>pes</v>
      </c>
    </row>
    <row r="2755" spans="1:15" x14ac:dyDescent="0.25">
      <c r="A2755">
        <v>10263</v>
      </c>
      <c r="B2755" s="11">
        <v>4028899001126</v>
      </c>
      <c r="C2755" s="1" t="s">
        <v>16</v>
      </c>
      <c r="D2755" s="1" t="s">
        <v>12</v>
      </c>
      <c r="E2755" s="1" t="s">
        <v>17</v>
      </c>
      <c r="F2755">
        <v>2.8</v>
      </c>
      <c r="G2755">
        <v>3</v>
      </c>
      <c r="H2755" s="1" t="s">
        <v>14</v>
      </c>
      <c r="I2755" s="1" t="s">
        <v>15</v>
      </c>
      <c r="J2755" s="12">
        <v>45851</v>
      </c>
      <c r="K2755">
        <v>0</v>
      </c>
      <c r="L2755" s="1">
        <f t="shared" si="172"/>
        <v>8.3999999999999986</v>
      </c>
      <c r="M2755" s="1" t="str">
        <f t="shared" si="173"/>
        <v/>
      </c>
      <c r="N2755" s="2">
        <f t="shared" si="174"/>
        <v>45839</v>
      </c>
      <c r="O2755" t="str">
        <f t="shared" si="175"/>
        <v>pes</v>
      </c>
    </row>
    <row r="2756" spans="1:15" x14ac:dyDescent="0.25">
      <c r="A2756">
        <v>10264</v>
      </c>
      <c r="B2756" s="11">
        <v>8599988776654</v>
      </c>
      <c r="C2756" s="1" t="s">
        <v>393</v>
      </c>
      <c r="D2756" s="1" t="s">
        <v>133</v>
      </c>
      <c r="E2756" s="1" t="s">
        <v>17</v>
      </c>
      <c r="F2756">
        <v>16.8</v>
      </c>
      <c r="G2756">
        <v>1</v>
      </c>
      <c r="H2756" s="1" t="s">
        <v>14</v>
      </c>
      <c r="I2756" s="1" t="s">
        <v>15</v>
      </c>
      <c r="J2756" s="12">
        <v>45851</v>
      </c>
      <c r="K2756">
        <v>0</v>
      </c>
      <c r="L2756" s="1">
        <f t="shared" si="172"/>
        <v>16.8</v>
      </c>
      <c r="M2756" s="1" t="str">
        <f t="shared" si="173"/>
        <v/>
      </c>
      <c r="N2756" s="2">
        <f t="shared" si="174"/>
        <v>45839</v>
      </c>
      <c r="O2756" t="str">
        <f t="shared" si="175"/>
        <v>pes</v>
      </c>
    </row>
    <row r="2757" spans="1:15" x14ac:dyDescent="0.25">
      <c r="A2757">
        <v>10265</v>
      </c>
      <c r="B2757" s="11">
        <v>4013456789017</v>
      </c>
      <c r="C2757" s="1" t="s">
        <v>11</v>
      </c>
      <c r="D2757" s="1" t="s">
        <v>12</v>
      </c>
      <c r="E2757" s="1" t="s">
        <v>13</v>
      </c>
      <c r="F2757">
        <v>6</v>
      </c>
      <c r="G2757">
        <v>1</v>
      </c>
      <c r="H2757" s="1" t="s">
        <v>14</v>
      </c>
      <c r="I2757" s="1" t="s">
        <v>15</v>
      </c>
      <c r="J2757" s="12">
        <v>45852</v>
      </c>
      <c r="K2757">
        <v>0</v>
      </c>
      <c r="L2757" s="1">
        <f t="shared" si="172"/>
        <v>6</v>
      </c>
      <c r="M2757" s="1" t="str">
        <f t="shared" si="173"/>
        <v/>
      </c>
      <c r="N2757" s="2">
        <f t="shared" si="174"/>
        <v>45839</v>
      </c>
      <c r="O2757" t="str">
        <f t="shared" si="175"/>
        <v>pes</v>
      </c>
    </row>
    <row r="2758" spans="1:15" x14ac:dyDescent="0.25">
      <c r="A2758">
        <v>10266</v>
      </c>
      <c r="B2758" s="11">
        <v>8599988776654</v>
      </c>
      <c r="C2758" s="1" t="s">
        <v>393</v>
      </c>
      <c r="D2758" s="1" t="s">
        <v>133</v>
      </c>
      <c r="E2758" s="1" t="s">
        <v>17</v>
      </c>
      <c r="F2758">
        <v>16.8</v>
      </c>
      <c r="G2758">
        <v>1</v>
      </c>
      <c r="H2758" s="1" t="s">
        <v>14</v>
      </c>
      <c r="I2758" s="1" t="s">
        <v>15</v>
      </c>
      <c r="J2758" s="12">
        <v>45852</v>
      </c>
      <c r="K2758">
        <v>0</v>
      </c>
      <c r="L2758" s="1">
        <f t="shared" si="172"/>
        <v>16.8</v>
      </c>
      <c r="M2758" s="1" t="str">
        <f t="shared" si="173"/>
        <v/>
      </c>
      <c r="N2758" s="2">
        <f t="shared" si="174"/>
        <v>45839</v>
      </c>
      <c r="O2758" t="str">
        <f t="shared" si="175"/>
        <v>pes</v>
      </c>
    </row>
    <row r="2759" spans="1:15" x14ac:dyDescent="0.25">
      <c r="A2759">
        <v>10267</v>
      </c>
      <c r="B2759" s="11">
        <v>4028899001126</v>
      </c>
      <c r="C2759" s="1" t="s">
        <v>16</v>
      </c>
      <c r="D2759" s="1" t="s">
        <v>12</v>
      </c>
      <c r="E2759" s="1" t="s">
        <v>17</v>
      </c>
      <c r="F2759">
        <v>2.8</v>
      </c>
      <c r="G2759">
        <v>3</v>
      </c>
      <c r="H2759" s="1" t="s">
        <v>23</v>
      </c>
      <c r="I2759" s="1" t="s">
        <v>442</v>
      </c>
      <c r="J2759" s="12">
        <v>45852</v>
      </c>
      <c r="K2759">
        <v>0</v>
      </c>
      <c r="L2759" s="1">
        <f t="shared" si="172"/>
        <v>8.3999999999999986</v>
      </c>
      <c r="M2759" s="1">
        <f t="shared" si="173"/>
        <v>5</v>
      </c>
      <c r="N2759" s="2">
        <f t="shared" si="174"/>
        <v>45839</v>
      </c>
      <c r="O2759" t="str">
        <f t="shared" si="175"/>
        <v>pes</v>
      </c>
    </row>
    <row r="2760" spans="1:15" x14ac:dyDescent="0.25">
      <c r="A2760">
        <v>10268</v>
      </c>
      <c r="B2760" s="11">
        <v>8599988776654</v>
      </c>
      <c r="C2760" s="1" t="s">
        <v>393</v>
      </c>
      <c r="D2760" s="1" t="s">
        <v>133</v>
      </c>
      <c r="E2760" s="1" t="s">
        <v>17</v>
      </c>
      <c r="F2760">
        <v>16.8</v>
      </c>
      <c r="G2760">
        <v>2</v>
      </c>
      <c r="H2760" s="1" t="s">
        <v>14</v>
      </c>
      <c r="I2760" s="1" t="s">
        <v>15</v>
      </c>
      <c r="J2760" s="12">
        <v>45852</v>
      </c>
      <c r="K2760">
        <v>0</v>
      </c>
      <c r="L2760" s="1">
        <f t="shared" si="172"/>
        <v>33.6</v>
      </c>
      <c r="M2760" s="1" t="str">
        <f t="shared" si="173"/>
        <v/>
      </c>
      <c r="N2760" s="2">
        <f t="shared" si="174"/>
        <v>45839</v>
      </c>
      <c r="O2760" t="str">
        <f t="shared" si="175"/>
        <v>pes</v>
      </c>
    </row>
    <row r="2761" spans="1:15" hidden="1" x14ac:dyDescent="0.25">
      <c r="A2761">
        <v>10269</v>
      </c>
      <c r="B2761" s="11">
        <v>4010123456783</v>
      </c>
      <c r="C2761" s="1" t="s">
        <v>35</v>
      </c>
      <c r="D2761" s="1" t="s">
        <v>36</v>
      </c>
      <c r="E2761" s="1" t="s">
        <v>37</v>
      </c>
      <c r="F2761">
        <v>14</v>
      </c>
      <c r="G2761">
        <v>1</v>
      </c>
      <c r="H2761" s="1" t="s">
        <v>14</v>
      </c>
      <c r="I2761" s="1" t="s">
        <v>15</v>
      </c>
      <c r="J2761" s="12">
        <v>45852</v>
      </c>
      <c r="K2761">
        <v>0</v>
      </c>
      <c r="L2761" s="1">
        <f t="shared" si="172"/>
        <v>14</v>
      </c>
      <c r="M2761" s="1" t="str">
        <f t="shared" si="173"/>
        <v/>
      </c>
      <c r="N2761" s="2">
        <f t="shared" si="174"/>
        <v>45839</v>
      </c>
      <c r="O2761" t="str">
        <f t="shared" si="175"/>
        <v>mačka</v>
      </c>
    </row>
    <row r="2762" spans="1:15" x14ac:dyDescent="0.25">
      <c r="A2762">
        <v>10270</v>
      </c>
      <c r="B2762" s="11">
        <v>8599988776654</v>
      </c>
      <c r="C2762" s="1" t="s">
        <v>393</v>
      </c>
      <c r="D2762" s="1" t="s">
        <v>133</v>
      </c>
      <c r="E2762" s="1" t="s">
        <v>17</v>
      </c>
      <c r="F2762">
        <v>16.8</v>
      </c>
      <c r="G2762">
        <v>1</v>
      </c>
      <c r="H2762" s="1" t="s">
        <v>14</v>
      </c>
      <c r="I2762" s="1" t="s">
        <v>15</v>
      </c>
      <c r="J2762" s="12">
        <v>45852</v>
      </c>
      <c r="K2762">
        <v>0</v>
      </c>
      <c r="L2762" s="1">
        <f t="shared" si="172"/>
        <v>16.8</v>
      </c>
      <c r="M2762" s="1" t="str">
        <f t="shared" si="173"/>
        <v/>
      </c>
      <c r="N2762" s="2">
        <f t="shared" si="174"/>
        <v>45839</v>
      </c>
      <c r="O2762" t="str">
        <f t="shared" si="175"/>
        <v>pes</v>
      </c>
    </row>
    <row r="2763" spans="1:15" hidden="1" x14ac:dyDescent="0.25">
      <c r="A2763">
        <v>10271</v>
      </c>
      <c r="B2763" s="11">
        <v>4021234567894</v>
      </c>
      <c r="C2763" s="1" t="s">
        <v>79</v>
      </c>
      <c r="D2763" s="1" t="s">
        <v>36</v>
      </c>
      <c r="E2763" s="1" t="s">
        <v>69</v>
      </c>
      <c r="F2763">
        <v>8</v>
      </c>
      <c r="G2763">
        <v>1</v>
      </c>
      <c r="H2763" s="1" t="s">
        <v>18</v>
      </c>
      <c r="I2763" s="1" t="s">
        <v>443</v>
      </c>
      <c r="J2763" s="12">
        <v>45852</v>
      </c>
      <c r="K2763">
        <v>0</v>
      </c>
      <c r="L2763" s="1">
        <f t="shared" si="172"/>
        <v>8</v>
      </c>
      <c r="M2763" s="1">
        <f t="shared" si="173"/>
        <v>4</v>
      </c>
      <c r="N2763" s="2">
        <f t="shared" si="174"/>
        <v>45839</v>
      </c>
      <c r="O2763" t="str">
        <f t="shared" si="175"/>
        <v>mačka</v>
      </c>
    </row>
    <row r="2764" spans="1:15" x14ac:dyDescent="0.25">
      <c r="A2764">
        <v>10272</v>
      </c>
      <c r="B2764" s="11">
        <v>8599988776654</v>
      </c>
      <c r="C2764" s="1" t="s">
        <v>393</v>
      </c>
      <c r="D2764" s="1" t="s">
        <v>133</v>
      </c>
      <c r="E2764" s="1" t="s">
        <v>17</v>
      </c>
      <c r="F2764">
        <v>16.8</v>
      </c>
      <c r="G2764">
        <v>1</v>
      </c>
      <c r="H2764" s="1" t="s">
        <v>14</v>
      </c>
      <c r="I2764" s="1" t="s">
        <v>15</v>
      </c>
      <c r="J2764" s="12">
        <v>45852</v>
      </c>
      <c r="K2764">
        <v>0</v>
      </c>
      <c r="L2764" s="1">
        <f t="shared" si="172"/>
        <v>16.8</v>
      </c>
      <c r="M2764" s="1" t="str">
        <f t="shared" si="173"/>
        <v/>
      </c>
      <c r="N2764" s="2">
        <f t="shared" si="174"/>
        <v>45839</v>
      </c>
      <c r="O2764" t="str">
        <f t="shared" si="175"/>
        <v>pes</v>
      </c>
    </row>
    <row r="2765" spans="1:15" x14ac:dyDescent="0.25">
      <c r="A2765">
        <v>10273</v>
      </c>
      <c r="B2765" s="11">
        <v>4017890123450</v>
      </c>
      <c r="C2765" s="1" t="s">
        <v>65</v>
      </c>
      <c r="D2765" s="1" t="s">
        <v>39</v>
      </c>
      <c r="E2765" s="1" t="s">
        <v>22</v>
      </c>
      <c r="F2765">
        <v>7.6</v>
      </c>
      <c r="G2765">
        <v>1</v>
      </c>
      <c r="H2765" s="1" t="s">
        <v>14</v>
      </c>
      <c r="I2765" s="1" t="s">
        <v>15</v>
      </c>
      <c r="J2765" s="12">
        <v>45852</v>
      </c>
      <c r="K2765">
        <v>0</v>
      </c>
      <c r="L2765" s="1">
        <f t="shared" si="172"/>
        <v>7.6</v>
      </c>
      <c r="M2765" s="1" t="str">
        <f t="shared" si="173"/>
        <v/>
      </c>
      <c r="N2765" s="2">
        <f t="shared" si="174"/>
        <v>45839</v>
      </c>
      <c r="O2765" t="str">
        <f t="shared" si="175"/>
        <v>pes</v>
      </c>
    </row>
    <row r="2766" spans="1:15" x14ac:dyDescent="0.25">
      <c r="A2766">
        <v>10274</v>
      </c>
      <c r="B2766" s="11">
        <v>8599988776654</v>
      </c>
      <c r="C2766" s="1" t="s">
        <v>393</v>
      </c>
      <c r="D2766" s="1" t="s">
        <v>133</v>
      </c>
      <c r="E2766" s="1" t="s">
        <v>17</v>
      </c>
      <c r="F2766">
        <v>16.8</v>
      </c>
      <c r="G2766">
        <v>2</v>
      </c>
      <c r="H2766" s="1" t="s">
        <v>14</v>
      </c>
      <c r="I2766" s="1" t="s">
        <v>15</v>
      </c>
      <c r="J2766" s="12">
        <v>45852</v>
      </c>
      <c r="K2766">
        <v>0</v>
      </c>
      <c r="L2766" s="1">
        <f t="shared" si="172"/>
        <v>33.6</v>
      </c>
      <c r="M2766" s="1" t="str">
        <f t="shared" si="173"/>
        <v/>
      </c>
      <c r="N2766" s="2">
        <f t="shared" si="174"/>
        <v>45839</v>
      </c>
      <c r="O2766" t="str">
        <f t="shared" si="175"/>
        <v>pes</v>
      </c>
    </row>
    <row r="2767" spans="1:15" hidden="1" x14ac:dyDescent="0.25">
      <c r="A2767">
        <v>10275</v>
      </c>
      <c r="B2767" s="11">
        <v>4056789012345</v>
      </c>
      <c r="C2767" s="1" t="s">
        <v>47</v>
      </c>
      <c r="D2767" s="1" t="s">
        <v>29</v>
      </c>
      <c r="E2767" s="1" t="s">
        <v>37</v>
      </c>
      <c r="F2767">
        <v>2.4</v>
      </c>
      <c r="G2767">
        <v>2</v>
      </c>
      <c r="H2767" s="1" t="s">
        <v>33</v>
      </c>
      <c r="I2767" s="1" t="s">
        <v>444</v>
      </c>
      <c r="J2767" s="12">
        <v>45852</v>
      </c>
      <c r="K2767">
        <v>0</v>
      </c>
      <c r="L2767" s="1">
        <f t="shared" si="172"/>
        <v>4.8</v>
      </c>
      <c r="M2767" s="1">
        <f t="shared" si="173"/>
        <v>3</v>
      </c>
      <c r="N2767" s="2">
        <f t="shared" si="174"/>
        <v>45839</v>
      </c>
      <c r="O2767" t="str">
        <f t="shared" si="175"/>
        <v>mačka</v>
      </c>
    </row>
    <row r="2768" spans="1:15" x14ac:dyDescent="0.25">
      <c r="A2768">
        <v>10276</v>
      </c>
      <c r="B2768" s="11">
        <v>8599988776654</v>
      </c>
      <c r="C2768" s="1" t="s">
        <v>393</v>
      </c>
      <c r="D2768" s="1" t="s">
        <v>133</v>
      </c>
      <c r="E2768" s="1" t="s">
        <v>17</v>
      </c>
      <c r="F2768">
        <v>16.8</v>
      </c>
      <c r="G2768">
        <v>1</v>
      </c>
      <c r="H2768" s="1" t="s">
        <v>14</v>
      </c>
      <c r="I2768" s="1" t="s">
        <v>15</v>
      </c>
      <c r="J2768" s="12">
        <v>45852</v>
      </c>
      <c r="K2768">
        <v>0</v>
      </c>
      <c r="L2768" s="1">
        <f t="shared" si="172"/>
        <v>16.8</v>
      </c>
      <c r="M2768" s="1" t="str">
        <f t="shared" si="173"/>
        <v/>
      </c>
      <c r="N2768" s="2">
        <f t="shared" si="174"/>
        <v>45839</v>
      </c>
      <c r="O2768" t="str">
        <f t="shared" si="175"/>
        <v>pes</v>
      </c>
    </row>
    <row r="2769" spans="1:15" x14ac:dyDescent="0.25">
      <c r="A2769">
        <v>10277</v>
      </c>
      <c r="B2769" s="11">
        <v>4063456789014</v>
      </c>
      <c r="C2769" s="1" t="s">
        <v>60</v>
      </c>
      <c r="D2769" s="1" t="s">
        <v>12</v>
      </c>
      <c r="E2769" s="1" t="s">
        <v>61</v>
      </c>
      <c r="F2769">
        <v>36</v>
      </c>
      <c r="G2769">
        <v>1</v>
      </c>
      <c r="H2769" s="1" t="s">
        <v>14</v>
      </c>
      <c r="I2769" s="1" t="s">
        <v>15</v>
      </c>
      <c r="J2769" s="12">
        <v>45852</v>
      </c>
      <c r="K2769">
        <v>0</v>
      </c>
      <c r="L2769" s="1">
        <f t="shared" si="172"/>
        <v>36</v>
      </c>
      <c r="M2769" s="1" t="str">
        <f t="shared" si="173"/>
        <v/>
      </c>
      <c r="N2769" s="2">
        <f t="shared" si="174"/>
        <v>45839</v>
      </c>
      <c r="O2769" t="str">
        <f t="shared" si="175"/>
        <v>pes</v>
      </c>
    </row>
    <row r="2770" spans="1:15" x14ac:dyDescent="0.25">
      <c r="A2770">
        <v>10278</v>
      </c>
      <c r="B2770" s="11">
        <v>8599988776654</v>
      </c>
      <c r="C2770" s="1" t="s">
        <v>393</v>
      </c>
      <c r="D2770" s="1" t="s">
        <v>133</v>
      </c>
      <c r="E2770" s="1" t="s">
        <v>17</v>
      </c>
      <c r="F2770">
        <v>16.8</v>
      </c>
      <c r="G2770">
        <v>1</v>
      </c>
      <c r="H2770" s="1" t="s">
        <v>14</v>
      </c>
      <c r="I2770" s="1" t="s">
        <v>15</v>
      </c>
      <c r="J2770" s="12">
        <v>45852</v>
      </c>
      <c r="K2770">
        <v>0</v>
      </c>
      <c r="L2770" s="1">
        <f t="shared" si="172"/>
        <v>16.8</v>
      </c>
      <c r="M2770" s="1" t="str">
        <f t="shared" si="173"/>
        <v/>
      </c>
      <c r="N2770" s="2">
        <f t="shared" si="174"/>
        <v>45839</v>
      </c>
      <c r="O2770" t="str">
        <f t="shared" si="175"/>
        <v>pes</v>
      </c>
    </row>
    <row r="2771" spans="1:15" x14ac:dyDescent="0.25">
      <c r="A2771">
        <v>10279</v>
      </c>
      <c r="B2771" s="11">
        <v>4013456789017</v>
      </c>
      <c r="C2771" s="1" t="s">
        <v>11</v>
      </c>
      <c r="D2771" s="1" t="s">
        <v>12</v>
      </c>
      <c r="E2771" s="1" t="s">
        <v>13</v>
      </c>
      <c r="F2771">
        <v>6</v>
      </c>
      <c r="G2771">
        <v>2</v>
      </c>
      <c r="H2771" s="1" t="s">
        <v>23</v>
      </c>
      <c r="I2771" s="1" t="s">
        <v>445</v>
      </c>
      <c r="J2771" s="12">
        <v>45852</v>
      </c>
      <c r="K2771">
        <v>0</v>
      </c>
      <c r="L2771" s="1">
        <f t="shared" si="172"/>
        <v>12</v>
      </c>
      <c r="M2771" s="1">
        <f t="shared" si="173"/>
        <v>5</v>
      </c>
      <c r="N2771" s="2">
        <f t="shared" si="174"/>
        <v>45839</v>
      </c>
      <c r="O2771" t="str">
        <f t="shared" si="175"/>
        <v>pes</v>
      </c>
    </row>
    <row r="2772" spans="1:15" x14ac:dyDescent="0.25">
      <c r="A2772">
        <v>10280</v>
      </c>
      <c r="B2772" s="11">
        <v>8599988776654</v>
      </c>
      <c r="C2772" s="1" t="s">
        <v>393</v>
      </c>
      <c r="D2772" s="1" t="s">
        <v>133</v>
      </c>
      <c r="E2772" s="1" t="s">
        <v>17</v>
      </c>
      <c r="F2772">
        <v>16.8</v>
      </c>
      <c r="G2772">
        <v>1</v>
      </c>
      <c r="H2772" s="1" t="s">
        <v>14</v>
      </c>
      <c r="I2772" s="1" t="s">
        <v>15</v>
      </c>
      <c r="J2772" s="12">
        <v>45852</v>
      </c>
      <c r="K2772">
        <v>0</v>
      </c>
      <c r="L2772" s="1">
        <f t="shared" si="172"/>
        <v>16.8</v>
      </c>
      <c r="M2772" s="1" t="str">
        <f t="shared" si="173"/>
        <v/>
      </c>
      <c r="N2772" s="2">
        <f t="shared" si="174"/>
        <v>45839</v>
      </c>
      <c r="O2772" t="str">
        <f t="shared" si="175"/>
        <v>pes</v>
      </c>
    </row>
    <row r="2773" spans="1:15" x14ac:dyDescent="0.25">
      <c r="A2773">
        <v>10281</v>
      </c>
      <c r="B2773" s="11">
        <v>4028899001126</v>
      </c>
      <c r="C2773" s="1" t="s">
        <v>16</v>
      </c>
      <c r="D2773" s="1" t="s">
        <v>12</v>
      </c>
      <c r="E2773" s="1" t="s">
        <v>17</v>
      </c>
      <c r="F2773">
        <v>2.8</v>
      </c>
      <c r="G2773">
        <v>3</v>
      </c>
      <c r="H2773" s="1" t="s">
        <v>14</v>
      </c>
      <c r="I2773" s="1" t="s">
        <v>15</v>
      </c>
      <c r="J2773" s="12">
        <v>45852</v>
      </c>
      <c r="K2773">
        <v>0</v>
      </c>
      <c r="L2773" s="1">
        <f t="shared" si="172"/>
        <v>8.3999999999999986</v>
      </c>
      <c r="M2773" s="1" t="str">
        <f t="shared" si="173"/>
        <v/>
      </c>
      <c r="N2773" s="2">
        <f t="shared" si="174"/>
        <v>45839</v>
      </c>
      <c r="O2773" t="str">
        <f t="shared" si="175"/>
        <v>pes</v>
      </c>
    </row>
    <row r="2774" spans="1:15" x14ac:dyDescent="0.25">
      <c r="A2774">
        <v>10282</v>
      </c>
      <c r="B2774" s="11">
        <v>8599988776654</v>
      </c>
      <c r="C2774" s="1" t="s">
        <v>393</v>
      </c>
      <c r="D2774" s="1" t="s">
        <v>133</v>
      </c>
      <c r="E2774" s="1" t="s">
        <v>17</v>
      </c>
      <c r="F2774">
        <v>16.8</v>
      </c>
      <c r="G2774">
        <v>2</v>
      </c>
      <c r="H2774" s="1" t="s">
        <v>14</v>
      </c>
      <c r="I2774" s="1" t="s">
        <v>15</v>
      </c>
      <c r="J2774" s="12">
        <v>45853</v>
      </c>
      <c r="K2774">
        <v>0</v>
      </c>
      <c r="L2774" s="1">
        <f t="shared" si="172"/>
        <v>33.6</v>
      </c>
      <c r="M2774" s="1" t="str">
        <f t="shared" si="173"/>
        <v/>
      </c>
      <c r="N2774" s="2">
        <f t="shared" si="174"/>
        <v>45839</v>
      </c>
      <c r="O2774" t="str">
        <f t="shared" si="175"/>
        <v>pes</v>
      </c>
    </row>
    <row r="2775" spans="1:15" x14ac:dyDescent="0.25">
      <c r="A2775">
        <v>10283</v>
      </c>
      <c r="B2775" s="11">
        <v>4013456789017</v>
      </c>
      <c r="C2775" s="1" t="s">
        <v>11</v>
      </c>
      <c r="D2775" s="1" t="s">
        <v>12</v>
      </c>
      <c r="E2775" s="1" t="s">
        <v>13</v>
      </c>
      <c r="F2775">
        <v>6</v>
      </c>
      <c r="G2775">
        <v>1</v>
      </c>
      <c r="H2775" s="1" t="s">
        <v>18</v>
      </c>
      <c r="I2775" s="1" t="s">
        <v>446</v>
      </c>
      <c r="J2775" s="12">
        <v>45853</v>
      </c>
      <c r="K2775">
        <v>0</v>
      </c>
      <c r="L2775" s="1">
        <f t="shared" si="172"/>
        <v>6</v>
      </c>
      <c r="M2775" s="1">
        <f t="shared" si="173"/>
        <v>4</v>
      </c>
      <c r="N2775" s="2">
        <f t="shared" si="174"/>
        <v>45839</v>
      </c>
      <c r="O2775" t="str">
        <f t="shared" si="175"/>
        <v>pes</v>
      </c>
    </row>
    <row r="2776" spans="1:15" x14ac:dyDescent="0.25">
      <c r="A2776">
        <v>10284</v>
      </c>
      <c r="B2776" s="11">
        <v>8599988776654</v>
      </c>
      <c r="C2776" s="1" t="s">
        <v>393</v>
      </c>
      <c r="D2776" s="1" t="s">
        <v>133</v>
      </c>
      <c r="E2776" s="1" t="s">
        <v>17</v>
      </c>
      <c r="F2776">
        <v>16.8</v>
      </c>
      <c r="G2776">
        <v>1</v>
      </c>
      <c r="H2776" s="1" t="s">
        <v>14</v>
      </c>
      <c r="I2776" s="1" t="s">
        <v>15</v>
      </c>
      <c r="J2776" s="12">
        <v>45853</v>
      </c>
      <c r="K2776">
        <v>0</v>
      </c>
      <c r="L2776" s="1">
        <f t="shared" si="172"/>
        <v>16.8</v>
      </c>
      <c r="M2776" s="1" t="str">
        <f t="shared" si="173"/>
        <v/>
      </c>
      <c r="N2776" s="2">
        <f t="shared" si="174"/>
        <v>45839</v>
      </c>
      <c r="O2776" t="str">
        <f t="shared" si="175"/>
        <v>pes</v>
      </c>
    </row>
    <row r="2777" spans="1:15" x14ac:dyDescent="0.25">
      <c r="A2777">
        <v>10285</v>
      </c>
      <c r="B2777" s="11">
        <v>4028899001126</v>
      </c>
      <c r="C2777" s="1" t="s">
        <v>16</v>
      </c>
      <c r="D2777" s="1" t="s">
        <v>12</v>
      </c>
      <c r="E2777" s="1" t="s">
        <v>17</v>
      </c>
      <c r="F2777">
        <v>2.8</v>
      </c>
      <c r="G2777">
        <v>3</v>
      </c>
      <c r="H2777" s="1" t="s">
        <v>14</v>
      </c>
      <c r="I2777" s="1" t="s">
        <v>15</v>
      </c>
      <c r="J2777" s="12">
        <v>45853</v>
      </c>
      <c r="K2777">
        <v>0</v>
      </c>
      <c r="L2777" s="1">
        <f t="shared" si="172"/>
        <v>8.3999999999999986</v>
      </c>
      <c r="M2777" s="1" t="str">
        <f t="shared" si="173"/>
        <v/>
      </c>
      <c r="N2777" s="2">
        <f t="shared" si="174"/>
        <v>45839</v>
      </c>
      <c r="O2777" t="str">
        <f t="shared" si="175"/>
        <v>pes</v>
      </c>
    </row>
    <row r="2778" spans="1:15" x14ac:dyDescent="0.25">
      <c r="A2778">
        <v>10286</v>
      </c>
      <c r="B2778" s="11">
        <v>8599988776654</v>
      </c>
      <c r="C2778" s="1" t="s">
        <v>393</v>
      </c>
      <c r="D2778" s="1" t="s">
        <v>133</v>
      </c>
      <c r="E2778" s="1" t="s">
        <v>17</v>
      </c>
      <c r="F2778">
        <v>16.8</v>
      </c>
      <c r="G2778">
        <v>2</v>
      </c>
      <c r="H2778" s="1" t="s">
        <v>14</v>
      </c>
      <c r="I2778" s="1" t="s">
        <v>15</v>
      </c>
      <c r="J2778" s="12">
        <v>45853</v>
      </c>
      <c r="K2778">
        <v>0</v>
      </c>
      <c r="L2778" s="1">
        <f t="shared" si="172"/>
        <v>33.6</v>
      </c>
      <c r="M2778" s="1" t="str">
        <f t="shared" si="173"/>
        <v/>
      </c>
      <c r="N2778" s="2">
        <f t="shared" si="174"/>
        <v>45839</v>
      </c>
      <c r="O2778" t="str">
        <f t="shared" si="175"/>
        <v>pes</v>
      </c>
    </row>
    <row r="2779" spans="1:15" x14ac:dyDescent="0.25">
      <c r="A2779">
        <v>10287</v>
      </c>
      <c r="B2779" s="11">
        <v>4017890123450</v>
      </c>
      <c r="C2779" s="1" t="s">
        <v>65</v>
      </c>
      <c r="D2779" s="1" t="s">
        <v>39</v>
      </c>
      <c r="E2779" s="1" t="s">
        <v>22</v>
      </c>
      <c r="F2779">
        <v>7.6</v>
      </c>
      <c r="G2779">
        <v>1</v>
      </c>
      <c r="H2779" s="1" t="s">
        <v>14</v>
      </c>
      <c r="I2779" s="1" t="s">
        <v>15</v>
      </c>
      <c r="J2779" s="12">
        <v>45853</v>
      </c>
      <c r="K2779">
        <v>0</v>
      </c>
      <c r="L2779" s="1">
        <f t="shared" si="172"/>
        <v>7.6</v>
      </c>
      <c r="M2779" s="1" t="str">
        <f t="shared" si="173"/>
        <v/>
      </c>
      <c r="N2779" s="2">
        <f t="shared" si="174"/>
        <v>45839</v>
      </c>
      <c r="O2779" t="str">
        <f t="shared" si="175"/>
        <v>pes</v>
      </c>
    </row>
    <row r="2780" spans="1:15" x14ac:dyDescent="0.25">
      <c r="A2780">
        <v>10288</v>
      </c>
      <c r="B2780" s="11">
        <v>8599988776654</v>
      </c>
      <c r="C2780" s="1" t="s">
        <v>393</v>
      </c>
      <c r="D2780" s="1" t="s">
        <v>133</v>
      </c>
      <c r="E2780" s="1" t="s">
        <v>17</v>
      </c>
      <c r="F2780">
        <v>16.8</v>
      </c>
      <c r="G2780">
        <v>1</v>
      </c>
      <c r="H2780" s="1" t="s">
        <v>23</v>
      </c>
      <c r="I2780" s="1" t="s">
        <v>447</v>
      </c>
      <c r="J2780" s="12">
        <v>45853</v>
      </c>
      <c r="K2780">
        <v>0</v>
      </c>
      <c r="L2780" s="1">
        <f t="shared" si="172"/>
        <v>16.8</v>
      </c>
      <c r="M2780" s="1">
        <f t="shared" si="173"/>
        <v>5</v>
      </c>
      <c r="N2780" s="2">
        <f t="shared" si="174"/>
        <v>45839</v>
      </c>
      <c r="O2780" t="str">
        <f t="shared" si="175"/>
        <v>pes</v>
      </c>
    </row>
    <row r="2781" spans="1:15" hidden="1" x14ac:dyDescent="0.25">
      <c r="A2781">
        <v>10289</v>
      </c>
      <c r="B2781" s="11">
        <v>4010123456783</v>
      </c>
      <c r="C2781" s="1" t="s">
        <v>35</v>
      </c>
      <c r="D2781" s="1" t="s">
        <v>36</v>
      </c>
      <c r="E2781" s="1" t="s">
        <v>37</v>
      </c>
      <c r="F2781">
        <v>14</v>
      </c>
      <c r="G2781">
        <v>1</v>
      </c>
      <c r="H2781" s="1" t="s">
        <v>14</v>
      </c>
      <c r="I2781" s="1" t="s">
        <v>15</v>
      </c>
      <c r="J2781" s="12">
        <v>45853</v>
      </c>
      <c r="K2781">
        <v>0</v>
      </c>
      <c r="L2781" s="1">
        <f t="shared" si="172"/>
        <v>14</v>
      </c>
      <c r="M2781" s="1" t="str">
        <f t="shared" si="173"/>
        <v/>
      </c>
      <c r="N2781" s="2">
        <f t="shared" si="174"/>
        <v>45839</v>
      </c>
      <c r="O2781" t="str">
        <f t="shared" si="175"/>
        <v>mačka</v>
      </c>
    </row>
    <row r="2782" spans="1:15" x14ac:dyDescent="0.25">
      <c r="A2782">
        <v>10290</v>
      </c>
      <c r="B2782" s="11">
        <v>8599988776654</v>
      </c>
      <c r="C2782" s="1" t="s">
        <v>393</v>
      </c>
      <c r="D2782" s="1" t="s">
        <v>133</v>
      </c>
      <c r="E2782" s="1" t="s">
        <v>17</v>
      </c>
      <c r="F2782">
        <v>16.8</v>
      </c>
      <c r="G2782">
        <v>1</v>
      </c>
      <c r="H2782" s="1" t="s">
        <v>14</v>
      </c>
      <c r="I2782" s="1" t="s">
        <v>15</v>
      </c>
      <c r="J2782" s="12">
        <v>45853</v>
      </c>
      <c r="K2782">
        <v>0</v>
      </c>
      <c r="L2782" s="1">
        <f t="shared" si="172"/>
        <v>16.8</v>
      </c>
      <c r="M2782" s="1" t="str">
        <f t="shared" si="173"/>
        <v/>
      </c>
      <c r="N2782" s="2">
        <f t="shared" si="174"/>
        <v>45839</v>
      </c>
      <c r="O2782" t="str">
        <f t="shared" si="175"/>
        <v>pes</v>
      </c>
    </row>
    <row r="2783" spans="1:15" x14ac:dyDescent="0.25">
      <c r="A2783">
        <v>10291</v>
      </c>
      <c r="B2783" s="11">
        <v>4063456789014</v>
      </c>
      <c r="C2783" s="1" t="s">
        <v>60</v>
      </c>
      <c r="D2783" s="1" t="s">
        <v>12</v>
      </c>
      <c r="E2783" s="1" t="s">
        <v>61</v>
      </c>
      <c r="F2783">
        <v>36</v>
      </c>
      <c r="G2783">
        <v>1</v>
      </c>
      <c r="H2783" s="1" t="s">
        <v>14</v>
      </c>
      <c r="I2783" s="1" t="s">
        <v>15</v>
      </c>
      <c r="J2783" s="12">
        <v>45853</v>
      </c>
      <c r="K2783">
        <v>0</v>
      </c>
      <c r="L2783" s="1">
        <f t="shared" si="172"/>
        <v>36</v>
      </c>
      <c r="M2783" s="1" t="str">
        <f t="shared" si="173"/>
        <v/>
      </c>
      <c r="N2783" s="2">
        <f t="shared" si="174"/>
        <v>45839</v>
      </c>
      <c r="O2783" t="str">
        <f t="shared" si="175"/>
        <v>pes</v>
      </c>
    </row>
    <row r="2784" spans="1:15" x14ac:dyDescent="0.25">
      <c r="A2784">
        <v>10292</v>
      </c>
      <c r="B2784" s="11">
        <v>8599988776654</v>
      </c>
      <c r="C2784" s="1" t="s">
        <v>393</v>
      </c>
      <c r="D2784" s="1" t="s">
        <v>133</v>
      </c>
      <c r="E2784" s="1" t="s">
        <v>17</v>
      </c>
      <c r="F2784">
        <v>16.8</v>
      </c>
      <c r="G2784">
        <v>1</v>
      </c>
      <c r="H2784" s="1" t="s">
        <v>14</v>
      </c>
      <c r="I2784" s="1" t="s">
        <v>15</v>
      </c>
      <c r="J2784" s="12">
        <v>45853</v>
      </c>
      <c r="K2784">
        <v>0</v>
      </c>
      <c r="L2784" s="1">
        <f t="shared" si="172"/>
        <v>16.8</v>
      </c>
      <c r="M2784" s="1" t="str">
        <f t="shared" si="173"/>
        <v/>
      </c>
      <c r="N2784" s="2">
        <f t="shared" si="174"/>
        <v>45839</v>
      </c>
      <c r="O2784" t="str">
        <f t="shared" si="175"/>
        <v>pes</v>
      </c>
    </row>
    <row r="2785" spans="1:15" hidden="1" x14ac:dyDescent="0.25">
      <c r="A2785">
        <v>10293</v>
      </c>
      <c r="B2785" s="11">
        <v>4056789012345</v>
      </c>
      <c r="C2785" s="1" t="s">
        <v>47</v>
      </c>
      <c r="D2785" s="1" t="s">
        <v>29</v>
      </c>
      <c r="E2785" s="1" t="s">
        <v>37</v>
      </c>
      <c r="F2785">
        <v>2.4</v>
      </c>
      <c r="G2785">
        <v>2</v>
      </c>
      <c r="H2785" s="1" t="s">
        <v>14</v>
      </c>
      <c r="I2785" s="1" t="s">
        <v>15</v>
      </c>
      <c r="J2785" s="12">
        <v>45853</v>
      </c>
      <c r="K2785">
        <v>0</v>
      </c>
      <c r="L2785" s="1">
        <f t="shared" si="172"/>
        <v>4.8</v>
      </c>
      <c r="M2785" s="1" t="str">
        <f t="shared" si="173"/>
        <v/>
      </c>
      <c r="N2785" s="2">
        <f t="shared" si="174"/>
        <v>45839</v>
      </c>
      <c r="O2785" t="str">
        <f t="shared" si="175"/>
        <v>mačka</v>
      </c>
    </row>
    <row r="2786" spans="1:15" x14ac:dyDescent="0.25">
      <c r="A2786">
        <v>10294</v>
      </c>
      <c r="B2786" s="11">
        <v>8599988776654</v>
      </c>
      <c r="C2786" s="1" t="s">
        <v>393</v>
      </c>
      <c r="D2786" s="1" t="s">
        <v>133</v>
      </c>
      <c r="E2786" s="1" t="s">
        <v>17</v>
      </c>
      <c r="F2786">
        <v>16.8</v>
      </c>
      <c r="G2786">
        <v>1</v>
      </c>
      <c r="H2786" s="1" t="s">
        <v>18</v>
      </c>
      <c r="I2786" s="1" t="s">
        <v>448</v>
      </c>
      <c r="J2786" s="12">
        <v>45853</v>
      </c>
      <c r="K2786">
        <v>0</v>
      </c>
      <c r="L2786" s="1">
        <f t="shared" si="172"/>
        <v>16.8</v>
      </c>
      <c r="M2786" s="1">
        <f t="shared" si="173"/>
        <v>4</v>
      </c>
      <c r="N2786" s="2">
        <f t="shared" si="174"/>
        <v>45839</v>
      </c>
      <c r="O2786" t="str">
        <f t="shared" si="175"/>
        <v>pes</v>
      </c>
    </row>
    <row r="2787" spans="1:15" hidden="1" x14ac:dyDescent="0.25">
      <c r="A2787">
        <v>10295</v>
      </c>
      <c r="B2787" s="11">
        <v>4021234567894</v>
      </c>
      <c r="C2787" s="1" t="s">
        <v>79</v>
      </c>
      <c r="D2787" s="1" t="s">
        <v>36</v>
      </c>
      <c r="E2787" s="1" t="s">
        <v>69</v>
      </c>
      <c r="F2787">
        <v>8</v>
      </c>
      <c r="G2787">
        <v>1</v>
      </c>
      <c r="H2787" s="1" t="s">
        <v>14</v>
      </c>
      <c r="I2787" s="1" t="s">
        <v>15</v>
      </c>
      <c r="J2787" s="12">
        <v>45854</v>
      </c>
      <c r="K2787">
        <v>0</v>
      </c>
      <c r="L2787" s="1">
        <f t="shared" si="172"/>
        <v>8</v>
      </c>
      <c r="M2787" s="1" t="str">
        <f t="shared" si="173"/>
        <v/>
      </c>
      <c r="N2787" s="2">
        <f t="shared" si="174"/>
        <v>45839</v>
      </c>
      <c r="O2787" t="str">
        <f t="shared" si="175"/>
        <v>mačka</v>
      </c>
    </row>
    <row r="2788" spans="1:15" x14ac:dyDescent="0.25">
      <c r="A2788">
        <v>10296</v>
      </c>
      <c r="B2788" s="11">
        <v>8599988776654</v>
      </c>
      <c r="C2788" s="1" t="s">
        <v>393</v>
      </c>
      <c r="D2788" s="1" t="s">
        <v>133</v>
      </c>
      <c r="E2788" s="1" t="s">
        <v>17</v>
      </c>
      <c r="F2788">
        <v>16.8</v>
      </c>
      <c r="G2788">
        <v>2</v>
      </c>
      <c r="H2788" s="1" t="s">
        <v>14</v>
      </c>
      <c r="I2788" s="1" t="s">
        <v>15</v>
      </c>
      <c r="J2788" s="12">
        <v>45854</v>
      </c>
      <c r="K2788">
        <v>0</v>
      </c>
      <c r="L2788" s="1">
        <f t="shared" si="172"/>
        <v>33.6</v>
      </c>
      <c r="M2788" s="1" t="str">
        <f t="shared" si="173"/>
        <v/>
      </c>
      <c r="N2788" s="2">
        <f t="shared" si="174"/>
        <v>45839</v>
      </c>
      <c r="O2788" t="str">
        <f t="shared" si="175"/>
        <v>pes</v>
      </c>
    </row>
    <row r="2789" spans="1:15" x14ac:dyDescent="0.25">
      <c r="A2789">
        <v>10297</v>
      </c>
      <c r="B2789" s="11">
        <v>4013456789017</v>
      </c>
      <c r="C2789" s="1" t="s">
        <v>11</v>
      </c>
      <c r="D2789" s="1" t="s">
        <v>12</v>
      </c>
      <c r="E2789" s="1" t="s">
        <v>13</v>
      </c>
      <c r="F2789">
        <v>6</v>
      </c>
      <c r="G2789">
        <v>1</v>
      </c>
      <c r="H2789" s="1" t="s">
        <v>14</v>
      </c>
      <c r="I2789" s="1" t="s">
        <v>15</v>
      </c>
      <c r="J2789" s="12">
        <v>45854</v>
      </c>
      <c r="K2789">
        <v>0</v>
      </c>
      <c r="L2789" s="1">
        <f t="shared" si="172"/>
        <v>6</v>
      </c>
      <c r="M2789" s="1" t="str">
        <f t="shared" si="173"/>
        <v/>
      </c>
      <c r="N2789" s="2">
        <f t="shared" si="174"/>
        <v>45839</v>
      </c>
      <c r="O2789" t="str">
        <f t="shared" si="175"/>
        <v>pes</v>
      </c>
    </row>
    <row r="2790" spans="1:15" x14ac:dyDescent="0.25">
      <c r="A2790">
        <v>10298</v>
      </c>
      <c r="B2790" s="11">
        <v>8599988776654</v>
      </c>
      <c r="C2790" s="1" t="s">
        <v>393</v>
      </c>
      <c r="D2790" s="1" t="s">
        <v>133</v>
      </c>
      <c r="E2790" s="1" t="s">
        <v>17</v>
      </c>
      <c r="F2790">
        <v>16.8</v>
      </c>
      <c r="G2790">
        <v>1</v>
      </c>
      <c r="H2790" s="1" t="s">
        <v>14</v>
      </c>
      <c r="I2790" s="1" t="s">
        <v>15</v>
      </c>
      <c r="J2790" s="12">
        <v>45854</v>
      </c>
      <c r="K2790">
        <v>0</v>
      </c>
      <c r="L2790" s="1">
        <f t="shared" si="172"/>
        <v>16.8</v>
      </c>
      <c r="M2790" s="1" t="str">
        <f t="shared" si="173"/>
        <v/>
      </c>
      <c r="N2790" s="2">
        <f t="shared" si="174"/>
        <v>45839</v>
      </c>
      <c r="O2790" t="str">
        <f t="shared" si="175"/>
        <v>pes</v>
      </c>
    </row>
    <row r="2791" spans="1:15" x14ac:dyDescent="0.25">
      <c r="A2791">
        <v>10299</v>
      </c>
      <c r="B2791" s="11">
        <v>4063456789014</v>
      </c>
      <c r="C2791" s="1" t="s">
        <v>60</v>
      </c>
      <c r="D2791" s="1" t="s">
        <v>12</v>
      </c>
      <c r="E2791" s="1" t="s">
        <v>61</v>
      </c>
      <c r="F2791">
        <v>36</v>
      </c>
      <c r="G2791">
        <v>1</v>
      </c>
      <c r="H2791" s="1" t="s">
        <v>14</v>
      </c>
      <c r="I2791" s="1" t="s">
        <v>15</v>
      </c>
      <c r="J2791" s="12">
        <v>45854</v>
      </c>
      <c r="K2791">
        <v>0</v>
      </c>
      <c r="L2791" s="1">
        <f t="shared" si="172"/>
        <v>36</v>
      </c>
      <c r="M2791" s="1" t="str">
        <f t="shared" si="173"/>
        <v/>
      </c>
      <c r="N2791" s="2">
        <f t="shared" si="174"/>
        <v>45839</v>
      </c>
      <c r="O2791" t="str">
        <f t="shared" si="175"/>
        <v>pes</v>
      </c>
    </row>
    <row r="2792" spans="1:15" x14ac:dyDescent="0.25">
      <c r="A2792">
        <v>10300</v>
      </c>
      <c r="B2792" s="11">
        <v>8599988776654</v>
      </c>
      <c r="C2792" s="1" t="s">
        <v>393</v>
      </c>
      <c r="D2792" s="1" t="s">
        <v>133</v>
      </c>
      <c r="E2792" s="1" t="s">
        <v>17</v>
      </c>
      <c r="F2792">
        <v>16.8</v>
      </c>
      <c r="G2792">
        <v>1</v>
      </c>
      <c r="H2792" s="1" t="s">
        <v>14</v>
      </c>
      <c r="I2792" s="1" t="s">
        <v>15</v>
      </c>
      <c r="J2792" s="12">
        <v>45854</v>
      </c>
      <c r="K2792">
        <v>0</v>
      </c>
      <c r="L2792" s="1">
        <f t="shared" si="172"/>
        <v>16.8</v>
      </c>
      <c r="M2792" s="1" t="str">
        <f t="shared" si="173"/>
        <v/>
      </c>
      <c r="N2792" s="2">
        <f t="shared" si="174"/>
        <v>45839</v>
      </c>
      <c r="O2792" t="str">
        <f t="shared" si="175"/>
        <v>pes</v>
      </c>
    </row>
    <row r="2793" spans="1:15" x14ac:dyDescent="0.25">
      <c r="A2793">
        <v>10301</v>
      </c>
      <c r="B2793" s="11">
        <v>4017890123450</v>
      </c>
      <c r="C2793" s="1" t="s">
        <v>65</v>
      </c>
      <c r="D2793" s="1" t="s">
        <v>39</v>
      </c>
      <c r="E2793" s="1" t="s">
        <v>22</v>
      </c>
      <c r="F2793">
        <v>7.6</v>
      </c>
      <c r="G2793">
        <v>1</v>
      </c>
      <c r="H2793" s="1" t="s">
        <v>23</v>
      </c>
      <c r="I2793" s="1" t="s">
        <v>449</v>
      </c>
      <c r="J2793" s="12">
        <v>45854</v>
      </c>
      <c r="K2793">
        <v>0</v>
      </c>
      <c r="L2793" s="1">
        <f t="shared" si="172"/>
        <v>7.6</v>
      </c>
      <c r="M2793" s="1">
        <f t="shared" si="173"/>
        <v>5</v>
      </c>
      <c r="N2793" s="2">
        <f t="shared" si="174"/>
        <v>45839</v>
      </c>
      <c r="O2793" t="str">
        <f t="shared" si="175"/>
        <v>pes</v>
      </c>
    </row>
    <row r="2794" spans="1:15" x14ac:dyDescent="0.25">
      <c r="A2794">
        <v>10302</v>
      </c>
      <c r="B2794" s="11">
        <v>8599988776654</v>
      </c>
      <c r="C2794" s="1" t="s">
        <v>393</v>
      </c>
      <c r="D2794" s="1" t="s">
        <v>133</v>
      </c>
      <c r="E2794" s="1" t="s">
        <v>17</v>
      </c>
      <c r="F2794">
        <v>16.8</v>
      </c>
      <c r="G2794">
        <v>2</v>
      </c>
      <c r="H2794" s="1" t="s">
        <v>14</v>
      </c>
      <c r="I2794" s="1" t="s">
        <v>15</v>
      </c>
      <c r="J2794" s="12">
        <v>45854</v>
      </c>
      <c r="K2794">
        <v>0</v>
      </c>
      <c r="L2794" s="1">
        <f t="shared" si="172"/>
        <v>33.6</v>
      </c>
      <c r="M2794" s="1" t="str">
        <f t="shared" si="173"/>
        <v/>
      </c>
      <c r="N2794" s="2">
        <f t="shared" si="174"/>
        <v>45839</v>
      </c>
      <c r="O2794" t="str">
        <f t="shared" si="175"/>
        <v>pes</v>
      </c>
    </row>
    <row r="2795" spans="1:15" hidden="1" x14ac:dyDescent="0.25">
      <c r="A2795">
        <v>10303</v>
      </c>
      <c r="B2795" s="11">
        <v>4010123456783</v>
      </c>
      <c r="C2795" s="1" t="s">
        <v>35</v>
      </c>
      <c r="D2795" s="1" t="s">
        <v>36</v>
      </c>
      <c r="E2795" s="1" t="s">
        <v>37</v>
      </c>
      <c r="F2795">
        <v>14</v>
      </c>
      <c r="G2795">
        <v>1</v>
      </c>
      <c r="H2795" s="1" t="s">
        <v>14</v>
      </c>
      <c r="I2795" s="1" t="s">
        <v>15</v>
      </c>
      <c r="J2795" s="12">
        <v>45854</v>
      </c>
      <c r="K2795">
        <v>0</v>
      </c>
      <c r="L2795" s="1">
        <f t="shared" si="172"/>
        <v>14</v>
      </c>
      <c r="M2795" s="1" t="str">
        <f t="shared" si="173"/>
        <v/>
      </c>
      <c r="N2795" s="2">
        <f t="shared" si="174"/>
        <v>45839</v>
      </c>
      <c r="O2795" t="str">
        <f t="shared" si="175"/>
        <v>mačka</v>
      </c>
    </row>
    <row r="2796" spans="1:15" x14ac:dyDescent="0.25">
      <c r="A2796">
        <v>10304</v>
      </c>
      <c r="B2796" s="11">
        <v>8599988776654</v>
      </c>
      <c r="C2796" s="1" t="s">
        <v>393</v>
      </c>
      <c r="D2796" s="1" t="s">
        <v>133</v>
      </c>
      <c r="E2796" s="1" t="s">
        <v>17</v>
      </c>
      <c r="F2796">
        <v>16.8</v>
      </c>
      <c r="G2796">
        <v>1</v>
      </c>
      <c r="H2796" s="1" t="s">
        <v>23</v>
      </c>
      <c r="I2796" s="1" t="s">
        <v>450</v>
      </c>
      <c r="J2796" s="12">
        <v>45854</v>
      </c>
      <c r="K2796">
        <v>0</v>
      </c>
      <c r="L2796" s="1">
        <f t="shared" si="172"/>
        <v>16.8</v>
      </c>
      <c r="M2796" s="1">
        <f t="shared" si="173"/>
        <v>5</v>
      </c>
      <c r="N2796" s="2">
        <f t="shared" si="174"/>
        <v>45839</v>
      </c>
      <c r="O2796" t="str">
        <f t="shared" si="175"/>
        <v>pes</v>
      </c>
    </row>
    <row r="2797" spans="1:15" x14ac:dyDescent="0.25">
      <c r="A2797">
        <v>10305</v>
      </c>
      <c r="B2797" s="11">
        <v>4027788990013</v>
      </c>
      <c r="C2797" s="1" t="s">
        <v>43</v>
      </c>
      <c r="D2797" s="1" t="s">
        <v>21</v>
      </c>
      <c r="E2797" s="1" t="s">
        <v>22</v>
      </c>
      <c r="F2797">
        <v>8</v>
      </c>
      <c r="G2797">
        <v>1</v>
      </c>
      <c r="H2797" s="1" t="s">
        <v>14</v>
      </c>
      <c r="I2797" s="1" t="s">
        <v>15</v>
      </c>
      <c r="J2797" s="12">
        <v>45854</v>
      </c>
      <c r="K2797">
        <v>0</v>
      </c>
      <c r="L2797" s="1">
        <f t="shared" si="172"/>
        <v>8</v>
      </c>
      <c r="M2797" s="1" t="str">
        <f t="shared" si="173"/>
        <v/>
      </c>
      <c r="N2797" s="2">
        <f t="shared" si="174"/>
        <v>45839</v>
      </c>
      <c r="O2797" t="str">
        <f t="shared" si="175"/>
        <v>pes</v>
      </c>
    </row>
    <row r="2798" spans="1:15" x14ac:dyDescent="0.25">
      <c r="A2798">
        <v>10306</v>
      </c>
      <c r="B2798" s="11">
        <v>8599988776654</v>
      </c>
      <c r="C2798" s="1" t="s">
        <v>393</v>
      </c>
      <c r="D2798" s="1" t="s">
        <v>133</v>
      </c>
      <c r="E2798" s="1" t="s">
        <v>17</v>
      </c>
      <c r="F2798">
        <v>16.8</v>
      </c>
      <c r="G2798">
        <v>1</v>
      </c>
      <c r="H2798" s="1" t="s">
        <v>14</v>
      </c>
      <c r="I2798" s="1" t="s">
        <v>15</v>
      </c>
      <c r="J2798" s="12">
        <v>45854</v>
      </c>
      <c r="K2798">
        <v>0</v>
      </c>
      <c r="L2798" s="1">
        <f t="shared" si="172"/>
        <v>16.8</v>
      </c>
      <c r="M2798" s="1" t="str">
        <f t="shared" si="173"/>
        <v/>
      </c>
      <c r="N2798" s="2">
        <f t="shared" si="174"/>
        <v>45839</v>
      </c>
      <c r="O2798" t="str">
        <f t="shared" si="175"/>
        <v>pes</v>
      </c>
    </row>
    <row r="2799" spans="1:15" x14ac:dyDescent="0.25">
      <c r="A2799">
        <v>10307</v>
      </c>
      <c r="B2799" s="11">
        <v>4028899001126</v>
      </c>
      <c r="C2799" s="1" t="s">
        <v>16</v>
      </c>
      <c r="D2799" s="1" t="s">
        <v>12</v>
      </c>
      <c r="E2799" s="1" t="s">
        <v>17</v>
      </c>
      <c r="F2799">
        <v>2.8</v>
      </c>
      <c r="G2799">
        <v>3</v>
      </c>
      <c r="H2799" s="1" t="s">
        <v>18</v>
      </c>
      <c r="I2799" s="1" t="s">
        <v>451</v>
      </c>
      <c r="J2799" s="12">
        <v>45854</v>
      </c>
      <c r="K2799">
        <v>0</v>
      </c>
      <c r="L2799" s="1">
        <f t="shared" si="172"/>
        <v>8.3999999999999986</v>
      </c>
      <c r="M2799" s="1">
        <f t="shared" si="173"/>
        <v>4</v>
      </c>
      <c r="N2799" s="2">
        <f t="shared" si="174"/>
        <v>45839</v>
      </c>
      <c r="O2799" t="str">
        <f t="shared" si="175"/>
        <v>pes</v>
      </c>
    </row>
    <row r="2800" spans="1:15" x14ac:dyDescent="0.25">
      <c r="A2800">
        <v>10308</v>
      </c>
      <c r="B2800" s="11">
        <v>8599988776654</v>
      </c>
      <c r="C2800" s="1" t="s">
        <v>393</v>
      </c>
      <c r="D2800" s="1" t="s">
        <v>133</v>
      </c>
      <c r="E2800" s="1" t="s">
        <v>17</v>
      </c>
      <c r="F2800">
        <v>16.8</v>
      </c>
      <c r="G2800">
        <v>2</v>
      </c>
      <c r="H2800" s="1" t="s">
        <v>14</v>
      </c>
      <c r="I2800" s="1" t="s">
        <v>15</v>
      </c>
      <c r="J2800" s="12">
        <v>45854</v>
      </c>
      <c r="K2800">
        <v>0</v>
      </c>
      <c r="L2800" s="1">
        <f t="shared" si="172"/>
        <v>33.6</v>
      </c>
      <c r="M2800" s="1" t="str">
        <f t="shared" si="173"/>
        <v/>
      </c>
      <c r="N2800" s="2">
        <f t="shared" si="174"/>
        <v>45839</v>
      </c>
      <c r="O2800" t="str">
        <f t="shared" si="175"/>
        <v>pes</v>
      </c>
    </row>
    <row r="2801" spans="1:15" x14ac:dyDescent="0.25">
      <c r="A2801">
        <v>10309</v>
      </c>
      <c r="B2801" s="11">
        <v>4063456789014</v>
      </c>
      <c r="C2801" s="1" t="s">
        <v>60</v>
      </c>
      <c r="D2801" s="1" t="s">
        <v>12</v>
      </c>
      <c r="E2801" s="1" t="s">
        <v>61</v>
      </c>
      <c r="F2801">
        <v>36</v>
      </c>
      <c r="G2801">
        <v>1</v>
      </c>
      <c r="H2801" s="1" t="s">
        <v>14</v>
      </c>
      <c r="I2801" s="1" t="s">
        <v>15</v>
      </c>
      <c r="J2801" s="12">
        <v>45854</v>
      </c>
      <c r="K2801">
        <v>0</v>
      </c>
      <c r="L2801" s="1">
        <f t="shared" si="172"/>
        <v>36</v>
      </c>
      <c r="M2801" s="1" t="str">
        <f t="shared" si="173"/>
        <v/>
      </c>
      <c r="N2801" s="2">
        <f t="shared" si="174"/>
        <v>45839</v>
      </c>
      <c r="O2801" t="str">
        <f t="shared" si="175"/>
        <v>pes</v>
      </c>
    </row>
    <row r="2802" spans="1:15" x14ac:dyDescent="0.25">
      <c r="A2802">
        <v>10310</v>
      </c>
      <c r="B2802" s="11">
        <v>8599988776654</v>
      </c>
      <c r="C2802" s="1" t="s">
        <v>393</v>
      </c>
      <c r="D2802" s="1" t="s">
        <v>133</v>
      </c>
      <c r="E2802" s="1" t="s">
        <v>17</v>
      </c>
      <c r="F2802">
        <v>16.8</v>
      </c>
      <c r="G2802">
        <v>1</v>
      </c>
      <c r="H2802" s="1" t="s">
        <v>14</v>
      </c>
      <c r="I2802" s="1" t="s">
        <v>15</v>
      </c>
      <c r="J2802" s="12">
        <v>45855</v>
      </c>
      <c r="K2802">
        <v>0</v>
      </c>
      <c r="L2802" s="1">
        <f t="shared" si="172"/>
        <v>16.8</v>
      </c>
      <c r="M2802" s="1" t="str">
        <f t="shared" si="173"/>
        <v/>
      </c>
      <c r="N2802" s="2">
        <f t="shared" si="174"/>
        <v>45839</v>
      </c>
      <c r="O2802" t="str">
        <f t="shared" si="175"/>
        <v>pes</v>
      </c>
    </row>
    <row r="2803" spans="1:15" x14ac:dyDescent="0.25">
      <c r="A2803">
        <v>10311</v>
      </c>
      <c r="B2803" s="11">
        <v>4013456789017</v>
      </c>
      <c r="C2803" s="1" t="s">
        <v>11</v>
      </c>
      <c r="D2803" s="1" t="s">
        <v>12</v>
      </c>
      <c r="E2803" s="1" t="s">
        <v>13</v>
      </c>
      <c r="F2803">
        <v>6</v>
      </c>
      <c r="G2803">
        <v>2</v>
      </c>
      <c r="H2803" s="1" t="s">
        <v>18</v>
      </c>
      <c r="I2803" s="1" t="s">
        <v>452</v>
      </c>
      <c r="J2803" s="12">
        <v>45855</v>
      </c>
      <c r="K2803">
        <v>0</v>
      </c>
      <c r="L2803" s="1">
        <f t="shared" si="172"/>
        <v>12</v>
      </c>
      <c r="M2803" s="1">
        <f t="shared" si="173"/>
        <v>4</v>
      </c>
      <c r="N2803" s="2">
        <f t="shared" si="174"/>
        <v>45839</v>
      </c>
      <c r="O2803" t="str">
        <f t="shared" si="175"/>
        <v>pes</v>
      </c>
    </row>
    <row r="2804" spans="1:15" x14ac:dyDescent="0.25">
      <c r="A2804">
        <v>10312</v>
      </c>
      <c r="B2804" s="11">
        <v>8599988776654</v>
      </c>
      <c r="C2804" s="1" t="s">
        <v>393</v>
      </c>
      <c r="D2804" s="1" t="s">
        <v>133</v>
      </c>
      <c r="E2804" s="1" t="s">
        <v>17</v>
      </c>
      <c r="F2804">
        <v>16.8</v>
      </c>
      <c r="G2804">
        <v>1</v>
      </c>
      <c r="H2804" s="1" t="s">
        <v>14</v>
      </c>
      <c r="I2804" s="1" t="s">
        <v>15</v>
      </c>
      <c r="J2804" s="12">
        <v>45855</v>
      </c>
      <c r="K2804">
        <v>0</v>
      </c>
      <c r="L2804" s="1">
        <f t="shared" si="172"/>
        <v>16.8</v>
      </c>
      <c r="M2804" s="1" t="str">
        <f t="shared" si="173"/>
        <v/>
      </c>
      <c r="N2804" s="2">
        <f t="shared" si="174"/>
        <v>45839</v>
      </c>
      <c r="O2804" t="str">
        <f t="shared" si="175"/>
        <v>pes</v>
      </c>
    </row>
    <row r="2805" spans="1:15" hidden="1" x14ac:dyDescent="0.25">
      <c r="A2805">
        <v>10313</v>
      </c>
      <c r="B2805" s="11">
        <v>4021234567894</v>
      </c>
      <c r="C2805" s="1" t="s">
        <v>79</v>
      </c>
      <c r="D2805" s="1" t="s">
        <v>36</v>
      </c>
      <c r="E2805" s="1" t="s">
        <v>69</v>
      </c>
      <c r="F2805">
        <v>8</v>
      </c>
      <c r="G2805">
        <v>1</v>
      </c>
      <c r="H2805" s="1" t="s">
        <v>14</v>
      </c>
      <c r="I2805" s="1" t="s">
        <v>15</v>
      </c>
      <c r="J2805" s="12">
        <v>45855</v>
      </c>
      <c r="K2805">
        <v>0</v>
      </c>
      <c r="L2805" s="1">
        <f t="shared" si="172"/>
        <v>8</v>
      </c>
      <c r="M2805" s="1" t="str">
        <f t="shared" si="173"/>
        <v/>
      </c>
      <c r="N2805" s="2">
        <f t="shared" si="174"/>
        <v>45839</v>
      </c>
      <c r="O2805" t="str">
        <f t="shared" si="175"/>
        <v>mačka</v>
      </c>
    </row>
    <row r="2806" spans="1:15" x14ac:dyDescent="0.25">
      <c r="A2806">
        <v>10314</v>
      </c>
      <c r="B2806" s="11">
        <v>8599988776654</v>
      </c>
      <c r="C2806" s="1" t="s">
        <v>393</v>
      </c>
      <c r="D2806" s="1" t="s">
        <v>133</v>
      </c>
      <c r="E2806" s="1" t="s">
        <v>17</v>
      </c>
      <c r="F2806">
        <v>16.8</v>
      </c>
      <c r="G2806">
        <v>2</v>
      </c>
      <c r="H2806" s="1" t="s">
        <v>14</v>
      </c>
      <c r="I2806" s="1" t="s">
        <v>15</v>
      </c>
      <c r="J2806" s="12">
        <v>45855</v>
      </c>
      <c r="K2806">
        <v>0</v>
      </c>
      <c r="L2806" s="1">
        <f t="shared" si="172"/>
        <v>33.6</v>
      </c>
      <c r="M2806" s="1" t="str">
        <f t="shared" si="173"/>
        <v/>
      </c>
      <c r="N2806" s="2">
        <f t="shared" si="174"/>
        <v>45839</v>
      </c>
      <c r="O2806" t="str">
        <f t="shared" si="175"/>
        <v>pes</v>
      </c>
    </row>
    <row r="2807" spans="1:15" x14ac:dyDescent="0.25">
      <c r="A2807">
        <v>10315</v>
      </c>
      <c r="B2807" s="11">
        <v>4017890123450</v>
      </c>
      <c r="C2807" s="1" t="s">
        <v>65</v>
      </c>
      <c r="D2807" s="1" t="s">
        <v>39</v>
      </c>
      <c r="E2807" s="1" t="s">
        <v>22</v>
      </c>
      <c r="F2807">
        <v>7.6</v>
      </c>
      <c r="G2807">
        <v>1</v>
      </c>
      <c r="H2807" s="1" t="s">
        <v>23</v>
      </c>
      <c r="I2807" s="1" t="s">
        <v>453</v>
      </c>
      <c r="J2807" s="12">
        <v>45855</v>
      </c>
      <c r="K2807">
        <v>0</v>
      </c>
      <c r="L2807" s="1">
        <f t="shared" si="172"/>
        <v>7.6</v>
      </c>
      <c r="M2807" s="1">
        <f t="shared" si="173"/>
        <v>5</v>
      </c>
      <c r="N2807" s="2">
        <f t="shared" si="174"/>
        <v>45839</v>
      </c>
      <c r="O2807" t="str">
        <f t="shared" si="175"/>
        <v>pes</v>
      </c>
    </row>
    <row r="2808" spans="1:15" x14ac:dyDescent="0.25">
      <c r="A2808">
        <v>10316</v>
      </c>
      <c r="B2808" s="11">
        <v>8599988776654</v>
      </c>
      <c r="C2808" s="1" t="s">
        <v>393</v>
      </c>
      <c r="D2808" s="1" t="s">
        <v>133</v>
      </c>
      <c r="E2808" s="1" t="s">
        <v>17</v>
      </c>
      <c r="F2808">
        <v>16.8</v>
      </c>
      <c r="G2808">
        <v>1</v>
      </c>
      <c r="H2808" s="1" t="s">
        <v>14</v>
      </c>
      <c r="I2808" s="1" t="s">
        <v>15</v>
      </c>
      <c r="J2808" s="12">
        <v>45855</v>
      </c>
      <c r="K2808">
        <v>0</v>
      </c>
      <c r="L2808" s="1">
        <f t="shared" si="172"/>
        <v>16.8</v>
      </c>
      <c r="M2808" s="1" t="str">
        <f t="shared" si="173"/>
        <v/>
      </c>
      <c r="N2808" s="2">
        <f t="shared" si="174"/>
        <v>45839</v>
      </c>
      <c r="O2808" t="str">
        <f t="shared" si="175"/>
        <v>pes</v>
      </c>
    </row>
    <row r="2809" spans="1:15" hidden="1" x14ac:dyDescent="0.25">
      <c r="A2809">
        <v>10317</v>
      </c>
      <c r="B2809" s="11">
        <v>4010123456783</v>
      </c>
      <c r="C2809" s="1" t="s">
        <v>35</v>
      </c>
      <c r="D2809" s="1" t="s">
        <v>36</v>
      </c>
      <c r="E2809" s="1" t="s">
        <v>37</v>
      </c>
      <c r="F2809">
        <v>14</v>
      </c>
      <c r="G2809">
        <v>1</v>
      </c>
      <c r="H2809" s="1" t="s">
        <v>14</v>
      </c>
      <c r="I2809" s="1" t="s">
        <v>15</v>
      </c>
      <c r="J2809" s="12">
        <v>45855</v>
      </c>
      <c r="K2809">
        <v>0</v>
      </c>
      <c r="L2809" s="1">
        <f t="shared" si="172"/>
        <v>14</v>
      </c>
      <c r="M2809" s="1" t="str">
        <f t="shared" si="173"/>
        <v/>
      </c>
      <c r="N2809" s="2">
        <f t="shared" si="174"/>
        <v>45839</v>
      </c>
      <c r="O2809" t="str">
        <f t="shared" si="175"/>
        <v>mačka</v>
      </c>
    </row>
    <row r="2810" spans="1:15" x14ac:dyDescent="0.25">
      <c r="A2810">
        <v>10318</v>
      </c>
      <c r="B2810" s="11">
        <v>8599988776654</v>
      </c>
      <c r="C2810" s="1" t="s">
        <v>393</v>
      </c>
      <c r="D2810" s="1" t="s">
        <v>133</v>
      </c>
      <c r="E2810" s="1" t="s">
        <v>17</v>
      </c>
      <c r="F2810">
        <v>16.8</v>
      </c>
      <c r="G2810">
        <v>1</v>
      </c>
      <c r="H2810" s="1" t="s">
        <v>18</v>
      </c>
      <c r="I2810" s="1" t="s">
        <v>454</v>
      </c>
      <c r="J2810" s="12">
        <v>45855</v>
      </c>
      <c r="K2810">
        <v>0</v>
      </c>
      <c r="L2810" s="1">
        <f t="shared" si="172"/>
        <v>16.8</v>
      </c>
      <c r="M2810" s="1">
        <f t="shared" si="173"/>
        <v>4</v>
      </c>
      <c r="N2810" s="2">
        <f t="shared" si="174"/>
        <v>45839</v>
      </c>
      <c r="O2810" t="str">
        <f t="shared" si="175"/>
        <v>pes</v>
      </c>
    </row>
    <row r="2811" spans="1:15" x14ac:dyDescent="0.25">
      <c r="A2811">
        <v>10319</v>
      </c>
      <c r="B2811" s="11">
        <v>4063456789014</v>
      </c>
      <c r="C2811" s="1" t="s">
        <v>60</v>
      </c>
      <c r="D2811" s="1" t="s">
        <v>12</v>
      </c>
      <c r="E2811" s="1" t="s">
        <v>61</v>
      </c>
      <c r="F2811">
        <v>36</v>
      </c>
      <c r="G2811">
        <v>1</v>
      </c>
      <c r="H2811" s="1" t="s">
        <v>14</v>
      </c>
      <c r="I2811" s="1" t="s">
        <v>15</v>
      </c>
      <c r="J2811" s="12">
        <v>45855</v>
      </c>
      <c r="K2811">
        <v>0</v>
      </c>
      <c r="L2811" s="1">
        <f t="shared" si="172"/>
        <v>36</v>
      </c>
      <c r="M2811" s="1" t="str">
        <f t="shared" si="173"/>
        <v/>
      </c>
      <c r="N2811" s="2">
        <f t="shared" si="174"/>
        <v>45839</v>
      </c>
      <c r="O2811" t="str">
        <f t="shared" si="175"/>
        <v>pes</v>
      </c>
    </row>
    <row r="2812" spans="1:15" x14ac:dyDescent="0.25">
      <c r="A2812">
        <v>10320</v>
      </c>
      <c r="B2812" s="11">
        <v>8599988776654</v>
      </c>
      <c r="C2812" s="1" t="s">
        <v>393</v>
      </c>
      <c r="D2812" s="1" t="s">
        <v>133</v>
      </c>
      <c r="E2812" s="1" t="s">
        <v>17</v>
      </c>
      <c r="F2812">
        <v>16.8</v>
      </c>
      <c r="G2812">
        <v>1</v>
      </c>
      <c r="H2812" s="1" t="s">
        <v>14</v>
      </c>
      <c r="I2812" s="1" t="s">
        <v>15</v>
      </c>
      <c r="J2812" s="12">
        <v>45855</v>
      </c>
      <c r="K2812">
        <v>0</v>
      </c>
      <c r="L2812" s="1">
        <f t="shared" si="172"/>
        <v>16.8</v>
      </c>
      <c r="M2812" s="1" t="str">
        <f t="shared" si="173"/>
        <v/>
      </c>
      <c r="N2812" s="2">
        <f t="shared" si="174"/>
        <v>45839</v>
      </c>
      <c r="O2812" t="str">
        <f t="shared" si="175"/>
        <v>pes</v>
      </c>
    </row>
    <row r="2813" spans="1:15" hidden="1" x14ac:dyDescent="0.25">
      <c r="A2813">
        <v>10321</v>
      </c>
      <c r="B2813" s="11">
        <v>4056789012345</v>
      </c>
      <c r="C2813" s="1" t="s">
        <v>47</v>
      </c>
      <c r="D2813" s="1" t="s">
        <v>29</v>
      </c>
      <c r="E2813" s="1" t="s">
        <v>37</v>
      </c>
      <c r="F2813">
        <v>2.4</v>
      </c>
      <c r="G2813">
        <v>3</v>
      </c>
      <c r="H2813" s="1" t="s">
        <v>14</v>
      </c>
      <c r="I2813" s="1" t="s">
        <v>15</v>
      </c>
      <c r="J2813" s="12">
        <v>45855</v>
      </c>
      <c r="K2813">
        <v>0</v>
      </c>
      <c r="L2813" s="1">
        <f t="shared" si="172"/>
        <v>7.1999999999999993</v>
      </c>
      <c r="M2813" s="1" t="str">
        <f t="shared" si="173"/>
        <v/>
      </c>
      <c r="N2813" s="2">
        <f t="shared" si="174"/>
        <v>45839</v>
      </c>
      <c r="O2813" t="str">
        <f t="shared" si="175"/>
        <v>mačka</v>
      </c>
    </row>
    <row r="2814" spans="1:15" x14ac:dyDescent="0.25">
      <c r="A2814">
        <v>10322</v>
      </c>
      <c r="B2814" s="11">
        <v>8599988776654</v>
      </c>
      <c r="C2814" s="1" t="s">
        <v>393</v>
      </c>
      <c r="D2814" s="1" t="s">
        <v>133</v>
      </c>
      <c r="E2814" s="1" t="s">
        <v>17</v>
      </c>
      <c r="F2814">
        <v>16.8</v>
      </c>
      <c r="G2814">
        <v>1</v>
      </c>
      <c r="H2814" s="1" t="s">
        <v>14</v>
      </c>
      <c r="I2814" s="1" t="s">
        <v>15</v>
      </c>
      <c r="J2814" s="12">
        <v>45855</v>
      </c>
      <c r="K2814">
        <v>0</v>
      </c>
      <c r="L2814" s="1">
        <f t="shared" si="172"/>
        <v>16.8</v>
      </c>
      <c r="M2814" s="1" t="str">
        <f t="shared" si="173"/>
        <v/>
      </c>
      <c r="N2814" s="2">
        <f t="shared" si="174"/>
        <v>45839</v>
      </c>
      <c r="O2814" t="str">
        <f t="shared" si="175"/>
        <v>pes</v>
      </c>
    </row>
    <row r="2815" spans="1:15" x14ac:dyDescent="0.25">
      <c r="A2815">
        <v>10323</v>
      </c>
      <c r="B2815" s="11">
        <v>4013456789017</v>
      </c>
      <c r="C2815" s="1" t="s">
        <v>11</v>
      </c>
      <c r="D2815" s="1" t="s">
        <v>12</v>
      </c>
      <c r="E2815" s="1" t="s">
        <v>13</v>
      </c>
      <c r="F2815">
        <v>6</v>
      </c>
      <c r="G2815">
        <v>1</v>
      </c>
      <c r="H2815" s="1" t="s">
        <v>23</v>
      </c>
      <c r="I2815" s="1" t="s">
        <v>455</v>
      </c>
      <c r="J2815" s="12">
        <v>45855</v>
      </c>
      <c r="K2815">
        <v>0</v>
      </c>
      <c r="L2815" s="1">
        <f t="shared" si="172"/>
        <v>6</v>
      </c>
      <c r="M2815" s="1">
        <f t="shared" si="173"/>
        <v>5</v>
      </c>
      <c r="N2815" s="2">
        <f t="shared" si="174"/>
        <v>45839</v>
      </c>
      <c r="O2815" t="str">
        <f t="shared" si="175"/>
        <v>pes</v>
      </c>
    </row>
    <row r="2816" spans="1:15" x14ac:dyDescent="0.25">
      <c r="A2816">
        <v>10324</v>
      </c>
      <c r="B2816" s="11">
        <v>8599988776654</v>
      </c>
      <c r="C2816" s="1" t="s">
        <v>393</v>
      </c>
      <c r="D2816" s="1" t="s">
        <v>133</v>
      </c>
      <c r="E2816" s="1" t="s">
        <v>17</v>
      </c>
      <c r="F2816">
        <v>16.8</v>
      </c>
      <c r="G2816">
        <v>1</v>
      </c>
      <c r="H2816" s="1" t="s">
        <v>14</v>
      </c>
      <c r="I2816" s="1" t="s">
        <v>15</v>
      </c>
      <c r="J2816" s="12">
        <v>45856</v>
      </c>
      <c r="K2816">
        <v>0</v>
      </c>
      <c r="L2816" s="1">
        <f t="shared" si="172"/>
        <v>16.8</v>
      </c>
      <c r="M2816" s="1" t="str">
        <f t="shared" si="173"/>
        <v/>
      </c>
      <c r="N2816" s="2">
        <f t="shared" si="174"/>
        <v>45839</v>
      </c>
      <c r="O2816" t="str">
        <f t="shared" si="175"/>
        <v>pes</v>
      </c>
    </row>
    <row r="2817" spans="1:15" x14ac:dyDescent="0.25">
      <c r="A2817">
        <v>10325</v>
      </c>
      <c r="B2817" s="11">
        <v>4028899001126</v>
      </c>
      <c r="C2817" s="1" t="s">
        <v>16</v>
      </c>
      <c r="D2817" s="1" t="s">
        <v>12</v>
      </c>
      <c r="E2817" s="1" t="s">
        <v>17</v>
      </c>
      <c r="F2817">
        <v>2.8</v>
      </c>
      <c r="G2817">
        <v>2</v>
      </c>
      <c r="H2817" s="1" t="s">
        <v>14</v>
      </c>
      <c r="I2817" s="1" t="s">
        <v>15</v>
      </c>
      <c r="J2817" s="12">
        <v>45856</v>
      </c>
      <c r="K2817">
        <v>0</v>
      </c>
      <c r="L2817" s="1">
        <f t="shared" si="172"/>
        <v>5.6</v>
      </c>
      <c r="M2817" s="1" t="str">
        <f t="shared" si="173"/>
        <v/>
      </c>
      <c r="N2817" s="2">
        <f t="shared" si="174"/>
        <v>45839</v>
      </c>
      <c r="O2817" t="str">
        <f t="shared" si="175"/>
        <v>pes</v>
      </c>
    </row>
    <row r="2818" spans="1:15" x14ac:dyDescent="0.25">
      <c r="A2818">
        <v>10326</v>
      </c>
      <c r="B2818" s="11">
        <v>8599988776654</v>
      </c>
      <c r="C2818" s="1" t="s">
        <v>393</v>
      </c>
      <c r="D2818" s="1" t="s">
        <v>133</v>
      </c>
      <c r="E2818" s="1" t="s">
        <v>17</v>
      </c>
      <c r="F2818">
        <v>16.8</v>
      </c>
      <c r="G2818">
        <v>2</v>
      </c>
      <c r="H2818" s="1" t="s">
        <v>14</v>
      </c>
      <c r="I2818" s="1" t="s">
        <v>15</v>
      </c>
      <c r="J2818" s="12">
        <v>45856</v>
      </c>
      <c r="K2818">
        <v>0</v>
      </c>
      <c r="L2818" s="1">
        <f t="shared" ref="L2818:L2881" si="176">F2818*G2818</f>
        <v>33.6</v>
      </c>
      <c r="M2818" s="1" t="str">
        <f t="shared" ref="M2818:M2881" si="177">IF(H2818="NULL", "",VALUE(H2818))</f>
        <v/>
      </c>
      <c r="N2818" s="2">
        <f t="shared" ref="N2818:N2881" si="178">DATE(YEAR(J2818),MONTH(J2818),1)</f>
        <v>45839</v>
      </c>
      <c r="O2818" t="str">
        <f t="shared" ref="O2818:O2881" si="179">IF(ISNUMBER(SEARCH("Mačky",D2818)),"mačka",IF(ISNUMBER(SEARCH("Psy",D2818)),"pes","iné"))</f>
        <v>pes</v>
      </c>
    </row>
    <row r="2819" spans="1:15" x14ac:dyDescent="0.25">
      <c r="A2819">
        <v>10327</v>
      </c>
      <c r="B2819" s="11">
        <v>4063456789014</v>
      </c>
      <c r="C2819" s="1" t="s">
        <v>60</v>
      </c>
      <c r="D2819" s="1" t="s">
        <v>12</v>
      </c>
      <c r="E2819" s="1" t="s">
        <v>61</v>
      </c>
      <c r="F2819">
        <v>36</v>
      </c>
      <c r="G2819">
        <v>1</v>
      </c>
      <c r="H2819" s="1" t="s">
        <v>14</v>
      </c>
      <c r="I2819" s="1" t="s">
        <v>15</v>
      </c>
      <c r="J2819" s="12">
        <v>45856</v>
      </c>
      <c r="K2819">
        <v>0</v>
      </c>
      <c r="L2819" s="1">
        <f t="shared" si="176"/>
        <v>36</v>
      </c>
      <c r="M2819" s="1" t="str">
        <f t="shared" si="177"/>
        <v/>
      </c>
      <c r="N2819" s="2">
        <f t="shared" si="178"/>
        <v>45839</v>
      </c>
      <c r="O2819" t="str">
        <f t="shared" si="179"/>
        <v>pes</v>
      </c>
    </row>
    <row r="2820" spans="1:15" x14ac:dyDescent="0.25">
      <c r="A2820">
        <v>10328</v>
      </c>
      <c r="B2820" s="11">
        <v>8599988776654</v>
      </c>
      <c r="C2820" s="1" t="s">
        <v>393</v>
      </c>
      <c r="D2820" s="1" t="s">
        <v>133</v>
      </c>
      <c r="E2820" s="1" t="s">
        <v>17</v>
      </c>
      <c r="F2820">
        <v>16.8</v>
      </c>
      <c r="G2820">
        <v>1</v>
      </c>
      <c r="H2820" s="1" t="s">
        <v>23</v>
      </c>
      <c r="I2820" s="1" t="s">
        <v>456</v>
      </c>
      <c r="J2820" s="12">
        <v>45856</v>
      </c>
      <c r="K2820">
        <v>0</v>
      </c>
      <c r="L2820" s="1">
        <f t="shared" si="176"/>
        <v>16.8</v>
      </c>
      <c r="M2820" s="1">
        <f t="shared" si="177"/>
        <v>5</v>
      </c>
      <c r="N2820" s="2">
        <f t="shared" si="178"/>
        <v>45839</v>
      </c>
      <c r="O2820" t="str">
        <f t="shared" si="179"/>
        <v>pes</v>
      </c>
    </row>
    <row r="2821" spans="1:15" hidden="1" x14ac:dyDescent="0.25">
      <c r="A2821">
        <v>10329</v>
      </c>
      <c r="B2821" s="11">
        <v>4010123456783</v>
      </c>
      <c r="C2821" s="1" t="s">
        <v>35</v>
      </c>
      <c r="D2821" s="1" t="s">
        <v>36</v>
      </c>
      <c r="E2821" s="1" t="s">
        <v>37</v>
      </c>
      <c r="F2821">
        <v>14</v>
      </c>
      <c r="G2821">
        <v>1</v>
      </c>
      <c r="H2821" s="1" t="s">
        <v>14</v>
      </c>
      <c r="I2821" s="1" t="s">
        <v>15</v>
      </c>
      <c r="J2821" s="12">
        <v>45856</v>
      </c>
      <c r="K2821">
        <v>0</v>
      </c>
      <c r="L2821" s="1">
        <f t="shared" si="176"/>
        <v>14</v>
      </c>
      <c r="M2821" s="1" t="str">
        <f t="shared" si="177"/>
        <v/>
      </c>
      <c r="N2821" s="2">
        <f t="shared" si="178"/>
        <v>45839</v>
      </c>
      <c r="O2821" t="str">
        <f t="shared" si="179"/>
        <v>mačka</v>
      </c>
    </row>
    <row r="2822" spans="1:15" x14ac:dyDescent="0.25">
      <c r="A2822">
        <v>10330</v>
      </c>
      <c r="B2822" s="11">
        <v>8599988776654</v>
      </c>
      <c r="C2822" s="1" t="s">
        <v>393</v>
      </c>
      <c r="D2822" s="1" t="s">
        <v>133</v>
      </c>
      <c r="E2822" s="1" t="s">
        <v>17</v>
      </c>
      <c r="F2822">
        <v>16.8</v>
      </c>
      <c r="G2822">
        <v>1</v>
      </c>
      <c r="H2822" s="1" t="s">
        <v>14</v>
      </c>
      <c r="I2822" s="1" t="s">
        <v>15</v>
      </c>
      <c r="J2822" s="12">
        <v>45856</v>
      </c>
      <c r="K2822">
        <v>0</v>
      </c>
      <c r="L2822" s="1">
        <f t="shared" si="176"/>
        <v>16.8</v>
      </c>
      <c r="M2822" s="1" t="str">
        <f t="shared" si="177"/>
        <v/>
      </c>
      <c r="N2822" s="2">
        <f t="shared" si="178"/>
        <v>45839</v>
      </c>
      <c r="O2822" t="str">
        <f t="shared" si="179"/>
        <v>pes</v>
      </c>
    </row>
    <row r="2823" spans="1:15" x14ac:dyDescent="0.25">
      <c r="A2823">
        <v>10331</v>
      </c>
      <c r="B2823" s="11">
        <v>4013456789017</v>
      </c>
      <c r="C2823" s="1" t="s">
        <v>11</v>
      </c>
      <c r="D2823" s="1" t="s">
        <v>12</v>
      </c>
      <c r="E2823" s="1" t="s">
        <v>13</v>
      </c>
      <c r="F2823">
        <v>6</v>
      </c>
      <c r="G2823">
        <v>2</v>
      </c>
      <c r="H2823" s="1" t="s">
        <v>14</v>
      </c>
      <c r="I2823" s="1" t="s">
        <v>15</v>
      </c>
      <c r="J2823" s="12">
        <v>45856</v>
      </c>
      <c r="K2823">
        <v>0</v>
      </c>
      <c r="L2823" s="1">
        <f t="shared" si="176"/>
        <v>12</v>
      </c>
      <c r="M2823" s="1" t="str">
        <f t="shared" si="177"/>
        <v/>
      </c>
      <c r="N2823" s="2">
        <f t="shared" si="178"/>
        <v>45839</v>
      </c>
      <c r="O2823" t="str">
        <f t="shared" si="179"/>
        <v>pes</v>
      </c>
    </row>
    <row r="2824" spans="1:15" x14ac:dyDescent="0.25">
      <c r="A2824">
        <v>10332</v>
      </c>
      <c r="B2824" s="11">
        <v>8599988776654</v>
      </c>
      <c r="C2824" s="1" t="s">
        <v>393</v>
      </c>
      <c r="D2824" s="1" t="s">
        <v>133</v>
      </c>
      <c r="E2824" s="1" t="s">
        <v>17</v>
      </c>
      <c r="F2824">
        <v>16.8</v>
      </c>
      <c r="G2824">
        <v>1</v>
      </c>
      <c r="H2824" s="1" t="s">
        <v>14</v>
      </c>
      <c r="I2824" s="1" t="s">
        <v>15</v>
      </c>
      <c r="J2824" s="12">
        <v>45856</v>
      </c>
      <c r="K2824">
        <v>0</v>
      </c>
      <c r="L2824" s="1">
        <f t="shared" si="176"/>
        <v>16.8</v>
      </c>
      <c r="M2824" s="1" t="str">
        <f t="shared" si="177"/>
        <v/>
      </c>
      <c r="N2824" s="2">
        <f t="shared" si="178"/>
        <v>45839</v>
      </c>
      <c r="O2824" t="str">
        <f t="shared" si="179"/>
        <v>pes</v>
      </c>
    </row>
    <row r="2825" spans="1:15" hidden="1" x14ac:dyDescent="0.25">
      <c r="A2825">
        <v>10333</v>
      </c>
      <c r="B2825" s="11">
        <v>4021234567894</v>
      </c>
      <c r="C2825" s="1" t="s">
        <v>79</v>
      </c>
      <c r="D2825" s="1" t="s">
        <v>36</v>
      </c>
      <c r="E2825" s="1" t="s">
        <v>69</v>
      </c>
      <c r="F2825">
        <v>8</v>
      </c>
      <c r="G2825">
        <v>1</v>
      </c>
      <c r="H2825" s="1" t="s">
        <v>33</v>
      </c>
      <c r="I2825" s="1" t="s">
        <v>457</v>
      </c>
      <c r="J2825" s="12">
        <v>45856</v>
      </c>
      <c r="K2825">
        <v>0</v>
      </c>
      <c r="L2825" s="1">
        <f t="shared" si="176"/>
        <v>8</v>
      </c>
      <c r="M2825" s="1">
        <f t="shared" si="177"/>
        <v>3</v>
      </c>
      <c r="N2825" s="2">
        <f t="shared" si="178"/>
        <v>45839</v>
      </c>
      <c r="O2825" t="str">
        <f t="shared" si="179"/>
        <v>mačka</v>
      </c>
    </row>
    <row r="2826" spans="1:15" x14ac:dyDescent="0.25">
      <c r="A2826">
        <v>10334</v>
      </c>
      <c r="B2826" s="11">
        <v>8599988776654</v>
      </c>
      <c r="C2826" s="1" t="s">
        <v>393</v>
      </c>
      <c r="D2826" s="1" t="s">
        <v>133</v>
      </c>
      <c r="E2826" s="1" t="s">
        <v>17</v>
      </c>
      <c r="F2826">
        <v>16.8</v>
      </c>
      <c r="G2826">
        <v>1</v>
      </c>
      <c r="H2826" s="1" t="s">
        <v>14</v>
      </c>
      <c r="I2826" s="1" t="s">
        <v>15</v>
      </c>
      <c r="J2826" s="12">
        <v>45857</v>
      </c>
      <c r="K2826">
        <v>0</v>
      </c>
      <c r="L2826" s="1">
        <f t="shared" si="176"/>
        <v>16.8</v>
      </c>
      <c r="M2826" s="1" t="str">
        <f t="shared" si="177"/>
        <v/>
      </c>
      <c r="N2826" s="2">
        <f t="shared" si="178"/>
        <v>45839</v>
      </c>
      <c r="O2826" t="str">
        <f t="shared" si="179"/>
        <v>pes</v>
      </c>
    </row>
    <row r="2827" spans="1:15" x14ac:dyDescent="0.25">
      <c r="A2827">
        <v>10335</v>
      </c>
      <c r="B2827" s="11">
        <v>4027788990013</v>
      </c>
      <c r="C2827" s="1" t="s">
        <v>43</v>
      </c>
      <c r="D2827" s="1" t="s">
        <v>21</v>
      </c>
      <c r="E2827" s="1" t="s">
        <v>22</v>
      </c>
      <c r="F2827">
        <v>8</v>
      </c>
      <c r="G2827">
        <v>1</v>
      </c>
      <c r="H2827" s="1" t="s">
        <v>14</v>
      </c>
      <c r="I2827" s="1" t="s">
        <v>15</v>
      </c>
      <c r="J2827" s="12">
        <v>45857</v>
      </c>
      <c r="K2827">
        <v>0</v>
      </c>
      <c r="L2827" s="1">
        <f t="shared" si="176"/>
        <v>8</v>
      </c>
      <c r="M2827" s="1" t="str">
        <f t="shared" si="177"/>
        <v/>
      </c>
      <c r="N2827" s="2">
        <f t="shared" si="178"/>
        <v>45839</v>
      </c>
      <c r="O2827" t="str">
        <f t="shared" si="179"/>
        <v>pes</v>
      </c>
    </row>
    <row r="2828" spans="1:15" x14ac:dyDescent="0.25">
      <c r="A2828">
        <v>10336</v>
      </c>
      <c r="B2828" s="11">
        <v>8599988776654</v>
      </c>
      <c r="C2828" s="1" t="s">
        <v>393</v>
      </c>
      <c r="D2828" s="1" t="s">
        <v>133</v>
      </c>
      <c r="E2828" s="1" t="s">
        <v>17</v>
      </c>
      <c r="F2828">
        <v>16.8</v>
      </c>
      <c r="G2828">
        <v>2</v>
      </c>
      <c r="H2828" s="1" t="s">
        <v>14</v>
      </c>
      <c r="I2828" s="1" t="s">
        <v>15</v>
      </c>
      <c r="J2828" s="12">
        <v>45857</v>
      </c>
      <c r="K2828">
        <v>0</v>
      </c>
      <c r="L2828" s="1">
        <f t="shared" si="176"/>
        <v>33.6</v>
      </c>
      <c r="M2828" s="1" t="str">
        <f t="shared" si="177"/>
        <v/>
      </c>
      <c r="N2828" s="2">
        <f t="shared" si="178"/>
        <v>45839</v>
      </c>
      <c r="O2828" t="str">
        <f t="shared" si="179"/>
        <v>pes</v>
      </c>
    </row>
    <row r="2829" spans="1:15" x14ac:dyDescent="0.25">
      <c r="A2829">
        <v>10337</v>
      </c>
      <c r="B2829" s="11">
        <v>4063456789014</v>
      </c>
      <c r="C2829" s="1" t="s">
        <v>60</v>
      </c>
      <c r="D2829" s="1" t="s">
        <v>12</v>
      </c>
      <c r="E2829" s="1" t="s">
        <v>61</v>
      </c>
      <c r="F2829">
        <v>36</v>
      </c>
      <c r="G2829">
        <v>1</v>
      </c>
      <c r="H2829" s="1" t="s">
        <v>23</v>
      </c>
      <c r="I2829" s="1" t="s">
        <v>458</v>
      </c>
      <c r="J2829" s="12">
        <v>45857</v>
      </c>
      <c r="K2829">
        <v>0</v>
      </c>
      <c r="L2829" s="1">
        <f t="shared" si="176"/>
        <v>36</v>
      </c>
      <c r="M2829" s="1">
        <f t="shared" si="177"/>
        <v>5</v>
      </c>
      <c r="N2829" s="2">
        <f t="shared" si="178"/>
        <v>45839</v>
      </c>
      <c r="O2829" t="str">
        <f t="shared" si="179"/>
        <v>pes</v>
      </c>
    </row>
    <row r="2830" spans="1:15" x14ac:dyDescent="0.25">
      <c r="A2830">
        <v>10338</v>
      </c>
      <c r="B2830" s="11">
        <v>8599988776654</v>
      </c>
      <c r="C2830" s="1" t="s">
        <v>393</v>
      </c>
      <c r="D2830" s="1" t="s">
        <v>133</v>
      </c>
      <c r="E2830" s="1" t="s">
        <v>17</v>
      </c>
      <c r="F2830">
        <v>16.8</v>
      </c>
      <c r="G2830">
        <v>1</v>
      </c>
      <c r="H2830" s="1" t="s">
        <v>14</v>
      </c>
      <c r="I2830" s="1" t="s">
        <v>15</v>
      </c>
      <c r="J2830" s="12">
        <v>45857</v>
      </c>
      <c r="K2830">
        <v>0</v>
      </c>
      <c r="L2830" s="1">
        <f t="shared" si="176"/>
        <v>16.8</v>
      </c>
      <c r="M2830" s="1" t="str">
        <f t="shared" si="177"/>
        <v/>
      </c>
      <c r="N2830" s="2">
        <f t="shared" si="178"/>
        <v>45839</v>
      </c>
      <c r="O2830" t="str">
        <f t="shared" si="179"/>
        <v>pes</v>
      </c>
    </row>
    <row r="2831" spans="1:15" x14ac:dyDescent="0.25">
      <c r="A2831">
        <v>10339</v>
      </c>
      <c r="B2831" s="11">
        <v>4017890123450</v>
      </c>
      <c r="C2831" s="1" t="s">
        <v>65</v>
      </c>
      <c r="D2831" s="1" t="s">
        <v>39</v>
      </c>
      <c r="E2831" s="1" t="s">
        <v>22</v>
      </c>
      <c r="F2831">
        <v>7.6</v>
      </c>
      <c r="G2831">
        <v>1</v>
      </c>
      <c r="H2831" s="1" t="s">
        <v>14</v>
      </c>
      <c r="I2831" s="1" t="s">
        <v>15</v>
      </c>
      <c r="J2831" s="12">
        <v>45857</v>
      </c>
      <c r="K2831">
        <v>0</v>
      </c>
      <c r="L2831" s="1">
        <f t="shared" si="176"/>
        <v>7.6</v>
      </c>
      <c r="M2831" s="1" t="str">
        <f t="shared" si="177"/>
        <v/>
      </c>
      <c r="N2831" s="2">
        <f t="shared" si="178"/>
        <v>45839</v>
      </c>
      <c r="O2831" t="str">
        <f t="shared" si="179"/>
        <v>pes</v>
      </c>
    </row>
    <row r="2832" spans="1:15" x14ac:dyDescent="0.25">
      <c r="A2832">
        <v>10340</v>
      </c>
      <c r="B2832" s="11">
        <v>8599988776654</v>
      </c>
      <c r="C2832" s="1" t="s">
        <v>393</v>
      </c>
      <c r="D2832" s="1" t="s">
        <v>133</v>
      </c>
      <c r="E2832" s="1" t="s">
        <v>17</v>
      </c>
      <c r="F2832">
        <v>16.8</v>
      </c>
      <c r="G2832">
        <v>2</v>
      </c>
      <c r="H2832" s="1" t="s">
        <v>18</v>
      </c>
      <c r="I2832" s="1" t="s">
        <v>459</v>
      </c>
      <c r="J2832" s="12">
        <v>45857</v>
      </c>
      <c r="K2832">
        <v>0</v>
      </c>
      <c r="L2832" s="1">
        <f t="shared" si="176"/>
        <v>33.6</v>
      </c>
      <c r="M2832" s="1">
        <f t="shared" si="177"/>
        <v>4</v>
      </c>
      <c r="N2832" s="2">
        <f t="shared" si="178"/>
        <v>45839</v>
      </c>
      <c r="O2832" t="str">
        <f t="shared" si="179"/>
        <v>pes</v>
      </c>
    </row>
    <row r="2833" spans="1:15" x14ac:dyDescent="0.25">
      <c r="A2833">
        <v>10341</v>
      </c>
      <c r="B2833" s="11">
        <v>4028899001126</v>
      </c>
      <c r="C2833" s="1" t="s">
        <v>16</v>
      </c>
      <c r="D2833" s="1" t="s">
        <v>12</v>
      </c>
      <c r="E2833" s="1" t="s">
        <v>17</v>
      </c>
      <c r="F2833">
        <v>2.8</v>
      </c>
      <c r="G2833">
        <v>3</v>
      </c>
      <c r="H2833" s="1" t="s">
        <v>14</v>
      </c>
      <c r="I2833" s="1" t="s">
        <v>15</v>
      </c>
      <c r="J2833" s="12">
        <v>45857</v>
      </c>
      <c r="K2833">
        <v>0</v>
      </c>
      <c r="L2833" s="1">
        <f t="shared" si="176"/>
        <v>8.3999999999999986</v>
      </c>
      <c r="M2833" s="1" t="str">
        <f t="shared" si="177"/>
        <v/>
      </c>
      <c r="N2833" s="2">
        <f t="shared" si="178"/>
        <v>45839</v>
      </c>
      <c r="O2833" t="str">
        <f t="shared" si="179"/>
        <v>pes</v>
      </c>
    </row>
    <row r="2834" spans="1:15" x14ac:dyDescent="0.25">
      <c r="A2834">
        <v>10342</v>
      </c>
      <c r="B2834" s="11">
        <v>8599988776654</v>
      </c>
      <c r="C2834" s="1" t="s">
        <v>393</v>
      </c>
      <c r="D2834" s="1" t="s">
        <v>133</v>
      </c>
      <c r="E2834" s="1" t="s">
        <v>17</v>
      </c>
      <c r="F2834">
        <v>16.8</v>
      </c>
      <c r="G2834">
        <v>1</v>
      </c>
      <c r="H2834" s="1" t="s">
        <v>14</v>
      </c>
      <c r="I2834" s="1" t="s">
        <v>15</v>
      </c>
      <c r="J2834" s="12">
        <v>45857</v>
      </c>
      <c r="K2834">
        <v>0</v>
      </c>
      <c r="L2834" s="1">
        <f t="shared" si="176"/>
        <v>16.8</v>
      </c>
      <c r="M2834" s="1" t="str">
        <f t="shared" si="177"/>
        <v/>
      </c>
      <c r="N2834" s="2">
        <f t="shared" si="178"/>
        <v>45839</v>
      </c>
      <c r="O2834" t="str">
        <f t="shared" si="179"/>
        <v>pes</v>
      </c>
    </row>
    <row r="2835" spans="1:15" x14ac:dyDescent="0.25">
      <c r="A2835">
        <v>10343</v>
      </c>
      <c r="B2835" s="11">
        <v>4013456789017</v>
      </c>
      <c r="C2835" s="1" t="s">
        <v>11</v>
      </c>
      <c r="D2835" s="1" t="s">
        <v>12</v>
      </c>
      <c r="E2835" s="1" t="s">
        <v>13</v>
      </c>
      <c r="F2835">
        <v>6</v>
      </c>
      <c r="G2835">
        <v>1</v>
      </c>
      <c r="H2835" s="1" t="s">
        <v>14</v>
      </c>
      <c r="I2835" s="1" t="s">
        <v>15</v>
      </c>
      <c r="J2835" s="12">
        <v>45857</v>
      </c>
      <c r="K2835">
        <v>0</v>
      </c>
      <c r="L2835" s="1">
        <f t="shared" si="176"/>
        <v>6</v>
      </c>
      <c r="M2835" s="1" t="str">
        <f t="shared" si="177"/>
        <v/>
      </c>
      <c r="N2835" s="2">
        <f t="shared" si="178"/>
        <v>45839</v>
      </c>
      <c r="O2835" t="str">
        <f t="shared" si="179"/>
        <v>pes</v>
      </c>
    </row>
    <row r="2836" spans="1:15" x14ac:dyDescent="0.25">
      <c r="A2836">
        <v>10344</v>
      </c>
      <c r="B2836" s="11">
        <v>8599988776654</v>
      </c>
      <c r="C2836" s="1" t="s">
        <v>393</v>
      </c>
      <c r="D2836" s="1" t="s">
        <v>133</v>
      </c>
      <c r="E2836" s="1" t="s">
        <v>17</v>
      </c>
      <c r="F2836">
        <v>16.8</v>
      </c>
      <c r="G2836">
        <v>1</v>
      </c>
      <c r="H2836" s="1" t="s">
        <v>14</v>
      </c>
      <c r="I2836" s="1" t="s">
        <v>15</v>
      </c>
      <c r="J2836" s="12">
        <v>45857</v>
      </c>
      <c r="K2836">
        <v>0</v>
      </c>
      <c r="L2836" s="1">
        <f t="shared" si="176"/>
        <v>16.8</v>
      </c>
      <c r="M2836" s="1" t="str">
        <f t="shared" si="177"/>
        <v/>
      </c>
      <c r="N2836" s="2">
        <f t="shared" si="178"/>
        <v>45839</v>
      </c>
      <c r="O2836" t="str">
        <f t="shared" si="179"/>
        <v>pes</v>
      </c>
    </row>
    <row r="2837" spans="1:15" hidden="1" x14ac:dyDescent="0.25">
      <c r="A2837">
        <v>10345</v>
      </c>
      <c r="B2837" s="11">
        <v>4056789012345</v>
      </c>
      <c r="C2837" s="1" t="s">
        <v>47</v>
      </c>
      <c r="D2837" s="1" t="s">
        <v>29</v>
      </c>
      <c r="E2837" s="1" t="s">
        <v>37</v>
      </c>
      <c r="F2837">
        <v>2.4</v>
      </c>
      <c r="G2837">
        <v>2</v>
      </c>
      <c r="H2837" s="1" t="s">
        <v>18</v>
      </c>
      <c r="I2837" s="1" t="s">
        <v>460</v>
      </c>
      <c r="J2837" s="12">
        <v>45857</v>
      </c>
      <c r="K2837">
        <v>0</v>
      </c>
      <c r="L2837" s="1">
        <f t="shared" si="176"/>
        <v>4.8</v>
      </c>
      <c r="M2837" s="1">
        <f t="shared" si="177"/>
        <v>4</v>
      </c>
      <c r="N2837" s="2">
        <f t="shared" si="178"/>
        <v>45839</v>
      </c>
      <c r="O2837" t="str">
        <f t="shared" si="179"/>
        <v>mačka</v>
      </c>
    </row>
    <row r="2838" spans="1:15" x14ac:dyDescent="0.25">
      <c r="A2838">
        <v>10346</v>
      </c>
      <c r="B2838" s="11">
        <v>8599988776654</v>
      </c>
      <c r="C2838" s="1" t="s">
        <v>393</v>
      </c>
      <c r="D2838" s="1" t="s">
        <v>133</v>
      </c>
      <c r="E2838" s="1" t="s">
        <v>17</v>
      </c>
      <c r="F2838">
        <v>16.8</v>
      </c>
      <c r="G2838">
        <v>1</v>
      </c>
      <c r="H2838" s="1" t="s">
        <v>14</v>
      </c>
      <c r="I2838" s="1" t="s">
        <v>15</v>
      </c>
      <c r="J2838" s="12">
        <v>45858</v>
      </c>
      <c r="K2838">
        <v>0</v>
      </c>
      <c r="L2838" s="1">
        <f t="shared" si="176"/>
        <v>16.8</v>
      </c>
      <c r="M2838" s="1" t="str">
        <f t="shared" si="177"/>
        <v/>
      </c>
      <c r="N2838" s="2">
        <f t="shared" si="178"/>
        <v>45839</v>
      </c>
      <c r="O2838" t="str">
        <f t="shared" si="179"/>
        <v>pes</v>
      </c>
    </row>
    <row r="2839" spans="1:15" x14ac:dyDescent="0.25">
      <c r="A2839">
        <v>10347</v>
      </c>
      <c r="B2839" s="11">
        <v>4063456789014</v>
      </c>
      <c r="C2839" s="1" t="s">
        <v>60</v>
      </c>
      <c r="D2839" s="1" t="s">
        <v>12</v>
      </c>
      <c r="E2839" s="1" t="s">
        <v>61</v>
      </c>
      <c r="F2839">
        <v>36</v>
      </c>
      <c r="G2839">
        <v>1</v>
      </c>
      <c r="H2839" s="1" t="s">
        <v>14</v>
      </c>
      <c r="I2839" s="1" t="s">
        <v>15</v>
      </c>
      <c r="J2839" s="12">
        <v>45858</v>
      </c>
      <c r="K2839">
        <v>0</v>
      </c>
      <c r="L2839" s="1">
        <f t="shared" si="176"/>
        <v>36</v>
      </c>
      <c r="M2839" s="1" t="str">
        <f t="shared" si="177"/>
        <v/>
      </c>
      <c r="N2839" s="2">
        <f t="shared" si="178"/>
        <v>45839</v>
      </c>
      <c r="O2839" t="str">
        <f t="shared" si="179"/>
        <v>pes</v>
      </c>
    </row>
    <row r="2840" spans="1:15" x14ac:dyDescent="0.25">
      <c r="A2840">
        <v>10348</v>
      </c>
      <c r="B2840" s="11">
        <v>8599988776654</v>
      </c>
      <c r="C2840" s="1" t="s">
        <v>393</v>
      </c>
      <c r="D2840" s="1" t="s">
        <v>133</v>
      </c>
      <c r="E2840" s="1" t="s">
        <v>17</v>
      </c>
      <c r="F2840">
        <v>16.8</v>
      </c>
      <c r="G2840">
        <v>2</v>
      </c>
      <c r="H2840" s="1" t="s">
        <v>23</v>
      </c>
      <c r="I2840" s="1" t="s">
        <v>461</v>
      </c>
      <c r="J2840" s="12">
        <v>45858</v>
      </c>
      <c r="K2840">
        <v>0</v>
      </c>
      <c r="L2840" s="1">
        <f t="shared" si="176"/>
        <v>33.6</v>
      </c>
      <c r="M2840" s="1">
        <f t="shared" si="177"/>
        <v>5</v>
      </c>
      <c r="N2840" s="2">
        <f t="shared" si="178"/>
        <v>45839</v>
      </c>
      <c r="O2840" t="str">
        <f t="shared" si="179"/>
        <v>pes</v>
      </c>
    </row>
    <row r="2841" spans="1:15" hidden="1" x14ac:dyDescent="0.25">
      <c r="A2841">
        <v>10349</v>
      </c>
      <c r="B2841" s="11">
        <v>4010123456783</v>
      </c>
      <c r="C2841" s="1" t="s">
        <v>35</v>
      </c>
      <c r="D2841" s="1" t="s">
        <v>36</v>
      </c>
      <c r="E2841" s="1" t="s">
        <v>37</v>
      </c>
      <c r="F2841">
        <v>14</v>
      </c>
      <c r="G2841">
        <v>1</v>
      </c>
      <c r="H2841" s="1" t="s">
        <v>14</v>
      </c>
      <c r="I2841" s="1" t="s">
        <v>15</v>
      </c>
      <c r="J2841" s="12">
        <v>45858</v>
      </c>
      <c r="K2841">
        <v>0</v>
      </c>
      <c r="L2841" s="1">
        <f t="shared" si="176"/>
        <v>14</v>
      </c>
      <c r="M2841" s="1" t="str">
        <f t="shared" si="177"/>
        <v/>
      </c>
      <c r="N2841" s="2">
        <f t="shared" si="178"/>
        <v>45839</v>
      </c>
      <c r="O2841" t="str">
        <f t="shared" si="179"/>
        <v>mačka</v>
      </c>
    </row>
    <row r="2842" spans="1:15" x14ac:dyDescent="0.25">
      <c r="A2842">
        <v>10350</v>
      </c>
      <c r="B2842" s="11">
        <v>8599988776654</v>
      </c>
      <c r="C2842" s="1" t="s">
        <v>393</v>
      </c>
      <c r="D2842" s="1" t="s">
        <v>133</v>
      </c>
      <c r="E2842" s="1" t="s">
        <v>17</v>
      </c>
      <c r="F2842">
        <v>16.8</v>
      </c>
      <c r="G2842">
        <v>1</v>
      </c>
      <c r="H2842" s="1" t="s">
        <v>14</v>
      </c>
      <c r="I2842" s="1" t="s">
        <v>15</v>
      </c>
      <c r="J2842" s="12">
        <v>45858</v>
      </c>
      <c r="K2842">
        <v>0</v>
      </c>
      <c r="L2842" s="1">
        <f t="shared" si="176"/>
        <v>16.8</v>
      </c>
      <c r="M2842" s="1" t="str">
        <f t="shared" si="177"/>
        <v/>
      </c>
      <c r="N2842" s="2">
        <f t="shared" si="178"/>
        <v>45839</v>
      </c>
      <c r="O2842" t="str">
        <f t="shared" si="179"/>
        <v>pes</v>
      </c>
    </row>
    <row r="2843" spans="1:15" x14ac:dyDescent="0.25">
      <c r="A2843">
        <v>10351</v>
      </c>
      <c r="B2843" s="11">
        <v>4013456789017</v>
      </c>
      <c r="C2843" s="1" t="s">
        <v>11</v>
      </c>
      <c r="D2843" s="1" t="s">
        <v>12</v>
      </c>
      <c r="E2843" s="1" t="s">
        <v>13</v>
      </c>
      <c r="F2843">
        <v>6</v>
      </c>
      <c r="G2843">
        <v>2</v>
      </c>
      <c r="H2843" s="1" t="s">
        <v>14</v>
      </c>
      <c r="I2843" s="1" t="s">
        <v>15</v>
      </c>
      <c r="J2843" s="12">
        <v>45858</v>
      </c>
      <c r="K2843">
        <v>0</v>
      </c>
      <c r="L2843" s="1">
        <f t="shared" si="176"/>
        <v>12</v>
      </c>
      <c r="M2843" s="1" t="str">
        <f t="shared" si="177"/>
        <v/>
      </c>
      <c r="N2843" s="2">
        <f t="shared" si="178"/>
        <v>45839</v>
      </c>
      <c r="O2843" t="str">
        <f t="shared" si="179"/>
        <v>pes</v>
      </c>
    </row>
    <row r="2844" spans="1:15" x14ac:dyDescent="0.25">
      <c r="A2844">
        <v>10352</v>
      </c>
      <c r="B2844" s="11">
        <v>8599988776654</v>
      </c>
      <c r="C2844" s="1" t="s">
        <v>393</v>
      </c>
      <c r="D2844" s="1" t="s">
        <v>133</v>
      </c>
      <c r="E2844" s="1" t="s">
        <v>17</v>
      </c>
      <c r="F2844">
        <v>16.8</v>
      </c>
      <c r="G2844">
        <v>1</v>
      </c>
      <c r="H2844" s="1" t="s">
        <v>14</v>
      </c>
      <c r="I2844" s="1" t="s">
        <v>15</v>
      </c>
      <c r="J2844" s="12">
        <v>45858</v>
      </c>
      <c r="K2844">
        <v>0</v>
      </c>
      <c r="L2844" s="1">
        <f t="shared" si="176"/>
        <v>16.8</v>
      </c>
      <c r="M2844" s="1" t="str">
        <f t="shared" si="177"/>
        <v/>
      </c>
      <c r="N2844" s="2">
        <f t="shared" si="178"/>
        <v>45839</v>
      </c>
      <c r="O2844" t="str">
        <f t="shared" si="179"/>
        <v>pes</v>
      </c>
    </row>
    <row r="2845" spans="1:15" hidden="1" x14ac:dyDescent="0.25">
      <c r="A2845">
        <v>10353</v>
      </c>
      <c r="B2845" s="11">
        <v>4021234567894</v>
      </c>
      <c r="C2845" s="1" t="s">
        <v>79</v>
      </c>
      <c r="D2845" s="1" t="s">
        <v>36</v>
      </c>
      <c r="E2845" s="1" t="s">
        <v>69</v>
      </c>
      <c r="F2845">
        <v>8</v>
      </c>
      <c r="G2845">
        <v>1</v>
      </c>
      <c r="H2845" s="1" t="s">
        <v>33</v>
      </c>
      <c r="I2845" s="1" t="s">
        <v>462</v>
      </c>
      <c r="J2845" s="12">
        <v>45858</v>
      </c>
      <c r="K2845">
        <v>0</v>
      </c>
      <c r="L2845" s="1">
        <f t="shared" si="176"/>
        <v>8</v>
      </c>
      <c r="M2845" s="1">
        <f t="shared" si="177"/>
        <v>3</v>
      </c>
      <c r="N2845" s="2">
        <f t="shared" si="178"/>
        <v>45839</v>
      </c>
      <c r="O2845" t="str">
        <f t="shared" si="179"/>
        <v>mačka</v>
      </c>
    </row>
    <row r="2846" spans="1:15" x14ac:dyDescent="0.25">
      <c r="A2846">
        <v>10354</v>
      </c>
      <c r="B2846" s="11">
        <v>8599988776654</v>
      </c>
      <c r="C2846" s="1" t="s">
        <v>393</v>
      </c>
      <c r="D2846" s="1" t="s">
        <v>133</v>
      </c>
      <c r="E2846" s="1" t="s">
        <v>17</v>
      </c>
      <c r="F2846">
        <v>16.8</v>
      </c>
      <c r="G2846">
        <v>2</v>
      </c>
      <c r="H2846" s="1" t="s">
        <v>14</v>
      </c>
      <c r="I2846" s="1" t="s">
        <v>15</v>
      </c>
      <c r="J2846" s="12">
        <v>45858</v>
      </c>
      <c r="K2846">
        <v>0</v>
      </c>
      <c r="L2846" s="1">
        <f t="shared" si="176"/>
        <v>33.6</v>
      </c>
      <c r="M2846" s="1" t="str">
        <f t="shared" si="177"/>
        <v/>
      </c>
      <c r="N2846" s="2">
        <f t="shared" si="178"/>
        <v>45839</v>
      </c>
      <c r="O2846" t="str">
        <f t="shared" si="179"/>
        <v>pes</v>
      </c>
    </row>
    <row r="2847" spans="1:15" x14ac:dyDescent="0.25">
      <c r="A2847">
        <v>10355</v>
      </c>
      <c r="B2847" s="11">
        <v>4027788990013</v>
      </c>
      <c r="C2847" s="1" t="s">
        <v>43</v>
      </c>
      <c r="D2847" s="1" t="s">
        <v>21</v>
      </c>
      <c r="E2847" s="1" t="s">
        <v>22</v>
      </c>
      <c r="F2847">
        <v>8</v>
      </c>
      <c r="G2847">
        <v>1</v>
      </c>
      <c r="H2847" s="1" t="s">
        <v>14</v>
      </c>
      <c r="I2847" s="1" t="s">
        <v>15</v>
      </c>
      <c r="J2847" s="12">
        <v>45858</v>
      </c>
      <c r="K2847">
        <v>0</v>
      </c>
      <c r="L2847" s="1">
        <f t="shared" si="176"/>
        <v>8</v>
      </c>
      <c r="M2847" s="1" t="str">
        <f t="shared" si="177"/>
        <v/>
      </c>
      <c r="N2847" s="2">
        <f t="shared" si="178"/>
        <v>45839</v>
      </c>
      <c r="O2847" t="str">
        <f t="shared" si="179"/>
        <v>pes</v>
      </c>
    </row>
    <row r="2848" spans="1:15" x14ac:dyDescent="0.25">
      <c r="A2848">
        <v>10356</v>
      </c>
      <c r="B2848" s="11">
        <v>8599988776654</v>
      </c>
      <c r="C2848" s="1" t="s">
        <v>393</v>
      </c>
      <c r="D2848" s="1" t="s">
        <v>133</v>
      </c>
      <c r="E2848" s="1" t="s">
        <v>17</v>
      </c>
      <c r="F2848">
        <v>16.8</v>
      </c>
      <c r="G2848">
        <v>1</v>
      </c>
      <c r="H2848" s="1" t="s">
        <v>14</v>
      </c>
      <c r="I2848" s="1" t="s">
        <v>15</v>
      </c>
      <c r="J2848" s="12">
        <v>45858</v>
      </c>
      <c r="K2848">
        <v>0</v>
      </c>
      <c r="L2848" s="1">
        <f t="shared" si="176"/>
        <v>16.8</v>
      </c>
      <c r="M2848" s="1" t="str">
        <f t="shared" si="177"/>
        <v/>
      </c>
      <c r="N2848" s="2">
        <f t="shared" si="178"/>
        <v>45839</v>
      </c>
      <c r="O2848" t="str">
        <f t="shared" si="179"/>
        <v>pes</v>
      </c>
    </row>
    <row r="2849" spans="1:15" x14ac:dyDescent="0.25">
      <c r="A2849">
        <v>10357</v>
      </c>
      <c r="B2849" s="11">
        <v>8599988776654</v>
      </c>
      <c r="C2849" s="1" t="s">
        <v>393</v>
      </c>
      <c r="D2849" s="1" t="s">
        <v>133</v>
      </c>
      <c r="E2849" s="1" t="s">
        <v>17</v>
      </c>
      <c r="F2849">
        <v>16.8</v>
      </c>
      <c r="G2849">
        <v>1</v>
      </c>
      <c r="H2849" s="1" t="s">
        <v>14</v>
      </c>
      <c r="I2849" s="1" t="s">
        <v>15</v>
      </c>
      <c r="J2849" s="12">
        <v>45859</v>
      </c>
      <c r="K2849">
        <v>0</v>
      </c>
      <c r="L2849" s="1">
        <f t="shared" si="176"/>
        <v>16.8</v>
      </c>
      <c r="M2849" s="1" t="str">
        <f t="shared" si="177"/>
        <v/>
      </c>
      <c r="N2849" s="2">
        <f t="shared" si="178"/>
        <v>45839</v>
      </c>
      <c r="O2849" t="str">
        <f t="shared" si="179"/>
        <v>pes</v>
      </c>
    </row>
    <row r="2850" spans="1:15" x14ac:dyDescent="0.25">
      <c r="A2850">
        <v>10358</v>
      </c>
      <c r="B2850" s="11">
        <v>4028899001126</v>
      </c>
      <c r="C2850" s="1" t="s">
        <v>16</v>
      </c>
      <c r="D2850" s="1" t="s">
        <v>12</v>
      </c>
      <c r="E2850" s="1" t="s">
        <v>17</v>
      </c>
      <c r="F2850">
        <v>2.8</v>
      </c>
      <c r="G2850">
        <v>3</v>
      </c>
      <c r="H2850" s="1" t="s">
        <v>23</v>
      </c>
      <c r="I2850" s="1" t="s">
        <v>463</v>
      </c>
      <c r="J2850" s="12">
        <v>45859</v>
      </c>
      <c r="K2850">
        <v>0</v>
      </c>
      <c r="L2850" s="1">
        <f t="shared" si="176"/>
        <v>8.3999999999999986</v>
      </c>
      <c r="M2850" s="1">
        <f t="shared" si="177"/>
        <v>5</v>
      </c>
      <c r="N2850" s="2">
        <f t="shared" si="178"/>
        <v>45839</v>
      </c>
      <c r="O2850" t="str">
        <f t="shared" si="179"/>
        <v>pes</v>
      </c>
    </row>
    <row r="2851" spans="1:15" x14ac:dyDescent="0.25">
      <c r="A2851">
        <v>10359</v>
      </c>
      <c r="B2851" s="11">
        <v>8599988776654</v>
      </c>
      <c r="C2851" s="1" t="s">
        <v>393</v>
      </c>
      <c r="D2851" s="1" t="s">
        <v>133</v>
      </c>
      <c r="E2851" s="1" t="s">
        <v>17</v>
      </c>
      <c r="F2851">
        <v>16.8</v>
      </c>
      <c r="G2851">
        <v>2</v>
      </c>
      <c r="H2851" s="1" t="s">
        <v>14</v>
      </c>
      <c r="I2851" s="1" t="s">
        <v>15</v>
      </c>
      <c r="J2851" s="12">
        <v>45859</v>
      </c>
      <c r="K2851">
        <v>0</v>
      </c>
      <c r="L2851" s="1">
        <f t="shared" si="176"/>
        <v>33.6</v>
      </c>
      <c r="M2851" s="1" t="str">
        <f t="shared" si="177"/>
        <v/>
      </c>
      <c r="N2851" s="2">
        <f t="shared" si="178"/>
        <v>45839</v>
      </c>
      <c r="O2851" t="str">
        <f t="shared" si="179"/>
        <v>pes</v>
      </c>
    </row>
    <row r="2852" spans="1:15" x14ac:dyDescent="0.25">
      <c r="A2852">
        <v>10360</v>
      </c>
      <c r="B2852" s="11">
        <v>4013456789017</v>
      </c>
      <c r="C2852" s="1" t="s">
        <v>11</v>
      </c>
      <c r="D2852" s="1" t="s">
        <v>12</v>
      </c>
      <c r="E2852" s="1" t="s">
        <v>13</v>
      </c>
      <c r="F2852">
        <v>6</v>
      </c>
      <c r="G2852">
        <v>1</v>
      </c>
      <c r="H2852" s="1" t="s">
        <v>14</v>
      </c>
      <c r="I2852" s="1" t="s">
        <v>15</v>
      </c>
      <c r="J2852" s="12">
        <v>45859</v>
      </c>
      <c r="K2852">
        <v>0</v>
      </c>
      <c r="L2852" s="1">
        <f t="shared" si="176"/>
        <v>6</v>
      </c>
      <c r="M2852" s="1" t="str">
        <f t="shared" si="177"/>
        <v/>
      </c>
      <c r="N2852" s="2">
        <f t="shared" si="178"/>
        <v>45839</v>
      </c>
      <c r="O2852" t="str">
        <f t="shared" si="179"/>
        <v>pes</v>
      </c>
    </row>
    <row r="2853" spans="1:15" x14ac:dyDescent="0.25">
      <c r="A2853">
        <v>10361</v>
      </c>
      <c r="B2853" s="11">
        <v>8599988776654</v>
      </c>
      <c r="C2853" s="1" t="s">
        <v>393</v>
      </c>
      <c r="D2853" s="1" t="s">
        <v>133</v>
      </c>
      <c r="E2853" s="1" t="s">
        <v>17</v>
      </c>
      <c r="F2853">
        <v>16.8</v>
      </c>
      <c r="G2853">
        <v>1</v>
      </c>
      <c r="H2853" s="1" t="s">
        <v>14</v>
      </c>
      <c r="I2853" s="1" t="s">
        <v>15</v>
      </c>
      <c r="J2853" s="12">
        <v>45859</v>
      </c>
      <c r="K2853">
        <v>0</v>
      </c>
      <c r="L2853" s="1">
        <f t="shared" si="176"/>
        <v>16.8</v>
      </c>
      <c r="M2853" s="1" t="str">
        <f t="shared" si="177"/>
        <v/>
      </c>
      <c r="N2853" s="2">
        <f t="shared" si="178"/>
        <v>45839</v>
      </c>
      <c r="O2853" t="str">
        <f t="shared" si="179"/>
        <v>pes</v>
      </c>
    </row>
    <row r="2854" spans="1:15" x14ac:dyDescent="0.25">
      <c r="A2854">
        <v>10362</v>
      </c>
      <c r="B2854" s="11">
        <v>4063456789014</v>
      </c>
      <c r="C2854" s="1" t="s">
        <v>60</v>
      </c>
      <c r="D2854" s="1" t="s">
        <v>12</v>
      </c>
      <c r="E2854" s="1" t="s">
        <v>61</v>
      </c>
      <c r="F2854">
        <v>36</v>
      </c>
      <c r="G2854">
        <v>1</v>
      </c>
      <c r="H2854" s="1" t="s">
        <v>18</v>
      </c>
      <c r="I2854" s="1" t="s">
        <v>464</v>
      </c>
      <c r="J2854" s="12">
        <v>45859</v>
      </c>
      <c r="K2854">
        <v>0</v>
      </c>
      <c r="L2854" s="1">
        <f t="shared" si="176"/>
        <v>36</v>
      </c>
      <c r="M2854" s="1">
        <f t="shared" si="177"/>
        <v>4</v>
      </c>
      <c r="N2854" s="2">
        <f t="shared" si="178"/>
        <v>45839</v>
      </c>
      <c r="O2854" t="str">
        <f t="shared" si="179"/>
        <v>pes</v>
      </c>
    </row>
    <row r="2855" spans="1:15" x14ac:dyDescent="0.25">
      <c r="A2855">
        <v>10363</v>
      </c>
      <c r="B2855" s="11">
        <v>8599988776654</v>
      </c>
      <c r="C2855" s="1" t="s">
        <v>393</v>
      </c>
      <c r="D2855" s="1" t="s">
        <v>133</v>
      </c>
      <c r="E2855" s="1" t="s">
        <v>17</v>
      </c>
      <c r="F2855">
        <v>16.8</v>
      </c>
      <c r="G2855">
        <v>1</v>
      </c>
      <c r="H2855" s="1" t="s">
        <v>14</v>
      </c>
      <c r="I2855" s="1" t="s">
        <v>15</v>
      </c>
      <c r="J2855" s="12">
        <v>45859</v>
      </c>
      <c r="K2855">
        <v>0</v>
      </c>
      <c r="L2855" s="1">
        <f t="shared" si="176"/>
        <v>16.8</v>
      </c>
      <c r="M2855" s="1" t="str">
        <f t="shared" si="177"/>
        <v/>
      </c>
      <c r="N2855" s="2">
        <f t="shared" si="178"/>
        <v>45839</v>
      </c>
      <c r="O2855" t="str">
        <f t="shared" si="179"/>
        <v>pes</v>
      </c>
    </row>
    <row r="2856" spans="1:15" hidden="1" x14ac:dyDescent="0.25">
      <c r="A2856">
        <v>10364</v>
      </c>
      <c r="B2856" s="11">
        <v>4021234567894</v>
      </c>
      <c r="C2856" s="1" t="s">
        <v>79</v>
      </c>
      <c r="D2856" s="1" t="s">
        <v>36</v>
      </c>
      <c r="E2856" s="1" t="s">
        <v>69</v>
      </c>
      <c r="F2856">
        <v>8</v>
      </c>
      <c r="G2856">
        <v>1</v>
      </c>
      <c r="H2856" s="1" t="s">
        <v>14</v>
      </c>
      <c r="I2856" s="1" t="s">
        <v>15</v>
      </c>
      <c r="J2856" s="12">
        <v>45859</v>
      </c>
      <c r="K2856">
        <v>0</v>
      </c>
      <c r="L2856" s="1">
        <f t="shared" si="176"/>
        <v>8</v>
      </c>
      <c r="M2856" s="1" t="str">
        <f t="shared" si="177"/>
        <v/>
      </c>
      <c r="N2856" s="2">
        <f t="shared" si="178"/>
        <v>45839</v>
      </c>
      <c r="O2856" t="str">
        <f t="shared" si="179"/>
        <v>mačka</v>
      </c>
    </row>
    <row r="2857" spans="1:15" x14ac:dyDescent="0.25">
      <c r="A2857">
        <v>10365</v>
      </c>
      <c r="B2857" s="11">
        <v>8599988776654</v>
      </c>
      <c r="C2857" s="1" t="s">
        <v>393</v>
      </c>
      <c r="D2857" s="1" t="s">
        <v>133</v>
      </c>
      <c r="E2857" s="1" t="s">
        <v>17</v>
      </c>
      <c r="F2857">
        <v>16.8</v>
      </c>
      <c r="G2857">
        <v>2</v>
      </c>
      <c r="H2857" s="1" t="s">
        <v>23</v>
      </c>
      <c r="I2857" s="1" t="s">
        <v>465</v>
      </c>
      <c r="J2857" s="12">
        <v>45859</v>
      </c>
      <c r="K2857">
        <v>0</v>
      </c>
      <c r="L2857" s="1">
        <f t="shared" si="176"/>
        <v>33.6</v>
      </c>
      <c r="M2857" s="1">
        <f t="shared" si="177"/>
        <v>5</v>
      </c>
      <c r="N2857" s="2">
        <f t="shared" si="178"/>
        <v>45839</v>
      </c>
      <c r="O2857" t="str">
        <f t="shared" si="179"/>
        <v>pes</v>
      </c>
    </row>
    <row r="2858" spans="1:15" hidden="1" x14ac:dyDescent="0.25">
      <c r="A2858">
        <v>10366</v>
      </c>
      <c r="B2858" s="11">
        <v>4010123456783</v>
      </c>
      <c r="C2858" s="1" t="s">
        <v>35</v>
      </c>
      <c r="D2858" s="1" t="s">
        <v>36</v>
      </c>
      <c r="E2858" s="1" t="s">
        <v>37</v>
      </c>
      <c r="F2858">
        <v>14</v>
      </c>
      <c r="G2858">
        <v>1</v>
      </c>
      <c r="H2858" s="1" t="s">
        <v>14</v>
      </c>
      <c r="I2858" s="1" t="s">
        <v>15</v>
      </c>
      <c r="J2858" s="12">
        <v>45860</v>
      </c>
      <c r="K2858">
        <v>0</v>
      </c>
      <c r="L2858" s="1">
        <f t="shared" si="176"/>
        <v>14</v>
      </c>
      <c r="M2858" s="1" t="str">
        <f t="shared" si="177"/>
        <v/>
      </c>
      <c r="N2858" s="2">
        <f t="shared" si="178"/>
        <v>45839</v>
      </c>
      <c r="O2858" t="str">
        <f t="shared" si="179"/>
        <v>mačka</v>
      </c>
    </row>
    <row r="2859" spans="1:15" x14ac:dyDescent="0.25">
      <c r="A2859">
        <v>10367</v>
      </c>
      <c r="B2859" s="11">
        <v>8599988776654</v>
      </c>
      <c r="C2859" s="1" t="s">
        <v>393</v>
      </c>
      <c r="D2859" s="1" t="s">
        <v>133</v>
      </c>
      <c r="E2859" s="1" t="s">
        <v>17</v>
      </c>
      <c r="F2859">
        <v>16.8</v>
      </c>
      <c r="G2859">
        <v>1</v>
      </c>
      <c r="H2859" s="1" t="s">
        <v>14</v>
      </c>
      <c r="I2859" s="1" t="s">
        <v>15</v>
      </c>
      <c r="J2859" s="12">
        <v>45860</v>
      </c>
      <c r="K2859">
        <v>0</v>
      </c>
      <c r="L2859" s="1">
        <f t="shared" si="176"/>
        <v>16.8</v>
      </c>
      <c r="M2859" s="1" t="str">
        <f t="shared" si="177"/>
        <v/>
      </c>
      <c r="N2859" s="2">
        <f t="shared" si="178"/>
        <v>45839</v>
      </c>
      <c r="O2859" t="str">
        <f t="shared" si="179"/>
        <v>pes</v>
      </c>
    </row>
    <row r="2860" spans="1:15" x14ac:dyDescent="0.25">
      <c r="A2860">
        <v>10368</v>
      </c>
      <c r="B2860" s="11">
        <v>4027788990013</v>
      </c>
      <c r="C2860" s="1" t="s">
        <v>43</v>
      </c>
      <c r="D2860" s="1" t="s">
        <v>21</v>
      </c>
      <c r="E2860" s="1" t="s">
        <v>22</v>
      </c>
      <c r="F2860">
        <v>8</v>
      </c>
      <c r="G2860">
        <v>1</v>
      </c>
      <c r="H2860" s="1" t="s">
        <v>18</v>
      </c>
      <c r="I2860" s="1" t="s">
        <v>466</v>
      </c>
      <c r="J2860" s="12">
        <v>45860</v>
      </c>
      <c r="K2860">
        <v>0</v>
      </c>
      <c r="L2860" s="1">
        <f t="shared" si="176"/>
        <v>8</v>
      </c>
      <c r="M2860" s="1">
        <f t="shared" si="177"/>
        <v>4</v>
      </c>
      <c r="N2860" s="2">
        <f t="shared" si="178"/>
        <v>45839</v>
      </c>
      <c r="O2860" t="str">
        <f t="shared" si="179"/>
        <v>pes</v>
      </c>
    </row>
    <row r="2861" spans="1:15" x14ac:dyDescent="0.25">
      <c r="A2861">
        <v>10369</v>
      </c>
      <c r="B2861" s="11">
        <v>8599988776654</v>
      </c>
      <c r="C2861" s="1" t="s">
        <v>393</v>
      </c>
      <c r="D2861" s="1" t="s">
        <v>133</v>
      </c>
      <c r="E2861" s="1" t="s">
        <v>17</v>
      </c>
      <c r="F2861">
        <v>16.8</v>
      </c>
      <c r="G2861">
        <v>1</v>
      </c>
      <c r="H2861" s="1" t="s">
        <v>14</v>
      </c>
      <c r="I2861" s="1" t="s">
        <v>15</v>
      </c>
      <c r="J2861" s="12">
        <v>45860</v>
      </c>
      <c r="K2861">
        <v>0</v>
      </c>
      <c r="L2861" s="1">
        <f t="shared" si="176"/>
        <v>16.8</v>
      </c>
      <c r="M2861" s="1" t="str">
        <f t="shared" si="177"/>
        <v/>
      </c>
      <c r="N2861" s="2">
        <f t="shared" si="178"/>
        <v>45839</v>
      </c>
      <c r="O2861" t="str">
        <f t="shared" si="179"/>
        <v>pes</v>
      </c>
    </row>
    <row r="2862" spans="1:15" x14ac:dyDescent="0.25">
      <c r="A2862">
        <v>10370</v>
      </c>
      <c r="B2862" s="11">
        <v>4017890123450</v>
      </c>
      <c r="C2862" s="1" t="s">
        <v>65</v>
      </c>
      <c r="D2862" s="1" t="s">
        <v>39</v>
      </c>
      <c r="E2862" s="1" t="s">
        <v>22</v>
      </c>
      <c r="F2862">
        <v>7.6</v>
      </c>
      <c r="G2862">
        <v>1</v>
      </c>
      <c r="H2862" s="1" t="s">
        <v>14</v>
      </c>
      <c r="I2862" s="1" t="s">
        <v>15</v>
      </c>
      <c r="J2862" s="12">
        <v>45860</v>
      </c>
      <c r="K2862">
        <v>0</v>
      </c>
      <c r="L2862" s="1">
        <f t="shared" si="176"/>
        <v>7.6</v>
      </c>
      <c r="M2862" s="1" t="str">
        <f t="shared" si="177"/>
        <v/>
      </c>
      <c r="N2862" s="2">
        <f t="shared" si="178"/>
        <v>45839</v>
      </c>
      <c r="O2862" t="str">
        <f t="shared" si="179"/>
        <v>pes</v>
      </c>
    </row>
    <row r="2863" spans="1:15" x14ac:dyDescent="0.25">
      <c r="A2863">
        <v>10371</v>
      </c>
      <c r="B2863" s="11">
        <v>8599988776654</v>
      </c>
      <c r="C2863" s="1" t="s">
        <v>393</v>
      </c>
      <c r="D2863" s="1" t="s">
        <v>133</v>
      </c>
      <c r="E2863" s="1" t="s">
        <v>17</v>
      </c>
      <c r="F2863">
        <v>16.8</v>
      </c>
      <c r="G2863">
        <v>1</v>
      </c>
      <c r="H2863" s="1" t="s">
        <v>14</v>
      </c>
      <c r="I2863" s="1" t="s">
        <v>15</v>
      </c>
      <c r="J2863" s="12">
        <v>45860</v>
      </c>
      <c r="K2863">
        <v>0</v>
      </c>
      <c r="L2863" s="1">
        <f t="shared" si="176"/>
        <v>16.8</v>
      </c>
      <c r="M2863" s="1" t="str">
        <f t="shared" si="177"/>
        <v/>
      </c>
      <c r="N2863" s="2">
        <f t="shared" si="178"/>
        <v>45839</v>
      </c>
      <c r="O2863" t="str">
        <f t="shared" si="179"/>
        <v>pes</v>
      </c>
    </row>
    <row r="2864" spans="1:15" x14ac:dyDescent="0.25">
      <c r="A2864">
        <v>10372</v>
      </c>
      <c r="B2864" s="11">
        <v>4063456789014</v>
      </c>
      <c r="C2864" s="1" t="s">
        <v>60</v>
      </c>
      <c r="D2864" s="1" t="s">
        <v>12</v>
      </c>
      <c r="E2864" s="1" t="s">
        <v>61</v>
      </c>
      <c r="F2864">
        <v>36</v>
      </c>
      <c r="G2864">
        <v>1</v>
      </c>
      <c r="H2864" s="1" t="s">
        <v>14</v>
      </c>
      <c r="I2864" s="1" t="s">
        <v>15</v>
      </c>
      <c r="J2864" s="12">
        <v>45860</v>
      </c>
      <c r="K2864">
        <v>0</v>
      </c>
      <c r="L2864" s="1">
        <f t="shared" si="176"/>
        <v>36</v>
      </c>
      <c r="M2864" s="1" t="str">
        <f t="shared" si="177"/>
        <v/>
      </c>
      <c r="N2864" s="2">
        <f t="shared" si="178"/>
        <v>45839</v>
      </c>
      <c r="O2864" t="str">
        <f t="shared" si="179"/>
        <v>pes</v>
      </c>
    </row>
    <row r="2865" spans="1:15" x14ac:dyDescent="0.25">
      <c r="A2865">
        <v>10373</v>
      </c>
      <c r="B2865" s="11">
        <v>8599988776654</v>
      </c>
      <c r="C2865" s="1" t="s">
        <v>393</v>
      </c>
      <c r="D2865" s="1" t="s">
        <v>133</v>
      </c>
      <c r="E2865" s="1" t="s">
        <v>17</v>
      </c>
      <c r="F2865">
        <v>16.8</v>
      </c>
      <c r="G2865">
        <v>1</v>
      </c>
      <c r="H2865" s="1" t="s">
        <v>23</v>
      </c>
      <c r="I2865" s="1" t="s">
        <v>467</v>
      </c>
      <c r="J2865" s="12">
        <v>45860</v>
      </c>
      <c r="K2865">
        <v>0</v>
      </c>
      <c r="L2865" s="1">
        <f t="shared" si="176"/>
        <v>16.8</v>
      </c>
      <c r="M2865" s="1">
        <f t="shared" si="177"/>
        <v>5</v>
      </c>
      <c r="N2865" s="2">
        <f t="shared" si="178"/>
        <v>45839</v>
      </c>
      <c r="O2865" t="str">
        <f t="shared" si="179"/>
        <v>pes</v>
      </c>
    </row>
    <row r="2866" spans="1:15" x14ac:dyDescent="0.25">
      <c r="A2866">
        <v>10374</v>
      </c>
      <c r="B2866" s="11">
        <v>4028899001126</v>
      </c>
      <c r="C2866" s="1" t="s">
        <v>16</v>
      </c>
      <c r="D2866" s="1" t="s">
        <v>12</v>
      </c>
      <c r="E2866" s="1" t="s">
        <v>17</v>
      </c>
      <c r="F2866">
        <v>2.8</v>
      </c>
      <c r="G2866">
        <v>3</v>
      </c>
      <c r="H2866" s="1" t="s">
        <v>14</v>
      </c>
      <c r="I2866" s="1" t="s">
        <v>15</v>
      </c>
      <c r="J2866" s="12">
        <v>45860</v>
      </c>
      <c r="K2866">
        <v>0</v>
      </c>
      <c r="L2866" s="1">
        <f t="shared" si="176"/>
        <v>8.3999999999999986</v>
      </c>
      <c r="M2866" s="1" t="str">
        <f t="shared" si="177"/>
        <v/>
      </c>
      <c r="N2866" s="2">
        <f t="shared" si="178"/>
        <v>45839</v>
      </c>
      <c r="O2866" t="str">
        <f t="shared" si="179"/>
        <v>pes</v>
      </c>
    </row>
    <row r="2867" spans="1:15" x14ac:dyDescent="0.25">
      <c r="A2867">
        <v>10375</v>
      </c>
      <c r="B2867" s="11">
        <v>8599988776654</v>
      </c>
      <c r="C2867" s="1" t="s">
        <v>393</v>
      </c>
      <c r="D2867" s="1" t="s">
        <v>133</v>
      </c>
      <c r="E2867" s="1" t="s">
        <v>17</v>
      </c>
      <c r="F2867">
        <v>16.8</v>
      </c>
      <c r="G2867">
        <v>2</v>
      </c>
      <c r="H2867" s="1" t="s">
        <v>14</v>
      </c>
      <c r="I2867" s="1" t="s">
        <v>15</v>
      </c>
      <c r="J2867" s="12">
        <v>45860</v>
      </c>
      <c r="K2867">
        <v>0</v>
      </c>
      <c r="L2867" s="1">
        <f t="shared" si="176"/>
        <v>33.6</v>
      </c>
      <c r="M2867" s="1" t="str">
        <f t="shared" si="177"/>
        <v/>
      </c>
      <c r="N2867" s="2">
        <f t="shared" si="178"/>
        <v>45839</v>
      </c>
      <c r="O2867" t="str">
        <f t="shared" si="179"/>
        <v>pes</v>
      </c>
    </row>
    <row r="2868" spans="1:15" hidden="1" x14ac:dyDescent="0.25">
      <c r="A2868">
        <v>10376</v>
      </c>
      <c r="B2868" s="11">
        <v>4056789012345</v>
      </c>
      <c r="C2868" s="1" t="s">
        <v>47</v>
      </c>
      <c r="D2868" s="1" t="s">
        <v>29</v>
      </c>
      <c r="E2868" s="1" t="s">
        <v>37</v>
      </c>
      <c r="F2868">
        <v>2.4</v>
      </c>
      <c r="G2868">
        <v>2</v>
      </c>
      <c r="H2868" s="1" t="s">
        <v>14</v>
      </c>
      <c r="I2868" s="1" t="s">
        <v>15</v>
      </c>
      <c r="J2868" s="12">
        <v>45860</v>
      </c>
      <c r="K2868">
        <v>0</v>
      </c>
      <c r="L2868" s="1">
        <f t="shared" si="176"/>
        <v>4.8</v>
      </c>
      <c r="M2868" s="1" t="str">
        <f t="shared" si="177"/>
        <v/>
      </c>
      <c r="N2868" s="2">
        <f t="shared" si="178"/>
        <v>45839</v>
      </c>
      <c r="O2868" t="str">
        <f t="shared" si="179"/>
        <v>mačka</v>
      </c>
    </row>
    <row r="2869" spans="1:15" x14ac:dyDescent="0.25">
      <c r="A2869">
        <v>10377</v>
      </c>
      <c r="B2869" s="11">
        <v>8599988776654</v>
      </c>
      <c r="C2869" s="1" t="s">
        <v>393</v>
      </c>
      <c r="D2869" s="1" t="s">
        <v>133</v>
      </c>
      <c r="E2869" s="1" t="s">
        <v>17</v>
      </c>
      <c r="F2869">
        <v>16.8</v>
      </c>
      <c r="G2869">
        <v>1</v>
      </c>
      <c r="H2869" s="1" t="s">
        <v>14</v>
      </c>
      <c r="I2869" s="1" t="s">
        <v>15</v>
      </c>
      <c r="J2869" s="12">
        <v>45860</v>
      </c>
      <c r="K2869">
        <v>0</v>
      </c>
      <c r="L2869" s="1">
        <f t="shared" si="176"/>
        <v>16.8</v>
      </c>
      <c r="M2869" s="1" t="str">
        <f t="shared" si="177"/>
        <v/>
      </c>
      <c r="N2869" s="2">
        <f t="shared" si="178"/>
        <v>45839</v>
      </c>
      <c r="O2869" t="str">
        <f t="shared" si="179"/>
        <v>pes</v>
      </c>
    </row>
    <row r="2870" spans="1:15" x14ac:dyDescent="0.25">
      <c r="A2870">
        <v>10378</v>
      </c>
      <c r="B2870" s="11">
        <v>4013456789017</v>
      </c>
      <c r="C2870" s="1" t="s">
        <v>11</v>
      </c>
      <c r="D2870" s="1" t="s">
        <v>12</v>
      </c>
      <c r="E2870" s="1" t="s">
        <v>13</v>
      </c>
      <c r="F2870">
        <v>6</v>
      </c>
      <c r="G2870">
        <v>1</v>
      </c>
      <c r="H2870" s="1" t="s">
        <v>18</v>
      </c>
      <c r="I2870" s="1" t="s">
        <v>468</v>
      </c>
      <c r="J2870" s="12">
        <v>45861</v>
      </c>
      <c r="K2870">
        <v>0</v>
      </c>
      <c r="L2870" s="1">
        <f t="shared" si="176"/>
        <v>6</v>
      </c>
      <c r="M2870" s="1">
        <f t="shared" si="177"/>
        <v>4</v>
      </c>
      <c r="N2870" s="2">
        <f t="shared" si="178"/>
        <v>45839</v>
      </c>
      <c r="O2870" t="str">
        <f t="shared" si="179"/>
        <v>pes</v>
      </c>
    </row>
    <row r="2871" spans="1:15" x14ac:dyDescent="0.25">
      <c r="A2871">
        <v>10379</v>
      </c>
      <c r="B2871" s="11">
        <v>8599988776654</v>
      </c>
      <c r="C2871" s="1" t="s">
        <v>393</v>
      </c>
      <c r="D2871" s="1" t="s">
        <v>133</v>
      </c>
      <c r="E2871" s="1" t="s">
        <v>17</v>
      </c>
      <c r="F2871">
        <v>16.8</v>
      </c>
      <c r="G2871">
        <v>1</v>
      </c>
      <c r="H2871" s="1" t="s">
        <v>14</v>
      </c>
      <c r="I2871" s="1" t="s">
        <v>15</v>
      </c>
      <c r="J2871" s="12">
        <v>45861</v>
      </c>
      <c r="K2871">
        <v>0</v>
      </c>
      <c r="L2871" s="1">
        <f t="shared" si="176"/>
        <v>16.8</v>
      </c>
      <c r="M2871" s="1" t="str">
        <f t="shared" si="177"/>
        <v/>
      </c>
      <c r="N2871" s="2">
        <f t="shared" si="178"/>
        <v>45839</v>
      </c>
      <c r="O2871" t="str">
        <f t="shared" si="179"/>
        <v>pes</v>
      </c>
    </row>
    <row r="2872" spans="1:15" hidden="1" x14ac:dyDescent="0.25">
      <c r="A2872">
        <v>10380</v>
      </c>
      <c r="B2872" s="11">
        <v>4010123456783</v>
      </c>
      <c r="C2872" s="1" t="s">
        <v>35</v>
      </c>
      <c r="D2872" s="1" t="s">
        <v>36</v>
      </c>
      <c r="E2872" s="1" t="s">
        <v>37</v>
      </c>
      <c r="F2872">
        <v>14</v>
      </c>
      <c r="G2872">
        <v>1</v>
      </c>
      <c r="H2872" s="1" t="s">
        <v>14</v>
      </c>
      <c r="I2872" s="1" t="s">
        <v>15</v>
      </c>
      <c r="J2872" s="12">
        <v>45861</v>
      </c>
      <c r="K2872">
        <v>0</v>
      </c>
      <c r="L2872" s="1">
        <f t="shared" si="176"/>
        <v>14</v>
      </c>
      <c r="M2872" s="1" t="str">
        <f t="shared" si="177"/>
        <v/>
      </c>
      <c r="N2872" s="2">
        <f t="shared" si="178"/>
        <v>45839</v>
      </c>
      <c r="O2872" t="str">
        <f t="shared" si="179"/>
        <v>mačka</v>
      </c>
    </row>
    <row r="2873" spans="1:15" x14ac:dyDescent="0.25">
      <c r="A2873">
        <v>10381</v>
      </c>
      <c r="B2873" s="11">
        <v>8599988776654</v>
      </c>
      <c r="C2873" s="1" t="s">
        <v>393</v>
      </c>
      <c r="D2873" s="1" t="s">
        <v>133</v>
      </c>
      <c r="E2873" s="1" t="s">
        <v>17</v>
      </c>
      <c r="F2873">
        <v>16.8</v>
      </c>
      <c r="G2873">
        <v>2</v>
      </c>
      <c r="H2873" s="1" t="s">
        <v>14</v>
      </c>
      <c r="I2873" s="1" t="s">
        <v>15</v>
      </c>
      <c r="J2873" s="12">
        <v>45861</v>
      </c>
      <c r="K2873">
        <v>0</v>
      </c>
      <c r="L2873" s="1">
        <f t="shared" si="176"/>
        <v>33.6</v>
      </c>
      <c r="M2873" s="1" t="str">
        <f t="shared" si="177"/>
        <v/>
      </c>
      <c r="N2873" s="2">
        <f t="shared" si="178"/>
        <v>45839</v>
      </c>
      <c r="O2873" t="str">
        <f t="shared" si="179"/>
        <v>pes</v>
      </c>
    </row>
    <row r="2874" spans="1:15" x14ac:dyDescent="0.25">
      <c r="A2874">
        <v>10382</v>
      </c>
      <c r="B2874" s="11">
        <v>4063456789014</v>
      </c>
      <c r="C2874" s="1" t="s">
        <v>60</v>
      </c>
      <c r="D2874" s="1" t="s">
        <v>12</v>
      </c>
      <c r="E2874" s="1" t="s">
        <v>61</v>
      </c>
      <c r="F2874">
        <v>36</v>
      </c>
      <c r="G2874">
        <v>1</v>
      </c>
      <c r="H2874" s="1" t="s">
        <v>23</v>
      </c>
      <c r="I2874" s="1" t="s">
        <v>469</v>
      </c>
      <c r="J2874" s="12">
        <v>45861</v>
      </c>
      <c r="K2874">
        <v>0</v>
      </c>
      <c r="L2874" s="1">
        <f t="shared" si="176"/>
        <v>36</v>
      </c>
      <c r="M2874" s="1">
        <f t="shared" si="177"/>
        <v>5</v>
      </c>
      <c r="N2874" s="2">
        <f t="shared" si="178"/>
        <v>45839</v>
      </c>
      <c r="O2874" t="str">
        <f t="shared" si="179"/>
        <v>pes</v>
      </c>
    </row>
    <row r="2875" spans="1:15" x14ac:dyDescent="0.25">
      <c r="A2875">
        <v>10383</v>
      </c>
      <c r="B2875" s="11">
        <v>8599988776654</v>
      </c>
      <c r="C2875" s="1" t="s">
        <v>393</v>
      </c>
      <c r="D2875" s="1" t="s">
        <v>133</v>
      </c>
      <c r="E2875" s="1" t="s">
        <v>17</v>
      </c>
      <c r="F2875">
        <v>16.8</v>
      </c>
      <c r="G2875">
        <v>1</v>
      </c>
      <c r="H2875" s="1" t="s">
        <v>14</v>
      </c>
      <c r="I2875" s="1" t="s">
        <v>15</v>
      </c>
      <c r="J2875" s="12">
        <v>45861</v>
      </c>
      <c r="K2875">
        <v>0</v>
      </c>
      <c r="L2875" s="1">
        <f t="shared" si="176"/>
        <v>16.8</v>
      </c>
      <c r="M2875" s="1" t="str">
        <f t="shared" si="177"/>
        <v/>
      </c>
      <c r="N2875" s="2">
        <f t="shared" si="178"/>
        <v>45839</v>
      </c>
      <c r="O2875" t="str">
        <f t="shared" si="179"/>
        <v>pes</v>
      </c>
    </row>
    <row r="2876" spans="1:15" x14ac:dyDescent="0.25">
      <c r="A2876">
        <v>10384</v>
      </c>
      <c r="B2876" s="11">
        <v>4028899001126</v>
      </c>
      <c r="C2876" s="1" t="s">
        <v>16</v>
      </c>
      <c r="D2876" s="1" t="s">
        <v>12</v>
      </c>
      <c r="E2876" s="1" t="s">
        <v>17</v>
      </c>
      <c r="F2876">
        <v>2.8</v>
      </c>
      <c r="G2876">
        <v>3</v>
      </c>
      <c r="H2876" s="1" t="s">
        <v>14</v>
      </c>
      <c r="I2876" s="1" t="s">
        <v>15</v>
      </c>
      <c r="J2876" s="12">
        <v>45861</v>
      </c>
      <c r="K2876">
        <v>0</v>
      </c>
      <c r="L2876" s="1">
        <f t="shared" si="176"/>
        <v>8.3999999999999986</v>
      </c>
      <c r="M2876" s="1" t="str">
        <f t="shared" si="177"/>
        <v/>
      </c>
      <c r="N2876" s="2">
        <f t="shared" si="178"/>
        <v>45839</v>
      </c>
      <c r="O2876" t="str">
        <f t="shared" si="179"/>
        <v>pes</v>
      </c>
    </row>
    <row r="2877" spans="1:15" x14ac:dyDescent="0.25">
      <c r="A2877">
        <v>10385</v>
      </c>
      <c r="B2877" s="11">
        <v>8599988776654</v>
      </c>
      <c r="C2877" s="1" t="s">
        <v>393</v>
      </c>
      <c r="D2877" s="1" t="s">
        <v>133</v>
      </c>
      <c r="E2877" s="1" t="s">
        <v>17</v>
      </c>
      <c r="F2877">
        <v>16.8</v>
      </c>
      <c r="G2877">
        <v>1</v>
      </c>
      <c r="H2877" s="1" t="s">
        <v>14</v>
      </c>
      <c r="I2877" s="1" t="s">
        <v>15</v>
      </c>
      <c r="J2877" s="12">
        <v>45861</v>
      </c>
      <c r="K2877">
        <v>0</v>
      </c>
      <c r="L2877" s="1">
        <f t="shared" si="176"/>
        <v>16.8</v>
      </c>
      <c r="M2877" s="1" t="str">
        <f t="shared" si="177"/>
        <v/>
      </c>
      <c r="N2877" s="2">
        <f t="shared" si="178"/>
        <v>45839</v>
      </c>
      <c r="O2877" t="str">
        <f t="shared" si="179"/>
        <v>pes</v>
      </c>
    </row>
    <row r="2878" spans="1:15" x14ac:dyDescent="0.25">
      <c r="A2878">
        <v>10386</v>
      </c>
      <c r="B2878" s="11">
        <v>4017890123450</v>
      </c>
      <c r="C2878" s="1" t="s">
        <v>65</v>
      </c>
      <c r="D2878" s="1" t="s">
        <v>39</v>
      </c>
      <c r="E2878" s="1" t="s">
        <v>22</v>
      </c>
      <c r="F2878">
        <v>7.6</v>
      </c>
      <c r="G2878">
        <v>1</v>
      </c>
      <c r="H2878" s="1" t="s">
        <v>18</v>
      </c>
      <c r="I2878" s="1" t="s">
        <v>470</v>
      </c>
      <c r="J2878" s="12">
        <v>45861</v>
      </c>
      <c r="K2878">
        <v>0</v>
      </c>
      <c r="L2878" s="1">
        <f t="shared" si="176"/>
        <v>7.6</v>
      </c>
      <c r="M2878" s="1">
        <f t="shared" si="177"/>
        <v>4</v>
      </c>
      <c r="N2878" s="2">
        <f t="shared" si="178"/>
        <v>45839</v>
      </c>
      <c r="O2878" t="str">
        <f t="shared" si="179"/>
        <v>pes</v>
      </c>
    </row>
    <row r="2879" spans="1:15" x14ac:dyDescent="0.25">
      <c r="A2879">
        <v>10387</v>
      </c>
      <c r="B2879" s="11">
        <v>8599988776654</v>
      </c>
      <c r="C2879" s="1" t="s">
        <v>393</v>
      </c>
      <c r="D2879" s="1" t="s">
        <v>133</v>
      </c>
      <c r="E2879" s="1" t="s">
        <v>17</v>
      </c>
      <c r="F2879">
        <v>16.8</v>
      </c>
      <c r="G2879">
        <v>1</v>
      </c>
      <c r="H2879" s="1" t="s">
        <v>14</v>
      </c>
      <c r="I2879" s="1" t="s">
        <v>15</v>
      </c>
      <c r="J2879" s="12">
        <v>45861</v>
      </c>
      <c r="K2879">
        <v>0</v>
      </c>
      <c r="L2879" s="1">
        <f t="shared" si="176"/>
        <v>16.8</v>
      </c>
      <c r="M2879" s="1" t="str">
        <f t="shared" si="177"/>
        <v/>
      </c>
      <c r="N2879" s="2">
        <f t="shared" si="178"/>
        <v>45839</v>
      </c>
      <c r="O2879" t="str">
        <f t="shared" si="179"/>
        <v>pes</v>
      </c>
    </row>
    <row r="2880" spans="1:15" hidden="1" x14ac:dyDescent="0.25">
      <c r="A2880">
        <v>10388</v>
      </c>
      <c r="B2880" s="11">
        <v>4021234567894</v>
      </c>
      <c r="C2880" s="1" t="s">
        <v>79</v>
      </c>
      <c r="D2880" s="1" t="s">
        <v>36</v>
      </c>
      <c r="E2880" s="1" t="s">
        <v>69</v>
      </c>
      <c r="F2880">
        <v>8</v>
      </c>
      <c r="G2880">
        <v>1</v>
      </c>
      <c r="H2880" s="1" t="s">
        <v>14</v>
      </c>
      <c r="I2880" s="1" t="s">
        <v>15</v>
      </c>
      <c r="J2880" s="12">
        <v>45861</v>
      </c>
      <c r="K2880">
        <v>0</v>
      </c>
      <c r="L2880" s="1">
        <f t="shared" si="176"/>
        <v>8</v>
      </c>
      <c r="M2880" s="1" t="str">
        <f t="shared" si="177"/>
        <v/>
      </c>
      <c r="N2880" s="2">
        <f t="shared" si="178"/>
        <v>45839</v>
      </c>
      <c r="O2880" t="str">
        <f t="shared" si="179"/>
        <v>mačka</v>
      </c>
    </row>
    <row r="2881" spans="1:15" x14ac:dyDescent="0.25">
      <c r="A2881">
        <v>10389</v>
      </c>
      <c r="B2881" s="11">
        <v>8599988776654</v>
      </c>
      <c r="C2881" s="1" t="s">
        <v>393</v>
      </c>
      <c r="D2881" s="1" t="s">
        <v>133</v>
      </c>
      <c r="E2881" s="1" t="s">
        <v>17</v>
      </c>
      <c r="F2881">
        <v>16.8</v>
      </c>
      <c r="G2881">
        <v>2</v>
      </c>
      <c r="H2881" s="1" t="s">
        <v>14</v>
      </c>
      <c r="I2881" s="1" t="s">
        <v>15</v>
      </c>
      <c r="J2881" s="12">
        <v>45862</v>
      </c>
      <c r="K2881">
        <v>0</v>
      </c>
      <c r="L2881" s="1">
        <f t="shared" si="176"/>
        <v>33.6</v>
      </c>
      <c r="M2881" s="1" t="str">
        <f t="shared" si="177"/>
        <v/>
      </c>
      <c r="N2881" s="2">
        <f t="shared" si="178"/>
        <v>45839</v>
      </c>
      <c r="O2881" t="str">
        <f t="shared" si="179"/>
        <v>pes</v>
      </c>
    </row>
    <row r="2882" spans="1:15" x14ac:dyDescent="0.25">
      <c r="A2882">
        <v>10390</v>
      </c>
      <c r="B2882" s="11">
        <v>4013456789017</v>
      </c>
      <c r="C2882" s="1" t="s">
        <v>11</v>
      </c>
      <c r="D2882" s="1" t="s">
        <v>12</v>
      </c>
      <c r="E2882" s="1" t="s">
        <v>13</v>
      </c>
      <c r="F2882">
        <v>6</v>
      </c>
      <c r="G2882">
        <v>1</v>
      </c>
      <c r="H2882" s="1" t="s">
        <v>14</v>
      </c>
      <c r="I2882" s="1" t="s">
        <v>15</v>
      </c>
      <c r="J2882" s="12">
        <v>45862</v>
      </c>
      <c r="K2882">
        <v>0</v>
      </c>
      <c r="L2882" s="1">
        <f t="shared" ref="L2882:L2945" si="180">F2882*G2882</f>
        <v>6</v>
      </c>
      <c r="M2882" s="1" t="str">
        <f t="shared" ref="M2882:M2945" si="181">IF(H2882="NULL", "",VALUE(H2882))</f>
        <v/>
      </c>
      <c r="N2882" s="2">
        <f t="shared" ref="N2882:N2945" si="182">DATE(YEAR(J2882),MONTH(J2882),1)</f>
        <v>45839</v>
      </c>
      <c r="O2882" t="str">
        <f t="shared" ref="O2882:O2945" si="183">IF(ISNUMBER(SEARCH("Mačky",D2882)),"mačka",IF(ISNUMBER(SEARCH("Psy",D2882)),"pes","iné"))</f>
        <v>pes</v>
      </c>
    </row>
    <row r="2883" spans="1:15" x14ac:dyDescent="0.25">
      <c r="A2883">
        <v>10391</v>
      </c>
      <c r="B2883" s="11">
        <v>8599988776654</v>
      </c>
      <c r="C2883" s="1" t="s">
        <v>393</v>
      </c>
      <c r="D2883" s="1" t="s">
        <v>133</v>
      </c>
      <c r="E2883" s="1" t="s">
        <v>17</v>
      </c>
      <c r="F2883">
        <v>16.8</v>
      </c>
      <c r="G2883">
        <v>1</v>
      </c>
      <c r="H2883" s="1" t="s">
        <v>23</v>
      </c>
      <c r="I2883" s="1" t="s">
        <v>471</v>
      </c>
      <c r="J2883" s="12">
        <v>45862</v>
      </c>
      <c r="K2883">
        <v>0</v>
      </c>
      <c r="L2883" s="1">
        <f t="shared" si="180"/>
        <v>16.8</v>
      </c>
      <c r="M2883" s="1">
        <f t="shared" si="181"/>
        <v>5</v>
      </c>
      <c r="N2883" s="2">
        <f t="shared" si="182"/>
        <v>45839</v>
      </c>
      <c r="O2883" t="str">
        <f t="shared" si="183"/>
        <v>pes</v>
      </c>
    </row>
    <row r="2884" spans="1:15" x14ac:dyDescent="0.25">
      <c r="A2884">
        <v>10392</v>
      </c>
      <c r="B2884" s="11">
        <v>4027788990013</v>
      </c>
      <c r="C2884" s="1" t="s">
        <v>43</v>
      </c>
      <c r="D2884" s="1" t="s">
        <v>21</v>
      </c>
      <c r="E2884" s="1" t="s">
        <v>22</v>
      </c>
      <c r="F2884">
        <v>8</v>
      </c>
      <c r="G2884">
        <v>1</v>
      </c>
      <c r="H2884" s="1" t="s">
        <v>14</v>
      </c>
      <c r="I2884" s="1" t="s">
        <v>15</v>
      </c>
      <c r="J2884" s="12">
        <v>45862</v>
      </c>
      <c r="K2884">
        <v>0</v>
      </c>
      <c r="L2884" s="1">
        <f t="shared" si="180"/>
        <v>8</v>
      </c>
      <c r="M2884" s="1" t="str">
        <f t="shared" si="181"/>
        <v/>
      </c>
      <c r="N2884" s="2">
        <f t="shared" si="182"/>
        <v>45839</v>
      </c>
      <c r="O2884" t="str">
        <f t="shared" si="183"/>
        <v>pes</v>
      </c>
    </row>
    <row r="2885" spans="1:15" x14ac:dyDescent="0.25">
      <c r="A2885">
        <v>10393</v>
      </c>
      <c r="B2885" s="11">
        <v>8599988776654</v>
      </c>
      <c r="C2885" s="1" t="s">
        <v>393</v>
      </c>
      <c r="D2885" s="1" t="s">
        <v>133</v>
      </c>
      <c r="E2885" s="1" t="s">
        <v>17</v>
      </c>
      <c r="F2885">
        <v>16.8</v>
      </c>
      <c r="G2885">
        <v>1</v>
      </c>
      <c r="H2885" s="1" t="s">
        <v>14</v>
      </c>
      <c r="I2885" s="1" t="s">
        <v>15</v>
      </c>
      <c r="J2885" s="12">
        <v>45862</v>
      </c>
      <c r="K2885">
        <v>0</v>
      </c>
      <c r="L2885" s="1">
        <f t="shared" si="180"/>
        <v>16.8</v>
      </c>
      <c r="M2885" s="1" t="str">
        <f t="shared" si="181"/>
        <v/>
      </c>
      <c r="N2885" s="2">
        <f t="shared" si="182"/>
        <v>45839</v>
      </c>
      <c r="O2885" t="str">
        <f t="shared" si="183"/>
        <v>pes</v>
      </c>
    </row>
    <row r="2886" spans="1:15" hidden="1" x14ac:dyDescent="0.25">
      <c r="A2886">
        <v>10394</v>
      </c>
      <c r="B2886" s="11">
        <v>4056789012345</v>
      </c>
      <c r="C2886" s="1" t="s">
        <v>47</v>
      </c>
      <c r="D2886" s="1" t="s">
        <v>29</v>
      </c>
      <c r="E2886" s="1" t="s">
        <v>37</v>
      </c>
      <c r="F2886">
        <v>2.4</v>
      </c>
      <c r="G2886">
        <v>2</v>
      </c>
      <c r="H2886" s="1" t="s">
        <v>14</v>
      </c>
      <c r="I2886" s="1" t="s">
        <v>15</v>
      </c>
      <c r="J2886" s="12">
        <v>45862</v>
      </c>
      <c r="K2886">
        <v>0</v>
      </c>
      <c r="L2886" s="1">
        <f t="shared" si="180"/>
        <v>4.8</v>
      </c>
      <c r="M2886" s="1" t="str">
        <f t="shared" si="181"/>
        <v/>
      </c>
      <c r="N2886" s="2">
        <f t="shared" si="182"/>
        <v>45839</v>
      </c>
      <c r="O2886" t="str">
        <f t="shared" si="183"/>
        <v>mačka</v>
      </c>
    </row>
    <row r="2887" spans="1:15" x14ac:dyDescent="0.25">
      <c r="A2887">
        <v>10395</v>
      </c>
      <c r="B2887" s="11">
        <v>8599988776654</v>
      </c>
      <c r="C2887" s="1" t="s">
        <v>393</v>
      </c>
      <c r="D2887" s="1" t="s">
        <v>133</v>
      </c>
      <c r="E2887" s="1" t="s">
        <v>17</v>
      </c>
      <c r="F2887">
        <v>16.8</v>
      </c>
      <c r="G2887">
        <v>2</v>
      </c>
      <c r="H2887" s="1" t="s">
        <v>14</v>
      </c>
      <c r="I2887" s="1" t="s">
        <v>15</v>
      </c>
      <c r="J2887" s="12">
        <v>45862</v>
      </c>
      <c r="K2887">
        <v>0</v>
      </c>
      <c r="L2887" s="1">
        <f t="shared" si="180"/>
        <v>33.6</v>
      </c>
      <c r="M2887" s="1" t="str">
        <f t="shared" si="181"/>
        <v/>
      </c>
      <c r="N2887" s="2">
        <f t="shared" si="182"/>
        <v>45839</v>
      </c>
      <c r="O2887" t="str">
        <f t="shared" si="183"/>
        <v>pes</v>
      </c>
    </row>
    <row r="2888" spans="1:15" hidden="1" x14ac:dyDescent="0.25">
      <c r="A2888">
        <v>10396</v>
      </c>
      <c r="B2888" s="11">
        <v>4010123456783</v>
      </c>
      <c r="C2888" s="1" t="s">
        <v>35</v>
      </c>
      <c r="D2888" s="1" t="s">
        <v>36</v>
      </c>
      <c r="E2888" s="1" t="s">
        <v>37</v>
      </c>
      <c r="F2888">
        <v>14</v>
      </c>
      <c r="G2888">
        <v>1</v>
      </c>
      <c r="H2888" s="1" t="s">
        <v>23</v>
      </c>
      <c r="I2888" s="1" t="s">
        <v>472</v>
      </c>
      <c r="J2888" s="12">
        <v>45862</v>
      </c>
      <c r="K2888">
        <v>0</v>
      </c>
      <c r="L2888" s="1">
        <f t="shared" si="180"/>
        <v>14</v>
      </c>
      <c r="M2888" s="1">
        <f t="shared" si="181"/>
        <v>5</v>
      </c>
      <c r="N2888" s="2">
        <f t="shared" si="182"/>
        <v>45839</v>
      </c>
      <c r="O2888" t="str">
        <f t="shared" si="183"/>
        <v>mačka</v>
      </c>
    </row>
    <row r="2889" spans="1:15" x14ac:dyDescent="0.25">
      <c r="A2889">
        <v>10397</v>
      </c>
      <c r="B2889" s="11">
        <v>8599988776654</v>
      </c>
      <c r="C2889" s="1" t="s">
        <v>393</v>
      </c>
      <c r="D2889" s="1" t="s">
        <v>133</v>
      </c>
      <c r="E2889" s="1" t="s">
        <v>17</v>
      </c>
      <c r="F2889">
        <v>16.8</v>
      </c>
      <c r="G2889">
        <v>1</v>
      </c>
      <c r="H2889" s="1" t="s">
        <v>14</v>
      </c>
      <c r="I2889" s="1" t="s">
        <v>15</v>
      </c>
      <c r="J2889" s="12">
        <v>45863</v>
      </c>
      <c r="K2889">
        <v>0</v>
      </c>
      <c r="L2889" s="1">
        <f t="shared" si="180"/>
        <v>16.8</v>
      </c>
      <c r="M2889" s="1" t="str">
        <f t="shared" si="181"/>
        <v/>
      </c>
      <c r="N2889" s="2">
        <f t="shared" si="182"/>
        <v>45839</v>
      </c>
      <c r="O2889" t="str">
        <f t="shared" si="183"/>
        <v>pes</v>
      </c>
    </row>
    <row r="2890" spans="1:15" x14ac:dyDescent="0.25">
      <c r="A2890">
        <v>10398</v>
      </c>
      <c r="B2890" s="11">
        <v>4028899001126</v>
      </c>
      <c r="C2890" s="1" t="s">
        <v>16</v>
      </c>
      <c r="D2890" s="1" t="s">
        <v>12</v>
      </c>
      <c r="E2890" s="1" t="s">
        <v>17</v>
      </c>
      <c r="F2890">
        <v>2.8</v>
      </c>
      <c r="G2890">
        <v>3</v>
      </c>
      <c r="H2890" s="1" t="s">
        <v>14</v>
      </c>
      <c r="I2890" s="1" t="s">
        <v>15</v>
      </c>
      <c r="J2890" s="12">
        <v>45863</v>
      </c>
      <c r="K2890">
        <v>0</v>
      </c>
      <c r="L2890" s="1">
        <f t="shared" si="180"/>
        <v>8.3999999999999986</v>
      </c>
      <c r="M2890" s="1" t="str">
        <f t="shared" si="181"/>
        <v/>
      </c>
      <c r="N2890" s="2">
        <f t="shared" si="182"/>
        <v>45839</v>
      </c>
      <c r="O2890" t="str">
        <f t="shared" si="183"/>
        <v>pes</v>
      </c>
    </row>
    <row r="2891" spans="1:15" x14ac:dyDescent="0.25">
      <c r="A2891">
        <v>10399</v>
      </c>
      <c r="B2891" s="11">
        <v>8599988776654</v>
      </c>
      <c r="C2891" s="1" t="s">
        <v>393</v>
      </c>
      <c r="D2891" s="1" t="s">
        <v>133</v>
      </c>
      <c r="E2891" s="1" t="s">
        <v>17</v>
      </c>
      <c r="F2891">
        <v>16.8</v>
      </c>
      <c r="G2891">
        <v>1</v>
      </c>
      <c r="H2891" s="1" t="s">
        <v>14</v>
      </c>
      <c r="I2891" s="1" t="s">
        <v>15</v>
      </c>
      <c r="J2891" s="12">
        <v>45863</v>
      </c>
      <c r="K2891">
        <v>0</v>
      </c>
      <c r="L2891" s="1">
        <f t="shared" si="180"/>
        <v>16.8</v>
      </c>
      <c r="M2891" s="1" t="str">
        <f t="shared" si="181"/>
        <v/>
      </c>
      <c r="N2891" s="2">
        <f t="shared" si="182"/>
        <v>45839</v>
      </c>
      <c r="O2891" t="str">
        <f t="shared" si="183"/>
        <v>pes</v>
      </c>
    </row>
    <row r="2892" spans="1:15" x14ac:dyDescent="0.25">
      <c r="A2892">
        <v>10400</v>
      </c>
      <c r="B2892" s="11">
        <v>4063456789014</v>
      </c>
      <c r="C2892" s="1" t="s">
        <v>60</v>
      </c>
      <c r="D2892" s="1" t="s">
        <v>12</v>
      </c>
      <c r="E2892" s="1" t="s">
        <v>61</v>
      </c>
      <c r="F2892">
        <v>36</v>
      </c>
      <c r="G2892">
        <v>1</v>
      </c>
      <c r="H2892" s="1" t="s">
        <v>18</v>
      </c>
      <c r="I2892" s="1" t="s">
        <v>473</v>
      </c>
      <c r="J2892" s="12">
        <v>45863</v>
      </c>
      <c r="K2892">
        <v>0</v>
      </c>
      <c r="L2892" s="1">
        <f t="shared" si="180"/>
        <v>36</v>
      </c>
      <c r="M2892" s="1">
        <f t="shared" si="181"/>
        <v>4</v>
      </c>
      <c r="N2892" s="2">
        <f t="shared" si="182"/>
        <v>45839</v>
      </c>
      <c r="O2892" t="str">
        <f t="shared" si="183"/>
        <v>pes</v>
      </c>
    </row>
    <row r="2893" spans="1:15" x14ac:dyDescent="0.25">
      <c r="A2893">
        <v>10401</v>
      </c>
      <c r="B2893" s="11">
        <v>8599988776654</v>
      </c>
      <c r="C2893" s="1" t="s">
        <v>393</v>
      </c>
      <c r="D2893" s="1" t="s">
        <v>133</v>
      </c>
      <c r="E2893" s="1" t="s">
        <v>17</v>
      </c>
      <c r="F2893">
        <v>16.8</v>
      </c>
      <c r="G2893">
        <v>2</v>
      </c>
      <c r="H2893" s="1" t="s">
        <v>14</v>
      </c>
      <c r="I2893" s="1" t="s">
        <v>15</v>
      </c>
      <c r="J2893" s="12">
        <v>45863</v>
      </c>
      <c r="K2893">
        <v>0</v>
      </c>
      <c r="L2893" s="1">
        <f t="shared" si="180"/>
        <v>33.6</v>
      </c>
      <c r="M2893" s="1" t="str">
        <f t="shared" si="181"/>
        <v/>
      </c>
      <c r="N2893" s="2">
        <f t="shared" si="182"/>
        <v>45839</v>
      </c>
      <c r="O2893" t="str">
        <f t="shared" si="183"/>
        <v>pes</v>
      </c>
    </row>
    <row r="2894" spans="1:15" x14ac:dyDescent="0.25">
      <c r="A2894">
        <v>10402</v>
      </c>
      <c r="B2894" s="11">
        <v>4017890123450</v>
      </c>
      <c r="C2894" s="1" t="s">
        <v>65</v>
      </c>
      <c r="D2894" s="1" t="s">
        <v>39</v>
      </c>
      <c r="E2894" s="1" t="s">
        <v>22</v>
      </c>
      <c r="F2894">
        <v>7.6</v>
      </c>
      <c r="G2894">
        <v>1</v>
      </c>
      <c r="H2894" s="1" t="s">
        <v>14</v>
      </c>
      <c r="I2894" s="1" t="s">
        <v>15</v>
      </c>
      <c r="J2894" s="12">
        <v>45863</v>
      </c>
      <c r="K2894">
        <v>0</v>
      </c>
      <c r="L2894" s="1">
        <f t="shared" si="180"/>
        <v>7.6</v>
      </c>
      <c r="M2894" s="1" t="str">
        <f t="shared" si="181"/>
        <v/>
      </c>
      <c r="N2894" s="2">
        <f t="shared" si="182"/>
        <v>45839</v>
      </c>
      <c r="O2894" t="str">
        <f t="shared" si="183"/>
        <v>pes</v>
      </c>
    </row>
    <row r="2895" spans="1:15" x14ac:dyDescent="0.25">
      <c r="A2895">
        <v>10403</v>
      </c>
      <c r="B2895" s="11">
        <v>8599988776654</v>
      </c>
      <c r="C2895" s="1" t="s">
        <v>393</v>
      </c>
      <c r="D2895" s="1" t="s">
        <v>133</v>
      </c>
      <c r="E2895" s="1" t="s">
        <v>17</v>
      </c>
      <c r="F2895">
        <v>16.8</v>
      </c>
      <c r="G2895">
        <v>1</v>
      </c>
      <c r="H2895" s="1" t="s">
        <v>14</v>
      </c>
      <c r="I2895" s="1" t="s">
        <v>15</v>
      </c>
      <c r="J2895" s="12">
        <v>45863</v>
      </c>
      <c r="K2895">
        <v>0</v>
      </c>
      <c r="L2895" s="1">
        <f t="shared" si="180"/>
        <v>16.8</v>
      </c>
      <c r="M2895" s="1" t="str">
        <f t="shared" si="181"/>
        <v/>
      </c>
      <c r="N2895" s="2">
        <f t="shared" si="182"/>
        <v>45839</v>
      </c>
      <c r="O2895" t="str">
        <f t="shared" si="183"/>
        <v>pes</v>
      </c>
    </row>
    <row r="2896" spans="1:15" x14ac:dyDescent="0.25">
      <c r="A2896">
        <v>10404</v>
      </c>
      <c r="B2896" s="11">
        <v>4013456789017</v>
      </c>
      <c r="C2896" s="1" t="s">
        <v>11</v>
      </c>
      <c r="D2896" s="1" t="s">
        <v>12</v>
      </c>
      <c r="E2896" s="1" t="s">
        <v>13</v>
      </c>
      <c r="F2896">
        <v>6</v>
      </c>
      <c r="G2896">
        <v>2</v>
      </c>
      <c r="H2896" s="1" t="s">
        <v>23</v>
      </c>
      <c r="I2896" s="1" t="s">
        <v>474</v>
      </c>
      <c r="J2896" s="12">
        <v>45863</v>
      </c>
      <c r="K2896">
        <v>0</v>
      </c>
      <c r="L2896" s="1">
        <f t="shared" si="180"/>
        <v>12</v>
      </c>
      <c r="M2896" s="1">
        <f t="shared" si="181"/>
        <v>5</v>
      </c>
      <c r="N2896" s="2">
        <f t="shared" si="182"/>
        <v>45839</v>
      </c>
      <c r="O2896" t="str">
        <f t="shared" si="183"/>
        <v>pes</v>
      </c>
    </row>
    <row r="2897" spans="1:15" x14ac:dyDescent="0.25">
      <c r="A2897">
        <v>10405</v>
      </c>
      <c r="B2897" s="11">
        <v>8599988776654</v>
      </c>
      <c r="C2897" s="1" t="s">
        <v>393</v>
      </c>
      <c r="D2897" s="1" t="s">
        <v>133</v>
      </c>
      <c r="E2897" s="1" t="s">
        <v>17</v>
      </c>
      <c r="F2897">
        <v>16.8</v>
      </c>
      <c r="G2897">
        <v>1</v>
      </c>
      <c r="H2897" s="1" t="s">
        <v>14</v>
      </c>
      <c r="I2897" s="1" t="s">
        <v>15</v>
      </c>
      <c r="J2897" s="12">
        <v>45863</v>
      </c>
      <c r="K2897">
        <v>0</v>
      </c>
      <c r="L2897" s="1">
        <f t="shared" si="180"/>
        <v>16.8</v>
      </c>
      <c r="M2897" s="1" t="str">
        <f t="shared" si="181"/>
        <v/>
      </c>
      <c r="N2897" s="2">
        <f t="shared" si="182"/>
        <v>45839</v>
      </c>
      <c r="O2897" t="str">
        <f t="shared" si="183"/>
        <v>pes</v>
      </c>
    </row>
    <row r="2898" spans="1:15" hidden="1" x14ac:dyDescent="0.25">
      <c r="A2898">
        <v>10406</v>
      </c>
      <c r="B2898" s="11">
        <v>4021234567894</v>
      </c>
      <c r="C2898" s="1" t="s">
        <v>79</v>
      </c>
      <c r="D2898" s="1" t="s">
        <v>36</v>
      </c>
      <c r="E2898" s="1" t="s">
        <v>69</v>
      </c>
      <c r="F2898">
        <v>8</v>
      </c>
      <c r="G2898">
        <v>1</v>
      </c>
      <c r="H2898" s="1" t="s">
        <v>14</v>
      </c>
      <c r="I2898" s="1" t="s">
        <v>15</v>
      </c>
      <c r="J2898" s="12">
        <v>45863</v>
      </c>
      <c r="K2898">
        <v>0</v>
      </c>
      <c r="L2898" s="1">
        <f t="shared" si="180"/>
        <v>8</v>
      </c>
      <c r="M2898" s="1" t="str">
        <f t="shared" si="181"/>
        <v/>
      </c>
      <c r="N2898" s="2">
        <f t="shared" si="182"/>
        <v>45839</v>
      </c>
      <c r="O2898" t="str">
        <f t="shared" si="183"/>
        <v>mačka</v>
      </c>
    </row>
    <row r="2899" spans="1:15" x14ac:dyDescent="0.25">
      <c r="A2899">
        <v>10407</v>
      </c>
      <c r="B2899" s="11">
        <v>8599988776654</v>
      </c>
      <c r="C2899" s="1" t="s">
        <v>393</v>
      </c>
      <c r="D2899" s="1" t="s">
        <v>133</v>
      </c>
      <c r="E2899" s="1" t="s">
        <v>17</v>
      </c>
      <c r="F2899">
        <v>16.8</v>
      </c>
      <c r="G2899">
        <v>2</v>
      </c>
      <c r="H2899" s="1" t="s">
        <v>14</v>
      </c>
      <c r="I2899" s="1" t="s">
        <v>15</v>
      </c>
      <c r="J2899" s="12">
        <v>45864</v>
      </c>
      <c r="K2899">
        <v>0</v>
      </c>
      <c r="L2899" s="1">
        <f t="shared" si="180"/>
        <v>33.6</v>
      </c>
      <c r="M2899" s="1" t="str">
        <f t="shared" si="181"/>
        <v/>
      </c>
      <c r="N2899" s="2">
        <f t="shared" si="182"/>
        <v>45839</v>
      </c>
      <c r="O2899" t="str">
        <f t="shared" si="183"/>
        <v>pes</v>
      </c>
    </row>
    <row r="2900" spans="1:15" x14ac:dyDescent="0.25">
      <c r="A2900">
        <v>10408</v>
      </c>
      <c r="B2900" s="11">
        <v>4027788990013</v>
      </c>
      <c r="C2900" s="1" t="s">
        <v>43</v>
      </c>
      <c r="D2900" s="1" t="s">
        <v>21</v>
      </c>
      <c r="E2900" s="1" t="s">
        <v>22</v>
      </c>
      <c r="F2900">
        <v>8</v>
      </c>
      <c r="G2900">
        <v>1</v>
      </c>
      <c r="H2900" s="1" t="s">
        <v>18</v>
      </c>
      <c r="I2900" s="1" t="s">
        <v>475</v>
      </c>
      <c r="J2900" s="12">
        <v>45864</v>
      </c>
      <c r="K2900">
        <v>0</v>
      </c>
      <c r="L2900" s="1">
        <f t="shared" si="180"/>
        <v>8</v>
      </c>
      <c r="M2900" s="1">
        <f t="shared" si="181"/>
        <v>4</v>
      </c>
      <c r="N2900" s="2">
        <f t="shared" si="182"/>
        <v>45839</v>
      </c>
      <c r="O2900" t="str">
        <f t="shared" si="183"/>
        <v>pes</v>
      </c>
    </row>
    <row r="2901" spans="1:15" x14ac:dyDescent="0.25">
      <c r="A2901">
        <v>10409</v>
      </c>
      <c r="B2901" s="11">
        <v>8599988776654</v>
      </c>
      <c r="C2901" s="1" t="s">
        <v>393</v>
      </c>
      <c r="D2901" s="1" t="s">
        <v>133</v>
      </c>
      <c r="E2901" s="1" t="s">
        <v>17</v>
      </c>
      <c r="F2901">
        <v>16.8</v>
      </c>
      <c r="G2901">
        <v>1</v>
      </c>
      <c r="H2901" s="1" t="s">
        <v>14</v>
      </c>
      <c r="I2901" s="1" t="s">
        <v>15</v>
      </c>
      <c r="J2901" s="12">
        <v>45864</v>
      </c>
      <c r="K2901">
        <v>0</v>
      </c>
      <c r="L2901" s="1">
        <f t="shared" si="180"/>
        <v>16.8</v>
      </c>
      <c r="M2901" s="1" t="str">
        <f t="shared" si="181"/>
        <v/>
      </c>
      <c r="N2901" s="2">
        <f t="shared" si="182"/>
        <v>45839</v>
      </c>
      <c r="O2901" t="str">
        <f t="shared" si="183"/>
        <v>pes</v>
      </c>
    </row>
    <row r="2902" spans="1:15" hidden="1" x14ac:dyDescent="0.25">
      <c r="A2902">
        <v>10410</v>
      </c>
      <c r="B2902" s="11">
        <v>4010123456783</v>
      </c>
      <c r="C2902" s="1" t="s">
        <v>35</v>
      </c>
      <c r="D2902" s="1" t="s">
        <v>36</v>
      </c>
      <c r="E2902" s="1" t="s">
        <v>37</v>
      </c>
      <c r="F2902">
        <v>14</v>
      </c>
      <c r="G2902">
        <v>1</v>
      </c>
      <c r="H2902" s="1" t="s">
        <v>14</v>
      </c>
      <c r="I2902" s="1" t="s">
        <v>15</v>
      </c>
      <c r="J2902" s="12">
        <v>45864</v>
      </c>
      <c r="K2902">
        <v>0</v>
      </c>
      <c r="L2902" s="1">
        <f t="shared" si="180"/>
        <v>14</v>
      </c>
      <c r="M2902" s="1" t="str">
        <f t="shared" si="181"/>
        <v/>
      </c>
      <c r="N2902" s="2">
        <f t="shared" si="182"/>
        <v>45839</v>
      </c>
      <c r="O2902" t="str">
        <f t="shared" si="183"/>
        <v>mačka</v>
      </c>
    </row>
    <row r="2903" spans="1:15" x14ac:dyDescent="0.25">
      <c r="A2903">
        <v>10411</v>
      </c>
      <c r="B2903" s="11">
        <v>8599988776654</v>
      </c>
      <c r="C2903" s="1" t="s">
        <v>393</v>
      </c>
      <c r="D2903" s="1" t="s">
        <v>133</v>
      </c>
      <c r="E2903" s="1" t="s">
        <v>17</v>
      </c>
      <c r="F2903">
        <v>16.8</v>
      </c>
      <c r="G2903">
        <v>1</v>
      </c>
      <c r="H2903" s="1" t="s">
        <v>14</v>
      </c>
      <c r="I2903" s="1" t="s">
        <v>15</v>
      </c>
      <c r="J2903" s="12">
        <v>45864</v>
      </c>
      <c r="K2903">
        <v>0</v>
      </c>
      <c r="L2903" s="1">
        <f t="shared" si="180"/>
        <v>16.8</v>
      </c>
      <c r="M2903" s="1" t="str">
        <f t="shared" si="181"/>
        <v/>
      </c>
      <c r="N2903" s="2">
        <f t="shared" si="182"/>
        <v>45839</v>
      </c>
      <c r="O2903" t="str">
        <f t="shared" si="183"/>
        <v>pes</v>
      </c>
    </row>
    <row r="2904" spans="1:15" hidden="1" x14ac:dyDescent="0.25">
      <c r="A2904">
        <v>10412</v>
      </c>
      <c r="B2904" s="11">
        <v>4056789012345</v>
      </c>
      <c r="C2904" s="1" t="s">
        <v>47</v>
      </c>
      <c r="D2904" s="1" t="s">
        <v>29</v>
      </c>
      <c r="E2904" s="1" t="s">
        <v>37</v>
      </c>
      <c r="F2904">
        <v>2.4</v>
      </c>
      <c r="G2904">
        <v>2</v>
      </c>
      <c r="H2904" s="1" t="s">
        <v>14</v>
      </c>
      <c r="I2904" s="1" t="s">
        <v>15</v>
      </c>
      <c r="J2904" s="12">
        <v>45864</v>
      </c>
      <c r="K2904">
        <v>0</v>
      </c>
      <c r="L2904" s="1">
        <f t="shared" si="180"/>
        <v>4.8</v>
      </c>
      <c r="M2904" s="1" t="str">
        <f t="shared" si="181"/>
        <v/>
      </c>
      <c r="N2904" s="2">
        <f t="shared" si="182"/>
        <v>45839</v>
      </c>
      <c r="O2904" t="str">
        <f t="shared" si="183"/>
        <v>mačka</v>
      </c>
    </row>
    <row r="2905" spans="1:15" x14ac:dyDescent="0.25">
      <c r="A2905">
        <v>10413</v>
      </c>
      <c r="B2905" s="11">
        <v>8599988776654</v>
      </c>
      <c r="C2905" s="1" t="s">
        <v>393</v>
      </c>
      <c r="D2905" s="1" t="s">
        <v>133</v>
      </c>
      <c r="E2905" s="1" t="s">
        <v>17</v>
      </c>
      <c r="F2905">
        <v>16.8</v>
      </c>
      <c r="G2905">
        <v>1</v>
      </c>
      <c r="H2905" s="1" t="s">
        <v>23</v>
      </c>
      <c r="I2905" s="1" t="s">
        <v>476</v>
      </c>
      <c r="J2905" s="12">
        <v>45864</v>
      </c>
      <c r="K2905">
        <v>0</v>
      </c>
      <c r="L2905" s="1">
        <f t="shared" si="180"/>
        <v>16.8</v>
      </c>
      <c r="M2905" s="1">
        <f t="shared" si="181"/>
        <v>5</v>
      </c>
      <c r="N2905" s="2">
        <f t="shared" si="182"/>
        <v>45839</v>
      </c>
      <c r="O2905" t="str">
        <f t="shared" si="183"/>
        <v>pes</v>
      </c>
    </row>
    <row r="2906" spans="1:15" x14ac:dyDescent="0.25">
      <c r="A2906">
        <v>10414</v>
      </c>
      <c r="B2906" s="11">
        <v>4028899001126</v>
      </c>
      <c r="C2906" s="1" t="s">
        <v>16</v>
      </c>
      <c r="D2906" s="1" t="s">
        <v>12</v>
      </c>
      <c r="E2906" s="1" t="s">
        <v>17</v>
      </c>
      <c r="F2906">
        <v>2.8</v>
      </c>
      <c r="G2906">
        <v>3</v>
      </c>
      <c r="H2906" s="1" t="s">
        <v>14</v>
      </c>
      <c r="I2906" s="1" t="s">
        <v>15</v>
      </c>
      <c r="J2906" s="12">
        <v>45864</v>
      </c>
      <c r="K2906">
        <v>0</v>
      </c>
      <c r="L2906" s="1">
        <f t="shared" si="180"/>
        <v>8.3999999999999986</v>
      </c>
      <c r="M2906" s="1" t="str">
        <f t="shared" si="181"/>
        <v/>
      </c>
      <c r="N2906" s="2">
        <f t="shared" si="182"/>
        <v>45839</v>
      </c>
      <c r="O2906" t="str">
        <f t="shared" si="183"/>
        <v>pes</v>
      </c>
    </row>
    <row r="2907" spans="1:15" x14ac:dyDescent="0.25">
      <c r="A2907">
        <v>10415</v>
      </c>
      <c r="B2907" s="11">
        <v>8599988776654</v>
      </c>
      <c r="C2907" s="1" t="s">
        <v>393</v>
      </c>
      <c r="D2907" s="1" t="s">
        <v>133</v>
      </c>
      <c r="E2907" s="1" t="s">
        <v>17</v>
      </c>
      <c r="F2907">
        <v>16.8</v>
      </c>
      <c r="G2907">
        <v>1</v>
      </c>
      <c r="H2907" s="1" t="s">
        <v>14</v>
      </c>
      <c r="I2907" s="1" t="s">
        <v>15</v>
      </c>
      <c r="J2907" s="12">
        <v>45864</v>
      </c>
      <c r="K2907">
        <v>0</v>
      </c>
      <c r="L2907" s="1">
        <f t="shared" si="180"/>
        <v>16.8</v>
      </c>
      <c r="M2907" s="1" t="str">
        <f t="shared" si="181"/>
        <v/>
      </c>
      <c r="N2907" s="2">
        <f t="shared" si="182"/>
        <v>45839</v>
      </c>
      <c r="O2907" t="str">
        <f t="shared" si="183"/>
        <v>pes</v>
      </c>
    </row>
    <row r="2908" spans="1:15" x14ac:dyDescent="0.25">
      <c r="A2908">
        <v>10416</v>
      </c>
      <c r="B2908" s="11">
        <v>4013456789017</v>
      </c>
      <c r="C2908" s="1" t="s">
        <v>11</v>
      </c>
      <c r="D2908" s="1" t="s">
        <v>12</v>
      </c>
      <c r="E2908" s="1" t="s">
        <v>13</v>
      </c>
      <c r="F2908">
        <v>6</v>
      </c>
      <c r="G2908">
        <v>1</v>
      </c>
      <c r="H2908" s="1" t="s">
        <v>14</v>
      </c>
      <c r="I2908" s="1" t="s">
        <v>15</v>
      </c>
      <c r="J2908" s="12">
        <v>45865</v>
      </c>
      <c r="K2908">
        <v>0</v>
      </c>
      <c r="L2908" s="1">
        <f t="shared" si="180"/>
        <v>6</v>
      </c>
      <c r="M2908" s="1" t="str">
        <f t="shared" si="181"/>
        <v/>
      </c>
      <c r="N2908" s="2">
        <f t="shared" si="182"/>
        <v>45839</v>
      </c>
      <c r="O2908" t="str">
        <f t="shared" si="183"/>
        <v>pes</v>
      </c>
    </row>
    <row r="2909" spans="1:15" x14ac:dyDescent="0.25">
      <c r="A2909">
        <v>10417</v>
      </c>
      <c r="B2909" s="11">
        <v>8599988776654</v>
      </c>
      <c r="C2909" s="1" t="s">
        <v>393</v>
      </c>
      <c r="D2909" s="1" t="s">
        <v>133</v>
      </c>
      <c r="E2909" s="1" t="s">
        <v>17</v>
      </c>
      <c r="F2909">
        <v>16.8</v>
      </c>
      <c r="G2909">
        <v>1</v>
      </c>
      <c r="H2909" s="1" t="s">
        <v>14</v>
      </c>
      <c r="I2909" s="1" t="s">
        <v>15</v>
      </c>
      <c r="J2909" s="12">
        <v>45865</v>
      </c>
      <c r="K2909">
        <v>0</v>
      </c>
      <c r="L2909" s="1">
        <f t="shared" si="180"/>
        <v>16.8</v>
      </c>
      <c r="M2909" s="1" t="str">
        <f t="shared" si="181"/>
        <v/>
      </c>
      <c r="N2909" s="2">
        <f t="shared" si="182"/>
        <v>45839</v>
      </c>
      <c r="O2909" t="str">
        <f t="shared" si="183"/>
        <v>pes</v>
      </c>
    </row>
    <row r="2910" spans="1:15" x14ac:dyDescent="0.25">
      <c r="A2910">
        <v>10418</v>
      </c>
      <c r="B2910" s="11">
        <v>4063456789014</v>
      </c>
      <c r="C2910" s="1" t="s">
        <v>60</v>
      </c>
      <c r="D2910" s="1" t="s">
        <v>12</v>
      </c>
      <c r="E2910" s="1" t="s">
        <v>61</v>
      </c>
      <c r="F2910">
        <v>36</v>
      </c>
      <c r="G2910">
        <v>1</v>
      </c>
      <c r="H2910" s="1" t="s">
        <v>23</v>
      </c>
      <c r="I2910" s="1" t="s">
        <v>477</v>
      </c>
      <c r="J2910" s="12">
        <v>45865</v>
      </c>
      <c r="K2910">
        <v>0</v>
      </c>
      <c r="L2910" s="1">
        <f t="shared" si="180"/>
        <v>36</v>
      </c>
      <c r="M2910" s="1">
        <f t="shared" si="181"/>
        <v>5</v>
      </c>
      <c r="N2910" s="2">
        <f t="shared" si="182"/>
        <v>45839</v>
      </c>
      <c r="O2910" t="str">
        <f t="shared" si="183"/>
        <v>pes</v>
      </c>
    </row>
    <row r="2911" spans="1:15" x14ac:dyDescent="0.25">
      <c r="A2911">
        <v>10419</v>
      </c>
      <c r="B2911" s="11">
        <v>8599988776654</v>
      </c>
      <c r="C2911" s="1" t="s">
        <v>393</v>
      </c>
      <c r="D2911" s="1" t="s">
        <v>133</v>
      </c>
      <c r="E2911" s="1" t="s">
        <v>17</v>
      </c>
      <c r="F2911">
        <v>16.8</v>
      </c>
      <c r="G2911">
        <v>2</v>
      </c>
      <c r="H2911" s="1" t="s">
        <v>14</v>
      </c>
      <c r="I2911" s="1" t="s">
        <v>15</v>
      </c>
      <c r="J2911" s="12">
        <v>45865</v>
      </c>
      <c r="K2911">
        <v>0</v>
      </c>
      <c r="L2911" s="1">
        <f t="shared" si="180"/>
        <v>33.6</v>
      </c>
      <c r="M2911" s="1" t="str">
        <f t="shared" si="181"/>
        <v/>
      </c>
      <c r="N2911" s="2">
        <f t="shared" si="182"/>
        <v>45839</v>
      </c>
      <c r="O2911" t="str">
        <f t="shared" si="183"/>
        <v>pes</v>
      </c>
    </row>
    <row r="2912" spans="1:15" hidden="1" x14ac:dyDescent="0.25">
      <c r="A2912">
        <v>10420</v>
      </c>
      <c r="B2912" s="11">
        <v>4010123456783</v>
      </c>
      <c r="C2912" s="1" t="s">
        <v>35</v>
      </c>
      <c r="D2912" s="1" t="s">
        <v>36</v>
      </c>
      <c r="E2912" s="1" t="s">
        <v>37</v>
      </c>
      <c r="F2912">
        <v>14</v>
      </c>
      <c r="G2912">
        <v>1</v>
      </c>
      <c r="H2912" s="1" t="s">
        <v>14</v>
      </c>
      <c r="I2912" s="1" t="s">
        <v>15</v>
      </c>
      <c r="J2912" s="12">
        <v>45865</v>
      </c>
      <c r="K2912">
        <v>0</v>
      </c>
      <c r="L2912" s="1">
        <f t="shared" si="180"/>
        <v>14</v>
      </c>
      <c r="M2912" s="1" t="str">
        <f t="shared" si="181"/>
        <v/>
      </c>
      <c r="N2912" s="2">
        <f t="shared" si="182"/>
        <v>45839</v>
      </c>
      <c r="O2912" t="str">
        <f t="shared" si="183"/>
        <v>mačka</v>
      </c>
    </row>
    <row r="2913" spans="1:15" x14ac:dyDescent="0.25">
      <c r="A2913">
        <v>10421</v>
      </c>
      <c r="B2913" s="11">
        <v>8599988776654</v>
      </c>
      <c r="C2913" s="1" t="s">
        <v>393</v>
      </c>
      <c r="D2913" s="1" t="s">
        <v>133</v>
      </c>
      <c r="E2913" s="1" t="s">
        <v>17</v>
      </c>
      <c r="F2913">
        <v>16.8</v>
      </c>
      <c r="G2913">
        <v>1</v>
      </c>
      <c r="H2913" s="1" t="s">
        <v>14</v>
      </c>
      <c r="I2913" s="1" t="s">
        <v>15</v>
      </c>
      <c r="J2913" s="12">
        <v>45865</v>
      </c>
      <c r="K2913">
        <v>0</v>
      </c>
      <c r="L2913" s="1">
        <f t="shared" si="180"/>
        <v>16.8</v>
      </c>
      <c r="M2913" s="1" t="str">
        <f t="shared" si="181"/>
        <v/>
      </c>
      <c r="N2913" s="2">
        <f t="shared" si="182"/>
        <v>45839</v>
      </c>
      <c r="O2913" t="str">
        <f t="shared" si="183"/>
        <v>pes</v>
      </c>
    </row>
    <row r="2914" spans="1:15" hidden="1" x14ac:dyDescent="0.25">
      <c r="A2914">
        <v>10422</v>
      </c>
      <c r="B2914" s="11">
        <v>4021234567894</v>
      </c>
      <c r="C2914" s="1" t="s">
        <v>79</v>
      </c>
      <c r="D2914" s="1" t="s">
        <v>36</v>
      </c>
      <c r="E2914" s="1" t="s">
        <v>69</v>
      </c>
      <c r="F2914">
        <v>8</v>
      </c>
      <c r="G2914">
        <v>1</v>
      </c>
      <c r="H2914" s="1" t="s">
        <v>18</v>
      </c>
      <c r="I2914" s="1" t="s">
        <v>478</v>
      </c>
      <c r="J2914" s="12">
        <v>45865</v>
      </c>
      <c r="K2914">
        <v>0</v>
      </c>
      <c r="L2914" s="1">
        <f t="shared" si="180"/>
        <v>8</v>
      </c>
      <c r="M2914" s="1">
        <f t="shared" si="181"/>
        <v>4</v>
      </c>
      <c r="N2914" s="2">
        <f t="shared" si="182"/>
        <v>45839</v>
      </c>
      <c r="O2914" t="str">
        <f t="shared" si="183"/>
        <v>mačka</v>
      </c>
    </row>
    <row r="2915" spans="1:15" x14ac:dyDescent="0.25">
      <c r="A2915">
        <v>10423</v>
      </c>
      <c r="B2915" s="11">
        <v>8599988776654</v>
      </c>
      <c r="C2915" s="1" t="s">
        <v>393</v>
      </c>
      <c r="D2915" s="1" t="s">
        <v>133</v>
      </c>
      <c r="E2915" s="1" t="s">
        <v>17</v>
      </c>
      <c r="F2915">
        <v>16.8</v>
      </c>
      <c r="G2915">
        <v>1</v>
      </c>
      <c r="H2915" s="1" t="s">
        <v>14</v>
      </c>
      <c r="I2915" s="1" t="s">
        <v>15</v>
      </c>
      <c r="J2915" s="12">
        <v>45865</v>
      </c>
      <c r="K2915">
        <v>0</v>
      </c>
      <c r="L2915" s="1">
        <f t="shared" si="180"/>
        <v>16.8</v>
      </c>
      <c r="M2915" s="1" t="str">
        <f t="shared" si="181"/>
        <v/>
      </c>
      <c r="N2915" s="2">
        <f t="shared" si="182"/>
        <v>45839</v>
      </c>
      <c r="O2915" t="str">
        <f t="shared" si="183"/>
        <v>pes</v>
      </c>
    </row>
    <row r="2916" spans="1:15" x14ac:dyDescent="0.25">
      <c r="A2916">
        <v>10424</v>
      </c>
      <c r="B2916" s="11">
        <v>4017890123450</v>
      </c>
      <c r="C2916" s="1" t="s">
        <v>65</v>
      </c>
      <c r="D2916" s="1" t="s">
        <v>39</v>
      </c>
      <c r="E2916" s="1" t="s">
        <v>22</v>
      </c>
      <c r="F2916">
        <v>7.6</v>
      </c>
      <c r="G2916">
        <v>1</v>
      </c>
      <c r="H2916" s="1" t="s">
        <v>14</v>
      </c>
      <c r="I2916" s="1" t="s">
        <v>15</v>
      </c>
      <c r="J2916" s="12">
        <v>45865</v>
      </c>
      <c r="K2916">
        <v>0</v>
      </c>
      <c r="L2916" s="1">
        <f t="shared" si="180"/>
        <v>7.6</v>
      </c>
      <c r="M2916" s="1" t="str">
        <f t="shared" si="181"/>
        <v/>
      </c>
      <c r="N2916" s="2">
        <f t="shared" si="182"/>
        <v>45839</v>
      </c>
      <c r="O2916" t="str">
        <f t="shared" si="183"/>
        <v>pes</v>
      </c>
    </row>
    <row r="2917" spans="1:15" x14ac:dyDescent="0.25">
      <c r="A2917">
        <v>10425</v>
      </c>
      <c r="B2917" s="11">
        <v>8599988776654</v>
      </c>
      <c r="C2917" s="1" t="s">
        <v>393</v>
      </c>
      <c r="D2917" s="1" t="s">
        <v>133</v>
      </c>
      <c r="E2917" s="1" t="s">
        <v>17</v>
      </c>
      <c r="F2917">
        <v>16.8</v>
      </c>
      <c r="G2917">
        <v>2</v>
      </c>
      <c r="H2917" s="1" t="s">
        <v>14</v>
      </c>
      <c r="I2917" s="1" t="s">
        <v>15</v>
      </c>
      <c r="J2917" s="12">
        <v>45865</v>
      </c>
      <c r="K2917">
        <v>0</v>
      </c>
      <c r="L2917" s="1">
        <f t="shared" si="180"/>
        <v>33.6</v>
      </c>
      <c r="M2917" s="1" t="str">
        <f t="shared" si="181"/>
        <v/>
      </c>
      <c r="N2917" s="2">
        <f t="shared" si="182"/>
        <v>45839</v>
      </c>
      <c r="O2917" t="str">
        <f t="shared" si="183"/>
        <v>pes</v>
      </c>
    </row>
    <row r="2918" spans="1:15" x14ac:dyDescent="0.25">
      <c r="A2918">
        <v>10426</v>
      </c>
      <c r="B2918" s="11">
        <v>4063456789014</v>
      </c>
      <c r="C2918" s="1" t="s">
        <v>60</v>
      </c>
      <c r="D2918" s="1" t="s">
        <v>12</v>
      </c>
      <c r="E2918" s="1" t="s">
        <v>61</v>
      </c>
      <c r="F2918">
        <v>36</v>
      </c>
      <c r="G2918">
        <v>1</v>
      </c>
      <c r="H2918" s="1" t="s">
        <v>14</v>
      </c>
      <c r="I2918" s="1" t="s">
        <v>15</v>
      </c>
      <c r="J2918" s="12">
        <v>45865</v>
      </c>
      <c r="K2918">
        <v>0</v>
      </c>
      <c r="L2918" s="1">
        <f t="shared" si="180"/>
        <v>36</v>
      </c>
      <c r="M2918" s="1" t="str">
        <f t="shared" si="181"/>
        <v/>
      </c>
      <c r="N2918" s="2">
        <f t="shared" si="182"/>
        <v>45839</v>
      </c>
      <c r="O2918" t="str">
        <f t="shared" si="183"/>
        <v>pes</v>
      </c>
    </row>
    <row r="2919" spans="1:15" x14ac:dyDescent="0.25">
      <c r="A2919">
        <v>10427</v>
      </c>
      <c r="B2919" s="11">
        <v>8599988776654</v>
      </c>
      <c r="C2919" s="1" t="s">
        <v>393</v>
      </c>
      <c r="D2919" s="1" t="s">
        <v>133</v>
      </c>
      <c r="E2919" s="1" t="s">
        <v>17</v>
      </c>
      <c r="F2919">
        <v>16.8</v>
      </c>
      <c r="G2919">
        <v>1</v>
      </c>
      <c r="H2919" s="1" t="s">
        <v>14</v>
      </c>
      <c r="I2919" s="1" t="s">
        <v>15</v>
      </c>
      <c r="J2919" s="12">
        <v>45865</v>
      </c>
      <c r="K2919">
        <v>0</v>
      </c>
      <c r="L2919" s="1">
        <f t="shared" si="180"/>
        <v>16.8</v>
      </c>
      <c r="M2919" s="1" t="str">
        <f t="shared" si="181"/>
        <v/>
      </c>
      <c r="N2919" s="2">
        <f t="shared" si="182"/>
        <v>45839</v>
      </c>
      <c r="O2919" t="str">
        <f t="shared" si="183"/>
        <v>pes</v>
      </c>
    </row>
    <row r="2920" spans="1:15" x14ac:dyDescent="0.25">
      <c r="A2920">
        <v>10428</v>
      </c>
      <c r="B2920" s="11">
        <v>4028899001126</v>
      </c>
      <c r="C2920" s="1" t="s">
        <v>16</v>
      </c>
      <c r="D2920" s="1" t="s">
        <v>12</v>
      </c>
      <c r="E2920" s="1" t="s">
        <v>17</v>
      </c>
      <c r="F2920">
        <v>2.8</v>
      </c>
      <c r="G2920">
        <v>3</v>
      </c>
      <c r="H2920" s="1" t="s">
        <v>14</v>
      </c>
      <c r="I2920" s="1" t="s">
        <v>15</v>
      </c>
      <c r="J2920" s="12">
        <v>45865</v>
      </c>
      <c r="K2920">
        <v>0</v>
      </c>
      <c r="L2920" s="1">
        <f t="shared" si="180"/>
        <v>8.3999999999999986</v>
      </c>
      <c r="M2920" s="1" t="str">
        <f t="shared" si="181"/>
        <v/>
      </c>
      <c r="N2920" s="2">
        <f t="shared" si="182"/>
        <v>45839</v>
      </c>
      <c r="O2920" t="str">
        <f t="shared" si="183"/>
        <v>pes</v>
      </c>
    </row>
    <row r="2921" spans="1:15" x14ac:dyDescent="0.25">
      <c r="A2921">
        <v>10429</v>
      </c>
      <c r="B2921" s="11">
        <v>8599988776654</v>
      </c>
      <c r="C2921" s="1" t="s">
        <v>393</v>
      </c>
      <c r="D2921" s="1" t="s">
        <v>133</v>
      </c>
      <c r="E2921" s="1" t="s">
        <v>17</v>
      </c>
      <c r="F2921">
        <v>16.8</v>
      </c>
      <c r="G2921">
        <v>1</v>
      </c>
      <c r="H2921" s="1" t="s">
        <v>14</v>
      </c>
      <c r="I2921" s="1" t="s">
        <v>15</v>
      </c>
      <c r="J2921" s="12">
        <v>45865</v>
      </c>
      <c r="K2921">
        <v>0</v>
      </c>
      <c r="L2921" s="1">
        <f t="shared" si="180"/>
        <v>16.8</v>
      </c>
      <c r="M2921" s="1" t="str">
        <f t="shared" si="181"/>
        <v/>
      </c>
      <c r="N2921" s="2">
        <f t="shared" si="182"/>
        <v>45839</v>
      </c>
      <c r="O2921" t="str">
        <f t="shared" si="183"/>
        <v>pes</v>
      </c>
    </row>
    <row r="2922" spans="1:15" x14ac:dyDescent="0.25">
      <c r="A2922">
        <v>10430</v>
      </c>
      <c r="B2922" s="11">
        <v>4013456789017</v>
      </c>
      <c r="C2922" s="1" t="s">
        <v>11</v>
      </c>
      <c r="D2922" s="1" t="s">
        <v>12</v>
      </c>
      <c r="E2922" s="1" t="s">
        <v>13</v>
      </c>
      <c r="F2922">
        <v>6</v>
      </c>
      <c r="G2922">
        <v>1</v>
      </c>
      <c r="H2922" s="1" t="s">
        <v>18</v>
      </c>
      <c r="I2922" s="1" t="s">
        <v>479</v>
      </c>
      <c r="J2922" s="12">
        <v>45865</v>
      </c>
      <c r="K2922">
        <v>0</v>
      </c>
      <c r="L2922" s="1">
        <f t="shared" si="180"/>
        <v>6</v>
      </c>
      <c r="M2922" s="1">
        <f t="shared" si="181"/>
        <v>4</v>
      </c>
      <c r="N2922" s="2">
        <f t="shared" si="182"/>
        <v>45839</v>
      </c>
      <c r="O2922" t="str">
        <f t="shared" si="183"/>
        <v>pes</v>
      </c>
    </row>
    <row r="2923" spans="1:15" x14ac:dyDescent="0.25">
      <c r="A2923">
        <v>10431</v>
      </c>
      <c r="B2923" s="11">
        <v>8599988776654</v>
      </c>
      <c r="C2923" s="1" t="s">
        <v>393</v>
      </c>
      <c r="D2923" s="1" t="s">
        <v>133</v>
      </c>
      <c r="E2923" s="1" t="s">
        <v>17</v>
      </c>
      <c r="F2923">
        <v>16.8</v>
      </c>
      <c r="G2923">
        <v>2</v>
      </c>
      <c r="H2923" s="1" t="s">
        <v>14</v>
      </c>
      <c r="I2923" s="1" t="s">
        <v>15</v>
      </c>
      <c r="J2923" s="12">
        <v>45865</v>
      </c>
      <c r="K2923">
        <v>0</v>
      </c>
      <c r="L2923" s="1">
        <f t="shared" si="180"/>
        <v>33.6</v>
      </c>
      <c r="M2923" s="1" t="str">
        <f t="shared" si="181"/>
        <v/>
      </c>
      <c r="N2923" s="2">
        <f t="shared" si="182"/>
        <v>45839</v>
      </c>
      <c r="O2923" t="str">
        <f t="shared" si="183"/>
        <v>pes</v>
      </c>
    </row>
    <row r="2924" spans="1:15" x14ac:dyDescent="0.25">
      <c r="A2924">
        <v>10432</v>
      </c>
      <c r="B2924" s="11">
        <v>8599988776654</v>
      </c>
      <c r="C2924" s="1" t="s">
        <v>393</v>
      </c>
      <c r="D2924" s="1" t="s">
        <v>133</v>
      </c>
      <c r="E2924" s="1" t="s">
        <v>17</v>
      </c>
      <c r="F2924">
        <v>16.8</v>
      </c>
      <c r="G2924">
        <v>1</v>
      </c>
      <c r="H2924" s="1" t="s">
        <v>23</v>
      </c>
      <c r="I2924" s="1" t="s">
        <v>480</v>
      </c>
      <c r="J2924" s="12">
        <v>45866</v>
      </c>
      <c r="K2924">
        <v>0</v>
      </c>
      <c r="L2924" s="1">
        <f t="shared" si="180"/>
        <v>16.8</v>
      </c>
      <c r="M2924" s="1">
        <f t="shared" si="181"/>
        <v>5</v>
      </c>
      <c r="N2924" s="2">
        <f t="shared" si="182"/>
        <v>45839</v>
      </c>
      <c r="O2924" t="str">
        <f t="shared" si="183"/>
        <v>pes</v>
      </c>
    </row>
    <row r="2925" spans="1:15" x14ac:dyDescent="0.25">
      <c r="A2925">
        <v>10433</v>
      </c>
      <c r="B2925" s="11">
        <v>4028899001126</v>
      </c>
      <c r="C2925" s="1" t="s">
        <v>16</v>
      </c>
      <c r="D2925" s="1" t="s">
        <v>12</v>
      </c>
      <c r="E2925" s="1" t="s">
        <v>17</v>
      </c>
      <c r="F2925">
        <v>2.8</v>
      </c>
      <c r="G2925">
        <v>3</v>
      </c>
      <c r="H2925" s="1" t="s">
        <v>14</v>
      </c>
      <c r="I2925" s="1" t="s">
        <v>15</v>
      </c>
      <c r="J2925" s="12">
        <v>45866</v>
      </c>
      <c r="K2925">
        <v>0</v>
      </c>
      <c r="L2925" s="1">
        <f t="shared" si="180"/>
        <v>8.3999999999999986</v>
      </c>
      <c r="M2925" s="1" t="str">
        <f t="shared" si="181"/>
        <v/>
      </c>
      <c r="N2925" s="2">
        <f t="shared" si="182"/>
        <v>45839</v>
      </c>
      <c r="O2925" t="str">
        <f t="shared" si="183"/>
        <v>pes</v>
      </c>
    </row>
    <row r="2926" spans="1:15" x14ac:dyDescent="0.25">
      <c r="A2926">
        <v>10434</v>
      </c>
      <c r="B2926" s="11">
        <v>8599988776654</v>
      </c>
      <c r="C2926" s="1" t="s">
        <v>393</v>
      </c>
      <c r="D2926" s="1" t="s">
        <v>133</v>
      </c>
      <c r="E2926" s="1" t="s">
        <v>17</v>
      </c>
      <c r="F2926">
        <v>16.8</v>
      </c>
      <c r="G2926">
        <v>2</v>
      </c>
      <c r="H2926" s="1" t="s">
        <v>14</v>
      </c>
      <c r="I2926" s="1" t="s">
        <v>15</v>
      </c>
      <c r="J2926" s="12">
        <v>45866</v>
      </c>
      <c r="K2926">
        <v>0</v>
      </c>
      <c r="L2926" s="1">
        <f t="shared" si="180"/>
        <v>33.6</v>
      </c>
      <c r="M2926" s="1" t="str">
        <f t="shared" si="181"/>
        <v/>
      </c>
      <c r="N2926" s="2">
        <f t="shared" si="182"/>
        <v>45839</v>
      </c>
      <c r="O2926" t="str">
        <f t="shared" si="183"/>
        <v>pes</v>
      </c>
    </row>
    <row r="2927" spans="1:15" x14ac:dyDescent="0.25">
      <c r="A2927">
        <v>10435</v>
      </c>
      <c r="B2927" s="11">
        <v>4013456789017</v>
      </c>
      <c r="C2927" s="1" t="s">
        <v>11</v>
      </c>
      <c r="D2927" s="1" t="s">
        <v>12</v>
      </c>
      <c r="E2927" s="1" t="s">
        <v>13</v>
      </c>
      <c r="F2927">
        <v>6</v>
      </c>
      <c r="G2927">
        <v>1</v>
      </c>
      <c r="H2927" s="1" t="s">
        <v>18</v>
      </c>
      <c r="I2927" s="1" t="s">
        <v>481</v>
      </c>
      <c r="J2927" s="12">
        <v>45866</v>
      </c>
      <c r="K2927">
        <v>0</v>
      </c>
      <c r="L2927" s="1">
        <f t="shared" si="180"/>
        <v>6</v>
      </c>
      <c r="M2927" s="1">
        <f t="shared" si="181"/>
        <v>4</v>
      </c>
      <c r="N2927" s="2">
        <f t="shared" si="182"/>
        <v>45839</v>
      </c>
      <c r="O2927" t="str">
        <f t="shared" si="183"/>
        <v>pes</v>
      </c>
    </row>
    <row r="2928" spans="1:15" x14ac:dyDescent="0.25">
      <c r="A2928">
        <v>10436</v>
      </c>
      <c r="B2928" s="11">
        <v>8599988776654</v>
      </c>
      <c r="C2928" s="1" t="s">
        <v>393</v>
      </c>
      <c r="D2928" s="1" t="s">
        <v>133</v>
      </c>
      <c r="E2928" s="1" t="s">
        <v>17</v>
      </c>
      <c r="F2928">
        <v>16.8</v>
      </c>
      <c r="G2928">
        <v>1</v>
      </c>
      <c r="H2928" s="1" t="s">
        <v>14</v>
      </c>
      <c r="I2928" s="1" t="s">
        <v>15</v>
      </c>
      <c r="J2928" s="12">
        <v>45866</v>
      </c>
      <c r="K2928">
        <v>0</v>
      </c>
      <c r="L2928" s="1">
        <f t="shared" si="180"/>
        <v>16.8</v>
      </c>
      <c r="M2928" s="1" t="str">
        <f t="shared" si="181"/>
        <v/>
      </c>
      <c r="N2928" s="2">
        <f t="shared" si="182"/>
        <v>45839</v>
      </c>
      <c r="O2928" t="str">
        <f t="shared" si="183"/>
        <v>pes</v>
      </c>
    </row>
    <row r="2929" spans="1:15" hidden="1" x14ac:dyDescent="0.25">
      <c r="A2929">
        <v>10437</v>
      </c>
      <c r="B2929" s="11">
        <v>4010123456783</v>
      </c>
      <c r="C2929" s="1" t="s">
        <v>35</v>
      </c>
      <c r="D2929" s="1" t="s">
        <v>36</v>
      </c>
      <c r="E2929" s="1" t="s">
        <v>37</v>
      </c>
      <c r="F2929">
        <v>14</v>
      </c>
      <c r="G2929">
        <v>1</v>
      </c>
      <c r="H2929" s="1" t="s">
        <v>14</v>
      </c>
      <c r="I2929" s="1" t="s">
        <v>15</v>
      </c>
      <c r="J2929" s="12">
        <v>45866</v>
      </c>
      <c r="K2929">
        <v>0</v>
      </c>
      <c r="L2929" s="1">
        <f t="shared" si="180"/>
        <v>14</v>
      </c>
      <c r="M2929" s="1" t="str">
        <f t="shared" si="181"/>
        <v/>
      </c>
      <c r="N2929" s="2">
        <f t="shared" si="182"/>
        <v>45839</v>
      </c>
      <c r="O2929" t="str">
        <f t="shared" si="183"/>
        <v>mačka</v>
      </c>
    </row>
    <row r="2930" spans="1:15" x14ac:dyDescent="0.25">
      <c r="A2930">
        <v>10438</v>
      </c>
      <c r="B2930" s="11">
        <v>8599988776654</v>
      </c>
      <c r="C2930" s="1" t="s">
        <v>393</v>
      </c>
      <c r="D2930" s="1" t="s">
        <v>133</v>
      </c>
      <c r="E2930" s="1" t="s">
        <v>17</v>
      </c>
      <c r="F2930">
        <v>16.8</v>
      </c>
      <c r="G2930">
        <v>1</v>
      </c>
      <c r="H2930" s="1" t="s">
        <v>18</v>
      </c>
      <c r="I2930" s="1" t="s">
        <v>482</v>
      </c>
      <c r="J2930" s="12">
        <v>45866</v>
      </c>
      <c r="K2930">
        <v>0</v>
      </c>
      <c r="L2930" s="1">
        <f t="shared" si="180"/>
        <v>16.8</v>
      </c>
      <c r="M2930" s="1">
        <f t="shared" si="181"/>
        <v>4</v>
      </c>
      <c r="N2930" s="2">
        <f t="shared" si="182"/>
        <v>45839</v>
      </c>
      <c r="O2930" t="str">
        <f t="shared" si="183"/>
        <v>pes</v>
      </c>
    </row>
    <row r="2931" spans="1:15" x14ac:dyDescent="0.25">
      <c r="A2931">
        <v>10439</v>
      </c>
      <c r="B2931" s="11">
        <v>4063456789014</v>
      </c>
      <c r="C2931" s="1" t="s">
        <v>60</v>
      </c>
      <c r="D2931" s="1" t="s">
        <v>12</v>
      </c>
      <c r="E2931" s="1" t="s">
        <v>61</v>
      </c>
      <c r="F2931">
        <v>36</v>
      </c>
      <c r="G2931">
        <v>1</v>
      </c>
      <c r="H2931" s="1" t="s">
        <v>14</v>
      </c>
      <c r="I2931" s="1" t="s">
        <v>15</v>
      </c>
      <c r="J2931" s="12">
        <v>45866</v>
      </c>
      <c r="K2931">
        <v>0</v>
      </c>
      <c r="L2931" s="1">
        <f t="shared" si="180"/>
        <v>36</v>
      </c>
      <c r="M2931" s="1" t="str">
        <f t="shared" si="181"/>
        <v/>
      </c>
      <c r="N2931" s="2">
        <f t="shared" si="182"/>
        <v>45839</v>
      </c>
      <c r="O2931" t="str">
        <f t="shared" si="183"/>
        <v>pes</v>
      </c>
    </row>
    <row r="2932" spans="1:15" x14ac:dyDescent="0.25">
      <c r="A2932">
        <v>10440</v>
      </c>
      <c r="B2932" s="11">
        <v>8599988776654</v>
      </c>
      <c r="C2932" s="1" t="s">
        <v>393</v>
      </c>
      <c r="D2932" s="1" t="s">
        <v>133</v>
      </c>
      <c r="E2932" s="1" t="s">
        <v>17</v>
      </c>
      <c r="F2932">
        <v>16.8</v>
      </c>
      <c r="G2932">
        <v>1</v>
      </c>
      <c r="H2932" s="1" t="s">
        <v>14</v>
      </c>
      <c r="I2932" s="1" t="s">
        <v>15</v>
      </c>
      <c r="J2932" s="12">
        <v>45866</v>
      </c>
      <c r="K2932">
        <v>0</v>
      </c>
      <c r="L2932" s="1">
        <f t="shared" si="180"/>
        <v>16.8</v>
      </c>
      <c r="M2932" s="1" t="str">
        <f t="shared" si="181"/>
        <v/>
      </c>
      <c r="N2932" s="2">
        <f t="shared" si="182"/>
        <v>45839</v>
      </c>
      <c r="O2932" t="str">
        <f t="shared" si="183"/>
        <v>pes</v>
      </c>
    </row>
    <row r="2933" spans="1:15" hidden="1" x14ac:dyDescent="0.25">
      <c r="A2933">
        <v>10441</v>
      </c>
      <c r="B2933" s="11">
        <v>4021234567894</v>
      </c>
      <c r="C2933" s="1" t="s">
        <v>79</v>
      </c>
      <c r="D2933" s="1" t="s">
        <v>36</v>
      </c>
      <c r="E2933" s="1" t="s">
        <v>69</v>
      </c>
      <c r="F2933">
        <v>8</v>
      </c>
      <c r="G2933">
        <v>1</v>
      </c>
      <c r="H2933" s="1" t="s">
        <v>14</v>
      </c>
      <c r="I2933" s="1" t="s">
        <v>15</v>
      </c>
      <c r="J2933" s="12">
        <v>45866</v>
      </c>
      <c r="K2933">
        <v>0</v>
      </c>
      <c r="L2933" s="1">
        <f t="shared" si="180"/>
        <v>8</v>
      </c>
      <c r="M2933" s="1" t="str">
        <f t="shared" si="181"/>
        <v/>
      </c>
      <c r="N2933" s="2">
        <f t="shared" si="182"/>
        <v>45839</v>
      </c>
      <c r="O2933" t="str">
        <f t="shared" si="183"/>
        <v>mačka</v>
      </c>
    </row>
    <row r="2934" spans="1:15" x14ac:dyDescent="0.25">
      <c r="A2934">
        <v>10442</v>
      </c>
      <c r="B2934" s="11">
        <v>8599988776654</v>
      </c>
      <c r="C2934" s="1" t="s">
        <v>393</v>
      </c>
      <c r="D2934" s="1" t="s">
        <v>133</v>
      </c>
      <c r="E2934" s="1" t="s">
        <v>17</v>
      </c>
      <c r="F2934">
        <v>16.8</v>
      </c>
      <c r="G2934">
        <v>1</v>
      </c>
      <c r="H2934" s="1" t="s">
        <v>23</v>
      </c>
      <c r="I2934" s="1" t="s">
        <v>483</v>
      </c>
      <c r="J2934" s="12">
        <v>45866</v>
      </c>
      <c r="K2934">
        <v>0</v>
      </c>
      <c r="L2934" s="1">
        <f t="shared" si="180"/>
        <v>16.8</v>
      </c>
      <c r="M2934" s="1">
        <f t="shared" si="181"/>
        <v>5</v>
      </c>
      <c r="N2934" s="2">
        <f t="shared" si="182"/>
        <v>45839</v>
      </c>
      <c r="O2934" t="str">
        <f t="shared" si="183"/>
        <v>pes</v>
      </c>
    </row>
    <row r="2935" spans="1:15" hidden="1" x14ac:dyDescent="0.25">
      <c r="A2935">
        <v>10443</v>
      </c>
      <c r="B2935" s="11">
        <v>4056789012345</v>
      </c>
      <c r="C2935" s="1" t="s">
        <v>47</v>
      </c>
      <c r="D2935" s="1" t="s">
        <v>29</v>
      </c>
      <c r="E2935" s="1" t="s">
        <v>37</v>
      </c>
      <c r="F2935">
        <v>2.4</v>
      </c>
      <c r="G2935">
        <v>2</v>
      </c>
      <c r="H2935" s="1" t="s">
        <v>14</v>
      </c>
      <c r="I2935" s="1" t="s">
        <v>15</v>
      </c>
      <c r="J2935" s="12">
        <v>45866</v>
      </c>
      <c r="K2935">
        <v>0</v>
      </c>
      <c r="L2935" s="1">
        <f t="shared" si="180"/>
        <v>4.8</v>
      </c>
      <c r="M2935" s="1" t="str">
        <f t="shared" si="181"/>
        <v/>
      </c>
      <c r="N2935" s="2">
        <f t="shared" si="182"/>
        <v>45839</v>
      </c>
      <c r="O2935" t="str">
        <f t="shared" si="183"/>
        <v>mačka</v>
      </c>
    </row>
    <row r="2936" spans="1:15" x14ac:dyDescent="0.25">
      <c r="A2936">
        <v>10444</v>
      </c>
      <c r="B2936" s="11">
        <v>8599988776654</v>
      </c>
      <c r="C2936" s="1" t="s">
        <v>393</v>
      </c>
      <c r="D2936" s="1" t="s">
        <v>133</v>
      </c>
      <c r="E2936" s="1" t="s">
        <v>17</v>
      </c>
      <c r="F2936">
        <v>16.8</v>
      </c>
      <c r="G2936">
        <v>2</v>
      </c>
      <c r="H2936" s="1" t="s">
        <v>14</v>
      </c>
      <c r="I2936" s="1" t="s">
        <v>15</v>
      </c>
      <c r="J2936" s="12">
        <v>45866</v>
      </c>
      <c r="K2936">
        <v>0</v>
      </c>
      <c r="L2936" s="1">
        <f t="shared" si="180"/>
        <v>33.6</v>
      </c>
      <c r="M2936" s="1" t="str">
        <f t="shared" si="181"/>
        <v/>
      </c>
      <c r="N2936" s="2">
        <f t="shared" si="182"/>
        <v>45839</v>
      </c>
      <c r="O2936" t="str">
        <f t="shared" si="183"/>
        <v>pes</v>
      </c>
    </row>
    <row r="2937" spans="1:15" x14ac:dyDescent="0.25">
      <c r="A2937">
        <v>10445</v>
      </c>
      <c r="B2937" s="11">
        <v>4017890123450</v>
      </c>
      <c r="C2937" s="1" t="s">
        <v>65</v>
      </c>
      <c r="D2937" s="1" t="s">
        <v>39</v>
      </c>
      <c r="E2937" s="1" t="s">
        <v>22</v>
      </c>
      <c r="F2937">
        <v>7.6</v>
      </c>
      <c r="G2937">
        <v>1</v>
      </c>
      <c r="H2937" s="1" t="s">
        <v>18</v>
      </c>
      <c r="I2937" s="1" t="s">
        <v>484</v>
      </c>
      <c r="J2937" s="12">
        <v>45866</v>
      </c>
      <c r="K2937">
        <v>0</v>
      </c>
      <c r="L2937" s="1">
        <f t="shared" si="180"/>
        <v>7.6</v>
      </c>
      <c r="M2937" s="1">
        <f t="shared" si="181"/>
        <v>4</v>
      </c>
      <c r="N2937" s="2">
        <f t="shared" si="182"/>
        <v>45839</v>
      </c>
      <c r="O2937" t="str">
        <f t="shared" si="183"/>
        <v>pes</v>
      </c>
    </row>
    <row r="2938" spans="1:15" x14ac:dyDescent="0.25">
      <c r="A2938">
        <v>10446</v>
      </c>
      <c r="B2938" s="11">
        <v>8599988776654</v>
      </c>
      <c r="C2938" s="1" t="s">
        <v>393</v>
      </c>
      <c r="D2938" s="1" t="s">
        <v>133</v>
      </c>
      <c r="E2938" s="1" t="s">
        <v>17</v>
      </c>
      <c r="F2938">
        <v>16.8</v>
      </c>
      <c r="G2938">
        <v>1</v>
      </c>
      <c r="H2938" s="1" t="s">
        <v>14</v>
      </c>
      <c r="I2938" s="1" t="s">
        <v>15</v>
      </c>
      <c r="J2938" s="12">
        <v>45866</v>
      </c>
      <c r="K2938">
        <v>0</v>
      </c>
      <c r="L2938" s="1">
        <f t="shared" si="180"/>
        <v>16.8</v>
      </c>
      <c r="M2938" s="1" t="str">
        <f t="shared" si="181"/>
        <v/>
      </c>
      <c r="N2938" s="2">
        <f t="shared" si="182"/>
        <v>45839</v>
      </c>
      <c r="O2938" t="str">
        <f t="shared" si="183"/>
        <v>pes</v>
      </c>
    </row>
    <row r="2939" spans="1:15" x14ac:dyDescent="0.25">
      <c r="A2939">
        <v>10446</v>
      </c>
      <c r="B2939" s="11">
        <v>4028899001126</v>
      </c>
      <c r="C2939" s="1" t="s">
        <v>16</v>
      </c>
      <c r="D2939" s="1" t="s">
        <v>12</v>
      </c>
      <c r="E2939" s="1" t="s">
        <v>17</v>
      </c>
      <c r="F2939">
        <v>2.8</v>
      </c>
      <c r="G2939">
        <v>2</v>
      </c>
      <c r="H2939" s="1" t="s">
        <v>14</v>
      </c>
      <c r="I2939" s="1" t="s">
        <v>15</v>
      </c>
      <c r="J2939" s="12">
        <v>45866</v>
      </c>
      <c r="K2939">
        <v>0</v>
      </c>
      <c r="L2939" s="1">
        <f t="shared" si="180"/>
        <v>5.6</v>
      </c>
      <c r="M2939" s="1" t="str">
        <f t="shared" si="181"/>
        <v/>
      </c>
      <c r="N2939" s="2">
        <f t="shared" si="182"/>
        <v>45839</v>
      </c>
      <c r="O2939" t="str">
        <f t="shared" si="183"/>
        <v>pes</v>
      </c>
    </row>
    <row r="2940" spans="1:15" x14ac:dyDescent="0.25">
      <c r="A2940">
        <v>10447</v>
      </c>
      <c r="B2940" s="11">
        <v>4061011223346</v>
      </c>
      <c r="C2940" s="1" t="s">
        <v>25</v>
      </c>
      <c r="D2940" s="1" t="s">
        <v>26</v>
      </c>
      <c r="E2940" s="1" t="s">
        <v>27</v>
      </c>
      <c r="F2940">
        <v>19.600000000000001</v>
      </c>
      <c r="G2940">
        <v>1</v>
      </c>
      <c r="H2940" s="1" t="s">
        <v>14</v>
      </c>
      <c r="I2940" s="1" t="s">
        <v>15</v>
      </c>
      <c r="J2940" s="12">
        <v>45866</v>
      </c>
      <c r="K2940">
        <v>0</v>
      </c>
      <c r="L2940" s="1">
        <f t="shared" si="180"/>
        <v>19.600000000000001</v>
      </c>
      <c r="M2940" s="1" t="str">
        <f t="shared" si="181"/>
        <v/>
      </c>
      <c r="N2940" s="2">
        <f t="shared" si="182"/>
        <v>45839</v>
      </c>
      <c r="O2940" t="str">
        <f t="shared" si="183"/>
        <v>pes</v>
      </c>
    </row>
    <row r="2941" spans="1:15" x14ac:dyDescent="0.25">
      <c r="A2941">
        <v>10448</v>
      </c>
      <c r="B2941" s="11">
        <v>8599988776654</v>
      </c>
      <c r="C2941" s="1" t="s">
        <v>393</v>
      </c>
      <c r="D2941" s="1" t="s">
        <v>133</v>
      </c>
      <c r="E2941" s="1" t="s">
        <v>17</v>
      </c>
      <c r="F2941">
        <v>16.8</v>
      </c>
      <c r="G2941">
        <v>1</v>
      </c>
      <c r="H2941" s="1" t="s">
        <v>14</v>
      </c>
      <c r="I2941" s="1" t="s">
        <v>15</v>
      </c>
      <c r="J2941" s="12">
        <v>45866</v>
      </c>
      <c r="K2941">
        <v>0</v>
      </c>
      <c r="L2941" s="1">
        <f t="shared" si="180"/>
        <v>16.8</v>
      </c>
      <c r="M2941" s="1" t="str">
        <f t="shared" si="181"/>
        <v/>
      </c>
      <c r="N2941" s="2">
        <f t="shared" si="182"/>
        <v>45839</v>
      </c>
      <c r="O2941" t="str">
        <f t="shared" si="183"/>
        <v>pes</v>
      </c>
    </row>
    <row r="2942" spans="1:15" hidden="1" x14ac:dyDescent="0.25">
      <c r="A2942">
        <v>10449</v>
      </c>
      <c r="B2942" s="11">
        <v>4043344556676</v>
      </c>
      <c r="C2942" s="1" t="s">
        <v>316</v>
      </c>
      <c r="D2942" s="1" t="s">
        <v>317</v>
      </c>
      <c r="E2942" s="1" t="s">
        <v>58</v>
      </c>
      <c r="F2942">
        <v>10</v>
      </c>
      <c r="G2942">
        <v>1</v>
      </c>
      <c r="H2942" s="1" t="s">
        <v>18</v>
      </c>
      <c r="I2942" s="1" t="s">
        <v>485</v>
      </c>
      <c r="J2942" s="12">
        <v>45866</v>
      </c>
      <c r="K2942">
        <v>0</v>
      </c>
      <c r="L2942" s="1">
        <f t="shared" si="180"/>
        <v>10</v>
      </c>
      <c r="M2942" s="1">
        <f t="shared" si="181"/>
        <v>4</v>
      </c>
      <c r="N2942" s="2">
        <f t="shared" si="182"/>
        <v>45839</v>
      </c>
      <c r="O2942" t="str">
        <f t="shared" si="183"/>
        <v>mačka</v>
      </c>
    </row>
    <row r="2943" spans="1:15" x14ac:dyDescent="0.25">
      <c r="A2943">
        <v>10450</v>
      </c>
      <c r="B2943" s="11">
        <v>8599988776654</v>
      </c>
      <c r="C2943" s="1" t="s">
        <v>393</v>
      </c>
      <c r="D2943" s="1" t="s">
        <v>133</v>
      </c>
      <c r="E2943" s="1" t="s">
        <v>17</v>
      </c>
      <c r="F2943">
        <v>16.8</v>
      </c>
      <c r="G2943">
        <v>1</v>
      </c>
      <c r="H2943" s="1" t="s">
        <v>14</v>
      </c>
      <c r="I2943" s="1" t="s">
        <v>15</v>
      </c>
      <c r="J2943" s="12">
        <v>45866</v>
      </c>
      <c r="K2943">
        <v>0</v>
      </c>
      <c r="L2943" s="1">
        <f t="shared" si="180"/>
        <v>16.8</v>
      </c>
      <c r="M2943" s="1" t="str">
        <f t="shared" si="181"/>
        <v/>
      </c>
      <c r="N2943" s="2">
        <f t="shared" si="182"/>
        <v>45839</v>
      </c>
      <c r="O2943" t="str">
        <f t="shared" si="183"/>
        <v>pes</v>
      </c>
    </row>
    <row r="2944" spans="1:15" x14ac:dyDescent="0.25">
      <c r="A2944">
        <v>10451</v>
      </c>
      <c r="B2944" s="11">
        <v>4027788990013</v>
      </c>
      <c r="C2944" s="1" t="s">
        <v>43</v>
      </c>
      <c r="D2944" s="1" t="s">
        <v>21</v>
      </c>
      <c r="E2944" s="1" t="s">
        <v>22</v>
      </c>
      <c r="F2944">
        <v>8</v>
      </c>
      <c r="G2944">
        <v>1</v>
      </c>
      <c r="H2944" s="1" t="s">
        <v>14</v>
      </c>
      <c r="I2944" s="1" t="s">
        <v>15</v>
      </c>
      <c r="J2944" s="12">
        <v>45866</v>
      </c>
      <c r="K2944">
        <v>0</v>
      </c>
      <c r="L2944" s="1">
        <f t="shared" si="180"/>
        <v>8</v>
      </c>
      <c r="M2944" s="1" t="str">
        <f t="shared" si="181"/>
        <v/>
      </c>
      <c r="N2944" s="2">
        <f t="shared" si="182"/>
        <v>45839</v>
      </c>
      <c r="O2944" t="str">
        <f t="shared" si="183"/>
        <v>pes</v>
      </c>
    </row>
    <row r="2945" spans="1:15" x14ac:dyDescent="0.25">
      <c r="A2945">
        <v>10452</v>
      </c>
      <c r="B2945" s="11">
        <v>8599988776654</v>
      </c>
      <c r="C2945" s="1" t="s">
        <v>393</v>
      </c>
      <c r="D2945" s="1" t="s">
        <v>133</v>
      </c>
      <c r="E2945" s="1" t="s">
        <v>17</v>
      </c>
      <c r="F2945">
        <v>16.8</v>
      </c>
      <c r="G2945">
        <v>1</v>
      </c>
      <c r="H2945" s="1" t="s">
        <v>33</v>
      </c>
      <c r="I2945" s="1" t="s">
        <v>486</v>
      </c>
      <c r="J2945" s="12">
        <v>45866</v>
      </c>
      <c r="K2945">
        <v>0</v>
      </c>
      <c r="L2945" s="1">
        <f t="shared" si="180"/>
        <v>16.8</v>
      </c>
      <c r="M2945" s="1">
        <f t="shared" si="181"/>
        <v>3</v>
      </c>
      <c r="N2945" s="2">
        <f t="shared" si="182"/>
        <v>45839</v>
      </c>
      <c r="O2945" t="str">
        <f t="shared" si="183"/>
        <v>pes</v>
      </c>
    </row>
    <row r="2946" spans="1:15" hidden="1" x14ac:dyDescent="0.25">
      <c r="A2946">
        <v>10453</v>
      </c>
      <c r="B2946" s="11">
        <v>4010123456783</v>
      </c>
      <c r="C2946" s="1" t="s">
        <v>35</v>
      </c>
      <c r="D2946" s="1" t="s">
        <v>36</v>
      </c>
      <c r="E2946" s="1" t="s">
        <v>37</v>
      </c>
      <c r="F2946">
        <v>14</v>
      </c>
      <c r="G2946">
        <v>1</v>
      </c>
      <c r="H2946" s="1" t="s">
        <v>14</v>
      </c>
      <c r="I2946" s="1" t="s">
        <v>15</v>
      </c>
      <c r="J2946" s="12">
        <v>45866</v>
      </c>
      <c r="K2946">
        <v>0</v>
      </c>
      <c r="L2946" s="1">
        <f t="shared" ref="L2946:L3009" si="184">F2946*G2946</f>
        <v>14</v>
      </c>
      <c r="M2946" s="1" t="str">
        <f t="shared" ref="M2946:M3009" si="185">IF(H2946="NULL", "",VALUE(H2946))</f>
        <v/>
      </c>
      <c r="N2946" s="2">
        <f t="shared" ref="N2946:N3009" si="186">DATE(YEAR(J2946),MONTH(J2946),1)</f>
        <v>45839</v>
      </c>
      <c r="O2946" t="str">
        <f t="shared" ref="O2946:O3009" si="187">IF(ISNUMBER(SEARCH("Mačky",D2946)),"mačka",IF(ISNUMBER(SEARCH("Psy",D2946)),"pes","iné"))</f>
        <v>mačka</v>
      </c>
    </row>
    <row r="2947" spans="1:15" x14ac:dyDescent="0.25">
      <c r="A2947">
        <v>10454</v>
      </c>
      <c r="B2947" s="11">
        <v>8599988776654</v>
      </c>
      <c r="C2947" s="1" t="s">
        <v>393</v>
      </c>
      <c r="D2947" s="1" t="s">
        <v>133</v>
      </c>
      <c r="E2947" s="1" t="s">
        <v>17</v>
      </c>
      <c r="F2947">
        <v>16.8</v>
      </c>
      <c r="G2947">
        <v>2</v>
      </c>
      <c r="H2947" s="1" t="s">
        <v>14</v>
      </c>
      <c r="I2947" s="1" t="s">
        <v>15</v>
      </c>
      <c r="J2947" s="12">
        <v>45866</v>
      </c>
      <c r="K2947">
        <v>0</v>
      </c>
      <c r="L2947" s="1">
        <f t="shared" si="184"/>
        <v>33.6</v>
      </c>
      <c r="M2947" s="1" t="str">
        <f t="shared" si="185"/>
        <v/>
      </c>
      <c r="N2947" s="2">
        <f t="shared" si="186"/>
        <v>45839</v>
      </c>
      <c r="O2947" t="str">
        <f t="shared" si="187"/>
        <v>pes</v>
      </c>
    </row>
    <row r="2948" spans="1:15" x14ac:dyDescent="0.25">
      <c r="A2948">
        <v>10455</v>
      </c>
      <c r="B2948" s="11">
        <v>4028899001126</v>
      </c>
      <c r="C2948" s="1" t="s">
        <v>16</v>
      </c>
      <c r="D2948" s="1" t="s">
        <v>12</v>
      </c>
      <c r="E2948" s="1" t="s">
        <v>17</v>
      </c>
      <c r="F2948">
        <v>2.8</v>
      </c>
      <c r="G2948">
        <v>3</v>
      </c>
      <c r="H2948" s="1" t="s">
        <v>14</v>
      </c>
      <c r="I2948" s="1" t="s">
        <v>15</v>
      </c>
      <c r="J2948" s="12">
        <v>45866</v>
      </c>
      <c r="K2948">
        <v>0</v>
      </c>
      <c r="L2948" s="1">
        <f t="shared" si="184"/>
        <v>8.3999999999999986</v>
      </c>
      <c r="M2948" s="1" t="str">
        <f t="shared" si="185"/>
        <v/>
      </c>
      <c r="N2948" s="2">
        <f t="shared" si="186"/>
        <v>45839</v>
      </c>
      <c r="O2948" t="str">
        <f t="shared" si="187"/>
        <v>pes</v>
      </c>
    </row>
    <row r="2949" spans="1:15" x14ac:dyDescent="0.25">
      <c r="A2949">
        <v>10456</v>
      </c>
      <c r="B2949" s="11">
        <v>8599988776654</v>
      </c>
      <c r="C2949" s="1" t="s">
        <v>393</v>
      </c>
      <c r="D2949" s="1" t="s">
        <v>133</v>
      </c>
      <c r="E2949" s="1" t="s">
        <v>17</v>
      </c>
      <c r="F2949">
        <v>16.8</v>
      </c>
      <c r="G2949">
        <v>1</v>
      </c>
      <c r="H2949" s="1" t="s">
        <v>14</v>
      </c>
      <c r="I2949" s="1" t="s">
        <v>15</v>
      </c>
      <c r="J2949" s="12">
        <v>45867</v>
      </c>
      <c r="K2949">
        <v>0</v>
      </c>
      <c r="L2949" s="1">
        <f t="shared" si="184"/>
        <v>16.8</v>
      </c>
      <c r="M2949" s="1" t="str">
        <f t="shared" si="185"/>
        <v/>
      </c>
      <c r="N2949" s="2">
        <f t="shared" si="186"/>
        <v>45839</v>
      </c>
      <c r="O2949" t="str">
        <f t="shared" si="187"/>
        <v>pes</v>
      </c>
    </row>
    <row r="2950" spans="1:15" x14ac:dyDescent="0.25">
      <c r="A2950">
        <v>10457</v>
      </c>
      <c r="B2950" s="11">
        <v>4063456789014</v>
      </c>
      <c r="C2950" s="1" t="s">
        <v>60</v>
      </c>
      <c r="D2950" s="1" t="s">
        <v>12</v>
      </c>
      <c r="E2950" s="1" t="s">
        <v>61</v>
      </c>
      <c r="F2950">
        <v>36</v>
      </c>
      <c r="G2950">
        <v>1</v>
      </c>
      <c r="H2950" s="1" t="s">
        <v>23</v>
      </c>
      <c r="I2950" s="1" t="s">
        <v>487</v>
      </c>
      <c r="J2950" s="12">
        <v>45867</v>
      </c>
      <c r="K2950">
        <v>0</v>
      </c>
      <c r="L2950" s="1">
        <f t="shared" si="184"/>
        <v>36</v>
      </c>
      <c r="M2950" s="1">
        <f t="shared" si="185"/>
        <v>5</v>
      </c>
      <c r="N2950" s="2">
        <f t="shared" si="186"/>
        <v>45839</v>
      </c>
      <c r="O2950" t="str">
        <f t="shared" si="187"/>
        <v>pes</v>
      </c>
    </row>
    <row r="2951" spans="1:15" x14ac:dyDescent="0.25">
      <c r="A2951">
        <v>10458</v>
      </c>
      <c r="B2951" s="11">
        <v>8599988776654</v>
      </c>
      <c r="C2951" s="1" t="s">
        <v>393</v>
      </c>
      <c r="D2951" s="1" t="s">
        <v>133</v>
      </c>
      <c r="E2951" s="1" t="s">
        <v>17</v>
      </c>
      <c r="F2951">
        <v>16.8</v>
      </c>
      <c r="G2951">
        <v>1</v>
      </c>
      <c r="H2951" s="1" t="s">
        <v>14</v>
      </c>
      <c r="I2951" s="1" t="s">
        <v>15</v>
      </c>
      <c r="J2951" s="12">
        <v>45867</v>
      </c>
      <c r="K2951">
        <v>0</v>
      </c>
      <c r="L2951" s="1">
        <f t="shared" si="184"/>
        <v>16.8</v>
      </c>
      <c r="M2951" s="1" t="str">
        <f t="shared" si="185"/>
        <v/>
      </c>
      <c r="N2951" s="2">
        <f t="shared" si="186"/>
        <v>45839</v>
      </c>
      <c r="O2951" t="str">
        <f t="shared" si="187"/>
        <v>pes</v>
      </c>
    </row>
    <row r="2952" spans="1:15" x14ac:dyDescent="0.25">
      <c r="A2952">
        <v>10459</v>
      </c>
      <c r="B2952" s="11">
        <v>4013456789017</v>
      </c>
      <c r="C2952" s="1" t="s">
        <v>11</v>
      </c>
      <c r="D2952" s="1" t="s">
        <v>12</v>
      </c>
      <c r="E2952" s="1" t="s">
        <v>13</v>
      </c>
      <c r="F2952">
        <v>6</v>
      </c>
      <c r="G2952">
        <v>1</v>
      </c>
      <c r="H2952" s="1" t="s">
        <v>14</v>
      </c>
      <c r="I2952" s="1" t="s">
        <v>15</v>
      </c>
      <c r="J2952" s="12">
        <v>45867</v>
      </c>
      <c r="K2952">
        <v>0</v>
      </c>
      <c r="L2952" s="1">
        <f t="shared" si="184"/>
        <v>6</v>
      </c>
      <c r="M2952" s="1" t="str">
        <f t="shared" si="185"/>
        <v/>
      </c>
      <c r="N2952" s="2">
        <f t="shared" si="186"/>
        <v>45839</v>
      </c>
      <c r="O2952" t="str">
        <f t="shared" si="187"/>
        <v>pes</v>
      </c>
    </row>
    <row r="2953" spans="1:15" x14ac:dyDescent="0.25">
      <c r="A2953">
        <v>10460</v>
      </c>
      <c r="B2953" s="11">
        <v>8599988776654</v>
      </c>
      <c r="C2953" s="1" t="s">
        <v>393</v>
      </c>
      <c r="D2953" s="1" t="s">
        <v>133</v>
      </c>
      <c r="E2953" s="1" t="s">
        <v>17</v>
      </c>
      <c r="F2953">
        <v>16.8</v>
      </c>
      <c r="G2953">
        <v>2</v>
      </c>
      <c r="H2953" s="1" t="s">
        <v>14</v>
      </c>
      <c r="I2953" s="1" t="s">
        <v>15</v>
      </c>
      <c r="J2953" s="12">
        <v>45867</v>
      </c>
      <c r="K2953">
        <v>0</v>
      </c>
      <c r="L2953" s="1">
        <f t="shared" si="184"/>
        <v>33.6</v>
      </c>
      <c r="M2953" s="1" t="str">
        <f t="shared" si="185"/>
        <v/>
      </c>
      <c r="N2953" s="2">
        <f t="shared" si="186"/>
        <v>45839</v>
      </c>
      <c r="O2953" t="str">
        <f t="shared" si="187"/>
        <v>pes</v>
      </c>
    </row>
    <row r="2954" spans="1:15" hidden="1" x14ac:dyDescent="0.25">
      <c r="A2954">
        <v>10461</v>
      </c>
      <c r="B2954" s="11">
        <v>4021234567894</v>
      </c>
      <c r="C2954" s="1" t="s">
        <v>79</v>
      </c>
      <c r="D2954" s="1" t="s">
        <v>36</v>
      </c>
      <c r="E2954" s="1" t="s">
        <v>69</v>
      </c>
      <c r="F2954">
        <v>8</v>
      </c>
      <c r="G2954">
        <v>1</v>
      </c>
      <c r="H2954" s="1" t="s">
        <v>14</v>
      </c>
      <c r="I2954" s="1" t="s">
        <v>15</v>
      </c>
      <c r="J2954" s="12">
        <v>45867</v>
      </c>
      <c r="K2954">
        <v>0</v>
      </c>
      <c r="L2954" s="1">
        <f t="shared" si="184"/>
        <v>8</v>
      </c>
      <c r="M2954" s="1" t="str">
        <f t="shared" si="185"/>
        <v/>
      </c>
      <c r="N2954" s="2">
        <f t="shared" si="186"/>
        <v>45839</v>
      </c>
      <c r="O2954" t="str">
        <f t="shared" si="187"/>
        <v>mačka</v>
      </c>
    </row>
    <row r="2955" spans="1:15" x14ac:dyDescent="0.25">
      <c r="A2955">
        <v>10462</v>
      </c>
      <c r="B2955" s="11">
        <v>8599988776654</v>
      </c>
      <c r="C2955" s="1" t="s">
        <v>393</v>
      </c>
      <c r="D2955" s="1" t="s">
        <v>133</v>
      </c>
      <c r="E2955" s="1" t="s">
        <v>17</v>
      </c>
      <c r="F2955">
        <v>16.8</v>
      </c>
      <c r="G2955">
        <v>1</v>
      </c>
      <c r="H2955" s="1" t="s">
        <v>23</v>
      </c>
      <c r="I2955" s="1" t="s">
        <v>488</v>
      </c>
      <c r="J2955" s="12">
        <v>45867</v>
      </c>
      <c r="K2955">
        <v>0</v>
      </c>
      <c r="L2955" s="1">
        <f t="shared" si="184"/>
        <v>16.8</v>
      </c>
      <c r="M2955" s="1">
        <f t="shared" si="185"/>
        <v>5</v>
      </c>
      <c r="N2955" s="2">
        <f t="shared" si="186"/>
        <v>45839</v>
      </c>
      <c r="O2955" t="str">
        <f t="shared" si="187"/>
        <v>pes</v>
      </c>
    </row>
    <row r="2956" spans="1:15" hidden="1" x14ac:dyDescent="0.25">
      <c r="A2956">
        <v>10463</v>
      </c>
      <c r="B2956" s="11">
        <v>4056789012345</v>
      </c>
      <c r="C2956" s="1" t="s">
        <v>47</v>
      </c>
      <c r="D2956" s="1" t="s">
        <v>29</v>
      </c>
      <c r="E2956" s="1" t="s">
        <v>37</v>
      </c>
      <c r="F2956">
        <v>2.4</v>
      </c>
      <c r="G2956">
        <v>2</v>
      </c>
      <c r="H2956" s="1" t="s">
        <v>14</v>
      </c>
      <c r="I2956" s="1" t="s">
        <v>15</v>
      </c>
      <c r="J2956" s="12">
        <v>45867</v>
      </c>
      <c r="K2956">
        <v>0</v>
      </c>
      <c r="L2956" s="1">
        <f t="shared" si="184"/>
        <v>4.8</v>
      </c>
      <c r="M2956" s="1" t="str">
        <f t="shared" si="185"/>
        <v/>
      </c>
      <c r="N2956" s="2">
        <f t="shared" si="186"/>
        <v>45839</v>
      </c>
      <c r="O2956" t="str">
        <f t="shared" si="187"/>
        <v>mačka</v>
      </c>
    </row>
    <row r="2957" spans="1:15" x14ac:dyDescent="0.25">
      <c r="A2957">
        <v>10464</v>
      </c>
      <c r="B2957" s="11">
        <v>8599988776654</v>
      </c>
      <c r="C2957" s="1" t="s">
        <v>393</v>
      </c>
      <c r="D2957" s="1" t="s">
        <v>133</v>
      </c>
      <c r="E2957" s="1" t="s">
        <v>17</v>
      </c>
      <c r="F2957">
        <v>16.8</v>
      </c>
      <c r="G2957">
        <v>1</v>
      </c>
      <c r="H2957" s="1" t="s">
        <v>14</v>
      </c>
      <c r="I2957" s="1" t="s">
        <v>15</v>
      </c>
      <c r="J2957" s="12">
        <v>45867</v>
      </c>
      <c r="K2957">
        <v>0</v>
      </c>
      <c r="L2957" s="1">
        <f t="shared" si="184"/>
        <v>16.8</v>
      </c>
      <c r="M2957" s="1" t="str">
        <f t="shared" si="185"/>
        <v/>
      </c>
      <c r="N2957" s="2">
        <f t="shared" si="186"/>
        <v>45839</v>
      </c>
      <c r="O2957" t="str">
        <f t="shared" si="187"/>
        <v>pes</v>
      </c>
    </row>
    <row r="2958" spans="1:15" x14ac:dyDescent="0.25">
      <c r="A2958">
        <v>10465</v>
      </c>
      <c r="B2958" s="11">
        <v>4017890123450</v>
      </c>
      <c r="C2958" s="1" t="s">
        <v>65</v>
      </c>
      <c r="D2958" s="1" t="s">
        <v>39</v>
      </c>
      <c r="E2958" s="1" t="s">
        <v>22</v>
      </c>
      <c r="F2958">
        <v>7.6</v>
      </c>
      <c r="G2958">
        <v>1</v>
      </c>
      <c r="H2958" s="1" t="s">
        <v>14</v>
      </c>
      <c r="I2958" s="1" t="s">
        <v>15</v>
      </c>
      <c r="J2958" s="12">
        <v>45867</v>
      </c>
      <c r="K2958">
        <v>0</v>
      </c>
      <c r="L2958" s="1">
        <f t="shared" si="184"/>
        <v>7.6</v>
      </c>
      <c r="M2958" s="1" t="str">
        <f t="shared" si="185"/>
        <v/>
      </c>
      <c r="N2958" s="2">
        <f t="shared" si="186"/>
        <v>45839</v>
      </c>
      <c r="O2958" t="str">
        <f t="shared" si="187"/>
        <v>pes</v>
      </c>
    </row>
    <row r="2959" spans="1:15" x14ac:dyDescent="0.25">
      <c r="A2959">
        <v>10466</v>
      </c>
      <c r="B2959" s="11">
        <v>8599988776654</v>
      </c>
      <c r="C2959" s="1" t="s">
        <v>393</v>
      </c>
      <c r="D2959" s="1" t="s">
        <v>133</v>
      </c>
      <c r="E2959" s="1" t="s">
        <v>17</v>
      </c>
      <c r="F2959">
        <v>16.8</v>
      </c>
      <c r="G2959">
        <v>1</v>
      </c>
      <c r="H2959" s="1" t="s">
        <v>18</v>
      </c>
      <c r="I2959" s="1" t="s">
        <v>489</v>
      </c>
      <c r="J2959" s="12">
        <v>45867</v>
      </c>
      <c r="K2959">
        <v>0</v>
      </c>
      <c r="L2959" s="1">
        <f t="shared" si="184"/>
        <v>16.8</v>
      </c>
      <c r="M2959" s="1">
        <f t="shared" si="185"/>
        <v>4</v>
      </c>
      <c r="N2959" s="2">
        <f t="shared" si="186"/>
        <v>45839</v>
      </c>
      <c r="O2959" t="str">
        <f t="shared" si="187"/>
        <v>pes</v>
      </c>
    </row>
    <row r="2960" spans="1:15" hidden="1" x14ac:dyDescent="0.25">
      <c r="A2960">
        <v>10467</v>
      </c>
      <c r="B2960" s="11">
        <v>4010123456783</v>
      </c>
      <c r="C2960" s="1" t="s">
        <v>35</v>
      </c>
      <c r="D2960" s="1" t="s">
        <v>36</v>
      </c>
      <c r="E2960" s="1" t="s">
        <v>37</v>
      </c>
      <c r="F2960">
        <v>14</v>
      </c>
      <c r="G2960">
        <v>1</v>
      </c>
      <c r="H2960" s="1" t="s">
        <v>14</v>
      </c>
      <c r="I2960" s="1" t="s">
        <v>15</v>
      </c>
      <c r="J2960" s="12">
        <v>45867</v>
      </c>
      <c r="K2960">
        <v>0</v>
      </c>
      <c r="L2960" s="1">
        <f t="shared" si="184"/>
        <v>14</v>
      </c>
      <c r="M2960" s="1" t="str">
        <f t="shared" si="185"/>
        <v/>
      </c>
      <c r="N2960" s="2">
        <f t="shared" si="186"/>
        <v>45839</v>
      </c>
      <c r="O2960" t="str">
        <f t="shared" si="187"/>
        <v>mačka</v>
      </c>
    </row>
    <row r="2961" spans="1:15" x14ac:dyDescent="0.25">
      <c r="A2961">
        <v>10468</v>
      </c>
      <c r="B2961" s="11">
        <v>8599988776654</v>
      </c>
      <c r="C2961" s="1" t="s">
        <v>393</v>
      </c>
      <c r="D2961" s="1" t="s">
        <v>133</v>
      </c>
      <c r="E2961" s="1" t="s">
        <v>17</v>
      </c>
      <c r="F2961">
        <v>16.8</v>
      </c>
      <c r="G2961">
        <v>1</v>
      </c>
      <c r="H2961" s="1" t="s">
        <v>14</v>
      </c>
      <c r="I2961" s="1" t="s">
        <v>15</v>
      </c>
      <c r="J2961" s="12">
        <v>45867</v>
      </c>
      <c r="K2961">
        <v>0</v>
      </c>
      <c r="L2961" s="1">
        <f t="shared" si="184"/>
        <v>16.8</v>
      </c>
      <c r="M2961" s="1" t="str">
        <f t="shared" si="185"/>
        <v/>
      </c>
      <c r="N2961" s="2">
        <f t="shared" si="186"/>
        <v>45839</v>
      </c>
      <c r="O2961" t="str">
        <f t="shared" si="187"/>
        <v>pes</v>
      </c>
    </row>
    <row r="2962" spans="1:15" x14ac:dyDescent="0.25">
      <c r="A2962">
        <v>10469</v>
      </c>
      <c r="B2962" s="11">
        <v>4061011223346</v>
      </c>
      <c r="C2962" s="1" t="s">
        <v>25</v>
      </c>
      <c r="D2962" s="1" t="s">
        <v>26</v>
      </c>
      <c r="E2962" s="1" t="s">
        <v>27</v>
      </c>
      <c r="F2962">
        <v>19.600000000000001</v>
      </c>
      <c r="G2962">
        <v>1</v>
      </c>
      <c r="H2962" s="1" t="s">
        <v>14</v>
      </c>
      <c r="I2962" s="1" t="s">
        <v>15</v>
      </c>
      <c r="J2962" s="12">
        <v>45867</v>
      </c>
      <c r="K2962">
        <v>0</v>
      </c>
      <c r="L2962" s="1">
        <f t="shared" si="184"/>
        <v>19.600000000000001</v>
      </c>
      <c r="M2962" s="1" t="str">
        <f t="shared" si="185"/>
        <v/>
      </c>
      <c r="N2962" s="2">
        <f t="shared" si="186"/>
        <v>45839</v>
      </c>
      <c r="O2962" t="str">
        <f t="shared" si="187"/>
        <v>pes</v>
      </c>
    </row>
    <row r="2963" spans="1:15" x14ac:dyDescent="0.25">
      <c r="A2963">
        <v>10470</v>
      </c>
      <c r="B2963" s="11">
        <v>8599988776654</v>
      </c>
      <c r="C2963" s="1" t="s">
        <v>393</v>
      </c>
      <c r="D2963" s="1" t="s">
        <v>133</v>
      </c>
      <c r="E2963" s="1" t="s">
        <v>17</v>
      </c>
      <c r="F2963">
        <v>16.8</v>
      </c>
      <c r="G2963">
        <v>2</v>
      </c>
      <c r="H2963" s="1" t="s">
        <v>14</v>
      </c>
      <c r="I2963" s="1" t="s">
        <v>15</v>
      </c>
      <c r="J2963" s="12">
        <v>45867</v>
      </c>
      <c r="K2963">
        <v>0</v>
      </c>
      <c r="L2963" s="1">
        <f t="shared" si="184"/>
        <v>33.6</v>
      </c>
      <c r="M2963" s="1" t="str">
        <f t="shared" si="185"/>
        <v/>
      </c>
      <c r="N2963" s="2">
        <f t="shared" si="186"/>
        <v>45839</v>
      </c>
      <c r="O2963" t="str">
        <f t="shared" si="187"/>
        <v>pes</v>
      </c>
    </row>
    <row r="2964" spans="1:15" x14ac:dyDescent="0.25">
      <c r="A2964">
        <v>10471</v>
      </c>
      <c r="B2964" s="11">
        <v>4028899001126</v>
      </c>
      <c r="C2964" s="1" t="s">
        <v>16</v>
      </c>
      <c r="D2964" s="1" t="s">
        <v>12</v>
      </c>
      <c r="E2964" s="1" t="s">
        <v>17</v>
      </c>
      <c r="F2964">
        <v>2.8</v>
      </c>
      <c r="G2964">
        <v>3</v>
      </c>
      <c r="H2964" s="1" t="s">
        <v>18</v>
      </c>
      <c r="I2964" s="1" t="s">
        <v>490</v>
      </c>
      <c r="J2964" s="12">
        <v>45867</v>
      </c>
      <c r="K2964">
        <v>0</v>
      </c>
      <c r="L2964" s="1">
        <f t="shared" si="184"/>
        <v>8.3999999999999986</v>
      </c>
      <c r="M2964" s="1">
        <f t="shared" si="185"/>
        <v>4</v>
      </c>
      <c r="N2964" s="2">
        <f t="shared" si="186"/>
        <v>45839</v>
      </c>
      <c r="O2964" t="str">
        <f t="shared" si="187"/>
        <v>pes</v>
      </c>
    </row>
    <row r="2965" spans="1:15" x14ac:dyDescent="0.25">
      <c r="A2965">
        <v>10472</v>
      </c>
      <c r="B2965" s="11">
        <v>8599988776654</v>
      </c>
      <c r="C2965" s="1" t="s">
        <v>393</v>
      </c>
      <c r="D2965" s="1" t="s">
        <v>133</v>
      </c>
      <c r="E2965" s="1" t="s">
        <v>17</v>
      </c>
      <c r="F2965">
        <v>16.8</v>
      </c>
      <c r="G2965">
        <v>1</v>
      </c>
      <c r="H2965" s="1" t="s">
        <v>14</v>
      </c>
      <c r="I2965" s="1" t="s">
        <v>15</v>
      </c>
      <c r="J2965" s="12">
        <v>45867</v>
      </c>
      <c r="K2965">
        <v>0</v>
      </c>
      <c r="L2965" s="1">
        <f t="shared" si="184"/>
        <v>16.8</v>
      </c>
      <c r="M2965" s="1" t="str">
        <f t="shared" si="185"/>
        <v/>
      </c>
      <c r="N2965" s="2">
        <f t="shared" si="186"/>
        <v>45839</v>
      </c>
      <c r="O2965" t="str">
        <f t="shared" si="187"/>
        <v>pes</v>
      </c>
    </row>
    <row r="2966" spans="1:15" hidden="1" x14ac:dyDescent="0.25">
      <c r="A2966">
        <v>10473</v>
      </c>
      <c r="B2966" s="11">
        <v>4043344556676</v>
      </c>
      <c r="C2966" s="1" t="s">
        <v>316</v>
      </c>
      <c r="D2966" s="1" t="s">
        <v>317</v>
      </c>
      <c r="E2966" s="1" t="s">
        <v>58</v>
      </c>
      <c r="F2966">
        <v>10</v>
      </c>
      <c r="G2966">
        <v>1</v>
      </c>
      <c r="H2966" s="1" t="s">
        <v>14</v>
      </c>
      <c r="I2966" s="1" t="s">
        <v>15</v>
      </c>
      <c r="J2966" s="12">
        <v>45867</v>
      </c>
      <c r="K2966">
        <v>0</v>
      </c>
      <c r="L2966" s="1">
        <f t="shared" si="184"/>
        <v>10</v>
      </c>
      <c r="M2966" s="1" t="str">
        <f t="shared" si="185"/>
        <v/>
      </c>
      <c r="N2966" s="2">
        <f t="shared" si="186"/>
        <v>45839</v>
      </c>
      <c r="O2966" t="str">
        <f t="shared" si="187"/>
        <v>mačka</v>
      </c>
    </row>
    <row r="2967" spans="1:15" x14ac:dyDescent="0.25">
      <c r="A2967">
        <v>10473</v>
      </c>
      <c r="B2967" s="11">
        <v>8599988776654</v>
      </c>
      <c r="C2967" s="1" t="s">
        <v>393</v>
      </c>
      <c r="D2967" s="1" t="s">
        <v>133</v>
      </c>
      <c r="E2967" s="1" t="s">
        <v>17</v>
      </c>
      <c r="F2967">
        <v>16.8</v>
      </c>
      <c r="G2967">
        <v>1</v>
      </c>
      <c r="H2967" s="1" t="s">
        <v>14</v>
      </c>
      <c r="I2967" s="1" t="s">
        <v>15</v>
      </c>
      <c r="J2967" s="12">
        <v>45867</v>
      </c>
      <c r="K2967">
        <v>0</v>
      </c>
      <c r="L2967" s="1">
        <f t="shared" si="184"/>
        <v>16.8</v>
      </c>
      <c r="M2967" s="1" t="str">
        <f t="shared" si="185"/>
        <v/>
      </c>
      <c r="N2967" s="2">
        <f t="shared" si="186"/>
        <v>45839</v>
      </c>
      <c r="O2967" t="str">
        <f t="shared" si="187"/>
        <v>pes</v>
      </c>
    </row>
    <row r="2968" spans="1:15" x14ac:dyDescent="0.25">
      <c r="A2968">
        <v>10474</v>
      </c>
      <c r="B2968" s="11">
        <v>4027788990013</v>
      </c>
      <c r="C2968" s="1" t="s">
        <v>43</v>
      </c>
      <c r="D2968" s="1" t="s">
        <v>21</v>
      </c>
      <c r="E2968" s="1" t="s">
        <v>22</v>
      </c>
      <c r="F2968">
        <v>8</v>
      </c>
      <c r="G2968">
        <v>1</v>
      </c>
      <c r="H2968" s="1" t="s">
        <v>33</v>
      </c>
      <c r="I2968" s="1" t="s">
        <v>491</v>
      </c>
      <c r="J2968" s="12">
        <v>45867</v>
      </c>
      <c r="K2968">
        <v>0</v>
      </c>
      <c r="L2968" s="1">
        <f t="shared" si="184"/>
        <v>8</v>
      </c>
      <c r="M2968" s="1">
        <f t="shared" si="185"/>
        <v>3</v>
      </c>
      <c r="N2968" s="2">
        <f t="shared" si="186"/>
        <v>45839</v>
      </c>
      <c r="O2968" t="str">
        <f t="shared" si="187"/>
        <v>pes</v>
      </c>
    </row>
    <row r="2969" spans="1:15" x14ac:dyDescent="0.25">
      <c r="A2969">
        <v>10475</v>
      </c>
      <c r="B2969" s="11">
        <v>8599988776654</v>
      </c>
      <c r="C2969" s="1" t="s">
        <v>393</v>
      </c>
      <c r="D2969" s="1" t="s">
        <v>133</v>
      </c>
      <c r="E2969" s="1" t="s">
        <v>17</v>
      </c>
      <c r="F2969">
        <v>16.8</v>
      </c>
      <c r="G2969">
        <v>1</v>
      </c>
      <c r="H2969" s="1" t="s">
        <v>14</v>
      </c>
      <c r="I2969" s="1" t="s">
        <v>15</v>
      </c>
      <c r="J2969" s="12">
        <v>45868</v>
      </c>
      <c r="K2969">
        <v>0</v>
      </c>
      <c r="L2969" s="1">
        <f t="shared" si="184"/>
        <v>16.8</v>
      </c>
      <c r="M2969" s="1" t="str">
        <f t="shared" si="185"/>
        <v/>
      </c>
      <c r="N2969" s="2">
        <f t="shared" si="186"/>
        <v>45839</v>
      </c>
      <c r="O2969" t="str">
        <f t="shared" si="187"/>
        <v>pes</v>
      </c>
    </row>
    <row r="2970" spans="1:15" x14ac:dyDescent="0.25">
      <c r="A2970">
        <v>10476</v>
      </c>
      <c r="B2970" s="11">
        <v>4063456789014</v>
      </c>
      <c r="C2970" s="1" t="s">
        <v>60</v>
      </c>
      <c r="D2970" s="1" t="s">
        <v>12</v>
      </c>
      <c r="E2970" s="1" t="s">
        <v>61</v>
      </c>
      <c r="F2970">
        <v>36</v>
      </c>
      <c r="G2970">
        <v>1</v>
      </c>
      <c r="H2970" s="1" t="s">
        <v>14</v>
      </c>
      <c r="I2970" s="1" t="s">
        <v>15</v>
      </c>
      <c r="J2970" s="12">
        <v>45868</v>
      </c>
      <c r="K2970">
        <v>0</v>
      </c>
      <c r="L2970" s="1">
        <f t="shared" si="184"/>
        <v>36</v>
      </c>
      <c r="M2970" s="1" t="str">
        <f t="shared" si="185"/>
        <v/>
      </c>
      <c r="N2970" s="2">
        <f t="shared" si="186"/>
        <v>45839</v>
      </c>
      <c r="O2970" t="str">
        <f t="shared" si="187"/>
        <v>pes</v>
      </c>
    </row>
    <row r="2971" spans="1:15" x14ac:dyDescent="0.25">
      <c r="A2971">
        <v>10477</v>
      </c>
      <c r="B2971" s="11">
        <v>8599988776654</v>
      </c>
      <c r="C2971" s="1" t="s">
        <v>393</v>
      </c>
      <c r="D2971" s="1" t="s">
        <v>133</v>
      </c>
      <c r="E2971" s="1" t="s">
        <v>17</v>
      </c>
      <c r="F2971">
        <v>16.8</v>
      </c>
      <c r="G2971">
        <v>1</v>
      </c>
      <c r="H2971" s="1" t="s">
        <v>23</v>
      </c>
      <c r="I2971" s="1" t="s">
        <v>492</v>
      </c>
      <c r="J2971" s="12">
        <v>45868</v>
      </c>
      <c r="K2971">
        <v>0</v>
      </c>
      <c r="L2971" s="1">
        <f t="shared" si="184"/>
        <v>16.8</v>
      </c>
      <c r="M2971" s="1">
        <f t="shared" si="185"/>
        <v>5</v>
      </c>
      <c r="N2971" s="2">
        <f t="shared" si="186"/>
        <v>45839</v>
      </c>
      <c r="O2971" t="str">
        <f t="shared" si="187"/>
        <v>pes</v>
      </c>
    </row>
    <row r="2972" spans="1:15" x14ac:dyDescent="0.25">
      <c r="A2972">
        <v>10478</v>
      </c>
      <c r="B2972" s="11">
        <v>4013456789017</v>
      </c>
      <c r="C2972" s="1" t="s">
        <v>11</v>
      </c>
      <c r="D2972" s="1" t="s">
        <v>12</v>
      </c>
      <c r="E2972" s="1" t="s">
        <v>13</v>
      </c>
      <c r="F2972">
        <v>6</v>
      </c>
      <c r="G2972">
        <v>1</v>
      </c>
      <c r="H2972" s="1" t="s">
        <v>14</v>
      </c>
      <c r="I2972" s="1" t="s">
        <v>15</v>
      </c>
      <c r="J2972" s="12">
        <v>45868</v>
      </c>
      <c r="K2972">
        <v>0</v>
      </c>
      <c r="L2972" s="1">
        <f t="shared" si="184"/>
        <v>6</v>
      </c>
      <c r="M2972" s="1" t="str">
        <f t="shared" si="185"/>
        <v/>
      </c>
      <c r="N2972" s="2">
        <f t="shared" si="186"/>
        <v>45839</v>
      </c>
      <c r="O2972" t="str">
        <f t="shared" si="187"/>
        <v>pes</v>
      </c>
    </row>
    <row r="2973" spans="1:15" x14ac:dyDescent="0.25">
      <c r="A2973">
        <v>10479</v>
      </c>
      <c r="B2973" s="11">
        <v>8599988776654</v>
      </c>
      <c r="C2973" s="1" t="s">
        <v>393</v>
      </c>
      <c r="D2973" s="1" t="s">
        <v>133</v>
      </c>
      <c r="E2973" s="1" t="s">
        <v>17</v>
      </c>
      <c r="F2973">
        <v>16.8</v>
      </c>
      <c r="G2973">
        <v>2</v>
      </c>
      <c r="H2973" s="1" t="s">
        <v>14</v>
      </c>
      <c r="I2973" s="1" t="s">
        <v>15</v>
      </c>
      <c r="J2973" s="12">
        <v>45868</v>
      </c>
      <c r="K2973">
        <v>0</v>
      </c>
      <c r="L2973" s="1">
        <f t="shared" si="184"/>
        <v>33.6</v>
      </c>
      <c r="M2973" s="1" t="str">
        <f t="shared" si="185"/>
        <v/>
      </c>
      <c r="N2973" s="2">
        <f t="shared" si="186"/>
        <v>45839</v>
      </c>
      <c r="O2973" t="str">
        <f t="shared" si="187"/>
        <v>pes</v>
      </c>
    </row>
    <row r="2974" spans="1:15" hidden="1" x14ac:dyDescent="0.25">
      <c r="A2974">
        <v>10480</v>
      </c>
      <c r="B2974" s="11">
        <v>4021234567894</v>
      </c>
      <c r="C2974" s="1" t="s">
        <v>79</v>
      </c>
      <c r="D2974" s="1" t="s">
        <v>36</v>
      </c>
      <c r="E2974" s="1" t="s">
        <v>69</v>
      </c>
      <c r="F2974">
        <v>8</v>
      </c>
      <c r="G2974">
        <v>1</v>
      </c>
      <c r="H2974" s="1" t="s">
        <v>18</v>
      </c>
      <c r="I2974" s="1" t="s">
        <v>493</v>
      </c>
      <c r="J2974" s="12">
        <v>45868</v>
      </c>
      <c r="K2974">
        <v>0</v>
      </c>
      <c r="L2974" s="1">
        <f t="shared" si="184"/>
        <v>8</v>
      </c>
      <c r="M2974" s="1">
        <f t="shared" si="185"/>
        <v>4</v>
      </c>
      <c r="N2974" s="2">
        <f t="shared" si="186"/>
        <v>45839</v>
      </c>
      <c r="O2974" t="str">
        <f t="shared" si="187"/>
        <v>mačka</v>
      </c>
    </row>
    <row r="2975" spans="1:15" x14ac:dyDescent="0.25">
      <c r="A2975">
        <v>10481</v>
      </c>
      <c r="B2975" s="11">
        <v>8599988776654</v>
      </c>
      <c r="C2975" s="1" t="s">
        <v>393</v>
      </c>
      <c r="D2975" s="1" t="s">
        <v>133</v>
      </c>
      <c r="E2975" s="1" t="s">
        <v>17</v>
      </c>
      <c r="F2975">
        <v>16.8</v>
      </c>
      <c r="G2975">
        <v>1</v>
      </c>
      <c r="H2975" s="1" t="s">
        <v>14</v>
      </c>
      <c r="I2975" s="1" t="s">
        <v>15</v>
      </c>
      <c r="J2975" s="12">
        <v>45868</v>
      </c>
      <c r="K2975">
        <v>0</v>
      </c>
      <c r="L2975" s="1">
        <f t="shared" si="184"/>
        <v>16.8</v>
      </c>
      <c r="M2975" s="1" t="str">
        <f t="shared" si="185"/>
        <v/>
      </c>
      <c r="N2975" s="2">
        <f t="shared" si="186"/>
        <v>45839</v>
      </c>
      <c r="O2975" t="str">
        <f t="shared" si="187"/>
        <v>pes</v>
      </c>
    </row>
    <row r="2976" spans="1:15" x14ac:dyDescent="0.25">
      <c r="A2976">
        <v>10482</v>
      </c>
      <c r="B2976" s="11">
        <v>4017890123450</v>
      </c>
      <c r="C2976" s="1" t="s">
        <v>65</v>
      </c>
      <c r="D2976" s="1" t="s">
        <v>39</v>
      </c>
      <c r="E2976" s="1" t="s">
        <v>22</v>
      </c>
      <c r="F2976">
        <v>7.6</v>
      </c>
      <c r="G2976">
        <v>1</v>
      </c>
      <c r="H2976" s="1" t="s">
        <v>14</v>
      </c>
      <c r="I2976" s="1" t="s">
        <v>15</v>
      </c>
      <c r="J2976" s="12">
        <v>45868</v>
      </c>
      <c r="K2976">
        <v>0</v>
      </c>
      <c r="L2976" s="1">
        <f t="shared" si="184"/>
        <v>7.6</v>
      </c>
      <c r="M2976" s="1" t="str">
        <f t="shared" si="185"/>
        <v/>
      </c>
      <c r="N2976" s="2">
        <f t="shared" si="186"/>
        <v>45839</v>
      </c>
      <c r="O2976" t="str">
        <f t="shared" si="187"/>
        <v>pes</v>
      </c>
    </row>
    <row r="2977" spans="1:15" x14ac:dyDescent="0.25">
      <c r="A2977">
        <v>10483</v>
      </c>
      <c r="B2977" s="11">
        <v>8599988776654</v>
      </c>
      <c r="C2977" s="1" t="s">
        <v>393</v>
      </c>
      <c r="D2977" s="1" t="s">
        <v>133</v>
      </c>
      <c r="E2977" s="1" t="s">
        <v>17</v>
      </c>
      <c r="F2977">
        <v>16.8</v>
      </c>
      <c r="G2977">
        <v>1</v>
      </c>
      <c r="H2977" s="1" t="s">
        <v>18</v>
      </c>
      <c r="I2977" s="1" t="s">
        <v>494</v>
      </c>
      <c r="J2977" s="12">
        <v>45868</v>
      </c>
      <c r="K2977">
        <v>0</v>
      </c>
      <c r="L2977" s="1">
        <f t="shared" si="184"/>
        <v>16.8</v>
      </c>
      <c r="M2977" s="1">
        <f t="shared" si="185"/>
        <v>4</v>
      </c>
      <c r="N2977" s="2">
        <f t="shared" si="186"/>
        <v>45839</v>
      </c>
      <c r="O2977" t="str">
        <f t="shared" si="187"/>
        <v>pes</v>
      </c>
    </row>
    <row r="2978" spans="1:15" hidden="1" x14ac:dyDescent="0.25">
      <c r="A2978">
        <v>10484</v>
      </c>
      <c r="B2978" s="11">
        <v>4010123456783</v>
      </c>
      <c r="C2978" s="1" t="s">
        <v>35</v>
      </c>
      <c r="D2978" s="1" t="s">
        <v>36</v>
      </c>
      <c r="E2978" s="1" t="s">
        <v>37</v>
      </c>
      <c r="F2978">
        <v>14</v>
      </c>
      <c r="G2978">
        <v>1</v>
      </c>
      <c r="H2978" s="1" t="s">
        <v>14</v>
      </c>
      <c r="I2978" s="1" t="s">
        <v>15</v>
      </c>
      <c r="J2978" s="12">
        <v>45868</v>
      </c>
      <c r="K2978">
        <v>0</v>
      </c>
      <c r="L2978" s="1">
        <f t="shared" si="184"/>
        <v>14</v>
      </c>
      <c r="M2978" s="1" t="str">
        <f t="shared" si="185"/>
        <v/>
      </c>
      <c r="N2978" s="2">
        <f t="shared" si="186"/>
        <v>45839</v>
      </c>
      <c r="O2978" t="str">
        <f t="shared" si="187"/>
        <v>mačka</v>
      </c>
    </row>
    <row r="2979" spans="1:15" x14ac:dyDescent="0.25">
      <c r="A2979">
        <v>10485</v>
      </c>
      <c r="B2979" s="11">
        <v>8599988776654</v>
      </c>
      <c r="C2979" s="1" t="s">
        <v>393</v>
      </c>
      <c r="D2979" s="1" t="s">
        <v>133</v>
      </c>
      <c r="E2979" s="1" t="s">
        <v>17</v>
      </c>
      <c r="F2979">
        <v>16.8</v>
      </c>
      <c r="G2979">
        <v>1</v>
      </c>
      <c r="H2979" s="1" t="s">
        <v>14</v>
      </c>
      <c r="I2979" s="1" t="s">
        <v>15</v>
      </c>
      <c r="J2979" s="12">
        <v>45868</v>
      </c>
      <c r="K2979">
        <v>0</v>
      </c>
      <c r="L2979" s="1">
        <f t="shared" si="184"/>
        <v>16.8</v>
      </c>
      <c r="M2979" s="1" t="str">
        <f t="shared" si="185"/>
        <v/>
      </c>
      <c r="N2979" s="2">
        <f t="shared" si="186"/>
        <v>45839</v>
      </c>
      <c r="O2979" t="str">
        <f t="shared" si="187"/>
        <v>pes</v>
      </c>
    </row>
    <row r="2980" spans="1:15" x14ac:dyDescent="0.25">
      <c r="A2980">
        <v>10486</v>
      </c>
      <c r="B2980" s="11">
        <v>4028899001126</v>
      </c>
      <c r="C2980" s="1" t="s">
        <v>16</v>
      </c>
      <c r="D2980" s="1" t="s">
        <v>12</v>
      </c>
      <c r="E2980" s="1" t="s">
        <v>17</v>
      </c>
      <c r="F2980">
        <v>2.8</v>
      </c>
      <c r="G2980">
        <v>2</v>
      </c>
      <c r="H2980" s="1" t="s">
        <v>14</v>
      </c>
      <c r="I2980" s="1" t="s">
        <v>15</v>
      </c>
      <c r="J2980" s="12">
        <v>45868</v>
      </c>
      <c r="K2980">
        <v>0</v>
      </c>
      <c r="L2980" s="1">
        <f t="shared" si="184"/>
        <v>5.6</v>
      </c>
      <c r="M2980" s="1" t="str">
        <f t="shared" si="185"/>
        <v/>
      </c>
      <c r="N2980" s="2">
        <f t="shared" si="186"/>
        <v>45839</v>
      </c>
      <c r="O2980" t="str">
        <f t="shared" si="187"/>
        <v>pes</v>
      </c>
    </row>
    <row r="2981" spans="1:15" x14ac:dyDescent="0.25">
      <c r="A2981">
        <v>10487</v>
      </c>
      <c r="B2981" s="11">
        <v>8599988776654</v>
      </c>
      <c r="C2981" s="1" t="s">
        <v>393</v>
      </c>
      <c r="D2981" s="1" t="s">
        <v>133</v>
      </c>
      <c r="E2981" s="1" t="s">
        <v>17</v>
      </c>
      <c r="F2981">
        <v>16.8</v>
      </c>
      <c r="G2981">
        <v>2</v>
      </c>
      <c r="H2981" s="1" t="s">
        <v>14</v>
      </c>
      <c r="I2981" s="1" t="s">
        <v>15</v>
      </c>
      <c r="J2981" s="12">
        <v>45868</v>
      </c>
      <c r="K2981">
        <v>0</v>
      </c>
      <c r="L2981" s="1">
        <f t="shared" si="184"/>
        <v>33.6</v>
      </c>
      <c r="M2981" s="1" t="str">
        <f t="shared" si="185"/>
        <v/>
      </c>
      <c r="N2981" s="2">
        <f t="shared" si="186"/>
        <v>45839</v>
      </c>
      <c r="O2981" t="str">
        <f t="shared" si="187"/>
        <v>pes</v>
      </c>
    </row>
    <row r="2982" spans="1:15" x14ac:dyDescent="0.25">
      <c r="A2982">
        <v>10488</v>
      </c>
      <c r="B2982" s="11">
        <v>4061011223346</v>
      </c>
      <c r="C2982" s="1" t="s">
        <v>25</v>
      </c>
      <c r="D2982" s="1" t="s">
        <v>26</v>
      </c>
      <c r="E2982" s="1" t="s">
        <v>27</v>
      </c>
      <c r="F2982">
        <v>19.600000000000001</v>
      </c>
      <c r="G2982">
        <v>1</v>
      </c>
      <c r="H2982" s="1" t="s">
        <v>23</v>
      </c>
      <c r="I2982" s="1" t="s">
        <v>495</v>
      </c>
      <c r="J2982" s="12">
        <v>45868</v>
      </c>
      <c r="K2982">
        <v>0</v>
      </c>
      <c r="L2982" s="1">
        <f t="shared" si="184"/>
        <v>19.600000000000001</v>
      </c>
      <c r="M2982" s="1">
        <f t="shared" si="185"/>
        <v>5</v>
      </c>
      <c r="N2982" s="2">
        <f t="shared" si="186"/>
        <v>45839</v>
      </c>
      <c r="O2982" t="str">
        <f t="shared" si="187"/>
        <v>pes</v>
      </c>
    </row>
    <row r="2983" spans="1:15" x14ac:dyDescent="0.25">
      <c r="A2983">
        <v>10489</v>
      </c>
      <c r="B2983" s="11">
        <v>8599988776654</v>
      </c>
      <c r="C2983" s="1" t="s">
        <v>393</v>
      </c>
      <c r="D2983" s="1" t="s">
        <v>133</v>
      </c>
      <c r="E2983" s="1" t="s">
        <v>17</v>
      </c>
      <c r="F2983">
        <v>16.8</v>
      </c>
      <c r="G2983">
        <v>1</v>
      </c>
      <c r="H2983" s="1" t="s">
        <v>14</v>
      </c>
      <c r="I2983" s="1" t="s">
        <v>15</v>
      </c>
      <c r="J2983" s="12">
        <v>45868</v>
      </c>
      <c r="K2983">
        <v>0</v>
      </c>
      <c r="L2983" s="1">
        <f t="shared" si="184"/>
        <v>16.8</v>
      </c>
      <c r="M2983" s="1" t="str">
        <f t="shared" si="185"/>
        <v/>
      </c>
      <c r="N2983" s="2">
        <f t="shared" si="186"/>
        <v>45839</v>
      </c>
      <c r="O2983" t="str">
        <f t="shared" si="187"/>
        <v>pes</v>
      </c>
    </row>
    <row r="2984" spans="1:15" x14ac:dyDescent="0.25">
      <c r="A2984">
        <v>10490</v>
      </c>
      <c r="B2984" s="11">
        <v>4027788990013</v>
      </c>
      <c r="C2984" s="1" t="s">
        <v>43</v>
      </c>
      <c r="D2984" s="1" t="s">
        <v>21</v>
      </c>
      <c r="E2984" s="1" t="s">
        <v>22</v>
      </c>
      <c r="F2984">
        <v>8</v>
      </c>
      <c r="G2984">
        <v>1</v>
      </c>
      <c r="H2984" s="1" t="s">
        <v>14</v>
      </c>
      <c r="I2984" s="1" t="s">
        <v>15</v>
      </c>
      <c r="J2984" s="12">
        <v>45868</v>
      </c>
      <c r="K2984">
        <v>0</v>
      </c>
      <c r="L2984" s="1">
        <f t="shared" si="184"/>
        <v>8</v>
      </c>
      <c r="M2984" s="1" t="str">
        <f t="shared" si="185"/>
        <v/>
      </c>
      <c r="N2984" s="2">
        <f t="shared" si="186"/>
        <v>45839</v>
      </c>
      <c r="O2984" t="str">
        <f t="shared" si="187"/>
        <v>pes</v>
      </c>
    </row>
    <row r="2985" spans="1:15" x14ac:dyDescent="0.25">
      <c r="A2985">
        <v>10491</v>
      </c>
      <c r="B2985" s="11">
        <v>8599988776654</v>
      </c>
      <c r="C2985" s="1" t="s">
        <v>393</v>
      </c>
      <c r="D2985" s="1" t="s">
        <v>133</v>
      </c>
      <c r="E2985" s="1" t="s">
        <v>17</v>
      </c>
      <c r="F2985">
        <v>16.8</v>
      </c>
      <c r="G2985">
        <v>1</v>
      </c>
      <c r="H2985" s="1" t="s">
        <v>14</v>
      </c>
      <c r="I2985" s="1" t="s">
        <v>15</v>
      </c>
      <c r="J2985" s="12">
        <v>45868</v>
      </c>
      <c r="K2985">
        <v>0</v>
      </c>
      <c r="L2985" s="1">
        <f t="shared" si="184"/>
        <v>16.8</v>
      </c>
      <c r="M2985" s="1" t="str">
        <f t="shared" si="185"/>
        <v/>
      </c>
      <c r="N2985" s="2">
        <f t="shared" si="186"/>
        <v>45839</v>
      </c>
      <c r="O2985" t="str">
        <f t="shared" si="187"/>
        <v>pes</v>
      </c>
    </row>
    <row r="2986" spans="1:15" x14ac:dyDescent="0.25">
      <c r="A2986">
        <v>10492</v>
      </c>
      <c r="B2986" s="11">
        <v>4013456789017</v>
      </c>
      <c r="C2986" s="1" t="s">
        <v>11</v>
      </c>
      <c r="D2986" s="1" t="s">
        <v>12</v>
      </c>
      <c r="E2986" s="1" t="s">
        <v>13</v>
      </c>
      <c r="F2986">
        <v>6</v>
      </c>
      <c r="G2986">
        <v>1</v>
      </c>
      <c r="H2986" s="1" t="s">
        <v>18</v>
      </c>
      <c r="I2986" s="1" t="s">
        <v>496</v>
      </c>
      <c r="J2986" s="12">
        <v>45868</v>
      </c>
      <c r="K2986">
        <v>0</v>
      </c>
      <c r="L2986" s="1">
        <f t="shared" si="184"/>
        <v>6</v>
      </c>
      <c r="M2986" s="1">
        <f t="shared" si="185"/>
        <v>4</v>
      </c>
      <c r="N2986" s="2">
        <f t="shared" si="186"/>
        <v>45839</v>
      </c>
      <c r="O2986" t="str">
        <f t="shared" si="187"/>
        <v>pes</v>
      </c>
    </row>
    <row r="2987" spans="1:15" x14ac:dyDescent="0.25">
      <c r="A2987">
        <v>10493</v>
      </c>
      <c r="B2987" s="11">
        <v>8599988776654</v>
      </c>
      <c r="C2987" s="1" t="s">
        <v>393</v>
      </c>
      <c r="D2987" s="1" t="s">
        <v>133</v>
      </c>
      <c r="E2987" s="1" t="s">
        <v>17</v>
      </c>
      <c r="F2987">
        <v>16.8</v>
      </c>
      <c r="G2987">
        <v>2</v>
      </c>
      <c r="H2987" s="1" t="s">
        <v>14</v>
      </c>
      <c r="I2987" s="1" t="s">
        <v>15</v>
      </c>
      <c r="J2987" s="12">
        <v>45869</v>
      </c>
      <c r="K2987">
        <v>0</v>
      </c>
      <c r="L2987" s="1">
        <f t="shared" si="184"/>
        <v>33.6</v>
      </c>
      <c r="M2987" s="1" t="str">
        <f t="shared" si="185"/>
        <v/>
      </c>
      <c r="N2987" s="2">
        <f t="shared" si="186"/>
        <v>45839</v>
      </c>
      <c r="O2987" t="str">
        <f t="shared" si="187"/>
        <v>pes</v>
      </c>
    </row>
    <row r="2988" spans="1:15" x14ac:dyDescent="0.25">
      <c r="A2988">
        <v>10494</v>
      </c>
      <c r="B2988" s="11">
        <v>4028899001126</v>
      </c>
      <c r="C2988" s="1" t="s">
        <v>16</v>
      </c>
      <c r="D2988" s="1" t="s">
        <v>12</v>
      </c>
      <c r="E2988" s="1" t="s">
        <v>17</v>
      </c>
      <c r="F2988">
        <v>2.8</v>
      </c>
      <c r="G2988">
        <v>3</v>
      </c>
      <c r="H2988" s="1" t="s">
        <v>14</v>
      </c>
      <c r="I2988" s="1" t="s">
        <v>15</v>
      </c>
      <c r="J2988" s="12">
        <v>45869</v>
      </c>
      <c r="K2988">
        <v>0</v>
      </c>
      <c r="L2988" s="1">
        <f t="shared" si="184"/>
        <v>8.3999999999999986</v>
      </c>
      <c r="M2988" s="1" t="str">
        <f t="shared" si="185"/>
        <v/>
      </c>
      <c r="N2988" s="2">
        <f t="shared" si="186"/>
        <v>45839</v>
      </c>
      <c r="O2988" t="str">
        <f t="shared" si="187"/>
        <v>pes</v>
      </c>
    </row>
    <row r="2989" spans="1:15" hidden="1" x14ac:dyDescent="0.25">
      <c r="A2989">
        <v>10495</v>
      </c>
      <c r="B2989" s="11">
        <v>8596677889011</v>
      </c>
      <c r="C2989" s="1" t="s">
        <v>318</v>
      </c>
      <c r="D2989" s="1" t="s">
        <v>29</v>
      </c>
      <c r="E2989" s="1" t="s">
        <v>30</v>
      </c>
      <c r="F2989">
        <v>35.200000000000003</v>
      </c>
      <c r="G2989">
        <v>1</v>
      </c>
      <c r="H2989" s="1" t="s">
        <v>23</v>
      </c>
      <c r="I2989" s="1" t="s">
        <v>497</v>
      </c>
      <c r="J2989" s="12">
        <v>45869</v>
      </c>
      <c r="K2989">
        <v>0</v>
      </c>
      <c r="L2989" s="1">
        <f t="shared" si="184"/>
        <v>35.200000000000003</v>
      </c>
      <c r="M2989" s="1">
        <f t="shared" si="185"/>
        <v>5</v>
      </c>
      <c r="N2989" s="2">
        <f t="shared" si="186"/>
        <v>45839</v>
      </c>
      <c r="O2989" t="str">
        <f t="shared" si="187"/>
        <v>mačka</v>
      </c>
    </row>
    <row r="2990" spans="1:15" x14ac:dyDescent="0.25">
      <c r="A2990">
        <v>10496</v>
      </c>
      <c r="B2990" s="11">
        <v>8599988776654</v>
      </c>
      <c r="C2990" s="1" t="s">
        <v>393</v>
      </c>
      <c r="D2990" s="1" t="s">
        <v>133</v>
      </c>
      <c r="E2990" s="1" t="s">
        <v>17</v>
      </c>
      <c r="F2990">
        <v>16.8</v>
      </c>
      <c r="G2990">
        <v>1</v>
      </c>
      <c r="H2990" s="1" t="s">
        <v>14</v>
      </c>
      <c r="I2990" s="1" t="s">
        <v>15</v>
      </c>
      <c r="J2990" s="12">
        <v>45869</v>
      </c>
      <c r="K2990">
        <v>0</v>
      </c>
      <c r="L2990" s="1">
        <f t="shared" si="184"/>
        <v>16.8</v>
      </c>
      <c r="M2990" s="1" t="str">
        <f t="shared" si="185"/>
        <v/>
      </c>
      <c r="N2990" s="2">
        <f t="shared" si="186"/>
        <v>45839</v>
      </c>
      <c r="O2990" t="str">
        <f t="shared" si="187"/>
        <v>pes</v>
      </c>
    </row>
    <row r="2991" spans="1:15" hidden="1" x14ac:dyDescent="0.25">
      <c r="A2991">
        <v>10497</v>
      </c>
      <c r="B2991" s="11">
        <v>4010123456783</v>
      </c>
      <c r="C2991" s="1" t="s">
        <v>35</v>
      </c>
      <c r="D2991" s="1" t="s">
        <v>36</v>
      </c>
      <c r="E2991" s="1" t="s">
        <v>37</v>
      </c>
      <c r="F2991">
        <v>14</v>
      </c>
      <c r="G2991">
        <v>1</v>
      </c>
      <c r="H2991" s="1" t="s">
        <v>14</v>
      </c>
      <c r="I2991" s="1" t="s">
        <v>15</v>
      </c>
      <c r="J2991" s="12">
        <v>45869</v>
      </c>
      <c r="K2991">
        <v>0</v>
      </c>
      <c r="L2991" s="1">
        <f t="shared" si="184"/>
        <v>14</v>
      </c>
      <c r="M2991" s="1" t="str">
        <f t="shared" si="185"/>
        <v/>
      </c>
      <c r="N2991" s="2">
        <f t="shared" si="186"/>
        <v>45839</v>
      </c>
      <c r="O2991" t="str">
        <f t="shared" si="187"/>
        <v>mačka</v>
      </c>
    </row>
    <row r="2992" spans="1:15" x14ac:dyDescent="0.25">
      <c r="A2992">
        <v>10498</v>
      </c>
      <c r="B2992" s="11">
        <v>8599988776654</v>
      </c>
      <c r="C2992" s="1" t="s">
        <v>393</v>
      </c>
      <c r="D2992" s="1" t="s">
        <v>133</v>
      </c>
      <c r="E2992" s="1" t="s">
        <v>17</v>
      </c>
      <c r="F2992">
        <v>16.8</v>
      </c>
      <c r="G2992">
        <v>1</v>
      </c>
      <c r="H2992" s="1" t="s">
        <v>33</v>
      </c>
      <c r="I2992" s="1" t="s">
        <v>498</v>
      </c>
      <c r="J2992" s="12">
        <v>45869</v>
      </c>
      <c r="K2992">
        <v>0</v>
      </c>
      <c r="L2992" s="1">
        <f t="shared" si="184"/>
        <v>16.8</v>
      </c>
      <c r="M2992" s="1">
        <f t="shared" si="185"/>
        <v>3</v>
      </c>
      <c r="N2992" s="2">
        <f t="shared" si="186"/>
        <v>45839</v>
      </c>
      <c r="O2992" t="str">
        <f t="shared" si="187"/>
        <v>pes</v>
      </c>
    </row>
    <row r="2993" spans="1:15" x14ac:dyDescent="0.25">
      <c r="A2993">
        <v>10499</v>
      </c>
      <c r="B2993" s="11">
        <v>4017890123450</v>
      </c>
      <c r="C2993" s="1" t="s">
        <v>65</v>
      </c>
      <c r="D2993" s="1" t="s">
        <v>39</v>
      </c>
      <c r="E2993" s="1" t="s">
        <v>22</v>
      </c>
      <c r="F2993">
        <v>7.6</v>
      </c>
      <c r="G2993">
        <v>1</v>
      </c>
      <c r="H2993" s="1" t="s">
        <v>14</v>
      </c>
      <c r="I2993" s="1" t="s">
        <v>15</v>
      </c>
      <c r="J2993" s="12">
        <v>45869</v>
      </c>
      <c r="K2993">
        <v>0</v>
      </c>
      <c r="L2993" s="1">
        <f t="shared" si="184"/>
        <v>7.6</v>
      </c>
      <c r="M2993" s="1" t="str">
        <f t="shared" si="185"/>
        <v/>
      </c>
      <c r="N2993" s="2">
        <f t="shared" si="186"/>
        <v>45839</v>
      </c>
      <c r="O2993" t="str">
        <f t="shared" si="187"/>
        <v>pes</v>
      </c>
    </row>
    <row r="2994" spans="1:15" hidden="1" x14ac:dyDescent="0.25">
      <c r="A2994">
        <v>10500</v>
      </c>
      <c r="B2994" s="11">
        <v>4021234567894</v>
      </c>
      <c r="C2994" s="1" t="s">
        <v>79</v>
      </c>
      <c r="D2994" s="1" t="s">
        <v>36</v>
      </c>
      <c r="E2994" s="1" t="s">
        <v>69</v>
      </c>
      <c r="F2994">
        <v>8</v>
      </c>
      <c r="G2994">
        <v>1</v>
      </c>
      <c r="H2994" s="1" t="s">
        <v>14</v>
      </c>
      <c r="I2994" s="1" t="s">
        <v>15</v>
      </c>
      <c r="J2994" s="12">
        <v>45869</v>
      </c>
      <c r="K2994">
        <v>0</v>
      </c>
      <c r="L2994" s="1">
        <f t="shared" si="184"/>
        <v>8</v>
      </c>
      <c r="M2994" s="1" t="str">
        <f t="shared" si="185"/>
        <v/>
      </c>
      <c r="N2994" s="2">
        <f t="shared" si="186"/>
        <v>45839</v>
      </c>
      <c r="O2994" t="str">
        <f t="shared" si="187"/>
        <v>mačka</v>
      </c>
    </row>
    <row r="2995" spans="1:15" x14ac:dyDescent="0.25">
      <c r="A2995">
        <v>10501</v>
      </c>
      <c r="B2995" s="11">
        <v>8599988776654</v>
      </c>
      <c r="C2995" s="1" t="s">
        <v>393</v>
      </c>
      <c r="D2995" s="1" t="s">
        <v>133</v>
      </c>
      <c r="E2995" s="1" t="s">
        <v>17</v>
      </c>
      <c r="F2995">
        <v>16.8</v>
      </c>
      <c r="G2995">
        <v>2</v>
      </c>
      <c r="H2995" s="1" t="s">
        <v>14</v>
      </c>
      <c r="I2995" s="1" t="s">
        <v>15</v>
      </c>
      <c r="J2995" s="12">
        <v>45869</v>
      </c>
      <c r="K2995">
        <v>0</v>
      </c>
      <c r="L2995" s="1">
        <f t="shared" si="184"/>
        <v>33.6</v>
      </c>
      <c r="M2995" s="1" t="str">
        <f t="shared" si="185"/>
        <v/>
      </c>
      <c r="N2995" s="2">
        <f t="shared" si="186"/>
        <v>45839</v>
      </c>
      <c r="O2995" t="str">
        <f t="shared" si="187"/>
        <v>pes</v>
      </c>
    </row>
    <row r="2996" spans="1:15" hidden="1" x14ac:dyDescent="0.25">
      <c r="A2996">
        <v>10502</v>
      </c>
      <c r="B2996" s="11">
        <v>4056789012345</v>
      </c>
      <c r="C2996" s="1" t="s">
        <v>47</v>
      </c>
      <c r="D2996" s="1" t="s">
        <v>29</v>
      </c>
      <c r="E2996" s="1" t="s">
        <v>37</v>
      </c>
      <c r="F2996">
        <v>2.4</v>
      </c>
      <c r="G2996">
        <v>2</v>
      </c>
      <c r="H2996" s="1" t="s">
        <v>18</v>
      </c>
      <c r="I2996" s="1" t="s">
        <v>499</v>
      </c>
      <c r="J2996" s="12">
        <v>45869</v>
      </c>
      <c r="K2996">
        <v>0</v>
      </c>
      <c r="L2996" s="1">
        <f t="shared" si="184"/>
        <v>4.8</v>
      </c>
      <c r="M2996" s="1">
        <f t="shared" si="185"/>
        <v>4</v>
      </c>
      <c r="N2996" s="2">
        <f t="shared" si="186"/>
        <v>45839</v>
      </c>
      <c r="O2996" t="str">
        <f t="shared" si="187"/>
        <v>mačka</v>
      </c>
    </row>
    <row r="2997" spans="1:15" x14ac:dyDescent="0.25">
      <c r="A2997">
        <v>10503</v>
      </c>
      <c r="B2997" s="11">
        <v>8599988776654</v>
      </c>
      <c r="C2997" s="1" t="s">
        <v>393</v>
      </c>
      <c r="D2997" s="1" t="s">
        <v>133</v>
      </c>
      <c r="E2997" s="1" t="s">
        <v>17</v>
      </c>
      <c r="F2997">
        <v>16.8</v>
      </c>
      <c r="G2997">
        <v>1</v>
      </c>
      <c r="H2997" s="1" t="s">
        <v>14</v>
      </c>
      <c r="I2997" s="1" t="s">
        <v>15</v>
      </c>
      <c r="J2997" s="12">
        <v>45869</v>
      </c>
      <c r="K2997">
        <v>0</v>
      </c>
      <c r="L2997" s="1">
        <f t="shared" si="184"/>
        <v>16.8</v>
      </c>
      <c r="M2997" s="1" t="str">
        <f t="shared" si="185"/>
        <v/>
      </c>
      <c r="N2997" s="2">
        <f t="shared" si="186"/>
        <v>45839</v>
      </c>
      <c r="O2997" t="str">
        <f t="shared" si="187"/>
        <v>pes</v>
      </c>
    </row>
    <row r="2998" spans="1:15" x14ac:dyDescent="0.25">
      <c r="A2998">
        <v>10504</v>
      </c>
      <c r="B2998" s="11">
        <v>4059012345683</v>
      </c>
      <c r="C2998" s="1" t="s">
        <v>345</v>
      </c>
      <c r="D2998" s="1" t="s">
        <v>26</v>
      </c>
      <c r="E2998" s="1" t="s">
        <v>27</v>
      </c>
      <c r="F2998">
        <v>20</v>
      </c>
      <c r="G2998">
        <v>1</v>
      </c>
      <c r="H2998" s="1" t="s">
        <v>48</v>
      </c>
      <c r="I2998" s="1" t="s">
        <v>500</v>
      </c>
      <c r="J2998" s="12">
        <v>45869</v>
      </c>
      <c r="K2998">
        <v>1</v>
      </c>
      <c r="L2998" s="1">
        <f t="shared" si="184"/>
        <v>20</v>
      </c>
      <c r="M2998" s="1">
        <f t="shared" si="185"/>
        <v>2</v>
      </c>
      <c r="N2998" s="2">
        <f t="shared" si="186"/>
        <v>45839</v>
      </c>
      <c r="O2998" t="str">
        <f t="shared" si="187"/>
        <v>pes</v>
      </c>
    </row>
    <row r="2999" spans="1:15" x14ac:dyDescent="0.25">
      <c r="A2999">
        <v>10505</v>
      </c>
      <c r="B2999" s="11">
        <v>8599988776654</v>
      </c>
      <c r="C2999" s="1" t="s">
        <v>393</v>
      </c>
      <c r="D2999" s="1" t="s">
        <v>133</v>
      </c>
      <c r="E2999" s="1" t="s">
        <v>17</v>
      </c>
      <c r="F2999">
        <v>16.8</v>
      </c>
      <c r="G2999">
        <v>1</v>
      </c>
      <c r="H2999" s="1" t="s">
        <v>23</v>
      </c>
      <c r="I2999" s="1" t="s">
        <v>501</v>
      </c>
      <c r="J2999" s="12">
        <v>45869</v>
      </c>
      <c r="K2999">
        <v>0</v>
      </c>
      <c r="L2999" s="1">
        <f t="shared" si="184"/>
        <v>16.8</v>
      </c>
      <c r="M2999" s="1">
        <f t="shared" si="185"/>
        <v>5</v>
      </c>
      <c r="N2999" s="2">
        <f t="shared" si="186"/>
        <v>45839</v>
      </c>
      <c r="O2999" t="str">
        <f t="shared" si="187"/>
        <v>pes</v>
      </c>
    </row>
    <row r="3000" spans="1:15" x14ac:dyDescent="0.25">
      <c r="A3000">
        <v>10506</v>
      </c>
      <c r="B3000" s="11">
        <v>4028899001126</v>
      </c>
      <c r="C3000" s="1" t="s">
        <v>16</v>
      </c>
      <c r="D3000" s="1" t="s">
        <v>12</v>
      </c>
      <c r="E3000" s="1" t="s">
        <v>17</v>
      </c>
      <c r="F3000">
        <v>2.8</v>
      </c>
      <c r="G3000">
        <v>2</v>
      </c>
      <c r="H3000" s="1" t="s">
        <v>14</v>
      </c>
      <c r="I3000" s="1" t="s">
        <v>15</v>
      </c>
      <c r="J3000" s="12">
        <v>45869</v>
      </c>
      <c r="K3000">
        <v>0</v>
      </c>
      <c r="L3000" s="1">
        <f t="shared" si="184"/>
        <v>5.6</v>
      </c>
      <c r="M3000" s="1" t="str">
        <f t="shared" si="185"/>
        <v/>
      </c>
      <c r="N3000" s="2">
        <f t="shared" si="186"/>
        <v>45839</v>
      </c>
      <c r="O3000" t="str">
        <f t="shared" si="187"/>
        <v>pes</v>
      </c>
    </row>
    <row r="3001" spans="1:15" x14ac:dyDescent="0.25">
      <c r="A3001">
        <v>10507</v>
      </c>
      <c r="B3001" s="11">
        <v>4013456789017</v>
      </c>
      <c r="C3001" s="1" t="s">
        <v>11</v>
      </c>
      <c r="D3001" s="1" t="s">
        <v>12</v>
      </c>
      <c r="E3001" s="1" t="s">
        <v>13</v>
      </c>
      <c r="F3001">
        <v>6</v>
      </c>
      <c r="G3001">
        <v>1</v>
      </c>
      <c r="H3001" s="1" t="s">
        <v>18</v>
      </c>
      <c r="I3001" s="1" t="s">
        <v>502</v>
      </c>
      <c r="J3001" s="12">
        <v>45869</v>
      </c>
      <c r="K3001">
        <v>0</v>
      </c>
      <c r="L3001" s="1">
        <f t="shared" si="184"/>
        <v>6</v>
      </c>
      <c r="M3001" s="1">
        <f t="shared" si="185"/>
        <v>4</v>
      </c>
      <c r="N3001" s="2">
        <f t="shared" si="186"/>
        <v>45839</v>
      </c>
      <c r="O3001" t="str">
        <f t="shared" si="187"/>
        <v>pes</v>
      </c>
    </row>
    <row r="3002" spans="1:15" x14ac:dyDescent="0.25">
      <c r="A3002">
        <v>10508</v>
      </c>
      <c r="B3002" s="11">
        <v>8599988776654</v>
      </c>
      <c r="C3002" s="1" t="s">
        <v>393</v>
      </c>
      <c r="D3002" s="1" t="s">
        <v>133</v>
      </c>
      <c r="E3002" s="1" t="s">
        <v>17</v>
      </c>
      <c r="F3002">
        <v>16.8</v>
      </c>
      <c r="G3002">
        <v>2</v>
      </c>
      <c r="H3002" s="1" t="s">
        <v>14</v>
      </c>
      <c r="I3002" s="1" t="s">
        <v>15</v>
      </c>
      <c r="J3002" s="12">
        <v>45869</v>
      </c>
      <c r="K3002">
        <v>0</v>
      </c>
      <c r="L3002" s="1">
        <f t="shared" si="184"/>
        <v>33.6</v>
      </c>
      <c r="M3002" s="1" t="str">
        <f t="shared" si="185"/>
        <v/>
      </c>
      <c r="N3002" s="2">
        <f t="shared" si="186"/>
        <v>45839</v>
      </c>
      <c r="O3002" t="str">
        <f t="shared" si="187"/>
        <v>pes</v>
      </c>
    </row>
    <row r="3003" spans="1:15" hidden="1" x14ac:dyDescent="0.25">
      <c r="A3003">
        <v>10509</v>
      </c>
      <c r="B3003" s="11">
        <v>4010123456783</v>
      </c>
      <c r="C3003" s="1" t="s">
        <v>35</v>
      </c>
      <c r="D3003" s="1" t="s">
        <v>36</v>
      </c>
      <c r="E3003" s="1" t="s">
        <v>37</v>
      </c>
      <c r="F3003">
        <v>14</v>
      </c>
      <c r="G3003">
        <v>1</v>
      </c>
      <c r="H3003" s="1" t="s">
        <v>14</v>
      </c>
      <c r="I3003" s="1" t="s">
        <v>15</v>
      </c>
      <c r="J3003" s="12">
        <v>45869</v>
      </c>
      <c r="K3003">
        <v>0</v>
      </c>
      <c r="L3003" s="1">
        <f t="shared" si="184"/>
        <v>14</v>
      </c>
      <c r="M3003" s="1" t="str">
        <f t="shared" si="185"/>
        <v/>
      </c>
      <c r="N3003" s="2">
        <f t="shared" si="186"/>
        <v>45839</v>
      </c>
      <c r="O3003" t="str">
        <f t="shared" si="187"/>
        <v>mačka</v>
      </c>
    </row>
    <row r="3004" spans="1:15" x14ac:dyDescent="0.25">
      <c r="A3004">
        <v>10510</v>
      </c>
      <c r="B3004" s="11">
        <v>8599988776654</v>
      </c>
      <c r="C3004" s="1" t="s">
        <v>393</v>
      </c>
      <c r="D3004" s="1" t="s">
        <v>133</v>
      </c>
      <c r="E3004" s="1" t="s">
        <v>17</v>
      </c>
      <c r="F3004">
        <v>16.8</v>
      </c>
      <c r="G3004">
        <v>1</v>
      </c>
      <c r="H3004" s="1" t="s">
        <v>14</v>
      </c>
      <c r="I3004" s="1" t="s">
        <v>15</v>
      </c>
      <c r="J3004" s="12">
        <v>45869</v>
      </c>
      <c r="K3004">
        <v>0</v>
      </c>
      <c r="L3004" s="1">
        <f t="shared" si="184"/>
        <v>16.8</v>
      </c>
      <c r="M3004" s="1" t="str">
        <f t="shared" si="185"/>
        <v/>
      </c>
      <c r="N3004" s="2">
        <f t="shared" si="186"/>
        <v>45839</v>
      </c>
      <c r="O3004" t="str">
        <f t="shared" si="187"/>
        <v>pes</v>
      </c>
    </row>
    <row r="3005" spans="1:15" x14ac:dyDescent="0.25">
      <c r="A3005">
        <v>10511</v>
      </c>
      <c r="B3005" s="11">
        <v>4063456789014</v>
      </c>
      <c r="C3005" s="1" t="s">
        <v>60</v>
      </c>
      <c r="D3005" s="1" t="s">
        <v>12</v>
      </c>
      <c r="E3005" s="1" t="s">
        <v>61</v>
      </c>
      <c r="F3005">
        <v>36</v>
      </c>
      <c r="G3005">
        <v>1</v>
      </c>
      <c r="H3005" s="1" t="s">
        <v>14</v>
      </c>
      <c r="I3005" s="1" t="s">
        <v>15</v>
      </c>
      <c r="J3005" s="12">
        <v>45869</v>
      </c>
      <c r="K3005">
        <v>0</v>
      </c>
      <c r="L3005" s="1">
        <f t="shared" si="184"/>
        <v>36</v>
      </c>
      <c r="M3005" s="1" t="str">
        <f t="shared" si="185"/>
        <v/>
      </c>
      <c r="N3005" s="2">
        <f t="shared" si="186"/>
        <v>45839</v>
      </c>
      <c r="O3005" t="str">
        <f t="shared" si="187"/>
        <v>pes</v>
      </c>
    </row>
    <row r="3006" spans="1:15" x14ac:dyDescent="0.25">
      <c r="A3006">
        <v>10512</v>
      </c>
      <c r="B3006" s="11">
        <v>8599988776654</v>
      </c>
      <c r="C3006" s="1" t="s">
        <v>393</v>
      </c>
      <c r="D3006" s="1" t="s">
        <v>133</v>
      </c>
      <c r="E3006" s="1" t="s">
        <v>17</v>
      </c>
      <c r="F3006">
        <v>16.8</v>
      </c>
      <c r="G3006">
        <v>1</v>
      </c>
      <c r="H3006" s="1" t="s">
        <v>23</v>
      </c>
      <c r="I3006" s="1" t="s">
        <v>503</v>
      </c>
      <c r="J3006" s="12">
        <v>45869</v>
      </c>
      <c r="K3006">
        <v>0</v>
      </c>
      <c r="L3006" s="1">
        <f t="shared" si="184"/>
        <v>16.8</v>
      </c>
      <c r="M3006" s="1">
        <f t="shared" si="185"/>
        <v>5</v>
      </c>
      <c r="N3006" s="2">
        <f t="shared" si="186"/>
        <v>45839</v>
      </c>
      <c r="O3006" t="str">
        <f t="shared" si="187"/>
        <v>pes</v>
      </c>
    </row>
    <row r="3007" spans="1:15" hidden="1" x14ac:dyDescent="0.25">
      <c r="A3007">
        <v>10513</v>
      </c>
      <c r="B3007" s="11">
        <v>4021234567894</v>
      </c>
      <c r="C3007" s="1" t="s">
        <v>79</v>
      </c>
      <c r="D3007" s="1" t="s">
        <v>36</v>
      </c>
      <c r="E3007" s="1" t="s">
        <v>69</v>
      </c>
      <c r="F3007">
        <v>8</v>
      </c>
      <c r="G3007">
        <v>1</v>
      </c>
      <c r="H3007" s="1" t="s">
        <v>14</v>
      </c>
      <c r="I3007" s="1" t="s">
        <v>15</v>
      </c>
      <c r="J3007" s="12">
        <v>45869</v>
      </c>
      <c r="K3007">
        <v>0</v>
      </c>
      <c r="L3007" s="1">
        <f t="shared" si="184"/>
        <v>8</v>
      </c>
      <c r="M3007" s="1" t="str">
        <f t="shared" si="185"/>
        <v/>
      </c>
      <c r="N3007" s="2">
        <f t="shared" si="186"/>
        <v>45839</v>
      </c>
      <c r="O3007" t="str">
        <f t="shared" si="187"/>
        <v>mačka</v>
      </c>
    </row>
    <row r="3008" spans="1:15" x14ac:dyDescent="0.25">
      <c r="A3008">
        <v>10514</v>
      </c>
      <c r="B3008" s="11">
        <v>8599988776654</v>
      </c>
      <c r="C3008" s="1" t="s">
        <v>393</v>
      </c>
      <c r="D3008" s="1" t="s">
        <v>133</v>
      </c>
      <c r="E3008" s="1" t="s">
        <v>17</v>
      </c>
      <c r="F3008">
        <v>16.8</v>
      </c>
      <c r="G3008">
        <v>1</v>
      </c>
      <c r="H3008" s="1" t="s">
        <v>14</v>
      </c>
      <c r="I3008" s="1" t="s">
        <v>15</v>
      </c>
      <c r="J3008" s="12">
        <v>45869</v>
      </c>
      <c r="K3008">
        <v>0</v>
      </c>
      <c r="L3008" s="1">
        <f t="shared" si="184"/>
        <v>16.8</v>
      </c>
      <c r="M3008" s="1" t="str">
        <f t="shared" si="185"/>
        <v/>
      </c>
      <c r="N3008" s="2">
        <f t="shared" si="186"/>
        <v>45839</v>
      </c>
      <c r="O3008" t="str">
        <f t="shared" si="187"/>
        <v>pes</v>
      </c>
    </row>
    <row r="3009" spans="1:15" hidden="1" x14ac:dyDescent="0.25">
      <c r="A3009">
        <v>10515</v>
      </c>
      <c r="B3009" s="11">
        <v>4056789012345</v>
      </c>
      <c r="C3009" s="1" t="s">
        <v>47</v>
      </c>
      <c r="D3009" s="1" t="s">
        <v>29</v>
      </c>
      <c r="E3009" s="1" t="s">
        <v>37</v>
      </c>
      <c r="F3009">
        <v>2.4</v>
      </c>
      <c r="G3009">
        <v>2</v>
      </c>
      <c r="H3009" s="1" t="s">
        <v>14</v>
      </c>
      <c r="I3009" s="1" t="s">
        <v>15</v>
      </c>
      <c r="J3009" s="12">
        <v>45869</v>
      </c>
      <c r="K3009">
        <v>0</v>
      </c>
      <c r="L3009" s="1">
        <f t="shared" si="184"/>
        <v>4.8</v>
      </c>
      <c r="M3009" s="1" t="str">
        <f t="shared" si="185"/>
        <v/>
      </c>
      <c r="N3009" s="2">
        <f t="shared" si="186"/>
        <v>45839</v>
      </c>
      <c r="O3009" t="str">
        <f t="shared" si="187"/>
        <v>mačka</v>
      </c>
    </row>
    <row r="3010" spans="1:15" x14ac:dyDescent="0.25">
      <c r="A3010">
        <v>10516</v>
      </c>
      <c r="B3010" s="11">
        <v>8599988776654</v>
      </c>
      <c r="C3010" s="1" t="s">
        <v>393</v>
      </c>
      <c r="D3010" s="1" t="s">
        <v>133</v>
      </c>
      <c r="E3010" s="1" t="s">
        <v>17</v>
      </c>
      <c r="F3010">
        <v>16.8</v>
      </c>
      <c r="G3010">
        <v>2</v>
      </c>
      <c r="H3010" s="1" t="s">
        <v>14</v>
      </c>
      <c r="I3010" s="1" t="s">
        <v>15</v>
      </c>
      <c r="J3010" s="12">
        <v>45869</v>
      </c>
      <c r="K3010">
        <v>0</v>
      </c>
      <c r="L3010" s="1">
        <f t="shared" ref="L3010:L3073" si="188">F3010*G3010</f>
        <v>33.6</v>
      </c>
      <c r="M3010" s="1" t="str">
        <f t="shared" ref="M3010:M3073" si="189">IF(H3010="NULL", "",VALUE(H3010))</f>
        <v/>
      </c>
      <c r="N3010" s="2">
        <f t="shared" ref="N3010:N3073" si="190">DATE(YEAR(J3010),MONTH(J3010),1)</f>
        <v>45839</v>
      </c>
      <c r="O3010" t="str">
        <f t="shared" ref="O3010:O3073" si="191">IF(ISNUMBER(SEARCH("Mačky",D3010)),"mačka",IF(ISNUMBER(SEARCH("Psy",D3010)),"pes","iné"))</f>
        <v>pes</v>
      </c>
    </row>
    <row r="3011" spans="1:15" x14ac:dyDescent="0.25">
      <c r="A3011">
        <v>10517</v>
      </c>
      <c r="B3011" s="11">
        <v>4017890123450</v>
      </c>
      <c r="C3011" s="1" t="s">
        <v>65</v>
      </c>
      <c r="D3011" s="1" t="s">
        <v>39</v>
      </c>
      <c r="E3011" s="1" t="s">
        <v>22</v>
      </c>
      <c r="F3011">
        <v>7.6</v>
      </c>
      <c r="G3011">
        <v>1</v>
      </c>
      <c r="H3011" s="1" t="s">
        <v>23</v>
      </c>
      <c r="I3011" s="1" t="s">
        <v>504</v>
      </c>
      <c r="J3011" s="12">
        <v>45869</v>
      </c>
      <c r="K3011">
        <v>0</v>
      </c>
      <c r="L3011" s="1">
        <f t="shared" si="188"/>
        <v>7.6</v>
      </c>
      <c r="M3011" s="1">
        <f t="shared" si="189"/>
        <v>5</v>
      </c>
      <c r="N3011" s="2">
        <f t="shared" si="190"/>
        <v>45839</v>
      </c>
      <c r="O3011" t="str">
        <f t="shared" si="191"/>
        <v>pes</v>
      </c>
    </row>
    <row r="3012" spans="1:15" x14ac:dyDescent="0.25">
      <c r="A3012">
        <v>10518</v>
      </c>
      <c r="B3012" s="11">
        <v>8599988776654</v>
      </c>
      <c r="C3012" s="1" t="s">
        <v>393</v>
      </c>
      <c r="D3012" s="1" t="s">
        <v>133</v>
      </c>
      <c r="E3012" s="1" t="s">
        <v>17</v>
      </c>
      <c r="F3012">
        <v>16.8</v>
      </c>
      <c r="G3012">
        <v>1</v>
      </c>
      <c r="H3012" s="1" t="s">
        <v>14</v>
      </c>
      <c r="I3012" s="1" t="s">
        <v>15</v>
      </c>
      <c r="J3012" s="12">
        <v>45869</v>
      </c>
      <c r="K3012">
        <v>0</v>
      </c>
      <c r="L3012" s="1">
        <f t="shared" si="188"/>
        <v>16.8</v>
      </c>
      <c r="M3012" s="1" t="str">
        <f t="shared" si="189"/>
        <v/>
      </c>
      <c r="N3012" s="2">
        <f t="shared" si="190"/>
        <v>45839</v>
      </c>
      <c r="O3012" t="str">
        <f t="shared" si="191"/>
        <v>pes</v>
      </c>
    </row>
    <row r="3013" spans="1:15" hidden="1" x14ac:dyDescent="0.25">
      <c r="A3013">
        <v>10519</v>
      </c>
      <c r="B3013" s="11">
        <v>4010123456783</v>
      </c>
      <c r="C3013" s="1" t="s">
        <v>35</v>
      </c>
      <c r="D3013" s="1" t="s">
        <v>36</v>
      </c>
      <c r="E3013" s="1" t="s">
        <v>37</v>
      </c>
      <c r="F3013">
        <v>14</v>
      </c>
      <c r="G3013">
        <v>1</v>
      </c>
      <c r="H3013" s="1" t="s">
        <v>14</v>
      </c>
      <c r="I3013" s="1" t="s">
        <v>15</v>
      </c>
      <c r="J3013" s="12">
        <v>45869</v>
      </c>
      <c r="K3013">
        <v>0</v>
      </c>
      <c r="L3013" s="1">
        <f t="shared" si="188"/>
        <v>14</v>
      </c>
      <c r="M3013" s="1" t="str">
        <f t="shared" si="189"/>
        <v/>
      </c>
      <c r="N3013" s="2">
        <f t="shared" si="190"/>
        <v>45839</v>
      </c>
      <c r="O3013" t="str">
        <f t="shared" si="191"/>
        <v>mačka</v>
      </c>
    </row>
    <row r="3014" spans="1:15" x14ac:dyDescent="0.25">
      <c r="A3014">
        <v>10520</v>
      </c>
      <c r="B3014" s="11">
        <v>8599988776654</v>
      </c>
      <c r="C3014" s="1" t="s">
        <v>393</v>
      </c>
      <c r="D3014" s="1" t="s">
        <v>133</v>
      </c>
      <c r="E3014" s="1" t="s">
        <v>17</v>
      </c>
      <c r="F3014">
        <v>16.8</v>
      </c>
      <c r="G3014">
        <v>1</v>
      </c>
      <c r="H3014" s="1" t="s">
        <v>18</v>
      </c>
      <c r="I3014" s="1" t="s">
        <v>505</v>
      </c>
      <c r="J3014" s="12">
        <v>45869</v>
      </c>
      <c r="K3014">
        <v>0</v>
      </c>
      <c r="L3014" s="1">
        <f t="shared" si="188"/>
        <v>16.8</v>
      </c>
      <c r="M3014" s="1">
        <f t="shared" si="189"/>
        <v>4</v>
      </c>
      <c r="N3014" s="2">
        <f t="shared" si="190"/>
        <v>45839</v>
      </c>
      <c r="O3014" t="str">
        <f t="shared" si="191"/>
        <v>pes</v>
      </c>
    </row>
    <row r="3015" spans="1:15" x14ac:dyDescent="0.25">
      <c r="A3015">
        <v>10521</v>
      </c>
      <c r="B3015" s="11">
        <v>4028899001126</v>
      </c>
      <c r="C3015" s="1" t="s">
        <v>16</v>
      </c>
      <c r="D3015" s="1" t="s">
        <v>12</v>
      </c>
      <c r="E3015" s="1" t="s">
        <v>17</v>
      </c>
      <c r="F3015">
        <v>2.8</v>
      </c>
      <c r="G3015">
        <v>3</v>
      </c>
      <c r="H3015" s="1" t="s">
        <v>14</v>
      </c>
      <c r="I3015" s="1" t="s">
        <v>15</v>
      </c>
      <c r="J3015" s="12">
        <v>45869</v>
      </c>
      <c r="K3015">
        <v>0</v>
      </c>
      <c r="L3015" s="1">
        <f t="shared" si="188"/>
        <v>8.3999999999999986</v>
      </c>
      <c r="M3015" s="1" t="str">
        <f t="shared" si="189"/>
        <v/>
      </c>
      <c r="N3015" s="2">
        <f t="shared" si="190"/>
        <v>45839</v>
      </c>
      <c r="O3015" t="str">
        <f t="shared" si="191"/>
        <v>pes</v>
      </c>
    </row>
    <row r="3016" spans="1:15" x14ac:dyDescent="0.25">
      <c r="A3016">
        <v>10522</v>
      </c>
      <c r="B3016" s="11">
        <v>8599988776654</v>
      </c>
      <c r="C3016" s="1" t="s">
        <v>393</v>
      </c>
      <c r="D3016" s="1" t="s">
        <v>133</v>
      </c>
      <c r="E3016" s="1" t="s">
        <v>17</v>
      </c>
      <c r="F3016">
        <v>16.8</v>
      </c>
      <c r="G3016">
        <v>1</v>
      </c>
      <c r="H3016" s="1" t="s">
        <v>14</v>
      </c>
      <c r="I3016" s="1" t="s">
        <v>15</v>
      </c>
      <c r="J3016" s="12">
        <v>45869</v>
      </c>
      <c r="K3016">
        <v>0</v>
      </c>
      <c r="L3016" s="1">
        <f t="shared" si="188"/>
        <v>16.8</v>
      </c>
      <c r="M3016" s="1" t="str">
        <f t="shared" si="189"/>
        <v/>
      </c>
      <c r="N3016" s="2">
        <f t="shared" si="190"/>
        <v>45839</v>
      </c>
      <c r="O3016" t="str">
        <f t="shared" si="191"/>
        <v>pes</v>
      </c>
    </row>
    <row r="3017" spans="1:15" hidden="1" x14ac:dyDescent="0.25">
      <c r="A3017">
        <v>10523</v>
      </c>
      <c r="B3017" s="11">
        <v>4056789012345</v>
      </c>
      <c r="C3017" s="1" t="s">
        <v>47</v>
      </c>
      <c r="D3017" s="1" t="s">
        <v>29</v>
      </c>
      <c r="E3017" s="1" t="s">
        <v>37</v>
      </c>
      <c r="F3017">
        <v>2.4</v>
      </c>
      <c r="G3017">
        <v>2</v>
      </c>
      <c r="H3017" s="1" t="s">
        <v>14</v>
      </c>
      <c r="I3017" s="1" t="s">
        <v>15</v>
      </c>
      <c r="J3017" s="12">
        <v>45869</v>
      </c>
      <c r="K3017">
        <v>0</v>
      </c>
      <c r="L3017" s="1">
        <f t="shared" si="188"/>
        <v>4.8</v>
      </c>
      <c r="M3017" s="1" t="str">
        <f t="shared" si="189"/>
        <v/>
      </c>
      <c r="N3017" s="2">
        <f t="shared" si="190"/>
        <v>45839</v>
      </c>
      <c r="O3017" t="str">
        <f t="shared" si="191"/>
        <v>mačka</v>
      </c>
    </row>
    <row r="3018" spans="1:15" x14ac:dyDescent="0.25">
      <c r="A3018">
        <v>10524</v>
      </c>
      <c r="B3018" s="11">
        <v>8599988776654</v>
      </c>
      <c r="C3018" s="1" t="s">
        <v>393</v>
      </c>
      <c r="D3018" s="1" t="s">
        <v>133</v>
      </c>
      <c r="E3018" s="1" t="s">
        <v>17</v>
      </c>
      <c r="F3018">
        <v>16.8</v>
      </c>
      <c r="G3018">
        <v>2</v>
      </c>
      <c r="H3018" s="1" t="s">
        <v>23</v>
      </c>
      <c r="I3018" s="1" t="s">
        <v>506</v>
      </c>
      <c r="J3018" s="12">
        <v>45869</v>
      </c>
      <c r="K3018">
        <v>0</v>
      </c>
      <c r="L3018" s="1">
        <f t="shared" si="188"/>
        <v>33.6</v>
      </c>
      <c r="M3018" s="1">
        <f t="shared" si="189"/>
        <v>5</v>
      </c>
      <c r="N3018" s="2">
        <f t="shared" si="190"/>
        <v>45839</v>
      </c>
      <c r="O3018" t="str">
        <f t="shared" si="191"/>
        <v>pes</v>
      </c>
    </row>
    <row r="3019" spans="1:15" x14ac:dyDescent="0.25">
      <c r="A3019">
        <v>10525</v>
      </c>
      <c r="B3019" s="11">
        <v>4013456789017</v>
      </c>
      <c r="C3019" s="1" t="s">
        <v>11</v>
      </c>
      <c r="D3019" s="1" t="s">
        <v>12</v>
      </c>
      <c r="E3019" s="1" t="s">
        <v>13</v>
      </c>
      <c r="F3019">
        <v>6</v>
      </c>
      <c r="G3019">
        <v>1</v>
      </c>
      <c r="H3019" s="1" t="s">
        <v>14</v>
      </c>
      <c r="I3019" s="1" t="s">
        <v>15</v>
      </c>
      <c r="J3019" s="12">
        <v>45869</v>
      </c>
      <c r="K3019">
        <v>0</v>
      </c>
      <c r="L3019" s="1">
        <f t="shared" si="188"/>
        <v>6</v>
      </c>
      <c r="M3019" s="1" t="str">
        <f t="shared" si="189"/>
        <v/>
      </c>
      <c r="N3019" s="2">
        <f t="shared" si="190"/>
        <v>45839</v>
      </c>
      <c r="O3019" t="str">
        <f t="shared" si="191"/>
        <v>pes</v>
      </c>
    </row>
    <row r="3020" spans="1:15" x14ac:dyDescent="0.25">
      <c r="A3020">
        <v>10526</v>
      </c>
      <c r="B3020" s="11">
        <v>8599988776654</v>
      </c>
      <c r="C3020" s="1" t="s">
        <v>393</v>
      </c>
      <c r="D3020" s="1" t="s">
        <v>133</v>
      </c>
      <c r="E3020" s="1" t="s">
        <v>17</v>
      </c>
      <c r="F3020">
        <v>16.8</v>
      </c>
      <c r="G3020">
        <v>1</v>
      </c>
      <c r="H3020" s="1" t="s">
        <v>14</v>
      </c>
      <c r="I3020" s="1" t="s">
        <v>15</v>
      </c>
      <c r="J3020" s="12">
        <v>45869</v>
      </c>
      <c r="K3020">
        <v>0</v>
      </c>
      <c r="L3020" s="1">
        <f t="shared" si="188"/>
        <v>16.8</v>
      </c>
      <c r="M3020" s="1" t="str">
        <f t="shared" si="189"/>
        <v/>
      </c>
      <c r="N3020" s="2">
        <f t="shared" si="190"/>
        <v>45839</v>
      </c>
      <c r="O3020" t="str">
        <f t="shared" si="191"/>
        <v>pes</v>
      </c>
    </row>
    <row r="3021" spans="1:15" x14ac:dyDescent="0.25">
      <c r="A3021">
        <v>10527</v>
      </c>
      <c r="B3021" s="11">
        <v>4027788990013</v>
      </c>
      <c r="C3021" s="1" t="s">
        <v>43</v>
      </c>
      <c r="D3021" s="1" t="s">
        <v>21</v>
      </c>
      <c r="E3021" s="1" t="s">
        <v>22</v>
      </c>
      <c r="F3021">
        <v>8</v>
      </c>
      <c r="G3021">
        <v>1</v>
      </c>
      <c r="H3021" s="1" t="s">
        <v>18</v>
      </c>
      <c r="I3021" s="1" t="s">
        <v>507</v>
      </c>
      <c r="J3021" s="12">
        <v>45869</v>
      </c>
      <c r="K3021">
        <v>0</v>
      </c>
      <c r="L3021" s="1">
        <f t="shared" si="188"/>
        <v>8</v>
      </c>
      <c r="M3021" s="1">
        <f t="shared" si="189"/>
        <v>4</v>
      </c>
      <c r="N3021" s="2">
        <f t="shared" si="190"/>
        <v>45839</v>
      </c>
      <c r="O3021" t="str">
        <f t="shared" si="191"/>
        <v>pes</v>
      </c>
    </row>
    <row r="3022" spans="1:15" x14ac:dyDescent="0.25">
      <c r="A3022">
        <v>10528</v>
      </c>
      <c r="B3022" s="11">
        <v>8599988776654</v>
      </c>
      <c r="C3022" s="1" t="s">
        <v>393</v>
      </c>
      <c r="D3022" s="1" t="s">
        <v>133</v>
      </c>
      <c r="E3022" s="1" t="s">
        <v>17</v>
      </c>
      <c r="F3022">
        <v>16.8</v>
      </c>
      <c r="G3022">
        <v>1</v>
      </c>
      <c r="H3022" s="1" t="s">
        <v>14</v>
      </c>
      <c r="I3022" s="1" t="s">
        <v>15</v>
      </c>
      <c r="J3022" s="12">
        <v>45869</v>
      </c>
      <c r="K3022">
        <v>0</v>
      </c>
      <c r="L3022" s="1">
        <f t="shared" si="188"/>
        <v>16.8</v>
      </c>
      <c r="M3022" s="1" t="str">
        <f t="shared" si="189"/>
        <v/>
      </c>
      <c r="N3022" s="2">
        <f t="shared" si="190"/>
        <v>45839</v>
      </c>
      <c r="O3022" t="str">
        <f t="shared" si="191"/>
        <v>pes</v>
      </c>
    </row>
    <row r="3023" spans="1:15" x14ac:dyDescent="0.25">
      <c r="A3023">
        <v>10529</v>
      </c>
      <c r="B3023" s="11">
        <v>4017890123450</v>
      </c>
      <c r="C3023" s="1" t="s">
        <v>65</v>
      </c>
      <c r="D3023" s="1" t="s">
        <v>39</v>
      </c>
      <c r="E3023" s="1" t="s">
        <v>22</v>
      </c>
      <c r="F3023">
        <v>7.6</v>
      </c>
      <c r="G3023">
        <v>1</v>
      </c>
      <c r="H3023" s="1" t="s">
        <v>14</v>
      </c>
      <c r="I3023" s="1" t="s">
        <v>15</v>
      </c>
      <c r="J3023" s="12">
        <v>45869</v>
      </c>
      <c r="K3023">
        <v>0</v>
      </c>
      <c r="L3023" s="1">
        <f t="shared" si="188"/>
        <v>7.6</v>
      </c>
      <c r="M3023" s="1" t="str">
        <f t="shared" si="189"/>
        <v/>
      </c>
      <c r="N3023" s="2">
        <f t="shared" si="190"/>
        <v>45839</v>
      </c>
      <c r="O3023" t="str">
        <f t="shared" si="191"/>
        <v>pes</v>
      </c>
    </row>
    <row r="3024" spans="1:15" x14ac:dyDescent="0.25">
      <c r="A3024">
        <v>10530</v>
      </c>
      <c r="B3024" s="11">
        <v>8599988776654</v>
      </c>
      <c r="C3024" s="1" t="s">
        <v>393</v>
      </c>
      <c r="D3024" s="1" t="s">
        <v>133</v>
      </c>
      <c r="E3024" s="1" t="s">
        <v>17</v>
      </c>
      <c r="F3024">
        <v>16.8</v>
      </c>
      <c r="G3024">
        <v>1</v>
      </c>
      <c r="H3024" s="1" t="s">
        <v>18</v>
      </c>
      <c r="I3024" s="1" t="s">
        <v>508</v>
      </c>
      <c r="J3024" s="12">
        <v>45869</v>
      </c>
      <c r="K3024">
        <v>0</v>
      </c>
      <c r="L3024" s="1">
        <f t="shared" si="188"/>
        <v>16.8</v>
      </c>
      <c r="M3024" s="1">
        <f t="shared" si="189"/>
        <v>4</v>
      </c>
      <c r="N3024" s="2">
        <f t="shared" si="190"/>
        <v>45839</v>
      </c>
      <c r="O3024" t="str">
        <f t="shared" si="191"/>
        <v>pes</v>
      </c>
    </row>
    <row r="3025" spans="1:15" hidden="1" x14ac:dyDescent="0.25">
      <c r="A3025">
        <v>10531</v>
      </c>
      <c r="B3025" s="11">
        <v>4010123456783</v>
      </c>
      <c r="C3025" s="1" t="s">
        <v>35</v>
      </c>
      <c r="D3025" s="1" t="s">
        <v>36</v>
      </c>
      <c r="E3025" s="1" t="s">
        <v>37</v>
      </c>
      <c r="F3025">
        <v>14</v>
      </c>
      <c r="G3025">
        <v>1</v>
      </c>
      <c r="H3025" s="1" t="s">
        <v>14</v>
      </c>
      <c r="I3025" s="1" t="s">
        <v>15</v>
      </c>
      <c r="J3025" s="12">
        <v>45869</v>
      </c>
      <c r="K3025">
        <v>0</v>
      </c>
      <c r="L3025" s="1">
        <f t="shared" si="188"/>
        <v>14</v>
      </c>
      <c r="M3025" s="1" t="str">
        <f t="shared" si="189"/>
        <v/>
      </c>
      <c r="N3025" s="2">
        <f t="shared" si="190"/>
        <v>45839</v>
      </c>
      <c r="O3025" t="str">
        <f t="shared" si="191"/>
        <v>mačka</v>
      </c>
    </row>
    <row r="3026" spans="1:15" x14ac:dyDescent="0.25">
      <c r="A3026">
        <v>10532</v>
      </c>
      <c r="B3026" s="11">
        <v>8599988776654</v>
      </c>
      <c r="C3026" s="1" t="s">
        <v>393</v>
      </c>
      <c r="D3026" s="1" t="s">
        <v>133</v>
      </c>
      <c r="E3026" s="1" t="s">
        <v>17</v>
      </c>
      <c r="F3026">
        <v>16.8</v>
      </c>
      <c r="G3026">
        <v>2</v>
      </c>
      <c r="H3026" s="1" t="s">
        <v>14</v>
      </c>
      <c r="I3026" s="1" t="s">
        <v>15</v>
      </c>
      <c r="J3026" s="12">
        <v>45869</v>
      </c>
      <c r="K3026">
        <v>0</v>
      </c>
      <c r="L3026" s="1">
        <f t="shared" si="188"/>
        <v>33.6</v>
      </c>
      <c r="M3026" s="1" t="str">
        <f t="shared" si="189"/>
        <v/>
      </c>
      <c r="N3026" s="2">
        <f t="shared" si="190"/>
        <v>45839</v>
      </c>
      <c r="O3026" t="str">
        <f t="shared" si="191"/>
        <v>pes</v>
      </c>
    </row>
    <row r="3027" spans="1:15" x14ac:dyDescent="0.25">
      <c r="A3027">
        <v>10533</v>
      </c>
      <c r="B3027" s="11">
        <v>4063456789014</v>
      </c>
      <c r="C3027" s="1" t="s">
        <v>60</v>
      </c>
      <c r="D3027" s="1" t="s">
        <v>12</v>
      </c>
      <c r="E3027" s="1" t="s">
        <v>61</v>
      </c>
      <c r="F3027">
        <v>36</v>
      </c>
      <c r="G3027">
        <v>1</v>
      </c>
      <c r="H3027" s="1" t="s">
        <v>23</v>
      </c>
      <c r="I3027" s="1" t="s">
        <v>509</v>
      </c>
      <c r="J3027" s="12">
        <v>45869</v>
      </c>
      <c r="K3027">
        <v>0</v>
      </c>
      <c r="L3027" s="1">
        <f t="shared" si="188"/>
        <v>36</v>
      </c>
      <c r="M3027" s="1">
        <f t="shared" si="189"/>
        <v>5</v>
      </c>
      <c r="N3027" s="2">
        <f t="shared" si="190"/>
        <v>45839</v>
      </c>
      <c r="O3027" t="str">
        <f t="shared" si="191"/>
        <v>pes</v>
      </c>
    </row>
    <row r="3028" spans="1:15" x14ac:dyDescent="0.25">
      <c r="A3028">
        <v>10534</v>
      </c>
      <c r="B3028" s="11">
        <v>8599988776654</v>
      </c>
      <c r="C3028" s="1" t="s">
        <v>393</v>
      </c>
      <c r="D3028" s="1" t="s">
        <v>133</v>
      </c>
      <c r="E3028" s="1" t="s">
        <v>17</v>
      </c>
      <c r="F3028">
        <v>16.8</v>
      </c>
      <c r="G3028">
        <v>1</v>
      </c>
      <c r="H3028" s="1" t="s">
        <v>14</v>
      </c>
      <c r="I3028" s="1" t="s">
        <v>15</v>
      </c>
      <c r="J3028" s="12">
        <v>45869</v>
      </c>
      <c r="K3028">
        <v>0</v>
      </c>
      <c r="L3028" s="1">
        <f t="shared" si="188"/>
        <v>16.8</v>
      </c>
      <c r="M3028" s="1" t="str">
        <f t="shared" si="189"/>
        <v/>
      </c>
      <c r="N3028" s="2">
        <f t="shared" si="190"/>
        <v>45839</v>
      </c>
      <c r="O3028" t="str">
        <f t="shared" si="191"/>
        <v>pes</v>
      </c>
    </row>
    <row r="3029" spans="1:15" hidden="1" x14ac:dyDescent="0.25">
      <c r="A3029">
        <v>10535</v>
      </c>
      <c r="B3029" s="11">
        <v>4021234567894</v>
      </c>
      <c r="C3029" s="1" t="s">
        <v>79</v>
      </c>
      <c r="D3029" s="1" t="s">
        <v>36</v>
      </c>
      <c r="E3029" s="1" t="s">
        <v>69</v>
      </c>
      <c r="F3029">
        <v>8</v>
      </c>
      <c r="G3029">
        <v>1</v>
      </c>
      <c r="H3029" s="1" t="s">
        <v>14</v>
      </c>
      <c r="I3029" s="1" t="s">
        <v>15</v>
      </c>
      <c r="J3029" s="12">
        <v>45869</v>
      </c>
      <c r="K3029">
        <v>0</v>
      </c>
      <c r="L3029" s="1">
        <f t="shared" si="188"/>
        <v>8</v>
      </c>
      <c r="M3029" s="1" t="str">
        <f t="shared" si="189"/>
        <v/>
      </c>
      <c r="N3029" s="2">
        <f t="shared" si="190"/>
        <v>45839</v>
      </c>
      <c r="O3029" t="str">
        <f t="shared" si="191"/>
        <v>mačka</v>
      </c>
    </row>
    <row r="3030" spans="1:15" x14ac:dyDescent="0.25">
      <c r="A3030">
        <v>10536</v>
      </c>
      <c r="B3030" s="11">
        <v>8599988776654</v>
      </c>
      <c r="C3030" s="1" t="s">
        <v>393</v>
      </c>
      <c r="D3030" s="1" t="s">
        <v>133</v>
      </c>
      <c r="E3030" s="1" t="s">
        <v>17</v>
      </c>
      <c r="F3030">
        <v>16.8</v>
      </c>
      <c r="G3030">
        <v>1</v>
      </c>
      <c r="H3030" s="1" t="s">
        <v>33</v>
      </c>
      <c r="I3030" s="1" t="s">
        <v>510</v>
      </c>
      <c r="J3030" s="12">
        <v>45869</v>
      </c>
      <c r="K3030">
        <v>0</v>
      </c>
      <c r="L3030" s="1">
        <f t="shared" si="188"/>
        <v>16.8</v>
      </c>
      <c r="M3030" s="1">
        <f t="shared" si="189"/>
        <v>3</v>
      </c>
      <c r="N3030" s="2">
        <f t="shared" si="190"/>
        <v>45839</v>
      </c>
      <c r="O3030" t="str">
        <f t="shared" si="191"/>
        <v>pes</v>
      </c>
    </row>
    <row r="3031" spans="1:15" hidden="1" x14ac:dyDescent="0.25">
      <c r="A3031">
        <v>10537</v>
      </c>
      <c r="B3031" s="11">
        <v>4056789012345</v>
      </c>
      <c r="C3031" s="1" t="s">
        <v>47</v>
      </c>
      <c r="D3031" s="1" t="s">
        <v>29</v>
      </c>
      <c r="E3031" s="1" t="s">
        <v>37</v>
      </c>
      <c r="F3031">
        <v>2.4</v>
      </c>
      <c r="G3031">
        <v>2</v>
      </c>
      <c r="H3031" s="1" t="s">
        <v>14</v>
      </c>
      <c r="I3031" s="1" t="s">
        <v>15</v>
      </c>
      <c r="J3031" s="12">
        <v>45869</v>
      </c>
      <c r="K3031">
        <v>0</v>
      </c>
      <c r="L3031" s="1">
        <f t="shared" si="188"/>
        <v>4.8</v>
      </c>
      <c r="M3031" s="1" t="str">
        <f t="shared" si="189"/>
        <v/>
      </c>
      <c r="N3031" s="2">
        <f t="shared" si="190"/>
        <v>45839</v>
      </c>
      <c r="O3031" t="str">
        <f t="shared" si="191"/>
        <v>mačka</v>
      </c>
    </row>
    <row r="3032" spans="1:15" x14ac:dyDescent="0.25">
      <c r="A3032">
        <v>10538</v>
      </c>
      <c r="B3032" s="11">
        <v>8599988776654</v>
      </c>
      <c r="C3032" s="1" t="s">
        <v>393</v>
      </c>
      <c r="D3032" s="1" t="s">
        <v>133</v>
      </c>
      <c r="E3032" s="1" t="s">
        <v>17</v>
      </c>
      <c r="F3032">
        <v>16.8</v>
      </c>
      <c r="G3032">
        <v>1</v>
      </c>
      <c r="H3032" s="1" t="s">
        <v>14</v>
      </c>
      <c r="I3032" s="1" t="s">
        <v>15</v>
      </c>
      <c r="J3032" s="12">
        <v>45869</v>
      </c>
      <c r="K3032">
        <v>0</v>
      </c>
      <c r="L3032" s="1">
        <f t="shared" si="188"/>
        <v>16.8</v>
      </c>
      <c r="M3032" s="1" t="str">
        <f t="shared" si="189"/>
        <v/>
      </c>
      <c r="N3032" s="2">
        <f t="shared" si="190"/>
        <v>45839</v>
      </c>
      <c r="O3032" t="str">
        <f t="shared" si="191"/>
        <v>pes</v>
      </c>
    </row>
    <row r="3033" spans="1:15" x14ac:dyDescent="0.25">
      <c r="A3033">
        <v>10539</v>
      </c>
      <c r="B3033" s="11">
        <v>4013456789017</v>
      </c>
      <c r="C3033" s="1" t="s">
        <v>11</v>
      </c>
      <c r="D3033" s="1" t="s">
        <v>12</v>
      </c>
      <c r="E3033" s="1" t="s">
        <v>13</v>
      </c>
      <c r="F3033">
        <v>6</v>
      </c>
      <c r="G3033">
        <v>1</v>
      </c>
      <c r="H3033" s="1" t="s">
        <v>14</v>
      </c>
      <c r="I3033" s="1" t="s">
        <v>15</v>
      </c>
      <c r="J3033" s="12">
        <v>45869</v>
      </c>
      <c r="K3033">
        <v>0</v>
      </c>
      <c r="L3033" s="1">
        <f t="shared" si="188"/>
        <v>6</v>
      </c>
      <c r="M3033" s="1" t="str">
        <f t="shared" si="189"/>
        <v/>
      </c>
      <c r="N3033" s="2">
        <f t="shared" si="190"/>
        <v>45839</v>
      </c>
      <c r="O3033" t="str">
        <f t="shared" si="191"/>
        <v>pes</v>
      </c>
    </row>
    <row r="3034" spans="1:15" x14ac:dyDescent="0.25">
      <c r="A3034">
        <v>10540</v>
      </c>
      <c r="B3034" s="11">
        <v>8599988776654</v>
      </c>
      <c r="C3034" s="1" t="s">
        <v>393</v>
      </c>
      <c r="D3034" s="1" t="s">
        <v>133</v>
      </c>
      <c r="E3034" s="1" t="s">
        <v>17</v>
      </c>
      <c r="F3034">
        <v>16.8</v>
      </c>
      <c r="G3034">
        <v>2</v>
      </c>
      <c r="H3034" s="1" t="s">
        <v>14</v>
      </c>
      <c r="I3034" s="1" t="s">
        <v>15</v>
      </c>
      <c r="J3034" s="12">
        <v>45869</v>
      </c>
      <c r="K3034">
        <v>0</v>
      </c>
      <c r="L3034" s="1">
        <f t="shared" si="188"/>
        <v>33.6</v>
      </c>
      <c r="M3034" s="1" t="str">
        <f t="shared" si="189"/>
        <v/>
      </c>
      <c r="N3034" s="2">
        <f t="shared" si="190"/>
        <v>45839</v>
      </c>
      <c r="O3034" t="str">
        <f t="shared" si="191"/>
        <v>pes</v>
      </c>
    </row>
    <row r="3035" spans="1:15" x14ac:dyDescent="0.25">
      <c r="A3035">
        <v>10541</v>
      </c>
      <c r="B3035" s="11">
        <v>4017890123450</v>
      </c>
      <c r="C3035" s="1" t="s">
        <v>65</v>
      </c>
      <c r="D3035" s="1" t="s">
        <v>39</v>
      </c>
      <c r="E3035" s="1" t="s">
        <v>22</v>
      </c>
      <c r="F3035">
        <v>7.6</v>
      </c>
      <c r="G3035">
        <v>1</v>
      </c>
      <c r="H3035" s="1" t="s">
        <v>23</v>
      </c>
      <c r="I3035" s="1" t="s">
        <v>511</v>
      </c>
      <c r="J3035" s="12">
        <v>45869</v>
      </c>
      <c r="K3035">
        <v>0</v>
      </c>
      <c r="L3035" s="1">
        <f t="shared" si="188"/>
        <v>7.6</v>
      </c>
      <c r="M3035" s="1">
        <f t="shared" si="189"/>
        <v>5</v>
      </c>
      <c r="N3035" s="2">
        <f t="shared" si="190"/>
        <v>45839</v>
      </c>
      <c r="O3035" t="str">
        <f t="shared" si="191"/>
        <v>pes</v>
      </c>
    </row>
    <row r="3036" spans="1:15" x14ac:dyDescent="0.25">
      <c r="A3036">
        <v>10542</v>
      </c>
      <c r="B3036" s="11">
        <v>8599988776654</v>
      </c>
      <c r="C3036" s="1" t="s">
        <v>393</v>
      </c>
      <c r="D3036" s="1" t="s">
        <v>133</v>
      </c>
      <c r="E3036" s="1" t="s">
        <v>17</v>
      </c>
      <c r="F3036">
        <v>16.8</v>
      </c>
      <c r="G3036">
        <v>1</v>
      </c>
      <c r="H3036" s="1" t="s">
        <v>14</v>
      </c>
      <c r="I3036" s="1" t="s">
        <v>15</v>
      </c>
      <c r="J3036" s="12">
        <v>45869</v>
      </c>
      <c r="K3036">
        <v>0</v>
      </c>
      <c r="L3036" s="1">
        <f t="shared" si="188"/>
        <v>16.8</v>
      </c>
      <c r="M3036" s="1" t="str">
        <f t="shared" si="189"/>
        <v/>
      </c>
      <c r="N3036" s="2">
        <f t="shared" si="190"/>
        <v>45839</v>
      </c>
      <c r="O3036" t="str">
        <f t="shared" si="191"/>
        <v>pes</v>
      </c>
    </row>
    <row r="3037" spans="1:15" hidden="1" x14ac:dyDescent="0.25">
      <c r="A3037">
        <v>10543</v>
      </c>
      <c r="B3037" s="11">
        <v>4010123456783</v>
      </c>
      <c r="C3037" s="1" t="s">
        <v>35</v>
      </c>
      <c r="D3037" s="1" t="s">
        <v>36</v>
      </c>
      <c r="E3037" s="1" t="s">
        <v>37</v>
      </c>
      <c r="F3037">
        <v>14</v>
      </c>
      <c r="G3037">
        <v>1</v>
      </c>
      <c r="H3037" s="1" t="s">
        <v>14</v>
      </c>
      <c r="I3037" s="1" t="s">
        <v>15</v>
      </c>
      <c r="J3037" s="12">
        <v>45869</v>
      </c>
      <c r="K3037">
        <v>0</v>
      </c>
      <c r="L3037" s="1">
        <f t="shared" si="188"/>
        <v>14</v>
      </c>
      <c r="M3037" s="1" t="str">
        <f t="shared" si="189"/>
        <v/>
      </c>
      <c r="N3037" s="2">
        <f t="shared" si="190"/>
        <v>45839</v>
      </c>
      <c r="O3037" t="str">
        <f t="shared" si="191"/>
        <v>mačka</v>
      </c>
    </row>
    <row r="3038" spans="1:15" x14ac:dyDescent="0.25">
      <c r="A3038">
        <v>10544</v>
      </c>
      <c r="B3038" s="11">
        <v>8599988776654</v>
      </c>
      <c r="C3038" s="1" t="s">
        <v>393</v>
      </c>
      <c r="D3038" s="1" t="s">
        <v>133</v>
      </c>
      <c r="E3038" s="1" t="s">
        <v>17</v>
      </c>
      <c r="F3038">
        <v>16.8</v>
      </c>
      <c r="G3038">
        <v>1</v>
      </c>
      <c r="H3038" s="1" t="s">
        <v>18</v>
      </c>
      <c r="I3038" s="1" t="s">
        <v>512</v>
      </c>
      <c r="J3038" s="12">
        <v>45869</v>
      </c>
      <c r="K3038">
        <v>0</v>
      </c>
      <c r="L3038" s="1">
        <f t="shared" si="188"/>
        <v>16.8</v>
      </c>
      <c r="M3038" s="1">
        <f t="shared" si="189"/>
        <v>4</v>
      </c>
      <c r="N3038" s="2">
        <f t="shared" si="190"/>
        <v>45839</v>
      </c>
      <c r="O3038" t="str">
        <f t="shared" si="191"/>
        <v>pes</v>
      </c>
    </row>
    <row r="3039" spans="1:15" x14ac:dyDescent="0.25">
      <c r="A3039">
        <v>10545</v>
      </c>
      <c r="B3039" s="11">
        <v>4028899001126</v>
      </c>
      <c r="C3039" s="1" t="s">
        <v>16</v>
      </c>
      <c r="D3039" s="1" t="s">
        <v>12</v>
      </c>
      <c r="E3039" s="1" t="s">
        <v>17</v>
      </c>
      <c r="F3039">
        <v>2.8</v>
      </c>
      <c r="G3039">
        <v>2</v>
      </c>
      <c r="H3039" s="1" t="s">
        <v>14</v>
      </c>
      <c r="I3039" s="1" t="s">
        <v>15</v>
      </c>
      <c r="J3039" s="12">
        <v>45869</v>
      </c>
      <c r="K3039">
        <v>0</v>
      </c>
      <c r="L3039" s="1">
        <f t="shared" si="188"/>
        <v>5.6</v>
      </c>
      <c r="M3039" s="1" t="str">
        <f t="shared" si="189"/>
        <v/>
      </c>
      <c r="N3039" s="2">
        <f t="shared" si="190"/>
        <v>45839</v>
      </c>
      <c r="O3039" t="str">
        <f t="shared" si="191"/>
        <v>pes</v>
      </c>
    </row>
    <row r="3040" spans="1:15" x14ac:dyDescent="0.25">
      <c r="A3040">
        <v>10546</v>
      </c>
      <c r="B3040" s="11">
        <v>8599988776654</v>
      </c>
      <c r="C3040" s="1" t="s">
        <v>393</v>
      </c>
      <c r="D3040" s="1" t="s">
        <v>133</v>
      </c>
      <c r="E3040" s="1" t="s">
        <v>17</v>
      </c>
      <c r="F3040">
        <v>16.8</v>
      </c>
      <c r="G3040">
        <v>1</v>
      </c>
      <c r="H3040" s="1" t="s">
        <v>14</v>
      </c>
      <c r="I3040" s="1" t="s">
        <v>15</v>
      </c>
      <c r="J3040" s="12">
        <v>45869</v>
      </c>
      <c r="K3040">
        <v>0</v>
      </c>
      <c r="L3040" s="1">
        <f t="shared" si="188"/>
        <v>16.8</v>
      </c>
      <c r="M3040" s="1" t="str">
        <f t="shared" si="189"/>
        <v/>
      </c>
      <c r="N3040" s="2">
        <f t="shared" si="190"/>
        <v>45839</v>
      </c>
      <c r="O3040" t="str">
        <f t="shared" si="191"/>
        <v>pes</v>
      </c>
    </row>
    <row r="3041" spans="1:15" hidden="1" x14ac:dyDescent="0.25">
      <c r="A3041">
        <v>10547</v>
      </c>
      <c r="B3041" s="11">
        <v>4056789012345</v>
      </c>
      <c r="C3041" s="1" t="s">
        <v>47</v>
      </c>
      <c r="D3041" s="1" t="s">
        <v>29</v>
      </c>
      <c r="E3041" s="1" t="s">
        <v>37</v>
      </c>
      <c r="F3041">
        <v>2.4</v>
      </c>
      <c r="G3041">
        <v>1</v>
      </c>
      <c r="H3041" s="1" t="s">
        <v>14</v>
      </c>
      <c r="I3041" s="1" t="s">
        <v>15</v>
      </c>
      <c r="J3041" s="12">
        <v>45869</v>
      </c>
      <c r="K3041">
        <v>0</v>
      </c>
      <c r="L3041" s="1">
        <f t="shared" si="188"/>
        <v>2.4</v>
      </c>
      <c r="M3041" s="1" t="str">
        <f t="shared" si="189"/>
        <v/>
      </c>
      <c r="N3041" s="2">
        <f t="shared" si="190"/>
        <v>45839</v>
      </c>
      <c r="O3041" t="str">
        <f t="shared" si="191"/>
        <v>mačka</v>
      </c>
    </row>
    <row r="3042" spans="1:15" x14ac:dyDescent="0.25">
      <c r="A3042">
        <v>10548</v>
      </c>
      <c r="B3042" s="11">
        <v>8599988776654</v>
      </c>
      <c r="C3042" s="1" t="s">
        <v>393</v>
      </c>
      <c r="D3042" s="1" t="s">
        <v>133</v>
      </c>
      <c r="E3042" s="1" t="s">
        <v>17</v>
      </c>
      <c r="F3042">
        <v>16.8</v>
      </c>
      <c r="G3042">
        <v>1</v>
      </c>
      <c r="H3042" s="1" t="s">
        <v>23</v>
      </c>
      <c r="I3042" s="1" t="s">
        <v>513</v>
      </c>
      <c r="J3042" s="12">
        <v>45869</v>
      </c>
      <c r="K3042">
        <v>0</v>
      </c>
      <c r="L3042" s="1">
        <f t="shared" si="188"/>
        <v>16.8</v>
      </c>
      <c r="M3042" s="1">
        <f t="shared" si="189"/>
        <v>5</v>
      </c>
      <c r="N3042" s="2">
        <f t="shared" si="190"/>
        <v>45839</v>
      </c>
      <c r="O3042" t="str">
        <f t="shared" si="191"/>
        <v>pes</v>
      </c>
    </row>
    <row r="3043" spans="1:15" x14ac:dyDescent="0.25">
      <c r="A3043">
        <v>10549</v>
      </c>
      <c r="B3043" s="11">
        <v>4017890123450</v>
      </c>
      <c r="C3043" s="1" t="s">
        <v>65</v>
      </c>
      <c r="D3043" s="1" t="s">
        <v>39</v>
      </c>
      <c r="E3043" s="1" t="s">
        <v>22</v>
      </c>
      <c r="F3043">
        <v>7.6</v>
      </c>
      <c r="G3043">
        <v>1</v>
      </c>
      <c r="H3043" s="1" t="s">
        <v>14</v>
      </c>
      <c r="I3043" s="1" t="s">
        <v>15</v>
      </c>
      <c r="J3043" s="12">
        <v>45869</v>
      </c>
      <c r="K3043">
        <v>0</v>
      </c>
      <c r="L3043" s="1">
        <f t="shared" si="188"/>
        <v>7.6</v>
      </c>
      <c r="M3043" s="1" t="str">
        <f t="shared" si="189"/>
        <v/>
      </c>
      <c r="N3043" s="2">
        <f t="shared" si="190"/>
        <v>45839</v>
      </c>
      <c r="O3043" t="str">
        <f t="shared" si="191"/>
        <v>pes</v>
      </c>
    </row>
    <row r="3044" spans="1:15" x14ac:dyDescent="0.25">
      <c r="A3044">
        <v>10550</v>
      </c>
      <c r="B3044" s="11">
        <v>8599988776654</v>
      </c>
      <c r="C3044" s="1" t="s">
        <v>393</v>
      </c>
      <c r="D3044" s="1" t="s">
        <v>133</v>
      </c>
      <c r="E3044" s="1" t="s">
        <v>17</v>
      </c>
      <c r="F3044">
        <v>16.8</v>
      </c>
      <c r="G3044">
        <v>2</v>
      </c>
      <c r="H3044" s="1" t="s">
        <v>14</v>
      </c>
      <c r="I3044" s="1" t="s">
        <v>15</v>
      </c>
      <c r="J3044" s="12">
        <v>45869</v>
      </c>
      <c r="K3044">
        <v>0</v>
      </c>
      <c r="L3044" s="1">
        <f t="shared" si="188"/>
        <v>33.6</v>
      </c>
      <c r="M3044" s="1" t="str">
        <f t="shared" si="189"/>
        <v/>
      </c>
      <c r="N3044" s="2">
        <f t="shared" si="190"/>
        <v>45839</v>
      </c>
      <c r="O3044" t="str">
        <f t="shared" si="191"/>
        <v>pes</v>
      </c>
    </row>
    <row r="3045" spans="1:15" hidden="1" x14ac:dyDescent="0.25">
      <c r="A3045">
        <v>10551</v>
      </c>
      <c r="B3045" s="11">
        <v>4010123456783</v>
      </c>
      <c r="C3045" s="1" t="s">
        <v>35</v>
      </c>
      <c r="D3045" s="1" t="s">
        <v>36</v>
      </c>
      <c r="E3045" s="1" t="s">
        <v>37</v>
      </c>
      <c r="F3045">
        <v>14</v>
      </c>
      <c r="G3045">
        <v>1</v>
      </c>
      <c r="H3045" s="1" t="s">
        <v>14</v>
      </c>
      <c r="I3045" s="1" t="s">
        <v>15</v>
      </c>
      <c r="J3045" s="12">
        <v>45869</v>
      </c>
      <c r="K3045">
        <v>0</v>
      </c>
      <c r="L3045" s="1">
        <f t="shared" si="188"/>
        <v>14</v>
      </c>
      <c r="M3045" s="1" t="str">
        <f t="shared" si="189"/>
        <v/>
      </c>
      <c r="N3045" s="2">
        <f t="shared" si="190"/>
        <v>45839</v>
      </c>
      <c r="O3045" t="str">
        <f t="shared" si="191"/>
        <v>mačka</v>
      </c>
    </row>
    <row r="3046" spans="1:15" x14ac:dyDescent="0.25">
      <c r="A3046">
        <v>10552</v>
      </c>
      <c r="B3046" s="11">
        <v>8599988776654</v>
      </c>
      <c r="C3046" s="1" t="s">
        <v>393</v>
      </c>
      <c r="D3046" s="1" t="s">
        <v>133</v>
      </c>
      <c r="E3046" s="1" t="s">
        <v>17</v>
      </c>
      <c r="F3046">
        <v>16.8</v>
      </c>
      <c r="G3046">
        <v>1</v>
      </c>
      <c r="H3046" s="1" t="s">
        <v>14</v>
      </c>
      <c r="I3046" s="1" t="s">
        <v>15</v>
      </c>
      <c r="J3046" s="12">
        <v>45869</v>
      </c>
      <c r="K3046">
        <v>0</v>
      </c>
      <c r="L3046" s="1">
        <f t="shared" si="188"/>
        <v>16.8</v>
      </c>
      <c r="M3046" s="1" t="str">
        <f t="shared" si="189"/>
        <v/>
      </c>
      <c r="N3046" s="2">
        <f t="shared" si="190"/>
        <v>45839</v>
      </c>
      <c r="O3046" t="str">
        <f t="shared" si="191"/>
        <v>pes</v>
      </c>
    </row>
    <row r="3047" spans="1:15" x14ac:dyDescent="0.25">
      <c r="A3047">
        <v>10553</v>
      </c>
      <c r="B3047" s="11">
        <v>4063456789014</v>
      </c>
      <c r="C3047" s="1" t="s">
        <v>60</v>
      </c>
      <c r="D3047" s="1" t="s">
        <v>12</v>
      </c>
      <c r="E3047" s="1" t="s">
        <v>61</v>
      </c>
      <c r="F3047">
        <v>36</v>
      </c>
      <c r="G3047">
        <v>1</v>
      </c>
      <c r="H3047" s="1" t="s">
        <v>18</v>
      </c>
      <c r="I3047" s="1" t="s">
        <v>514</v>
      </c>
      <c r="J3047" s="12">
        <v>45869</v>
      </c>
      <c r="K3047">
        <v>0</v>
      </c>
      <c r="L3047" s="1">
        <f t="shared" si="188"/>
        <v>36</v>
      </c>
      <c r="M3047" s="1">
        <f t="shared" si="189"/>
        <v>4</v>
      </c>
      <c r="N3047" s="2">
        <f t="shared" si="190"/>
        <v>45839</v>
      </c>
      <c r="O3047" t="str">
        <f t="shared" si="191"/>
        <v>pes</v>
      </c>
    </row>
    <row r="3048" spans="1:15" x14ac:dyDescent="0.25">
      <c r="A3048">
        <v>10554</v>
      </c>
      <c r="B3048" s="11">
        <v>8599988776654</v>
      </c>
      <c r="C3048" s="1" t="s">
        <v>393</v>
      </c>
      <c r="D3048" s="1" t="s">
        <v>133</v>
      </c>
      <c r="E3048" s="1" t="s">
        <v>17</v>
      </c>
      <c r="F3048">
        <v>16.8</v>
      </c>
      <c r="G3048">
        <v>1</v>
      </c>
      <c r="H3048" s="1" t="s">
        <v>14</v>
      </c>
      <c r="I3048" s="1" t="s">
        <v>15</v>
      </c>
      <c r="J3048" s="12">
        <v>45869</v>
      </c>
      <c r="K3048">
        <v>0</v>
      </c>
      <c r="L3048" s="1">
        <f t="shared" si="188"/>
        <v>16.8</v>
      </c>
      <c r="M3048" s="1" t="str">
        <f t="shared" si="189"/>
        <v/>
      </c>
      <c r="N3048" s="2">
        <f t="shared" si="190"/>
        <v>45839</v>
      </c>
      <c r="O3048" t="str">
        <f t="shared" si="191"/>
        <v>pes</v>
      </c>
    </row>
    <row r="3049" spans="1:15" hidden="1" x14ac:dyDescent="0.25">
      <c r="A3049">
        <v>10555</v>
      </c>
      <c r="B3049" s="11">
        <v>4021234567894</v>
      </c>
      <c r="C3049" s="1" t="s">
        <v>79</v>
      </c>
      <c r="D3049" s="1" t="s">
        <v>36</v>
      </c>
      <c r="E3049" s="1" t="s">
        <v>69</v>
      </c>
      <c r="F3049">
        <v>8</v>
      </c>
      <c r="G3049">
        <v>1</v>
      </c>
      <c r="H3049" s="1" t="s">
        <v>14</v>
      </c>
      <c r="I3049" s="1" t="s">
        <v>15</v>
      </c>
      <c r="J3049" s="12">
        <v>45869</v>
      </c>
      <c r="K3049">
        <v>0</v>
      </c>
      <c r="L3049" s="1">
        <f t="shared" si="188"/>
        <v>8</v>
      </c>
      <c r="M3049" s="1" t="str">
        <f t="shared" si="189"/>
        <v/>
      </c>
      <c r="N3049" s="2">
        <f t="shared" si="190"/>
        <v>45839</v>
      </c>
      <c r="O3049" t="str">
        <f t="shared" si="191"/>
        <v>mačka</v>
      </c>
    </row>
    <row r="3050" spans="1:15" x14ac:dyDescent="0.25">
      <c r="A3050">
        <v>10556</v>
      </c>
      <c r="B3050" s="11">
        <v>8599988776654</v>
      </c>
      <c r="C3050" s="1" t="s">
        <v>393</v>
      </c>
      <c r="D3050" s="1" t="s">
        <v>133</v>
      </c>
      <c r="E3050" s="1" t="s">
        <v>17</v>
      </c>
      <c r="F3050">
        <v>16.8</v>
      </c>
      <c r="G3050">
        <v>2</v>
      </c>
      <c r="H3050" s="1" t="s">
        <v>18</v>
      </c>
      <c r="I3050" s="1" t="s">
        <v>515</v>
      </c>
      <c r="J3050" s="12">
        <v>45869</v>
      </c>
      <c r="K3050">
        <v>0</v>
      </c>
      <c r="L3050" s="1">
        <f t="shared" si="188"/>
        <v>33.6</v>
      </c>
      <c r="M3050" s="1">
        <f t="shared" si="189"/>
        <v>4</v>
      </c>
      <c r="N3050" s="2">
        <f t="shared" si="190"/>
        <v>45839</v>
      </c>
      <c r="O3050" t="str">
        <f t="shared" si="191"/>
        <v>pes</v>
      </c>
    </row>
    <row r="3051" spans="1:15" hidden="1" x14ac:dyDescent="0.25">
      <c r="A3051">
        <v>10557</v>
      </c>
      <c r="B3051" s="11">
        <v>4056789012345</v>
      </c>
      <c r="C3051" s="1" t="s">
        <v>47</v>
      </c>
      <c r="D3051" s="1" t="s">
        <v>29</v>
      </c>
      <c r="E3051" s="1" t="s">
        <v>37</v>
      </c>
      <c r="F3051">
        <v>2.4</v>
      </c>
      <c r="G3051">
        <v>1</v>
      </c>
      <c r="H3051" s="1" t="s">
        <v>14</v>
      </c>
      <c r="I3051" s="1" t="s">
        <v>15</v>
      </c>
      <c r="J3051" s="12">
        <v>45869</v>
      </c>
      <c r="K3051">
        <v>0</v>
      </c>
      <c r="L3051" s="1">
        <f t="shared" si="188"/>
        <v>2.4</v>
      </c>
      <c r="M3051" s="1" t="str">
        <f t="shared" si="189"/>
        <v/>
      </c>
      <c r="N3051" s="2">
        <f t="shared" si="190"/>
        <v>45839</v>
      </c>
      <c r="O3051" t="str">
        <f t="shared" si="191"/>
        <v>mačka</v>
      </c>
    </row>
    <row r="3052" spans="1:15" x14ac:dyDescent="0.25">
      <c r="A3052">
        <v>10558</v>
      </c>
      <c r="B3052" s="11">
        <v>8599988776654</v>
      </c>
      <c r="C3052" s="1" t="s">
        <v>393</v>
      </c>
      <c r="D3052" s="1" t="s">
        <v>133</v>
      </c>
      <c r="E3052" s="1" t="s">
        <v>17</v>
      </c>
      <c r="F3052">
        <v>16.8</v>
      </c>
      <c r="G3052">
        <v>1</v>
      </c>
      <c r="H3052" s="1" t="s">
        <v>14</v>
      </c>
      <c r="I3052" s="1" t="s">
        <v>15</v>
      </c>
      <c r="J3052" s="12">
        <v>45869</v>
      </c>
      <c r="K3052">
        <v>0</v>
      </c>
      <c r="L3052" s="1">
        <f t="shared" si="188"/>
        <v>16.8</v>
      </c>
      <c r="M3052" s="1" t="str">
        <f t="shared" si="189"/>
        <v/>
      </c>
      <c r="N3052" s="2">
        <f t="shared" si="190"/>
        <v>45839</v>
      </c>
      <c r="O3052" t="str">
        <f t="shared" si="191"/>
        <v>pes</v>
      </c>
    </row>
    <row r="3053" spans="1:15" x14ac:dyDescent="0.25">
      <c r="A3053">
        <v>10559</v>
      </c>
      <c r="B3053" s="11">
        <v>4013456789017</v>
      </c>
      <c r="C3053" s="1" t="s">
        <v>11</v>
      </c>
      <c r="D3053" s="1" t="s">
        <v>12</v>
      </c>
      <c r="E3053" s="1" t="s">
        <v>13</v>
      </c>
      <c r="F3053">
        <v>6</v>
      </c>
      <c r="G3053">
        <v>1</v>
      </c>
      <c r="H3053" s="1" t="s">
        <v>23</v>
      </c>
      <c r="I3053" s="1" t="s">
        <v>516</v>
      </c>
      <c r="J3053" s="12">
        <v>45869</v>
      </c>
      <c r="K3053">
        <v>0</v>
      </c>
      <c r="L3053" s="1">
        <f t="shared" si="188"/>
        <v>6</v>
      </c>
      <c r="M3053" s="1">
        <f t="shared" si="189"/>
        <v>5</v>
      </c>
      <c r="N3053" s="2">
        <f t="shared" si="190"/>
        <v>45839</v>
      </c>
      <c r="O3053" t="str">
        <f t="shared" si="191"/>
        <v>pes</v>
      </c>
    </row>
    <row r="3054" spans="1:15" x14ac:dyDescent="0.25">
      <c r="A3054">
        <v>10560</v>
      </c>
      <c r="B3054" s="11">
        <v>8599988776654</v>
      </c>
      <c r="C3054" s="1" t="s">
        <v>393</v>
      </c>
      <c r="D3054" s="1" t="s">
        <v>133</v>
      </c>
      <c r="E3054" s="1" t="s">
        <v>17</v>
      </c>
      <c r="F3054">
        <v>16.8</v>
      </c>
      <c r="G3054">
        <v>1</v>
      </c>
      <c r="H3054" s="1" t="s">
        <v>14</v>
      </c>
      <c r="I3054" s="1" t="s">
        <v>15</v>
      </c>
      <c r="J3054" s="12">
        <v>45869</v>
      </c>
      <c r="K3054">
        <v>0</v>
      </c>
      <c r="L3054" s="1">
        <f t="shared" si="188"/>
        <v>16.8</v>
      </c>
      <c r="M3054" s="1" t="str">
        <f t="shared" si="189"/>
        <v/>
      </c>
      <c r="N3054" s="2">
        <f t="shared" si="190"/>
        <v>45839</v>
      </c>
      <c r="O3054" t="str">
        <f t="shared" si="191"/>
        <v>pes</v>
      </c>
    </row>
    <row r="3055" spans="1:15" hidden="1" x14ac:dyDescent="0.25">
      <c r="A3055">
        <v>10561</v>
      </c>
      <c r="B3055" s="11">
        <v>4010123456783</v>
      </c>
      <c r="C3055" s="1" t="s">
        <v>35</v>
      </c>
      <c r="D3055" s="1" t="s">
        <v>36</v>
      </c>
      <c r="E3055" s="1" t="s">
        <v>37</v>
      </c>
      <c r="F3055">
        <v>14</v>
      </c>
      <c r="G3055">
        <v>1</v>
      </c>
      <c r="H3055" s="1" t="s">
        <v>14</v>
      </c>
      <c r="I3055" s="1" t="s">
        <v>15</v>
      </c>
      <c r="J3055" s="12">
        <v>45869</v>
      </c>
      <c r="K3055">
        <v>0</v>
      </c>
      <c r="L3055" s="1">
        <f t="shared" si="188"/>
        <v>14</v>
      </c>
      <c r="M3055" s="1" t="str">
        <f t="shared" si="189"/>
        <v/>
      </c>
      <c r="N3055" s="2">
        <f t="shared" si="190"/>
        <v>45839</v>
      </c>
      <c r="O3055" t="str">
        <f t="shared" si="191"/>
        <v>mačka</v>
      </c>
    </row>
    <row r="3056" spans="1:15" x14ac:dyDescent="0.25">
      <c r="A3056">
        <v>10562</v>
      </c>
      <c r="B3056" s="11">
        <v>8599988776654</v>
      </c>
      <c r="C3056" s="1" t="s">
        <v>393</v>
      </c>
      <c r="D3056" s="1" t="s">
        <v>133</v>
      </c>
      <c r="E3056" s="1" t="s">
        <v>17</v>
      </c>
      <c r="F3056">
        <v>16.8</v>
      </c>
      <c r="G3056">
        <v>2</v>
      </c>
      <c r="H3056" s="1" t="s">
        <v>14</v>
      </c>
      <c r="I3056" s="1" t="s">
        <v>15</v>
      </c>
      <c r="J3056" s="12">
        <v>45869</v>
      </c>
      <c r="K3056">
        <v>0</v>
      </c>
      <c r="L3056" s="1">
        <f t="shared" si="188"/>
        <v>33.6</v>
      </c>
      <c r="M3056" s="1" t="str">
        <f t="shared" si="189"/>
        <v/>
      </c>
      <c r="N3056" s="2">
        <f t="shared" si="190"/>
        <v>45839</v>
      </c>
      <c r="O3056" t="str">
        <f t="shared" si="191"/>
        <v>pes</v>
      </c>
    </row>
    <row r="3057" spans="1:15" x14ac:dyDescent="0.25">
      <c r="A3057">
        <v>10563</v>
      </c>
      <c r="B3057" s="11">
        <v>4017890123450</v>
      </c>
      <c r="C3057" s="1" t="s">
        <v>65</v>
      </c>
      <c r="D3057" s="1" t="s">
        <v>39</v>
      </c>
      <c r="E3057" s="1" t="s">
        <v>22</v>
      </c>
      <c r="F3057">
        <v>7.6</v>
      </c>
      <c r="G3057">
        <v>1</v>
      </c>
      <c r="H3057" s="1" t="s">
        <v>18</v>
      </c>
      <c r="I3057" s="1" t="s">
        <v>517</v>
      </c>
      <c r="J3057" s="12">
        <v>45869</v>
      </c>
      <c r="K3057">
        <v>0</v>
      </c>
      <c r="L3057" s="1">
        <f t="shared" si="188"/>
        <v>7.6</v>
      </c>
      <c r="M3057" s="1">
        <f t="shared" si="189"/>
        <v>4</v>
      </c>
      <c r="N3057" s="2">
        <f t="shared" si="190"/>
        <v>45839</v>
      </c>
      <c r="O3057" t="str">
        <f t="shared" si="191"/>
        <v>pes</v>
      </c>
    </row>
    <row r="3058" spans="1:15" x14ac:dyDescent="0.25">
      <c r="A3058">
        <v>10564</v>
      </c>
      <c r="B3058" s="11">
        <v>8599988776654</v>
      </c>
      <c r="C3058" s="1" t="s">
        <v>393</v>
      </c>
      <c r="D3058" s="1" t="s">
        <v>133</v>
      </c>
      <c r="E3058" s="1" t="s">
        <v>17</v>
      </c>
      <c r="F3058">
        <v>16.8</v>
      </c>
      <c r="G3058">
        <v>1</v>
      </c>
      <c r="H3058" s="1" t="s">
        <v>14</v>
      </c>
      <c r="I3058" s="1" t="s">
        <v>15</v>
      </c>
      <c r="J3058" s="12">
        <v>45869</v>
      </c>
      <c r="K3058">
        <v>0</v>
      </c>
      <c r="L3058" s="1">
        <f t="shared" si="188"/>
        <v>16.8</v>
      </c>
      <c r="M3058" s="1" t="str">
        <f t="shared" si="189"/>
        <v/>
      </c>
      <c r="N3058" s="2">
        <f t="shared" si="190"/>
        <v>45839</v>
      </c>
      <c r="O3058" t="str">
        <f t="shared" si="191"/>
        <v>pes</v>
      </c>
    </row>
    <row r="3059" spans="1:15" x14ac:dyDescent="0.25">
      <c r="A3059">
        <v>10565</v>
      </c>
      <c r="B3059" s="11">
        <v>4028899001126</v>
      </c>
      <c r="C3059" s="1" t="s">
        <v>16</v>
      </c>
      <c r="D3059" s="1" t="s">
        <v>12</v>
      </c>
      <c r="E3059" s="1" t="s">
        <v>17</v>
      </c>
      <c r="F3059">
        <v>2.8</v>
      </c>
      <c r="G3059">
        <v>3</v>
      </c>
      <c r="H3059" s="1" t="s">
        <v>14</v>
      </c>
      <c r="I3059" s="1" t="s">
        <v>15</v>
      </c>
      <c r="J3059" s="12">
        <v>45869</v>
      </c>
      <c r="K3059">
        <v>0</v>
      </c>
      <c r="L3059" s="1">
        <f t="shared" si="188"/>
        <v>8.3999999999999986</v>
      </c>
      <c r="M3059" s="1" t="str">
        <f t="shared" si="189"/>
        <v/>
      </c>
      <c r="N3059" s="2">
        <f t="shared" si="190"/>
        <v>45839</v>
      </c>
      <c r="O3059" t="str">
        <f t="shared" si="191"/>
        <v>pes</v>
      </c>
    </row>
    <row r="3060" spans="1:15" x14ac:dyDescent="0.25">
      <c r="A3060">
        <v>10566</v>
      </c>
      <c r="B3060" s="11">
        <v>8599988776654</v>
      </c>
      <c r="C3060" s="1" t="s">
        <v>393</v>
      </c>
      <c r="D3060" s="1" t="s">
        <v>133</v>
      </c>
      <c r="E3060" s="1" t="s">
        <v>17</v>
      </c>
      <c r="F3060">
        <v>16.8</v>
      </c>
      <c r="G3060">
        <v>1</v>
      </c>
      <c r="H3060" s="1" t="s">
        <v>14</v>
      </c>
      <c r="I3060" s="1" t="s">
        <v>15</v>
      </c>
      <c r="J3060" s="12">
        <v>45869</v>
      </c>
      <c r="K3060">
        <v>0</v>
      </c>
      <c r="L3060" s="1">
        <f t="shared" si="188"/>
        <v>16.8</v>
      </c>
      <c r="M3060" s="1" t="str">
        <f t="shared" si="189"/>
        <v/>
      </c>
      <c r="N3060" s="2">
        <f t="shared" si="190"/>
        <v>45839</v>
      </c>
      <c r="O3060" t="str">
        <f t="shared" si="191"/>
        <v>pes</v>
      </c>
    </row>
    <row r="3061" spans="1:15" hidden="1" x14ac:dyDescent="0.25">
      <c r="A3061">
        <v>10567</v>
      </c>
      <c r="B3061" s="11">
        <v>4056789012345</v>
      </c>
      <c r="C3061" s="1" t="s">
        <v>47</v>
      </c>
      <c r="D3061" s="1" t="s">
        <v>29</v>
      </c>
      <c r="E3061" s="1" t="s">
        <v>37</v>
      </c>
      <c r="F3061">
        <v>2.4</v>
      </c>
      <c r="G3061">
        <v>2</v>
      </c>
      <c r="H3061" s="1" t="s">
        <v>18</v>
      </c>
      <c r="I3061" s="1" t="s">
        <v>518</v>
      </c>
      <c r="J3061" s="12">
        <v>45869</v>
      </c>
      <c r="K3061">
        <v>0</v>
      </c>
      <c r="L3061" s="1">
        <f t="shared" si="188"/>
        <v>4.8</v>
      </c>
      <c r="M3061" s="1">
        <f t="shared" si="189"/>
        <v>4</v>
      </c>
      <c r="N3061" s="2">
        <f t="shared" si="190"/>
        <v>45839</v>
      </c>
      <c r="O3061" t="str">
        <f t="shared" si="191"/>
        <v>mačka</v>
      </c>
    </row>
    <row r="3062" spans="1:15" x14ac:dyDescent="0.25">
      <c r="A3062">
        <v>10568</v>
      </c>
      <c r="B3062" s="11">
        <v>8599988776654</v>
      </c>
      <c r="C3062" s="1" t="s">
        <v>393</v>
      </c>
      <c r="D3062" s="1" t="s">
        <v>133</v>
      </c>
      <c r="E3062" s="1" t="s">
        <v>17</v>
      </c>
      <c r="F3062">
        <v>16.8</v>
      </c>
      <c r="G3062">
        <v>1</v>
      </c>
      <c r="H3062" s="1" t="s">
        <v>14</v>
      </c>
      <c r="I3062" s="1" t="s">
        <v>15</v>
      </c>
      <c r="J3062" s="12">
        <v>45869</v>
      </c>
      <c r="K3062">
        <v>0</v>
      </c>
      <c r="L3062" s="1">
        <f t="shared" si="188"/>
        <v>16.8</v>
      </c>
      <c r="M3062" s="1" t="str">
        <f t="shared" si="189"/>
        <v/>
      </c>
      <c r="N3062" s="2">
        <f t="shared" si="190"/>
        <v>45839</v>
      </c>
      <c r="O3062" t="str">
        <f t="shared" si="191"/>
        <v>pes</v>
      </c>
    </row>
    <row r="3063" spans="1:15" x14ac:dyDescent="0.25">
      <c r="A3063">
        <v>10569</v>
      </c>
      <c r="B3063" s="11">
        <v>4013456789017</v>
      </c>
      <c r="C3063" s="1" t="s">
        <v>11</v>
      </c>
      <c r="D3063" s="1" t="s">
        <v>12</v>
      </c>
      <c r="E3063" s="1" t="s">
        <v>13</v>
      </c>
      <c r="F3063">
        <v>6</v>
      </c>
      <c r="G3063">
        <v>1</v>
      </c>
      <c r="H3063" s="1" t="s">
        <v>14</v>
      </c>
      <c r="I3063" s="1" t="s">
        <v>15</v>
      </c>
      <c r="J3063" s="12">
        <v>45869</v>
      </c>
      <c r="K3063">
        <v>0</v>
      </c>
      <c r="L3063" s="1">
        <f t="shared" si="188"/>
        <v>6</v>
      </c>
      <c r="M3063" s="1" t="str">
        <f t="shared" si="189"/>
        <v/>
      </c>
      <c r="N3063" s="2">
        <f t="shared" si="190"/>
        <v>45839</v>
      </c>
      <c r="O3063" t="str">
        <f t="shared" si="191"/>
        <v>pes</v>
      </c>
    </row>
    <row r="3064" spans="1:15" x14ac:dyDescent="0.25">
      <c r="A3064">
        <v>10570</v>
      </c>
      <c r="B3064" s="11">
        <v>8599988776654</v>
      </c>
      <c r="C3064" s="1" t="s">
        <v>393</v>
      </c>
      <c r="D3064" s="1" t="s">
        <v>133</v>
      </c>
      <c r="E3064" s="1" t="s">
        <v>17</v>
      </c>
      <c r="F3064">
        <v>16.8</v>
      </c>
      <c r="G3064">
        <v>2</v>
      </c>
      <c r="H3064" s="1" t="s">
        <v>14</v>
      </c>
      <c r="I3064" s="1" t="s">
        <v>15</v>
      </c>
      <c r="J3064" s="12">
        <v>45869</v>
      </c>
      <c r="K3064">
        <v>0</v>
      </c>
      <c r="L3064" s="1">
        <f t="shared" si="188"/>
        <v>33.6</v>
      </c>
      <c r="M3064" s="1" t="str">
        <f t="shared" si="189"/>
        <v/>
      </c>
      <c r="N3064" s="2">
        <f t="shared" si="190"/>
        <v>45839</v>
      </c>
      <c r="O3064" t="str">
        <f t="shared" si="191"/>
        <v>pes</v>
      </c>
    </row>
    <row r="3065" spans="1:15" x14ac:dyDescent="0.25">
      <c r="A3065">
        <v>10571</v>
      </c>
      <c r="B3065" s="11">
        <v>4017890123450</v>
      </c>
      <c r="C3065" s="1" t="s">
        <v>65</v>
      </c>
      <c r="D3065" s="1" t="s">
        <v>39</v>
      </c>
      <c r="E3065" s="1" t="s">
        <v>22</v>
      </c>
      <c r="F3065">
        <v>7.6</v>
      </c>
      <c r="G3065">
        <v>1</v>
      </c>
      <c r="H3065" s="1" t="s">
        <v>23</v>
      </c>
      <c r="I3065" s="1" t="s">
        <v>519</v>
      </c>
      <c r="J3065" s="12">
        <v>45869</v>
      </c>
      <c r="K3065">
        <v>0</v>
      </c>
      <c r="L3065" s="1">
        <f t="shared" si="188"/>
        <v>7.6</v>
      </c>
      <c r="M3065" s="1">
        <f t="shared" si="189"/>
        <v>5</v>
      </c>
      <c r="N3065" s="2">
        <f t="shared" si="190"/>
        <v>45839</v>
      </c>
      <c r="O3065" t="str">
        <f t="shared" si="191"/>
        <v>pes</v>
      </c>
    </row>
    <row r="3066" spans="1:15" x14ac:dyDescent="0.25">
      <c r="A3066">
        <v>10572</v>
      </c>
      <c r="B3066" s="11">
        <v>8599988776654</v>
      </c>
      <c r="C3066" s="1" t="s">
        <v>393</v>
      </c>
      <c r="D3066" s="1" t="s">
        <v>133</v>
      </c>
      <c r="E3066" s="1" t="s">
        <v>17</v>
      </c>
      <c r="F3066">
        <v>16.8</v>
      </c>
      <c r="G3066">
        <v>1</v>
      </c>
      <c r="H3066" s="1" t="s">
        <v>14</v>
      </c>
      <c r="I3066" s="1" t="s">
        <v>15</v>
      </c>
      <c r="J3066" s="12">
        <v>45869</v>
      </c>
      <c r="K3066">
        <v>0</v>
      </c>
      <c r="L3066" s="1">
        <f t="shared" si="188"/>
        <v>16.8</v>
      </c>
      <c r="M3066" s="1" t="str">
        <f t="shared" si="189"/>
        <v/>
      </c>
      <c r="N3066" s="2">
        <f t="shared" si="190"/>
        <v>45839</v>
      </c>
      <c r="O3066" t="str">
        <f t="shared" si="191"/>
        <v>pes</v>
      </c>
    </row>
    <row r="3067" spans="1:15" hidden="1" x14ac:dyDescent="0.25">
      <c r="A3067">
        <v>10573</v>
      </c>
      <c r="B3067" s="11">
        <v>4010123456783</v>
      </c>
      <c r="C3067" s="1" t="s">
        <v>35</v>
      </c>
      <c r="D3067" s="1" t="s">
        <v>36</v>
      </c>
      <c r="E3067" s="1" t="s">
        <v>37</v>
      </c>
      <c r="F3067">
        <v>14</v>
      </c>
      <c r="G3067">
        <v>1</v>
      </c>
      <c r="H3067" s="1" t="s">
        <v>14</v>
      </c>
      <c r="I3067" s="1" t="s">
        <v>15</v>
      </c>
      <c r="J3067" s="12">
        <v>45869</v>
      </c>
      <c r="K3067">
        <v>0</v>
      </c>
      <c r="L3067" s="1">
        <f t="shared" si="188"/>
        <v>14</v>
      </c>
      <c r="M3067" s="1" t="str">
        <f t="shared" si="189"/>
        <v/>
      </c>
      <c r="N3067" s="2">
        <f t="shared" si="190"/>
        <v>45839</v>
      </c>
      <c r="O3067" t="str">
        <f t="shared" si="191"/>
        <v>mačka</v>
      </c>
    </row>
    <row r="3068" spans="1:15" x14ac:dyDescent="0.25">
      <c r="A3068">
        <v>10574</v>
      </c>
      <c r="B3068" s="11">
        <v>8599988776654</v>
      </c>
      <c r="C3068" s="1" t="s">
        <v>393</v>
      </c>
      <c r="D3068" s="1" t="s">
        <v>133</v>
      </c>
      <c r="E3068" s="1" t="s">
        <v>17</v>
      </c>
      <c r="F3068">
        <v>16.8</v>
      </c>
      <c r="G3068">
        <v>1</v>
      </c>
      <c r="H3068" s="1" t="s">
        <v>18</v>
      </c>
      <c r="I3068" s="1" t="s">
        <v>520</v>
      </c>
      <c r="J3068" s="12">
        <v>45869</v>
      </c>
      <c r="K3068">
        <v>0</v>
      </c>
      <c r="L3068" s="1">
        <f t="shared" si="188"/>
        <v>16.8</v>
      </c>
      <c r="M3068" s="1">
        <f t="shared" si="189"/>
        <v>4</v>
      </c>
      <c r="N3068" s="2">
        <f t="shared" si="190"/>
        <v>45839</v>
      </c>
      <c r="O3068" t="str">
        <f t="shared" si="191"/>
        <v>pes</v>
      </c>
    </row>
    <row r="3069" spans="1:15" x14ac:dyDescent="0.25">
      <c r="A3069">
        <v>10575</v>
      </c>
      <c r="B3069" s="11">
        <v>4027788990013</v>
      </c>
      <c r="C3069" s="1" t="s">
        <v>43</v>
      </c>
      <c r="D3069" s="1" t="s">
        <v>21</v>
      </c>
      <c r="E3069" s="1" t="s">
        <v>22</v>
      </c>
      <c r="F3069">
        <v>8</v>
      </c>
      <c r="G3069">
        <v>1</v>
      </c>
      <c r="H3069" s="1" t="s">
        <v>14</v>
      </c>
      <c r="I3069" s="1" t="s">
        <v>15</v>
      </c>
      <c r="J3069" s="12">
        <v>45869</v>
      </c>
      <c r="K3069">
        <v>0</v>
      </c>
      <c r="L3069" s="1">
        <f t="shared" si="188"/>
        <v>8</v>
      </c>
      <c r="M3069" s="1" t="str">
        <f t="shared" si="189"/>
        <v/>
      </c>
      <c r="N3069" s="2">
        <f t="shared" si="190"/>
        <v>45839</v>
      </c>
      <c r="O3069" t="str">
        <f t="shared" si="191"/>
        <v>pes</v>
      </c>
    </row>
    <row r="3070" spans="1:15" x14ac:dyDescent="0.25">
      <c r="A3070">
        <v>10576</v>
      </c>
      <c r="B3070" s="11">
        <v>8599988776654</v>
      </c>
      <c r="C3070" s="1" t="s">
        <v>393</v>
      </c>
      <c r="D3070" s="1" t="s">
        <v>133</v>
      </c>
      <c r="E3070" s="1" t="s">
        <v>17</v>
      </c>
      <c r="F3070">
        <v>16.8</v>
      </c>
      <c r="G3070">
        <v>2</v>
      </c>
      <c r="H3070" s="1" t="s">
        <v>14</v>
      </c>
      <c r="I3070" s="1" t="s">
        <v>15</v>
      </c>
      <c r="J3070" s="12">
        <v>45869</v>
      </c>
      <c r="K3070">
        <v>0</v>
      </c>
      <c r="L3070" s="1">
        <f t="shared" si="188"/>
        <v>33.6</v>
      </c>
      <c r="M3070" s="1" t="str">
        <f t="shared" si="189"/>
        <v/>
      </c>
      <c r="N3070" s="2">
        <f t="shared" si="190"/>
        <v>45839</v>
      </c>
      <c r="O3070" t="str">
        <f t="shared" si="191"/>
        <v>pes</v>
      </c>
    </row>
    <row r="3071" spans="1:15" x14ac:dyDescent="0.25">
      <c r="A3071">
        <v>10577</v>
      </c>
      <c r="B3071" s="11">
        <v>4063456789014</v>
      </c>
      <c r="C3071" s="1" t="s">
        <v>60</v>
      </c>
      <c r="D3071" s="1" t="s">
        <v>12</v>
      </c>
      <c r="E3071" s="1" t="s">
        <v>61</v>
      </c>
      <c r="F3071">
        <v>36</v>
      </c>
      <c r="G3071">
        <v>1</v>
      </c>
      <c r="H3071" s="1" t="s">
        <v>23</v>
      </c>
      <c r="I3071" s="1" t="s">
        <v>521</v>
      </c>
      <c r="J3071" s="12">
        <v>45869</v>
      </c>
      <c r="K3071">
        <v>0</v>
      </c>
      <c r="L3071" s="1">
        <f t="shared" si="188"/>
        <v>36</v>
      </c>
      <c r="M3071" s="1">
        <f t="shared" si="189"/>
        <v>5</v>
      </c>
      <c r="N3071" s="2">
        <f t="shared" si="190"/>
        <v>45839</v>
      </c>
      <c r="O3071" t="str">
        <f t="shared" si="191"/>
        <v>pes</v>
      </c>
    </row>
    <row r="3072" spans="1:15" x14ac:dyDescent="0.25">
      <c r="A3072">
        <v>10578</v>
      </c>
      <c r="B3072" s="11">
        <v>8599988776654</v>
      </c>
      <c r="C3072" s="1" t="s">
        <v>393</v>
      </c>
      <c r="D3072" s="1" t="s">
        <v>133</v>
      </c>
      <c r="E3072" s="1" t="s">
        <v>17</v>
      </c>
      <c r="F3072">
        <v>16.8</v>
      </c>
      <c r="G3072">
        <v>1</v>
      </c>
      <c r="H3072" s="1" t="s">
        <v>14</v>
      </c>
      <c r="I3072" s="1" t="s">
        <v>15</v>
      </c>
      <c r="J3072" s="12">
        <v>45869</v>
      </c>
      <c r="K3072">
        <v>0</v>
      </c>
      <c r="L3072" s="1">
        <f t="shared" si="188"/>
        <v>16.8</v>
      </c>
      <c r="M3072" s="1" t="str">
        <f t="shared" si="189"/>
        <v/>
      </c>
      <c r="N3072" s="2">
        <f t="shared" si="190"/>
        <v>45839</v>
      </c>
      <c r="O3072" t="str">
        <f t="shared" si="191"/>
        <v>pes</v>
      </c>
    </row>
    <row r="3073" spans="1:15" x14ac:dyDescent="0.25">
      <c r="A3073">
        <v>10579</v>
      </c>
      <c r="B3073" s="11">
        <v>4017890123450</v>
      </c>
      <c r="C3073" s="1" t="s">
        <v>65</v>
      </c>
      <c r="D3073" s="1" t="s">
        <v>39</v>
      </c>
      <c r="E3073" s="1" t="s">
        <v>22</v>
      </c>
      <c r="F3073">
        <v>7.6</v>
      </c>
      <c r="G3073">
        <v>1</v>
      </c>
      <c r="H3073" s="1" t="s">
        <v>14</v>
      </c>
      <c r="I3073" s="1" t="s">
        <v>15</v>
      </c>
      <c r="J3073" s="12">
        <v>45869</v>
      </c>
      <c r="K3073">
        <v>0</v>
      </c>
      <c r="L3073" s="1">
        <f t="shared" si="188"/>
        <v>7.6</v>
      </c>
      <c r="M3073" s="1" t="str">
        <f t="shared" si="189"/>
        <v/>
      </c>
      <c r="N3073" s="2">
        <f t="shared" si="190"/>
        <v>45839</v>
      </c>
      <c r="O3073" t="str">
        <f t="shared" si="191"/>
        <v>pes</v>
      </c>
    </row>
    <row r="3074" spans="1:15" x14ac:dyDescent="0.25">
      <c r="A3074">
        <v>10580</v>
      </c>
      <c r="B3074" s="11">
        <v>8599988776654</v>
      </c>
      <c r="C3074" s="1" t="s">
        <v>393</v>
      </c>
      <c r="D3074" s="1" t="s">
        <v>133</v>
      </c>
      <c r="E3074" s="1" t="s">
        <v>17</v>
      </c>
      <c r="F3074">
        <v>16.8</v>
      </c>
      <c r="G3074">
        <v>1</v>
      </c>
      <c r="H3074" s="1" t="s">
        <v>23</v>
      </c>
      <c r="I3074" s="1" t="s">
        <v>522</v>
      </c>
      <c r="J3074" s="12">
        <v>45869</v>
      </c>
      <c r="K3074">
        <v>0</v>
      </c>
      <c r="L3074" s="1">
        <f t="shared" ref="L3074:L3137" si="192">F3074*G3074</f>
        <v>16.8</v>
      </c>
      <c r="M3074" s="1">
        <f t="shared" ref="M3074:M3137" si="193">IF(H3074="NULL", "",VALUE(H3074))</f>
        <v>5</v>
      </c>
      <c r="N3074" s="2">
        <f t="shared" ref="N3074:N3137" si="194">DATE(YEAR(J3074),MONTH(J3074),1)</f>
        <v>45839</v>
      </c>
      <c r="O3074" t="str">
        <f t="shared" ref="O3074:O3137" si="195">IF(ISNUMBER(SEARCH("Mačky",D3074)),"mačka",IF(ISNUMBER(SEARCH("Psy",D3074)),"pes","iné"))</f>
        <v>pes</v>
      </c>
    </row>
    <row r="3075" spans="1:15" x14ac:dyDescent="0.25">
      <c r="A3075">
        <v>10581</v>
      </c>
      <c r="B3075" s="11">
        <v>4028899001126</v>
      </c>
      <c r="C3075" s="1" t="s">
        <v>16</v>
      </c>
      <c r="D3075" s="1" t="s">
        <v>12</v>
      </c>
      <c r="E3075" s="1" t="s">
        <v>17</v>
      </c>
      <c r="F3075">
        <v>2.8</v>
      </c>
      <c r="G3075">
        <v>2</v>
      </c>
      <c r="H3075" s="1" t="s">
        <v>14</v>
      </c>
      <c r="I3075" s="1" t="s">
        <v>15</v>
      </c>
      <c r="J3075" s="12">
        <v>45869</v>
      </c>
      <c r="K3075">
        <v>0</v>
      </c>
      <c r="L3075" s="1">
        <f t="shared" si="192"/>
        <v>5.6</v>
      </c>
      <c r="M3075" s="1" t="str">
        <f t="shared" si="193"/>
        <v/>
      </c>
      <c r="N3075" s="2">
        <f t="shared" si="194"/>
        <v>45839</v>
      </c>
      <c r="O3075" t="str">
        <f t="shared" si="195"/>
        <v>pes</v>
      </c>
    </row>
    <row r="3076" spans="1:15" x14ac:dyDescent="0.25">
      <c r="A3076">
        <v>10582</v>
      </c>
      <c r="B3076" s="11">
        <v>4013456789017</v>
      </c>
      <c r="C3076" s="1" t="s">
        <v>11</v>
      </c>
      <c r="D3076" s="1" t="s">
        <v>12</v>
      </c>
      <c r="E3076" s="1" t="s">
        <v>13</v>
      </c>
      <c r="F3076">
        <v>6</v>
      </c>
      <c r="G3076">
        <v>1</v>
      </c>
      <c r="H3076" s="1" t="s">
        <v>18</v>
      </c>
      <c r="I3076" s="1" t="s">
        <v>523</v>
      </c>
      <c r="J3076" s="12">
        <v>45869</v>
      </c>
      <c r="K3076">
        <v>0</v>
      </c>
      <c r="L3076" s="1">
        <f t="shared" si="192"/>
        <v>6</v>
      </c>
      <c r="M3076" s="1">
        <f t="shared" si="193"/>
        <v>4</v>
      </c>
      <c r="N3076" s="2">
        <f t="shared" si="194"/>
        <v>45839</v>
      </c>
      <c r="O3076" t="str">
        <f t="shared" si="195"/>
        <v>pes</v>
      </c>
    </row>
    <row r="3077" spans="1:15" x14ac:dyDescent="0.25">
      <c r="A3077">
        <v>10583</v>
      </c>
      <c r="B3077" s="11">
        <v>8599988776654</v>
      </c>
      <c r="C3077" s="1" t="s">
        <v>393</v>
      </c>
      <c r="D3077" s="1" t="s">
        <v>133</v>
      </c>
      <c r="E3077" s="1" t="s">
        <v>17</v>
      </c>
      <c r="F3077">
        <v>16.8</v>
      </c>
      <c r="G3077">
        <v>1</v>
      </c>
      <c r="H3077" s="1" t="s">
        <v>14</v>
      </c>
      <c r="I3077" s="1" t="s">
        <v>15</v>
      </c>
      <c r="J3077" s="12">
        <v>45869</v>
      </c>
      <c r="K3077">
        <v>0</v>
      </c>
      <c r="L3077" s="1">
        <f t="shared" si="192"/>
        <v>16.8</v>
      </c>
      <c r="M3077" s="1" t="str">
        <f t="shared" si="193"/>
        <v/>
      </c>
      <c r="N3077" s="2">
        <f t="shared" si="194"/>
        <v>45839</v>
      </c>
      <c r="O3077" t="str">
        <f t="shared" si="195"/>
        <v>pes</v>
      </c>
    </row>
    <row r="3078" spans="1:15" hidden="1" x14ac:dyDescent="0.25">
      <c r="A3078">
        <v>10584</v>
      </c>
      <c r="B3078" s="11">
        <v>4010123456783</v>
      </c>
      <c r="C3078" s="1" t="s">
        <v>35</v>
      </c>
      <c r="D3078" s="1" t="s">
        <v>36</v>
      </c>
      <c r="E3078" s="1" t="s">
        <v>37</v>
      </c>
      <c r="F3078">
        <v>14</v>
      </c>
      <c r="G3078">
        <v>1</v>
      </c>
      <c r="H3078" s="1" t="s">
        <v>14</v>
      </c>
      <c r="I3078" s="1" t="s">
        <v>15</v>
      </c>
      <c r="J3078" s="12">
        <v>45869</v>
      </c>
      <c r="K3078">
        <v>0</v>
      </c>
      <c r="L3078" s="1">
        <f t="shared" si="192"/>
        <v>14</v>
      </c>
      <c r="M3078" s="1" t="str">
        <f t="shared" si="193"/>
        <v/>
      </c>
      <c r="N3078" s="2">
        <f t="shared" si="194"/>
        <v>45839</v>
      </c>
      <c r="O3078" t="str">
        <f t="shared" si="195"/>
        <v>mačka</v>
      </c>
    </row>
    <row r="3079" spans="1:15" x14ac:dyDescent="0.25">
      <c r="A3079">
        <v>10585</v>
      </c>
      <c r="B3079" s="11">
        <v>8599988776654</v>
      </c>
      <c r="C3079" s="1" t="s">
        <v>393</v>
      </c>
      <c r="D3079" s="1" t="s">
        <v>133</v>
      </c>
      <c r="E3079" s="1" t="s">
        <v>17</v>
      </c>
      <c r="F3079">
        <v>16.8</v>
      </c>
      <c r="G3079">
        <v>2</v>
      </c>
      <c r="H3079" s="1" t="s">
        <v>14</v>
      </c>
      <c r="I3079" s="1" t="s">
        <v>15</v>
      </c>
      <c r="J3079" s="12">
        <v>45869</v>
      </c>
      <c r="K3079">
        <v>0</v>
      </c>
      <c r="L3079" s="1">
        <f t="shared" si="192"/>
        <v>33.6</v>
      </c>
      <c r="M3079" s="1" t="str">
        <f t="shared" si="193"/>
        <v/>
      </c>
      <c r="N3079" s="2">
        <f t="shared" si="194"/>
        <v>45839</v>
      </c>
      <c r="O3079" t="str">
        <f t="shared" si="195"/>
        <v>pes</v>
      </c>
    </row>
    <row r="3080" spans="1:15" x14ac:dyDescent="0.25">
      <c r="A3080">
        <v>10586</v>
      </c>
      <c r="B3080" s="11">
        <v>4063456789014</v>
      </c>
      <c r="C3080" s="1" t="s">
        <v>60</v>
      </c>
      <c r="D3080" s="1" t="s">
        <v>12</v>
      </c>
      <c r="E3080" s="1" t="s">
        <v>61</v>
      </c>
      <c r="F3080">
        <v>36</v>
      </c>
      <c r="G3080">
        <v>1</v>
      </c>
      <c r="H3080" s="1" t="s">
        <v>23</v>
      </c>
      <c r="I3080" s="1" t="s">
        <v>524</v>
      </c>
      <c r="J3080" s="12">
        <v>45869</v>
      </c>
      <c r="K3080">
        <v>0</v>
      </c>
      <c r="L3080" s="1">
        <f t="shared" si="192"/>
        <v>36</v>
      </c>
      <c r="M3080" s="1">
        <f t="shared" si="193"/>
        <v>5</v>
      </c>
      <c r="N3080" s="2">
        <f t="shared" si="194"/>
        <v>45839</v>
      </c>
      <c r="O3080" t="str">
        <f t="shared" si="195"/>
        <v>pes</v>
      </c>
    </row>
    <row r="3081" spans="1:15" x14ac:dyDescent="0.25">
      <c r="A3081">
        <v>10587</v>
      </c>
      <c r="B3081" s="11">
        <v>8599988776654</v>
      </c>
      <c r="C3081" s="1" t="s">
        <v>393</v>
      </c>
      <c r="D3081" s="1" t="s">
        <v>133</v>
      </c>
      <c r="E3081" s="1" t="s">
        <v>17</v>
      </c>
      <c r="F3081">
        <v>16.8</v>
      </c>
      <c r="G3081">
        <v>1</v>
      </c>
      <c r="H3081" s="1" t="s">
        <v>14</v>
      </c>
      <c r="I3081" s="1" t="s">
        <v>15</v>
      </c>
      <c r="J3081" s="12">
        <v>45869</v>
      </c>
      <c r="K3081">
        <v>0</v>
      </c>
      <c r="L3081" s="1">
        <f t="shared" si="192"/>
        <v>16.8</v>
      </c>
      <c r="M3081" s="1" t="str">
        <f t="shared" si="193"/>
        <v/>
      </c>
      <c r="N3081" s="2">
        <f t="shared" si="194"/>
        <v>45839</v>
      </c>
      <c r="O3081" t="str">
        <f t="shared" si="195"/>
        <v>pes</v>
      </c>
    </row>
    <row r="3082" spans="1:15" hidden="1" x14ac:dyDescent="0.25">
      <c r="A3082">
        <v>10588</v>
      </c>
      <c r="B3082" s="11">
        <v>4021234567894</v>
      </c>
      <c r="C3082" s="1" t="s">
        <v>79</v>
      </c>
      <c r="D3082" s="1" t="s">
        <v>36</v>
      </c>
      <c r="E3082" s="1" t="s">
        <v>69</v>
      </c>
      <c r="F3082">
        <v>8</v>
      </c>
      <c r="G3082">
        <v>1</v>
      </c>
      <c r="H3082" s="1" t="s">
        <v>14</v>
      </c>
      <c r="I3082" s="1" t="s">
        <v>15</v>
      </c>
      <c r="J3082" s="12">
        <v>45869</v>
      </c>
      <c r="K3082">
        <v>0</v>
      </c>
      <c r="L3082" s="1">
        <f t="shared" si="192"/>
        <v>8</v>
      </c>
      <c r="M3082" s="1" t="str">
        <f t="shared" si="193"/>
        <v/>
      </c>
      <c r="N3082" s="2">
        <f t="shared" si="194"/>
        <v>45839</v>
      </c>
      <c r="O3082" t="str">
        <f t="shared" si="195"/>
        <v>mačka</v>
      </c>
    </row>
    <row r="3083" spans="1:15" x14ac:dyDescent="0.25">
      <c r="A3083">
        <v>10589</v>
      </c>
      <c r="B3083" s="11">
        <v>8599988776654</v>
      </c>
      <c r="C3083" s="1" t="s">
        <v>393</v>
      </c>
      <c r="D3083" s="1" t="s">
        <v>133</v>
      </c>
      <c r="E3083" s="1" t="s">
        <v>17</v>
      </c>
      <c r="F3083">
        <v>16.8</v>
      </c>
      <c r="G3083">
        <v>1</v>
      </c>
      <c r="H3083" s="1" t="s">
        <v>18</v>
      </c>
      <c r="I3083" s="1" t="s">
        <v>525</v>
      </c>
      <c r="J3083" s="12">
        <v>45869</v>
      </c>
      <c r="K3083">
        <v>0</v>
      </c>
      <c r="L3083" s="1">
        <f t="shared" si="192"/>
        <v>16.8</v>
      </c>
      <c r="M3083" s="1">
        <f t="shared" si="193"/>
        <v>4</v>
      </c>
      <c r="N3083" s="2">
        <f t="shared" si="194"/>
        <v>45839</v>
      </c>
      <c r="O3083" t="str">
        <f t="shared" si="195"/>
        <v>pes</v>
      </c>
    </row>
    <row r="3084" spans="1:15" hidden="1" x14ac:dyDescent="0.25">
      <c r="A3084">
        <v>10590</v>
      </c>
      <c r="B3084" s="11">
        <v>4056789012345</v>
      </c>
      <c r="C3084" s="1" t="s">
        <v>47</v>
      </c>
      <c r="D3084" s="1" t="s">
        <v>29</v>
      </c>
      <c r="E3084" s="1" t="s">
        <v>37</v>
      </c>
      <c r="F3084">
        <v>2.4</v>
      </c>
      <c r="G3084">
        <v>2</v>
      </c>
      <c r="H3084" s="1" t="s">
        <v>14</v>
      </c>
      <c r="I3084" s="1" t="s">
        <v>15</v>
      </c>
      <c r="J3084" s="12">
        <v>45869</v>
      </c>
      <c r="K3084">
        <v>0</v>
      </c>
      <c r="L3084" s="1">
        <f t="shared" si="192"/>
        <v>4.8</v>
      </c>
      <c r="M3084" s="1" t="str">
        <f t="shared" si="193"/>
        <v/>
      </c>
      <c r="N3084" s="2">
        <f t="shared" si="194"/>
        <v>45839</v>
      </c>
      <c r="O3084" t="str">
        <f t="shared" si="195"/>
        <v>mačka</v>
      </c>
    </row>
    <row r="3085" spans="1:15" x14ac:dyDescent="0.25">
      <c r="A3085">
        <v>10591</v>
      </c>
      <c r="B3085" s="11">
        <v>8599988776654</v>
      </c>
      <c r="C3085" s="1" t="s">
        <v>393</v>
      </c>
      <c r="D3085" s="1" t="s">
        <v>133</v>
      </c>
      <c r="E3085" s="1" t="s">
        <v>17</v>
      </c>
      <c r="F3085">
        <v>16.8</v>
      </c>
      <c r="G3085">
        <v>1</v>
      </c>
      <c r="H3085" s="1" t="s">
        <v>14</v>
      </c>
      <c r="I3085" s="1" t="s">
        <v>15</v>
      </c>
      <c r="J3085" s="12">
        <v>45869</v>
      </c>
      <c r="K3085">
        <v>0</v>
      </c>
      <c r="L3085" s="1">
        <f t="shared" si="192"/>
        <v>16.8</v>
      </c>
      <c r="M3085" s="1" t="str">
        <f t="shared" si="193"/>
        <v/>
      </c>
      <c r="N3085" s="2">
        <f t="shared" si="194"/>
        <v>45839</v>
      </c>
      <c r="O3085" t="str">
        <f t="shared" si="195"/>
        <v>pes</v>
      </c>
    </row>
    <row r="3086" spans="1:15" x14ac:dyDescent="0.25">
      <c r="A3086">
        <v>10592</v>
      </c>
      <c r="B3086" s="11">
        <v>4017890123450</v>
      </c>
      <c r="C3086" s="1" t="s">
        <v>65</v>
      </c>
      <c r="D3086" s="1" t="s">
        <v>39</v>
      </c>
      <c r="E3086" s="1" t="s">
        <v>22</v>
      </c>
      <c r="F3086">
        <v>7.6</v>
      </c>
      <c r="G3086">
        <v>1</v>
      </c>
      <c r="H3086" s="1" t="s">
        <v>18</v>
      </c>
      <c r="I3086" s="1" t="s">
        <v>526</v>
      </c>
      <c r="J3086" s="12">
        <v>45869</v>
      </c>
      <c r="K3086">
        <v>0</v>
      </c>
      <c r="L3086" s="1">
        <f t="shared" si="192"/>
        <v>7.6</v>
      </c>
      <c r="M3086" s="1">
        <f t="shared" si="193"/>
        <v>4</v>
      </c>
      <c r="N3086" s="2">
        <f t="shared" si="194"/>
        <v>45839</v>
      </c>
      <c r="O3086" t="str">
        <f t="shared" si="195"/>
        <v>pes</v>
      </c>
    </row>
    <row r="3087" spans="1:15" x14ac:dyDescent="0.25">
      <c r="A3087">
        <v>10593</v>
      </c>
      <c r="B3087" s="11">
        <v>8599988776654</v>
      </c>
      <c r="C3087" s="1" t="s">
        <v>393</v>
      </c>
      <c r="D3087" s="1" t="s">
        <v>133</v>
      </c>
      <c r="E3087" s="1" t="s">
        <v>17</v>
      </c>
      <c r="F3087">
        <v>16.8</v>
      </c>
      <c r="G3087">
        <v>1</v>
      </c>
      <c r="H3087" s="1" t="s">
        <v>14</v>
      </c>
      <c r="I3087" s="1" t="s">
        <v>15</v>
      </c>
      <c r="J3087" s="12">
        <v>45869</v>
      </c>
      <c r="K3087">
        <v>0</v>
      </c>
      <c r="L3087" s="1">
        <f t="shared" si="192"/>
        <v>16.8</v>
      </c>
      <c r="M3087" s="1" t="str">
        <f t="shared" si="193"/>
        <v/>
      </c>
      <c r="N3087" s="2">
        <f t="shared" si="194"/>
        <v>45839</v>
      </c>
      <c r="O3087" t="str">
        <f t="shared" si="195"/>
        <v>pes</v>
      </c>
    </row>
    <row r="3088" spans="1:15" hidden="1" x14ac:dyDescent="0.25">
      <c r="A3088">
        <v>10594</v>
      </c>
      <c r="B3088" s="11">
        <v>4010123456783</v>
      </c>
      <c r="C3088" s="1" t="s">
        <v>35</v>
      </c>
      <c r="D3088" s="1" t="s">
        <v>36</v>
      </c>
      <c r="E3088" s="1" t="s">
        <v>37</v>
      </c>
      <c r="F3088">
        <v>14</v>
      </c>
      <c r="G3088">
        <v>1</v>
      </c>
      <c r="H3088" s="1" t="s">
        <v>14</v>
      </c>
      <c r="I3088" s="1" t="s">
        <v>15</v>
      </c>
      <c r="J3088" s="12">
        <v>45869</v>
      </c>
      <c r="K3088">
        <v>0</v>
      </c>
      <c r="L3088" s="1">
        <f t="shared" si="192"/>
        <v>14</v>
      </c>
      <c r="M3088" s="1" t="str">
        <f t="shared" si="193"/>
        <v/>
      </c>
      <c r="N3088" s="2">
        <f t="shared" si="194"/>
        <v>45839</v>
      </c>
      <c r="O3088" t="str">
        <f t="shared" si="195"/>
        <v>mačka</v>
      </c>
    </row>
    <row r="3089" spans="1:15" x14ac:dyDescent="0.25">
      <c r="A3089">
        <v>10595</v>
      </c>
      <c r="B3089" s="11">
        <v>8599988776654</v>
      </c>
      <c r="C3089" s="1" t="s">
        <v>393</v>
      </c>
      <c r="D3089" s="1" t="s">
        <v>133</v>
      </c>
      <c r="E3089" s="1" t="s">
        <v>17</v>
      </c>
      <c r="F3089">
        <v>16.8</v>
      </c>
      <c r="G3089">
        <v>2</v>
      </c>
      <c r="H3089" s="1" t="s">
        <v>14</v>
      </c>
      <c r="I3089" s="1" t="s">
        <v>15</v>
      </c>
      <c r="J3089" s="12">
        <v>45869</v>
      </c>
      <c r="K3089">
        <v>0</v>
      </c>
      <c r="L3089" s="1">
        <f t="shared" si="192"/>
        <v>33.6</v>
      </c>
      <c r="M3089" s="1" t="str">
        <f t="shared" si="193"/>
        <v/>
      </c>
      <c r="N3089" s="2">
        <f t="shared" si="194"/>
        <v>45839</v>
      </c>
      <c r="O3089" t="str">
        <f t="shared" si="195"/>
        <v>pes</v>
      </c>
    </row>
    <row r="3090" spans="1:15" x14ac:dyDescent="0.25">
      <c r="A3090">
        <v>10596</v>
      </c>
      <c r="B3090" s="11">
        <v>4028899001126</v>
      </c>
      <c r="C3090" s="1" t="s">
        <v>16</v>
      </c>
      <c r="D3090" s="1" t="s">
        <v>12</v>
      </c>
      <c r="E3090" s="1" t="s">
        <v>17</v>
      </c>
      <c r="F3090">
        <v>2.8</v>
      </c>
      <c r="G3090">
        <v>2</v>
      </c>
      <c r="H3090" s="1" t="s">
        <v>23</v>
      </c>
      <c r="I3090" s="1" t="s">
        <v>527</v>
      </c>
      <c r="J3090" s="12">
        <v>45869</v>
      </c>
      <c r="K3090">
        <v>0</v>
      </c>
      <c r="L3090" s="1">
        <f t="shared" si="192"/>
        <v>5.6</v>
      </c>
      <c r="M3090" s="1">
        <f t="shared" si="193"/>
        <v>5</v>
      </c>
      <c r="N3090" s="2">
        <f t="shared" si="194"/>
        <v>45839</v>
      </c>
      <c r="O3090" t="str">
        <f t="shared" si="195"/>
        <v>pes</v>
      </c>
    </row>
    <row r="3091" spans="1:15" x14ac:dyDescent="0.25">
      <c r="A3091">
        <v>10597</v>
      </c>
      <c r="B3091" s="11">
        <v>8599988776654</v>
      </c>
      <c r="C3091" s="1" t="s">
        <v>393</v>
      </c>
      <c r="D3091" s="1" t="s">
        <v>133</v>
      </c>
      <c r="E3091" s="1" t="s">
        <v>17</v>
      </c>
      <c r="F3091">
        <v>16.8</v>
      </c>
      <c r="G3091">
        <v>1</v>
      </c>
      <c r="H3091" s="1" t="s">
        <v>14</v>
      </c>
      <c r="I3091" s="1" t="s">
        <v>15</v>
      </c>
      <c r="J3091" s="12">
        <v>45869</v>
      </c>
      <c r="K3091">
        <v>0</v>
      </c>
      <c r="L3091" s="1">
        <f t="shared" si="192"/>
        <v>16.8</v>
      </c>
      <c r="M3091" s="1" t="str">
        <f t="shared" si="193"/>
        <v/>
      </c>
      <c r="N3091" s="2">
        <f t="shared" si="194"/>
        <v>45839</v>
      </c>
      <c r="O3091" t="str">
        <f t="shared" si="195"/>
        <v>pes</v>
      </c>
    </row>
    <row r="3092" spans="1:15" hidden="1" x14ac:dyDescent="0.25">
      <c r="A3092">
        <v>10598</v>
      </c>
      <c r="B3092" s="11">
        <v>4056789012345</v>
      </c>
      <c r="C3092" s="1" t="s">
        <v>47</v>
      </c>
      <c r="D3092" s="1" t="s">
        <v>29</v>
      </c>
      <c r="E3092" s="1" t="s">
        <v>37</v>
      </c>
      <c r="F3092">
        <v>2.4</v>
      </c>
      <c r="G3092">
        <v>2</v>
      </c>
      <c r="H3092" s="1" t="s">
        <v>14</v>
      </c>
      <c r="I3092" s="1" t="s">
        <v>15</v>
      </c>
      <c r="J3092" s="12">
        <v>45869</v>
      </c>
      <c r="K3092">
        <v>0</v>
      </c>
      <c r="L3092" s="1">
        <f t="shared" si="192"/>
        <v>4.8</v>
      </c>
      <c r="M3092" s="1" t="str">
        <f t="shared" si="193"/>
        <v/>
      </c>
      <c r="N3092" s="2">
        <f t="shared" si="194"/>
        <v>45839</v>
      </c>
      <c r="O3092" t="str">
        <f t="shared" si="195"/>
        <v>mačka</v>
      </c>
    </row>
    <row r="3093" spans="1:15" x14ac:dyDescent="0.25">
      <c r="A3093">
        <v>10599</v>
      </c>
      <c r="B3093" s="11">
        <v>8599988776654</v>
      </c>
      <c r="C3093" s="1" t="s">
        <v>393</v>
      </c>
      <c r="D3093" s="1" t="s">
        <v>133</v>
      </c>
      <c r="E3093" s="1" t="s">
        <v>17</v>
      </c>
      <c r="F3093">
        <v>16.8</v>
      </c>
      <c r="G3093">
        <v>1</v>
      </c>
      <c r="H3093" s="1" t="s">
        <v>14</v>
      </c>
      <c r="I3093" s="1" t="s">
        <v>15</v>
      </c>
      <c r="J3093" s="12">
        <v>45869</v>
      </c>
      <c r="K3093">
        <v>0</v>
      </c>
      <c r="L3093" s="1">
        <f t="shared" si="192"/>
        <v>16.8</v>
      </c>
      <c r="M3093" s="1" t="str">
        <f t="shared" si="193"/>
        <v/>
      </c>
      <c r="N3093" s="2">
        <f t="shared" si="194"/>
        <v>45839</v>
      </c>
      <c r="O3093" t="str">
        <f t="shared" si="195"/>
        <v>pes</v>
      </c>
    </row>
    <row r="3094" spans="1:15" x14ac:dyDescent="0.25">
      <c r="A3094">
        <v>10600</v>
      </c>
      <c r="B3094" s="11">
        <v>4013456789017</v>
      </c>
      <c r="C3094" s="1" t="s">
        <v>11</v>
      </c>
      <c r="D3094" s="1" t="s">
        <v>12</v>
      </c>
      <c r="E3094" s="1" t="s">
        <v>13</v>
      </c>
      <c r="F3094">
        <v>6</v>
      </c>
      <c r="G3094">
        <v>1</v>
      </c>
      <c r="H3094" s="1" t="s">
        <v>23</v>
      </c>
      <c r="I3094" s="1" t="s">
        <v>528</v>
      </c>
      <c r="J3094" s="12">
        <v>45869</v>
      </c>
      <c r="K3094">
        <v>0</v>
      </c>
      <c r="L3094" s="1">
        <f t="shared" si="192"/>
        <v>6</v>
      </c>
      <c r="M3094" s="1">
        <f t="shared" si="193"/>
        <v>5</v>
      </c>
      <c r="N3094" s="2">
        <f t="shared" si="194"/>
        <v>45839</v>
      </c>
      <c r="O3094" t="str">
        <f t="shared" si="195"/>
        <v>pes</v>
      </c>
    </row>
    <row r="3095" spans="1:15" x14ac:dyDescent="0.25">
      <c r="A3095">
        <v>10601</v>
      </c>
      <c r="B3095" s="11">
        <v>8599988776654</v>
      </c>
      <c r="C3095" s="1" t="s">
        <v>393</v>
      </c>
      <c r="D3095" s="1" t="s">
        <v>133</v>
      </c>
      <c r="E3095" s="1" t="s">
        <v>17</v>
      </c>
      <c r="F3095">
        <v>16.8</v>
      </c>
      <c r="G3095">
        <v>1</v>
      </c>
      <c r="H3095" s="1" t="s">
        <v>14</v>
      </c>
      <c r="I3095" s="1" t="s">
        <v>15</v>
      </c>
      <c r="J3095" s="12">
        <v>45869</v>
      </c>
      <c r="K3095">
        <v>0</v>
      </c>
      <c r="L3095" s="1">
        <f t="shared" si="192"/>
        <v>16.8</v>
      </c>
      <c r="M3095" s="1" t="str">
        <f t="shared" si="193"/>
        <v/>
      </c>
      <c r="N3095" s="2">
        <f t="shared" si="194"/>
        <v>45839</v>
      </c>
      <c r="O3095" t="str">
        <f t="shared" si="195"/>
        <v>pes</v>
      </c>
    </row>
    <row r="3096" spans="1:15" x14ac:dyDescent="0.25">
      <c r="A3096">
        <v>10602</v>
      </c>
      <c r="B3096" s="11">
        <v>4027788990013</v>
      </c>
      <c r="C3096" s="1" t="s">
        <v>43</v>
      </c>
      <c r="D3096" s="1" t="s">
        <v>21</v>
      </c>
      <c r="E3096" s="1" t="s">
        <v>22</v>
      </c>
      <c r="F3096">
        <v>8</v>
      </c>
      <c r="G3096">
        <v>1</v>
      </c>
      <c r="H3096" s="1" t="s">
        <v>14</v>
      </c>
      <c r="I3096" s="1" t="s">
        <v>15</v>
      </c>
      <c r="J3096" s="12">
        <v>45869</v>
      </c>
      <c r="K3096">
        <v>0</v>
      </c>
      <c r="L3096" s="1">
        <f t="shared" si="192"/>
        <v>8</v>
      </c>
      <c r="M3096" s="1" t="str">
        <f t="shared" si="193"/>
        <v/>
      </c>
      <c r="N3096" s="2">
        <f t="shared" si="194"/>
        <v>45839</v>
      </c>
      <c r="O3096" t="str">
        <f t="shared" si="195"/>
        <v>pes</v>
      </c>
    </row>
    <row r="3097" spans="1:15" x14ac:dyDescent="0.25">
      <c r="A3097">
        <v>10603</v>
      </c>
      <c r="B3097" s="11">
        <v>8599988776654</v>
      </c>
      <c r="C3097" s="1" t="s">
        <v>393</v>
      </c>
      <c r="D3097" s="1" t="s">
        <v>133</v>
      </c>
      <c r="E3097" s="1" t="s">
        <v>17</v>
      </c>
      <c r="F3097">
        <v>16.8</v>
      </c>
      <c r="G3097">
        <v>1</v>
      </c>
      <c r="H3097" s="1" t="s">
        <v>14</v>
      </c>
      <c r="I3097" s="1" t="s">
        <v>15</v>
      </c>
      <c r="J3097" s="12">
        <v>45869</v>
      </c>
      <c r="K3097">
        <v>0</v>
      </c>
      <c r="L3097" s="1">
        <f t="shared" si="192"/>
        <v>16.8</v>
      </c>
      <c r="M3097" s="1" t="str">
        <f t="shared" si="193"/>
        <v/>
      </c>
      <c r="N3097" s="2">
        <f t="shared" si="194"/>
        <v>45839</v>
      </c>
      <c r="O3097" t="str">
        <f t="shared" si="195"/>
        <v>pes</v>
      </c>
    </row>
    <row r="3098" spans="1:15" x14ac:dyDescent="0.25">
      <c r="A3098">
        <v>10604</v>
      </c>
      <c r="B3098" s="11">
        <v>4017890123450</v>
      </c>
      <c r="C3098" s="1" t="s">
        <v>65</v>
      </c>
      <c r="D3098" s="1" t="s">
        <v>39</v>
      </c>
      <c r="E3098" s="1" t="s">
        <v>22</v>
      </c>
      <c r="F3098">
        <v>7.6</v>
      </c>
      <c r="G3098">
        <v>1</v>
      </c>
      <c r="H3098" s="1" t="s">
        <v>18</v>
      </c>
      <c r="I3098" s="1" t="s">
        <v>529</v>
      </c>
      <c r="J3098" s="12">
        <v>45869</v>
      </c>
      <c r="K3098">
        <v>0</v>
      </c>
      <c r="L3098" s="1">
        <f t="shared" si="192"/>
        <v>7.6</v>
      </c>
      <c r="M3098" s="1">
        <f t="shared" si="193"/>
        <v>4</v>
      </c>
      <c r="N3098" s="2">
        <f t="shared" si="194"/>
        <v>45839</v>
      </c>
      <c r="O3098" t="str">
        <f t="shared" si="195"/>
        <v>pes</v>
      </c>
    </row>
    <row r="3099" spans="1:15" x14ac:dyDescent="0.25">
      <c r="A3099">
        <v>10605</v>
      </c>
      <c r="B3099" s="11">
        <v>8599988776654</v>
      </c>
      <c r="C3099" s="1" t="s">
        <v>393</v>
      </c>
      <c r="D3099" s="1" t="s">
        <v>133</v>
      </c>
      <c r="E3099" s="1" t="s">
        <v>17</v>
      </c>
      <c r="F3099">
        <v>16.8</v>
      </c>
      <c r="G3099">
        <v>1</v>
      </c>
      <c r="H3099" s="1" t="s">
        <v>14</v>
      </c>
      <c r="I3099" s="1" t="s">
        <v>15</v>
      </c>
      <c r="J3099" s="12">
        <v>45869</v>
      </c>
      <c r="K3099">
        <v>0</v>
      </c>
      <c r="L3099" s="1">
        <f t="shared" si="192"/>
        <v>16.8</v>
      </c>
      <c r="M3099" s="1" t="str">
        <f t="shared" si="193"/>
        <v/>
      </c>
      <c r="N3099" s="2">
        <f t="shared" si="194"/>
        <v>45839</v>
      </c>
      <c r="O3099" t="str">
        <f t="shared" si="195"/>
        <v>pes</v>
      </c>
    </row>
    <row r="3100" spans="1:15" hidden="1" x14ac:dyDescent="0.25">
      <c r="A3100">
        <v>10606</v>
      </c>
      <c r="B3100" s="11">
        <v>4010123456783</v>
      </c>
      <c r="C3100" s="1" t="s">
        <v>35</v>
      </c>
      <c r="D3100" s="1" t="s">
        <v>36</v>
      </c>
      <c r="E3100" s="1" t="s">
        <v>37</v>
      </c>
      <c r="F3100">
        <v>14</v>
      </c>
      <c r="G3100">
        <v>1</v>
      </c>
      <c r="H3100" s="1" t="s">
        <v>14</v>
      </c>
      <c r="I3100" s="1" t="s">
        <v>15</v>
      </c>
      <c r="J3100" s="12">
        <v>45869</v>
      </c>
      <c r="K3100">
        <v>0</v>
      </c>
      <c r="L3100" s="1">
        <f t="shared" si="192"/>
        <v>14</v>
      </c>
      <c r="M3100" s="1" t="str">
        <f t="shared" si="193"/>
        <v/>
      </c>
      <c r="N3100" s="2">
        <f t="shared" si="194"/>
        <v>45839</v>
      </c>
      <c r="O3100" t="str">
        <f t="shared" si="195"/>
        <v>mačka</v>
      </c>
    </row>
    <row r="3101" spans="1:15" x14ac:dyDescent="0.25">
      <c r="A3101">
        <v>10607</v>
      </c>
      <c r="B3101" s="11">
        <v>8599988776654</v>
      </c>
      <c r="C3101" s="1" t="s">
        <v>393</v>
      </c>
      <c r="D3101" s="1" t="s">
        <v>133</v>
      </c>
      <c r="E3101" s="1" t="s">
        <v>17</v>
      </c>
      <c r="F3101">
        <v>16.8</v>
      </c>
      <c r="G3101">
        <v>2</v>
      </c>
      <c r="H3101" s="1" t="s">
        <v>14</v>
      </c>
      <c r="I3101" s="1" t="s">
        <v>15</v>
      </c>
      <c r="J3101" s="12">
        <v>45869</v>
      </c>
      <c r="K3101">
        <v>0</v>
      </c>
      <c r="L3101" s="1">
        <f t="shared" si="192"/>
        <v>33.6</v>
      </c>
      <c r="M3101" s="1" t="str">
        <f t="shared" si="193"/>
        <v/>
      </c>
      <c r="N3101" s="2">
        <f t="shared" si="194"/>
        <v>45839</v>
      </c>
      <c r="O3101" t="str">
        <f t="shared" si="195"/>
        <v>pes</v>
      </c>
    </row>
    <row r="3102" spans="1:15" x14ac:dyDescent="0.25">
      <c r="A3102">
        <v>10608</v>
      </c>
      <c r="B3102" s="11">
        <v>4063456789014</v>
      </c>
      <c r="C3102" s="1" t="s">
        <v>60</v>
      </c>
      <c r="D3102" s="1" t="s">
        <v>12</v>
      </c>
      <c r="E3102" s="1" t="s">
        <v>61</v>
      </c>
      <c r="F3102">
        <v>36</v>
      </c>
      <c r="G3102">
        <v>1</v>
      </c>
      <c r="H3102" s="1" t="s">
        <v>23</v>
      </c>
      <c r="I3102" s="1" t="s">
        <v>530</v>
      </c>
      <c r="J3102" s="12">
        <v>45869</v>
      </c>
      <c r="K3102">
        <v>0</v>
      </c>
      <c r="L3102" s="1">
        <f t="shared" si="192"/>
        <v>36</v>
      </c>
      <c r="M3102" s="1">
        <f t="shared" si="193"/>
        <v>5</v>
      </c>
      <c r="N3102" s="2">
        <f t="shared" si="194"/>
        <v>45839</v>
      </c>
      <c r="O3102" t="str">
        <f t="shared" si="195"/>
        <v>pes</v>
      </c>
    </row>
    <row r="3103" spans="1:15" x14ac:dyDescent="0.25">
      <c r="A3103">
        <v>10609</v>
      </c>
      <c r="B3103" s="11">
        <v>8599988776654</v>
      </c>
      <c r="C3103" s="1" t="s">
        <v>393</v>
      </c>
      <c r="D3103" s="1" t="s">
        <v>133</v>
      </c>
      <c r="E3103" s="1" t="s">
        <v>17</v>
      </c>
      <c r="F3103">
        <v>16.8</v>
      </c>
      <c r="G3103">
        <v>1</v>
      </c>
      <c r="H3103" s="1" t="s">
        <v>14</v>
      </c>
      <c r="I3103" s="1" t="s">
        <v>15</v>
      </c>
      <c r="J3103" s="12">
        <v>45869</v>
      </c>
      <c r="K3103">
        <v>0</v>
      </c>
      <c r="L3103" s="1">
        <f t="shared" si="192"/>
        <v>16.8</v>
      </c>
      <c r="M3103" s="1" t="str">
        <f t="shared" si="193"/>
        <v/>
      </c>
      <c r="N3103" s="2">
        <f t="shared" si="194"/>
        <v>45839</v>
      </c>
      <c r="O3103" t="str">
        <f t="shared" si="195"/>
        <v>pes</v>
      </c>
    </row>
    <row r="3104" spans="1:15" hidden="1" x14ac:dyDescent="0.25">
      <c r="A3104">
        <v>10610</v>
      </c>
      <c r="B3104" s="11">
        <v>4021234567894</v>
      </c>
      <c r="C3104" s="1" t="s">
        <v>79</v>
      </c>
      <c r="D3104" s="1" t="s">
        <v>36</v>
      </c>
      <c r="E3104" s="1" t="s">
        <v>69</v>
      </c>
      <c r="F3104">
        <v>8</v>
      </c>
      <c r="G3104">
        <v>1</v>
      </c>
      <c r="H3104" s="1" t="s">
        <v>14</v>
      </c>
      <c r="I3104" s="1" t="s">
        <v>15</v>
      </c>
      <c r="J3104" s="12">
        <v>45869</v>
      </c>
      <c r="K3104">
        <v>0</v>
      </c>
      <c r="L3104" s="1">
        <f t="shared" si="192"/>
        <v>8</v>
      </c>
      <c r="M3104" s="1" t="str">
        <f t="shared" si="193"/>
        <v/>
      </c>
      <c r="N3104" s="2">
        <f t="shared" si="194"/>
        <v>45839</v>
      </c>
      <c r="O3104" t="str">
        <f t="shared" si="195"/>
        <v>mačka</v>
      </c>
    </row>
    <row r="3105" spans="1:15" x14ac:dyDescent="0.25">
      <c r="A3105">
        <v>10611</v>
      </c>
      <c r="B3105" s="11">
        <v>8599988776654</v>
      </c>
      <c r="C3105" s="1" t="s">
        <v>393</v>
      </c>
      <c r="D3105" s="1" t="s">
        <v>133</v>
      </c>
      <c r="E3105" s="1" t="s">
        <v>17</v>
      </c>
      <c r="F3105">
        <v>16.8</v>
      </c>
      <c r="G3105">
        <v>1</v>
      </c>
      <c r="H3105" s="1" t="s">
        <v>14</v>
      </c>
      <c r="I3105" s="1" t="s">
        <v>15</v>
      </c>
      <c r="J3105" s="12">
        <v>45869</v>
      </c>
      <c r="K3105">
        <v>0</v>
      </c>
      <c r="L3105" s="1">
        <f t="shared" si="192"/>
        <v>16.8</v>
      </c>
      <c r="M3105" s="1" t="str">
        <f t="shared" si="193"/>
        <v/>
      </c>
      <c r="N3105" s="2">
        <f t="shared" si="194"/>
        <v>45839</v>
      </c>
      <c r="O3105" t="str">
        <f t="shared" si="195"/>
        <v>pes</v>
      </c>
    </row>
    <row r="3106" spans="1:15" hidden="1" x14ac:dyDescent="0.25">
      <c r="A3106">
        <v>10612</v>
      </c>
      <c r="B3106" s="11">
        <v>4056789012345</v>
      </c>
      <c r="C3106" s="1" t="s">
        <v>47</v>
      </c>
      <c r="D3106" s="1" t="s">
        <v>29</v>
      </c>
      <c r="E3106" s="1" t="s">
        <v>37</v>
      </c>
      <c r="F3106">
        <v>2.4</v>
      </c>
      <c r="G3106">
        <v>2</v>
      </c>
      <c r="H3106" s="1" t="s">
        <v>14</v>
      </c>
      <c r="I3106" s="1" t="s">
        <v>15</v>
      </c>
      <c r="J3106" s="12">
        <v>45869</v>
      </c>
      <c r="K3106">
        <v>0</v>
      </c>
      <c r="L3106" s="1">
        <f t="shared" si="192"/>
        <v>4.8</v>
      </c>
      <c r="M3106" s="1" t="str">
        <f t="shared" si="193"/>
        <v/>
      </c>
      <c r="N3106" s="2">
        <f t="shared" si="194"/>
        <v>45839</v>
      </c>
      <c r="O3106" t="str">
        <f t="shared" si="195"/>
        <v>mačka</v>
      </c>
    </row>
    <row r="3107" spans="1:15" x14ac:dyDescent="0.25">
      <c r="A3107">
        <v>10613</v>
      </c>
      <c r="B3107" s="11">
        <v>8599988776654</v>
      </c>
      <c r="C3107" s="1" t="s">
        <v>393</v>
      </c>
      <c r="D3107" s="1" t="s">
        <v>133</v>
      </c>
      <c r="E3107" s="1" t="s">
        <v>17</v>
      </c>
      <c r="F3107">
        <v>16.8</v>
      </c>
      <c r="G3107">
        <v>1</v>
      </c>
      <c r="H3107" s="1" t="s">
        <v>18</v>
      </c>
      <c r="I3107" s="1" t="s">
        <v>531</v>
      </c>
      <c r="J3107" s="12">
        <v>45869</v>
      </c>
      <c r="K3107">
        <v>0</v>
      </c>
      <c r="L3107" s="1">
        <f t="shared" si="192"/>
        <v>16.8</v>
      </c>
      <c r="M3107" s="1">
        <f t="shared" si="193"/>
        <v>4</v>
      </c>
      <c r="N3107" s="2">
        <f t="shared" si="194"/>
        <v>45839</v>
      </c>
      <c r="O3107" t="str">
        <f t="shared" si="195"/>
        <v>pes</v>
      </c>
    </row>
    <row r="3108" spans="1:15" x14ac:dyDescent="0.25">
      <c r="A3108">
        <v>10614</v>
      </c>
      <c r="B3108" s="11">
        <v>4017890123450</v>
      </c>
      <c r="C3108" s="1" t="s">
        <v>65</v>
      </c>
      <c r="D3108" s="1" t="s">
        <v>39</v>
      </c>
      <c r="E3108" s="1" t="s">
        <v>22</v>
      </c>
      <c r="F3108">
        <v>7.6</v>
      </c>
      <c r="G3108">
        <v>1</v>
      </c>
      <c r="H3108" s="1" t="s">
        <v>14</v>
      </c>
      <c r="I3108" s="1" t="s">
        <v>15</v>
      </c>
      <c r="J3108" s="12">
        <v>45869</v>
      </c>
      <c r="K3108">
        <v>0</v>
      </c>
      <c r="L3108" s="1">
        <f t="shared" si="192"/>
        <v>7.6</v>
      </c>
      <c r="M3108" s="1" t="str">
        <f t="shared" si="193"/>
        <v/>
      </c>
      <c r="N3108" s="2">
        <f t="shared" si="194"/>
        <v>45839</v>
      </c>
      <c r="O3108" t="str">
        <f t="shared" si="195"/>
        <v>pes</v>
      </c>
    </row>
    <row r="3109" spans="1:15" x14ac:dyDescent="0.25">
      <c r="A3109">
        <v>10615</v>
      </c>
      <c r="B3109" s="11">
        <v>8599988776654</v>
      </c>
      <c r="C3109" s="1" t="s">
        <v>393</v>
      </c>
      <c r="D3109" s="1" t="s">
        <v>133</v>
      </c>
      <c r="E3109" s="1" t="s">
        <v>17</v>
      </c>
      <c r="F3109">
        <v>16.8</v>
      </c>
      <c r="G3109">
        <v>2</v>
      </c>
      <c r="H3109" s="1" t="s">
        <v>14</v>
      </c>
      <c r="I3109" s="1" t="s">
        <v>15</v>
      </c>
      <c r="J3109" s="12">
        <v>45869</v>
      </c>
      <c r="K3109">
        <v>0</v>
      </c>
      <c r="L3109" s="1">
        <f t="shared" si="192"/>
        <v>33.6</v>
      </c>
      <c r="M3109" s="1" t="str">
        <f t="shared" si="193"/>
        <v/>
      </c>
      <c r="N3109" s="2">
        <f t="shared" si="194"/>
        <v>45839</v>
      </c>
      <c r="O3109" t="str">
        <f t="shared" si="195"/>
        <v>pes</v>
      </c>
    </row>
    <row r="3110" spans="1:15" hidden="1" x14ac:dyDescent="0.25">
      <c r="A3110">
        <v>10616</v>
      </c>
      <c r="B3110" s="11">
        <v>4010123456783</v>
      </c>
      <c r="C3110" s="1" t="s">
        <v>35</v>
      </c>
      <c r="D3110" s="1" t="s">
        <v>36</v>
      </c>
      <c r="E3110" s="1" t="s">
        <v>37</v>
      </c>
      <c r="F3110">
        <v>14</v>
      </c>
      <c r="G3110">
        <v>1</v>
      </c>
      <c r="H3110" s="1" t="s">
        <v>14</v>
      </c>
      <c r="I3110" s="1" t="s">
        <v>15</v>
      </c>
      <c r="J3110" s="12">
        <v>45869</v>
      </c>
      <c r="K3110">
        <v>0</v>
      </c>
      <c r="L3110" s="1">
        <f t="shared" si="192"/>
        <v>14</v>
      </c>
      <c r="M3110" s="1" t="str">
        <f t="shared" si="193"/>
        <v/>
      </c>
      <c r="N3110" s="2">
        <f t="shared" si="194"/>
        <v>45839</v>
      </c>
      <c r="O3110" t="str">
        <f t="shared" si="195"/>
        <v>mačka</v>
      </c>
    </row>
    <row r="3111" spans="1:15" x14ac:dyDescent="0.25">
      <c r="A3111">
        <v>10617</v>
      </c>
      <c r="B3111" s="11">
        <v>8599988776654</v>
      </c>
      <c r="C3111" s="1" t="s">
        <v>393</v>
      </c>
      <c r="D3111" s="1" t="s">
        <v>133</v>
      </c>
      <c r="E3111" s="1" t="s">
        <v>17</v>
      </c>
      <c r="F3111">
        <v>16.8</v>
      </c>
      <c r="G3111">
        <v>1</v>
      </c>
      <c r="H3111" s="1" t="s">
        <v>14</v>
      </c>
      <c r="I3111" s="1" t="s">
        <v>15</v>
      </c>
      <c r="J3111" s="12">
        <v>45869</v>
      </c>
      <c r="K3111">
        <v>0</v>
      </c>
      <c r="L3111" s="1">
        <f t="shared" si="192"/>
        <v>16.8</v>
      </c>
      <c r="M3111" s="1" t="str">
        <f t="shared" si="193"/>
        <v/>
      </c>
      <c r="N3111" s="2">
        <f t="shared" si="194"/>
        <v>45839</v>
      </c>
      <c r="O3111" t="str">
        <f t="shared" si="195"/>
        <v>pes</v>
      </c>
    </row>
    <row r="3112" spans="1:15" x14ac:dyDescent="0.25">
      <c r="A3112">
        <v>10618</v>
      </c>
      <c r="B3112" s="11">
        <v>4013456789017</v>
      </c>
      <c r="C3112" s="1" t="s">
        <v>11</v>
      </c>
      <c r="D3112" s="1" t="s">
        <v>12</v>
      </c>
      <c r="E3112" s="1" t="s">
        <v>13</v>
      </c>
      <c r="F3112">
        <v>6</v>
      </c>
      <c r="G3112">
        <v>1</v>
      </c>
      <c r="H3112" s="1" t="s">
        <v>23</v>
      </c>
      <c r="I3112" s="1" t="s">
        <v>532</v>
      </c>
      <c r="J3112" s="12">
        <v>45869</v>
      </c>
      <c r="K3112">
        <v>0</v>
      </c>
      <c r="L3112" s="1">
        <f t="shared" si="192"/>
        <v>6</v>
      </c>
      <c r="M3112" s="1">
        <f t="shared" si="193"/>
        <v>5</v>
      </c>
      <c r="N3112" s="2">
        <f t="shared" si="194"/>
        <v>45839</v>
      </c>
      <c r="O3112" t="str">
        <f t="shared" si="195"/>
        <v>pes</v>
      </c>
    </row>
    <row r="3113" spans="1:15" x14ac:dyDescent="0.25">
      <c r="A3113">
        <v>10619</v>
      </c>
      <c r="B3113" s="11">
        <v>8599988776654</v>
      </c>
      <c r="C3113" s="1" t="s">
        <v>393</v>
      </c>
      <c r="D3113" s="1" t="s">
        <v>133</v>
      </c>
      <c r="E3113" s="1" t="s">
        <v>17</v>
      </c>
      <c r="F3113">
        <v>16.8</v>
      </c>
      <c r="G3113">
        <v>1</v>
      </c>
      <c r="H3113" s="1" t="s">
        <v>14</v>
      </c>
      <c r="I3113" s="1" t="s">
        <v>15</v>
      </c>
      <c r="J3113" s="12">
        <v>45869</v>
      </c>
      <c r="K3113">
        <v>0</v>
      </c>
      <c r="L3113" s="1">
        <f t="shared" si="192"/>
        <v>16.8</v>
      </c>
      <c r="M3113" s="1" t="str">
        <f t="shared" si="193"/>
        <v/>
      </c>
      <c r="N3113" s="2">
        <f t="shared" si="194"/>
        <v>45839</v>
      </c>
      <c r="O3113" t="str">
        <f t="shared" si="195"/>
        <v>pes</v>
      </c>
    </row>
    <row r="3114" spans="1:15" hidden="1" x14ac:dyDescent="0.25">
      <c r="A3114">
        <v>10620</v>
      </c>
      <c r="B3114" s="11">
        <v>4010123456783</v>
      </c>
      <c r="C3114" s="1" t="s">
        <v>35</v>
      </c>
      <c r="D3114" s="1" t="s">
        <v>36</v>
      </c>
      <c r="E3114" s="1" t="s">
        <v>37</v>
      </c>
      <c r="F3114">
        <v>14</v>
      </c>
      <c r="G3114">
        <v>1</v>
      </c>
      <c r="H3114" s="1" t="s">
        <v>14</v>
      </c>
      <c r="I3114" s="1" t="s">
        <v>15</v>
      </c>
      <c r="J3114" s="12">
        <v>45869</v>
      </c>
      <c r="K3114">
        <v>0</v>
      </c>
      <c r="L3114" s="1">
        <f t="shared" si="192"/>
        <v>14</v>
      </c>
      <c r="M3114" s="1" t="str">
        <f t="shared" si="193"/>
        <v/>
      </c>
      <c r="N3114" s="2">
        <f t="shared" si="194"/>
        <v>45839</v>
      </c>
      <c r="O3114" t="str">
        <f t="shared" si="195"/>
        <v>mačka</v>
      </c>
    </row>
    <row r="3115" spans="1:15" x14ac:dyDescent="0.25">
      <c r="A3115">
        <v>10621</v>
      </c>
      <c r="B3115" s="11">
        <v>8599988776654</v>
      </c>
      <c r="C3115" s="1" t="s">
        <v>393</v>
      </c>
      <c r="D3115" s="1" t="s">
        <v>133</v>
      </c>
      <c r="E3115" s="1" t="s">
        <v>17</v>
      </c>
      <c r="F3115">
        <v>16.8</v>
      </c>
      <c r="G3115">
        <v>1</v>
      </c>
      <c r="H3115" s="1" t="s">
        <v>14</v>
      </c>
      <c r="I3115" s="1" t="s">
        <v>15</v>
      </c>
      <c r="J3115" s="12">
        <v>45869</v>
      </c>
      <c r="K3115">
        <v>0</v>
      </c>
      <c r="L3115" s="1">
        <f t="shared" si="192"/>
        <v>16.8</v>
      </c>
      <c r="M3115" s="1" t="str">
        <f t="shared" si="193"/>
        <v/>
      </c>
      <c r="N3115" s="2">
        <f t="shared" si="194"/>
        <v>45839</v>
      </c>
      <c r="O3115" t="str">
        <f t="shared" si="195"/>
        <v>pes</v>
      </c>
    </row>
    <row r="3116" spans="1:15" x14ac:dyDescent="0.25">
      <c r="A3116">
        <v>10622</v>
      </c>
      <c r="B3116" s="11">
        <v>4028899001126</v>
      </c>
      <c r="C3116" s="1" t="s">
        <v>16</v>
      </c>
      <c r="D3116" s="1" t="s">
        <v>12</v>
      </c>
      <c r="E3116" s="1" t="s">
        <v>17</v>
      </c>
      <c r="F3116">
        <v>2.8</v>
      </c>
      <c r="G3116">
        <v>3</v>
      </c>
      <c r="H3116" s="1" t="s">
        <v>18</v>
      </c>
      <c r="I3116" s="1" t="s">
        <v>533</v>
      </c>
      <c r="J3116" s="12">
        <v>45869</v>
      </c>
      <c r="K3116">
        <v>0</v>
      </c>
      <c r="L3116" s="1">
        <f t="shared" si="192"/>
        <v>8.3999999999999986</v>
      </c>
      <c r="M3116" s="1">
        <f t="shared" si="193"/>
        <v>4</v>
      </c>
      <c r="N3116" s="2">
        <f t="shared" si="194"/>
        <v>45839</v>
      </c>
      <c r="O3116" t="str">
        <f t="shared" si="195"/>
        <v>pes</v>
      </c>
    </row>
    <row r="3117" spans="1:15" x14ac:dyDescent="0.25">
      <c r="A3117">
        <v>10623</v>
      </c>
      <c r="B3117" s="11">
        <v>8599988776654</v>
      </c>
      <c r="C3117" s="1" t="s">
        <v>393</v>
      </c>
      <c r="D3117" s="1" t="s">
        <v>133</v>
      </c>
      <c r="E3117" s="1" t="s">
        <v>17</v>
      </c>
      <c r="F3117">
        <v>16.8</v>
      </c>
      <c r="G3117">
        <v>2</v>
      </c>
      <c r="H3117" s="1" t="s">
        <v>14</v>
      </c>
      <c r="I3117" s="1" t="s">
        <v>15</v>
      </c>
      <c r="J3117" s="12">
        <v>45869</v>
      </c>
      <c r="K3117">
        <v>0</v>
      </c>
      <c r="L3117" s="1">
        <f t="shared" si="192"/>
        <v>33.6</v>
      </c>
      <c r="M3117" s="1" t="str">
        <f t="shared" si="193"/>
        <v/>
      </c>
      <c r="N3117" s="2">
        <f t="shared" si="194"/>
        <v>45839</v>
      </c>
      <c r="O3117" t="str">
        <f t="shared" si="195"/>
        <v>pes</v>
      </c>
    </row>
    <row r="3118" spans="1:15" hidden="1" x14ac:dyDescent="0.25">
      <c r="A3118">
        <v>10624</v>
      </c>
      <c r="B3118" s="11">
        <v>4056789012345</v>
      </c>
      <c r="C3118" s="1" t="s">
        <v>47</v>
      </c>
      <c r="D3118" s="1" t="s">
        <v>29</v>
      </c>
      <c r="E3118" s="1" t="s">
        <v>37</v>
      </c>
      <c r="F3118">
        <v>2.4</v>
      </c>
      <c r="G3118">
        <v>2</v>
      </c>
      <c r="H3118" s="1" t="s">
        <v>14</v>
      </c>
      <c r="I3118" s="1" t="s">
        <v>15</v>
      </c>
      <c r="J3118" s="12">
        <v>45869</v>
      </c>
      <c r="K3118">
        <v>0</v>
      </c>
      <c r="L3118" s="1">
        <f t="shared" si="192"/>
        <v>4.8</v>
      </c>
      <c r="M3118" s="1" t="str">
        <f t="shared" si="193"/>
        <v/>
      </c>
      <c r="N3118" s="2">
        <f t="shared" si="194"/>
        <v>45839</v>
      </c>
      <c r="O3118" t="str">
        <f t="shared" si="195"/>
        <v>mačka</v>
      </c>
    </row>
    <row r="3119" spans="1:15" x14ac:dyDescent="0.25">
      <c r="A3119">
        <v>10625</v>
      </c>
      <c r="B3119" s="11">
        <v>8599988776654</v>
      </c>
      <c r="C3119" s="1" t="s">
        <v>393</v>
      </c>
      <c r="D3119" s="1" t="s">
        <v>133</v>
      </c>
      <c r="E3119" s="1" t="s">
        <v>17</v>
      </c>
      <c r="F3119">
        <v>16.8</v>
      </c>
      <c r="G3119">
        <v>1</v>
      </c>
      <c r="H3119" s="1" t="s">
        <v>14</v>
      </c>
      <c r="I3119" s="1" t="s">
        <v>15</v>
      </c>
      <c r="J3119" s="12">
        <v>45869</v>
      </c>
      <c r="K3119">
        <v>0</v>
      </c>
      <c r="L3119" s="1">
        <f t="shared" si="192"/>
        <v>16.8</v>
      </c>
      <c r="M3119" s="1" t="str">
        <f t="shared" si="193"/>
        <v/>
      </c>
      <c r="N3119" s="2">
        <f t="shared" si="194"/>
        <v>45839</v>
      </c>
      <c r="O3119" t="str">
        <f t="shared" si="195"/>
        <v>pes</v>
      </c>
    </row>
    <row r="3120" spans="1:15" x14ac:dyDescent="0.25">
      <c r="A3120">
        <v>10626</v>
      </c>
      <c r="B3120" s="11">
        <v>4013456789017</v>
      </c>
      <c r="C3120" s="1" t="s">
        <v>11</v>
      </c>
      <c r="D3120" s="1" t="s">
        <v>12</v>
      </c>
      <c r="E3120" s="1" t="s">
        <v>13</v>
      </c>
      <c r="F3120">
        <v>6</v>
      </c>
      <c r="G3120">
        <v>1</v>
      </c>
      <c r="H3120" s="1" t="s">
        <v>14</v>
      </c>
      <c r="I3120" s="1" t="s">
        <v>15</v>
      </c>
      <c r="J3120" s="12">
        <v>45869</v>
      </c>
      <c r="K3120">
        <v>0</v>
      </c>
      <c r="L3120" s="1">
        <f t="shared" si="192"/>
        <v>6</v>
      </c>
      <c r="M3120" s="1" t="str">
        <f t="shared" si="193"/>
        <v/>
      </c>
      <c r="N3120" s="2">
        <f t="shared" si="194"/>
        <v>45839</v>
      </c>
      <c r="O3120" t="str">
        <f t="shared" si="195"/>
        <v>pes</v>
      </c>
    </row>
    <row r="3121" spans="1:15" x14ac:dyDescent="0.25">
      <c r="A3121">
        <v>10627</v>
      </c>
      <c r="B3121" s="11">
        <v>8599988776654</v>
      </c>
      <c r="C3121" s="1" t="s">
        <v>393</v>
      </c>
      <c r="D3121" s="1" t="s">
        <v>133</v>
      </c>
      <c r="E3121" s="1" t="s">
        <v>17</v>
      </c>
      <c r="F3121">
        <v>16.8</v>
      </c>
      <c r="G3121">
        <v>2</v>
      </c>
      <c r="H3121" s="1" t="s">
        <v>23</v>
      </c>
      <c r="I3121" s="1" t="s">
        <v>534</v>
      </c>
      <c r="J3121" s="12">
        <v>45869</v>
      </c>
      <c r="K3121">
        <v>0</v>
      </c>
      <c r="L3121" s="1">
        <f t="shared" si="192"/>
        <v>33.6</v>
      </c>
      <c r="M3121" s="1">
        <f t="shared" si="193"/>
        <v>5</v>
      </c>
      <c r="N3121" s="2">
        <f t="shared" si="194"/>
        <v>45839</v>
      </c>
      <c r="O3121" t="str">
        <f t="shared" si="195"/>
        <v>pes</v>
      </c>
    </row>
    <row r="3122" spans="1:15" x14ac:dyDescent="0.25">
      <c r="A3122">
        <v>10628</v>
      </c>
      <c r="B3122" s="11">
        <v>4017890123450</v>
      </c>
      <c r="C3122" s="1" t="s">
        <v>65</v>
      </c>
      <c r="D3122" s="1" t="s">
        <v>39</v>
      </c>
      <c r="E3122" s="1" t="s">
        <v>22</v>
      </c>
      <c r="F3122">
        <v>7.6</v>
      </c>
      <c r="G3122">
        <v>1</v>
      </c>
      <c r="H3122" s="1" t="s">
        <v>14</v>
      </c>
      <c r="I3122" s="1" t="s">
        <v>15</v>
      </c>
      <c r="J3122" s="12">
        <v>45869</v>
      </c>
      <c r="K3122">
        <v>0</v>
      </c>
      <c r="L3122" s="1">
        <f t="shared" si="192"/>
        <v>7.6</v>
      </c>
      <c r="M3122" s="1" t="str">
        <f t="shared" si="193"/>
        <v/>
      </c>
      <c r="N3122" s="2">
        <f t="shared" si="194"/>
        <v>45839</v>
      </c>
      <c r="O3122" t="str">
        <f t="shared" si="195"/>
        <v>pes</v>
      </c>
    </row>
    <row r="3123" spans="1:15" x14ac:dyDescent="0.25">
      <c r="A3123">
        <v>10629</v>
      </c>
      <c r="B3123" s="11">
        <v>8599988776654</v>
      </c>
      <c r="C3123" s="1" t="s">
        <v>393</v>
      </c>
      <c r="D3123" s="1" t="s">
        <v>133</v>
      </c>
      <c r="E3123" s="1" t="s">
        <v>17</v>
      </c>
      <c r="F3123">
        <v>16.8</v>
      </c>
      <c r="G3123">
        <v>1</v>
      </c>
      <c r="H3123" s="1" t="s">
        <v>14</v>
      </c>
      <c r="I3123" s="1" t="s">
        <v>15</v>
      </c>
      <c r="J3123" s="12">
        <v>45869</v>
      </c>
      <c r="K3123">
        <v>0</v>
      </c>
      <c r="L3123" s="1">
        <f t="shared" si="192"/>
        <v>16.8</v>
      </c>
      <c r="M3123" s="1" t="str">
        <f t="shared" si="193"/>
        <v/>
      </c>
      <c r="N3123" s="2">
        <f t="shared" si="194"/>
        <v>45839</v>
      </c>
      <c r="O3123" t="str">
        <f t="shared" si="195"/>
        <v>pes</v>
      </c>
    </row>
    <row r="3124" spans="1:15" hidden="1" x14ac:dyDescent="0.25">
      <c r="A3124">
        <v>10630</v>
      </c>
      <c r="B3124" s="11">
        <v>4010123456783</v>
      </c>
      <c r="C3124" s="1" t="s">
        <v>35</v>
      </c>
      <c r="D3124" s="1" t="s">
        <v>36</v>
      </c>
      <c r="E3124" s="1" t="s">
        <v>37</v>
      </c>
      <c r="F3124">
        <v>14</v>
      </c>
      <c r="G3124">
        <v>1</v>
      </c>
      <c r="H3124" s="1" t="s">
        <v>14</v>
      </c>
      <c r="I3124" s="1" t="s">
        <v>15</v>
      </c>
      <c r="J3124" s="12">
        <v>45869</v>
      </c>
      <c r="K3124">
        <v>0</v>
      </c>
      <c r="L3124" s="1">
        <f t="shared" si="192"/>
        <v>14</v>
      </c>
      <c r="M3124" s="1" t="str">
        <f t="shared" si="193"/>
        <v/>
      </c>
      <c r="N3124" s="2">
        <f t="shared" si="194"/>
        <v>45839</v>
      </c>
      <c r="O3124" t="str">
        <f t="shared" si="195"/>
        <v>mačka</v>
      </c>
    </row>
    <row r="3125" spans="1:15" x14ac:dyDescent="0.25">
      <c r="A3125">
        <v>10631</v>
      </c>
      <c r="B3125" s="11">
        <v>8599988776654</v>
      </c>
      <c r="C3125" s="1" t="s">
        <v>393</v>
      </c>
      <c r="D3125" s="1" t="s">
        <v>133</v>
      </c>
      <c r="E3125" s="1" t="s">
        <v>17</v>
      </c>
      <c r="F3125">
        <v>16.8</v>
      </c>
      <c r="G3125">
        <v>1</v>
      </c>
      <c r="H3125" s="1" t="s">
        <v>14</v>
      </c>
      <c r="I3125" s="1" t="s">
        <v>15</v>
      </c>
      <c r="J3125" s="12">
        <v>45869</v>
      </c>
      <c r="K3125">
        <v>0</v>
      </c>
      <c r="L3125" s="1">
        <f t="shared" si="192"/>
        <v>16.8</v>
      </c>
      <c r="M3125" s="1" t="str">
        <f t="shared" si="193"/>
        <v/>
      </c>
      <c r="N3125" s="2">
        <f t="shared" si="194"/>
        <v>45839</v>
      </c>
      <c r="O3125" t="str">
        <f t="shared" si="195"/>
        <v>pes</v>
      </c>
    </row>
    <row r="3126" spans="1:15" x14ac:dyDescent="0.25">
      <c r="A3126">
        <v>10632</v>
      </c>
      <c r="B3126" s="11">
        <v>4063456789014</v>
      </c>
      <c r="C3126" s="1" t="s">
        <v>60</v>
      </c>
      <c r="D3126" s="1" t="s">
        <v>12</v>
      </c>
      <c r="E3126" s="1" t="s">
        <v>61</v>
      </c>
      <c r="F3126">
        <v>36</v>
      </c>
      <c r="G3126">
        <v>1</v>
      </c>
      <c r="H3126" s="1" t="s">
        <v>23</v>
      </c>
      <c r="I3126" s="1" t="s">
        <v>535</v>
      </c>
      <c r="J3126" s="12">
        <v>45869</v>
      </c>
      <c r="K3126">
        <v>0</v>
      </c>
      <c r="L3126" s="1">
        <f t="shared" si="192"/>
        <v>36</v>
      </c>
      <c r="M3126" s="1">
        <f t="shared" si="193"/>
        <v>5</v>
      </c>
      <c r="N3126" s="2">
        <f t="shared" si="194"/>
        <v>45839</v>
      </c>
      <c r="O3126" t="str">
        <f t="shared" si="195"/>
        <v>pes</v>
      </c>
    </row>
    <row r="3127" spans="1:15" x14ac:dyDescent="0.25">
      <c r="A3127">
        <v>10633</v>
      </c>
      <c r="B3127" s="11">
        <v>8599988776654</v>
      </c>
      <c r="C3127" s="1" t="s">
        <v>393</v>
      </c>
      <c r="D3127" s="1" t="s">
        <v>133</v>
      </c>
      <c r="E3127" s="1" t="s">
        <v>17</v>
      </c>
      <c r="F3127">
        <v>16.8</v>
      </c>
      <c r="G3127">
        <v>2</v>
      </c>
      <c r="H3127" s="1" t="s">
        <v>14</v>
      </c>
      <c r="I3127" s="1" t="s">
        <v>15</v>
      </c>
      <c r="J3127" s="12">
        <v>45869</v>
      </c>
      <c r="K3127">
        <v>0</v>
      </c>
      <c r="L3127" s="1">
        <f t="shared" si="192"/>
        <v>33.6</v>
      </c>
      <c r="M3127" s="1" t="str">
        <f t="shared" si="193"/>
        <v/>
      </c>
      <c r="N3127" s="2">
        <f t="shared" si="194"/>
        <v>45839</v>
      </c>
      <c r="O3127" t="str">
        <f t="shared" si="195"/>
        <v>pes</v>
      </c>
    </row>
    <row r="3128" spans="1:15" hidden="1" x14ac:dyDescent="0.25">
      <c r="A3128">
        <v>10634</v>
      </c>
      <c r="B3128" s="11">
        <v>4021234567894</v>
      </c>
      <c r="C3128" s="1" t="s">
        <v>79</v>
      </c>
      <c r="D3128" s="1" t="s">
        <v>36</v>
      </c>
      <c r="E3128" s="1" t="s">
        <v>69</v>
      </c>
      <c r="F3128">
        <v>8</v>
      </c>
      <c r="G3128">
        <v>1</v>
      </c>
      <c r="H3128" s="1" t="s">
        <v>14</v>
      </c>
      <c r="I3128" s="1" t="s">
        <v>15</v>
      </c>
      <c r="J3128" s="12">
        <v>45869</v>
      </c>
      <c r="K3128">
        <v>0</v>
      </c>
      <c r="L3128" s="1">
        <f t="shared" si="192"/>
        <v>8</v>
      </c>
      <c r="M3128" s="1" t="str">
        <f t="shared" si="193"/>
        <v/>
      </c>
      <c r="N3128" s="2">
        <f t="shared" si="194"/>
        <v>45839</v>
      </c>
      <c r="O3128" t="str">
        <f t="shared" si="195"/>
        <v>mačka</v>
      </c>
    </row>
    <row r="3129" spans="1:15" x14ac:dyDescent="0.25">
      <c r="A3129">
        <v>10635</v>
      </c>
      <c r="B3129" s="11">
        <v>8599988776654</v>
      </c>
      <c r="C3129" s="1" t="s">
        <v>393</v>
      </c>
      <c r="D3129" s="1" t="s">
        <v>133</v>
      </c>
      <c r="E3129" s="1" t="s">
        <v>17</v>
      </c>
      <c r="F3129">
        <v>16.8</v>
      </c>
      <c r="G3129">
        <v>1</v>
      </c>
      <c r="H3129" s="1" t="s">
        <v>18</v>
      </c>
      <c r="I3129" s="1" t="s">
        <v>536</v>
      </c>
      <c r="J3129" s="12">
        <v>45869</v>
      </c>
      <c r="K3129">
        <v>0</v>
      </c>
      <c r="L3129" s="1">
        <f t="shared" si="192"/>
        <v>16.8</v>
      </c>
      <c r="M3129" s="1">
        <f t="shared" si="193"/>
        <v>4</v>
      </c>
      <c r="N3129" s="2">
        <f t="shared" si="194"/>
        <v>45839</v>
      </c>
      <c r="O3129" t="str">
        <f t="shared" si="195"/>
        <v>pes</v>
      </c>
    </row>
    <row r="3130" spans="1:15" hidden="1" x14ac:dyDescent="0.25">
      <c r="A3130">
        <v>10636</v>
      </c>
      <c r="B3130" s="11">
        <v>4056789012345</v>
      </c>
      <c r="C3130" s="1" t="s">
        <v>47</v>
      </c>
      <c r="D3130" s="1" t="s">
        <v>29</v>
      </c>
      <c r="E3130" s="1" t="s">
        <v>37</v>
      </c>
      <c r="F3130">
        <v>2.4</v>
      </c>
      <c r="G3130">
        <v>2</v>
      </c>
      <c r="H3130" s="1" t="s">
        <v>14</v>
      </c>
      <c r="I3130" s="1" t="s">
        <v>15</v>
      </c>
      <c r="J3130" s="12">
        <v>45869</v>
      </c>
      <c r="K3130">
        <v>0</v>
      </c>
      <c r="L3130" s="1">
        <f t="shared" si="192"/>
        <v>4.8</v>
      </c>
      <c r="M3130" s="1" t="str">
        <f t="shared" si="193"/>
        <v/>
      </c>
      <c r="N3130" s="2">
        <f t="shared" si="194"/>
        <v>45839</v>
      </c>
      <c r="O3130" t="str">
        <f t="shared" si="195"/>
        <v>mačka</v>
      </c>
    </row>
    <row r="3131" spans="1:15" x14ac:dyDescent="0.25">
      <c r="A3131">
        <v>10637</v>
      </c>
      <c r="B3131" s="11">
        <v>8599988776654</v>
      </c>
      <c r="C3131" s="1" t="s">
        <v>393</v>
      </c>
      <c r="D3131" s="1" t="s">
        <v>133</v>
      </c>
      <c r="E3131" s="1" t="s">
        <v>17</v>
      </c>
      <c r="F3131">
        <v>16.8</v>
      </c>
      <c r="G3131">
        <v>1</v>
      </c>
      <c r="H3131" s="1" t="s">
        <v>14</v>
      </c>
      <c r="I3131" s="1" t="s">
        <v>15</v>
      </c>
      <c r="J3131" s="12">
        <v>45869</v>
      </c>
      <c r="K3131">
        <v>0</v>
      </c>
      <c r="L3131" s="1">
        <f t="shared" si="192"/>
        <v>16.8</v>
      </c>
      <c r="M3131" s="1" t="str">
        <f t="shared" si="193"/>
        <v/>
      </c>
      <c r="N3131" s="2">
        <f t="shared" si="194"/>
        <v>45839</v>
      </c>
      <c r="O3131" t="str">
        <f t="shared" si="195"/>
        <v>pes</v>
      </c>
    </row>
    <row r="3132" spans="1:15" x14ac:dyDescent="0.25">
      <c r="A3132">
        <v>10638</v>
      </c>
      <c r="B3132" s="11">
        <v>4013456789017</v>
      </c>
      <c r="C3132" s="1" t="s">
        <v>11</v>
      </c>
      <c r="D3132" s="1" t="s">
        <v>12</v>
      </c>
      <c r="E3132" s="1" t="s">
        <v>13</v>
      </c>
      <c r="F3132">
        <v>6</v>
      </c>
      <c r="G3132">
        <v>1</v>
      </c>
      <c r="H3132" s="1" t="s">
        <v>14</v>
      </c>
      <c r="I3132" s="1" t="s">
        <v>15</v>
      </c>
      <c r="J3132" s="12">
        <v>45869</v>
      </c>
      <c r="K3132">
        <v>0</v>
      </c>
      <c r="L3132" s="1">
        <f t="shared" si="192"/>
        <v>6</v>
      </c>
      <c r="M3132" s="1" t="str">
        <f t="shared" si="193"/>
        <v/>
      </c>
      <c r="N3132" s="2">
        <f t="shared" si="194"/>
        <v>45839</v>
      </c>
      <c r="O3132" t="str">
        <f t="shared" si="195"/>
        <v>pes</v>
      </c>
    </row>
    <row r="3133" spans="1:15" x14ac:dyDescent="0.25">
      <c r="A3133">
        <v>10639</v>
      </c>
      <c r="B3133" s="11">
        <v>8599988776654</v>
      </c>
      <c r="C3133" s="1" t="s">
        <v>393</v>
      </c>
      <c r="D3133" s="1" t="s">
        <v>133</v>
      </c>
      <c r="E3133" s="1" t="s">
        <v>17</v>
      </c>
      <c r="F3133">
        <v>16.8</v>
      </c>
      <c r="G3133">
        <v>2</v>
      </c>
      <c r="H3133" s="1" t="s">
        <v>14</v>
      </c>
      <c r="I3133" s="1" t="s">
        <v>15</v>
      </c>
      <c r="J3133" s="12">
        <v>45869</v>
      </c>
      <c r="K3133">
        <v>0</v>
      </c>
      <c r="L3133" s="1">
        <f t="shared" si="192"/>
        <v>33.6</v>
      </c>
      <c r="M3133" s="1" t="str">
        <f t="shared" si="193"/>
        <v/>
      </c>
      <c r="N3133" s="2">
        <f t="shared" si="194"/>
        <v>45839</v>
      </c>
      <c r="O3133" t="str">
        <f t="shared" si="195"/>
        <v>pes</v>
      </c>
    </row>
    <row r="3134" spans="1:15" x14ac:dyDescent="0.25">
      <c r="A3134">
        <v>10640</v>
      </c>
      <c r="B3134" s="11">
        <v>4017890123450</v>
      </c>
      <c r="C3134" s="1" t="s">
        <v>65</v>
      </c>
      <c r="D3134" s="1" t="s">
        <v>39</v>
      </c>
      <c r="E3134" s="1" t="s">
        <v>22</v>
      </c>
      <c r="F3134">
        <v>7.6</v>
      </c>
      <c r="G3134">
        <v>1</v>
      </c>
      <c r="H3134" s="1" t="s">
        <v>23</v>
      </c>
      <c r="I3134" s="1" t="s">
        <v>537</v>
      </c>
      <c r="J3134" s="12">
        <v>45869</v>
      </c>
      <c r="K3134">
        <v>0</v>
      </c>
      <c r="L3134" s="1">
        <f t="shared" si="192"/>
        <v>7.6</v>
      </c>
      <c r="M3134" s="1">
        <f t="shared" si="193"/>
        <v>5</v>
      </c>
      <c r="N3134" s="2">
        <f t="shared" si="194"/>
        <v>45839</v>
      </c>
      <c r="O3134" t="str">
        <f t="shared" si="195"/>
        <v>pes</v>
      </c>
    </row>
    <row r="3135" spans="1:15" x14ac:dyDescent="0.25">
      <c r="A3135">
        <v>10641</v>
      </c>
      <c r="B3135" s="11">
        <v>8599988776654</v>
      </c>
      <c r="C3135" s="1" t="s">
        <v>393</v>
      </c>
      <c r="D3135" s="1" t="s">
        <v>133</v>
      </c>
      <c r="E3135" s="1" t="s">
        <v>17</v>
      </c>
      <c r="F3135">
        <v>16.8</v>
      </c>
      <c r="G3135">
        <v>1</v>
      </c>
      <c r="H3135" s="1" t="s">
        <v>14</v>
      </c>
      <c r="I3135" s="1" t="s">
        <v>15</v>
      </c>
      <c r="J3135" s="12">
        <v>45869</v>
      </c>
      <c r="K3135">
        <v>0</v>
      </c>
      <c r="L3135" s="1">
        <f t="shared" si="192"/>
        <v>16.8</v>
      </c>
      <c r="M3135" s="1" t="str">
        <f t="shared" si="193"/>
        <v/>
      </c>
      <c r="N3135" s="2">
        <f t="shared" si="194"/>
        <v>45839</v>
      </c>
      <c r="O3135" t="str">
        <f t="shared" si="195"/>
        <v>pes</v>
      </c>
    </row>
    <row r="3136" spans="1:15" hidden="1" x14ac:dyDescent="0.25">
      <c r="A3136">
        <v>10642</v>
      </c>
      <c r="B3136" s="11">
        <v>4010123456783</v>
      </c>
      <c r="C3136" s="1" t="s">
        <v>35</v>
      </c>
      <c r="D3136" s="1" t="s">
        <v>36</v>
      </c>
      <c r="E3136" s="1" t="s">
        <v>37</v>
      </c>
      <c r="F3136">
        <v>14</v>
      </c>
      <c r="G3136">
        <v>1</v>
      </c>
      <c r="H3136" s="1" t="s">
        <v>14</v>
      </c>
      <c r="I3136" s="1" t="s">
        <v>15</v>
      </c>
      <c r="J3136" s="12">
        <v>45869</v>
      </c>
      <c r="K3136">
        <v>0</v>
      </c>
      <c r="L3136" s="1">
        <f t="shared" si="192"/>
        <v>14</v>
      </c>
      <c r="M3136" s="1" t="str">
        <f t="shared" si="193"/>
        <v/>
      </c>
      <c r="N3136" s="2">
        <f t="shared" si="194"/>
        <v>45839</v>
      </c>
      <c r="O3136" t="str">
        <f t="shared" si="195"/>
        <v>mačka</v>
      </c>
    </row>
    <row r="3137" spans="1:15" x14ac:dyDescent="0.25">
      <c r="A3137">
        <v>10643</v>
      </c>
      <c r="B3137" s="11">
        <v>8599988776654</v>
      </c>
      <c r="C3137" s="1" t="s">
        <v>393</v>
      </c>
      <c r="D3137" s="1" t="s">
        <v>133</v>
      </c>
      <c r="E3137" s="1" t="s">
        <v>17</v>
      </c>
      <c r="F3137">
        <v>16.8</v>
      </c>
      <c r="G3137">
        <v>1</v>
      </c>
      <c r="H3137" s="1" t="s">
        <v>14</v>
      </c>
      <c r="I3137" s="1" t="s">
        <v>15</v>
      </c>
      <c r="J3137" s="12">
        <v>45869</v>
      </c>
      <c r="K3137">
        <v>0</v>
      </c>
      <c r="L3137" s="1">
        <f t="shared" si="192"/>
        <v>16.8</v>
      </c>
      <c r="M3137" s="1" t="str">
        <f t="shared" si="193"/>
        <v/>
      </c>
      <c r="N3137" s="2">
        <f t="shared" si="194"/>
        <v>45839</v>
      </c>
      <c r="O3137" t="str">
        <f t="shared" si="195"/>
        <v>pes</v>
      </c>
    </row>
    <row r="3138" spans="1:15" x14ac:dyDescent="0.25">
      <c r="A3138">
        <v>10644</v>
      </c>
      <c r="B3138" s="11">
        <v>4028899001126</v>
      </c>
      <c r="C3138" s="1" t="s">
        <v>16</v>
      </c>
      <c r="D3138" s="1" t="s">
        <v>12</v>
      </c>
      <c r="E3138" s="1" t="s">
        <v>17</v>
      </c>
      <c r="F3138">
        <v>2.8</v>
      </c>
      <c r="G3138">
        <v>3</v>
      </c>
      <c r="H3138" s="1" t="s">
        <v>23</v>
      </c>
      <c r="I3138" s="1" t="s">
        <v>538</v>
      </c>
      <c r="J3138" s="12">
        <v>45869</v>
      </c>
      <c r="K3138">
        <v>0</v>
      </c>
      <c r="L3138" s="1">
        <f t="shared" ref="L3138:L3201" si="196">F3138*G3138</f>
        <v>8.3999999999999986</v>
      </c>
      <c r="M3138" s="1">
        <f t="shared" ref="M3138:M3201" si="197">IF(H3138="NULL", "",VALUE(H3138))</f>
        <v>5</v>
      </c>
      <c r="N3138" s="2">
        <f t="shared" ref="N3138:N3201" si="198">DATE(YEAR(J3138),MONTH(J3138),1)</f>
        <v>45839</v>
      </c>
      <c r="O3138" t="str">
        <f t="shared" ref="O3138:O3201" si="199">IF(ISNUMBER(SEARCH("Mačky",D3138)),"mačka",IF(ISNUMBER(SEARCH("Psy",D3138)),"pes","iné"))</f>
        <v>pes</v>
      </c>
    </row>
    <row r="3139" spans="1:15" x14ac:dyDescent="0.25">
      <c r="A3139">
        <v>10645</v>
      </c>
      <c r="B3139" s="11">
        <v>8599988776654</v>
      </c>
      <c r="C3139" s="1" t="s">
        <v>393</v>
      </c>
      <c r="D3139" s="1" t="s">
        <v>133</v>
      </c>
      <c r="E3139" s="1" t="s">
        <v>17</v>
      </c>
      <c r="F3139">
        <v>16.8</v>
      </c>
      <c r="G3139">
        <v>1</v>
      </c>
      <c r="H3139" s="1" t="s">
        <v>14</v>
      </c>
      <c r="I3139" s="1" t="s">
        <v>15</v>
      </c>
      <c r="J3139" s="12">
        <v>45869</v>
      </c>
      <c r="K3139">
        <v>0</v>
      </c>
      <c r="L3139" s="1">
        <f t="shared" si="196"/>
        <v>16.8</v>
      </c>
      <c r="M3139" s="1" t="str">
        <f t="shared" si="197"/>
        <v/>
      </c>
      <c r="N3139" s="2">
        <f t="shared" si="198"/>
        <v>45839</v>
      </c>
      <c r="O3139" t="str">
        <f t="shared" si="199"/>
        <v>pes</v>
      </c>
    </row>
    <row r="3140" spans="1:15" hidden="1" x14ac:dyDescent="0.25">
      <c r="A3140">
        <v>10646</v>
      </c>
      <c r="B3140" s="11">
        <v>4056789012345</v>
      </c>
      <c r="C3140" s="1" t="s">
        <v>47</v>
      </c>
      <c r="D3140" s="1" t="s">
        <v>29</v>
      </c>
      <c r="E3140" s="1" t="s">
        <v>37</v>
      </c>
      <c r="F3140">
        <v>2.4</v>
      </c>
      <c r="G3140">
        <v>2</v>
      </c>
      <c r="H3140" s="1" t="s">
        <v>14</v>
      </c>
      <c r="I3140" s="1" t="s">
        <v>15</v>
      </c>
      <c r="J3140" s="12">
        <v>45869</v>
      </c>
      <c r="K3140">
        <v>0</v>
      </c>
      <c r="L3140" s="1">
        <f t="shared" si="196"/>
        <v>4.8</v>
      </c>
      <c r="M3140" s="1" t="str">
        <f t="shared" si="197"/>
        <v/>
      </c>
      <c r="N3140" s="2">
        <f t="shared" si="198"/>
        <v>45839</v>
      </c>
      <c r="O3140" t="str">
        <f t="shared" si="199"/>
        <v>mačka</v>
      </c>
    </row>
    <row r="3141" spans="1:15" x14ac:dyDescent="0.25">
      <c r="A3141">
        <v>10647</v>
      </c>
      <c r="B3141" s="11">
        <v>8599988776654</v>
      </c>
      <c r="C3141" s="1" t="s">
        <v>393</v>
      </c>
      <c r="D3141" s="1" t="s">
        <v>133</v>
      </c>
      <c r="E3141" s="1" t="s">
        <v>17</v>
      </c>
      <c r="F3141">
        <v>16.8</v>
      </c>
      <c r="G3141">
        <v>1</v>
      </c>
      <c r="H3141" s="1" t="s">
        <v>14</v>
      </c>
      <c r="I3141" s="1" t="s">
        <v>15</v>
      </c>
      <c r="J3141" s="12">
        <v>45869</v>
      </c>
      <c r="K3141">
        <v>0</v>
      </c>
      <c r="L3141" s="1">
        <f t="shared" si="196"/>
        <v>16.8</v>
      </c>
      <c r="M3141" s="1" t="str">
        <f t="shared" si="197"/>
        <v/>
      </c>
      <c r="N3141" s="2">
        <f t="shared" si="198"/>
        <v>45839</v>
      </c>
      <c r="O3141" t="str">
        <f t="shared" si="199"/>
        <v>pes</v>
      </c>
    </row>
    <row r="3142" spans="1:15" x14ac:dyDescent="0.25">
      <c r="A3142">
        <v>10648</v>
      </c>
      <c r="B3142" s="11">
        <v>4013456789017</v>
      </c>
      <c r="C3142" s="1" t="s">
        <v>11</v>
      </c>
      <c r="D3142" s="1" t="s">
        <v>12</v>
      </c>
      <c r="E3142" s="1" t="s">
        <v>13</v>
      </c>
      <c r="F3142">
        <v>6</v>
      </c>
      <c r="G3142">
        <v>1</v>
      </c>
      <c r="H3142" s="1" t="s">
        <v>18</v>
      </c>
      <c r="I3142" s="1" t="s">
        <v>539</v>
      </c>
      <c r="J3142" s="12">
        <v>45869</v>
      </c>
      <c r="K3142">
        <v>0</v>
      </c>
      <c r="L3142" s="1">
        <f t="shared" si="196"/>
        <v>6</v>
      </c>
      <c r="M3142" s="1">
        <f t="shared" si="197"/>
        <v>4</v>
      </c>
      <c r="N3142" s="2">
        <f t="shared" si="198"/>
        <v>45839</v>
      </c>
      <c r="O3142" t="str">
        <f t="shared" si="199"/>
        <v>pes</v>
      </c>
    </row>
    <row r="3143" spans="1:15" x14ac:dyDescent="0.25">
      <c r="A3143">
        <v>10649</v>
      </c>
      <c r="B3143" s="11">
        <v>8599988776654</v>
      </c>
      <c r="C3143" s="1" t="s">
        <v>393</v>
      </c>
      <c r="D3143" s="1" t="s">
        <v>133</v>
      </c>
      <c r="E3143" s="1" t="s">
        <v>17</v>
      </c>
      <c r="F3143">
        <v>16.8</v>
      </c>
      <c r="G3143">
        <v>1</v>
      </c>
      <c r="H3143" s="1" t="s">
        <v>14</v>
      </c>
      <c r="I3143" s="1" t="s">
        <v>15</v>
      </c>
      <c r="J3143" s="12">
        <v>45869</v>
      </c>
      <c r="K3143">
        <v>0</v>
      </c>
      <c r="L3143" s="1">
        <f t="shared" si="196"/>
        <v>16.8</v>
      </c>
      <c r="M3143" s="1" t="str">
        <f t="shared" si="197"/>
        <v/>
      </c>
      <c r="N3143" s="2">
        <f t="shared" si="198"/>
        <v>45839</v>
      </c>
      <c r="O3143" t="str">
        <f t="shared" si="199"/>
        <v>pes</v>
      </c>
    </row>
    <row r="3144" spans="1:15" hidden="1" x14ac:dyDescent="0.25">
      <c r="A3144">
        <v>10650</v>
      </c>
      <c r="B3144" s="11">
        <v>4010123456783</v>
      </c>
      <c r="C3144" s="1" t="s">
        <v>35</v>
      </c>
      <c r="D3144" s="1" t="s">
        <v>36</v>
      </c>
      <c r="E3144" s="1" t="s">
        <v>37</v>
      </c>
      <c r="F3144">
        <v>14</v>
      </c>
      <c r="G3144">
        <v>1</v>
      </c>
      <c r="H3144" s="1" t="s">
        <v>14</v>
      </c>
      <c r="I3144" s="1" t="s">
        <v>15</v>
      </c>
      <c r="J3144" s="12">
        <v>45869</v>
      </c>
      <c r="K3144">
        <v>0</v>
      </c>
      <c r="L3144" s="1">
        <f t="shared" si="196"/>
        <v>14</v>
      </c>
      <c r="M3144" s="1" t="str">
        <f t="shared" si="197"/>
        <v/>
      </c>
      <c r="N3144" s="2">
        <f t="shared" si="198"/>
        <v>45839</v>
      </c>
      <c r="O3144" t="str">
        <f t="shared" si="199"/>
        <v>mačka</v>
      </c>
    </row>
    <row r="3145" spans="1:15" x14ac:dyDescent="0.25">
      <c r="A3145">
        <v>10651</v>
      </c>
      <c r="B3145" s="11">
        <v>8599988776654</v>
      </c>
      <c r="C3145" s="1" t="s">
        <v>393</v>
      </c>
      <c r="D3145" s="1" t="s">
        <v>133</v>
      </c>
      <c r="E3145" s="1" t="s">
        <v>17</v>
      </c>
      <c r="F3145">
        <v>16.8</v>
      </c>
      <c r="G3145">
        <v>2</v>
      </c>
      <c r="H3145" s="1" t="s">
        <v>14</v>
      </c>
      <c r="I3145" s="1" t="s">
        <v>15</v>
      </c>
      <c r="J3145" s="12">
        <v>45869</v>
      </c>
      <c r="K3145">
        <v>0</v>
      </c>
      <c r="L3145" s="1">
        <f t="shared" si="196"/>
        <v>33.6</v>
      </c>
      <c r="M3145" s="1" t="str">
        <f t="shared" si="197"/>
        <v/>
      </c>
      <c r="N3145" s="2">
        <f t="shared" si="198"/>
        <v>45839</v>
      </c>
      <c r="O3145" t="str">
        <f t="shared" si="199"/>
        <v>pes</v>
      </c>
    </row>
    <row r="3146" spans="1:15" x14ac:dyDescent="0.25">
      <c r="A3146">
        <v>10652</v>
      </c>
      <c r="B3146" s="11">
        <v>4063456789014</v>
      </c>
      <c r="C3146" s="1" t="s">
        <v>60</v>
      </c>
      <c r="D3146" s="1" t="s">
        <v>12</v>
      </c>
      <c r="E3146" s="1" t="s">
        <v>61</v>
      </c>
      <c r="F3146">
        <v>36</v>
      </c>
      <c r="G3146">
        <v>1</v>
      </c>
      <c r="H3146" s="1" t="s">
        <v>18</v>
      </c>
      <c r="I3146" s="1" t="s">
        <v>540</v>
      </c>
      <c r="J3146" s="12">
        <v>45869</v>
      </c>
      <c r="K3146">
        <v>0</v>
      </c>
      <c r="L3146" s="1">
        <f t="shared" si="196"/>
        <v>36</v>
      </c>
      <c r="M3146" s="1">
        <f t="shared" si="197"/>
        <v>4</v>
      </c>
      <c r="N3146" s="2">
        <f t="shared" si="198"/>
        <v>45839</v>
      </c>
      <c r="O3146" t="str">
        <f t="shared" si="199"/>
        <v>pes</v>
      </c>
    </row>
    <row r="3147" spans="1:15" x14ac:dyDescent="0.25">
      <c r="A3147">
        <v>10653</v>
      </c>
      <c r="B3147" s="11">
        <v>8599988776654</v>
      </c>
      <c r="C3147" s="1" t="s">
        <v>393</v>
      </c>
      <c r="D3147" s="1" t="s">
        <v>133</v>
      </c>
      <c r="E3147" s="1" t="s">
        <v>17</v>
      </c>
      <c r="F3147">
        <v>16.8</v>
      </c>
      <c r="G3147">
        <v>1</v>
      </c>
      <c r="H3147" s="1" t="s">
        <v>14</v>
      </c>
      <c r="I3147" s="1" t="s">
        <v>15</v>
      </c>
      <c r="J3147" s="12">
        <v>45869</v>
      </c>
      <c r="K3147">
        <v>0</v>
      </c>
      <c r="L3147" s="1">
        <f t="shared" si="196"/>
        <v>16.8</v>
      </c>
      <c r="M3147" s="1" t="str">
        <f t="shared" si="197"/>
        <v/>
      </c>
      <c r="N3147" s="2">
        <f t="shared" si="198"/>
        <v>45839</v>
      </c>
      <c r="O3147" t="str">
        <f t="shared" si="199"/>
        <v>pes</v>
      </c>
    </row>
    <row r="3148" spans="1:15" hidden="1" x14ac:dyDescent="0.25">
      <c r="A3148">
        <v>10654</v>
      </c>
      <c r="B3148" s="11">
        <v>4021234567894</v>
      </c>
      <c r="C3148" s="1" t="s">
        <v>79</v>
      </c>
      <c r="D3148" s="1" t="s">
        <v>36</v>
      </c>
      <c r="E3148" s="1" t="s">
        <v>69</v>
      </c>
      <c r="F3148">
        <v>8</v>
      </c>
      <c r="G3148">
        <v>1</v>
      </c>
      <c r="H3148" s="1" t="s">
        <v>14</v>
      </c>
      <c r="I3148" s="1" t="s">
        <v>15</v>
      </c>
      <c r="J3148" s="12">
        <v>45869</v>
      </c>
      <c r="K3148">
        <v>0</v>
      </c>
      <c r="L3148" s="1">
        <f t="shared" si="196"/>
        <v>8</v>
      </c>
      <c r="M3148" s="1" t="str">
        <f t="shared" si="197"/>
        <v/>
      </c>
      <c r="N3148" s="2">
        <f t="shared" si="198"/>
        <v>45839</v>
      </c>
      <c r="O3148" t="str">
        <f t="shared" si="199"/>
        <v>mačka</v>
      </c>
    </row>
    <row r="3149" spans="1:15" x14ac:dyDescent="0.25">
      <c r="A3149">
        <v>10655</v>
      </c>
      <c r="B3149" s="11">
        <v>8599988776654</v>
      </c>
      <c r="C3149" s="1" t="s">
        <v>393</v>
      </c>
      <c r="D3149" s="1" t="s">
        <v>133</v>
      </c>
      <c r="E3149" s="1" t="s">
        <v>17</v>
      </c>
      <c r="F3149">
        <v>16.8</v>
      </c>
      <c r="G3149">
        <v>1</v>
      </c>
      <c r="H3149" s="1" t="s">
        <v>23</v>
      </c>
      <c r="I3149" s="1" t="s">
        <v>541</v>
      </c>
      <c r="J3149" s="12">
        <v>45869</v>
      </c>
      <c r="K3149">
        <v>0</v>
      </c>
      <c r="L3149" s="1">
        <f t="shared" si="196"/>
        <v>16.8</v>
      </c>
      <c r="M3149" s="1">
        <f t="shared" si="197"/>
        <v>5</v>
      </c>
      <c r="N3149" s="2">
        <f t="shared" si="198"/>
        <v>45839</v>
      </c>
      <c r="O3149" t="str">
        <f t="shared" si="199"/>
        <v>pes</v>
      </c>
    </row>
    <row r="3150" spans="1:15" hidden="1" x14ac:dyDescent="0.25">
      <c r="A3150">
        <v>10656</v>
      </c>
      <c r="B3150" s="11">
        <v>4056789012345</v>
      </c>
      <c r="C3150" s="1" t="s">
        <v>47</v>
      </c>
      <c r="D3150" s="1" t="s">
        <v>29</v>
      </c>
      <c r="E3150" s="1" t="s">
        <v>37</v>
      </c>
      <c r="F3150">
        <v>2.4</v>
      </c>
      <c r="G3150">
        <v>2</v>
      </c>
      <c r="H3150" s="1" t="s">
        <v>18</v>
      </c>
      <c r="I3150" s="1" t="s">
        <v>542</v>
      </c>
      <c r="J3150" s="12">
        <v>45869</v>
      </c>
      <c r="K3150">
        <v>0</v>
      </c>
      <c r="L3150" s="1">
        <f t="shared" si="196"/>
        <v>4.8</v>
      </c>
      <c r="M3150" s="1">
        <f t="shared" si="197"/>
        <v>4</v>
      </c>
      <c r="N3150" s="2">
        <f t="shared" si="198"/>
        <v>45839</v>
      </c>
      <c r="O3150" t="str">
        <f t="shared" si="199"/>
        <v>mačka</v>
      </c>
    </row>
    <row r="3151" spans="1:15" x14ac:dyDescent="0.25">
      <c r="A3151">
        <v>10657</v>
      </c>
      <c r="B3151" s="11">
        <v>8599988776654</v>
      </c>
      <c r="C3151" s="1" t="s">
        <v>393</v>
      </c>
      <c r="D3151" s="1" t="s">
        <v>133</v>
      </c>
      <c r="E3151" s="1" t="s">
        <v>17</v>
      </c>
      <c r="F3151">
        <v>16.8</v>
      </c>
      <c r="G3151">
        <v>1</v>
      </c>
      <c r="H3151" s="1" t="s">
        <v>14</v>
      </c>
      <c r="I3151" s="1" t="s">
        <v>15</v>
      </c>
      <c r="J3151" s="12">
        <v>45869</v>
      </c>
      <c r="K3151">
        <v>0</v>
      </c>
      <c r="L3151" s="1">
        <f t="shared" si="196"/>
        <v>16.8</v>
      </c>
      <c r="M3151" s="1" t="str">
        <f t="shared" si="197"/>
        <v/>
      </c>
      <c r="N3151" s="2">
        <f t="shared" si="198"/>
        <v>45839</v>
      </c>
      <c r="O3151" t="str">
        <f t="shared" si="199"/>
        <v>pes</v>
      </c>
    </row>
    <row r="3152" spans="1:15" x14ac:dyDescent="0.25">
      <c r="A3152">
        <v>10658</v>
      </c>
      <c r="B3152" s="11">
        <v>4017890123450</v>
      </c>
      <c r="C3152" s="1" t="s">
        <v>65</v>
      </c>
      <c r="D3152" s="1" t="s">
        <v>39</v>
      </c>
      <c r="E3152" s="1" t="s">
        <v>22</v>
      </c>
      <c r="F3152">
        <v>7.6</v>
      </c>
      <c r="G3152">
        <v>1</v>
      </c>
      <c r="H3152" s="1" t="s">
        <v>18</v>
      </c>
      <c r="I3152" s="1" t="s">
        <v>543</v>
      </c>
      <c r="J3152" s="12">
        <v>45869</v>
      </c>
      <c r="K3152">
        <v>0</v>
      </c>
      <c r="L3152" s="1">
        <f t="shared" si="196"/>
        <v>7.6</v>
      </c>
      <c r="M3152" s="1">
        <f t="shared" si="197"/>
        <v>4</v>
      </c>
      <c r="N3152" s="2">
        <f t="shared" si="198"/>
        <v>45839</v>
      </c>
      <c r="O3152" t="str">
        <f t="shared" si="199"/>
        <v>pes</v>
      </c>
    </row>
    <row r="3153" spans="1:15" hidden="1" x14ac:dyDescent="0.25">
      <c r="A3153">
        <v>10659</v>
      </c>
      <c r="B3153" s="11">
        <v>4010123456783</v>
      </c>
      <c r="C3153" s="1" t="s">
        <v>35</v>
      </c>
      <c r="D3153" s="1" t="s">
        <v>36</v>
      </c>
      <c r="E3153" s="1" t="s">
        <v>37</v>
      </c>
      <c r="F3153">
        <v>14</v>
      </c>
      <c r="G3153">
        <v>1</v>
      </c>
      <c r="H3153" s="1" t="s">
        <v>23</v>
      </c>
      <c r="I3153" s="1" t="s">
        <v>544</v>
      </c>
      <c r="J3153" s="12">
        <v>45869</v>
      </c>
      <c r="K3153">
        <v>0</v>
      </c>
      <c r="L3153" s="1">
        <f t="shared" si="196"/>
        <v>14</v>
      </c>
      <c r="M3153" s="1">
        <f t="shared" si="197"/>
        <v>5</v>
      </c>
      <c r="N3153" s="2">
        <f t="shared" si="198"/>
        <v>45839</v>
      </c>
      <c r="O3153" t="str">
        <f t="shared" si="199"/>
        <v>mačka</v>
      </c>
    </row>
    <row r="3154" spans="1:15" x14ac:dyDescent="0.25">
      <c r="A3154">
        <v>10660</v>
      </c>
      <c r="B3154" s="11">
        <v>8599988776654</v>
      </c>
      <c r="C3154" s="1" t="s">
        <v>393</v>
      </c>
      <c r="D3154" s="1" t="s">
        <v>133</v>
      </c>
      <c r="E3154" s="1" t="s">
        <v>17</v>
      </c>
      <c r="F3154">
        <v>16.8</v>
      </c>
      <c r="G3154">
        <v>1</v>
      </c>
      <c r="H3154" s="1" t="s">
        <v>14</v>
      </c>
      <c r="I3154" s="1" t="s">
        <v>15</v>
      </c>
      <c r="J3154" s="12">
        <v>45869</v>
      </c>
      <c r="K3154">
        <v>0</v>
      </c>
      <c r="L3154" s="1">
        <f t="shared" si="196"/>
        <v>16.8</v>
      </c>
      <c r="M3154" s="1" t="str">
        <f t="shared" si="197"/>
        <v/>
      </c>
      <c r="N3154" s="2">
        <f t="shared" si="198"/>
        <v>45839</v>
      </c>
      <c r="O3154" t="str">
        <f t="shared" si="199"/>
        <v>pes</v>
      </c>
    </row>
    <row r="3155" spans="1:15" x14ac:dyDescent="0.25">
      <c r="A3155">
        <v>10661</v>
      </c>
      <c r="B3155" s="11">
        <v>4028899001126</v>
      </c>
      <c r="C3155" s="1" t="s">
        <v>16</v>
      </c>
      <c r="D3155" s="1" t="s">
        <v>12</v>
      </c>
      <c r="E3155" s="1" t="s">
        <v>17</v>
      </c>
      <c r="F3155">
        <v>2.8</v>
      </c>
      <c r="G3155">
        <v>3</v>
      </c>
      <c r="H3155" s="1" t="s">
        <v>14</v>
      </c>
      <c r="I3155" s="1" t="s">
        <v>15</v>
      </c>
      <c r="J3155" s="12">
        <v>45869</v>
      </c>
      <c r="K3155">
        <v>0</v>
      </c>
      <c r="L3155" s="1">
        <f t="shared" si="196"/>
        <v>8.3999999999999986</v>
      </c>
      <c r="M3155" s="1" t="str">
        <f t="shared" si="197"/>
        <v/>
      </c>
      <c r="N3155" s="2">
        <f t="shared" si="198"/>
        <v>45839</v>
      </c>
      <c r="O3155" t="str">
        <f t="shared" si="199"/>
        <v>pes</v>
      </c>
    </row>
    <row r="3156" spans="1:15" x14ac:dyDescent="0.25">
      <c r="A3156">
        <v>10662</v>
      </c>
      <c r="B3156" s="11">
        <v>8599988776654</v>
      </c>
      <c r="C3156" s="1" t="s">
        <v>393</v>
      </c>
      <c r="D3156" s="1" t="s">
        <v>133</v>
      </c>
      <c r="E3156" s="1" t="s">
        <v>17</v>
      </c>
      <c r="F3156">
        <v>16.8</v>
      </c>
      <c r="G3156">
        <v>2</v>
      </c>
      <c r="H3156" s="1" t="s">
        <v>18</v>
      </c>
      <c r="I3156" s="1" t="s">
        <v>545</v>
      </c>
      <c r="J3156" s="12">
        <v>45869</v>
      </c>
      <c r="K3156">
        <v>0</v>
      </c>
      <c r="L3156" s="1">
        <f t="shared" si="196"/>
        <v>33.6</v>
      </c>
      <c r="M3156" s="1">
        <f t="shared" si="197"/>
        <v>4</v>
      </c>
      <c r="N3156" s="2">
        <f t="shared" si="198"/>
        <v>45839</v>
      </c>
      <c r="O3156" t="str">
        <f t="shared" si="199"/>
        <v>pes</v>
      </c>
    </row>
    <row r="3157" spans="1:15" x14ac:dyDescent="0.25">
      <c r="A3157">
        <v>10663</v>
      </c>
      <c r="B3157" s="11">
        <v>4013456789017</v>
      </c>
      <c r="C3157" s="1" t="s">
        <v>11</v>
      </c>
      <c r="D3157" s="1" t="s">
        <v>12</v>
      </c>
      <c r="E3157" s="1" t="s">
        <v>13</v>
      </c>
      <c r="F3157">
        <v>6</v>
      </c>
      <c r="G3157">
        <v>1</v>
      </c>
      <c r="H3157" s="1" t="s">
        <v>14</v>
      </c>
      <c r="I3157" s="1" t="s">
        <v>15</v>
      </c>
      <c r="J3157" s="12">
        <v>45869</v>
      </c>
      <c r="K3157">
        <v>0</v>
      </c>
      <c r="L3157" s="1">
        <f t="shared" si="196"/>
        <v>6</v>
      </c>
      <c r="M3157" s="1" t="str">
        <f t="shared" si="197"/>
        <v/>
      </c>
      <c r="N3157" s="2">
        <f t="shared" si="198"/>
        <v>45839</v>
      </c>
      <c r="O3157" t="str">
        <f t="shared" si="199"/>
        <v>pes</v>
      </c>
    </row>
    <row r="3158" spans="1:15" x14ac:dyDescent="0.25">
      <c r="A3158">
        <v>10664</v>
      </c>
      <c r="B3158" s="11">
        <v>8599988776654</v>
      </c>
      <c r="C3158" s="1" t="s">
        <v>393</v>
      </c>
      <c r="D3158" s="1" t="s">
        <v>133</v>
      </c>
      <c r="E3158" s="1" t="s">
        <v>17</v>
      </c>
      <c r="F3158">
        <v>16.8</v>
      </c>
      <c r="G3158">
        <v>1</v>
      </c>
      <c r="H3158" s="1" t="s">
        <v>14</v>
      </c>
      <c r="I3158" s="1" t="s">
        <v>15</v>
      </c>
      <c r="J3158" s="12">
        <v>45869</v>
      </c>
      <c r="K3158">
        <v>0</v>
      </c>
      <c r="L3158" s="1">
        <f t="shared" si="196"/>
        <v>16.8</v>
      </c>
      <c r="M3158" s="1" t="str">
        <f t="shared" si="197"/>
        <v/>
      </c>
      <c r="N3158" s="2">
        <f t="shared" si="198"/>
        <v>45839</v>
      </c>
      <c r="O3158" t="str">
        <f t="shared" si="199"/>
        <v>pes</v>
      </c>
    </row>
    <row r="3159" spans="1:15" hidden="1" x14ac:dyDescent="0.25">
      <c r="A3159">
        <v>10665</v>
      </c>
      <c r="B3159" s="11">
        <v>4056789012345</v>
      </c>
      <c r="C3159" s="1" t="s">
        <v>47</v>
      </c>
      <c r="D3159" s="1" t="s">
        <v>29</v>
      </c>
      <c r="E3159" s="1" t="s">
        <v>37</v>
      </c>
      <c r="F3159">
        <v>2.4</v>
      </c>
      <c r="G3159">
        <v>2</v>
      </c>
      <c r="H3159" s="1" t="s">
        <v>33</v>
      </c>
      <c r="I3159" s="1" t="s">
        <v>546</v>
      </c>
      <c r="J3159" s="12">
        <v>45869</v>
      </c>
      <c r="K3159">
        <v>0</v>
      </c>
      <c r="L3159" s="1">
        <f t="shared" si="196"/>
        <v>4.8</v>
      </c>
      <c r="M3159" s="1">
        <f t="shared" si="197"/>
        <v>3</v>
      </c>
      <c r="N3159" s="2">
        <f t="shared" si="198"/>
        <v>45839</v>
      </c>
      <c r="O3159" t="str">
        <f t="shared" si="199"/>
        <v>mačka</v>
      </c>
    </row>
    <row r="3160" spans="1:15" x14ac:dyDescent="0.25">
      <c r="A3160">
        <v>10666</v>
      </c>
      <c r="B3160" s="11">
        <v>8599988776654</v>
      </c>
      <c r="C3160" s="1" t="s">
        <v>393</v>
      </c>
      <c r="D3160" s="1" t="s">
        <v>133</v>
      </c>
      <c r="E3160" s="1" t="s">
        <v>17</v>
      </c>
      <c r="F3160">
        <v>16.8</v>
      </c>
      <c r="G3160">
        <v>1</v>
      </c>
      <c r="H3160" s="1" t="s">
        <v>14</v>
      </c>
      <c r="I3160" s="1" t="s">
        <v>15</v>
      </c>
      <c r="J3160" s="12">
        <v>45869</v>
      </c>
      <c r="K3160">
        <v>0</v>
      </c>
      <c r="L3160" s="1">
        <f t="shared" si="196"/>
        <v>16.8</v>
      </c>
      <c r="M3160" s="1" t="str">
        <f t="shared" si="197"/>
        <v/>
      </c>
      <c r="N3160" s="2">
        <f t="shared" si="198"/>
        <v>45839</v>
      </c>
      <c r="O3160" t="str">
        <f t="shared" si="199"/>
        <v>pes</v>
      </c>
    </row>
    <row r="3161" spans="1:15" x14ac:dyDescent="0.25">
      <c r="A3161">
        <v>10667</v>
      </c>
      <c r="B3161" s="11">
        <v>4017890123450</v>
      </c>
      <c r="C3161" s="1" t="s">
        <v>65</v>
      </c>
      <c r="D3161" s="1" t="s">
        <v>39</v>
      </c>
      <c r="E3161" s="1" t="s">
        <v>22</v>
      </c>
      <c r="F3161">
        <v>7.6</v>
      </c>
      <c r="G3161">
        <v>1</v>
      </c>
      <c r="H3161" s="1" t="s">
        <v>23</v>
      </c>
      <c r="I3161" s="1" t="s">
        <v>547</v>
      </c>
      <c r="J3161" s="12">
        <v>45869</v>
      </c>
      <c r="K3161">
        <v>0</v>
      </c>
      <c r="L3161" s="1">
        <f t="shared" si="196"/>
        <v>7.6</v>
      </c>
      <c r="M3161" s="1">
        <f t="shared" si="197"/>
        <v>5</v>
      </c>
      <c r="N3161" s="2">
        <f t="shared" si="198"/>
        <v>45839</v>
      </c>
      <c r="O3161" t="str">
        <f t="shared" si="199"/>
        <v>pes</v>
      </c>
    </row>
    <row r="3162" spans="1:15" hidden="1" x14ac:dyDescent="0.25">
      <c r="A3162">
        <v>10668</v>
      </c>
      <c r="B3162" s="11">
        <v>4010123456783</v>
      </c>
      <c r="C3162" s="1" t="s">
        <v>35</v>
      </c>
      <c r="D3162" s="1" t="s">
        <v>36</v>
      </c>
      <c r="E3162" s="1" t="s">
        <v>37</v>
      </c>
      <c r="F3162">
        <v>14</v>
      </c>
      <c r="G3162">
        <v>1</v>
      </c>
      <c r="H3162" s="1" t="s">
        <v>14</v>
      </c>
      <c r="I3162" s="1" t="s">
        <v>15</v>
      </c>
      <c r="J3162" s="12">
        <v>45869</v>
      </c>
      <c r="K3162">
        <v>0</v>
      </c>
      <c r="L3162" s="1">
        <f t="shared" si="196"/>
        <v>14</v>
      </c>
      <c r="M3162" s="1" t="str">
        <f t="shared" si="197"/>
        <v/>
      </c>
      <c r="N3162" s="2">
        <f t="shared" si="198"/>
        <v>45839</v>
      </c>
      <c r="O3162" t="str">
        <f t="shared" si="199"/>
        <v>mačka</v>
      </c>
    </row>
    <row r="3163" spans="1:15" x14ac:dyDescent="0.25">
      <c r="A3163">
        <v>10669</v>
      </c>
      <c r="B3163" s="11">
        <v>8599988776654</v>
      </c>
      <c r="C3163" s="1" t="s">
        <v>393</v>
      </c>
      <c r="D3163" s="1" t="s">
        <v>133</v>
      </c>
      <c r="E3163" s="1" t="s">
        <v>17</v>
      </c>
      <c r="F3163">
        <v>16.8</v>
      </c>
      <c r="G3163">
        <v>2</v>
      </c>
      <c r="H3163" s="1" t="s">
        <v>14</v>
      </c>
      <c r="I3163" s="1" t="s">
        <v>15</v>
      </c>
      <c r="J3163" s="12">
        <v>45869</v>
      </c>
      <c r="K3163">
        <v>0</v>
      </c>
      <c r="L3163" s="1">
        <f t="shared" si="196"/>
        <v>33.6</v>
      </c>
      <c r="M3163" s="1" t="str">
        <f t="shared" si="197"/>
        <v/>
      </c>
      <c r="N3163" s="2">
        <f t="shared" si="198"/>
        <v>45839</v>
      </c>
      <c r="O3163" t="str">
        <f t="shared" si="199"/>
        <v>pes</v>
      </c>
    </row>
    <row r="3164" spans="1:15" x14ac:dyDescent="0.25">
      <c r="A3164">
        <v>10670</v>
      </c>
      <c r="B3164" s="11">
        <v>4027788990013</v>
      </c>
      <c r="C3164" s="1" t="s">
        <v>43</v>
      </c>
      <c r="D3164" s="1" t="s">
        <v>21</v>
      </c>
      <c r="E3164" s="1" t="s">
        <v>22</v>
      </c>
      <c r="F3164">
        <v>8</v>
      </c>
      <c r="G3164">
        <v>1</v>
      </c>
      <c r="H3164" s="1" t="s">
        <v>18</v>
      </c>
      <c r="I3164" s="1" t="s">
        <v>548</v>
      </c>
      <c r="J3164" s="12">
        <v>45869</v>
      </c>
      <c r="K3164">
        <v>0</v>
      </c>
      <c r="L3164" s="1">
        <f t="shared" si="196"/>
        <v>8</v>
      </c>
      <c r="M3164" s="1">
        <f t="shared" si="197"/>
        <v>4</v>
      </c>
      <c r="N3164" s="2">
        <f t="shared" si="198"/>
        <v>45839</v>
      </c>
      <c r="O3164" t="str">
        <f t="shared" si="199"/>
        <v>pes</v>
      </c>
    </row>
    <row r="3165" spans="1:15" x14ac:dyDescent="0.25">
      <c r="A3165">
        <v>10671</v>
      </c>
      <c r="B3165" s="11">
        <v>8599988776654</v>
      </c>
      <c r="C3165" s="1" t="s">
        <v>393</v>
      </c>
      <c r="D3165" s="1" t="s">
        <v>133</v>
      </c>
      <c r="E3165" s="1" t="s">
        <v>17</v>
      </c>
      <c r="F3165">
        <v>16.8</v>
      </c>
      <c r="G3165">
        <v>1</v>
      </c>
      <c r="H3165" s="1" t="s">
        <v>14</v>
      </c>
      <c r="I3165" s="1" t="s">
        <v>15</v>
      </c>
      <c r="J3165" s="12">
        <v>45869</v>
      </c>
      <c r="K3165">
        <v>0</v>
      </c>
      <c r="L3165" s="1">
        <f t="shared" si="196"/>
        <v>16.8</v>
      </c>
      <c r="M3165" s="1" t="str">
        <f t="shared" si="197"/>
        <v/>
      </c>
      <c r="N3165" s="2">
        <f t="shared" si="198"/>
        <v>45839</v>
      </c>
      <c r="O3165" t="str">
        <f t="shared" si="199"/>
        <v>pes</v>
      </c>
    </row>
    <row r="3166" spans="1:15" hidden="1" x14ac:dyDescent="0.25">
      <c r="A3166">
        <v>10672</v>
      </c>
      <c r="B3166" s="11">
        <v>4021234567894</v>
      </c>
      <c r="C3166" s="1" t="s">
        <v>79</v>
      </c>
      <c r="D3166" s="1" t="s">
        <v>36</v>
      </c>
      <c r="E3166" s="1" t="s">
        <v>69</v>
      </c>
      <c r="F3166">
        <v>8</v>
      </c>
      <c r="G3166">
        <v>1</v>
      </c>
      <c r="H3166" s="1" t="s">
        <v>23</v>
      </c>
      <c r="I3166" s="1" t="s">
        <v>549</v>
      </c>
      <c r="J3166" s="12">
        <v>45869</v>
      </c>
      <c r="K3166">
        <v>0</v>
      </c>
      <c r="L3166" s="1">
        <f t="shared" si="196"/>
        <v>8</v>
      </c>
      <c r="M3166" s="1">
        <f t="shared" si="197"/>
        <v>5</v>
      </c>
      <c r="N3166" s="2">
        <f t="shared" si="198"/>
        <v>45839</v>
      </c>
      <c r="O3166" t="str">
        <f t="shared" si="199"/>
        <v>mačka</v>
      </c>
    </row>
    <row r="3167" spans="1:15" x14ac:dyDescent="0.25">
      <c r="A3167">
        <v>10673</v>
      </c>
      <c r="B3167" s="11">
        <v>8599988776654</v>
      </c>
      <c r="C3167" s="1" t="s">
        <v>393</v>
      </c>
      <c r="D3167" s="1" t="s">
        <v>133</v>
      </c>
      <c r="E3167" s="1" t="s">
        <v>17</v>
      </c>
      <c r="F3167">
        <v>16.8</v>
      </c>
      <c r="G3167">
        <v>1</v>
      </c>
      <c r="H3167" s="1" t="s">
        <v>14</v>
      </c>
      <c r="I3167" s="1" t="s">
        <v>15</v>
      </c>
      <c r="J3167" s="12">
        <v>45869</v>
      </c>
      <c r="K3167">
        <v>0</v>
      </c>
      <c r="L3167" s="1">
        <f t="shared" si="196"/>
        <v>16.8</v>
      </c>
      <c r="M3167" s="1" t="str">
        <f t="shared" si="197"/>
        <v/>
      </c>
      <c r="N3167" s="2">
        <f t="shared" si="198"/>
        <v>45839</v>
      </c>
      <c r="O3167" t="str">
        <f t="shared" si="199"/>
        <v>pes</v>
      </c>
    </row>
    <row r="3168" spans="1:15" x14ac:dyDescent="0.25">
      <c r="A3168">
        <v>10674</v>
      </c>
      <c r="B3168" s="11">
        <v>4013456789017</v>
      </c>
      <c r="C3168" s="1" t="s">
        <v>11</v>
      </c>
      <c r="D3168" s="1" t="s">
        <v>12</v>
      </c>
      <c r="E3168" s="1" t="s">
        <v>13</v>
      </c>
      <c r="F3168">
        <v>6</v>
      </c>
      <c r="G3168">
        <v>1</v>
      </c>
      <c r="H3168" s="1" t="s">
        <v>14</v>
      </c>
      <c r="I3168" s="1" t="s">
        <v>15</v>
      </c>
      <c r="J3168" s="12">
        <v>45869</v>
      </c>
      <c r="K3168">
        <v>0</v>
      </c>
      <c r="L3168" s="1">
        <f t="shared" si="196"/>
        <v>6</v>
      </c>
      <c r="M3168" s="1" t="str">
        <f t="shared" si="197"/>
        <v/>
      </c>
      <c r="N3168" s="2">
        <f t="shared" si="198"/>
        <v>45839</v>
      </c>
      <c r="O3168" t="str">
        <f t="shared" si="199"/>
        <v>pes</v>
      </c>
    </row>
    <row r="3169" spans="1:15" x14ac:dyDescent="0.25">
      <c r="A3169">
        <v>10675</v>
      </c>
      <c r="B3169" s="11">
        <v>8599988776654</v>
      </c>
      <c r="C3169" s="1" t="s">
        <v>393</v>
      </c>
      <c r="D3169" s="1" t="s">
        <v>133</v>
      </c>
      <c r="E3169" s="1" t="s">
        <v>17</v>
      </c>
      <c r="F3169">
        <v>16.8</v>
      </c>
      <c r="G3169">
        <v>2</v>
      </c>
      <c r="H3169" s="1" t="s">
        <v>23</v>
      </c>
      <c r="I3169" s="1" t="s">
        <v>550</v>
      </c>
      <c r="J3169" s="12">
        <v>45869</v>
      </c>
      <c r="K3169">
        <v>0</v>
      </c>
      <c r="L3169" s="1">
        <f t="shared" si="196"/>
        <v>33.6</v>
      </c>
      <c r="M3169" s="1">
        <f t="shared" si="197"/>
        <v>5</v>
      </c>
      <c r="N3169" s="2">
        <f t="shared" si="198"/>
        <v>45839</v>
      </c>
      <c r="O3169" t="str">
        <f t="shared" si="199"/>
        <v>pes</v>
      </c>
    </row>
    <row r="3170" spans="1:15" x14ac:dyDescent="0.25">
      <c r="A3170">
        <v>10676</v>
      </c>
      <c r="B3170" s="11">
        <v>4017890123450</v>
      </c>
      <c r="C3170" s="1" t="s">
        <v>65</v>
      </c>
      <c r="D3170" s="1" t="s">
        <v>39</v>
      </c>
      <c r="E3170" s="1" t="s">
        <v>22</v>
      </c>
      <c r="F3170">
        <v>7.6</v>
      </c>
      <c r="G3170">
        <v>1</v>
      </c>
      <c r="H3170" s="1" t="s">
        <v>14</v>
      </c>
      <c r="I3170" s="1" t="s">
        <v>15</v>
      </c>
      <c r="J3170" s="12">
        <v>45869</v>
      </c>
      <c r="K3170">
        <v>0</v>
      </c>
      <c r="L3170" s="1">
        <f t="shared" si="196"/>
        <v>7.6</v>
      </c>
      <c r="M3170" s="1" t="str">
        <f t="shared" si="197"/>
        <v/>
      </c>
      <c r="N3170" s="2">
        <f t="shared" si="198"/>
        <v>45839</v>
      </c>
      <c r="O3170" t="str">
        <f t="shared" si="199"/>
        <v>pes</v>
      </c>
    </row>
    <row r="3171" spans="1:15" x14ac:dyDescent="0.25">
      <c r="A3171">
        <v>10677</v>
      </c>
      <c r="B3171" s="11">
        <v>8599988776654</v>
      </c>
      <c r="C3171" s="1" t="s">
        <v>393</v>
      </c>
      <c r="D3171" s="1" t="s">
        <v>133</v>
      </c>
      <c r="E3171" s="1" t="s">
        <v>17</v>
      </c>
      <c r="F3171">
        <v>16.8</v>
      </c>
      <c r="G3171">
        <v>1</v>
      </c>
      <c r="H3171" s="1" t="s">
        <v>14</v>
      </c>
      <c r="I3171" s="1" t="s">
        <v>15</v>
      </c>
      <c r="J3171" s="12">
        <v>45869</v>
      </c>
      <c r="K3171">
        <v>0</v>
      </c>
      <c r="L3171" s="1">
        <f t="shared" si="196"/>
        <v>16.8</v>
      </c>
      <c r="M3171" s="1" t="str">
        <f t="shared" si="197"/>
        <v/>
      </c>
      <c r="N3171" s="2">
        <f t="shared" si="198"/>
        <v>45839</v>
      </c>
      <c r="O3171" t="str">
        <f t="shared" si="199"/>
        <v>pes</v>
      </c>
    </row>
    <row r="3172" spans="1:15" hidden="1" x14ac:dyDescent="0.25">
      <c r="A3172">
        <v>10678</v>
      </c>
      <c r="B3172" s="11">
        <v>4010123456783</v>
      </c>
      <c r="C3172" s="1" t="s">
        <v>35</v>
      </c>
      <c r="D3172" s="1" t="s">
        <v>36</v>
      </c>
      <c r="E3172" s="1" t="s">
        <v>37</v>
      </c>
      <c r="F3172">
        <v>14</v>
      </c>
      <c r="G3172">
        <v>1</v>
      </c>
      <c r="H3172" s="1" t="s">
        <v>23</v>
      </c>
      <c r="I3172" s="1" t="s">
        <v>551</v>
      </c>
      <c r="J3172" s="12">
        <v>45869</v>
      </c>
      <c r="K3172">
        <v>0</v>
      </c>
      <c r="L3172" s="1">
        <f t="shared" si="196"/>
        <v>14</v>
      </c>
      <c r="M3172" s="1">
        <f t="shared" si="197"/>
        <v>5</v>
      </c>
      <c r="N3172" s="2">
        <f t="shared" si="198"/>
        <v>45839</v>
      </c>
      <c r="O3172" t="str">
        <f t="shared" si="199"/>
        <v>mačka</v>
      </c>
    </row>
    <row r="3173" spans="1:15" x14ac:dyDescent="0.25">
      <c r="A3173">
        <v>10679</v>
      </c>
      <c r="B3173" s="11">
        <v>8599988776654</v>
      </c>
      <c r="C3173" s="1" t="s">
        <v>393</v>
      </c>
      <c r="D3173" s="1" t="s">
        <v>133</v>
      </c>
      <c r="E3173" s="1" t="s">
        <v>17</v>
      </c>
      <c r="F3173">
        <v>16.8</v>
      </c>
      <c r="G3173">
        <v>1</v>
      </c>
      <c r="H3173" s="1" t="s">
        <v>14</v>
      </c>
      <c r="I3173" s="1" t="s">
        <v>15</v>
      </c>
      <c r="J3173" s="12">
        <v>45869</v>
      </c>
      <c r="K3173">
        <v>0</v>
      </c>
      <c r="L3173" s="1">
        <f t="shared" si="196"/>
        <v>16.8</v>
      </c>
      <c r="M3173" s="1" t="str">
        <f t="shared" si="197"/>
        <v/>
      </c>
      <c r="N3173" s="2">
        <f t="shared" si="198"/>
        <v>45839</v>
      </c>
      <c r="O3173" t="str">
        <f t="shared" si="199"/>
        <v>pes</v>
      </c>
    </row>
    <row r="3174" spans="1:15" x14ac:dyDescent="0.25">
      <c r="A3174">
        <v>10680</v>
      </c>
      <c r="B3174" s="11">
        <v>4063456789014</v>
      </c>
      <c r="C3174" s="1" t="s">
        <v>60</v>
      </c>
      <c r="D3174" s="1" t="s">
        <v>12</v>
      </c>
      <c r="E3174" s="1" t="s">
        <v>61</v>
      </c>
      <c r="F3174">
        <v>36</v>
      </c>
      <c r="G3174">
        <v>1</v>
      </c>
      <c r="H3174" s="1" t="s">
        <v>14</v>
      </c>
      <c r="I3174" s="1" t="s">
        <v>15</v>
      </c>
      <c r="J3174" s="12">
        <v>45869</v>
      </c>
      <c r="K3174">
        <v>0</v>
      </c>
      <c r="L3174" s="1">
        <f t="shared" si="196"/>
        <v>36</v>
      </c>
      <c r="M3174" s="1" t="str">
        <f t="shared" si="197"/>
        <v/>
      </c>
      <c r="N3174" s="2">
        <f t="shared" si="198"/>
        <v>45839</v>
      </c>
      <c r="O3174" t="str">
        <f t="shared" si="199"/>
        <v>pes</v>
      </c>
    </row>
    <row r="3175" spans="1:15" x14ac:dyDescent="0.25">
      <c r="A3175">
        <v>10681</v>
      </c>
      <c r="B3175" s="11">
        <v>8599988776654</v>
      </c>
      <c r="C3175" s="1" t="s">
        <v>393</v>
      </c>
      <c r="D3175" s="1" t="s">
        <v>133</v>
      </c>
      <c r="E3175" s="1" t="s">
        <v>17</v>
      </c>
      <c r="F3175">
        <v>16.8</v>
      </c>
      <c r="G3175">
        <v>1</v>
      </c>
      <c r="H3175" s="1" t="s">
        <v>14</v>
      </c>
      <c r="I3175" s="1" t="s">
        <v>15</v>
      </c>
      <c r="J3175" s="12">
        <v>45869</v>
      </c>
      <c r="K3175">
        <v>0</v>
      </c>
      <c r="L3175" s="1">
        <f t="shared" si="196"/>
        <v>16.8</v>
      </c>
      <c r="M3175" s="1" t="str">
        <f t="shared" si="197"/>
        <v/>
      </c>
      <c r="N3175" s="2">
        <f t="shared" si="198"/>
        <v>45839</v>
      </c>
      <c r="O3175" t="str">
        <f t="shared" si="199"/>
        <v>pes</v>
      </c>
    </row>
    <row r="3176" spans="1:15" x14ac:dyDescent="0.25">
      <c r="A3176">
        <v>10682</v>
      </c>
      <c r="B3176" s="11">
        <v>4028899001126</v>
      </c>
      <c r="C3176" s="1" t="s">
        <v>16</v>
      </c>
      <c r="D3176" s="1" t="s">
        <v>12</v>
      </c>
      <c r="E3176" s="1" t="s">
        <v>17</v>
      </c>
      <c r="F3176">
        <v>2.8</v>
      </c>
      <c r="G3176">
        <v>3</v>
      </c>
      <c r="H3176" s="1" t="s">
        <v>23</v>
      </c>
      <c r="I3176" s="1" t="s">
        <v>552</v>
      </c>
      <c r="J3176" s="12">
        <v>45869</v>
      </c>
      <c r="K3176">
        <v>0</v>
      </c>
      <c r="L3176" s="1">
        <f t="shared" si="196"/>
        <v>8.3999999999999986</v>
      </c>
      <c r="M3176" s="1">
        <f t="shared" si="197"/>
        <v>5</v>
      </c>
      <c r="N3176" s="2">
        <f t="shared" si="198"/>
        <v>45839</v>
      </c>
      <c r="O3176" t="str">
        <f t="shared" si="199"/>
        <v>pes</v>
      </c>
    </row>
    <row r="3177" spans="1:15" x14ac:dyDescent="0.25">
      <c r="A3177">
        <v>10683</v>
      </c>
      <c r="B3177" s="11">
        <v>8599988776654</v>
      </c>
      <c r="C3177" s="1" t="s">
        <v>393</v>
      </c>
      <c r="D3177" s="1" t="s">
        <v>133</v>
      </c>
      <c r="E3177" s="1" t="s">
        <v>17</v>
      </c>
      <c r="F3177">
        <v>16.8</v>
      </c>
      <c r="G3177">
        <v>1</v>
      </c>
      <c r="H3177" s="1" t="s">
        <v>14</v>
      </c>
      <c r="I3177" s="1" t="s">
        <v>15</v>
      </c>
      <c r="J3177" s="12">
        <v>45869</v>
      </c>
      <c r="K3177">
        <v>0</v>
      </c>
      <c r="L3177" s="1">
        <f t="shared" si="196"/>
        <v>16.8</v>
      </c>
      <c r="M3177" s="1" t="str">
        <f t="shared" si="197"/>
        <v/>
      </c>
      <c r="N3177" s="2">
        <f t="shared" si="198"/>
        <v>45839</v>
      </c>
      <c r="O3177" t="str">
        <f t="shared" si="199"/>
        <v>pes</v>
      </c>
    </row>
    <row r="3178" spans="1:15" x14ac:dyDescent="0.25">
      <c r="A3178">
        <v>10684</v>
      </c>
      <c r="B3178" s="11">
        <v>4013456789017</v>
      </c>
      <c r="C3178" s="1" t="s">
        <v>11</v>
      </c>
      <c r="D3178" s="1" t="s">
        <v>12</v>
      </c>
      <c r="E3178" s="1" t="s">
        <v>13</v>
      </c>
      <c r="F3178">
        <v>6</v>
      </c>
      <c r="G3178">
        <v>1</v>
      </c>
      <c r="H3178" s="1" t="s">
        <v>14</v>
      </c>
      <c r="I3178" s="1" t="s">
        <v>15</v>
      </c>
      <c r="J3178" s="12">
        <v>45869</v>
      </c>
      <c r="K3178">
        <v>0</v>
      </c>
      <c r="L3178" s="1">
        <f t="shared" si="196"/>
        <v>6</v>
      </c>
      <c r="M3178" s="1" t="str">
        <f t="shared" si="197"/>
        <v/>
      </c>
      <c r="N3178" s="2">
        <f t="shared" si="198"/>
        <v>45839</v>
      </c>
      <c r="O3178" t="str">
        <f t="shared" si="199"/>
        <v>pes</v>
      </c>
    </row>
    <row r="3179" spans="1:15" x14ac:dyDescent="0.25">
      <c r="A3179">
        <v>10685</v>
      </c>
      <c r="B3179" s="11">
        <v>8599988776654</v>
      </c>
      <c r="C3179" s="1" t="s">
        <v>393</v>
      </c>
      <c r="D3179" s="1" t="s">
        <v>133</v>
      </c>
      <c r="E3179" s="1" t="s">
        <v>17</v>
      </c>
      <c r="F3179">
        <v>16.8</v>
      </c>
      <c r="G3179">
        <v>2</v>
      </c>
      <c r="H3179" s="1" t="s">
        <v>14</v>
      </c>
      <c r="I3179" s="1" t="s">
        <v>15</v>
      </c>
      <c r="J3179" s="12">
        <v>45869</v>
      </c>
      <c r="K3179">
        <v>0</v>
      </c>
      <c r="L3179" s="1">
        <f t="shared" si="196"/>
        <v>33.6</v>
      </c>
      <c r="M3179" s="1" t="str">
        <f t="shared" si="197"/>
        <v/>
      </c>
      <c r="N3179" s="2">
        <f t="shared" si="198"/>
        <v>45839</v>
      </c>
      <c r="O3179" t="str">
        <f t="shared" si="199"/>
        <v>pes</v>
      </c>
    </row>
    <row r="3180" spans="1:15" x14ac:dyDescent="0.25">
      <c r="A3180">
        <v>10686</v>
      </c>
      <c r="B3180" s="11">
        <v>4017890123450</v>
      </c>
      <c r="C3180" s="1" t="s">
        <v>65</v>
      </c>
      <c r="D3180" s="1" t="s">
        <v>39</v>
      </c>
      <c r="E3180" s="1" t="s">
        <v>22</v>
      </c>
      <c r="F3180">
        <v>7.6</v>
      </c>
      <c r="G3180">
        <v>1</v>
      </c>
      <c r="H3180" s="1" t="s">
        <v>18</v>
      </c>
      <c r="I3180" s="1" t="s">
        <v>553</v>
      </c>
      <c r="J3180" s="12">
        <v>45869</v>
      </c>
      <c r="K3180">
        <v>0</v>
      </c>
      <c r="L3180" s="1">
        <f t="shared" si="196"/>
        <v>7.6</v>
      </c>
      <c r="M3180" s="1">
        <f t="shared" si="197"/>
        <v>4</v>
      </c>
      <c r="N3180" s="2">
        <f t="shared" si="198"/>
        <v>45839</v>
      </c>
      <c r="O3180" t="str">
        <f t="shared" si="199"/>
        <v>pes</v>
      </c>
    </row>
    <row r="3181" spans="1:15" hidden="1" x14ac:dyDescent="0.25">
      <c r="A3181">
        <v>10687</v>
      </c>
      <c r="B3181" s="11">
        <v>4010123456783</v>
      </c>
      <c r="C3181" s="1" t="s">
        <v>35</v>
      </c>
      <c r="D3181" s="1" t="s">
        <v>36</v>
      </c>
      <c r="E3181" s="1" t="s">
        <v>37</v>
      </c>
      <c r="F3181">
        <v>14</v>
      </c>
      <c r="G3181">
        <v>1</v>
      </c>
      <c r="H3181" s="1" t="s">
        <v>14</v>
      </c>
      <c r="I3181" s="1" t="s">
        <v>15</v>
      </c>
      <c r="J3181" s="12">
        <v>45869</v>
      </c>
      <c r="K3181">
        <v>0</v>
      </c>
      <c r="L3181" s="1">
        <f t="shared" si="196"/>
        <v>14</v>
      </c>
      <c r="M3181" s="1" t="str">
        <f t="shared" si="197"/>
        <v/>
      </c>
      <c r="N3181" s="2">
        <f t="shared" si="198"/>
        <v>45839</v>
      </c>
      <c r="O3181" t="str">
        <f t="shared" si="199"/>
        <v>mačka</v>
      </c>
    </row>
    <row r="3182" spans="1:15" x14ac:dyDescent="0.25">
      <c r="A3182">
        <v>10688</v>
      </c>
      <c r="B3182" s="11">
        <v>8599988776654</v>
      </c>
      <c r="C3182" s="1" t="s">
        <v>393</v>
      </c>
      <c r="D3182" s="1" t="s">
        <v>133</v>
      </c>
      <c r="E3182" s="1" t="s">
        <v>17</v>
      </c>
      <c r="F3182">
        <v>16.8</v>
      </c>
      <c r="G3182">
        <v>1</v>
      </c>
      <c r="H3182" s="1" t="s">
        <v>14</v>
      </c>
      <c r="I3182" s="1" t="s">
        <v>15</v>
      </c>
      <c r="J3182" s="12">
        <v>45869</v>
      </c>
      <c r="K3182">
        <v>0</v>
      </c>
      <c r="L3182" s="1">
        <f t="shared" si="196"/>
        <v>16.8</v>
      </c>
      <c r="M3182" s="1" t="str">
        <f t="shared" si="197"/>
        <v/>
      </c>
      <c r="N3182" s="2">
        <f t="shared" si="198"/>
        <v>45839</v>
      </c>
      <c r="O3182" t="str">
        <f t="shared" si="199"/>
        <v>pes</v>
      </c>
    </row>
    <row r="3183" spans="1:15" hidden="1" x14ac:dyDescent="0.25">
      <c r="A3183">
        <v>10689</v>
      </c>
      <c r="B3183" s="11">
        <v>4056789012345</v>
      </c>
      <c r="C3183" s="1" t="s">
        <v>47</v>
      </c>
      <c r="D3183" s="1" t="s">
        <v>29</v>
      </c>
      <c r="E3183" s="1" t="s">
        <v>37</v>
      </c>
      <c r="F3183">
        <v>2.4</v>
      </c>
      <c r="G3183">
        <v>2</v>
      </c>
      <c r="H3183" s="1" t="s">
        <v>18</v>
      </c>
      <c r="I3183" s="1" t="s">
        <v>554</v>
      </c>
      <c r="J3183" s="12">
        <v>45869</v>
      </c>
      <c r="K3183">
        <v>0</v>
      </c>
      <c r="L3183" s="1">
        <f t="shared" si="196"/>
        <v>4.8</v>
      </c>
      <c r="M3183" s="1">
        <f t="shared" si="197"/>
        <v>4</v>
      </c>
      <c r="N3183" s="2">
        <f t="shared" si="198"/>
        <v>45839</v>
      </c>
      <c r="O3183" t="str">
        <f t="shared" si="199"/>
        <v>mačka</v>
      </c>
    </row>
    <row r="3184" spans="1:15" x14ac:dyDescent="0.25">
      <c r="A3184">
        <v>10690</v>
      </c>
      <c r="B3184" s="11">
        <v>8599988776654</v>
      </c>
      <c r="C3184" s="1" t="s">
        <v>393</v>
      </c>
      <c r="D3184" s="1" t="s">
        <v>133</v>
      </c>
      <c r="E3184" s="1" t="s">
        <v>17</v>
      </c>
      <c r="F3184">
        <v>16.8</v>
      </c>
      <c r="G3184">
        <v>1</v>
      </c>
      <c r="H3184" s="1" t="s">
        <v>14</v>
      </c>
      <c r="I3184" s="1" t="s">
        <v>15</v>
      </c>
      <c r="J3184" s="12">
        <v>45869</v>
      </c>
      <c r="K3184">
        <v>0</v>
      </c>
      <c r="L3184" s="1">
        <f t="shared" si="196"/>
        <v>16.8</v>
      </c>
      <c r="M3184" s="1" t="str">
        <f t="shared" si="197"/>
        <v/>
      </c>
      <c r="N3184" s="2">
        <f t="shared" si="198"/>
        <v>45839</v>
      </c>
      <c r="O3184" t="str">
        <f t="shared" si="199"/>
        <v>pes</v>
      </c>
    </row>
    <row r="3185" spans="1:15" x14ac:dyDescent="0.25">
      <c r="A3185">
        <v>10691</v>
      </c>
      <c r="B3185" s="11">
        <v>4027788990013</v>
      </c>
      <c r="C3185" s="1" t="s">
        <v>43</v>
      </c>
      <c r="D3185" s="1" t="s">
        <v>21</v>
      </c>
      <c r="E3185" s="1" t="s">
        <v>22</v>
      </c>
      <c r="F3185">
        <v>8</v>
      </c>
      <c r="G3185">
        <v>1</v>
      </c>
      <c r="H3185" s="1" t="s">
        <v>14</v>
      </c>
      <c r="I3185" s="1" t="s">
        <v>15</v>
      </c>
      <c r="J3185" s="12">
        <v>45869</v>
      </c>
      <c r="K3185">
        <v>0</v>
      </c>
      <c r="L3185" s="1">
        <f t="shared" si="196"/>
        <v>8</v>
      </c>
      <c r="M3185" s="1" t="str">
        <f t="shared" si="197"/>
        <v/>
      </c>
      <c r="N3185" s="2">
        <f t="shared" si="198"/>
        <v>45839</v>
      </c>
      <c r="O3185" t="str">
        <f t="shared" si="199"/>
        <v>pes</v>
      </c>
    </row>
    <row r="3186" spans="1:15" x14ac:dyDescent="0.25">
      <c r="A3186">
        <v>10692</v>
      </c>
      <c r="B3186" s="11">
        <v>8599988776654</v>
      </c>
      <c r="C3186" s="1" t="s">
        <v>393</v>
      </c>
      <c r="D3186" s="1" t="s">
        <v>133</v>
      </c>
      <c r="E3186" s="1" t="s">
        <v>17</v>
      </c>
      <c r="F3186">
        <v>16.8</v>
      </c>
      <c r="G3186">
        <v>2</v>
      </c>
      <c r="H3186" s="1" t="s">
        <v>14</v>
      </c>
      <c r="I3186" s="1" t="s">
        <v>15</v>
      </c>
      <c r="J3186" s="12">
        <v>45869</v>
      </c>
      <c r="K3186">
        <v>0</v>
      </c>
      <c r="L3186" s="1">
        <f t="shared" si="196"/>
        <v>33.6</v>
      </c>
      <c r="M3186" s="1" t="str">
        <f t="shared" si="197"/>
        <v/>
      </c>
      <c r="N3186" s="2">
        <f t="shared" si="198"/>
        <v>45839</v>
      </c>
      <c r="O3186" t="str">
        <f t="shared" si="199"/>
        <v>pes</v>
      </c>
    </row>
    <row r="3187" spans="1:15" x14ac:dyDescent="0.25">
      <c r="A3187">
        <v>10693</v>
      </c>
      <c r="B3187" s="11">
        <v>4017890123450</v>
      </c>
      <c r="C3187" s="1" t="s">
        <v>65</v>
      </c>
      <c r="D3187" s="1" t="s">
        <v>39</v>
      </c>
      <c r="E3187" s="1" t="s">
        <v>22</v>
      </c>
      <c r="F3187">
        <v>7.6</v>
      </c>
      <c r="G3187">
        <v>1</v>
      </c>
      <c r="H3187" s="1" t="s">
        <v>18</v>
      </c>
      <c r="I3187" s="1" t="s">
        <v>555</v>
      </c>
      <c r="J3187" s="12">
        <v>45869</v>
      </c>
      <c r="K3187">
        <v>0</v>
      </c>
      <c r="L3187" s="1">
        <f t="shared" si="196"/>
        <v>7.6</v>
      </c>
      <c r="M3187" s="1">
        <f t="shared" si="197"/>
        <v>4</v>
      </c>
      <c r="N3187" s="2">
        <f t="shared" si="198"/>
        <v>45839</v>
      </c>
      <c r="O3187" t="str">
        <f t="shared" si="199"/>
        <v>pes</v>
      </c>
    </row>
    <row r="3188" spans="1:15" x14ac:dyDescent="0.25">
      <c r="A3188">
        <v>10694</v>
      </c>
      <c r="B3188" s="11">
        <v>8599988776654</v>
      </c>
      <c r="C3188" s="1" t="s">
        <v>393</v>
      </c>
      <c r="D3188" s="1" t="s">
        <v>133</v>
      </c>
      <c r="E3188" s="1" t="s">
        <v>17</v>
      </c>
      <c r="F3188">
        <v>16.8</v>
      </c>
      <c r="G3188">
        <v>1</v>
      </c>
      <c r="H3188" s="1" t="s">
        <v>14</v>
      </c>
      <c r="I3188" s="1" t="s">
        <v>15</v>
      </c>
      <c r="J3188" s="12">
        <v>45869</v>
      </c>
      <c r="K3188">
        <v>0</v>
      </c>
      <c r="L3188" s="1">
        <f t="shared" si="196"/>
        <v>16.8</v>
      </c>
      <c r="M3188" s="1" t="str">
        <f t="shared" si="197"/>
        <v/>
      </c>
      <c r="N3188" s="2">
        <f t="shared" si="198"/>
        <v>45839</v>
      </c>
      <c r="O3188" t="str">
        <f t="shared" si="199"/>
        <v>pes</v>
      </c>
    </row>
    <row r="3189" spans="1:15" hidden="1" x14ac:dyDescent="0.25">
      <c r="A3189">
        <v>10695</v>
      </c>
      <c r="B3189" s="11">
        <v>4010123456783</v>
      </c>
      <c r="C3189" s="1" t="s">
        <v>35</v>
      </c>
      <c r="D3189" s="1" t="s">
        <v>36</v>
      </c>
      <c r="E3189" s="1" t="s">
        <v>37</v>
      </c>
      <c r="F3189">
        <v>14</v>
      </c>
      <c r="G3189">
        <v>1</v>
      </c>
      <c r="H3189" s="1" t="s">
        <v>23</v>
      </c>
      <c r="I3189" s="1" t="s">
        <v>556</v>
      </c>
      <c r="J3189" s="12">
        <v>45869</v>
      </c>
      <c r="K3189">
        <v>0</v>
      </c>
      <c r="L3189" s="1">
        <f t="shared" si="196"/>
        <v>14</v>
      </c>
      <c r="M3189" s="1">
        <f t="shared" si="197"/>
        <v>5</v>
      </c>
      <c r="N3189" s="2">
        <f t="shared" si="198"/>
        <v>45839</v>
      </c>
      <c r="O3189" t="str">
        <f t="shared" si="199"/>
        <v>mačka</v>
      </c>
    </row>
    <row r="3190" spans="1:15" x14ac:dyDescent="0.25">
      <c r="A3190">
        <v>10696</v>
      </c>
      <c r="B3190" s="11">
        <v>8599988776654</v>
      </c>
      <c r="C3190" s="1" t="s">
        <v>393</v>
      </c>
      <c r="D3190" s="1" t="s">
        <v>133</v>
      </c>
      <c r="E3190" s="1" t="s">
        <v>17</v>
      </c>
      <c r="F3190">
        <v>16.8</v>
      </c>
      <c r="G3190">
        <v>1</v>
      </c>
      <c r="H3190" s="1" t="s">
        <v>14</v>
      </c>
      <c r="I3190" s="1" t="s">
        <v>15</v>
      </c>
      <c r="J3190" s="12">
        <v>45869</v>
      </c>
      <c r="K3190">
        <v>0</v>
      </c>
      <c r="L3190" s="1">
        <f t="shared" si="196"/>
        <v>16.8</v>
      </c>
      <c r="M3190" s="1" t="str">
        <f t="shared" si="197"/>
        <v/>
      </c>
      <c r="N3190" s="2">
        <f t="shared" si="198"/>
        <v>45839</v>
      </c>
      <c r="O3190" t="str">
        <f t="shared" si="199"/>
        <v>pes</v>
      </c>
    </row>
    <row r="3191" spans="1:15" x14ac:dyDescent="0.25">
      <c r="A3191">
        <v>10697</v>
      </c>
      <c r="B3191" s="11">
        <v>4063456789014</v>
      </c>
      <c r="C3191" s="1" t="s">
        <v>60</v>
      </c>
      <c r="D3191" s="1" t="s">
        <v>12</v>
      </c>
      <c r="E3191" s="1" t="s">
        <v>61</v>
      </c>
      <c r="F3191">
        <v>36</v>
      </c>
      <c r="G3191">
        <v>1</v>
      </c>
      <c r="H3191" s="1" t="s">
        <v>23</v>
      </c>
      <c r="I3191" s="1" t="s">
        <v>557</v>
      </c>
      <c r="J3191" s="12">
        <v>45869</v>
      </c>
      <c r="K3191">
        <v>0</v>
      </c>
      <c r="L3191" s="1">
        <f t="shared" si="196"/>
        <v>36</v>
      </c>
      <c r="M3191" s="1">
        <f t="shared" si="197"/>
        <v>5</v>
      </c>
      <c r="N3191" s="2">
        <f t="shared" si="198"/>
        <v>45839</v>
      </c>
      <c r="O3191" t="str">
        <f t="shared" si="199"/>
        <v>pes</v>
      </c>
    </row>
    <row r="3192" spans="1:15" x14ac:dyDescent="0.25">
      <c r="A3192">
        <v>10698</v>
      </c>
      <c r="B3192" s="11">
        <v>8599988776654</v>
      </c>
      <c r="C3192" s="1" t="s">
        <v>393</v>
      </c>
      <c r="D3192" s="1" t="s">
        <v>133</v>
      </c>
      <c r="E3192" s="1" t="s">
        <v>17</v>
      </c>
      <c r="F3192">
        <v>16.8</v>
      </c>
      <c r="G3192">
        <v>1</v>
      </c>
      <c r="H3192" s="1" t="s">
        <v>14</v>
      </c>
      <c r="I3192" s="1" t="s">
        <v>15</v>
      </c>
      <c r="J3192" s="12">
        <v>45869</v>
      </c>
      <c r="K3192">
        <v>0</v>
      </c>
      <c r="L3192" s="1">
        <f t="shared" si="196"/>
        <v>16.8</v>
      </c>
      <c r="M3192" s="1" t="str">
        <f t="shared" si="197"/>
        <v/>
      </c>
      <c r="N3192" s="2">
        <f t="shared" si="198"/>
        <v>45839</v>
      </c>
      <c r="O3192" t="str">
        <f t="shared" si="199"/>
        <v>pes</v>
      </c>
    </row>
    <row r="3193" spans="1:15" hidden="1" x14ac:dyDescent="0.25">
      <c r="A3193">
        <v>10699</v>
      </c>
      <c r="B3193" s="11">
        <v>4021234567894</v>
      </c>
      <c r="C3193" s="1" t="s">
        <v>79</v>
      </c>
      <c r="D3193" s="1" t="s">
        <v>36</v>
      </c>
      <c r="E3193" s="1" t="s">
        <v>69</v>
      </c>
      <c r="F3193">
        <v>8</v>
      </c>
      <c r="G3193">
        <v>1</v>
      </c>
      <c r="H3193" s="1" t="s">
        <v>14</v>
      </c>
      <c r="I3193" s="1" t="s">
        <v>15</v>
      </c>
      <c r="J3193" s="12">
        <v>45869</v>
      </c>
      <c r="K3193">
        <v>0</v>
      </c>
      <c r="L3193" s="1">
        <f t="shared" si="196"/>
        <v>8</v>
      </c>
      <c r="M3193" s="1" t="str">
        <f t="shared" si="197"/>
        <v/>
      </c>
      <c r="N3193" s="2">
        <f t="shared" si="198"/>
        <v>45839</v>
      </c>
      <c r="O3193" t="str">
        <f t="shared" si="199"/>
        <v>mačka</v>
      </c>
    </row>
    <row r="3194" spans="1:15" x14ac:dyDescent="0.25">
      <c r="A3194">
        <v>10700</v>
      </c>
      <c r="B3194" s="11">
        <v>8599988776654</v>
      </c>
      <c r="C3194" s="1" t="s">
        <v>393</v>
      </c>
      <c r="D3194" s="1" t="s">
        <v>133</v>
      </c>
      <c r="E3194" s="1" t="s">
        <v>17</v>
      </c>
      <c r="F3194">
        <v>16.8</v>
      </c>
      <c r="G3194">
        <v>1</v>
      </c>
      <c r="H3194" s="1" t="s">
        <v>18</v>
      </c>
      <c r="I3194" s="1" t="s">
        <v>558</v>
      </c>
      <c r="J3194" s="12">
        <v>45869</v>
      </c>
      <c r="K3194">
        <v>0</v>
      </c>
      <c r="L3194" s="1">
        <f t="shared" si="196"/>
        <v>16.8</v>
      </c>
      <c r="M3194" s="1">
        <f t="shared" si="197"/>
        <v>4</v>
      </c>
      <c r="N3194" s="2">
        <f t="shared" si="198"/>
        <v>45839</v>
      </c>
      <c r="O3194" t="str">
        <f t="shared" si="199"/>
        <v>pes</v>
      </c>
    </row>
    <row r="3195" spans="1:15" hidden="1" x14ac:dyDescent="0.25">
      <c r="A3195">
        <v>10701</v>
      </c>
      <c r="B3195" s="11">
        <v>4056789012345</v>
      </c>
      <c r="C3195" s="1" t="s">
        <v>47</v>
      </c>
      <c r="D3195" s="1" t="s">
        <v>29</v>
      </c>
      <c r="E3195" s="1" t="s">
        <v>37</v>
      </c>
      <c r="F3195">
        <v>2.4</v>
      </c>
      <c r="G3195">
        <v>2</v>
      </c>
      <c r="H3195" s="1" t="s">
        <v>14</v>
      </c>
      <c r="I3195" s="1" t="s">
        <v>15</v>
      </c>
      <c r="J3195" s="12">
        <v>45869</v>
      </c>
      <c r="K3195">
        <v>0</v>
      </c>
      <c r="L3195" s="1">
        <f t="shared" si="196"/>
        <v>4.8</v>
      </c>
      <c r="M3195" s="1" t="str">
        <f t="shared" si="197"/>
        <v/>
      </c>
      <c r="N3195" s="2">
        <f t="shared" si="198"/>
        <v>45839</v>
      </c>
      <c r="O3195" t="str">
        <f t="shared" si="199"/>
        <v>mačka</v>
      </c>
    </row>
    <row r="3196" spans="1:15" x14ac:dyDescent="0.25">
      <c r="A3196">
        <v>10702</v>
      </c>
      <c r="B3196" s="11">
        <v>8599988776654</v>
      </c>
      <c r="C3196" s="1" t="s">
        <v>393</v>
      </c>
      <c r="D3196" s="1" t="s">
        <v>133</v>
      </c>
      <c r="E3196" s="1" t="s">
        <v>17</v>
      </c>
      <c r="F3196">
        <v>16.8</v>
      </c>
      <c r="G3196">
        <v>1</v>
      </c>
      <c r="H3196" s="1" t="s">
        <v>14</v>
      </c>
      <c r="I3196" s="1" t="s">
        <v>15</v>
      </c>
      <c r="J3196" s="12">
        <v>45869</v>
      </c>
      <c r="K3196">
        <v>0</v>
      </c>
      <c r="L3196" s="1">
        <f t="shared" si="196"/>
        <v>16.8</v>
      </c>
      <c r="M3196" s="1" t="str">
        <f t="shared" si="197"/>
        <v/>
      </c>
      <c r="N3196" s="2">
        <f t="shared" si="198"/>
        <v>45839</v>
      </c>
      <c r="O3196" t="str">
        <f t="shared" si="199"/>
        <v>pes</v>
      </c>
    </row>
    <row r="3197" spans="1:15" x14ac:dyDescent="0.25">
      <c r="A3197">
        <v>10703</v>
      </c>
      <c r="B3197" s="11">
        <v>4013456789017</v>
      </c>
      <c r="C3197" s="1" t="s">
        <v>11</v>
      </c>
      <c r="D3197" s="1" t="s">
        <v>12</v>
      </c>
      <c r="E3197" s="1" t="s">
        <v>13</v>
      </c>
      <c r="F3197">
        <v>6</v>
      </c>
      <c r="G3197">
        <v>1</v>
      </c>
      <c r="H3197" s="1" t="s">
        <v>23</v>
      </c>
      <c r="I3197" s="1" t="s">
        <v>559</v>
      </c>
      <c r="J3197" s="12">
        <v>45869</v>
      </c>
      <c r="K3197">
        <v>0</v>
      </c>
      <c r="L3197" s="1">
        <f t="shared" si="196"/>
        <v>6</v>
      </c>
      <c r="M3197" s="1">
        <f t="shared" si="197"/>
        <v>5</v>
      </c>
      <c r="N3197" s="2">
        <f t="shared" si="198"/>
        <v>45839</v>
      </c>
      <c r="O3197" t="str">
        <f t="shared" si="199"/>
        <v>pes</v>
      </c>
    </row>
    <row r="3198" spans="1:15" x14ac:dyDescent="0.25">
      <c r="A3198">
        <v>10704</v>
      </c>
      <c r="B3198" s="11">
        <v>8599988776654</v>
      </c>
      <c r="C3198" s="1" t="s">
        <v>393</v>
      </c>
      <c r="D3198" s="1" t="s">
        <v>133</v>
      </c>
      <c r="E3198" s="1" t="s">
        <v>17</v>
      </c>
      <c r="F3198">
        <v>16.8</v>
      </c>
      <c r="G3198">
        <v>2</v>
      </c>
      <c r="H3198" s="1" t="s">
        <v>14</v>
      </c>
      <c r="I3198" s="1" t="s">
        <v>15</v>
      </c>
      <c r="J3198" s="12">
        <v>45869</v>
      </c>
      <c r="K3198">
        <v>0</v>
      </c>
      <c r="L3198" s="1">
        <f t="shared" si="196"/>
        <v>33.6</v>
      </c>
      <c r="M3198" s="1" t="str">
        <f t="shared" si="197"/>
        <v/>
      </c>
      <c r="N3198" s="2">
        <f t="shared" si="198"/>
        <v>45839</v>
      </c>
      <c r="O3198" t="str">
        <f t="shared" si="199"/>
        <v>pes</v>
      </c>
    </row>
    <row r="3199" spans="1:15" hidden="1" x14ac:dyDescent="0.25">
      <c r="A3199">
        <v>10705</v>
      </c>
      <c r="B3199" s="11">
        <v>4010123456783</v>
      </c>
      <c r="C3199" s="1" t="s">
        <v>35</v>
      </c>
      <c r="D3199" s="1" t="s">
        <v>36</v>
      </c>
      <c r="E3199" s="1" t="s">
        <v>37</v>
      </c>
      <c r="F3199">
        <v>14</v>
      </c>
      <c r="G3199">
        <v>1</v>
      </c>
      <c r="H3199" s="1" t="s">
        <v>14</v>
      </c>
      <c r="I3199" s="1" t="s">
        <v>15</v>
      </c>
      <c r="J3199" s="12">
        <v>45869</v>
      </c>
      <c r="K3199">
        <v>0</v>
      </c>
      <c r="L3199" s="1">
        <f t="shared" si="196"/>
        <v>14</v>
      </c>
      <c r="M3199" s="1" t="str">
        <f t="shared" si="197"/>
        <v/>
      </c>
      <c r="N3199" s="2">
        <f t="shared" si="198"/>
        <v>45839</v>
      </c>
      <c r="O3199" t="str">
        <f t="shared" si="199"/>
        <v>mačka</v>
      </c>
    </row>
    <row r="3200" spans="1:15" x14ac:dyDescent="0.25">
      <c r="A3200">
        <v>10706</v>
      </c>
      <c r="B3200" s="11">
        <v>8599988776654</v>
      </c>
      <c r="C3200" s="1" t="s">
        <v>393</v>
      </c>
      <c r="D3200" s="1" t="s">
        <v>133</v>
      </c>
      <c r="E3200" s="1" t="s">
        <v>17</v>
      </c>
      <c r="F3200">
        <v>16.8</v>
      </c>
      <c r="G3200">
        <v>1</v>
      </c>
      <c r="H3200" s="1" t="s">
        <v>14</v>
      </c>
      <c r="I3200" s="1" t="s">
        <v>15</v>
      </c>
      <c r="J3200" s="12">
        <v>45869</v>
      </c>
      <c r="K3200">
        <v>0</v>
      </c>
      <c r="L3200" s="1">
        <f t="shared" si="196"/>
        <v>16.8</v>
      </c>
      <c r="M3200" s="1" t="str">
        <f t="shared" si="197"/>
        <v/>
      </c>
      <c r="N3200" s="2">
        <f t="shared" si="198"/>
        <v>45839</v>
      </c>
      <c r="O3200" t="str">
        <f t="shared" si="199"/>
        <v>pes</v>
      </c>
    </row>
    <row r="3201" spans="1:15" x14ac:dyDescent="0.25">
      <c r="A3201">
        <v>10707</v>
      </c>
      <c r="B3201" s="11">
        <v>4017890123450</v>
      </c>
      <c r="C3201" s="1" t="s">
        <v>65</v>
      </c>
      <c r="D3201" s="1" t="s">
        <v>39</v>
      </c>
      <c r="E3201" s="1" t="s">
        <v>22</v>
      </c>
      <c r="F3201">
        <v>7.6</v>
      </c>
      <c r="G3201">
        <v>1</v>
      </c>
      <c r="H3201" s="1" t="s">
        <v>23</v>
      </c>
      <c r="I3201" s="1" t="s">
        <v>560</v>
      </c>
      <c r="J3201" s="12">
        <v>45869</v>
      </c>
      <c r="K3201">
        <v>0</v>
      </c>
      <c r="L3201" s="1">
        <f t="shared" si="196"/>
        <v>7.6</v>
      </c>
      <c r="M3201" s="1">
        <f t="shared" si="197"/>
        <v>5</v>
      </c>
      <c r="N3201" s="2">
        <f t="shared" si="198"/>
        <v>45839</v>
      </c>
      <c r="O3201" t="str">
        <f t="shared" si="199"/>
        <v>pes</v>
      </c>
    </row>
    <row r="3202" spans="1:15" x14ac:dyDescent="0.25">
      <c r="A3202">
        <v>10708</v>
      </c>
      <c r="B3202" s="11">
        <v>8599988776654</v>
      </c>
      <c r="C3202" s="1" t="s">
        <v>393</v>
      </c>
      <c r="D3202" s="1" t="s">
        <v>133</v>
      </c>
      <c r="E3202" s="1" t="s">
        <v>17</v>
      </c>
      <c r="F3202">
        <v>16.8</v>
      </c>
      <c r="G3202">
        <v>1</v>
      </c>
      <c r="H3202" s="1" t="s">
        <v>14</v>
      </c>
      <c r="I3202" s="1" t="s">
        <v>15</v>
      </c>
      <c r="J3202" s="12">
        <v>45869</v>
      </c>
      <c r="K3202">
        <v>0</v>
      </c>
      <c r="L3202" s="1">
        <f t="shared" ref="L3202:L3265" si="200">F3202*G3202</f>
        <v>16.8</v>
      </c>
      <c r="M3202" s="1" t="str">
        <f t="shared" ref="M3202:M3265" si="201">IF(H3202="NULL", "",VALUE(H3202))</f>
        <v/>
      </c>
      <c r="N3202" s="2">
        <f t="shared" ref="N3202:N3265" si="202">DATE(YEAR(J3202),MONTH(J3202),1)</f>
        <v>45839</v>
      </c>
      <c r="O3202" t="str">
        <f t="shared" ref="O3202:O3265" si="203">IF(ISNUMBER(SEARCH("Mačky",D3202)),"mačka",IF(ISNUMBER(SEARCH("Psy",D3202)),"pes","iné"))</f>
        <v>pes</v>
      </c>
    </row>
    <row r="3203" spans="1:15" x14ac:dyDescent="0.25">
      <c r="A3203">
        <v>10709</v>
      </c>
      <c r="B3203" s="11">
        <v>4028899001126</v>
      </c>
      <c r="C3203" s="1" t="s">
        <v>16</v>
      </c>
      <c r="D3203" s="1" t="s">
        <v>12</v>
      </c>
      <c r="E3203" s="1" t="s">
        <v>17</v>
      </c>
      <c r="F3203">
        <v>2.8</v>
      </c>
      <c r="G3203">
        <v>3</v>
      </c>
      <c r="H3203" s="1" t="s">
        <v>14</v>
      </c>
      <c r="I3203" s="1" t="s">
        <v>15</v>
      </c>
      <c r="J3203" s="12">
        <v>45869</v>
      </c>
      <c r="K3203">
        <v>0</v>
      </c>
      <c r="L3203" s="1">
        <f t="shared" si="200"/>
        <v>8.3999999999999986</v>
      </c>
      <c r="M3203" s="1" t="str">
        <f t="shared" si="201"/>
        <v/>
      </c>
      <c r="N3203" s="2">
        <f t="shared" si="202"/>
        <v>45839</v>
      </c>
      <c r="O3203" t="str">
        <f t="shared" si="203"/>
        <v>pes</v>
      </c>
    </row>
    <row r="3204" spans="1:15" x14ac:dyDescent="0.25">
      <c r="A3204">
        <v>10710</v>
      </c>
      <c r="B3204" s="11">
        <v>8599988776654</v>
      </c>
      <c r="C3204" s="1" t="s">
        <v>393</v>
      </c>
      <c r="D3204" s="1" t="s">
        <v>133</v>
      </c>
      <c r="E3204" s="1" t="s">
        <v>17</v>
      </c>
      <c r="F3204">
        <v>16.8</v>
      </c>
      <c r="G3204">
        <v>1</v>
      </c>
      <c r="H3204" s="1" t="s">
        <v>14</v>
      </c>
      <c r="I3204" s="1" t="s">
        <v>15</v>
      </c>
      <c r="J3204" s="12">
        <v>45869</v>
      </c>
      <c r="K3204">
        <v>0</v>
      </c>
      <c r="L3204" s="1">
        <f t="shared" si="200"/>
        <v>16.8</v>
      </c>
      <c r="M3204" s="1" t="str">
        <f t="shared" si="201"/>
        <v/>
      </c>
      <c r="N3204" s="2">
        <f t="shared" si="202"/>
        <v>45839</v>
      </c>
      <c r="O3204" t="str">
        <f t="shared" si="203"/>
        <v>pes</v>
      </c>
    </row>
    <row r="3205" spans="1:15" hidden="1" x14ac:dyDescent="0.25">
      <c r="A3205">
        <v>10711</v>
      </c>
      <c r="B3205" s="11">
        <v>4056789012345</v>
      </c>
      <c r="C3205" s="1" t="s">
        <v>47</v>
      </c>
      <c r="D3205" s="1" t="s">
        <v>29</v>
      </c>
      <c r="E3205" s="1" t="s">
        <v>37</v>
      </c>
      <c r="F3205">
        <v>2.4</v>
      </c>
      <c r="G3205">
        <v>2</v>
      </c>
      <c r="H3205" s="1" t="s">
        <v>18</v>
      </c>
      <c r="I3205" s="1" t="s">
        <v>561</v>
      </c>
      <c r="J3205" s="12">
        <v>45869</v>
      </c>
      <c r="K3205">
        <v>0</v>
      </c>
      <c r="L3205" s="1">
        <f t="shared" si="200"/>
        <v>4.8</v>
      </c>
      <c r="M3205" s="1">
        <f t="shared" si="201"/>
        <v>4</v>
      </c>
      <c r="N3205" s="2">
        <f t="shared" si="202"/>
        <v>45839</v>
      </c>
      <c r="O3205" t="str">
        <f t="shared" si="203"/>
        <v>mačka</v>
      </c>
    </row>
    <row r="3206" spans="1:15" x14ac:dyDescent="0.25">
      <c r="A3206">
        <v>10712</v>
      </c>
      <c r="B3206" s="11">
        <v>8599988776654</v>
      </c>
      <c r="C3206" s="1" t="s">
        <v>393</v>
      </c>
      <c r="D3206" s="1" t="s">
        <v>133</v>
      </c>
      <c r="E3206" s="1" t="s">
        <v>17</v>
      </c>
      <c r="F3206">
        <v>16.8</v>
      </c>
      <c r="G3206">
        <v>1</v>
      </c>
      <c r="H3206" s="1" t="s">
        <v>14</v>
      </c>
      <c r="I3206" s="1" t="s">
        <v>15</v>
      </c>
      <c r="J3206" s="12">
        <v>45869</v>
      </c>
      <c r="K3206">
        <v>0</v>
      </c>
      <c r="L3206" s="1">
        <f t="shared" si="200"/>
        <v>16.8</v>
      </c>
      <c r="M3206" s="1" t="str">
        <f t="shared" si="201"/>
        <v/>
      </c>
      <c r="N3206" s="2">
        <f t="shared" si="202"/>
        <v>45839</v>
      </c>
      <c r="O3206" t="str">
        <f t="shared" si="203"/>
        <v>pes</v>
      </c>
    </row>
    <row r="3207" spans="1:15" x14ac:dyDescent="0.25">
      <c r="A3207">
        <v>10713</v>
      </c>
      <c r="B3207" s="11">
        <v>4013456789017</v>
      </c>
      <c r="C3207" s="1" t="s">
        <v>11</v>
      </c>
      <c r="D3207" s="1" t="s">
        <v>12</v>
      </c>
      <c r="E3207" s="1" t="s">
        <v>13</v>
      </c>
      <c r="F3207">
        <v>6</v>
      </c>
      <c r="G3207">
        <v>1</v>
      </c>
      <c r="H3207" s="1" t="s">
        <v>23</v>
      </c>
      <c r="I3207" s="1" t="s">
        <v>562</v>
      </c>
      <c r="J3207" s="12">
        <v>45869</v>
      </c>
      <c r="K3207">
        <v>0</v>
      </c>
      <c r="L3207" s="1">
        <f t="shared" si="200"/>
        <v>6</v>
      </c>
      <c r="M3207" s="1">
        <f t="shared" si="201"/>
        <v>5</v>
      </c>
      <c r="N3207" s="2">
        <f t="shared" si="202"/>
        <v>45839</v>
      </c>
      <c r="O3207" t="str">
        <f t="shared" si="203"/>
        <v>pes</v>
      </c>
    </row>
    <row r="3208" spans="1:15" x14ac:dyDescent="0.25">
      <c r="A3208">
        <v>10714</v>
      </c>
      <c r="B3208" s="11">
        <v>8599988776654</v>
      </c>
      <c r="C3208" s="1" t="s">
        <v>393</v>
      </c>
      <c r="D3208" s="1" t="s">
        <v>133</v>
      </c>
      <c r="E3208" s="1" t="s">
        <v>17</v>
      </c>
      <c r="F3208">
        <v>16.8</v>
      </c>
      <c r="G3208">
        <v>2</v>
      </c>
      <c r="H3208" s="1" t="s">
        <v>14</v>
      </c>
      <c r="I3208" s="1" t="s">
        <v>15</v>
      </c>
      <c r="J3208" s="12">
        <v>45869</v>
      </c>
      <c r="K3208">
        <v>0</v>
      </c>
      <c r="L3208" s="1">
        <f t="shared" si="200"/>
        <v>33.6</v>
      </c>
      <c r="M3208" s="1" t="str">
        <f t="shared" si="201"/>
        <v/>
      </c>
      <c r="N3208" s="2">
        <f t="shared" si="202"/>
        <v>45839</v>
      </c>
      <c r="O3208" t="str">
        <f t="shared" si="203"/>
        <v>pes</v>
      </c>
    </row>
    <row r="3209" spans="1:15" x14ac:dyDescent="0.25">
      <c r="A3209">
        <v>10715</v>
      </c>
      <c r="B3209" s="11">
        <v>4017890123450</v>
      </c>
      <c r="C3209" s="1" t="s">
        <v>65</v>
      </c>
      <c r="D3209" s="1" t="s">
        <v>39</v>
      </c>
      <c r="E3209" s="1" t="s">
        <v>22</v>
      </c>
      <c r="F3209">
        <v>7.6</v>
      </c>
      <c r="G3209">
        <v>1</v>
      </c>
      <c r="H3209" s="1" t="s">
        <v>14</v>
      </c>
      <c r="I3209" s="1" t="s">
        <v>15</v>
      </c>
      <c r="J3209" s="12">
        <v>45869</v>
      </c>
      <c r="K3209">
        <v>0</v>
      </c>
      <c r="L3209" s="1">
        <f t="shared" si="200"/>
        <v>7.6</v>
      </c>
      <c r="M3209" s="1" t="str">
        <f t="shared" si="201"/>
        <v/>
      </c>
      <c r="N3209" s="2">
        <f t="shared" si="202"/>
        <v>45839</v>
      </c>
      <c r="O3209" t="str">
        <f t="shared" si="203"/>
        <v>pes</v>
      </c>
    </row>
    <row r="3210" spans="1:15" x14ac:dyDescent="0.25">
      <c r="A3210">
        <v>10716</v>
      </c>
      <c r="B3210" s="11">
        <v>8599988776654</v>
      </c>
      <c r="C3210" s="1" t="s">
        <v>393</v>
      </c>
      <c r="D3210" s="1" t="s">
        <v>133</v>
      </c>
      <c r="E3210" s="1" t="s">
        <v>17</v>
      </c>
      <c r="F3210">
        <v>16.8</v>
      </c>
      <c r="G3210">
        <v>1</v>
      </c>
      <c r="H3210" s="1" t="s">
        <v>14</v>
      </c>
      <c r="I3210" s="1" t="s">
        <v>15</v>
      </c>
      <c r="J3210" s="12">
        <v>45869</v>
      </c>
      <c r="K3210">
        <v>0</v>
      </c>
      <c r="L3210" s="1">
        <f t="shared" si="200"/>
        <v>16.8</v>
      </c>
      <c r="M3210" s="1" t="str">
        <f t="shared" si="201"/>
        <v/>
      </c>
      <c r="N3210" s="2">
        <f t="shared" si="202"/>
        <v>45839</v>
      </c>
      <c r="O3210" t="str">
        <f t="shared" si="203"/>
        <v>pes</v>
      </c>
    </row>
    <row r="3211" spans="1:15" hidden="1" x14ac:dyDescent="0.25">
      <c r="A3211">
        <v>10717</v>
      </c>
      <c r="B3211" s="11">
        <v>4010123456783</v>
      </c>
      <c r="C3211" s="1" t="s">
        <v>35</v>
      </c>
      <c r="D3211" s="1" t="s">
        <v>36</v>
      </c>
      <c r="E3211" s="1" t="s">
        <v>37</v>
      </c>
      <c r="F3211">
        <v>14</v>
      </c>
      <c r="G3211">
        <v>1</v>
      </c>
      <c r="H3211" s="1" t="s">
        <v>23</v>
      </c>
      <c r="I3211" s="1" t="s">
        <v>563</v>
      </c>
      <c r="J3211" s="12">
        <v>45869</v>
      </c>
      <c r="K3211">
        <v>0</v>
      </c>
      <c r="L3211" s="1">
        <f t="shared" si="200"/>
        <v>14</v>
      </c>
      <c r="M3211" s="1">
        <f t="shared" si="201"/>
        <v>5</v>
      </c>
      <c r="N3211" s="2">
        <f t="shared" si="202"/>
        <v>45839</v>
      </c>
      <c r="O3211" t="str">
        <f t="shared" si="203"/>
        <v>mačka</v>
      </c>
    </row>
    <row r="3212" spans="1:15" x14ac:dyDescent="0.25">
      <c r="A3212">
        <v>10718</v>
      </c>
      <c r="B3212" s="11">
        <v>8599988776654</v>
      </c>
      <c r="C3212" s="1" t="s">
        <v>393</v>
      </c>
      <c r="D3212" s="1" t="s">
        <v>133</v>
      </c>
      <c r="E3212" s="1" t="s">
        <v>17</v>
      </c>
      <c r="F3212">
        <v>16.8</v>
      </c>
      <c r="G3212">
        <v>1</v>
      </c>
      <c r="H3212" s="1" t="s">
        <v>14</v>
      </c>
      <c r="I3212" s="1" t="s">
        <v>15</v>
      </c>
      <c r="J3212" s="12">
        <v>45869</v>
      </c>
      <c r="K3212">
        <v>0</v>
      </c>
      <c r="L3212" s="1">
        <f t="shared" si="200"/>
        <v>16.8</v>
      </c>
      <c r="M3212" s="1" t="str">
        <f t="shared" si="201"/>
        <v/>
      </c>
      <c r="N3212" s="2">
        <f t="shared" si="202"/>
        <v>45839</v>
      </c>
      <c r="O3212" t="str">
        <f t="shared" si="203"/>
        <v>pes</v>
      </c>
    </row>
    <row r="3213" spans="1:15" x14ac:dyDescent="0.25">
      <c r="A3213">
        <v>10719</v>
      </c>
      <c r="B3213" s="11">
        <v>4063456789014</v>
      </c>
      <c r="C3213" s="1" t="s">
        <v>60</v>
      </c>
      <c r="D3213" s="1" t="s">
        <v>12</v>
      </c>
      <c r="E3213" s="1" t="s">
        <v>61</v>
      </c>
      <c r="F3213">
        <v>36</v>
      </c>
      <c r="G3213">
        <v>1</v>
      </c>
      <c r="H3213" s="1" t="s">
        <v>18</v>
      </c>
      <c r="I3213" s="1" t="s">
        <v>564</v>
      </c>
      <c r="J3213" s="12">
        <v>45869</v>
      </c>
      <c r="K3213">
        <v>0</v>
      </c>
      <c r="L3213" s="1">
        <f t="shared" si="200"/>
        <v>36</v>
      </c>
      <c r="M3213" s="1">
        <f t="shared" si="201"/>
        <v>4</v>
      </c>
      <c r="N3213" s="2">
        <f t="shared" si="202"/>
        <v>45839</v>
      </c>
      <c r="O3213" t="str">
        <f t="shared" si="203"/>
        <v>pes</v>
      </c>
    </row>
    <row r="3214" spans="1:15" x14ac:dyDescent="0.25">
      <c r="A3214">
        <v>10720</v>
      </c>
      <c r="B3214" s="11">
        <v>8599988776654</v>
      </c>
      <c r="C3214" s="1" t="s">
        <v>393</v>
      </c>
      <c r="D3214" s="1" t="s">
        <v>133</v>
      </c>
      <c r="E3214" s="1" t="s">
        <v>17</v>
      </c>
      <c r="F3214">
        <v>16.8</v>
      </c>
      <c r="G3214">
        <v>2</v>
      </c>
      <c r="H3214" s="1" t="s">
        <v>14</v>
      </c>
      <c r="I3214" s="1" t="s">
        <v>15</v>
      </c>
      <c r="J3214" s="12">
        <v>45869</v>
      </c>
      <c r="K3214">
        <v>0</v>
      </c>
      <c r="L3214" s="1">
        <f t="shared" si="200"/>
        <v>33.6</v>
      </c>
      <c r="M3214" s="1" t="str">
        <f t="shared" si="201"/>
        <v/>
      </c>
      <c r="N3214" s="2">
        <f t="shared" si="202"/>
        <v>45839</v>
      </c>
      <c r="O3214" t="str">
        <f t="shared" si="203"/>
        <v>pes</v>
      </c>
    </row>
    <row r="3215" spans="1:15" hidden="1" x14ac:dyDescent="0.25">
      <c r="A3215">
        <v>10721</v>
      </c>
      <c r="B3215" s="11">
        <v>4021234567894</v>
      </c>
      <c r="C3215" s="1" t="s">
        <v>79</v>
      </c>
      <c r="D3215" s="1" t="s">
        <v>36</v>
      </c>
      <c r="E3215" s="1" t="s">
        <v>69</v>
      </c>
      <c r="F3215">
        <v>8</v>
      </c>
      <c r="G3215">
        <v>1</v>
      </c>
      <c r="H3215" s="1" t="s">
        <v>14</v>
      </c>
      <c r="I3215" s="1" t="s">
        <v>15</v>
      </c>
      <c r="J3215" s="12">
        <v>45869</v>
      </c>
      <c r="K3215">
        <v>0</v>
      </c>
      <c r="L3215" s="1">
        <f t="shared" si="200"/>
        <v>8</v>
      </c>
      <c r="M3215" s="1" t="str">
        <f t="shared" si="201"/>
        <v/>
      </c>
      <c r="N3215" s="2">
        <f t="shared" si="202"/>
        <v>45839</v>
      </c>
      <c r="O3215" t="str">
        <f t="shared" si="203"/>
        <v>mačka</v>
      </c>
    </row>
    <row r="3216" spans="1:15" x14ac:dyDescent="0.25">
      <c r="A3216">
        <v>10722</v>
      </c>
      <c r="B3216" s="11">
        <v>8599988776654</v>
      </c>
      <c r="C3216" s="1" t="s">
        <v>393</v>
      </c>
      <c r="D3216" s="1" t="s">
        <v>133</v>
      </c>
      <c r="E3216" s="1" t="s">
        <v>17</v>
      </c>
      <c r="F3216">
        <v>16.8</v>
      </c>
      <c r="G3216">
        <v>1</v>
      </c>
      <c r="H3216" s="1" t="s">
        <v>14</v>
      </c>
      <c r="I3216" s="1" t="s">
        <v>15</v>
      </c>
      <c r="J3216" s="12">
        <v>45869</v>
      </c>
      <c r="K3216">
        <v>0</v>
      </c>
      <c r="L3216" s="1">
        <f t="shared" si="200"/>
        <v>16.8</v>
      </c>
      <c r="M3216" s="1" t="str">
        <f t="shared" si="201"/>
        <v/>
      </c>
      <c r="N3216" s="2">
        <f t="shared" si="202"/>
        <v>45839</v>
      </c>
      <c r="O3216" t="str">
        <f t="shared" si="203"/>
        <v>pes</v>
      </c>
    </row>
    <row r="3217" spans="1:15" x14ac:dyDescent="0.25">
      <c r="A3217">
        <v>10723</v>
      </c>
      <c r="B3217" s="11">
        <v>4013456789017</v>
      </c>
      <c r="C3217" s="1" t="s">
        <v>11</v>
      </c>
      <c r="D3217" s="1" t="s">
        <v>12</v>
      </c>
      <c r="E3217" s="1" t="s">
        <v>13</v>
      </c>
      <c r="F3217">
        <v>6</v>
      </c>
      <c r="G3217">
        <v>1</v>
      </c>
      <c r="H3217" s="1" t="s">
        <v>18</v>
      </c>
      <c r="I3217" s="1" t="s">
        <v>565</v>
      </c>
      <c r="J3217" s="12">
        <v>45869</v>
      </c>
      <c r="K3217">
        <v>0</v>
      </c>
      <c r="L3217" s="1">
        <f t="shared" si="200"/>
        <v>6</v>
      </c>
      <c r="M3217" s="1">
        <f t="shared" si="201"/>
        <v>4</v>
      </c>
      <c r="N3217" s="2">
        <f t="shared" si="202"/>
        <v>45839</v>
      </c>
      <c r="O3217" t="str">
        <f t="shared" si="203"/>
        <v>pes</v>
      </c>
    </row>
    <row r="3218" spans="1:15" x14ac:dyDescent="0.25">
      <c r="A3218">
        <v>10724</v>
      </c>
      <c r="B3218" s="11">
        <v>8599988776654</v>
      </c>
      <c r="C3218" s="1" t="s">
        <v>393</v>
      </c>
      <c r="D3218" s="1" t="s">
        <v>133</v>
      </c>
      <c r="E3218" s="1" t="s">
        <v>17</v>
      </c>
      <c r="F3218">
        <v>16.8</v>
      </c>
      <c r="G3218">
        <v>1</v>
      </c>
      <c r="H3218" s="1" t="s">
        <v>14</v>
      </c>
      <c r="I3218" s="1" t="s">
        <v>15</v>
      </c>
      <c r="J3218" s="12">
        <v>45869</v>
      </c>
      <c r="K3218">
        <v>0</v>
      </c>
      <c r="L3218" s="1">
        <f t="shared" si="200"/>
        <v>16.8</v>
      </c>
      <c r="M3218" s="1" t="str">
        <f t="shared" si="201"/>
        <v/>
      </c>
      <c r="N3218" s="2">
        <f t="shared" si="202"/>
        <v>45839</v>
      </c>
      <c r="O3218" t="str">
        <f t="shared" si="203"/>
        <v>pes</v>
      </c>
    </row>
    <row r="3219" spans="1:15" hidden="1" x14ac:dyDescent="0.25">
      <c r="A3219">
        <v>10725</v>
      </c>
      <c r="B3219" s="11">
        <v>4010123456783</v>
      </c>
      <c r="C3219" s="1" t="s">
        <v>35</v>
      </c>
      <c r="D3219" s="1" t="s">
        <v>36</v>
      </c>
      <c r="E3219" s="1" t="s">
        <v>37</v>
      </c>
      <c r="F3219">
        <v>14</v>
      </c>
      <c r="G3219">
        <v>1</v>
      </c>
      <c r="H3219" s="1" t="s">
        <v>14</v>
      </c>
      <c r="I3219" s="1" t="s">
        <v>15</v>
      </c>
      <c r="J3219" s="12">
        <v>45869</v>
      </c>
      <c r="K3219">
        <v>0</v>
      </c>
      <c r="L3219" s="1">
        <f t="shared" si="200"/>
        <v>14</v>
      </c>
      <c r="M3219" s="1" t="str">
        <f t="shared" si="201"/>
        <v/>
      </c>
      <c r="N3219" s="2">
        <f t="shared" si="202"/>
        <v>45839</v>
      </c>
      <c r="O3219" t="str">
        <f t="shared" si="203"/>
        <v>mačka</v>
      </c>
    </row>
    <row r="3220" spans="1:15" x14ac:dyDescent="0.25">
      <c r="A3220">
        <v>10726</v>
      </c>
      <c r="B3220" s="11">
        <v>8599988776654</v>
      </c>
      <c r="C3220" s="1" t="s">
        <v>393</v>
      </c>
      <c r="D3220" s="1" t="s">
        <v>133</v>
      </c>
      <c r="E3220" s="1" t="s">
        <v>17</v>
      </c>
      <c r="F3220">
        <v>16.8</v>
      </c>
      <c r="G3220">
        <v>2</v>
      </c>
      <c r="H3220" s="1" t="s">
        <v>14</v>
      </c>
      <c r="I3220" s="1" t="s">
        <v>15</v>
      </c>
      <c r="J3220" s="12">
        <v>45869</v>
      </c>
      <c r="K3220">
        <v>0</v>
      </c>
      <c r="L3220" s="1">
        <f t="shared" si="200"/>
        <v>33.6</v>
      </c>
      <c r="M3220" s="1" t="str">
        <f t="shared" si="201"/>
        <v/>
      </c>
      <c r="N3220" s="2">
        <f t="shared" si="202"/>
        <v>45839</v>
      </c>
      <c r="O3220" t="str">
        <f t="shared" si="203"/>
        <v>pes</v>
      </c>
    </row>
    <row r="3221" spans="1:15" x14ac:dyDescent="0.25">
      <c r="A3221">
        <v>10727</v>
      </c>
      <c r="B3221" s="11">
        <v>4017890123450</v>
      </c>
      <c r="C3221" s="1" t="s">
        <v>65</v>
      </c>
      <c r="D3221" s="1" t="s">
        <v>39</v>
      </c>
      <c r="E3221" s="1" t="s">
        <v>22</v>
      </c>
      <c r="F3221">
        <v>7.6</v>
      </c>
      <c r="G3221">
        <v>1</v>
      </c>
      <c r="H3221" s="1" t="s">
        <v>23</v>
      </c>
      <c r="I3221" s="1" t="s">
        <v>566</v>
      </c>
      <c r="J3221" s="12">
        <v>45869</v>
      </c>
      <c r="K3221">
        <v>0</v>
      </c>
      <c r="L3221" s="1">
        <f t="shared" si="200"/>
        <v>7.6</v>
      </c>
      <c r="M3221" s="1">
        <f t="shared" si="201"/>
        <v>5</v>
      </c>
      <c r="N3221" s="2">
        <f t="shared" si="202"/>
        <v>45839</v>
      </c>
      <c r="O3221" t="str">
        <f t="shared" si="203"/>
        <v>pes</v>
      </c>
    </row>
    <row r="3222" spans="1:15" x14ac:dyDescent="0.25">
      <c r="A3222">
        <v>10728</v>
      </c>
      <c r="B3222" s="11">
        <v>8599988776654</v>
      </c>
      <c r="C3222" s="1" t="s">
        <v>393</v>
      </c>
      <c r="D3222" s="1" t="s">
        <v>133</v>
      </c>
      <c r="E3222" s="1" t="s">
        <v>17</v>
      </c>
      <c r="F3222">
        <v>16.8</v>
      </c>
      <c r="G3222">
        <v>1</v>
      </c>
      <c r="H3222" s="1" t="s">
        <v>14</v>
      </c>
      <c r="I3222" s="1" t="s">
        <v>15</v>
      </c>
      <c r="J3222" s="12">
        <v>45869</v>
      </c>
      <c r="K3222">
        <v>0</v>
      </c>
      <c r="L3222" s="1">
        <f t="shared" si="200"/>
        <v>16.8</v>
      </c>
      <c r="M3222" s="1" t="str">
        <f t="shared" si="201"/>
        <v/>
      </c>
      <c r="N3222" s="2">
        <f t="shared" si="202"/>
        <v>45839</v>
      </c>
      <c r="O3222" t="str">
        <f t="shared" si="203"/>
        <v>pes</v>
      </c>
    </row>
    <row r="3223" spans="1:15" x14ac:dyDescent="0.25">
      <c r="A3223">
        <v>10729</v>
      </c>
      <c r="B3223" s="11">
        <v>4013456789017</v>
      </c>
      <c r="C3223" s="1" t="s">
        <v>11</v>
      </c>
      <c r="D3223" s="1" t="s">
        <v>12</v>
      </c>
      <c r="E3223" s="1" t="s">
        <v>13</v>
      </c>
      <c r="F3223">
        <v>6</v>
      </c>
      <c r="G3223">
        <v>1</v>
      </c>
      <c r="H3223" s="1" t="s">
        <v>14</v>
      </c>
      <c r="I3223" s="1" t="s">
        <v>15</v>
      </c>
      <c r="J3223" s="12">
        <v>45869</v>
      </c>
      <c r="K3223">
        <v>0</v>
      </c>
      <c r="L3223" s="1">
        <f t="shared" si="200"/>
        <v>6</v>
      </c>
      <c r="M3223" s="1" t="str">
        <f t="shared" si="201"/>
        <v/>
      </c>
      <c r="N3223" s="2">
        <f t="shared" si="202"/>
        <v>45839</v>
      </c>
      <c r="O3223" t="str">
        <f t="shared" si="203"/>
        <v>pes</v>
      </c>
    </row>
    <row r="3224" spans="1:15" x14ac:dyDescent="0.25">
      <c r="A3224">
        <v>10730</v>
      </c>
      <c r="B3224" s="11">
        <v>8599988776654</v>
      </c>
      <c r="C3224" s="1" t="s">
        <v>393</v>
      </c>
      <c r="D3224" s="1" t="s">
        <v>133</v>
      </c>
      <c r="E3224" s="1" t="s">
        <v>17</v>
      </c>
      <c r="F3224">
        <v>16.8</v>
      </c>
      <c r="G3224">
        <v>2</v>
      </c>
      <c r="H3224" s="1" t="s">
        <v>14</v>
      </c>
      <c r="I3224" s="1" t="s">
        <v>15</v>
      </c>
      <c r="J3224" s="12">
        <v>45869</v>
      </c>
      <c r="K3224">
        <v>0</v>
      </c>
      <c r="L3224" s="1">
        <f t="shared" si="200"/>
        <v>33.6</v>
      </c>
      <c r="M3224" s="1" t="str">
        <f t="shared" si="201"/>
        <v/>
      </c>
      <c r="N3224" s="2">
        <f t="shared" si="202"/>
        <v>45839</v>
      </c>
      <c r="O3224" t="str">
        <f t="shared" si="203"/>
        <v>pes</v>
      </c>
    </row>
    <row r="3225" spans="1:15" x14ac:dyDescent="0.25">
      <c r="A3225">
        <v>10731</v>
      </c>
      <c r="B3225" s="11">
        <v>4017890123450</v>
      </c>
      <c r="C3225" s="1" t="s">
        <v>65</v>
      </c>
      <c r="D3225" s="1" t="s">
        <v>39</v>
      </c>
      <c r="E3225" s="1" t="s">
        <v>22</v>
      </c>
      <c r="F3225">
        <v>7.6</v>
      </c>
      <c r="G3225">
        <v>1</v>
      </c>
      <c r="H3225" s="1" t="s">
        <v>18</v>
      </c>
      <c r="I3225" s="1" t="s">
        <v>567</v>
      </c>
      <c r="J3225" s="12">
        <v>45869</v>
      </c>
      <c r="K3225">
        <v>0</v>
      </c>
      <c r="L3225" s="1">
        <f t="shared" si="200"/>
        <v>7.6</v>
      </c>
      <c r="M3225" s="1">
        <f t="shared" si="201"/>
        <v>4</v>
      </c>
      <c r="N3225" s="2">
        <f t="shared" si="202"/>
        <v>45839</v>
      </c>
      <c r="O3225" t="str">
        <f t="shared" si="203"/>
        <v>pes</v>
      </c>
    </row>
    <row r="3226" spans="1:15" hidden="1" x14ac:dyDescent="0.25">
      <c r="A3226">
        <v>10732</v>
      </c>
      <c r="B3226" s="11">
        <v>4010123456783</v>
      </c>
      <c r="C3226" s="1" t="s">
        <v>35</v>
      </c>
      <c r="D3226" s="1" t="s">
        <v>36</v>
      </c>
      <c r="E3226" s="1" t="s">
        <v>37</v>
      </c>
      <c r="F3226">
        <v>14</v>
      </c>
      <c r="G3226">
        <v>1</v>
      </c>
      <c r="H3226" s="1" t="s">
        <v>23</v>
      </c>
      <c r="I3226" s="1" t="s">
        <v>568</v>
      </c>
      <c r="J3226" s="12">
        <v>45869</v>
      </c>
      <c r="K3226">
        <v>0</v>
      </c>
      <c r="L3226" s="1">
        <f t="shared" si="200"/>
        <v>14</v>
      </c>
      <c r="M3226" s="1">
        <f t="shared" si="201"/>
        <v>5</v>
      </c>
      <c r="N3226" s="2">
        <f t="shared" si="202"/>
        <v>45839</v>
      </c>
      <c r="O3226" t="str">
        <f t="shared" si="203"/>
        <v>mačka</v>
      </c>
    </row>
    <row r="3227" spans="1:15" x14ac:dyDescent="0.25">
      <c r="A3227">
        <v>10733</v>
      </c>
      <c r="B3227" s="11">
        <v>8599988776654</v>
      </c>
      <c r="C3227" s="1" t="s">
        <v>393</v>
      </c>
      <c r="D3227" s="1" t="s">
        <v>133</v>
      </c>
      <c r="E3227" s="1" t="s">
        <v>17</v>
      </c>
      <c r="F3227">
        <v>16.8</v>
      </c>
      <c r="G3227">
        <v>1</v>
      </c>
      <c r="H3227" s="1" t="s">
        <v>14</v>
      </c>
      <c r="I3227" s="1" t="s">
        <v>15</v>
      </c>
      <c r="J3227" s="12">
        <v>45869</v>
      </c>
      <c r="K3227">
        <v>0</v>
      </c>
      <c r="L3227" s="1">
        <f t="shared" si="200"/>
        <v>16.8</v>
      </c>
      <c r="M3227" s="1" t="str">
        <f t="shared" si="201"/>
        <v/>
      </c>
      <c r="N3227" s="2">
        <f t="shared" si="202"/>
        <v>45839</v>
      </c>
      <c r="O3227" t="str">
        <f t="shared" si="203"/>
        <v>pes</v>
      </c>
    </row>
    <row r="3228" spans="1:15" x14ac:dyDescent="0.25">
      <c r="A3228">
        <v>10734</v>
      </c>
      <c r="B3228" s="11">
        <v>4028899001126</v>
      </c>
      <c r="C3228" s="1" t="s">
        <v>16</v>
      </c>
      <c r="D3228" s="1" t="s">
        <v>12</v>
      </c>
      <c r="E3228" s="1" t="s">
        <v>17</v>
      </c>
      <c r="F3228">
        <v>2.8</v>
      </c>
      <c r="G3228">
        <v>2</v>
      </c>
      <c r="H3228" s="1" t="s">
        <v>14</v>
      </c>
      <c r="I3228" s="1" t="s">
        <v>15</v>
      </c>
      <c r="J3228" s="12">
        <v>45869</v>
      </c>
      <c r="K3228">
        <v>0</v>
      </c>
      <c r="L3228" s="1">
        <f t="shared" si="200"/>
        <v>5.6</v>
      </c>
      <c r="M3228" s="1" t="str">
        <f t="shared" si="201"/>
        <v/>
      </c>
      <c r="N3228" s="2">
        <f t="shared" si="202"/>
        <v>45839</v>
      </c>
      <c r="O3228" t="str">
        <f t="shared" si="203"/>
        <v>pes</v>
      </c>
    </row>
    <row r="3229" spans="1:15" x14ac:dyDescent="0.25">
      <c r="A3229">
        <v>10735</v>
      </c>
      <c r="B3229" s="11">
        <v>4013456789017</v>
      </c>
      <c r="C3229" s="1" t="s">
        <v>11</v>
      </c>
      <c r="D3229" s="1" t="s">
        <v>12</v>
      </c>
      <c r="E3229" s="1" t="s">
        <v>13</v>
      </c>
      <c r="F3229">
        <v>6</v>
      </c>
      <c r="G3229">
        <v>1</v>
      </c>
      <c r="H3229" s="1" t="s">
        <v>23</v>
      </c>
      <c r="I3229" s="1" t="s">
        <v>569</v>
      </c>
      <c r="J3229" s="12">
        <v>45869</v>
      </c>
      <c r="K3229">
        <v>0</v>
      </c>
      <c r="L3229" s="1">
        <f t="shared" si="200"/>
        <v>6</v>
      </c>
      <c r="M3229" s="1">
        <f t="shared" si="201"/>
        <v>5</v>
      </c>
      <c r="N3229" s="2">
        <f t="shared" si="202"/>
        <v>45839</v>
      </c>
      <c r="O3229" t="str">
        <f t="shared" si="203"/>
        <v>pes</v>
      </c>
    </row>
    <row r="3230" spans="1:15" x14ac:dyDescent="0.25">
      <c r="A3230">
        <v>10736</v>
      </c>
      <c r="B3230" s="11">
        <v>8599988776654</v>
      </c>
      <c r="C3230" s="1" t="s">
        <v>393</v>
      </c>
      <c r="D3230" s="1" t="s">
        <v>133</v>
      </c>
      <c r="E3230" s="1" t="s">
        <v>17</v>
      </c>
      <c r="F3230">
        <v>16.8</v>
      </c>
      <c r="G3230">
        <v>1</v>
      </c>
      <c r="H3230" s="1" t="s">
        <v>14</v>
      </c>
      <c r="I3230" s="1" t="s">
        <v>15</v>
      </c>
      <c r="J3230" s="12">
        <v>45869</v>
      </c>
      <c r="K3230">
        <v>0</v>
      </c>
      <c r="L3230" s="1">
        <f t="shared" si="200"/>
        <v>16.8</v>
      </c>
      <c r="M3230" s="1" t="str">
        <f t="shared" si="201"/>
        <v/>
      </c>
      <c r="N3230" s="2">
        <f t="shared" si="202"/>
        <v>45839</v>
      </c>
      <c r="O3230" t="str">
        <f t="shared" si="203"/>
        <v>pes</v>
      </c>
    </row>
    <row r="3231" spans="1:15" x14ac:dyDescent="0.25">
      <c r="A3231">
        <v>10737</v>
      </c>
      <c r="B3231" s="11">
        <v>4027788990013</v>
      </c>
      <c r="C3231" s="1" t="s">
        <v>43</v>
      </c>
      <c r="D3231" s="1" t="s">
        <v>21</v>
      </c>
      <c r="E3231" s="1" t="s">
        <v>22</v>
      </c>
      <c r="F3231">
        <v>8</v>
      </c>
      <c r="G3231">
        <v>1</v>
      </c>
      <c r="H3231" s="1" t="s">
        <v>18</v>
      </c>
      <c r="I3231" s="1" t="s">
        <v>570</v>
      </c>
      <c r="J3231" s="12">
        <v>45869</v>
      </c>
      <c r="K3231">
        <v>0</v>
      </c>
      <c r="L3231" s="1">
        <f t="shared" si="200"/>
        <v>8</v>
      </c>
      <c r="M3231" s="1">
        <f t="shared" si="201"/>
        <v>4</v>
      </c>
      <c r="N3231" s="2">
        <f t="shared" si="202"/>
        <v>45839</v>
      </c>
      <c r="O3231" t="str">
        <f t="shared" si="203"/>
        <v>pes</v>
      </c>
    </row>
    <row r="3232" spans="1:15" hidden="1" x14ac:dyDescent="0.25">
      <c r="A3232">
        <v>10738</v>
      </c>
      <c r="B3232" s="11">
        <v>4010123456783</v>
      </c>
      <c r="C3232" s="1" t="s">
        <v>35</v>
      </c>
      <c r="D3232" s="1" t="s">
        <v>36</v>
      </c>
      <c r="E3232" s="1" t="s">
        <v>37</v>
      </c>
      <c r="F3232">
        <v>14</v>
      </c>
      <c r="G3232">
        <v>1</v>
      </c>
      <c r="H3232" s="1" t="s">
        <v>14</v>
      </c>
      <c r="I3232" s="1" t="s">
        <v>15</v>
      </c>
      <c r="J3232" s="12">
        <v>45869</v>
      </c>
      <c r="K3232">
        <v>0</v>
      </c>
      <c r="L3232" s="1">
        <f t="shared" si="200"/>
        <v>14</v>
      </c>
      <c r="M3232" s="1" t="str">
        <f t="shared" si="201"/>
        <v/>
      </c>
      <c r="N3232" s="2">
        <f t="shared" si="202"/>
        <v>45839</v>
      </c>
      <c r="O3232" t="str">
        <f t="shared" si="203"/>
        <v>mačka</v>
      </c>
    </row>
    <row r="3233" spans="1:15" x14ac:dyDescent="0.25">
      <c r="A3233">
        <v>10739</v>
      </c>
      <c r="B3233" s="11">
        <v>8599988776654</v>
      </c>
      <c r="C3233" s="1" t="s">
        <v>393</v>
      </c>
      <c r="D3233" s="1" t="s">
        <v>133</v>
      </c>
      <c r="E3233" s="1" t="s">
        <v>17</v>
      </c>
      <c r="F3233">
        <v>16.8</v>
      </c>
      <c r="G3233">
        <v>2</v>
      </c>
      <c r="H3233" s="1" t="s">
        <v>23</v>
      </c>
      <c r="I3233" s="1" t="s">
        <v>571</v>
      </c>
      <c r="J3233" s="12">
        <v>45869</v>
      </c>
      <c r="K3233">
        <v>0</v>
      </c>
      <c r="L3233" s="1">
        <f t="shared" si="200"/>
        <v>33.6</v>
      </c>
      <c r="M3233" s="1">
        <f t="shared" si="201"/>
        <v>5</v>
      </c>
      <c r="N3233" s="2">
        <f t="shared" si="202"/>
        <v>45839</v>
      </c>
      <c r="O3233" t="str">
        <f t="shared" si="203"/>
        <v>pes</v>
      </c>
    </row>
    <row r="3234" spans="1:15" x14ac:dyDescent="0.25">
      <c r="A3234">
        <v>10740</v>
      </c>
      <c r="B3234" s="11">
        <v>4063456789014</v>
      </c>
      <c r="C3234" s="1" t="s">
        <v>60</v>
      </c>
      <c r="D3234" s="1" t="s">
        <v>12</v>
      </c>
      <c r="E3234" s="1" t="s">
        <v>61</v>
      </c>
      <c r="F3234">
        <v>36</v>
      </c>
      <c r="G3234">
        <v>1</v>
      </c>
      <c r="H3234" s="1" t="s">
        <v>14</v>
      </c>
      <c r="I3234" s="1" t="s">
        <v>15</v>
      </c>
      <c r="J3234" s="12">
        <v>45869</v>
      </c>
      <c r="K3234">
        <v>0</v>
      </c>
      <c r="L3234" s="1">
        <f t="shared" si="200"/>
        <v>36</v>
      </c>
      <c r="M3234" s="1" t="str">
        <f t="shared" si="201"/>
        <v/>
      </c>
      <c r="N3234" s="2">
        <f t="shared" si="202"/>
        <v>45839</v>
      </c>
      <c r="O3234" t="str">
        <f t="shared" si="203"/>
        <v>pes</v>
      </c>
    </row>
    <row r="3235" spans="1:15" x14ac:dyDescent="0.25">
      <c r="A3235">
        <v>10741</v>
      </c>
      <c r="B3235" s="11">
        <v>8599988776654</v>
      </c>
      <c r="C3235" s="1" t="s">
        <v>393</v>
      </c>
      <c r="D3235" s="1" t="s">
        <v>133</v>
      </c>
      <c r="E3235" s="1" t="s">
        <v>17</v>
      </c>
      <c r="F3235">
        <v>16.8</v>
      </c>
      <c r="G3235">
        <v>1</v>
      </c>
      <c r="H3235" s="1" t="s">
        <v>14</v>
      </c>
      <c r="I3235" s="1" t="s">
        <v>15</v>
      </c>
      <c r="J3235" s="12">
        <v>45869</v>
      </c>
      <c r="K3235">
        <v>0</v>
      </c>
      <c r="L3235" s="1">
        <f t="shared" si="200"/>
        <v>16.8</v>
      </c>
      <c r="M3235" s="1" t="str">
        <f t="shared" si="201"/>
        <v/>
      </c>
      <c r="N3235" s="2">
        <f t="shared" si="202"/>
        <v>45839</v>
      </c>
      <c r="O3235" t="str">
        <f t="shared" si="203"/>
        <v>pes</v>
      </c>
    </row>
    <row r="3236" spans="1:15" x14ac:dyDescent="0.25">
      <c r="A3236">
        <v>10742</v>
      </c>
      <c r="B3236" s="11">
        <v>4017890123450</v>
      </c>
      <c r="C3236" s="1" t="s">
        <v>65</v>
      </c>
      <c r="D3236" s="1" t="s">
        <v>39</v>
      </c>
      <c r="E3236" s="1" t="s">
        <v>22</v>
      </c>
      <c r="F3236">
        <v>7.6</v>
      </c>
      <c r="G3236">
        <v>1</v>
      </c>
      <c r="H3236" s="1" t="s">
        <v>23</v>
      </c>
      <c r="I3236" s="1" t="s">
        <v>572</v>
      </c>
      <c r="J3236" s="12">
        <v>45869</v>
      </c>
      <c r="K3236">
        <v>0</v>
      </c>
      <c r="L3236" s="1">
        <f t="shared" si="200"/>
        <v>7.6</v>
      </c>
      <c r="M3236" s="1">
        <f t="shared" si="201"/>
        <v>5</v>
      </c>
      <c r="N3236" s="2">
        <f t="shared" si="202"/>
        <v>45839</v>
      </c>
      <c r="O3236" t="str">
        <f t="shared" si="203"/>
        <v>pes</v>
      </c>
    </row>
    <row r="3237" spans="1:15" x14ac:dyDescent="0.25">
      <c r="A3237">
        <v>10743</v>
      </c>
      <c r="B3237" s="11">
        <v>8599988776654</v>
      </c>
      <c r="C3237" s="1" t="s">
        <v>393</v>
      </c>
      <c r="D3237" s="1" t="s">
        <v>133</v>
      </c>
      <c r="E3237" s="1" t="s">
        <v>17</v>
      </c>
      <c r="F3237">
        <v>16.8</v>
      </c>
      <c r="G3237">
        <v>2</v>
      </c>
      <c r="H3237" s="1" t="s">
        <v>14</v>
      </c>
      <c r="I3237" s="1" t="s">
        <v>15</v>
      </c>
      <c r="J3237" s="12">
        <v>45869</v>
      </c>
      <c r="K3237">
        <v>0</v>
      </c>
      <c r="L3237" s="1">
        <f t="shared" si="200"/>
        <v>33.6</v>
      </c>
      <c r="M3237" s="1" t="str">
        <f t="shared" si="201"/>
        <v/>
      </c>
      <c r="N3237" s="2">
        <f t="shared" si="202"/>
        <v>45839</v>
      </c>
      <c r="O3237" t="str">
        <f t="shared" si="203"/>
        <v>pes</v>
      </c>
    </row>
    <row r="3238" spans="1:15" hidden="1" x14ac:dyDescent="0.25">
      <c r="A3238">
        <v>10744</v>
      </c>
      <c r="B3238" s="11">
        <v>4056789012345</v>
      </c>
      <c r="C3238" s="1" t="s">
        <v>47</v>
      </c>
      <c r="D3238" s="1" t="s">
        <v>29</v>
      </c>
      <c r="E3238" s="1" t="s">
        <v>37</v>
      </c>
      <c r="F3238">
        <v>2.4</v>
      </c>
      <c r="G3238">
        <v>2</v>
      </c>
      <c r="H3238" s="1" t="s">
        <v>14</v>
      </c>
      <c r="I3238" s="1" t="s">
        <v>15</v>
      </c>
      <c r="J3238" s="12">
        <v>45869</v>
      </c>
      <c r="K3238">
        <v>0</v>
      </c>
      <c r="L3238" s="1">
        <f t="shared" si="200"/>
        <v>4.8</v>
      </c>
      <c r="M3238" s="1" t="str">
        <f t="shared" si="201"/>
        <v/>
      </c>
      <c r="N3238" s="2">
        <f t="shared" si="202"/>
        <v>45839</v>
      </c>
      <c r="O3238" t="str">
        <f t="shared" si="203"/>
        <v>mačka</v>
      </c>
    </row>
    <row r="3239" spans="1:15" x14ac:dyDescent="0.25">
      <c r="A3239">
        <v>10745</v>
      </c>
      <c r="B3239" s="11">
        <v>8599988776654</v>
      </c>
      <c r="C3239" s="1" t="s">
        <v>393</v>
      </c>
      <c r="D3239" s="1" t="s">
        <v>133</v>
      </c>
      <c r="E3239" s="1" t="s">
        <v>17</v>
      </c>
      <c r="F3239">
        <v>16.8</v>
      </c>
      <c r="G3239">
        <v>1</v>
      </c>
      <c r="H3239" s="1" t="s">
        <v>14</v>
      </c>
      <c r="I3239" s="1" t="s">
        <v>15</v>
      </c>
      <c r="J3239" s="12">
        <v>45869</v>
      </c>
      <c r="K3239">
        <v>0</v>
      </c>
      <c r="L3239" s="1">
        <f t="shared" si="200"/>
        <v>16.8</v>
      </c>
      <c r="M3239" s="1" t="str">
        <f t="shared" si="201"/>
        <v/>
      </c>
      <c r="N3239" s="2">
        <f t="shared" si="202"/>
        <v>45839</v>
      </c>
      <c r="O3239" t="str">
        <f t="shared" si="203"/>
        <v>pes</v>
      </c>
    </row>
    <row r="3240" spans="1:15" x14ac:dyDescent="0.25">
      <c r="A3240">
        <v>10746</v>
      </c>
      <c r="B3240" s="11">
        <v>4013456789017</v>
      </c>
      <c r="C3240" s="1" t="s">
        <v>11</v>
      </c>
      <c r="D3240" s="1" t="s">
        <v>12</v>
      </c>
      <c r="E3240" s="1" t="s">
        <v>13</v>
      </c>
      <c r="F3240">
        <v>6</v>
      </c>
      <c r="G3240">
        <v>1</v>
      </c>
      <c r="H3240" s="1" t="s">
        <v>18</v>
      </c>
      <c r="I3240" s="1" t="s">
        <v>573</v>
      </c>
      <c r="J3240" s="12">
        <v>45869</v>
      </c>
      <c r="K3240">
        <v>0</v>
      </c>
      <c r="L3240" s="1">
        <f t="shared" si="200"/>
        <v>6</v>
      </c>
      <c r="M3240" s="1">
        <f t="shared" si="201"/>
        <v>4</v>
      </c>
      <c r="N3240" s="2">
        <f t="shared" si="202"/>
        <v>45839</v>
      </c>
      <c r="O3240" t="str">
        <f t="shared" si="203"/>
        <v>pes</v>
      </c>
    </row>
    <row r="3241" spans="1:15" x14ac:dyDescent="0.25">
      <c r="A3241">
        <v>10747</v>
      </c>
      <c r="B3241" s="11">
        <v>8599988776654</v>
      </c>
      <c r="C3241" s="1" t="s">
        <v>393</v>
      </c>
      <c r="D3241" s="1" t="s">
        <v>133</v>
      </c>
      <c r="E3241" s="1" t="s">
        <v>17</v>
      </c>
      <c r="F3241">
        <v>16.8</v>
      </c>
      <c r="G3241">
        <v>1</v>
      </c>
      <c r="H3241" s="1" t="s">
        <v>14</v>
      </c>
      <c r="I3241" s="1" t="s">
        <v>15</v>
      </c>
      <c r="J3241" s="12">
        <v>45869</v>
      </c>
      <c r="K3241">
        <v>0</v>
      </c>
      <c r="L3241" s="1">
        <f t="shared" si="200"/>
        <v>16.8</v>
      </c>
      <c r="M3241" s="1" t="str">
        <f t="shared" si="201"/>
        <v/>
      </c>
      <c r="N3241" s="2">
        <f t="shared" si="202"/>
        <v>45839</v>
      </c>
      <c r="O3241" t="str">
        <f t="shared" si="203"/>
        <v>pes</v>
      </c>
    </row>
    <row r="3242" spans="1:15" hidden="1" x14ac:dyDescent="0.25">
      <c r="A3242">
        <v>10748</v>
      </c>
      <c r="B3242" s="11">
        <v>4010123456783</v>
      </c>
      <c r="C3242" s="1" t="s">
        <v>35</v>
      </c>
      <c r="D3242" s="1" t="s">
        <v>36</v>
      </c>
      <c r="E3242" s="1" t="s">
        <v>37</v>
      </c>
      <c r="F3242">
        <v>14</v>
      </c>
      <c r="G3242">
        <v>1</v>
      </c>
      <c r="H3242" s="1" t="s">
        <v>14</v>
      </c>
      <c r="I3242" s="1" t="s">
        <v>15</v>
      </c>
      <c r="J3242" s="12">
        <v>45869</v>
      </c>
      <c r="K3242">
        <v>0</v>
      </c>
      <c r="L3242" s="1">
        <f t="shared" si="200"/>
        <v>14</v>
      </c>
      <c r="M3242" s="1" t="str">
        <f t="shared" si="201"/>
        <v/>
      </c>
      <c r="N3242" s="2">
        <f t="shared" si="202"/>
        <v>45839</v>
      </c>
      <c r="O3242" t="str">
        <f t="shared" si="203"/>
        <v>mačka</v>
      </c>
    </row>
    <row r="3243" spans="1:15" x14ac:dyDescent="0.25">
      <c r="A3243">
        <v>10749</v>
      </c>
      <c r="B3243" s="11">
        <v>4028899001126</v>
      </c>
      <c r="C3243" s="1" t="s">
        <v>16</v>
      </c>
      <c r="D3243" s="1" t="s">
        <v>12</v>
      </c>
      <c r="E3243" s="1" t="s">
        <v>17</v>
      </c>
      <c r="F3243">
        <v>2.8</v>
      </c>
      <c r="G3243">
        <v>3</v>
      </c>
      <c r="H3243" s="1" t="s">
        <v>23</v>
      </c>
      <c r="I3243" s="1" t="s">
        <v>190</v>
      </c>
      <c r="J3243" s="12">
        <v>45869</v>
      </c>
      <c r="K3243">
        <v>0</v>
      </c>
      <c r="L3243" s="1">
        <f t="shared" si="200"/>
        <v>8.3999999999999986</v>
      </c>
      <c r="M3243" s="1">
        <f t="shared" si="201"/>
        <v>5</v>
      </c>
      <c r="N3243" s="2">
        <f t="shared" si="202"/>
        <v>45839</v>
      </c>
      <c r="O3243" t="str">
        <f t="shared" si="203"/>
        <v>pes</v>
      </c>
    </row>
    <row r="3244" spans="1:15" x14ac:dyDescent="0.25">
      <c r="A3244">
        <v>10750</v>
      </c>
      <c r="B3244" s="11">
        <v>8599988776654</v>
      </c>
      <c r="C3244" s="1" t="s">
        <v>393</v>
      </c>
      <c r="D3244" s="1" t="s">
        <v>133</v>
      </c>
      <c r="E3244" s="1" t="s">
        <v>17</v>
      </c>
      <c r="F3244">
        <v>16.8</v>
      </c>
      <c r="G3244">
        <v>1</v>
      </c>
      <c r="H3244" s="1" t="s">
        <v>14</v>
      </c>
      <c r="I3244" s="1" t="s">
        <v>15</v>
      </c>
      <c r="J3244" s="12">
        <v>45869</v>
      </c>
      <c r="K3244">
        <v>0</v>
      </c>
      <c r="L3244" s="1">
        <f t="shared" si="200"/>
        <v>16.8</v>
      </c>
      <c r="M3244" s="1" t="str">
        <f t="shared" si="201"/>
        <v/>
      </c>
      <c r="N3244" s="2">
        <f t="shared" si="202"/>
        <v>45839</v>
      </c>
      <c r="O3244" t="str">
        <f t="shared" si="203"/>
        <v>pes</v>
      </c>
    </row>
    <row r="3245" spans="1:15" x14ac:dyDescent="0.25">
      <c r="A3245">
        <v>10751</v>
      </c>
      <c r="B3245" s="11">
        <v>4063456789014</v>
      </c>
      <c r="C3245" s="1" t="s">
        <v>60</v>
      </c>
      <c r="D3245" s="1" t="s">
        <v>12</v>
      </c>
      <c r="E3245" s="1" t="s">
        <v>61</v>
      </c>
      <c r="F3245">
        <v>36</v>
      </c>
      <c r="G3245">
        <v>1</v>
      </c>
      <c r="H3245" s="1" t="s">
        <v>14</v>
      </c>
      <c r="I3245" s="1" t="s">
        <v>15</v>
      </c>
      <c r="J3245" s="12">
        <v>45869</v>
      </c>
      <c r="K3245">
        <v>0</v>
      </c>
      <c r="L3245" s="1">
        <f t="shared" si="200"/>
        <v>36</v>
      </c>
      <c r="M3245" s="1" t="str">
        <f t="shared" si="201"/>
        <v/>
      </c>
      <c r="N3245" s="2">
        <f t="shared" si="202"/>
        <v>45839</v>
      </c>
      <c r="O3245" t="str">
        <f t="shared" si="203"/>
        <v>pes</v>
      </c>
    </row>
    <row r="3246" spans="1:15" x14ac:dyDescent="0.25">
      <c r="A3246">
        <v>10752</v>
      </c>
      <c r="B3246" s="11">
        <v>8599988776654</v>
      </c>
      <c r="C3246" s="1" t="s">
        <v>393</v>
      </c>
      <c r="D3246" s="1" t="s">
        <v>133</v>
      </c>
      <c r="E3246" s="1" t="s">
        <v>17</v>
      </c>
      <c r="F3246">
        <v>16.8</v>
      </c>
      <c r="G3246">
        <v>2</v>
      </c>
      <c r="H3246" s="1" t="s">
        <v>18</v>
      </c>
      <c r="I3246" s="1" t="s">
        <v>574</v>
      </c>
      <c r="J3246" s="12">
        <v>45869</v>
      </c>
      <c r="K3246">
        <v>0</v>
      </c>
      <c r="L3246" s="1">
        <f t="shared" si="200"/>
        <v>33.6</v>
      </c>
      <c r="M3246" s="1">
        <f t="shared" si="201"/>
        <v>4</v>
      </c>
      <c r="N3246" s="2">
        <f t="shared" si="202"/>
        <v>45839</v>
      </c>
      <c r="O3246" t="str">
        <f t="shared" si="203"/>
        <v>pes</v>
      </c>
    </row>
    <row r="3247" spans="1:15" hidden="1" x14ac:dyDescent="0.25">
      <c r="A3247">
        <v>10753</v>
      </c>
      <c r="B3247" s="11">
        <v>4021234567894</v>
      </c>
      <c r="C3247" s="1" t="s">
        <v>79</v>
      </c>
      <c r="D3247" s="1" t="s">
        <v>36</v>
      </c>
      <c r="E3247" s="1" t="s">
        <v>69</v>
      </c>
      <c r="F3247">
        <v>8</v>
      </c>
      <c r="G3247">
        <v>1</v>
      </c>
      <c r="H3247" s="1" t="s">
        <v>23</v>
      </c>
      <c r="I3247" s="1" t="s">
        <v>575</v>
      </c>
      <c r="J3247" s="12">
        <v>45869</v>
      </c>
      <c r="K3247">
        <v>0</v>
      </c>
      <c r="L3247" s="1">
        <f t="shared" si="200"/>
        <v>8</v>
      </c>
      <c r="M3247" s="1">
        <f t="shared" si="201"/>
        <v>5</v>
      </c>
      <c r="N3247" s="2">
        <f t="shared" si="202"/>
        <v>45839</v>
      </c>
      <c r="O3247" t="str">
        <f t="shared" si="203"/>
        <v>mačka</v>
      </c>
    </row>
    <row r="3248" spans="1:15" x14ac:dyDescent="0.25">
      <c r="A3248">
        <v>10754</v>
      </c>
      <c r="B3248" s="11">
        <v>8599988776654</v>
      </c>
      <c r="C3248" s="1" t="s">
        <v>393</v>
      </c>
      <c r="D3248" s="1" t="s">
        <v>133</v>
      </c>
      <c r="E3248" s="1" t="s">
        <v>17</v>
      </c>
      <c r="F3248">
        <v>16.8</v>
      </c>
      <c r="G3248">
        <v>1</v>
      </c>
      <c r="H3248" s="1" t="s">
        <v>14</v>
      </c>
      <c r="I3248" s="1" t="s">
        <v>15</v>
      </c>
      <c r="J3248" s="12">
        <v>45869</v>
      </c>
      <c r="K3248">
        <v>0</v>
      </c>
      <c r="L3248" s="1">
        <f t="shared" si="200"/>
        <v>16.8</v>
      </c>
      <c r="M3248" s="1" t="str">
        <f t="shared" si="201"/>
        <v/>
      </c>
      <c r="N3248" s="2">
        <f t="shared" si="202"/>
        <v>45839</v>
      </c>
      <c r="O3248" t="str">
        <f t="shared" si="203"/>
        <v>pes</v>
      </c>
    </row>
    <row r="3249" spans="1:15" x14ac:dyDescent="0.25">
      <c r="A3249">
        <v>10755</v>
      </c>
      <c r="B3249" s="11">
        <v>4017890123450</v>
      </c>
      <c r="C3249" s="1" t="s">
        <v>65</v>
      </c>
      <c r="D3249" s="1" t="s">
        <v>39</v>
      </c>
      <c r="E3249" s="1" t="s">
        <v>22</v>
      </c>
      <c r="F3249">
        <v>7.6</v>
      </c>
      <c r="G3249">
        <v>1</v>
      </c>
      <c r="H3249" s="1" t="s">
        <v>14</v>
      </c>
      <c r="I3249" s="1" t="s">
        <v>15</v>
      </c>
      <c r="J3249" s="12">
        <v>45869</v>
      </c>
      <c r="K3249">
        <v>0</v>
      </c>
      <c r="L3249" s="1">
        <f t="shared" si="200"/>
        <v>7.6</v>
      </c>
      <c r="M3249" s="1" t="str">
        <f t="shared" si="201"/>
        <v/>
      </c>
      <c r="N3249" s="2">
        <f t="shared" si="202"/>
        <v>45839</v>
      </c>
      <c r="O3249" t="str">
        <f t="shared" si="203"/>
        <v>pes</v>
      </c>
    </row>
    <row r="3250" spans="1:15" x14ac:dyDescent="0.25">
      <c r="A3250">
        <v>10756</v>
      </c>
      <c r="B3250" s="11">
        <v>8599988776654</v>
      </c>
      <c r="C3250" s="1" t="s">
        <v>393</v>
      </c>
      <c r="D3250" s="1" t="s">
        <v>133</v>
      </c>
      <c r="E3250" s="1" t="s">
        <v>17</v>
      </c>
      <c r="F3250">
        <v>16.8</v>
      </c>
      <c r="G3250">
        <v>2</v>
      </c>
      <c r="H3250" s="1" t="s">
        <v>14</v>
      </c>
      <c r="I3250" s="1" t="s">
        <v>15</v>
      </c>
      <c r="J3250" s="12">
        <v>45869</v>
      </c>
      <c r="K3250">
        <v>0</v>
      </c>
      <c r="L3250" s="1">
        <f t="shared" si="200"/>
        <v>33.6</v>
      </c>
      <c r="M3250" s="1" t="str">
        <f t="shared" si="201"/>
        <v/>
      </c>
      <c r="N3250" s="2">
        <f t="shared" si="202"/>
        <v>45839</v>
      </c>
      <c r="O3250" t="str">
        <f t="shared" si="203"/>
        <v>pes</v>
      </c>
    </row>
    <row r="3251" spans="1:15" hidden="1" x14ac:dyDescent="0.25">
      <c r="A3251">
        <v>10757</v>
      </c>
      <c r="B3251" s="11">
        <v>4010123456783</v>
      </c>
      <c r="C3251" s="1" t="s">
        <v>35</v>
      </c>
      <c r="D3251" s="1" t="s">
        <v>36</v>
      </c>
      <c r="E3251" s="1" t="s">
        <v>37</v>
      </c>
      <c r="F3251">
        <v>14</v>
      </c>
      <c r="G3251">
        <v>1</v>
      </c>
      <c r="H3251" s="1" t="s">
        <v>23</v>
      </c>
      <c r="I3251" s="1" t="s">
        <v>576</v>
      </c>
      <c r="J3251" s="12">
        <v>45869</v>
      </c>
      <c r="K3251">
        <v>0</v>
      </c>
      <c r="L3251" s="1">
        <f t="shared" si="200"/>
        <v>14</v>
      </c>
      <c r="M3251" s="1">
        <f t="shared" si="201"/>
        <v>5</v>
      </c>
      <c r="N3251" s="2">
        <f t="shared" si="202"/>
        <v>45839</v>
      </c>
      <c r="O3251" t="str">
        <f t="shared" si="203"/>
        <v>mačka</v>
      </c>
    </row>
    <row r="3252" spans="1:15" x14ac:dyDescent="0.25">
      <c r="A3252">
        <v>10758</v>
      </c>
      <c r="B3252" s="11">
        <v>8599988776654</v>
      </c>
      <c r="C3252" s="1" t="s">
        <v>393</v>
      </c>
      <c r="D3252" s="1" t="s">
        <v>133</v>
      </c>
      <c r="E3252" s="1" t="s">
        <v>17</v>
      </c>
      <c r="F3252">
        <v>16.8</v>
      </c>
      <c r="G3252">
        <v>1</v>
      </c>
      <c r="H3252" s="1" t="s">
        <v>14</v>
      </c>
      <c r="I3252" s="1" t="s">
        <v>15</v>
      </c>
      <c r="J3252" s="12">
        <v>45869</v>
      </c>
      <c r="K3252">
        <v>0</v>
      </c>
      <c r="L3252" s="1">
        <f t="shared" si="200"/>
        <v>16.8</v>
      </c>
      <c r="M3252" s="1" t="str">
        <f t="shared" si="201"/>
        <v/>
      </c>
      <c r="N3252" s="2">
        <f t="shared" si="202"/>
        <v>45839</v>
      </c>
      <c r="O3252" t="str">
        <f t="shared" si="203"/>
        <v>pes</v>
      </c>
    </row>
    <row r="3253" spans="1:15" x14ac:dyDescent="0.25">
      <c r="A3253">
        <v>10759</v>
      </c>
      <c r="B3253" s="11">
        <v>4013456789017</v>
      </c>
      <c r="C3253" s="1" t="s">
        <v>11</v>
      </c>
      <c r="D3253" s="1" t="s">
        <v>12</v>
      </c>
      <c r="E3253" s="1" t="s">
        <v>13</v>
      </c>
      <c r="F3253">
        <v>6</v>
      </c>
      <c r="G3253">
        <v>1</v>
      </c>
      <c r="H3253" s="1" t="s">
        <v>18</v>
      </c>
      <c r="I3253" s="1" t="s">
        <v>577</v>
      </c>
      <c r="J3253" s="12">
        <v>45869</v>
      </c>
      <c r="K3253">
        <v>0</v>
      </c>
      <c r="L3253" s="1">
        <f t="shared" si="200"/>
        <v>6</v>
      </c>
      <c r="M3253" s="1">
        <f t="shared" si="201"/>
        <v>4</v>
      </c>
      <c r="N3253" s="2">
        <f t="shared" si="202"/>
        <v>45839</v>
      </c>
      <c r="O3253" t="str">
        <f t="shared" si="203"/>
        <v>pes</v>
      </c>
    </row>
    <row r="3254" spans="1:15" x14ac:dyDescent="0.25">
      <c r="A3254">
        <v>10760</v>
      </c>
      <c r="B3254" s="11">
        <v>8599988776654</v>
      </c>
      <c r="C3254" s="1" t="s">
        <v>393</v>
      </c>
      <c r="D3254" s="1" t="s">
        <v>133</v>
      </c>
      <c r="E3254" s="1" t="s">
        <v>17</v>
      </c>
      <c r="F3254">
        <v>16.8</v>
      </c>
      <c r="G3254">
        <v>1</v>
      </c>
      <c r="H3254" s="1" t="s">
        <v>14</v>
      </c>
      <c r="I3254" s="1" t="s">
        <v>15</v>
      </c>
      <c r="J3254" s="12">
        <v>45869</v>
      </c>
      <c r="K3254">
        <v>0</v>
      </c>
      <c r="L3254" s="1">
        <f t="shared" si="200"/>
        <v>16.8</v>
      </c>
      <c r="M3254" s="1" t="str">
        <f t="shared" si="201"/>
        <v/>
      </c>
      <c r="N3254" s="2">
        <f t="shared" si="202"/>
        <v>45839</v>
      </c>
      <c r="O3254" t="str">
        <f t="shared" si="203"/>
        <v>pes</v>
      </c>
    </row>
    <row r="3255" spans="1:15" hidden="1" x14ac:dyDescent="0.25">
      <c r="A3255">
        <v>10761</v>
      </c>
      <c r="B3255" s="11">
        <v>4056789012345</v>
      </c>
      <c r="C3255" s="1" t="s">
        <v>47</v>
      </c>
      <c r="D3255" s="1" t="s">
        <v>29</v>
      </c>
      <c r="E3255" s="1" t="s">
        <v>37</v>
      </c>
      <c r="F3255">
        <v>2.4</v>
      </c>
      <c r="G3255">
        <v>2</v>
      </c>
      <c r="H3255" s="1" t="s">
        <v>14</v>
      </c>
      <c r="I3255" s="1" t="s">
        <v>15</v>
      </c>
      <c r="J3255" s="12">
        <v>45869</v>
      </c>
      <c r="K3255">
        <v>0</v>
      </c>
      <c r="L3255" s="1">
        <f t="shared" si="200"/>
        <v>4.8</v>
      </c>
      <c r="M3255" s="1" t="str">
        <f t="shared" si="201"/>
        <v/>
      </c>
      <c r="N3255" s="2">
        <f t="shared" si="202"/>
        <v>45839</v>
      </c>
      <c r="O3255" t="str">
        <f t="shared" si="203"/>
        <v>mačka</v>
      </c>
    </row>
    <row r="3256" spans="1:15" x14ac:dyDescent="0.25">
      <c r="A3256">
        <v>10762</v>
      </c>
      <c r="B3256" s="11">
        <v>8599988776654</v>
      </c>
      <c r="C3256" s="1" t="s">
        <v>393</v>
      </c>
      <c r="D3256" s="1" t="s">
        <v>133</v>
      </c>
      <c r="E3256" s="1" t="s">
        <v>17</v>
      </c>
      <c r="F3256">
        <v>16.8</v>
      </c>
      <c r="G3256">
        <v>1</v>
      </c>
      <c r="H3256" s="1" t="s">
        <v>14</v>
      </c>
      <c r="I3256" s="1" t="s">
        <v>15</v>
      </c>
      <c r="J3256" s="12">
        <v>45869</v>
      </c>
      <c r="K3256">
        <v>0</v>
      </c>
      <c r="L3256" s="1">
        <f t="shared" si="200"/>
        <v>16.8</v>
      </c>
      <c r="M3256" s="1" t="str">
        <f t="shared" si="201"/>
        <v/>
      </c>
      <c r="N3256" s="2">
        <f t="shared" si="202"/>
        <v>45839</v>
      </c>
      <c r="O3256" t="str">
        <f t="shared" si="203"/>
        <v>pes</v>
      </c>
    </row>
    <row r="3257" spans="1:15" x14ac:dyDescent="0.25">
      <c r="A3257">
        <v>10763</v>
      </c>
      <c r="B3257" s="11">
        <v>4063456789014</v>
      </c>
      <c r="C3257" s="1" t="s">
        <v>60</v>
      </c>
      <c r="D3257" s="1" t="s">
        <v>12</v>
      </c>
      <c r="E3257" s="1" t="s">
        <v>61</v>
      </c>
      <c r="F3257">
        <v>36</v>
      </c>
      <c r="G3257">
        <v>1</v>
      </c>
      <c r="H3257" s="1" t="s">
        <v>23</v>
      </c>
      <c r="I3257" s="1" t="s">
        <v>578</v>
      </c>
      <c r="J3257" s="12">
        <v>45869</v>
      </c>
      <c r="K3257">
        <v>0</v>
      </c>
      <c r="L3257" s="1">
        <f t="shared" si="200"/>
        <v>36</v>
      </c>
      <c r="M3257" s="1">
        <f t="shared" si="201"/>
        <v>5</v>
      </c>
      <c r="N3257" s="2">
        <f t="shared" si="202"/>
        <v>45839</v>
      </c>
      <c r="O3257" t="str">
        <f t="shared" si="203"/>
        <v>pes</v>
      </c>
    </row>
    <row r="3258" spans="1:15" x14ac:dyDescent="0.25">
      <c r="A3258">
        <v>10764</v>
      </c>
      <c r="B3258" s="11">
        <v>8599988776654</v>
      </c>
      <c r="C3258" s="1" t="s">
        <v>393</v>
      </c>
      <c r="D3258" s="1" t="s">
        <v>133</v>
      </c>
      <c r="E3258" s="1" t="s">
        <v>17</v>
      </c>
      <c r="F3258">
        <v>16.8</v>
      </c>
      <c r="G3258">
        <v>2</v>
      </c>
      <c r="H3258" s="1" t="s">
        <v>14</v>
      </c>
      <c r="I3258" s="1" t="s">
        <v>15</v>
      </c>
      <c r="J3258" s="12">
        <v>45869</v>
      </c>
      <c r="K3258">
        <v>0</v>
      </c>
      <c r="L3258" s="1">
        <f t="shared" si="200"/>
        <v>33.6</v>
      </c>
      <c r="M3258" s="1" t="str">
        <f t="shared" si="201"/>
        <v/>
      </c>
      <c r="N3258" s="2">
        <f t="shared" si="202"/>
        <v>45839</v>
      </c>
      <c r="O3258" t="str">
        <f t="shared" si="203"/>
        <v>pes</v>
      </c>
    </row>
    <row r="3259" spans="1:15" x14ac:dyDescent="0.25">
      <c r="A3259">
        <v>10765</v>
      </c>
      <c r="B3259" s="11">
        <v>4028899001126</v>
      </c>
      <c r="C3259" s="1" t="s">
        <v>16</v>
      </c>
      <c r="D3259" s="1" t="s">
        <v>12</v>
      </c>
      <c r="E3259" s="1" t="s">
        <v>17</v>
      </c>
      <c r="F3259">
        <v>2.8</v>
      </c>
      <c r="G3259">
        <v>3</v>
      </c>
      <c r="H3259" s="1" t="s">
        <v>14</v>
      </c>
      <c r="I3259" s="1" t="s">
        <v>15</v>
      </c>
      <c r="J3259" s="12">
        <v>45869</v>
      </c>
      <c r="K3259">
        <v>0</v>
      </c>
      <c r="L3259" s="1">
        <f t="shared" si="200"/>
        <v>8.3999999999999986</v>
      </c>
      <c r="M3259" s="1" t="str">
        <f t="shared" si="201"/>
        <v/>
      </c>
      <c r="N3259" s="2">
        <f t="shared" si="202"/>
        <v>45839</v>
      </c>
      <c r="O3259" t="str">
        <f t="shared" si="203"/>
        <v>pes</v>
      </c>
    </row>
    <row r="3260" spans="1:15" hidden="1" x14ac:dyDescent="0.25">
      <c r="A3260">
        <v>10766</v>
      </c>
      <c r="B3260" s="11">
        <v>4010123456783</v>
      </c>
      <c r="C3260" s="1" t="s">
        <v>35</v>
      </c>
      <c r="D3260" s="1" t="s">
        <v>36</v>
      </c>
      <c r="E3260" s="1" t="s">
        <v>37</v>
      </c>
      <c r="F3260">
        <v>14</v>
      </c>
      <c r="G3260">
        <v>1</v>
      </c>
      <c r="H3260" s="1" t="s">
        <v>14</v>
      </c>
      <c r="I3260" s="1" t="s">
        <v>15</v>
      </c>
      <c r="J3260" s="12">
        <v>45869</v>
      </c>
      <c r="K3260">
        <v>0</v>
      </c>
      <c r="L3260" s="1">
        <f t="shared" si="200"/>
        <v>14</v>
      </c>
      <c r="M3260" s="1" t="str">
        <f t="shared" si="201"/>
        <v/>
      </c>
      <c r="N3260" s="2">
        <f t="shared" si="202"/>
        <v>45839</v>
      </c>
      <c r="O3260" t="str">
        <f t="shared" si="203"/>
        <v>mačka</v>
      </c>
    </row>
    <row r="3261" spans="1:15" x14ac:dyDescent="0.25">
      <c r="A3261">
        <v>10767</v>
      </c>
      <c r="B3261" s="11">
        <v>8599988776654</v>
      </c>
      <c r="C3261" s="1" t="s">
        <v>393</v>
      </c>
      <c r="D3261" s="1" t="s">
        <v>133</v>
      </c>
      <c r="E3261" s="1" t="s">
        <v>17</v>
      </c>
      <c r="F3261">
        <v>16.8</v>
      </c>
      <c r="G3261">
        <v>1</v>
      </c>
      <c r="H3261" s="1" t="s">
        <v>23</v>
      </c>
      <c r="I3261" s="1" t="s">
        <v>579</v>
      </c>
      <c r="J3261" s="12">
        <v>45869</v>
      </c>
      <c r="K3261">
        <v>0</v>
      </c>
      <c r="L3261" s="1">
        <f t="shared" si="200"/>
        <v>16.8</v>
      </c>
      <c r="M3261" s="1">
        <f t="shared" si="201"/>
        <v>5</v>
      </c>
      <c r="N3261" s="2">
        <f t="shared" si="202"/>
        <v>45839</v>
      </c>
      <c r="O3261" t="str">
        <f t="shared" si="203"/>
        <v>pes</v>
      </c>
    </row>
    <row r="3262" spans="1:15" x14ac:dyDescent="0.25">
      <c r="A3262">
        <v>10768</v>
      </c>
      <c r="B3262" s="11">
        <v>4017890123450</v>
      </c>
      <c r="C3262" s="1" t="s">
        <v>65</v>
      </c>
      <c r="D3262" s="1" t="s">
        <v>39</v>
      </c>
      <c r="E3262" s="1" t="s">
        <v>22</v>
      </c>
      <c r="F3262">
        <v>7.6</v>
      </c>
      <c r="G3262">
        <v>1</v>
      </c>
      <c r="H3262" s="1" t="s">
        <v>14</v>
      </c>
      <c r="I3262" s="1" t="s">
        <v>15</v>
      </c>
      <c r="J3262" s="12">
        <v>45869</v>
      </c>
      <c r="K3262">
        <v>0</v>
      </c>
      <c r="L3262" s="1">
        <f t="shared" si="200"/>
        <v>7.6</v>
      </c>
      <c r="M3262" s="1" t="str">
        <f t="shared" si="201"/>
        <v/>
      </c>
      <c r="N3262" s="2">
        <f t="shared" si="202"/>
        <v>45839</v>
      </c>
      <c r="O3262" t="str">
        <f t="shared" si="203"/>
        <v>pes</v>
      </c>
    </row>
    <row r="3263" spans="1:15" x14ac:dyDescent="0.25">
      <c r="A3263">
        <v>10769</v>
      </c>
      <c r="B3263" s="11">
        <v>8599988776654</v>
      </c>
      <c r="C3263" s="1" t="s">
        <v>393</v>
      </c>
      <c r="D3263" s="1" t="s">
        <v>133</v>
      </c>
      <c r="E3263" s="1" t="s">
        <v>17</v>
      </c>
      <c r="F3263">
        <v>16.8</v>
      </c>
      <c r="G3263">
        <v>2</v>
      </c>
      <c r="H3263" s="1" t="s">
        <v>14</v>
      </c>
      <c r="I3263" s="1" t="s">
        <v>15</v>
      </c>
      <c r="J3263" s="12">
        <v>45869</v>
      </c>
      <c r="K3263">
        <v>0</v>
      </c>
      <c r="L3263" s="1">
        <f t="shared" si="200"/>
        <v>33.6</v>
      </c>
      <c r="M3263" s="1" t="str">
        <f t="shared" si="201"/>
        <v/>
      </c>
      <c r="N3263" s="2">
        <f t="shared" si="202"/>
        <v>45839</v>
      </c>
      <c r="O3263" t="str">
        <f t="shared" si="203"/>
        <v>pes</v>
      </c>
    </row>
    <row r="3264" spans="1:15" x14ac:dyDescent="0.25">
      <c r="A3264">
        <v>10770</v>
      </c>
      <c r="B3264" s="11">
        <v>4013456789017</v>
      </c>
      <c r="C3264" s="1" t="s">
        <v>11</v>
      </c>
      <c r="D3264" s="1" t="s">
        <v>12</v>
      </c>
      <c r="E3264" s="1" t="s">
        <v>13</v>
      </c>
      <c r="F3264">
        <v>6</v>
      </c>
      <c r="G3264">
        <v>1</v>
      </c>
      <c r="H3264" s="1" t="s">
        <v>23</v>
      </c>
      <c r="I3264" s="1" t="s">
        <v>580</v>
      </c>
      <c r="J3264" s="12">
        <v>45869</v>
      </c>
      <c r="K3264">
        <v>0</v>
      </c>
      <c r="L3264" s="1">
        <f t="shared" si="200"/>
        <v>6</v>
      </c>
      <c r="M3264" s="1">
        <f t="shared" si="201"/>
        <v>5</v>
      </c>
      <c r="N3264" s="2">
        <f t="shared" si="202"/>
        <v>45839</v>
      </c>
      <c r="O3264" t="str">
        <f t="shared" si="203"/>
        <v>pes</v>
      </c>
    </row>
    <row r="3265" spans="1:15" x14ac:dyDescent="0.25">
      <c r="A3265">
        <v>10771</v>
      </c>
      <c r="B3265" s="11">
        <v>8599988776654</v>
      </c>
      <c r="C3265" s="1" t="s">
        <v>393</v>
      </c>
      <c r="D3265" s="1" t="s">
        <v>133</v>
      </c>
      <c r="E3265" s="1" t="s">
        <v>17</v>
      </c>
      <c r="F3265">
        <v>16.8</v>
      </c>
      <c r="G3265">
        <v>1</v>
      </c>
      <c r="H3265" s="1" t="s">
        <v>14</v>
      </c>
      <c r="I3265" s="1" t="s">
        <v>15</v>
      </c>
      <c r="J3265" s="12">
        <v>45869</v>
      </c>
      <c r="K3265">
        <v>0</v>
      </c>
      <c r="L3265" s="1">
        <f t="shared" si="200"/>
        <v>16.8</v>
      </c>
      <c r="M3265" s="1" t="str">
        <f t="shared" si="201"/>
        <v/>
      </c>
      <c r="N3265" s="2">
        <f t="shared" si="202"/>
        <v>45839</v>
      </c>
      <c r="O3265" t="str">
        <f t="shared" si="203"/>
        <v>pes</v>
      </c>
    </row>
    <row r="3266" spans="1:15" hidden="1" x14ac:dyDescent="0.25">
      <c r="A3266">
        <v>10772</v>
      </c>
      <c r="B3266" s="11">
        <v>4056789012345</v>
      </c>
      <c r="C3266" s="1" t="s">
        <v>47</v>
      </c>
      <c r="D3266" s="1" t="s">
        <v>29</v>
      </c>
      <c r="E3266" s="1" t="s">
        <v>37</v>
      </c>
      <c r="F3266">
        <v>2.4</v>
      </c>
      <c r="G3266">
        <v>2</v>
      </c>
      <c r="H3266" s="1" t="s">
        <v>14</v>
      </c>
      <c r="I3266" s="1" t="s">
        <v>15</v>
      </c>
      <c r="J3266" s="12">
        <v>45869</v>
      </c>
      <c r="K3266">
        <v>0</v>
      </c>
      <c r="L3266" s="1">
        <f t="shared" ref="L3266:L3329" si="204">F3266*G3266</f>
        <v>4.8</v>
      </c>
      <c r="M3266" s="1" t="str">
        <f t="shared" ref="M3266:M3329" si="205">IF(H3266="NULL", "",VALUE(H3266))</f>
        <v/>
      </c>
      <c r="N3266" s="2">
        <f t="shared" ref="N3266:N3329" si="206">DATE(YEAR(J3266),MONTH(J3266),1)</f>
        <v>45839</v>
      </c>
      <c r="O3266" t="str">
        <f t="shared" ref="O3266:O3329" si="207">IF(ISNUMBER(SEARCH("Mačky",D3266)),"mačka",IF(ISNUMBER(SEARCH("Psy",D3266)),"pes","iné"))</f>
        <v>mačka</v>
      </c>
    </row>
    <row r="3267" spans="1:15" x14ac:dyDescent="0.25">
      <c r="A3267">
        <v>10773</v>
      </c>
      <c r="B3267" s="11">
        <v>8599988776654</v>
      </c>
      <c r="C3267" s="1" t="s">
        <v>393</v>
      </c>
      <c r="D3267" s="1" t="s">
        <v>133</v>
      </c>
      <c r="E3267" s="1" t="s">
        <v>17</v>
      </c>
      <c r="F3267">
        <v>16.8</v>
      </c>
      <c r="G3267">
        <v>1</v>
      </c>
      <c r="H3267" s="1" t="s">
        <v>14</v>
      </c>
      <c r="I3267" s="1" t="s">
        <v>15</v>
      </c>
      <c r="J3267" s="12">
        <v>45869</v>
      </c>
      <c r="K3267">
        <v>0</v>
      </c>
      <c r="L3267" s="1">
        <f t="shared" si="204"/>
        <v>16.8</v>
      </c>
      <c r="M3267" s="1" t="str">
        <f t="shared" si="205"/>
        <v/>
      </c>
      <c r="N3267" s="2">
        <f t="shared" si="206"/>
        <v>45839</v>
      </c>
      <c r="O3267" t="str">
        <f t="shared" si="207"/>
        <v>pes</v>
      </c>
    </row>
    <row r="3268" spans="1:15" x14ac:dyDescent="0.25">
      <c r="A3268">
        <v>10774</v>
      </c>
      <c r="B3268" s="11">
        <v>4027788990013</v>
      </c>
      <c r="C3268" s="1" t="s">
        <v>43</v>
      </c>
      <c r="D3268" s="1" t="s">
        <v>21</v>
      </c>
      <c r="E3268" s="1" t="s">
        <v>22</v>
      </c>
      <c r="F3268">
        <v>8</v>
      </c>
      <c r="G3268">
        <v>1</v>
      </c>
      <c r="H3268" s="1" t="s">
        <v>18</v>
      </c>
      <c r="I3268" s="1" t="s">
        <v>581</v>
      </c>
      <c r="J3268" s="12">
        <v>45869</v>
      </c>
      <c r="K3268">
        <v>0</v>
      </c>
      <c r="L3268" s="1">
        <f t="shared" si="204"/>
        <v>8</v>
      </c>
      <c r="M3268" s="1">
        <f t="shared" si="205"/>
        <v>4</v>
      </c>
      <c r="N3268" s="2">
        <f t="shared" si="206"/>
        <v>45839</v>
      </c>
      <c r="O3268" t="str">
        <f t="shared" si="207"/>
        <v>pes</v>
      </c>
    </row>
    <row r="3269" spans="1:15" x14ac:dyDescent="0.25">
      <c r="A3269">
        <v>10775</v>
      </c>
      <c r="B3269" s="11">
        <v>8599988776654</v>
      </c>
      <c r="C3269" s="1" t="s">
        <v>393</v>
      </c>
      <c r="D3269" s="1" t="s">
        <v>133</v>
      </c>
      <c r="E3269" s="1" t="s">
        <v>17</v>
      </c>
      <c r="F3269">
        <v>16.8</v>
      </c>
      <c r="G3269">
        <v>2</v>
      </c>
      <c r="H3269" s="1" t="s">
        <v>14</v>
      </c>
      <c r="I3269" s="1" t="s">
        <v>15</v>
      </c>
      <c r="J3269" s="12">
        <v>45869</v>
      </c>
      <c r="K3269">
        <v>0</v>
      </c>
      <c r="L3269" s="1">
        <f t="shared" si="204"/>
        <v>33.6</v>
      </c>
      <c r="M3269" s="1" t="str">
        <f t="shared" si="205"/>
        <v/>
      </c>
      <c r="N3269" s="2">
        <f t="shared" si="206"/>
        <v>45839</v>
      </c>
      <c r="O3269" t="str">
        <f t="shared" si="207"/>
        <v>pes</v>
      </c>
    </row>
    <row r="3270" spans="1:15" x14ac:dyDescent="0.25">
      <c r="A3270">
        <v>10776</v>
      </c>
      <c r="B3270" s="11">
        <v>4017890123450</v>
      </c>
      <c r="C3270" s="1" t="s">
        <v>65</v>
      </c>
      <c r="D3270" s="1" t="s">
        <v>39</v>
      </c>
      <c r="E3270" s="1" t="s">
        <v>22</v>
      </c>
      <c r="F3270">
        <v>7.6</v>
      </c>
      <c r="G3270">
        <v>1</v>
      </c>
      <c r="H3270" s="1" t="s">
        <v>14</v>
      </c>
      <c r="I3270" s="1" t="s">
        <v>15</v>
      </c>
      <c r="J3270" s="12">
        <v>45869</v>
      </c>
      <c r="K3270">
        <v>0</v>
      </c>
      <c r="L3270" s="1">
        <f t="shared" si="204"/>
        <v>7.6</v>
      </c>
      <c r="M3270" s="1" t="str">
        <f t="shared" si="205"/>
        <v/>
      </c>
      <c r="N3270" s="2">
        <f t="shared" si="206"/>
        <v>45839</v>
      </c>
      <c r="O3270" t="str">
        <f t="shared" si="207"/>
        <v>pes</v>
      </c>
    </row>
    <row r="3271" spans="1:15" x14ac:dyDescent="0.25">
      <c r="A3271">
        <v>10777</v>
      </c>
      <c r="B3271" s="11">
        <v>8599988776654</v>
      </c>
      <c r="C3271" s="1" t="s">
        <v>393</v>
      </c>
      <c r="D3271" s="1" t="s">
        <v>133</v>
      </c>
      <c r="E3271" s="1" t="s">
        <v>17</v>
      </c>
      <c r="F3271">
        <v>16.8</v>
      </c>
      <c r="G3271">
        <v>1</v>
      </c>
      <c r="H3271" s="1" t="s">
        <v>14</v>
      </c>
      <c r="I3271" s="1" t="s">
        <v>15</v>
      </c>
      <c r="J3271" s="12">
        <v>45869</v>
      </c>
      <c r="K3271">
        <v>0</v>
      </c>
      <c r="L3271" s="1">
        <f t="shared" si="204"/>
        <v>16.8</v>
      </c>
      <c r="M3271" s="1" t="str">
        <f t="shared" si="205"/>
        <v/>
      </c>
      <c r="N3271" s="2">
        <f t="shared" si="206"/>
        <v>45839</v>
      </c>
      <c r="O3271" t="str">
        <f t="shared" si="207"/>
        <v>pes</v>
      </c>
    </row>
    <row r="3272" spans="1:15" hidden="1" x14ac:dyDescent="0.25">
      <c r="A3272">
        <v>10778</v>
      </c>
      <c r="B3272" s="11">
        <v>4010123456783</v>
      </c>
      <c r="C3272" s="1" t="s">
        <v>35</v>
      </c>
      <c r="D3272" s="1" t="s">
        <v>36</v>
      </c>
      <c r="E3272" s="1" t="s">
        <v>37</v>
      </c>
      <c r="F3272">
        <v>14</v>
      </c>
      <c r="G3272">
        <v>1</v>
      </c>
      <c r="H3272" s="1" t="s">
        <v>23</v>
      </c>
      <c r="I3272" s="1" t="s">
        <v>582</v>
      </c>
      <c r="J3272" s="12">
        <v>45869</v>
      </c>
      <c r="K3272">
        <v>0</v>
      </c>
      <c r="L3272" s="1">
        <f t="shared" si="204"/>
        <v>14</v>
      </c>
      <c r="M3272" s="1">
        <f t="shared" si="205"/>
        <v>5</v>
      </c>
      <c r="N3272" s="2">
        <f t="shared" si="206"/>
        <v>45839</v>
      </c>
      <c r="O3272" t="str">
        <f t="shared" si="207"/>
        <v>mačka</v>
      </c>
    </row>
    <row r="3273" spans="1:15" x14ac:dyDescent="0.25">
      <c r="A3273">
        <v>10779</v>
      </c>
      <c r="B3273" s="11">
        <v>8599988776654</v>
      </c>
      <c r="C3273" s="1" t="s">
        <v>393</v>
      </c>
      <c r="D3273" s="1" t="s">
        <v>133</v>
      </c>
      <c r="E3273" s="1" t="s">
        <v>17</v>
      </c>
      <c r="F3273">
        <v>16.8</v>
      </c>
      <c r="G3273">
        <v>1</v>
      </c>
      <c r="H3273" s="1" t="s">
        <v>14</v>
      </c>
      <c r="I3273" s="1" t="s">
        <v>15</v>
      </c>
      <c r="J3273" s="12">
        <v>45869</v>
      </c>
      <c r="K3273">
        <v>0</v>
      </c>
      <c r="L3273" s="1">
        <f t="shared" si="204"/>
        <v>16.8</v>
      </c>
      <c r="M3273" s="1" t="str">
        <f t="shared" si="205"/>
        <v/>
      </c>
      <c r="N3273" s="2">
        <f t="shared" si="206"/>
        <v>45839</v>
      </c>
      <c r="O3273" t="str">
        <f t="shared" si="207"/>
        <v>pes</v>
      </c>
    </row>
    <row r="3274" spans="1:15" x14ac:dyDescent="0.25">
      <c r="A3274">
        <v>10780</v>
      </c>
      <c r="B3274" s="11">
        <v>4028899001126</v>
      </c>
      <c r="C3274" s="1" t="s">
        <v>16</v>
      </c>
      <c r="D3274" s="1" t="s">
        <v>12</v>
      </c>
      <c r="E3274" s="1" t="s">
        <v>17</v>
      </c>
      <c r="F3274">
        <v>2.8</v>
      </c>
      <c r="G3274">
        <v>2</v>
      </c>
      <c r="H3274" s="1" t="s">
        <v>14</v>
      </c>
      <c r="I3274" s="1" t="s">
        <v>15</v>
      </c>
      <c r="J3274" s="12">
        <v>45869</v>
      </c>
      <c r="K3274">
        <v>0</v>
      </c>
      <c r="L3274" s="1">
        <f t="shared" si="204"/>
        <v>5.6</v>
      </c>
      <c r="M3274" s="1" t="str">
        <f t="shared" si="205"/>
        <v/>
      </c>
      <c r="N3274" s="2">
        <f t="shared" si="206"/>
        <v>45839</v>
      </c>
      <c r="O3274" t="str">
        <f t="shared" si="207"/>
        <v>pes</v>
      </c>
    </row>
    <row r="3275" spans="1:15" x14ac:dyDescent="0.25">
      <c r="A3275">
        <v>10781</v>
      </c>
      <c r="B3275" s="11">
        <v>8599988776654</v>
      </c>
      <c r="C3275" s="1" t="s">
        <v>393</v>
      </c>
      <c r="D3275" s="1" t="s">
        <v>133</v>
      </c>
      <c r="E3275" s="1" t="s">
        <v>17</v>
      </c>
      <c r="F3275">
        <v>16.8</v>
      </c>
      <c r="G3275">
        <v>1</v>
      </c>
      <c r="H3275" s="1" t="s">
        <v>23</v>
      </c>
      <c r="I3275" s="1" t="s">
        <v>583</v>
      </c>
      <c r="J3275" s="12">
        <v>45869</v>
      </c>
      <c r="K3275">
        <v>0</v>
      </c>
      <c r="L3275" s="1">
        <f t="shared" si="204"/>
        <v>16.8</v>
      </c>
      <c r="M3275" s="1">
        <f t="shared" si="205"/>
        <v>5</v>
      </c>
      <c r="N3275" s="2">
        <f t="shared" si="206"/>
        <v>45839</v>
      </c>
      <c r="O3275" t="str">
        <f t="shared" si="207"/>
        <v>pes</v>
      </c>
    </row>
    <row r="3276" spans="1:15" x14ac:dyDescent="0.25">
      <c r="A3276">
        <v>10782</v>
      </c>
      <c r="B3276" s="11">
        <v>4013456789017</v>
      </c>
      <c r="C3276" s="1" t="s">
        <v>11</v>
      </c>
      <c r="D3276" s="1" t="s">
        <v>12</v>
      </c>
      <c r="E3276" s="1" t="s">
        <v>13</v>
      </c>
      <c r="F3276">
        <v>6</v>
      </c>
      <c r="G3276">
        <v>1</v>
      </c>
      <c r="H3276" s="1" t="s">
        <v>14</v>
      </c>
      <c r="I3276" s="1" t="s">
        <v>15</v>
      </c>
      <c r="J3276" s="12">
        <v>45869</v>
      </c>
      <c r="K3276">
        <v>0</v>
      </c>
      <c r="L3276" s="1">
        <f t="shared" si="204"/>
        <v>6</v>
      </c>
      <c r="M3276" s="1" t="str">
        <f t="shared" si="205"/>
        <v/>
      </c>
      <c r="N3276" s="2">
        <f t="shared" si="206"/>
        <v>45839</v>
      </c>
      <c r="O3276" t="str">
        <f t="shared" si="207"/>
        <v>pes</v>
      </c>
    </row>
    <row r="3277" spans="1:15" x14ac:dyDescent="0.25">
      <c r="A3277">
        <v>10783</v>
      </c>
      <c r="B3277" s="11">
        <v>8599988776654</v>
      </c>
      <c r="C3277" s="1" t="s">
        <v>393</v>
      </c>
      <c r="D3277" s="1" t="s">
        <v>133</v>
      </c>
      <c r="E3277" s="1" t="s">
        <v>17</v>
      </c>
      <c r="F3277">
        <v>16.8</v>
      </c>
      <c r="G3277">
        <v>1</v>
      </c>
      <c r="H3277" s="1" t="s">
        <v>14</v>
      </c>
      <c r="I3277" s="1" t="s">
        <v>15</v>
      </c>
      <c r="J3277" s="12">
        <v>45869</v>
      </c>
      <c r="K3277">
        <v>0</v>
      </c>
      <c r="L3277" s="1">
        <f t="shared" si="204"/>
        <v>16.8</v>
      </c>
      <c r="M3277" s="1" t="str">
        <f t="shared" si="205"/>
        <v/>
      </c>
      <c r="N3277" s="2">
        <f t="shared" si="206"/>
        <v>45839</v>
      </c>
      <c r="O3277" t="str">
        <f t="shared" si="207"/>
        <v>pes</v>
      </c>
    </row>
    <row r="3278" spans="1:15" hidden="1" x14ac:dyDescent="0.25">
      <c r="A3278">
        <v>10784</v>
      </c>
      <c r="B3278" s="11">
        <v>4010123456783</v>
      </c>
      <c r="C3278" s="1" t="s">
        <v>35</v>
      </c>
      <c r="D3278" s="1" t="s">
        <v>36</v>
      </c>
      <c r="E3278" s="1" t="s">
        <v>37</v>
      </c>
      <c r="F3278">
        <v>14</v>
      </c>
      <c r="G3278">
        <v>1</v>
      </c>
      <c r="H3278" s="1" t="s">
        <v>14</v>
      </c>
      <c r="I3278" s="1" t="s">
        <v>15</v>
      </c>
      <c r="J3278" s="12">
        <v>45869</v>
      </c>
      <c r="K3278">
        <v>0</v>
      </c>
      <c r="L3278" s="1">
        <f t="shared" si="204"/>
        <v>14</v>
      </c>
      <c r="M3278" s="1" t="str">
        <f t="shared" si="205"/>
        <v/>
      </c>
      <c r="N3278" s="2">
        <f t="shared" si="206"/>
        <v>45839</v>
      </c>
      <c r="O3278" t="str">
        <f t="shared" si="207"/>
        <v>mačka</v>
      </c>
    </row>
    <row r="3279" spans="1:15" x14ac:dyDescent="0.25">
      <c r="A3279">
        <v>10785</v>
      </c>
      <c r="B3279" s="11">
        <v>8599988776654</v>
      </c>
      <c r="C3279" s="1" t="s">
        <v>393</v>
      </c>
      <c r="D3279" s="1" t="s">
        <v>133</v>
      </c>
      <c r="E3279" s="1" t="s">
        <v>17</v>
      </c>
      <c r="F3279">
        <v>16.8</v>
      </c>
      <c r="G3279">
        <v>1</v>
      </c>
      <c r="H3279" s="1" t="s">
        <v>14</v>
      </c>
      <c r="I3279" s="1" t="s">
        <v>15</v>
      </c>
      <c r="J3279" s="12">
        <v>45869</v>
      </c>
      <c r="K3279">
        <v>0</v>
      </c>
      <c r="L3279" s="1">
        <f t="shared" si="204"/>
        <v>16.8</v>
      </c>
      <c r="M3279" s="1" t="str">
        <f t="shared" si="205"/>
        <v/>
      </c>
      <c r="N3279" s="2">
        <f t="shared" si="206"/>
        <v>45839</v>
      </c>
      <c r="O3279" t="str">
        <f t="shared" si="207"/>
        <v>pes</v>
      </c>
    </row>
    <row r="3280" spans="1:15" x14ac:dyDescent="0.25">
      <c r="A3280">
        <v>10786</v>
      </c>
      <c r="B3280" s="11">
        <v>4063456789014</v>
      </c>
      <c r="C3280" s="1" t="s">
        <v>60</v>
      </c>
      <c r="D3280" s="1" t="s">
        <v>12</v>
      </c>
      <c r="E3280" s="1" t="s">
        <v>61</v>
      </c>
      <c r="F3280">
        <v>36</v>
      </c>
      <c r="G3280">
        <v>1</v>
      </c>
      <c r="H3280" s="1" t="s">
        <v>18</v>
      </c>
      <c r="I3280" s="1" t="s">
        <v>584</v>
      </c>
      <c r="J3280" s="12">
        <v>45869</v>
      </c>
      <c r="K3280">
        <v>0</v>
      </c>
      <c r="L3280" s="1">
        <f t="shared" si="204"/>
        <v>36</v>
      </c>
      <c r="M3280" s="1">
        <f t="shared" si="205"/>
        <v>4</v>
      </c>
      <c r="N3280" s="2">
        <f t="shared" si="206"/>
        <v>45839</v>
      </c>
      <c r="O3280" t="str">
        <f t="shared" si="207"/>
        <v>pes</v>
      </c>
    </row>
    <row r="3281" spans="1:15" x14ac:dyDescent="0.25">
      <c r="A3281">
        <v>10787</v>
      </c>
      <c r="B3281" s="11">
        <v>8599988776654</v>
      </c>
      <c r="C3281" s="1" t="s">
        <v>393</v>
      </c>
      <c r="D3281" s="1" t="s">
        <v>133</v>
      </c>
      <c r="E3281" s="1" t="s">
        <v>17</v>
      </c>
      <c r="F3281">
        <v>16.8</v>
      </c>
      <c r="G3281">
        <v>1</v>
      </c>
      <c r="H3281" s="1" t="s">
        <v>14</v>
      </c>
      <c r="I3281" s="1" t="s">
        <v>15</v>
      </c>
      <c r="J3281" s="12">
        <v>45869</v>
      </c>
      <c r="K3281">
        <v>0</v>
      </c>
      <c r="L3281" s="1">
        <f t="shared" si="204"/>
        <v>16.8</v>
      </c>
      <c r="M3281" s="1" t="str">
        <f t="shared" si="205"/>
        <v/>
      </c>
      <c r="N3281" s="2">
        <f t="shared" si="206"/>
        <v>45839</v>
      </c>
      <c r="O3281" t="str">
        <f t="shared" si="207"/>
        <v>pes</v>
      </c>
    </row>
    <row r="3282" spans="1:15" x14ac:dyDescent="0.25">
      <c r="A3282">
        <v>10788</v>
      </c>
      <c r="B3282" s="11">
        <v>4017890123450</v>
      </c>
      <c r="C3282" s="1" t="s">
        <v>65</v>
      </c>
      <c r="D3282" s="1" t="s">
        <v>39</v>
      </c>
      <c r="E3282" s="1" t="s">
        <v>22</v>
      </c>
      <c r="F3282">
        <v>7.6</v>
      </c>
      <c r="G3282">
        <v>1</v>
      </c>
      <c r="H3282" s="1" t="s">
        <v>18</v>
      </c>
      <c r="I3282" s="1" t="s">
        <v>585</v>
      </c>
      <c r="J3282" s="12">
        <v>45869</v>
      </c>
      <c r="K3282">
        <v>0</v>
      </c>
      <c r="L3282" s="1">
        <f t="shared" si="204"/>
        <v>7.6</v>
      </c>
      <c r="M3282" s="1">
        <f t="shared" si="205"/>
        <v>4</v>
      </c>
      <c r="N3282" s="2">
        <f t="shared" si="206"/>
        <v>45839</v>
      </c>
      <c r="O3282" t="str">
        <f t="shared" si="207"/>
        <v>pes</v>
      </c>
    </row>
    <row r="3283" spans="1:15" x14ac:dyDescent="0.25">
      <c r="A3283">
        <v>10789</v>
      </c>
      <c r="B3283" s="11">
        <v>8599988776654</v>
      </c>
      <c r="C3283" s="1" t="s">
        <v>393</v>
      </c>
      <c r="D3283" s="1" t="s">
        <v>133</v>
      </c>
      <c r="E3283" s="1" t="s">
        <v>17</v>
      </c>
      <c r="F3283">
        <v>16.8</v>
      </c>
      <c r="G3283">
        <v>1</v>
      </c>
      <c r="H3283" s="1" t="s">
        <v>14</v>
      </c>
      <c r="I3283" s="1" t="s">
        <v>15</v>
      </c>
      <c r="J3283" s="12">
        <v>45869</v>
      </c>
      <c r="K3283">
        <v>0</v>
      </c>
      <c r="L3283" s="1">
        <f t="shared" si="204"/>
        <v>16.8</v>
      </c>
      <c r="M3283" s="1" t="str">
        <f t="shared" si="205"/>
        <v/>
      </c>
      <c r="N3283" s="2">
        <f t="shared" si="206"/>
        <v>45839</v>
      </c>
      <c r="O3283" t="str">
        <f t="shared" si="207"/>
        <v>pes</v>
      </c>
    </row>
    <row r="3284" spans="1:15" x14ac:dyDescent="0.25">
      <c r="A3284">
        <v>10790</v>
      </c>
      <c r="B3284" s="11">
        <v>4013456789017</v>
      </c>
      <c r="C3284" s="1" t="s">
        <v>11</v>
      </c>
      <c r="D3284" s="1" t="s">
        <v>12</v>
      </c>
      <c r="E3284" s="1" t="s">
        <v>13</v>
      </c>
      <c r="F3284">
        <v>6</v>
      </c>
      <c r="G3284">
        <v>1</v>
      </c>
      <c r="H3284" s="1" t="s">
        <v>23</v>
      </c>
      <c r="I3284" s="1" t="s">
        <v>586</v>
      </c>
      <c r="J3284" s="12">
        <v>45869</v>
      </c>
      <c r="K3284">
        <v>0</v>
      </c>
      <c r="L3284" s="1">
        <f t="shared" si="204"/>
        <v>6</v>
      </c>
      <c r="M3284" s="1">
        <f t="shared" si="205"/>
        <v>5</v>
      </c>
      <c r="N3284" s="2">
        <f t="shared" si="206"/>
        <v>45839</v>
      </c>
      <c r="O3284" t="str">
        <f t="shared" si="207"/>
        <v>pes</v>
      </c>
    </row>
    <row r="3285" spans="1:15" x14ac:dyDescent="0.25">
      <c r="A3285">
        <v>10791</v>
      </c>
      <c r="B3285" s="11">
        <v>8599988776654</v>
      </c>
      <c r="C3285" s="1" t="s">
        <v>393</v>
      </c>
      <c r="D3285" s="1" t="s">
        <v>133</v>
      </c>
      <c r="E3285" s="1" t="s">
        <v>17</v>
      </c>
      <c r="F3285">
        <v>16.8</v>
      </c>
      <c r="G3285">
        <v>2</v>
      </c>
      <c r="H3285" s="1" t="s">
        <v>14</v>
      </c>
      <c r="I3285" s="1" t="s">
        <v>15</v>
      </c>
      <c r="J3285" s="12">
        <v>45869</v>
      </c>
      <c r="K3285">
        <v>0</v>
      </c>
      <c r="L3285" s="1">
        <f t="shared" si="204"/>
        <v>33.6</v>
      </c>
      <c r="M3285" s="1" t="str">
        <f t="shared" si="205"/>
        <v/>
      </c>
      <c r="N3285" s="2">
        <f t="shared" si="206"/>
        <v>45839</v>
      </c>
      <c r="O3285" t="str">
        <f t="shared" si="207"/>
        <v>pes</v>
      </c>
    </row>
    <row r="3286" spans="1:15" hidden="1" x14ac:dyDescent="0.25">
      <c r="A3286">
        <v>10792</v>
      </c>
      <c r="B3286" s="11">
        <v>4056789012345</v>
      </c>
      <c r="C3286" s="1" t="s">
        <v>47</v>
      </c>
      <c r="D3286" s="1" t="s">
        <v>29</v>
      </c>
      <c r="E3286" s="1" t="s">
        <v>37</v>
      </c>
      <c r="F3286">
        <v>2.4</v>
      </c>
      <c r="G3286">
        <v>2</v>
      </c>
      <c r="H3286" s="1" t="s">
        <v>14</v>
      </c>
      <c r="I3286" s="1" t="s">
        <v>15</v>
      </c>
      <c r="J3286" s="12">
        <v>45869</v>
      </c>
      <c r="K3286">
        <v>0</v>
      </c>
      <c r="L3286" s="1">
        <f t="shared" si="204"/>
        <v>4.8</v>
      </c>
      <c r="M3286" s="1" t="str">
        <f t="shared" si="205"/>
        <v/>
      </c>
      <c r="N3286" s="2">
        <f t="shared" si="206"/>
        <v>45839</v>
      </c>
      <c r="O3286" t="str">
        <f t="shared" si="207"/>
        <v>mačka</v>
      </c>
    </row>
    <row r="3287" spans="1:15" x14ac:dyDescent="0.25">
      <c r="A3287">
        <v>10793</v>
      </c>
      <c r="B3287" s="11">
        <v>8599988776654</v>
      </c>
      <c r="C3287" s="1" t="s">
        <v>393</v>
      </c>
      <c r="D3287" s="1" t="s">
        <v>133</v>
      </c>
      <c r="E3287" s="1" t="s">
        <v>17</v>
      </c>
      <c r="F3287">
        <v>16.8</v>
      </c>
      <c r="G3287">
        <v>1</v>
      </c>
      <c r="H3287" s="1" t="s">
        <v>14</v>
      </c>
      <c r="I3287" s="1" t="s">
        <v>15</v>
      </c>
      <c r="J3287" s="12">
        <v>45869</v>
      </c>
      <c r="K3287">
        <v>0</v>
      </c>
      <c r="L3287" s="1">
        <f t="shared" si="204"/>
        <v>16.8</v>
      </c>
      <c r="M3287" s="1" t="str">
        <f t="shared" si="205"/>
        <v/>
      </c>
      <c r="N3287" s="2">
        <f t="shared" si="206"/>
        <v>45839</v>
      </c>
      <c r="O3287" t="str">
        <f t="shared" si="207"/>
        <v>pes</v>
      </c>
    </row>
    <row r="3288" spans="1:15" hidden="1" x14ac:dyDescent="0.25">
      <c r="A3288">
        <v>10794</v>
      </c>
      <c r="B3288" s="11">
        <v>4021234567894</v>
      </c>
      <c r="C3288" s="1" t="s">
        <v>79</v>
      </c>
      <c r="D3288" s="1" t="s">
        <v>36</v>
      </c>
      <c r="E3288" s="1" t="s">
        <v>69</v>
      </c>
      <c r="F3288">
        <v>8</v>
      </c>
      <c r="G3288">
        <v>1</v>
      </c>
      <c r="H3288" s="1" t="s">
        <v>18</v>
      </c>
      <c r="I3288" s="1" t="s">
        <v>587</v>
      </c>
      <c r="J3288" s="12">
        <v>45869</v>
      </c>
      <c r="K3288">
        <v>0</v>
      </c>
      <c r="L3288" s="1">
        <f t="shared" si="204"/>
        <v>8</v>
      </c>
      <c r="M3288" s="1">
        <f t="shared" si="205"/>
        <v>4</v>
      </c>
      <c r="N3288" s="2">
        <f t="shared" si="206"/>
        <v>45839</v>
      </c>
      <c r="O3288" t="str">
        <f t="shared" si="207"/>
        <v>mačka</v>
      </c>
    </row>
    <row r="3289" spans="1:15" x14ac:dyDescent="0.25">
      <c r="A3289">
        <v>10795</v>
      </c>
      <c r="B3289" s="11">
        <v>8599988776654</v>
      </c>
      <c r="C3289" s="1" t="s">
        <v>393</v>
      </c>
      <c r="D3289" s="1" t="s">
        <v>133</v>
      </c>
      <c r="E3289" s="1" t="s">
        <v>17</v>
      </c>
      <c r="F3289">
        <v>16.8</v>
      </c>
      <c r="G3289">
        <v>1</v>
      </c>
      <c r="H3289" s="1" t="s">
        <v>14</v>
      </c>
      <c r="I3289" s="1" t="s">
        <v>15</v>
      </c>
      <c r="J3289" s="12">
        <v>45869</v>
      </c>
      <c r="K3289">
        <v>0</v>
      </c>
      <c r="L3289" s="1">
        <f t="shared" si="204"/>
        <v>16.8</v>
      </c>
      <c r="M3289" s="1" t="str">
        <f t="shared" si="205"/>
        <v/>
      </c>
      <c r="N3289" s="2">
        <f t="shared" si="206"/>
        <v>45839</v>
      </c>
      <c r="O3289" t="str">
        <f t="shared" si="207"/>
        <v>pes</v>
      </c>
    </row>
    <row r="3290" spans="1:15" x14ac:dyDescent="0.25">
      <c r="A3290">
        <v>10796</v>
      </c>
      <c r="B3290" s="11">
        <v>4027788990013</v>
      </c>
      <c r="C3290" s="1" t="s">
        <v>43</v>
      </c>
      <c r="D3290" s="1" t="s">
        <v>21</v>
      </c>
      <c r="E3290" s="1" t="s">
        <v>22</v>
      </c>
      <c r="F3290">
        <v>8</v>
      </c>
      <c r="G3290">
        <v>1</v>
      </c>
      <c r="H3290" s="1" t="s">
        <v>14</v>
      </c>
      <c r="I3290" s="1" t="s">
        <v>15</v>
      </c>
      <c r="J3290" s="12">
        <v>45869</v>
      </c>
      <c r="K3290">
        <v>0</v>
      </c>
      <c r="L3290" s="1">
        <f t="shared" si="204"/>
        <v>8</v>
      </c>
      <c r="M3290" s="1" t="str">
        <f t="shared" si="205"/>
        <v/>
      </c>
      <c r="N3290" s="2">
        <f t="shared" si="206"/>
        <v>45839</v>
      </c>
      <c r="O3290" t="str">
        <f t="shared" si="207"/>
        <v>pes</v>
      </c>
    </row>
    <row r="3291" spans="1:15" x14ac:dyDescent="0.25">
      <c r="A3291">
        <v>10797</v>
      </c>
      <c r="B3291" s="11">
        <v>8599988776654</v>
      </c>
      <c r="C3291" s="1" t="s">
        <v>393</v>
      </c>
      <c r="D3291" s="1" t="s">
        <v>133</v>
      </c>
      <c r="E3291" s="1" t="s">
        <v>17</v>
      </c>
      <c r="F3291">
        <v>16.8</v>
      </c>
      <c r="G3291">
        <v>1</v>
      </c>
      <c r="H3291" s="1" t="s">
        <v>14</v>
      </c>
      <c r="I3291" s="1" t="s">
        <v>15</v>
      </c>
      <c r="J3291" s="12">
        <v>45869</v>
      </c>
      <c r="K3291">
        <v>0</v>
      </c>
      <c r="L3291" s="1">
        <f t="shared" si="204"/>
        <v>16.8</v>
      </c>
      <c r="M3291" s="1" t="str">
        <f t="shared" si="205"/>
        <v/>
      </c>
      <c r="N3291" s="2">
        <f t="shared" si="206"/>
        <v>45839</v>
      </c>
      <c r="O3291" t="str">
        <f t="shared" si="207"/>
        <v>pes</v>
      </c>
    </row>
    <row r="3292" spans="1:15" hidden="1" x14ac:dyDescent="0.25">
      <c r="A3292">
        <v>10798</v>
      </c>
      <c r="B3292" s="11">
        <v>4010123456783</v>
      </c>
      <c r="C3292" s="1" t="s">
        <v>35</v>
      </c>
      <c r="D3292" s="1" t="s">
        <v>36</v>
      </c>
      <c r="E3292" s="1" t="s">
        <v>37</v>
      </c>
      <c r="F3292">
        <v>14</v>
      </c>
      <c r="G3292">
        <v>1</v>
      </c>
      <c r="H3292" s="1" t="s">
        <v>23</v>
      </c>
      <c r="I3292" s="1" t="s">
        <v>588</v>
      </c>
      <c r="J3292" s="12">
        <v>45869</v>
      </c>
      <c r="K3292">
        <v>0</v>
      </c>
      <c r="L3292" s="1">
        <f t="shared" si="204"/>
        <v>14</v>
      </c>
      <c r="M3292" s="1">
        <f t="shared" si="205"/>
        <v>5</v>
      </c>
      <c r="N3292" s="2">
        <f t="shared" si="206"/>
        <v>45839</v>
      </c>
      <c r="O3292" t="str">
        <f t="shared" si="207"/>
        <v>mačka</v>
      </c>
    </row>
    <row r="3293" spans="1:15" x14ac:dyDescent="0.25">
      <c r="A3293">
        <v>10799</v>
      </c>
      <c r="B3293" s="11">
        <v>8599988776654</v>
      </c>
      <c r="C3293" s="1" t="s">
        <v>393</v>
      </c>
      <c r="D3293" s="1" t="s">
        <v>133</v>
      </c>
      <c r="E3293" s="1" t="s">
        <v>17</v>
      </c>
      <c r="F3293">
        <v>16.8</v>
      </c>
      <c r="G3293">
        <v>1</v>
      </c>
      <c r="H3293" s="1" t="s">
        <v>14</v>
      </c>
      <c r="I3293" s="1" t="s">
        <v>15</v>
      </c>
      <c r="J3293" s="12">
        <v>45869</v>
      </c>
      <c r="K3293">
        <v>0</v>
      </c>
      <c r="L3293" s="1">
        <f t="shared" si="204"/>
        <v>16.8</v>
      </c>
      <c r="M3293" s="1" t="str">
        <f t="shared" si="205"/>
        <v/>
      </c>
      <c r="N3293" s="2">
        <f t="shared" si="206"/>
        <v>45839</v>
      </c>
      <c r="O3293" t="str">
        <f t="shared" si="207"/>
        <v>pes</v>
      </c>
    </row>
    <row r="3294" spans="1:15" x14ac:dyDescent="0.25">
      <c r="A3294">
        <v>10800</v>
      </c>
      <c r="B3294" s="11">
        <v>4017890123450</v>
      </c>
      <c r="C3294" s="1" t="s">
        <v>65</v>
      </c>
      <c r="D3294" s="1" t="s">
        <v>39</v>
      </c>
      <c r="E3294" s="1" t="s">
        <v>22</v>
      </c>
      <c r="F3294">
        <v>7.6</v>
      </c>
      <c r="G3294">
        <v>1</v>
      </c>
      <c r="H3294" s="1" t="s">
        <v>18</v>
      </c>
      <c r="I3294" s="1" t="s">
        <v>589</v>
      </c>
      <c r="J3294" s="12">
        <v>45869</v>
      </c>
      <c r="K3294">
        <v>0</v>
      </c>
      <c r="L3294" s="1">
        <f t="shared" si="204"/>
        <v>7.6</v>
      </c>
      <c r="M3294" s="1">
        <f t="shared" si="205"/>
        <v>4</v>
      </c>
      <c r="N3294" s="2">
        <f t="shared" si="206"/>
        <v>45839</v>
      </c>
      <c r="O3294" t="str">
        <f t="shared" si="207"/>
        <v>pes</v>
      </c>
    </row>
    <row r="3295" spans="1:15" x14ac:dyDescent="0.25">
      <c r="A3295">
        <v>10801</v>
      </c>
      <c r="B3295" s="11">
        <v>8599988776654</v>
      </c>
      <c r="C3295" s="1" t="s">
        <v>393</v>
      </c>
      <c r="D3295" s="1" t="s">
        <v>133</v>
      </c>
      <c r="E3295" s="1" t="s">
        <v>17</v>
      </c>
      <c r="F3295">
        <v>16.8</v>
      </c>
      <c r="G3295">
        <v>2</v>
      </c>
      <c r="H3295" s="1" t="s">
        <v>14</v>
      </c>
      <c r="I3295" s="1" t="s">
        <v>15</v>
      </c>
      <c r="J3295" s="12">
        <v>45869</v>
      </c>
      <c r="K3295">
        <v>0</v>
      </c>
      <c r="L3295" s="1">
        <f t="shared" si="204"/>
        <v>33.6</v>
      </c>
      <c r="M3295" s="1" t="str">
        <f t="shared" si="205"/>
        <v/>
      </c>
      <c r="N3295" s="2">
        <f t="shared" si="206"/>
        <v>45839</v>
      </c>
      <c r="O3295" t="str">
        <f t="shared" si="207"/>
        <v>pes</v>
      </c>
    </row>
    <row r="3296" spans="1:15" x14ac:dyDescent="0.25">
      <c r="A3296">
        <v>10802</v>
      </c>
      <c r="B3296" s="11">
        <v>4063456789014</v>
      </c>
      <c r="C3296" s="1" t="s">
        <v>60</v>
      </c>
      <c r="D3296" s="1" t="s">
        <v>12</v>
      </c>
      <c r="E3296" s="1" t="s">
        <v>61</v>
      </c>
      <c r="F3296">
        <v>36</v>
      </c>
      <c r="G3296">
        <v>1</v>
      </c>
      <c r="H3296" s="1" t="s">
        <v>14</v>
      </c>
      <c r="I3296" s="1" t="s">
        <v>15</v>
      </c>
      <c r="J3296" s="12">
        <v>45869</v>
      </c>
      <c r="K3296">
        <v>0</v>
      </c>
      <c r="L3296" s="1">
        <f t="shared" si="204"/>
        <v>36</v>
      </c>
      <c r="M3296" s="1" t="str">
        <f t="shared" si="205"/>
        <v/>
      </c>
      <c r="N3296" s="2">
        <f t="shared" si="206"/>
        <v>45839</v>
      </c>
      <c r="O3296" t="str">
        <f t="shared" si="207"/>
        <v>pes</v>
      </c>
    </row>
    <row r="3297" spans="1:15" x14ac:dyDescent="0.25">
      <c r="A3297">
        <v>10803</v>
      </c>
      <c r="B3297" s="11">
        <v>8599988776654</v>
      </c>
      <c r="C3297" s="1" t="s">
        <v>393</v>
      </c>
      <c r="D3297" s="1" t="s">
        <v>133</v>
      </c>
      <c r="E3297" s="1" t="s">
        <v>17</v>
      </c>
      <c r="F3297">
        <v>16.8</v>
      </c>
      <c r="G3297">
        <v>1</v>
      </c>
      <c r="H3297" s="1" t="s">
        <v>14</v>
      </c>
      <c r="I3297" s="1" t="s">
        <v>15</v>
      </c>
      <c r="J3297" s="12">
        <v>45869</v>
      </c>
      <c r="K3297">
        <v>0</v>
      </c>
      <c r="L3297" s="1">
        <f t="shared" si="204"/>
        <v>16.8</v>
      </c>
      <c r="M3297" s="1" t="str">
        <f t="shared" si="205"/>
        <v/>
      </c>
      <c r="N3297" s="2">
        <f t="shared" si="206"/>
        <v>45839</v>
      </c>
      <c r="O3297" t="str">
        <f t="shared" si="207"/>
        <v>pes</v>
      </c>
    </row>
    <row r="3298" spans="1:15" x14ac:dyDescent="0.25">
      <c r="A3298">
        <v>10804</v>
      </c>
      <c r="B3298" s="11">
        <v>4013456789017</v>
      </c>
      <c r="C3298" s="1" t="s">
        <v>11</v>
      </c>
      <c r="D3298" s="1" t="s">
        <v>12</v>
      </c>
      <c r="E3298" s="1" t="s">
        <v>13</v>
      </c>
      <c r="F3298">
        <v>6</v>
      </c>
      <c r="G3298">
        <v>1</v>
      </c>
      <c r="H3298" s="1" t="s">
        <v>23</v>
      </c>
      <c r="I3298" s="1" t="s">
        <v>590</v>
      </c>
      <c r="J3298" s="12">
        <v>45869</v>
      </c>
      <c r="K3298">
        <v>0</v>
      </c>
      <c r="L3298" s="1">
        <f t="shared" si="204"/>
        <v>6</v>
      </c>
      <c r="M3298" s="1">
        <f t="shared" si="205"/>
        <v>5</v>
      </c>
      <c r="N3298" s="2">
        <f t="shared" si="206"/>
        <v>45839</v>
      </c>
      <c r="O3298" t="str">
        <f t="shared" si="207"/>
        <v>pes</v>
      </c>
    </row>
    <row r="3299" spans="1:15" x14ac:dyDescent="0.25">
      <c r="A3299">
        <v>10805</v>
      </c>
      <c r="B3299" s="11">
        <v>8599988776654</v>
      </c>
      <c r="C3299" s="1" t="s">
        <v>393</v>
      </c>
      <c r="D3299" s="1" t="s">
        <v>133</v>
      </c>
      <c r="E3299" s="1" t="s">
        <v>17</v>
      </c>
      <c r="F3299">
        <v>16.8</v>
      </c>
      <c r="G3299">
        <v>2</v>
      </c>
      <c r="H3299" s="1" t="s">
        <v>14</v>
      </c>
      <c r="I3299" s="1" t="s">
        <v>15</v>
      </c>
      <c r="J3299" s="12">
        <v>45869</v>
      </c>
      <c r="K3299">
        <v>0</v>
      </c>
      <c r="L3299" s="1">
        <f t="shared" si="204"/>
        <v>33.6</v>
      </c>
      <c r="M3299" s="1" t="str">
        <f t="shared" si="205"/>
        <v/>
      </c>
      <c r="N3299" s="2">
        <f t="shared" si="206"/>
        <v>45839</v>
      </c>
      <c r="O3299" t="str">
        <f t="shared" si="207"/>
        <v>pes</v>
      </c>
    </row>
    <row r="3300" spans="1:15" x14ac:dyDescent="0.25">
      <c r="A3300">
        <v>10806</v>
      </c>
      <c r="B3300" s="11">
        <v>4017890123450</v>
      </c>
      <c r="C3300" s="1" t="s">
        <v>65</v>
      </c>
      <c r="D3300" s="1" t="s">
        <v>39</v>
      </c>
      <c r="E3300" s="1" t="s">
        <v>22</v>
      </c>
      <c r="F3300">
        <v>7.6</v>
      </c>
      <c r="G3300">
        <v>1</v>
      </c>
      <c r="H3300" s="1" t="s">
        <v>18</v>
      </c>
      <c r="I3300" s="1" t="s">
        <v>591</v>
      </c>
      <c r="J3300" s="12">
        <v>45869</v>
      </c>
      <c r="K3300">
        <v>0</v>
      </c>
      <c r="L3300" s="1">
        <f t="shared" si="204"/>
        <v>7.6</v>
      </c>
      <c r="M3300" s="1">
        <f t="shared" si="205"/>
        <v>4</v>
      </c>
      <c r="N3300" s="2">
        <f t="shared" si="206"/>
        <v>45839</v>
      </c>
      <c r="O3300" t="str">
        <f t="shared" si="207"/>
        <v>pes</v>
      </c>
    </row>
    <row r="3301" spans="1:15" hidden="1" x14ac:dyDescent="0.25">
      <c r="A3301">
        <v>10807</v>
      </c>
      <c r="B3301" s="11">
        <v>4010123456783</v>
      </c>
      <c r="C3301" s="1" t="s">
        <v>35</v>
      </c>
      <c r="D3301" s="1" t="s">
        <v>36</v>
      </c>
      <c r="E3301" s="1" t="s">
        <v>37</v>
      </c>
      <c r="F3301">
        <v>14</v>
      </c>
      <c r="G3301">
        <v>1</v>
      </c>
      <c r="H3301" s="1" t="s">
        <v>23</v>
      </c>
      <c r="I3301" s="1" t="s">
        <v>592</v>
      </c>
      <c r="J3301" s="12">
        <v>45869</v>
      </c>
      <c r="K3301">
        <v>0</v>
      </c>
      <c r="L3301" s="1">
        <f t="shared" si="204"/>
        <v>14</v>
      </c>
      <c r="M3301" s="1">
        <f t="shared" si="205"/>
        <v>5</v>
      </c>
      <c r="N3301" s="2">
        <f t="shared" si="206"/>
        <v>45839</v>
      </c>
      <c r="O3301" t="str">
        <f t="shared" si="207"/>
        <v>mačka</v>
      </c>
    </row>
    <row r="3302" spans="1:15" x14ac:dyDescent="0.25">
      <c r="A3302">
        <v>10808</v>
      </c>
      <c r="B3302" s="11">
        <v>8599988776654</v>
      </c>
      <c r="C3302" s="1" t="s">
        <v>393</v>
      </c>
      <c r="D3302" s="1" t="s">
        <v>133</v>
      </c>
      <c r="E3302" s="1" t="s">
        <v>17</v>
      </c>
      <c r="F3302">
        <v>16.8</v>
      </c>
      <c r="G3302">
        <v>1</v>
      </c>
      <c r="H3302" s="1" t="s">
        <v>14</v>
      </c>
      <c r="I3302" s="1" t="s">
        <v>15</v>
      </c>
      <c r="J3302" s="12">
        <v>45869</v>
      </c>
      <c r="K3302">
        <v>0</v>
      </c>
      <c r="L3302" s="1">
        <f t="shared" si="204"/>
        <v>16.8</v>
      </c>
      <c r="M3302" s="1" t="str">
        <f t="shared" si="205"/>
        <v/>
      </c>
      <c r="N3302" s="2">
        <f t="shared" si="206"/>
        <v>45839</v>
      </c>
      <c r="O3302" t="str">
        <f t="shared" si="207"/>
        <v>pes</v>
      </c>
    </row>
    <row r="3303" spans="1:15" x14ac:dyDescent="0.25">
      <c r="A3303">
        <v>10809</v>
      </c>
      <c r="B3303" s="11">
        <v>4028899001126</v>
      </c>
      <c r="C3303" s="1" t="s">
        <v>16</v>
      </c>
      <c r="D3303" s="1" t="s">
        <v>12</v>
      </c>
      <c r="E3303" s="1" t="s">
        <v>17</v>
      </c>
      <c r="F3303">
        <v>2.8</v>
      </c>
      <c r="G3303">
        <v>2</v>
      </c>
      <c r="H3303" s="1" t="s">
        <v>14</v>
      </c>
      <c r="I3303" s="1" t="s">
        <v>15</v>
      </c>
      <c r="J3303" s="12">
        <v>45869</v>
      </c>
      <c r="K3303">
        <v>0</v>
      </c>
      <c r="L3303" s="1">
        <f t="shared" si="204"/>
        <v>5.6</v>
      </c>
      <c r="M3303" s="1" t="str">
        <f t="shared" si="205"/>
        <v/>
      </c>
      <c r="N3303" s="2">
        <f t="shared" si="206"/>
        <v>45839</v>
      </c>
      <c r="O3303" t="str">
        <f t="shared" si="207"/>
        <v>pes</v>
      </c>
    </row>
    <row r="3304" spans="1:15" x14ac:dyDescent="0.25">
      <c r="A3304">
        <v>10810</v>
      </c>
      <c r="B3304" s="11">
        <v>4013456789017</v>
      </c>
      <c r="C3304" s="1" t="s">
        <v>11</v>
      </c>
      <c r="D3304" s="1" t="s">
        <v>12</v>
      </c>
      <c r="E3304" s="1" t="s">
        <v>13</v>
      </c>
      <c r="F3304">
        <v>6</v>
      </c>
      <c r="G3304">
        <v>1</v>
      </c>
      <c r="H3304" s="1" t="s">
        <v>18</v>
      </c>
      <c r="I3304" s="1" t="s">
        <v>593</v>
      </c>
      <c r="J3304" s="12">
        <v>45869</v>
      </c>
      <c r="K3304">
        <v>0</v>
      </c>
      <c r="L3304" s="1">
        <f t="shared" si="204"/>
        <v>6</v>
      </c>
      <c r="M3304" s="1">
        <f t="shared" si="205"/>
        <v>4</v>
      </c>
      <c r="N3304" s="2">
        <f t="shared" si="206"/>
        <v>45839</v>
      </c>
      <c r="O3304" t="str">
        <f t="shared" si="207"/>
        <v>pes</v>
      </c>
    </row>
    <row r="3305" spans="1:15" x14ac:dyDescent="0.25">
      <c r="A3305">
        <v>10811</v>
      </c>
      <c r="B3305" s="11">
        <v>8599988776654</v>
      </c>
      <c r="C3305" s="1" t="s">
        <v>393</v>
      </c>
      <c r="D3305" s="1" t="s">
        <v>133</v>
      </c>
      <c r="E3305" s="1" t="s">
        <v>17</v>
      </c>
      <c r="F3305">
        <v>16.8</v>
      </c>
      <c r="G3305">
        <v>1</v>
      </c>
      <c r="H3305" s="1" t="s">
        <v>14</v>
      </c>
      <c r="I3305" s="1" t="s">
        <v>15</v>
      </c>
      <c r="J3305" s="12">
        <v>45869</v>
      </c>
      <c r="K3305">
        <v>0</v>
      </c>
      <c r="L3305" s="1">
        <f t="shared" si="204"/>
        <v>16.8</v>
      </c>
      <c r="M3305" s="1" t="str">
        <f t="shared" si="205"/>
        <v/>
      </c>
      <c r="N3305" s="2">
        <f t="shared" si="206"/>
        <v>45839</v>
      </c>
      <c r="O3305" t="str">
        <f t="shared" si="207"/>
        <v>pes</v>
      </c>
    </row>
    <row r="3306" spans="1:15" x14ac:dyDescent="0.25">
      <c r="A3306">
        <v>10812</v>
      </c>
      <c r="B3306" s="11">
        <v>4027788990013</v>
      </c>
      <c r="C3306" s="1" t="s">
        <v>43</v>
      </c>
      <c r="D3306" s="1" t="s">
        <v>21</v>
      </c>
      <c r="E3306" s="1" t="s">
        <v>22</v>
      </c>
      <c r="F3306">
        <v>8</v>
      </c>
      <c r="G3306">
        <v>1</v>
      </c>
      <c r="H3306" s="1" t="s">
        <v>23</v>
      </c>
      <c r="I3306" s="1" t="s">
        <v>594</v>
      </c>
      <c r="J3306" s="12">
        <v>45869</v>
      </c>
      <c r="K3306">
        <v>0</v>
      </c>
      <c r="L3306" s="1">
        <f t="shared" si="204"/>
        <v>8</v>
      </c>
      <c r="M3306" s="1">
        <f t="shared" si="205"/>
        <v>5</v>
      </c>
      <c r="N3306" s="2">
        <f t="shared" si="206"/>
        <v>45839</v>
      </c>
      <c r="O3306" t="str">
        <f t="shared" si="207"/>
        <v>pes</v>
      </c>
    </row>
    <row r="3307" spans="1:15" hidden="1" x14ac:dyDescent="0.25">
      <c r="A3307">
        <v>10813</v>
      </c>
      <c r="B3307" s="11">
        <v>4010123456783</v>
      </c>
      <c r="C3307" s="1" t="s">
        <v>35</v>
      </c>
      <c r="D3307" s="1" t="s">
        <v>36</v>
      </c>
      <c r="E3307" s="1" t="s">
        <v>37</v>
      </c>
      <c r="F3307">
        <v>14</v>
      </c>
      <c r="G3307">
        <v>1</v>
      </c>
      <c r="H3307" s="1" t="s">
        <v>14</v>
      </c>
      <c r="I3307" s="1" t="s">
        <v>15</v>
      </c>
      <c r="J3307" s="12">
        <v>45869</v>
      </c>
      <c r="K3307">
        <v>0</v>
      </c>
      <c r="L3307" s="1">
        <f t="shared" si="204"/>
        <v>14</v>
      </c>
      <c r="M3307" s="1" t="str">
        <f t="shared" si="205"/>
        <v/>
      </c>
      <c r="N3307" s="2">
        <f t="shared" si="206"/>
        <v>45839</v>
      </c>
      <c r="O3307" t="str">
        <f t="shared" si="207"/>
        <v>mačka</v>
      </c>
    </row>
    <row r="3308" spans="1:15" x14ac:dyDescent="0.25">
      <c r="A3308">
        <v>10814</v>
      </c>
      <c r="B3308" s="11">
        <v>8599988776654</v>
      </c>
      <c r="C3308" s="1" t="s">
        <v>393</v>
      </c>
      <c r="D3308" s="1" t="s">
        <v>133</v>
      </c>
      <c r="E3308" s="1" t="s">
        <v>17</v>
      </c>
      <c r="F3308">
        <v>16.8</v>
      </c>
      <c r="G3308">
        <v>2</v>
      </c>
      <c r="H3308" s="1" t="s">
        <v>23</v>
      </c>
      <c r="I3308" s="1" t="s">
        <v>595</v>
      </c>
      <c r="J3308" s="12">
        <v>45869</v>
      </c>
      <c r="K3308">
        <v>0</v>
      </c>
      <c r="L3308" s="1">
        <f t="shared" si="204"/>
        <v>33.6</v>
      </c>
      <c r="M3308" s="1">
        <f t="shared" si="205"/>
        <v>5</v>
      </c>
      <c r="N3308" s="2">
        <f t="shared" si="206"/>
        <v>45839</v>
      </c>
      <c r="O3308" t="str">
        <f t="shared" si="207"/>
        <v>pes</v>
      </c>
    </row>
    <row r="3309" spans="1:15" x14ac:dyDescent="0.25">
      <c r="A3309">
        <v>10815</v>
      </c>
      <c r="B3309" s="11">
        <v>4063456789014</v>
      </c>
      <c r="C3309" s="1" t="s">
        <v>60</v>
      </c>
      <c r="D3309" s="1" t="s">
        <v>12</v>
      </c>
      <c r="E3309" s="1" t="s">
        <v>61</v>
      </c>
      <c r="F3309">
        <v>36</v>
      </c>
      <c r="G3309">
        <v>1</v>
      </c>
      <c r="H3309" s="1" t="s">
        <v>14</v>
      </c>
      <c r="I3309" s="1" t="s">
        <v>15</v>
      </c>
      <c r="J3309" s="12">
        <v>45869</v>
      </c>
      <c r="K3309">
        <v>0</v>
      </c>
      <c r="L3309" s="1">
        <f t="shared" si="204"/>
        <v>36</v>
      </c>
      <c r="M3309" s="1" t="str">
        <f t="shared" si="205"/>
        <v/>
      </c>
      <c r="N3309" s="2">
        <f t="shared" si="206"/>
        <v>45839</v>
      </c>
      <c r="O3309" t="str">
        <f t="shared" si="207"/>
        <v>pes</v>
      </c>
    </row>
    <row r="3310" spans="1:15" x14ac:dyDescent="0.25">
      <c r="A3310">
        <v>10816</v>
      </c>
      <c r="B3310" s="11">
        <v>8599988776654</v>
      </c>
      <c r="C3310" s="1" t="s">
        <v>393</v>
      </c>
      <c r="D3310" s="1" t="s">
        <v>133</v>
      </c>
      <c r="E3310" s="1" t="s">
        <v>17</v>
      </c>
      <c r="F3310">
        <v>16.8</v>
      </c>
      <c r="G3310">
        <v>1</v>
      </c>
      <c r="H3310" s="1" t="s">
        <v>14</v>
      </c>
      <c r="I3310" s="1" t="s">
        <v>15</v>
      </c>
      <c r="J3310" s="12">
        <v>45869</v>
      </c>
      <c r="K3310">
        <v>0</v>
      </c>
      <c r="L3310" s="1">
        <f t="shared" si="204"/>
        <v>16.8</v>
      </c>
      <c r="M3310" s="1" t="str">
        <f t="shared" si="205"/>
        <v/>
      </c>
      <c r="N3310" s="2">
        <f t="shared" si="206"/>
        <v>45839</v>
      </c>
      <c r="O3310" t="str">
        <f t="shared" si="207"/>
        <v>pes</v>
      </c>
    </row>
    <row r="3311" spans="1:15" x14ac:dyDescent="0.25">
      <c r="A3311">
        <v>10817</v>
      </c>
      <c r="B3311" s="11">
        <v>4017890123450</v>
      </c>
      <c r="C3311" s="1" t="s">
        <v>65</v>
      </c>
      <c r="D3311" s="1" t="s">
        <v>39</v>
      </c>
      <c r="E3311" s="1" t="s">
        <v>22</v>
      </c>
      <c r="F3311">
        <v>7.6</v>
      </c>
      <c r="G3311">
        <v>1</v>
      </c>
      <c r="H3311" s="1" t="s">
        <v>23</v>
      </c>
      <c r="I3311" s="1" t="s">
        <v>596</v>
      </c>
      <c r="J3311" s="12">
        <v>45869</v>
      </c>
      <c r="K3311">
        <v>0</v>
      </c>
      <c r="L3311" s="1">
        <f t="shared" si="204"/>
        <v>7.6</v>
      </c>
      <c r="M3311" s="1">
        <f t="shared" si="205"/>
        <v>5</v>
      </c>
      <c r="N3311" s="2">
        <f t="shared" si="206"/>
        <v>45839</v>
      </c>
      <c r="O3311" t="str">
        <f t="shared" si="207"/>
        <v>pes</v>
      </c>
    </row>
    <row r="3312" spans="1:15" x14ac:dyDescent="0.25">
      <c r="A3312">
        <v>10818</v>
      </c>
      <c r="B3312" s="11">
        <v>8599988776654</v>
      </c>
      <c r="C3312" s="1" t="s">
        <v>393</v>
      </c>
      <c r="D3312" s="1" t="s">
        <v>133</v>
      </c>
      <c r="E3312" s="1" t="s">
        <v>17</v>
      </c>
      <c r="F3312">
        <v>16.8</v>
      </c>
      <c r="G3312">
        <v>2</v>
      </c>
      <c r="H3312" s="1" t="s">
        <v>14</v>
      </c>
      <c r="I3312" s="1" t="s">
        <v>15</v>
      </c>
      <c r="J3312" s="12">
        <v>45869</v>
      </c>
      <c r="K3312">
        <v>0</v>
      </c>
      <c r="L3312" s="1">
        <f t="shared" si="204"/>
        <v>33.6</v>
      </c>
      <c r="M3312" s="1" t="str">
        <f t="shared" si="205"/>
        <v/>
      </c>
      <c r="N3312" s="2">
        <f t="shared" si="206"/>
        <v>45839</v>
      </c>
      <c r="O3312" t="str">
        <f t="shared" si="207"/>
        <v>pes</v>
      </c>
    </row>
    <row r="3313" spans="1:15" hidden="1" x14ac:dyDescent="0.25">
      <c r="A3313">
        <v>10819</v>
      </c>
      <c r="B3313" s="11">
        <v>4056789012345</v>
      </c>
      <c r="C3313" s="1" t="s">
        <v>47</v>
      </c>
      <c r="D3313" s="1" t="s">
        <v>29</v>
      </c>
      <c r="E3313" s="1" t="s">
        <v>37</v>
      </c>
      <c r="F3313">
        <v>2.4</v>
      </c>
      <c r="G3313">
        <v>2</v>
      </c>
      <c r="H3313" s="1" t="s">
        <v>14</v>
      </c>
      <c r="I3313" s="1" t="s">
        <v>15</v>
      </c>
      <c r="J3313" s="12">
        <v>45869</v>
      </c>
      <c r="K3313">
        <v>0</v>
      </c>
      <c r="L3313" s="1">
        <f t="shared" si="204"/>
        <v>4.8</v>
      </c>
      <c r="M3313" s="1" t="str">
        <f t="shared" si="205"/>
        <v/>
      </c>
      <c r="N3313" s="2">
        <f t="shared" si="206"/>
        <v>45839</v>
      </c>
      <c r="O3313" t="str">
        <f t="shared" si="207"/>
        <v>mačka</v>
      </c>
    </row>
    <row r="3314" spans="1:15" x14ac:dyDescent="0.25">
      <c r="A3314">
        <v>10820</v>
      </c>
      <c r="B3314" s="11">
        <v>8599988776654</v>
      </c>
      <c r="C3314" s="1" t="s">
        <v>393</v>
      </c>
      <c r="D3314" s="1" t="s">
        <v>133</v>
      </c>
      <c r="E3314" s="1" t="s">
        <v>17</v>
      </c>
      <c r="F3314">
        <v>16.8</v>
      </c>
      <c r="G3314">
        <v>1</v>
      </c>
      <c r="H3314" s="1" t="s">
        <v>14</v>
      </c>
      <c r="I3314" s="1" t="s">
        <v>15</v>
      </c>
      <c r="J3314" s="12">
        <v>45869</v>
      </c>
      <c r="K3314">
        <v>0</v>
      </c>
      <c r="L3314" s="1">
        <f t="shared" si="204"/>
        <v>16.8</v>
      </c>
      <c r="M3314" s="1" t="str">
        <f t="shared" si="205"/>
        <v/>
      </c>
      <c r="N3314" s="2">
        <f t="shared" si="206"/>
        <v>45839</v>
      </c>
      <c r="O3314" t="str">
        <f t="shared" si="207"/>
        <v>pes</v>
      </c>
    </row>
    <row r="3315" spans="1:15" x14ac:dyDescent="0.25">
      <c r="A3315">
        <v>10821</v>
      </c>
      <c r="B3315" s="11">
        <v>4013456789017</v>
      </c>
      <c r="C3315" s="1" t="s">
        <v>11</v>
      </c>
      <c r="D3315" s="1" t="s">
        <v>12</v>
      </c>
      <c r="E3315" s="1" t="s">
        <v>13</v>
      </c>
      <c r="F3315">
        <v>6</v>
      </c>
      <c r="G3315">
        <v>1</v>
      </c>
      <c r="H3315" s="1" t="s">
        <v>18</v>
      </c>
      <c r="I3315" s="1" t="s">
        <v>597</v>
      </c>
      <c r="J3315" s="12">
        <v>45869</v>
      </c>
      <c r="K3315">
        <v>0</v>
      </c>
      <c r="L3315" s="1">
        <f t="shared" si="204"/>
        <v>6</v>
      </c>
      <c r="M3315" s="1">
        <f t="shared" si="205"/>
        <v>4</v>
      </c>
      <c r="N3315" s="2">
        <f t="shared" si="206"/>
        <v>45839</v>
      </c>
      <c r="O3315" t="str">
        <f t="shared" si="207"/>
        <v>pes</v>
      </c>
    </row>
    <row r="3316" spans="1:15" x14ac:dyDescent="0.25">
      <c r="A3316">
        <v>10822</v>
      </c>
      <c r="B3316" s="11">
        <v>8599988776654</v>
      </c>
      <c r="C3316" s="1" t="s">
        <v>393</v>
      </c>
      <c r="D3316" s="1" t="s">
        <v>133</v>
      </c>
      <c r="E3316" s="1" t="s">
        <v>17</v>
      </c>
      <c r="F3316">
        <v>16.8</v>
      </c>
      <c r="G3316">
        <v>1</v>
      </c>
      <c r="H3316" s="1" t="s">
        <v>14</v>
      </c>
      <c r="I3316" s="1" t="s">
        <v>15</v>
      </c>
      <c r="J3316" s="12">
        <v>45869</v>
      </c>
      <c r="K3316">
        <v>0</v>
      </c>
      <c r="L3316" s="1">
        <f t="shared" si="204"/>
        <v>16.8</v>
      </c>
      <c r="M3316" s="1" t="str">
        <f t="shared" si="205"/>
        <v/>
      </c>
      <c r="N3316" s="2">
        <f t="shared" si="206"/>
        <v>45839</v>
      </c>
      <c r="O3316" t="str">
        <f t="shared" si="207"/>
        <v>pes</v>
      </c>
    </row>
    <row r="3317" spans="1:15" hidden="1" x14ac:dyDescent="0.25">
      <c r="A3317">
        <v>10823</v>
      </c>
      <c r="B3317" s="11">
        <v>4010123456783</v>
      </c>
      <c r="C3317" s="1" t="s">
        <v>35</v>
      </c>
      <c r="D3317" s="1" t="s">
        <v>36</v>
      </c>
      <c r="E3317" s="1" t="s">
        <v>37</v>
      </c>
      <c r="F3317">
        <v>14</v>
      </c>
      <c r="G3317">
        <v>1</v>
      </c>
      <c r="H3317" s="1" t="s">
        <v>14</v>
      </c>
      <c r="I3317" s="1" t="s">
        <v>15</v>
      </c>
      <c r="J3317" s="12">
        <v>45869</v>
      </c>
      <c r="K3317">
        <v>0</v>
      </c>
      <c r="L3317" s="1">
        <f t="shared" si="204"/>
        <v>14</v>
      </c>
      <c r="M3317" s="1" t="str">
        <f t="shared" si="205"/>
        <v/>
      </c>
      <c r="N3317" s="2">
        <f t="shared" si="206"/>
        <v>45839</v>
      </c>
      <c r="O3317" t="str">
        <f t="shared" si="207"/>
        <v>mačka</v>
      </c>
    </row>
    <row r="3318" spans="1:15" x14ac:dyDescent="0.25">
      <c r="A3318">
        <v>10824</v>
      </c>
      <c r="B3318" s="11">
        <v>4028899001126</v>
      </c>
      <c r="C3318" s="1" t="s">
        <v>16</v>
      </c>
      <c r="D3318" s="1" t="s">
        <v>12</v>
      </c>
      <c r="E3318" s="1" t="s">
        <v>17</v>
      </c>
      <c r="F3318">
        <v>2.8</v>
      </c>
      <c r="G3318">
        <v>3</v>
      </c>
      <c r="H3318" s="1" t="s">
        <v>23</v>
      </c>
      <c r="I3318" s="1" t="s">
        <v>598</v>
      </c>
      <c r="J3318" s="12">
        <v>45869</v>
      </c>
      <c r="K3318">
        <v>0</v>
      </c>
      <c r="L3318" s="1">
        <f t="shared" si="204"/>
        <v>8.3999999999999986</v>
      </c>
      <c r="M3318" s="1">
        <f t="shared" si="205"/>
        <v>5</v>
      </c>
      <c r="N3318" s="2">
        <f t="shared" si="206"/>
        <v>45839</v>
      </c>
      <c r="O3318" t="str">
        <f t="shared" si="207"/>
        <v>pes</v>
      </c>
    </row>
    <row r="3319" spans="1:15" x14ac:dyDescent="0.25">
      <c r="A3319">
        <v>10825</v>
      </c>
      <c r="B3319" s="11">
        <v>8599988776654</v>
      </c>
      <c r="C3319" s="1" t="s">
        <v>393</v>
      </c>
      <c r="D3319" s="1" t="s">
        <v>133</v>
      </c>
      <c r="E3319" s="1" t="s">
        <v>17</v>
      </c>
      <c r="F3319">
        <v>16.8</v>
      </c>
      <c r="G3319">
        <v>1</v>
      </c>
      <c r="H3319" s="1" t="s">
        <v>14</v>
      </c>
      <c r="I3319" s="1" t="s">
        <v>15</v>
      </c>
      <c r="J3319" s="12">
        <v>45869</v>
      </c>
      <c r="K3319">
        <v>0</v>
      </c>
      <c r="L3319" s="1">
        <f t="shared" si="204"/>
        <v>16.8</v>
      </c>
      <c r="M3319" s="1" t="str">
        <f t="shared" si="205"/>
        <v/>
      </c>
      <c r="N3319" s="2">
        <f t="shared" si="206"/>
        <v>45839</v>
      </c>
      <c r="O3319" t="str">
        <f t="shared" si="207"/>
        <v>pes</v>
      </c>
    </row>
    <row r="3320" spans="1:15" x14ac:dyDescent="0.25">
      <c r="A3320">
        <v>10826</v>
      </c>
      <c r="B3320" s="11">
        <v>4063456789014</v>
      </c>
      <c r="C3320" s="1" t="s">
        <v>60</v>
      </c>
      <c r="D3320" s="1" t="s">
        <v>12</v>
      </c>
      <c r="E3320" s="1" t="s">
        <v>61</v>
      </c>
      <c r="F3320">
        <v>36</v>
      </c>
      <c r="G3320">
        <v>1</v>
      </c>
      <c r="H3320" s="1" t="s">
        <v>14</v>
      </c>
      <c r="I3320" s="1" t="s">
        <v>15</v>
      </c>
      <c r="J3320" s="12">
        <v>45869</v>
      </c>
      <c r="K3320">
        <v>0</v>
      </c>
      <c r="L3320" s="1">
        <f t="shared" si="204"/>
        <v>36</v>
      </c>
      <c r="M3320" s="1" t="str">
        <f t="shared" si="205"/>
        <v/>
      </c>
      <c r="N3320" s="2">
        <f t="shared" si="206"/>
        <v>45839</v>
      </c>
      <c r="O3320" t="str">
        <f t="shared" si="207"/>
        <v>pes</v>
      </c>
    </row>
    <row r="3321" spans="1:15" x14ac:dyDescent="0.25">
      <c r="A3321">
        <v>10827</v>
      </c>
      <c r="B3321" s="11">
        <v>8599988776654</v>
      </c>
      <c r="C3321" s="1" t="s">
        <v>393</v>
      </c>
      <c r="D3321" s="1" t="s">
        <v>133</v>
      </c>
      <c r="E3321" s="1" t="s">
        <v>17</v>
      </c>
      <c r="F3321">
        <v>16.8</v>
      </c>
      <c r="G3321">
        <v>2</v>
      </c>
      <c r="H3321" s="1" t="s">
        <v>18</v>
      </c>
      <c r="I3321" s="1" t="s">
        <v>599</v>
      </c>
      <c r="J3321" s="12">
        <v>45869</v>
      </c>
      <c r="K3321">
        <v>0</v>
      </c>
      <c r="L3321" s="1">
        <f t="shared" si="204"/>
        <v>33.6</v>
      </c>
      <c r="M3321" s="1">
        <f t="shared" si="205"/>
        <v>4</v>
      </c>
      <c r="N3321" s="2">
        <f t="shared" si="206"/>
        <v>45839</v>
      </c>
      <c r="O3321" t="str">
        <f t="shared" si="207"/>
        <v>pes</v>
      </c>
    </row>
    <row r="3322" spans="1:15" hidden="1" x14ac:dyDescent="0.25">
      <c r="A3322">
        <v>10828</v>
      </c>
      <c r="B3322" s="11">
        <v>4021234567894</v>
      </c>
      <c r="C3322" s="1" t="s">
        <v>79</v>
      </c>
      <c r="D3322" s="1" t="s">
        <v>36</v>
      </c>
      <c r="E3322" s="1" t="s">
        <v>69</v>
      </c>
      <c r="F3322">
        <v>8</v>
      </c>
      <c r="G3322">
        <v>1</v>
      </c>
      <c r="H3322" s="1" t="s">
        <v>23</v>
      </c>
      <c r="I3322" s="1" t="s">
        <v>600</v>
      </c>
      <c r="J3322" s="12">
        <v>45869</v>
      </c>
      <c r="K3322">
        <v>0</v>
      </c>
      <c r="L3322" s="1">
        <f t="shared" si="204"/>
        <v>8</v>
      </c>
      <c r="M3322" s="1">
        <f t="shared" si="205"/>
        <v>5</v>
      </c>
      <c r="N3322" s="2">
        <f t="shared" si="206"/>
        <v>45839</v>
      </c>
      <c r="O3322" t="str">
        <f t="shared" si="207"/>
        <v>mačka</v>
      </c>
    </row>
    <row r="3323" spans="1:15" x14ac:dyDescent="0.25">
      <c r="A3323">
        <v>10829</v>
      </c>
      <c r="B3323" s="11">
        <v>8599988776654</v>
      </c>
      <c r="C3323" s="1" t="s">
        <v>393</v>
      </c>
      <c r="D3323" s="1" t="s">
        <v>133</v>
      </c>
      <c r="E3323" s="1" t="s">
        <v>17</v>
      </c>
      <c r="F3323">
        <v>16.8</v>
      </c>
      <c r="G3323">
        <v>1</v>
      </c>
      <c r="H3323" s="1" t="s">
        <v>14</v>
      </c>
      <c r="I3323" s="1" t="s">
        <v>15</v>
      </c>
      <c r="J3323" s="12">
        <v>45869</v>
      </c>
      <c r="K3323">
        <v>0</v>
      </c>
      <c r="L3323" s="1">
        <f t="shared" si="204"/>
        <v>16.8</v>
      </c>
      <c r="M3323" s="1" t="str">
        <f t="shared" si="205"/>
        <v/>
      </c>
      <c r="N3323" s="2">
        <f t="shared" si="206"/>
        <v>45839</v>
      </c>
      <c r="O3323" t="str">
        <f t="shared" si="207"/>
        <v>pes</v>
      </c>
    </row>
    <row r="3324" spans="1:15" x14ac:dyDescent="0.25">
      <c r="A3324">
        <v>10830</v>
      </c>
      <c r="B3324" s="11">
        <v>4017890123450</v>
      </c>
      <c r="C3324" s="1" t="s">
        <v>65</v>
      </c>
      <c r="D3324" s="1" t="s">
        <v>39</v>
      </c>
      <c r="E3324" s="1" t="s">
        <v>22</v>
      </c>
      <c r="F3324">
        <v>7.6</v>
      </c>
      <c r="G3324">
        <v>1</v>
      </c>
      <c r="H3324" s="1" t="s">
        <v>14</v>
      </c>
      <c r="I3324" s="1" t="s">
        <v>15</v>
      </c>
      <c r="J3324" s="12">
        <v>45869</v>
      </c>
      <c r="K3324">
        <v>0</v>
      </c>
      <c r="L3324" s="1">
        <f t="shared" si="204"/>
        <v>7.6</v>
      </c>
      <c r="M3324" s="1" t="str">
        <f t="shared" si="205"/>
        <v/>
      </c>
      <c r="N3324" s="2">
        <f t="shared" si="206"/>
        <v>45839</v>
      </c>
      <c r="O3324" t="str">
        <f t="shared" si="207"/>
        <v>pes</v>
      </c>
    </row>
    <row r="3325" spans="1:15" x14ac:dyDescent="0.25">
      <c r="A3325">
        <v>10831</v>
      </c>
      <c r="B3325" s="11">
        <v>8599988776654</v>
      </c>
      <c r="C3325" s="1" t="s">
        <v>393</v>
      </c>
      <c r="D3325" s="1" t="s">
        <v>133</v>
      </c>
      <c r="E3325" s="1" t="s">
        <v>17</v>
      </c>
      <c r="F3325">
        <v>16.8</v>
      </c>
      <c r="G3325">
        <v>2</v>
      </c>
      <c r="H3325" s="1" t="s">
        <v>14</v>
      </c>
      <c r="I3325" s="1" t="s">
        <v>15</v>
      </c>
      <c r="J3325" s="12">
        <v>45869</v>
      </c>
      <c r="K3325">
        <v>0</v>
      </c>
      <c r="L3325" s="1">
        <f t="shared" si="204"/>
        <v>33.6</v>
      </c>
      <c r="M3325" s="1" t="str">
        <f t="shared" si="205"/>
        <v/>
      </c>
      <c r="N3325" s="2">
        <f t="shared" si="206"/>
        <v>45839</v>
      </c>
      <c r="O3325" t="str">
        <f t="shared" si="207"/>
        <v>pes</v>
      </c>
    </row>
    <row r="3326" spans="1:15" hidden="1" x14ac:dyDescent="0.25">
      <c r="A3326">
        <v>10832</v>
      </c>
      <c r="B3326" s="11">
        <v>4010123456783</v>
      </c>
      <c r="C3326" s="1" t="s">
        <v>35</v>
      </c>
      <c r="D3326" s="1" t="s">
        <v>36</v>
      </c>
      <c r="E3326" s="1" t="s">
        <v>37</v>
      </c>
      <c r="F3326">
        <v>14</v>
      </c>
      <c r="G3326">
        <v>1</v>
      </c>
      <c r="H3326" s="1" t="s">
        <v>23</v>
      </c>
      <c r="I3326" s="1" t="s">
        <v>601</v>
      </c>
      <c r="J3326" s="12">
        <v>45869</v>
      </c>
      <c r="K3326">
        <v>0</v>
      </c>
      <c r="L3326" s="1">
        <f t="shared" si="204"/>
        <v>14</v>
      </c>
      <c r="M3326" s="1">
        <f t="shared" si="205"/>
        <v>5</v>
      </c>
      <c r="N3326" s="2">
        <f t="shared" si="206"/>
        <v>45839</v>
      </c>
      <c r="O3326" t="str">
        <f t="shared" si="207"/>
        <v>mačka</v>
      </c>
    </row>
    <row r="3327" spans="1:15" x14ac:dyDescent="0.25">
      <c r="A3327">
        <v>10833</v>
      </c>
      <c r="B3327" s="11">
        <v>8599988776654</v>
      </c>
      <c r="C3327" s="1" t="s">
        <v>393</v>
      </c>
      <c r="D3327" s="1" t="s">
        <v>133</v>
      </c>
      <c r="E3327" s="1" t="s">
        <v>17</v>
      </c>
      <c r="F3327">
        <v>16.8</v>
      </c>
      <c r="G3327">
        <v>1</v>
      </c>
      <c r="H3327" s="1" t="s">
        <v>14</v>
      </c>
      <c r="I3327" s="1" t="s">
        <v>15</v>
      </c>
      <c r="J3327" s="12">
        <v>45869</v>
      </c>
      <c r="K3327">
        <v>0</v>
      </c>
      <c r="L3327" s="1">
        <f t="shared" si="204"/>
        <v>16.8</v>
      </c>
      <c r="M3327" s="1" t="str">
        <f t="shared" si="205"/>
        <v/>
      </c>
      <c r="N3327" s="2">
        <f t="shared" si="206"/>
        <v>45839</v>
      </c>
      <c r="O3327" t="str">
        <f t="shared" si="207"/>
        <v>pes</v>
      </c>
    </row>
    <row r="3328" spans="1:15" x14ac:dyDescent="0.25">
      <c r="A3328">
        <v>10834</v>
      </c>
      <c r="B3328" s="11">
        <v>4013456789017</v>
      </c>
      <c r="C3328" s="1" t="s">
        <v>11</v>
      </c>
      <c r="D3328" s="1" t="s">
        <v>12</v>
      </c>
      <c r="E3328" s="1" t="s">
        <v>13</v>
      </c>
      <c r="F3328">
        <v>6</v>
      </c>
      <c r="G3328">
        <v>1</v>
      </c>
      <c r="H3328" s="1" t="s">
        <v>18</v>
      </c>
      <c r="I3328" s="1" t="s">
        <v>559</v>
      </c>
      <c r="J3328" s="12">
        <v>45869</v>
      </c>
      <c r="K3328">
        <v>0</v>
      </c>
      <c r="L3328" s="1">
        <f t="shared" si="204"/>
        <v>6</v>
      </c>
      <c r="M3328" s="1">
        <f t="shared" si="205"/>
        <v>4</v>
      </c>
      <c r="N3328" s="2">
        <f t="shared" si="206"/>
        <v>45839</v>
      </c>
      <c r="O3328" t="str">
        <f t="shared" si="207"/>
        <v>pes</v>
      </c>
    </row>
    <row r="3329" spans="1:15" x14ac:dyDescent="0.25">
      <c r="A3329">
        <v>10835</v>
      </c>
      <c r="B3329" s="11">
        <v>8599988776654</v>
      </c>
      <c r="C3329" s="1" t="s">
        <v>393</v>
      </c>
      <c r="D3329" s="1" t="s">
        <v>133</v>
      </c>
      <c r="E3329" s="1" t="s">
        <v>17</v>
      </c>
      <c r="F3329">
        <v>16.8</v>
      </c>
      <c r="G3329">
        <v>1</v>
      </c>
      <c r="H3329" s="1" t="s">
        <v>14</v>
      </c>
      <c r="I3329" s="1" t="s">
        <v>15</v>
      </c>
      <c r="J3329" s="12">
        <v>45869</v>
      </c>
      <c r="K3329">
        <v>0</v>
      </c>
      <c r="L3329" s="1">
        <f t="shared" si="204"/>
        <v>16.8</v>
      </c>
      <c r="M3329" s="1" t="str">
        <f t="shared" si="205"/>
        <v/>
      </c>
      <c r="N3329" s="2">
        <f t="shared" si="206"/>
        <v>45839</v>
      </c>
      <c r="O3329" t="str">
        <f t="shared" si="207"/>
        <v>pes</v>
      </c>
    </row>
    <row r="3330" spans="1:15" hidden="1" x14ac:dyDescent="0.25">
      <c r="A3330">
        <v>10836</v>
      </c>
      <c r="B3330" s="11">
        <v>4056789012345</v>
      </c>
      <c r="C3330" s="1" t="s">
        <v>47</v>
      </c>
      <c r="D3330" s="1" t="s">
        <v>29</v>
      </c>
      <c r="E3330" s="1" t="s">
        <v>37</v>
      </c>
      <c r="F3330">
        <v>2.4</v>
      </c>
      <c r="G3330">
        <v>2</v>
      </c>
      <c r="H3330" s="1" t="s">
        <v>14</v>
      </c>
      <c r="I3330" s="1" t="s">
        <v>15</v>
      </c>
      <c r="J3330" s="12">
        <v>45869</v>
      </c>
      <c r="K3330">
        <v>0</v>
      </c>
      <c r="L3330" s="1">
        <f t="shared" ref="L3330:L3393" si="208">F3330*G3330</f>
        <v>4.8</v>
      </c>
      <c r="M3330" s="1" t="str">
        <f t="shared" ref="M3330:M3393" si="209">IF(H3330="NULL", "",VALUE(H3330))</f>
        <v/>
      </c>
      <c r="N3330" s="2">
        <f t="shared" ref="N3330:N3393" si="210">DATE(YEAR(J3330),MONTH(J3330),1)</f>
        <v>45839</v>
      </c>
      <c r="O3330" t="str">
        <f t="shared" ref="O3330:O3393" si="211">IF(ISNUMBER(SEARCH("Mačky",D3330)),"mačka",IF(ISNUMBER(SEARCH("Psy",D3330)),"pes","iné"))</f>
        <v>mačka</v>
      </c>
    </row>
    <row r="3331" spans="1:15" x14ac:dyDescent="0.25">
      <c r="A3331">
        <v>10837</v>
      </c>
      <c r="B3331" s="11">
        <v>8599988776654</v>
      </c>
      <c r="C3331" s="1" t="s">
        <v>393</v>
      </c>
      <c r="D3331" s="1" t="s">
        <v>133</v>
      </c>
      <c r="E3331" s="1" t="s">
        <v>17</v>
      </c>
      <c r="F3331">
        <v>16.8</v>
      </c>
      <c r="G3331">
        <v>1</v>
      </c>
      <c r="H3331" s="1" t="s">
        <v>14</v>
      </c>
      <c r="I3331" s="1" t="s">
        <v>15</v>
      </c>
      <c r="J3331" s="12">
        <v>45869</v>
      </c>
      <c r="K3331">
        <v>0</v>
      </c>
      <c r="L3331" s="1">
        <f t="shared" si="208"/>
        <v>16.8</v>
      </c>
      <c r="M3331" s="1" t="str">
        <f t="shared" si="209"/>
        <v/>
      </c>
      <c r="N3331" s="2">
        <f t="shared" si="210"/>
        <v>45839</v>
      </c>
      <c r="O3331" t="str">
        <f t="shared" si="211"/>
        <v>pes</v>
      </c>
    </row>
    <row r="3332" spans="1:15" x14ac:dyDescent="0.25">
      <c r="A3332">
        <v>10838</v>
      </c>
      <c r="B3332" s="11">
        <v>4063456789014</v>
      </c>
      <c r="C3332" s="1" t="s">
        <v>60</v>
      </c>
      <c r="D3332" s="1" t="s">
        <v>12</v>
      </c>
      <c r="E3332" s="1" t="s">
        <v>61</v>
      </c>
      <c r="F3332">
        <v>36</v>
      </c>
      <c r="G3332">
        <v>1</v>
      </c>
      <c r="H3332" s="1" t="s">
        <v>23</v>
      </c>
      <c r="I3332" s="1" t="s">
        <v>602</v>
      </c>
      <c r="J3332" s="12">
        <v>45869</v>
      </c>
      <c r="K3332">
        <v>0</v>
      </c>
      <c r="L3332" s="1">
        <f t="shared" si="208"/>
        <v>36</v>
      </c>
      <c r="M3332" s="1">
        <f t="shared" si="209"/>
        <v>5</v>
      </c>
      <c r="N3332" s="2">
        <f t="shared" si="210"/>
        <v>45839</v>
      </c>
      <c r="O3332" t="str">
        <f t="shared" si="211"/>
        <v>pes</v>
      </c>
    </row>
    <row r="3333" spans="1:15" x14ac:dyDescent="0.25">
      <c r="A3333">
        <v>10839</v>
      </c>
      <c r="B3333" s="11">
        <v>8599988776654</v>
      </c>
      <c r="C3333" s="1" t="s">
        <v>393</v>
      </c>
      <c r="D3333" s="1" t="s">
        <v>133</v>
      </c>
      <c r="E3333" s="1" t="s">
        <v>17</v>
      </c>
      <c r="F3333">
        <v>16.8</v>
      </c>
      <c r="G3333">
        <v>2</v>
      </c>
      <c r="H3333" s="1" t="s">
        <v>14</v>
      </c>
      <c r="I3333" s="1" t="s">
        <v>15</v>
      </c>
      <c r="J3333" s="12">
        <v>45869</v>
      </c>
      <c r="K3333">
        <v>0</v>
      </c>
      <c r="L3333" s="1">
        <f t="shared" si="208"/>
        <v>33.6</v>
      </c>
      <c r="M3333" s="1" t="str">
        <f t="shared" si="209"/>
        <v/>
      </c>
      <c r="N3333" s="2">
        <f t="shared" si="210"/>
        <v>45839</v>
      </c>
      <c r="O3333" t="str">
        <f t="shared" si="211"/>
        <v>pes</v>
      </c>
    </row>
    <row r="3334" spans="1:15" x14ac:dyDescent="0.25">
      <c r="A3334">
        <v>10840</v>
      </c>
      <c r="B3334" s="11">
        <v>4028899001126</v>
      </c>
      <c r="C3334" s="1" t="s">
        <v>16</v>
      </c>
      <c r="D3334" s="1" t="s">
        <v>12</v>
      </c>
      <c r="E3334" s="1" t="s">
        <v>17</v>
      </c>
      <c r="F3334">
        <v>2.8</v>
      </c>
      <c r="G3334">
        <v>3</v>
      </c>
      <c r="H3334" s="1" t="s">
        <v>14</v>
      </c>
      <c r="I3334" s="1" t="s">
        <v>15</v>
      </c>
      <c r="J3334" s="12">
        <v>45869</v>
      </c>
      <c r="K3334">
        <v>0</v>
      </c>
      <c r="L3334" s="1">
        <f t="shared" si="208"/>
        <v>8.3999999999999986</v>
      </c>
      <c r="M3334" s="1" t="str">
        <f t="shared" si="209"/>
        <v/>
      </c>
      <c r="N3334" s="2">
        <f t="shared" si="210"/>
        <v>45839</v>
      </c>
      <c r="O3334" t="str">
        <f t="shared" si="211"/>
        <v>pes</v>
      </c>
    </row>
    <row r="3335" spans="1:15" hidden="1" x14ac:dyDescent="0.25">
      <c r="A3335">
        <v>10841</v>
      </c>
      <c r="B3335" s="11">
        <v>4010123456783</v>
      </c>
      <c r="C3335" s="1" t="s">
        <v>35</v>
      </c>
      <c r="D3335" s="1" t="s">
        <v>36</v>
      </c>
      <c r="E3335" s="1" t="s">
        <v>37</v>
      </c>
      <c r="F3335">
        <v>14</v>
      </c>
      <c r="G3335">
        <v>1</v>
      </c>
      <c r="H3335" s="1" t="s">
        <v>14</v>
      </c>
      <c r="I3335" s="1" t="s">
        <v>15</v>
      </c>
      <c r="J3335" s="12">
        <v>45869</v>
      </c>
      <c r="K3335">
        <v>0</v>
      </c>
      <c r="L3335" s="1">
        <f t="shared" si="208"/>
        <v>14</v>
      </c>
      <c r="M3335" s="1" t="str">
        <f t="shared" si="209"/>
        <v/>
      </c>
      <c r="N3335" s="2">
        <f t="shared" si="210"/>
        <v>45839</v>
      </c>
      <c r="O3335" t="str">
        <f t="shared" si="211"/>
        <v>mačka</v>
      </c>
    </row>
    <row r="3336" spans="1:15" x14ac:dyDescent="0.25">
      <c r="A3336">
        <v>10842</v>
      </c>
      <c r="B3336" s="11">
        <v>8599988776654</v>
      </c>
      <c r="C3336" s="1" t="s">
        <v>393</v>
      </c>
      <c r="D3336" s="1" t="s">
        <v>133</v>
      </c>
      <c r="E3336" s="1" t="s">
        <v>17</v>
      </c>
      <c r="F3336">
        <v>16.8</v>
      </c>
      <c r="G3336">
        <v>1</v>
      </c>
      <c r="H3336" s="1" t="s">
        <v>23</v>
      </c>
      <c r="I3336" s="1" t="s">
        <v>603</v>
      </c>
      <c r="J3336" s="12">
        <v>45869</v>
      </c>
      <c r="K3336">
        <v>0</v>
      </c>
      <c r="L3336" s="1">
        <f t="shared" si="208"/>
        <v>16.8</v>
      </c>
      <c r="M3336" s="1">
        <f t="shared" si="209"/>
        <v>5</v>
      </c>
      <c r="N3336" s="2">
        <f t="shared" si="210"/>
        <v>45839</v>
      </c>
      <c r="O3336" t="str">
        <f t="shared" si="211"/>
        <v>pes</v>
      </c>
    </row>
    <row r="3337" spans="1:15" x14ac:dyDescent="0.25">
      <c r="A3337">
        <v>10843</v>
      </c>
      <c r="B3337" s="11">
        <v>4017890123450</v>
      </c>
      <c r="C3337" s="1" t="s">
        <v>65</v>
      </c>
      <c r="D3337" s="1" t="s">
        <v>39</v>
      </c>
      <c r="E3337" s="1" t="s">
        <v>22</v>
      </c>
      <c r="F3337">
        <v>7.6</v>
      </c>
      <c r="G3337">
        <v>1</v>
      </c>
      <c r="H3337" s="1" t="s">
        <v>14</v>
      </c>
      <c r="I3337" s="1" t="s">
        <v>15</v>
      </c>
      <c r="J3337" s="12">
        <v>45869</v>
      </c>
      <c r="K3337">
        <v>0</v>
      </c>
      <c r="L3337" s="1">
        <f t="shared" si="208"/>
        <v>7.6</v>
      </c>
      <c r="M3337" s="1" t="str">
        <f t="shared" si="209"/>
        <v/>
      </c>
      <c r="N3337" s="2">
        <f t="shared" si="210"/>
        <v>45839</v>
      </c>
      <c r="O3337" t="str">
        <f t="shared" si="211"/>
        <v>pes</v>
      </c>
    </row>
    <row r="3338" spans="1:15" x14ac:dyDescent="0.25">
      <c r="A3338">
        <v>10844</v>
      </c>
      <c r="B3338" s="11">
        <v>8599988776654</v>
      </c>
      <c r="C3338" s="1" t="s">
        <v>393</v>
      </c>
      <c r="D3338" s="1" t="s">
        <v>133</v>
      </c>
      <c r="E3338" s="1" t="s">
        <v>17</v>
      </c>
      <c r="F3338">
        <v>16.8</v>
      </c>
      <c r="G3338">
        <v>2</v>
      </c>
      <c r="H3338" s="1" t="s">
        <v>14</v>
      </c>
      <c r="I3338" s="1" t="s">
        <v>15</v>
      </c>
      <c r="J3338" s="12">
        <v>45869</v>
      </c>
      <c r="K3338">
        <v>0</v>
      </c>
      <c r="L3338" s="1">
        <f t="shared" si="208"/>
        <v>33.6</v>
      </c>
      <c r="M3338" s="1" t="str">
        <f t="shared" si="209"/>
        <v/>
      </c>
      <c r="N3338" s="2">
        <f t="shared" si="210"/>
        <v>45839</v>
      </c>
      <c r="O3338" t="str">
        <f t="shared" si="211"/>
        <v>pes</v>
      </c>
    </row>
    <row r="3339" spans="1:15" x14ac:dyDescent="0.25">
      <c r="A3339">
        <v>10845</v>
      </c>
      <c r="B3339" s="11">
        <v>4013456789017</v>
      </c>
      <c r="C3339" s="1" t="s">
        <v>11</v>
      </c>
      <c r="D3339" s="1" t="s">
        <v>12</v>
      </c>
      <c r="E3339" s="1" t="s">
        <v>13</v>
      </c>
      <c r="F3339">
        <v>6</v>
      </c>
      <c r="G3339">
        <v>1</v>
      </c>
      <c r="H3339" s="1" t="s">
        <v>18</v>
      </c>
      <c r="I3339" s="1" t="s">
        <v>604</v>
      </c>
      <c r="J3339" s="12">
        <v>45869</v>
      </c>
      <c r="K3339">
        <v>0</v>
      </c>
      <c r="L3339" s="1">
        <f t="shared" si="208"/>
        <v>6</v>
      </c>
      <c r="M3339" s="1">
        <f t="shared" si="209"/>
        <v>4</v>
      </c>
      <c r="N3339" s="2">
        <f t="shared" si="210"/>
        <v>45839</v>
      </c>
      <c r="O3339" t="str">
        <f t="shared" si="211"/>
        <v>pes</v>
      </c>
    </row>
    <row r="3340" spans="1:15" x14ac:dyDescent="0.25">
      <c r="A3340">
        <v>10846</v>
      </c>
      <c r="B3340" s="11">
        <v>8599988776654</v>
      </c>
      <c r="C3340" s="1" t="s">
        <v>393</v>
      </c>
      <c r="D3340" s="1" t="s">
        <v>133</v>
      </c>
      <c r="E3340" s="1" t="s">
        <v>17</v>
      </c>
      <c r="F3340">
        <v>16.8</v>
      </c>
      <c r="G3340">
        <v>1</v>
      </c>
      <c r="H3340" s="1" t="s">
        <v>14</v>
      </c>
      <c r="I3340" s="1" t="s">
        <v>15</v>
      </c>
      <c r="J3340" s="12">
        <v>45869</v>
      </c>
      <c r="K3340">
        <v>0</v>
      </c>
      <c r="L3340" s="1">
        <f t="shared" si="208"/>
        <v>16.8</v>
      </c>
      <c r="M3340" s="1" t="str">
        <f t="shared" si="209"/>
        <v/>
      </c>
      <c r="N3340" s="2">
        <f t="shared" si="210"/>
        <v>45839</v>
      </c>
      <c r="O3340" t="str">
        <f t="shared" si="211"/>
        <v>pes</v>
      </c>
    </row>
    <row r="3341" spans="1:15" hidden="1" x14ac:dyDescent="0.25">
      <c r="A3341">
        <v>10847</v>
      </c>
      <c r="B3341" s="11">
        <v>4010123456783</v>
      </c>
      <c r="C3341" s="1" t="s">
        <v>35</v>
      </c>
      <c r="D3341" s="1" t="s">
        <v>36</v>
      </c>
      <c r="E3341" s="1" t="s">
        <v>37</v>
      </c>
      <c r="F3341">
        <v>14</v>
      </c>
      <c r="G3341">
        <v>1</v>
      </c>
      <c r="H3341" s="1" t="s">
        <v>14</v>
      </c>
      <c r="I3341" s="1" t="s">
        <v>15</v>
      </c>
      <c r="J3341" s="12">
        <v>45869</v>
      </c>
      <c r="K3341">
        <v>0</v>
      </c>
      <c r="L3341" s="1">
        <f t="shared" si="208"/>
        <v>14</v>
      </c>
      <c r="M3341" s="1" t="str">
        <f t="shared" si="209"/>
        <v/>
      </c>
      <c r="N3341" s="2">
        <f t="shared" si="210"/>
        <v>45839</v>
      </c>
      <c r="O3341" t="str">
        <f t="shared" si="211"/>
        <v>mačka</v>
      </c>
    </row>
    <row r="3342" spans="1:15" hidden="1" x14ac:dyDescent="0.25">
      <c r="A3342">
        <v>10848</v>
      </c>
      <c r="B3342" s="11">
        <v>4056789012345</v>
      </c>
      <c r="C3342" s="1" t="s">
        <v>47</v>
      </c>
      <c r="D3342" s="1" t="s">
        <v>29</v>
      </c>
      <c r="E3342" s="1" t="s">
        <v>37</v>
      </c>
      <c r="F3342">
        <v>2.4</v>
      </c>
      <c r="G3342">
        <v>2</v>
      </c>
      <c r="H3342" s="1" t="s">
        <v>23</v>
      </c>
      <c r="I3342" s="1" t="s">
        <v>605</v>
      </c>
      <c r="J3342" s="12">
        <v>45869</v>
      </c>
      <c r="K3342">
        <v>0</v>
      </c>
      <c r="L3342" s="1">
        <f t="shared" si="208"/>
        <v>4.8</v>
      </c>
      <c r="M3342" s="1">
        <f t="shared" si="209"/>
        <v>5</v>
      </c>
      <c r="N3342" s="2">
        <f t="shared" si="210"/>
        <v>45839</v>
      </c>
      <c r="O3342" t="str">
        <f t="shared" si="211"/>
        <v>mačka</v>
      </c>
    </row>
    <row r="3343" spans="1:15" x14ac:dyDescent="0.25">
      <c r="A3343">
        <v>10849</v>
      </c>
      <c r="B3343" s="11">
        <v>8599988776654</v>
      </c>
      <c r="C3343" s="1" t="s">
        <v>393</v>
      </c>
      <c r="D3343" s="1" t="s">
        <v>133</v>
      </c>
      <c r="E3343" s="1" t="s">
        <v>17</v>
      </c>
      <c r="F3343">
        <v>16.8</v>
      </c>
      <c r="G3343">
        <v>1</v>
      </c>
      <c r="H3343" s="1" t="s">
        <v>14</v>
      </c>
      <c r="I3343" s="1" t="s">
        <v>15</v>
      </c>
      <c r="J3343" s="12">
        <v>45869</v>
      </c>
      <c r="K3343">
        <v>0</v>
      </c>
      <c r="L3343" s="1">
        <f t="shared" si="208"/>
        <v>16.8</v>
      </c>
      <c r="M3343" s="1" t="str">
        <f t="shared" si="209"/>
        <v/>
      </c>
      <c r="N3343" s="2">
        <f t="shared" si="210"/>
        <v>45839</v>
      </c>
      <c r="O3343" t="str">
        <f t="shared" si="211"/>
        <v>pes</v>
      </c>
    </row>
    <row r="3344" spans="1:15" x14ac:dyDescent="0.25">
      <c r="A3344">
        <v>10850</v>
      </c>
      <c r="B3344" s="11">
        <v>4027788990013</v>
      </c>
      <c r="C3344" s="1" t="s">
        <v>43</v>
      </c>
      <c r="D3344" s="1" t="s">
        <v>21</v>
      </c>
      <c r="E3344" s="1" t="s">
        <v>22</v>
      </c>
      <c r="F3344">
        <v>8</v>
      </c>
      <c r="G3344">
        <v>1</v>
      </c>
      <c r="H3344" s="1" t="s">
        <v>18</v>
      </c>
      <c r="I3344" s="1" t="s">
        <v>606</v>
      </c>
      <c r="J3344" s="12">
        <v>45869</v>
      </c>
      <c r="K3344">
        <v>0</v>
      </c>
      <c r="L3344" s="1">
        <f t="shared" si="208"/>
        <v>8</v>
      </c>
      <c r="M3344" s="1">
        <f t="shared" si="209"/>
        <v>4</v>
      </c>
      <c r="N3344" s="2">
        <f t="shared" si="210"/>
        <v>45839</v>
      </c>
      <c r="O3344" t="str">
        <f t="shared" si="211"/>
        <v>pes</v>
      </c>
    </row>
    <row r="3345" spans="1:15" x14ac:dyDescent="0.25">
      <c r="A3345">
        <v>10851</v>
      </c>
      <c r="B3345" s="11">
        <v>8599988776654</v>
      </c>
      <c r="C3345" s="1" t="s">
        <v>393</v>
      </c>
      <c r="D3345" s="1" t="s">
        <v>133</v>
      </c>
      <c r="E3345" s="1" t="s">
        <v>17</v>
      </c>
      <c r="F3345">
        <v>16.8</v>
      </c>
      <c r="G3345">
        <v>2</v>
      </c>
      <c r="H3345" s="1" t="s">
        <v>14</v>
      </c>
      <c r="I3345" s="1" t="s">
        <v>15</v>
      </c>
      <c r="J3345" s="12">
        <v>45869</v>
      </c>
      <c r="K3345">
        <v>0</v>
      </c>
      <c r="L3345" s="1">
        <f t="shared" si="208"/>
        <v>33.6</v>
      </c>
      <c r="M3345" s="1" t="str">
        <f t="shared" si="209"/>
        <v/>
      </c>
      <c r="N3345" s="2">
        <f t="shared" si="210"/>
        <v>45839</v>
      </c>
      <c r="O3345" t="str">
        <f t="shared" si="211"/>
        <v>pes</v>
      </c>
    </row>
    <row r="3346" spans="1:15" x14ac:dyDescent="0.25">
      <c r="A3346">
        <v>10852</v>
      </c>
      <c r="B3346" s="11">
        <v>4017890123450</v>
      </c>
      <c r="C3346" s="1" t="s">
        <v>65</v>
      </c>
      <c r="D3346" s="1" t="s">
        <v>39</v>
      </c>
      <c r="E3346" s="1" t="s">
        <v>22</v>
      </c>
      <c r="F3346">
        <v>7.6</v>
      </c>
      <c r="G3346">
        <v>1</v>
      </c>
      <c r="H3346" s="1" t="s">
        <v>14</v>
      </c>
      <c r="I3346" s="1" t="s">
        <v>15</v>
      </c>
      <c r="J3346" s="12">
        <v>45869</v>
      </c>
      <c r="K3346">
        <v>0</v>
      </c>
      <c r="L3346" s="1">
        <f t="shared" si="208"/>
        <v>7.6</v>
      </c>
      <c r="M3346" s="1" t="str">
        <f t="shared" si="209"/>
        <v/>
      </c>
      <c r="N3346" s="2">
        <f t="shared" si="210"/>
        <v>45839</v>
      </c>
      <c r="O3346" t="str">
        <f t="shared" si="211"/>
        <v>pes</v>
      </c>
    </row>
    <row r="3347" spans="1:15" x14ac:dyDescent="0.25">
      <c r="A3347">
        <v>10853</v>
      </c>
      <c r="B3347" s="11">
        <v>8599988776654</v>
      </c>
      <c r="C3347" s="1" t="s">
        <v>393</v>
      </c>
      <c r="D3347" s="1" t="s">
        <v>133</v>
      </c>
      <c r="E3347" s="1" t="s">
        <v>17</v>
      </c>
      <c r="F3347">
        <v>16.8</v>
      </c>
      <c r="G3347">
        <v>1</v>
      </c>
      <c r="H3347" s="1" t="s">
        <v>14</v>
      </c>
      <c r="I3347" s="1" t="s">
        <v>15</v>
      </c>
      <c r="J3347" s="12">
        <v>45869</v>
      </c>
      <c r="K3347">
        <v>0</v>
      </c>
      <c r="L3347" s="1">
        <f t="shared" si="208"/>
        <v>16.8</v>
      </c>
      <c r="M3347" s="1" t="str">
        <f t="shared" si="209"/>
        <v/>
      </c>
      <c r="N3347" s="2">
        <f t="shared" si="210"/>
        <v>45839</v>
      </c>
      <c r="O3347" t="str">
        <f t="shared" si="211"/>
        <v>pes</v>
      </c>
    </row>
    <row r="3348" spans="1:15" hidden="1" x14ac:dyDescent="0.25">
      <c r="A3348">
        <v>10854</v>
      </c>
      <c r="B3348" s="11">
        <v>4010123456783</v>
      </c>
      <c r="C3348" s="1" t="s">
        <v>35</v>
      </c>
      <c r="D3348" s="1" t="s">
        <v>36</v>
      </c>
      <c r="E3348" s="1" t="s">
        <v>37</v>
      </c>
      <c r="F3348">
        <v>14</v>
      </c>
      <c r="G3348">
        <v>1</v>
      </c>
      <c r="H3348" s="1" t="s">
        <v>23</v>
      </c>
      <c r="I3348" s="1" t="s">
        <v>607</v>
      </c>
      <c r="J3348" s="12">
        <v>45869</v>
      </c>
      <c r="K3348">
        <v>0</v>
      </c>
      <c r="L3348" s="1">
        <f t="shared" si="208"/>
        <v>14</v>
      </c>
      <c r="M3348" s="1">
        <f t="shared" si="209"/>
        <v>5</v>
      </c>
      <c r="N3348" s="2">
        <f t="shared" si="210"/>
        <v>45839</v>
      </c>
      <c r="O3348" t="str">
        <f t="shared" si="211"/>
        <v>mačka</v>
      </c>
    </row>
    <row r="3349" spans="1:15" x14ac:dyDescent="0.25">
      <c r="A3349">
        <v>10855</v>
      </c>
      <c r="B3349" s="11">
        <v>8599988776654</v>
      </c>
      <c r="C3349" s="1" t="s">
        <v>393</v>
      </c>
      <c r="D3349" s="1" t="s">
        <v>133</v>
      </c>
      <c r="E3349" s="1" t="s">
        <v>17</v>
      </c>
      <c r="F3349">
        <v>16.8</v>
      </c>
      <c r="G3349">
        <v>1</v>
      </c>
      <c r="H3349" s="1" t="s">
        <v>14</v>
      </c>
      <c r="I3349" s="1" t="s">
        <v>15</v>
      </c>
      <c r="J3349" s="12">
        <v>45869</v>
      </c>
      <c r="K3349">
        <v>0</v>
      </c>
      <c r="L3349" s="1">
        <f t="shared" si="208"/>
        <v>16.8</v>
      </c>
      <c r="M3349" s="1" t="str">
        <f t="shared" si="209"/>
        <v/>
      </c>
      <c r="N3349" s="2">
        <f t="shared" si="210"/>
        <v>45839</v>
      </c>
      <c r="O3349" t="str">
        <f t="shared" si="211"/>
        <v>pes</v>
      </c>
    </row>
    <row r="3350" spans="1:15" x14ac:dyDescent="0.25">
      <c r="A3350">
        <v>10856</v>
      </c>
      <c r="B3350" s="11">
        <v>4028899001126</v>
      </c>
      <c r="C3350" s="1" t="s">
        <v>16</v>
      </c>
      <c r="D3350" s="1" t="s">
        <v>12</v>
      </c>
      <c r="E3350" s="1" t="s">
        <v>17</v>
      </c>
      <c r="F3350">
        <v>2.8</v>
      </c>
      <c r="G3350">
        <v>2</v>
      </c>
      <c r="H3350" s="1" t="s">
        <v>14</v>
      </c>
      <c r="I3350" s="1" t="s">
        <v>15</v>
      </c>
      <c r="J3350" s="12">
        <v>45869</v>
      </c>
      <c r="K3350">
        <v>0</v>
      </c>
      <c r="L3350" s="1">
        <f t="shared" si="208"/>
        <v>5.6</v>
      </c>
      <c r="M3350" s="1" t="str">
        <f t="shared" si="209"/>
        <v/>
      </c>
      <c r="N3350" s="2">
        <f t="shared" si="210"/>
        <v>45839</v>
      </c>
      <c r="O3350" t="str">
        <f t="shared" si="211"/>
        <v>pes</v>
      </c>
    </row>
    <row r="3351" spans="1:15" x14ac:dyDescent="0.25">
      <c r="A3351">
        <v>10857</v>
      </c>
      <c r="B3351" s="11">
        <v>8599988776654</v>
      </c>
      <c r="C3351" s="1" t="s">
        <v>393</v>
      </c>
      <c r="D3351" s="1" t="s">
        <v>133</v>
      </c>
      <c r="E3351" s="1" t="s">
        <v>17</v>
      </c>
      <c r="F3351">
        <v>16.8</v>
      </c>
      <c r="G3351">
        <v>1</v>
      </c>
      <c r="H3351" s="1" t="s">
        <v>23</v>
      </c>
      <c r="I3351" s="1" t="s">
        <v>608</v>
      </c>
      <c r="J3351" s="12">
        <v>45869</v>
      </c>
      <c r="K3351">
        <v>0</v>
      </c>
      <c r="L3351" s="1">
        <f t="shared" si="208"/>
        <v>16.8</v>
      </c>
      <c r="M3351" s="1">
        <f t="shared" si="209"/>
        <v>5</v>
      </c>
      <c r="N3351" s="2">
        <f t="shared" si="210"/>
        <v>45839</v>
      </c>
      <c r="O3351" t="str">
        <f t="shared" si="211"/>
        <v>pes</v>
      </c>
    </row>
    <row r="3352" spans="1:15" x14ac:dyDescent="0.25">
      <c r="A3352">
        <v>10858</v>
      </c>
      <c r="B3352" s="11">
        <v>4013456789017</v>
      </c>
      <c r="C3352" s="1" t="s">
        <v>11</v>
      </c>
      <c r="D3352" s="1" t="s">
        <v>12</v>
      </c>
      <c r="E3352" s="1" t="s">
        <v>13</v>
      </c>
      <c r="F3352">
        <v>6</v>
      </c>
      <c r="G3352">
        <v>1</v>
      </c>
      <c r="H3352" s="1" t="s">
        <v>14</v>
      </c>
      <c r="I3352" s="1" t="s">
        <v>15</v>
      </c>
      <c r="J3352" s="12">
        <v>45869</v>
      </c>
      <c r="K3352">
        <v>0</v>
      </c>
      <c r="L3352" s="1">
        <f t="shared" si="208"/>
        <v>6</v>
      </c>
      <c r="M3352" s="1" t="str">
        <f t="shared" si="209"/>
        <v/>
      </c>
      <c r="N3352" s="2">
        <f t="shared" si="210"/>
        <v>45839</v>
      </c>
      <c r="O3352" t="str">
        <f t="shared" si="211"/>
        <v>pes</v>
      </c>
    </row>
    <row r="3353" spans="1:15" x14ac:dyDescent="0.25">
      <c r="A3353">
        <v>10859</v>
      </c>
      <c r="B3353" s="11">
        <v>8599988776654</v>
      </c>
      <c r="C3353" s="1" t="s">
        <v>393</v>
      </c>
      <c r="D3353" s="1" t="s">
        <v>133</v>
      </c>
      <c r="E3353" s="1" t="s">
        <v>17</v>
      </c>
      <c r="F3353">
        <v>16.8</v>
      </c>
      <c r="G3353">
        <v>1</v>
      </c>
      <c r="H3353" s="1" t="s">
        <v>14</v>
      </c>
      <c r="I3353" s="1" t="s">
        <v>15</v>
      </c>
      <c r="J3353" s="12">
        <v>45869</v>
      </c>
      <c r="K3353">
        <v>0</v>
      </c>
      <c r="L3353" s="1">
        <f t="shared" si="208"/>
        <v>16.8</v>
      </c>
      <c r="M3353" s="1" t="str">
        <f t="shared" si="209"/>
        <v/>
      </c>
      <c r="N3353" s="2">
        <f t="shared" si="210"/>
        <v>45839</v>
      </c>
      <c r="O3353" t="str">
        <f t="shared" si="211"/>
        <v>pes</v>
      </c>
    </row>
    <row r="3354" spans="1:15" hidden="1" x14ac:dyDescent="0.25">
      <c r="A3354">
        <v>10860</v>
      </c>
      <c r="B3354" s="11">
        <v>4010123456783</v>
      </c>
      <c r="C3354" s="1" t="s">
        <v>35</v>
      </c>
      <c r="D3354" s="1" t="s">
        <v>36</v>
      </c>
      <c r="E3354" s="1" t="s">
        <v>37</v>
      </c>
      <c r="F3354">
        <v>14</v>
      </c>
      <c r="G3354">
        <v>1</v>
      </c>
      <c r="H3354" s="1" t="s">
        <v>14</v>
      </c>
      <c r="I3354" s="1" t="s">
        <v>15</v>
      </c>
      <c r="J3354" s="12">
        <v>45869</v>
      </c>
      <c r="K3354">
        <v>0</v>
      </c>
      <c r="L3354" s="1">
        <f t="shared" si="208"/>
        <v>14</v>
      </c>
      <c r="M3354" s="1" t="str">
        <f t="shared" si="209"/>
        <v/>
      </c>
      <c r="N3354" s="2">
        <f t="shared" si="210"/>
        <v>45839</v>
      </c>
      <c r="O3354" t="str">
        <f t="shared" si="211"/>
        <v>mačka</v>
      </c>
    </row>
    <row r="3355" spans="1:15" x14ac:dyDescent="0.25">
      <c r="A3355">
        <v>10861</v>
      </c>
      <c r="B3355" s="11">
        <v>4063456789014</v>
      </c>
      <c r="C3355" s="1" t="s">
        <v>60</v>
      </c>
      <c r="D3355" s="1" t="s">
        <v>12</v>
      </c>
      <c r="E3355" s="1" t="s">
        <v>61</v>
      </c>
      <c r="F3355">
        <v>36</v>
      </c>
      <c r="G3355">
        <v>1</v>
      </c>
      <c r="H3355" s="1" t="s">
        <v>23</v>
      </c>
      <c r="I3355" s="1" t="s">
        <v>609</v>
      </c>
      <c r="J3355" s="12">
        <v>45869</v>
      </c>
      <c r="K3355">
        <v>0</v>
      </c>
      <c r="L3355" s="1">
        <f t="shared" si="208"/>
        <v>36</v>
      </c>
      <c r="M3355" s="1">
        <f t="shared" si="209"/>
        <v>5</v>
      </c>
      <c r="N3355" s="2">
        <f t="shared" si="210"/>
        <v>45839</v>
      </c>
      <c r="O3355" t="str">
        <f t="shared" si="211"/>
        <v>pes</v>
      </c>
    </row>
    <row r="3356" spans="1:15" x14ac:dyDescent="0.25">
      <c r="A3356">
        <v>10862</v>
      </c>
      <c r="B3356" s="11">
        <v>8599988776654</v>
      </c>
      <c r="C3356" s="1" t="s">
        <v>393</v>
      </c>
      <c r="D3356" s="1" t="s">
        <v>133</v>
      </c>
      <c r="E3356" s="1" t="s">
        <v>17</v>
      </c>
      <c r="F3356">
        <v>16.8</v>
      </c>
      <c r="G3356">
        <v>2</v>
      </c>
      <c r="H3356" s="1" t="s">
        <v>14</v>
      </c>
      <c r="I3356" s="1" t="s">
        <v>15</v>
      </c>
      <c r="J3356" s="12">
        <v>45869</v>
      </c>
      <c r="K3356">
        <v>0</v>
      </c>
      <c r="L3356" s="1">
        <f t="shared" si="208"/>
        <v>33.6</v>
      </c>
      <c r="M3356" s="1" t="str">
        <f t="shared" si="209"/>
        <v/>
      </c>
      <c r="N3356" s="2">
        <f t="shared" si="210"/>
        <v>45839</v>
      </c>
      <c r="O3356" t="str">
        <f t="shared" si="211"/>
        <v>pes</v>
      </c>
    </row>
    <row r="3357" spans="1:15" hidden="1" x14ac:dyDescent="0.25">
      <c r="A3357">
        <v>10863</v>
      </c>
      <c r="B3357" s="11">
        <v>4021234567894</v>
      </c>
      <c r="C3357" s="1" t="s">
        <v>79</v>
      </c>
      <c r="D3357" s="1" t="s">
        <v>36</v>
      </c>
      <c r="E3357" s="1" t="s">
        <v>69</v>
      </c>
      <c r="F3357">
        <v>8</v>
      </c>
      <c r="G3357">
        <v>1</v>
      </c>
      <c r="H3357" s="1" t="s">
        <v>14</v>
      </c>
      <c r="I3357" s="1" t="s">
        <v>15</v>
      </c>
      <c r="J3357" s="12">
        <v>45869</v>
      </c>
      <c r="K3357">
        <v>0</v>
      </c>
      <c r="L3357" s="1">
        <f t="shared" si="208"/>
        <v>8</v>
      </c>
      <c r="M3357" s="1" t="str">
        <f t="shared" si="209"/>
        <v/>
      </c>
      <c r="N3357" s="2">
        <f t="shared" si="210"/>
        <v>45839</v>
      </c>
      <c r="O3357" t="str">
        <f t="shared" si="211"/>
        <v>mačka</v>
      </c>
    </row>
    <row r="3358" spans="1:15" x14ac:dyDescent="0.25">
      <c r="A3358">
        <v>10864</v>
      </c>
      <c r="B3358" s="11">
        <v>8599988776654</v>
      </c>
      <c r="C3358" s="1" t="s">
        <v>393</v>
      </c>
      <c r="D3358" s="1" t="s">
        <v>133</v>
      </c>
      <c r="E3358" s="1" t="s">
        <v>17</v>
      </c>
      <c r="F3358">
        <v>16.8</v>
      </c>
      <c r="G3358">
        <v>1</v>
      </c>
      <c r="H3358" s="1" t="s">
        <v>14</v>
      </c>
      <c r="I3358" s="1" t="s">
        <v>15</v>
      </c>
      <c r="J3358" s="12">
        <v>45869</v>
      </c>
      <c r="K3358">
        <v>0</v>
      </c>
      <c r="L3358" s="1">
        <f t="shared" si="208"/>
        <v>16.8</v>
      </c>
      <c r="M3358" s="1" t="str">
        <f t="shared" si="209"/>
        <v/>
      </c>
      <c r="N3358" s="2">
        <f t="shared" si="210"/>
        <v>45839</v>
      </c>
      <c r="O3358" t="str">
        <f t="shared" si="211"/>
        <v>pes</v>
      </c>
    </row>
    <row r="3359" spans="1:15" hidden="1" x14ac:dyDescent="0.25">
      <c r="A3359">
        <v>10865</v>
      </c>
      <c r="B3359" s="11">
        <v>4056789012345</v>
      </c>
      <c r="C3359" s="1" t="s">
        <v>47</v>
      </c>
      <c r="D3359" s="1" t="s">
        <v>29</v>
      </c>
      <c r="E3359" s="1" t="s">
        <v>37</v>
      </c>
      <c r="F3359">
        <v>2.4</v>
      </c>
      <c r="G3359">
        <v>2</v>
      </c>
      <c r="H3359" s="1" t="s">
        <v>18</v>
      </c>
      <c r="I3359" s="1" t="s">
        <v>610</v>
      </c>
      <c r="J3359" s="12">
        <v>45869</v>
      </c>
      <c r="K3359">
        <v>0</v>
      </c>
      <c r="L3359" s="1">
        <f t="shared" si="208"/>
        <v>4.8</v>
      </c>
      <c r="M3359" s="1">
        <f t="shared" si="209"/>
        <v>4</v>
      </c>
      <c r="N3359" s="2">
        <f t="shared" si="210"/>
        <v>45839</v>
      </c>
      <c r="O3359" t="str">
        <f t="shared" si="211"/>
        <v>mačka</v>
      </c>
    </row>
    <row r="3360" spans="1:15" x14ac:dyDescent="0.25">
      <c r="A3360">
        <v>10866</v>
      </c>
      <c r="B3360" s="11">
        <v>8599988776654</v>
      </c>
      <c r="C3360" s="1" t="s">
        <v>393</v>
      </c>
      <c r="D3360" s="1" t="s">
        <v>133</v>
      </c>
      <c r="E3360" s="1" t="s">
        <v>17</v>
      </c>
      <c r="F3360">
        <v>16.8</v>
      </c>
      <c r="G3360">
        <v>1</v>
      </c>
      <c r="H3360" s="1" t="s">
        <v>14</v>
      </c>
      <c r="I3360" s="1" t="s">
        <v>15</v>
      </c>
      <c r="J3360" s="12">
        <v>45869</v>
      </c>
      <c r="K3360">
        <v>0</v>
      </c>
      <c r="L3360" s="1">
        <f t="shared" si="208"/>
        <v>16.8</v>
      </c>
      <c r="M3360" s="1" t="str">
        <f t="shared" si="209"/>
        <v/>
      </c>
      <c r="N3360" s="2">
        <f t="shared" si="210"/>
        <v>45839</v>
      </c>
      <c r="O3360" t="str">
        <f t="shared" si="211"/>
        <v>pes</v>
      </c>
    </row>
    <row r="3361" spans="1:15" x14ac:dyDescent="0.25">
      <c r="A3361">
        <v>10867</v>
      </c>
      <c r="B3361" s="11">
        <v>4013456789017</v>
      </c>
      <c r="C3361" s="1" t="s">
        <v>11</v>
      </c>
      <c r="D3361" s="1" t="s">
        <v>12</v>
      </c>
      <c r="E3361" s="1" t="s">
        <v>13</v>
      </c>
      <c r="F3361">
        <v>6</v>
      </c>
      <c r="G3361">
        <v>1</v>
      </c>
      <c r="H3361" s="1" t="s">
        <v>14</v>
      </c>
      <c r="I3361" s="1" t="s">
        <v>15</v>
      </c>
      <c r="J3361" s="12">
        <v>45869</v>
      </c>
      <c r="K3361">
        <v>0</v>
      </c>
      <c r="L3361" s="1">
        <f t="shared" si="208"/>
        <v>6</v>
      </c>
      <c r="M3361" s="1" t="str">
        <f t="shared" si="209"/>
        <v/>
      </c>
      <c r="N3361" s="2">
        <f t="shared" si="210"/>
        <v>45839</v>
      </c>
      <c r="O3361" t="str">
        <f t="shared" si="211"/>
        <v>pes</v>
      </c>
    </row>
    <row r="3362" spans="1:15" x14ac:dyDescent="0.25">
      <c r="A3362">
        <v>10868</v>
      </c>
      <c r="B3362" s="11">
        <v>8599988776654</v>
      </c>
      <c r="C3362" s="1" t="s">
        <v>393</v>
      </c>
      <c r="D3362" s="1" t="s">
        <v>133</v>
      </c>
      <c r="E3362" s="1" t="s">
        <v>17</v>
      </c>
      <c r="F3362">
        <v>16.8</v>
      </c>
      <c r="G3362">
        <v>2</v>
      </c>
      <c r="H3362" s="1" t="s">
        <v>23</v>
      </c>
      <c r="I3362" s="1" t="s">
        <v>611</v>
      </c>
      <c r="J3362" s="12">
        <v>45869</v>
      </c>
      <c r="K3362">
        <v>0</v>
      </c>
      <c r="L3362" s="1">
        <f t="shared" si="208"/>
        <v>33.6</v>
      </c>
      <c r="M3362" s="1">
        <f t="shared" si="209"/>
        <v>5</v>
      </c>
      <c r="N3362" s="2">
        <f t="shared" si="210"/>
        <v>45839</v>
      </c>
      <c r="O3362" t="str">
        <f t="shared" si="211"/>
        <v>pes</v>
      </c>
    </row>
    <row r="3363" spans="1:15" x14ac:dyDescent="0.25">
      <c r="A3363">
        <v>10869</v>
      </c>
      <c r="B3363" s="11">
        <v>4017890123450</v>
      </c>
      <c r="C3363" s="1" t="s">
        <v>65</v>
      </c>
      <c r="D3363" s="1" t="s">
        <v>39</v>
      </c>
      <c r="E3363" s="1" t="s">
        <v>22</v>
      </c>
      <c r="F3363">
        <v>7.6</v>
      </c>
      <c r="G3363">
        <v>1</v>
      </c>
      <c r="H3363" s="1" t="s">
        <v>14</v>
      </c>
      <c r="I3363" s="1" t="s">
        <v>15</v>
      </c>
      <c r="J3363" s="12">
        <v>45869</v>
      </c>
      <c r="K3363">
        <v>0</v>
      </c>
      <c r="L3363" s="1">
        <f t="shared" si="208"/>
        <v>7.6</v>
      </c>
      <c r="M3363" s="1" t="str">
        <f t="shared" si="209"/>
        <v/>
      </c>
      <c r="N3363" s="2">
        <f t="shared" si="210"/>
        <v>45839</v>
      </c>
      <c r="O3363" t="str">
        <f t="shared" si="211"/>
        <v>pes</v>
      </c>
    </row>
    <row r="3364" spans="1:15" x14ac:dyDescent="0.25">
      <c r="A3364">
        <v>10870</v>
      </c>
      <c r="B3364" s="11">
        <v>8599988776654</v>
      </c>
      <c r="C3364" s="1" t="s">
        <v>393</v>
      </c>
      <c r="D3364" s="1" t="s">
        <v>133</v>
      </c>
      <c r="E3364" s="1" t="s">
        <v>17</v>
      </c>
      <c r="F3364">
        <v>16.8</v>
      </c>
      <c r="G3364">
        <v>1</v>
      </c>
      <c r="H3364" s="1" t="s">
        <v>14</v>
      </c>
      <c r="I3364" s="1" t="s">
        <v>15</v>
      </c>
      <c r="J3364" s="12">
        <v>45869</v>
      </c>
      <c r="K3364">
        <v>0</v>
      </c>
      <c r="L3364" s="1">
        <f t="shared" si="208"/>
        <v>16.8</v>
      </c>
      <c r="M3364" s="1" t="str">
        <f t="shared" si="209"/>
        <v/>
      </c>
      <c r="N3364" s="2">
        <f t="shared" si="210"/>
        <v>45839</v>
      </c>
      <c r="O3364" t="str">
        <f t="shared" si="211"/>
        <v>pes</v>
      </c>
    </row>
    <row r="3365" spans="1:15" hidden="1" x14ac:dyDescent="0.25">
      <c r="A3365">
        <v>10871</v>
      </c>
      <c r="B3365" s="11">
        <v>4010123456783</v>
      </c>
      <c r="C3365" s="1" t="s">
        <v>35</v>
      </c>
      <c r="D3365" s="1" t="s">
        <v>36</v>
      </c>
      <c r="E3365" s="1" t="s">
        <v>37</v>
      </c>
      <c r="F3365">
        <v>14</v>
      </c>
      <c r="G3365">
        <v>1</v>
      </c>
      <c r="H3365" s="1" t="s">
        <v>14</v>
      </c>
      <c r="I3365" s="1" t="s">
        <v>15</v>
      </c>
      <c r="J3365" s="12">
        <v>45869</v>
      </c>
      <c r="K3365">
        <v>0</v>
      </c>
      <c r="L3365" s="1">
        <f t="shared" si="208"/>
        <v>14</v>
      </c>
      <c r="M3365" s="1" t="str">
        <f t="shared" si="209"/>
        <v/>
      </c>
      <c r="N3365" s="2">
        <f t="shared" si="210"/>
        <v>45839</v>
      </c>
      <c r="O3365" t="str">
        <f t="shared" si="211"/>
        <v>mačka</v>
      </c>
    </row>
    <row r="3366" spans="1:15" x14ac:dyDescent="0.25">
      <c r="A3366">
        <v>10872</v>
      </c>
      <c r="B3366" s="11">
        <v>4063456789014</v>
      </c>
      <c r="C3366" s="1" t="s">
        <v>60</v>
      </c>
      <c r="D3366" s="1" t="s">
        <v>12</v>
      </c>
      <c r="E3366" s="1" t="s">
        <v>61</v>
      </c>
      <c r="F3366">
        <v>36</v>
      </c>
      <c r="G3366">
        <v>1</v>
      </c>
      <c r="H3366" s="1" t="s">
        <v>23</v>
      </c>
      <c r="I3366" s="1" t="s">
        <v>612</v>
      </c>
      <c r="J3366" s="12">
        <v>45869</v>
      </c>
      <c r="K3366">
        <v>0</v>
      </c>
      <c r="L3366" s="1">
        <f t="shared" si="208"/>
        <v>36</v>
      </c>
      <c r="M3366" s="1">
        <f t="shared" si="209"/>
        <v>5</v>
      </c>
      <c r="N3366" s="2">
        <f t="shared" si="210"/>
        <v>45839</v>
      </c>
      <c r="O3366" t="str">
        <f t="shared" si="211"/>
        <v>pes</v>
      </c>
    </row>
    <row r="3367" spans="1:15" x14ac:dyDescent="0.25">
      <c r="A3367">
        <v>10873</v>
      </c>
      <c r="B3367" s="11">
        <v>8599988776654</v>
      </c>
      <c r="C3367" s="1" t="s">
        <v>393</v>
      </c>
      <c r="D3367" s="1" t="s">
        <v>133</v>
      </c>
      <c r="E3367" s="1" t="s">
        <v>17</v>
      </c>
      <c r="F3367">
        <v>16.8</v>
      </c>
      <c r="G3367">
        <v>1</v>
      </c>
      <c r="H3367" s="1" t="s">
        <v>14</v>
      </c>
      <c r="I3367" s="1" t="s">
        <v>15</v>
      </c>
      <c r="J3367" s="12">
        <v>45869</v>
      </c>
      <c r="K3367">
        <v>0</v>
      </c>
      <c r="L3367" s="1">
        <f t="shared" si="208"/>
        <v>16.8</v>
      </c>
      <c r="M3367" s="1" t="str">
        <f t="shared" si="209"/>
        <v/>
      </c>
      <c r="N3367" s="2">
        <f t="shared" si="210"/>
        <v>45839</v>
      </c>
      <c r="O3367" t="str">
        <f t="shared" si="211"/>
        <v>pes</v>
      </c>
    </row>
    <row r="3368" spans="1:15" x14ac:dyDescent="0.25">
      <c r="A3368">
        <v>10874</v>
      </c>
      <c r="B3368" s="11">
        <v>4013456789017</v>
      </c>
      <c r="C3368" s="1" t="s">
        <v>11</v>
      </c>
      <c r="D3368" s="1" t="s">
        <v>12</v>
      </c>
      <c r="E3368" s="1" t="s">
        <v>13</v>
      </c>
      <c r="F3368">
        <v>6</v>
      </c>
      <c r="G3368">
        <v>1</v>
      </c>
      <c r="H3368" s="1" t="s">
        <v>18</v>
      </c>
      <c r="I3368" s="1" t="s">
        <v>613</v>
      </c>
      <c r="J3368" s="12">
        <v>45869</v>
      </c>
      <c r="K3368">
        <v>0</v>
      </c>
      <c r="L3368" s="1">
        <f t="shared" si="208"/>
        <v>6</v>
      </c>
      <c r="M3368" s="1">
        <f t="shared" si="209"/>
        <v>4</v>
      </c>
      <c r="N3368" s="2">
        <f t="shared" si="210"/>
        <v>45839</v>
      </c>
      <c r="O3368" t="str">
        <f t="shared" si="211"/>
        <v>pes</v>
      </c>
    </row>
    <row r="3369" spans="1:15" x14ac:dyDescent="0.25">
      <c r="A3369">
        <v>10875</v>
      </c>
      <c r="B3369" s="11">
        <v>8599988776654</v>
      </c>
      <c r="C3369" s="1" t="s">
        <v>393</v>
      </c>
      <c r="D3369" s="1" t="s">
        <v>133</v>
      </c>
      <c r="E3369" s="1" t="s">
        <v>17</v>
      </c>
      <c r="F3369">
        <v>16.8</v>
      </c>
      <c r="G3369">
        <v>2</v>
      </c>
      <c r="H3369" s="1" t="s">
        <v>14</v>
      </c>
      <c r="I3369" s="1" t="s">
        <v>15</v>
      </c>
      <c r="J3369" s="12">
        <v>45869</v>
      </c>
      <c r="K3369">
        <v>0</v>
      </c>
      <c r="L3369" s="1">
        <f t="shared" si="208"/>
        <v>33.6</v>
      </c>
      <c r="M3369" s="1" t="str">
        <f t="shared" si="209"/>
        <v/>
      </c>
      <c r="N3369" s="2">
        <f t="shared" si="210"/>
        <v>45839</v>
      </c>
      <c r="O3369" t="str">
        <f t="shared" si="211"/>
        <v>pes</v>
      </c>
    </row>
    <row r="3370" spans="1:15" x14ac:dyDescent="0.25">
      <c r="A3370">
        <v>10876</v>
      </c>
      <c r="B3370" s="11">
        <v>4017890123450</v>
      </c>
      <c r="C3370" s="1" t="s">
        <v>65</v>
      </c>
      <c r="D3370" s="1" t="s">
        <v>39</v>
      </c>
      <c r="E3370" s="1" t="s">
        <v>22</v>
      </c>
      <c r="F3370">
        <v>7.6</v>
      </c>
      <c r="G3370">
        <v>1</v>
      </c>
      <c r="H3370" s="1" t="s">
        <v>14</v>
      </c>
      <c r="I3370" s="1" t="s">
        <v>15</v>
      </c>
      <c r="J3370" s="12">
        <v>45869</v>
      </c>
      <c r="K3370">
        <v>0</v>
      </c>
      <c r="L3370" s="1">
        <f t="shared" si="208"/>
        <v>7.6</v>
      </c>
      <c r="M3370" s="1" t="str">
        <f t="shared" si="209"/>
        <v/>
      </c>
      <c r="N3370" s="2">
        <f t="shared" si="210"/>
        <v>45839</v>
      </c>
      <c r="O3370" t="str">
        <f t="shared" si="211"/>
        <v>pes</v>
      </c>
    </row>
    <row r="3371" spans="1:15" x14ac:dyDescent="0.25">
      <c r="A3371">
        <v>10877</v>
      </c>
      <c r="B3371" s="11">
        <v>8599988776654</v>
      </c>
      <c r="C3371" s="1" t="s">
        <v>393</v>
      </c>
      <c r="D3371" s="1" t="s">
        <v>133</v>
      </c>
      <c r="E3371" s="1" t="s">
        <v>17</v>
      </c>
      <c r="F3371">
        <v>16.8</v>
      </c>
      <c r="G3371">
        <v>1</v>
      </c>
      <c r="H3371" s="1" t="s">
        <v>14</v>
      </c>
      <c r="I3371" s="1" t="s">
        <v>15</v>
      </c>
      <c r="J3371" s="12">
        <v>45869</v>
      </c>
      <c r="K3371">
        <v>0</v>
      </c>
      <c r="L3371" s="1">
        <f t="shared" si="208"/>
        <v>16.8</v>
      </c>
      <c r="M3371" s="1" t="str">
        <f t="shared" si="209"/>
        <v/>
      </c>
      <c r="N3371" s="2">
        <f t="shared" si="210"/>
        <v>45839</v>
      </c>
      <c r="O3371" t="str">
        <f t="shared" si="211"/>
        <v>pes</v>
      </c>
    </row>
    <row r="3372" spans="1:15" hidden="1" x14ac:dyDescent="0.25">
      <c r="A3372">
        <v>10878</v>
      </c>
      <c r="B3372" s="11">
        <v>4056789012345</v>
      </c>
      <c r="C3372" s="1" t="s">
        <v>47</v>
      </c>
      <c r="D3372" s="1" t="s">
        <v>29</v>
      </c>
      <c r="E3372" s="1" t="s">
        <v>37</v>
      </c>
      <c r="F3372">
        <v>2.4</v>
      </c>
      <c r="G3372">
        <v>2</v>
      </c>
      <c r="H3372" s="1" t="s">
        <v>23</v>
      </c>
      <c r="I3372" s="1" t="s">
        <v>614</v>
      </c>
      <c r="J3372" s="12">
        <v>45869</v>
      </c>
      <c r="K3372">
        <v>0</v>
      </c>
      <c r="L3372" s="1">
        <f t="shared" si="208"/>
        <v>4.8</v>
      </c>
      <c r="M3372" s="1">
        <f t="shared" si="209"/>
        <v>5</v>
      </c>
      <c r="N3372" s="2">
        <f t="shared" si="210"/>
        <v>45839</v>
      </c>
      <c r="O3372" t="str">
        <f t="shared" si="211"/>
        <v>mačka</v>
      </c>
    </row>
    <row r="3373" spans="1:15" x14ac:dyDescent="0.25">
      <c r="A3373">
        <v>10879</v>
      </c>
      <c r="B3373" s="11">
        <v>8599988776654</v>
      </c>
      <c r="C3373" s="1" t="s">
        <v>393</v>
      </c>
      <c r="D3373" s="1" t="s">
        <v>133</v>
      </c>
      <c r="E3373" s="1" t="s">
        <v>17</v>
      </c>
      <c r="F3373">
        <v>16.8</v>
      </c>
      <c r="G3373">
        <v>1</v>
      </c>
      <c r="H3373" s="1" t="s">
        <v>14</v>
      </c>
      <c r="I3373" s="1" t="s">
        <v>15</v>
      </c>
      <c r="J3373" s="12">
        <v>45869</v>
      </c>
      <c r="K3373">
        <v>0</v>
      </c>
      <c r="L3373" s="1">
        <f t="shared" si="208"/>
        <v>16.8</v>
      </c>
      <c r="M3373" s="1" t="str">
        <f t="shared" si="209"/>
        <v/>
      </c>
      <c r="N3373" s="2">
        <f t="shared" si="210"/>
        <v>45839</v>
      </c>
      <c r="O3373" t="str">
        <f t="shared" si="211"/>
        <v>pes</v>
      </c>
    </row>
    <row r="3374" spans="1:15" x14ac:dyDescent="0.25">
      <c r="A3374">
        <v>10880</v>
      </c>
      <c r="B3374" s="11">
        <v>4028899001126</v>
      </c>
      <c r="C3374" s="1" t="s">
        <v>16</v>
      </c>
      <c r="D3374" s="1" t="s">
        <v>12</v>
      </c>
      <c r="E3374" s="1" t="s">
        <v>17</v>
      </c>
      <c r="F3374">
        <v>2.8</v>
      </c>
      <c r="G3374">
        <v>3</v>
      </c>
      <c r="H3374" s="1" t="s">
        <v>14</v>
      </c>
      <c r="I3374" s="1" t="s">
        <v>15</v>
      </c>
      <c r="J3374" s="12">
        <v>45869</v>
      </c>
      <c r="K3374">
        <v>0</v>
      </c>
      <c r="L3374" s="1">
        <f t="shared" si="208"/>
        <v>8.3999999999999986</v>
      </c>
      <c r="M3374" s="1" t="str">
        <f t="shared" si="209"/>
        <v/>
      </c>
      <c r="N3374" s="2">
        <f t="shared" si="210"/>
        <v>45839</v>
      </c>
      <c r="O3374" t="str">
        <f t="shared" si="211"/>
        <v>pes</v>
      </c>
    </row>
    <row r="3375" spans="1:15" x14ac:dyDescent="0.25">
      <c r="A3375">
        <v>10881</v>
      </c>
      <c r="B3375" s="11">
        <v>8599988776654</v>
      </c>
      <c r="C3375" s="1" t="s">
        <v>393</v>
      </c>
      <c r="D3375" s="1" t="s">
        <v>133</v>
      </c>
      <c r="E3375" s="1" t="s">
        <v>17</v>
      </c>
      <c r="F3375">
        <v>16.8</v>
      </c>
      <c r="G3375">
        <v>1</v>
      </c>
      <c r="H3375" s="1" t="s">
        <v>14</v>
      </c>
      <c r="I3375" s="1" t="s">
        <v>15</v>
      </c>
      <c r="J3375" s="12">
        <v>45869</v>
      </c>
      <c r="K3375">
        <v>0</v>
      </c>
      <c r="L3375" s="1">
        <f t="shared" si="208"/>
        <v>16.8</v>
      </c>
      <c r="M3375" s="1" t="str">
        <f t="shared" si="209"/>
        <v/>
      </c>
      <c r="N3375" s="2">
        <f t="shared" si="210"/>
        <v>45839</v>
      </c>
      <c r="O3375" t="str">
        <f t="shared" si="211"/>
        <v>pes</v>
      </c>
    </row>
    <row r="3376" spans="1:15" x14ac:dyDescent="0.25">
      <c r="A3376">
        <v>10882</v>
      </c>
      <c r="B3376" s="11">
        <v>4013456789017</v>
      </c>
      <c r="C3376" s="1" t="s">
        <v>11</v>
      </c>
      <c r="D3376" s="1" t="s">
        <v>12</v>
      </c>
      <c r="E3376" s="1" t="s">
        <v>13</v>
      </c>
      <c r="F3376">
        <v>6</v>
      </c>
      <c r="G3376">
        <v>1</v>
      </c>
      <c r="H3376" s="1" t="s">
        <v>18</v>
      </c>
      <c r="I3376" s="1" t="s">
        <v>186</v>
      </c>
      <c r="J3376" s="12">
        <v>45869</v>
      </c>
      <c r="K3376">
        <v>0</v>
      </c>
      <c r="L3376" s="1">
        <f t="shared" si="208"/>
        <v>6</v>
      </c>
      <c r="M3376" s="1">
        <f t="shared" si="209"/>
        <v>4</v>
      </c>
      <c r="N3376" s="2">
        <f t="shared" si="210"/>
        <v>45839</v>
      </c>
      <c r="O3376" t="str">
        <f t="shared" si="211"/>
        <v>pes</v>
      </c>
    </row>
    <row r="3377" spans="1:15" x14ac:dyDescent="0.25">
      <c r="A3377">
        <v>10883</v>
      </c>
      <c r="B3377" s="11">
        <v>8599988776654</v>
      </c>
      <c r="C3377" s="1" t="s">
        <v>393</v>
      </c>
      <c r="D3377" s="1" t="s">
        <v>133</v>
      </c>
      <c r="E3377" s="1" t="s">
        <v>17</v>
      </c>
      <c r="F3377">
        <v>16.8</v>
      </c>
      <c r="G3377">
        <v>1</v>
      </c>
      <c r="H3377" s="1" t="s">
        <v>14</v>
      </c>
      <c r="I3377" s="1" t="s">
        <v>15</v>
      </c>
      <c r="J3377" s="12">
        <v>45869</v>
      </c>
      <c r="K3377">
        <v>0</v>
      </c>
      <c r="L3377" s="1">
        <f t="shared" si="208"/>
        <v>16.8</v>
      </c>
      <c r="M3377" s="1" t="str">
        <f t="shared" si="209"/>
        <v/>
      </c>
      <c r="N3377" s="2">
        <f t="shared" si="210"/>
        <v>45839</v>
      </c>
      <c r="O3377" t="str">
        <f t="shared" si="211"/>
        <v>pes</v>
      </c>
    </row>
    <row r="3378" spans="1:15" hidden="1" x14ac:dyDescent="0.25">
      <c r="A3378">
        <v>10884</v>
      </c>
      <c r="B3378" s="11">
        <v>4010123456783</v>
      </c>
      <c r="C3378" s="1" t="s">
        <v>35</v>
      </c>
      <c r="D3378" s="1" t="s">
        <v>36</v>
      </c>
      <c r="E3378" s="1" t="s">
        <v>37</v>
      </c>
      <c r="F3378">
        <v>14</v>
      </c>
      <c r="G3378">
        <v>1</v>
      </c>
      <c r="H3378" s="1" t="s">
        <v>14</v>
      </c>
      <c r="I3378" s="1" t="s">
        <v>15</v>
      </c>
      <c r="J3378" s="12">
        <v>45869</v>
      </c>
      <c r="K3378">
        <v>0</v>
      </c>
      <c r="L3378" s="1">
        <f t="shared" si="208"/>
        <v>14</v>
      </c>
      <c r="M3378" s="1" t="str">
        <f t="shared" si="209"/>
        <v/>
      </c>
      <c r="N3378" s="2">
        <f t="shared" si="210"/>
        <v>45839</v>
      </c>
      <c r="O3378" t="str">
        <f t="shared" si="211"/>
        <v>mačka</v>
      </c>
    </row>
    <row r="3379" spans="1:15" x14ac:dyDescent="0.25">
      <c r="A3379">
        <v>10885</v>
      </c>
      <c r="B3379" s="11">
        <v>4063456789014</v>
      </c>
      <c r="C3379" s="1" t="s">
        <v>60</v>
      </c>
      <c r="D3379" s="1" t="s">
        <v>12</v>
      </c>
      <c r="E3379" s="1" t="s">
        <v>61</v>
      </c>
      <c r="F3379">
        <v>36</v>
      </c>
      <c r="G3379">
        <v>1</v>
      </c>
      <c r="H3379" s="1" t="s">
        <v>23</v>
      </c>
      <c r="I3379" s="1" t="s">
        <v>615</v>
      </c>
      <c r="J3379" s="12">
        <v>45869</v>
      </c>
      <c r="K3379">
        <v>0</v>
      </c>
      <c r="L3379" s="1">
        <f t="shared" si="208"/>
        <v>36</v>
      </c>
      <c r="M3379" s="1">
        <f t="shared" si="209"/>
        <v>5</v>
      </c>
      <c r="N3379" s="2">
        <f t="shared" si="210"/>
        <v>45839</v>
      </c>
      <c r="O3379" t="str">
        <f t="shared" si="211"/>
        <v>pes</v>
      </c>
    </row>
    <row r="3380" spans="1:15" x14ac:dyDescent="0.25">
      <c r="A3380">
        <v>10886</v>
      </c>
      <c r="B3380" s="11">
        <v>8599988776654</v>
      </c>
      <c r="C3380" s="1" t="s">
        <v>393</v>
      </c>
      <c r="D3380" s="1" t="s">
        <v>133</v>
      </c>
      <c r="E3380" s="1" t="s">
        <v>17</v>
      </c>
      <c r="F3380">
        <v>16.8</v>
      </c>
      <c r="G3380">
        <v>2</v>
      </c>
      <c r="H3380" s="1" t="s">
        <v>14</v>
      </c>
      <c r="I3380" s="1" t="s">
        <v>15</v>
      </c>
      <c r="J3380" s="12">
        <v>45869</v>
      </c>
      <c r="K3380">
        <v>0</v>
      </c>
      <c r="L3380" s="1">
        <f t="shared" si="208"/>
        <v>33.6</v>
      </c>
      <c r="M3380" s="1" t="str">
        <f t="shared" si="209"/>
        <v/>
      </c>
      <c r="N3380" s="2">
        <f t="shared" si="210"/>
        <v>45839</v>
      </c>
      <c r="O3380" t="str">
        <f t="shared" si="211"/>
        <v>pes</v>
      </c>
    </row>
    <row r="3381" spans="1:15" x14ac:dyDescent="0.25">
      <c r="A3381">
        <v>10887</v>
      </c>
      <c r="B3381" s="11">
        <v>4027788990013</v>
      </c>
      <c r="C3381" s="1" t="s">
        <v>43</v>
      </c>
      <c r="D3381" s="1" t="s">
        <v>21</v>
      </c>
      <c r="E3381" s="1" t="s">
        <v>22</v>
      </c>
      <c r="F3381">
        <v>8</v>
      </c>
      <c r="G3381">
        <v>1</v>
      </c>
      <c r="H3381" s="1" t="s">
        <v>18</v>
      </c>
      <c r="I3381" s="1" t="s">
        <v>616</v>
      </c>
      <c r="J3381" s="12">
        <v>45869</v>
      </c>
      <c r="K3381">
        <v>0</v>
      </c>
      <c r="L3381" s="1">
        <f t="shared" si="208"/>
        <v>8</v>
      </c>
      <c r="M3381" s="1">
        <f t="shared" si="209"/>
        <v>4</v>
      </c>
      <c r="N3381" s="2">
        <f t="shared" si="210"/>
        <v>45839</v>
      </c>
      <c r="O3381" t="str">
        <f t="shared" si="211"/>
        <v>pes</v>
      </c>
    </row>
    <row r="3382" spans="1:15" x14ac:dyDescent="0.25">
      <c r="A3382">
        <v>10888</v>
      </c>
      <c r="B3382" s="11">
        <v>8599988776654</v>
      </c>
      <c r="C3382" s="1" t="s">
        <v>393</v>
      </c>
      <c r="D3382" s="1" t="s">
        <v>133</v>
      </c>
      <c r="E3382" s="1" t="s">
        <v>17</v>
      </c>
      <c r="F3382">
        <v>16.8</v>
      </c>
      <c r="G3382">
        <v>1</v>
      </c>
      <c r="H3382" s="1" t="s">
        <v>14</v>
      </c>
      <c r="I3382" s="1" t="s">
        <v>15</v>
      </c>
      <c r="J3382" s="12">
        <v>45869</v>
      </c>
      <c r="K3382">
        <v>0</v>
      </c>
      <c r="L3382" s="1">
        <f t="shared" si="208"/>
        <v>16.8</v>
      </c>
      <c r="M3382" s="1" t="str">
        <f t="shared" si="209"/>
        <v/>
      </c>
      <c r="N3382" s="2">
        <f t="shared" si="210"/>
        <v>45839</v>
      </c>
      <c r="O3382" t="str">
        <f t="shared" si="211"/>
        <v>pes</v>
      </c>
    </row>
    <row r="3383" spans="1:15" x14ac:dyDescent="0.25">
      <c r="A3383">
        <v>10889</v>
      </c>
      <c r="B3383" s="11">
        <v>4017890123450</v>
      </c>
      <c r="C3383" s="1" t="s">
        <v>65</v>
      </c>
      <c r="D3383" s="1" t="s">
        <v>39</v>
      </c>
      <c r="E3383" s="1" t="s">
        <v>22</v>
      </c>
      <c r="F3383">
        <v>7.6</v>
      </c>
      <c r="G3383">
        <v>1</v>
      </c>
      <c r="H3383" s="1" t="s">
        <v>14</v>
      </c>
      <c r="I3383" s="1" t="s">
        <v>15</v>
      </c>
      <c r="J3383" s="12">
        <v>45869</v>
      </c>
      <c r="K3383">
        <v>0</v>
      </c>
      <c r="L3383" s="1">
        <f t="shared" si="208"/>
        <v>7.6</v>
      </c>
      <c r="M3383" s="1" t="str">
        <f t="shared" si="209"/>
        <v/>
      </c>
      <c r="N3383" s="2">
        <f t="shared" si="210"/>
        <v>45839</v>
      </c>
      <c r="O3383" t="str">
        <f t="shared" si="211"/>
        <v>pes</v>
      </c>
    </row>
    <row r="3384" spans="1:15" x14ac:dyDescent="0.25">
      <c r="A3384">
        <v>10890</v>
      </c>
      <c r="B3384" s="11">
        <v>8599988776654</v>
      </c>
      <c r="C3384" s="1" t="s">
        <v>393</v>
      </c>
      <c r="D3384" s="1" t="s">
        <v>133</v>
      </c>
      <c r="E3384" s="1" t="s">
        <v>17</v>
      </c>
      <c r="F3384">
        <v>16.8</v>
      </c>
      <c r="G3384">
        <v>2</v>
      </c>
      <c r="H3384" s="1" t="s">
        <v>23</v>
      </c>
      <c r="I3384" s="1" t="s">
        <v>617</v>
      </c>
      <c r="J3384" s="12">
        <v>45869</v>
      </c>
      <c r="K3384">
        <v>0</v>
      </c>
      <c r="L3384" s="1">
        <f t="shared" si="208"/>
        <v>33.6</v>
      </c>
      <c r="M3384" s="1">
        <f t="shared" si="209"/>
        <v>5</v>
      </c>
      <c r="N3384" s="2">
        <f t="shared" si="210"/>
        <v>45839</v>
      </c>
      <c r="O3384" t="str">
        <f t="shared" si="211"/>
        <v>pes</v>
      </c>
    </row>
    <row r="3385" spans="1:15" x14ac:dyDescent="0.25">
      <c r="A3385">
        <v>10891</v>
      </c>
      <c r="B3385" s="11">
        <v>4013456789017</v>
      </c>
      <c r="C3385" s="1" t="s">
        <v>11</v>
      </c>
      <c r="D3385" s="1" t="s">
        <v>12</v>
      </c>
      <c r="E3385" s="1" t="s">
        <v>13</v>
      </c>
      <c r="F3385">
        <v>6</v>
      </c>
      <c r="G3385">
        <v>1</v>
      </c>
      <c r="H3385" s="1" t="s">
        <v>14</v>
      </c>
      <c r="I3385" s="1" t="s">
        <v>15</v>
      </c>
      <c r="J3385" s="12">
        <v>45869</v>
      </c>
      <c r="K3385">
        <v>0</v>
      </c>
      <c r="L3385" s="1">
        <f t="shared" si="208"/>
        <v>6</v>
      </c>
      <c r="M3385" s="1" t="str">
        <f t="shared" si="209"/>
        <v/>
      </c>
      <c r="N3385" s="2">
        <f t="shared" si="210"/>
        <v>45839</v>
      </c>
      <c r="O3385" t="str">
        <f t="shared" si="211"/>
        <v>pes</v>
      </c>
    </row>
    <row r="3386" spans="1:15" x14ac:dyDescent="0.25">
      <c r="A3386">
        <v>10892</v>
      </c>
      <c r="B3386" s="11">
        <v>8599988776654</v>
      </c>
      <c r="C3386" s="1" t="s">
        <v>393</v>
      </c>
      <c r="D3386" s="1" t="s">
        <v>133</v>
      </c>
      <c r="E3386" s="1" t="s">
        <v>17</v>
      </c>
      <c r="F3386">
        <v>16.8</v>
      </c>
      <c r="G3386">
        <v>1</v>
      </c>
      <c r="H3386" s="1" t="s">
        <v>14</v>
      </c>
      <c r="I3386" s="1" t="s">
        <v>15</v>
      </c>
      <c r="J3386" s="12">
        <v>45869</v>
      </c>
      <c r="K3386">
        <v>0</v>
      </c>
      <c r="L3386" s="1">
        <f t="shared" si="208"/>
        <v>16.8</v>
      </c>
      <c r="M3386" s="1" t="str">
        <f t="shared" si="209"/>
        <v/>
      </c>
      <c r="N3386" s="2">
        <f t="shared" si="210"/>
        <v>45839</v>
      </c>
      <c r="O3386" t="str">
        <f t="shared" si="211"/>
        <v>pes</v>
      </c>
    </row>
    <row r="3387" spans="1:15" hidden="1" x14ac:dyDescent="0.25">
      <c r="A3387">
        <v>10893</v>
      </c>
      <c r="B3387" s="11">
        <v>4010123456783</v>
      </c>
      <c r="C3387" s="1" t="s">
        <v>35</v>
      </c>
      <c r="D3387" s="1" t="s">
        <v>36</v>
      </c>
      <c r="E3387" s="1" t="s">
        <v>37</v>
      </c>
      <c r="F3387">
        <v>14</v>
      </c>
      <c r="G3387">
        <v>1</v>
      </c>
      <c r="H3387" s="1" t="s">
        <v>14</v>
      </c>
      <c r="I3387" s="1" t="s">
        <v>15</v>
      </c>
      <c r="J3387" s="12">
        <v>45869</v>
      </c>
      <c r="K3387">
        <v>0</v>
      </c>
      <c r="L3387" s="1">
        <f t="shared" si="208"/>
        <v>14</v>
      </c>
      <c r="M3387" s="1" t="str">
        <f t="shared" si="209"/>
        <v/>
      </c>
      <c r="N3387" s="2">
        <f t="shared" si="210"/>
        <v>45839</v>
      </c>
      <c r="O3387" t="str">
        <f t="shared" si="211"/>
        <v>mačka</v>
      </c>
    </row>
    <row r="3388" spans="1:15" x14ac:dyDescent="0.25">
      <c r="A3388">
        <v>10894</v>
      </c>
      <c r="B3388" s="11">
        <v>4063456789014</v>
      </c>
      <c r="C3388" s="1" t="s">
        <v>60</v>
      </c>
      <c r="D3388" s="1" t="s">
        <v>12</v>
      </c>
      <c r="E3388" s="1" t="s">
        <v>61</v>
      </c>
      <c r="F3388">
        <v>36</v>
      </c>
      <c r="G3388">
        <v>1</v>
      </c>
      <c r="H3388" s="1" t="s">
        <v>18</v>
      </c>
      <c r="I3388" s="1" t="s">
        <v>618</v>
      </c>
      <c r="J3388" s="12">
        <v>45869</v>
      </c>
      <c r="K3388">
        <v>0</v>
      </c>
      <c r="L3388" s="1">
        <f t="shared" si="208"/>
        <v>36</v>
      </c>
      <c r="M3388" s="1">
        <f t="shared" si="209"/>
        <v>4</v>
      </c>
      <c r="N3388" s="2">
        <f t="shared" si="210"/>
        <v>45839</v>
      </c>
      <c r="O3388" t="str">
        <f t="shared" si="211"/>
        <v>pes</v>
      </c>
    </row>
    <row r="3389" spans="1:15" x14ac:dyDescent="0.25">
      <c r="A3389">
        <v>10895</v>
      </c>
      <c r="B3389" s="11">
        <v>8599988776654</v>
      </c>
      <c r="C3389" s="1" t="s">
        <v>393</v>
      </c>
      <c r="D3389" s="1" t="s">
        <v>133</v>
      </c>
      <c r="E3389" s="1" t="s">
        <v>17</v>
      </c>
      <c r="F3389">
        <v>16.8</v>
      </c>
      <c r="G3389">
        <v>1</v>
      </c>
      <c r="H3389" s="1" t="s">
        <v>14</v>
      </c>
      <c r="I3389" s="1" t="s">
        <v>15</v>
      </c>
      <c r="J3389" s="12">
        <v>45869</v>
      </c>
      <c r="K3389">
        <v>0</v>
      </c>
      <c r="L3389" s="1">
        <f t="shared" si="208"/>
        <v>16.8</v>
      </c>
      <c r="M3389" s="1" t="str">
        <f t="shared" si="209"/>
        <v/>
      </c>
      <c r="N3389" s="2">
        <f t="shared" si="210"/>
        <v>45839</v>
      </c>
      <c r="O3389" t="str">
        <f t="shared" si="211"/>
        <v>pes</v>
      </c>
    </row>
    <row r="3390" spans="1:15" x14ac:dyDescent="0.25">
      <c r="A3390">
        <v>10896</v>
      </c>
      <c r="B3390" s="11">
        <v>4028899001126</v>
      </c>
      <c r="C3390" s="1" t="s">
        <v>16</v>
      </c>
      <c r="D3390" s="1" t="s">
        <v>12</v>
      </c>
      <c r="E3390" s="1" t="s">
        <v>17</v>
      </c>
      <c r="F3390">
        <v>2.8</v>
      </c>
      <c r="G3390">
        <v>2</v>
      </c>
      <c r="H3390" s="1" t="s">
        <v>14</v>
      </c>
      <c r="I3390" s="1" t="s">
        <v>15</v>
      </c>
      <c r="J3390" s="12">
        <v>45869</v>
      </c>
      <c r="K3390">
        <v>0</v>
      </c>
      <c r="L3390" s="1">
        <f t="shared" si="208"/>
        <v>5.6</v>
      </c>
      <c r="M3390" s="1" t="str">
        <f t="shared" si="209"/>
        <v/>
      </c>
      <c r="N3390" s="2">
        <f t="shared" si="210"/>
        <v>45839</v>
      </c>
      <c r="O3390" t="str">
        <f t="shared" si="211"/>
        <v>pes</v>
      </c>
    </row>
    <row r="3391" spans="1:15" x14ac:dyDescent="0.25">
      <c r="A3391">
        <v>10897</v>
      </c>
      <c r="B3391" s="11">
        <v>8599988776654</v>
      </c>
      <c r="C3391" s="1" t="s">
        <v>393</v>
      </c>
      <c r="D3391" s="1" t="s">
        <v>133</v>
      </c>
      <c r="E3391" s="1" t="s">
        <v>17</v>
      </c>
      <c r="F3391">
        <v>16.8</v>
      </c>
      <c r="G3391">
        <v>2</v>
      </c>
      <c r="H3391" s="1" t="s">
        <v>23</v>
      </c>
      <c r="I3391" s="1" t="s">
        <v>619</v>
      </c>
      <c r="J3391" s="12">
        <v>45869</v>
      </c>
      <c r="K3391">
        <v>0</v>
      </c>
      <c r="L3391" s="1">
        <f t="shared" si="208"/>
        <v>33.6</v>
      </c>
      <c r="M3391" s="1">
        <f t="shared" si="209"/>
        <v>5</v>
      </c>
      <c r="N3391" s="2">
        <f t="shared" si="210"/>
        <v>45839</v>
      </c>
      <c r="O3391" t="str">
        <f t="shared" si="211"/>
        <v>pes</v>
      </c>
    </row>
    <row r="3392" spans="1:15" x14ac:dyDescent="0.25">
      <c r="A3392">
        <v>10898</v>
      </c>
      <c r="B3392" s="11">
        <v>4017890123450</v>
      </c>
      <c r="C3392" s="1" t="s">
        <v>65</v>
      </c>
      <c r="D3392" s="1" t="s">
        <v>39</v>
      </c>
      <c r="E3392" s="1" t="s">
        <v>22</v>
      </c>
      <c r="F3392">
        <v>7.6</v>
      </c>
      <c r="G3392">
        <v>1</v>
      </c>
      <c r="H3392" s="1" t="s">
        <v>14</v>
      </c>
      <c r="I3392" s="1" t="s">
        <v>15</v>
      </c>
      <c r="J3392" s="12">
        <v>45869</v>
      </c>
      <c r="K3392">
        <v>0</v>
      </c>
      <c r="L3392" s="1">
        <f t="shared" si="208"/>
        <v>7.6</v>
      </c>
      <c r="M3392" s="1" t="str">
        <f t="shared" si="209"/>
        <v/>
      </c>
      <c r="N3392" s="2">
        <f t="shared" si="210"/>
        <v>45839</v>
      </c>
      <c r="O3392" t="str">
        <f t="shared" si="211"/>
        <v>pes</v>
      </c>
    </row>
    <row r="3393" spans="1:15" x14ac:dyDescent="0.25">
      <c r="A3393">
        <v>10899</v>
      </c>
      <c r="B3393" s="11">
        <v>8599988776654</v>
      </c>
      <c r="C3393" s="1" t="s">
        <v>393</v>
      </c>
      <c r="D3393" s="1" t="s">
        <v>133</v>
      </c>
      <c r="E3393" s="1" t="s">
        <v>17</v>
      </c>
      <c r="F3393">
        <v>16.8</v>
      </c>
      <c r="G3393">
        <v>1</v>
      </c>
      <c r="H3393" s="1" t="s">
        <v>14</v>
      </c>
      <c r="I3393" s="1" t="s">
        <v>15</v>
      </c>
      <c r="J3393" s="12">
        <v>45869</v>
      </c>
      <c r="K3393">
        <v>0</v>
      </c>
      <c r="L3393" s="1">
        <f t="shared" si="208"/>
        <v>16.8</v>
      </c>
      <c r="M3393" s="1" t="str">
        <f t="shared" si="209"/>
        <v/>
      </c>
      <c r="N3393" s="2">
        <f t="shared" si="210"/>
        <v>45839</v>
      </c>
      <c r="O3393" t="str">
        <f t="shared" si="211"/>
        <v>pes</v>
      </c>
    </row>
    <row r="3394" spans="1:15" hidden="1" x14ac:dyDescent="0.25">
      <c r="A3394">
        <v>10900</v>
      </c>
      <c r="B3394" s="11">
        <v>4056789012345</v>
      </c>
      <c r="C3394" s="1" t="s">
        <v>47</v>
      </c>
      <c r="D3394" s="1" t="s">
        <v>29</v>
      </c>
      <c r="E3394" s="1" t="s">
        <v>37</v>
      </c>
      <c r="F3394">
        <v>2.4</v>
      </c>
      <c r="G3394">
        <v>2</v>
      </c>
      <c r="H3394" s="1" t="s">
        <v>14</v>
      </c>
      <c r="I3394" s="1" t="s">
        <v>15</v>
      </c>
      <c r="J3394" s="12">
        <v>45869</v>
      </c>
      <c r="K3394">
        <v>0</v>
      </c>
      <c r="L3394" s="1">
        <f t="shared" ref="L3394:L3457" si="212">F3394*G3394</f>
        <v>4.8</v>
      </c>
      <c r="M3394" s="1" t="str">
        <f t="shared" ref="M3394:M3457" si="213">IF(H3394="NULL", "",VALUE(H3394))</f>
        <v/>
      </c>
      <c r="N3394" s="2">
        <f t="shared" ref="N3394:N3457" si="214">DATE(YEAR(J3394),MONTH(J3394),1)</f>
        <v>45839</v>
      </c>
      <c r="O3394" t="str">
        <f t="shared" ref="O3394:O3457" si="215">IF(ISNUMBER(SEARCH("Mačky",D3394)),"mačka",IF(ISNUMBER(SEARCH("Psy",D3394)),"pes","iné"))</f>
        <v>mačka</v>
      </c>
    </row>
    <row r="3395" spans="1:15" x14ac:dyDescent="0.25">
      <c r="A3395">
        <v>10901</v>
      </c>
      <c r="B3395" s="11">
        <v>8599988776654</v>
      </c>
      <c r="C3395" s="1" t="s">
        <v>393</v>
      </c>
      <c r="D3395" s="1" t="s">
        <v>133</v>
      </c>
      <c r="E3395" s="1" t="s">
        <v>17</v>
      </c>
      <c r="F3395">
        <v>16.8</v>
      </c>
      <c r="G3395">
        <v>1</v>
      </c>
      <c r="H3395" s="1" t="s">
        <v>23</v>
      </c>
      <c r="I3395" s="1" t="s">
        <v>620</v>
      </c>
      <c r="J3395" s="12">
        <v>45869</v>
      </c>
      <c r="K3395">
        <v>0</v>
      </c>
      <c r="L3395" s="1">
        <f t="shared" si="212"/>
        <v>16.8</v>
      </c>
      <c r="M3395" s="1">
        <f t="shared" si="213"/>
        <v>5</v>
      </c>
      <c r="N3395" s="2">
        <f t="shared" si="214"/>
        <v>45839</v>
      </c>
      <c r="O3395" t="str">
        <f t="shared" si="215"/>
        <v>pes</v>
      </c>
    </row>
    <row r="3396" spans="1:15" x14ac:dyDescent="0.25">
      <c r="A3396">
        <v>10902</v>
      </c>
      <c r="B3396" s="11">
        <v>4013456789017</v>
      </c>
      <c r="C3396" s="1" t="s">
        <v>11</v>
      </c>
      <c r="D3396" s="1" t="s">
        <v>12</v>
      </c>
      <c r="E3396" s="1" t="s">
        <v>13</v>
      </c>
      <c r="F3396">
        <v>6</v>
      </c>
      <c r="G3396">
        <v>1</v>
      </c>
      <c r="H3396" s="1" t="s">
        <v>14</v>
      </c>
      <c r="I3396" s="1" t="s">
        <v>15</v>
      </c>
      <c r="J3396" s="12">
        <v>45869</v>
      </c>
      <c r="K3396">
        <v>0</v>
      </c>
      <c r="L3396" s="1">
        <f t="shared" si="212"/>
        <v>6</v>
      </c>
      <c r="M3396" s="1" t="str">
        <f t="shared" si="213"/>
        <v/>
      </c>
      <c r="N3396" s="2">
        <f t="shared" si="214"/>
        <v>45839</v>
      </c>
      <c r="O3396" t="str">
        <f t="shared" si="215"/>
        <v>pes</v>
      </c>
    </row>
    <row r="3397" spans="1:15" x14ac:dyDescent="0.25">
      <c r="A3397">
        <v>10903</v>
      </c>
      <c r="B3397" s="11">
        <v>8599988776654</v>
      </c>
      <c r="C3397" s="1" t="s">
        <v>393</v>
      </c>
      <c r="D3397" s="1" t="s">
        <v>133</v>
      </c>
      <c r="E3397" s="1" t="s">
        <v>17</v>
      </c>
      <c r="F3397">
        <v>16.8</v>
      </c>
      <c r="G3397">
        <v>1</v>
      </c>
      <c r="H3397" s="1" t="s">
        <v>14</v>
      </c>
      <c r="I3397" s="1" t="s">
        <v>15</v>
      </c>
      <c r="J3397" s="12">
        <v>45869</v>
      </c>
      <c r="K3397">
        <v>0</v>
      </c>
      <c r="L3397" s="1">
        <f t="shared" si="212"/>
        <v>16.8</v>
      </c>
      <c r="M3397" s="1" t="str">
        <f t="shared" si="213"/>
        <v/>
      </c>
      <c r="N3397" s="2">
        <f t="shared" si="214"/>
        <v>45839</v>
      </c>
      <c r="O3397" t="str">
        <f t="shared" si="215"/>
        <v>pes</v>
      </c>
    </row>
    <row r="3398" spans="1:15" hidden="1" x14ac:dyDescent="0.25">
      <c r="A3398">
        <v>10904</v>
      </c>
      <c r="B3398" s="11">
        <v>4010123456783</v>
      </c>
      <c r="C3398" s="1" t="s">
        <v>35</v>
      </c>
      <c r="D3398" s="1" t="s">
        <v>36</v>
      </c>
      <c r="E3398" s="1" t="s">
        <v>37</v>
      </c>
      <c r="F3398">
        <v>14</v>
      </c>
      <c r="G3398">
        <v>1</v>
      </c>
      <c r="H3398" s="1" t="s">
        <v>23</v>
      </c>
      <c r="I3398" s="1" t="s">
        <v>621</v>
      </c>
      <c r="J3398" s="12">
        <v>45869</v>
      </c>
      <c r="K3398">
        <v>0</v>
      </c>
      <c r="L3398" s="1">
        <f t="shared" si="212"/>
        <v>14</v>
      </c>
      <c r="M3398" s="1">
        <f t="shared" si="213"/>
        <v>5</v>
      </c>
      <c r="N3398" s="2">
        <f t="shared" si="214"/>
        <v>45839</v>
      </c>
      <c r="O3398" t="str">
        <f t="shared" si="215"/>
        <v>mačka</v>
      </c>
    </row>
    <row r="3399" spans="1:15" x14ac:dyDescent="0.25">
      <c r="A3399">
        <v>10905</v>
      </c>
      <c r="B3399" s="11">
        <v>8599988776654</v>
      </c>
      <c r="C3399" s="1" t="s">
        <v>393</v>
      </c>
      <c r="D3399" s="1" t="s">
        <v>133</v>
      </c>
      <c r="E3399" s="1" t="s">
        <v>17</v>
      </c>
      <c r="F3399">
        <v>16.8</v>
      </c>
      <c r="G3399">
        <v>2</v>
      </c>
      <c r="H3399" s="1" t="s">
        <v>14</v>
      </c>
      <c r="I3399" s="1" t="s">
        <v>15</v>
      </c>
      <c r="J3399" s="12">
        <v>45869</v>
      </c>
      <c r="K3399">
        <v>0</v>
      </c>
      <c r="L3399" s="1">
        <f t="shared" si="212"/>
        <v>33.6</v>
      </c>
      <c r="M3399" s="1" t="str">
        <f t="shared" si="213"/>
        <v/>
      </c>
      <c r="N3399" s="2">
        <f t="shared" si="214"/>
        <v>45839</v>
      </c>
      <c r="O3399" t="str">
        <f t="shared" si="215"/>
        <v>pes</v>
      </c>
    </row>
    <row r="3400" spans="1:15" x14ac:dyDescent="0.25">
      <c r="A3400">
        <v>10906</v>
      </c>
      <c r="B3400" s="11">
        <v>4063456789014</v>
      </c>
      <c r="C3400" s="1" t="s">
        <v>60</v>
      </c>
      <c r="D3400" s="1" t="s">
        <v>12</v>
      </c>
      <c r="E3400" s="1" t="s">
        <v>61</v>
      </c>
      <c r="F3400">
        <v>36</v>
      </c>
      <c r="G3400">
        <v>1</v>
      </c>
      <c r="H3400" s="1" t="s">
        <v>18</v>
      </c>
      <c r="I3400" s="1" t="s">
        <v>622</v>
      </c>
      <c r="J3400" s="12">
        <v>45869</v>
      </c>
      <c r="K3400">
        <v>0</v>
      </c>
      <c r="L3400" s="1">
        <f t="shared" si="212"/>
        <v>36</v>
      </c>
      <c r="M3400" s="1">
        <f t="shared" si="213"/>
        <v>4</v>
      </c>
      <c r="N3400" s="2">
        <f t="shared" si="214"/>
        <v>45839</v>
      </c>
      <c r="O3400" t="str">
        <f t="shared" si="215"/>
        <v>pes</v>
      </c>
    </row>
    <row r="3401" spans="1:15" x14ac:dyDescent="0.25">
      <c r="A3401">
        <v>10907</v>
      </c>
      <c r="B3401" s="11">
        <v>8599988776654</v>
      </c>
      <c r="C3401" s="1" t="s">
        <v>393</v>
      </c>
      <c r="D3401" s="1" t="s">
        <v>133</v>
      </c>
      <c r="E3401" s="1" t="s">
        <v>17</v>
      </c>
      <c r="F3401">
        <v>16.8</v>
      </c>
      <c r="G3401">
        <v>1</v>
      </c>
      <c r="H3401" s="1" t="s">
        <v>14</v>
      </c>
      <c r="I3401" s="1" t="s">
        <v>15</v>
      </c>
      <c r="J3401" s="12">
        <v>45869</v>
      </c>
      <c r="K3401">
        <v>0</v>
      </c>
      <c r="L3401" s="1">
        <f t="shared" si="212"/>
        <v>16.8</v>
      </c>
      <c r="M3401" s="1" t="str">
        <f t="shared" si="213"/>
        <v/>
      </c>
      <c r="N3401" s="2">
        <f t="shared" si="214"/>
        <v>45839</v>
      </c>
      <c r="O3401" t="str">
        <f t="shared" si="215"/>
        <v>pes</v>
      </c>
    </row>
    <row r="3402" spans="1:15" x14ac:dyDescent="0.25">
      <c r="A3402">
        <v>10908</v>
      </c>
      <c r="B3402" s="11">
        <v>4027788990013</v>
      </c>
      <c r="C3402" s="1" t="s">
        <v>43</v>
      </c>
      <c r="D3402" s="1" t="s">
        <v>21</v>
      </c>
      <c r="E3402" s="1" t="s">
        <v>22</v>
      </c>
      <c r="F3402">
        <v>8</v>
      </c>
      <c r="G3402">
        <v>1</v>
      </c>
      <c r="H3402" s="1" t="s">
        <v>14</v>
      </c>
      <c r="I3402" s="1" t="s">
        <v>15</v>
      </c>
      <c r="J3402" s="12">
        <v>45869</v>
      </c>
      <c r="K3402">
        <v>0</v>
      </c>
      <c r="L3402" s="1">
        <f t="shared" si="212"/>
        <v>8</v>
      </c>
      <c r="M3402" s="1" t="str">
        <f t="shared" si="213"/>
        <v/>
      </c>
      <c r="N3402" s="2">
        <f t="shared" si="214"/>
        <v>45839</v>
      </c>
      <c r="O3402" t="str">
        <f t="shared" si="215"/>
        <v>pes</v>
      </c>
    </row>
    <row r="3403" spans="1:15" x14ac:dyDescent="0.25">
      <c r="A3403">
        <v>10909</v>
      </c>
      <c r="B3403" s="11">
        <v>8599988776654</v>
      </c>
      <c r="C3403" s="1" t="s">
        <v>393</v>
      </c>
      <c r="D3403" s="1" t="s">
        <v>133</v>
      </c>
      <c r="E3403" s="1" t="s">
        <v>17</v>
      </c>
      <c r="F3403">
        <v>16.8</v>
      </c>
      <c r="G3403">
        <v>1</v>
      </c>
      <c r="H3403" s="1" t="s">
        <v>14</v>
      </c>
      <c r="I3403" s="1" t="s">
        <v>15</v>
      </c>
      <c r="J3403" s="12">
        <v>45869</v>
      </c>
      <c r="K3403">
        <v>0</v>
      </c>
      <c r="L3403" s="1">
        <f t="shared" si="212"/>
        <v>16.8</v>
      </c>
      <c r="M3403" s="1" t="str">
        <f t="shared" si="213"/>
        <v/>
      </c>
      <c r="N3403" s="2">
        <f t="shared" si="214"/>
        <v>45839</v>
      </c>
      <c r="O3403" t="str">
        <f t="shared" si="215"/>
        <v>pes</v>
      </c>
    </row>
    <row r="3404" spans="1:15" x14ac:dyDescent="0.25">
      <c r="A3404">
        <v>10910</v>
      </c>
      <c r="B3404" s="11">
        <v>4017890123450</v>
      </c>
      <c r="C3404" s="1" t="s">
        <v>65</v>
      </c>
      <c r="D3404" s="1" t="s">
        <v>39</v>
      </c>
      <c r="E3404" s="1" t="s">
        <v>22</v>
      </c>
      <c r="F3404">
        <v>7.6</v>
      </c>
      <c r="G3404">
        <v>1</v>
      </c>
      <c r="H3404" s="1" t="s">
        <v>18</v>
      </c>
      <c r="I3404" s="1" t="s">
        <v>623</v>
      </c>
      <c r="J3404" s="12">
        <v>45869</v>
      </c>
      <c r="K3404">
        <v>0</v>
      </c>
      <c r="L3404" s="1">
        <f t="shared" si="212"/>
        <v>7.6</v>
      </c>
      <c r="M3404" s="1">
        <f t="shared" si="213"/>
        <v>4</v>
      </c>
      <c r="N3404" s="2">
        <f t="shared" si="214"/>
        <v>45839</v>
      </c>
      <c r="O3404" t="str">
        <f t="shared" si="215"/>
        <v>pes</v>
      </c>
    </row>
    <row r="3405" spans="1:15" x14ac:dyDescent="0.25">
      <c r="A3405">
        <v>10911</v>
      </c>
      <c r="B3405" s="11">
        <v>8599988776654</v>
      </c>
      <c r="C3405" s="1" t="s">
        <v>393</v>
      </c>
      <c r="D3405" s="1" t="s">
        <v>133</v>
      </c>
      <c r="E3405" s="1" t="s">
        <v>17</v>
      </c>
      <c r="F3405">
        <v>16.8</v>
      </c>
      <c r="G3405">
        <v>2</v>
      </c>
      <c r="H3405" s="1" t="s">
        <v>14</v>
      </c>
      <c r="I3405" s="1" t="s">
        <v>15</v>
      </c>
      <c r="J3405" s="12">
        <v>45869</v>
      </c>
      <c r="K3405">
        <v>0</v>
      </c>
      <c r="L3405" s="1">
        <f t="shared" si="212"/>
        <v>33.6</v>
      </c>
      <c r="M3405" s="1" t="str">
        <f t="shared" si="213"/>
        <v/>
      </c>
      <c r="N3405" s="2">
        <f t="shared" si="214"/>
        <v>45839</v>
      </c>
      <c r="O3405" t="str">
        <f t="shared" si="215"/>
        <v>pes</v>
      </c>
    </row>
    <row r="3406" spans="1:15" x14ac:dyDescent="0.25">
      <c r="A3406">
        <v>10912</v>
      </c>
      <c r="B3406" s="11">
        <v>4013456789017</v>
      </c>
      <c r="C3406" s="1" t="s">
        <v>11</v>
      </c>
      <c r="D3406" s="1" t="s">
        <v>12</v>
      </c>
      <c r="E3406" s="1" t="s">
        <v>13</v>
      </c>
      <c r="F3406">
        <v>6</v>
      </c>
      <c r="G3406">
        <v>1</v>
      </c>
      <c r="H3406" s="1" t="s">
        <v>23</v>
      </c>
      <c r="I3406" s="1" t="s">
        <v>624</v>
      </c>
      <c r="J3406" s="12">
        <v>45869</v>
      </c>
      <c r="K3406">
        <v>0</v>
      </c>
      <c r="L3406" s="1">
        <f t="shared" si="212"/>
        <v>6</v>
      </c>
      <c r="M3406" s="1">
        <f t="shared" si="213"/>
        <v>5</v>
      </c>
      <c r="N3406" s="2">
        <f t="shared" si="214"/>
        <v>45839</v>
      </c>
      <c r="O3406" t="str">
        <f t="shared" si="215"/>
        <v>pes</v>
      </c>
    </row>
    <row r="3407" spans="1:15" x14ac:dyDescent="0.25">
      <c r="A3407">
        <v>10913</v>
      </c>
      <c r="B3407" s="11">
        <v>8599988776654</v>
      </c>
      <c r="C3407" s="1" t="s">
        <v>393</v>
      </c>
      <c r="D3407" s="1" t="s">
        <v>133</v>
      </c>
      <c r="E3407" s="1" t="s">
        <v>17</v>
      </c>
      <c r="F3407">
        <v>16.8</v>
      </c>
      <c r="G3407">
        <v>1</v>
      </c>
      <c r="H3407" s="1" t="s">
        <v>14</v>
      </c>
      <c r="I3407" s="1" t="s">
        <v>15</v>
      </c>
      <c r="J3407" s="12">
        <v>45869</v>
      </c>
      <c r="K3407">
        <v>0</v>
      </c>
      <c r="L3407" s="1">
        <f t="shared" si="212"/>
        <v>16.8</v>
      </c>
      <c r="M3407" s="1" t="str">
        <f t="shared" si="213"/>
        <v/>
      </c>
      <c r="N3407" s="2">
        <f t="shared" si="214"/>
        <v>45839</v>
      </c>
      <c r="O3407" t="str">
        <f t="shared" si="215"/>
        <v>pes</v>
      </c>
    </row>
    <row r="3408" spans="1:15" hidden="1" x14ac:dyDescent="0.25">
      <c r="A3408">
        <v>10914</v>
      </c>
      <c r="B3408" s="11">
        <v>4010123456783</v>
      </c>
      <c r="C3408" s="1" t="s">
        <v>35</v>
      </c>
      <c r="D3408" s="1" t="s">
        <v>36</v>
      </c>
      <c r="E3408" s="1" t="s">
        <v>37</v>
      </c>
      <c r="F3408">
        <v>14</v>
      </c>
      <c r="G3408">
        <v>1</v>
      </c>
      <c r="H3408" s="1" t="s">
        <v>14</v>
      </c>
      <c r="I3408" s="1" t="s">
        <v>15</v>
      </c>
      <c r="J3408" s="12">
        <v>45869</v>
      </c>
      <c r="K3408">
        <v>0</v>
      </c>
      <c r="L3408" s="1">
        <f t="shared" si="212"/>
        <v>14</v>
      </c>
      <c r="M3408" s="1" t="str">
        <f t="shared" si="213"/>
        <v/>
      </c>
      <c r="N3408" s="2">
        <f t="shared" si="214"/>
        <v>45839</v>
      </c>
      <c r="O3408" t="str">
        <f t="shared" si="215"/>
        <v>mačka</v>
      </c>
    </row>
    <row r="3409" spans="1:15" x14ac:dyDescent="0.25">
      <c r="A3409">
        <v>10915</v>
      </c>
      <c r="B3409" s="11">
        <v>4028899001126</v>
      </c>
      <c r="C3409" s="1" t="s">
        <v>16</v>
      </c>
      <c r="D3409" s="1" t="s">
        <v>12</v>
      </c>
      <c r="E3409" s="1" t="s">
        <v>17</v>
      </c>
      <c r="F3409">
        <v>2.8</v>
      </c>
      <c r="G3409">
        <v>3</v>
      </c>
      <c r="H3409" s="1" t="s">
        <v>18</v>
      </c>
      <c r="I3409" s="1" t="s">
        <v>625</v>
      </c>
      <c r="J3409" s="12">
        <v>45869</v>
      </c>
      <c r="K3409">
        <v>0</v>
      </c>
      <c r="L3409" s="1">
        <f t="shared" si="212"/>
        <v>8.3999999999999986</v>
      </c>
      <c r="M3409" s="1">
        <f t="shared" si="213"/>
        <v>4</v>
      </c>
      <c r="N3409" s="2">
        <f t="shared" si="214"/>
        <v>45839</v>
      </c>
      <c r="O3409" t="str">
        <f t="shared" si="215"/>
        <v>pes</v>
      </c>
    </row>
    <row r="3410" spans="1:15" x14ac:dyDescent="0.25">
      <c r="A3410">
        <v>10916</v>
      </c>
      <c r="B3410" s="11">
        <v>8599988776654</v>
      </c>
      <c r="C3410" s="1" t="s">
        <v>393</v>
      </c>
      <c r="D3410" s="1" t="s">
        <v>133</v>
      </c>
      <c r="E3410" s="1" t="s">
        <v>17</v>
      </c>
      <c r="F3410">
        <v>16.8</v>
      </c>
      <c r="G3410">
        <v>2</v>
      </c>
      <c r="H3410" s="1" t="s">
        <v>14</v>
      </c>
      <c r="I3410" s="1" t="s">
        <v>15</v>
      </c>
      <c r="J3410" s="12">
        <v>45869</v>
      </c>
      <c r="K3410">
        <v>0</v>
      </c>
      <c r="L3410" s="1">
        <f t="shared" si="212"/>
        <v>33.6</v>
      </c>
      <c r="M3410" s="1" t="str">
        <f t="shared" si="213"/>
        <v/>
      </c>
      <c r="N3410" s="2">
        <f t="shared" si="214"/>
        <v>45839</v>
      </c>
      <c r="O3410" t="str">
        <f t="shared" si="215"/>
        <v>pes</v>
      </c>
    </row>
    <row r="3411" spans="1:15" x14ac:dyDescent="0.25">
      <c r="A3411">
        <v>10917</v>
      </c>
      <c r="B3411" s="11">
        <v>4063456789014</v>
      </c>
      <c r="C3411" s="1" t="s">
        <v>60</v>
      </c>
      <c r="D3411" s="1" t="s">
        <v>12</v>
      </c>
      <c r="E3411" s="1" t="s">
        <v>61</v>
      </c>
      <c r="F3411">
        <v>36</v>
      </c>
      <c r="G3411">
        <v>1</v>
      </c>
      <c r="H3411" s="1" t="s">
        <v>14</v>
      </c>
      <c r="I3411" s="1" t="s">
        <v>15</v>
      </c>
      <c r="J3411" s="12">
        <v>45869</v>
      </c>
      <c r="K3411">
        <v>0</v>
      </c>
      <c r="L3411" s="1">
        <f t="shared" si="212"/>
        <v>36</v>
      </c>
      <c r="M3411" s="1" t="str">
        <f t="shared" si="213"/>
        <v/>
      </c>
      <c r="N3411" s="2">
        <f t="shared" si="214"/>
        <v>45839</v>
      </c>
      <c r="O3411" t="str">
        <f t="shared" si="215"/>
        <v>pes</v>
      </c>
    </row>
    <row r="3412" spans="1:15" x14ac:dyDescent="0.25">
      <c r="A3412">
        <v>10918</v>
      </c>
      <c r="B3412" s="11">
        <v>8599988776654</v>
      </c>
      <c r="C3412" s="1" t="s">
        <v>393</v>
      </c>
      <c r="D3412" s="1" t="s">
        <v>133</v>
      </c>
      <c r="E3412" s="1" t="s">
        <v>17</v>
      </c>
      <c r="F3412">
        <v>16.8</v>
      </c>
      <c r="G3412">
        <v>1</v>
      </c>
      <c r="H3412" s="1" t="s">
        <v>14</v>
      </c>
      <c r="I3412" s="1" t="s">
        <v>15</v>
      </c>
      <c r="J3412" s="12">
        <v>45869</v>
      </c>
      <c r="K3412">
        <v>0</v>
      </c>
      <c r="L3412" s="1">
        <f t="shared" si="212"/>
        <v>16.8</v>
      </c>
      <c r="M3412" s="1" t="str">
        <f t="shared" si="213"/>
        <v/>
      </c>
      <c r="N3412" s="2">
        <f t="shared" si="214"/>
        <v>45839</v>
      </c>
      <c r="O3412" t="str">
        <f t="shared" si="215"/>
        <v>pes</v>
      </c>
    </row>
    <row r="3413" spans="1:15" x14ac:dyDescent="0.25">
      <c r="A3413">
        <v>10919</v>
      </c>
      <c r="B3413" s="11">
        <v>4017890123450</v>
      </c>
      <c r="C3413" s="1" t="s">
        <v>65</v>
      </c>
      <c r="D3413" s="1" t="s">
        <v>39</v>
      </c>
      <c r="E3413" s="1" t="s">
        <v>22</v>
      </c>
      <c r="F3413">
        <v>7.6</v>
      </c>
      <c r="G3413">
        <v>1</v>
      </c>
      <c r="H3413" s="1" t="s">
        <v>23</v>
      </c>
      <c r="I3413" s="1" t="s">
        <v>626</v>
      </c>
      <c r="J3413" s="12">
        <v>45869</v>
      </c>
      <c r="K3413">
        <v>0</v>
      </c>
      <c r="L3413" s="1">
        <f t="shared" si="212"/>
        <v>7.6</v>
      </c>
      <c r="M3413" s="1">
        <f t="shared" si="213"/>
        <v>5</v>
      </c>
      <c r="N3413" s="2">
        <f t="shared" si="214"/>
        <v>45839</v>
      </c>
      <c r="O3413" t="str">
        <f t="shared" si="215"/>
        <v>pes</v>
      </c>
    </row>
    <row r="3414" spans="1:15" x14ac:dyDescent="0.25">
      <c r="A3414">
        <v>10920</v>
      </c>
      <c r="B3414" s="11">
        <v>8599988776654</v>
      </c>
      <c r="C3414" s="1" t="s">
        <v>393</v>
      </c>
      <c r="D3414" s="1" t="s">
        <v>133</v>
      </c>
      <c r="E3414" s="1" t="s">
        <v>17</v>
      </c>
      <c r="F3414">
        <v>16.8</v>
      </c>
      <c r="G3414">
        <v>1</v>
      </c>
      <c r="H3414" s="1" t="s">
        <v>14</v>
      </c>
      <c r="I3414" s="1" t="s">
        <v>15</v>
      </c>
      <c r="J3414" s="12">
        <v>45869</v>
      </c>
      <c r="K3414">
        <v>0</v>
      </c>
      <c r="L3414" s="1">
        <f t="shared" si="212"/>
        <v>16.8</v>
      </c>
      <c r="M3414" s="1" t="str">
        <f t="shared" si="213"/>
        <v/>
      </c>
      <c r="N3414" s="2">
        <f t="shared" si="214"/>
        <v>45839</v>
      </c>
      <c r="O3414" t="str">
        <f t="shared" si="215"/>
        <v>pes</v>
      </c>
    </row>
    <row r="3415" spans="1:15" x14ac:dyDescent="0.25">
      <c r="A3415">
        <v>10921</v>
      </c>
      <c r="B3415" s="11">
        <v>4013456789017</v>
      </c>
      <c r="C3415" s="1" t="s">
        <v>11</v>
      </c>
      <c r="D3415" s="1" t="s">
        <v>12</v>
      </c>
      <c r="E3415" s="1" t="s">
        <v>13</v>
      </c>
      <c r="F3415">
        <v>6</v>
      </c>
      <c r="G3415">
        <v>1</v>
      </c>
      <c r="H3415" s="1" t="s">
        <v>14</v>
      </c>
      <c r="I3415" s="1" t="s">
        <v>15</v>
      </c>
      <c r="J3415" s="12">
        <v>45869</v>
      </c>
      <c r="K3415">
        <v>0</v>
      </c>
      <c r="L3415" s="1">
        <f t="shared" si="212"/>
        <v>6</v>
      </c>
      <c r="M3415" s="1" t="str">
        <f t="shared" si="213"/>
        <v/>
      </c>
      <c r="N3415" s="2">
        <f t="shared" si="214"/>
        <v>45839</v>
      </c>
      <c r="O3415" t="str">
        <f t="shared" si="215"/>
        <v>pes</v>
      </c>
    </row>
    <row r="3416" spans="1:15" x14ac:dyDescent="0.25">
      <c r="A3416">
        <v>10922</v>
      </c>
      <c r="B3416" s="11">
        <v>8599988776654</v>
      </c>
      <c r="C3416" s="1" t="s">
        <v>393</v>
      </c>
      <c r="D3416" s="1" t="s">
        <v>133</v>
      </c>
      <c r="E3416" s="1" t="s">
        <v>17</v>
      </c>
      <c r="F3416">
        <v>16.8</v>
      </c>
      <c r="G3416">
        <v>1</v>
      </c>
      <c r="H3416" s="1" t="s">
        <v>14</v>
      </c>
      <c r="I3416" s="1" t="s">
        <v>15</v>
      </c>
      <c r="J3416" s="12">
        <v>45869</v>
      </c>
      <c r="K3416">
        <v>0</v>
      </c>
      <c r="L3416" s="1">
        <f t="shared" si="212"/>
        <v>16.8</v>
      </c>
      <c r="M3416" s="1" t="str">
        <f t="shared" si="213"/>
        <v/>
      </c>
      <c r="N3416" s="2">
        <f t="shared" si="214"/>
        <v>45839</v>
      </c>
      <c r="O3416" t="str">
        <f t="shared" si="215"/>
        <v>pes</v>
      </c>
    </row>
    <row r="3417" spans="1:15" hidden="1" x14ac:dyDescent="0.25">
      <c r="A3417">
        <v>10923</v>
      </c>
      <c r="B3417" s="11">
        <v>4010123456783</v>
      </c>
      <c r="C3417" s="1" t="s">
        <v>35</v>
      </c>
      <c r="D3417" s="1" t="s">
        <v>36</v>
      </c>
      <c r="E3417" s="1" t="s">
        <v>37</v>
      </c>
      <c r="F3417">
        <v>14</v>
      </c>
      <c r="G3417">
        <v>1</v>
      </c>
      <c r="H3417" s="1" t="s">
        <v>23</v>
      </c>
      <c r="I3417" s="1" t="s">
        <v>627</v>
      </c>
      <c r="J3417" s="12">
        <v>45869</v>
      </c>
      <c r="K3417">
        <v>0</v>
      </c>
      <c r="L3417" s="1">
        <f t="shared" si="212"/>
        <v>14</v>
      </c>
      <c r="M3417" s="1">
        <f t="shared" si="213"/>
        <v>5</v>
      </c>
      <c r="N3417" s="2">
        <f t="shared" si="214"/>
        <v>45839</v>
      </c>
      <c r="O3417" t="str">
        <f t="shared" si="215"/>
        <v>mačka</v>
      </c>
    </row>
    <row r="3418" spans="1:15" x14ac:dyDescent="0.25">
      <c r="A3418">
        <v>10924</v>
      </c>
      <c r="B3418" s="11">
        <v>8599988776654</v>
      </c>
      <c r="C3418" s="1" t="s">
        <v>393</v>
      </c>
      <c r="D3418" s="1" t="s">
        <v>133</v>
      </c>
      <c r="E3418" s="1" t="s">
        <v>17</v>
      </c>
      <c r="F3418">
        <v>16.8</v>
      </c>
      <c r="G3418">
        <v>2</v>
      </c>
      <c r="H3418" s="1" t="s">
        <v>14</v>
      </c>
      <c r="I3418" s="1" t="s">
        <v>15</v>
      </c>
      <c r="J3418" s="12">
        <v>45869</v>
      </c>
      <c r="K3418">
        <v>0</v>
      </c>
      <c r="L3418" s="1">
        <f t="shared" si="212"/>
        <v>33.6</v>
      </c>
      <c r="M3418" s="1" t="str">
        <f t="shared" si="213"/>
        <v/>
      </c>
      <c r="N3418" s="2">
        <f t="shared" si="214"/>
        <v>45839</v>
      </c>
      <c r="O3418" t="str">
        <f t="shared" si="215"/>
        <v>pes</v>
      </c>
    </row>
    <row r="3419" spans="1:15" x14ac:dyDescent="0.25">
      <c r="A3419">
        <v>10925</v>
      </c>
      <c r="B3419" s="11">
        <v>4027788990013</v>
      </c>
      <c r="C3419" s="1" t="s">
        <v>43</v>
      </c>
      <c r="D3419" s="1" t="s">
        <v>21</v>
      </c>
      <c r="E3419" s="1" t="s">
        <v>22</v>
      </c>
      <c r="F3419">
        <v>8</v>
      </c>
      <c r="G3419">
        <v>1</v>
      </c>
      <c r="H3419" s="1" t="s">
        <v>18</v>
      </c>
      <c r="I3419" s="1" t="s">
        <v>628</v>
      </c>
      <c r="J3419" s="12">
        <v>45869</v>
      </c>
      <c r="K3419">
        <v>0</v>
      </c>
      <c r="L3419" s="1">
        <f t="shared" si="212"/>
        <v>8</v>
      </c>
      <c r="M3419" s="1">
        <f t="shared" si="213"/>
        <v>4</v>
      </c>
      <c r="N3419" s="2">
        <f t="shared" si="214"/>
        <v>45839</v>
      </c>
      <c r="O3419" t="str">
        <f t="shared" si="215"/>
        <v>pes</v>
      </c>
    </row>
    <row r="3420" spans="1:15" x14ac:dyDescent="0.25">
      <c r="A3420">
        <v>10926</v>
      </c>
      <c r="B3420" s="11">
        <v>8599988776654</v>
      </c>
      <c r="C3420" s="1" t="s">
        <v>393</v>
      </c>
      <c r="D3420" s="1" t="s">
        <v>133</v>
      </c>
      <c r="E3420" s="1" t="s">
        <v>17</v>
      </c>
      <c r="F3420">
        <v>16.8</v>
      </c>
      <c r="G3420">
        <v>1</v>
      </c>
      <c r="H3420" s="1" t="s">
        <v>14</v>
      </c>
      <c r="I3420" s="1" t="s">
        <v>15</v>
      </c>
      <c r="J3420" s="12">
        <v>45869</v>
      </c>
      <c r="K3420">
        <v>0</v>
      </c>
      <c r="L3420" s="1">
        <f t="shared" si="212"/>
        <v>16.8</v>
      </c>
      <c r="M3420" s="1" t="str">
        <f t="shared" si="213"/>
        <v/>
      </c>
      <c r="N3420" s="2">
        <f t="shared" si="214"/>
        <v>45839</v>
      </c>
      <c r="O3420" t="str">
        <f t="shared" si="215"/>
        <v>pes</v>
      </c>
    </row>
    <row r="3421" spans="1:15" x14ac:dyDescent="0.25">
      <c r="A3421">
        <v>10927</v>
      </c>
      <c r="B3421" s="11">
        <v>4063456789014</v>
      </c>
      <c r="C3421" s="1" t="s">
        <v>60</v>
      </c>
      <c r="D3421" s="1" t="s">
        <v>12</v>
      </c>
      <c r="E3421" s="1" t="s">
        <v>61</v>
      </c>
      <c r="F3421">
        <v>36</v>
      </c>
      <c r="G3421">
        <v>1</v>
      </c>
      <c r="H3421" s="1" t="s">
        <v>14</v>
      </c>
      <c r="I3421" s="1" t="s">
        <v>15</v>
      </c>
      <c r="J3421" s="12">
        <v>45869</v>
      </c>
      <c r="K3421">
        <v>0</v>
      </c>
      <c r="L3421" s="1">
        <f t="shared" si="212"/>
        <v>36</v>
      </c>
      <c r="M3421" s="1" t="str">
        <f t="shared" si="213"/>
        <v/>
      </c>
      <c r="N3421" s="2">
        <f t="shared" si="214"/>
        <v>45839</v>
      </c>
      <c r="O3421" t="str">
        <f t="shared" si="215"/>
        <v>pes</v>
      </c>
    </row>
    <row r="3422" spans="1:15" x14ac:dyDescent="0.25">
      <c r="A3422">
        <v>10928</v>
      </c>
      <c r="B3422" s="11">
        <v>8599988776654</v>
      </c>
      <c r="C3422" s="1" t="s">
        <v>393</v>
      </c>
      <c r="D3422" s="1" t="s">
        <v>133</v>
      </c>
      <c r="E3422" s="1" t="s">
        <v>17</v>
      </c>
      <c r="F3422">
        <v>16.8</v>
      </c>
      <c r="G3422">
        <v>2</v>
      </c>
      <c r="H3422" s="1" t="s">
        <v>23</v>
      </c>
      <c r="I3422" s="1" t="s">
        <v>629</v>
      </c>
      <c r="J3422" s="12">
        <v>45869</v>
      </c>
      <c r="K3422">
        <v>0</v>
      </c>
      <c r="L3422" s="1">
        <f t="shared" si="212"/>
        <v>33.6</v>
      </c>
      <c r="M3422" s="1">
        <f t="shared" si="213"/>
        <v>5</v>
      </c>
      <c r="N3422" s="2">
        <f t="shared" si="214"/>
        <v>45839</v>
      </c>
      <c r="O3422" t="str">
        <f t="shared" si="215"/>
        <v>pes</v>
      </c>
    </row>
    <row r="3423" spans="1:15" hidden="1" x14ac:dyDescent="0.25">
      <c r="A3423">
        <v>10929</v>
      </c>
      <c r="B3423" s="11">
        <v>4021234567894</v>
      </c>
      <c r="C3423" s="1" t="s">
        <v>79</v>
      </c>
      <c r="D3423" s="1" t="s">
        <v>36</v>
      </c>
      <c r="E3423" s="1" t="s">
        <v>69</v>
      </c>
      <c r="F3423">
        <v>8</v>
      </c>
      <c r="G3423">
        <v>1</v>
      </c>
      <c r="H3423" s="1" t="s">
        <v>14</v>
      </c>
      <c r="I3423" s="1" t="s">
        <v>15</v>
      </c>
      <c r="J3423" s="12">
        <v>45869</v>
      </c>
      <c r="K3423">
        <v>0</v>
      </c>
      <c r="L3423" s="1">
        <f t="shared" si="212"/>
        <v>8</v>
      </c>
      <c r="M3423" s="1" t="str">
        <f t="shared" si="213"/>
        <v/>
      </c>
      <c r="N3423" s="2">
        <f t="shared" si="214"/>
        <v>45839</v>
      </c>
      <c r="O3423" t="str">
        <f t="shared" si="215"/>
        <v>mačka</v>
      </c>
    </row>
    <row r="3424" spans="1:15" x14ac:dyDescent="0.25">
      <c r="A3424">
        <v>10930</v>
      </c>
      <c r="B3424" s="11">
        <v>8599988776654</v>
      </c>
      <c r="C3424" s="1" t="s">
        <v>393</v>
      </c>
      <c r="D3424" s="1" t="s">
        <v>133</v>
      </c>
      <c r="E3424" s="1" t="s">
        <v>17</v>
      </c>
      <c r="F3424">
        <v>16.8</v>
      </c>
      <c r="G3424">
        <v>1</v>
      </c>
      <c r="H3424" s="1" t="s">
        <v>14</v>
      </c>
      <c r="I3424" s="1" t="s">
        <v>15</v>
      </c>
      <c r="J3424" s="12">
        <v>45869</v>
      </c>
      <c r="K3424">
        <v>0</v>
      </c>
      <c r="L3424" s="1">
        <f t="shared" si="212"/>
        <v>16.8</v>
      </c>
      <c r="M3424" s="1" t="str">
        <f t="shared" si="213"/>
        <v/>
      </c>
      <c r="N3424" s="2">
        <f t="shared" si="214"/>
        <v>45839</v>
      </c>
      <c r="O3424" t="str">
        <f t="shared" si="215"/>
        <v>pes</v>
      </c>
    </row>
    <row r="3425" spans="1:15" x14ac:dyDescent="0.25">
      <c r="A3425">
        <v>10931</v>
      </c>
      <c r="B3425" s="11">
        <v>4017890123450</v>
      </c>
      <c r="C3425" s="1" t="s">
        <v>65</v>
      </c>
      <c r="D3425" s="1" t="s">
        <v>39</v>
      </c>
      <c r="E3425" s="1" t="s">
        <v>22</v>
      </c>
      <c r="F3425">
        <v>7.6</v>
      </c>
      <c r="G3425">
        <v>1</v>
      </c>
      <c r="H3425" s="1" t="s">
        <v>14</v>
      </c>
      <c r="I3425" s="1" t="s">
        <v>15</v>
      </c>
      <c r="J3425" s="12">
        <v>45869</v>
      </c>
      <c r="K3425">
        <v>0</v>
      </c>
      <c r="L3425" s="1">
        <f t="shared" si="212"/>
        <v>7.6</v>
      </c>
      <c r="M3425" s="1" t="str">
        <f t="shared" si="213"/>
        <v/>
      </c>
      <c r="N3425" s="2">
        <f t="shared" si="214"/>
        <v>45839</v>
      </c>
      <c r="O3425" t="str">
        <f t="shared" si="215"/>
        <v>pes</v>
      </c>
    </row>
    <row r="3426" spans="1:15" x14ac:dyDescent="0.25">
      <c r="A3426">
        <v>10932</v>
      </c>
      <c r="B3426" s="11">
        <v>8599988776654</v>
      </c>
      <c r="C3426" s="1" t="s">
        <v>393</v>
      </c>
      <c r="D3426" s="1" t="s">
        <v>133</v>
      </c>
      <c r="E3426" s="1" t="s">
        <v>17</v>
      </c>
      <c r="F3426">
        <v>16.8</v>
      </c>
      <c r="G3426">
        <v>1</v>
      </c>
      <c r="H3426" s="1" t="s">
        <v>23</v>
      </c>
      <c r="I3426" s="1" t="s">
        <v>630</v>
      </c>
      <c r="J3426" s="12">
        <v>45869</v>
      </c>
      <c r="K3426">
        <v>0</v>
      </c>
      <c r="L3426" s="1">
        <f t="shared" si="212"/>
        <v>16.8</v>
      </c>
      <c r="M3426" s="1">
        <f t="shared" si="213"/>
        <v>5</v>
      </c>
      <c r="N3426" s="2">
        <f t="shared" si="214"/>
        <v>45839</v>
      </c>
      <c r="O3426" t="str">
        <f t="shared" si="215"/>
        <v>pes</v>
      </c>
    </row>
    <row r="3427" spans="1:15" x14ac:dyDescent="0.25">
      <c r="A3427">
        <v>10933</v>
      </c>
      <c r="B3427" s="11">
        <v>4013456789017</v>
      </c>
      <c r="C3427" s="1" t="s">
        <v>11</v>
      </c>
      <c r="D3427" s="1" t="s">
        <v>12</v>
      </c>
      <c r="E3427" s="1" t="s">
        <v>13</v>
      </c>
      <c r="F3427">
        <v>6</v>
      </c>
      <c r="G3427">
        <v>1</v>
      </c>
      <c r="H3427" s="1" t="s">
        <v>14</v>
      </c>
      <c r="I3427" s="1" t="s">
        <v>15</v>
      </c>
      <c r="J3427" s="12">
        <v>45869</v>
      </c>
      <c r="K3427">
        <v>0</v>
      </c>
      <c r="L3427" s="1">
        <f t="shared" si="212"/>
        <v>6</v>
      </c>
      <c r="M3427" s="1" t="str">
        <f t="shared" si="213"/>
        <v/>
      </c>
      <c r="N3427" s="2">
        <f t="shared" si="214"/>
        <v>45839</v>
      </c>
      <c r="O3427" t="str">
        <f t="shared" si="215"/>
        <v>pes</v>
      </c>
    </row>
    <row r="3428" spans="1:15" x14ac:dyDescent="0.25">
      <c r="A3428">
        <v>10934</v>
      </c>
      <c r="B3428" s="11">
        <v>8599988776654</v>
      </c>
      <c r="C3428" s="1" t="s">
        <v>393</v>
      </c>
      <c r="D3428" s="1" t="s">
        <v>133</v>
      </c>
      <c r="E3428" s="1" t="s">
        <v>17</v>
      </c>
      <c r="F3428">
        <v>16.8</v>
      </c>
      <c r="G3428">
        <v>1</v>
      </c>
      <c r="H3428" s="1" t="s">
        <v>14</v>
      </c>
      <c r="I3428" s="1" t="s">
        <v>15</v>
      </c>
      <c r="J3428" s="12">
        <v>45869</v>
      </c>
      <c r="K3428">
        <v>0</v>
      </c>
      <c r="L3428" s="1">
        <f t="shared" si="212"/>
        <v>16.8</v>
      </c>
      <c r="M3428" s="1" t="str">
        <f t="shared" si="213"/>
        <v/>
      </c>
      <c r="N3428" s="2">
        <f t="shared" si="214"/>
        <v>45839</v>
      </c>
      <c r="O3428" t="str">
        <f t="shared" si="215"/>
        <v>pes</v>
      </c>
    </row>
    <row r="3429" spans="1:15" hidden="1" x14ac:dyDescent="0.25">
      <c r="A3429">
        <v>10935</v>
      </c>
      <c r="B3429" s="11">
        <v>4010123456783</v>
      </c>
      <c r="C3429" s="1" t="s">
        <v>35</v>
      </c>
      <c r="D3429" s="1" t="s">
        <v>36</v>
      </c>
      <c r="E3429" s="1" t="s">
        <v>37</v>
      </c>
      <c r="F3429">
        <v>14</v>
      </c>
      <c r="G3429">
        <v>1</v>
      </c>
      <c r="H3429" s="1" t="s">
        <v>14</v>
      </c>
      <c r="I3429" s="1" t="s">
        <v>15</v>
      </c>
      <c r="J3429" s="12">
        <v>45869</v>
      </c>
      <c r="K3429">
        <v>0</v>
      </c>
      <c r="L3429" s="1">
        <f t="shared" si="212"/>
        <v>14</v>
      </c>
      <c r="M3429" s="1" t="str">
        <f t="shared" si="213"/>
        <v/>
      </c>
      <c r="N3429" s="2">
        <f t="shared" si="214"/>
        <v>45839</v>
      </c>
      <c r="O3429" t="str">
        <f t="shared" si="215"/>
        <v>mačka</v>
      </c>
    </row>
    <row r="3430" spans="1:15" x14ac:dyDescent="0.25">
      <c r="A3430">
        <v>10936</v>
      </c>
      <c r="B3430" s="11">
        <v>4063456789014</v>
      </c>
      <c r="C3430" s="1" t="s">
        <v>60</v>
      </c>
      <c r="D3430" s="1" t="s">
        <v>12</v>
      </c>
      <c r="E3430" s="1" t="s">
        <v>61</v>
      </c>
      <c r="F3430">
        <v>36</v>
      </c>
      <c r="G3430">
        <v>1</v>
      </c>
      <c r="H3430" s="1" t="s">
        <v>23</v>
      </c>
      <c r="I3430" s="1" t="s">
        <v>631</v>
      </c>
      <c r="J3430" s="12">
        <v>45869</v>
      </c>
      <c r="K3430">
        <v>0</v>
      </c>
      <c r="L3430" s="1">
        <f t="shared" si="212"/>
        <v>36</v>
      </c>
      <c r="M3430" s="1">
        <f t="shared" si="213"/>
        <v>5</v>
      </c>
      <c r="N3430" s="2">
        <f t="shared" si="214"/>
        <v>45839</v>
      </c>
      <c r="O3430" t="str">
        <f t="shared" si="215"/>
        <v>pes</v>
      </c>
    </row>
    <row r="3431" spans="1:15" x14ac:dyDescent="0.25">
      <c r="A3431">
        <v>10937</v>
      </c>
      <c r="B3431" s="11">
        <v>8599988776654</v>
      </c>
      <c r="C3431" s="1" t="s">
        <v>393</v>
      </c>
      <c r="D3431" s="1" t="s">
        <v>133</v>
      </c>
      <c r="E3431" s="1" t="s">
        <v>17</v>
      </c>
      <c r="F3431">
        <v>16.8</v>
      </c>
      <c r="G3431">
        <v>2</v>
      </c>
      <c r="H3431" s="1" t="s">
        <v>14</v>
      </c>
      <c r="I3431" s="1" t="s">
        <v>15</v>
      </c>
      <c r="J3431" s="12">
        <v>45869</v>
      </c>
      <c r="K3431">
        <v>0</v>
      </c>
      <c r="L3431" s="1">
        <f t="shared" si="212"/>
        <v>33.6</v>
      </c>
      <c r="M3431" s="1" t="str">
        <f t="shared" si="213"/>
        <v/>
      </c>
      <c r="N3431" s="2">
        <f t="shared" si="214"/>
        <v>45839</v>
      </c>
      <c r="O3431" t="str">
        <f t="shared" si="215"/>
        <v>pes</v>
      </c>
    </row>
    <row r="3432" spans="1:15" x14ac:dyDescent="0.25">
      <c r="A3432">
        <v>10938</v>
      </c>
      <c r="B3432" s="11">
        <v>4028899001126</v>
      </c>
      <c r="C3432" s="1" t="s">
        <v>16</v>
      </c>
      <c r="D3432" s="1" t="s">
        <v>12</v>
      </c>
      <c r="E3432" s="1" t="s">
        <v>17</v>
      </c>
      <c r="F3432">
        <v>2.8</v>
      </c>
      <c r="G3432">
        <v>2</v>
      </c>
      <c r="H3432" s="1" t="s">
        <v>14</v>
      </c>
      <c r="I3432" s="1" t="s">
        <v>15</v>
      </c>
      <c r="J3432" s="12">
        <v>45870</v>
      </c>
      <c r="K3432">
        <v>0</v>
      </c>
      <c r="L3432" s="1">
        <f t="shared" si="212"/>
        <v>5.6</v>
      </c>
      <c r="M3432" s="1" t="str">
        <f t="shared" si="213"/>
        <v/>
      </c>
      <c r="N3432" s="2">
        <f t="shared" si="214"/>
        <v>45870</v>
      </c>
      <c r="O3432" t="str">
        <f t="shared" si="215"/>
        <v>pes</v>
      </c>
    </row>
    <row r="3433" spans="1:15" hidden="1" x14ac:dyDescent="0.25">
      <c r="A3433">
        <v>10939</v>
      </c>
      <c r="B3433" s="11">
        <v>4056789012345</v>
      </c>
      <c r="C3433" s="1" t="s">
        <v>47</v>
      </c>
      <c r="D3433" s="1" t="s">
        <v>29</v>
      </c>
      <c r="E3433" s="1" t="s">
        <v>37</v>
      </c>
      <c r="F3433">
        <v>2.4</v>
      </c>
      <c r="G3433">
        <v>2</v>
      </c>
      <c r="H3433" s="1" t="s">
        <v>18</v>
      </c>
      <c r="I3433" s="1" t="s">
        <v>632</v>
      </c>
      <c r="J3433" s="12">
        <v>45870</v>
      </c>
      <c r="K3433">
        <v>0</v>
      </c>
      <c r="L3433" s="1">
        <f t="shared" si="212"/>
        <v>4.8</v>
      </c>
      <c r="M3433" s="1">
        <f t="shared" si="213"/>
        <v>4</v>
      </c>
      <c r="N3433" s="2">
        <f t="shared" si="214"/>
        <v>45870</v>
      </c>
      <c r="O3433" t="str">
        <f t="shared" si="215"/>
        <v>mačka</v>
      </c>
    </row>
    <row r="3434" spans="1:15" x14ac:dyDescent="0.25">
      <c r="A3434">
        <v>10940</v>
      </c>
      <c r="B3434" s="11">
        <v>4063456789014</v>
      </c>
      <c r="C3434" s="1" t="s">
        <v>60</v>
      </c>
      <c r="D3434" s="1" t="s">
        <v>12</v>
      </c>
      <c r="E3434" s="1" t="s">
        <v>61</v>
      </c>
      <c r="F3434">
        <v>36</v>
      </c>
      <c r="G3434">
        <v>1</v>
      </c>
      <c r="H3434" s="1" t="s">
        <v>14</v>
      </c>
      <c r="I3434" s="1" t="s">
        <v>15</v>
      </c>
      <c r="J3434" s="12">
        <v>45870</v>
      </c>
      <c r="K3434">
        <v>0</v>
      </c>
      <c r="L3434" s="1">
        <f t="shared" si="212"/>
        <v>36</v>
      </c>
      <c r="M3434" s="1" t="str">
        <f t="shared" si="213"/>
        <v/>
      </c>
      <c r="N3434" s="2">
        <f t="shared" si="214"/>
        <v>45870</v>
      </c>
      <c r="O3434" t="str">
        <f t="shared" si="215"/>
        <v>pes</v>
      </c>
    </row>
    <row r="3435" spans="1:15" hidden="1" x14ac:dyDescent="0.25">
      <c r="A3435">
        <v>10941</v>
      </c>
      <c r="B3435" s="11">
        <v>4010123456783</v>
      </c>
      <c r="C3435" s="1" t="s">
        <v>35</v>
      </c>
      <c r="D3435" s="1" t="s">
        <v>36</v>
      </c>
      <c r="E3435" s="1" t="s">
        <v>37</v>
      </c>
      <c r="F3435">
        <v>14</v>
      </c>
      <c r="G3435">
        <v>1</v>
      </c>
      <c r="H3435" s="1" t="s">
        <v>23</v>
      </c>
      <c r="I3435" s="1" t="s">
        <v>633</v>
      </c>
      <c r="J3435" s="12">
        <v>45870</v>
      </c>
      <c r="K3435">
        <v>0</v>
      </c>
      <c r="L3435" s="1">
        <f t="shared" si="212"/>
        <v>14</v>
      </c>
      <c r="M3435" s="1">
        <f t="shared" si="213"/>
        <v>5</v>
      </c>
      <c r="N3435" s="2">
        <f t="shared" si="214"/>
        <v>45870</v>
      </c>
      <c r="O3435" t="str">
        <f t="shared" si="215"/>
        <v>mačka</v>
      </c>
    </row>
    <row r="3436" spans="1:15" x14ac:dyDescent="0.25">
      <c r="A3436">
        <v>10942</v>
      </c>
      <c r="B3436" s="11">
        <v>8599988776654</v>
      </c>
      <c r="C3436" s="1" t="s">
        <v>393</v>
      </c>
      <c r="D3436" s="1" t="s">
        <v>133</v>
      </c>
      <c r="E3436" s="1" t="s">
        <v>17</v>
      </c>
      <c r="F3436">
        <v>28</v>
      </c>
      <c r="G3436">
        <v>1</v>
      </c>
      <c r="H3436" s="1" t="s">
        <v>14</v>
      </c>
      <c r="I3436" s="1" t="s">
        <v>15</v>
      </c>
      <c r="J3436" s="12">
        <v>45870</v>
      </c>
      <c r="K3436">
        <v>0</v>
      </c>
      <c r="L3436" s="1">
        <f t="shared" si="212"/>
        <v>28</v>
      </c>
      <c r="M3436" s="1" t="str">
        <f t="shared" si="213"/>
        <v/>
      </c>
      <c r="N3436" s="2">
        <f t="shared" si="214"/>
        <v>45870</v>
      </c>
      <c r="O3436" t="str">
        <f t="shared" si="215"/>
        <v>pes</v>
      </c>
    </row>
    <row r="3437" spans="1:15" x14ac:dyDescent="0.25">
      <c r="A3437">
        <v>10943</v>
      </c>
      <c r="B3437" s="11">
        <v>4013456789017</v>
      </c>
      <c r="C3437" s="1" t="s">
        <v>11</v>
      </c>
      <c r="D3437" s="1" t="s">
        <v>12</v>
      </c>
      <c r="E3437" s="1" t="s">
        <v>13</v>
      </c>
      <c r="F3437">
        <v>6</v>
      </c>
      <c r="G3437">
        <v>1</v>
      </c>
      <c r="H3437" s="1" t="s">
        <v>14</v>
      </c>
      <c r="I3437" s="1" t="s">
        <v>15</v>
      </c>
      <c r="J3437" s="12">
        <v>45870</v>
      </c>
      <c r="K3437">
        <v>0</v>
      </c>
      <c r="L3437" s="1">
        <f t="shared" si="212"/>
        <v>6</v>
      </c>
      <c r="M3437" s="1" t="str">
        <f t="shared" si="213"/>
        <v/>
      </c>
      <c r="N3437" s="2">
        <f t="shared" si="214"/>
        <v>45870</v>
      </c>
      <c r="O3437" t="str">
        <f t="shared" si="215"/>
        <v>pes</v>
      </c>
    </row>
    <row r="3438" spans="1:15" hidden="1" x14ac:dyDescent="0.25">
      <c r="A3438">
        <v>10944</v>
      </c>
      <c r="B3438" s="11">
        <v>4001234567893</v>
      </c>
      <c r="C3438" s="1" t="s">
        <v>31</v>
      </c>
      <c r="D3438" s="1" t="s">
        <v>29</v>
      </c>
      <c r="E3438" s="1" t="s">
        <v>32</v>
      </c>
      <c r="F3438">
        <v>9.1999999999999993</v>
      </c>
      <c r="G3438">
        <v>1</v>
      </c>
      <c r="H3438" s="1" t="s">
        <v>14</v>
      </c>
      <c r="I3438" s="1" t="s">
        <v>15</v>
      </c>
      <c r="J3438" s="12">
        <v>45870</v>
      </c>
      <c r="K3438">
        <v>0</v>
      </c>
      <c r="L3438" s="1">
        <f t="shared" si="212"/>
        <v>9.1999999999999993</v>
      </c>
      <c r="M3438" s="1" t="str">
        <f t="shared" si="213"/>
        <v/>
      </c>
      <c r="N3438" s="2">
        <f t="shared" si="214"/>
        <v>45870</v>
      </c>
      <c r="O3438" t="str">
        <f t="shared" si="215"/>
        <v>mačka</v>
      </c>
    </row>
    <row r="3439" spans="1:15" x14ac:dyDescent="0.25">
      <c r="A3439">
        <v>10945</v>
      </c>
      <c r="B3439" s="11">
        <v>4027788990013</v>
      </c>
      <c r="C3439" s="1" t="s">
        <v>43</v>
      </c>
      <c r="D3439" s="1" t="s">
        <v>21</v>
      </c>
      <c r="E3439" s="1" t="s">
        <v>22</v>
      </c>
      <c r="F3439">
        <v>8</v>
      </c>
      <c r="G3439">
        <v>1</v>
      </c>
      <c r="H3439" s="1" t="s">
        <v>18</v>
      </c>
      <c r="I3439" s="1" t="s">
        <v>634</v>
      </c>
      <c r="J3439" s="12">
        <v>45870</v>
      </c>
      <c r="K3439">
        <v>0</v>
      </c>
      <c r="L3439" s="1">
        <f t="shared" si="212"/>
        <v>8</v>
      </c>
      <c r="M3439" s="1">
        <f t="shared" si="213"/>
        <v>4</v>
      </c>
      <c r="N3439" s="2">
        <f t="shared" si="214"/>
        <v>45870</v>
      </c>
      <c r="O3439" t="str">
        <f t="shared" si="215"/>
        <v>pes</v>
      </c>
    </row>
    <row r="3440" spans="1:15" hidden="1" x14ac:dyDescent="0.25">
      <c r="A3440">
        <v>10946</v>
      </c>
      <c r="B3440" s="11">
        <v>4043344556676</v>
      </c>
      <c r="C3440" s="1" t="s">
        <v>316</v>
      </c>
      <c r="D3440" s="1" t="s">
        <v>317</v>
      </c>
      <c r="E3440" s="1" t="s">
        <v>58</v>
      </c>
      <c r="F3440">
        <v>10</v>
      </c>
      <c r="G3440">
        <v>1</v>
      </c>
      <c r="H3440" s="1" t="s">
        <v>14</v>
      </c>
      <c r="I3440" s="1" t="s">
        <v>15</v>
      </c>
      <c r="J3440" s="12">
        <v>45870</v>
      </c>
      <c r="K3440">
        <v>0</v>
      </c>
      <c r="L3440" s="1">
        <f t="shared" si="212"/>
        <v>10</v>
      </c>
      <c r="M3440" s="1" t="str">
        <f t="shared" si="213"/>
        <v/>
      </c>
      <c r="N3440" s="2">
        <f t="shared" si="214"/>
        <v>45870</v>
      </c>
      <c r="O3440" t="str">
        <f t="shared" si="215"/>
        <v>mačka</v>
      </c>
    </row>
    <row r="3441" spans="1:15" x14ac:dyDescent="0.25">
      <c r="A3441">
        <v>10947</v>
      </c>
      <c r="B3441" s="11">
        <v>4017890123450</v>
      </c>
      <c r="C3441" s="1" t="s">
        <v>65</v>
      </c>
      <c r="D3441" s="1" t="s">
        <v>39</v>
      </c>
      <c r="E3441" s="1" t="s">
        <v>22</v>
      </c>
      <c r="F3441">
        <v>7.6</v>
      </c>
      <c r="G3441">
        <v>1</v>
      </c>
      <c r="H3441" s="1" t="s">
        <v>14</v>
      </c>
      <c r="I3441" s="1" t="s">
        <v>15</v>
      </c>
      <c r="J3441" s="12">
        <v>45870</v>
      </c>
      <c r="K3441">
        <v>0</v>
      </c>
      <c r="L3441" s="1">
        <f t="shared" si="212"/>
        <v>7.6</v>
      </c>
      <c r="M3441" s="1" t="str">
        <f t="shared" si="213"/>
        <v/>
      </c>
      <c r="N3441" s="2">
        <f t="shared" si="214"/>
        <v>45870</v>
      </c>
      <c r="O3441" t="str">
        <f t="shared" si="215"/>
        <v>pes</v>
      </c>
    </row>
    <row r="3442" spans="1:15" hidden="1" x14ac:dyDescent="0.25">
      <c r="A3442">
        <v>10948</v>
      </c>
      <c r="B3442" s="11">
        <v>4021234567894</v>
      </c>
      <c r="C3442" s="1" t="s">
        <v>79</v>
      </c>
      <c r="D3442" s="1" t="s">
        <v>36</v>
      </c>
      <c r="E3442" s="1" t="s">
        <v>69</v>
      </c>
      <c r="F3442">
        <v>8</v>
      </c>
      <c r="G3442">
        <v>1</v>
      </c>
      <c r="H3442" s="1" t="s">
        <v>14</v>
      </c>
      <c r="I3442" s="1" t="s">
        <v>15</v>
      </c>
      <c r="J3442" s="12">
        <v>45870</v>
      </c>
      <c r="K3442">
        <v>0</v>
      </c>
      <c r="L3442" s="1">
        <f t="shared" si="212"/>
        <v>8</v>
      </c>
      <c r="M3442" s="1" t="str">
        <f t="shared" si="213"/>
        <v/>
      </c>
      <c r="N3442" s="2">
        <f t="shared" si="214"/>
        <v>45870</v>
      </c>
      <c r="O3442" t="str">
        <f t="shared" si="215"/>
        <v>mačka</v>
      </c>
    </row>
    <row r="3443" spans="1:15" hidden="1" x14ac:dyDescent="0.25">
      <c r="A3443">
        <v>10949</v>
      </c>
      <c r="B3443" s="11">
        <v>4010123456783</v>
      </c>
      <c r="C3443" s="1" t="s">
        <v>35</v>
      </c>
      <c r="D3443" s="1" t="s">
        <v>36</v>
      </c>
      <c r="E3443" s="1" t="s">
        <v>37</v>
      </c>
      <c r="F3443">
        <v>14</v>
      </c>
      <c r="G3443">
        <v>2</v>
      </c>
      <c r="H3443" s="1" t="s">
        <v>14</v>
      </c>
      <c r="I3443" s="1" t="s">
        <v>15</v>
      </c>
      <c r="J3443" s="12">
        <v>45870</v>
      </c>
      <c r="K3443">
        <v>0</v>
      </c>
      <c r="L3443" s="1">
        <f t="shared" si="212"/>
        <v>28</v>
      </c>
      <c r="M3443" s="1" t="str">
        <f t="shared" si="213"/>
        <v/>
      </c>
      <c r="N3443" s="2">
        <f t="shared" si="214"/>
        <v>45870</v>
      </c>
      <c r="O3443" t="str">
        <f t="shared" si="215"/>
        <v>mačka</v>
      </c>
    </row>
    <row r="3444" spans="1:15" hidden="1" x14ac:dyDescent="0.25">
      <c r="A3444">
        <v>10949</v>
      </c>
      <c r="B3444" s="11">
        <v>4056789012345</v>
      </c>
      <c r="C3444" s="1" t="s">
        <v>47</v>
      </c>
      <c r="D3444" s="1" t="s">
        <v>29</v>
      </c>
      <c r="E3444" s="1" t="s">
        <v>37</v>
      </c>
      <c r="F3444">
        <v>2.4</v>
      </c>
      <c r="G3444">
        <v>2</v>
      </c>
      <c r="H3444" s="1" t="s">
        <v>14</v>
      </c>
      <c r="I3444" s="1" t="s">
        <v>15</v>
      </c>
      <c r="J3444" s="12">
        <v>45870</v>
      </c>
      <c r="K3444">
        <v>0</v>
      </c>
      <c r="L3444" s="1">
        <f t="shared" si="212"/>
        <v>4.8</v>
      </c>
      <c r="M3444" s="1" t="str">
        <f t="shared" si="213"/>
        <v/>
      </c>
      <c r="N3444" s="2">
        <f t="shared" si="214"/>
        <v>45870</v>
      </c>
      <c r="O3444" t="str">
        <f t="shared" si="215"/>
        <v>mačka</v>
      </c>
    </row>
    <row r="3445" spans="1:15" x14ac:dyDescent="0.25">
      <c r="A3445">
        <v>10950</v>
      </c>
      <c r="B3445" s="11">
        <v>4028899001126</v>
      </c>
      <c r="C3445" s="1" t="s">
        <v>16</v>
      </c>
      <c r="D3445" s="1" t="s">
        <v>12</v>
      </c>
      <c r="E3445" s="1" t="s">
        <v>17</v>
      </c>
      <c r="F3445">
        <v>2.8</v>
      </c>
      <c r="G3445">
        <v>3</v>
      </c>
      <c r="H3445" s="1" t="s">
        <v>18</v>
      </c>
      <c r="I3445" s="1" t="s">
        <v>490</v>
      </c>
      <c r="J3445" s="12">
        <v>45870</v>
      </c>
      <c r="K3445">
        <v>0</v>
      </c>
      <c r="L3445" s="1">
        <f t="shared" si="212"/>
        <v>8.3999999999999986</v>
      </c>
      <c r="M3445" s="1">
        <f t="shared" si="213"/>
        <v>4</v>
      </c>
      <c r="N3445" s="2">
        <f t="shared" si="214"/>
        <v>45870</v>
      </c>
      <c r="O3445" t="str">
        <f t="shared" si="215"/>
        <v>pes</v>
      </c>
    </row>
    <row r="3446" spans="1:15" x14ac:dyDescent="0.25">
      <c r="A3446">
        <v>10951</v>
      </c>
      <c r="B3446" s="11">
        <v>4061011223346</v>
      </c>
      <c r="C3446" s="1" t="s">
        <v>25</v>
      </c>
      <c r="D3446" s="1" t="s">
        <v>26</v>
      </c>
      <c r="E3446" s="1" t="s">
        <v>27</v>
      </c>
      <c r="F3446">
        <v>19.600000000000001</v>
      </c>
      <c r="G3446">
        <v>1</v>
      </c>
      <c r="H3446" s="1" t="s">
        <v>14</v>
      </c>
      <c r="I3446" s="1" t="s">
        <v>15</v>
      </c>
      <c r="J3446" s="12">
        <v>45870</v>
      </c>
      <c r="K3446">
        <v>0</v>
      </c>
      <c r="L3446" s="1">
        <f t="shared" si="212"/>
        <v>19.600000000000001</v>
      </c>
      <c r="M3446" s="1" t="str">
        <f t="shared" si="213"/>
        <v/>
      </c>
      <c r="N3446" s="2">
        <f t="shared" si="214"/>
        <v>45870</v>
      </c>
      <c r="O3446" t="str">
        <f t="shared" si="215"/>
        <v>pes</v>
      </c>
    </row>
    <row r="3447" spans="1:15" x14ac:dyDescent="0.25">
      <c r="A3447">
        <v>10952</v>
      </c>
      <c r="B3447" s="11">
        <v>4013456789017</v>
      </c>
      <c r="C3447" s="1" t="s">
        <v>11</v>
      </c>
      <c r="D3447" s="1" t="s">
        <v>12</v>
      </c>
      <c r="E3447" s="1" t="s">
        <v>13</v>
      </c>
      <c r="F3447">
        <v>6</v>
      </c>
      <c r="G3447">
        <v>2</v>
      </c>
      <c r="H3447" s="1" t="s">
        <v>14</v>
      </c>
      <c r="I3447" s="1" t="s">
        <v>15</v>
      </c>
      <c r="J3447" s="12">
        <v>45870</v>
      </c>
      <c r="K3447">
        <v>0</v>
      </c>
      <c r="L3447" s="1">
        <f t="shared" si="212"/>
        <v>12</v>
      </c>
      <c r="M3447" s="1" t="str">
        <f t="shared" si="213"/>
        <v/>
      </c>
      <c r="N3447" s="2">
        <f t="shared" si="214"/>
        <v>45870</v>
      </c>
      <c r="O3447" t="str">
        <f t="shared" si="215"/>
        <v>pes</v>
      </c>
    </row>
    <row r="3448" spans="1:15" hidden="1" x14ac:dyDescent="0.25">
      <c r="A3448">
        <v>10953</v>
      </c>
      <c r="B3448" s="11">
        <v>4009012345672</v>
      </c>
      <c r="C3448" s="1" t="s">
        <v>45</v>
      </c>
      <c r="D3448" s="1" t="s">
        <v>36</v>
      </c>
      <c r="E3448" s="1" t="s">
        <v>32</v>
      </c>
      <c r="F3448">
        <v>11.2</v>
      </c>
      <c r="G3448">
        <v>1</v>
      </c>
      <c r="H3448" s="1" t="s">
        <v>23</v>
      </c>
      <c r="I3448" s="1" t="s">
        <v>635</v>
      </c>
      <c r="J3448" s="12">
        <v>45870</v>
      </c>
      <c r="K3448">
        <v>0</v>
      </c>
      <c r="L3448" s="1">
        <f t="shared" si="212"/>
        <v>11.2</v>
      </c>
      <c r="M3448" s="1">
        <f t="shared" si="213"/>
        <v>5</v>
      </c>
      <c r="N3448" s="2">
        <f t="shared" si="214"/>
        <v>45870</v>
      </c>
      <c r="O3448" t="str">
        <f t="shared" si="215"/>
        <v>mačka</v>
      </c>
    </row>
    <row r="3449" spans="1:15" x14ac:dyDescent="0.25">
      <c r="A3449">
        <v>10954</v>
      </c>
      <c r="B3449" s="11">
        <v>4063456789014</v>
      </c>
      <c r="C3449" s="1" t="s">
        <v>60</v>
      </c>
      <c r="D3449" s="1" t="s">
        <v>12</v>
      </c>
      <c r="E3449" s="1" t="s">
        <v>61</v>
      </c>
      <c r="F3449">
        <v>36</v>
      </c>
      <c r="G3449">
        <v>1</v>
      </c>
      <c r="H3449" s="1" t="s">
        <v>14</v>
      </c>
      <c r="I3449" s="1" t="s">
        <v>15</v>
      </c>
      <c r="J3449" s="12">
        <v>45870</v>
      </c>
      <c r="K3449">
        <v>0</v>
      </c>
      <c r="L3449" s="1">
        <f t="shared" si="212"/>
        <v>36</v>
      </c>
      <c r="M3449" s="1" t="str">
        <f t="shared" si="213"/>
        <v/>
      </c>
      <c r="N3449" s="2">
        <f t="shared" si="214"/>
        <v>45870</v>
      </c>
      <c r="O3449" t="str">
        <f t="shared" si="215"/>
        <v>pes</v>
      </c>
    </row>
    <row r="3450" spans="1:15" x14ac:dyDescent="0.25">
      <c r="A3450">
        <v>10955</v>
      </c>
      <c r="B3450" s="11">
        <v>4040123456795</v>
      </c>
      <c r="C3450" s="1" t="s">
        <v>20</v>
      </c>
      <c r="D3450" s="1" t="s">
        <v>21</v>
      </c>
      <c r="E3450" s="1" t="s">
        <v>22</v>
      </c>
      <c r="F3450">
        <v>8.8000000000000007</v>
      </c>
      <c r="G3450">
        <v>1</v>
      </c>
      <c r="H3450" s="1" t="s">
        <v>18</v>
      </c>
      <c r="I3450" s="1" t="s">
        <v>636</v>
      </c>
      <c r="J3450" s="12">
        <v>45870</v>
      </c>
      <c r="K3450">
        <v>0</v>
      </c>
      <c r="L3450" s="1">
        <f t="shared" si="212"/>
        <v>8.8000000000000007</v>
      </c>
      <c r="M3450" s="1">
        <f t="shared" si="213"/>
        <v>4</v>
      </c>
      <c r="N3450" s="2">
        <f t="shared" si="214"/>
        <v>45870</v>
      </c>
      <c r="O3450" t="str">
        <f t="shared" si="215"/>
        <v>pes</v>
      </c>
    </row>
    <row r="3451" spans="1:15" hidden="1" x14ac:dyDescent="0.25">
      <c r="A3451">
        <v>10956</v>
      </c>
      <c r="B3451" s="11">
        <v>8596677889011</v>
      </c>
      <c r="C3451" s="1" t="s">
        <v>318</v>
      </c>
      <c r="D3451" s="1" t="s">
        <v>29</v>
      </c>
      <c r="E3451" s="1" t="s">
        <v>30</v>
      </c>
      <c r="F3451">
        <v>35.200000000000003</v>
      </c>
      <c r="G3451">
        <v>1</v>
      </c>
      <c r="H3451" s="1" t="s">
        <v>14</v>
      </c>
      <c r="I3451" s="1" t="s">
        <v>15</v>
      </c>
      <c r="J3451" s="12">
        <v>45870</v>
      </c>
      <c r="K3451">
        <v>0</v>
      </c>
      <c r="L3451" s="1">
        <f t="shared" si="212"/>
        <v>35.200000000000003</v>
      </c>
      <c r="M3451" s="1" t="str">
        <f t="shared" si="213"/>
        <v/>
      </c>
      <c r="N3451" s="2">
        <f t="shared" si="214"/>
        <v>45870</v>
      </c>
      <c r="O3451" t="str">
        <f t="shared" si="215"/>
        <v>mačka</v>
      </c>
    </row>
    <row r="3452" spans="1:15" hidden="1" x14ac:dyDescent="0.25">
      <c r="A3452">
        <v>10957</v>
      </c>
      <c r="B3452" s="11">
        <v>4042233445567</v>
      </c>
      <c r="C3452" s="1" t="s">
        <v>637</v>
      </c>
      <c r="D3452" s="1" t="s">
        <v>140</v>
      </c>
      <c r="E3452" s="1" t="s">
        <v>141</v>
      </c>
      <c r="F3452">
        <v>51.64</v>
      </c>
      <c r="G3452">
        <v>1</v>
      </c>
      <c r="H3452" s="1" t="s">
        <v>14</v>
      </c>
      <c r="I3452" s="1" t="s">
        <v>15</v>
      </c>
      <c r="J3452" s="12">
        <v>45870</v>
      </c>
      <c r="K3452">
        <v>0</v>
      </c>
      <c r="L3452" s="1">
        <f t="shared" si="212"/>
        <v>51.64</v>
      </c>
      <c r="M3452" s="1" t="str">
        <f t="shared" si="213"/>
        <v/>
      </c>
      <c r="N3452" s="2">
        <f t="shared" si="214"/>
        <v>45870</v>
      </c>
      <c r="O3452" t="str">
        <f t="shared" si="215"/>
        <v>mačka</v>
      </c>
    </row>
    <row r="3453" spans="1:15" hidden="1" x14ac:dyDescent="0.25">
      <c r="A3453">
        <v>10958</v>
      </c>
      <c r="B3453" s="11">
        <v>5903344556670</v>
      </c>
      <c r="C3453" s="1" t="s">
        <v>638</v>
      </c>
      <c r="D3453" s="1" t="s">
        <v>140</v>
      </c>
      <c r="E3453" s="1" t="s">
        <v>30</v>
      </c>
      <c r="F3453">
        <v>75.64</v>
      </c>
      <c r="G3453">
        <v>1</v>
      </c>
      <c r="H3453" s="1" t="s">
        <v>23</v>
      </c>
      <c r="I3453" s="1" t="s">
        <v>639</v>
      </c>
      <c r="J3453" s="12">
        <v>45870</v>
      </c>
      <c r="K3453">
        <v>0</v>
      </c>
      <c r="L3453" s="1">
        <f t="shared" si="212"/>
        <v>75.64</v>
      </c>
      <c r="M3453" s="1">
        <f t="shared" si="213"/>
        <v>5</v>
      </c>
      <c r="N3453" s="2">
        <f t="shared" si="214"/>
        <v>45870</v>
      </c>
      <c r="O3453" t="str">
        <f t="shared" si="215"/>
        <v>mačka</v>
      </c>
    </row>
    <row r="3454" spans="1:15" hidden="1" x14ac:dyDescent="0.25">
      <c r="A3454">
        <v>10959</v>
      </c>
      <c r="B3454" s="11">
        <v>4026677889902</v>
      </c>
      <c r="C3454" s="1" t="s">
        <v>52</v>
      </c>
      <c r="D3454" s="1" t="s">
        <v>53</v>
      </c>
      <c r="E3454" s="1" t="s">
        <v>54</v>
      </c>
      <c r="F3454">
        <v>7.6</v>
      </c>
      <c r="G3454">
        <v>1</v>
      </c>
      <c r="H3454" s="1" t="s">
        <v>14</v>
      </c>
      <c r="I3454" s="1" t="s">
        <v>15</v>
      </c>
      <c r="J3454" s="12">
        <v>45870</v>
      </c>
      <c r="K3454">
        <v>0</v>
      </c>
      <c r="L3454" s="1">
        <f t="shared" si="212"/>
        <v>7.6</v>
      </c>
      <c r="M3454" s="1" t="str">
        <f t="shared" si="213"/>
        <v/>
      </c>
      <c r="N3454" s="2">
        <f t="shared" si="214"/>
        <v>45870</v>
      </c>
      <c r="O3454" t="str">
        <f t="shared" si="215"/>
        <v>iné</v>
      </c>
    </row>
    <row r="3455" spans="1:15" hidden="1" x14ac:dyDescent="0.25">
      <c r="A3455">
        <v>10960</v>
      </c>
      <c r="B3455" s="11">
        <v>8597788990023</v>
      </c>
      <c r="C3455" s="1" t="s">
        <v>335</v>
      </c>
      <c r="D3455" s="1" t="s">
        <v>336</v>
      </c>
      <c r="E3455" s="1" t="s">
        <v>54</v>
      </c>
      <c r="F3455">
        <v>6.4</v>
      </c>
      <c r="G3455">
        <v>1</v>
      </c>
      <c r="H3455" s="1" t="s">
        <v>14</v>
      </c>
      <c r="I3455" s="1" t="s">
        <v>15</v>
      </c>
      <c r="J3455" s="12">
        <v>45870</v>
      </c>
      <c r="K3455">
        <v>0</v>
      </c>
      <c r="L3455" s="1">
        <f t="shared" si="212"/>
        <v>6.4</v>
      </c>
      <c r="M3455" s="1" t="str">
        <f t="shared" si="213"/>
        <v/>
      </c>
      <c r="N3455" s="2">
        <f t="shared" si="214"/>
        <v>45870</v>
      </c>
      <c r="O3455" t="str">
        <f t="shared" si="215"/>
        <v>iné</v>
      </c>
    </row>
    <row r="3456" spans="1:15" x14ac:dyDescent="0.25">
      <c r="A3456">
        <v>10961</v>
      </c>
      <c r="B3456" s="11">
        <v>4004455667780</v>
      </c>
      <c r="C3456" s="1" t="s">
        <v>640</v>
      </c>
      <c r="D3456" s="1" t="s">
        <v>641</v>
      </c>
      <c r="E3456" s="1" t="s">
        <v>134</v>
      </c>
      <c r="F3456">
        <v>14</v>
      </c>
      <c r="G3456">
        <v>1</v>
      </c>
      <c r="H3456" s="1" t="s">
        <v>18</v>
      </c>
      <c r="I3456" s="1" t="s">
        <v>642</v>
      </c>
      <c r="J3456" s="12">
        <v>45870</v>
      </c>
      <c r="K3456">
        <v>0</v>
      </c>
      <c r="L3456" s="1">
        <f t="shared" si="212"/>
        <v>14</v>
      </c>
      <c r="M3456" s="1">
        <f t="shared" si="213"/>
        <v>4</v>
      </c>
      <c r="N3456" s="2">
        <f t="shared" si="214"/>
        <v>45870</v>
      </c>
      <c r="O3456" t="str">
        <f t="shared" si="215"/>
        <v>pes</v>
      </c>
    </row>
    <row r="3457" spans="1:15" x14ac:dyDescent="0.25">
      <c r="A3457">
        <v>10962</v>
      </c>
      <c r="B3457" s="11">
        <v>4017890123450</v>
      </c>
      <c r="C3457" s="1" t="s">
        <v>65</v>
      </c>
      <c r="D3457" s="1" t="s">
        <v>39</v>
      </c>
      <c r="E3457" s="1" t="s">
        <v>22</v>
      </c>
      <c r="F3457">
        <v>7.6</v>
      </c>
      <c r="G3457">
        <v>2</v>
      </c>
      <c r="H3457" s="1" t="s">
        <v>14</v>
      </c>
      <c r="I3457" s="1" t="s">
        <v>15</v>
      </c>
      <c r="J3457" s="12">
        <v>45870</v>
      </c>
      <c r="K3457">
        <v>0</v>
      </c>
      <c r="L3457" s="1">
        <f t="shared" si="212"/>
        <v>15.2</v>
      </c>
      <c r="M3457" s="1" t="str">
        <f t="shared" si="213"/>
        <v/>
      </c>
      <c r="N3457" s="2">
        <f t="shared" si="214"/>
        <v>45870</v>
      </c>
      <c r="O3457" t="str">
        <f t="shared" si="215"/>
        <v>pes</v>
      </c>
    </row>
    <row r="3458" spans="1:15" x14ac:dyDescent="0.25">
      <c r="A3458">
        <v>10962</v>
      </c>
      <c r="B3458" s="11">
        <v>4028899001126</v>
      </c>
      <c r="C3458" s="1" t="s">
        <v>16</v>
      </c>
      <c r="D3458" s="1" t="s">
        <v>12</v>
      </c>
      <c r="E3458" s="1" t="s">
        <v>17</v>
      </c>
      <c r="F3458">
        <v>2.8</v>
      </c>
      <c r="G3458">
        <v>2</v>
      </c>
      <c r="H3458" s="1" t="s">
        <v>14</v>
      </c>
      <c r="I3458" s="1" t="s">
        <v>15</v>
      </c>
      <c r="J3458" s="12">
        <v>45870</v>
      </c>
      <c r="K3458">
        <v>0</v>
      </c>
      <c r="L3458" s="1">
        <f t="shared" ref="L3458:L3521" si="216">F3458*G3458</f>
        <v>5.6</v>
      </c>
      <c r="M3458" s="1" t="str">
        <f t="shared" ref="M3458:M3521" si="217">IF(H3458="NULL", "",VALUE(H3458))</f>
        <v/>
      </c>
      <c r="N3458" s="2">
        <f t="shared" ref="N3458:N3521" si="218">DATE(YEAR(J3458),MONTH(J3458),1)</f>
        <v>45870</v>
      </c>
      <c r="O3458" t="str">
        <f t="shared" ref="O3458:O3521" si="219">IF(ISNUMBER(SEARCH("Mačky",D3458)),"mačka",IF(ISNUMBER(SEARCH("Psy",D3458)),"pes","iné"))</f>
        <v>pes</v>
      </c>
    </row>
    <row r="3459" spans="1:15" x14ac:dyDescent="0.25">
      <c r="A3459">
        <v>10963</v>
      </c>
      <c r="B3459" s="11">
        <v>4046789012356</v>
      </c>
      <c r="C3459" s="1" t="s">
        <v>304</v>
      </c>
      <c r="D3459" s="1" t="s">
        <v>39</v>
      </c>
      <c r="E3459" s="1" t="s">
        <v>61</v>
      </c>
      <c r="F3459">
        <v>6.4</v>
      </c>
      <c r="G3459">
        <v>1</v>
      </c>
      <c r="H3459" s="1" t="s">
        <v>14</v>
      </c>
      <c r="I3459" s="1" t="s">
        <v>15</v>
      </c>
      <c r="J3459" s="12">
        <v>45870</v>
      </c>
      <c r="K3459">
        <v>0</v>
      </c>
      <c r="L3459" s="1">
        <f t="shared" si="216"/>
        <v>6.4</v>
      </c>
      <c r="M3459" s="1" t="str">
        <f t="shared" si="217"/>
        <v/>
      </c>
      <c r="N3459" s="2">
        <f t="shared" si="218"/>
        <v>45870</v>
      </c>
      <c r="O3459" t="str">
        <f t="shared" si="219"/>
        <v>pes</v>
      </c>
    </row>
    <row r="3460" spans="1:15" hidden="1" x14ac:dyDescent="0.25">
      <c r="A3460">
        <v>10964</v>
      </c>
      <c r="B3460" s="11">
        <v>4047890123460</v>
      </c>
      <c r="C3460" s="1" t="s">
        <v>325</v>
      </c>
      <c r="D3460" s="1" t="s">
        <v>144</v>
      </c>
      <c r="E3460" s="1" t="s">
        <v>58</v>
      </c>
      <c r="F3460">
        <v>10</v>
      </c>
      <c r="G3460">
        <v>1</v>
      </c>
      <c r="H3460" s="1" t="s">
        <v>33</v>
      </c>
      <c r="I3460" s="1" t="s">
        <v>643</v>
      </c>
      <c r="J3460" s="12">
        <v>45870</v>
      </c>
      <c r="K3460">
        <v>0</v>
      </c>
      <c r="L3460" s="1">
        <f t="shared" si="216"/>
        <v>10</v>
      </c>
      <c r="M3460" s="1">
        <f t="shared" si="217"/>
        <v>3</v>
      </c>
      <c r="N3460" s="2">
        <f t="shared" si="218"/>
        <v>45870</v>
      </c>
      <c r="O3460" t="str">
        <f t="shared" si="219"/>
        <v>mačka</v>
      </c>
    </row>
    <row r="3461" spans="1:15" hidden="1" x14ac:dyDescent="0.25">
      <c r="A3461">
        <v>10965</v>
      </c>
      <c r="B3461" s="11">
        <v>4010123456783</v>
      </c>
      <c r="C3461" s="1" t="s">
        <v>35</v>
      </c>
      <c r="D3461" s="1" t="s">
        <v>36</v>
      </c>
      <c r="E3461" s="1" t="s">
        <v>37</v>
      </c>
      <c r="F3461">
        <v>14</v>
      </c>
      <c r="G3461">
        <v>1</v>
      </c>
      <c r="H3461" s="1" t="s">
        <v>14</v>
      </c>
      <c r="I3461" s="1" t="s">
        <v>15</v>
      </c>
      <c r="J3461" s="12">
        <v>45870</v>
      </c>
      <c r="K3461">
        <v>0</v>
      </c>
      <c r="L3461" s="1">
        <f t="shared" si="216"/>
        <v>14</v>
      </c>
      <c r="M3461" s="1" t="str">
        <f t="shared" si="217"/>
        <v/>
      </c>
      <c r="N3461" s="2">
        <f t="shared" si="218"/>
        <v>45870</v>
      </c>
      <c r="O3461" t="str">
        <f t="shared" si="219"/>
        <v>mačka</v>
      </c>
    </row>
    <row r="3462" spans="1:15" hidden="1" x14ac:dyDescent="0.25">
      <c r="A3462">
        <v>10966</v>
      </c>
      <c r="B3462" s="11">
        <v>8591234567812</v>
      </c>
      <c r="C3462" s="1" t="s">
        <v>314</v>
      </c>
      <c r="D3462" s="1" t="s">
        <v>29</v>
      </c>
      <c r="E3462" s="1" t="s">
        <v>30</v>
      </c>
      <c r="F3462">
        <v>33.200000000000003</v>
      </c>
      <c r="G3462">
        <v>1</v>
      </c>
      <c r="H3462" s="1" t="s">
        <v>14</v>
      </c>
      <c r="I3462" s="1" t="s">
        <v>15</v>
      </c>
      <c r="J3462" s="12">
        <v>45871</v>
      </c>
      <c r="K3462">
        <v>0</v>
      </c>
      <c r="L3462" s="1">
        <f t="shared" si="216"/>
        <v>33.200000000000003</v>
      </c>
      <c r="M3462" s="1" t="str">
        <f t="shared" si="217"/>
        <v/>
      </c>
      <c r="N3462" s="2">
        <f t="shared" si="218"/>
        <v>45870</v>
      </c>
      <c r="O3462" t="str">
        <f t="shared" si="219"/>
        <v>mačka</v>
      </c>
    </row>
    <row r="3463" spans="1:15" hidden="1" x14ac:dyDescent="0.25">
      <c r="A3463">
        <v>10967</v>
      </c>
      <c r="B3463" s="11">
        <v>4002233445566</v>
      </c>
      <c r="C3463" s="1" t="s">
        <v>268</v>
      </c>
      <c r="D3463" s="1" t="s">
        <v>140</v>
      </c>
      <c r="E3463" s="1" t="s">
        <v>30</v>
      </c>
      <c r="F3463">
        <v>20</v>
      </c>
      <c r="G3463">
        <v>1</v>
      </c>
      <c r="H3463" s="1" t="s">
        <v>14</v>
      </c>
      <c r="I3463" s="1" t="s">
        <v>15</v>
      </c>
      <c r="J3463" s="12">
        <v>45871</v>
      </c>
      <c r="K3463">
        <v>0</v>
      </c>
      <c r="L3463" s="1">
        <f t="shared" si="216"/>
        <v>20</v>
      </c>
      <c r="M3463" s="1" t="str">
        <f t="shared" si="217"/>
        <v/>
      </c>
      <c r="N3463" s="2">
        <f t="shared" si="218"/>
        <v>45870</v>
      </c>
      <c r="O3463" t="str">
        <f t="shared" si="219"/>
        <v>mačka</v>
      </c>
    </row>
    <row r="3464" spans="1:15" hidden="1" x14ac:dyDescent="0.25">
      <c r="A3464">
        <v>10968</v>
      </c>
      <c r="B3464" s="11">
        <v>4025566778891</v>
      </c>
      <c r="C3464" s="1" t="s">
        <v>320</v>
      </c>
      <c r="D3464" s="1" t="s">
        <v>317</v>
      </c>
      <c r="E3464" s="1" t="s">
        <v>30</v>
      </c>
      <c r="F3464">
        <v>51.64</v>
      </c>
      <c r="G3464">
        <v>1</v>
      </c>
      <c r="H3464" s="1" t="s">
        <v>23</v>
      </c>
      <c r="I3464" s="1" t="s">
        <v>644</v>
      </c>
      <c r="J3464" s="12">
        <v>45871</v>
      </c>
      <c r="K3464">
        <v>0</v>
      </c>
      <c r="L3464" s="1">
        <f t="shared" si="216"/>
        <v>51.64</v>
      </c>
      <c r="M3464" s="1">
        <f t="shared" si="217"/>
        <v>5</v>
      </c>
      <c r="N3464" s="2">
        <f t="shared" si="218"/>
        <v>45870</v>
      </c>
      <c r="O3464" t="str">
        <f t="shared" si="219"/>
        <v>mačka</v>
      </c>
    </row>
    <row r="3465" spans="1:15" hidden="1" x14ac:dyDescent="0.25">
      <c r="A3465">
        <v>10969</v>
      </c>
      <c r="B3465" s="11">
        <v>5904455667782</v>
      </c>
      <c r="C3465" s="1" t="s">
        <v>323</v>
      </c>
      <c r="D3465" s="1" t="s">
        <v>317</v>
      </c>
      <c r="E3465" s="1" t="s">
        <v>42</v>
      </c>
      <c r="F3465">
        <v>51.64</v>
      </c>
      <c r="G3465">
        <v>1</v>
      </c>
      <c r="H3465" s="1" t="s">
        <v>14</v>
      </c>
      <c r="I3465" s="1" t="s">
        <v>15</v>
      </c>
      <c r="J3465" s="12">
        <v>45871</v>
      </c>
      <c r="K3465">
        <v>0</v>
      </c>
      <c r="L3465" s="1">
        <f t="shared" si="216"/>
        <v>51.64</v>
      </c>
      <c r="M3465" s="1" t="str">
        <f t="shared" si="217"/>
        <v/>
      </c>
      <c r="N3465" s="2">
        <f t="shared" si="218"/>
        <v>45870</v>
      </c>
      <c r="O3465" t="str">
        <f t="shared" si="219"/>
        <v>mačka</v>
      </c>
    </row>
    <row r="3466" spans="1:15" x14ac:dyDescent="0.25">
      <c r="A3466">
        <v>10970</v>
      </c>
      <c r="B3466" s="11">
        <v>4000123456786</v>
      </c>
      <c r="C3466" s="1" t="s">
        <v>305</v>
      </c>
      <c r="D3466" s="1" t="s">
        <v>21</v>
      </c>
      <c r="E3466" s="1" t="s">
        <v>27</v>
      </c>
      <c r="F3466">
        <v>6.8</v>
      </c>
      <c r="G3466">
        <v>1</v>
      </c>
      <c r="H3466" s="1" t="s">
        <v>14</v>
      </c>
      <c r="I3466" s="1" t="s">
        <v>15</v>
      </c>
      <c r="J3466" s="12">
        <v>45871</v>
      </c>
      <c r="K3466">
        <v>0</v>
      </c>
      <c r="L3466" s="1">
        <f t="shared" si="216"/>
        <v>6.8</v>
      </c>
      <c r="M3466" s="1" t="str">
        <f t="shared" si="217"/>
        <v/>
      </c>
      <c r="N3466" s="2">
        <f t="shared" si="218"/>
        <v>45870</v>
      </c>
      <c r="O3466" t="str">
        <f t="shared" si="219"/>
        <v>pes</v>
      </c>
    </row>
    <row r="3467" spans="1:15" x14ac:dyDescent="0.25">
      <c r="A3467">
        <v>10971</v>
      </c>
      <c r="B3467" s="11">
        <v>4016677889902</v>
      </c>
      <c r="C3467" s="1" t="s">
        <v>327</v>
      </c>
      <c r="D3467" s="1" t="s">
        <v>26</v>
      </c>
      <c r="E3467" s="1" t="s">
        <v>17</v>
      </c>
      <c r="F3467">
        <v>22</v>
      </c>
      <c r="G3467">
        <v>1</v>
      </c>
      <c r="H3467" s="1" t="s">
        <v>18</v>
      </c>
      <c r="I3467" s="1" t="s">
        <v>645</v>
      </c>
      <c r="J3467" s="12">
        <v>45871</v>
      </c>
      <c r="K3467">
        <v>0</v>
      </c>
      <c r="L3467" s="1">
        <f t="shared" si="216"/>
        <v>22</v>
      </c>
      <c r="M3467" s="1">
        <f t="shared" si="217"/>
        <v>4</v>
      </c>
      <c r="N3467" s="2">
        <f t="shared" si="218"/>
        <v>45870</v>
      </c>
      <c r="O3467" t="str">
        <f t="shared" si="219"/>
        <v>pes</v>
      </c>
    </row>
    <row r="3468" spans="1:15" x14ac:dyDescent="0.25">
      <c r="A3468">
        <v>10972</v>
      </c>
      <c r="B3468" s="11">
        <v>4059012345683</v>
      </c>
      <c r="C3468" s="1" t="s">
        <v>345</v>
      </c>
      <c r="D3468" s="1" t="s">
        <v>26</v>
      </c>
      <c r="E3468" s="1" t="s">
        <v>27</v>
      </c>
      <c r="F3468">
        <v>20</v>
      </c>
      <c r="G3468">
        <v>1</v>
      </c>
      <c r="H3468" s="1" t="s">
        <v>48</v>
      </c>
      <c r="I3468" s="1" t="s">
        <v>646</v>
      </c>
      <c r="J3468" s="12">
        <v>45871</v>
      </c>
      <c r="K3468">
        <v>1</v>
      </c>
      <c r="L3468" s="1">
        <f t="shared" si="216"/>
        <v>20</v>
      </c>
      <c r="M3468" s="1">
        <f t="shared" si="217"/>
        <v>2</v>
      </c>
      <c r="N3468" s="2">
        <f t="shared" si="218"/>
        <v>45870</v>
      </c>
      <c r="O3468" t="str">
        <f t="shared" si="219"/>
        <v>pes</v>
      </c>
    </row>
    <row r="3469" spans="1:15" hidden="1" x14ac:dyDescent="0.25">
      <c r="A3469">
        <v>10973</v>
      </c>
      <c r="B3469" s="11">
        <v>5901122334452</v>
      </c>
      <c r="C3469" s="1" t="s">
        <v>647</v>
      </c>
      <c r="D3469" s="1" t="s">
        <v>317</v>
      </c>
      <c r="E3469" s="1" t="s">
        <v>648</v>
      </c>
      <c r="F3469">
        <v>12</v>
      </c>
      <c r="G3469">
        <v>1</v>
      </c>
      <c r="H3469" s="1" t="s">
        <v>14</v>
      </c>
      <c r="I3469" s="1" t="s">
        <v>15</v>
      </c>
      <c r="J3469" s="12">
        <v>45871</v>
      </c>
      <c r="K3469">
        <v>0</v>
      </c>
      <c r="L3469" s="1">
        <f t="shared" si="216"/>
        <v>12</v>
      </c>
      <c r="M3469" s="1" t="str">
        <f t="shared" si="217"/>
        <v/>
      </c>
      <c r="N3469" s="2">
        <f t="shared" si="218"/>
        <v>45870</v>
      </c>
      <c r="O3469" t="str">
        <f t="shared" si="219"/>
        <v>mačka</v>
      </c>
    </row>
    <row r="3470" spans="1:15" hidden="1" x14ac:dyDescent="0.25">
      <c r="A3470">
        <v>10974</v>
      </c>
      <c r="B3470" s="11">
        <v>4062345678917</v>
      </c>
      <c r="C3470" s="1" t="s">
        <v>649</v>
      </c>
      <c r="D3470" s="1" t="s">
        <v>140</v>
      </c>
      <c r="E3470" s="1" t="s">
        <v>69</v>
      </c>
      <c r="F3470">
        <v>59.64</v>
      </c>
      <c r="G3470">
        <v>1</v>
      </c>
      <c r="H3470" s="1" t="s">
        <v>14</v>
      </c>
      <c r="I3470" s="1" t="s">
        <v>15</v>
      </c>
      <c r="J3470" s="12">
        <v>45871</v>
      </c>
      <c r="K3470">
        <v>0</v>
      </c>
      <c r="L3470" s="1">
        <f t="shared" si="216"/>
        <v>59.64</v>
      </c>
      <c r="M3470" s="1" t="str">
        <f t="shared" si="217"/>
        <v/>
      </c>
      <c r="N3470" s="2">
        <f t="shared" si="218"/>
        <v>45870</v>
      </c>
      <c r="O3470" t="str">
        <f t="shared" si="219"/>
        <v>mačka</v>
      </c>
    </row>
    <row r="3471" spans="1:15" x14ac:dyDescent="0.25">
      <c r="A3471">
        <v>10975</v>
      </c>
      <c r="B3471" s="11">
        <v>4006789012349</v>
      </c>
      <c r="C3471" s="1" t="s">
        <v>38</v>
      </c>
      <c r="D3471" s="1" t="s">
        <v>39</v>
      </c>
      <c r="E3471" s="1" t="s">
        <v>13</v>
      </c>
      <c r="F3471">
        <v>12</v>
      </c>
      <c r="G3471">
        <v>1</v>
      </c>
      <c r="H3471" s="1" t="s">
        <v>18</v>
      </c>
      <c r="I3471" s="1" t="s">
        <v>650</v>
      </c>
      <c r="J3471" s="12">
        <v>45871</v>
      </c>
      <c r="K3471">
        <v>0</v>
      </c>
      <c r="L3471" s="1">
        <f t="shared" si="216"/>
        <v>12</v>
      </c>
      <c r="M3471" s="1">
        <f t="shared" si="217"/>
        <v>4</v>
      </c>
      <c r="N3471" s="2">
        <f t="shared" si="218"/>
        <v>45870</v>
      </c>
      <c r="O3471" t="str">
        <f t="shared" si="219"/>
        <v>pes</v>
      </c>
    </row>
    <row r="3472" spans="1:15" hidden="1" x14ac:dyDescent="0.25">
      <c r="A3472">
        <v>10976</v>
      </c>
      <c r="B3472" s="11">
        <v>4017788990015</v>
      </c>
      <c r="C3472" s="1" t="s">
        <v>651</v>
      </c>
      <c r="D3472" s="1" t="s">
        <v>29</v>
      </c>
      <c r="E3472" s="1" t="s">
        <v>32</v>
      </c>
      <c r="F3472">
        <v>4.8</v>
      </c>
      <c r="G3472">
        <v>2</v>
      </c>
      <c r="H3472" s="1" t="s">
        <v>14</v>
      </c>
      <c r="I3472" s="1" t="s">
        <v>15</v>
      </c>
      <c r="J3472" s="12">
        <v>45871</v>
      </c>
      <c r="K3472">
        <v>0</v>
      </c>
      <c r="L3472" s="1">
        <f t="shared" si="216"/>
        <v>9.6</v>
      </c>
      <c r="M3472" s="1" t="str">
        <f t="shared" si="217"/>
        <v/>
      </c>
      <c r="N3472" s="2">
        <f t="shared" si="218"/>
        <v>45870</v>
      </c>
      <c r="O3472" t="str">
        <f t="shared" si="219"/>
        <v>mačka</v>
      </c>
    </row>
    <row r="3473" spans="1:15" hidden="1" x14ac:dyDescent="0.25">
      <c r="A3473">
        <v>10977</v>
      </c>
      <c r="B3473" s="11">
        <v>4044567890123</v>
      </c>
      <c r="C3473" s="1" t="s">
        <v>266</v>
      </c>
      <c r="D3473" s="1" t="s">
        <v>267</v>
      </c>
      <c r="E3473" s="1" t="s">
        <v>37</v>
      </c>
      <c r="F3473">
        <v>6</v>
      </c>
      <c r="G3473">
        <v>1</v>
      </c>
      <c r="H3473" s="1" t="s">
        <v>14</v>
      </c>
      <c r="I3473" s="1" t="s">
        <v>15</v>
      </c>
      <c r="J3473" s="12">
        <v>45871</v>
      </c>
      <c r="K3473">
        <v>0</v>
      </c>
      <c r="L3473" s="1">
        <f t="shared" si="216"/>
        <v>6</v>
      </c>
      <c r="M3473" s="1" t="str">
        <f t="shared" si="217"/>
        <v/>
      </c>
      <c r="N3473" s="2">
        <f t="shared" si="218"/>
        <v>45870</v>
      </c>
      <c r="O3473" t="str">
        <f t="shared" si="219"/>
        <v>mačka</v>
      </c>
    </row>
    <row r="3474" spans="1:15" hidden="1" x14ac:dyDescent="0.25">
      <c r="A3474">
        <v>10978</v>
      </c>
      <c r="B3474" s="11">
        <v>4055566778892</v>
      </c>
      <c r="C3474" s="1" t="s">
        <v>652</v>
      </c>
      <c r="D3474" s="1" t="s">
        <v>317</v>
      </c>
      <c r="E3474" s="1" t="s">
        <v>69</v>
      </c>
      <c r="F3474">
        <v>8</v>
      </c>
      <c r="G3474">
        <v>1</v>
      </c>
      <c r="H3474" s="1" t="s">
        <v>23</v>
      </c>
      <c r="I3474" s="1" t="s">
        <v>653</v>
      </c>
      <c r="J3474" s="12">
        <v>45871</v>
      </c>
      <c r="K3474">
        <v>0</v>
      </c>
      <c r="L3474" s="1">
        <f t="shared" si="216"/>
        <v>8</v>
      </c>
      <c r="M3474" s="1">
        <f t="shared" si="217"/>
        <v>5</v>
      </c>
      <c r="N3474" s="2">
        <f t="shared" si="218"/>
        <v>45870</v>
      </c>
      <c r="O3474" t="str">
        <f t="shared" si="219"/>
        <v>mačka</v>
      </c>
    </row>
    <row r="3475" spans="1:15" x14ac:dyDescent="0.25">
      <c r="A3475">
        <v>10979</v>
      </c>
      <c r="B3475" s="11">
        <v>4022345678908</v>
      </c>
      <c r="C3475" s="1" t="s">
        <v>363</v>
      </c>
      <c r="D3475" s="1" t="s">
        <v>21</v>
      </c>
      <c r="E3475" s="1" t="s">
        <v>69</v>
      </c>
      <c r="F3475">
        <v>10</v>
      </c>
      <c r="G3475">
        <v>1</v>
      </c>
      <c r="H3475" s="1" t="s">
        <v>14</v>
      </c>
      <c r="I3475" s="1" t="s">
        <v>15</v>
      </c>
      <c r="J3475" s="12">
        <v>45871</v>
      </c>
      <c r="K3475">
        <v>0</v>
      </c>
      <c r="L3475" s="1">
        <f t="shared" si="216"/>
        <v>10</v>
      </c>
      <c r="M3475" s="1" t="str">
        <f t="shared" si="217"/>
        <v/>
      </c>
      <c r="N3475" s="2">
        <f t="shared" si="218"/>
        <v>45870</v>
      </c>
      <c r="O3475" t="str">
        <f t="shared" si="219"/>
        <v>pes</v>
      </c>
    </row>
    <row r="3476" spans="1:15" x14ac:dyDescent="0.25">
      <c r="A3476">
        <v>10980</v>
      </c>
      <c r="B3476" s="11">
        <v>4068899001123</v>
      </c>
      <c r="C3476" s="1" t="s">
        <v>654</v>
      </c>
      <c r="D3476" s="1" t="s">
        <v>21</v>
      </c>
      <c r="E3476" s="1" t="s">
        <v>61</v>
      </c>
      <c r="F3476">
        <v>9.6</v>
      </c>
      <c r="G3476">
        <v>1</v>
      </c>
      <c r="H3476" s="1" t="s">
        <v>14</v>
      </c>
      <c r="I3476" s="1" t="s">
        <v>15</v>
      </c>
      <c r="J3476" s="12">
        <v>45871</v>
      </c>
      <c r="K3476">
        <v>0</v>
      </c>
      <c r="L3476" s="1">
        <f t="shared" si="216"/>
        <v>9.6</v>
      </c>
      <c r="M3476" s="1" t="str">
        <f t="shared" si="217"/>
        <v/>
      </c>
      <c r="N3476" s="2">
        <f t="shared" si="218"/>
        <v>45870</v>
      </c>
      <c r="O3476" t="str">
        <f t="shared" si="219"/>
        <v>pes</v>
      </c>
    </row>
    <row r="3477" spans="1:15" hidden="1" x14ac:dyDescent="0.25">
      <c r="A3477">
        <v>10981</v>
      </c>
      <c r="B3477" s="11">
        <v>4029900112244</v>
      </c>
      <c r="C3477" s="1" t="s">
        <v>655</v>
      </c>
      <c r="D3477" s="1" t="s">
        <v>36</v>
      </c>
      <c r="E3477" s="1" t="s">
        <v>37</v>
      </c>
      <c r="F3477">
        <v>13.6</v>
      </c>
      <c r="G3477">
        <v>1</v>
      </c>
      <c r="H3477" s="1" t="s">
        <v>18</v>
      </c>
      <c r="I3477" s="1" t="s">
        <v>656</v>
      </c>
      <c r="J3477" s="12">
        <v>45871</v>
      </c>
      <c r="K3477">
        <v>0</v>
      </c>
      <c r="L3477" s="1">
        <f t="shared" si="216"/>
        <v>13.6</v>
      </c>
      <c r="M3477" s="1">
        <f t="shared" si="217"/>
        <v>4</v>
      </c>
      <c r="N3477" s="2">
        <f t="shared" si="218"/>
        <v>45870</v>
      </c>
      <c r="O3477" t="str">
        <f t="shared" si="219"/>
        <v>mačka</v>
      </c>
    </row>
    <row r="3478" spans="1:15" hidden="1" x14ac:dyDescent="0.25">
      <c r="A3478">
        <v>10982</v>
      </c>
      <c r="B3478" s="11">
        <v>4024455667788</v>
      </c>
      <c r="C3478" s="1" t="s">
        <v>657</v>
      </c>
      <c r="D3478" s="1" t="s">
        <v>140</v>
      </c>
      <c r="E3478" s="1" t="s">
        <v>42</v>
      </c>
      <c r="F3478">
        <v>75.64</v>
      </c>
      <c r="G3478">
        <v>1</v>
      </c>
      <c r="H3478" s="1" t="s">
        <v>14</v>
      </c>
      <c r="I3478" s="1" t="s">
        <v>15</v>
      </c>
      <c r="J3478" s="12">
        <v>45871</v>
      </c>
      <c r="K3478">
        <v>0</v>
      </c>
      <c r="L3478" s="1">
        <f t="shared" si="216"/>
        <v>75.64</v>
      </c>
      <c r="M3478" s="1" t="str">
        <f t="shared" si="217"/>
        <v/>
      </c>
      <c r="N3478" s="2">
        <f t="shared" si="218"/>
        <v>45870</v>
      </c>
      <c r="O3478" t="str">
        <f t="shared" si="219"/>
        <v>mačka</v>
      </c>
    </row>
    <row r="3479" spans="1:15" x14ac:dyDescent="0.25">
      <c r="A3479">
        <v>10983</v>
      </c>
      <c r="B3479" s="11">
        <v>4003344556679</v>
      </c>
      <c r="C3479" s="1" t="s">
        <v>132</v>
      </c>
      <c r="D3479" s="1" t="s">
        <v>133</v>
      </c>
      <c r="E3479" s="1" t="s">
        <v>134</v>
      </c>
      <c r="F3479">
        <v>51.64</v>
      </c>
      <c r="G3479">
        <v>1</v>
      </c>
      <c r="H3479" s="1" t="s">
        <v>14</v>
      </c>
      <c r="I3479" s="1" t="s">
        <v>15</v>
      </c>
      <c r="J3479" s="12">
        <v>45871</v>
      </c>
      <c r="K3479">
        <v>0</v>
      </c>
      <c r="L3479" s="1">
        <f t="shared" si="216"/>
        <v>51.64</v>
      </c>
      <c r="M3479" s="1" t="str">
        <f t="shared" si="217"/>
        <v/>
      </c>
      <c r="N3479" s="2">
        <f t="shared" si="218"/>
        <v>45870</v>
      </c>
      <c r="O3479" t="str">
        <f t="shared" si="219"/>
        <v>pes</v>
      </c>
    </row>
    <row r="3480" spans="1:15" x14ac:dyDescent="0.25">
      <c r="A3480">
        <v>10984</v>
      </c>
      <c r="B3480" s="11">
        <v>4020123456783</v>
      </c>
      <c r="C3480" s="1" t="s">
        <v>328</v>
      </c>
      <c r="D3480" s="1" t="s">
        <v>26</v>
      </c>
      <c r="E3480" s="1" t="s">
        <v>17</v>
      </c>
      <c r="F3480">
        <v>22</v>
      </c>
      <c r="G3480">
        <v>1</v>
      </c>
      <c r="H3480" s="1" t="s">
        <v>18</v>
      </c>
      <c r="I3480" s="1" t="s">
        <v>658</v>
      </c>
      <c r="J3480" s="12">
        <v>45871</v>
      </c>
      <c r="K3480">
        <v>0</v>
      </c>
      <c r="L3480" s="1">
        <f t="shared" si="216"/>
        <v>22</v>
      </c>
      <c r="M3480" s="1">
        <f t="shared" si="217"/>
        <v>4</v>
      </c>
      <c r="N3480" s="2">
        <f t="shared" si="218"/>
        <v>45870</v>
      </c>
      <c r="O3480" t="str">
        <f t="shared" si="219"/>
        <v>pes</v>
      </c>
    </row>
    <row r="3481" spans="1:15" hidden="1" x14ac:dyDescent="0.25">
      <c r="A3481">
        <v>10985</v>
      </c>
      <c r="B3481" s="11">
        <v>4025678901239</v>
      </c>
      <c r="C3481" s="1" t="s">
        <v>659</v>
      </c>
      <c r="D3481" s="1" t="s">
        <v>267</v>
      </c>
      <c r="E3481" s="1" t="s">
        <v>58</v>
      </c>
      <c r="F3481">
        <v>10</v>
      </c>
      <c r="G3481">
        <v>1</v>
      </c>
      <c r="H3481" s="1" t="s">
        <v>14</v>
      </c>
      <c r="I3481" s="1" t="s">
        <v>15</v>
      </c>
      <c r="J3481" s="12">
        <v>45871</v>
      </c>
      <c r="K3481">
        <v>0</v>
      </c>
      <c r="L3481" s="1">
        <f t="shared" si="216"/>
        <v>10</v>
      </c>
      <c r="M3481" s="1" t="str">
        <f t="shared" si="217"/>
        <v/>
      </c>
      <c r="N3481" s="2">
        <f t="shared" si="218"/>
        <v>45870</v>
      </c>
      <c r="O3481" t="str">
        <f t="shared" si="219"/>
        <v>mačka</v>
      </c>
    </row>
    <row r="3482" spans="1:15" hidden="1" x14ac:dyDescent="0.25">
      <c r="A3482">
        <v>10986</v>
      </c>
      <c r="B3482" s="11">
        <v>4014567890128</v>
      </c>
      <c r="C3482" s="1" t="s">
        <v>660</v>
      </c>
      <c r="D3482" s="1" t="s">
        <v>267</v>
      </c>
      <c r="E3482" s="1" t="s">
        <v>32</v>
      </c>
      <c r="F3482">
        <v>5.2</v>
      </c>
      <c r="G3482">
        <v>1</v>
      </c>
      <c r="H3482" s="1" t="s">
        <v>14</v>
      </c>
      <c r="I3482" s="1" t="s">
        <v>15</v>
      </c>
      <c r="J3482" s="12">
        <v>45871</v>
      </c>
      <c r="K3482">
        <v>0</v>
      </c>
      <c r="L3482" s="1">
        <f t="shared" si="216"/>
        <v>5.2</v>
      </c>
      <c r="M3482" s="1" t="str">
        <f t="shared" si="217"/>
        <v/>
      </c>
      <c r="N3482" s="2">
        <f t="shared" si="218"/>
        <v>45870</v>
      </c>
      <c r="O3482" t="str">
        <f t="shared" si="219"/>
        <v>mačka</v>
      </c>
    </row>
    <row r="3483" spans="1:15" x14ac:dyDescent="0.25">
      <c r="A3483">
        <v>10987</v>
      </c>
      <c r="B3483" s="11">
        <v>4005566778891</v>
      </c>
      <c r="C3483" s="1" t="s">
        <v>146</v>
      </c>
      <c r="D3483" s="1" t="s">
        <v>26</v>
      </c>
      <c r="E3483" s="1" t="s">
        <v>134</v>
      </c>
      <c r="F3483">
        <v>18</v>
      </c>
      <c r="G3483">
        <v>1</v>
      </c>
      <c r="H3483" s="1" t="s">
        <v>14</v>
      </c>
      <c r="I3483" s="1" t="s">
        <v>15</v>
      </c>
      <c r="J3483" s="12">
        <v>45871</v>
      </c>
      <c r="K3483">
        <v>0</v>
      </c>
      <c r="L3483" s="1">
        <f t="shared" si="216"/>
        <v>18</v>
      </c>
      <c r="M3483" s="1" t="str">
        <f t="shared" si="217"/>
        <v/>
      </c>
      <c r="N3483" s="2">
        <f t="shared" si="218"/>
        <v>45870</v>
      </c>
      <c r="O3483" t="str">
        <f t="shared" si="219"/>
        <v>pes</v>
      </c>
    </row>
    <row r="3484" spans="1:15" x14ac:dyDescent="0.25">
      <c r="A3484">
        <v>10988</v>
      </c>
      <c r="B3484" s="11">
        <v>4011234567897</v>
      </c>
      <c r="C3484" s="1" t="s">
        <v>341</v>
      </c>
      <c r="D3484" s="1" t="s">
        <v>21</v>
      </c>
      <c r="E3484" s="1" t="s">
        <v>303</v>
      </c>
      <c r="F3484">
        <v>11.6</v>
      </c>
      <c r="G3484">
        <v>1</v>
      </c>
      <c r="H3484" s="1" t="s">
        <v>23</v>
      </c>
      <c r="I3484" s="1" t="s">
        <v>661</v>
      </c>
      <c r="J3484" s="12">
        <v>45871</v>
      </c>
      <c r="K3484">
        <v>0</v>
      </c>
      <c r="L3484" s="1">
        <f t="shared" si="216"/>
        <v>11.6</v>
      </c>
      <c r="M3484" s="1">
        <f t="shared" si="217"/>
        <v>5</v>
      </c>
      <c r="N3484" s="2">
        <f t="shared" si="218"/>
        <v>45870</v>
      </c>
      <c r="O3484" t="str">
        <f t="shared" si="219"/>
        <v>pes</v>
      </c>
    </row>
    <row r="3485" spans="1:15" hidden="1" x14ac:dyDescent="0.25">
      <c r="A3485">
        <v>10989</v>
      </c>
      <c r="B3485" s="11">
        <v>8004567890122</v>
      </c>
      <c r="C3485" s="1" t="s">
        <v>662</v>
      </c>
      <c r="D3485" s="1" t="s">
        <v>144</v>
      </c>
      <c r="E3485" s="1" t="s">
        <v>303</v>
      </c>
      <c r="F3485">
        <v>16</v>
      </c>
      <c r="G3485">
        <v>1</v>
      </c>
      <c r="H3485" s="1" t="s">
        <v>14</v>
      </c>
      <c r="I3485" s="1" t="s">
        <v>15</v>
      </c>
      <c r="J3485" s="12">
        <v>45871</v>
      </c>
      <c r="K3485">
        <v>0</v>
      </c>
      <c r="L3485" s="1">
        <f t="shared" si="216"/>
        <v>16</v>
      </c>
      <c r="M3485" s="1" t="str">
        <f t="shared" si="217"/>
        <v/>
      </c>
      <c r="N3485" s="2">
        <f t="shared" si="218"/>
        <v>45870</v>
      </c>
      <c r="O3485" t="str">
        <f t="shared" si="219"/>
        <v>mačka</v>
      </c>
    </row>
    <row r="3486" spans="1:15" hidden="1" x14ac:dyDescent="0.25">
      <c r="A3486">
        <v>10990</v>
      </c>
      <c r="B3486" s="11">
        <v>8006789012345</v>
      </c>
      <c r="C3486" s="1" t="s">
        <v>302</v>
      </c>
      <c r="D3486" s="1" t="s">
        <v>36</v>
      </c>
      <c r="E3486" s="1" t="s">
        <v>303</v>
      </c>
      <c r="F3486">
        <v>8</v>
      </c>
      <c r="G3486">
        <v>1</v>
      </c>
      <c r="H3486" s="1" t="s">
        <v>14</v>
      </c>
      <c r="I3486" s="1" t="s">
        <v>15</v>
      </c>
      <c r="J3486" s="12">
        <v>45871</v>
      </c>
      <c r="K3486">
        <v>0</v>
      </c>
      <c r="L3486" s="1">
        <f t="shared" si="216"/>
        <v>8</v>
      </c>
      <c r="M3486" s="1" t="str">
        <f t="shared" si="217"/>
        <v/>
      </c>
      <c r="N3486" s="2">
        <f t="shared" si="218"/>
        <v>45870</v>
      </c>
      <c r="O3486" t="str">
        <f t="shared" si="219"/>
        <v>mačka</v>
      </c>
    </row>
    <row r="3487" spans="1:15" hidden="1" x14ac:dyDescent="0.25">
      <c r="A3487">
        <v>10991</v>
      </c>
      <c r="B3487" s="11">
        <v>4007788990022</v>
      </c>
      <c r="C3487" s="1" t="s">
        <v>663</v>
      </c>
      <c r="D3487" s="1" t="s">
        <v>140</v>
      </c>
      <c r="E3487" s="1" t="s">
        <v>141</v>
      </c>
      <c r="F3487">
        <v>59.64</v>
      </c>
      <c r="G3487">
        <v>1</v>
      </c>
      <c r="H3487" s="1" t="s">
        <v>18</v>
      </c>
      <c r="I3487" s="1" t="s">
        <v>664</v>
      </c>
      <c r="J3487" s="12">
        <v>45871</v>
      </c>
      <c r="K3487">
        <v>0</v>
      </c>
      <c r="L3487" s="1">
        <f t="shared" si="216"/>
        <v>59.64</v>
      </c>
      <c r="M3487" s="1">
        <f t="shared" si="217"/>
        <v>4</v>
      </c>
      <c r="N3487" s="2">
        <f t="shared" si="218"/>
        <v>45870</v>
      </c>
      <c r="O3487" t="str">
        <f t="shared" si="219"/>
        <v>mačka</v>
      </c>
    </row>
    <row r="3488" spans="1:15" hidden="1" x14ac:dyDescent="0.25">
      <c r="A3488">
        <v>10992</v>
      </c>
      <c r="B3488" s="11">
        <v>8007890123454</v>
      </c>
      <c r="C3488" s="1" t="s">
        <v>360</v>
      </c>
      <c r="D3488" s="1" t="s">
        <v>140</v>
      </c>
      <c r="E3488" s="1" t="s">
        <v>37</v>
      </c>
      <c r="F3488">
        <v>43.64</v>
      </c>
      <c r="G3488">
        <v>1</v>
      </c>
      <c r="H3488" s="1" t="s">
        <v>14</v>
      </c>
      <c r="I3488" s="1" t="s">
        <v>15</v>
      </c>
      <c r="J3488" s="12">
        <v>45871</v>
      </c>
      <c r="K3488">
        <v>0</v>
      </c>
      <c r="L3488" s="1">
        <f t="shared" si="216"/>
        <v>43.64</v>
      </c>
      <c r="M3488" s="1" t="str">
        <f t="shared" si="217"/>
        <v/>
      </c>
      <c r="N3488" s="2">
        <f t="shared" si="218"/>
        <v>45870</v>
      </c>
      <c r="O3488" t="str">
        <f t="shared" si="219"/>
        <v>mačka</v>
      </c>
    </row>
    <row r="3489" spans="1:15" x14ac:dyDescent="0.25">
      <c r="A3489">
        <v>10993</v>
      </c>
      <c r="B3489" s="11">
        <v>5908901234563</v>
      </c>
      <c r="C3489" s="1" t="s">
        <v>665</v>
      </c>
      <c r="D3489" s="1" t="s">
        <v>133</v>
      </c>
      <c r="E3489" s="1" t="s">
        <v>22</v>
      </c>
      <c r="F3489">
        <v>63.64</v>
      </c>
      <c r="G3489">
        <v>1</v>
      </c>
      <c r="H3489" s="1" t="s">
        <v>14</v>
      </c>
      <c r="I3489" s="1" t="s">
        <v>15</v>
      </c>
      <c r="J3489" s="12">
        <v>45871</v>
      </c>
      <c r="K3489">
        <v>0</v>
      </c>
      <c r="L3489" s="1">
        <f t="shared" si="216"/>
        <v>63.64</v>
      </c>
      <c r="M3489" s="1" t="str">
        <f t="shared" si="217"/>
        <v/>
      </c>
      <c r="N3489" s="2">
        <f t="shared" si="218"/>
        <v>45870</v>
      </c>
      <c r="O3489" t="str">
        <f t="shared" si="219"/>
        <v>pes</v>
      </c>
    </row>
    <row r="3490" spans="1:15" x14ac:dyDescent="0.25">
      <c r="A3490">
        <v>10994</v>
      </c>
      <c r="B3490" s="11">
        <v>4048901234572</v>
      </c>
      <c r="C3490" s="1" t="s">
        <v>343</v>
      </c>
      <c r="D3490" s="1" t="s">
        <v>26</v>
      </c>
      <c r="E3490" s="1" t="s">
        <v>22</v>
      </c>
      <c r="F3490">
        <v>18</v>
      </c>
      <c r="G3490">
        <v>1</v>
      </c>
      <c r="H3490" s="1" t="s">
        <v>23</v>
      </c>
      <c r="I3490" s="1" t="s">
        <v>666</v>
      </c>
      <c r="J3490" s="12">
        <v>45871</v>
      </c>
      <c r="K3490">
        <v>0</v>
      </c>
      <c r="L3490" s="1">
        <f t="shared" si="216"/>
        <v>18</v>
      </c>
      <c r="M3490" s="1">
        <f t="shared" si="217"/>
        <v>5</v>
      </c>
      <c r="N3490" s="2">
        <f t="shared" si="218"/>
        <v>45870</v>
      </c>
      <c r="O3490" t="str">
        <f t="shared" si="219"/>
        <v>pes</v>
      </c>
    </row>
    <row r="3491" spans="1:15" x14ac:dyDescent="0.25">
      <c r="A3491">
        <v>10995</v>
      </c>
      <c r="B3491" s="11">
        <v>8002233445569</v>
      </c>
      <c r="C3491" s="1" t="s">
        <v>667</v>
      </c>
      <c r="D3491" s="1" t="s">
        <v>26</v>
      </c>
      <c r="E3491" s="1" t="s">
        <v>308</v>
      </c>
      <c r="F3491">
        <v>20</v>
      </c>
      <c r="G3491">
        <v>1</v>
      </c>
      <c r="H3491" s="1" t="s">
        <v>14</v>
      </c>
      <c r="I3491" s="1" t="s">
        <v>15</v>
      </c>
      <c r="J3491" s="12">
        <v>45871</v>
      </c>
      <c r="K3491">
        <v>0</v>
      </c>
      <c r="L3491" s="1">
        <f t="shared" si="216"/>
        <v>20</v>
      </c>
      <c r="M3491" s="1" t="str">
        <f t="shared" si="217"/>
        <v/>
      </c>
      <c r="N3491" s="2">
        <f t="shared" si="218"/>
        <v>45870</v>
      </c>
      <c r="O3491" t="str">
        <f t="shared" si="219"/>
        <v>pes</v>
      </c>
    </row>
    <row r="3492" spans="1:15" x14ac:dyDescent="0.25">
      <c r="A3492">
        <v>10996</v>
      </c>
      <c r="B3492" s="11">
        <v>8005678901239</v>
      </c>
      <c r="C3492" s="1" t="s">
        <v>668</v>
      </c>
      <c r="D3492" s="1" t="s">
        <v>26</v>
      </c>
      <c r="E3492" s="1" t="s">
        <v>308</v>
      </c>
      <c r="F3492">
        <v>20.8</v>
      </c>
      <c r="G3492">
        <v>1</v>
      </c>
      <c r="H3492" s="1" t="s">
        <v>14</v>
      </c>
      <c r="I3492" s="1" t="s">
        <v>15</v>
      </c>
      <c r="J3492" s="12">
        <v>45872</v>
      </c>
      <c r="K3492">
        <v>0</v>
      </c>
      <c r="L3492" s="1">
        <f t="shared" si="216"/>
        <v>20.8</v>
      </c>
      <c r="M3492" s="1" t="str">
        <f t="shared" si="217"/>
        <v/>
      </c>
      <c r="N3492" s="2">
        <f t="shared" si="218"/>
        <v>45870</v>
      </c>
      <c r="O3492" t="str">
        <f t="shared" si="219"/>
        <v>pes</v>
      </c>
    </row>
    <row r="3493" spans="1:15" x14ac:dyDescent="0.25">
      <c r="A3493">
        <v>10997</v>
      </c>
      <c r="B3493" s="11">
        <v>4004455667780</v>
      </c>
      <c r="C3493" s="1" t="s">
        <v>640</v>
      </c>
      <c r="D3493" s="1" t="s">
        <v>641</v>
      </c>
      <c r="E3493" s="1" t="s">
        <v>134</v>
      </c>
      <c r="F3493">
        <v>14</v>
      </c>
      <c r="G3493">
        <v>1</v>
      </c>
      <c r="H3493" s="1" t="s">
        <v>14</v>
      </c>
      <c r="I3493" s="1" t="s">
        <v>15</v>
      </c>
      <c r="J3493" s="12">
        <v>45872</v>
      </c>
      <c r="K3493">
        <v>0</v>
      </c>
      <c r="L3493" s="1">
        <f t="shared" si="216"/>
        <v>14</v>
      </c>
      <c r="M3493" s="1" t="str">
        <f t="shared" si="217"/>
        <v/>
      </c>
      <c r="N3493" s="2">
        <f t="shared" si="218"/>
        <v>45870</v>
      </c>
      <c r="O3493" t="str">
        <f t="shared" si="219"/>
        <v>pes</v>
      </c>
    </row>
    <row r="3494" spans="1:15" x14ac:dyDescent="0.25">
      <c r="A3494">
        <v>10998</v>
      </c>
      <c r="B3494" s="11">
        <v>4063456789014</v>
      </c>
      <c r="C3494" s="1" t="s">
        <v>60</v>
      </c>
      <c r="D3494" s="1" t="s">
        <v>12</v>
      </c>
      <c r="E3494" s="1" t="s">
        <v>61</v>
      </c>
      <c r="F3494">
        <v>36</v>
      </c>
      <c r="G3494">
        <v>1</v>
      </c>
      <c r="H3494" s="1" t="s">
        <v>23</v>
      </c>
      <c r="I3494" s="1" t="s">
        <v>669</v>
      </c>
      <c r="J3494" s="12">
        <v>45872</v>
      </c>
      <c r="K3494">
        <v>0</v>
      </c>
      <c r="L3494" s="1">
        <f t="shared" si="216"/>
        <v>36</v>
      </c>
      <c r="M3494" s="1">
        <f t="shared" si="217"/>
        <v>5</v>
      </c>
      <c r="N3494" s="2">
        <f t="shared" si="218"/>
        <v>45870</v>
      </c>
      <c r="O3494" t="str">
        <f t="shared" si="219"/>
        <v>pes</v>
      </c>
    </row>
    <row r="3495" spans="1:15" x14ac:dyDescent="0.25">
      <c r="A3495">
        <v>10999</v>
      </c>
      <c r="B3495" s="11">
        <v>4028899001126</v>
      </c>
      <c r="C3495" s="1" t="s">
        <v>16</v>
      </c>
      <c r="D3495" s="1" t="s">
        <v>12</v>
      </c>
      <c r="E3495" s="1" t="s">
        <v>17</v>
      </c>
      <c r="F3495">
        <v>2.8</v>
      </c>
      <c r="G3495">
        <v>2</v>
      </c>
      <c r="H3495" s="1" t="s">
        <v>14</v>
      </c>
      <c r="I3495" s="1" t="s">
        <v>15</v>
      </c>
      <c r="J3495" s="12">
        <v>45872</v>
      </c>
      <c r="K3495">
        <v>0</v>
      </c>
      <c r="L3495" s="1">
        <f t="shared" si="216"/>
        <v>5.6</v>
      </c>
      <c r="M3495" s="1" t="str">
        <f t="shared" si="217"/>
        <v/>
      </c>
      <c r="N3495" s="2">
        <f t="shared" si="218"/>
        <v>45870</v>
      </c>
      <c r="O3495" t="str">
        <f t="shared" si="219"/>
        <v>pes</v>
      </c>
    </row>
    <row r="3496" spans="1:15" hidden="1" x14ac:dyDescent="0.25">
      <c r="A3496">
        <v>11000</v>
      </c>
      <c r="B3496" s="11">
        <v>4010123456783</v>
      </c>
      <c r="C3496" s="1" t="s">
        <v>35</v>
      </c>
      <c r="D3496" s="1" t="s">
        <v>36</v>
      </c>
      <c r="E3496" s="1" t="s">
        <v>37</v>
      </c>
      <c r="F3496">
        <v>14</v>
      </c>
      <c r="G3496">
        <v>1</v>
      </c>
      <c r="H3496" s="1" t="s">
        <v>14</v>
      </c>
      <c r="I3496" s="1" t="s">
        <v>15</v>
      </c>
      <c r="J3496" s="12">
        <v>45872</v>
      </c>
      <c r="K3496">
        <v>0</v>
      </c>
      <c r="L3496" s="1">
        <f t="shared" si="216"/>
        <v>14</v>
      </c>
      <c r="M3496" s="1" t="str">
        <f t="shared" si="217"/>
        <v/>
      </c>
      <c r="N3496" s="2">
        <f t="shared" si="218"/>
        <v>45870</v>
      </c>
      <c r="O3496" t="str">
        <f t="shared" si="219"/>
        <v>mačka</v>
      </c>
    </row>
    <row r="3497" spans="1:15" hidden="1" x14ac:dyDescent="0.25">
      <c r="A3497">
        <v>11001</v>
      </c>
      <c r="B3497" s="11">
        <v>4002233445566</v>
      </c>
      <c r="C3497" s="1" t="s">
        <v>268</v>
      </c>
      <c r="D3497" s="1" t="s">
        <v>140</v>
      </c>
      <c r="E3497" s="1" t="s">
        <v>30</v>
      </c>
      <c r="F3497">
        <v>20</v>
      </c>
      <c r="G3497">
        <v>1</v>
      </c>
      <c r="H3497" s="1" t="s">
        <v>18</v>
      </c>
      <c r="I3497" s="1" t="s">
        <v>670</v>
      </c>
      <c r="J3497" s="12">
        <v>45872</v>
      </c>
      <c r="K3497">
        <v>0</v>
      </c>
      <c r="L3497" s="1">
        <f t="shared" si="216"/>
        <v>20</v>
      </c>
      <c r="M3497" s="1">
        <f t="shared" si="217"/>
        <v>4</v>
      </c>
      <c r="N3497" s="2">
        <f t="shared" si="218"/>
        <v>45870</v>
      </c>
      <c r="O3497" t="str">
        <f t="shared" si="219"/>
        <v>mačka</v>
      </c>
    </row>
    <row r="3498" spans="1:15" hidden="1" x14ac:dyDescent="0.25">
      <c r="A3498">
        <v>11002</v>
      </c>
      <c r="B3498" s="11">
        <v>8591234567812</v>
      </c>
      <c r="C3498" s="1" t="s">
        <v>314</v>
      </c>
      <c r="D3498" s="1" t="s">
        <v>29</v>
      </c>
      <c r="E3498" s="1" t="s">
        <v>30</v>
      </c>
      <c r="F3498">
        <v>33.200000000000003</v>
      </c>
      <c r="G3498">
        <v>1</v>
      </c>
      <c r="H3498" s="1" t="s">
        <v>14</v>
      </c>
      <c r="I3498" s="1" t="s">
        <v>15</v>
      </c>
      <c r="J3498" s="12">
        <v>45872</v>
      </c>
      <c r="K3498">
        <v>0</v>
      </c>
      <c r="L3498" s="1">
        <f t="shared" si="216"/>
        <v>33.200000000000003</v>
      </c>
      <c r="M3498" s="1" t="str">
        <f t="shared" si="217"/>
        <v/>
      </c>
      <c r="N3498" s="2">
        <f t="shared" si="218"/>
        <v>45870</v>
      </c>
      <c r="O3498" t="str">
        <f t="shared" si="219"/>
        <v>mačka</v>
      </c>
    </row>
    <row r="3499" spans="1:15" hidden="1" x14ac:dyDescent="0.25">
      <c r="A3499">
        <v>11003</v>
      </c>
      <c r="B3499" s="11">
        <v>4045678901234</v>
      </c>
      <c r="C3499" s="1" t="s">
        <v>671</v>
      </c>
      <c r="D3499" s="1" t="s">
        <v>29</v>
      </c>
      <c r="E3499" s="1" t="s">
        <v>58</v>
      </c>
      <c r="F3499">
        <v>9.6</v>
      </c>
      <c r="G3499">
        <v>1</v>
      </c>
      <c r="H3499" s="1" t="s">
        <v>14</v>
      </c>
      <c r="I3499" s="1" t="s">
        <v>15</v>
      </c>
      <c r="J3499" s="12">
        <v>45872</v>
      </c>
      <c r="K3499">
        <v>0</v>
      </c>
      <c r="L3499" s="1">
        <f t="shared" si="216"/>
        <v>9.6</v>
      </c>
      <c r="M3499" s="1" t="str">
        <f t="shared" si="217"/>
        <v/>
      </c>
      <c r="N3499" s="2">
        <f t="shared" si="218"/>
        <v>45870</v>
      </c>
      <c r="O3499" t="str">
        <f t="shared" si="219"/>
        <v>mačka</v>
      </c>
    </row>
    <row r="3500" spans="1:15" hidden="1" x14ac:dyDescent="0.25">
      <c r="A3500">
        <v>11004</v>
      </c>
      <c r="B3500" s="11">
        <v>4069012345682</v>
      </c>
      <c r="C3500" s="1" t="s">
        <v>143</v>
      </c>
      <c r="D3500" s="1" t="s">
        <v>144</v>
      </c>
      <c r="E3500" s="1" t="s">
        <v>30</v>
      </c>
      <c r="F3500">
        <v>26</v>
      </c>
      <c r="G3500">
        <v>1</v>
      </c>
      <c r="H3500" s="1" t="s">
        <v>14</v>
      </c>
      <c r="I3500" s="1" t="s">
        <v>15</v>
      </c>
      <c r="J3500" s="12">
        <v>45872</v>
      </c>
      <c r="K3500">
        <v>0</v>
      </c>
      <c r="L3500" s="1">
        <f t="shared" si="216"/>
        <v>26</v>
      </c>
      <c r="M3500" s="1" t="str">
        <f t="shared" si="217"/>
        <v/>
      </c>
      <c r="N3500" s="2">
        <f t="shared" si="218"/>
        <v>45870</v>
      </c>
      <c r="O3500" t="str">
        <f t="shared" si="219"/>
        <v>mačka</v>
      </c>
    </row>
    <row r="3501" spans="1:15" hidden="1" x14ac:dyDescent="0.25">
      <c r="A3501">
        <v>11005</v>
      </c>
      <c r="B3501" s="11">
        <v>4021234567894</v>
      </c>
      <c r="C3501" s="1" t="s">
        <v>79</v>
      </c>
      <c r="D3501" s="1" t="s">
        <v>36</v>
      </c>
      <c r="E3501" s="1" t="s">
        <v>69</v>
      </c>
      <c r="F3501">
        <v>8</v>
      </c>
      <c r="G3501">
        <v>1</v>
      </c>
      <c r="H3501" s="1" t="s">
        <v>14</v>
      </c>
      <c r="I3501" s="1" t="s">
        <v>15</v>
      </c>
      <c r="J3501" s="12">
        <v>45872</v>
      </c>
      <c r="K3501">
        <v>0</v>
      </c>
      <c r="L3501" s="1">
        <f t="shared" si="216"/>
        <v>8</v>
      </c>
      <c r="M3501" s="1" t="str">
        <f t="shared" si="217"/>
        <v/>
      </c>
      <c r="N3501" s="2">
        <f t="shared" si="218"/>
        <v>45870</v>
      </c>
      <c r="O3501" t="str">
        <f t="shared" si="219"/>
        <v>mačka</v>
      </c>
    </row>
    <row r="3502" spans="1:15" x14ac:dyDescent="0.25">
      <c r="A3502">
        <v>11006</v>
      </c>
      <c r="B3502" s="11">
        <v>4040123456795</v>
      </c>
      <c r="C3502" s="1" t="s">
        <v>20</v>
      </c>
      <c r="D3502" s="1" t="s">
        <v>21</v>
      </c>
      <c r="E3502" s="1" t="s">
        <v>22</v>
      </c>
      <c r="F3502">
        <v>8.8000000000000007</v>
      </c>
      <c r="G3502">
        <v>1</v>
      </c>
      <c r="H3502" s="1" t="s">
        <v>23</v>
      </c>
      <c r="I3502" s="1" t="s">
        <v>672</v>
      </c>
      <c r="J3502" s="12">
        <v>45872</v>
      </c>
      <c r="K3502">
        <v>0</v>
      </c>
      <c r="L3502" s="1">
        <f t="shared" si="216"/>
        <v>8.8000000000000007</v>
      </c>
      <c r="M3502" s="1">
        <f t="shared" si="217"/>
        <v>5</v>
      </c>
      <c r="N3502" s="2">
        <f t="shared" si="218"/>
        <v>45870</v>
      </c>
      <c r="O3502" t="str">
        <f t="shared" si="219"/>
        <v>pes</v>
      </c>
    </row>
    <row r="3503" spans="1:15" x14ac:dyDescent="0.25">
      <c r="A3503">
        <v>11007</v>
      </c>
      <c r="B3503" s="11">
        <v>4017890123450</v>
      </c>
      <c r="C3503" s="1" t="s">
        <v>65</v>
      </c>
      <c r="D3503" s="1" t="s">
        <v>39</v>
      </c>
      <c r="E3503" s="1" t="s">
        <v>22</v>
      </c>
      <c r="F3503">
        <v>7.6</v>
      </c>
      <c r="G3503">
        <v>1</v>
      </c>
      <c r="H3503" s="1" t="s">
        <v>14</v>
      </c>
      <c r="I3503" s="1" t="s">
        <v>15</v>
      </c>
      <c r="J3503" s="12">
        <v>45872</v>
      </c>
      <c r="K3503">
        <v>0</v>
      </c>
      <c r="L3503" s="1">
        <f t="shared" si="216"/>
        <v>7.6</v>
      </c>
      <c r="M3503" s="1" t="str">
        <f t="shared" si="217"/>
        <v/>
      </c>
      <c r="N3503" s="2">
        <f t="shared" si="218"/>
        <v>45870</v>
      </c>
      <c r="O3503" t="str">
        <f t="shared" si="219"/>
        <v>pes</v>
      </c>
    </row>
    <row r="3504" spans="1:15" x14ac:dyDescent="0.25">
      <c r="A3504">
        <v>11008</v>
      </c>
      <c r="B3504" s="11">
        <v>4046789012356</v>
      </c>
      <c r="C3504" s="1" t="s">
        <v>304</v>
      </c>
      <c r="D3504" s="1" t="s">
        <v>39</v>
      </c>
      <c r="E3504" s="1" t="s">
        <v>61</v>
      </c>
      <c r="F3504">
        <v>6.4</v>
      </c>
      <c r="G3504">
        <v>1</v>
      </c>
      <c r="H3504" s="1" t="s">
        <v>18</v>
      </c>
      <c r="I3504" s="1" t="s">
        <v>673</v>
      </c>
      <c r="J3504" s="12">
        <v>45872</v>
      </c>
      <c r="K3504">
        <v>0</v>
      </c>
      <c r="L3504" s="1">
        <f t="shared" si="216"/>
        <v>6.4</v>
      </c>
      <c r="M3504" s="1">
        <f t="shared" si="217"/>
        <v>4</v>
      </c>
      <c r="N3504" s="2">
        <f t="shared" si="218"/>
        <v>45870</v>
      </c>
      <c r="O3504" t="str">
        <f t="shared" si="219"/>
        <v>pes</v>
      </c>
    </row>
    <row r="3505" spans="1:15" hidden="1" x14ac:dyDescent="0.25">
      <c r="A3505">
        <v>11009</v>
      </c>
      <c r="B3505" s="11">
        <v>4019876501234</v>
      </c>
      <c r="C3505" s="1" t="s">
        <v>674</v>
      </c>
      <c r="D3505" s="1" t="s">
        <v>29</v>
      </c>
      <c r="E3505" s="1" t="s">
        <v>37</v>
      </c>
      <c r="F3505">
        <v>1.84</v>
      </c>
      <c r="G3505">
        <v>3</v>
      </c>
      <c r="H3505" s="1" t="s">
        <v>14</v>
      </c>
      <c r="I3505" s="1" t="s">
        <v>15</v>
      </c>
      <c r="J3505" s="12">
        <v>45872</v>
      </c>
      <c r="K3505">
        <v>0</v>
      </c>
      <c r="L3505" s="1">
        <f t="shared" si="216"/>
        <v>5.5200000000000005</v>
      </c>
      <c r="M3505" s="1" t="str">
        <f t="shared" si="217"/>
        <v/>
      </c>
      <c r="N3505" s="2">
        <f t="shared" si="218"/>
        <v>45870</v>
      </c>
      <c r="O3505" t="str">
        <f t="shared" si="219"/>
        <v>mačka</v>
      </c>
    </row>
    <row r="3506" spans="1:15" hidden="1" x14ac:dyDescent="0.25">
      <c r="A3506">
        <v>11010</v>
      </c>
      <c r="B3506" s="11">
        <v>4006677889904</v>
      </c>
      <c r="C3506" s="1" t="s">
        <v>206</v>
      </c>
      <c r="D3506" s="1" t="s">
        <v>29</v>
      </c>
      <c r="E3506" s="1" t="s">
        <v>30</v>
      </c>
      <c r="F3506">
        <v>2</v>
      </c>
      <c r="G3506">
        <v>4</v>
      </c>
      <c r="H3506" s="1" t="s">
        <v>18</v>
      </c>
      <c r="I3506" s="1" t="s">
        <v>675</v>
      </c>
      <c r="J3506" s="12">
        <v>45872</v>
      </c>
      <c r="K3506">
        <v>0</v>
      </c>
      <c r="L3506" s="1">
        <f t="shared" si="216"/>
        <v>8</v>
      </c>
      <c r="M3506" s="1">
        <f t="shared" si="217"/>
        <v>4</v>
      </c>
      <c r="N3506" s="2">
        <f t="shared" si="218"/>
        <v>45870</v>
      </c>
      <c r="O3506" t="str">
        <f t="shared" si="219"/>
        <v>mačka</v>
      </c>
    </row>
    <row r="3507" spans="1:15" x14ac:dyDescent="0.25">
      <c r="A3507">
        <v>11011</v>
      </c>
      <c r="B3507" s="11">
        <v>8599988776654</v>
      </c>
      <c r="C3507" s="1" t="s">
        <v>393</v>
      </c>
      <c r="D3507" s="1" t="s">
        <v>133</v>
      </c>
      <c r="E3507" s="1" t="s">
        <v>17</v>
      </c>
      <c r="F3507">
        <v>28</v>
      </c>
      <c r="G3507">
        <v>1</v>
      </c>
      <c r="H3507" s="1" t="s">
        <v>14</v>
      </c>
      <c r="I3507" s="1" t="s">
        <v>15</v>
      </c>
      <c r="J3507" s="12">
        <v>45872</v>
      </c>
      <c r="K3507">
        <v>0</v>
      </c>
      <c r="L3507" s="1">
        <f t="shared" si="216"/>
        <v>28</v>
      </c>
      <c r="M3507" s="1" t="str">
        <f t="shared" si="217"/>
        <v/>
      </c>
      <c r="N3507" s="2">
        <f t="shared" si="218"/>
        <v>45870</v>
      </c>
      <c r="O3507" t="str">
        <f t="shared" si="219"/>
        <v>pes</v>
      </c>
    </row>
    <row r="3508" spans="1:15" hidden="1" x14ac:dyDescent="0.25">
      <c r="A3508">
        <v>11012</v>
      </c>
      <c r="B3508" s="11">
        <v>4042233445567</v>
      </c>
      <c r="C3508" s="1" t="s">
        <v>637</v>
      </c>
      <c r="D3508" s="1" t="s">
        <v>140</v>
      </c>
      <c r="E3508" s="1" t="s">
        <v>141</v>
      </c>
      <c r="F3508">
        <v>51.64</v>
      </c>
      <c r="G3508">
        <v>1</v>
      </c>
      <c r="H3508" s="1" t="s">
        <v>14</v>
      </c>
      <c r="I3508" s="1" t="s">
        <v>15</v>
      </c>
      <c r="J3508" s="12">
        <v>45872</v>
      </c>
      <c r="K3508">
        <v>0</v>
      </c>
      <c r="L3508" s="1">
        <f t="shared" si="216"/>
        <v>51.64</v>
      </c>
      <c r="M3508" s="1" t="str">
        <f t="shared" si="217"/>
        <v/>
      </c>
      <c r="N3508" s="2">
        <f t="shared" si="218"/>
        <v>45870</v>
      </c>
      <c r="O3508" t="str">
        <f t="shared" si="219"/>
        <v>mačka</v>
      </c>
    </row>
    <row r="3509" spans="1:15" hidden="1" x14ac:dyDescent="0.25">
      <c r="A3509">
        <v>11013</v>
      </c>
      <c r="B3509" s="11">
        <v>4025566778891</v>
      </c>
      <c r="C3509" s="1" t="s">
        <v>320</v>
      </c>
      <c r="D3509" s="1" t="s">
        <v>317</v>
      </c>
      <c r="E3509" s="1" t="s">
        <v>30</v>
      </c>
      <c r="F3509">
        <v>51.64</v>
      </c>
      <c r="G3509">
        <v>1</v>
      </c>
      <c r="H3509" s="1" t="s">
        <v>14</v>
      </c>
      <c r="I3509" s="1" t="s">
        <v>15</v>
      </c>
      <c r="J3509" s="12">
        <v>45872</v>
      </c>
      <c r="K3509">
        <v>0</v>
      </c>
      <c r="L3509" s="1">
        <f t="shared" si="216"/>
        <v>51.64</v>
      </c>
      <c r="M3509" s="1" t="str">
        <f t="shared" si="217"/>
        <v/>
      </c>
      <c r="N3509" s="2">
        <f t="shared" si="218"/>
        <v>45870</v>
      </c>
      <c r="O3509" t="str">
        <f t="shared" si="219"/>
        <v>mačka</v>
      </c>
    </row>
    <row r="3510" spans="1:15" hidden="1" x14ac:dyDescent="0.25">
      <c r="A3510">
        <v>11014</v>
      </c>
      <c r="B3510" s="11">
        <v>4021234567894</v>
      </c>
      <c r="C3510" s="1" t="s">
        <v>79</v>
      </c>
      <c r="D3510" s="1" t="s">
        <v>36</v>
      </c>
      <c r="E3510" s="1" t="s">
        <v>69</v>
      </c>
      <c r="F3510">
        <v>8</v>
      </c>
      <c r="G3510">
        <v>2</v>
      </c>
      <c r="H3510" s="1" t="s">
        <v>14</v>
      </c>
      <c r="I3510" s="1" t="s">
        <v>15</v>
      </c>
      <c r="J3510" s="12">
        <v>45872</v>
      </c>
      <c r="K3510">
        <v>0</v>
      </c>
      <c r="L3510" s="1">
        <f t="shared" si="216"/>
        <v>16</v>
      </c>
      <c r="M3510" s="1" t="str">
        <f t="shared" si="217"/>
        <v/>
      </c>
      <c r="N3510" s="2">
        <f t="shared" si="218"/>
        <v>45870</v>
      </c>
      <c r="O3510" t="str">
        <f t="shared" si="219"/>
        <v>mačka</v>
      </c>
    </row>
    <row r="3511" spans="1:15" x14ac:dyDescent="0.25">
      <c r="A3511">
        <v>11015</v>
      </c>
      <c r="B3511" s="11">
        <v>4057890123467</v>
      </c>
      <c r="C3511" s="1" t="s">
        <v>307</v>
      </c>
      <c r="D3511" s="1" t="s">
        <v>39</v>
      </c>
      <c r="E3511" s="1" t="s">
        <v>308</v>
      </c>
      <c r="F3511">
        <v>9.6</v>
      </c>
      <c r="G3511">
        <v>1</v>
      </c>
      <c r="H3511" s="1" t="s">
        <v>23</v>
      </c>
      <c r="I3511" s="1" t="s">
        <v>676</v>
      </c>
      <c r="J3511" s="12">
        <v>45872</v>
      </c>
      <c r="K3511">
        <v>0</v>
      </c>
      <c r="L3511" s="1">
        <f t="shared" si="216"/>
        <v>9.6</v>
      </c>
      <c r="M3511" s="1">
        <f t="shared" si="217"/>
        <v>5</v>
      </c>
      <c r="N3511" s="2">
        <f t="shared" si="218"/>
        <v>45870</v>
      </c>
      <c r="O3511" t="str">
        <f t="shared" si="219"/>
        <v>pes</v>
      </c>
    </row>
    <row r="3512" spans="1:15" x14ac:dyDescent="0.25">
      <c r="A3512">
        <v>11016</v>
      </c>
      <c r="B3512" s="11">
        <v>4063456789014</v>
      </c>
      <c r="C3512" s="1" t="s">
        <v>60</v>
      </c>
      <c r="D3512" s="1" t="s">
        <v>12</v>
      </c>
      <c r="E3512" s="1" t="s">
        <v>61</v>
      </c>
      <c r="F3512">
        <v>36</v>
      </c>
      <c r="G3512">
        <v>1</v>
      </c>
      <c r="H3512" s="1" t="s">
        <v>14</v>
      </c>
      <c r="I3512" s="1" t="s">
        <v>15</v>
      </c>
      <c r="J3512" s="12">
        <v>45873</v>
      </c>
      <c r="K3512">
        <v>0</v>
      </c>
      <c r="L3512" s="1">
        <f t="shared" si="216"/>
        <v>36</v>
      </c>
      <c r="M3512" s="1" t="str">
        <f t="shared" si="217"/>
        <v/>
      </c>
      <c r="N3512" s="2">
        <f t="shared" si="218"/>
        <v>45870</v>
      </c>
      <c r="O3512" t="str">
        <f t="shared" si="219"/>
        <v>pes</v>
      </c>
    </row>
    <row r="3513" spans="1:15" x14ac:dyDescent="0.25">
      <c r="A3513">
        <v>11017</v>
      </c>
      <c r="B3513" s="11">
        <v>4027788990013</v>
      </c>
      <c r="C3513" s="1" t="s">
        <v>43</v>
      </c>
      <c r="D3513" s="1" t="s">
        <v>21</v>
      </c>
      <c r="E3513" s="1" t="s">
        <v>22</v>
      </c>
      <c r="F3513">
        <v>8</v>
      </c>
      <c r="G3513">
        <v>1</v>
      </c>
      <c r="H3513" s="1" t="s">
        <v>14</v>
      </c>
      <c r="I3513" s="1" t="s">
        <v>15</v>
      </c>
      <c r="J3513" s="12">
        <v>45873</v>
      </c>
      <c r="K3513">
        <v>0</v>
      </c>
      <c r="L3513" s="1">
        <f t="shared" si="216"/>
        <v>8</v>
      </c>
      <c r="M3513" s="1" t="str">
        <f t="shared" si="217"/>
        <v/>
      </c>
      <c r="N3513" s="2">
        <f t="shared" si="218"/>
        <v>45870</v>
      </c>
      <c r="O3513" t="str">
        <f t="shared" si="219"/>
        <v>pes</v>
      </c>
    </row>
    <row r="3514" spans="1:15" hidden="1" x14ac:dyDescent="0.25">
      <c r="A3514">
        <v>11018</v>
      </c>
      <c r="B3514" s="11">
        <v>4010123456783</v>
      </c>
      <c r="C3514" s="1" t="s">
        <v>35</v>
      </c>
      <c r="D3514" s="1" t="s">
        <v>36</v>
      </c>
      <c r="E3514" s="1" t="s">
        <v>37</v>
      </c>
      <c r="F3514">
        <v>14</v>
      </c>
      <c r="G3514">
        <v>1</v>
      </c>
      <c r="H3514" s="1" t="s">
        <v>23</v>
      </c>
      <c r="I3514" s="1" t="s">
        <v>677</v>
      </c>
      <c r="J3514" s="12">
        <v>45873</v>
      </c>
      <c r="K3514">
        <v>0</v>
      </c>
      <c r="L3514" s="1">
        <f t="shared" si="216"/>
        <v>14</v>
      </c>
      <c r="M3514" s="1">
        <f t="shared" si="217"/>
        <v>5</v>
      </c>
      <c r="N3514" s="2">
        <f t="shared" si="218"/>
        <v>45870</v>
      </c>
      <c r="O3514" t="str">
        <f t="shared" si="219"/>
        <v>mačka</v>
      </c>
    </row>
    <row r="3515" spans="1:15" hidden="1" x14ac:dyDescent="0.25">
      <c r="A3515">
        <v>11019</v>
      </c>
      <c r="B3515" s="11">
        <v>4001234567893</v>
      </c>
      <c r="C3515" s="1" t="s">
        <v>31</v>
      </c>
      <c r="D3515" s="1" t="s">
        <v>29</v>
      </c>
      <c r="E3515" s="1" t="s">
        <v>32</v>
      </c>
      <c r="F3515">
        <v>9.1999999999999993</v>
      </c>
      <c r="G3515">
        <v>1</v>
      </c>
      <c r="H3515" s="1" t="s">
        <v>14</v>
      </c>
      <c r="I3515" s="1" t="s">
        <v>15</v>
      </c>
      <c r="J3515" s="12">
        <v>45873</v>
      </c>
      <c r="K3515">
        <v>0</v>
      </c>
      <c r="L3515" s="1">
        <f t="shared" si="216"/>
        <v>9.1999999999999993</v>
      </c>
      <c r="M3515" s="1" t="str">
        <f t="shared" si="217"/>
        <v/>
      </c>
      <c r="N3515" s="2">
        <f t="shared" si="218"/>
        <v>45870</v>
      </c>
      <c r="O3515" t="str">
        <f t="shared" si="219"/>
        <v>mačka</v>
      </c>
    </row>
    <row r="3516" spans="1:15" x14ac:dyDescent="0.25">
      <c r="A3516">
        <v>11020</v>
      </c>
      <c r="B3516" s="11">
        <v>4028899001126</v>
      </c>
      <c r="C3516" s="1" t="s">
        <v>16</v>
      </c>
      <c r="D3516" s="1" t="s">
        <v>12</v>
      </c>
      <c r="E3516" s="1" t="s">
        <v>17</v>
      </c>
      <c r="F3516">
        <v>2.8</v>
      </c>
      <c r="G3516">
        <v>2</v>
      </c>
      <c r="H3516" s="1" t="s">
        <v>14</v>
      </c>
      <c r="I3516" s="1" t="s">
        <v>15</v>
      </c>
      <c r="J3516" s="12">
        <v>45873</v>
      </c>
      <c r="K3516">
        <v>0</v>
      </c>
      <c r="L3516" s="1">
        <f t="shared" si="216"/>
        <v>5.6</v>
      </c>
      <c r="M3516" s="1" t="str">
        <f t="shared" si="217"/>
        <v/>
      </c>
      <c r="N3516" s="2">
        <f t="shared" si="218"/>
        <v>45870</v>
      </c>
      <c r="O3516" t="str">
        <f t="shared" si="219"/>
        <v>pes</v>
      </c>
    </row>
    <row r="3517" spans="1:15" x14ac:dyDescent="0.25">
      <c r="A3517">
        <v>11021</v>
      </c>
      <c r="B3517" s="11">
        <v>4013456789017</v>
      </c>
      <c r="C3517" s="1" t="s">
        <v>11</v>
      </c>
      <c r="D3517" s="1" t="s">
        <v>12</v>
      </c>
      <c r="E3517" s="1" t="s">
        <v>13</v>
      </c>
      <c r="F3517">
        <v>6</v>
      </c>
      <c r="G3517">
        <v>1</v>
      </c>
      <c r="H3517" s="1" t="s">
        <v>18</v>
      </c>
      <c r="I3517" s="1" t="s">
        <v>678</v>
      </c>
      <c r="J3517" s="12">
        <v>45873</v>
      </c>
      <c r="K3517">
        <v>0</v>
      </c>
      <c r="L3517" s="1">
        <f t="shared" si="216"/>
        <v>6</v>
      </c>
      <c r="M3517" s="1">
        <f t="shared" si="217"/>
        <v>4</v>
      </c>
      <c r="N3517" s="2">
        <f t="shared" si="218"/>
        <v>45870</v>
      </c>
      <c r="O3517" t="str">
        <f t="shared" si="219"/>
        <v>pes</v>
      </c>
    </row>
    <row r="3518" spans="1:15" x14ac:dyDescent="0.25">
      <c r="A3518">
        <v>11022</v>
      </c>
      <c r="B3518" s="11">
        <v>4059012345683</v>
      </c>
      <c r="C3518" s="1" t="s">
        <v>345</v>
      </c>
      <c r="D3518" s="1" t="s">
        <v>26</v>
      </c>
      <c r="E3518" s="1" t="s">
        <v>27</v>
      </c>
      <c r="F3518">
        <v>20</v>
      </c>
      <c r="G3518">
        <v>1</v>
      </c>
      <c r="H3518" s="1" t="s">
        <v>63</v>
      </c>
      <c r="I3518" s="1" t="s">
        <v>679</v>
      </c>
      <c r="J3518" s="12">
        <v>45873</v>
      </c>
      <c r="K3518">
        <v>1</v>
      </c>
      <c r="L3518" s="1">
        <f t="shared" si="216"/>
        <v>20</v>
      </c>
      <c r="M3518" s="1">
        <f t="shared" si="217"/>
        <v>1</v>
      </c>
      <c r="N3518" s="2">
        <f t="shared" si="218"/>
        <v>45870</v>
      </c>
      <c r="O3518" t="str">
        <f t="shared" si="219"/>
        <v>pes</v>
      </c>
    </row>
    <row r="3519" spans="1:15" hidden="1" x14ac:dyDescent="0.25">
      <c r="A3519">
        <v>11023</v>
      </c>
      <c r="B3519" s="11">
        <v>4018901234567</v>
      </c>
      <c r="C3519" s="1" t="s">
        <v>680</v>
      </c>
      <c r="D3519" s="1" t="s">
        <v>144</v>
      </c>
      <c r="E3519" s="1" t="s">
        <v>32</v>
      </c>
      <c r="F3519">
        <v>20</v>
      </c>
      <c r="G3519">
        <v>1</v>
      </c>
      <c r="H3519" s="1" t="s">
        <v>14</v>
      </c>
      <c r="I3519" s="1" t="s">
        <v>15</v>
      </c>
      <c r="J3519" s="12">
        <v>45873</v>
      </c>
      <c r="K3519">
        <v>0</v>
      </c>
      <c r="L3519" s="1">
        <f t="shared" si="216"/>
        <v>20</v>
      </c>
      <c r="M3519" s="1" t="str">
        <f t="shared" si="217"/>
        <v/>
      </c>
      <c r="N3519" s="2">
        <f t="shared" si="218"/>
        <v>45870</v>
      </c>
      <c r="O3519" t="str">
        <f t="shared" si="219"/>
        <v>mačka</v>
      </c>
    </row>
    <row r="3520" spans="1:15" hidden="1" x14ac:dyDescent="0.25">
      <c r="A3520">
        <v>11024</v>
      </c>
      <c r="B3520" s="11">
        <v>8595566778890</v>
      </c>
      <c r="C3520" s="1" t="s">
        <v>681</v>
      </c>
      <c r="D3520" s="1" t="s">
        <v>29</v>
      </c>
      <c r="E3520" s="1" t="s">
        <v>37</v>
      </c>
      <c r="F3520">
        <v>38</v>
      </c>
      <c r="G3520">
        <v>1</v>
      </c>
      <c r="H3520" s="1" t="s">
        <v>14</v>
      </c>
      <c r="I3520" s="1" t="s">
        <v>15</v>
      </c>
      <c r="J3520" s="12">
        <v>45873</v>
      </c>
      <c r="K3520">
        <v>0</v>
      </c>
      <c r="L3520" s="1">
        <f t="shared" si="216"/>
        <v>38</v>
      </c>
      <c r="M3520" s="1" t="str">
        <f t="shared" si="217"/>
        <v/>
      </c>
      <c r="N3520" s="2">
        <f t="shared" si="218"/>
        <v>45870</v>
      </c>
      <c r="O3520" t="str">
        <f t="shared" si="219"/>
        <v>mačka</v>
      </c>
    </row>
    <row r="3521" spans="1:15" x14ac:dyDescent="0.25">
      <c r="A3521">
        <v>11025</v>
      </c>
      <c r="B3521" s="11">
        <v>4024567890128</v>
      </c>
      <c r="C3521" s="1" t="s">
        <v>682</v>
      </c>
      <c r="D3521" s="1" t="s">
        <v>12</v>
      </c>
      <c r="E3521" s="1" t="s">
        <v>134</v>
      </c>
      <c r="F3521">
        <v>40</v>
      </c>
      <c r="G3521">
        <v>1</v>
      </c>
      <c r="H3521" s="1" t="s">
        <v>23</v>
      </c>
      <c r="I3521" s="1" t="s">
        <v>683</v>
      </c>
      <c r="J3521" s="12">
        <v>45873</v>
      </c>
      <c r="K3521">
        <v>0</v>
      </c>
      <c r="L3521" s="1">
        <f t="shared" si="216"/>
        <v>40</v>
      </c>
      <c r="M3521" s="1">
        <f t="shared" si="217"/>
        <v>5</v>
      </c>
      <c r="N3521" s="2">
        <f t="shared" si="218"/>
        <v>45870</v>
      </c>
      <c r="O3521" t="str">
        <f t="shared" si="219"/>
        <v>pes</v>
      </c>
    </row>
    <row r="3522" spans="1:15" x14ac:dyDescent="0.25">
      <c r="A3522">
        <v>11026</v>
      </c>
      <c r="B3522" s="11">
        <v>4003344556679</v>
      </c>
      <c r="C3522" s="1" t="s">
        <v>132</v>
      </c>
      <c r="D3522" s="1" t="s">
        <v>133</v>
      </c>
      <c r="E3522" s="1" t="s">
        <v>134</v>
      </c>
      <c r="F3522">
        <v>51.64</v>
      </c>
      <c r="G3522">
        <v>1</v>
      </c>
      <c r="H3522" s="1" t="s">
        <v>14</v>
      </c>
      <c r="I3522" s="1" t="s">
        <v>15</v>
      </c>
      <c r="J3522" s="12">
        <v>45873</v>
      </c>
      <c r="K3522">
        <v>0</v>
      </c>
      <c r="L3522" s="1">
        <f t="shared" ref="L3522:L3585" si="220">F3522*G3522</f>
        <v>51.64</v>
      </c>
      <c r="M3522" s="1" t="str">
        <f t="shared" ref="M3522:M3585" si="221">IF(H3522="NULL", "",VALUE(H3522))</f>
        <v/>
      </c>
      <c r="N3522" s="2">
        <f t="shared" ref="N3522:N3585" si="222">DATE(YEAR(J3522),MONTH(J3522),1)</f>
        <v>45870</v>
      </c>
      <c r="O3522" t="str">
        <f t="shared" ref="O3522:O3585" si="223">IF(ISNUMBER(SEARCH("Mačky",D3522)),"mačka",IF(ISNUMBER(SEARCH("Psy",D3522)),"pes","iné"))</f>
        <v>pes</v>
      </c>
    </row>
    <row r="3523" spans="1:15" hidden="1" x14ac:dyDescent="0.25">
      <c r="A3523">
        <v>11027</v>
      </c>
      <c r="B3523" s="11">
        <v>4049012345683</v>
      </c>
      <c r="C3523" s="1" t="s">
        <v>57</v>
      </c>
      <c r="D3523" s="1" t="s">
        <v>36</v>
      </c>
      <c r="E3523" s="1" t="s">
        <v>58</v>
      </c>
      <c r="F3523">
        <v>9.1999999999999993</v>
      </c>
      <c r="G3523">
        <v>1</v>
      </c>
      <c r="H3523" s="1" t="s">
        <v>18</v>
      </c>
      <c r="I3523" s="1" t="s">
        <v>684</v>
      </c>
      <c r="J3523" s="12">
        <v>45873</v>
      </c>
      <c r="K3523">
        <v>0</v>
      </c>
      <c r="L3523" s="1">
        <f t="shared" si="220"/>
        <v>9.1999999999999993</v>
      </c>
      <c r="M3523" s="1">
        <f t="shared" si="221"/>
        <v>4</v>
      </c>
      <c r="N3523" s="2">
        <f t="shared" si="222"/>
        <v>45870</v>
      </c>
      <c r="O3523" t="str">
        <f t="shared" si="223"/>
        <v>mačka</v>
      </c>
    </row>
    <row r="3524" spans="1:15" hidden="1" x14ac:dyDescent="0.25">
      <c r="A3524">
        <v>11028</v>
      </c>
      <c r="B3524" s="11">
        <v>4050123456794</v>
      </c>
      <c r="C3524" s="1" t="s">
        <v>41</v>
      </c>
      <c r="D3524" s="1" t="s">
        <v>36</v>
      </c>
      <c r="E3524" s="1" t="s">
        <v>42</v>
      </c>
      <c r="F3524">
        <v>7.2</v>
      </c>
      <c r="G3524">
        <v>1</v>
      </c>
      <c r="H3524" s="1" t="s">
        <v>14</v>
      </c>
      <c r="I3524" s="1" t="s">
        <v>15</v>
      </c>
      <c r="J3524" s="12">
        <v>45873</v>
      </c>
      <c r="K3524">
        <v>0</v>
      </c>
      <c r="L3524" s="1">
        <f t="shared" si="220"/>
        <v>7.2</v>
      </c>
      <c r="M3524" s="1" t="str">
        <f t="shared" si="221"/>
        <v/>
      </c>
      <c r="N3524" s="2">
        <f t="shared" si="222"/>
        <v>45870</v>
      </c>
      <c r="O3524" t="str">
        <f t="shared" si="223"/>
        <v>mačka</v>
      </c>
    </row>
    <row r="3525" spans="1:15" hidden="1" x14ac:dyDescent="0.25">
      <c r="A3525">
        <v>11029</v>
      </c>
      <c r="B3525" s="11">
        <v>4023456789012</v>
      </c>
      <c r="C3525" s="1" t="s">
        <v>55</v>
      </c>
      <c r="D3525" s="1" t="s">
        <v>29</v>
      </c>
      <c r="E3525" s="1" t="s">
        <v>32</v>
      </c>
      <c r="F3525">
        <v>4</v>
      </c>
      <c r="G3525">
        <v>2</v>
      </c>
      <c r="H3525" s="1" t="s">
        <v>14</v>
      </c>
      <c r="I3525" s="1" t="s">
        <v>15</v>
      </c>
      <c r="J3525" s="12">
        <v>45873</v>
      </c>
      <c r="K3525">
        <v>0</v>
      </c>
      <c r="L3525" s="1">
        <f t="shared" si="220"/>
        <v>8</v>
      </c>
      <c r="M3525" s="1" t="str">
        <f t="shared" si="221"/>
        <v/>
      </c>
      <c r="N3525" s="2">
        <f t="shared" si="222"/>
        <v>45870</v>
      </c>
      <c r="O3525" t="str">
        <f t="shared" si="223"/>
        <v>mačka</v>
      </c>
    </row>
    <row r="3526" spans="1:15" hidden="1" x14ac:dyDescent="0.25">
      <c r="A3526">
        <v>11030</v>
      </c>
      <c r="B3526" s="11">
        <v>5901234509876</v>
      </c>
      <c r="C3526" s="1" t="s">
        <v>685</v>
      </c>
      <c r="D3526" s="1" t="s">
        <v>29</v>
      </c>
      <c r="E3526" s="1" t="s">
        <v>42</v>
      </c>
      <c r="F3526">
        <v>40</v>
      </c>
      <c r="G3526">
        <v>1</v>
      </c>
      <c r="H3526" s="1" t="s">
        <v>23</v>
      </c>
      <c r="I3526" s="1" t="s">
        <v>686</v>
      </c>
      <c r="J3526" s="12">
        <v>45873</v>
      </c>
      <c r="K3526">
        <v>0</v>
      </c>
      <c r="L3526" s="1">
        <f t="shared" si="220"/>
        <v>40</v>
      </c>
      <c r="M3526" s="1">
        <f t="shared" si="221"/>
        <v>5</v>
      </c>
      <c r="N3526" s="2">
        <f t="shared" si="222"/>
        <v>45870</v>
      </c>
      <c r="O3526" t="str">
        <f t="shared" si="223"/>
        <v>mačka</v>
      </c>
    </row>
    <row r="3527" spans="1:15" x14ac:dyDescent="0.25">
      <c r="A3527">
        <v>11031</v>
      </c>
      <c r="B3527" s="11">
        <v>4040123456795</v>
      </c>
      <c r="C3527" s="1" t="s">
        <v>20</v>
      </c>
      <c r="D3527" s="1" t="s">
        <v>21</v>
      </c>
      <c r="E3527" s="1" t="s">
        <v>22</v>
      </c>
      <c r="F3527">
        <v>8.8000000000000007</v>
      </c>
      <c r="G3527">
        <v>1</v>
      </c>
      <c r="H3527" s="1" t="s">
        <v>14</v>
      </c>
      <c r="I3527" s="1" t="s">
        <v>15</v>
      </c>
      <c r="J3527" s="12">
        <v>45873</v>
      </c>
      <c r="K3527">
        <v>0</v>
      </c>
      <c r="L3527" s="1">
        <f t="shared" si="220"/>
        <v>8.8000000000000007</v>
      </c>
      <c r="M3527" s="1" t="str">
        <f t="shared" si="221"/>
        <v/>
      </c>
      <c r="N3527" s="2">
        <f t="shared" si="222"/>
        <v>45870</v>
      </c>
      <c r="O3527" t="str">
        <f t="shared" si="223"/>
        <v>pes</v>
      </c>
    </row>
    <row r="3528" spans="1:15" hidden="1" x14ac:dyDescent="0.25">
      <c r="A3528">
        <v>11032</v>
      </c>
      <c r="B3528" s="11">
        <v>4025678901239</v>
      </c>
      <c r="C3528" s="1" t="s">
        <v>659</v>
      </c>
      <c r="D3528" s="1" t="s">
        <v>267</v>
      </c>
      <c r="E3528" s="1" t="s">
        <v>58</v>
      </c>
      <c r="F3528">
        <v>10</v>
      </c>
      <c r="G3528">
        <v>1</v>
      </c>
      <c r="H3528" s="1" t="s">
        <v>14</v>
      </c>
      <c r="I3528" s="1" t="s">
        <v>15</v>
      </c>
      <c r="J3528" s="12">
        <v>45873</v>
      </c>
      <c r="K3528">
        <v>0</v>
      </c>
      <c r="L3528" s="1">
        <f t="shared" si="220"/>
        <v>10</v>
      </c>
      <c r="M3528" s="1" t="str">
        <f t="shared" si="221"/>
        <v/>
      </c>
      <c r="N3528" s="2">
        <f t="shared" si="222"/>
        <v>45870</v>
      </c>
      <c r="O3528" t="str">
        <f t="shared" si="223"/>
        <v>mačka</v>
      </c>
    </row>
    <row r="3529" spans="1:15" x14ac:dyDescent="0.25">
      <c r="A3529">
        <v>11033</v>
      </c>
      <c r="B3529" s="11">
        <v>8599988776654</v>
      </c>
      <c r="C3529" s="1" t="s">
        <v>393</v>
      </c>
      <c r="D3529" s="1" t="s">
        <v>133</v>
      </c>
      <c r="E3529" s="1" t="s">
        <v>17</v>
      </c>
      <c r="F3529">
        <v>28</v>
      </c>
      <c r="G3529">
        <v>1</v>
      </c>
      <c r="H3529" s="1" t="s">
        <v>18</v>
      </c>
      <c r="I3529" s="1" t="s">
        <v>510</v>
      </c>
      <c r="J3529" s="12">
        <v>45873</v>
      </c>
      <c r="K3529">
        <v>0</v>
      </c>
      <c r="L3529" s="1">
        <f t="shared" si="220"/>
        <v>28</v>
      </c>
      <c r="M3529" s="1">
        <f t="shared" si="221"/>
        <v>4</v>
      </c>
      <c r="N3529" s="2">
        <f t="shared" si="222"/>
        <v>45870</v>
      </c>
      <c r="O3529" t="str">
        <f t="shared" si="223"/>
        <v>pes</v>
      </c>
    </row>
    <row r="3530" spans="1:15" x14ac:dyDescent="0.25">
      <c r="A3530">
        <v>11034</v>
      </c>
      <c r="B3530" s="11">
        <v>4008901234561</v>
      </c>
      <c r="C3530" s="1" t="s">
        <v>330</v>
      </c>
      <c r="D3530" s="1" t="s">
        <v>26</v>
      </c>
      <c r="E3530" s="1" t="s">
        <v>331</v>
      </c>
      <c r="F3530">
        <v>40</v>
      </c>
      <c r="G3530">
        <v>1</v>
      </c>
      <c r="H3530" s="1" t="s">
        <v>14</v>
      </c>
      <c r="I3530" s="1" t="s">
        <v>15</v>
      </c>
      <c r="J3530" s="12">
        <v>45873</v>
      </c>
      <c r="K3530">
        <v>0</v>
      </c>
      <c r="L3530" s="1">
        <f t="shared" si="220"/>
        <v>40</v>
      </c>
      <c r="M3530" s="1" t="str">
        <f t="shared" si="221"/>
        <v/>
      </c>
      <c r="N3530" s="2">
        <f t="shared" si="222"/>
        <v>45870</v>
      </c>
      <c r="O3530" t="str">
        <f t="shared" si="223"/>
        <v>pes</v>
      </c>
    </row>
    <row r="3531" spans="1:15" hidden="1" x14ac:dyDescent="0.25">
      <c r="A3531">
        <v>11035</v>
      </c>
      <c r="B3531" s="11">
        <v>4021234567894</v>
      </c>
      <c r="C3531" s="1" t="s">
        <v>79</v>
      </c>
      <c r="D3531" s="1" t="s">
        <v>36</v>
      </c>
      <c r="E3531" s="1" t="s">
        <v>69</v>
      </c>
      <c r="F3531">
        <v>8</v>
      </c>
      <c r="G3531">
        <v>1</v>
      </c>
      <c r="H3531" s="1" t="s">
        <v>14</v>
      </c>
      <c r="I3531" s="1" t="s">
        <v>15</v>
      </c>
      <c r="J3531" s="12">
        <v>45873</v>
      </c>
      <c r="K3531">
        <v>0</v>
      </c>
      <c r="L3531" s="1">
        <f t="shared" si="220"/>
        <v>8</v>
      </c>
      <c r="M3531" s="1" t="str">
        <f t="shared" si="221"/>
        <v/>
      </c>
      <c r="N3531" s="2">
        <f t="shared" si="222"/>
        <v>45870</v>
      </c>
      <c r="O3531" t="str">
        <f t="shared" si="223"/>
        <v>mačka</v>
      </c>
    </row>
    <row r="3532" spans="1:15" x14ac:dyDescent="0.25">
      <c r="A3532">
        <v>11036</v>
      </c>
      <c r="B3532" s="11">
        <v>4028899001126</v>
      </c>
      <c r="C3532" s="1" t="s">
        <v>16</v>
      </c>
      <c r="D3532" s="1" t="s">
        <v>12</v>
      </c>
      <c r="E3532" s="1" t="s">
        <v>17</v>
      </c>
      <c r="F3532">
        <v>2.8</v>
      </c>
      <c r="G3532">
        <v>2</v>
      </c>
      <c r="H3532" s="1" t="s">
        <v>14</v>
      </c>
      <c r="I3532" s="1" t="s">
        <v>15</v>
      </c>
      <c r="J3532" s="12">
        <v>45874</v>
      </c>
      <c r="K3532">
        <v>0</v>
      </c>
      <c r="L3532" s="1">
        <f t="shared" si="220"/>
        <v>5.6</v>
      </c>
      <c r="M3532" s="1" t="str">
        <f t="shared" si="221"/>
        <v/>
      </c>
      <c r="N3532" s="2">
        <f t="shared" si="222"/>
        <v>45870</v>
      </c>
      <c r="O3532" t="str">
        <f t="shared" si="223"/>
        <v>pes</v>
      </c>
    </row>
    <row r="3533" spans="1:15" hidden="1" x14ac:dyDescent="0.25">
      <c r="A3533">
        <v>11037</v>
      </c>
      <c r="B3533" s="11">
        <v>4010123456783</v>
      </c>
      <c r="C3533" s="1" t="s">
        <v>35</v>
      </c>
      <c r="D3533" s="1" t="s">
        <v>36</v>
      </c>
      <c r="E3533" s="1" t="s">
        <v>37</v>
      </c>
      <c r="F3533">
        <v>14</v>
      </c>
      <c r="G3533">
        <v>1</v>
      </c>
      <c r="H3533" s="1" t="s">
        <v>23</v>
      </c>
      <c r="I3533" s="1" t="s">
        <v>687</v>
      </c>
      <c r="J3533" s="12">
        <v>45874</v>
      </c>
      <c r="K3533">
        <v>0</v>
      </c>
      <c r="L3533" s="1">
        <f t="shared" si="220"/>
        <v>14</v>
      </c>
      <c r="M3533" s="1">
        <f t="shared" si="221"/>
        <v>5</v>
      </c>
      <c r="N3533" s="2">
        <f t="shared" si="222"/>
        <v>45870</v>
      </c>
      <c r="O3533" t="str">
        <f t="shared" si="223"/>
        <v>mačka</v>
      </c>
    </row>
    <row r="3534" spans="1:15" x14ac:dyDescent="0.25">
      <c r="A3534">
        <v>11038</v>
      </c>
      <c r="B3534" s="11">
        <v>4063456789014</v>
      </c>
      <c r="C3534" s="1" t="s">
        <v>60</v>
      </c>
      <c r="D3534" s="1" t="s">
        <v>12</v>
      </c>
      <c r="E3534" s="1" t="s">
        <v>61</v>
      </c>
      <c r="F3534">
        <v>36</v>
      </c>
      <c r="G3534">
        <v>1</v>
      </c>
      <c r="H3534" s="1" t="s">
        <v>14</v>
      </c>
      <c r="I3534" s="1" t="s">
        <v>15</v>
      </c>
      <c r="J3534" s="12">
        <v>45874</v>
      </c>
      <c r="K3534">
        <v>0</v>
      </c>
      <c r="L3534" s="1">
        <f t="shared" si="220"/>
        <v>36</v>
      </c>
      <c r="M3534" s="1" t="str">
        <f t="shared" si="221"/>
        <v/>
      </c>
      <c r="N3534" s="2">
        <f t="shared" si="222"/>
        <v>45870</v>
      </c>
      <c r="O3534" t="str">
        <f t="shared" si="223"/>
        <v>pes</v>
      </c>
    </row>
    <row r="3535" spans="1:15" hidden="1" x14ac:dyDescent="0.25">
      <c r="A3535">
        <v>11039</v>
      </c>
      <c r="B3535" s="11">
        <v>4045678901234</v>
      </c>
      <c r="C3535" s="1" t="s">
        <v>671</v>
      </c>
      <c r="D3535" s="1" t="s">
        <v>29</v>
      </c>
      <c r="E3535" s="1" t="s">
        <v>58</v>
      </c>
      <c r="F3535">
        <v>9.6</v>
      </c>
      <c r="G3535">
        <v>1</v>
      </c>
      <c r="H3535" s="1" t="s">
        <v>14</v>
      </c>
      <c r="I3535" s="1" t="s">
        <v>15</v>
      </c>
      <c r="J3535" s="12">
        <v>45874</v>
      </c>
      <c r="K3535">
        <v>0</v>
      </c>
      <c r="L3535" s="1">
        <f t="shared" si="220"/>
        <v>9.6</v>
      </c>
      <c r="M3535" s="1" t="str">
        <f t="shared" si="221"/>
        <v/>
      </c>
      <c r="N3535" s="2">
        <f t="shared" si="222"/>
        <v>45870</v>
      </c>
      <c r="O3535" t="str">
        <f t="shared" si="223"/>
        <v>mačka</v>
      </c>
    </row>
    <row r="3536" spans="1:15" x14ac:dyDescent="0.25">
      <c r="A3536">
        <v>11040</v>
      </c>
      <c r="B3536" s="11">
        <v>8599988776654</v>
      </c>
      <c r="C3536" s="1" t="s">
        <v>393</v>
      </c>
      <c r="D3536" s="1" t="s">
        <v>133</v>
      </c>
      <c r="E3536" s="1" t="s">
        <v>17</v>
      </c>
      <c r="F3536">
        <v>28</v>
      </c>
      <c r="G3536">
        <v>1</v>
      </c>
      <c r="H3536" s="1" t="s">
        <v>14</v>
      </c>
      <c r="I3536" s="1" t="s">
        <v>15</v>
      </c>
      <c r="J3536" s="12">
        <v>45874</v>
      </c>
      <c r="K3536">
        <v>0</v>
      </c>
      <c r="L3536" s="1">
        <f t="shared" si="220"/>
        <v>28</v>
      </c>
      <c r="M3536" s="1" t="str">
        <f t="shared" si="221"/>
        <v/>
      </c>
      <c r="N3536" s="2">
        <f t="shared" si="222"/>
        <v>45870</v>
      </c>
      <c r="O3536" t="str">
        <f t="shared" si="223"/>
        <v>pes</v>
      </c>
    </row>
    <row r="3537" spans="1:15" x14ac:dyDescent="0.25">
      <c r="A3537">
        <v>11041</v>
      </c>
      <c r="B3537" s="11">
        <v>4013456789017</v>
      </c>
      <c r="C3537" s="1" t="s">
        <v>11</v>
      </c>
      <c r="D3537" s="1" t="s">
        <v>12</v>
      </c>
      <c r="E3537" s="1" t="s">
        <v>13</v>
      </c>
      <c r="F3537">
        <v>6</v>
      </c>
      <c r="G3537">
        <v>2</v>
      </c>
      <c r="H3537" s="1" t="s">
        <v>18</v>
      </c>
      <c r="I3537" s="1" t="s">
        <v>688</v>
      </c>
      <c r="J3537" s="12">
        <v>45874</v>
      </c>
      <c r="K3537">
        <v>0</v>
      </c>
      <c r="L3537" s="1">
        <f t="shared" si="220"/>
        <v>12</v>
      </c>
      <c r="M3537" s="1">
        <f t="shared" si="221"/>
        <v>4</v>
      </c>
      <c r="N3537" s="2">
        <f t="shared" si="222"/>
        <v>45870</v>
      </c>
      <c r="O3537" t="str">
        <f t="shared" si="223"/>
        <v>pes</v>
      </c>
    </row>
    <row r="3538" spans="1:15" hidden="1" x14ac:dyDescent="0.25">
      <c r="A3538">
        <v>11042</v>
      </c>
      <c r="B3538" s="11">
        <v>4001234567893</v>
      </c>
      <c r="C3538" s="1" t="s">
        <v>31</v>
      </c>
      <c r="D3538" s="1" t="s">
        <v>29</v>
      </c>
      <c r="E3538" s="1" t="s">
        <v>32</v>
      </c>
      <c r="F3538">
        <v>9.1999999999999993</v>
      </c>
      <c r="G3538">
        <v>1</v>
      </c>
      <c r="H3538" s="1" t="s">
        <v>14</v>
      </c>
      <c r="I3538" s="1" t="s">
        <v>15</v>
      </c>
      <c r="J3538" s="12">
        <v>45874</v>
      </c>
      <c r="K3538">
        <v>0</v>
      </c>
      <c r="L3538" s="1">
        <f t="shared" si="220"/>
        <v>9.1999999999999993</v>
      </c>
      <c r="M3538" s="1" t="str">
        <f t="shared" si="221"/>
        <v/>
      </c>
      <c r="N3538" s="2">
        <f t="shared" si="222"/>
        <v>45870</v>
      </c>
      <c r="O3538" t="str">
        <f t="shared" si="223"/>
        <v>mačka</v>
      </c>
    </row>
    <row r="3539" spans="1:15" hidden="1" x14ac:dyDescent="0.25">
      <c r="A3539">
        <v>11043</v>
      </c>
      <c r="B3539" s="11">
        <v>4021234567894</v>
      </c>
      <c r="C3539" s="1" t="s">
        <v>79</v>
      </c>
      <c r="D3539" s="1" t="s">
        <v>36</v>
      </c>
      <c r="E3539" s="1" t="s">
        <v>69</v>
      </c>
      <c r="F3539">
        <v>8</v>
      </c>
      <c r="G3539">
        <v>1</v>
      </c>
      <c r="H3539" s="1" t="s">
        <v>14</v>
      </c>
      <c r="I3539" s="1" t="s">
        <v>15</v>
      </c>
      <c r="J3539" s="12">
        <v>45874</v>
      </c>
      <c r="K3539">
        <v>0</v>
      </c>
      <c r="L3539" s="1">
        <f t="shared" si="220"/>
        <v>8</v>
      </c>
      <c r="M3539" s="1" t="str">
        <f t="shared" si="221"/>
        <v/>
      </c>
      <c r="N3539" s="2">
        <f t="shared" si="222"/>
        <v>45870</v>
      </c>
      <c r="O3539" t="str">
        <f t="shared" si="223"/>
        <v>mačka</v>
      </c>
    </row>
    <row r="3540" spans="1:15" hidden="1" x14ac:dyDescent="0.25">
      <c r="A3540">
        <v>11044</v>
      </c>
      <c r="B3540" s="11">
        <v>4056789012345</v>
      </c>
      <c r="C3540" s="1" t="s">
        <v>47</v>
      </c>
      <c r="D3540" s="1" t="s">
        <v>29</v>
      </c>
      <c r="E3540" s="1" t="s">
        <v>37</v>
      </c>
      <c r="F3540">
        <v>2.4</v>
      </c>
      <c r="G3540">
        <v>2</v>
      </c>
      <c r="H3540" s="1" t="s">
        <v>14</v>
      </c>
      <c r="I3540" s="1" t="s">
        <v>15</v>
      </c>
      <c r="J3540" s="12">
        <v>45874</v>
      </c>
      <c r="K3540">
        <v>0</v>
      </c>
      <c r="L3540" s="1">
        <f t="shared" si="220"/>
        <v>4.8</v>
      </c>
      <c r="M3540" s="1" t="str">
        <f t="shared" si="221"/>
        <v/>
      </c>
      <c r="N3540" s="2">
        <f t="shared" si="222"/>
        <v>45870</v>
      </c>
      <c r="O3540" t="str">
        <f t="shared" si="223"/>
        <v>mačka</v>
      </c>
    </row>
    <row r="3541" spans="1:15" x14ac:dyDescent="0.25">
      <c r="A3541">
        <v>11045</v>
      </c>
      <c r="B3541" s="11">
        <v>4017890123450</v>
      </c>
      <c r="C3541" s="1" t="s">
        <v>65</v>
      </c>
      <c r="D3541" s="1" t="s">
        <v>39</v>
      </c>
      <c r="E3541" s="1" t="s">
        <v>22</v>
      </c>
      <c r="F3541">
        <v>7.6</v>
      </c>
      <c r="G3541">
        <v>1</v>
      </c>
      <c r="H3541" s="1" t="s">
        <v>14</v>
      </c>
      <c r="I3541" s="1" t="s">
        <v>15</v>
      </c>
      <c r="J3541" s="12">
        <v>45874</v>
      </c>
      <c r="K3541">
        <v>0</v>
      </c>
      <c r="L3541" s="1">
        <f t="shared" si="220"/>
        <v>7.6</v>
      </c>
      <c r="M3541" s="1" t="str">
        <f t="shared" si="221"/>
        <v/>
      </c>
      <c r="N3541" s="2">
        <f t="shared" si="222"/>
        <v>45870</v>
      </c>
      <c r="O3541" t="str">
        <f t="shared" si="223"/>
        <v>pes</v>
      </c>
    </row>
    <row r="3542" spans="1:15" hidden="1" x14ac:dyDescent="0.25">
      <c r="A3542">
        <v>11046</v>
      </c>
      <c r="B3542" s="11">
        <v>5901234509876</v>
      </c>
      <c r="C3542" s="1" t="s">
        <v>685</v>
      </c>
      <c r="D3542" s="1" t="s">
        <v>29</v>
      </c>
      <c r="E3542" s="1" t="s">
        <v>42</v>
      </c>
      <c r="F3542">
        <v>40</v>
      </c>
      <c r="G3542">
        <v>1</v>
      </c>
      <c r="H3542" s="1" t="s">
        <v>18</v>
      </c>
      <c r="I3542" s="1" t="s">
        <v>15</v>
      </c>
      <c r="J3542" s="12">
        <v>45874</v>
      </c>
      <c r="K3542">
        <v>0</v>
      </c>
      <c r="L3542" s="1">
        <f t="shared" si="220"/>
        <v>40</v>
      </c>
      <c r="M3542" s="1">
        <f t="shared" si="221"/>
        <v>4</v>
      </c>
      <c r="N3542" s="2">
        <f t="shared" si="222"/>
        <v>45870</v>
      </c>
      <c r="O3542" t="str">
        <f t="shared" si="223"/>
        <v>mačka</v>
      </c>
    </row>
    <row r="3543" spans="1:15" x14ac:dyDescent="0.25">
      <c r="A3543">
        <v>11047</v>
      </c>
      <c r="B3543" s="11">
        <v>4027788990013</v>
      </c>
      <c r="C3543" s="1" t="s">
        <v>43</v>
      </c>
      <c r="D3543" s="1" t="s">
        <v>21</v>
      </c>
      <c r="E3543" s="1" t="s">
        <v>22</v>
      </c>
      <c r="F3543">
        <v>8</v>
      </c>
      <c r="G3543">
        <v>1</v>
      </c>
      <c r="H3543" s="1" t="s">
        <v>14</v>
      </c>
      <c r="I3543" s="1" t="s">
        <v>15</v>
      </c>
      <c r="J3543" s="12">
        <v>45874</v>
      </c>
      <c r="K3543">
        <v>0</v>
      </c>
      <c r="L3543" s="1">
        <f t="shared" si="220"/>
        <v>8</v>
      </c>
      <c r="M3543" s="1" t="str">
        <f t="shared" si="221"/>
        <v/>
      </c>
      <c r="N3543" s="2">
        <f t="shared" si="222"/>
        <v>45870</v>
      </c>
      <c r="O3543" t="str">
        <f t="shared" si="223"/>
        <v>pes</v>
      </c>
    </row>
    <row r="3544" spans="1:15" x14ac:dyDescent="0.25">
      <c r="A3544">
        <v>11048</v>
      </c>
      <c r="B3544" s="11">
        <v>4004455667780</v>
      </c>
      <c r="C3544" s="1" t="s">
        <v>640</v>
      </c>
      <c r="D3544" s="1" t="s">
        <v>641</v>
      </c>
      <c r="E3544" s="1" t="s">
        <v>134</v>
      </c>
      <c r="F3544">
        <v>14</v>
      </c>
      <c r="G3544">
        <v>1</v>
      </c>
      <c r="H3544" s="1" t="s">
        <v>14</v>
      </c>
      <c r="I3544" s="1" t="s">
        <v>15</v>
      </c>
      <c r="J3544" s="12">
        <v>45874</v>
      </c>
      <c r="K3544">
        <v>0</v>
      </c>
      <c r="L3544" s="1">
        <f t="shared" si="220"/>
        <v>14</v>
      </c>
      <c r="M3544" s="1" t="str">
        <f t="shared" si="221"/>
        <v/>
      </c>
      <c r="N3544" s="2">
        <f t="shared" si="222"/>
        <v>45870</v>
      </c>
      <c r="O3544" t="str">
        <f t="shared" si="223"/>
        <v>pes</v>
      </c>
    </row>
    <row r="3545" spans="1:15" hidden="1" x14ac:dyDescent="0.25">
      <c r="A3545">
        <v>11049</v>
      </c>
      <c r="B3545" s="11">
        <v>4010123456783</v>
      </c>
      <c r="C3545" s="1" t="s">
        <v>35</v>
      </c>
      <c r="D3545" s="1" t="s">
        <v>36</v>
      </c>
      <c r="E3545" s="1" t="s">
        <v>37</v>
      </c>
      <c r="F3545">
        <v>14</v>
      </c>
      <c r="G3545">
        <v>1</v>
      </c>
      <c r="H3545" s="1" t="s">
        <v>14</v>
      </c>
      <c r="I3545" s="1" t="s">
        <v>15</v>
      </c>
      <c r="J3545" s="12">
        <v>45874</v>
      </c>
      <c r="K3545">
        <v>0</v>
      </c>
      <c r="L3545" s="1">
        <f t="shared" si="220"/>
        <v>14</v>
      </c>
      <c r="M3545" s="1" t="str">
        <f t="shared" si="221"/>
        <v/>
      </c>
      <c r="N3545" s="2">
        <f t="shared" si="222"/>
        <v>45870</v>
      </c>
      <c r="O3545" t="str">
        <f t="shared" si="223"/>
        <v>mačka</v>
      </c>
    </row>
    <row r="3546" spans="1:15" x14ac:dyDescent="0.25">
      <c r="A3546">
        <v>11050</v>
      </c>
      <c r="B3546" s="11">
        <v>4024567890128</v>
      </c>
      <c r="C3546" s="1" t="s">
        <v>682</v>
      </c>
      <c r="D3546" s="1" t="s">
        <v>12</v>
      </c>
      <c r="E3546" s="1" t="s">
        <v>134</v>
      </c>
      <c r="F3546">
        <v>40</v>
      </c>
      <c r="G3546">
        <v>1</v>
      </c>
      <c r="H3546" s="1" t="s">
        <v>23</v>
      </c>
      <c r="I3546" s="1" t="s">
        <v>15</v>
      </c>
      <c r="J3546" s="12">
        <v>45874</v>
      </c>
      <c r="K3546">
        <v>0</v>
      </c>
      <c r="L3546" s="1">
        <f t="shared" si="220"/>
        <v>40</v>
      </c>
      <c r="M3546" s="1">
        <f t="shared" si="221"/>
        <v>5</v>
      </c>
      <c r="N3546" s="2">
        <f t="shared" si="222"/>
        <v>45870</v>
      </c>
      <c r="O3546" t="str">
        <f t="shared" si="223"/>
        <v>pes</v>
      </c>
    </row>
    <row r="3547" spans="1:15" x14ac:dyDescent="0.25">
      <c r="A3547">
        <v>11051</v>
      </c>
      <c r="B3547" s="11">
        <v>4046789012356</v>
      </c>
      <c r="C3547" s="1" t="s">
        <v>304</v>
      </c>
      <c r="D3547" s="1" t="s">
        <v>39</v>
      </c>
      <c r="E3547" s="1" t="s">
        <v>61</v>
      </c>
      <c r="F3547">
        <v>6.4</v>
      </c>
      <c r="G3547">
        <v>1</v>
      </c>
      <c r="H3547" s="1" t="s">
        <v>14</v>
      </c>
      <c r="I3547" s="1" t="s">
        <v>15</v>
      </c>
      <c r="J3547" s="12">
        <v>45874</v>
      </c>
      <c r="K3547">
        <v>0</v>
      </c>
      <c r="L3547" s="1">
        <f t="shared" si="220"/>
        <v>6.4</v>
      </c>
      <c r="M3547" s="1" t="str">
        <f t="shared" si="221"/>
        <v/>
      </c>
      <c r="N3547" s="2">
        <f t="shared" si="222"/>
        <v>45870</v>
      </c>
      <c r="O3547" t="str">
        <f t="shared" si="223"/>
        <v>pes</v>
      </c>
    </row>
    <row r="3548" spans="1:15" hidden="1" x14ac:dyDescent="0.25">
      <c r="A3548">
        <v>11052</v>
      </c>
      <c r="B3548" s="11">
        <v>4029900112244</v>
      </c>
      <c r="C3548" s="1" t="s">
        <v>655</v>
      </c>
      <c r="D3548" s="1" t="s">
        <v>36</v>
      </c>
      <c r="E3548" s="1" t="s">
        <v>37</v>
      </c>
      <c r="F3548">
        <v>13.6</v>
      </c>
      <c r="G3548">
        <v>1</v>
      </c>
      <c r="H3548" s="1" t="s">
        <v>14</v>
      </c>
      <c r="I3548" s="1" t="s">
        <v>15</v>
      </c>
      <c r="J3548" s="12">
        <v>45874</v>
      </c>
      <c r="K3548">
        <v>0</v>
      </c>
      <c r="L3548" s="1">
        <f t="shared" si="220"/>
        <v>13.6</v>
      </c>
      <c r="M3548" s="1" t="str">
        <f t="shared" si="221"/>
        <v/>
      </c>
      <c r="N3548" s="2">
        <f t="shared" si="222"/>
        <v>45870</v>
      </c>
      <c r="O3548" t="str">
        <f t="shared" si="223"/>
        <v>mačka</v>
      </c>
    </row>
    <row r="3549" spans="1:15" x14ac:dyDescent="0.25">
      <c r="A3549">
        <v>11053</v>
      </c>
      <c r="B3549" s="11">
        <v>4003344556679</v>
      </c>
      <c r="C3549" s="1" t="s">
        <v>132</v>
      </c>
      <c r="D3549" s="1" t="s">
        <v>133</v>
      </c>
      <c r="E3549" s="1" t="s">
        <v>134</v>
      </c>
      <c r="F3549">
        <v>51.64</v>
      </c>
      <c r="G3549">
        <v>1</v>
      </c>
      <c r="H3549" s="1" t="s">
        <v>14</v>
      </c>
      <c r="I3549" s="1" t="s">
        <v>15</v>
      </c>
      <c r="J3549" s="12">
        <v>45874</v>
      </c>
      <c r="K3549">
        <v>0</v>
      </c>
      <c r="L3549" s="1">
        <f t="shared" si="220"/>
        <v>51.64</v>
      </c>
      <c r="M3549" s="1" t="str">
        <f t="shared" si="221"/>
        <v/>
      </c>
      <c r="N3549" s="2">
        <f t="shared" si="222"/>
        <v>45870</v>
      </c>
      <c r="O3549" t="str">
        <f t="shared" si="223"/>
        <v>pes</v>
      </c>
    </row>
    <row r="3550" spans="1:15" x14ac:dyDescent="0.25">
      <c r="A3550">
        <v>11054</v>
      </c>
      <c r="B3550" s="11">
        <v>4028899001126</v>
      </c>
      <c r="C3550" s="1" t="s">
        <v>16</v>
      </c>
      <c r="D3550" s="1" t="s">
        <v>12</v>
      </c>
      <c r="E3550" s="1" t="s">
        <v>17</v>
      </c>
      <c r="F3550">
        <v>2.8</v>
      </c>
      <c r="G3550">
        <v>3</v>
      </c>
      <c r="H3550" s="1" t="s">
        <v>14</v>
      </c>
      <c r="I3550" s="1" t="s">
        <v>15</v>
      </c>
      <c r="J3550" s="12">
        <v>45874</v>
      </c>
      <c r="K3550">
        <v>0</v>
      </c>
      <c r="L3550" s="1">
        <f t="shared" si="220"/>
        <v>8.3999999999999986</v>
      </c>
      <c r="M3550" s="1" t="str">
        <f t="shared" si="221"/>
        <v/>
      </c>
      <c r="N3550" s="2">
        <f t="shared" si="222"/>
        <v>45870</v>
      </c>
      <c r="O3550" t="str">
        <f t="shared" si="223"/>
        <v>pes</v>
      </c>
    </row>
    <row r="3551" spans="1:15" x14ac:dyDescent="0.25">
      <c r="A3551">
        <v>11055</v>
      </c>
      <c r="B3551" s="11">
        <v>4013456789017</v>
      </c>
      <c r="C3551" s="1" t="s">
        <v>11</v>
      </c>
      <c r="D3551" s="1" t="s">
        <v>12</v>
      </c>
      <c r="E3551" s="1" t="s">
        <v>13</v>
      </c>
      <c r="F3551">
        <v>6</v>
      </c>
      <c r="G3551">
        <v>1</v>
      </c>
      <c r="H3551" s="1" t="s">
        <v>33</v>
      </c>
      <c r="I3551" s="1" t="s">
        <v>15</v>
      </c>
      <c r="J3551" s="12">
        <v>45874</v>
      </c>
      <c r="K3551">
        <v>0</v>
      </c>
      <c r="L3551" s="1">
        <f t="shared" si="220"/>
        <v>6</v>
      </c>
      <c r="M3551" s="1">
        <f t="shared" si="221"/>
        <v>3</v>
      </c>
      <c r="N3551" s="2">
        <f t="shared" si="222"/>
        <v>45870</v>
      </c>
      <c r="O3551" t="str">
        <f t="shared" si="223"/>
        <v>pes</v>
      </c>
    </row>
    <row r="3552" spans="1:15" hidden="1" x14ac:dyDescent="0.25">
      <c r="A3552">
        <v>11056</v>
      </c>
      <c r="B3552" s="11">
        <v>4019876501234</v>
      </c>
      <c r="C3552" s="1" t="s">
        <v>674</v>
      </c>
      <c r="D3552" s="1" t="s">
        <v>29</v>
      </c>
      <c r="E3552" s="1" t="s">
        <v>37</v>
      </c>
      <c r="F3552">
        <v>1.84</v>
      </c>
      <c r="G3552">
        <v>3</v>
      </c>
      <c r="H3552" s="1" t="s">
        <v>14</v>
      </c>
      <c r="I3552" s="1" t="s">
        <v>15</v>
      </c>
      <c r="J3552" s="12">
        <v>45874</v>
      </c>
      <c r="K3552">
        <v>0</v>
      </c>
      <c r="L3552" s="1">
        <f t="shared" si="220"/>
        <v>5.5200000000000005</v>
      </c>
      <c r="M3552" s="1" t="str">
        <f t="shared" si="221"/>
        <v/>
      </c>
      <c r="N3552" s="2">
        <f t="shared" si="222"/>
        <v>45870</v>
      </c>
      <c r="O3552" t="str">
        <f t="shared" si="223"/>
        <v>mačka</v>
      </c>
    </row>
    <row r="3553" spans="1:15" x14ac:dyDescent="0.25">
      <c r="A3553">
        <v>11057</v>
      </c>
      <c r="B3553" s="11">
        <v>4057890123467</v>
      </c>
      <c r="C3553" s="1" t="s">
        <v>307</v>
      </c>
      <c r="D3553" s="1" t="s">
        <v>39</v>
      </c>
      <c r="E3553" s="1" t="s">
        <v>308</v>
      </c>
      <c r="F3553">
        <v>9.6</v>
      </c>
      <c r="G3553">
        <v>1</v>
      </c>
      <c r="H3553" s="1" t="s">
        <v>14</v>
      </c>
      <c r="I3553" s="1" t="s">
        <v>15</v>
      </c>
      <c r="J3553" s="12">
        <v>45874</v>
      </c>
      <c r="K3553">
        <v>0</v>
      </c>
      <c r="L3553" s="1">
        <f t="shared" si="220"/>
        <v>9.6</v>
      </c>
      <c r="M3553" s="1" t="str">
        <f t="shared" si="221"/>
        <v/>
      </c>
      <c r="N3553" s="2">
        <f t="shared" si="222"/>
        <v>45870</v>
      </c>
      <c r="O3553" t="str">
        <f t="shared" si="223"/>
        <v>pes</v>
      </c>
    </row>
    <row r="3554" spans="1:15" hidden="1" x14ac:dyDescent="0.25">
      <c r="A3554">
        <v>11058</v>
      </c>
      <c r="B3554" s="11">
        <v>8591234567812</v>
      </c>
      <c r="C3554" s="1" t="s">
        <v>314</v>
      </c>
      <c r="D3554" s="1" t="s">
        <v>29</v>
      </c>
      <c r="E3554" s="1" t="s">
        <v>30</v>
      </c>
      <c r="F3554">
        <v>33.200000000000003</v>
      </c>
      <c r="G3554">
        <v>1</v>
      </c>
      <c r="H3554" s="1" t="s">
        <v>14</v>
      </c>
      <c r="I3554" s="1" t="s">
        <v>15</v>
      </c>
      <c r="J3554" s="12">
        <v>45874</v>
      </c>
      <c r="K3554">
        <v>0</v>
      </c>
      <c r="L3554" s="1">
        <f t="shared" si="220"/>
        <v>33.200000000000003</v>
      </c>
      <c r="M3554" s="1" t="str">
        <f t="shared" si="221"/>
        <v/>
      </c>
      <c r="N3554" s="2">
        <f t="shared" si="222"/>
        <v>45870</v>
      </c>
      <c r="O3554" t="str">
        <f t="shared" si="223"/>
        <v>mačka</v>
      </c>
    </row>
    <row r="3555" spans="1:15" x14ac:dyDescent="0.25">
      <c r="A3555">
        <v>11059</v>
      </c>
      <c r="B3555" s="11">
        <v>4000123456786</v>
      </c>
      <c r="C3555" s="1" t="s">
        <v>305</v>
      </c>
      <c r="D3555" s="1" t="s">
        <v>21</v>
      </c>
      <c r="E3555" s="1" t="s">
        <v>27</v>
      </c>
      <c r="F3555">
        <v>6.8</v>
      </c>
      <c r="G3555">
        <v>1</v>
      </c>
      <c r="H3555" s="1" t="s">
        <v>14</v>
      </c>
      <c r="I3555" s="1" t="s">
        <v>15</v>
      </c>
      <c r="J3555" s="12">
        <v>45874</v>
      </c>
      <c r="K3555">
        <v>0</v>
      </c>
      <c r="L3555" s="1">
        <f t="shared" si="220"/>
        <v>6.8</v>
      </c>
      <c r="M3555" s="1" t="str">
        <f t="shared" si="221"/>
        <v/>
      </c>
      <c r="N3555" s="2">
        <f t="shared" si="222"/>
        <v>45870</v>
      </c>
      <c r="O3555" t="str">
        <f t="shared" si="223"/>
        <v>pes</v>
      </c>
    </row>
    <row r="3556" spans="1:15" hidden="1" x14ac:dyDescent="0.25">
      <c r="A3556">
        <v>11060</v>
      </c>
      <c r="B3556" s="11">
        <v>4021234567894</v>
      </c>
      <c r="C3556" s="1" t="s">
        <v>79</v>
      </c>
      <c r="D3556" s="1" t="s">
        <v>36</v>
      </c>
      <c r="E3556" s="1" t="s">
        <v>69</v>
      </c>
      <c r="F3556">
        <v>8</v>
      </c>
      <c r="G3556">
        <v>2</v>
      </c>
      <c r="H3556" s="1" t="s">
        <v>18</v>
      </c>
      <c r="I3556" s="1" t="s">
        <v>15</v>
      </c>
      <c r="J3556" s="12">
        <v>45874</v>
      </c>
      <c r="K3556">
        <v>0</v>
      </c>
      <c r="L3556" s="1">
        <f t="shared" si="220"/>
        <v>16</v>
      </c>
      <c r="M3556" s="1">
        <f t="shared" si="221"/>
        <v>4</v>
      </c>
      <c r="N3556" s="2">
        <f t="shared" si="222"/>
        <v>45870</v>
      </c>
      <c r="O3556" t="str">
        <f t="shared" si="223"/>
        <v>mačka</v>
      </c>
    </row>
    <row r="3557" spans="1:15" hidden="1" x14ac:dyDescent="0.25">
      <c r="A3557">
        <v>11061</v>
      </c>
      <c r="B3557" s="11">
        <v>4009012345672</v>
      </c>
      <c r="C3557" s="1" t="s">
        <v>45</v>
      </c>
      <c r="D3557" s="1" t="s">
        <v>36</v>
      </c>
      <c r="E3557" s="1" t="s">
        <v>32</v>
      </c>
      <c r="F3557">
        <v>11.2</v>
      </c>
      <c r="G3557">
        <v>1</v>
      </c>
      <c r="H3557" s="1" t="s">
        <v>14</v>
      </c>
      <c r="I3557" s="1" t="s">
        <v>15</v>
      </c>
      <c r="J3557" s="12">
        <v>45874</v>
      </c>
      <c r="K3557">
        <v>0</v>
      </c>
      <c r="L3557" s="1">
        <f t="shared" si="220"/>
        <v>11.2</v>
      </c>
      <c r="M3557" s="1" t="str">
        <f t="shared" si="221"/>
        <v/>
      </c>
      <c r="N3557" s="2">
        <f t="shared" si="222"/>
        <v>45870</v>
      </c>
      <c r="O3557" t="str">
        <f t="shared" si="223"/>
        <v>mačka</v>
      </c>
    </row>
    <row r="3558" spans="1:15" hidden="1" x14ac:dyDescent="0.25">
      <c r="A3558">
        <v>11061</v>
      </c>
      <c r="B3558" s="11">
        <v>4017788990015</v>
      </c>
      <c r="C3558" s="1" t="s">
        <v>651</v>
      </c>
      <c r="D3558" s="1" t="s">
        <v>29</v>
      </c>
      <c r="E3558" s="1" t="s">
        <v>32</v>
      </c>
      <c r="F3558">
        <v>4.8</v>
      </c>
      <c r="G3558">
        <v>2</v>
      </c>
      <c r="H3558" s="1" t="s">
        <v>14</v>
      </c>
      <c r="I3558" s="1" t="s">
        <v>15</v>
      </c>
      <c r="J3558" s="12">
        <v>45874</v>
      </c>
      <c r="K3558">
        <v>0</v>
      </c>
      <c r="L3558" s="1">
        <f t="shared" si="220"/>
        <v>9.6</v>
      </c>
      <c r="M3558" s="1" t="str">
        <f t="shared" si="221"/>
        <v/>
      </c>
      <c r="N3558" s="2">
        <f t="shared" si="222"/>
        <v>45870</v>
      </c>
      <c r="O3558" t="str">
        <f t="shared" si="223"/>
        <v>mačka</v>
      </c>
    </row>
    <row r="3559" spans="1:15" hidden="1" x14ac:dyDescent="0.25">
      <c r="A3559">
        <v>11062</v>
      </c>
      <c r="B3559" s="11">
        <v>4025566778891</v>
      </c>
      <c r="C3559" s="1" t="s">
        <v>320</v>
      </c>
      <c r="D3559" s="1" t="s">
        <v>317</v>
      </c>
      <c r="E3559" s="1" t="s">
        <v>30</v>
      </c>
      <c r="F3559">
        <v>51.64</v>
      </c>
      <c r="G3559">
        <v>1</v>
      </c>
      <c r="H3559" s="1" t="s">
        <v>23</v>
      </c>
      <c r="I3559" s="1" t="s">
        <v>15</v>
      </c>
      <c r="J3559" s="12">
        <v>45874</v>
      </c>
      <c r="K3559">
        <v>0</v>
      </c>
      <c r="L3559" s="1">
        <f t="shared" si="220"/>
        <v>51.64</v>
      </c>
      <c r="M3559" s="1">
        <f t="shared" si="221"/>
        <v>5</v>
      </c>
      <c r="N3559" s="2">
        <f t="shared" si="222"/>
        <v>45870</v>
      </c>
      <c r="O3559" t="str">
        <f t="shared" si="223"/>
        <v>mačka</v>
      </c>
    </row>
    <row r="3560" spans="1:15" hidden="1" x14ac:dyDescent="0.25">
      <c r="A3560">
        <v>11063</v>
      </c>
      <c r="B3560" s="11">
        <v>5904455667782</v>
      </c>
      <c r="C3560" s="1" t="s">
        <v>323</v>
      </c>
      <c r="D3560" s="1" t="s">
        <v>317</v>
      </c>
      <c r="E3560" s="1" t="s">
        <v>42</v>
      </c>
      <c r="F3560">
        <v>51.64</v>
      </c>
      <c r="G3560">
        <v>1</v>
      </c>
      <c r="H3560" s="1" t="s">
        <v>14</v>
      </c>
      <c r="I3560" s="1" t="s">
        <v>15</v>
      </c>
      <c r="J3560" s="12">
        <v>45874</v>
      </c>
      <c r="K3560">
        <v>0</v>
      </c>
      <c r="L3560" s="1">
        <f t="shared" si="220"/>
        <v>51.64</v>
      </c>
      <c r="M3560" s="1" t="str">
        <f t="shared" si="221"/>
        <v/>
      </c>
      <c r="N3560" s="2">
        <f t="shared" si="222"/>
        <v>45870</v>
      </c>
      <c r="O3560" t="str">
        <f t="shared" si="223"/>
        <v>mačka</v>
      </c>
    </row>
    <row r="3561" spans="1:15" x14ac:dyDescent="0.25">
      <c r="A3561">
        <v>11064</v>
      </c>
      <c r="B3561" s="11">
        <v>8599988776654</v>
      </c>
      <c r="C3561" s="1" t="s">
        <v>393</v>
      </c>
      <c r="D3561" s="1" t="s">
        <v>133</v>
      </c>
      <c r="E3561" s="1" t="s">
        <v>17</v>
      </c>
      <c r="F3561">
        <v>28</v>
      </c>
      <c r="G3561">
        <v>1</v>
      </c>
      <c r="H3561" s="1" t="s">
        <v>14</v>
      </c>
      <c r="I3561" s="1" t="s">
        <v>15</v>
      </c>
      <c r="J3561" s="12">
        <v>45875</v>
      </c>
      <c r="K3561">
        <v>0</v>
      </c>
      <c r="L3561" s="1">
        <f t="shared" si="220"/>
        <v>28</v>
      </c>
      <c r="M3561" s="1" t="str">
        <f t="shared" si="221"/>
        <v/>
      </c>
      <c r="N3561" s="2">
        <f t="shared" si="222"/>
        <v>45870</v>
      </c>
      <c r="O3561" t="str">
        <f t="shared" si="223"/>
        <v>pes</v>
      </c>
    </row>
    <row r="3562" spans="1:15" x14ac:dyDescent="0.25">
      <c r="A3562">
        <v>11065</v>
      </c>
      <c r="B3562" s="11">
        <v>4017890123450</v>
      </c>
      <c r="C3562" s="1" t="s">
        <v>65</v>
      </c>
      <c r="D3562" s="1" t="s">
        <v>39</v>
      </c>
      <c r="E3562" s="1" t="s">
        <v>22</v>
      </c>
      <c r="F3562">
        <v>7.6</v>
      </c>
      <c r="G3562">
        <v>1</v>
      </c>
      <c r="H3562" s="1" t="s">
        <v>18</v>
      </c>
      <c r="I3562" s="1" t="s">
        <v>15</v>
      </c>
      <c r="J3562" s="12">
        <v>45875</v>
      </c>
      <c r="K3562">
        <v>0</v>
      </c>
      <c r="L3562" s="1">
        <f t="shared" si="220"/>
        <v>7.6</v>
      </c>
      <c r="M3562" s="1">
        <f t="shared" si="221"/>
        <v>4</v>
      </c>
      <c r="N3562" s="2">
        <f t="shared" si="222"/>
        <v>45870</v>
      </c>
      <c r="O3562" t="str">
        <f t="shared" si="223"/>
        <v>pes</v>
      </c>
    </row>
    <row r="3563" spans="1:15" hidden="1" x14ac:dyDescent="0.25">
      <c r="A3563">
        <v>11066</v>
      </c>
      <c r="B3563" s="11">
        <v>4043344556676</v>
      </c>
      <c r="C3563" s="1" t="s">
        <v>316</v>
      </c>
      <c r="D3563" s="1" t="s">
        <v>317</v>
      </c>
      <c r="E3563" s="1" t="s">
        <v>58</v>
      </c>
      <c r="F3563">
        <v>10</v>
      </c>
      <c r="G3563">
        <v>1</v>
      </c>
      <c r="H3563" s="1" t="s">
        <v>14</v>
      </c>
      <c r="I3563" s="1" t="s">
        <v>15</v>
      </c>
      <c r="J3563" s="12">
        <v>45875</v>
      </c>
      <c r="K3563">
        <v>0</v>
      </c>
      <c r="L3563" s="1">
        <f t="shared" si="220"/>
        <v>10</v>
      </c>
      <c r="M3563" s="1" t="str">
        <f t="shared" si="221"/>
        <v/>
      </c>
      <c r="N3563" s="2">
        <f t="shared" si="222"/>
        <v>45870</v>
      </c>
      <c r="O3563" t="str">
        <f t="shared" si="223"/>
        <v>mačka</v>
      </c>
    </row>
    <row r="3564" spans="1:15" hidden="1" x14ac:dyDescent="0.25">
      <c r="A3564">
        <v>11067</v>
      </c>
      <c r="B3564" s="11">
        <v>4056789012345</v>
      </c>
      <c r="C3564" s="1" t="s">
        <v>47</v>
      </c>
      <c r="D3564" s="1" t="s">
        <v>29</v>
      </c>
      <c r="E3564" s="1" t="s">
        <v>37</v>
      </c>
      <c r="F3564">
        <v>2.4</v>
      </c>
      <c r="G3564">
        <v>2</v>
      </c>
      <c r="H3564" s="1" t="s">
        <v>14</v>
      </c>
      <c r="I3564" s="1" t="s">
        <v>15</v>
      </c>
      <c r="J3564" s="12">
        <v>45875</v>
      </c>
      <c r="K3564">
        <v>0</v>
      </c>
      <c r="L3564" s="1">
        <f t="shared" si="220"/>
        <v>4.8</v>
      </c>
      <c r="M3564" s="1" t="str">
        <f t="shared" si="221"/>
        <v/>
      </c>
      <c r="N3564" s="2">
        <f t="shared" si="222"/>
        <v>45870</v>
      </c>
      <c r="O3564" t="str">
        <f t="shared" si="223"/>
        <v>mačka</v>
      </c>
    </row>
    <row r="3565" spans="1:15" x14ac:dyDescent="0.25">
      <c r="A3565">
        <v>11068</v>
      </c>
      <c r="B3565" s="11">
        <v>4063456789014</v>
      </c>
      <c r="C3565" s="1" t="s">
        <v>60</v>
      </c>
      <c r="D3565" s="1" t="s">
        <v>12</v>
      </c>
      <c r="E3565" s="1" t="s">
        <v>61</v>
      </c>
      <c r="F3565">
        <v>36</v>
      </c>
      <c r="G3565">
        <v>1</v>
      </c>
      <c r="H3565" s="1" t="s">
        <v>14</v>
      </c>
      <c r="I3565" s="1" t="s">
        <v>15</v>
      </c>
      <c r="J3565" s="12">
        <v>45875</v>
      </c>
      <c r="K3565">
        <v>0</v>
      </c>
      <c r="L3565" s="1">
        <f t="shared" si="220"/>
        <v>36</v>
      </c>
      <c r="M3565" s="1" t="str">
        <f t="shared" si="221"/>
        <v/>
      </c>
      <c r="N3565" s="2">
        <f t="shared" si="222"/>
        <v>45870</v>
      </c>
      <c r="O3565" t="str">
        <f t="shared" si="223"/>
        <v>pes</v>
      </c>
    </row>
    <row r="3566" spans="1:15" x14ac:dyDescent="0.25">
      <c r="A3566">
        <v>11069</v>
      </c>
      <c r="B3566" s="11">
        <v>4004455667780</v>
      </c>
      <c r="C3566" s="1" t="s">
        <v>640</v>
      </c>
      <c r="D3566" s="1" t="s">
        <v>641</v>
      </c>
      <c r="E3566" s="1" t="s">
        <v>134</v>
      </c>
      <c r="F3566">
        <v>14</v>
      </c>
      <c r="G3566">
        <v>1</v>
      </c>
      <c r="H3566" s="1" t="s">
        <v>23</v>
      </c>
      <c r="I3566" s="1" t="s">
        <v>15</v>
      </c>
      <c r="J3566" s="12">
        <v>45875</v>
      </c>
      <c r="K3566">
        <v>0</v>
      </c>
      <c r="L3566" s="1">
        <f t="shared" si="220"/>
        <v>14</v>
      </c>
      <c r="M3566" s="1">
        <f t="shared" si="221"/>
        <v>5</v>
      </c>
      <c r="N3566" s="2">
        <f t="shared" si="222"/>
        <v>45870</v>
      </c>
      <c r="O3566" t="str">
        <f t="shared" si="223"/>
        <v>pes</v>
      </c>
    </row>
    <row r="3567" spans="1:15" hidden="1" x14ac:dyDescent="0.25">
      <c r="A3567">
        <v>11070</v>
      </c>
      <c r="B3567" s="11">
        <v>4010123456783</v>
      </c>
      <c r="C3567" s="1" t="s">
        <v>35</v>
      </c>
      <c r="D3567" s="1" t="s">
        <v>36</v>
      </c>
      <c r="E3567" s="1" t="s">
        <v>37</v>
      </c>
      <c r="F3567">
        <v>14</v>
      </c>
      <c r="G3567">
        <v>1</v>
      </c>
      <c r="H3567" s="1" t="s">
        <v>14</v>
      </c>
      <c r="I3567" s="1" t="s">
        <v>15</v>
      </c>
      <c r="J3567" s="12">
        <v>45875</v>
      </c>
      <c r="K3567">
        <v>0</v>
      </c>
      <c r="L3567" s="1">
        <f t="shared" si="220"/>
        <v>14</v>
      </c>
      <c r="M3567" s="1" t="str">
        <f t="shared" si="221"/>
        <v/>
      </c>
      <c r="N3567" s="2">
        <f t="shared" si="222"/>
        <v>45870</v>
      </c>
      <c r="O3567" t="str">
        <f t="shared" si="223"/>
        <v>mačka</v>
      </c>
    </row>
    <row r="3568" spans="1:15" x14ac:dyDescent="0.25">
      <c r="A3568">
        <v>11071</v>
      </c>
      <c r="B3568" s="11">
        <v>4028899001126</v>
      </c>
      <c r="C3568" s="1" t="s">
        <v>16</v>
      </c>
      <c r="D3568" s="1" t="s">
        <v>12</v>
      </c>
      <c r="E3568" s="1" t="s">
        <v>17</v>
      </c>
      <c r="F3568">
        <v>2.8</v>
      </c>
      <c r="G3568">
        <v>2</v>
      </c>
      <c r="H3568" s="1" t="s">
        <v>14</v>
      </c>
      <c r="I3568" s="1" t="s">
        <v>15</v>
      </c>
      <c r="J3568" s="12">
        <v>45875</v>
      </c>
      <c r="K3568">
        <v>0</v>
      </c>
      <c r="L3568" s="1">
        <f t="shared" si="220"/>
        <v>5.6</v>
      </c>
      <c r="M3568" s="1" t="str">
        <f t="shared" si="221"/>
        <v/>
      </c>
      <c r="N3568" s="2">
        <f t="shared" si="222"/>
        <v>45870</v>
      </c>
      <c r="O3568" t="str">
        <f t="shared" si="223"/>
        <v>pes</v>
      </c>
    </row>
    <row r="3569" spans="1:15" x14ac:dyDescent="0.25">
      <c r="A3569">
        <v>11072</v>
      </c>
      <c r="B3569" s="11">
        <v>4013456789017</v>
      </c>
      <c r="C3569" s="1" t="s">
        <v>11</v>
      </c>
      <c r="D3569" s="1" t="s">
        <v>12</v>
      </c>
      <c r="E3569" s="1" t="s">
        <v>13</v>
      </c>
      <c r="F3569">
        <v>6</v>
      </c>
      <c r="G3569">
        <v>1</v>
      </c>
      <c r="H3569" s="1" t="s">
        <v>14</v>
      </c>
      <c r="I3569" s="1" t="s">
        <v>15</v>
      </c>
      <c r="J3569" s="12">
        <v>45875</v>
      </c>
      <c r="K3569">
        <v>0</v>
      </c>
      <c r="L3569" s="1">
        <f t="shared" si="220"/>
        <v>6</v>
      </c>
      <c r="M3569" s="1" t="str">
        <f t="shared" si="221"/>
        <v/>
      </c>
      <c r="N3569" s="2">
        <f t="shared" si="222"/>
        <v>45870</v>
      </c>
      <c r="O3569" t="str">
        <f t="shared" si="223"/>
        <v>pes</v>
      </c>
    </row>
    <row r="3570" spans="1:15" hidden="1" x14ac:dyDescent="0.25">
      <c r="A3570">
        <v>11073</v>
      </c>
      <c r="B3570" s="11">
        <v>4042233445567</v>
      </c>
      <c r="C3570" s="1" t="s">
        <v>637</v>
      </c>
      <c r="D3570" s="1" t="s">
        <v>140</v>
      </c>
      <c r="E3570" s="1" t="s">
        <v>141</v>
      </c>
      <c r="F3570">
        <v>51.64</v>
      </c>
      <c r="G3570">
        <v>1</v>
      </c>
      <c r="H3570" s="1" t="s">
        <v>14</v>
      </c>
      <c r="I3570" s="1" t="s">
        <v>15</v>
      </c>
      <c r="J3570" s="12">
        <v>45875</v>
      </c>
      <c r="K3570">
        <v>0</v>
      </c>
      <c r="L3570" s="1">
        <f t="shared" si="220"/>
        <v>51.64</v>
      </c>
      <c r="M3570" s="1" t="str">
        <f t="shared" si="221"/>
        <v/>
      </c>
      <c r="N3570" s="2">
        <f t="shared" si="222"/>
        <v>45870</v>
      </c>
      <c r="O3570" t="str">
        <f t="shared" si="223"/>
        <v>mačka</v>
      </c>
    </row>
    <row r="3571" spans="1:15" x14ac:dyDescent="0.25">
      <c r="A3571">
        <v>11074</v>
      </c>
      <c r="B3571" s="11">
        <v>4003344556679</v>
      </c>
      <c r="C3571" s="1" t="s">
        <v>132</v>
      </c>
      <c r="D3571" s="1" t="s">
        <v>133</v>
      </c>
      <c r="E3571" s="1" t="s">
        <v>134</v>
      </c>
      <c r="F3571">
        <v>51.64</v>
      </c>
      <c r="G3571">
        <v>1</v>
      </c>
      <c r="H3571" s="1" t="s">
        <v>18</v>
      </c>
      <c r="I3571" s="1" t="s">
        <v>15</v>
      </c>
      <c r="J3571" s="12">
        <v>45875</v>
      </c>
      <c r="K3571">
        <v>0</v>
      </c>
      <c r="L3571" s="1">
        <f t="shared" si="220"/>
        <v>51.64</v>
      </c>
      <c r="M3571" s="1">
        <f t="shared" si="221"/>
        <v>4</v>
      </c>
      <c r="N3571" s="2">
        <f t="shared" si="222"/>
        <v>45870</v>
      </c>
      <c r="O3571" t="str">
        <f t="shared" si="223"/>
        <v>pes</v>
      </c>
    </row>
    <row r="3572" spans="1:15" hidden="1" x14ac:dyDescent="0.25">
      <c r="A3572">
        <v>11075</v>
      </c>
      <c r="B3572" s="11">
        <v>4029900112244</v>
      </c>
      <c r="C3572" s="1" t="s">
        <v>655</v>
      </c>
      <c r="D3572" s="1" t="s">
        <v>36</v>
      </c>
      <c r="E3572" s="1" t="s">
        <v>37</v>
      </c>
      <c r="F3572">
        <v>13.6</v>
      </c>
      <c r="G3572">
        <v>1</v>
      </c>
      <c r="H3572" s="1" t="s">
        <v>14</v>
      </c>
      <c r="I3572" s="1" t="s">
        <v>15</v>
      </c>
      <c r="J3572" s="12">
        <v>45875</v>
      </c>
      <c r="K3572">
        <v>0</v>
      </c>
      <c r="L3572" s="1">
        <f t="shared" si="220"/>
        <v>13.6</v>
      </c>
      <c r="M3572" s="1" t="str">
        <f t="shared" si="221"/>
        <v/>
      </c>
      <c r="N3572" s="2">
        <f t="shared" si="222"/>
        <v>45870</v>
      </c>
      <c r="O3572" t="str">
        <f t="shared" si="223"/>
        <v>mačka</v>
      </c>
    </row>
    <row r="3573" spans="1:15" hidden="1" x14ac:dyDescent="0.25">
      <c r="A3573">
        <v>11076</v>
      </c>
      <c r="B3573" s="11">
        <v>4062345678917</v>
      </c>
      <c r="C3573" s="1" t="s">
        <v>649</v>
      </c>
      <c r="D3573" s="1" t="s">
        <v>140</v>
      </c>
      <c r="E3573" s="1" t="s">
        <v>69</v>
      </c>
      <c r="F3573">
        <v>59.64</v>
      </c>
      <c r="G3573">
        <v>1</v>
      </c>
      <c r="H3573" s="1" t="s">
        <v>14</v>
      </c>
      <c r="I3573" s="1" t="s">
        <v>15</v>
      </c>
      <c r="J3573" s="12">
        <v>45875</v>
      </c>
      <c r="K3573">
        <v>0</v>
      </c>
      <c r="L3573" s="1">
        <f t="shared" si="220"/>
        <v>59.64</v>
      </c>
      <c r="M3573" s="1" t="str">
        <f t="shared" si="221"/>
        <v/>
      </c>
      <c r="N3573" s="2">
        <f t="shared" si="222"/>
        <v>45870</v>
      </c>
      <c r="O3573" t="str">
        <f t="shared" si="223"/>
        <v>mačka</v>
      </c>
    </row>
    <row r="3574" spans="1:15" x14ac:dyDescent="0.25">
      <c r="A3574">
        <v>11077</v>
      </c>
      <c r="B3574" s="11">
        <v>4008901234561</v>
      </c>
      <c r="C3574" s="1" t="s">
        <v>330</v>
      </c>
      <c r="D3574" s="1" t="s">
        <v>26</v>
      </c>
      <c r="E3574" s="1" t="s">
        <v>331</v>
      </c>
      <c r="F3574">
        <v>40</v>
      </c>
      <c r="G3574">
        <v>1</v>
      </c>
      <c r="H3574" s="1" t="s">
        <v>33</v>
      </c>
      <c r="I3574" s="1" t="s">
        <v>15</v>
      </c>
      <c r="J3574" s="12">
        <v>45875</v>
      </c>
      <c r="K3574">
        <v>0</v>
      </c>
      <c r="L3574" s="1">
        <f t="shared" si="220"/>
        <v>40</v>
      </c>
      <c r="M3574" s="1">
        <f t="shared" si="221"/>
        <v>3</v>
      </c>
      <c r="N3574" s="2">
        <f t="shared" si="222"/>
        <v>45870</v>
      </c>
      <c r="O3574" t="str">
        <f t="shared" si="223"/>
        <v>pes</v>
      </c>
    </row>
    <row r="3575" spans="1:15" hidden="1" x14ac:dyDescent="0.25">
      <c r="A3575">
        <v>11078</v>
      </c>
      <c r="B3575" s="11">
        <v>4001234567893</v>
      </c>
      <c r="C3575" s="1" t="s">
        <v>31</v>
      </c>
      <c r="D3575" s="1" t="s">
        <v>29</v>
      </c>
      <c r="E3575" s="1" t="s">
        <v>32</v>
      </c>
      <c r="F3575">
        <v>9.1999999999999993</v>
      </c>
      <c r="G3575">
        <v>1</v>
      </c>
      <c r="H3575" s="1" t="s">
        <v>14</v>
      </c>
      <c r="I3575" s="1" t="s">
        <v>15</v>
      </c>
      <c r="J3575" s="12">
        <v>45875</v>
      </c>
      <c r="K3575">
        <v>0</v>
      </c>
      <c r="L3575" s="1">
        <f t="shared" si="220"/>
        <v>9.1999999999999993</v>
      </c>
      <c r="M3575" s="1" t="str">
        <f t="shared" si="221"/>
        <v/>
      </c>
      <c r="N3575" s="2">
        <f t="shared" si="222"/>
        <v>45870</v>
      </c>
      <c r="O3575" t="str">
        <f t="shared" si="223"/>
        <v>mačka</v>
      </c>
    </row>
    <row r="3576" spans="1:15" hidden="1" x14ac:dyDescent="0.25">
      <c r="A3576">
        <v>11078</v>
      </c>
      <c r="B3576" s="11">
        <v>4010123456783</v>
      </c>
      <c r="C3576" s="1" t="s">
        <v>35</v>
      </c>
      <c r="D3576" s="1" t="s">
        <v>36</v>
      </c>
      <c r="E3576" s="1" t="s">
        <v>37</v>
      </c>
      <c r="F3576">
        <v>14</v>
      </c>
      <c r="G3576">
        <v>2</v>
      </c>
      <c r="H3576" s="1" t="s">
        <v>14</v>
      </c>
      <c r="I3576" s="1" t="s">
        <v>15</v>
      </c>
      <c r="J3576" s="12">
        <v>45875</v>
      </c>
      <c r="K3576">
        <v>0</v>
      </c>
      <c r="L3576" s="1">
        <f t="shared" si="220"/>
        <v>28</v>
      </c>
      <c r="M3576" s="1" t="str">
        <f t="shared" si="221"/>
        <v/>
      </c>
      <c r="N3576" s="2">
        <f t="shared" si="222"/>
        <v>45870</v>
      </c>
      <c r="O3576" t="str">
        <f t="shared" si="223"/>
        <v>mačka</v>
      </c>
    </row>
    <row r="3577" spans="1:15" hidden="1" x14ac:dyDescent="0.25">
      <c r="A3577">
        <v>11079</v>
      </c>
      <c r="B3577" s="11">
        <v>4025678901239</v>
      </c>
      <c r="C3577" s="1" t="s">
        <v>659</v>
      </c>
      <c r="D3577" s="1" t="s">
        <v>267</v>
      </c>
      <c r="E3577" s="1" t="s">
        <v>58</v>
      </c>
      <c r="F3577">
        <v>10</v>
      </c>
      <c r="G3577">
        <v>1</v>
      </c>
      <c r="H3577" s="1" t="s">
        <v>14</v>
      </c>
      <c r="I3577" s="1" t="s">
        <v>15</v>
      </c>
      <c r="J3577" s="12">
        <v>45875</v>
      </c>
      <c r="K3577">
        <v>0</v>
      </c>
      <c r="L3577" s="1">
        <f t="shared" si="220"/>
        <v>10</v>
      </c>
      <c r="M3577" s="1" t="str">
        <f t="shared" si="221"/>
        <v/>
      </c>
      <c r="N3577" s="2">
        <f t="shared" si="222"/>
        <v>45870</v>
      </c>
      <c r="O3577" t="str">
        <f t="shared" si="223"/>
        <v>mačka</v>
      </c>
    </row>
    <row r="3578" spans="1:15" hidden="1" x14ac:dyDescent="0.25">
      <c r="A3578">
        <v>11080</v>
      </c>
      <c r="B3578" s="11">
        <v>4014567890128</v>
      </c>
      <c r="C3578" s="1" t="s">
        <v>660</v>
      </c>
      <c r="D3578" s="1" t="s">
        <v>267</v>
      </c>
      <c r="E3578" s="1" t="s">
        <v>32</v>
      </c>
      <c r="F3578">
        <v>5.2</v>
      </c>
      <c r="G3578">
        <v>1</v>
      </c>
      <c r="H3578" s="1" t="s">
        <v>23</v>
      </c>
      <c r="I3578" s="1" t="s">
        <v>15</v>
      </c>
      <c r="J3578" s="12">
        <v>45875</v>
      </c>
      <c r="K3578">
        <v>0</v>
      </c>
      <c r="L3578" s="1">
        <f t="shared" si="220"/>
        <v>5.2</v>
      </c>
      <c r="M3578" s="1">
        <f t="shared" si="221"/>
        <v>5</v>
      </c>
      <c r="N3578" s="2">
        <f t="shared" si="222"/>
        <v>45870</v>
      </c>
      <c r="O3578" t="str">
        <f t="shared" si="223"/>
        <v>mačka</v>
      </c>
    </row>
    <row r="3579" spans="1:15" x14ac:dyDescent="0.25">
      <c r="A3579">
        <v>11081</v>
      </c>
      <c r="B3579" s="11">
        <v>4046789012356</v>
      </c>
      <c r="C3579" s="1" t="s">
        <v>304</v>
      </c>
      <c r="D3579" s="1" t="s">
        <v>39</v>
      </c>
      <c r="E3579" s="1" t="s">
        <v>61</v>
      </c>
      <c r="F3579">
        <v>6.4</v>
      </c>
      <c r="G3579">
        <v>1</v>
      </c>
      <c r="H3579" s="1" t="s">
        <v>14</v>
      </c>
      <c r="I3579" s="1" t="s">
        <v>15</v>
      </c>
      <c r="J3579" s="12">
        <v>45875</v>
      </c>
      <c r="K3579">
        <v>0</v>
      </c>
      <c r="L3579" s="1">
        <f t="shared" si="220"/>
        <v>6.4</v>
      </c>
      <c r="M3579" s="1" t="str">
        <f t="shared" si="221"/>
        <v/>
      </c>
      <c r="N3579" s="2">
        <f t="shared" si="222"/>
        <v>45870</v>
      </c>
      <c r="O3579" t="str">
        <f t="shared" si="223"/>
        <v>pes</v>
      </c>
    </row>
    <row r="3580" spans="1:15" x14ac:dyDescent="0.25">
      <c r="A3580">
        <v>11082</v>
      </c>
      <c r="B3580" s="11">
        <v>4000123456786</v>
      </c>
      <c r="C3580" s="1" t="s">
        <v>305</v>
      </c>
      <c r="D3580" s="1" t="s">
        <v>21</v>
      </c>
      <c r="E3580" s="1" t="s">
        <v>27</v>
      </c>
      <c r="F3580">
        <v>6.8</v>
      </c>
      <c r="G3580">
        <v>1</v>
      </c>
      <c r="H3580" s="1" t="s">
        <v>14</v>
      </c>
      <c r="I3580" s="1" t="s">
        <v>15</v>
      </c>
      <c r="J3580" s="12">
        <v>45875</v>
      </c>
      <c r="K3580">
        <v>0</v>
      </c>
      <c r="L3580" s="1">
        <f t="shared" si="220"/>
        <v>6.8</v>
      </c>
      <c r="M3580" s="1" t="str">
        <f t="shared" si="221"/>
        <v/>
      </c>
      <c r="N3580" s="2">
        <f t="shared" si="222"/>
        <v>45870</v>
      </c>
      <c r="O3580" t="str">
        <f t="shared" si="223"/>
        <v>pes</v>
      </c>
    </row>
    <row r="3581" spans="1:15" hidden="1" x14ac:dyDescent="0.25">
      <c r="A3581">
        <v>11083</v>
      </c>
      <c r="B3581" s="11">
        <v>5903344556670</v>
      </c>
      <c r="C3581" s="1" t="s">
        <v>638</v>
      </c>
      <c r="D3581" s="1" t="s">
        <v>140</v>
      </c>
      <c r="E3581" s="1" t="s">
        <v>30</v>
      </c>
      <c r="F3581">
        <v>75.64</v>
      </c>
      <c r="G3581">
        <v>1</v>
      </c>
      <c r="H3581" s="1" t="s">
        <v>23</v>
      </c>
      <c r="I3581" s="1" t="s">
        <v>15</v>
      </c>
      <c r="J3581" s="12">
        <v>45875</v>
      </c>
      <c r="K3581">
        <v>0</v>
      </c>
      <c r="L3581" s="1">
        <f t="shared" si="220"/>
        <v>75.64</v>
      </c>
      <c r="M3581" s="1">
        <f t="shared" si="221"/>
        <v>5</v>
      </c>
      <c r="N3581" s="2">
        <f t="shared" si="222"/>
        <v>45870</v>
      </c>
      <c r="O3581" t="str">
        <f t="shared" si="223"/>
        <v>mačka</v>
      </c>
    </row>
    <row r="3582" spans="1:15" x14ac:dyDescent="0.25">
      <c r="A3582">
        <v>11084</v>
      </c>
      <c r="B3582" s="11">
        <v>8599988776654</v>
      </c>
      <c r="C3582" s="1" t="s">
        <v>393</v>
      </c>
      <c r="D3582" s="1" t="s">
        <v>133</v>
      </c>
      <c r="E3582" s="1" t="s">
        <v>17</v>
      </c>
      <c r="F3582">
        <v>28</v>
      </c>
      <c r="G3582">
        <v>1</v>
      </c>
      <c r="H3582" s="1" t="s">
        <v>14</v>
      </c>
      <c r="I3582" s="1" t="s">
        <v>15</v>
      </c>
      <c r="J3582" s="12">
        <v>45876</v>
      </c>
      <c r="K3582">
        <v>0</v>
      </c>
      <c r="L3582" s="1">
        <f t="shared" si="220"/>
        <v>28</v>
      </c>
      <c r="M3582" s="1" t="str">
        <f t="shared" si="221"/>
        <v/>
      </c>
      <c r="N3582" s="2">
        <f t="shared" si="222"/>
        <v>45870</v>
      </c>
      <c r="O3582" t="str">
        <f t="shared" si="223"/>
        <v>pes</v>
      </c>
    </row>
    <row r="3583" spans="1:15" x14ac:dyDescent="0.25">
      <c r="A3583">
        <v>11085</v>
      </c>
      <c r="B3583" s="11">
        <v>4013456789017</v>
      </c>
      <c r="C3583" s="1" t="s">
        <v>11</v>
      </c>
      <c r="D3583" s="1" t="s">
        <v>12</v>
      </c>
      <c r="E3583" s="1" t="s">
        <v>13</v>
      </c>
      <c r="F3583">
        <v>6</v>
      </c>
      <c r="G3583">
        <v>1</v>
      </c>
      <c r="H3583" s="1" t="s">
        <v>14</v>
      </c>
      <c r="I3583" s="1" t="s">
        <v>15</v>
      </c>
      <c r="J3583" s="12">
        <v>45876</v>
      </c>
      <c r="K3583">
        <v>0</v>
      </c>
      <c r="L3583" s="1">
        <f t="shared" si="220"/>
        <v>6</v>
      </c>
      <c r="M3583" s="1" t="str">
        <f t="shared" si="221"/>
        <v/>
      </c>
      <c r="N3583" s="2">
        <f t="shared" si="222"/>
        <v>45870</v>
      </c>
      <c r="O3583" t="str">
        <f t="shared" si="223"/>
        <v>pes</v>
      </c>
    </row>
    <row r="3584" spans="1:15" x14ac:dyDescent="0.25">
      <c r="A3584">
        <v>11086</v>
      </c>
      <c r="B3584" s="11">
        <v>4027788990013</v>
      </c>
      <c r="C3584" s="1" t="s">
        <v>43</v>
      </c>
      <c r="D3584" s="1" t="s">
        <v>21</v>
      </c>
      <c r="E3584" s="1" t="s">
        <v>22</v>
      </c>
      <c r="F3584">
        <v>8</v>
      </c>
      <c r="G3584">
        <v>1</v>
      </c>
      <c r="H3584" s="1" t="s">
        <v>18</v>
      </c>
      <c r="I3584" s="1" t="s">
        <v>15</v>
      </c>
      <c r="J3584" s="12">
        <v>45876</v>
      </c>
      <c r="K3584">
        <v>0</v>
      </c>
      <c r="L3584" s="1">
        <f t="shared" si="220"/>
        <v>8</v>
      </c>
      <c r="M3584" s="1">
        <f t="shared" si="221"/>
        <v>4</v>
      </c>
      <c r="N3584" s="2">
        <f t="shared" si="222"/>
        <v>45870</v>
      </c>
      <c r="O3584" t="str">
        <f t="shared" si="223"/>
        <v>pes</v>
      </c>
    </row>
    <row r="3585" spans="1:15" hidden="1" x14ac:dyDescent="0.25">
      <c r="A3585">
        <v>11087</v>
      </c>
      <c r="B3585" s="11">
        <v>4010123456783</v>
      </c>
      <c r="C3585" s="1" t="s">
        <v>35</v>
      </c>
      <c r="D3585" s="1" t="s">
        <v>36</v>
      </c>
      <c r="E3585" s="1" t="s">
        <v>37</v>
      </c>
      <c r="F3585">
        <v>14</v>
      </c>
      <c r="G3585">
        <v>1</v>
      </c>
      <c r="H3585" s="1" t="s">
        <v>14</v>
      </c>
      <c r="I3585" s="1" t="s">
        <v>15</v>
      </c>
      <c r="J3585" s="12">
        <v>45876</v>
      </c>
      <c r="K3585">
        <v>0</v>
      </c>
      <c r="L3585" s="1">
        <f t="shared" si="220"/>
        <v>14</v>
      </c>
      <c r="M3585" s="1" t="str">
        <f t="shared" si="221"/>
        <v/>
      </c>
      <c r="N3585" s="2">
        <f t="shared" si="222"/>
        <v>45870</v>
      </c>
      <c r="O3585" t="str">
        <f t="shared" si="223"/>
        <v>mačka</v>
      </c>
    </row>
    <row r="3586" spans="1:15" hidden="1" x14ac:dyDescent="0.25">
      <c r="A3586">
        <v>11088</v>
      </c>
      <c r="B3586" s="11">
        <v>5901122334452</v>
      </c>
      <c r="C3586" s="1" t="s">
        <v>647</v>
      </c>
      <c r="D3586" s="1" t="s">
        <v>317</v>
      </c>
      <c r="E3586" s="1" t="s">
        <v>648</v>
      </c>
      <c r="F3586">
        <v>12</v>
      </c>
      <c r="G3586">
        <v>1</v>
      </c>
      <c r="H3586" s="1" t="s">
        <v>14</v>
      </c>
      <c r="I3586" s="1" t="s">
        <v>15</v>
      </c>
      <c r="J3586" s="12">
        <v>45876</v>
      </c>
      <c r="K3586">
        <v>0</v>
      </c>
      <c r="L3586" s="1">
        <f t="shared" ref="L3586:L3649" si="224">F3586*G3586</f>
        <v>12</v>
      </c>
      <c r="M3586" s="1" t="str">
        <f t="shared" ref="M3586:M3649" si="225">IF(H3586="NULL", "",VALUE(H3586))</f>
        <v/>
      </c>
      <c r="N3586" s="2">
        <f t="shared" ref="N3586:N3649" si="226">DATE(YEAR(J3586),MONTH(J3586),1)</f>
        <v>45870</v>
      </c>
      <c r="O3586" t="str">
        <f t="shared" ref="O3586:O3649" si="227">IF(ISNUMBER(SEARCH("Mačky",D3586)),"mačka",IF(ISNUMBER(SEARCH("Psy",D3586)),"pes","iné"))</f>
        <v>mačka</v>
      </c>
    </row>
    <row r="3587" spans="1:15" x14ac:dyDescent="0.25">
      <c r="A3587">
        <v>11089</v>
      </c>
      <c r="B3587" s="11">
        <v>4024567890128</v>
      </c>
      <c r="C3587" s="1" t="s">
        <v>682</v>
      </c>
      <c r="D3587" s="1" t="s">
        <v>12</v>
      </c>
      <c r="E3587" s="1" t="s">
        <v>134</v>
      </c>
      <c r="F3587">
        <v>40</v>
      </c>
      <c r="G3587">
        <v>1</v>
      </c>
      <c r="H3587" s="1" t="s">
        <v>14</v>
      </c>
      <c r="I3587" s="1" t="s">
        <v>15</v>
      </c>
      <c r="J3587" s="12">
        <v>45876</v>
      </c>
      <c r="K3587">
        <v>0</v>
      </c>
      <c r="L3587" s="1">
        <f t="shared" si="224"/>
        <v>40</v>
      </c>
      <c r="M3587" s="1" t="str">
        <f t="shared" si="225"/>
        <v/>
      </c>
      <c r="N3587" s="2">
        <f t="shared" si="226"/>
        <v>45870</v>
      </c>
      <c r="O3587" t="str">
        <f t="shared" si="227"/>
        <v>pes</v>
      </c>
    </row>
    <row r="3588" spans="1:15" x14ac:dyDescent="0.25">
      <c r="A3588">
        <v>11090</v>
      </c>
      <c r="B3588" s="11">
        <v>4028899001126</v>
      </c>
      <c r="C3588" s="1" t="s">
        <v>16</v>
      </c>
      <c r="D3588" s="1" t="s">
        <v>12</v>
      </c>
      <c r="E3588" s="1" t="s">
        <v>17</v>
      </c>
      <c r="F3588">
        <v>2.8</v>
      </c>
      <c r="G3588">
        <v>2</v>
      </c>
      <c r="H3588" s="1" t="s">
        <v>18</v>
      </c>
      <c r="I3588" s="1" t="s">
        <v>15</v>
      </c>
      <c r="J3588" s="12">
        <v>45876</v>
      </c>
      <c r="K3588">
        <v>0</v>
      </c>
      <c r="L3588" s="1">
        <f t="shared" si="224"/>
        <v>5.6</v>
      </c>
      <c r="M3588" s="1">
        <f t="shared" si="225"/>
        <v>4</v>
      </c>
      <c r="N3588" s="2">
        <f t="shared" si="226"/>
        <v>45870</v>
      </c>
      <c r="O3588" t="str">
        <f t="shared" si="227"/>
        <v>pes</v>
      </c>
    </row>
    <row r="3589" spans="1:15" x14ac:dyDescent="0.25">
      <c r="A3589">
        <v>11091</v>
      </c>
      <c r="B3589" s="11">
        <v>4017890123450</v>
      </c>
      <c r="C3589" s="1" t="s">
        <v>65</v>
      </c>
      <c r="D3589" s="1" t="s">
        <v>39</v>
      </c>
      <c r="E3589" s="1" t="s">
        <v>22</v>
      </c>
      <c r="F3589">
        <v>7.6</v>
      </c>
      <c r="G3589">
        <v>1</v>
      </c>
      <c r="H3589" s="1" t="s">
        <v>14</v>
      </c>
      <c r="I3589" s="1" t="s">
        <v>15</v>
      </c>
      <c r="J3589" s="12">
        <v>45876</v>
      </c>
      <c r="K3589">
        <v>0</v>
      </c>
      <c r="L3589" s="1">
        <f t="shared" si="224"/>
        <v>7.6</v>
      </c>
      <c r="M3589" s="1" t="str">
        <f t="shared" si="225"/>
        <v/>
      </c>
      <c r="N3589" s="2">
        <f t="shared" si="226"/>
        <v>45870</v>
      </c>
      <c r="O3589" t="str">
        <f t="shared" si="227"/>
        <v>pes</v>
      </c>
    </row>
    <row r="3590" spans="1:15" hidden="1" x14ac:dyDescent="0.25">
      <c r="A3590">
        <v>11092</v>
      </c>
      <c r="B3590" s="11">
        <v>8595566778890</v>
      </c>
      <c r="C3590" s="1" t="s">
        <v>681</v>
      </c>
      <c r="D3590" s="1" t="s">
        <v>29</v>
      </c>
      <c r="E3590" s="1" t="s">
        <v>37</v>
      </c>
      <c r="F3590">
        <v>38</v>
      </c>
      <c r="G3590">
        <v>1</v>
      </c>
      <c r="H3590" s="1" t="s">
        <v>14</v>
      </c>
      <c r="I3590" s="1" t="s">
        <v>15</v>
      </c>
      <c r="J3590" s="12">
        <v>45876</v>
      </c>
      <c r="K3590">
        <v>0</v>
      </c>
      <c r="L3590" s="1">
        <f t="shared" si="224"/>
        <v>38</v>
      </c>
      <c r="M3590" s="1" t="str">
        <f t="shared" si="225"/>
        <v/>
      </c>
      <c r="N3590" s="2">
        <f t="shared" si="226"/>
        <v>45870</v>
      </c>
      <c r="O3590" t="str">
        <f t="shared" si="227"/>
        <v>mačka</v>
      </c>
    </row>
    <row r="3591" spans="1:15" hidden="1" x14ac:dyDescent="0.25">
      <c r="A3591">
        <v>11093</v>
      </c>
      <c r="B3591" s="11">
        <v>4021234567894</v>
      </c>
      <c r="C3591" s="1" t="s">
        <v>79</v>
      </c>
      <c r="D3591" s="1" t="s">
        <v>36</v>
      </c>
      <c r="E3591" s="1" t="s">
        <v>69</v>
      </c>
      <c r="F3591">
        <v>8</v>
      </c>
      <c r="G3591">
        <v>1</v>
      </c>
      <c r="H3591" s="1" t="s">
        <v>14</v>
      </c>
      <c r="I3591" s="1" t="s">
        <v>15</v>
      </c>
      <c r="J3591" s="12">
        <v>45876</v>
      </c>
      <c r="K3591">
        <v>0</v>
      </c>
      <c r="L3591" s="1">
        <f t="shared" si="224"/>
        <v>8</v>
      </c>
      <c r="M3591" s="1" t="str">
        <f t="shared" si="225"/>
        <v/>
      </c>
      <c r="N3591" s="2">
        <f t="shared" si="226"/>
        <v>45870</v>
      </c>
      <c r="O3591" t="str">
        <f t="shared" si="227"/>
        <v>mačka</v>
      </c>
    </row>
    <row r="3592" spans="1:15" hidden="1" x14ac:dyDescent="0.25">
      <c r="A3592">
        <v>11094</v>
      </c>
      <c r="B3592" s="11">
        <v>4019876501234</v>
      </c>
      <c r="C3592" s="1" t="s">
        <v>674</v>
      </c>
      <c r="D3592" s="1" t="s">
        <v>29</v>
      </c>
      <c r="E3592" s="1" t="s">
        <v>37</v>
      </c>
      <c r="F3592">
        <v>1.84</v>
      </c>
      <c r="G3592">
        <v>2</v>
      </c>
      <c r="H3592" s="1" t="s">
        <v>14</v>
      </c>
      <c r="I3592" s="1" t="s">
        <v>15</v>
      </c>
      <c r="J3592" s="12">
        <v>45876</v>
      </c>
      <c r="K3592">
        <v>0</v>
      </c>
      <c r="L3592" s="1">
        <f t="shared" si="224"/>
        <v>3.68</v>
      </c>
      <c r="M3592" s="1" t="str">
        <f t="shared" si="225"/>
        <v/>
      </c>
      <c r="N3592" s="2">
        <f t="shared" si="226"/>
        <v>45870</v>
      </c>
      <c r="O3592" t="str">
        <f t="shared" si="227"/>
        <v>mačka</v>
      </c>
    </row>
    <row r="3593" spans="1:15" x14ac:dyDescent="0.25">
      <c r="A3593">
        <v>11095</v>
      </c>
      <c r="B3593" s="11">
        <v>4063456789014</v>
      </c>
      <c r="C3593" s="1" t="s">
        <v>60</v>
      </c>
      <c r="D3593" s="1" t="s">
        <v>12</v>
      </c>
      <c r="E3593" s="1" t="s">
        <v>61</v>
      </c>
      <c r="F3593">
        <v>36</v>
      </c>
      <c r="G3593">
        <v>1</v>
      </c>
      <c r="H3593" s="1" t="s">
        <v>14</v>
      </c>
      <c r="I3593" s="1" t="s">
        <v>15</v>
      </c>
      <c r="J3593" s="12">
        <v>45876</v>
      </c>
      <c r="K3593">
        <v>0</v>
      </c>
      <c r="L3593" s="1">
        <f t="shared" si="224"/>
        <v>36</v>
      </c>
      <c r="M3593" s="1" t="str">
        <f t="shared" si="225"/>
        <v/>
      </c>
      <c r="N3593" s="2">
        <f t="shared" si="226"/>
        <v>45870</v>
      </c>
      <c r="O3593" t="str">
        <f t="shared" si="227"/>
        <v>pes</v>
      </c>
    </row>
    <row r="3594" spans="1:15" x14ac:dyDescent="0.25">
      <c r="A3594">
        <v>11095</v>
      </c>
      <c r="B3594" s="11">
        <v>4013456789017</v>
      </c>
      <c r="C3594" s="1" t="s">
        <v>11</v>
      </c>
      <c r="D3594" s="1" t="s">
        <v>12</v>
      </c>
      <c r="E3594" s="1" t="s">
        <v>13</v>
      </c>
      <c r="F3594">
        <v>6</v>
      </c>
      <c r="G3594">
        <v>2</v>
      </c>
      <c r="H3594" s="1" t="s">
        <v>14</v>
      </c>
      <c r="I3594" s="1" t="s">
        <v>15</v>
      </c>
      <c r="J3594" s="12">
        <v>45876</v>
      </c>
      <c r="K3594">
        <v>0</v>
      </c>
      <c r="L3594" s="1">
        <f t="shared" si="224"/>
        <v>12</v>
      </c>
      <c r="M3594" s="1" t="str">
        <f t="shared" si="225"/>
        <v/>
      </c>
      <c r="N3594" s="2">
        <f t="shared" si="226"/>
        <v>45870</v>
      </c>
      <c r="O3594" t="str">
        <f t="shared" si="227"/>
        <v>pes</v>
      </c>
    </row>
    <row r="3595" spans="1:15" x14ac:dyDescent="0.25">
      <c r="A3595">
        <v>11096</v>
      </c>
      <c r="B3595" s="11">
        <v>4059012345683</v>
      </c>
      <c r="C3595" s="1" t="s">
        <v>345</v>
      </c>
      <c r="D3595" s="1" t="s">
        <v>26</v>
      </c>
      <c r="E3595" s="1" t="s">
        <v>27</v>
      </c>
      <c r="F3595">
        <v>20</v>
      </c>
      <c r="G3595">
        <v>1</v>
      </c>
      <c r="H3595" s="1" t="s">
        <v>63</v>
      </c>
      <c r="I3595" s="1" t="s">
        <v>689</v>
      </c>
      <c r="J3595" s="12">
        <v>45876</v>
      </c>
      <c r="K3595">
        <v>1</v>
      </c>
      <c r="L3595" s="1">
        <f t="shared" si="224"/>
        <v>20</v>
      </c>
      <c r="M3595" s="1">
        <f t="shared" si="225"/>
        <v>1</v>
      </c>
      <c r="N3595" s="2">
        <f t="shared" si="226"/>
        <v>45870</v>
      </c>
      <c r="O3595" t="str">
        <f t="shared" si="227"/>
        <v>pes</v>
      </c>
    </row>
    <row r="3596" spans="1:15" hidden="1" x14ac:dyDescent="0.25">
      <c r="A3596">
        <v>11097</v>
      </c>
      <c r="B3596" s="11">
        <v>4042233445567</v>
      </c>
      <c r="C3596" s="1" t="s">
        <v>637</v>
      </c>
      <c r="D3596" s="1" t="s">
        <v>140</v>
      </c>
      <c r="E3596" s="1" t="s">
        <v>141</v>
      </c>
      <c r="F3596">
        <v>51.64</v>
      </c>
      <c r="G3596">
        <v>1</v>
      </c>
      <c r="H3596" s="1" t="s">
        <v>14</v>
      </c>
      <c r="I3596" s="1" t="s">
        <v>15</v>
      </c>
      <c r="J3596" s="12">
        <v>45876</v>
      </c>
      <c r="K3596">
        <v>0</v>
      </c>
      <c r="L3596" s="1">
        <f t="shared" si="224"/>
        <v>51.64</v>
      </c>
      <c r="M3596" s="1" t="str">
        <f t="shared" si="225"/>
        <v/>
      </c>
      <c r="N3596" s="2">
        <f t="shared" si="226"/>
        <v>45870</v>
      </c>
      <c r="O3596" t="str">
        <f t="shared" si="227"/>
        <v>mačka</v>
      </c>
    </row>
    <row r="3597" spans="1:15" hidden="1" x14ac:dyDescent="0.25">
      <c r="A3597">
        <v>11098</v>
      </c>
      <c r="B3597" s="11">
        <v>4009012345672</v>
      </c>
      <c r="C3597" s="1" t="s">
        <v>45</v>
      </c>
      <c r="D3597" s="1" t="s">
        <v>36</v>
      </c>
      <c r="E3597" s="1" t="s">
        <v>32</v>
      </c>
      <c r="F3597">
        <v>11.2</v>
      </c>
      <c r="G3597">
        <v>1</v>
      </c>
      <c r="H3597" s="1" t="s">
        <v>18</v>
      </c>
      <c r="I3597" s="1" t="s">
        <v>15</v>
      </c>
      <c r="J3597" s="12">
        <v>45876</v>
      </c>
      <c r="K3597">
        <v>0</v>
      </c>
      <c r="L3597" s="1">
        <f t="shared" si="224"/>
        <v>11.2</v>
      </c>
      <c r="M3597" s="1">
        <f t="shared" si="225"/>
        <v>4</v>
      </c>
      <c r="N3597" s="2">
        <f t="shared" si="226"/>
        <v>45870</v>
      </c>
      <c r="O3597" t="str">
        <f t="shared" si="227"/>
        <v>mačka</v>
      </c>
    </row>
    <row r="3598" spans="1:15" x14ac:dyDescent="0.25">
      <c r="A3598">
        <v>11099</v>
      </c>
      <c r="B3598" s="11">
        <v>4020123456783</v>
      </c>
      <c r="C3598" s="1" t="s">
        <v>328</v>
      </c>
      <c r="D3598" s="1" t="s">
        <v>26</v>
      </c>
      <c r="E3598" s="1" t="s">
        <v>17</v>
      </c>
      <c r="F3598">
        <v>22</v>
      </c>
      <c r="G3598">
        <v>1</v>
      </c>
      <c r="H3598" s="1" t="s">
        <v>14</v>
      </c>
      <c r="I3598" s="1" t="s">
        <v>15</v>
      </c>
      <c r="J3598" s="12">
        <v>45876</v>
      </c>
      <c r="K3598">
        <v>0</v>
      </c>
      <c r="L3598" s="1">
        <f t="shared" si="224"/>
        <v>22</v>
      </c>
      <c r="M3598" s="1" t="str">
        <f t="shared" si="225"/>
        <v/>
      </c>
      <c r="N3598" s="2">
        <f t="shared" si="226"/>
        <v>45870</v>
      </c>
      <c r="O3598" t="str">
        <f t="shared" si="227"/>
        <v>pes</v>
      </c>
    </row>
    <row r="3599" spans="1:15" hidden="1" x14ac:dyDescent="0.25">
      <c r="A3599">
        <v>11100</v>
      </c>
      <c r="B3599" s="11">
        <v>4049012345683</v>
      </c>
      <c r="C3599" s="1" t="s">
        <v>57</v>
      </c>
      <c r="D3599" s="1" t="s">
        <v>36</v>
      </c>
      <c r="E3599" s="1" t="s">
        <v>58</v>
      </c>
      <c r="F3599">
        <v>9.1999999999999993</v>
      </c>
      <c r="G3599">
        <v>1</v>
      </c>
      <c r="H3599" s="1" t="s">
        <v>14</v>
      </c>
      <c r="I3599" s="1" t="s">
        <v>15</v>
      </c>
      <c r="J3599" s="12">
        <v>45876</v>
      </c>
      <c r="K3599">
        <v>0</v>
      </c>
      <c r="L3599" s="1">
        <f t="shared" si="224"/>
        <v>9.1999999999999993</v>
      </c>
      <c r="M3599" s="1" t="str">
        <f t="shared" si="225"/>
        <v/>
      </c>
      <c r="N3599" s="2">
        <f t="shared" si="226"/>
        <v>45870</v>
      </c>
      <c r="O3599" t="str">
        <f t="shared" si="227"/>
        <v>mačka</v>
      </c>
    </row>
    <row r="3600" spans="1:15" hidden="1" x14ac:dyDescent="0.25">
      <c r="A3600">
        <v>11101</v>
      </c>
      <c r="B3600" s="11">
        <v>4025678901239</v>
      </c>
      <c r="C3600" s="1" t="s">
        <v>659</v>
      </c>
      <c r="D3600" s="1" t="s">
        <v>267</v>
      </c>
      <c r="E3600" s="1" t="s">
        <v>58</v>
      </c>
      <c r="F3600">
        <v>10</v>
      </c>
      <c r="G3600">
        <v>1</v>
      </c>
      <c r="H3600" s="1" t="s">
        <v>14</v>
      </c>
      <c r="I3600" s="1" t="s">
        <v>15</v>
      </c>
      <c r="J3600" s="12">
        <v>45876</v>
      </c>
      <c r="K3600">
        <v>0</v>
      </c>
      <c r="L3600" s="1">
        <f t="shared" si="224"/>
        <v>10</v>
      </c>
      <c r="M3600" s="1" t="str">
        <f t="shared" si="225"/>
        <v/>
      </c>
      <c r="N3600" s="2">
        <f t="shared" si="226"/>
        <v>45870</v>
      </c>
      <c r="O3600" t="str">
        <f t="shared" si="227"/>
        <v>mačka</v>
      </c>
    </row>
    <row r="3601" spans="1:15" hidden="1" x14ac:dyDescent="0.25">
      <c r="A3601">
        <v>11102</v>
      </c>
      <c r="B3601" s="11">
        <v>4044567890123</v>
      </c>
      <c r="C3601" s="1" t="s">
        <v>266</v>
      </c>
      <c r="D3601" s="1" t="s">
        <v>267</v>
      </c>
      <c r="E3601" s="1" t="s">
        <v>37</v>
      </c>
      <c r="F3601">
        <v>6</v>
      </c>
      <c r="G3601">
        <v>1</v>
      </c>
      <c r="H3601" s="1" t="s">
        <v>23</v>
      </c>
      <c r="I3601" s="1" t="s">
        <v>15</v>
      </c>
      <c r="J3601" s="12">
        <v>45876</v>
      </c>
      <c r="K3601">
        <v>0</v>
      </c>
      <c r="L3601" s="1">
        <f t="shared" si="224"/>
        <v>6</v>
      </c>
      <c r="M3601" s="1">
        <f t="shared" si="225"/>
        <v>5</v>
      </c>
      <c r="N3601" s="2">
        <f t="shared" si="226"/>
        <v>45870</v>
      </c>
      <c r="O3601" t="str">
        <f t="shared" si="227"/>
        <v>mačka</v>
      </c>
    </row>
    <row r="3602" spans="1:15" x14ac:dyDescent="0.25">
      <c r="A3602">
        <v>11103</v>
      </c>
      <c r="B3602" s="11">
        <v>5908901234563</v>
      </c>
      <c r="C3602" s="1" t="s">
        <v>665</v>
      </c>
      <c r="D3602" s="1" t="s">
        <v>133</v>
      </c>
      <c r="E3602" s="1" t="s">
        <v>22</v>
      </c>
      <c r="F3602">
        <v>63.64</v>
      </c>
      <c r="G3602">
        <v>1</v>
      </c>
      <c r="H3602" s="1" t="s">
        <v>14</v>
      </c>
      <c r="I3602" s="1" t="s">
        <v>15</v>
      </c>
      <c r="J3602" s="12">
        <v>45876</v>
      </c>
      <c r="K3602">
        <v>0</v>
      </c>
      <c r="L3602" s="1">
        <f t="shared" si="224"/>
        <v>63.64</v>
      </c>
      <c r="M3602" s="1" t="str">
        <f t="shared" si="225"/>
        <v/>
      </c>
      <c r="N3602" s="2">
        <f t="shared" si="226"/>
        <v>45870</v>
      </c>
      <c r="O3602" t="str">
        <f t="shared" si="227"/>
        <v>pes</v>
      </c>
    </row>
    <row r="3603" spans="1:15" hidden="1" x14ac:dyDescent="0.25">
      <c r="A3603">
        <v>11104</v>
      </c>
      <c r="B3603" s="11">
        <v>4010123456783</v>
      </c>
      <c r="C3603" s="1" t="s">
        <v>35</v>
      </c>
      <c r="D3603" s="1" t="s">
        <v>36</v>
      </c>
      <c r="E3603" s="1" t="s">
        <v>37</v>
      </c>
      <c r="F3603">
        <v>14</v>
      </c>
      <c r="G3603">
        <v>1</v>
      </c>
      <c r="H3603" s="1" t="s">
        <v>14</v>
      </c>
      <c r="I3603" s="1" t="s">
        <v>15</v>
      </c>
      <c r="J3603" s="12">
        <v>45876</v>
      </c>
      <c r="K3603">
        <v>0</v>
      </c>
      <c r="L3603" s="1">
        <f t="shared" si="224"/>
        <v>14</v>
      </c>
      <c r="M3603" s="1" t="str">
        <f t="shared" si="225"/>
        <v/>
      </c>
      <c r="N3603" s="2">
        <f t="shared" si="226"/>
        <v>45870</v>
      </c>
      <c r="O3603" t="str">
        <f t="shared" si="227"/>
        <v>mačka</v>
      </c>
    </row>
    <row r="3604" spans="1:15" x14ac:dyDescent="0.25">
      <c r="A3604">
        <v>11105</v>
      </c>
      <c r="B3604" s="11">
        <v>4028899001126</v>
      </c>
      <c r="C3604" s="1" t="s">
        <v>16</v>
      </c>
      <c r="D3604" s="1" t="s">
        <v>12</v>
      </c>
      <c r="E3604" s="1" t="s">
        <v>17</v>
      </c>
      <c r="F3604">
        <v>2.8</v>
      </c>
      <c r="G3604">
        <v>2</v>
      </c>
      <c r="H3604" s="1" t="s">
        <v>14</v>
      </c>
      <c r="I3604" s="1" t="s">
        <v>15</v>
      </c>
      <c r="J3604" s="12">
        <v>45876</v>
      </c>
      <c r="K3604">
        <v>0</v>
      </c>
      <c r="L3604" s="1">
        <f t="shared" si="224"/>
        <v>5.6</v>
      </c>
      <c r="M3604" s="1" t="str">
        <f t="shared" si="225"/>
        <v/>
      </c>
      <c r="N3604" s="2">
        <f t="shared" si="226"/>
        <v>45870</v>
      </c>
      <c r="O3604" t="str">
        <f t="shared" si="227"/>
        <v>pes</v>
      </c>
    </row>
    <row r="3605" spans="1:15" x14ac:dyDescent="0.25">
      <c r="A3605">
        <v>11106</v>
      </c>
      <c r="B3605" s="11">
        <v>4013456789017</v>
      </c>
      <c r="C3605" s="1" t="s">
        <v>11</v>
      </c>
      <c r="D3605" s="1" t="s">
        <v>12</v>
      </c>
      <c r="E3605" s="1" t="s">
        <v>13</v>
      </c>
      <c r="F3605">
        <v>6</v>
      </c>
      <c r="G3605">
        <v>1</v>
      </c>
      <c r="H3605" s="1" t="s">
        <v>33</v>
      </c>
      <c r="I3605" s="1" t="s">
        <v>15</v>
      </c>
      <c r="J3605" s="12">
        <v>45876</v>
      </c>
      <c r="K3605">
        <v>0</v>
      </c>
      <c r="L3605" s="1">
        <f t="shared" si="224"/>
        <v>6</v>
      </c>
      <c r="M3605" s="1">
        <f t="shared" si="225"/>
        <v>3</v>
      </c>
      <c r="N3605" s="2">
        <f t="shared" si="226"/>
        <v>45870</v>
      </c>
      <c r="O3605" t="str">
        <f t="shared" si="227"/>
        <v>pes</v>
      </c>
    </row>
    <row r="3606" spans="1:15" x14ac:dyDescent="0.25">
      <c r="A3606">
        <v>11107</v>
      </c>
      <c r="B3606" s="11">
        <v>8599988776654</v>
      </c>
      <c r="C3606" s="1" t="s">
        <v>393</v>
      </c>
      <c r="D3606" s="1" t="s">
        <v>133</v>
      </c>
      <c r="E3606" s="1" t="s">
        <v>17</v>
      </c>
      <c r="F3606">
        <v>28</v>
      </c>
      <c r="G3606">
        <v>1</v>
      </c>
      <c r="H3606" s="1" t="s">
        <v>14</v>
      </c>
      <c r="I3606" s="1" t="s">
        <v>15</v>
      </c>
      <c r="J3606" s="12">
        <v>45877</v>
      </c>
      <c r="K3606">
        <v>0</v>
      </c>
      <c r="L3606" s="1">
        <f t="shared" si="224"/>
        <v>28</v>
      </c>
      <c r="M3606" s="1" t="str">
        <f t="shared" si="225"/>
        <v/>
      </c>
      <c r="N3606" s="2">
        <f t="shared" si="226"/>
        <v>45870</v>
      </c>
      <c r="O3606" t="str">
        <f t="shared" si="227"/>
        <v>pes</v>
      </c>
    </row>
    <row r="3607" spans="1:15" hidden="1" x14ac:dyDescent="0.25">
      <c r="A3607">
        <v>11108</v>
      </c>
      <c r="B3607" s="11">
        <v>5903344556670</v>
      </c>
      <c r="C3607" s="1" t="s">
        <v>638</v>
      </c>
      <c r="D3607" s="1" t="s">
        <v>140</v>
      </c>
      <c r="E3607" s="1" t="s">
        <v>30</v>
      </c>
      <c r="F3607">
        <v>75.64</v>
      </c>
      <c r="G3607">
        <v>1</v>
      </c>
      <c r="H3607" s="1" t="s">
        <v>14</v>
      </c>
      <c r="I3607" s="1" t="s">
        <v>15</v>
      </c>
      <c r="J3607" s="12">
        <v>45877</v>
      </c>
      <c r="K3607">
        <v>0</v>
      </c>
      <c r="L3607" s="1">
        <f t="shared" si="224"/>
        <v>75.64</v>
      </c>
      <c r="M3607" s="1" t="str">
        <f t="shared" si="225"/>
        <v/>
      </c>
      <c r="N3607" s="2">
        <f t="shared" si="226"/>
        <v>45870</v>
      </c>
      <c r="O3607" t="str">
        <f t="shared" si="227"/>
        <v>mačka</v>
      </c>
    </row>
    <row r="3608" spans="1:15" hidden="1" x14ac:dyDescent="0.25">
      <c r="A3608">
        <v>11109</v>
      </c>
      <c r="B3608" s="11">
        <v>4007788990022</v>
      </c>
      <c r="C3608" s="1" t="s">
        <v>663</v>
      </c>
      <c r="D3608" s="1" t="s">
        <v>140</v>
      </c>
      <c r="E3608" s="1" t="s">
        <v>141</v>
      </c>
      <c r="F3608">
        <v>59.64</v>
      </c>
      <c r="G3608">
        <v>1</v>
      </c>
      <c r="H3608" s="1" t="s">
        <v>23</v>
      </c>
      <c r="I3608" s="1" t="s">
        <v>15</v>
      </c>
      <c r="J3608" s="12">
        <v>45877</v>
      </c>
      <c r="K3608">
        <v>0</v>
      </c>
      <c r="L3608" s="1">
        <f t="shared" si="224"/>
        <v>59.64</v>
      </c>
      <c r="M3608" s="1">
        <f t="shared" si="225"/>
        <v>5</v>
      </c>
      <c r="N3608" s="2">
        <f t="shared" si="226"/>
        <v>45870</v>
      </c>
      <c r="O3608" t="str">
        <f t="shared" si="227"/>
        <v>mačka</v>
      </c>
    </row>
    <row r="3609" spans="1:15" x14ac:dyDescent="0.25">
      <c r="A3609">
        <v>11110</v>
      </c>
      <c r="B3609" s="11">
        <v>4017890123450</v>
      </c>
      <c r="C3609" s="1" t="s">
        <v>65</v>
      </c>
      <c r="D3609" s="1" t="s">
        <v>39</v>
      </c>
      <c r="E3609" s="1" t="s">
        <v>22</v>
      </c>
      <c r="F3609">
        <v>7.6</v>
      </c>
      <c r="G3609">
        <v>1</v>
      </c>
      <c r="H3609" s="1" t="s">
        <v>14</v>
      </c>
      <c r="I3609" s="1" t="s">
        <v>15</v>
      </c>
      <c r="J3609" s="12">
        <v>45877</v>
      </c>
      <c r="K3609">
        <v>0</v>
      </c>
      <c r="L3609" s="1">
        <f t="shared" si="224"/>
        <v>7.6</v>
      </c>
      <c r="M3609" s="1" t="str">
        <f t="shared" si="225"/>
        <v/>
      </c>
      <c r="N3609" s="2">
        <f t="shared" si="226"/>
        <v>45870</v>
      </c>
      <c r="O3609" t="str">
        <f t="shared" si="227"/>
        <v>pes</v>
      </c>
    </row>
    <row r="3610" spans="1:15" hidden="1" x14ac:dyDescent="0.25">
      <c r="A3610">
        <v>11111</v>
      </c>
      <c r="B3610" s="11">
        <v>5901122334452</v>
      </c>
      <c r="C3610" s="1" t="s">
        <v>647</v>
      </c>
      <c r="D3610" s="1" t="s">
        <v>317</v>
      </c>
      <c r="E3610" s="1" t="s">
        <v>648</v>
      </c>
      <c r="F3610">
        <v>12</v>
      </c>
      <c r="G3610">
        <v>1</v>
      </c>
      <c r="H3610" s="1" t="s">
        <v>14</v>
      </c>
      <c r="I3610" s="1" t="s">
        <v>15</v>
      </c>
      <c r="J3610" s="12">
        <v>45877</v>
      </c>
      <c r="K3610">
        <v>0</v>
      </c>
      <c r="L3610" s="1">
        <f t="shared" si="224"/>
        <v>12</v>
      </c>
      <c r="M3610" s="1" t="str">
        <f t="shared" si="225"/>
        <v/>
      </c>
      <c r="N3610" s="2">
        <f t="shared" si="226"/>
        <v>45870</v>
      </c>
      <c r="O3610" t="str">
        <f t="shared" si="227"/>
        <v>mačka</v>
      </c>
    </row>
    <row r="3611" spans="1:15" x14ac:dyDescent="0.25">
      <c r="A3611">
        <v>11112</v>
      </c>
      <c r="B3611" s="11">
        <v>4024567890128</v>
      </c>
      <c r="C3611" s="1" t="s">
        <v>682</v>
      </c>
      <c r="D3611" s="1" t="s">
        <v>12</v>
      </c>
      <c r="E3611" s="1" t="s">
        <v>134</v>
      </c>
      <c r="F3611">
        <v>40</v>
      </c>
      <c r="G3611">
        <v>1</v>
      </c>
      <c r="H3611" s="1" t="s">
        <v>14</v>
      </c>
      <c r="I3611" s="1" t="s">
        <v>15</v>
      </c>
      <c r="J3611" s="12">
        <v>45877</v>
      </c>
      <c r="K3611">
        <v>0</v>
      </c>
      <c r="L3611" s="1">
        <f t="shared" si="224"/>
        <v>40</v>
      </c>
      <c r="M3611" s="1" t="str">
        <f t="shared" si="225"/>
        <v/>
      </c>
      <c r="N3611" s="2">
        <f t="shared" si="226"/>
        <v>45870</v>
      </c>
      <c r="O3611" t="str">
        <f t="shared" si="227"/>
        <v>pes</v>
      </c>
    </row>
    <row r="3612" spans="1:15" x14ac:dyDescent="0.25">
      <c r="A3612">
        <v>11113</v>
      </c>
      <c r="B3612" s="11">
        <v>4004455667780</v>
      </c>
      <c r="C3612" s="1" t="s">
        <v>640</v>
      </c>
      <c r="D3612" s="1" t="s">
        <v>641</v>
      </c>
      <c r="E3612" s="1" t="s">
        <v>134</v>
      </c>
      <c r="F3612">
        <v>14</v>
      </c>
      <c r="G3612">
        <v>1</v>
      </c>
      <c r="H3612" s="1" t="s">
        <v>18</v>
      </c>
      <c r="I3612" s="1" t="s">
        <v>15</v>
      </c>
      <c r="J3612" s="12">
        <v>45877</v>
      </c>
      <c r="K3612">
        <v>0</v>
      </c>
      <c r="L3612" s="1">
        <f t="shared" si="224"/>
        <v>14</v>
      </c>
      <c r="M3612" s="1">
        <f t="shared" si="225"/>
        <v>4</v>
      </c>
      <c r="N3612" s="2">
        <f t="shared" si="226"/>
        <v>45870</v>
      </c>
      <c r="O3612" t="str">
        <f t="shared" si="227"/>
        <v>pes</v>
      </c>
    </row>
    <row r="3613" spans="1:15" hidden="1" x14ac:dyDescent="0.25">
      <c r="A3613">
        <v>11114</v>
      </c>
      <c r="B3613" s="11">
        <v>4019876501234</v>
      </c>
      <c r="C3613" s="1" t="s">
        <v>674</v>
      </c>
      <c r="D3613" s="1" t="s">
        <v>29</v>
      </c>
      <c r="E3613" s="1" t="s">
        <v>37</v>
      </c>
      <c r="F3613">
        <v>1.84</v>
      </c>
      <c r="G3613">
        <v>4</v>
      </c>
      <c r="H3613" s="1" t="s">
        <v>14</v>
      </c>
      <c r="I3613" s="1" t="s">
        <v>15</v>
      </c>
      <c r="J3613" s="12">
        <v>45877</v>
      </c>
      <c r="K3613">
        <v>0</v>
      </c>
      <c r="L3613" s="1">
        <f t="shared" si="224"/>
        <v>7.36</v>
      </c>
      <c r="M3613" s="1" t="str">
        <f t="shared" si="225"/>
        <v/>
      </c>
      <c r="N3613" s="2">
        <f t="shared" si="226"/>
        <v>45870</v>
      </c>
      <c r="O3613" t="str">
        <f t="shared" si="227"/>
        <v>mačka</v>
      </c>
    </row>
    <row r="3614" spans="1:15" x14ac:dyDescent="0.25">
      <c r="A3614">
        <v>11115</v>
      </c>
      <c r="B3614" s="11">
        <v>4027788990013</v>
      </c>
      <c r="C3614" s="1" t="s">
        <v>43</v>
      </c>
      <c r="D3614" s="1" t="s">
        <v>21</v>
      </c>
      <c r="E3614" s="1" t="s">
        <v>22</v>
      </c>
      <c r="F3614">
        <v>8</v>
      </c>
      <c r="G3614">
        <v>1</v>
      </c>
      <c r="H3614" s="1" t="s">
        <v>14</v>
      </c>
      <c r="I3614" s="1" t="s">
        <v>15</v>
      </c>
      <c r="J3614" s="12">
        <v>45877</v>
      </c>
      <c r="K3614">
        <v>0</v>
      </c>
      <c r="L3614" s="1">
        <f t="shared" si="224"/>
        <v>8</v>
      </c>
      <c r="M3614" s="1" t="str">
        <f t="shared" si="225"/>
        <v/>
      </c>
      <c r="N3614" s="2">
        <f t="shared" si="226"/>
        <v>45870</v>
      </c>
      <c r="O3614" t="str">
        <f t="shared" si="227"/>
        <v>pes</v>
      </c>
    </row>
    <row r="3615" spans="1:15" x14ac:dyDescent="0.25">
      <c r="A3615">
        <v>11116</v>
      </c>
      <c r="B3615" s="11">
        <v>4028899001126</v>
      </c>
      <c r="C3615" s="1" t="s">
        <v>16</v>
      </c>
      <c r="D3615" s="1" t="s">
        <v>12</v>
      </c>
      <c r="E3615" s="1" t="s">
        <v>17</v>
      </c>
      <c r="F3615">
        <v>2.8</v>
      </c>
      <c r="G3615">
        <v>2</v>
      </c>
      <c r="H3615" s="1" t="s">
        <v>14</v>
      </c>
      <c r="I3615" s="1" t="s">
        <v>15</v>
      </c>
      <c r="J3615" s="12">
        <v>45877</v>
      </c>
      <c r="K3615">
        <v>0</v>
      </c>
      <c r="L3615" s="1">
        <f t="shared" si="224"/>
        <v>5.6</v>
      </c>
      <c r="M3615" s="1" t="str">
        <f t="shared" si="225"/>
        <v/>
      </c>
      <c r="N3615" s="2">
        <f t="shared" si="226"/>
        <v>45870</v>
      </c>
      <c r="O3615" t="str">
        <f t="shared" si="227"/>
        <v>pes</v>
      </c>
    </row>
    <row r="3616" spans="1:15" x14ac:dyDescent="0.25">
      <c r="A3616">
        <v>11116</v>
      </c>
      <c r="B3616" s="11">
        <v>4013456789017</v>
      </c>
      <c r="C3616" s="1" t="s">
        <v>11</v>
      </c>
      <c r="D3616" s="1" t="s">
        <v>12</v>
      </c>
      <c r="E3616" s="1" t="s">
        <v>13</v>
      </c>
      <c r="F3616">
        <v>6</v>
      </c>
      <c r="G3616">
        <v>2</v>
      </c>
      <c r="H3616" s="1" t="s">
        <v>14</v>
      </c>
      <c r="I3616" s="1" t="s">
        <v>15</v>
      </c>
      <c r="J3616" s="12">
        <v>45877</v>
      </c>
      <c r="K3616">
        <v>0</v>
      </c>
      <c r="L3616" s="1">
        <f t="shared" si="224"/>
        <v>12</v>
      </c>
      <c r="M3616" s="1" t="str">
        <f t="shared" si="225"/>
        <v/>
      </c>
      <c r="N3616" s="2">
        <f t="shared" si="226"/>
        <v>45870</v>
      </c>
      <c r="O3616" t="str">
        <f t="shared" si="227"/>
        <v>pes</v>
      </c>
    </row>
    <row r="3617" spans="1:15" x14ac:dyDescent="0.25">
      <c r="A3617">
        <v>11117</v>
      </c>
      <c r="B3617" s="11">
        <v>4040123456795</v>
      </c>
      <c r="C3617" s="1" t="s">
        <v>20</v>
      </c>
      <c r="D3617" s="1" t="s">
        <v>21</v>
      </c>
      <c r="E3617" s="1" t="s">
        <v>22</v>
      </c>
      <c r="F3617">
        <v>8.8000000000000007</v>
      </c>
      <c r="G3617">
        <v>1</v>
      </c>
      <c r="H3617" s="1" t="s">
        <v>23</v>
      </c>
      <c r="I3617" s="1" t="s">
        <v>15</v>
      </c>
      <c r="J3617" s="12">
        <v>45877</v>
      </c>
      <c r="K3617">
        <v>0</v>
      </c>
      <c r="L3617" s="1">
        <f t="shared" si="224"/>
        <v>8.8000000000000007</v>
      </c>
      <c r="M3617" s="1">
        <f t="shared" si="225"/>
        <v>5</v>
      </c>
      <c r="N3617" s="2">
        <f t="shared" si="226"/>
        <v>45870</v>
      </c>
      <c r="O3617" t="str">
        <f t="shared" si="227"/>
        <v>pes</v>
      </c>
    </row>
    <row r="3618" spans="1:15" hidden="1" x14ac:dyDescent="0.25">
      <c r="A3618">
        <v>11118</v>
      </c>
      <c r="B3618" s="11">
        <v>4002233445566</v>
      </c>
      <c r="C3618" s="1" t="s">
        <v>268</v>
      </c>
      <c r="D3618" s="1" t="s">
        <v>140</v>
      </c>
      <c r="E3618" s="1" t="s">
        <v>30</v>
      </c>
      <c r="F3618">
        <v>20</v>
      </c>
      <c r="G3618">
        <v>1</v>
      </c>
      <c r="H3618" s="1" t="s">
        <v>14</v>
      </c>
      <c r="I3618" s="1" t="s">
        <v>15</v>
      </c>
      <c r="J3618" s="12">
        <v>45877</v>
      </c>
      <c r="K3618">
        <v>0</v>
      </c>
      <c r="L3618" s="1">
        <f t="shared" si="224"/>
        <v>20</v>
      </c>
      <c r="M3618" s="1" t="str">
        <f t="shared" si="225"/>
        <v/>
      </c>
      <c r="N3618" s="2">
        <f t="shared" si="226"/>
        <v>45870</v>
      </c>
      <c r="O3618" t="str">
        <f t="shared" si="227"/>
        <v>mačka</v>
      </c>
    </row>
    <row r="3619" spans="1:15" hidden="1" x14ac:dyDescent="0.25">
      <c r="A3619">
        <v>11119</v>
      </c>
      <c r="B3619" s="11">
        <v>4025566778891</v>
      </c>
      <c r="C3619" s="1" t="s">
        <v>320</v>
      </c>
      <c r="D3619" s="1" t="s">
        <v>317</v>
      </c>
      <c r="E3619" s="1" t="s">
        <v>30</v>
      </c>
      <c r="F3619">
        <v>51.64</v>
      </c>
      <c r="G3619">
        <v>1</v>
      </c>
      <c r="H3619" s="1" t="s">
        <v>14</v>
      </c>
      <c r="I3619" s="1" t="s">
        <v>15</v>
      </c>
      <c r="J3619" s="12">
        <v>45877</v>
      </c>
      <c r="K3619">
        <v>0</v>
      </c>
      <c r="L3619" s="1">
        <f t="shared" si="224"/>
        <v>51.64</v>
      </c>
      <c r="M3619" s="1" t="str">
        <f t="shared" si="225"/>
        <v/>
      </c>
      <c r="N3619" s="2">
        <f t="shared" si="226"/>
        <v>45870</v>
      </c>
      <c r="O3619" t="str">
        <f t="shared" si="227"/>
        <v>mačka</v>
      </c>
    </row>
    <row r="3620" spans="1:15" x14ac:dyDescent="0.25">
      <c r="A3620">
        <v>11120</v>
      </c>
      <c r="B3620" s="11">
        <v>4046789012356</v>
      </c>
      <c r="C3620" s="1" t="s">
        <v>304</v>
      </c>
      <c r="D3620" s="1" t="s">
        <v>39</v>
      </c>
      <c r="E3620" s="1" t="s">
        <v>61</v>
      </c>
      <c r="F3620">
        <v>6.4</v>
      </c>
      <c r="G3620">
        <v>1</v>
      </c>
      <c r="H3620" s="1" t="s">
        <v>18</v>
      </c>
      <c r="I3620" s="1" t="s">
        <v>15</v>
      </c>
      <c r="J3620" s="12">
        <v>45877</v>
      </c>
      <c r="K3620">
        <v>0</v>
      </c>
      <c r="L3620" s="1">
        <f t="shared" si="224"/>
        <v>6.4</v>
      </c>
      <c r="M3620" s="1">
        <f t="shared" si="225"/>
        <v>4</v>
      </c>
      <c r="N3620" s="2">
        <f t="shared" si="226"/>
        <v>45870</v>
      </c>
      <c r="O3620" t="str">
        <f t="shared" si="227"/>
        <v>pes</v>
      </c>
    </row>
    <row r="3621" spans="1:15" x14ac:dyDescent="0.25">
      <c r="A3621">
        <v>11121</v>
      </c>
      <c r="B3621" s="11">
        <v>4059012345683</v>
      </c>
      <c r="C3621" s="1" t="s">
        <v>345</v>
      </c>
      <c r="D3621" s="1" t="s">
        <v>26</v>
      </c>
      <c r="E3621" s="1" t="s">
        <v>27</v>
      </c>
      <c r="F3621">
        <v>20</v>
      </c>
      <c r="G3621">
        <v>1</v>
      </c>
      <c r="H3621" s="1" t="s">
        <v>48</v>
      </c>
      <c r="I3621" s="1" t="s">
        <v>15</v>
      </c>
      <c r="J3621" s="12">
        <v>45877</v>
      </c>
      <c r="K3621">
        <v>0</v>
      </c>
      <c r="L3621" s="1">
        <f t="shared" si="224"/>
        <v>20</v>
      </c>
      <c r="M3621" s="1">
        <f t="shared" si="225"/>
        <v>2</v>
      </c>
      <c r="N3621" s="2">
        <f t="shared" si="226"/>
        <v>45870</v>
      </c>
      <c r="O3621" t="str">
        <f t="shared" si="227"/>
        <v>pes</v>
      </c>
    </row>
    <row r="3622" spans="1:15" hidden="1" x14ac:dyDescent="0.25">
      <c r="A3622">
        <v>11122</v>
      </c>
      <c r="B3622" s="11">
        <v>4010123456783</v>
      </c>
      <c r="C3622" s="1" t="s">
        <v>35</v>
      </c>
      <c r="D3622" s="1" t="s">
        <v>36</v>
      </c>
      <c r="E3622" s="1" t="s">
        <v>37</v>
      </c>
      <c r="F3622">
        <v>14</v>
      </c>
      <c r="G3622">
        <v>1</v>
      </c>
      <c r="H3622" s="1" t="s">
        <v>14</v>
      </c>
      <c r="I3622" s="1" t="s">
        <v>15</v>
      </c>
      <c r="J3622" s="12">
        <v>45877</v>
      </c>
      <c r="K3622">
        <v>0</v>
      </c>
      <c r="L3622" s="1">
        <f t="shared" si="224"/>
        <v>14</v>
      </c>
      <c r="M3622" s="1" t="str">
        <f t="shared" si="225"/>
        <v/>
      </c>
      <c r="N3622" s="2">
        <f t="shared" si="226"/>
        <v>45870</v>
      </c>
      <c r="O3622" t="str">
        <f t="shared" si="227"/>
        <v>mačka</v>
      </c>
    </row>
    <row r="3623" spans="1:15" hidden="1" x14ac:dyDescent="0.25">
      <c r="A3623">
        <v>11123</v>
      </c>
      <c r="B3623" s="11">
        <v>8595566778890</v>
      </c>
      <c r="C3623" s="1" t="s">
        <v>681</v>
      </c>
      <c r="D3623" s="1" t="s">
        <v>29</v>
      </c>
      <c r="E3623" s="1" t="s">
        <v>37</v>
      </c>
      <c r="F3623">
        <v>38</v>
      </c>
      <c r="G3623">
        <v>1</v>
      </c>
      <c r="H3623" s="1" t="s">
        <v>14</v>
      </c>
      <c r="I3623" s="1" t="s">
        <v>15</v>
      </c>
      <c r="J3623" s="12">
        <v>45877</v>
      </c>
      <c r="K3623">
        <v>0</v>
      </c>
      <c r="L3623" s="1">
        <f t="shared" si="224"/>
        <v>38</v>
      </c>
      <c r="M3623" s="1" t="str">
        <f t="shared" si="225"/>
        <v/>
      </c>
      <c r="N3623" s="2">
        <f t="shared" si="226"/>
        <v>45870</v>
      </c>
      <c r="O3623" t="str">
        <f t="shared" si="227"/>
        <v>mačka</v>
      </c>
    </row>
    <row r="3624" spans="1:15" hidden="1" x14ac:dyDescent="0.25">
      <c r="A3624">
        <v>11124</v>
      </c>
      <c r="B3624" s="11">
        <v>4021234567894</v>
      </c>
      <c r="C3624" s="1" t="s">
        <v>79</v>
      </c>
      <c r="D3624" s="1" t="s">
        <v>36</v>
      </c>
      <c r="E3624" s="1" t="s">
        <v>69</v>
      </c>
      <c r="F3624">
        <v>8</v>
      </c>
      <c r="G3624">
        <v>1</v>
      </c>
      <c r="H3624" s="1" t="s">
        <v>18</v>
      </c>
      <c r="I3624" s="1" t="s">
        <v>15</v>
      </c>
      <c r="J3624" s="12">
        <v>45877</v>
      </c>
      <c r="K3624">
        <v>0</v>
      </c>
      <c r="L3624" s="1">
        <f t="shared" si="224"/>
        <v>8</v>
      </c>
      <c r="M3624" s="1">
        <f t="shared" si="225"/>
        <v>4</v>
      </c>
      <c r="N3624" s="2">
        <f t="shared" si="226"/>
        <v>45870</v>
      </c>
      <c r="O3624" t="str">
        <f t="shared" si="227"/>
        <v>mačka</v>
      </c>
    </row>
    <row r="3625" spans="1:15" x14ac:dyDescent="0.25">
      <c r="A3625">
        <v>11125</v>
      </c>
      <c r="B3625" s="11">
        <v>4063456789014</v>
      </c>
      <c r="C3625" s="1" t="s">
        <v>60</v>
      </c>
      <c r="D3625" s="1" t="s">
        <v>12</v>
      </c>
      <c r="E3625" s="1" t="s">
        <v>61</v>
      </c>
      <c r="F3625">
        <v>36</v>
      </c>
      <c r="G3625">
        <v>1</v>
      </c>
      <c r="H3625" s="1" t="s">
        <v>14</v>
      </c>
      <c r="I3625" s="1" t="s">
        <v>15</v>
      </c>
      <c r="J3625" s="12">
        <v>45877</v>
      </c>
      <c r="K3625">
        <v>0</v>
      </c>
      <c r="L3625" s="1">
        <f t="shared" si="224"/>
        <v>36</v>
      </c>
      <c r="M3625" s="1" t="str">
        <f t="shared" si="225"/>
        <v/>
      </c>
      <c r="N3625" s="2">
        <f t="shared" si="226"/>
        <v>45870</v>
      </c>
      <c r="O3625" t="str">
        <f t="shared" si="227"/>
        <v>pes</v>
      </c>
    </row>
    <row r="3626" spans="1:15" x14ac:dyDescent="0.25">
      <c r="A3626">
        <v>11126</v>
      </c>
      <c r="B3626" s="11">
        <v>4013456789017</v>
      </c>
      <c r="C3626" s="1" t="s">
        <v>11</v>
      </c>
      <c r="D3626" s="1" t="s">
        <v>12</v>
      </c>
      <c r="E3626" s="1" t="s">
        <v>13</v>
      </c>
      <c r="F3626">
        <v>6</v>
      </c>
      <c r="G3626">
        <v>1</v>
      </c>
      <c r="H3626" s="1" t="s">
        <v>14</v>
      </c>
      <c r="I3626" s="1" t="s">
        <v>15</v>
      </c>
      <c r="J3626" s="12">
        <v>45877</v>
      </c>
      <c r="K3626">
        <v>0</v>
      </c>
      <c r="L3626" s="1">
        <f t="shared" si="224"/>
        <v>6</v>
      </c>
      <c r="M3626" s="1" t="str">
        <f t="shared" si="225"/>
        <v/>
      </c>
      <c r="N3626" s="2">
        <f t="shared" si="226"/>
        <v>45870</v>
      </c>
      <c r="O3626" t="str">
        <f t="shared" si="227"/>
        <v>pes</v>
      </c>
    </row>
    <row r="3627" spans="1:15" hidden="1" x14ac:dyDescent="0.25">
      <c r="A3627">
        <v>11127</v>
      </c>
      <c r="B3627" s="11">
        <v>4009012345672</v>
      </c>
      <c r="C3627" s="1" t="s">
        <v>45</v>
      </c>
      <c r="D3627" s="1" t="s">
        <v>36</v>
      </c>
      <c r="E3627" s="1" t="s">
        <v>32</v>
      </c>
      <c r="F3627">
        <v>11.2</v>
      </c>
      <c r="G3627">
        <v>1</v>
      </c>
      <c r="H3627" s="1" t="s">
        <v>23</v>
      </c>
      <c r="I3627" s="1" t="s">
        <v>15</v>
      </c>
      <c r="J3627" s="12">
        <v>45877</v>
      </c>
      <c r="K3627">
        <v>0</v>
      </c>
      <c r="L3627" s="1">
        <f t="shared" si="224"/>
        <v>11.2</v>
      </c>
      <c r="M3627" s="1">
        <f t="shared" si="225"/>
        <v>5</v>
      </c>
      <c r="N3627" s="2">
        <f t="shared" si="226"/>
        <v>45870</v>
      </c>
      <c r="O3627" t="str">
        <f t="shared" si="227"/>
        <v>mačka</v>
      </c>
    </row>
    <row r="3628" spans="1:15" x14ac:dyDescent="0.25">
      <c r="A3628">
        <v>11128</v>
      </c>
      <c r="B3628" s="11">
        <v>4028899001126</v>
      </c>
      <c r="C3628" s="1" t="s">
        <v>16</v>
      </c>
      <c r="D3628" s="1" t="s">
        <v>12</v>
      </c>
      <c r="E3628" s="1" t="s">
        <v>17</v>
      </c>
      <c r="F3628">
        <v>2.8</v>
      </c>
      <c r="G3628">
        <v>2</v>
      </c>
      <c r="H3628" s="1" t="s">
        <v>14</v>
      </c>
      <c r="I3628" s="1" t="s">
        <v>15</v>
      </c>
      <c r="J3628" s="12">
        <v>45877</v>
      </c>
      <c r="K3628">
        <v>0</v>
      </c>
      <c r="L3628" s="1">
        <f t="shared" si="224"/>
        <v>5.6</v>
      </c>
      <c r="M3628" s="1" t="str">
        <f t="shared" si="225"/>
        <v/>
      </c>
      <c r="N3628" s="2">
        <f t="shared" si="226"/>
        <v>45870</v>
      </c>
      <c r="O3628" t="str">
        <f t="shared" si="227"/>
        <v>pes</v>
      </c>
    </row>
    <row r="3629" spans="1:15" hidden="1" x14ac:dyDescent="0.25">
      <c r="A3629">
        <v>11129</v>
      </c>
      <c r="B3629" s="11">
        <v>4044567890123</v>
      </c>
      <c r="C3629" s="1" t="s">
        <v>266</v>
      </c>
      <c r="D3629" s="1" t="s">
        <v>267</v>
      </c>
      <c r="E3629" s="1" t="s">
        <v>37</v>
      </c>
      <c r="F3629">
        <v>6</v>
      </c>
      <c r="G3629">
        <v>1</v>
      </c>
      <c r="H3629" s="1" t="s">
        <v>14</v>
      </c>
      <c r="I3629" s="1" t="s">
        <v>15</v>
      </c>
      <c r="J3629" s="12">
        <v>45877</v>
      </c>
      <c r="K3629">
        <v>0</v>
      </c>
      <c r="L3629" s="1">
        <f t="shared" si="224"/>
        <v>6</v>
      </c>
      <c r="M3629" s="1" t="str">
        <f t="shared" si="225"/>
        <v/>
      </c>
      <c r="N3629" s="2">
        <f t="shared" si="226"/>
        <v>45870</v>
      </c>
      <c r="O3629" t="str">
        <f t="shared" si="227"/>
        <v>mačka</v>
      </c>
    </row>
    <row r="3630" spans="1:15" x14ac:dyDescent="0.25">
      <c r="A3630">
        <v>11130</v>
      </c>
      <c r="B3630" s="11">
        <v>8599988776654</v>
      </c>
      <c r="C3630" s="1" t="s">
        <v>393</v>
      </c>
      <c r="D3630" s="1" t="s">
        <v>133</v>
      </c>
      <c r="E3630" s="1" t="s">
        <v>17</v>
      </c>
      <c r="F3630">
        <v>28</v>
      </c>
      <c r="G3630">
        <v>1</v>
      </c>
      <c r="H3630" s="1" t="s">
        <v>14</v>
      </c>
      <c r="I3630" s="1" t="s">
        <v>15</v>
      </c>
      <c r="J3630" s="12">
        <v>45877</v>
      </c>
      <c r="K3630">
        <v>0</v>
      </c>
      <c r="L3630" s="1">
        <f t="shared" si="224"/>
        <v>28</v>
      </c>
      <c r="M3630" s="1" t="str">
        <f t="shared" si="225"/>
        <v/>
      </c>
      <c r="N3630" s="2">
        <f t="shared" si="226"/>
        <v>45870</v>
      </c>
      <c r="O3630" t="str">
        <f t="shared" si="227"/>
        <v>pes</v>
      </c>
    </row>
    <row r="3631" spans="1:15" hidden="1" x14ac:dyDescent="0.25">
      <c r="A3631">
        <v>11131</v>
      </c>
      <c r="B3631" s="11">
        <v>5904455667782</v>
      </c>
      <c r="C3631" s="1" t="s">
        <v>323</v>
      </c>
      <c r="D3631" s="1" t="s">
        <v>317</v>
      </c>
      <c r="E3631" s="1" t="s">
        <v>42</v>
      </c>
      <c r="F3631">
        <v>51.64</v>
      </c>
      <c r="G3631">
        <v>1</v>
      </c>
      <c r="H3631" s="1" t="s">
        <v>18</v>
      </c>
      <c r="I3631" s="1" t="s">
        <v>15</v>
      </c>
      <c r="J3631" s="12">
        <v>45877</v>
      </c>
      <c r="K3631">
        <v>0</v>
      </c>
      <c r="L3631" s="1">
        <f t="shared" si="224"/>
        <v>51.64</v>
      </c>
      <c r="M3631" s="1">
        <f t="shared" si="225"/>
        <v>4</v>
      </c>
      <c r="N3631" s="2">
        <f t="shared" si="226"/>
        <v>45870</v>
      </c>
      <c r="O3631" t="str">
        <f t="shared" si="227"/>
        <v>mačka</v>
      </c>
    </row>
    <row r="3632" spans="1:15" x14ac:dyDescent="0.25">
      <c r="A3632">
        <v>11132</v>
      </c>
      <c r="B3632" s="11">
        <v>4028899001126</v>
      </c>
      <c r="C3632" s="1" t="s">
        <v>16</v>
      </c>
      <c r="D3632" s="1" t="s">
        <v>12</v>
      </c>
      <c r="E3632" s="1" t="s">
        <v>17</v>
      </c>
      <c r="F3632">
        <v>2.8</v>
      </c>
      <c r="G3632">
        <v>2</v>
      </c>
      <c r="H3632" s="1" t="s">
        <v>14</v>
      </c>
      <c r="I3632" s="1" t="s">
        <v>15</v>
      </c>
      <c r="J3632" s="12">
        <v>45878</v>
      </c>
      <c r="K3632">
        <v>0</v>
      </c>
      <c r="L3632" s="1">
        <f t="shared" si="224"/>
        <v>5.6</v>
      </c>
      <c r="M3632" s="1" t="str">
        <f t="shared" si="225"/>
        <v/>
      </c>
      <c r="N3632" s="2">
        <f t="shared" si="226"/>
        <v>45870</v>
      </c>
      <c r="O3632" t="str">
        <f t="shared" si="227"/>
        <v>pes</v>
      </c>
    </row>
    <row r="3633" spans="1:15" hidden="1" x14ac:dyDescent="0.25">
      <c r="A3633">
        <v>11133</v>
      </c>
      <c r="B3633" s="11">
        <v>4010123456783</v>
      </c>
      <c r="C3633" s="1" t="s">
        <v>35</v>
      </c>
      <c r="D3633" s="1" t="s">
        <v>36</v>
      </c>
      <c r="E3633" s="1" t="s">
        <v>37</v>
      </c>
      <c r="F3633">
        <v>14</v>
      </c>
      <c r="G3633">
        <v>1</v>
      </c>
      <c r="H3633" s="1" t="s">
        <v>18</v>
      </c>
      <c r="I3633" s="1" t="s">
        <v>690</v>
      </c>
      <c r="J3633" s="12">
        <v>45878</v>
      </c>
      <c r="K3633">
        <v>0</v>
      </c>
      <c r="L3633" s="1">
        <f t="shared" si="224"/>
        <v>14</v>
      </c>
      <c r="M3633" s="1">
        <f t="shared" si="225"/>
        <v>4</v>
      </c>
      <c r="N3633" s="2">
        <f t="shared" si="226"/>
        <v>45870</v>
      </c>
      <c r="O3633" t="str">
        <f t="shared" si="227"/>
        <v>mačka</v>
      </c>
    </row>
    <row r="3634" spans="1:15" x14ac:dyDescent="0.25">
      <c r="A3634">
        <v>11134</v>
      </c>
      <c r="B3634" s="11">
        <v>4063456789014</v>
      </c>
      <c r="C3634" s="1" t="s">
        <v>60</v>
      </c>
      <c r="D3634" s="1" t="s">
        <v>12</v>
      </c>
      <c r="E3634" s="1" t="s">
        <v>61</v>
      </c>
      <c r="F3634">
        <v>36</v>
      </c>
      <c r="G3634">
        <v>1</v>
      </c>
      <c r="H3634" s="1" t="s">
        <v>14</v>
      </c>
      <c r="I3634" s="1" t="s">
        <v>15</v>
      </c>
      <c r="J3634" s="12">
        <v>45878</v>
      </c>
      <c r="K3634">
        <v>0</v>
      </c>
      <c r="L3634" s="1">
        <f t="shared" si="224"/>
        <v>36</v>
      </c>
      <c r="M3634" s="1" t="str">
        <f t="shared" si="225"/>
        <v/>
      </c>
      <c r="N3634" s="2">
        <f t="shared" si="226"/>
        <v>45870</v>
      </c>
      <c r="O3634" t="str">
        <f t="shared" si="227"/>
        <v>pes</v>
      </c>
    </row>
    <row r="3635" spans="1:15" hidden="1" x14ac:dyDescent="0.25">
      <c r="A3635">
        <v>11135</v>
      </c>
      <c r="B3635" s="11">
        <v>4045678901234</v>
      </c>
      <c r="C3635" s="1" t="s">
        <v>671</v>
      </c>
      <c r="D3635" s="1" t="s">
        <v>29</v>
      </c>
      <c r="E3635" s="1" t="s">
        <v>58</v>
      </c>
      <c r="F3635">
        <v>9.6</v>
      </c>
      <c r="G3635">
        <v>1</v>
      </c>
      <c r="H3635" s="1" t="s">
        <v>14</v>
      </c>
      <c r="I3635" s="1" t="s">
        <v>15</v>
      </c>
      <c r="J3635" s="12">
        <v>45878</v>
      </c>
      <c r="K3635">
        <v>0</v>
      </c>
      <c r="L3635" s="1">
        <f t="shared" si="224"/>
        <v>9.6</v>
      </c>
      <c r="M3635" s="1" t="str">
        <f t="shared" si="225"/>
        <v/>
      </c>
      <c r="N3635" s="2">
        <f t="shared" si="226"/>
        <v>45870</v>
      </c>
      <c r="O3635" t="str">
        <f t="shared" si="227"/>
        <v>mačka</v>
      </c>
    </row>
    <row r="3636" spans="1:15" x14ac:dyDescent="0.25">
      <c r="A3636">
        <v>11136</v>
      </c>
      <c r="B3636" s="11">
        <v>8599988776654</v>
      </c>
      <c r="C3636" s="1" t="s">
        <v>393</v>
      </c>
      <c r="D3636" s="1" t="s">
        <v>133</v>
      </c>
      <c r="E3636" s="1" t="s">
        <v>17</v>
      </c>
      <c r="F3636">
        <v>28</v>
      </c>
      <c r="G3636">
        <v>1</v>
      </c>
      <c r="H3636" s="1" t="s">
        <v>14</v>
      </c>
      <c r="I3636" s="1" t="s">
        <v>15</v>
      </c>
      <c r="J3636" s="12">
        <v>45878</v>
      </c>
      <c r="K3636">
        <v>0</v>
      </c>
      <c r="L3636" s="1">
        <f t="shared" si="224"/>
        <v>28</v>
      </c>
      <c r="M3636" s="1" t="str">
        <f t="shared" si="225"/>
        <v/>
      </c>
      <c r="N3636" s="2">
        <f t="shared" si="226"/>
        <v>45870</v>
      </c>
      <c r="O3636" t="str">
        <f t="shared" si="227"/>
        <v>pes</v>
      </c>
    </row>
    <row r="3637" spans="1:15" x14ac:dyDescent="0.25">
      <c r="A3637">
        <v>11137</v>
      </c>
      <c r="B3637" s="11">
        <v>4013456789017</v>
      </c>
      <c r="C3637" s="1" t="s">
        <v>11</v>
      </c>
      <c r="D3637" s="1" t="s">
        <v>12</v>
      </c>
      <c r="E3637" s="1" t="s">
        <v>13</v>
      </c>
      <c r="F3637">
        <v>6</v>
      </c>
      <c r="G3637">
        <v>2</v>
      </c>
      <c r="H3637" s="1" t="s">
        <v>23</v>
      </c>
      <c r="I3637" s="1" t="s">
        <v>604</v>
      </c>
      <c r="J3637" s="12">
        <v>45878</v>
      </c>
      <c r="K3637">
        <v>0</v>
      </c>
      <c r="L3637" s="1">
        <f t="shared" si="224"/>
        <v>12</v>
      </c>
      <c r="M3637" s="1">
        <f t="shared" si="225"/>
        <v>5</v>
      </c>
      <c r="N3637" s="2">
        <f t="shared" si="226"/>
        <v>45870</v>
      </c>
      <c r="O3637" t="str">
        <f t="shared" si="227"/>
        <v>pes</v>
      </c>
    </row>
    <row r="3638" spans="1:15" hidden="1" x14ac:dyDescent="0.25">
      <c r="A3638">
        <v>11138</v>
      </c>
      <c r="B3638" s="11">
        <v>4001234567893</v>
      </c>
      <c r="C3638" s="1" t="s">
        <v>31</v>
      </c>
      <c r="D3638" s="1" t="s">
        <v>29</v>
      </c>
      <c r="E3638" s="1" t="s">
        <v>32</v>
      </c>
      <c r="F3638">
        <v>9.1999999999999993</v>
      </c>
      <c r="G3638">
        <v>1</v>
      </c>
      <c r="H3638" s="1" t="s">
        <v>14</v>
      </c>
      <c r="I3638" s="1" t="s">
        <v>15</v>
      </c>
      <c r="J3638" s="12">
        <v>45878</v>
      </c>
      <c r="K3638">
        <v>0</v>
      </c>
      <c r="L3638" s="1">
        <f t="shared" si="224"/>
        <v>9.1999999999999993</v>
      </c>
      <c r="M3638" s="1" t="str">
        <f t="shared" si="225"/>
        <v/>
      </c>
      <c r="N3638" s="2">
        <f t="shared" si="226"/>
        <v>45870</v>
      </c>
      <c r="O3638" t="str">
        <f t="shared" si="227"/>
        <v>mačka</v>
      </c>
    </row>
    <row r="3639" spans="1:15" hidden="1" x14ac:dyDescent="0.25">
      <c r="A3639">
        <v>11139</v>
      </c>
      <c r="B3639" s="11">
        <v>4021234567894</v>
      </c>
      <c r="C3639" s="1" t="s">
        <v>79</v>
      </c>
      <c r="D3639" s="1" t="s">
        <v>36</v>
      </c>
      <c r="E3639" s="1" t="s">
        <v>69</v>
      </c>
      <c r="F3639">
        <v>8</v>
      </c>
      <c r="G3639">
        <v>1</v>
      </c>
      <c r="H3639" s="1" t="s">
        <v>14</v>
      </c>
      <c r="I3639" s="1" t="s">
        <v>15</v>
      </c>
      <c r="J3639" s="12">
        <v>45878</v>
      </c>
      <c r="K3639">
        <v>0</v>
      </c>
      <c r="L3639" s="1">
        <f t="shared" si="224"/>
        <v>8</v>
      </c>
      <c r="M3639" s="1" t="str">
        <f t="shared" si="225"/>
        <v/>
      </c>
      <c r="N3639" s="2">
        <f t="shared" si="226"/>
        <v>45870</v>
      </c>
      <c r="O3639" t="str">
        <f t="shared" si="227"/>
        <v>mačka</v>
      </c>
    </row>
    <row r="3640" spans="1:15" hidden="1" x14ac:dyDescent="0.25">
      <c r="A3640">
        <v>11140</v>
      </c>
      <c r="B3640" s="11">
        <v>4056789012345</v>
      </c>
      <c r="C3640" s="1" t="s">
        <v>47</v>
      </c>
      <c r="D3640" s="1" t="s">
        <v>29</v>
      </c>
      <c r="E3640" s="1" t="s">
        <v>37</v>
      </c>
      <c r="F3640">
        <v>2.4</v>
      </c>
      <c r="G3640">
        <v>2</v>
      </c>
      <c r="H3640" s="1" t="s">
        <v>14</v>
      </c>
      <c r="I3640" s="1" t="s">
        <v>15</v>
      </c>
      <c r="J3640" s="12">
        <v>45878</v>
      </c>
      <c r="K3640">
        <v>0</v>
      </c>
      <c r="L3640" s="1">
        <f t="shared" si="224"/>
        <v>4.8</v>
      </c>
      <c r="M3640" s="1" t="str">
        <f t="shared" si="225"/>
        <v/>
      </c>
      <c r="N3640" s="2">
        <f t="shared" si="226"/>
        <v>45870</v>
      </c>
      <c r="O3640" t="str">
        <f t="shared" si="227"/>
        <v>mačka</v>
      </c>
    </row>
    <row r="3641" spans="1:15" x14ac:dyDescent="0.25">
      <c r="A3641">
        <v>11141</v>
      </c>
      <c r="B3641" s="11">
        <v>4017890123450</v>
      </c>
      <c r="C3641" s="1" t="s">
        <v>65</v>
      </c>
      <c r="D3641" s="1" t="s">
        <v>39</v>
      </c>
      <c r="E3641" s="1" t="s">
        <v>22</v>
      </c>
      <c r="F3641">
        <v>7.6</v>
      </c>
      <c r="G3641">
        <v>1</v>
      </c>
      <c r="H3641" s="1" t="s">
        <v>18</v>
      </c>
      <c r="I3641" s="1" t="s">
        <v>691</v>
      </c>
      <c r="J3641" s="12">
        <v>45878</v>
      </c>
      <c r="K3641">
        <v>0</v>
      </c>
      <c r="L3641" s="1">
        <f t="shared" si="224"/>
        <v>7.6</v>
      </c>
      <c r="M3641" s="1">
        <f t="shared" si="225"/>
        <v>4</v>
      </c>
      <c r="N3641" s="2">
        <f t="shared" si="226"/>
        <v>45870</v>
      </c>
      <c r="O3641" t="str">
        <f t="shared" si="227"/>
        <v>pes</v>
      </c>
    </row>
    <row r="3642" spans="1:15" hidden="1" x14ac:dyDescent="0.25">
      <c r="A3642">
        <v>11142</v>
      </c>
      <c r="B3642" s="11">
        <v>4019876501234</v>
      </c>
      <c r="C3642" s="1" t="s">
        <v>674</v>
      </c>
      <c r="D3642" s="1" t="s">
        <v>29</v>
      </c>
      <c r="E3642" s="1" t="s">
        <v>37</v>
      </c>
      <c r="F3642">
        <v>1.84</v>
      </c>
      <c r="G3642">
        <v>3</v>
      </c>
      <c r="H3642" s="1" t="s">
        <v>14</v>
      </c>
      <c r="I3642" s="1" t="s">
        <v>15</v>
      </c>
      <c r="J3642" s="12">
        <v>45878</v>
      </c>
      <c r="K3642">
        <v>0</v>
      </c>
      <c r="L3642" s="1">
        <f t="shared" si="224"/>
        <v>5.5200000000000005</v>
      </c>
      <c r="M3642" s="1" t="str">
        <f t="shared" si="225"/>
        <v/>
      </c>
      <c r="N3642" s="2">
        <f t="shared" si="226"/>
        <v>45870</v>
      </c>
      <c r="O3642" t="str">
        <f t="shared" si="227"/>
        <v>mačka</v>
      </c>
    </row>
    <row r="3643" spans="1:15" hidden="1" x14ac:dyDescent="0.25">
      <c r="A3643">
        <v>11142</v>
      </c>
      <c r="B3643" s="11">
        <v>5901234509876</v>
      </c>
      <c r="C3643" s="1" t="s">
        <v>685</v>
      </c>
      <c r="D3643" s="1" t="s">
        <v>29</v>
      </c>
      <c r="E3643" s="1" t="s">
        <v>42</v>
      </c>
      <c r="F3643">
        <v>40</v>
      </c>
      <c r="G3643">
        <v>1</v>
      </c>
      <c r="H3643" s="1" t="s">
        <v>14</v>
      </c>
      <c r="I3643" s="1" t="s">
        <v>15</v>
      </c>
      <c r="J3643" s="12">
        <v>45878</v>
      </c>
      <c r="K3643">
        <v>0</v>
      </c>
      <c r="L3643" s="1">
        <f t="shared" si="224"/>
        <v>40</v>
      </c>
      <c r="M3643" s="1" t="str">
        <f t="shared" si="225"/>
        <v/>
      </c>
      <c r="N3643" s="2">
        <f t="shared" si="226"/>
        <v>45870</v>
      </c>
      <c r="O3643" t="str">
        <f t="shared" si="227"/>
        <v>mačka</v>
      </c>
    </row>
    <row r="3644" spans="1:15" x14ac:dyDescent="0.25">
      <c r="A3644">
        <v>11143</v>
      </c>
      <c r="B3644" s="11">
        <v>4027788990013</v>
      </c>
      <c r="C3644" s="1" t="s">
        <v>43</v>
      </c>
      <c r="D3644" s="1" t="s">
        <v>21</v>
      </c>
      <c r="E3644" s="1" t="s">
        <v>22</v>
      </c>
      <c r="F3644">
        <v>8</v>
      </c>
      <c r="G3644">
        <v>1</v>
      </c>
      <c r="H3644" s="1" t="s">
        <v>14</v>
      </c>
      <c r="I3644" s="1" t="s">
        <v>15</v>
      </c>
      <c r="J3644" s="12">
        <v>45878</v>
      </c>
      <c r="K3644">
        <v>0</v>
      </c>
      <c r="L3644" s="1">
        <f t="shared" si="224"/>
        <v>8</v>
      </c>
      <c r="M3644" s="1" t="str">
        <f t="shared" si="225"/>
        <v/>
      </c>
      <c r="N3644" s="2">
        <f t="shared" si="226"/>
        <v>45870</v>
      </c>
      <c r="O3644" t="str">
        <f t="shared" si="227"/>
        <v>pes</v>
      </c>
    </row>
    <row r="3645" spans="1:15" x14ac:dyDescent="0.25">
      <c r="A3645">
        <v>11144</v>
      </c>
      <c r="B3645" s="11">
        <v>4004455667780</v>
      </c>
      <c r="C3645" s="1" t="s">
        <v>640</v>
      </c>
      <c r="D3645" s="1" t="s">
        <v>641</v>
      </c>
      <c r="E3645" s="1" t="s">
        <v>134</v>
      </c>
      <c r="F3645">
        <v>14</v>
      </c>
      <c r="G3645">
        <v>1</v>
      </c>
      <c r="H3645" s="1" t="s">
        <v>23</v>
      </c>
      <c r="I3645" s="1" t="s">
        <v>692</v>
      </c>
      <c r="J3645" s="12">
        <v>45878</v>
      </c>
      <c r="K3645">
        <v>0</v>
      </c>
      <c r="L3645" s="1">
        <f t="shared" si="224"/>
        <v>14</v>
      </c>
      <c r="M3645" s="1">
        <f t="shared" si="225"/>
        <v>5</v>
      </c>
      <c r="N3645" s="2">
        <f t="shared" si="226"/>
        <v>45870</v>
      </c>
      <c r="O3645" t="str">
        <f t="shared" si="227"/>
        <v>pes</v>
      </c>
    </row>
    <row r="3646" spans="1:15" hidden="1" x14ac:dyDescent="0.25">
      <c r="A3646">
        <v>11145</v>
      </c>
      <c r="B3646" s="11">
        <v>4010123456783</v>
      </c>
      <c r="C3646" s="1" t="s">
        <v>35</v>
      </c>
      <c r="D3646" s="1" t="s">
        <v>36</v>
      </c>
      <c r="E3646" s="1" t="s">
        <v>37</v>
      </c>
      <c r="F3646">
        <v>14</v>
      </c>
      <c r="G3646">
        <v>1</v>
      </c>
      <c r="H3646" s="1" t="s">
        <v>14</v>
      </c>
      <c r="I3646" s="1" t="s">
        <v>15</v>
      </c>
      <c r="J3646" s="12">
        <v>45878</v>
      </c>
      <c r="K3646">
        <v>0</v>
      </c>
      <c r="L3646" s="1">
        <f t="shared" si="224"/>
        <v>14</v>
      </c>
      <c r="M3646" s="1" t="str">
        <f t="shared" si="225"/>
        <v/>
      </c>
      <c r="N3646" s="2">
        <f t="shared" si="226"/>
        <v>45870</v>
      </c>
      <c r="O3646" t="str">
        <f t="shared" si="227"/>
        <v>mačka</v>
      </c>
    </row>
    <row r="3647" spans="1:15" x14ac:dyDescent="0.25">
      <c r="A3647">
        <v>11146</v>
      </c>
      <c r="B3647" s="11">
        <v>4024567890128</v>
      </c>
      <c r="C3647" s="1" t="s">
        <v>682</v>
      </c>
      <c r="D3647" s="1" t="s">
        <v>12</v>
      </c>
      <c r="E3647" s="1" t="s">
        <v>134</v>
      </c>
      <c r="F3647">
        <v>40</v>
      </c>
      <c r="G3647">
        <v>1</v>
      </c>
      <c r="H3647" s="1" t="s">
        <v>14</v>
      </c>
      <c r="I3647" s="1" t="s">
        <v>15</v>
      </c>
      <c r="J3647" s="12">
        <v>45878</v>
      </c>
      <c r="K3647">
        <v>0</v>
      </c>
      <c r="L3647" s="1">
        <f t="shared" si="224"/>
        <v>40</v>
      </c>
      <c r="M3647" s="1" t="str">
        <f t="shared" si="225"/>
        <v/>
      </c>
      <c r="N3647" s="2">
        <f t="shared" si="226"/>
        <v>45870</v>
      </c>
      <c r="O3647" t="str">
        <f t="shared" si="227"/>
        <v>pes</v>
      </c>
    </row>
    <row r="3648" spans="1:15" x14ac:dyDescent="0.25">
      <c r="A3648">
        <v>11147</v>
      </c>
      <c r="B3648" s="11">
        <v>4046789012356</v>
      </c>
      <c r="C3648" s="1" t="s">
        <v>304</v>
      </c>
      <c r="D3648" s="1" t="s">
        <v>39</v>
      </c>
      <c r="E3648" s="1" t="s">
        <v>61</v>
      </c>
      <c r="F3648">
        <v>6.4</v>
      </c>
      <c r="G3648">
        <v>1</v>
      </c>
      <c r="H3648" s="1" t="s">
        <v>14</v>
      </c>
      <c r="I3648" s="1" t="s">
        <v>15</v>
      </c>
      <c r="J3648" s="12">
        <v>45879</v>
      </c>
      <c r="K3648">
        <v>0</v>
      </c>
      <c r="L3648" s="1">
        <f t="shared" si="224"/>
        <v>6.4</v>
      </c>
      <c r="M3648" s="1" t="str">
        <f t="shared" si="225"/>
        <v/>
      </c>
      <c r="N3648" s="2">
        <f t="shared" si="226"/>
        <v>45870</v>
      </c>
      <c r="O3648" t="str">
        <f t="shared" si="227"/>
        <v>pes</v>
      </c>
    </row>
    <row r="3649" spans="1:15" hidden="1" x14ac:dyDescent="0.25">
      <c r="A3649">
        <v>11148</v>
      </c>
      <c r="B3649" s="11">
        <v>4029900112244</v>
      </c>
      <c r="C3649" s="1" t="s">
        <v>655</v>
      </c>
      <c r="D3649" s="1" t="s">
        <v>36</v>
      </c>
      <c r="E3649" s="1" t="s">
        <v>37</v>
      </c>
      <c r="F3649">
        <v>13.6</v>
      </c>
      <c r="G3649">
        <v>1</v>
      </c>
      <c r="H3649" s="1" t="s">
        <v>18</v>
      </c>
      <c r="I3649" s="1" t="s">
        <v>693</v>
      </c>
      <c r="J3649" s="12">
        <v>45879</v>
      </c>
      <c r="K3649">
        <v>0</v>
      </c>
      <c r="L3649" s="1">
        <f t="shared" si="224"/>
        <v>13.6</v>
      </c>
      <c r="M3649" s="1">
        <f t="shared" si="225"/>
        <v>4</v>
      </c>
      <c r="N3649" s="2">
        <f t="shared" si="226"/>
        <v>45870</v>
      </c>
      <c r="O3649" t="str">
        <f t="shared" si="227"/>
        <v>mačka</v>
      </c>
    </row>
    <row r="3650" spans="1:15" x14ac:dyDescent="0.25">
      <c r="A3650">
        <v>11149</v>
      </c>
      <c r="B3650" s="11">
        <v>4003344556679</v>
      </c>
      <c r="C3650" s="1" t="s">
        <v>132</v>
      </c>
      <c r="D3650" s="1" t="s">
        <v>133</v>
      </c>
      <c r="E3650" s="1" t="s">
        <v>134</v>
      </c>
      <c r="F3650">
        <v>51.64</v>
      </c>
      <c r="G3650">
        <v>1</v>
      </c>
      <c r="H3650" s="1" t="s">
        <v>14</v>
      </c>
      <c r="I3650" s="1" t="s">
        <v>15</v>
      </c>
      <c r="J3650" s="12">
        <v>45879</v>
      </c>
      <c r="K3650">
        <v>0</v>
      </c>
      <c r="L3650" s="1">
        <f t="shared" ref="L3650:L3713" si="228">F3650*G3650</f>
        <v>51.64</v>
      </c>
      <c r="M3650" s="1" t="str">
        <f t="shared" ref="M3650:M3713" si="229">IF(H3650="NULL", "",VALUE(H3650))</f>
        <v/>
      </c>
      <c r="N3650" s="2">
        <f t="shared" ref="N3650:N3713" si="230">DATE(YEAR(J3650),MONTH(J3650),1)</f>
        <v>45870</v>
      </c>
      <c r="O3650" t="str">
        <f t="shared" ref="O3650:O3713" si="231">IF(ISNUMBER(SEARCH("Mačky",D3650)),"mačka",IF(ISNUMBER(SEARCH("Psy",D3650)),"pes","iné"))</f>
        <v>pes</v>
      </c>
    </row>
    <row r="3651" spans="1:15" x14ac:dyDescent="0.25">
      <c r="A3651">
        <v>11150</v>
      </c>
      <c r="B3651" s="11">
        <v>4028899001126</v>
      </c>
      <c r="C3651" s="1" t="s">
        <v>16</v>
      </c>
      <c r="D3651" s="1" t="s">
        <v>12</v>
      </c>
      <c r="E3651" s="1" t="s">
        <v>17</v>
      </c>
      <c r="F3651">
        <v>2.8</v>
      </c>
      <c r="G3651">
        <v>3</v>
      </c>
      <c r="H3651" s="1" t="s">
        <v>14</v>
      </c>
      <c r="I3651" s="1" t="s">
        <v>15</v>
      </c>
      <c r="J3651" s="12">
        <v>45879</v>
      </c>
      <c r="K3651">
        <v>0</v>
      </c>
      <c r="L3651" s="1">
        <f t="shared" si="228"/>
        <v>8.3999999999999986</v>
      </c>
      <c r="M3651" s="1" t="str">
        <f t="shared" si="229"/>
        <v/>
      </c>
      <c r="N3651" s="2">
        <f t="shared" si="230"/>
        <v>45870</v>
      </c>
      <c r="O3651" t="str">
        <f t="shared" si="231"/>
        <v>pes</v>
      </c>
    </row>
    <row r="3652" spans="1:15" x14ac:dyDescent="0.25">
      <c r="A3652">
        <v>11151</v>
      </c>
      <c r="B3652" s="11">
        <v>4013456789017</v>
      </c>
      <c r="C3652" s="1" t="s">
        <v>11</v>
      </c>
      <c r="D3652" s="1" t="s">
        <v>12</v>
      </c>
      <c r="E3652" s="1" t="s">
        <v>13</v>
      </c>
      <c r="F3652">
        <v>6</v>
      </c>
      <c r="G3652">
        <v>1</v>
      </c>
      <c r="H3652" s="1" t="s">
        <v>14</v>
      </c>
      <c r="I3652" s="1" t="s">
        <v>15</v>
      </c>
      <c r="J3652" s="12">
        <v>45879</v>
      </c>
      <c r="K3652">
        <v>0</v>
      </c>
      <c r="L3652" s="1">
        <f t="shared" si="228"/>
        <v>6</v>
      </c>
      <c r="M3652" s="1" t="str">
        <f t="shared" si="229"/>
        <v/>
      </c>
      <c r="N3652" s="2">
        <f t="shared" si="230"/>
        <v>45870</v>
      </c>
      <c r="O3652" t="str">
        <f t="shared" si="231"/>
        <v>pes</v>
      </c>
    </row>
    <row r="3653" spans="1:15" hidden="1" x14ac:dyDescent="0.25">
      <c r="A3653">
        <v>11152</v>
      </c>
      <c r="B3653" s="11">
        <v>4019876501234</v>
      </c>
      <c r="C3653" s="1" t="s">
        <v>674</v>
      </c>
      <c r="D3653" s="1" t="s">
        <v>29</v>
      </c>
      <c r="E3653" s="1" t="s">
        <v>37</v>
      </c>
      <c r="F3653">
        <v>1.84</v>
      </c>
      <c r="G3653">
        <v>2</v>
      </c>
      <c r="H3653" s="1" t="s">
        <v>23</v>
      </c>
      <c r="I3653" s="1" t="s">
        <v>694</v>
      </c>
      <c r="J3653" s="12">
        <v>45879</v>
      </c>
      <c r="K3653">
        <v>0</v>
      </c>
      <c r="L3653" s="1">
        <f t="shared" si="228"/>
        <v>3.68</v>
      </c>
      <c r="M3653" s="1">
        <f t="shared" si="229"/>
        <v>5</v>
      </c>
      <c r="N3653" s="2">
        <f t="shared" si="230"/>
        <v>45870</v>
      </c>
      <c r="O3653" t="str">
        <f t="shared" si="231"/>
        <v>mačka</v>
      </c>
    </row>
    <row r="3654" spans="1:15" x14ac:dyDescent="0.25">
      <c r="A3654">
        <v>11153</v>
      </c>
      <c r="B3654" s="11">
        <v>4000123456786</v>
      </c>
      <c r="C3654" s="1" t="s">
        <v>305</v>
      </c>
      <c r="D3654" s="1" t="s">
        <v>21</v>
      </c>
      <c r="E3654" s="1" t="s">
        <v>27</v>
      </c>
      <c r="F3654">
        <v>6.8</v>
      </c>
      <c r="G3654">
        <v>1</v>
      </c>
      <c r="H3654" s="1" t="s">
        <v>14</v>
      </c>
      <c r="I3654" s="1" t="s">
        <v>15</v>
      </c>
      <c r="J3654" s="12">
        <v>45879</v>
      </c>
      <c r="K3654">
        <v>0</v>
      </c>
      <c r="L3654" s="1">
        <f t="shared" si="228"/>
        <v>6.8</v>
      </c>
      <c r="M3654" s="1" t="str">
        <f t="shared" si="229"/>
        <v/>
      </c>
      <c r="N3654" s="2">
        <f t="shared" si="230"/>
        <v>45870</v>
      </c>
      <c r="O3654" t="str">
        <f t="shared" si="231"/>
        <v>pes</v>
      </c>
    </row>
    <row r="3655" spans="1:15" hidden="1" x14ac:dyDescent="0.25">
      <c r="A3655">
        <v>11154</v>
      </c>
      <c r="B3655" s="11">
        <v>4042233445567</v>
      </c>
      <c r="C3655" s="1" t="s">
        <v>637</v>
      </c>
      <c r="D3655" s="1" t="s">
        <v>140</v>
      </c>
      <c r="E3655" s="1" t="s">
        <v>141</v>
      </c>
      <c r="F3655">
        <v>51.64</v>
      </c>
      <c r="G3655">
        <v>1</v>
      </c>
      <c r="H3655" s="1" t="s">
        <v>14</v>
      </c>
      <c r="I3655" s="1" t="s">
        <v>15</v>
      </c>
      <c r="J3655" s="12">
        <v>45879</v>
      </c>
      <c r="K3655">
        <v>0</v>
      </c>
      <c r="L3655" s="1">
        <f t="shared" si="228"/>
        <v>51.64</v>
      </c>
      <c r="M3655" s="1" t="str">
        <f t="shared" si="229"/>
        <v/>
      </c>
      <c r="N3655" s="2">
        <f t="shared" si="230"/>
        <v>45870</v>
      </c>
      <c r="O3655" t="str">
        <f t="shared" si="231"/>
        <v>mačka</v>
      </c>
    </row>
    <row r="3656" spans="1:15" hidden="1" x14ac:dyDescent="0.25">
      <c r="A3656">
        <v>11155</v>
      </c>
      <c r="B3656" s="11">
        <v>8595566778890</v>
      </c>
      <c r="C3656" s="1" t="s">
        <v>681</v>
      </c>
      <c r="D3656" s="1" t="s">
        <v>29</v>
      </c>
      <c r="E3656" s="1" t="s">
        <v>37</v>
      </c>
      <c r="F3656">
        <v>38</v>
      </c>
      <c r="G3656">
        <v>1</v>
      </c>
      <c r="H3656" s="1" t="s">
        <v>14</v>
      </c>
      <c r="I3656" s="1" t="s">
        <v>15</v>
      </c>
      <c r="J3656" s="12">
        <v>45879</v>
      </c>
      <c r="K3656">
        <v>0</v>
      </c>
      <c r="L3656" s="1">
        <f t="shared" si="228"/>
        <v>38</v>
      </c>
      <c r="M3656" s="1" t="str">
        <f t="shared" si="229"/>
        <v/>
      </c>
      <c r="N3656" s="2">
        <f t="shared" si="230"/>
        <v>45870</v>
      </c>
      <c r="O3656" t="str">
        <f t="shared" si="231"/>
        <v>mačka</v>
      </c>
    </row>
    <row r="3657" spans="1:15" hidden="1" x14ac:dyDescent="0.25">
      <c r="A3657">
        <v>11156</v>
      </c>
      <c r="B3657" s="11">
        <v>4025678901239</v>
      </c>
      <c r="C3657" s="1" t="s">
        <v>659</v>
      </c>
      <c r="D3657" s="1" t="s">
        <v>267</v>
      </c>
      <c r="E3657" s="1" t="s">
        <v>58</v>
      </c>
      <c r="F3657">
        <v>10</v>
      </c>
      <c r="G3657">
        <v>1</v>
      </c>
      <c r="H3657" s="1" t="s">
        <v>18</v>
      </c>
      <c r="I3657" s="1" t="s">
        <v>695</v>
      </c>
      <c r="J3657" s="12">
        <v>45879</v>
      </c>
      <c r="K3657">
        <v>0</v>
      </c>
      <c r="L3657" s="1">
        <f t="shared" si="228"/>
        <v>10</v>
      </c>
      <c r="M3657" s="1">
        <f t="shared" si="229"/>
        <v>4</v>
      </c>
      <c r="N3657" s="2">
        <f t="shared" si="230"/>
        <v>45870</v>
      </c>
      <c r="O3657" t="str">
        <f t="shared" si="231"/>
        <v>mačka</v>
      </c>
    </row>
    <row r="3658" spans="1:15" x14ac:dyDescent="0.25">
      <c r="A3658">
        <v>11157</v>
      </c>
      <c r="B3658" s="11">
        <v>4063456789014</v>
      </c>
      <c r="C3658" s="1" t="s">
        <v>60</v>
      </c>
      <c r="D3658" s="1" t="s">
        <v>12</v>
      </c>
      <c r="E3658" s="1" t="s">
        <v>61</v>
      </c>
      <c r="F3658">
        <v>36</v>
      </c>
      <c r="G3658">
        <v>1</v>
      </c>
      <c r="H3658" s="1" t="s">
        <v>14</v>
      </c>
      <c r="I3658" s="1" t="s">
        <v>15</v>
      </c>
      <c r="J3658" s="12">
        <v>45879</v>
      </c>
      <c r="K3658">
        <v>0</v>
      </c>
      <c r="L3658" s="1">
        <f t="shared" si="228"/>
        <v>36</v>
      </c>
      <c r="M3658" s="1" t="str">
        <f t="shared" si="229"/>
        <v/>
      </c>
      <c r="N3658" s="2">
        <f t="shared" si="230"/>
        <v>45870</v>
      </c>
      <c r="O3658" t="str">
        <f t="shared" si="231"/>
        <v>pes</v>
      </c>
    </row>
    <row r="3659" spans="1:15" x14ac:dyDescent="0.25">
      <c r="A3659">
        <v>11157</v>
      </c>
      <c r="B3659" s="11">
        <v>4028899001126</v>
      </c>
      <c r="C3659" s="1" t="s">
        <v>16</v>
      </c>
      <c r="D3659" s="1" t="s">
        <v>12</v>
      </c>
      <c r="E3659" s="1" t="s">
        <v>17</v>
      </c>
      <c r="F3659">
        <v>2.8</v>
      </c>
      <c r="G3659">
        <v>2</v>
      </c>
      <c r="H3659" s="1" t="s">
        <v>14</v>
      </c>
      <c r="I3659" s="1" t="s">
        <v>15</v>
      </c>
      <c r="J3659" s="12">
        <v>45879</v>
      </c>
      <c r="K3659">
        <v>0</v>
      </c>
      <c r="L3659" s="1">
        <f t="shared" si="228"/>
        <v>5.6</v>
      </c>
      <c r="M3659" s="1" t="str">
        <f t="shared" si="229"/>
        <v/>
      </c>
      <c r="N3659" s="2">
        <f t="shared" si="230"/>
        <v>45870</v>
      </c>
      <c r="O3659" t="str">
        <f t="shared" si="231"/>
        <v>pes</v>
      </c>
    </row>
    <row r="3660" spans="1:15" x14ac:dyDescent="0.25">
      <c r="A3660">
        <v>11158</v>
      </c>
      <c r="B3660" s="11">
        <v>4017890123450</v>
      </c>
      <c r="C3660" s="1" t="s">
        <v>65</v>
      </c>
      <c r="D3660" s="1" t="s">
        <v>39</v>
      </c>
      <c r="E3660" s="1" t="s">
        <v>22</v>
      </c>
      <c r="F3660">
        <v>7.6</v>
      </c>
      <c r="G3660">
        <v>1</v>
      </c>
      <c r="H3660" s="1" t="s">
        <v>23</v>
      </c>
      <c r="I3660" s="1" t="s">
        <v>696</v>
      </c>
      <c r="J3660" s="12">
        <v>45879</v>
      </c>
      <c r="K3660">
        <v>0</v>
      </c>
      <c r="L3660" s="1">
        <f t="shared" si="228"/>
        <v>7.6</v>
      </c>
      <c r="M3660" s="1">
        <f t="shared" si="229"/>
        <v>5</v>
      </c>
      <c r="N3660" s="2">
        <f t="shared" si="230"/>
        <v>45870</v>
      </c>
      <c r="O3660" t="str">
        <f t="shared" si="231"/>
        <v>pes</v>
      </c>
    </row>
    <row r="3661" spans="1:15" hidden="1" x14ac:dyDescent="0.25">
      <c r="A3661">
        <v>11159</v>
      </c>
      <c r="B3661" s="11">
        <v>5903344556670</v>
      </c>
      <c r="C3661" s="1" t="s">
        <v>638</v>
      </c>
      <c r="D3661" s="1" t="s">
        <v>140</v>
      </c>
      <c r="E3661" s="1" t="s">
        <v>30</v>
      </c>
      <c r="F3661">
        <v>75.64</v>
      </c>
      <c r="G3661">
        <v>1</v>
      </c>
      <c r="H3661" s="1" t="s">
        <v>14</v>
      </c>
      <c r="I3661" s="1" t="s">
        <v>15</v>
      </c>
      <c r="J3661" s="12">
        <v>45879</v>
      </c>
      <c r="K3661">
        <v>0</v>
      </c>
      <c r="L3661" s="1">
        <f t="shared" si="228"/>
        <v>75.64</v>
      </c>
      <c r="M3661" s="1" t="str">
        <f t="shared" si="229"/>
        <v/>
      </c>
      <c r="N3661" s="2">
        <f t="shared" si="230"/>
        <v>45870</v>
      </c>
      <c r="O3661" t="str">
        <f t="shared" si="231"/>
        <v>mačka</v>
      </c>
    </row>
    <row r="3662" spans="1:15" hidden="1" x14ac:dyDescent="0.25">
      <c r="A3662">
        <v>11160</v>
      </c>
      <c r="B3662" s="11">
        <v>4010123456783</v>
      </c>
      <c r="C3662" s="1" t="s">
        <v>35</v>
      </c>
      <c r="D3662" s="1" t="s">
        <v>36</v>
      </c>
      <c r="E3662" s="1" t="s">
        <v>37</v>
      </c>
      <c r="F3662">
        <v>14</v>
      </c>
      <c r="G3662">
        <v>1</v>
      </c>
      <c r="H3662" s="1" t="s">
        <v>14</v>
      </c>
      <c r="I3662" s="1" t="s">
        <v>15</v>
      </c>
      <c r="J3662" s="12">
        <v>45880</v>
      </c>
      <c r="K3662">
        <v>0</v>
      </c>
      <c r="L3662" s="1">
        <f t="shared" si="228"/>
        <v>14</v>
      </c>
      <c r="M3662" s="1" t="str">
        <f t="shared" si="229"/>
        <v/>
      </c>
      <c r="N3662" s="2">
        <f t="shared" si="230"/>
        <v>45870</v>
      </c>
      <c r="O3662" t="str">
        <f t="shared" si="231"/>
        <v>mačka</v>
      </c>
    </row>
    <row r="3663" spans="1:15" x14ac:dyDescent="0.25">
      <c r="A3663">
        <v>11161</v>
      </c>
      <c r="B3663" s="11">
        <v>4027788990013</v>
      </c>
      <c r="C3663" s="1" t="s">
        <v>43</v>
      </c>
      <c r="D3663" s="1" t="s">
        <v>21</v>
      </c>
      <c r="E3663" s="1" t="s">
        <v>22</v>
      </c>
      <c r="F3663">
        <v>8</v>
      </c>
      <c r="G3663">
        <v>1</v>
      </c>
      <c r="H3663" s="1" t="s">
        <v>18</v>
      </c>
      <c r="I3663" s="1" t="s">
        <v>697</v>
      </c>
      <c r="J3663" s="12">
        <v>45880</v>
      </c>
      <c r="K3663">
        <v>0</v>
      </c>
      <c r="L3663" s="1">
        <f t="shared" si="228"/>
        <v>8</v>
      </c>
      <c r="M3663" s="1">
        <f t="shared" si="229"/>
        <v>4</v>
      </c>
      <c r="N3663" s="2">
        <f t="shared" si="230"/>
        <v>45870</v>
      </c>
      <c r="O3663" t="str">
        <f t="shared" si="231"/>
        <v>pes</v>
      </c>
    </row>
    <row r="3664" spans="1:15" hidden="1" x14ac:dyDescent="0.25">
      <c r="A3664">
        <v>11162</v>
      </c>
      <c r="B3664" s="11">
        <v>5901122334452</v>
      </c>
      <c r="C3664" s="1" t="s">
        <v>647</v>
      </c>
      <c r="D3664" s="1" t="s">
        <v>317</v>
      </c>
      <c r="E3664" s="1" t="s">
        <v>648</v>
      </c>
      <c r="F3664">
        <v>12</v>
      </c>
      <c r="G3664">
        <v>1</v>
      </c>
      <c r="H3664" s="1" t="s">
        <v>14</v>
      </c>
      <c r="I3664" s="1" t="s">
        <v>15</v>
      </c>
      <c r="J3664" s="12">
        <v>45880</v>
      </c>
      <c r="K3664">
        <v>0</v>
      </c>
      <c r="L3664" s="1">
        <f t="shared" si="228"/>
        <v>12</v>
      </c>
      <c r="M3664" s="1" t="str">
        <f t="shared" si="229"/>
        <v/>
      </c>
      <c r="N3664" s="2">
        <f t="shared" si="230"/>
        <v>45870</v>
      </c>
      <c r="O3664" t="str">
        <f t="shared" si="231"/>
        <v>mačka</v>
      </c>
    </row>
    <row r="3665" spans="1:15" x14ac:dyDescent="0.25">
      <c r="A3665">
        <v>11163</v>
      </c>
      <c r="B3665" s="11">
        <v>4024567890128</v>
      </c>
      <c r="C3665" s="1" t="s">
        <v>682</v>
      </c>
      <c r="D3665" s="1" t="s">
        <v>12</v>
      </c>
      <c r="E3665" s="1" t="s">
        <v>134</v>
      </c>
      <c r="F3665">
        <v>40</v>
      </c>
      <c r="G3665">
        <v>1</v>
      </c>
      <c r="H3665" s="1" t="s">
        <v>14</v>
      </c>
      <c r="I3665" s="1" t="s">
        <v>15</v>
      </c>
      <c r="J3665" s="12">
        <v>45880</v>
      </c>
      <c r="K3665">
        <v>0</v>
      </c>
      <c r="L3665" s="1">
        <f t="shared" si="228"/>
        <v>40</v>
      </c>
      <c r="M3665" s="1" t="str">
        <f t="shared" si="229"/>
        <v/>
      </c>
      <c r="N3665" s="2">
        <f t="shared" si="230"/>
        <v>45870</v>
      </c>
      <c r="O3665" t="str">
        <f t="shared" si="231"/>
        <v>pes</v>
      </c>
    </row>
    <row r="3666" spans="1:15" x14ac:dyDescent="0.25">
      <c r="A3666">
        <v>11164</v>
      </c>
      <c r="B3666" s="11">
        <v>4016677889902</v>
      </c>
      <c r="C3666" s="1" t="s">
        <v>327</v>
      </c>
      <c r="D3666" s="1" t="s">
        <v>26</v>
      </c>
      <c r="E3666" s="1" t="s">
        <v>17</v>
      </c>
      <c r="F3666">
        <v>22</v>
      </c>
      <c r="G3666">
        <v>1</v>
      </c>
      <c r="H3666" s="1" t="s">
        <v>14</v>
      </c>
      <c r="I3666" s="1" t="s">
        <v>15</v>
      </c>
      <c r="J3666" s="12">
        <v>45880</v>
      </c>
      <c r="K3666">
        <v>0</v>
      </c>
      <c r="L3666" s="1">
        <f t="shared" si="228"/>
        <v>22</v>
      </c>
      <c r="M3666" s="1" t="str">
        <f t="shared" si="229"/>
        <v/>
      </c>
      <c r="N3666" s="2">
        <f t="shared" si="230"/>
        <v>45870</v>
      </c>
      <c r="O3666" t="str">
        <f t="shared" si="231"/>
        <v>pes</v>
      </c>
    </row>
    <row r="3667" spans="1:15" hidden="1" x14ac:dyDescent="0.25">
      <c r="A3667">
        <v>11165</v>
      </c>
      <c r="B3667" s="11">
        <v>4049012345683</v>
      </c>
      <c r="C3667" s="1" t="s">
        <v>57</v>
      </c>
      <c r="D3667" s="1" t="s">
        <v>36</v>
      </c>
      <c r="E3667" s="1" t="s">
        <v>58</v>
      </c>
      <c r="F3667">
        <v>9.1999999999999993</v>
      </c>
      <c r="G3667">
        <v>1</v>
      </c>
      <c r="H3667" s="1" t="s">
        <v>23</v>
      </c>
      <c r="I3667" s="1" t="s">
        <v>684</v>
      </c>
      <c r="J3667" s="12">
        <v>45880</v>
      </c>
      <c r="K3667">
        <v>0</v>
      </c>
      <c r="L3667" s="1">
        <f t="shared" si="228"/>
        <v>9.1999999999999993</v>
      </c>
      <c r="M3667" s="1">
        <f t="shared" si="229"/>
        <v>5</v>
      </c>
      <c r="N3667" s="2">
        <f t="shared" si="230"/>
        <v>45870</v>
      </c>
      <c r="O3667" t="str">
        <f t="shared" si="231"/>
        <v>mačka</v>
      </c>
    </row>
    <row r="3668" spans="1:15" hidden="1" x14ac:dyDescent="0.25">
      <c r="A3668">
        <v>11166</v>
      </c>
      <c r="B3668" s="11">
        <v>4050123456794</v>
      </c>
      <c r="C3668" s="1" t="s">
        <v>41</v>
      </c>
      <c r="D3668" s="1" t="s">
        <v>36</v>
      </c>
      <c r="E3668" s="1" t="s">
        <v>42</v>
      </c>
      <c r="F3668">
        <v>7.2</v>
      </c>
      <c r="G3668">
        <v>1</v>
      </c>
      <c r="H3668" s="1" t="s">
        <v>14</v>
      </c>
      <c r="I3668" s="1" t="s">
        <v>15</v>
      </c>
      <c r="J3668" s="12">
        <v>45880</v>
      </c>
      <c r="K3668">
        <v>0</v>
      </c>
      <c r="L3668" s="1">
        <f t="shared" si="228"/>
        <v>7.2</v>
      </c>
      <c r="M3668" s="1" t="str">
        <f t="shared" si="229"/>
        <v/>
      </c>
      <c r="N3668" s="2">
        <f t="shared" si="230"/>
        <v>45870</v>
      </c>
      <c r="O3668" t="str">
        <f t="shared" si="231"/>
        <v>mačka</v>
      </c>
    </row>
    <row r="3669" spans="1:15" hidden="1" x14ac:dyDescent="0.25">
      <c r="A3669">
        <v>11167</v>
      </c>
      <c r="B3669" s="11">
        <v>4023456789012</v>
      </c>
      <c r="C3669" s="1" t="s">
        <v>55</v>
      </c>
      <c r="D3669" s="1" t="s">
        <v>29</v>
      </c>
      <c r="E3669" s="1" t="s">
        <v>32</v>
      </c>
      <c r="F3669">
        <v>4</v>
      </c>
      <c r="G3669">
        <v>2</v>
      </c>
      <c r="H3669" s="1" t="s">
        <v>14</v>
      </c>
      <c r="I3669" s="1" t="s">
        <v>15</v>
      </c>
      <c r="J3669" s="12">
        <v>45880</v>
      </c>
      <c r="K3669">
        <v>0</v>
      </c>
      <c r="L3669" s="1">
        <f t="shared" si="228"/>
        <v>8</v>
      </c>
      <c r="M3669" s="1" t="str">
        <f t="shared" si="229"/>
        <v/>
      </c>
      <c r="N3669" s="2">
        <f t="shared" si="230"/>
        <v>45870</v>
      </c>
      <c r="O3669" t="str">
        <f t="shared" si="231"/>
        <v>mačka</v>
      </c>
    </row>
    <row r="3670" spans="1:15" hidden="1" x14ac:dyDescent="0.25">
      <c r="A3670">
        <v>11168</v>
      </c>
      <c r="B3670" s="11">
        <v>5901234509876</v>
      </c>
      <c r="C3670" s="1" t="s">
        <v>685</v>
      </c>
      <c r="D3670" s="1" t="s">
        <v>29</v>
      </c>
      <c r="E3670" s="1" t="s">
        <v>42</v>
      </c>
      <c r="F3670">
        <v>40</v>
      </c>
      <c r="G3670">
        <v>1</v>
      </c>
      <c r="H3670" s="1" t="s">
        <v>23</v>
      </c>
      <c r="I3670" s="1" t="s">
        <v>698</v>
      </c>
      <c r="J3670" s="12">
        <v>45880</v>
      </c>
      <c r="K3670">
        <v>0</v>
      </c>
      <c r="L3670" s="1">
        <f t="shared" si="228"/>
        <v>40</v>
      </c>
      <c r="M3670" s="1">
        <f t="shared" si="229"/>
        <v>5</v>
      </c>
      <c r="N3670" s="2">
        <f t="shared" si="230"/>
        <v>45870</v>
      </c>
      <c r="O3670" t="str">
        <f t="shared" si="231"/>
        <v>mačka</v>
      </c>
    </row>
    <row r="3671" spans="1:15" hidden="1" x14ac:dyDescent="0.25">
      <c r="A3671">
        <v>11169</v>
      </c>
      <c r="B3671" s="11">
        <v>4047890123460</v>
      </c>
      <c r="C3671" s="1" t="s">
        <v>325</v>
      </c>
      <c r="D3671" s="1" t="s">
        <v>144</v>
      </c>
      <c r="E3671" s="1" t="s">
        <v>58</v>
      </c>
      <c r="F3671">
        <v>10</v>
      </c>
      <c r="G3671">
        <v>1</v>
      </c>
      <c r="H3671" s="1" t="s">
        <v>14</v>
      </c>
      <c r="I3671" s="1" t="s">
        <v>15</v>
      </c>
      <c r="J3671" s="12">
        <v>45880</v>
      </c>
      <c r="K3671">
        <v>0</v>
      </c>
      <c r="L3671" s="1">
        <f t="shared" si="228"/>
        <v>10</v>
      </c>
      <c r="M3671" s="1" t="str">
        <f t="shared" si="229"/>
        <v/>
      </c>
      <c r="N3671" s="2">
        <f t="shared" si="230"/>
        <v>45870</v>
      </c>
      <c r="O3671" t="str">
        <f t="shared" si="231"/>
        <v>mačka</v>
      </c>
    </row>
    <row r="3672" spans="1:15" x14ac:dyDescent="0.25">
      <c r="A3672">
        <v>11170</v>
      </c>
      <c r="B3672" s="11">
        <v>4013456789017</v>
      </c>
      <c r="C3672" s="1" t="s">
        <v>11</v>
      </c>
      <c r="D3672" s="1" t="s">
        <v>12</v>
      </c>
      <c r="E3672" s="1" t="s">
        <v>13</v>
      </c>
      <c r="F3672">
        <v>6</v>
      </c>
      <c r="G3672">
        <v>1</v>
      </c>
      <c r="H3672" s="1" t="s">
        <v>14</v>
      </c>
      <c r="I3672" s="1" t="s">
        <v>15</v>
      </c>
      <c r="J3672" s="12">
        <v>45880</v>
      </c>
      <c r="K3672">
        <v>0</v>
      </c>
      <c r="L3672" s="1">
        <f t="shared" si="228"/>
        <v>6</v>
      </c>
      <c r="M3672" s="1" t="str">
        <f t="shared" si="229"/>
        <v/>
      </c>
      <c r="N3672" s="2">
        <f t="shared" si="230"/>
        <v>45870</v>
      </c>
      <c r="O3672" t="str">
        <f t="shared" si="231"/>
        <v>pes</v>
      </c>
    </row>
    <row r="3673" spans="1:15" x14ac:dyDescent="0.25">
      <c r="A3673">
        <v>11171</v>
      </c>
      <c r="B3673" s="11">
        <v>4028899001126</v>
      </c>
      <c r="C3673" s="1" t="s">
        <v>16</v>
      </c>
      <c r="D3673" s="1" t="s">
        <v>12</v>
      </c>
      <c r="E3673" s="1" t="s">
        <v>17</v>
      </c>
      <c r="F3673">
        <v>2.8</v>
      </c>
      <c r="G3673">
        <v>2</v>
      </c>
      <c r="H3673" s="1" t="s">
        <v>33</v>
      </c>
      <c r="I3673" s="1" t="s">
        <v>113</v>
      </c>
      <c r="J3673" s="12">
        <v>45880</v>
      </c>
      <c r="K3673">
        <v>0</v>
      </c>
      <c r="L3673" s="1">
        <f t="shared" si="228"/>
        <v>5.6</v>
      </c>
      <c r="M3673" s="1">
        <f t="shared" si="229"/>
        <v>3</v>
      </c>
      <c r="N3673" s="2">
        <f t="shared" si="230"/>
        <v>45870</v>
      </c>
      <c r="O3673" t="str">
        <f t="shared" si="231"/>
        <v>pes</v>
      </c>
    </row>
    <row r="3674" spans="1:15" hidden="1" x14ac:dyDescent="0.25">
      <c r="A3674">
        <v>11172</v>
      </c>
      <c r="B3674" s="11">
        <v>4044567890123</v>
      </c>
      <c r="C3674" s="1" t="s">
        <v>266</v>
      </c>
      <c r="D3674" s="1" t="s">
        <v>267</v>
      </c>
      <c r="E3674" s="1" t="s">
        <v>37</v>
      </c>
      <c r="F3674">
        <v>6</v>
      </c>
      <c r="G3674">
        <v>1</v>
      </c>
      <c r="H3674" s="1" t="s">
        <v>14</v>
      </c>
      <c r="I3674" s="1" t="s">
        <v>15</v>
      </c>
      <c r="J3674" s="12">
        <v>45880</v>
      </c>
      <c r="K3674">
        <v>0</v>
      </c>
      <c r="L3674" s="1">
        <f t="shared" si="228"/>
        <v>6</v>
      </c>
      <c r="M3674" s="1" t="str">
        <f t="shared" si="229"/>
        <v/>
      </c>
      <c r="N3674" s="2">
        <f t="shared" si="230"/>
        <v>45870</v>
      </c>
      <c r="O3674" t="str">
        <f t="shared" si="231"/>
        <v>mačka</v>
      </c>
    </row>
    <row r="3675" spans="1:15" x14ac:dyDescent="0.25">
      <c r="A3675">
        <v>11173</v>
      </c>
      <c r="B3675" s="11">
        <v>8599988776654</v>
      </c>
      <c r="C3675" s="1" t="s">
        <v>393</v>
      </c>
      <c r="D3675" s="1" t="s">
        <v>133</v>
      </c>
      <c r="E3675" s="1" t="s">
        <v>17</v>
      </c>
      <c r="F3675">
        <v>28</v>
      </c>
      <c r="G3675">
        <v>1</v>
      </c>
      <c r="H3675" s="1" t="s">
        <v>14</v>
      </c>
      <c r="I3675" s="1" t="s">
        <v>15</v>
      </c>
      <c r="J3675" s="12">
        <v>45880</v>
      </c>
      <c r="K3675">
        <v>0</v>
      </c>
      <c r="L3675" s="1">
        <f t="shared" si="228"/>
        <v>28</v>
      </c>
      <c r="M3675" s="1" t="str">
        <f t="shared" si="229"/>
        <v/>
      </c>
      <c r="N3675" s="2">
        <f t="shared" si="230"/>
        <v>45870</v>
      </c>
      <c r="O3675" t="str">
        <f t="shared" si="231"/>
        <v>pes</v>
      </c>
    </row>
    <row r="3676" spans="1:15" hidden="1" x14ac:dyDescent="0.25">
      <c r="A3676">
        <v>11174</v>
      </c>
      <c r="B3676" s="11">
        <v>4010123456783</v>
      </c>
      <c r="C3676" s="1" t="s">
        <v>35</v>
      </c>
      <c r="D3676" s="1" t="s">
        <v>36</v>
      </c>
      <c r="E3676" s="1" t="s">
        <v>37</v>
      </c>
      <c r="F3676">
        <v>14</v>
      </c>
      <c r="G3676">
        <v>2</v>
      </c>
      <c r="H3676" s="1" t="s">
        <v>14</v>
      </c>
      <c r="I3676" s="1" t="s">
        <v>15</v>
      </c>
      <c r="J3676" s="12">
        <v>45881</v>
      </c>
      <c r="K3676">
        <v>0</v>
      </c>
      <c r="L3676" s="1">
        <f t="shared" si="228"/>
        <v>28</v>
      </c>
      <c r="M3676" s="1" t="str">
        <f t="shared" si="229"/>
        <v/>
      </c>
      <c r="N3676" s="2">
        <f t="shared" si="230"/>
        <v>45870</v>
      </c>
      <c r="O3676" t="str">
        <f t="shared" si="231"/>
        <v>mačka</v>
      </c>
    </row>
    <row r="3677" spans="1:15" hidden="1" x14ac:dyDescent="0.25">
      <c r="A3677">
        <v>11174</v>
      </c>
      <c r="B3677" s="11">
        <v>4056789012345</v>
      </c>
      <c r="C3677" s="1" t="s">
        <v>47</v>
      </c>
      <c r="D3677" s="1" t="s">
        <v>29</v>
      </c>
      <c r="E3677" s="1" t="s">
        <v>37</v>
      </c>
      <c r="F3677">
        <v>2.4</v>
      </c>
      <c r="G3677">
        <v>2</v>
      </c>
      <c r="H3677" s="1" t="s">
        <v>14</v>
      </c>
      <c r="I3677" s="1" t="s">
        <v>15</v>
      </c>
      <c r="J3677" s="12">
        <v>45881</v>
      </c>
      <c r="K3677">
        <v>0</v>
      </c>
      <c r="L3677" s="1">
        <f t="shared" si="228"/>
        <v>4.8</v>
      </c>
      <c r="M3677" s="1" t="str">
        <f t="shared" si="229"/>
        <v/>
      </c>
      <c r="N3677" s="2">
        <f t="shared" si="230"/>
        <v>45870</v>
      </c>
      <c r="O3677" t="str">
        <f t="shared" si="231"/>
        <v>mačka</v>
      </c>
    </row>
    <row r="3678" spans="1:15" hidden="1" x14ac:dyDescent="0.25">
      <c r="A3678">
        <v>11175</v>
      </c>
      <c r="B3678" s="11">
        <v>4025678901239</v>
      </c>
      <c r="C3678" s="1" t="s">
        <v>659</v>
      </c>
      <c r="D3678" s="1" t="s">
        <v>267</v>
      </c>
      <c r="E3678" s="1" t="s">
        <v>58</v>
      </c>
      <c r="F3678">
        <v>10</v>
      </c>
      <c r="G3678">
        <v>1</v>
      </c>
      <c r="H3678" s="1" t="s">
        <v>18</v>
      </c>
      <c r="I3678" s="1" t="s">
        <v>699</v>
      </c>
      <c r="J3678" s="12">
        <v>45881</v>
      </c>
      <c r="K3678">
        <v>0</v>
      </c>
      <c r="L3678" s="1">
        <f t="shared" si="228"/>
        <v>10</v>
      </c>
      <c r="M3678" s="1">
        <f t="shared" si="229"/>
        <v>4</v>
      </c>
      <c r="N3678" s="2">
        <f t="shared" si="230"/>
        <v>45870</v>
      </c>
      <c r="O3678" t="str">
        <f t="shared" si="231"/>
        <v>mačka</v>
      </c>
    </row>
    <row r="3679" spans="1:15" x14ac:dyDescent="0.25">
      <c r="A3679">
        <v>11176</v>
      </c>
      <c r="B3679" s="11">
        <v>4063456789014</v>
      </c>
      <c r="C3679" s="1" t="s">
        <v>60</v>
      </c>
      <c r="D3679" s="1" t="s">
        <v>12</v>
      </c>
      <c r="E3679" s="1" t="s">
        <v>61</v>
      </c>
      <c r="F3679">
        <v>36</v>
      </c>
      <c r="G3679">
        <v>1</v>
      </c>
      <c r="H3679" s="1" t="s">
        <v>14</v>
      </c>
      <c r="I3679" s="1" t="s">
        <v>15</v>
      </c>
      <c r="J3679" s="12">
        <v>45881</v>
      </c>
      <c r="K3679">
        <v>0</v>
      </c>
      <c r="L3679" s="1">
        <f t="shared" si="228"/>
        <v>36</v>
      </c>
      <c r="M3679" s="1" t="str">
        <f t="shared" si="229"/>
        <v/>
      </c>
      <c r="N3679" s="2">
        <f t="shared" si="230"/>
        <v>45870</v>
      </c>
      <c r="O3679" t="str">
        <f t="shared" si="231"/>
        <v>pes</v>
      </c>
    </row>
    <row r="3680" spans="1:15" x14ac:dyDescent="0.25">
      <c r="A3680">
        <v>11177</v>
      </c>
      <c r="B3680" s="11">
        <v>4000123456786</v>
      </c>
      <c r="C3680" s="1" t="s">
        <v>305</v>
      </c>
      <c r="D3680" s="1" t="s">
        <v>21</v>
      </c>
      <c r="E3680" s="1" t="s">
        <v>27</v>
      </c>
      <c r="F3680">
        <v>6.8</v>
      </c>
      <c r="G3680">
        <v>1</v>
      </c>
      <c r="H3680" s="1" t="s">
        <v>14</v>
      </c>
      <c r="I3680" s="1" t="s">
        <v>15</v>
      </c>
      <c r="J3680" s="12">
        <v>45881</v>
      </c>
      <c r="K3680">
        <v>0</v>
      </c>
      <c r="L3680" s="1">
        <f t="shared" si="228"/>
        <v>6.8</v>
      </c>
      <c r="M3680" s="1" t="str">
        <f t="shared" si="229"/>
        <v/>
      </c>
      <c r="N3680" s="2">
        <f t="shared" si="230"/>
        <v>45870</v>
      </c>
      <c r="O3680" t="str">
        <f t="shared" si="231"/>
        <v>pes</v>
      </c>
    </row>
    <row r="3681" spans="1:15" x14ac:dyDescent="0.25">
      <c r="A3681">
        <v>11178</v>
      </c>
      <c r="B3681" s="11">
        <v>4017890123450</v>
      </c>
      <c r="C3681" s="1" t="s">
        <v>65</v>
      </c>
      <c r="D3681" s="1" t="s">
        <v>39</v>
      </c>
      <c r="E3681" s="1" t="s">
        <v>22</v>
      </c>
      <c r="F3681">
        <v>7.6</v>
      </c>
      <c r="G3681">
        <v>1</v>
      </c>
      <c r="H3681" s="1" t="s">
        <v>18</v>
      </c>
      <c r="I3681" s="1" t="s">
        <v>700</v>
      </c>
      <c r="J3681" s="12">
        <v>45881</v>
      </c>
      <c r="K3681">
        <v>0</v>
      </c>
      <c r="L3681" s="1">
        <f t="shared" si="228"/>
        <v>7.6</v>
      </c>
      <c r="M3681" s="1">
        <f t="shared" si="229"/>
        <v>4</v>
      </c>
      <c r="N3681" s="2">
        <f t="shared" si="230"/>
        <v>45870</v>
      </c>
      <c r="O3681" t="str">
        <f t="shared" si="231"/>
        <v>pes</v>
      </c>
    </row>
    <row r="3682" spans="1:15" hidden="1" x14ac:dyDescent="0.25">
      <c r="A3682">
        <v>11179</v>
      </c>
      <c r="B3682" s="11">
        <v>5903344556670</v>
      </c>
      <c r="C3682" s="1" t="s">
        <v>638</v>
      </c>
      <c r="D3682" s="1" t="s">
        <v>140</v>
      </c>
      <c r="E3682" s="1" t="s">
        <v>30</v>
      </c>
      <c r="F3682">
        <v>75.64</v>
      </c>
      <c r="G3682">
        <v>1</v>
      </c>
      <c r="H3682" s="1" t="s">
        <v>14</v>
      </c>
      <c r="I3682" s="1" t="s">
        <v>15</v>
      </c>
      <c r="J3682" s="12">
        <v>45881</v>
      </c>
      <c r="K3682">
        <v>0</v>
      </c>
      <c r="L3682" s="1">
        <f t="shared" si="228"/>
        <v>75.64</v>
      </c>
      <c r="M3682" s="1" t="str">
        <f t="shared" si="229"/>
        <v/>
      </c>
      <c r="N3682" s="2">
        <f t="shared" si="230"/>
        <v>45870</v>
      </c>
      <c r="O3682" t="str">
        <f t="shared" si="231"/>
        <v>mačka</v>
      </c>
    </row>
    <row r="3683" spans="1:15" x14ac:dyDescent="0.25">
      <c r="A3683">
        <v>11180</v>
      </c>
      <c r="B3683" s="11">
        <v>4003344556679</v>
      </c>
      <c r="C3683" s="1" t="s">
        <v>132</v>
      </c>
      <c r="D3683" s="1" t="s">
        <v>133</v>
      </c>
      <c r="E3683" s="1" t="s">
        <v>134</v>
      </c>
      <c r="F3683">
        <v>51.64</v>
      </c>
      <c r="G3683">
        <v>1</v>
      </c>
      <c r="H3683" s="1" t="s">
        <v>23</v>
      </c>
      <c r="I3683" s="1" t="s">
        <v>701</v>
      </c>
      <c r="J3683" s="12">
        <v>45881</v>
      </c>
      <c r="K3683">
        <v>0</v>
      </c>
      <c r="L3683" s="1">
        <f t="shared" si="228"/>
        <v>51.64</v>
      </c>
      <c r="M3683" s="1">
        <f t="shared" si="229"/>
        <v>5</v>
      </c>
      <c r="N3683" s="2">
        <f t="shared" si="230"/>
        <v>45870</v>
      </c>
      <c r="O3683" t="str">
        <f t="shared" si="231"/>
        <v>pes</v>
      </c>
    </row>
    <row r="3684" spans="1:15" hidden="1" x14ac:dyDescent="0.25">
      <c r="A3684">
        <v>11181</v>
      </c>
      <c r="B3684" s="11">
        <v>4021234567894</v>
      </c>
      <c r="C3684" s="1" t="s">
        <v>79</v>
      </c>
      <c r="D3684" s="1" t="s">
        <v>36</v>
      </c>
      <c r="E3684" s="1" t="s">
        <v>69</v>
      </c>
      <c r="F3684">
        <v>8</v>
      </c>
      <c r="G3684">
        <v>1</v>
      </c>
      <c r="H3684" s="1" t="s">
        <v>14</v>
      </c>
      <c r="I3684" s="1" t="s">
        <v>15</v>
      </c>
      <c r="J3684" s="12">
        <v>45881</v>
      </c>
      <c r="K3684">
        <v>0</v>
      </c>
      <c r="L3684" s="1">
        <f t="shared" si="228"/>
        <v>8</v>
      </c>
      <c r="M3684" s="1" t="str">
        <f t="shared" si="229"/>
        <v/>
      </c>
      <c r="N3684" s="2">
        <f t="shared" si="230"/>
        <v>45870</v>
      </c>
      <c r="O3684" t="str">
        <f t="shared" si="231"/>
        <v>mačka</v>
      </c>
    </row>
    <row r="3685" spans="1:15" hidden="1" x14ac:dyDescent="0.25">
      <c r="A3685">
        <v>11182</v>
      </c>
      <c r="B3685" s="11">
        <v>4019876501234</v>
      </c>
      <c r="C3685" s="1" t="s">
        <v>674</v>
      </c>
      <c r="D3685" s="1" t="s">
        <v>29</v>
      </c>
      <c r="E3685" s="1" t="s">
        <v>37</v>
      </c>
      <c r="F3685">
        <v>1.84</v>
      </c>
      <c r="G3685">
        <v>3</v>
      </c>
      <c r="H3685" s="1" t="s">
        <v>14</v>
      </c>
      <c r="I3685" s="1" t="s">
        <v>15</v>
      </c>
      <c r="J3685" s="12">
        <v>45881</v>
      </c>
      <c r="K3685">
        <v>0</v>
      </c>
      <c r="L3685" s="1">
        <f t="shared" si="228"/>
        <v>5.5200000000000005</v>
      </c>
      <c r="M3685" s="1" t="str">
        <f t="shared" si="229"/>
        <v/>
      </c>
      <c r="N3685" s="2">
        <f t="shared" si="230"/>
        <v>45870</v>
      </c>
      <c r="O3685" t="str">
        <f t="shared" si="231"/>
        <v>mačka</v>
      </c>
    </row>
    <row r="3686" spans="1:15" x14ac:dyDescent="0.25">
      <c r="A3686">
        <v>11183</v>
      </c>
      <c r="B3686" s="11">
        <v>4057890123467</v>
      </c>
      <c r="C3686" s="1" t="s">
        <v>307</v>
      </c>
      <c r="D3686" s="1" t="s">
        <v>39</v>
      </c>
      <c r="E3686" s="1" t="s">
        <v>308</v>
      </c>
      <c r="F3686">
        <v>9.6</v>
      </c>
      <c r="G3686">
        <v>1</v>
      </c>
      <c r="H3686" s="1" t="s">
        <v>14</v>
      </c>
      <c r="I3686" s="1" t="s">
        <v>15</v>
      </c>
      <c r="J3686" s="12">
        <v>45881</v>
      </c>
      <c r="K3686">
        <v>0</v>
      </c>
      <c r="L3686" s="1">
        <f t="shared" si="228"/>
        <v>9.6</v>
      </c>
      <c r="M3686" s="1" t="str">
        <f t="shared" si="229"/>
        <v/>
      </c>
      <c r="N3686" s="2">
        <f t="shared" si="230"/>
        <v>45870</v>
      </c>
      <c r="O3686" t="str">
        <f t="shared" si="231"/>
        <v>pes</v>
      </c>
    </row>
    <row r="3687" spans="1:15" x14ac:dyDescent="0.25">
      <c r="A3687">
        <v>11184</v>
      </c>
      <c r="B3687" s="11">
        <v>4013456789017</v>
      </c>
      <c r="C3687" s="1" t="s">
        <v>11</v>
      </c>
      <c r="D3687" s="1" t="s">
        <v>12</v>
      </c>
      <c r="E3687" s="1" t="s">
        <v>13</v>
      </c>
      <c r="F3687">
        <v>6</v>
      </c>
      <c r="G3687">
        <v>2</v>
      </c>
      <c r="H3687" s="1" t="s">
        <v>18</v>
      </c>
      <c r="I3687" s="1" t="s">
        <v>702</v>
      </c>
      <c r="J3687" s="12">
        <v>45881</v>
      </c>
      <c r="K3687">
        <v>0</v>
      </c>
      <c r="L3687" s="1">
        <f t="shared" si="228"/>
        <v>12</v>
      </c>
      <c r="M3687" s="1">
        <f t="shared" si="229"/>
        <v>4</v>
      </c>
      <c r="N3687" s="2">
        <f t="shared" si="230"/>
        <v>45870</v>
      </c>
      <c r="O3687" t="str">
        <f t="shared" si="231"/>
        <v>pes</v>
      </c>
    </row>
    <row r="3688" spans="1:15" x14ac:dyDescent="0.25">
      <c r="A3688">
        <v>11185</v>
      </c>
      <c r="B3688" s="11">
        <v>4028899001126</v>
      </c>
      <c r="C3688" s="1" t="s">
        <v>16</v>
      </c>
      <c r="D3688" s="1" t="s">
        <v>12</v>
      </c>
      <c r="E3688" s="1" t="s">
        <v>17</v>
      </c>
      <c r="F3688">
        <v>2.8</v>
      </c>
      <c r="G3688">
        <v>2</v>
      </c>
      <c r="H3688" s="1" t="s">
        <v>14</v>
      </c>
      <c r="I3688" s="1" t="s">
        <v>15</v>
      </c>
      <c r="J3688" s="12">
        <v>45881</v>
      </c>
      <c r="K3688">
        <v>0</v>
      </c>
      <c r="L3688" s="1">
        <f t="shared" si="228"/>
        <v>5.6</v>
      </c>
      <c r="M3688" s="1" t="str">
        <f t="shared" si="229"/>
        <v/>
      </c>
      <c r="N3688" s="2">
        <f t="shared" si="230"/>
        <v>45870</v>
      </c>
      <c r="O3688" t="str">
        <f t="shared" si="231"/>
        <v>pes</v>
      </c>
    </row>
    <row r="3689" spans="1:15" x14ac:dyDescent="0.25">
      <c r="A3689">
        <v>11186</v>
      </c>
      <c r="B3689" s="11">
        <v>8599988776654</v>
      </c>
      <c r="C3689" s="1" t="s">
        <v>393</v>
      </c>
      <c r="D3689" s="1" t="s">
        <v>133</v>
      </c>
      <c r="E3689" s="1" t="s">
        <v>17</v>
      </c>
      <c r="F3689">
        <v>28</v>
      </c>
      <c r="G3689">
        <v>1</v>
      </c>
      <c r="H3689" s="1" t="s">
        <v>14</v>
      </c>
      <c r="I3689" s="1" t="s">
        <v>15</v>
      </c>
      <c r="J3689" s="12">
        <v>45881</v>
      </c>
      <c r="K3689">
        <v>0</v>
      </c>
      <c r="L3689" s="1">
        <f t="shared" si="228"/>
        <v>28</v>
      </c>
      <c r="M3689" s="1" t="str">
        <f t="shared" si="229"/>
        <v/>
      </c>
      <c r="N3689" s="2">
        <f t="shared" si="230"/>
        <v>45870</v>
      </c>
      <c r="O3689" t="str">
        <f t="shared" si="231"/>
        <v>pes</v>
      </c>
    </row>
    <row r="3690" spans="1:15" hidden="1" x14ac:dyDescent="0.25">
      <c r="A3690">
        <v>11187</v>
      </c>
      <c r="B3690" s="11">
        <v>4010123456783</v>
      </c>
      <c r="C3690" s="1" t="s">
        <v>35</v>
      </c>
      <c r="D3690" s="1" t="s">
        <v>36</v>
      </c>
      <c r="E3690" s="1" t="s">
        <v>37</v>
      </c>
      <c r="F3690">
        <v>14</v>
      </c>
      <c r="G3690">
        <v>1</v>
      </c>
      <c r="H3690" s="1" t="s">
        <v>23</v>
      </c>
      <c r="I3690" s="1" t="s">
        <v>703</v>
      </c>
      <c r="J3690" s="12">
        <v>45881</v>
      </c>
      <c r="K3690">
        <v>0</v>
      </c>
      <c r="L3690" s="1">
        <f t="shared" si="228"/>
        <v>14</v>
      </c>
      <c r="M3690" s="1">
        <f t="shared" si="229"/>
        <v>5</v>
      </c>
      <c r="N3690" s="2">
        <f t="shared" si="230"/>
        <v>45870</v>
      </c>
      <c r="O3690" t="str">
        <f t="shared" si="231"/>
        <v>mačka</v>
      </c>
    </row>
    <row r="3691" spans="1:15" x14ac:dyDescent="0.25">
      <c r="A3691">
        <v>11188</v>
      </c>
      <c r="B3691" s="11">
        <v>4024567890128</v>
      </c>
      <c r="C3691" s="1" t="s">
        <v>682</v>
      </c>
      <c r="D3691" s="1" t="s">
        <v>12</v>
      </c>
      <c r="E3691" s="1" t="s">
        <v>134</v>
      </c>
      <c r="F3691">
        <v>40</v>
      </c>
      <c r="G3691">
        <v>1</v>
      </c>
      <c r="H3691" s="1" t="s">
        <v>14</v>
      </c>
      <c r="I3691" s="1" t="s">
        <v>15</v>
      </c>
      <c r="J3691" s="12">
        <v>45881</v>
      </c>
      <c r="K3691">
        <v>0</v>
      </c>
      <c r="L3691" s="1">
        <f t="shared" si="228"/>
        <v>40</v>
      </c>
      <c r="M3691" s="1" t="str">
        <f t="shared" si="229"/>
        <v/>
      </c>
      <c r="N3691" s="2">
        <f t="shared" si="230"/>
        <v>45870</v>
      </c>
      <c r="O3691" t="str">
        <f t="shared" si="231"/>
        <v>pes</v>
      </c>
    </row>
    <row r="3692" spans="1:15" hidden="1" x14ac:dyDescent="0.25">
      <c r="A3692">
        <v>11189</v>
      </c>
      <c r="B3692" s="11">
        <v>5901234509876</v>
      </c>
      <c r="C3692" s="1" t="s">
        <v>685</v>
      </c>
      <c r="D3692" s="1" t="s">
        <v>29</v>
      </c>
      <c r="E3692" s="1" t="s">
        <v>42</v>
      </c>
      <c r="F3692">
        <v>40</v>
      </c>
      <c r="G3692">
        <v>1</v>
      </c>
      <c r="H3692" s="1" t="s">
        <v>14</v>
      </c>
      <c r="I3692" s="1" t="s">
        <v>15</v>
      </c>
      <c r="J3692" s="12">
        <v>45882</v>
      </c>
      <c r="K3692">
        <v>0</v>
      </c>
      <c r="L3692" s="1">
        <f t="shared" si="228"/>
        <v>40</v>
      </c>
      <c r="M3692" s="1" t="str">
        <f t="shared" si="229"/>
        <v/>
      </c>
      <c r="N3692" s="2">
        <f t="shared" si="230"/>
        <v>45870</v>
      </c>
      <c r="O3692" t="str">
        <f t="shared" si="231"/>
        <v>mačka</v>
      </c>
    </row>
    <row r="3693" spans="1:15" x14ac:dyDescent="0.25">
      <c r="A3693">
        <v>11190</v>
      </c>
      <c r="B3693" s="11">
        <v>4046789012356</v>
      </c>
      <c r="C3693" s="1" t="s">
        <v>304</v>
      </c>
      <c r="D3693" s="1" t="s">
        <v>39</v>
      </c>
      <c r="E3693" s="1" t="s">
        <v>61</v>
      </c>
      <c r="F3693">
        <v>6.4</v>
      </c>
      <c r="G3693">
        <v>1</v>
      </c>
      <c r="H3693" s="1" t="s">
        <v>18</v>
      </c>
      <c r="I3693" s="1" t="s">
        <v>704</v>
      </c>
      <c r="J3693" s="12">
        <v>45882</v>
      </c>
      <c r="K3693">
        <v>0</v>
      </c>
      <c r="L3693" s="1">
        <f t="shared" si="228"/>
        <v>6.4</v>
      </c>
      <c r="M3693" s="1">
        <f t="shared" si="229"/>
        <v>4</v>
      </c>
      <c r="N3693" s="2">
        <f t="shared" si="230"/>
        <v>45870</v>
      </c>
      <c r="O3693" t="str">
        <f t="shared" si="231"/>
        <v>pes</v>
      </c>
    </row>
    <row r="3694" spans="1:15" x14ac:dyDescent="0.25">
      <c r="A3694">
        <v>11191</v>
      </c>
      <c r="B3694" s="11">
        <v>4017890123450</v>
      </c>
      <c r="C3694" s="1" t="s">
        <v>65</v>
      </c>
      <c r="D3694" s="1" t="s">
        <v>39</v>
      </c>
      <c r="E3694" s="1" t="s">
        <v>22</v>
      </c>
      <c r="F3694">
        <v>7.6</v>
      </c>
      <c r="G3694">
        <v>1</v>
      </c>
      <c r="H3694" s="1" t="s">
        <v>14</v>
      </c>
      <c r="I3694" s="1" t="s">
        <v>15</v>
      </c>
      <c r="J3694" s="12">
        <v>45882</v>
      </c>
      <c r="K3694">
        <v>0</v>
      </c>
      <c r="L3694" s="1">
        <f t="shared" si="228"/>
        <v>7.6</v>
      </c>
      <c r="M3694" s="1" t="str">
        <f t="shared" si="229"/>
        <v/>
      </c>
      <c r="N3694" s="2">
        <f t="shared" si="230"/>
        <v>45870</v>
      </c>
      <c r="O3694" t="str">
        <f t="shared" si="231"/>
        <v>pes</v>
      </c>
    </row>
    <row r="3695" spans="1:15" hidden="1" x14ac:dyDescent="0.25">
      <c r="A3695">
        <v>11192</v>
      </c>
      <c r="B3695" s="11">
        <v>5901122334452</v>
      </c>
      <c r="C3695" s="1" t="s">
        <v>647</v>
      </c>
      <c r="D3695" s="1" t="s">
        <v>317</v>
      </c>
      <c r="E3695" s="1" t="s">
        <v>648</v>
      </c>
      <c r="F3695">
        <v>12</v>
      </c>
      <c r="G3695">
        <v>1</v>
      </c>
      <c r="H3695" s="1" t="s">
        <v>14</v>
      </c>
      <c r="I3695" s="1" t="s">
        <v>15</v>
      </c>
      <c r="J3695" s="12">
        <v>45882</v>
      </c>
      <c r="K3695">
        <v>0</v>
      </c>
      <c r="L3695" s="1">
        <f t="shared" si="228"/>
        <v>12</v>
      </c>
      <c r="M3695" s="1" t="str">
        <f t="shared" si="229"/>
        <v/>
      </c>
      <c r="N3695" s="2">
        <f t="shared" si="230"/>
        <v>45870</v>
      </c>
      <c r="O3695" t="str">
        <f t="shared" si="231"/>
        <v>mačka</v>
      </c>
    </row>
    <row r="3696" spans="1:15" x14ac:dyDescent="0.25">
      <c r="A3696">
        <v>11193</v>
      </c>
      <c r="B3696" s="11">
        <v>4027788990013</v>
      </c>
      <c r="C3696" s="1" t="s">
        <v>43</v>
      </c>
      <c r="D3696" s="1" t="s">
        <v>21</v>
      </c>
      <c r="E3696" s="1" t="s">
        <v>22</v>
      </c>
      <c r="F3696">
        <v>8</v>
      </c>
      <c r="G3696">
        <v>1</v>
      </c>
      <c r="H3696" s="1" t="s">
        <v>18</v>
      </c>
      <c r="I3696" s="1" t="s">
        <v>705</v>
      </c>
      <c r="J3696" s="12">
        <v>45882</v>
      </c>
      <c r="K3696">
        <v>0</v>
      </c>
      <c r="L3696" s="1">
        <f t="shared" si="228"/>
        <v>8</v>
      </c>
      <c r="M3696" s="1">
        <f t="shared" si="229"/>
        <v>4</v>
      </c>
      <c r="N3696" s="2">
        <f t="shared" si="230"/>
        <v>45870</v>
      </c>
      <c r="O3696" t="str">
        <f t="shared" si="231"/>
        <v>pes</v>
      </c>
    </row>
    <row r="3697" spans="1:15" x14ac:dyDescent="0.25">
      <c r="A3697">
        <v>11194</v>
      </c>
      <c r="B3697" s="11">
        <v>4028899001126</v>
      </c>
      <c r="C3697" s="1" t="s">
        <v>16</v>
      </c>
      <c r="D3697" s="1" t="s">
        <v>12</v>
      </c>
      <c r="E3697" s="1" t="s">
        <v>17</v>
      </c>
      <c r="F3697">
        <v>2.8</v>
      </c>
      <c r="G3697">
        <v>3</v>
      </c>
      <c r="H3697" s="1" t="s">
        <v>14</v>
      </c>
      <c r="I3697" s="1" t="s">
        <v>15</v>
      </c>
      <c r="J3697" s="12">
        <v>45882</v>
      </c>
      <c r="K3697">
        <v>0</v>
      </c>
      <c r="L3697" s="1">
        <f t="shared" si="228"/>
        <v>8.3999999999999986</v>
      </c>
      <c r="M3697" s="1" t="str">
        <f t="shared" si="229"/>
        <v/>
      </c>
      <c r="N3697" s="2">
        <f t="shared" si="230"/>
        <v>45870</v>
      </c>
      <c r="O3697" t="str">
        <f t="shared" si="231"/>
        <v>pes</v>
      </c>
    </row>
    <row r="3698" spans="1:15" x14ac:dyDescent="0.25">
      <c r="A3698">
        <v>11195</v>
      </c>
      <c r="B3698" s="11">
        <v>4013456789017</v>
      </c>
      <c r="C3698" s="1" t="s">
        <v>11</v>
      </c>
      <c r="D3698" s="1" t="s">
        <v>12</v>
      </c>
      <c r="E3698" s="1" t="s">
        <v>13</v>
      </c>
      <c r="F3698">
        <v>6</v>
      </c>
      <c r="G3698">
        <v>1</v>
      </c>
      <c r="H3698" s="1" t="s">
        <v>14</v>
      </c>
      <c r="I3698" s="1" t="s">
        <v>15</v>
      </c>
      <c r="J3698" s="12">
        <v>45882</v>
      </c>
      <c r="K3698">
        <v>0</v>
      </c>
      <c r="L3698" s="1">
        <f t="shared" si="228"/>
        <v>6</v>
      </c>
      <c r="M3698" s="1" t="str">
        <f t="shared" si="229"/>
        <v/>
      </c>
      <c r="N3698" s="2">
        <f t="shared" si="230"/>
        <v>45870</v>
      </c>
      <c r="O3698" t="str">
        <f t="shared" si="231"/>
        <v>pes</v>
      </c>
    </row>
    <row r="3699" spans="1:15" hidden="1" x14ac:dyDescent="0.25">
      <c r="A3699">
        <v>11196</v>
      </c>
      <c r="B3699" s="11">
        <v>4042233445567</v>
      </c>
      <c r="C3699" s="1" t="s">
        <v>637</v>
      </c>
      <c r="D3699" s="1" t="s">
        <v>140</v>
      </c>
      <c r="E3699" s="1" t="s">
        <v>141</v>
      </c>
      <c r="F3699">
        <v>51.64</v>
      </c>
      <c r="G3699">
        <v>1</v>
      </c>
      <c r="H3699" s="1" t="s">
        <v>14</v>
      </c>
      <c r="I3699" s="1" t="s">
        <v>15</v>
      </c>
      <c r="J3699" s="12">
        <v>45882</v>
      </c>
      <c r="K3699">
        <v>0</v>
      </c>
      <c r="L3699" s="1">
        <f t="shared" si="228"/>
        <v>51.64</v>
      </c>
      <c r="M3699" s="1" t="str">
        <f t="shared" si="229"/>
        <v/>
      </c>
      <c r="N3699" s="2">
        <f t="shared" si="230"/>
        <v>45870</v>
      </c>
      <c r="O3699" t="str">
        <f t="shared" si="231"/>
        <v>mačka</v>
      </c>
    </row>
    <row r="3700" spans="1:15" hidden="1" x14ac:dyDescent="0.25">
      <c r="A3700">
        <v>11197</v>
      </c>
      <c r="B3700" s="11">
        <v>8595566778890</v>
      </c>
      <c r="C3700" s="1" t="s">
        <v>681</v>
      </c>
      <c r="D3700" s="1" t="s">
        <v>29</v>
      </c>
      <c r="E3700" s="1" t="s">
        <v>37</v>
      </c>
      <c r="F3700">
        <v>38</v>
      </c>
      <c r="G3700">
        <v>1</v>
      </c>
      <c r="H3700" s="1" t="s">
        <v>23</v>
      </c>
      <c r="I3700" s="1" t="s">
        <v>706</v>
      </c>
      <c r="J3700" s="12">
        <v>45882</v>
      </c>
      <c r="K3700">
        <v>0</v>
      </c>
      <c r="L3700" s="1">
        <f t="shared" si="228"/>
        <v>38</v>
      </c>
      <c r="M3700" s="1">
        <f t="shared" si="229"/>
        <v>5</v>
      </c>
      <c r="N3700" s="2">
        <f t="shared" si="230"/>
        <v>45870</v>
      </c>
      <c r="O3700" t="str">
        <f t="shared" si="231"/>
        <v>mačka</v>
      </c>
    </row>
    <row r="3701" spans="1:15" hidden="1" x14ac:dyDescent="0.25">
      <c r="A3701">
        <v>11198</v>
      </c>
      <c r="B3701" s="11">
        <v>4025678901239</v>
      </c>
      <c r="C3701" s="1" t="s">
        <v>659</v>
      </c>
      <c r="D3701" s="1" t="s">
        <v>267</v>
      </c>
      <c r="E3701" s="1" t="s">
        <v>58</v>
      </c>
      <c r="F3701">
        <v>10</v>
      </c>
      <c r="G3701">
        <v>1</v>
      </c>
      <c r="H3701" s="1" t="s">
        <v>14</v>
      </c>
      <c r="I3701" s="1" t="s">
        <v>15</v>
      </c>
      <c r="J3701" s="12">
        <v>45882</v>
      </c>
      <c r="K3701">
        <v>0</v>
      </c>
      <c r="L3701" s="1">
        <f t="shared" si="228"/>
        <v>10</v>
      </c>
      <c r="M3701" s="1" t="str">
        <f t="shared" si="229"/>
        <v/>
      </c>
      <c r="N3701" s="2">
        <f t="shared" si="230"/>
        <v>45870</v>
      </c>
      <c r="O3701" t="str">
        <f t="shared" si="231"/>
        <v>mačka</v>
      </c>
    </row>
    <row r="3702" spans="1:15" x14ac:dyDescent="0.25">
      <c r="A3702">
        <v>11199</v>
      </c>
      <c r="B3702" s="11">
        <v>4063456789014</v>
      </c>
      <c r="C3702" s="1" t="s">
        <v>60</v>
      </c>
      <c r="D3702" s="1" t="s">
        <v>12</v>
      </c>
      <c r="E3702" s="1" t="s">
        <v>61</v>
      </c>
      <c r="F3702">
        <v>36</v>
      </c>
      <c r="G3702">
        <v>1</v>
      </c>
      <c r="H3702" s="1" t="s">
        <v>14</v>
      </c>
      <c r="I3702" s="1" t="s">
        <v>15</v>
      </c>
      <c r="J3702" s="12">
        <v>45882</v>
      </c>
      <c r="K3702">
        <v>0</v>
      </c>
      <c r="L3702" s="1">
        <f t="shared" si="228"/>
        <v>36</v>
      </c>
      <c r="M3702" s="1" t="str">
        <f t="shared" si="229"/>
        <v/>
      </c>
      <c r="N3702" s="2">
        <f t="shared" si="230"/>
        <v>45870</v>
      </c>
      <c r="O3702" t="str">
        <f t="shared" si="231"/>
        <v>pes</v>
      </c>
    </row>
    <row r="3703" spans="1:15" hidden="1" x14ac:dyDescent="0.25">
      <c r="A3703">
        <v>11199</v>
      </c>
      <c r="B3703" s="11">
        <v>4021234567894</v>
      </c>
      <c r="C3703" s="1" t="s">
        <v>79</v>
      </c>
      <c r="D3703" s="1" t="s">
        <v>36</v>
      </c>
      <c r="E3703" s="1" t="s">
        <v>69</v>
      </c>
      <c r="F3703">
        <v>8</v>
      </c>
      <c r="G3703">
        <v>1</v>
      </c>
      <c r="H3703" s="1" t="s">
        <v>14</v>
      </c>
      <c r="I3703" s="1" t="s">
        <v>15</v>
      </c>
      <c r="J3703" s="12">
        <v>45882</v>
      </c>
      <c r="K3703">
        <v>0</v>
      </c>
      <c r="L3703" s="1">
        <f t="shared" si="228"/>
        <v>8</v>
      </c>
      <c r="M3703" s="1" t="str">
        <f t="shared" si="229"/>
        <v/>
      </c>
      <c r="N3703" s="2">
        <f t="shared" si="230"/>
        <v>45870</v>
      </c>
      <c r="O3703" t="str">
        <f t="shared" si="231"/>
        <v>mačka</v>
      </c>
    </row>
    <row r="3704" spans="1:15" hidden="1" x14ac:dyDescent="0.25">
      <c r="A3704">
        <v>11200</v>
      </c>
      <c r="B3704" s="11">
        <v>4010123456783</v>
      </c>
      <c r="C3704" s="1" t="s">
        <v>35</v>
      </c>
      <c r="D3704" s="1" t="s">
        <v>36</v>
      </c>
      <c r="E3704" s="1" t="s">
        <v>37</v>
      </c>
      <c r="F3704">
        <v>14</v>
      </c>
      <c r="G3704">
        <v>1</v>
      </c>
      <c r="H3704" s="1" t="s">
        <v>18</v>
      </c>
      <c r="I3704" s="1" t="s">
        <v>707</v>
      </c>
      <c r="J3704" s="12">
        <v>45882</v>
      </c>
      <c r="K3704">
        <v>0</v>
      </c>
      <c r="L3704" s="1">
        <f t="shared" si="228"/>
        <v>14</v>
      </c>
      <c r="M3704" s="1">
        <f t="shared" si="229"/>
        <v>4</v>
      </c>
      <c r="N3704" s="2">
        <f t="shared" si="230"/>
        <v>45870</v>
      </c>
      <c r="O3704" t="str">
        <f t="shared" si="231"/>
        <v>mačka</v>
      </c>
    </row>
    <row r="3705" spans="1:15" x14ac:dyDescent="0.25">
      <c r="A3705">
        <v>11201</v>
      </c>
      <c r="B3705" s="11">
        <v>4017890123450</v>
      </c>
      <c r="C3705" s="1" t="s">
        <v>65</v>
      </c>
      <c r="D3705" s="1" t="s">
        <v>39</v>
      </c>
      <c r="E3705" s="1" t="s">
        <v>22</v>
      </c>
      <c r="F3705">
        <v>7.6</v>
      </c>
      <c r="G3705">
        <v>1</v>
      </c>
      <c r="H3705" s="1" t="s">
        <v>14</v>
      </c>
      <c r="I3705" s="1" t="s">
        <v>15</v>
      </c>
      <c r="J3705" s="12">
        <v>45883</v>
      </c>
      <c r="K3705">
        <v>0</v>
      </c>
      <c r="L3705" s="1">
        <f t="shared" si="228"/>
        <v>7.6</v>
      </c>
      <c r="M3705" s="1" t="str">
        <f t="shared" si="229"/>
        <v/>
      </c>
      <c r="N3705" s="2">
        <f t="shared" si="230"/>
        <v>45870</v>
      </c>
      <c r="O3705" t="str">
        <f t="shared" si="231"/>
        <v>pes</v>
      </c>
    </row>
    <row r="3706" spans="1:15" hidden="1" x14ac:dyDescent="0.25">
      <c r="A3706">
        <v>11202</v>
      </c>
      <c r="B3706" s="11">
        <v>4050123456794</v>
      </c>
      <c r="C3706" s="1" t="s">
        <v>41</v>
      </c>
      <c r="D3706" s="1" t="s">
        <v>36</v>
      </c>
      <c r="E3706" s="1" t="s">
        <v>42</v>
      </c>
      <c r="F3706">
        <v>7.2</v>
      </c>
      <c r="G3706">
        <v>1</v>
      </c>
      <c r="H3706" s="1" t="s">
        <v>14</v>
      </c>
      <c r="I3706" s="1" t="s">
        <v>15</v>
      </c>
      <c r="J3706" s="12">
        <v>45883</v>
      </c>
      <c r="K3706">
        <v>0</v>
      </c>
      <c r="L3706" s="1">
        <f t="shared" si="228"/>
        <v>7.2</v>
      </c>
      <c r="M3706" s="1" t="str">
        <f t="shared" si="229"/>
        <v/>
      </c>
      <c r="N3706" s="2">
        <f t="shared" si="230"/>
        <v>45870</v>
      </c>
      <c r="O3706" t="str">
        <f t="shared" si="231"/>
        <v>mačka</v>
      </c>
    </row>
    <row r="3707" spans="1:15" x14ac:dyDescent="0.25">
      <c r="A3707">
        <v>11203</v>
      </c>
      <c r="B3707" s="11">
        <v>4003344556679</v>
      </c>
      <c r="C3707" s="1" t="s">
        <v>132</v>
      </c>
      <c r="D3707" s="1" t="s">
        <v>133</v>
      </c>
      <c r="E3707" s="1" t="s">
        <v>134</v>
      </c>
      <c r="F3707">
        <v>51.64</v>
      </c>
      <c r="G3707">
        <v>1</v>
      </c>
      <c r="H3707" s="1" t="s">
        <v>23</v>
      </c>
      <c r="I3707" s="1" t="s">
        <v>708</v>
      </c>
      <c r="J3707" s="12">
        <v>45883</v>
      </c>
      <c r="K3707">
        <v>0</v>
      </c>
      <c r="L3707" s="1">
        <f t="shared" si="228"/>
        <v>51.64</v>
      </c>
      <c r="M3707" s="1">
        <f t="shared" si="229"/>
        <v>5</v>
      </c>
      <c r="N3707" s="2">
        <f t="shared" si="230"/>
        <v>45870</v>
      </c>
      <c r="O3707" t="str">
        <f t="shared" si="231"/>
        <v>pes</v>
      </c>
    </row>
    <row r="3708" spans="1:15" hidden="1" x14ac:dyDescent="0.25">
      <c r="A3708">
        <v>11204</v>
      </c>
      <c r="B3708" s="11">
        <v>5903344556670</v>
      </c>
      <c r="C3708" s="1" t="s">
        <v>638</v>
      </c>
      <c r="D3708" s="1" t="s">
        <v>140</v>
      </c>
      <c r="E3708" s="1" t="s">
        <v>30</v>
      </c>
      <c r="F3708">
        <v>75.64</v>
      </c>
      <c r="G3708">
        <v>1</v>
      </c>
      <c r="H3708" s="1" t="s">
        <v>14</v>
      </c>
      <c r="I3708" s="1" t="s">
        <v>15</v>
      </c>
      <c r="J3708" s="12">
        <v>45883</v>
      </c>
      <c r="K3708">
        <v>0</v>
      </c>
      <c r="L3708" s="1">
        <f t="shared" si="228"/>
        <v>75.64</v>
      </c>
      <c r="M3708" s="1" t="str">
        <f t="shared" si="229"/>
        <v/>
      </c>
      <c r="N3708" s="2">
        <f t="shared" si="230"/>
        <v>45870</v>
      </c>
      <c r="O3708" t="str">
        <f t="shared" si="231"/>
        <v>mačka</v>
      </c>
    </row>
    <row r="3709" spans="1:15" x14ac:dyDescent="0.25">
      <c r="A3709">
        <v>11205</v>
      </c>
      <c r="B3709" s="11">
        <v>4024567890128</v>
      </c>
      <c r="C3709" s="1" t="s">
        <v>682</v>
      </c>
      <c r="D3709" s="1" t="s">
        <v>12</v>
      </c>
      <c r="E3709" s="1" t="s">
        <v>134</v>
      </c>
      <c r="F3709">
        <v>40</v>
      </c>
      <c r="G3709">
        <v>1</v>
      </c>
      <c r="H3709" s="1" t="s">
        <v>14</v>
      </c>
      <c r="I3709" s="1" t="s">
        <v>15</v>
      </c>
      <c r="J3709" s="12">
        <v>45883</v>
      </c>
      <c r="K3709">
        <v>0</v>
      </c>
      <c r="L3709" s="1">
        <f t="shared" si="228"/>
        <v>40</v>
      </c>
      <c r="M3709" s="1" t="str">
        <f t="shared" si="229"/>
        <v/>
      </c>
      <c r="N3709" s="2">
        <f t="shared" si="230"/>
        <v>45870</v>
      </c>
      <c r="O3709" t="str">
        <f t="shared" si="231"/>
        <v>pes</v>
      </c>
    </row>
    <row r="3710" spans="1:15" hidden="1" x14ac:dyDescent="0.25">
      <c r="A3710">
        <v>11206</v>
      </c>
      <c r="B3710" s="11">
        <v>4010123456783</v>
      </c>
      <c r="C3710" s="1" t="s">
        <v>35</v>
      </c>
      <c r="D3710" s="1" t="s">
        <v>36</v>
      </c>
      <c r="E3710" s="1" t="s">
        <v>37</v>
      </c>
      <c r="F3710">
        <v>14</v>
      </c>
      <c r="G3710">
        <v>1</v>
      </c>
      <c r="H3710" s="1" t="s">
        <v>14</v>
      </c>
      <c r="I3710" s="1" t="s">
        <v>15</v>
      </c>
      <c r="J3710" s="12">
        <v>45883</v>
      </c>
      <c r="K3710">
        <v>0</v>
      </c>
      <c r="L3710" s="1">
        <f t="shared" si="228"/>
        <v>14</v>
      </c>
      <c r="M3710" s="1" t="str">
        <f t="shared" si="229"/>
        <v/>
      </c>
      <c r="N3710" s="2">
        <f t="shared" si="230"/>
        <v>45870</v>
      </c>
      <c r="O3710" t="str">
        <f t="shared" si="231"/>
        <v>mačka</v>
      </c>
    </row>
    <row r="3711" spans="1:15" x14ac:dyDescent="0.25">
      <c r="A3711">
        <v>11207</v>
      </c>
      <c r="B3711" s="11">
        <v>4028899001126</v>
      </c>
      <c r="C3711" s="1" t="s">
        <v>16</v>
      </c>
      <c r="D3711" s="1" t="s">
        <v>12</v>
      </c>
      <c r="E3711" s="1" t="s">
        <v>17</v>
      </c>
      <c r="F3711">
        <v>2.8</v>
      </c>
      <c r="G3711">
        <v>2</v>
      </c>
      <c r="H3711" s="1" t="s">
        <v>18</v>
      </c>
      <c r="I3711" s="1" t="s">
        <v>709</v>
      </c>
      <c r="J3711" s="12">
        <v>45883</v>
      </c>
      <c r="K3711">
        <v>0</v>
      </c>
      <c r="L3711" s="1">
        <f t="shared" si="228"/>
        <v>5.6</v>
      </c>
      <c r="M3711" s="1">
        <f t="shared" si="229"/>
        <v>4</v>
      </c>
      <c r="N3711" s="2">
        <f t="shared" si="230"/>
        <v>45870</v>
      </c>
      <c r="O3711" t="str">
        <f t="shared" si="231"/>
        <v>pes</v>
      </c>
    </row>
    <row r="3712" spans="1:15" x14ac:dyDescent="0.25">
      <c r="A3712">
        <v>11208</v>
      </c>
      <c r="B3712" s="11">
        <v>4013456789017</v>
      </c>
      <c r="C3712" s="1" t="s">
        <v>11</v>
      </c>
      <c r="D3712" s="1" t="s">
        <v>12</v>
      </c>
      <c r="E3712" s="1" t="s">
        <v>13</v>
      </c>
      <c r="F3712">
        <v>6</v>
      </c>
      <c r="G3712">
        <v>2</v>
      </c>
      <c r="H3712" s="1" t="s">
        <v>14</v>
      </c>
      <c r="I3712" s="1" t="s">
        <v>15</v>
      </c>
      <c r="J3712" s="12">
        <v>45883</v>
      </c>
      <c r="K3712">
        <v>0</v>
      </c>
      <c r="L3712" s="1">
        <f t="shared" si="228"/>
        <v>12</v>
      </c>
      <c r="M3712" s="1" t="str">
        <f t="shared" si="229"/>
        <v/>
      </c>
      <c r="N3712" s="2">
        <f t="shared" si="230"/>
        <v>45870</v>
      </c>
      <c r="O3712" t="str">
        <f t="shared" si="231"/>
        <v>pes</v>
      </c>
    </row>
    <row r="3713" spans="1:15" hidden="1" x14ac:dyDescent="0.25">
      <c r="A3713">
        <v>11209</v>
      </c>
      <c r="B3713" s="11">
        <v>4001234567893</v>
      </c>
      <c r="C3713" s="1" t="s">
        <v>31</v>
      </c>
      <c r="D3713" s="1" t="s">
        <v>29</v>
      </c>
      <c r="E3713" s="1" t="s">
        <v>32</v>
      </c>
      <c r="F3713">
        <v>9.1999999999999993</v>
      </c>
      <c r="G3713">
        <v>1</v>
      </c>
      <c r="H3713" s="1" t="s">
        <v>14</v>
      </c>
      <c r="I3713" s="1" t="s">
        <v>15</v>
      </c>
      <c r="J3713" s="12">
        <v>45883</v>
      </c>
      <c r="K3713">
        <v>0</v>
      </c>
      <c r="L3713" s="1">
        <f t="shared" si="228"/>
        <v>9.1999999999999993</v>
      </c>
      <c r="M3713" s="1" t="str">
        <f t="shared" si="229"/>
        <v/>
      </c>
      <c r="N3713" s="2">
        <f t="shared" si="230"/>
        <v>45870</v>
      </c>
      <c r="O3713" t="str">
        <f t="shared" si="231"/>
        <v>mačka</v>
      </c>
    </row>
    <row r="3714" spans="1:15" hidden="1" x14ac:dyDescent="0.25">
      <c r="A3714">
        <v>11210</v>
      </c>
      <c r="B3714" s="11">
        <v>5901234509876</v>
      </c>
      <c r="C3714" s="1" t="s">
        <v>685</v>
      </c>
      <c r="D3714" s="1" t="s">
        <v>29</v>
      </c>
      <c r="E3714" s="1" t="s">
        <v>42</v>
      </c>
      <c r="F3714">
        <v>40</v>
      </c>
      <c r="G3714">
        <v>1</v>
      </c>
      <c r="H3714" s="1" t="s">
        <v>23</v>
      </c>
      <c r="I3714" s="1" t="s">
        <v>710</v>
      </c>
      <c r="J3714" s="12">
        <v>45883</v>
      </c>
      <c r="K3714">
        <v>0</v>
      </c>
      <c r="L3714" s="1">
        <f t="shared" ref="L3714:L3777" si="232">F3714*G3714</f>
        <v>40</v>
      </c>
      <c r="M3714" s="1">
        <f t="shared" ref="M3714:M3777" si="233">IF(H3714="NULL", "",VALUE(H3714))</f>
        <v>5</v>
      </c>
      <c r="N3714" s="2">
        <f t="shared" ref="N3714:N3777" si="234">DATE(YEAR(J3714),MONTH(J3714),1)</f>
        <v>45870</v>
      </c>
      <c r="O3714" t="str">
        <f t="shared" ref="O3714:O3777" si="235">IF(ISNUMBER(SEARCH("Mačky",D3714)),"mačka",IF(ISNUMBER(SEARCH("Psy",D3714)),"pes","iné"))</f>
        <v>mačka</v>
      </c>
    </row>
    <row r="3715" spans="1:15" x14ac:dyDescent="0.25">
      <c r="A3715">
        <v>11211</v>
      </c>
      <c r="B3715" s="11">
        <v>4046789012356</v>
      </c>
      <c r="C3715" s="1" t="s">
        <v>304</v>
      </c>
      <c r="D3715" s="1" t="s">
        <v>39</v>
      </c>
      <c r="E3715" s="1" t="s">
        <v>61</v>
      </c>
      <c r="F3715">
        <v>6.4</v>
      </c>
      <c r="G3715">
        <v>1</v>
      </c>
      <c r="H3715" s="1" t="s">
        <v>14</v>
      </c>
      <c r="I3715" s="1" t="s">
        <v>15</v>
      </c>
      <c r="J3715" s="12">
        <v>45883</v>
      </c>
      <c r="K3715">
        <v>0</v>
      </c>
      <c r="L3715" s="1">
        <f t="shared" si="232"/>
        <v>6.4</v>
      </c>
      <c r="M3715" s="1" t="str">
        <f t="shared" si="233"/>
        <v/>
      </c>
      <c r="N3715" s="2">
        <f t="shared" si="234"/>
        <v>45870</v>
      </c>
      <c r="O3715" t="str">
        <f t="shared" si="235"/>
        <v>pes</v>
      </c>
    </row>
    <row r="3716" spans="1:15" hidden="1" x14ac:dyDescent="0.25">
      <c r="A3716">
        <v>11212</v>
      </c>
      <c r="B3716" s="11">
        <v>4025678901239</v>
      </c>
      <c r="C3716" s="1" t="s">
        <v>659</v>
      </c>
      <c r="D3716" s="1" t="s">
        <v>267</v>
      </c>
      <c r="E3716" s="1" t="s">
        <v>58</v>
      </c>
      <c r="F3716">
        <v>10</v>
      </c>
      <c r="G3716">
        <v>1</v>
      </c>
      <c r="H3716" s="1" t="s">
        <v>14</v>
      </c>
      <c r="I3716" s="1" t="s">
        <v>15</v>
      </c>
      <c r="J3716" s="12">
        <v>45883</v>
      </c>
      <c r="K3716">
        <v>0</v>
      </c>
      <c r="L3716" s="1">
        <f t="shared" si="232"/>
        <v>10</v>
      </c>
      <c r="M3716" s="1" t="str">
        <f t="shared" si="233"/>
        <v/>
      </c>
      <c r="N3716" s="2">
        <f t="shared" si="234"/>
        <v>45870</v>
      </c>
      <c r="O3716" t="str">
        <f t="shared" si="235"/>
        <v>mačka</v>
      </c>
    </row>
    <row r="3717" spans="1:15" hidden="1" x14ac:dyDescent="0.25">
      <c r="A3717">
        <v>11213</v>
      </c>
      <c r="B3717" s="11">
        <v>4019876501234</v>
      </c>
      <c r="C3717" s="1" t="s">
        <v>674</v>
      </c>
      <c r="D3717" s="1" t="s">
        <v>29</v>
      </c>
      <c r="E3717" s="1" t="s">
        <v>37</v>
      </c>
      <c r="F3717">
        <v>1.84</v>
      </c>
      <c r="G3717">
        <v>2</v>
      </c>
      <c r="H3717" s="1" t="s">
        <v>14</v>
      </c>
      <c r="I3717" s="1" t="s">
        <v>15</v>
      </c>
      <c r="J3717" s="12">
        <v>45883</v>
      </c>
      <c r="K3717">
        <v>0</v>
      </c>
      <c r="L3717" s="1">
        <f t="shared" si="232"/>
        <v>3.68</v>
      </c>
      <c r="M3717" s="1" t="str">
        <f t="shared" si="233"/>
        <v/>
      </c>
      <c r="N3717" s="2">
        <f t="shared" si="234"/>
        <v>45870</v>
      </c>
      <c r="O3717" t="str">
        <f t="shared" si="235"/>
        <v>mačka</v>
      </c>
    </row>
    <row r="3718" spans="1:15" x14ac:dyDescent="0.25">
      <c r="A3718">
        <v>11214</v>
      </c>
      <c r="B3718" s="11">
        <v>4063456789014</v>
      </c>
      <c r="C3718" s="1" t="s">
        <v>60</v>
      </c>
      <c r="D3718" s="1" t="s">
        <v>12</v>
      </c>
      <c r="E3718" s="1" t="s">
        <v>61</v>
      </c>
      <c r="F3718">
        <v>36</v>
      </c>
      <c r="G3718">
        <v>1</v>
      </c>
      <c r="H3718" s="1" t="s">
        <v>23</v>
      </c>
      <c r="I3718" s="1" t="s">
        <v>711</v>
      </c>
      <c r="J3718" s="12">
        <v>45883</v>
      </c>
      <c r="K3718">
        <v>0</v>
      </c>
      <c r="L3718" s="1">
        <f t="shared" si="232"/>
        <v>36</v>
      </c>
      <c r="M3718" s="1">
        <f t="shared" si="233"/>
        <v>5</v>
      </c>
      <c r="N3718" s="2">
        <f t="shared" si="234"/>
        <v>45870</v>
      </c>
      <c r="O3718" t="str">
        <f t="shared" si="235"/>
        <v>pes</v>
      </c>
    </row>
    <row r="3719" spans="1:15" hidden="1" x14ac:dyDescent="0.25">
      <c r="A3719">
        <v>11215</v>
      </c>
      <c r="B3719" s="11">
        <v>5901122334452</v>
      </c>
      <c r="C3719" s="1" t="s">
        <v>647</v>
      </c>
      <c r="D3719" s="1" t="s">
        <v>317</v>
      </c>
      <c r="E3719" s="1" t="s">
        <v>648</v>
      </c>
      <c r="F3719">
        <v>12</v>
      </c>
      <c r="G3719">
        <v>1</v>
      </c>
      <c r="H3719" s="1" t="s">
        <v>14</v>
      </c>
      <c r="I3719" s="1" t="s">
        <v>15</v>
      </c>
      <c r="J3719" s="12">
        <v>45884</v>
      </c>
      <c r="K3719">
        <v>0</v>
      </c>
      <c r="L3719" s="1">
        <f t="shared" si="232"/>
        <v>12</v>
      </c>
      <c r="M3719" s="1" t="str">
        <f t="shared" si="233"/>
        <v/>
      </c>
      <c r="N3719" s="2">
        <f t="shared" si="234"/>
        <v>45870</v>
      </c>
      <c r="O3719" t="str">
        <f t="shared" si="235"/>
        <v>mačka</v>
      </c>
    </row>
    <row r="3720" spans="1:15" x14ac:dyDescent="0.25">
      <c r="A3720">
        <v>11216</v>
      </c>
      <c r="B3720" s="11">
        <v>4027788990013</v>
      </c>
      <c r="C3720" s="1" t="s">
        <v>43</v>
      </c>
      <c r="D3720" s="1" t="s">
        <v>21</v>
      </c>
      <c r="E3720" s="1" t="s">
        <v>22</v>
      </c>
      <c r="F3720">
        <v>8</v>
      </c>
      <c r="G3720">
        <v>1</v>
      </c>
      <c r="H3720" s="1" t="s">
        <v>14</v>
      </c>
      <c r="I3720" s="1" t="s">
        <v>15</v>
      </c>
      <c r="J3720" s="12">
        <v>45884</v>
      </c>
      <c r="K3720">
        <v>0</v>
      </c>
      <c r="L3720" s="1">
        <f t="shared" si="232"/>
        <v>8</v>
      </c>
      <c r="M3720" s="1" t="str">
        <f t="shared" si="233"/>
        <v/>
      </c>
      <c r="N3720" s="2">
        <f t="shared" si="234"/>
        <v>45870</v>
      </c>
      <c r="O3720" t="str">
        <f t="shared" si="235"/>
        <v>pes</v>
      </c>
    </row>
    <row r="3721" spans="1:15" hidden="1" x14ac:dyDescent="0.25">
      <c r="A3721">
        <v>11217</v>
      </c>
      <c r="B3721" s="11">
        <v>4010123456783</v>
      </c>
      <c r="C3721" s="1" t="s">
        <v>35</v>
      </c>
      <c r="D3721" s="1" t="s">
        <v>36</v>
      </c>
      <c r="E3721" s="1" t="s">
        <v>37</v>
      </c>
      <c r="F3721">
        <v>14</v>
      </c>
      <c r="G3721">
        <v>1</v>
      </c>
      <c r="H3721" s="1" t="s">
        <v>18</v>
      </c>
      <c r="I3721" s="1" t="s">
        <v>712</v>
      </c>
      <c r="J3721" s="12">
        <v>45884</v>
      </c>
      <c r="K3721">
        <v>0</v>
      </c>
      <c r="L3721" s="1">
        <f t="shared" si="232"/>
        <v>14</v>
      </c>
      <c r="M3721" s="1">
        <f t="shared" si="233"/>
        <v>4</v>
      </c>
      <c r="N3721" s="2">
        <f t="shared" si="234"/>
        <v>45870</v>
      </c>
      <c r="O3721" t="str">
        <f t="shared" si="235"/>
        <v>mačka</v>
      </c>
    </row>
    <row r="3722" spans="1:15" x14ac:dyDescent="0.25">
      <c r="A3722">
        <v>11218</v>
      </c>
      <c r="B3722" s="11">
        <v>4028899001126</v>
      </c>
      <c r="C3722" s="1" t="s">
        <v>16</v>
      </c>
      <c r="D3722" s="1" t="s">
        <v>12</v>
      </c>
      <c r="E3722" s="1" t="s">
        <v>17</v>
      </c>
      <c r="F3722">
        <v>2.8</v>
      </c>
      <c r="G3722">
        <v>2</v>
      </c>
      <c r="H3722" s="1" t="s">
        <v>14</v>
      </c>
      <c r="I3722" s="1" t="s">
        <v>15</v>
      </c>
      <c r="J3722" s="12">
        <v>45884</v>
      </c>
      <c r="K3722">
        <v>0</v>
      </c>
      <c r="L3722" s="1">
        <f t="shared" si="232"/>
        <v>5.6</v>
      </c>
      <c r="M3722" s="1" t="str">
        <f t="shared" si="233"/>
        <v/>
      </c>
      <c r="N3722" s="2">
        <f t="shared" si="234"/>
        <v>45870</v>
      </c>
      <c r="O3722" t="str">
        <f t="shared" si="235"/>
        <v>pes</v>
      </c>
    </row>
    <row r="3723" spans="1:15" x14ac:dyDescent="0.25">
      <c r="A3723">
        <v>11219</v>
      </c>
      <c r="B3723" s="11">
        <v>4013456789017</v>
      </c>
      <c r="C3723" s="1" t="s">
        <v>11</v>
      </c>
      <c r="D3723" s="1" t="s">
        <v>12</v>
      </c>
      <c r="E3723" s="1" t="s">
        <v>13</v>
      </c>
      <c r="F3723">
        <v>6</v>
      </c>
      <c r="G3723">
        <v>1</v>
      </c>
      <c r="H3723" s="1" t="s">
        <v>14</v>
      </c>
      <c r="I3723" s="1" t="s">
        <v>15</v>
      </c>
      <c r="J3723" s="12">
        <v>45884</v>
      </c>
      <c r="K3723">
        <v>0</v>
      </c>
      <c r="L3723" s="1">
        <f t="shared" si="232"/>
        <v>6</v>
      </c>
      <c r="M3723" s="1" t="str">
        <f t="shared" si="233"/>
        <v/>
      </c>
      <c r="N3723" s="2">
        <f t="shared" si="234"/>
        <v>45870</v>
      </c>
      <c r="O3723" t="str">
        <f t="shared" si="235"/>
        <v>pes</v>
      </c>
    </row>
    <row r="3724" spans="1:15" hidden="1" x14ac:dyDescent="0.25">
      <c r="A3724">
        <v>11220</v>
      </c>
      <c r="B3724" s="11">
        <v>4044567890123</v>
      </c>
      <c r="C3724" s="1" t="s">
        <v>266</v>
      </c>
      <c r="D3724" s="1" t="s">
        <v>267</v>
      </c>
      <c r="E3724" s="1" t="s">
        <v>37</v>
      </c>
      <c r="F3724">
        <v>6</v>
      </c>
      <c r="G3724">
        <v>1</v>
      </c>
      <c r="H3724" s="1" t="s">
        <v>23</v>
      </c>
      <c r="I3724" s="1" t="s">
        <v>713</v>
      </c>
      <c r="J3724" s="12">
        <v>45884</v>
      </c>
      <c r="K3724">
        <v>0</v>
      </c>
      <c r="L3724" s="1">
        <f t="shared" si="232"/>
        <v>6</v>
      </c>
      <c r="M3724" s="1">
        <f t="shared" si="233"/>
        <v>5</v>
      </c>
      <c r="N3724" s="2">
        <f t="shared" si="234"/>
        <v>45870</v>
      </c>
      <c r="O3724" t="str">
        <f t="shared" si="235"/>
        <v>mačka</v>
      </c>
    </row>
    <row r="3725" spans="1:15" x14ac:dyDescent="0.25">
      <c r="A3725">
        <v>11221</v>
      </c>
      <c r="B3725" s="11">
        <v>8599988776654</v>
      </c>
      <c r="C3725" s="1" t="s">
        <v>393</v>
      </c>
      <c r="D3725" s="1" t="s">
        <v>133</v>
      </c>
      <c r="E3725" s="1" t="s">
        <v>17</v>
      </c>
      <c r="F3725">
        <v>28</v>
      </c>
      <c r="G3725">
        <v>1</v>
      </c>
      <c r="H3725" s="1" t="s">
        <v>14</v>
      </c>
      <c r="I3725" s="1" t="s">
        <v>15</v>
      </c>
      <c r="J3725" s="12">
        <v>45884</v>
      </c>
      <c r="K3725">
        <v>0</v>
      </c>
      <c r="L3725" s="1">
        <f t="shared" si="232"/>
        <v>28</v>
      </c>
      <c r="M3725" s="1" t="str">
        <f t="shared" si="233"/>
        <v/>
      </c>
      <c r="N3725" s="2">
        <f t="shared" si="234"/>
        <v>45870</v>
      </c>
      <c r="O3725" t="str">
        <f t="shared" si="235"/>
        <v>pes</v>
      </c>
    </row>
    <row r="3726" spans="1:15" x14ac:dyDescent="0.25">
      <c r="A3726">
        <v>11222</v>
      </c>
      <c r="B3726" s="11">
        <v>4024567890128</v>
      </c>
      <c r="C3726" s="1" t="s">
        <v>682</v>
      </c>
      <c r="D3726" s="1" t="s">
        <v>12</v>
      </c>
      <c r="E3726" s="1" t="s">
        <v>134</v>
      </c>
      <c r="F3726">
        <v>40</v>
      </c>
      <c r="G3726">
        <v>1</v>
      </c>
      <c r="H3726" s="1" t="s">
        <v>14</v>
      </c>
      <c r="I3726" s="1" t="s">
        <v>15</v>
      </c>
      <c r="J3726" s="12">
        <v>45884</v>
      </c>
      <c r="K3726">
        <v>0</v>
      </c>
      <c r="L3726" s="1">
        <f t="shared" si="232"/>
        <v>40</v>
      </c>
      <c r="M3726" s="1" t="str">
        <f t="shared" si="233"/>
        <v/>
      </c>
      <c r="N3726" s="2">
        <f t="shared" si="234"/>
        <v>45870</v>
      </c>
      <c r="O3726" t="str">
        <f t="shared" si="235"/>
        <v>pes</v>
      </c>
    </row>
    <row r="3727" spans="1:15" hidden="1" x14ac:dyDescent="0.25">
      <c r="A3727">
        <v>11223</v>
      </c>
      <c r="B3727" s="11">
        <v>8595566778890</v>
      </c>
      <c r="C3727" s="1" t="s">
        <v>681</v>
      </c>
      <c r="D3727" s="1" t="s">
        <v>29</v>
      </c>
      <c r="E3727" s="1" t="s">
        <v>37</v>
      </c>
      <c r="F3727">
        <v>38</v>
      </c>
      <c r="G3727">
        <v>1</v>
      </c>
      <c r="H3727" s="1" t="s">
        <v>18</v>
      </c>
      <c r="I3727" s="1" t="s">
        <v>714</v>
      </c>
      <c r="J3727" s="12">
        <v>45884</v>
      </c>
      <c r="K3727">
        <v>0</v>
      </c>
      <c r="L3727" s="1">
        <f t="shared" si="232"/>
        <v>38</v>
      </c>
      <c r="M3727" s="1">
        <f t="shared" si="233"/>
        <v>4</v>
      </c>
      <c r="N3727" s="2">
        <f t="shared" si="234"/>
        <v>45870</v>
      </c>
      <c r="O3727" t="str">
        <f t="shared" si="235"/>
        <v>mačka</v>
      </c>
    </row>
    <row r="3728" spans="1:15" x14ac:dyDescent="0.25">
      <c r="A3728">
        <v>11224</v>
      </c>
      <c r="B3728" s="11">
        <v>4017890123450</v>
      </c>
      <c r="C3728" s="1" t="s">
        <v>65</v>
      </c>
      <c r="D3728" s="1" t="s">
        <v>39</v>
      </c>
      <c r="E3728" s="1" t="s">
        <v>22</v>
      </c>
      <c r="F3728">
        <v>7.6</v>
      </c>
      <c r="G3728">
        <v>1</v>
      </c>
      <c r="H3728" s="1" t="s">
        <v>14</v>
      </c>
      <c r="I3728" s="1" t="s">
        <v>15</v>
      </c>
      <c r="J3728" s="12">
        <v>45884</v>
      </c>
      <c r="K3728">
        <v>0</v>
      </c>
      <c r="L3728" s="1">
        <f t="shared" si="232"/>
        <v>7.6</v>
      </c>
      <c r="M3728" s="1" t="str">
        <f t="shared" si="233"/>
        <v/>
      </c>
      <c r="N3728" s="2">
        <f t="shared" si="234"/>
        <v>45870</v>
      </c>
      <c r="O3728" t="str">
        <f t="shared" si="235"/>
        <v>pes</v>
      </c>
    </row>
    <row r="3729" spans="1:15" hidden="1" x14ac:dyDescent="0.25">
      <c r="A3729">
        <v>11225</v>
      </c>
      <c r="B3729" s="11">
        <v>4002233445566</v>
      </c>
      <c r="C3729" s="1" t="s">
        <v>268</v>
      </c>
      <c r="D3729" s="1" t="s">
        <v>140</v>
      </c>
      <c r="E3729" s="1" t="s">
        <v>30</v>
      </c>
      <c r="F3729">
        <v>20</v>
      </c>
      <c r="G3729">
        <v>1</v>
      </c>
      <c r="H3729" s="1" t="s">
        <v>14</v>
      </c>
      <c r="I3729" s="1" t="s">
        <v>15</v>
      </c>
      <c r="J3729" s="12">
        <v>45884</v>
      </c>
      <c r="K3729">
        <v>0</v>
      </c>
      <c r="L3729" s="1">
        <f t="shared" si="232"/>
        <v>20</v>
      </c>
      <c r="M3729" s="1" t="str">
        <f t="shared" si="233"/>
        <v/>
      </c>
      <c r="N3729" s="2">
        <f t="shared" si="234"/>
        <v>45870</v>
      </c>
      <c r="O3729" t="str">
        <f t="shared" si="235"/>
        <v>mačka</v>
      </c>
    </row>
    <row r="3730" spans="1:15" hidden="1" x14ac:dyDescent="0.25">
      <c r="A3730">
        <v>11226</v>
      </c>
      <c r="B3730" s="11">
        <v>4056789012345</v>
      </c>
      <c r="C3730" s="1" t="s">
        <v>47</v>
      </c>
      <c r="D3730" s="1" t="s">
        <v>29</v>
      </c>
      <c r="E3730" s="1" t="s">
        <v>37</v>
      </c>
      <c r="F3730">
        <v>2.4</v>
      </c>
      <c r="G3730">
        <v>2</v>
      </c>
      <c r="H3730" s="1" t="s">
        <v>14</v>
      </c>
      <c r="I3730" s="1" t="s">
        <v>15</v>
      </c>
      <c r="J3730" s="12">
        <v>45884</v>
      </c>
      <c r="K3730">
        <v>0</v>
      </c>
      <c r="L3730" s="1">
        <f t="shared" si="232"/>
        <v>4.8</v>
      </c>
      <c r="M3730" s="1" t="str">
        <f t="shared" si="233"/>
        <v/>
      </c>
      <c r="N3730" s="2">
        <f t="shared" si="234"/>
        <v>45870</v>
      </c>
      <c r="O3730" t="str">
        <f t="shared" si="235"/>
        <v>mačka</v>
      </c>
    </row>
    <row r="3731" spans="1:15" hidden="1" x14ac:dyDescent="0.25">
      <c r="A3731">
        <v>11227</v>
      </c>
      <c r="B3731" s="11">
        <v>4021234567894</v>
      </c>
      <c r="C3731" s="1" t="s">
        <v>79</v>
      </c>
      <c r="D3731" s="1" t="s">
        <v>36</v>
      </c>
      <c r="E3731" s="1" t="s">
        <v>69</v>
      </c>
      <c r="F3731">
        <v>8</v>
      </c>
      <c r="G3731">
        <v>1</v>
      </c>
      <c r="H3731" s="1" t="s">
        <v>23</v>
      </c>
      <c r="I3731" s="1" t="s">
        <v>715</v>
      </c>
      <c r="J3731" s="12">
        <v>45884</v>
      </c>
      <c r="K3731">
        <v>0</v>
      </c>
      <c r="L3731" s="1">
        <f t="shared" si="232"/>
        <v>8</v>
      </c>
      <c r="M3731" s="1">
        <f t="shared" si="233"/>
        <v>5</v>
      </c>
      <c r="N3731" s="2">
        <f t="shared" si="234"/>
        <v>45870</v>
      </c>
      <c r="O3731" t="str">
        <f t="shared" si="235"/>
        <v>mačka</v>
      </c>
    </row>
    <row r="3732" spans="1:15" x14ac:dyDescent="0.25">
      <c r="A3732">
        <v>11228</v>
      </c>
      <c r="B3732" s="11">
        <v>4028899001126</v>
      </c>
      <c r="C3732" s="1" t="s">
        <v>16</v>
      </c>
      <c r="D3732" s="1" t="s">
        <v>12</v>
      </c>
      <c r="E3732" s="1" t="s">
        <v>17</v>
      </c>
      <c r="F3732">
        <v>2.8</v>
      </c>
      <c r="G3732">
        <v>2</v>
      </c>
      <c r="H3732" s="1" t="s">
        <v>14</v>
      </c>
      <c r="I3732" s="1" t="s">
        <v>15</v>
      </c>
      <c r="J3732" s="12">
        <v>45885</v>
      </c>
      <c r="K3732">
        <v>0</v>
      </c>
      <c r="L3732" s="1">
        <f t="shared" si="232"/>
        <v>5.6</v>
      </c>
      <c r="M3732" s="1" t="str">
        <f t="shared" si="233"/>
        <v/>
      </c>
      <c r="N3732" s="2">
        <f t="shared" si="234"/>
        <v>45870</v>
      </c>
      <c r="O3732" t="str">
        <f t="shared" si="235"/>
        <v>pes</v>
      </c>
    </row>
    <row r="3733" spans="1:15" hidden="1" x14ac:dyDescent="0.25">
      <c r="A3733">
        <v>11229</v>
      </c>
      <c r="B3733" s="11">
        <v>4010123456783</v>
      </c>
      <c r="C3733" s="1" t="s">
        <v>35</v>
      </c>
      <c r="D3733" s="1" t="s">
        <v>36</v>
      </c>
      <c r="E3733" s="1" t="s">
        <v>37</v>
      </c>
      <c r="F3733">
        <v>14</v>
      </c>
      <c r="G3733">
        <v>1</v>
      </c>
      <c r="H3733" s="1" t="s">
        <v>23</v>
      </c>
      <c r="I3733" s="1" t="s">
        <v>716</v>
      </c>
      <c r="J3733" s="12">
        <v>45885</v>
      </c>
      <c r="K3733">
        <v>0</v>
      </c>
      <c r="L3733" s="1">
        <f t="shared" si="232"/>
        <v>14</v>
      </c>
      <c r="M3733" s="1">
        <f t="shared" si="233"/>
        <v>5</v>
      </c>
      <c r="N3733" s="2">
        <f t="shared" si="234"/>
        <v>45870</v>
      </c>
      <c r="O3733" t="str">
        <f t="shared" si="235"/>
        <v>mačka</v>
      </c>
    </row>
    <row r="3734" spans="1:15" x14ac:dyDescent="0.25">
      <c r="A3734">
        <v>11230</v>
      </c>
      <c r="B3734" s="11">
        <v>4063456789014</v>
      </c>
      <c r="C3734" s="1" t="s">
        <v>60</v>
      </c>
      <c r="D3734" s="1" t="s">
        <v>12</v>
      </c>
      <c r="E3734" s="1" t="s">
        <v>61</v>
      </c>
      <c r="F3734">
        <v>36</v>
      </c>
      <c r="G3734">
        <v>1</v>
      </c>
      <c r="H3734" s="1" t="s">
        <v>14</v>
      </c>
      <c r="I3734" s="1" t="s">
        <v>15</v>
      </c>
      <c r="J3734" s="12">
        <v>45885</v>
      </c>
      <c r="K3734">
        <v>0</v>
      </c>
      <c r="L3734" s="1">
        <f t="shared" si="232"/>
        <v>36</v>
      </c>
      <c r="M3734" s="1" t="str">
        <f t="shared" si="233"/>
        <v/>
      </c>
      <c r="N3734" s="2">
        <f t="shared" si="234"/>
        <v>45870</v>
      </c>
      <c r="O3734" t="str">
        <f t="shared" si="235"/>
        <v>pes</v>
      </c>
    </row>
    <row r="3735" spans="1:15" hidden="1" x14ac:dyDescent="0.25">
      <c r="A3735">
        <v>11231</v>
      </c>
      <c r="B3735" s="11">
        <v>4045678901234</v>
      </c>
      <c r="C3735" s="1" t="s">
        <v>671</v>
      </c>
      <c r="D3735" s="1" t="s">
        <v>29</v>
      </c>
      <c r="E3735" s="1" t="s">
        <v>58</v>
      </c>
      <c r="F3735">
        <v>9.6</v>
      </c>
      <c r="G3735">
        <v>1</v>
      </c>
      <c r="H3735" s="1" t="s">
        <v>14</v>
      </c>
      <c r="I3735" s="1" t="s">
        <v>15</v>
      </c>
      <c r="J3735" s="12">
        <v>45885</v>
      </c>
      <c r="K3735">
        <v>0</v>
      </c>
      <c r="L3735" s="1">
        <f t="shared" si="232"/>
        <v>9.6</v>
      </c>
      <c r="M3735" s="1" t="str">
        <f t="shared" si="233"/>
        <v/>
      </c>
      <c r="N3735" s="2">
        <f t="shared" si="234"/>
        <v>45870</v>
      </c>
      <c r="O3735" t="str">
        <f t="shared" si="235"/>
        <v>mačka</v>
      </c>
    </row>
    <row r="3736" spans="1:15" x14ac:dyDescent="0.25">
      <c r="A3736">
        <v>11232</v>
      </c>
      <c r="B3736" s="11">
        <v>8599988776654</v>
      </c>
      <c r="C3736" s="1" t="s">
        <v>393</v>
      </c>
      <c r="D3736" s="1" t="s">
        <v>133</v>
      </c>
      <c r="E3736" s="1" t="s">
        <v>17</v>
      </c>
      <c r="F3736">
        <v>28</v>
      </c>
      <c r="G3736">
        <v>1</v>
      </c>
      <c r="H3736" s="1" t="s">
        <v>14</v>
      </c>
      <c r="I3736" s="1" t="s">
        <v>15</v>
      </c>
      <c r="J3736" s="12">
        <v>45885</v>
      </c>
      <c r="K3736">
        <v>0</v>
      </c>
      <c r="L3736" s="1">
        <f t="shared" si="232"/>
        <v>28</v>
      </c>
      <c r="M3736" s="1" t="str">
        <f t="shared" si="233"/>
        <v/>
      </c>
      <c r="N3736" s="2">
        <f t="shared" si="234"/>
        <v>45870</v>
      </c>
      <c r="O3736" t="str">
        <f t="shared" si="235"/>
        <v>pes</v>
      </c>
    </row>
    <row r="3737" spans="1:15" x14ac:dyDescent="0.25">
      <c r="A3737">
        <v>11233</v>
      </c>
      <c r="B3737" s="11">
        <v>4013456789017</v>
      </c>
      <c r="C3737" s="1" t="s">
        <v>11</v>
      </c>
      <c r="D3737" s="1" t="s">
        <v>12</v>
      </c>
      <c r="E3737" s="1" t="s">
        <v>13</v>
      </c>
      <c r="F3737">
        <v>6</v>
      </c>
      <c r="G3737">
        <v>1</v>
      </c>
      <c r="H3737" s="1" t="s">
        <v>18</v>
      </c>
      <c r="I3737" s="1" t="s">
        <v>717</v>
      </c>
      <c r="J3737" s="12">
        <v>45885</v>
      </c>
      <c r="K3737">
        <v>0</v>
      </c>
      <c r="L3737" s="1">
        <f t="shared" si="232"/>
        <v>6</v>
      </c>
      <c r="M3737" s="1">
        <f t="shared" si="233"/>
        <v>4</v>
      </c>
      <c r="N3737" s="2">
        <f t="shared" si="234"/>
        <v>45870</v>
      </c>
      <c r="O3737" t="str">
        <f t="shared" si="235"/>
        <v>pes</v>
      </c>
    </row>
    <row r="3738" spans="1:15" hidden="1" x14ac:dyDescent="0.25">
      <c r="A3738">
        <v>11234</v>
      </c>
      <c r="B3738" s="11">
        <v>4001234567893</v>
      </c>
      <c r="C3738" s="1" t="s">
        <v>31</v>
      </c>
      <c r="D3738" s="1" t="s">
        <v>29</v>
      </c>
      <c r="E3738" s="1" t="s">
        <v>32</v>
      </c>
      <c r="F3738">
        <v>9.1999999999999993</v>
      </c>
      <c r="G3738">
        <v>1</v>
      </c>
      <c r="H3738" s="1" t="s">
        <v>14</v>
      </c>
      <c r="I3738" s="1" t="s">
        <v>15</v>
      </c>
      <c r="J3738" s="12">
        <v>45885</v>
      </c>
      <c r="K3738">
        <v>0</v>
      </c>
      <c r="L3738" s="1">
        <f t="shared" si="232"/>
        <v>9.1999999999999993</v>
      </c>
      <c r="M3738" s="1" t="str">
        <f t="shared" si="233"/>
        <v/>
      </c>
      <c r="N3738" s="2">
        <f t="shared" si="234"/>
        <v>45870</v>
      </c>
      <c r="O3738" t="str">
        <f t="shared" si="235"/>
        <v>mačka</v>
      </c>
    </row>
    <row r="3739" spans="1:15" hidden="1" x14ac:dyDescent="0.25">
      <c r="A3739">
        <v>11235</v>
      </c>
      <c r="B3739" s="11">
        <v>4021234567894</v>
      </c>
      <c r="C3739" s="1" t="s">
        <v>79</v>
      </c>
      <c r="D3739" s="1" t="s">
        <v>36</v>
      </c>
      <c r="E3739" s="1" t="s">
        <v>69</v>
      </c>
      <c r="F3739">
        <v>8</v>
      </c>
      <c r="G3739">
        <v>1</v>
      </c>
      <c r="H3739" s="1" t="s">
        <v>14</v>
      </c>
      <c r="I3739" s="1" t="s">
        <v>15</v>
      </c>
      <c r="J3739" s="12">
        <v>45885</v>
      </c>
      <c r="K3739">
        <v>0</v>
      </c>
      <c r="L3739" s="1">
        <f t="shared" si="232"/>
        <v>8</v>
      </c>
      <c r="M3739" s="1" t="str">
        <f t="shared" si="233"/>
        <v/>
      </c>
      <c r="N3739" s="2">
        <f t="shared" si="234"/>
        <v>45870</v>
      </c>
      <c r="O3739" t="str">
        <f t="shared" si="235"/>
        <v>mačka</v>
      </c>
    </row>
    <row r="3740" spans="1:15" hidden="1" x14ac:dyDescent="0.25">
      <c r="A3740">
        <v>11236</v>
      </c>
      <c r="B3740" s="11">
        <v>4056789012345</v>
      </c>
      <c r="C3740" s="1" t="s">
        <v>47</v>
      </c>
      <c r="D3740" s="1" t="s">
        <v>29</v>
      </c>
      <c r="E3740" s="1" t="s">
        <v>37</v>
      </c>
      <c r="F3740">
        <v>2.4</v>
      </c>
      <c r="G3740">
        <v>2</v>
      </c>
      <c r="H3740" s="1" t="s">
        <v>14</v>
      </c>
      <c r="I3740" s="1" t="s">
        <v>15</v>
      </c>
      <c r="J3740" s="12">
        <v>45886</v>
      </c>
      <c r="K3740">
        <v>0</v>
      </c>
      <c r="L3740" s="1">
        <f t="shared" si="232"/>
        <v>4.8</v>
      </c>
      <c r="M3740" s="1" t="str">
        <f t="shared" si="233"/>
        <v/>
      </c>
      <c r="N3740" s="2">
        <f t="shared" si="234"/>
        <v>45870</v>
      </c>
      <c r="O3740" t="str">
        <f t="shared" si="235"/>
        <v>mačka</v>
      </c>
    </row>
    <row r="3741" spans="1:15" hidden="1" x14ac:dyDescent="0.25">
      <c r="A3741">
        <v>11236</v>
      </c>
      <c r="B3741" s="11">
        <v>4019876501234</v>
      </c>
      <c r="C3741" s="1" t="s">
        <v>674</v>
      </c>
      <c r="D3741" s="1" t="s">
        <v>29</v>
      </c>
      <c r="E3741" s="1" t="s">
        <v>37</v>
      </c>
      <c r="F3741">
        <v>1.84</v>
      </c>
      <c r="G3741">
        <v>2</v>
      </c>
      <c r="H3741" s="1" t="s">
        <v>14</v>
      </c>
      <c r="I3741" s="1" t="s">
        <v>15</v>
      </c>
      <c r="J3741" s="12">
        <v>45886</v>
      </c>
      <c r="K3741">
        <v>0</v>
      </c>
      <c r="L3741" s="1">
        <f t="shared" si="232"/>
        <v>3.68</v>
      </c>
      <c r="M3741" s="1" t="str">
        <f t="shared" si="233"/>
        <v/>
      </c>
      <c r="N3741" s="2">
        <f t="shared" si="234"/>
        <v>45870</v>
      </c>
      <c r="O3741" t="str">
        <f t="shared" si="235"/>
        <v>mačka</v>
      </c>
    </row>
    <row r="3742" spans="1:15" x14ac:dyDescent="0.25">
      <c r="A3742">
        <v>11237</v>
      </c>
      <c r="B3742" s="11">
        <v>4017890123450</v>
      </c>
      <c r="C3742" s="1" t="s">
        <v>65</v>
      </c>
      <c r="D3742" s="1" t="s">
        <v>39</v>
      </c>
      <c r="E3742" s="1" t="s">
        <v>22</v>
      </c>
      <c r="F3742">
        <v>7.6</v>
      </c>
      <c r="G3742">
        <v>1</v>
      </c>
      <c r="H3742" s="1" t="s">
        <v>14</v>
      </c>
      <c r="I3742" s="1" t="s">
        <v>15</v>
      </c>
      <c r="J3742" s="12">
        <v>45886</v>
      </c>
      <c r="K3742">
        <v>0</v>
      </c>
      <c r="L3742" s="1">
        <f t="shared" si="232"/>
        <v>7.6</v>
      </c>
      <c r="M3742" s="1" t="str">
        <f t="shared" si="233"/>
        <v/>
      </c>
      <c r="N3742" s="2">
        <f t="shared" si="234"/>
        <v>45870</v>
      </c>
      <c r="O3742" t="str">
        <f t="shared" si="235"/>
        <v>pes</v>
      </c>
    </row>
    <row r="3743" spans="1:15" hidden="1" x14ac:dyDescent="0.25">
      <c r="A3743">
        <v>11238</v>
      </c>
      <c r="B3743" s="11">
        <v>5901234509876</v>
      </c>
      <c r="C3743" s="1" t="s">
        <v>685</v>
      </c>
      <c r="D3743" s="1" t="s">
        <v>29</v>
      </c>
      <c r="E3743" s="1" t="s">
        <v>42</v>
      </c>
      <c r="F3743">
        <v>40</v>
      </c>
      <c r="G3743">
        <v>1</v>
      </c>
      <c r="H3743" s="1" t="s">
        <v>18</v>
      </c>
      <c r="I3743" s="1" t="s">
        <v>15</v>
      </c>
      <c r="J3743" s="12">
        <v>45886</v>
      </c>
      <c r="K3743">
        <v>0</v>
      </c>
      <c r="L3743" s="1">
        <f t="shared" si="232"/>
        <v>40</v>
      </c>
      <c r="M3743" s="1">
        <f t="shared" si="233"/>
        <v>4</v>
      </c>
      <c r="N3743" s="2">
        <f t="shared" si="234"/>
        <v>45870</v>
      </c>
      <c r="O3743" t="str">
        <f t="shared" si="235"/>
        <v>mačka</v>
      </c>
    </row>
    <row r="3744" spans="1:15" x14ac:dyDescent="0.25">
      <c r="A3744">
        <v>11239</v>
      </c>
      <c r="B3744" s="11">
        <v>4027788990013</v>
      </c>
      <c r="C3744" s="1" t="s">
        <v>43</v>
      </c>
      <c r="D3744" s="1" t="s">
        <v>21</v>
      </c>
      <c r="E3744" s="1" t="s">
        <v>22</v>
      </c>
      <c r="F3744">
        <v>8</v>
      </c>
      <c r="G3744">
        <v>1</v>
      </c>
      <c r="H3744" s="1" t="s">
        <v>14</v>
      </c>
      <c r="I3744" s="1" t="s">
        <v>15</v>
      </c>
      <c r="J3744" s="12">
        <v>45886</v>
      </c>
      <c r="K3744">
        <v>0</v>
      </c>
      <c r="L3744" s="1">
        <f t="shared" si="232"/>
        <v>8</v>
      </c>
      <c r="M3744" s="1" t="str">
        <f t="shared" si="233"/>
        <v/>
      </c>
      <c r="N3744" s="2">
        <f t="shared" si="234"/>
        <v>45870</v>
      </c>
      <c r="O3744" t="str">
        <f t="shared" si="235"/>
        <v>pes</v>
      </c>
    </row>
    <row r="3745" spans="1:15" x14ac:dyDescent="0.25">
      <c r="A3745">
        <v>11240</v>
      </c>
      <c r="B3745" s="11">
        <v>4004455667780</v>
      </c>
      <c r="C3745" s="1" t="s">
        <v>640</v>
      </c>
      <c r="D3745" s="1" t="s">
        <v>641</v>
      </c>
      <c r="E3745" s="1" t="s">
        <v>134</v>
      </c>
      <c r="F3745">
        <v>14</v>
      </c>
      <c r="G3745">
        <v>1</v>
      </c>
      <c r="H3745" s="1" t="s">
        <v>23</v>
      </c>
      <c r="I3745" s="1" t="s">
        <v>718</v>
      </c>
      <c r="J3745" s="12">
        <v>45886</v>
      </c>
      <c r="K3745">
        <v>0</v>
      </c>
      <c r="L3745" s="1">
        <f t="shared" si="232"/>
        <v>14</v>
      </c>
      <c r="M3745" s="1">
        <f t="shared" si="233"/>
        <v>5</v>
      </c>
      <c r="N3745" s="2">
        <f t="shared" si="234"/>
        <v>45870</v>
      </c>
      <c r="O3745" t="str">
        <f t="shared" si="235"/>
        <v>pes</v>
      </c>
    </row>
    <row r="3746" spans="1:15" hidden="1" x14ac:dyDescent="0.25">
      <c r="A3746">
        <v>11241</v>
      </c>
      <c r="B3746" s="11">
        <v>4010123456783</v>
      </c>
      <c r="C3746" s="1" t="s">
        <v>35</v>
      </c>
      <c r="D3746" s="1" t="s">
        <v>36</v>
      </c>
      <c r="E3746" s="1" t="s">
        <v>37</v>
      </c>
      <c r="F3746">
        <v>14</v>
      </c>
      <c r="G3746">
        <v>1</v>
      </c>
      <c r="H3746" s="1" t="s">
        <v>14</v>
      </c>
      <c r="I3746" s="1" t="s">
        <v>15</v>
      </c>
      <c r="J3746" s="12">
        <v>45886</v>
      </c>
      <c r="K3746">
        <v>0</v>
      </c>
      <c r="L3746" s="1">
        <f t="shared" si="232"/>
        <v>14</v>
      </c>
      <c r="M3746" s="1" t="str">
        <f t="shared" si="233"/>
        <v/>
      </c>
      <c r="N3746" s="2">
        <f t="shared" si="234"/>
        <v>45870</v>
      </c>
      <c r="O3746" t="str">
        <f t="shared" si="235"/>
        <v>mačka</v>
      </c>
    </row>
    <row r="3747" spans="1:15" x14ac:dyDescent="0.25">
      <c r="A3747">
        <v>11242</v>
      </c>
      <c r="B3747" s="11">
        <v>4024567890128</v>
      </c>
      <c r="C3747" s="1" t="s">
        <v>682</v>
      </c>
      <c r="D3747" s="1" t="s">
        <v>12</v>
      </c>
      <c r="E3747" s="1" t="s">
        <v>134</v>
      </c>
      <c r="F3747">
        <v>40</v>
      </c>
      <c r="G3747">
        <v>1</v>
      </c>
      <c r="H3747" s="1" t="s">
        <v>14</v>
      </c>
      <c r="I3747" s="1" t="s">
        <v>15</v>
      </c>
      <c r="J3747" s="12">
        <v>45887</v>
      </c>
      <c r="K3747">
        <v>0</v>
      </c>
      <c r="L3747" s="1">
        <f t="shared" si="232"/>
        <v>40</v>
      </c>
      <c r="M3747" s="1" t="str">
        <f t="shared" si="233"/>
        <v/>
      </c>
      <c r="N3747" s="2">
        <f t="shared" si="234"/>
        <v>45870</v>
      </c>
      <c r="O3747" t="str">
        <f t="shared" si="235"/>
        <v>pes</v>
      </c>
    </row>
    <row r="3748" spans="1:15" x14ac:dyDescent="0.25">
      <c r="A3748">
        <v>11243</v>
      </c>
      <c r="B3748" s="11">
        <v>4046789012356</v>
      </c>
      <c r="C3748" s="1" t="s">
        <v>304</v>
      </c>
      <c r="D3748" s="1" t="s">
        <v>39</v>
      </c>
      <c r="E3748" s="1" t="s">
        <v>61</v>
      </c>
      <c r="F3748">
        <v>6.4</v>
      </c>
      <c r="G3748">
        <v>1</v>
      </c>
      <c r="H3748" s="1" t="s">
        <v>14</v>
      </c>
      <c r="I3748" s="1" t="s">
        <v>15</v>
      </c>
      <c r="J3748" s="12">
        <v>45887</v>
      </c>
      <c r="K3748">
        <v>0</v>
      </c>
      <c r="L3748" s="1">
        <f t="shared" si="232"/>
        <v>6.4</v>
      </c>
      <c r="M3748" s="1" t="str">
        <f t="shared" si="233"/>
        <v/>
      </c>
      <c r="N3748" s="2">
        <f t="shared" si="234"/>
        <v>45870</v>
      </c>
      <c r="O3748" t="str">
        <f t="shared" si="235"/>
        <v>pes</v>
      </c>
    </row>
    <row r="3749" spans="1:15" hidden="1" x14ac:dyDescent="0.25">
      <c r="A3749">
        <v>11244</v>
      </c>
      <c r="B3749" s="11">
        <v>4029900112244</v>
      </c>
      <c r="C3749" s="1" t="s">
        <v>655</v>
      </c>
      <c r="D3749" s="1" t="s">
        <v>36</v>
      </c>
      <c r="E3749" s="1" t="s">
        <v>37</v>
      </c>
      <c r="F3749">
        <v>13.6</v>
      </c>
      <c r="G3749">
        <v>1</v>
      </c>
      <c r="H3749" s="1" t="s">
        <v>33</v>
      </c>
      <c r="I3749" s="1" t="s">
        <v>113</v>
      </c>
      <c r="J3749" s="12">
        <v>45887</v>
      </c>
      <c r="K3749">
        <v>0</v>
      </c>
      <c r="L3749" s="1">
        <f t="shared" si="232"/>
        <v>13.6</v>
      </c>
      <c r="M3749" s="1">
        <f t="shared" si="233"/>
        <v>3</v>
      </c>
      <c r="N3749" s="2">
        <f t="shared" si="234"/>
        <v>45870</v>
      </c>
      <c r="O3749" t="str">
        <f t="shared" si="235"/>
        <v>mačka</v>
      </c>
    </row>
    <row r="3750" spans="1:15" x14ac:dyDescent="0.25">
      <c r="A3750">
        <v>11245</v>
      </c>
      <c r="B3750" s="11">
        <v>4003344556679</v>
      </c>
      <c r="C3750" s="1" t="s">
        <v>132</v>
      </c>
      <c r="D3750" s="1" t="s">
        <v>133</v>
      </c>
      <c r="E3750" s="1" t="s">
        <v>134</v>
      </c>
      <c r="F3750">
        <v>51.64</v>
      </c>
      <c r="G3750">
        <v>1</v>
      </c>
      <c r="H3750" s="1" t="s">
        <v>14</v>
      </c>
      <c r="I3750" s="1" t="s">
        <v>15</v>
      </c>
      <c r="J3750" s="12">
        <v>45887</v>
      </c>
      <c r="K3750">
        <v>0</v>
      </c>
      <c r="L3750" s="1">
        <f t="shared" si="232"/>
        <v>51.64</v>
      </c>
      <c r="M3750" s="1" t="str">
        <f t="shared" si="233"/>
        <v/>
      </c>
      <c r="N3750" s="2">
        <f t="shared" si="234"/>
        <v>45870</v>
      </c>
      <c r="O3750" t="str">
        <f t="shared" si="235"/>
        <v>pes</v>
      </c>
    </row>
    <row r="3751" spans="1:15" x14ac:dyDescent="0.25">
      <c r="A3751">
        <v>11246</v>
      </c>
      <c r="B3751" s="11">
        <v>4028899001126</v>
      </c>
      <c r="C3751" s="1" t="s">
        <v>16</v>
      </c>
      <c r="D3751" s="1" t="s">
        <v>12</v>
      </c>
      <c r="E3751" s="1" t="s">
        <v>17</v>
      </c>
      <c r="F3751">
        <v>2.8</v>
      </c>
      <c r="G3751">
        <v>3</v>
      </c>
      <c r="H3751" s="1" t="s">
        <v>14</v>
      </c>
      <c r="I3751" s="1" t="s">
        <v>15</v>
      </c>
      <c r="J3751" s="12">
        <v>45887</v>
      </c>
      <c r="K3751">
        <v>0</v>
      </c>
      <c r="L3751" s="1">
        <f t="shared" si="232"/>
        <v>8.3999999999999986</v>
      </c>
      <c r="M3751" s="1" t="str">
        <f t="shared" si="233"/>
        <v/>
      </c>
      <c r="N3751" s="2">
        <f t="shared" si="234"/>
        <v>45870</v>
      </c>
      <c r="O3751" t="str">
        <f t="shared" si="235"/>
        <v>pes</v>
      </c>
    </row>
    <row r="3752" spans="1:15" x14ac:dyDescent="0.25">
      <c r="A3752">
        <v>11247</v>
      </c>
      <c r="B3752" s="11">
        <v>4013456789017</v>
      </c>
      <c r="C3752" s="1" t="s">
        <v>11</v>
      </c>
      <c r="D3752" s="1" t="s">
        <v>12</v>
      </c>
      <c r="E3752" s="1" t="s">
        <v>13</v>
      </c>
      <c r="F3752">
        <v>6</v>
      </c>
      <c r="G3752">
        <v>1</v>
      </c>
      <c r="H3752" s="1" t="s">
        <v>14</v>
      </c>
      <c r="I3752" s="1" t="s">
        <v>15</v>
      </c>
      <c r="J3752" s="12">
        <v>45887</v>
      </c>
      <c r="K3752">
        <v>0</v>
      </c>
      <c r="L3752" s="1">
        <f t="shared" si="232"/>
        <v>6</v>
      </c>
      <c r="M3752" s="1" t="str">
        <f t="shared" si="233"/>
        <v/>
      </c>
      <c r="N3752" s="2">
        <f t="shared" si="234"/>
        <v>45870</v>
      </c>
      <c r="O3752" t="str">
        <f t="shared" si="235"/>
        <v>pes</v>
      </c>
    </row>
    <row r="3753" spans="1:15" hidden="1" x14ac:dyDescent="0.25">
      <c r="A3753">
        <v>11248</v>
      </c>
      <c r="B3753" s="11">
        <v>4010123456783</v>
      </c>
      <c r="C3753" s="1" t="s">
        <v>35</v>
      </c>
      <c r="D3753" s="1" t="s">
        <v>36</v>
      </c>
      <c r="E3753" s="1" t="s">
        <v>37</v>
      </c>
      <c r="F3753">
        <v>14</v>
      </c>
      <c r="G3753">
        <v>1</v>
      </c>
      <c r="H3753" s="1" t="s">
        <v>23</v>
      </c>
      <c r="I3753" s="1" t="s">
        <v>719</v>
      </c>
      <c r="J3753" s="12">
        <v>45887</v>
      </c>
      <c r="K3753">
        <v>0</v>
      </c>
      <c r="L3753" s="1">
        <f t="shared" si="232"/>
        <v>14</v>
      </c>
      <c r="M3753" s="1">
        <f t="shared" si="233"/>
        <v>5</v>
      </c>
      <c r="N3753" s="2">
        <f t="shared" si="234"/>
        <v>45870</v>
      </c>
      <c r="O3753" t="str">
        <f t="shared" si="235"/>
        <v>mačka</v>
      </c>
    </row>
    <row r="3754" spans="1:15" hidden="1" x14ac:dyDescent="0.25">
      <c r="A3754">
        <v>11249</v>
      </c>
      <c r="B3754" s="11">
        <v>4042233445567</v>
      </c>
      <c r="C3754" s="1" t="s">
        <v>637</v>
      </c>
      <c r="D3754" s="1" t="s">
        <v>140</v>
      </c>
      <c r="E3754" s="1" t="s">
        <v>141</v>
      </c>
      <c r="F3754">
        <v>51.64</v>
      </c>
      <c r="G3754">
        <v>1</v>
      </c>
      <c r="H3754" s="1" t="s">
        <v>14</v>
      </c>
      <c r="I3754" s="1" t="s">
        <v>15</v>
      </c>
      <c r="J3754" s="12">
        <v>45887</v>
      </c>
      <c r="K3754">
        <v>0</v>
      </c>
      <c r="L3754" s="1">
        <f t="shared" si="232"/>
        <v>51.64</v>
      </c>
      <c r="M3754" s="1" t="str">
        <f t="shared" si="233"/>
        <v/>
      </c>
      <c r="N3754" s="2">
        <f t="shared" si="234"/>
        <v>45870</v>
      </c>
      <c r="O3754" t="str">
        <f t="shared" si="235"/>
        <v>mačka</v>
      </c>
    </row>
    <row r="3755" spans="1:15" hidden="1" x14ac:dyDescent="0.25">
      <c r="A3755">
        <v>11250</v>
      </c>
      <c r="B3755" s="11">
        <v>4021234567894</v>
      </c>
      <c r="C3755" s="1" t="s">
        <v>79</v>
      </c>
      <c r="D3755" s="1" t="s">
        <v>36</v>
      </c>
      <c r="E3755" s="1" t="s">
        <v>69</v>
      </c>
      <c r="F3755">
        <v>8</v>
      </c>
      <c r="G3755">
        <v>1</v>
      </c>
      <c r="H3755" s="1" t="s">
        <v>14</v>
      </c>
      <c r="I3755" s="1" t="s">
        <v>15</v>
      </c>
      <c r="J3755" s="12">
        <v>45888</v>
      </c>
      <c r="K3755">
        <v>0</v>
      </c>
      <c r="L3755" s="1">
        <f t="shared" si="232"/>
        <v>8</v>
      </c>
      <c r="M3755" s="1" t="str">
        <f t="shared" si="233"/>
        <v/>
      </c>
      <c r="N3755" s="2">
        <f t="shared" si="234"/>
        <v>45870</v>
      </c>
      <c r="O3755" t="str">
        <f t="shared" si="235"/>
        <v>mačka</v>
      </c>
    </row>
    <row r="3756" spans="1:15" hidden="1" x14ac:dyDescent="0.25">
      <c r="A3756">
        <v>11250</v>
      </c>
      <c r="B3756" s="11">
        <v>8595566778890</v>
      </c>
      <c r="C3756" s="1" t="s">
        <v>681</v>
      </c>
      <c r="D3756" s="1" t="s">
        <v>29</v>
      </c>
      <c r="E3756" s="1" t="s">
        <v>37</v>
      </c>
      <c r="F3756">
        <v>38</v>
      </c>
      <c r="G3756">
        <v>1</v>
      </c>
      <c r="H3756" s="1" t="s">
        <v>14</v>
      </c>
      <c r="I3756" s="1" t="s">
        <v>15</v>
      </c>
      <c r="J3756" s="12">
        <v>45888</v>
      </c>
      <c r="K3756">
        <v>0</v>
      </c>
      <c r="L3756" s="1">
        <f t="shared" si="232"/>
        <v>38</v>
      </c>
      <c r="M3756" s="1" t="str">
        <f t="shared" si="233"/>
        <v/>
      </c>
      <c r="N3756" s="2">
        <f t="shared" si="234"/>
        <v>45870</v>
      </c>
      <c r="O3756" t="str">
        <f t="shared" si="235"/>
        <v>mačka</v>
      </c>
    </row>
    <row r="3757" spans="1:15" hidden="1" x14ac:dyDescent="0.25">
      <c r="A3757">
        <v>11251</v>
      </c>
      <c r="B3757" s="11">
        <v>4025678901239</v>
      </c>
      <c r="C3757" s="1" t="s">
        <v>659</v>
      </c>
      <c r="D3757" s="1" t="s">
        <v>267</v>
      </c>
      <c r="E3757" s="1" t="s">
        <v>58</v>
      </c>
      <c r="F3757">
        <v>10</v>
      </c>
      <c r="G3757">
        <v>1</v>
      </c>
      <c r="H3757" s="1" t="s">
        <v>18</v>
      </c>
      <c r="I3757" s="1" t="s">
        <v>720</v>
      </c>
      <c r="J3757" s="12">
        <v>45888</v>
      </c>
      <c r="K3757">
        <v>0</v>
      </c>
      <c r="L3757" s="1">
        <f t="shared" si="232"/>
        <v>10</v>
      </c>
      <c r="M3757" s="1">
        <f t="shared" si="233"/>
        <v>4</v>
      </c>
      <c r="N3757" s="2">
        <f t="shared" si="234"/>
        <v>45870</v>
      </c>
      <c r="O3757" t="str">
        <f t="shared" si="235"/>
        <v>mačka</v>
      </c>
    </row>
    <row r="3758" spans="1:15" x14ac:dyDescent="0.25">
      <c r="A3758">
        <v>11252</v>
      </c>
      <c r="B3758" s="11">
        <v>4063456789014</v>
      </c>
      <c r="C3758" s="1" t="s">
        <v>60</v>
      </c>
      <c r="D3758" s="1" t="s">
        <v>12</v>
      </c>
      <c r="E3758" s="1" t="s">
        <v>61</v>
      </c>
      <c r="F3758">
        <v>36</v>
      </c>
      <c r="G3758">
        <v>1</v>
      </c>
      <c r="H3758" s="1" t="s">
        <v>14</v>
      </c>
      <c r="I3758" s="1" t="s">
        <v>15</v>
      </c>
      <c r="J3758" s="12">
        <v>45888</v>
      </c>
      <c r="K3758">
        <v>0</v>
      </c>
      <c r="L3758" s="1">
        <f t="shared" si="232"/>
        <v>36</v>
      </c>
      <c r="M3758" s="1" t="str">
        <f t="shared" si="233"/>
        <v/>
      </c>
      <c r="N3758" s="2">
        <f t="shared" si="234"/>
        <v>45870</v>
      </c>
      <c r="O3758" t="str">
        <f t="shared" si="235"/>
        <v>pes</v>
      </c>
    </row>
    <row r="3759" spans="1:15" x14ac:dyDescent="0.25">
      <c r="A3759">
        <v>11253</v>
      </c>
      <c r="B3759" s="11">
        <v>4000123456786</v>
      </c>
      <c r="C3759" s="1" t="s">
        <v>305</v>
      </c>
      <c r="D3759" s="1" t="s">
        <v>21</v>
      </c>
      <c r="E3759" s="1" t="s">
        <v>27</v>
      </c>
      <c r="F3759">
        <v>6.8</v>
      </c>
      <c r="G3759">
        <v>1</v>
      </c>
      <c r="H3759" s="1" t="s">
        <v>14</v>
      </c>
      <c r="I3759" s="1" t="s">
        <v>15</v>
      </c>
      <c r="J3759" s="12">
        <v>45888</v>
      </c>
      <c r="K3759">
        <v>0</v>
      </c>
      <c r="L3759" s="1">
        <f t="shared" si="232"/>
        <v>6.8</v>
      </c>
      <c r="M3759" s="1" t="str">
        <f t="shared" si="233"/>
        <v/>
      </c>
      <c r="N3759" s="2">
        <f t="shared" si="234"/>
        <v>45870</v>
      </c>
      <c r="O3759" t="str">
        <f t="shared" si="235"/>
        <v>pes</v>
      </c>
    </row>
    <row r="3760" spans="1:15" x14ac:dyDescent="0.25">
      <c r="A3760">
        <v>11254</v>
      </c>
      <c r="B3760" s="11">
        <v>4017890123450</v>
      </c>
      <c r="C3760" s="1" t="s">
        <v>65</v>
      </c>
      <c r="D3760" s="1" t="s">
        <v>39</v>
      </c>
      <c r="E3760" s="1" t="s">
        <v>22</v>
      </c>
      <c r="F3760">
        <v>7.6</v>
      </c>
      <c r="G3760">
        <v>1</v>
      </c>
      <c r="H3760" s="1" t="s">
        <v>18</v>
      </c>
      <c r="I3760" s="1" t="s">
        <v>15</v>
      </c>
      <c r="J3760" s="12">
        <v>45888</v>
      </c>
      <c r="K3760">
        <v>0</v>
      </c>
      <c r="L3760" s="1">
        <f t="shared" si="232"/>
        <v>7.6</v>
      </c>
      <c r="M3760" s="1">
        <f t="shared" si="233"/>
        <v>4</v>
      </c>
      <c r="N3760" s="2">
        <f t="shared" si="234"/>
        <v>45870</v>
      </c>
      <c r="O3760" t="str">
        <f t="shared" si="235"/>
        <v>pes</v>
      </c>
    </row>
    <row r="3761" spans="1:15" hidden="1" x14ac:dyDescent="0.25">
      <c r="A3761">
        <v>11255</v>
      </c>
      <c r="B3761" s="11">
        <v>5903344556670</v>
      </c>
      <c r="C3761" s="1" t="s">
        <v>638</v>
      </c>
      <c r="D3761" s="1" t="s">
        <v>140</v>
      </c>
      <c r="E3761" s="1" t="s">
        <v>30</v>
      </c>
      <c r="F3761">
        <v>75.64</v>
      </c>
      <c r="G3761">
        <v>1</v>
      </c>
      <c r="H3761" s="1" t="s">
        <v>14</v>
      </c>
      <c r="I3761" s="1" t="s">
        <v>15</v>
      </c>
      <c r="J3761" s="12">
        <v>45888</v>
      </c>
      <c r="K3761">
        <v>0</v>
      </c>
      <c r="L3761" s="1">
        <f t="shared" si="232"/>
        <v>75.64</v>
      </c>
      <c r="M3761" s="1" t="str">
        <f t="shared" si="233"/>
        <v/>
      </c>
      <c r="N3761" s="2">
        <f t="shared" si="234"/>
        <v>45870</v>
      </c>
      <c r="O3761" t="str">
        <f t="shared" si="235"/>
        <v>mačka</v>
      </c>
    </row>
    <row r="3762" spans="1:15" hidden="1" x14ac:dyDescent="0.25">
      <c r="A3762">
        <v>11256</v>
      </c>
      <c r="B3762" s="11">
        <v>4010123456783</v>
      </c>
      <c r="C3762" s="1" t="s">
        <v>35</v>
      </c>
      <c r="D3762" s="1" t="s">
        <v>36</v>
      </c>
      <c r="E3762" s="1" t="s">
        <v>37</v>
      </c>
      <c r="F3762">
        <v>14</v>
      </c>
      <c r="G3762">
        <v>1</v>
      </c>
      <c r="H3762" s="1" t="s">
        <v>14</v>
      </c>
      <c r="I3762" s="1" t="s">
        <v>15</v>
      </c>
      <c r="J3762" s="12">
        <v>45889</v>
      </c>
      <c r="K3762">
        <v>0</v>
      </c>
      <c r="L3762" s="1">
        <f t="shared" si="232"/>
        <v>14</v>
      </c>
      <c r="M3762" s="1" t="str">
        <f t="shared" si="233"/>
        <v/>
      </c>
      <c r="N3762" s="2">
        <f t="shared" si="234"/>
        <v>45870</v>
      </c>
      <c r="O3762" t="str">
        <f t="shared" si="235"/>
        <v>mačka</v>
      </c>
    </row>
    <row r="3763" spans="1:15" x14ac:dyDescent="0.25">
      <c r="A3763">
        <v>11257</v>
      </c>
      <c r="B3763" s="11">
        <v>4027788990013</v>
      </c>
      <c r="C3763" s="1" t="s">
        <v>43</v>
      </c>
      <c r="D3763" s="1" t="s">
        <v>21</v>
      </c>
      <c r="E3763" s="1" t="s">
        <v>22</v>
      </c>
      <c r="F3763">
        <v>8</v>
      </c>
      <c r="G3763">
        <v>1</v>
      </c>
      <c r="H3763" s="1" t="s">
        <v>23</v>
      </c>
      <c r="I3763" s="1" t="s">
        <v>721</v>
      </c>
      <c r="J3763" s="12">
        <v>45889</v>
      </c>
      <c r="K3763">
        <v>0</v>
      </c>
      <c r="L3763" s="1">
        <f t="shared" si="232"/>
        <v>8</v>
      </c>
      <c r="M3763" s="1">
        <f t="shared" si="233"/>
        <v>5</v>
      </c>
      <c r="N3763" s="2">
        <f t="shared" si="234"/>
        <v>45870</v>
      </c>
      <c r="O3763" t="str">
        <f t="shared" si="235"/>
        <v>pes</v>
      </c>
    </row>
    <row r="3764" spans="1:15" hidden="1" x14ac:dyDescent="0.25">
      <c r="A3764">
        <v>11258</v>
      </c>
      <c r="B3764" s="11">
        <v>5901122334452</v>
      </c>
      <c r="C3764" s="1" t="s">
        <v>647</v>
      </c>
      <c r="D3764" s="1" t="s">
        <v>317</v>
      </c>
      <c r="E3764" s="1" t="s">
        <v>648</v>
      </c>
      <c r="F3764">
        <v>12</v>
      </c>
      <c r="G3764">
        <v>1</v>
      </c>
      <c r="H3764" s="1" t="s">
        <v>14</v>
      </c>
      <c r="I3764" s="1" t="s">
        <v>15</v>
      </c>
      <c r="J3764" s="12">
        <v>45889</v>
      </c>
      <c r="K3764">
        <v>0</v>
      </c>
      <c r="L3764" s="1">
        <f t="shared" si="232"/>
        <v>12</v>
      </c>
      <c r="M3764" s="1" t="str">
        <f t="shared" si="233"/>
        <v/>
      </c>
      <c r="N3764" s="2">
        <f t="shared" si="234"/>
        <v>45870</v>
      </c>
      <c r="O3764" t="str">
        <f t="shared" si="235"/>
        <v>mačka</v>
      </c>
    </row>
    <row r="3765" spans="1:15" x14ac:dyDescent="0.25">
      <c r="A3765">
        <v>11259</v>
      </c>
      <c r="B3765" s="11">
        <v>4024567890128</v>
      </c>
      <c r="C3765" s="1" t="s">
        <v>682</v>
      </c>
      <c r="D3765" s="1" t="s">
        <v>12</v>
      </c>
      <c r="E3765" s="1" t="s">
        <v>134</v>
      </c>
      <c r="F3765">
        <v>40</v>
      </c>
      <c r="G3765">
        <v>1</v>
      </c>
      <c r="H3765" s="1" t="s">
        <v>14</v>
      </c>
      <c r="I3765" s="1" t="s">
        <v>15</v>
      </c>
      <c r="J3765" s="12">
        <v>45889</v>
      </c>
      <c r="K3765">
        <v>0</v>
      </c>
      <c r="L3765" s="1">
        <f t="shared" si="232"/>
        <v>40</v>
      </c>
      <c r="M3765" s="1" t="str">
        <f t="shared" si="233"/>
        <v/>
      </c>
      <c r="N3765" s="2">
        <f t="shared" si="234"/>
        <v>45870</v>
      </c>
      <c r="O3765" t="str">
        <f t="shared" si="235"/>
        <v>pes</v>
      </c>
    </row>
    <row r="3766" spans="1:15" x14ac:dyDescent="0.25">
      <c r="A3766">
        <v>11260</v>
      </c>
      <c r="B3766" s="11">
        <v>4016677889902</v>
      </c>
      <c r="C3766" s="1" t="s">
        <v>327</v>
      </c>
      <c r="D3766" s="1" t="s">
        <v>26</v>
      </c>
      <c r="E3766" s="1" t="s">
        <v>17</v>
      </c>
      <c r="F3766">
        <v>22</v>
      </c>
      <c r="G3766">
        <v>1</v>
      </c>
      <c r="H3766" s="1" t="s">
        <v>14</v>
      </c>
      <c r="I3766" s="1" t="s">
        <v>15</v>
      </c>
      <c r="J3766" s="12">
        <v>45889</v>
      </c>
      <c r="K3766">
        <v>0</v>
      </c>
      <c r="L3766" s="1">
        <f t="shared" si="232"/>
        <v>22</v>
      </c>
      <c r="M3766" s="1" t="str">
        <f t="shared" si="233"/>
        <v/>
      </c>
      <c r="N3766" s="2">
        <f t="shared" si="234"/>
        <v>45870</v>
      </c>
      <c r="O3766" t="str">
        <f t="shared" si="235"/>
        <v>pes</v>
      </c>
    </row>
    <row r="3767" spans="1:15" hidden="1" x14ac:dyDescent="0.25">
      <c r="A3767">
        <v>11261</v>
      </c>
      <c r="B3767" s="11">
        <v>4049012345683</v>
      </c>
      <c r="C3767" s="1" t="s">
        <v>57</v>
      </c>
      <c r="D3767" s="1" t="s">
        <v>36</v>
      </c>
      <c r="E3767" s="1" t="s">
        <v>58</v>
      </c>
      <c r="F3767">
        <v>9.1999999999999993</v>
      </c>
      <c r="G3767">
        <v>1</v>
      </c>
      <c r="H3767" s="1" t="s">
        <v>18</v>
      </c>
      <c r="I3767" s="1" t="s">
        <v>684</v>
      </c>
      <c r="J3767" s="12">
        <v>45889</v>
      </c>
      <c r="K3767">
        <v>0</v>
      </c>
      <c r="L3767" s="1">
        <f t="shared" si="232"/>
        <v>9.1999999999999993</v>
      </c>
      <c r="M3767" s="1">
        <f t="shared" si="233"/>
        <v>4</v>
      </c>
      <c r="N3767" s="2">
        <f t="shared" si="234"/>
        <v>45870</v>
      </c>
      <c r="O3767" t="str">
        <f t="shared" si="235"/>
        <v>mačka</v>
      </c>
    </row>
    <row r="3768" spans="1:15" hidden="1" x14ac:dyDescent="0.25">
      <c r="A3768">
        <v>11262</v>
      </c>
      <c r="B3768" s="11">
        <v>4050123456794</v>
      </c>
      <c r="C3768" s="1" t="s">
        <v>41</v>
      </c>
      <c r="D3768" s="1" t="s">
        <v>36</v>
      </c>
      <c r="E3768" s="1" t="s">
        <v>42</v>
      </c>
      <c r="F3768">
        <v>7.2</v>
      </c>
      <c r="G3768">
        <v>1</v>
      </c>
      <c r="H3768" s="1" t="s">
        <v>14</v>
      </c>
      <c r="I3768" s="1" t="s">
        <v>15</v>
      </c>
      <c r="J3768" s="12">
        <v>45889</v>
      </c>
      <c r="K3768">
        <v>0</v>
      </c>
      <c r="L3768" s="1">
        <f t="shared" si="232"/>
        <v>7.2</v>
      </c>
      <c r="M3768" s="1" t="str">
        <f t="shared" si="233"/>
        <v/>
      </c>
      <c r="N3768" s="2">
        <f t="shared" si="234"/>
        <v>45870</v>
      </c>
      <c r="O3768" t="str">
        <f t="shared" si="235"/>
        <v>mačka</v>
      </c>
    </row>
    <row r="3769" spans="1:15" hidden="1" x14ac:dyDescent="0.25">
      <c r="A3769">
        <v>11263</v>
      </c>
      <c r="B3769" s="11">
        <v>4023456789012</v>
      </c>
      <c r="C3769" s="1" t="s">
        <v>55</v>
      </c>
      <c r="D3769" s="1" t="s">
        <v>29</v>
      </c>
      <c r="E3769" s="1" t="s">
        <v>32</v>
      </c>
      <c r="F3769">
        <v>4</v>
      </c>
      <c r="G3769">
        <v>2</v>
      </c>
      <c r="H3769" s="1" t="s">
        <v>14</v>
      </c>
      <c r="I3769" s="1" t="s">
        <v>15</v>
      </c>
      <c r="J3769" s="12">
        <v>45889</v>
      </c>
      <c r="K3769">
        <v>0</v>
      </c>
      <c r="L3769" s="1">
        <f t="shared" si="232"/>
        <v>8</v>
      </c>
      <c r="M3769" s="1" t="str">
        <f t="shared" si="233"/>
        <v/>
      </c>
      <c r="N3769" s="2">
        <f t="shared" si="234"/>
        <v>45870</v>
      </c>
      <c r="O3769" t="str">
        <f t="shared" si="235"/>
        <v>mačka</v>
      </c>
    </row>
    <row r="3770" spans="1:15" x14ac:dyDescent="0.25">
      <c r="A3770">
        <v>11264</v>
      </c>
      <c r="B3770" s="11">
        <v>4059012345683</v>
      </c>
      <c r="C3770" s="1" t="s">
        <v>345</v>
      </c>
      <c r="D3770" s="1" t="s">
        <v>26</v>
      </c>
      <c r="E3770" s="1" t="s">
        <v>27</v>
      </c>
      <c r="F3770">
        <v>20</v>
      </c>
      <c r="G3770">
        <v>1</v>
      </c>
      <c r="H3770" s="1" t="s">
        <v>63</v>
      </c>
      <c r="I3770" s="1" t="s">
        <v>722</v>
      </c>
      <c r="J3770" s="12">
        <v>45889</v>
      </c>
      <c r="K3770">
        <v>1</v>
      </c>
      <c r="L3770" s="1">
        <f t="shared" si="232"/>
        <v>20</v>
      </c>
      <c r="M3770" s="1">
        <f t="shared" si="233"/>
        <v>1</v>
      </c>
      <c r="N3770" s="2">
        <f t="shared" si="234"/>
        <v>45870</v>
      </c>
      <c r="O3770" t="str">
        <f t="shared" si="235"/>
        <v>pes</v>
      </c>
    </row>
    <row r="3771" spans="1:15" x14ac:dyDescent="0.25">
      <c r="A3771">
        <v>11265</v>
      </c>
      <c r="B3771" s="11">
        <v>8599988776654</v>
      </c>
      <c r="C3771" s="1" t="s">
        <v>393</v>
      </c>
      <c r="D3771" s="1" t="s">
        <v>133</v>
      </c>
      <c r="E3771" s="1" t="s">
        <v>17</v>
      </c>
      <c r="F3771">
        <v>28</v>
      </c>
      <c r="G3771">
        <v>1</v>
      </c>
      <c r="H3771" s="1" t="s">
        <v>14</v>
      </c>
      <c r="I3771" s="1" t="s">
        <v>15</v>
      </c>
      <c r="J3771" s="12">
        <v>45890</v>
      </c>
      <c r="K3771">
        <v>0</v>
      </c>
      <c r="L3771" s="1">
        <f t="shared" si="232"/>
        <v>28</v>
      </c>
      <c r="M3771" s="1" t="str">
        <f t="shared" si="233"/>
        <v/>
      </c>
      <c r="N3771" s="2">
        <f t="shared" si="234"/>
        <v>45870</v>
      </c>
      <c r="O3771" t="str">
        <f t="shared" si="235"/>
        <v>pes</v>
      </c>
    </row>
    <row r="3772" spans="1:15" x14ac:dyDescent="0.25">
      <c r="A3772">
        <v>11266</v>
      </c>
      <c r="B3772" s="11">
        <v>4013456789017</v>
      </c>
      <c r="C3772" s="1" t="s">
        <v>11</v>
      </c>
      <c r="D3772" s="1" t="s">
        <v>12</v>
      </c>
      <c r="E3772" s="1" t="s">
        <v>13</v>
      </c>
      <c r="F3772">
        <v>6</v>
      </c>
      <c r="G3772">
        <v>1</v>
      </c>
      <c r="H3772" s="1" t="s">
        <v>14</v>
      </c>
      <c r="I3772" s="1" t="s">
        <v>15</v>
      </c>
      <c r="J3772" s="12">
        <v>45890</v>
      </c>
      <c r="K3772">
        <v>0</v>
      </c>
      <c r="L3772" s="1">
        <f t="shared" si="232"/>
        <v>6</v>
      </c>
      <c r="M3772" s="1" t="str">
        <f t="shared" si="233"/>
        <v/>
      </c>
      <c r="N3772" s="2">
        <f t="shared" si="234"/>
        <v>45870</v>
      </c>
      <c r="O3772" t="str">
        <f t="shared" si="235"/>
        <v>pes</v>
      </c>
    </row>
    <row r="3773" spans="1:15" x14ac:dyDescent="0.25">
      <c r="A3773">
        <v>11266</v>
      </c>
      <c r="B3773" s="11">
        <v>4046789012356</v>
      </c>
      <c r="C3773" s="1" t="s">
        <v>304</v>
      </c>
      <c r="D3773" s="1" t="s">
        <v>39</v>
      </c>
      <c r="E3773" s="1" t="s">
        <v>61</v>
      </c>
      <c r="F3773">
        <v>6.4</v>
      </c>
      <c r="G3773">
        <v>1</v>
      </c>
      <c r="H3773" s="1" t="s">
        <v>14</v>
      </c>
      <c r="I3773" s="1" t="s">
        <v>15</v>
      </c>
      <c r="J3773" s="12">
        <v>45890</v>
      </c>
      <c r="K3773">
        <v>0</v>
      </c>
      <c r="L3773" s="1">
        <f t="shared" si="232"/>
        <v>6.4</v>
      </c>
      <c r="M3773" s="1" t="str">
        <f t="shared" si="233"/>
        <v/>
      </c>
      <c r="N3773" s="2">
        <f t="shared" si="234"/>
        <v>45870</v>
      </c>
      <c r="O3773" t="str">
        <f t="shared" si="235"/>
        <v>pes</v>
      </c>
    </row>
    <row r="3774" spans="1:15" hidden="1" x14ac:dyDescent="0.25">
      <c r="A3774">
        <v>11267</v>
      </c>
      <c r="B3774" s="11">
        <v>4010123456783</v>
      </c>
      <c r="C3774" s="1" t="s">
        <v>35</v>
      </c>
      <c r="D3774" s="1" t="s">
        <v>36</v>
      </c>
      <c r="E3774" s="1" t="s">
        <v>37</v>
      </c>
      <c r="F3774">
        <v>14</v>
      </c>
      <c r="G3774">
        <v>1</v>
      </c>
      <c r="H3774" s="1" t="s">
        <v>18</v>
      </c>
      <c r="I3774" s="1" t="s">
        <v>15</v>
      </c>
      <c r="J3774" s="12">
        <v>45890</v>
      </c>
      <c r="K3774">
        <v>0</v>
      </c>
      <c r="L3774" s="1">
        <f t="shared" si="232"/>
        <v>14</v>
      </c>
      <c r="M3774" s="1">
        <f t="shared" si="233"/>
        <v>4</v>
      </c>
      <c r="N3774" s="2">
        <f t="shared" si="234"/>
        <v>45870</v>
      </c>
      <c r="O3774" t="str">
        <f t="shared" si="235"/>
        <v>mačka</v>
      </c>
    </row>
    <row r="3775" spans="1:15" x14ac:dyDescent="0.25">
      <c r="A3775">
        <v>11268</v>
      </c>
      <c r="B3775" s="11">
        <v>4028899001126</v>
      </c>
      <c r="C3775" s="1" t="s">
        <v>16</v>
      </c>
      <c r="D3775" s="1" t="s">
        <v>12</v>
      </c>
      <c r="E3775" s="1" t="s">
        <v>17</v>
      </c>
      <c r="F3775">
        <v>2.8</v>
      </c>
      <c r="G3775">
        <v>2</v>
      </c>
      <c r="H3775" s="1" t="s">
        <v>14</v>
      </c>
      <c r="I3775" s="1" t="s">
        <v>15</v>
      </c>
      <c r="J3775" s="12">
        <v>45890</v>
      </c>
      <c r="K3775">
        <v>0</v>
      </c>
      <c r="L3775" s="1">
        <f t="shared" si="232"/>
        <v>5.6</v>
      </c>
      <c r="M3775" s="1" t="str">
        <f t="shared" si="233"/>
        <v/>
      </c>
      <c r="N3775" s="2">
        <f t="shared" si="234"/>
        <v>45870</v>
      </c>
      <c r="O3775" t="str">
        <f t="shared" si="235"/>
        <v>pes</v>
      </c>
    </row>
    <row r="3776" spans="1:15" x14ac:dyDescent="0.25">
      <c r="A3776">
        <v>11269</v>
      </c>
      <c r="B3776" s="11">
        <v>5908901234563</v>
      </c>
      <c r="C3776" s="1" t="s">
        <v>665</v>
      </c>
      <c r="D3776" s="1" t="s">
        <v>133</v>
      </c>
      <c r="E3776" s="1" t="s">
        <v>22</v>
      </c>
      <c r="F3776">
        <v>63.64</v>
      </c>
      <c r="G3776">
        <v>1</v>
      </c>
      <c r="H3776" s="1" t="s">
        <v>23</v>
      </c>
      <c r="I3776" s="1" t="s">
        <v>723</v>
      </c>
      <c r="J3776" s="12">
        <v>45890</v>
      </c>
      <c r="K3776">
        <v>0</v>
      </c>
      <c r="L3776" s="1">
        <f t="shared" si="232"/>
        <v>63.64</v>
      </c>
      <c r="M3776" s="1">
        <f t="shared" si="233"/>
        <v>5</v>
      </c>
      <c r="N3776" s="2">
        <f t="shared" si="234"/>
        <v>45870</v>
      </c>
      <c r="O3776" t="str">
        <f t="shared" si="235"/>
        <v>pes</v>
      </c>
    </row>
    <row r="3777" spans="1:15" hidden="1" x14ac:dyDescent="0.25">
      <c r="A3777">
        <v>11270</v>
      </c>
      <c r="B3777" s="11">
        <v>4002233445566</v>
      </c>
      <c r="C3777" s="1" t="s">
        <v>268</v>
      </c>
      <c r="D3777" s="1" t="s">
        <v>140</v>
      </c>
      <c r="E3777" s="1" t="s">
        <v>30</v>
      </c>
      <c r="F3777">
        <v>20</v>
      </c>
      <c r="G3777">
        <v>1</v>
      </c>
      <c r="H3777" s="1" t="s">
        <v>14</v>
      </c>
      <c r="I3777" s="1" t="s">
        <v>15</v>
      </c>
      <c r="J3777" s="12">
        <v>45890</v>
      </c>
      <c r="K3777">
        <v>0</v>
      </c>
      <c r="L3777" s="1">
        <f t="shared" si="232"/>
        <v>20</v>
      </c>
      <c r="M3777" s="1" t="str">
        <f t="shared" si="233"/>
        <v/>
      </c>
      <c r="N3777" s="2">
        <f t="shared" si="234"/>
        <v>45870</v>
      </c>
      <c r="O3777" t="str">
        <f t="shared" si="235"/>
        <v>mačka</v>
      </c>
    </row>
    <row r="3778" spans="1:15" x14ac:dyDescent="0.25">
      <c r="A3778">
        <v>11271</v>
      </c>
      <c r="B3778" s="11">
        <v>4027788990013</v>
      </c>
      <c r="C3778" s="1" t="s">
        <v>43</v>
      </c>
      <c r="D3778" s="1" t="s">
        <v>21</v>
      </c>
      <c r="E3778" s="1" t="s">
        <v>22</v>
      </c>
      <c r="F3778">
        <v>8</v>
      </c>
      <c r="G3778">
        <v>1</v>
      </c>
      <c r="H3778" s="1" t="s">
        <v>48</v>
      </c>
      <c r="I3778" s="1" t="s">
        <v>724</v>
      </c>
      <c r="J3778" s="12">
        <v>45890</v>
      </c>
      <c r="K3778">
        <v>1</v>
      </c>
      <c r="L3778" s="1">
        <f t="shared" ref="L3778:L3841" si="236">F3778*G3778</f>
        <v>8</v>
      </c>
      <c r="M3778" s="1">
        <f t="shared" ref="M3778:M3841" si="237">IF(H3778="NULL", "",VALUE(H3778))</f>
        <v>2</v>
      </c>
      <c r="N3778" s="2">
        <f t="shared" ref="N3778:N3841" si="238">DATE(YEAR(J3778),MONTH(J3778),1)</f>
        <v>45870</v>
      </c>
      <c r="O3778" t="str">
        <f t="shared" ref="O3778:O3841" si="239">IF(ISNUMBER(SEARCH("Mačky",D3778)),"mačka",IF(ISNUMBER(SEARCH("Psy",D3778)),"pes","iné"))</f>
        <v>pes</v>
      </c>
    </row>
    <row r="3779" spans="1:15" x14ac:dyDescent="0.25">
      <c r="A3779">
        <v>11272</v>
      </c>
      <c r="B3779" s="11">
        <v>4028899001126</v>
      </c>
      <c r="C3779" s="1" t="s">
        <v>16</v>
      </c>
      <c r="D3779" s="1" t="s">
        <v>12</v>
      </c>
      <c r="E3779" s="1" t="s">
        <v>17</v>
      </c>
      <c r="F3779">
        <v>2.8</v>
      </c>
      <c r="G3779">
        <v>2</v>
      </c>
      <c r="H3779" s="1" t="s">
        <v>14</v>
      </c>
      <c r="I3779" s="1" t="s">
        <v>15</v>
      </c>
      <c r="J3779" s="12">
        <v>45901</v>
      </c>
      <c r="K3779">
        <v>0</v>
      </c>
      <c r="L3779" s="1">
        <f t="shared" si="236"/>
        <v>5.6</v>
      </c>
      <c r="M3779" s="1" t="str">
        <f t="shared" si="237"/>
        <v/>
      </c>
      <c r="N3779" s="2">
        <f t="shared" si="238"/>
        <v>45901</v>
      </c>
      <c r="O3779" t="str">
        <f t="shared" si="239"/>
        <v>pes</v>
      </c>
    </row>
    <row r="3780" spans="1:15" x14ac:dyDescent="0.25">
      <c r="A3780">
        <v>11273</v>
      </c>
      <c r="B3780" s="11">
        <v>4013456789017</v>
      </c>
      <c r="C3780" s="1" t="s">
        <v>11</v>
      </c>
      <c r="D3780" s="1" t="s">
        <v>12</v>
      </c>
      <c r="E3780" s="1" t="s">
        <v>13</v>
      </c>
      <c r="F3780">
        <v>6</v>
      </c>
      <c r="G3780">
        <v>1</v>
      </c>
      <c r="H3780" s="1" t="s">
        <v>23</v>
      </c>
      <c r="I3780" s="1" t="s">
        <v>725</v>
      </c>
      <c r="J3780" s="12">
        <v>45901</v>
      </c>
      <c r="K3780">
        <v>0</v>
      </c>
      <c r="L3780" s="1">
        <f t="shared" si="236"/>
        <v>6</v>
      </c>
      <c r="M3780" s="1">
        <f t="shared" si="237"/>
        <v>5</v>
      </c>
      <c r="N3780" s="2">
        <f t="shared" si="238"/>
        <v>45901</v>
      </c>
      <c r="O3780" t="str">
        <f t="shared" si="239"/>
        <v>pes</v>
      </c>
    </row>
    <row r="3781" spans="1:15" x14ac:dyDescent="0.25">
      <c r="A3781">
        <v>11274</v>
      </c>
      <c r="B3781" s="11">
        <v>4027788990013</v>
      </c>
      <c r="C3781" s="1" t="s">
        <v>43</v>
      </c>
      <c r="D3781" s="1" t="s">
        <v>21</v>
      </c>
      <c r="E3781" s="1" t="s">
        <v>22</v>
      </c>
      <c r="F3781">
        <v>8</v>
      </c>
      <c r="G3781">
        <v>1</v>
      </c>
      <c r="H3781" s="1" t="s">
        <v>14</v>
      </c>
      <c r="I3781" s="1" t="s">
        <v>15</v>
      </c>
      <c r="J3781" s="12">
        <v>45901</v>
      </c>
      <c r="K3781">
        <v>0</v>
      </c>
      <c r="L3781" s="1">
        <f t="shared" si="236"/>
        <v>8</v>
      </c>
      <c r="M3781" s="1" t="str">
        <f t="shared" si="237"/>
        <v/>
      </c>
      <c r="N3781" s="2">
        <f t="shared" si="238"/>
        <v>45901</v>
      </c>
      <c r="O3781" t="str">
        <f t="shared" si="239"/>
        <v>pes</v>
      </c>
    </row>
    <row r="3782" spans="1:15" hidden="1" x14ac:dyDescent="0.25">
      <c r="A3782">
        <v>11275</v>
      </c>
      <c r="B3782" s="11">
        <v>4010123456783</v>
      </c>
      <c r="C3782" s="1" t="s">
        <v>35</v>
      </c>
      <c r="D3782" s="1" t="s">
        <v>36</v>
      </c>
      <c r="E3782" s="1" t="s">
        <v>37</v>
      </c>
      <c r="F3782">
        <v>14</v>
      </c>
      <c r="G3782">
        <v>1</v>
      </c>
      <c r="H3782" s="1" t="s">
        <v>14</v>
      </c>
      <c r="I3782" s="1" t="s">
        <v>15</v>
      </c>
      <c r="J3782" s="12">
        <v>45901</v>
      </c>
      <c r="K3782">
        <v>0</v>
      </c>
      <c r="L3782" s="1">
        <f t="shared" si="236"/>
        <v>14</v>
      </c>
      <c r="M3782" s="1" t="str">
        <f t="shared" si="237"/>
        <v/>
      </c>
      <c r="N3782" s="2">
        <f t="shared" si="238"/>
        <v>45901</v>
      </c>
      <c r="O3782" t="str">
        <f t="shared" si="239"/>
        <v>mačka</v>
      </c>
    </row>
    <row r="3783" spans="1:15" hidden="1" x14ac:dyDescent="0.25">
      <c r="A3783">
        <v>11276</v>
      </c>
      <c r="B3783" s="11">
        <v>4002233445566</v>
      </c>
      <c r="C3783" s="1" t="s">
        <v>268</v>
      </c>
      <c r="D3783" s="1" t="s">
        <v>140</v>
      </c>
      <c r="E3783" s="1" t="s">
        <v>30</v>
      </c>
      <c r="F3783">
        <v>20</v>
      </c>
      <c r="G3783">
        <v>1</v>
      </c>
      <c r="H3783" s="1" t="s">
        <v>14</v>
      </c>
      <c r="I3783" s="1" t="s">
        <v>15</v>
      </c>
      <c r="J3783" s="12">
        <v>45901</v>
      </c>
      <c r="K3783">
        <v>0</v>
      </c>
      <c r="L3783" s="1">
        <f t="shared" si="236"/>
        <v>20</v>
      </c>
      <c r="M3783" s="1" t="str">
        <f t="shared" si="237"/>
        <v/>
      </c>
      <c r="N3783" s="2">
        <f t="shared" si="238"/>
        <v>45901</v>
      </c>
      <c r="O3783" t="str">
        <f t="shared" si="239"/>
        <v>mačka</v>
      </c>
    </row>
    <row r="3784" spans="1:15" x14ac:dyDescent="0.25">
      <c r="A3784">
        <v>11277</v>
      </c>
      <c r="B3784" s="11">
        <v>4024567890128</v>
      </c>
      <c r="C3784" s="1" t="s">
        <v>682</v>
      </c>
      <c r="D3784" s="1" t="s">
        <v>12</v>
      </c>
      <c r="E3784" s="1" t="s">
        <v>134</v>
      </c>
      <c r="F3784">
        <v>40</v>
      </c>
      <c r="G3784">
        <v>1</v>
      </c>
      <c r="H3784" s="1" t="s">
        <v>18</v>
      </c>
      <c r="I3784" s="1" t="s">
        <v>726</v>
      </c>
      <c r="J3784" s="12">
        <v>45901</v>
      </c>
      <c r="K3784">
        <v>0</v>
      </c>
      <c r="L3784" s="1">
        <f t="shared" si="236"/>
        <v>40</v>
      </c>
      <c r="M3784" s="1">
        <f t="shared" si="237"/>
        <v>4</v>
      </c>
      <c r="N3784" s="2">
        <f t="shared" si="238"/>
        <v>45901</v>
      </c>
      <c r="O3784" t="str">
        <f t="shared" si="239"/>
        <v>pes</v>
      </c>
    </row>
    <row r="3785" spans="1:15" hidden="1" x14ac:dyDescent="0.25">
      <c r="A3785">
        <v>11278</v>
      </c>
      <c r="B3785" s="11">
        <v>4056789012345</v>
      </c>
      <c r="C3785" s="1" t="s">
        <v>47</v>
      </c>
      <c r="D3785" s="1" t="s">
        <v>29</v>
      </c>
      <c r="E3785" s="1" t="s">
        <v>37</v>
      </c>
      <c r="F3785">
        <v>2.4</v>
      </c>
      <c r="G3785">
        <v>2</v>
      </c>
      <c r="H3785" s="1" t="s">
        <v>14</v>
      </c>
      <c r="I3785" s="1" t="s">
        <v>15</v>
      </c>
      <c r="J3785" s="12">
        <v>45901</v>
      </c>
      <c r="K3785">
        <v>0</v>
      </c>
      <c r="L3785" s="1">
        <f t="shared" si="236"/>
        <v>4.8</v>
      </c>
      <c r="M3785" s="1" t="str">
        <f t="shared" si="237"/>
        <v/>
      </c>
      <c r="N3785" s="2">
        <f t="shared" si="238"/>
        <v>45901</v>
      </c>
      <c r="O3785" t="str">
        <f t="shared" si="239"/>
        <v>mačka</v>
      </c>
    </row>
    <row r="3786" spans="1:15" x14ac:dyDescent="0.25">
      <c r="A3786">
        <v>11279</v>
      </c>
      <c r="B3786" s="11">
        <v>8599988776654</v>
      </c>
      <c r="C3786" s="1" t="s">
        <v>393</v>
      </c>
      <c r="D3786" s="1" t="s">
        <v>133</v>
      </c>
      <c r="E3786" s="1" t="s">
        <v>17</v>
      </c>
      <c r="F3786">
        <v>28</v>
      </c>
      <c r="G3786">
        <v>1</v>
      </c>
      <c r="H3786" s="1" t="s">
        <v>14</v>
      </c>
      <c r="I3786" s="1" t="s">
        <v>15</v>
      </c>
      <c r="J3786" s="12">
        <v>45901</v>
      </c>
      <c r="K3786">
        <v>0</v>
      </c>
      <c r="L3786" s="1">
        <f t="shared" si="236"/>
        <v>28</v>
      </c>
      <c r="M3786" s="1" t="str">
        <f t="shared" si="237"/>
        <v/>
      </c>
      <c r="N3786" s="2">
        <f t="shared" si="238"/>
        <v>45901</v>
      </c>
      <c r="O3786" t="str">
        <f t="shared" si="239"/>
        <v>pes</v>
      </c>
    </row>
    <row r="3787" spans="1:15" hidden="1" x14ac:dyDescent="0.25">
      <c r="A3787">
        <v>11280</v>
      </c>
      <c r="B3787" s="11">
        <v>4021234567894</v>
      </c>
      <c r="C3787" s="1" t="s">
        <v>79</v>
      </c>
      <c r="D3787" s="1" t="s">
        <v>36</v>
      </c>
      <c r="E3787" s="1" t="s">
        <v>69</v>
      </c>
      <c r="F3787">
        <v>8</v>
      </c>
      <c r="G3787">
        <v>1</v>
      </c>
      <c r="H3787" s="1" t="s">
        <v>14</v>
      </c>
      <c r="I3787" s="1" t="s">
        <v>15</v>
      </c>
      <c r="J3787" s="12">
        <v>45901</v>
      </c>
      <c r="K3787">
        <v>0</v>
      </c>
      <c r="L3787" s="1">
        <f t="shared" si="236"/>
        <v>8</v>
      </c>
      <c r="M3787" s="1" t="str">
        <f t="shared" si="237"/>
        <v/>
      </c>
      <c r="N3787" s="2">
        <f t="shared" si="238"/>
        <v>45901</v>
      </c>
      <c r="O3787" t="str">
        <f t="shared" si="239"/>
        <v>mačka</v>
      </c>
    </row>
    <row r="3788" spans="1:15" x14ac:dyDescent="0.25">
      <c r="A3788">
        <v>11281</v>
      </c>
      <c r="B3788" s="11">
        <v>4017890123450</v>
      </c>
      <c r="C3788" s="1" t="s">
        <v>65</v>
      </c>
      <c r="D3788" s="1" t="s">
        <v>39</v>
      </c>
      <c r="E3788" s="1" t="s">
        <v>22</v>
      </c>
      <c r="F3788">
        <v>7.6</v>
      </c>
      <c r="G3788">
        <v>1</v>
      </c>
      <c r="H3788" s="1" t="s">
        <v>14</v>
      </c>
      <c r="I3788" s="1" t="s">
        <v>15</v>
      </c>
      <c r="J3788" s="12">
        <v>45901</v>
      </c>
      <c r="K3788">
        <v>0</v>
      </c>
      <c r="L3788" s="1">
        <f t="shared" si="236"/>
        <v>7.6</v>
      </c>
      <c r="M3788" s="1" t="str">
        <f t="shared" si="237"/>
        <v/>
      </c>
      <c r="N3788" s="2">
        <f t="shared" si="238"/>
        <v>45901</v>
      </c>
      <c r="O3788" t="str">
        <f t="shared" si="239"/>
        <v>pes</v>
      </c>
    </row>
    <row r="3789" spans="1:15" x14ac:dyDescent="0.25">
      <c r="A3789">
        <v>11282</v>
      </c>
      <c r="B3789" s="11">
        <v>4063456789014</v>
      </c>
      <c r="C3789" s="1" t="s">
        <v>60</v>
      </c>
      <c r="D3789" s="1" t="s">
        <v>12</v>
      </c>
      <c r="E3789" s="1" t="s">
        <v>61</v>
      </c>
      <c r="F3789">
        <v>36</v>
      </c>
      <c r="G3789">
        <v>1</v>
      </c>
      <c r="H3789" s="1" t="s">
        <v>23</v>
      </c>
      <c r="I3789" s="1" t="s">
        <v>727</v>
      </c>
      <c r="J3789" s="12">
        <v>45902</v>
      </c>
      <c r="K3789">
        <v>0</v>
      </c>
      <c r="L3789" s="1">
        <f t="shared" si="236"/>
        <v>36</v>
      </c>
      <c r="M3789" s="1">
        <f t="shared" si="237"/>
        <v>5</v>
      </c>
      <c r="N3789" s="2">
        <f t="shared" si="238"/>
        <v>45901</v>
      </c>
      <c r="O3789" t="str">
        <f t="shared" si="239"/>
        <v>pes</v>
      </c>
    </row>
    <row r="3790" spans="1:15" hidden="1" x14ac:dyDescent="0.25">
      <c r="A3790">
        <v>11283</v>
      </c>
      <c r="B3790" s="11">
        <v>5901234509876</v>
      </c>
      <c r="C3790" s="1" t="s">
        <v>685</v>
      </c>
      <c r="D3790" s="1" t="s">
        <v>29</v>
      </c>
      <c r="E3790" s="1" t="s">
        <v>42</v>
      </c>
      <c r="F3790">
        <v>40</v>
      </c>
      <c r="G3790">
        <v>1</v>
      </c>
      <c r="H3790" s="1" t="s">
        <v>14</v>
      </c>
      <c r="I3790" s="1" t="s">
        <v>15</v>
      </c>
      <c r="J3790" s="12">
        <v>45902</v>
      </c>
      <c r="K3790">
        <v>0</v>
      </c>
      <c r="L3790" s="1">
        <f t="shared" si="236"/>
        <v>40</v>
      </c>
      <c r="M3790" s="1" t="str">
        <f t="shared" si="237"/>
        <v/>
      </c>
      <c r="N3790" s="2">
        <f t="shared" si="238"/>
        <v>45901</v>
      </c>
      <c r="O3790" t="str">
        <f t="shared" si="239"/>
        <v>mačka</v>
      </c>
    </row>
    <row r="3791" spans="1:15" x14ac:dyDescent="0.25">
      <c r="A3791">
        <v>11284</v>
      </c>
      <c r="B3791" s="11">
        <v>4046789012356</v>
      </c>
      <c r="C3791" s="1" t="s">
        <v>304</v>
      </c>
      <c r="D3791" s="1" t="s">
        <v>39</v>
      </c>
      <c r="E3791" s="1" t="s">
        <v>61</v>
      </c>
      <c r="F3791">
        <v>6.4</v>
      </c>
      <c r="G3791">
        <v>1</v>
      </c>
      <c r="H3791" s="1" t="s">
        <v>14</v>
      </c>
      <c r="I3791" s="1" t="s">
        <v>15</v>
      </c>
      <c r="J3791" s="12">
        <v>45902</v>
      </c>
      <c r="K3791">
        <v>0</v>
      </c>
      <c r="L3791" s="1">
        <f t="shared" si="236"/>
        <v>6.4</v>
      </c>
      <c r="M3791" s="1" t="str">
        <f t="shared" si="237"/>
        <v/>
      </c>
      <c r="N3791" s="2">
        <f t="shared" si="238"/>
        <v>45901</v>
      </c>
      <c r="O3791" t="str">
        <f t="shared" si="239"/>
        <v>pes</v>
      </c>
    </row>
    <row r="3792" spans="1:15" x14ac:dyDescent="0.25">
      <c r="A3792">
        <v>11285</v>
      </c>
      <c r="B3792" s="11">
        <v>4028899001126</v>
      </c>
      <c r="C3792" s="1" t="s">
        <v>16</v>
      </c>
      <c r="D3792" s="1" t="s">
        <v>12</v>
      </c>
      <c r="E3792" s="1" t="s">
        <v>17</v>
      </c>
      <c r="F3792">
        <v>2.8</v>
      </c>
      <c r="G3792">
        <v>3</v>
      </c>
      <c r="H3792" s="1" t="s">
        <v>14</v>
      </c>
      <c r="I3792" s="1" t="s">
        <v>15</v>
      </c>
      <c r="J3792" s="12">
        <v>45902</v>
      </c>
      <c r="K3792">
        <v>0</v>
      </c>
      <c r="L3792" s="1">
        <f t="shared" si="236"/>
        <v>8.3999999999999986</v>
      </c>
      <c r="M3792" s="1" t="str">
        <f t="shared" si="237"/>
        <v/>
      </c>
      <c r="N3792" s="2">
        <f t="shared" si="238"/>
        <v>45901</v>
      </c>
      <c r="O3792" t="str">
        <f t="shared" si="239"/>
        <v>pes</v>
      </c>
    </row>
    <row r="3793" spans="1:15" hidden="1" x14ac:dyDescent="0.25">
      <c r="A3793">
        <v>11286</v>
      </c>
      <c r="B3793" s="11">
        <v>4019876501234</v>
      </c>
      <c r="C3793" s="1" t="s">
        <v>674</v>
      </c>
      <c r="D3793" s="1" t="s">
        <v>29</v>
      </c>
      <c r="E3793" s="1" t="s">
        <v>37</v>
      </c>
      <c r="F3793">
        <v>1.84</v>
      </c>
      <c r="G3793">
        <v>2</v>
      </c>
      <c r="H3793" s="1" t="s">
        <v>14</v>
      </c>
      <c r="I3793" s="1" t="s">
        <v>15</v>
      </c>
      <c r="J3793" s="12">
        <v>45902</v>
      </c>
      <c r="K3793">
        <v>0</v>
      </c>
      <c r="L3793" s="1">
        <f t="shared" si="236"/>
        <v>3.68</v>
      </c>
      <c r="M3793" s="1" t="str">
        <f t="shared" si="237"/>
        <v/>
      </c>
      <c r="N3793" s="2">
        <f t="shared" si="238"/>
        <v>45901</v>
      </c>
      <c r="O3793" t="str">
        <f t="shared" si="239"/>
        <v>mačka</v>
      </c>
    </row>
    <row r="3794" spans="1:15" x14ac:dyDescent="0.25">
      <c r="A3794">
        <v>11287</v>
      </c>
      <c r="B3794" s="11">
        <v>4028899001126</v>
      </c>
      <c r="C3794" s="1" t="s">
        <v>16</v>
      </c>
      <c r="D3794" s="1" t="s">
        <v>12</v>
      </c>
      <c r="E3794" s="1" t="s">
        <v>17</v>
      </c>
      <c r="F3794">
        <v>2.8</v>
      </c>
      <c r="G3794">
        <v>1</v>
      </c>
      <c r="H3794" s="1" t="s">
        <v>18</v>
      </c>
      <c r="I3794" s="1" t="s">
        <v>728</v>
      </c>
      <c r="J3794" s="12">
        <v>45902</v>
      </c>
      <c r="K3794">
        <v>0</v>
      </c>
      <c r="L3794" s="1">
        <f t="shared" si="236"/>
        <v>2.8</v>
      </c>
      <c r="M3794" s="1">
        <f t="shared" si="237"/>
        <v>4</v>
      </c>
      <c r="N3794" s="2">
        <f t="shared" si="238"/>
        <v>45901</v>
      </c>
      <c r="O3794" t="str">
        <f t="shared" si="239"/>
        <v>pes</v>
      </c>
    </row>
    <row r="3795" spans="1:15" x14ac:dyDescent="0.25">
      <c r="A3795">
        <v>11288</v>
      </c>
      <c r="B3795" s="11">
        <v>4000123456786</v>
      </c>
      <c r="C3795" s="1" t="s">
        <v>305</v>
      </c>
      <c r="D3795" s="1" t="s">
        <v>21</v>
      </c>
      <c r="E3795" s="1" t="s">
        <v>27</v>
      </c>
      <c r="F3795">
        <v>6.8</v>
      </c>
      <c r="G3795">
        <v>1</v>
      </c>
      <c r="H3795" s="1" t="s">
        <v>14</v>
      </c>
      <c r="I3795" s="1" t="s">
        <v>15</v>
      </c>
      <c r="J3795" s="12">
        <v>45902</v>
      </c>
      <c r="K3795">
        <v>0</v>
      </c>
      <c r="L3795" s="1">
        <f t="shared" si="236"/>
        <v>6.8</v>
      </c>
      <c r="M3795" s="1" t="str">
        <f t="shared" si="237"/>
        <v/>
      </c>
      <c r="N3795" s="2">
        <f t="shared" si="238"/>
        <v>45901</v>
      </c>
      <c r="O3795" t="str">
        <f t="shared" si="239"/>
        <v>pes</v>
      </c>
    </row>
    <row r="3796" spans="1:15" hidden="1" x14ac:dyDescent="0.25">
      <c r="A3796">
        <v>11289</v>
      </c>
      <c r="B3796" s="11">
        <v>4042233445567</v>
      </c>
      <c r="C3796" s="1" t="s">
        <v>637</v>
      </c>
      <c r="D3796" s="1" t="s">
        <v>140</v>
      </c>
      <c r="E3796" s="1" t="s">
        <v>141</v>
      </c>
      <c r="F3796">
        <v>51.64</v>
      </c>
      <c r="G3796">
        <v>1</v>
      </c>
      <c r="H3796" s="1" t="s">
        <v>14</v>
      </c>
      <c r="I3796" s="1" t="s">
        <v>15</v>
      </c>
      <c r="J3796" s="12">
        <v>45902</v>
      </c>
      <c r="K3796">
        <v>0</v>
      </c>
      <c r="L3796" s="1">
        <f t="shared" si="236"/>
        <v>51.64</v>
      </c>
      <c r="M3796" s="1" t="str">
        <f t="shared" si="237"/>
        <v/>
      </c>
      <c r="N3796" s="2">
        <f t="shared" si="238"/>
        <v>45901</v>
      </c>
      <c r="O3796" t="str">
        <f t="shared" si="239"/>
        <v>mačka</v>
      </c>
    </row>
    <row r="3797" spans="1:15" x14ac:dyDescent="0.25">
      <c r="A3797">
        <v>11290</v>
      </c>
      <c r="B3797" s="11">
        <v>4013456789017</v>
      </c>
      <c r="C3797" s="1" t="s">
        <v>11</v>
      </c>
      <c r="D3797" s="1" t="s">
        <v>12</v>
      </c>
      <c r="E3797" s="1" t="s">
        <v>13</v>
      </c>
      <c r="F3797">
        <v>6</v>
      </c>
      <c r="G3797">
        <v>2</v>
      </c>
      <c r="H3797" s="1" t="s">
        <v>14</v>
      </c>
      <c r="I3797" s="1" t="s">
        <v>15</v>
      </c>
      <c r="J3797" s="12">
        <v>45902</v>
      </c>
      <c r="K3797">
        <v>0</v>
      </c>
      <c r="L3797" s="1">
        <f t="shared" si="236"/>
        <v>12</v>
      </c>
      <c r="M3797" s="1" t="str">
        <f t="shared" si="237"/>
        <v/>
      </c>
      <c r="N3797" s="2">
        <f t="shared" si="238"/>
        <v>45901</v>
      </c>
      <c r="O3797" t="str">
        <f t="shared" si="239"/>
        <v>pes</v>
      </c>
    </row>
    <row r="3798" spans="1:15" hidden="1" x14ac:dyDescent="0.25">
      <c r="A3798">
        <v>11291</v>
      </c>
      <c r="B3798" s="11">
        <v>4044567890123</v>
      </c>
      <c r="C3798" s="1" t="s">
        <v>266</v>
      </c>
      <c r="D3798" s="1" t="s">
        <v>267</v>
      </c>
      <c r="E3798" s="1" t="s">
        <v>37</v>
      </c>
      <c r="F3798">
        <v>6</v>
      </c>
      <c r="G3798">
        <v>1</v>
      </c>
      <c r="H3798" s="1" t="s">
        <v>14</v>
      </c>
      <c r="I3798" s="1" t="s">
        <v>15</v>
      </c>
      <c r="J3798" s="12">
        <v>45902</v>
      </c>
      <c r="K3798">
        <v>0</v>
      </c>
      <c r="L3798" s="1">
        <f t="shared" si="236"/>
        <v>6</v>
      </c>
      <c r="M3798" s="1" t="str">
        <f t="shared" si="237"/>
        <v/>
      </c>
      <c r="N3798" s="2">
        <f t="shared" si="238"/>
        <v>45901</v>
      </c>
      <c r="O3798" t="str">
        <f t="shared" si="239"/>
        <v>mačka</v>
      </c>
    </row>
    <row r="3799" spans="1:15" hidden="1" x14ac:dyDescent="0.25">
      <c r="A3799">
        <v>11292</v>
      </c>
      <c r="B3799" s="11">
        <v>4025678901239</v>
      </c>
      <c r="C3799" s="1" t="s">
        <v>659</v>
      </c>
      <c r="D3799" s="1" t="s">
        <v>267</v>
      </c>
      <c r="E3799" s="1" t="s">
        <v>58</v>
      </c>
      <c r="F3799">
        <v>10</v>
      </c>
      <c r="G3799">
        <v>1</v>
      </c>
      <c r="H3799" s="1" t="s">
        <v>23</v>
      </c>
      <c r="I3799" s="1" t="s">
        <v>729</v>
      </c>
      <c r="J3799" s="12">
        <v>45902</v>
      </c>
      <c r="K3799">
        <v>0</v>
      </c>
      <c r="L3799" s="1">
        <f t="shared" si="236"/>
        <v>10</v>
      </c>
      <c r="M3799" s="1">
        <f t="shared" si="237"/>
        <v>5</v>
      </c>
      <c r="N3799" s="2">
        <f t="shared" si="238"/>
        <v>45901</v>
      </c>
      <c r="O3799" t="str">
        <f t="shared" si="239"/>
        <v>mačka</v>
      </c>
    </row>
    <row r="3800" spans="1:15" x14ac:dyDescent="0.25">
      <c r="A3800">
        <v>11293</v>
      </c>
      <c r="B3800" s="11">
        <v>4027788990013</v>
      </c>
      <c r="C3800" s="1" t="s">
        <v>43</v>
      </c>
      <c r="D3800" s="1" t="s">
        <v>21</v>
      </c>
      <c r="E3800" s="1" t="s">
        <v>22</v>
      </c>
      <c r="F3800">
        <v>8</v>
      </c>
      <c r="G3800">
        <v>1</v>
      </c>
      <c r="H3800" s="1" t="s">
        <v>14</v>
      </c>
      <c r="I3800" s="1" t="s">
        <v>15</v>
      </c>
      <c r="J3800" s="12">
        <v>45902</v>
      </c>
      <c r="K3800">
        <v>0</v>
      </c>
      <c r="L3800" s="1">
        <f t="shared" si="236"/>
        <v>8</v>
      </c>
      <c r="M3800" s="1" t="str">
        <f t="shared" si="237"/>
        <v/>
      </c>
      <c r="N3800" s="2">
        <f t="shared" si="238"/>
        <v>45901</v>
      </c>
      <c r="O3800" t="str">
        <f t="shared" si="239"/>
        <v>pes</v>
      </c>
    </row>
    <row r="3801" spans="1:15" hidden="1" x14ac:dyDescent="0.25">
      <c r="A3801">
        <v>11294</v>
      </c>
      <c r="B3801" s="11">
        <v>5903344556670</v>
      </c>
      <c r="C3801" s="1" t="s">
        <v>638</v>
      </c>
      <c r="D3801" s="1" t="s">
        <v>140</v>
      </c>
      <c r="E3801" s="1" t="s">
        <v>30</v>
      </c>
      <c r="F3801">
        <v>75.64</v>
      </c>
      <c r="G3801">
        <v>1</v>
      </c>
      <c r="H3801" s="1" t="s">
        <v>14</v>
      </c>
      <c r="I3801" s="1" t="s">
        <v>15</v>
      </c>
      <c r="J3801" s="12">
        <v>45902</v>
      </c>
      <c r="K3801">
        <v>0</v>
      </c>
      <c r="L3801" s="1">
        <f t="shared" si="236"/>
        <v>75.64</v>
      </c>
      <c r="M3801" s="1" t="str">
        <f t="shared" si="237"/>
        <v/>
      </c>
      <c r="N3801" s="2">
        <f t="shared" si="238"/>
        <v>45901</v>
      </c>
      <c r="O3801" t="str">
        <f t="shared" si="239"/>
        <v>mačka</v>
      </c>
    </row>
    <row r="3802" spans="1:15" hidden="1" x14ac:dyDescent="0.25">
      <c r="A3802">
        <v>11295</v>
      </c>
      <c r="B3802" s="11">
        <v>4021234567894</v>
      </c>
      <c r="C3802" s="1" t="s">
        <v>79</v>
      </c>
      <c r="D3802" s="1" t="s">
        <v>36</v>
      </c>
      <c r="E3802" s="1" t="s">
        <v>69</v>
      </c>
      <c r="F3802">
        <v>8</v>
      </c>
      <c r="G3802">
        <v>1</v>
      </c>
      <c r="H3802" s="1" t="s">
        <v>14</v>
      </c>
      <c r="I3802" s="1" t="s">
        <v>15</v>
      </c>
      <c r="J3802" s="12">
        <v>45903</v>
      </c>
      <c r="K3802">
        <v>0</v>
      </c>
      <c r="L3802" s="1">
        <f t="shared" si="236"/>
        <v>8</v>
      </c>
      <c r="M3802" s="1" t="str">
        <f t="shared" si="237"/>
        <v/>
      </c>
      <c r="N3802" s="2">
        <f t="shared" si="238"/>
        <v>45901</v>
      </c>
      <c r="O3802" t="str">
        <f t="shared" si="239"/>
        <v>mačka</v>
      </c>
    </row>
    <row r="3803" spans="1:15" hidden="1" x14ac:dyDescent="0.25">
      <c r="A3803">
        <v>11296</v>
      </c>
      <c r="B3803" s="11">
        <v>4023456789012</v>
      </c>
      <c r="C3803" s="1" t="s">
        <v>55</v>
      </c>
      <c r="D3803" s="1" t="s">
        <v>29</v>
      </c>
      <c r="E3803" s="1" t="s">
        <v>32</v>
      </c>
      <c r="F3803">
        <v>4</v>
      </c>
      <c r="G3803">
        <v>2</v>
      </c>
      <c r="H3803" s="1" t="s">
        <v>18</v>
      </c>
      <c r="I3803" s="1" t="s">
        <v>730</v>
      </c>
      <c r="J3803" s="12">
        <v>45903</v>
      </c>
      <c r="K3803">
        <v>0</v>
      </c>
      <c r="L3803" s="1">
        <f t="shared" si="236"/>
        <v>8</v>
      </c>
      <c r="M3803" s="1">
        <f t="shared" si="237"/>
        <v>4</v>
      </c>
      <c r="N3803" s="2">
        <f t="shared" si="238"/>
        <v>45901</v>
      </c>
      <c r="O3803" t="str">
        <f t="shared" si="239"/>
        <v>mačka</v>
      </c>
    </row>
    <row r="3804" spans="1:15" hidden="1" x14ac:dyDescent="0.25">
      <c r="A3804">
        <v>11297</v>
      </c>
      <c r="B3804" s="11">
        <v>4010123456783</v>
      </c>
      <c r="C3804" s="1" t="s">
        <v>35</v>
      </c>
      <c r="D3804" s="1" t="s">
        <v>36</v>
      </c>
      <c r="E3804" s="1" t="s">
        <v>37</v>
      </c>
      <c r="F3804">
        <v>14</v>
      </c>
      <c r="G3804">
        <v>1</v>
      </c>
      <c r="H3804" s="1" t="s">
        <v>14</v>
      </c>
      <c r="I3804" s="1" t="s">
        <v>15</v>
      </c>
      <c r="J3804" s="12">
        <v>45903</v>
      </c>
      <c r="K3804">
        <v>0</v>
      </c>
      <c r="L3804" s="1">
        <f t="shared" si="236"/>
        <v>14</v>
      </c>
      <c r="M3804" s="1" t="str">
        <f t="shared" si="237"/>
        <v/>
      </c>
      <c r="N3804" s="2">
        <f t="shared" si="238"/>
        <v>45901</v>
      </c>
      <c r="O3804" t="str">
        <f t="shared" si="239"/>
        <v>mačka</v>
      </c>
    </row>
    <row r="3805" spans="1:15" x14ac:dyDescent="0.25">
      <c r="A3805">
        <v>11298</v>
      </c>
      <c r="B3805" s="11">
        <v>4017890123450</v>
      </c>
      <c r="C3805" s="1" t="s">
        <v>65</v>
      </c>
      <c r="D3805" s="1" t="s">
        <v>39</v>
      </c>
      <c r="E3805" s="1" t="s">
        <v>22</v>
      </c>
      <c r="F3805">
        <v>7.6</v>
      </c>
      <c r="G3805">
        <v>1</v>
      </c>
      <c r="H3805" s="1" t="s">
        <v>14</v>
      </c>
      <c r="I3805" s="1" t="s">
        <v>15</v>
      </c>
      <c r="J3805" s="12">
        <v>45903</v>
      </c>
      <c r="K3805">
        <v>0</v>
      </c>
      <c r="L3805" s="1">
        <f t="shared" si="236"/>
        <v>7.6</v>
      </c>
      <c r="M3805" s="1" t="str">
        <f t="shared" si="237"/>
        <v/>
      </c>
      <c r="N3805" s="2">
        <f t="shared" si="238"/>
        <v>45901</v>
      </c>
      <c r="O3805" t="str">
        <f t="shared" si="239"/>
        <v>pes</v>
      </c>
    </row>
    <row r="3806" spans="1:15" x14ac:dyDescent="0.25">
      <c r="A3806">
        <v>11299</v>
      </c>
      <c r="B3806" s="11">
        <v>4003344556679</v>
      </c>
      <c r="C3806" s="1" t="s">
        <v>132</v>
      </c>
      <c r="D3806" s="1" t="s">
        <v>133</v>
      </c>
      <c r="E3806" s="1" t="s">
        <v>134</v>
      </c>
      <c r="F3806">
        <v>51.64</v>
      </c>
      <c r="G3806">
        <v>1</v>
      </c>
      <c r="H3806" s="1" t="s">
        <v>14</v>
      </c>
      <c r="I3806" s="1" t="s">
        <v>15</v>
      </c>
      <c r="J3806" s="12">
        <v>45903</v>
      </c>
      <c r="K3806">
        <v>0</v>
      </c>
      <c r="L3806" s="1">
        <f t="shared" si="236"/>
        <v>51.64</v>
      </c>
      <c r="M3806" s="1" t="str">
        <f t="shared" si="237"/>
        <v/>
      </c>
      <c r="N3806" s="2">
        <f t="shared" si="238"/>
        <v>45901</v>
      </c>
      <c r="O3806" t="str">
        <f t="shared" si="239"/>
        <v>pes</v>
      </c>
    </row>
    <row r="3807" spans="1:15" x14ac:dyDescent="0.25">
      <c r="A3807">
        <v>11300</v>
      </c>
      <c r="B3807" s="11">
        <v>4059012345683</v>
      </c>
      <c r="C3807" s="1" t="s">
        <v>345</v>
      </c>
      <c r="D3807" s="1" t="s">
        <v>26</v>
      </c>
      <c r="E3807" s="1" t="s">
        <v>27</v>
      </c>
      <c r="F3807">
        <v>20</v>
      </c>
      <c r="G3807">
        <v>1</v>
      </c>
      <c r="H3807" s="1" t="s">
        <v>48</v>
      </c>
      <c r="I3807" s="1" t="s">
        <v>731</v>
      </c>
      <c r="J3807" s="12">
        <v>45903</v>
      </c>
      <c r="K3807">
        <v>1</v>
      </c>
      <c r="L3807" s="1">
        <f t="shared" si="236"/>
        <v>20</v>
      </c>
      <c r="M3807" s="1">
        <f t="shared" si="237"/>
        <v>2</v>
      </c>
      <c r="N3807" s="2">
        <f t="shared" si="238"/>
        <v>45901</v>
      </c>
      <c r="O3807" t="str">
        <f t="shared" si="239"/>
        <v>pes</v>
      </c>
    </row>
    <row r="3808" spans="1:15" x14ac:dyDescent="0.25">
      <c r="A3808">
        <v>11301</v>
      </c>
      <c r="B3808" s="11">
        <v>4063456789014</v>
      </c>
      <c r="C3808" s="1" t="s">
        <v>60</v>
      </c>
      <c r="D3808" s="1" t="s">
        <v>12</v>
      </c>
      <c r="E3808" s="1" t="s">
        <v>61</v>
      </c>
      <c r="F3808">
        <v>36</v>
      </c>
      <c r="G3808">
        <v>1</v>
      </c>
      <c r="H3808" s="1" t="s">
        <v>14</v>
      </c>
      <c r="I3808" s="1" t="s">
        <v>15</v>
      </c>
      <c r="J3808" s="12">
        <v>45903</v>
      </c>
      <c r="K3808">
        <v>0</v>
      </c>
      <c r="L3808" s="1">
        <f t="shared" si="236"/>
        <v>36</v>
      </c>
      <c r="M3808" s="1" t="str">
        <f t="shared" si="237"/>
        <v/>
      </c>
      <c r="N3808" s="2">
        <f t="shared" si="238"/>
        <v>45901</v>
      </c>
      <c r="O3808" t="str">
        <f t="shared" si="239"/>
        <v>pes</v>
      </c>
    </row>
    <row r="3809" spans="1:15" hidden="1" x14ac:dyDescent="0.25">
      <c r="A3809">
        <v>11302</v>
      </c>
      <c r="B3809" s="11">
        <v>5901122334452</v>
      </c>
      <c r="C3809" s="1" t="s">
        <v>647</v>
      </c>
      <c r="D3809" s="1" t="s">
        <v>317</v>
      </c>
      <c r="E3809" s="1" t="s">
        <v>648</v>
      </c>
      <c r="F3809">
        <v>12</v>
      </c>
      <c r="G3809">
        <v>1</v>
      </c>
      <c r="H3809" s="1" t="s">
        <v>14</v>
      </c>
      <c r="I3809" s="1" t="s">
        <v>15</v>
      </c>
      <c r="J3809" s="12">
        <v>45903</v>
      </c>
      <c r="K3809">
        <v>0</v>
      </c>
      <c r="L3809" s="1">
        <f t="shared" si="236"/>
        <v>12</v>
      </c>
      <c r="M3809" s="1" t="str">
        <f t="shared" si="237"/>
        <v/>
      </c>
      <c r="N3809" s="2">
        <f t="shared" si="238"/>
        <v>45901</v>
      </c>
      <c r="O3809" t="str">
        <f t="shared" si="239"/>
        <v>mačka</v>
      </c>
    </row>
    <row r="3810" spans="1:15" x14ac:dyDescent="0.25">
      <c r="A3810">
        <v>11303</v>
      </c>
      <c r="B3810" s="11">
        <v>4028899001126</v>
      </c>
      <c r="C3810" s="1" t="s">
        <v>16</v>
      </c>
      <c r="D3810" s="1" t="s">
        <v>12</v>
      </c>
      <c r="E3810" s="1" t="s">
        <v>17</v>
      </c>
      <c r="F3810">
        <v>2.8</v>
      </c>
      <c r="G3810">
        <v>3</v>
      </c>
      <c r="H3810" s="1" t="s">
        <v>14</v>
      </c>
      <c r="I3810" s="1" t="s">
        <v>15</v>
      </c>
      <c r="J3810" s="12">
        <v>45903</v>
      </c>
      <c r="K3810">
        <v>0</v>
      </c>
      <c r="L3810" s="1">
        <f t="shared" si="236"/>
        <v>8.3999999999999986</v>
      </c>
      <c r="M3810" s="1" t="str">
        <f t="shared" si="237"/>
        <v/>
      </c>
      <c r="N3810" s="2">
        <f t="shared" si="238"/>
        <v>45901</v>
      </c>
      <c r="O3810" t="str">
        <f t="shared" si="239"/>
        <v>pes</v>
      </c>
    </row>
    <row r="3811" spans="1:15" hidden="1" x14ac:dyDescent="0.25">
      <c r="A3811">
        <v>11304</v>
      </c>
      <c r="B3811" s="11">
        <v>4019876501234</v>
      </c>
      <c r="C3811" s="1" t="s">
        <v>674</v>
      </c>
      <c r="D3811" s="1" t="s">
        <v>29</v>
      </c>
      <c r="E3811" s="1" t="s">
        <v>37</v>
      </c>
      <c r="F3811">
        <v>1.84</v>
      </c>
      <c r="G3811">
        <v>3</v>
      </c>
      <c r="H3811" s="1" t="s">
        <v>14</v>
      </c>
      <c r="I3811" s="1" t="s">
        <v>15</v>
      </c>
      <c r="J3811" s="12">
        <v>45903</v>
      </c>
      <c r="K3811">
        <v>0</v>
      </c>
      <c r="L3811" s="1">
        <f t="shared" si="236"/>
        <v>5.5200000000000005</v>
      </c>
      <c r="M3811" s="1" t="str">
        <f t="shared" si="237"/>
        <v/>
      </c>
      <c r="N3811" s="2">
        <f t="shared" si="238"/>
        <v>45901</v>
      </c>
      <c r="O3811" t="str">
        <f t="shared" si="239"/>
        <v>mačka</v>
      </c>
    </row>
    <row r="3812" spans="1:15" x14ac:dyDescent="0.25">
      <c r="A3812">
        <v>11305</v>
      </c>
      <c r="B3812" s="11">
        <v>4027788990013</v>
      </c>
      <c r="C3812" s="1" t="s">
        <v>43</v>
      </c>
      <c r="D3812" s="1" t="s">
        <v>21</v>
      </c>
      <c r="E3812" s="1" t="s">
        <v>22</v>
      </c>
      <c r="F3812">
        <v>8</v>
      </c>
      <c r="G3812">
        <v>1</v>
      </c>
      <c r="H3812" s="1" t="s">
        <v>18</v>
      </c>
      <c r="I3812" s="1" t="s">
        <v>732</v>
      </c>
      <c r="J3812" s="12">
        <v>45903</v>
      </c>
      <c r="K3812">
        <v>0</v>
      </c>
      <c r="L3812" s="1">
        <f t="shared" si="236"/>
        <v>8</v>
      </c>
      <c r="M3812" s="1">
        <f t="shared" si="237"/>
        <v>4</v>
      </c>
      <c r="N3812" s="2">
        <f t="shared" si="238"/>
        <v>45901</v>
      </c>
      <c r="O3812" t="str">
        <f t="shared" si="239"/>
        <v>pes</v>
      </c>
    </row>
    <row r="3813" spans="1:15" x14ac:dyDescent="0.25">
      <c r="A3813">
        <v>11306</v>
      </c>
      <c r="B3813" s="11">
        <v>4013456789017</v>
      </c>
      <c r="C3813" s="1" t="s">
        <v>11</v>
      </c>
      <c r="D3813" s="1" t="s">
        <v>12</v>
      </c>
      <c r="E3813" s="1" t="s">
        <v>13</v>
      </c>
      <c r="F3813">
        <v>6</v>
      </c>
      <c r="G3813">
        <v>1</v>
      </c>
      <c r="H3813" s="1" t="s">
        <v>14</v>
      </c>
      <c r="I3813" s="1" t="s">
        <v>15</v>
      </c>
      <c r="J3813" s="12">
        <v>45903</v>
      </c>
      <c r="K3813">
        <v>0</v>
      </c>
      <c r="L3813" s="1">
        <f t="shared" si="236"/>
        <v>6</v>
      </c>
      <c r="M3813" s="1" t="str">
        <f t="shared" si="237"/>
        <v/>
      </c>
      <c r="N3813" s="2">
        <f t="shared" si="238"/>
        <v>45901</v>
      </c>
      <c r="O3813" t="str">
        <f t="shared" si="239"/>
        <v>pes</v>
      </c>
    </row>
    <row r="3814" spans="1:15" hidden="1" x14ac:dyDescent="0.25">
      <c r="A3814">
        <v>11307</v>
      </c>
      <c r="B3814" s="11">
        <v>4045678901234</v>
      </c>
      <c r="C3814" s="1" t="s">
        <v>671</v>
      </c>
      <c r="D3814" s="1" t="s">
        <v>29</v>
      </c>
      <c r="E3814" s="1" t="s">
        <v>58</v>
      </c>
      <c r="F3814">
        <v>9.6</v>
      </c>
      <c r="G3814">
        <v>1</v>
      </c>
      <c r="H3814" s="1" t="s">
        <v>14</v>
      </c>
      <c r="I3814" s="1" t="s">
        <v>15</v>
      </c>
      <c r="J3814" s="12">
        <v>45903</v>
      </c>
      <c r="K3814">
        <v>0</v>
      </c>
      <c r="L3814" s="1">
        <f t="shared" si="236"/>
        <v>9.6</v>
      </c>
      <c r="M3814" s="1" t="str">
        <f t="shared" si="237"/>
        <v/>
      </c>
      <c r="N3814" s="2">
        <f t="shared" si="238"/>
        <v>45901</v>
      </c>
      <c r="O3814" t="str">
        <f t="shared" si="239"/>
        <v>mačka</v>
      </c>
    </row>
    <row r="3815" spans="1:15" hidden="1" x14ac:dyDescent="0.25">
      <c r="A3815">
        <v>11308</v>
      </c>
      <c r="B3815" s="11">
        <v>4010123456783</v>
      </c>
      <c r="C3815" s="1" t="s">
        <v>35</v>
      </c>
      <c r="D3815" s="1" t="s">
        <v>36</v>
      </c>
      <c r="E3815" s="1" t="s">
        <v>37</v>
      </c>
      <c r="F3815">
        <v>14</v>
      </c>
      <c r="G3815">
        <v>1</v>
      </c>
      <c r="H3815" s="1" t="s">
        <v>14</v>
      </c>
      <c r="I3815" s="1" t="s">
        <v>15</v>
      </c>
      <c r="J3815" s="12">
        <v>45904</v>
      </c>
      <c r="K3815">
        <v>0</v>
      </c>
      <c r="L3815" s="1">
        <f t="shared" si="236"/>
        <v>14</v>
      </c>
      <c r="M3815" s="1" t="str">
        <f t="shared" si="237"/>
        <v/>
      </c>
      <c r="N3815" s="2">
        <f t="shared" si="238"/>
        <v>45901</v>
      </c>
      <c r="O3815" t="str">
        <f t="shared" si="239"/>
        <v>mačka</v>
      </c>
    </row>
    <row r="3816" spans="1:15" x14ac:dyDescent="0.25">
      <c r="A3816">
        <v>11309</v>
      </c>
      <c r="B3816" s="11">
        <v>4024567890128</v>
      </c>
      <c r="C3816" s="1" t="s">
        <v>682</v>
      </c>
      <c r="D3816" s="1" t="s">
        <v>12</v>
      </c>
      <c r="E3816" s="1" t="s">
        <v>134</v>
      </c>
      <c r="F3816">
        <v>40</v>
      </c>
      <c r="G3816">
        <v>1</v>
      </c>
      <c r="H3816" s="1" t="s">
        <v>14</v>
      </c>
      <c r="I3816" s="1" t="s">
        <v>15</v>
      </c>
      <c r="J3816" s="12">
        <v>45904</v>
      </c>
      <c r="K3816">
        <v>0</v>
      </c>
      <c r="L3816" s="1">
        <f t="shared" si="236"/>
        <v>40</v>
      </c>
      <c r="M3816" s="1" t="str">
        <f t="shared" si="237"/>
        <v/>
      </c>
      <c r="N3816" s="2">
        <f t="shared" si="238"/>
        <v>45901</v>
      </c>
      <c r="O3816" t="str">
        <f t="shared" si="239"/>
        <v>pes</v>
      </c>
    </row>
    <row r="3817" spans="1:15" x14ac:dyDescent="0.25">
      <c r="A3817">
        <v>11310</v>
      </c>
      <c r="B3817" s="11">
        <v>4063456789014</v>
      </c>
      <c r="C3817" s="1" t="s">
        <v>60</v>
      </c>
      <c r="D3817" s="1" t="s">
        <v>12</v>
      </c>
      <c r="E3817" s="1" t="s">
        <v>61</v>
      </c>
      <c r="F3817">
        <v>36</v>
      </c>
      <c r="G3817">
        <v>1</v>
      </c>
      <c r="H3817" s="1" t="s">
        <v>23</v>
      </c>
      <c r="I3817" s="1" t="s">
        <v>733</v>
      </c>
      <c r="J3817" s="12">
        <v>45904</v>
      </c>
      <c r="K3817">
        <v>0</v>
      </c>
      <c r="L3817" s="1">
        <f t="shared" si="236"/>
        <v>36</v>
      </c>
      <c r="M3817" s="1">
        <f t="shared" si="237"/>
        <v>5</v>
      </c>
      <c r="N3817" s="2">
        <f t="shared" si="238"/>
        <v>45901</v>
      </c>
      <c r="O3817" t="str">
        <f t="shared" si="239"/>
        <v>pes</v>
      </c>
    </row>
    <row r="3818" spans="1:15" hidden="1" x14ac:dyDescent="0.25">
      <c r="A3818">
        <v>11311</v>
      </c>
      <c r="B3818" s="11">
        <v>4010123456783</v>
      </c>
      <c r="C3818" s="1" t="s">
        <v>35</v>
      </c>
      <c r="D3818" s="1" t="s">
        <v>36</v>
      </c>
      <c r="E3818" s="1" t="s">
        <v>37</v>
      </c>
      <c r="F3818">
        <v>14</v>
      </c>
      <c r="G3818">
        <v>1</v>
      </c>
      <c r="H3818" s="1" t="s">
        <v>14</v>
      </c>
      <c r="I3818" s="1" t="s">
        <v>15</v>
      </c>
      <c r="J3818" s="12">
        <v>45904</v>
      </c>
      <c r="K3818">
        <v>0</v>
      </c>
      <c r="L3818" s="1">
        <f t="shared" si="236"/>
        <v>14</v>
      </c>
      <c r="M3818" s="1" t="str">
        <f t="shared" si="237"/>
        <v/>
      </c>
      <c r="N3818" s="2">
        <f t="shared" si="238"/>
        <v>45901</v>
      </c>
      <c r="O3818" t="str">
        <f t="shared" si="239"/>
        <v>mačka</v>
      </c>
    </row>
    <row r="3819" spans="1:15" x14ac:dyDescent="0.25">
      <c r="A3819">
        <v>11312</v>
      </c>
      <c r="B3819" s="11">
        <v>4028899001126</v>
      </c>
      <c r="C3819" s="1" t="s">
        <v>16</v>
      </c>
      <c r="D3819" s="1" t="s">
        <v>12</v>
      </c>
      <c r="E3819" s="1" t="s">
        <v>17</v>
      </c>
      <c r="F3819">
        <v>2.8</v>
      </c>
      <c r="G3819">
        <v>2</v>
      </c>
      <c r="H3819" s="1" t="s">
        <v>14</v>
      </c>
      <c r="I3819" s="1" t="s">
        <v>15</v>
      </c>
      <c r="J3819" s="12">
        <v>45904</v>
      </c>
      <c r="K3819">
        <v>0</v>
      </c>
      <c r="L3819" s="1">
        <f t="shared" si="236"/>
        <v>5.6</v>
      </c>
      <c r="M3819" s="1" t="str">
        <f t="shared" si="237"/>
        <v/>
      </c>
      <c r="N3819" s="2">
        <f t="shared" si="238"/>
        <v>45901</v>
      </c>
      <c r="O3819" t="str">
        <f t="shared" si="239"/>
        <v>pes</v>
      </c>
    </row>
    <row r="3820" spans="1:15" x14ac:dyDescent="0.25">
      <c r="A3820">
        <v>11313</v>
      </c>
      <c r="B3820" s="11">
        <v>4013456789017</v>
      </c>
      <c r="C3820" s="1" t="s">
        <v>11</v>
      </c>
      <c r="D3820" s="1" t="s">
        <v>12</v>
      </c>
      <c r="E3820" s="1" t="s">
        <v>13</v>
      </c>
      <c r="F3820">
        <v>6</v>
      </c>
      <c r="G3820">
        <v>1</v>
      </c>
      <c r="H3820" s="1" t="s">
        <v>14</v>
      </c>
      <c r="I3820" s="1" t="s">
        <v>15</v>
      </c>
      <c r="J3820" s="12">
        <v>45904</v>
      </c>
      <c r="K3820">
        <v>0</v>
      </c>
      <c r="L3820" s="1">
        <f t="shared" si="236"/>
        <v>6</v>
      </c>
      <c r="M3820" s="1" t="str">
        <f t="shared" si="237"/>
        <v/>
      </c>
      <c r="N3820" s="2">
        <f t="shared" si="238"/>
        <v>45901</v>
      </c>
      <c r="O3820" t="str">
        <f t="shared" si="239"/>
        <v>pes</v>
      </c>
    </row>
    <row r="3821" spans="1:15" hidden="1" x14ac:dyDescent="0.25">
      <c r="A3821">
        <v>11314</v>
      </c>
      <c r="B3821" s="11">
        <v>4042233445567</v>
      </c>
      <c r="C3821" s="1" t="s">
        <v>637</v>
      </c>
      <c r="D3821" s="1" t="s">
        <v>140</v>
      </c>
      <c r="E3821" s="1" t="s">
        <v>141</v>
      </c>
      <c r="F3821">
        <v>51.64</v>
      </c>
      <c r="G3821">
        <v>1</v>
      </c>
      <c r="H3821" s="1" t="s">
        <v>23</v>
      </c>
      <c r="I3821" s="1" t="s">
        <v>734</v>
      </c>
      <c r="J3821" s="12">
        <v>45904</v>
      </c>
      <c r="K3821">
        <v>0</v>
      </c>
      <c r="L3821" s="1">
        <f t="shared" si="236"/>
        <v>51.64</v>
      </c>
      <c r="M3821" s="1">
        <f t="shared" si="237"/>
        <v>5</v>
      </c>
      <c r="N3821" s="2">
        <f t="shared" si="238"/>
        <v>45901</v>
      </c>
      <c r="O3821" t="str">
        <f t="shared" si="239"/>
        <v>mačka</v>
      </c>
    </row>
    <row r="3822" spans="1:15" hidden="1" x14ac:dyDescent="0.25">
      <c r="A3822">
        <v>11315</v>
      </c>
      <c r="B3822" s="11">
        <v>4021234567894</v>
      </c>
      <c r="C3822" s="1" t="s">
        <v>79</v>
      </c>
      <c r="D3822" s="1" t="s">
        <v>36</v>
      </c>
      <c r="E3822" s="1" t="s">
        <v>69</v>
      </c>
      <c r="F3822">
        <v>8</v>
      </c>
      <c r="G3822">
        <v>1</v>
      </c>
      <c r="H3822" s="1" t="s">
        <v>14</v>
      </c>
      <c r="I3822" s="1" t="s">
        <v>15</v>
      </c>
      <c r="J3822" s="12">
        <v>45904</v>
      </c>
      <c r="K3822">
        <v>0</v>
      </c>
      <c r="L3822" s="1">
        <f t="shared" si="236"/>
        <v>8</v>
      </c>
      <c r="M3822" s="1" t="str">
        <f t="shared" si="237"/>
        <v/>
      </c>
      <c r="N3822" s="2">
        <f t="shared" si="238"/>
        <v>45901</v>
      </c>
      <c r="O3822" t="str">
        <f t="shared" si="239"/>
        <v>mačka</v>
      </c>
    </row>
    <row r="3823" spans="1:15" hidden="1" x14ac:dyDescent="0.25">
      <c r="A3823">
        <v>11316</v>
      </c>
      <c r="B3823" s="11">
        <v>4019876501234</v>
      </c>
      <c r="C3823" s="1" t="s">
        <v>674</v>
      </c>
      <c r="D3823" s="1" t="s">
        <v>29</v>
      </c>
      <c r="E3823" s="1" t="s">
        <v>37</v>
      </c>
      <c r="F3823">
        <v>1.84</v>
      </c>
      <c r="G3823">
        <v>2</v>
      </c>
      <c r="H3823" s="1" t="s">
        <v>14</v>
      </c>
      <c r="I3823" s="1" t="s">
        <v>15</v>
      </c>
      <c r="J3823" s="12">
        <v>45904</v>
      </c>
      <c r="K3823">
        <v>0</v>
      </c>
      <c r="L3823" s="1">
        <f t="shared" si="236"/>
        <v>3.68</v>
      </c>
      <c r="M3823" s="1" t="str">
        <f t="shared" si="237"/>
        <v/>
      </c>
      <c r="N3823" s="2">
        <f t="shared" si="238"/>
        <v>45901</v>
      </c>
      <c r="O3823" t="str">
        <f t="shared" si="239"/>
        <v>mačka</v>
      </c>
    </row>
    <row r="3824" spans="1:15" x14ac:dyDescent="0.25">
      <c r="A3824">
        <v>11317</v>
      </c>
      <c r="B3824" s="11">
        <v>4017890123450</v>
      </c>
      <c r="C3824" s="1" t="s">
        <v>65</v>
      </c>
      <c r="D3824" s="1" t="s">
        <v>39</v>
      </c>
      <c r="E3824" s="1" t="s">
        <v>22</v>
      </c>
      <c r="F3824">
        <v>7.6</v>
      </c>
      <c r="G3824">
        <v>1</v>
      </c>
      <c r="H3824" s="1" t="s">
        <v>14</v>
      </c>
      <c r="I3824" s="1" t="s">
        <v>15</v>
      </c>
      <c r="J3824" s="12">
        <v>45904</v>
      </c>
      <c r="K3824">
        <v>0</v>
      </c>
      <c r="L3824" s="1">
        <f t="shared" si="236"/>
        <v>7.6</v>
      </c>
      <c r="M3824" s="1" t="str">
        <f t="shared" si="237"/>
        <v/>
      </c>
      <c r="N3824" s="2">
        <f t="shared" si="238"/>
        <v>45901</v>
      </c>
      <c r="O3824" t="str">
        <f t="shared" si="239"/>
        <v>pes</v>
      </c>
    </row>
    <row r="3825" spans="1:15" x14ac:dyDescent="0.25">
      <c r="A3825">
        <v>11318</v>
      </c>
      <c r="B3825" s="11">
        <v>4027788990013</v>
      </c>
      <c r="C3825" s="1" t="s">
        <v>43</v>
      </c>
      <c r="D3825" s="1" t="s">
        <v>21</v>
      </c>
      <c r="E3825" s="1" t="s">
        <v>22</v>
      </c>
      <c r="F3825">
        <v>8</v>
      </c>
      <c r="G3825">
        <v>1</v>
      </c>
      <c r="H3825" s="1" t="s">
        <v>14</v>
      </c>
      <c r="I3825" s="1" t="s">
        <v>15</v>
      </c>
      <c r="J3825" s="12">
        <v>45904</v>
      </c>
      <c r="K3825">
        <v>0</v>
      </c>
      <c r="L3825" s="1">
        <f t="shared" si="236"/>
        <v>8</v>
      </c>
      <c r="M3825" s="1" t="str">
        <f t="shared" si="237"/>
        <v/>
      </c>
      <c r="N3825" s="2">
        <f t="shared" si="238"/>
        <v>45901</v>
      </c>
      <c r="O3825" t="str">
        <f t="shared" si="239"/>
        <v>pes</v>
      </c>
    </row>
    <row r="3826" spans="1:15" x14ac:dyDescent="0.25">
      <c r="A3826">
        <v>11319</v>
      </c>
      <c r="B3826" s="11">
        <v>4013456789017</v>
      </c>
      <c r="C3826" s="1" t="s">
        <v>11</v>
      </c>
      <c r="D3826" s="1" t="s">
        <v>12</v>
      </c>
      <c r="E3826" s="1" t="s">
        <v>13</v>
      </c>
      <c r="F3826">
        <v>6</v>
      </c>
      <c r="G3826">
        <v>2</v>
      </c>
      <c r="H3826" s="1" t="s">
        <v>18</v>
      </c>
      <c r="I3826" s="1" t="s">
        <v>735</v>
      </c>
      <c r="J3826" s="12">
        <v>45904</v>
      </c>
      <c r="K3826">
        <v>0</v>
      </c>
      <c r="L3826" s="1">
        <f t="shared" si="236"/>
        <v>12</v>
      </c>
      <c r="M3826" s="1">
        <f t="shared" si="237"/>
        <v>4</v>
      </c>
      <c r="N3826" s="2">
        <f t="shared" si="238"/>
        <v>45901</v>
      </c>
      <c r="O3826" t="str">
        <f t="shared" si="239"/>
        <v>pes</v>
      </c>
    </row>
    <row r="3827" spans="1:15" x14ac:dyDescent="0.25">
      <c r="A3827">
        <v>11320</v>
      </c>
      <c r="B3827" s="11">
        <v>4028899001126</v>
      </c>
      <c r="C3827" s="1" t="s">
        <v>16</v>
      </c>
      <c r="D3827" s="1" t="s">
        <v>12</v>
      </c>
      <c r="E3827" s="1" t="s">
        <v>17</v>
      </c>
      <c r="F3827">
        <v>2.8</v>
      </c>
      <c r="G3827">
        <v>1</v>
      </c>
      <c r="H3827" s="1" t="s">
        <v>14</v>
      </c>
      <c r="I3827" s="1" t="s">
        <v>15</v>
      </c>
      <c r="J3827" s="12">
        <v>45905</v>
      </c>
      <c r="K3827">
        <v>0</v>
      </c>
      <c r="L3827" s="1">
        <f t="shared" si="236"/>
        <v>2.8</v>
      </c>
      <c r="M3827" s="1" t="str">
        <f t="shared" si="237"/>
        <v/>
      </c>
      <c r="N3827" s="2">
        <f t="shared" si="238"/>
        <v>45901</v>
      </c>
      <c r="O3827" t="str">
        <f t="shared" si="239"/>
        <v>pes</v>
      </c>
    </row>
    <row r="3828" spans="1:15" hidden="1" x14ac:dyDescent="0.25">
      <c r="A3828">
        <v>11321</v>
      </c>
      <c r="B3828" s="11">
        <v>4010123456783</v>
      </c>
      <c r="C3828" s="1" t="s">
        <v>35</v>
      </c>
      <c r="D3828" s="1" t="s">
        <v>36</v>
      </c>
      <c r="E3828" s="1" t="s">
        <v>37</v>
      </c>
      <c r="F3828">
        <v>14</v>
      </c>
      <c r="G3828">
        <v>1</v>
      </c>
      <c r="H3828" s="1" t="s">
        <v>14</v>
      </c>
      <c r="I3828" s="1" t="s">
        <v>15</v>
      </c>
      <c r="J3828" s="12">
        <v>45905</v>
      </c>
      <c r="K3828">
        <v>0</v>
      </c>
      <c r="L3828" s="1">
        <f t="shared" si="236"/>
        <v>14</v>
      </c>
      <c r="M3828" s="1" t="str">
        <f t="shared" si="237"/>
        <v/>
      </c>
      <c r="N3828" s="2">
        <f t="shared" si="238"/>
        <v>45901</v>
      </c>
      <c r="O3828" t="str">
        <f t="shared" si="239"/>
        <v>mačka</v>
      </c>
    </row>
    <row r="3829" spans="1:15" x14ac:dyDescent="0.25">
      <c r="A3829">
        <v>11322</v>
      </c>
      <c r="B3829" s="11">
        <v>4013456789017</v>
      </c>
      <c r="C3829" s="1" t="s">
        <v>11</v>
      </c>
      <c r="D3829" s="1" t="s">
        <v>12</v>
      </c>
      <c r="E3829" s="1" t="s">
        <v>13</v>
      </c>
      <c r="F3829">
        <v>6</v>
      </c>
      <c r="G3829">
        <v>1</v>
      </c>
      <c r="H3829" s="1" t="s">
        <v>14</v>
      </c>
      <c r="I3829" s="1" t="s">
        <v>15</v>
      </c>
      <c r="J3829" s="12">
        <v>45905</v>
      </c>
      <c r="K3829">
        <v>0</v>
      </c>
      <c r="L3829" s="1">
        <f t="shared" si="236"/>
        <v>6</v>
      </c>
      <c r="M3829" s="1" t="str">
        <f t="shared" si="237"/>
        <v/>
      </c>
      <c r="N3829" s="2">
        <f t="shared" si="238"/>
        <v>45901</v>
      </c>
      <c r="O3829" t="str">
        <f t="shared" si="239"/>
        <v>pes</v>
      </c>
    </row>
    <row r="3830" spans="1:15" x14ac:dyDescent="0.25">
      <c r="A3830">
        <v>11323</v>
      </c>
      <c r="B3830" s="11">
        <v>4028899001126</v>
      </c>
      <c r="C3830" s="1" t="s">
        <v>16</v>
      </c>
      <c r="D3830" s="1" t="s">
        <v>12</v>
      </c>
      <c r="E3830" s="1" t="s">
        <v>17</v>
      </c>
      <c r="F3830">
        <v>2.8</v>
      </c>
      <c r="G3830">
        <v>3</v>
      </c>
      <c r="H3830" s="1" t="s">
        <v>14</v>
      </c>
      <c r="I3830" s="1" t="s">
        <v>15</v>
      </c>
      <c r="J3830" s="12">
        <v>45905</v>
      </c>
      <c r="K3830">
        <v>0</v>
      </c>
      <c r="L3830" s="1">
        <f t="shared" si="236"/>
        <v>8.3999999999999986</v>
      </c>
      <c r="M3830" s="1" t="str">
        <f t="shared" si="237"/>
        <v/>
      </c>
      <c r="N3830" s="2">
        <f t="shared" si="238"/>
        <v>45901</v>
      </c>
      <c r="O3830" t="str">
        <f t="shared" si="239"/>
        <v>pes</v>
      </c>
    </row>
    <row r="3831" spans="1:15" hidden="1" x14ac:dyDescent="0.25">
      <c r="A3831">
        <v>11324</v>
      </c>
      <c r="B3831" s="11">
        <v>4010123456783</v>
      </c>
      <c r="C3831" s="1" t="s">
        <v>35</v>
      </c>
      <c r="D3831" s="1" t="s">
        <v>36</v>
      </c>
      <c r="E3831" s="1" t="s">
        <v>37</v>
      </c>
      <c r="F3831">
        <v>14</v>
      </c>
      <c r="G3831">
        <v>1</v>
      </c>
      <c r="H3831" s="1" t="s">
        <v>23</v>
      </c>
      <c r="I3831" s="1" t="s">
        <v>736</v>
      </c>
      <c r="J3831" s="12">
        <v>45905</v>
      </c>
      <c r="K3831">
        <v>0</v>
      </c>
      <c r="L3831" s="1">
        <f t="shared" si="236"/>
        <v>14</v>
      </c>
      <c r="M3831" s="1">
        <f t="shared" si="237"/>
        <v>5</v>
      </c>
      <c r="N3831" s="2">
        <f t="shared" si="238"/>
        <v>45901</v>
      </c>
      <c r="O3831" t="str">
        <f t="shared" si="239"/>
        <v>mačka</v>
      </c>
    </row>
    <row r="3832" spans="1:15" hidden="1" x14ac:dyDescent="0.25">
      <c r="A3832">
        <v>11325</v>
      </c>
      <c r="B3832" s="11">
        <v>4021234567894</v>
      </c>
      <c r="C3832" s="1" t="s">
        <v>79</v>
      </c>
      <c r="D3832" s="1" t="s">
        <v>36</v>
      </c>
      <c r="E3832" s="1" t="s">
        <v>69</v>
      </c>
      <c r="F3832">
        <v>8</v>
      </c>
      <c r="G3832">
        <v>1</v>
      </c>
      <c r="H3832" s="1" t="s">
        <v>14</v>
      </c>
      <c r="I3832" s="1" t="s">
        <v>15</v>
      </c>
      <c r="J3832" s="12">
        <v>45905</v>
      </c>
      <c r="K3832">
        <v>0</v>
      </c>
      <c r="L3832" s="1">
        <f t="shared" si="236"/>
        <v>8</v>
      </c>
      <c r="M3832" s="1" t="str">
        <f t="shared" si="237"/>
        <v/>
      </c>
      <c r="N3832" s="2">
        <f t="shared" si="238"/>
        <v>45901</v>
      </c>
      <c r="O3832" t="str">
        <f t="shared" si="239"/>
        <v>mačka</v>
      </c>
    </row>
    <row r="3833" spans="1:15" x14ac:dyDescent="0.25">
      <c r="A3833">
        <v>11326</v>
      </c>
      <c r="B3833" s="11">
        <v>4046789012356</v>
      </c>
      <c r="C3833" s="1" t="s">
        <v>304</v>
      </c>
      <c r="D3833" s="1" t="s">
        <v>39</v>
      </c>
      <c r="E3833" s="1" t="s">
        <v>61</v>
      </c>
      <c r="F3833">
        <v>6.4</v>
      </c>
      <c r="G3833">
        <v>2</v>
      </c>
      <c r="H3833" s="1" t="s">
        <v>14</v>
      </c>
      <c r="I3833" s="1" t="s">
        <v>15</v>
      </c>
      <c r="J3833" s="12">
        <v>45905</v>
      </c>
      <c r="K3833">
        <v>0</v>
      </c>
      <c r="L3833" s="1">
        <f t="shared" si="236"/>
        <v>12.8</v>
      </c>
      <c r="M3833" s="1" t="str">
        <f t="shared" si="237"/>
        <v/>
      </c>
      <c r="N3833" s="2">
        <f t="shared" si="238"/>
        <v>45901</v>
      </c>
      <c r="O3833" t="str">
        <f t="shared" si="239"/>
        <v>pes</v>
      </c>
    </row>
    <row r="3834" spans="1:15" hidden="1" x14ac:dyDescent="0.25">
      <c r="A3834">
        <v>11327</v>
      </c>
      <c r="B3834" s="11">
        <v>4056789012345</v>
      </c>
      <c r="C3834" s="1" t="s">
        <v>47</v>
      </c>
      <c r="D3834" s="1" t="s">
        <v>29</v>
      </c>
      <c r="E3834" s="1" t="s">
        <v>37</v>
      </c>
      <c r="F3834">
        <v>2.4</v>
      </c>
      <c r="G3834">
        <v>3</v>
      </c>
      <c r="H3834" s="1" t="s">
        <v>14</v>
      </c>
      <c r="I3834" s="1" t="s">
        <v>15</v>
      </c>
      <c r="J3834" s="12">
        <v>45905</v>
      </c>
      <c r="K3834">
        <v>0</v>
      </c>
      <c r="L3834" s="1">
        <f t="shared" si="236"/>
        <v>7.1999999999999993</v>
      </c>
      <c r="M3834" s="1" t="str">
        <f t="shared" si="237"/>
        <v/>
      </c>
      <c r="N3834" s="2">
        <f t="shared" si="238"/>
        <v>45901</v>
      </c>
      <c r="O3834" t="str">
        <f t="shared" si="239"/>
        <v>mačka</v>
      </c>
    </row>
    <row r="3835" spans="1:15" x14ac:dyDescent="0.25">
      <c r="A3835">
        <v>11328</v>
      </c>
      <c r="B3835" s="11">
        <v>4027788990013</v>
      </c>
      <c r="C3835" s="1" t="s">
        <v>43</v>
      </c>
      <c r="D3835" s="1" t="s">
        <v>21</v>
      </c>
      <c r="E3835" s="1" t="s">
        <v>22</v>
      </c>
      <c r="F3835">
        <v>8</v>
      </c>
      <c r="G3835">
        <v>1</v>
      </c>
      <c r="H3835" s="1" t="s">
        <v>14</v>
      </c>
      <c r="I3835" s="1" t="s">
        <v>15</v>
      </c>
      <c r="J3835" s="12">
        <v>45905</v>
      </c>
      <c r="K3835">
        <v>0</v>
      </c>
      <c r="L3835" s="1">
        <f t="shared" si="236"/>
        <v>8</v>
      </c>
      <c r="M3835" s="1" t="str">
        <f t="shared" si="237"/>
        <v/>
      </c>
      <c r="N3835" s="2">
        <f t="shared" si="238"/>
        <v>45901</v>
      </c>
      <c r="O3835" t="str">
        <f t="shared" si="239"/>
        <v>pes</v>
      </c>
    </row>
    <row r="3836" spans="1:15" x14ac:dyDescent="0.25">
      <c r="A3836">
        <v>11329</v>
      </c>
      <c r="B3836" s="11">
        <v>4000123456786</v>
      </c>
      <c r="C3836" s="1" t="s">
        <v>305</v>
      </c>
      <c r="D3836" s="1" t="s">
        <v>21</v>
      </c>
      <c r="E3836" s="1" t="s">
        <v>27</v>
      </c>
      <c r="F3836">
        <v>6.8</v>
      </c>
      <c r="G3836">
        <v>1</v>
      </c>
      <c r="H3836" s="1" t="s">
        <v>18</v>
      </c>
      <c r="I3836" s="1" t="s">
        <v>737</v>
      </c>
      <c r="J3836" s="12">
        <v>45905</v>
      </c>
      <c r="K3836">
        <v>0</v>
      </c>
      <c r="L3836" s="1">
        <f t="shared" si="236"/>
        <v>6.8</v>
      </c>
      <c r="M3836" s="1">
        <f t="shared" si="237"/>
        <v>4</v>
      </c>
      <c r="N3836" s="2">
        <f t="shared" si="238"/>
        <v>45901</v>
      </c>
      <c r="O3836" t="str">
        <f t="shared" si="239"/>
        <v>pes</v>
      </c>
    </row>
    <row r="3837" spans="1:15" hidden="1" x14ac:dyDescent="0.25">
      <c r="A3837">
        <v>11330</v>
      </c>
      <c r="B3837" s="11">
        <v>4019876501234</v>
      </c>
      <c r="C3837" s="1" t="s">
        <v>674</v>
      </c>
      <c r="D3837" s="1" t="s">
        <v>29</v>
      </c>
      <c r="E3837" s="1" t="s">
        <v>37</v>
      </c>
      <c r="F3837">
        <v>1.84</v>
      </c>
      <c r="G3837">
        <v>2</v>
      </c>
      <c r="H3837" s="1" t="s">
        <v>14</v>
      </c>
      <c r="I3837" s="1" t="s">
        <v>15</v>
      </c>
      <c r="J3837" s="12">
        <v>45905</v>
      </c>
      <c r="K3837">
        <v>0</v>
      </c>
      <c r="L3837" s="1">
        <f t="shared" si="236"/>
        <v>3.68</v>
      </c>
      <c r="M3837" s="1" t="str">
        <f t="shared" si="237"/>
        <v/>
      </c>
      <c r="N3837" s="2">
        <f t="shared" si="238"/>
        <v>45901</v>
      </c>
      <c r="O3837" t="str">
        <f t="shared" si="239"/>
        <v>mačka</v>
      </c>
    </row>
    <row r="3838" spans="1:15" x14ac:dyDescent="0.25">
      <c r="A3838">
        <v>11331</v>
      </c>
      <c r="B3838" s="11">
        <v>4063456789014</v>
      </c>
      <c r="C3838" s="1" t="s">
        <v>60</v>
      </c>
      <c r="D3838" s="1" t="s">
        <v>12</v>
      </c>
      <c r="E3838" s="1" t="s">
        <v>61</v>
      </c>
      <c r="F3838">
        <v>36</v>
      </c>
      <c r="G3838">
        <v>1</v>
      </c>
      <c r="H3838" s="1" t="s">
        <v>14</v>
      </c>
      <c r="I3838" s="1" t="s">
        <v>15</v>
      </c>
      <c r="J3838" s="12">
        <v>45905</v>
      </c>
      <c r="K3838">
        <v>0</v>
      </c>
      <c r="L3838" s="1">
        <f t="shared" si="236"/>
        <v>36</v>
      </c>
      <c r="M3838" s="1" t="str">
        <f t="shared" si="237"/>
        <v/>
      </c>
      <c r="N3838" s="2">
        <f t="shared" si="238"/>
        <v>45901</v>
      </c>
      <c r="O3838" t="str">
        <f t="shared" si="239"/>
        <v>pes</v>
      </c>
    </row>
    <row r="3839" spans="1:15" x14ac:dyDescent="0.25">
      <c r="A3839">
        <v>11332</v>
      </c>
      <c r="B3839" s="11">
        <v>4028899001126</v>
      </c>
      <c r="C3839" s="1" t="s">
        <v>16</v>
      </c>
      <c r="D3839" s="1" t="s">
        <v>12</v>
      </c>
      <c r="E3839" s="1" t="s">
        <v>17</v>
      </c>
      <c r="F3839">
        <v>2.8</v>
      </c>
      <c r="G3839">
        <v>2</v>
      </c>
      <c r="H3839" s="1" t="s">
        <v>14</v>
      </c>
      <c r="I3839" s="1" t="s">
        <v>15</v>
      </c>
      <c r="J3839" s="12">
        <v>45905</v>
      </c>
      <c r="K3839">
        <v>0</v>
      </c>
      <c r="L3839" s="1">
        <f t="shared" si="236"/>
        <v>5.6</v>
      </c>
      <c r="M3839" s="1" t="str">
        <f t="shared" si="237"/>
        <v/>
      </c>
      <c r="N3839" s="2">
        <f t="shared" si="238"/>
        <v>45901</v>
      </c>
      <c r="O3839" t="str">
        <f t="shared" si="239"/>
        <v>pes</v>
      </c>
    </row>
    <row r="3840" spans="1:15" x14ac:dyDescent="0.25">
      <c r="A3840">
        <v>11333</v>
      </c>
      <c r="B3840" s="11">
        <v>4013456789017</v>
      </c>
      <c r="C3840" s="1" t="s">
        <v>11</v>
      </c>
      <c r="D3840" s="1" t="s">
        <v>12</v>
      </c>
      <c r="E3840" s="1" t="s">
        <v>13</v>
      </c>
      <c r="F3840">
        <v>6</v>
      </c>
      <c r="G3840">
        <v>1</v>
      </c>
      <c r="H3840" s="1" t="s">
        <v>18</v>
      </c>
      <c r="I3840" s="1" t="s">
        <v>738</v>
      </c>
      <c r="J3840" s="12">
        <v>45906</v>
      </c>
      <c r="K3840">
        <v>0</v>
      </c>
      <c r="L3840" s="1">
        <f t="shared" si="236"/>
        <v>6</v>
      </c>
      <c r="M3840" s="1">
        <f t="shared" si="237"/>
        <v>4</v>
      </c>
      <c r="N3840" s="2">
        <f t="shared" si="238"/>
        <v>45901</v>
      </c>
      <c r="O3840" t="str">
        <f t="shared" si="239"/>
        <v>pes</v>
      </c>
    </row>
    <row r="3841" spans="1:15" x14ac:dyDescent="0.25">
      <c r="A3841">
        <v>11334</v>
      </c>
      <c r="B3841" s="11">
        <v>4024567890128</v>
      </c>
      <c r="C3841" s="1" t="s">
        <v>682</v>
      </c>
      <c r="D3841" s="1" t="s">
        <v>12</v>
      </c>
      <c r="E3841" s="1" t="s">
        <v>134</v>
      </c>
      <c r="F3841">
        <v>40</v>
      </c>
      <c r="G3841">
        <v>1</v>
      </c>
      <c r="H3841" s="1" t="s">
        <v>14</v>
      </c>
      <c r="I3841" s="1" t="s">
        <v>15</v>
      </c>
      <c r="J3841" s="12">
        <v>45906</v>
      </c>
      <c r="K3841">
        <v>0</v>
      </c>
      <c r="L3841" s="1">
        <f t="shared" si="236"/>
        <v>40</v>
      </c>
      <c r="M3841" s="1" t="str">
        <f t="shared" si="237"/>
        <v/>
      </c>
      <c r="N3841" s="2">
        <f t="shared" si="238"/>
        <v>45901</v>
      </c>
      <c r="O3841" t="str">
        <f t="shared" si="239"/>
        <v>pes</v>
      </c>
    </row>
    <row r="3842" spans="1:15" hidden="1" x14ac:dyDescent="0.25">
      <c r="A3842">
        <v>11335</v>
      </c>
      <c r="B3842" s="11">
        <v>4042233445567</v>
      </c>
      <c r="C3842" s="1" t="s">
        <v>637</v>
      </c>
      <c r="D3842" s="1" t="s">
        <v>140</v>
      </c>
      <c r="E3842" s="1" t="s">
        <v>141</v>
      </c>
      <c r="F3842">
        <v>51.64</v>
      </c>
      <c r="G3842">
        <v>1</v>
      </c>
      <c r="H3842" s="1" t="s">
        <v>23</v>
      </c>
      <c r="I3842" s="1" t="s">
        <v>739</v>
      </c>
      <c r="J3842" s="12">
        <v>45906</v>
      </c>
      <c r="K3842">
        <v>0</v>
      </c>
      <c r="L3842" s="1">
        <f t="shared" ref="L3842:L3905" si="240">F3842*G3842</f>
        <v>51.64</v>
      </c>
      <c r="M3842" s="1">
        <f t="shared" ref="M3842:M3905" si="241">IF(H3842="NULL", "",VALUE(H3842))</f>
        <v>5</v>
      </c>
      <c r="N3842" s="2">
        <f t="shared" ref="N3842:N3905" si="242">DATE(YEAR(J3842),MONTH(J3842),1)</f>
        <v>45901</v>
      </c>
      <c r="O3842" t="str">
        <f t="shared" ref="O3842:O3905" si="243">IF(ISNUMBER(SEARCH("Mačky",D3842)),"mačka",IF(ISNUMBER(SEARCH("Psy",D3842)),"pes","iné"))</f>
        <v>mačka</v>
      </c>
    </row>
    <row r="3843" spans="1:15" x14ac:dyDescent="0.25">
      <c r="A3843">
        <v>11336</v>
      </c>
      <c r="B3843" s="11">
        <v>4017890123450</v>
      </c>
      <c r="C3843" s="1" t="s">
        <v>65</v>
      </c>
      <c r="D3843" s="1" t="s">
        <v>39</v>
      </c>
      <c r="E3843" s="1" t="s">
        <v>22</v>
      </c>
      <c r="F3843">
        <v>7.6</v>
      </c>
      <c r="G3843">
        <v>1</v>
      </c>
      <c r="H3843" s="1" t="s">
        <v>14</v>
      </c>
      <c r="I3843" s="1" t="s">
        <v>15</v>
      </c>
      <c r="J3843" s="12">
        <v>45906</v>
      </c>
      <c r="K3843">
        <v>0</v>
      </c>
      <c r="L3843" s="1">
        <f t="shared" si="240"/>
        <v>7.6</v>
      </c>
      <c r="M3843" s="1" t="str">
        <f t="shared" si="241"/>
        <v/>
      </c>
      <c r="N3843" s="2">
        <f t="shared" si="242"/>
        <v>45901</v>
      </c>
      <c r="O3843" t="str">
        <f t="shared" si="243"/>
        <v>pes</v>
      </c>
    </row>
    <row r="3844" spans="1:15" x14ac:dyDescent="0.25">
      <c r="A3844">
        <v>11337</v>
      </c>
      <c r="B3844" s="11">
        <v>4028899001126</v>
      </c>
      <c r="C3844" s="1" t="s">
        <v>16</v>
      </c>
      <c r="D3844" s="1" t="s">
        <v>12</v>
      </c>
      <c r="E3844" s="1" t="s">
        <v>17</v>
      </c>
      <c r="F3844">
        <v>2.8</v>
      </c>
      <c r="G3844">
        <v>4</v>
      </c>
      <c r="H3844" s="1" t="s">
        <v>14</v>
      </c>
      <c r="I3844" s="1" t="s">
        <v>15</v>
      </c>
      <c r="J3844" s="12">
        <v>45906</v>
      </c>
      <c r="K3844">
        <v>0</v>
      </c>
      <c r="L3844" s="1">
        <f t="shared" si="240"/>
        <v>11.2</v>
      </c>
      <c r="M3844" s="1" t="str">
        <f t="shared" si="241"/>
        <v/>
      </c>
      <c r="N3844" s="2">
        <f t="shared" si="242"/>
        <v>45901</v>
      </c>
      <c r="O3844" t="str">
        <f t="shared" si="243"/>
        <v>pes</v>
      </c>
    </row>
    <row r="3845" spans="1:15" hidden="1" x14ac:dyDescent="0.25">
      <c r="A3845">
        <v>11338</v>
      </c>
      <c r="B3845" s="11">
        <v>4010123456783</v>
      </c>
      <c r="C3845" s="1" t="s">
        <v>35</v>
      </c>
      <c r="D3845" s="1" t="s">
        <v>36</v>
      </c>
      <c r="E3845" s="1" t="s">
        <v>37</v>
      </c>
      <c r="F3845">
        <v>14</v>
      </c>
      <c r="G3845">
        <v>1</v>
      </c>
      <c r="H3845" s="1" t="s">
        <v>14</v>
      </c>
      <c r="I3845" s="1" t="s">
        <v>15</v>
      </c>
      <c r="J3845" s="12">
        <v>45906</v>
      </c>
      <c r="K3845">
        <v>0</v>
      </c>
      <c r="L3845" s="1">
        <f t="shared" si="240"/>
        <v>14</v>
      </c>
      <c r="M3845" s="1" t="str">
        <f t="shared" si="241"/>
        <v/>
      </c>
      <c r="N3845" s="2">
        <f t="shared" si="242"/>
        <v>45901</v>
      </c>
      <c r="O3845" t="str">
        <f t="shared" si="243"/>
        <v>mačka</v>
      </c>
    </row>
    <row r="3846" spans="1:15" hidden="1" x14ac:dyDescent="0.25">
      <c r="A3846">
        <v>11339</v>
      </c>
      <c r="B3846" s="11">
        <v>4056789012345</v>
      </c>
      <c r="C3846" s="1" t="s">
        <v>47</v>
      </c>
      <c r="D3846" s="1" t="s">
        <v>29</v>
      </c>
      <c r="E3846" s="1" t="s">
        <v>37</v>
      </c>
      <c r="F3846">
        <v>2.4</v>
      </c>
      <c r="G3846">
        <v>2</v>
      </c>
      <c r="H3846" s="1" t="s">
        <v>14</v>
      </c>
      <c r="I3846" s="1" t="s">
        <v>15</v>
      </c>
      <c r="J3846" s="12">
        <v>45906</v>
      </c>
      <c r="K3846">
        <v>0</v>
      </c>
      <c r="L3846" s="1">
        <f t="shared" si="240"/>
        <v>4.8</v>
      </c>
      <c r="M3846" s="1" t="str">
        <f t="shared" si="241"/>
        <v/>
      </c>
      <c r="N3846" s="2">
        <f t="shared" si="242"/>
        <v>45901</v>
      </c>
      <c r="O3846" t="str">
        <f t="shared" si="243"/>
        <v>mačka</v>
      </c>
    </row>
    <row r="3847" spans="1:15" x14ac:dyDescent="0.25">
      <c r="A3847">
        <v>11340</v>
      </c>
      <c r="B3847" s="11">
        <v>4027788990013</v>
      </c>
      <c r="C3847" s="1" t="s">
        <v>43</v>
      </c>
      <c r="D3847" s="1" t="s">
        <v>21</v>
      </c>
      <c r="E3847" s="1" t="s">
        <v>22</v>
      </c>
      <c r="F3847">
        <v>8</v>
      </c>
      <c r="G3847">
        <v>1</v>
      </c>
      <c r="H3847" s="1" t="s">
        <v>14</v>
      </c>
      <c r="I3847" s="1" t="s">
        <v>15</v>
      </c>
      <c r="J3847" s="12">
        <v>45906</v>
      </c>
      <c r="K3847">
        <v>0</v>
      </c>
      <c r="L3847" s="1">
        <f t="shared" si="240"/>
        <v>8</v>
      </c>
      <c r="M3847" s="1" t="str">
        <f t="shared" si="241"/>
        <v/>
      </c>
      <c r="N3847" s="2">
        <f t="shared" si="242"/>
        <v>45901</v>
      </c>
      <c r="O3847" t="str">
        <f t="shared" si="243"/>
        <v>pes</v>
      </c>
    </row>
    <row r="3848" spans="1:15" x14ac:dyDescent="0.25">
      <c r="A3848">
        <v>11341</v>
      </c>
      <c r="B3848" s="11">
        <v>4013456789017</v>
      </c>
      <c r="C3848" s="1" t="s">
        <v>11</v>
      </c>
      <c r="D3848" s="1" t="s">
        <v>12</v>
      </c>
      <c r="E3848" s="1" t="s">
        <v>13</v>
      </c>
      <c r="F3848">
        <v>6</v>
      </c>
      <c r="G3848">
        <v>1</v>
      </c>
      <c r="H3848" s="1" t="s">
        <v>33</v>
      </c>
      <c r="I3848" s="1" t="s">
        <v>740</v>
      </c>
      <c r="J3848" s="12">
        <v>45906</v>
      </c>
      <c r="K3848">
        <v>0</v>
      </c>
      <c r="L3848" s="1">
        <f t="shared" si="240"/>
        <v>6</v>
      </c>
      <c r="M3848" s="1">
        <f t="shared" si="241"/>
        <v>3</v>
      </c>
      <c r="N3848" s="2">
        <f t="shared" si="242"/>
        <v>45901</v>
      </c>
      <c r="O3848" t="str">
        <f t="shared" si="243"/>
        <v>pes</v>
      </c>
    </row>
    <row r="3849" spans="1:15" x14ac:dyDescent="0.25">
      <c r="A3849">
        <v>11342</v>
      </c>
      <c r="B3849" s="11">
        <v>4028899001126</v>
      </c>
      <c r="C3849" s="1" t="s">
        <v>16</v>
      </c>
      <c r="D3849" s="1" t="s">
        <v>12</v>
      </c>
      <c r="E3849" s="1" t="s">
        <v>17</v>
      </c>
      <c r="F3849">
        <v>2.8</v>
      </c>
      <c r="G3849">
        <v>3</v>
      </c>
      <c r="H3849" s="1" t="s">
        <v>14</v>
      </c>
      <c r="I3849" s="1" t="s">
        <v>15</v>
      </c>
      <c r="J3849" s="12">
        <v>45906</v>
      </c>
      <c r="K3849">
        <v>0</v>
      </c>
      <c r="L3849" s="1">
        <f t="shared" si="240"/>
        <v>8.3999999999999986</v>
      </c>
      <c r="M3849" s="1" t="str">
        <f t="shared" si="241"/>
        <v/>
      </c>
      <c r="N3849" s="2">
        <f t="shared" si="242"/>
        <v>45901</v>
      </c>
      <c r="O3849" t="str">
        <f t="shared" si="243"/>
        <v>pes</v>
      </c>
    </row>
    <row r="3850" spans="1:15" hidden="1" x14ac:dyDescent="0.25">
      <c r="A3850">
        <v>11343</v>
      </c>
      <c r="B3850" s="11">
        <v>4019876501234</v>
      </c>
      <c r="C3850" s="1" t="s">
        <v>674</v>
      </c>
      <c r="D3850" s="1" t="s">
        <v>29</v>
      </c>
      <c r="E3850" s="1" t="s">
        <v>37</v>
      </c>
      <c r="F3850">
        <v>1.84</v>
      </c>
      <c r="G3850">
        <v>1</v>
      </c>
      <c r="H3850" s="1" t="s">
        <v>14</v>
      </c>
      <c r="I3850" s="1" t="s">
        <v>15</v>
      </c>
      <c r="J3850" s="12">
        <v>45906</v>
      </c>
      <c r="K3850">
        <v>0</v>
      </c>
      <c r="L3850" s="1">
        <f t="shared" si="240"/>
        <v>1.84</v>
      </c>
      <c r="M3850" s="1" t="str">
        <f t="shared" si="241"/>
        <v/>
      </c>
      <c r="N3850" s="2">
        <f t="shared" si="242"/>
        <v>45901</v>
      </c>
      <c r="O3850" t="str">
        <f t="shared" si="243"/>
        <v>mačka</v>
      </c>
    </row>
    <row r="3851" spans="1:15" x14ac:dyDescent="0.25">
      <c r="A3851">
        <v>11344</v>
      </c>
      <c r="B3851" s="11">
        <v>4063456789014</v>
      </c>
      <c r="C3851" s="1" t="s">
        <v>60</v>
      </c>
      <c r="D3851" s="1" t="s">
        <v>12</v>
      </c>
      <c r="E3851" s="1" t="s">
        <v>61</v>
      </c>
      <c r="F3851">
        <v>36</v>
      </c>
      <c r="G3851">
        <v>1</v>
      </c>
      <c r="H3851" s="1" t="s">
        <v>18</v>
      </c>
      <c r="I3851" s="1" t="s">
        <v>741</v>
      </c>
      <c r="J3851" s="12">
        <v>45906</v>
      </c>
      <c r="K3851">
        <v>0</v>
      </c>
      <c r="L3851" s="1">
        <f t="shared" si="240"/>
        <v>36</v>
      </c>
      <c r="M3851" s="1">
        <f t="shared" si="241"/>
        <v>4</v>
      </c>
      <c r="N3851" s="2">
        <f t="shared" si="242"/>
        <v>45901</v>
      </c>
      <c r="O3851" t="str">
        <f t="shared" si="243"/>
        <v>pes</v>
      </c>
    </row>
    <row r="3852" spans="1:15" hidden="1" x14ac:dyDescent="0.25">
      <c r="A3852">
        <v>11345</v>
      </c>
      <c r="B3852" s="11">
        <v>5901234509876</v>
      </c>
      <c r="C3852" s="1" t="s">
        <v>685</v>
      </c>
      <c r="D3852" s="1" t="s">
        <v>29</v>
      </c>
      <c r="E3852" s="1" t="s">
        <v>42</v>
      </c>
      <c r="F3852">
        <v>40</v>
      </c>
      <c r="G3852">
        <v>1</v>
      </c>
      <c r="H3852" s="1" t="s">
        <v>14</v>
      </c>
      <c r="I3852" s="1" t="s">
        <v>15</v>
      </c>
      <c r="J3852" s="12">
        <v>45906</v>
      </c>
      <c r="K3852">
        <v>0</v>
      </c>
      <c r="L3852" s="1">
        <f t="shared" si="240"/>
        <v>40</v>
      </c>
      <c r="M3852" s="1" t="str">
        <f t="shared" si="241"/>
        <v/>
      </c>
      <c r="N3852" s="2">
        <f t="shared" si="242"/>
        <v>45901</v>
      </c>
      <c r="O3852" t="str">
        <f t="shared" si="243"/>
        <v>mačka</v>
      </c>
    </row>
    <row r="3853" spans="1:15" hidden="1" x14ac:dyDescent="0.25">
      <c r="A3853">
        <v>11346</v>
      </c>
      <c r="B3853" s="11">
        <v>4021234567894</v>
      </c>
      <c r="C3853" s="1" t="s">
        <v>79</v>
      </c>
      <c r="D3853" s="1" t="s">
        <v>36</v>
      </c>
      <c r="E3853" s="1" t="s">
        <v>69</v>
      </c>
      <c r="F3853">
        <v>8</v>
      </c>
      <c r="G3853">
        <v>1</v>
      </c>
      <c r="H3853" s="1" t="s">
        <v>14</v>
      </c>
      <c r="I3853" s="1" t="s">
        <v>15</v>
      </c>
      <c r="J3853" s="12">
        <v>45906</v>
      </c>
      <c r="K3853">
        <v>0</v>
      </c>
      <c r="L3853" s="1">
        <f t="shared" si="240"/>
        <v>8</v>
      </c>
      <c r="M3853" s="1" t="str">
        <f t="shared" si="241"/>
        <v/>
      </c>
      <c r="N3853" s="2">
        <f t="shared" si="242"/>
        <v>45901</v>
      </c>
      <c r="O3853" t="str">
        <f t="shared" si="243"/>
        <v>mačka</v>
      </c>
    </row>
    <row r="3854" spans="1:15" x14ac:dyDescent="0.25">
      <c r="A3854">
        <v>11347</v>
      </c>
      <c r="B3854" s="11">
        <v>4046789012356</v>
      </c>
      <c r="C3854" s="1" t="s">
        <v>304</v>
      </c>
      <c r="D3854" s="1" t="s">
        <v>39</v>
      </c>
      <c r="E3854" s="1" t="s">
        <v>61</v>
      </c>
      <c r="F3854">
        <v>6.4</v>
      </c>
      <c r="G3854">
        <v>1</v>
      </c>
      <c r="H3854" s="1" t="s">
        <v>23</v>
      </c>
      <c r="I3854" s="1" t="s">
        <v>742</v>
      </c>
      <c r="J3854" s="12">
        <v>45906</v>
      </c>
      <c r="K3854">
        <v>0</v>
      </c>
      <c r="L3854" s="1">
        <f t="shared" si="240"/>
        <v>6.4</v>
      </c>
      <c r="M3854" s="1">
        <f t="shared" si="241"/>
        <v>5</v>
      </c>
      <c r="N3854" s="2">
        <f t="shared" si="242"/>
        <v>45901</v>
      </c>
      <c r="O3854" t="str">
        <f t="shared" si="243"/>
        <v>pes</v>
      </c>
    </row>
    <row r="3855" spans="1:15" x14ac:dyDescent="0.25">
      <c r="A3855">
        <v>11348</v>
      </c>
      <c r="B3855" s="11">
        <v>4017890123450</v>
      </c>
      <c r="C3855" s="1" t="s">
        <v>65</v>
      </c>
      <c r="D3855" s="1" t="s">
        <v>39</v>
      </c>
      <c r="E3855" s="1" t="s">
        <v>22</v>
      </c>
      <c r="F3855">
        <v>7.6</v>
      </c>
      <c r="G3855">
        <v>1</v>
      </c>
      <c r="H3855" s="1" t="s">
        <v>14</v>
      </c>
      <c r="I3855" s="1" t="s">
        <v>15</v>
      </c>
      <c r="J3855" s="12">
        <v>45906</v>
      </c>
      <c r="K3855">
        <v>0</v>
      </c>
      <c r="L3855" s="1">
        <f t="shared" si="240"/>
        <v>7.6</v>
      </c>
      <c r="M3855" s="1" t="str">
        <f t="shared" si="241"/>
        <v/>
      </c>
      <c r="N3855" s="2">
        <f t="shared" si="242"/>
        <v>45901</v>
      </c>
      <c r="O3855" t="str">
        <f t="shared" si="243"/>
        <v>pes</v>
      </c>
    </row>
    <row r="3856" spans="1:15" x14ac:dyDescent="0.25">
      <c r="A3856">
        <v>11349</v>
      </c>
      <c r="B3856" s="11">
        <v>4028899001126</v>
      </c>
      <c r="C3856" s="1" t="s">
        <v>16</v>
      </c>
      <c r="D3856" s="1" t="s">
        <v>12</v>
      </c>
      <c r="E3856" s="1" t="s">
        <v>17</v>
      </c>
      <c r="F3856">
        <v>2.8</v>
      </c>
      <c r="G3856">
        <v>3</v>
      </c>
      <c r="H3856" s="1" t="s">
        <v>14</v>
      </c>
      <c r="I3856" s="1" t="s">
        <v>15</v>
      </c>
      <c r="J3856" s="12">
        <v>45906</v>
      </c>
      <c r="K3856">
        <v>0</v>
      </c>
      <c r="L3856" s="1">
        <f t="shared" si="240"/>
        <v>8.3999999999999986</v>
      </c>
      <c r="M3856" s="1" t="str">
        <f t="shared" si="241"/>
        <v/>
      </c>
      <c r="N3856" s="2">
        <f t="shared" si="242"/>
        <v>45901</v>
      </c>
      <c r="O3856" t="str">
        <f t="shared" si="243"/>
        <v>pes</v>
      </c>
    </row>
    <row r="3857" spans="1:15" hidden="1" x14ac:dyDescent="0.25">
      <c r="A3857">
        <v>11350</v>
      </c>
      <c r="B3857" s="11">
        <v>4023456789012</v>
      </c>
      <c r="C3857" s="1" t="s">
        <v>55</v>
      </c>
      <c r="D3857" s="1" t="s">
        <v>29</v>
      </c>
      <c r="E3857" s="1" t="s">
        <v>32</v>
      </c>
      <c r="F3857">
        <v>4</v>
      </c>
      <c r="G3857">
        <v>1</v>
      </c>
      <c r="H3857" s="1" t="s">
        <v>18</v>
      </c>
      <c r="I3857" s="1" t="s">
        <v>730</v>
      </c>
      <c r="J3857" s="12">
        <v>45906</v>
      </c>
      <c r="K3857">
        <v>0</v>
      </c>
      <c r="L3857" s="1">
        <f t="shared" si="240"/>
        <v>4</v>
      </c>
      <c r="M3857" s="1">
        <f t="shared" si="241"/>
        <v>4</v>
      </c>
      <c r="N3857" s="2">
        <f t="shared" si="242"/>
        <v>45901</v>
      </c>
      <c r="O3857" t="str">
        <f t="shared" si="243"/>
        <v>mačka</v>
      </c>
    </row>
    <row r="3858" spans="1:15" x14ac:dyDescent="0.25">
      <c r="A3858">
        <v>11351</v>
      </c>
      <c r="B3858" s="11">
        <v>4027788990013</v>
      </c>
      <c r="C3858" s="1" t="s">
        <v>43</v>
      </c>
      <c r="D3858" s="1" t="s">
        <v>21</v>
      </c>
      <c r="E3858" s="1" t="s">
        <v>22</v>
      </c>
      <c r="F3858">
        <v>8</v>
      </c>
      <c r="G3858">
        <v>1</v>
      </c>
      <c r="H3858" s="1" t="s">
        <v>14</v>
      </c>
      <c r="I3858" s="1" t="s">
        <v>15</v>
      </c>
      <c r="J3858" s="12">
        <v>45906</v>
      </c>
      <c r="K3858">
        <v>0</v>
      </c>
      <c r="L3858" s="1">
        <f t="shared" si="240"/>
        <v>8</v>
      </c>
      <c r="M3858" s="1" t="str">
        <f t="shared" si="241"/>
        <v/>
      </c>
      <c r="N3858" s="2">
        <f t="shared" si="242"/>
        <v>45901</v>
      </c>
      <c r="O3858" t="str">
        <f t="shared" si="243"/>
        <v>pes</v>
      </c>
    </row>
    <row r="3859" spans="1:15" hidden="1" x14ac:dyDescent="0.25">
      <c r="A3859">
        <v>11352</v>
      </c>
      <c r="B3859" s="11">
        <v>4042233445567</v>
      </c>
      <c r="C3859" s="1" t="s">
        <v>637</v>
      </c>
      <c r="D3859" s="1" t="s">
        <v>140</v>
      </c>
      <c r="E3859" s="1" t="s">
        <v>141</v>
      </c>
      <c r="F3859">
        <v>51.64</v>
      </c>
      <c r="G3859">
        <v>1</v>
      </c>
      <c r="H3859" s="1" t="s">
        <v>14</v>
      </c>
      <c r="I3859" s="1" t="s">
        <v>15</v>
      </c>
      <c r="J3859" s="12">
        <v>45906</v>
      </c>
      <c r="K3859">
        <v>0</v>
      </c>
      <c r="L3859" s="1">
        <f t="shared" si="240"/>
        <v>51.64</v>
      </c>
      <c r="M3859" s="1" t="str">
        <f t="shared" si="241"/>
        <v/>
      </c>
      <c r="N3859" s="2">
        <f t="shared" si="242"/>
        <v>45901</v>
      </c>
      <c r="O3859" t="str">
        <f t="shared" si="243"/>
        <v>mačka</v>
      </c>
    </row>
    <row r="3860" spans="1:15" x14ac:dyDescent="0.25">
      <c r="A3860">
        <v>11353</v>
      </c>
      <c r="B3860" s="11">
        <v>4013456789017</v>
      </c>
      <c r="C3860" s="1" t="s">
        <v>11</v>
      </c>
      <c r="D3860" s="1" t="s">
        <v>12</v>
      </c>
      <c r="E3860" s="1" t="s">
        <v>13</v>
      </c>
      <c r="F3860">
        <v>6</v>
      </c>
      <c r="G3860">
        <v>1</v>
      </c>
      <c r="H3860" s="1" t="s">
        <v>14</v>
      </c>
      <c r="I3860" s="1" t="s">
        <v>15</v>
      </c>
      <c r="J3860" s="12">
        <v>45906</v>
      </c>
      <c r="K3860">
        <v>0</v>
      </c>
      <c r="L3860" s="1">
        <f t="shared" si="240"/>
        <v>6</v>
      </c>
      <c r="M3860" s="1" t="str">
        <f t="shared" si="241"/>
        <v/>
      </c>
      <c r="N3860" s="2">
        <f t="shared" si="242"/>
        <v>45901</v>
      </c>
      <c r="O3860" t="str">
        <f t="shared" si="243"/>
        <v>pes</v>
      </c>
    </row>
    <row r="3861" spans="1:15" x14ac:dyDescent="0.25">
      <c r="A3861">
        <v>11354</v>
      </c>
      <c r="B3861" s="11">
        <v>4028899001126</v>
      </c>
      <c r="C3861" s="1" t="s">
        <v>16</v>
      </c>
      <c r="D3861" s="1" t="s">
        <v>12</v>
      </c>
      <c r="E3861" s="1" t="s">
        <v>17</v>
      </c>
      <c r="F3861">
        <v>2.8</v>
      </c>
      <c r="G3861">
        <v>2</v>
      </c>
      <c r="H3861" s="1" t="s">
        <v>18</v>
      </c>
      <c r="I3861" s="1" t="s">
        <v>743</v>
      </c>
      <c r="J3861" s="12">
        <v>45906</v>
      </c>
      <c r="K3861">
        <v>0</v>
      </c>
      <c r="L3861" s="1">
        <f t="shared" si="240"/>
        <v>5.6</v>
      </c>
      <c r="M3861" s="1">
        <f t="shared" si="241"/>
        <v>4</v>
      </c>
      <c r="N3861" s="2">
        <f t="shared" si="242"/>
        <v>45901</v>
      </c>
      <c r="O3861" t="str">
        <f t="shared" si="243"/>
        <v>pes</v>
      </c>
    </row>
    <row r="3862" spans="1:15" hidden="1" x14ac:dyDescent="0.25">
      <c r="A3862">
        <v>11355</v>
      </c>
      <c r="B3862" s="11">
        <v>4010123456783</v>
      </c>
      <c r="C3862" s="1" t="s">
        <v>35</v>
      </c>
      <c r="D3862" s="1" t="s">
        <v>36</v>
      </c>
      <c r="E3862" s="1" t="s">
        <v>37</v>
      </c>
      <c r="F3862">
        <v>14</v>
      </c>
      <c r="G3862">
        <v>1</v>
      </c>
      <c r="H3862" s="1" t="s">
        <v>14</v>
      </c>
      <c r="I3862" s="1" t="s">
        <v>15</v>
      </c>
      <c r="J3862" s="12">
        <v>45907</v>
      </c>
      <c r="K3862">
        <v>0</v>
      </c>
      <c r="L3862" s="1">
        <f t="shared" si="240"/>
        <v>14</v>
      </c>
      <c r="M3862" s="1" t="str">
        <f t="shared" si="241"/>
        <v/>
      </c>
      <c r="N3862" s="2">
        <f t="shared" si="242"/>
        <v>45901</v>
      </c>
      <c r="O3862" t="str">
        <f t="shared" si="243"/>
        <v>mačka</v>
      </c>
    </row>
    <row r="3863" spans="1:15" x14ac:dyDescent="0.25">
      <c r="A3863">
        <v>11356</v>
      </c>
      <c r="B3863" s="11">
        <v>4024567890128</v>
      </c>
      <c r="C3863" s="1" t="s">
        <v>682</v>
      </c>
      <c r="D3863" s="1" t="s">
        <v>12</v>
      </c>
      <c r="E3863" s="1" t="s">
        <v>134</v>
      </c>
      <c r="F3863">
        <v>40</v>
      </c>
      <c r="G3863">
        <v>1</v>
      </c>
      <c r="H3863" s="1" t="s">
        <v>14</v>
      </c>
      <c r="I3863" s="1" t="s">
        <v>15</v>
      </c>
      <c r="J3863" s="12">
        <v>45907</v>
      </c>
      <c r="K3863">
        <v>0</v>
      </c>
      <c r="L3863" s="1">
        <f t="shared" si="240"/>
        <v>40</v>
      </c>
      <c r="M3863" s="1" t="str">
        <f t="shared" si="241"/>
        <v/>
      </c>
      <c r="N3863" s="2">
        <f t="shared" si="242"/>
        <v>45901</v>
      </c>
      <c r="O3863" t="str">
        <f t="shared" si="243"/>
        <v>pes</v>
      </c>
    </row>
    <row r="3864" spans="1:15" x14ac:dyDescent="0.25">
      <c r="A3864">
        <v>11357</v>
      </c>
      <c r="B3864" s="11">
        <v>4017890123450</v>
      </c>
      <c r="C3864" s="1" t="s">
        <v>65</v>
      </c>
      <c r="D3864" s="1" t="s">
        <v>39</v>
      </c>
      <c r="E3864" s="1" t="s">
        <v>22</v>
      </c>
      <c r="F3864">
        <v>7.6</v>
      </c>
      <c r="G3864">
        <v>1</v>
      </c>
      <c r="H3864" s="1" t="s">
        <v>14</v>
      </c>
      <c r="I3864" s="1" t="s">
        <v>15</v>
      </c>
      <c r="J3864" s="12">
        <v>45907</v>
      </c>
      <c r="K3864">
        <v>0</v>
      </c>
      <c r="L3864" s="1">
        <f t="shared" si="240"/>
        <v>7.6</v>
      </c>
      <c r="M3864" s="1" t="str">
        <f t="shared" si="241"/>
        <v/>
      </c>
      <c r="N3864" s="2">
        <f t="shared" si="242"/>
        <v>45901</v>
      </c>
      <c r="O3864" t="str">
        <f t="shared" si="243"/>
        <v>pes</v>
      </c>
    </row>
    <row r="3865" spans="1:15" x14ac:dyDescent="0.25">
      <c r="A3865">
        <v>11358</v>
      </c>
      <c r="B3865" s="11">
        <v>4013456789017</v>
      </c>
      <c r="C3865" s="1" t="s">
        <v>11</v>
      </c>
      <c r="D3865" s="1" t="s">
        <v>12</v>
      </c>
      <c r="E3865" s="1" t="s">
        <v>13</v>
      </c>
      <c r="F3865">
        <v>6</v>
      </c>
      <c r="G3865">
        <v>1</v>
      </c>
      <c r="H3865" s="1" t="s">
        <v>23</v>
      </c>
      <c r="I3865" s="1" t="s">
        <v>744</v>
      </c>
      <c r="J3865" s="12">
        <v>45907</v>
      </c>
      <c r="K3865">
        <v>0</v>
      </c>
      <c r="L3865" s="1">
        <f t="shared" si="240"/>
        <v>6</v>
      </c>
      <c r="M3865" s="1">
        <f t="shared" si="241"/>
        <v>5</v>
      </c>
      <c r="N3865" s="2">
        <f t="shared" si="242"/>
        <v>45901</v>
      </c>
      <c r="O3865" t="str">
        <f t="shared" si="243"/>
        <v>pes</v>
      </c>
    </row>
    <row r="3866" spans="1:15" x14ac:dyDescent="0.25">
      <c r="A3866">
        <v>11359</v>
      </c>
      <c r="B3866" s="11">
        <v>4046789012356</v>
      </c>
      <c r="C3866" s="1" t="s">
        <v>304</v>
      </c>
      <c r="D3866" s="1" t="s">
        <v>39</v>
      </c>
      <c r="E3866" s="1" t="s">
        <v>61</v>
      </c>
      <c r="F3866">
        <v>6.4</v>
      </c>
      <c r="G3866">
        <v>1</v>
      </c>
      <c r="H3866" s="1" t="s">
        <v>14</v>
      </c>
      <c r="I3866" s="1" t="s">
        <v>15</v>
      </c>
      <c r="J3866" s="12">
        <v>45907</v>
      </c>
      <c r="K3866">
        <v>0</v>
      </c>
      <c r="L3866" s="1">
        <f t="shared" si="240"/>
        <v>6.4</v>
      </c>
      <c r="M3866" s="1" t="str">
        <f t="shared" si="241"/>
        <v/>
      </c>
      <c r="N3866" s="2">
        <f t="shared" si="242"/>
        <v>45901</v>
      </c>
      <c r="O3866" t="str">
        <f t="shared" si="243"/>
        <v>pes</v>
      </c>
    </row>
    <row r="3867" spans="1:15" hidden="1" x14ac:dyDescent="0.25">
      <c r="A3867">
        <v>11360</v>
      </c>
      <c r="B3867" s="11">
        <v>4019876501234</v>
      </c>
      <c r="C3867" s="1" t="s">
        <v>674</v>
      </c>
      <c r="D3867" s="1" t="s">
        <v>29</v>
      </c>
      <c r="E3867" s="1" t="s">
        <v>37</v>
      </c>
      <c r="F3867">
        <v>1.84</v>
      </c>
      <c r="G3867">
        <v>2</v>
      </c>
      <c r="H3867" s="1" t="s">
        <v>14</v>
      </c>
      <c r="I3867" s="1" t="s">
        <v>15</v>
      </c>
      <c r="J3867" s="12">
        <v>45907</v>
      </c>
      <c r="K3867">
        <v>0</v>
      </c>
      <c r="L3867" s="1">
        <f t="shared" si="240"/>
        <v>3.68</v>
      </c>
      <c r="M3867" s="1" t="str">
        <f t="shared" si="241"/>
        <v/>
      </c>
      <c r="N3867" s="2">
        <f t="shared" si="242"/>
        <v>45901</v>
      </c>
      <c r="O3867" t="str">
        <f t="shared" si="243"/>
        <v>mačka</v>
      </c>
    </row>
    <row r="3868" spans="1:15" x14ac:dyDescent="0.25">
      <c r="A3868">
        <v>11361</v>
      </c>
      <c r="B3868" s="11">
        <v>4027788990013</v>
      </c>
      <c r="C3868" s="1" t="s">
        <v>43</v>
      </c>
      <c r="D3868" s="1" t="s">
        <v>21</v>
      </c>
      <c r="E3868" s="1" t="s">
        <v>22</v>
      </c>
      <c r="F3868">
        <v>8</v>
      </c>
      <c r="G3868">
        <v>1</v>
      </c>
      <c r="H3868" s="1" t="s">
        <v>14</v>
      </c>
      <c r="I3868" s="1" t="s">
        <v>15</v>
      </c>
      <c r="J3868" s="12">
        <v>45907</v>
      </c>
      <c r="K3868">
        <v>0</v>
      </c>
      <c r="L3868" s="1">
        <f t="shared" si="240"/>
        <v>8</v>
      </c>
      <c r="M3868" s="1" t="str">
        <f t="shared" si="241"/>
        <v/>
      </c>
      <c r="N3868" s="2">
        <f t="shared" si="242"/>
        <v>45901</v>
      </c>
      <c r="O3868" t="str">
        <f t="shared" si="243"/>
        <v>pes</v>
      </c>
    </row>
    <row r="3869" spans="1:15" x14ac:dyDescent="0.25">
      <c r="A3869">
        <v>11362</v>
      </c>
      <c r="B3869" s="11">
        <v>4028899001126</v>
      </c>
      <c r="C3869" s="1" t="s">
        <v>16</v>
      </c>
      <c r="D3869" s="1" t="s">
        <v>12</v>
      </c>
      <c r="E3869" s="1" t="s">
        <v>17</v>
      </c>
      <c r="F3869">
        <v>2.8</v>
      </c>
      <c r="G3869">
        <v>2</v>
      </c>
      <c r="H3869" s="1" t="s">
        <v>14</v>
      </c>
      <c r="I3869" s="1" t="s">
        <v>15</v>
      </c>
      <c r="J3869" s="12">
        <v>45907</v>
      </c>
      <c r="K3869">
        <v>0</v>
      </c>
      <c r="L3869" s="1">
        <f t="shared" si="240"/>
        <v>5.6</v>
      </c>
      <c r="M3869" s="1" t="str">
        <f t="shared" si="241"/>
        <v/>
      </c>
      <c r="N3869" s="2">
        <f t="shared" si="242"/>
        <v>45901</v>
      </c>
      <c r="O3869" t="str">
        <f t="shared" si="243"/>
        <v>pes</v>
      </c>
    </row>
    <row r="3870" spans="1:15" hidden="1" x14ac:dyDescent="0.25">
      <c r="A3870">
        <v>11363</v>
      </c>
      <c r="B3870" s="11">
        <v>4010123456783</v>
      </c>
      <c r="C3870" s="1" t="s">
        <v>35</v>
      </c>
      <c r="D3870" s="1" t="s">
        <v>36</v>
      </c>
      <c r="E3870" s="1" t="s">
        <v>37</v>
      </c>
      <c r="F3870">
        <v>14</v>
      </c>
      <c r="G3870">
        <v>1</v>
      </c>
      <c r="H3870" s="1" t="s">
        <v>23</v>
      </c>
      <c r="I3870" s="1" t="s">
        <v>745</v>
      </c>
      <c r="J3870" s="12">
        <v>45907</v>
      </c>
      <c r="K3870">
        <v>0</v>
      </c>
      <c r="L3870" s="1">
        <f t="shared" si="240"/>
        <v>14</v>
      </c>
      <c r="M3870" s="1">
        <f t="shared" si="241"/>
        <v>5</v>
      </c>
      <c r="N3870" s="2">
        <f t="shared" si="242"/>
        <v>45901</v>
      </c>
      <c r="O3870" t="str">
        <f t="shared" si="243"/>
        <v>mačka</v>
      </c>
    </row>
    <row r="3871" spans="1:15" x14ac:dyDescent="0.25">
      <c r="A3871">
        <v>11364</v>
      </c>
      <c r="B3871" s="11">
        <v>4024567890128</v>
      </c>
      <c r="C3871" s="1" t="s">
        <v>682</v>
      </c>
      <c r="D3871" s="1" t="s">
        <v>12</v>
      </c>
      <c r="E3871" s="1" t="s">
        <v>134</v>
      </c>
      <c r="F3871">
        <v>40</v>
      </c>
      <c r="G3871">
        <v>1</v>
      </c>
      <c r="H3871" s="1" t="s">
        <v>14</v>
      </c>
      <c r="I3871" s="1" t="s">
        <v>15</v>
      </c>
      <c r="J3871" s="12">
        <v>45907</v>
      </c>
      <c r="K3871">
        <v>0</v>
      </c>
      <c r="L3871" s="1">
        <f t="shared" si="240"/>
        <v>40</v>
      </c>
      <c r="M3871" s="1" t="str">
        <f t="shared" si="241"/>
        <v/>
      </c>
      <c r="N3871" s="2">
        <f t="shared" si="242"/>
        <v>45901</v>
      </c>
      <c r="O3871" t="str">
        <f t="shared" si="243"/>
        <v>pes</v>
      </c>
    </row>
    <row r="3872" spans="1:15" x14ac:dyDescent="0.25">
      <c r="A3872">
        <v>11365</v>
      </c>
      <c r="B3872" s="11">
        <v>4028899001126</v>
      </c>
      <c r="C3872" s="1" t="s">
        <v>16</v>
      </c>
      <c r="D3872" s="1" t="s">
        <v>12</v>
      </c>
      <c r="E3872" s="1" t="s">
        <v>17</v>
      </c>
      <c r="F3872">
        <v>2.8</v>
      </c>
      <c r="G3872">
        <v>1</v>
      </c>
      <c r="H3872" s="1" t="s">
        <v>14</v>
      </c>
      <c r="I3872" s="1" t="s">
        <v>15</v>
      </c>
      <c r="J3872" s="12">
        <v>45907</v>
      </c>
      <c r="K3872">
        <v>0</v>
      </c>
      <c r="L3872" s="1">
        <f t="shared" si="240"/>
        <v>2.8</v>
      </c>
      <c r="M3872" s="1" t="str">
        <f t="shared" si="241"/>
        <v/>
      </c>
      <c r="N3872" s="2">
        <f t="shared" si="242"/>
        <v>45901</v>
      </c>
      <c r="O3872" t="str">
        <f t="shared" si="243"/>
        <v>pes</v>
      </c>
    </row>
    <row r="3873" spans="1:15" x14ac:dyDescent="0.25">
      <c r="A3873">
        <v>11366</v>
      </c>
      <c r="B3873" s="11">
        <v>4013456789017</v>
      </c>
      <c r="C3873" s="1" t="s">
        <v>11</v>
      </c>
      <c r="D3873" s="1" t="s">
        <v>12</v>
      </c>
      <c r="E3873" s="1" t="s">
        <v>13</v>
      </c>
      <c r="F3873">
        <v>6</v>
      </c>
      <c r="G3873">
        <v>2</v>
      </c>
      <c r="H3873" s="1" t="s">
        <v>14</v>
      </c>
      <c r="I3873" s="1" t="s">
        <v>15</v>
      </c>
      <c r="J3873" s="12">
        <v>45907</v>
      </c>
      <c r="K3873">
        <v>0</v>
      </c>
      <c r="L3873" s="1">
        <f t="shared" si="240"/>
        <v>12</v>
      </c>
      <c r="M3873" s="1" t="str">
        <f t="shared" si="241"/>
        <v/>
      </c>
      <c r="N3873" s="2">
        <f t="shared" si="242"/>
        <v>45901</v>
      </c>
      <c r="O3873" t="str">
        <f t="shared" si="243"/>
        <v>pes</v>
      </c>
    </row>
    <row r="3874" spans="1:15" x14ac:dyDescent="0.25">
      <c r="A3874">
        <v>11367</v>
      </c>
      <c r="B3874" s="11">
        <v>4027788990013</v>
      </c>
      <c r="C3874" s="1" t="s">
        <v>43</v>
      </c>
      <c r="D3874" s="1" t="s">
        <v>21</v>
      </c>
      <c r="E3874" s="1" t="s">
        <v>22</v>
      </c>
      <c r="F3874">
        <v>8</v>
      </c>
      <c r="G3874">
        <v>1</v>
      </c>
      <c r="H3874" s="1" t="s">
        <v>33</v>
      </c>
      <c r="I3874" s="1" t="s">
        <v>746</v>
      </c>
      <c r="J3874" s="12">
        <v>45907</v>
      </c>
      <c r="K3874">
        <v>0</v>
      </c>
      <c r="L3874" s="1">
        <f t="shared" si="240"/>
        <v>8</v>
      </c>
      <c r="M3874" s="1">
        <f t="shared" si="241"/>
        <v>3</v>
      </c>
      <c r="N3874" s="2">
        <f t="shared" si="242"/>
        <v>45901</v>
      </c>
      <c r="O3874" t="str">
        <f t="shared" si="243"/>
        <v>pes</v>
      </c>
    </row>
    <row r="3875" spans="1:15" hidden="1" x14ac:dyDescent="0.25">
      <c r="A3875">
        <v>11368</v>
      </c>
      <c r="B3875" s="11">
        <v>4056789012345</v>
      </c>
      <c r="C3875" s="1" t="s">
        <v>47</v>
      </c>
      <c r="D3875" s="1" t="s">
        <v>29</v>
      </c>
      <c r="E3875" s="1" t="s">
        <v>37</v>
      </c>
      <c r="F3875">
        <v>2.4</v>
      </c>
      <c r="G3875">
        <v>1</v>
      </c>
      <c r="H3875" s="1" t="s">
        <v>14</v>
      </c>
      <c r="I3875" s="1" t="s">
        <v>15</v>
      </c>
      <c r="J3875" s="12">
        <v>45907</v>
      </c>
      <c r="K3875">
        <v>0</v>
      </c>
      <c r="L3875" s="1">
        <f t="shared" si="240"/>
        <v>2.4</v>
      </c>
      <c r="M3875" s="1" t="str">
        <f t="shared" si="241"/>
        <v/>
      </c>
      <c r="N3875" s="2">
        <f t="shared" si="242"/>
        <v>45901</v>
      </c>
      <c r="O3875" t="str">
        <f t="shared" si="243"/>
        <v>mačka</v>
      </c>
    </row>
    <row r="3876" spans="1:15" x14ac:dyDescent="0.25">
      <c r="A3876">
        <v>11369</v>
      </c>
      <c r="B3876" s="11">
        <v>4063456789014</v>
      </c>
      <c r="C3876" s="1" t="s">
        <v>60</v>
      </c>
      <c r="D3876" s="1" t="s">
        <v>12</v>
      </c>
      <c r="E3876" s="1" t="s">
        <v>61</v>
      </c>
      <c r="F3876">
        <v>36</v>
      </c>
      <c r="G3876">
        <v>1</v>
      </c>
      <c r="H3876" s="1" t="s">
        <v>14</v>
      </c>
      <c r="I3876" s="1" t="s">
        <v>15</v>
      </c>
      <c r="J3876" s="12">
        <v>45907</v>
      </c>
      <c r="K3876">
        <v>0</v>
      </c>
      <c r="L3876" s="1">
        <f t="shared" si="240"/>
        <v>36</v>
      </c>
      <c r="M3876" s="1" t="str">
        <f t="shared" si="241"/>
        <v/>
      </c>
      <c r="N3876" s="2">
        <f t="shared" si="242"/>
        <v>45901</v>
      </c>
      <c r="O3876" t="str">
        <f t="shared" si="243"/>
        <v>pes</v>
      </c>
    </row>
    <row r="3877" spans="1:15" hidden="1" x14ac:dyDescent="0.25">
      <c r="A3877">
        <v>11370</v>
      </c>
      <c r="B3877" s="11">
        <v>4010123456783</v>
      </c>
      <c r="C3877" s="1" t="s">
        <v>35</v>
      </c>
      <c r="D3877" s="1" t="s">
        <v>36</v>
      </c>
      <c r="E3877" s="1" t="s">
        <v>37</v>
      </c>
      <c r="F3877">
        <v>14</v>
      </c>
      <c r="G3877">
        <v>1</v>
      </c>
      <c r="H3877" s="1" t="s">
        <v>14</v>
      </c>
      <c r="I3877" s="1" t="s">
        <v>15</v>
      </c>
      <c r="J3877" s="12">
        <v>45907</v>
      </c>
      <c r="K3877">
        <v>0</v>
      </c>
      <c r="L3877" s="1">
        <f t="shared" si="240"/>
        <v>14</v>
      </c>
      <c r="M3877" s="1" t="str">
        <f t="shared" si="241"/>
        <v/>
      </c>
      <c r="N3877" s="2">
        <f t="shared" si="242"/>
        <v>45901</v>
      </c>
      <c r="O3877" t="str">
        <f t="shared" si="243"/>
        <v>mačka</v>
      </c>
    </row>
    <row r="3878" spans="1:15" x14ac:dyDescent="0.25">
      <c r="A3878">
        <v>11371</v>
      </c>
      <c r="B3878" s="11">
        <v>4028899001126</v>
      </c>
      <c r="C3878" s="1" t="s">
        <v>16</v>
      </c>
      <c r="D3878" s="1" t="s">
        <v>12</v>
      </c>
      <c r="E3878" s="1" t="s">
        <v>17</v>
      </c>
      <c r="F3878">
        <v>2.8</v>
      </c>
      <c r="G3878">
        <v>2</v>
      </c>
      <c r="H3878" s="1" t="s">
        <v>14</v>
      </c>
      <c r="I3878" s="1" t="s">
        <v>15</v>
      </c>
      <c r="J3878" s="12">
        <v>45907</v>
      </c>
      <c r="K3878">
        <v>0</v>
      </c>
      <c r="L3878" s="1">
        <f t="shared" si="240"/>
        <v>5.6</v>
      </c>
      <c r="M3878" s="1" t="str">
        <f t="shared" si="241"/>
        <v/>
      </c>
      <c r="N3878" s="2">
        <f t="shared" si="242"/>
        <v>45901</v>
      </c>
      <c r="O3878" t="str">
        <f t="shared" si="243"/>
        <v>pes</v>
      </c>
    </row>
    <row r="3879" spans="1:15" hidden="1" x14ac:dyDescent="0.25">
      <c r="A3879">
        <v>11372</v>
      </c>
      <c r="B3879" s="11">
        <v>4050123456794</v>
      </c>
      <c r="C3879" s="1" t="s">
        <v>41</v>
      </c>
      <c r="D3879" s="1" t="s">
        <v>36</v>
      </c>
      <c r="E3879" s="1" t="s">
        <v>42</v>
      </c>
      <c r="F3879">
        <v>7.2</v>
      </c>
      <c r="G3879">
        <v>1</v>
      </c>
      <c r="H3879" s="1" t="s">
        <v>14</v>
      </c>
      <c r="I3879" s="1" t="s">
        <v>15</v>
      </c>
      <c r="J3879" s="12">
        <v>45908</v>
      </c>
      <c r="K3879">
        <v>0</v>
      </c>
      <c r="L3879" s="1">
        <f t="shared" si="240"/>
        <v>7.2</v>
      </c>
      <c r="M3879" s="1" t="str">
        <f t="shared" si="241"/>
        <v/>
      </c>
      <c r="N3879" s="2">
        <f t="shared" si="242"/>
        <v>45901</v>
      </c>
      <c r="O3879" t="str">
        <f t="shared" si="243"/>
        <v>mačka</v>
      </c>
    </row>
    <row r="3880" spans="1:15" x14ac:dyDescent="0.25">
      <c r="A3880">
        <v>11373</v>
      </c>
      <c r="B3880" s="11">
        <v>4028899001126</v>
      </c>
      <c r="C3880" s="1" t="s">
        <v>16</v>
      </c>
      <c r="D3880" s="1" t="s">
        <v>12</v>
      </c>
      <c r="E3880" s="1" t="s">
        <v>17</v>
      </c>
      <c r="F3880">
        <v>2.8</v>
      </c>
      <c r="G3880">
        <v>4</v>
      </c>
      <c r="H3880" s="1" t="s">
        <v>33</v>
      </c>
      <c r="I3880" s="1" t="s">
        <v>113</v>
      </c>
      <c r="J3880" s="12">
        <v>45908</v>
      </c>
      <c r="K3880">
        <v>0</v>
      </c>
      <c r="L3880" s="1">
        <f t="shared" si="240"/>
        <v>11.2</v>
      </c>
      <c r="M3880" s="1">
        <f t="shared" si="241"/>
        <v>3</v>
      </c>
      <c r="N3880" s="2">
        <f t="shared" si="242"/>
        <v>45901</v>
      </c>
      <c r="O3880" t="str">
        <f t="shared" si="243"/>
        <v>pes</v>
      </c>
    </row>
    <row r="3881" spans="1:15" x14ac:dyDescent="0.25">
      <c r="A3881">
        <v>11374</v>
      </c>
      <c r="B3881" s="11">
        <v>4013456789017</v>
      </c>
      <c r="C3881" s="1" t="s">
        <v>11</v>
      </c>
      <c r="D3881" s="1" t="s">
        <v>12</v>
      </c>
      <c r="E3881" s="1" t="s">
        <v>13</v>
      </c>
      <c r="F3881">
        <v>6</v>
      </c>
      <c r="G3881">
        <v>2</v>
      </c>
      <c r="H3881" s="1" t="s">
        <v>14</v>
      </c>
      <c r="I3881" s="1" t="s">
        <v>15</v>
      </c>
      <c r="J3881" s="12">
        <v>45908</v>
      </c>
      <c r="K3881">
        <v>0</v>
      </c>
      <c r="L3881" s="1">
        <f t="shared" si="240"/>
        <v>12</v>
      </c>
      <c r="M3881" s="1" t="str">
        <f t="shared" si="241"/>
        <v/>
      </c>
      <c r="N3881" s="2">
        <f t="shared" si="242"/>
        <v>45901</v>
      </c>
      <c r="O3881" t="str">
        <f t="shared" si="243"/>
        <v>pes</v>
      </c>
    </row>
    <row r="3882" spans="1:15" hidden="1" x14ac:dyDescent="0.25">
      <c r="A3882">
        <v>11375</v>
      </c>
      <c r="B3882" s="11">
        <v>8593456789012</v>
      </c>
      <c r="C3882" s="1" t="s">
        <v>28</v>
      </c>
      <c r="D3882" s="1" t="s">
        <v>29</v>
      </c>
      <c r="E3882" s="1" t="s">
        <v>30</v>
      </c>
      <c r="F3882">
        <v>42</v>
      </c>
      <c r="G3882">
        <v>1</v>
      </c>
      <c r="H3882" s="1" t="s">
        <v>23</v>
      </c>
      <c r="I3882" s="1" t="s">
        <v>747</v>
      </c>
      <c r="J3882" s="12">
        <v>45908</v>
      </c>
      <c r="K3882">
        <v>0</v>
      </c>
      <c r="L3882" s="1">
        <f t="shared" si="240"/>
        <v>42</v>
      </c>
      <c r="M3882" s="1">
        <f t="shared" si="241"/>
        <v>5</v>
      </c>
      <c r="N3882" s="2">
        <f t="shared" si="242"/>
        <v>45901</v>
      </c>
      <c r="O3882" t="str">
        <f t="shared" si="243"/>
        <v>mačka</v>
      </c>
    </row>
    <row r="3883" spans="1:15" x14ac:dyDescent="0.25">
      <c r="A3883">
        <v>11376</v>
      </c>
      <c r="B3883" s="11">
        <v>4040123456795</v>
      </c>
      <c r="C3883" s="1" t="s">
        <v>20</v>
      </c>
      <c r="D3883" s="1" t="s">
        <v>21</v>
      </c>
      <c r="E3883" s="1" t="s">
        <v>22</v>
      </c>
      <c r="F3883">
        <v>8.8000000000000007</v>
      </c>
      <c r="G3883">
        <v>1</v>
      </c>
      <c r="H3883" s="1" t="s">
        <v>14</v>
      </c>
      <c r="I3883" s="1" t="s">
        <v>15</v>
      </c>
      <c r="J3883" s="12">
        <v>45908</v>
      </c>
      <c r="K3883">
        <v>0</v>
      </c>
      <c r="L3883" s="1">
        <f t="shared" si="240"/>
        <v>8.8000000000000007</v>
      </c>
      <c r="M3883" s="1" t="str">
        <f t="shared" si="241"/>
        <v/>
      </c>
      <c r="N3883" s="2">
        <f t="shared" si="242"/>
        <v>45901</v>
      </c>
      <c r="O3883" t="str">
        <f t="shared" si="243"/>
        <v>pes</v>
      </c>
    </row>
    <row r="3884" spans="1:15" hidden="1" x14ac:dyDescent="0.25">
      <c r="A3884">
        <v>11377</v>
      </c>
      <c r="B3884" s="11">
        <v>4056789012345</v>
      </c>
      <c r="C3884" s="1" t="s">
        <v>47</v>
      </c>
      <c r="D3884" s="1" t="s">
        <v>29</v>
      </c>
      <c r="E3884" s="1" t="s">
        <v>37</v>
      </c>
      <c r="F3884">
        <v>2.4</v>
      </c>
      <c r="G3884">
        <v>6</v>
      </c>
      <c r="H3884" s="1" t="s">
        <v>18</v>
      </c>
      <c r="I3884" s="1" t="s">
        <v>748</v>
      </c>
      <c r="J3884" s="12">
        <v>45908</v>
      </c>
      <c r="K3884">
        <v>0</v>
      </c>
      <c r="L3884" s="1">
        <f t="shared" si="240"/>
        <v>14.399999999999999</v>
      </c>
      <c r="M3884" s="1">
        <f t="shared" si="241"/>
        <v>4</v>
      </c>
      <c r="N3884" s="2">
        <f t="shared" si="242"/>
        <v>45901</v>
      </c>
      <c r="O3884" t="str">
        <f t="shared" si="243"/>
        <v>mačka</v>
      </c>
    </row>
    <row r="3885" spans="1:15" x14ac:dyDescent="0.25">
      <c r="A3885">
        <v>11378</v>
      </c>
      <c r="B3885" s="11">
        <v>4027788990013</v>
      </c>
      <c r="C3885" s="1" t="s">
        <v>43</v>
      </c>
      <c r="D3885" s="1" t="s">
        <v>21</v>
      </c>
      <c r="E3885" s="1" t="s">
        <v>22</v>
      </c>
      <c r="F3885">
        <v>8</v>
      </c>
      <c r="G3885">
        <v>1</v>
      </c>
      <c r="H3885" s="1" t="s">
        <v>14</v>
      </c>
      <c r="I3885" s="1" t="s">
        <v>15</v>
      </c>
      <c r="J3885" s="12">
        <v>45908</v>
      </c>
      <c r="K3885">
        <v>0</v>
      </c>
      <c r="L3885" s="1">
        <f t="shared" si="240"/>
        <v>8</v>
      </c>
      <c r="M3885" s="1" t="str">
        <f t="shared" si="241"/>
        <v/>
      </c>
      <c r="N3885" s="2">
        <f t="shared" si="242"/>
        <v>45901</v>
      </c>
      <c r="O3885" t="str">
        <f t="shared" si="243"/>
        <v>pes</v>
      </c>
    </row>
    <row r="3886" spans="1:15" hidden="1" x14ac:dyDescent="0.25">
      <c r="A3886">
        <v>11379</v>
      </c>
      <c r="B3886" s="11">
        <v>4061234567805</v>
      </c>
      <c r="C3886" s="1" t="s">
        <v>749</v>
      </c>
      <c r="D3886" s="1" t="s">
        <v>36</v>
      </c>
      <c r="E3886" s="1" t="s">
        <v>141</v>
      </c>
      <c r="F3886">
        <v>12.8</v>
      </c>
      <c r="G3886">
        <v>2</v>
      </c>
      <c r="H3886" s="1" t="s">
        <v>18</v>
      </c>
      <c r="I3886" s="1" t="s">
        <v>750</v>
      </c>
      <c r="J3886" s="12">
        <v>45908</v>
      </c>
      <c r="K3886">
        <v>0</v>
      </c>
      <c r="L3886" s="1">
        <f t="shared" si="240"/>
        <v>25.6</v>
      </c>
      <c r="M3886" s="1">
        <f t="shared" si="241"/>
        <v>4</v>
      </c>
      <c r="N3886" s="2">
        <f t="shared" si="242"/>
        <v>45901</v>
      </c>
      <c r="O3886" t="str">
        <f t="shared" si="243"/>
        <v>mačka</v>
      </c>
    </row>
    <row r="3887" spans="1:15" x14ac:dyDescent="0.25">
      <c r="A3887">
        <v>11380</v>
      </c>
      <c r="B3887" s="11">
        <v>4008901234561</v>
      </c>
      <c r="C3887" s="1" t="s">
        <v>330</v>
      </c>
      <c r="D3887" s="1" t="s">
        <v>26</v>
      </c>
      <c r="E3887" s="1" t="s">
        <v>331</v>
      </c>
      <c r="F3887">
        <v>40</v>
      </c>
      <c r="G3887">
        <v>1</v>
      </c>
      <c r="H3887" s="1" t="s">
        <v>14</v>
      </c>
      <c r="I3887" s="1" t="s">
        <v>15</v>
      </c>
      <c r="J3887" s="12">
        <v>45908</v>
      </c>
      <c r="K3887">
        <v>0</v>
      </c>
      <c r="L3887" s="1">
        <f t="shared" si="240"/>
        <v>40</v>
      </c>
      <c r="M3887" s="1" t="str">
        <f t="shared" si="241"/>
        <v/>
      </c>
      <c r="N3887" s="2">
        <f t="shared" si="242"/>
        <v>45901</v>
      </c>
      <c r="O3887" t="str">
        <f t="shared" si="243"/>
        <v>pes</v>
      </c>
    </row>
    <row r="3888" spans="1:15" hidden="1" x14ac:dyDescent="0.25">
      <c r="A3888">
        <v>11381</v>
      </c>
      <c r="B3888" s="11">
        <v>4026677889902</v>
      </c>
      <c r="C3888" s="1" t="s">
        <v>52</v>
      </c>
      <c r="D3888" s="1" t="s">
        <v>53</v>
      </c>
      <c r="E3888" s="1" t="s">
        <v>54</v>
      </c>
      <c r="F3888">
        <v>7.6</v>
      </c>
      <c r="G3888">
        <v>1</v>
      </c>
      <c r="H3888" s="1" t="s">
        <v>14</v>
      </c>
      <c r="I3888" s="1" t="s">
        <v>15</v>
      </c>
      <c r="J3888" s="12">
        <v>45909</v>
      </c>
      <c r="K3888">
        <v>0</v>
      </c>
      <c r="L3888" s="1">
        <f t="shared" si="240"/>
        <v>7.6</v>
      </c>
      <c r="M3888" s="1" t="str">
        <f t="shared" si="241"/>
        <v/>
      </c>
      <c r="N3888" s="2">
        <f t="shared" si="242"/>
        <v>45901</v>
      </c>
      <c r="O3888" t="str">
        <f t="shared" si="243"/>
        <v>iné</v>
      </c>
    </row>
    <row r="3889" spans="1:15" x14ac:dyDescent="0.25">
      <c r="A3889">
        <v>11382</v>
      </c>
      <c r="B3889" s="11">
        <v>4028899001126</v>
      </c>
      <c r="C3889" s="1" t="s">
        <v>16</v>
      </c>
      <c r="D3889" s="1" t="s">
        <v>12</v>
      </c>
      <c r="E3889" s="1" t="s">
        <v>17</v>
      </c>
      <c r="F3889">
        <v>2.8</v>
      </c>
      <c r="G3889">
        <v>3</v>
      </c>
      <c r="H3889" s="1" t="s">
        <v>18</v>
      </c>
      <c r="I3889" s="1" t="s">
        <v>751</v>
      </c>
      <c r="J3889" s="12">
        <v>45909</v>
      </c>
      <c r="K3889">
        <v>0</v>
      </c>
      <c r="L3889" s="1">
        <f t="shared" si="240"/>
        <v>8.3999999999999986</v>
      </c>
      <c r="M3889" s="1">
        <f t="shared" si="241"/>
        <v>4</v>
      </c>
      <c r="N3889" s="2">
        <f t="shared" si="242"/>
        <v>45901</v>
      </c>
      <c r="O3889" t="str">
        <f t="shared" si="243"/>
        <v>pes</v>
      </c>
    </row>
    <row r="3890" spans="1:15" x14ac:dyDescent="0.25">
      <c r="A3890">
        <v>11383</v>
      </c>
      <c r="B3890" s="11">
        <v>4063456789014</v>
      </c>
      <c r="C3890" s="1" t="s">
        <v>60</v>
      </c>
      <c r="D3890" s="1" t="s">
        <v>12</v>
      </c>
      <c r="E3890" s="1" t="s">
        <v>61</v>
      </c>
      <c r="F3890">
        <v>36</v>
      </c>
      <c r="G3890">
        <v>1</v>
      </c>
      <c r="H3890" s="1" t="s">
        <v>14</v>
      </c>
      <c r="I3890" s="1" t="s">
        <v>15</v>
      </c>
      <c r="J3890" s="12">
        <v>45909</v>
      </c>
      <c r="K3890">
        <v>0</v>
      </c>
      <c r="L3890" s="1">
        <f t="shared" si="240"/>
        <v>36</v>
      </c>
      <c r="M3890" s="1" t="str">
        <f t="shared" si="241"/>
        <v/>
      </c>
      <c r="N3890" s="2">
        <f t="shared" si="242"/>
        <v>45901</v>
      </c>
      <c r="O3890" t="str">
        <f t="shared" si="243"/>
        <v>pes</v>
      </c>
    </row>
    <row r="3891" spans="1:15" hidden="1" x14ac:dyDescent="0.25">
      <c r="A3891">
        <v>11384</v>
      </c>
      <c r="B3891" s="11">
        <v>4019876501234</v>
      </c>
      <c r="C3891" s="1" t="s">
        <v>674</v>
      </c>
      <c r="D3891" s="1" t="s">
        <v>29</v>
      </c>
      <c r="E3891" s="1" t="s">
        <v>37</v>
      </c>
      <c r="F3891">
        <v>1.84</v>
      </c>
      <c r="G3891">
        <v>5</v>
      </c>
      <c r="H3891" s="1" t="s">
        <v>14</v>
      </c>
      <c r="I3891" s="1" t="s">
        <v>15</v>
      </c>
      <c r="J3891" s="12">
        <v>45909</v>
      </c>
      <c r="K3891">
        <v>0</v>
      </c>
      <c r="L3891" s="1">
        <f t="shared" si="240"/>
        <v>9.2000000000000011</v>
      </c>
      <c r="M3891" s="1" t="str">
        <f t="shared" si="241"/>
        <v/>
      </c>
      <c r="N3891" s="2">
        <f t="shared" si="242"/>
        <v>45901</v>
      </c>
      <c r="O3891" t="str">
        <f t="shared" si="243"/>
        <v>mačka</v>
      </c>
    </row>
    <row r="3892" spans="1:15" hidden="1" x14ac:dyDescent="0.25">
      <c r="A3892">
        <v>11385</v>
      </c>
      <c r="B3892" s="11">
        <v>4009012345672</v>
      </c>
      <c r="C3892" s="1" t="s">
        <v>45</v>
      </c>
      <c r="D3892" s="1" t="s">
        <v>36</v>
      </c>
      <c r="E3892" s="1" t="s">
        <v>32</v>
      </c>
      <c r="F3892">
        <v>11.2</v>
      </c>
      <c r="G3892">
        <v>1</v>
      </c>
      <c r="H3892" s="1" t="s">
        <v>18</v>
      </c>
      <c r="I3892" s="1" t="s">
        <v>752</v>
      </c>
      <c r="J3892" s="12">
        <v>45909</v>
      </c>
      <c r="K3892">
        <v>0</v>
      </c>
      <c r="L3892" s="1">
        <f t="shared" si="240"/>
        <v>11.2</v>
      </c>
      <c r="M3892" s="1">
        <f t="shared" si="241"/>
        <v>4</v>
      </c>
      <c r="N3892" s="2">
        <f t="shared" si="242"/>
        <v>45901</v>
      </c>
      <c r="O3892" t="str">
        <f t="shared" si="243"/>
        <v>mačka</v>
      </c>
    </row>
    <row r="3893" spans="1:15" x14ac:dyDescent="0.25">
      <c r="A3893">
        <v>11386</v>
      </c>
      <c r="B3893" s="11">
        <v>4061011223346</v>
      </c>
      <c r="C3893" s="1" t="s">
        <v>25</v>
      </c>
      <c r="D3893" s="1" t="s">
        <v>26</v>
      </c>
      <c r="E3893" s="1" t="s">
        <v>27</v>
      </c>
      <c r="F3893">
        <v>19.600000000000001</v>
      </c>
      <c r="G3893">
        <v>1</v>
      </c>
      <c r="H3893" s="1" t="s">
        <v>14</v>
      </c>
      <c r="I3893" s="1" t="s">
        <v>15</v>
      </c>
      <c r="J3893" s="12">
        <v>45909</v>
      </c>
      <c r="K3893">
        <v>0</v>
      </c>
      <c r="L3893" s="1">
        <f t="shared" si="240"/>
        <v>19.600000000000001</v>
      </c>
      <c r="M3893" s="1" t="str">
        <f t="shared" si="241"/>
        <v/>
      </c>
      <c r="N3893" s="2">
        <f t="shared" si="242"/>
        <v>45901</v>
      </c>
      <c r="O3893" t="str">
        <f t="shared" si="243"/>
        <v>pes</v>
      </c>
    </row>
    <row r="3894" spans="1:15" x14ac:dyDescent="0.25">
      <c r="A3894">
        <v>11387</v>
      </c>
      <c r="B3894" s="11">
        <v>4017890123450</v>
      </c>
      <c r="C3894" s="1" t="s">
        <v>65</v>
      </c>
      <c r="D3894" s="1" t="s">
        <v>39</v>
      </c>
      <c r="E3894" s="1" t="s">
        <v>22</v>
      </c>
      <c r="F3894">
        <v>7.6</v>
      </c>
      <c r="G3894">
        <v>1</v>
      </c>
      <c r="H3894" s="1" t="s">
        <v>14</v>
      </c>
      <c r="I3894" s="1" t="s">
        <v>15</v>
      </c>
      <c r="J3894" s="12">
        <v>45909</v>
      </c>
      <c r="K3894">
        <v>0</v>
      </c>
      <c r="L3894" s="1">
        <f t="shared" si="240"/>
        <v>7.6</v>
      </c>
      <c r="M3894" s="1" t="str">
        <f t="shared" si="241"/>
        <v/>
      </c>
      <c r="N3894" s="2">
        <f t="shared" si="242"/>
        <v>45901</v>
      </c>
      <c r="O3894" t="str">
        <f t="shared" si="243"/>
        <v>pes</v>
      </c>
    </row>
    <row r="3895" spans="1:15" hidden="1" x14ac:dyDescent="0.25">
      <c r="A3895">
        <v>11388</v>
      </c>
      <c r="B3895" s="11">
        <v>4050123456794</v>
      </c>
      <c r="C3895" s="1" t="s">
        <v>41</v>
      </c>
      <c r="D3895" s="1" t="s">
        <v>36</v>
      </c>
      <c r="E3895" s="1" t="s">
        <v>42</v>
      </c>
      <c r="F3895">
        <v>7.2</v>
      </c>
      <c r="G3895">
        <v>1</v>
      </c>
      <c r="H3895" s="1" t="s">
        <v>33</v>
      </c>
      <c r="I3895" s="1" t="s">
        <v>753</v>
      </c>
      <c r="J3895" s="12">
        <v>45909</v>
      </c>
      <c r="K3895">
        <v>0</v>
      </c>
      <c r="L3895" s="1">
        <f t="shared" si="240"/>
        <v>7.2</v>
      </c>
      <c r="M3895" s="1">
        <f t="shared" si="241"/>
        <v>3</v>
      </c>
      <c r="N3895" s="2">
        <f t="shared" si="242"/>
        <v>45901</v>
      </c>
      <c r="O3895" t="str">
        <f t="shared" si="243"/>
        <v>mačka</v>
      </c>
    </row>
    <row r="3896" spans="1:15" x14ac:dyDescent="0.25">
      <c r="A3896">
        <v>11389</v>
      </c>
      <c r="B3896" s="11">
        <v>8592233445568</v>
      </c>
      <c r="C3896" s="1" t="s">
        <v>138</v>
      </c>
      <c r="D3896" s="1" t="s">
        <v>133</v>
      </c>
      <c r="E3896" s="1" t="s">
        <v>17</v>
      </c>
      <c r="F3896">
        <v>79.64</v>
      </c>
      <c r="G3896">
        <v>1</v>
      </c>
      <c r="H3896" s="1" t="s">
        <v>14</v>
      </c>
      <c r="I3896" s="1" t="s">
        <v>15</v>
      </c>
      <c r="J3896" s="12">
        <v>45909</v>
      </c>
      <c r="K3896">
        <v>0</v>
      </c>
      <c r="L3896" s="1">
        <f t="shared" si="240"/>
        <v>79.64</v>
      </c>
      <c r="M3896" s="1" t="str">
        <f t="shared" si="241"/>
        <v/>
      </c>
      <c r="N3896" s="2">
        <f t="shared" si="242"/>
        <v>45901</v>
      </c>
      <c r="O3896" t="str">
        <f t="shared" si="243"/>
        <v>pes</v>
      </c>
    </row>
    <row r="3897" spans="1:15" hidden="1" x14ac:dyDescent="0.25">
      <c r="A3897">
        <v>11390</v>
      </c>
      <c r="B3897" s="11">
        <v>8593456789012</v>
      </c>
      <c r="C3897" s="1" t="s">
        <v>28</v>
      </c>
      <c r="D3897" s="1" t="s">
        <v>29</v>
      </c>
      <c r="E3897" s="1" t="s">
        <v>30</v>
      </c>
      <c r="F3897">
        <v>42</v>
      </c>
      <c r="G3897">
        <v>1</v>
      </c>
      <c r="H3897" s="1" t="s">
        <v>18</v>
      </c>
      <c r="I3897" s="1" t="s">
        <v>754</v>
      </c>
      <c r="J3897" s="12">
        <v>45909</v>
      </c>
      <c r="K3897">
        <v>0</v>
      </c>
      <c r="L3897" s="1">
        <f t="shared" si="240"/>
        <v>42</v>
      </c>
      <c r="M3897" s="1">
        <f t="shared" si="241"/>
        <v>4</v>
      </c>
      <c r="N3897" s="2">
        <f t="shared" si="242"/>
        <v>45901</v>
      </c>
      <c r="O3897" t="str">
        <f t="shared" si="243"/>
        <v>mačka</v>
      </c>
    </row>
    <row r="3898" spans="1:15" hidden="1" x14ac:dyDescent="0.25">
      <c r="A3898">
        <v>11391</v>
      </c>
      <c r="B3898" s="11">
        <v>4045678901234</v>
      </c>
      <c r="C3898" s="1" t="s">
        <v>671</v>
      </c>
      <c r="D3898" s="1" t="s">
        <v>29</v>
      </c>
      <c r="E3898" s="1" t="s">
        <v>58</v>
      </c>
      <c r="F3898">
        <v>9.6</v>
      </c>
      <c r="G3898">
        <v>2</v>
      </c>
      <c r="H3898" s="1" t="s">
        <v>14</v>
      </c>
      <c r="I3898" s="1" t="s">
        <v>15</v>
      </c>
      <c r="J3898" s="12">
        <v>45910</v>
      </c>
      <c r="K3898">
        <v>0</v>
      </c>
      <c r="L3898" s="1">
        <f t="shared" si="240"/>
        <v>19.2</v>
      </c>
      <c r="M3898" s="1" t="str">
        <f t="shared" si="241"/>
        <v/>
      </c>
      <c r="N3898" s="2">
        <f t="shared" si="242"/>
        <v>45901</v>
      </c>
      <c r="O3898" t="str">
        <f t="shared" si="243"/>
        <v>mačka</v>
      </c>
    </row>
    <row r="3899" spans="1:15" x14ac:dyDescent="0.25">
      <c r="A3899">
        <v>11392</v>
      </c>
      <c r="B3899" s="11">
        <v>4022345678908</v>
      </c>
      <c r="C3899" s="1" t="s">
        <v>363</v>
      </c>
      <c r="D3899" s="1" t="s">
        <v>21</v>
      </c>
      <c r="E3899" s="1" t="s">
        <v>69</v>
      </c>
      <c r="F3899">
        <v>10</v>
      </c>
      <c r="G3899">
        <v>1</v>
      </c>
      <c r="H3899" s="1" t="s">
        <v>14</v>
      </c>
      <c r="I3899" s="1" t="s">
        <v>15</v>
      </c>
      <c r="J3899" s="12">
        <v>45910</v>
      </c>
      <c r="K3899">
        <v>0</v>
      </c>
      <c r="L3899" s="1">
        <f t="shared" si="240"/>
        <v>10</v>
      </c>
      <c r="M3899" s="1" t="str">
        <f t="shared" si="241"/>
        <v/>
      </c>
      <c r="N3899" s="2">
        <f t="shared" si="242"/>
        <v>45901</v>
      </c>
      <c r="O3899" t="str">
        <f t="shared" si="243"/>
        <v>pes</v>
      </c>
    </row>
    <row r="3900" spans="1:15" hidden="1" x14ac:dyDescent="0.25">
      <c r="A3900">
        <v>11393</v>
      </c>
      <c r="B3900" s="11">
        <v>4044567890123</v>
      </c>
      <c r="C3900" s="1" t="s">
        <v>266</v>
      </c>
      <c r="D3900" s="1" t="s">
        <v>267</v>
      </c>
      <c r="E3900" s="1" t="s">
        <v>37</v>
      </c>
      <c r="F3900">
        <v>6</v>
      </c>
      <c r="G3900">
        <v>1</v>
      </c>
      <c r="H3900" s="1" t="s">
        <v>23</v>
      </c>
      <c r="I3900" s="1" t="s">
        <v>755</v>
      </c>
      <c r="J3900" s="12">
        <v>45910</v>
      </c>
      <c r="K3900">
        <v>0</v>
      </c>
      <c r="L3900" s="1">
        <f t="shared" si="240"/>
        <v>6</v>
      </c>
      <c r="M3900" s="1">
        <f t="shared" si="241"/>
        <v>5</v>
      </c>
      <c r="N3900" s="2">
        <f t="shared" si="242"/>
        <v>45901</v>
      </c>
      <c r="O3900" t="str">
        <f t="shared" si="243"/>
        <v>mačka</v>
      </c>
    </row>
    <row r="3901" spans="1:15" hidden="1" x14ac:dyDescent="0.25">
      <c r="A3901">
        <v>11394</v>
      </c>
      <c r="B3901" s="11">
        <v>4058899001125</v>
      </c>
      <c r="C3901" s="1" t="s">
        <v>352</v>
      </c>
      <c r="D3901" s="1" t="s">
        <v>267</v>
      </c>
      <c r="E3901" s="1" t="s">
        <v>58</v>
      </c>
      <c r="F3901">
        <v>10.4</v>
      </c>
      <c r="G3901">
        <v>1</v>
      </c>
      <c r="H3901" s="1" t="s">
        <v>14</v>
      </c>
      <c r="I3901" s="1" t="s">
        <v>15</v>
      </c>
      <c r="J3901" s="12">
        <v>45910</v>
      </c>
      <c r="K3901">
        <v>0</v>
      </c>
      <c r="L3901" s="1">
        <f t="shared" si="240"/>
        <v>10.4</v>
      </c>
      <c r="M3901" s="1" t="str">
        <f t="shared" si="241"/>
        <v/>
      </c>
      <c r="N3901" s="2">
        <f t="shared" si="242"/>
        <v>45901</v>
      </c>
      <c r="O3901" t="str">
        <f t="shared" si="243"/>
        <v>mačka</v>
      </c>
    </row>
    <row r="3902" spans="1:15" x14ac:dyDescent="0.25">
      <c r="A3902">
        <v>11395</v>
      </c>
      <c r="B3902" s="11">
        <v>4013456789017</v>
      </c>
      <c r="C3902" s="1" t="s">
        <v>11</v>
      </c>
      <c r="D3902" s="1" t="s">
        <v>12</v>
      </c>
      <c r="E3902" s="1" t="s">
        <v>13</v>
      </c>
      <c r="F3902">
        <v>6</v>
      </c>
      <c r="G3902">
        <v>1</v>
      </c>
      <c r="H3902" s="1" t="s">
        <v>18</v>
      </c>
      <c r="I3902" s="1" t="s">
        <v>756</v>
      </c>
      <c r="J3902" s="12">
        <v>45910</v>
      </c>
      <c r="K3902">
        <v>0</v>
      </c>
      <c r="L3902" s="1">
        <f t="shared" si="240"/>
        <v>6</v>
      </c>
      <c r="M3902" s="1">
        <f t="shared" si="241"/>
        <v>4</v>
      </c>
      <c r="N3902" s="2">
        <f t="shared" si="242"/>
        <v>45901</v>
      </c>
      <c r="O3902" t="str">
        <f t="shared" si="243"/>
        <v>pes</v>
      </c>
    </row>
    <row r="3903" spans="1:15" hidden="1" x14ac:dyDescent="0.25">
      <c r="A3903">
        <v>11396</v>
      </c>
      <c r="B3903" s="11">
        <v>8591122334455</v>
      </c>
      <c r="C3903" s="1" t="s">
        <v>757</v>
      </c>
      <c r="D3903" s="1" t="s">
        <v>140</v>
      </c>
      <c r="E3903" s="1" t="s">
        <v>334</v>
      </c>
      <c r="F3903">
        <v>79.64</v>
      </c>
      <c r="G3903">
        <v>1</v>
      </c>
      <c r="H3903" s="1" t="s">
        <v>14</v>
      </c>
      <c r="I3903" s="1" t="s">
        <v>15</v>
      </c>
      <c r="J3903" s="12">
        <v>45910</v>
      </c>
      <c r="K3903">
        <v>0</v>
      </c>
      <c r="L3903" s="1">
        <f t="shared" si="240"/>
        <v>79.64</v>
      </c>
      <c r="M3903" s="1" t="str">
        <f t="shared" si="241"/>
        <v/>
      </c>
      <c r="N3903" s="2">
        <f t="shared" si="242"/>
        <v>45901</v>
      </c>
      <c r="O3903" t="str">
        <f t="shared" si="243"/>
        <v>mačka</v>
      </c>
    </row>
    <row r="3904" spans="1:15" x14ac:dyDescent="0.25">
      <c r="A3904">
        <v>11397</v>
      </c>
      <c r="B3904" s="11">
        <v>4028899001126</v>
      </c>
      <c r="C3904" s="1" t="s">
        <v>16</v>
      </c>
      <c r="D3904" s="1" t="s">
        <v>12</v>
      </c>
      <c r="E3904" s="1" t="s">
        <v>17</v>
      </c>
      <c r="F3904">
        <v>2.8</v>
      </c>
      <c r="G3904">
        <v>2</v>
      </c>
      <c r="H3904" s="1" t="s">
        <v>14</v>
      </c>
      <c r="I3904" s="1" t="s">
        <v>15</v>
      </c>
      <c r="J3904" s="12">
        <v>45910</v>
      </c>
      <c r="K3904">
        <v>0</v>
      </c>
      <c r="L3904" s="1">
        <f t="shared" si="240"/>
        <v>5.6</v>
      </c>
      <c r="M3904" s="1" t="str">
        <f t="shared" si="241"/>
        <v/>
      </c>
      <c r="N3904" s="2">
        <f t="shared" si="242"/>
        <v>45901</v>
      </c>
      <c r="O3904" t="str">
        <f t="shared" si="243"/>
        <v>pes</v>
      </c>
    </row>
    <row r="3905" spans="1:15" hidden="1" x14ac:dyDescent="0.25">
      <c r="A3905">
        <v>11398</v>
      </c>
      <c r="B3905" s="11">
        <v>4062345678917</v>
      </c>
      <c r="C3905" s="1" t="s">
        <v>649</v>
      </c>
      <c r="D3905" s="1" t="s">
        <v>140</v>
      </c>
      <c r="E3905" s="1" t="s">
        <v>69</v>
      </c>
      <c r="F3905">
        <v>59.64</v>
      </c>
      <c r="G3905">
        <v>1</v>
      </c>
      <c r="H3905" s="1" t="s">
        <v>14</v>
      </c>
      <c r="I3905" s="1" t="s">
        <v>15</v>
      </c>
      <c r="J3905" s="12">
        <v>45910</v>
      </c>
      <c r="K3905">
        <v>0</v>
      </c>
      <c r="L3905" s="1">
        <f t="shared" si="240"/>
        <v>59.64</v>
      </c>
      <c r="M3905" s="1" t="str">
        <f t="shared" si="241"/>
        <v/>
      </c>
      <c r="N3905" s="2">
        <f t="shared" si="242"/>
        <v>45901</v>
      </c>
      <c r="O3905" t="str">
        <f t="shared" si="243"/>
        <v>mačka</v>
      </c>
    </row>
    <row r="3906" spans="1:15" hidden="1" x14ac:dyDescent="0.25">
      <c r="A3906">
        <v>11399</v>
      </c>
      <c r="B3906" s="11">
        <v>4025566778891</v>
      </c>
      <c r="C3906" s="1" t="s">
        <v>320</v>
      </c>
      <c r="D3906" s="1" t="s">
        <v>317</v>
      </c>
      <c r="E3906" s="1" t="s">
        <v>30</v>
      </c>
      <c r="F3906">
        <v>51.64</v>
      </c>
      <c r="G3906">
        <v>1</v>
      </c>
      <c r="H3906" s="1" t="s">
        <v>18</v>
      </c>
      <c r="I3906" s="1" t="s">
        <v>758</v>
      </c>
      <c r="J3906" s="12">
        <v>45910</v>
      </c>
      <c r="K3906">
        <v>0</v>
      </c>
      <c r="L3906" s="1">
        <f t="shared" ref="L3906:L3969" si="244">F3906*G3906</f>
        <v>51.64</v>
      </c>
      <c r="M3906" s="1">
        <f t="shared" ref="M3906:M3969" si="245">IF(H3906="NULL", "",VALUE(H3906))</f>
        <v>4</v>
      </c>
      <c r="N3906" s="2">
        <f t="shared" ref="N3906:N3969" si="246">DATE(YEAR(J3906),MONTH(J3906),1)</f>
        <v>45901</v>
      </c>
      <c r="O3906" t="str">
        <f t="shared" ref="O3906:O3969" si="247">IF(ISNUMBER(SEARCH("Mačky",D3906)),"mačka",IF(ISNUMBER(SEARCH("Psy",D3906)),"pes","iné"))</f>
        <v>mačka</v>
      </c>
    </row>
    <row r="3907" spans="1:15" x14ac:dyDescent="0.25">
      <c r="A3907">
        <v>11400</v>
      </c>
      <c r="B3907" s="11">
        <v>4013456789017</v>
      </c>
      <c r="C3907" s="1" t="s">
        <v>11</v>
      </c>
      <c r="D3907" s="1" t="s">
        <v>12</v>
      </c>
      <c r="E3907" s="1" t="s">
        <v>13</v>
      </c>
      <c r="F3907">
        <v>6</v>
      </c>
      <c r="G3907">
        <v>1</v>
      </c>
      <c r="H3907" s="1" t="s">
        <v>14</v>
      </c>
      <c r="I3907" s="1" t="s">
        <v>15</v>
      </c>
      <c r="J3907" s="12">
        <v>45910</v>
      </c>
      <c r="K3907">
        <v>0</v>
      </c>
      <c r="L3907" s="1">
        <f t="shared" si="244"/>
        <v>6</v>
      </c>
      <c r="M3907" s="1" t="str">
        <f t="shared" si="245"/>
        <v/>
      </c>
      <c r="N3907" s="2">
        <f t="shared" si="246"/>
        <v>45901</v>
      </c>
      <c r="O3907" t="str">
        <f t="shared" si="247"/>
        <v>pes</v>
      </c>
    </row>
    <row r="3908" spans="1:15" hidden="1" x14ac:dyDescent="0.25">
      <c r="A3908">
        <v>11401</v>
      </c>
      <c r="B3908" s="11">
        <v>4067890123456</v>
      </c>
      <c r="C3908" s="1" t="s">
        <v>68</v>
      </c>
      <c r="D3908" s="1" t="s">
        <v>29</v>
      </c>
      <c r="E3908" s="1" t="s">
        <v>69</v>
      </c>
      <c r="F3908">
        <v>36</v>
      </c>
      <c r="G3908">
        <v>1</v>
      </c>
      <c r="H3908" s="1" t="s">
        <v>23</v>
      </c>
      <c r="I3908" s="1" t="s">
        <v>759</v>
      </c>
      <c r="J3908" s="12">
        <v>45910</v>
      </c>
      <c r="K3908">
        <v>0</v>
      </c>
      <c r="L3908" s="1">
        <f t="shared" si="244"/>
        <v>36</v>
      </c>
      <c r="M3908" s="1">
        <f t="shared" si="245"/>
        <v>5</v>
      </c>
      <c r="N3908" s="2">
        <f t="shared" si="246"/>
        <v>45901</v>
      </c>
      <c r="O3908" t="str">
        <f t="shared" si="247"/>
        <v>mačka</v>
      </c>
    </row>
    <row r="3909" spans="1:15" x14ac:dyDescent="0.25">
      <c r="A3909">
        <v>11402</v>
      </c>
      <c r="B3909" s="11">
        <v>4040123456795</v>
      </c>
      <c r="C3909" s="1" t="s">
        <v>20</v>
      </c>
      <c r="D3909" s="1" t="s">
        <v>21</v>
      </c>
      <c r="E3909" s="1" t="s">
        <v>22</v>
      </c>
      <c r="F3909">
        <v>8.8000000000000007</v>
      </c>
      <c r="G3909">
        <v>1</v>
      </c>
      <c r="H3909" s="1" t="s">
        <v>14</v>
      </c>
      <c r="I3909" s="1" t="s">
        <v>15</v>
      </c>
      <c r="J3909" s="12">
        <v>45911</v>
      </c>
      <c r="K3909">
        <v>0</v>
      </c>
      <c r="L3909" s="1">
        <f t="shared" si="244"/>
        <v>8.8000000000000007</v>
      </c>
      <c r="M3909" s="1" t="str">
        <f t="shared" si="245"/>
        <v/>
      </c>
      <c r="N3909" s="2">
        <f t="shared" si="246"/>
        <v>45901</v>
      </c>
      <c r="O3909" t="str">
        <f t="shared" si="247"/>
        <v>pes</v>
      </c>
    </row>
    <row r="3910" spans="1:15" hidden="1" x14ac:dyDescent="0.25">
      <c r="A3910">
        <v>11403</v>
      </c>
      <c r="B3910" s="11">
        <v>8592345678901</v>
      </c>
      <c r="C3910" s="1" t="s">
        <v>760</v>
      </c>
      <c r="D3910" s="1" t="s">
        <v>29</v>
      </c>
      <c r="E3910" s="1" t="s">
        <v>30</v>
      </c>
      <c r="F3910">
        <v>4.8</v>
      </c>
      <c r="G3910">
        <v>3</v>
      </c>
      <c r="H3910" s="1" t="s">
        <v>18</v>
      </c>
      <c r="I3910" s="1" t="s">
        <v>761</v>
      </c>
      <c r="J3910" s="12">
        <v>45911</v>
      </c>
      <c r="K3910">
        <v>0</v>
      </c>
      <c r="L3910" s="1">
        <f t="shared" si="244"/>
        <v>14.399999999999999</v>
      </c>
      <c r="M3910" s="1">
        <f t="shared" si="245"/>
        <v>4</v>
      </c>
      <c r="N3910" s="2">
        <f t="shared" si="246"/>
        <v>45901</v>
      </c>
      <c r="O3910" t="str">
        <f t="shared" si="247"/>
        <v>mačka</v>
      </c>
    </row>
    <row r="3911" spans="1:15" x14ac:dyDescent="0.25">
      <c r="A3911">
        <v>11404</v>
      </c>
      <c r="B3911" s="11">
        <v>4027788990013</v>
      </c>
      <c r="C3911" s="1" t="s">
        <v>43</v>
      </c>
      <c r="D3911" s="1" t="s">
        <v>21</v>
      </c>
      <c r="E3911" s="1" t="s">
        <v>22</v>
      </c>
      <c r="F3911">
        <v>8</v>
      </c>
      <c r="G3911">
        <v>1</v>
      </c>
      <c r="H3911" s="1" t="s">
        <v>14</v>
      </c>
      <c r="I3911" s="1" t="s">
        <v>15</v>
      </c>
      <c r="J3911" s="12">
        <v>45911</v>
      </c>
      <c r="K3911">
        <v>0</v>
      </c>
      <c r="L3911" s="1">
        <f t="shared" si="244"/>
        <v>8</v>
      </c>
      <c r="M3911" s="1" t="str">
        <f t="shared" si="245"/>
        <v/>
      </c>
      <c r="N3911" s="2">
        <f t="shared" si="246"/>
        <v>45901</v>
      </c>
      <c r="O3911" t="str">
        <f t="shared" si="247"/>
        <v>pes</v>
      </c>
    </row>
    <row r="3912" spans="1:15" x14ac:dyDescent="0.25">
      <c r="A3912">
        <v>11405</v>
      </c>
      <c r="B3912" s="11">
        <v>4059900112235</v>
      </c>
      <c r="C3912" s="1" t="s">
        <v>762</v>
      </c>
      <c r="D3912" s="1" t="s">
        <v>26</v>
      </c>
      <c r="E3912" s="1" t="s">
        <v>22</v>
      </c>
      <c r="F3912">
        <v>16</v>
      </c>
      <c r="G3912">
        <v>1</v>
      </c>
      <c r="H3912" s="1" t="s">
        <v>14</v>
      </c>
      <c r="I3912" s="1" t="s">
        <v>15</v>
      </c>
      <c r="J3912" s="12">
        <v>45911</v>
      </c>
      <c r="K3912">
        <v>0</v>
      </c>
      <c r="L3912" s="1">
        <f t="shared" si="244"/>
        <v>16</v>
      </c>
      <c r="M3912" s="1" t="str">
        <f t="shared" si="245"/>
        <v/>
      </c>
      <c r="N3912" s="2">
        <f t="shared" si="246"/>
        <v>45901</v>
      </c>
      <c r="O3912" t="str">
        <f t="shared" si="247"/>
        <v>pes</v>
      </c>
    </row>
    <row r="3913" spans="1:15" hidden="1" x14ac:dyDescent="0.25">
      <c r="A3913">
        <v>11406</v>
      </c>
      <c r="B3913" s="11">
        <v>4023456789012</v>
      </c>
      <c r="C3913" s="1" t="s">
        <v>55</v>
      </c>
      <c r="D3913" s="1" t="s">
        <v>29</v>
      </c>
      <c r="E3913" s="1" t="s">
        <v>32</v>
      </c>
      <c r="F3913">
        <v>4</v>
      </c>
      <c r="G3913">
        <v>2</v>
      </c>
      <c r="H3913" s="1" t="s">
        <v>18</v>
      </c>
      <c r="I3913" s="1" t="s">
        <v>763</v>
      </c>
      <c r="J3913" s="12">
        <v>45911</v>
      </c>
      <c r="K3913">
        <v>0</v>
      </c>
      <c r="L3913" s="1">
        <f t="shared" si="244"/>
        <v>8</v>
      </c>
      <c r="M3913" s="1">
        <f t="shared" si="245"/>
        <v>4</v>
      </c>
      <c r="N3913" s="2">
        <f t="shared" si="246"/>
        <v>45901</v>
      </c>
      <c r="O3913" t="str">
        <f t="shared" si="247"/>
        <v>mačka</v>
      </c>
    </row>
    <row r="3914" spans="1:15" x14ac:dyDescent="0.25">
      <c r="A3914">
        <v>11407</v>
      </c>
      <c r="B3914" s="11">
        <v>4022345678908</v>
      </c>
      <c r="C3914" s="1" t="s">
        <v>363</v>
      </c>
      <c r="D3914" s="1" t="s">
        <v>21</v>
      </c>
      <c r="E3914" s="1" t="s">
        <v>69</v>
      </c>
      <c r="F3914">
        <v>10</v>
      </c>
      <c r="G3914">
        <v>1</v>
      </c>
      <c r="H3914" s="1" t="s">
        <v>14</v>
      </c>
      <c r="I3914" s="1" t="s">
        <v>15</v>
      </c>
      <c r="J3914" s="12">
        <v>45911</v>
      </c>
      <c r="K3914">
        <v>0</v>
      </c>
      <c r="L3914" s="1">
        <f t="shared" si="244"/>
        <v>10</v>
      </c>
      <c r="M3914" s="1" t="str">
        <f t="shared" si="245"/>
        <v/>
      </c>
      <c r="N3914" s="2">
        <f t="shared" si="246"/>
        <v>45901</v>
      </c>
      <c r="O3914" t="str">
        <f t="shared" si="247"/>
        <v>pes</v>
      </c>
    </row>
    <row r="3915" spans="1:15" hidden="1" x14ac:dyDescent="0.25">
      <c r="A3915">
        <v>11408</v>
      </c>
      <c r="B3915" s="11">
        <v>4056789012345</v>
      </c>
      <c r="C3915" s="1" t="s">
        <v>47</v>
      </c>
      <c r="D3915" s="1" t="s">
        <v>29</v>
      </c>
      <c r="E3915" s="1" t="s">
        <v>37</v>
      </c>
      <c r="F3915">
        <v>2.4</v>
      </c>
      <c r="G3915">
        <v>4</v>
      </c>
      <c r="H3915" s="1" t="s">
        <v>14</v>
      </c>
      <c r="I3915" s="1" t="s">
        <v>15</v>
      </c>
      <c r="J3915" s="12">
        <v>45911</v>
      </c>
      <c r="K3915">
        <v>0</v>
      </c>
      <c r="L3915" s="1">
        <f t="shared" si="244"/>
        <v>9.6</v>
      </c>
      <c r="M3915" s="1" t="str">
        <f t="shared" si="245"/>
        <v/>
      </c>
      <c r="N3915" s="2">
        <f t="shared" si="246"/>
        <v>45901</v>
      </c>
      <c r="O3915" t="str">
        <f t="shared" si="247"/>
        <v>mačka</v>
      </c>
    </row>
    <row r="3916" spans="1:15" hidden="1" x14ac:dyDescent="0.25">
      <c r="A3916">
        <v>11409</v>
      </c>
      <c r="B3916" s="11">
        <v>4043344556676</v>
      </c>
      <c r="C3916" s="1" t="s">
        <v>316</v>
      </c>
      <c r="D3916" s="1" t="s">
        <v>317</v>
      </c>
      <c r="E3916" s="1" t="s">
        <v>58</v>
      </c>
      <c r="F3916">
        <v>10</v>
      </c>
      <c r="G3916">
        <v>1</v>
      </c>
      <c r="H3916" s="1" t="s">
        <v>14</v>
      </c>
      <c r="I3916" s="1" t="s">
        <v>15</v>
      </c>
      <c r="J3916" s="12">
        <v>45911</v>
      </c>
      <c r="K3916">
        <v>0</v>
      </c>
      <c r="L3916" s="1">
        <f t="shared" si="244"/>
        <v>10</v>
      </c>
      <c r="M3916" s="1" t="str">
        <f t="shared" si="245"/>
        <v/>
      </c>
      <c r="N3916" s="2">
        <f t="shared" si="246"/>
        <v>45901</v>
      </c>
      <c r="O3916" t="str">
        <f t="shared" si="247"/>
        <v>mačka</v>
      </c>
    </row>
    <row r="3917" spans="1:15" x14ac:dyDescent="0.25">
      <c r="A3917">
        <v>11410</v>
      </c>
      <c r="B3917" s="11">
        <v>4003344556679</v>
      </c>
      <c r="C3917" s="1" t="s">
        <v>132</v>
      </c>
      <c r="D3917" s="1" t="s">
        <v>133</v>
      </c>
      <c r="E3917" s="1" t="s">
        <v>134</v>
      </c>
      <c r="F3917">
        <v>51.64</v>
      </c>
      <c r="G3917">
        <v>1</v>
      </c>
      <c r="H3917" s="1" t="s">
        <v>33</v>
      </c>
      <c r="I3917" s="1" t="s">
        <v>764</v>
      </c>
      <c r="J3917" s="12">
        <v>45911</v>
      </c>
      <c r="K3917">
        <v>0</v>
      </c>
      <c r="L3917" s="1">
        <f t="shared" si="244"/>
        <v>51.64</v>
      </c>
      <c r="M3917" s="1">
        <f t="shared" si="245"/>
        <v>3</v>
      </c>
      <c r="N3917" s="2">
        <f t="shared" si="246"/>
        <v>45901</v>
      </c>
      <c r="O3917" t="str">
        <f t="shared" si="247"/>
        <v>pes</v>
      </c>
    </row>
    <row r="3918" spans="1:15" hidden="1" x14ac:dyDescent="0.25">
      <c r="A3918">
        <v>11411</v>
      </c>
      <c r="B3918" s="11">
        <v>4051234567806</v>
      </c>
      <c r="C3918" s="1" t="s">
        <v>765</v>
      </c>
      <c r="D3918" s="1" t="s">
        <v>766</v>
      </c>
      <c r="E3918" s="1" t="s">
        <v>54</v>
      </c>
      <c r="F3918">
        <v>5.2</v>
      </c>
      <c r="G3918">
        <v>1</v>
      </c>
      <c r="H3918" s="1" t="s">
        <v>14</v>
      </c>
      <c r="I3918" s="1" t="s">
        <v>15</v>
      </c>
      <c r="J3918" s="12">
        <v>45911</v>
      </c>
      <c r="K3918">
        <v>0</v>
      </c>
      <c r="L3918" s="1">
        <f t="shared" si="244"/>
        <v>5.2</v>
      </c>
      <c r="M3918" s="1" t="str">
        <f t="shared" si="245"/>
        <v/>
      </c>
      <c r="N3918" s="2">
        <f t="shared" si="246"/>
        <v>45901</v>
      </c>
      <c r="O3918" t="str">
        <f t="shared" si="247"/>
        <v>iné</v>
      </c>
    </row>
    <row r="3919" spans="1:15" x14ac:dyDescent="0.25">
      <c r="A3919">
        <v>11412</v>
      </c>
      <c r="B3919" s="11">
        <v>4028899001126</v>
      </c>
      <c r="C3919" s="1" t="s">
        <v>16</v>
      </c>
      <c r="D3919" s="1" t="s">
        <v>12</v>
      </c>
      <c r="E3919" s="1" t="s">
        <v>17</v>
      </c>
      <c r="F3919">
        <v>2.8</v>
      </c>
      <c r="G3919">
        <v>2</v>
      </c>
      <c r="H3919" s="1" t="s">
        <v>14</v>
      </c>
      <c r="I3919" s="1" t="s">
        <v>15</v>
      </c>
      <c r="J3919" s="12">
        <v>45911</v>
      </c>
      <c r="K3919">
        <v>0</v>
      </c>
      <c r="L3919" s="1">
        <f t="shared" si="244"/>
        <v>5.6</v>
      </c>
      <c r="M3919" s="1" t="str">
        <f t="shared" si="245"/>
        <v/>
      </c>
      <c r="N3919" s="2">
        <f t="shared" si="246"/>
        <v>45901</v>
      </c>
      <c r="O3919" t="str">
        <f t="shared" si="247"/>
        <v>pes</v>
      </c>
    </row>
    <row r="3920" spans="1:15" hidden="1" x14ac:dyDescent="0.25">
      <c r="A3920">
        <v>11413</v>
      </c>
      <c r="B3920" s="11">
        <v>4029012345678</v>
      </c>
      <c r="C3920" s="1" t="s">
        <v>312</v>
      </c>
      <c r="D3920" s="1" t="s">
        <v>144</v>
      </c>
      <c r="E3920" s="1" t="s">
        <v>69</v>
      </c>
      <c r="F3920">
        <v>12</v>
      </c>
      <c r="G3920">
        <v>1</v>
      </c>
      <c r="H3920" s="1" t="s">
        <v>18</v>
      </c>
      <c r="I3920" s="1" t="s">
        <v>767</v>
      </c>
      <c r="J3920" s="12">
        <v>45911</v>
      </c>
      <c r="K3920">
        <v>0</v>
      </c>
      <c r="L3920" s="1">
        <f t="shared" si="244"/>
        <v>12</v>
      </c>
      <c r="M3920" s="1">
        <f t="shared" si="245"/>
        <v>4</v>
      </c>
      <c r="N3920" s="2">
        <f t="shared" si="246"/>
        <v>45901</v>
      </c>
      <c r="O3920" t="str">
        <f t="shared" si="247"/>
        <v>mačka</v>
      </c>
    </row>
    <row r="3921" spans="1:15" x14ac:dyDescent="0.25">
      <c r="A3921">
        <v>11414</v>
      </c>
      <c r="B3921" s="11">
        <v>4016677889902</v>
      </c>
      <c r="C3921" s="1" t="s">
        <v>328</v>
      </c>
      <c r="D3921" s="1" t="s">
        <v>26</v>
      </c>
      <c r="E3921" s="1" t="s">
        <v>17</v>
      </c>
      <c r="F3921">
        <v>22</v>
      </c>
      <c r="G3921">
        <v>1</v>
      </c>
      <c r="H3921" s="1" t="s">
        <v>14</v>
      </c>
      <c r="I3921" s="1" t="s">
        <v>15</v>
      </c>
      <c r="J3921" s="12">
        <v>45912</v>
      </c>
      <c r="K3921">
        <v>0</v>
      </c>
      <c r="L3921" s="1">
        <f t="shared" si="244"/>
        <v>22</v>
      </c>
      <c r="M3921" s="1" t="str">
        <f t="shared" si="245"/>
        <v/>
      </c>
      <c r="N3921" s="2">
        <f t="shared" si="246"/>
        <v>45901</v>
      </c>
      <c r="O3921" t="str">
        <f t="shared" si="247"/>
        <v>pes</v>
      </c>
    </row>
    <row r="3922" spans="1:15" x14ac:dyDescent="0.25">
      <c r="A3922">
        <v>11415</v>
      </c>
      <c r="B3922" s="11">
        <v>4063456789014</v>
      </c>
      <c r="C3922" s="1" t="s">
        <v>60</v>
      </c>
      <c r="D3922" s="1" t="s">
        <v>12</v>
      </c>
      <c r="E3922" s="1" t="s">
        <v>61</v>
      </c>
      <c r="F3922">
        <v>36</v>
      </c>
      <c r="G3922">
        <v>1</v>
      </c>
      <c r="H3922" s="1" t="s">
        <v>18</v>
      </c>
      <c r="I3922" s="1" t="s">
        <v>768</v>
      </c>
      <c r="J3922" s="12">
        <v>45912</v>
      </c>
      <c r="K3922">
        <v>0</v>
      </c>
      <c r="L3922" s="1">
        <f t="shared" si="244"/>
        <v>36</v>
      </c>
      <c r="M3922" s="1">
        <f t="shared" si="245"/>
        <v>4</v>
      </c>
      <c r="N3922" s="2">
        <f t="shared" si="246"/>
        <v>45901</v>
      </c>
      <c r="O3922" t="str">
        <f t="shared" si="247"/>
        <v>pes</v>
      </c>
    </row>
    <row r="3923" spans="1:15" x14ac:dyDescent="0.25">
      <c r="A3923">
        <v>11416</v>
      </c>
      <c r="B3923" s="11">
        <v>4013456789017</v>
      </c>
      <c r="C3923" s="1" t="s">
        <v>11</v>
      </c>
      <c r="D3923" s="1" t="s">
        <v>12</v>
      </c>
      <c r="E3923" s="1" t="s">
        <v>13</v>
      </c>
      <c r="F3923">
        <v>6</v>
      </c>
      <c r="G3923">
        <v>2</v>
      </c>
      <c r="H3923" s="1" t="s">
        <v>14</v>
      </c>
      <c r="I3923" s="1" t="s">
        <v>15</v>
      </c>
      <c r="J3923" s="12">
        <v>45912</v>
      </c>
      <c r="K3923">
        <v>0</v>
      </c>
      <c r="L3923" s="1">
        <f t="shared" si="244"/>
        <v>12</v>
      </c>
      <c r="M3923" s="1" t="str">
        <f t="shared" si="245"/>
        <v/>
      </c>
      <c r="N3923" s="2">
        <f t="shared" si="246"/>
        <v>45901</v>
      </c>
      <c r="O3923" t="str">
        <f t="shared" si="247"/>
        <v>pes</v>
      </c>
    </row>
    <row r="3924" spans="1:15" hidden="1" x14ac:dyDescent="0.25">
      <c r="A3924">
        <v>11417</v>
      </c>
      <c r="B3924" s="11">
        <v>4042233445567</v>
      </c>
      <c r="C3924" s="1" t="s">
        <v>637</v>
      </c>
      <c r="D3924" s="1" t="s">
        <v>140</v>
      </c>
      <c r="E3924" s="1" t="s">
        <v>141</v>
      </c>
      <c r="F3924">
        <v>51.64</v>
      </c>
      <c r="G3924">
        <v>1</v>
      </c>
      <c r="H3924" s="1" t="s">
        <v>14</v>
      </c>
      <c r="I3924" s="1" t="s">
        <v>15</v>
      </c>
      <c r="J3924" s="12">
        <v>45912</v>
      </c>
      <c r="K3924">
        <v>0</v>
      </c>
      <c r="L3924" s="1">
        <f t="shared" si="244"/>
        <v>51.64</v>
      </c>
      <c r="M3924" s="1" t="str">
        <f t="shared" si="245"/>
        <v/>
      </c>
      <c r="N3924" s="2">
        <f t="shared" si="246"/>
        <v>45901</v>
      </c>
      <c r="O3924" t="str">
        <f t="shared" si="247"/>
        <v>mačka</v>
      </c>
    </row>
    <row r="3925" spans="1:15" hidden="1" x14ac:dyDescent="0.25">
      <c r="A3925">
        <v>11418</v>
      </c>
      <c r="B3925" s="11">
        <v>4029900112244</v>
      </c>
      <c r="C3925" s="1" t="s">
        <v>655</v>
      </c>
      <c r="D3925" s="1" t="s">
        <v>36</v>
      </c>
      <c r="E3925" s="1" t="s">
        <v>37</v>
      </c>
      <c r="F3925">
        <v>13.6</v>
      </c>
      <c r="G3925">
        <v>1</v>
      </c>
      <c r="H3925" s="1" t="s">
        <v>18</v>
      </c>
      <c r="I3925" s="1" t="s">
        <v>769</v>
      </c>
      <c r="J3925" s="12">
        <v>45912</v>
      </c>
      <c r="K3925">
        <v>0</v>
      </c>
      <c r="L3925" s="1">
        <f t="shared" si="244"/>
        <v>13.6</v>
      </c>
      <c r="M3925" s="1">
        <f t="shared" si="245"/>
        <v>4</v>
      </c>
      <c r="N3925" s="2">
        <f t="shared" si="246"/>
        <v>45901</v>
      </c>
      <c r="O3925" t="str">
        <f t="shared" si="247"/>
        <v>mačka</v>
      </c>
    </row>
    <row r="3926" spans="1:15" x14ac:dyDescent="0.25">
      <c r="A3926">
        <v>11419</v>
      </c>
      <c r="B3926" s="11">
        <v>4059012345683</v>
      </c>
      <c r="C3926" s="1" t="s">
        <v>345</v>
      </c>
      <c r="D3926" s="1" t="s">
        <v>26</v>
      </c>
      <c r="E3926" s="1" t="s">
        <v>27</v>
      </c>
      <c r="F3926">
        <v>20</v>
      </c>
      <c r="G3926">
        <v>1</v>
      </c>
      <c r="H3926" s="1" t="s">
        <v>48</v>
      </c>
      <c r="I3926" s="1" t="s">
        <v>770</v>
      </c>
      <c r="J3926" s="12">
        <v>45912</v>
      </c>
      <c r="K3926">
        <v>1</v>
      </c>
      <c r="L3926" s="1">
        <f t="shared" si="244"/>
        <v>20</v>
      </c>
      <c r="M3926" s="1">
        <f t="shared" si="245"/>
        <v>2</v>
      </c>
      <c r="N3926" s="2">
        <f t="shared" si="246"/>
        <v>45901</v>
      </c>
      <c r="O3926" t="str">
        <f t="shared" si="247"/>
        <v>pes</v>
      </c>
    </row>
    <row r="3927" spans="1:15" hidden="1" x14ac:dyDescent="0.25">
      <c r="A3927">
        <v>11420</v>
      </c>
      <c r="B3927" s="11">
        <v>4018901234567</v>
      </c>
      <c r="C3927" s="1" t="s">
        <v>680</v>
      </c>
      <c r="D3927" s="1" t="s">
        <v>144</v>
      </c>
      <c r="E3927" s="1" t="s">
        <v>32</v>
      </c>
      <c r="F3927">
        <v>20</v>
      </c>
      <c r="G3927">
        <v>1</v>
      </c>
      <c r="H3927" s="1" t="s">
        <v>14</v>
      </c>
      <c r="I3927" s="1" t="s">
        <v>15</v>
      </c>
      <c r="J3927" s="12">
        <v>45912</v>
      </c>
      <c r="K3927">
        <v>0</v>
      </c>
      <c r="L3927" s="1">
        <f t="shared" si="244"/>
        <v>20</v>
      </c>
      <c r="M3927" s="1" t="str">
        <f t="shared" si="245"/>
        <v/>
      </c>
      <c r="N3927" s="2">
        <f t="shared" si="246"/>
        <v>45901</v>
      </c>
      <c r="O3927" t="str">
        <f t="shared" si="247"/>
        <v>mačka</v>
      </c>
    </row>
    <row r="3928" spans="1:15" hidden="1" x14ac:dyDescent="0.25">
      <c r="A3928">
        <v>11421</v>
      </c>
      <c r="B3928" s="11">
        <v>4062345678917</v>
      </c>
      <c r="C3928" s="1" t="s">
        <v>649</v>
      </c>
      <c r="D3928" s="1" t="s">
        <v>140</v>
      </c>
      <c r="E3928" s="1" t="s">
        <v>69</v>
      </c>
      <c r="F3928">
        <v>59.64</v>
      </c>
      <c r="G3928">
        <v>1</v>
      </c>
      <c r="H3928" s="1" t="s">
        <v>14</v>
      </c>
      <c r="I3928" s="1" t="s">
        <v>15</v>
      </c>
      <c r="J3928" s="12">
        <v>45912</v>
      </c>
      <c r="K3928">
        <v>0</v>
      </c>
      <c r="L3928" s="1">
        <f t="shared" si="244"/>
        <v>59.64</v>
      </c>
      <c r="M3928" s="1" t="str">
        <f t="shared" si="245"/>
        <v/>
      </c>
      <c r="N3928" s="2">
        <f t="shared" si="246"/>
        <v>45901</v>
      </c>
      <c r="O3928" t="str">
        <f t="shared" si="247"/>
        <v>mačka</v>
      </c>
    </row>
    <row r="3929" spans="1:15" hidden="1" x14ac:dyDescent="0.25">
      <c r="A3929">
        <v>11422</v>
      </c>
      <c r="B3929" s="11">
        <v>4023456789012</v>
      </c>
      <c r="C3929" s="1" t="s">
        <v>55</v>
      </c>
      <c r="D3929" s="1" t="s">
        <v>29</v>
      </c>
      <c r="E3929" s="1" t="s">
        <v>32</v>
      </c>
      <c r="F3929">
        <v>4</v>
      </c>
      <c r="G3929">
        <v>2</v>
      </c>
      <c r="H3929" s="1" t="s">
        <v>18</v>
      </c>
      <c r="I3929" s="1" t="s">
        <v>771</v>
      </c>
      <c r="J3929" s="12">
        <v>45912</v>
      </c>
      <c r="K3929">
        <v>0</v>
      </c>
      <c r="L3929" s="1">
        <f t="shared" si="244"/>
        <v>8</v>
      </c>
      <c r="M3929" s="1">
        <f t="shared" si="245"/>
        <v>4</v>
      </c>
      <c r="N3929" s="2">
        <f t="shared" si="246"/>
        <v>45901</v>
      </c>
      <c r="O3929" t="str">
        <f t="shared" si="247"/>
        <v>mačka</v>
      </c>
    </row>
    <row r="3930" spans="1:15" hidden="1" x14ac:dyDescent="0.25">
      <c r="A3930">
        <v>11423</v>
      </c>
      <c r="B3930" s="11">
        <v>4002233445566</v>
      </c>
      <c r="C3930" s="1" t="s">
        <v>268</v>
      </c>
      <c r="D3930" s="1" t="s">
        <v>140</v>
      </c>
      <c r="E3930" s="1" t="s">
        <v>30</v>
      </c>
      <c r="F3930">
        <v>20</v>
      </c>
      <c r="G3930">
        <v>1</v>
      </c>
      <c r="H3930" s="1" t="s">
        <v>14</v>
      </c>
      <c r="I3930" s="1" t="s">
        <v>15</v>
      </c>
      <c r="J3930" s="12">
        <v>45912</v>
      </c>
      <c r="K3930">
        <v>0</v>
      </c>
      <c r="L3930" s="1">
        <f t="shared" si="244"/>
        <v>20</v>
      </c>
      <c r="M3930" s="1" t="str">
        <f t="shared" si="245"/>
        <v/>
      </c>
      <c r="N3930" s="2">
        <f t="shared" si="246"/>
        <v>45901</v>
      </c>
      <c r="O3930" t="str">
        <f t="shared" si="247"/>
        <v>mačka</v>
      </c>
    </row>
    <row r="3931" spans="1:15" x14ac:dyDescent="0.25">
      <c r="A3931">
        <v>11424</v>
      </c>
      <c r="B3931" s="11">
        <v>4022345678908</v>
      </c>
      <c r="C3931" s="1" t="s">
        <v>363</v>
      </c>
      <c r="D3931" s="1" t="s">
        <v>21</v>
      </c>
      <c r="E3931" s="1" t="s">
        <v>69</v>
      </c>
      <c r="F3931">
        <v>10</v>
      </c>
      <c r="G3931">
        <v>1</v>
      </c>
      <c r="H3931" s="1" t="s">
        <v>33</v>
      </c>
      <c r="I3931" s="1" t="s">
        <v>772</v>
      </c>
      <c r="J3931" s="12">
        <v>45912</v>
      </c>
      <c r="K3931">
        <v>0</v>
      </c>
      <c r="L3931" s="1">
        <f t="shared" si="244"/>
        <v>10</v>
      </c>
      <c r="M3931" s="1">
        <f t="shared" si="245"/>
        <v>3</v>
      </c>
      <c r="N3931" s="2">
        <f t="shared" si="246"/>
        <v>45901</v>
      </c>
      <c r="O3931" t="str">
        <f t="shared" si="247"/>
        <v>pes</v>
      </c>
    </row>
    <row r="3932" spans="1:15" hidden="1" x14ac:dyDescent="0.25">
      <c r="A3932">
        <v>11425</v>
      </c>
      <c r="B3932" s="11">
        <v>8593456789012</v>
      </c>
      <c r="C3932" s="1" t="s">
        <v>28</v>
      </c>
      <c r="D3932" s="1" t="s">
        <v>29</v>
      </c>
      <c r="E3932" s="1" t="s">
        <v>30</v>
      </c>
      <c r="F3932">
        <v>42</v>
      </c>
      <c r="G3932">
        <v>1</v>
      </c>
      <c r="H3932" s="1" t="s">
        <v>14</v>
      </c>
      <c r="I3932" s="1" t="s">
        <v>15</v>
      </c>
      <c r="J3932" s="12">
        <v>45912</v>
      </c>
      <c r="K3932">
        <v>0</v>
      </c>
      <c r="L3932" s="1">
        <f t="shared" si="244"/>
        <v>42</v>
      </c>
      <c r="M3932" s="1" t="str">
        <f t="shared" si="245"/>
        <v/>
      </c>
      <c r="N3932" s="2">
        <f t="shared" si="246"/>
        <v>45901</v>
      </c>
      <c r="O3932" t="str">
        <f t="shared" si="247"/>
        <v>mačka</v>
      </c>
    </row>
    <row r="3933" spans="1:15" x14ac:dyDescent="0.25">
      <c r="A3933">
        <v>11426</v>
      </c>
      <c r="B3933" s="11">
        <v>4040123456795</v>
      </c>
      <c r="C3933" s="1" t="s">
        <v>20</v>
      </c>
      <c r="D3933" s="1" t="s">
        <v>21</v>
      </c>
      <c r="E3933" s="1" t="s">
        <v>22</v>
      </c>
      <c r="F3933">
        <v>8.8000000000000007</v>
      </c>
      <c r="G3933">
        <v>1</v>
      </c>
      <c r="H3933" s="1" t="s">
        <v>23</v>
      </c>
      <c r="I3933" s="1" t="s">
        <v>240</v>
      </c>
      <c r="J3933" s="12">
        <v>45912</v>
      </c>
      <c r="K3933">
        <v>0</v>
      </c>
      <c r="L3933" s="1">
        <f t="shared" si="244"/>
        <v>8.8000000000000007</v>
      </c>
      <c r="M3933" s="1">
        <f t="shared" si="245"/>
        <v>5</v>
      </c>
      <c r="N3933" s="2">
        <f t="shared" si="246"/>
        <v>45901</v>
      </c>
      <c r="O3933" t="str">
        <f t="shared" si="247"/>
        <v>pes</v>
      </c>
    </row>
    <row r="3934" spans="1:15" x14ac:dyDescent="0.25">
      <c r="A3934">
        <v>11427</v>
      </c>
      <c r="B3934" s="11">
        <v>4013456789017</v>
      </c>
      <c r="C3934" s="1" t="s">
        <v>11</v>
      </c>
      <c r="D3934" s="1" t="s">
        <v>12</v>
      </c>
      <c r="E3934" s="1" t="s">
        <v>13</v>
      </c>
      <c r="F3934">
        <v>6</v>
      </c>
      <c r="G3934">
        <v>1</v>
      </c>
      <c r="H3934" s="1" t="s">
        <v>14</v>
      </c>
      <c r="I3934" s="1" t="s">
        <v>15</v>
      </c>
      <c r="J3934" s="12">
        <v>45913</v>
      </c>
      <c r="K3934">
        <v>0</v>
      </c>
      <c r="L3934" s="1">
        <f t="shared" si="244"/>
        <v>6</v>
      </c>
      <c r="M3934" s="1" t="str">
        <f t="shared" si="245"/>
        <v/>
      </c>
      <c r="N3934" s="2">
        <f t="shared" si="246"/>
        <v>45901</v>
      </c>
      <c r="O3934" t="str">
        <f t="shared" si="247"/>
        <v>pes</v>
      </c>
    </row>
    <row r="3935" spans="1:15" hidden="1" x14ac:dyDescent="0.25">
      <c r="A3935">
        <v>11428</v>
      </c>
      <c r="B3935" s="11">
        <v>4024455667788</v>
      </c>
      <c r="C3935" s="1" t="s">
        <v>657</v>
      </c>
      <c r="D3935" s="1" t="s">
        <v>140</v>
      </c>
      <c r="E3935" s="1" t="s">
        <v>42</v>
      </c>
      <c r="F3935">
        <v>75.64</v>
      </c>
      <c r="G3935">
        <v>1</v>
      </c>
      <c r="H3935" s="1" t="s">
        <v>23</v>
      </c>
      <c r="I3935" s="1" t="s">
        <v>773</v>
      </c>
      <c r="J3935" s="12">
        <v>45913</v>
      </c>
      <c r="K3935">
        <v>0</v>
      </c>
      <c r="L3935" s="1">
        <f t="shared" si="244"/>
        <v>75.64</v>
      </c>
      <c r="M3935" s="1">
        <f t="shared" si="245"/>
        <v>5</v>
      </c>
      <c r="N3935" s="2">
        <f t="shared" si="246"/>
        <v>45901</v>
      </c>
      <c r="O3935" t="str">
        <f t="shared" si="247"/>
        <v>mačka</v>
      </c>
    </row>
    <row r="3936" spans="1:15" x14ac:dyDescent="0.25">
      <c r="A3936">
        <v>11429</v>
      </c>
      <c r="B3936" s="11">
        <v>4013456789017</v>
      </c>
      <c r="C3936" s="1" t="s">
        <v>11</v>
      </c>
      <c r="D3936" s="1" t="s">
        <v>12</v>
      </c>
      <c r="E3936" s="1" t="s">
        <v>13</v>
      </c>
      <c r="F3936">
        <v>6</v>
      </c>
      <c r="G3936">
        <v>1</v>
      </c>
      <c r="H3936" s="1" t="s">
        <v>14</v>
      </c>
      <c r="I3936" s="1" t="s">
        <v>15</v>
      </c>
      <c r="J3936" s="12">
        <v>45913</v>
      </c>
      <c r="K3936">
        <v>0</v>
      </c>
      <c r="L3936" s="1">
        <f t="shared" si="244"/>
        <v>6</v>
      </c>
      <c r="M3936" s="1" t="str">
        <f t="shared" si="245"/>
        <v/>
      </c>
      <c r="N3936" s="2">
        <f t="shared" si="246"/>
        <v>45901</v>
      </c>
      <c r="O3936" t="str">
        <f t="shared" si="247"/>
        <v>pes</v>
      </c>
    </row>
    <row r="3937" spans="1:15" hidden="1" x14ac:dyDescent="0.25">
      <c r="A3937">
        <v>11430</v>
      </c>
      <c r="B3937" s="11">
        <v>4025566778891</v>
      </c>
      <c r="C3937" s="1" t="s">
        <v>320</v>
      </c>
      <c r="D3937" s="1" t="s">
        <v>317</v>
      </c>
      <c r="E3937" s="1" t="s">
        <v>30</v>
      </c>
      <c r="F3937">
        <v>51.64</v>
      </c>
      <c r="G3937">
        <v>1</v>
      </c>
      <c r="H3937" s="1" t="s">
        <v>18</v>
      </c>
      <c r="I3937" s="1" t="s">
        <v>774</v>
      </c>
      <c r="J3937" s="12">
        <v>45913</v>
      </c>
      <c r="K3937">
        <v>0</v>
      </c>
      <c r="L3937" s="1">
        <f t="shared" si="244"/>
        <v>51.64</v>
      </c>
      <c r="M3937" s="1">
        <f t="shared" si="245"/>
        <v>4</v>
      </c>
      <c r="N3937" s="2">
        <f t="shared" si="246"/>
        <v>45901</v>
      </c>
      <c r="O3937" t="str">
        <f t="shared" si="247"/>
        <v>mačka</v>
      </c>
    </row>
    <row r="3938" spans="1:15" hidden="1" x14ac:dyDescent="0.25">
      <c r="A3938">
        <v>11431</v>
      </c>
      <c r="B3938" s="11">
        <v>4042233445567</v>
      </c>
      <c r="C3938" s="1" t="s">
        <v>637</v>
      </c>
      <c r="D3938" s="1" t="s">
        <v>140</v>
      </c>
      <c r="E3938" s="1" t="s">
        <v>141</v>
      </c>
      <c r="F3938">
        <v>51.64</v>
      </c>
      <c r="G3938">
        <v>1</v>
      </c>
      <c r="H3938" s="1" t="s">
        <v>14</v>
      </c>
      <c r="I3938" s="1" t="s">
        <v>15</v>
      </c>
      <c r="J3938" s="12">
        <v>45913</v>
      </c>
      <c r="K3938">
        <v>0</v>
      </c>
      <c r="L3938" s="1">
        <f t="shared" si="244"/>
        <v>51.64</v>
      </c>
      <c r="M3938" s="1" t="str">
        <f t="shared" si="245"/>
        <v/>
      </c>
      <c r="N3938" s="2">
        <f t="shared" si="246"/>
        <v>45901</v>
      </c>
      <c r="O3938" t="str">
        <f t="shared" si="247"/>
        <v>mačka</v>
      </c>
    </row>
    <row r="3939" spans="1:15" x14ac:dyDescent="0.25">
      <c r="A3939">
        <v>11432</v>
      </c>
      <c r="B3939" s="11">
        <v>4017890123450</v>
      </c>
      <c r="C3939" s="1" t="s">
        <v>65</v>
      </c>
      <c r="D3939" s="1" t="s">
        <v>39</v>
      </c>
      <c r="E3939" s="1" t="s">
        <v>22</v>
      </c>
      <c r="F3939">
        <v>7.6</v>
      </c>
      <c r="G3939">
        <v>1</v>
      </c>
      <c r="H3939" s="1" t="s">
        <v>14</v>
      </c>
      <c r="I3939" s="1" t="s">
        <v>15</v>
      </c>
      <c r="J3939" s="12">
        <v>45913</v>
      </c>
      <c r="K3939">
        <v>0</v>
      </c>
      <c r="L3939" s="1">
        <f t="shared" si="244"/>
        <v>7.6</v>
      </c>
      <c r="M3939" s="1" t="str">
        <f t="shared" si="245"/>
        <v/>
      </c>
      <c r="N3939" s="2">
        <f t="shared" si="246"/>
        <v>45901</v>
      </c>
      <c r="O3939" t="str">
        <f t="shared" si="247"/>
        <v>pes</v>
      </c>
    </row>
    <row r="3940" spans="1:15" hidden="1" x14ac:dyDescent="0.25">
      <c r="A3940">
        <v>11433</v>
      </c>
      <c r="B3940" s="11">
        <v>4021234567894</v>
      </c>
      <c r="C3940" s="1" t="s">
        <v>79</v>
      </c>
      <c r="D3940" s="1" t="s">
        <v>36</v>
      </c>
      <c r="E3940" s="1" t="s">
        <v>69</v>
      </c>
      <c r="F3940">
        <v>8</v>
      </c>
      <c r="G3940">
        <v>1</v>
      </c>
      <c r="H3940" s="1" t="s">
        <v>14</v>
      </c>
      <c r="I3940" s="1" t="s">
        <v>15</v>
      </c>
      <c r="J3940" s="12">
        <v>45913</v>
      </c>
      <c r="K3940">
        <v>0</v>
      </c>
      <c r="L3940" s="1">
        <f t="shared" si="244"/>
        <v>8</v>
      </c>
      <c r="M3940" s="1" t="str">
        <f t="shared" si="245"/>
        <v/>
      </c>
      <c r="N3940" s="2">
        <f t="shared" si="246"/>
        <v>45901</v>
      </c>
      <c r="O3940" t="str">
        <f t="shared" si="247"/>
        <v>mačka</v>
      </c>
    </row>
    <row r="3941" spans="1:15" hidden="1" x14ac:dyDescent="0.25">
      <c r="A3941">
        <v>11434</v>
      </c>
      <c r="B3941" s="11">
        <v>4069012345682</v>
      </c>
      <c r="C3941" s="1" t="s">
        <v>143</v>
      </c>
      <c r="D3941" s="1" t="s">
        <v>144</v>
      </c>
      <c r="E3941" s="1" t="s">
        <v>30</v>
      </c>
      <c r="F3941">
        <v>26</v>
      </c>
      <c r="G3941">
        <v>1</v>
      </c>
      <c r="H3941" s="1" t="s">
        <v>23</v>
      </c>
      <c r="I3941" s="1" t="s">
        <v>775</v>
      </c>
      <c r="J3941" s="12">
        <v>45913</v>
      </c>
      <c r="K3941">
        <v>0</v>
      </c>
      <c r="L3941" s="1">
        <f t="shared" si="244"/>
        <v>26</v>
      </c>
      <c r="M3941" s="1">
        <f t="shared" si="245"/>
        <v>5</v>
      </c>
      <c r="N3941" s="2">
        <f t="shared" si="246"/>
        <v>45901</v>
      </c>
      <c r="O3941" t="str">
        <f t="shared" si="247"/>
        <v>mačka</v>
      </c>
    </row>
    <row r="3942" spans="1:15" x14ac:dyDescent="0.25">
      <c r="A3942">
        <v>11435</v>
      </c>
      <c r="B3942" s="11">
        <v>4011234567897</v>
      </c>
      <c r="C3942" s="1" t="s">
        <v>341</v>
      </c>
      <c r="D3942" s="1" t="s">
        <v>21</v>
      </c>
      <c r="E3942" s="1" t="s">
        <v>303</v>
      </c>
      <c r="F3942">
        <v>11.6</v>
      </c>
      <c r="G3942">
        <v>1</v>
      </c>
      <c r="H3942" s="1" t="s">
        <v>14</v>
      </c>
      <c r="I3942" s="1" t="s">
        <v>15</v>
      </c>
      <c r="J3942" s="12">
        <v>45913</v>
      </c>
      <c r="K3942">
        <v>0</v>
      </c>
      <c r="L3942" s="1">
        <f t="shared" si="244"/>
        <v>11.6</v>
      </c>
      <c r="M3942" s="1" t="str">
        <f t="shared" si="245"/>
        <v/>
      </c>
      <c r="N3942" s="2">
        <f t="shared" si="246"/>
        <v>45901</v>
      </c>
      <c r="O3942" t="str">
        <f t="shared" si="247"/>
        <v>pes</v>
      </c>
    </row>
    <row r="3943" spans="1:15" hidden="1" x14ac:dyDescent="0.25">
      <c r="A3943">
        <v>11436</v>
      </c>
      <c r="B3943" s="11">
        <v>4006677889904</v>
      </c>
      <c r="C3943" s="1" t="s">
        <v>206</v>
      </c>
      <c r="D3943" s="1" t="s">
        <v>29</v>
      </c>
      <c r="E3943" s="1" t="s">
        <v>30</v>
      </c>
      <c r="F3943">
        <v>2</v>
      </c>
      <c r="G3943">
        <v>5</v>
      </c>
      <c r="H3943" s="1" t="s">
        <v>18</v>
      </c>
      <c r="I3943" s="1" t="s">
        <v>776</v>
      </c>
      <c r="J3943" s="12">
        <v>45913</v>
      </c>
      <c r="K3943">
        <v>0</v>
      </c>
      <c r="L3943" s="1">
        <f t="shared" si="244"/>
        <v>10</v>
      </c>
      <c r="M3943" s="1">
        <f t="shared" si="245"/>
        <v>4</v>
      </c>
      <c r="N3943" s="2">
        <f t="shared" si="246"/>
        <v>45901</v>
      </c>
      <c r="O3943" t="str">
        <f t="shared" si="247"/>
        <v>mačka</v>
      </c>
    </row>
    <row r="3944" spans="1:15" x14ac:dyDescent="0.25">
      <c r="A3944">
        <v>11437</v>
      </c>
      <c r="B3944" s="11">
        <v>4013456789017</v>
      </c>
      <c r="C3944" s="1" t="s">
        <v>11</v>
      </c>
      <c r="D3944" s="1" t="s">
        <v>12</v>
      </c>
      <c r="E3944" s="1" t="s">
        <v>13</v>
      </c>
      <c r="F3944">
        <v>6</v>
      </c>
      <c r="G3944">
        <v>1</v>
      </c>
      <c r="H3944" s="1" t="s">
        <v>14</v>
      </c>
      <c r="I3944" s="1" t="s">
        <v>15</v>
      </c>
      <c r="J3944" s="12">
        <v>45913</v>
      </c>
      <c r="K3944">
        <v>0</v>
      </c>
      <c r="L3944" s="1">
        <f t="shared" si="244"/>
        <v>6</v>
      </c>
      <c r="M3944" s="1" t="str">
        <f t="shared" si="245"/>
        <v/>
      </c>
      <c r="N3944" s="2">
        <f t="shared" si="246"/>
        <v>45901</v>
      </c>
      <c r="O3944" t="str">
        <f t="shared" si="247"/>
        <v>pes</v>
      </c>
    </row>
    <row r="3945" spans="1:15" x14ac:dyDescent="0.25">
      <c r="A3945">
        <v>11438</v>
      </c>
      <c r="B3945" s="11">
        <v>4046789012356</v>
      </c>
      <c r="C3945" s="1" t="s">
        <v>304</v>
      </c>
      <c r="D3945" s="1" t="s">
        <v>39</v>
      </c>
      <c r="E3945" s="1" t="s">
        <v>61</v>
      </c>
      <c r="F3945">
        <v>6.4</v>
      </c>
      <c r="G3945">
        <v>2</v>
      </c>
      <c r="H3945" s="1" t="s">
        <v>33</v>
      </c>
      <c r="I3945" s="1" t="s">
        <v>777</v>
      </c>
      <c r="J3945" s="12">
        <v>45913</v>
      </c>
      <c r="K3945">
        <v>0</v>
      </c>
      <c r="L3945" s="1">
        <f t="shared" si="244"/>
        <v>12.8</v>
      </c>
      <c r="M3945" s="1">
        <f t="shared" si="245"/>
        <v>3</v>
      </c>
      <c r="N3945" s="2">
        <f t="shared" si="246"/>
        <v>45901</v>
      </c>
      <c r="O3945" t="str">
        <f t="shared" si="247"/>
        <v>pes</v>
      </c>
    </row>
    <row r="3946" spans="1:15" x14ac:dyDescent="0.25">
      <c r="A3946">
        <v>11439</v>
      </c>
      <c r="B3946" s="11">
        <v>4040123456795</v>
      </c>
      <c r="C3946" s="1" t="s">
        <v>20</v>
      </c>
      <c r="D3946" s="1" t="s">
        <v>21</v>
      </c>
      <c r="E3946" s="1" t="s">
        <v>22</v>
      </c>
      <c r="F3946">
        <v>8.8000000000000007</v>
      </c>
      <c r="G3946">
        <v>1</v>
      </c>
      <c r="H3946" s="1" t="s">
        <v>14</v>
      </c>
      <c r="I3946" s="1" t="s">
        <v>15</v>
      </c>
      <c r="J3946" s="12">
        <v>45913</v>
      </c>
      <c r="K3946">
        <v>0</v>
      </c>
      <c r="L3946" s="1">
        <f t="shared" si="244"/>
        <v>8.8000000000000007</v>
      </c>
      <c r="M3946" s="1" t="str">
        <f t="shared" si="245"/>
        <v/>
      </c>
      <c r="N3946" s="2">
        <f t="shared" si="246"/>
        <v>45901</v>
      </c>
      <c r="O3946" t="str">
        <f t="shared" si="247"/>
        <v>pes</v>
      </c>
    </row>
    <row r="3947" spans="1:15" hidden="1" x14ac:dyDescent="0.25">
      <c r="A3947">
        <v>11440</v>
      </c>
      <c r="B3947" s="11">
        <v>8592345678901</v>
      </c>
      <c r="C3947" s="1" t="s">
        <v>760</v>
      </c>
      <c r="D3947" s="1" t="s">
        <v>29</v>
      </c>
      <c r="E3947" s="1" t="s">
        <v>30</v>
      </c>
      <c r="F3947">
        <v>4.8</v>
      </c>
      <c r="G3947">
        <v>3</v>
      </c>
      <c r="H3947" s="1" t="s">
        <v>14</v>
      </c>
      <c r="I3947" s="1" t="s">
        <v>15</v>
      </c>
      <c r="J3947" s="12">
        <v>45913</v>
      </c>
      <c r="K3947">
        <v>0</v>
      </c>
      <c r="L3947" s="1">
        <f t="shared" si="244"/>
        <v>14.399999999999999</v>
      </c>
      <c r="M3947" s="1" t="str">
        <f t="shared" si="245"/>
        <v/>
      </c>
      <c r="N3947" s="2">
        <f t="shared" si="246"/>
        <v>45901</v>
      </c>
      <c r="O3947" t="str">
        <f t="shared" si="247"/>
        <v>mačka</v>
      </c>
    </row>
    <row r="3948" spans="1:15" hidden="1" x14ac:dyDescent="0.25">
      <c r="A3948">
        <v>11441</v>
      </c>
      <c r="B3948" s="11">
        <v>4024455667788</v>
      </c>
      <c r="C3948" s="1" t="s">
        <v>657</v>
      </c>
      <c r="D3948" s="1" t="s">
        <v>140</v>
      </c>
      <c r="E3948" s="1" t="s">
        <v>42</v>
      </c>
      <c r="F3948">
        <v>75.64</v>
      </c>
      <c r="G3948">
        <v>1</v>
      </c>
      <c r="H3948" s="1" t="s">
        <v>18</v>
      </c>
      <c r="I3948" s="1" t="s">
        <v>778</v>
      </c>
      <c r="J3948" s="12">
        <v>45913</v>
      </c>
      <c r="K3948">
        <v>0</v>
      </c>
      <c r="L3948" s="1">
        <f t="shared" si="244"/>
        <v>75.64</v>
      </c>
      <c r="M3948" s="1">
        <f t="shared" si="245"/>
        <v>4</v>
      </c>
      <c r="N3948" s="2">
        <f t="shared" si="246"/>
        <v>45901</v>
      </c>
      <c r="O3948" t="str">
        <f t="shared" si="247"/>
        <v>mačka</v>
      </c>
    </row>
    <row r="3949" spans="1:15" x14ac:dyDescent="0.25">
      <c r="A3949">
        <v>11442</v>
      </c>
      <c r="B3949" s="11">
        <v>4028899001126</v>
      </c>
      <c r="C3949" s="1" t="s">
        <v>16</v>
      </c>
      <c r="D3949" s="1" t="s">
        <v>12</v>
      </c>
      <c r="E3949" s="1" t="s">
        <v>17</v>
      </c>
      <c r="F3949">
        <v>2.8</v>
      </c>
      <c r="G3949">
        <v>3</v>
      </c>
      <c r="H3949" s="1" t="s">
        <v>14</v>
      </c>
      <c r="I3949" s="1" t="s">
        <v>15</v>
      </c>
      <c r="J3949" s="12">
        <v>45914</v>
      </c>
      <c r="K3949">
        <v>0</v>
      </c>
      <c r="L3949" s="1">
        <f t="shared" si="244"/>
        <v>8.3999999999999986</v>
      </c>
      <c r="M3949" s="1" t="str">
        <f t="shared" si="245"/>
        <v/>
      </c>
      <c r="N3949" s="2">
        <f t="shared" si="246"/>
        <v>45901</v>
      </c>
      <c r="O3949" t="str">
        <f t="shared" si="247"/>
        <v>pes</v>
      </c>
    </row>
    <row r="3950" spans="1:15" hidden="1" x14ac:dyDescent="0.25">
      <c r="A3950">
        <v>11443</v>
      </c>
      <c r="B3950" s="11">
        <v>4026677889902</v>
      </c>
      <c r="C3950" s="1" t="s">
        <v>52</v>
      </c>
      <c r="D3950" s="1" t="s">
        <v>53</v>
      </c>
      <c r="E3950" s="1" t="s">
        <v>54</v>
      </c>
      <c r="F3950">
        <v>7.6</v>
      </c>
      <c r="G3950">
        <v>1</v>
      </c>
      <c r="H3950" s="1" t="s">
        <v>14</v>
      </c>
      <c r="I3950" s="1" t="s">
        <v>15</v>
      </c>
      <c r="J3950" s="12">
        <v>45914</v>
      </c>
      <c r="K3950">
        <v>0</v>
      </c>
      <c r="L3950" s="1">
        <f t="shared" si="244"/>
        <v>7.6</v>
      </c>
      <c r="M3950" s="1" t="str">
        <f t="shared" si="245"/>
        <v/>
      </c>
      <c r="N3950" s="2">
        <f t="shared" si="246"/>
        <v>45901</v>
      </c>
      <c r="O3950" t="str">
        <f t="shared" si="247"/>
        <v>iné</v>
      </c>
    </row>
    <row r="3951" spans="1:15" x14ac:dyDescent="0.25">
      <c r="A3951">
        <v>11444</v>
      </c>
      <c r="B3951" s="11">
        <v>4013456789017</v>
      </c>
      <c r="C3951" s="1" t="s">
        <v>11</v>
      </c>
      <c r="D3951" s="1" t="s">
        <v>12</v>
      </c>
      <c r="E3951" s="1" t="s">
        <v>13</v>
      </c>
      <c r="F3951">
        <v>6</v>
      </c>
      <c r="G3951">
        <v>1</v>
      </c>
      <c r="H3951" s="1" t="s">
        <v>23</v>
      </c>
      <c r="I3951" s="1" t="s">
        <v>779</v>
      </c>
      <c r="J3951" s="12">
        <v>45914</v>
      </c>
      <c r="K3951">
        <v>0</v>
      </c>
      <c r="L3951" s="1">
        <f t="shared" si="244"/>
        <v>6</v>
      </c>
      <c r="M3951" s="1">
        <f t="shared" si="245"/>
        <v>5</v>
      </c>
      <c r="N3951" s="2">
        <f t="shared" si="246"/>
        <v>45901</v>
      </c>
      <c r="O3951" t="str">
        <f t="shared" si="247"/>
        <v>pes</v>
      </c>
    </row>
    <row r="3952" spans="1:15" hidden="1" x14ac:dyDescent="0.25">
      <c r="A3952">
        <v>11445</v>
      </c>
      <c r="B3952" s="11">
        <v>4049012345683</v>
      </c>
      <c r="C3952" s="1" t="s">
        <v>57</v>
      </c>
      <c r="D3952" s="1" t="s">
        <v>36</v>
      </c>
      <c r="E3952" s="1" t="s">
        <v>58</v>
      </c>
      <c r="F3952">
        <v>9.1999999999999993</v>
      </c>
      <c r="G3952">
        <v>1</v>
      </c>
      <c r="H3952" s="1" t="s">
        <v>14</v>
      </c>
      <c r="I3952" s="1" t="s">
        <v>15</v>
      </c>
      <c r="J3952" s="12">
        <v>45914</v>
      </c>
      <c r="K3952">
        <v>0</v>
      </c>
      <c r="L3952" s="1">
        <f t="shared" si="244"/>
        <v>9.1999999999999993</v>
      </c>
      <c r="M3952" s="1" t="str">
        <f t="shared" si="245"/>
        <v/>
      </c>
      <c r="N3952" s="2">
        <f t="shared" si="246"/>
        <v>45901</v>
      </c>
      <c r="O3952" t="str">
        <f t="shared" si="247"/>
        <v>mačka</v>
      </c>
    </row>
    <row r="3953" spans="1:15" x14ac:dyDescent="0.25">
      <c r="A3953">
        <v>11446</v>
      </c>
      <c r="B3953" s="11">
        <v>4028899001126</v>
      </c>
      <c r="C3953" s="1" t="s">
        <v>16</v>
      </c>
      <c r="D3953" s="1" t="s">
        <v>12</v>
      </c>
      <c r="E3953" s="1" t="s">
        <v>17</v>
      </c>
      <c r="F3953">
        <v>2.8</v>
      </c>
      <c r="G3953">
        <v>2</v>
      </c>
      <c r="H3953" s="1" t="s">
        <v>18</v>
      </c>
      <c r="I3953" s="1" t="s">
        <v>180</v>
      </c>
      <c r="J3953" s="12">
        <v>45914</v>
      </c>
      <c r="K3953">
        <v>0</v>
      </c>
      <c r="L3953" s="1">
        <f t="shared" si="244"/>
        <v>5.6</v>
      </c>
      <c r="M3953" s="1">
        <f t="shared" si="245"/>
        <v>4</v>
      </c>
      <c r="N3953" s="2">
        <f t="shared" si="246"/>
        <v>45901</v>
      </c>
      <c r="O3953" t="str">
        <f t="shared" si="247"/>
        <v>pes</v>
      </c>
    </row>
    <row r="3954" spans="1:15" x14ac:dyDescent="0.25">
      <c r="A3954">
        <v>11447</v>
      </c>
      <c r="B3954" s="11">
        <v>4013456789017</v>
      </c>
      <c r="C3954" s="1" t="s">
        <v>11</v>
      </c>
      <c r="D3954" s="1" t="s">
        <v>12</v>
      </c>
      <c r="E3954" s="1" t="s">
        <v>13</v>
      </c>
      <c r="F3954">
        <v>6</v>
      </c>
      <c r="G3954">
        <v>2</v>
      </c>
      <c r="H3954" s="1" t="s">
        <v>14</v>
      </c>
      <c r="I3954" s="1" t="s">
        <v>15</v>
      </c>
      <c r="J3954" s="12">
        <v>45914</v>
      </c>
      <c r="K3954">
        <v>0</v>
      </c>
      <c r="L3954" s="1">
        <f t="shared" si="244"/>
        <v>12</v>
      </c>
      <c r="M3954" s="1" t="str">
        <f t="shared" si="245"/>
        <v/>
      </c>
      <c r="N3954" s="2">
        <f t="shared" si="246"/>
        <v>45901</v>
      </c>
      <c r="O3954" t="str">
        <f t="shared" si="247"/>
        <v>pes</v>
      </c>
    </row>
    <row r="3955" spans="1:15" x14ac:dyDescent="0.25">
      <c r="A3955">
        <v>11447</v>
      </c>
      <c r="B3955" s="11">
        <v>4040123456795</v>
      </c>
      <c r="C3955" s="1" t="s">
        <v>20</v>
      </c>
      <c r="D3955" s="1" t="s">
        <v>21</v>
      </c>
      <c r="E3955" s="1" t="s">
        <v>22</v>
      </c>
      <c r="F3955">
        <v>8.8000000000000007</v>
      </c>
      <c r="G3955">
        <v>1</v>
      </c>
      <c r="H3955" s="1" t="s">
        <v>14</v>
      </c>
      <c r="I3955" s="1" t="s">
        <v>15</v>
      </c>
      <c r="J3955" s="12">
        <v>45914</v>
      </c>
      <c r="K3955">
        <v>0</v>
      </c>
      <c r="L3955" s="1">
        <f t="shared" si="244"/>
        <v>8.8000000000000007</v>
      </c>
      <c r="M3955" s="1" t="str">
        <f t="shared" si="245"/>
        <v/>
      </c>
      <c r="N3955" s="2">
        <f t="shared" si="246"/>
        <v>45901</v>
      </c>
      <c r="O3955" t="str">
        <f t="shared" si="247"/>
        <v>pes</v>
      </c>
    </row>
    <row r="3956" spans="1:15" x14ac:dyDescent="0.25">
      <c r="A3956">
        <v>11448</v>
      </c>
      <c r="B3956" s="11">
        <v>4028899001126</v>
      </c>
      <c r="C3956" s="1" t="s">
        <v>16</v>
      </c>
      <c r="D3956" s="1" t="s">
        <v>12</v>
      </c>
      <c r="E3956" s="1" t="s">
        <v>17</v>
      </c>
      <c r="F3956">
        <v>2.8</v>
      </c>
      <c r="G3956">
        <v>3</v>
      </c>
      <c r="H3956" s="1" t="s">
        <v>18</v>
      </c>
      <c r="I3956" s="1" t="s">
        <v>780</v>
      </c>
      <c r="J3956" s="12">
        <v>45914</v>
      </c>
      <c r="K3956">
        <v>0</v>
      </c>
      <c r="L3956" s="1">
        <f t="shared" si="244"/>
        <v>8.3999999999999986</v>
      </c>
      <c r="M3956" s="1">
        <f t="shared" si="245"/>
        <v>4</v>
      </c>
      <c r="N3956" s="2">
        <f t="shared" si="246"/>
        <v>45901</v>
      </c>
      <c r="O3956" t="str">
        <f t="shared" si="247"/>
        <v>pes</v>
      </c>
    </row>
    <row r="3957" spans="1:15" x14ac:dyDescent="0.25">
      <c r="A3957">
        <v>11449</v>
      </c>
      <c r="B3957" s="11">
        <v>4059900112235</v>
      </c>
      <c r="C3957" s="1" t="s">
        <v>762</v>
      </c>
      <c r="D3957" s="1" t="s">
        <v>26</v>
      </c>
      <c r="E3957" s="1" t="s">
        <v>22</v>
      </c>
      <c r="F3957">
        <v>16</v>
      </c>
      <c r="G3957">
        <v>1</v>
      </c>
      <c r="H3957" s="1" t="s">
        <v>14</v>
      </c>
      <c r="I3957" s="1" t="s">
        <v>15</v>
      </c>
      <c r="J3957" s="12">
        <v>45914</v>
      </c>
      <c r="K3957">
        <v>0</v>
      </c>
      <c r="L3957" s="1">
        <f t="shared" si="244"/>
        <v>16</v>
      </c>
      <c r="M3957" s="1" t="str">
        <f t="shared" si="245"/>
        <v/>
      </c>
      <c r="N3957" s="2">
        <f t="shared" si="246"/>
        <v>45901</v>
      </c>
      <c r="O3957" t="str">
        <f t="shared" si="247"/>
        <v>pes</v>
      </c>
    </row>
    <row r="3958" spans="1:15" hidden="1" x14ac:dyDescent="0.25">
      <c r="A3958">
        <v>11450</v>
      </c>
      <c r="B3958" s="11">
        <v>4050123456794</v>
      </c>
      <c r="C3958" s="1" t="s">
        <v>41</v>
      </c>
      <c r="D3958" s="1" t="s">
        <v>36</v>
      </c>
      <c r="E3958" s="1" t="s">
        <v>42</v>
      </c>
      <c r="F3958">
        <v>7.2</v>
      </c>
      <c r="G3958">
        <v>1</v>
      </c>
      <c r="H3958" s="1" t="s">
        <v>14</v>
      </c>
      <c r="I3958" s="1" t="s">
        <v>15</v>
      </c>
      <c r="J3958" s="12">
        <v>45915</v>
      </c>
      <c r="K3958">
        <v>0</v>
      </c>
      <c r="L3958" s="1">
        <f t="shared" si="244"/>
        <v>7.2</v>
      </c>
      <c r="M3958" s="1" t="str">
        <f t="shared" si="245"/>
        <v/>
      </c>
      <c r="N3958" s="2">
        <f t="shared" si="246"/>
        <v>45901</v>
      </c>
      <c r="O3958" t="str">
        <f t="shared" si="247"/>
        <v>mačka</v>
      </c>
    </row>
    <row r="3959" spans="1:15" hidden="1" x14ac:dyDescent="0.25">
      <c r="A3959">
        <v>11451</v>
      </c>
      <c r="B3959" s="11">
        <v>4066677889903</v>
      </c>
      <c r="C3959" s="1" t="s">
        <v>353</v>
      </c>
      <c r="D3959" s="1" t="s">
        <v>317</v>
      </c>
      <c r="E3959" s="1" t="s">
        <v>42</v>
      </c>
      <c r="F3959">
        <v>59.64</v>
      </c>
      <c r="G3959">
        <v>1</v>
      </c>
      <c r="H3959" s="1" t="s">
        <v>18</v>
      </c>
      <c r="I3959" s="1" t="s">
        <v>781</v>
      </c>
      <c r="J3959" s="12">
        <v>45915</v>
      </c>
      <c r="K3959">
        <v>0</v>
      </c>
      <c r="L3959" s="1">
        <f t="shared" si="244"/>
        <v>59.64</v>
      </c>
      <c r="M3959" s="1">
        <f t="shared" si="245"/>
        <v>4</v>
      </c>
      <c r="N3959" s="2">
        <f t="shared" si="246"/>
        <v>45901</v>
      </c>
      <c r="O3959" t="str">
        <f t="shared" si="247"/>
        <v>mačka</v>
      </c>
    </row>
    <row r="3960" spans="1:15" hidden="1" x14ac:dyDescent="0.25">
      <c r="A3960">
        <v>11452</v>
      </c>
      <c r="B3960" s="11">
        <v>4061234567805</v>
      </c>
      <c r="C3960" s="1" t="s">
        <v>749</v>
      </c>
      <c r="D3960" s="1" t="s">
        <v>36</v>
      </c>
      <c r="E3960" s="1" t="s">
        <v>141</v>
      </c>
      <c r="F3960">
        <v>12.8</v>
      </c>
      <c r="G3960">
        <v>2</v>
      </c>
      <c r="H3960" s="1" t="s">
        <v>14</v>
      </c>
      <c r="I3960" s="1" t="s">
        <v>15</v>
      </c>
      <c r="J3960" s="12">
        <v>45915</v>
      </c>
      <c r="K3960">
        <v>0</v>
      </c>
      <c r="L3960" s="1">
        <f t="shared" si="244"/>
        <v>25.6</v>
      </c>
      <c r="M3960" s="1" t="str">
        <f t="shared" si="245"/>
        <v/>
      </c>
      <c r="N3960" s="2">
        <f t="shared" si="246"/>
        <v>45901</v>
      </c>
      <c r="O3960" t="str">
        <f t="shared" si="247"/>
        <v>mačka</v>
      </c>
    </row>
    <row r="3961" spans="1:15" hidden="1" x14ac:dyDescent="0.25">
      <c r="A3961">
        <v>11453</v>
      </c>
      <c r="B3961" s="11">
        <v>4026677889902</v>
      </c>
      <c r="C3961" s="1" t="s">
        <v>52</v>
      </c>
      <c r="D3961" s="1" t="s">
        <v>53</v>
      </c>
      <c r="E3961" s="1" t="s">
        <v>54</v>
      </c>
      <c r="F3961">
        <v>7.6</v>
      </c>
      <c r="G3961">
        <v>1</v>
      </c>
      <c r="H3961" s="1" t="s">
        <v>33</v>
      </c>
      <c r="I3961" s="1" t="s">
        <v>782</v>
      </c>
      <c r="J3961" s="12">
        <v>45915</v>
      </c>
      <c r="K3961">
        <v>0</v>
      </c>
      <c r="L3961" s="1">
        <f t="shared" si="244"/>
        <v>7.6</v>
      </c>
      <c r="M3961" s="1">
        <f t="shared" si="245"/>
        <v>3</v>
      </c>
      <c r="N3961" s="2">
        <f t="shared" si="246"/>
        <v>45901</v>
      </c>
      <c r="O3961" t="str">
        <f t="shared" si="247"/>
        <v>iné</v>
      </c>
    </row>
    <row r="3962" spans="1:15" x14ac:dyDescent="0.25">
      <c r="A3962">
        <v>11454</v>
      </c>
      <c r="B3962" s="11">
        <v>4027788990013</v>
      </c>
      <c r="C3962" s="1" t="s">
        <v>43</v>
      </c>
      <c r="D3962" s="1" t="s">
        <v>21</v>
      </c>
      <c r="E3962" s="1" t="s">
        <v>22</v>
      </c>
      <c r="F3962">
        <v>8</v>
      </c>
      <c r="G3962">
        <v>1</v>
      </c>
      <c r="H3962" s="1" t="s">
        <v>18</v>
      </c>
      <c r="I3962" s="1" t="s">
        <v>783</v>
      </c>
      <c r="J3962" s="12">
        <v>45915</v>
      </c>
      <c r="K3962">
        <v>0</v>
      </c>
      <c r="L3962" s="1">
        <f t="shared" si="244"/>
        <v>8</v>
      </c>
      <c r="M3962" s="1">
        <f t="shared" si="245"/>
        <v>4</v>
      </c>
      <c r="N3962" s="2">
        <f t="shared" si="246"/>
        <v>45901</v>
      </c>
      <c r="O3962" t="str">
        <f t="shared" si="247"/>
        <v>pes</v>
      </c>
    </row>
    <row r="3963" spans="1:15" x14ac:dyDescent="0.25">
      <c r="A3963">
        <v>11455</v>
      </c>
      <c r="B3963" s="11">
        <v>4011234567897</v>
      </c>
      <c r="C3963" s="1" t="s">
        <v>341</v>
      </c>
      <c r="D3963" s="1" t="s">
        <v>21</v>
      </c>
      <c r="E3963" s="1" t="s">
        <v>303</v>
      </c>
      <c r="F3963">
        <v>11.6</v>
      </c>
      <c r="G3963">
        <v>1</v>
      </c>
      <c r="H3963" s="1" t="s">
        <v>14</v>
      </c>
      <c r="I3963" s="1" t="s">
        <v>15</v>
      </c>
      <c r="J3963" s="12">
        <v>45915</v>
      </c>
      <c r="K3963">
        <v>0</v>
      </c>
      <c r="L3963" s="1">
        <f t="shared" si="244"/>
        <v>11.6</v>
      </c>
      <c r="M3963" s="1" t="str">
        <f t="shared" si="245"/>
        <v/>
      </c>
      <c r="N3963" s="2">
        <f t="shared" si="246"/>
        <v>45901</v>
      </c>
      <c r="O3963" t="str">
        <f t="shared" si="247"/>
        <v>pes</v>
      </c>
    </row>
    <row r="3964" spans="1:15" x14ac:dyDescent="0.25">
      <c r="A3964">
        <v>11456</v>
      </c>
      <c r="B3964" s="11">
        <v>4063456789014</v>
      </c>
      <c r="C3964" s="1" t="s">
        <v>60</v>
      </c>
      <c r="D3964" s="1" t="s">
        <v>12</v>
      </c>
      <c r="E3964" s="1" t="s">
        <v>61</v>
      </c>
      <c r="F3964">
        <v>36</v>
      </c>
      <c r="G3964">
        <v>1</v>
      </c>
      <c r="H3964" s="1" t="s">
        <v>23</v>
      </c>
      <c r="I3964" s="1" t="s">
        <v>155</v>
      </c>
      <c r="J3964" s="12">
        <v>45915</v>
      </c>
      <c r="K3964">
        <v>0</v>
      </c>
      <c r="L3964" s="1">
        <f t="shared" si="244"/>
        <v>36</v>
      </c>
      <c r="M3964" s="1">
        <f t="shared" si="245"/>
        <v>5</v>
      </c>
      <c r="N3964" s="2">
        <f t="shared" si="246"/>
        <v>45901</v>
      </c>
      <c r="O3964" t="str">
        <f t="shared" si="247"/>
        <v>pes</v>
      </c>
    </row>
    <row r="3965" spans="1:15" hidden="1" x14ac:dyDescent="0.25">
      <c r="A3965">
        <v>11457</v>
      </c>
      <c r="B3965" s="11">
        <v>4049012345683</v>
      </c>
      <c r="C3965" s="1" t="s">
        <v>57</v>
      </c>
      <c r="D3965" s="1" t="s">
        <v>36</v>
      </c>
      <c r="E3965" s="1" t="s">
        <v>58</v>
      </c>
      <c r="F3965">
        <v>9.1999999999999993</v>
      </c>
      <c r="G3965">
        <v>1</v>
      </c>
      <c r="H3965" s="1" t="s">
        <v>14</v>
      </c>
      <c r="I3965" s="1" t="s">
        <v>15</v>
      </c>
      <c r="J3965" s="12">
        <v>45915</v>
      </c>
      <c r="K3965">
        <v>0</v>
      </c>
      <c r="L3965" s="1">
        <f t="shared" si="244"/>
        <v>9.1999999999999993</v>
      </c>
      <c r="M3965" s="1" t="str">
        <f t="shared" si="245"/>
        <v/>
      </c>
      <c r="N3965" s="2">
        <f t="shared" si="246"/>
        <v>45901</v>
      </c>
      <c r="O3965" t="str">
        <f t="shared" si="247"/>
        <v>mačka</v>
      </c>
    </row>
    <row r="3966" spans="1:15" hidden="1" x14ac:dyDescent="0.25">
      <c r="A3966">
        <v>11458</v>
      </c>
      <c r="B3966" s="11">
        <v>8592345678901</v>
      </c>
      <c r="C3966" s="1" t="s">
        <v>760</v>
      </c>
      <c r="D3966" s="1" t="s">
        <v>29</v>
      </c>
      <c r="E3966" s="1" t="s">
        <v>30</v>
      </c>
      <c r="F3966">
        <v>4.8</v>
      </c>
      <c r="G3966">
        <v>2</v>
      </c>
      <c r="H3966" s="1" t="s">
        <v>18</v>
      </c>
      <c r="I3966" s="1" t="s">
        <v>784</v>
      </c>
      <c r="J3966" s="12">
        <v>45915</v>
      </c>
      <c r="K3966">
        <v>0</v>
      </c>
      <c r="L3966" s="1">
        <f t="shared" si="244"/>
        <v>9.6</v>
      </c>
      <c r="M3966" s="1">
        <f t="shared" si="245"/>
        <v>4</v>
      </c>
      <c r="N3966" s="2">
        <f t="shared" si="246"/>
        <v>45901</v>
      </c>
      <c r="O3966" t="str">
        <f t="shared" si="247"/>
        <v>mačka</v>
      </c>
    </row>
    <row r="3967" spans="1:15" x14ac:dyDescent="0.25">
      <c r="A3967">
        <v>11459</v>
      </c>
      <c r="B3967" s="11">
        <v>4003344556679</v>
      </c>
      <c r="C3967" s="1" t="s">
        <v>132</v>
      </c>
      <c r="D3967" s="1" t="s">
        <v>133</v>
      </c>
      <c r="E3967" s="1" t="s">
        <v>134</v>
      </c>
      <c r="F3967">
        <v>51.64</v>
      </c>
      <c r="G3967">
        <v>1</v>
      </c>
      <c r="H3967" s="1" t="s">
        <v>14</v>
      </c>
      <c r="I3967" s="1" t="s">
        <v>15</v>
      </c>
      <c r="J3967" s="12">
        <v>45915</v>
      </c>
      <c r="K3967">
        <v>0</v>
      </c>
      <c r="L3967" s="1">
        <f t="shared" si="244"/>
        <v>51.64</v>
      </c>
      <c r="M3967" s="1" t="str">
        <f t="shared" si="245"/>
        <v/>
      </c>
      <c r="N3967" s="2">
        <f t="shared" si="246"/>
        <v>45901</v>
      </c>
      <c r="O3967" t="str">
        <f t="shared" si="247"/>
        <v>pes</v>
      </c>
    </row>
    <row r="3968" spans="1:15" hidden="1" x14ac:dyDescent="0.25">
      <c r="A3968">
        <v>11460</v>
      </c>
      <c r="B3968" s="11">
        <v>4001234567893</v>
      </c>
      <c r="C3968" s="1" t="s">
        <v>31</v>
      </c>
      <c r="D3968" s="1" t="s">
        <v>29</v>
      </c>
      <c r="E3968" s="1" t="s">
        <v>32</v>
      </c>
      <c r="F3968">
        <v>9.1999999999999993</v>
      </c>
      <c r="G3968">
        <v>2</v>
      </c>
      <c r="H3968" s="1" t="s">
        <v>23</v>
      </c>
      <c r="I3968" s="1" t="s">
        <v>785</v>
      </c>
      <c r="J3968" s="12">
        <v>45916</v>
      </c>
      <c r="K3968">
        <v>0</v>
      </c>
      <c r="L3968" s="1">
        <f t="shared" si="244"/>
        <v>18.399999999999999</v>
      </c>
      <c r="M3968" s="1">
        <f t="shared" si="245"/>
        <v>5</v>
      </c>
      <c r="N3968" s="2">
        <f t="shared" si="246"/>
        <v>45901</v>
      </c>
      <c r="O3968" t="str">
        <f t="shared" si="247"/>
        <v>mačka</v>
      </c>
    </row>
    <row r="3969" spans="1:15" x14ac:dyDescent="0.25">
      <c r="A3969">
        <v>11461</v>
      </c>
      <c r="B3969" s="11">
        <v>4028899001126</v>
      </c>
      <c r="C3969" s="1" t="s">
        <v>16</v>
      </c>
      <c r="D3969" s="1" t="s">
        <v>12</v>
      </c>
      <c r="E3969" s="1" t="s">
        <v>17</v>
      </c>
      <c r="F3969">
        <v>2.8</v>
      </c>
      <c r="G3969">
        <v>3</v>
      </c>
      <c r="H3969" s="1" t="s">
        <v>14</v>
      </c>
      <c r="I3969" s="1" t="s">
        <v>15</v>
      </c>
      <c r="J3969" s="12">
        <v>45916</v>
      </c>
      <c r="K3969">
        <v>0</v>
      </c>
      <c r="L3969" s="1">
        <f t="shared" si="244"/>
        <v>8.3999999999999986</v>
      </c>
      <c r="M3969" s="1" t="str">
        <f t="shared" si="245"/>
        <v/>
      </c>
      <c r="N3969" s="2">
        <f t="shared" si="246"/>
        <v>45901</v>
      </c>
      <c r="O3969" t="str">
        <f t="shared" si="247"/>
        <v>pes</v>
      </c>
    </row>
    <row r="3970" spans="1:15" hidden="1" x14ac:dyDescent="0.25">
      <c r="A3970">
        <v>11462</v>
      </c>
      <c r="B3970" s="11">
        <v>4069012345682</v>
      </c>
      <c r="C3970" s="1" t="s">
        <v>143</v>
      </c>
      <c r="D3970" s="1" t="s">
        <v>144</v>
      </c>
      <c r="E3970" s="1" t="s">
        <v>30</v>
      </c>
      <c r="F3970">
        <v>26</v>
      </c>
      <c r="G3970">
        <v>1</v>
      </c>
      <c r="H3970" s="1" t="s">
        <v>18</v>
      </c>
      <c r="I3970" s="1" t="s">
        <v>786</v>
      </c>
      <c r="J3970" s="12">
        <v>45916</v>
      </c>
      <c r="K3970">
        <v>0</v>
      </c>
      <c r="L3970" s="1">
        <f t="shared" ref="L3970:L4033" si="248">F3970*G3970</f>
        <v>26</v>
      </c>
      <c r="M3970" s="1">
        <f t="shared" ref="M3970:M4033" si="249">IF(H3970="NULL", "",VALUE(H3970))</f>
        <v>4</v>
      </c>
      <c r="N3970" s="2">
        <f t="shared" ref="N3970:N4033" si="250">DATE(YEAR(J3970),MONTH(J3970),1)</f>
        <v>45901</v>
      </c>
      <c r="O3970" t="str">
        <f t="shared" ref="O3970:O4033" si="251">IF(ISNUMBER(SEARCH("Mačky",D3970)),"mačka",IF(ISNUMBER(SEARCH("Psy",D3970)),"pes","iné"))</f>
        <v>mačka</v>
      </c>
    </row>
    <row r="3971" spans="1:15" x14ac:dyDescent="0.25">
      <c r="A3971">
        <v>11463</v>
      </c>
      <c r="B3971" s="11">
        <v>4059012345683</v>
      </c>
      <c r="C3971" s="1" t="s">
        <v>345</v>
      </c>
      <c r="D3971" s="1" t="s">
        <v>26</v>
      </c>
      <c r="E3971" s="1" t="s">
        <v>27</v>
      </c>
      <c r="F3971">
        <v>20</v>
      </c>
      <c r="G3971">
        <v>1</v>
      </c>
      <c r="H3971" s="1" t="s">
        <v>63</v>
      </c>
      <c r="I3971" s="1" t="s">
        <v>787</v>
      </c>
      <c r="J3971" s="12">
        <v>45916</v>
      </c>
      <c r="K3971">
        <v>1</v>
      </c>
      <c r="L3971" s="1">
        <f t="shared" si="248"/>
        <v>20</v>
      </c>
      <c r="M3971" s="1">
        <f t="shared" si="249"/>
        <v>1</v>
      </c>
      <c r="N3971" s="2">
        <f t="shared" si="250"/>
        <v>45901</v>
      </c>
      <c r="O3971" t="str">
        <f t="shared" si="251"/>
        <v>pes</v>
      </c>
    </row>
    <row r="3972" spans="1:15" x14ac:dyDescent="0.25">
      <c r="A3972">
        <v>11464</v>
      </c>
      <c r="B3972" s="11">
        <v>4017890123450</v>
      </c>
      <c r="C3972" s="1" t="s">
        <v>65</v>
      </c>
      <c r="D3972" s="1" t="s">
        <v>39</v>
      </c>
      <c r="E3972" s="1" t="s">
        <v>22</v>
      </c>
      <c r="F3972">
        <v>7.6</v>
      </c>
      <c r="G3972">
        <v>1</v>
      </c>
      <c r="H3972" s="1" t="s">
        <v>14</v>
      </c>
      <c r="I3972" s="1" t="s">
        <v>15</v>
      </c>
      <c r="J3972" s="12">
        <v>45916</v>
      </c>
      <c r="K3972">
        <v>0</v>
      </c>
      <c r="L3972" s="1">
        <f t="shared" si="248"/>
        <v>7.6</v>
      </c>
      <c r="M3972" s="1" t="str">
        <f t="shared" si="249"/>
        <v/>
      </c>
      <c r="N3972" s="2">
        <f t="shared" si="250"/>
        <v>45901</v>
      </c>
      <c r="O3972" t="str">
        <f t="shared" si="251"/>
        <v>pes</v>
      </c>
    </row>
    <row r="3973" spans="1:15" hidden="1" x14ac:dyDescent="0.25">
      <c r="A3973">
        <v>11465</v>
      </c>
      <c r="B3973" s="11">
        <v>4042233445567</v>
      </c>
      <c r="C3973" s="1" t="s">
        <v>637</v>
      </c>
      <c r="D3973" s="1" t="s">
        <v>140</v>
      </c>
      <c r="E3973" s="1" t="s">
        <v>141</v>
      </c>
      <c r="F3973">
        <v>51.64</v>
      </c>
      <c r="G3973">
        <v>1</v>
      </c>
      <c r="H3973" s="1" t="s">
        <v>14</v>
      </c>
      <c r="I3973" s="1" t="s">
        <v>15</v>
      </c>
      <c r="J3973" s="12">
        <v>45916</v>
      </c>
      <c r="K3973">
        <v>0</v>
      </c>
      <c r="L3973" s="1">
        <f t="shared" si="248"/>
        <v>51.64</v>
      </c>
      <c r="M3973" s="1" t="str">
        <f t="shared" si="249"/>
        <v/>
      </c>
      <c r="N3973" s="2">
        <f t="shared" si="250"/>
        <v>45901</v>
      </c>
      <c r="O3973" t="str">
        <f t="shared" si="251"/>
        <v>mačka</v>
      </c>
    </row>
    <row r="3974" spans="1:15" x14ac:dyDescent="0.25">
      <c r="A3974">
        <v>11466</v>
      </c>
      <c r="B3974" s="11">
        <v>4013456789017</v>
      </c>
      <c r="C3974" s="1" t="s">
        <v>11</v>
      </c>
      <c r="D3974" s="1" t="s">
        <v>12</v>
      </c>
      <c r="E3974" s="1" t="s">
        <v>13</v>
      </c>
      <c r="F3974">
        <v>6</v>
      </c>
      <c r="G3974">
        <v>1</v>
      </c>
      <c r="H3974" s="1" t="s">
        <v>18</v>
      </c>
      <c r="I3974" s="1" t="s">
        <v>788</v>
      </c>
      <c r="J3974" s="12">
        <v>45916</v>
      </c>
      <c r="K3974">
        <v>0</v>
      </c>
      <c r="L3974" s="1">
        <f t="shared" si="248"/>
        <v>6</v>
      </c>
      <c r="M3974" s="1">
        <f t="shared" si="249"/>
        <v>4</v>
      </c>
      <c r="N3974" s="2">
        <f t="shared" si="250"/>
        <v>45901</v>
      </c>
      <c r="O3974" t="str">
        <f t="shared" si="251"/>
        <v>pes</v>
      </c>
    </row>
    <row r="3975" spans="1:15" hidden="1" x14ac:dyDescent="0.25">
      <c r="A3975">
        <v>11467</v>
      </c>
      <c r="B3975" s="11">
        <v>4050123456794</v>
      </c>
      <c r="C3975" s="1" t="s">
        <v>41</v>
      </c>
      <c r="D3975" s="1" t="s">
        <v>36</v>
      </c>
      <c r="E3975" s="1" t="s">
        <v>42</v>
      </c>
      <c r="F3975">
        <v>7.2</v>
      </c>
      <c r="G3975">
        <v>1</v>
      </c>
      <c r="H3975" s="1" t="s">
        <v>14</v>
      </c>
      <c r="I3975" s="1" t="s">
        <v>15</v>
      </c>
      <c r="J3975" s="12">
        <v>45916</v>
      </c>
      <c r="K3975">
        <v>0</v>
      </c>
      <c r="L3975" s="1">
        <f t="shared" si="248"/>
        <v>7.2</v>
      </c>
      <c r="M3975" s="1" t="str">
        <f t="shared" si="249"/>
        <v/>
      </c>
      <c r="N3975" s="2">
        <f t="shared" si="250"/>
        <v>45901</v>
      </c>
      <c r="O3975" t="str">
        <f t="shared" si="251"/>
        <v>mačka</v>
      </c>
    </row>
    <row r="3976" spans="1:15" hidden="1" x14ac:dyDescent="0.25">
      <c r="A3976">
        <v>11468</v>
      </c>
      <c r="B3976" s="11">
        <v>4021234567894</v>
      </c>
      <c r="C3976" s="1" t="s">
        <v>79</v>
      </c>
      <c r="D3976" s="1" t="s">
        <v>36</v>
      </c>
      <c r="E3976" s="1" t="s">
        <v>69</v>
      </c>
      <c r="F3976">
        <v>8</v>
      </c>
      <c r="G3976">
        <v>1</v>
      </c>
      <c r="H3976" s="1" t="s">
        <v>23</v>
      </c>
      <c r="I3976" s="1" t="s">
        <v>789</v>
      </c>
      <c r="J3976" s="12">
        <v>45916</v>
      </c>
      <c r="K3976">
        <v>0</v>
      </c>
      <c r="L3976" s="1">
        <f t="shared" si="248"/>
        <v>8</v>
      </c>
      <c r="M3976" s="1">
        <f t="shared" si="249"/>
        <v>5</v>
      </c>
      <c r="N3976" s="2">
        <f t="shared" si="250"/>
        <v>45901</v>
      </c>
      <c r="O3976" t="str">
        <f t="shared" si="251"/>
        <v>mačka</v>
      </c>
    </row>
    <row r="3977" spans="1:15" x14ac:dyDescent="0.25">
      <c r="A3977">
        <v>11469</v>
      </c>
      <c r="B3977" s="11">
        <v>4005566778891</v>
      </c>
      <c r="C3977" s="1" t="s">
        <v>146</v>
      </c>
      <c r="D3977" s="1" t="s">
        <v>26</v>
      </c>
      <c r="E3977" s="1" t="s">
        <v>134</v>
      </c>
      <c r="F3977">
        <v>18</v>
      </c>
      <c r="G3977">
        <v>1</v>
      </c>
      <c r="H3977" s="1" t="s">
        <v>14</v>
      </c>
      <c r="I3977" s="1" t="s">
        <v>15</v>
      </c>
      <c r="J3977" s="12">
        <v>45917</v>
      </c>
      <c r="K3977">
        <v>0</v>
      </c>
      <c r="L3977" s="1">
        <f t="shared" si="248"/>
        <v>18</v>
      </c>
      <c r="M3977" s="1" t="str">
        <f t="shared" si="249"/>
        <v/>
      </c>
      <c r="N3977" s="2">
        <f t="shared" si="250"/>
        <v>45901</v>
      </c>
      <c r="O3977" t="str">
        <f t="shared" si="251"/>
        <v>pes</v>
      </c>
    </row>
    <row r="3978" spans="1:15" x14ac:dyDescent="0.25">
      <c r="A3978">
        <v>11469</v>
      </c>
      <c r="B3978" s="11">
        <v>4013456789017</v>
      </c>
      <c r="C3978" s="1" t="s">
        <v>11</v>
      </c>
      <c r="D3978" s="1" t="s">
        <v>12</v>
      </c>
      <c r="E3978" s="1" t="s">
        <v>13</v>
      </c>
      <c r="F3978">
        <v>6</v>
      </c>
      <c r="G3978">
        <v>1</v>
      </c>
      <c r="H3978" s="1" t="s">
        <v>14</v>
      </c>
      <c r="I3978" s="1" t="s">
        <v>15</v>
      </c>
      <c r="J3978" s="12">
        <v>45917</v>
      </c>
      <c r="K3978">
        <v>0</v>
      </c>
      <c r="L3978" s="1">
        <f t="shared" si="248"/>
        <v>6</v>
      </c>
      <c r="M3978" s="1" t="str">
        <f t="shared" si="249"/>
        <v/>
      </c>
      <c r="N3978" s="2">
        <f t="shared" si="250"/>
        <v>45901</v>
      </c>
      <c r="O3978" t="str">
        <f t="shared" si="251"/>
        <v>pes</v>
      </c>
    </row>
    <row r="3979" spans="1:15" hidden="1" x14ac:dyDescent="0.25">
      <c r="A3979">
        <v>11470</v>
      </c>
      <c r="B3979" s="11">
        <v>4025566778891</v>
      </c>
      <c r="C3979" s="1" t="s">
        <v>320</v>
      </c>
      <c r="D3979" s="1" t="s">
        <v>317</v>
      </c>
      <c r="E3979" s="1" t="s">
        <v>30</v>
      </c>
      <c r="F3979">
        <v>51.64</v>
      </c>
      <c r="G3979">
        <v>1</v>
      </c>
      <c r="H3979" s="1" t="s">
        <v>18</v>
      </c>
      <c r="I3979" s="1" t="s">
        <v>790</v>
      </c>
      <c r="J3979" s="12">
        <v>45917</v>
      </c>
      <c r="K3979">
        <v>0</v>
      </c>
      <c r="L3979" s="1">
        <f t="shared" si="248"/>
        <v>51.64</v>
      </c>
      <c r="M3979" s="1">
        <f t="shared" si="249"/>
        <v>4</v>
      </c>
      <c r="N3979" s="2">
        <f t="shared" si="250"/>
        <v>45901</v>
      </c>
      <c r="O3979" t="str">
        <f t="shared" si="251"/>
        <v>mačka</v>
      </c>
    </row>
    <row r="3980" spans="1:15" x14ac:dyDescent="0.25">
      <c r="A3980">
        <v>11471</v>
      </c>
      <c r="B3980" s="11">
        <v>4027788990013</v>
      </c>
      <c r="C3980" s="1" t="s">
        <v>43</v>
      </c>
      <c r="D3980" s="1" t="s">
        <v>21</v>
      </c>
      <c r="E3980" s="1" t="s">
        <v>22</v>
      </c>
      <c r="F3980">
        <v>8</v>
      </c>
      <c r="G3980">
        <v>1</v>
      </c>
      <c r="H3980" s="1" t="s">
        <v>14</v>
      </c>
      <c r="I3980" s="1" t="s">
        <v>15</v>
      </c>
      <c r="J3980" s="12">
        <v>45917</v>
      </c>
      <c r="K3980">
        <v>0</v>
      </c>
      <c r="L3980" s="1">
        <f t="shared" si="248"/>
        <v>8</v>
      </c>
      <c r="M3980" s="1" t="str">
        <f t="shared" si="249"/>
        <v/>
      </c>
      <c r="N3980" s="2">
        <f t="shared" si="250"/>
        <v>45901</v>
      </c>
      <c r="O3980" t="str">
        <f t="shared" si="251"/>
        <v>pes</v>
      </c>
    </row>
    <row r="3981" spans="1:15" hidden="1" x14ac:dyDescent="0.25">
      <c r="A3981">
        <v>11472</v>
      </c>
      <c r="B3981" s="11">
        <v>4026677889902</v>
      </c>
      <c r="C3981" s="1" t="s">
        <v>52</v>
      </c>
      <c r="D3981" s="1" t="s">
        <v>53</v>
      </c>
      <c r="E3981" s="1" t="s">
        <v>54</v>
      </c>
      <c r="F3981">
        <v>7.6</v>
      </c>
      <c r="G3981">
        <v>1</v>
      </c>
      <c r="H3981" s="1" t="s">
        <v>14</v>
      </c>
      <c r="I3981" s="1" t="s">
        <v>15</v>
      </c>
      <c r="J3981" s="12">
        <v>45917</v>
      </c>
      <c r="K3981">
        <v>0</v>
      </c>
      <c r="L3981" s="1">
        <f t="shared" si="248"/>
        <v>7.6</v>
      </c>
      <c r="M3981" s="1" t="str">
        <f t="shared" si="249"/>
        <v/>
      </c>
      <c r="N3981" s="2">
        <f t="shared" si="250"/>
        <v>45901</v>
      </c>
      <c r="O3981" t="str">
        <f t="shared" si="251"/>
        <v>iné</v>
      </c>
    </row>
    <row r="3982" spans="1:15" hidden="1" x14ac:dyDescent="0.25">
      <c r="A3982">
        <v>11473</v>
      </c>
      <c r="B3982" s="11">
        <v>4014567890128</v>
      </c>
      <c r="C3982" s="1" t="s">
        <v>660</v>
      </c>
      <c r="D3982" s="1" t="s">
        <v>267</v>
      </c>
      <c r="E3982" s="1" t="s">
        <v>32</v>
      </c>
      <c r="F3982">
        <v>5.2</v>
      </c>
      <c r="G3982">
        <v>1</v>
      </c>
      <c r="H3982" s="1" t="s">
        <v>14</v>
      </c>
      <c r="I3982" s="1" t="s">
        <v>15</v>
      </c>
      <c r="J3982" s="12">
        <v>45917</v>
      </c>
      <c r="K3982">
        <v>0</v>
      </c>
      <c r="L3982" s="1">
        <f t="shared" si="248"/>
        <v>5.2</v>
      </c>
      <c r="M3982" s="1" t="str">
        <f t="shared" si="249"/>
        <v/>
      </c>
      <c r="N3982" s="2">
        <f t="shared" si="250"/>
        <v>45901</v>
      </c>
      <c r="O3982" t="str">
        <f t="shared" si="251"/>
        <v>mačka</v>
      </c>
    </row>
    <row r="3983" spans="1:15" x14ac:dyDescent="0.25">
      <c r="A3983">
        <v>11474</v>
      </c>
      <c r="B3983" s="11">
        <v>4040123456795</v>
      </c>
      <c r="C3983" s="1" t="s">
        <v>20</v>
      </c>
      <c r="D3983" s="1" t="s">
        <v>21</v>
      </c>
      <c r="E3983" s="1" t="s">
        <v>22</v>
      </c>
      <c r="F3983">
        <v>8.8000000000000007</v>
      </c>
      <c r="G3983">
        <v>1</v>
      </c>
      <c r="H3983" s="1" t="s">
        <v>23</v>
      </c>
      <c r="I3983" s="1" t="s">
        <v>791</v>
      </c>
      <c r="J3983" s="12">
        <v>45917</v>
      </c>
      <c r="K3983">
        <v>0</v>
      </c>
      <c r="L3983" s="1">
        <f t="shared" si="248"/>
        <v>8.8000000000000007</v>
      </c>
      <c r="M3983" s="1">
        <f t="shared" si="249"/>
        <v>5</v>
      </c>
      <c r="N3983" s="2">
        <f t="shared" si="250"/>
        <v>45901</v>
      </c>
      <c r="O3983" t="str">
        <f t="shared" si="251"/>
        <v>pes</v>
      </c>
    </row>
    <row r="3984" spans="1:15" x14ac:dyDescent="0.25">
      <c r="A3984">
        <v>11475</v>
      </c>
      <c r="B3984" s="11">
        <v>4013456789017</v>
      </c>
      <c r="C3984" s="1" t="s">
        <v>11</v>
      </c>
      <c r="D3984" s="1" t="s">
        <v>12</v>
      </c>
      <c r="E3984" s="1" t="s">
        <v>13</v>
      </c>
      <c r="F3984">
        <v>6</v>
      </c>
      <c r="G3984">
        <v>1</v>
      </c>
      <c r="H3984" s="1" t="s">
        <v>14</v>
      </c>
      <c r="I3984" s="1" t="s">
        <v>15</v>
      </c>
      <c r="J3984" s="12">
        <v>45917</v>
      </c>
      <c r="K3984">
        <v>0</v>
      </c>
      <c r="L3984" s="1">
        <f t="shared" si="248"/>
        <v>6</v>
      </c>
      <c r="M3984" s="1" t="str">
        <f t="shared" si="249"/>
        <v/>
      </c>
      <c r="N3984" s="2">
        <f t="shared" si="250"/>
        <v>45901</v>
      </c>
      <c r="O3984" t="str">
        <f t="shared" si="251"/>
        <v>pes</v>
      </c>
    </row>
    <row r="3985" spans="1:15" hidden="1" x14ac:dyDescent="0.25">
      <c r="A3985">
        <v>11476</v>
      </c>
      <c r="B3985" s="11">
        <v>4056789012345</v>
      </c>
      <c r="C3985" s="1" t="s">
        <v>47</v>
      </c>
      <c r="D3985" s="1" t="s">
        <v>29</v>
      </c>
      <c r="E3985" s="1" t="s">
        <v>37</v>
      </c>
      <c r="F3985">
        <v>2.4</v>
      </c>
      <c r="G3985">
        <v>4</v>
      </c>
      <c r="H3985" s="1" t="s">
        <v>18</v>
      </c>
      <c r="I3985" s="1" t="s">
        <v>792</v>
      </c>
      <c r="J3985" s="12">
        <v>45917</v>
      </c>
      <c r="K3985">
        <v>0</v>
      </c>
      <c r="L3985" s="1">
        <f t="shared" si="248"/>
        <v>9.6</v>
      </c>
      <c r="M3985" s="1">
        <f t="shared" si="249"/>
        <v>4</v>
      </c>
      <c r="N3985" s="2">
        <f t="shared" si="250"/>
        <v>45901</v>
      </c>
      <c r="O3985" t="str">
        <f t="shared" si="251"/>
        <v>mačka</v>
      </c>
    </row>
    <row r="3986" spans="1:15" hidden="1" x14ac:dyDescent="0.25">
      <c r="A3986">
        <v>11477</v>
      </c>
      <c r="B3986" s="11">
        <v>8591122334455</v>
      </c>
      <c r="C3986" s="1" t="s">
        <v>757</v>
      </c>
      <c r="D3986" s="1" t="s">
        <v>140</v>
      </c>
      <c r="E3986" s="1" t="s">
        <v>334</v>
      </c>
      <c r="F3986">
        <v>79.64</v>
      </c>
      <c r="G3986">
        <v>1</v>
      </c>
      <c r="H3986" s="1" t="s">
        <v>14</v>
      </c>
      <c r="I3986" s="1" t="s">
        <v>15</v>
      </c>
      <c r="J3986" s="12">
        <v>45918</v>
      </c>
      <c r="K3986">
        <v>0</v>
      </c>
      <c r="L3986" s="1">
        <f t="shared" si="248"/>
        <v>79.64</v>
      </c>
      <c r="M3986" s="1" t="str">
        <f t="shared" si="249"/>
        <v/>
      </c>
      <c r="N3986" s="2">
        <f t="shared" si="250"/>
        <v>45901</v>
      </c>
      <c r="O3986" t="str">
        <f t="shared" si="251"/>
        <v>mačka</v>
      </c>
    </row>
    <row r="3987" spans="1:15" x14ac:dyDescent="0.25">
      <c r="A3987">
        <v>11478</v>
      </c>
      <c r="B3987" s="11">
        <v>4028899001126</v>
      </c>
      <c r="C3987" s="1" t="s">
        <v>16</v>
      </c>
      <c r="D3987" s="1" t="s">
        <v>12</v>
      </c>
      <c r="E3987" s="1" t="s">
        <v>17</v>
      </c>
      <c r="F3987">
        <v>2.8</v>
      </c>
      <c r="G3987">
        <v>2</v>
      </c>
      <c r="H3987" s="1" t="s">
        <v>14</v>
      </c>
      <c r="I3987" s="1" t="s">
        <v>15</v>
      </c>
      <c r="J3987" s="12">
        <v>45918</v>
      </c>
      <c r="K3987">
        <v>0</v>
      </c>
      <c r="L3987" s="1">
        <f t="shared" si="248"/>
        <v>5.6</v>
      </c>
      <c r="M3987" s="1" t="str">
        <f t="shared" si="249"/>
        <v/>
      </c>
      <c r="N3987" s="2">
        <f t="shared" si="250"/>
        <v>45901</v>
      </c>
      <c r="O3987" t="str">
        <f t="shared" si="251"/>
        <v>pes</v>
      </c>
    </row>
    <row r="3988" spans="1:15" x14ac:dyDescent="0.25">
      <c r="A3988">
        <v>11479</v>
      </c>
      <c r="B3988" s="11">
        <v>4022345678908</v>
      </c>
      <c r="C3988" s="1" t="s">
        <v>363</v>
      </c>
      <c r="D3988" s="1" t="s">
        <v>21</v>
      </c>
      <c r="E3988" s="1" t="s">
        <v>69</v>
      </c>
      <c r="F3988">
        <v>10</v>
      </c>
      <c r="G3988">
        <v>1</v>
      </c>
      <c r="H3988" s="1" t="s">
        <v>33</v>
      </c>
      <c r="I3988" s="1" t="s">
        <v>793</v>
      </c>
      <c r="J3988" s="12">
        <v>45918</v>
      </c>
      <c r="K3988">
        <v>0</v>
      </c>
      <c r="L3988" s="1">
        <f t="shared" si="248"/>
        <v>10</v>
      </c>
      <c r="M3988" s="1">
        <f t="shared" si="249"/>
        <v>3</v>
      </c>
      <c r="N3988" s="2">
        <f t="shared" si="250"/>
        <v>45901</v>
      </c>
      <c r="O3988" t="str">
        <f t="shared" si="251"/>
        <v>pes</v>
      </c>
    </row>
    <row r="3989" spans="1:15" hidden="1" x14ac:dyDescent="0.25">
      <c r="A3989">
        <v>11480</v>
      </c>
      <c r="B3989" s="11">
        <v>8593456789012</v>
      </c>
      <c r="C3989" s="1" t="s">
        <v>28</v>
      </c>
      <c r="D3989" s="1" t="s">
        <v>29</v>
      </c>
      <c r="E3989" s="1" t="s">
        <v>30</v>
      </c>
      <c r="F3989">
        <v>42</v>
      </c>
      <c r="G3989">
        <v>1</v>
      </c>
      <c r="H3989" s="1" t="s">
        <v>14</v>
      </c>
      <c r="I3989" s="1" t="s">
        <v>15</v>
      </c>
      <c r="J3989" s="12">
        <v>45918</v>
      </c>
      <c r="K3989">
        <v>0</v>
      </c>
      <c r="L3989" s="1">
        <f t="shared" si="248"/>
        <v>42</v>
      </c>
      <c r="M3989" s="1" t="str">
        <f t="shared" si="249"/>
        <v/>
      </c>
      <c r="N3989" s="2">
        <f t="shared" si="250"/>
        <v>45901</v>
      </c>
      <c r="O3989" t="str">
        <f t="shared" si="251"/>
        <v>mačka</v>
      </c>
    </row>
    <row r="3990" spans="1:15" x14ac:dyDescent="0.25">
      <c r="A3990">
        <v>11481</v>
      </c>
      <c r="B3990" s="11">
        <v>4027788990013</v>
      </c>
      <c r="C3990" s="1" t="s">
        <v>43</v>
      </c>
      <c r="D3990" s="1" t="s">
        <v>21</v>
      </c>
      <c r="E3990" s="1" t="s">
        <v>22</v>
      </c>
      <c r="F3990">
        <v>8</v>
      </c>
      <c r="G3990">
        <v>1</v>
      </c>
      <c r="H3990" s="1" t="s">
        <v>14</v>
      </c>
      <c r="I3990" s="1" t="s">
        <v>15</v>
      </c>
      <c r="J3990" s="12">
        <v>45918</v>
      </c>
      <c r="K3990">
        <v>0</v>
      </c>
      <c r="L3990" s="1">
        <f t="shared" si="248"/>
        <v>8</v>
      </c>
      <c r="M3990" s="1" t="str">
        <f t="shared" si="249"/>
        <v/>
      </c>
      <c r="N3990" s="2">
        <f t="shared" si="250"/>
        <v>45901</v>
      </c>
      <c r="O3990" t="str">
        <f t="shared" si="251"/>
        <v>pes</v>
      </c>
    </row>
    <row r="3991" spans="1:15" hidden="1" x14ac:dyDescent="0.25">
      <c r="A3991">
        <v>11482</v>
      </c>
      <c r="B3991" s="11">
        <v>4049012345683</v>
      </c>
      <c r="C3991" s="1" t="s">
        <v>57</v>
      </c>
      <c r="D3991" s="1" t="s">
        <v>36</v>
      </c>
      <c r="E3991" s="1" t="s">
        <v>58</v>
      </c>
      <c r="F3991">
        <v>9.1999999999999993</v>
      </c>
      <c r="G3991">
        <v>1</v>
      </c>
      <c r="H3991" s="1" t="s">
        <v>18</v>
      </c>
      <c r="I3991" s="1" t="s">
        <v>794</v>
      </c>
      <c r="J3991" s="12">
        <v>45918</v>
      </c>
      <c r="K3991">
        <v>0</v>
      </c>
      <c r="L3991" s="1">
        <f t="shared" si="248"/>
        <v>9.1999999999999993</v>
      </c>
      <c r="M3991" s="1">
        <f t="shared" si="249"/>
        <v>4</v>
      </c>
      <c r="N3991" s="2">
        <f t="shared" si="250"/>
        <v>45901</v>
      </c>
      <c r="O3991" t="str">
        <f t="shared" si="251"/>
        <v>mačka</v>
      </c>
    </row>
    <row r="3992" spans="1:15" hidden="1" x14ac:dyDescent="0.25">
      <c r="A3992">
        <v>11483</v>
      </c>
      <c r="B3992" s="11">
        <v>4055566778892</v>
      </c>
      <c r="C3992" s="1" t="s">
        <v>652</v>
      </c>
      <c r="D3992" s="1" t="s">
        <v>317</v>
      </c>
      <c r="E3992" s="1" t="s">
        <v>69</v>
      </c>
      <c r="F3992">
        <v>8</v>
      </c>
      <c r="G3992">
        <v>1</v>
      </c>
      <c r="H3992" s="1" t="s">
        <v>14</v>
      </c>
      <c r="I3992" s="1" t="s">
        <v>15</v>
      </c>
      <c r="J3992" s="12">
        <v>45918</v>
      </c>
      <c r="K3992">
        <v>0</v>
      </c>
      <c r="L3992" s="1">
        <f t="shared" si="248"/>
        <v>8</v>
      </c>
      <c r="M3992" s="1" t="str">
        <f t="shared" si="249"/>
        <v/>
      </c>
      <c r="N3992" s="2">
        <f t="shared" si="250"/>
        <v>45901</v>
      </c>
      <c r="O3992" t="str">
        <f t="shared" si="251"/>
        <v>mačka</v>
      </c>
    </row>
    <row r="3993" spans="1:15" x14ac:dyDescent="0.25">
      <c r="A3993">
        <v>11484</v>
      </c>
      <c r="B3993" s="11">
        <v>4028899001126</v>
      </c>
      <c r="C3993" s="1" t="s">
        <v>16</v>
      </c>
      <c r="D3993" s="1" t="s">
        <v>12</v>
      </c>
      <c r="E3993" s="1" t="s">
        <v>17</v>
      </c>
      <c r="F3993">
        <v>2.8</v>
      </c>
      <c r="G3993">
        <v>3</v>
      </c>
      <c r="H3993" s="1" t="s">
        <v>14</v>
      </c>
      <c r="I3993" s="1" t="s">
        <v>15</v>
      </c>
      <c r="J3993" s="12">
        <v>45918</v>
      </c>
      <c r="K3993">
        <v>0</v>
      </c>
      <c r="L3993" s="1">
        <f t="shared" si="248"/>
        <v>8.3999999999999986</v>
      </c>
      <c r="M3993" s="1" t="str">
        <f t="shared" si="249"/>
        <v/>
      </c>
      <c r="N3993" s="2">
        <f t="shared" si="250"/>
        <v>45901</v>
      </c>
      <c r="O3993" t="str">
        <f t="shared" si="251"/>
        <v>pes</v>
      </c>
    </row>
    <row r="3994" spans="1:15" x14ac:dyDescent="0.25">
      <c r="A3994">
        <v>11485</v>
      </c>
      <c r="B3994" s="11">
        <v>4046789012356</v>
      </c>
      <c r="C3994" s="1" t="s">
        <v>304</v>
      </c>
      <c r="D3994" s="1" t="s">
        <v>39</v>
      </c>
      <c r="E3994" s="1" t="s">
        <v>61</v>
      </c>
      <c r="F3994">
        <v>6.4</v>
      </c>
      <c r="G3994">
        <v>2</v>
      </c>
      <c r="H3994" s="1" t="s">
        <v>18</v>
      </c>
      <c r="I3994" s="1" t="s">
        <v>795</v>
      </c>
      <c r="J3994" s="12">
        <v>45918</v>
      </c>
      <c r="K3994">
        <v>0</v>
      </c>
      <c r="L3994" s="1">
        <f t="shared" si="248"/>
        <v>12.8</v>
      </c>
      <c r="M3994" s="1">
        <f t="shared" si="249"/>
        <v>4</v>
      </c>
      <c r="N3994" s="2">
        <f t="shared" si="250"/>
        <v>45901</v>
      </c>
      <c r="O3994" t="str">
        <f t="shared" si="251"/>
        <v>pes</v>
      </c>
    </row>
    <row r="3995" spans="1:15" hidden="1" x14ac:dyDescent="0.25">
      <c r="A3995">
        <v>11486</v>
      </c>
      <c r="B3995" s="11">
        <v>4061234567805</v>
      </c>
      <c r="C3995" s="1" t="s">
        <v>749</v>
      </c>
      <c r="D3995" s="1" t="s">
        <v>36</v>
      </c>
      <c r="E3995" s="1" t="s">
        <v>141</v>
      </c>
      <c r="F3995">
        <v>12.8</v>
      </c>
      <c r="G3995">
        <v>2</v>
      </c>
      <c r="H3995" s="1" t="s">
        <v>14</v>
      </c>
      <c r="I3995" s="1" t="s">
        <v>15</v>
      </c>
      <c r="J3995" s="12">
        <v>45918</v>
      </c>
      <c r="K3995">
        <v>0</v>
      </c>
      <c r="L3995" s="1">
        <f t="shared" si="248"/>
        <v>25.6</v>
      </c>
      <c r="M3995" s="1" t="str">
        <f t="shared" si="249"/>
        <v/>
      </c>
      <c r="N3995" s="2">
        <f t="shared" si="250"/>
        <v>45901</v>
      </c>
      <c r="O3995" t="str">
        <f t="shared" si="251"/>
        <v>mačka</v>
      </c>
    </row>
    <row r="3996" spans="1:15" x14ac:dyDescent="0.25">
      <c r="A3996">
        <v>11487</v>
      </c>
      <c r="B3996" s="11">
        <v>4003344556679</v>
      </c>
      <c r="C3996" s="1" t="s">
        <v>132</v>
      </c>
      <c r="D3996" s="1" t="s">
        <v>133</v>
      </c>
      <c r="E3996" s="1" t="s">
        <v>134</v>
      </c>
      <c r="F3996">
        <v>51.64</v>
      </c>
      <c r="G3996">
        <v>1</v>
      </c>
      <c r="H3996" s="1" t="s">
        <v>23</v>
      </c>
      <c r="I3996" s="1" t="s">
        <v>796</v>
      </c>
      <c r="J3996" s="12">
        <v>45919</v>
      </c>
      <c r="K3996">
        <v>0</v>
      </c>
      <c r="L3996" s="1">
        <f t="shared" si="248"/>
        <v>51.64</v>
      </c>
      <c r="M3996" s="1">
        <f t="shared" si="249"/>
        <v>5</v>
      </c>
      <c r="N3996" s="2">
        <f t="shared" si="250"/>
        <v>45901</v>
      </c>
      <c r="O3996" t="str">
        <f t="shared" si="251"/>
        <v>pes</v>
      </c>
    </row>
    <row r="3997" spans="1:15" x14ac:dyDescent="0.25">
      <c r="A3997">
        <v>11488</v>
      </c>
      <c r="B3997" s="11">
        <v>4013456789017</v>
      </c>
      <c r="C3997" s="1" t="s">
        <v>11</v>
      </c>
      <c r="D3997" s="1" t="s">
        <v>12</v>
      </c>
      <c r="E3997" s="1" t="s">
        <v>13</v>
      </c>
      <c r="F3997">
        <v>6</v>
      </c>
      <c r="G3997">
        <v>1</v>
      </c>
      <c r="H3997" s="1" t="s">
        <v>14</v>
      </c>
      <c r="I3997" s="1" t="s">
        <v>15</v>
      </c>
      <c r="J3997" s="12">
        <v>45919</v>
      </c>
      <c r="K3997">
        <v>0</v>
      </c>
      <c r="L3997" s="1">
        <f t="shared" si="248"/>
        <v>6</v>
      </c>
      <c r="M3997" s="1" t="str">
        <f t="shared" si="249"/>
        <v/>
      </c>
      <c r="N3997" s="2">
        <f t="shared" si="250"/>
        <v>45901</v>
      </c>
      <c r="O3997" t="str">
        <f t="shared" si="251"/>
        <v>pes</v>
      </c>
    </row>
    <row r="3998" spans="1:15" x14ac:dyDescent="0.25">
      <c r="A3998">
        <v>11489</v>
      </c>
      <c r="B3998" s="11">
        <v>4008901234561</v>
      </c>
      <c r="C3998" s="1" t="s">
        <v>330</v>
      </c>
      <c r="D3998" s="1" t="s">
        <v>26</v>
      </c>
      <c r="E3998" s="1" t="s">
        <v>331</v>
      </c>
      <c r="F3998">
        <v>40</v>
      </c>
      <c r="G3998">
        <v>1</v>
      </c>
      <c r="H3998" s="1" t="s">
        <v>18</v>
      </c>
      <c r="I3998" s="1" t="s">
        <v>797</v>
      </c>
      <c r="J3998" s="12">
        <v>45919</v>
      </c>
      <c r="K3998">
        <v>0</v>
      </c>
      <c r="L3998" s="1">
        <f t="shared" si="248"/>
        <v>40</v>
      </c>
      <c r="M3998" s="1">
        <f t="shared" si="249"/>
        <v>4</v>
      </c>
      <c r="N3998" s="2">
        <f t="shared" si="250"/>
        <v>45901</v>
      </c>
      <c r="O3998" t="str">
        <f t="shared" si="251"/>
        <v>pes</v>
      </c>
    </row>
    <row r="3999" spans="1:15" x14ac:dyDescent="0.25">
      <c r="A3999">
        <v>11490</v>
      </c>
      <c r="B3999" s="11">
        <v>4016677889902</v>
      </c>
      <c r="C3999" s="1" t="s">
        <v>328</v>
      </c>
      <c r="D3999" s="1" t="s">
        <v>26</v>
      </c>
      <c r="E3999" s="1" t="s">
        <v>17</v>
      </c>
      <c r="F3999">
        <v>22</v>
      </c>
      <c r="G3999">
        <v>1</v>
      </c>
      <c r="H3999" s="1" t="s">
        <v>14</v>
      </c>
      <c r="I3999" s="1" t="s">
        <v>15</v>
      </c>
      <c r="J3999" s="12">
        <v>45919</v>
      </c>
      <c r="K3999">
        <v>0</v>
      </c>
      <c r="L3999" s="1">
        <f t="shared" si="248"/>
        <v>22</v>
      </c>
      <c r="M3999" s="1" t="str">
        <f t="shared" si="249"/>
        <v/>
      </c>
      <c r="N3999" s="2">
        <f t="shared" si="250"/>
        <v>45901</v>
      </c>
      <c r="O3999" t="str">
        <f t="shared" si="251"/>
        <v>pes</v>
      </c>
    </row>
    <row r="4000" spans="1:15" x14ac:dyDescent="0.25">
      <c r="A4000">
        <v>11491</v>
      </c>
      <c r="B4000" s="11">
        <v>4013456789017</v>
      </c>
      <c r="C4000" s="1" t="s">
        <v>11</v>
      </c>
      <c r="D4000" s="1" t="s">
        <v>12</v>
      </c>
      <c r="E4000" s="1" t="s">
        <v>13</v>
      </c>
      <c r="F4000">
        <v>6</v>
      </c>
      <c r="G4000">
        <v>1</v>
      </c>
      <c r="H4000" s="1" t="s">
        <v>14</v>
      </c>
      <c r="I4000" s="1" t="s">
        <v>15</v>
      </c>
      <c r="J4000" s="12">
        <v>45919</v>
      </c>
      <c r="K4000">
        <v>0</v>
      </c>
      <c r="L4000" s="1">
        <f t="shared" si="248"/>
        <v>6</v>
      </c>
      <c r="M4000" s="1" t="str">
        <f t="shared" si="249"/>
        <v/>
      </c>
      <c r="N4000" s="2">
        <f t="shared" si="250"/>
        <v>45901</v>
      </c>
      <c r="O4000" t="str">
        <f t="shared" si="251"/>
        <v>pes</v>
      </c>
    </row>
    <row r="4001" spans="1:15" hidden="1" x14ac:dyDescent="0.25">
      <c r="A4001">
        <v>11492</v>
      </c>
      <c r="B4001" s="11">
        <v>4025566778891</v>
      </c>
      <c r="C4001" s="1" t="s">
        <v>320</v>
      </c>
      <c r="D4001" s="1" t="s">
        <v>317</v>
      </c>
      <c r="E4001" s="1" t="s">
        <v>30</v>
      </c>
      <c r="F4001">
        <v>51.64</v>
      </c>
      <c r="G4001">
        <v>1</v>
      </c>
      <c r="H4001" s="1" t="s">
        <v>18</v>
      </c>
      <c r="I4001" s="1" t="s">
        <v>798</v>
      </c>
      <c r="J4001" s="12">
        <v>45919</v>
      </c>
      <c r="K4001">
        <v>0</v>
      </c>
      <c r="L4001" s="1">
        <f t="shared" si="248"/>
        <v>51.64</v>
      </c>
      <c r="M4001" s="1">
        <f t="shared" si="249"/>
        <v>4</v>
      </c>
      <c r="N4001" s="2">
        <f t="shared" si="250"/>
        <v>45901</v>
      </c>
      <c r="O4001" t="str">
        <f t="shared" si="251"/>
        <v>mačka</v>
      </c>
    </row>
    <row r="4002" spans="1:15" hidden="1" x14ac:dyDescent="0.25">
      <c r="A4002">
        <v>11493</v>
      </c>
      <c r="B4002" s="11">
        <v>4069012345682</v>
      </c>
      <c r="C4002" s="1" t="s">
        <v>143</v>
      </c>
      <c r="D4002" s="1" t="s">
        <v>144</v>
      </c>
      <c r="E4002" s="1" t="s">
        <v>30</v>
      </c>
      <c r="F4002">
        <v>26</v>
      </c>
      <c r="G4002">
        <v>1</v>
      </c>
      <c r="H4002" s="1" t="s">
        <v>14</v>
      </c>
      <c r="I4002" s="1" t="s">
        <v>15</v>
      </c>
      <c r="J4002" s="12">
        <v>45919</v>
      </c>
      <c r="K4002">
        <v>0</v>
      </c>
      <c r="L4002" s="1">
        <f t="shared" si="248"/>
        <v>26</v>
      </c>
      <c r="M4002" s="1" t="str">
        <f t="shared" si="249"/>
        <v/>
      </c>
      <c r="N4002" s="2">
        <f t="shared" si="250"/>
        <v>45901</v>
      </c>
      <c r="O4002" t="str">
        <f t="shared" si="251"/>
        <v>mačka</v>
      </c>
    </row>
    <row r="4003" spans="1:15" x14ac:dyDescent="0.25">
      <c r="A4003">
        <v>11494</v>
      </c>
      <c r="B4003" s="11">
        <v>4028899001126</v>
      </c>
      <c r="C4003" s="1" t="s">
        <v>16</v>
      </c>
      <c r="D4003" s="1" t="s">
        <v>12</v>
      </c>
      <c r="E4003" s="1" t="s">
        <v>17</v>
      </c>
      <c r="F4003">
        <v>2.8</v>
      </c>
      <c r="G4003">
        <v>3</v>
      </c>
      <c r="H4003" s="1" t="s">
        <v>14</v>
      </c>
      <c r="I4003" s="1" t="s">
        <v>15</v>
      </c>
      <c r="J4003" s="12">
        <v>45919</v>
      </c>
      <c r="K4003">
        <v>0</v>
      </c>
      <c r="L4003" s="1">
        <f t="shared" si="248"/>
        <v>8.3999999999999986</v>
      </c>
      <c r="M4003" s="1" t="str">
        <f t="shared" si="249"/>
        <v/>
      </c>
      <c r="N4003" s="2">
        <f t="shared" si="250"/>
        <v>45901</v>
      </c>
      <c r="O4003" t="str">
        <f t="shared" si="251"/>
        <v>pes</v>
      </c>
    </row>
    <row r="4004" spans="1:15" x14ac:dyDescent="0.25">
      <c r="A4004">
        <v>11495</v>
      </c>
      <c r="B4004" s="11">
        <v>4040123456795</v>
      </c>
      <c r="C4004" s="1" t="s">
        <v>20</v>
      </c>
      <c r="D4004" s="1" t="s">
        <v>21</v>
      </c>
      <c r="E4004" s="1" t="s">
        <v>22</v>
      </c>
      <c r="F4004">
        <v>8.8000000000000007</v>
      </c>
      <c r="G4004">
        <v>1</v>
      </c>
      <c r="H4004" s="1" t="s">
        <v>18</v>
      </c>
      <c r="I4004" s="1" t="s">
        <v>799</v>
      </c>
      <c r="J4004" s="12">
        <v>45919</v>
      </c>
      <c r="K4004">
        <v>0</v>
      </c>
      <c r="L4004" s="1">
        <f t="shared" si="248"/>
        <v>8.8000000000000007</v>
      </c>
      <c r="M4004" s="1">
        <f t="shared" si="249"/>
        <v>4</v>
      </c>
      <c r="N4004" s="2">
        <f t="shared" si="250"/>
        <v>45901</v>
      </c>
      <c r="O4004" t="str">
        <f t="shared" si="251"/>
        <v>pes</v>
      </c>
    </row>
    <row r="4005" spans="1:15" x14ac:dyDescent="0.25">
      <c r="A4005">
        <v>11496</v>
      </c>
      <c r="B4005" s="11">
        <v>4022345678908</v>
      </c>
      <c r="C4005" s="1" t="s">
        <v>363</v>
      </c>
      <c r="D4005" s="1" t="s">
        <v>21</v>
      </c>
      <c r="E4005" s="1" t="s">
        <v>69</v>
      </c>
      <c r="F4005">
        <v>10</v>
      </c>
      <c r="G4005">
        <v>1</v>
      </c>
      <c r="H4005" s="1" t="s">
        <v>14</v>
      </c>
      <c r="I4005" s="1" t="s">
        <v>15</v>
      </c>
      <c r="J4005" s="12">
        <v>45919</v>
      </c>
      <c r="K4005">
        <v>0</v>
      </c>
      <c r="L4005" s="1">
        <f t="shared" si="248"/>
        <v>10</v>
      </c>
      <c r="M4005" s="1" t="str">
        <f t="shared" si="249"/>
        <v/>
      </c>
      <c r="N4005" s="2">
        <f t="shared" si="250"/>
        <v>45901</v>
      </c>
      <c r="O4005" t="str">
        <f t="shared" si="251"/>
        <v>pes</v>
      </c>
    </row>
    <row r="4006" spans="1:15" hidden="1" x14ac:dyDescent="0.25">
      <c r="A4006">
        <v>11497</v>
      </c>
      <c r="B4006" s="11">
        <v>4024455667788</v>
      </c>
      <c r="C4006" s="1" t="s">
        <v>657</v>
      </c>
      <c r="D4006" s="1" t="s">
        <v>140</v>
      </c>
      <c r="E4006" s="1" t="s">
        <v>42</v>
      </c>
      <c r="F4006">
        <v>75.64</v>
      </c>
      <c r="G4006">
        <v>1</v>
      </c>
      <c r="H4006" s="1" t="s">
        <v>23</v>
      </c>
      <c r="I4006" s="1" t="s">
        <v>800</v>
      </c>
      <c r="J4006" s="12">
        <v>45920</v>
      </c>
      <c r="K4006">
        <v>0</v>
      </c>
      <c r="L4006" s="1">
        <f t="shared" si="248"/>
        <v>75.64</v>
      </c>
      <c r="M4006" s="1">
        <f t="shared" si="249"/>
        <v>5</v>
      </c>
      <c r="N4006" s="2">
        <f t="shared" si="250"/>
        <v>45901</v>
      </c>
      <c r="O4006" t="str">
        <f t="shared" si="251"/>
        <v>mačka</v>
      </c>
    </row>
    <row r="4007" spans="1:15" hidden="1" x14ac:dyDescent="0.25">
      <c r="A4007">
        <v>11498</v>
      </c>
      <c r="B4007" s="11">
        <v>4066677889903</v>
      </c>
      <c r="C4007" s="1" t="s">
        <v>353</v>
      </c>
      <c r="D4007" s="1" t="s">
        <v>317</v>
      </c>
      <c r="E4007" s="1" t="s">
        <v>42</v>
      </c>
      <c r="F4007">
        <v>59.64</v>
      </c>
      <c r="G4007">
        <v>1</v>
      </c>
      <c r="H4007" s="1" t="s">
        <v>14</v>
      </c>
      <c r="I4007" s="1" t="s">
        <v>15</v>
      </c>
      <c r="J4007" s="12">
        <v>45920</v>
      </c>
      <c r="K4007">
        <v>0</v>
      </c>
      <c r="L4007" s="1">
        <f t="shared" si="248"/>
        <v>59.64</v>
      </c>
      <c r="M4007" s="1" t="str">
        <f t="shared" si="249"/>
        <v/>
      </c>
      <c r="N4007" s="2">
        <f t="shared" si="250"/>
        <v>45901</v>
      </c>
      <c r="O4007" t="str">
        <f t="shared" si="251"/>
        <v>mačka</v>
      </c>
    </row>
    <row r="4008" spans="1:15" hidden="1" x14ac:dyDescent="0.25">
      <c r="A4008">
        <v>11499</v>
      </c>
      <c r="B4008" s="11">
        <v>4002233445566</v>
      </c>
      <c r="C4008" s="1" t="s">
        <v>268</v>
      </c>
      <c r="D4008" s="1" t="s">
        <v>140</v>
      </c>
      <c r="E4008" s="1" t="s">
        <v>30</v>
      </c>
      <c r="F4008">
        <v>20</v>
      </c>
      <c r="G4008">
        <v>1</v>
      </c>
      <c r="H4008" s="1" t="s">
        <v>14</v>
      </c>
      <c r="I4008" s="1" t="s">
        <v>15</v>
      </c>
      <c r="J4008" s="12">
        <v>45920</v>
      </c>
      <c r="K4008">
        <v>0</v>
      </c>
      <c r="L4008" s="1">
        <f t="shared" si="248"/>
        <v>20</v>
      </c>
      <c r="M4008" s="1" t="str">
        <f t="shared" si="249"/>
        <v/>
      </c>
      <c r="N4008" s="2">
        <f t="shared" si="250"/>
        <v>45901</v>
      </c>
      <c r="O4008" t="str">
        <f t="shared" si="251"/>
        <v>mačka</v>
      </c>
    </row>
    <row r="4009" spans="1:15" x14ac:dyDescent="0.25">
      <c r="A4009">
        <v>11500</v>
      </c>
      <c r="B4009" s="11">
        <v>4028899001126</v>
      </c>
      <c r="C4009" s="1" t="s">
        <v>16</v>
      </c>
      <c r="D4009" s="1" t="s">
        <v>12</v>
      </c>
      <c r="E4009" s="1" t="s">
        <v>17</v>
      </c>
      <c r="F4009">
        <v>2.8</v>
      </c>
      <c r="G4009">
        <v>2</v>
      </c>
      <c r="H4009" s="1" t="s">
        <v>14</v>
      </c>
      <c r="I4009" s="1" t="s">
        <v>15</v>
      </c>
      <c r="J4009" s="12">
        <v>45920</v>
      </c>
      <c r="K4009">
        <v>0</v>
      </c>
      <c r="L4009" s="1">
        <f t="shared" si="248"/>
        <v>5.6</v>
      </c>
      <c r="M4009" s="1" t="str">
        <f t="shared" si="249"/>
        <v/>
      </c>
      <c r="N4009" s="2">
        <f t="shared" si="250"/>
        <v>45901</v>
      </c>
      <c r="O4009" t="str">
        <f t="shared" si="251"/>
        <v>pes</v>
      </c>
    </row>
    <row r="4010" spans="1:15" x14ac:dyDescent="0.25">
      <c r="A4010">
        <v>11501</v>
      </c>
      <c r="B4010" s="11">
        <v>4057890123467</v>
      </c>
      <c r="C4010" s="1" t="s">
        <v>307</v>
      </c>
      <c r="D4010" s="1" t="s">
        <v>39</v>
      </c>
      <c r="E4010" s="1" t="s">
        <v>308</v>
      </c>
      <c r="F4010">
        <v>9.6</v>
      </c>
      <c r="G4010">
        <v>1</v>
      </c>
      <c r="H4010" s="1" t="s">
        <v>18</v>
      </c>
      <c r="I4010" s="1" t="s">
        <v>801</v>
      </c>
      <c r="J4010" s="12">
        <v>45920</v>
      </c>
      <c r="K4010">
        <v>0</v>
      </c>
      <c r="L4010" s="1">
        <f t="shared" si="248"/>
        <v>9.6</v>
      </c>
      <c r="M4010" s="1">
        <f t="shared" si="249"/>
        <v>4</v>
      </c>
      <c r="N4010" s="2">
        <f t="shared" si="250"/>
        <v>45901</v>
      </c>
      <c r="O4010" t="str">
        <f t="shared" si="251"/>
        <v>pes</v>
      </c>
    </row>
    <row r="4011" spans="1:15" x14ac:dyDescent="0.25">
      <c r="A4011">
        <v>11502</v>
      </c>
      <c r="B4011" s="11">
        <v>4027788990013</v>
      </c>
      <c r="C4011" s="1" t="s">
        <v>43</v>
      </c>
      <c r="D4011" s="1" t="s">
        <v>21</v>
      </c>
      <c r="E4011" s="1" t="s">
        <v>22</v>
      </c>
      <c r="F4011">
        <v>8</v>
      </c>
      <c r="G4011">
        <v>1</v>
      </c>
      <c r="H4011" s="1" t="s">
        <v>14</v>
      </c>
      <c r="I4011" s="1" t="s">
        <v>15</v>
      </c>
      <c r="J4011" s="12">
        <v>45920</v>
      </c>
      <c r="K4011">
        <v>0</v>
      </c>
      <c r="L4011" s="1">
        <f t="shared" si="248"/>
        <v>8</v>
      </c>
      <c r="M4011" s="1" t="str">
        <f t="shared" si="249"/>
        <v/>
      </c>
      <c r="N4011" s="2">
        <f t="shared" si="250"/>
        <v>45901</v>
      </c>
      <c r="O4011" t="str">
        <f t="shared" si="251"/>
        <v>pes</v>
      </c>
    </row>
    <row r="4012" spans="1:15" x14ac:dyDescent="0.25">
      <c r="A4012">
        <v>11503</v>
      </c>
      <c r="B4012" s="11">
        <v>4011234567897</v>
      </c>
      <c r="C4012" s="1" t="s">
        <v>341</v>
      </c>
      <c r="D4012" s="1" t="s">
        <v>21</v>
      </c>
      <c r="E4012" s="1" t="s">
        <v>303</v>
      </c>
      <c r="F4012">
        <v>11.6</v>
      </c>
      <c r="G4012">
        <v>1</v>
      </c>
      <c r="H4012" s="1" t="s">
        <v>14</v>
      </c>
      <c r="I4012" s="1" t="s">
        <v>15</v>
      </c>
      <c r="J4012" s="12">
        <v>45920</v>
      </c>
      <c r="K4012">
        <v>0</v>
      </c>
      <c r="L4012" s="1">
        <f t="shared" si="248"/>
        <v>11.6</v>
      </c>
      <c r="M4012" s="1" t="str">
        <f t="shared" si="249"/>
        <v/>
      </c>
      <c r="N4012" s="2">
        <f t="shared" si="250"/>
        <v>45901</v>
      </c>
      <c r="O4012" t="str">
        <f t="shared" si="251"/>
        <v>pes</v>
      </c>
    </row>
    <row r="4013" spans="1:15" hidden="1" x14ac:dyDescent="0.25">
      <c r="A4013">
        <v>11504</v>
      </c>
      <c r="B4013" s="11">
        <v>4014567890128</v>
      </c>
      <c r="C4013" s="1" t="s">
        <v>660</v>
      </c>
      <c r="D4013" s="1" t="s">
        <v>267</v>
      </c>
      <c r="E4013" s="1" t="s">
        <v>32</v>
      </c>
      <c r="F4013">
        <v>5.2</v>
      </c>
      <c r="G4013">
        <v>2</v>
      </c>
      <c r="H4013" s="1" t="s">
        <v>23</v>
      </c>
      <c r="I4013" s="1" t="s">
        <v>802</v>
      </c>
      <c r="J4013" s="12">
        <v>45920</v>
      </c>
      <c r="K4013">
        <v>0</v>
      </c>
      <c r="L4013" s="1">
        <f t="shared" si="248"/>
        <v>10.4</v>
      </c>
      <c r="M4013" s="1">
        <f t="shared" si="249"/>
        <v>5</v>
      </c>
      <c r="N4013" s="2">
        <f t="shared" si="250"/>
        <v>45901</v>
      </c>
      <c r="O4013" t="str">
        <f t="shared" si="251"/>
        <v>mačka</v>
      </c>
    </row>
    <row r="4014" spans="1:15" hidden="1" x14ac:dyDescent="0.25">
      <c r="A4014">
        <v>11505</v>
      </c>
      <c r="B4014" s="11">
        <v>4047890123460</v>
      </c>
      <c r="C4014" s="1" t="s">
        <v>325</v>
      </c>
      <c r="D4014" s="1" t="s">
        <v>144</v>
      </c>
      <c r="E4014" s="1" t="s">
        <v>58</v>
      </c>
      <c r="F4014">
        <v>10</v>
      </c>
      <c r="G4014">
        <v>1</v>
      </c>
      <c r="H4014" s="1" t="s">
        <v>14</v>
      </c>
      <c r="I4014" s="1" t="s">
        <v>15</v>
      </c>
      <c r="J4014" s="12">
        <v>45920</v>
      </c>
      <c r="K4014">
        <v>0</v>
      </c>
      <c r="L4014" s="1">
        <f t="shared" si="248"/>
        <v>10</v>
      </c>
      <c r="M4014" s="1" t="str">
        <f t="shared" si="249"/>
        <v/>
      </c>
      <c r="N4014" s="2">
        <f t="shared" si="250"/>
        <v>45901</v>
      </c>
      <c r="O4014" t="str">
        <f t="shared" si="251"/>
        <v>mačka</v>
      </c>
    </row>
    <row r="4015" spans="1:15" hidden="1" x14ac:dyDescent="0.25">
      <c r="A4015">
        <v>11506</v>
      </c>
      <c r="B4015" s="11">
        <v>4050123456794</v>
      </c>
      <c r="C4015" s="1" t="s">
        <v>41</v>
      </c>
      <c r="D4015" s="1" t="s">
        <v>36</v>
      </c>
      <c r="E4015" s="1" t="s">
        <v>42</v>
      </c>
      <c r="F4015">
        <v>7.2</v>
      </c>
      <c r="G4015">
        <v>1</v>
      </c>
      <c r="H4015" s="1" t="s">
        <v>14</v>
      </c>
      <c r="I4015" s="1" t="s">
        <v>15</v>
      </c>
      <c r="J4015" s="12">
        <v>45920</v>
      </c>
      <c r="K4015">
        <v>0</v>
      </c>
      <c r="L4015" s="1">
        <f t="shared" si="248"/>
        <v>7.2</v>
      </c>
      <c r="M4015" s="1" t="str">
        <f t="shared" si="249"/>
        <v/>
      </c>
      <c r="N4015" s="2">
        <f t="shared" si="250"/>
        <v>45901</v>
      </c>
      <c r="O4015" t="str">
        <f t="shared" si="251"/>
        <v>mačka</v>
      </c>
    </row>
    <row r="4016" spans="1:15" x14ac:dyDescent="0.25">
      <c r="A4016">
        <v>11507</v>
      </c>
      <c r="B4016" s="11">
        <v>4013456789017</v>
      </c>
      <c r="C4016" s="1" t="s">
        <v>11</v>
      </c>
      <c r="D4016" s="1" t="s">
        <v>12</v>
      </c>
      <c r="E4016" s="1" t="s">
        <v>13</v>
      </c>
      <c r="F4016">
        <v>6</v>
      </c>
      <c r="G4016">
        <v>1</v>
      </c>
      <c r="H4016" s="1" t="s">
        <v>33</v>
      </c>
      <c r="I4016" s="1" t="s">
        <v>803</v>
      </c>
      <c r="J4016" s="12">
        <v>45921</v>
      </c>
      <c r="K4016">
        <v>0</v>
      </c>
      <c r="L4016" s="1">
        <f t="shared" si="248"/>
        <v>6</v>
      </c>
      <c r="M4016" s="1">
        <f t="shared" si="249"/>
        <v>3</v>
      </c>
      <c r="N4016" s="2">
        <f t="shared" si="250"/>
        <v>45901</v>
      </c>
      <c r="O4016" t="str">
        <f t="shared" si="251"/>
        <v>pes</v>
      </c>
    </row>
    <row r="4017" spans="1:15" hidden="1" x14ac:dyDescent="0.25">
      <c r="A4017">
        <v>11508</v>
      </c>
      <c r="B4017" s="11">
        <v>4050123456794</v>
      </c>
      <c r="C4017" s="1" t="s">
        <v>41</v>
      </c>
      <c r="D4017" s="1" t="s">
        <v>36</v>
      </c>
      <c r="E4017" s="1" t="s">
        <v>42</v>
      </c>
      <c r="F4017">
        <v>7.2</v>
      </c>
      <c r="G4017">
        <v>1</v>
      </c>
      <c r="H4017" s="1" t="s">
        <v>14</v>
      </c>
      <c r="I4017" s="1" t="s">
        <v>15</v>
      </c>
      <c r="J4017" s="12">
        <v>45921</v>
      </c>
      <c r="K4017">
        <v>0</v>
      </c>
      <c r="L4017" s="1">
        <f t="shared" si="248"/>
        <v>7.2</v>
      </c>
      <c r="M4017" s="1" t="str">
        <f t="shared" si="249"/>
        <v/>
      </c>
      <c r="N4017" s="2">
        <f t="shared" si="250"/>
        <v>45901</v>
      </c>
      <c r="O4017" t="str">
        <f t="shared" si="251"/>
        <v>mačka</v>
      </c>
    </row>
    <row r="4018" spans="1:15" x14ac:dyDescent="0.25">
      <c r="A4018">
        <v>11509</v>
      </c>
      <c r="B4018" s="11">
        <v>4005566778891</v>
      </c>
      <c r="C4018" s="1" t="s">
        <v>146</v>
      </c>
      <c r="D4018" s="1" t="s">
        <v>26</v>
      </c>
      <c r="E4018" s="1" t="s">
        <v>134</v>
      </c>
      <c r="F4018">
        <v>18</v>
      </c>
      <c r="G4018">
        <v>1</v>
      </c>
      <c r="H4018" s="1" t="s">
        <v>14</v>
      </c>
      <c r="I4018" s="1" t="s">
        <v>15</v>
      </c>
      <c r="J4018" s="12">
        <v>45921</v>
      </c>
      <c r="K4018">
        <v>0</v>
      </c>
      <c r="L4018" s="1">
        <f t="shared" si="248"/>
        <v>18</v>
      </c>
      <c r="M4018" s="1" t="str">
        <f t="shared" si="249"/>
        <v/>
      </c>
      <c r="N4018" s="2">
        <f t="shared" si="250"/>
        <v>45901</v>
      </c>
      <c r="O4018" t="str">
        <f t="shared" si="251"/>
        <v>pes</v>
      </c>
    </row>
    <row r="4019" spans="1:15" x14ac:dyDescent="0.25">
      <c r="A4019">
        <v>11510</v>
      </c>
      <c r="B4019" s="11">
        <v>4040123456795</v>
      </c>
      <c r="C4019" s="1" t="s">
        <v>20</v>
      </c>
      <c r="D4019" s="1" t="s">
        <v>21</v>
      </c>
      <c r="E4019" s="1" t="s">
        <v>22</v>
      </c>
      <c r="F4019">
        <v>8.8000000000000007</v>
      </c>
      <c r="G4019">
        <v>1</v>
      </c>
      <c r="H4019" s="1" t="s">
        <v>23</v>
      </c>
      <c r="I4019" s="1" t="s">
        <v>804</v>
      </c>
      <c r="J4019" s="12">
        <v>45921</v>
      </c>
      <c r="K4019">
        <v>0</v>
      </c>
      <c r="L4019" s="1">
        <f t="shared" si="248"/>
        <v>8.8000000000000007</v>
      </c>
      <c r="M4019" s="1">
        <f t="shared" si="249"/>
        <v>5</v>
      </c>
      <c r="N4019" s="2">
        <f t="shared" si="250"/>
        <v>45901</v>
      </c>
      <c r="O4019" t="str">
        <f t="shared" si="251"/>
        <v>pes</v>
      </c>
    </row>
    <row r="4020" spans="1:15" x14ac:dyDescent="0.25">
      <c r="A4020">
        <v>11511</v>
      </c>
      <c r="B4020" s="11">
        <v>4063456789014</v>
      </c>
      <c r="C4020" s="1" t="s">
        <v>60</v>
      </c>
      <c r="D4020" s="1" t="s">
        <v>12</v>
      </c>
      <c r="E4020" s="1" t="s">
        <v>61</v>
      </c>
      <c r="F4020">
        <v>36</v>
      </c>
      <c r="G4020">
        <v>1</v>
      </c>
      <c r="H4020" s="1" t="s">
        <v>14</v>
      </c>
      <c r="I4020" s="1" t="s">
        <v>15</v>
      </c>
      <c r="J4020" s="12">
        <v>45921</v>
      </c>
      <c r="K4020">
        <v>0</v>
      </c>
      <c r="L4020" s="1">
        <f t="shared" si="248"/>
        <v>36</v>
      </c>
      <c r="M4020" s="1" t="str">
        <f t="shared" si="249"/>
        <v/>
      </c>
      <c r="N4020" s="2">
        <f t="shared" si="250"/>
        <v>45901</v>
      </c>
      <c r="O4020" t="str">
        <f t="shared" si="251"/>
        <v>pes</v>
      </c>
    </row>
    <row r="4021" spans="1:15" x14ac:dyDescent="0.25">
      <c r="A4021">
        <v>11512</v>
      </c>
      <c r="B4021" s="11">
        <v>4027788990013</v>
      </c>
      <c r="C4021" s="1" t="s">
        <v>43</v>
      </c>
      <c r="D4021" s="1" t="s">
        <v>21</v>
      </c>
      <c r="E4021" s="1" t="s">
        <v>22</v>
      </c>
      <c r="F4021">
        <v>8</v>
      </c>
      <c r="G4021">
        <v>1</v>
      </c>
      <c r="H4021" s="1" t="s">
        <v>14</v>
      </c>
      <c r="I4021" s="1" t="s">
        <v>15</v>
      </c>
      <c r="J4021" s="12">
        <v>45921</v>
      </c>
      <c r="K4021">
        <v>0</v>
      </c>
      <c r="L4021" s="1">
        <f t="shared" si="248"/>
        <v>8</v>
      </c>
      <c r="M4021" s="1" t="str">
        <f t="shared" si="249"/>
        <v/>
      </c>
      <c r="N4021" s="2">
        <f t="shared" si="250"/>
        <v>45901</v>
      </c>
      <c r="O4021" t="str">
        <f t="shared" si="251"/>
        <v>pes</v>
      </c>
    </row>
    <row r="4022" spans="1:15" x14ac:dyDescent="0.25">
      <c r="A4022">
        <v>11513</v>
      </c>
      <c r="B4022" s="11">
        <v>4028899001126</v>
      </c>
      <c r="C4022" s="1" t="s">
        <v>16</v>
      </c>
      <c r="D4022" s="1" t="s">
        <v>12</v>
      </c>
      <c r="E4022" s="1" t="s">
        <v>17</v>
      </c>
      <c r="F4022">
        <v>2.8</v>
      </c>
      <c r="G4022">
        <v>3</v>
      </c>
      <c r="H4022" s="1" t="s">
        <v>18</v>
      </c>
      <c r="I4022" s="1" t="s">
        <v>805</v>
      </c>
      <c r="J4022" s="12">
        <v>45921</v>
      </c>
      <c r="K4022">
        <v>0</v>
      </c>
      <c r="L4022" s="1">
        <f t="shared" si="248"/>
        <v>8.3999999999999986</v>
      </c>
      <c r="M4022" s="1">
        <f t="shared" si="249"/>
        <v>4</v>
      </c>
      <c r="N4022" s="2">
        <f t="shared" si="250"/>
        <v>45901</v>
      </c>
      <c r="O4022" t="str">
        <f t="shared" si="251"/>
        <v>pes</v>
      </c>
    </row>
    <row r="4023" spans="1:15" x14ac:dyDescent="0.25">
      <c r="A4023">
        <v>11513</v>
      </c>
      <c r="B4023" s="11">
        <v>4013456789017</v>
      </c>
      <c r="C4023" s="1" t="s">
        <v>11</v>
      </c>
      <c r="D4023" s="1" t="s">
        <v>12</v>
      </c>
      <c r="E4023" s="1" t="s">
        <v>13</v>
      </c>
      <c r="F4023">
        <v>6</v>
      </c>
      <c r="G4023">
        <v>2</v>
      </c>
      <c r="H4023" s="1" t="s">
        <v>14</v>
      </c>
      <c r="I4023" s="1" t="s">
        <v>15</v>
      </c>
      <c r="J4023" s="12">
        <v>45921</v>
      </c>
      <c r="K4023">
        <v>0</v>
      </c>
      <c r="L4023" s="1">
        <f t="shared" si="248"/>
        <v>12</v>
      </c>
      <c r="M4023" s="1" t="str">
        <f t="shared" si="249"/>
        <v/>
      </c>
      <c r="N4023" s="2">
        <f t="shared" si="250"/>
        <v>45901</v>
      </c>
      <c r="O4023" t="str">
        <f t="shared" si="251"/>
        <v>pes</v>
      </c>
    </row>
    <row r="4024" spans="1:15" hidden="1" x14ac:dyDescent="0.25">
      <c r="A4024">
        <v>11514</v>
      </c>
      <c r="B4024" s="11">
        <v>4007788990022</v>
      </c>
      <c r="C4024" s="1" t="s">
        <v>663</v>
      </c>
      <c r="D4024" s="1" t="s">
        <v>140</v>
      </c>
      <c r="E4024" s="1" t="s">
        <v>141</v>
      </c>
      <c r="F4024">
        <v>59.64</v>
      </c>
      <c r="G4024">
        <v>1</v>
      </c>
      <c r="H4024" s="1" t="s">
        <v>14</v>
      </c>
      <c r="I4024" s="1" t="s">
        <v>15</v>
      </c>
      <c r="J4024" s="12">
        <v>45921</v>
      </c>
      <c r="K4024">
        <v>0</v>
      </c>
      <c r="L4024" s="1">
        <f t="shared" si="248"/>
        <v>59.64</v>
      </c>
      <c r="M4024" s="1" t="str">
        <f t="shared" si="249"/>
        <v/>
      </c>
      <c r="N4024" s="2">
        <f t="shared" si="250"/>
        <v>45901</v>
      </c>
      <c r="O4024" t="str">
        <f t="shared" si="251"/>
        <v>mačka</v>
      </c>
    </row>
    <row r="4025" spans="1:15" hidden="1" x14ac:dyDescent="0.25">
      <c r="A4025">
        <v>11515</v>
      </c>
      <c r="B4025" s="11">
        <v>4026677889902</v>
      </c>
      <c r="C4025" s="1" t="s">
        <v>52</v>
      </c>
      <c r="D4025" s="1" t="s">
        <v>53</v>
      </c>
      <c r="E4025" s="1" t="s">
        <v>54</v>
      </c>
      <c r="F4025">
        <v>7.6</v>
      </c>
      <c r="G4025">
        <v>1</v>
      </c>
      <c r="H4025" s="1" t="s">
        <v>33</v>
      </c>
      <c r="I4025" s="1" t="s">
        <v>806</v>
      </c>
      <c r="J4025" s="12">
        <v>45921</v>
      </c>
      <c r="K4025">
        <v>0</v>
      </c>
      <c r="L4025" s="1">
        <f t="shared" si="248"/>
        <v>7.6</v>
      </c>
      <c r="M4025" s="1">
        <f t="shared" si="249"/>
        <v>3</v>
      </c>
      <c r="N4025" s="2">
        <f t="shared" si="250"/>
        <v>45901</v>
      </c>
      <c r="O4025" t="str">
        <f t="shared" si="251"/>
        <v>iné</v>
      </c>
    </row>
    <row r="4026" spans="1:15" hidden="1" x14ac:dyDescent="0.25">
      <c r="A4026">
        <v>11516</v>
      </c>
      <c r="B4026" s="11">
        <v>4024455667788</v>
      </c>
      <c r="C4026" s="1" t="s">
        <v>657</v>
      </c>
      <c r="D4026" s="1" t="s">
        <v>140</v>
      </c>
      <c r="E4026" s="1" t="s">
        <v>42</v>
      </c>
      <c r="F4026">
        <v>75.64</v>
      </c>
      <c r="G4026">
        <v>1</v>
      </c>
      <c r="H4026" s="1" t="s">
        <v>23</v>
      </c>
      <c r="I4026" s="1" t="s">
        <v>807</v>
      </c>
      <c r="J4026" s="12">
        <v>45921</v>
      </c>
      <c r="K4026">
        <v>0</v>
      </c>
      <c r="L4026" s="1">
        <f t="shared" si="248"/>
        <v>75.64</v>
      </c>
      <c r="M4026" s="1">
        <f t="shared" si="249"/>
        <v>5</v>
      </c>
      <c r="N4026" s="2">
        <f t="shared" si="250"/>
        <v>45901</v>
      </c>
      <c r="O4026" t="str">
        <f t="shared" si="251"/>
        <v>mačka</v>
      </c>
    </row>
    <row r="4027" spans="1:15" x14ac:dyDescent="0.25">
      <c r="A4027">
        <v>11517</v>
      </c>
      <c r="B4027" s="11">
        <v>4040123456795</v>
      </c>
      <c r="C4027" s="1" t="s">
        <v>20</v>
      </c>
      <c r="D4027" s="1" t="s">
        <v>21</v>
      </c>
      <c r="E4027" s="1" t="s">
        <v>22</v>
      </c>
      <c r="F4027">
        <v>8.8000000000000007</v>
      </c>
      <c r="G4027">
        <v>1</v>
      </c>
      <c r="H4027" s="1" t="s">
        <v>14</v>
      </c>
      <c r="I4027" s="1" t="s">
        <v>15</v>
      </c>
      <c r="J4027" s="12">
        <v>45921</v>
      </c>
      <c r="K4027">
        <v>0</v>
      </c>
      <c r="L4027" s="1">
        <f t="shared" si="248"/>
        <v>8.8000000000000007</v>
      </c>
      <c r="M4027" s="1" t="str">
        <f t="shared" si="249"/>
        <v/>
      </c>
      <c r="N4027" s="2">
        <f t="shared" si="250"/>
        <v>45901</v>
      </c>
      <c r="O4027" t="str">
        <f t="shared" si="251"/>
        <v>pes</v>
      </c>
    </row>
    <row r="4028" spans="1:15" x14ac:dyDescent="0.25">
      <c r="A4028">
        <v>11518</v>
      </c>
      <c r="B4028" s="11">
        <v>4017890123450</v>
      </c>
      <c r="C4028" s="1" t="s">
        <v>65</v>
      </c>
      <c r="D4028" s="1" t="s">
        <v>39</v>
      </c>
      <c r="E4028" s="1" t="s">
        <v>22</v>
      </c>
      <c r="F4028">
        <v>7.6</v>
      </c>
      <c r="G4028">
        <v>1</v>
      </c>
      <c r="H4028" s="1" t="s">
        <v>18</v>
      </c>
      <c r="I4028" s="1" t="s">
        <v>808</v>
      </c>
      <c r="J4028" s="12">
        <v>45921</v>
      </c>
      <c r="K4028">
        <v>0</v>
      </c>
      <c r="L4028" s="1">
        <f t="shared" si="248"/>
        <v>7.6</v>
      </c>
      <c r="M4028" s="1">
        <f t="shared" si="249"/>
        <v>4</v>
      </c>
      <c r="N4028" s="2">
        <f t="shared" si="250"/>
        <v>45901</v>
      </c>
      <c r="O4028" t="str">
        <f t="shared" si="251"/>
        <v>pes</v>
      </c>
    </row>
    <row r="4029" spans="1:15" x14ac:dyDescent="0.25">
      <c r="A4029">
        <v>11519</v>
      </c>
      <c r="B4029" s="11">
        <v>4013456789017</v>
      </c>
      <c r="C4029" s="1" t="s">
        <v>11</v>
      </c>
      <c r="D4029" s="1" t="s">
        <v>12</v>
      </c>
      <c r="E4029" s="1" t="s">
        <v>13</v>
      </c>
      <c r="F4029">
        <v>6</v>
      </c>
      <c r="G4029">
        <v>1</v>
      </c>
      <c r="H4029" s="1" t="s">
        <v>14</v>
      </c>
      <c r="I4029" s="1" t="s">
        <v>15</v>
      </c>
      <c r="J4029" s="12">
        <v>45922</v>
      </c>
      <c r="K4029">
        <v>0</v>
      </c>
      <c r="L4029" s="1">
        <f t="shared" si="248"/>
        <v>6</v>
      </c>
      <c r="M4029" s="1" t="str">
        <f t="shared" si="249"/>
        <v/>
      </c>
      <c r="N4029" s="2">
        <f t="shared" si="250"/>
        <v>45901</v>
      </c>
      <c r="O4029" t="str">
        <f t="shared" si="251"/>
        <v>pes</v>
      </c>
    </row>
    <row r="4030" spans="1:15" x14ac:dyDescent="0.25">
      <c r="A4030">
        <v>11519</v>
      </c>
      <c r="B4030" s="11">
        <v>4028899001126</v>
      </c>
      <c r="C4030" s="1" t="s">
        <v>16</v>
      </c>
      <c r="D4030" s="1" t="s">
        <v>12</v>
      </c>
      <c r="E4030" s="1" t="s">
        <v>17</v>
      </c>
      <c r="F4030">
        <v>2.8</v>
      </c>
      <c r="G4030">
        <v>2</v>
      </c>
      <c r="H4030" s="1" t="s">
        <v>14</v>
      </c>
      <c r="I4030" s="1" t="s">
        <v>15</v>
      </c>
      <c r="J4030" s="12">
        <v>45922</v>
      </c>
      <c r="K4030">
        <v>0</v>
      </c>
      <c r="L4030" s="1">
        <f t="shared" si="248"/>
        <v>5.6</v>
      </c>
      <c r="M4030" s="1" t="str">
        <f t="shared" si="249"/>
        <v/>
      </c>
      <c r="N4030" s="2">
        <f t="shared" si="250"/>
        <v>45901</v>
      </c>
      <c r="O4030" t="str">
        <f t="shared" si="251"/>
        <v>pes</v>
      </c>
    </row>
    <row r="4031" spans="1:15" x14ac:dyDescent="0.25">
      <c r="A4031">
        <v>11520</v>
      </c>
      <c r="B4031" s="11">
        <v>4040123456795</v>
      </c>
      <c r="C4031" s="1" t="s">
        <v>20</v>
      </c>
      <c r="D4031" s="1" t="s">
        <v>21</v>
      </c>
      <c r="E4031" s="1" t="s">
        <v>22</v>
      </c>
      <c r="F4031">
        <v>8.8000000000000007</v>
      </c>
      <c r="G4031">
        <v>1</v>
      </c>
      <c r="H4031" s="1" t="s">
        <v>18</v>
      </c>
      <c r="I4031" s="1" t="s">
        <v>809</v>
      </c>
      <c r="J4031" s="12">
        <v>45922</v>
      </c>
      <c r="K4031">
        <v>0</v>
      </c>
      <c r="L4031" s="1">
        <f t="shared" si="248"/>
        <v>8.8000000000000007</v>
      </c>
      <c r="M4031" s="1">
        <f t="shared" si="249"/>
        <v>4</v>
      </c>
      <c r="N4031" s="2">
        <f t="shared" si="250"/>
        <v>45901</v>
      </c>
      <c r="O4031" t="str">
        <f t="shared" si="251"/>
        <v>pes</v>
      </c>
    </row>
    <row r="4032" spans="1:15" x14ac:dyDescent="0.25">
      <c r="A4032">
        <v>11521</v>
      </c>
      <c r="B4032" s="11">
        <v>4063456789014</v>
      </c>
      <c r="C4032" s="1" t="s">
        <v>60</v>
      </c>
      <c r="D4032" s="1" t="s">
        <v>12</v>
      </c>
      <c r="E4032" s="1" t="s">
        <v>61</v>
      </c>
      <c r="F4032">
        <v>36</v>
      </c>
      <c r="G4032">
        <v>1</v>
      </c>
      <c r="H4032" s="1" t="s">
        <v>14</v>
      </c>
      <c r="I4032" s="1" t="s">
        <v>15</v>
      </c>
      <c r="J4032" s="12">
        <v>45922</v>
      </c>
      <c r="K4032">
        <v>0</v>
      </c>
      <c r="L4032" s="1">
        <f t="shared" si="248"/>
        <v>36</v>
      </c>
      <c r="M4032" s="1" t="str">
        <f t="shared" si="249"/>
        <v/>
      </c>
      <c r="N4032" s="2">
        <f t="shared" si="250"/>
        <v>45901</v>
      </c>
      <c r="O4032" t="str">
        <f t="shared" si="251"/>
        <v>pes</v>
      </c>
    </row>
    <row r="4033" spans="1:15" hidden="1" x14ac:dyDescent="0.25">
      <c r="A4033">
        <v>11522</v>
      </c>
      <c r="B4033" s="11">
        <v>4024455667788</v>
      </c>
      <c r="C4033" s="1" t="s">
        <v>657</v>
      </c>
      <c r="D4033" s="1" t="s">
        <v>140</v>
      </c>
      <c r="E4033" s="1" t="s">
        <v>42</v>
      </c>
      <c r="F4033">
        <v>75.64</v>
      </c>
      <c r="G4033">
        <v>1</v>
      </c>
      <c r="H4033" s="1" t="s">
        <v>23</v>
      </c>
      <c r="I4033" s="1" t="s">
        <v>810</v>
      </c>
      <c r="J4033" s="12">
        <v>45922</v>
      </c>
      <c r="K4033">
        <v>0</v>
      </c>
      <c r="L4033" s="1">
        <f t="shared" si="248"/>
        <v>75.64</v>
      </c>
      <c r="M4033" s="1">
        <f t="shared" si="249"/>
        <v>5</v>
      </c>
      <c r="N4033" s="2">
        <f t="shared" si="250"/>
        <v>45901</v>
      </c>
      <c r="O4033" t="str">
        <f t="shared" si="251"/>
        <v>mačka</v>
      </c>
    </row>
    <row r="4034" spans="1:15" hidden="1" x14ac:dyDescent="0.25">
      <c r="A4034">
        <v>11523</v>
      </c>
      <c r="B4034" s="11">
        <v>4026677889902</v>
      </c>
      <c r="C4034" s="1" t="s">
        <v>52</v>
      </c>
      <c r="D4034" s="1" t="s">
        <v>53</v>
      </c>
      <c r="E4034" s="1" t="s">
        <v>54</v>
      </c>
      <c r="F4034">
        <v>7.6</v>
      </c>
      <c r="G4034">
        <v>1</v>
      </c>
      <c r="H4034" s="1" t="s">
        <v>14</v>
      </c>
      <c r="I4034" s="1" t="s">
        <v>15</v>
      </c>
      <c r="J4034" s="12">
        <v>45922</v>
      </c>
      <c r="K4034">
        <v>0</v>
      </c>
      <c r="L4034" s="1">
        <f t="shared" ref="L4034:L4097" si="252">F4034*G4034</f>
        <v>7.6</v>
      </c>
      <c r="M4034" s="1" t="str">
        <f t="shared" ref="M4034:M4097" si="253">IF(H4034="NULL", "",VALUE(H4034))</f>
        <v/>
      </c>
      <c r="N4034" s="2">
        <f t="shared" ref="N4034:N4097" si="254">DATE(YEAR(J4034),MONTH(J4034),1)</f>
        <v>45901</v>
      </c>
      <c r="O4034" t="str">
        <f t="shared" ref="O4034:O4097" si="255">IF(ISNUMBER(SEARCH("Mačky",D4034)),"mačka",IF(ISNUMBER(SEARCH("Psy",D4034)),"pes","iné"))</f>
        <v>iné</v>
      </c>
    </row>
    <row r="4035" spans="1:15" x14ac:dyDescent="0.25">
      <c r="A4035">
        <v>11524</v>
      </c>
      <c r="B4035" s="11">
        <v>4008901234561</v>
      </c>
      <c r="C4035" s="1" t="s">
        <v>330</v>
      </c>
      <c r="D4035" s="1" t="s">
        <v>26</v>
      </c>
      <c r="E4035" s="1" t="s">
        <v>331</v>
      </c>
      <c r="F4035">
        <v>40</v>
      </c>
      <c r="G4035">
        <v>1</v>
      </c>
      <c r="H4035" s="1" t="s">
        <v>14</v>
      </c>
      <c r="I4035" s="1" t="s">
        <v>15</v>
      </c>
      <c r="J4035" s="12">
        <v>45922</v>
      </c>
      <c r="K4035">
        <v>0</v>
      </c>
      <c r="L4035" s="1">
        <f t="shared" si="252"/>
        <v>40</v>
      </c>
      <c r="M4035" s="1" t="str">
        <f t="shared" si="253"/>
        <v/>
      </c>
      <c r="N4035" s="2">
        <f t="shared" si="254"/>
        <v>45901</v>
      </c>
      <c r="O4035" t="str">
        <f t="shared" si="255"/>
        <v>pes</v>
      </c>
    </row>
    <row r="4036" spans="1:15" x14ac:dyDescent="0.25">
      <c r="A4036">
        <v>11525</v>
      </c>
      <c r="B4036" s="11">
        <v>4027788990013</v>
      </c>
      <c r="C4036" s="1" t="s">
        <v>43</v>
      </c>
      <c r="D4036" s="1" t="s">
        <v>21</v>
      </c>
      <c r="E4036" s="1" t="s">
        <v>22</v>
      </c>
      <c r="F4036">
        <v>8</v>
      </c>
      <c r="G4036">
        <v>1</v>
      </c>
      <c r="H4036" s="1" t="s">
        <v>33</v>
      </c>
      <c r="I4036" s="1" t="s">
        <v>811</v>
      </c>
      <c r="J4036" s="12">
        <v>45922</v>
      </c>
      <c r="K4036">
        <v>0</v>
      </c>
      <c r="L4036" s="1">
        <f t="shared" si="252"/>
        <v>8</v>
      </c>
      <c r="M4036" s="1">
        <f t="shared" si="253"/>
        <v>3</v>
      </c>
      <c r="N4036" s="2">
        <f t="shared" si="254"/>
        <v>45901</v>
      </c>
      <c r="O4036" t="str">
        <f t="shared" si="255"/>
        <v>pes</v>
      </c>
    </row>
    <row r="4037" spans="1:15" x14ac:dyDescent="0.25">
      <c r="A4037">
        <v>11526</v>
      </c>
      <c r="B4037" s="11">
        <v>4017890123450</v>
      </c>
      <c r="C4037" s="1" t="s">
        <v>65</v>
      </c>
      <c r="D4037" s="1" t="s">
        <v>39</v>
      </c>
      <c r="E4037" s="1" t="s">
        <v>22</v>
      </c>
      <c r="F4037">
        <v>7.6</v>
      </c>
      <c r="G4037">
        <v>2</v>
      </c>
      <c r="H4037" s="1" t="s">
        <v>14</v>
      </c>
      <c r="I4037" s="1" t="s">
        <v>15</v>
      </c>
      <c r="J4037" s="12">
        <v>45922</v>
      </c>
      <c r="K4037">
        <v>0</v>
      </c>
      <c r="L4037" s="1">
        <f t="shared" si="252"/>
        <v>15.2</v>
      </c>
      <c r="M4037" s="1" t="str">
        <f t="shared" si="253"/>
        <v/>
      </c>
      <c r="N4037" s="2">
        <f t="shared" si="254"/>
        <v>45901</v>
      </c>
      <c r="O4037" t="str">
        <f t="shared" si="255"/>
        <v>pes</v>
      </c>
    </row>
    <row r="4038" spans="1:15" hidden="1" x14ac:dyDescent="0.25">
      <c r="A4038">
        <v>11527</v>
      </c>
      <c r="B4038" s="11">
        <v>4056789012345</v>
      </c>
      <c r="C4038" s="1" t="s">
        <v>47</v>
      </c>
      <c r="D4038" s="1" t="s">
        <v>29</v>
      </c>
      <c r="E4038" s="1" t="s">
        <v>37</v>
      </c>
      <c r="F4038">
        <v>2.4</v>
      </c>
      <c r="G4038">
        <v>4</v>
      </c>
      <c r="H4038" s="1" t="s">
        <v>18</v>
      </c>
      <c r="I4038" s="1" t="s">
        <v>812</v>
      </c>
      <c r="J4038" s="12">
        <v>45923</v>
      </c>
      <c r="K4038">
        <v>0</v>
      </c>
      <c r="L4038" s="1">
        <f t="shared" si="252"/>
        <v>9.6</v>
      </c>
      <c r="M4038" s="1">
        <f t="shared" si="253"/>
        <v>4</v>
      </c>
      <c r="N4038" s="2">
        <f t="shared" si="254"/>
        <v>45901</v>
      </c>
      <c r="O4038" t="str">
        <f t="shared" si="255"/>
        <v>mačka</v>
      </c>
    </row>
    <row r="4039" spans="1:15" x14ac:dyDescent="0.25">
      <c r="A4039">
        <v>11528</v>
      </c>
      <c r="B4039" s="11">
        <v>4028899001126</v>
      </c>
      <c r="C4039" s="1" t="s">
        <v>16</v>
      </c>
      <c r="D4039" s="1" t="s">
        <v>12</v>
      </c>
      <c r="E4039" s="1" t="s">
        <v>17</v>
      </c>
      <c r="F4039">
        <v>2.8</v>
      </c>
      <c r="G4039">
        <v>3</v>
      </c>
      <c r="H4039" s="1" t="s">
        <v>14</v>
      </c>
      <c r="I4039" s="1" t="s">
        <v>15</v>
      </c>
      <c r="J4039" s="12">
        <v>45923</v>
      </c>
      <c r="K4039">
        <v>0</v>
      </c>
      <c r="L4039" s="1">
        <f t="shared" si="252"/>
        <v>8.3999999999999986</v>
      </c>
      <c r="M4039" s="1" t="str">
        <f t="shared" si="253"/>
        <v/>
      </c>
      <c r="N4039" s="2">
        <f t="shared" si="254"/>
        <v>45901</v>
      </c>
      <c r="O4039" t="str">
        <f t="shared" si="255"/>
        <v>pes</v>
      </c>
    </row>
    <row r="4040" spans="1:15" hidden="1" x14ac:dyDescent="0.25">
      <c r="A4040">
        <v>11529</v>
      </c>
      <c r="B4040" s="11">
        <v>4055566778892</v>
      </c>
      <c r="C4040" s="1" t="s">
        <v>652</v>
      </c>
      <c r="D4040" s="1" t="s">
        <v>317</v>
      </c>
      <c r="E4040" s="1" t="s">
        <v>69</v>
      </c>
      <c r="F4040">
        <v>8</v>
      </c>
      <c r="G4040">
        <v>1</v>
      </c>
      <c r="H4040" s="1" t="s">
        <v>14</v>
      </c>
      <c r="I4040" s="1" t="s">
        <v>15</v>
      </c>
      <c r="J4040" s="12">
        <v>45923</v>
      </c>
      <c r="K4040">
        <v>0</v>
      </c>
      <c r="L4040" s="1">
        <f t="shared" si="252"/>
        <v>8</v>
      </c>
      <c r="M4040" s="1" t="str">
        <f t="shared" si="253"/>
        <v/>
      </c>
      <c r="N4040" s="2">
        <f t="shared" si="254"/>
        <v>45901</v>
      </c>
      <c r="O4040" t="str">
        <f t="shared" si="255"/>
        <v>mačka</v>
      </c>
    </row>
    <row r="4041" spans="1:15" x14ac:dyDescent="0.25">
      <c r="A4041">
        <v>11530</v>
      </c>
      <c r="B4041" s="11">
        <v>4013456789017</v>
      </c>
      <c r="C4041" s="1" t="s">
        <v>11</v>
      </c>
      <c r="D4041" s="1" t="s">
        <v>12</v>
      </c>
      <c r="E4041" s="1" t="s">
        <v>13</v>
      </c>
      <c r="F4041">
        <v>6</v>
      </c>
      <c r="G4041">
        <v>2</v>
      </c>
      <c r="H4041" s="1" t="s">
        <v>18</v>
      </c>
      <c r="I4041" s="1" t="s">
        <v>813</v>
      </c>
      <c r="J4041" s="12">
        <v>45923</v>
      </c>
      <c r="K4041">
        <v>0</v>
      </c>
      <c r="L4041" s="1">
        <f t="shared" si="252"/>
        <v>12</v>
      </c>
      <c r="M4041" s="1">
        <f t="shared" si="253"/>
        <v>4</v>
      </c>
      <c r="N4041" s="2">
        <f t="shared" si="254"/>
        <v>45901</v>
      </c>
      <c r="O4041" t="str">
        <f t="shared" si="255"/>
        <v>pes</v>
      </c>
    </row>
    <row r="4042" spans="1:15" x14ac:dyDescent="0.25">
      <c r="A4042">
        <v>11531</v>
      </c>
      <c r="B4042" s="11">
        <v>4046789012356</v>
      </c>
      <c r="C4042" s="1" t="s">
        <v>304</v>
      </c>
      <c r="D4042" s="1" t="s">
        <v>39</v>
      </c>
      <c r="E4042" s="1" t="s">
        <v>61</v>
      </c>
      <c r="F4042">
        <v>6.4</v>
      </c>
      <c r="G4042">
        <v>1</v>
      </c>
      <c r="H4042" s="1" t="s">
        <v>14</v>
      </c>
      <c r="I4042" s="1" t="s">
        <v>15</v>
      </c>
      <c r="J4042" s="12">
        <v>45923</v>
      </c>
      <c r="K4042">
        <v>0</v>
      </c>
      <c r="L4042" s="1">
        <f t="shared" si="252"/>
        <v>6.4</v>
      </c>
      <c r="M4042" s="1" t="str">
        <f t="shared" si="253"/>
        <v/>
      </c>
      <c r="N4042" s="2">
        <f t="shared" si="254"/>
        <v>45901</v>
      </c>
      <c r="O4042" t="str">
        <f t="shared" si="255"/>
        <v>pes</v>
      </c>
    </row>
    <row r="4043" spans="1:15" hidden="1" x14ac:dyDescent="0.25">
      <c r="A4043">
        <v>11532</v>
      </c>
      <c r="B4043" s="11">
        <v>8592345678901</v>
      </c>
      <c r="C4043" s="1" t="s">
        <v>760</v>
      </c>
      <c r="D4043" s="1" t="s">
        <v>29</v>
      </c>
      <c r="E4043" s="1" t="s">
        <v>30</v>
      </c>
      <c r="F4043">
        <v>4.8</v>
      </c>
      <c r="G4043">
        <v>2</v>
      </c>
      <c r="H4043" s="1" t="s">
        <v>14</v>
      </c>
      <c r="I4043" s="1" t="s">
        <v>15</v>
      </c>
      <c r="J4043" s="12">
        <v>45923</v>
      </c>
      <c r="K4043">
        <v>0</v>
      </c>
      <c r="L4043" s="1">
        <f t="shared" si="252"/>
        <v>9.6</v>
      </c>
      <c r="M4043" s="1" t="str">
        <f t="shared" si="253"/>
        <v/>
      </c>
      <c r="N4043" s="2">
        <f t="shared" si="254"/>
        <v>45901</v>
      </c>
      <c r="O4043" t="str">
        <f t="shared" si="255"/>
        <v>mačka</v>
      </c>
    </row>
    <row r="4044" spans="1:15" hidden="1" x14ac:dyDescent="0.25">
      <c r="A4044">
        <v>11533</v>
      </c>
      <c r="B4044" s="11">
        <v>4021234567894</v>
      </c>
      <c r="C4044" s="1" t="s">
        <v>79</v>
      </c>
      <c r="D4044" s="1" t="s">
        <v>36</v>
      </c>
      <c r="E4044" s="1" t="s">
        <v>69</v>
      </c>
      <c r="F4044">
        <v>8</v>
      </c>
      <c r="G4044">
        <v>1</v>
      </c>
      <c r="H4044" s="1" t="s">
        <v>14</v>
      </c>
      <c r="I4044" s="1" t="s">
        <v>15</v>
      </c>
      <c r="J4044" s="12">
        <v>45923</v>
      </c>
      <c r="K4044">
        <v>0</v>
      </c>
      <c r="L4044" s="1">
        <f t="shared" si="252"/>
        <v>8</v>
      </c>
      <c r="M4044" s="1" t="str">
        <f t="shared" si="253"/>
        <v/>
      </c>
      <c r="N4044" s="2">
        <f t="shared" si="254"/>
        <v>45901</v>
      </c>
      <c r="O4044" t="str">
        <f t="shared" si="255"/>
        <v>mačka</v>
      </c>
    </row>
    <row r="4045" spans="1:15" x14ac:dyDescent="0.25">
      <c r="A4045">
        <v>11534</v>
      </c>
      <c r="B4045" s="11">
        <v>4005566778891</v>
      </c>
      <c r="C4045" s="1" t="s">
        <v>146</v>
      </c>
      <c r="D4045" s="1" t="s">
        <v>26</v>
      </c>
      <c r="E4045" s="1" t="s">
        <v>134</v>
      </c>
      <c r="F4045">
        <v>18</v>
      </c>
      <c r="G4045">
        <v>1</v>
      </c>
      <c r="H4045" s="1" t="s">
        <v>23</v>
      </c>
      <c r="I4045" s="1" t="s">
        <v>814</v>
      </c>
      <c r="J4045" s="12">
        <v>45923</v>
      </c>
      <c r="K4045">
        <v>0</v>
      </c>
      <c r="L4045" s="1">
        <f t="shared" si="252"/>
        <v>18</v>
      </c>
      <c r="M4045" s="1">
        <f t="shared" si="253"/>
        <v>5</v>
      </c>
      <c r="N4045" s="2">
        <f t="shared" si="254"/>
        <v>45901</v>
      </c>
      <c r="O4045" t="str">
        <f t="shared" si="255"/>
        <v>pes</v>
      </c>
    </row>
    <row r="4046" spans="1:15" hidden="1" x14ac:dyDescent="0.25">
      <c r="A4046">
        <v>11535</v>
      </c>
      <c r="B4046" s="11">
        <v>4050123456794</v>
      </c>
      <c r="C4046" s="1" t="s">
        <v>41</v>
      </c>
      <c r="D4046" s="1" t="s">
        <v>36</v>
      </c>
      <c r="E4046" s="1" t="s">
        <v>42</v>
      </c>
      <c r="F4046">
        <v>7.2</v>
      </c>
      <c r="G4046">
        <v>1</v>
      </c>
      <c r="H4046" s="1" t="s">
        <v>14</v>
      </c>
      <c r="I4046" s="1" t="s">
        <v>15</v>
      </c>
      <c r="J4046" s="12">
        <v>45924</v>
      </c>
      <c r="K4046">
        <v>0</v>
      </c>
      <c r="L4046" s="1">
        <f t="shared" si="252"/>
        <v>7.2</v>
      </c>
      <c r="M4046" s="1" t="str">
        <f t="shared" si="253"/>
        <v/>
      </c>
      <c r="N4046" s="2">
        <f t="shared" si="254"/>
        <v>45901</v>
      </c>
      <c r="O4046" t="str">
        <f t="shared" si="255"/>
        <v>mačka</v>
      </c>
    </row>
    <row r="4047" spans="1:15" x14ac:dyDescent="0.25">
      <c r="A4047">
        <v>11536</v>
      </c>
      <c r="B4047" s="11">
        <v>4028899001126</v>
      </c>
      <c r="C4047" s="1" t="s">
        <v>16</v>
      </c>
      <c r="D4047" s="1" t="s">
        <v>12</v>
      </c>
      <c r="E4047" s="1" t="s">
        <v>17</v>
      </c>
      <c r="F4047">
        <v>2.8</v>
      </c>
      <c r="G4047">
        <v>3</v>
      </c>
      <c r="H4047" s="1" t="s">
        <v>14</v>
      </c>
      <c r="I4047" s="1" t="s">
        <v>15</v>
      </c>
      <c r="J4047" s="12">
        <v>45924</v>
      </c>
      <c r="K4047">
        <v>0</v>
      </c>
      <c r="L4047" s="1">
        <f t="shared" si="252"/>
        <v>8.3999999999999986</v>
      </c>
      <c r="M4047" s="1" t="str">
        <f t="shared" si="253"/>
        <v/>
      </c>
      <c r="N4047" s="2">
        <f t="shared" si="254"/>
        <v>45901</v>
      </c>
      <c r="O4047" t="str">
        <f t="shared" si="255"/>
        <v>pes</v>
      </c>
    </row>
    <row r="4048" spans="1:15" x14ac:dyDescent="0.25">
      <c r="A4048">
        <v>11537</v>
      </c>
      <c r="B4048" s="11">
        <v>4013456789017</v>
      </c>
      <c r="C4048" s="1" t="s">
        <v>11</v>
      </c>
      <c r="D4048" s="1" t="s">
        <v>12</v>
      </c>
      <c r="E4048" s="1" t="s">
        <v>13</v>
      </c>
      <c r="F4048">
        <v>6</v>
      </c>
      <c r="G4048">
        <v>1</v>
      </c>
      <c r="H4048" s="1" t="s">
        <v>14</v>
      </c>
      <c r="I4048" s="1" t="s">
        <v>15</v>
      </c>
      <c r="J4048" s="12">
        <v>45924</v>
      </c>
      <c r="K4048">
        <v>0</v>
      </c>
      <c r="L4048" s="1">
        <f t="shared" si="252"/>
        <v>6</v>
      </c>
      <c r="M4048" s="1" t="str">
        <f t="shared" si="253"/>
        <v/>
      </c>
      <c r="N4048" s="2">
        <f t="shared" si="254"/>
        <v>45901</v>
      </c>
      <c r="O4048" t="str">
        <f t="shared" si="255"/>
        <v>pes</v>
      </c>
    </row>
    <row r="4049" spans="1:15" x14ac:dyDescent="0.25">
      <c r="A4049">
        <v>11538</v>
      </c>
      <c r="B4049" s="11">
        <v>4040123456795</v>
      </c>
      <c r="C4049" s="1" t="s">
        <v>20</v>
      </c>
      <c r="D4049" s="1" t="s">
        <v>21</v>
      </c>
      <c r="E4049" s="1" t="s">
        <v>22</v>
      </c>
      <c r="F4049">
        <v>8.8000000000000007</v>
      </c>
      <c r="G4049">
        <v>1</v>
      </c>
      <c r="H4049" s="1" t="s">
        <v>23</v>
      </c>
      <c r="I4049" s="1" t="s">
        <v>815</v>
      </c>
      <c r="J4049" s="12">
        <v>45924</v>
      </c>
      <c r="K4049">
        <v>0</v>
      </c>
      <c r="L4049" s="1">
        <f t="shared" si="252"/>
        <v>8.8000000000000007</v>
      </c>
      <c r="M4049" s="1">
        <f t="shared" si="253"/>
        <v>5</v>
      </c>
      <c r="N4049" s="2">
        <f t="shared" si="254"/>
        <v>45901</v>
      </c>
      <c r="O4049" t="str">
        <f t="shared" si="255"/>
        <v>pes</v>
      </c>
    </row>
    <row r="4050" spans="1:15" x14ac:dyDescent="0.25">
      <c r="A4050">
        <v>11539</v>
      </c>
      <c r="B4050" s="11">
        <v>4017890123450</v>
      </c>
      <c r="C4050" s="1" t="s">
        <v>65</v>
      </c>
      <c r="D4050" s="1" t="s">
        <v>39</v>
      </c>
      <c r="E4050" s="1" t="s">
        <v>22</v>
      </c>
      <c r="F4050">
        <v>7.6</v>
      </c>
      <c r="G4050">
        <v>1</v>
      </c>
      <c r="H4050" s="1" t="s">
        <v>14</v>
      </c>
      <c r="I4050" s="1" t="s">
        <v>15</v>
      </c>
      <c r="J4050" s="12">
        <v>45924</v>
      </c>
      <c r="K4050">
        <v>0</v>
      </c>
      <c r="L4050" s="1">
        <f t="shared" si="252"/>
        <v>7.6</v>
      </c>
      <c r="M4050" s="1" t="str">
        <f t="shared" si="253"/>
        <v/>
      </c>
      <c r="N4050" s="2">
        <f t="shared" si="254"/>
        <v>45901</v>
      </c>
      <c r="O4050" t="str">
        <f t="shared" si="255"/>
        <v>pes</v>
      </c>
    </row>
    <row r="4051" spans="1:15" hidden="1" x14ac:dyDescent="0.25">
      <c r="A4051">
        <v>11540</v>
      </c>
      <c r="B4051" s="11">
        <v>4001234567893</v>
      </c>
      <c r="C4051" s="1" t="s">
        <v>31</v>
      </c>
      <c r="D4051" s="1" t="s">
        <v>29</v>
      </c>
      <c r="E4051" s="1" t="s">
        <v>32</v>
      </c>
      <c r="F4051">
        <v>9.1999999999999993</v>
      </c>
      <c r="G4051">
        <v>2</v>
      </c>
      <c r="H4051" s="1" t="s">
        <v>23</v>
      </c>
      <c r="I4051" s="1" t="s">
        <v>816</v>
      </c>
      <c r="J4051" s="12">
        <v>45924</v>
      </c>
      <c r="K4051">
        <v>0</v>
      </c>
      <c r="L4051" s="1">
        <f t="shared" si="252"/>
        <v>18.399999999999999</v>
      </c>
      <c r="M4051" s="1">
        <f t="shared" si="253"/>
        <v>5</v>
      </c>
      <c r="N4051" s="2">
        <f t="shared" si="254"/>
        <v>45901</v>
      </c>
      <c r="O4051" t="str">
        <f t="shared" si="255"/>
        <v>mačka</v>
      </c>
    </row>
    <row r="4052" spans="1:15" x14ac:dyDescent="0.25">
      <c r="A4052">
        <v>11541</v>
      </c>
      <c r="B4052" s="11">
        <v>4011234567897</v>
      </c>
      <c r="C4052" s="1" t="s">
        <v>341</v>
      </c>
      <c r="D4052" s="1" t="s">
        <v>21</v>
      </c>
      <c r="E4052" s="1" t="s">
        <v>303</v>
      </c>
      <c r="F4052">
        <v>11.6</v>
      </c>
      <c r="G4052">
        <v>1</v>
      </c>
      <c r="H4052" s="1" t="s">
        <v>14</v>
      </c>
      <c r="I4052" s="1" t="s">
        <v>15</v>
      </c>
      <c r="J4052" s="12">
        <v>45924</v>
      </c>
      <c r="K4052">
        <v>0</v>
      </c>
      <c r="L4052" s="1">
        <f t="shared" si="252"/>
        <v>11.6</v>
      </c>
      <c r="M4052" s="1" t="str">
        <f t="shared" si="253"/>
        <v/>
      </c>
      <c r="N4052" s="2">
        <f t="shared" si="254"/>
        <v>45901</v>
      </c>
      <c r="O4052" t="str">
        <f t="shared" si="255"/>
        <v>pes</v>
      </c>
    </row>
    <row r="4053" spans="1:15" x14ac:dyDescent="0.25">
      <c r="A4053">
        <v>11542</v>
      </c>
      <c r="B4053" s="11">
        <v>4022345678908</v>
      </c>
      <c r="C4053" s="1" t="s">
        <v>363</v>
      </c>
      <c r="D4053" s="1" t="s">
        <v>21</v>
      </c>
      <c r="E4053" s="1" t="s">
        <v>69</v>
      </c>
      <c r="F4053">
        <v>10</v>
      </c>
      <c r="G4053">
        <v>1</v>
      </c>
      <c r="H4053" s="1" t="s">
        <v>14</v>
      </c>
      <c r="I4053" s="1" t="s">
        <v>15</v>
      </c>
      <c r="J4053" s="12">
        <v>45924</v>
      </c>
      <c r="K4053">
        <v>0</v>
      </c>
      <c r="L4053" s="1">
        <f t="shared" si="252"/>
        <v>10</v>
      </c>
      <c r="M4053" s="1" t="str">
        <f t="shared" si="253"/>
        <v/>
      </c>
      <c r="N4053" s="2">
        <f t="shared" si="254"/>
        <v>45901</v>
      </c>
      <c r="O4053" t="str">
        <f t="shared" si="255"/>
        <v>pes</v>
      </c>
    </row>
    <row r="4054" spans="1:15" hidden="1" x14ac:dyDescent="0.25">
      <c r="A4054">
        <v>11543</v>
      </c>
      <c r="B4054" s="11">
        <v>4069012345682</v>
      </c>
      <c r="C4054" s="1" t="s">
        <v>143</v>
      </c>
      <c r="D4054" s="1" t="s">
        <v>144</v>
      </c>
      <c r="E4054" s="1" t="s">
        <v>30</v>
      </c>
      <c r="F4054">
        <v>26</v>
      </c>
      <c r="G4054">
        <v>1</v>
      </c>
      <c r="H4054" s="1" t="s">
        <v>18</v>
      </c>
      <c r="I4054" s="1" t="s">
        <v>817</v>
      </c>
      <c r="J4054" s="12">
        <v>45924</v>
      </c>
      <c r="K4054">
        <v>0</v>
      </c>
      <c r="L4054" s="1">
        <f t="shared" si="252"/>
        <v>26</v>
      </c>
      <c r="M4054" s="1">
        <f t="shared" si="253"/>
        <v>4</v>
      </c>
      <c r="N4054" s="2">
        <f t="shared" si="254"/>
        <v>45901</v>
      </c>
      <c r="O4054" t="str">
        <f t="shared" si="255"/>
        <v>mačka</v>
      </c>
    </row>
    <row r="4055" spans="1:15" x14ac:dyDescent="0.25">
      <c r="A4055">
        <v>11544</v>
      </c>
      <c r="B4055" s="11">
        <v>4063456789014</v>
      </c>
      <c r="C4055" s="1" t="s">
        <v>60</v>
      </c>
      <c r="D4055" s="1" t="s">
        <v>12</v>
      </c>
      <c r="E4055" s="1" t="s">
        <v>61</v>
      </c>
      <c r="F4055">
        <v>36</v>
      </c>
      <c r="G4055">
        <v>1</v>
      </c>
      <c r="H4055" s="1" t="s">
        <v>14</v>
      </c>
      <c r="I4055" s="1" t="s">
        <v>15</v>
      </c>
      <c r="J4055" s="12">
        <v>45924</v>
      </c>
      <c r="K4055">
        <v>0</v>
      </c>
      <c r="L4055" s="1">
        <f t="shared" si="252"/>
        <v>36</v>
      </c>
      <c r="M4055" s="1" t="str">
        <f t="shared" si="253"/>
        <v/>
      </c>
      <c r="N4055" s="2">
        <f t="shared" si="254"/>
        <v>45901</v>
      </c>
      <c r="O4055" t="str">
        <f t="shared" si="255"/>
        <v>pes</v>
      </c>
    </row>
    <row r="4056" spans="1:15" x14ac:dyDescent="0.25">
      <c r="A4056">
        <v>11545</v>
      </c>
      <c r="B4056" s="11">
        <v>4028899001126</v>
      </c>
      <c r="C4056" s="1" t="s">
        <v>16</v>
      </c>
      <c r="D4056" s="1" t="s">
        <v>12</v>
      </c>
      <c r="E4056" s="1" t="s">
        <v>17</v>
      </c>
      <c r="F4056">
        <v>2.8</v>
      </c>
      <c r="G4056">
        <v>2</v>
      </c>
      <c r="H4056" s="1" t="s">
        <v>14</v>
      </c>
      <c r="I4056" s="1" t="s">
        <v>15</v>
      </c>
      <c r="J4056" s="12">
        <v>45924</v>
      </c>
      <c r="K4056">
        <v>0</v>
      </c>
      <c r="L4056" s="1">
        <f t="shared" si="252"/>
        <v>5.6</v>
      </c>
      <c r="M4056" s="1" t="str">
        <f t="shared" si="253"/>
        <v/>
      </c>
      <c r="N4056" s="2">
        <f t="shared" si="254"/>
        <v>45901</v>
      </c>
      <c r="O4056" t="str">
        <f t="shared" si="255"/>
        <v>pes</v>
      </c>
    </row>
    <row r="4057" spans="1:15" x14ac:dyDescent="0.25">
      <c r="A4057">
        <v>11546</v>
      </c>
      <c r="B4057" s="11">
        <v>4013456789017</v>
      </c>
      <c r="C4057" s="1" t="s">
        <v>11</v>
      </c>
      <c r="D4057" s="1" t="s">
        <v>12</v>
      </c>
      <c r="E4057" s="1" t="s">
        <v>13</v>
      </c>
      <c r="F4057">
        <v>6</v>
      </c>
      <c r="G4057">
        <v>1</v>
      </c>
      <c r="H4057" s="1" t="s">
        <v>18</v>
      </c>
      <c r="I4057" s="1" t="s">
        <v>818</v>
      </c>
      <c r="J4057" s="12">
        <v>45925</v>
      </c>
      <c r="K4057">
        <v>0</v>
      </c>
      <c r="L4057" s="1">
        <f t="shared" si="252"/>
        <v>6</v>
      </c>
      <c r="M4057" s="1">
        <f t="shared" si="253"/>
        <v>4</v>
      </c>
      <c r="N4057" s="2">
        <f t="shared" si="254"/>
        <v>45901</v>
      </c>
      <c r="O4057" t="str">
        <f t="shared" si="255"/>
        <v>pes</v>
      </c>
    </row>
    <row r="4058" spans="1:15" hidden="1" x14ac:dyDescent="0.25">
      <c r="A4058">
        <v>11547</v>
      </c>
      <c r="B4058" s="11">
        <v>4049012345683</v>
      </c>
      <c r="C4058" s="1" t="s">
        <v>57</v>
      </c>
      <c r="D4058" s="1" t="s">
        <v>36</v>
      </c>
      <c r="E4058" s="1" t="s">
        <v>58</v>
      </c>
      <c r="F4058">
        <v>9.1999999999999993</v>
      </c>
      <c r="G4058">
        <v>1</v>
      </c>
      <c r="H4058" s="1" t="s">
        <v>14</v>
      </c>
      <c r="I4058" s="1" t="s">
        <v>15</v>
      </c>
      <c r="J4058" s="12">
        <v>45925</v>
      </c>
      <c r="K4058">
        <v>0</v>
      </c>
      <c r="L4058" s="1">
        <f t="shared" si="252"/>
        <v>9.1999999999999993</v>
      </c>
      <c r="M4058" s="1" t="str">
        <f t="shared" si="253"/>
        <v/>
      </c>
      <c r="N4058" s="2">
        <f t="shared" si="254"/>
        <v>45901</v>
      </c>
      <c r="O4058" t="str">
        <f t="shared" si="255"/>
        <v>mačka</v>
      </c>
    </row>
    <row r="4059" spans="1:15" hidden="1" x14ac:dyDescent="0.25">
      <c r="A4059">
        <v>11548</v>
      </c>
      <c r="B4059" s="11">
        <v>4025566778891</v>
      </c>
      <c r="C4059" s="1" t="s">
        <v>320</v>
      </c>
      <c r="D4059" s="1" t="s">
        <v>317</v>
      </c>
      <c r="E4059" s="1" t="s">
        <v>30</v>
      </c>
      <c r="F4059">
        <v>51.64</v>
      </c>
      <c r="G4059">
        <v>1</v>
      </c>
      <c r="H4059" s="1" t="s">
        <v>14</v>
      </c>
      <c r="I4059" s="1" t="s">
        <v>15</v>
      </c>
      <c r="J4059" s="12">
        <v>45925</v>
      </c>
      <c r="K4059">
        <v>0</v>
      </c>
      <c r="L4059" s="1">
        <f t="shared" si="252"/>
        <v>51.64</v>
      </c>
      <c r="M4059" s="1" t="str">
        <f t="shared" si="253"/>
        <v/>
      </c>
      <c r="N4059" s="2">
        <f t="shared" si="254"/>
        <v>45901</v>
      </c>
      <c r="O4059" t="str">
        <f t="shared" si="255"/>
        <v>mačka</v>
      </c>
    </row>
    <row r="4060" spans="1:15" hidden="1" x14ac:dyDescent="0.25">
      <c r="A4060">
        <v>11549</v>
      </c>
      <c r="B4060" s="11">
        <v>4056789012345</v>
      </c>
      <c r="C4060" s="1" t="s">
        <v>47</v>
      </c>
      <c r="D4060" s="1" t="s">
        <v>29</v>
      </c>
      <c r="E4060" s="1" t="s">
        <v>37</v>
      </c>
      <c r="F4060">
        <v>2.4</v>
      </c>
      <c r="G4060">
        <v>4</v>
      </c>
      <c r="H4060" s="1" t="s">
        <v>33</v>
      </c>
      <c r="I4060" s="1" t="s">
        <v>819</v>
      </c>
      <c r="J4060" s="12">
        <v>45925</v>
      </c>
      <c r="K4060">
        <v>0</v>
      </c>
      <c r="L4060" s="1">
        <f t="shared" si="252"/>
        <v>9.6</v>
      </c>
      <c r="M4060" s="1">
        <f t="shared" si="253"/>
        <v>3</v>
      </c>
      <c r="N4060" s="2">
        <f t="shared" si="254"/>
        <v>45901</v>
      </c>
      <c r="O4060" t="str">
        <f t="shared" si="255"/>
        <v>mačka</v>
      </c>
    </row>
    <row r="4061" spans="1:15" x14ac:dyDescent="0.25">
      <c r="A4061">
        <v>11550</v>
      </c>
      <c r="B4061" s="11">
        <v>4040123456795</v>
      </c>
      <c r="C4061" s="1" t="s">
        <v>20</v>
      </c>
      <c r="D4061" s="1" t="s">
        <v>21</v>
      </c>
      <c r="E4061" s="1" t="s">
        <v>22</v>
      </c>
      <c r="F4061">
        <v>8.8000000000000007</v>
      </c>
      <c r="G4061">
        <v>1</v>
      </c>
      <c r="H4061" s="1" t="s">
        <v>14</v>
      </c>
      <c r="I4061" s="1" t="s">
        <v>15</v>
      </c>
      <c r="J4061" s="12">
        <v>45925</v>
      </c>
      <c r="K4061">
        <v>0</v>
      </c>
      <c r="L4061" s="1">
        <f t="shared" si="252"/>
        <v>8.8000000000000007</v>
      </c>
      <c r="M4061" s="1" t="str">
        <f t="shared" si="253"/>
        <v/>
      </c>
      <c r="N4061" s="2">
        <f t="shared" si="254"/>
        <v>45901</v>
      </c>
      <c r="O4061" t="str">
        <f t="shared" si="255"/>
        <v>pes</v>
      </c>
    </row>
    <row r="4062" spans="1:15" x14ac:dyDescent="0.25">
      <c r="A4062">
        <v>11551</v>
      </c>
      <c r="B4062" s="11">
        <v>4022345678908</v>
      </c>
      <c r="C4062" s="1" t="s">
        <v>363</v>
      </c>
      <c r="D4062" s="1" t="s">
        <v>21</v>
      </c>
      <c r="E4062" s="1" t="s">
        <v>69</v>
      </c>
      <c r="F4062">
        <v>10</v>
      </c>
      <c r="G4062">
        <v>1</v>
      </c>
      <c r="H4062" s="1" t="s">
        <v>14</v>
      </c>
      <c r="I4062" s="1" t="s">
        <v>15</v>
      </c>
      <c r="J4062" s="12">
        <v>45925</v>
      </c>
      <c r="K4062">
        <v>0</v>
      </c>
      <c r="L4062" s="1">
        <f t="shared" si="252"/>
        <v>10</v>
      </c>
      <c r="M4062" s="1" t="str">
        <f t="shared" si="253"/>
        <v/>
      </c>
      <c r="N4062" s="2">
        <f t="shared" si="254"/>
        <v>45901</v>
      </c>
      <c r="O4062" t="str">
        <f t="shared" si="255"/>
        <v>pes</v>
      </c>
    </row>
    <row r="4063" spans="1:15" x14ac:dyDescent="0.25">
      <c r="A4063">
        <v>11552</v>
      </c>
      <c r="B4063" s="11">
        <v>4017890123450</v>
      </c>
      <c r="C4063" s="1" t="s">
        <v>65</v>
      </c>
      <c r="D4063" s="1" t="s">
        <v>39</v>
      </c>
      <c r="E4063" s="1" t="s">
        <v>22</v>
      </c>
      <c r="F4063">
        <v>7.6</v>
      </c>
      <c r="G4063">
        <v>2</v>
      </c>
      <c r="H4063" s="1" t="s">
        <v>14</v>
      </c>
      <c r="I4063" s="1" t="s">
        <v>15</v>
      </c>
      <c r="J4063" s="12">
        <v>45925</v>
      </c>
      <c r="K4063">
        <v>0</v>
      </c>
      <c r="L4063" s="1">
        <f t="shared" si="252"/>
        <v>15.2</v>
      </c>
      <c r="M4063" s="1" t="str">
        <f t="shared" si="253"/>
        <v/>
      </c>
      <c r="N4063" s="2">
        <f t="shared" si="254"/>
        <v>45901</v>
      </c>
      <c r="O4063" t="str">
        <f t="shared" si="255"/>
        <v>pes</v>
      </c>
    </row>
    <row r="4064" spans="1:15" x14ac:dyDescent="0.25">
      <c r="A4064">
        <v>11553</v>
      </c>
      <c r="B4064" s="11">
        <v>8592233445568</v>
      </c>
      <c r="C4064" s="1" t="s">
        <v>138</v>
      </c>
      <c r="D4064" s="1" t="s">
        <v>133</v>
      </c>
      <c r="E4064" s="1" t="s">
        <v>17</v>
      </c>
      <c r="F4064">
        <v>79.64</v>
      </c>
      <c r="G4064">
        <v>1</v>
      </c>
      <c r="H4064" s="1" t="s">
        <v>23</v>
      </c>
      <c r="I4064" s="1" t="s">
        <v>820</v>
      </c>
      <c r="J4064" s="12">
        <v>45925</v>
      </c>
      <c r="K4064">
        <v>0</v>
      </c>
      <c r="L4064" s="1">
        <f t="shared" si="252"/>
        <v>79.64</v>
      </c>
      <c r="M4064" s="1">
        <f t="shared" si="253"/>
        <v>5</v>
      </c>
      <c r="N4064" s="2">
        <f t="shared" si="254"/>
        <v>45901</v>
      </c>
      <c r="O4064" t="str">
        <f t="shared" si="255"/>
        <v>pes</v>
      </c>
    </row>
    <row r="4065" spans="1:15" x14ac:dyDescent="0.25">
      <c r="A4065">
        <v>11554</v>
      </c>
      <c r="B4065" s="11">
        <v>4028899001126</v>
      </c>
      <c r="C4065" s="1" t="s">
        <v>16</v>
      </c>
      <c r="D4065" s="1" t="s">
        <v>12</v>
      </c>
      <c r="E4065" s="1" t="s">
        <v>17</v>
      </c>
      <c r="F4065">
        <v>2.8</v>
      </c>
      <c r="G4065">
        <v>3</v>
      </c>
      <c r="H4065" s="1" t="s">
        <v>14</v>
      </c>
      <c r="I4065" s="1" t="s">
        <v>15</v>
      </c>
      <c r="J4065" s="12">
        <v>45925</v>
      </c>
      <c r="K4065">
        <v>0</v>
      </c>
      <c r="L4065" s="1">
        <f t="shared" si="252"/>
        <v>8.3999999999999986</v>
      </c>
      <c r="M4065" s="1" t="str">
        <f t="shared" si="253"/>
        <v/>
      </c>
      <c r="N4065" s="2">
        <f t="shared" si="254"/>
        <v>45901</v>
      </c>
      <c r="O4065" t="str">
        <f t="shared" si="255"/>
        <v>pes</v>
      </c>
    </row>
    <row r="4066" spans="1:15" hidden="1" x14ac:dyDescent="0.25">
      <c r="A4066">
        <v>11555</v>
      </c>
      <c r="B4066" s="11">
        <v>4062345678917</v>
      </c>
      <c r="C4066" s="1" t="s">
        <v>649</v>
      </c>
      <c r="D4066" s="1" t="s">
        <v>140</v>
      </c>
      <c r="E4066" s="1" t="s">
        <v>69</v>
      </c>
      <c r="F4066">
        <v>59.64</v>
      </c>
      <c r="G4066">
        <v>1</v>
      </c>
      <c r="H4066" s="1" t="s">
        <v>18</v>
      </c>
      <c r="I4066" s="1" t="s">
        <v>821</v>
      </c>
      <c r="J4066" s="12">
        <v>45925</v>
      </c>
      <c r="K4066">
        <v>0</v>
      </c>
      <c r="L4066" s="1">
        <f t="shared" si="252"/>
        <v>59.64</v>
      </c>
      <c r="M4066" s="1">
        <f t="shared" si="253"/>
        <v>4</v>
      </c>
      <c r="N4066" s="2">
        <f t="shared" si="254"/>
        <v>45901</v>
      </c>
      <c r="O4066" t="str">
        <f t="shared" si="255"/>
        <v>mačka</v>
      </c>
    </row>
    <row r="4067" spans="1:15" x14ac:dyDescent="0.25">
      <c r="A4067">
        <v>11556</v>
      </c>
      <c r="B4067" s="11">
        <v>4059012345683</v>
      </c>
      <c r="C4067" s="1" t="s">
        <v>345</v>
      </c>
      <c r="D4067" s="1" t="s">
        <v>26</v>
      </c>
      <c r="E4067" s="1" t="s">
        <v>27</v>
      </c>
      <c r="F4067">
        <v>20</v>
      </c>
      <c r="G4067">
        <v>1</v>
      </c>
      <c r="H4067" s="1" t="s">
        <v>48</v>
      </c>
      <c r="I4067" s="1" t="s">
        <v>822</v>
      </c>
      <c r="J4067" s="12">
        <v>45925</v>
      </c>
      <c r="K4067">
        <v>1</v>
      </c>
      <c r="L4067" s="1">
        <f t="shared" si="252"/>
        <v>20</v>
      </c>
      <c r="M4067" s="1">
        <f t="shared" si="253"/>
        <v>2</v>
      </c>
      <c r="N4067" s="2">
        <f t="shared" si="254"/>
        <v>45901</v>
      </c>
      <c r="O4067" t="str">
        <f t="shared" si="255"/>
        <v>pes</v>
      </c>
    </row>
    <row r="4068" spans="1:15" x14ac:dyDescent="0.25">
      <c r="A4068">
        <v>11557</v>
      </c>
      <c r="B4068" s="11">
        <v>4027788990013</v>
      </c>
      <c r="C4068" s="1" t="s">
        <v>43</v>
      </c>
      <c r="D4068" s="1" t="s">
        <v>21</v>
      </c>
      <c r="E4068" s="1" t="s">
        <v>22</v>
      </c>
      <c r="F4068">
        <v>8</v>
      </c>
      <c r="G4068">
        <v>1</v>
      </c>
      <c r="H4068" s="1" t="s">
        <v>14</v>
      </c>
      <c r="I4068" s="1" t="s">
        <v>15</v>
      </c>
      <c r="J4068" s="12">
        <v>45925</v>
      </c>
      <c r="K4068">
        <v>0</v>
      </c>
      <c r="L4068" s="1">
        <f t="shared" si="252"/>
        <v>8</v>
      </c>
      <c r="M4068" s="1" t="str">
        <f t="shared" si="253"/>
        <v/>
      </c>
      <c r="N4068" s="2">
        <f t="shared" si="254"/>
        <v>45901</v>
      </c>
      <c r="O4068" t="str">
        <f t="shared" si="255"/>
        <v>pes</v>
      </c>
    </row>
    <row r="4069" spans="1:15" hidden="1" x14ac:dyDescent="0.25">
      <c r="A4069">
        <v>11558</v>
      </c>
      <c r="B4069" s="11">
        <v>4002233445566</v>
      </c>
      <c r="C4069" s="1" t="s">
        <v>268</v>
      </c>
      <c r="D4069" s="1" t="s">
        <v>140</v>
      </c>
      <c r="E4069" s="1" t="s">
        <v>30</v>
      </c>
      <c r="F4069">
        <v>20</v>
      </c>
      <c r="G4069">
        <v>1</v>
      </c>
      <c r="H4069" s="1" t="s">
        <v>14</v>
      </c>
      <c r="I4069" s="1" t="s">
        <v>15</v>
      </c>
      <c r="J4069" s="12">
        <v>45926</v>
      </c>
      <c r="K4069">
        <v>0</v>
      </c>
      <c r="L4069" s="1">
        <f t="shared" si="252"/>
        <v>20</v>
      </c>
      <c r="M4069" s="1" t="str">
        <f t="shared" si="253"/>
        <v/>
      </c>
      <c r="N4069" s="2">
        <f t="shared" si="254"/>
        <v>45901</v>
      </c>
      <c r="O4069" t="str">
        <f t="shared" si="255"/>
        <v>mačka</v>
      </c>
    </row>
    <row r="4070" spans="1:15" x14ac:dyDescent="0.25">
      <c r="A4070">
        <v>11559</v>
      </c>
      <c r="B4070" s="11">
        <v>4027788990013</v>
      </c>
      <c r="C4070" s="1" t="s">
        <v>43</v>
      </c>
      <c r="D4070" s="1" t="s">
        <v>21</v>
      </c>
      <c r="E4070" s="1" t="s">
        <v>22</v>
      </c>
      <c r="F4070">
        <v>8</v>
      </c>
      <c r="G4070">
        <v>1</v>
      </c>
      <c r="H4070" s="1" t="s">
        <v>18</v>
      </c>
      <c r="I4070" s="1" t="s">
        <v>823</v>
      </c>
      <c r="J4070" s="12">
        <v>45926</v>
      </c>
      <c r="K4070">
        <v>0</v>
      </c>
      <c r="L4070" s="1">
        <f t="shared" si="252"/>
        <v>8</v>
      </c>
      <c r="M4070" s="1">
        <f t="shared" si="253"/>
        <v>4</v>
      </c>
      <c r="N4070" s="2">
        <f t="shared" si="254"/>
        <v>45901</v>
      </c>
      <c r="O4070" t="str">
        <f t="shared" si="255"/>
        <v>pes</v>
      </c>
    </row>
    <row r="4071" spans="1:15" hidden="1" x14ac:dyDescent="0.25">
      <c r="A4071">
        <v>11560</v>
      </c>
      <c r="B4071" s="11">
        <v>4066677889903</v>
      </c>
      <c r="C4071" s="1" t="s">
        <v>353</v>
      </c>
      <c r="D4071" s="1" t="s">
        <v>317</v>
      </c>
      <c r="E4071" s="1" t="s">
        <v>42</v>
      </c>
      <c r="F4071">
        <v>59.64</v>
      </c>
      <c r="G4071">
        <v>1</v>
      </c>
      <c r="H4071" s="1" t="s">
        <v>14</v>
      </c>
      <c r="I4071" s="1" t="s">
        <v>15</v>
      </c>
      <c r="J4071" s="12">
        <v>45926</v>
      </c>
      <c r="K4071">
        <v>0</v>
      </c>
      <c r="L4071" s="1">
        <f t="shared" si="252"/>
        <v>59.64</v>
      </c>
      <c r="M4071" s="1" t="str">
        <f t="shared" si="253"/>
        <v/>
      </c>
      <c r="N4071" s="2">
        <f t="shared" si="254"/>
        <v>45901</v>
      </c>
      <c r="O4071" t="str">
        <f t="shared" si="255"/>
        <v>mačka</v>
      </c>
    </row>
    <row r="4072" spans="1:15" x14ac:dyDescent="0.25">
      <c r="A4072">
        <v>11561</v>
      </c>
      <c r="B4072" s="11">
        <v>4013456789017</v>
      </c>
      <c r="C4072" s="1" t="s">
        <v>11</v>
      </c>
      <c r="D4072" s="1" t="s">
        <v>12</v>
      </c>
      <c r="E4072" s="1" t="s">
        <v>13</v>
      </c>
      <c r="F4072">
        <v>6</v>
      </c>
      <c r="G4072">
        <v>2</v>
      </c>
      <c r="H4072" s="1" t="s">
        <v>14</v>
      </c>
      <c r="I4072" s="1" t="s">
        <v>15</v>
      </c>
      <c r="J4072" s="12">
        <v>45926</v>
      </c>
      <c r="K4072">
        <v>0</v>
      </c>
      <c r="L4072" s="1">
        <f t="shared" si="252"/>
        <v>12</v>
      </c>
      <c r="M4072" s="1" t="str">
        <f t="shared" si="253"/>
        <v/>
      </c>
      <c r="N4072" s="2">
        <f t="shared" si="254"/>
        <v>45901</v>
      </c>
      <c r="O4072" t="str">
        <f t="shared" si="255"/>
        <v>pes</v>
      </c>
    </row>
    <row r="4073" spans="1:15" x14ac:dyDescent="0.25">
      <c r="A4073">
        <v>11562</v>
      </c>
      <c r="B4073" s="11">
        <v>4003344556679</v>
      </c>
      <c r="C4073" s="1" t="s">
        <v>132</v>
      </c>
      <c r="D4073" s="1" t="s">
        <v>133</v>
      </c>
      <c r="E4073" s="1" t="s">
        <v>134</v>
      </c>
      <c r="F4073">
        <v>51.64</v>
      </c>
      <c r="G4073">
        <v>1</v>
      </c>
      <c r="H4073" s="1" t="s">
        <v>14</v>
      </c>
      <c r="I4073" s="1" t="s">
        <v>15</v>
      </c>
      <c r="J4073" s="12">
        <v>45926</v>
      </c>
      <c r="K4073">
        <v>0</v>
      </c>
      <c r="L4073" s="1">
        <f t="shared" si="252"/>
        <v>51.64</v>
      </c>
      <c r="M4073" s="1" t="str">
        <f t="shared" si="253"/>
        <v/>
      </c>
      <c r="N4073" s="2">
        <f t="shared" si="254"/>
        <v>45901</v>
      </c>
      <c r="O4073" t="str">
        <f t="shared" si="255"/>
        <v>pes</v>
      </c>
    </row>
    <row r="4074" spans="1:15" x14ac:dyDescent="0.25">
      <c r="A4074">
        <v>11563</v>
      </c>
      <c r="B4074" s="11">
        <v>4028899001126</v>
      </c>
      <c r="C4074" s="1" t="s">
        <v>16</v>
      </c>
      <c r="D4074" s="1" t="s">
        <v>12</v>
      </c>
      <c r="E4074" s="1" t="s">
        <v>17</v>
      </c>
      <c r="F4074">
        <v>2.8</v>
      </c>
      <c r="G4074">
        <v>3</v>
      </c>
      <c r="H4074" s="1" t="s">
        <v>18</v>
      </c>
      <c r="I4074" s="1" t="s">
        <v>824</v>
      </c>
      <c r="J4074" s="12">
        <v>45926</v>
      </c>
      <c r="K4074">
        <v>0</v>
      </c>
      <c r="L4074" s="1">
        <f t="shared" si="252"/>
        <v>8.3999999999999986</v>
      </c>
      <c r="M4074" s="1">
        <f t="shared" si="253"/>
        <v>4</v>
      </c>
      <c r="N4074" s="2">
        <f t="shared" si="254"/>
        <v>45901</v>
      </c>
      <c r="O4074" t="str">
        <f t="shared" si="255"/>
        <v>pes</v>
      </c>
    </row>
    <row r="4075" spans="1:15" x14ac:dyDescent="0.25">
      <c r="A4075">
        <v>11564</v>
      </c>
      <c r="B4075" s="11">
        <v>4057890123467</v>
      </c>
      <c r="C4075" s="1" t="s">
        <v>307</v>
      </c>
      <c r="D4075" s="1" t="s">
        <v>39</v>
      </c>
      <c r="E4075" s="1" t="s">
        <v>308</v>
      </c>
      <c r="F4075">
        <v>9.6</v>
      </c>
      <c r="G4075">
        <v>1</v>
      </c>
      <c r="H4075" s="1" t="s">
        <v>14</v>
      </c>
      <c r="I4075" s="1" t="s">
        <v>15</v>
      </c>
      <c r="J4075" s="12">
        <v>45926</v>
      </c>
      <c r="K4075">
        <v>0</v>
      </c>
      <c r="L4075" s="1">
        <f t="shared" si="252"/>
        <v>9.6</v>
      </c>
      <c r="M4075" s="1" t="str">
        <f t="shared" si="253"/>
        <v/>
      </c>
      <c r="N4075" s="2">
        <f t="shared" si="254"/>
        <v>45901</v>
      </c>
      <c r="O4075" t="str">
        <f t="shared" si="255"/>
        <v>pes</v>
      </c>
    </row>
    <row r="4076" spans="1:15" hidden="1" x14ac:dyDescent="0.25">
      <c r="A4076">
        <v>11565</v>
      </c>
      <c r="B4076" s="11">
        <v>4026677889902</v>
      </c>
      <c r="C4076" s="1" t="s">
        <v>52</v>
      </c>
      <c r="D4076" s="1" t="s">
        <v>53</v>
      </c>
      <c r="E4076" s="1" t="s">
        <v>54</v>
      </c>
      <c r="F4076">
        <v>7.6</v>
      </c>
      <c r="G4076">
        <v>1</v>
      </c>
      <c r="H4076" s="1" t="s">
        <v>14</v>
      </c>
      <c r="I4076" s="1" t="s">
        <v>15</v>
      </c>
      <c r="J4076" s="12">
        <v>45926</v>
      </c>
      <c r="K4076">
        <v>0</v>
      </c>
      <c r="L4076" s="1">
        <f t="shared" si="252"/>
        <v>7.6</v>
      </c>
      <c r="M4076" s="1" t="str">
        <f t="shared" si="253"/>
        <v/>
      </c>
      <c r="N4076" s="2">
        <f t="shared" si="254"/>
        <v>45901</v>
      </c>
      <c r="O4076" t="str">
        <f t="shared" si="255"/>
        <v>iné</v>
      </c>
    </row>
    <row r="4077" spans="1:15" hidden="1" x14ac:dyDescent="0.25">
      <c r="A4077">
        <v>11566</v>
      </c>
      <c r="B4077" s="11">
        <v>4058899001125</v>
      </c>
      <c r="C4077" s="1" t="s">
        <v>352</v>
      </c>
      <c r="D4077" s="1" t="s">
        <v>267</v>
      </c>
      <c r="E4077" s="1" t="s">
        <v>58</v>
      </c>
      <c r="F4077">
        <v>10.4</v>
      </c>
      <c r="G4077">
        <v>1</v>
      </c>
      <c r="H4077" s="1" t="s">
        <v>23</v>
      </c>
      <c r="I4077" s="1" t="s">
        <v>825</v>
      </c>
      <c r="J4077" s="12">
        <v>45926</v>
      </c>
      <c r="K4077">
        <v>0</v>
      </c>
      <c r="L4077" s="1">
        <f t="shared" si="252"/>
        <v>10.4</v>
      </c>
      <c r="M4077" s="1">
        <f t="shared" si="253"/>
        <v>5</v>
      </c>
      <c r="N4077" s="2">
        <f t="shared" si="254"/>
        <v>45901</v>
      </c>
      <c r="O4077" t="str">
        <f t="shared" si="255"/>
        <v>mačka</v>
      </c>
    </row>
    <row r="4078" spans="1:15" x14ac:dyDescent="0.25">
      <c r="A4078">
        <v>11567</v>
      </c>
      <c r="B4078" s="11">
        <v>4011234567897</v>
      </c>
      <c r="C4078" s="1" t="s">
        <v>341</v>
      </c>
      <c r="D4078" s="1" t="s">
        <v>21</v>
      </c>
      <c r="E4078" s="1" t="s">
        <v>303</v>
      </c>
      <c r="F4078">
        <v>11.6</v>
      </c>
      <c r="G4078">
        <v>1</v>
      </c>
      <c r="H4078" s="1" t="s">
        <v>14</v>
      </c>
      <c r="I4078" s="1" t="s">
        <v>15</v>
      </c>
      <c r="J4078" s="12">
        <v>45926</v>
      </c>
      <c r="K4078">
        <v>0</v>
      </c>
      <c r="L4078" s="1">
        <f t="shared" si="252"/>
        <v>11.6</v>
      </c>
      <c r="M4078" s="1" t="str">
        <f t="shared" si="253"/>
        <v/>
      </c>
      <c r="N4078" s="2">
        <f t="shared" si="254"/>
        <v>45901</v>
      </c>
      <c r="O4078" t="str">
        <f t="shared" si="255"/>
        <v>pes</v>
      </c>
    </row>
    <row r="4079" spans="1:15" hidden="1" x14ac:dyDescent="0.25">
      <c r="A4079">
        <v>11568</v>
      </c>
      <c r="B4079" s="11">
        <v>4055566778892</v>
      </c>
      <c r="C4079" s="1" t="s">
        <v>652</v>
      </c>
      <c r="D4079" s="1" t="s">
        <v>317</v>
      </c>
      <c r="E4079" s="1" t="s">
        <v>69</v>
      </c>
      <c r="F4079">
        <v>8</v>
      </c>
      <c r="G4079">
        <v>1</v>
      </c>
      <c r="H4079" s="1" t="s">
        <v>14</v>
      </c>
      <c r="I4079" s="1" t="s">
        <v>15</v>
      </c>
      <c r="J4079" s="12">
        <v>45926</v>
      </c>
      <c r="K4079">
        <v>0</v>
      </c>
      <c r="L4079" s="1">
        <f t="shared" si="252"/>
        <v>8</v>
      </c>
      <c r="M4079" s="1" t="str">
        <f t="shared" si="253"/>
        <v/>
      </c>
      <c r="N4079" s="2">
        <f t="shared" si="254"/>
        <v>45901</v>
      </c>
      <c r="O4079" t="str">
        <f t="shared" si="255"/>
        <v>mačka</v>
      </c>
    </row>
    <row r="4080" spans="1:15" x14ac:dyDescent="0.25">
      <c r="A4080">
        <v>11569</v>
      </c>
      <c r="B4080" s="11">
        <v>4022345678908</v>
      </c>
      <c r="C4080" s="1" t="s">
        <v>363</v>
      </c>
      <c r="D4080" s="1" t="s">
        <v>21</v>
      </c>
      <c r="E4080" s="1" t="s">
        <v>69</v>
      </c>
      <c r="F4080">
        <v>10</v>
      </c>
      <c r="G4080">
        <v>1</v>
      </c>
      <c r="H4080" s="1" t="s">
        <v>33</v>
      </c>
      <c r="I4080" s="1" t="s">
        <v>826</v>
      </c>
      <c r="J4080" s="12">
        <v>45927</v>
      </c>
      <c r="K4080">
        <v>0</v>
      </c>
      <c r="L4080" s="1">
        <f t="shared" si="252"/>
        <v>10</v>
      </c>
      <c r="M4080" s="1">
        <f t="shared" si="253"/>
        <v>3</v>
      </c>
      <c r="N4080" s="2">
        <f t="shared" si="254"/>
        <v>45901</v>
      </c>
      <c r="O4080" t="str">
        <f t="shared" si="255"/>
        <v>pes</v>
      </c>
    </row>
    <row r="4081" spans="1:15" x14ac:dyDescent="0.25">
      <c r="A4081">
        <v>11570</v>
      </c>
      <c r="B4081" s="11">
        <v>4013456789017</v>
      </c>
      <c r="C4081" s="1" t="s">
        <v>11</v>
      </c>
      <c r="D4081" s="1" t="s">
        <v>12</v>
      </c>
      <c r="E4081" s="1" t="s">
        <v>13</v>
      </c>
      <c r="F4081">
        <v>6</v>
      </c>
      <c r="G4081">
        <v>1</v>
      </c>
      <c r="H4081" s="1" t="s">
        <v>14</v>
      </c>
      <c r="I4081" s="1" t="s">
        <v>15</v>
      </c>
      <c r="J4081" s="12">
        <v>45927</v>
      </c>
      <c r="K4081">
        <v>0</v>
      </c>
      <c r="L4081" s="1">
        <f t="shared" si="252"/>
        <v>6</v>
      </c>
      <c r="M4081" s="1" t="str">
        <f t="shared" si="253"/>
        <v/>
      </c>
      <c r="N4081" s="2">
        <f t="shared" si="254"/>
        <v>45901</v>
      </c>
      <c r="O4081" t="str">
        <f t="shared" si="255"/>
        <v>pes</v>
      </c>
    </row>
    <row r="4082" spans="1:15" x14ac:dyDescent="0.25">
      <c r="A4082">
        <v>11571</v>
      </c>
      <c r="B4082" s="11">
        <v>4040123456795</v>
      </c>
      <c r="C4082" s="1" t="s">
        <v>20</v>
      </c>
      <c r="D4082" s="1" t="s">
        <v>21</v>
      </c>
      <c r="E4082" s="1" t="s">
        <v>22</v>
      </c>
      <c r="F4082">
        <v>8.8000000000000007</v>
      </c>
      <c r="G4082">
        <v>1</v>
      </c>
      <c r="H4082" s="1" t="s">
        <v>14</v>
      </c>
      <c r="I4082" s="1" t="s">
        <v>15</v>
      </c>
      <c r="J4082" s="12">
        <v>45927</v>
      </c>
      <c r="K4082">
        <v>0</v>
      </c>
      <c r="L4082" s="1">
        <f t="shared" si="252"/>
        <v>8.8000000000000007</v>
      </c>
      <c r="M4082" s="1" t="str">
        <f t="shared" si="253"/>
        <v/>
      </c>
      <c r="N4082" s="2">
        <f t="shared" si="254"/>
        <v>45901</v>
      </c>
      <c r="O4082" t="str">
        <f t="shared" si="255"/>
        <v>pes</v>
      </c>
    </row>
    <row r="4083" spans="1:15" x14ac:dyDescent="0.25">
      <c r="A4083">
        <v>11572</v>
      </c>
      <c r="B4083" s="11">
        <v>4028899001126</v>
      </c>
      <c r="C4083" s="1" t="s">
        <v>16</v>
      </c>
      <c r="D4083" s="1" t="s">
        <v>12</v>
      </c>
      <c r="E4083" s="1" t="s">
        <v>17</v>
      </c>
      <c r="F4083">
        <v>2.8</v>
      </c>
      <c r="G4083">
        <v>2</v>
      </c>
      <c r="H4083" s="1" t="s">
        <v>18</v>
      </c>
      <c r="I4083" s="1" t="s">
        <v>827</v>
      </c>
      <c r="J4083" s="12">
        <v>45927</v>
      </c>
      <c r="K4083">
        <v>0</v>
      </c>
      <c r="L4083" s="1">
        <f t="shared" si="252"/>
        <v>5.6</v>
      </c>
      <c r="M4083" s="1">
        <f t="shared" si="253"/>
        <v>4</v>
      </c>
      <c r="N4083" s="2">
        <f t="shared" si="254"/>
        <v>45901</v>
      </c>
      <c r="O4083" t="str">
        <f t="shared" si="255"/>
        <v>pes</v>
      </c>
    </row>
    <row r="4084" spans="1:15" hidden="1" x14ac:dyDescent="0.25">
      <c r="A4084">
        <v>11573</v>
      </c>
      <c r="B4084" s="11">
        <v>4029900112244</v>
      </c>
      <c r="C4084" s="1" t="s">
        <v>655</v>
      </c>
      <c r="D4084" s="1" t="s">
        <v>36</v>
      </c>
      <c r="E4084" s="1" t="s">
        <v>37</v>
      </c>
      <c r="F4084">
        <v>13.6</v>
      </c>
      <c r="G4084">
        <v>1</v>
      </c>
      <c r="H4084" s="1" t="s">
        <v>14</v>
      </c>
      <c r="I4084" s="1" t="s">
        <v>15</v>
      </c>
      <c r="J4084" s="12">
        <v>45927</v>
      </c>
      <c r="K4084">
        <v>0</v>
      </c>
      <c r="L4084" s="1">
        <f t="shared" si="252"/>
        <v>13.6</v>
      </c>
      <c r="M4084" s="1" t="str">
        <f t="shared" si="253"/>
        <v/>
      </c>
      <c r="N4084" s="2">
        <f t="shared" si="254"/>
        <v>45901</v>
      </c>
      <c r="O4084" t="str">
        <f t="shared" si="255"/>
        <v>mačka</v>
      </c>
    </row>
    <row r="4085" spans="1:15" x14ac:dyDescent="0.25">
      <c r="A4085">
        <v>11574</v>
      </c>
      <c r="B4085" s="11">
        <v>4017890123450</v>
      </c>
      <c r="C4085" s="1" t="s">
        <v>65</v>
      </c>
      <c r="D4085" s="1" t="s">
        <v>39</v>
      </c>
      <c r="E4085" s="1" t="s">
        <v>22</v>
      </c>
      <c r="F4085">
        <v>7.6</v>
      </c>
      <c r="G4085">
        <v>1</v>
      </c>
      <c r="H4085" s="1" t="s">
        <v>14</v>
      </c>
      <c r="I4085" s="1" t="s">
        <v>15</v>
      </c>
      <c r="J4085" s="12">
        <v>45927</v>
      </c>
      <c r="K4085">
        <v>0</v>
      </c>
      <c r="L4085" s="1">
        <f t="shared" si="252"/>
        <v>7.6</v>
      </c>
      <c r="M4085" s="1" t="str">
        <f t="shared" si="253"/>
        <v/>
      </c>
      <c r="N4085" s="2">
        <f t="shared" si="254"/>
        <v>45901</v>
      </c>
      <c r="O4085" t="str">
        <f t="shared" si="255"/>
        <v>pes</v>
      </c>
    </row>
    <row r="4086" spans="1:15" hidden="1" x14ac:dyDescent="0.25">
      <c r="A4086">
        <v>11575</v>
      </c>
      <c r="B4086" s="11">
        <v>4056789012345</v>
      </c>
      <c r="C4086" s="1" t="s">
        <v>47</v>
      </c>
      <c r="D4086" s="1" t="s">
        <v>29</v>
      </c>
      <c r="E4086" s="1" t="s">
        <v>37</v>
      </c>
      <c r="F4086">
        <v>2.4</v>
      </c>
      <c r="G4086">
        <v>3</v>
      </c>
      <c r="H4086" s="1" t="s">
        <v>14</v>
      </c>
      <c r="I4086" s="1" t="s">
        <v>15</v>
      </c>
      <c r="J4086" s="12">
        <v>45927</v>
      </c>
      <c r="K4086">
        <v>0</v>
      </c>
      <c r="L4086" s="1">
        <f t="shared" si="252"/>
        <v>7.1999999999999993</v>
      </c>
      <c r="M4086" s="1" t="str">
        <f t="shared" si="253"/>
        <v/>
      </c>
      <c r="N4086" s="2">
        <f t="shared" si="254"/>
        <v>45901</v>
      </c>
      <c r="O4086" t="str">
        <f t="shared" si="255"/>
        <v>mačka</v>
      </c>
    </row>
    <row r="4087" spans="1:15" x14ac:dyDescent="0.25">
      <c r="A4087">
        <v>11576</v>
      </c>
      <c r="B4087" s="11">
        <v>4013456789017</v>
      </c>
      <c r="C4087" s="1" t="s">
        <v>11</v>
      </c>
      <c r="D4087" s="1" t="s">
        <v>12</v>
      </c>
      <c r="E4087" s="1" t="s">
        <v>13</v>
      </c>
      <c r="F4087">
        <v>6</v>
      </c>
      <c r="G4087">
        <v>2</v>
      </c>
      <c r="H4087" s="1" t="s">
        <v>23</v>
      </c>
      <c r="I4087" s="1" t="s">
        <v>828</v>
      </c>
      <c r="J4087" s="12">
        <v>45927</v>
      </c>
      <c r="K4087">
        <v>0</v>
      </c>
      <c r="L4087" s="1">
        <f t="shared" si="252"/>
        <v>12</v>
      </c>
      <c r="M4087" s="1">
        <f t="shared" si="253"/>
        <v>5</v>
      </c>
      <c r="N4087" s="2">
        <f t="shared" si="254"/>
        <v>45901</v>
      </c>
      <c r="O4087" t="str">
        <f t="shared" si="255"/>
        <v>pes</v>
      </c>
    </row>
    <row r="4088" spans="1:15" hidden="1" x14ac:dyDescent="0.25">
      <c r="A4088">
        <v>11577</v>
      </c>
      <c r="B4088" s="11">
        <v>4026677889902</v>
      </c>
      <c r="C4088" s="1" t="s">
        <v>52</v>
      </c>
      <c r="D4088" s="1" t="s">
        <v>53</v>
      </c>
      <c r="E4088" s="1" t="s">
        <v>54</v>
      </c>
      <c r="F4088">
        <v>7.6</v>
      </c>
      <c r="G4088">
        <v>1</v>
      </c>
      <c r="H4088" s="1" t="s">
        <v>14</v>
      </c>
      <c r="I4088" s="1" t="s">
        <v>15</v>
      </c>
      <c r="J4088" s="12">
        <v>45927</v>
      </c>
      <c r="K4088">
        <v>0</v>
      </c>
      <c r="L4088" s="1">
        <f t="shared" si="252"/>
        <v>7.6</v>
      </c>
      <c r="M4088" s="1" t="str">
        <f t="shared" si="253"/>
        <v/>
      </c>
      <c r="N4088" s="2">
        <f t="shared" si="254"/>
        <v>45901</v>
      </c>
      <c r="O4088" t="str">
        <f t="shared" si="255"/>
        <v>iné</v>
      </c>
    </row>
    <row r="4089" spans="1:15" x14ac:dyDescent="0.25">
      <c r="A4089">
        <v>11578</v>
      </c>
      <c r="B4089" s="11">
        <v>4059012345683</v>
      </c>
      <c r="C4089" s="1" t="s">
        <v>345</v>
      </c>
      <c r="D4089" s="1" t="s">
        <v>26</v>
      </c>
      <c r="E4089" s="1" t="s">
        <v>27</v>
      </c>
      <c r="F4089">
        <v>20</v>
      </c>
      <c r="G4089">
        <v>1</v>
      </c>
      <c r="H4089" s="1" t="s">
        <v>48</v>
      </c>
      <c r="I4089" s="1" t="s">
        <v>829</v>
      </c>
      <c r="J4089" s="12">
        <v>45927</v>
      </c>
      <c r="K4089">
        <v>1</v>
      </c>
      <c r="L4089" s="1">
        <f t="shared" si="252"/>
        <v>20</v>
      </c>
      <c r="M4089" s="1">
        <f t="shared" si="253"/>
        <v>2</v>
      </c>
      <c r="N4089" s="2">
        <f t="shared" si="254"/>
        <v>45901</v>
      </c>
      <c r="O4089" t="str">
        <f t="shared" si="255"/>
        <v>pes</v>
      </c>
    </row>
    <row r="4090" spans="1:15" hidden="1" x14ac:dyDescent="0.25">
      <c r="A4090">
        <v>11579</v>
      </c>
      <c r="B4090" s="11">
        <v>4024455667788</v>
      </c>
      <c r="C4090" s="1" t="s">
        <v>657</v>
      </c>
      <c r="D4090" s="1" t="s">
        <v>140</v>
      </c>
      <c r="E4090" s="1" t="s">
        <v>42</v>
      </c>
      <c r="F4090">
        <v>75.64</v>
      </c>
      <c r="G4090">
        <v>1</v>
      </c>
      <c r="H4090" s="1" t="s">
        <v>23</v>
      </c>
      <c r="I4090" s="1" t="s">
        <v>830</v>
      </c>
      <c r="J4090" s="12">
        <v>45927</v>
      </c>
      <c r="K4090">
        <v>0</v>
      </c>
      <c r="L4090" s="1">
        <f t="shared" si="252"/>
        <v>75.64</v>
      </c>
      <c r="M4090" s="1">
        <f t="shared" si="253"/>
        <v>5</v>
      </c>
      <c r="N4090" s="2">
        <f t="shared" si="254"/>
        <v>45901</v>
      </c>
      <c r="O4090" t="str">
        <f t="shared" si="255"/>
        <v>mačka</v>
      </c>
    </row>
    <row r="4091" spans="1:15" x14ac:dyDescent="0.25">
      <c r="A4091">
        <v>11580</v>
      </c>
      <c r="B4091" s="11">
        <v>4040123456795</v>
      </c>
      <c r="C4091" s="1" t="s">
        <v>20</v>
      </c>
      <c r="D4091" s="1" t="s">
        <v>21</v>
      </c>
      <c r="E4091" s="1" t="s">
        <v>22</v>
      </c>
      <c r="F4091">
        <v>8.8000000000000007</v>
      </c>
      <c r="G4091">
        <v>1</v>
      </c>
      <c r="H4091" s="1" t="s">
        <v>14</v>
      </c>
      <c r="I4091" s="1" t="s">
        <v>15</v>
      </c>
      <c r="J4091" s="12">
        <v>45927</v>
      </c>
      <c r="K4091">
        <v>0</v>
      </c>
      <c r="L4091" s="1">
        <f t="shared" si="252"/>
        <v>8.8000000000000007</v>
      </c>
      <c r="M4091" s="1" t="str">
        <f t="shared" si="253"/>
        <v/>
      </c>
      <c r="N4091" s="2">
        <f t="shared" si="254"/>
        <v>45901</v>
      </c>
      <c r="O4091" t="str">
        <f t="shared" si="255"/>
        <v>pes</v>
      </c>
    </row>
    <row r="4092" spans="1:15" x14ac:dyDescent="0.25">
      <c r="A4092">
        <v>11581</v>
      </c>
      <c r="B4092" s="11">
        <v>4013456789017</v>
      </c>
      <c r="C4092" s="1" t="s">
        <v>11</v>
      </c>
      <c r="D4092" s="1" t="s">
        <v>12</v>
      </c>
      <c r="E4092" s="1" t="s">
        <v>13</v>
      </c>
      <c r="F4092">
        <v>6</v>
      </c>
      <c r="G4092">
        <v>1</v>
      </c>
      <c r="H4092" s="1" t="s">
        <v>18</v>
      </c>
      <c r="I4092" s="1" t="s">
        <v>831</v>
      </c>
      <c r="J4092" s="12">
        <v>45928</v>
      </c>
      <c r="K4092">
        <v>0</v>
      </c>
      <c r="L4092" s="1">
        <f t="shared" si="252"/>
        <v>6</v>
      </c>
      <c r="M4092" s="1">
        <f t="shared" si="253"/>
        <v>4</v>
      </c>
      <c r="N4092" s="2">
        <f t="shared" si="254"/>
        <v>45901</v>
      </c>
      <c r="O4092" t="str">
        <f t="shared" si="255"/>
        <v>pes</v>
      </c>
    </row>
    <row r="4093" spans="1:15" x14ac:dyDescent="0.25">
      <c r="A4093">
        <v>11582</v>
      </c>
      <c r="B4093" s="11">
        <v>4028899001126</v>
      </c>
      <c r="C4093" s="1" t="s">
        <v>16</v>
      </c>
      <c r="D4093" s="1" t="s">
        <v>12</v>
      </c>
      <c r="E4093" s="1" t="s">
        <v>17</v>
      </c>
      <c r="F4093">
        <v>2.8</v>
      </c>
      <c r="G4093">
        <v>3</v>
      </c>
      <c r="H4093" s="1" t="s">
        <v>14</v>
      </c>
      <c r="I4093" s="1" t="s">
        <v>15</v>
      </c>
      <c r="J4093" s="12">
        <v>45928</v>
      </c>
      <c r="K4093">
        <v>0</v>
      </c>
      <c r="L4093" s="1">
        <f t="shared" si="252"/>
        <v>8.3999999999999986</v>
      </c>
      <c r="M4093" s="1" t="str">
        <f t="shared" si="253"/>
        <v/>
      </c>
      <c r="N4093" s="2">
        <f t="shared" si="254"/>
        <v>45901</v>
      </c>
      <c r="O4093" t="str">
        <f t="shared" si="255"/>
        <v>pes</v>
      </c>
    </row>
    <row r="4094" spans="1:15" hidden="1" x14ac:dyDescent="0.25">
      <c r="A4094">
        <v>11583</v>
      </c>
      <c r="B4094" s="11">
        <v>4029900112244</v>
      </c>
      <c r="C4094" s="1" t="s">
        <v>655</v>
      </c>
      <c r="D4094" s="1" t="s">
        <v>36</v>
      </c>
      <c r="E4094" s="1" t="s">
        <v>37</v>
      </c>
      <c r="F4094">
        <v>13.6</v>
      </c>
      <c r="G4094">
        <v>1</v>
      </c>
      <c r="H4094" s="1" t="s">
        <v>14</v>
      </c>
      <c r="I4094" s="1" t="s">
        <v>15</v>
      </c>
      <c r="J4094" s="12">
        <v>45928</v>
      </c>
      <c r="K4094">
        <v>0</v>
      </c>
      <c r="L4094" s="1">
        <f t="shared" si="252"/>
        <v>13.6</v>
      </c>
      <c r="M4094" s="1" t="str">
        <f t="shared" si="253"/>
        <v/>
      </c>
      <c r="N4094" s="2">
        <f t="shared" si="254"/>
        <v>45901</v>
      </c>
      <c r="O4094" t="str">
        <f t="shared" si="255"/>
        <v>mačka</v>
      </c>
    </row>
    <row r="4095" spans="1:15" x14ac:dyDescent="0.25">
      <c r="A4095">
        <v>11584</v>
      </c>
      <c r="B4095" s="11">
        <v>4027788990013</v>
      </c>
      <c r="C4095" s="1" t="s">
        <v>43</v>
      </c>
      <c r="D4095" s="1" t="s">
        <v>21</v>
      </c>
      <c r="E4095" s="1" t="s">
        <v>22</v>
      </c>
      <c r="F4095">
        <v>8</v>
      </c>
      <c r="G4095">
        <v>1</v>
      </c>
      <c r="H4095" s="1" t="s">
        <v>14</v>
      </c>
      <c r="I4095" s="1" t="s">
        <v>15</v>
      </c>
      <c r="J4095" s="12">
        <v>45928</v>
      </c>
      <c r="K4095">
        <v>0</v>
      </c>
      <c r="L4095" s="1">
        <f t="shared" si="252"/>
        <v>8</v>
      </c>
      <c r="M4095" s="1" t="str">
        <f t="shared" si="253"/>
        <v/>
      </c>
      <c r="N4095" s="2">
        <f t="shared" si="254"/>
        <v>45901</v>
      </c>
      <c r="O4095" t="str">
        <f t="shared" si="255"/>
        <v>pes</v>
      </c>
    </row>
    <row r="4096" spans="1:15" hidden="1" x14ac:dyDescent="0.25">
      <c r="A4096">
        <v>11585</v>
      </c>
      <c r="B4096" s="11">
        <v>4044567890123</v>
      </c>
      <c r="C4096" s="1" t="s">
        <v>266</v>
      </c>
      <c r="D4096" s="1" t="s">
        <v>267</v>
      </c>
      <c r="E4096" s="1" t="s">
        <v>37</v>
      </c>
      <c r="F4096">
        <v>6</v>
      </c>
      <c r="G4096">
        <v>1</v>
      </c>
      <c r="H4096" s="1" t="s">
        <v>14</v>
      </c>
      <c r="I4096" s="1" t="s">
        <v>15</v>
      </c>
      <c r="J4096" s="12">
        <v>45928</v>
      </c>
      <c r="K4096">
        <v>0</v>
      </c>
      <c r="L4096" s="1">
        <f t="shared" si="252"/>
        <v>6</v>
      </c>
      <c r="M4096" s="1" t="str">
        <f t="shared" si="253"/>
        <v/>
      </c>
      <c r="N4096" s="2">
        <f t="shared" si="254"/>
        <v>45901</v>
      </c>
      <c r="O4096" t="str">
        <f t="shared" si="255"/>
        <v>mačka</v>
      </c>
    </row>
    <row r="4097" spans="1:15" x14ac:dyDescent="0.25">
      <c r="A4097">
        <v>11586</v>
      </c>
      <c r="B4097" s="11">
        <v>4011234567897</v>
      </c>
      <c r="C4097" s="1" t="s">
        <v>341</v>
      </c>
      <c r="D4097" s="1" t="s">
        <v>21</v>
      </c>
      <c r="E4097" s="1" t="s">
        <v>303</v>
      </c>
      <c r="F4097">
        <v>11.6</v>
      </c>
      <c r="G4097">
        <v>1</v>
      </c>
      <c r="H4097" s="1" t="s">
        <v>18</v>
      </c>
      <c r="I4097" s="1" t="s">
        <v>832</v>
      </c>
      <c r="J4097" s="12">
        <v>45928</v>
      </c>
      <c r="K4097">
        <v>0</v>
      </c>
      <c r="L4097" s="1">
        <f t="shared" si="252"/>
        <v>11.6</v>
      </c>
      <c r="M4097" s="1">
        <f t="shared" si="253"/>
        <v>4</v>
      </c>
      <c r="N4097" s="2">
        <f t="shared" si="254"/>
        <v>45901</v>
      </c>
      <c r="O4097" t="str">
        <f t="shared" si="255"/>
        <v>pes</v>
      </c>
    </row>
    <row r="4098" spans="1:15" hidden="1" x14ac:dyDescent="0.25">
      <c r="A4098">
        <v>11587</v>
      </c>
      <c r="B4098" s="11">
        <v>4066677889903</v>
      </c>
      <c r="C4098" s="1" t="s">
        <v>353</v>
      </c>
      <c r="D4098" s="1" t="s">
        <v>317</v>
      </c>
      <c r="E4098" s="1" t="s">
        <v>42</v>
      </c>
      <c r="F4098">
        <v>59.64</v>
      </c>
      <c r="G4098">
        <v>1</v>
      </c>
      <c r="H4098" s="1" t="s">
        <v>14</v>
      </c>
      <c r="I4098" s="1" t="s">
        <v>15</v>
      </c>
      <c r="J4098" s="12">
        <v>45928</v>
      </c>
      <c r="K4098">
        <v>0</v>
      </c>
      <c r="L4098" s="1">
        <f t="shared" ref="L4098:L4161" si="256">F4098*G4098</f>
        <v>59.64</v>
      </c>
      <c r="M4098" s="1" t="str">
        <f t="shared" ref="M4098:M4161" si="257">IF(H4098="NULL", "",VALUE(H4098))</f>
        <v/>
      </c>
      <c r="N4098" s="2">
        <f t="shared" ref="N4098:N4161" si="258">DATE(YEAR(J4098),MONTH(J4098),1)</f>
        <v>45901</v>
      </c>
      <c r="O4098" t="str">
        <f t="shared" ref="O4098:O4161" si="259">IF(ISNUMBER(SEARCH("Mačky",D4098)),"mačka",IF(ISNUMBER(SEARCH("Psy",D4098)),"pes","iné"))</f>
        <v>mačka</v>
      </c>
    </row>
    <row r="4099" spans="1:15" hidden="1" x14ac:dyDescent="0.25">
      <c r="A4099">
        <v>11588</v>
      </c>
      <c r="B4099" s="11">
        <v>4055566778892</v>
      </c>
      <c r="C4099" s="1" t="s">
        <v>652</v>
      </c>
      <c r="D4099" s="1" t="s">
        <v>317</v>
      </c>
      <c r="E4099" s="1" t="s">
        <v>69</v>
      </c>
      <c r="F4099">
        <v>8</v>
      </c>
      <c r="G4099">
        <v>1</v>
      </c>
      <c r="H4099" s="1" t="s">
        <v>14</v>
      </c>
      <c r="I4099" s="1" t="s">
        <v>15</v>
      </c>
      <c r="J4099" s="12">
        <v>45928</v>
      </c>
      <c r="K4099">
        <v>0</v>
      </c>
      <c r="L4099" s="1">
        <f t="shared" si="256"/>
        <v>8</v>
      </c>
      <c r="M4099" s="1" t="str">
        <f t="shared" si="257"/>
        <v/>
      </c>
      <c r="N4099" s="2">
        <f t="shared" si="258"/>
        <v>45901</v>
      </c>
      <c r="O4099" t="str">
        <f t="shared" si="259"/>
        <v>mačka</v>
      </c>
    </row>
    <row r="4100" spans="1:15" x14ac:dyDescent="0.25">
      <c r="A4100">
        <v>11589</v>
      </c>
      <c r="B4100" s="11">
        <v>4013456789017</v>
      </c>
      <c r="C4100" s="1" t="s">
        <v>11</v>
      </c>
      <c r="D4100" s="1" t="s">
        <v>12</v>
      </c>
      <c r="E4100" s="1" t="s">
        <v>13</v>
      </c>
      <c r="F4100">
        <v>6</v>
      </c>
      <c r="G4100">
        <v>1</v>
      </c>
      <c r="H4100" s="1" t="s">
        <v>14</v>
      </c>
      <c r="I4100" s="1" t="s">
        <v>15</v>
      </c>
      <c r="J4100" s="12">
        <v>45928</v>
      </c>
      <c r="K4100">
        <v>0</v>
      </c>
      <c r="L4100" s="1">
        <f t="shared" si="256"/>
        <v>6</v>
      </c>
      <c r="M4100" s="1" t="str">
        <f t="shared" si="257"/>
        <v/>
      </c>
      <c r="N4100" s="2">
        <f t="shared" si="258"/>
        <v>45901</v>
      </c>
      <c r="O4100" t="str">
        <f t="shared" si="259"/>
        <v>pes</v>
      </c>
    </row>
    <row r="4101" spans="1:15" x14ac:dyDescent="0.25">
      <c r="A4101">
        <v>11590</v>
      </c>
      <c r="B4101" s="11">
        <v>4027788990013</v>
      </c>
      <c r="C4101" s="1" t="s">
        <v>43</v>
      </c>
      <c r="D4101" s="1" t="s">
        <v>21</v>
      </c>
      <c r="E4101" s="1" t="s">
        <v>22</v>
      </c>
      <c r="F4101">
        <v>8</v>
      </c>
      <c r="G4101">
        <v>1</v>
      </c>
      <c r="H4101" s="1" t="s">
        <v>23</v>
      </c>
      <c r="I4101" s="1" t="s">
        <v>833</v>
      </c>
      <c r="J4101" s="12">
        <v>45928</v>
      </c>
      <c r="K4101">
        <v>0</v>
      </c>
      <c r="L4101" s="1">
        <f t="shared" si="256"/>
        <v>8</v>
      </c>
      <c r="M4101" s="1">
        <f t="shared" si="257"/>
        <v>5</v>
      </c>
      <c r="N4101" s="2">
        <f t="shared" si="258"/>
        <v>45901</v>
      </c>
      <c r="O4101" t="str">
        <f t="shared" si="259"/>
        <v>pes</v>
      </c>
    </row>
    <row r="4102" spans="1:15" hidden="1" x14ac:dyDescent="0.25">
      <c r="A4102">
        <v>11591</v>
      </c>
      <c r="B4102" s="11">
        <v>4042233445567</v>
      </c>
      <c r="C4102" s="1" t="s">
        <v>637</v>
      </c>
      <c r="D4102" s="1" t="s">
        <v>140</v>
      </c>
      <c r="E4102" s="1" t="s">
        <v>141</v>
      </c>
      <c r="F4102">
        <v>51.64</v>
      </c>
      <c r="G4102">
        <v>1</v>
      </c>
      <c r="H4102" s="1" t="s">
        <v>14</v>
      </c>
      <c r="I4102" s="1" t="s">
        <v>15</v>
      </c>
      <c r="J4102" s="12">
        <v>45928</v>
      </c>
      <c r="K4102">
        <v>0</v>
      </c>
      <c r="L4102" s="1">
        <f t="shared" si="256"/>
        <v>51.64</v>
      </c>
      <c r="M4102" s="1" t="str">
        <f t="shared" si="257"/>
        <v/>
      </c>
      <c r="N4102" s="2">
        <f t="shared" si="258"/>
        <v>45901</v>
      </c>
      <c r="O4102" t="str">
        <f t="shared" si="259"/>
        <v>mačka</v>
      </c>
    </row>
    <row r="4103" spans="1:15" x14ac:dyDescent="0.25">
      <c r="A4103">
        <v>11592</v>
      </c>
      <c r="B4103" s="11">
        <v>4028899001126</v>
      </c>
      <c r="C4103" s="1" t="s">
        <v>16</v>
      </c>
      <c r="D4103" s="1" t="s">
        <v>12</v>
      </c>
      <c r="E4103" s="1" t="s">
        <v>17</v>
      </c>
      <c r="F4103">
        <v>2.8</v>
      </c>
      <c r="G4103">
        <v>2</v>
      </c>
      <c r="H4103" s="1" t="s">
        <v>18</v>
      </c>
      <c r="I4103" s="1" t="s">
        <v>834</v>
      </c>
      <c r="J4103" s="12">
        <v>45928</v>
      </c>
      <c r="K4103">
        <v>0</v>
      </c>
      <c r="L4103" s="1">
        <f t="shared" si="256"/>
        <v>5.6</v>
      </c>
      <c r="M4103" s="1">
        <f t="shared" si="257"/>
        <v>4</v>
      </c>
      <c r="N4103" s="2">
        <f t="shared" si="258"/>
        <v>45901</v>
      </c>
      <c r="O4103" t="str">
        <f t="shared" si="259"/>
        <v>pes</v>
      </c>
    </row>
    <row r="4104" spans="1:15" x14ac:dyDescent="0.25">
      <c r="A4104">
        <v>11593</v>
      </c>
      <c r="B4104" s="11">
        <v>4013456789017</v>
      </c>
      <c r="C4104" s="1" t="s">
        <v>11</v>
      </c>
      <c r="D4104" s="1" t="s">
        <v>12</v>
      </c>
      <c r="E4104" s="1" t="s">
        <v>13</v>
      </c>
      <c r="F4104">
        <v>6</v>
      </c>
      <c r="G4104">
        <v>2</v>
      </c>
      <c r="H4104" s="1" t="s">
        <v>14</v>
      </c>
      <c r="I4104" s="1" t="s">
        <v>15</v>
      </c>
      <c r="J4104" s="12">
        <v>45929</v>
      </c>
      <c r="K4104">
        <v>0</v>
      </c>
      <c r="L4104" s="1">
        <f t="shared" si="256"/>
        <v>12</v>
      </c>
      <c r="M4104" s="1" t="str">
        <f t="shared" si="257"/>
        <v/>
      </c>
      <c r="N4104" s="2">
        <f t="shared" si="258"/>
        <v>45901</v>
      </c>
      <c r="O4104" t="str">
        <f t="shared" si="259"/>
        <v>pes</v>
      </c>
    </row>
    <row r="4105" spans="1:15" x14ac:dyDescent="0.25">
      <c r="A4105">
        <v>11593</v>
      </c>
      <c r="B4105" s="11">
        <v>4028899001126</v>
      </c>
      <c r="C4105" s="1" t="s">
        <v>16</v>
      </c>
      <c r="D4105" s="1" t="s">
        <v>12</v>
      </c>
      <c r="E4105" s="1" t="s">
        <v>17</v>
      </c>
      <c r="F4105">
        <v>2.8</v>
      </c>
      <c r="G4105">
        <v>2</v>
      </c>
      <c r="H4105" s="1" t="s">
        <v>14</v>
      </c>
      <c r="I4105" s="1" t="s">
        <v>15</v>
      </c>
      <c r="J4105" s="12">
        <v>45929</v>
      </c>
      <c r="K4105">
        <v>0</v>
      </c>
      <c r="L4105" s="1">
        <f t="shared" si="256"/>
        <v>5.6</v>
      </c>
      <c r="M4105" s="1" t="str">
        <f t="shared" si="257"/>
        <v/>
      </c>
      <c r="N4105" s="2">
        <f t="shared" si="258"/>
        <v>45901</v>
      </c>
      <c r="O4105" t="str">
        <f t="shared" si="259"/>
        <v>pes</v>
      </c>
    </row>
    <row r="4106" spans="1:15" x14ac:dyDescent="0.25">
      <c r="A4106">
        <v>11594</v>
      </c>
      <c r="B4106" s="11">
        <v>4040123456795</v>
      </c>
      <c r="C4106" s="1" t="s">
        <v>20</v>
      </c>
      <c r="D4106" s="1" t="s">
        <v>21</v>
      </c>
      <c r="E4106" s="1" t="s">
        <v>22</v>
      </c>
      <c r="F4106">
        <v>8.8000000000000007</v>
      </c>
      <c r="G4106">
        <v>1</v>
      </c>
      <c r="H4106" s="1" t="s">
        <v>18</v>
      </c>
      <c r="I4106" s="1" t="s">
        <v>835</v>
      </c>
      <c r="J4106" s="12">
        <v>45929</v>
      </c>
      <c r="K4106">
        <v>0</v>
      </c>
      <c r="L4106" s="1">
        <f t="shared" si="256"/>
        <v>8.8000000000000007</v>
      </c>
      <c r="M4106" s="1">
        <f t="shared" si="257"/>
        <v>4</v>
      </c>
      <c r="N4106" s="2">
        <f t="shared" si="258"/>
        <v>45901</v>
      </c>
      <c r="O4106" t="str">
        <f t="shared" si="259"/>
        <v>pes</v>
      </c>
    </row>
    <row r="4107" spans="1:15" hidden="1" x14ac:dyDescent="0.25">
      <c r="A4107">
        <v>11595</v>
      </c>
      <c r="B4107" s="11">
        <v>4069012345682</v>
      </c>
      <c r="C4107" s="1" t="s">
        <v>143</v>
      </c>
      <c r="D4107" s="1" t="s">
        <v>144</v>
      </c>
      <c r="E4107" s="1" t="s">
        <v>30</v>
      </c>
      <c r="F4107">
        <v>26</v>
      </c>
      <c r="G4107">
        <v>1</v>
      </c>
      <c r="H4107" s="1" t="s">
        <v>14</v>
      </c>
      <c r="I4107" s="1" t="s">
        <v>15</v>
      </c>
      <c r="J4107" s="12">
        <v>45929</v>
      </c>
      <c r="K4107">
        <v>0</v>
      </c>
      <c r="L4107" s="1">
        <f t="shared" si="256"/>
        <v>26</v>
      </c>
      <c r="M4107" s="1" t="str">
        <f t="shared" si="257"/>
        <v/>
      </c>
      <c r="N4107" s="2">
        <f t="shared" si="258"/>
        <v>45901</v>
      </c>
      <c r="O4107" t="str">
        <f t="shared" si="259"/>
        <v>mačka</v>
      </c>
    </row>
    <row r="4108" spans="1:15" x14ac:dyDescent="0.25">
      <c r="A4108">
        <v>11596</v>
      </c>
      <c r="B4108" s="11">
        <v>4017890123450</v>
      </c>
      <c r="C4108" s="1" t="s">
        <v>65</v>
      </c>
      <c r="D4108" s="1" t="s">
        <v>39</v>
      </c>
      <c r="E4108" s="1" t="s">
        <v>22</v>
      </c>
      <c r="F4108">
        <v>7.6</v>
      </c>
      <c r="G4108">
        <v>1</v>
      </c>
      <c r="H4108" s="1" t="s">
        <v>14</v>
      </c>
      <c r="I4108" s="1" t="s">
        <v>15</v>
      </c>
      <c r="J4108" s="12">
        <v>45929</v>
      </c>
      <c r="K4108">
        <v>0</v>
      </c>
      <c r="L4108" s="1">
        <f t="shared" si="256"/>
        <v>7.6</v>
      </c>
      <c r="M4108" s="1" t="str">
        <f t="shared" si="257"/>
        <v/>
      </c>
      <c r="N4108" s="2">
        <f t="shared" si="258"/>
        <v>45901</v>
      </c>
      <c r="O4108" t="str">
        <f t="shared" si="259"/>
        <v>pes</v>
      </c>
    </row>
    <row r="4109" spans="1:15" x14ac:dyDescent="0.25">
      <c r="A4109">
        <v>11597</v>
      </c>
      <c r="B4109" s="11">
        <v>4063456789014</v>
      </c>
      <c r="C4109" s="1" t="s">
        <v>60</v>
      </c>
      <c r="D4109" s="1" t="s">
        <v>12</v>
      </c>
      <c r="E4109" s="1" t="s">
        <v>61</v>
      </c>
      <c r="F4109">
        <v>36</v>
      </c>
      <c r="G4109">
        <v>1</v>
      </c>
      <c r="H4109" s="1" t="s">
        <v>23</v>
      </c>
      <c r="I4109" s="1" t="s">
        <v>836</v>
      </c>
      <c r="J4109" s="12">
        <v>45929</v>
      </c>
      <c r="K4109">
        <v>0</v>
      </c>
      <c r="L4109" s="1">
        <f t="shared" si="256"/>
        <v>36</v>
      </c>
      <c r="M4109" s="1">
        <f t="shared" si="257"/>
        <v>5</v>
      </c>
      <c r="N4109" s="2">
        <f t="shared" si="258"/>
        <v>45901</v>
      </c>
      <c r="O4109" t="str">
        <f t="shared" si="259"/>
        <v>pes</v>
      </c>
    </row>
    <row r="4110" spans="1:15" x14ac:dyDescent="0.25">
      <c r="A4110">
        <v>11598</v>
      </c>
      <c r="B4110" s="11">
        <v>4003344556679</v>
      </c>
      <c r="C4110" s="1" t="s">
        <v>132</v>
      </c>
      <c r="D4110" s="1" t="s">
        <v>133</v>
      </c>
      <c r="E4110" s="1" t="s">
        <v>134</v>
      </c>
      <c r="F4110">
        <v>51.64</v>
      </c>
      <c r="G4110">
        <v>1</v>
      </c>
      <c r="H4110" s="1" t="s">
        <v>14</v>
      </c>
      <c r="I4110" s="1" t="s">
        <v>15</v>
      </c>
      <c r="J4110" s="12">
        <v>45929</v>
      </c>
      <c r="K4110">
        <v>0</v>
      </c>
      <c r="L4110" s="1">
        <f t="shared" si="256"/>
        <v>51.64</v>
      </c>
      <c r="M4110" s="1" t="str">
        <f t="shared" si="257"/>
        <v/>
      </c>
      <c r="N4110" s="2">
        <f t="shared" si="258"/>
        <v>45901</v>
      </c>
      <c r="O4110" t="str">
        <f t="shared" si="259"/>
        <v>pes</v>
      </c>
    </row>
    <row r="4111" spans="1:15" hidden="1" x14ac:dyDescent="0.25">
      <c r="A4111">
        <v>11599</v>
      </c>
      <c r="B4111" s="11">
        <v>4024455667788</v>
      </c>
      <c r="C4111" s="1" t="s">
        <v>657</v>
      </c>
      <c r="D4111" s="1" t="s">
        <v>140</v>
      </c>
      <c r="E4111" s="1" t="s">
        <v>42</v>
      </c>
      <c r="F4111">
        <v>75.64</v>
      </c>
      <c r="G4111">
        <v>1</v>
      </c>
      <c r="H4111" s="1" t="s">
        <v>14</v>
      </c>
      <c r="I4111" s="1" t="s">
        <v>15</v>
      </c>
      <c r="J4111" s="12">
        <v>45929</v>
      </c>
      <c r="K4111">
        <v>0</v>
      </c>
      <c r="L4111" s="1">
        <f t="shared" si="256"/>
        <v>75.64</v>
      </c>
      <c r="M4111" s="1" t="str">
        <f t="shared" si="257"/>
        <v/>
      </c>
      <c r="N4111" s="2">
        <f t="shared" si="258"/>
        <v>45901</v>
      </c>
      <c r="O4111" t="str">
        <f t="shared" si="259"/>
        <v>mačka</v>
      </c>
    </row>
    <row r="4112" spans="1:15" x14ac:dyDescent="0.25">
      <c r="A4112">
        <v>11600</v>
      </c>
      <c r="B4112" s="11">
        <v>4057890123467</v>
      </c>
      <c r="C4112" s="1" t="s">
        <v>307</v>
      </c>
      <c r="D4112" s="1" t="s">
        <v>39</v>
      </c>
      <c r="E4112" s="1" t="s">
        <v>308</v>
      </c>
      <c r="F4112">
        <v>9.6</v>
      </c>
      <c r="G4112">
        <v>1</v>
      </c>
      <c r="H4112" s="1" t="s">
        <v>14</v>
      </c>
      <c r="I4112" s="1" t="s">
        <v>15</v>
      </c>
      <c r="J4112" s="12">
        <v>45929</v>
      </c>
      <c r="K4112">
        <v>0</v>
      </c>
      <c r="L4112" s="1">
        <f t="shared" si="256"/>
        <v>9.6</v>
      </c>
      <c r="M4112" s="1" t="str">
        <f t="shared" si="257"/>
        <v/>
      </c>
      <c r="N4112" s="2">
        <f t="shared" si="258"/>
        <v>45901</v>
      </c>
      <c r="O4112" t="str">
        <f t="shared" si="259"/>
        <v>pes</v>
      </c>
    </row>
    <row r="4113" spans="1:15" hidden="1" x14ac:dyDescent="0.25">
      <c r="A4113">
        <v>11601</v>
      </c>
      <c r="B4113" s="11">
        <v>4026677889902</v>
      </c>
      <c r="C4113" s="1" t="s">
        <v>52</v>
      </c>
      <c r="D4113" s="1" t="s">
        <v>53</v>
      </c>
      <c r="E4113" s="1" t="s">
        <v>54</v>
      </c>
      <c r="F4113">
        <v>7.6</v>
      </c>
      <c r="G4113">
        <v>1</v>
      </c>
      <c r="H4113" s="1" t="s">
        <v>18</v>
      </c>
      <c r="I4113" s="1" t="s">
        <v>837</v>
      </c>
      <c r="J4113" s="12">
        <v>45929</v>
      </c>
      <c r="K4113">
        <v>0</v>
      </c>
      <c r="L4113" s="1">
        <f t="shared" si="256"/>
        <v>7.6</v>
      </c>
      <c r="M4113" s="1">
        <f t="shared" si="257"/>
        <v>4</v>
      </c>
      <c r="N4113" s="2">
        <f t="shared" si="258"/>
        <v>45901</v>
      </c>
      <c r="O4113" t="str">
        <f t="shared" si="259"/>
        <v>iné</v>
      </c>
    </row>
    <row r="4114" spans="1:15" x14ac:dyDescent="0.25">
      <c r="A4114">
        <v>11602</v>
      </c>
      <c r="B4114" s="11">
        <v>4040123456795</v>
      </c>
      <c r="C4114" s="1" t="s">
        <v>20</v>
      </c>
      <c r="D4114" s="1" t="s">
        <v>21</v>
      </c>
      <c r="E4114" s="1" t="s">
        <v>22</v>
      </c>
      <c r="F4114">
        <v>8.8000000000000007</v>
      </c>
      <c r="G4114">
        <v>1</v>
      </c>
      <c r="H4114" s="1" t="s">
        <v>14</v>
      </c>
      <c r="I4114" s="1" t="s">
        <v>15</v>
      </c>
      <c r="J4114" s="12">
        <v>45929</v>
      </c>
      <c r="K4114">
        <v>0</v>
      </c>
      <c r="L4114" s="1">
        <f t="shared" si="256"/>
        <v>8.8000000000000007</v>
      </c>
      <c r="M4114" s="1" t="str">
        <f t="shared" si="257"/>
        <v/>
      </c>
      <c r="N4114" s="2">
        <f t="shared" si="258"/>
        <v>45901</v>
      </c>
      <c r="O4114" t="str">
        <f t="shared" si="259"/>
        <v>pes</v>
      </c>
    </row>
    <row r="4115" spans="1:15" x14ac:dyDescent="0.25">
      <c r="A4115">
        <v>11603</v>
      </c>
      <c r="B4115" s="11">
        <v>8592233445568</v>
      </c>
      <c r="C4115" s="1" t="s">
        <v>138</v>
      </c>
      <c r="D4115" s="1" t="s">
        <v>133</v>
      </c>
      <c r="E4115" s="1" t="s">
        <v>17</v>
      </c>
      <c r="F4115">
        <v>79.64</v>
      </c>
      <c r="G4115">
        <v>1</v>
      </c>
      <c r="H4115" s="1" t="s">
        <v>23</v>
      </c>
      <c r="I4115" s="1" t="s">
        <v>838</v>
      </c>
      <c r="J4115" s="12">
        <v>45929</v>
      </c>
      <c r="K4115">
        <v>0</v>
      </c>
      <c r="L4115" s="1">
        <f t="shared" si="256"/>
        <v>79.64</v>
      </c>
      <c r="M4115" s="1">
        <f t="shared" si="257"/>
        <v>5</v>
      </c>
      <c r="N4115" s="2">
        <f t="shared" si="258"/>
        <v>45901</v>
      </c>
      <c r="O4115" t="str">
        <f t="shared" si="259"/>
        <v>pes</v>
      </c>
    </row>
    <row r="4116" spans="1:15" x14ac:dyDescent="0.25">
      <c r="A4116">
        <v>11604</v>
      </c>
      <c r="B4116" s="11">
        <v>4022345678908</v>
      </c>
      <c r="C4116" s="1" t="s">
        <v>363</v>
      </c>
      <c r="D4116" s="1" t="s">
        <v>21</v>
      </c>
      <c r="E4116" s="1" t="s">
        <v>69</v>
      </c>
      <c r="F4116">
        <v>10</v>
      </c>
      <c r="G4116">
        <v>1</v>
      </c>
      <c r="H4116" s="1" t="s">
        <v>14</v>
      </c>
      <c r="I4116" s="1" t="s">
        <v>15</v>
      </c>
      <c r="J4116" s="12">
        <v>45929</v>
      </c>
      <c r="K4116">
        <v>0</v>
      </c>
      <c r="L4116" s="1">
        <f t="shared" si="256"/>
        <v>10</v>
      </c>
      <c r="M4116" s="1" t="str">
        <f t="shared" si="257"/>
        <v/>
      </c>
      <c r="N4116" s="2">
        <f t="shared" si="258"/>
        <v>45901</v>
      </c>
      <c r="O4116" t="str">
        <f t="shared" si="259"/>
        <v>pes</v>
      </c>
    </row>
    <row r="4117" spans="1:15" hidden="1" x14ac:dyDescent="0.25">
      <c r="A4117">
        <v>11605</v>
      </c>
      <c r="B4117" s="11">
        <v>4025566778891</v>
      </c>
      <c r="C4117" s="1" t="s">
        <v>320</v>
      </c>
      <c r="D4117" s="1" t="s">
        <v>317</v>
      </c>
      <c r="E4117" s="1" t="s">
        <v>30</v>
      </c>
      <c r="F4117">
        <v>51.64</v>
      </c>
      <c r="G4117">
        <v>1</v>
      </c>
      <c r="H4117" s="1" t="s">
        <v>23</v>
      </c>
      <c r="I4117" s="1" t="s">
        <v>839</v>
      </c>
      <c r="J4117" s="12">
        <v>45929</v>
      </c>
      <c r="K4117">
        <v>0</v>
      </c>
      <c r="L4117" s="1">
        <f t="shared" si="256"/>
        <v>51.64</v>
      </c>
      <c r="M4117" s="1">
        <f t="shared" si="257"/>
        <v>5</v>
      </c>
      <c r="N4117" s="2">
        <f t="shared" si="258"/>
        <v>45901</v>
      </c>
      <c r="O4117" t="str">
        <f t="shared" si="259"/>
        <v>mačka</v>
      </c>
    </row>
    <row r="4118" spans="1:15" x14ac:dyDescent="0.25">
      <c r="A4118">
        <v>11606</v>
      </c>
      <c r="B4118" s="11">
        <v>4013456789017</v>
      </c>
      <c r="C4118" s="1" t="s">
        <v>11</v>
      </c>
      <c r="D4118" s="1" t="s">
        <v>12</v>
      </c>
      <c r="E4118" s="1" t="s">
        <v>13</v>
      </c>
      <c r="F4118">
        <v>6</v>
      </c>
      <c r="G4118">
        <v>2</v>
      </c>
      <c r="H4118" s="1" t="s">
        <v>14</v>
      </c>
      <c r="I4118" s="1" t="s">
        <v>15</v>
      </c>
      <c r="J4118" s="12">
        <v>45930</v>
      </c>
      <c r="K4118">
        <v>0</v>
      </c>
      <c r="L4118" s="1">
        <f t="shared" si="256"/>
        <v>12</v>
      </c>
      <c r="M4118" s="1" t="str">
        <f t="shared" si="257"/>
        <v/>
      </c>
      <c r="N4118" s="2">
        <f t="shared" si="258"/>
        <v>45901</v>
      </c>
      <c r="O4118" t="str">
        <f t="shared" si="259"/>
        <v>pes</v>
      </c>
    </row>
    <row r="4119" spans="1:15" x14ac:dyDescent="0.25">
      <c r="A4119">
        <v>11607</v>
      </c>
      <c r="B4119" s="11">
        <v>4028899001126</v>
      </c>
      <c r="C4119" s="1" t="s">
        <v>16</v>
      </c>
      <c r="D4119" s="1" t="s">
        <v>12</v>
      </c>
      <c r="E4119" s="1" t="s">
        <v>17</v>
      </c>
      <c r="F4119">
        <v>2.8</v>
      </c>
      <c r="G4119">
        <v>3</v>
      </c>
      <c r="H4119" s="1" t="s">
        <v>14</v>
      </c>
      <c r="I4119" s="1" t="s">
        <v>15</v>
      </c>
      <c r="J4119" s="12">
        <v>45930</v>
      </c>
      <c r="K4119">
        <v>0</v>
      </c>
      <c r="L4119" s="1">
        <f t="shared" si="256"/>
        <v>8.3999999999999986</v>
      </c>
      <c r="M4119" s="1" t="str">
        <f t="shared" si="257"/>
        <v/>
      </c>
      <c r="N4119" s="2">
        <f t="shared" si="258"/>
        <v>45901</v>
      </c>
      <c r="O4119" t="str">
        <f t="shared" si="259"/>
        <v>pes</v>
      </c>
    </row>
    <row r="4120" spans="1:15" x14ac:dyDescent="0.25">
      <c r="A4120">
        <v>11608</v>
      </c>
      <c r="B4120" s="11">
        <v>4027788990013</v>
      </c>
      <c r="C4120" s="1" t="s">
        <v>43</v>
      </c>
      <c r="D4120" s="1" t="s">
        <v>21</v>
      </c>
      <c r="E4120" s="1" t="s">
        <v>22</v>
      </c>
      <c r="F4120">
        <v>8</v>
      </c>
      <c r="G4120">
        <v>1</v>
      </c>
      <c r="H4120" s="1" t="s">
        <v>18</v>
      </c>
      <c r="I4120" s="1" t="s">
        <v>840</v>
      </c>
      <c r="J4120" s="12">
        <v>45930</v>
      </c>
      <c r="K4120">
        <v>0</v>
      </c>
      <c r="L4120" s="1">
        <f t="shared" si="256"/>
        <v>8</v>
      </c>
      <c r="M4120" s="1">
        <f t="shared" si="257"/>
        <v>4</v>
      </c>
      <c r="N4120" s="2">
        <f t="shared" si="258"/>
        <v>45901</v>
      </c>
      <c r="O4120" t="str">
        <f t="shared" si="259"/>
        <v>pes</v>
      </c>
    </row>
    <row r="4121" spans="1:15" hidden="1" x14ac:dyDescent="0.25">
      <c r="A4121">
        <v>11609</v>
      </c>
      <c r="B4121" s="11">
        <v>4061234567805</v>
      </c>
      <c r="C4121" s="1" t="s">
        <v>749</v>
      </c>
      <c r="D4121" s="1" t="s">
        <v>36</v>
      </c>
      <c r="E4121" s="1" t="s">
        <v>141</v>
      </c>
      <c r="F4121">
        <v>12.8</v>
      </c>
      <c r="G4121">
        <v>2</v>
      </c>
      <c r="H4121" s="1" t="s">
        <v>14</v>
      </c>
      <c r="I4121" s="1" t="s">
        <v>15</v>
      </c>
      <c r="J4121" s="12">
        <v>45930</v>
      </c>
      <c r="K4121">
        <v>0</v>
      </c>
      <c r="L4121" s="1">
        <f t="shared" si="256"/>
        <v>25.6</v>
      </c>
      <c r="M4121" s="1" t="str">
        <f t="shared" si="257"/>
        <v/>
      </c>
      <c r="N4121" s="2">
        <f t="shared" si="258"/>
        <v>45901</v>
      </c>
      <c r="O4121" t="str">
        <f t="shared" si="259"/>
        <v>mačka</v>
      </c>
    </row>
    <row r="4122" spans="1:15" x14ac:dyDescent="0.25">
      <c r="A4122">
        <v>11610</v>
      </c>
      <c r="B4122" s="11">
        <v>4017890123450</v>
      </c>
      <c r="C4122" s="1" t="s">
        <v>65</v>
      </c>
      <c r="D4122" s="1" t="s">
        <v>39</v>
      </c>
      <c r="E4122" s="1" t="s">
        <v>22</v>
      </c>
      <c r="F4122">
        <v>7.6</v>
      </c>
      <c r="G4122">
        <v>1</v>
      </c>
      <c r="H4122" s="1" t="s">
        <v>14</v>
      </c>
      <c r="I4122" s="1" t="s">
        <v>15</v>
      </c>
      <c r="J4122" s="12">
        <v>45930</v>
      </c>
      <c r="K4122">
        <v>0</v>
      </c>
      <c r="L4122" s="1">
        <f t="shared" si="256"/>
        <v>7.6</v>
      </c>
      <c r="M4122" s="1" t="str">
        <f t="shared" si="257"/>
        <v/>
      </c>
      <c r="N4122" s="2">
        <f t="shared" si="258"/>
        <v>45901</v>
      </c>
      <c r="O4122" t="str">
        <f t="shared" si="259"/>
        <v>pes</v>
      </c>
    </row>
    <row r="4123" spans="1:15" x14ac:dyDescent="0.25">
      <c r="A4123">
        <v>11611</v>
      </c>
      <c r="B4123" s="11">
        <v>4011234567897</v>
      </c>
      <c r="C4123" s="1" t="s">
        <v>341</v>
      </c>
      <c r="D4123" s="1" t="s">
        <v>21</v>
      </c>
      <c r="E4123" s="1" t="s">
        <v>303</v>
      </c>
      <c r="F4123">
        <v>11.6</v>
      </c>
      <c r="G4123">
        <v>1</v>
      </c>
      <c r="H4123" s="1" t="s">
        <v>14</v>
      </c>
      <c r="I4123" s="1" t="s">
        <v>15</v>
      </c>
      <c r="J4123" s="12">
        <v>45930</v>
      </c>
      <c r="K4123">
        <v>0</v>
      </c>
      <c r="L4123" s="1">
        <f t="shared" si="256"/>
        <v>11.6</v>
      </c>
      <c r="M4123" s="1" t="str">
        <f t="shared" si="257"/>
        <v/>
      </c>
      <c r="N4123" s="2">
        <f t="shared" si="258"/>
        <v>45901</v>
      </c>
      <c r="O4123" t="str">
        <f t="shared" si="259"/>
        <v>pes</v>
      </c>
    </row>
    <row r="4124" spans="1:15" hidden="1" x14ac:dyDescent="0.25">
      <c r="A4124">
        <v>11612</v>
      </c>
      <c r="B4124" s="11">
        <v>4029900112244</v>
      </c>
      <c r="C4124" s="1" t="s">
        <v>655</v>
      </c>
      <c r="D4124" s="1" t="s">
        <v>36</v>
      </c>
      <c r="E4124" s="1" t="s">
        <v>37</v>
      </c>
      <c r="F4124">
        <v>13.6</v>
      </c>
      <c r="G4124">
        <v>1</v>
      </c>
      <c r="H4124" s="1" t="s">
        <v>14</v>
      </c>
      <c r="I4124" s="1" t="s">
        <v>15</v>
      </c>
      <c r="J4124" s="12">
        <v>45930</v>
      </c>
      <c r="K4124">
        <v>0</v>
      </c>
      <c r="L4124" s="1">
        <f t="shared" si="256"/>
        <v>13.6</v>
      </c>
      <c r="M4124" s="1" t="str">
        <f t="shared" si="257"/>
        <v/>
      </c>
      <c r="N4124" s="2">
        <f t="shared" si="258"/>
        <v>45901</v>
      </c>
      <c r="O4124" t="str">
        <f t="shared" si="259"/>
        <v>mačka</v>
      </c>
    </row>
    <row r="4125" spans="1:15" x14ac:dyDescent="0.25">
      <c r="A4125">
        <v>11613</v>
      </c>
      <c r="B4125" s="11">
        <v>4003344556679</v>
      </c>
      <c r="C4125" s="1" t="s">
        <v>132</v>
      </c>
      <c r="D4125" s="1" t="s">
        <v>133</v>
      </c>
      <c r="E4125" s="1" t="s">
        <v>134</v>
      </c>
      <c r="F4125">
        <v>51.64</v>
      </c>
      <c r="G4125">
        <v>1</v>
      </c>
      <c r="H4125" s="1" t="s">
        <v>18</v>
      </c>
      <c r="I4125" s="1" t="s">
        <v>841</v>
      </c>
      <c r="J4125" s="12">
        <v>45930</v>
      </c>
      <c r="K4125">
        <v>0</v>
      </c>
      <c r="L4125" s="1">
        <f t="shared" si="256"/>
        <v>51.64</v>
      </c>
      <c r="M4125" s="1">
        <f t="shared" si="257"/>
        <v>4</v>
      </c>
      <c r="N4125" s="2">
        <f t="shared" si="258"/>
        <v>45901</v>
      </c>
      <c r="O4125" t="str">
        <f t="shared" si="259"/>
        <v>pes</v>
      </c>
    </row>
    <row r="4126" spans="1:15" hidden="1" x14ac:dyDescent="0.25">
      <c r="A4126">
        <v>11614</v>
      </c>
      <c r="B4126" s="11">
        <v>4050123456794</v>
      </c>
      <c r="C4126" s="1" t="s">
        <v>41</v>
      </c>
      <c r="D4126" s="1" t="s">
        <v>36</v>
      </c>
      <c r="E4126" s="1" t="s">
        <v>42</v>
      </c>
      <c r="F4126">
        <v>7.2</v>
      </c>
      <c r="G4126">
        <v>1</v>
      </c>
      <c r="H4126" s="1" t="s">
        <v>14</v>
      </c>
      <c r="I4126" s="1" t="s">
        <v>15</v>
      </c>
      <c r="J4126" s="12">
        <v>45930</v>
      </c>
      <c r="K4126">
        <v>0</v>
      </c>
      <c r="L4126" s="1">
        <f t="shared" si="256"/>
        <v>7.2</v>
      </c>
      <c r="M4126" s="1" t="str">
        <f t="shared" si="257"/>
        <v/>
      </c>
      <c r="N4126" s="2">
        <f t="shared" si="258"/>
        <v>45901</v>
      </c>
      <c r="O4126" t="str">
        <f t="shared" si="259"/>
        <v>mačka</v>
      </c>
    </row>
    <row r="4127" spans="1:15" x14ac:dyDescent="0.25">
      <c r="A4127">
        <v>11615</v>
      </c>
      <c r="B4127" s="11">
        <v>4013456789017</v>
      </c>
      <c r="C4127" s="1" t="s">
        <v>11</v>
      </c>
      <c r="D4127" s="1" t="s">
        <v>12</v>
      </c>
      <c r="E4127" s="1" t="s">
        <v>13</v>
      </c>
      <c r="F4127">
        <v>6</v>
      </c>
      <c r="G4127">
        <v>1</v>
      </c>
      <c r="H4127" s="1" t="s">
        <v>14</v>
      </c>
      <c r="I4127" s="1" t="s">
        <v>15</v>
      </c>
      <c r="J4127" s="12">
        <v>45930</v>
      </c>
      <c r="K4127">
        <v>0</v>
      </c>
      <c r="L4127" s="1">
        <f t="shared" si="256"/>
        <v>6</v>
      </c>
      <c r="M4127" s="1" t="str">
        <f t="shared" si="257"/>
        <v/>
      </c>
      <c r="N4127" s="2">
        <f t="shared" si="258"/>
        <v>45901</v>
      </c>
      <c r="O4127" t="str">
        <f t="shared" si="259"/>
        <v>pes</v>
      </c>
    </row>
    <row r="4128" spans="1:15" x14ac:dyDescent="0.25">
      <c r="A4128">
        <v>11616</v>
      </c>
      <c r="B4128" s="11">
        <v>4028899001126</v>
      </c>
      <c r="C4128" s="1" t="s">
        <v>16</v>
      </c>
      <c r="D4128" s="1" t="s">
        <v>12</v>
      </c>
      <c r="E4128" s="1" t="s">
        <v>17</v>
      </c>
      <c r="F4128">
        <v>2.8</v>
      </c>
      <c r="G4128">
        <v>3</v>
      </c>
      <c r="H4128" s="1" t="s">
        <v>23</v>
      </c>
      <c r="I4128" s="1" t="s">
        <v>842</v>
      </c>
      <c r="J4128" s="12">
        <v>45930</v>
      </c>
      <c r="K4128">
        <v>0</v>
      </c>
      <c r="L4128" s="1">
        <f t="shared" si="256"/>
        <v>8.3999999999999986</v>
      </c>
      <c r="M4128" s="1">
        <f t="shared" si="257"/>
        <v>5</v>
      </c>
      <c r="N4128" s="2">
        <f t="shared" si="258"/>
        <v>45901</v>
      </c>
      <c r="O4128" t="str">
        <f t="shared" si="259"/>
        <v>pes</v>
      </c>
    </row>
    <row r="4129" spans="1:15" x14ac:dyDescent="0.25">
      <c r="A4129">
        <v>11617</v>
      </c>
      <c r="B4129" s="11">
        <v>4027788990013</v>
      </c>
      <c r="C4129" s="1" t="s">
        <v>43</v>
      </c>
      <c r="D4129" s="1" t="s">
        <v>21</v>
      </c>
      <c r="E4129" s="1" t="s">
        <v>22</v>
      </c>
      <c r="F4129">
        <v>8</v>
      </c>
      <c r="G4129">
        <v>1</v>
      </c>
      <c r="H4129" s="1" t="s">
        <v>14</v>
      </c>
      <c r="I4129" s="1" t="s">
        <v>15</v>
      </c>
      <c r="J4129" s="12">
        <v>45930</v>
      </c>
      <c r="K4129">
        <v>0</v>
      </c>
      <c r="L4129" s="1">
        <f t="shared" si="256"/>
        <v>8</v>
      </c>
      <c r="M4129" s="1" t="str">
        <f t="shared" si="257"/>
        <v/>
      </c>
      <c r="N4129" s="2">
        <f t="shared" si="258"/>
        <v>45901</v>
      </c>
      <c r="O4129" t="str">
        <f t="shared" si="259"/>
        <v>pes</v>
      </c>
    </row>
    <row r="4130" spans="1:15" hidden="1" x14ac:dyDescent="0.25">
      <c r="A4130">
        <v>11618</v>
      </c>
      <c r="B4130" s="11">
        <v>4026677889902</v>
      </c>
      <c r="C4130" s="1" t="s">
        <v>52</v>
      </c>
      <c r="D4130" s="1" t="s">
        <v>53</v>
      </c>
      <c r="E4130" s="1" t="s">
        <v>54</v>
      </c>
      <c r="F4130">
        <v>7.6</v>
      </c>
      <c r="G4130">
        <v>1</v>
      </c>
      <c r="H4130" s="1" t="s">
        <v>14</v>
      </c>
      <c r="I4130" s="1" t="s">
        <v>15</v>
      </c>
      <c r="J4130" s="12">
        <v>45930</v>
      </c>
      <c r="K4130">
        <v>0</v>
      </c>
      <c r="L4130" s="1">
        <f t="shared" si="256"/>
        <v>7.6</v>
      </c>
      <c r="M4130" s="1" t="str">
        <f t="shared" si="257"/>
        <v/>
      </c>
      <c r="N4130" s="2">
        <f t="shared" si="258"/>
        <v>45901</v>
      </c>
      <c r="O4130" t="str">
        <f t="shared" si="259"/>
        <v>iné</v>
      </c>
    </row>
    <row r="4131" spans="1:15" x14ac:dyDescent="0.25">
      <c r="A4131">
        <v>11619</v>
      </c>
      <c r="B4131" s="11">
        <v>4063456789014</v>
      </c>
      <c r="C4131" s="1" t="s">
        <v>60</v>
      </c>
      <c r="D4131" s="1" t="s">
        <v>12</v>
      </c>
      <c r="E4131" s="1" t="s">
        <v>61</v>
      </c>
      <c r="F4131">
        <v>36</v>
      </c>
      <c r="G4131">
        <v>1</v>
      </c>
      <c r="H4131" s="1" t="s">
        <v>14</v>
      </c>
      <c r="I4131" s="1" t="s">
        <v>15</v>
      </c>
      <c r="J4131" s="12">
        <v>45930</v>
      </c>
      <c r="K4131">
        <v>0</v>
      </c>
      <c r="L4131" s="1">
        <f t="shared" si="256"/>
        <v>36</v>
      </c>
      <c r="M4131" s="1" t="str">
        <f t="shared" si="257"/>
        <v/>
      </c>
      <c r="N4131" s="2">
        <f t="shared" si="258"/>
        <v>45901</v>
      </c>
      <c r="O4131" t="str">
        <f t="shared" si="259"/>
        <v>pes</v>
      </c>
    </row>
    <row r="4132" spans="1:15" hidden="1" x14ac:dyDescent="0.25">
      <c r="A4132">
        <v>11620</v>
      </c>
      <c r="B4132" s="11">
        <v>4019876501234</v>
      </c>
      <c r="C4132" s="1" t="s">
        <v>674</v>
      </c>
      <c r="D4132" s="1" t="s">
        <v>29</v>
      </c>
      <c r="E4132" s="1" t="s">
        <v>37</v>
      </c>
      <c r="F4132">
        <v>1.84</v>
      </c>
      <c r="G4132">
        <v>4</v>
      </c>
      <c r="H4132" s="1" t="s">
        <v>18</v>
      </c>
      <c r="I4132" s="1" t="s">
        <v>843</v>
      </c>
      <c r="J4132" s="12">
        <v>45930</v>
      </c>
      <c r="K4132">
        <v>0</v>
      </c>
      <c r="L4132" s="1">
        <f t="shared" si="256"/>
        <v>7.36</v>
      </c>
      <c r="M4132" s="1">
        <f t="shared" si="257"/>
        <v>4</v>
      </c>
      <c r="N4132" s="2">
        <f t="shared" si="258"/>
        <v>45901</v>
      </c>
      <c r="O4132" t="str">
        <f t="shared" si="259"/>
        <v>mačka</v>
      </c>
    </row>
    <row r="4133" spans="1:15" hidden="1" x14ac:dyDescent="0.25">
      <c r="A4133">
        <v>11621</v>
      </c>
      <c r="B4133" s="11">
        <v>4056789012345</v>
      </c>
      <c r="C4133" s="1" t="s">
        <v>47</v>
      </c>
      <c r="D4133" s="1" t="s">
        <v>29</v>
      </c>
      <c r="E4133" s="1" t="s">
        <v>37</v>
      </c>
      <c r="F4133">
        <v>2.4</v>
      </c>
      <c r="G4133">
        <v>3</v>
      </c>
      <c r="H4133" s="1" t="s">
        <v>14</v>
      </c>
      <c r="I4133" s="1" t="s">
        <v>15</v>
      </c>
      <c r="J4133" s="12">
        <v>45930</v>
      </c>
      <c r="K4133">
        <v>0</v>
      </c>
      <c r="L4133" s="1">
        <f t="shared" si="256"/>
        <v>7.1999999999999993</v>
      </c>
      <c r="M4133" s="1" t="str">
        <f t="shared" si="257"/>
        <v/>
      </c>
      <c r="N4133" s="2">
        <f t="shared" si="258"/>
        <v>45901</v>
      </c>
      <c r="O4133" t="str">
        <f t="shared" si="259"/>
        <v>mačka</v>
      </c>
    </row>
    <row r="4134" spans="1:15" x14ac:dyDescent="0.25">
      <c r="A4134">
        <v>11622</v>
      </c>
      <c r="B4134" s="11">
        <v>4017890123450</v>
      </c>
      <c r="C4134" s="1" t="s">
        <v>65</v>
      </c>
      <c r="D4134" s="1" t="s">
        <v>39</v>
      </c>
      <c r="E4134" s="1" t="s">
        <v>22</v>
      </c>
      <c r="F4134">
        <v>7.6</v>
      </c>
      <c r="G4134">
        <v>1</v>
      </c>
      <c r="H4134" s="1" t="s">
        <v>14</v>
      </c>
      <c r="I4134" s="1" t="s">
        <v>15</v>
      </c>
      <c r="J4134" s="12">
        <v>45930</v>
      </c>
      <c r="K4134">
        <v>0</v>
      </c>
      <c r="L4134" s="1">
        <f t="shared" si="256"/>
        <v>7.6</v>
      </c>
      <c r="M4134" s="1" t="str">
        <f t="shared" si="257"/>
        <v/>
      </c>
      <c r="N4134" s="2">
        <f t="shared" si="258"/>
        <v>45901</v>
      </c>
      <c r="O4134" t="str">
        <f t="shared" si="259"/>
        <v>pes</v>
      </c>
    </row>
    <row r="4135" spans="1:15" x14ac:dyDescent="0.25">
      <c r="A4135">
        <v>11623</v>
      </c>
      <c r="B4135" s="11">
        <v>4028899001126</v>
      </c>
      <c r="C4135" s="1" t="s">
        <v>16</v>
      </c>
      <c r="D4135" s="1" t="s">
        <v>12</v>
      </c>
      <c r="E4135" s="1" t="s">
        <v>17</v>
      </c>
      <c r="F4135">
        <v>2.8</v>
      </c>
      <c r="G4135">
        <v>2</v>
      </c>
      <c r="H4135" s="1" t="s">
        <v>14</v>
      </c>
      <c r="I4135" s="1" t="s">
        <v>15</v>
      </c>
      <c r="J4135" s="12">
        <v>45930</v>
      </c>
      <c r="K4135">
        <v>0</v>
      </c>
      <c r="L4135" s="1">
        <f t="shared" si="256"/>
        <v>5.6</v>
      </c>
      <c r="M4135" s="1" t="str">
        <f t="shared" si="257"/>
        <v/>
      </c>
      <c r="N4135" s="2">
        <f t="shared" si="258"/>
        <v>45901</v>
      </c>
      <c r="O4135" t="str">
        <f t="shared" si="259"/>
        <v>pes</v>
      </c>
    </row>
    <row r="4136" spans="1:15" x14ac:dyDescent="0.25">
      <c r="A4136">
        <v>11624</v>
      </c>
      <c r="B4136" s="11">
        <v>4040123456795</v>
      </c>
      <c r="C4136" s="1" t="s">
        <v>20</v>
      </c>
      <c r="D4136" s="1" t="s">
        <v>21</v>
      </c>
      <c r="E4136" s="1" t="s">
        <v>22</v>
      </c>
      <c r="F4136">
        <v>8.8000000000000007</v>
      </c>
      <c r="G4136">
        <v>1</v>
      </c>
      <c r="H4136" s="1" t="s">
        <v>23</v>
      </c>
      <c r="I4136" s="1" t="s">
        <v>844</v>
      </c>
      <c r="J4136" s="12">
        <v>45930</v>
      </c>
      <c r="K4136">
        <v>0</v>
      </c>
      <c r="L4136" s="1">
        <f t="shared" si="256"/>
        <v>8.8000000000000007</v>
      </c>
      <c r="M4136" s="1">
        <f t="shared" si="257"/>
        <v>5</v>
      </c>
      <c r="N4136" s="2">
        <f t="shared" si="258"/>
        <v>45901</v>
      </c>
      <c r="O4136" t="str">
        <f t="shared" si="259"/>
        <v>pes</v>
      </c>
    </row>
    <row r="4137" spans="1:15" hidden="1" x14ac:dyDescent="0.25">
      <c r="A4137">
        <v>11625</v>
      </c>
      <c r="B4137" s="11">
        <v>4069012345682</v>
      </c>
      <c r="C4137" s="1" t="s">
        <v>143</v>
      </c>
      <c r="D4137" s="1" t="s">
        <v>144</v>
      </c>
      <c r="E4137" s="1" t="s">
        <v>30</v>
      </c>
      <c r="F4137">
        <v>26</v>
      </c>
      <c r="G4137">
        <v>1</v>
      </c>
      <c r="H4137" s="1" t="s">
        <v>14</v>
      </c>
      <c r="I4137" s="1" t="s">
        <v>15</v>
      </c>
      <c r="J4137" s="12">
        <v>45930</v>
      </c>
      <c r="K4137">
        <v>0</v>
      </c>
      <c r="L4137" s="1">
        <f t="shared" si="256"/>
        <v>26</v>
      </c>
      <c r="M4137" s="1" t="str">
        <f t="shared" si="257"/>
        <v/>
      </c>
      <c r="N4137" s="2">
        <f t="shared" si="258"/>
        <v>45901</v>
      </c>
      <c r="O4137" t="str">
        <f t="shared" si="259"/>
        <v>mačka</v>
      </c>
    </row>
    <row r="4138" spans="1:15" hidden="1" x14ac:dyDescent="0.25">
      <c r="A4138">
        <v>11626</v>
      </c>
      <c r="B4138" s="11">
        <v>4055566778892</v>
      </c>
      <c r="C4138" s="1" t="s">
        <v>652</v>
      </c>
      <c r="D4138" s="1" t="s">
        <v>317</v>
      </c>
      <c r="E4138" s="1" t="s">
        <v>69</v>
      </c>
      <c r="F4138">
        <v>8</v>
      </c>
      <c r="G4138">
        <v>1</v>
      </c>
      <c r="H4138" s="1" t="s">
        <v>14</v>
      </c>
      <c r="I4138" s="1" t="s">
        <v>15</v>
      </c>
      <c r="J4138" s="12">
        <v>45930</v>
      </c>
      <c r="K4138">
        <v>0</v>
      </c>
      <c r="L4138" s="1">
        <f t="shared" si="256"/>
        <v>8</v>
      </c>
      <c r="M4138" s="1" t="str">
        <f t="shared" si="257"/>
        <v/>
      </c>
      <c r="N4138" s="2">
        <f t="shared" si="258"/>
        <v>45901</v>
      </c>
      <c r="O4138" t="str">
        <f t="shared" si="259"/>
        <v>mačka</v>
      </c>
    </row>
    <row r="4139" spans="1:15" x14ac:dyDescent="0.25">
      <c r="A4139">
        <v>11627</v>
      </c>
      <c r="B4139" s="11">
        <v>4013456789017</v>
      </c>
      <c r="C4139" s="1" t="s">
        <v>11</v>
      </c>
      <c r="D4139" s="1" t="s">
        <v>12</v>
      </c>
      <c r="E4139" s="1" t="s">
        <v>13</v>
      </c>
      <c r="F4139">
        <v>6</v>
      </c>
      <c r="G4139">
        <v>1</v>
      </c>
      <c r="H4139" s="1" t="s">
        <v>18</v>
      </c>
      <c r="I4139" s="1" t="s">
        <v>845</v>
      </c>
      <c r="J4139" s="12">
        <v>45930</v>
      </c>
      <c r="K4139">
        <v>0</v>
      </c>
      <c r="L4139" s="1">
        <f t="shared" si="256"/>
        <v>6</v>
      </c>
      <c r="M4139" s="1">
        <f t="shared" si="257"/>
        <v>4</v>
      </c>
      <c r="N4139" s="2">
        <f t="shared" si="258"/>
        <v>45901</v>
      </c>
      <c r="O4139" t="str">
        <f t="shared" si="259"/>
        <v>pes</v>
      </c>
    </row>
    <row r="4140" spans="1:15" x14ac:dyDescent="0.25">
      <c r="A4140">
        <v>11628</v>
      </c>
      <c r="B4140" s="11">
        <v>4028899001126</v>
      </c>
      <c r="C4140" s="1" t="s">
        <v>16</v>
      </c>
      <c r="D4140" s="1" t="s">
        <v>12</v>
      </c>
      <c r="E4140" s="1" t="s">
        <v>17</v>
      </c>
      <c r="F4140">
        <v>2.8</v>
      </c>
      <c r="G4140">
        <v>2</v>
      </c>
      <c r="H4140" s="1" t="s">
        <v>14</v>
      </c>
      <c r="I4140" s="1" t="s">
        <v>15</v>
      </c>
      <c r="J4140" s="12">
        <v>45930</v>
      </c>
      <c r="K4140">
        <v>0</v>
      </c>
      <c r="L4140" s="1">
        <f t="shared" si="256"/>
        <v>5.6</v>
      </c>
      <c r="M4140" s="1" t="str">
        <f t="shared" si="257"/>
        <v/>
      </c>
      <c r="N4140" s="2">
        <f t="shared" si="258"/>
        <v>45901</v>
      </c>
      <c r="O4140" t="str">
        <f t="shared" si="259"/>
        <v>pes</v>
      </c>
    </row>
    <row r="4141" spans="1:15" hidden="1" x14ac:dyDescent="0.25">
      <c r="A4141">
        <v>11629</v>
      </c>
      <c r="B4141" s="11">
        <v>4029900112244</v>
      </c>
      <c r="C4141" s="1" t="s">
        <v>655</v>
      </c>
      <c r="D4141" s="1" t="s">
        <v>36</v>
      </c>
      <c r="E4141" s="1" t="s">
        <v>37</v>
      </c>
      <c r="F4141">
        <v>13.6</v>
      </c>
      <c r="G4141">
        <v>1</v>
      </c>
      <c r="H4141" s="1" t="s">
        <v>14</v>
      </c>
      <c r="I4141" s="1" t="s">
        <v>15</v>
      </c>
      <c r="J4141" s="12">
        <v>45930</v>
      </c>
      <c r="K4141">
        <v>0</v>
      </c>
      <c r="L4141" s="1">
        <f t="shared" si="256"/>
        <v>13.6</v>
      </c>
      <c r="M4141" s="1" t="str">
        <f t="shared" si="257"/>
        <v/>
      </c>
      <c r="N4141" s="2">
        <f t="shared" si="258"/>
        <v>45901</v>
      </c>
      <c r="O4141" t="str">
        <f t="shared" si="259"/>
        <v>mačka</v>
      </c>
    </row>
    <row r="4142" spans="1:15" x14ac:dyDescent="0.25">
      <c r="A4142">
        <v>11630</v>
      </c>
      <c r="B4142" s="11">
        <v>4022345678908</v>
      </c>
      <c r="C4142" s="1" t="s">
        <v>363</v>
      </c>
      <c r="D4142" s="1" t="s">
        <v>21</v>
      </c>
      <c r="E4142" s="1" t="s">
        <v>69</v>
      </c>
      <c r="F4142">
        <v>10</v>
      </c>
      <c r="G4142">
        <v>1</v>
      </c>
      <c r="H4142" s="1" t="s">
        <v>14</v>
      </c>
      <c r="I4142" s="1" t="s">
        <v>15</v>
      </c>
      <c r="J4142" s="12">
        <v>45930</v>
      </c>
      <c r="K4142">
        <v>0</v>
      </c>
      <c r="L4142" s="1">
        <f t="shared" si="256"/>
        <v>10</v>
      </c>
      <c r="M4142" s="1" t="str">
        <f t="shared" si="257"/>
        <v/>
      </c>
      <c r="N4142" s="2">
        <f t="shared" si="258"/>
        <v>45901</v>
      </c>
      <c r="O4142" t="str">
        <f t="shared" si="259"/>
        <v>pes</v>
      </c>
    </row>
    <row r="4143" spans="1:15" hidden="1" x14ac:dyDescent="0.25">
      <c r="A4143">
        <v>11631</v>
      </c>
      <c r="B4143" s="11">
        <v>4061234567805</v>
      </c>
      <c r="C4143" s="1" t="s">
        <v>749</v>
      </c>
      <c r="D4143" s="1" t="s">
        <v>36</v>
      </c>
      <c r="E4143" s="1" t="s">
        <v>141</v>
      </c>
      <c r="F4143">
        <v>12.8</v>
      </c>
      <c r="G4143">
        <v>1</v>
      </c>
      <c r="H4143" s="1" t="s">
        <v>18</v>
      </c>
      <c r="I4143" s="1" t="s">
        <v>846</v>
      </c>
      <c r="J4143" s="12">
        <v>45930</v>
      </c>
      <c r="K4143">
        <v>0</v>
      </c>
      <c r="L4143" s="1">
        <f t="shared" si="256"/>
        <v>12.8</v>
      </c>
      <c r="M4143" s="1">
        <f t="shared" si="257"/>
        <v>4</v>
      </c>
      <c r="N4143" s="2">
        <f t="shared" si="258"/>
        <v>45901</v>
      </c>
      <c r="O4143" t="str">
        <f t="shared" si="259"/>
        <v>mačka</v>
      </c>
    </row>
    <row r="4144" spans="1:15" x14ac:dyDescent="0.25">
      <c r="A4144">
        <v>11632</v>
      </c>
      <c r="B4144" s="11">
        <v>4013456789017</v>
      </c>
      <c r="C4144" s="1" t="s">
        <v>11</v>
      </c>
      <c r="D4144" s="1" t="s">
        <v>12</v>
      </c>
      <c r="E4144" s="1" t="s">
        <v>13</v>
      </c>
      <c r="F4144">
        <v>6</v>
      </c>
      <c r="G4144">
        <v>2</v>
      </c>
      <c r="H4144" s="1" t="s">
        <v>14</v>
      </c>
      <c r="I4144" s="1" t="s">
        <v>15</v>
      </c>
      <c r="J4144" s="12">
        <v>45930</v>
      </c>
      <c r="K4144">
        <v>0</v>
      </c>
      <c r="L4144" s="1">
        <f t="shared" si="256"/>
        <v>12</v>
      </c>
      <c r="M4144" s="1" t="str">
        <f t="shared" si="257"/>
        <v/>
      </c>
      <c r="N4144" s="2">
        <f t="shared" si="258"/>
        <v>45901</v>
      </c>
      <c r="O4144" t="str">
        <f t="shared" si="259"/>
        <v>pes</v>
      </c>
    </row>
    <row r="4145" spans="1:15" x14ac:dyDescent="0.25">
      <c r="A4145">
        <v>11633</v>
      </c>
      <c r="B4145" s="11">
        <v>4027788990013</v>
      </c>
      <c r="C4145" s="1" t="s">
        <v>43</v>
      </c>
      <c r="D4145" s="1" t="s">
        <v>21</v>
      </c>
      <c r="E4145" s="1" t="s">
        <v>22</v>
      </c>
      <c r="F4145">
        <v>8</v>
      </c>
      <c r="G4145">
        <v>1</v>
      </c>
      <c r="H4145" s="1" t="s">
        <v>14</v>
      </c>
      <c r="I4145" s="1" t="s">
        <v>15</v>
      </c>
      <c r="J4145" s="12">
        <v>45930</v>
      </c>
      <c r="K4145">
        <v>0</v>
      </c>
      <c r="L4145" s="1">
        <f t="shared" si="256"/>
        <v>8</v>
      </c>
      <c r="M4145" s="1" t="str">
        <f t="shared" si="257"/>
        <v/>
      </c>
      <c r="N4145" s="2">
        <f t="shared" si="258"/>
        <v>45901</v>
      </c>
      <c r="O4145" t="str">
        <f t="shared" si="259"/>
        <v>pes</v>
      </c>
    </row>
    <row r="4146" spans="1:15" hidden="1" x14ac:dyDescent="0.25">
      <c r="A4146">
        <v>11634</v>
      </c>
      <c r="B4146" s="11">
        <v>4056789012345</v>
      </c>
      <c r="C4146" s="1" t="s">
        <v>47</v>
      </c>
      <c r="D4146" s="1" t="s">
        <v>29</v>
      </c>
      <c r="E4146" s="1" t="s">
        <v>37</v>
      </c>
      <c r="F4146">
        <v>2.4</v>
      </c>
      <c r="G4146">
        <v>4</v>
      </c>
      <c r="H4146" s="1" t="s">
        <v>14</v>
      </c>
      <c r="I4146" s="1" t="s">
        <v>15</v>
      </c>
      <c r="J4146" s="12">
        <v>45930</v>
      </c>
      <c r="K4146">
        <v>0</v>
      </c>
      <c r="L4146" s="1">
        <f t="shared" si="256"/>
        <v>9.6</v>
      </c>
      <c r="M4146" s="1" t="str">
        <f t="shared" si="257"/>
        <v/>
      </c>
      <c r="N4146" s="2">
        <f t="shared" si="258"/>
        <v>45901</v>
      </c>
      <c r="O4146" t="str">
        <f t="shared" si="259"/>
        <v>mačka</v>
      </c>
    </row>
    <row r="4147" spans="1:15" x14ac:dyDescent="0.25">
      <c r="A4147">
        <v>11635</v>
      </c>
      <c r="B4147" s="11">
        <v>4017890123450</v>
      </c>
      <c r="C4147" s="1" t="s">
        <v>65</v>
      </c>
      <c r="D4147" s="1" t="s">
        <v>39</v>
      </c>
      <c r="E4147" s="1" t="s">
        <v>22</v>
      </c>
      <c r="F4147">
        <v>7.6</v>
      </c>
      <c r="G4147">
        <v>1</v>
      </c>
      <c r="H4147" s="1" t="s">
        <v>14</v>
      </c>
      <c r="I4147" s="1" t="s">
        <v>15</v>
      </c>
      <c r="J4147" s="12">
        <v>45930</v>
      </c>
      <c r="K4147">
        <v>0</v>
      </c>
      <c r="L4147" s="1">
        <f t="shared" si="256"/>
        <v>7.6</v>
      </c>
      <c r="M4147" s="1" t="str">
        <f t="shared" si="257"/>
        <v/>
      </c>
      <c r="N4147" s="2">
        <f t="shared" si="258"/>
        <v>45901</v>
      </c>
      <c r="O4147" t="str">
        <f t="shared" si="259"/>
        <v>pes</v>
      </c>
    </row>
    <row r="4148" spans="1:15" x14ac:dyDescent="0.25">
      <c r="A4148">
        <v>11636</v>
      </c>
      <c r="B4148" s="11">
        <v>4028899001126</v>
      </c>
      <c r="C4148" s="1" t="s">
        <v>16</v>
      </c>
      <c r="D4148" s="1" t="s">
        <v>12</v>
      </c>
      <c r="E4148" s="1" t="s">
        <v>17</v>
      </c>
      <c r="F4148">
        <v>2.8</v>
      </c>
      <c r="G4148">
        <v>3</v>
      </c>
      <c r="H4148" s="1" t="s">
        <v>18</v>
      </c>
      <c r="I4148" s="1" t="s">
        <v>847</v>
      </c>
      <c r="J4148" s="12">
        <v>45930</v>
      </c>
      <c r="K4148">
        <v>0</v>
      </c>
      <c r="L4148" s="1">
        <f t="shared" si="256"/>
        <v>8.3999999999999986</v>
      </c>
      <c r="M4148" s="1">
        <f t="shared" si="257"/>
        <v>4</v>
      </c>
      <c r="N4148" s="2">
        <f t="shared" si="258"/>
        <v>45901</v>
      </c>
      <c r="O4148" t="str">
        <f t="shared" si="259"/>
        <v>pes</v>
      </c>
    </row>
    <row r="4149" spans="1:15" hidden="1" x14ac:dyDescent="0.25">
      <c r="A4149">
        <v>11637</v>
      </c>
      <c r="B4149" s="11">
        <v>4069012345682</v>
      </c>
      <c r="C4149" s="1" t="s">
        <v>143</v>
      </c>
      <c r="D4149" s="1" t="s">
        <v>144</v>
      </c>
      <c r="E4149" s="1" t="s">
        <v>30</v>
      </c>
      <c r="F4149">
        <v>26</v>
      </c>
      <c r="G4149">
        <v>1</v>
      </c>
      <c r="H4149" s="1" t="s">
        <v>14</v>
      </c>
      <c r="I4149" s="1" t="s">
        <v>15</v>
      </c>
      <c r="J4149" s="12">
        <v>45930</v>
      </c>
      <c r="K4149">
        <v>0</v>
      </c>
      <c r="L4149" s="1">
        <f t="shared" si="256"/>
        <v>26</v>
      </c>
      <c r="M4149" s="1" t="str">
        <f t="shared" si="257"/>
        <v/>
      </c>
      <c r="N4149" s="2">
        <f t="shared" si="258"/>
        <v>45901</v>
      </c>
      <c r="O4149" t="str">
        <f t="shared" si="259"/>
        <v>mačka</v>
      </c>
    </row>
    <row r="4150" spans="1:15" hidden="1" x14ac:dyDescent="0.25">
      <c r="A4150">
        <v>11638</v>
      </c>
      <c r="B4150" s="11">
        <v>4019876501234</v>
      </c>
      <c r="C4150" s="1" t="s">
        <v>674</v>
      </c>
      <c r="D4150" s="1" t="s">
        <v>29</v>
      </c>
      <c r="E4150" s="1" t="s">
        <v>37</v>
      </c>
      <c r="F4150">
        <v>1.84</v>
      </c>
      <c r="G4150">
        <v>5</v>
      </c>
      <c r="H4150" s="1" t="s">
        <v>23</v>
      </c>
      <c r="I4150" s="1" t="s">
        <v>848</v>
      </c>
      <c r="J4150" s="12">
        <v>45930</v>
      </c>
      <c r="K4150">
        <v>0</v>
      </c>
      <c r="L4150" s="1">
        <f t="shared" si="256"/>
        <v>9.2000000000000011</v>
      </c>
      <c r="M4150" s="1">
        <f t="shared" si="257"/>
        <v>5</v>
      </c>
      <c r="N4150" s="2">
        <f t="shared" si="258"/>
        <v>45901</v>
      </c>
      <c r="O4150" t="str">
        <f t="shared" si="259"/>
        <v>mačka</v>
      </c>
    </row>
    <row r="4151" spans="1:15" hidden="1" x14ac:dyDescent="0.25">
      <c r="A4151">
        <v>11639</v>
      </c>
      <c r="B4151" s="11">
        <v>4026677889902</v>
      </c>
      <c r="C4151" s="1" t="s">
        <v>52</v>
      </c>
      <c r="D4151" s="1" t="s">
        <v>53</v>
      </c>
      <c r="E4151" s="1" t="s">
        <v>54</v>
      </c>
      <c r="F4151">
        <v>7.6</v>
      </c>
      <c r="G4151">
        <v>1</v>
      </c>
      <c r="H4151" s="1" t="s">
        <v>14</v>
      </c>
      <c r="I4151" s="1" t="s">
        <v>15</v>
      </c>
      <c r="J4151" s="12">
        <v>45930</v>
      </c>
      <c r="K4151">
        <v>0</v>
      </c>
      <c r="L4151" s="1">
        <f t="shared" si="256"/>
        <v>7.6</v>
      </c>
      <c r="M4151" s="1" t="str">
        <f t="shared" si="257"/>
        <v/>
      </c>
      <c r="N4151" s="2">
        <f t="shared" si="258"/>
        <v>45901</v>
      </c>
      <c r="O4151" t="str">
        <f t="shared" si="259"/>
        <v>iné</v>
      </c>
    </row>
    <row r="4152" spans="1:15" x14ac:dyDescent="0.25">
      <c r="A4152">
        <v>11640</v>
      </c>
      <c r="B4152" s="11">
        <v>4013456789017</v>
      </c>
      <c r="C4152" s="1" t="s">
        <v>11</v>
      </c>
      <c r="D4152" s="1" t="s">
        <v>12</v>
      </c>
      <c r="E4152" s="1" t="s">
        <v>13</v>
      </c>
      <c r="F4152">
        <v>6</v>
      </c>
      <c r="G4152">
        <v>1</v>
      </c>
      <c r="H4152" s="1" t="s">
        <v>14</v>
      </c>
      <c r="I4152" s="1" t="s">
        <v>15</v>
      </c>
      <c r="J4152" s="12">
        <v>45930</v>
      </c>
      <c r="K4152">
        <v>0</v>
      </c>
      <c r="L4152" s="1">
        <f t="shared" si="256"/>
        <v>6</v>
      </c>
      <c r="M4152" s="1" t="str">
        <f t="shared" si="257"/>
        <v/>
      </c>
      <c r="N4152" s="2">
        <f t="shared" si="258"/>
        <v>45901</v>
      </c>
      <c r="O4152" t="str">
        <f t="shared" si="259"/>
        <v>pes</v>
      </c>
    </row>
    <row r="4153" spans="1:15" x14ac:dyDescent="0.25">
      <c r="A4153">
        <v>11641</v>
      </c>
      <c r="B4153" s="11">
        <v>4040123456795</v>
      </c>
      <c r="C4153" s="1" t="s">
        <v>20</v>
      </c>
      <c r="D4153" s="1" t="s">
        <v>21</v>
      </c>
      <c r="E4153" s="1" t="s">
        <v>22</v>
      </c>
      <c r="F4153">
        <v>8.8000000000000007</v>
      </c>
      <c r="G4153">
        <v>1</v>
      </c>
      <c r="H4153" s="1" t="s">
        <v>18</v>
      </c>
      <c r="I4153" s="1" t="s">
        <v>833</v>
      </c>
      <c r="J4153" s="12">
        <v>45930</v>
      </c>
      <c r="K4153">
        <v>0</v>
      </c>
      <c r="L4153" s="1">
        <f t="shared" si="256"/>
        <v>8.8000000000000007</v>
      </c>
      <c r="M4153" s="1">
        <f t="shared" si="257"/>
        <v>4</v>
      </c>
      <c r="N4153" s="2">
        <f t="shared" si="258"/>
        <v>45901</v>
      </c>
      <c r="O4153" t="str">
        <f t="shared" si="259"/>
        <v>pes</v>
      </c>
    </row>
    <row r="4154" spans="1:15" hidden="1" x14ac:dyDescent="0.25">
      <c r="A4154">
        <v>11642</v>
      </c>
      <c r="B4154" s="11">
        <v>4056789012345</v>
      </c>
      <c r="C4154" s="1" t="s">
        <v>47</v>
      </c>
      <c r="D4154" s="1" t="s">
        <v>29</v>
      </c>
      <c r="E4154" s="1" t="s">
        <v>37</v>
      </c>
      <c r="F4154">
        <v>2.4</v>
      </c>
      <c r="G4154">
        <v>3</v>
      </c>
      <c r="H4154" s="1" t="s">
        <v>14</v>
      </c>
      <c r="I4154" s="1" t="s">
        <v>15</v>
      </c>
      <c r="J4154" s="12">
        <v>45930</v>
      </c>
      <c r="K4154">
        <v>0</v>
      </c>
      <c r="L4154" s="1">
        <f t="shared" si="256"/>
        <v>7.1999999999999993</v>
      </c>
      <c r="M4154" s="1" t="str">
        <f t="shared" si="257"/>
        <v/>
      </c>
      <c r="N4154" s="2">
        <f t="shared" si="258"/>
        <v>45901</v>
      </c>
      <c r="O4154" t="str">
        <f t="shared" si="259"/>
        <v>mačka</v>
      </c>
    </row>
    <row r="4155" spans="1:15" x14ac:dyDescent="0.25">
      <c r="A4155">
        <v>11643</v>
      </c>
      <c r="B4155" s="11">
        <v>4017890123450</v>
      </c>
      <c r="C4155" s="1" t="s">
        <v>65</v>
      </c>
      <c r="D4155" s="1" t="s">
        <v>39</v>
      </c>
      <c r="E4155" s="1" t="s">
        <v>22</v>
      </c>
      <c r="F4155">
        <v>7.6</v>
      </c>
      <c r="G4155">
        <v>2</v>
      </c>
      <c r="H4155" s="1" t="s">
        <v>14</v>
      </c>
      <c r="I4155" s="1" t="s">
        <v>15</v>
      </c>
      <c r="J4155" s="12">
        <v>45930</v>
      </c>
      <c r="K4155">
        <v>0</v>
      </c>
      <c r="L4155" s="1">
        <f t="shared" si="256"/>
        <v>15.2</v>
      </c>
      <c r="M4155" s="1" t="str">
        <f t="shared" si="257"/>
        <v/>
      </c>
      <c r="N4155" s="2">
        <f t="shared" si="258"/>
        <v>45901</v>
      </c>
      <c r="O4155" t="str">
        <f t="shared" si="259"/>
        <v>pes</v>
      </c>
    </row>
    <row r="4156" spans="1:15" x14ac:dyDescent="0.25">
      <c r="A4156">
        <v>11644</v>
      </c>
      <c r="B4156" s="11">
        <v>4028899001126</v>
      </c>
      <c r="C4156" s="1" t="s">
        <v>16</v>
      </c>
      <c r="D4156" s="1" t="s">
        <v>12</v>
      </c>
      <c r="E4156" s="1" t="s">
        <v>17</v>
      </c>
      <c r="F4156">
        <v>2.8</v>
      </c>
      <c r="G4156">
        <v>2</v>
      </c>
      <c r="H4156" s="1" t="s">
        <v>14</v>
      </c>
      <c r="I4156" s="1" t="s">
        <v>15</v>
      </c>
      <c r="J4156" s="12">
        <v>45930</v>
      </c>
      <c r="K4156">
        <v>0</v>
      </c>
      <c r="L4156" s="1">
        <f t="shared" si="256"/>
        <v>5.6</v>
      </c>
      <c r="M4156" s="1" t="str">
        <f t="shared" si="257"/>
        <v/>
      </c>
      <c r="N4156" s="2">
        <f t="shared" si="258"/>
        <v>45901</v>
      </c>
      <c r="O4156" t="str">
        <f t="shared" si="259"/>
        <v>pes</v>
      </c>
    </row>
    <row r="4157" spans="1:15" x14ac:dyDescent="0.25">
      <c r="A4157">
        <v>11645</v>
      </c>
      <c r="B4157" s="11">
        <v>4057890123467</v>
      </c>
      <c r="C4157" s="1" t="s">
        <v>307</v>
      </c>
      <c r="D4157" s="1" t="s">
        <v>39</v>
      </c>
      <c r="E4157" s="1" t="s">
        <v>308</v>
      </c>
      <c r="F4157">
        <v>9.6</v>
      </c>
      <c r="G4157">
        <v>1</v>
      </c>
      <c r="H4157" s="1" t="s">
        <v>23</v>
      </c>
      <c r="I4157" s="1" t="s">
        <v>849</v>
      </c>
      <c r="J4157" s="12">
        <v>45930</v>
      </c>
      <c r="K4157">
        <v>0</v>
      </c>
      <c r="L4157" s="1">
        <f t="shared" si="256"/>
        <v>9.6</v>
      </c>
      <c r="M4157" s="1">
        <f t="shared" si="257"/>
        <v>5</v>
      </c>
      <c r="N4157" s="2">
        <f t="shared" si="258"/>
        <v>45901</v>
      </c>
      <c r="O4157" t="str">
        <f t="shared" si="259"/>
        <v>pes</v>
      </c>
    </row>
    <row r="4158" spans="1:15" x14ac:dyDescent="0.25">
      <c r="A4158">
        <v>11646</v>
      </c>
      <c r="B4158" s="11">
        <v>4028899001126</v>
      </c>
      <c r="C4158" s="1" t="s">
        <v>16</v>
      </c>
      <c r="D4158" s="1" t="s">
        <v>12</v>
      </c>
      <c r="E4158" s="1" t="s">
        <v>17</v>
      </c>
      <c r="F4158">
        <v>2.8</v>
      </c>
      <c r="G4158">
        <v>3</v>
      </c>
      <c r="H4158" s="1" t="s">
        <v>14</v>
      </c>
      <c r="I4158" s="1" t="s">
        <v>15</v>
      </c>
      <c r="J4158" s="12">
        <v>45930</v>
      </c>
      <c r="K4158">
        <v>0</v>
      </c>
      <c r="L4158" s="1">
        <f t="shared" si="256"/>
        <v>8.3999999999999986</v>
      </c>
      <c r="M4158" s="1" t="str">
        <f t="shared" si="257"/>
        <v/>
      </c>
      <c r="N4158" s="2">
        <f t="shared" si="258"/>
        <v>45901</v>
      </c>
      <c r="O4158" t="str">
        <f t="shared" si="259"/>
        <v>pes</v>
      </c>
    </row>
    <row r="4159" spans="1:15" x14ac:dyDescent="0.25">
      <c r="A4159">
        <v>11647</v>
      </c>
      <c r="B4159" s="11">
        <v>4013456789017</v>
      </c>
      <c r="C4159" s="1" t="s">
        <v>11</v>
      </c>
      <c r="D4159" s="1" t="s">
        <v>12</v>
      </c>
      <c r="E4159" s="1" t="s">
        <v>13</v>
      </c>
      <c r="F4159">
        <v>6</v>
      </c>
      <c r="G4159">
        <v>2</v>
      </c>
      <c r="H4159" s="1" t="s">
        <v>14</v>
      </c>
      <c r="I4159" s="1" t="s">
        <v>15</v>
      </c>
      <c r="J4159" s="12">
        <v>45930</v>
      </c>
      <c r="K4159">
        <v>0</v>
      </c>
      <c r="L4159" s="1">
        <f t="shared" si="256"/>
        <v>12</v>
      </c>
      <c r="M4159" s="1" t="str">
        <f t="shared" si="257"/>
        <v/>
      </c>
      <c r="N4159" s="2">
        <f t="shared" si="258"/>
        <v>45901</v>
      </c>
      <c r="O4159" t="str">
        <f t="shared" si="259"/>
        <v>pes</v>
      </c>
    </row>
    <row r="4160" spans="1:15" x14ac:dyDescent="0.25">
      <c r="A4160">
        <v>11648</v>
      </c>
      <c r="B4160" s="11">
        <v>4027788990013</v>
      </c>
      <c r="C4160" s="1" t="s">
        <v>43</v>
      </c>
      <c r="D4160" s="1" t="s">
        <v>21</v>
      </c>
      <c r="E4160" s="1" t="s">
        <v>22</v>
      </c>
      <c r="F4160">
        <v>8</v>
      </c>
      <c r="G4160">
        <v>1</v>
      </c>
      <c r="H4160" s="1" t="s">
        <v>14</v>
      </c>
      <c r="I4160" s="1" t="s">
        <v>15</v>
      </c>
      <c r="J4160" s="12">
        <v>45930</v>
      </c>
      <c r="K4160">
        <v>0</v>
      </c>
      <c r="L4160" s="1">
        <f t="shared" si="256"/>
        <v>8</v>
      </c>
      <c r="M4160" s="1" t="str">
        <f t="shared" si="257"/>
        <v/>
      </c>
      <c r="N4160" s="2">
        <f t="shared" si="258"/>
        <v>45901</v>
      </c>
      <c r="O4160" t="str">
        <f t="shared" si="259"/>
        <v>pes</v>
      </c>
    </row>
    <row r="4161" spans="1:15" hidden="1" x14ac:dyDescent="0.25">
      <c r="A4161">
        <v>11649</v>
      </c>
      <c r="B4161" s="11">
        <v>4019876501234</v>
      </c>
      <c r="C4161" s="1" t="s">
        <v>674</v>
      </c>
      <c r="D4161" s="1" t="s">
        <v>29</v>
      </c>
      <c r="E4161" s="1" t="s">
        <v>37</v>
      </c>
      <c r="F4161">
        <v>1.84</v>
      </c>
      <c r="G4161">
        <v>4</v>
      </c>
      <c r="H4161" s="1" t="s">
        <v>18</v>
      </c>
      <c r="I4161" s="1" t="s">
        <v>850</v>
      </c>
      <c r="J4161" s="12">
        <v>45930</v>
      </c>
      <c r="K4161">
        <v>0</v>
      </c>
      <c r="L4161" s="1">
        <f t="shared" si="256"/>
        <v>7.36</v>
      </c>
      <c r="M4161" s="1">
        <f t="shared" si="257"/>
        <v>4</v>
      </c>
      <c r="N4161" s="2">
        <f t="shared" si="258"/>
        <v>45901</v>
      </c>
      <c r="O4161" t="str">
        <f t="shared" si="259"/>
        <v>mačka</v>
      </c>
    </row>
    <row r="4162" spans="1:15" x14ac:dyDescent="0.25">
      <c r="A4162">
        <v>11650</v>
      </c>
      <c r="B4162" s="11">
        <v>4022345678908</v>
      </c>
      <c r="C4162" s="1" t="s">
        <v>363</v>
      </c>
      <c r="D4162" s="1" t="s">
        <v>21</v>
      </c>
      <c r="E4162" s="1" t="s">
        <v>69</v>
      </c>
      <c r="F4162">
        <v>10</v>
      </c>
      <c r="G4162">
        <v>1</v>
      </c>
      <c r="H4162" s="1" t="s">
        <v>14</v>
      </c>
      <c r="I4162" s="1" t="s">
        <v>15</v>
      </c>
      <c r="J4162" s="12">
        <v>45930</v>
      </c>
      <c r="K4162">
        <v>0</v>
      </c>
      <c r="L4162" s="1">
        <f t="shared" ref="L4162:L4225" si="260">F4162*G4162</f>
        <v>10</v>
      </c>
      <c r="M4162" s="1" t="str">
        <f t="shared" ref="M4162:M4225" si="261">IF(H4162="NULL", "",VALUE(H4162))</f>
        <v/>
      </c>
      <c r="N4162" s="2">
        <f t="shared" ref="N4162:N4225" si="262">DATE(YEAR(J4162),MONTH(J4162),1)</f>
        <v>45901</v>
      </c>
      <c r="O4162" t="str">
        <f t="shared" ref="O4162:O4225" si="263">IF(ISNUMBER(SEARCH("Mačky",D4162)),"mačka",IF(ISNUMBER(SEARCH("Psy",D4162)),"pes","iné"))</f>
        <v>pes</v>
      </c>
    </row>
    <row r="4163" spans="1:15" hidden="1" x14ac:dyDescent="0.25">
      <c r="A4163">
        <v>11651</v>
      </c>
      <c r="B4163" s="11">
        <v>4025566778891</v>
      </c>
      <c r="C4163" s="1" t="s">
        <v>320</v>
      </c>
      <c r="D4163" s="1" t="s">
        <v>317</v>
      </c>
      <c r="E4163" s="1" t="s">
        <v>30</v>
      </c>
      <c r="F4163">
        <v>51.64</v>
      </c>
      <c r="G4163">
        <v>1</v>
      </c>
      <c r="H4163" s="1" t="s">
        <v>14</v>
      </c>
      <c r="I4163" s="1" t="s">
        <v>15</v>
      </c>
      <c r="J4163" s="12">
        <v>45930</v>
      </c>
      <c r="K4163">
        <v>0</v>
      </c>
      <c r="L4163" s="1">
        <f t="shared" si="260"/>
        <v>51.64</v>
      </c>
      <c r="M4163" s="1" t="str">
        <f t="shared" si="261"/>
        <v/>
      </c>
      <c r="N4163" s="2">
        <f t="shared" si="262"/>
        <v>45901</v>
      </c>
      <c r="O4163" t="str">
        <f t="shared" si="263"/>
        <v>mačka</v>
      </c>
    </row>
    <row r="4164" spans="1:15" hidden="1" x14ac:dyDescent="0.25">
      <c r="A4164">
        <v>11652</v>
      </c>
      <c r="B4164" s="11">
        <v>4050123456794</v>
      </c>
      <c r="C4164" s="1" t="s">
        <v>41</v>
      </c>
      <c r="D4164" s="1" t="s">
        <v>36</v>
      </c>
      <c r="E4164" s="1" t="s">
        <v>42</v>
      </c>
      <c r="F4164">
        <v>7.2</v>
      </c>
      <c r="G4164">
        <v>1</v>
      </c>
      <c r="H4164" s="1" t="s">
        <v>14</v>
      </c>
      <c r="I4164" s="1" t="s">
        <v>15</v>
      </c>
      <c r="J4164" s="12">
        <v>45930</v>
      </c>
      <c r="K4164">
        <v>0</v>
      </c>
      <c r="L4164" s="1">
        <f t="shared" si="260"/>
        <v>7.2</v>
      </c>
      <c r="M4164" s="1" t="str">
        <f t="shared" si="261"/>
        <v/>
      </c>
      <c r="N4164" s="2">
        <f t="shared" si="262"/>
        <v>45901</v>
      </c>
      <c r="O4164" t="str">
        <f t="shared" si="263"/>
        <v>mačka</v>
      </c>
    </row>
    <row r="4165" spans="1:15" x14ac:dyDescent="0.25">
      <c r="A4165">
        <v>11653</v>
      </c>
      <c r="B4165" s="11">
        <v>4017890123450</v>
      </c>
      <c r="C4165" s="1" t="s">
        <v>65</v>
      </c>
      <c r="D4165" s="1" t="s">
        <v>39</v>
      </c>
      <c r="E4165" s="1" t="s">
        <v>22</v>
      </c>
      <c r="F4165">
        <v>7.6</v>
      </c>
      <c r="G4165">
        <v>1</v>
      </c>
      <c r="H4165" s="1" t="s">
        <v>33</v>
      </c>
      <c r="I4165" s="1" t="s">
        <v>851</v>
      </c>
      <c r="J4165" s="12">
        <v>45930</v>
      </c>
      <c r="K4165">
        <v>0</v>
      </c>
      <c r="L4165" s="1">
        <f t="shared" si="260"/>
        <v>7.6</v>
      </c>
      <c r="M4165" s="1">
        <f t="shared" si="261"/>
        <v>3</v>
      </c>
      <c r="N4165" s="2">
        <f t="shared" si="262"/>
        <v>45901</v>
      </c>
      <c r="O4165" t="str">
        <f t="shared" si="263"/>
        <v>pes</v>
      </c>
    </row>
    <row r="4166" spans="1:15" x14ac:dyDescent="0.25">
      <c r="A4166">
        <v>11654</v>
      </c>
      <c r="B4166" s="11">
        <v>4028899001126</v>
      </c>
      <c r="C4166" s="1" t="s">
        <v>16</v>
      </c>
      <c r="D4166" s="1" t="s">
        <v>12</v>
      </c>
      <c r="E4166" s="1" t="s">
        <v>17</v>
      </c>
      <c r="F4166">
        <v>2.8</v>
      </c>
      <c r="G4166">
        <v>2</v>
      </c>
      <c r="H4166" s="1" t="s">
        <v>14</v>
      </c>
      <c r="I4166" s="1" t="s">
        <v>15</v>
      </c>
      <c r="J4166" s="12">
        <v>45930</v>
      </c>
      <c r="K4166">
        <v>0</v>
      </c>
      <c r="L4166" s="1">
        <f t="shared" si="260"/>
        <v>5.6</v>
      </c>
      <c r="M4166" s="1" t="str">
        <f t="shared" si="261"/>
        <v/>
      </c>
      <c r="N4166" s="2">
        <f t="shared" si="262"/>
        <v>45901</v>
      </c>
      <c r="O4166" t="str">
        <f t="shared" si="263"/>
        <v>pes</v>
      </c>
    </row>
    <row r="4167" spans="1:15" x14ac:dyDescent="0.25">
      <c r="A4167">
        <v>11655</v>
      </c>
      <c r="B4167" s="11">
        <v>4013456789017</v>
      </c>
      <c r="C4167" s="1" t="s">
        <v>11</v>
      </c>
      <c r="D4167" s="1" t="s">
        <v>12</v>
      </c>
      <c r="E4167" s="1" t="s">
        <v>13</v>
      </c>
      <c r="F4167">
        <v>6</v>
      </c>
      <c r="G4167">
        <v>2</v>
      </c>
      <c r="H4167" s="1" t="s">
        <v>14</v>
      </c>
      <c r="I4167" s="1" t="s">
        <v>15</v>
      </c>
      <c r="J4167" s="12">
        <v>45930</v>
      </c>
      <c r="K4167">
        <v>0</v>
      </c>
      <c r="L4167" s="1">
        <f t="shared" si="260"/>
        <v>12</v>
      </c>
      <c r="M4167" s="1" t="str">
        <f t="shared" si="261"/>
        <v/>
      </c>
      <c r="N4167" s="2">
        <f t="shared" si="262"/>
        <v>45901</v>
      </c>
      <c r="O4167" t="str">
        <f t="shared" si="263"/>
        <v>pes</v>
      </c>
    </row>
    <row r="4168" spans="1:15" hidden="1" x14ac:dyDescent="0.25">
      <c r="A4168">
        <v>11656</v>
      </c>
      <c r="B4168" s="11">
        <v>4029900112244</v>
      </c>
      <c r="C4168" s="1" t="s">
        <v>655</v>
      </c>
      <c r="D4168" s="1" t="s">
        <v>36</v>
      </c>
      <c r="E4168" s="1" t="s">
        <v>37</v>
      </c>
      <c r="F4168">
        <v>13.6</v>
      </c>
      <c r="G4168">
        <v>1</v>
      </c>
      <c r="H4168" s="1" t="s">
        <v>14</v>
      </c>
      <c r="I4168" s="1" t="s">
        <v>15</v>
      </c>
      <c r="J4168" s="12">
        <v>45930</v>
      </c>
      <c r="K4168">
        <v>0</v>
      </c>
      <c r="L4168" s="1">
        <f t="shared" si="260"/>
        <v>13.6</v>
      </c>
      <c r="M4168" s="1" t="str">
        <f t="shared" si="261"/>
        <v/>
      </c>
      <c r="N4168" s="2">
        <f t="shared" si="262"/>
        <v>45901</v>
      </c>
      <c r="O4168" t="str">
        <f t="shared" si="263"/>
        <v>mačka</v>
      </c>
    </row>
    <row r="4169" spans="1:15" hidden="1" x14ac:dyDescent="0.25">
      <c r="A4169">
        <v>11657</v>
      </c>
      <c r="B4169" s="11">
        <v>4026677889902</v>
      </c>
      <c r="C4169" s="1" t="s">
        <v>52</v>
      </c>
      <c r="D4169" s="1" t="s">
        <v>53</v>
      </c>
      <c r="E4169" s="1" t="s">
        <v>54</v>
      </c>
      <c r="F4169">
        <v>7.6</v>
      </c>
      <c r="G4169">
        <v>1</v>
      </c>
      <c r="H4169" s="1" t="s">
        <v>18</v>
      </c>
      <c r="I4169" s="1" t="s">
        <v>852</v>
      </c>
      <c r="J4169" s="12">
        <v>45930</v>
      </c>
      <c r="K4169">
        <v>0</v>
      </c>
      <c r="L4169" s="1">
        <f t="shared" si="260"/>
        <v>7.6</v>
      </c>
      <c r="M4169" s="1">
        <f t="shared" si="261"/>
        <v>4</v>
      </c>
      <c r="N4169" s="2">
        <f t="shared" si="262"/>
        <v>45901</v>
      </c>
      <c r="O4169" t="str">
        <f t="shared" si="263"/>
        <v>iné</v>
      </c>
    </row>
    <row r="4170" spans="1:15" x14ac:dyDescent="0.25">
      <c r="A4170">
        <v>11658</v>
      </c>
      <c r="B4170" s="11">
        <v>4063456789014</v>
      </c>
      <c r="C4170" s="1" t="s">
        <v>60</v>
      </c>
      <c r="D4170" s="1" t="s">
        <v>12</v>
      </c>
      <c r="E4170" s="1" t="s">
        <v>61</v>
      </c>
      <c r="F4170">
        <v>36</v>
      </c>
      <c r="G4170">
        <v>1</v>
      </c>
      <c r="H4170" s="1" t="s">
        <v>14</v>
      </c>
      <c r="I4170" s="1" t="s">
        <v>15</v>
      </c>
      <c r="J4170" s="12">
        <v>45930</v>
      </c>
      <c r="K4170">
        <v>0</v>
      </c>
      <c r="L4170" s="1">
        <f t="shared" si="260"/>
        <v>36</v>
      </c>
      <c r="M4170" s="1" t="str">
        <f t="shared" si="261"/>
        <v/>
      </c>
      <c r="N4170" s="2">
        <f t="shared" si="262"/>
        <v>45901</v>
      </c>
      <c r="O4170" t="str">
        <f t="shared" si="263"/>
        <v>pes</v>
      </c>
    </row>
    <row r="4171" spans="1:15" hidden="1" x14ac:dyDescent="0.25">
      <c r="A4171">
        <v>11659</v>
      </c>
      <c r="B4171" s="11">
        <v>4056789012345</v>
      </c>
      <c r="C4171" s="1" t="s">
        <v>47</v>
      </c>
      <c r="D4171" s="1" t="s">
        <v>29</v>
      </c>
      <c r="E4171" s="1" t="s">
        <v>37</v>
      </c>
      <c r="F4171">
        <v>2.4</v>
      </c>
      <c r="G4171">
        <v>4</v>
      </c>
      <c r="H4171" s="1" t="s">
        <v>14</v>
      </c>
      <c r="I4171" s="1" t="s">
        <v>15</v>
      </c>
      <c r="J4171" s="12">
        <v>45930</v>
      </c>
      <c r="K4171">
        <v>0</v>
      </c>
      <c r="L4171" s="1">
        <f t="shared" si="260"/>
        <v>9.6</v>
      </c>
      <c r="M4171" s="1" t="str">
        <f t="shared" si="261"/>
        <v/>
      </c>
      <c r="N4171" s="2">
        <f t="shared" si="262"/>
        <v>45901</v>
      </c>
      <c r="O4171" t="str">
        <f t="shared" si="263"/>
        <v>mačka</v>
      </c>
    </row>
    <row r="4172" spans="1:15" x14ac:dyDescent="0.25">
      <c r="A4172">
        <v>11660</v>
      </c>
      <c r="B4172" s="11">
        <v>4017890123450</v>
      </c>
      <c r="C4172" s="1" t="s">
        <v>65</v>
      </c>
      <c r="D4172" s="1" t="s">
        <v>39</v>
      </c>
      <c r="E4172" s="1" t="s">
        <v>22</v>
      </c>
      <c r="F4172">
        <v>7.6</v>
      </c>
      <c r="G4172">
        <v>1</v>
      </c>
      <c r="H4172" s="1" t="s">
        <v>14</v>
      </c>
      <c r="I4172" s="1" t="s">
        <v>15</v>
      </c>
      <c r="J4172" s="12">
        <v>45930</v>
      </c>
      <c r="K4172">
        <v>0</v>
      </c>
      <c r="L4172" s="1">
        <f t="shared" si="260"/>
        <v>7.6</v>
      </c>
      <c r="M4172" s="1" t="str">
        <f t="shared" si="261"/>
        <v/>
      </c>
      <c r="N4172" s="2">
        <f t="shared" si="262"/>
        <v>45901</v>
      </c>
      <c r="O4172" t="str">
        <f t="shared" si="263"/>
        <v>pes</v>
      </c>
    </row>
    <row r="4173" spans="1:15" x14ac:dyDescent="0.25">
      <c r="A4173">
        <v>11661</v>
      </c>
      <c r="B4173" s="11">
        <v>4028899001126</v>
      </c>
      <c r="C4173" s="1" t="s">
        <v>16</v>
      </c>
      <c r="D4173" s="1" t="s">
        <v>12</v>
      </c>
      <c r="E4173" s="1" t="s">
        <v>17</v>
      </c>
      <c r="F4173">
        <v>2.8</v>
      </c>
      <c r="G4173">
        <v>3</v>
      </c>
      <c r="H4173" s="1" t="s">
        <v>14</v>
      </c>
      <c r="I4173" s="1" t="s">
        <v>15</v>
      </c>
      <c r="J4173" s="12">
        <v>45930</v>
      </c>
      <c r="K4173">
        <v>0</v>
      </c>
      <c r="L4173" s="1">
        <f t="shared" si="260"/>
        <v>8.3999999999999986</v>
      </c>
      <c r="M4173" s="1" t="str">
        <f t="shared" si="261"/>
        <v/>
      </c>
      <c r="N4173" s="2">
        <f t="shared" si="262"/>
        <v>45901</v>
      </c>
      <c r="O4173" t="str">
        <f t="shared" si="263"/>
        <v>pes</v>
      </c>
    </row>
    <row r="4174" spans="1:15" x14ac:dyDescent="0.25">
      <c r="A4174">
        <v>11662</v>
      </c>
      <c r="B4174" s="11">
        <v>4013456789017</v>
      </c>
      <c r="C4174" s="1" t="s">
        <v>11</v>
      </c>
      <c r="D4174" s="1" t="s">
        <v>12</v>
      </c>
      <c r="E4174" s="1" t="s">
        <v>13</v>
      </c>
      <c r="F4174">
        <v>6</v>
      </c>
      <c r="G4174">
        <v>2</v>
      </c>
      <c r="H4174" s="1" t="s">
        <v>14</v>
      </c>
      <c r="I4174" s="1" t="s">
        <v>15</v>
      </c>
      <c r="J4174" s="12">
        <v>45930</v>
      </c>
      <c r="K4174">
        <v>0</v>
      </c>
      <c r="L4174" s="1">
        <f t="shared" si="260"/>
        <v>12</v>
      </c>
      <c r="M4174" s="1" t="str">
        <f t="shared" si="261"/>
        <v/>
      </c>
      <c r="N4174" s="2">
        <f t="shared" si="262"/>
        <v>45901</v>
      </c>
      <c r="O4174" t="str">
        <f t="shared" si="263"/>
        <v>pes</v>
      </c>
    </row>
    <row r="4175" spans="1:15" x14ac:dyDescent="0.25">
      <c r="A4175">
        <v>11663</v>
      </c>
      <c r="B4175" s="11">
        <v>4027788990013</v>
      </c>
      <c r="C4175" s="1" t="s">
        <v>43</v>
      </c>
      <c r="D4175" s="1" t="s">
        <v>21</v>
      </c>
      <c r="E4175" s="1" t="s">
        <v>22</v>
      </c>
      <c r="F4175">
        <v>8</v>
      </c>
      <c r="G4175">
        <v>1</v>
      </c>
      <c r="H4175" s="1" t="s">
        <v>14</v>
      </c>
      <c r="I4175" s="1" t="s">
        <v>15</v>
      </c>
      <c r="J4175" s="12">
        <v>45930</v>
      </c>
      <c r="K4175">
        <v>0</v>
      </c>
      <c r="L4175" s="1">
        <f t="shared" si="260"/>
        <v>8</v>
      </c>
      <c r="M4175" s="1" t="str">
        <f t="shared" si="261"/>
        <v/>
      </c>
      <c r="N4175" s="2">
        <f t="shared" si="262"/>
        <v>45901</v>
      </c>
      <c r="O4175" t="str">
        <f t="shared" si="263"/>
        <v>pes</v>
      </c>
    </row>
    <row r="4176" spans="1:15" hidden="1" x14ac:dyDescent="0.25">
      <c r="A4176">
        <v>11664</v>
      </c>
      <c r="B4176" s="11">
        <v>4029900112244</v>
      </c>
      <c r="C4176" s="1" t="s">
        <v>655</v>
      </c>
      <c r="D4176" s="1" t="s">
        <v>36</v>
      </c>
      <c r="E4176" s="1" t="s">
        <v>37</v>
      </c>
      <c r="F4176">
        <v>13.6</v>
      </c>
      <c r="G4176">
        <v>1</v>
      </c>
      <c r="H4176" s="1" t="s">
        <v>14</v>
      </c>
      <c r="I4176" s="1" t="s">
        <v>15</v>
      </c>
      <c r="J4176" s="12">
        <v>45930</v>
      </c>
      <c r="K4176">
        <v>0</v>
      </c>
      <c r="L4176" s="1">
        <f t="shared" si="260"/>
        <v>13.6</v>
      </c>
      <c r="M4176" s="1" t="str">
        <f t="shared" si="261"/>
        <v/>
      </c>
      <c r="N4176" s="2">
        <f t="shared" si="262"/>
        <v>45901</v>
      </c>
      <c r="O4176" t="str">
        <f t="shared" si="263"/>
        <v>mačka</v>
      </c>
    </row>
    <row r="4177" spans="1:15" hidden="1" x14ac:dyDescent="0.25">
      <c r="A4177">
        <v>11665</v>
      </c>
      <c r="B4177" s="11">
        <v>4069012345682</v>
      </c>
      <c r="C4177" s="1" t="s">
        <v>143</v>
      </c>
      <c r="D4177" s="1" t="s">
        <v>144</v>
      </c>
      <c r="E4177" s="1" t="s">
        <v>30</v>
      </c>
      <c r="F4177">
        <v>26</v>
      </c>
      <c r="G4177">
        <v>1</v>
      </c>
      <c r="H4177" s="1" t="s">
        <v>23</v>
      </c>
      <c r="I4177" s="1" t="s">
        <v>853</v>
      </c>
      <c r="J4177" s="12">
        <v>45930</v>
      </c>
      <c r="K4177">
        <v>0</v>
      </c>
      <c r="L4177" s="1">
        <f t="shared" si="260"/>
        <v>26</v>
      </c>
      <c r="M4177" s="1">
        <f t="shared" si="261"/>
        <v>5</v>
      </c>
      <c r="N4177" s="2">
        <f t="shared" si="262"/>
        <v>45901</v>
      </c>
      <c r="O4177" t="str">
        <f t="shared" si="263"/>
        <v>mačka</v>
      </c>
    </row>
    <row r="4178" spans="1:15" x14ac:dyDescent="0.25">
      <c r="A4178">
        <v>11666</v>
      </c>
      <c r="B4178" s="11">
        <v>4017890123450</v>
      </c>
      <c r="C4178" s="1" t="s">
        <v>65</v>
      </c>
      <c r="D4178" s="1" t="s">
        <v>39</v>
      </c>
      <c r="E4178" s="1" t="s">
        <v>22</v>
      </c>
      <c r="F4178">
        <v>7.6</v>
      </c>
      <c r="G4178">
        <v>1</v>
      </c>
      <c r="H4178" s="1" t="s">
        <v>14</v>
      </c>
      <c r="I4178" s="1" t="s">
        <v>15</v>
      </c>
      <c r="J4178" s="12">
        <v>45930</v>
      </c>
      <c r="K4178">
        <v>0</v>
      </c>
      <c r="L4178" s="1">
        <f t="shared" si="260"/>
        <v>7.6</v>
      </c>
      <c r="M4178" s="1" t="str">
        <f t="shared" si="261"/>
        <v/>
      </c>
      <c r="N4178" s="2">
        <f t="shared" si="262"/>
        <v>45901</v>
      </c>
      <c r="O4178" t="str">
        <f t="shared" si="263"/>
        <v>pes</v>
      </c>
    </row>
    <row r="4179" spans="1:15" x14ac:dyDescent="0.25">
      <c r="A4179">
        <v>11667</v>
      </c>
      <c r="B4179" s="11">
        <v>4059012345683</v>
      </c>
      <c r="C4179" s="1" t="s">
        <v>345</v>
      </c>
      <c r="D4179" s="1" t="s">
        <v>26</v>
      </c>
      <c r="E4179" s="1" t="s">
        <v>27</v>
      </c>
      <c r="F4179">
        <v>20</v>
      </c>
      <c r="G4179">
        <v>1</v>
      </c>
      <c r="H4179" s="1" t="s">
        <v>63</v>
      </c>
      <c r="I4179" s="1" t="s">
        <v>854</v>
      </c>
      <c r="J4179" s="12">
        <v>45930</v>
      </c>
      <c r="K4179">
        <v>1</v>
      </c>
      <c r="L4179" s="1">
        <f t="shared" si="260"/>
        <v>20</v>
      </c>
      <c r="M4179" s="1">
        <f t="shared" si="261"/>
        <v>1</v>
      </c>
      <c r="N4179" s="2">
        <f t="shared" si="262"/>
        <v>45901</v>
      </c>
      <c r="O4179" t="str">
        <f t="shared" si="263"/>
        <v>pes</v>
      </c>
    </row>
    <row r="4180" spans="1:15" x14ac:dyDescent="0.25">
      <c r="A4180">
        <v>11668</v>
      </c>
      <c r="B4180" s="11">
        <v>4013456789017</v>
      </c>
      <c r="C4180" s="1" t="s">
        <v>11</v>
      </c>
      <c r="D4180" s="1" t="s">
        <v>12</v>
      </c>
      <c r="E4180" s="1" t="s">
        <v>13</v>
      </c>
      <c r="F4180">
        <v>6</v>
      </c>
      <c r="G4180">
        <v>2</v>
      </c>
      <c r="H4180" s="1" t="s">
        <v>14</v>
      </c>
      <c r="I4180" s="1" t="s">
        <v>15</v>
      </c>
      <c r="J4180" s="12">
        <v>45930</v>
      </c>
      <c r="K4180">
        <v>0</v>
      </c>
      <c r="L4180" s="1">
        <f t="shared" si="260"/>
        <v>12</v>
      </c>
      <c r="M4180" s="1" t="str">
        <f t="shared" si="261"/>
        <v/>
      </c>
      <c r="N4180" s="2">
        <f t="shared" si="262"/>
        <v>45901</v>
      </c>
      <c r="O4180" t="str">
        <f t="shared" si="263"/>
        <v>pes</v>
      </c>
    </row>
    <row r="4181" spans="1:15" x14ac:dyDescent="0.25">
      <c r="A4181">
        <v>11669</v>
      </c>
      <c r="B4181" s="11">
        <v>4028899001126</v>
      </c>
      <c r="C4181" s="1" t="s">
        <v>16</v>
      </c>
      <c r="D4181" s="1" t="s">
        <v>12</v>
      </c>
      <c r="E4181" s="1" t="s">
        <v>17</v>
      </c>
      <c r="F4181">
        <v>2.8</v>
      </c>
      <c r="G4181">
        <v>3</v>
      </c>
      <c r="H4181" s="1" t="s">
        <v>14</v>
      </c>
      <c r="I4181" s="1" t="s">
        <v>15</v>
      </c>
      <c r="J4181" s="12">
        <v>45930</v>
      </c>
      <c r="K4181">
        <v>0</v>
      </c>
      <c r="L4181" s="1">
        <f t="shared" si="260"/>
        <v>8.3999999999999986</v>
      </c>
      <c r="M4181" s="1" t="str">
        <f t="shared" si="261"/>
        <v/>
      </c>
      <c r="N4181" s="2">
        <f t="shared" si="262"/>
        <v>45901</v>
      </c>
      <c r="O4181" t="str">
        <f t="shared" si="263"/>
        <v>pes</v>
      </c>
    </row>
    <row r="4182" spans="1:15" x14ac:dyDescent="0.25">
      <c r="A4182">
        <v>11670</v>
      </c>
      <c r="B4182" s="11">
        <v>4063456789014</v>
      </c>
      <c r="C4182" s="1" t="s">
        <v>60</v>
      </c>
      <c r="D4182" s="1" t="s">
        <v>12</v>
      </c>
      <c r="E4182" s="1" t="s">
        <v>61</v>
      </c>
      <c r="F4182">
        <v>36</v>
      </c>
      <c r="G4182">
        <v>1</v>
      </c>
      <c r="H4182" s="1" t="s">
        <v>14</v>
      </c>
      <c r="I4182" s="1" t="s">
        <v>15</v>
      </c>
      <c r="J4182" s="12">
        <v>45930</v>
      </c>
      <c r="K4182">
        <v>0</v>
      </c>
      <c r="L4182" s="1">
        <f t="shared" si="260"/>
        <v>36</v>
      </c>
      <c r="M4182" s="1" t="str">
        <f t="shared" si="261"/>
        <v/>
      </c>
      <c r="N4182" s="2">
        <f t="shared" si="262"/>
        <v>45901</v>
      </c>
      <c r="O4182" t="str">
        <f t="shared" si="263"/>
        <v>pes</v>
      </c>
    </row>
    <row r="4183" spans="1:15" hidden="1" x14ac:dyDescent="0.25">
      <c r="A4183">
        <v>11671</v>
      </c>
      <c r="B4183" s="11">
        <v>4056789012345</v>
      </c>
      <c r="C4183" s="1" t="s">
        <v>47</v>
      </c>
      <c r="D4183" s="1" t="s">
        <v>29</v>
      </c>
      <c r="E4183" s="1" t="s">
        <v>37</v>
      </c>
      <c r="F4183">
        <v>2.4</v>
      </c>
      <c r="G4183">
        <v>4</v>
      </c>
      <c r="H4183" s="1" t="s">
        <v>14</v>
      </c>
      <c r="I4183" s="1" t="s">
        <v>15</v>
      </c>
      <c r="J4183" s="12">
        <v>45930</v>
      </c>
      <c r="K4183">
        <v>0</v>
      </c>
      <c r="L4183" s="1">
        <f t="shared" si="260"/>
        <v>9.6</v>
      </c>
      <c r="M4183" s="1" t="str">
        <f t="shared" si="261"/>
        <v/>
      </c>
      <c r="N4183" s="2">
        <f t="shared" si="262"/>
        <v>45901</v>
      </c>
      <c r="O4183" t="str">
        <f t="shared" si="263"/>
        <v>mačka</v>
      </c>
    </row>
    <row r="4184" spans="1:15" hidden="1" x14ac:dyDescent="0.25">
      <c r="A4184">
        <v>11672</v>
      </c>
      <c r="B4184" s="11">
        <v>4019876501234</v>
      </c>
      <c r="C4184" s="1" t="s">
        <v>674</v>
      </c>
      <c r="D4184" s="1" t="s">
        <v>29</v>
      </c>
      <c r="E4184" s="1" t="s">
        <v>37</v>
      </c>
      <c r="F4184">
        <v>1.84</v>
      </c>
      <c r="G4184">
        <v>5</v>
      </c>
      <c r="H4184" s="1" t="s">
        <v>18</v>
      </c>
      <c r="I4184" s="1" t="s">
        <v>855</v>
      </c>
      <c r="J4184" s="12">
        <v>45930</v>
      </c>
      <c r="K4184">
        <v>0</v>
      </c>
      <c r="L4184" s="1">
        <f t="shared" si="260"/>
        <v>9.2000000000000011</v>
      </c>
      <c r="M4184" s="1">
        <f t="shared" si="261"/>
        <v>4</v>
      </c>
      <c r="N4184" s="2">
        <f t="shared" si="262"/>
        <v>45901</v>
      </c>
      <c r="O4184" t="str">
        <f t="shared" si="263"/>
        <v>mačka</v>
      </c>
    </row>
    <row r="4185" spans="1:15" x14ac:dyDescent="0.25">
      <c r="A4185">
        <v>11673</v>
      </c>
      <c r="B4185" s="11">
        <v>4028899001126</v>
      </c>
      <c r="C4185" s="1" t="s">
        <v>16</v>
      </c>
      <c r="D4185" s="1" t="s">
        <v>12</v>
      </c>
      <c r="E4185" s="1" t="s">
        <v>17</v>
      </c>
      <c r="F4185">
        <v>2.8</v>
      </c>
      <c r="G4185">
        <v>2</v>
      </c>
      <c r="H4185" s="1" t="s">
        <v>14</v>
      </c>
      <c r="I4185" s="1" t="s">
        <v>15</v>
      </c>
      <c r="J4185" s="12">
        <v>45930</v>
      </c>
      <c r="K4185">
        <v>0</v>
      </c>
      <c r="L4185" s="1">
        <f t="shared" si="260"/>
        <v>5.6</v>
      </c>
      <c r="M4185" s="1" t="str">
        <f t="shared" si="261"/>
        <v/>
      </c>
      <c r="N4185" s="2">
        <f t="shared" si="262"/>
        <v>45901</v>
      </c>
      <c r="O4185" t="str">
        <f t="shared" si="263"/>
        <v>pes</v>
      </c>
    </row>
    <row r="4186" spans="1:15" x14ac:dyDescent="0.25">
      <c r="A4186">
        <v>11674</v>
      </c>
      <c r="B4186" s="11">
        <v>4040123456795</v>
      </c>
      <c r="C4186" s="1" t="s">
        <v>20</v>
      </c>
      <c r="D4186" s="1" t="s">
        <v>21</v>
      </c>
      <c r="E4186" s="1" t="s">
        <v>22</v>
      </c>
      <c r="F4186">
        <v>8.8000000000000007</v>
      </c>
      <c r="G4186">
        <v>1</v>
      </c>
      <c r="H4186" s="1" t="s">
        <v>14</v>
      </c>
      <c r="I4186" s="1" t="s">
        <v>15</v>
      </c>
      <c r="J4186" s="12">
        <v>45930</v>
      </c>
      <c r="K4186">
        <v>0</v>
      </c>
      <c r="L4186" s="1">
        <f t="shared" si="260"/>
        <v>8.8000000000000007</v>
      </c>
      <c r="M4186" s="1" t="str">
        <f t="shared" si="261"/>
        <v/>
      </c>
      <c r="N4186" s="2">
        <f t="shared" si="262"/>
        <v>45901</v>
      </c>
      <c r="O4186" t="str">
        <f t="shared" si="263"/>
        <v>pes</v>
      </c>
    </row>
    <row r="4187" spans="1:15" x14ac:dyDescent="0.25">
      <c r="A4187">
        <v>11675</v>
      </c>
      <c r="B4187" s="11">
        <v>4013456789017</v>
      </c>
      <c r="C4187" s="1" t="s">
        <v>11</v>
      </c>
      <c r="D4187" s="1" t="s">
        <v>12</v>
      </c>
      <c r="E4187" s="1" t="s">
        <v>13</v>
      </c>
      <c r="F4187">
        <v>6</v>
      </c>
      <c r="G4187">
        <v>2</v>
      </c>
      <c r="H4187" s="1" t="s">
        <v>18</v>
      </c>
      <c r="I4187" s="1" t="s">
        <v>856</v>
      </c>
      <c r="J4187" s="12">
        <v>45930</v>
      </c>
      <c r="K4187">
        <v>0</v>
      </c>
      <c r="L4187" s="1">
        <f t="shared" si="260"/>
        <v>12</v>
      </c>
      <c r="M4187" s="1">
        <f t="shared" si="261"/>
        <v>4</v>
      </c>
      <c r="N4187" s="2">
        <f t="shared" si="262"/>
        <v>45901</v>
      </c>
      <c r="O4187" t="str">
        <f t="shared" si="263"/>
        <v>pes</v>
      </c>
    </row>
    <row r="4188" spans="1:15" x14ac:dyDescent="0.25">
      <c r="A4188">
        <v>11676</v>
      </c>
      <c r="B4188" s="11">
        <v>4027788990013</v>
      </c>
      <c r="C4188" s="1" t="s">
        <v>43</v>
      </c>
      <c r="D4188" s="1" t="s">
        <v>21</v>
      </c>
      <c r="E4188" s="1" t="s">
        <v>22</v>
      </c>
      <c r="F4188">
        <v>8</v>
      </c>
      <c r="G4188">
        <v>1</v>
      </c>
      <c r="H4188" s="1" t="s">
        <v>14</v>
      </c>
      <c r="I4188" s="1" t="s">
        <v>15</v>
      </c>
      <c r="J4188" s="12">
        <v>45930</v>
      </c>
      <c r="K4188">
        <v>0</v>
      </c>
      <c r="L4188" s="1">
        <f t="shared" si="260"/>
        <v>8</v>
      </c>
      <c r="M4188" s="1" t="str">
        <f t="shared" si="261"/>
        <v/>
      </c>
      <c r="N4188" s="2">
        <f t="shared" si="262"/>
        <v>45901</v>
      </c>
      <c r="O4188" t="str">
        <f t="shared" si="263"/>
        <v>pes</v>
      </c>
    </row>
    <row r="4189" spans="1:15" hidden="1" x14ac:dyDescent="0.25">
      <c r="A4189">
        <v>11677</v>
      </c>
      <c r="B4189" s="11">
        <v>4029900112244</v>
      </c>
      <c r="C4189" s="1" t="s">
        <v>655</v>
      </c>
      <c r="D4189" s="1" t="s">
        <v>36</v>
      </c>
      <c r="E4189" s="1" t="s">
        <v>37</v>
      </c>
      <c r="F4189">
        <v>13.6</v>
      </c>
      <c r="G4189">
        <v>1</v>
      </c>
      <c r="H4189" s="1" t="s">
        <v>14</v>
      </c>
      <c r="I4189" s="1" t="s">
        <v>15</v>
      </c>
      <c r="J4189" s="12">
        <v>45930</v>
      </c>
      <c r="K4189">
        <v>0</v>
      </c>
      <c r="L4189" s="1">
        <f t="shared" si="260"/>
        <v>13.6</v>
      </c>
      <c r="M4189" s="1" t="str">
        <f t="shared" si="261"/>
        <v/>
      </c>
      <c r="N4189" s="2">
        <f t="shared" si="262"/>
        <v>45901</v>
      </c>
      <c r="O4189" t="str">
        <f t="shared" si="263"/>
        <v>mačka</v>
      </c>
    </row>
    <row r="4190" spans="1:15" hidden="1" x14ac:dyDescent="0.25">
      <c r="A4190">
        <v>11678</v>
      </c>
      <c r="B4190" s="11">
        <v>4050123456794</v>
      </c>
      <c r="C4190" s="1" t="s">
        <v>41</v>
      </c>
      <c r="D4190" s="1" t="s">
        <v>36</v>
      </c>
      <c r="E4190" s="1" t="s">
        <v>42</v>
      </c>
      <c r="F4190">
        <v>7.2</v>
      </c>
      <c r="G4190">
        <v>1</v>
      </c>
      <c r="H4190" s="1" t="s">
        <v>18</v>
      </c>
      <c r="I4190" s="1" t="s">
        <v>857</v>
      </c>
      <c r="J4190" s="12">
        <v>45930</v>
      </c>
      <c r="K4190">
        <v>0</v>
      </c>
      <c r="L4190" s="1">
        <f t="shared" si="260"/>
        <v>7.2</v>
      </c>
      <c r="M4190" s="1">
        <f t="shared" si="261"/>
        <v>4</v>
      </c>
      <c r="N4190" s="2">
        <f t="shared" si="262"/>
        <v>45901</v>
      </c>
      <c r="O4190" t="str">
        <f t="shared" si="263"/>
        <v>mačka</v>
      </c>
    </row>
    <row r="4191" spans="1:15" x14ac:dyDescent="0.25">
      <c r="A4191">
        <v>11679</v>
      </c>
      <c r="B4191" s="11">
        <v>4017890123450</v>
      </c>
      <c r="C4191" s="1" t="s">
        <v>65</v>
      </c>
      <c r="D4191" s="1" t="s">
        <v>39</v>
      </c>
      <c r="E4191" s="1" t="s">
        <v>22</v>
      </c>
      <c r="F4191">
        <v>7.6</v>
      </c>
      <c r="G4191">
        <v>1</v>
      </c>
      <c r="H4191" s="1" t="s">
        <v>14</v>
      </c>
      <c r="I4191" s="1" t="s">
        <v>15</v>
      </c>
      <c r="J4191" s="12">
        <v>45930</v>
      </c>
      <c r="K4191">
        <v>0</v>
      </c>
      <c r="L4191" s="1">
        <f t="shared" si="260"/>
        <v>7.6</v>
      </c>
      <c r="M4191" s="1" t="str">
        <f t="shared" si="261"/>
        <v/>
      </c>
      <c r="N4191" s="2">
        <f t="shared" si="262"/>
        <v>45901</v>
      </c>
      <c r="O4191" t="str">
        <f t="shared" si="263"/>
        <v>pes</v>
      </c>
    </row>
    <row r="4192" spans="1:15" x14ac:dyDescent="0.25">
      <c r="A4192">
        <v>11680</v>
      </c>
      <c r="B4192" s="11">
        <v>4028899001126</v>
      </c>
      <c r="C4192" s="1" t="s">
        <v>16</v>
      </c>
      <c r="D4192" s="1" t="s">
        <v>12</v>
      </c>
      <c r="E4192" s="1" t="s">
        <v>17</v>
      </c>
      <c r="F4192">
        <v>2.8</v>
      </c>
      <c r="G4192">
        <v>3</v>
      </c>
      <c r="H4192" s="1" t="s">
        <v>14</v>
      </c>
      <c r="I4192" s="1" t="s">
        <v>15</v>
      </c>
      <c r="J4192" s="12">
        <v>45930</v>
      </c>
      <c r="K4192">
        <v>0</v>
      </c>
      <c r="L4192" s="1">
        <f t="shared" si="260"/>
        <v>8.3999999999999986</v>
      </c>
      <c r="M4192" s="1" t="str">
        <f t="shared" si="261"/>
        <v/>
      </c>
      <c r="N4192" s="2">
        <f t="shared" si="262"/>
        <v>45901</v>
      </c>
      <c r="O4192" t="str">
        <f t="shared" si="263"/>
        <v>pes</v>
      </c>
    </row>
    <row r="4193" spans="1:15" x14ac:dyDescent="0.25">
      <c r="A4193">
        <v>11681</v>
      </c>
      <c r="B4193" s="11">
        <v>4013456789017</v>
      </c>
      <c r="C4193" s="1" t="s">
        <v>11</v>
      </c>
      <c r="D4193" s="1" t="s">
        <v>12</v>
      </c>
      <c r="E4193" s="1" t="s">
        <v>13</v>
      </c>
      <c r="F4193">
        <v>6</v>
      </c>
      <c r="G4193">
        <v>2</v>
      </c>
      <c r="H4193" s="1" t="s">
        <v>14</v>
      </c>
      <c r="I4193" s="1" t="s">
        <v>15</v>
      </c>
      <c r="J4193" s="12">
        <v>45930</v>
      </c>
      <c r="K4193">
        <v>0</v>
      </c>
      <c r="L4193" s="1">
        <f t="shared" si="260"/>
        <v>12</v>
      </c>
      <c r="M4193" s="1" t="str">
        <f t="shared" si="261"/>
        <v/>
      </c>
      <c r="N4193" s="2">
        <f t="shared" si="262"/>
        <v>45901</v>
      </c>
      <c r="O4193" t="str">
        <f t="shared" si="263"/>
        <v>pes</v>
      </c>
    </row>
    <row r="4194" spans="1:15" hidden="1" x14ac:dyDescent="0.25">
      <c r="A4194">
        <v>11682</v>
      </c>
      <c r="B4194" s="11">
        <v>4061234567805</v>
      </c>
      <c r="C4194" s="1" t="s">
        <v>749</v>
      </c>
      <c r="D4194" s="1" t="s">
        <v>36</v>
      </c>
      <c r="E4194" s="1" t="s">
        <v>141</v>
      </c>
      <c r="F4194">
        <v>12.8</v>
      </c>
      <c r="G4194">
        <v>2</v>
      </c>
      <c r="H4194" s="1" t="s">
        <v>23</v>
      </c>
      <c r="I4194" s="1" t="s">
        <v>858</v>
      </c>
      <c r="J4194" s="12">
        <v>45930</v>
      </c>
      <c r="K4194">
        <v>0</v>
      </c>
      <c r="L4194" s="1">
        <f t="shared" si="260"/>
        <v>25.6</v>
      </c>
      <c r="M4194" s="1">
        <f t="shared" si="261"/>
        <v>5</v>
      </c>
      <c r="N4194" s="2">
        <f t="shared" si="262"/>
        <v>45901</v>
      </c>
      <c r="O4194" t="str">
        <f t="shared" si="263"/>
        <v>mačka</v>
      </c>
    </row>
    <row r="4195" spans="1:15" hidden="1" x14ac:dyDescent="0.25">
      <c r="A4195">
        <v>11683</v>
      </c>
      <c r="B4195" s="11">
        <v>4026677889902</v>
      </c>
      <c r="C4195" s="1" t="s">
        <v>52</v>
      </c>
      <c r="D4195" s="1" t="s">
        <v>53</v>
      </c>
      <c r="E4195" s="1" t="s">
        <v>54</v>
      </c>
      <c r="F4195">
        <v>7.6</v>
      </c>
      <c r="G4195">
        <v>1</v>
      </c>
      <c r="H4195" s="1" t="s">
        <v>14</v>
      </c>
      <c r="I4195" s="1" t="s">
        <v>15</v>
      </c>
      <c r="J4195" s="12">
        <v>45930</v>
      </c>
      <c r="K4195">
        <v>0</v>
      </c>
      <c r="L4195" s="1">
        <f t="shared" si="260"/>
        <v>7.6</v>
      </c>
      <c r="M4195" s="1" t="str">
        <f t="shared" si="261"/>
        <v/>
      </c>
      <c r="N4195" s="2">
        <f t="shared" si="262"/>
        <v>45901</v>
      </c>
      <c r="O4195" t="str">
        <f t="shared" si="263"/>
        <v>iné</v>
      </c>
    </row>
    <row r="4196" spans="1:15" hidden="1" x14ac:dyDescent="0.25">
      <c r="A4196">
        <v>11684</v>
      </c>
      <c r="B4196" s="11">
        <v>4019876501234</v>
      </c>
      <c r="C4196" s="1" t="s">
        <v>674</v>
      </c>
      <c r="D4196" s="1" t="s">
        <v>29</v>
      </c>
      <c r="E4196" s="1" t="s">
        <v>37</v>
      </c>
      <c r="F4196">
        <v>1.84</v>
      </c>
      <c r="G4196">
        <v>5</v>
      </c>
      <c r="H4196" s="1" t="s">
        <v>14</v>
      </c>
      <c r="I4196" s="1" t="s">
        <v>15</v>
      </c>
      <c r="J4196" s="12">
        <v>45930</v>
      </c>
      <c r="K4196">
        <v>0</v>
      </c>
      <c r="L4196" s="1">
        <f t="shared" si="260"/>
        <v>9.2000000000000011</v>
      </c>
      <c r="M4196" s="1" t="str">
        <f t="shared" si="261"/>
        <v/>
      </c>
      <c r="N4196" s="2">
        <f t="shared" si="262"/>
        <v>45901</v>
      </c>
      <c r="O4196" t="str">
        <f t="shared" si="263"/>
        <v>mačka</v>
      </c>
    </row>
    <row r="4197" spans="1:15" x14ac:dyDescent="0.25">
      <c r="A4197">
        <v>11685</v>
      </c>
      <c r="B4197" s="11">
        <v>4017890123450</v>
      </c>
      <c r="C4197" s="1" t="s">
        <v>65</v>
      </c>
      <c r="D4197" s="1" t="s">
        <v>39</v>
      </c>
      <c r="E4197" s="1" t="s">
        <v>22</v>
      </c>
      <c r="F4197">
        <v>7.6</v>
      </c>
      <c r="G4197">
        <v>1</v>
      </c>
      <c r="H4197" s="1" t="s">
        <v>18</v>
      </c>
      <c r="I4197" s="1" t="s">
        <v>859</v>
      </c>
      <c r="J4197" s="12">
        <v>45930</v>
      </c>
      <c r="K4197">
        <v>0</v>
      </c>
      <c r="L4197" s="1">
        <f t="shared" si="260"/>
        <v>7.6</v>
      </c>
      <c r="M4197" s="1">
        <f t="shared" si="261"/>
        <v>4</v>
      </c>
      <c r="N4197" s="2">
        <f t="shared" si="262"/>
        <v>45901</v>
      </c>
      <c r="O4197" t="str">
        <f t="shared" si="263"/>
        <v>pes</v>
      </c>
    </row>
    <row r="4198" spans="1:15" x14ac:dyDescent="0.25">
      <c r="A4198">
        <v>11686</v>
      </c>
      <c r="B4198" s="11">
        <v>4040123456795</v>
      </c>
      <c r="C4198" s="1" t="s">
        <v>20</v>
      </c>
      <c r="D4198" s="1" t="s">
        <v>21</v>
      </c>
      <c r="E4198" s="1" t="s">
        <v>22</v>
      </c>
      <c r="F4198">
        <v>8.8000000000000007</v>
      </c>
      <c r="G4198">
        <v>1</v>
      </c>
      <c r="H4198" s="1" t="s">
        <v>14</v>
      </c>
      <c r="I4198" s="1" t="s">
        <v>15</v>
      </c>
      <c r="J4198" s="12">
        <v>45930</v>
      </c>
      <c r="K4198">
        <v>0</v>
      </c>
      <c r="L4198" s="1">
        <f t="shared" si="260"/>
        <v>8.8000000000000007</v>
      </c>
      <c r="M4198" s="1" t="str">
        <f t="shared" si="261"/>
        <v/>
      </c>
      <c r="N4198" s="2">
        <f t="shared" si="262"/>
        <v>45901</v>
      </c>
      <c r="O4198" t="str">
        <f t="shared" si="263"/>
        <v>pes</v>
      </c>
    </row>
    <row r="4199" spans="1:15" hidden="1" x14ac:dyDescent="0.25">
      <c r="A4199">
        <v>11687</v>
      </c>
      <c r="B4199" s="11">
        <v>4056789012345</v>
      </c>
      <c r="C4199" s="1" t="s">
        <v>47</v>
      </c>
      <c r="D4199" s="1" t="s">
        <v>29</v>
      </c>
      <c r="E4199" s="1" t="s">
        <v>37</v>
      </c>
      <c r="F4199">
        <v>2.4</v>
      </c>
      <c r="G4199">
        <v>3</v>
      </c>
      <c r="H4199" s="1" t="s">
        <v>14</v>
      </c>
      <c r="I4199" s="1" t="s">
        <v>15</v>
      </c>
      <c r="J4199" s="12">
        <v>45930</v>
      </c>
      <c r="K4199">
        <v>0</v>
      </c>
      <c r="L4199" s="1">
        <f t="shared" si="260"/>
        <v>7.1999999999999993</v>
      </c>
      <c r="M4199" s="1" t="str">
        <f t="shared" si="261"/>
        <v/>
      </c>
      <c r="N4199" s="2">
        <f t="shared" si="262"/>
        <v>45901</v>
      </c>
      <c r="O4199" t="str">
        <f t="shared" si="263"/>
        <v>mačka</v>
      </c>
    </row>
    <row r="4200" spans="1:15" x14ac:dyDescent="0.25">
      <c r="A4200">
        <v>11688</v>
      </c>
      <c r="B4200" s="11">
        <v>4013456789017</v>
      </c>
      <c r="C4200" s="1" t="s">
        <v>11</v>
      </c>
      <c r="D4200" s="1" t="s">
        <v>12</v>
      </c>
      <c r="E4200" s="1" t="s">
        <v>13</v>
      </c>
      <c r="F4200">
        <v>6</v>
      </c>
      <c r="G4200">
        <v>2</v>
      </c>
      <c r="H4200" s="1" t="s">
        <v>14</v>
      </c>
      <c r="I4200" s="1" t="s">
        <v>15</v>
      </c>
      <c r="J4200" s="12">
        <v>45930</v>
      </c>
      <c r="K4200">
        <v>0</v>
      </c>
      <c r="L4200" s="1">
        <f t="shared" si="260"/>
        <v>12</v>
      </c>
      <c r="M4200" s="1" t="str">
        <f t="shared" si="261"/>
        <v/>
      </c>
      <c r="N4200" s="2">
        <f t="shared" si="262"/>
        <v>45901</v>
      </c>
      <c r="O4200" t="str">
        <f t="shared" si="263"/>
        <v>pes</v>
      </c>
    </row>
    <row r="4201" spans="1:15" x14ac:dyDescent="0.25">
      <c r="A4201">
        <v>11689</v>
      </c>
      <c r="B4201" s="11">
        <v>4028899001126</v>
      </c>
      <c r="C4201" s="1" t="s">
        <v>16</v>
      </c>
      <c r="D4201" s="1" t="s">
        <v>12</v>
      </c>
      <c r="E4201" s="1" t="s">
        <v>17</v>
      </c>
      <c r="F4201">
        <v>2.8</v>
      </c>
      <c r="G4201">
        <v>3</v>
      </c>
      <c r="H4201" s="1" t="s">
        <v>14</v>
      </c>
      <c r="I4201" s="1" t="s">
        <v>15</v>
      </c>
      <c r="J4201" s="12">
        <v>45930</v>
      </c>
      <c r="K4201">
        <v>0</v>
      </c>
      <c r="L4201" s="1">
        <f t="shared" si="260"/>
        <v>8.3999999999999986</v>
      </c>
      <c r="M4201" s="1" t="str">
        <f t="shared" si="261"/>
        <v/>
      </c>
      <c r="N4201" s="2">
        <f t="shared" si="262"/>
        <v>45901</v>
      </c>
      <c r="O4201" t="str">
        <f t="shared" si="263"/>
        <v>pes</v>
      </c>
    </row>
    <row r="4202" spans="1:15" x14ac:dyDescent="0.25">
      <c r="A4202">
        <v>11690</v>
      </c>
      <c r="B4202" s="11">
        <v>4027788990013</v>
      </c>
      <c r="C4202" s="1" t="s">
        <v>43</v>
      </c>
      <c r="D4202" s="1" t="s">
        <v>21</v>
      </c>
      <c r="E4202" s="1" t="s">
        <v>22</v>
      </c>
      <c r="F4202">
        <v>8</v>
      </c>
      <c r="G4202">
        <v>1</v>
      </c>
      <c r="H4202" s="1" t="s">
        <v>14</v>
      </c>
      <c r="I4202" s="1" t="s">
        <v>15</v>
      </c>
      <c r="J4202" s="12">
        <v>45930</v>
      </c>
      <c r="K4202">
        <v>0</v>
      </c>
      <c r="L4202" s="1">
        <f t="shared" si="260"/>
        <v>8</v>
      </c>
      <c r="M4202" s="1" t="str">
        <f t="shared" si="261"/>
        <v/>
      </c>
      <c r="N4202" s="2">
        <f t="shared" si="262"/>
        <v>45901</v>
      </c>
      <c r="O4202" t="str">
        <f t="shared" si="263"/>
        <v>pes</v>
      </c>
    </row>
    <row r="4203" spans="1:15" hidden="1" x14ac:dyDescent="0.25">
      <c r="A4203">
        <v>11691</v>
      </c>
      <c r="B4203" s="11">
        <v>4029900112244</v>
      </c>
      <c r="C4203" s="1" t="s">
        <v>655</v>
      </c>
      <c r="D4203" s="1" t="s">
        <v>36</v>
      </c>
      <c r="E4203" s="1" t="s">
        <v>37</v>
      </c>
      <c r="F4203">
        <v>13.6</v>
      </c>
      <c r="G4203">
        <v>1</v>
      </c>
      <c r="H4203" s="1" t="s">
        <v>23</v>
      </c>
      <c r="I4203" s="1" t="s">
        <v>860</v>
      </c>
      <c r="J4203" s="12">
        <v>45930</v>
      </c>
      <c r="K4203">
        <v>0</v>
      </c>
      <c r="L4203" s="1">
        <f t="shared" si="260"/>
        <v>13.6</v>
      </c>
      <c r="M4203" s="1">
        <f t="shared" si="261"/>
        <v>5</v>
      </c>
      <c r="N4203" s="2">
        <f t="shared" si="262"/>
        <v>45901</v>
      </c>
      <c r="O4203" t="str">
        <f t="shared" si="263"/>
        <v>mačka</v>
      </c>
    </row>
    <row r="4204" spans="1:15" hidden="1" x14ac:dyDescent="0.25">
      <c r="A4204">
        <v>11692</v>
      </c>
      <c r="B4204" s="11">
        <v>4069012345682</v>
      </c>
      <c r="C4204" s="1" t="s">
        <v>143</v>
      </c>
      <c r="D4204" s="1" t="s">
        <v>144</v>
      </c>
      <c r="E4204" s="1" t="s">
        <v>30</v>
      </c>
      <c r="F4204">
        <v>26</v>
      </c>
      <c r="G4204">
        <v>1</v>
      </c>
      <c r="H4204" s="1" t="s">
        <v>14</v>
      </c>
      <c r="I4204" s="1" t="s">
        <v>15</v>
      </c>
      <c r="J4204" s="12">
        <v>45930</v>
      </c>
      <c r="K4204">
        <v>0</v>
      </c>
      <c r="L4204" s="1">
        <f t="shared" si="260"/>
        <v>26</v>
      </c>
      <c r="M4204" s="1" t="str">
        <f t="shared" si="261"/>
        <v/>
      </c>
      <c r="N4204" s="2">
        <f t="shared" si="262"/>
        <v>45901</v>
      </c>
      <c r="O4204" t="str">
        <f t="shared" si="263"/>
        <v>mačka</v>
      </c>
    </row>
    <row r="4205" spans="1:15" x14ac:dyDescent="0.25">
      <c r="A4205">
        <v>11693</v>
      </c>
      <c r="B4205" s="11">
        <v>4017890123450</v>
      </c>
      <c r="C4205" s="1" t="s">
        <v>65</v>
      </c>
      <c r="D4205" s="1" t="s">
        <v>39</v>
      </c>
      <c r="E4205" s="1" t="s">
        <v>22</v>
      </c>
      <c r="F4205">
        <v>7.6</v>
      </c>
      <c r="G4205">
        <v>1</v>
      </c>
      <c r="H4205" s="1" t="s">
        <v>14</v>
      </c>
      <c r="I4205" s="1" t="s">
        <v>15</v>
      </c>
      <c r="J4205" s="12">
        <v>45930</v>
      </c>
      <c r="K4205">
        <v>0</v>
      </c>
      <c r="L4205" s="1">
        <f t="shared" si="260"/>
        <v>7.6</v>
      </c>
      <c r="M4205" s="1" t="str">
        <f t="shared" si="261"/>
        <v/>
      </c>
      <c r="N4205" s="2">
        <f t="shared" si="262"/>
        <v>45901</v>
      </c>
      <c r="O4205" t="str">
        <f t="shared" si="263"/>
        <v>pes</v>
      </c>
    </row>
    <row r="4206" spans="1:15" x14ac:dyDescent="0.25">
      <c r="A4206">
        <v>11694</v>
      </c>
      <c r="B4206" s="11">
        <v>4028899001126</v>
      </c>
      <c r="C4206" s="1" t="s">
        <v>16</v>
      </c>
      <c r="D4206" s="1" t="s">
        <v>12</v>
      </c>
      <c r="E4206" s="1" t="s">
        <v>17</v>
      </c>
      <c r="F4206">
        <v>2.8</v>
      </c>
      <c r="G4206">
        <v>2</v>
      </c>
      <c r="H4206" s="1" t="s">
        <v>14</v>
      </c>
      <c r="I4206" s="1" t="s">
        <v>15</v>
      </c>
      <c r="J4206" s="12">
        <v>45930</v>
      </c>
      <c r="K4206">
        <v>0</v>
      </c>
      <c r="L4206" s="1">
        <f t="shared" si="260"/>
        <v>5.6</v>
      </c>
      <c r="M4206" s="1" t="str">
        <f t="shared" si="261"/>
        <v/>
      </c>
      <c r="N4206" s="2">
        <f t="shared" si="262"/>
        <v>45901</v>
      </c>
      <c r="O4206" t="str">
        <f t="shared" si="263"/>
        <v>pes</v>
      </c>
    </row>
    <row r="4207" spans="1:15" x14ac:dyDescent="0.25">
      <c r="A4207">
        <v>11695</v>
      </c>
      <c r="B4207" s="11">
        <v>4013456789017</v>
      </c>
      <c r="C4207" s="1" t="s">
        <v>11</v>
      </c>
      <c r="D4207" s="1" t="s">
        <v>12</v>
      </c>
      <c r="E4207" s="1" t="s">
        <v>13</v>
      </c>
      <c r="F4207">
        <v>6</v>
      </c>
      <c r="G4207">
        <v>1</v>
      </c>
      <c r="H4207" s="1" t="s">
        <v>18</v>
      </c>
      <c r="I4207" s="1" t="s">
        <v>861</v>
      </c>
      <c r="J4207" s="12">
        <v>45930</v>
      </c>
      <c r="K4207">
        <v>0</v>
      </c>
      <c r="L4207" s="1">
        <f t="shared" si="260"/>
        <v>6</v>
      </c>
      <c r="M4207" s="1">
        <f t="shared" si="261"/>
        <v>4</v>
      </c>
      <c r="N4207" s="2">
        <f t="shared" si="262"/>
        <v>45901</v>
      </c>
      <c r="O4207" t="str">
        <f t="shared" si="263"/>
        <v>pes</v>
      </c>
    </row>
    <row r="4208" spans="1:15" x14ac:dyDescent="0.25">
      <c r="A4208">
        <v>11696</v>
      </c>
      <c r="B4208" s="11">
        <v>4027788990013</v>
      </c>
      <c r="C4208" s="1" t="s">
        <v>43</v>
      </c>
      <c r="D4208" s="1" t="s">
        <v>21</v>
      </c>
      <c r="E4208" s="1" t="s">
        <v>22</v>
      </c>
      <c r="F4208">
        <v>8</v>
      </c>
      <c r="G4208">
        <v>1</v>
      </c>
      <c r="H4208" s="1" t="s">
        <v>14</v>
      </c>
      <c r="I4208" s="1" t="s">
        <v>15</v>
      </c>
      <c r="J4208" s="12">
        <v>45930</v>
      </c>
      <c r="K4208">
        <v>0</v>
      </c>
      <c r="L4208" s="1">
        <f t="shared" si="260"/>
        <v>8</v>
      </c>
      <c r="M4208" s="1" t="str">
        <f t="shared" si="261"/>
        <v/>
      </c>
      <c r="N4208" s="2">
        <f t="shared" si="262"/>
        <v>45901</v>
      </c>
      <c r="O4208" t="str">
        <f t="shared" si="263"/>
        <v>pes</v>
      </c>
    </row>
    <row r="4209" spans="1:15" hidden="1" x14ac:dyDescent="0.25">
      <c r="A4209">
        <v>11697</v>
      </c>
      <c r="B4209" s="11">
        <v>4019876501234</v>
      </c>
      <c r="C4209" s="1" t="s">
        <v>674</v>
      </c>
      <c r="D4209" s="1" t="s">
        <v>29</v>
      </c>
      <c r="E4209" s="1" t="s">
        <v>37</v>
      </c>
      <c r="F4209">
        <v>1.84</v>
      </c>
      <c r="G4209">
        <v>4</v>
      </c>
      <c r="H4209" s="1" t="s">
        <v>14</v>
      </c>
      <c r="I4209" s="1" t="s">
        <v>15</v>
      </c>
      <c r="J4209" s="12">
        <v>45930</v>
      </c>
      <c r="K4209">
        <v>0</v>
      </c>
      <c r="L4209" s="1">
        <f t="shared" si="260"/>
        <v>7.36</v>
      </c>
      <c r="M4209" s="1" t="str">
        <f t="shared" si="261"/>
        <v/>
      </c>
      <c r="N4209" s="2">
        <f t="shared" si="262"/>
        <v>45901</v>
      </c>
      <c r="O4209" t="str">
        <f t="shared" si="263"/>
        <v>mačka</v>
      </c>
    </row>
    <row r="4210" spans="1:15" hidden="1" x14ac:dyDescent="0.25">
      <c r="A4210">
        <v>11698</v>
      </c>
      <c r="B4210" s="11">
        <v>4026677889902</v>
      </c>
      <c r="C4210" s="1" t="s">
        <v>52</v>
      </c>
      <c r="D4210" s="1" t="s">
        <v>53</v>
      </c>
      <c r="E4210" s="1" t="s">
        <v>54</v>
      </c>
      <c r="F4210">
        <v>7.6</v>
      </c>
      <c r="G4210">
        <v>1</v>
      </c>
      <c r="H4210" s="1" t="s">
        <v>18</v>
      </c>
      <c r="I4210" s="1" t="s">
        <v>862</v>
      </c>
      <c r="J4210" s="12">
        <v>45930</v>
      </c>
      <c r="K4210">
        <v>0</v>
      </c>
      <c r="L4210" s="1">
        <f t="shared" si="260"/>
        <v>7.6</v>
      </c>
      <c r="M4210" s="1">
        <f t="shared" si="261"/>
        <v>4</v>
      </c>
      <c r="N4210" s="2">
        <f t="shared" si="262"/>
        <v>45901</v>
      </c>
      <c r="O4210" t="str">
        <f t="shared" si="263"/>
        <v>iné</v>
      </c>
    </row>
    <row r="4211" spans="1:15" x14ac:dyDescent="0.25">
      <c r="A4211">
        <v>11699</v>
      </c>
      <c r="B4211" s="11">
        <v>4013456789017</v>
      </c>
      <c r="C4211" s="1" t="s">
        <v>11</v>
      </c>
      <c r="D4211" s="1" t="s">
        <v>12</v>
      </c>
      <c r="E4211" s="1" t="s">
        <v>13</v>
      </c>
      <c r="F4211">
        <v>6</v>
      </c>
      <c r="G4211">
        <v>1</v>
      </c>
      <c r="H4211" s="1" t="s">
        <v>14</v>
      </c>
      <c r="I4211" s="1" t="s">
        <v>15</v>
      </c>
      <c r="J4211" s="12">
        <v>45931</v>
      </c>
      <c r="K4211">
        <v>0</v>
      </c>
      <c r="L4211" s="1">
        <f t="shared" si="260"/>
        <v>6</v>
      </c>
      <c r="M4211" s="1" t="str">
        <f t="shared" si="261"/>
        <v/>
      </c>
      <c r="N4211" s="2">
        <f t="shared" si="262"/>
        <v>45931</v>
      </c>
      <c r="O4211" t="str">
        <f t="shared" si="263"/>
        <v>pes</v>
      </c>
    </row>
    <row r="4212" spans="1:15" x14ac:dyDescent="0.25">
      <c r="A4212">
        <v>11699</v>
      </c>
      <c r="B4212" s="11">
        <v>4028899001126</v>
      </c>
      <c r="C4212" s="1" t="s">
        <v>16</v>
      </c>
      <c r="D4212" s="1" t="s">
        <v>12</v>
      </c>
      <c r="E4212" s="1" t="s">
        <v>17</v>
      </c>
      <c r="F4212">
        <v>2.8</v>
      </c>
      <c r="G4212">
        <v>2</v>
      </c>
      <c r="H4212" s="1" t="s">
        <v>14</v>
      </c>
      <c r="I4212" s="1" t="s">
        <v>15</v>
      </c>
      <c r="J4212" s="12">
        <v>45931</v>
      </c>
      <c r="K4212">
        <v>0</v>
      </c>
      <c r="L4212" s="1">
        <f t="shared" si="260"/>
        <v>5.6</v>
      </c>
      <c r="M4212" s="1" t="str">
        <f t="shared" si="261"/>
        <v/>
      </c>
      <c r="N4212" s="2">
        <f t="shared" si="262"/>
        <v>45931</v>
      </c>
      <c r="O4212" t="str">
        <f t="shared" si="263"/>
        <v>pes</v>
      </c>
    </row>
    <row r="4213" spans="1:15" x14ac:dyDescent="0.25">
      <c r="A4213">
        <v>11700</v>
      </c>
      <c r="B4213" s="11">
        <v>4040123456795</v>
      </c>
      <c r="C4213" s="1" t="s">
        <v>20</v>
      </c>
      <c r="D4213" s="1" t="s">
        <v>21</v>
      </c>
      <c r="E4213" s="1" t="s">
        <v>22</v>
      </c>
      <c r="F4213">
        <v>8.8000000000000007</v>
      </c>
      <c r="G4213">
        <v>1</v>
      </c>
      <c r="H4213" s="1" t="s">
        <v>18</v>
      </c>
      <c r="I4213" s="1" t="s">
        <v>863</v>
      </c>
      <c r="J4213" s="12">
        <v>45931</v>
      </c>
      <c r="K4213">
        <v>0</v>
      </c>
      <c r="L4213" s="1">
        <f t="shared" si="260"/>
        <v>8.8000000000000007</v>
      </c>
      <c r="M4213" s="1">
        <f t="shared" si="261"/>
        <v>4</v>
      </c>
      <c r="N4213" s="2">
        <f t="shared" si="262"/>
        <v>45931</v>
      </c>
      <c r="O4213" t="str">
        <f t="shared" si="263"/>
        <v>pes</v>
      </c>
    </row>
    <row r="4214" spans="1:15" x14ac:dyDescent="0.25">
      <c r="A4214">
        <v>11701</v>
      </c>
      <c r="B4214" s="11">
        <v>4063456789014</v>
      </c>
      <c r="C4214" s="1" t="s">
        <v>60</v>
      </c>
      <c r="D4214" s="1" t="s">
        <v>12</v>
      </c>
      <c r="E4214" s="1" t="s">
        <v>61</v>
      </c>
      <c r="F4214">
        <v>36</v>
      </c>
      <c r="G4214">
        <v>1</v>
      </c>
      <c r="H4214" s="1" t="s">
        <v>14</v>
      </c>
      <c r="I4214" s="1" t="s">
        <v>15</v>
      </c>
      <c r="J4214" s="12">
        <v>45931</v>
      </c>
      <c r="K4214">
        <v>0</v>
      </c>
      <c r="L4214" s="1">
        <f t="shared" si="260"/>
        <v>36</v>
      </c>
      <c r="M4214" s="1" t="str">
        <f t="shared" si="261"/>
        <v/>
      </c>
      <c r="N4214" s="2">
        <f t="shared" si="262"/>
        <v>45931</v>
      </c>
      <c r="O4214" t="str">
        <f t="shared" si="263"/>
        <v>pes</v>
      </c>
    </row>
    <row r="4215" spans="1:15" hidden="1" x14ac:dyDescent="0.25">
      <c r="A4215">
        <v>11702</v>
      </c>
      <c r="B4215" s="11">
        <v>4056789012345</v>
      </c>
      <c r="C4215" s="1" t="s">
        <v>47</v>
      </c>
      <c r="D4215" s="1" t="s">
        <v>29</v>
      </c>
      <c r="E4215" s="1" t="s">
        <v>37</v>
      </c>
      <c r="F4215">
        <v>2.4</v>
      </c>
      <c r="G4215">
        <v>3</v>
      </c>
      <c r="H4215" s="1" t="s">
        <v>18</v>
      </c>
      <c r="I4215" s="1" t="s">
        <v>864</v>
      </c>
      <c r="J4215" s="12">
        <v>45931</v>
      </c>
      <c r="K4215">
        <v>0</v>
      </c>
      <c r="L4215" s="1">
        <f t="shared" si="260"/>
        <v>7.1999999999999993</v>
      </c>
      <c r="M4215" s="1">
        <f t="shared" si="261"/>
        <v>4</v>
      </c>
      <c r="N4215" s="2">
        <f t="shared" si="262"/>
        <v>45931</v>
      </c>
      <c r="O4215" t="str">
        <f t="shared" si="263"/>
        <v>mačka</v>
      </c>
    </row>
    <row r="4216" spans="1:15" hidden="1" x14ac:dyDescent="0.25">
      <c r="A4216">
        <v>11703</v>
      </c>
      <c r="B4216" s="11">
        <v>4026677889902</v>
      </c>
      <c r="C4216" s="1" t="s">
        <v>52</v>
      </c>
      <c r="D4216" s="1" t="s">
        <v>53</v>
      </c>
      <c r="E4216" s="1" t="s">
        <v>54</v>
      </c>
      <c r="F4216">
        <v>7.6</v>
      </c>
      <c r="G4216">
        <v>1</v>
      </c>
      <c r="H4216" s="1" t="s">
        <v>14</v>
      </c>
      <c r="I4216" s="1" t="s">
        <v>15</v>
      </c>
      <c r="J4216" s="12">
        <v>45931</v>
      </c>
      <c r="K4216">
        <v>0</v>
      </c>
      <c r="L4216" s="1">
        <f t="shared" si="260"/>
        <v>7.6</v>
      </c>
      <c r="M4216" s="1" t="str">
        <f t="shared" si="261"/>
        <v/>
      </c>
      <c r="N4216" s="2">
        <f t="shared" si="262"/>
        <v>45931</v>
      </c>
      <c r="O4216" t="str">
        <f t="shared" si="263"/>
        <v>iné</v>
      </c>
    </row>
    <row r="4217" spans="1:15" x14ac:dyDescent="0.25">
      <c r="A4217">
        <v>11704</v>
      </c>
      <c r="B4217" s="11">
        <v>4027788990013</v>
      </c>
      <c r="C4217" s="1" t="s">
        <v>43</v>
      </c>
      <c r="D4217" s="1" t="s">
        <v>21</v>
      </c>
      <c r="E4217" s="1" t="s">
        <v>22</v>
      </c>
      <c r="F4217">
        <v>8</v>
      </c>
      <c r="G4217">
        <v>1</v>
      </c>
      <c r="H4217" s="1" t="s">
        <v>14</v>
      </c>
      <c r="I4217" s="1" t="s">
        <v>15</v>
      </c>
      <c r="J4217" s="12">
        <v>45931</v>
      </c>
      <c r="K4217">
        <v>0</v>
      </c>
      <c r="L4217" s="1">
        <f t="shared" si="260"/>
        <v>8</v>
      </c>
      <c r="M4217" s="1" t="str">
        <f t="shared" si="261"/>
        <v/>
      </c>
      <c r="N4217" s="2">
        <f t="shared" si="262"/>
        <v>45931</v>
      </c>
      <c r="O4217" t="str">
        <f t="shared" si="263"/>
        <v>pes</v>
      </c>
    </row>
    <row r="4218" spans="1:15" x14ac:dyDescent="0.25">
      <c r="A4218">
        <v>11705</v>
      </c>
      <c r="B4218" s="11">
        <v>4017890123450</v>
      </c>
      <c r="C4218" s="1" t="s">
        <v>65</v>
      </c>
      <c r="D4218" s="1" t="s">
        <v>39</v>
      </c>
      <c r="E4218" s="1" t="s">
        <v>22</v>
      </c>
      <c r="F4218">
        <v>7.6</v>
      </c>
      <c r="G4218">
        <v>1</v>
      </c>
      <c r="H4218" s="1" t="s">
        <v>14</v>
      </c>
      <c r="I4218" s="1" t="s">
        <v>15</v>
      </c>
      <c r="J4218" s="12">
        <v>45931</v>
      </c>
      <c r="K4218">
        <v>0</v>
      </c>
      <c r="L4218" s="1">
        <f t="shared" si="260"/>
        <v>7.6</v>
      </c>
      <c r="M4218" s="1" t="str">
        <f t="shared" si="261"/>
        <v/>
      </c>
      <c r="N4218" s="2">
        <f t="shared" si="262"/>
        <v>45931</v>
      </c>
      <c r="O4218" t="str">
        <f t="shared" si="263"/>
        <v>pes</v>
      </c>
    </row>
    <row r="4219" spans="1:15" hidden="1" x14ac:dyDescent="0.25">
      <c r="A4219">
        <v>11706</v>
      </c>
      <c r="B4219" s="11">
        <v>4050123456794</v>
      </c>
      <c r="C4219" s="1" t="s">
        <v>41</v>
      </c>
      <c r="D4219" s="1" t="s">
        <v>36</v>
      </c>
      <c r="E4219" s="1" t="s">
        <v>42</v>
      </c>
      <c r="F4219">
        <v>7.2</v>
      </c>
      <c r="G4219">
        <v>1</v>
      </c>
      <c r="H4219" s="1" t="s">
        <v>14</v>
      </c>
      <c r="I4219" s="1" t="s">
        <v>15</v>
      </c>
      <c r="J4219" s="12">
        <v>45931</v>
      </c>
      <c r="K4219">
        <v>0</v>
      </c>
      <c r="L4219" s="1">
        <f t="shared" si="260"/>
        <v>7.2</v>
      </c>
      <c r="M4219" s="1" t="str">
        <f t="shared" si="261"/>
        <v/>
      </c>
      <c r="N4219" s="2">
        <f t="shared" si="262"/>
        <v>45931</v>
      </c>
      <c r="O4219" t="str">
        <f t="shared" si="263"/>
        <v>mačka</v>
      </c>
    </row>
    <row r="4220" spans="1:15" x14ac:dyDescent="0.25">
      <c r="A4220">
        <v>11707</v>
      </c>
      <c r="B4220" s="11">
        <v>4028899001126</v>
      </c>
      <c r="C4220" s="1" t="s">
        <v>16</v>
      </c>
      <c r="D4220" s="1" t="s">
        <v>12</v>
      </c>
      <c r="E4220" s="1" t="s">
        <v>17</v>
      </c>
      <c r="F4220">
        <v>2.8</v>
      </c>
      <c r="G4220">
        <v>2</v>
      </c>
      <c r="H4220" s="1" t="s">
        <v>18</v>
      </c>
      <c r="I4220" s="1" t="s">
        <v>865</v>
      </c>
      <c r="J4220" s="12">
        <v>45932</v>
      </c>
      <c r="K4220">
        <v>0</v>
      </c>
      <c r="L4220" s="1">
        <f t="shared" si="260"/>
        <v>5.6</v>
      </c>
      <c r="M4220" s="1">
        <f t="shared" si="261"/>
        <v>4</v>
      </c>
      <c r="N4220" s="2">
        <f t="shared" si="262"/>
        <v>45931</v>
      </c>
      <c r="O4220" t="str">
        <f t="shared" si="263"/>
        <v>pes</v>
      </c>
    </row>
    <row r="4221" spans="1:15" x14ac:dyDescent="0.25">
      <c r="A4221">
        <v>11708</v>
      </c>
      <c r="B4221" s="11">
        <v>4013456789017</v>
      </c>
      <c r="C4221" s="1" t="s">
        <v>11</v>
      </c>
      <c r="D4221" s="1" t="s">
        <v>12</v>
      </c>
      <c r="E4221" s="1" t="s">
        <v>13</v>
      </c>
      <c r="F4221">
        <v>6</v>
      </c>
      <c r="G4221">
        <v>2</v>
      </c>
      <c r="H4221" s="1" t="s">
        <v>14</v>
      </c>
      <c r="I4221" s="1" t="s">
        <v>15</v>
      </c>
      <c r="J4221" s="12">
        <v>45932</v>
      </c>
      <c r="K4221">
        <v>0</v>
      </c>
      <c r="L4221" s="1">
        <f t="shared" si="260"/>
        <v>12</v>
      </c>
      <c r="M4221" s="1" t="str">
        <f t="shared" si="261"/>
        <v/>
      </c>
      <c r="N4221" s="2">
        <f t="shared" si="262"/>
        <v>45931</v>
      </c>
      <c r="O4221" t="str">
        <f t="shared" si="263"/>
        <v>pes</v>
      </c>
    </row>
    <row r="4222" spans="1:15" hidden="1" x14ac:dyDescent="0.25">
      <c r="A4222">
        <v>11709</v>
      </c>
      <c r="B4222" s="11">
        <v>4024455667788</v>
      </c>
      <c r="C4222" s="1" t="s">
        <v>657</v>
      </c>
      <c r="D4222" s="1" t="s">
        <v>140</v>
      </c>
      <c r="E4222" s="1" t="s">
        <v>42</v>
      </c>
      <c r="F4222">
        <v>75.64</v>
      </c>
      <c r="G4222">
        <v>1</v>
      </c>
      <c r="H4222" s="1" t="s">
        <v>14</v>
      </c>
      <c r="I4222" s="1" t="s">
        <v>15</v>
      </c>
      <c r="J4222" s="12">
        <v>45932</v>
      </c>
      <c r="K4222">
        <v>0</v>
      </c>
      <c r="L4222" s="1">
        <f t="shared" si="260"/>
        <v>75.64</v>
      </c>
      <c r="M4222" s="1" t="str">
        <f t="shared" si="261"/>
        <v/>
      </c>
      <c r="N4222" s="2">
        <f t="shared" si="262"/>
        <v>45931</v>
      </c>
      <c r="O4222" t="str">
        <f t="shared" si="263"/>
        <v>mačka</v>
      </c>
    </row>
    <row r="4223" spans="1:15" hidden="1" x14ac:dyDescent="0.25">
      <c r="A4223">
        <v>11710</v>
      </c>
      <c r="B4223" s="11">
        <v>4056789012345</v>
      </c>
      <c r="C4223" s="1" t="s">
        <v>47</v>
      </c>
      <c r="D4223" s="1" t="s">
        <v>29</v>
      </c>
      <c r="E4223" s="1" t="s">
        <v>37</v>
      </c>
      <c r="F4223">
        <v>2.4</v>
      </c>
      <c r="G4223">
        <v>3</v>
      </c>
      <c r="H4223" s="1" t="s">
        <v>14</v>
      </c>
      <c r="I4223" s="1" t="s">
        <v>15</v>
      </c>
      <c r="J4223" s="12">
        <v>45932</v>
      </c>
      <c r="K4223">
        <v>0</v>
      </c>
      <c r="L4223" s="1">
        <f t="shared" si="260"/>
        <v>7.1999999999999993</v>
      </c>
      <c r="M4223" s="1" t="str">
        <f t="shared" si="261"/>
        <v/>
      </c>
      <c r="N4223" s="2">
        <f t="shared" si="262"/>
        <v>45931</v>
      </c>
      <c r="O4223" t="str">
        <f t="shared" si="263"/>
        <v>mačka</v>
      </c>
    </row>
    <row r="4224" spans="1:15" hidden="1" x14ac:dyDescent="0.25">
      <c r="A4224">
        <v>11711</v>
      </c>
      <c r="B4224" s="11">
        <v>4019876501234</v>
      </c>
      <c r="C4224" s="1" t="s">
        <v>674</v>
      </c>
      <c r="D4224" s="1" t="s">
        <v>29</v>
      </c>
      <c r="E4224" s="1" t="s">
        <v>37</v>
      </c>
      <c r="F4224">
        <v>1.84</v>
      </c>
      <c r="G4224">
        <v>4</v>
      </c>
      <c r="H4224" s="1" t="s">
        <v>14</v>
      </c>
      <c r="I4224" s="1" t="s">
        <v>15</v>
      </c>
      <c r="J4224" s="12">
        <v>45932</v>
      </c>
      <c r="K4224">
        <v>0</v>
      </c>
      <c r="L4224" s="1">
        <f t="shared" si="260"/>
        <v>7.36</v>
      </c>
      <c r="M4224" s="1" t="str">
        <f t="shared" si="261"/>
        <v/>
      </c>
      <c r="N4224" s="2">
        <f t="shared" si="262"/>
        <v>45931</v>
      </c>
      <c r="O4224" t="str">
        <f t="shared" si="263"/>
        <v>mačka</v>
      </c>
    </row>
    <row r="4225" spans="1:15" x14ac:dyDescent="0.25">
      <c r="A4225">
        <v>11712</v>
      </c>
      <c r="B4225" s="11">
        <v>4017890123450</v>
      </c>
      <c r="C4225" s="1" t="s">
        <v>65</v>
      </c>
      <c r="D4225" s="1" t="s">
        <v>39</v>
      </c>
      <c r="E4225" s="1" t="s">
        <v>22</v>
      </c>
      <c r="F4225">
        <v>7.6</v>
      </c>
      <c r="G4225">
        <v>2</v>
      </c>
      <c r="H4225" s="1" t="s">
        <v>33</v>
      </c>
      <c r="I4225" s="1" t="s">
        <v>866</v>
      </c>
      <c r="J4225" s="12">
        <v>45932</v>
      </c>
      <c r="K4225">
        <v>0</v>
      </c>
      <c r="L4225" s="1">
        <f t="shared" si="260"/>
        <v>15.2</v>
      </c>
      <c r="M4225" s="1">
        <f t="shared" si="261"/>
        <v>3</v>
      </c>
      <c r="N4225" s="2">
        <f t="shared" si="262"/>
        <v>45931</v>
      </c>
      <c r="O4225" t="str">
        <f t="shared" si="263"/>
        <v>pes</v>
      </c>
    </row>
    <row r="4226" spans="1:15" x14ac:dyDescent="0.25">
      <c r="A4226">
        <v>11713</v>
      </c>
      <c r="B4226" s="11">
        <v>4022345678908</v>
      </c>
      <c r="C4226" s="1" t="s">
        <v>363</v>
      </c>
      <c r="D4226" s="1" t="s">
        <v>21</v>
      </c>
      <c r="E4226" s="1" t="s">
        <v>69</v>
      </c>
      <c r="F4226">
        <v>10</v>
      </c>
      <c r="G4226">
        <v>1</v>
      </c>
      <c r="H4226" s="1" t="s">
        <v>14</v>
      </c>
      <c r="I4226" s="1" t="s">
        <v>15</v>
      </c>
      <c r="J4226" s="12">
        <v>45932</v>
      </c>
      <c r="K4226">
        <v>0</v>
      </c>
      <c r="L4226" s="1">
        <f t="shared" ref="L4226:L4289" si="264">F4226*G4226</f>
        <v>10</v>
      </c>
      <c r="M4226" s="1" t="str">
        <f t="shared" ref="M4226:M4289" si="265">IF(H4226="NULL", "",VALUE(H4226))</f>
        <v/>
      </c>
      <c r="N4226" s="2">
        <f t="shared" ref="N4226:N4289" si="266">DATE(YEAR(J4226),MONTH(J4226),1)</f>
        <v>45931</v>
      </c>
      <c r="O4226" t="str">
        <f t="shared" ref="O4226:O4289" si="267">IF(ISNUMBER(SEARCH("Mačky",D4226)),"mačka",IF(ISNUMBER(SEARCH("Psy",D4226)),"pes","iné"))</f>
        <v>pes</v>
      </c>
    </row>
    <row r="4227" spans="1:15" x14ac:dyDescent="0.25">
      <c r="A4227">
        <v>11714</v>
      </c>
      <c r="B4227" s="11">
        <v>4027788990013</v>
      </c>
      <c r="C4227" s="1" t="s">
        <v>43</v>
      </c>
      <c r="D4227" s="1" t="s">
        <v>21</v>
      </c>
      <c r="E4227" s="1" t="s">
        <v>22</v>
      </c>
      <c r="F4227">
        <v>8</v>
      </c>
      <c r="G4227">
        <v>1</v>
      </c>
      <c r="H4227" s="1" t="s">
        <v>14</v>
      </c>
      <c r="I4227" s="1" t="s">
        <v>15</v>
      </c>
      <c r="J4227" s="12">
        <v>45932</v>
      </c>
      <c r="K4227">
        <v>0</v>
      </c>
      <c r="L4227" s="1">
        <f t="shared" si="264"/>
        <v>8</v>
      </c>
      <c r="M4227" s="1" t="str">
        <f t="shared" si="265"/>
        <v/>
      </c>
      <c r="N4227" s="2">
        <f t="shared" si="266"/>
        <v>45931</v>
      </c>
      <c r="O4227" t="str">
        <f t="shared" si="267"/>
        <v>pes</v>
      </c>
    </row>
    <row r="4228" spans="1:15" x14ac:dyDescent="0.25">
      <c r="A4228">
        <v>11715</v>
      </c>
      <c r="B4228" s="11">
        <v>4057890123467</v>
      </c>
      <c r="C4228" s="1" t="s">
        <v>307</v>
      </c>
      <c r="D4228" s="1" t="s">
        <v>39</v>
      </c>
      <c r="E4228" s="1" t="s">
        <v>308</v>
      </c>
      <c r="F4228">
        <v>9.6</v>
      </c>
      <c r="G4228">
        <v>1</v>
      </c>
      <c r="H4228" s="1" t="s">
        <v>14</v>
      </c>
      <c r="I4228" s="1" t="s">
        <v>15</v>
      </c>
      <c r="J4228" s="12">
        <v>45932</v>
      </c>
      <c r="K4228">
        <v>0</v>
      </c>
      <c r="L4228" s="1">
        <f t="shared" si="264"/>
        <v>9.6</v>
      </c>
      <c r="M4228" s="1" t="str">
        <f t="shared" si="265"/>
        <v/>
      </c>
      <c r="N4228" s="2">
        <f t="shared" si="266"/>
        <v>45931</v>
      </c>
      <c r="O4228" t="str">
        <f t="shared" si="267"/>
        <v>pes</v>
      </c>
    </row>
    <row r="4229" spans="1:15" hidden="1" x14ac:dyDescent="0.25">
      <c r="A4229">
        <v>11716</v>
      </c>
      <c r="B4229" s="11">
        <v>4029900112244</v>
      </c>
      <c r="C4229" s="1" t="s">
        <v>655</v>
      </c>
      <c r="D4229" s="1" t="s">
        <v>36</v>
      </c>
      <c r="E4229" s="1" t="s">
        <v>37</v>
      </c>
      <c r="F4229">
        <v>13.6</v>
      </c>
      <c r="G4229">
        <v>1</v>
      </c>
      <c r="H4229" s="1" t="s">
        <v>14</v>
      </c>
      <c r="I4229" s="1" t="s">
        <v>15</v>
      </c>
      <c r="J4229" s="12">
        <v>45932</v>
      </c>
      <c r="K4229">
        <v>0</v>
      </c>
      <c r="L4229" s="1">
        <f t="shared" si="264"/>
        <v>13.6</v>
      </c>
      <c r="M4229" s="1" t="str">
        <f t="shared" si="265"/>
        <v/>
      </c>
      <c r="N4229" s="2">
        <f t="shared" si="266"/>
        <v>45931</v>
      </c>
      <c r="O4229" t="str">
        <f t="shared" si="267"/>
        <v>mačka</v>
      </c>
    </row>
    <row r="4230" spans="1:15" x14ac:dyDescent="0.25">
      <c r="A4230">
        <v>11717</v>
      </c>
      <c r="B4230" s="11">
        <v>4028899001126</v>
      </c>
      <c r="C4230" s="1" t="s">
        <v>16</v>
      </c>
      <c r="D4230" s="1" t="s">
        <v>12</v>
      </c>
      <c r="E4230" s="1" t="s">
        <v>17</v>
      </c>
      <c r="F4230">
        <v>2.8</v>
      </c>
      <c r="G4230">
        <v>3</v>
      </c>
      <c r="H4230" s="1" t="s">
        <v>14</v>
      </c>
      <c r="I4230" s="1" t="s">
        <v>15</v>
      </c>
      <c r="J4230" s="12">
        <v>45932</v>
      </c>
      <c r="K4230">
        <v>0</v>
      </c>
      <c r="L4230" s="1">
        <f t="shared" si="264"/>
        <v>8.3999999999999986</v>
      </c>
      <c r="M4230" s="1" t="str">
        <f t="shared" si="265"/>
        <v/>
      </c>
      <c r="N4230" s="2">
        <f t="shared" si="266"/>
        <v>45931</v>
      </c>
      <c r="O4230" t="str">
        <f t="shared" si="267"/>
        <v>pes</v>
      </c>
    </row>
    <row r="4231" spans="1:15" x14ac:dyDescent="0.25">
      <c r="A4231">
        <v>11718</v>
      </c>
      <c r="B4231" s="11">
        <v>4013456789017</v>
      </c>
      <c r="C4231" s="1" t="s">
        <v>11</v>
      </c>
      <c r="D4231" s="1" t="s">
        <v>12</v>
      </c>
      <c r="E4231" s="1" t="s">
        <v>13</v>
      </c>
      <c r="F4231">
        <v>6</v>
      </c>
      <c r="G4231">
        <v>1</v>
      </c>
      <c r="H4231" s="1" t="s">
        <v>14</v>
      </c>
      <c r="I4231" s="1" t="s">
        <v>15</v>
      </c>
      <c r="J4231" s="12">
        <v>45932</v>
      </c>
      <c r="K4231">
        <v>0</v>
      </c>
      <c r="L4231" s="1">
        <f t="shared" si="264"/>
        <v>6</v>
      </c>
      <c r="M4231" s="1" t="str">
        <f t="shared" si="265"/>
        <v/>
      </c>
      <c r="N4231" s="2">
        <f t="shared" si="266"/>
        <v>45931</v>
      </c>
      <c r="O4231" t="str">
        <f t="shared" si="267"/>
        <v>pes</v>
      </c>
    </row>
    <row r="4232" spans="1:15" x14ac:dyDescent="0.25">
      <c r="A4232">
        <v>11719</v>
      </c>
      <c r="B4232" s="11">
        <v>4040123456795</v>
      </c>
      <c r="C4232" s="1" t="s">
        <v>20</v>
      </c>
      <c r="D4232" s="1" t="s">
        <v>21</v>
      </c>
      <c r="E4232" s="1" t="s">
        <v>22</v>
      </c>
      <c r="F4232">
        <v>8.8000000000000007</v>
      </c>
      <c r="G4232">
        <v>1</v>
      </c>
      <c r="H4232" s="1" t="s">
        <v>23</v>
      </c>
      <c r="I4232" s="1" t="s">
        <v>867</v>
      </c>
      <c r="J4232" s="12">
        <v>45932</v>
      </c>
      <c r="K4232">
        <v>0</v>
      </c>
      <c r="L4232" s="1">
        <f t="shared" si="264"/>
        <v>8.8000000000000007</v>
      </c>
      <c r="M4232" s="1">
        <f t="shared" si="265"/>
        <v>5</v>
      </c>
      <c r="N4232" s="2">
        <f t="shared" si="266"/>
        <v>45931</v>
      </c>
      <c r="O4232" t="str">
        <f t="shared" si="267"/>
        <v>pes</v>
      </c>
    </row>
    <row r="4233" spans="1:15" hidden="1" x14ac:dyDescent="0.25">
      <c r="A4233">
        <v>11720</v>
      </c>
      <c r="B4233" s="11">
        <v>4026677889902</v>
      </c>
      <c r="C4233" s="1" t="s">
        <v>52</v>
      </c>
      <c r="D4233" s="1" t="s">
        <v>53</v>
      </c>
      <c r="E4233" s="1" t="s">
        <v>54</v>
      </c>
      <c r="F4233">
        <v>7.6</v>
      </c>
      <c r="G4233">
        <v>1</v>
      </c>
      <c r="H4233" s="1" t="s">
        <v>14</v>
      </c>
      <c r="I4233" s="1" t="s">
        <v>15</v>
      </c>
      <c r="J4233" s="12">
        <v>45932</v>
      </c>
      <c r="K4233">
        <v>0</v>
      </c>
      <c r="L4233" s="1">
        <f t="shared" si="264"/>
        <v>7.6</v>
      </c>
      <c r="M4233" s="1" t="str">
        <f t="shared" si="265"/>
        <v/>
      </c>
      <c r="N4233" s="2">
        <f t="shared" si="266"/>
        <v>45931</v>
      </c>
      <c r="O4233" t="str">
        <f t="shared" si="267"/>
        <v>iné</v>
      </c>
    </row>
    <row r="4234" spans="1:15" x14ac:dyDescent="0.25">
      <c r="A4234">
        <v>11721</v>
      </c>
      <c r="B4234" s="11">
        <v>4017890123450</v>
      </c>
      <c r="C4234" s="1" t="s">
        <v>65</v>
      </c>
      <c r="D4234" s="1" t="s">
        <v>39</v>
      </c>
      <c r="E4234" s="1" t="s">
        <v>22</v>
      </c>
      <c r="F4234">
        <v>7.6</v>
      </c>
      <c r="G4234">
        <v>1</v>
      </c>
      <c r="H4234" s="1" t="s">
        <v>14</v>
      </c>
      <c r="I4234" s="1" t="s">
        <v>15</v>
      </c>
      <c r="J4234" s="12">
        <v>45932</v>
      </c>
      <c r="K4234">
        <v>0</v>
      </c>
      <c r="L4234" s="1">
        <f t="shared" si="264"/>
        <v>7.6</v>
      </c>
      <c r="M4234" s="1" t="str">
        <f t="shared" si="265"/>
        <v/>
      </c>
      <c r="N4234" s="2">
        <f t="shared" si="266"/>
        <v>45931</v>
      </c>
      <c r="O4234" t="str">
        <f t="shared" si="267"/>
        <v>pes</v>
      </c>
    </row>
    <row r="4235" spans="1:15" hidden="1" x14ac:dyDescent="0.25">
      <c r="A4235">
        <v>11722</v>
      </c>
      <c r="B4235" s="11">
        <v>4069012345682</v>
      </c>
      <c r="C4235" s="1" t="s">
        <v>143</v>
      </c>
      <c r="D4235" s="1" t="s">
        <v>144</v>
      </c>
      <c r="E4235" s="1" t="s">
        <v>30</v>
      </c>
      <c r="F4235">
        <v>26</v>
      </c>
      <c r="G4235">
        <v>1</v>
      </c>
      <c r="H4235" s="1" t="s">
        <v>18</v>
      </c>
      <c r="I4235" s="1" t="s">
        <v>868</v>
      </c>
      <c r="J4235" s="12">
        <v>45933</v>
      </c>
      <c r="K4235">
        <v>0</v>
      </c>
      <c r="L4235" s="1">
        <f t="shared" si="264"/>
        <v>26</v>
      </c>
      <c r="M4235" s="1">
        <f t="shared" si="265"/>
        <v>4</v>
      </c>
      <c r="N4235" s="2">
        <f t="shared" si="266"/>
        <v>45931</v>
      </c>
      <c r="O4235" t="str">
        <f t="shared" si="267"/>
        <v>mačka</v>
      </c>
    </row>
    <row r="4236" spans="1:15" hidden="1" x14ac:dyDescent="0.25">
      <c r="A4236">
        <v>11723</v>
      </c>
      <c r="B4236" s="11">
        <v>4025566778891</v>
      </c>
      <c r="C4236" s="1" t="s">
        <v>320</v>
      </c>
      <c r="D4236" s="1" t="s">
        <v>317</v>
      </c>
      <c r="E4236" s="1" t="s">
        <v>30</v>
      </c>
      <c r="F4236">
        <v>51.64</v>
      </c>
      <c r="G4236">
        <v>1</v>
      </c>
      <c r="H4236" s="1" t="s">
        <v>14</v>
      </c>
      <c r="I4236" s="1" t="s">
        <v>15</v>
      </c>
      <c r="J4236" s="12">
        <v>45933</v>
      </c>
      <c r="K4236">
        <v>0</v>
      </c>
      <c r="L4236" s="1">
        <f t="shared" si="264"/>
        <v>51.64</v>
      </c>
      <c r="M4236" s="1" t="str">
        <f t="shared" si="265"/>
        <v/>
      </c>
      <c r="N4236" s="2">
        <f t="shared" si="266"/>
        <v>45931</v>
      </c>
      <c r="O4236" t="str">
        <f t="shared" si="267"/>
        <v>mačka</v>
      </c>
    </row>
    <row r="4237" spans="1:15" x14ac:dyDescent="0.25">
      <c r="A4237">
        <v>11724</v>
      </c>
      <c r="B4237" s="11">
        <v>4063456789014</v>
      </c>
      <c r="C4237" s="1" t="s">
        <v>60</v>
      </c>
      <c r="D4237" s="1" t="s">
        <v>12</v>
      </c>
      <c r="E4237" s="1" t="s">
        <v>61</v>
      </c>
      <c r="F4237">
        <v>36</v>
      </c>
      <c r="G4237">
        <v>1</v>
      </c>
      <c r="H4237" s="1" t="s">
        <v>14</v>
      </c>
      <c r="I4237" s="1" t="s">
        <v>15</v>
      </c>
      <c r="J4237" s="12">
        <v>45933</v>
      </c>
      <c r="K4237">
        <v>0</v>
      </c>
      <c r="L4237" s="1">
        <f t="shared" si="264"/>
        <v>36</v>
      </c>
      <c r="M4237" s="1" t="str">
        <f t="shared" si="265"/>
        <v/>
      </c>
      <c r="N4237" s="2">
        <f t="shared" si="266"/>
        <v>45931</v>
      </c>
      <c r="O4237" t="str">
        <f t="shared" si="267"/>
        <v>pes</v>
      </c>
    </row>
    <row r="4238" spans="1:15" x14ac:dyDescent="0.25">
      <c r="A4238">
        <v>11725</v>
      </c>
      <c r="B4238" s="11">
        <v>4027788990013</v>
      </c>
      <c r="C4238" s="1" t="s">
        <v>43</v>
      </c>
      <c r="D4238" s="1" t="s">
        <v>21</v>
      </c>
      <c r="E4238" s="1" t="s">
        <v>22</v>
      </c>
      <c r="F4238">
        <v>8</v>
      </c>
      <c r="G4238">
        <v>1</v>
      </c>
      <c r="H4238" s="1" t="s">
        <v>14</v>
      </c>
      <c r="I4238" s="1" t="s">
        <v>15</v>
      </c>
      <c r="J4238" s="12">
        <v>45933</v>
      </c>
      <c r="K4238">
        <v>0</v>
      </c>
      <c r="L4238" s="1">
        <f t="shared" si="264"/>
        <v>8</v>
      </c>
      <c r="M4238" s="1" t="str">
        <f t="shared" si="265"/>
        <v/>
      </c>
      <c r="N4238" s="2">
        <f t="shared" si="266"/>
        <v>45931</v>
      </c>
      <c r="O4238" t="str">
        <f t="shared" si="267"/>
        <v>pes</v>
      </c>
    </row>
    <row r="4239" spans="1:15" hidden="1" x14ac:dyDescent="0.25">
      <c r="A4239">
        <v>11726</v>
      </c>
      <c r="B4239" s="11">
        <v>4019876501234</v>
      </c>
      <c r="C4239" s="1" t="s">
        <v>674</v>
      </c>
      <c r="D4239" s="1" t="s">
        <v>29</v>
      </c>
      <c r="E4239" s="1" t="s">
        <v>37</v>
      </c>
      <c r="F4239">
        <v>1.84</v>
      </c>
      <c r="G4239">
        <v>5</v>
      </c>
      <c r="H4239" s="1" t="s">
        <v>14</v>
      </c>
      <c r="I4239" s="1" t="s">
        <v>15</v>
      </c>
      <c r="J4239" s="12">
        <v>45933</v>
      </c>
      <c r="K4239">
        <v>0</v>
      </c>
      <c r="L4239" s="1">
        <f t="shared" si="264"/>
        <v>9.2000000000000011</v>
      </c>
      <c r="M4239" s="1" t="str">
        <f t="shared" si="265"/>
        <v/>
      </c>
      <c r="N4239" s="2">
        <f t="shared" si="266"/>
        <v>45931</v>
      </c>
      <c r="O4239" t="str">
        <f t="shared" si="267"/>
        <v>mačka</v>
      </c>
    </row>
    <row r="4240" spans="1:15" x14ac:dyDescent="0.25">
      <c r="A4240">
        <v>11727</v>
      </c>
      <c r="B4240" s="11">
        <v>4028899001126</v>
      </c>
      <c r="C4240" s="1" t="s">
        <v>16</v>
      </c>
      <c r="D4240" s="1" t="s">
        <v>12</v>
      </c>
      <c r="E4240" s="1" t="s">
        <v>17</v>
      </c>
      <c r="F4240">
        <v>2.8</v>
      </c>
      <c r="G4240">
        <v>3</v>
      </c>
      <c r="H4240" s="1" t="s">
        <v>14</v>
      </c>
      <c r="I4240" s="1" t="s">
        <v>15</v>
      </c>
      <c r="J4240" s="12">
        <v>45933</v>
      </c>
      <c r="K4240">
        <v>0</v>
      </c>
      <c r="L4240" s="1">
        <f t="shared" si="264"/>
        <v>8.3999999999999986</v>
      </c>
      <c r="M4240" s="1" t="str">
        <f t="shared" si="265"/>
        <v/>
      </c>
      <c r="N4240" s="2">
        <f t="shared" si="266"/>
        <v>45931</v>
      </c>
      <c r="O4240" t="str">
        <f t="shared" si="267"/>
        <v>pes</v>
      </c>
    </row>
    <row r="4241" spans="1:15" x14ac:dyDescent="0.25">
      <c r="A4241">
        <v>11728</v>
      </c>
      <c r="B4241" s="11">
        <v>4013456789017</v>
      </c>
      <c r="C4241" s="1" t="s">
        <v>11</v>
      </c>
      <c r="D4241" s="1" t="s">
        <v>12</v>
      </c>
      <c r="E4241" s="1" t="s">
        <v>13</v>
      </c>
      <c r="F4241">
        <v>6</v>
      </c>
      <c r="G4241">
        <v>2</v>
      </c>
      <c r="H4241" s="1" t="s">
        <v>14</v>
      </c>
      <c r="I4241" s="1" t="s">
        <v>15</v>
      </c>
      <c r="J4241" s="12">
        <v>45933</v>
      </c>
      <c r="K4241">
        <v>0</v>
      </c>
      <c r="L4241" s="1">
        <f t="shared" si="264"/>
        <v>12</v>
      </c>
      <c r="M4241" s="1" t="str">
        <f t="shared" si="265"/>
        <v/>
      </c>
      <c r="N4241" s="2">
        <f t="shared" si="266"/>
        <v>45931</v>
      </c>
      <c r="O4241" t="str">
        <f t="shared" si="267"/>
        <v>pes</v>
      </c>
    </row>
    <row r="4242" spans="1:15" x14ac:dyDescent="0.25">
      <c r="A4242">
        <v>11729</v>
      </c>
      <c r="B4242" s="11">
        <v>4040123456795</v>
      </c>
      <c r="C4242" s="1" t="s">
        <v>20</v>
      </c>
      <c r="D4242" s="1" t="s">
        <v>21</v>
      </c>
      <c r="E4242" s="1" t="s">
        <v>22</v>
      </c>
      <c r="F4242">
        <v>8.8000000000000007</v>
      </c>
      <c r="G4242">
        <v>1</v>
      </c>
      <c r="H4242" s="1" t="s">
        <v>18</v>
      </c>
      <c r="I4242" s="1" t="s">
        <v>869</v>
      </c>
      <c r="J4242" s="12">
        <v>45933</v>
      </c>
      <c r="K4242">
        <v>0</v>
      </c>
      <c r="L4242" s="1">
        <f t="shared" si="264"/>
        <v>8.8000000000000007</v>
      </c>
      <c r="M4242" s="1">
        <f t="shared" si="265"/>
        <v>4</v>
      </c>
      <c r="N4242" s="2">
        <f t="shared" si="266"/>
        <v>45931</v>
      </c>
      <c r="O4242" t="str">
        <f t="shared" si="267"/>
        <v>pes</v>
      </c>
    </row>
    <row r="4243" spans="1:15" hidden="1" x14ac:dyDescent="0.25">
      <c r="A4243">
        <v>11730</v>
      </c>
      <c r="B4243" s="11">
        <v>4029900112244</v>
      </c>
      <c r="C4243" s="1" t="s">
        <v>655</v>
      </c>
      <c r="D4243" s="1" t="s">
        <v>36</v>
      </c>
      <c r="E4243" s="1" t="s">
        <v>37</v>
      </c>
      <c r="F4243">
        <v>13.6</v>
      </c>
      <c r="G4243">
        <v>1</v>
      </c>
      <c r="H4243" s="1" t="s">
        <v>14</v>
      </c>
      <c r="I4243" s="1" t="s">
        <v>15</v>
      </c>
      <c r="J4243" s="12">
        <v>45933</v>
      </c>
      <c r="K4243">
        <v>0</v>
      </c>
      <c r="L4243" s="1">
        <f t="shared" si="264"/>
        <v>13.6</v>
      </c>
      <c r="M4243" s="1" t="str">
        <f t="shared" si="265"/>
        <v/>
      </c>
      <c r="N4243" s="2">
        <f t="shared" si="266"/>
        <v>45931</v>
      </c>
      <c r="O4243" t="str">
        <f t="shared" si="267"/>
        <v>mačka</v>
      </c>
    </row>
    <row r="4244" spans="1:15" x14ac:dyDescent="0.25">
      <c r="A4244">
        <v>11731</v>
      </c>
      <c r="B4244" s="11">
        <v>4017890123450</v>
      </c>
      <c r="C4244" s="1" t="s">
        <v>65</v>
      </c>
      <c r="D4244" s="1" t="s">
        <v>39</v>
      </c>
      <c r="E4244" s="1" t="s">
        <v>22</v>
      </c>
      <c r="F4244">
        <v>7.6</v>
      </c>
      <c r="G4244">
        <v>1</v>
      </c>
      <c r="H4244" s="1" t="s">
        <v>14</v>
      </c>
      <c r="I4244" s="1" t="s">
        <v>15</v>
      </c>
      <c r="J4244" s="12">
        <v>45933</v>
      </c>
      <c r="K4244">
        <v>0</v>
      </c>
      <c r="L4244" s="1">
        <f t="shared" si="264"/>
        <v>7.6</v>
      </c>
      <c r="M4244" s="1" t="str">
        <f t="shared" si="265"/>
        <v/>
      </c>
      <c r="N4244" s="2">
        <f t="shared" si="266"/>
        <v>45931</v>
      </c>
      <c r="O4244" t="str">
        <f t="shared" si="267"/>
        <v>pes</v>
      </c>
    </row>
    <row r="4245" spans="1:15" x14ac:dyDescent="0.25">
      <c r="A4245">
        <v>11732</v>
      </c>
      <c r="B4245" s="11">
        <v>4028899001126</v>
      </c>
      <c r="C4245" s="1" t="s">
        <v>16</v>
      </c>
      <c r="D4245" s="1" t="s">
        <v>12</v>
      </c>
      <c r="E4245" s="1" t="s">
        <v>17</v>
      </c>
      <c r="F4245">
        <v>2.8</v>
      </c>
      <c r="G4245">
        <v>2</v>
      </c>
      <c r="H4245" s="1" t="s">
        <v>14</v>
      </c>
      <c r="I4245" s="1" t="s">
        <v>15</v>
      </c>
      <c r="J4245" s="12">
        <v>45933</v>
      </c>
      <c r="K4245">
        <v>0</v>
      </c>
      <c r="L4245" s="1">
        <f t="shared" si="264"/>
        <v>5.6</v>
      </c>
      <c r="M4245" s="1" t="str">
        <f t="shared" si="265"/>
        <v/>
      </c>
      <c r="N4245" s="2">
        <f t="shared" si="266"/>
        <v>45931</v>
      </c>
      <c r="O4245" t="str">
        <f t="shared" si="267"/>
        <v>pes</v>
      </c>
    </row>
    <row r="4246" spans="1:15" x14ac:dyDescent="0.25">
      <c r="A4246">
        <v>11733</v>
      </c>
      <c r="B4246" s="11">
        <v>4013456789017</v>
      </c>
      <c r="C4246" s="1" t="s">
        <v>11</v>
      </c>
      <c r="D4246" s="1" t="s">
        <v>12</v>
      </c>
      <c r="E4246" s="1" t="s">
        <v>13</v>
      </c>
      <c r="F4246">
        <v>6</v>
      </c>
      <c r="G4246">
        <v>1</v>
      </c>
      <c r="H4246" s="1" t="s">
        <v>14</v>
      </c>
      <c r="I4246" s="1" t="s">
        <v>15</v>
      </c>
      <c r="J4246" s="12">
        <v>45933</v>
      </c>
      <c r="K4246">
        <v>0</v>
      </c>
      <c r="L4246" s="1">
        <f t="shared" si="264"/>
        <v>6</v>
      </c>
      <c r="M4246" s="1" t="str">
        <f t="shared" si="265"/>
        <v/>
      </c>
      <c r="N4246" s="2">
        <f t="shared" si="266"/>
        <v>45931</v>
      </c>
      <c r="O4246" t="str">
        <f t="shared" si="267"/>
        <v>pes</v>
      </c>
    </row>
    <row r="4247" spans="1:15" hidden="1" x14ac:dyDescent="0.25">
      <c r="A4247">
        <v>11734</v>
      </c>
      <c r="B4247" s="11">
        <v>4050123456794</v>
      </c>
      <c r="C4247" s="1" t="s">
        <v>41</v>
      </c>
      <c r="D4247" s="1" t="s">
        <v>36</v>
      </c>
      <c r="E4247" s="1" t="s">
        <v>42</v>
      </c>
      <c r="F4247">
        <v>7.2</v>
      </c>
      <c r="G4247">
        <v>1</v>
      </c>
      <c r="H4247" s="1" t="s">
        <v>14</v>
      </c>
      <c r="I4247" s="1" t="s">
        <v>15</v>
      </c>
      <c r="J4247" s="12">
        <v>45933</v>
      </c>
      <c r="K4247">
        <v>0</v>
      </c>
      <c r="L4247" s="1">
        <f t="shared" si="264"/>
        <v>7.2</v>
      </c>
      <c r="M4247" s="1" t="str">
        <f t="shared" si="265"/>
        <v/>
      </c>
      <c r="N4247" s="2">
        <f t="shared" si="266"/>
        <v>45931</v>
      </c>
      <c r="O4247" t="str">
        <f t="shared" si="267"/>
        <v>mačka</v>
      </c>
    </row>
    <row r="4248" spans="1:15" x14ac:dyDescent="0.25">
      <c r="A4248">
        <v>11735</v>
      </c>
      <c r="B4248" s="11">
        <v>4028899001126</v>
      </c>
      <c r="C4248" s="1" t="s">
        <v>16</v>
      </c>
      <c r="D4248" s="1" t="s">
        <v>12</v>
      </c>
      <c r="E4248" s="1" t="s">
        <v>17</v>
      </c>
      <c r="F4248">
        <v>2.8</v>
      </c>
      <c r="G4248">
        <v>3</v>
      </c>
      <c r="H4248" s="1" t="s">
        <v>23</v>
      </c>
      <c r="I4248" s="1" t="s">
        <v>870</v>
      </c>
      <c r="J4248" s="12">
        <v>45934</v>
      </c>
      <c r="K4248">
        <v>0</v>
      </c>
      <c r="L4248" s="1">
        <f t="shared" si="264"/>
        <v>8.3999999999999986</v>
      </c>
      <c r="M4248" s="1">
        <f t="shared" si="265"/>
        <v>5</v>
      </c>
      <c r="N4248" s="2">
        <f t="shared" si="266"/>
        <v>45931</v>
      </c>
      <c r="O4248" t="str">
        <f t="shared" si="267"/>
        <v>pes</v>
      </c>
    </row>
    <row r="4249" spans="1:15" x14ac:dyDescent="0.25">
      <c r="A4249">
        <v>11736</v>
      </c>
      <c r="B4249" s="11">
        <v>4013456789017</v>
      </c>
      <c r="C4249" s="1" t="s">
        <v>11</v>
      </c>
      <c r="D4249" s="1" t="s">
        <v>12</v>
      </c>
      <c r="E4249" s="1" t="s">
        <v>13</v>
      </c>
      <c r="F4249">
        <v>6</v>
      </c>
      <c r="G4249">
        <v>2</v>
      </c>
      <c r="H4249" s="1" t="s">
        <v>14</v>
      </c>
      <c r="I4249" s="1" t="s">
        <v>15</v>
      </c>
      <c r="J4249" s="12">
        <v>45934</v>
      </c>
      <c r="K4249">
        <v>0</v>
      </c>
      <c r="L4249" s="1">
        <f t="shared" si="264"/>
        <v>12</v>
      </c>
      <c r="M4249" s="1" t="str">
        <f t="shared" si="265"/>
        <v/>
      </c>
      <c r="N4249" s="2">
        <f t="shared" si="266"/>
        <v>45931</v>
      </c>
      <c r="O4249" t="str">
        <f t="shared" si="267"/>
        <v>pes</v>
      </c>
    </row>
    <row r="4250" spans="1:15" x14ac:dyDescent="0.25">
      <c r="A4250">
        <v>11737</v>
      </c>
      <c r="B4250" s="11">
        <v>4027788990013</v>
      </c>
      <c r="C4250" s="1" t="s">
        <v>43</v>
      </c>
      <c r="D4250" s="1" t="s">
        <v>21</v>
      </c>
      <c r="E4250" s="1" t="s">
        <v>22</v>
      </c>
      <c r="F4250">
        <v>8</v>
      </c>
      <c r="G4250">
        <v>1</v>
      </c>
      <c r="H4250" s="1" t="s">
        <v>14</v>
      </c>
      <c r="I4250" s="1" t="s">
        <v>15</v>
      </c>
      <c r="J4250" s="12">
        <v>45934</v>
      </c>
      <c r="K4250">
        <v>0</v>
      </c>
      <c r="L4250" s="1">
        <f t="shared" si="264"/>
        <v>8</v>
      </c>
      <c r="M4250" s="1" t="str">
        <f t="shared" si="265"/>
        <v/>
      </c>
      <c r="N4250" s="2">
        <f t="shared" si="266"/>
        <v>45931</v>
      </c>
      <c r="O4250" t="str">
        <f t="shared" si="267"/>
        <v>pes</v>
      </c>
    </row>
    <row r="4251" spans="1:15" hidden="1" x14ac:dyDescent="0.25">
      <c r="A4251">
        <v>11738</v>
      </c>
      <c r="B4251" s="11">
        <v>4029900112244</v>
      </c>
      <c r="C4251" s="1" t="s">
        <v>655</v>
      </c>
      <c r="D4251" s="1" t="s">
        <v>36</v>
      </c>
      <c r="E4251" s="1" t="s">
        <v>37</v>
      </c>
      <c r="F4251">
        <v>13.6</v>
      </c>
      <c r="G4251">
        <v>1</v>
      </c>
      <c r="H4251" s="1" t="s">
        <v>14</v>
      </c>
      <c r="I4251" s="1" t="s">
        <v>15</v>
      </c>
      <c r="J4251" s="12">
        <v>45934</v>
      </c>
      <c r="K4251">
        <v>0</v>
      </c>
      <c r="L4251" s="1">
        <f t="shared" si="264"/>
        <v>13.6</v>
      </c>
      <c r="M4251" s="1" t="str">
        <f t="shared" si="265"/>
        <v/>
      </c>
      <c r="N4251" s="2">
        <f t="shared" si="266"/>
        <v>45931</v>
      </c>
      <c r="O4251" t="str">
        <f t="shared" si="267"/>
        <v>mačka</v>
      </c>
    </row>
    <row r="4252" spans="1:15" x14ac:dyDescent="0.25">
      <c r="A4252">
        <v>11739</v>
      </c>
      <c r="B4252" s="11">
        <v>4017890123450</v>
      </c>
      <c r="C4252" s="1" t="s">
        <v>65</v>
      </c>
      <c r="D4252" s="1" t="s">
        <v>39</v>
      </c>
      <c r="E4252" s="1" t="s">
        <v>22</v>
      </c>
      <c r="F4252">
        <v>7.6</v>
      </c>
      <c r="G4252">
        <v>1</v>
      </c>
      <c r="H4252" s="1" t="s">
        <v>14</v>
      </c>
      <c r="I4252" s="1" t="s">
        <v>15</v>
      </c>
      <c r="J4252" s="12">
        <v>45934</v>
      </c>
      <c r="K4252">
        <v>0</v>
      </c>
      <c r="L4252" s="1">
        <f t="shared" si="264"/>
        <v>7.6</v>
      </c>
      <c r="M4252" s="1" t="str">
        <f t="shared" si="265"/>
        <v/>
      </c>
      <c r="N4252" s="2">
        <f t="shared" si="266"/>
        <v>45931</v>
      </c>
      <c r="O4252" t="str">
        <f t="shared" si="267"/>
        <v>pes</v>
      </c>
    </row>
    <row r="4253" spans="1:15" x14ac:dyDescent="0.25">
      <c r="A4253">
        <v>11740</v>
      </c>
      <c r="B4253" s="11">
        <v>4063456789014</v>
      </c>
      <c r="C4253" s="1" t="s">
        <v>60</v>
      </c>
      <c r="D4253" s="1" t="s">
        <v>12</v>
      </c>
      <c r="E4253" s="1" t="s">
        <v>61</v>
      </c>
      <c r="F4253">
        <v>36</v>
      </c>
      <c r="G4253">
        <v>1</v>
      </c>
      <c r="H4253" s="1" t="s">
        <v>23</v>
      </c>
      <c r="I4253" s="1" t="s">
        <v>871</v>
      </c>
      <c r="J4253" s="12">
        <v>45934</v>
      </c>
      <c r="K4253">
        <v>0</v>
      </c>
      <c r="L4253" s="1">
        <f t="shared" si="264"/>
        <v>36</v>
      </c>
      <c r="M4253" s="1">
        <f t="shared" si="265"/>
        <v>5</v>
      </c>
      <c r="N4253" s="2">
        <f t="shared" si="266"/>
        <v>45931</v>
      </c>
      <c r="O4253" t="str">
        <f t="shared" si="267"/>
        <v>pes</v>
      </c>
    </row>
    <row r="4254" spans="1:15" hidden="1" x14ac:dyDescent="0.25">
      <c r="A4254">
        <v>11741</v>
      </c>
      <c r="B4254" s="11">
        <v>4056789012345</v>
      </c>
      <c r="C4254" s="1" t="s">
        <v>47</v>
      </c>
      <c r="D4254" s="1" t="s">
        <v>29</v>
      </c>
      <c r="E4254" s="1" t="s">
        <v>37</v>
      </c>
      <c r="F4254">
        <v>2.4</v>
      </c>
      <c r="G4254">
        <v>4</v>
      </c>
      <c r="H4254" s="1" t="s">
        <v>14</v>
      </c>
      <c r="I4254" s="1" t="s">
        <v>15</v>
      </c>
      <c r="J4254" s="12">
        <v>45934</v>
      </c>
      <c r="K4254">
        <v>0</v>
      </c>
      <c r="L4254" s="1">
        <f t="shared" si="264"/>
        <v>9.6</v>
      </c>
      <c r="M4254" s="1" t="str">
        <f t="shared" si="265"/>
        <v/>
      </c>
      <c r="N4254" s="2">
        <f t="shared" si="266"/>
        <v>45931</v>
      </c>
      <c r="O4254" t="str">
        <f t="shared" si="267"/>
        <v>mačka</v>
      </c>
    </row>
    <row r="4255" spans="1:15" hidden="1" x14ac:dyDescent="0.25">
      <c r="A4255">
        <v>11742</v>
      </c>
      <c r="B4255" s="11">
        <v>4026677889902</v>
      </c>
      <c r="C4255" s="1" t="s">
        <v>52</v>
      </c>
      <c r="D4255" s="1" t="s">
        <v>53</v>
      </c>
      <c r="E4255" s="1" t="s">
        <v>54</v>
      </c>
      <c r="F4255">
        <v>7.6</v>
      </c>
      <c r="G4255">
        <v>1</v>
      </c>
      <c r="H4255" s="1" t="s">
        <v>14</v>
      </c>
      <c r="I4255" s="1" t="s">
        <v>15</v>
      </c>
      <c r="J4255" s="12">
        <v>45934</v>
      </c>
      <c r="K4255">
        <v>0</v>
      </c>
      <c r="L4255" s="1">
        <f t="shared" si="264"/>
        <v>7.6</v>
      </c>
      <c r="M4255" s="1" t="str">
        <f t="shared" si="265"/>
        <v/>
      </c>
      <c r="N4255" s="2">
        <f t="shared" si="266"/>
        <v>45931</v>
      </c>
      <c r="O4255" t="str">
        <f t="shared" si="267"/>
        <v>iné</v>
      </c>
    </row>
    <row r="4256" spans="1:15" x14ac:dyDescent="0.25">
      <c r="A4256">
        <v>11743</v>
      </c>
      <c r="B4256" s="11">
        <v>4013456789017</v>
      </c>
      <c r="C4256" s="1" t="s">
        <v>11</v>
      </c>
      <c r="D4256" s="1" t="s">
        <v>12</v>
      </c>
      <c r="E4256" s="1" t="s">
        <v>13</v>
      </c>
      <c r="F4256">
        <v>6</v>
      </c>
      <c r="G4256">
        <v>1</v>
      </c>
      <c r="H4256" s="1" t="s">
        <v>14</v>
      </c>
      <c r="I4256" s="1" t="s">
        <v>15</v>
      </c>
      <c r="J4256" s="12">
        <v>45934</v>
      </c>
      <c r="K4256">
        <v>0</v>
      </c>
      <c r="L4256" s="1">
        <f t="shared" si="264"/>
        <v>6</v>
      </c>
      <c r="M4256" s="1" t="str">
        <f t="shared" si="265"/>
        <v/>
      </c>
      <c r="N4256" s="2">
        <f t="shared" si="266"/>
        <v>45931</v>
      </c>
      <c r="O4256" t="str">
        <f t="shared" si="267"/>
        <v>pes</v>
      </c>
    </row>
    <row r="4257" spans="1:15" x14ac:dyDescent="0.25">
      <c r="A4257">
        <v>11744</v>
      </c>
      <c r="B4257" s="11">
        <v>4040123456795</v>
      </c>
      <c r="C4257" s="1" t="s">
        <v>20</v>
      </c>
      <c r="D4257" s="1" t="s">
        <v>21</v>
      </c>
      <c r="E4257" s="1" t="s">
        <v>22</v>
      </c>
      <c r="F4257">
        <v>8.8000000000000007</v>
      </c>
      <c r="G4257">
        <v>1</v>
      </c>
      <c r="H4257" s="1" t="s">
        <v>18</v>
      </c>
      <c r="I4257" s="1" t="s">
        <v>872</v>
      </c>
      <c r="J4257" s="12">
        <v>45934</v>
      </c>
      <c r="K4257">
        <v>0</v>
      </c>
      <c r="L4257" s="1">
        <f t="shared" si="264"/>
        <v>8.8000000000000007</v>
      </c>
      <c r="M4257" s="1">
        <f t="shared" si="265"/>
        <v>4</v>
      </c>
      <c r="N4257" s="2">
        <f t="shared" si="266"/>
        <v>45931</v>
      </c>
      <c r="O4257" t="str">
        <f t="shared" si="267"/>
        <v>pes</v>
      </c>
    </row>
    <row r="4258" spans="1:15" x14ac:dyDescent="0.25">
      <c r="A4258">
        <v>11745</v>
      </c>
      <c r="B4258" s="11">
        <v>4028899001126</v>
      </c>
      <c r="C4258" s="1" t="s">
        <v>16</v>
      </c>
      <c r="D4258" s="1" t="s">
        <v>12</v>
      </c>
      <c r="E4258" s="1" t="s">
        <v>17</v>
      </c>
      <c r="F4258">
        <v>2.8</v>
      </c>
      <c r="G4258">
        <v>2</v>
      </c>
      <c r="H4258" s="1" t="s">
        <v>14</v>
      </c>
      <c r="I4258" s="1" t="s">
        <v>15</v>
      </c>
      <c r="J4258" s="12">
        <v>45934</v>
      </c>
      <c r="K4258">
        <v>0</v>
      </c>
      <c r="L4258" s="1">
        <f t="shared" si="264"/>
        <v>5.6</v>
      </c>
      <c r="M4258" s="1" t="str">
        <f t="shared" si="265"/>
        <v/>
      </c>
      <c r="N4258" s="2">
        <f t="shared" si="266"/>
        <v>45931</v>
      </c>
      <c r="O4258" t="str">
        <f t="shared" si="267"/>
        <v>pes</v>
      </c>
    </row>
    <row r="4259" spans="1:15" x14ac:dyDescent="0.25">
      <c r="A4259">
        <v>11746</v>
      </c>
      <c r="B4259" s="11">
        <v>4017890123450</v>
      </c>
      <c r="C4259" s="1" t="s">
        <v>65</v>
      </c>
      <c r="D4259" s="1" t="s">
        <v>39</v>
      </c>
      <c r="E4259" s="1" t="s">
        <v>22</v>
      </c>
      <c r="F4259">
        <v>7.6</v>
      </c>
      <c r="G4259">
        <v>1</v>
      </c>
      <c r="H4259" s="1" t="s">
        <v>14</v>
      </c>
      <c r="I4259" s="1" t="s">
        <v>15</v>
      </c>
      <c r="J4259" s="12">
        <v>45934</v>
      </c>
      <c r="K4259">
        <v>0</v>
      </c>
      <c r="L4259" s="1">
        <f t="shared" si="264"/>
        <v>7.6</v>
      </c>
      <c r="M4259" s="1" t="str">
        <f t="shared" si="265"/>
        <v/>
      </c>
      <c r="N4259" s="2">
        <f t="shared" si="266"/>
        <v>45931</v>
      </c>
      <c r="O4259" t="str">
        <f t="shared" si="267"/>
        <v>pes</v>
      </c>
    </row>
    <row r="4260" spans="1:15" hidden="1" x14ac:dyDescent="0.25">
      <c r="A4260">
        <v>11747</v>
      </c>
      <c r="B4260" s="11">
        <v>4019876501234</v>
      </c>
      <c r="C4260" s="1" t="s">
        <v>674</v>
      </c>
      <c r="D4260" s="1" t="s">
        <v>29</v>
      </c>
      <c r="E4260" s="1" t="s">
        <v>37</v>
      </c>
      <c r="F4260">
        <v>1.84</v>
      </c>
      <c r="G4260">
        <v>4</v>
      </c>
      <c r="H4260" s="1" t="s">
        <v>23</v>
      </c>
      <c r="I4260" s="1" t="s">
        <v>850</v>
      </c>
      <c r="J4260" s="12">
        <v>45934</v>
      </c>
      <c r="K4260">
        <v>0</v>
      </c>
      <c r="L4260" s="1">
        <f t="shared" si="264"/>
        <v>7.36</v>
      </c>
      <c r="M4260" s="1">
        <f t="shared" si="265"/>
        <v>5</v>
      </c>
      <c r="N4260" s="2">
        <f t="shared" si="266"/>
        <v>45931</v>
      </c>
      <c r="O4260" t="str">
        <f t="shared" si="267"/>
        <v>mačka</v>
      </c>
    </row>
    <row r="4261" spans="1:15" x14ac:dyDescent="0.25">
      <c r="A4261">
        <v>11748</v>
      </c>
      <c r="B4261" s="11">
        <v>4027788990013</v>
      </c>
      <c r="C4261" s="1" t="s">
        <v>43</v>
      </c>
      <c r="D4261" s="1" t="s">
        <v>21</v>
      </c>
      <c r="E4261" s="1" t="s">
        <v>22</v>
      </c>
      <c r="F4261">
        <v>8</v>
      </c>
      <c r="G4261">
        <v>1</v>
      </c>
      <c r="H4261" s="1" t="s">
        <v>14</v>
      </c>
      <c r="I4261" s="1" t="s">
        <v>15</v>
      </c>
      <c r="J4261" s="12">
        <v>45935</v>
      </c>
      <c r="K4261">
        <v>0</v>
      </c>
      <c r="L4261" s="1">
        <f t="shared" si="264"/>
        <v>8</v>
      </c>
      <c r="M4261" s="1" t="str">
        <f t="shared" si="265"/>
        <v/>
      </c>
      <c r="N4261" s="2">
        <f t="shared" si="266"/>
        <v>45931</v>
      </c>
      <c r="O4261" t="str">
        <f t="shared" si="267"/>
        <v>pes</v>
      </c>
    </row>
    <row r="4262" spans="1:15" x14ac:dyDescent="0.25">
      <c r="A4262">
        <v>11749</v>
      </c>
      <c r="B4262" s="11">
        <v>4013456789017</v>
      </c>
      <c r="C4262" s="1" t="s">
        <v>11</v>
      </c>
      <c r="D4262" s="1" t="s">
        <v>12</v>
      </c>
      <c r="E4262" s="1" t="s">
        <v>13</v>
      </c>
      <c r="F4262">
        <v>6</v>
      </c>
      <c r="G4262">
        <v>2</v>
      </c>
      <c r="H4262" s="1" t="s">
        <v>14</v>
      </c>
      <c r="I4262" s="1" t="s">
        <v>15</v>
      </c>
      <c r="J4262" s="12">
        <v>45935</v>
      </c>
      <c r="K4262">
        <v>0</v>
      </c>
      <c r="L4262" s="1">
        <f t="shared" si="264"/>
        <v>12</v>
      </c>
      <c r="M4262" s="1" t="str">
        <f t="shared" si="265"/>
        <v/>
      </c>
      <c r="N4262" s="2">
        <f t="shared" si="266"/>
        <v>45931</v>
      </c>
      <c r="O4262" t="str">
        <f t="shared" si="267"/>
        <v>pes</v>
      </c>
    </row>
    <row r="4263" spans="1:15" x14ac:dyDescent="0.25">
      <c r="A4263">
        <v>11750</v>
      </c>
      <c r="B4263" s="11">
        <v>4028899001126</v>
      </c>
      <c r="C4263" s="1" t="s">
        <v>16</v>
      </c>
      <c r="D4263" s="1" t="s">
        <v>12</v>
      </c>
      <c r="E4263" s="1" t="s">
        <v>17</v>
      </c>
      <c r="F4263">
        <v>2.8</v>
      </c>
      <c r="G4263">
        <v>3</v>
      </c>
      <c r="H4263" s="1" t="s">
        <v>23</v>
      </c>
      <c r="I4263" s="1" t="s">
        <v>873</v>
      </c>
      <c r="J4263" s="12">
        <v>45935</v>
      </c>
      <c r="K4263">
        <v>0</v>
      </c>
      <c r="L4263" s="1">
        <f t="shared" si="264"/>
        <v>8.3999999999999986</v>
      </c>
      <c r="M4263" s="1">
        <f t="shared" si="265"/>
        <v>5</v>
      </c>
      <c r="N4263" s="2">
        <f t="shared" si="266"/>
        <v>45931</v>
      </c>
      <c r="O4263" t="str">
        <f t="shared" si="267"/>
        <v>pes</v>
      </c>
    </row>
    <row r="4264" spans="1:15" x14ac:dyDescent="0.25">
      <c r="A4264">
        <v>11751</v>
      </c>
      <c r="B4264" s="11">
        <v>4017890123450</v>
      </c>
      <c r="C4264" s="1" t="s">
        <v>65</v>
      </c>
      <c r="D4264" s="1" t="s">
        <v>39</v>
      </c>
      <c r="E4264" s="1" t="s">
        <v>22</v>
      </c>
      <c r="F4264">
        <v>7.6</v>
      </c>
      <c r="G4264">
        <v>1</v>
      </c>
      <c r="H4264" s="1" t="s">
        <v>14</v>
      </c>
      <c r="I4264" s="1" t="s">
        <v>15</v>
      </c>
      <c r="J4264" s="12">
        <v>45935</v>
      </c>
      <c r="K4264">
        <v>0</v>
      </c>
      <c r="L4264" s="1">
        <f t="shared" si="264"/>
        <v>7.6</v>
      </c>
      <c r="M4264" s="1" t="str">
        <f t="shared" si="265"/>
        <v/>
      </c>
      <c r="N4264" s="2">
        <f t="shared" si="266"/>
        <v>45931</v>
      </c>
      <c r="O4264" t="str">
        <f t="shared" si="267"/>
        <v>pes</v>
      </c>
    </row>
    <row r="4265" spans="1:15" hidden="1" x14ac:dyDescent="0.25">
      <c r="A4265">
        <v>11752</v>
      </c>
      <c r="B4265" s="11">
        <v>4029900112244</v>
      </c>
      <c r="C4265" s="1" t="s">
        <v>655</v>
      </c>
      <c r="D4265" s="1" t="s">
        <v>36</v>
      </c>
      <c r="E4265" s="1" t="s">
        <v>37</v>
      </c>
      <c r="F4265">
        <v>13.6</v>
      </c>
      <c r="G4265">
        <v>1</v>
      </c>
      <c r="H4265" s="1" t="s">
        <v>14</v>
      </c>
      <c r="I4265" s="1" t="s">
        <v>15</v>
      </c>
      <c r="J4265" s="12">
        <v>45935</v>
      </c>
      <c r="K4265">
        <v>0</v>
      </c>
      <c r="L4265" s="1">
        <f t="shared" si="264"/>
        <v>13.6</v>
      </c>
      <c r="M4265" s="1" t="str">
        <f t="shared" si="265"/>
        <v/>
      </c>
      <c r="N4265" s="2">
        <f t="shared" si="266"/>
        <v>45931</v>
      </c>
      <c r="O4265" t="str">
        <f t="shared" si="267"/>
        <v>mačka</v>
      </c>
    </row>
    <row r="4266" spans="1:15" x14ac:dyDescent="0.25">
      <c r="A4266">
        <v>11753</v>
      </c>
      <c r="B4266" s="11">
        <v>4022345678908</v>
      </c>
      <c r="C4266" s="1" t="s">
        <v>363</v>
      </c>
      <c r="D4266" s="1" t="s">
        <v>21</v>
      </c>
      <c r="E4266" s="1" t="s">
        <v>69</v>
      </c>
      <c r="F4266">
        <v>10</v>
      </c>
      <c r="G4266">
        <v>1</v>
      </c>
      <c r="H4266" s="1" t="s">
        <v>18</v>
      </c>
      <c r="I4266" s="1" t="s">
        <v>874</v>
      </c>
      <c r="J4266" s="12">
        <v>45935</v>
      </c>
      <c r="K4266">
        <v>0</v>
      </c>
      <c r="L4266" s="1">
        <f t="shared" si="264"/>
        <v>10</v>
      </c>
      <c r="M4266" s="1">
        <f t="shared" si="265"/>
        <v>4</v>
      </c>
      <c r="N4266" s="2">
        <f t="shared" si="266"/>
        <v>45931</v>
      </c>
      <c r="O4266" t="str">
        <f t="shared" si="267"/>
        <v>pes</v>
      </c>
    </row>
    <row r="4267" spans="1:15" hidden="1" x14ac:dyDescent="0.25">
      <c r="A4267">
        <v>11754</v>
      </c>
      <c r="B4267" s="11">
        <v>4056789012345</v>
      </c>
      <c r="C4267" s="1" t="s">
        <v>47</v>
      </c>
      <c r="D4267" s="1" t="s">
        <v>29</v>
      </c>
      <c r="E4267" s="1" t="s">
        <v>37</v>
      </c>
      <c r="F4267">
        <v>2.4</v>
      </c>
      <c r="G4267">
        <v>3</v>
      </c>
      <c r="H4267" s="1" t="s">
        <v>14</v>
      </c>
      <c r="I4267" s="1" t="s">
        <v>15</v>
      </c>
      <c r="J4267" s="12">
        <v>45935</v>
      </c>
      <c r="K4267">
        <v>0</v>
      </c>
      <c r="L4267" s="1">
        <f t="shared" si="264"/>
        <v>7.1999999999999993</v>
      </c>
      <c r="M4267" s="1" t="str">
        <f t="shared" si="265"/>
        <v/>
      </c>
      <c r="N4267" s="2">
        <f t="shared" si="266"/>
        <v>45931</v>
      </c>
      <c r="O4267" t="str">
        <f t="shared" si="267"/>
        <v>mačka</v>
      </c>
    </row>
    <row r="4268" spans="1:15" hidden="1" x14ac:dyDescent="0.25">
      <c r="A4268">
        <v>11755</v>
      </c>
      <c r="B4268" s="11">
        <v>4019876501234</v>
      </c>
      <c r="C4268" s="1" t="s">
        <v>674</v>
      </c>
      <c r="D4268" s="1" t="s">
        <v>29</v>
      </c>
      <c r="E4268" s="1" t="s">
        <v>37</v>
      </c>
      <c r="F4268">
        <v>1.84</v>
      </c>
      <c r="G4268">
        <v>4</v>
      </c>
      <c r="H4268" s="1" t="s">
        <v>14</v>
      </c>
      <c r="I4268" s="1" t="s">
        <v>15</v>
      </c>
      <c r="J4268" s="12">
        <v>45935</v>
      </c>
      <c r="K4268">
        <v>0</v>
      </c>
      <c r="L4268" s="1">
        <f t="shared" si="264"/>
        <v>7.36</v>
      </c>
      <c r="M4268" s="1" t="str">
        <f t="shared" si="265"/>
        <v/>
      </c>
      <c r="N4268" s="2">
        <f t="shared" si="266"/>
        <v>45931</v>
      </c>
      <c r="O4268" t="str">
        <f t="shared" si="267"/>
        <v>mačka</v>
      </c>
    </row>
    <row r="4269" spans="1:15" x14ac:dyDescent="0.25">
      <c r="A4269">
        <v>11756</v>
      </c>
      <c r="B4269" s="11">
        <v>4013456789017</v>
      </c>
      <c r="C4269" s="1" t="s">
        <v>11</v>
      </c>
      <c r="D4269" s="1" t="s">
        <v>12</v>
      </c>
      <c r="E4269" s="1" t="s">
        <v>13</v>
      </c>
      <c r="F4269">
        <v>6</v>
      </c>
      <c r="G4269">
        <v>2</v>
      </c>
      <c r="H4269" s="1" t="s">
        <v>14</v>
      </c>
      <c r="I4269" s="1" t="s">
        <v>15</v>
      </c>
      <c r="J4269" s="12">
        <v>45935</v>
      </c>
      <c r="K4269">
        <v>0</v>
      </c>
      <c r="L4269" s="1">
        <f t="shared" si="264"/>
        <v>12</v>
      </c>
      <c r="M4269" s="1" t="str">
        <f t="shared" si="265"/>
        <v/>
      </c>
      <c r="N4269" s="2">
        <f t="shared" si="266"/>
        <v>45931</v>
      </c>
      <c r="O4269" t="str">
        <f t="shared" si="267"/>
        <v>pes</v>
      </c>
    </row>
    <row r="4270" spans="1:15" x14ac:dyDescent="0.25">
      <c r="A4270">
        <v>11757</v>
      </c>
      <c r="B4270" s="11">
        <v>4040123456795</v>
      </c>
      <c r="C4270" s="1" t="s">
        <v>20</v>
      </c>
      <c r="D4270" s="1" t="s">
        <v>21</v>
      </c>
      <c r="E4270" s="1" t="s">
        <v>22</v>
      </c>
      <c r="F4270">
        <v>8.8000000000000007</v>
      </c>
      <c r="G4270">
        <v>1</v>
      </c>
      <c r="H4270" s="1" t="s">
        <v>18</v>
      </c>
      <c r="I4270" s="1" t="s">
        <v>875</v>
      </c>
      <c r="J4270" s="12">
        <v>45935</v>
      </c>
      <c r="K4270">
        <v>0</v>
      </c>
      <c r="L4270" s="1">
        <f t="shared" si="264"/>
        <v>8.8000000000000007</v>
      </c>
      <c r="M4270" s="1">
        <f t="shared" si="265"/>
        <v>4</v>
      </c>
      <c r="N4270" s="2">
        <f t="shared" si="266"/>
        <v>45931</v>
      </c>
      <c r="O4270" t="str">
        <f t="shared" si="267"/>
        <v>pes</v>
      </c>
    </row>
    <row r="4271" spans="1:15" x14ac:dyDescent="0.25">
      <c r="A4271">
        <v>11758</v>
      </c>
      <c r="B4271" s="11">
        <v>4017890123450</v>
      </c>
      <c r="C4271" s="1" t="s">
        <v>65</v>
      </c>
      <c r="D4271" s="1" t="s">
        <v>39</v>
      </c>
      <c r="E4271" s="1" t="s">
        <v>22</v>
      </c>
      <c r="F4271">
        <v>7.6</v>
      </c>
      <c r="G4271">
        <v>1</v>
      </c>
      <c r="H4271" s="1" t="s">
        <v>14</v>
      </c>
      <c r="I4271" s="1" t="s">
        <v>15</v>
      </c>
      <c r="J4271" s="12">
        <v>45935</v>
      </c>
      <c r="K4271">
        <v>0</v>
      </c>
      <c r="L4271" s="1">
        <f t="shared" si="264"/>
        <v>7.6</v>
      </c>
      <c r="M4271" s="1" t="str">
        <f t="shared" si="265"/>
        <v/>
      </c>
      <c r="N4271" s="2">
        <f t="shared" si="266"/>
        <v>45931</v>
      </c>
      <c r="O4271" t="str">
        <f t="shared" si="267"/>
        <v>pes</v>
      </c>
    </row>
    <row r="4272" spans="1:15" hidden="1" x14ac:dyDescent="0.25">
      <c r="A4272">
        <v>11759</v>
      </c>
      <c r="B4272" s="11">
        <v>4025566778891</v>
      </c>
      <c r="C4272" s="1" t="s">
        <v>320</v>
      </c>
      <c r="D4272" s="1" t="s">
        <v>317</v>
      </c>
      <c r="E4272" s="1" t="s">
        <v>30</v>
      </c>
      <c r="F4272">
        <v>51.64</v>
      </c>
      <c r="G4272">
        <v>1</v>
      </c>
      <c r="H4272" s="1" t="s">
        <v>14</v>
      </c>
      <c r="I4272" s="1" t="s">
        <v>15</v>
      </c>
      <c r="J4272" s="12">
        <v>45936</v>
      </c>
      <c r="K4272">
        <v>0</v>
      </c>
      <c r="L4272" s="1">
        <f t="shared" si="264"/>
        <v>51.64</v>
      </c>
      <c r="M4272" s="1" t="str">
        <f t="shared" si="265"/>
        <v/>
      </c>
      <c r="N4272" s="2">
        <f t="shared" si="266"/>
        <v>45931</v>
      </c>
      <c r="O4272" t="str">
        <f t="shared" si="267"/>
        <v>mačka</v>
      </c>
    </row>
    <row r="4273" spans="1:15" x14ac:dyDescent="0.25">
      <c r="A4273">
        <v>11760</v>
      </c>
      <c r="B4273" s="11">
        <v>4063456789014</v>
      </c>
      <c r="C4273" s="1" t="s">
        <v>60</v>
      </c>
      <c r="D4273" s="1" t="s">
        <v>12</v>
      </c>
      <c r="E4273" s="1" t="s">
        <v>61</v>
      </c>
      <c r="F4273">
        <v>36</v>
      </c>
      <c r="G4273">
        <v>1</v>
      </c>
      <c r="H4273" s="1" t="s">
        <v>14</v>
      </c>
      <c r="I4273" s="1" t="s">
        <v>15</v>
      </c>
      <c r="J4273" s="12">
        <v>45936</v>
      </c>
      <c r="K4273">
        <v>0</v>
      </c>
      <c r="L4273" s="1">
        <f t="shared" si="264"/>
        <v>36</v>
      </c>
      <c r="M4273" s="1" t="str">
        <f t="shared" si="265"/>
        <v/>
      </c>
      <c r="N4273" s="2">
        <f t="shared" si="266"/>
        <v>45931</v>
      </c>
      <c r="O4273" t="str">
        <f t="shared" si="267"/>
        <v>pes</v>
      </c>
    </row>
    <row r="4274" spans="1:15" x14ac:dyDescent="0.25">
      <c r="A4274">
        <v>11761</v>
      </c>
      <c r="B4274" s="11">
        <v>4027788990013</v>
      </c>
      <c r="C4274" s="1" t="s">
        <v>43</v>
      </c>
      <c r="D4274" s="1" t="s">
        <v>21</v>
      </c>
      <c r="E4274" s="1" t="s">
        <v>22</v>
      </c>
      <c r="F4274">
        <v>8</v>
      </c>
      <c r="G4274">
        <v>1</v>
      </c>
      <c r="H4274" s="1" t="s">
        <v>33</v>
      </c>
      <c r="I4274" s="1" t="s">
        <v>876</v>
      </c>
      <c r="J4274" s="12">
        <v>45936</v>
      </c>
      <c r="K4274">
        <v>0</v>
      </c>
      <c r="L4274" s="1">
        <f t="shared" si="264"/>
        <v>8</v>
      </c>
      <c r="M4274" s="1">
        <f t="shared" si="265"/>
        <v>3</v>
      </c>
      <c r="N4274" s="2">
        <f t="shared" si="266"/>
        <v>45931</v>
      </c>
      <c r="O4274" t="str">
        <f t="shared" si="267"/>
        <v>pes</v>
      </c>
    </row>
    <row r="4275" spans="1:15" x14ac:dyDescent="0.25">
      <c r="A4275">
        <v>11762</v>
      </c>
      <c r="B4275" s="11">
        <v>4057890123467</v>
      </c>
      <c r="C4275" s="1" t="s">
        <v>307</v>
      </c>
      <c r="D4275" s="1" t="s">
        <v>39</v>
      </c>
      <c r="E4275" s="1" t="s">
        <v>308</v>
      </c>
      <c r="F4275">
        <v>9.6</v>
      </c>
      <c r="G4275">
        <v>1</v>
      </c>
      <c r="H4275" s="1" t="s">
        <v>14</v>
      </c>
      <c r="I4275" s="1" t="s">
        <v>15</v>
      </c>
      <c r="J4275" s="12">
        <v>45936</v>
      </c>
      <c r="K4275">
        <v>0</v>
      </c>
      <c r="L4275" s="1">
        <f t="shared" si="264"/>
        <v>9.6</v>
      </c>
      <c r="M4275" s="1" t="str">
        <f t="shared" si="265"/>
        <v/>
      </c>
      <c r="N4275" s="2">
        <f t="shared" si="266"/>
        <v>45931</v>
      </c>
      <c r="O4275" t="str">
        <f t="shared" si="267"/>
        <v>pes</v>
      </c>
    </row>
    <row r="4276" spans="1:15" hidden="1" x14ac:dyDescent="0.25">
      <c r="A4276">
        <v>11763</v>
      </c>
      <c r="B4276" s="11">
        <v>4019876501234</v>
      </c>
      <c r="C4276" s="1" t="s">
        <v>674</v>
      </c>
      <c r="D4276" s="1" t="s">
        <v>29</v>
      </c>
      <c r="E4276" s="1" t="s">
        <v>37</v>
      </c>
      <c r="F4276">
        <v>1.84</v>
      </c>
      <c r="G4276">
        <v>5</v>
      </c>
      <c r="H4276" s="1" t="s">
        <v>14</v>
      </c>
      <c r="I4276" s="1" t="s">
        <v>15</v>
      </c>
      <c r="J4276" s="12">
        <v>45936</v>
      </c>
      <c r="K4276">
        <v>0</v>
      </c>
      <c r="L4276" s="1">
        <f t="shared" si="264"/>
        <v>9.2000000000000011</v>
      </c>
      <c r="M4276" s="1" t="str">
        <f t="shared" si="265"/>
        <v/>
      </c>
      <c r="N4276" s="2">
        <f t="shared" si="266"/>
        <v>45931</v>
      </c>
      <c r="O4276" t="str">
        <f t="shared" si="267"/>
        <v>mačka</v>
      </c>
    </row>
    <row r="4277" spans="1:15" x14ac:dyDescent="0.25">
      <c r="A4277">
        <v>11764</v>
      </c>
      <c r="B4277" s="11">
        <v>4028899001126</v>
      </c>
      <c r="C4277" s="1" t="s">
        <v>16</v>
      </c>
      <c r="D4277" s="1" t="s">
        <v>12</v>
      </c>
      <c r="E4277" s="1" t="s">
        <v>17</v>
      </c>
      <c r="F4277">
        <v>2.8</v>
      </c>
      <c r="G4277">
        <v>3</v>
      </c>
      <c r="H4277" s="1" t="s">
        <v>18</v>
      </c>
      <c r="I4277" s="1" t="s">
        <v>877</v>
      </c>
      <c r="J4277" s="12">
        <v>45936</v>
      </c>
      <c r="K4277">
        <v>0</v>
      </c>
      <c r="L4277" s="1">
        <f t="shared" si="264"/>
        <v>8.3999999999999986</v>
      </c>
      <c r="M4277" s="1">
        <f t="shared" si="265"/>
        <v>4</v>
      </c>
      <c r="N4277" s="2">
        <f t="shared" si="266"/>
        <v>45931</v>
      </c>
      <c r="O4277" t="str">
        <f t="shared" si="267"/>
        <v>pes</v>
      </c>
    </row>
    <row r="4278" spans="1:15" x14ac:dyDescent="0.25">
      <c r="A4278">
        <v>11765</v>
      </c>
      <c r="B4278" s="11">
        <v>4013456789017</v>
      </c>
      <c r="C4278" s="1" t="s">
        <v>11</v>
      </c>
      <c r="D4278" s="1" t="s">
        <v>12</v>
      </c>
      <c r="E4278" s="1" t="s">
        <v>13</v>
      </c>
      <c r="F4278">
        <v>6</v>
      </c>
      <c r="G4278">
        <v>2</v>
      </c>
      <c r="H4278" s="1" t="s">
        <v>14</v>
      </c>
      <c r="I4278" s="1" t="s">
        <v>15</v>
      </c>
      <c r="J4278" s="12">
        <v>45936</v>
      </c>
      <c r="K4278">
        <v>0</v>
      </c>
      <c r="L4278" s="1">
        <f t="shared" si="264"/>
        <v>12</v>
      </c>
      <c r="M4278" s="1" t="str">
        <f t="shared" si="265"/>
        <v/>
      </c>
      <c r="N4278" s="2">
        <f t="shared" si="266"/>
        <v>45931</v>
      </c>
      <c r="O4278" t="str">
        <f t="shared" si="267"/>
        <v>pes</v>
      </c>
    </row>
    <row r="4279" spans="1:15" x14ac:dyDescent="0.25">
      <c r="A4279">
        <v>11766</v>
      </c>
      <c r="B4279" s="11">
        <v>4040123456795</v>
      </c>
      <c r="C4279" s="1" t="s">
        <v>20</v>
      </c>
      <c r="D4279" s="1" t="s">
        <v>21</v>
      </c>
      <c r="E4279" s="1" t="s">
        <v>22</v>
      </c>
      <c r="F4279">
        <v>8.8000000000000007</v>
      </c>
      <c r="G4279">
        <v>1</v>
      </c>
      <c r="H4279" s="1" t="s">
        <v>14</v>
      </c>
      <c r="I4279" s="1" t="s">
        <v>15</v>
      </c>
      <c r="J4279" s="12">
        <v>45936</v>
      </c>
      <c r="K4279">
        <v>0</v>
      </c>
      <c r="L4279" s="1">
        <f t="shared" si="264"/>
        <v>8.8000000000000007</v>
      </c>
      <c r="M4279" s="1" t="str">
        <f t="shared" si="265"/>
        <v/>
      </c>
      <c r="N4279" s="2">
        <f t="shared" si="266"/>
        <v>45931</v>
      </c>
      <c r="O4279" t="str">
        <f t="shared" si="267"/>
        <v>pes</v>
      </c>
    </row>
    <row r="4280" spans="1:15" hidden="1" x14ac:dyDescent="0.25">
      <c r="A4280">
        <v>11767</v>
      </c>
      <c r="B4280" s="11">
        <v>4029900112244</v>
      </c>
      <c r="C4280" s="1" t="s">
        <v>655</v>
      </c>
      <c r="D4280" s="1" t="s">
        <v>36</v>
      </c>
      <c r="E4280" s="1" t="s">
        <v>37</v>
      </c>
      <c r="F4280">
        <v>13.6</v>
      </c>
      <c r="G4280">
        <v>1</v>
      </c>
      <c r="H4280" s="1" t="s">
        <v>14</v>
      </c>
      <c r="I4280" s="1" t="s">
        <v>15</v>
      </c>
      <c r="J4280" s="12">
        <v>45936</v>
      </c>
      <c r="K4280">
        <v>0</v>
      </c>
      <c r="L4280" s="1">
        <f t="shared" si="264"/>
        <v>13.6</v>
      </c>
      <c r="M4280" s="1" t="str">
        <f t="shared" si="265"/>
        <v/>
      </c>
      <c r="N4280" s="2">
        <f t="shared" si="266"/>
        <v>45931</v>
      </c>
      <c r="O4280" t="str">
        <f t="shared" si="267"/>
        <v>mačka</v>
      </c>
    </row>
    <row r="4281" spans="1:15" hidden="1" x14ac:dyDescent="0.25">
      <c r="A4281">
        <v>11768</v>
      </c>
      <c r="B4281" s="11">
        <v>4026677889902</v>
      </c>
      <c r="C4281" s="1" t="s">
        <v>52</v>
      </c>
      <c r="D4281" s="1" t="s">
        <v>53</v>
      </c>
      <c r="E4281" s="1" t="s">
        <v>54</v>
      </c>
      <c r="F4281">
        <v>7.6</v>
      </c>
      <c r="G4281">
        <v>1</v>
      </c>
      <c r="H4281" s="1" t="s">
        <v>23</v>
      </c>
      <c r="I4281" s="1" t="s">
        <v>878</v>
      </c>
      <c r="J4281" s="12">
        <v>45936</v>
      </c>
      <c r="K4281">
        <v>0</v>
      </c>
      <c r="L4281" s="1">
        <f t="shared" si="264"/>
        <v>7.6</v>
      </c>
      <c r="M4281" s="1">
        <f t="shared" si="265"/>
        <v>5</v>
      </c>
      <c r="N4281" s="2">
        <f t="shared" si="266"/>
        <v>45931</v>
      </c>
      <c r="O4281" t="str">
        <f t="shared" si="267"/>
        <v>iné</v>
      </c>
    </row>
    <row r="4282" spans="1:15" x14ac:dyDescent="0.25">
      <c r="A4282">
        <v>11769</v>
      </c>
      <c r="B4282" s="11">
        <v>4017890123450</v>
      </c>
      <c r="C4282" s="1" t="s">
        <v>65</v>
      </c>
      <c r="D4282" s="1" t="s">
        <v>39</v>
      </c>
      <c r="E4282" s="1" t="s">
        <v>22</v>
      </c>
      <c r="F4282">
        <v>7.6</v>
      </c>
      <c r="G4282">
        <v>1</v>
      </c>
      <c r="H4282" s="1" t="s">
        <v>14</v>
      </c>
      <c r="I4282" s="1" t="s">
        <v>15</v>
      </c>
      <c r="J4282" s="12">
        <v>45936</v>
      </c>
      <c r="K4282">
        <v>0</v>
      </c>
      <c r="L4282" s="1">
        <f t="shared" si="264"/>
        <v>7.6</v>
      </c>
      <c r="M4282" s="1" t="str">
        <f t="shared" si="265"/>
        <v/>
      </c>
      <c r="N4282" s="2">
        <f t="shared" si="266"/>
        <v>45931</v>
      </c>
      <c r="O4282" t="str">
        <f t="shared" si="267"/>
        <v>pes</v>
      </c>
    </row>
    <row r="4283" spans="1:15" hidden="1" x14ac:dyDescent="0.25">
      <c r="A4283">
        <v>11770</v>
      </c>
      <c r="B4283" s="11">
        <v>4069012345682</v>
      </c>
      <c r="C4283" s="1" t="s">
        <v>143</v>
      </c>
      <c r="D4283" s="1" t="s">
        <v>144</v>
      </c>
      <c r="E4283" s="1" t="s">
        <v>30</v>
      </c>
      <c r="F4283">
        <v>26</v>
      </c>
      <c r="G4283">
        <v>1</v>
      </c>
      <c r="H4283" s="1" t="s">
        <v>14</v>
      </c>
      <c r="I4283" s="1" t="s">
        <v>15</v>
      </c>
      <c r="J4283" s="12">
        <v>45936</v>
      </c>
      <c r="K4283">
        <v>0</v>
      </c>
      <c r="L4283" s="1">
        <f t="shared" si="264"/>
        <v>26</v>
      </c>
      <c r="M4283" s="1" t="str">
        <f t="shared" si="265"/>
        <v/>
      </c>
      <c r="N4283" s="2">
        <f t="shared" si="266"/>
        <v>45931</v>
      </c>
      <c r="O4283" t="str">
        <f t="shared" si="267"/>
        <v>mačka</v>
      </c>
    </row>
    <row r="4284" spans="1:15" x14ac:dyDescent="0.25">
      <c r="A4284">
        <v>11771</v>
      </c>
      <c r="B4284" s="11">
        <v>4028899001126</v>
      </c>
      <c r="C4284" s="1" t="s">
        <v>16</v>
      </c>
      <c r="D4284" s="1" t="s">
        <v>12</v>
      </c>
      <c r="E4284" s="1" t="s">
        <v>17</v>
      </c>
      <c r="F4284">
        <v>2.8</v>
      </c>
      <c r="G4284">
        <v>2</v>
      </c>
      <c r="H4284" s="1" t="s">
        <v>14</v>
      </c>
      <c r="I4284" s="1" t="s">
        <v>15</v>
      </c>
      <c r="J4284" s="12">
        <v>45936</v>
      </c>
      <c r="K4284">
        <v>0</v>
      </c>
      <c r="L4284" s="1">
        <f t="shared" si="264"/>
        <v>5.6</v>
      </c>
      <c r="M4284" s="1" t="str">
        <f t="shared" si="265"/>
        <v/>
      </c>
      <c r="N4284" s="2">
        <f t="shared" si="266"/>
        <v>45931</v>
      </c>
      <c r="O4284" t="str">
        <f t="shared" si="267"/>
        <v>pes</v>
      </c>
    </row>
    <row r="4285" spans="1:15" x14ac:dyDescent="0.25">
      <c r="A4285">
        <v>11772</v>
      </c>
      <c r="B4285" s="11">
        <v>4013456789017</v>
      </c>
      <c r="C4285" s="1" t="s">
        <v>11</v>
      </c>
      <c r="D4285" s="1" t="s">
        <v>12</v>
      </c>
      <c r="E4285" s="1" t="s">
        <v>13</v>
      </c>
      <c r="F4285">
        <v>6</v>
      </c>
      <c r="G4285">
        <v>2</v>
      </c>
      <c r="H4285" s="1" t="s">
        <v>14</v>
      </c>
      <c r="I4285" s="1" t="s">
        <v>15</v>
      </c>
      <c r="J4285" s="12">
        <v>45936</v>
      </c>
      <c r="K4285">
        <v>0</v>
      </c>
      <c r="L4285" s="1">
        <f t="shared" si="264"/>
        <v>12</v>
      </c>
      <c r="M4285" s="1" t="str">
        <f t="shared" si="265"/>
        <v/>
      </c>
      <c r="N4285" s="2">
        <f t="shared" si="266"/>
        <v>45931</v>
      </c>
      <c r="O4285" t="str">
        <f t="shared" si="267"/>
        <v>pes</v>
      </c>
    </row>
    <row r="4286" spans="1:15" x14ac:dyDescent="0.25">
      <c r="A4286">
        <v>11773</v>
      </c>
      <c r="B4286" s="11">
        <v>4040123456795</v>
      </c>
      <c r="C4286" s="1" t="s">
        <v>20</v>
      </c>
      <c r="D4286" s="1" t="s">
        <v>21</v>
      </c>
      <c r="E4286" s="1" t="s">
        <v>22</v>
      </c>
      <c r="F4286">
        <v>8.8000000000000007</v>
      </c>
      <c r="G4286">
        <v>1</v>
      </c>
      <c r="H4286" s="1" t="s">
        <v>18</v>
      </c>
      <c r="I4286" s="1" t="s">
        <v>879</v>
      </c>
      <c r="J4286" s="12">
        <v>45936</v>
      </c>
      <c r="K4286">
        <v>0</v>
      </c>
      <c r="L4286" s="1">
        <f t="shared" si="264"/>
        <v>8.8000000000000007</v>
      </c>
      <c r="M4286" s="1">
        <f t="shared" si="265"/>
        <v>4</v>
      </c>
      <c r="N4286" s="2">
        <f t="shared" si="266"/>
        <v>45931</v>
      </c>
      <c r="O4286" t="str">
        <f t="shared" si="267"/>
        <v>pes</v>
      </c>
    </row>
    <row r="4287" spans="1:15" x14ac:dyDescent="0.25">
      <c r="A4287">
        <v>11774</v>
      </c>
      <c r="B4287" s="11">
        <v>4027788990013</v>
      </c>
      <c r="C4287" s="1" t="s">
        <v>43</v>
      </c>
      <c r="D4287" s="1" t="s">
        <v>21</v>
      </c>
      <c r="E4287" s="1" t="s">
        <v>22</v>
      </c>
      <c r="F4287">
        <v>8</v>
      </c>
      <c r="G4287">
        <v>1</v>
      </c>
      <c r="H4287" s="1" t="s">
        <v>14</v>
      </c>
      <c r="I4287" s="1" t="s">
        <v>15</v>
      </c>
      <c r="J4287" s="12">
        <v>45936</v>
      </c>
      <c r="K4287">
        <v>0</v>
      </c>
      <c r="L4287" s="1">
        <f t="shared" si="264"/>
        <v>8</v>
      </c>
      <c r="M4287" s="1" t="str">
        <f t="shared" si="265"/>
        <v/>
      </c>
      <c r="N4287" s="2">
        <f t="shared" si="266"/>
        <v>45931</v>
      </c>
      <c r="O4287" t="str">
        <f t="shared" si="267"/>
        <v>pes</v>
      </c>
    </row>
    <row r="4288" spans="1:15" hidden="1" x14ac:dyDescent="0.25">
      <c r="A4288">
        <v>11775</v>
      </c>
      <c r="B4288" s="11">
        <v>4056789012345</v>
      </c>
      <c r="C4288" s="1" t="s">
        <v>47</v>
      </c>
      <c r="D4288" s="1" t="s">
        <v>29</v>
      </c>
      <c r="E4288" s="1" t="s">
        <v>37</v>
      </c>
      <c r="F4288">
        <v>2.4</v>
      </c>
      <c r="G4288">
        <v>4</v>
      </c>
      <c r="H4288" s="1" t="s">
        <v>14</v>
      </c>
      <c r="I4288" s="1" t="s">
        <v>15</v>
      </c>
      <c r="J4288" s="12">
        <v>45936</v>
      </c>
      <c r="K4288">
        <v>0</v>
      </c>
      <c r="L4288" s="1">
        <f t="shared" si="264"/>
        <v>9.6</v>
      </c>
      <c r="M4288" s="1" t="str">
        <f t="shared" si="265"/>
        <v/>
      </c>
      <c r="N4288" s="2">
        <f t="shared" si="266"/>
        <v>45931</v>
      </c>
      <c r="O4288" t="str">
        <f t="shared" si="267"/>
        <v>mačka</v>
      </c>
    </row>
    <row r="4289" spans="1:15" hidden="1" x14ac:dyDescent="0.25">
      <c r="A4289">
        <v>11776</v>
      </c>
      <c r="B4289" s="11">
        <v>4019876501234</v>
      </c>
      <c r="C4289" s="1" t="s">
        <v>674</v>
      </c>
      <c r="D4289" s="1" t="s">
        <v>29</v>
      </c>
      <c r="E4289" s="1" t="s">
        <v>37</v>
      </c>
      <c r="F4289">
        <v>1.84</v>
      </c>
      <c r="G4289">
        <v>4</v>
      </c>
      <c r="H4289" s="1" t="s">
        <v>23</v>
      </c>
      <c r="I4289" s="1" t="s">
        <v>880</v>
      </c>
      <c r="J4289" s="12">
        <v>45937</v>
      </c>
      <c r="K4289">
        <v>0</v>
      </c>
      <c r="L4289" s="1">
        <f t="shared" si="264"/>
        <v>7.36</v>
      </c>
      <c r="M4289" s="1">
        <f t="shared" si="265"/>
        <v>5</v>
      </c>
      <c r="N4289" s="2">
        <f t="shared" si="266"/>
        <v>45931</v>
      </c>
      <c r="O4289" t="str">
        <f t="shared" si="267"/>
        <v>mačka</v>
      </c>
    </row>
    <row r="4290" spans="1:15" x14ac:dyDescent="0.25">
      <c r="A4290">
        <v>11777</v>
      </c>
      <c r="B4290" s="11">
        <v>4017890123450</v>
      </c>
      <c r="C4290" s="1" t="s">
        <v>65</v>
      </c>
      <c r="D4290" s="1" t="s">
        <v>39</v>
      </c>
      <c r="E4290" s="1" t="s">
        <v>22</v>
      </c>
      <c r="F4290">
        <v>7.6</v>
      </c>
      <c r="G4290">
        <v>1</v>
      </c>
      <c r="H4290" s="1" t="s">
        <v>14</v>
      </c>
      <c r="I4290" s="1" t="s">
        <v>15</v>
      </c>
      <c r="J4290" s="12">
        <v>45937</v>
      </c>
      <c r="K4290">
        <v>0</v>
      </c>
      <c r="L4290" s="1">
        <f t="shared" ref="L4290:L4353" si="268">F4290*G4290</f>
        <v>7.6</v>
      </c>
      <c r="M4290" s="1" t="str">
        <f t="shared" ref="M4290:M4353" si="269">IF(H4290="NULL", "",VALUE(H4290))</f>
        <v/>
      </c>
      <c r="N4290" s="2">
        <f t="shared" ref="N4290:N4353" si="270">DATE(YEAR(J4290),MONTH(J4290),1)</f>
        <v>45931</v>
      </c>
      <c r="O4290" t="str">
        <f t="shared" ref="O4290:O4353" si="271">IF(ISNUMBER(SEARCH("Mačky",D4290)),"mačka",IF(ISNUMBER(SEARCH("Psy",D4290)),"pes","iné"))</f>
        <v>pes</v>
      </c>
    </row>
    <row r="4291" spans="1:15" x14ac:dyDescent="0.25">
      <c r="A4291">
        <v>11778</v>
      </c>
      <c r="B4291" s="11">
        <v>4028899001126</v>
      </c>
      <c r="C4291" s="1" t="s">
        <v>16</v>
      </c>
      <c r="D4291" s="1" t="s">
        <v>12</v>
      </c>
      <c r="E4291" s="1" t="s">
        <v>17</v>
      </c>
      <c r="F4291">
        <v>2.8</v>
      </c>
      <c r="G4291">
        <v>3</v>
      </c>
      <c r="H4291" s="1" t="s">
        <v>14</v>
      </c>
      <c r="I4291" s="1" t="s">
        <v>15</v>
      </c>
      <c r="J4291" s="12">
        <v>45937</v>
      </c>
      <c r="K4291">
        <v>0</v>
      </c>
      <c r="L4291" s="1">
        <f t="shared" si="268"/>
        <v>8.3999999999999986</v>
      </c>
      <c r="M4291" s="1" t="str">
        <f t="shared" si="269"/>
        <v/>
      </c>
      <c r="N4291" s="2">
        <f t="shared" si="270"/>
        <v>45931</v>
      </c>
      <c r="O4291" t="str">
        <f t="shared" si="271"/>
        <v>pes</v>
      </c>
    </row>
    <row r="4292" spans="1:15" x14ac:dyDescent="0.25">
      <c r="A4292">
        <v>11779</v>
      </c>
      <c r="B4292" s="11">
        <v>4013456789017</v>
      </c>
      <c r="C4292" s="1" t="s">
        <v>11</v>
      </c>
      <c r="D4292" s="1" t="s">
        <v>12</v>
      </c>
      <c r="E4292" s="1" t="s">
        <v>13</v>
      </c>
      <c r="F4292">
        <v>6</v>
      </c>
      <c r="G4292">
        <v>1</v>
      </c>
      <c r="H4292" s="1" t="s">
        <v>33</v>
      </c>
      <c r="I4292" s="1" t="s">
        <v>881</v>
      </c>
      <c r="J4292" s="12">
        <v>45937</v>
      </c>
      <c r="K4292">
        <v>0</v>
      </c>
      <c r="L4292" s="1">
        <f t="shared" si="268"/>
        <v>6</v>
      </c>
      <c r="M4292" s="1">
        <f t="shared" si="269"/>
        <v>3</v>
      </c>
      <c r="N4292" s="2">
        <f t="shared" si="270"/>
        <v>45931</v>
      </c>
      <c r="O4292" t="str">
        <f t="shared" si="271"/>
        <v>pes</v>
      </c>
    </row>
    <row r="4293" spans="1:15" x14ac:dyDescent="0.25">
      <c r="A4293">
        <v>11780</v>
      </c>
      <c r="B4293" s="11">
        <v>4063456789014</v>
      </c>
      <c r="C4293" s="1" t="s">
        <v>60</v>
      </c>
      <c r="D4293" s="1" t="s">
        <v>12</v>
      </c>
      <c r="E4293" s="1" t="s">
        <v>61</v>
      </c>
      <c r="F4293">
        <v>36</v>
      </c>
      <c r="G4293">
        <v>1</v>
      </c>
      <c r="H4293" s="1" t="s">
        <v>14</v>
      </c>
      <c r="I4293" s="1" t="s">
        <v>15</v>
      </c>
      <c r="J4293" s="12">
        <v>45937</v>
      </c>
      <c r="K4293">
        <v>0</v>
      </c>
      <c r="L4293" s="1">
        <f t="shared" si="268"/>
        <v>36</v>
      </c>
      <c r="M4293" s="1" t="str">
        <f t="shared" si="269"/>
        <v/>
      </c>
      <c r="N4293" s="2">
        <f t="shared" si="270"/>
        <v>45931</v>
      </c>
      <c r="O4293" t="str">
        <f t="shared" si="271"/>
        <v>pes</v>
      </c>
    </row>
    <row r="4294" spans="1:15" hidden="1" x14ac:dyDescent="0.25">
      <c r="A4294">
        <v>11781</v>
      </c>
      <c r="B4294" s="11">
        <v>4029900112244</v>
      </c>
      <c r="C4294" s="1" t="s">
        <v>655</v>
      </c>
      <c r="D4294" s="1" t="s">
        <v>36</v>
      </c>
      <c r="E4294" s="1" t="s">
        <v>37</v>
      </c>
      <c r="F4294">
        <v>13.6</v>
      </c>
      <c r="G4294">
        <v>1</v>
      </c>
      <c r="H4294" s="1" t="s">
        <v>14</v>
      </c>
      <c r="I4294" s="1" t="s">
        <v>15</v>
      </c>
      <c r="J4294" s="12">
        <v>45937</v>
      </c>
      <c r="K4294">
        <v>0</v>
      </c>
      <c r="L4294" s="1">
        <f t="shared" si="268"/>
        <v>13.6</v>
      </c>
      <c r="M4294" s="1" t="str">
        <f t="shared" si="269"/>
        <v/>
      </c>
      <c r="N4294" s="2">
        <f t="shared" si="270"/>
        <v>45931</v>
      </c>
      <c r="O4294" t="str">
        <f t="shared" si="271"/>
        <v>mačka</v>
      </c>
    </row>
    <row r="4295" spans="1:15" hidden="1" x14ac:dyDescent="0.25">
      <c r="A4295">
        <v>11782</v>
      </c>
      <c r="B4295" s="11">
        <v>4026677889902</v>
      </c>
      <c r="C4295" s="1" t="s">
        <v>52</v>
      </c>
      <c r="D4295" s="1" t="s">
        <v>53</v>
      </c>
      <c r="E4295" s="1" t="s">
        <v>54</v>
      </c>
      <c r="F4295">
        <v>7.6</v>
      </c>
      <c r="G4295">
        <v>1</v>
      </c>
      <c r="H4295" s="1" t="s">
        <v>14</v>
      </c>
      <c r="I4295" s="1" t="s">
        <v>15</v>
      </c>
      <c r="J4295" s="12">
        <v>45937</v>
      </c>
      <c r="K4295">
        <v>0</v>
      </c>
      <c r="L4295" s="1">
        <f t="shared" si="268"/>
        <v>7.6</v>
      </c>
      <c r="M4295" s="1" t="str">
        <f t="shared" si="269"/>
        <v/>
      </c>
      <c r="N4295" s="2">
        <f t="shared" si="270"/>
        <v>45931</v>
      </c>
      <c r="O4295" t="str">
        <f t="shared" si="271"/>
        <v>iné</v>
      </c>
    </row>
    <row r="4296" spans="1:15" x14ac:dyDescent="0.25">
      <c r="A4296">
        <v>11783</v>
      </c>
      <c r="B4296" s="11">
        <v>4040123456795</v>
      </c>
      <c r="C4296" s="1" t="s">
        <v>20</v>
      </c>
      <c r="D4296" s="1" t="s">
        <v>21</v>
      </c>
      <c r="E4296" s="1" t="s">
        <v>22</v>
      </c>
      <c r="F4296">
        <v>8.8000000000000007</v>
      </c>
      <c r="G4296">
        <v>1</v>
      </c>
      <c r="H4296" s="1" t="s">
        <v>14</v>
      </c>
      <c r="I4296" s="1" t="s">
        <v>15</v>
      </c>
      <c r="J4296" s="12">
        <v>45937</v>
      </c>
      <c r="K4296">
        <v>0</v>
      </c>
      <c r="L4296" s="1">
        <f t="shared" si="268"/>
        <v>8.8000000000000007</v>
      </c>
      <c r="M4296" s="1" t="str">
        <f t="shared" si="269"/>
        <v/>
      </c>
      <c r="N4296" s="2">
        <f t="shared" si="270"/>
        <v>45931</v>
      </c>
      <c r="O4296" t="str">
        <f t="shared" si="271"/>
        <v>pes</v>
      </c>
    </row>
    <row r="4297" spans="1:15" x14ac:dyDescent="0.25">
      <c r="A4297">
        <v>11784</v>
      </c>
      <c r="B4297" s="11">
        <v>4017890123450</v>
      </c>
      <c r="C4297" s="1" t="s">
        <v>65</v>
      </c>
      <c r="D4297" s="1" t="s">
        <v>39</v>
      </c>
      <c r="E4297" s="1" t="s">
        <v>22</v>
      </c>
      <c r="F4297">
        <v>7.6</v>
      </c>
      <c r="G4297">
        <v>1</v>
      </c>
      <c r="H4297" s="1" t="s">
        <v>18</v>
      </c>
      <c r="I4297" s="1" t="s">
        <v>882</v>
      </c>
      <c r="J4297" s="12">
        <v>45937</v>
      </c>
      <c r="K4297">
        <v>0</v>
      </c>
      <c r="L4297" s="1">
        <f t="shared" si="268"/>
        <v>7.6</v>
      </c>
      <c r="M4297" s="1">
        <f t="shared" si="269"/>
        <v>4</v>
      </c>
      <c r="N4297" s="2">
        <f t="shared" si="270"/>
        <v>45931</v>
      </c>
      <c r="O4297" t="str">
        <f t="shared" si="271"/>
        <v>pes</v>
      </c>
    </row>
    <row r="4298" spans="1:15" x14ac:dyDescent="0.25">
      <c r="A4298">
        <v>11785</v>
      </c>
      <c r="B4298" s="11">
        <v>4028899001126</v>
      </c>
      <c r="C4298" s="1" t="s">
        <v>16</v>
      </c>
      <c r="D4298" s="1" t="s">
        <v>12</v>
      </c>
      <c r="E4298" s="1" t="s">
        <v>17</v>
      </c>
      <c r="F4298">
        <v>2.8</v>
      </c>
      <c r="G4298">
        <v>2</v>
      </c>
      <c r="H4298" s="1" t="s">
        <v>14</v>
      </c>
      <c r="I4298" s="1" t="s">
        <v>15</v>
      </c>
      <c r="J4298" s="12">
        <v>45937</v>
      </c>
      <c r="K4298">
        <v>0</v>
      </c>
      <c r="L4298" s="1">
        <f t="shared" si="268"/>
        <v>5.6</v>
      </c>
      <c r="M4298" s="1" t="str">
        <f t="shared" si="269"/>
        <v/>
      </c>
      <c r="N4298" s="2">
        <f t="shared" si="270"/>
        <v>45931</v>
      </c>
      <c r="O4298" t="str">
        <f t="shared" si="271"/>
        <v>pes</v>
      </c>
    </row>
    <row r="4299" spans="1:15" x14ac:dyDescent="0.25">
      <c r="A4299">
        <v>11786</v>
      </c>
      <c r="B4299" s="11">
        <v>4013456789017</v>
      </c>
      <c r="C4299" s="1" t="s">
        <v>11</v>
      </c>
      <c r="D4299" s="1" t="s">
        <v>12</v>
      </c>
      <c r="E4299" s="1" t="s">
        <v>13</v>
      </c>
      <c r="F4299">
        <v>6</v>
      </c>
      <c r="G4299">
        <v>2</v>
      </c>
      <c r="H4299" s="1" t="s">
        <v>14</v>
      </c>
      <c r="I4299" s="1" t="s">
        <v>15</v>
      </c>
      <c r="J4299" s="12">
        <v>45937</v>
      </c>
      <c r="K4299">
        <v>0</v>
      </c>
      <c r="L4299" s="1">
        <f t="shared" si="268"/>
        <v>12</v>
      </c>
      <c r="M4299" s="1" t="str">
        <f t="shared" si="269"/>
        <v/>
      </c>
      <c r="N4299" s="2">
        <f t="shared" si="270"/>
        <v>45931</v>
      </c>
      <c r="O4299" t="str">
        <f t="shared" si="271"/>
        <v>pes</v>
      </c>
    </row>
    <row r="4300" spans="1:15" x14ac:dyDescent="0.25">
      <c r="A4300">
        <v>11787</v>
      </c>
      <c r="B4300" s="11">
        <v>4027788990013</v>
      </c>
      <c r="C4300" s="1" t="s">
        <v>43</v>
      </c>
      <c r="D4300" s="1" t="s">
        <v>21</v>
      </c>
      <c r="E4300" s="1" t="s">
        <v>22</v>
      </c>
      <c r="F4300">
        <v>8</v>
      </c>
      <c r="G4300">
        <v>1</v>
      </c>
      <c r="H4300" s="1" t="s">
        <v>14</v>
      </c>
      <c r="I4300" s="1" t="s">
        <v>15</v>
      </c>
      <c r="J4300" s="12">
        <v>45937</v>
      </c>
      <c r="K4300">
        <v>0</v>
      </c>
      <c r="L4300" s="1">
        <f t="shared" si="268"/>
        <v>8</v>
      </c>
      <c r="M4300" s="1" t="str">
        <f t="shared" si="269"/>
        <v/>
      </c>
      <c r="N4300" s="2">
        <f t="shared" si="270"/>
        <v>45931</v>
      </c>
      <c r="O4300" t="str">
        <f t="shared" si="271"/>
        <v>pes</v>
      </c>
    </row>
    <row r="4301" spans="1:15" x14ac:dyDescent="0.25">
      <c r="A4301">
        <v>11788</v>
      </c>
      <c r="B4301" s="11">
        <v>4028899001126</v>
      </c>
      <c r="C4301" s="1" t="s">
        <v>16</v>
      </c>
      <c r="D4301" s="1" t="s">
        <v>12</v>
      </c>
      <c r="E4301" s="1" t="s">
        <v>17</v>
      </c>
      <c r="F4301">
        <v>2.8</v>
      </c>
      <c r="G4301">
        <v>3</v>
      </c>
      <c r="H4301" s="1" t="s">
        <v>18</v>
      </c>
      <c r="I4301" s="1" t="s">
        <v>883</v>
      </c>
      <c r="J4301" s="12">
        <v>45938</v>
      </c>
      <c r="K4301">
        <v>0</v>
      </c>
      <c r="L4301" s="1">
        <f t="shared" si="268"/>
        <v>8.3999999999999986</v>
      </c>
      <c r="M4301" s="1">
        <f t="shared" si="269"/>
        <v>4</v>
      </c>
      <c r="N4301" s="2">
        <f t="shared" si="270"/>
        <v>45931</v>
      </c>
      <c r="O4301" t="str">
        <f t="shared" si="271"/>
        <v>pes</v>
      </c>
    </row>
    <row r="4302" spans="1:15" x14ac:dyDescent="0.25">
      <c r="A4302">
        <v>11789</v>
      </c>
      <c r="B4302" s="11">
        <v>4013456789017</v>
      </c>
      <c r="C4302" s="1" t="s">
        <v>11</v>
      </c>
      <c r="D4302" s="1" t="s">
        <v>12</v>
      </c>
      <c r="E4302" s="1" t="s">
        <v>13</v>
      </c>
      <c r="F4302">
        <v>6</v>
      </c>
      <c r="G4302">
        <v>2</v>
      </c>
      <c r="H4302" s="1" t="s">
        <v>14</v>
      </c>
      <c r="I4302" s="1" t="s">
        <v>15</v>
      </c>
      <c r="J4302" s="12">
        <v>45938</v>
      </c>
      <c r="K4302">
        <v>0</v>
      </c>
      <c r="L4302" s="1">
        <f t="shared" si="268"/>
        <v>12</v>
      </c>
      <c r="M4302" s="1" t="str">
        <f t="shared" si="269"/>
        <v/>
      </c>
      <c r="N4302" s="2">
        <f t="shared" si="270"/>
        <v>45931</v>
      </c>
      <c r="O4302" t="str">
        <f t="shared" si="271"/>
        <v>pes</v>
      </c>
    </row>
    <row r="4303" spans="1:15" x14ac:dyDescent="0.25">
      <c r="A4303">
        <v>11790</v>
      </c>
      <c r="B4303" s="11">
        <v>4040123456795</v>
      </c>
      <c r="C4303" s="1" t="s">
        <v>20</v>
      </c>
      <c r="D4303" s="1" t="s">
        <v>21</v>
      </c>
      <c r="E4303" s="1" t="s">
        <v>22</v>
      </c>
      <c r="F4303">
        <v>8.8000000000000007</v>
      </c>
      <c r="G4303">
        <v>1</v>
      </c>
      <c r="H4303" s="1" t="s">
        <v>14</v>
      </c>
      <c r="I4303" s="1" t="s">
        <v>15</v>
      </c>
      <c r="J4303" s="12">
        <v>45938</v>
      </c>
      <c r="K4303">
        <v>0</v>
      </c>
      <c r="L4303" s="1">
        <f t="shared" si="268"/>
        <v>8.8000000000000007</v>
      </c>
      <c r="M4303" s="1" t="str">
        <f t="shared" si="269"/>
        <v/>
      </c>
      <c r="N4303" s="2">
        <f t="shared" si="270"/>
        <v>45931</v>
      </c>
      <c r="O4303" t="str">
        <f t="shared" si="271"/>
        <v>pes</v>
      </c>
    </row>
    <row r="4304" spans="1:15" x14ac:dyDescent="0.25">
      <c r="A4304">
        <v>11791</v>
      </c>
      <c r="B4304" s="11">
        <v>4027788990013</v>
      </c>
      <c r="C4304" s="1" t="s">
        <v>43</v>
      </c>
      <c r="D4304" s="1" t="s">
        <v>21</v>
      </c>
      <c r="E4304" s="1" t="s">
        <v>22</v>
      </c>
      <c r="F4304">
        <v>8</v>
      </c>
      <c r="G4304">
        <v>1</v>
      </c>
      <c r="H4304" s="1" t="s">
        <v>33</v>
      </c>
      <c r="I4304" s="1" t="s">
        <v>884</v>
      </c>
      <c r="J4304" s="12">
        <v>45938</v>
      </c>
      <c r="K4304">
        <v>0</v>
      </c>
      <c r="L4304" s="1">
        <f t="shared" si="268"/>
        <v>8</v>
      </c>
      <c r="M4304" s="1">
        <f t="shared" si="269"/>
        <v>3</v>
      </c>
      <c r="N4304" s="2">
        <f t="shared" si="270"/>
        <v>45931</v>
      </c>
      <c r="O4304" t="str">
        <f t="shared" si="271"/>
        <v>pes</v>
      </c>
    </row>
    <row r="4305" spans="1:15" hidden="1" x14ac:dyDescent="0.25">
      <c r="A4305">
        <v>11792</v>
      </c>
      <c r="B4305" s="11">
        <v>4056789012345</v>
      </c>
      <c r="C4305" s="1" t="s">
        <v>47</v>
      </c>
      <c r="D4305" s="1" t="s">
        <v>29</v>
      </c>
      <c r="E4305" s="1" t="s">
        <v>37</v>
      </c>
      <c r="F4305">
        <v>2.4</v>
      </c>
      <c r="G4305">
        <v>3</v>
      </c>
      <c r="H4305" s="1" t="s">
        <v>14</v>
      </c>
      <c r="I4305" s="1" t="s">
        <v>15</v>
      </c>
      <c r="J4305" s="12">
        <v>45938</v>
      </c>
      <c r="K4305">
        <v>0</v>
      </c>
      <c r="L4305" s="1">
        <f t="shared" si="268"/>
        <v>7.1999999999999993</v>
      </c>
      <c r="M4305" s="1" t="str">
        <f t="shared" si="269"/>
        <v/>
      </c>
      <c r="N4305" s="2">
        <f t="shared" si="270"/>
        <v>45931</v>
      </c>
      <c r="O4305" t="str">
        <f t="shared" si="271"/>
        <v>mačka</v>
      </c>
    </row>
    <row r="4306" spans="1:15" hidden="1" x14ac:dyDescent="0.25">
      <c r="A4306">
        <v>11793</v>
      </c>
      <c r="B4306" s="11">
        <v>4019876501234</v>
      </c>
      <c r="C4306" s="1" t="s">
        <v>674</v>
      </c>
      <c r="D4306" s="1" t="s">
        <v>29</v>
      </c>
      <c r="E4306" s="1" t="s">
        <v>37</v>
      </c>
      <c r="F4306">
        <v>1.84</v>
      </c>
      <c r="G4306">
        <v>5</v>
      </c>
      <c r="H4306" s="1" t="s">
        <v>23</v>
      </c>
      <c r="I4306" s="1" t="s">
        <v>885</v>
      </c>
      <c r="J4306" s="12">
        <v>45938</v>
      </c>
      <c r="K4306">
        <v>0</v>
      </c>
      <c r="L4306" s="1">
        <f t="shared" si="268"/>
        <v>9.2000000000000011</v>
      </c>
      <c r="M4306" s="1">
        <f t="shared" si="269"/>
        <v>5</v>
      </c>
      <c r="N4306" s="2">
        <f t="shared" si="270"/>
        <v>45931</v>
      </c>
      <c r="O4306" t="str">
        <f t="shared" si="271"/>
        <v>mačka</v>
      </c>
    </row>
    <row r="4307" spans="1:15" x14ac:dyDescent="0.25">
      <c r="A4307">
        <v>11794</v>
      </c>
      <c r="B4307" s="11">
        <v>4063456789014</v>
      </c>
      <c r="C4307" s="1" t="s">
        <v>60</v>
      </c>
      <c r="D4307" s="1" t="s">
        <v>12</v>
      </c>
      <c r="E4307" s="1" t="s">
        <v>61</v>
      </c>
      <c r="F4307">
        <v>36</v>
      </c>
      <c r="G4307">
        <v>1</v>
      </c>
      <c r="H4307" s="1" t="s">
        <v>14</v>
      </c>
      <c r="I4307" s="1" t="s">
        <v>15</v>
      </c>
      <c r="J4307" s="12">
        <v>45938</v>
      </c>
      <c r="K4307">
        <v>0</v>
      </c>
      <c r="L4307" s="1">
        <f t="shared" si="268"/>
        <v>36</v>
      </c>
      <c r="M4307" s="1" t="str">
        <f t="shared" si="269"/>
        <v/>
      </c>
      <c r="N4307" s="2">
        <f t="shared" si="270"/>
        <v>45931</v>
      </c>
      <c r="O4307" t="str">
        <f t="shared" si="271"/>
        <v>pes</v>
      </c>
    </row>
    <row r="4308" spans="1:15" hidden="1" x14ac:dyDescent="0.25">
      <c r="A4308">
        <v>11795</v>
      </c>
      <c r="B4308" s="11">
        <v>4026677889902</v>
      </c>
      <c r="C4308" s="1" t="s">
        <v>52</v>
      </c>
      <c r="D4308" s="1" t="s">
        <v>53</v>
      </c>
      <c r="E4308" s="1" t="s">
        <v>54</v>
      </c>
      <c r="F4308">
        <v>7.6</v>
      </c>
      <c r="G4308">
        <v>1</v>
      </c>
      <c r="H4308" s="1" t="s">
        <v>14</v>
      </c>
      <c r="I4308" s="1" t="s">
        <v>15</v>
      </c>
      <c r="J4308" s="12">
        <v>45938</v>
      </c>
      <c r="K4308">
        <v>0</v>
      </c>
      <c r="L4308" s="1">
        <f t="shared" si="268"/>
        <v>7.6</v>
      </c>
      <c r="M4308" s="1" t="str">
        <f t="shared" si="269"/>
        <v/>
      </c>
      <c r="N4308" s="2">
        <f t="shared" si="270"/>
        <v>45931</v>
      </c>
      <c r="O4308" t="str">
        <f t="shared" si="271"/>
        <v>iné</v>
      </c>
    </row>
    <row r="4309" spans="1:15" x14ac:dyDescent="0.25">
      <c r="A4309">
        <v>11796</v>
      </c>
      <c r="B4309" s="11">
        <v>4028899001126</v>
      </c>
      <c r="C4309" s="1" t="s">
        <v>16</v>
      </c>
      <c r="D4309" s="1" t="s">
        <v>12</v>
      </c>
      <c r="E4309" s="1" t="s">
        <v>17</v>
      </c>
      <c r="F4309">
        <v>2.8</v>
      </c>
      <c r="G4309">
        <v>2</v>
      </c>
      <c r="H4309" s="1" t="s">
        <v>14</v>
      </c>
      <c r="I4309" s="1" t="s">
        <v>15</v>
      </c>
      <c r="J4309" s="12">
        <v>45938</v>
      </c>
      <c r="K4309">
        <v>0</v>
      </c>
      <c r="L4309" s="1">
        <f t="shared" si="268"/>
        <v>5.6</v>
      </c>
      <c r="M4309" s="1" t="str">
        <f t="shared" si="269"/>
        <v/>
      </c>
      <c r="N4309" s="2">
        <f t="shared" si="270"/>
        <v>45931</v>
      </c>
      <c r="O4309" t="str">
        <f t="shared" si="271"/>
        <v>pes</v>
      </c>
    </row>
    <row r="4310" spans="1:15" x14ac:dyDescent="0.25">
      <c r="A4310">
        <v>11797</v>
      </c>
      <c r="B4310" s="11">
        <v>4013456789017</v>
      </c>
      <c r="C4310" s="1" t="s">
        <v>11</v>
      </c>
      <c r="D4310" s="1" t="s">
        <v>12</v>
      </c>
      <c r="E4310" s="1" t="s">
        <v>13</v>
      </c>
      <c r="F4310">
        <v>6</v>
      </c>
      <c r="G4310">
        <v>1</v>
      </c>
      <c r="H4310" s="1" t="s">
        <v>14</v>
      </c>
      <c r="I4310" s="1" t="s">
        <v>15</v>
      </c>
      <c r="J4310" s="12">
        <v>45938</v>
      </c>
      <c r="K4310">
        <v>0</v>
      </c>
      <c r="L4310" s="1">
        <f t="shared" si="268"/>
        <v>6</v>
      </c>
      <c r="M4310" s="1" t="str">
        <f t="shared" si="269"/>
        <v/>
      </c>
      <c r="N4310" s="2">
        <f t="shared" si="270"/>
        <v>45931</v>
      </c>
      <c r="O4310" t="str">
        <f t="shared" si="271"/>
        <v>pes</v>
      </c>
    </row>
    <row r="4311" spans="1:15" x14ac:dyDescent="0.25">
      <c r="A4311">
        <v>11798</v>
      </c>
      <c r="B4311" s="11">
        <v>4040123456795</v>
      </c>
      <c r="C4311" s="1" t="s">
        <v>20</v>
      </c>
      <c r="D4311" s="1" t="s">
        <v>21</v>
      </c>
      <c r="E4311" s="1" t="s">
        <v>22</v>
      </c>
      <c r="F4311">
        <v>8.8000000000000007</v>
      </c>
      <c r="G4311">
        <v>1</v>
      </c>
      <c r="H4311" s="1" t="s">
        <v>18</v>
      </c>
      <c r="I4311" s="1" t="s">
        <v>886</v>
      </c>
      <c r="J4311" s="12">
        <v>45938</v>
      </c>
      <c r="K4311">
        <v>0</v>
      </c>
      <c r="L4311" s="1">
        <f t="shared" si="268"/>
        <v>8.8000000000000007</v>
      </c>
      <c r="M4311" s="1">
        <f t="shared" si="269"/>
        <v>4</v>
      </c>
      <c r="N4311" s="2">
        <f t="shared" si="270"/>
        <v>45931</v>
      </c>
      <c r="O4311" t="str">
        <f t="shared" si="271"/>
        <v>pes</v>
      </c>
    </row>
    <row r="4312" spans="1:15" hidden="1" x14ac:dyDescent="0.25">
      <c r="A4312">
        <v>11799</v>
      </c>
      <c r="B4312" s="11">
        <v>4029900112244</v>
      </c>
      <c r="C4312" s="1" t="s">
        <v>655</v>
      </c>
      <c r="D4312" s="1" t="s">
        <v>36</v>
      </c>
      <c r="E4312" s="1" t="s">
        <v>37</v>
      </c>
      <c r="F4312">
        <v>13.6</v>
      </c>
      <c r="G4312">
        <v>1</v>
      </c>
      <c r="H4312" s="1" t="s">
        <v>14</v>
      </c>
      <c r="I4312" s="1" t="s">
        <v>15</v>
      </c>
      <c r="J4312" s="12">
        <v>45938</v>
      </c>
      <c r="K4312">
        <v>0</v>
      </c>
      <c r="L4312" s="1">
        <f t="shared" si="268"/>
        <v>13.6</v>
      </c>
      <c r="M4312" s="1" t="str">
        <f t="shared" si="269"/>
        <v/>
      </c>
      <c r="N4312" s="2">
        <f t="shared" si="270"/>
        <v>45931</v>
      </c>
      <c r="O4312" t="str">
        <f t="shared" si="271"/>
        <v>mačka</v>
      </c>
    </row>
    <row r="4313" spans="1:15" x14ac:dyDescent="0.25">
      <c r="A4313">
        <v>11800</v>
      </c>
      <c r="B4313" s="11">
        <v>4017890123450</v>
      </c>
      <c r="C4313" s="1" t="s">
        <v>65</v>
      </c>
      <c r="D4313" s="1" t="s">
        <v>39</v>
      </c>
      <c r="E4313" s="1" t="s">
        <v>22</v>
      </c>
      <c r="F4313">
        <v>7.6</v>
      </c>
      <c r="G4313">
        <v>1</v>
      </c>
      <c r="H4313" s="1" t="s">
        <v>14</v>
      </c>
      <c r="I4313" s="1" t="s">
        <v>15</v>
      </c>
      <c r="J4313" s="12">
        <v>45938</v>
      </c>
      <c r="K4313">
        <v>0</v>
      </c>
      <c r="L4313" s="1">
        <f t="shared" si="268"/>
        <v>7.6</v>
      </c>
      <c r="M4313" s="1" t="str">
        <f t="shared" si="269"/>
        <v/>
      </c>
      <c r="N4313" s="2">
        <f t="shared" si="270"/>
        <v>45931</v>
      </c>
      <c r="O4313" t="str">
        <f t="shared" si="271"/>
        <v>pes</v>
      </c>
    </row>
    <row r="4314" spans="1:15" x14ac:dyDescent="0.25">
      <c r="A4314">
        <v>11801</v>
      </c>
      <c r="B4314" s="11">
        <v>4063456789014</v>
      </c>
      <c r="C4314" s="1" t="s">
        <v>60</v>
      </c>
      <c r="D4314" s="1" t="s">
        <v>12</v>
      </c>
      <c r="E4314" s="1" t="s">
        <v>61</v>
      </c>
      <c r="F4314">
        <v>36</v>
      </c>
      <c r="G4314">
        <v>1</v>
      </c>
      <c r="H4314" s="1" t="s">
        <v>14</v>
      </c>
      <c r="I4314" s="1" t="s">
        <v>15</v>
      </c>
      <c r="J4314" s="12">
        <v>45938</v>
      </c>
      <c r="K4314">
        <v>0</v>
      </c>
      <c r="L4314" s="1">
        <f t="shared" si="268"/>
        <v>36</v>
      </c>
      <c r="M4314" s="1" t="str">
        <f t="shared" si="269"/>
        <v/>
      </c>
      <c r="N4314" s="2">
        <f t="shared" si="270"/>
        <v>45931</v>
      </c>
      <c r="O4314" t="str">
        <f t="shared" si="271"/>
        <v>pes</v>
      </c>
    </row>
    <row r="4315" spans="1:15" hidden="1" x14ac:dyDescent="0.25">
      <c r="A4315">
        <v>11802</v>
      </c>
      <c r="B4315" s="11">
        <v>4019876501234</v>
      </c>
      <c r="C4315" s="1" t="s">
        <v>674</v>
      </c>
      <c r="D4315" s="1" t="s">
        <v>29</v>
      </c>
      <c r="E4315" s="1" t="s">
        <v>37</v>
      </c>
      <c r="F4315">
        <v>1.84</v>
      </c>
      <c r="G4315">
        <v>4</v>
      </c>
      <c r="H4315" s="1" t="s">
        <v>14</v>
      </c>
      <c r="I4315" s="1" t="s">
        <v>15</v>
      </c>
      <c r="J4315" s="12">
        <v>45939</v>
      </c>
      <c r="K4315">
        <v>0</v>
      </c>
      <c r="L4315" s="1">
        <f t="shared" si="268"/>
        <v>7.36</v>
      </c>
      <c r="M4315" s="1" t="str">
        <f t="shared" si="269"/>
        <v/>
      </c>
      <c r="N4315" s="2">
        <f t="shared" si="270"/>
        <v>45931</v>
      </c>
      <c r="O4315" t="str">
        <f t="shared" si="271"/>
        <v>mačka</v>
      </c>
    </row>
    <row r="4316" spans="1:15" x14ac:dyDescent="0.25">
      <c r="A4316">
        <v>11803</v>
      </c>
      <c r="B4316" s="11">
        <v>4028899001126</v>
      </c>
      <c r="C4316" s="1" t="s">
        <v>16</v>
      </c>
      <c r="D4316" s="1" t="s">
        <v>12</v>
      </c>
      <c r="E4316" s="1" t="s">
        <v>17</v>
      </c>
      <c r="F4316">
        <v>2.8</v>
      </c>
      <c r="G4316">
        <v>3</v>
      </c>
      <c r="H4316" s="1" t="s">
        <v>14</v>
      </c>
      <c r="I4316" s="1" t="s">
        <v>15</v>
      </c>
      <c r="J4316" s="12">
        <v>45939</v>
      </c>
      <c r="K4316">
        <v>0</v>
      </c>
      <c r="L4316" s="1">
        <f t="shared" si="268"/>
        <v>8.3999999999999986</v>
      </c>
      <c r="M4316" s="1" t="str">
        <f t="shared" si="269"/>
        <v/>
      </c>
      <c r="N4316" s="2">
        <f t="shared" si="270"/>
        <v>45931</v>
      </c>
      <c r="O4316" t="str">
        <f t="shared" si="271"/>
        <v>pes</v>
      </c>
    </row>
    <row r="4317" spans="1:15" x14ac:dyDescent="0.25">
      <c r="A4317">
        <v>11804</v>
      </c>
      <c r="B4317" s="11">
        <v>4013456789017</v>
      </c>
      <c r="C4317" s="1" t="s">
        <v>11</v>
      </c>
      <c r="D4317" s="1" t="s">
        <v>12</v>
      </c>
      <c r="E4317" s="1" t="s">
        <v>13</v>
      </c>
      <c r="F4317">
        <v>6</v>
      </c>
      <c r="G4317">
        <v>2</v>
      </c>
      <c r="H4317" s="1" t="s">
        <v>14</v>
      </c>
      <c r="I4317" s="1" t="s">
        <v>15</v>
      </c>
      <c r="J4317" s="12">
        <v>45939</v>
      </c>
      <c r="K4317">
        <v>0</v>
      </c>
      <c r="L4317" s="1">
        <f t="shared" si="268"/>
        <v>12</v>
      </c>
      <c r="M4317" s="1" t="str">
        <f t="shared" si="269"/>
        <v/>
      </c>
      <c r="N4317" s="2">
        <f t="shared" si="270"/>
        <v>45931</v>
      </c>
      <c r="O4317" t="str">
        <f t="shared" si="271"/>
        <v>pes</v>
      </c>
    </row>
    <row r="4318" spans="1:15" x14ac:dyDescent="0.25">
      <c r="A4318">
        <v>11805</v>
      </c>
      <c r="B4318" s="11">
        <v>4040123456795</v>
      </c>
      <c r="C4318" s="1" t="s">
        <v>20</v>
      </c>
      <c r="D4318" s="1" t="s">
        <v>21</v>
      </c>
      <c r="E4318" s="1" t="s">
        <v>22</v>
      </c>
      <c r="F4318">
        <v>8.8000000000000007</v>
      </c>
      <c r="G4318">
        <v>1</v>
      </c>
      <c r="H4318" s="1" t="s">
        <v>23</v>
      </c>
      <c r="I4318" s="1" t="s">
        <v>887</v>
      </c>
      <c r="J4318" s="12">
        <v>45939</v>
      </c>
      <c r="K4318">
        <v>0</v>
      </c>
      <c r="L4318" s="1">
        <f t="shared" si="268"/>
        <v>8.8000000000000007</v>
      </c>
      <c r="M4318" s="1">
        <f t="shared" si="269"/>
        <v>5</v>
      </c>
      <c r="N4318" s="2">
        <f t="shared" si="270"/>
        <v>45931</v>
      </c>
      <c r="O4318" t="str">
        <f t="shared" si="271"/>
        <v>pes</v>
      </c>
    </row>
    <row r="4319" spans="1:15" x14ac:dyDescent="0.25">
      <c r="A4319">
        <v>11806</v>
      </c>
      <c r="B4319" s="11">
        <v>4027788990013</v>
      </c>
      <c r="C4319" s="1" t="s">
        <v>43</v>
      </c>
      <c r="D4319" s="1" t="s">
        <v>21</v>
      </c>
      <c r="E4319" s="1" t="s">
        <v>22</v>
      </c>
      <c r="F4319">
        <v>8</v>
      </c>
      <c r="G4319">
        <v>1</v>
      </c>
      <c r="H4319" s="1" t="s">
        <v>14</v>
      </c>
      <c r="I4319" s="1" t="s">
        <v>15</v>
      </c>
      <c r="J4319" s="12">
        <v>45939</v>
      </c>
      <c r="K4319">
        <v>0</v>
      </c>
      <c r="L4319" s="1">
        <f t="shared" si="268"/>
        <v>8</v>
      </c>
      <c r="M4319" s="1" t="str">
        <f t="shared" si="269"/>
        <v/>
      </c>
      <c r="N4319" s="2">
        <f t="shared" si="270"/>
        <v>45931</v>
      </c>
      <c r="O4319" t="str">
        <f t="shared" si="271"/>
        <v>pes</v>
      </c>
    </row>
    <row r="4320" spans="1:15" hidden="1" x14ac:dyDescent="0.25">
      <c r="A4320">
        <v>11807</v>
      </c>
      <c r="B4320" s="11">
        <v>4026677889902</v>
      </c>
      <c r="C4320" s="1" t="s">
        <v>52</v>
      </c>
      <c r="D4320" s="1" t="s">
        <v>53</v>
      </c>
      <c r="E4320" s="1" t="s">
        <v>54</v>
      </c>
      <c r="F4320">
        <v>7.6</v>
      </c>
      <c r="G4320">
        <v>1</v>
      </c>
      <c r="H4320" s="1" t="s">
        <v>14</v>
      </c>
      <c r="I4320" s="1" t="s">
        <v>15</v>
      </c>
      <c r="J4320" s="12">
        <v>45939</v>
      </c>
      <c r="K4320">
        <v>0</v>
      </c>
      <c r="L4320" s="1">
        <f t="shared" si="268"/>
        <v>7.6</v>
      </c>
      <c r="M4320" s="1" t="str">
        <f t="shared" si="269"/>
        <v/>
      </c>
      <c r="N4320" s="2">
        <f t="shared" si="270"/>
        <v>45931</v>
      </c>
      <c r="O4320" t="str">
        <f t="shared" si="271"/>
        <v>iné</v>
      </c>
    </row>
    <row r="4321" spans="1:15" hidden="1" x14ac:dyDescent="0.25">
      <c r="A4321">
        <v>11808</v>
      </c>
      <c r="B4321" s="11">
        <v>4056789012345</v>
      </c>
      <c r="C4321" s="1" t="s">
        <v>47</v>
      </c>
      <c r="D4321" s="1" t="s">
        <v>29</v>
      </c>
      <c r="E4321" s="1" t="s">
        <v>37</v>
      </c>
      <c r="F4321">
        <v>2.4</v>
      </c>
      <c r="G4321">
        <v>2</v>
      </c>
      <c r="H4321" s="1" t="s">
        <v>14</v>
      </c>
      <c r="I4321" s="1" t="s">
        <v>15</v>
      </c>
      <c r="J4321" s="12">
        <v>45939</v>
      </c>
      <c r="K4321">
        <v>0</v>
      </c>
      <c r="L4321" s="1">
        <f t="shared" si="268"/>
        <v>4.8</v>
      </c>
      <c r="M4321" s="1" t="str">
        <f t="shared" si="269"/>
        <v/>
      </c>
      <c r="N4321" s="2">
        <f t="shared" si="270"/>
        <v>45931</v>
      </c>
      <c r="O4321" t="str">
        <f t="shared" si="271"/>
        <v>mačka</v>
      </c>
    </row>
    <row r="4322" spans="1:15" x14ac:dyDescent="0.25">
      <c r="A4322">
        <v>11809</v>
      </c>
      <c r="B4322" s="11">
        <v>4017890123450</v>
      </c>
      <c r="C4322" s="1" t="s">
        <v>65</v>
      </c>
      <c r="D4322" s="1" t="s">
        <v>39</v>
      </c>
      <c r="E4322" s="1" t="s">
        <v>22</v>
      </c>
      <c r="F4322">
        <v>7.6</v>
      </c>
      <c r="G4322">
        <v>1</v>
      </c>
      <c r="H4322" s="1" t="s">
        <v>33</v>
      </c>
      <c r="I4322" s="1" t="s">
        <v>888</v>
      </c>
      <c r="J4322" s="12">
        <v>45939</v>
      </c>
      <c r="K4322">
        <v>0</v>
      </c>
      <c r="L4322" s="1">
        <f t="shared" si="268"/>
        <v>7.6</v>
      </c>
      <c r="M4322" s="1">
        <f t="shared" si="269"/>
        <v>3</v>
      </c>
      <c r="N4322" s="2">
        <f t="shared" si="270"/>
        <v>45931</v>
      </c>
      <c r="O4322" t="str">
        <f t="shared" si="271"/>
        <v>pes</v>
      </c>
    </row>
    <row r="4323" spans="1:15" x14ac:dyDescent="0.25">
      <c r="A4323">
        <v>11810</v>
      </c>
      <c r="B4323" s="11">
        <v>4063456789014</v>
      </c>
      <c r="C4323" s="1" t="s">
        <v>60</v>
      </c>
      <c r="D4323" s="1" t="s">
        <v>12</v>
      </c>
      <c r="E4323" s="1" t="s">
        <v>61</v>
      </c>
      <c r="F4323">
        <v>36</v>
      </c>
      <c r="G4323">
        <v>1</v>
      </c>
      <c r="H4323" s="1" t="s">
        <v>14</v>
      </c>
      <c r="I4323" s="1" t="s">
        <v>15</v>
      </c>
      <c r="J4323" s="12">
        <v>45939</v>
      </c>
      <c r="K4323">
        <v>0</v>
      </c>
      <c r="L4323" s="1">
        <f t="shared" si="268"/>
        <v>36</v>
      </c>
      <c r="M4323" s="1" t="str">
        <f t="shared" si="269"/>
        <v/>
      </c>
      <c r="N4323" s="2">
        <f t="shared" si="270"/>
        <v>45931</v>
      </c>
      <c r="O4323" t="str">
        <f t="shared" si="271"/>
        <v>pes</v>
      </c>
    </row>
    <row r="4324" spans="1:15" x14ac:dyDescent="0.25">
      <c r="A4324">
        <v>11811</v>
      </c>
      <c r="B4324" s="11">
        <v>4028899001126</v>
      </c>
      <c r="C4324" s="1" t="s">
        <v>16</v>
      </c>
      <c r="D4324" s="1" t="s">
        <v>12</v>
      </c>
      <c r="E4324" s="1" t="s">
        <v>17</v>
      </c>
      <c r="F4324">
        <v>2.8</v>
      </c>
      <c r="G4324">
        <v>3</v>
      </c>
      <c r="H4324" s="1" t="s">
        <v>14</v>
      </c>
      <c r="I4324" s="1" t="s">
        <v>15</v>
      </c>
      <c r="J4324" s="12">
        <v>45939</v>
      </c>
      <c r="K4324">
        <v>0</v>
      </c>
      <c r="L4324" s="1">
        <f t="shared" si="268"/>
        <v>8.3999999999999986</v>
      </c>
      <c r="M4324" s="1" t="str">
        <f t="shared" si="269"/>
        <v/>
      </c>
      <c r="N4324" s="2">
        <f t="shared" si="270"/>
        <v>45931</v>
      </c>
      <c r="O4324" t="str">
        <f t="shared" si="271"/>
        <v>pes</v>
      </c>
    </row>
    <row r="4325" spans="1:15" x14ac:dyDescent="0.25">
      <c r="A4325">
        <v>11812</v>
      </c>
      <c r="B4325" s="11">
        <v>4013456789017</v>
      </c>
      <c r="C4325" s="1" t="s">
        <v>11</v>
      </c>
      <c r="D4325" s="1" t="s">
        <v>12</v>
      </c>
      <c r="E4325" s="1" t="s">
        <v>13</v>
      </c>
      <c r="F4325">
        <v>6</v>
      </c>
      <c r="G4325">
        <v>1</v>
      </c>
      <c r="H4325" s="1" t="s">
        <v>14</v>
      </c>
      <c r="I4325" s="1" t="s">
        <v>15</v>
      </c>
      <c r="J4325" s="12">
        <v>45939</v>
      </c>
      <c r="K4325">
        <v>0</v>
      </c>
      <c r="L4325" s="1">
        <f t="shared" si="268"/>
        <v>6</v>
      </c>
      <c r="M4325" s="1" t="str">
        <f t="shared" si="269"/>
        <v/>
      </c>
      <c r="N4325" s="2">
        <f t="shared" si="270"/>
        <v>45931</v>
      </c>
      <c r="O4325" t="str">
        <f t="shared" si="271"/>
        <v>pes</v>
      </c>
    </row>
    <row r="4326" spans="1:15" hidden="1" x14ac:dyDescent="0.25">
      <c r="A4326">
        <v>11813</v>
      </c>
      <c r="B4326" s="11">
        <v>4029900112244</v>
      </c>
      <c r="C4326" s="1" t="s">
        <v>655</v>
      </c>
      <c r="D4326" s="1" t="s">
        <v>36</v>
      </c>
      <c r="E4326" s="1" t="s">
        <v>37</v>
      </c>
      <c r="F4326">
        <v>13.6</v>
      </c>
      <c r="G4326">
        <v>1</v>
      </c>
      <c r="H4326" s="1" t="s">
        <v>14</v>
      </c>
      <c r="I4326" s="1" t="s">
        <v>15</v>
      </c>
      <c r="J4326" s="12">
        <v>45939</v>
      </c>
      <c r="K4326">
        <v>0</v>
      </c>
      <c r="L4326" s="1">
        <f t="shared" si="268"/>
        <v>13.6</v>
      </c>
      <c r="M4326" s="1" t="str">
        <f t="shared" si="269"/>
        <v/>
      </c>
      <c r="N4326" s="2">
        <f t="shared" si="270"/>
        <v>45931</v>
      </c>
      <c r="O4326" t="str">
        <f t="shared" si="271"/>
        <v>mačka</v>
      </c>
    </row>
    <row r="4327" spans="1:15" hidden="1" x14ac:dyDescent="0.25">
      <c r="A4327">
        <v>11814</v>
      </c>
      <c r="B4327" s="11">
        <v>4026677889902</v>
      </c>
      <c r="C4327" s="1" t="s">
        <v>52</v>
      </c>
      <c r="D4327" s="1" t="s">
        <v>53</v>
      </c>
      <c r="E4327" s="1" t="s">
        <v>54</v>
      </c>
      <c r="F4327">
        <v>7.6</v>
      </c>
      <c r="G4327">
        <v>1</v>
      </c>
      <c r="H4327" s="1" t="s">
        <v>18</v>
      </c>
      <c r="I4327" s="1" t="s">
        <v>889</v>
      </c>
      <c r="J4327" s="12">
        <v>45939</v>
      </c>
      <c r="K4327">
        <v>0</v>
      </c>
      <c r="L4327" s="1">
        <f t="shared" si="268"/>
        <v>7.6</v>
      </c>
      <c r="M4327" s="1">
        <f t="shared" si="269"/>
        <v>4</v>
      </c>
      <c r="N4327" s="2">
        <f t="shared" si="270"/>
        <v>45931</v>
      </c>
      <c r="O4327" t="str">
        <f t="shared" si="271"/>
        <v>iné</v>
      </c>
    </row>
    <row r="4328" spans="1:15" x14ac:dyDescent="0.25">
      <c r="A4328">
        <v>11815</v>
      </c>
      <c r="B4328" s="11">
        <v>4027788990013</v>
      </c>
      <c r="C4328" s="1" t="s">
        <v>43</v>
      </c>
      <c r="D4328" s="1" t="s">
        <v>21</v>
      </c>
      <c r="E4328" s="1" t="s">
        <v>22</v>
      </c>
      <c r="F4328">
        <v>8</v>
      </c>
      <c r="G4328">
        <v>1</v>
      </c>
      <c r="H4328" s="1" t="s">
        <v>14</v>
      </c>
      <c r="I4328" s="1" t="s">
        <v>15</v>
      </c>
      <c r="J4328" s="12">
        <v>45940</v>
      </c>
      <c r="K4328">
        <v>0</v>
      </c>
      <c r="L4328" s="1">
        <f t="shared" si="268"/>
        <v>8</v>
      </c>
      <c r="M4328" s="1" t="str">
        <f t="shared" si="269"/>
        <v/>
      </c>
      <c r="N4328" s="2">
        <f t="shared" si="270"/>
        <v>45931</v>
      </c>
      <c r="O4328" t="str">
        <f t="shared" si="271"/>
        <v>pes</v>
      </c>
    </row>
    <row r="4329" spans="1:15" hidden="1" x14ac:dyDescent="0.25">
      <c r="A4329">
        <v>11816</v>
      </c>
      <c r="B4329" s="11">
        <v>4019876501234</v>
      </c>
      <c r="C4329" s="1" t="s">
        <v>674</v>
      </c>
      <c r="D4329" s="1" t="s">
        <v>29</v>
      </c>
      <c r="E4329" s="1" t="s">
        <v>37</v>
      </c>
      <c r="F4329">
        <v>1.84</v>
      </c>
      <c r="G4329">
        <v>4</v>
      </c>
      <c r="H4329" s="1" t="s">
        <v>14</v>
      </c>
      <c r="I4329" s="1" t="s">
        <v>15</v>
      </c>
      <c r="J4329" s="12">
        <v>45940</v>
      </c>
      <c r="K4329">
        <v>0</v>
      </c>
      <c r="L4329" s="1">
        <f t="shared" si="268"/>
        <v>7.36</v>
      </c>
      <c r="M4329" s="1" t="str">
        <f t="shared" si="269"/>
        <v/>
      </c>
      <c r="N4329" s="2">
        <f t="shared" si="270"/>
        <v>45931</v>
      </c>
      <c r="O4329" t="str">
        <f t="shared" si="271"/>
        <v>mačka</v>
      </c>
    </row>
    <row r="4330" spans="1:15" x14ac:dyDescent="0.25">
      <c r="A4330">
        <v>11817</v>
      </c>
      <c r="B4330" s="11">
        <v>4028899001126</v>
      </c>
      <c r="C4330" s="1" t="s">
        <v>16</v>
      </c>
      <c r="D4330" s="1" t="s">
        <v>12</v>
      </c>
      <c r="E4330" s="1" t="s">
        <v>17</v>
      </c>
      <c r="F4330">
        <v>2.8</v>
      </c>
      <c r="G4330">
        <v>2</v>
      </c>
      <c r="H4330" s="1" t="s">
        <v>14</v>
      </c>
      <c r="I4330" s="1" t="s">
        <v>15</v>
      </c>
      <c r="J4330" s="12">
        <v>45940</v>
      </c>
      <c r="K4330">
        <v>0</v>
      </c>
      <c r="L4330" s="1">
        <f t="shared" si="268"/>
        <v>5.6</v>
      </c>
      <c r="M4330" s="1" t="str">
        <f t="shared" si="269"/>
        <v/>
      </c>
      <c r="N4330" s="2">
        <f t="shared" si="270"/>
        <v>45931</v>
      </c>
      <c r="O4330" t="str">
        <f t="shared" si="271"/>
        <v>pes</v>
      </c>
    </row>
    <row r="4331" spans="1:15" x14ac:dyDescent="0.25">
      <c r="A4331">
        <v>11818</v>
      </c>
      <c r="B4331" s="11">
        <v>4013456789017</v>
      </c>
      <c r="C4331" s="1" t="s">
        <v>11</v>
      </c>
      <c r="D4331" s="1" t="s">
        <v>12</v>
      </c>
      <c r="E4331" s="1" t="s">
        <v>13</v>
      </c>
      <c r="F4331">
        <v>6</v>
      </c>
      <c r="G4331">
        <v>2</v>
      </c>
      <c r="H4331" s="1" t="s">
        <v>14</v>
      </c>
      <c r="I4331" s="1" t="s">
        <v>15</v>
      </c>
      <c r="J4331" s="12">
        <v>45940</v>
      </c>
      <c r="K4331">
        <v>0</v>
      </c>
      <c r="L4331" s="1">
        <f t="shared" si="268"/>
        <v>12</v>
      </c>
      <c r="M4331" s="1" t="str">
        <f t="shared" si="269"/>
        <v/>
      </c>
      <c r="N4331" s="2">
        <f t="shared" si="270"/>
        <v>45931</v>
      </c>
      <c r="O4331" t="str">
        <f t="shared" si="271"/>
        <v>pes</v>
      </c>
    </row>
    <row r="4332" spans="1:15" x14ac:dyDescent="0.25">
      <c r="A4332">
        <v>11819</v>
      </c>
      <c r="B4332" s="11">
        <v>4040123456795</v>
      </c>
      <c r="C4332" s="1" t="s">
        <v>20</v>
      </c>
      <c r="D4332" s="1" t="s">
        <v>21</v>
      </c>
      <c r="E4332" s="1" t="s">
        <v>22</v>
      </c>
      <c r="F4332">
        <v>8.8000000000000007</v>
      </c>
      <c r="G4332">
        <v>1</v>
      </c>
      <c r="H4332" s="1" t="s">
        <v>14</v>
      </c>
      <c r="I4332" s="1" t="s">
        <v>15</v>
      </c>
      <c r="J4332" s="12">
        <v>45940</v>
      </c>
      <c r="K4332">
        <v>0</v>
      </c>
      <c r="L4332" s="1">
        <f t="shared" si="268"/>
        <v>8.8000000000000007</v>
      </c>
      <c r="M4332" s="1" t="str">
        <f t="shared" si="269"/>
        <v/>
      </c>
      <c r="N4332" s="2">
        <f t="shared" si="270"/>
        <v>45931</v>
      </c>
      <c r="O4332" t="str">
        <f t="shared" si="271"/>
        <v>pes</v>
      </c>
    </row>
    <row r="4333" spans="1:15" hidden="1" x14ac:dyDescent="0.25">
      <c r="A4333">
        <v>11820</v>
      </c>
      <c r="B4333" s="11">
        <v>4029900112244</v>
      </c>
      <c r="C4333" s="1" t="s">
        <v>655</v>
      </c>
      <c r="D4333" s="1" t="s">
        <v>36</v>
      </c>
      <c r="E4333" s="1" t="s">
        <v>37</v>
      </c>
      <c r="F4333">
        <v>13.6</v>
      </c>
      <c r="G4333">
        <v>1</v>
      </c>
      <c r="H4333" s="1" t="s">
        <v>23</v>
      </c>
      <c r="I4333" s="1" t="s">
        <v>890</v>
      </c>
      <c r="J4333" s="12">
        <v>45940</v>
      </c>
      <c r="K4333">
        <v>0</v>
      </c>
      <c r="L4333" s="1">
        <f t="shared" si="268"/>
        <v>13.6</v>
      </c>
      <c r="M4333" s="1">
        <f t="shared" si="269"/>
        <v>5</v>
      </c>
      <c r="N4333" s="2">
        <f t="shared" si="270"/>
        <v>45931</v>
      </c>
      <c r="O4333" t="str">
        <f t="shared" si="271"/>
        <v>mačka</v>
      </c>
    </row>
    <row r="4334" spans="1:15" x14ac:dyDescent="0.25">
      <c r="A4334">
        <v>11821</v>
      </c>
      <c r="B4334" s="11">
        <v>4017890123450</v>
      </c>
      <c r="C4334" s="1" t="s">
        <v>65</v>
      </c>
      <c r="D4334" s="1" t="s">
        <v>39</v>
      </c>
      <c r="E4334" s="1" t="s">
        <v>22</v>
      </c>
      <c r="F4334">
        <v>7.6</v>
      </c>
      <c r="G4334">
        <v>1</v>
      </c>
      <c r="H4334" s="1" t="s">
        <v>14</v>
      </c>
      <c r="I4334" s="1" t="s">
        <v>15</v>
      </c>
      <c r="J4334" s="12">
        <v>45940</v>
      </c>
      <c r="K4334">
        <v>0</v>
      </c>
      <c r="L4334" s="1">
        <f t="shared" si="268"/>
        <v>7.6</v>
      </c>
      <c r="M4334" s="1" t="str">
        <f t="shared" si="269"/>
        <v/>
      </c>
      <c r="N4334" s="2">
        <f t="shared" si="270"/>
        <v>45931</v>
      </c>
      <c r="O4334" t="str">
        <f t="shared" si="271"/>
        <v>pes</v>
      </c>
    </row>
    <row r="4335" spans="1:15" hidden="1" x14ac:dyDescent="0.25">
      <c r="A4335">
        <v>11822</v>
      </c>
      <c r="B4335" s="11">
        <v>4069012345682</v>
      </c>
      <c r="C4335" s="1" t="s">
        <v>143</v>
      </c>
      <c r="D4335" s="1" t="s">
        <v>144</v>
      </c>
      <c r="E4335" s="1" t="s">
        <v>30</v>
      </c>
      <c r="F4335">
        <v>26</v>
      </c>
      <c r="G4335">
        <v>1</v>
      </c>
      <c r="H4335" s="1" t="s">
        <v>14</v>
      </c>
      <c r="I4335" s="1" t="s">
        <v>15</v>
      </c>
      <c r="J4335" s="12">
        <v>45940</v>
      </c>
      <c r="K4335">
        <v>0</v>
      </c>
      <c r="L4335" s="1">
        <f t="shared" si="268"/>
        <v>26</v>
      </c>
      <c r="M4335" s="1" t="str">
        <f t="shared" si="269"/>
        <v/>
      </c>
      <c r="N4335" s="2">
        <f t="shared" si="270"/>
        <v>45931</v>
      </c>
      <c r="O4335" t="str">
        <f t="shared" si="271"/>
        <v>mačka</v>
      </c>
    </row>
    <row r="4336" spans="1:15" x14ac:dyDescent="0.25">
      <c r="A4336">
        <v>11823</v>
      </c>
      <c r="B4336" s="11">
        <v>4028899001126</v>
      </c>
      <c r="C4336" s="1" t="s">
        <v>16</v>
      </c>
      <c r="D4336" s="1" t="s">
        <v>12</v>
      </c>
      <c r="E4336" s="1" t="s">
        <v>17</v>
      </c>
      <c r="F4336">
        <v>2.8</v>
      </c>
      <c r="G4336">
        <v>2</v>
      </c>
      <c r="H4336" s="1" t="s">
        <v>23</v>
      </c>
      <c r="I4336" s="1" t="s">
        <v>891</v>
      </c>
      <c r="J4336" s="12">
        <v>45941</v>
      </c>
      <c r="K4336">
        <v>0</v>
      </c>
      <c r="L4336" s="1">
        <f t="shared" si="268"/>
        <v>5.6</v>
      </c>
      <c r="M4336" s="1">
        <f t="shared" si="269"/>
        <v>5</v>
      </c>
      <c r="N4336" s="2">
        <f t="shared" si="270"/>
        <v>45931</v>
      </c>
      <c r="O4336" t="str">
        <f t="shared" si="271"/>
        <v>pes</v>
      </c>
    </row>
    <row r="4337" spans="1:15" x14ac:dyDescent="0.25">
      <c r="A4337">
        <v>11824</v>
      </c>
      <c r="B4337" s="11">
        <v>4013456789017</v>
      </c>
      <c r="C4337" s="1" t="s">
        <v>11</v>
      </c>
      <c r="D4337" s="1" t="s">
        <v>12</v>
      </c>
      <c r="E4337" s="1" t="s">
        <v>13</v>
      </c>
      <c r="F4337">
        <v>6</v>
      </c>
      <c r="G4337">
        <v>1</v>
      </c>
      <c r="H4337" s="1" t="s">
        <v>14</v>
      </c>
      <c r="I4337" s="1" t="s">
        <v>15</v>
      </c>
      <c r="J4337" s="12">
        <v>45941</v>
      </c>
      <c r="K4337">
        <v>0</v>
      </c>
      <c r="L4337" s="1">
        <f t="shared" si="268"/>
        <v>6</v>
      </c>
      <c r="M4337" s="1" t="str">
        <f t="shared" si="269"/>
        <v/>
      </c>
      <c r="N4337" s="2">
        <f t="shared" si="270"/>
        <v>45931</v>
      </c>
      <c r="O4337" t="str">
        <f t="shared" si="271"/>
        <v>pes</v>
      </c>
    </row>
    <row r="4338" spans="1:15" x14ac:dyDescent="0.25">
      <c r="A4338">
        <v>11825</v>
      </c>
      <c r="B4338" s="11">
        <v>4040123456795</v>
      </c>
      <c r="C4338" s="1" t="s">
        <v>20</v>
      </c>
      <c r="D4338" s="1" t="s">
        <v>21</v>
      </c>
      <c r="E4338" s="1" t="s">
        <v>22</v>
      </c>
      <c r="F4338">
        <v>8.8000000000000007</v>
      </c>
      <c r="G4338">
        <v>1</v>
      </c>
      <c r="H4338" s="1" t="s">
        <v>18</v>
      </c>
      <c r="I4338" s="1" t="s">
        <v>892</v>
      </c>
      <c r="J4338" s="12">
        <v>45941</v>
      </c>
      <c r="K4338">
        <v>0</v>
      </c>
      <c r="L4338" s="1">
        <f t="shared" si="268"/>
        <v>8.8000000000000007</v>
      </c>
      <c r="M4338" s="1">
        <f t="shared" si="269"/>
        <v>4</v>
      </c>
      <c r="N4338" s="2">
        <f t="shared" si="270"/>
        <v>45931</v>
      </c>
      <c r="O4338" t="str">
        <f t="shared" si="271"/>
        <v>pes</v>
      </c>
    </row>
    <row r="4339" spans="1:15" x14ac:dyDescent="0.25">
      <c r="A4339">
        <v>11826</v>
      </c>
      <c r="B4339" s="11">
        <v>4017890123450</v>
      </c>
      <c r="C4339" s="1" t="s">
        <v>65</v>
      </c>
      <c r="D4339" s="1" t="s">
        <v>39</v>
      </c>
      <c r="E4339" s="1" t="s">
        <v>22</v>
      </c>
      <c r="F4339">
        <v>7.6</v>
      </c>
      <c r="G4339">
        <v>1</v>
      </c>
      <c r="H4339" s="1" t="s">
        <v>14</v>
      </c>
      <c r="I4339" s="1" t="s">
        <v>15</v>
      </c>
      <c r="J4339" s="12">
        <v>45941</v>
      </c>
      <c r="K4339">
        <v>0</v>
      </c>
      <c r="L4339" s="1">
        <f t="shared" si="268"/>
        <v>7.6</v>
      </c>
      <c r="M4339" s="1" t="str">
        <f t="shared" si="269"/>
        <v/>
      </c>
      <c r="N4339" s="2">
        <f t="shared" si="270"/>
        <v>45931</v>
      </c>
      <c r="O4339" t="str">
        <f t="shared" si="271"/>
        <v>pes</v>
      </c>
    </row>
    <row r="4340" spans="1:15" hidden="1" x14ac:dyDescent="0.25">
      <c r="A4340">
        <v>11827</v>
      </c>
      <c r="B4340" s="11">
        <v>4056789012345</v>
      </c>
      <c r="C4340" s="1" t="s">
        <v>47</v>
      </c>
      <c r="D4340" s="1" t="s">
        <v>29</v>
      </c>
      <c r="E4340" s="1" t="s">
        <v>37</v>
      </c>
      <c r="F4340">
        <v>2.4</v>
      </c>
      <c r="G4340">
        <v>3</v>
      </c>
      <c r="H4340" s="1" t="s">
        <v>14</v>
      </c>
      <c r="I4340" s="1" t="s">
        <v>15</v>
      </c>
      <c r="J4340" s="12">
        <v>45941</v>
      </c>
      <c r="K4340">
        <v>0</v>
      </c>
      <c r="L4340" s="1">
        <f t="shared" si="268"/>
        <v>7.1999999999999993</v>
      </c>
      <c r="M4340" s="1" t="str">
        <f t="shared" si="269"/>
        <v/>
      </c>
      <c r="N4340" s="2">
        <f t="shared" si="270"/>
        <v>45931</v>
      </c>
      <c r="O4340" t="str">
        <f t="shared" si="271"/>
        <v>mačka</v>
      </c>
    </row>
    <row r="4341" spans="1:15" hidden="1" x14ac:dyDescent="0.25">
      <c r="A4341">
        <v>11828</v>
      </c>
      <c r="B4341" s="11">
        <v>4019876501234</v>
      </c>
      <c r="C4341" s="1" t="s">
        <v>674</v>
      </c>
      <c r="D4341" s="1" t="s">
        <v>29</v>
      </c>
      <c r="E4341" s="1" t="s">
        <v>37</v>
      </c>
      <c r="F4341">
        <v>1.84</v>
      </c>
      <c r="G4341">
        <v>5</v>
      </c>
      <c r="H4341" s="1" t="s">
        <v>18</v>
      </c>
      <c r="I4341" s="1" t="s">
        <v>893</v>
      </c>
      <c r="J4341" s="12">
        <v>45941</v>
      </c>
      <c r="K4341">
        <v>0</v>
      </c>
      <c r="L4341" s="1">
        <f t="shared" si="268"/>
        <v>9.2000000000000011</v>
      </c>
      <c r="M4341" s="1">
        <f t="shared" si="269"/>
        <v>4</v>
      </c>
      <c r="N4341" s="2">
        <f t="shared" si="270"/>
        <v>45931</v>
      </c>
      <c r="O4341" t="str">
        <f t="shared" si="271"/>
        <v>mačka</v>
      </c>
    </row>
    <row r="4342" spans="1:15" x14ac:dyDescent="0.25">
      <c r="A4342">
        <v>11829</v>
      </c>
      <c r="B4342" s="11">
        <v>4027788990013</v>
      </c>
      <c r="C4342" s="1" t="s">
        <v>43</v>
      </c>
      <c r="D4342" s="1" t="s">
        <v>21</v>
      </c>
      <c r="E4342" s="1" t="s">
        <v>22</v>
      </c>
      <c r="F4342">
        <v>8</v>
      </c>
      <c r="G4342">
        <v>1</v>
      </c>
      <c r="H4342" s="1" t="s">
        <v>14</v>
      </c>
      <c r="I4342" s="1" t="s">
        <v>15</v>
      </c>
      <c r="J4342" s="12">
        <v>45941</v>
      </c>
      <c r="K4342">
        <v>0</v>
      </c>
      <c r="L4342" s="1">
        <f t="shared" si="268"/>
        <v>8</v>
      </c>
      <c r="M4342" s="1" t="str">
        <f t="shared" si="269"/>
        <v/>
      </c>
      <c r="N4342" s="2">
        <f t="shared" si="270"/>
        <v>45931</v>
      </c>
      <c r="O4342" t="str">
        <f t="shared" si="271"/>
        <v>pes</v>
      </c>
    </row>
    <row r="4343" spans="1:15" x14ac:dyDescent="0.25">
      <c r="A4343">
        <v>11830</v>
      </c>
      <c r="B4343" s="11">
        <v>4063456789014</v>
      </c>
      <c r="C4343" s="1" t="s">
        <v>60</v>
      </c>
      <c r="D4343" s="1" t="s">
        <v>12</v>
      </c>
      <c r="E4343" s="1" t="s">
        <v>61</v>
      </c>
      <c r="F4343">
        <v>36</v>
      </c>
      <c r="G4343">
        <v>1</v>
      </c>
      <c r="H4343" s="1" t="s">
        <v>33</v>
      </c>
      <c r="I4343" s="1" t="s">
        <v>894</v>
      </c>
      <c r="J4343" s="12">
        <v>45942</v>
      </c>
      <c r="K4343">
        <v>0</v>
      </c>
      <c r="L4343" s="1">
        <f t="shared" si="268"/>
        <v>36</v>
      </c>
      <c r="M4343" s="1">
        <f t="shared" si="269"/>
        <v>3</v>
      </c>
      <c r="N4343" s="2">
        <f t="shared" si="270"/>
        <v>45931</v>
      </c>
      <c r="O4343" t="str">
        <f t="shared" si="271"/>
        <v>pes</v>
      </c>
    </row>
    <row r="4344" spans="1:15" hidden="1" x14ac:dyDescent="0.25">
      <c r="A4344">
        <v>11831</v>
      </c>
      <c r="B4344" s="11">
        <v>4026677889902</v>
      </c>
      <c r="C4344" s="1" t="s">
        <v>52</v>
      </c>
      <c r="D4344" s="1" t="s">
        <v>53</v>
      </c>
      <c r="E4344" s="1" t="s">
        <v>54</v>
      </c>
      <c r="F4344">
        <v>7.6</v>
      </c>
      <c r="G4344">
        <v>1</v>
      </c>
      <c r="H4344" s="1" t="s">
        <v>14</v>
      </c>
      <c r="I4344" s="1" t="s">
        <v>15</v>
      </c>
      <c r="J4344" s="12">
        <v>45942</v>
      </c>
      <c r="K4344">
        <v>0</v>
      </c>
      <c r="L4344" s="1">
        <f t="shared" si="268"/>
        <v>7.6</v>
      </c>
      <c r="M4344" s="1" t="str">
        <f t="shared" si="269"/>
        <v/>
      </c>
      <c r="N4344" s="2">
        <f t="shared" si="270"/>
        <v>45931</v>
      </c>
      <c r="O4344" t="str">
        <f t="shared" si="271"/>
        <v>iné</v>
      </c>
    </row>
    <row r="4345" spans="1:15" hidden="1" x14ac:dyDescent="0.25">
      <c r="A4345">
        <v>11832</v>
      </c>
      <c r="B4345" s="11">
        <v>4029900112244</v>
      </c>
      <c r="C4345" s="1" t="s">
        <v>655</v>
      </c>
      <c r="D4345" s="1" t="s">
        <v>36</v>
      </c>
      <c r="E4345" s="1" t="s">
        <v>37</v>
      </c>
      <c r="F4345">
        <v>13.6</v>
      </c>
      <c r="G4345">
        <v>1</v>
      </c>
      <c r="H4345" s="1" t="s">
        <v>14</v>
      </c>
      <c r="I4345" s="1" t="s">
        <v>15</v>
      </c>
      <c r="J4345" s="12">
        <v>45942</v>
      </c>
      <c r="K4345">
        <v>0</v>
      </c>
      <c r="L4345" s="1">
        <f t="shared" si="268"/>
        <v>13.6</v>
      </c>
      <c r="M4345" s="1" t="str">
        <f t="shared" si="269"/>
        <v/>
      </c>
      <c r="N4345" s="2">
        <f t="shared" si="270"/>
        <v>45931</v>
      </c>
      <c r="O4345" t="str">
        <f t="shared" si="271"/>
        <v>mačka</v>
      </c>
    </row>
    <row r="4346" spans="1:15" hidden="1" x14ac:dyDescent="0.25">
      <c r="A4346">
        <v>11833</v>
      </c>
      <c r="B4346" s="11">
        <v>4025566778891</v>
      </c>
      <c r="C4346" s="1" t="s">
        <v>320</v>
      </c>
      <c r="D4346" s="1" t="s">
        <v>317</v>
      </c>
      <c r="E4346" s="1" t="s">
        <v>30</v>
      </c>
      <c r="F4346">
        <v>51.64</v>
      </c>
      <c r="G4346">
        <v>1</v>
      </c>
      <c r="H4346" s="1" t="s">
        <v>23</v>
      </c>
      <c r="I4346" s="1" t="s">
        <v>895</v>
      </c>
      <c r="J4346" s="12">
        <v>45942</v>
      </c>
      <c r="K4346">
        <v>0</v>
      </c>
      <c r="L4346" s="1">
        <f t="shared" si="268"/>
        <v>51.64</v>
      </c>
      <c r="M4346" s="1">
        <f t="shared" si="269"/>
        <v>5</v>
      </c>
      <c r="N4346" s="2">
        <f t="shared" si="270"/>
        <v>45931</v>
      </c>
      <c r="O4346" t="str">
        <f t="shared" si="271"/>
        <v>mačka</v>
      </c>
    </row>
    <row r="4347" spans="1:15" x14ac:dyDescent="0.25">
      <c r="A4347">
        <v>11834</v>
      </c>
      <c r="B4347" s="11">
        <v>4028899001126</v>
      </c>
      <c r="C4347" s="1" t="s">
        <v>16</v>
      </c>
      <c r="D4347" s="1" t="s">
        <v>12</v>
      </c>
      <c r="E4347" s="1" t="s">
        <v>17</v>
      </c>
      <c r="F4347">
        <v>2.8</v>
      </c>
      <c r="G4347">
        <v>2</v>
      </c>
      <c r="H4347" s="1" t="s">
        <v>14</v>
      </c>
      <c r="I4347" s="1" t="s">
        <v>15</v>
      </c>
      <c r="J4347" s="12">
        <v>45942</v>
      </c>
      <c r="K4347">
        <v>0</v>
      </c>
      <c r="L4347" s="1">
        <f t="shared" si="268"/>
        <v>5.6</v>
      </c>
      <c r="M4347" s="1" t="str">
        <f t="shared" si="269"/>
        <v/>
      </c>
      <c r="N4347" s="2">
        <f t="shared" si="270"/>
        <v>45931</v>
      </c>
      <c r="O4347" t="str">
        <f t="shared" si="271"/>
        <v>pes</v>
      </c>
    </row>
    <row r="4348" spans="1:15" x14ac:dyDescent="0.25">
      <c r="A4348">
        <v>11835</v>
      </c>
      <c r="B4348" s="11">
        <v>4013456789017</v>
      </c>
      <c r="C4348" s="1" t="s">
        <v>11</v>
      </c>
      <c r="D4348" s="1" t="s">
        <v>12</v>
      </c>
      <c r="E4348" s="1" t="s">
        <v>13</v>
      </c>
      <c r="F4348">
        <v>6</v>
      </c>
      <c r="G4348">
        <v>2</v>
      </c>
      <c r="H4348" s="1" t="s">
        <v>14</v>
      </c>
      <c r="I4348" s="1" t="s">
        <v>15</v>
      </c>
      <c r="J4348" s="12">
        <v>45942</v>
      </c>
      <c r="K4348">
        <v>0</v>
      </c>
      <c r="L4348" s="1">
        <f t="shared" si="268"/>
        <v>12</v>
      </c>
      <c r="M4348" s="1" t="str">
        <f t="shared" si="269"/>
        <v/>
      </c>
      <c r="N4348" s="2">
        <f t="shared" si="270"/>
        <v>45931</v>
      </c>
      <c r="O4348" t="str">
        <f t="shared" si="271"/>
        <v>pes</v>
      </c>
    </row>
    <row r="4349" spans="1:15" x14ac:dyDescent="0.25">
      <c r="A4349">
        <v>11836</v>
      </c>
      <c r="B4349" s="11">
        <v>4040123456795</v>
      </c>
      <c r="C4349" s="1" t="s">
        <v>20</v>
      </c>
      <c r="D4349" s="1" t="s">
        <v>21</v>
      </c>
      <c r="E4349" s="1" t="s">
        <v>22</v>
      </c>
      <c r="F4349">
        <v>8.8000000000000007</v>
      </c>
      <c r="G4349">
        <v>1</v>
      </c>
      <c r="H4349" s="1" t="s">
        <v>14</v>
      </c>
      <c r="I4349" s="1" t="s">
        <v>15</v>
      </c>
      <c r="J4349" s="12">
        <v>45942</v>
      </c>
      <c r="K4349">
        <v>0</v>
      </c>
      <c r="L4349" s="1">
        <f t="shared" si="268"/>
        <v>8.8000000000000007</v>
      </c>
      <c r="M4349" s="1" t="str">
        <f t="shared" si="269"/>
        <v/>
      </c>
      <c r="N4349" s="2">
        <f t="shared" si="270"/>
        <v>45931</v>
      </c>
      <c r="O4349" t="str">
        <f t="shared" si="271"/>
        <v>pes</v>
      </c>
    </row>
    <row r="4350" spans="1:15" hidden="1" x14ac:dyDescent="0.25">
      <c r="A4350">
        <v>11837</v>
      </c>
      <c r="B4350" s="11">
        <v>4069012345682</v>
      </c>
      <c r="C4350" s="1" t="s">
        <v>143</v>
      </c>
      <c r="D4350" s="1" t="s">
        <v>144</v>
      </c>
      <c r="E4350" s="1" t="s">
        <v>30</v>
      </c>
      <c r="F4350">
        <v>26</v>
      </c>
      <c r="G4350">
        <v>1</v>
      </c>
      <c r="H4350" s="1" t="s">
        <v>18</v>
      </c>
      <c r="I4350" s="1" t="s">
        <v>896</v>
      </c>
      <c r="J4350" s="12">
        <v>45942</v>
      </c>
      <c r="K4350">
        <v>0</v>
      </c>
      <c r="L4350" s="1">
        <f t="shared" si="268"/>
        <v>26</v>
      </c>
      <c r="M4350" s="1">
        <f t="shared" si="269"/>
        <v>4</v>
      </c>
      <c r="N4350" s="2">
        <f t="shared" si="270"/>
        <v>45931</v>
      </c>
      <c r="O4350" t="str">
        <f t="shared" si="271"/>
        <v>mačka</v>
      </c>
    </row>
    <row r="4351" spans="1:15" x14ac:dyDescent="0.25">
      <c r="A4351">
        <v>11838</v>
      </c>
      <c r="B4351" s="11">
        <v>4017890123450</v>
      </c>
      <c r="C4351" s="1" t="s">
        <v>65</v>
      </c>
      <c r="D4351" s="1" t="s">
        <v>39</v>
      </c>
      <c r="E4351" s="1" t="s">
        <v>22</v>
      </c>
      <c r="F4351">
        <v>7.6</v>
      </c>
      <c r="G4351">
        <v>1</v>
      </c>
      <c r="H4351" s="1" t="s">
        <v>14</v>
      </c>
      <c r="I4351" s="1" t="s">
        <v>15</v>
      </c>
      <c r="J4351" s="12">
        <v>45943</v>
      </c>
      <c r="K4351">
        <v>0</v>
      </c>
      <c r="L4351" s="1">
        <f t="shared" si="268"/>
        <v>7.6</v>
      </c>
      <c r="M4351" s="1" t="str">
        <f t="shared" si="269"/>
        <v/>
      </c>
      <c r="N4351" s="2">
        <f t="shared" si="270"/>
        <v>45931</v>
      </c>
      <c r="O4351" t="str">
        <f t="shared" si="271"/>
        <v>pes</v>
      </c>
    </row>
    <row r="4352" spans="1:15" hidden="1" x14ac:dyDescent="0.25">
      <c r="A4352">
        <v>11839</v>
      </c>
      <c r="B4352" s="11">
        <v>4056789012345</v>
      </c>
      <c r="C4352" s="1" t="s">
        <v>47</v>
      </c>
      <c r="D4352" s="1" t="s">
        <v>29</v>
      </c>
      <c r="E4352" s="1" t="s">
        <v>37</v>
      </c>
      <c r="F4352">
        <v>2.4</v>
      </c>
      <c r="G4352">
        <v>4</v>
      </c>
      <c r="H4352" s="1" t="s">
        <v>14</v>
      </c>
      <c r="I4352" s="1" t="s">
        <v>15</v>
      </c>
      <c r="J4352" s="12">
        <v>45943</v>
      </c>
      <c r="K4352">
        <v>0</v>
      </c>
      <c r="L4352" s="1">
        <f t="shared" si="268"/>
        <v>9.6</v>
      </c>
      <c r="M4352" s="1" t="str">
        <f t="shared" si="269"/>
        <v/>
      </c>
      <c r="N4352" s="2">
        <f t="shared" si="270"/>
        <v>45931</v>
      </c>
      <c r="O4352" t="str">
        <f t="shared" si="271"/>
        <v>mačka</v>
      </c>
    </row>
    <row r="4353" spans="1:15" x14ac:dyDescent="0.25">
      <c r="A4353">
        <v>11840</v>
      </c>
      <c r="B4353" s="11">
        <v>4028899001126</v>
      </c>
      <c r="C4353" s="1" t="s">
        <v>16</v>
      </c>
      <c r="D4353" s="1" t="s">
        <v>12</v>
      </c>
      <c r="E4353" s="1" t="s">
        <v>17</v>
      </c>
      <c r="F4353">
        <v>2.8</v>
      </c>
      <c r="G4353">
        <v>3</v>
      </c>
      <c r="H4353" s="1" t="s">
        <v>18</v>
      </c>
      <c r="I4353" s="1" t="s">
        <v>897</v>
      </c>
      <c r="J4353" s="12">
        <v>45943</v>
      </c>
      <c r="K4353">
        <v>0</v>
      </c>
      <c r="L4353" s="1">
        <f t="shared" si="268"/>
        <v>8.3999999999999986</v>
      </c>
      <c r="M4353" s="1">
        <f t="shared" si="269"/>
        <v>4</v>
      </c>
      <c r="N4353" s="2">
        <f t="shared" si="270"/>
        <v>45931</v>
      </c>
      <c r="O4353" t="str">
        <f t="shared" si="271"/>
        <v>pes</v>
      </c>
    </row>
    <row r="4354" spans="1:15" x14ac:dyDescent="0.25">
      <c r="A4354">
        <v>11841</v>
      </c>
      <c r="B4354" s="11">
        <v>4013456789017</v>
      </c>
      <c r="C4354" s="1" t="s">
        <v>11</v>
      </c>
      <c r="D4354" s="1" t="s">
        <v>12</v>
      </c>
      <c r="E4354" s="1" t="s">
        <v>13</v>
      </c>
      <c r="F4354">
        <v>6</v>
      </c>
      <c r="G4354">
        <v>2</v>
      </c>
      <c r="H4354" s="1" t="s">
        <v>14</v>
      </c>
      <c r="I4354" s="1" t="s">
        <v>15</v>
      </c>
      <c r="J4354" s="12">
        <v>45943</v>
      </c>
      <c r="K4354">
        <v>0</v>
      </c>
      <c r="L4354" s="1">
        <f t="shared" ref="L4354:L4417" si="272">F4354*G4354</f>
        <v>12</v>
      </c>
      <c r="M4354" s="1" t="str">
        <f t="shared" ref="M4354:M4417" si="273">IF(H4354="NULL", "",VALUE(H4354))</f>
        <v/>
      </c>
      <c r="N4354" s="2">
        <f t="shared" ref="N4354:N4417" si="274">DATE(YEAR(J4354),MONTH(J4354),1)</f>
        <v>45931</v>
      </c>
      <c r="O4354" t="str">
        <f t="shared" ref="O4354:O4417" si="275">IF(ISNUMBER(SEARCH("Mačky",D4354)),"mačka",IF(ISNUMBER(SEARCH("Psy",D4354)),"pes","iné"))</f>
        <v>pes</v>
      </c>
    </row>
    <row r="4355" spans="1:15" x14ac:dyDescent="0.25">
      <c r="A4355">
        <v>11842</v>
      </c>
      <c r="B4355" s="11">
        <v>4040123456795</v>
      </c>
      <c r="C4355" s="1" t="s">
        <v>20</v>
      </c>
      <c r="D4355" s="1" t="s">
        <v>21</v>
      </c>
      <c r="E4355" s="1" t="s">
        <v>22</v>
      </c>
      <c r="F4355">
        <v>8.8000000000000007</v>
      </c>
      <c r="G4355">
        <v>1</v>
      </c>
      <c r="H4355" s="1" t="s">
        <v>14</v>
      </c>
      <c r="I4355" s="1" t="s">
        <v>15</v>
      </c>
      <c r="J4355" s="12">
        <v>45943</v>
      </c>
      <c r="K4355">
        <v>0</v>
      </c>
      <c r="L4355" s="1">
        <f t="shared" si="272"/>
        <v>8.8000000000000007</v>
      </c>
      <c r="M4355" s="1" t="str">
        <f t="shared" si="273"/>
        <v/>
      </c>
      <c r="N4355" s="2">
        <f t="shared" si="274"/>
        <v>45931</v>
      </c>
      <c r="O4355" t="str">
        <f t="shared" si="275"/>
        <v>pes</v>
      </c>
    </row>
    <row r="4356" spans="1:15" x14ac:dyDescent="0.25">
      <c r="A4356">
        <v>11843</v>
      </c>
      <c r="B4356" s="11">
        <v>4027788990013</v>
      </c>
      <c r="C4356" s="1" t="s">
        <v>43</v>
      </c>
      <c r="D4356" s="1" t="s">
        <v>21</v>
      </c>
      <c r="E4356" s="1" t="s">
        <v>22</v>
      </c>
      <c r="F4356">
        <v>8</v>
      </c>
      <c r="G4356">
        <v>1</v>
      </c>
      <c r="H4356" s="1" t="s">
        <v>14</v>
      </c>
      <c r="I4356" s="1" t="s">
        <v>15</v>
      </c>
      <c r="J4356" s="12">
        <v>45943</v>
      </c>
      <c r="K4356">
        <v>0</v>
      </c>
      <c r="L4356" s="1">
        <f t="shared" si="272"/>
        <v>8</v>
      </c>
      <c r="M4356" s="1" t="str">
        <f t="shared" si="273"/>
        <v/>
      </c>
      <c r="N4356" s="2">
        <f t="shared" si="274"/>
        <v>45931</v>
      </c>
      <c r="O4356" t="str">
        <f t="shared" si="275"/>
        <v>pes</v>
      </c>
    </row>
    <row r="4357" spans="1:15" hidden="1" x14ac:dyDescent="0.25">
      <c r="A4357">
        <v>11844</v>
      </c>
      <c r="B4357" s="11">
        <v>4019876501234</v>
      </c>
      <c r="C4357" s="1" t="s">
        <v>674</v>
      </c>
      <c r="D4357" s="1" t="s">
        <v>29</v>
      </c>
      <c r="E4357" s="1" t="s">
        <v>37</v>
      </c>
      <c r="F4357">
        <v>1.84</v>
      </c>
      <c r="G4357">
        <v>4</v>
      </c>
      <c r="H4357" s="1" t="s">
        <v>23</v>
      </c>
      <c r="I4357" s="1" t="s">
        <v>898</v>
      </c>
      <c r="J4357" s="12">
        <v>45943</v>
      </c>
      <c r="K4357">
        <v>0</v>
      </c>
      <c r="L4357" s="1">
        <f t="shared" si="272"/>
        <v>7.36</v>
      </c>
      <c r="M4357" s="1">
        <f t="shared" si="273"/>
        <v>5</v>
      </c>
      <c r="N4357" s="2">
        <f t="shared" si="274"/>
        <v>45931</v>
      </c>
      <c r="O4357" t="str">
        <f t="shared" si="275"/>
        <v>mačka</v>
      </c>
    </row>
    <row r="4358" spans="1:15" x14ac:dyDescent="0.25">
      <c r="A4358">
        <v>11845</v>
      </c>
      <c r="B4358" s="11">
        <v>4028899001126</v>
      </c>
      <c r="C4358" s="1" t="s">
        <v>16</v>
      </c>
      <c r="D4358" s="1" t="s">
        <v>12</v>
      </c>
      <c r="E4358" s="1" t="s">
        <v>17</v>
      </c>
      <c r="F4358">
        <v>2.8</v>
      </c>
      <c r="G4358">
        <v>2</v>
      </c>
      <c r="H4358" s="1" t="s">
        <v>14</v>
      </c>
      <c r="I4358" s="1" t="s">
        <v>15</v>
      </c>
      <c r="J4358" s="12">
        <v>45943</v>
      </c>
      <c r="K4358">
        <v>0</v>
      </c>
      <c r="L4358" s="1">
        <f t="shared" si="272"/>
        <v>5.6</v>
      </c>
      <c r="M4358" s="1" t="str">
        <f t="shared" si="273"/>
        <v/>
      </c>
      <c r="N4358" s="2">
        <f t="shared" si="274"/>
        <v>45931</v>
      </c>
      <c r="O4358" t="str">
        <f t="shared" si="275"/>
        <v>pes</v>
      </c>
    </row>
    <row r="4359" spans="1:15" x14ac:dyDescent="0.25">
      <c r="A4359">
        <v>11846</v>
      </c>
      <c r="B4359" s="11">
        <v>4013456789017</v>
      </c>
      <c r="C4359" s="1" t="s">
        <v>11</v>
      </c>
      <c r="D4359" s="1" t="s">
        <v>12</v>
      </c>
      <c r="E4359" s="1" t="s">
        <v>13</v>
      </c>
      <c r="F4359">
        <v>6</v>
      </c>
      <c r="G4359">
        <v>1</v>
      </c>
      <c r="H4359" s="1" t="s">
        <v>18</v>
      </c>
      <c r="I4359" s="1" t="s">
        <v>899</v>
      </c>
      <c r="J4359" s="12">
        <v>45943</v>
      </c>
      <c r="K4359">
        <v>0</v>
      </c>
      <c r="L4359" s="1">
        <f t="shared" si="272"/>
        <v>6</v>
      </c>
      <c r="M4359" s="1">
        <f t="shared" si="273"/>
        <v>4</v>
      </c>
      <c r="N4359" s="2">
        <f t="shared" si="274"/>
        <v>45931</v>
      </c>
      <c r="O4359" t="str">
        <f t="shared" si="275"/>
        <v>pes</v>
      </c>
    </row>
    <row r="4360" spans="1:15" x14ac:dyDescent="0.25">
      <c r="A4360">
        <v>11847</v>
      </c>
      <c r="B4360" s="11">
        <v>4063456789014</v>
      </c>
      <c r="C4360" s="1" t="s">
        <v>60</v>
      </c>
      <c r="D4360" s="1" t="s">
        <v>12</v>
      </c>
      <c r="E4360" s="1" t="s">
        <v>61</v>
      </c>
      <c r="F4360">
        <v>36</v>
      </c>
      <c r="G4360">
        <v>1</v>
      </c>
      <c r="H4360" s="1" t="s">
        <v>23</v>
      </c>
      <c r="I4360" s="1" t="s">
        <v>900</v>
      </c>
      <c r="J4360" s="12">
        <v>45943</v>
      </c>
      <c r="K4360">
        <v>0</v>
      </c>
      <c r="L4360" s="1">
        <f t="shared" si="272"/>
        <v>36</v>
      </c>
      <c r="M4360" s="1">
        <f t="shared" si="273"/>
        <v>5</v>
      </c>
      <c r="N4360" s="2">
        <f t="shared" si="274"/>
        <v>45931</v>
      </c>
      <c r="O4360" t="str">
        <f t="shared" si="275"/>
        <v>pes</v>
      </c>
    </row>
    <row r="4361" spans="1:15" hidden="1" x14ac:dyDescent="0.25">
      <c r="A4361">
        <v>11848</v>
      </c>
      <c r="B4361" s="11">
        <v>4029900112244</v>
      </c>
      <c r="C4361" s="1" t="s">
        <v>655</v>
      </c>
      <c r="D4361" s="1" t="s">
        <v>36</v>
      </c>
      <c r="E4361" s="1" t="s">
        <v>37</v>
      </c>
      <c r="F4361">
        <v>13.6</v>
      </c>
      <c r="G4361">
        <v>1</v>
      </c>
      <c r="H4361" s="1" t="s">
        <v>14</v>
      </c>
      <c r="I4361" s="1" t="s">
        <v>15</v>
      </c>
      <c r="J4361" s="12">
        <v>45944</v>
      </c>
      <c r="K4361">
        <v>0</v>
      </c>
      <c r="L4361" s="1">
        <f t="shared" si="272"/>
        <v>13.6</v>
      </c>
      <c r="M4361" s="1" t="str">
        <f t="shared" si="273"/>
        <v/>
      </c>
      <c r="N4361" s="2">
        <f t="shared" si="274"/>
        <v>45931</v>
      </c>
      <c r="O4361" t="str">
        <f t="shared" si="275"/>
        <v>mačka</v>
      </c>
    </row>
    <row r="4362" spans="1:15" hidden="1" x14ac:dyDescent="0.25">
      <c r="A4362">
        <v>11849</v>
      </c>
      <c r="B4362" s="11">
        <v>4026677889902</v>
      </c>
      <c r="C4362" s="1" t="s">
        <v>52</v>
      </c>
      <c r="D4362" s="1" t="s">
        <v>53</v>
      </c>
      <c r="E4362" s="1" t="s">
        <v>54</v>
      </c>
      <c r="F4362">
        <v>7.6</v>
      </c>
      <c r="G4362">
        <v>1</v>
      </c>
      <c r="H4362" s="1" t="s">
        <v>14</v>
      </c>
      <c r="I4362" s="1" t="s">
        <v>15</v>
      </c>
      <c r="J4362" s="12">
        <v>45944</v>
      </c>
      <c r="K4362">
        <v>0</v>
      </c>
      <c r="L4362" s="1">
        <f t="shared" si="272"/>
        <v>7.6</v>
      </c>
      <c r="M4362" s="1" t="str">
        <f t="shared" si="273"/>
        <v/>
      </c>
      <c r="N4362" s="2">
        <f t="shared" si="274"/>
        <v>45931</v>
      </c>
      <c r="O4362" t="str">
        <f t="shared" si="275"/>
        <v>iné</v>
      </c>
    </row>
    <row r="4363" spans="1:15" x14ac:dyDescent="0.25">
      <c r="A4363">
        <v>11850</v>
      </c>
      <c r="B4363" s="11">
        <v>4057890123467</v>
      </c>
      <c r="C4363" s="1" t="s">
        <v>307</v>
      </c>
      <c r="D4363" s="1" t="s">
        <v>39</v>
      </c>
      <c r="E4363" s="1" t="s">
        <v>308</v>
      </c>
      <c r="F4363">
        <v>9.6</v>
      </c>
      <c r="G4363">
        <v>1</v>
      </c>
      <c r="H4363" s="1" t="s">
        <v>18</v>
      </c>
      <c r="I4363" s="1" t="s">
        <v>901</v>
      </c>
      <c r="J4363" s="12">
        <v>45944</v>
      </c>
      <c r="K4363">
        <v>0</v>
      </c>
      <c r="L4363" s="1">
        <f t="shared" si="272"/>
        <v>9.6</v>
      </c>
      <c r="M4363" s="1">
        <f t="shared" si="273"/>
        <v>4</v>
      </c>
      <c r="N4363" s="2">
        <f t="shared" si="274"/>
        <v>45931</v>
      </c>
      <c r="O4363" t="str">
        <f t="shared" si="275"/>
        <v>pes</v>
      </c>
    </row>
    <row r="4364" spans="1:15" x14ac:dyDescent="0.25">
      <c r="A4364">
        <v>11851</v>
      </c>
      <c r="B4364" s="11">
        <v>4028899001126</v>
      </c>
      <c r="C4364" s="1" t="s">
        <v>16</v>
      </c>
      <c r="D4364" s="1" t="s">
        <v>12</v>
      </c>
      <c r="E4364" s="1" t="s">
        <v>17</v>
      </c>
      <c r="F4364">
        <v>2.8</v>
      </c>
      <c r="G4364">
        <v>2</v>
      </c>
      <c r="H4364" s="1" t="s">
        <v>14</v>
      </c>
      <c r="I4364" s="1" t="s">
        <v>15</v>
      </c>
      <c r="J4364" s="12">
        <v>45944</v>
      </c>
      <c r="K4364">
        <v>0</v>
      </c>
      <c r="L4364" s="1">
        <f t="shared" si="272"/>
        <v>5.6</v>
      </c>
      <c r="M4364" s="1" t="str">
        <f t="shared" si="273"/>
        <v/>
      </c>
      <c r="N4364" s="2">
        <f t="shared" si="274"/>
        <v>45931</v>
      </c>
      <c r="O4364" t="str">
        <f t="shared" si="275"/>
        <v>pes</v>
      </c>
    </row>
    <row r="4365" spans="1:15" x14ac:dyDescent="0.25">
      <c r="A4365">
        <v>11852</v>
      </c>
      <c r="B4365" s="11">
        <v>4013456789017</v>
      </c>
      <c r="C4365" s="1" t="s">
        <v>11</v>
      </c>
      <c r="D4365" s="1" t="s">
        <v>12</v>
      </c>
      <c r="E4365" s="1" t="s">
        <v>13</v>
      </c>
      <c r="F4365">
        <v>6</v>
      </c>
      <c r="G4365">
        <v>2</v>
      </c>
      <c r="H4365" s="1" t="s">
        <v>14</v>
      </c>
      <c r="I4365" s="1" t="s">
        <v>15</v>
      </c>
      <c r="J4365" s="12">
        <v>45944</v>
      </c>
      <c r="K4365">
        <v>0</v>
      </c>
      <c r="L4365" s="1">
        <f t="shared" si="272"/>
        <v>12</v>
      </c>
      <c r="M4365" s="1" t="str">
        <f t="shared" si="273"/>
        <v/>
      </c>
      <c r="N4365" s="2">
        <f t="shared" si="274"/>
        <v>45931</v>
      </c>
      <c r="O4365" t="str">
        <f t="shared" si="275"/>
        <v>pes</v>
      </c>
    </row>
    <row r="4366" spans="1:15" x14ac:dyDescent="0.25">
      <c r="A4366">
        <v>11853</v>
      </c>
      <c r="B4366" s="11">
        <v>4040123456795</v>
      </c>
      <c r="C4366" s="1" t="s">
        <v>20</v>
      </c>
      <c r="D4366" s="1" t="s">
        <v>21</v>
      </c>
      <c r="E4366" s="1" t="s">
        <v>22</v>
      </c>
      <c r="F4366">
        <v>8.8000000000000007</v>
      </c>
      <c r="G4366">
        <v>1</v>
      </c>
      <c r="H4366" s="1" t="s">
        <v>14</v>
      </c>
      <c r="I4366" s="1" t="s">
        <v>15</v>
      </c>
      <c r="J4366" s="12">
        <v>45944</v>
      </c>
      <c r="K4366">
        <v>0</v>
      </c>
      <c r="L4366" s="1">
        <f t="shared" si="272"/>
        <v>8.8000000000000007</v>
      </c>
      <c r="M4366" s="1" t="str">
        <f t="shared" si="273"/>
        <v/>
      </c>
      <c r="N4366" s="2">
        <f t="shared" si="274"/>
        <v>45931</v>
      </c>
      <c r="O4366" t="str">
        <f t="shared" si="275"/>
        <v>pes</v>
      </c>
    </row>
    <row r="4367" spans="1:15" hidden="1" x14ac:dyDescent="0.25">
      <c r="A4367">
        <v>11854</v>
      </c>
      <c r="B4367" s="11">
        <v>4019876501234</v>
      </c>
      <c r="C4367" s="1" t="s">
        <v>674</v>
      </c>
      <c r="D4367" s="1" t="s">
        <v>29</v>
      </c>
      <c r="E4367" s="1" t="s">
        <v>37</v>
      </c>
      <c r="F4367">
        <v>1.84</v>
      </c>
      <c r="G4367">
        <v>4</v>
      </c>
      <c r="H4367" s="1" t="s">
        <v>18</v>
      </c>
      <c r="I4367" s="1" t="s">
        <v>902</v>
      </c>
      <c r="J4367" s="12">
        <v>45944</v>
      </c>
      <c r="K4367">
        <v>0</v>
      </c>
      <c r="L4367" s="1">
        <f t="shared" si="272"/>
        <v>7.36</v>
      </c>
      <c r="M4367" s="1">
        <f t="shared" si="273"/>
        <v>4</v>
      </c>
      <c r="N4367" s="2">
        <f t="shared" si="274"/>
        <v>45931</v>
      </c>
      <c r="O4367" t="str">
        <f t="shared" si="275"/>
        <v>mačka</v>
      </c>
    </row>
    <row r="4368" spans="1:15" x14ac:dyDescent="0.25">
      <c r="A4368">
        <v>11855</v>
      </c>
      <c r="B4368" s="11">
        <v>4063456789014</v>
      </c>
      <c r="C4368" s="1" t="s">
        <v>60</v>
      </c>
      <c r="D4368" s="1" t="s">
        <v>12</v>
      </c>
      <c r="E4368" s="1" t="s">
        <v>61</v>
      </c>
      <c r="F4368">
        <v>36</v>
      </c>
      <c r="G4368">
        <v>1</v>
      </c>
      <c r="H4368" s="1" t="s">
        <v>14</v>
      </c>
      <c r="I4368" s="1" t="s">
        <v>15</v>
      </c>
      <c r="J4368" s="12">
        <v>45944</v>
      </c>
      <c r="K4368">
        <v>0</v>
      </c>
      <c r="L4368" s="1">
        <f t="shared" si="272"/>
        <v>36</v>
      </c>
      <c r="M4368" s="1" t="str">
        <f t="shared" si="273"/>
        <v/>
      </c>
      <c r="N4368" s="2">
        <f t="shared" si="274"/>
        <v>45931</v>
      </c>
      <c r="O4368" t="str">
        <f t="shared" si="275"/>
        <v>pes</v>
      </c>
    </row>
    <row r="4369" spans="1:15" hidden="1" x14ac:dyDescent="0.25">
      <c r="A4369">
        <v>11856</v>
      </c>
      <c r="B4369" s="11">
        <v>4069012345682</v>
      </c>
      <c r="C4369" s="1" t="s">
        <v>143</v>
      </c>
      <c r="D4369" s="1" t="s">
        <v>144</v>
      </c>
      <c r="E4369" s="1" t="s">
        <v>30</v>
      </c>
      <c r="F4369">
        <v>26</v>
      </c>
      <c r="G4369">
        <v>1</v>
      </c>
      <c r="H4369" s="1" t="s">
        <v>23</v>
      </c>
      <c r="I4369" s="1" t="s">
        <v>903</v>
      </c>
      <c r="J4369" s="12">
        <v>45945</v>
      </c>
      <c r="K4369">
        <v>0</v>
      </c>
      <c r="L4369" s="1">
        <f t="shared" si="272"/>
        <v>26</v>
      </c>
      <c r="M4369" s="1">
        <f t="shared" si="273"/>
        <v>5</v>
      </c>
      <c r="N4369" s="2">
        <f t="shared" si="274"/>
        <v>45931</v>
      </c>
      <c r="O4369" t="str">
        <f t="shared" si="275"/>
        <v>mačka</v>
      </c>
    </row>
    <row r="4370" spans="1:15" x14ac:dyDescent="0.25">
      <c r="A4370">
        <v>11857</v>
      </c>
      <c r="B4370" s="11">
        <v>4017890123450</v>
      </c>
      <c r="C4370" s="1" t="s">
        <v>65</v>
      </c>
      <c r="D4370" s="1" t="s">
        <v>39</v>
      </c>
      <c r="E4370" s="1" t="s">
        <v>22</v>
      </c>
      <c r="F4370">
        <v>7.6</v>
      </c>
      <c r="G4370">
        <v>1</v>
      </c>
      <c r="H4370" s="1" t="s">
        <v>14</v>
      </c>
      <c r="I4370" s="1" t="s">
        <v>15</v>
      </c>
      <c r="J4370" s="12">
        <v>45945</v>
      </c>
      <c r="K4370">
        <v>0</v>
      </c>
      <c r="L4370" s="1">
        <f t="shared" si="272"/>
        <v>7.6</v>
      </c>
      <c r="M4370" s="1" t="str">
        <f t="shared" si="273"/>
        <v/>
      </c>
      <c r="N4370" s="2">
        <f t="shared" si="274"/>
        <v>45931</v>
      </c>
      <c r="O4370" t="str">
        <f t="shared" si="275"/>
        <v>pes</v>
      </c>
    </row>
    <row r="4371" spans="1:15" x14ac:dyDescent="0.25">
      <c r="A4371">
        <v>11858</v>
      </c>
      <c r="B4371" s="11">
        <v>4028899001126</v>
      </c>
      <c r="C4371" s="1" t="s">
        <v>16</v>
      </c>
      <c r="D4371" s="1" t="s">
        <v>12</v>
      </c>
      <c r="E4371" s="1" t="s">
        <v>17</v>
      </c>
      <c r="F4371">
        <v>2.8</v>
      </c>
      <c r="G4371">
        <v>3</v>
      </c>
      <c r="H4371" s="1" t="s">
        <v>18</v>
      </c>
      <c r="I4371" s="1" t="s">
        <v>904</v>
      </c>
      <c r="J4371" s="12">
        <v>45945</v>
      </c>
      <c r="K4371">
        <v>0</v>
      </c>
      <c r="L4371" s="1">
        <f t="shared" si="272"/>
        <v>8.3999999999999986</v>
      </c>
      <c r="M4371" s="1">
        <f t="shared" si="273"/>
        <v>4</v>
      </c>
      <c r="N4371" s="2">
        <f t="shared" si="274"/>
        <v>45931</v>
      </c>
      <c r="O4371" t="str">
        <f t="shared" si="275"/>
        <v>pes</v>
      </c>
    </row>
    <row r="4372" spans="1:15" x14ac:dyDescent="0.25">
      <c r="A4372">
        <v>11859</v>
      </c>
      <c r="B4372" s="11">
        <v>4013456789017</v>
      </c>
      <c r="C4372" s="1" t="s">
        <v>11</v>
      </c>
      <c r="D4372" s="1" t="s">
        <v>12</v>
      </c>
      <c r="E4372" s="1" t="s">
        <v>13</v>
      </c>
      <c r="F4372">
        <v>6</v>
      </c>
      <c r="G4372">
        <v>2</v>
      </c>
      <c r="H4372" s="1" t="s">
        <v>14</v>
      </c>
      <c r="I4372" s="1" t="s">
        <v>15</v>
      </c>
      <c r="J4372" s="12">
        <v>45945</v>
      </c>
      <c r="K4372">
        <v>0</v>
      </c>
      <c r="L4372" s="1">
        <f t="shared" si="272"/>
        <v>12</v>
      </c>
      <c r="M4372" s="1" t="str">
        <f t="shared" si="273"/>
        <v/>
      </c>
      <c r="N4372" s="2">
        <f t="shared" si="274"/>
        <v>45931</v>
      </c>
      <c r="O4372" t="str">
        <f t="shared" si="275"/>
        <v>pes</v>
      </c>
    </row>
    <row r="4373" spans="1:15" x14ac:dyDescent="0.25">
      <c r="A4373">
        <v>11860</v>
      </c>
      <c r="B4373" s="11">
        <v>4040123456795</v>
      </c>
      <c r="C4373" s="1" t="s">
        <v>20</v>
      </c>
      <c r="D4373" s="1" t="s">
        <v>21</v>
      </c>
      <c r="E4373" s="1" t="s">
        <v>22</v>
      </c>
      <c r="F4373">
        <v>8.8000000000000007</v>
      </c>
      <c r="G4373">
        <v>1</v>
      </c>
      <c r="H4373" s="1" t="s">
        <v>23</v>
      </c>
      <c r="I4373" s="1" t="s">
        <v>905</v>
      </c>
      <c r="J4373" s="12">
        <v>45945</v>
      </c>
      <c r="K4373">
        <v>0</v>
      </c>
      <c r="L4373" s="1">
        <f t="shared" si="272"/>
        <v>8.8000000000000007</v>
      </c>
      <c r="M4373" s="1">
        <f t="shared" si="273"/>
        <v>5</v>
      </c>
      <c r="N4373" s="2">
        <f t="shared" si="274"/>
        <v>45931</v>
      </c>
      <c r="O4373" t="str">
        <f t="shared" si="275"/>
        <v>pes</v>
      </c>
    </row>
    <row r="4374" spans="1:15" hidden="1" x14ac:dyDescent="0.25">
      <c r="A4374">
        <v>11861</v>
      </c>
      <c r="B4374" s="11">
        <v>4029900112244</v>
      </c>
      <c r="C4374" s="1" t="s">
        <v>655</v>
      </c>
      <c r="D4374" s="1" t="s">
        <v>36</v>
      </c>
      <c r="E4374" s="1" t="s">
        <v>37</v>
      </c>
      <c r="F4374">
        <v>13.6</v>
      </c>
      <c r="G4374">
        <v>1</v>
      </c>
      <c r="H4374" s="1" t="s">
        <v>14</v>
      </c>
      <c r="I4374" s="1" t="s">
        <v>15</v>
      </c>
      <c r="J4374" s="12">
        <v>45945</v>
      </c>
      <c r="K4374">
        <v>0</v>
      </c>
      <c r="L4374" s="1">
        <f t="shared" si="272"/>
        <v>13.6</v>
      </c>
      <c r="M4374" s="1" t="str">
        <f t="shared" si="273"/>
        <v/>
      </c>
      <c r="N4374" s="2">
        <f t="shared" si="274"/>
        <v>45931</v>
      </c>
      <c r="O4374" t="str">
        <f t="shared" si="275"/>
        <v>mačka</v>
      </c>
    </row>
    <row r="4375" spans="1:15" hidden="1" x14ac:dyDescent="0.25">
      <c r="A4375">
        <v>11862</v>
      </c>
      <c r="B4375" s="11">
        <v>4056789012345</v>
      </c>
      <c r="C4375" s="1" t="s">
        <v>47</v>
      </c>
      <c r="D4375" s="1" t="s">
        <v>29</v>
      </c>
      <c r="E4375" s="1" t="s">
        <v>37</v>
      </c>
      <c r="F4375">
        <v>2.4</v>
      </c>
      <c r="G4375">
        <v>4</v>
      </c>
      <c r="H4375" s="1" t="s">
        <v>18</v>
      </c>
      <c r="I4375" s="1" t="s">
        <v>906</v>
      </c>
      <c r="J4375" s="12">
        <v>45945</v>
      </c>
      <c r="K4375">
        <v>0</v>
      </c>
      <c r="L4375" s="1">
        <f t="shared" si="272"/>
        <v>9.6</v>
      </c>
      <c r="M4375" s="1">
        <f t="shared" si="273"/>
        <v>4</v>
      </c>
      <c r="N4375" s="2">
        <f t="shared" si="274"/>
        <v>45931</v>
      </c>
      <c r="O4375" t="str">
        <f t="shared" si="275"/>
        <v>mačka</v>
      </c>
    </row>
    <row r="4376" spans="1:15" hidden="1" x14ac:dyDescent="0.25">
      <c r="A4376">
        <v>11863</v>
      </c>
      <c r="B4376" s="11">
        <v>4019876501234</v>
      </c>
      <c r="C4376" s="1" t="s">
        <v>674</v>
      </c>
      <c r="D4376" s="1" t="s">
        <v>29</v>
      </c>
      <c r="E4376" s="1" t="s">
        <v>37</v>
      </c>
      <c r="F4376">
        <v>1.84</v>
      </c>
      <c r="G4376">
        <v>5</v>
      </c>
      <c r="H4376" s="1" t="s">
        <v>14</v>
      </c>
      <c r="I4376" s="1" t="s">
        <v>15</v>
      </c>
      <c r="J4376" s="12">
        <v>45945</v>
      </c>
      <c r="K4376">
        <v>0</v>
      </c>
      <c r="L4376" s="1">
        <f t="shared" si="272"/>
        <v>9.2000000000000011</v>
      </c>
      <c r="M4376" s="1" t="str">
        <f t="shared" si="273"/>
        <v/>
      </c>
      <c r="N4376" s="2">
        <f t="shared" si="274"/>
        <v>45931</v>
      </c>
      <c r="O4376" t="str">
        <f t="shared" si="275"/>
        <v>mačka</v>
      </c>
    </row>
    <row r="4377" spans="1:15" x14ac:dyDescent="0.25">
      <c r="A4377">
        <v>11864</v>
      </c>
      <c r="B4377" s="11">
        <v>4063456789014</v>
      </c>
      <c r="C4377" s="1" t="s">
        <v>60</v>
      </c>
      <c r="D4377" s="1" t="s">
        <v>12</v>
      </c>
      <c r="E4377" s="1" t="s">
        <v>61</v>
      </c>
      <c r="F4377">
        <v>36</v>
      </c>
      <c r="G4377">
        <v>1</v>
      </c>
      <c r="H4377" s="1" t="s">
        <v>14</v>
      </c>
      <c r="I4377" s="1" t="s">
        <v>15</v>
      </c>
      <c r="J4377" s="12">
        <v>45945</v>
      </c>
      <c r="K4377">
        <v>0</v>
      </c>
      <c r="L4377" s="1">
        <f t="shared" si="272"/>
        <v>36</v>
      </c>
      <c r="M4377" s="1" t="str">
        <f t="shared" si="273"/>
        <v/>
      </c>
      <c r="N4377" s="2">
        <f t="shared" si="274"/>
        <v>45931</v>
      </c>
      <c r="O4377" t="str">
        <f t="shared" si="275"/>
        <v>pes</v>
      </c>
    </row>
    <row r="4378" spans="1:15" x14ac:dyDescent="0.25">
      <c r="A4378">
        <v>11865</v>
      </c>
      <c r="B4378" s="11">
        <v>4027788990013</v>
      </c>
      <c r="C4378" s="1" t="s">
        <v>43</v>
      </c>
      <c r="D4378" s="1" t="s">
        <v>21</v>
      </c>
      <c r="E4378" s="1" t="s">
        <v>22</v>
      </c>
      <c r="F4378">
        <v>8</v>
      </c>
      <c r="G4378">
        <v>1</v>
      </c>
      <c r="H4378" s="1" t="s">
        <v>33</v>
      </c>
      <c r="I4378" s="1" t="s">
        <v>907</v>
      </c>
      <c r="J4378" s="12">
        <v>45945</v>
      </c>
      <c r="K4378">
        <v>0</v>
      </c>
      <c r="L4378" s="1">
        <f t="shared" si="272"/>
        <v>8</v>
      </c>
      <c r="M4378" s="1">
        <f t="shared" si="273"/>
        <v>3</v>
      </c>
      <c r="N4378" s="2">
        <f t="shared" si="274"/>
        <v>45931</v>
      </c>
      <c r="O4378" t="str">
        <f t="shared" si="275"/>
        <v>pes</v>
      </c>
    </row>
    <row r="4379" spans="1:15" hidden="1" x14ac:dyDescent="0.25">
      <c r="A4379">
        <v>11866</v>
      </c>
      <c r="B4379" s="11">
        <v>4026677889902</v>
      </c>
      <c r="C4379" s="1" t="s">
        <v>52</v>
      </c>
      <c r="D4379" s="1" t="s">
        <v>53</v>
      </c>
      <c r="E4379" s="1" t="s">
        <v>54</v>
      </c>
      <c r="F4379">
        <v>7.6</v>
      </c>
      <c r="G4379">
        <v>1</v>
      </c>
      <c r="H4379" s="1" t="s">
        <v>14</v>
      </c>
      <c r="I4379" s="1" t="s">
        <v>15</v>
      </c>
      <c r="J4379" s="12">
        <v>45946</v>
      </c>
      <c r="K4379">
        <v>0</v>
      </c>
      <c r="L4379" s="1">
        <f t="shared" si="272"/>
        <v>7.6</v>
      </c>
      <c r="M4379" s="1" t="str">
        <f t="shared" si="273"/>
        <v/>
      </c>
      <c r="N4379" s="2">
        <f t="shared" si="274"/>
        <v>45931</v>
      </c>
      <c r="O4379" t="str">
        <f t="shared" si="275"/>
        <v>iné</v>
      </c>
    </row>
    <row r="4380" spans="1:15" x14ac:dyDescent="0.25">
      <c r="A4380">
        <v>11867</v>
      </c>
      <c r="B4380" s="11">
        <v>4017890123450</v>
      </c>
      <c r="C4380" s="1" t="s">
        <v>65</v>
      </c>
      <c r="D4380" s="1" t="s">
        <v>39</v>
      </c>
      <c r="E4380" s="1" t="s">
        <v>22</v>
      </c>
      <c r="F4380">
        <v>7.6</v>
      </c>
      <c r="G4380">
        <v>1</v>
      </c>
      <c r="H4380" s="1" t="s">
        <v>14</v>
      </c>
      <c r="I4380" s="1" t="s">
        <v>15</v>
      </c>
      <c r="J4380" s="12">
        <v>45946</v>
      </c>
      <c r="K4380">
        <v>0</v>
      </c>
      <c r="L4380" s="1">
        <f t="shared" si="272"/>
        <v>7.6</v>
      </c>
      <c r="M4380" s="1" t="str">
        <f t="shared" si="273"/>
        <v/>
      </c>
      <c r="N4380" s="2">
        <f t="shared" si="274"/>
        <v>45931</v>
      </c>
      <c r="O4380" t="str">
        <f t="shared" si="275"/>
        <v>pes</v>
      </c>
    </row>
    <row r="4381" spans="1:15" x14ac:dyDescent="0.25">
      <c r="A4381">
        <v>11868</v>
      </c>
      <c r="B4381" s="11">
        <v>4028899001126</v>
      </c>
      <c r="C4381" s="1" t="s">
        <v>16</v>
      </c>
      <c r="D4381" s="1" t="s">
        <v>12</v>
      </c>
      <c r="E4381" s="1" t="s">
        <v>17</v>
      </c>
      <c r="F4381">
        <v>2.8</v>
      </c>
      <c r="G4381">
        <v>2</v>
      </c>
      <c r="H4381" s="1" t="s">
        <v>23</v>
      </c>
      <c r="I4381" s="1" t="s">
        <v>908</v>
      </c>
      <c r="J4381" s="12">
        <v>45946</v>
      </c>
      <c r="K4381">
        <v>0</v>
      </c>
      <c r="L4381" s="1">
        <f t="shared" si="272"/>
        <v>5.6</v>
      </c>
      <c r="M4381" s="1">
        <f t="shared" si="273"/>
        <v>5</v>
      </c>
      <c r="N4381" s="2">
        <f t="shared" si="274"/>
        <v>45931</v>
      </c>
      <c r="O4381" t="str">
        <f t="shared" si="275"/>
        <v>pes</v>
      </c>
    </row>
    <row r="4382" spans="1:15" x14ac:dyDescent="0.25">
      <c r="A4382">
        <v>11869</v>
      </c>
      <c r="B4382" s="11">
        <v>4013456789017</v>
      </c>
      <c r="C4382" s="1" t="s">
        <v>11</v>
      </c>
      <c r="D4382" s="1" t="s">
        <v>12</v>
      </c>
      <c r="E4382" s="1" t="s">
        <v>13</v>
      </c>
      <c r="F4382">
        <v>6</v>
      </c>
      <c r="G4382">
        <v>1</v>
      </c>
      <c r="H4382" s="1" t="s">
        <v>14</v>
      </c>
      <c r="I4382" s="1" t="s">
        <v>15</v>
      </c>
      <c r="J4382" s="12">
        <v>45946</v>
      </c>
      <c r="K4382">
        <v>0</v>
      </c>
      <c r="L4382" s="1">
        <f t="shared" si="272"/>
        <v>6</v>
      </c>
      <c r="M4382" s="1" t="str">
        <f t="shared" si="273"/>
        <v/>
      </c>
      <c r="N4382" s="2">
        <f t="shared" si="274"/>
        <v>45931</v>
      </c>
      <c r="O4382" t="str">
        <f t="shared" si="275"/>
        <v>pes</v>
      </c>
    </row>
    <row r="4383" spans="1:15" x14ac:dyDescent="0.25">
      <c r="A4383">
        <v>11870</v>
      </c>
      <c r="B4383" s="11">
        <v>4040123456795</v>
      </c>
      <c r="C4383" s="1" t="s">
        <v>20</v>
      </c>
      <c r="D4383" s="1" t="s">
        <v>21</v>
      </c>
      <c r="E4383" s="1" t="s">
        <v>22</v>
      </c>
      <c r="F4383">
        <v>8.8000000000000007</v>
      </c>
      <c r="G4383">
        <v>1</v>
      </c>
      <c r="H4383" s="1" t="s">
        <v>14</v>
      </c>
      <c r="I4383" s="1" t="s">
        <v>15</v>
      </c>
      <c r="J4383" s="12">
        <v>45946</v>
      </c>
      <c r="K4383">
        <v>0</v>
      </c>
      <c r="L4383" s="1">
        <f t="shared" si="272"/>
        <v>8.8000000000000007</v>
      </c>
      <c r="M4383" s="1" t="str">
        <f t="shared" si="273"/>
        <v/>
      </c>
      <c r="N4383" s="2">
        <f t="shared" si="274"/>
        <v>45931</v>
      </c>
      <c r="O4383" t="str">
        <f t="shared" si="275"/>
        <v>pes</v>
      </c>
    </row>
    <row r="4384" spans="1:15" hidden="1" x14ac:dyDescent="0.25">
      <c r="A4384">
        <v>11871</v>
      </c>
      <c r="B4384" s="11">
        <v>4019876501234</v>
      </c>
      <c r="C4384" s="1" t="s">
        <v>674</v>
      </c>
      <c r="D4384" s="1" t="s">
        <v>29</v>
      </c>
      <c r="E4384" s="1" t="s">
        <v>37</v>
      </c>
      <c r="F4384">
        <v>1.84</v>
      </c>
      <c r="G4384">
        <v>5</v>
      </c>
      <c r="H4384" s="1" t="s">
        <v>18</v>
      </c>
      <c r="I4384" s="1" t="s">
        <v>909</v>
      </c>
      <c r="J4384" s="12">
        <v>45946</v>
      </c>
      <c r="K4384">
        <v>0</v>
      </c>
      <c r="L4384" s="1">
        <f t="shared" si="272"/>
        <v>9.2000000000000011</v>
      </c>
      <c r="M4384" s="1">
        <f t="shared" si="273"/>
        <v>4</v>
      </c>
      <c r="N4384" s="2">
        <f t="shared" si="274"/>
        <v>45931</v>
      </c>
      <c r="O4384" t="str">
        <f t="shared" si="275"/>
        <v>mačka</v>
      </c>
    </row>
    <row r="4385" spans="1:15" hidden="1" x14ac:dyDescent="0.25">
      <c r="A4385">
        <v>11872</v>
      </c>
      <c r="B4385" s="11">
        <v>4029900112244</v>
      </c>
      <c r="C4385" s="1" t="s">
        <v>655</v>
      </c>
      <c r="D4385" s="1" t="s">
        <v>36</v>
      </c>
      <c r="E4385" s="1" t="s">
        <v>37</v>
      </c>
      <c r="F4385">
        <v>13.6</v>
      </c>
      <c r="G4385">
        <v>1</v>
      </c>
      <c r="H4385" s="1" t="s">
        <v>14</v>
      </c>
      <c r="I4385" s="1" t="s">
        <v>15</v>
      </c>
      <c r="J4385" s="12">
        <v>45946</v>
      </c>
      <c r="K4385">
        <v>0</v>
      </c>
      <c r="L4385" s="1">
        <f t="shared" si="272"/>
        <v>13.6</v>
      </c>
      <c r="M4385" s="1" t="str">
        <f t="shared" si="273"/>
        <v/>
      </c>
      <c r="N4385" s="2">
        <f t="shared" si="274"/>
        <v>45931</v>
      </c>
      <c r="O4385" t="str">
        <f t="shared" si="275"/>
        <v>mačka</v>
      </c>
    </row>
    <row r="4386" spans="1:15" x14ac:dyDescent="0.25">
      <c r="A4386">
        <v>11873</v>
      </c>
      <c r="B4386" s="11">
        <v>4063456789014</v>
      </c>
      <c r="C4386" s="1" t="s">
        <v>60</v>
      </c>
      <c r="D4386" s="1" t="s">
        <v>12</v>
      </c>
      <c r="E4386" s="1" t="s">
        <v>61</v>
      </c>
      <c r="F4386">
        <v>36</v>
      </c>
      <c r="G4386">
        <v>1</v>
      </c>
      <c r="H4386" s="1" t="s">
        <v>14</v>
      </c>
      <c r="I4386" s="1" t="s">
        <v>15</v>
      </c>
      <c r="J4386" s="12">
        <v>45946</v>
      </c>
      <c r="K4386">
        <v>0</v>
      </c>
      <c r="L4386" s="1">
        <f t="shared" si="272"/>
        <v>36</v>
      </c>
      <c r="M4386" s="1" t="str">
        <f t="shared" si="273"/>
        <v/>
      </c>
      <c r="N4386" s="2">
        <f t="shared" si="274"/>
        <v>45931</v>
      </c>
      <c r="O4386" t="str">
        <f t="shared" si="275"/>
        <v>pes</v>
      </c>
    </row>
    <row r="4387" spans="1:15" hidden="1" x14ac:dyDescent="0.25">
      <c r="A4387">
        <v>11874</v>
      </c>
      <c r="B4387" s="11">
        <v>4069012345682</v>
      </c>
      <c r="C4387" s="1" t="s">
        <v>143</v>
      </c>
      <c r="D4387" s="1" t="s">
        <v>144</v>
      </c>
      <c r="E4387" s="1" t="s">
        <v>30</v>
      </c>
      <c r="F4387">
        <v>26</v>
      </c>
      <c r="G4387">
        <v>1</v>
      </c>
      <c r="H4387" s="1" t="s">
        <v>23</v>
      </c>
      <c r="I4387" s="1" t="s">
        <v>910</v>
      </c>
      <c r="J4387" s="12">
        <v>45946</v>
      </c>
      <c r="K4387">
        <v>0</v>
      </c>
      <c r="L4387" s="1">
        <f t="shared" si="272"/>
        <v>26</v>
      </c>
      <c r="M4387" s="1">
        <f t="shared" si="273"/>
        <v>5</v>
      </c>
      <c r="N4387" s="2">
        <f t="shared" si="274"/>
        <v>45931</v>
      </c>
      <c r="O4387" t="str">
        <f t="shared" si="275"/>
        <v>mačka</v>
      </c>
    </row>
    <row r="4388" spans="1:15" x14ac:dyDescent="0.25">
      <c r="A4388">
        <v>11875</v>
      </c>
      <c r="B4388" s="11">
        <v>4017890123450</v>
      </c>
      <c r="C4388" s="1" t="s">
        <v>65</v>
      </c>
      <c r="D4388" s="1" t="s">
        <v>39</v>
      </c>
      <c r="E4388" s="1" t="s">
        <v>22</v>
      </c>
      <c r="F4388">
        <v>7.6</v>
      </c>
      <c r="G4388">
        <v>1</v>
      </c>
      <c r="H4388" s="1" t="s">
        <v>14</v>
      </c>
      <c r="I4388" s="1" t="s">
        <v>15</v>
      </c>
      <c r="J4388" s="12">
        <v>45946</v>
      </c>
      <c r="K4388">
        <v>0</v>
      </c>
      <c r="L4388" s="1">
        <f t="shared" si="272"/>
        <v>7.6</v>
      </c>
      <c r="M4388" s="1" t="str">
        <f t="shared" si="273"/>
        <v/>
      </c>
      <c r="N4388" s="2">
        <f t="shared" si="274"/>
        <v>45931</v>
      </c>
      <c r="O4388" t="str">
        <f t="shared" si="275"/>
        <v>pes</v>
      </c>
    </row>
    <row r="4389" spans="1:15" x14ac:dyDescent="0.25">
      <c r="A4389">
        <v>11876</v>
      </c>
      <c r="B4389" s="11">
        <v>4028899001126</v>
      </c>
      <c r="C4389" s="1" t="s">
        <v>16</v>
      </c>
      <c r="D4389" s="1" t="s">
        <v>12</v>
      </c>
      <c r="E4389" s="1" t="s">
        <v>17</v>
      </c>
      <c r="F4389">
        <v>2.8</v>
      </c>
      <c r="G4389">
        <v>2</v>
      </c>
      <c r="H4389" s="1" t="s">
        <v>14</v>
      </c>
      <c r="I4389" s="1" t="s">
        <v>15</v>
      </c>
      <c r="J4389" s="12">
        <v>45946</v>
      </c>
      <c r="K4389">
        <v>0</v>
      </c>
      <c r="L4389" s="1">
        <f t="shared" si="272"/>
        <v>5.6</v>
      </c>
      <c r="M4389" s="1" t="str">
        <f t="shared" si="273"/>
        <v/>
      </c>
      <c r="N4389" s="2">
        <f t="shared" si="274"/>
        <v>45931</v>
      </c>
      <c r="O4389" t="str">
        <f t="shared" si="275"/>
        <v>pes</v>
      </c>
    </row>
    <row r="4390" spans="1:15" x14ac:dyDescent="0.25">
      <c r="A4390">
        <v>11877</v>
      </c>
      <c r="B4390" s="11">
        <v>4013456789017</v>
      </c>
      <c r="C4390" s="1" t="s">
        <v>11</v>
      </c>
      <c r="D4390" s="1" t="s">
        <v>12</v>
      </c>
      <c r="E4390" s="1" t="s">
        <v>13</v>
      </c>
      <c r="F4390">
        <v>6</v>
      </c>
      <c r="G4390">
        <v>2</v>
      </c>
      <c r="H4390" s="1" t="s">
        <v>14</v>
      </c>
      <c r="I4390" s="1" t="s">
        <v>15</v>
      </c>
      <c r="J4390" s="12">
        <v>45947</v>
      </c>
      <c r="K4390">
        <v>0</v>
      </c>
      <c r="L4390" s="1">
        <f t="shared" si="272"/>
        <v>12</v>
      </c>
      <c r="M4390" s="1" t="str">
        <f t="shared" si="273"/>
        <v/>
      </c>
      <c r="N4390" s="2">
        <f t="shared" si="274"/>
        <v>45931</v>
      </c>
      <c r="O4390" t="str">
        <f t="shared" si="275"/>
        <v>pes</v>
      </c>
    </row>
    <row r="4391" spans="1:15" x14ac:dyDescent="0.25">
      <c r="A4391">
        <v>11878</v>
      </c>
      <c r="B4391" s="11">
        <v>4040123456795</v>
      </c>
      <c r="C4391" s="1" t="s">
        <v>20</v>
      </c>
      <c r="D4391" s="1" t="s">
        <v>21</v>
      </c>
      <c r="E4391" s="1" t="s">
        <v>22</v>
      </c>
      <c r="F4391">
        <v>8.8000000000000007</v>
      </c>
      <c r="G4391">
        <v>1</v>
      </c>
      <c r="H4391" s="1" t="s">
        <v>14</v>
      </c>
      <c r="I4391" s="1" t="s">
        <v>15</v>
      </c>
      <c r="J4391" s="12">
        <v>45947</v>
      </c>
      <c r="K4391">
        <v>0</v>
      </c>
      <c r="L4391" s="1">
        <f t="shared" si="272"/>
        <v>8.8000000000000007</v>
      </c>
      <c r="M4391" s="1" t="str">
        <f t="shared" si="273"/>
        <v/>
      </c>
      <c r="N4391" s="2">
        <f t="shared" si="274"/>
        <v>45931</v>
      </c>
      <c r="O4391" t="str">
        <f t="shared" si="275"/>
        <v>pes</v>
      </c>
    </row>
    <row r="4392" spans="1:15" hidden="1" x14ac:dyDescent="0.25">
      <c r="A4392">
        <v>11879</v>
      </c>
      <c r="B4392" s="11">
        <v>4056789012345</v>
      </c>
      <c r="C4392" s="1" t="s">
        <v>47</v>
      </c>
      <c r="D4392" s="1" t="s">
        <v>29</v>
      </c>
      <c r="E4392" s="1" t="s">
        <v>37</v>
      </c>
      <c r="F4392">
        <v>2.4</v>
      </c>
      <c r="G4392">
        <v>3</v>
      </c>
      <c r="H4392" s="1" t="s">
        <v>14</v>
      </c>
      <c r="I4392" s="1" t="s">
        <v>15</v>
      </c>
      <c r="J4392" s="12">
        <v>45947</v>
      </c>
      <c r="K4392">
        <v>0</v>
      </c>
      <c r="L4392" s="1">
        <f t="shared" si="272"/>
        <v>7.1999999999999993</v>
      </c>
      <c r="M4392" s="1" t="str">
        <f t="shared" si="273"/>
        <v/>
      </c>
      <c r="N4392" s="2">
        <f t="shared" si="274"/>
        <v>45931</v>
      </c>
      <c r="O4392" t="str">
        <f t="shared" si="275"/>
        <v>mačka</v>
      </c>
    </row>
    <row r="4393" spans="1:15" hidden="1" x14ac:dyDescent="0.25">
      <c r="A4393">
        <v>11880</v>
      </c>
      <c r="B4393" s="11">
        <v>4019876501234</v>
      </c>
      <c r="C4393" s="1" t="s">
        <v>674</v>
      </c>
      <c r="D4393" s="1" t="s">
        <v>29</v>
      </c>
      <c r="E4393" s="1" t="s">
        <v>37</v>
      </c>
      <c r="F4393">
        <v>1.84</v>
      </c>
      <c r="G4393">
        <v>4</v>
      </c>
      <c r="H4393" s="1" t="s">
        <v>23</v>
      </c>
      <c r="I4393" s="1" t="s">
        <v>911</v>
      </c>
      <c r="J4393" s="12">
        <v>45947</v>
      </c>
      <c r="K4393">
        <v>0</v>
      </c>
      <c r="L4393" s="1">
        <f t="shared" si="272"/>
        <v>7.36</v>
      </c>
      <c r="M4393" s="1">
        <f t="shared" si="273"/>
        <v>5</v>
      </c>
      <c r="N4393" s="2">
        <f t="shared" si="274"/>
        <v>45931</v>
      </c>
      <c r="O4393" t="str">
        <f t="shared" si="275"/>
        <v>mačka</v>
      </c>
    </row>
    <row r="4394" spans="1:15" x14ac:dyDescent="0.25">
      <c r="A4394">
        <v>11881</v>
      </c>
      <c r="B4394" s="11">
        <v>4027788990013</v>
      </c>
      <c r="C4394" s="1" t="s">
        <v>43</v>
      </c>
      <c r="D4394" s="1" t="s">
        <v>21</v>
      </c>
      <c r="E4394" s="1" t="s">
        <v>22</v>
      </c>
      <c r="F4394">
        <v>8</v>
      </c>
      <c r="G4394">
        <v>1</v>
      </c>
      <c r="H4394" s="1" t="s">
        <v>14</v>
      </c>
      <c r="I4394" s="1" t="s">
        <v>15</v>
      </c>
      <c r="J4394" s="12">
        <v>45947</v>
      </c>
      <c r="K4394">
        <v>0</v>
      </c>
      <c r="L4394" s="1">
        <f t="shared" si="272"/>
        <v>8</v>
      </c>
      <c r="M4394" s="1" t="str">
        <f t="shared" si="273"/>
        <v/>
      </c>
      <c r="N4394" s="2">
        <f t="shared" si="274"/>
        <v>45931</v>
      </c>
      <c r="O4394" t="str">
        <f t="shared" si="275"/>
        <v>pes</v>
      </c>
    </row>
    <row r="4395" spans="1:15" x14ac:dyDescent="0.25">
      <c r="A4395">
        <v>11882</v>
      </c>
      <c r="B4395" s="11">
        <v>4063456789014</v>
      </c>
      <c r="C4395" s="1" t="s">
        <v>60</v>
      </c>
      <c r="D4395" s="1" t="s">
        <v>12</v>
      </c>
      <c r="E4395" s="1" t="s">
        <v>61</v>
      </c>
      <c r="F4395">
        <v>36</v>
      </c>
      <c r="G4395">
        <v>1</v>
      </c>
      <c r="H4395" s="1" t="s">
        <v>14</v>
      </c>
      <c r="I4395" s="1" t="s">
        <v>15</v>
      </c>
      <c r="J4395" s="12">
        <v>45947</v>
      </c>
      <c r="K4395">
        <v>0</v>
      </c>
      <c r="L4395" s="1">
        <f t="shared" si="272"/>
        <v>36</v>
      </c>
      <c r="M4395" s="1" t="str">
        <f t="shared" si="273"/>
        <v/>
      </c>
      <c r="N4395" s="2">
        <f t="shared" si="274"/>
        <v>45931</v>
      </c>
      <c r="O4395" t="str">
        <f t="shared" si="275"/>
        <v>pes</v>
      </c>
    </row>
    <row r="4396" spans="1:15" hidden="1" x14ac:dyDescent="0.25">
      <c r="A4396">
        <v>11883</v>
      </c>
      <c r="B4396" s="11">
        <v>4026677889902</v>
      </c>
      <c r="C4396" s="1" t="s">
        <v>52</v>
      </c>
      <c r="D4396" s="1" t="s">
        <v>53</v>
      </c>
      <c r="E4396" s="1" t="s">
        <v>54</v>
      </c>
      <c r="F4396">
        <v>7.6</v>
      </c>
      <c r="G4396">
        <v>1</v>
      </c>
      <c r="H4396" s="1" t="s">
        <v>14</v>
      </c>
      <c r="I4396" s="1" t="s">
        <v>15</v>
      </c>
      <c r="J4396" s="12">
        <v>45947</v>
      </c>
      <c r="K4396">
        <v>0</v>
      </c>
      <c r="L4396" s="1">
        <f t="shared" si="272"/>
        <v>7.6</v>
      </c>
      <c r="M4396" s="1" t="str">
        <f t="shared" si="273"/>
        <v/>
      </c>
      <c r="N4396" s="2">
        <f t="shared" si="274"/>
        <v>45931</v>
      </c>
      <c r="O4396" t="str">
        <f t="shared" si="275"/>
        <v>iné</v>
      </c>
    </row>
    <row r="4397" spans="1:15" x14ac:dyDescent="0.25">
      <c r="A4397">
        <v>11884</v>
      </c>
      <c r="B4397" s="11">
        <v>4028899001126</v>
      </c>
      <c r="C4397" s="1" t="s">
        <v>16</v>
      </c>
      <c r="D4397" s="1" t="s">
        <v>12</v>
      </c>
      <c r="E4397" s="1" t="s">
        <v>17</v>
      </c>
      <c r="F4397">
        <v>2.8</v>
      </c>
      <c r="G4397">
        <v>2</v>
      </c>
      <c r="H4397" s="1" t="s">
        <v>18</v>
      </c>
      <c r="I4397" s="1" t="s">
        <v>912</v>
      </c>
      <c r="J4397" s="12">
        <v>45948</v>
      </c>
      <c r="K4397">
        <v>0</v>
      </c>
      <c r="L4397" s="1">
        <f t="shared" si="272"/>
        <v>5.6</v>
      </c>
      <c r="M4397" s="1">
        <f t="shared" si="273"/>
        <v>4</v>
      </c>
      <c r="N4397" s="2">
        <f t="shared" si="274"/>
        <v>45931</v>
      </c>
      <c r="O4397" t="str">
        <f t="shared" si="275"/>
        <v>pes</v>
      </c>
    </row>
    <row r="4398" spans="1:15" x14ac:dyDescent="0.25">
      <c r="A4398">
        <v>11885</v>
      </c>
      <c r="B4398" s="11">
        <v>4013456789017</v>
      </c>
      <c r="C4398" s="1" t="s">
        <v>11</v>
      </c>
      <c r="D4398" s="1" t="s">
        <v>12</v>
      </c>
      <c r="E4398" s="1" t="s">
        <v>13</v>
      </c>
      <c r="F4398">
        <v>6</v>
      </c>
      <c r="G4398">
        <v>2</v>
      </c>
      <c r="H4398" s="1" t="s">
        <v>14</v>
      </c>
      <c r="I4398" s="1" t="s">
        <v>15</v>
      </c>
      <c r="J4398" s="12">
        <v>45948</v>
      </c>
      <c r="K4398">
        <v>0</v>
      </c>
      <c r="L4398" s="1">
        <f t="shared" si="272"/>
        <v>12</v>
      </c>
      <c r="M4398" s="1" t="str">
        <f t="shared" si="273"/>
        <v/>
      </c>
      <c r="N4398" s="2">
        <f t="shared" si="274"/>
        <v>45931</v>
      </c>
      <c r="O4398" t="str">
        <f t="shared" si="275"/>
        <v>pes</v>
      </c>
    </row>
    <row r="4399" spans="1:15" x14ac:dyDescent="0.25">
      <c r="A4399">
        <v>11886</v>
      </c>
      <c r="B4399" s="11">
        <v>4040123456795</v>
      </c>
      <c r="C4399" s="1" t="s">
        <v>20</v>
      </c>
      <c r="D4399" s="1" t="s">
        <v>21</v>
      </c>
      <c r="E4399" s="1" t="s">
        <v>22</v>
      </c>
      <c r="F4399">
        <v>8.8000000000000007</v>
      </c>
      <c r="G4399">
        <v>1</v>
      </c>
      <c r="H4399" s="1" t="s">
        <v>14</v>
      </c>
      <c r="I4399" s="1" t="s">
        <v>15</v>
      </c>
      <c r="J4399" s="12">
        <v>45948</v>
      </c>
      <c r="K4399">
        <v>0</v>
      </c>
      <c r="L4399" s="1">
        <f t="shared" si="272"/>
        <v>8.8000000000000007</v>
      </c>
      <c r="M4399" s="1" t="str">
        <f t="shared" si="273"/>
        <v/>
      </c>
      <c r="N4399" s="2">
        <f t="shared" si="274"/>
        <v>45931</v>
      </c>
      <c r="O4399" t="str">
        <f t="shared" si="275"/>
        <v>pes</v>
      </c>
    </row>
    <row r="4400" spans="1:15" x14ac:dyDescent="0.25">
      <c r="A4400">
        <v>11887</v>
      </c>
      <c r="B4400" s="11">
        <v>4017890123450</v>
      </c>
      <c r="C4400" s="1" t="s">
        <v>65</v>
      </c>
      <c r="D4400" s="1" t="s">
        <v>39</v>
      </c>
      <c r="E4400" s="1" t="s">
        <v>22</v>
      </c>
      <c r="F4400">
        <v>7.6</v>
      </c>
      <c r="G4400">
        <v>1</v>
      </c>
      <c r="H4400" s="1" t="s">
        <v>14</v>
      </c>
      <c r="I4400" s="1" t="s">
        <v>15</v>
      </c>
      <c r="J4400" s="12">
        <v>45948</v>
      </c>
      <c r="K4400">
        <v>0</v>
      </c>
      <c r="L4400" s="1">
        <f t="shared" si="272"/>
        <v>7.6</v>
      </c>
      <c r="M4400" s="1" t="str">
        <f t="shared" si="273"/>
        <v/>
      </c>
      <c r="N4400" s="2">
        <f t="shared" si="274"/>
        <v>45931</v>
      </c>
      <c r="O4400" t="str">
        <f t="shared" si="275"/>
        <v>pes</v>
      </c>
    </row>
    <row r="4401" spans="1:15" x14ac:dyDescent="0.25">
      <c r="A4401">
        <v>11888</v>
      </c>
      <c r="B4401" s="11">
        <v>4063456789014</v>
      </c>
      <c r="C4401" s="1" t="s">
        <v>60</v>
      </c>
      <c r="D4401" s="1" t="s">
        <v>12</v>
      </c>
      <c r="E4401" s="1" t="s">
        <v>61</v>
      </c>
      <c r="F4401">
        <v>36</v>
      </c>
      <c r="G4401">
        <v>1</v>
      </c>
      <c r="H4401" s="1" t="s">
        <v>23</v>
      </c>
      <c r="I4401" s="1" t="s">
        <v>913</v>
      </c>
      <c r="J4401" s="12">
        <v>45948</v>
      </c>
      <c r="K4401">
        <v>0</v>
      </c>
      <c r="L4401" s="1">
        <f t="shared" si="272"/>
        <v>36</v>
      </c>
      <c r="M4401" s="1">
        <f t="shared" si="273"/>
        <v>5</v>
      </c>
      <c r="N4401" s="2">
        <f t="shared" si="274"/>
        <v>45931</v>
      </c>
      <c r="O4401" t="str">
        <f t="shared" si="275"/>
        <v>pes</v>
      </c>
    </row>
    <row r="4402" spans="1:15" hidden="1" x14ac:dyDescent="0.25">
      <c r="A4402">
        <v>11889</v>
      </c>
      <c r="B4402" s="11">
        <v>4029900112244</v>
      </c>
      <c r="C4402" s="1" t="s">
        <v>655</v>
      </c>
      <c r="D4402" s="1" t="s">
        <v>36</v>
      </c>
      <c r="E4402" s="1" t="s">
        <v>37</v>
      </c>
      <c r="F4402">
        <v>13.6</v>
      </c>
      <c r="G4402">
        <v>1</v>
      </c>
      <c r="H4402" s="1" t="s">
        <v>14</v>
      </c>
      <c r="I4402" s="1" t="s">
        <v>15</v>
      </c>
      <c r="J4402" s="12">
        <v>45948</v>
      </c>
      <c r="K4402">
        <v>0</v>
      </c>
      <c r="L4402" s="1">
        <f t="shared" si="272"/>
        <v>13.6</v>
      </c>
      <c r="M4402" s="1" t="str">
        <f t="shared" si="273"/>
        <v/>
      </c>
      <c r="N4402" s="2">
        <f t="shared" si="274"/>
        <v>45931</v>
      </c>
      <c r="O4402" t="str">
        <f t="shared" si="275"/>
        <v>mačka</v>
      </c>
    </row>
    <row r="4403" spans="1:15" hidden="1" x14ac:dyDescent="0.25">
      <c r="A4403">
        <v>11890</v>
      </c>
      <c r="B4403" s="11">
        <v>4026677889902</v>
      </c>
      <c r="C4403" s="1" t="s">
        <v>52</v>
      </c>
      <c r="D4403" s="1" t="s">
        <v>53</v>
      </c>
      <c r="E4403" s="1" t="s">
        <v>54</v>
      </c>
      <c r="F4403">
        <v>7.6</v>
      </c>
      <c r="G4403">
        <v>1</v>
      </c>
      <c r="H4403" s="1" t="s">
        <v>14</v>
      </c>
      <c r="I4403" s="1" t="s">
        <v>15</v>
      </c>
      <c r="J4403" s="12">
        <v>45948</v>
      </c>
      <c r="K4403">
        <v>0</v>
      </c>
      <c r="L4403" s="1">
        <f t="shared" si="272"/>
        <v>7.6</v>
      </c>
      <c r="M4403" s="1" t="str">
        <f t="shared" si="273"/>
        <v/>
      </c>
      <c r="N4403" s="2">
        <f t="shared" si="274"/>
        <v>45931</v>
      </c>
      <c r="O4403" t="str">
        <f t="shared" si="275"/>
        <v>iné</v>
      </c>
    </row>
    <row r="4404" spans="1:15" hidden="1" x14ac:dyDescent="0.25">
      <c r="A4404">
        <v>11891</v>
      </c>
      <c r="B4404" s="11">
        <v>4019876501234</v>
      </c>
      <c r="C4404" s="1" t="s">
        <v>674</v>
      </c>
      <c r="D4404" s="1" t="s">
        <v>29</v>
      </c>
      <c r="E4404" s="1" t="s">
        <v>37</v>
      </c>
      <c r="F4404">
        <v>1.84</v>
      </c>
      <c r="G4404">
        <v>4</v>
      </c>
      <c r="H4404" s="1" t="s">
        <v>18</v>
      </c>
      <c r="I4404" s="1" t="s">
        <v>914</v>
      </c>
      <c r="J4404" s="12">
        <v>45949</v>
      </c>
      <c r="K4404">
        <v>0</v>
      </c>
      <c r="L4404" s="1">
        <f t="shared" si="272"/>
        <v>7.36</v>
      </c>
      <c r="M4404" s="1">
        <f t="shared" si="273"/>
        <v>4</v>
      </c>
      <c r="N4404" s="2">
        <f t="shared" si="274"/>
        <v>45931</v>
      </c>
      <c r="O4404" t="str">
        <f t="shared" si="275"/>
        <v>mačka</v>
      </c>
    </row>
    <row r="4405" spans="1:15" hidden="1" x14ac:dyDescent="0.25">
      <c r="A4405">
        <v>11892</v>
      </c>
      <c r="B4405" s="11">
        <v>4056789012345</v>
      </c>
      <c r="C4405" s="1" t="s">
        <v>47</v>
      </c>
      <c r="D4405" s="1" t="s">
        <v>29</v>
      </c>
      <c r="E4405" s="1" t="s">
        <v>37</v>
      </c>
      <c r="F4405">
        <v>2.4</v>
      </c>
      <c r="G4405">
        <v>4</v>
      </c>
      <c r="H4405" s="1" t="s">
        <v>14</v>
      </c>
      <c r="I4405" s="1" t="s">
        <v>15</v>
      </c>
      <c r="J4405" s="12">
        <v>45949</v>
      </c>
      <c r="K4405">
        <v>0</v>
      </c>
      <c r="L4405" s="1">
        <f t="shared" si="272"/>
        <v>9.6</v>
      </c>
      <c r="M4405" s="1" t="str">
        <f t="shared" si="273"/>
        <v/>
      </c>
      <c r="N4405" s="2">
        <f t="shared" si="274"/>
        <v>45931</v>
      </c>
      <c r="O4405" t="str">
        <f t="shared" si="275"/>
        <v>mačka</v>
      </c>
    </row>
    <row r="4406" spans="1:15" x14ac:dyDescent="0.25">
      <c r="A4406">
        <v>11893</v>
      </c>
      <c r="B4406" s="11">
        <v>4013456789017</v>
      </c>
      <c r="C4406" s="1" t="s">
        <v>11</v>
      </c>
      <c r="D4406" s="1" t="s">
        <v>12</v>
      </c>
      <c r="E4406" s="1" t="s">
        <v>13</v>
      </c>
      <c r="F4406">
        <v>6</v>
      </c>
      <c r="G4406">
        <v>2</v>
      </c>
      <c r="H4406" s="1" t="s">
        <v>14</v>
      </c>
      <c r="I4406" s="1" t="s">
        <v>15</v>
      </c>
      <c r="J4406" s="12">
        <v>45949</v>
      </c>
      <c r="K4406">
        <v>0</v>
      </c>
      <c r="L4406" s="1">
        <f t="shared" si="272"/>
        <v>12</v>
      </c>
      <c r="M4406" s="1" t="str">
        <f t="shared" si="273"/>
        <v/>
      </c>
      <c r="N4406" s="2">
        <f t="shared" si="274"/>
        <v>45931</v>
      </c>
      <c r="O4406" t="str">
        <f t="shared" si="275"/>
        <v>pes</v>
      </c>
    </row>
    <row r="4407" spans="1:15" x14ac:dyDescent="0.25">
      <c r="A4407">
        <v>11894</v>
      </c>
      <c r="B4407" s="11">
        <v>4028899001126</v>
      </c>
      <c r="C4407" s="1" t="s">
        <v>16</v>
      </c>
      <c r="D4407" s="1" t="s">
        <v>12</v>
      </c>
      <c r="E4407" s="1" t="s">
        <v>17</v>
      </c>
      <c r="F4407">
        <v>2.8</v>
      </c>
      <c r="G4407">
        <v>3</v>
      </c>
      <c r="H4407" s="1" t="s">
        <v>23</v>
      </c>
      <c r="I4407" s="1" t="s">
        <v>915</v>
      </c>
      <c r="J4407" s="12">
        <v>45949</v>
      </c>
      <c r="K4407">
        <v>0</v>
      </c>
      <c r="L4407" s="1">
        <f t="shared" si="272"/>
        <v>8.3999999999999986</v>
      </c>
      <c r="M4407" s="1">
        <f t="shared" si="273"/>
        <v>5</v>
      </c>
      <c r="N4407" s="2">
        <f t="shared" si="274"/>
        <v>45931</v>
      </c>
      <c r="O4407" t="str">
        <f t="shared" si="275"/>
        <v>pes</v>
      </c>
    </row>
    <row r="4408" spans="1:15" x14ac:dyDescent="0.25">
      <c r="A4408">
        <v>11895</v>
      </c>
      <c r="B4408" s="11">
        <v>4040123456795</v>
      </c>
      <c r="C4408" s="1" t="s">
        <v>20</v>
      </c>
      <c r="D4408" s="1" t="s">
        <v>21</v>
      </c>
      <c r="E4408" s="1" t="s">
        <v>22</v>
      </c>
      <c r="F4408">
        <v>8.8000000000000007</v>
      </c>
      <c r="G4408">
        <v>1</v>
      </c>
      <c r="H4408" s="1" t="s">
        <v>14</v>
      </c>
      <c r="I4408" s="1" t="s">
        <v>15</v>
      </c>
      <c r="J4408" s="12">
        <v>45949</v>
      </c>
      <c r="K4408">
        <v>0</v>
      </c>
      <c r="L4408" s="1">
        <f t="shared" si="272"/>
        <v>8.8000000000000007</v>
      </c>
      <c r="M4408" s="1" t="str">
        <f t="shared" si="273"/>
        <v/>
      </c>
      <c r="N4408" s="2">
        <f t="shared" si="274"/>
        <v>45931</v>
      </c>
      <c r="O4408" t="str">
        <f t="shared" si="275"/>
        <v>pes</v>
      </c>
    </row>
    <row r="4409" spans="1:15" x14ac:dyDescent="0.25">
      <c r="A4409">
        <v>11896</v>
      </c>
      <c r="B4409" s="11">
        <v>4017890123450</v>
      </c>
      <c r="C4409" s="1" t="s">
        <v>65</v>
      </c>
      <c r="D4409" s="1" t="s">
        <v>39</v>
      </c>
      <c r="E4409" s="1" t="s">
        <v>22</v>
      </c>
      <c r="F4409">
        <v>7.6</v>
      </c>
      <c r="G4409">
        <v>1</v>
      </c>
      <c r="H4409" s="1" t="s">
        <v>14</v>
      </c>
      <c r="I4409" s="1" t="s">
        <v>15</v>
      </c>
      <c r="J4409" s="12">
        <v>45949</v>
      </c>
      <c r="K4409">
        <v>0</v>
      </c>
      <c r="L4409" s="1">
        <f t="shared" si="272"/>
        <v>7.6</v>
      </c>
      <c r="M4409" s="1" t="str">
        <f t="shared" si="273"/>
        <v/>
      </c>
      <c r="N4409" s="2">
        <f t="shared" si="274"/>
        <v>45931</v>
      </c>
      <c r="O4409" t="str">
        <f t="shared" si="275"/>
        <v>pes</v>
      </c>
    </row>
    <row r="4410" spans="1:15" x14ac:dyDescent="0.25">
      <c r="A4410">
        <v>11897</v>
      </c>
      <c r="B4410" s="11">
        <v>4027788990013</v>
      </c>
      <c r="C4410" s="1" t="s">
        <v>43</v>
      </c>
      <c r="D4410" s="1" t="s">
        <v>21</v>
      </c>
      <c r="E4410" s="1" t="s">
        <v>22</v>
      </c>
      <c r="F4410">
        <v>8</v>
      </c>
      <c r="G4410">
        <v>1</v>
      </c>
      <c r="H4410" s="1" t="s">
        <v>14</v>
      </c>
      <c r="I4410" s="1" t="s">
        <v>15</v>
      </c>
      <c r="J4410" s="12">
        <v>45949</v>
      </c>
      <c r="K4410">
        <v>0</v>
      </c>
      <c r="L4410" s="1">
        <f t="shared" si="272"/>
        <v>8</v>
      </c>
      <c r="M4410" s="1" t="str">
        <f t="shared" si="273"/>
        <v/>
      </c>
      <c r="N4410" s="2">
        <f t="shared" si="274"/>
        <v>45931</v>
      </c>
      <c r="O4410" t="str">
        <f t="shared" si="275"/>
        <v>pes</v>
      </c>
    </row>
    <row r="4411" spans="1:15" x14ac:dyDescent="0.25">
      <c r="A4411">
        <v>11898</v>
      </c>
      <c r="B4411" s="11">
        <v>4028899001126</v>
      </c>
      <c r="C4411" s="1" t="s">
        <v>16</v>
      </c>
      <c r="D4411" s="1" t="s">
        <v>12</v>
      </c>
      <c r="E4411" s="1" t="s">
        <v>17</v>
      </c>
      <c r="F4411">
        <v>2.8</v>
      </c>
      <c r="G4411">
        <v>2</v>
      </c>
      <c r="H4411" s="1" t="s">
        <v>23</v>
      </c>
      <c r="I4411" s="1" t="s">
        <v>916</v>
      </c>
      <c r="J4411" s="12">
        <v>45950</v>
      </c>
      <c r="K4411">
        <v>0</v>
      </c>
      <c r="L4411" s="1">
        <f t="shared" si="272"/>
        <v>5.6</v>
      </c>
      <c r="M4411" s="1">
        <f t="shared" si="273"/>
        <v>5</v>
      </c>
      <c r="N4411" s="2">
        <f t="shared" si="274"/>
        <v>45931</v>
      </c>
      <c r="O4411" t="str">
        <f t="shared" si="275"/>
        <v>pes</v>
      </c>
    </row>
    <row r="4412" spans="1:15" x14ac:dyDescent="0.25">
      <c r="A4412">
        <v>11899</v>
      </c>
      <c r="B4412" s="11">
        <v>4013456789017</v>
      </c>
      <c r="C4412" s="1" t="s">
        <v>11</v>
      </c>
      <c r="D4412" s="1" t="s">
        <v>12</v>
      </c>
      <c r="E4412" s="1" t="s">
        <v>13</v>
      </c>
      <c r="F4412">
        <v>6</v>
      </c>
      <c r="G4412">
        <v>1</v>
      </c>
      <c r="H4412" s="1" t="s">
        <v>14</v>
      </c>
      <c r="I4412" s="1" t="s">
        <v>15</v>
      </c>
      <c r="J4412" s="12">
        <v>45950</v>
      </c>
      <c r="K4412">
        <v>0</v>
      </c>
      <c r="L4412" s="1">
        <f t="shared" si="272"/>
        <v>6</v>
      </c>
      <c r="M4412" s="1" t="str">
        <f t="shared" si="273"/>
        <v/>
      </c>
      <c r="N4412" s="2">
        <f t="shared" si="274"/>
        <v>45931</v>
      </c>
      <c r="O4412" t="str">
        <f t="shared" si="275"/>
        <v>pes</v>
      </c>
    </row>
    <row r="4413" spans="1:15" x14ac:dyDescent="0.25">
      <c r="A4413">
        <v>11900</v>
      </c>
      <c r="B4413" s="11">
        <v>4040123456795</v>
      </c>
      <c r="C4413" s="1" t="s">
        <v>20</v>
      </c>
      <c r="D4413" s="1" t="s">
        <v>21</v>
      </c>
      <c r="E4413" s="1" t="s">
        <v>22</v>
      </c>
      <c r="F4413">
        <v>8.8000000000000007</v>
      </c>
      <c r="G4413">
        <v>1</v>
      </c>
      <c r="H4413" s="1" t="s">
        <v>18</v>
      </c>
      <c r="I4413" s="1" t="s">
        <v>917</v>
      </c>
      <c r="J4413" s="12">
        <v>45950</v>
      </c>
      <c r="K4413">
        <v>0</v>
      </c>
      <c r="L4413" s="1">
        <f t="shared" si="272"/>
        <v>8.8000000000000007</v>
      </c>
      <c r="M4413" s="1">
        <f t="shared" si="273"/>
        <v>4</v>
      </c>
      <c r="N4413" s="2">
        <f t="shared" si="274"/>
        <v>45931</v>
      </c>
      <c r="O4413" t="str">
        <f t="shared" si="275"/>
        <v>pes</v>
      </c>
    </row>
    <row r="4414" spans="1:15" x14ac:dyDescent="0.25">
      <c r="A4414">
        <v>11901</v>
      </c>
      <c r="B4414" s="11">
        <v>4063456789014</v>
      </c>
      <c r="C4414" s="1" t="s">
        <v>60</v>
      </c>
      <c r="D4414" s="1" t="s">
        <v>12</v>
      </c>
      <c r="E4414" s="1" t="s">
        <v>61</v>
      </c>
      <c r="F4414">
        <v>36</v>
      </c>
      <c r="G4414">
        <v>1</v>
      </c>
      <c r="H4414" s="1" t="s">
        <v>14</v>
      </c>
      <c r="I4414" s="1" t="s">
        <v>15</v>
      </c>
      <c r="J4414" s="12">
        <v>45950</v>
      </c>
      <c r="K4414">
        <v>0</v>
      </c>
      <c r="L4414" s="1">
        <f t="shared" si="272"/>
        <v>36</v>
      </c>
      <c r="M4414" s="1" t="str">
        <f t="shared" si="273"/>
        <v/>
      </c>
      <c r="N4414" s="2">
        <f t="shared" si="274"/>
        <v>45931</v>
      </c>
      <c r="O4414" t="str">
        <f t="shared" si="275"/>
        <v>pes</v>
      </c>
    </row>
    <row r="4415" spans="1:15" hidden="1" x14ac:dyDescent="0.25">
      <c r="A4415">
        <v>11902</v>
      </c>
      <c r="B4415" s="11">
        <v>4019876501234</v>
      </c>
      <c r="C4415" s="1" t="s">
        <v>674</v>
      </c>
      <c r="D4415" s="1" t="s">
        <v>29</v>
      </c>
      <c r="E4415" s="1" t="s">
        <v>37</v>
      </c>
      <c r="F4415">
        <v>1.84</v>
      </c>
      <c r="G4415">
        <v>5</v>
      </c>
      <c r="H4415" s="1" t="s">
        <v>23</v>
      </c>
      <c r="I4415" s="1" t="s">
        <v>918</v>
      </c>
      <c r="J4415" s="12">
        <v>45950</v>
      </c>
      <c r="K4415">
        <v>0</v>
      </c>
      <c r="L4415" s="1">
        <f t="shared" si="272"/>
        <v>9.2000000000000011</v>
      </c>
      <c r="M4415" s="1">
        <f t="shared" si="273"/>
        <v>5</v>
      </c>
      <c r="N4415" s="2">
        <f t="shared" si="274"/>
        <v>45931</v>
      </c>
      <c r="O4415" t="str">
        <f t="shared" si="275"/>
        <v>mačka</v>
      </c>
    </row>
    <row r="4416" spans="1:15" hidden="1" x14ac:dyDescent="0.25">
      <c r="A4416">
        <v>11903</v>
      </c>
      <c r="B4416" s="11">
        <v>4029900112244</v>
      </c>
      <c r="C4416" s="1" t="s">
        <v>655</v>
      </c>
      <c r="D4416" s="1" t="s">
        <v>36</v>
      </c>
      <c r="E4416" s="1" t="s">
        <v>37</v>
      </c>
      <c r="F4416">
        <v>13.6</v>
      </c>
      <c r="G4416">
        <v>1</v>
      </c>
      <c r="H4416" s="1" t="s">
        <v>14</v>
      </c>
      <c r="I4416" s="1" t="s">
        <v>15</v>
      </c>
      <c r="J4416" s="12">
        <v>45950</v>
      </c>
      <c r="K4416">
        <v>0</v>
      </c>
      <c r="L4416" s="1">
        <f t="shared" si="272"/>
        <v>13.6</v>
      </c>
      <c r="M4416" s="1" t="str">
        <f t="shared" si="273"/>
        <v/>
      </c>
      <c r="N4416" s="2">
        <f t="shared" si="274"/>
        <v>45931</v>
      </c>
      <c r="O4416" t="str">
        <f t="shared" si="275"/>
        <v>mačka</v>
      </c>
    </row>
    <row r="4417" spans="1:15" hidden="1" x14ac:dyDescent="0.25">
      <c r="A4417">
        <v>11904</v>
      </c>
      <c r="B4417" s="11">
        <v>4026677889902</v>
      </c>
      <c r="C4417" s="1" t="s">
        <v>52</v>
      </c>
      <c r="D4417" s="1" t="s">
        <v>53</v>
      </c>
      <c r="E4417" s="1" t="s">
        <v>54</v>
      </c>
      <c r="F4417">
        <v>7.6</v>
      </c>
      <c r="G4417">
        <v>1</v>
      </c>
      <c r="H4417" s="1" t="s">
        <v>14</v>
      </c>
      <c r="I4417" s="1" t="s">
        <v>15</v>
      </c>
      <c r="J4417" s="12">
        <v>45950</v>
      </c>
      <c r="K4417">
        <v>0</v>
      </c>
      <c r="L4417" s="1">
        <f t="shared" si="272"/>
        <v>7.6</v>
      </c>
      <c r="M4417" s="1" t="str">
        <f t="shared" si="273"/>
        <v/>
      </c>
      <c r="N4417" s="2">
        <f t="shared" si="274"/>
        <v>45931</v>
      </c>
      <c r="O4417" t="str">
        <f t="shared" si="275"/>
        <v>iné</v>
      </c>
    </row>
    <row r="4418" spans="1:15" hidden="1" x14ac:dyDescent="0.25">
      <c r="A4418">
        <v>11905</v>
      </c>
      <c r="B4418" s="11">
        <v>4056789012345</v>
      </c>
      <c r="C4418" s="1" t="s">
        <v>47</v>
      </c>
      <c r="D4418" s="1" t="s">
        <v>29</v>
      </c>
      <c r="E4418" s="1" t="s">
        <v>37</v>
      </c>
      <c r="F4418">
        <v>2.4</v>
      </c>
      <c r="G4418">
        <v>3</v>
      </c>
      <c r="H4418" s="1" t="s">
        <v>14</v>
      </c>
      <c r="I4418" s="1" t="s">
        <v>15</v>
      </c>
      <c r="J4418" s="12">
        <v>45950</v>
      </c>
      <c r="K4418">
        <v>0</v>
      </c>
      <c r="L4418" s="1">
        <f t="shared" ref="L4418:L4481" si="276">F4418*G4418</f>
        <v>7.1999999999999993</v>
      </c>
      <c r="M4418" s="1" t="str">
        <f t="shared" ref="M4418:M4481" si="277">IF(H4418="NULL", "",VALUE(H4418))</f>
        <v/>
      </c>
      <c r="N4418" s="2">
        <f t="shared" ref="N4418:N4481" si="278">DATE(YEAR(J4418),MONTH(J4418),1)</f>
        <v>45931</v>
      </c>
      <c r="O4418" t="str">
        <f t="shared" ref="O4418:O4481" si="279">IF(ISNUMBER(SEARCH("Mačky",D4418)),"mačka",IF(ISNUMBER(SEARCH("Psy",D4418)),"pes","iné"))</f>
        <v>mačka</v>
      </c>
    </row>
    <row r="4419" spans="1:15" x14ac:dyDescent="0.25">
      <c r="A4419">
        <v>11906</v>
      </c>
      <c r="B4419" s="11">
        <v>4027788990013</v>
      </c>
      <c r="C4419" s="1" t="s">
        <v>43</v>
      </c>
      <c r="D4419" s="1" t="s">
        <v>21</v>
      </c>
      <c r="E4419" s="1" t="s">
        <v>22</v>
      </c>
      <c r="F4419">
        <v>8</v>
      </c>
      <c r="G4419">
        <v>1</v>
      </c>
      <c r="H4419" s="1" t="s">
        <v>14</v>
      </c>
      <c r="I4419" s="1" t="s">
        <v>15</v>
      </c>
      <c r="J4419" s="12">
        <v>45950</v>
      </c>
      <c r="K4419">
        <v>0</v>
      </c>
      <c r="L4419" s="1">
        <f t="shared" si="276"/>
        <v>8</v>
      </c>
      <c r="M4419" s="1" t="str">
        <f t="shared" si="277"/>
        <v/>
      </c>
      <c r="N4419" s="2">
        <f t="shared" si="278"/>
        <v>45931</v>
      </c>
      <c r="O4419" t="str">
        <f t="shared" si="279"/>
        <v>pes</v>
      </c>
    </row>
    <row r="4420" spans="1:15" x14ac:dyDescent="0.25">
      <c r="A4420">
        <v>11907</v>
      </c>
      <c r="B4420" s="11">
        <v>4017890123450</v>
      </c>
      <c r="C4420" s="1" t="s">
        <v>65</v>
      </c>
      <c r="D4420" s="1" t="s">
        <v>39</v>
      </c>
      <c r="E4420" s="1" t="s">
        <v>22</v>
      </c>
      <c r="F4420">
        <v>7.6</v>
      </c>
      <c r="G4420">
        <v>1</v>
      </c>
      <c r="H4420" s="1" t="s">
        <v>14</v>
      </c>
      <c r="I4420" s="1" t="s">
        <v>15</v>
      </c>
      <c r="J4420" s="12">
        <v>45950</v>
      </c>
      <c r="K4420">
        <v>0</v>
      </c>
      <c r="L4420" s="1">
        <f t="shared" si="276"/>
        <v>7.6</v>
      </c>
      <c r="M4420" s="1" t="str">
        <f t="shared" si="277"/>
        <v/>
      </c>
      <c r="N4420" s="2">
        <f t="shared" si="278"/>
        <v>45931</v>
      </c>
      <c r="O4420" t="str">
        <f t="shared" si="279"/>
        <v>pes</v>
      </c>
    </row>
    <row r="4421" spans="1:15" x14ac:dyDescent="0.25">
      <c r="A4421">
        <v>11908</v>
      </c>
      <c r="B4421" s="11">
        <v>4028899001126</v>
      </c>
      <c r="C4421" s="1" t="s">
        <v>16</v>
      </c>
      <c r="D4421" s="1" t="s">
        <v>12</v>
      </c>
      <c r="E4421" s="1" t="s">
        <v>17</v>
      </c>
      <c r="F4421">
        <v>2.8</v>
      </c>
      <c r="G4421">
        <v>2</v>
      </c>
      <c r="H4421" s="1" t="s">
        <v>18</v>
      </c>
      <c r="I4421" s="1" t="s">
        <v>919</v>
      </c>
      <c r="J4421" s="12">
        <v>45951</v>
      </c>
      <c r="K4421">
        <v>0</v>
      </c>
      <c r="L4421" s="1">
        <f t="shared" si="276"/>
        <v>5.6</v>
      </c>
      <c r="M4421" s="1">
        <f t="shared" si="277"/>
        <v>4</v>
      </c>
      <c r="N4421" s="2">
        <f t="shared" si="278"/>
        <v>45931</v>
      </c>
      <c r="O4421" t="str">
        <f t="shared" si="279"/>
        <v>pes</v>
      </c>
    </row>
    <row r="4422" spans="1:15" x14ac:dyDescent="0.25">
      <c r="A4422">
        <v>11909</v>
      </c>
      <c r="B4422" s="11">
        <v>4013456789017</v>
      </c>
      <c r="C4422" s="1" t="s">
        <v>11</v>
      </c>
      <c r="D4422" s="1" t="s">
        <v>12</v>
      </c>
      <c r="E4422" s="1" t="s">
        <v>13</v>
      </c>
      <c r="F4422">
        <v>6</v>
      </c>
      <c r="G4422">
        <v>2</v>
      </c>
      <c r="H4422" s="1" t="s">
        <v>14</v>
      </c>
      <c r="I4422" s="1" t="s">
        <v>15</v>
      </c>
      <c r="J4422" s="12">
        <v>45951</v>
      </c>
      <c r="K4422">
        <v>0</v>
      </c>
      <c r="L4422" s="1">
        <f t="shared" si="276"/>
        <v>12</v>
      </c>
      <c r="M4422" s="1" t="str">
        <f t="shared" si="277"/>
        <v/>
      </c>
      <c r="N4422" s="2">
        <f t="shared" si="278"/>
        <v>45931</v>
      </c>
      <c r="O4422" t="str">
        <f t="shared" si="279"/>
        <v>pes</v>
      </c>
    </row>
    <row r="4423" spans="1:15" x14ac:dyDescent="0.25">
      <c r="A4423">
        <v>11910</v>
      </c>
      <c r="B4423" s="11">
        <v>4040123456795</v>
      </c>
      <c r="C4423" s="1" t="s">
        <v>20</v>
      </c>
      <c r="D4423" s="1" t="s">
        <v>21</v>
      </c>
      <c r="E4423" s="1" t="s">
        <v>22</v>
      </c>
      <c r="F4423">
        <v>8.8000000000000007</v>
      </c>
      <c r="G4423">
        <v>1</v>
      </c>
      <c r="H4423" s="1" t="s">
        <v>14</v>
      </c>
      <c r="I4423" s="1" t="s">
        <v>15</v>
      </c>
      <c r="J4423" s="12">
        <v>45951</v>
      </c>
      <c r="K4423">
        <v>0</v>
      </c>
      <c r="L4423" s="1">
        <f t="shared" si="276"/>
        <v>8.8000000000000007</v>
      </c>
      <c r="M4423" s="1" t="str">
        <f t="shared" si="277"/>
        <v/>
      </c>
      <c r="N4423" s="2">
        <f t="shared" si="278"/>
        <v>45931</v>
      </c>
      <c r="O4423" t="str">
        <f t="shared" si="279"/>
        <v>pes</v>
      </c>
    </row>
    <row r="4424" spans="1:15" hidden="1" x14ac:dyDescent="0.25">
      <c r="A4424">
        <v>11911</v>
      </c>
      <c r="B4424" s="11">
        <v>4019876501234</v>
      </c>
      <c r="C4424" s="1" t="s">
        <v>674</v>
      </c>
      <c r="D4424" s="1" t="s">
        <v>29</v>
      </c>
      <c r="E4424" s="1" t="s">
        <v>37</v>
      </c>
      <c r="F4424">
        <v>1.84</v>
      </c>
      <c r="G4424">
        <v>4</v>
      </c>
      <c r="H4424" s="1" t="s">
        <v>23</v>
      </c>
      <c r="I4424" s="1" t="s">
        <v>920</v>
      </c>
      <c r="J4424" s="12">
        <v>45951</v>
      </c>
      <c r="K4424">
        <v>0</v>
      </c>
      <c r="L4424" s="1">
        <f t="shared" si="276"/>
        <v>7.36</v>
      </c>
      <c r="M4424" s="1">
        <f t="shared" si="277"/>
        <v>5</v>
      </c>
      <c r="N4424" s="2">
        <f t="shared" si="278"/>
        <v>45931</v>
      </c>
      <c r="O4424" t="str">
        <f t="shared" si="279"/>
        <v>mačka</v>
      </c>
    </row>
    <row r="4425" spans="1:15" x14ac:dyDescent="0.25">
      <c r="A4425">
        <v>11912</v>
      </c>
      <c r="B4425" s="11">
        <v>4027788990013</v>
      </c>
      <c r="C4425" s="1" t="s">
        <v>43</v>
      </c>
      <c r="D4425" s="1" t="s">
        <v>21</v>
      </c>
      <c r="E4425" s="1" t="s">
        <v>22</v>
      </c>
      <c r="F4425">
        <v>8</v>
      </c>
      <c r="G4425">
        <v>1</v>
      </c>
      <c r="H4425" s="1" t="s">
        <v>14</v>
      </c>
      <c r="I4425" s="1" t="s">
        <v>15</v>
      </c>
      <c r="J4425" s="12">
        <v>45951</v>
      </c>
      <c r="K4425">
        <v>0</v>
      </c>
      <c r="L4425" s="1">
        <f t="shared" si="276"/>
        <v>8</v>
      </c>
      <c r="M4425" s="1" t="str">
        <f t="shared" si="277"/>
        <v/>
      </c>
      <c r="N4425" s="2">
        <f t="shared" si="278"/>
        <v>45931</v>
      </c>
      <c r="O4425" t="str">
        <f t="shared" si="279"/>
        <v>pes</v>
      </c>
    </row>
    <row r="4426" spans="1:15" x14ac:dyDescent="0.25">
      <c r="A4426">
        <v>11913</v>
      </c>
      <c r="B4426" s="11">
        <v>4063456789014</v>
      </c>
      <c r="C4426" s="1" t="s">
        <v>60</v>
      </c>
      <c r="D4426" s="1" t="s">
        <v>12</v>
      </c>
      <c r="E4426" s="1" t="s">
        <v>61</v>
      </c>
      <c r="F4426">
        <v>36</v>
      </c>
      <c r="G4426">
        <v>1</v>
      </c>
      <c r="H4426" s="1" t="s">
        <v>14</v>
      </c>
      <c r="I4426" s="1" t="s">
        <v>15</v>
      </c>
      <c r="J4426" s="12">
        <v>45951</v>
      </c>
      <c r="K4426">
        <v>0</v>
      </c>
      <c r="L4426" s="1">
        <f t="shared" si="276"/>
        <v>36</v>
      </c>
      <c r="M4426" s="1" t="str">
        <f t="shared" si="277"/>
        <v/>
      </c>
      <c r="N4426" s="2">
        <f t="shared" si="278"/>
        <v>45931</v>
      </c>
      <c r="O4426" t="str">
        <f t="shared" si="279"/>
        <v>pes</v>
      </c>
    </row>
    <row r="4427" spans="1:15" hidden="1" x14ac:dyDescent="0.25">
      <c r="A4427">
        <v>11914</v>
      </c>
      <c r="B4427" s="11">
        <v>4056789012345</v>
      </c>
      <c r="C4427" s="1" t="s">
        <v>47</v>
      </c>
      <c r="D4427" s="1" t="s">
        <v>29</v>
      </c>
      <c r="E4427" s="1" t="s">
        <v>37</v>
      </c>
      <c r="F4427">
        <v>2.4</v>
      </c>
      <c r="G4427">
        <v>3</v>
      </c>
      <c r="H4427" s="1" t="s">
        <v>14</v>
      </c>
      <c r="I4427" s="1" t="s">
        <v>15</v>
      </c>
      <c r="J4427" s="12">
        <v>45951</v>
      </c>
      <c r="K4427">
        <v>0</v>
      </c>
      <c r="L4427" s="1">
        <f t="shared" si="276"/>
        <v>7.1999999999999993</v>
      </c>
      <c r="M4427" s="1" t="str">
        <f t="shared" si="277"/>
        <v/>
      </c>
      <c r="N4427" s="2">
        <f t="shared" si="278"/>
        <v>45931</v>
      </c>
      <c r="O4427" t="str">
        <f t="shared" si="279"/>
        <v>mačka</v>
      </c>
    </row>
    <row r="4428" spans="1:15" x14ac:dyDescent="0.25">
      <c r="A4428">
        <v>11915</v>
      </c>
      <c r="B4428" s="11">
        <v>4028899001126</v>
      </c>
      <c r="C4428" s="1" t="s">
        <v>16</v>
      </c>
      <c r="D4428" s="1" t="s">
        <v>12</v>
      </c>
      <c r="E4428" s="1" t="s">
        <v>17</v>
      </c>
      <c r="F4428">
        <v>2.8</v>
      </c>
      <c r="G4428">
        <v>2</v>
      </c>
      <c r="H4428" s="1" t="s">
        <v>14</v>
      </c>
      <c r="I4428" s="1" t="s">
        <v>15</v>
      </c>
      <c r="J4428" s="12">
        <v>45951</v>
      </c>
      <c r="K4428">
        <v>0</v>
      </c>
      <c r="L4428" s="1">
        <f t="shared" si="276"/>
        <v>5.6</v>
      </c>
      <c r="M4428" s="1" t="str">
        <f t="shared" si="277"/>
        <v/>
      </c>
      <c r="N4428" s="2">
        <f t="shared" si="278"/>
        <v>45931</v>
      </c>
      <c r="O4428" t="str">
        <f t="shared" si="279"/>
        <v>pes</v>
      </c>
    </row>
    <row r="4429" spans="1:15" x14ac:dyDescent="0.25">
      <c r="A4429">
        <v>11916</v>
      </c>
      <c r="B4429" s="11">
        <v>4013456789017</v>
      </c>
      <c r="C4429" s="1" t="s">
        <v>11</v>
      </c>
      <c r="D4429" s="1" t="s">
        <v>12</v>
      </c>
      <c r="E4429" s="1" t="s">
        <v>13</v>
      </c>
      <c r="F4429">
        <v>6</v>
      </c>
      <c r="G4429">
        <v>1</v>
      </c>
      <c r="H4429" s="1" t="s">
        <v>33</v>
      </c>
      <c r="I4429" s="1" t="s">
        <v>921</v>
      </c>
      <c r="J4429" s="12">
        <v>45951</v>
      </c>
      <c r="K4429">
        <v>0</v>
      </c>
      <c r="L4429" s="1">
        <f t="shared" si="276"/>
        <v>6</v>
      </c>
      <c r="M4429" s="1">
        <f t="shared" si="277"/>
        <v>3</v>
      </c>
      <c r="N4429" s="2">
        <f t="shared" si="278"/>
        <v>45931</v>
      </c>
      <c r="O4429" t="str">
        <f t="shared" si="279"/>
        <v>pes</v>
      </c>
    </row>
    <row r="4430" spans="1:15" hidden="1" x14ac:dyDescent="0.25">
      <c r="A4430">
        <v>11917</v>
      </c>
      <c r="B4430" s="11">
        <v>4025566778891</v>
      </c>
      <c r="C4430" s="1" t="s">
        <v>320</v>
      </c>
      <c r="D4430" s="1" t="s">
        <v>317</v>
      </c>
      <c r="E4430" s="1" t="s">
        <v>30</v>
      </c>
      <c r="F4430">
        <v>51.64</v>
      </c>
      <c r="G4430">
        <v>1</v>
      </c>
      <c r="H4430" s="1" t="s">
        <v>14</v>
      </c>
      <c r="I4430" s="1" t="s">
        <v>15</v>
      </c>
      <c r="J4430" s="12">
        <v>45951</v>
      </c>
      <c r="K4430">
        <v>0</v>
      </c>
      <c r="L4430" s="1">
        <f t="shared" si="276"/>
        <v>51.64</v>
      </c>
      <c r="M4430" s="1" t="str">
        <f t="shared" si="277"/>
        <v/>
      </c>
      <c r="N4430" s="2">
        <f t="shared" si="278"/>
        <v>45931</v>
      </c>
      <c r="O4430" t="str">
        <f t="shared" si="279"/>
        <v>mačka</v>
      </c>
    </row>
    <row r="4431" spans="1:15" x14ac:dyDescent="0.25">
      <c r="A4431">
        <v>11918</v>
      </c>
      <c r="B4431" s="11">
        <v>4017890123450</v>
      </c>
      <c r="C4431" s="1" t="s">
        <v>65</v>
      </c>
      <c r="D4431" s="1" t="s">
        <v>39</v>
      </c>
      <c r="E4431" s="1" t="s">
        <v>22</v>
      </c>
      <c r="F4431">
        <v>7.6</v>
      </c>
      <c r="G4431">
        <v>1</v>
      </c>
      <c r="H4431" s="1" t="s">
        <v>14</v>
      </c>
      <c r="I4431" s="1" t="s">
        <v>15</v>
      </c>
      <c r="J4431" s="12">
        <v>45951</v>
      </c>
      <c r="K4431">
        <v>0</v>
      </c>
      <c r="L4431" s="1">
        <f t="shared" si="276"/>
        <v>7.6</v>
      </c>
      <c r="M4431" s="1" t="str">
        <f t="shared" si="277"/>
        <v/>
      </c>
      <c r="N4431" s="2">
        <f t="shared" si="278"/>
        <v>45931</v>
      </c>
      <c r="O4431" t="str">
        <f t="shared" si="279"/>
        <v>pes</v>
      </c>
    </row>
    <row r="4432" spans="1:15" hidden="1" x14ac:dyDescent="0.25">
      <c r="A4432">
        <v>11919</v>
      </c>
      <c r="B4432" s="11">
        <v>4029900112244</v>
      </c>
      <c r="C4432" s="1" t="s">
        <v>655</v>
      </c>
      <c r="D4432" s="1" t="s">
        <v>36</v>
      </c>
      <c r="E4432" s="1" t="s">
        <v>37</v>
      </c>
      <c r="F4432">
        <v>13.6</v>
      </c>
      <c r="G4432">
        <v>1</v>
      </c>
      <c r="H4432" s="1" t="s">
        <v>14</v>
      </c>
      <c r="I4432" s="1" t="s">
        <v>15</v>
      </c>
      <c r="J4432" s="12">
        <v>45951</v>
      </c>
      <c r="K4432">
        <v>0</v>
      </c>
      <c r="L4432" s="1">
        <f t="shared" si="276"/>
        <v>13.6</v>
      </c>
      <c r="M4432" s="1" t="str">
        <f t="shared" si="277"/>
        <v/>
      </c>
      <c r="N4432" s="2">
        <f t="shared" si="278"/>
        <v>45931</v>
      </c>
      <c r="O4432" t="str">
        <f t="shared" si="279"/>
        <v>mačka</v>
      </c>
    </row>
    <row r="4433" spans="1:15" x14ac:dyDescent="0.25">
      <c r="A4433">
        <v>11920</v>
      </c>
      <c r="B4433" s="11">
        <v>4063456789014</v>
      </c>
      <c r="C4433" s="1" t="s">
        <v>60</v>
      </c>
      <c r="D4433" s="1" t="s">
        <v>12</v>
      </c>
      <c r="E4433" s="1" t="s">
        <v>61</v>
      </c>
      <c r="F4433">
        <v>36</v>
      </c>
      <c r="G4433">
        <v>1</v>
      </c>
      <c r="H4433" s="1" t="s">
        <v>18</v>
      </c>
      <c r="I4433" s="1" t="s">
        <v>922</v>
      </c>
      <c r="J4433" s="12">
        <v>45952</v>
      </c>
      <c r="K4433">
        <v>0</v>
      </c>
      <c r="L4433" s="1">
        <f t="shared" si="276"/>
        <v>36</v>
      </c>
      <c r="M4433" s="1">
        <f t="shared" si="277"/>
        <v>4</v>
      </c>
      <c r="N4433" s="2">
        <f t="shared" si="278"/>
        <v>45931</v>
      </c>
      <c r="O4433" t="str">
        <f t="shared" si="279"/>
        <v>pes</v>
      </c>
    </row>
    <row r="4434" spans="1:15" hidden="1" x14ac:dyDescent="0.25">
      <c r="A4434">
        <v>11921</v>
      </c>
      <c r="B4434" s="11">
        <v>4056789012345</v>
      </c>
      <c r="C4434" s="1" t="s">
        <v>47</v>
      </c>
      <c r="D4434" s="1" t="s">
        <v>29</v>
      </c>
      <c r="E4434" s="1" t="s">
        <v>37</v>
      </c>
      <c r="F4434">
        <v>2.4</v>
      </c>
      <c r="G4434">
        <v>3</v>
      </c>
      <c r="H4434" s="1" t="s">
        <v>14</v>
      </c>
      <c r="I4434" s="1" t="s">
        <v>15</v>
      </c>
      <c r="J4434" s="12">
        <v>45952</v>
      </c>
      <c r="K4434">
        <v>0</v>
      </c>
      <c r="L4434" s="1">
        <f t="shared" si="276"/>
        <v>7.1999999999999993</v>
      </c>
      <c r="M4434" s="1" t="str">
        <f t="shared" si="277"/>
        <v/>
      </c>
      <c r="N4434" s="2">
        <f t="shared" si="278"/>
        <v>45931</v>
      </c>
      <c r="O4434" t="str">
        <f t="shared" si="279"/>
        <v>mačka</v>
      </c>
    </row>
    <row r="4435" spans="1:15" hidden="1" x14ac:dyDescent="0.25">
      <c r="A4435">
        <v>11922</v>
      </c>
      <c r="B4435" s="11">
        <v>4019876501234</v>
      </c>
      <c r="C4435" s="1" t="s">
        <v>674</v>
      </c>
      <c r="D4435" s="1" t="s">
        <v>29</v>
      </c>
      <c r="E4435" s="1" t="s">
        <v>37</v>
      </c>
      <c r="F4435">
        <v>1.84</v>
      </c>
      <c r="G4435">
        <v>5</v>
      </c>
      <c r="H4435" s="1" t="s">
        <v>14</v>
      </c>
      <c r="I4435" s="1" t="s">
        <v>15</v>
      </c>
      <c r="J4435" s="12">
        <v>45952</v>
      </c>
      <c r="K4435">
        <v>0</v>
      </c>
      <c r="L4435" s="1">
        <f t="shared" si="276"/>
        <v>9.2000000000000011</v>
      </c>
      <c r="M4435" s="1" t="str">
        <f t="shared" si="277"/>
        <v/>
      </c>
      <c r="N4435" s="2">
        <f t="shared" si="278"/>
        <v>45931</v>
      </c>
      <c r="O4435" t="str">
        <f t="shared" si="279"/>
        <v>mačka</v>
      </c>
    </row>
    <row r="4436" spans="1:15" x14ac:dyDescent="0.25">
      <c r="A4436">
        <v>11923</v>
      </c>
      <c r="B4436" s="11">
        <v>4028899001126</v>
      </c>
      <c r="C4436" s="1" t="s">
        <v>16</v>
      </c>
      <c r="D4436" s="1" t="s">
        <v>12</v>
      </c>
      <c r="E4436" s="1" t="s">
        <v>17</v>
      </c>
      <c r="F4436">
        <v>2.8</v>
      </c>
      <c r="G4436">
        <v>2</v>
      </c>
      <c r="H4436" s="1" t="s">
        <v>14</v>
      </c>
      <c r="I4436" s="1" t="s">
        <v>15</v>
      </c>
      <c r="J4436" s="12">
        <v>45952</v>
      </c>
      <c r="K4436">
        <v>0</v>
      </c>
      <c r="L4436" s="1">
        <f t="shared" si="276"/>
        <v>5.6</v>
      </c>
      <c r="M4436" s="1" t="str">
        <f t="shared" si="277"/>
        <v/>
      </c>
      <c r="N4436" s="2">
        <f t="shared" si="278"/>
        <v>45931</v>
      </c>
      <c r="O4436" t="str">
        <f t="shared" si="279"/>
        <v>pes</v>
      </c>
    </row>
    <row r="4437" spans="1:15" x14ac:dyDescent="0.25">
      <c r="A4437">
        <v>11924</v>
      </c>
      <c r="B4437" s="11">
        <v>4013456789017</v>
      </c>
      <c r="C4437" s="1" t="s">
        <v>11</v>
      </c>
      <c r="D4437" s="1" t="s">
        <v>12</v>
      </c>
      <c r="E4437" s="1" t="s">
        <v>13</v>
      </c>
      <c r="F4437">
        <v>6</v>
      </c>
      <c r="G4437">
        <v>2</v>
      </c>
      <c r="H4437" s="1" t="s">
        <v>23</v>
      </c>
      <c r="I4437" s="1" t="s">
        <v>923</v>
      </c>
      <c r="J4437" s="12">
        <v>45952</v>
      </c>
      <c r="K4437">
        <v>0</v>
      </c>
      <c r="L4437" s="1">
        <f t="shared" si="276"/>
        <v>12</v>
      </c>
      <c r="M4437" s="1">
        <f t="shared" si="277"/>
        <v>5</v>
      </c>
      <c r="N4437" s="2">
        <f t="shared" si="278"/>
        <v>45931</v>
      </c>
      <c r="O4437" t="str">
        <f t="shared" si="279"/>
        <v>pes</v>
      </c>
    </row>
    <row r="4438" spans="1:15" x14ac:dyDescent="0.25">
      <c r="A4438">
        <v>11925</v>
      </c>
      <c r="B4438" s="11">
        <v>4040123456795</v>
      </c>
      <c r="C4438" s="1" t="s">
        <v>20</v>
      </c>
      <c r="D4438" s="1" t="s">
        <v>21</v>
      </c>
      <c r="E4438" s="1" t="s">
        <v>22</v>
      </c>
      <c r="F4438">
        <v>8.8000000000000007</v>
      </c>
      <c r="G4438">
        <v>1</v>
      </c>
      <c r="H4438" s="1" t="s">
        <v>14</v>
      </c>
      <c r="I4438" s="1" t="s">
        <v>15</v>
      </c>
      <c r="J4438" s="12">
        <v>45952</v>
      </c>
      <c r="K4438">
        <v>0</v>
      </c>
      <c r="L4438" s="1">
        <f t="shared" si="276"/>
        <v>8.8000000000000007</v>
      </c>
      <c r="M4438" s="1" t="str">
        <f t="shared" si="277"/>
        <v/>
      </c>
      <c r="N4438" s="2">
        <f t="shared" si="278"/>
        <v>45931</v>
      </c>
      <c r="O4438" t="str">
        <f t="shared" si="279"/>
        <v>pes</v>
      </c>
    </row>
    <row r="4439" spans="1:15" hidden="1" x14ac:dyDescent="0.25">
      <c r="A4439">
        <v>11926</v>
      </c>
      <c r="B4439" s="11">
        <v>4026677889902</v>
      </c>
      <c r="C4439" s="1" t="s">
        <v>52</v>
      </c>
      <c r="D4439" s="1" t="s">
        <v>53</v>
      </c>
      <c r="E4439" s="1" t="s">
        <v>54</v>
      </c>
      <c r="F4439">
        <v>7.6</v>
      </c>
      <c r="G4439">
        <v>1</v>
      </c>
      <c r="H4439" s="1" t="s">
        <v>14</v>
      </c>
      <c r="I4439" s="1" t="s">
        <v>15</v>
      </c>
      <c r="J4439" s="12">
        <v>45952</v>
      </c>
      <c r="K4439">
        <v>0</v>
      </c>
      <c r="L4439" s="1">
        <f t="shared" si="276"/>
        <v>7.6</v>
      </c>
      <c r="M4439" s="1" t="str">
        <f t="shared" si="277"/>
        <v/>
      </c>
      <c r="N4439" s="2">
        <f t="shared" si="278"/>
        <v>45931</v>
      </c>
      <c r="O4439" t="str">
        <f t="shared" si="279"/>
        <v>iné</v>
      </c>
    </row>
    <row r="4440" spans="1:15" hidden="1" x14ac:dyDescent="0.25">
      <c r="A4440">
        <v>11927</v>
      </c>
      <c r="B4440" s="11">
        <v>4029900112244</v>
      </c>
      <c r="C4440" s="1" t="s">
        <v>655</v>
      </c>
      <c r="D4440" s="1" t="s">
        <v>36</v>
      </c>
      <c r="E4440" s="1" t="s">
        <v>37</v>
      </c>
      <c r="F4440">
        <v>13.6</v>
      </c>
      <c r="G4440">
        <v>1</v>
      </c>
      <c r="H4440" s="1" t="s">
        <v>18</v>
      </c>
      <c r="I4440" s="1" t="s">
        <v>924</v>
      </c>
      <c r="J4440" s="12">
        <v>45952</v>
      </c>
      <c r="K4440">
        <v>0</v>
      </c>
      <c r="L4440" s="1">
        <f t="shared" si="276"/>
        <v>13.6</v>
      </c>
      <c r="M4440" s="1">
        <f t="shared" si="277"/>
        <v>4</v>
      </c>
      <c r="N4440" s="2">
        <f t="shared" si="278"/>
        <v>45931</v>
      </c>
      <c r="O4440" t="str">
        <f t="shared" si="279"/>
        <v>mačka</v>
      </c>
    </row>
    <row r="4441" spans="1:15" x14ac:dyDescent="0.25">
      <c r="A4441">
        <v>11928</v>
      </c>
      <c r="B4441" s="11">
        <v>4063456789014</v>
      </c>
      <c r="C4441" s="1" t="s">
        <v>60</v>
      </c>
      <c r="D4441" s="1" t="s">
        <v>12</v>
      </c>
      <c r="E4441" s="1" t="s">
        <v>61</v>
      </c>
      <c r="F4441">
        <v>36</v>
      </c>
      <c r="G4441">
        <v>1</v>
      </c>
      <c r="H4441" s="1" t="s">
        <v>14</v>
      </c>
      <c r="I4441" s="1" t="s">
        <v>15</v>
      </c>
      <c r="J4441" s="12">
        <v>45952</v>
      </c>
      <c r="K4441">
        <v>0</v>
      </c>
      <c r="L4441" s="1">
        <f t="shared" si="276"/>
        <v>36</v>
      </c>
      <c r="M4441" s="1" t="str">
        <f t="shared" si="277"/>
        <v/>
      </c>
      <c r="N4441" s="2">
        <f t="shared" si="278"/>
        <v>45931</v>
      </c>
      <c r="O4441" t="str">
        <f t="shared" si="279"/>
        <v>pes</v>
      </c>
    </row>
    <row r="4442" spans="1:15" x14ac:dyDescent="0.25">
      <c r="A4442">
        <v>11929</v>
      </c>
      <c r="B4442" s="11">
        <v>4017890123450</v>
      </c>
      <c r="C4442" s="1" t="s">
        <v>65</v>
      </c>
      <c r="D4442" s="1" t="s">
        <v>39</v>
      </c>
      <c r="E4442" s="1" t="s">
        <v>22</v>
      </c>
      <c r="F4442">
        <v>7.6</v>
      </c>
      <c r="G4442">
        <v>1</v>
      </c>
      <c r="H4442" s="1" t="s">
        <v>14</v>
      </c>
      <c r="I4442" s="1" t="s">
        <v>15</v>
      </c>
      <c r="J4442" s="12">
        <v>45952</v>
      </c>
      <c r="K4442">
        <v>0</v>
      </c>
      <c r="L4442" s="1">
        <f t="shared" si="276"/>
        <v>7.6</v>
      </c>
      <c r="M4442" s="1" t="str">
        <f t="shared" si="277"/>
        <v/>
      </c>
      <c r="N4442" s="2">
        <f t="shared" si="278"/>
        <v>45931</v>
      </c>
      <c r="O4442" t="str">
        <f t="shared" si="279"/>
        <v>pes</v>
      </c>
    </row>
    <row r="4443" spans="1:15" x14ac:dyDescent="0.25">
      <c r="A4443">
        <v>11930</v>
      </c>
      <c r="B4443" s="11">
        <v>4027788990013</v>
      </c>
      <c r="C4443" s="1" t="s">
        <v>43</v>
      </c>
      <c r="D4443" s="1" t="s">
        <v>21</v>
      </c>
      <c r="E4443" s="1" t="s">
        <v>22</v>
      </c>
      <c r="F4443">
        <v>8</v>
      </c>
      <c r="G4443">
        <v>1</v>
      </c>
      <c r="H4443" s="1" t="s">
        <v>14</v>
      </c>
      <c r="I4443" s="1" t="s">
        <v>15</v>
      </c>
      <c r="J4443" s="12">
        <v>45952</v>
      </c>
      <c r="K4443">
        <v>0</v>
      </c>
      <c r="L4443" s="1">
        <f t="shared" si="276"/>
        <v>8</v>
      </c>
      <c r="M4443" s="1" t="str">
        <f t="shared" si="277"/>
        <v/>
      </c>
      <c r="N4443" s="2">
        <f t="shared" si="278"/>
        <v>45931</v>
      </c>
      <c r="O4443" t="str">
        <f t="shared" si="279"/>
        <v>pes</v>
      </c>
    </row>
    <row r="4444" spans="1:15" hidden="1" x14ac:dyDescent="0.25">
      <c r="A4444">
        <v>11931</v>
      </c>
      <c r="B4444" s="11">
        <v>4019876501234</v>
      </c>
      <c r="C4444" s="1" t="s">
        <v>674</v>
      </c>
      <c r="D4444" s="1" t="s">
        <v>29</v>
      </c>
      <c r="E4444" s="1" t="s">
        <v>37</v>
      </c>
      <c r="F4444">
        <v>1.84</v>
      </c>
      <c r="G4444">
        <v>5</v>
      </c>
      <c r="H4444" s="1" t="s">
        <v>23</v>
      </c>
      <c r="I4444" s="1" t="s">
        <v>925</v>
      </c>
      <c r="J4444" s="12">
        <v>45953</v>
      </c>
      <c r="K4444">
        <v>0</v>
      </c>
      <c r="L4444" s="1">
        <f t="shared" si="276"/>
        <v>9.2000000000000011</v>
      </c>
      <c r="M4444" s="1">
        <f t="shared" si="277"/>
        <v>5</v>
      </c>
      <c r="N4444" s="2">
        <f t="shared" si="278"/>
        <v>45931</v>
      </c>
      <c r="O4444" t="str">
        <f t="shared" si="279"/>
        <v>mačka</v>
      </c>
    </row>
    <row r="4445" spans="1:15" hidden="1" x14ac:dyDescent="0.25">
      <c r="A4445">
        <v>11932</v>
      </c>
      <c r="B4445" s="11">
        <v>4056789012345</v>
      </c>
      <c r="C4445" s="1" t="s">
        <v>47</v>
      </c>
      <c r="D4445" s="1" t="s">
        <v>29</v>
      </c>
      <c r="E4445" s="1" t="s">
        <v>37</v>
      </c>
      <c r="F4445">
        <v>2.4</v>
      </c>
      <c r="G4445">
        <v>3</v>
      </c>
      <c r="H4445" s="1" t="s">
        <v>14</v>
      </c>
      <c r="I4445" s="1" t="s">
        <v>15</v>
      </c>
      <c r="J4445" s="12">
        <v>45953</v>
      </c>
      <c r="K4445">
        <v>0</v>
      </c>
      <c r="L4445" s="1">
        <f t="shared" si="276"/>
        <v>7.1999999999999993</v>
      </c>
      <c r="M4445" s="1" t="str">
        <f t="shared" si="277"/>
        <v/>
      </c>
      <c r="N4445" s="2">
        <f t="shared" si="278"/>
        <v>45931</v>
      </c>
      <c r="O4445" t="str">
        <f t="shared" si="279"/>
        <v>mačka</v>
      </c>
    </row>
    <row r="4446" spans="1:15" x14ac:dyDescent="0.25">
      <c r="A4446">
        <v>11933</v>
      </c>
      <c r="B4446" s="11">
        <v>4063456789014</v>
      </c>
      <c r="C4446" s="1" t="s">
        <v>60</v>
      </c>
      <c r="D4446" s="1" t="s">
        <v>12</v>
      </c>
      <c r="E4446" s="1" t="s">
        <v>61</v>
      </c>
      <c r="F4446">
        <v>36</v>
      </c>
      <c r="G4446">
        <v>1</v>
      </c>
      <c r="H4446" s="1" t="s">
        <v>14</v>
      </c>
      <c r="I4446" s="1" t="s">
        <v>15</v>
      </c>
      <c r="J4446" s="12">
        <v>45953</v>
      </c>
      <c r="K4446">
        <v>0</v>
      </c>
      <c r="L4446" s="1">
        <f t="shared" si="276"/>
        <v>36</v>
      </c>
      <c r="M4446" s="1" t="str">
        <f t="shared" si="277"/>
        <v/>
      </c>
      <c r="N4446" s="2">
        <f t="shared" si="278"/>
        <v>45931</v>
      </c>
      <c r="O4446" t="str">
        <f t="shared" si="279"/>
        <v>pes</v>
      </c>
    </row>
    <row r="4447" spans="1:15" x14ac:dyDescent="0.25">
      <c r="A4447">
        <v>11934</v>
      </c>
      <c r="B4447" s="11">
        <v>4013456789017</v>
      </c>
      <c r="C4447" s="1" t="s">
        <v>11</v>
      </c>
      <c r="D4447" s="1" t="s">
        <v>12</v>
      </c>
      <c r="E4447" s="1" t="s">
        <v>13</v>
      </c>
      <c r="F4447">
        <v>6</v>
      </c>
      <c r="G4447">
        <v>1</v>
      </c>
      <c r="H4447" s="1" t="s">
        <v>18</v>
      </c>
      <c r="I4447" s="1" t="s">
        <v>926</v>
      </c>
      <c r="J4447" s="12">
        <v>45953</v>
      </c>
      <c r="K4447">
        <v>0</v>
      </c>
      <c r="L4447" s="1">
        <f t="shared" si="276"/>
        <v>6</v>
      </c>
      <c r="M4447" s="1">
        <f t="shared" si="277"/>
        <v>4</v>
      </c>
      <c r="N4447" s="2">
        <f t="shared" si="278"/>
        <v>45931</v>
      </c>
      <c r="O4447" t="str">
        <f t="shared" si="279"/>
        <v>pes</v>
      </c>
    </row>
    <row r="4448" spans="1:15" x14ac:dyDescent="0.25">
      <c r="A4448">
        <v>11935</v>
      </c>
      <c r="B4448" s="11">
        <v>4040123456795</v>
      </c>
      <c r="C4448" s="1" t="s">
        <v>20</v>
      </c>
      <c r="D4448" s="1" t="s">
        <v>21</v>
      </c>
      <c r="E4448" s="1" t="s">
        <v>22</v>
      </c>
      <c r="F4448">
        <v>8.8000000000000007</v>
      </c>
      <c r="G4448">
        <v>1</v>
      </c>
      <c r="H4448" s="1" t="s">
        <v>14</v>
      </c>
      <c r="I4448" s="1" t="s">
        <v>15</v>
      </c>
      <c r="J4448" s="12">
        <v>45953</v>
      </c>
      <c r="K4448">
        <v>0</v>
      </c>
      <c r="L4448" s="1">
        <f t="shared" si="276"/>
        <v>8.8000000000000007</v>
      </c>
      <c r="M4448" s="1" t="str">
        <f t="shared" si="277"/>
        <v/>
      </c>
      <c r="N4448" s="2">
        <f t="shared" si="278"/>
        <v>45931</v>
      </c>
      <c r="O4448" t="str">
        <f t="shared" si="279"/>
        <v>pes</v>
      </c>
    </row>
    <row r="4449" spans="1:15" hidden="1" x14ac:dyDescent="0.25">
      <c r="A4449">
        <v>11936</v>
      </c>
      <c r="B4449" s="11">
        <v>4026677889902</v>
      </c>
      <c r="C4449" s="1" t="s">
        <v>52</v>
      </c>
      <c r="D4449" s="1" t="s">
        <v>53</v>
      </c>
      <c r="E4449" s="1" t="s">
        <v>54</v>
      </c>
      <c r="F4449">
        <v>7.6</v>
      </c>
      <c r="G4449">
        <v>1</v>
      </c>
      <c r="H4449" s="1" t="s">
        <v>14</v>
      </c>
      <c r="I4449" s="1" t="s">
        <v>15</v>
      </c>
      <c r="J4449" s="12">
        <v>45954</v>
      </c>
      <c r="K4449">
        <v>0</v>
      </c>
      <c r="L4449" s="1">
        <f t="shared" si="276"/>
        <v>7.6</v>
      </c>
      <c r="M4449" s="1" t="str">
        <f t="shared" si="277"/>
        <v/>
      </c>
      <c r="N4449" s="2">
        <f t="shared" si="278"/>
        <v>45931</v>
      </c>
      <c r="O4449" t="str">
        <f t="shared" si="279"/>
        <v>iné</v>
      </c>
    </row>
    <row r="4450" spans="1:15" hidden="1" x14ac:dyDescent="0.25">
      <c r="A4450">
        <v>11937</v>
      </c>
      <c r="B4450" s="11">
        <v>4019876501234</v>
      </c>
      <c r="C4450" s="1" t="s">
        <v>674</v>
      </c>
      <c r="D4450" s="1" t="s">
        <v>29</v>
      </c>
      <c r="E4450" s="1" t="s">
        <v>37</v>
      </c>
      <c r="F4450">
        <v>1.84</v>
      </c>
      <c r="G4450">
        <v>4</v>
      </c>
      <c r="H4450" s="1" t="s">
        <v>18</v>
      </c>
      <c r="I4450" s="1" t="s">
        <v>927</v>
      </c>
      <c r="J4450" s="12">
        <v>45954</v>
      </c>
      <c r="K4450">
        <v>0</v>
      </c>
      <c r="L4450" s="1">
        <f t="shared" si="276"/>
        <v>7.36</v>
      </c>
      <c r="M4450" s="1">
        <f t="shared" si="277"/>
        <v>4</v>
      </c>
      <c r="N4450" s="2">
        <f t="shared" si="278"/>
        <v>45931</v>
      </c>
      <c r="O4450" t="str">
        <f t="shared" si="279"/>
        <v>mačka</v>
      </c>
    </row>
    <row r="4451" spans="1:15" x14ac:dyDescent="0.25">
      <c r="A4451">
        <v>11938</v>
      </c>
      <c r="B4451" s="11">
        <v>4028899001126</v>
      </c>
      <c r="C4451" s="1" t="s">
        <v>16</v>
      </c>
      <c r="D4451" s="1" t="s">
        <v>12</v>
      </c>
      <c r="E4451" s="1" t="s">
        <v>17</v>
      </c>
      <c r="F4451">
        <v>2.8</v>
      </c>
      <c r="G4451">
        <v>3</v>
      </c>
      <c r="H4451" s="1" t="s">
        <v>23</v>
      </c>
      <c r="I4451" s="1" t="s">
        <v>928</v>
      </c>
      <c r="J4451" s="12">
        <v>45954</v>
      </c>
      <c r="K4451">
        <v>0</v>
      </c>
      <c r="L4451" s="1">
        <f t="shared" si="276"/>
        <v>8.3999999999999986</v>
      </c>
      <c r="M4451" s="1">
        <f t="shared" si="277"/>
        <v>5</v>
      </c>
      <c r="N4451" s="2">
        <f t="shared" si="278"/>
        <v>45931</v>
      </c>
      <c r="O4451" t="str">
        <f t="shared" si="279"/>
        <v>pes</v>
      </c>
    </row>
    <row r="4452" spans="1:15" x14ac:dyDescent="0.25">
      <c r="A4452">
        <v>11939</v>
      </c>
      <c r="B4452" s="11">
        <v>4013456789017</v>
      </c>
      <c r="C4452" s="1" t="s">
        <v>11</v>
      </c>
      <c r="D4452" s="1" t="s">
        <v>12</v>
      </c>
      <c r="E4452" s="1" t="s">
        <v>13</v>
      </c>
      <c r="F4452">
        <v>6</v>
      </c>
      <c r="G4452">
        <v>2</v>
      </c>
      <c r="H4452" s="1" t="s">
        <v>14</v>
      </c>
      <c r="I4452" s="1" t="s">
        <v>15</v>
      </c>
      <c r="J4452" s="12">
        <v>45954</v>
      </c>
      <c r="K4452">
        <v>0</v>
      </c>
      <c r="L4452" s="1">
        <f t="shared" si="276"/>
        <v>12</v>
      </c>
      <c r="M4452" s="1" t="str">
        <f t="shared" si="277"/>
        <v/>
      </c>
      <c r="N4452" s="2">
        <f t="shared" si="278"/>
        <v>45931</v>
      </c>
      <c r="O4452" t="str">
        <f t="shared" si="279"/>
        <v>pes</v>
      </c>
    </row>
    <row r="4453" spans="1:15" x14ac:dyDescent="0.25">
      <c r="A4453">
        <v>11940</v>
      </c>
      <c r="B4453" s="11">
        <v>4040123456795</v>
      </c>
      <c r="C4453" s="1" t="s">
        <v>20</v>
      </c>
      <c r="D4453" s="1" t="s">
        <v>21</v>
      </c>
      <c r="E4453" s="1" t="s">
        <v>22</v>
      </c>
      <c r="F4453">
        <v>8.8000000000000007</v>
      </c>
      <c r="G4453">
        <v>1</v>
      </c>
      <c r="H4453" s="1" t="s">
        <v>18</v>
      </c>
      <c r="I4453" s="1" t="s">
        <v>929</v>
      </c>
      <c r="J4453" s="12">
        <v>45954</v>
      </c>
      <c r="K4453">
        <v>0</v>
      </c>
      <c r="L4453" s="1">
        <f t="shared" si="276"/>
        <v>8.8000000000000007</v>
      </c>
      <c r="M4453" s="1">
        <f t="shared" si="277"/>
        <v>4</v>
      </c>
      <c r="N4453" s="2">
        <f t="shared" si="278"/>
        <v>45931</v>
      </c>
      <c r="O4453" t="str">
        <f t="shared" si="279"/>
        <v>pes</v>
      </c>
    </row>
    <row r="4454" spans="1:15" hidden="1" x14ac:dyDescent="0.25">
      <c r="A4454">
        <v>11941</v>
      </c>
      <c r="B4454" s="11">
        <v>4019876501234</v>
      </c>
      <c r="C4454" s="1" t="s">
        <v>674</v>
      </c>
      <c r="D4454" s="1" t="s">
        <v>29</v>
      </c>
      <c r="E4454" s="1" t="s">
        <v>37</v>
      </c>
      <c r="F4454">
        <v>1.84</v>
      </c>
      <c r="G4454">
        <v>5</v>
      </c>
      <c r="H4454" s="1" t="s">
        <v>14</v>
      </c>
      <c r="I4454" s="1" t="s">
        <v>15</v>
      </c>
      <c r="J4454" s="12">
        <v>45954</v>
      </c>
      <c r="K4454">
        <v>0</v>
      </c>
      <c r="L4454" s="1">
        <f t="shared" si="276"/>
        <v>9.2000000000000011</v>
      </c>
      <c r="M4454" s="1" t="str">
        <f t="shared" si="277"/>
        <v/>
      </c>
      <c r="N4454" s="2">
        <f t="shared" si="278"/>
        <v>45931</v>
      </c>
      <c r="O4454" t="str">
        <f t="shared" si="279"/>
        <v>mačka</v>
      </c>
    </row>
    <row r="4455" spans="1:15" hidden="1" x14ac:dyDescent="0.25">
      <c r="A4455">
        <v>11942</v>
      </c>
      <c r="B4455" s="11">
        <v>4029900112244</v>
      </c>
      <c r="C4455" s="1" t="s">
        <v>655</v>
      </c>
      <c r="D4455" s="1" t="s">
        <v>36</v>
      </c>
      <c r="E4455" s="1" t="s">
        <v>37</v>
      </c>
      <c r="F4455">
        <v>13.6</v>
      </c>
      <c r="G4455">
        <v>1</v>
      </c>
      <c r="H4455" s="1" t="s">
        <v>14</v>
      </c>
      <c r="I4455" s="1" t="s">
        <v>15</v>
      </c>
      <c r="J4455" s="12">
        <v>45954</v>
      </c>
      <c r="K4455">
        <v>0</v>
      </c>
      <c r="L4455" s="1">
        <f t="shared" si="276"/>
        <v>13.6</v>
      </c>
      <c r="M4455" s="1" t="str">
        <f t="shared" si="277"/>
        <v/>
      </c>
      <c r="N4455" s="2">
        <f t="shared" si="278"/>
        <v>45931</v>
      </c>
      <c r="O4455" t="str">
        <f t="shared" si="279"/>
        <v>mačka</v>
      </c>
    </row>
    <row r="4456" spans="1:15" x14ac:dyDescent="0.25">
      <c r="A4456">
        <v>11943</v>
      </c>
      <c r="B4456" s="11">
        <v>4063456789014</v>
      </c>
      <c r="C4456" s="1" t="s">
        <v>60</v>
      </c>
      <c r="D4456" s="1" t="s">
        <v>12</v>
      </c>
      <c r="E4456" s="1" t="s">
        <v>61</v>
      </c>
      <c r="F4456">
        <v>36</v>
      </c>
      <c r="G4456">
        <v>1</v>
      </c>
      <c r="H4456" s="1" t="s">
        <v>14</v>
      </c>
      <c r="I4456" s="1" t="s">
        <v>15</v>
      </c>
      <c r="J4456" s="12">
        <v>45954</v>
      </c>
      <c r="K4456">
        <v>0</v>
      </c>
      <c r="L4456" s="1">
        <f t="shared" si="276"/>
        <v>36</v>
      </c>
      <c r="M4456" s="1" t="str">
        <f t="shared" si="277"/>
        <v/>
      </c>
      <c r="N4456" s="2">
        <f t="shared" si="278"/>
        <v>45931</v>
      </c>
      <c r="O4456" t="str">
        <f t="shared" si="279"/>
        <v>pes</v>
      </c>
    </row>
    <row r="4457" spans="1:15" x14ac:dyDescent="0.25">
      <c r="A4457">
        <v>11944</v>
      </c>
      <c r="B4457" s="11">
        <v>4017890123450</v>
      </c>
      <c r="C4457" s="1" t="s">
        <v>65</v>
      </c>
      <c r="D4457" s="1" t="s">
        <v>39</v>
      </c>
      <c r="E4457" s="1" t="s">
        <v>22</v>
      </c>
      <c r="F4457">
        <v>7.6</v>
      </c>
      <c r="G4457">
        <v>1</v>
      </c>
      <c r="H4457" s="1" t="s">
        <v>14</v>
      </c>
      <c r="I4457" s="1" t="s">
        <v>15</v>
      </c>
      <c r="J4457" s="12">
        <v>45954</v>
      </c>
      <c r="K4457">
        <v>0</v>
      </c>
      <c r="L4457" s="1">
        <f t="shared" si="276"/>
        <v>7.6</v>
      </c>
      <c r="M4457" s="1" t="str">
        <f t="shared" si="277"/>
        <v/>
      </c>
      <c r="N4457" s="2">
        <f t="shared" si="278"/>
        <v>45931</v>
      </c>
      <c r="O4457" t="str">
        <f t="shared" si="279"/>
        <v>pes</v>
      </c>
    </row>
    <row r="4458" spans="1:15" hidden="1" x14ac:dyDescent="0.25">
      <c r="A4458">
        <v>11945</v>
      </c>
      <c r="B4458" s="11">
        <v>4056789012345</v>
      </c>
      <c r="C4458" s="1" t="s">
        <v>47</v>
      </c>
      <c r="D4458" s="1" t="s">
        <v>29</v>
      </c>
      <c r="E4458" s="1" t="s">
        <v>37</v>
      </c>
      <c r="F4458">
        <v>2.4</v>
      </c>
      <c r="G4458">
        <v>3</v>
      </c>
      <c r="H4458" s="1" t="s">
        <v>33</v>
      </c>
      <c r="I4458" s="1" t="s">
        <v>930</v>
      </c>
      <c r="J4458" s="12">
        <v>45955</v>
      </c>
      <c r="K4458">
        <v>0</v>
      </c>
      <c r="L4458" s="1">
        <f t="shared" si="276"/>
        <v>7.1999999999999993</v>
      </c>
      <c r="M4458" s="1">
        <f t="shared" si="277"/>
        <v>3</v>
      </c>
      <c r="N4458" s="2">
        <f t="shared" si="278"/>
        <v>45931</v>
      </c>
      <c r="O4458" t="str">
        <f t="shared" si="279"/>
        <v>mačka</v>
      </c>
    </row>
    <row r="4459" spans="1:15" x14ac:dyDescent="0.25">
      <c r="A4459">
        <v>11946</v>
      </c>
      <c r="B4459" s="11">
        <v>4013456789017</v>
      </c>
      <c r="C4459" s="1" t="s">
        <v>11</v>
      </c>
      <c r="D4459" s="1" t="s">
        <v>12</v>
      </c>
      <c r="E4459" s="1" t="s">
        <v>13</v>
      </c>
      <c r="F4459">
        <v>6</v>
      </c>
      <c r="G4459">
        <v>1</v>
      </c>
      <c r="H4459" s="1" t="s">
        <v>14</v>
      </c>
      <c r="I4459" s="1" t="s">
        <v>15</v>
      </c>
      <c r="J4459" s="12">
        <v>45955</v>
      </c>
      <c r="K4459">
        <v>0</v>
      </c>
      <c r="L4459" s="1">
        <f t="shared" si="276"/>
        <v>6</v>
      </c>
      <c r="M4459" s="1" t="str">
        <f t="shared" si="277"/>
        <v/>
      </c>
      <c r="N4459" s="2">
        <f t="shared" si="278"/>
        <v>45931</v>
      </c>
      <c r="O4459" t="str">
        <f t="shared" si="279"/>
        <v>pes</v>
      </c>
    </row>
    <row r="4460" spans="1:15" x14ac:dyDescent="0.25">
      <c r="A4460">
        <v>11947</v>
      </c>
      <c r="B4460" s="11">
        <v>4028899001126</v>
      </c>
      <c r="C4460" s="1" t="s">
        <v>16</v>
      </c>
      <c r="D4460" s="1" t="s">
        <v>12</v>
      </c>
      <c r="E4460" s="1" t="s">
        <v>17</v>
      </c>
      <c r="F4460">
        <v>2.8</v>
      </c>
      <c r="G4460">
        <v>2</v>
      </c>
      <c r="H4460" s="1" t="s">
        <v>14</v>
      </c>
      <c r="I4460" s="1" t="s">
        <v>15</v>
      </c>
      <c r="J4460" s="12">
        <v>45955</v>
      </c>
      <c r="K4460">
        <v>0</v>
      </c>
      <c r="L4460" s="1">
        <f t="shared" si="276"/>
        <v>5.6</v>
      </c>
      <c r="M4460" s="1" t="str">
        <f t="shared" si="277"/>
        <v/>
      </c>
      <c r="N4460" s="2">
        <f t="shared" si="278"/>
        <v>45931</v>
      </c>
      <c r="O4460" t="str">
        <f t="shared" si="279"/>
        <v>pes</v>
      </c>
    </row>
    <row r="4461" spans="1:15" x14ac:dyDescent="0.25">
      <c r="A4461">
        <v>11948</v>
      </c>
      <c r="B4461" s="11">
        <v>4040123456795</v>
      </c>
      <c r="C4461" s="1" t="s">
        <v>20</v>
      </c>
      <c r="D4461" s="1" t="s">
        <v>21</v>
      </c>
      <c r="E4461" s="1" t="s">
        <v>22</v>
      </c>
      <c r="F4461">
        <v>8.8000000000000007</v>
      </c>
      <c r="G4461">
        <v>1</v>
      </c>
      <c r="H4461" s="1" t="s">
        <v>23</v>
      </c>
      <c r="I4461" s="1" t="s">
        <v>931</v>
      </c>
      <c r="J4461" s="12">
        <v>45955</v>
      </c>
      <c r="K4461">
        <v>0</v>
      </c>
      <c r="L4461" s="1">
        <f t="shared" si="276"/>
        <v>8.8000000000000007</v>
      </c>
      <c r="M4461" s="1">
        <f t="shared" si="277"/>
        <v>5</v>
      </c>
      <c r="N4461" s="2">
        <f t="shared" si="278"/>
        <v>45931</v>
      </c>
      <c r="O4461" t="str">
        <f t="shared" si="279"/>
        <v>pes</v>
      </c>
    </row>
    <row r="4462" spans="1:15" hidden="1" x14ac:dyDescent="0.25">
      <c r="A4462">
        <v>11949</v>
      </c>
      <c r="B4462" s="11">
        <v>4026677889902</v>
      </c>
      <c r="C4462" s="1" t="s">
        <v>52</v>
      </c>
      <c r="D4462" s="1" t="s">
        <v>53</v>
      </c>
      <c r="E4462" s="1" t="s">
        <v>54</v>
      </c>
      <c r="F4462">
        <v>7.6</v>
      </c>
      <c r="G4462">
        <v>1</v>
      </c>
      <c r="H4462" s="1" t="s">
        <v>14</v>
      </c>
      <c r="I4462" s="1" t="s">
        <v>15</v>
      </c>
      <c r="J4462" s="12">
        <v>45955</v>
      </c>
      <c r="K4462">
        <v>0</v>
      </c>
      <c r="L4462" s="1">
        <f t="shared" si="276"/>
        <v>7.6</v>
      </c>
      <c r="M4462" s="1" t="str">
        <f t="shared" si="277"/>
        <v/>
      </c>
      <c r="N4462" s="2">
        <f t="shared" si="278"/>
        <v>45931</v>
      </c>
      <c r="O4462" t="str">
        <f t="shared" si="279"/>
        <v>iné</v>
      </c>
    </row>
    <row r="4463" spans="1:15" hidden="1" x14ac:dyDescent="0.25">
      <c r="A4463">
        <v>11950</v>
      </c>
      <c r="B4463" s="11">
        <v>4019876501234</v>
      </c>
      <c r="C4463" s="1" t="s">
        <v>674</v>
      </c>
      <c r="D4463" s="1" t="s">
        <v>29</v>
      </c>
      <c r="E4463" s="1" t="s">
        <v>37</v>
      </c>
      <c r="F4463">
        <v>1.84</v>
      </c>
      <c r="G4463">
        <v>5</v>
      </c>
      <c r="H4463" s="1" t="s">
        <v>14</v>
      </c>
      <c r="I4463" s="1" t="s">
        <v>15</v>
      </c>
      <c r="J4463" s="12">
        <v>45955</v>
      </c>
      <c r="K4463">
        <v>0</v>
      </c>
      <c r="L4463" s="1">
        <f t="shared" si="276"/>
        <v>9.2000000000000011</v>
      </c>
      <c r="M4463" s="1" t="str">
        <f t="shared" si="277"/>
        <v/>
      </c>
      <c r="N4463" s="2">
        <f t="shared" si="278"/>
        <v>45931</v>
      </c>
      <c r="O4463" t="str">
        <f t="shared" si="279"/>
        <v>mačka</v>
      </c>
    </row>
    <row r="4464" spans="1:15" hidden="1" x14ac:dyDescent="0.25">
      <c r="A4464">
        <v>11951</v>
      </c>
      <c r="B4464" s="11">
        <v>4029900112244</v>
      </c>
      <c r="C4464" s="1" t="s">
        <v>655</v>
      </c>
      <c r="D4464" s="1" t="s">
        <v>36</v>
      </c>
      <c r="E4464" s="1" t="s">
        <v>37</v>
      </c>
      <c r="F4464">
        <v>13.6</v>
      </c>
      <c r="G4464">
        <v>1</v>
      </c>
      <c r="H4464" s="1" t="s">
        <v>14</v>
      </c>
      <c r="I4464" s="1" t="s">
        <v>15</v>
      </c>
      <c r="J4464" s="12">
        <v>45955</v>
      </c>
      <c r="K4464">
        <v>0</v>
      </c>
      <c r="L4464" s="1">
        <f t="shared" si="276"/>
        <v>13.6</v>
      </c>
      <c r="M4464" s="1" t="str">
        <f t="shared" si="277"/>
        <v/>
      </c>
      <c r="N4464" s="2">
        <f t="shared" si="278"/>
        <v>45931</v>
      </c>
      <c r="O4464" t="str">
        <f t="shared" si="279"/>
        <v>mačka</v>
      </c>
    </row>
    <row r="4465" spans="1:15" x14ac:dyDescent="0.25">
      <c r="A4465">
        <v>11952</v>
      </c>
      <c r="B4465" s="11">
        <v>4063456789014</v>
      </c>
      <c r="C4465" s="1" t="s">
        <v>60</v>
      </c>
      <c r="D4465" s="1" t="s">
        <v>12</v>
      </c>
      <c r="E4465" s="1" t="s">
        <v>61</v>
      </c>
      <c r="F4465">
        <v>36</v>
      </c>
      <c r="G4465">
        <v>1</v>
      </c>
      <c r="H4465" s="1" t="s">
        <v>14</v>
      </c>
      <c r="I4465" s="1" t="s">
        <v>15</v>
      </c>
      <c r="J4465" s="12">
        <v>45955</v>
      </c>
      <c r="K4465">
        <v>0</v>
      </c>
      <c r="L4465" s="1">
        <f t="shared" si="276"/>
        <v>36</v>
      </c>
      <c r="M4465" s="1" t="str">
        <f t="shared" si="277"/>
        <v/>
      </c>
      <c r="N4465" s="2">
        <f t="shared" si="278"/>
        <v>45931</v>
      </c>
      <c r="O4465" t="str">
        <f t="shared" si="279"/>
        <v>pes</v>
      </c>
    </row>
    <row r="4466" spans="1:15" x14ac:dyDescent="0.25">
      <c r="A4466">
        <v>11953</v>
      </c>
      <c r="B4466" s="11">
        <v>4027788990013</v>
      </c>
      <c r="C4466" s="1" t="s">
        <v>43</v>
      </c>
      <c r="D4466" s="1" t="s">
        <v>21</v>
      </c>
      <c r="E4466" s="1" t="s">
        <v>22</v>
      </c>
      <c r="F4466">
        <v>8</v>
      </c>
      <c r="G4466">
        <v>1</v>
      </c>
      <c r="H4466" s="1" t="s">
        <v>14</v>
      </c>
      <c r="I4466" s="1" t="s">
        <v>15</v>
      </c>
      <c r="J4466" s="12">
        <v>45955</v>
      </c>
      <c r="K4466">
        <v>0</v>
      </c>
      <c r="L4466" s="1">
        <f t="shared" si="276"/>
        <v>8</v>
      </c>
      <c r="M4466" s="1" t="str">
        <f t="shared" si="277"/>
        <v/>
      </c>
      <c r="N4466" s="2">
        <f t="shared" si="278"/>
        <v>45931</v>
      </c>
      <c r="O4466" t="str">
        <f t="shared" si="279"/>
        <v>pes</v>
      </c>
    </row>
    <row r="4467" spans="1:15" x14ac:dyDescent="0.25">
      <c r="A4467">
        <v>11954</v>
      </c>
      <c r="B4467" s="11">
        <v>4017890123450</v>
      </c>
      <c r="C4467" s="1" t="s">
        <v>65</v>
      </c>
      <c r="D4467" s="1" t="s">
        <v>39</v>
      </c>
      <c r="E4467" s="1" t="s">
        <v>22</v>
      </c>
      <c r="F4467">
        <v>7.6</v>
      </c>
      <c r="G4467">
        <v>1</v>
      </c>
      <c r="H4467" s="1" t="s">
        <v>18</v>
      </c>
      <c r="I4467" s="1" t="s">
        <v>932</v>
      </c>
      <c r="J4467" s="12">
        <v>45955</v>
      </c>
      <c r="K4467">
        <v>0</v>
      </c>
      <c r="L4467" s="1">
        <f t="shared" si="276"/>
        <v>7.6</v>
      </c>
      <c r="M4467" s="1">
        <f t="shared" si="277"/>
        <v>4</v>
      </c>
      <c r="N4467" s="2">
        <f t="shared" si="278"/>
        <v>45931</v>
      </c>
      <c r="O4467" t="str">
        <f t="shared" si="279"/>
        <v>pes</v>
      </c>
    </row>
    <row r="4468" spans="1:15" hidden="1" x14ac:dyDescent="0.25">
      <c r="A4468">
        <v>11955</v>
      </c>
      <c r="B4468" s="11">
        <v>4056789012345</v>
      </c>
      <c r="C4468" s="1" t="s">
        <v>47</v>
      </c>
      <c r="D4468" s="1" t="s">
        <v>29</v>
      </c>
      <c r="E4468" s="1" t="s">
        <v>37</v>
      </c>
      <c r="F4468">
        <v>2.4</v>
      </c>
      <c r="G4468">
        <v>3</v>
      </c>
      <c r="H4468" s="1" t="s">
        <v>14</v>
      </c>
      <c r="I4468" s="1" t="s">
        <v>15</v>
      </c>
      <c r="J4468" s="12">
        <v>45955</v>
      </c>
      <c r="K4468">
        <v>0</v>
      </c>
      <c r="L4468" s="1">
        <f t="shared" si="276"/>
        <v>7.1999999999999993</v>
      </c>
      <c r="M4468" s="1" t="str">
        <f t="shared" si="277"/>
        <v/>
      </c>
      <c r="N4468" s="2">
        <f t="shared" si="278"/>
        <v>45931</v>
      </c>
      <c r="O4468" t="str">
        <f t="shared" si="279"/>
        <v>mačka</v>
      </c>
    </row>
    <row r="4469" spans="1:15" x14ac:dyDescent="0.25">
      <c r="A4469">
        <v>11956</v>
      </c>
      <c r="B4469" s="11">
        <v>4028899001126</v>
      </c>
      <c r="C4469" s="1" t="s">
        <v>16</v>
      </c>
      <c r="D4469" s="1" t="s">
        <v>12</v>
      </c>
      <c r="E4469" s="1" t="s">
        <v>17</v>
      </c>
      <c r="F4469">
        <v>2.8</v>
      </c>
      <c r="G4469">
        <v>3</v>
      </c>
      <c r="H4469" s="1" t="s">
        <v>23</v>
      </c>
      <c r="I4469" s="1" t="s">
        <v>933</v>
      </c>
      <c r="J4469" s="12">
        <v>45956</v>
      </c>
      <c r="K4469">
        <v>0</v>
      </c>
      <c r="L4469" s="1">
        <f t="shared" si="276"/>
        <v>8.3999999999999986</v>
      </c>
      <c r="M4469" s="1">
        <f t="shared" si="277"/>
        <v>5</v>
      </c>
      <c r="N4469" s="2">
        <f t="shared" si="278"/>
        <v>45931</v>
      </c>
      <c r="O4469" t="str">
        <f t="shared" si="279"/>
        <v>pes</v>
      </c>
    </row>
    <row r="4470" spans="1:15" x14ac:dyDescent="0.25">
      <c r="A4470">
        <v>11957</v>
      </c>
      <c r="B4470" s="11">
        <v>4013456789017</v>
      </c>
      <c r="C4470" s="1" t="s">
        <v>11</v>
      </c>
      <c r="D4470" s="1" t="s">
        <v>12</v>
      </c>
      <c r="E4470" s="1" t="s">
        <v>13</v>
      </c>
      <c r="F4470">
        <v>6</v>
      </c>
      <c r="G4470">
        <v>2</v>
      </c>
      <c r="H4470" s="1" t="s">
        <v>14</v>
      </c>
      <c r="I4470" s="1" t="s">
        <v>15</v>
      </c>
      <c r="J4470" s="12">
        <v>45956</v>
      </c>
      <c r="K4470">
        <v>0</v>
      </c>
      <c r="L4470" s="1">
        <f t="shared" si="276"/>
        <v>12</v>
      </c>
      <c r="M4470" s="1" t="str">
        <f t="shared" si="277"/>
        <v/>
      </c>
      <c r="N4470" s="2">
        <f t="shared" si="278"/>
        <v>45931</v>
      </c>
      <c r="O4470" t="str">
        <f t="shared" si="279"/>
        <v>pes</v>
      </c>
    </row>
    <row r="4471" spans="1:15" x14ac:dyDescent="0.25">
      <c r="A4471">
        <v>11958</v>
      </c>
      <c r="B4471" s="11">
        <v>4040123456795</v>
      </c>
      <c r="C4471" s="1" t="s">
        <v>20</v>
      </c>
      <c r="D4471" s="1" t="s">
        <v>21</v>
      </c>
      <c r="E4471" s="1" t="s">
        <v>22</v>
      </c>
      <c r="F4471">
        <v>8.8000000000000007</v>
      </c>
      <c r="G4471">
        <v>1</v>
      </c>
      <c r="H4471" s="1" t="s">
        <v>14</v>
      </c>
      <c r="I4471" s="1" t="s">
        <v>15</v>
      </c>
      <c r="J4471" s="12">
        <v>45956</v>
      </c>
      <c r="K4471">
        <v>0</v>
      </c>
      <c r="L4471" s="1">
        <f t="shared" si="276"/>
        <v>8.8000000000000007</v>
      </c>
      <c r="M4471" s="1" t="str">
        <f t="shared" si="277"/>
        <v/>
      </c>
      <c r="N4471" s="2">
        <f t="shared" si="278"/>
        <v>45931</v>
      </c>
      <c r="O4471" t="str">
        <f t="shared" si="279"/>
        <v>pes</v>
      </c>
    </row>
    <row r="4472" spans="1:15" hidden="1" x14ac:dyDescent="0.25">
      <c r="A4472">
        <v>11959</v>
      </c>
      <c r="B4472" s="11">
        <v>4019876501234</v>
      </c>
      <c r="C4472" s="1" t="s">
        <v>674</v>
      </c>
      <c r="D4472" s="1" t="s">
        <v>29</v>
      </c>
      <c r="E4472" s="1" t="s">
        <v>37</v>
      </c>
      <c r="F4472">
        <v>1.84</v>
      </c>
      <c r="G4472">
        <v>4</v>
      </c>
      <c r="H4472" s="1" t="s">
        <v>18</v>
      </c>
      <c r="I4472" s="1" t="s">
        <v>934</v>
      </c>
      <c r="J4472" s="12">
        <v>45956</v>
      </c>
      <c r="K4472">
        <v>0</v>
      </c>
      <c r="L4472" s="1">
        <f t="shared" si="276"/>
        <v>7.36</v>
      </c>
      <c r="M4472" s="1">
        <f t="shared" si="277"/>
        <v>4</v>
      </c>
      <c r="N4472" s="2">
        <f t="shared" si="278"/>
        <v>45931</v>
      </c>
      <c r="O4472" t="str">
        <f t="shared" si="279"/>
        <v>mačka</v>
      </c>
    </row>
    <row r="4473" spans="1:15" x14ac:dyDescent="0.25">
      <c r="A4473">
        <v>11960</v>
      </c>
      <c r="B4473" s="11">
        <v>4063456789014</v>
      </c>
      <c r="C4473" s="1" t="s">
        <v>60</v>
      </c>
      <c r="D4473" s="1" t="s">
        <v>12</v>
      </c>
      <c r="E4473" s="1" t="s">
        <v>61</v>
      </c>
      <c r="F4473">
        <v>36</v>
      </c>
      <c r="G4473">
        <v>1</v>
      </c>
      <c r="H4473" s="1" t="s">
        <v>14</v>
      </c>
      <c r="I4473" s="1" t="s">
        <v>15</v>
      </c>
      <c r="J4473" s="12">
        <v>45956</v>
      </c>
      <c r="K4473">
        <v>0</v>
      </c>
      <c r="L4473" s="1">
        <f t="shared" si="276"/>
        <v>36</v>
      </c>
      <c r="M4473" s="1" t="str">
        <f t="shared" si="277"/>
        <v/>
      </c>
      <c r="N4473" s="2">
        <f t="shared" si="278"/>
        <v>45931</v>
      </c>
      <c r="O4473" t="str">
        <f t="shared" si="279"/>
        <v>pes</v>
      </c>
    </row>
    <row r="4474" spans="1:15" x14ac:dyDescent="0.25">
      <c r="A4474">
        <v>11961</v>
      </c>
      <c r="B4474" s="11">
        <v>4027788990013</v>
      </c>
      <c r="C4474" s="1" t="s">
        <v>43</v>
      </c>
      <c r="D4474" s="1" t="s">
        <v>21</v>
      </c>
      <c r="E4474" s="1" t="s">
        <v>22</v>
      </c>
      <c r="F4474">
        <v>8</v>
      </c>
      <c r="G4474">
        <v>1</v>
      </c>
      <c r="H4474" s="1" t="s">
        <v>14</v>
      </c>
      <c r="I4474" s="1" t="s">
        <v>15</v>
      </c>
      <c r="J4474" s="12">
        <v>45956</v>
      </c>
      <c r="K4474">
        <v>0</v>
      </c>
      <c r="L4474" s="1">
        <f t="shared" si="276"/>
        <v>8</v>
      </c>
      <c r="M4474" s="1" t="str">
        <f t="shared" si="277"/>
        <v/>
      </c>
      <c r="N4474" s="2">
        <f t="shared" si="278"/>
        <v>45931</v>
      </c>
      <c r="O4474" t="str">
        <f t="shared" si="279"/>
        <v>pes</v>
      </c>
    </row>
    <row r="4475" spans="1:15" x14ac:dyDescent="0.25">
      <c r="A4475">
        <v>11962</v>
      </c>
      <c r="B4475" s="11">
        <v>4017890123450</v>
      </c>
      <c r="C4475" s="1" t="s">
        <v>65</v>
      </c>
      <c r="D4475" s="1" t="s">
        <v>39</v>
      </c>
      <c r="E4475" s="1" t="s">
        <v>22</v>
      </c>
      <c r="F4475">
        <v>7.6</v>
      </c>
      <c r="G4475">
        <v>1</v>
      </c>
      <c r="H4475" s="1" t="s">
        <v>23</v>
      </c>
      <c r="I4475" s="1" t="s">
        <v>935</v>
      </c>
      <c r="J4475" s="12">
        <v>45956</v>
      </c>
      <c r="K4475">
        <v>0</v>
      </c>
      <c r="L4475" s="1">
        <f t="shared" si="276"/>
        <v>7.6</v>
      </c>
      <c r="M4475" s="1">
        <f t="shared" si="277"/>
        <v>5</v>
      </c>
      <c r="N4475" s="2">
        <f t="shared" si="278"/>
        <v>45931</v>
      </c>
      <c r="O4475" t="str">
        <f t="shared" si="279"/>
        <v>pes</v>
      </c>
    </row>
    <row r="4476" spans="1:15" hidden="1" x14ac:dyDescent="0.25">
      <c r="A4476">
        <v>11963</v>
      </c>
      <c r="B4476" s="11">
        <v>4056789012345</v>
      </c>
      <c r="C4476" s="1" t="s">
        <v>47</v>
      </c>
      <c r="D4476" s="1" t="s">
        <v>29</v>
      </c>
      <c r="E4476" s="1" t="s">
        <v>37</v>
      </c>
      <c r="F4476">
        <v>2.4</v>
      </c>
      <c r="G4476">
        <v>3</v>
      </c>
      <c r="H4476" s="1" t="s">
        <v>14</v>
      </c>
      <c r="I4476" s="1" t="s">
        <v>15</v>
      </c>
      <c r="J4476" s="12">
        <v>45956</v>
      </c>
      <c r="K4476">
        <v>0</v>
      </c>
      <c r="L4476" s="1">
        <f t="shared" si="276"/>
        <v>7.1999999999999993</v>
      </c>
      <c r="M4476" s="1" t="str">
        <f t="shared" si="277"/>
        <v/>
      </c>
      <c r="N4476" s="2">
        <f t="shared" si="278"/>
        <v>45931</v>
      </c>
      <c r="O4476" t="str">
        <f t="shared" si="279"/>
        <v>mačka</v>
      </c>
    </row>
    <row r="4477" spans="1:15" hidden="1" x14ac:dyDescent="0.25">
      <c r="A4477">
        <v>11964</v>
      </c>
      <c r="B4477" s="11">
        <v>4026677889902</v>
      </c>
      <c r="C4477" s="1" t="s">
        <v>52</v>
      </c>
      <c r="D4477" s="1" t="s">
        <v>53</v>
      </c>
      <c r="E4477" s="1" t="s">
        <v>54</v>
      </c>
      <c r="F4477">
        <v>7.6</v>
      </c>
      <c r="G4477">
        <v>1</v>
      </c>
      <c r="H4477" s="1" t="s">
        <v>14</v>
      </c>
      <c r="I4477" s="1" t="s">
        <v>15</v>
      </c>
      <c r="J4477" s="12">
        <v>45956</v>
      </c>
      <c r="K4477">
        <v>0</v>
      </c>
      <c r="L4477" s="1">
        <f t="shared" si="276"/>
        <v>7.6</v>
      </c>
      <c r="M4477" s="1" t="str">
        <f t="shared" si="277"/>
        <v/>
      </c>
      <c r="N4477" s="2">
        <f t="shared" si="278"/>
        <v>45931</v>
      </c>
      <c r="O4477" t="str">
        <f t="shared" si="279"/>
        <v>iné</v>
      </c>
    </row>
    <row r="4478" spans="1:15" hidden="1" x14ac:dyDescent="0.25">
      <c r="A4478">
        <v>11965</v>
      </c>
      <c r="B4478" s="11">
        <v>4029900112244</v>
      </c>
      <c r="C4478" s="1" t="s">
        <v>655</v>
      </c>
      <c r="D4478" s="1" t="s">
        <v>36</v>
      </c>
      <c r="E4478" s="1" t="s">
        <v>37</v>
      </c>
      <c r="F4478">
        <v>13.6</v>
      </c>
      <c r="G4478">
        <v>1</v>
      </c>
      <c r="H4478" s="1" t="s">
        <v>14</v>
      </c>
      <c r="I4478" s="1" t="s">
        <v>15</v>
      </c>
      <c r="J4478" s="12">
        <v>45957</v>
      </c>
      <c r="K4478">
        <v>0</v>
      </c>
      <c r="L4478" s="1">
        <f t="shared" si="276"/>
        <v>13.6</v>
      </c>
      <c r="M4478" s="1" t="str">
        <f t="shared" si="277"/>
        <v/>
      </c>
      <c r="N4478" s="2">
        <f t="shared" si="278"/>
        <v>45931</v>
      </c>
      <c r="O4478" t="str">
        <f t="shared" si="279"/>
        <v>mačka</v>
      </c>
    </row>
    <row r="4479" spans="1:15" x14ac:dyDescent="0.25">
      <c r="A4479">
        <v>11966</v>
      </c>
      <c r="B4479" s="11">
        <v>4063456789014</v>
      </c>
      <c r="C4479" s="1" t="s">
        <v>60</v>
      </c>
      <c r="D4479" s="1" t="s">
        <v>12</v>
      </c>
      <c r="E4479" s="1" t="s">
        <v>61</v>
      </c>
      <c r="F4479">
        <v>36</v>
      </c>
      <c r="G4479">
        <v>1</v>
      </c>
      <c r="H4479" s="1" t="s">
        <v>18</v>
      </c>
      <c r="I4479" s="1" t="s">
        <v>936</v>
      </c>
      <c r="J4479" s="12">
        <v>45957</v>
      </c>
      <c r="K4479">
        <v>0</v>
      </c>
      <c r="L4479" s="1">
        <f t="shared" si="276"/>
        <v>36</v>
      </c>
      <c r="M4479" s="1">
        <f t="shared" si="277"/>
        <v>4</v>
      </c>
      <c r="N4479" s="2">
        <f t="shared" si="278"/>
        <v>45931</v>
      </c>
      <c r="O4479" t="str">
        <f t="shared" si="279"/>
        <v>pes</v>
      </c>
    </row>
    <row r="4480" spans="1:15" x14ac:dyDescent="0.25">
      <c r="A4480">
        <v>11967</v>
      </c>
      <c r="B4480" s="11">
        <v>4013456789017</v>
      </c>
      <c r="C4480" s="1" t="s">
        <v>11</v>
      </c>
      <c r="D4480" s="1" t="s">
        <v>12</v>
      </c>
      <c r="E4480" s="1" t="s">
        <v>13</v>
      </c>
      <c r="F4480">
        <v>6</v>
      </c>
      <c r="G4480">
        <v>2</v>
      </c>
      <c r="H4480" s="1" t="s">
        <v>14</v>
      </c>
      <c r="I4480" s="1" t="s">
        <v>15</v>
      </c>
      <c r="J4480" s="12">
        <v>45957</v>
      </c>
      <c r="K4480">
        <v>0</v>
      </c>
      <c r="L4480" s="1">
        <f t="shared" si="276"/>
        <v>12</v>
      </c>
      <c r="M4480" s="1" t="str">
        <f t="shared" si="277"/>
        <v/>
      </c>
      <c r="N4480" s="2">
        <f t="shared" si="278"/>
        <v>45931</v>
      </c>
      <c r="O4480" t="str">
        <f t="shared" si="279"/>
        <v>pes</v>
      </c>
    </row>
    <row r="4481" spans="1:15" x14ac:dyDescent="0.25">
      <c r="A4481">
        <v>11968</v>
      </c>
      <c r="B4481" s="11">
        <v>4028899001126</v>
      </c>
      <c r="C4481" s="1" t="s">
        <v>16</v>
      </c>
      <c r="D4481" s="1" t="s">
        <v>12</v>
      </c>
      <c r="E4481" s="1" t="s">
        <v>17</v>
      </c>
      <c r="F4481">
        <v>2.8</v>
      </c>
      <c r="G4481">
        <v>2</v>
      </c>
      <c r="H4481" s="1" t="s">
        <v>14</v>
      </c>
      <c r="I4481" s="1" t="s">
        <v>15</v>
      </c>
      <c r="J4481" s="12">
        <v>45957</v>
      </c>
      <c r="K4481">
        <v>0</v>
      </c>
      <c r="L4481" s="1">
        <f t="shared" si="276"/>
        <v>5.6</v>
      </c>
      <c r="M4481" s="1" t="str">
        <f t="shared" si="277"/>
        <v/>
      </c>
      <c r="N4481" s="2">
        <f t="shared" si="278"/>
        <v>45931</v>
      </c>
      <c r="O4481" t="str">
        <f t="shared" si="279"/>
        <v>pes</v>
      </c>
    </row>
    <row r="4482" spans="1:15" hidden="1" x14ac:dyDescent="0.25">
      <c r="A4482">
        <v>11969</v>
      </c>
      <c r="B4482" s="11">
        <v>4019876501234</v>
      </c>
      <c r="C4482" s="1" t="s">
        <v>674</v>
      </c>
      <c r="D4482" s="1" t="s">
        <v>29</v>
      </c>
      <c r="E4482" s="1" t="s">
        <v>37</v>
      </c>
      <c r="F4482">
        <v>1.84</v>
      </c>
      <c r="G4482">
        <v>4</v>
      </c>
      <c r="H4482" s="1" t="s">
        <v>14</v>
      </c>
      <c r="I4482" s="1" t="s">
        <v>15</v>
      </c>
      <c r="J4482" s="12">
        <v>45957</v>
      </c>
      <c r="K4482">
        <v>0</v>
      </c>
      <c r="L4482" s="1">
        <f t="shared" ref="L4482:L4545" si="280">F4482*G4482</f>
        <v>7.36</v>
      </c>
      <c r="M4482" s="1" t="str">
        <f t="shared" ref="M4482:M4545" si="281">IF(H4482="NULL", "",VALUE(H4482))</f>
        <v/>
      </c>
      <c r="N4482" s="2">
        <f t="shared" ref="N4482:N4545" si="282">DATE(YEAR(J4482),MONTH(J4482),1)</f>
        <v>45931</v>
      </c>
      <c r="O4482" t="str">
        <f t="shared" ref="O4482:O4545" si="283">IF(ISNUMBER(SEARCH("Mačky",D4482)),"mačka",IF(ISNUMBER(SEARCH("Psy",D4482)),"pes","iné"))</f>
        <v>mačka</v>
      </c>
    </row>
    <row r="4483" spans="1:15" x14ac:dyDescent="0.25">
      <c r="A4483">
        <v>11970</v>
      </c>
      <c r="B4483" s="11">
        <v>4040123456795</v>
      </c>
      <c r="C4483" s="1" t="s">
        <v>20</v>
      </c>
      <c r="D4483" s="1" t="s">
        <v>21</v>
      </c>
      <c r="E4483" s="1" t="s">
        <v>22</v>
      </c>
      <c r="F4483">
        <v>8.8000000000000007</v>
      </c>
      <c r="G4483">
        <v>1</v>
      </c>
      <c r="H4483" s="1" t="s">
        <v>23</v>
      </c>
      <c r="I4483" s="1" t="s">
        <v>937</v>
      </c>
      <c r="J4483" s="12">
        <v>45957</v>
      </c>
      <c r="K4483">
        <v>0</v>
      </c>
      <c r="L4483" s="1">
        <f t="shared" si="280"/>
        <v>8.8000000000000007</v>
      </c>
      <c r="M4483" s="1">
        <f t="shared" si="281"/>
        <v>5</v>
      </c>
      <c r="N4483" s="2">
        <f t="shared" si="282"/>
        <v>45931</v>
      </c>
      <c r="O4483" t="str">
        <f t="shared" si="283"/>
        <v>pes</v>
      </c>
    </row>
    <row r="4484" spans="1:15" hidden="1" x14ac:dyDescent="0.25">
      <c r="A4484">
        <v>11971</v>
      </c>
      <c r="B4484" s="11">
        <v>4069012345682</v>
      </c>
      <c r="C4484" s="1" t="s">
        <v>143</v>
      </c>
      <c r="D4484" s="1" t="s">
        <v>144</v>
      </c>
      <c r="E4484" s="1" t="s">
        <v>30</v>
      </c>
      <c r="F4484">
        <v>26</v>
      </c>
      <c r="G4484">
        <v>1</v>
      </c>
      <c r="H4484" s="1" t="s">
        <v>23</v>
      </c>
      <c r="I4484" s="1" t="s">
        <v>938</v>
      </c>
      <c r="J4484" s="12">
        <v>45957</v>
      </c>
      <c r="K4484">
        <v>0</v>
      </c>
      <c r="L4484" s="1">
        <f t="shared" si="280"/>
        <v>26</v>
      </c>
      <c r="M4484" s="1">
        <f t="shared" si="281"/>
        <v>5</v>
      </c>
      <c r="N4484" s="2">
        <f t="shared" si="282"/>
        <v>45931</v>
      </c>
      <c r="O4484" t="str">
        <f t="shared" si="283"/>
        <v>mačka</v>
      </c>
    </row>
    <row r="4485" spans="1:15" hidden="1" x14ac:dyDescent="0.25">
      <c r="A4485">
        <v>11972</v>
      </c>
      <c r="B4485" s="11">
        <v>4026677889902</v>
      </c>
      <c r="C4485" s="1" t="s">
        <v>52</v>
      </c>
      <c r="D4485" s="1" t="s">
        <v>53</v>
      </c>
      <c r="E4485" s="1" t="s">
        <v>54</v>
      </c>
      <c r="F4485">
        <v>7.6</v>
      </c>
      <c r="G4485">
        <v>1</v>
      </c>
      <c r="H4485" s="1" t="s">
        <v>14</v>
      </c>
      <c r="I4485" s="1" t="s">
        <v>15</v>
      </c>
      <c r="J4485" s="12">
        <v>45957</v>
      </c>
      <c r="K4485">
        <v>0</v>
      </c>
      <c r="L4485" s="1">
        <f t="shared" si="280"/>
        <v>7.6</v>
      </c>
      <c r="M4485" s="1" t="str">
        <f t="shared" si="281"/>
        <v/>
      </c>
      <c r="N4485" s="2">
        <f t="shared" si="282"/>
        <v>45931</v>
      </c>
      <c r="O4485" t="str">
        <f t="shared" si="283"/>
        <v>iné</v>
      </c>
    </row>
    <row r="4486" spans="1:15" x14ac:dyDescent="0.25">
      <c r="A4486">
        <v>11973</v>
      </c>
      <c r="B4486" s="11">
        <v>4028899001126</v>
      </c>
      <c r="C4486" s="1" t="s">
        <v>16</v>
      </c>
      <c r="D4486" s="1" t="s">
        <v>12</v>
      </c>
      <c r="E4486" s="1" t="s">
        <v>17</v>
      </c>
      <c r="F4486">
        <v>2.8</v>
      </c>
      <c r="G4486">
        <v>3</v>
      </c>
      <c r="H4486" s="1" t="s">
        <v>23</v>
      </c>
      <c r="I4486" s="1" t="s">
        <v>939</v>
      </c>
      <c r="J4486" s="12">
        <v>45957</v>
      </c>
      <c r="K4486">
        <v>0</v>
      </c>
      <c r="L4486" s="1">
        <f t="shared" si="280"/>
        <v>8.3999999999999986</v>
      </c>
      <c r="M4486" s="1">
        <f t="shared" si="281"/>
        <v>5</v>
      </c>
      <c r="N4486" s="2">
        <f t="shared" si="282"/>
        <v>45931</v>
      </c>
      <c r="O4486" t="str">
        <f t="shared" si="283"/>
        <v>pes</v>
      </c>
    </row>
    <row r="4487" spans="1:15" x14ac:dyDescent="0.25">
      <c r="A4487">
        <v>11974</v>
      </c>
      <c r="B4487" s="11">
        <v>4013456789017</v>
      </c>
      <c r="C4487" s="1" t="s">
        <v>11</v>
      </c>
      <c r="D4487" s="1" t="s">
        <v>12</v>
      </c>
      <c r="E4487" s="1" t="s">
        <v>13</v>
      </c>
      <c r="F4487">
        <v>6</v>
      </c>
      <c r="G4487">
        <v>2</v>
      </c>
      <c r="H4487" s="1" t="s">
        <v>14</v>
      </c>
      <c r="I4487" s="1" t="s">
        <v>15</v>
      </c>
      <c r="J4487" s="12">
        <v>45957</v>
      </c>
      <c r="K4487">
        <v>0</v>
      </c>
      <c r="L4487" s="1">
        <f t="shared" si="280"/>
        <v>12</v>
      </c>
      <c r="M4487" s="1" t="str">
        <f t="shared" si="281"/>
        <v/>
      </c>
      <c r="N4487" s="2">
        <f t="shared" si="282"/>
        <v>45931</v>
      </c>
      <c r="O4487" t="str">
        <f t="shared" si="283"/>
        <v>pes</v>
      </c>
    </row>
    <row r="4488" spans="1:15" x14ac:dyDescent="0.25">
      <c r="A4488">
        <v>11975</v>
      </c>
      <c r="B4488" s="11">
        <v>4040123456795</v>
      </c>
      <c r="C4488" s="1" t="s">
        <v>20</v>
      </c>
      <c r="D4488" s="1" t="s">
        <v>21</v>
      </c>
      <c r="E4488" s="1" t="s">
        <v>22</v>
      </c>
      <c r="F4488">
        <v>8.8000000000000007</v>
      </c>
      <c r="G4488">
        <v>1</v>
      </c>
      <c r="H4488" s="1" t="s">
        <v>18</v>
      </c>
      <c r="I4488" s="1" t="s">
        <v>940</v>
      </c>
      <c r="J4488" s="12">
        <v>45957</v>
      </c>
      <c r="K4488">
        <v>0</v>
      </c>
      <c r="L4488" s="1">
        <f t="shared" si="280"/>
        <v>8.8000000000000007</v>
      </c>
      <c r="M4488" s="1">
        <f t="shared" si="281"/>
        <v>4</v>
      </c>
      <c r="N4488" s="2">
        <f t="shared" si="282"/>
        <v>45931</v>
      </c>
      <c r="O4488" t="str">
        <f t="shared" si="283"/>
        <v>pes</v>
      </c>
    </row>
    <row r="4489" spans="1:15" hidden="1" x14ac:dyDescent="0.25">
      <c r="A4489">
        <v>11976</v>
      </c>
      <c r="B4489" s="11">
        <v>4019876501234</v>
      </c>
      <c r="C4489" s="1" t="s">
        <v>674</v>
      </c>
      <c r="D4489" s="1" t="s">
        <v>29</v>
      </c>
      <c r="E4489" s="1" t="s">
        <v>37</v>
      </c>
      <c r="F4489">
        <v>1.84</v>
      </c>
      <c r="G4489">
        <v>5</v>
      </c>
      <c r="H4489" s="1" t="s">
        <v>14</v>
      </c>
      <c r="I4489" s="1" t="s">
        <v>15</v>
      </c>
      <c r="J4489" s="12">
        <v>45957</v>
      </c>
      <c r="K4489">
        <v>0</v>
      </c>
      <c r="L4489" s="1">
        <f t="shared" si="280"/>
        <v>9.2000000000000011</v>
      </c>
      <c r="M4489" s="1" t="str">
        <f t="shared" si="281"/>
        <v/>
      </c>
      <c r="N4489" s="2">
        <f t="shared" si="282"/>
        <v>45931</v>
      </c>
      <c r="O4489" t="str">
        <f t="shared" si="283"/>
        <v>mačka</v>
      </c>
    </row>
    <row r="4490" spans="1:15" x14ac:dyDescent="0.25">
      <c r="A4490">
        <v>11977</v>
      </c>
      <c r="B4490" s="11">
        <v>4063456789014</v>
      </c>
      <c r="C4490" s="1" t="s">
        <v>60</v>
      </c>
      <c r="D4490" s="1" t="s">
        <v>12</v>
      </c>
      <c r="E4490" s="1" t="s">
        <v>61</v>
      </c>
      <c r="F4490">
        <v>36</v>
      </c>
      <c r="G4490">
        <v>1</v>
      </c>
      <c r="H4490" s="1" t="s">
        <v>14</v>
      </c>
      <c r="I4490" s="1" t="s">
        <v>15</v>
      </c>
      <c r="J4490" s="12">
        <v>45957</v>
      </c>
      <c r="K4490">
        <v>0</v>
      </c>
      <c r="L4490" s="1">
        <f t="shared" si="280"/>
        <v>36</v>
      </c>
      <c r="M4490" s="1" t="str">
        <f t="shared" si="281"/>
        <v/>
      </c>
      <c r="N4490" s="2">
        <f t="shared" si="282"/>
        <v>45931</v>
      </c>
      <c r="O4490" t="str">
        <f t="shared" si="283"/>
        <v>pes</v>
      </c>
    </row>
    <row r="4491" spans="1:15" hidden="1" x14ac:dyDescent="0.25">
      <c r="A4491">
        <v>11978</v>
      </c>
      <c r="B4491" s="11">
        <v>4029900112244</v>
      </c>
      <c r="C4491" s="1" t="s">
        <v>655</v>
      </c>
      <c r="D4491" s="1" t="s">
        <v>36</v>
      </c>
      <c r="E4491" s="1" t="s">
        <v>37</v>
      </c>
      <c r="F4491">
        <v>13.6</v>
      </c>
      <c r="G4491">
        <v>1</v>
      </c>
      <c r="H4491" s="1" t="s">
        <v>18</v>
      </c>
      <c r="I4491" s="1" t="s">
        <v>941</v>
      </c>
      <c r="J4491" s="12">
        <v>45957</v>
      </c>
      <c r="K4491">
        <v>0</v>
      </c>
      <c r="L4491" s="1">
        <f t="shared" si="280"/>
        <v>13.6</v>
      </c>
      <c r="M4491" s="1">
        <f t="shared" si="281"/>
        <v>4</v>
      </c>
      <c r="N4491" s="2">
        <f t="shared" si="282"/>
        <v>45931</v>
      </c>
      <c r="O4491" t="str">
        <f t="shared" si="283"/>
        <v>mačka</v>
      </c>
    </row>
    <row r="4492" spans="1:15" hidden="1" x14ac:dyDescent="0.25">
      <c r="A4492">
        <v>11979</v>
      </c>
      <c r="B4492" s="11">
        <v>4026677889902</v>
      </c>
      <c r="C4492" s="1" t="s">
        <v>52</v>
      </c>
      <c r="D4492" s="1" t="s">
        <v>53</v>
      </c>
      <c r="E4492" s="1" t="s">
        <v>54</v>
      </c>
      <c r="F4492">
        <v>7.6</v>
      </c>
      <c r="G4492">
        <v>1</v>
      </c>
      <c r="H4492" s="1" t="s">
        <v>14</v>
      </c>
      <c r="I4492" s="1" t="s">
        <v>15</v>
      </c>
      <c r="J4492" s="12">
        <v>45957</v>
      </c>
      <c r="K4492">
        <v>0</v>
      </c>
      <c r="L4492" s="1">
        <f t="shared" si="280"/>
        <v>7.6</v>
      </c>
      <c r="M4492" s="1" t="str">
        <f t="shared" si="281"/>
        <v/>
      </c>
      <c r="N4492" s="2">
        <f t="shared" si="282"/>
        <v>45931</v>
      </c>
      <c r="O4492" t="str">
        <f t="shared" si="283"/>
        <v>iné</v>
      </c>
    </row>
    <row r="4493" spans="1:15" x14ac:dyDescent="0.25">
      <c r="A4493">
        <v>11980</v>
      </c>
      <c r="B4493" s="11">
        <v>4027788990013</v>
      </c>
      <c r="C4493" s="1" t="s">
        <v>43</v>
      </c>
      <c r="D4493" s="1" t="s">
        <v>21</v>
      </c>
      <c r="E4493" s="1" t="s">
        <v>22</v>
      </c>
      <c r="F4493">
        <v>8</v>
      </c>
      <c r="G4493">
        <v>1</v>
      </c>
      <c r="H4493" s="1" t="s">
        <v>14</v>
      </c>
      <c r="I4493" s="1" t="s">
        <v>15</v>
      </c>
      <c r="J4493" s="12">
        <v>45957</v>
      </c>
      <c r="K4493">
        <v>0</v>
      </c>
      <c r="L4493" s="1">
        <f t="shared" si="280"/>
        <v>8</v>
      </c>
      <c r="M4493" s="1" t="str">
        <f t="shared" si="281"/>
        <v/>
      </c>
      <c r="N4493" s="2">
        <f t="shared" si="282"/>
        <v>45931</v>
      </c>
      <c r="O4493" t="str">
        <f t="shared" si="283"/>
        <v>pes</v>
      </c>
    </row>
    <row r="4494" spans="1:15" x14ac:dyDescent="0.25">
      <c r="A4494">
        <v>11981</v>
      </c>
      <c r="B4494" s="11">
        <v>4017890123450</v>
      </c>
      <c r="C4494" s="1" t="s">
        <v>65</v>
      </c>
      <c r="D4494" s="1" t="s">
        <v>39</v>
      </c>
      <c r="E4494" s="1" t="s">
        <v>22</v>
      </c>
      <c r="F4494">
        <v>7.6</v>
      </c>
      <c r="G4494">
        <v>1</v>
      </c>
      <c r="H4494" s="1" t="s">
        <v>23</v>
      </c>
      <c r="I4494" s="1" t="s">
        <v>942</v>
      </c>
      <c r="J4494" s="12">
        <v>45958</v>
      </c>
      <c r="K4494">
        <v>0</v>
      </c>
      <c r="L4494" s="1">
        <f t="shared" si="280"/>
        <v>7.6</v>
      </c>
      <c r="M4494" s="1">
        <f t="shared" si="281"/>
        <v>5</v>
      </c>
      <c r="N4494" s="2">
        <f t="shared" si="282"/>
        <v>45931</v>
      </c>
      <c r="O4494" t="str">
        <f t="shared" si="283"/>
        <v>pes</v>
      </c>
    </row>
    <row r="4495" spans="1:15" hidden="1" x14ac:dyDescent="0.25">
      <c r="A4495">
        <v>11982</v>
      </c>
      <c r="B4495" s="11">
        <v>4056789012345</v>
      </c>
      <c r="C4495" s="1" t="s">
        <v>47</v>
      </c>
      <c r="D4495" s="1" t="s">
        <v>29</v>
      </c>
      <c r="E4495" s="1" t="s">
        <v>37</v>
      </c>
      <c r="F4495">
        <v>2.4</v>
      </c>
      <c r="G4495">
        <v>3</v>
      </c>
      <c r="H4495" s="1" t="s">
        <v>14</v>
      </c>
      <c r="I4495" s="1" t="s">
        <v>15</v>
      </c>
      <c r="J4495" s="12">
        <v>45958</v>
      </c>
      <c r="K4495">
        <v>0</v>
      </c>
      <c r="L4495" s="1">
        <f t="shared" si="280"/>
        <v>7.1999999999999993</v>
      </c>
      <c r="M4495" s="1" t="str">
        <f t="shared" si="281"/>
        <v/>
      </c>
      <c r="N4495" s="2">
        <f t="shared" si="282"/>
        <v>45931</v>
      </c>
      <c r="O4495" t="str">
        <f t="shared" si="283"/>
        <v>mačka</v>
      </c>
    </row>
    <row r="4496" spans="1:15" x14ac:dyDescent="0.25">
      <c r="A4496">
        <v>11983</v>
      </c>
      <c r="B4496" s="11">
        <v>4028899001126</v>
      </c>
      <c r="C4496" s="1" t="s">
        <v>16</v>
      </c>
      <c r="D4496" s="1" t="s">
        <v>12</v>
      </c>
      <c r="E4496" s="1" t="s">
        <v>17</v>
      </c>
      <c r="F4496">
        <v>2.8</v>
      </c>
      <c r="G4496">
        <v>2</v>
      </c>
      <c r="H4496" s="1" t="s">
        <v>14</v>
      </c>
      <c r="I4496" s="1" t="s">
        <v>15</v>
      </c>
      <c r="J4496" s="12">
        <v>45958</v>
      </c>
      <c r="K4496">
        <v>0</v>
      </c>
      <c r="L4496" s="1">
        <f t="shared" si="280"/>
        <v>5.6</v>
      </c>
      <c r="M4496" s="1" t="str">
        <f t="shared" si="281"/>
        <v/>
      </c>
      <c r="N4496" s="2">
        <f t="shared" si="282"/>
        <v>45931</v>
      </c>
      <c r="O4496" t="str">
        <f t="shared" si="283"/>
        <v>pes</v>
      </c>
    </row>
    <row r="4497" spans="1:15" x14ac:dyDescent="0.25">
      <c r="A4497">
        <v>11984</v>
      </c>
      <c r="B4497" s="11">
        <v>4013456789017</v>
      </c>
      <c r="C4497" s="1" t="s">
        <v>11</v>
      </c>
      <c r="D4497" s="1" t="s">
        <v>12</v>
      </c>
      <c r="E4497" s="1" t="s">
        <v>13</v>
      </c>
      <c r="F4497">
        <v>6</v>
      </c>
      <c r="G4497">
        <v>2</v>
      </c>
      <c r="H4497" s="1" t="s">
        <v>14</v>
      </c>
      <c r="I4497" s="1" t="s">
        <v>15</v>
      </c>
      <c r="J4497" s="12">
        <v>45958</v>
      </c>
      <c r="K4497">
        <v>0</v>
      </c>
      <c r="L4497" s="1">
        <f t="shared" si="280"/>
        <v>12</v>
      </c>
      <c r="M4497" s="1" t="str">
        <f t="shared" si="281"/>
        <v/>
      </c>
      <c r="N4497" s="2">
        <f t="shared" si="282"/>
        <v>45931</v>
      </c>
      <c r="O4497" t="str">
        <f t="shared" si="283"/>
        <v>pes</v>
      </c>
    </row>
    <row r="4498" spans="1:15" x14ac:dyDescent="0.25">
      <c r="A4498">
        <v>11985</v>
      </c>
      <c r="B4498" s="11">
        <v>4040123456795</v>
      </c>
      <c r="C4498" s="1" t="s">
        <v>20</v>
      </c>
      <c r="D4498" s="1" t="s">
        <v>21</v>
      </c>
      <c r="E4498" s="1" t="s">
        <v>22</v>
      </c>
      <c r="F4498">
        <v>8.8000000000000007</v>
      </c>
      <c r="G4498">
        <v>1</v>
      </c>
      <c r="H4498" s="1" t="s">
        <v>14</v>
      </c>
      <c r="I4498" s="1" t="s">
        <v>15</v>
      </c>
      <c r="J4498" s="12">
        <v>45958</v>
      </c>
      <c r="K4498">
        <v>0</v>
      </c>
      <c r="L4498" s="1">
        <f t="shared" si="280"/>
        <v>8.8000000000000007</v>
      </c>
      <c r="M4498" s="1" t="str">
        <f t="shared" si="281"/>
        <v/>
      </c>
      <c r="N4498" s="2">
        <f t="shared" si="282"/>
        <v>45931</v>
      </c>
      <c r="O4498" t="str">
        <f t="shared" si="283"/>
        <v>pes</v>
      </c>
    </row>
    <row r="4499" spans="1:15" hidden="1" x14ac:dyDescent="0.25">
      <c r="A4499">
        <v>11986</v>
      </c>
      <c r="B4499" s="11">
        <v>4019876501234</v>
      </c>
      <c r="C4499" s="1" t="s">
        <v>674</v>
      </c>
      <c r="D4499" s="1" t="s">
        <v>29</v>
      </c>
      <c r="E4499" s="1" t="s">
        <v>37</v>
      </c>
      <c r="F4499">
        <v>1.84</v>
      </c>
      <c r="G4499">
        <v>4</v>
      </c>
      <c r="H4499" s="1" t="s">
        <v>23</v>
      </c>
      <c r="I4499" s="1" t="s">
        <v>943</v>
      </c>
      <c r="J4499" s="12">
        <v>45958</v>
      </c>
      <c r="K4499">
        <v>0</v>
      </c>
      <c r="L4499" s="1">
        <f t="shared" si="280"/>
        <v>7.36</v>
      </c>
      <c r="M4499" s="1">
        <f t="shared" si="281"/>
        <v>5</v>
      </c>
      <c r="N4499" s="2">
        <f t="shared" si="282"/>
        <v>45931</v>
      </c>
      <c r="O4499" t="str">
        <f t="shared" si="283"/>
        <v>mačka</v>
      </c>
    </row>
    <row r="4500" spans="1:15" x14ac:dyDescent="0.25">
      <c r="A4500">
        <v>11987</v>
      </c>
      <c r="B4500" s="11">
        <v>4063456789014</v>
      </c>
      <c r="C4500" s="1" t="s">
        <v>60</v>
      </c>
      <c r="D4500" s="1" t="s">
        <v>12</v>
      </c>
      <c r="E4500" s="1" t="s">
        <v>61</v>
      </c>
      <c r="F4500">
        <v>36</v>
      </c>
      <c r="G4500">
        <v>1</v>
      </c>
      <c r="H4500" s="1" t="s">
        <v>14</v>
      </c>
      <c r="I4500" s="1" t="s">
        <v>15</v>
      </c>
      <c r="J4500" s="12">
        <v>45958</v>
      </c>
      <c r="K4500">
        <v>0</v>
      </c>
      <c r="L4500" s="1">
        <f t="shared" si="280"/>
        <v>36</v>
      </c>
      <c r="M4500" s="1" t="str">
        <f t="shared" si="281"/>
        <v/>
      </c>
      <c r="N4500" s="2">
        <f t="shared" si="282"/>
        <v>45931</v>
      </c>
      <c r="O4500" t="str">
        <f t="shared" si="283"/>
        <v>pes</v>
      </c>
    </row>
    <row r="4501" spans="1:15" hidden="1" x14ac:dyDescent="0.25">
      <c r="A4501">
        <v>11988</v>
      </c>
      <c r="B4501" s="11">
        <v>4029900112244</v>
      </c>
      <c r="C4501" s="1" t="s">
        <v>655</v>
      </c>
      <c r="D4501" s="1" t="s">
        <v>36</v>
      </c>
      <c r="E4501" s="1" t="s">
        <v>37</v>
      </c>
      <c r="F4501">
        <v>13.6</v>
      </c>
      <c r="G4501">
        <v>1</v>
      </c>
      <c r="H4501" s="1" t="s">
        <v>14</v>
      </c>
      <c r="I4501" s="1" t="s">
        <v>15</v>
      </c>
      <c r="J4501" s="12">
        <v>45958</v>
      </c>
      <c r="K4501">
        <v>0</v>
      </c>
      <c r="L4501" s="1">
        <f t="shared" si="280"/>
        <v>13.6</v>
      </c>
      <c r="M4501" s="1" t="str">
        <f t="shared" si="281"/>
        <v/>
      </c>
      <c r="N4501" s="2">
        <f t="shared" si="282"/>
        <v>45931</v>
      </c>
      <c r="O4501" t="str">
        <f t="shared" si="283"/>
        <v>mačka</v>
      </c>
    </row>
    <row r="4502" spans="1:15" hidden="1" x14ac:dyDescent="0.25">
      <c r="A4502">
        <v>11989</v>
      </c>
      <c r="B4502" s="11">
        <v>4026677889902</v>
      </c>
      <c r="C4502" s="1" t="s">
        <v>52</v>
      </c>
      <c r="D4502" s="1" t="s">
        <v>53</v>
      </c>
      <c r="E4502" s="1" t="s">
        <v>54</v>
      </c>
      <c r="F4502">
        <v>7.6</v>
      </c>
      <c r="G4502">
        <v>1</v>
      </c>
      <c r="H4502" s="1" t="s">
        <v>14</v>
      </c>
      <c r="I4502" s="1" t="s">
        <v>15</v>
      </c>
      <c r="J4502" s="12">
        <v>45958</v>
      </c>
      <c r="K4502">
        <v>0</v>
      </c>
      <c r="L4502" s="1">
        <f t="shared" si="280"/>
        <v>7.6</v>
      </c>
      <c r="M4502" s="1" t="str">
        <f t="shared" si="281"/>
        <v/>
      </c>
      <c r="N4502" s="2">
        <f t="shared" si="282"/>
        <v>45931</v>
      </c>
      <c r="O4502" t="str">
        <f t="shared" si="283"/>
        <v>iné</v>
      </c>
    </row>
    <row r="4503" spans="1:15" x14ac:dyDescent="0.25">
      <c r="A4503">
        <v>11990</v>
      </c>
      <c r="B4503" s="11">
        <v>4027788990013</v>
      </c>
      <c r="C4503" s="1" t="s">
        <v>43</v>
      </c>
      <c r="D4503" s="1" t="s">
        <v>21</v>
      </c>
      <c r="E4503" s="1" t="s">
        <v>22</v>
      </c>
      <c r="F4503">
        <v>8</v>
      </c>
      <c r="G4503">
        <v>1</v>
      </c>
      <c r="H4503" s="1" t="s">
        <v>14</v>
      </c>
      <c r="I4503" s="1" t="s">
        <v>15</v>
      </c>
      <c r="J4503" s="12">
        <v>45958</v>
      </c>
      <c r="K4503">
        <v>0</v>
      </c>
      <c r="L4503" s="1">
        <f t="shared" si="280"/>
        <v>8</v>
      </c>
      <c r="M4503" s="1" t="str">
        <f t="shared" si="281"/>
        <v/>
      </c>
      <c r="N4503" s="2">
        <f t="shared" si="282"/>
        <v>45931</v>
      </c>
      <c r="O4503" t="str">
        <f t="shared" si="283"/>
        <v>pes</v>
      </c>
    </row>
    <row r="4504" spans="1:15" x14ac:dyDescent="0.25">
      <c r="A4504">
        <v>11991</v>
      </c>
      <c r="B4504" s="11">
        <v>4017890123450</v>
      </c>
      <c r="C4504" s="1" t="s">
        <v>65</v>
      </c>
      <c r="D4504" s="1" t="s">
        <v>39</v>
      </c>
      <c r="E4504" s="1" t="s">
        <v>22</v>
      </c>
      <c r="F4504">
        <v>7.6</v>
      </c>
      <c r="G4504">
        <v>1</v>
      </c>
      <c r="H4504" s="1" t="s">
        <v>18</v>
      </c>
      <c r="I4504" s="1" t="s">
        <v>944</v>
      </c>
      <c r="J4504" s="12">
        <v>45958</v>
      </c>
      <c r="K4504">
        <v>0</v>
      </c>
      <c r="L4504" s="1">
        <f t="shared" si="280"/>
        <v>7.6</v>
      </c>
      <c r="M4504" s="1">
        <f t="shared" si="281"/>
        <v>4</v>
      </c>
      <c r="N4504" s="2">
        <f t="shared" si="282"/>
        <v>45931</v>
      </c>
      <c r="O4504" t="str">
        <f t="shared" si="283"/>
        <v>pes</v>
      </c>
    </row>
    <row r="4505" spans="1:15" hidden="1" x14ac:dyDescent="0.25">
      <c r="A4505">
        <v>11992</v>
      </c>
      <c r="B4505" s="11">
        <v>4056789012345</v>
      </c>
      <c r="C4505" s="1" t="s">
        <v>47</v>
      </c>
      <c r="D4505" s="1" t="s">
        <v>29</v>
      </c>
      <c r="E4505" s="1" t="s">
        <v>37</v>
      </c>
      <c r="F4505">
        <v>2.4</v>
      </c>
      <c r="G4505">
        <v>3</v>
      </c>
      <c r="H4505" s="1" t="s">
        <v>14</v>
      </c>
      <c r="I4505" s="1" t="s">
        <v>15</v>
      </c>
      <c r="J4505" s="12">
        <v>45958</v>
      </c>
      <c r="K4505">
        <v>0</v>
      </c>
      <c r="L4505" s="1">
        <f t="shared" si="280"/>
        <v>7.1999999999999993</v>
      </c>
      <c r="M4505" s="1" t="str">
        <f t="shared" si="281"/>
        <v/>
      </c>
      <c r="N4505" s="2">
        <f t="shared" si="282"/>
        <v>45931</v>
      </c>
      <c r="O4505" t="str">
        <f t="shared" si="283"/>
        <v>mačka</v>
      </c>
    </row>
    <row r="4506" spans="1:15" x14ac:dyDescent="0.25">
      <c r="A4506">
        <v>11993</v>
      </c>
      <c r="B4506" s="11">
        <v>4028899001126</v>
      </c>
      <c r="C4506" s="1" t="s">
        <v>16</v>
      </c>
      <c r="D4506" s="1" t="s">
        <v>12</v>
      </c>
      <c r="E4506" s="1" t="s">
        <v>17</v>
      </c>
      <c r="F4506">
        <v>2.8</v>
      </c>
      <c r="G4506">
        <v>2</v>
      </c>
      <c r="H4506" s="1" t="s">
        <v>23</v>
      </c>
      <c r="I4506" s="1" t="s">
        <v>945</v>
      </c>
      <c r="J4506" s="12">
        <v>45958</v>
      </c>
      <c r="K4506">
        <v>0</v>
      </c>
      <c r="L4506" s="1">
        <f t="shared" si="280"/>
        <v>5.6</v>
      </c>
      <c r="M4506" s="1">
        <f t="shared" si="281"/>
        <v>5</v>
      </c>
      <c r="N4506" s="2">
        <f t="shared" si="282"/>
        <v>45931</v>
      </c>
      <c r="O4506" t="str">
        <f t="shared" si="283"/>
        <v>pes</v>
      </c>
    </row>
    <row r="4507" spans="1:15" x14ac:dyDescent="0.25">
      <c r="A4507">
        <v>11994</v>
      </c>
      <c r="B4507" s="11">
        <v>4013456789017</v>
      </c>
      <c r="C4507" s="1" t="s">
        <v>11</v>
      </c>
      <c r="D4507" s="1" t="s">
        <v>12</v>
      </c>
      <c r="E4507" s="1" t="s">
        <v>13</v>
      </c>
      <c r="F4507">
        <v>6</v>
      </c>
      <c r="G4507">
        <v>1</v>
      </c>
      <c r="H4507" s="1" t="s">
        <v>14</v>
      </c>
      <c r="I4507" s="1" t="s">
        <v>15</v>
      </c>
      <c r="J4507" s="12">
        <v>45958</v>
      </c>
      <c r="K4507">
        <v>0</v>
      </c>
      <c r="L4507" s="1">
        <f t="shared" si="280"/>
        <v>6</v>
      </c>
      <c r="M4507" s="1" t="str">
        <f t="shared" si="281"/>
        <v/>
      </c>
      <c r="N4507" s="2">
        <f t="shared" si="282"/>
        <v>45931</v>
      </c>
      <c r="O4507" t="str">
        <f t="shared" si="283"/>
        <v>pes</v>
      </c>
    </row>
    <row r="4508" spans="1:15" x14ac:dyDescent="0.25">
      <c r="A4508">
        <v>11995</v>
      </c>
      <c r="B4508" s="11">
        <v>4040123456795</v>
      </c>
      <c r="C4508" s="1" t="s">
        <v>20</v>
      </c>
      <c r="D4508" s="1" t="s">
        <v>21</v>
      </c>
      <c r="E4508" s="1" t="s">
        <v>22</v>
      </c>
      <c r="F4508">
        <v>8.8000000000000007</v>
      </c>
      <c r="G4508">
        <v>1</v>
      </c>
      <c r="H4508" s="1" t="s">
        <v>14</v>
      </c>
      <c r="I4508" s="1" t="s">
        <v>15</v>
      </c>
      <c r="J4508" s="12">
        <v>45959</v>
      </c>
      <c r="K4508">
        <v>0</v>
      </c>
      <c r="L4508" s="1">
        <f t="shared" si="280"/>
        <v>8.8000000000000007</v>
      </c>
      <c r="M4508" s="1" t="str">
        <f t="shared" si="281"/>
        <v/>
      </c>
      <c r="N4508" s="2">
        <f t="shared" si="282"/>
        <v>45931</v>
      </c>
      <c r="O4508" t="str">
        <f t="shared" si="283"/>
        <v>pes</v>
      </c>
    </row>
    <row r="4509" spans="1:15" x14ac:dyDescent="0.25">
      <c r="A4509">
        <v>11996</v>
      </c>
      <c r="B4509" s="11">
        <v>4063456789014</v>
      </c>
      <c r="C4509" s="1" t="s">
        <v>60</v>
      </c>
      <c r="D4509" s="1" t="s">
        <v>12</v>
      </c>
      <c r="E4509" s="1" t="s">
        <v>61</v>
      </c>
      <c r="F4509">
        <v>36</v>
      </c>
      <c r="G4509">
        <v>1</v>
      </c>
      <c r="H4509" s="1" t="s">
        <v>18</v>
      </c>
      <c r="I4509" s="1" t="s">
        <v>946</v>
      </c>
      <c r="J4509" s="12">
        <v>45959</v>
      </c>
      <c r="K4509">
        <v>0</v>
      </c>
      <c r="L4509" s="1">
        <f t="shared" si="280"/>
        <v>36</v>
      </c>
      <c r="M4509" s="1">
        <f t="shared" si="281"/>
        <v>4</v>
      </c>
      <c r="N4509" s="2">
        <f t="shared" si="282"/>
        <v>45931</v>
      </c>
      <c r="O4509" t="str">
        <f t="shared" si="283"/>
        <v>pes</v>
      </c>
    </row>
    <row r="4510" spans="1:15" hidden="1" x14ac:dyDescent="0.25">
      <c r="A4510">
        <v>11997</v>
      </c>
      <c r="B4510" s="11">
        <v>4019876501234</v>
      </c>
      <c r="C4510" s="1" t="s">
        <v>674</v>
      </c>
      <c r="D4510" s="1" t="s">
        <v>29</v>
      </c>
      <c r="E4510" s="1" t="s">
        <v>37</v>
      </c>
      <c r="F4510">
        <v>1.84</v>
      </c>
      <c r="G4510">
        <v>4</v>
      </c>
      <c r="H4510" s="1" t="s">
        <v>14</v>
      </c>
      <c r="I4510" s="1" t="s">
        <v>15</v>
      </c>
      <c r="J4510" s="12">
        <v>45959</v>
      </c>
      <c r="K4510">
        <v>0</v>
      </c>
      <c r="L4510" s="1">
        <f t="shared" si="280"/>
        <v>7.36</v>
      </c>
      <c r="M4510" s="1" t="str">
        <f t="shared" si="281"/>
        <v/>
      </c>
      <c r="N4510" s="2">
        <f t="shared" si="282"/>
        <v>45931</v>
      </c>
      <c r="O4510" t="str">
        <f t="shared" si="283"/>
        <v>mačka</v>
      </c>
    </row>
    <row r="4511" spans="1:15" hidden="1" x14ac:dyDescent="0.25">
      <c r="A4511">
        <v>11998</v>
      </c>
      <c r="B4511" s="11">
        <v>4029900112244</v>
      </c>
      <c r="C4511" s="1" t="s">
        <v>655</v>
      </c>
      <c r="D4511" s="1" t="s">
        <v>36</v>
      </c>
      <c r="E4511" s="1" t="s">
        <v>37</v>
      </c>
      <c r="F4511">
        <v>13.6</v>
      </c>
      <c r="G4511">
        <v>1</v>
      </c>
      <c r="H4511" s="1" t="s">
        <v>14</v>
      </c>
      <c r="I4511" s="1" t="s">
        <v>15</v>
      </c>
      <c r="J4511" s="12">
        <v>45959</v>
      </c>
      <c r="K4511">
        <v>0</v>
      </c>
      <c r="L4511" s="1">
        <f t="shared" si="280"/>
        <v>13.6</v>
      </c>
      <c r="M4511" s="1" t="str">
        <f t="shared" si="281"/>
        <v/>
      </c>
      <c r="N4511" s="2">
        <f t="shared" si="282"/>
        <v>45931</v>
      </c>
      <c r="O4511" t="str">
        <f t="shared" si="283"/>
        <v>mačka</v>
      </c>
    </row>
    <row r="4512" spans="1:15" hidden="1" x14ac:dyDescent="0.25">
      <c r="A4512">
        <v>11999</v>
      </c>
      <c r="B4512" s="11">
        <v>4026677889902</v>
      </c>
      <c r="C4512" s="1" t="s">
        <v>52</v>
      </c>
      <c r="D4512" s="1" t="s">
        <v>53</v>
      </c>
      <c r="E4512" s="1" t="s">
        <v>54</v>
      </c>
      <c r="F4512">
        <v>7.6</v>
      </c>
      <c r="G4512">
        <v>1</v>
      </c>
      <c r="H4512" s="1" t="s">
        <v>14</v>
      </c>
      <c r="I4512" s="1" t="s">
        <v>15</v>
      </c>
      <c r="J4512" s="12">
        <v>45959</v>
      </c>
      <c r="K4512">
        <v>0</v>
      </c>
      <c r="L4512" s="1">
        <f t="shared" si="280"/>
        <v>7.6</v>
      </c>
      <c r="M4512" s="1" t="str">
        <f t="shared" si="281"/>
        <v/>
      </c>
      <c r="N4512" s="2">
        <f t="shared" si="282"/>
        <v>45931</v>
      </c>
      <c r="O4512" t="str">
        <f t="shared" si="283"/>
        <v>iné</v>
      </c>
    </row>
    <row r="4513" spans="1:15" x14ac:dyDescent="0.25">
      <c r="A4513">
        <v>12000</v>
      </c>
      <c r="B4513" s="11">
        <v>4027788990013</v>
      </c>
      <c r="C4513" s="1" t="s">
        <v>43</v>
      </c>
      <c r="D4513" s="1" t="s">
        <v>21</v>
      </c>
      <c r="E4513" s="1" t="s">
        <v>22</v>
      </c>
      <c r="F4513">
        <v>8</v>
      </c>
      <c r="G4513">
        <v>1</v>
      </c>
      <c r="H4513" s="1" t="s">
        <v>33</v>
      </c>
      <c r="I4513" s="1" t="s">
        <v>947</v>
      </c>
      <c r="J4513" s="12">
        <v>45959</v>
      </c>
      <c r="K4513">
        <v>0</v>
      </c>
      <c r="L4513" s="1">
        <f t="shared" si="280"/>
        <v>8</v>
      </c>
      <c r="M4513" s="1">
        <f t="shared" si="281"/>
        <v>3</v>
      </c>
      <c r="N4513" s="2">
        <f t="shared" si="282"/>
        <v>45931</v>
      </c>
      <c r="O4513" t="str">
        <f t="shared" si="283"/>
        <v>pes</v>
      </c>
    </row>
    <row r="4514" spans="1:15" x14ac:dyDescent="0.25">
      <c r="A4514">
        <v>12001</v>
      </c>
      <c r="B4514" s="11">
        <v>4017890123450</v>
      </c>
      <c r="C4514" s="1" t="s">
        <v>65</v>
      </c>
      <c r="D4514" s="1" t="s">
        <v>39</v>
      </c>
      <c r="E4514" s="1" t="s">
        <v>22</v>
      </c>
      <c r="F4514">
        <v>7.6</v>
      </c>
      <c r="G4514">
        <v>1</v>
      </c>
      <c r="H4514" s="1" t="s">
        <v>14</v>
      </c>
      <c r="I4514" s="1" t="s">
        <v>15</v>
      </c>
      <c r="J4514" s="12">
        <v>45959</v>
      </c>
      <c r="K4514">
        <v>0</v>
      </c>
      <c r="L4514" s="1">
        <f t="shared" si="280"/>
        <v>7.6</v>
      </c>
      <c r="M4514" s="1" t="str">
        <f t="shared" si="281"/>
        <v/>
      </c>
      <c r="N4514" s="2">
        <f t="shared" si="282"/>
        <v>45931</v>
      </c>
      <c r="O4514" t="str">
        <f t="shared" si="283"/>
        <v>pes</v>
      </c>
    </row>
    <row r="4515" spans="1:15" hidden="1" x14ac:dyDescent="0.25">
      <c r="A4515">
        <v>12002</v>
      </c>
      <c r="B4515" s="11">
        <v>4056789012345</v>
      </c>
      <c r="C4515" s="1" t="s">
        <v>47</v>
      </c>
      <c r="D4515" s="1" t="s">
        <v>29</v>
      </c>
      <c r="E4515" s="1" t="s">
        <v>37</v>
      </c>
      <c r="F4515">
        <v>2.4</v>
      </c>
      <c r="G4515">
        <v>3</v>
      </c>
      <c r="H4515" s="1" t="s">
        <v>14</v>
      </c>
      <c r="I4515" s="1" t="s">
        <v>15</v>
      </c>
      <c r="J4515" s="12">
        <v>45959</v>
      </c>
      <c r="K4515">
        <v>0</v>
      </c>
      <c r="L4515" s="1">
        <f t="shared" si="280"/>
        <v>7.1999999999999993</v>
      </c>
      <c r="M4515" s="1" t="str">
        <f t="shared" si="281"/>
        <v/>
      </c>
      <c r="N4515" s="2">
        <f t="shared" si="282"/>
        <v>45931</v>
      </c>
      <c r="O4515" t="str">
        <f t="shared" si="283"/>
        <v>mačka</v>
      </c>
    </row>
    <row r="4516" spans="1:15" x14ac:dyDescent="0.25">
      <c r="A4516">
        <v>12003</v>
      </c>
      <c r="B4516" s="11">
        <v>4028899001126</v>
      </c>
      <c r="C4516" s="1" t="s">
        <v>16</v>
      </c>
      <c r="D4516" s="1" t="s">
        <v>12</v>
      </c>
      <c r="E4516" s="1" t="s">
        <v>17</v>
      </c>
      <c r="F4516">
        <v>2.8</v>
      </c>
      <c r="G4516">
        <v>3</v>
      </c>
      <c r="H4516" s="1" t="s">
        <v>18</v>
      </c>
      <c r="I4516" s="1" t="s">
        <v>948</v>
      </c>
      <c r="J4516" s="12">
        <v>45959</v>
      </c>
      <c r="K4516">
        <v>0</v>
      </c>
      <c r="L4516" s="1">
        <f t="shared" si="280"/>
        <v>8.3999999999999986</v>
      </c>
      <c r="M4516" s="1">
        <f t="shared" si="281"/>
        <v>4</v>
      </c>
      <c r="N4516" s="2">
        <f t="shared" si="282"/>
        <v>45931</v>
      </c>
      <c r="O4516" t="str">
        <f t="shared" si="283"/>
        <v>pes</v>
      </c>
    </row>
    <row r="4517" spans="1:15" x14ac:dyDescent="0.25">
      <c r="A4517">
        <v>12004</v>
      </c>
      <c r="B4517" s="11">
        <v>4013456789017</v>
      </c>
      <c r="C4517" s="1" t="s">
        <v>11</v>
      </c>
      <c r="D4517" s="1" t="s">
        <v>12</v>
      </c>
      <c r="E4517" s="1" t="s">
        <v>13</v>
      </c>
      <c r="F4517">
        <v>6</v>
      </c>
      <c r="G4517">
        <v>1</v>
      </c>
      <c r="H4517" s="1" t="s">
        <v>14</v>
      </c>
      <c r="I4517" s="1" t="s">
        <v>15</v>
      </c>
      <c r="J4517" s="12">
        <v>45959</v>
      </c>
      <c r="K4517">
        <v>0</v>
      </c>
      <c r="L4517" s="1">
        <f t="shared" si="280"/>
        <v>6</v>
      </c>
      <c r="M4517" s="1" t="str">
        <f t="shared" si="281"/>
        <v/>
      </c>
      <c r="N4517" s="2">
        <f t="shared" si="282"/>
        <v>45931</v>
      </c>
      <c r="O4517" t="str">
        <f t="shared" si="283"/>
        <v>pes</v>
      </c>
    </row>
    <row r="4518" spans="1:15" x14ac:dyDescent="0.25">
      <c r="A4518">
        <v>12005</v>
      </c>
      <c r="B4518" s="11">
        <v>4040123456795</v>
      </c>
      <c r="C4518" s="1" t="s">
        <v>20</v>
      </c>
      <c r="D4518" s="1" t="s">
        <v>21</v>
      </c>
      <c r="E4518" s="1" t="s">
        <v>22</v>
      </c>
      <c r="F4518">
        <v>8.8000000000000007</v>
      </c>
      <c r="G4518">
        <v>1</v>
      </c>
      <c r="H4518" s="1" t="s">
        <v>14</v>
      </c>
      <c r="I4518" s="1" t="s">
        <v>15</v>
      </c>
      <c r="J4518" s="12">
        <v>45959</v>
      </c>
      <c r="K4518">
        <v>0</v>
      </c>
      <c r="L4518" s="1">
        <f t="shared" si="280"/>
        <v>8.8000000000000007</v>
      </c>
      <c r="M4518" s="1" t="str">
        <f t="shared" si="281"/>
        <v/>
      </c>
      <c r="N4518" s="2">
        <f t="shared" si="282"/>
        <v>45931</v>
      </c>
      <c r="O4518" t="str">
        <f t="shared" si="283"/>
        <v>pes</v>
      </c>
    </row>
    <row r="4519" spans="1:15" hidden="1" x14ac:dyDescent="0.25">
      <c r="A4519">
        <v>12006</v>
      </c>
      <c r="B4519" s="11">
        <v>4019876501234</v>
      </c>
      <c r="C4519" s="1" t="s">
        <v>674</v>
      </c>
      <c r="D4519" s="1" t="s">
        <v>29</v>
      </c>
      <c r="E4519" s="1" t="s">
        <v>37</v>
      </c>
      <c r="F4519">
        <v>1.84</v>
      </c>
      <c r="G4519">
        <v>4</v>
      </c>
      <c r="H4519" s="1" t="s">
        <v>23</v>
      </c>
      <c r="I4519" s="1" t="s">
        <v>949</v>
      </c>
      <c r="J4519" s="12">
        <v>45959</v>
      </c>
      <c r="K4519">
        <v>0</v>
      </c>
      <c r="L4519" s="1">
        <f t="shared" si="280"/>
        <v>7.36</v>
      </c>
      <c r="M4519" s="1">
        <f t="shared" si="281"/>
        <v>5</v>
      </c>
      <c r="N4519" s="2">
        <f t="shared" si="282"/>
        <v>45931</v>
      </c>
      <c r="O4519" t="str">
        <f t="shared" si="283"/>
        <v>mačka</v>
      </c>
    </row>
    <row r="4520" spans="1:15" x14ac:dyDescent="0.25">
      <c r="A4520">
        <v>12007</v>
      </c>
      <c r="B4520" s="11">
        <v>4063456789014</v>
      </c>
      <c r="C4520" s="1" t="s">
        <v>60</v>
      </c>
      <c r="D4520" s="1" t="s">
        <v>12</v>
      </c>
      <c r="E4520" s="1" t="s">
        <v>61</v>
      </c>
      <c r="F4520">
        <v>36</v>
      </c>
      <c r="G4520">
        <v>1</v>
      </c>
      <c r="H4520" s="1" t="s">
        <v>14</v>
      </c>
      <c r="I4520" s="1" t="s">
        <v>15</v>
      </c>
      <c r="J4520" s="12">
        <v>45959</v>
      </c>
      <c r="K4520">
        <v>0</v>
      </c>
      <c r="L4520" s="1">
        <f t="shared" si="280"/>
        <v>36</v>
      </c>
      <c r="M4520" s="1" t="str">
        <f t="shared" si="281"/>
        <v/>
      </c>
      <c r="N4520" s="2">
        <f t="shared" si="282"/>
        <v>45931</v>
      </c>
      <c r="O4520" t="str">
        <f t="shared" si="283"/>
        <v>pes</v>
      </c>
    </row>
    <row r="4521" spans="1:15" hidden="1" x14ac:dyDescent="0.25">
      <c r="A4521">
        <v>12008</v>
      </c>
      <c r="B4521" s="11">
        <v>4029900112244</v>
      </c>
      <c r="C4521" s="1" t="s">
        <v>655</v>
      </c>
      <c r="D4521" s="1" t="s">
        <v>36</v>
      </c>
      <c r="E4521" s="1" t="s">
        <v>37</v>
      </c>
      <c r="F4521">
        <v>13.6</v>
      </c>
      <c r="G4521">
        <v>1</v>
      </c>
      <c r="H4521" s="1" t="s">
        <v>14</v>
      </c>
      <c r="I4521" s="1" t="s">
        <v>15</v>
      </c>
      <c r="J4521" s="12">
        <v>45959</v>
      </c>
      <c r="K4521">
        <v>0</v>
      </c>
      <c r="L4521" s="1">
        <f t="shared" si="280"/>
        <v>13.6</v>
      </c>
      <c r="M4521" s="1" t="str">
        <f t="shared" si="281"/>
        <v/>
      </c>
      <c r="N4521" s="2">
        <f t="shared" si="282"/>
        <v>45931</v>
      </c>
      <c r="O4521" t="str">
        <f t="shared" si="283"/>
        <v>mačka</v>
      </c>
    </row>
    <row r="4522" spans="1:15" x14ac:dyDescent="0.25">
      <c r="A4522">
        <v>12009</v>
      </c>
      <c r="B4522" s="11">
        <v>4017890123450</v>
      </c>
      <c r="C4522" s="1" t="s">
        <v>65</v>
      </c>
      <c r="D4522" s="1" t="s">
        <v>39</v>
      </c>
      <c r="E4522" s="1" t="s">
        <v>22</v>
      </c>
      <c r="F4522">
        <v>7.6</v>
      </c>
      <c r="G4522">
        <v>1</v>
      </c>
      <c r="H4522" s="1" t="s">
        <v>14</v>
      </c>
      <c r="I4522" s="1" t="s">
        <v>15</v>
      </c>
      <c r="J4522" s="12">
        <v>45959</v>
      </c>
      <c r="K4522">
        <v>0</v>
      </c>
      <c r="L4522" s="1">
        <f t="shared" si="280"/>
        <v>7.6</v>
      </c>
      <c r="M4522" s="1" t="str">
        <f t="shared" si="281"/>
        <v/>
      </c>
      <c r="N4522" s="2">
        <f t="shared" si="282"/>
        <v>45931</v>
      </c>
      <c r="O4522" t="str">
        <f t="shared" si="283"/>
        <v>pes</v>
      </c>
    </row>
    <row r="4523" spans="1:15" hidden="1" x14ac:dyDescent="0.25">
      <c r="A4523">
        <v>12010</v>
      </c>
      <c r="B4523" s="11">
        <v>4026677889902</v>
      </c>
      <c r="C4523" s="1" t="s">
        <v>52</v>
      </c>
      <c r="D4523" s="1" t="s">
        <v>53</v>
      </c>
      <c r="E4523" s="1" t="s">
        <v>54</v>
      </c>
      <c r="F4523">
        <v>7.6</v>
      </c>
      <c r="G4523">
        <v>1</v>
      </c>
      <c r="H4523" s="1" t="s">
        <v>14</v>
      </c>
      <c r="I4523" s="1" t="s">
        <v>15</v>
      </c>
      <c r="J4523" s="12">
        <v>45959</v>
      </c>
      <c r="K4523">
        <v>0</v>
      </c>
      <c r="L4523" s="1">
        <f t="shared" si="280"/>
        <v>7.6</v>
      </c>
      <c r="M4523" s="1" t="str">
        <f t="shared" si="281"/>
        <v/>
      </c>
      <c r="N4523" s="2">
        <f t="shared" si="282"/>
        <v>45931</v>
      </c>
      <c r="O4523" t="str">
        <f t="shared" si="283"/>
        <v>iné</v>
      </c>
    </row>
    <row r="4524" spans="1:15" x14ac:dyDescent="0.25">
      <c r="A4524">
        <v>12011</v>
      </c>
      <c r="B4524" s="11">
        <v>4028899001126</v>
      </c>
      <c r="C4524" s="1" t="s">
        <v>16</v>
      </c>
      <c r="D4524" s="1" t="s">
        <v>12</v>
      </c>
      <c r="E4524" s="1" t="s">
        <v>17</v>
      </c>
      <c r="F4524">
        <v>2.8</v>
      </c>
      <c r="G4524">
        <v>2</v>
      </c>
      <c r="H4524" s="1" t="s">
        <v>23</v>
      </c>
      <c r="I4524" s="1" t="s">
        <v>950</v>
      </c>
      <c r="J4524" s="12">
        <v>45960</v>
      </c>
      <c r="K4524">
        <v>0</v>
      </c>
      <c r="L4524" s="1">
        <f t="shared" si="280"/>
        <v>5.6</v>
      </c>
      <c r="M4524" s="1">
        <f t="shared" si="281"/>
        <v>5</v>
      </c>
      <c r="N4524" s="2">
        <f t="shared" si="282"/>
        <v>45931</v>
      </c>
      <c r="O4524" t="str">
        <f t="shared" si="283"/>
        <v>pes</v>
      </c>
    </row>
    <row r="4525" spans="1:15" x14ac:dyDescent="0.25">
      <c r="A4525">
        <v>12012</v>
      </c>
      <c r="B4525" s="11">
        <v>4013456789017</v>
      </c>
      <c r="C4525" s="1" t="s">
        <v>11</v>
      </c>
      <c r="D4525" s="1" t="s">
        <v>12</v>
      </c>
      <c r="E4525" s="1" t="s">
        <v>13</v>
      </c>
      <c r="F4525">
        <v>6</v>
      </c>
      <c r="G4525">
        <v>2</v>
      </c>
      <c r="H4525" s="1" t="s">
        <v>14</v>
      </c>
      <c r="I4525" s="1" t="s">
        <v>15</v>
      </c>
      <c r="J4525" s="12">
        <v>45960</v>
      </c>
      <c r="K4525">
        <v>0</v>
      </c>
      <c r="L4525" s="1">
        <f t="shared" si="280"/>
        <v>12</v>
      </c>
      <c r="M4525" s="1" t="str">
        <f t="shared" si="281"/>
        <v/>
      </c>
      <c r="N4525" s="2">
        <f t="shared" si="282"/>
        <v>45931</v>
      </c>
      <c r="O4525" t="str">
        <f t="shared" si="283"/>
        <v>pes</v>
      </c>
    </row>
    <row r="4526" spans="1:15" x14ac:dyDescent="0.25">
      <c r="A4526">
        <v>12013</v>
      </c>
      <c r="B4526" s="11">
        <v>4040123456795</v>
      </c>
      <c r="C4526" s="1" t="s">
        <v>20</v>
      </c>
      <c r="D4526" s="1" t="s">
        <v>21</v>
      </c>
      <c r="E4526" s="1" t="s">
        <v>22</v>
      </c>
      <c r="F4526">
        <v>8.8000000000000007</v>
      </c>
      <c r="G4526">
        <v>1</v>
      </c>
      <c r="H4526" s="1" t="s">
        <v>18</v>
      </c>
      <c r="I4526" s="1" t="s">
        <v>951</v>
      </c>
      <c r="J4526" s="12">
        <v>45960</v>
      </c>
      <c r="K4526">
        <v>0</v>
      </c>
      <c r="L4526" s="1">
        <f t="shared" si="280"/>
        <v>8.8000000000000007</v>
      </c>
      <c r="M4526" s="1">
        <f t="shared" si="281"/>
        <v>4</v>
      </c>
      <c r="N4526" s="2">
        <f t="shared" si="282"/>
        <v>45931</v>
      </c>
      <c r="O4526" t="str">
        <f t="shared" si="283"/>
        <v>pes</v>
      </c>
    </row>
    <row r="4527" spans="1:15" hidden="1" x14ac:dyDescent="0.25">
      <c r="A4527">
        <v>12014</v>
      </c>
      <c r="B4527" s="11">
        <v>4019876501234</v>
      </c>
      <c r="C4527" s="1" t="s">
        <v>674</v>
      </c>
      <c r="D4527" s="1" t="s">
        <v>29</v>
      </c>
      <c r="E4527" s="1" t="s">
        <v>37</v>
      </c>
      <c r="F4527">
        <v>1.84</v>
      </c>
      <c r="G4527">
        <v>5</v>
      </c>
      <c r="H4527" s="1" t="s">
        <v>14</v>
      </c>
      <c r="I4527" s="1" t="s">
        <v>15</v>
      </c>
      <c r="J4527" s="12">
        <v>45960</v>
      </c>
      <c r="K4527">
        <v>0</v>
      </c>
      <c r="L4527" s="1">
        <f t="shared" si="280"/>
        <v>9.2000000000000011</v>
      </c>
      <c r="M4527" s="1" t="str">
        <f t="shared" si="281"/>
        <v/>
      </c>
      <c r="N4527" s="2">
        <f t="shared" si="282"/>
        <v>45931</v>
      </c>
      <c r="O4527" t="str">
        <f t="shared" si="283"/>
        <v>mačka</v>
      </c>
    </row>
    <row r="4528" spans="1:15" x14ac:dyDescent="0.25">
      <c r="A4528">
        <v>12015</v>
      </c>
      <c r="B4528" s="11">
        <v>4063456789014</v>
      </c>
      <c r="C4528" s="1" t="s">
        <v>60</v>
      </c>
      <c r="D4528" s="1" t="s">
        <v>12</v>
      </c>
      <c r="E4528" s="1" t="s">
        <v>61</v>
      </c>
      <c r="F4528">
        <v>36</v>
      </c>
      <c r="G4528">
        <v>1</v>
      </c>
      <c r="H4528" s="1" t="s">
        <v>14</v>
      </c>
      <c r="I4528" s="1" t="s">
        <v>15</v>
      </c>
      <c r="J4528" s="12">
        <v>45960</v>
      </c>
      <c r="K4528">
        <v>0</v>
      </c>
      <c r="L4528" s="1">
        <f t="shared" si="280"/>
        <v>36</v>
      </c>
      <c r="M4528" s="1" t="str">
        <f t="shared" si="281"/>
        <v/>
      </c>
      <c r="N4528" s="2">
        <f t="shared" si="282"/>
        <v>45931</v>
      </c>
      <c r="O4528" t="str">
        <f t="shared" si="283"/>
        <v>pes</v>
      </c>
    </row>
    <row r="4529" spans="1:15" hidden="1" x14ac:dyDescent="0.25">
      <c r="A4529">
        <v>12016</v>
      </c>
      <c r="B4529" s="11">
        <v>4029900112244</v>
      </c>
      <c r="C4529" s="1" t="s">
        <v>655</v>
      </c>
      <c r="D4529" s="1" t="s">
        <v>36</v>
      </c>
      <c r="E4529" s="1" t="s">
        <v>37</v>
      </c>
      <c r="F4529">
        <v>13.6</v>
      </c>
      <c r="G4529">
        <v>1</v>
      </c>
      <c r="H4529" s="1" t="s">
        <v>14</v>
      </c>
      <c r="I4529" s="1" t="s">
        <v>15</v>
      </c>
      <c r="J4529" s="12">
        <v>45960</v>
      </c>
      <c r="K4529">
        <v>0</v>
      </c>
      <c r="L4529" s="1">
        <f t="shared" si="280"/>
        <v>13.6</v>
      </c>
      <c r="M4529" s="1" t="str">
        <f t="shared" si="281"/>
        <v/>
      </c>
      <c r="N4529" s="2">
        <f t="shared" si="282"/>
        <v>45931</v>
      </c>
      <c r="O4529" t="str">
        <f t="shared" si="283"/>
        <v>mačka</v>
      </c>
    </row>
    <row r="4530" spans="1:15" x14ac:dyDescent="0.25">
      <c r="A4530">
        <v>12017</v>
      </c>
      <c r="B4530" s="11">
        <v>4017890123450</v>
      </c>
      <c r="C4530" s="1" t="s">
        <v>65</v>
      </c>
      <c r="D4530" s="1" t="s">
        <v>39</v>
      </c>
      <c r="E4530" s="1" t="s">
        <v>22</v>
      </c>
      <c r="F4530">
        <v>7.6</v>
      </c>
      <c r="G4530">
        <v>1</v>
      </c>
      <c r="H4530" s="1" t="s">
        <v>18</v>
      </c>
      <c r="I4530" s="1" t="s">
        <v>952</v>
      </c>
      <c r="J4530" s="12">
        <v>45960</v>
      </c>
      <c r="K4530">
        <v>0</v>
      </c>
      <c r="L4530" s="1">
        <f t="shared" si="280"/>
        <v>7.6</v>
      </c>
      <c r="M4530" s="1">
        <f t="shared" si="281"/>
        <v>4</v>
      </c>
      <c r="N4530" s="2">
        <f t="shared" si="282"/>
        <v>45931</v>
      </c>
      <c r="O4530" t="str">
        <f t="shared" si="283"/>
        <v>pes</v>
      </c>
    </row>
    <row r="4531" spans="1:15" hidden="1" x14ac:dyDescent="0.25">
      <c r="A4531">
        <v>12018</v>
      </c>
      <c r="B4531" s="11">
        <v>4056789012345</v>
      </c>
      <c r="C4531" s="1" t="s">
        <v>47</v>
      </c>
      <c r="D4531" s="1" t="s">
        <v>29</v>
      </c>
      <c r="E4531" s="1" t="s">
        <v>37</v>
      </c>
      <c r="F4531">
        <v>2.4</v>
      </c>
      <c r="G4531">
        <v>3</v>
      </c>
      <c r="H4531" s="1" t="s">
        <v>14</v>
      </c>
      <c r="I4531" s="1" t="s">
        <v>15</v>
      </c>
      <c r="J4531" s="12">
        <v>45960</v>
      </c>
      <c r="K4531">
        <v>0</v>
      </c>
      <c r="L4531" s="1">
        <f t="shared" si="280"/>
        <v>7.1999999999999993</v>
      </c>
      <c r="M4531" s="1" t="str">
        <f t="shared" si="281"/>
        <v/>
      </c>
      <c r="N4531" s="2">
        <f t="shared" si="282"/>
        <v>45931</v>
      </c>
      <c r="O4531" t="str">
        <f t="shared" si="283"/>
        <v>mačka</v>
      </c>
    </row>
    <row r="4532" spans="1:15" x14ac:dyDescent="0.25">
      <c r="A4532">
        <v>12019</v>
      </c>
      <c r="B4532" s="11">
        <v>4027788990013</v>
      </c>
      <c r="C4532" s="1" t="s">
        <v>43</v>
      </c>
      <c r="D4532" s="1" t="s">
        <v>21</v>
      </c>
      <c r="E4532" s="1" t="s">
        <v>22</v>
      </c>
      <c r="F4532">
        <v>8</v>
      </c>
      <c r="G4532">
        <v>1</v>
      </c>
      <c r="H4532" s="1" t="s">
        <v>14</v>
      </c>
      <c r="I4532" s="1" t="s">
        <v>15</v>
      </c>
      <c r="J4532" s="12">
        <v>45960</v>
      </c>
      <c r="K4532">
        <v>0</v>
      </c>
      <c r="L4532" s="1">
        <f t="shared" si="280"/>
        <v>8</v>
      </c>
      <c r="M4532" s="1" t="str">
        <f t="shared" si="281"/>
        <v/>
      </c>
      <c r="N4532" s="2">
        <f t="shared" si="282"/>
        <v>45931</v>
      </c>
      <c r="O4532" t="str">
        <f t="shared" si="283"/>
        <v>pes</v>
      </c>
    </row>
    <row r="4533" spans="1:15" x14ac:dyDescent="0.25">
      <c r="A4533">
        <v>12020</v>
      </c>
      <c r="B4533" s="11">
        <v>4028899001126</v>
      </c>
      <c r="C4533" s="1" t="s">
        <v>16</v>
      </c>
      <c r="D4533" s="1" t="s">
        <v>12</v>
      </c>
      <c r="E4533" s="1" t="s">
        <v>17</v>
      </c>
      <c r="F4533">
        <v>2.8</v>
      </c>
      <c r="G4533">
        <v>2</v>
      </c>
      <c r="H4533" s="1" t="s">
        <v>14</v>
      </c>
      <c r="I4533" s="1" t="s">
        <v>15</v>
      </c>
      <c r="J4533" s="12">
        <v>45960</v>
      </c>
      <c r="K4533">
        <v>0</v>
      </c>
      <c r="L4533" s="1">
        <f t="shared" si="280"/>
        <v>5.6</v>
      </c>
      <c r="M4533" s="1" t="str">
        <f t="shared" si="281"/>
        <v/>
      </c>
      <c r="N4533" s="2">
        <f t="shared" si="282"/>
        <v>45931</v>
      </c>
      <c r="O4533" t="str">
        <f t="shared" si="283"/>
        <v>pes</v>
      </c>
    </row>
    <row r="4534" spans="1:15" x14ac:dyDescent="0.25">
      <c r="A4534">
        <v>12021</v>
      </c>
      <c r="B4534" s="11">
        <v>4013456789017</v>
      </c>
      <c r="C4534" s="1" t="s">
        <v>11</v>
      </c>
      <c r="D4534" s="1" t="s">
        <v>12</v>
      </c>
      <c r="E4534" s="1" t="s">
        <v>13</v>
      </c>
      <c r="F4534">
        <v>6</v>
      </c>
      <c r="G4534">
        <v>2</v>
      </c>
      <c r="H4534" s="1" t="s">
        <v>23</v>
      </c>
      <c r="I4534" s="1" t="s">
        <v>953</v>
      </c>
      <c r="J4534" s="12">
        <v>45960</v>
      </c>
      <c r="K4534">
        <v>0</v>
      </c>
      <c r="L4534" s="1">
        <f t="shared" si="280"/>
        <v>12</v>
      </c>
      <c r="M4534" s="1">
        <f t="shared" si="281"/>
        <v>5</v>
      </c>
      <c r="N4534" s="2">
        <f t="shared" si="282"/>
        <v>45931</v>
      </c>
      <c r="O4534" t="str">
        <f t="shared" si="283"/>
        <v>pes</v>
      </c>
    </row>
    <row r="4535" spans="1:15" x14ac:dyDescent="0.25">
      <c r="A4535">
        <v>12022</v>
      </c>
      <c r="B4535" s="11">
        <v>4040123456795</v>
      </c>
      <c r="C4535" s="1" t="s">
        <v>20</v>
      </c>
      <c r="D4535" s="1" t="s">
        <v>21</v>
      </c>
      <c r="E4535" s="1" t="s">
        <v>22</v>
      </c>
      <c r="F4535">
        <v>8.8000000000000007</v>
      </c>
      <c r="G4535">
        <v>1</v>
      </c>
      <c r="H4535" s="1" t="s">
        <v>14</v>
      </c>
      <c r="I4535" s="1" t="s">
        <v>15</v>
      </c>
      <c r="J4535" s="12">
        <v>45960</v>
      </c>
      <c r="K4535">
        <v>0</v>
      </c>
      <c r="L4535" s="1">
        <f t="shared" si="280"/>
        <v>8.8000000000000007</v>
      </c>
      <c r="M4535" s="1" t="str">
        <f t="shared" si="281"/>
        <v/>
      </c>
      <c r="N4535" s="2">
        <f t="shared" si="282"/>
        <v>45931</v>
      </c>
      <c r="O4535" t="str">
        <f t="shared" si="283"/>
        <v>pes</v>
      </c>
    </row>
    <row r="4536" spans="1:15" hidden="1" x14ac:dyDescent="0.25">
      <c r="A4536">
        <v>12023</v>
      </c>
      <c r="B4536" s="11">
        <v>4019876501234</v>
      </c>
      <c r="C4536" s="1" t="s">
        <v>674</v>
      </c>
      <c r="D4536" s="1" t="s">
        <v>29</v>
      </c>
      <c r="E4536" s="1" t="s">
        <v>37</v>
      </c>
      <c r="F4536">
        <v>1.84</v>
      </c>
      <c r="G4536">
        <v>4</v>
      </c>
      <c r="H4536" s="1" t="s">
        <v>14</v>
      </c>
      <c r="I4536" s="1" t="s">
        <v>15</v>
      </c>
      <c r="J4536" s="12">
        <v>45960</v>
      </c>
      <c r="K4536">
        <v>0</v>
      </c>
      <c r="L4536" s="1">
        <f t="shared" si="280"/>
        <v>7.36</v>
      </c>
      <c r="M4536" s="1" t="str">
        <f t="shared" si="281"/>
        <v/>
      </c>
      <c r="N4536" s="2">
        <f t="shared" si="282"/>
        <v>45931</v>
      </c>
      <c r="O4536" t="str">
        <f t="shared" si="283"/>
        <v>mačka</v>
      </c>
    </row>
    <row r="4537" spans="1:15" hidden="1" x14ac:dyDescent="0.25">
      <c r="A4537">
        <v>12024</v>
      </c>
      <c r="B4537" s="11">
        <v>4029900112244</v>
      </c>
      <c r="C4537" s="1" t="s">
        <v>655</v>
      </c>
      <c r="D4537" s="1" t="s">
        <v>36</v>
      </c>
      <c r="E4537" s="1" t="s">
        <v>37</v>
      </c>
      <c r="F4537">
        <v>13.6</v>
      </c>
      <c r="G4537">
        <v>1</v>
      </c>
      <c r="H4537" s="1" t="s">
        <v>18</v>
      </c>
      <c r="I4537" s="1" t="s">
        <v>954</v>
      </c>
      <c r="J4537" s="12">
        <v>45960</v>
      </c>
      <c r="K4537">
        <v>0</v>
      </c>
      <c r="L4537" s="1">
        <f t="shared" si="280"/>
        <v>13.6</v>
      </c>
      <c r="M4537" s="1">
        <f t="shared" si="281"/>
        <v>4</v>
      </c>
      <c r="N4537" s="2">
        <f t="shared" si="282"/>
        <v>45931</v>
      </c>
      <c r="O4537" t="str">
        <f t="shared" si="283"/>
        <v>mačka</v>
      </c>
    </row>
    <row r="4538" spans="1:15" x14ac:dyDescent="0.25">
      <c r="A4538">
        <v>12025</v>
      </c>
      <c r="B4538" s="11">
        <v>4063456789014</v>
      </c>
      <c r="C4538" s="1" t="s">
        <v>60</v>
      </c>
      <c r="D4538" s="1" t="s">
        <v>12</v>
      </c>
      <c r="E4538" s="1" t="s">
        <v>61</v>
      </c>
      <c r="F4538">
        <v>36</v>
      </c>
      <c r="G4538">
        <v>1</v>
      </c>
      <c r="H4538" s="1" t="s">
        <v>14</v>
      </c>
      <c r="I4538" s="1" t="s">
        <v>15</v>
      </c>
      <c r="J4538" s="12">
        <v>45960</v>
      </c>
      <c r="K4538">
        <v>0</v>
      </c>
      <c r="L4538" s="1">
        <f t="shared" si="280"/>
        <v>36</v>
      </c>
      <c r="M4538" s="1" t="str">
        <f t="shared" si="281"/>
        <v/>
      </c>
      <c r="N4538" s="2">
        <f t="shared" si="282"/>
        <v>45931</v>
      </c>
      <c r="O4538" t="str">
        <f t="shared" si="283"/>
        <v>pes</v>
      </c>
    </row>
    <row r="4539" spans="1:15" hidden="1" x14ac:dyDescent="0.25">
      <c r="A4539">
        <v>12026</v>
      </c>
      <c r="B4539" s="11">
        <v>4026677889902</v>
      </c>
      <c r="C4539" s="1" t="s">
        <v>52</v>
      </c>
      <c r="D4539" s="1" t="s">
        <v>53</v>
      </c>
      <c r="E4539" s="1" t="s">
        <v>54</v>
      </c>
      <c r="F4539">
        <v>7.6</v>
      </c>
      <c r="G4539">
        <v>1</v>
      </c>
      <c r="H4539" s="1" t="s">
        <v>14</v>
      </c>
      <c r="I4539" s="1" t="s">
        <v>15</v>
      </c>
      <c r="J4539" s="12">
        <v>45960</v>
      </c>
      <c r="K4539">
        <v>0</v>
      </c>
      <c r="L4539" s="1">
        <f t="shared" si="280"/>
        <v>7.6</v>
      </c>
      <c r="M4539" s="1" t="str">
        <f t="shared" si="281"/>
        <v/>
      </c>
      <c r="N4539" s="2">
        <f t="shared" si="282"/>
        <v>45931</v>
      </c>
      <c r="O4539" t="str">
        <f t="shared" si="283"/>
        <v>iné</v>
      </c>
    </row>
    <row r="4540" spans="1:15" x14ac:dyDescent="0.25">
      <c r="A4540">
        <v>12027</v>
      </c>
      <c r="B4540" s="11">
        <v>4027788990013</v>
      </c>
      <c r="C4540" s="1" t="s">
        <v>43</v>
      </c>
      <c r="D4540" s="1" t="s">
        <v>21</v>
      </c>
      <c r="E4540" s="1" t="s">
        <v>22</v>
      </c>
      <c r="F4540">
        <v>8</v>
      </c>
      <c r="G4540">
        <v>1</v>
      </c>
      <c r="H4540" s="1" t="s">
        <v>14</v>
      </c>
      <c r="I4540" s="1" t="s">
        <v>15</v>
      </c>
      <c r="J4540" s="12">
        <v>45960</v>
      </c>
      <c r="K4540">
        <v>0</v>
      </c>
      <c r="L4540" s="1">
        <f t="shared" si="280"/>
        <v>8</v>
      </c>
      <c r="M4540" s="1" t="str">
        <f t="shared" si="281"/>
        <v/>
      </c>
      <c r="N4540" s="2">
        <f t="shared" si="282"/>
        <v>45931</v>
      </c>
      <c r="O4540" t="str">
        <f t="shared" si="283"/>
        <v>pes</v>
      </c>
    </row>
    <row r="4541" spans="1:15" x14ac:dyDescent="0.25">
      <c r="A4541">
        <v>12028</v>
      </c>
      <c r="B4541" s="11">
        <v>4017890123450</v>
      </c>
      <c r="C4541" s="1" t="s">
        <v>65</v>
      </c>
      <c r="D4541" s="1" t="s">
        <v>39</v>
      </c>
      <c r="E4541" s="1" t="s">
        <v>22</v>
      </c>
      <c r="F4541">
        <v>7.6</v>
      </c>
      <c r="G4541">
        <v>1</v>
      </c>
      <c r="H4541" s="1" t="s">
        <v>14</v>
      </c>
      <c r="I4541" s="1" t="s">
        <v>15</v>
      </c>
      <c r="J4541" s="12">
        <v>45960</v>
      </c>
      <c r="K4541">
        <v>0</v>
      </c>
      <c r="L4541" s="1">
        <f t="shared" si="280"/>
        <v>7.6</v>
      </c>
      <c r="M4541" s="1" t="str">
        <f t="shared" si="281"/>
        <v/>
      </c>
      <c r="N4541" s="2">
        <f t="shared" si="282"/>
        <v>45931</v>
      </c>
      <c r="O4541" t="str">
        <f t="shared" si="283"/>
        <v>pes</v>
      </c>
    </row>
    <row r="4542" spans="1:15" x14ac:dyDescent="0.25">
      <c r="A4542">
        <v>12029</v>
      </c>
      <c r="B4542" s="11">
        <v>4028899001126</v>
      </c>
      <c r="C4542" s="1" t="s">
        <v>16</v>
      </c>
      <c r="D4542" s="1" t="s">
        <v>12</v>
      </c>
      <c r="E4542" s="1" t="s">
        <v>17</v>
      </c>
      <c r="F4542">
        <v>2.8</v>
      </c>
      <c r="G4542">
        <v>3</v>
      </c>
      <c r="H4542" s="1" t="s">
        <v>23</v>
      </c>
      <c r="I4542" s="1" t="s">
        <v>955</v>
      </c>
      <c r="J4542" s="12">
        <v>45961</v>
      </c>
      <c r="K4542">
        <v>0</v>
      </c>
      <c r="L4542" s="1">
        <f t="shared" si="280"/>
        <v>8.3999999999999986</v>
      </c>
      <c r="M4542" s="1">
        <f t="shared" si="281"/>
        <v>5</v>
      </c>
      <c r="N4542" s="2">
        <f t="shared" si="282"/>
        <v>45931</v>
      </c>
      <c r="O4542" t="str">
        <f t="shared" si="283"/>
        <v>pes</v>
      </c>
    </row>
    <row r="4543" spans="1:15" x14ac:dyDescent="0.25">
      <c r="A4543">
        <v>12030</v>
      </c>
      <c r="B4543" s="11">
        <v>4013456789017</v>
      </c>
      <c r="C4543" s="1" t="s">
        <v>11</v>
      </c>
      <c r="D4543" s="1" t="s">
        <v>12</v>
      </c>
      <c r="E4543" s="1" t="s">
        <v>13</v>
      </c>
      <c r="F4543">
        <v>6</v>
      </c>
      <c r="G4543">
        <v>2</v>
      </c>
      <c r="H4543" s="1" t="s">
        <v>14</v>
      </c>
      <c r="I4543" s="1" t="s">
        <v>15</v>
      </c>
      <c r="J4543" s="12">
        <v>45961</v>
      </c>
      <c r="K4543">
        <v>0</v>
      </c>
      <c r="L4543" s="1">
        <f t="shared" si="280"/>
        <v>12</v>
      </c>
      <c r="M4543" s="1" t="str">
        <f t="shared" si="281"/>
        <v/>
      </c>
      <c r="N4543" s="2">
        <f t="shared" si="282"/>
        <v>45931</v>
      </c>
      <c r="O4543" t="str">
        <f t="shared" si="283"/>
        <v>pes</v>
      </c>
    </row>
    <row r="4544" spans="1:15" x14ac:dyDescent="0.25">
      <c r="A4544">
        <v>12031</v>
      </c>
      <c r="B4544" s="11">
        <v>4040123456795</v>
      </c>
      <c r="C4544" s="1" t="s">
        <v>20</v>
      </c>
      <c r="D4544" s="1" t="s">
        <v>21</v>
      </c>
      <c r="E4544" s="1" t="s">
        <v>22</v>
      </c>
      <c r="F4544">
        <v>8.8000000000000007</v>
      </c>
      <c r="G4544">
        <v>1</v>
      </c>
      <c r="H4544" s="1" t="s">
        <v>14</v>
      </c>
      <c r="I4544" s="1" t="s">
        <v>15</v>
      </c>
      <c r="J4544" s="12">
        <v>45961</v>
      </c>
      <c r="K4544">
        <v>0</v>
      </c>
      <c r="L4544" s="1">
        <f t="shared" si="280"/>
        <v>8.8000000000000007</v>
      </c>
      <c r="M4544" s="1" t="str">
        <f t="shared" si="281"/>
        <v/>
      </c>
      <c r="N4544" s="2">
        <f t="shared" si="282"/>
        <v>45931</v>
      </c>
      <c r="O4544" t="str">
        <f t="shared" si="283"/>
        <v>pes</v>
      </c>
    </row>
    <row r="4545" spans="1:15" x14ac:dyDescent="0.25">
      <c r="A4545">
        <v>12032</v>
      </c>
      <c r="B4545" s="11">
        <v>4063456789014</v>
      </c>
      <c r="C4545" s="1" t="s">
        <v>60</v>
      </c>
      <c r="D4545" s="1" t="s">
        <v>12</v>
      </c>
      <c r="E4545" s="1" t="s">
        <v>61</v>
      </c>
      <c r="F4545">
        <v>36</v>
      </c>
      <c r="G4545">
        <v>1</v>
      </c>
      <c r="H4545" s="1" t="s">
        <v>18</v>
      </c>
      <c r="I4545" s="1" t="s">
        <v>956</v>
      </c>
      <c r="J4545" s="12">
        <v>45961</v>
      </c>
      <c r="K4545">
        <v>0</v>
      </c>
      <c r="L4545" s="1">
        <f t="shared" si="280"/>
        <v>36</v>
      </c>
      <c r="M4545" s="1">
        <f t="shared" si="281"/>
        <v>4</v>
      </c>
      <c r="N4545" s="2">
        <f t="shared" si="282"/>
        <v>45931</v>
      </c>
      <c r="O4545" t="str">
        <f t="shared" si="283"/>
        <v>pes</v>
      </c>
    </row>
    <row r="4546" spans="1:15" hidden="1" x14ac:dyDescent="0.25">
      <c r="A4546">
        <v>12033</v>
      </c>
      <c r="B4546" s="11">
        <v>4019876501234</v>
      </c>
      <c r="C4546" s="1" t="s">
        <v>674</v>
      </c>
      <c r="D4546" s="1" t="s">
        <v>29</v>
      </c>
      <c r="E4546" s="1" t="s">
        <v>37</v>
      </c>
      <c r="F4546">
        <v>1.84</v>
      </c>
      <c r="G4546">
        <v>5</v>
      </c>
      <c r="H4546" s="1" t="s">
        <v>14</v>
      </c>
      <c r="I4546" s="1" t="s">
        <v>15</v>
      </c>
      <c r="J4546" s="12">
        <v>45961</v>
      </c>
      <c r="K4546">
        <v>0</v>
      </c>
      <c r="L4546" s="1">
        <f t="shared" ref="L4546:L4609" si="284">F4546*G4546</f>
        <v>9.2000000000000011</v>
      </c>
      <c r="M4546" s="1" t="str">
        <f t="shared" ref="M4546:M4609" si="285">IF(H4546="NULL", "",VALUE(H4546))</f>
        <v/>
      </c>
      <c r="N4546" s="2">
        <f t="shared" ref="N4546:N4609" si="286">DATE(YEAR(J4546),MONTH(J4546),1)</f>
        <v>45931</v>
      </c>
      <c r="O4546" t="str">
        <f t="shared" ref="O4546:O4609" si="287">IF(ISNUMBER(SEARCH("Mačky",D4546)),"mačka",IF(ISNUMBER(SEARCH("Psy",D4546)),"pes","iné"))</f>
        <v>mačka</v>
      </c>
    </row>
    <row r="4547" spans="1:15" hidden="1" x14ac:dyDescent="0.25">
      <c r="A4547">
        <v>12034</v>
      </c>
      <c r="B4547" s="11">
        <v>4029900112244</v>
      </c>
      <c r="C4547" s="1" t="s">
        <v>655</v>
      </c>
      <c r="D4547" s="1" t="s">
        <v>36</v>
      </c>
      <c r="E4547" s="1" t="s">
        <v>37</v>
      </c>
      <c r="F4547">
        <v>13.6</v>
      </c>
      <c r="G4547">
        <v>1</v>
      </c>
      <c r="H4547" s="1" t="s">
        <v>14</v>
      </c>
      <c r="I4547" s="1" t="s">
        <v>15</v>
      </c>
      <c r="J4547" s="12">
        <v>45961</v>
      </c>
      <c r="K4547">
        <v>0</v>
      </c>
      <c r="L4547" s="1">
        <f t="shared" si="284"/>
        <v>13.6</v>
      </c>
      <c r="M4547" s="1" t="str">
        <f t="shared" si="285"/>
        <v/>
      </c>
      <c r="N4547" s="2">
        <f t="shared" si="286"/>
        <v>45931</v>
      </c>
      <c r="O4547" t="str">
        <f t="shared" si="287"/>
        <v>mačka</v>
      </c>
    </row>
    <row r="4548" spans="1:15" hidden="1" x14ac:dyDescent="0.25">
      <c r="A4548">
        <v>12035</v>
      </c>
      <c r="B4548" s="11">
        <v>4026677889902</v>
      </c>
      <c r="C4548" s="1" t="s">
        <v>52</v>
      </c>
      <c r="D4548" s="1" t="s">
        <v>53</v>
      </c>
      <c r="E4548" s="1" t="s">
        <v>54</v>
      </c>
      <c r="F4548">
        <v>7.6</v>
      </c>
      <c r="G4548">
        <v>1</v>
      </c>
      <c r="H4548" s="1" t="s">
        <v>14</v>
      </c>
      <c r="I4548" s="1" t="s">
        <v>15</v>
      </c>
      <c r="J4548" s="12">
        <v>45961</v>
      </c>
      <c r="K4548">
        <v>0</v>
      </c>
      <c r="L4548" s="1">
        <f t="shared" si="284"/>
        <v>7.6</v>
      </c>
      <c r="M4548" s="1" t="str">
        <f t="shared" si="285"/>
        <v/>
      </c>
      <c r="N4548" s="2">
        <f t="shared" si="286"/>
        <v>45931</v>
      </c>
      <c r="O4548" t="str">
        <f t="shared" si="287"/>
        <v>iné</v>
      </c>
    </row>
    <row r="4549" spans="1:15" x14ac:dyDescent="0.25">
      <c r="A4549">
        <v>12036</v>
      </c>
      <c r="B4549" s="11">
        <v>4027788990013</v>
      </c>
      <c r="C4549" s="1" t="s">
        <v>43</v>
      </c>
      <c r="D4549" s="1" t="s">
        <v>21</v>
      </c>
      <c r="E4549" s="1" t="s">
        <v>22</v>
      </c>
      <c r="F4549">
        <v>8</v>
      </c>
      <c r="G4549">
        <v>1</v>
      </c>
      <c r="H4549" s="1" t="s">
        <v>14</v>
      </c>
      <c r="I4549" s="1" t="s">
        <v>15</v>
      </c>
      <c r="J4549" s="12">
        <v>45961</v>
      </c>
      <c r="K4549">
        <v>0</v>
      </c>
      <c r="L4549" s="1">
        <f t="shared" si="284"/>
        <v>8</v>
      </c>
      <c r="M4549" s="1" t="str">
        <f t="shared" si="285"/>
        <v/>
      </c>
      <c r="N4549" s="2">
        <f t="shared" si="286"/>
        <v>45931</v>
      </c>
      <c r="O4549" t="str">
        <f t="shared" si="287"/>
        <v>pes</v>
      </c>
    </row>
    <row r="4550" spans="1:15" x14ac:dyDescent="0.25">
      <c r="A4550">
        <v>12037</v>
      </c>
      <c r="B4550" s="11">
        <v>4017890123450</v>
      </c>
      <c r="C4550" s="1" t="s">
        <v>65</v>
      </c>
      <c r="D4550" s="1" t="s">
        <v>39</v>
      </c>
      <c r="E4550" s="1" t="s">
        <v>22</v>
      </c>
      <c r="F4550">
        <v>7.6</v>
      </c>
      <c r="G4550">
        <v>1</v>
      </c>
      <c r="H4550" s="1" t="s">
        <v>18</v>
      </c>
      <c r="I4550" s="1" t="s">
        <v>957</v>
      </c>
      <c r="J4550" s="12">
        <v>45961</v>
      </c>
      <c r="K4550">
        <v>0</v>
      </c>
      <c r="L4550" s="1">
        <f t="shared" si="284"/>
        <v>7.6</v>
      </c>
      <c r="M4550" s="1">
        <f t="shared" si="285"/>
        <v>4</v>
      </c>
      <c r="N4550" s="2">
        <f t="shared" si="286"/>
        <v>45931</v>
      </c>
      <c r="O4550" t="str">
        <f t="shared" si="287"/>
        <v>pes</v>
      </c>
    </row>
    <row r="4551" spans="1:15" hidden="1" x14ac:dyDescent="0.25">
      <c r="A4551">
        <v>12038</v>
      </c>
      <c r="B4551" s="11">
        <v>4056789012345</v>
      </c>
      <c r="C4551" s="1" t="s">
        <v>47</v>
      </c>
      <c r="D4551" s="1" t="s">
        <v>29</v>
      </c>
      <c r="E4551" s="1" t="s">
        <v>37</v>
      </c>
      <c r="F4551">
        <v>2.4</v>
      </c>
      <c r="G4551">
        <v>3</v>
      </c>
      <c r="H4551" s="1" t="s">
        <v>14</v>
      </c>
      <c r="I4551" s="1" t="s">
        <v>15</v>
      </c>
      <c r="J4551" s="12">
        <v>45961</v>
      </c>
      <c r="K4551">
        <v>0</v>
      </c>
      <c r="L4551" s="1">
        <f t="shared" si="284"/>
        <v>7.1999999999999993</v>
      </c>
      <c r="M4551" s="1" t="str">
        <f t="shared" si="285"/>
        <v/>
      </c>
      <c r="N4551" s="2">
        <f t="shared" si="286"/>
        <v>45931</v>
      </c>
      <c r="O4551" t="str">
        <f t="shared" si="287"/>
        <v>mačka</v>
      </c>
    </row>
    <row r="4552" spans="1:15" x14ac:dyDescent="0.25">
      <c r="A4552">
        <v>12039</v>
      </c>
      <c r="B4552" s="11">
        <v>4028899001126</v>
      </c>
      <c r="C4552" s="1" t="s">
        <v>16</v>
      </c>
      <c r="D4552" s="1" t="s">
        <v>12</v>
      </c>
      <c r="E4552" s="1" t="s">
        <v>17</v>
      </c>
      <c r="F4552">
        <v>2.8</v>
      </c>
      <c r="G4552">
        <v>2</v>
      </c>
      <c r="H4552" s="1" t="s">
        <v>14</v>
      </c>
      <c r="I4552" s="1" t="s">
        <v>15</v>
      </c>
      <c r="J4552" s="12">
        <v>45961</v>
      </c>
      <c r="K4552">
        <v>0</v>
      </c>
      <c r="L4552" s="1">
        <f t="shared" si="284"/>
        <v>5.6</v>
      </c>
      <c r="M4552" s="1" t="str">
        <f t="shared" si="285"/>
        <v/>
      </c>
      <c r="N4552" s="2">
        <f t="shared" si="286"/>
        <v>45931</v>
      </c>
      <c r="O4552" t="str">
        <f t="shared" si="287"/>
        <v>pes</v>
      </c>
    </row>
    <row r="4553" spans="1:15" x14ac:dyDescent="0.25">
      <c r="A4553">
        <v>12040</v>
      </c>
      <c r="B4553" s="11">
        <v>4013456789017</v>
      </c>
      <c r="C4553" s="1" t="s">
        <v>11</v>
      </c>
      <c r="D4553" s="1" t="s">
        <v>12</v>
      </c>
      <c r="E4553" s="1" t="s">
        <v>13</v>
      </c>
      <c r="F4553">
        <v>6</v>
      </c>
      <c r="G4553">
        <v>1</v>
      </c>
      <c r="H4553" s="1" t="s">
        <v>14</v>
      </c>
      <c r="I4553" s="1" t="s">
        <v>15</v>
      </c>
      <c r="J4553" s="12">
        <v>45961</v>
      </c>
      <c r="K4553">
        <v>0</v>
      </c>
      <c r="L4553" s="1">
        <f t="shared" si="284"/>
        <v>6</v>
      </c>
      <c r="M4553" s="1" t="str">
        <f t="shared" si="285"/>
        <v/>
      </c>
      <c r="N4553" s="2">
        <f t="shared" si="286"/>
        <v>45931</v>
      </c>
      <c r="O4553" t="str">
        <f t="shared" si="287"/>
        <v>pes</v>
      </c>
    </row>
    <row r="4554" spans="1:15" x14ac:dyDescent="0.25">
      <c r="A4554">
        <v>12041</v>
      </c>
      <c r="B4554" s="11">
        <v>4040123456795</v>
      </c>
      <c r="C4554" s="1" t="s">
        <v>20</v>
      </c>
      <c r="D4554" s="1" t="s">
        <v>21</v>
      </c>
      <c r="E4554" s="1" t="s">
        <v>22</v>
      </c>
      <c r="F4554">
        <v>8.8000000000000007</v>
      </c>
      <c r="G4554">
        <v>1</v>
      </c>
      <c r="H4554" s="1" t="s">
        <v>23</v>
      </c>
      <c r="I4554" s="1" t="s">
        <v>958</v>
      </c>
      <c r="J4554" s="12">
        <v>45961</v>
      </c>
      <c r="K4554">
        <v>0</v>
      </c>
      <c r="L4554" s="1">
        <f t="shared" si="284"/>
        <v>8.8000000000000007</v>
      </c>
      <c r="M4554" s="1">
        <f t="shared" si="285"/>
        <v>5</v>
      </c>
      <c r="N4554" s="2">
        <f t="shared" si="286"/>
        <v>45931</v>
      </c>
      <c r="O4554" t="str">
        <f t="shared" si="287"/>
        <v>pes</v>
      </c>
    </row>
    <row r="4555" spans="1:15" hidden="1" x14ac:dyDescent="0.25">
      <c r="A4555">
        <v>12042</v>
      </c>
      <c r="B4555" s="11">
        <v>4019876501234</v>
      </c>
      <c r="C4555" s="1" t="s">
        <v>674</v>
      </c>
      <c r="D4555" s="1" t="s">
        <v>29</v>
      </c>
      <c r="E4555" s="1" t="s">
        <v>37</v>
      </c>
      <c r="F4555">
        <v>1.84</v>
      </c>
      <c r="G4555">
        <v>4</v>
      </c>
      <c r="H4555" s="1" t="s">
        <v>14</v>
      </c>
      <c r="I4555" s="1" t="s">
        <v>15</v>
      </c>
      <c r="J4555" s="12">
        <v>45961</v>
      </c>
      <c r="K4555">
        <v>0</v>
      </c>
      <c r="L4555" s="1">
        <f t="shared" si="284"/>
        <v>7.36</v>
      </c>
      <c r="M4555" s="1" t="str">
        <f t="shared" si="285"/>
        <v/>
      </c>
      <c r="N4555" s="2">
        <f t="shared" si="286"/>
        <v>45931</v>
      </c>
      <c r="O4555" t="str">
        <f t="shared" si="287"/>
        <v>mačka</v>
      </c>
    </row>
    <row r="4556" spans="1:15" hidden="1" x14ac:dyDescent="0.25">
      <c r="A4556">
        <v>12043</v>
      </c>
      <c r="B4556" s="11">
        <v>4029900112244</v>
      </c>
      <c r="C4556" s="1" t="s">
        <v>655</v>
      </c>
      <c r="D4556" s="1" t="s">
        <v>36</v>
      </c>
      <c r="E4556" s="1" t="s">
        <v>37</v>
      </c>
      <c r="F4556">
        <v>13.6</v>
      </c>
      <c r="G4556">
        <v>1</v>
      </c>
      <c r="H4556" s="1" t="s">
        <v>14</v>
      </c>
      <c r="I4556" s="1" t="s">
        <v>15</v>
      </c>
      <c r="J4556" s="12">
        <v>45961</v>
      </c>
      <c r="K4556">
        <v>0</v>
      </c>
      <c r="L4556" s="1">
        <f t="shared" si="284"/>
        <v>13.6</v>
      </c>
      <c r="M4556" s="1" t="str">
        <f t="shared" si="285"/>
        <v/>
      </c>
      <c r="N4556" s="2">
        <f t="shared" si="286"/>
        <v>45931</v>
      </c>
      <c r="O4556" t="str">
        <f t="shared" si="287"/>
        <v>mačka</v>
      </c>
    </row>
    <row r="4557" spans="1:15" x14ac:dyDescent="0.25">
      <c r="A4557">
        <v>12044</v>
      </c>
      <c r="B4557" s="11">
        <v>4063456789014</v>
      </c>
      <c r="C4557" s="1" t="s">
        <v>60</v>
      </c>
      <c r="D4557" s="1" t="s">
        <v>12</v>
      </c>
      <c r="E4557" s="1" t="s">
        <v>61</v>
      </c>
      <c r="F4557">
        <v>36</v>
      </c>
      <c r="G4557">
        <v>1</v>
      </c>
      <c r="H4557" s="1" t="s">
        <v>18</v>
      </c>
      <c r="I4557" s="1" t="s">
        <v>959</v>
      </c>
      <c r="J4557" s="12">
        <v>45961</v>
      </c>
      <c r="K4557">
        <v>0</v>
      </c>
      <c r="L4557" s="1">
        <f t="shared" si="284"/>
        <v>36</v>
      </c>
      <c r="M4557" s="1">
        <f t="shared" si="285"/>
        <v>4</v>
      </c>
      <c r="N4557" s="2">
        <f t="shared" si="286"/>
        <v>45931</v>
      </c>
      <c r="O4557" t="str">
        <f t="shared" si="287"/>
        <v>pes</v>
      </c>
    </row>
    <row r="4558" spans="1:15" x14ac:dyDescent="0.25">
      <c r="A4558">
        <v>12045</v>
      </c>
      <c r="B4558" s="11">
        <v>4017890123450</v>
      </c>
      <c r="C4558" s="1" t="s">
        <v>65</v>
      </c>
      <c r="D4558" s="1" t="s">
        <v>39</v>
      </c>
      <c r="E4558" s="1" t="s">
        <v>22</v>
      </c>
      <c r="F4558">
        <v>7.6</v>
      </c>
      <c r="G4558">
        <v>1</v>
      </c>
      <c r="H4558" s="1" t="s">
        <v>14</v>
      </c>
      <c r="I4558" s="1" t="s">
        <v>15</v>
      </c>
      <c r="J4558" s="12">
        <v>45961</v>
      </c>
      <c r="K4558">
        <v>0</v>
      </c>
      <c r="L4558" s="1">
        <f t="shared" si="284"/>
        <v>7.6</v>
      </c>
      <c r="M4558" s="1" t="str">
        <f t="shared" si="285"/>
        <v/>
      </c>
      <c r="N4558" s="2">
        <f t="shared" si="286"/>
        <v>45931</v>
      </c>
      <c r="O4558" t="str">
        <f t="shared" si="287"/>
        <v>pes</v>
      </c>
    </row>
    <row r="4559" spans="1:15" hidden="1" x14ac:dyDescent="0.25">
      <c r="A4559">
        <v>12046</v>
      </c>
      <c r="B4559" s="11">
        <v>4026677889902</v>
      </c>
      <c r="C4559" s="1" t="s">
        <v>52</v>
      </c>
      <c r="D4559" s="1" t="s">
        <v>53</v>
      </c>
      <c r="E4559" s="1" t="s">
        <v>54</v>
      </c>
      <c r="F4559">
        <v>7.6</v>
      </c>
      <c r="G4559">
        <v>1</v>
      </c>
      <c r="H4559" s="1" t="s">
        <v>14</v>
      </c>
      <c r="I4559" s="1" t="s">
        <v>15</v>
      </c>
      <c r="J4559" s="12">
        <v>45961</v>
      </c>
      <c r="K4559">
        <v>0</v>
      </c>
      <c r="L4559" s="1">
        <f t="shared" si="284"/>
        <v>7.6</v>
      </c>
      <c r="M4559" s="1" t="str">
        <f t="shared" si="285"/>
        <v/>
      </c>
      <c r="N4559" s="2">
        <f t="shared" si="286"/>
        <v>45931</v>
      </c>
      <c r="O4559" t="str">
        <f t="shared" si="287"/>
        <v>iné</v>
      </c>
    </row>
    <row r="4560" spans="1:15" x14ac:dyDescent="0.25">
      <c r="A4560">
        <v>12047</v>
      </c>
      <c r="B4560" s="11">
        <v>4027788990013</v>
      </c>
      <c r="C4560" s="1" t="s">
        <v>43</v>
      </c>
      <c r="D4560" s="1" t="s">
        <v>21</v>
      </c>
      <c r="E4560" s="1" t="s">
        <v>22</v>
      </c>
      <c r="F4560">
        <v>8</v>
      </c>
      <c r="G4560">
        <v>1</v>
      </c>
      <c r="H4560" s="1" t="s">
        <v>14</v>
      </c>
      <c r="I4560" s="1" t="s">
        <v>15</v>
      </c>
      <c r="J4560" s="12">
        <v>45961</v>
      </c>
      <c r="K4560">
        <v>0</v>
      </c>
      <c r="L4560" s="1">
        <f t="shared" si="284"/>
        <v>8</v>
      </c>
      <c r="M4560" s="1" t="str">
        <f t="shared" si="285"/>
        <v/>
      </c>
      <c r="N4560" s="2">
        <f t="shared" si="286"/>
        <v>45931</v>
      </c>
      <c r="O4560" t="str">
        <f t="shared" si="287"/>
        <v>pes</v>
      </c>
    </row>
    <row r="4561" spans="1:15" x14ac:dyDescent="0.25">
      <c r="A4561">
        <v>12048</v>
      </c>
      <c r="B4561" s="11">
        <v>4028899001126</v>
      </c>
      <c r="C4561" s="1" t="s">
        <v>16</v>
      </c>
      <c r="D4561" s="1" t="s">
        <v>12</v>
      </c>
      <c r="E4561" s="1" t="s">
        <v>17</v>
      </c>
      <c r="F4561">
        <v>2.8</v>
      </c>
      <c r="G4561">
        <v>2</v>
      </c>
      <c r="H4561" s="1" t="s">
        <v>23</v>
      </c>
      <c r="I4561" s="1" t="s">
        <v>960</v>
      </c>
      <c r="J4561" s="12">
        <v>45961</v>
      </c>
      <c r="K4561">
        <v>0</v>
      </c>
      <c r="L4561" s="1">
        <f t="shared" si="284"/>
        <v>5.6</v>
      </c>
      <c r="M4561" s="1">
        <f t="shared" si="285"/>
        <v>5</v>
      </c>
      <c r="N4561" s="2">
        <f t="shared" si="286"/>
        <v>45931</v>
      </c>
      <c r="O4561" t="str">
        <f t="shared" si="287"/>
        <v>pes</v>
      </c>
    </row>
    <row r="4562" spans="1:15" x14ac:dyDescent="0.25">
      <c r="A4562">
        <v>12049</v>
      </c>
      <c r="B4562" s="11">
        <v>4013456789017</v>
      </c>
      <c r="C4562" s="1" t="s">
        <v>11</v>
      </c>
      <c r="D4562" s="1" t="s">
        <v>12</v>
      </c>
      <c r="E4562" s="1" t="s">
        <v>13</v>
      </c>
      <c r="F4562">
        <v>6</v>
      </c>
      <c r="G4562">
        <v>2</v>
      </c>
      <c r="H4562" s="1" t="s">
        <v>14</v>
      </c>
      <c r="I4562" s="1" t="s">
        <v>15</v>
      </c>
      <c r="J4562" s="12">
        <v>45961</v>
      </c>
      <c r="K4562">
        <v>0</v>
      </c>
      <c r="L4562" s="1">
        <f t="shared" si="284"/>
        <v>12</v>
      </c>
      <c r="M4562" s="1" t="str">
        <f t="shared" si="285"/>
        <v/>
      </c>
      <c r="N4562" s="2">
        <f t="shared" si="286"/>
        <v>45931</v>
      </c>
      <c r="O4562" t="str">
        <f t="shared" si="287"/>
        <v>pes</v>
      </c>
    </row>
    <row r="4563" spans="1:15" x14ac:dyDescent="0.25">
      <c r="A4563">
        <v>12050</v>
      </c>
      <c r="B4563" s="11">
        <v>4040123456795</v>
      </c>
      <c r="C4563" s="1" t="s">
        <v>20</v>
      </c>
      <c r="D4563" s="1" t="s">
        <v>21</v>
      </c>
      <c r="E4563" s="1" t="s">
        <v>22</v>
      </c>
      <c r="F4563">
        <v>8.8000000000000007</v>
      </c>
      <c r="G4563">
        <v>1</v>
      </c>
      <c r="H4563" s="1" t="s">
        <v>18</v>
      </c>
      <c r="I4563" s="1" t="s">
        <v>961</v>
      </c>
      <c r="J4563" s="12">
        <v>45961</v>
      </c>
      <c r="K4563">
        <v>0</v>
      </c>
      <c r="L4563" s="1">
        <f t="shared" si="284"/>
        <v>8.8000000000000007</v>
      </c>
      <c r="M4563" s="1">
        <f t="shared" si="285"/>
        <v>4</v>
      </c>
      <c r="N4563" s="2">
        <f t="shared" si="286"/>
        <v>45931</v>
      </c>
      <c r="O4563" t="str">
        <f t="shared" si="287"/>
        <v>pes</v>
      </c>
    </row>
    <row r="4564" spans="1:15" x14ac:dyDescent="0.25">
      <c r="A4564">
        <v>12051</v>
      </c>
      <c r="B4564" s="11">
        <v>4063456789014</v>
      </c>
      <c r="C4564" s="1" t="s">
        <v>60</v>
      </c>
      <c r="D4564" s="1" t="s">
        <v>12</v>
      </c>
      <c r="E4564" s="1" t="s">
        <v>61</v>
      </c>
      <c r="F4564">
        <v>36</v>
      </c>
      <c r="G4564">
        <v>1</v>
      </c>
      <c r="H4564" s="1" t="s">
        <v>14</v>
      </c>
      <c r="I4564" s="1" t="s">
        <v>15</v>
      </c>
      <c r="J4564" s="12">
        <v>45961</v>
      </c>
      <c r="K4564">
        <v>0</v>
      </c>
      <c r="L4564" s="1">
        <f t="shared" si="284"/>
        <v>36</v>
      </c>
      <c r="M4564" s="1" t="str">
        <f t="shared" si="285"/>
        <v/>
      </c>
      <c r="N4564" s="2">
        <f t="shared" si="286"/>
        <v>45931</v>
      </c>
      <c r="O4564" t="str">
        <f t="shared" si="287"/>
        <v>pes</v>
      </c>
    </row>
    <row r="4565" spans="1:15" hidden="1" x14ac:dyDescent="0.25">
      <c r="A4565">
        <v>12052</v>
      </c>
      <c r="B4565" s="11">
        <v>4019876501234</v>
      </c>
      <c r="C4565" s="1" t="s">
        <v>674</v>
      </c>
      <c r="D4565" s="1" t="s">
        <v>29</v>
      </c>
      <c r="E4565" s="1" t="s">
        <v>37</v>
      </c>
      <c r="F4565">
        <v>1.84</v>
      </c>
      <c r="G4565">
        <v>5</v>
      </c>
      <c r="H4565" s="1" t="s">
        <v>14</v>
      </c>
      <c r="I4565" s="1" t="s">
        <v>15</v>
      </c>
      <c r="J4565" s="12">
        <v>45961</v>
      </c>
      <c r="K4565">
        <v>0</v>
      </c>
      <c r="L4565" s="1">
        <f t="shared" si="284"/>
        <v>9.2000000000000011</v>
      </c>
      <c r="M4565" s="1" t="str">
        <f t="shared" si="285"/>
        <v/>
      </c>
      <c r="N4565" s="2">
        <f t="shared" si="286"/>
        <v>45931</v>
      </c>
      <c r="O4565" t="str">
        <f t="shared" si="287"/>
        <v>mačka</v>
      </c>
    </row>
    <row r="4566" spans="1:15" hidden="1" x14ac:dyDescent="0.25">
      <c r="A4566">
        <v>12053</v>
      </c>
      <c r="B4566" s="11">
        <v>4029900112244</v>
      </c>
      <c r="C4566" s="1" t="s">
        <v>655</v>
      </c>
      <c r="D4566" s="1" t="s">
        <v>36</v>
      </c>
      <c r="E4566" s="1" t="s">
        <v>37</v>
      </c>
      <c r="F4566">
        <v>13.6</v>
      </c>
      <c r="G4566">
        <v>1</v>
      </c>
      <c r="H4566" s="1" t="s">
        <v>14</v>
      </c>
      <c r="I4566" s="1" t="s">
        <v>15</v>
      </c>
      <c r="J4566" s="12">
        <v>45961</v>
      </c>
      <c r="K4566">
        <v>0</v>
      </c>
      <c r="L4566" s="1">
        <f t="shared" si="284"/>
        <v>13.6</v>
      </c>
      <c r="M4566" s="1" t="str">
        <f t="shared" si="285"/>
        <v/>
      </c>
      <c r="N4566" s="2">
        <f t="shared" si="286"/>
        <v>45931</v>
      </c>
      <c r="O4566" t="str">
        <f t="shared" si="287"/>
        <v>mačka</v>
      </c>
    </row>
    <row r="4567" spans="1:15" hidden="1" x14ac:dyDescent="0.25">
      <c r="A4567">
        <v>12054</v>
      </c>
      <c r="B4567" s="11">
        <v>4026677889902</v>
      </c>
      <c r="C4567" s="1" t="s">
        <v>52</v>
      </c>
      <c r="D4567" s="1" t="s">
        <v>53</v>
      </c>
      <c r="E4567" s="1" t="s">
        <v>54</v>
      </c>
      <c r="F4567">
        <v>7.6</v>
      </c>
      <c r="G4567">
        <v>1</v>
      </c>
      <c r="H4567" s="1" t="s">
        <v>14</v>
      </c>
      <c r="I4567" s="1" t="s">
        <v>15</v>
      </c>
      <c r="J4567" s="12">
        <v>45961</v>
      </c>
      <c r="K4567">
        <v>0</v>
      </c>
      <c r="L4567" s="1">
        <f t="shared" si="284"/>
        <v>7.6</v>
      </c>
      <c r="M4567" s="1" t="str">
        <f t="shared" si="285"/>
        <v/>
      </c>
      <c r="N4567" s="2">
        <f t="shared" si="286"/>
        <v>45931</v>
      </c>
      <c r="O4567" t="str">
        <f t="shared" si="287"/>
        <v>iné</v>
      </c>
    </row>
    <row r="4568" spans="1:15" x14ac:dyDescent="0.25">
      <c r="A4568">
        <v>12055</v>
      </c>
      <c r="B4568" s="11">
        <v>4027788990013</v>
      </c>
      <c r="C4568" s="1" t="s">
        <v>43</v>
      </c>
      <c r="D4568" s="1" t="s">
        <v>21</v>
      </c>
      <c r="E4568" s="1" t="s">
        <v>22</v>
      </c>
      <c r="F4568">
        <v>8</v>
      </c>
      <c r="G4568">
        <v>1</v>
      </c>
      <c r="H4568" s="1" t="s">
        <v>14</v>
      </c>
      <c r="I4568" s="1" t="s">
        <v>15</v>
      </c>
      <c r="J4568" s="12">
        <v>45961</v>
      </c>
      <c r="K4568">
        <v>0</v>
      </c>
      <c r="L4568" s="1">
        <f t="shared" si="284"/>
        <v>8</v>
      </c>
      <c r="M4568" s="1" t="str">
        <f t="shared" si="285"/>
        <v/>
      </c>
      <c r="N4568" s="2">
        <f t="shared" si="286"/>
        <v>45931</v>
      </c>
      <c r="O4568" t="str">
        <f t="shared" si="287"/>
        <v>pes</v>
      </c>
    </row>
    <row r="4569" spans="1:15" x14ac:dyDescent="0.25">
      <c r="A4569">
        <v>12056</v>
      </c>
      <c r="B4569" s="11">
        <v>4017890123450</v>
      </c>
      <c r="C4569" s="1" t="s">
        <v>65</v>
      </c>
      <c r="D4569" s="1" t="s">
        <v>39</v>
      </c>
      <c r="E4569" s="1" t="s">
        <v>22</v>
      </c>
      <c r="F4569">
        <v>7.6</v>
      </c>
      <c r="G4569">
        <v>1</v>
      </c>
      <c r="H4569" s="1" t="s">
        <v>23</v>
      </c>
      <c r="I4569" s="1" t="s">
        <v>962</v>
      </c>
      <c r="J4569" s="12">
        <v>45961</v>
      </c>
      <c r="K4569">
        <v>0</v>
      </c>
      <c r="L4569" s="1">
        <f t="shared" si="284"/>
        <v>7.6</v>
      </c>
      <c r="M4569" s="1">
        <f t="shared" si="285"/>
        <v>5</v>
      </c>
      <c r="N4569" s="2">
        <f t="shared" si="286"/>
        <v>45931</v>
      </c>
      <c r="O4569" t="str">
        <f t="shared" si="287"/>
        <v>pes</v>
      </c>
    </row>
    <row r="4570" spans="1:15" hidden="1" x14ac:dyDescent="0.25">
      <c r="A4570">
        <v>12057</v>
      </c>
      <c r="B4570" s="11">
        <v>4056789012345</v>
      </c>
      <c r="C4570" s="1" t="s">
        <v>47</v>
      </c>
      <c r="D4570" s="1" t="s">
        <v>29</v>
      </c>
      <c r="E4570" s="1" t="s">
        <v>37</v>
      </c>
      <c r="F4570">
        <v>2.4</v>
      </c>
      <c r="G4570">
        <v>3</v>
      </c>
      <c r="H4570" s="1" t="s">
        <v>14</v>
      </c>
      <c r="I4570" s="1" t="s">
        <v>15</v>
      </c>
      <c r="J4570" s="12">
        <v>45961</v>
      </c>
      <c r="K4570">
        <v>0</v>
      </c>
      <c r="L4570" s="1">
        <f t="shared" si="284"/>
        <v>7.1999999999999993</v>
      </c>
      <c r="M4570" s="1" t="str">
        <f t="shared" si="285"/>
        <v/>
      </c>
      <c r="N4570" s="2">
        <f t="shared" si="286"/>
        <v>45931</v>
      </c>
      <c r="O4570" t="str">
        <f t="shared" si="287"/>
        <v>mačka</v>
      </c>
    </row>
    <row r="4571" spans="1:15" x14ac:dyDescent="0.25">
      <c r="A4571">
        <v>12058</v>
      </c>
      <c r="B4571" s="11">
        <v>4028899001126</v>
      </c>
      <c r="C4571" s="1" t="s">
        <v>16</v>
      </c>
      <c r="D4571" s="1" t="s">
        <v>12</v>
      </c>
      <c r="E4571" s="1" t="s">
        <v>17</v>
      </c>
      <c r="F4571">
        <v>2.8</v>
      </c>
      <c r="G4571">
        <v>2</v>
      </c>
      <c r="H4571" s="1" t="s">
        <v>14</v>
      </c>
      <c r="I4571" s="1" t="s">
        <v>15</v>
      </c>
      <c r="J4571" s="12">
        <v>45961</v>
      </c>
      <c r="K4571">
        <v>0</v>
      </c>
      <c r="L4571" s="1">
        <f t="shared" si="284"/>
        <v>5.6</v>
      </c>
      <c r="M4571" s="1" t="str">
        <f t="shared" si="285"/>
        <v/>
      </c>
      <c r="N4571" s="2">
        <f t="shared" si="286"/>
        <v>45931</v>
      </c>
      <c r="O4571" t="str">
        <f t="shared" si="287"/>
        <v>pes</v>
      </c>
    </row>
    <row r="4572" spans="1:15" x14ac:dyDescent="0.25">
      <c r="A4572">
        <v>12059</v>
      </c>
      <c r="B4572" s="11">
        <v>4013456789017</v>
      </c>
      <c r="C4572" s="1" t="s">
        <v>11</v>
      </c>
      <c r="D4572" s="1" t="s">
        <v>12</v>
      </c>
      <c r="E4572" s="1" t="s">
        <v>13</v>
      </c>
      <c r="F4572">
        <v>6</v>
      </c>
      <c r="G4572">
        <v>1</v>
      </c>
      <c r="H4572" s="1" t="s">
        <v>14</v>
      </c>
      <c r="I4572" s="1" t="s">
        <v>15</v>
      </c>
      <c r="J4572" s="12">
        <v>45961</v>
      </c>
      <c r="K4572">
        <v>0</v>
      </c>
      <c r="L4572" s="1">
        <f t="shared" si="284"/>
        <v>6</v>
      </c>
      <c r="M4572" s="1" t="str">
        <f t="shared" si="285"/>
        <v/>
      </c>
      <c r="N4572" s="2">
        <f t="shared" si="286"/>
        <v>45931</v>
      </c>
      <c r="O4572" t="str">
        <f t="shared" si="287"/>
        <v>pes</v>
      </c>
    </row>
    <row r="4573" spans="1:15" x14ac:dyDescent="0.25">
      <c r="A4573">
        <v>12060</v>
      </c>
      <c r="B4573" s="11">
        <v>4040123456795</v>
      </c>
      <c r="C4573" s="1" t="s">
        <v>20</v>
      </c>
      <c r="D4573" s="1" t="s">
        <v>21</v>
      </c>
      <c r="E4573" s="1" t="s">
        <v>22</v>
      </c>
      <c r="F4573">
        <v>8.8000000000000007</v>
      </c>
      <c r="G4573">
        <v>1</v>
      </c>
      <c r="H4573" s="1" t="s">
        <v>18</v>
      </c>
      <c r="I4573" s="1" t="s">
        <v>963</v>
      </c>
      <c r="J4573" s="12">
        <v>45961</v>
      </c>
      <c r="K4573">
        <v>0</v>
      </c>
      <c r="L4573" s="1">
        <f t="shared" si="284"/>
        <v>8.8000000000000007</v>
      </c>
      <c r="M4573" s="1">
        <f t="shared" si="285"/>
        <v>4</v>
      </c>
      <c r="N4573" s="2">
        <f t="shared" si="286"/>
        <v>45931</v>
      </c>
      <c r="O4573" t="str">
        <f t="shared" si="287"/>
        <v>pes</v>
      </c>
    </row>
    <row r="4574" spans="1:15" hidden="1" x14ac:dyDescent="0.25">
      <c r="A4574">
        <v>12061</v>
      </c>
      <c r="B4574" s="11">
        <v>4019876501234</v>
      </c>
      <c r="C4574" s="1" t="s">
        <v>674</v>
      </c>
      <c r="D4574" s="1" t="s">
        <v>29</v>
      </c>
      <c r="E4574" s="1" t="s">
        <v>37</v>
      </c>
      <c r="F4574">
        <v>1.84</v>
      </c>
      <c r="G4574">
        <v>4</v>
      </c>
      <c r="H4574" s="1" t="s">
        <v>14</v>
      </c>
      <c r="I4574" s="1" t="s">
        <v>15</v>
      </c>
      <c r="J4574" s="12">
        <v>45961</v>
      </c>
      <c r="K4574">
        <v>0</v>
      </c>
      <c r="L4574" s="1">
        <f t="shared" si="284"/>
        <v>7.36</v>
      </c>
      <c r="M4574" s="1" t="str">
        <f t="shared" si="285"/>
        <v/>
      </c>
      <c r="N4574" s="2">
        <f t="shared" si="286"/>
        <v>45931</v>
      </c>
      <c r="O4574" t="str">
        <f t="shared" si="287"/>
        <v>mačka</v>
      </c>
    </row>
    <row r="4575" spans="1:15" hidden="1" x14ac:dyDescent="0.25">
      <c r="A4575">
        <v>12062</v>
      </c>
      <c r="B4575" s="11">
        <v>4029900112244</v>
      </c>
      <c r="C4575" s="1" t="s">
        <v>655</v>
      </c>
      <c r="D4575" s="1" t="s">
        <v>36</v>
      </c>
      <c r="E4575" s="1" t="s">
        <v>37</v>
      </c>
      <c r="F4575">
        <v>13.6</v>
      </c>
      <c r="G4575">
        <v>1</v>
      </c>
      <c r="H4575" s="1" t="s">
        <v>14</v>
      </c>
      <c r="I4575" s="1" t="s">
        <v>15</v>
      </c>
      <c r="J4575" s="12">
        <v>45961</v>
      </c>
      <c r="K4575">
        <v>0</v>
      </c>
      <c r="L4575" s="1">
        <f t="shared" si="284"/>
        <v>13.6</v>
      </c>
      <c r="M4575" s="1" t="str">
        <f t="shared" si="285"/>
        <v/>
      </c>
      <c r="N4575" s="2">
        <f t="shared" si="286"/>
        <v>45931</v>
      </c>
      <c r="O4575" t="str">
        <f t="shared" si="287"/>
        <v>mačka</v>
      </c>
    </row>
    <row r="4576" spans="1:15" x14ac:dyDescent="0.25">
      <c r="A4576">
        <v>12063</v>
      </c>
      <c r="B4576" s="11">
        <v>4063456789014</v>
      </c>
      <c r="C4576" s="1" t="s">
        <v>60</v>
      </c>
      <c r="D4576" s="1" t="s">
        <v>12</v>
      </c>
      <c r="E4576" s="1" t="s">
        <v>61</v>
      </c>
      <c r="F4576">
        <v>36</v>
      </c>
      <c r="G4576">
        <v>1</v>
      </c>
      <c r="H4576" s="1" t="s">
        <v>23</v>
      </c>
      <c r="I4576" s="1" t="s">
        <v>964</v>
      </c>
      <c r="J4576" s="12">
        <v>45961</v>
      </c>
      <c r="K4576">
        <v>0</v>
      </c>
      <c r="L4576" s="1">
        <f t="shared" si="284"/>
        <v>36</v>
      </c>
      <c r="M4576" s="1">
        <f t="shared" si="285"/>
        <v>5</v>
      </c>
      <c r="N4576" s="2">
        <f t="shared" si="286"/>
        <v>45931</v>
      </c>
      <c r="O4576" t="str">
        <f t="shared" si="287"/>
        <v>pes</v>
      </c>
    </row>
    <row r="4577" spans="1:15" x14ac:dyDescent="0.25">
      <c r="A4577">
        <v>12064</v>
      </c>
      <c r="B4577" s="11">
        <v>4017890123450</v>
      </c>
      <c r="C4577" s="1" t="s">
        <v>65</v>
      </c>
      <c r="D4577" s="1" t="s">
        <v>39</v>
      </c>
      <c r="E4577" s="1" t="s">
        <v>22</v>
      </c>
      <c r="F4577">
        <v>7.6</v>
      </c>
      <c r="G4577">
        <v>1</v>
      </c>
      <c r="H4577" s="1" t="s">
        <v>14</v>
      </c>
      <c r="I4577" s="1" t="s">
        <v>15</v>
      </c>
      <c r="J4577" s="12">
        <v>45961</v>
      </c>
      <c r="K4577">
        <v>0</v>
      </c>
      <c r="L4577" s="1">
        <f t="shared" si="284"/>
        <v>7.6</v>
      </c>
      <c r="M4577" s="1" t="str">
        <f t="shared" si="285"/>
        <v/>
      </c>
      <c r="N4577" s="2">
        <f t="shared" si="286"/>
        <v>45931</v>
      </c>
      <c r="O4577" t="str">
        <f t="shared" si="287"/>
        <v>pes</v>
      </c>
    </row>
    <row r="4578" spans="1:15" hidden="1" x14ac:dyDescent="0.25">
      <c r="A4578">
        <v>12065</v>
      </c>
      <c r="B4578" s="11">
        <v>4026677889902</v>
      </c>
      <c r="C4578" s="1" t="s">
        <v>52</v>
      </c>
      <c r="D4578" s="1" t="s">
        <v>53</v>
      </c>
      <c r="E4578" s="1" t="s">
        <v>54</v>
      </c>
      <c r="F4578">
        <v>7.6</v>
      </c>
      <c r="G4578">
        <v>1</v>
      </c>
      <c r="H4578" s="1" t="s">
        <v>14</v>
      </c>
      <c r="I4578" s="1" t="s">
        <v>15</v>
      </c>
      <c r="J4578" s="12">
        <v>45961</v>
      </c>
      <c r="K4578">
        <v>0</v>
      </c>
      <c r="L4578" s="1">
        <f t="shared" si="284"/>
        <v>7.6</v>
      </c>
      <c r="M4578" s="1" t="str">
        <f t="shared" si="285"/>
        <v/>
      </c>
      <c r="N4578" s="2">
        <f t="shared" si="286"/>
        <v>45931</v>
      </c>
      <c r="O4578" t="str">
        <f t="shared" si="287"/>
        <v>iné</v>
      </c>
    </row>
    <row r="4579" spans="1:15" x14ac:dyDescent="0.25">
      <c r="A4579">
        <v>12066</v>
      </c>
      <c r="B4579" s="11">
        <v>4027788990013</v>
      </c>
      <c r="C4579" s="1" t="s">
        <v>43</v>
      </c>
      <c r="D4579" s="1" t="s">
        <v>21</v>
      </c>
      <c r="E4579" s="1" t="s">
        <v>22</v>
      </c>
      <c r="F4579">
        <v>8</v>
      </c>
      <c r="G4579">
        <v>1</v>
      </c>
      <c r="H4579" s="1" t="s">
        <v>14</v>
      </c>
      <c r="I4579" s="1" t="s">
        <v>15</v>
      </c>
      <c r="J4579" s="12">
        <v>45961</v>
      </c>
      <c r="K4579">
        <v>0</v>
      </c>
      <c r="L4579" s="1">
        <f t="shared" si="284"/>
        <v>8</v>
      </c>
      <c r="M4579" s="1" t="str">
        <f t="shared" si="285"/>
        <v/>
      </c>
      <c r="N4579" s="2">
        <f t="shared" si="286"/>
        <v>45931</v>
      </c>
      <c r="O4579" t="str">
        <f t="shared" si="287"/>
        <v>pes</v>
      </c>
    </row>
    <row r="4580" spans="1:15" hidden="1" x14ac:dyDescent="0.25">
      <c r="A4580">
        <v>12067</v>
      </c>
      <c r="B4580" s="11">
        <v>4019876501234</v>
      </c>
      <c r="C4580" s="1" t="s">
        <v>674</v>
      </c>
      <c r="D4580" s="1" t="s">
        <v>29</v>
      </c>
      <c r="E4580" s="1" t="s">
        <v>37</v>
      </c>
      <c r="F4580">
        <v>1.84</v>
      </c>
      <c r="G4580">
        <v>4</v>
      </c>
      <c r="H4580" s="1" t="s">
        <v>18</v>
      </c>
      <c r="I4580" s="1" t="s">
        <v>965</v>
      </c>
      <c r="J4580" s="12">
        <v>45961</v>
      </c>
      <c r="K4580">
        <v>0</v>
      </c>
      <c r="L4580" s="1">
        <f t="shared" si="284"/>
        <v>7.36</v>
      </c>
      <c r="M4580" s="1">
        <f t="shared" si="285"/>
        <v>4</v>
      </c>
      <c r="N4580" s="2">
        <f t="shared" si="286"/>
        <v>45931</v>
      </c>
      <c r="O4580" t="str">
        <f t="shared" si="287"/>
        <v>mačka</v>
      </c>
    </row>
    <row r="4581" spans="1:15" x14ac:dyDescent="0.25">
      <c r="A4581">
        <v>12068</v>
      </c>
      <c r="B4581" s="11">
        <v>4028899001126</v>
      </c>
      <c r="C4581" s="1" t="s">
        <v>16</v>
      </c>
      <c r="D4581" s="1" t="s">
        <v>12</v>
      </c>
      <c r="E4581" s="1" t="s">
        <v>17</v>
      </c>
      <c r="F4581">
        <v>2.8</v>
      </c>
      <c r="G4581">
        <v>3</v>
      </c>
      <c r="H4581" s="1" t="s">
        <v>23</v>
      </c>
      <c r="I4581" s="1" t="s">
        <v>966</v>
      </c>
      <c r="J4581" s="12">
        <v>45961</v>
      </c>
      <c r="K4581">
        <v>0</v>
      </c>
      <c r="L4581" s="1">
        <f t="shared" si="284"/>
        <v>8.3999999999999986</v>
      </c>
      <c r="M4581" s="1">
        <f t="shared" si="285"/>
        <v>5</v>
      </c>
      <c r="N4581" s="2">
        <f t="shared" si="286"/>
        <v>45931</v>
      </c>
      <c r="O4581" t="str">
        <f t="shared" si="287"/>
        <v>pes</v>
      </c>
    </row>
    <row r="4582" spans="1:15" x14ac:dyDescent="0.25">
      <c r="A4582">
        <v>12069</v>
      </c>
      <c r="B4582" s="11">
        <v>4013456789017</v>
      </c>
      <c r="C4582" s="1" t="s">
        <v>11</v>
      </c>
      <c r="D4582" s="1" t="s">
        <v>12</v>
      </c>
      <c r="E4582" s="1" t="s">
        <v>13</v>
      </c>
      <c r="F4582">
        <v>6</v>
      </c>
      <c r="G4582">
        <v>2</v>
      </c>
      <c r="H4582" s="1" t="s">
        <v>14</v>
      </c>
      <c r="I4582" s="1" t="s">
        <v>15</v>
      </c>
      <c r="J4582" s="12">
        <v>45961</v>
      </c>
      <c r="K4582">
        <v>0</v>
      </c>
      <c r="L4582" s="1">
        <f t="shared" si="284"/>
        <v>12</v>
      </c>
      <c r="M4582" s="1" t="str">
        <f t="shared" si="285"/>
        <v/>
      </c>
      <c r="N4582" s="2">
        <f t="shared" si="286"/>
        <v>45931</v>
      </c>
      <c r="O4582" t="str">
        <f t="shared" si="287"/>
        <v>pes</v>
      </c>
    </row>
    <row r="4583" spans="1:15" x14ac:dyDescent="0.25">
      <c r="A4583">
        <v>12070</v>
      </c>
      <c r="B4583" s="11">
        <v>4040123456795</v>
      </c>
      <c r="C4583" s="1" t="s">
        <v>20</v>
      </c>
      <c r="D4583" s="1" t="s">
        <v>21</v>
      </c>
      <c r="E4583" s="1" t="s">
        <v>22</v>
      </c>
      <c r="F4583">
        <v>8.8000000000000007</v>
      </c>
      <c r="G4583">
        <v>1</v>
      </c>
      <c r="H4583" s="1" t="s">
        <v>14</v>
      </c>
      <c r="I4583" s="1" t="s">
        <v>15</v>
      </c>
      <c r="J4583" s="12">
        <v>45961</v>
      </c>
      <c r="K4583">
        <v>0</v>
      </c>
      <c r="L4583" s="1">
        <f t="shared" si="284"/>
        <v>8.8000000000000007</v>
      </c>
      <c r="M4583" s="1" t="str">
        <f t="shared" si="285"/>
        <v/>
      </c>
      <c r="N4583" s="2">
        <f t="shared" si="286"/>
        <v>45931</v>
      </c>
      <c r="O4583" t="str">
        <f t="shared" si="287"/>
        <v>pes</v>
      </c>
    </row>
    <row r="4584" spans="1:15" x14ac:dyDescent="0.25">
      <c r="A4584">
        <v>12071</v>
      </c>
      <c r="B4584" s="11">
        <v>4063456789014</v>
      </c>
      <c r="C4584" s="1" t="s">
        <v>60</v>
      </c>
      <c r="D4584" s="1" t="s">
        <v>12</v>
      </c>
      <c r="E4584" s="1" t="s">
        <v>61</v>
      </c>
      <c r="F4584">
        <v>36</v>
      </c>
      <c r="G4584">
        <v>1</v>
      </c>
      <c r="H4584" s="1" t="s">
        <v>18</v>
      </c>
      <c r="I4584" s="1" t="s">
        <v>967</v>
      </c>
      <c r="J4584" s="12">
        <v>45961</v>
      </c>
      <c r="K4584">
        <v>0</v>
      </c>
      <c r="L4584" s="1">
        <f t="shared" si="284"/>
        <v>36</v>
      </c>
      <c r="M4584" s="1">
        <f t="shared" si="285"/>
        <v>4</v>
      </c>
      <c r="N4584" s="2">
        <f t="shared" si="286"/>
        <v>45931</v>
      </c>
      <c r="O4584" t="str">
        <f t="shared" si="287"/>
        <v>pes</v>
      </c>
    </row>
    <row r="4585" spans="1:15" hidden="1" x14ac:dyDescent="0.25">
      <c r="A4585">
        <v>12072</v>
      </c>
      <c r="B4585" s="11">
        <v>4019876501234</v>
      </c>
      <c r="C4585" s="1" t="s">
        <v>674</v>
      </c>
      <c r="D4585" s="1" t="s">
        <v>29</v>
      </c>
      <c r="E4585" s="1" t="s">
        <v>37</v>
      </c>
      <c r="F4585">
        <v>1.84</v>
      </c>
      <c r="G4585">
        <v>5</v>
      </c>
      <c r="H4585" s="1" t="s">
        <v>14</v>
      </c>
      <c r="I4585" s="1" t="s">
        <v>15</v>
      </c>
      <c r="J4585" s="12">
        <v>45961</v>
      </c>
      <c r="K4585">
        <v>0</v>
      </c>
      <c r="L4585" s="1">
        <f t="shared" si="284"/>
        <v>9.2000000000000011</v>
      </c>
      <c r="M4585" s="1" t="str">
        <f t="shared" si="285"/>
        <v/>
      </c>
      <c r="N4585" s="2">
        <f t="shared" si="286"/>
        <v>45931</v>
      </c>
      <c r="O4585" t="str">
        <f t="shared" si="287"/>
        <v>mačka</v>
      </c>
    </row>
    <row r="4586" spans="1:15" hidden="1" x14ac:dyDescent="0.25">
      <c r="A4586">
        <v>12073</v>
      </c>
      <c r="B4586" s="11">
        <v>4029900112244</v>
      </c>
      <c r="C4586" s="1" t="s">
        <v>655</v>
      </c>
      <c r="D4586" s="1" t="s">
        <v>36</v>
      </c>
      <c r="E4586" s="1" t="s">
        <v>37</v>
      </c>
      <c r="F4586">
        <v>13.6</v>
      </c>
      <c r="G4586">
        <v>1</v>
      </c>
      <c r="H4586" s="1" t="s">
        <v>14</v>
      </c>
      <c r="I4586" s="1" t="s">
        <v>15</v>
      </c>
      <c r="J4586" s="12">
        <v>45961</v>
      </c>
      <c r="K4586">
        <v>0</v>
      </c>
      <c r="L4586" s="1">
        <f t="shared" si="284"/>
        <v>13.6</v>
      </c>
      <c r="M4586" s="1" t="str">
        <f t="shared" si="285"/>
        <v/>
      </c>
      <c r="N4586" s="2">
        <f t="shared" si="286"/>
        <v>45931</v>
      </c>
      <c r="O4586" t="str">
        <f t="shared" si="287"/>
        <v>mačka</v>
      </c>
    </row>
    <row r="4587" spans="1:15" hidden="1" x14ac:dyDescent="0.25">
      <c r="A4587">
        <v>12074</v>
      </c>
      <c r="B4587" s="11">
        <v>4026677889902</v>
      </c>
      <c r="C4587" s="1" t="s">
        <v>52</v>
      </c>
      <c r="D4587" s="1" t="s">
        <v>53</v>
      </c>
      <c r="E4587" s="1" t="s">
        <v>54</v>
      </c>
      <c r="F4587">
        <v>7.6</v>
      </c>
      <c r="G4587">
        <v>1</v>
      </c>
      <c r="H4587" s="1" t="s">
        <v>14</v>
      </c>
      <c r="I4587" s="1" t="s">
        <v>15</v>
      </c>
      <c r="J4587" s="12">
        <v>45961</v>
      </c>
      <c r="K4587">
        <v>0</v>
      </c>
      <c r="L4587" s="1">
        <f t="shared" si="284"/>
        <v>7.6</v>
      </c>
      <c r="M4587" s="1" t="str">
        <f t="shared" si="285"/>
        <v/>
      </c>
      <c r="N4587" s="2">
        <f t="shared" si="286"/>
        <v>45931</v>
      </c>
      <c r="O4587" t="str">
        <f t="shared" si="287"/>
        <v>iné</v>
      </c>
    </row>
    <row r="4588" spans="1:15" x14ac:dyDescent="0.25">
      <c r="A4588">
        <v>12075</v>
      </c>
      <c r="B4588" s="11">
        <v>4027788990013</v>
      </c>
      <c r="C4588" s="1" t="s">
        <v>43</v>
      </c>
      <c r="D4588" s="1" t="s">
        <v>21</v>
      </c>
      <c r="E4588" s="1" t="s">
        <v>22</v>
      </c>
      <c r="F4588">
        <v>8</v>
      </c>
      <c r="G4588">
        <v>1</v>
      </c>
      <c r="H4588" s="1" t="s">
        <v>14</v>
      </c>
      <c r="I4588" s="1" t="s">
        <v>15</v>
      </c>
      <c r="J4588" s="12">
        <v>45961</v>
      </c>
      <c r="K4588">
        <v>0</v>
      </c>
      <c r="L4588" s="1">
        <f t="shared" si="284"/>
        <v>8</v>
      </c>
      <c r="M4588" s="1" t="str">
        <f t="shared" si="285"/>
        <v/>
      </c>
      <c r="N4588" s="2">
        <f t="shared" si="286"/>
        <v>45931</v>
      </c>
      <c r="O4588" t="str">
        <f t="shared" si="287"/>
        <v>pes</v>
      </c>
    </row>
    <row r="4589" spans="1:15" x14ac:dyDescent="0.25">
      <c r="A4589">
        <v>12076</v>
      </c>
      <c r="B4589" s="11">
        <v>4017890123450</v>
      </c>
      <c r="C4589" s="1" t="s">
        <v>65</v>
      </c>
      <c r="D4589" s="1" t="s">
        <v>39</v>
      </c>
      <c r="E4589" s="1" t="s">
        <v>22</v>
      </c>
      <c r="F4589">
        <v>7.6</v>
      </c>
      <c r="G4589">
        <v>1</v>
      </c>
      <c r="H4589" s="1" t="s">
        <v>23</v>
      </c>
      <c r="I4589" s="1" t="s">
        <v>968</v>
      </c>
      <c r="J4589" s="12">
        <v>45961</v>
      </c>
      <c r="K4589">
        <v>0</v>
      </c>
      <c r="L4589" s="1">
        <f t="shared" si="284"/>
        <v>7.6</v>
      </c>
      <c r="M4589" s="1">
        <f t="shared" si="285"/>
        <v>5</v>
      </c>
      <c r="N4589" s="2">
        <f t="shared" si="286"/>
        <v>45931</v>
      </c>
      <c r="O4589" t="str">
        <f t="shared" si="287"/>
        <v>pes</v>
      </c>
    </row>
    <row r="4590" spans="1:15" hidden="1" x14ac:dyDescent="0.25">
      <c r="A4590">
        <v>12077</v>
      </c>
      <c r="B4590" s="11">
        <v>4056789012345</v>
      </c>
      <c r="C4590" s="1" t="s">
        <v>47</v>
      </c>
      <c r="D4590" s="1" t="s">
        <v>29</v>
      </c>
      <c r="E4590" s="1" t="s">
        <v>37</v>
      </c>
      <c r="F4590">
        <v>2.4</v>
      </c>
      <c r="G4590">
        <v>3</v>
      </c>
      <c r="H4590" s="1" t="s">
        <v>14</v>
      </c>
      <c r="I4590" s="1" t="s">
        <v>15</v>
      </c>
      <c r="J4590" s="12">
        <v>45961</v>
      </c>
      <c r="K4590">
        <v>0</v>
      </c>
      <c r="L4590" s="1">
        <f t="shared" si="284"/>
        <v>7.1999999999999993</v>
      </c>
      <c r="M4590" s="1" t="str">
        <f t="shared" si="285"/>
        <v/>
      </c>
      <c r="N4590" s="2">
        <f t="shared" si="286"/>
        <v>45931</v>
      </c>
      <c r="O4590" t="str">
        <f t="shared" si="287"/>
        <v>mačka</v>
      </c>
    </row>
    <row r="4591" spans="1:15" x14ac:dyDescent="0.25">
      <c r="A4591">
        <v>12078</v>
      </c>
      <c r="B4591" s="11">
        <v>4028899001126</v>
      </c>
      <c r="C4591" s="1" t="s">
        <v>16</v>
      </c>
      <c r="D4591" s="1" t="s">
        <v>12</v>
      </c>
      <c r="E4591" s="1" t="s">
        <v>17</v>
      </c>
      <c r="F4591">
        <v>2.8</v>
      </c>
      <c r="G4591">
        <v>2</v>
      </c>
      <c r="H4591" s="1" t="s">
        <v>14</v>
      </c>
      <c r="I4591" s="1" t="s">
        <v>15</v>
      </c>
      <c r="J4591" s="12">
        <v>45961</v>
      </c>
      <c r="K4591">
        <v>0</v>
      </c>
      <c r="L4591" s="1">
        <f t="shared" si="284"/>
        <v>5.6</v>
      </c>
      <c r="M4591" s="1" t="str">
        <f t="shared" si="285"/>
        <v/>
      </c>
      <c r="N4591" s="2">
        <f t="shared" si="286"/>
        <v>45931</v>
      </c>
      <c r="O4591" t="str">
        <f t="shared" si="287"/>
        <v>pes</v>
      </c>
    </row>
    <row r="4592" spans="1:15" x14ac:dyDescent="0.25">
      <c r="A4592">
        <v>12079</v>
      </c>
      <c r="B4592" s="11">
        <v>4013456789017</v>
      </c>
      <c r="C4592" s="1" t="s">
        <v>11</v>
      </c>
      <c r="D4592" s="1" t="s">
        <v>12</v>
      </c>
      <c r="E4592" s="1" t="s">
        <v>13</v>
      </c>
      <c r="F4592">
        <v>6</v>
      </c>
      <c r="G4592">
        <v>2</v>
      </c>
      <c r="H4592" s="1" t="s">
        <v>18</v>
      </c>
      <c r="I4592" s="1" t="s">
        <v>969</v>
      </c>
      <c r="J4592" s="12">
        <v>45961</v>
      </c>
      <c r="K4592">
        <v>0</v>
      </c>
      <c r="L4592" s="1">
        <f t="shared" si="284"/>
        <v>12</v>
      </c>
      <c r="M4592" s="1">
        <f t="shared" si="285"/>
        <v>4</v>
      </c>
      <c r="N4592" s="2">
        <f t="shared" si="286"/>
        <v>45931</v>
      </c>
      <c r="O4592" t="str">
        <f t="shared" si="287"/>
        <v>pes</v>
      </c>
    </row>
    <row r="4593" spans="1:15" x14ac:dyDescent="0.25">
      <c r="A4593">
        <v>12080</v>
      </c>
      <c r="B4593" s="11">
        <v>4040123456795</v>
      </c>
      <c r="C4593" s="1" t="s">
        <v>20</v>
      </c>
      <c r="D4593" s="1" t="s">
        <v>21</v>
      </c>
      <c r="E4593" s="1" t="s">
        <v>22</v>
      </c>
      <c r="F4593">
        <v>8.8000000000000007</v>
      </c>
      <c r="G4593">
        <v>1</v>
      </c>
      <c r="H4593" s="1" t="s">
        <v>14</v>
      </c>
      <c r="I4593" s="1" t="s">
        <v>15</v>
      </c>
      <c r="J4593" s="12">
        <v>45961</v>
      </c>
      <c r="K4593">
        <v>0</v>
      </c>
      <c r="L4593" s="1">
        <f t="shared" si="284"/>
        <v>8.8000000000000007</v>
      </c>
      <c r="M4593" s="1" t="str">
        <f t="shared" si="285"/>
        <v/>
      </c>
      <c r="N4593" s="2">
        <f t="shared" si="286"/>
        <v>45931</v>
      </c>
      <c r="O4593" t="str">
        <f t="shared" si="287"/>
        <v>pes</v>
      </c>
    </row>
    <row r="4594" spans="1:15" hidden="1" x14ac:dyDescent="0.25">
      <c r="A4594">
        <v>12081</v>
      </c>
      <c r="B4594" s="11">
        <v>4019876501234</v>
      </c>
      <c r="C4594" s="1" t="s">
        <v>674</v>
      </c>
      <c r="D4594" s="1" t="s">
        <v>29</v>
      </c>
      <c r="E4594" s="1" t="s">
        <v>37</v>
      </c>
      <c r="F4594">
        <v>1.84</v>
      </c>
      <c r="G4594">
        <v>4</v>
      </c>
      <c r="H4594" s="1" t="s">
        <v>14</v>
      </c>
      <c r="I4594" s="1" t="s">
        <v>15</v>
      </c>
      <c r="J4594" s="12">
        <v>45961</v>
      </c>
      <c r="K4594">
        <v>0</v>
      </c>
      <c r="L4594" s="1">
        <f t="shared" si="284"/>
        <v>7.36</v>
      </c>
      <c r="M4594" s="1" t="str">
        <f t="shared" si="285"/>
        <v/>
      </c>
      <c r="N4594" s="2">
        <f t="shared" si="286"/>
        <v>45931</v>
      </c>
      <c r="O4594" t="str">
        <f t="shared" si="287"/>
        <v>mačka</v>
      </c>
    </row>
    <row r="4595" spans="1:15" x14ac:dyDescent="0.25">
      <c r="A4595">
        <v>12082</v>
      </c>
      <c r="B4595" s="11">
        <v>4063456789014</v>
      </c>
      <c r="C4595" s="1" t="s">
        <v>60</v>
      </c>
      <c r="D4595" s="1" t="s">
        <v>12</v>
      </c>
      <c r="E4595" s="1" t="s">
        <v>61</v>
      </c>
      <c r="F4595">
        <v>36</v>
      </c>
      <c r="G4595">
        <v>1</v>
      </c>
      <c r="H4595" s="1" t="s">
        <v>23</v>
      </c>
      <c r="I4595" s="1" t="s">
        <v>970</v>
      </c>
      <c r="J4595" s="12">
        <v>45961</v>
      </c>
      <c r="K4595">
        <v>0</v>
      </c>
      <c r="L4595" s="1">
        <f t="shared" si="284"/>
        <v>36</v>
      </c>
      <c r="M4595" s="1">
        <f t="shared" si="285"/>
        <v>5</v>
      </c>
      <c r="N4595" s="2">
        <f t="shared" si="286"/>
        <v>45931</v>
      </c>
      <c r="O4595" t="str">
        <f t="shared" si="287"/>
        <v>pes</v>
      </c>
    </row>
    <row r="4596" spans="1:15" hidden="1" x14ac:dyDescent="0.25">
      <c r="A4596">
        <v>12083</v>
      </c>
      <c r="B4596" s="11">
        <v>4029900112244</v>
      </c>
      <c r="C4596" s="1" t="s">
        <v>655</v>
      </c>
      <c r="D4596" s="1" t="s">
        <v>36</v>
      </c>
      <c r="E4596" s="1" t="s">
        <v>37</v>
      </c>
      <c r="F4596">
        <v>13.6</v>
      </c>
      <c r="G4596">
        <v>1</v>
      </c>
      <c r="H4596" s="1" t="s">
        <v>14</v>
      </c>
      <c r="I4596" s="1" t="s">
        <v>15</v>
      </c>
      <c r="J4596" s="12">
        <v>45961</v>
      </c>
      <c r="K4596">
        <v>0</v>
      </c>
      <c r="L4596" s="1">
        <f t="shared" si="284"/>
        <v>13.6</v>
      </c>
      <c r="M4596" s="1" t="str">
        <f t="shared" si="285"/>
        <v/>
      </c>
      <c r="N4596" s="2">
        <f t="shared" si="286"/>
        <v>45931</v>
      </c>
      <c r="O4596" t="str">
        <f t="shared" si="287"/>
        <v>mačka</v>
      </c>
    </row>
    <row r="4597" spans="1:15" hidden="1" x14ac:dyDescent="0.25">
      <c r="A4597">
        <v>12084</v>
      </c>
      <c r="B4597" s="11">
        <v>4026677889902</v>
      </c>
      <c r="C4597" s="1" t="s">
        <v>52</v>
      </c>
      <c r="D4597" s="1" t="s">
        <v>53</v>
      </c>
      <c r="E4597" s="1" t="s">
        <v>54</v>
      </c>
      <c r="F4597">
        <v>7.6</v>
      </c>
      <c r="G4597">
        <v>1</v>
      </c>
      <c r="H4597" s="1" t="s">
        <v>14</v>
      </c>
      <c r="I4597" s="1" t="s">
        <v>15</v>
      </c>
      <c r="J4597" s="12">
        <v>45961</v>
      </c>
      <c r="K4597">
        <v>0</v>
      </c>
      <c r="L4597" s="1">
        <f t="shared" si="284"/>
        <v>7.6</v>
      </c>
      <c r="M4597" s="1" t="str">
        <f t="shared" si="285"/>
        <v/>
      </c>
      <c r="N4597" s="2">
        <f t="shared" si="286"/>
        <v>45931</v>
      </c>
      <c r="O4597" t="str">
        <f t="shared" si="287"/>
        <v>iné</v>
      </c>
    </row>
    <row r="4598" spans="1:15" x14ac:dyDescent="0.25">
      <c r="A4598">
        <v>12085</v>
      </c>
      <c r="B4598" s="11">
        <v>4027788990013</v>
      </c>
      <c r="C4598" s="1" t="s">
        <v>43</v>
      </c>
      <c r="D4598" s="1" t="s">
        <v>21</v>
      </c>
      <c r="E4598" s="1" t="s">
        <v>22</v>
      </c>
      <c r="F4598">
        <v>8</v>
      </c>
      <c r="G4598">
        <v>1</v>
      </c>
      <c r="H4598" s="1" t="s">
        <v>33</v>
      </c>
      <c r="I4598" s="1" t="s">
        <v>971</v>
      </c>
      <c r="J4598" s="12">
        <v>45961</v>
      </c>
      <c r="K4598">
        <v>0</v>
      </c>
      <c r="L4598" s="1">
        <f t="shared" si="284"/>
        <v>8</v>
      </c>
      <c r="M4598" s="1">
        <f t="shared" si="285"/>
        <v>3</v>
      </c>
      <c r="N4598" s="2">
        <f t="shared" si="286"/>
        <v>45931</v>
      </c>
      <c r="O4598" t="str">
        <f t="shared" si="287"/>
        <v>pes</v>
      </c>
    </row>
    <row r="4599" spans="1:15" x14ac:dyDescent="0.25">
      <c r="A4599">
        <v>12086</v>
      </c>
      <c r="B4599" s="11">
        <v>4017890123450</v>
      </c>
      <c r="C4599" s="1" t="s">
        <v>65</v>
      </c>
      <c r="D4599" s="1" t="s">
        <v>39</v>
      </c>
      <c r="E4599" s="1" t="s">
        <v>22</v>
      </c>
      <c r="F4599">
        <v>7.6</v>
      </c>
      <c r="G4599">
        <v>1</v>
      </c>
      <c r="H4599" s="1" t="s">
        <v>14</v>
      </c>
      <c r="I4599" s="1" t="s">
        <v>15</v>
      </c>
      <c r="J4599" s="12">
        <v>45961</v>
      </c>
      <c r="K4599">
        <v>0</v>
      </c>
      <c r="L4599" s="1">
        <f t="shared" si="284"/>
        <v>7.6</v>
      </c>
      <c r="M4599" s="1" t="str">
        <f t="shared" si="285"/>
        <v/>
      </c>
      <c r="N4599" s="2">
        <f t="shared" si="286"/>
        <v>45931</v>
      </c>
      <c r="O4599" t="str">
        <f t="shared" si="287"/>
        <v>pes</v>
      </c>
    </row>
    <row r="4600" spans="1:15" hidden="1" x14ac:dyDescent="0.25">
      <c r="A4600">
        <v>12087</v>
      </c>
      <c r="B4600" s="11">
        <v>4056789012345</v>
      </c>
      <c r="C4600" s="1" t="s">
        <v>47</v>
      </c>
      <c r="D4600" s="1" t="s">
        <v>29</v>
      </c>
      <c r="E4600" s="1" t="s">
        <v>37</v>
      </c>
      <c r="F4600">
        <v>2.4</v>
      </c>
      <c r="G4600">
        <v>3</v>
      </c>
      <c r="H4600" s="1" t="s">
        <v>14</v>
      </c>
      <c r="I4600" s="1" t="s">
        <v>15</v>
      </c>
      <c r="J4600" s="12">
        <v>45961</v>
      </c>
      <c r="K4600">
        <v>0</v>
      </c>
      <c r="L4600" s="1">
        <f t="shared" si="284"/>
        <v>7.1999999999999993</v>
      </c>
      <c r="M4600" s="1" t="str">
        <f t="shared" si="285"/>
        <v/>
      </c>
      <c r="N4600" s="2">
        <f t="shared" si="286"/>
        <v>45931</v>
      </c>
      <c r="O4600" t="str">
        <f t="shared" si="287"/>
        <v>mačka</v>
      </c>
    </row>
    <row r="4601" spans="1:15" x14ac:dyDescent="0.25">
      <c r="A4601">
        <v>12088</v>
      </c>
      <c r="B4601" s="11">
        <v>4028899001126</v>
      </c>
      <c r="C4601" s="1" t="s">
        <v>16</v>
      </c>
      <c r="D4601" s="1" t="s">
        <v>12</v>
      </c>
      <c r="E4601" s="1" t="s">
        <v>17</v>
      </c>
      <c r="F4601">
        <v>2.8</v>
      </c>
      <c r="G4601">
        <v>2</v>
      </c>
      <c r="H4601" s="1" t="s">
        <v>23</v>
      </c>
      <c r="I4601" s="1" t="s">
        <v>972</v>
      </c>
      <c r="J4601" s="12">
        <v>45961</v>
      </c>
      <c r="K4601">
        <v>0</v>
      </c>
      <c r="L4601" s="1">
        <f t="shared" si="284"/>
        <v>5.6</v>
      </c>
      <c r="M4601" s="1">
        <f t="shared" si="285"/>
        <v>5</v>
      </c>
      <c r="N4601" s="2">
        <f t="shared" si="286"/>
        <v>45931</v>
      </c>
      <c r="O4601" t="str">
        <f t="shared" si="287"/>
        <v>pes</v>
      </c>
    </row>
    <row r="4602" spans="1:15" x14ac:dyDescent="0.25">
      <c r="A4602">
        <v>12089</v>
      </c>
      <c r="B4602" s="11">
        <v>4013456789017</v>
      </c>
      <c r="C4602" s="1" t="s">
        <v>11</v>
      </c>
      <c r="D4602" s="1" t="s">
        <v>12</v>
      </c>
      <c r="E4602" s="1" t="s">
        <v>13</v>
      </c>
      <c r="F4602">
        <v>6</v>
      </c>
      <c r="G4602">
        <v>1</v>
      </c>
      <c r="H4602" s="1" t="s">
        <v>14</v>
      </c>
      <c r="I4602" s="1" t="s">
        <v>15</v>
      </c>
      <c r="J4602" s="12">
        <v>45961</v>
      </c>
      <c r="K4602">
        <v>0</v>
      </c>
      <c r="L4602" s="1">
        <f t="shared" si="284"/>
        <v>6</v>
      </c>
      <c r="M4602" s="1" t="str">
        <f t="shared" si="285"/>
        <v/>
      </c>
      <c r="N4602" s="2">
        <f t="shared" si="286"/>
        <v>45931</v>
      </c>
      <c r="O4602" t="str">
        <f t="shared" si="287"/>
        <v>pes</v>
      </c>
    </row>
    <row r="4603" spans="1:15" x14ac:dyDescent="0.25">
      <c r="A4603">
        <v>12090</v>
      </c>
      <c r="B4603" s="11">
        <v>4040123456795</v>
      </c>
      <c r="C4603" s="1" t="s">
        <v>20</v>
      </c>
      <c r="D4603" s="1" t="s">
        <v>21</v>
      </c>
      <c r="E4603" s="1" t="s">
        <v>22</v>
      </c>
      <c r="F4603">
        <v>8.8000000000000007</v>
      </c>
      <c r="G4603">
        <v>1</v>
      </c>
      <c r="H4603" s="1" t="s">
        <v>18</v>
      </c>
      <c r="I4603" s="1" t="s">
        <v>973</v>
      </c>
      <c r="J4603" s="12">
        <v>45961</v>
      </c>
      <c r="K4603">
        <v>0</v>
      </c>
      <c r="L4603" s="1">
        <f t="shared" si="284"/>
        <v>8.8000000000000007</v>
      </c>
      <c r="M4603" s="1">
        <f t="shared" si="285"/>
        <v>4</v>
      </c>
      <c r="N4603" s="2">
        <f t="shared" si="286"/>
        <v>45931</v>
      </c>
      <c r="O4603" t="str">
        <f t="shared" si="287"/>
        <v>pes</v>
      </c>
    </row>
    <row r="4604" spans="1:15" hidden="1" x14ac:dyDescent="0.25">
      <c r="A4604">
        <v>12091</v>
      </c>
      <c r="B4604" s="11">
        <v>4019876501234</v>
      </c>
      <c r="C4604" s="1" t="s">
        <v>674</v>
      </c>
      <c r="D4604" s="1" t="s">
        <v>29</v>
      </c>
      <c r="E4604" s="1" t="s">
        <v>37</v>
      </c>
      <c r="F4604">
        <v>1.84</v>
      </c>
      <c r="G4604">
        <v>4</v>
      </c>
      <c r="H4604" s="1" t="s">
        <v>14</v>
      </c>
      <c r="I4604" s="1" t="s">
        <v>15</v>
      </c>
      <c r="J4604" s="12">
        <v>45961</v>
      </c>
      <c r="K4604">
        <v>0</v>
      </c>
      <c r="L4604" s="1">
        <f t="shared" si="284"/>
        <v>7.36</v>
      </c>
      <c r="M4604" s="1" t="str">
        <f t="shared" si="285"/>
        <v/>
      </c>
      <c r="N4604" s="2">
        <f t="shared" si="286"/>
        <v>45931</v>
      </c>
      <c r="O4604" t="str">
        <f t="shared" si="287"/>
        <v>mačka</v>
      </c>
    </row>
    <row r="4605" spans="1:15" x14ac:dyDescent="0.25">
      <c r="A4605">
        <v>12092</v>
      </c>
      <c r="B4605" s="11">
        <v>4063456789014</v>
      </c>
      <c r="C4605" s="1" t="s">
        <v>60</v>
      </c>
      <c r="D4605" s="1" t="s">
        <v>12</v>
      </c>
      <c r="E4605" s="1" t="s">
        <v>61</v>
      </c>
      <c r="F4605">
        <v>36</v>
      </c>
      <c r="G4605">
        <v>1</v>
      </c>
      <c r="H4605" s="1" t="s">
        <v>14</v>
      </c>
      <c r="I4605" s="1" t="s">
        <v>15</v>
      </c>
      <c r="J4605" s="12">
        <v>45961</v>
      </c>
      <c r="K4605">
        <v>0</v>
      </c>
      <c r="L4605" s="1">
        <f t="shared" si="284"/>
        <v>36</v>
      </c>
      <c r="M4605" s="1" t="str">
        <f t="shared" si="285"/>
        <v/>
      </c>
      <c r="N4605" s="2">
        <f t="shared" si="286"/>
        <v>45931</v>
      </c>
      <c r="O4605" t="str">
        <f t="shared" si="287"/>
        <v>pes</v>
      </c>
    </row>
    <row r="4606" spans="1:15" hidden="1" x14ac:dyDescent="0.25">
      <c r="A4606">
        <v>12093</v>
      </c>
      <c r="B4606" s="11">
        <v>4029900112244</v>
      </c>
      <c r="C4606" s="1" t="s">
        <v>655</v>
      </c>
      <c r="D4606" s="1" t="s">
        <v>36</v>
      </c>
      <c r="E4606" s="1" t="s">
        <v>37</v>
      </c>
      <c r="F4606">
        <v>13.6</v>
      </c>
      <c r="G4606">
        <v>1</v>
      </c>
      <c r="H4606" s="1" t="s">
        <v>14</v>
      </c>
      <c r="I4606" s="1" t="s">
        <v>15</v>
      </c>
      <c r="J4606" s="12">
        <v>45961</v>
      </c>
      <c r="K4606">
        <v>0</v>
      </c>
      <c r="L4606" s="1">
        <f t="shared" si="284"/>
        <v>13.6</v>
      </c>
      <c r="M4606" s="1" t="str">
        <f t="shared" si="285"/>
        <v/>
      </c>
      <c r="N4606" s="2">
        <f t="shared" si="286"/>
        <v>45931</v>
      </c>
      <c r="O4606" t="str">
        <f t="shared" si="287"/>
        <v>mačka</v>
      </c>
    </row>
    <row r="4607" spans="1:15" x14ac:dyDescent="0.25">
      <c r="A4607">
        <v>12094</v>
      </c>
      <c r="B4607" s="11">
        <v>4017890123450</v>
      </c>
      <c r="C4607" s="1" t="s">
        <v>65</v>
      </c>
      <c r="D4607" s="1" t="s">
        <v>39</v>
      </c>
      <c r="E4607" s="1" t="s">
        <v>22</v>
      </c>
      <c r="F4607">
        <v>7.6</v>
      </c>
      <c r="G4607">
        <v>1</v>
      </c>
      <c r="H4607" s="1" t="s">
        <v>23</v>
      </c>
      <c r="I4607" s="1" t="s">
        <v>974</v>
      </c>
      <c r="J4607" s="12">
        <v>45961</v>
      </c>
      <c r="K4607">
        <v>0</v>
      </c>
      <c r="L4607" s="1">
        <f t="shared" si="284"/>
        <v>7.6</v>
      </c>
      <c r="M4607" s="1">
        <f t="shared" si="285"/>
        <v>5</v>
      </c>
      <c r="N4607" s="2">
        <f t="shared" si="286"/>
        <v>45931</v>
      </c>
      <c r="O4607" t="str">
        <f t="shared" si="287"/>
        <v>pes</v>
      </c>
    </row>
    <row r="4608" spans="1:15" hidden="1" x14ac:dyDescent="0.25">
      <c r="A4608">
        <v>12095</v>
      </c>
      <c r="B4608" s="11">
        <v>4026677889902</v>
      </c>
      <c r="C4608" s="1" t="s">
        <v>52</v>
      </c>
      <c r="D4608" s="1" t="s">
        <v>53</v>
      </c>
      <c r="E4608" s="1" t="s">
        <v>54</v>
      </c>
      <c r="F4608">
        <v>7.6</v>
      </c>
      <c r="G4608">
        <v>1</v>
      </c>
      <c r="H4608" s="1" t="s">
        <v>14</v>
      </c>
      <c r="I4608" s="1" t="s">
        <v>15</v>
      </c>
      <c r="J4608" s="12">
        <v>45961</v>
      </c>
      <c r="K4608">
        <v>0</v>
      </c>
      <c r="L4608" s="1">
        <f t="shared" si="284"/>
        <v>7.6</v>
      </c>
      <c r="M4608" s="1" t="str">
        <f t="shared" si="285"/>
        <v/>
      </c>
      <c r="N4608" s="2">
        <f t="shared" si="286"/>
        <v>45931</v>
      </c>
      <c r="O4608" t="str">
        <f t="shared" si="287"/>
        <v>iné</v>
      </c>
    </row>
    <row r="4609" spans="1:15" x14ac:dyDescent="0.25">
      <c r="A4609">
        <v>12096</v>
      </c>
      <c r="B4609" s="11">
        <v>4027788990013</v>
      </c>
      <c r="C4609" s="1" t="s">
        <v>43</v>
      </c>
      <c r="D4609" s="1" t="s">
        <v>21</v>
      </c>
      <c r="E4609" s="1" t="s">
        <v>22</v>
      </c>
      <c r="F4609">
        <v>8</v>
      </c>
      <c r="G4609">
        <v>1</v>
      </c>
      <c r="H4609" s="1" t="s">
        <v>14</v>
      </c>
      <c r="I4609" s="1" t="s">
        <v>15</v>
      </c>
      <c r="J4609" s="12">
        <v>45961</v>
      </c>
      <c r="K4609">
        <v>0</v>
      </c>
      <c r="L4609" s="1">
        <f t="shared" si="284"/>
        <v>8</v>
      </c>
      <c r="M4609" s="1" t="str">
        <f t="shared" si="285"/>
        <v/>
      </c>
      <c r="N4609" s="2">
        <f t="shared" si="286"/>
        <v>45931</v>
      </c>
      <c r="O4609" t="str">
        <f t="shared" si="287"/>
        <v>pes</v>
      </c>
    </row>
    <row r="4610" spans="1:15" hidden="1" x14ac:dyDescent="0.25">
      <c r="A4610">
        <v>12097</v>
      </c>
      <c r="B4610" s="11">
        <v>4056789012345</v>
      </c>
      <c r="C4610" s="1" t="s">
        <v>47</v>
      </c>
      <c r="D4610" s="1" t="s">
        <v>29</v>
      </c>
      <c r="E4610" s="1" t="s">
        <v>37</v>
      </c>
      <c r="F4610">
        <v>2.4</v>
      </c>
      <c r="G4610">
        <v>3</v>
      </c>
      <c r="H4610" s="1" t="s">
        <v>14</v>
      </c>
      <c r="I4610" s="1" t="s">
        <v>15</v>
      </c>
      <c r="J4610" s="12">
        <v>45961</v>
      </c>
      <c r="K4610">
        <v>0</v>
      </c>
      <c r="L4610" s="1">
        <f t="shared" ref="L4610:L4673" si="288">F4610*G4610</f>
        <v>7.1999999999999993</v>
      </c>
      <c r="M4610" s="1" t="str">
        <f t="shared" ref="M4610:M4673" si="289">IF(H4610="NULL", "",VALUE(H4610))</f>
        <v/>
      </c>
      <c r="N4610" s="2">
        <f t="shared" ref="N4610:N4673" si="290">DATE(YEAR(J4610),MONTH(J4610),1)</f>
        <v>45931</v>
      </c>
      <c r="O4610" t="str">
        <f t="shared" ref="O4610:O4673" si="291">IF(ISNUMBER(SEARCH("Mačky",D4610)),"mačka",IF(ISNUMBER(SEARCH("Psy",D4610)),"pes","iné"))</f>
        <v>mačka</v>
      </c>
    </row>
    <row r="4611" spans="1:15" x14ac:dyDescent="0.25">
      <c r="A4611">
        <v>12098</v>
      </c>
      <c r="B4611" s="11">
        <v>4028899001126</v>
      </c>
      <c r="C4611" s="1" t="s">
        <v>16</v>
      </c>
      <c r="D4611" s="1" t="s">
        <v>12</v>
      </c>
      <c r="E4611" s="1" t="s">
        <v>17</v>
      </c>
      <c r="F4611">
        <v>2.8</v>
      </c>
      <c r="G4611">
        <v>2</v>
      </c>
      <c r="H4611" s="1" t="s">
        <v>14</v>
      </c>
      <c r="I4611" s="1" t="s">
        <v>15</v>
      </c>
      <c r="J4611" s="12">
        <v>45961</v>
      </c>
      <c r="K4611">
        <v>0</v>
      </c>
      <c r="L4611" s="1">
        <f t="shared" si="288"/>
        <v>5.6</v>
      </c>
      <c r="M4611" s="1" t="str">
        <f t="shared" si="289"/>
        <v/>
      </c>
      <c r="N4611" s="2">
        <f t="shared" si="290"/>
        <v>45931</v>
      </c>
      <c r="O4611" t="str">
        <f t="shared" si="291"/>
        <v>pes</v>
      </c>
    </row>
    <row r="4612" spans="1:15" x14ac:dyDescent="0.25">
      <c r="A4612">
        <v>12099</v>
      </c>
      <c r="B4612" s="11">
        <v>4013456789017</v>
      </c>
      <c r="C4612" s="1" t="s">
        <v>11</v>
      </c>
      <c r="D4612" s="1" t="s">
        <v>12</v>
      </c>
      <c r="E4612" s="1" t="s">
        <v>13</v>
      </c>
      <c r="F4612">
        <v>6</v>
      </c>
      <c r="G4612">
        <v>1</v>
      </c>
      <c r="H4612" s="1" t="s">
        <v>14</v>
      </c>
      <c r="I4612" s="1" t="s">
        <v>15</v>
      </c>
      <c r="J4612" s="12">
        <v>45961</v>
      </c>
      <c r="K4612">
        <v>0</v>
      </c>
      <c r="L4612" s="1">
        <f t="shared" si="288"/>
        <v>6</v>
      </c>
      <c r="M4612" s="1" t="str">
        <f t="shared" si="289"/>
        <v/>
      </c>
      <c r="N4612" s="2">
        <f t="shared" si="290"/>
        <v>45931</v>
      </c>
      <c r="O4612" t="str">
        <f t="shared" si="291"/>
        <v>pes</v>
      </c>
    </row>
    <row r="4613" spans="1:15" x14ac:dyDescent="0.25">
      <c r="A4613">
        <v>12100</v>
      </c>
      <c r="B4613" s="11">
        <v>4040123456795</v>
      </c>
      <c r="C4613" s="1" t="s">
        <v>20</v>
      </c>
      <c r="D4613" s="1" t="s">
        <v>21</v>
      </c>
      <c r="E4613" s="1" t="s">
        <v>22</v>
      </c>
      <c r="F4613">
        <v>8.8000000000000007</v>
      </c>
      <c r="G4613">
        <v>1</v>
      </c>
      <c r="H4613" s="1" t="s">
        <v>18</v>
      </c>
      <c r="I4613" s="1" t="s">
        <v>975</v>
      </c>
      <c r="J4613" s="12">
        <v>45961</v>
      </c>
      <c r="K4613">
        <v>0</v>
      </c>
      <c r="L4613" s="1">
        <f t="shared" si="288"/>
        <v>8.8000000000000007</v>
      </c>
      <c r="M4613" s="1">
        <f t="shared" si="289"/>
        <v>4</v>
      </c>
      <c r="N4613" s="2">
        <f t="shared" si="290"/>
        <v>45931</v>
      </c>
      <c r="O4613" t="str">
        <f t="shared" si="291"/>
        <v>pes</v>
      </c>
    </row>
    <row r="4614" spans="1:15" hidden="1" x14ac:dyDescent="0.25">
      <c r="A4614">
        <v>12101</v>
      </c>
      <c r="B4614" s="11">
        <v>4019876501234</v>
      </c>
      <c r="C4614" s="1" t="s">
        <v>674</v>
      </c>
      <c r="D4614" s="1" t="s">
        <v>29</v>
      </c>
      <c r="E4614" s="1" t="s">
        <v>37</v>
      </c>
      <c r="F4614">
        <v>1.84</v>
      </c>
      <c r="G4614">
        <v>5</v>
      </c>
      <c r="H4614" s="1" t="s">
        <v>14</v>
      </c>
      <c r="I4614" s="1" t="s">
        <v>15</v>
      </c>
      <c r="J4614" s="12">
        <v>45961</v>
      </c>
      <c r="K4614">
        <v>0</v>
      </c>
      <c r="L4614" s="1">
        <f t="shared" si="288"/>
        <v>9.2000000000000011</v>
      </c>
      <c r="M4614" s="1" t="str">
        <f t="shared" si="289"/>
        <v/>
      </c>
      <c r="N4614" s="2">
        <f t="shared" si="290"/>
        <v>45931</v>
      </c>
      <c r="O4614" t="str">
        <f t="shared" si="291"/>
        <v>mačka</v>
      </c>
    </row>
    <row r="4615" spans="1:15" x14ac:dyDescent="0.25">
      <c r="A4615">
        <v>12102</v>
      </c>
      <c r="B4615" s="11">
        <v>4063456789014</v>
      </c>
      <c r="C4615" s="1" t="s">
        <v>60</v>
      </c>
      <c r="D4615" s="1" t="s">
        <v>12</v>
      </c>
      <c r="E4615" s="1" t="s">
        <v>61</v>
      </c>
      <c r="F4615">
        <v>36</v>
      </c>
      <c r="G4615">
        <v>1</v>
      </c>
      <c r="H4615" s="1" t="s">
        <v>14</v>
      </c>
      <c r="I4615" s="1" t="s">
        <v>15</v>
      </c>
      <c r="J4615" s="12">
        <v>45961</v>
      </c>
      <c r="K4615">
        <v>0</v>
      </c>
      <c r="L4615" s="1">
        <f t="shared" si="288"/>
        <v>36</v>
      </c>
      <c r="M4615" s="1" t="str">
        <f t="shared" si="289"/>
        <v/>
      </c>
      <c r="N4615" s="2">
        <f t="shared" si="290"/>
        <v>45931</v>
      </c>
      <c r="O4615" t="str">
        <f t="shared" si="291"/>
        <v>pes</v>
      </c>
    </row>
    <row r="4616" spans="1:15" hidden="1" x14ac:dyDescent="0.25">
      <c r="A4616">
        <v>12103</v>
      </c>
      <c r="B4616" s="11">
        <v>4029900112244</v>
      </c>
      <c r="C4616" s="1" t="s">
        <v>655</v>
      </c>
      <c r="D4616" s="1" t="s">
        <v>36</v>
      </c>
      <c r="E4616" s="1" t="s">
        <v>37</v>
      </c>
      <c r="F4616">
        <v>13.6</v>
      </c>
      <c r="G4616">
        <v>1</v>
      </c>
      <c r="H4616" s="1" t="s">
        <v>23</v>
      </c>
      <c r="I4616" s="1" t="s">
        <v>976</v>
      </c>
      <c r="J4616" s="12">
        <v>45961</v>
      </c>
      <c r="K4616">
        <v>0</v>
      </c>
      <c r="L4616" s="1">
        <f t="shared" si="288"/>
        <v>13.6</v>
      </c>
      <c r="M4616" s="1">
        <f t="shared" si="289"/>
        <v>5</v>
      </c>
      <c r="N4616" s="2">
        <f t="shared" si="290"/>
        <v>45931</v>
      </c>
      <c r="O4616" t="str">
        <f t="shared" si="291"/>
        <v>mačka</v>
      </c>
    </row>
    <row r="4617" spans="1:15" hidden="1" x14ac:dyDescent="0.25">
      <c r="A4617">
        <v>12104</v>
      </c>
      <c r="B4617" s="11">
        <v>4026677889902</v>
      </c>
      <c r="C4617" s="1" t="s">
        <v>52</v>
      </c>
      <c r="D4617" s="1" t="s">
        <v>53</v>
      </c>
      <c r="E4617" s="1" t="s">
        <v>54</v>
      </c>
      <c r="F4617">
        <v>7.6</v>
      </c>
      <c r="G4617">
        <v>1</v>
      </c>
      <c r="H4617" s="1" t="s">
        <v>14</v>
      </c>
      <c r="I4617" s="1" t="s">
        <v>15</v>
      </c>
      <c r="J4617" s="12">
        <v>45961</v>
      </c>
      <c r="K4617">
        <v>0</v>
      </c>
      <c r="L4617" s="1">
        <f t="shared" si="288"/>
        <v>7.6</v>
      </c>
      <c r="M4617" s="1" t="str">
        <f t="shared" si="289"/>
        <v/>
      </c>
      <c r="N4617" s="2">
        <f t="shared" si="290"/>
        <v>45931</v>
      </c>
      <c r="O4617" t="str">
        <f t="shared" si="291"/>
        <v>iné</v>
      </c>
    </row>
    <row r="4618" spans="1:15" x14ac:dyDescent="0.25">
      <c r="A4618">
        <v>12105</v>
      </c>
      <c r="B4618" s="11">
        <v>4017890123450</v>
      </c>
      <c r="C4618" s="1" t="s">
        <v>65</v>
      </c>
      <c r="D4618" s="1" t="s">
        <v>39</v>
      </c>
      <c r="E4618" s="1" t="s">
        <v>22</v>
      </c>
      <c r="F4618">
        <v>7.6</v>
      </c>
      <c r="G4618">
        <v>1</v>
      </c>
      <c r="H4618" s="1" t="s">
        <v>14</v>
      </c>
      <c r="I4618" s="1" t="s">
        <v>15</v>
      </c>
      <c r="J4618" s="12">
        <v>45961</v>
      </c>
      <c r="K4618">
        <v>0</v>
      </c>
      <c r="L4618" s="1">
        <f t="shared" si="288"/>
        <v>7.6</v>
      </c>
      <c r="M4618" s="1" t="str">
        <f t="shared" si="289"/>
        <v/>
      </c>
      <c r="N4618" s="2">
        <f t="shared" si="290"/>
        <v>45931</v>
      </c>
      <c r="O4618" t="str">
        <f t="shared" si="291"/>
        <v>pes</v>
      </c>
    </row>
    <row r="4619" spans="1:15" hidden="1" x14ac:dyDescent="0.25">
      <c r="A4619">
        <v>12106</v>
      </c>
      <c r="B4619" s="11">
        <v>4056789012345</v>
      </c>
      <c r="C4619" s="1" t="s">
        <v>47</v>
      </c>
      <c r="D4619" s="1" t="s">
        <v>29</v>
      </c>
      <c r="E4619" s="1" t="s">
        <v>37</v>
      </c>
      <c r="F4619">
        <v>2.4</v>
      </c>
      <c r="G4619">
        <v>3</v>
      </c>
      <c r="H4619" s="1" t="s">
        <v>14</v>
      </c>
      <c r="I4619" s="1" t="s">
        <v>15</v>
      </c>
      <c r="J4619" s="12">
        <v>45961</v>
      </c>
      <c r="K4619">
        <v>0</v>
      </c>
      <c r="L4619" s="1">
        <f t="shared" si="288"/>
        <v>7.1999999999999993</v>
      </c>
      <c r="M4619" s="1" t="str">
        <f t="shared" si="289"/>
        <v/>
      </c>
      <c r="N4619" s="2">
        <f t="shared" si="290"/>
        <v>45931</v>
      </c>
      <c r="O4619" t="str">
        <f t="shared" si="291"/>
        <v>mačka</v>
      </c>
    </row>
    <row r="4620" spans="1:15" x14ac:dyDescent="0.25">
      <c r="A4620">
        <v>12107</v>
      </c>
      <c r="B4620" s="11">
        <v>4028899001126</v>
      </c>
      <c r="C4620" s="1" t="s">
        <v>16</v>
      </c>
      <c r="D4620" s="1" t="s">
        <v>12</v>
      </c>
      <c r="E4620" s="1" t="s">
        <v>17</v>
      </c>
      <c r="F4620">
        <v>2.8</v>
      </c>
      <c r="G4620">
        <v>2</v>
      </c>
      <c r="H4620" s="1" t="s">
        <v>14</v>
      </c>
      <c r="I4620" s="1" t="s">
        <v>15</v>
      </c>
      <c r="J4620" s="12">
        <v>45961</v>
      </c>
      <c r="K4620">
        <v>0</v>
      </c>
      <c r="L4620" s="1">
        <f t="shared" si="288"/>
        <v>5.6</v>
      </c>
      <c r="M4620" s="1" t="str">
        <f t="shared" si="289"/>
        <v/>
      </c>
      <c r="N4620" s="2">
        <f t="shared" si="290"/>
        <v>45931</v>
      </c>
      <c r="O4620" t="str">
        <f t="shared" si="291"/>
        <v>pes</v>
      </c>
    </row>
    <row r="4621" spans="1:15" x14ac:dyDescent="0.25">
      <c r="A4621">
        <v>12108</v>
      </c>
      <c r="B4621" s="11">
        <v>4013456789017</v>
      </c>
      <c r="C4621" s="1" t="s">
        <v>11</v>
      </c>
      <c r="D4621" s="1" t="s">
        <v>12</v>
      </c>
      <c r="E4621" s="1" t="s">
        <v>13</v>
      </c>
      <c r="F4621">
        <v>6</v>
      </c>
      <c r="G4621">
        <v>2</v>
      </c>
      <c r="H4621" s="1" t="s">
        <v>18</v>
      </c>
      <c r="I4621" s="1" t="s">
        <v>977</v>
      </c>
      <c r="J4621" s="12">
        <v>45961</v>
      </c>
      <c r="K4621">
        <v>0</v>
      </c>
      <c r="L4621" s="1">
        <f t="shared" si="288"/>
        <v>12</v>
      </c>
      <c r="M4621" s="1">
        <f t="shared" si="289"/>
        <v>4</v>
      </c>
      <c r="N4621" s="2">
        <f t="shared" si="290"/>
        <v>45931</v>
      </c>
      <c r="O4621" t="str">
        <f t="shared" si="291"/>
        <v>pes</v>
      </c>
    </row>
    <row r="4622" spans="1:15" x14ac:dyDescent="0.25">
      <c r="A4622">
        <v>12109</v>
      </c>
      <c r="B4622" s="11">
        <v>4040123456795</v>
      </c>
      <c r="C4622" s="1" t="s">
        <v>20</v>
      </c>
      <c r="D4622" s="1" t="s">
        <v>21</v>
      </c>
      <c r="E4622" s="1" t="s">
        <v>22</v>
      </c>
      <c r="F4622">
        <v>8.8000000000000007</v>
      </c>
      <c r="G4622">
        <v>1</v>
      </c>
      <c r="H4622" s="1" t="s">
        <v>14</v>
      </c>
      <c r="I4622" s="1" t="s">
        <v>15</v>
      </c>
      <c r="J4622" s="12">
        <v>45961</v>
      </c>
      <c r="K4622">
        <v>0</v>
      </c>
      <c r="L4622" s="1">
        <f t="shared" si="288"/>
        <v>8.8000000000000007</v>
      </c>
      <c r="M4622" s="1" t="str">
        <f t="shared" si="289"/>
        <v/>
      </c>
      <c r="N4622" s="2">
        <f t="shared" si="290"/>
        <v>45931</v>
      </c>
      <c r="O4622" t="str">
        <f t="shared" si="291"/>
        <v>pes</v>
      </c>
    </row>
    <row r="4623" spans="1:15" hidden="1" x14ac:dyDescent="0.25">
      <c r="A4623">
        <v>12110</v>
      </c>
      <c r="B4623" s="11">
        <v>4019876501234</v>
      </c>
      <c r="C4623" s="1" t="s">
        <v>674</v>
      </c>
      <c r="D4623" s="1" t="s">
        <v>29</v>
      </c>
      <c r="E4623" s="1" t="s">
        <v>37</v>
      </c>
      <c r="F4623">
        <v>1.84</v>
      </c>
      <c r="G4623">
        <v>4</v>
      </c>
      <c r="H4623" s="1" t="s">
        <v>14</v>
      </c>
      <c r="I4623" s="1" t="s">
        <v>15</v>
      </c>
      <c r="J4623" s="12">
        <v>45961</v>
      </c>
      <c r="K4623">
        <v>0</v>
      </c>
      <c r="L4623" s="1">
        <f t="shared" si="288"/>
        <v>7.36</v>
      </c>
      <c r="M4623" s="1" t="str">
        <f t="shared" si="289"/>
        <v/>
      </c>
      <c r="N4623" s="2">
        <f t="shared" si="290"/>
        <v>45931</v>
      </c>
      <c r="O4623" t="str">
        <f t="shared" si="291"/>
        <v>mačka</v>
      </c>
    </row>
    <row r="4624" spans="1:15" x14ac:dyDescent="0.25">
      <c r="A4624">
        <v>12111</v>
      </c>
      <c r="B4624" s="11">
        <v>4063456789014</v>
      </c>
      <c r="C4624" s="1" t="s">
        <v>60</v>
      </c>
      <c r="D4624" s="1" t="s">
        <v>12</v>
      </c>
      <c r="E4624" s="1" t="s">
        <v>61</v>
      </c>
      <c r="F4624">
        <v>36</v>
      </c>
      <c r="G4624">
        <v>1</v>
      </c>
      <c r="H4624" s="1" t="s">
        <v>14</v>
      </c>
      <c r="I4624" s="1" t="s">
        <v>15</v>
      </c>
      <c r="J4624" s="12">
        <v>45961</v>
      </c>
      <c r="K4624">
        <v>0</v>
      </c>
      <c r="L4624" s="1">
        <f t="shared" si="288"/>
        <v>36</v>
      </c>
      <c r="M4624" s="1" t="str">
        <f t="shared" si="289"/>
        <v/>
      </c>
      <c r="N4624" s="2">
        <f t="shared" si="290"/>
        <v>45931</v>
      </c>
      <c r="O4624" t="str">
        <f t="shared" si="291"/>
        <v>pes</v>
      </c>
    </row>
    <row r="4625" spans="1:15" hidden="1" x14ac:dyDescent="0.25">
      <c r="A4625">
        <v>12112</v>
      </c>
      <c r="B4625" s="11">
        <v>4029900112244</v>
      </c>
      <c r="C4625" s="1" t="s">
        <v>655</v>
      </c>
      <c r="D4625" s="1" t="s">
        <v>36</v>
      </c>
      <c r="E4625" s="1" t="s">
        <v>37</v>
      </c>
      <c r="F4625">
        <v>13.6</v>
      </c>
      <c r="G4625">
        <v>1</v>
      </c>
      <c r="H4625" s="1" t="s">
        <v>14</v>
      </c>
      <c r="I4625" s="1" t="s">
        <v>15</v>
      </c>
      <c r="J4625" s="12">
        <v>45961</v>
      </c>
      <c r="K4625">
        <v>0</v>
      </c>
      <c r="L4625" s="1">
        <f t="shared" si="288"/>
        <v>13.6</v>
      </c>
      <c r="M4625" s="1" t="str">
        <f t="shared" si="289"/>
        <v/>
      </c>
      <c r="N4625" s="2">
        <f t="shared" si="290"/>
        <v>45931</v>
      </c>
      <c r="O4625" t="str">
        <f t="shared" si="291"/>
        <v>mačka</v>
      </c>
    </row>
    <row r="4626" spans="1:15" x14ac:dyDescent="0.25">
      <c r="A4626">
        <v>12113</v>
      </c>
      <c r="B4626" s="11">
        <v>4017890123450</v>
      </c>
      <c r="C4626" s="1" t="s">
        <v>65</v>
      </c>
      <c r="D4626" s="1" t="s">
        <v>39</v>
      </c>
      <c r="E4626" s="1" t="s">
        <v>22</v>
      </c>
      <c r="F4626">
        <v>7.6</v>
      </c>
      <c r="G4626">
        <v>1</v>
      </c>
      <c r="H4626" s="1" t="s">
        <v>23</v>
      </c>
      <c r="I4626" s="1" t="s">
        <v>978</v>
      </c>
      <c r="J4626" s="12">
        <v>45961</v>
      </c>
      <c r="K4626">
        <v>0</v>
      </c>
      <c r="L4626" s="1">
        <f t="shared" si="288"/>
        <v>7.6</v>
      </c>
      <c r="M4626" s="1">
        <f t="shared" si="289"/>
        <v>5</v>
      </c>
      <c r="N4626" s="2">
        <f t="shared" si="290"/>
        <v>45931</v>
      </c>
      <c r="O4626" t="str">
        <f t="shared" si="291"/>
        <v>pes</v>
      </c>
    </row>
    <row r="4627" spans="1:15" hidden="1" x14ac:dyDescent="0.25">
      <c r="A4627">
        <v>12114</v>
      </c>
      <c r="B4627" s="11">
        <v>4026677889902</v>
      </c>
      <c r="C4627" s="1" t="s">
        <v>52</v>
      </c>
      <c r="D4627" s="1" t="s">
        <v>53</v>
      </c>
      <c r="E4627" s="1" t="s">
        <v>54</v>
      </c>
      <c r="F4627">
        <v>7.6</v>
      </c>
      <c r="G4627">
        <v>1</v>
      </c>
      <c r="H4627" s="1" t="s">
        <v>14</v>
      </c>
      <c r="I4627" s="1" t="s">
        <v>15</v>
      </c>
      <c r="J4627" s="12">
        <v>45961</v>
      </c>
      <c r="K4627">
        <v>0</v>
      </c>
      <c r="L4627" s="1">
        <f t="shared" si="288"/>
        <v>7.6</v>
      </c>
      <c r="M4627" s="1" t="str">
        <f t="shared" si="289"/>
        <v/>
      </c>
      <c r="N4627" s="2">
        <f t="shared" si="290"/>
        <v>45931</v>
      </c>
      <c r="O4627" t="str">
        <f t="shared" si="291"/>
        <v>iné</v>
      </c>
    </row>
    <row r="4628" spans="1:15" x14ac:dyDescent="0.25">
      <c r="A4628">
        <v>12115</v>
      </c>
      <c r="B4628" s="11">
        <v>4027788990013</v>
      </c>
      <c r="C4628" s="1" t="s">
        <v>43</v>
      </c>
      <c r="D4628" s="1" t="s">
        <v>21</v>
      </c>
      <c r="E4628" s="1" t="s">
        <v>22</v>
      </c>
      <c r="F4628">
        <v>8</v>
      </c>
      <c r="G4628">
        <v>1</v>
      </c>
      <c r="H4628" s="1" t="s">
        <v>14</v>
      </c>
      <c r="I4628" s="1" t="s">
        <v>15</v>
      </c>
      <c r="J4628" s="12">
        <v>45961</v>
      </c>
      <c r="K4628">
        <v>0</v>
      </c>
      <c r="L4628" s="1">
        <f t="shared" si="288"/>
        <v>8</v>
      </c>
      <c r="M4628" s="1" t="str">
        <f t="shared" si="289"/>
        <v/>
      </c>
      <c r="N4628" s="2">
        <f t="shared" si="290"/>
        <v>45931</v>
      </c>
      <c r="O4628" t="str">
        <f t="shared" si="291"/>
        <v>pes</v>
      </c>
    </row>
    <row r="4629" spans="1:15" hidden="1" x14ac:dyDescent="0.25">
      <c r="A4629">
        <v>12116</v>
      </c>
      <c r="B4629" s="11">
        <v>4056789012345</v>
      </c>
      <c r="C4629" s="1" t="s">
        <v>47</v>
      </c>
      <c r="D4629" s="1" t="s">
        <v>29</v>
      </c>
      <c r="E4629" s="1" t="s">
        <v>37</v>
      </c>
      <c r="F4629">
        <v>2.4</v>
      </c>
      <c r="G4629">
        <v>3</v>
      </c>
      <c r="H4629" s="1" t="s">
        <v>14</v>
      </c>
      <c r="I4629" s="1" t="s">
        <v>15</v>
      </c>
      <c r="J4629" s="12">
        <v>45961</v>
      </c>
      <c r="K4629">
        <v>0</v>
      </c>
      <c r="L4629" s="1">
        <f t="shared" si="288"/>
        <v>7.1999999999999993</v>
      </c>
      <c r="M4629" s="1" t="str">
        <f t="shared" si="289"/>
        <v/>
      </c>
      <c r="N4629" s="2">
        <f t="shared" si="290"/>
        <v>45931</v>
      </c>
      <c r="O4629" t="str">
        <f t="shared" si="291"/>
        <v>mačka</v>
      </c>
    </row>
    <row r="4630" spans="1:15" x14ac:dyDescent="0.25">
      <c r="A4630">
        <v>12117</v>
      </c>
      <c r="B4630" s="11">
        <v>4028899001126</v>
      </c>
      <c r="C4630" s="1" t="s">
        <v>16</v>
      </c>
      <c r="D4630" s="1" t="s">
        <v>12</v>
      </c>
      <c r="E4630" s="1" t="s">
        <v>17</v>
      </c>
      <c r="F4630">
        <v>2.8</v>
      </c>
      <c r="G4630">
        <v>3</v>
      </c>
      <c r="H4630" s="1" t="s">
        <v>23</v>
      </c>
      <c r="I4630" s="1" t="s">
        <v>979</v>
      </c>
      <c r="J4630" s="12">
        <v>45961</v>
      </c>
      <c r="K4630">
        <v>0</v>
      </c>
      <c r="L4630" s="1">
        <f t="shared" si="288"/>
        <v>8.3999999999999986</v>
      </c>
      <c r="M4630" s="1">
        <f t="shared" si="289"/>
        <v>5</v>
      </c>
      <c r="N4630" s="2">
        <f t="shared" si="290"/>
        <v>45931</v>
      </c>
      <c r="O4630" t="str">
        <f t="shared" si="291"/>
        <v>pes</v>
      </c>
    </row>
    <row r="4631" spans="1:15" x14ac:dyDescent="0.25">
      <c r="A4631">
        <v>12118</v>
      </c>
      <c r="B4631" s="11">
        <v>4013456789017</v>
      </c>
      <c r="C4631" s="1" t="s">
        <v>11</v>
      </c>
      <c r="D4631" s="1" t="s">
        <v>12</v>
      </c>
      <c r="E4631" s="1" t="s">
        <v>13</v>
      </c>
      <c r="F4631">
        <v>6</v>
      </c>
      <c r="G4631">
        <v>2</v>
      </c>
      <c r="H4631" s="1" t="s">
        <v>14</v>
      </c>
      <c r="I4631" s="1" t="s">
        <v>15</v>
      </c>
      <c r="J4631" s="12">
        <v>45961</v>
      </c>
      <c r="K4631">
        <v>0</v>
      </c>
      <c r="L4631" s="1">
        <f t="shared" si="288"/>
        <v>12</v>
      </c>
      <c r="M4631" s="1" t="str">
        <f t="shared" si="289"/>
        <v/>
      </c>
      <c r="N4631" s="2">
        <f t="shared" si="290"/>
        <v>45931</v>
      </c>
      <c r="O4631" t="str">
        <f t="shared" si="291"/>
        <v>pes</v>
      </c>
    </row>
    <row r="4632" spans="1:15" x14ac:dyDescent="0.25">
      <c r="A4632">
        <v>12119</v>
      </c>
      <c r="B4632" s="11">
        <v>4040123456795</v>
      </c>
      <c r="C4632" s="1" t="s">
        <v>20</v>
      </c>
      <c r="D4632" s="1" t="s">
        <v>21</v>
      </c>
      <c r="E4632" s="1" t="s">
        <v>22</v>
      </c>
      <c r="F4632">
        <v>8.8000000000000007</v>
      </c>
      <c r="G4632">
        <v>1</v>
      </c>
      <c r="H4632" s="1" t="s">
        <v>14</v>
      </c>
      <c r="I4632" s="1" t="s">
        <v>15</v>
      </c>
      <c r="J4632" s="12">
        <v>45961</v>
      </c>
      <c r="K4632">
        <v>0</v>
      </c>
      <c r="L4632" s="1">
        <f t="shared" si="288"/>
        <v>8.8000000000000007</v>
      </c>
      <c r="M4632" s="1" t="str">
        <f t="shared" si="289"/>
        <v/>
      </c>
      <c r="N4632" s="2">
        <f t="shared" si="290"/>
        <v>45931</v>
      </c>
      <c r="O4632" t="str">
        <f t="shared" si="291"/>
        <v>pes</v>
      </c>
    </row>
    <row r="4633" spans="1:15" hidden="1" x14ac:dyDescent="0.25">
      <c r="A4633">
        <v>12120</v>
      </c>
      <c r="B4633" s="11">
        <v>4019876501234</v>
      </c>
      <c r="C4633" s="1" t="s">
        <v>674</v>
      </c>
      <c r="D4633" s="1" t="s">
        <v>29</v>
      </c>
      <c r="E4633" s="1" t="s">
        <v>37</v>
      </c>
      <c r="F4633">
        <v>1.84</v>
      </c>
      <c r="G4633">
        <v>4</v>
      </c>
      <c r="H4633" s="1" t="s">
        <v>18</v>
      </c>
      <c r="I4633" s="1" t="s">
        <v>980</v>
      </c>
      <c r="J4633" s="12">
        <v>45961</v>
      </c>
      <c r="K4633">
        <v>0</v>
      </c>
      <c r="L4633" s="1">
        <f t="shared" si="288"/>
        <v>7.36</v>
      </c>
      <c r="M4633" s="1">
        <f t="shared" si="289"/>
        <v>4</v>
      </c>
      <c r="N4633" s="2">
        <f t="shared" si="290"/>
        <v>45931</v>
      </c>
      <c r="O4633" t="str">
        <f t="shared" si="291"/>
        <v>mačka</v>
      </c>
    </row>
    <row r="4634" spans="1:15" x14ac:dyDescent="0.25">
      <c r="A4634">
        <v>12121</v>
      </c>
      <c r="B4634" s="11">
        <v>4063456789014</v>
      </c>
      <c r="C4634" s="1" t="s">
        <v>60</v>
      </c>
      <c r="D4634" s="1" t="s">
        <v>12</v>
      </c>
      <c r="E4634" s="1" t="s">
        <v>61</v>
      </c>
      <c r="F4634">
        <v>36</v>
      </c>
      <c r="G4634">
        <v>1</v>
      </c>
      <c r="H4634" s="1" t="s">
        <v>14</v>
      </c>
      <c r="I4634" s="1" t="s">
        <v>15</v>
      </c>
      <c r="J4634" s="12">
        <v>45961</v>
      </c>
      <c r="K4634">
        <v>0</v>
      </c>
      <c r="L4634" s="1">
        <f t="shared" si="288"/>
        <v>36</v>
      </c>
      <c r="M4634" s="1" t="str">
        <f t="shared" si="289"/>
        <v/>
      </c>
      <c r="N4634" s="2">
        <f t="shared" si="290"/>
        <v>45931</v>
      </c>
      <c r="O4634" t="str">
        <f t="shared" si="291"/>
        <v>pes</v>
      </c>
    </row>
    <row r="4635" spans="1:15" hidden="1" x14ac:dyDescent="0.25">
      <c r="A4635">
        <v>12122</v>
      </c>
      <c r="B4635" s="11">
        <v>4029900112244</v>
      </c>
      <c r="C4635" s="1" t="s">
        <v>655</v>
      </c>
      <c r="D4635" s="1" t="s">
        <v>36</v>
      </c>
      <c r="E4635" s="1" t="s">
        <v>37</v>
      </c>
      <c r="F4635">
        <v>13.6</v>
      </c>
      <c r="G4635">
        <v>1</v>
      </c>
      <c r="H4635" s="1" t="s">
        <v>14</v>
      </c>
      <c r="I4635" s="1" t="s">
        <v>15</v>
      </c>
      <c r="J4635" s="12">
        <v>45961</v>
      </c>
      <c r="K4635">
        <v>0</v>
      </c>
      <c r="L4635" s="1">
        <f t="shared" si="288"/>
        <v>13.6</v>
      </c>
      <c r="M4635" s="1" t="str">
        <f t="shared" si="289"/>
        <v/>
      </c>
      <c r="N4635" s="2">
        <f t="shared" si="290"/>
        <v>45931</v>
      </c>
      <c r="O4635" t="str">
        <f t="shared" si="291"/>
        <v>mačka</v>
      </c>
    </row>
    <row r="4636" spans="1:15" hidden="1" x14ac:dyDescent="0.25">
      <c r="A4636">
        <v>12123</v>
      </c>
      <c r="B4636" s="11">
        <v>4026677889902</v>
      </c>
      <c r="C4636" s="1" t="s">
        <v>52</v>
      </c>
      <c r="D4636" s="1" t="s">
        <v>53</v>
      </c>
      <c r="E4636" s="1" t="s">
        <v>54</v>
      </c>
      <c r="F4636">
        <v>7.6</v>
      </c>
      <c r="G4636">
        <v>1</v>
      </c>
      <c r="H4636" s="1" t="s">
        <v>14</v>
      </c>
      <c r="I4636" s="1" t="s">
        <v>15</v>
      </c>
      <c r="J4636" s="12">
        <v>45961</v>
      </c>
      <c r="K4636">
        <v>0</v>
      </c>
      <c r="L4636" s="1">
        <f t="shared" si="288"/>
        <v>7.6</v>
      </c>
      <c r="M4636" s="1" t="str">
        <f t="shared" si="289"/>
        <v/>
      </c>
      <c r="N4636" s="2">
        <f t="shared" si="290"/>
        <v>45931</v>
      </c>
      <c r="O4636" t="str">
        <f t="shared" si="291"/>
        <v>iné</v>
      </c>
    </row>
    <row r="4637" spans="1:15" x14ac:dyDescent="0.25">
      <c r="A4637">
        <v>12124</v>
      </c>
      <c r="B4637" s="11">
        <v>4017890123450</v>
      </c>
      <c r="C4637" s="1" t="s">
        <v>65</v>
      </c>
      <c r="D4637" s="1" t="s">
        <v>39</v>
      </c>
      <c r="E4637" s="1" t="s">
        <v>22</v>
      </c>
      <c r="F4637">
        <v>7.6</v>
      </c>
      <c r="G4637">
        <v>1</v>
      </c>
      <c r="H4637" s="1" t="s">
        <v>18</v>
      </c>
      <c r="I4637" s="1" t="s">
        <v>981</v>
      </c>
      <c r="J4637" s="12">
        <v>45961</v>
      </c>
      <c r="K4637">
        <v>0</v>
      </c>
      <c r="L4637" s="1">
        <f t="shared" si="288"/>
        <v>7.6</v>
      </c>
      <c r="M4637" s="1">
        <f t="shared" si="289"/>
        <v>4</v>
      </c>
      <c r="N4637" s="2">
        <f t="shared" si="290"/>
        <v>45931</v>
      </c>
      <c r="O4637" t="str">
        <f t="shared" si="291"/>
        <v>pes</v>
      </c>
    </row>
    <row r="4638" spans="1:15" x14ac:dyDescent="0.25">
      <c r="A4638">
        <v>12125</v>
      </c>
      <c r="B4638" s="11">
        <v>4027788990013</v>
      </c>
      <c r="C4638" s="1" t="s">
        <v>43</v>
      </c>
      <c r="D4638" s="1" t="s">
        <v>21</v>
      </c>
      <c r="E4638" s="1" t="s">
        <v>22</v>
      </c>
      <c r="F4638">
        <v>8</v>
      </c>
      <c r="G4638">
        <v>1</v>
      </c>
      <c r="H4638" s="1" t="s">
        <v>14</v>
      </c>
      <c r="I4638" s="1" t="s">
        <v>15</v>
      </c>
      <c r="J4638" s="12">
        <v>45961</v>
      </c>
      <c r="K4638">
        <v>0</v>
      </c>
      <c r="L4638" s="1">
        <f t="shared" si="288"/>
        <v>8</v>
      </c>
      <c r="M4638" s="1" t="str">
        <f t="shared" si="289"/>
        <v/>
      </c>
      <c r="N4638" s="2">
        <f t="shared" si="290"/>
        <v>45931</v>
      </c>
      <c r="O4638" t="str">
        <f t="shared" si="291"/>
        <v>pes</v>
      </c>
    </row>
    <row r="4639" spans="1:15" x14ac:dyDescent="0.25">
      <c r="A4639">
        <v>12126</v>
      </c>
      <c r="B4639" s="11">
        <v>4028899001126</v>
      </c>
      <c r="C4639" s="1" t="s">
        <v>16</v>
      </c>
      <c r="D4639" s="1" t="s">
        <v>12</v>
      </c>
      <c r="E4639" s="1" t="s">
        <v>17</v>
      </c>
      <c r="F4639">
        <v>2.8</v>
      </c>
      <c r="G4639">
        <v>2</v>
      </c>
      <c r="H4639" s="1" t="s">
        <v>14</v>
      </c>
      <c r="I4639" s="1" t="s">
        <v>15</v>
      </c>
      <c r="J4639" s="12">
        <v>45961</v>
      </c>
      <c r="K4639">
        <v>0</v>
      </c>
      <c r="L4639" s="1">
        <f t="shared" si="288"/>
        <v>5.6</v>
      </c>
      <c r="M4639" s="1" t="str">
        <f t="shared" si="289"/>
        <v/>
      </c>
      <c r="N4639" s="2">
        <f t="shared" si="290"/>
        <v>45931</v>
      </c>
      <c r="O4639" t="str">
        <f t="shared" si="291"/>
        <v>pes</v>
      </c>
    </row>
    <row r="4640" spans="1:15" x14ac:dyDescent="0.25">
      <c r="A4640">
        <v>12127</v>
      </c>
      <c r="B4640" s="11">
        <v>4013456789017</v>
      </c>
      <c r="C4640" s="1" t="s">
        <v>11</v>
      </c>
      <c r="D4640" s="1" t="s">
        <v>12</v>
      </c>
      <c r="E4640" s="1" t="s">
        <v>13</v>
      </c>
      <c r="F4640">
        <v>6</v>
      </c>
      <c r="G4640">
        <v>1</v>
      </c>
      <c r="H4640" s="1" t="s">
        <v>23</v>
      </c>
      <c r="I4640" s="1" t="s">
        <v>982</v>
      </c>
      <c r="J4640" s="12">
        <v>45961</v>
      </c>
      <c r="K4640">
        <v>0</v>
      </c>
      <c r="L4640" s="1">
        <f t="shared" si="288"/>
        <v>6</v>
      </c>
      <c r="M4640" s="1">
        <f t="shared" si="289"/>
        <v>5</v>
      </c>
      <c r="N4640" s="2">
        <f t="shared" si="290"/>
        <v>45931</v>
      </c>
      <c r="O4640" t="str">
        <f t="shared" si="291"/>
        <v>pes</v>
      </c>
    </row>
    <row r="4641" spans="1:15" x14ac:dyDescent="0.25">
      <c r="A4641">
        <v>12128</v>
      </c>
      <c r="B4641" s="11">
        <v>4040123456795</v>
      </c>
      <c r="C4641" s="1" t="s">
        <v>20</v>
      </c>
      <c r="D4641" s="1" t="s">
        <v>21</v>
      </c>
      <c r="E4641" s="1" t="s">
        <v>22</v>
      </c>
      <c r="F4641">
        <v>8.8000000000000007</v>
      </c>
      <c r="G4641">
        <v>1</v>
      </c>
      <c r="H4641" s="1" t="s">
        <v>14</v>
      </c>
      <c r="I4641" s="1" t="s">
        <v>15</v>
      </c>
      <c r="J4641" s="12">
        <v>45961</v>
      </c>
      <c r="K4641">
        <v>0</v>
      </c>
      <c r="L4641" s="1">
        <f t="shared" si="288"/>
        <v>8.8000000000000007</v>
      </c>
      <c r="M4641" s="1" t="str">
        <f t="shared" si="289"/>
        <v/>
      </c>
      <c r="N4641" s="2">
        <f t="shared" si="290"/>
        <v>45931</v>
      </c>
      <c r="O4641" t="str">
        <f t="shared" si="291"/>
        <v>pes</v>
      </c>
    </row>
    <row r="4642" spans="1:15" hidden="1" x14ac:dyDescent="0.25">
      <c r="A4642">
        <v>12129</v>
      </c>
      <c r="B4642" s="11">
        <v>4019876501234</v>
      </c>
      <c r="C4642" s="1" t="s">
        <v>674</v>
      </c>
      <c r="D4642" s="1" t="s">
        <v>29</v>
      </c>
      <c r="E4642" s="1" t="s">
        <v>37</v>
      </c>
      <c r="F4642">
        <v>1.84</v>
      </c>
      <c r="G4642">
        <v>4</v>
      </c>
      <c r="H4642" s="1" t="s">
        <v>23</v>
      </c>
      <c r="I4642" s="1" t="s">
        <v>983</v>
      </c>
      <c r="J4642" s="12">
        <v>45961</v>
      </c>
      <c r="K4642">
        <v>0</v>
      </c>
      <c r="L4642" s="1">
        <f t="shared" si="288"/>
        <v>7.36</v>
      </c>
      <c r="M4642" s="1">
        <f t="shared" si="289"/>
        <v>5</v>
      </c>
      <c r="N4642" s="2">
        <f t="shared" si="290"/>
        <v>45931</v>
      </c>
      <c r="O4642" t="str">
        <f t="shared" si="291"/>
        <v>mačka</v>
      </c>
    </row>
    <row r="4643" spans="1:15" x14ac:dyDescent="0.25">
      <c r="A4643">
        <v>12130</v>
      </c>
      <c r="B4643" s="11">
        <v>4028899001126</v>
      </c>
      <c r="C4643" s="1" t="s">
        <v>16</v>
      </c>
      <c r="D4643" s="1" t="s">
        <v>12</v>
      </c>
      <c r="E4643" s="1" t="s">
        <v>17</v>
      </c>
      <c r="F4643">
        <v>2.8</v>
      </c>
      <c r="G4643">
        <v>2</v>
      </c>
      <c r="H4643" s="1" t="s">
        <v>18</v>
      </c>
      <c r="I4643" s="1" t="s">
        <v>984</v>
      </c>
      <c r="J4643" s="12">
        <v>45962</v>
      </c>
      <c r="K4643">
        <v>0</v>
      </c>
      <c r="L4643" s="1">
        <f t="shared" si="288"/>
        <v>5.6</v>
      </c>
      <c r="M4643" s="1">
        <f t="shared" si="289"/>
        <v>4</v>
      </c>
      <c r="N4643" s="2">
        <f t="shared" si="290"/>
        <v>45962</v>
      </c>
      <c r="O4643" t="str">
        <f t="shared" si="291"/>
        <v>pes</v>
      </c>
    </row>
    <row r="4644" spans="1:15" x14ac:dyDescent="0.25">
      <c r="A4644">
        <v>12131</v>
      </c>
      <c r="B4644" s="11">
        <v>4013456789017</v>
      </c>
      <c r="C4644" s="1" t="s">
        <v>11</v>
      </c>
      <c r="D4644" s="1" t="s">
        <v>12</v>
      </c>
      <c r="E4644" s="1" t="s">
        <v>13</v>
      </c>
      <c r="F4644">
        <v>6</v>
      </c>
      <c r="G4644">
        <v>1</v>
      </c>
      <c r="H4644" s="1" t="s">
        <v>14</v>
      </c>
      <c r="I4644" s="1" t="s">
        <v>15</v>
      </c>
      <c r="J4644" s="12">
        <v>45962</v>
      </c>
      <c r="K4644">
        <v>0</v>
      </c>
      <c r="L4644" s="1">
        <f t="shared" si="288"/>
        <v>6</v>
      </c>
      <c r="M4644" s="1" t="str">
        <f t="shared" si="289"/>
        <v/>
      </c>
      <c r="N4644" s="2">
        <f t="shared" si="290"/>
        <v>45962</v>
      </c>
      <c r="O4644" t="str">
        <f t="shared" si="291"/>
        <v>pes</v>
      </c>
    </row>
    <row r="4645" spans="1:15" x14ac:dyDescent="0.25">
      <c r="A4645">
        <v>12132</v>
      </c>
      <c r="B4645" s="11">
        <v>4040123456795</v>
      </c>
      <c r="C4645" s="1" t="s">
        <v>20</v>
      </c>
      <c r="D4645" s="1" t="s">
        <v>21</v>
      </c>
      <c r="E4645" s="1" t="s">
        <v>22</v>
      </c>
      <c r="F4645">
        <v>8.8000000000000007</v>
      </c>
      <c r="G4645">
        <v>1</v>
      </c>
      <c r="H4645" s="1" t="s">
        <v>23</v>
      </c>
      <c r="I4645" s="1" t="s">
        <v>985</v>
      </c>
      <c r="J4645" s="12">
        <v>45963</v>
      </c>
      <c r="K4645">
        <v>0</v>
      </c>
      <c r="L4645" s="1">
        <f t="shared" si="288"/>
        <v>8.8000000000000007</v>
      </c>
      <c r="M4645" s="1">
        <f t="shared" si="289"/>
        <v>5</v>
      </c>
      <c r="N4645" s="2">
        <f t="shared" si="290"/>
        <v>45962</v>
      </c>
      <c r="O4645" t="str">
        <f t="shared" si="291"/>
        <v>pes</v>
      </c>
    </row>
    <row r="4646" spans="1:15" x14ac:dyDescent="0.25">
      <c r="A4646">
        <v>12133</v>
      </c>
      <c r="B4646" s="11">
        <v>4061011223346</v>
      </c>
      <c r="C4646" s="1" t="s">
        <v>25</v>
      </c>
      <c r="D4646" s="1" t="s">
        <v>26</v>
      </c>
      <c r="E4646" s="1" t="s">
        <v>27</v>
      </c>
      <c r="F4646">
        <v>19.600000000000001</v>
      </c>
      <c r="G4646">
        <v>1</v>
      </c>
      <c r="H4646" s="1" t="s">
        <v>14</v>
      </c>
      <c r="I4646" s="1" t="s">
        <v>15</v>
      </c>
      <c r="J4646" s="12">
        <v>45963</v>
      </c>
      <c r="K4646">
        <v>0</v>
      </c>
      <c r="L4646" s="1">
        <f t="shared" si="288"/>
        <v>19.600000000000001</v>
      </c>
      <c r="M4646" s="1" t="str">
        <f t="shared" si="289"/>
        <v/>
      </c>
      <c r="N4646" s="2">
        <f t="shared" si="290"/>
        <v>45962</v>
      </c>
      <c r="O4646" t="str">
        <f t="shared" si="291"/>
        <v>pes</v>
      </c>
    </row>
    <row r="4647" spans="1:15" hidden="1" x14ac:dyDescent="0.25">
      <c r="A4647">
        <v>12134</v>
      </c>
      <c r="B4647" s="11">
        <v>8593456789012</v>
      </c>
      <c r="C4647" s="1" t="s">
        <v>28</v>
      </c>
      <c r="D4647" s="1" t="s">
        <v>29</v>
      </c>
      <c r="E4647" s="1" t="s">
        <v>30</v>
      </c>
      <c r="F4647">
        <v>42</v>
      </c>
      <c r="G4647">
        <v>1</v>
      </c>
      <c r="H4647" s="1" t="s">
        <v>23</v>
      </c>
      <c r="I4647" s="1" t="s">
        <v>986</v>
      </c>
      <c r="J4647" s="12">
        <v>45963</v>
      </c>
      <c r="K4647">
        <v>0</v>
      </c>
      <c r="L4647" s="1">
        <f t="shared" si="288"/>
        <v>42</v>
      </c>
      <c r="M4647" s="1">
        <f t="shared" si="289"/>
        <v>5</v>
      </c>
      <c r="N4647" s="2">
        <f t="shared" si="290"/>
        <v>45962</v>
      </c>
      <c r="O4647" t="str">
        <f t="shared" si="291"/>
        <v>mačka</v>
      </c>
    </row>
    <row r="4648" spans="1:15" hidden="1" x14ac:dyDescent="0.25">
      <c r="A4648">
        <v>12135</v>
      </c>
      <c r="B4648" s="11">
        <v>4001234567893</v>
      </c>
      <c r="C4648" s="1" t="s">
        <v>31</v>
      </c>
      <c r="D4648" s="1" t="s">
        <v>29</v>
      </c>
      <c r="E4648" s="1" t="s">
        <v>32</v>
      </c>
      <c r="F4648">
        <v>9.1999999999999993</v>
      </c>
      <c r="G4648">
        <v>2</v>
      </c>
      <c r="H4648" s="1" t="s">
        <v>18</v>
      </c>
      <c r="I4648" s="1" t="s">
        <v>987</v>
      </c>
      <c r="J4648" s="12">
        <v>45964</v>
      </c>
      <c r="K4648">
        <v>0</v>
      </c>
      <c r="L4648" s="1">
        <f t="shared" si="288"/>
        <v>18.399999999999999</v>
      </c>
      <c r="M4648" s="1">
        <f t="shared" si="289"/>
        <v>4</v>
      </c>
      <c r="N4648" s="2">
        <f t="shared" si="290"/>
        <v>45962</v>
      </c>
      <c r="O4648" t="str">
        <f t="shared" si="291"/>
        <v>mačka</v>
      </c>
    </row>
    <row r="4649" spans="1:15" hidden="1" x14ac:dyDescent="0.25">
      <c r="A4649">
        <v>12136</v>
      </c>
      <c r="B4649" s="11">
        <v>4029900112244</v>
      </c>
      <c r="C4649" s="1" t="s">
        <v>655</v>
      </c>
      <c r="D4649" s="1" t="s">
        <v>36</v>
      </c>
      <c r="E4649" s="1" t="s">
        <v>37</v>
      </c>
      <c r="F4649">
        <v>13.6</v>
      </c>
      <c r="G4649">
        <v>1</v>
      </c>
      <c r="H4649" s="1" t="s">
        <v>23</v>
      </c>
      <c r="I4649" s="1" t="s">
        <v>988</v>
      </c>
      <c r="J4649" s="12">
        <v>45964</v>
      </c>
      <c r="K4649">
        <v>0</v>
      </c>
      <c r="L4649" s="1">
        <f t="shared" si="288"/>
        <v>13.6</v>
      </c>
      <c r="M4649" s="1">
        <f t="shared" si="289"/>
        <v>5</v>
      </c>
      <c r="N4649" s="2">
        <f t="shared" si="290"/>
        <v>45962</v>
      </c>
      <c r="O4649" t="str">
        <f t="shared" si="291"/>
        <v>mačka</v>
      </c>
    </row>
    <row r="4650" spans="1:15" hidden="1" x14ac:dyDescent="0.25">
      <c r="A4650">
        <v>12137</v>
      </c>
      <c r="B4650" s="11">
        <v>4008899001134</v>
      </c>
      <c r="C4650" s="1" t="s">
        <v>332</v>
      </c>
      <c r="D4650" s="1" t="s">
        <v>333</v>
      </c>
      <c r="E4650" s="1" t="s">
        <v>334</v>
      </c>
      <c r="F4650">
        <v>47.64</v>
      </c>
      <c r="G4650">
        <v>1</v>
      </c>
      <c r="H4650" s="1" t="s">
        <v>14</v>
      </c>
      <c r="I4650" s="1" t="s">
        <v>15</v>
      </c>
      <c r="J4650" s="12">
        <v>45965</v>
      </c>
      <c r="K4650">
        <v>0</v>
      </c>
      <c r="L4650" s="1">
        <f t="shared" si="288"/>
        <v>47.64</v>
      </c>
      <c r="M4650" s="1" t="str">
        <f t="shared" si="289"/>
        <v/>
      </c>
      <c r="N4650" s="2">
        <f t="shared" si="290"/>
        <v>45962</v>
      </c>
      <c r="O4650" t="str">
        <f t="shared" si="291"/>
        <v>iné</v>
      </c>
    </row>
    <row r="4651" spans="1:15" x14ac:dyDescent="0.25">
      <c r="A4651">
        <v>12138</v>
      </c>
      <c r="B4651" s="11">
        <v>4008901234561</v>
      </c>
      <c r="C4651" s="1" t="s">
        <v>330</v>
      </c>
      <c r="D4651" s="1" t="s">
        <v>26</v>
      </c>
      <c r="E4651" s="1" t="s">
        <v>331</v>
      </c>
      <c r="F4651">
        <v>40</v>
      </c>
      <c r="G4651">
        <v>1</v>
      </c>
      <c r="H4651" s="1" t="s">
        <v>23</v>
      </c>
      <c r="I4651" s="1" t="s">
        <v>989</v>
      </c>
      <c r="J4651" s="12">
        <v>45965</v>
      </c>
      <c r="K4651">
        <v>0</v>
      </c>
      <c r="L4651" s="1">
        <f t="shared" si="288"/>
        <v>40</v>
      </c>
      <c r="M4651" s="1">
        <f t="shared" si="289"/>
        <v>5</v>
      </c>
      <c r="N4651" s="2">
        <f t="shared" si="290"/>
        <v>45962</v>
      </c>
      <c r="O4651" t="str">
        <f t="shared" si="291"/>
        <v>pes</v>
      </c>
    </row>
    <row r="4652" spans="1:15" x14ac:dyDescent="0.25">
      <c r="A4652">
        <v>12139</v>
      </c>
      <c r="B4652" s="11">
        <v>4016677889902</v>
      </c>
      <c r="C4652" s="1" t="s">
        <v>328</v>
      </c>
      <c r="D4652" s="1" t="s">
        <v>26</v>
      </c>
      <c r="E4652" s="1" t="s">
        <v>17</v>
      </c>
      <c r="F4652">
        <v>22</v>
      </c>
      <c r="G4652">
        <v>1</v>
      </c>
      <c r="H4652" s="1" t="s">
        <v>33</v>
      </c>
      <c r="I4652" s="1" t="s">
        <v>113</v>
      </c>
      <c r="J4652" s="12">
        <v>45965</v>
      </c>
      <c r="K4652">
        <v>0</v>
      </c>
      <c r="L4652" s="1">
        <f t="shared" si="288"/>
        <v>22</v>
      </c>
      <c r="M4652" s="1">
        <f t="shared" si="289"/>
        <v>3</v>
      </c>
      <c r="N4652" s="2">
        <f t="shared" si="290"/>
        <v>45962</v>
      </c>
      <c r="O4652" t="str">
        <f t="shared" si="291"/>
        <v>pes</v>
      </c>
    </row>
    <row r="4653" spans="1:15" x14ac:dyDescent="0.25">
      <c r="A4653">
        <v>12140</v>
      </c>
      <c r="B4653" s="11">
        <v>4003344556679</v>
      </c>
      <c r="C4653" s="1" t="s">
        <v>132</v>
      </c>
      <c r="D4653" s="1" t="s">
        <v>133</v>
      </c>
      <c r="E4653" s="1" t="s">
        <v>134</v>
      </c>
      <c r="F4653">
        <v>51.64</v>
      </c>
      <c r="G4653">
        <v>1</v>
      </c>
      <c r="H4653" s="1" t="s">
        <v>14</v>
      </c>
      <c r="I4653" s="1" t="s">
        <v>15</v>
      </c>
      <c r="J4653" s="12">
        <v>45966</v>
      </c>
      <c r="K4653">
        <v>0</v>
      </c>
      <c r="L4653" s="1">
        <f t="shared" si="288"/>
        <v>51.64</v>
      </c>
      <c r="M4653" s="1" t="str">
        <f t="shared" si="289"/>
        <v/>
      </c>
      <c r="N4653" s="2">
        <f t="shared" si="290"/>
        <v>45962</v>
      </c>
      <c r="O4653" t="str">
        <f t="shared" si="291"/>
        <v>pes</v>
      </c>
    </row>
    <row r="4654" spans="1:15" x14ac:dyDescent="0.25">
      <c r="A4654">
        <v>12141</v>
      </c>
      <c r="B4654" s="11">
        <v>8008901234561</v>
      </c>
      <c r="C4654" s="1" t="s">
        <v>136</v>
      </c>
      <c r="D4654" s="1" t="s">
        <v>133</v>
      </c>
      <c r="E4654" s="1" t="s">
        <v>27</v>
      </c>
      <c r="F4654">
        <v>28</v>
      </c>
      <c r="G4654">
        <v>1</v>
      </c>
      <c r="H4654" s="1" t="s">
        <v>23</v>
      </c>
      <c r="I4654" s="1" t="s">
        <v>990</v>
      </c>
      <c r="J4654" s="12">
        <v>45966</v>
      </c>
      <c r="K4654">
        <v>0</v>
      </c>
      <c r="L4654" s="1">
        <f t="shared" si="288"/>
        <v>28</v>
      </c>
      <c r="M4654" s="1">
        <f t="shared" si="289"/>
        <v>5</v>
      </c>
      <c r="N4654" s="2">
        <f t="shared" si="290"/>
        <v>45962</v>
      </c>
      <c r="O4654" t="str">
        <f t="shared" si="291"/>
        <v>pes</v>
      </c>
    </row>
    <row r="4655" spans="1:15" hidden="1" x14ac:dyDescent="0.25">
      <c r="A4655">
        <v>12142</v>
      </c>
      <c r="B4655" s="11">
        <v>4007788990022</v>
      </c>
      <c r="C4655" s="1" t="s">
        <v>663</v>
      </c>
      <c r="D4655" s="1" t="s">
        <v>140</v>
      </c>
      <c r="E4655" s="1" t="s">
        <v>141</v>
      </c>
      <c r="F4655">
        <v>59.64</v>
      </c>
      <c r="G4655">
        <v>1</v>
      </c>
      <c r="H4655" s="1" t="s">
        <v>18</v>
      </c>
      <c r="I4655" s="1" t="s">
        <v>991</v>
      </c>
      <c r="J4655" s="12">
        <v>45967</v>
      </c>
      <c r="K4655">
        <v>0</v>
      </c>
      <c r="L4655" s="1">
        <f t="shared" si="288"/>
        <v>59.64</v>
      </c>
      <c r="M4655" s="1">
        <f t="shared" si="289"/>
        <v>4</v>
      </c>
      <c r="N4655" s="2">
        <f t="shared" si="290"/>
        <v>45962</v>
      </c>
      <c r="O4655" t="str">
        <f t="shared" si="291"/>
        <v>mačka</v>
      </c>
    </row>
    <row r="4656" spans="1:15" x14ac:dyDescent="0.25">
      <c r="A4656">
        <v>12143</v>
      </c>
      <c r="B4656" s="11">
        <v>4027788990013</v>
      </c>
      <c r="C4656" s="1" t="s">
        <v>43</v>
      </c>
      <c r="D4656" s="1" t="s">
        <v>21</v>
      </c>
      <c r="E4656" s="1" t="s">
        <v>22</v>
      </c>
      <c r="F4656">
        <v>8</v>
      </c>
      <c r="G4656">
        <v>1</v>
      </c>
      <c r="H4656" s="1" t="s">
        <v>14</v>
      </c>
      <c r="I4656" s="1" t="s">
        <v>15</v>
      </c>
      <c r="J4656" s="12">
        <v>45967</v>
      </c>
      <c r="K4656">
        <v>0</v>
      </c>
      <c r="L4656" s="1">
        <f t="shared" si="288"/>
        <v>8</v>
      </c>
      <c r="M4656" s="1" t="str">
        <f t="shared" si="289"/>
        <v/>
      </c>
      <c r="N4656" s="2">
        <f t="shared" si="290"/>
        <v>45962</v>
      </c>
      <c r="O4656" t="str">
        <f t="shared" si="291"/>
        <v>pes</v>
      </c>
    </row>
    <row r="4657" spans="1:15" x14ac:dyDescent="0.25">
      <c r="A4657">
        <v>12144</v>
      </c>
      <c r="B4657" s="11">
        <v>4022345678908</v>
      </c>
      <c r="C4657" s="1" t="s">
        <v>363</v>
      </c>
      <c r="D4657" s="1" t="s">
        <v>21</v>
      </c>
      <c r="E4657" s="1" t="s">
        <v>69</v>
      </c>
      <c r="F4657">
        <v>10</v>
      </c>
      <c r="G4657">
        <v>1</v>
      </c>
      <c r="H4657" s="1" t="s">
        <v>14</v>
      </c>
      <c r="I4657" s="1" t="s">
        <v>15</v>
      </c>
      <c r="J4657" s="12">
        <v>45968</v>
      </c>
      <c r="K4657">
        <v>0</v>
      </c>
      <c r="L4657" s="1">
        <f t="shared" si="288"/>
        <v>10</v>
      </c>
      <c r="M4657" s="1" t="str">
        <f t="shared" si="289"/>
        <v/>
      </c>
      <c r="N4657" s="2">
        <f t="shared" si="290"/>
        <v>45962</v>
      </c>
      <c r="O4657" t="str">
        <f t="shared" si="291"/>
        <v>pes</v>
      </c>
    </row>
    <row r="4658" spans="1:15" x14ac:dyDescent="0.25">
      <c r="A4658">
        <v>12145</v>
      </c>
      <c r="B4658" s="11">
        <v>4048901234572</v>
      </c>
      <c r="C4658" s="1" t="s">
        <v>343</v>
      </c>
      <c r="D4658" s="1" t="s">
        <v>26</v>
      </c>
      <c r="E4658" s="1" t="s">
        <v>22</v>
      </c>
      <c r="F4658">
        <v>18</v>
      </c>
      <c r="G4658">
        <v>1</v>
      </c>
      <c r="H4658" s="1" t="s">
        <v>18</v>
      </c>
      <c r="I4658" s="1" t="s">
        <v>992</v>
      </c>
      <c r="J4658" s="12">
        <v>45968</v>
      </c>
      <c r="K4658">
        <v>0</v>
      </c>
      <c r="L4658" s="1">
        <f t="shared" si="288"/>
        <v>18</v>
      </c>
      <c r="M4658" s="1">
        <f t="shared" si="289"/>
        <v>4</v>
      </c>
      <c r="N4658" s="2">
        <f t="shared" si="290"/>
        <v>45962</v>
      </c>
      <c r="O4658" t="str">
        <f t="shared" si="291"/>
        <v>pes</v>
      </c>
    </row>
    <row r="4659" spans="1:15" hidden="1" x14ac:dyDescent="0.25">
      <c r="A4659">
        <v>12146</v>
      </c>
      <c r="B4659" s="11">
        <v>4069012345682</v>
      </c>
      <c r="C4659" s="1" t="s">
        <v>143</v>
      </c>
      <c r="D4659" s="1" t="s">
        <v>144</v>
      </c>
      <c r="E4659" s="1" t="s">
        <v>30</v>
      </c>
      <c r="F4659">
        <v>26</v>
      </c>
      <c r="G4659">
        <v>1</v>
      </c>
      <c r="H4659" s="1" t="s">
        <v>23</v>
      </c>
      <c r="I4659" s="1" t="s">
        <v>993</v>
      </c>
      <c r="J4659" s="12">
        <v>45969</v>
      </c>
      <c r="K4659">
        <v>0</v>
      </c>
      <c r="L4659" s="1">
        <f t="shared" si="288"/>
        <v>26</v>
      </c>
      <c r="M4659" s="1">
        <f t="shared" si="289"/>
        <v>5</v>
      </c>
      <c r="N4659" s="2">
        <f t="shared" si="290"/>
        <v>45962</v>
      </c>
      <c r="O4659" t="str">
        <f t="shared" si="291"/>
        <v>mačka</v>
      </c>
    </row>
    <row r="4660" spans="1:15" x14ac:dyDescent="0.25">
      <c r="A4660">
        <v>12147</v>
      </c>
      <c r="B4660" s="11">
        <v>4004455667780</v>
      </c>
      <c r="C4660" s="1" t="s">
        <v>640</v>
      </c>
      <c r="D4660" s="1" t="s">
        <v>641</v>
      </c>
      <c r="E4660" s="1" t="s">
        <v>134</v>
      </c>
      <c r="F4660">
        <v>14</v>
      </c>
      <c r="G4660">
        <v>1</v>
      </c>
      <c r="H4660" s="1" t="s">
        <v>14</v>
      </c>
      <c r="I4660" s="1" t="s">
        <v>15</v>
      </c>
      <c r="J4660" s="12">
        <v>45969</v>
      </c>
      <c r="K4660">
        <v>0</v>
      </c>
      <c r="L4660" s="1">
        <f t="shared" si="288"/>
        <v>14</v>
      </c>
      <c r="M4660" s="1" t="str">
        <f t="shared" si="289"/>
        <v/>
      </c>
      <c r="N4660" s="2">
        <f t="shared" si="290"/>
        <v>45962</v>
      </c>
      <c r="O4660" t="str">
        <f t="shared" si="291"/>
        <v>pes</v>
      </c>
    </row>
    <row r="4661" spans="1:15" hidden="1" x14ac:dyDescent="0.25">
      <c r="A4661">
        <v>12148</v>
      </c>
      <c r="B4661" s="11">
        <v>4024455667788</v>
      </c>
      <c r="C4661" s="1" t="s">
        <v>657</v>
      </c>
      <c r="D4661" s="1" t="s">
        <v>140</v>
      </c>
      <c r="E4661" s="1" t="s">
        <v>42</v>
      </c>
      <c r="F4661">
        <v>75.64</v>
      </c>
      <c r="G4661">
        <v>1</v>
      </c>
      <c r="H4661" s="1" t="s">
        <v>18</v>
      </c>
      <c r="I4661" s="1" t="s">
        <v>994</v>
      </c>
      <c r="J4661" s="12">
        <v>45969</v>
      </c>
      <c r="K4661">
        <v>0</v>
      </c>
      <c r="L4661" s="1">
        <f t="shared" si="288"/>
        <v>75.64</v>
      </c>
      <c r="M4661" s="1">
        <f t="shared" si="289"/>
        <v>4</v>
      </c>
      <c r="N4661" s="2">
        <f t="shared" si="290"/>
        <v>45962</v>
      </c>
      <c r="O4661" t="str">
        <f t="shared" si="291"/>
        <v>mačka</v>
      </c>
    </row>
    <row r="4662" spans="1:15" x14ac:dyDescent="0.25">
      <c r="A4662">
        <v>12149</v>
      </c>
      <c r="B4662" s="11">
        <v>8002233445569</v>
      </c>
      <c r="C4662" s="1" t="s">
        <v>667</v>
      </c>
      <c r="D4662" s="1" t="s">
        <v>26</v>
      </c>
      <c r="E4662" s="1" t="s">
        <v>308</v>
      </c>
      <c r="F4662">
        <v>20</v>
      </c>
      <c r="G4662">
        <v>1</v>
      </c>
      <c r="H4662" s="1" t="s">
        <v>14</v>
      </c>
      <c r="I4662" s="1" t="s">
        <v>15</v>
      </c>
      <c r="J4662" s="12">
        <v>45970</v>
      </c>
      <c r="K4662">
        <v>0</v>
      </c>
      <c r="L4662" s="1">
        <f t="shared" si="288"/>
        <v>20</v>
      </c>
      <c r="M4662" s="1" t="str">
        <f t="shared" si="289"/>
        <v/>
      </c>
      <c r="N4662" s="2">
        <f t="shared" si="290"/>
        <v>45962</v>
      </c>
      <c r="O4662" t="str">
        <f t="shared" si="291"/>
        <v>pes</v>
      </c>
    </row>
    <row r="4663" spans="1:15" x14ac:dyDescent="0.25">
      <c r="A4663">
        <v>12150</v>
      </c>
      <c r="B4663" s="11">
        <v>4017890123450</v>
      </c>
      <c r="C4663" s="1" t="s">
        <v>65</v>
      </c>
      <c r="D4663" s="1" t="s">
        <v>39</v>
      </c>
      <c r="E4663" s="1" t="s">
        <v>22</v>
      </c>
      <c r="F4663">
        <v>7.6</v>
      </c>
      <c r="G4663">
        <v>2</v>
      </c>
      <c r="H4663" s="1" t="s">
        <v>23</v>
      </c>
      <c r="I4663" s="1" t="s">
        <v>995</v>
      </c>
      <c r="J4663" s="12">
        <v>45970</v>
      </c>
      <c r="K4663">
        <v>0</v>
      </c>
      <c r="L4663" s="1">
        <f t="shared" si="288"/>
        <v>15.2</v>
      </c>
      <c r="M4663" s="1">
        <f t="shared" si="289"/>
        <v>5</v>
      </c>
      <c r="N4663" s="2">
        <f t="shared" si="290"/>
        <v>45962</v>
      </c>
      <c r="O4663" t="str">
        <f t="shared" si="291"/>
        <v>pes</v>
      </c>
    </row>
    <row r="4664" spans="1:15" hidden="1" x14ac:dyDescent="0.25">
      <c r="A4664">
        <v>12151</v>
      </c>
      <c r="B4664" s="11">
        <v>8591234567812</v>
      </c>
      <c r="C4664" s="1" t="s">
        <v>314</v>
      </c>
      <c r="D4664" s="1" t="s">
        <v>29</v>
      </c>
      <c r="E4664" s="1" t="s">
        <v>30</v>
      </c>
      <c r="F4664">
        <v>33.200000000000003</v>
      </c>
      <c r="G4664">
        <v>1</v>
      </c>
      <c r="H4664" s="1" t="s">
        <v>18</v>
      </c>
      <c r="I4664" s="1" t="s">
        <v>996</v>
      </c>
      <c r="J4664" s="12">
        <v>45971</v>
      </c>
      <c r="K4664">
        <v>0</v>
      </c>
      <c r="L4664" s="1">
        <f t="shared" si="288"/>
        <v>33.200000000000003</v>
      </c>
      <c r="M4664" s="1">
        <f t="shared" si="289"/>
        <v>4</v>
      </c>
      <c r="N4664" s="2">
        <f t="shared" si="290"/>
        <v>45962</v>
      </c>
      <c r="O4664" t="str">
        <f t="shared" si="291"/>
        <v>mačka</v>
      </c>
    </row>
    <row r="4665" spans="1:15" hidden="1" x14ac:dyDescent="0.25">
      <c r="A4665">
        <v>12152</v>
      </c>
      <c r="B4665" s="11">
        <v>4023456789012</v>
      </c>
      <c r="C4665" s="1" t="s">
        <v>55</v>
      </c>
      <c r="D4665" s="1" t="s">
        <v>29</v>
      </c>
      <c r="E4665" s="1" t="s">
        <v>32</v>
      </c>
      <c r="F4665">
        <v>4</v>
      </c>
      <c r="G4665">
        <v>1</v>
      </c>
      <c r="H4665" s="1" t="s">
        <v>14</v>
      </c>
      <c r="I4665" s="1" t="s">
        <v>15</v>
      </c>
      <c r="J4665" s="12">
        <v>45971</v>
      </c>
      <c r="K4665">
        <v>0</v>
      </c>
      <c r="L4665" s="1">
        <f t="shared" si="288"/>
        <v>4</v>
      </c>
      <c r="M4665" s="1" t="str">
        <f t="shared" si="289"/>
        <v/>
      </c>
      <c r="N4665" s="2">
        <f t="shared" si="290"/>
        <v>45962</v>
      </c>
      <c r="O4665" t="str">
        <f t="shared" si="291"/>
        <v>mačka</v>
      </c>
    </row>
    <row r="4666" spans="1:15" hidden="1" x14ac:dyDescent="0.25">
      <c r="A4666">
        <v>12153</v>
      </c>
      <c r="B4666" s="11">
        <v>4025566778891</v>
      </c>
      <c r="C4666" s="1" t="s">
        <v>320</v>
      </c>
      <c r="D4666" s="1" t="s">
        <v>317</v>
      </c>
      <c r="E4666" s="1" t="s">
        <v>30</v>
      </c>
      <c r="F4666">
        <v>51.64</v>
      </c>
      <c r="G4666">
        <v>1</v>
      </c>
      <c r="H4666" s="1" t="s">
        <v>23</v>
      </c>
      <c r="I4666" s="1" t="s">
        <v>997</v>
      </c>
      <c r="J4666" s="12">
        <v>45972</v>
      </c>
      <c r="K4666">
        <v>0</v>
      </c>
      <c r="L4666" s="1">
        <f t="shared" si="288"/>
        <v>51.64</v>
      </c>
      <c r="M4666" s="1">
        <f t="shared" si="289"/>
        <v>5</v>
      </c>
      <c r="N4666" s="2">
        <f t="shared" si="290"/>
        <v>45962</v>
      </c>
      <c r="O4666" t="str">
        <f t="shared" si="291"/>
        <v>mačka</v>
      </c>
    </row>
    <row r="4667" spans="1:15" hidden="1" x14ac:dyDescent="0.25">
      <c r="A4667">
        <v>12154</v>
      </c>
      <c r="B4667" s="11">
        <v>4002233445566</v>
      </c>
      <c r="C4667" s="1" t="s">
        <v>268</v>
      </c>
      <c r="D4667" s="1" t="s">
        <v>140</v>
      </c>
      <c r="E4667" s="1" t="s">
        <v>30</v>
      </c>
      <c r="F4667">
        <v>20</v>
      </c>
      <c r="G4667">
        <v>1</v>
      </c>
      <c r="H4667" s="1" t="s">
        <v>18</v>
      </c>
      <c r="I4667" s="1" t="s">
        <v>998</v>
      </c>
      <c r="J4667" s="12">
        <v>45972</v>
      </c>
      <c r="K4667">
        <v>0</v>
      </c>
      <c r="L4667" s="1">
        <f t="shared" si="288"/>
        <v>20</v>
      </c>
      <c r="M4667" s="1">
        <f t="shared" si="289"/>
        <v>4</v>
      </c>
      <c r="N4667" s="2">
        <f t="shared" si="290"/>
        <v>45962</v>
      </c>
      <c r="O4667" t="str">
        <f t="shared" si="291"/>
        <v>mačka</v>
      </c>
    </row>
    <row r="4668" spans="1:15" hidden="1" x14ac:dyDescent="0.25">
      <c r="A4668">
        <v>12155</v>
      </c>
      <c r="B4668" s="11">
        <v>4026677889902</v>
      </c>
      <c r="C4668" s="1" t="s">
        <v>52</v>
      </c>
      <c r="D4668" s="1" t="s">
        <v>53</v>
      </c>
      <c r="E4668" s="1" t="s">
        <v>54</v>
      </c>
      <c r="F4668">
        <v>7.6</v>
      </c>
      <c r="G4668">
        <v>1</v>
      </c>
      <c r="H4668" s="1" t="s">
        <v>14</v>
      </c>
      <c r="I4668" s="1" t="s">
        <v>15</v>
      </c>
      <c r="J4668" s="12">
        <v>45972</v>
      </c>
      <c r="K4668">
        <v>0</v>
      </c>
      <c r="L4668" s="1">
        <f t="shared" si="288"/>
        <v>7.6</v>
      </c>
      <c r="M4668" s="1" t="str">
        <f t="shared" si="289"/>
        <v/>
      </c>
      <c r="N4668" s="2">
        <f t="shared" si="290"/>
        <v>45962</v>
      </c>
      <c r="O4668" t="str">
        <f t="shared" si="291"/>
        <v>iné</v>
      </c>
    </row>
    <row r="4669" spans="1:15" hidden="1" x14ac:dyDescent="0.25">
      <c r="A4669">
        <v>12156</v>
      </c>
      <c r="B4669" s="11">
        <v>4050123456794</v>
      </c>
      <c r="C4669" s="1" t="s">
        <v>41</v>
      </c>
      <c r="D4669" s="1" t="s">
        <v>36</v>
      </c>
      <c r="E4669" s="1" t="s">
        <v>42</v>
      </c>
      <c r="F4669">
        <v>7.2</v>
      </c>
      <c r="G4669">
        <v>1</v>
      </c>
      <c r="H4669" s="1" t="s">
        <v>18</v>
      </c>
      <c r="I4669" s="1" t="s">
        <v>999</v>
      </c>
      <c r="J4669" s="12">
        <v>45973</v>
      </c>
      <c r="K4669">
        <v>0</v>
      </c>
      <c r="L4669" s="1">
        <f t="shared" si="288"/>
        <v>7.2</v>
      </c>
      <c r="M4669" s="1">
        <f t="shared" si="289"/>
        <v>4</v>
      </c>
      <c r="N4669" s="2">
        <f t="shared" si="290"/>
        <v>45962</v>
      </c>
      <c r="O4669" t="str">
        <f t="shared" si="291"/>
        <v>mačka</v>
      </c>
    </row>
    <row r="4670" spans="1:15" hidden="1" x14ac:dyDescent="0.25">
      <c r="A4670">
        <v>12157</v>
      </c>
      <c r="B4670" s="11">
        <v>4010123456783</v>
      </c>
      <c r="C4670" s="1" t="s">
        <v>35</v>
      </c>
      <c r="D4670" s="1" t="s">
        <v>36</v>
      </c>
      <c r="E4670" s="1" t="s">
        <v>37</v>
      </c>
      <c r="F4670">
        <v>14</v>
      </c>
      <c r="G4670">
        <v>1</v>
      </c>
      <c r="H4670" s="1" t="s">
        <v>23</v>
      </c>
      <c r="I4670" s="1" t="s">
        <v>551</v>
      </c>
      <c r="J4670" s="12">
        <v>45973</v>
      </c>
      <c r="K4670">
        <v>0</v>
      </c>
      <c r="L4670" s="1">
        <f t="shared" si="288"/>
        <v>14</v>
      </c>
      <c r="M4670" s="1">
        <f t="shared" si="289"/>
        <v>5</v>
      </c>
      <c r="N4670" s="2">
        <f t="shared" si="290"/>
        <v>45962</v>
      </c>
      <c r="O4670" t="str">
        <f t="shared" si="291"/>
        <v>mačka</v>
      </c>
    </row>
    <row r="4671" spans="1:15" hidden="1" x14ac:dyDescent="0.25">
      <c r="A4671">
        <v>12158</v>
      </c>
      <c r="B4671" s="11">
        <v>4009012345672</v>
      </c>
      <c r="C4671" s="1" t="s">
        <v>45</v>
      </c>
      <c r="D4671" s="1" t="s">
        <v>36</v>
      </c>
      <c r="E4671" s="1" t="s">
        <v>32</v>
      </c>
      <c r="F4671">
        <v>11.2</v>
      </c>
      <c r="G4671">
        <v>1</v>
      </c>
      <c r="H4671" s="1" t="s">
        <v>14</v>
      </c>
      <c r="I4671" s="1" t="s">
        <v>15</v>
      </c>
      <c r="J4671" s="12">
        <v>45974</v>
      </c>
      <c r="K4671">
        <v>0</v>
      </c>
      <c r="L4671" s="1">
        <f t="shared" si="288"/>
        <v>11.2</v>
      </c>
      <c r="M4671" s="1" t="str">
        <f t="shared" si="289"/>
        <v/>
      </c>
      <c r="N4671" s="2">
        <f t="shared" si="290"/>
        <v>45962</v>
      </c>
      <c r="O4671" t="str">
        <f t="shared" si="291"/>
        <v>mačka</v>
      </c>
    </row>
    <row r="4672" spans="1:15" hidden="1" x14ac:dyDescent="0.25">
      <c r="A4672">
        <v>12159</v>
      </c>
      <c r="B4672" s="11">
        <v>4056789012345</v>
      </c>
      <c r="C4672" s="1" t="s">
        <v>47</v>
      </c>
      <c r="D4672" s="1" t="s">
        <v>29</v>
      </c>
      <c r="E4672" s="1" t="s">
        <v>37</v>
      </c>
      <c r="F4672">
        <v>2.4</v>
      </c>
      <c r="G4672">
        <v>3</v>
      </c>
      <c r="H4672" s="1" t="s">
        <v>18</v>
      </c>
      <c r="I4672" s="1" t="s">
        <v>1000</v>
      </c>
      <c r="J4672" s="12">
        <v>45974</v>
      </c>
      <c r="K4672">
        <v>0</v>
      </c>
      <c r="L4672" s="1">
        <f t="shared" si="288"/>
        <v>7.1999999999999993</v>
      </c>
      <c r="M4672" s="1">
        <f t="shared" si="289"/>
        <v>4</v>
      </c>
      <c r="N4672" s="2">
        <f t="shared" si="290"/>
        <v>45962</v>
      </c>
      <c r="O4672" t="str">
        <f t="shared" si="291"/>
        <v>mačka</v>
      </c>
    </row>
    <row r="4673" spans="1:15" hidden="1" x14ac:dyDescent="0.25">
      <c r="A4673">
        <v>12160</v>
      </c>
      <c r="B4673" s="11">
        <v>4062345678917</v>
      </c>
      <c r="C4673" s="1" t="s">
        <v>649</v>
      </c>
      <c r="D4673" s="1" t="s">
        <v>140</v>
      </c>
      <c r="E4673" s="1" t="s">
        <v>69</v>
      </c>
      <c r="F4673">
        <v>59.64</v>
      </c>
      <c r="G4673">
        <v>1</v>
      </c>
      <c r="H4673" s="1" t="s">
        <v>23</v>
      </c>
      <c r="I4673" s="1" t="s">
        <v>1001</v>
      </c>
      <c r="J4673" s="12">
        <v>45974</v>
      </c>
      <c r="K4673">
        <v>0</v>
      </c>
      <c r="L4673" s="1">
        <f t="shared" si="288"/>
        <v>59.64</v>
      </c>
      <c r="M4673" s="1">
        <f t="shared" si="289"/>
        <v>5</v>
      </c>
      <c r="N4673" s="2">
        <f t="shared" si="290"/>
        <v>45962</v>
      </c>
      <c r="O4673" t="str">
        <f t="shared" si="291"/>
        <v>mačka</v>
      </c>
    </row>
    <row r="4674" spans="1:15" x14ac:dyDescent="0.25">
      <c r="A4674">
        <v>12161</v>
      </c>
      <c r="B4674" s="11">
        <v>4005566778891</v>
      </c>
      <c r="C4674" s="1" t="s">
        <v>146</v>
      </c>
      <c r="D4674" s="1" t="s">
        <v>26</v>
      </c>
      <c r="E4674" s="1" t="s">
        <v>134</v>
      </c>
      <c r="F4674">
        <v>18</v>
      </c>
      <c r="G4674">
        <v>1</v>
      </c>
      <c r="H4674" s="1" t="s">
        <v>14</v>
      </c>
      <c r="I4674" s="1" t="s">
        <v>15</v>
      </c>
      <c r="J4674" s="12">
        <v>45975</v>
      </c>
      <c r="K4674">
        <v>0</v>
      </c>
      <c r="L4674" s="1">
        <f t="shared" ref="L4674:L4737" si="292">F4674*G4674</f>
        <v>18</v>
      </c>
      <c r="M4674" s="1" t="str">
        <f t="shared" ref="M4674:M4737" si="293">IF(H4674="NULL", "",VALUE(H4674))</f>
        <v/>
      </c>
      <c r="N4674" s="2">
        <f t="shared" ref="N4674:N4737" si="294">DATE(YEAR(J4674),MONTH(J4674),1)</f>
        <v>45962</v>
      </c>
      <c r="O4674" t="str">
        <f t="shared" ref="O4674:O4737" si="295">IF(ISNUMBER(SEARCH("Mačky",D4674)),"mačka",IF(ISNUMBER(SEARCH("Psy",D4674)),"pes","iné"))</f>
        <v>pes</v>
      </c>
    </row>
    <row r="4675" spans="1:15" x14ac:dyDescent="0.25">
      <c r="A4675">
        <v>12162</v>
      </c>
      <c r="B4675" s="11">
        <v>4011234567897</v>
      </c>
      <c r="C4675" s="1" t="s">
        <v>341</v>
      </c>
      <c r="D4675" s="1" t="s">
        <v>21</v>
      </c>
      <c r="E4675" s="1" t="s">
        <v>303</v>
      </c>
      <c r="F4675">
        <v>11.6</v>
      </c>
      <c r="G4675">
        <v>1</v>
      </c>
      <c r="H4675" s="1" t="s">
        <v>18</v>
      </c>
      <c r="I4675" s="1" t="s">
        <v>1002</v>
      </c>
      <c r="J4675" s="12">
        <v>45975</v>
      </c>
      <c r="K4675">
        <v>0</v>
      </c>
      <c r="L4675" s="1">
        <f t="shared" si="292"/>
        <v>11.6</v>
      </c>
      <c r="M4675" s="1">
        <f t="shared" si="293"/>
        <v>4</v>
      </c>
      <c r="N4675" s="2">
        <f t="shared" si="294"/>
        <v>45962</v>
      </c>
      <c r="O4675" t="str">
        <f t="shared" si="295"/>
        <v>pes</v>
      </c>
    </row>
    <row r="4676" spans="1:15" x14ac:dyDescent="0.25">
      <c r="A4676">
        <v>12163</v>
      </c>
      <c r="B4676" s="11">
        <v>4057890123467</v>
      </c>
      <c r="C4676" s="1" t="s">
        <v>307</v>
      </c>
      <c r="D4676" s="1" t="s">
        <v>39</v>
      </c>
      <c r="E4676" s="1" t="s">
        <v>308</v>
      </c>
      <c r="F4676">
        <v>9.6</v>
      </c>
      <c r="G4676">
        <v>1</v>
      </c>
      <c r="H4676" s="1" t="s">
        <v>14</v>
      </c>
      <c r="I4676" s="1" t="s">
        <v>15</v>
      </c>
      <c r="J4676" s="12">
        <v>45975</v>
      </c>
      <c r="K4676">
        <v>0</v>
      </c>
      <c r="L4676" s="1">
        <f t="shared" si="292"/>
        <v>9.6</v>
      </c>
      <c r="M4676" s="1" t="str">
        <f t="shared" si="293"/>
        <v/>
      </c>
      <c r="N4676" s="2">
        <f t="shared" si="294"/>
        <v>45962</v>
      </c>
      <c r="O4676" t="str">
        <f t="shared" si="295"/>
        <v>pes</v>
      </c>
    </row>
    <row r="4677" spans="1:15" x14ac:dyDescent="0.25">
      <c r="A4677">
        <v>12164</v>
      </c>
      <c r="B4677" s="11">
        <v>4063456789014</v>
      </c>
      <c r="C4677" s="1" t="s">
        <v>60</v>
      </c>
      <c r="D4677" s="1" t="s">
        <v>12</v>
      </c>
      <c r="E4677" s="1" t="s">
        <v>61</v>
      </c>
      <c r="F4677">
        <v>36</v>
      </c>
      <c r="G4677">
        <v>1</v>
      </c>
      <c r="H4677" s="1" t="s">
        <v>23</v>
      </c>
      <c r="I4677" s="1" t="s">
        <v>1003</v>
      </c>
      <c r="J4677" s="12">
        <v>45976</v>
      </c>
      <c r="K4677">
        <v>0</v>
      </c>
      <c r="L4677" s="1">
        <f t="shared" si="292"/>
        <v>36</v>
      </c>
      <c r="M4677" s="1">
        <f t="shared" si="293"/>
        <v>5</v>
      </c>
      <c r="N4677" s="2">
        <f t="shared" si="294"/>
        <v>45962</v>
      </c>
      <c r="O4677" t="str">
        <f t="shared" si="295"/>
        <v>pes</v>
      </c>
    </row>
    <row r="4678" spans="1:15" hidden="1" x14ac:dyDescent="0.25">
      <c r="A4678">
        <v>12165</v>
      </c>
      <c r="B4678" s="11">
        <v>4042233445567</v>
      </c>
      <c r="C4678" s="1" t="s">
        <v>637</v>
      </c>
      <c r="D4678" s="1" t="s">
        <v>140</v>
      </c>
      <c r="E4678" s="1" t="s">
        <v>141</v>
      </c>
      <c r="F4678">
        <v>51.64</v>
      </c>
      <c r="G4678">
        <v>1</v>
      </c>
      <c r="H4678" s="1" t="s">
        <v>14</v>
      </c>
      <c r="I4678" s="1" t="s">
        <v>15</v>
      </c>
      <c r="J4678" s="12">
        <v>45976</v>
      </c>
      <c r="K4678">
        <v>0</v>
      </c>
      <c r="L4678" s="1">
        <f t="shared" si="292"/>
        <v>51.64</v>
      </c>
      <c r="M4678" s="1" t="str">
        <f t="shared" si="293"/>
        <v/>
      </c>
      <c r="N4678" s="2">
        <f t="shared" si="294"/>
        <v>45962</v>
      </c>
      <c r="O4678" t="str">
        <f t="shared" si="295"/>
        <v>mačka</v>
      </c>
    </row>
    <row r="4679" spans="1:15" hidden="1" x14ac:dyDescent="0.25">
      <c r="A4679">
        <v>12166</v>
      </c>
      <c r="B4679" s="11">
        <v>4007788990022</v>
      </c>
      <c r="C4679" s="1" t="s">
        <v>663</v>
      </c>
      <c r="D4679" s="1" t="s">
        <v>140</v>
      </c>
      <c r="E4679" s="1" t="s">
        <v>141</v>
      </c>
      <c r="F4679">
        <v>59.64</v>
      </c>
      <c r="G4679">
        <v>1</v>
      </c>
      <c r="H4679" s="1" t="s">
        <v>23</v>
      </c>
      <c r="I4679" s="1" t="s">
        <v>1004</v>
      </c>
      <c r="J4679" s="12">
        <v>45976</v>
      </c>
      <c r="K4679">
        <v>0</v>
      </c>
      <c r="L4679" s="1">
        <f t="shared" si="292"/>
        <v>59.64</v>
      </c>
      <c r="M4679" s="1">
        <f t="shared" si="293"/>
        <v>5</v>
      </c>
      <c r="N4679" s="2">
        <f t="shared" si="294"/>
        <v>45962</v>
      </c>
      <c r="O4679" t="str">
        <f t="shared" si="295"/>
        <v>mačka</v>
      </c>
    </row>
    <row r="4680" spans="1:15" hidden="1" x14ac:dyDescent="0.25">
      <c r="A4680">
        <v>12167</v>
      </c>
      <c r="B4680" s="11">
        <v>4021234567894</v>
      </c>
      <c r="C4680" s="1" t="s">
        <v>79</v>
      </c>
      <c r="D4680" s="1" t="s">
        <v>36</v>
      </c>
      <c r="E4680" s="1" t="s">
        <v>69</v>
      </c>
      <c r="F4680">
        <v>8</v>
      </c>
      <c r="G4680">
        <v>1</v>
      </c>
      <c r="H4680" s="1" t="s">
        <v>14</v>
      </c>
      <c r="I4680" s="1" t="s">
        <v>15</v>
      </c>
      <c r="J4680" s="12">
        <v>45976</v>
      </c>
      <c r="K4680">
        <v>0</v>
      </c>
      <c r="L4680" s="1">
        <f t="shared" si="292"/>
        <v>8</v>
      </c>
      <c r="M4680" s="1" t="str">
        <f t="shared" si="293"/>
        <v/>
      </c>
      <c r="N4680" s="2">
        <f t="shared" si="294"/>
        <v>45962</v>
      </c>
      <c r="O4680" t="str">
        <f t="shared" si="295"/>
        <v>mačka</v>
      </c>
    </row>
    <row r="4681" spans="1:15" hidden="1" x14ac:dyDescent="0.25">
      <c r="A4681">
        <v>12168</v>
      </c>
      <c r="B4681" s="11">
        <v>4058901234571</v>
      </c>
      <c r="C4681" s="1" t="s">
        <v>1005</v>
      </c>
      <c r="D4681" s="1" t="s">
        <v>144</v>
      </c>
      <c r="E4681" s="1" t="s">
        <v>141</v>
      </c>
      <c r="F4681">
        <v>12</v>
      </c>
      <c r="G4681">
        <v>1</v>
      </c>
      <c r="H4681" s="1" t="s">
        <v>33</v>
      </c>
      <c r="I4681" s="1" t="s">
        <v>113</v>
      </c>
      <c r="J4681" s="12">
        <v>45977</v>
      </c>
      <c r="K4681">
        <v>0</v>
      </c>
      <c r="L4681" s="1">
        <f t="shared" si="292"/>
        <v>12</v>
      </c>
      <c r="M4681" s="1">
        <f t="shared" si="293"/>
        <v>3</v>
      </c>
      <c r="N4681" s="2">
        <f t="shared" si="294"/>
        <v>45962</v>
      </c>
      <c r="O4681" t="str">
        <f t="shared" si="295"/>
        <v>mačka</v>
      </c>
    </row>
    <row r="4682" spans="1:15" hidden="1" x14ac:dyDescent="0.25">
      <c r="A4682">
        <v>12169</v>
      </c>
      <c r="B4682" s="11">
        <v>4029900112244</v>
      </c>
      <c r="C4682" s="1" t="s">
        <v>655</v>
      </c>
      <c r="D4682" s="1" t="s">
        <v>36</v>
      </c>
      <c r="E4682" s="1" t="s">
        <v>37</v>
      </c>
      <c r="F4682">
        <v>13.6</v>
      </c>
      <c r="G4682">
        <v>1</v>
      </c>
      <c r="H4682" s="1" t="s">
        <v>14</v>
      </c>
      <c r="I4682" s="1" t="s">
        <v>15</v>
      </c>
      <c r="J4682" s="12">
        <v>45977</v>
      </c>
      <c r="K4682">
        <v>0</v>
      </c>
      <c r="L4682" s="1">
        <f t="shared" si="292"/>
        <v>13.6</v>
      </c>
      <c r="M4682" s="1" t="str">
        <f t="shared" si="293"/>
        <v/>
      </c>
      <c r="N4682" s="2">
        <f t="shared" si="294"/>
        <v>45962</v>
      </c>
      <c r="O4682" t="str">
        <f t="shared" si="295"/>
        <v>mačka</v>
      </c>
    </row>
    <row r="4683" spans="1:15" x14ac:dyDescent="0.25">
      <c r="A4683">
        <v>12170</v>
      </c>
      <c r="B4683" s="11">
        <v>4028899001126</v>
      </c>
      <c r="C4683" s="1" t="s">
        <v>16</v>
      </c>
      <c r="D4683" s="1" t="s">
        <v>12</v>
      </c>
      <c r="E4683" s="1" t="s">
        <v>17</v>
      </c>
      <c r="F4683">
        <v>2.8</v>
      </c>
      <c r="G4683">
        <v>3</v>
      </c>
      <c r="H4683" s="1" t="s">
        <v>23</v>
      </c>
      <c r="I4683" s="1" t="s">
        <v>1006</v>
      </c>
      <c r="J4683" s="12">
        <v>45977</v>
      </c>
      <c r="K4683">
        <v>0</v>
      </c>
      <c r="L4683" s="1">
        <f t="shared" si="292"/>
        <v>8.3999999999999986</v>
      </c>
      <c r="M4683" s="1">
        <f t="shared" si="293"/>
        <v>5</v>
      </c>
      <c r="N4683" s="2">
        <f t="shared" si="294"/>
        <v>45962</v>
      </c>
      <c r="O4683" t="str">
        <f t="shared" si="295"/>
        <v>pes</v>
      </c>
    </row>
    <row r="4684" spans="1:15" hidden="1" x14ac:dyDescent="0.25">
      <c r="A4684">
        <v>12171</v>
      </c>
      <c r="B4684" s="11">
        <v>4023456789012</v>
      </c>
      <c r="C4684" s="1" t="s">
        <v>55</v>
      </c>
      <c r="D4684" s="1" t="s">
        <v>29</v>
      </c>
      <c r="E4684" s="1" t="s">
        <v>32</v>
      </c>
      <c r="F4684">
        <v>4</v>
      </c>
      <c r="G4684">
        <v>2</v>
      </c>
      <c r="H4684" s="1" t="s">
        <v>18</v>
      </c>
      <c r="I4684" s="1" t="s">
        <v>1007</v>
      </c>
      <c r="J4684" s="12">
        <v>45978</v>
      </c>
      <c r="K4684">
        <v>0</v>
      </c>
      <c r="L4684" s="1">
        <f t="shared" si="292"/>
        <v>8</v>
      </c>
      <c r="M4684" s="1">
        <f t="shared" si="293"/>
        <v>4</v>
      </c>
      <c r="N4684" s="2">
        <f t="shared" si="294"/>
        <v>45962</v>
      </c>
      <c r="O4684" t="str">
        <f t="shared" si="295"/>
        <v>mačka</v>
      </c>
    </row>
    <row r="4685" spans="1:15" x14ac:dyDescent="0.25">
      <c r="A4685">
        <v>12172</v>
      </c>
      <c r="B4685" s="11">
        <v>4063456789014</v>
      </c>
      <c r="C4685" s="1" t="s">
        <v>60</v>
      </c>
      <c r="D4685" s="1" t="s">
        <v>12</v>
      </c>
      <c r="E4685" s="1" t="s">
        <v>61</v>
      </c>
      <c r="F4685">
        <v>36</v>
      </c>
      <c r="G4685">
        <v>1</v>
      </c>
      <c r="H4685" s="1" t="s">
        <v>14</v>
      </c>
      <c r="I4685" s="1" t="s">
        <v>15</v>
      </c>
      <c r="J4685" s="12">
        <v>45978</v>
      </c>
      <c r="K4685">
        <v>0</v>
      </c>
      <c r="L4685" s="1">
        <f t="shared" si="292"/>
        <v>36</v>
      </c>
      <c r="M4685" s="1" t="str">
        <f t="shared" si="293"/>
        <v/>
      </c>
      <c r="N4685" s="2">
        <f t="shared" si="294"/>
        <v>45962</v>
      </c>
      <c r="O4685" t="str">
        <f t="shared" si="295"/>
        <v>pes</v>
      </c>
    </row>
    <row r="4686" spans="1:15" hidden="1" x14ac:dyDescent="0.25">
      <c r="A4686">
        <v>12173</v>
      </c>
      <c r="B4686" s="11">
        <v>4043344556676</v>
      </c>
      <c r="C4686" s="1" t="s">
        <v>316</v>
      </c>
      <c r="D4686" s="1" t="s">
        <v>317</v>
      </c>
      <c r="E4686" s="1" t="s">
        <v>58</v>
      </c>
      <c r="F4686">
        <v>10</v>
      </c>
      <c r="G4686">
        <v>1</v>
      </c>
      <c r="H4686" s="1" t="s">
        <v>18</v>
      </c>
      <c r="I4686" s="1" t="s">
        <v>1008</v>
      </c>
      <c r="J4686" s="12">
        <v>45978</v>
      </c>
      <c r="K4686">
        <v>0</v>
      </c>
      <c r="L4686" s="1">
        <f t="shared" si="292"/>
        <v>10</v>
      </c>
      <c r="M4686" s="1">
        <f t="shared" si="293"/>
        <v>4</v>
      </c>
      <c r="N4686" s="2">
        <f t="shared" si="294"/>
        <v>45962</v>
      </c>
      <c r="O4686" t="str">
        <f t="shared" si="295"/>
        <v>mačka</v>
      </c>
    </row>
    <row r="4687" spans="1:15" hidden="1" x14ac:dyDescent="0.25">
      <c r="A4687">
        <v>12174</v>
      </c>
      <c r="B4687" s="11">
        <v>4050123456794</v>
      </c>
      <c r="C4687" s="1" t="s">
        <v>41</v>
      </c>
      <c r="D4687" s="1" t="s">
        <v>36</v>
      </c>
      <c r="E4687" s="1" t="s">
        <v>42</v>
      </c>
      <c r="F4687">
        <v>7.2</v>
      </c>
      <c r="G4687">
        <v>1</v>
      </c>
      <c r="H4687" s="1" t="s">
        <v>23</v>
      </c>
      <c r="I4687" s="1" t="s">
        <v>1009</v>
      </c>
      <c r="J4687" s="12">
        <v>45979</v>
      </c>
      <c r="K4687">
        <v>0</v>
      </c>
      <c r="L4687" s="1">
        <f t="shared" si="292"/>
        <v>7.2</v>
      </c>
      <c r="M4687" s="1">
        <f t="shared" si="293"/>
        <v>5</v>
      </c>
      <c r="N4687" s="2">
        <f t="shared" si="294"/>
        <v>45962</v>
      </c>
      <c r="O4687" t="str">
        <f t="shared" si="295"/>
        <v>mačka</v>
      </c>
    </row>
    <row r="4688" spans="1:15" x14ac:dyDescent="0.25">
      <c r="A4688">
        <v>12175</v>
      </c>
      <c r="B4688" s="11">
        <v>4003344556679</v>
      </c>
      <c r="C4688" s="1" t="s">
        <v>132</v>
      </c>
      <c r="D4688" s="1" t="s">
        <v>133</v>
      </c>
      <c r="E4688" s="1" t="s">
        <v>134</v>
      </c>
      <c r="F4688">
        <v>51.64</v>
      </c>
      <c r="G4688">
        <v>1</v>
      </c>
      <c r="H4688" s="1" t="s">
        <v>18</v>
      </c>
      <c r="I4688" s="1" t="s">
        <v>1010</v>
      </c>
      <c r="J4688" s="12">
        <v>45979</v>
      </c>
      <c r="K4688">
        <v>0</v>
      </c>
      <c r="L4688" s="1">
        <f t="shared" si="292"/>
        <v>51.64</v>
      </c>
      <c r="M4688" s="1">
        <f t="shared" si="293"/>
        <v>4</v>
      </c>
      <c r="N4688" s="2">
        <f t="shared" si="294"/>
        <v>45962</v>
      </c>
      <c r="O4688" t="str">
        <f t="shared" si="295"/>
        <v>pes</v>
      </c>
    </row>
    <row r="4689" spans="1:15" hidden="1" x14ac:dyDescent="0.25">
      <c r="A4689">
        <v>12176</v>
      </c>
      <c r="B4689" s="11">
        <v>8007890123454</v>
      </c>
      <c r="C4689" s="1" t="s">
        <v>360</v>
      </c>
      <c r="D4689" s="1" t="s">
        <v>140</v>
      </c>
      <c r="E4689" s="1" t="s">
        <v>37</v>
      </c>
      <c r="F4689">
        <v>43.64</v>
      </c>
      <c r="G4689">
        <v>1</v>
      </c>
      <c r="H4689" s="1" t="s">
        <v>14</v>
      </c>
      <c r="I4689" s="1" t="s">
        <v>15</v>
      </c>
      <c r="J4689" s="12">
        <v>45979</v>
      </c>
      <c r="K4689">
        <v>0</v>
      </c>
      <c r="L4689" s="1">
        <f t="shared" si="292"/>
        <v>43.64</v>
      </c>
      <c r="M4689" s="1" t="str">
        <f t="shared" si="293"/>
        <v/>
      </c>
      <c r="N4689" s="2">
        <f t="shared" si="294"/>
        <v>45962</v>
      </c>
      <c r="O4689" t="str">
        <f t="shared" si="295"/>
        <v>mačka</v>
      </c>
    </row>
    <row r="4690" spans="1:15" x14ac:dyDescent="0.25">
      <c r="A4690">
        <v>12177</v>
      </c>
      <c r="B4690" s="11">
        <v>8592233445568</v>
      </c>
      <c r="C4690" s="1" t="s">
        <v>138</v>
      </c>
      <c r="D4690" s="1" t="s">
        <v>133</v>
      </c>
      <c r="E4690" s="1" t="s">
        <v>17</v>
      </c>
      <c r="F4690">
        <v>79.64</v>
      </c>
      <c r="G4690">
        <v>1</v>
      </c>
      <c r="H4690" s="1" t="s">
        <v>23</v>
      </c>
      <c r="I4690" s="1" t="s">
        <v>1011</v>
      </c>
      <c r="J4690" s="12">
        <v>45980</v>
      </c>
      <c r="K4690">
        <v>0</v>
      </c>
      <c r="L4690" s="1">
        <f t="shared" si="292"/>
        <v>79.64</v>
      </c>
      <c r="M4690" s="1">
        <f t="shared" si="293"/>
        <v>5</v>
      </c>
      <c r="N4690" s="2">
        <f t="shared" si="294"/>
        <v>45962</v>
      </c>
      <c r="O4690" t="str">
        <f t="shared" si="295"/>
        <v>pes</v>
      </c>
    </row>
    <row r="4691" spans="1:15" hidden="1" x14ac:dyDescent="0.25">
      <c r="A4691">
        <v>12178</v>
      </c>
      <c r="B4691" s="11">
        <v>4001234567893</v>
      </c>
      <c r="C4691" s="1" t="s">
        <v>31</v>
      </c>
      <c r="D4691" s="1" t="s">
        <v>29</v>
      </c>
      <c r="E4691" s="1" t="s">
        <v>32</v>
      </c>
      <c r="F4691">
        <v>9.1999999999999993</v>
      </c>
      <c r="G4691">
        <v>1</v>
      </c>
      <c r="H4691" s="1" t="s">
        <v>14</v>
      </c>
      <c r="I4691" s="1" t="s">
        <v>15</v>
      </c>
      <c r="J4691" s="12">
        <v>45980</v>
      </c>
      <c r="K4691">
        <v>0</v>
      </c>
      <c r="L4691" s="1">
        <f t="shared" si="292"/>
        <v>9.1999999999999993</v>
      </c>
      <c r="M4691" s="1" t="str">
        <f t="shared" si="293"/>
        <v/>
      </c>
      <c r="N4691" s="2">
        <f t="shared" si="294"/>
        <v>45962</v>
      </c>
      <c r="O4691" t="str">
        <f t="shared" si="295"/>
        <v>mačka</v>
      </c>
    </row>
    <row r="4692" spans="1:15" hidden="1" x14ac:dyDescent="0.25">
      <c r="A4692">
        <v>12179</v>
      </c>
      <c r="B4692" s="11">
        <v>4002233445566</v>
      </c>
      <c r="C4692" s="1" t="s">
        <v>268</v>
      </c>
      <c r="D4692" s="1" t="s">
        <v>140</v>
      </c>
      <c r="E4692" s="1" t="s">
        <v>30</v>
      </c>
      <c r="F4692">
        <v>20</v>
      </c>
      <c r="G4692">
        <v>1</v>
      </c>
      <c r="H4692" s="1" t="s">
        <v>18</v>
      </c>
      <c r="I4692" s="1" t="s">
        <v>1012</v>
      </c>
      <c r="J4692" s="12">
        <v>45980</v>
      </c>
      <c r="K4692">
        <v>0</v>
      </c>
      <c r="L4692" s="1">
        <f t="shared" si="292"/>
        <v>20</v>
      </c>
      <c r="M4692" s="1">
        <f t="shared" si="293"/>
        <v>4</v>
      </c>
      <c r="N4692" s="2">
        <f t="shared" si="294"/>
        <v>45962</v>
      </c>
      <c r="O4692" t="str">
        <f t="shared" si="295"/>
        <v>mačka</v>
      </c>
    </row>
    <row r="4693" spans="1:15" hidden="1" x14ac:dyDescent="0.25">
      <c r="A4693">
        <v>12180</v>
      </c>
      <c r="B4693" s="11">
        <v>4055566778892</v>
      </c>
      <c r="C4693" s="1" t="s">
        <v>652</v>
      </c>
      <c r="D4693" s="1" t="s">
        <v>317</v>
      </c>
      <c r="E4693" s="1" t="s">
        <v>69</v>
      </c>
      <c r="F4693">
        <v>8</v>
      </c>
      <c r="G4693">
        <v>1</v>
      </c>
      <c r="H4693" s="1" t="s">
        <v>14</v>
      </c>
      <c r="I4693" s="1" t="s">
        <v>15</v>
      </c>
      <c r="J4693" s="12">
        <v>45981</v>
      </c>
      <c r="K4693">
        <v>0</v>
      </c>
      <c r="L4693" s="1">
        <f t="shared" si="292"/>
        <v>8</v>
      </c>
      <c r="M4693" s="1" t="str">
        <f t="shared" si="293"/>
        <v/>
      </c>
      <c r="N4693" s="2">
        <f t="shared" si="294"/>
        <v>45962</v>
      </c>
      <c r="O4693" t="str">
        <f t="shared" si="295"/>
        <v>mačka</v>
      </c>
    </row>
    <row r="4694" spans="1:15" hidden="1" x14ac:dyDescent="0.25">
      <c r="A4694">
        <v>12181</v>
      </c>
      <c r="B4694" s="11">
        <v>4067890123456</v>
      </c>
      <c r="C4694" s="1" t="s">
        <v>68</v>
      </c>
      <c r="D4694" s="1" t="s">
        <v>29</v>
      </c>
      <c r="E4694" s="1" t="s">
        <v>69</v>
      </c>
      <c r="F4694">
        <v>36</v>
      </c>
      <c r="G4694">
        <v>1</v>
      </c>
      <c r="H4694" s="1" t="s">
        <v>23</v>
      </c>
      <c r="I4694" s="1" t="s">
        <v>1013</v>
      </c>
      <c r="J4694" s="12">
        <v>45981</v>
      </c>
      <c r="K4694">
        <v>0</v>
      </c>
      <c r="L4694" s="1">
        <f t="shared" si="292"/>
        <v>36</v>
      </c>
      <c r="M4694" s="1">
        <f t="shared" si="293"/>
        <v>5</v>
      </c>
      <c r="N4694" s="2">
        <f t="shared" si="294"/>
        <v>45962</v>
      </c>
      <c r="O4694" t="str">
        <f t="shared" si="295"/>
        <v>mačka</v>
      </c>
    </row>
    <row r="4695" spans="1:15" x14ac:dyDescent="0.25">
      <c r="A4695">
        <v>12182</v>
      </c>
      <c r="B4695" s="11">
        <v>4057890123467</v>
      </c>
      <c r="C4695" s="1" t="s">
        <v>307</v>
      </c>
      <c r="D4695" s="1" t="s">
        <v>39</v>
      </c>
      <c r="E4695" s="1" t="s">
        <v>308</v>
      </c>
      <c r="F4695">
        <v>9.6</v>
      </c>
      <c r="G4695">
        <v>1</v>
      </c>
      <c r="H4695" s="1" t="s">
        <v>14</v>
      </c>
      <c r="I4695" s="1" t="s">
        <v>15</v>
      </c>
      <c r="J4695" s="12">
        <v>45981</v>
      </c>
      <c r="K4695">
        <v>0</v>
      </c>
      <c r="L4695" s="1">
        <f t="shared" si="292"/>
        <v>9.6</v>
      </c>
      <c r="M4695" s="1" t="str">
        <f t="shared" si="293"/>
        <v/>
      </c>
      <c r="N4695" s="2">
        <f t="shared" si="294"/>
        <v>45962</v>
      </c>
      <c r="O4695" t="str">
        <f t="shared" si="295"/>
        <v>pes</v>
      </c>
    </row>
    <row r="4696" spans="1:15" x14ac:dyDescent="0.25">
      <c r="A4696">
        <v>12183</v>
      </c>
      <c r="B4696" s="11">
        <v>4017890123450</v>
      </c>
      <c r="C4696" s="1" t="s">
        <v>65</v>
      </c>
      <c r="D4696" s="1" t="s">
        <v>39</v>
      </c>
      <c r="E4696" s="1" t="s">
        <v>22</v>
      </c>
      <c r="F4696">
        <v>7.6</v>
      </c>
      <c r="G4696">
        <v>2</v>
      </c>
      <c r="H4696" s="1" t="s">
        <v>18</v>
      </c>
      <c r="I4696" s="1" t="s">
        <v>1014</v>
      </c>
      <c r="J4696" s="12">
        <v>45982</v>
      </c>
      <c r="K4696">
        <v>0</v>
      </c>
      <c r="L4696" s="1">
        <f t="shared" si="292"/>
        <v>15.2</v>
      </c>
      <c r="M4696" s="1">
        <f t="shared" si="293"/>
        <v>4</v>
      </c>
      <c r="N4696" s="2">
        <f t="shared" si="294"/>
        <v>45962</v>
      </c>
      <c r="O4696" t="str">
        <f t="shared" si="295"/>
        <v>pes</v>
      </c>
    </row>
    <row r="4697" spans="1:15" x14ac:dyDescent="0.25">
      <c r="A4697">
        <v>12184</v>
      </c>
      <c r="B4697" s="11">
        <v>4063456789014</v>
      </c>
      <c r="C4697" s="1" t="s">
        <v>60</v>
      </c>
      <c r="D4697" s="1" t="s">
        <v>12</v>
      </c>
      <c r="E4697" s="1" t="s">
        <v>61</v>
      </c>
      <c r="F4697">
        <v>36</v>
      </c>
      <c r="G4697">
        <v>1</v>
      </c>
      <c r="H4697" s="1" t="s">
        <v>14</v>
      </c>
      <c r="I4697" s="1" t="s">
        <v>15</v>
      </c>
      <c r="J4697" s="12">
        <v>45982</v>
      </c>
      <c r="K4697">
        <v>0</v>
      </c>
      <c r="L4697" s="1">
        <f t="shared" si="292"/>
        <v>36</v>
      </c>
      <c r="M4697" s="1" t="str">
        <f t="shared" si="293"/>
        <v/>
      </c>
      <c r="N4697" s="2">
        <f t="shared" si="294"/>
        <v>45962</v>
      </c>
      <c r="O4697" t="str">
        <f t="shared" si="295"/>
        <v>pes</v>
      </c>
    </row>
    <row r="4698" spans="1:15" hidden="1" x14ac:dyDescent="0.25">
      <c r="A4698">
        <v>12185</v>
      </c>
      <c r="B4698" s="11">
        <v>4045678901234</v>
      </c>
      <c r="C4698" s="1" t="s">
        <v>671</v>
      </c>
      <c r="D4698" s="1" t="s">
        <v>29</v>
      </c>
      <c r="E4698" s="1" t="s">
        <v>58</v>
      </c>
      <c r="F4698">
        <v>9.6</v>
      </c>
      <c r="G4698">
        <v>1</v>
      </c>
      <c r="H4698" s="1" t="s">
        <v>23</v>
      </c>
      <c r="I4698" s="1" t="s">
        <v>1015</v>
      </c>
      <c r="J4698" s="12">
        <v>45982</v>
      </c>
      <c r="K4698">
        <v>0</v>
      </c>
      <c r="L4698" s="1">
        <f t="shared" si="292"/>
        <v>9.6</v>
      </c>
      <c r="M4698" s="1">
        <f t="shared" si="293"/>
        <v>5</v>
      </c>
      <c r="N4698" s="2">
        <f t="shared" si="294"/>
        <v>45962</v>
      </c>
      <c r="O4698" t="str">
        <f t="shared" si="295"/>
        <v>mačka</v>
      </c>
    </row>
    <row r="4699" spans="1:15" x14ac:dyDescent="0.25">
      <c r="A4699">
        <v>12186</v>
      </c>
      <c r="B4699" s="11">
        <v>4024567890128</v>
      </c>
      <c r="C4699" s="1" t="s">
        <v>682</v>
      </c>
      <c r="D4699" s="1" t="s">
        <v>12</v>
      </c>
      <c r="E4699" s="1" t="s">
        <v>134</v>
      </c>
      <c r="F4699">
        <v>40</v>
      </c>
      <c r="G4699">
        <v>1</v>
      </c>
      <c r="H4699" s="1" t="s">
        <v>14</v>
      </c>
      <c r="I4699" s="1" t="s">
        <v>15</v>
      </c>
      <c r="J4699" s="12">
        <v>45983</v>
      </c>
      <c r="K4699">
        <v>0</v>
      </c>
      <c r="L4699" s="1">
        <f t="shared" si="292"/>
        <v>40</v>
      </c>
      <c r="M4699" s="1" t="str">
        <f t="shared" si="293"/>
        <v/>
      </c>
      <c r="N4699" s="2">
        <f t="shared" si="294"/>
        <v>45962</v>
      </c>
      <c r="O4699" t="str">
        <f t="shared" si="295"/>
        <v>pes</v>
      </c>
    </row>
    <row r="4700" spans="1:15" x14ac:dyDescent="0.25">
      <c r="A4700">
        <v>12187</v>
      </c>
      <c r="B4700" s="11">
        <v>4008901234561</v>
      </c>
      <c r="C4700" s="1" t="s">
        <v>330</v>
      </c>
      <c r="D4700" s="1" t="s">
        <v>26</v>
      </c>
      <c r="E4700" s="1" t="s">
        <v>331</v>
      </c>
      <c r="F4700">
        <v>40</v>
      </c>
      <c r="G4700">
        <v>1</v>
      </c>
      <c r="H4700" s="1" t="s">
        <v>23</v>
      </c>
      <c r="I4700" s="1" t="s">
        <v>1016</v>
      </c>
      <c r="J4700" s="12">
        <v>45983</v>
      </c>
      <c r="K4700">
        <v>0</v>
      </c>
      <c r="L4700" s="1">
        <f t="shared" si="292"/>
        <v>40</v>
      </c>
      <c r="M4700" s="1">
        <f t="shared" si="293"/>
        <v>5</v>
      </c>
      <c r="N4700" s="2">
        <f t="shared" si="294"/>
        <v>45962</v>
      </c>
      <c r="O4700" t="str">
        <f t="shared" si="295"/>
        <v>pes</v>
      </c>
    </row>
    <row r="4701" spans="1:15" hidden="1" x14ac:dyDescent="0.25">
      <c r="A4701">
        <v>12188</v>
      </c>
      <c r="B4701" s="11">
        <v>4010123456783</v>
      </c>
      <c r="C4701" s="1" t="s">
        <v>35</v>
      </c>
      <c r="D4701" s="1" t="s">
        <v>36</v>
      </c>
      <c r="E4701" s="1" t="s">
        <v>37</v>
      </c>
      <c r="F4701">
        <v>14</v>
      </c>
      <c r="G4701">
        <v>1</v>
      </c>
      <c r="H4701" s="1" t="s">
        <v>14</v>
      </c>
      <c r="I4701" s="1" t="s">
        <v>15</v>
      </c>
      <c r="J4701" s="12">
        <v>45983</v>
      </c>
      <c r="K4701">
        <v>0</v>
      </c>
      <c r="L4701" s="1">
        <f t="shared" si="292"/>
        <v>14</v>
      </c>
      <c r="M4701" s="1" t="str">
        <f t="shared" si="293"/>
        <v/>
      </c>
      <c r="N4701" s="2">
        <f t="shared" si="294"/>
        <v>45962</v>
      </c>
      <c r="O4701" t="str">
        <f t="shared" si="295"/>
        <v>mačka</v>
      </c>
    </row>
    <row r="4702" spans="1:15" x14ac:dyDescent="0.25">
      <c r="A4702">
        <v>12189</v>
      </c>
      <c r="B4702" s="11">
        <v>4040123456795</v>
      </c>
      <c r="C4702" s="1" t="s">
        <v>20</v>
      </c>
      <c r="D4702" s="1" t="s">
        <v>21</v>
      </c>
      <c r="E4702" s="1" t="s">
        <v>22</v>
      </c>
      <c r="F4702">
        <v>8.8000000000000007</v>
      </c>
      <c r="G4702">
        <v>1</v>
      </c>
      <c r="H4702" s="1" t="s">
        <v>23</v>
      </c>
      <c r="I4702" s="1" t="s">
        <v>1017</v>
      </c>
      <c r="J4702" s="12">
        <v>45984</v>
      </c>
      <c r="K4702">
        <v>0</v>
      </c>
      <c r="L4702" s="1">
        <f t="shared" si="292"/>
        <v>8.8000000000000007</v>
      </c>
      <c r="M4702" s="1">
        <f t="shared" si="293"/>
        <v>5</v>
      </c>
      <c r="N4702" s="2">
        <f t="shared" si="294"/>
        <v>45962</v>
      </c>
      <c r="O4702" t="str">
        <f t="shared" si="295"/>
        <v>pes</v>
      </c>
    </row>
    <row r="4703" spans="1:15" hidden="1" x14ac:dyDescent="0.25">
      <c r="A4703">
        <v>12190</v>
      </c>
      <c r="B4703" s="11">
        <v>4009012345672</v>
      </c>
      <c r="C4703" s="1" t="s">
        <v>45</v>
      </c>
      <c r="D4703" s="1" t="s">
        <v>36</v>
      </c>
      <c r="E4703" s="1" t="s">
        <v>32</v>
      </c>
      <c r="F4703">
        <v>11.2</v>
      </c>
      <c r="G4703">
        <v>1</v>
      </c>
      <c r="H4703" s="1" t="s">
        <v>14</v>
      </c>
      <c r="I4703" s="1" t="s">
        <v>15</v>
      </c>
      <c r="J4703" s="12">
        <v>45984</v>
      </c>
      <c r="K4703">
        <v>0</v>
      </c>
      <c r="L4703" s="1">
        <f t="shared" si="292"/>
        <v>11.2</v>
      </c>
      <c r="M4703" s="1" t="str">
        <f t="shared" si="293"/>
        <v/>
      </c>
      <c r="N4703" s="2">
        <f t="shared" si="294"/>
        <v>45962</v>
      </c>
      <c r="O4703" t="str">
        <f t="shared" si="295"/>
        <v>mačka</v>
      </c>
    </row>
    <row r="4704" spans="1:15" hidden="1" x14ac:dyDescent="0.25">
      <c r="A4704">
        <v>12191</v>
      </c>
      <c r="B4704" s="11">
        <v>4056789012345</v>
      </c>
      <c r="C4704" s="1" t="s">
        <v>47</v>
      </c>
      <c r="D4704" s="1" t="s">
        <v>29</v>
      </c>
      <c r="E4704" s="1" t="s">
        <v>37</v>
      </c>
      <c r="F4704">
        <v>2.4</v>
      </c>
      <c r="G4704">
        <v>2</v>
      </c>
      <c r="H4704" s="1" t="s">
        <v>18</v>
      </c>
      <c r="I4704" s="1" t="s">
        <v>1018</v>
      </c>
      <c r="J4704" s="12">
        <v>45984</v>
      </c>
      <c r="K4704">
        <v>0</v>
      </c>
      <c r="L4704" s="1">
        <f t="shared" si="292"/>
        <v>4.8</v>
      </c>
      <c r="M4704" s="1">
        <f t="shared" si="293"/>
        <v>4</v>
      </c>
      <c r="N4704" s="2">
        <f t="shared" si="294"/>
        <v>45962</v>
      </c>
      <c r="O4704" t="str">
        <f t="shared" si="295"/>
        <v>mačka</v>
      </c>
    </row>
    <row r="4705" spans="1:15" x14ac:dyDescent="0.25">
      <c r="A4705">
        <v>12192</v>
      </c>
      <c r="B4705" s="11">
        <v>4022345678908</v>
      </c>
      <c r="C4705" s="1" t="s">
        <v>363</v>
      </c>
      <c r="D4705" s="1" t="s">
        <v>21</v>
      </c>
      <c r="E4705" s="1" t="s">
        <v>69</v>
      </c>
      <c r="F4705">
        <v>10</v>
      </c>
      <c r="G4705">
        <v>1</v>
      </c>
      <c r="H4705" s="1" t="s">
        <v>14</v>
      </c>
      <c r="I4705" s="1" t="s">
        <v>15</v>
      </c>
      <c r="J4705" s="12">
        <v>45985</v>
      </c>
      <c r="K4705">
        <v>0</v>
      </c>
      <c r="L4705" s="1">
        <f t="shared" si="292"/>
        <v>10</v>
      </c>
      <c r="M4705" s="1" t="str">
        <f t="shared" si="293"/>
        <v/>
      </c>
      <c r="N4705" s="2">
        <f t="shared" si="294"/>
        <v>45962</v>
      </c>
      <c r="O4705" t="str">
        <f t="shared" si="295"/>
        <v>pes</v>
      </c>
    </row>
    <row r="4706" spans="1:15" x14ac:dyDescent="0.25">
      <c r="A4706">
        <v>12193</v>
      </c>
      <c r="B4706" s="11">
        <v>4005566778891</v>
      </c>
      <c r="C4706" s="1" t="s">
        <v>146</v>
      </c>
      <c r="D4706" s="1" t="s">
        <v>26</v>
      </c>
      <c r="E4706" s="1" t="s">
        <v>134</v>
      </c>
      <c r="F4706">
        <v>18</v>
      </c>
      <c r="G4706">
        <v>1</v>
      </c>
      <c r="H4706" s="1" t="s">
        <v>23</v>
      </c>
      <c r="I4706" s="1" t="s">
        <v>1019</v>
      </c>
      <c r="J4706" s="12">
        <v>45985</v>
      </c>
      <c r="K4706">
        <v>0</v>
      </c>
      <c r="L4706" s="1">
        <f t="shared" si="292"/>
        <v>18</v>
      </c>
      <c r="M4706" s="1">
        <f t="shared" si="293"/>
        <v>5</v>
      </c>
      <c r="N4706" s="2">
        <f t="shared" si="294"/>
        <v>45962</v>
      </c>
      <c r="O4706" t="str">
        <f t="shared" si="295"/>
        <v>pes</v>
      </c>
    </row>
    <row r="4707" spans="1:15" x14ac:dyDescent="0.25">
      <c r="A4707">
        <v>12194</v>
      </c>
      <c r="B4707" s="11">
        <v>8008901234561</v>
      </c>
      <c r="C4707" s="1" t="s">
        <v>136</v>
      </c>
      <c r="D4707" s="1" t="s">
        <v>133</v>
      </c>
      <c r="E4707" s="1" t="s">
        <v>27</v>
      </c>
      <c r="F4707">
        <v>28</v>
      </c>
      <c r="G4707">
        <v>1</v>
      </c>
      <c r="H4707" s="1" t="s">
        <v>14</v>
      </c>
      <c r="I4707" s="1" t="s">
        <v>15</v>
      </c>
      <c r="J4707" s="12">
        <v>45985</v>
      </c>
      <c r="K4707">
        <v>0</v>
      </c>
      <c r="L4707" s="1">
        <f t="shared" si="292"/>
        <v>28</v>
      </c>
      <c r="M4707" s="1" t="str">
        <f t="shared" si="293"/>
        <v/>
      </c>
      <c r="N4707" s="2">
        <f t="shared" si="294"/>
        <v>45962</v>
      </c>
      <c r="O4707" t="str">
        <f t="shared" si="295"/>
        <v>pes</v>
      </c>
    </row>
    <row r="4708" spans="1:15" x14ac:dyDescent="0.25">
      <c r="A4708">
        <v>12195</v>
      </c>
      <c r="B4708" s="11">
        <v>4016677889902</v>
      </c>
      <c r="C4708" s="1" t="s">
        <v>328</v>
      </c>
      <c r="D4708" s="1" t="s">
        <v>26</v>
      </c>
      <c r="E4708" s="1" t="s">
        <v>17</v>
      </c>
      <c r="F4708">
        <v>22</v>
      </c>
      <c r="G4708">
        <v>1</v>
      </c>
      <c r="H4708" s="1" t="s">
        <v>33</v>
      </c>
      <c r="I4708" s="1" t="s">
        <v>113</v>
      </c>
      <c r="J4708" s="12">
        <v>45986</v>
      </c>
      <c r="K4708">
        <v>0</v>
      </c>
      <c r="L4708" s="1">
        <f t="shared" si="292"/>
        <v>22</v>
      </c>
      <c r="M4708" s="1">
        <f t="shared" si="293"/>
        <v>3</v>
      </c>
      <c r="N4708" s="2">
        <f t="shared" si="294"/>
        <v>45962</v>
      </c>
      <c r="O4708" t="str">
        <f t="shared" si="295"/>
        <v>pes</v>
      </c>
    </row>
    <row r="4709" spans="1:15" x14ac:dyDescent="0.25">
      <c r="A4709">
        <v>12196</v>
      </c>
      <c r="B4709" s="11">
        <v>8592233445568</v>
      </c>
      <c r="C4709" s="1" t="s">
        <v>138</v>
      </c>
      <c r="D4709" s="1" t="s">
        <v>133</v>
      </c>
      <c r="E4709" s="1" t="s">
        <v>17</v>
      </c>
      <c r="F4709">
        <v>79.64</v>
      </c>
      <c r="G4709">
        <v>1</v>
      </c>
      <c r="H4709" s="1" t="s">
        <v>23</v>
      </c>
      <c r="I4709" s="1" t="s">
        <v>1020</v>
      </c>
      <c r="J4709" s="12">
        <v>45986</v>
      </c>
      <c r="K4709">
        <v>0</v>
      </c>
      <c r="L4709" s="1">
        <f t="shared" si="292"/>
        <v>79.64</v>
      </c>
      <c r="M4709" s="1">
        <f t="shared" si="293"/>
        <v>5</v>
      </c>
      <c r="N4709" s="2">
        <f t="shared" si="294"/>
        <v>45962</v>
      </c>
      <c r="O4709" t="str">
        <f t="shared" si="295"/>
        <v>pes</v>
      </c>
    </row>
    <row r="4710" spans="1:15" hidden="1" x14ac:dyDescent="0.25">
      <c r="A4710">
        <v>12197</v>
      </c>
      <c r="B4710" s="11">
        <v>4002233445566</v>
      </c>
      <c r="C4710" s="1" t="s">
        <v>268</v>
      </c>
      <c r="D4710" s="1" t="s">
        <v>140</v>
      </c>
      <c r="E4710" s="1" t="s">
        <v>30</v>
      </c>
      <c r="F4710">
        <v>20</v>
      </c>
      <c r="G4710">
        <v>1</v>
      </c>
      <c r="H4710" s="1" t="s">
        <v>14</v>
      </c>
      <c r="I4710" s="1" t="s">
        <v>15</v>
      </c>
      <c r="J4710" s="12">
        <v>45986</v>
      </c>
      <c r="K4710">
        <v>0</v>
      </c>
      <c r="L4710" s="1">
        <f t="shared" si="292"/>
        <v>20</v>
      </c>
      <c r="M4710" s="1" t="str">
        <f t="shared" si="293"/>
        <v/>
      </c>
      <c r="N4710" s="2">
        <f t="shared" si="294"/>
        <v>45962</v>
      </c>
      <c r="O4710" t="str">
        <f t="shared" si="295"/>
        <v>mačka</v>
      </c>
    </row>
    <row r="4711" spans="1:15" hidden="1" x14ac:dyDescent="0.25">
      <c r="A4711">
        <v>12198</v>
      </c>
      <c r="B4711" s="11">
        <v>4029900112244</v>
      </c>
      <c r="C4711" s="1" t="s">
        <v>655</v>
      </c>
      <c r="D4711" s="1" t="s">
        <v>36</v>
      </c>
      <c r="E4711" s="1" t="s">
        <v>37</v>
      </c>
      <c r="F4711">
        <v>13.6</v>
      </c>
      <c r="G4711">
        <v>1</v>
      </c>
      <c r="H4711" s="1" t="s">
        <v>14</v>
      </c>
      <c r="I4711" s="1" t="s">
        <v>15</v>
      </c>
      <c r="J4711" s="12">
        <v>45986</v>
      </c>
      <c r="K4711">
        <v>0</v>
      </c>
      <c r="L4711" s="1">
        <f t="shared" si="292"/>
        <v>13.6</v>
      </c>
      <c r="M4711" s="1" t="str">
        <f t="shared" si="293"/>
        <v/>
      </c>
      <c r="N4711" s="2">
        <f t="shared" si="294"/>
        <v>45962</v>
      </c>
      <c r="O4711" t="str">
        <f t="shared" si="295"/>
        <v>mačka</v>
      </c>
    </row>
    <row r="4712" spans="1:15" x14ac:dyDescent="0.25">
      <c r="A4712">
        <v>12199</v>
      </c>
      <c r="B4712" s="11">
        <v>4057890123467</v>
      </c>
      <c r="C4712" s="1" t="s">
        <v>307</v>
      </c>
      <c r="D4712" s="1" t="s">
        <v>39</v>
      </c>
      <c r="E4712" s="1" t="s">
        <v>308</v>
      </c>
      <c r="F4712">
        <v>9.6</v>
      </c>
      <c r="G4712">
        <v>1</v>
      </c>
      <c r="H4712" s="1" t="s">
        <v>23</v>
      </c>
      <c r="I4712" s="1" t="s">
        <v>1021</v>
      </c>
      <c r="J4712" s="12">
        <v>45987</v>
      </c>
      <c r="K4712">
        <v>0</v>
      </c>
      <c r="L4712" s="1">
        <f t="shared" si="292"/>
        <v>9.6</v>
      </c>
      <c r="M4712" s="1">
        <f t="shared" si="293"/>
        <v>5</v>
      </c>
      <c r="N4712" s="2">
        <f t="shared" si="294"/>
        <v>45962</v>
      </c>
      <c r="O4712" t="str">
        <f t="shared" si="295"/>
        <v>pes</v>
      </c>
    </row>
    <row r="4713" spans="1:15" x14ac:dyDescent="0.25">
      <c r="A4713">
        <v>12200</v>
      </c>
      <c r="B4713" s="11">
        <v>4063456789014</v>
      </c>
      <c r="C4713" s="1" t="s">
        <v>60</v>
      </c>
      <c r="D4713" s="1" t="s">
        <v>12</v>
      </c>
      <c r="E4713" s="1" t="s">
        <v>61</v>
      </c>
      <c r="F4713">
        <v>36</v>
      </c>
      <c r="G4713">
        <v>1</v>
      </c>
      <c r="H4713" s="1" t="s">
        <v>14</v>
      </c>
      <c r="I4713" s="1" t="s">
        <v>15</v>
      </c>
      <c r="J4713" s="12">
        <v>45987</v>
      </c>
      <c r="K4713">
        <v>0</v>
      </c>
      <c r="L4713" s="1">
        <f t="shared" si="292"/>
        <v>36</v>
      </c>
      <c r="M4713" s="1" t="str">
        <f t="shared" si="293"/>
        <v/>
      </c>
      <c r="N4713" s="2">
        <f t="shared" si="294"/>
        <v>45962</v>
      </c>
      <c r="O4713" t="str">
        <f t="shared" si="295"/>
        <v>pes</v>
      </c>
    </row>
    <row r="4714" spans="1:15" x14ac:dyDescent="0.25">
      <c r="A4714">
        <v>12201</v>
      </c>
      <c r="B4714" s="11">
        <v>4003344556679</v>
      </c>
      <c r="C4714" s="1" t="s">
        <v>132</v>
      </c>
      <c r="D4714" s="1" t="s">
        <v>133</v>
      </c>
      <c r="E4714" s="1" t="s">
        <v>134</v>
      </c>
      <c r="F4714">
        <v>51.64</v>
      </c>
      <c r="G4714">
        <v>1</v>
      </c>
      <c r="H4714" s="1" t="s">
        <v>18</v>
      </c>
      <c r="I4714" s="1" t="s">
        <v>1022</v>
      </c>
      <c r="J4714" s="12">
        <v>45987</v>
      </c>
      <c r="K4714">
        <v>0</v>
      </c>
      <c r="L4714" s="1">
        <f t="shared" si="292"/>
        <v>51.64</v>
      </c>
      <c r="M4714" s="1">
        <f t="shared" si="293"/>
        <v>4</v>
      </c>
      <c r="N4714" s="2">
        <f t="shared" si="294"/>
        <v>45962</v>
      </c>
      <c r="O4714" t="str">
        <f t="shared" si="295"/>
        <v>pes</v>
      </c>
    </row>
    <row r="4715" spans="1:15" hidden="1" x14ac:dyDescent="0.25">
      <c r="A4715">
        <v>12202</v>
      </c>
      <c r="B4715" s="11">
        <v>4067890123456</v>
      </c>
      <c r="C4715" s="1" t="s">
        <v>68</v>
      </c>
      <c r="D4715" s="1" t="s">
        <v>29</v>
      </c>
      <c r="E4715" s="1" t="s">
        <v>69</v>
      </c>
      <c r="F4715">
        <v>36</v>
      </c>
      <c r="G4715">
        <v>1</v>
      </c>
      <c r="H4715" s="1" t="s">
        <v>14</v>
      </c>
      <c r="I4715" s="1" t="s">
        <v>15</v>
      </c>
      <c r="J4715" s="12">
        <v>45988</v>
      </c>
      <c r="K4715">
        <v>0</v>
      </c>
      <c r="L4715" s="1">
        <f t="shared" si="292"/>
        <v>36</v>
      </c>
      <c r="M4715" s="1" t="str">
        <f t="shared" si="293"/>
        <v/>
      </c>
      <c r="N4715" s="2">
        <f t="shared" si="294"/>
        <v>45962</v>
      </c>
      <c r="O4715" t="str">
        <f t="shared" si="295"/>
        <v>mačka</v>
      </c>
    </row>
    <row r="4716" spans="1:15" hidden="1" x14ac:dyDescent="0.25">
      <c r="A4716">
        <v>12203</v>
      </c>
      <c r="B4716" s="11">
        <v>4055678901234</v>
      </c>
      <c r="C4716" s="1" t="s">
        <v>362</v>
      </c>
      <c r="D4716" s="1" t="s">
        <v>267</v>
      </c>
      <c r="E4716" s="1" t="s">
        <v>42</v>
      </c>
      <c r="F4716">
        <v>8</v>
      </c>
      <c r="G4716">
        <v>1</v>
      </c>
      <c r="H4716" s="1" t="s">
        <v>23</v>
      </c>
      <c r="I4716" s="1" t="s">
        <v>1023</v>
      </c>
      <c r="J4716" s="12">
        <v>45988</v>
      </c>
      <c r="K4716">
        <v>0</v>
      </c>
      <c r="L4716" s="1">
        <f t="shared" si="292"/>
        <v>8</v>
      </c>
      <c r="M4716" s="1">
        <f t="shared" si="293"/>
        <v>5</v>
      </c>
      <c r="N4716" s="2">
        <f t="shared" si="294"/>
        <v>45962</v>
      </c>
      <c r="O4716" t="str">
        <f t="shared" si="295"/>
        <v>mačka</v>
      </c>
    </row>
    <row r="4717" spans="1:15" hidden="1" x14ac:dyDescent="0.25">
      <c r="A4717">
        <v>12204</v>
      </c>
      <c r="B4717" s="11">
        <v>4023456789012</v>
      </c>
      <c r="C4717" s="1" t="s">
        <v>55</v>
      </c>
      <c r="D4717" s="1" t="s">
        <v>29</v>
      </c>
      <c r="E4717" s="1" t="s">
        <v>32</v>
      </c>
      <c r="F4717">
        <v>4</v>
      </c>
      <c r="G4717">
        <v>1</v>
      </c>
      <c r="H4717" s="1" t="s">
        <v>14</v>
      </c>
      <c r="I4717" s="1" t="s">
        <v>15</v>
      </c>
      <c r="J4717" s="12">
        <v>45988</v>
      </c>
      <c r="K4717">
        <v>0</v>
      </c>
      <c r="L4717" s="1">
        <f t="shared" si="292"/>
        <v>4</v>
      </c>
      <c r="M4717" s="1" t="str">
        <f t="shared" si="293"/>
        <v/>
      </c>
      <c r="N4717" s="2">
        <f t="shared" si="294"/>
        <v>45962</v>
      </c>
      <c r="O4717" t="str">
        <f t="shared" si="295"/>
        <v>mačka</v>
      </c>
    </row>
    <row r="4718" spans="1:15" hidden="1" x14ac:dyDescent="0.25">
      <c r="A4718">
        <v>12205</v>
      </c>
      <c r="B4718" s="11">
        <v>4019876501234</v>
      </c>
      <c r="C4718" s="1" t="s">
        <v>674</v>
      </c>
      <c r="D4718" s="1" t="s">
        <v>29</v>
      </c>
      <c r="E4718" s="1" t="s">
        <v>37</v>
      </c>
      <c r="F4718">
        <v>1.84</v>
      </c>
      <c r="G4718">
        <v>4</v>
      </c>
      <c r="H4718" s="1" t="s">
        <v>23</v>
      </c>
      <c r="I4718" s="1" t="s">
        <v>983</v>
      </c>
      <c r="J4718" s="12">
        <v>45988</v>
      </c>
      <c r="K4718">
        <v>0</v>
      </c>
      <c r="L4718" s="1">
        <f t="shared" si="292"/>
        <v>7.36</v>
      </c>
      <c r="M4718" s="1">
        <f t="shared" si="293"/>
        <v>5</v>
      </c>
      <c r="N4718" s="2">
        <f t="shared" si="294"/>
        <v>45962</v>
      </c>
      <c r="O4718" t="str">
        <f t="shared" si="295"/>
        <v>mačka</v>
      </c>
    </row>
    <row r="4719" spans="1:15" hidden="1" x14ac:dyDescent="0.25">
      <c r="A4719">
        <v>12206</v>
      </c>
      <c r="B4719" s="11">
        <v>4047890123460</v>
      </c>
      <c r="C4719" s="1" t="s">
        <v>325</v>
      </c>
      <c r="D4719" s="1" t="s">
        <v>144</v>
      </c>
      <c r="E4719" s="1" t="s">
        <v>58</v>
      </c>
      <c r="F4719">
        <v>10</v>
      </c>
      <c r="G4719">
        <v>1</v>
      </c>
      <c r="H4719" s="1" t="s">
        <v>14</v>
      </c>
      <c r="I4719" s="1" t="s">
        <v>15</v>
      </c>
      <c r="J4719" s="12">
        <v>45989</v>
      </c>
      <c r="K4719">
        <v>0</v>
      </c>
      <c r="L4719" s="1">
        <f t="shared" si="292"/>
        <v>10</v>
      </c>
      <c r="M4719" s="1" t="str">
        <f t="shared" si="293"/>
        <v/>
      </c>
      <c r="N4719" s="2">
        <f t="shared" si="294"/>
        <v>45962</v>
      </c>
      <c r="O4719" t="str">
        <f t="shared" si="295"/>
        <v>mačka</v>
      </c>
    </row>
    <row r="4720" spans="1:15" hidden="1" x14ac:dyDescent="0.25">
      <c r="A4720">
        <v>12207</v>
      </c>
      <c r="B4720" s="11">
        <v>4014455667790</v>
      </c>
      <c r="C4720" s="1" t="s">
        <v>355</v>
      </c>
      <c r="D4720" s="1" t="s">
        <v>356</v>
      </c>
      <c r="E4720" s="1" t="s">
        <v>303</v>
      </c>
      <c r="F4720">
        <v>37.6</v>
      </c>
      <c r="G4720">
        <v>1</v>
      </c>
      <c r="H4720" s="1" t="s">
        <v>18</v>
      </c>
      <c r="I4720" s="1" t="s">
        <v>1024</v>
      </c>
      <c r="J4720" s="12">
        <v>45989</v>
      </c>
      <c r="K4720">
        <v>0</v>
      </c>
      <c r="L4720" s="1">
        <f t="shared" si="292"/>
        <v>37.6</v>
      </c>
      <c r="M4720" s="1">
        <f t="shared" si="293"/>
        <v>4</v>
      </c>
      <c r="N4720" s="2">
        <f t="shared" si="294"/>
        <v>45962</v>
      </c>
      <c r="O4720" t="str">
        <f t="shared" si="295"/>
        <v>iné</v>
      </c>
    </row>
    <row r="4721" spans="1:15" hidden="1" x14ac:dyDescent="0.25">
      <c r="A4721">
        <v>12208</v>
      </c>
      <c r="B4721" s="11">
        <v>8597788990023</v>
      </c>
      <c r="C4721" s="1" t="s">
        <v>335</v>
      </c>
      <c r="D4721" s="1" t="s">
        <v>336</v>
      </c>
      <c r="E4721" s="1" t="s">
        <v>54</v>
      </c>
      <c r="F4721">
        <v>6.4</v>
      </c>
      <c r="G4721">
        <v>1</v>
      </c>
      <c r="H4721" s="1" t="s">
        <v>14</v>
      </c>
      <c r="I4721" s="1" t="s">
        <v>15</v>
      </c>
      <c r="J4721" s="12">
        <v>45989</v>
      </c>
      <c r="K4721">
        <v>0</v>
      </c>
      <c r="L4721" s="1">
        <f t="shared" si="292"/>
        <v>6.4</v>
      </c>
      <c r="M4721" s="1" t="str">
        <f t="shared" si="293"/>
        <v/>
      </c>
      <c r="N4721" s="2">
        <f t="shared" si="294"/>
        <v>45962</v>
      </c>
      <c r="O4721" t="str">
        <f t="shared" si="295"/>
        <v>iné</v>
      </c>
    </row>
    <row r="4722" spans="1:15" hidden="1" x14ac:dyDescent="0.25">
      <c r="A4722">
        <v>12209</v>
      </c>
      <c r="B4722" s="11">
        <v>4021234567894</v>
      </c>
      <c r="C4722" s="1" t="s">
        <v>79</v>
      </c>
      <c r="D4722" s="1" t="s">
        <v>36</v>
      </c>
      <c r="E4722" s="1" t="s">
        <v>69</v>
      </c>
      <c r="F4722">
        <v>8</v>
      </c>
      <c r="G4722">
        <v>1</v>
      </c>
      <c r="H4722" s="1" t="s">
        <v>18</v>
      </c>
      <c r="I4722" s="1" t="s">
        <v>1025</v>
      </c>
      <c r="J4722" s="12">
        <v>45990</v>
      </c>
      <c r="K4722">
        <v>0</v>
      </c>
      <c r="L4722" s="1">
        <f t="shared" si="292"/>
        <v>8</v>
      </c>
      <c r="M4722" s="1">
        <f t="shared" si="293"/>
        <v>4</v>
      </c>
      <c r="N4722" s="2">
        <f t="shared" si="294"/>
        <v>45962</v>
      </c>
      <c r="O4722" t="str">
        <f t="shared" si="295"/>
        <v>mačka</v>
      </c>
    </row>
    <row r="4723" spans="1:15" hidden="1" x14ac:dyDescent="0.25">
      <c r="A4723">
        <v>12210</v>
      </c>
      <c r="B4723" s="11">
        <v>4058899001125</v>
      </c>
      <c r="C4723" s="1" t="s">
        <v>352</v>
      </c>
      <c r="D4723" s="1" t="s">
        <v>267</v>
      </c>
      <c r="E4723" s="1" t="s">
        <v>58</v>
      </c>
      <c r="F4723">
        <v>10.4</v>
      </c>
      <c r="G4723">
        <v>1</v>
      </c>
      <c r="H4723" s="1" t="s">
        <v>18</v>
      </c>
      <c r="I4723" s="1" t="s">
        <v>1026</v>
      </c>
      <c r="J4723" s="12">
        <v>45979</v>
      </c>
      <c r="K4723">
        <v>0</v>
      </c>
      <c r="L4723" s="1">
        <f t="shared" si="292"/>
        <v>10.4</v>
      </c>
      <c r="M4723" s="1">
        <f t="shared" si="293"/>
        <v>4</v>
      </c>
      <c r="N4723" s="2">
        <f t="shared" si="294"/>
        <v>45962</v>
      </c>
      <c r="O4723" t="str">
        <f t="shared" si="295"/>
        <v>mačka</v>
      </c>
    </row>
    <row r="4724" spans="1:15" hidden="1" x14ac:dyDescent="0.25">
      <c r="A4724">
        <v>12210</v>
      </c>
      <c r="B4724" s="11">
        <v>4056789012345</v>
      </c>
      <c r="C4724" s="1" t="s">
        <v>47</v>
      </c>
      <c r="D4724" s="1" t="s">
        <v>29</v>
      </c>
      <c r="E4724" s="1" t="s">
        <v>37</v>
      </c>
      <c r="F4724">
        <v>2.4</v>
      </c>
      <c r="G4724">
        <v>2</v>
      </c>
      <c r="H4724" s="1" t="s">
        <v>14</v>
      </c>
      <c r="I4724" s="1" t="s">
        <v>15</v>
      </c>
      <c r="J4724" s="12">
        <v>45990</v>
      </c>
      <c r="K4724">
        <v>0</v>
      </c>
      <c r="L4724" s="1">
        <f t="shared" si="292"/>
        <v>4.8</v>
      </c>
      <c r="M4724" s="1" t="str">
        <f t="shared" si="293"/>
        <v/>
      </c>
      <c r="N4724" s="2">
        <f t="shared" si="294"/>
        <v>45962</v>
      </c>
      <c r="O4724" t="str">
        <f t="shared" si="295"/>
        <v>mačka</v>
      </c>
    </row>
    <row r="4725" spans="1:15" hidden="1" x14ac:dyDescent="0.25">
      <c r="A4725">
        <v>12211</v>
      </c>
      <c r="B4725" s="11">
        <v>4007788990022</v>
      </c>
      <c r="C4725" s="1" t="s">
        <v>663</v>
      </c>
      <c r="D4725" s="1" t="s">
        <v>140</v>
      </c>
      <c r="E4725" s="1" t="s">
        <v>141</v>
      </c>
      <c r="F4725">
        <v>59.64</v>
      </c>
      <c r="G4725">
        <v>1</v>
      </c>
      <c r="H4725" s="1" t="s">
        <v>14</v>
      </c>
      <c r="I4725" s="1" t="s">
        <v>15</v>
      </c>
      <c r="J4725" s="12">
        <v>45979</v>
      </c>
      <c r="K4725">
        <v>0</v>
      </c>
      <c r="L4725" s="1">
        <f t="shared" si="292"/>
        <v>59.64</v>
      </c>
      <c r="M4725" s="1" t="str">
        <f t="shared" si="293"/>
        <v/>
      </c>
      <c r="N4725" s="2">
        <f t="shared" si="294"/>
        <v>45962</v>
      </c>
      <c r="O4725" t="str">
        <f t="shared" si="295"/>
        <v>mačka</v>
      </c>
    </row>
    <row r="4726" spans="1:15" x14ac:dyDescent="0.25">
      <c r="A4726">
        <v>12212</v>
      </c>
      <c r="B4726" s="11">
        <v>8008901234561</v>
      </c>
      <c r="C4726" s="1" t="s">
        <v>136</v>
      </c>
      <c r="D4726" s="1" t="s">
        <v>133</v>
      </c>
      <c r="E4726" s="1" t="s">
        <v>27</v>
      </c>
      <c r="F4726">
        <v>28</v>
      </c>
      <c r="G4726">
        <v>1</v>
      </c>
      <c r="H4726" s="1" t="s">
        <v>23</v>
      </c>
      <c r="I4726" s="1" t="s">
        <v>1027</v>
      </c>
      <c r="J4726" s="12">
        <v>45979</v>
      </c>
      <c r="K4726">
        <v>0</v>
      </c>
      <c r="L4726" s="1">
        <f t="shared" si="292"/>
        <v>28</v>
      </c>
      <c r="M4726" s="1">
        <f t="shared" si="293"/>
        <v>5</v>
      </c>
      <c r="N4726" s="2">
        <f t="shared" si="294"/>
        <v>45962</v>
      </c>
      <c r="O4726" t="str">
        <f t="shared" si="295"/>
        <v>pes</v>
      </c>
    </row>
    <row r="4727" spans="1:15" hidden="1" x14ac:dyDescent="0.25">
      <c r="A4727">
        <v>12213</v>
      </c>
      <c r="B4727" s="11">
        <v>4002233445566</v>
      </c>
      <c r="C4727" s="1" t="s">
        <v>268</v>
      </c>
      <c r="D4727" s="1" t="s">
        <v>140</v>
      </c>
      <c r="E4727" s="1" t="s">
        <v>30</v>
      </c>
      <c r="F4727">
        <v>20</v>
      </c>
      <c r="G4727">
        <v>1</v>
      </c>
      <c r="H4727" s="1" t="s">
        <v>14</v>
      </c>
      <c r="I4727" s="1" t="s">
        <v>15</v>
      </c>
      <c r="J4727" s="12">
        <v>45980</v>
      </c>
      <c r="K4727">
        <v>0</v>
      </c>
      <c r="L4727" s="1">
        <f t="shared" si="292"/>
        <v>20</v>
      </c>
      <c r="M4727" s="1" t="str">
        <f t="shared" si="293"/>
        <v/>
      </c>
      <c r="N4727" s="2">
        <f t="shared" si="294"/>
        <v>45962</v>
      </c>
      <c r="O4727" t="str">
        <f t="shared" si="295"/>
        <v>mačka</v>
      </c>
    </row>
    <row r="4728" spans="1:15" x14ac:dyDescent="0.25">
      <c r="A4728">
        <v>12214</v>
      </c>
      <c r="B4728" s="11">
        <v>4011234567897</v>
      </c>
      <c r="C4728" s="1" t="s">
        <v>341</v>
      </c>
      <c r="D4728" s="1" t="s">
        <v>21</v>
      </c>
      <c r="E4728" s="1" t="s">
        <v>303</v>
      </c>
      <c r="F4728">
        <v>11.6</v>
      </c>
      <c r="G4728">
        <v>1</v>
      </c>
      <c r="H4728" s="1" t="s">
        <v>18</v>
      </c>
      <c r="I4728" s="1" t="s">
        <v>1028</v>
      </c>
      <c r="J4728" s="12">
        <v>45980</v>
      </c>
      <c r="K4728">
        <v>0</v>
      </c>
      <c r="L4728" s="1">
        <f t="shared" si="292"/>
        <v>11.6</v>
      </c>
      <c r="M4728" s="1">
        <f t="shared" si="293"/>
        <v>4</v>
      </c>
      <c r="N4728" s="2">
        <f t="shared" si="294"/>
        <v>45962</v>
      </c>
      <c r="O4728" t="str">
        <f t="shared" si="295"/>
        <v>pes</v>
      </c>
    </row>
    <row r="4729" spans="1:15" x14ac:dyDescent="0.25">
      <c r="A4729">
        <v>12215</v>
      </c>
      <c r="B4729" s="11">
        <v>4005566778891</v>
      </c>
      <c r="C4729" s="1" t="s">
        <v>146</v>
      </c>
      <c r="D4729" s="1" t="s">
        <v>26</v>
      </c>
      <c r="E4729" s="1" t="s">
        <v>134</v>
      </c>
      <c r="F4729">
        <v>18</v>
      </c>
      <c r="G4729">
        <v>1</v>
      </c>
      <c r="H4729" s="1" t="s">
        <v>23</v>
      </c>
      <c r="I4729" s="1" t="s">
        <v>1029</v>
      </c>
      <c r="J4729" s="12">
        <v>45980</v>
      </c>
      <c r="K4729">
        <v>0</v>
      </c>
      <c r="L4729" s="1">
        <f t="shared" si="292"/>
        <v>18</v>
      </c>
      <c r="M4729" s="1">
        <f t="shared" si="293"/>
        <v>5</v>
      </c>
      <c r="N4729" s="2">
        <f t="shared" si="294"/>
        <v>45962</v>
      </c>
      <c r="O4729" t="str">
        <f t="shared" si="295"/>
        <v>pes</v>
      </c>
    </row>
    <row r="4730" spans="1:15" hidden="1" x14ac:dyDescent="0.25">
      <c r="A4730">
        <v>12216</v>
      </c>
      <c r="B4730" s="11">
        <v>4029900112244</v>
      </c>
      <c r="C4730" s="1" t="s">
        <v>655</v>
      </c>
      <c r="D4730" s="1" t="s">
        <v>36</v>
      </c>
      <c r="E4730" s="1" t="s">
        <v>37</v>
      </c>
      <c r="F4730">
        <v>13.6</v>
      </c>
      <c r="G4730">
        <v>2</v>
      </c>
      <c r="H4730" s="1" t="s">
        <v>14</v>
      </c>
      <c r="I4730" s="1" t="s">
        <v>15</v>
      </c>
      <c r="J4730" s="12">
        <v>45981</v>
      </c>
      <c r="K4730">
        <v>0</v>
      </c>
      <c r="L4730" s="1">
        <f t="shared" si="292"/>
        <v>27.2</v>
      </c>
      <c r="M4730" s="1" t="str">
        <f t="shared" si="293"/>
        <v/>
      </c>
      <c r="N4730" s="2">
        <f t="shared" si="294"/>
        <v>45962</v>
      </c>
      <c r="O4730" t="str">
        <f t="shared" si="295"/>
        <v>mačka</v>
      </c>
    </row>
    <row r="4731" spans="1:15" hidden="1" x14ac:dyDescent="0.25">
      <c r="A4731">
        <v>12217</v>
      </c>
      <c r="B4731" s="11">
        <v>4019876501234</v>
      </c>
      <c r="C4731" s="1" t="s">
        <v>674</v>
      </c>
      <c r="D4731" s="1" t="s">
        <v>29</v>
      </c>
      <c r="E4731" s="1" t="s">
        <v>37</v>
      </c>
      <c r="F4731">
        <v>1.84</v>
      </c>
      <c r="G4731">
        <v>4</v>
      </c>
      <c r="H4731" s="1" t="s">
        <v>23</v>
      </c>
      <c r="I4731" s="1" t="s">
        <v>1030</v>
      </c>
      <c r="J4731" s="12">
        <v>45981</v>
      </c>
      <c r="K4731">
        <v>0</v>
      </c>
      <c r="L4731" s="1">
        <f t="shared" si="292"/>
        <v>7.36</v>
      </c>
      <c r="M4731" s="1">
        <f t="shared" si="293"/>
        <v>5</v>
      </c>
      <c r="N4731" s="2">
        <f t="shared" si="294"/>
        <v>45962</v>
      </c>
      <c r="O4731" t="str">
        <f t="shared" si="295"/>
        <v>mačka</v>
      </c>
    </row>
    <row r="4732" spans="1:15" x14ac:dyDescent="0.25">
      <c r="A4732">
        <v>12218</v>
      </c>
      <c r="B4732" s="11">
        <v>4028899001126</v>
      </c>
      <c r="C4732" s="1" t="s">
        <v>16</v>
      </c>
      <c r="D4732" s="1" t="s">
        <v>12</v>
      </c>
      <c r="E4732" s="1" t="s">
        <v>17</v>
      </c>
      <c r="F4732">
        <v>2.8</v>
      </c>
      <c r="G4732">
        <v>3</v>
      </c>
      <c r="H4732" s="1" t="s">
        <v>14</v>
      </c>
      <c r="I4732" s="1" t="s">
        <v>15</v>
      </c>
      <c r="J4732" s="12">
        <v>45981</v>
      </c>
      <c r="K4732">
        <v>0</v>
      </c>
      <c r="L4732" s="1">
        <f t="shared" si="292"/>
        <v>8.3999999999999986</v>
      </c>
      <c r="M4732" s="1" t="str">
        <f t="shared" si="293"/>
        <v/>
      </c>
      <c r="N4732" s="2">
        <f t="shared" si="294"/>
        <v>45962</v>
      </c>
      <c r="O4732" t="str">
        <f t="shared" si="295"/>
        <v>pes</v>
      </c>
    </row>
    <row r="4733" spans="1:15" x14ac:dyDescent="0.25">
      <c r="A4733">
        <v>12219</v>
      </c>
      <c r="B4733" s="11">
        <v>4013456789017</v>
      </c>
      <c r="C4733" s="1" t="s">
        <v>11</v>
      </c>
      <c r="D4733" s="1" t="s">
        <v>12</v>
      </c>
      <c r="E4733" s="1" t="s">
        <v>13</v>
      </c>
      <c r="F4733">
        <v>6</v>
      </c>
      <c r="G4733">
        <v>2</v>
      </c>
      <c r="H4733" s="1" t="s">
        <v>18</v>
      </c>
      <c r="I4733" s="1" t="s">
        <v>1031</v>
      </c>
      <c r="J4733" s="12">
        <v>45982</v>
      </c>
      <c r="K4733">
        <v>0</v>
      </c>
      <c r="L4733" s="1">
        <f t="shared" si="292"/>
        <v>12</v>
      </c>
      <c r="M4733" s="1">
        <f t="shared" si="293"/>
        <v>4</v>
      </c>
      <c r="N4733" s="2">
        <f t="shared" si="294"/>
        <v>45962</v>
      </c>
      <c r="O4733" t="str">
        <f t="shared" si="295"/>
        <v>pes</v>
      </c>
    </row>
    <row r="4734" spans="1:15" x14ac:dyDescent="0.25">
      <c r="A4734">
        <v>12220</v>
      </c>
      <c r="B4734" s="11">
        <v>4040123456795</v>
      </c>
      <c r="C4734" s="1" t="s">
        <v>20</v>
      </c>
      <c r="D4734" s="1" t="s">
        <v>21</v>
      </c>
      <c r="E4734" s="1" t="s">
        <v>22</v>
      </c>
      <c r="F4734">
        <v>8.8000000000000007</v>
      </c>
      <c r="G4734">
        <v>1</v>
      </c>
      <c r="H4734" s="1" t="s">
        <v>23</v>
      </c>
      <c r="I4734" s="1" t="s">
        <v>1032</v>
      </c>
      <c r="J4734" s="12">
        <v>45982</v>
      </c>
      <c r="K4734">
        <v>0</v>
      </c>
      <c r="L4734" s="1">
        <f t="shared" si="292"/>
        <v>8.8000000000000007</v>
      </c>
      <c r="M4734" s="1">
        <f t="shared" si="293"/>
        <v>5</v>
      </c>
      <c r="N4734" s="2">
        <f t="shared" si="294"/>
        <v>45962</v>
      </c>
      <c r="O4734" t="str">
        <f t="shared" si="295"/>
        <v>pes</v>
      </c>
    </row>
    <row r="4735" spans="1:15" hidden="1" x14ac:dyDescent="0.25">
      <c r="A4735">
        <v>12221</v>
      </c>
      <c r="B4735" s="11">
        <v>8593456789012</v>
      </c>
      <c r="C4735" s="1" t="s">
        <v>28</v>
      </c>
      <c r="D4735" s="1" t="s">
        <v>29</v>
      </c>
      <c r="E4735" s="1" t="s">
        <v>30</v>
      </c>
      <c r="F4735">
        <v>42</v>
      </c>
      <c r="G4735">
        <v>1</v>
      </c>
      <c r="H4735" s="1" t="s">
        <v>14</v>
      </c>
      <c r="I4735" s="1" t="s">
        <v>15</v>
      </c>
      <c r="J4735" s="12">
        <v>45982</v>
      </c>
      <c r="K4735">
        <v>0</v>
      </c>
      <c r="L4735" s="1">
        <f t="shared" si="292"/>
        <v>42</v>
      </c>
      <c r="M4735" s="1" t="str">
        <f t="shared" si="293"/>
        <v/>
      </c>
      <c r="N4735" s="2">
        <f t="shared" si="294"/>
        <v>45962</v>
      </c>
      <c r="O4735" t="str">
        <f t="shared" si="295"/>
        <v>mačka</v>
      </c>
    </row>
    <row r="4736" spans="1:15" hidden="1" x14ac:dyDescent="0.25">
      <c r="A4736">
        <v>12222</v>
      </c>
      <c r="B4736" s="11">
        <v>4001234567893</v>
      </c>
      <c r="C4736" s="1" t="s">
        <v>31</v>
      </c>
      <c r="D4736" s="1" t="s">
        <v>29</v>
      </c>
      <c r="E4736" s="1" t="s">
        <v>32</v>
      </c>
      <c r="F4736">
        <v>9.1999999999999993</v>
      </c>
      <c r="G4736">
        <v>2</v>
      </c>
      <c r="H4736" s="1" t="s">
        <v>23</v>
      </c>
      <c r="I4736" s="1" t="s">
        <v>1033</v>
      </c>
      <c r="J4736" s="12">
        <v>45983</v>
      </c>
      <c r="K4736">
        <v>0</v>
      </c>
      <c r="L4736" s="1">
        <f t="shared" si="292"/>
        <v>18.399999999999999</v>
      </c>
      <c r="M4736" s="1">
        <f t="shared" si="293"/>
        <v>5</v>
      </c>
      <c r="N4736" s="2">
        <f t="shared" si="294"/>
        <v>45962</v>
      </c>
      <c r="O4736" t="str">
        <f t="shared" si="295"/>
        <v>mačka</v>
      </c>
    </row>
    <row r="4737" spans="1:15" hidden="1" x14ac:dyDescent="0.25">
      <c r="A4737">
        <v>12223</v>
      </c>
      <c r="B4737" s="11">
        <v>4018901234567</v>
      </c>
      <c r="C4737" s="1" t="s">
        <v>680</v>
      </c>
      <c r="D4737" s="1" t="s">
        <v>144</v>
      </c>
      <c r="E4737" s="1" t="s">
        <v>32</v>
      </c>
      <c r="F4737">
        <v>20</v>
      </c>
      <c r="G4737">
        <v>1</v>
      </c>
      <c r="H4737" s="1" t="s">
        <v>14</v>
      </c>
      <c r="I4737" s="1" t="s">
        <v>15</v>
      </c>
      <c r="J4737" s="12">
        <v>45983</v>
      </c>
      <c r="K4737">
        <v>0</v>
      </c>
      <c r="L4737" s="1">
        <f t="shared" si="292"/>
        <v>20</v>
      </c>
      <c r="M4737" s="1" t="str">
        <f t="shared" si="293"/>
        <v/>
      </c>
      <c r="N4737" s="2">
        <f t="shared" si="294"/>
        <v>45962</v>
      </c>
      <c r="O4737" t="str">
        <f t="shared" si="295"/>
        <v>mačka</v>
      </c>
    </row>
    <row r="4738" spans="1:15" hidden="1" x14ac:dyDescent="0.25">
      <c r="A4738">
        <v>12224</v>
      </c>
      <c r="B4738" s="11">
        <v>4009012345672</v>
      </c>
      <c r="C4738" s="1" t="s">
        <v>45</v>
      </c>
      <c r="D4738" s="1" t="s">
        <v>36</v>
      </c>
      <c r="E4738" s="1" t="s">
        <v>32</v>
      </c>
      <c r="F4738">
        <v>11.2</v>
      </c>
      <c r="G4738">
        <v>1</v>
      </c>
      <c r="H4738" s="1" t="s">
        <v>18</v>
      </c>
      <c r="I4738" s="1" t="s">
        <v>1034</v>
      </c>
      <c r="J4738" s="12">
        <v>45983</v>
      </c>
      <c r="K4738">
        <v>0</v>
      </c>
      <c r="L4738" s="1">
        <f t="shared" ref="L4738:L4801" si="296">F4738*G4738</f>
        <v>11.2</v>
      </c>
      <c r="M4738" s="1">
        <f t="shared" ref="M4738:M4801" si="297">IF(H4738="NULL", "",VALUE(H4738))</f>
        <v>4</v>
      </c>
      <c r="N4738" s="2">
        <f t="shared" ref="N4738:N4801" si="298">DATE(YEAR(J4738),MONTH(J4738),1)</f>
        <v>45962</v>
      </c>
      <c r="O4738" t="str">
        <f t="shared" ref="O4738:O4801" si="299">IF(ISNUMBER(SEARCH("Mačky",D4738)),"mačka",IF(ISNUMBER(SEARCH("Psy",D4738)),"pes","iné"))</f>
        <v>mačka</v>
      </c>
    </row>
    <row r="4739" spans="1:15" hidden="1" x14ac:dyDescent="0.25">
      <c r="A4739">
        <v>12225</v>
      </c>
      <c r="B4739" s="11">
        <v>4002233445566</v>
      </c>
      <c r="C4739" s="1" t="s">
        <v>268</v>
      </c>
      <c r="D4739" s="1" t="s">
        <v>140</v>
      </c>
      <c r="E4739" s="1" t="s">
        <v>30</v>
      </c>
      <c r="F4739">
        <v>20</v>
      </c>
      <c r="G4739">
        <v>1</v>
      </c>
      <c r="H4739" s="1" t="s">
        <v>14</v>
      </c>
      <c r="I4739" s="1" t="s">
        <v>15</v>
      </c>
      <c r="J4739" s="12">
        <v>45983</v>
      </c>
      <c r="K4739">
        <v>0</v>
      </c>
      <c r="L4739" s="1">
        <f t="shared" si="296"/>
        <v>20</v>
      </c>
      <c r="M4739" s="1" t="str">
        <f t="shared" si="297"/>
        <v/>
      </c>
      <c r="N4739" s="2">
        <f t="shared" si="298"/>
        <v>45962</v>
      </c>
      <c r="O4739" t="str">
        <f t="shared" si="299"/>
        <v>mačka</v>
      </c>
    </row>
    <row r="4740" spans="1:15" hidden="1" x14ac:dyDescent="0.25">
      <c r="A4740">
        <v>12226</v>
      </c>
      <c r="B4740" s="11">
        <v>4006677889904</v>
      </c>
      <c r="C4740" s="1" t="s">
        <v>206</v>
      </c>
      <c r="D4740" s="1" t="s">
        <v>29</v>
      </c>
      <c r="E4740" s="1" t="s">
        <v>30</v>
      </c>
      <c r="F4740">
        <v>2</v>
      </c>
      <c r="G4740">
        <v>3</v>
      </c>
      <c r="H4740" s="1" t="s">
        <v>23</v>
      </c>
      <c r="I4740" s="1" t="s">
        <v>1035</v>
      </c>
      <c r="J4740" s="12">
        <v>45984</v>
      </c>
      <c r="K4740">
        <v>0</v>
      </c>
      <c r="L4740" s="1">
        <f t="shared" si="296"/>
        <v>6</v>
      </c>
      <c r="M4740" s="1">
        <f t="shared" si="297"/>
        <v>5</v>
      </c>
      <c r="N4740" s="2">
        <f t="shared" si="298"/>
        <v>45962</v>
      </c>
      <c r="O4740" t="str">
        <f t="shared" si="299"/>
        <v>mačka</v>
      </c>
    </row>
    <row r="4741" spans="1:15" hidden="1" x14ac:dyDescent="0.25">
      <c r="A4741">
        <v>12227</v>
      </c>
      <c r="B4741" s="11">
        <v>4055566778892</v>
      </c>
      <c r="C4741" s="1" t="s">
        <v>652</v>
      </c>
      <c r="D4741" s="1" t="s">
        <v>317</v>
      </c>
      <c r="E4741" s="1" t="s">
        <v>69</v>
      </c>
      <c r="F4741">
        <v>8</v>
      </c>
      <c r="G4741">
        <v>1</v>
      </c>
      <c r="H4741" s="1" t="s">
        <v>14</v>
      </c>
      <c r="I4741" s="1" t="s">
        <v>15</v>
      </c>
      <c r="J4741" s="12">
        <v>45984</v>
      </c>
      <c r="K4741">
        <v>0</v>
      </c>
      <c r="L4741" s="1">
        <f t="shared" si="296"/>
        <v>8</v>
      </c>
      <c r="M4741" s="1" t="str">
        <f t="shared" si="297"/>
        <v/>
      </c>
      <c r="N4741" s="2">
        <f t="shared" si="298"/>
        <v>45962</v>
      </c>
      <c r="O4741" t="str">
        <f t="shared" si="299"/>
        <v>mačka</v>
      </c>
    </row>
    <row r="4742" spans="1:15" x14ac:dyDescent="0.25">
      <c r="A4742">
        <v>12228</v>
      </c>
      <c r="B4742" s="11">
        <v>4008901234561</v>
      </c>
      <c r="C4742" s="1" t="s">
        <v>330</v>
      </c>
      <c r="D4742" s="1" t="s">
        <v>26</v>
      </c>
      <c r="E4742" s="1" t="s">
        <v>331</v>
      </c>
      <c r="F4742">
        <v>40</v>
      </c>
      <c r="G4742">
        <v>1</v>
      </c>
      <c r="H4742" s="1" t="s">
        <v>23</v>
      </c>
      <c r="I4742" s="1" t="s">
        <v>1036</v>
      </c>
      <c r="J4742" s="12">
        <v>45984</v>
      </c>
      <c r="K4742">
        <v>0</v>
      </c>
      <c r="L4742" s="1">
        <f t="shared" si="296"/>
        <v>40</v>
      </c>
      <c r="M4742" s="1">
        <f t="shared" si="297"/>
        <v>5</v>
      </c>
      <c r="N4742" s="2">
        <f t="shared" si="298"/>
        <v>45962</v>
      </c>
      <c r="O4742" t="str">
        <f t="shared" si="299"/>
        <v>pes</v>
      </c>
    </row>
    <row r="4743" spans="1:15" x14ac:dyDescent="0.25">
      <c r="A4743">
        <v>12229</v>
      </c>
      <c r="B4743" s="11">
        <v>4017890123450</v>
      </c>
      <c r="C4743" s="1" t="s">
        <v>65</v>
      </c>
      <c r="D4743" s="1" t="s">
        <v>39</v>
      </c>
      <c r="E4743" s="1" t="s">
        <v>22</v>
      </c>
      <c r="F4743">
        <v>7.6</v>
      </c>
      <c r="G4743">
        <v>1</v>
      </c>
      <c r="H4743" s="1" t="s">
        <v>33</v>
      </c>
      <c r="I4743" s="1" t="s">
        <v>113</v>
      </c>
      <c r="J4743" s="12">
        <v>45985</v>
      </c>
      <c r="K4743">
        <v>0</v>
      </c>
      <c r="L4743" s="1">
        <f t="shared" si="296"/>
        <v>7.6</v>
      </c>
      <c r="M4743" s="1">
        <f t="shared" si="297"/>
        <v>3</v>
      </c>
      <c r="N4743" s="2">
        <f t="shared" si="298"/>
        <v>45962</v>
      </c>
      <c r="O4743" t="str">
        <f t="shared" si="299"/>
        <v>pes</v>
      </c>
    </row>
    <row r="4744" spans="1:15" x14ac:dyDescent="0.25">
      <c r="A4744">
        <v>12230</v>
      </c>
      <c r="B4744" s="11">
        <v>8002233445569</v>
      </c>
      <c r="C4744" s="1" t="s">
        <v>667</v>
      </c>
      <c r="D4744" s="1" t="s">
        <v>26</v>
      </c>
      <c r="E4744" s="1" t="s">
        <v>308</v>
      </c>
      <c r="F4744">
        <v>20</v>
      </c>
      <c r="G4744">
        <v>1</v>
      </c>
      <c r="H4744" s="1" t="s">
        <v>14</v>
      </c>
      <c r="I4744" s="1" t="s">
        <v>15</v>
      </c>
      <c r="J4744" s="12">
        <v>45985</v>
      </c>
      <c r="K4744">
        <v>0</v>
      </c>
      <c r="L4744" s="1">
        <f t="shared" si="296"/>
        <v>20</v>
      </c>
      <c r="M4744" s="1" t="str">
        <f t="shared" si="297"/>
        <v/>
      </c>
      <c r="N4744" s="2">
        <f t="shared" si="298"/>
        <v>45962</v>
      </c>
      <c r="O4744" t="str">
        <f t="shared" si="299"/>
        <v>pes</v>
      </c>
    </row>
    <row r="4745" spans="1:15" x14ac:dyDescent="0.25">
      <c r="A4745">
        <v>12231</v>
      </c>
      <c r="B4745" s="11">
        <v>4003344556679</v>
      </c>
      <c r="C4745" s="1" t="s">
        <v>132</v>
      </c>
      <c r="D4745" s="1" t="s">
        <v>133</v>
      </c>
      <c r="E4745" s="1" t="s">
        <v>134</v>
      </c>
      <c r="F4745">
        <v>51.64</v>
      </c>
      <c r="G4745">
        <v>1</v>
      </c>
      <c r="H4745" s="1" t="s">
        <v>18</v>
      </c>
      <c r="I4745" s="1" t="s">
        <v>1037</v>
      </c>
      <c r="J4745" s="12">
        <v>45985</v>
      </c>
      <c r="K4745">
        <v>0</v>
      </c>
      <c r="L4745" s="1">
        <f t="shared" si="296"/>
        <v>51.64</v>
      </c>
      <c r="M4745" s="1">
        <f t="shared" si="297"/>
        <v>4</v>
      </c>
      <c r="N4745" s="2">
        <f t="shared" si="298"/>
        <v>45962</v>
      </c>
      <c r="O4745" t="str">
        <f t="shared" si="299"/>
        <v>pes</v>
      </c>
    </row>
    <row r="4746" spans="1:15" x14ac:dyDescent="0.25">
      <c r="A4746">
        <v>12232</v>
      </c>
      <c r="B4746" s="11">
        <v>4027788990013</v>
      </c>
      <c r="C4746" s="1" t="s">
        <v>43</v>
      </c>
      <c r="D4746" s="1" t="s">
        <v>21</v>
      </c>
      <c r="E4746" s="1" t="s">
        <v>22</v>
      </c>
      <c r="F4746">
        <v>8</v>
      </c>
      <c r="G4746">
        <v>1</v>
      </c>
      <c r="H4746" s="1" t="s">
        <v>14</v>
      </c>
      <c r="I4746" s="1" t="s">
        <v>15</v>
      </c>
      <c r="J4746" s="12">
        <v>45986</v>
      </c>
      <c r="K4746">
        <v>0</v>
      </c>
      <c r="L4746" s="1">
        <f t="shared" si="296"/>
        <v>8</v>
      </c>
      <c r="M4746" s="1" t="str">
        <f t="shared" si="297"/>
        <v/>
      </c>
      <c r="N4746" s="2">
        <f t="shared" si="298"/>
        <v>45962</v>
      </c>
      <c r="O4746" t="str">
        <f t="shared" si="299"/>
        <v>pes</v>
      </c>
    </row>
    <row r="4747" spans="1:15" x14ac:dyDescent="0.25">
      <c r="A4747">
        <v>12233</v>
      </c>
      <c r="B4747" s="11">
        <v>4022345678908</v>
      </c>
      <c r="C4747" s="1" t="s">
        <v>363</v>
      </c>
      <c r="D4747" s="1" t="s">
        <v>21</v>
      </c>
      <c r="E4747" s="1" t="s">
        <v>69</v>
      </c>
      <c r="F4747">
        <v>10</v>
      </c>
      <c r="G4747">
        <v>1</v>
      </c>
      <c r="H4747" s="1" t="s">
        <v>18</v>
      </c>
      <c r="I4747" s="1" t="s">
        <v>1038</v>
      </c>
      <c r="J4747" s="12">
        <v>45986</v>
      </c>
      <c r="K4747">
        <v>0</v>
      </c>
      <c r="L4747" s="1">
        <f t="shared" si="296"/>
        <v>10</v>
      </c>
      <c r="M4747" s="1">
        <f t="shared" si="297"/>
        <v>4</v>
      </c>
      <c r="N4747" s="2">
        <f t="shared" si="298"/>
        <v>45962</v>
      </c>
      <c r="O4747" t="str">
        <f t="shared" si="299"/>
        <v>pes</v>
      </c>
    </row>
    <row r="4748" spans="1:15" hidden="1" x14ac:dyDescent="0.25">
      <c r="A4748">
        <v>12234</v>
      </c>
      <c r="B4748" s="11">
        <v>4056789012345</v>
      </c>
      <c r="C4748" s="1" t="s">
        <v>47</v>
      </c>
      <c r="D4748" s="1" t="s">
        <v>29</v>
      </c>
      <c r="E4748" s="1" t="s">
        <v>37</v>
      </c>
      <c r="F4748">
        <v>2.4</v>
      </c>
      <c r="G4748">
        <v>2</v>
      </c>
      <c r="H4748" s="1" t="s">
        <v>23</v>
      </c>
      <c r="I4748" s="1" t="s">
        <v>1039</v>
      </c>
      <c r="J4748" s="12">
        <v>45986</v>
      </c>
      <c r="K4748">
        <v>0</v>
      </c>
      <c r="L4748" s="1">
        <f t="shared" si="296"/>
        <v>4.8</v>
      </c>
      <c r="M4748" s="1">
        <f t="shared" si="297"/>
        <v>5</v>
      </c>
      <c r="N4748" s="2">
        <f t="shared" si="298"/>
        <v>45962</v>
      </c>
      <c r="O4748" t="str">
        <f t="shared" si="299"/>
        <v>mačka</v>
      </c>
    </row>
    <row r="4749" spans="1:15" hidden="1" x14ac:dyDescent="0.25">
      <c r="A4749">
        <v>12235</v>
      </c>
      <c r="B4749" s="11">
        <v>4029900112244</v>
      </c>
      <c r="C4749" s="1" t="s">
        <v>655</v>
      </c>
      <c r="D4749" s="1" t="s">
        <v>36</v>
      </c>
      <c r="E4749" s="1" t="s">
        <v>37</v>
      </c>
      <c r="F4749">
        <v>13.6</v>
      </c>
      <c r="G4749">
        <v>1</v>
      </c>
      <c r="H4749" s="1" t="s">
        <v>14</v>
      </c>
      <c r="I4749" s="1" t="s">
        <v>15</v>
      </c>
      <c r="J4749" s="12">
        <v>45986</v>
      </c>
      <c r="K4749">
        <v>0</v>
      </c>
      <c r="L4749" s="1">
        <f t="shared" si="296"/>
        <v>13.6</v>
      </c>
      <c r="M4749" s="1" t="str">
        <f t="shared" si="297"/>
        <v/>
      </c>
      <c r="N4749" s="2">
        <f t="shared" si="298"/>
        <v>45962</v>
      </c>
      <c r="O4749" t="str">
        <f t="shared" si="299"/>
        <v>mačka</v>
      </c>
    </row>
    <row r="4750" spans="1:15" hidden="1" x14ac:dyDescent="0.25">
      <c r="A4750">
        <v>12236</v>
      </c>
      <c r="B4750" s="11">
        <v>4019876501234</v>
      </c>
      <c r="C4750" s="1" t="s">
        <v>674</v>
      </c>
      <c r="D4750" s="1" t="s">
        <v>29</v>
      </c>
      <c r="E4750" s="1" t="s">
        <v>37</v>
      </c>
      <c r="F4750">
        <v>1.84</v>
      </c>
      <c r="G4750">
        <v>3</v>
      </c>
      <c r="H4750" s="1" t="s">
        <v>18</v>
      </c>
      <c r="I4750" s="1" t="s">
        <v>1040</v>
      </c>
      <c r="J4750" s="12">
        <v>45986</v>
      </c>
      <c r="K4750">
        <v>0</v>
      </c>
      <c r="L4750" s="1">
        <f t="shared" si="296"/>
        <v>5.5200000000000005</v>
      </c>
      <c r="M4750" s="1">
        <f t="shared" si="297"/>
        <v>4</v>
      </c>
      <c r="N4750" s="2">
        <f t="shared" si="298"/>
        <v>45962</v>
      </c>
      <c r="O4750" t="str">
        <f t="shared" si="299"/>
        <v>mačka</v>
      </c>
    </row>
    <row r="4751" spans="1:15" hidden="1" x14ac:dyDescent="0.25">
      <c r="A4751">
        <v>12237</v>
      </c>
      <c r="B4751" s="11">
        <v>4023456789012</v>
      </c>
      <c r="C4751" s="1" t="s">
        <v>55</v>
      </c>
      <c r="D4751" s="1" t="s">
        <v>29</v>
      </c>
      <c r="E4751" s="1" t="s">
        <v>32</v>
      </c>
      <c r="F4751">
        <v>4</v>
      </c>
      <c r="G4751">
        <v>1</v>
      </c>
      <c r="H4751" s="1" t="s">
        <v>14</v>
      </c>
      <c r="I4751" s="1" t="s">
        <v>15</v>
      </c>
      <c r="J4751" s="12">
        <v>45987</v>
      </c>
      <c r="K4751">
        <v>0</v>
      </c>
      <c r="L4751" s="1">
        <f t="shared" si="296"/>
        <v>4</v>
      </c>
      <c r="M4751" s="1" t="str">
        <f t="shared" si="297"/>
        <v/>
      </c>
      <c r="N4751" s="2">
        <f t="shared" si="298"/>
        <v>45962</v>
      </c>
      <c r="O4751" t="str">
        <f t="shared" si="299"/>
        <v>mačka</v>
      </c>
    </row>
    <row r="4752" spans="1:15" hidden="1" x14ac:dyDescent="0.25">
      <c r="A4752">
        <v>12238</v>
      </c>
      <c r="B4752" s="11">
        <v>4006677889904</v>
      </c>
      <c r="C4752" s="1" t="s">
        <v>206</v>
      </c>
      <c r="D4752" s="1" t="s">
        <v>29</v>
      </c>
      <c r="E4752" s="1" t="s">
        <v>30</v>
      </c>
      <c r="F4752">
        <v>2</v>
      </c>
      <c r="G4752">
        <v>4</v>
      </c>
      <c r="H4752" s="1" t="s">
        <v>23</v>
      </c>
      <c r="I4752" s="1" t="s">
        <v>1041</v>
      </c>
      <c r="J4752" s="12">
        <v>45988</v>
      </c>
      <c r="K4752">
        <v>0</v>
      </c>
      <c r="L4752" s="1">
        <f t="shared" si="296"/>
        <v>8</v>
      </c>
      <c r="M4752" s="1">
        <f t="shared" si="297"/>
        <v>5</v>
      </c>
      <c r="N4752" s="2">
        <f t="shared" si="298"/>
        <v>45962</v>
      </c>
      <c r="O4752" t="str">
        <f t="shared" si="299"/>
        <v>mačka</v>
      </c>
    </row>
    <row r="4753" spans="1:15" x14ac:dyDescent="0.25">
      <c r="A4753">
        <v>12239</v>
      </c>
      <c r="B4753" s="11">
        <v>4027788990013</v>
      </c>
      <c r="C4753" s="1" t="s">
        <v>43</v>
      </c>
      <c r="D4753" s="1" t="s">
        <v>21</v>
      </c>
      <c r="E4753" s="1" t="s">
        <v>22</v>
      </c>
      <c r="F4753">
        <v>8</v>
      </c>
      <c r="G4753">
        <v>1</v>
      </c>
      <c r="H4753" s="1" t="s">
        <v>14</v>
      </c>
      <c r="I4753" s="1" t="s">
        <v>15</v>
      </c>
      <c r="J4753" s="12">
        <v>45988</v>
      </c>
      <c r="K4753">
        <v>0</v>
      </c>
      <c r="L4753" s="1">
        <f t="shared" si="296"/>
        <v>8</v>
      </c>
      <c r="M4753" s="1" t="str">
        <f t="shared" si="297"/>
        <v/>
      </c>
      <c r="N4753" s="2">
        <f t="shared" si="298"/>
        <v>45962</v>
      </c>
      <c r="O4753" t="str">
        <f t="shared" si="299"/>
        <v>pes</v>
      </c>
    </row>
    <row r="4754" spans="1:15" hidden="1" x14ac:dyDescent="0.25">
      <c r="A4754">
        <v>12240</v>
      </c>
      <c r="B4754" s="11">
        <v>4056789012345</v>
      </c>
      <c r="C4754" s="1" t="s">
        <v>47</v>
      </c>
      <c r="D4754" s="1" t="s">
        <v>29</v>
      </c>
      <c r="E4754" s="1" t="s">
        <v>37</v>
      </c>
      <c r="F4754">
        <v>2.4</v>
      </c>
      <c r="G4754">
        <v>2</v>
      </c>
      <c r="H4754" s="1" t="s">
        <v>18</v>
      </c>
      <c r="I4754" s="1" t="s">
        <v>1042</v>
      </c>
      <c r="J4754" s="12">
        <v>45988</v>
      </c>
      <c r="K4754">
        <v>0</v>
      </c>
      <c r="L4754" s="1">
        <f t="shared" si="296"/>
        <v>4.8</v>
      </c>
      <c r="M4754" s="1">
        <f t="shared" si="297"/>
        <v>4</v>
      </c>
      <c r="N4754" s="2">
        <f t="shared" si="298"/>
        <v>45962</v>
      </c>
      <c r="O4754" t="str">
        <f t="shared" si="299"/>
        <v>mačka</v>
      </c>
    </row>
    <row r="4755" spans="1:15" hidden="1" x14ac:dyDescent="0.25">
      <c r="A4755">
        <v>12241</v>
      </c>
      <c r="B4755" s="11">
        <v>4007788990022</v>
      </c>
      <c r="C4755" s="1" t="s">
        <v>663</v>
      </c>
      <c r="D4755" s="1" t="s">
        <v>140</v>
      </c>
      <c r="E4755" s="1" t="s">
        <v>141</v>
      </c>
      <c r="F4755">
        <v>59.64</v>
      </c>
      <c r="G4755">
        <v>1</v>
      </c>
      <c r="H4755" s="1" t="s">
        <v>14</v>
      </c>
      <c r="I4755" s="1" t="s">
        <v>15</v>
      </c>
      <c r="J4755" s="12">
        <v>45988</v>
      </c>
      <c r="K4755">
        <v>0</v>
      </c>
      <c r="L4755" s="1">
        <f t="shared" si="296"/>
        <v>59.64</v>
      </c>
      <c r="M4755" s="1" t="str">
        <f t="shared" si="297"/>
        <v/>
      </c>
      <c r="N4755" s="2">
        <f t="shared" si="298"/>
        <v>45962</v>
      </c>
      <c r="O4755" t="str">
        <f t="shared" si="299"/>
        <v>mačka</v>
      </c>
    </row>
    <row r="4756" spans="1:15" x14ac:dyDescent="0.25">
      <c r="A4756">
        <v>12242</v>
      </c>
      <c r="B4756" s="11">
        <v>4005566778891</v>
      </c>
      <c r="C4756" s="1" t="s">
        <v>146</v>
      </c>
      <c r="D4756" s="1" t="s">
        <v>26</v>
      </c>
      <c r="E4756" s="1" t="s">
        <v>134</v>
      </c>
      <c r="F4756">
        <v>18</v>
      </c>
      <c r="G4756">
        <v>1</v>
      </c>
      <c r="H4756" s="1" t="s">
        <v>18</v>
      </c>
      <c r="I4756" s="1" t="s">
        <v>1043</v>
      </c>
      <c r="J4756" s="12">
        <v>45988</v>
      </c>
      <c r="K4756">
        <v>0</v>
      </c>
      <c r="L4756" s="1">
        <f t="shared" si="296"/>
        <v>18</v>
      </c>
      <c r="M4756" s="1">
        <f t="shared" si="297"/>
        <v>4</v>
      </c>
      <c r="N4756" s="2">
        <f t="shared" si="298"/>
        <v>45962</v>
      </c>
      <c r="O4756" t="str">
        <f t="shared" si="299"/>
        <v>pes</v>
      </c>
    </row>
    <row r="4757" spans="1:15" x14ac:dyDescent="0.25">
      <c r="A4757">
        <v>12243</v>
      </c>
      <c r="B4757" s="11">
        <v>4003344556679</v>
      </c>
      <c r="C4757" s="1" t="s">
        <v>132</v>
      </c>
      <c r="D4757" s="1" t="s">
        <v>133</v>
      </c>
      <c r="E4757" s="1" t="s">
        <v>134</v>
      </c>
      <c r="F4757">
        <v>51.64</v>
      </c>
      <c r="G4757">
        <v>1</v>
      </c>
      <c r="H4757" s="1" t="s">
        <v>14</v>
      </c>
      <c r="I4757" s="1" t="s">
        <v>15</v>
      </c>
      <c r="J4757" s="12">
        <v>45989</v>
      </c>
      <c r="K4757">
        <v>0</v>
      </c>
      <c r="L4757" s="1">
        <f t="shared" si="296"/>
        <v>51.64</v>
      </c>
      <c r="M4757" s="1" t="str">
        <f t="shared" si="297"/>
        <v/>
      </c>
      <c r="N4757" s="2">
        <f t="shared" si="298"/>
        <v>45962</v>
      </c>
      <c r="O4757" t="str">
        <f t="shared" si="299"/>
        <v>pes</v>
      </c>
    </row>
    <row r="4758" spans="1:15" x14ac:dyDescent="0.25">
      <c r="A4758">
        <v>12244</v>
      </c>
      <c r="B4758" s="11">
        <v>4016677889902</v>
      </c>
      <c r="C4758" s="1" t="s">
        <v>328</v>
      </c>
      <c r="D4758" s="1" t="s">
        <v>26</v>
      </c>
      <c r="E4758" s="1" t="s">
        <v>17</v>
      </c>
      <c r="F4758">
        <v>22</v>
      </c>
      <c r="G4758">
        <v>1</v>
      </c>
      <c r="H4758" s="1" t="s">
        <v>18</v>
      </c>
      <c r="I4758" s="1" t="s">
        <v>1044</v>
      </c>
      <c r="J4758" s="12">
        <v>45989</v>
      </c>
      <c r="K4758">
        <v>0</v>
      </c>
      <c r="L4758" s="1">
        <f t="shared" si="296"/>
        <v>22</v>
      </c>
      <c r="M4758" s="1">
        <f t="shared" si="297"/>
        <v>4</v>
      </c>
      <c r="N4758" s="2">
        <f t="shared" si="298"/>
        <v>45962</v>
      </c>
      <c r="O4758" t="str">
        <f t="shared" si="299"/>
        <v>pes</v>
      </c>
    </row>
    <row r="4759" spans="1:15" hidden="1" x14ac:dyDescent="0.25">
      <c r="A4759">
        <v>12245</v>
      </c>
      <c r="B4759" s="11">
        <v>8597890123456</v>
      </c>
      <c r="C4759" s="1" t="s">
        <v>149</v>
      </c>
      <c r="D4759" s="1" t="s">
        <v>144</v>
      </c>
      <c r="E4759" s="1" t="s">
        <v>30</v>
      </c>
      <c r="F4759">
        <v>18.8</v>
      </c>
      <c r="G4759">
        <v>1</v>
      </c>
      <c r="H4759" s="1" t="s">
        <v>14</v>
      </c>
      <c r="I4759" s="1" t="s">
        <v>15</v>
      </c>
      <c r="J4759" s="12">
        <v>45989</v>
      </c>
      <c r="K4759">
        <v>0</v>
      </c>
      <c r="L4759" s="1">
        <f t="shared" si="296"/>
        <v>18.8</v>
      </c>
      <c r="M4759" s="1" t="str">
        <f t="shared" si="297"/>
        <v/>
      </c>
      <c r="N4759" s="2">
        <f t="shared" si="298"/>
        <v>45962</v>
      </c>
      <c r="O4759" t="str">
        <f t="shared" si="299"/>
        <v>mačka</v>
      </c>
    </row>
    <row r="4760" spans="1:15" hidden="1" x14ac:dyDescent="0.25">
      <c r="A4760">
        <v>12246</v>
      </c>
      <c r="B4760" s="11">
        <v>4069012345682</v>
      </c>
      <c r="C4760" s="1" t="s">
        <v>143</v>
      </c>
      <c r="D4760" s="1" t="s">
        <v>144</v>
      </c>
      <c r="E4760" s="1" t="s">
        <v>30</v>
      </c>
      <c r="F4760">
        <v>26</v>
      </c>
      <c r="G4760">
        <v>1</v>
      </c>
      <c r="H4760" s="1" t="s">
        <v>23</v>
      </c>
      <c r="I4760" s="1" t="s">
        <v>1045</v>
      </c>
      <c r="J4760" s="12">
        <v>45989</v>
      </c>
      <c r="K4760">
        <v>0</v>
      </c>
      <c r="L4760" s="1">
        <f t="shared" si="296"/>
        <v>26</v>
      </c>
      <c r="M4760" s="1">
        <f t="shared" si="297"/>
        <v>5</v>
      </c>
      <c r="N4760" s="2">
        <f t="shared" si="298"/>
        <v>45962</v>
      </c>
      <c r="O4760" t="str">
        <f t="shared" si="299"/>
        <v>mačka</v>
      </c>
    </row>
    <row r="4761" spans="1:15" x14ac:dyDescent="0.25">
      <c r="A4761">
        <v>12247</v>
      </c>
      <c r="B4761" s="11">
        <v>8008901234561</v>
      </c>
      <c r="C4761" s="1" t="s">
        <v>136</v>
      </c>
      <c r="D4761" s="1" t="s">
        <v>133</v>
      </c>
      <c r="E4761" s="1" t="s">
        <v>27</v>
      </c>
      <c r="F4761">
        <v>28</v>
      </c>
      <c r="G4761">
        <v>1</v>
      </c>
      <c r="H4761" s="1" t="s">
        <v>23</v>
      </c>
      <c r="I4761" s="1" t="s">
        <v>1046</v>
      </c>
      <c r="J4761" s="12">
        <v>45990</v>
      </c>
      <c r="K4761">
        <v>0</v>
      </c>
      <c r="L4761" s="1">
        <f t="shared" si="296"/>
        <v>28</v>
      </c>
      <c r="M4761" s="1">
        <f t="shared" si="297"/>
        <v>5</v>
      </c>
      <c r="N4761" s="2">
        <f t="shared" si="298"/>
        <v>45962</v>
      </c>
      <c r="O4761" t="str">
        <f t="shared" si="299"/>
        <v>pes</v>
      </c>
    </row>
    <row r="4762" spans="1:15" hidden="1" x14ac:dyDescent="0.25">
      <c r="A4762">
        <v>12248</v>
      </c>
      <c r="B4762" s="11">
        <v>4026677889902</v>
      </c>
      <c r="C4762" s="1" t="s">
        <v>52</v>
      </c>
      <c r="D4762" s="1" t="s">
        <v>53</v>
      </c>
      <c r="E4762" s="1" t="s">
        <v>54</v>
      </c>
      <c r="F4762">
        <v>7.6</v>
      </c>
      <c r="G4762">
        <v>1</v>
      </c>
      <c r="H4762" s="1" t="s">
        <v>14</v>
      </c>
      <c r="I4762" s="1" t="s">
        <v>15</v>
      </c>
      <c r="J4762" s="12">
        <v>45990</v>
      </c>
      <c r="K4762">
        <v>0</v>
      </c>
      <c r="L4762" s="1">
        <f t="shared" si="296"/>
        <v>7.6</v>
      </c>
      <c r="M4762" s="1" t="str">
        <f t="shared" si="297"/>
        <v/>
      </c>
      <c r="N4762" s="2">
        <f t="shared" si="298"/>
        <v>45962</v>
      </c>
      <c r="O4762" t="str">
        <f t="shared" si="299"/>
        <v>iné</v>
      </c>
    </row>
    <row r="4763" spans="1:15" x14ac:dyDescent="0.25">
      <c r="A4763">
        <v>12249</v>
      </c>
      <c r="B4763" s="11">
        <v>4017890123450</v>
      </c>
      <c r="C4763" s="1" t="s">
        <v>65</v>
      </c>
      <c r="D4763" s="1" t="s">
        <v>39</v>
      </c>
      <c r="E4763" s="1" t="s">
        <v>22</v>
      </c>
      <c r="F4763">
        <v>7.6</v>
      </c>
      <c r="G4763">
        <v>2</v>
      </c>
      <c r="H4763" s="1" t="s">
        <v>23</v>
      </c>
      <c r="I4763" s="1" t="s">
        <v>1047</v>
      </c>
      <c r="J4763" s="12">
        <v>45990</v>
      </c>
      <c r="K4763">
        <v>0</v>
      </c>
      <c r="L4763" s="1">
        <f t="shared" si="296"/>
        <v>15.2</v>
      </c>
      <c r="M4763" s="1">
        <f t="shared" si="297"/>
        <v>5</v>
      </c>
      <c r="N4763" s="2">
        <f t="shared" si="298"/>
        <v>45962</v>
      </c>
      <c r="O4763" t="str">
        <f t="shared" si="299"/>
        <v>pes</v>
      </c>
    </row>
    <row r="4764" spans="1:15" x14ac:dyDescent="0.25">
      <c r="A4764">
        <v>12250</v>
      </c>
      <c r="B4764" s="11">
        <v>4040123456795</v>
      </c>
      <c r="C4764" s="1" t="s">
        <v>20</v>
      </c>
      <c r="D4764" s="1" t="s">
        <v>21</v>
      </c>
      <c r="E4764" s="1" t="s">
        <v>22</v>
      </c>
      <c r="F4764">
        <v>8.8000000000000007</v>
      </c>
      <c r="G4764">
        <v>1</v>
      </c>
      <c r="H4764" s="1" t="s">
        <v>18</v>
      </c>
      <c r="I4764" s="1" t="s">
        <v>1048</v>
      </c>
      <c r="J4764" s="12">
        <v>45990</v>
      </c>
      <c r="K4764">
        <v>0</v>
      </c>
      <c r="L4764" s="1">
        <f t="shared" si="296"/>
        <v>8.8000000000000007</v>
      </c>
      <c r="M4764" s="1">
        <f t="shared" si="297"/>
        <v>4</v>
      </c>
      <c r="N4764" s="2">
        <f t="shared" si="298"/>
        <v>45962</v>
      </c>
      <c r="O4764" t="str">
        <f t="shared" si="299"/>
        <v>pes</v>
      </c>
    </row>
    <row r="4765" spans="1:15" hidden="1" x14ac:dyDescent="0.25">
      <c r="A4765">
        <v>12251</v>
      </c>
      <c r="B4765" s="11">
        <v>4051234567806</v>
      </c>
      <c r="C4765" s="1" t="s">
        <v>765</v>
      </c>
      <c r="D4765" s="1" t="s">
        <v>766</v>
      </c>
      <c r="E4765" s="1" t="s">
        <v>54</v>
      </c>
      <c r="F4765">
        <v>5.2</v>
      </c>
      <c r="G4765">
        <v>1</v>
      </c>
      <c r="H4765" s="1" t="s">
        <v>14</v>
      </c>
      <c r="I4765" s="1" t="s">
        <v>15</v>
      </c>
      <c r="J4765" s="12">
        <v>45990</v>
      </c>
      <c r="K4765">
        <v>0</v>
      </c>
      <c r="L4765" s="1">
        <f t="shared" si="296"/>
        <v>5.2</v>
      </c>
      <c r="M4765" s="1" t="str">
        <f t="shared" si="297"/>
        <v/>
      </c>
      <c r="N4765" s="2">
        <f t="shared" si="298"/>
        <v>45962</v>
      </c>
      <c r="O4765" t="str">
        <f t="shared" si="299"/>
        <v>iné</v>
      </c>
    </row>
    <row r="4766" spans="1:15" x14ac:dyDescent="0.25">
      <c r="A4766">
        <v>12252</v>
      </c>
      <c r="B4766" s="11">
        <v>4028899001126</v>
      </c>
      <c r="C4766" s="1" t="s">
        <v>16</v>
      </c>
      <c r="D4766" s="1" t="s">
        <v>12</v>
      </c>
      <c r="E4766" s="1" t="s">
        <v>17</v>
      </c>
      <c r="F4766">
        <v>2.8</v>
      </c>
      <c r="G4766">
        <v>3</v>
      </c>
      <c r="H4766" s="1" t="s">
        <v>23</v>
      </c>
      <c r="I4766" s="1" t="s">
        <v>1049</v>
      </c>
      <c r="J4766" s="12">
        <v>45990</v>
      </c>
      <c r="K4766">
        <v>0</v>
      </c>
      <c r="L4766" s="1">
        <f t="shared" si="296"/>
        <v>8.3999999999999986</v>
      </c>
      <c r="M4766" s="1">
        <f t="shared" si="297"/>
        <v>5</v>
      </c>
      <c r="N4766" s="2">
        <f t="shared" si="298"/>
        <v>45962</v>
      </c>
      <c r="O4766" t="str">
        <f t="shared" si="299"/>
        <v>pes</v>
      </c>
    </row>
    <row r="4767" spans="1:15" x14ac:dyDescent="0.25">
      <c r="A4767">
        <v>12253</v>
      </c>
      <c r="B4767" s="11">
        <v>4013456789017</v>
      </c>
      <c r="C4767" s="1" t="s">
        <v>11</v>
      </c>
      <c r="D4767" s="1" t="s">
        <v>12</v>
      </c>
      <c r="E4767" s="1" t="s">
        <v>13</v>
      </c>
      <c r="F4767">
        <v>6</v>
      </c>
      <c r="G4767">
        <v>1</v>
      </c>
      <c r="H4767" s="1" t="s">
        <v>14</v>
      </c>
      <c r="I4767" s="1" t="s">
        <v>15</v>
      </c>
      <c r="J4767" s="12">
        <v>45990</v>
      </c>
      <c r="K4767">
        <v>0</v>
      </c>
      <c r="L4767" s="1">
        <f t="shared" si="296"/>
        <v>6</v>
      </c>
      <c r="M4767" s="1" t="str">
        <f t="shared" si="297"/>
        <v/>
      </c>
      <c r="N4767" s="2">
        <f t="shared" si="298"/>
        <v>45962</v>
      </c>
      <c r="O4767" t="str">
        <f t="shared" si="299"/>
        <v>pes</v>
      </c>
    </row>
    <row r="4768" spans="1:15" hidden="1" x14ac:dyDescent="0.25">
      <c r="A4768">
        <v>12254</v>
      </c>
      <c r="B4768" s="11">
        <v>4047890123460</v>
      </c>
      <c r="C4768" s="1" t="s">
        <v>325</v>
      </c>
      <c r="D4768" s="1" t="s">
        <v>144</v>
      </c>
      <c r="E4768" s="1" t="s">
        <v>58</v>
      </c>
      <c r="F4768">
        <v>10</v>
      </c>
      <c r="G4768">
        <v>1</v>
      </c>
      <c r="H4768" s="1" t="s">
        <v>14</v>
      </c>
      <c r="I4768" s="1" t="s">
        <v>15</v>
      </c>
      <c r="J4768" s="12">
        <v>45990</v>
      </c>
      <c r="K4768">
        <v>0</v>
      </c>
      <c r="L4768" s="1">
        <f t="shared" si="296"/>
        <v>10</v>
      </c>
      <c r="M4768" s="1" t="str">
        <f t="shared" si="297"/>
        <v/>
      </c>
      <c r="N4768" s="2">
        <f t="shared" si="298"/>
        <v>45962</v>
      </c>
      <c r="O4768" t="str">
        <f t="shared" si="299"/>
        <v>mačka</v>
      </c>
    </row>
    <row r="4769" spans="1:15" x14ac:dyDescent="0.25">
      <c r="A4769">
        <v>12255</v>
      </c>
      <c r="B4769" s="11">
        <v>4057890123467</v>
      </c>
      <c r="C4769" s="1" t="s">
        <v>307</v>
      </c>
      <c r="D4769" s="1" t="s">
        <v>39</v>
      </c>
      <c r="E4769" s="1" t="s">
        <v>308</v>
      </c>
      <c r="F4769">
        <v>9.6</v>
      </c>
      <c r="G4769">
        <v>1</v>
      </c>
      <c r="H4769" s="1" t="s">
        <v>33</v>
      </c>
      <c r="I4769" s="1" t="s">
        <v>113</v>
      </c>
      <c r="J4769" s="12">
        <v>45990</v>
      </c>
      <c r="K4769">
        <v>0</v>
      </c>
      <c r="L4769" s="1">
        <f t="shared" si="296"/>
        <v>9.6</v>
      </c>
      <c r="M4769" s="1">
        <f t="shared" si="297"/>
        <v>3</v>
      </c>
      <c r="N4769" s="2">
        <f t="shared" si="298"/>
        <v>45962</v>
      </c>
      <c r="O4769" t="str">
        <f t="shared" si="299"/>
        <v>pes</v>
      </c>
    </row>
    <row r="4770" spans="1:15" hidden="1" x14ac:dyDescent="0.25">
      <c r="A4770">
        <v>12256</v>
      </c>
      <c r="B4770" s="11">
        <v>4014455667790</v>
      </c>
      <c r="C4770" s="1" t="s">
        <v>355</v>
      </c>
      <c r="D4770" s="1" t="s">
        <v>356</v>
      </c>
      <c r="E4770" s="1" t="s">
        <v>303</v>
      </c>
      <c r="F4770">
        <v>37.6</v>
      </c>
      <c r="G4770">
        <v>1</v>
      </c>
      <c r="H4770" s="1" t="s">
        <v>14</v>
      </c>
      <c r="I4770" s="1" t="s">
        <v>15</v>
      </c>
      <c r="J4770" s="12">
        <v>45991</v>
      </c>
      <c r="K4770">
        <v>0</v>
      </c>
      <c r="L4770" s="1">
        <f t="shared" si="296"/>
        <v>37.6</v>
      </c>
      <c r="M4770" s="1" t="str">
        <f t="shared" si="297"/>
        <v/>
      </c>
      <c r="N4770" s="2">
        <f t="shared" si="298"/>
        <v>45962</v>
      </c>
      <c r="O4770" t="str">
        <f t="shared" si="299"/>
        <v>iné</v>
      </c>
    </row>
    <row r="4771" spans="1:15" x14ac:dyDescent="0.25">
      <c r="A4771">
        <v>12257</v>
      </c>
      <c r="B4771" s="11">
        <v>8592233445568</v>
      </c>
      <c r="C4771" s="1" t="s">
        <v>138</v>
      </c>
      <c r="D4771" s="1" t="s">
        <v>133</v>
      </c>
      <c r="E4771" s="1" t="s">
        <v>17</v>
      </c>
      <c r="F4771">
        <v>79.64</v>
      </c>
      <c r="G4771">
        <v>1</v>
      </c>
      <c r="H4771" s="1" t="s">
        <v>18</v>
      </c>
      <c r="I4771" s="1" t="s">
        <v>1050</v>
      </c>
      <c r="J4771" s="12">
        <v>45991</v>
      </c>
      <c r="K4771">
        <v>0</v>
      </c>
      <c r="L4771" s="1">
        <f t="shared" si="296"/>
        <v>79.64</v>
      </c>
      <c r="M4771" s="1">
        <f t="shared" si="297"/>
        <v>4</v>
      </c>
      <c r="N4771" s="2">
        <f t="shared" si="298"/>
        <v>45962</v>
      </c>
      <c r="O4771" t="str">
        <f t="shared" si="299"/>
        <v>pes</v>
      </c>
    </row>
    <row r="4772" spans="1:15" hidden="1" x14ac:dyDescent="0.25">
      <c r="A4772">
        <v>12258</v>
      </c>
      <c r="B4772" s="11">
        <v>4029900112244</v>
      </c>
      <c r="C4772" s="1" t="s">
        <v>655</v>
      </c>
      <c r="D4772" s="1" t="s">
        <v>36</v>
      </c>
      <c r="E4772" s="1" t="s">
        <v>37</v>
      </c>
      <c r="F4772">
        <v>13.6</v>
      </c>
      <c r="G4772">
        <v>1</v>
      </c>
      <c r="H4772" s="1" t="s">
        <v>14</v>
      </c>
      <c r="I4772" s="1" t="s">
        <v>15</v>
      </c>
      <c r="J4772" s="12">
        <v>45991</v>
      </c>
      <c r="K4772">
        <v>0</v>
      </c>
      <c r="L4772" s="1">
        <f t="shared" si="296"/>
        <v>13.6</v>
      </c>
      <c r="M4772" s="1" t="str">
        <f t="shared" si="297"/>
        <v/>
      </c>
      <c r="N4772" s="2">
        <f t="shared" si="298"/>
        <v>45962</v>
      </c>
      <c r="O4772" t="str">
        <f t="shared" si="299"/>
        <v>mačka</v>
      </c>
    </row>
    <row r="4773" spans="1:15" hidden="1" x14ac:dyDescent="0.25">
      <c r="A4773">
        <v>12259</v>
      </c>
      <c r="B4773" s="11">
        <v>8593456789012</v>
      </c>
      <c r="C4773" s="1" t="s">
        <v>28</v>
      </c>
      <c r="D4773" s="1" t="s">
        <v>29</v>
      </c>
      <c r="E4773" s="1" t="s">
        <v>30</v>
      </c>
      <c r="F4773">
        <v>42</v>
      </c>
      <c r="G4773">
        <v>1</v>
      </c>
      <c r="H4773" s="1" t="s">
        <v>23</v>
      </c>
      <c r="I4773" s="1" t="s">
        <v>1051</v>
      </c>
      <c r="J4773" s="12">
        <v>45991</v>
      </c>
      <c r="K4773">
        <v>0</v>
      </c>
      <c r="L4773" s="1">
        <f t="shared" si="296"/>
        <v>42</v>
      </c>
      <c r="M4773" s="1">
        <f t="shared" si="297"/>
        <v>5</v>
      </c>
      <c r="N4773" s="2">
        <f t="shared" si="298"/>
        <v>45962</v>
      </c>
      <c r="O4773" t="str">
        <f t="shared" si="299"/>
        <v>mačka</v>
      </c>
    </row>
    <row r="4774" spans="1:15" x14ac:dyDescent="0.25">
      <c r="A4774">
        <v>12260</v>
      </c>
      <c r="B4774" s="11">
        <v>4063456789014</v>
      </c>
      <c r="C4774" s="1" t="s">
        <v>60</v>
      </c>
      <c r="D4774" s="1" t="s">
        <v>12</v>
      </c>
      <c r="E4774" s="1" t="s">
        <v>61</v>
      </c>
      <c r="F4774">
        <v>36</v>
      </c>
      <c r="G4774">
        <v>1</v>
      </c>
      <c r="H4774" s="1" t="s">
        <v>18</v>
      </c>
      <c r="I4774" s="1" t="s">
        <v>1052</v>
      </c>
      <c r="J4774" s="12">
        <v>45991</v>
      </c>
      <c r="K4774">
        <v>0</v>
      </c>
      <c r="L4774" s="1">
        <f t="shared" si="296"/>
        <v>36</v>
      </c>
      <c r="M4774" s="1">
        <f t="shared" si="297"/>
        <v>4</v>
      </c>
      <c r="N4774" s="2">
        <f t="shared" si="298"/>
        <v>45962</v>
      </c>
      <c r="O4774" t="str">
        <f t="shared" si="299"/>
        <v>pes</v>
      </c>
    </row>
    <row r="4775" spans="1:15" hidden="1" x14ac:dyDescent="0.25">
      <c r="A4775">
        <v>12261</v>
      </c>
      <c r="B4775" s="11">
        <v>4066677889903</v>
      </c>
      <c r="C4775" s="1" t="s">
        <v>353</v>
      </c>
      <c r="D4775" s="1" t="s">
        <v>317</v>
      </c>
      <c r="E4775" s="1" t="s">
        <v>42</v>
      </c>
      <c r="F4775">
        <v>59.64</v>
      </c>
      <c r="G4775">
        <v>1</v>
      </c>
      <c r="H4775" s="1" t="s">
        <v>14</v>
      </c>
      <c r="I4775" s="1" t="s">
        <v>15</v>
      </c>
      <c r="J4775" s="12">
        <v>45991</v>
      </c>
      <c r="K4775">
        <v>0</v>
      </c>
      <c r="L4775" s="1">
        <f t="shared" si="296"/>
        <v>59.64</v>
      </c>
      <c r="M4775" s="1" t="str">
        <f t="shared" si="297"/>
        <v/>
      </c>
      <c r="N4775" s="2">
        <f t="shared" si="298"/>
        <v>45962</v>
      </c>
      <c r="O4775" t="str">
        <f t="shared" si="299"/>
        <v>mačka</v>
      </c>
    </row>
    <row r="4776" spans="1:15" hidden="1" x14ac:dyDescent="0.25">
      <c r="A4776">
        <v>12262</v>
      </c>
      <c r="B4776" s="11">
        <v>4062345678917</v>
      </c>
      <c r="C4776" s="1" t="s">
        <v>649</v>
      </c>
      <c r="D4776" s="1" t="s">
        <v>140</v>
      </c>
      <c r="E4776" s="1" t="s">
        <v>69</v>
      </c>
      <c r="F4776">
        <v>59.64</v>
      </c>
      <c r="G4776">
        <v>1</v>
      </c>
      <c r="H4776" s="1" t="s">
        <v>23</v>
      </c>
      <c r="I4776" s="1" t="s">
        <v>1053</v>
      </c>
      <c r="J4776" s="12">
        <v>45991</v>
      </c>
      <c r="K4776">
        <v>0</v>
      </c>
      <c r="L4776" s="1">
        <f t="shared" si="296"/>
        <v>59.64</v>
      </c>
      <c r="M4776" s="1">
        <f t="shared" si="297"/>
        <v>5</v>
      </c>
      <c r="N4776" s="2">
        <f t="shared" si="298"/>
        <v>45962</v>
      </c>
      <c r="O4776" t="str">
        <f t="shared" si="299"/>
        <v>mačka</v>
      </c>
    </row>
    <row r="4777" spans="1:15" x14ac:dyDescent="0.25">
      <c r="A4777">
        <v>12263</v>
      </c>
      <c r="B4777" s="11">
        <v>4011234567897</v>
      </c>
      <c r="C4777" s="1" t="s">
        <v>341</v>
      </c>
      <c r="D4777" s="1" t="s">
        <v>21</v>
      </c>
      <c r="E4777" s="1" t="s">
        <v>303</v>
      </c>
      <c r="F4777">
        <v>11.6</v>
      </c>
      <c r="G4777">
        <v>1</v>
      </c>
      <c r="H4777" s="1" t="s">
        <v>14</v>
      </c>
      <c r="I4777" s="1" t="s">
        <v>15</v>
      </c>
      <c r="J4777" s="12">
        <v>45991</v>
      </c>
      <c r="K4777">
        <v>0</v>
      </c>
      <c r="L4777" s="1">
        <f t="shared" si="296"/>
        <v>11.6</v>
      </c>
      <c r="M4777" s="1" t="str">
        <f t="shared" si="297"/>
        <v/>
      </c>
      <c r="N4777" s="2">
        <f t="shared" si="298"/>
        <v>45962</v>
      </c>
      <c r="O4777" t="str">
        <f t="shared" si="299"/>
        <v>pes</v>
      </c>
    </row>
    <row r="4778" spans="1:15" x14ac:dyDescent="0.25">
      <c r="A4778">
        <v>12264</v>
      </c>
      <c r="B4778" s="11">
        <v>4020123456783</v>
      </c>
      <c r="C4778" s="1" t="s">
        <v>327</v>
      </c>
      <c r="D4778" s="1" t="s">
        <v>26</v>
      </c>
      <c r="E4778" s="1" t="s">
        <v>17</v>
      </c>
      <c r="F4778">
        <v>22</v>
      </c>
      <c r="G4778">
        <v>1</v>
      </c>
      <c r="H4778" s="1" t="s">
        <v>18</v>
      </c>
      <c r="I4778" s="1" t="s">
        <v>1054</v>
      </c>
      <c r="J4778" s="12">
        <v>45991</v>
      </c>
      <c r="K4778">
        <v>0</v>
      </c>
      <c r="L4778" s="1">
        <f t="shared" si="296"/>
        <v>22</v>
      </c>
      <c r="M4778" s="1">
        <f t="shared" si="297"/>
        <v>4</v>
      </c>
      <c r="N4778" s="2">
        <f t="shared" si="298"/>
        <v>45962</v>
      </c>
      <c r="O4778" t="str">
        <f t="shared" si="299"/>
        <v>pes</v>
      </c>
    </row>
    <row r="4779" spans="1:15" hidden="1" x14ac:dyDescent="0.25">
      <c r="A4779">
        <v>12265</v>
      </c>
      <c r="B4779" s="11">
        <v>4002233445566</v>
      </c>
      <c r="C4779" s="1" t="s">
        <v>268</v>
      </c>
      <c r="D4779" s="1" t="s">
        <v>140</v>
      </c>
      <c r="E4779" s="1" t="s">
        <v>30</v>
      </c>
      <c r="F4779">
        <v>20</v>
      </c>
      <c r="G4779">
        <v>1</v>
      </c>
      <c r="H4779" s="1" t="s">
        <v>23</v>
      </c>
      <c r="I4779" s="1" t="s">
        <v>1055</v>
      </c>
      <c r="J4779" s="12">
        <v>45991</v>
      </c>
      <c r="K4779">
        <v>0</v>
      </c>
      <c r="L4779" s="1">
        <f t="shared" si="296"/>
        <v>20</v>
      </c>
      <c r="M4779" s="1">
        <f t="shared" si="297"/>
        <v>5</v>
      </c>
      <c r="N4779" s="2">
        <f t="shared" si="298"/>
        <v>45962</v>
      </c>
      <c r="O4779" t="str">
        <f t="shared" si="299"/>
        <v>mačka</v>
      </c>
    </row>
    <row r="4780" spans="1:15" hidden="1" x14ac:dyDescent="0.25">
      <c r="A4780">
        <v>12266</v>
      </c>
      <c r="B4780" s="11">
        <v>4017788990015</v>
      </c>
      <c r="C4780" s="1" t="s">
        <v>651</v>
      </c>
      <c r="D4780" s="1" t="s">
        <v>29</v>
      </c>
      <c r="E4780" s="1" t="s">
        <v>32</v>
      </c>
      <c r="F4780">
        <v>4.8</v>
      </c>
      <c r="G4780">
        <v>2</v>
      </c>
      <c r="H4780" s="1" t="s">
        <v>18</v>
      </c>
      <c r="I4780" s="1" t="s">
        <v>1056</v>
      </c>
      <c r="J4780" s="12">
        <v>45991</v>
      </c>
      <c r="K4780">
        <v>0</v>
      </c>
      <c r="L4780" s="1">
        <f t="shared" si="296"/>
        <v>9.6</v>
      </c>
      <c r="M4780" s="1">
        <f t="shared" si="297"/>
        <v>4</v>
      </c>
      <c r="N4780" s="2">
        <f t="shared" si="298"/>
        <v>45962</v>
      </c>
      <c r="O4780" t="str">
        <f t="shared" si="299"/>
        <v>mačka</v>
      </c>
    </row>
    <row r="4781" spans="1:15" hidden="1" x14ac:dyDescent="0.25">
      <c r="A4781">
        <v>12267</v>
      </c>
      <c r="B4781" s="11">
        <v>4009012345672</v>
      </c>
      <c r="C4781" s="1" t="s">
        <v>45</v>
      </c>
      <c r="D4781" s="1" t="s">
        <v>36</v>
      </c>
      <c r="E4781" s="1" t="s">
        <v>32</v>
      </c>
      <c r="F4781">
        <v>11.2</v>
      </c>
      <c r="G4781">
        <v>1</v>
      </c>
      <c r="H4781" s="1" t="s">
        <v>14</v>
      </c>
      <c r="I4781" s="1" t="s">
        <v>15</v>
      </c>
      <c r="J4781" s="12">
        <v>45991</v>
      </c>
      <c r="K4781">
        <v>0</v>
      </c>
      <c r="L4781" s="1">
        <f t="shared" si="296"/>
        <v>11.2</v>
      </c>
      <c r="M4781" s="1" t="str">
        <f t="shared" si="297"/>
        <v/>
      </c>
      <c r="N4781" s="2">
        <f t="shared" si="298"/>
        <v>45962</v>
      </c>
      <c r="O4781" t="str">
        <f t="shared" si="299"/>
        <v>mačka</v>
      </c>
    </row>
    <row r="4782" spans="1:15" x14ac:dyDescent="0.25">
      <c r="A4782">
        <v>12268</v>
      </c>
      <c r="B4782" s="11">
        <v>4061011223346</v>
      </c>
      <c r="C4782" s="1" t="s">
        <v>25</v>
      </c>
      <c r="D4782" s="1" t="s">
        <v>26</v>
      </c>
      <c r="E4782" s="1" t="s">
        <v>27</v>
      </c>
      <c r="F4782">
        <v>19.600000000000001</v>
      </c>
      <c r="G4782">
        <v>1</v>
      </c>
      <c r="H4782" s="1" t="s">
        <v>23</v>
      </c>
      <c r="I4782" s="1" t="s">
        <v>1057</v>
      </c>
      <c r="J4782" s="12">
        <v>45991</v>
      </c>
      <c r="K4782">
        <v>0</v>
      </c>
      <c r="L4782" s="1">
        <f t="shared" si="296"/>
        <v>19.600000000000001</v>
      </c>
      <c r="M4782" s="1">
        <f t="shared" si="297"/>
        <v>5</v>
      </c>
      <c r="N4782" s="2">
        <f t="shared" si="298"/>
        <v>45962</v>
      </c>
      <c r="O4782" t="str">
        <f t="shared" si="299"/>
        <v>pes</v>
      </c>
    </row>
    <row r="4783" spans="1:15" x14ac:dyDescent="0.25">
      <c r="A4783">
        <v>12269</v>
      </c>
      <c r="B4783" s="11">
        <v>8005678901239</v>
      </c>
      <c r="C4783" s="1" t="s">
        <v>668</v>
      </c>
      <c r="D4783" s="1" t="s">
        <v>26</v>
      </c>
      <c r="E4783" s="1" t="s">
        <v>308</v>
      </c>
      <c r="F4783">
        <v>20.8</v>
      </c>
      <c r="G4783">
        <v>1</v>
      </c>
      <c r="H4783" s="1" t="s">
        <v>14</v>
      </c>
      <c r="I4783" s="1" t="s">
        <v>15</v>
      </c>
      <c r="J4783" s="12">
        <v>45991</v>
      </c>
      <c r="K4783">
        <v>0</v>
      </c>
      <c r="L4783" s="1">
        <f t="shared" si="296"/>
        <v>20.8</v>
      </c>
      <c r="M4783" s="1" t="str">
        <f t="shared" si="297"/>
        <v/>
      </c>
      <c r="N4783" s="2">
        <f t="shared" si="298"/>
        <v>45962</v>
      </c>
      <c r="O4783" t="str">
        <f t="shared" si="299"/>
        <v>pes</v>
      </c>
    </row>
    <row r="4784" spans="1:15" x14ac:dyDescent="0.25">
      <c r="A4784">
        <v>12270</v>
      </c>
      <c r="B4784" s="11">
        <v>4017890123450</v>
      </c>
      <c r="C4784" s="1" t="s">
        <v>65</v>
      </c>
      <c r="D4784" s="1" t="s">
        <v>39</v>
      </c>
      <c r="E4784" s="1" t="s">
        <v>22</v>
      </c>
      <c r="F4784">
        <v>7.6</v>
      </c>
      <c r="G4784">
        <v>1</v>
      </c>
      <c r="H4784" s="1" t="s">
        <v>14</v>
      </c>
      <c r="I4784" s="1" t="s">
        <v>15</v>
      </c>
      <c r="J4784" s="12">
        <v>45991</v>
      </c>
      <c r="K4784">
        <v>0</v>
      </c>
      <c r="L4784" s="1">
        <f t="shared" si="296"/>
        <v>7.6</v>
      </c>
      <c r="M4784" s="1" t="str">
        <f t="shared" si="297"/>
        <v/>
      </c>
      <c r="N4784" s="2">
        <f t="shared" si="298"/>
        <v>45962</v>
      </c>
      <c r="O4784" t="str">
        <f t="shared" si="299"/>
        <v>pes</v>
      </c>
    </row>
    <row r="4785" spans="1:15" x14ac:dyDescent="0.25">
      <c r="A4785">
        <v>12271</v>
      </c>
      <c r="B4785" s="11">
        <v>4008901234561</v>
      </c>
      <c r="C4785" s="1" t="s">
        <v>330</v>
      </c>
      <c r="D4785" s="1" t="s">
        <v>26</v>
      </c>
      <c r="E4785" s="1" t="s">
        <v>331</v>
      </c>
      <c r="F4785">
        <v>40</v>
      </c>
      <c r="G4785">
        <v>1</v>
      </c>
      <c r="H4785" s="1" t="s">
        <v>23</v>
      </c>
      <c r="I4785" s="1" t="s">
        <v>1058</v>
      </c>
      <c r="J4785" s="12">
        <v>45991</v>
      </c>
      <c r="K4785">
        <v>0</v>
      </c>
      <c r="L4785" s="1">
        <f t="shared" si="296"/>
        <v>40</v>
      </c>
      <c r="M4785" s="1">
        <f t="shared" si="297"/>
        <v>5</v>
      </c>
      <c r="N4785" s="2">
        <f t="shared" si="298"/>
        <v>45962</v>
      </c>
      <c r="O4785" t="str">
        <f t="shared" si="299"/>
        <v>pes</v>
      </c>
    </row>
    <row r="4786" spans="1:15" hidden="1" x14ac:dyDescent="0.25">
      <c r="A4786">
        <v>12272</v>
      </c>
      <c r="B4786" s="11">
        <v>4043344556676</v>
      </c>
      <c r="C4786" s="1" t="s">
        <v>316</v>
      </c>
      <c r="D4786" s="1" t="s">
        <v>317</v>
      </c>
      <c r="E4786" s="1" t="s">
        <v>58</v>
      </c>
      <c r="F4786">
        <v>10</v>
      </c>
      <c r="G4786">
        <v>1</v>
      </c>
      <c r="H4786" s="1" t="s">
        <v>14</v>
      </c>
      <c r="I4786" s="1" t="s">
        <v>15</v>
      </c>
      <c r="J4786" s="12">
        <v>45991</v>
      </c>
      <c r="K4786">
        <v>0</v>
      </c>
      <c r="L4786" s="1">
        <f t="shared" si="296"/>
        <v>10</v>
      </c>
      <c r="M4786" s="1" t="str">
        <f t="shared" si="297"/>
        <v/>
      </c>
      <c r="N4786" s="2">
        <f t="shared" si="298"/>
        <v>45962</v>
      </c>
      <c r="O4786" t="str">
        <f t="shared" si="299"/>
        <v>mačka</v>
      </c>
    </row>
    <row r="4787" spans="1:15" hidden="1" x14ac:dyDescent="0.25">
      <c r="A4787">
        <v>12273</v>
      </c>
      <c r="B4787" s="11">
        <v>4023456789012</v>
      </c>
      <c r="C4787" s="1" t="s">
        <v>55</v>
      </c>
      <c r="D4787" s="1" t="s">
        <v>29</v>
      </c>
      <c r="E4787" s="1" t="s">
        <v>32</v>
      </c>
      <c r="F4787">
        <v>4</v>
      </c>
      <c r="G4787">
        <v>1</v>
      </c>
      <c r="H4787" s="1" t="s">
        <v>14</v>
      </c>
      <c r="I4787" s="1" t="s">
        <v>15</v>
      </c>
      <c r="J4787" s="12">
        <v>45991</v>
      </c>
      <c r="K4787">
        <v>0</v>
      </c>
      <c r="L4787" s="1">
        <f t="shared" si="296"/>
        <v>4</v>
      </c>
      <c r="M4787" s="1" t="str">
        <f t="shared" si="297"/>
        <v/>
      </c>
      <c r="N4787" s="2">
        <f t="shared" si="298"/>
        <v>45962</v>
      </c>
      <c r="O4787" t="str">
        <f t="shared" si="299"/>
        <v>mačka</v>
      </c>
    </row>
    <row r="4788" spans="1:15" hidden="1" x14ac:dyDescent="0.25">
      <c r="A4788">
        <v>12274</v>
      </c>
      <c r="B4788" s="11">
        <v>4055566778892</v>
      </c>
      <c r="C4788" s="1" t="s">
        <v>652</v>
      </c>
      <c r="D4788" s="1" t="s">
        <v>317</v>
      </c>
      <c r="E4788" s="1" t="s">
        <v>69</v>
      </c>
      <c r="F4788">
        <v>8</v>
      </c>
      <c r="G4788">
        <v>1</v>
      </c>
      <c r="H4788" s="1" t="s">
        <v>18</v>
      </c>
      <c r="I4788" s="1" t="s">
        <v>1059</v>
      </c>
      <c r="J4788" s="12">
        <v>45991</v>
      </c>
      <c r="K4788">
        <v>0</v>
      </c>
      <c r="L4788" s="1">
        <f t="shared" si="296"/>
        <v>8</v>
      </c>
      <c r="M4788" s="1">
        <f t="shared" si="297"/>
        <v>4</v>
      </c>
      <c r="N4788" s="2">
        <f t="shared" si="298"/>
        <v>45962</v>
      </c>
      <c r="O4788" t="str">
        <f t="shared" si="299"/>
        <v>mačka</v>
      </c>
    </row>
    <row r="4789" spans="1:15" hidden="1" x14ac:dyDescent="0.25">
      <c r="A4789">
        <v>12275</v>
      </c>
      <c r="B4789" s="11">
        <v>4045678901234</v>
      </c>
      <c r="C4789" s="1" t="s">
        <v>671</v>
      </c>
      <c r="D4789" s="1" t="s">
        <v>29</v>
      </c>
      <c r="E4789" s="1" t="s">
        <v>58</v>
      </c>
      <c r="F4789">
        <v>9.6</v>
      </c>
      <c r="G4789">
        <v>1</v>
      </c>
      <c r="H4789" s="1" t="s">
        <v>23</v>
      </c>
      <c r="I4789" s="1" t="s">
        <v>1060</v>
      </c>
      <c r="J4789" s="12">
        <v>45991</v>
      </c>
      <c r="K4789">
        <v>0</v>
      </c>
      <c r="L4789" s="1">
        <f t="shared" si="296"/>
        <v>9.6</v>
      </c>
      <c r="M4789" s="1">
        <f t="shared" si="297"/>
        <v>5</v>
      </c>
      <c r="N4789" s="2">
        <f t="shared" si="298"/>
        <v>45962</v>
      </c>
      <c r="O4789" t="str">
        <f t="shared" si="299"/>
        <v>mačka</v>
      </c>
    </row>
    <row r="4790" spans="1:15" hidden="1" x14ac:dyDescent="0.25">
      <c r="A4790">
        <v>12276</v>
      </c>
      <c r="B4790" s="11">
        <v>8596677889011</v>
      </c>
      <c r="C4790" s="1" t="s">
        <v>318</v>
      </c>
      <c r="D4790" s="1" t="s">
        <v>29</v>
      </c>
      <c r="E4790" s="1" t="s">
        <v>30</v>
      </c>
      <c r="F4790">
        <v>35.200000000000003</v>
      </c>
      <c r="G4790">
        <v>1</v>
      </c>
      <c r="H4790" s="1" t="s">
        <v>14</v>
      </c>
      <c r="I4790" s="1" t="s">
        <v>15</v>
      </c>
      <c r="J4790" s="12">
        <v>45991</v>
      </c>
      <c r="K4790">
        <v>0</v>
      </c>
      <c r="L4790" s="1">
        <f t="shared" si="296"/>
        <v>35.200000000000003</v>
      </c>
      <c r="M4790" s="1" t="str">
        <f t="shared" si="297"/>
        <v/>
      </c>
      <c r="N4790" s="2">
        <f t="shared" si="298"/>
        <v>45962</v>
      </c>
      <c r="O4790" t="str">
        <f t="shared" si="299"/>
        <v>mačka</v>
      </c>
    </row>
    <row r="4791" spans="1:15" hidden="1" x14ac:dyDescent="0.25">
      <c r="A4791">
        <v>12277</v>
      </c>
      <c r="B4791" s="11">
        <v>4050123456794</v>
      </c>
      <c r="C4791" s="1" t="s">
        <v>41</v>
      </c>
      <c r="D4791" s="1" t="s">
        <v>36</v>
      </c>
      <c r="E4791" s="1" t="s">
        <v>42</v>
      </c>
      <c r="F4791">
        <v>7.2</v>
      </c>
      <c r="G4791">
        <v>1</v>
      </c>
      <c r="H4791" s="1" t="s">
        <v>18</v>
      </c>
      <c r="I4791" s="1" t="s">
        <v>1061</v>
      </c>
      <c r="J4791" s="12">
        <v>45991</v>
      </c>
      <c r="K4791">
        <v>0</v>
      </c>
      <c r="L4791" s="1">
        <f t="shared" si="296"/>
        <v>7.2</v>
      </c>
      <c r="M4791" s="1">
        <f t="shared" si="297"/>
        <v>4</v>
      </c>
      <c r="N4791" s="2">
        <f t="shared" si="298"/>
        <v>45962</v>
      </c>
      <c r="O4791" t="str">
        <f t="shared" si="299"/>
        <v>mačka</v>
      </c>
    </row>
    <row r="4792" spans="1:15" hidden="1" x14ac:dyDescent="0.25">
      <c r="A4792">
        <v>12278</v>
      </c>
      <c r="B4792" s="11">
        <v>4002233445566</v>
      </c>
      <c r="C4792" s="1" t="s">
        <v>268</v>
      </c>
      <c r="D4792" s="1" t="s">
        <v>140</v>
      </c>
      <c r="E4792" s="1" t="s">
        <v>30</v>
      </c>
      <c r="F4792">
        <v>20</v>
      </c>
      <c r="G4792">
        <v>1</v>
      </c>
      <c r="H4792" s="1" t="s">
        <v>23</v>
      </c>
      <c r="I4792" s="1" t="s">
        <v>1062</v>
      </c>
      <c r="J4792" s="12">
        <v>45991</v>
      </c>
      <c r="K4792">
        <v>0</v>
      </c>
      <c r="L4792" s="1">
        <f t="shared" si="296"/>
        <v>20</v>
      </c>
      <c r="M4792" s="1">
        <f t="shared" si="297"/>
        <v>5</v>
      </c>
      <c r="N4792" s="2">
        <f t="shared" si="298"/>
        <v>45962</v>
      </c>
      <c r="O4792" t="str">
        <f t="shared" si="299"/>
        <v>mačka</v>
      </c>
    </row>
    <row r="4793" spans="1:15" x14ac:dyDescent="0.25">
      <c r="A4793">
        <v>12279</v>
      </c>
      <c r="B4793" s="11">
        <v>4017890123450</v>
      </c>
      <c r="C4793" s="1" t="s">
        <v>65</v>
      </c>
      <c r="D4793" s="1" t="s">
        <v>39</v>
      </c>
      <c r="E4793" s="1" t="s">
        <v>22</v>
      </c>
      <c r="F4793">
        <v>7.6</v>
      </c>
      <c r="G4793">
        <v>1</v>
      </c>
      <c r="H4793" s="1" t="s">
        <v>14</v>
      </c>
      <c r="I4793" s="1" t="s">
        <v>15</v>
      </c>
      <c r="J4793" s="12">
        <v>45991</v>
      </c>
      <c r="K4793">
        <v>0</v>
      </c>
      <c r="L4793" s="1">
        <f t="shared" si="296"/>
        <v>7.6</v>
      </c>
      <c r="M4793" s="1" t="str">
        <f t="shared" si="297"/>
        <v/>
      </c>
      <c r="N4793" s="2">
        <f t="shared" si="298"/>
        <v>45962</v>
      </c>
      <c r="O4793" t="str">
        <f t="shared" si="299"/>
        <v>pes</v>
      </c>
    </row>
    <row r="4794" spans="1:15" x14ac:dyDescent="0.25">
      <c r="A4794">
        <v>12280</v>
      </c>
      <c r="B4794" s="11">
        <v>4027788990013</v>
      </c>
      <c r="C4794" s="1" t="s">
        <v>43</v>
      </c>
      <c r="D4794" s="1" t="s">
        <v>21</v>
      </c>
      <c r="E4794" s="1" t="s">
        <v>22</v>
      </c>
      <c r="F4794">
        <v>8</v>
      </c>
      <c r="G4794">
        <v>1</v>
      </c>
      <c r="H4794" s="1" t="s">
        <v>18</v>
      </c>
      <c r="I4794" s="1" t="s">
        <v>1063</v>
      </c>
      <c r="J4794" s="12">
        <v>45991</v>
      </c>
      <c r="K4794">
        <v>0</v>
      </c>
      <c r="L4794" s="1">
        <f t="shared" si="296"/>
        <v>8</v>
      </c>
      <c r="M4794" s="1">
        <f t="shared" si="297"/>
        <v>4</v>
      </c>
      <c r="N4794" s="2">
        <f t="shared" si="298"/>
        <v>45962</v>
      </c>
      <c r="O4794" t="str">
        <f t="shared" si="299"/>
        <v>pes</v>
      </c>
    </row>
    <row r="4795" spans="1:15" hidden="1" x14ac:dyDescent="0.25">
      <c r="A4795">
        <v>12281</v>
      </c>
      <c r="B4795" s="11">
        <v>4056789012345</v>
      </c>
      <c r="C4795" s="1" t="s">
        <v>47</v>
      </c>
      <c r="D4795" s="1" t="s">
        <v>29</v>
      </c>
      <c r="E4795" s="1" t="s">
        <v>37</v>
      </c>
      <c r="F4795">
        <v>2.4</v>
      </c>
      <c r="G4795">
        <v>1</v>
      </c>
      <c r="H4795" s="1" t="s">
        <v>14</v>
      </c>
      <c r="I4795" s="1" t="s">
        <v>15</v>
      </c>
      <c r="J4795" s="12">
        <v>45991</v>
      </c>
      <c r="K4795">
        <v>0</v>
      </c>
      <c r="L4795" s="1">
        <f t="shared" si="296"/>
        <v>2.4</v>
      </c>
      <c r="M4795" s="1" t="str">
        <f t="shared" si="297"/>
        <v/>
      </c>
      <c r="N4795" s="2">
        <f t="shared" si="298"/>
        <v>45962</v>
      </c>
      <c r="O4795" t="str">
        <f t="shared" si="299"/>
        <v>mačka</v>
      </c>
    </row>
    <row r="4796" spans="1:15" x14ac:dyDescent="0.25">
      <c r="A4796">
        <v>12282</v>
      </c>
      <c r="B4796" s="11">
        <v>4003344556679</v>
      </c>
      <c r="C4796" s="1" t="s">
        <v>132</v>
      </c>
      <c r="D4796" s="1" t="s">
        <v>133</v>
      </c>
      <c r="E4796" s="1" t="s">
        <v>134</v>
      </c>
      <c r="F4796">
        <v>51.64</v>
      </c>
      <c r="G4796">
        <v>1</v>
      </c>
      <c r="H4796" s="1" t="s">
        <v>23</v>
      </c>
      <c r="I4796" s="1" t="s">
        <v>1064</v>
      </c>
      <c r="J4796" s="12">
        <v>45991</v>
      </c>
      <c r="K4796">
        <v>0</v>
      </c>
      <c r="L4796" s="1">
        <f t="shared" si="296"/>
        <v>51.64</v>
      </c>
      <c r="M4796" s="1">
        <f t="shared" si="297"/>
        <v>5</v>
      </c>
      <c r="N4796" s="2">
        <f t="shared" si="298"/>
        <v>45962</v>
      </c>
      <c r="O4796" t="str">
        <f t="shared" si="299"/>
        <v>pes</v>
      </c>
    </row>
    <row r="4797" spans="1:15" x14ac:dyDescent="0.25">
      <c r="A4797">
        <v>12283</v>
      </c>
      <c r="B4797" s="11">
        <v>4011234567897</v>
      </c>
      <c r="C4797" s="1" t="s">
        <v>341</v>
      </c>
      <c r="D4797" s="1" t="s">
        <v>21</v>
      </c>
      <c r="E4797" s="1" t="s">
        <v>303</v>
      </c>
      <c r="F4797">
        <v>11.6</v>
      </c>
      <c r="G4797">
        <v>1</v>
      </c>
      <c r="H4797" s="1" t="s">
        <v>14</v>
      </c>
      <c r="I4797" s="1" t="s">
        <v>15</v>
      </c>
      <c r="J4797" s="12">
        <v>45991</v>
      </c>
      <c r="K4797">
        <v>0</v>
      </c>
      <c r="L4797" s="1">
        <f t="shared" si="296"/>
        <v>11.6</v>
      </c>
      <c r="M4797" s="1" t="str">
        <f t="shared" si="297"/>
        <v/>
      </c>
      <c r="N4797" s="2">
        <f t="shared" si="298"/>
        <v>45962</v>
      </c>
      <c r="O4797" t="str">
        <f t="shared" si="299"/>
        <v>pes</v>
      </c>
    </row>
    <row r="4798" spans="1:15" hidden="1" x14ac:dyDescent="0.25">
      <c r="A4798">
        <v>12284</v>
      </c>
      <c r="B4798" s="11">
        <v>4006677889904</v>
      </c>
      <c r="C4798" s="1" t="s">
        <v>206</v>
      </c>
      <c r="D4798" s="1" t="s">
        <v>29</v>
      </c>
      <c r="E4798" s="1" t="s">
        <v>30</v>
      </c>
      <c r="F4798">
        <v>2</v>
      </c>
      <c r="G4798">
        <v>2</v>
      </c>
      <c r="H4798" s="1" t="s">
        <v>23</v>
      </c>
      <c r="I4798" s="1" t="s">
        <v>1065</v>
      </c>
      <c r="J4798" s="12">
        <v>45991</v>
      </c>
      <c r="K4798">
        <v>0</v>
      </c>
      <c r="L4798" s="1">
        <f t="shared" si="296"/>
        <v>4</v>
      </c>
      <c r="M4798" s="1">
        <f t="shared" si="297"/>
        <v>5</v>
      </c>
      <c r="N4798" s="2">
        <f t="shared" si="298"/>
        <v>45962</v>
      </c>
      <c r="O4798" t="str">
        <f t="shared" si="299"/>
        <v>mačka</v>
      </c>
    </row>
    <row r="4799" spans="1:15" hidden="1" x14ac:dyDescent="0.25">
      <c r="A4799">
        <v>12285</v>
      </c>
      <c r="B4799" s="11">
        <v>4067890123456</v>
      </c>
      <c r="C4799" s="1" t="s">
        <v>68</v>
      </c>
      <c r="D4799" s="1" t="s">
        <v>29</v>
      </c>
      <c r="E4799" s="1" t="s">
        <v>69</v>
      </c>
      <c r="F4799">
        <v>36</v>
      </c>
      <c r="G4799">
        <v>1</v>
      </c>
      <c r="H4799" s="1" t="s">
        <v>18</v>
      </c>
      <c r="I4799" s="1" t="s">
        <v>1066</v>
      </c>
      <c r="J4799" s="12">
        <v>45991</v>
      </c>
      <c r="K4799">
        <v>0</v>
      </c>
      <c r="L4799" s="1">
        <f t="shared" si="296"/>
        <v>36</v>
      </c>
      <c r="M4799" s="1">
        <f t="shared" si="297"/>
        <v>4</v>
      </c>
      <c r="N4799" s="2">
        <f t="shared" si="298"/>
        <v>45962</v>
      </c>
      <c r="O4799" t="str">
        <f t="shared" si="299"/>
        <v>mačka</v>
      </c>
    </row>
    <row r="4800" spans="1:15" hidden="1" x14ac:dyDescent="0.25">
      <c r="A4800">
        <v>12286</v>
      </c>
      <c r="B4800" s="11">
        <v>4026677889902</v>
      </c>
      <c r="C4800" s="1" t="s">
        <v>52</v>
      </c>
      <c r="D4800" s="1" t="s">
        <v>53</v>
      </c>
      <c r="E4800" s="1" t="s">
        <v>54</v>
      </c>
      <c r="F4800">
        <v>7.6</v>
      </c>
      <c r="G4800">
        <v>1</v>
      </c>
      <c r="H4800" s="1" t="s">
        <v>14</v>
      </c>
      <c r="I4800" s="1" t="s">
        <v>15</v>
      </c>
      <c r="J4800" s="12">
        <v>45991</v>
      </c>
      <c r="K4800">
        <v>0</v>
      </c>
      <c r="L4800" s="1">
        <f t="shared" si="296"/>
        <v>7.6</v>
      </c>
      <c r="M4800" s="1" t="str">
        <f t="shared" si="297"/>
        <v/>
      </c>
      <c r="N4800" s="2">
        <f t="shared" si="298"/>
        <v>45962</v>
      </c>
      <c r="O4800" t="str">
        <f t="shared" si="299"/>
        <v>iné</v>
      </c>
    </row>
    <row r="4801" spans="1:15" hidden="1" x14ac:dyDescent="0.25">
      <c r="A4801">
        <v>12287</v>
      </c>
      <c r="B4801" s="11">
        <v>4025566778891</v>
      </c>
      <c r="C4801" s="1" t="s">
        <v>320</v>
      </c>
      <c r="D4801" s="1" t="s">
        <v>317</v>
      </c>
      <c r="E4801" s="1" t="s">
        <v>30</v>
      </c>
      <c r="F4801">
        <v>51.64</v>
      </c>
      <c r="G4801">
        <v>1</v>
      </c>
      <c r="H4801" s="1" t="s">
        <v>23</v>
      </c>
      <c r="I4801" s="1" t="s">
        <v>1067</v>
      </c>
      <c r="J4801" s="12">
        <v>45991</v>
      </c>
      <c r="K4801">
        <v>0</v>
      </c>
      <c r="L4801" s="1">
        <f t="shared" si="296"/>
        <v>51.64</v>
      </c>
      <c r="M4801" s="1">
        <f t="shared" si="297"/>
        <v>5</v>
      </c>
      <c r="N4801" s="2">
        <f t="shared" si="298"/>
        <v>45962</v>
      </c>
      <c r="O4801" t="str">
        <f t="shared" si="299"/>
        <v>mačka</v>
      </c>
    </row>
    <row r="4802" spans="1:15" hidden="1" x14ac:dyDescent="0.25">
      <c r="A4802">
        <v>12288</v>
      </c>
      <c r="B4802" s="11">
        <v>4042233445567</v>
      </c>
      <c r="C4802" s="1" t="s">
        <v>637</v>
      </c>
      <c r="D4802" s="1" t="s">
        <v>140</v>
      </c>
      <c r="E4802" s="1" t="s">
        <v>141</v>
      </c>
      <c r="F4802">
        <v>51.64</v>
      </c>
      <c r="G4802">
        <v>1</v>
      </c>
      <c r="H4802" s="1" t="s">
        <v>18</v>
      </c>
      <c r="I4802" s="1" t="s">
        <v>1068</v>
      </c>
      <c r="J4802" s="12">
        <v>45991</v>
      </c>
      <c r="K4802">
        <v>0</v>
      </c>
      <c r="L4802" s="1">
        <f t="shared" ref="L4802:L4865" si="300">F4802*G4802</f>
        <v>51.64</v>
      </c>
      <c r="M4802" s="1">
        <f t="shared" ref="M4802:M4865" si="301">IF(H4802="NULL", "",VALUE(H4802))</f>
        <v>4</v>
      </c>
      <c r="N4802" s="2">
        <f t="shared" ref="N4802:N4865" si="302">DATE(YEAR(J4802),MONTH(J4802),1)</f>
        <v>45962</v>
      </c>
      <c r="O4802" t="str">
        <f t="shared" ref="O4802:O4865" si="303">IF(ISNUMBER(SEARCH("Mačky",D4802)),"mačka",IF(ISNUMBER(SEARCH("Psy",D4802)),"pes","iné"))</f>
        <v>mačka</v>
      </c>
    </row>
    <row r="4803" spans="1:15" hidden="1" x14ac:dyDescent="0.25">
      <c r="A4803">
        <v>12289</v>
      </c>
      <c r="B4803" s="11">
        <v>4002233445566</v>
      </c>
      <c r="C4803" s="1" t="s">
        <v>268</v>
      </c>
      <c r="D4803" s="1" t="s">
        <v>140</v>
      </c>
      <c r="E4803" s="1" t="s">
        <v>30</v>
      </c>
      <c r="F4803">
        <v>20</v>
      </c>
      <c r="G4803">
        <v>1</v>
      </c>
      <c r="H4803" s="1" t="s">
        <v>14</v>
      </c>
      <c r="I4803" s="1" t="s">
        <v>15</v>
      </c>
      <c r="J4803" s="12">
        <v>45991</v>
      </c>
      <c r="K4803">
        <v>0</v>
      </c>
      <c r="L4803" s="1">
        <f t="shared" si="300"/>
        <v>20</v>
      </c>
      <c r="M4803" s="1" t="str">
        <f t="shared" si="301"/>
        <v/>
      </c>
      <c r="N4803" s="2">
        <f t="shared" si="302"/>
        <v>45962</v>
      </c>
      <c r="O4803" t="str">
        <f t="shared" si="303"/>
        <v>mačka</v>
      </c>
    </row>
    <row r="4804" spans="1:15" x14ac:dyDescent="0.25">
      <c r="A4804">
        <v>12290</v>
      </c>
      <c r="B4804" s="11">
        <v>4040123456795</v>
      </c>
      <c r="C4804" s="1" t="s">
        <v>20</v>
      </c>
      <c r="D4804" s="1" t="s">
        <v>21</v>
      </c>
      <c r="E4804" s="1" t="s">
        <v>22</v>
      </c>
      <c r="F4804">
        <v>8.8000000000000007</v>
      </c>
      <c r="G4804">
        <v>1</v>
      </c>
      <c r="H4804" s="1" t="s">
        <v>23</v>
      </c>
      <c r="I4804" s="1" t="s">
        <v>1069</v>
      </c>
      <c r="J4804" s="12">
        <v>45991</v>
      </c>
      <c r="K4804">
        <v>0</v>
      </c>
      <c r="L4804" s="1">
        <f t="shared" si="300"/>
        <v>8.8000000000000007</v>
      </c>
      <c r="M4804" s="1">
        <f t="shared" si="301"/>
        <v>5</v>
      </c>
      <c r="N4804" s="2">
        <f t="shared" si="302"/>
        <v>45962</v>
      </c>
      <c r="O4804" t="str">
        <f t="shared" si="303"/>
        <v>pes</v>
      </c>
    </row>
    <row r="4805" spans="1:15" x14ac:dyDescent="0.25">
      <c r="A4805">
        <v>12291</v>
      </c>
      <c r="B4805" s="11">
        <v>4005566778891</v>
      </c>
      <c r="C4805" s="1" t="s">
        <v>146</v>
      </c>
      <c r="D4805" s="1" t="s">
        <v>26</v>
      </c>
      <c r="E4805" s="1" t="s">
        <v>134</v>
      </c>
      <c r="F4805">
        <v>18</v>
      </c>
      <c r="G4805">
        <v>1</v>
      </c>
      <c r="H4805" s="1" t="s">
        <v>14</v>
      </c>
      <c r="I4805" s="1" t="s">
        <v>15</v>
      </c>
      <c r="J4805" s="12">
        <v>45991</v>
      </c>
      <c r="K4805">
        <v>0</v>
      </c>
      <c r="L4805" s="1">
        <f t="shared" si="300"/>
        <v>18</v>
      </c>
      <c r="M4805" s="1" t="str">
        <f t="shared" si="301"/>
        <v/>
      </c>
      <c r="N4805" s="2">
        <f t="shared" si="302"/>
        <v>45962</v>
      </c>
      <c r="O4805" t="str">
        <f t="shared" si="303"/>
        <v>pes</v>
      </c>
    </row>
    <row r="4806" spans="1:15" hidden="1" x14ac:dyDescent="0.25">
      <c r="A4806">
        <v>12292</v>
      </c>
      <c r="B4806" s="11">
        <v>8593456789012</v>
      </c>
      <c r="C4806" s="1" t="s">
        <v>28</v>
      </c>
      <c r="D4806" s="1" t="s">
        <v>29</v>
      </c>
      <c r="E4806" s="1" t="s">
        <v>30</v>
      </c>
      <c r="F4806">
        <v>42</v>
      </c>
      <c r="G4806">
        <v>1</v>
      </c>
      <c r="H4806" s="1" t="s">
        <v>23</v>
      </c>
      <c r="I4806" s="1" t="s">
        <v>1070</v>
      </c>
      <c r="J4806" s="12">
        <v>45991</v>
      </c>
      <c r="K4806">
        <v>0</v>
      </c>
      <c r="L4806" s="1">
        <f t="shared" si="300"/>
        <v>42</v>
      </c>
      <c r="M4806" s="1">
        <f t="shared" si="301"/>
        <v>5</v>
      </c>
      <c r="N4806" s="2">
        <f t="shared" si="302"/>
        <v>45962</v>
      </c>
      <c r="O4806" t="str">
        <f t="shared" si="303"/>
        <v>mačka</v>
      </c>
    </row>
    <row r="4807" spans="1:15" hidden="1" x14ac:dyDescent="0.25">
      <c r="A4807">
        <v>12293</v>
      </c>
      <c r="B4807" s="11">
        <v>4023456789012</v>
      </c>
      <c r="C4807" s="1" t="s">
        <v>55</v>
      </c>
      <c r="D4807" s="1" t="s">
        <v>29</v>
      </c>
      <c r="E4807" s="1" t="s">
        <v>32</v>
      </c>
      <c r="F4807">
        <v>4</v>
      </c>
      <c r="G4807">
        <v>1</v>
      </c>
      <c r="H4807" s="1" t="s">
        <v>14</v>
      </c>
      <c r="I4807" s="1" t="s">
        <v>15</v>
      </c>
      <c r="J4807" s="12">
        <v>45991</v>
      </c>
      <c r="K4807">
        <v>0</v>
      </c>
      <c r="L4807" s="1">
        <f t="shared" si="300"/>
        <v>4</v>
      </c>
      <c r="M4807" s="1" t="str">
        <f t="shared" si="301"/>
        <v/>
      </c>
      <c r="N4807" s="2">
        <f t="shared" si="302"/>
        <v>45962</v>
      </c>
      <c r="O4807" t="str">
        <f t="shared" si="303"/>
        <v>mačka</v>
      </c>
    </row>
    <row r="4808" spans="1:15" x14ac:dyDescent="0.25">
      <c r="A4808">
        <v>12294</v>
      </c>
      <c r="B4808" s="11">
        <v>4017890123450</v>
      </c>
      <c r="C4808" s="1" t="s">
        <v>65</v>
      </c>
      <c r="D4808" s="1" t="s">
        <v>39</v>
      </c>
      <c r="E4808" s="1" t="s">
        <v>22</v>
      </c>
      <c r="F4808">
        <v>7.6</v>
      </c>
      <c r="G4808">
        <v>1</v>
      </c>
      <c r="H4808" s="1" t="s">
        <v>18</v>
      </c>
      <c r="I4808" s="1" t="s">
        <v>1071</v>
      </c>
      <c r="J4808" s="12">
        <v>45991</v>
      </c>
      <c r="K4808">
        <v>0</v>
      </c>
      <c r="L4808" s="1">
        <f t="shared" si="300"/>
        <v>7.6</v>
      </c>
      <c r="M4808" s="1">
        <f t="shared" si="301"/>
        <v>4</v>
      </c>
      <c r="N4808" s="2">
        <f t="shared" si="302"/>
        <v>45962</v>
      </c>
      <c r="O4808" t="str">
        <f t="shared" si="303"/>
        <v>pes</v>
      </c>
    </row>
    <row r="4809" spans="1:15" hidden="1" x14ac:dyDescent="0.25">
      <c r="A4809">
        <v>12295</v>
      </c>
      <c r="B4809" s="11">
        <v>4009012345672</v>
      </c>
      <c r="C4809" s="1" t="s">
        <v>45</v>
      </c>
      <c r="D4809" s="1" t="s">
        <v>36</v>
      </c>
      <c r="E4809" s="1" t="s">
        <v>32</v>
      </c>
      <c r="F4809">
        <v>11.2</v>
      </c>
      <c r="G4809">
        <v>1</v>
      </c>
      <c r="H4809" s="1" t="s">
        <v>14</v>
      </c>
      <c r="I4809" s="1" t="s">
        <v>15</v>
      </c>
      <c r="J4809" s="12">
        <v>45991</v>
      </c>
      <c r="K4809">
        <v>0</v>
      </c>
      <c r="L4809" s="1">
        <f t="shared" si="300"/>
        <v>11.2</v>
      </c>
      <c r="M4809" s="1" t="str">
        <f t="shared" si="301"/>
        <v/>
      </c>
      <c r="N4809" s="2">
        <f t="shared" si="302"/>
        <v>45962</v>
      </c>
      <c r="O4809" t="str">
        <f t="shared" si="303"/>
        <v>mačka</v>
      </c>
    </row>
    <row r="4810" spans="1:15" x14ac:dyDescent="0.25">
      <c r="A4810">
        <v>12296</v>
      </c>
      <c r="B4810" s="11">
        <v>4027788990013</v>
      </c>
      <c r="C4810" s="1" t="s">
        <v>43</v>
      </c>
      <c r="D4810" s="1" t="s">
        <v>21</v>
      </c>
      <c r="E4810" s="1" t="s">
        <v>22</v>
      </c>
      <c r="F4810">
        <v>8</v>
      </c>
      <c r="G4810">
        <v>1</v>
      </c>
      <c r="H4810" s="1" t="s">
        <v>18</v>
      </c>
      <c r="I4810" s="1" t="s">
        <v>1072</v>
      </c>
      <c r="J4810" s="12">
        <v>45991</v>
      </c>
      <c r="K4810">
        <v>0</v>
      </c>
      <c r="L4810" s="1">
        <f t="shared" si="300"/>
        <v>8</v>
      </c>
      <c r="M4810" s="1">
        <f t="shared" si="301"/>
        <v>4</v>
      </c>
      <c r="N4810" s="2">
        <f t="shared" si="302"/>
        <v>45962</v>
      </c>
      <c r="O4810" t="str">
        <f t="shared" si="303"/>
        <v>pes</v>
      </c>
    </row>
    <row r="4811" spans="1:15" hidden="1" x14ac:dyDescent="0.25">
      <c r="A4811">
        <v>12297</v>
      </c>
      <c r="B4811" s="11">
        <v>4045678901234</v>
      </c>
      <c r="C4811" s="1" t="s">
        <v>671</v>
      </c>
      <c r="D4811" s="1" t="s">
        <v>29</v>
      </c>
      <c r="E4811" s="1" t="s">
        <v>58</v>
      </c>
      <c r="F4811">
        <v>9.6</v>
      </c>
      <c r="G4811">
        <v>2</v>
      </c>
      <c r="H4811" s="1" t="s">
        <v>23</v>
      </c>
      <c r="I4811" s="1" t="s">
        <v>1073</v>
      </c>
      <c r="J4811" s="12">
        <v>45991</v>
      </c>
      <c r="K4811">
        <v>0</v>
      </c>
      <c r="L4811" s="1">
        <f t="shared" si="300"/>
        <v>19.2</v>
      </c>
      <c r="M4811" s="1">
        <f t="shared" si="301"/>
        <v>5</v>
      </c>
      <c r="N4811" s="2">
        <f t="shared" si="302"/>
        <v>45962</v>
      </c>
      <c r="O4811" t="str">
        <f t="shared" si="303"/>
        <v>mačka</v>
      </c>
    </row>
    <row r="4812" spans="1:15" hidden="1" x14ac:dyDescent="0.25">
      <c r="A4812">
        <v>12298</v>
      </c>
      <c r="B4812" s="11">
        <v>4069012345682</v>
      </c>
      <c r="C4812" s="1" t="s">
        <v>143</v>
      </c>
      <c r="D4812" s="1" t="s">
        <v>144</v>
      </c>
      <c r="E4812" s="1" t="s">
        <v>30</v>
      </c>
      <c r="F4812">
        <v>26</v>
      </c>
      <c r="G4812">
        <v>1</v>
      </c>
      <c r="H4812" s="1" t="s">
        <v>14</v>
      </c>
      <c r="I4812" s="1" t="s">
        <v>15</v>
      </c>
      <c r="J4812" s="12">
        <v>45991</v>
      </c>
      <c r="K4812">
        <v>0</v>
      </c>
      <c r="L4812" s="1">
        <f t="shared" si="300"/>
        <v>26</v>
      </c>
      <c r="M4812" s="1" t="str">
        <f t="shared" si="301"/>
        <v/>
      </c>
      <c r="N4812" s="2">
        <f t="shared" si="302"/>
        <v>45962</v>
      </c>
      <c r="O4812" t="str">
        <f t="shared" si="303"/>
        <v>mačka</v>
      </c>
    </row>
    <row r="4813" spans="1:15" hidden="1" x14ac:dyDescent="0.25">
      <c r="A4813">
        <v>12299</v>
      </c>
      <c r="B4813" s="11">
        <v>4029900112244</v>
      </c>
      <c r="C4813" s="1" t="s">
        <v>655</v>
      </c>
      <c r="D4813" s="1" t="s">
        <v>36</v>
      </c>
      <c r="E4813" s="1" t="s">
        <v>37</v>
      </c>
      <c r="F4813">
        <v>13.6</v>
      </c>
      <c r="G4813">
        <v>1</v>
      </c>
      <c r="H4813" s="1" t="s">
        <v>23</v>
      </c>
      <c r="I4813" s="1" t="s">
        <v>1074</v>
      </c>
      <c r="J4813" s="12">
        <v>45991</v>
      </c>
      <c r="K4813">
        <v>0</v>
      </c>
      <c r="L4813" s="1">
        <f t="shared" si="300"/>
        <v>13.6</v>
      </c>
      <c r="M4813" s="1">
        <f t="shared" si="301"/>
        <v>5</v>
      </c>
      <c r="N4813" s="2">
        <f t="shared" si="302"/>
        <v>45962</v>
      </c>
      <c r="O4813" t="str">
        <f t="shared" si="303"/>
        <v>mačka</v>
      </c>
    </row>
    <row r="4814" spans="1:15" hidden="1" x14ac:dyDescent="0.25">
      <c r="A4814">
        <v>12300</v>
      </c>
      <c r="B4814" s="11">
        <v>4010123456783</v>
      </c>
      <c r="C4814" s="1" t="s">
        <v>35</v>
      </c>
      <c r="D4814" s="1" t="s">
        <v>36</v>
      </c>
      <c r="E4814" s="1" t="s">
        <v>37</v>
      </c>
      <c r="F4814">
        <v>14</v>
      </c>
      <c r="G4814">
        <v>1</v>
      </c>
      <c r="H4814" s="1" t="s">
        <v>23</v>
      </c>
      <c r="I4814" s="1" t="s">
        <v>1075</v>
      </c>
      <c r="J4814" s="12">
        <v>45991</v>
      </c>
      <c r="K4814">
        <v>0</v>
      </c>
      <c r="L4814" s="1">
        <f t="shared" si="300"/>
        <v>14</v>
      </c>
      <c r="M4814" s="1">
        <f t="shared" si="301"/>
        <v>5</v>
      </c>
      <c r="N4814" s="2">
        <f t="shared" si="302"/>
        <v>45962</v>
      </c>
      <c r="O4814" t="str">
        <f t="shared" si="303"/>
        <v>mačka</v>
      </c>
    </row>
    <row r="4815" spans="1:15" x14ac:dyDescent="0.25">
      <c r="A4815">
        <v>12301</v>
      </c>
      <c r="B4815" s="11">
        <v>4003344556679</v>
      </c>
      <c r="C4815" s="1" t="s">
        <v>132</v>
      </c>
      <c r="D4815" s="1" t="s">
        <v>133</v>
      </c>
      <c r="E4815" s="1" t="s">
        <v>134</v>
      </c>
      <c r="F4815">
        <v>51.64</v>
      </c>
      <c r="G4815">
        <v>1</v>
      </c>
      <c r="H4815" s="1" t="s">
        <v>14</v>
      </c>
      <c r="I4815" s="1" t="s">
        <v>15</v>
      </c>
      <c r="J4815" s="12">
        <v>45991</v>
      </c>
      <c r="K4815">
        <v>0</v>
      </c>
      <c r="L4815" s="1">
        <f t="shared" si="300"/>
        <v>51.64</v>
      </c>
      <c r="M4815" s="1" t="str">
        <f t="shared" si="301"/>
        <v/>
      </c>
      <c r="N4815" s="2">
        <f t="shared" si="302"/>
        <v>45962</v>
      </c>
      <c r="O4815" t="str">
        <f t="shared" si="303"/>
        <v>pes</v>
      </c>
    </row>
    <row r="4816" spans="1:15" x14ac:dyDescent="0.25">
      <c r="A4816">
        <v>12302</v>
      </c>
      <c r="B4816" s="11">
        <v>4013456789017</v>
      </c>
      <c r="C4816" s="1" t="s">
        <v>11</v>
      </c>
      <c r="D4816" s="1" t="s">
        <v>12</v>
      </c>
      <c r="E4816" s="1" t="s">
        <v>13</v>
      </c>
      <c r="F4816">
        <v>6</v>
      </c>
      <c r="G4816">
        <v>1</v>
      </c>
      <c r="H4816" s="1" t="s">
        <v>18</v>
      </c>
      <c r="I4816" s="1" t="s">
        <v>1076</v>
      </c>
      <c r="J4816" s="12">
        <v>45991</v>
      </c>
      <c r="K4816">
        <v>0</v>
      </c>
      <c r="L4816" s="1">
        <f t="shared" si="300"/>
        <v>6</v>
      </c>
      <c r="M4816" s="1">
        <f t="shared" si="301"/>
        <v>4</v>
      </c>
      <c r="N4816" s="2">
        <f t="shared" si="302"/>
        <v>45962</v>
      </c>
      <c r="O4816" t="str">
        <f t="shared" si="303"/>
        <v>pes</v>
      </c>
    </row>
    <row r="4817" spans="1:15" hidden="1" x14ac:dyDescent="0.25">
      <c r="A4817">
        <v>12303</v>
      </c>
      <c r="B4817" s="11">
        <v>4058901234571</v>
      </c>
      <c r="C4817" s="1" t="s">
        <v>1005</v>
      </c>
      <c r="D4817" s="1" t="s">
        <v>144</v>
      </c>
      <c r="E4817" s="1" t="s">
        <v>141</v>
      </c>
      <c r="F4817">
        <v>12</v>
      </c>
      <c r="G4817">
        <v>1</v>
      </c>
      <c r="H4817" s="1" t="s">
        <v>18</v>
      </c>
      <c r="I4817" s="1" t="s">
        <v>1077</v>
      </c>
      <c r="J4817" s="12">
        <v>45991</v>
      </c>
      <c r="K4817">
        <v>0</v>
      </c>
      <c r="L4817" s="1">
        <f t="shared" si="300"/>
        <v>12</v>
      </c>
      <c r="M4817" s="1">
        <f t="shared" si="301"/>
        <v>4</v>
      </c>
      <c r="N4817" s="2">
        <f t="shared" si="302"/>
        <v>45962</v>
      </c>
      <c r="O4817" t="str">
        <f t="shared" si="303"/>
        <v>mačka</v>
      </c>
    </row>
    <row r="4818" spans="1:15" x14ac:dyDescent="0.25">
      <c r="A4818">
        <v>12304</v>
      </c>
      <c r="B4818" s="11">
        <v>4040123456795</v>
      </c>
      <c r="C4818" s="1" t="s">
        <v>20</v>
      </c>
      <c r="D4818" s="1" t="s">
        <v>21</v>
      </c>
      <c r="E4818" s="1" t="s">
        <v>22</v>
      </c>
      <c r="F4818">
        <v>8.8000000000000007</v>
      </c>
      <c r="G4818">
        <v>1</v>
      </c>
      <c r="H4818" s="1" t="s">
        <v>14</v>
      </c>
      <c r="I4818" s="1" t="s">
        <v>15</v>
      </c>
      <c r="J4818" s="12">
        <v>45991</v>
      </c>
      <c r="K4818">
        <v>0</v>
      </c>
      <c r="L4818" s="1">
        <f t="shared" si="300"/>
        <v>8.8000000000000007</v>
      </c>
      <c r="M4818" s="1" t="str">
        <f t="shared" si="301"/>
        <v/>
      </c>
      <c r="N4818" s="2">
        <f t="shared" si="302"/>
        <v>45962</v>
      </c>
      <c r="O4818" t="str">
        <f t="shared" si="303"/>
        <v>pes</v>
      </c>
    </row>
    <row r="4819" spans="1:15" x14ac:dyDescent="0.25">
      <c r="A4819">
        <v>12305</v>
      </c>
      <c r="B4819" s="11">
        <v>4022345678908</v>
      </c>
      <c r="C4819" s="1" t="s">
        <v>363</v>
      </c>
      <c r="D4819" s="1" t="s">
        <v>21</v>
      </c>
      <c r="E4819" s="1" t="s">
        <v>69</v>
      </c>
      <c r="F4819">
        <v>10</v>
      </c>
      <c r="G4819">
        <v>1</v>
      </c>
      <c r="H4819" s="1" t="s">
        <v>18</v>
      </c>
      <c r="I4819" s="1" t="s">
        <v>1078</v>
      </c>
      <c r="J4819" s="12">
        <v>45991</v>
      </c>
      <c r="K4819">
        <v>0</v>
      </c>
      <c r="L4819" s="1">
        <f t="shared" si="300"/>
        <v>10</v>
      </c>
      <c r="M4819" s="1">
        <f t="shared" si="301"/>
        <v>4</v>
      </c>
      <c r="N4819" s="2">
        <f t="shared" si="302"/>
        <v>45962</v>
      </c>
      <c r="O4819" t="str">
        <f t="shared" si="303"/>
        <v>pes</v>
      </c>
    </row>
    <row r="4820" spans="1:15" hidden="1" x14ac:dyDescent="0.25">
      <c r="A4820">
        <v>12306</v>
      </c>
      <c r="B4820" s="11">
        <v>8591122334455</v>
      </c>
      <c r="C4820" s="1" t="s">
        <v>757</v>
      </c>
      <c r="D4820" s="1" t="s">
        <v>140</v>
      </c>
      <c r="E4820" s="1" t="s">
        <v>334</v>
      </c>
      <c r="F4820">
        <v>79.64</v>
      </c>
      <c r="G4820">
        <v>1</v>
      </c>
      <c r="H4820" s="1" t="s">
        <v>23</v>
      </c>
      <c r="I4820" s="1" t="s">
        <v>1079</v>
      </c>
      <c r="J4820" s="12">
        <v>45991</v>
      </c>
      <c r="K4820">
        <v>0</v>
      </c>
      <c r="L4820" s="1">
        <f t="shared" si="300"/>
        <v>79.64</v>
      </c>
      <c r="M4820" s="1">
        <f t="shared" si="301"/>
        <v>5</v>
      </c>
      <c r="N4820" s="2">
        <f t="shared" si="302"/>
        <v>45962</v>
      </c>
      <c r="O4820" t="str">
        <f t="shared" si="303"/>
        <v>mačka</v>
      </c>
    </row>
    <row r="4821" spans="1:15" hidden="1" x14ac:dyDescent="0.25">
      <c r="A4821">
        <v>12307</v>
      </c>
      <c r="B4821" s="11">
        <v>8007890123454</v>
      </c>
      <c r="C4821" s="1" t="s">
        <v>360</v>
      </c>
      <c r="D4821" s="1" t="s">
        <v>140</v>
      </c>
      <c r="E4821" s="1" t="s">
        <v>37</v>
      </c>
      <c r="F4821">
        <v>43.64</v>
      </c>
      <c r="G4821">
        <v>1</v>
      </c>
      <c r="H4821" s="1" t="s">
        <v>14</v>
      </c>
      <c r="I4821" s="1" t="s">
        <v>15</v>
      </c>
      <c r="J4821" s="12">
        <v>45991</v>
      </c>
      <c r="K4821">
        <v>0</v>
      </c>
      <c r="L4821" s="1">
        <f t="shared" si="300"/>
        <v>43.64</v>
      </c>
      <c r="M4821" s="1" t="str">
        <f t="shared" si="301"/>
        <v/>
      </c>
      <c r="N4821" s="2">
        <f t="shared" si="302"/>
        <v>45962</v>
      </c>
      <c r="O4821" t="str">
        <f t="shared" si="303"/>
        <v>mačka</v>
      </c>
    </row>
    <row r="4822" spans="1:15" hidden="1" x14ac:dyDescent="0.25">
      <c r="A4822">
        <v>12308</v>
      </c>
      <c r="B4822" s="11">
        <v>4056789012345</v>
      </c>
      <c r="C4822" s="1" t="s">
        <v>47</v>
      </c>
      <c r="D4822" s="1" t="s">
        <v>29</v>
      </c>
      <c r="E4822" s="1" t="s">
        <v>37</v>
      </c>
      <c r="F4822">
        <v>2.4</v>
      </c>
      <c r="G4822">
        <v>3</v>
      </c>
      <c r="H4822" s="1" t="s">
        <v>18</v>
      </c>
      <c r="I4822" s="1" t="s">
        <v>1080</v>
      </c>
      <c r="J4822" s="12">
        <v>45991</v>
      </c>
      <c r="K4822">
        <v>0</v>
      </c>
      <c r="L4822" s="1">
        <f t="shared" si="300"/>
        <v>7.1999999999999993</v>
      </c>
      <c r="M4822" s="1">
        <f t="shared" si="301"/>
        <v>4</v>
      </c>
      <c r="N4822" s="2">
        <f t="shared" si="302"/>
        <v>45962</v>
      </c>
      <c r="O4822" t="str">
        <f t="shared" si="303"/>
        <v>mačka</v>
      </c>
    </row>
    <row r="4823" spans="1:15" hidden="1" x14ac:dyDescent="0.25">
      <c r="A4823">
        <v>12309</v>
      </c>
      <c r="B4823" s="11">
        <v>4025566778891</v>
      </c>
      <c r="C4823" s="1" t="s">
        <v>320</v>
      </c>
      <c r="D4823" s="1" t="s">
        <v>317</v>
      </c>
      <c r="E4823" s="1" t="s">
        <v>30</v>
      </c>
      <c r="F4823">
        <v>51.64</v>
      </c>
      <c r="G4823">
        <v>1</v>
      </c>
      <c r="H4823" s="1" t="s">
        <v>23</v>
      </c>
      <c r="I4823" s="1" t="s">
        <v>1081</v>
      </c>
      <c r="J4823" s="12">
        <v>45991</v>
      </c>
      <c r="K4823">
        <v>0</v>
      </c>
      <c r="L4823" s="1">
        <f t="shared" si="300"/>
        <v>51.64</v>
      </c>
      <c r="M4823" s="1">
        <f t="shared" si="301"/>
        <v>5</v>
      </c>
      <c r="N4823" s="2">
        <f t="shared" si="302"/>
        <v>45962</v>
      </c>
      <c r="O4823" t="str">
        <f t="shared" si="303"/>
        <v>mačka</v>
      </c>
    </row>
    <row r="4824" spans="1:15" x14ac:dyDescent="0.25">
      <c r="A4824">
        <v>12310</v>
      </c>
      <c r="B4824" s="11">
        <v>4028899001126</v>
      </c>
      <c r="C4824" s="1" t="s">
        <v>16</v>
      </c>
      <c r="D4824" s="1" t="s">
        <v>12</v>
      </c>
      <c r="E4824" s="1" t="s">
        <v>17</v>
      </c>
      <c r="F4824">
        <v>2.8</v>
      </c>
      <c r="G4824">
        <v>2</v>
      </c>
      <c r="H4824" s="1" t="s">
        <v>23</v>
      </c>
      <c r="I4824" s="1" t="s">
        <v>1082</v>
      </c>
      <c r="J4824" s="12">
        <v>45991</v>
      </c>
      <c r="K4824">
        <v>0</v>
      </c>
      <c r="L4824" s="1">
        <f t="shared" si="300"/>
        <v>5.6</v>
      </c>
      <c r="M4824" s="1">
        <f t="shared" si="301"/>
        <v>5</v>
      </c>
      <c r="N4824" s="2">
        <f t="shared" si="302"/>
        <v>45962</v>
      </c>
      <c r="O4824" t="str">
        <f t="shared" si="303"/>
        <v>pes</v>
      </c>
    </row>
    <row r="4825" spans="1:15" x14ac:dyDescent="0.25">
      <c r="A4825">
        <v>12311</v>
      </c>
      <c r="B4825" s="11">
        <v>4011234567897</v>
      </c>
      <c r="C4825" s="1" t="s">
        <v>341</v>
      </c>
      <c r="D4825" s="1" t="s">
        <v>21</v>
      </c>
      <c r="E4825" s="1" t="s">
        <v>303</v>
      </c>
      <c r="F4825">
        <v>11.6</v>
      </c>
      <c r="G4825">
        <v>1</v>
      </c>
      <c r="H4825" s="1" t="s">
        <v>14</v>
      </c>
      <c r="I4825" s="1" t="s">
        <v>15</v>
      </c>
      <c r="J4825" s="12">
        <v>45991</v>
      </c>
      <c r="K4825">
        <v>0</v>
      </c>
      <c r="L4825" s="1">
        <f t="shared" si="300"/>
        <v>11.6</v>
      </c>
      <c r="M4825" s="1" t="str">
        <f t="shared" si="301"/>
        <v/>
      </c>
      <c r="N4825" s="2">
        <f t="shared" si="302"/>
        <v>45962</v>
      </c>
      <c r="O4825" t="str">
        <f t="shared" si="303"/>
        <v>pes</v>
      </c>
    </row>
    <row r="4826" spans="1:15" hidden="1" x14ac:dyDescent="0.25">
      <c r="A4826">
        <v>12312</v>
      </c>
      <c r="B4826" s="11">
        <v>4067890123456</v>
      </c>
      <c r="C4826" s="1" t="s">
        <v>68</v>
      </c>
      <c r="D4826" s="1" t="s">
        <v>29</v>
      </c>
      <c r="E4826" s="1" t="s">
        <v>69</v>
      </c>
      <c r="F4826">
        <v>36</v>
      </c>
      <c r="G4826">
        <v>1</v>
      </c>
      <c r="H4826" s="1" t="s">
        <v>18</v>
      </c>
      <c r="I4826" s="1" t="s">
        <v>1083</v>
      </c>
      <c r="J4826" s="12">
        <v>45991</v>
      </c>
      <c r="K4826">
        <v>0</v>
      </c>
      <c r="L4826" s="1">
        <f t="shared" si="300"/>
        <v>36</v>
      </c>
      <c r="M4826" s="1">
        <f t="shared" si="301"/>
        <v>4</v>
      </c>
      <c r="N4826" s="2">
        <f t="shared" si="302"/>
        <v>45962</v>
      </c>
      <c r="O4826" t="str">
        <f t="shared" si="303"/>
        <v>mačka</v>
      </c>
    </row>
    <row r="4827" spans="1:15" hidden="1" x14ac:dyDescent="0.25">
      <c r="A4827">
        <v>12313</v>
      </c>
      <c r="B4827" s="11">
        <v>4062345678917</v>
      </c>
      <c r="C4827" s="1" t="s">
        <v>649</v>
      </c>
      <c r="D4827" s="1" t="s">
        <v>140</v>
      </c>
      <c r="E4827" s="1" t="s">
        <v>69</v>
      </c>
      <c r="F4827">
        <v>59.64</v>
      </c>
      <c r="G4827">
        <v>1</v>
      </c>
      <c r="H4827" s="1" t="s">
        <v>14</v>
      </c>
      <c r="I4827" s="1" t="s">
        <v>15</v>
      </c>
      <c r="J4827" s="12">
        <v>45991</v>
      </c>
      <c r="K4827">
        <v>0</v>
      </c>
      <c r="L4827" s="1">
        <f t="shared" si="300"/>
        <v>59.64</v>
      </c>
      <c r="M4827" s="1" t="str">
        <f t="shared" si="301"/>
        <v/>
      </c>
      <c r="N4827" s="2">
        <f t="shared" si="302"/>
        <v>45962</v>
      </c>
      <c r="O4827" t="str">
        <f t="shared" si="303"/>
        <v>mačka</v>
      </c>
    </row>
    <row r="4828" spans="1:15" hidden="1" x14ac:dyDescent="0.25">
      <c r="A4828">
        <v>12314</v>
      </c>
      <c r="B4828" s="11">
        <v>4009012345672</v>
      </c>
      <c r="C4828" s="1" t="s">
        <v>45</v>
      </c>
      <c r="D4828" s="1" t="s">
        <v>36</v>
      </c>
      <c r="E4828" s="1" t="s">
        <v>32</v>
      </c>
      <c r="F4828">
        <v>11.2</v>
      </c>
      <c r="G4828">
        <v>1</v>
      </c>
      <c r="H4828" s="1" t="s">
        <v>33</v>
      </c>
      <c r="I4828" s="1" t="s">
        <v>113</v>
      </c>
      <c r="J4828" s="12">
        <v>45991</v>
      </c>
      <c r="K4828">
        <v>0</v>
      </c>
      <c r="L4828" s="1">
        <f t="shared" si="300"/>
        <v>11.2</v>
      </c>
      <c r="M4828" s="1">
        <f t="shared" si="301"/>
        <v>3</v>
      </c>
      <c r="N4828" s="2">
        <f t="shared" si="302"/>
        <v>45962</v>
      </c>
      <c r="O4828" t="str">
        <f t="shared" si="303"/>
        <v>mačka</v>
      </c>
    </row>
    <row r="4829" spans="1:15" x14ac:dyDescent="0.25">
      <c r="A4829">
        <v>12315</v>
      </c>
      <c r="B4829" s="11">
        <v>4020123456783</v>
      </c>
      <c r="C4829" s="1" t="s">
        <v>327</v>
      </c>
      <c r="D4829" s="1" t="s">
        <v>26</v>
      </c>
      <c r="E4829" s="1" t="s">
        <v>17</v>
      </c>
      <c r="F4829">
        <v>22</v>
      </c>
      <c r="G4829">
        <v>1</v>
      </c>
      <c r="H4829" s="1" t="s">
        <v>18</v>
      </c>
      <c r="I4829" s="1" t="s">
        <v>1084</v>
      </c>
      <c r="J4829" s="12">
        <v>45991</v>
      </c>
      <c r="K4829">
        <v>0</v>
      </c>
      <c r="L4829" s="1">
        <f t="shared" si="300"/>
        <v>22</v>
      </c>
      <c r="M4829" s="1">
        <f t="shared" si="301"/>
        <v>4</v>
      </c>
      <c r="N4829" s="2">
        <f t="shared" si="302"/>
        <v>45962</v>
      </c>
      <c r="O4829" t="str">
        <f t="shared" si="303"/>
        <v>pes</v>
      </c>
    </row>
    <row r="4830" spans="1:15" x14ac:dyDescent="0.25">
      <c r="A4830">
        <v>12316</v>
      </c>
      <c r="B4830" s="11">
        <v>8005678901239</v>
      </c>
      <c r="C4830" s="1" t="s">
        <v>668</v>
      </c>
      <c r="D4830" s="1" t="s">
        <v>26</v>
      </c>
      <c r="E4830" s="1" t="s">
        <v>308</v>
      </c>
      <c r="F4830">
        <v>20.8</v>
      </c>
      <c r="G4830">
        <v>1</v>
      </c>
      <c r="H4830" s="1" t="s">
        <v>14</v>
      </c>
      <c r="I4830" s="1" t="s">
        <v>15</v>
      </c>
      <c r="J4830" s="12">
        <v>45991</v>
      </c>
      <c r="K4830">
        <v>0</v>
      </c>
      <c r="L4830" s="1">
        <f t="shared" si="300"/>
        <v>20.8</v>
      </c>
      <c r="M4830" s="1" t="str">
        <f t="shared" si="301"/>
        <v/>
      </c>
      <c r="N4830" s="2">
        <f t="shared" si="302"/>
        <v>45962</v>
      </c>
      <c r="O4830" t="str">
        <f t="shared" si="303"/>
        <v>pes</v>
      </c>
    </row>
    <row r="4831" spans="1:15" x14ac:dyDescent="0.25">
      <c r="A4831">
        <v>12317</v>
      </c>
      <c r="B4831" s="11">
        <v>4008901234561</v>
      </c>
      <c r="C4831" s="1" t="s">
        <v>330</v>
      </c>
      <c r="D4831" s="1" t="s">
        <v>26</v>
      </c>
      <c r="E4831" s="1" t="s">
        <v>331</v>
      </c>
      <c r="F4831">
        <v>40</v>
      </c>
      <c r="G4831">
        <v>1</v>
      </c>
      <c r="H4831" s="1" t="s">
        <v>23</v>
      </c>
      <c r="I4831" s="1" t="s">
        <v>1085</v>
      </c>
      <c r="J4831" s="12">
        <v>45991</v>
      </c>
      <c r="K4831">
        <v>0</v>
      </c>
      <c r="L4831" s="1">
        <f t="shared" si="300"/>
        <v>40</v>
      </c>
      <c r="M4831" s="1">
        <f t="shared" si="301"/>
        <v>5</v>
      </c>
      <c r="N4831" s="2">
        <f t="shared" si="302"/>
        <v>45962</v>
      </c>
      <c r="O4831" t="str">
        <f t="shared" si="303"/>
        <v>pes</v>
      </c>
    </row>
    <row r="4832" spans="1:15" x14ac:dyDescent="0.25">
      <c r="A4832">
        <v>12318</v>
      </c>
      <c r="B4832" s="11">
        <v>4003344556679</v>
      </c>
      <c r="C4832" s="1" t="s">
        <v>132</v>
      </c>
      <c r="D4832" s="1" t="s">
        <v>133</v>
      </c>
      <c r="E4832" s="1" t="s">
        <v>134</v>
      </c>
      <c r="F4832">
        <v>51.64</v>
      </c>
      <c r="G4832">
        <v>1</v>
      </c>
      <c r="H4832" s="1" t="s">
        <v>23</v>
      </c>
      <c r="I4832" s="1" t="s">
        <v>1086</v>
      </c>
      <c r="J4832" s="12">
        <v>45991</v>
      </c>
      <c r="K4832">
        <v>0</v>
      </c>
      <c r="L4832" s="1">
        <f t="shared" si="300"/>
        <v>51.64</v>
      </c>
      <c r="M4832" s="1">
        <f t="shared" si="301"/>
        <v>5</v>
      </c>
      <c r="N4832" s="2">
        <f t="shared" si="302"/>
        <v>45962</v>
      </c>
      <c r="O4832" t="str">
        <f t="shared" si="303"/>
        <v>pes</v>
      </c>
    </row>
    <row r="4833" spans="1:15" hidden="1" x14ac:dyDescent="0.25">
      <c r="A4833">
        <v>12319</v>
      </c>
      <c r="B4833" s="11">
        <v>4006677889904</v>
      </c>
      <c r="C4833" s="1" t="s">
        <v>206</v>
      </c>
      <c r="D4833" s="1" t="s">
        <v>29</v>
      </c>
      <c r="E4833" s="1" t="s">
        <v>30</v>
      </c>
      <c r="F4833">
        <v>2</v>
      </c>
      <c r="G4833">
        <v>3</v>
      </c>
      <c r="H4833" s="1" t="s">
        <v>18</v>
      </c>
      <c r="I4833" s="1" t="s">
        <v>1087</v>
      </c>
      <c r="J4833" s="12">
        <v>45991</v>
      </c>
      <c r="K4833">
        <v>0</v>
      </c>
      <c r="L4833" s="1">
        <f t="shared" si="300"/>
        <v>6</v>
      </c>
      <c r="M4833" s="1">
        <f t="shared" si="301"/>
        <v>4</v>
      </c>
      <c r="N4833" s="2">
        <f t="shared" si="302"/>
        <v>45962</v>
      </c>
      <c r="O4833" t="str">
        <f t="shared" si="303"/>
        <v>mačka</v>
      </c>
    </row>
    <row r="4834" spans="1:15" x14ac:dyDescent="0.25">
      <c r="A4834">
        <v>12320</v>
      </c>
      <c r="B4834" s="11">
        <v>4013456789017</v>
      </c>
      <c r="C4834" s="1" t="s">
        <v>11</v>
      </c>
      <c r="D4834" s="1" t="s">
        <v>12</v>
      </c>
      <c r="E4834" s="1" t="s">
        <v>13</v>
      </c>
      <c r="F4834">
        <v>6</v>
      </c>
      <c r="G4834">
        <v>2</v>
      </c>
      <c r="H4834" s="1" t="s">
        <v>14</v>
      </c>
      <c r="I4834" s="1" t="s">
        <v>15</v>
      </c>
      <c r="J4834" s="12">
        <v>45991</v>
      </c>
      <c r="K4834">
        <v>0</v>
      </c>
      <c r="L4834" s="1">
        <f t="shared" si="300"/>
        <v>12</v>
      </c>
      <c r="M4834" s="1" t="str">
        <f t="shared" si="301"/>
        <v/>
      </c>
      <c r="N4834" s="2">
        <f t="shared" si="302"/>
        <v>45962</v>
      </c>
      <c r="O4834" t="str">
        <f t="shared" si="303"/>
        <v>pes</v>
      </c>
    </row>
    <row r="4835" spans="1:15" x14ac:dyDescent="0.25">
      <c r="A4835">
        <v>12321</v>
      </c>
      <c r="B4835" s="11">
        <v>4028899001126</v>
      </c>
      <c r="C4835" s="1" t="s">
        <v>16</v>
      </c>
      <c r="D4835" s="1" t="s">
        <v>12</v>
      </c>
      <c r="E4835" s="1" t="s">
        <v>17</v>
      </c>
      <c r="F4835">
        <v>2.8</v>
      </c>
      <c r="G4835">
        <v>3</v>
      </c>
      <c r="H4835" s="1" t="s">
        <v>23</v>
      </c>
      <c r="I4835" s="1" t="s">
        <v>1088</v>
      </c>
      <c r="J4835" s="12">
        <v>45991</v>
      </c>
      <c r="K4835">
        <v>0</v>
      </c>
      <c r="L4835" s="1">
        <f t="shared" si="300"/>
        <v>8.3999999999999986</v>
      </c>
      <c r="M4835" s="1">
        <f t="shared" si="301"/>
        <v>5</v>
      </c>
      <c r="N4835" s="2">
        <f t="shared" si="302"/>
        <v>45962</v>
      </c>
      <c r="O4835" t="str">
        <f t="shared" si="303"/>
        <v>pes</v>
      </c>
    </row>
    <row r="4836" spans="1:15" x14ac:dyDescent="0.25">
      <c r="A4836">
        <v>12322</v>
      </c>
      <c r="B4836" s="11">
        <v>4061011223346</v>
      </c>
      <c r="C4836" s="1" t="s">
        <v>25</v>
      </c>
      <c r="D4836" s="1" t="s">
        <v>26</v>
      </c>
      <c r="E4836" s="1" t="s">
        <v>27</v>
      </c>
      <c r="F4836">
        <v>19.600000000000001</v>
      </c>
      <c r="G4836">
        <v>1</v>
      </c>
      <c r="H4836" s="1" t="s">
        <v>18</v>
      </c>
      <c r="I4836" s="1" t="s">
        <v>1089</v>
      </c>
      <c r="J4836" s="12">
        <v>45991</v>
      </c>
      <c r="K4836">
        <v>0</v>
      </c>
      <c r="L4836" s="1">
        <f t="shared" si="300"/>
        <v>19.600000000000001</v>
      </c>
      <c r="M4836" s="1">
        <f t="shared" si="301"/>
        <v>4</v>
      </c>
      <c r="N4836" s="2">
        <f t="shared" si="302"/>
        <v>45962</v>
      </c>
      <c r="O4836" t="str">
        <f t="shared" si="303"/>
        <v>pes</v>
      </c>
    </row>
    <row r="4837" spans="1:15" hidden="1" x14ac:dyDescent="0.25">
      <c r="A4837">
        <v>12323</v>
      </c>
      <c r="B4837" s="11">
        <v>4007788990022</v>
      </c>
      <c r="C4837" s="1" t="s">
        <v>663</v>
      </c>
      <c r="D4837" s="1" t="s">
        <v>140</v>
      </c>
      <c r="E4837" s="1" t="s">
        <v>141</v>
      </c>
      <c r="F4837">
        <v>59.64</v>
      </c>
      <c r="G4837">
        <v>1</v>
      </c>
      <c r="H4837" s="1" t="s">
        <v>14</v>
      </c>
      <c r="I4837" s="1" t="s">
        <v>15</v>
      </c>
      <c r="J4837" s="12">
        <v>45991</v>
      </c>
      <c r="K4837">
        <v>0</v>
      </c>
      <c r="L4837" s="1">
        <f t="shared" si="300"/>
        <v>59.64</v>
      </c>
      <c r="M4837" s="1" t="str">
        <f t="shared" si="301"/>
        <v/>
      </c>
      <c r="N4837" s="2">
        <f t="shared" si="302"/>
        <v>45962</v>
      </c>
      <c r="O4837" t="str">
        <f t="shared" si="303"/>
        <v>mačka</v>
      </c>
    </row>
    <row r="4838" spans="1:15" hidden="1" x14ac:dyDescent="0.25">
      <c r="A4838">
        <v>12324</v>
      </c>
      <c r="B4838" s="11">
        <v>8597890123456</v>
      </c>
      <c r="C4838" s="1" t="s">
        <v>149</v>
      </c>
      <c r="D4838" s="1" t="s">
        <v>144</v>
      </c>
      <c r="E4838" s="1" t="s">
        <v>30</v>
      </c>
      <c r="F4838">
        <v>18.8</v>
      </c>
      <c r="G4838">
        <v>1</v>
      </c>
      <c r="H4838" s="1" t="s">
        <v>23</v>
      </c>
      <c r="I4838" s="1" t="s">
        <v>1090</v>
      </c>
      <c r="J4838" s="12">
        <v>45991</v>
      </c>
      <c r="K4838">
        <v>0</v>
      </c>
      <c r="L4838" s="1">
        <f t="shared" si="300"/>
        <v>18.8</v>
      </c>
      <c r="M4838" s="1">
        <f t="shared" si="301"/>
        <v>5</v>
      </c>
      <c r="N4838" s="2">
        <f t="shared" si="302"/>
        <v>45962</v>
      </c>
      <c r="O4838" t="str">
        <f t="shared" si="303"/>
        <v>mačka</v>
      </c>
    </row>
    <row r="4839" spans="1:15" hidden="1" x14ac:dyDescent="0.25">
      <c r="A4839">
        <v>12325</v>
      </c>
      <c r="B4839" s="11">
        <v>4069012345682</v>
      </c>
      <c r="C4839" s="1" t="s">
        <v>143</v>
      </c>
      <c r="D4839" s="1" t="s">
        <v>144</v>
      </c>
      <c r="E4839" s="1" t="s">
        <v>30</v>
      </c>
      <c r="F4839">
        <v>26</v>
      </c>
      <c r="G4839">
        <v>1</v>
      </c>
      <c r="H4839" s="1" t="s">
        <v>18</v>
      </c>
      <c r="I4839" s="1" t="s">
        <v>1091</v>
      </c>
      <c r="J4839" s="12">
        <v>45991</v>
      </c>
      <c r="K4839">
        <v>0</v>
      </c>
      <c r="L4839" s="1">
        <f t="shared" si="300"/>
        <v>26</v>
      </c>
      <c r="M4839" s="1">
        <f t="shared" si="301"/>
        <v>4</v>
      </c>
      <c r="N4839" s="2">
        <f t="shared" si="302"/>
        <v>45962</v>
      </c>
      <c r="O4839" t="str">
        <f t="shared" si="303"/>
        <v>mačka</v>
      </c>
    </row>
    <row r="4840" spans="1:15" x14ac:dyDescent="0.25">
      <c r="A4840">
        <v>12326</v>
      </c>
      <c r="B4840" s="11">
        <v>4020123456783</v>
      </c>
      <c r="C4840" s="1" t="s">
        <v>327</v>
      </c>
      <c r="D4840" s="1" t="s">
        <v>26</v>
      </c>
      <c r="E4840" s="1" t="s">
        <v>17</v>
      </c>
      <c r="F4840">
        <v>22</v>
      </c>
      <c r="G4840">
        <v>1</v>
      </c>
      <c r="H4840" s="1" t="s">
        <v>14</v>
      </c>
      <c r="I4840" s="1" t="s">
        <v>15</v>
      </c>
      <c r="J4840" s="12">
        <v>45991</v>
      </c>
      <c r="K4840">
        <v>0</v>
      </c>
      <c r="L4840" s="1">
        <f t="shared" si="300"/>
        <v>22</v>
      </c>
      <c r="M4840" s="1" t="str">
        <f t="shared" si="301"/>
        <v/>
      </c>
      <c r="N4840" s="2">
        <f t="shared" si="302"/>
        <v>45962</v>
      </c>
      <c r="O4840" t="str">
        <f t="shared" si="303"/>
        <v>pes</v>
      </c>
    </row>
    <row r="4841" spans="1:15" x14ac:dyDescent="0.25">
      <c r="A4841">
        <v>12327</v>
      </c>
      <c r="B4841" s="11">
        <v>4017890123450</v>
      </c>
      <c r="C4841" s="1" t="s">
        <v>65</v>
      </c>
      <c r="D4841" s="1" t="s">
        <v>39</v>
      </c>
      <c r="E4841" s="1" t="s">
        <v>22</v>
      </c>
      <c r="F4841">
        <v>7.6</v>
      </c>
      <c r="G4841">
        <v>1</v>
      </c>
      <c r="H4841" s="1" t="s">
        <v>23</v>
      </c>
      <c r="I4841" s="1" t="s">
        <v>1092</v>
      </c>
      <c r="J4841" s="12">
        <v>45991</v>
      </c>
      <c r="K4841">
        <v>0</v>
      </c>
      <c r="L4841" s="1">
        <f t="shared" si="300"/>
        <v>7.6</v>
      </c>
      <c r="M4841" s="1">
        <f t="shared" si="301"/>
        <v>5</v>
      </c>
      <c r="N4841" s="2">
        <f t="shared" si="302"/>
        <v>45962</v>
      </c>
      <c r="O4841" t="str">
        <f t="shared" si="303"/>
        <v>pes</v>
      </c>
    </row>
    <row r="4842" spans="1:15" x14ac:dyDescent="0.25">
      <c r="A4842">
        <v>12328</v>
      </c>
      <c r="B4842" s="11">
        <v>4040123456795</v>
      </c>
      <c r="C4842" s="1" t="s">
        <v>20</v>
      </c>
      <c r="D4842" s="1" t="s">
        <v>21</v>
      </c>
      <c r="E4842" s="1" t="s">
        <v>22</v>
      </c>
      <c r="F4842">
        <v>8.8000000000000007</v>
      </c>
      <c r="G4842">
        <v>1</v>
      </c>
      <c r="H4842" s="1" t="s">
        <v>18</v>
      </c>
      <c r="I4842" s="1" t="s">
        <v>1093</v>
      </c>
      <c r="J4842" s="12">
        <v>45991</v>
      </c>
      <c r="K4842">
        <v>0</v>
      </c>
      <c r="L4842" s="1">
        <f t="shared" si="300"/>
        <v>8.8000000000000007</v>
      </c>
      <c r="M4842" s="1">
        <f t="shared" si="301"/>
        <v>4</v>
      </c>
      <c r="N4842" s="2">
        <f t="shared" si="302"/>
        <v>45962</v>
      </c>
      <c r="O4842" t="str">
        <f t="shared" si="303"/>
        <v>pes</v>
      </c>
    </row>
    <row r="4843" spans="1:15" hidden="1" x14ac:dyDescent="0.25">
      <c r="A4843">
        <v>12329</v>
      </c>
      <c r="B4843" s="11">
        <v>4002233445566</v>
      </c>
      <c r="C4843" s="1" t="s">
        <v>268</v>
      </c>
      <c r="D4843" s="1" t="s">
        <v>140</v>
      </c>
      <c r="E4843" s="1" t="s">
        <v>30</v>
      </c>
      <c r="F4843">
        <v>20</v>
      </c>
      <c r="G4843">
        <v>1</v>
      </c>
      <c r="H4843" s="1" t="s">
        <v>14</v>
      </c>
      <c r="I4843" s="1" t="s">
        <v>15</v>
      </c>
      <c r="J4843" s="12">
        <v>45991</v>
      </c>
      <c r="K4843">
        <v>0</v>
      </c>
      <c r="L4843" s="1">
        <f t="shared" si="300"/>
        <v>20</v>
      </c>
      <c r="M4843" s="1" t="str">
        <f t="shared" si="301"/>
        <v/>
      </c>
      <c r="N4843" s="2">
        <f t="shared" si="302"/>
        <v>45962</v>
      </c>
      <c r="O4843" t="str">
        <f t="shared" si="303"/>
        <v>mačka</v>
      </c>
    </row>
    <row r="4844" spans="1:15" x14ac:dyDescent="0.25">
      <c r="A4844">
        <v>12330</v>
      </c>
      <c r="B4844" s="11">
        <v>8592233445568</v>
      </c>
      <c r="C4844" s="1" t="s">
        <v>138</v>
      </c>
      <c r="D4844" s="1" t="s">
        <v>133</v>
      </c>
      <c r="E4844" s="1" t="s">
        <v>17</v>
      </c>
      <c r="F4844">
        <v>79.64</v>
      </c>
      <c r="G4844">
        <v>1</v>
      </c>
      <c r="H4844" s="1" t="s">
        <v>23</v>
      </c>
      <c r="I4844" s="1" t="s">
        <v>1094</v>
      </c>
      <c r="J4844" s="12">
        <v>45991</v>
      </c>
      <c r="K4844">
        <v>0</v>
      </c>
      <c r="L4844" s="1">
        <f t="shared" si="300"/>
        <v>79.64</v>
      </c>
      <c r="M4844" s="1">
        <f t="shared" si="301"/>
        <v>5</v>
      </c>
      <c r="N4844" s="2">
        <f t="shared" si="302"/>
        <v>45962</v>
      </c>
      <c r="O4844" t="str">
        <f t="shared" si="303"/>
        <v>pes</v>
      </c>
    </row>
    <row r="4845" spans="1:15" hidden="1" x14ac:dyDescent="0.25">
      <c r="A4845">
        <v>12331</v>
      </c>
      <c r="B4845" s="11">
        <v>4014455667790</v>
      </c>
      <c r="C4845" s="1" t="s">
        <v>355</v>
      </c>
      <c r="D4845" s="1" t="s">
        <v>356</v>
      </c>
      <c r="E4845" s="1" t="s">
        <v>303</v>
      </c>
      <c r="F4845">
        <v>37.6</v>
      </c>
      <c r="G4845">
        <v>1</v>
      </c>
      <c r="H4845" s="1" t="s">
        <v>14</v>
      </c>
      <c r="I4845" s="1" t="s">
        <v>15</v>
      </c>
      <c r="J4845" s="12">
        <v>45991</v>
      </c>
      <c r="K4845">
        <v>0</v>
      </c>
      <c r="L4845" s="1">
        <f t="shared" si="300"/>
        <v>37.6</v>
      </c>
      <c r="M4845" s="1" t="str">
        <f t="shared" si="301"/>
        <v/>
      </c>
      <c r="N4845" s="2">
        <f t="shared" si="302"/>
        <v>45962</v>
      </c>
      <c r="O4845" t="str">
        <f t="shared" si="303"/>
        <v>iné</v>
      </c>
    </row>
    <row r="4846" spans="1:15" hidden="1" x14ac:dyDescent="0.25">
      <c r="A4846">
        <v>12332</v>
      </c>
      <c r="B4846" s="11">
        <v>4029900112244</v>
      </c>
      <c r="C4846" s="1" t="s">
        <v>655</v>
      </c>
      <c r="D4846" s="1" t="s">
        <v>36</v>
      </c>
      <c r="E4846" s="1" t="s">
        <v>37</v>
      </c>
      <c r="F4846">
        <v>13.6</v>
      </c>
      <c r="G4846">
        <v>1</v>
      </c>
      <c r="H4846" s="1" t="s">
        <v>23</v>
      </c>
      <c r="I4846" s="1" t="s">
        <v>1095</v>
      </c>
      <c r="J4846" s="12">
        <v>45991</v>
      </c>
      <c r="K4846">
        <v>0</v>
      </c>
      <c r="L4846" s="1">
        <f t="shared" si="300"/>
        <v>13.6</v>
      </c>
      <c r="M4846" s="1">
        <f t="shared" si="301"/>
        <v>5</v>
      </c>
      <c r="N4846" s="2">
        <f t="shared" si="302"/>
        <v>45962</v>
      </c>
      <c r="O4846" t="str">
        <f t="shared" si="303"/>
        <v>mačka</v>
      </c>
    </row>
    <row r="4847" spans="1:15" hidden="1" x14ac:dyDescent="0.25">
      <c r="A4847">
        <v>12333</v>
      </c>
      <c r="B4847" s="11">
        <v>8593456789012</v>
      </c>
      <c r="C4847" s="1" t="s">
        <v>28</v>
      </c>
      <c r="D4847" s="1" t="s">
        <v>29</v>
      </c>
      <c r="E4847" s="1" t="s">
        <v>30</v>
      </c>
      <c r="F4847">
        <v>42</v>
      </c>
      <c r="G4847">
        <v>1</v>
      </c>
      <c r="H4847" s="1" t="s">
        <v>18</v>
      </c>
      <c r="I4847" s="1" t="s">
        <v>1096</v>
      </c>
      <c r="J4847" s="12">
        <v>45991</v>
      </c>
      <c r="K4847">
        <v>0</v>
      </c>
      <c r="L4847" s="1">
        <f t="shared" si="300"/>
        <v>42</v>
      </c>
      <c r="M4847" s="1">
        <f t="shared" si="301"/>
        <v>4</v>
      </c>
      <c r="N4847" s="2">
        <f t="shared" si="302"/>
        <v>45962</v>
      </c>
      <c r="O4847" t="str">
        <f t="shared" si="303"/>
        <v>mačka</v>
      </c>
    </row>
    <row r="4848" spans="1:15" x14ac:dyDescent="0.25">
      <c r="A4848">
        <v>12334</v>
      </c>
      <c r="B4848" s="11">
        <v>4063456789014</v>
      </c>
      <c r="C4848" s="1" t="s">
        <v>60</v>
      </c>
      <c r="D4848" s="1" t="s">
        <v>12</v>
      </c>
      <c r="E4848" s="1" t="s">
        <v>61</v>
      </c>
      <c r="F4848">
        <v>36</v>
      </c>
      <c r="G4848">
        <v>1</v>
      </c>
      <c r="H4848" s="1" t="s">
        <v>14</v>
      </c>
      <c r="I4848" s="1" t="s">
        <v>15</v>
      </c>
      <c r="J4848" s="12">
        <v>45991</v>
      </c>
      <c r="K4848">
        <v>0</v>
      </c>
      <c r="L4848" s="1">
        <f t="shared" si="300"/>
        <v>36</v>
      </c>
      <c r="M4848" s="1" t="str">
        <f t="shared" si="301"/>
        <v/>
      </c>
      <c r="N4848" s="2">
        <f t="shared" si="302"/>
        <v>45962</v>
      </c>
      <c r="O4848" t="str">
        <f t="shared" si="303"/>
        <v>pes</v>
      </c>
    </row>
    <row r="4849" spans="1:15" hidden="1" x14ac:dyDescent="0.25">
      <c r="A4849">
        <v>12335</v>
      </c>
      <c r="B4849" s="11">
        <v>4019876501234</v>
      </c>
      <c r="C4849" s="1" t="s">
        <v>674</v>
      </c>
      <c r="D4849" s="1" t="s">
        <v>29</v>
      </c>
      <c r="E4849" s="1" t="s">
        <v>37</v>
      </c>
      <c r="F4849">
        <v>1.84</v>
      </c>
      <c r="G4849">
        <v>4</v>
      </c>
      <c r="H4849" s="1" t="s">
        <v>23</v>
      </c>
      <c r="I4849" s="1" t="s">
        <v>1097</v>
      </c>
      <c r="J4849" s="12">
        <v>45991</v>
      </c>
      <c r="K4849">
        <v>0</v>
      </c>
      <c r="L4849" s="1">
        <f t="shared" si="300"/>
        <v>7.36</v>
      </c>
      <c r="M4849" s="1">
        <f t="shared" si="301"/>
        <v>5</v>
      </c>
      <c r="N4849" s="2">
        <f t="shared" si="302"/>
        <v>45962</v>
      </c>
      <c r="O4849" t="str">
        <f t="shared" si="303"/>
        <v>mačka</v>
      </c>
    </row>
    <row r="4850" spans="1:15" hidden="1" x14ac:dyDescent="0.25">
      <c r="A4850">
        <v>12336</v>
      </c>
      <c r="B4850" s="11">
        <v>4009012345672</v>
      </c>
      <c r="C4850" s="1" t="s">
        <v>45</v>
      </c>
      <c r="D4850" s="1" t="s">
        <v>36</v>
      </c>
      <c r="E4850" s="1" t="s">
        <v>32</v>
      </c>
      <c r="F4850">
        <v>11.2</v>
      </c>
      <c r="G4850">
        <v>1</v>
      </c>
      <c r="H4850" s="1" t="s">
        <v>14</v>
      </c>
      <c r="I4850" s="1" t="s">
        <v>15</v>
      </c>
      <c r="J4850" s="12">
        <v>45991</v>
      </c>
      <c r="K4850">
        <v>0</v>
      </c>
      <c r="L4850" s="1">
        <f t="shared" si="300"/>
        <v>11.2</v>
      </c>
      <c r="M4850" s="1" t="str">
        <f t="shared" si="301"/>
        <v/>
      </c>
      <c r="N4850" s="2">
        <f t="shared" si="302"/>
        <v>45962</v>
      </c>
      <c r="O4850" t="str">
        <f t="shared" si="303"/>
        <v>mačka</v>
      </c>
    </row>
    <row r="4851" spans="1:15" hidden="1" x14ac:dyDescent="0.25">
      <c r="A4851">
        <v>12337</v>
      </c>
      <c r="B4851" s="11">
        <v>4043344556676</v>
      </c>
      <c r="C4851" s="1" t="s">
        <v>316</v>
      </c>
      <c r="D4851" s="1" t="s">
        <v>317</v>
      </c>
      <c r="E4851" s="1" t="s">
        <v>58</v>
      </c>
      <c r="F4851">
        <v>10</v>
      </c>
      <c r="G4851">
        <v>1</v>
      </c>
      <c r="H4851" s="1" t="s">
        <v>18</v>
      </c>
      <c r="I4851" s="1" t="s">
        <v>1098</v>
      </c>
      <c r="J4851" s="12">
        <v>45991</v>
      </c>
      <c r="K4851">
        <v>0</v>
      </c>
      <c r="L4851" s="1">
        <f t="shared" si="300"/>
        <v>10</v>
      </c>
      <c r="M4851" s="1">
        <f t="shared" si="301"/>
        <v>4</v>
      </c>
      <c r="N4851" s="2">
        <f t="shared" si="302"/>
        <v>45962</v>
      </c>
      <c r="O4851" t="str">
        <f t="shared" si="303"/>
        <v>mačka</v>
      </c>
    </row>
    <row r="4852" spans="1:15" x14ac:dyDescent="0.25">
      <c r="A4852">
        <v>12338</v>
      </c>
      <c r="B4852" s="11">
        <v>4022345678908</v>
      </c>
      <c r="C4852" s="1" t="s">
        <v>363</v>
      </c>
      <c r="D4852" s="1" t="s">
        <v>21</v>
      </c>
      <c r="E4852" s="1" t="s">
        <v>69</v>
      </c>
      <c r="F4852">
        <v>10</v>
      </c>
      <c r="G4852">
        <v>1</v>
      </c>
      <c r="H4852" s="1" t="s">
        <v>14</v>
      </c>
      <c r="I4852" s="1" t="s">
        <v>15</v>
      </c>
      <c r="J4852" s="12">
        <v>45991</v>
      </c>
      <c r="K4852">
        <v>0</v>
      </c>
      <c r="L4852" s="1">
        <f t="shared" si="300"/>
        <v>10</v>
      </c>
      <c r="M4852" s="1" t="str">
        <f t="shared" si="301"/>
        <v/>
      </c>
      <c r="N4852" s="2">
        <f t="shared" si="302"/>
        <v>45962</v>
      </c>
      <c r="O4852" t="str">
        <f t="shared" si="303"/>
        <v>pes</v>
      </c>
    </row>
    <row r="4853" spans="1:15" hidden="1" x14ac:dyDescent="0.25">
      <c r="A4853">
        <v>12339</v>
      </c>
      <c r="B4853" s="11">
        <v>4050123456794</v>
      </c>
      <c r="C4853" s="1" t="s">
        <v>41</v>
      </c>
      <c r="D4853" s="1" t="s">
        <v>36</v>
      </c>
      <c r="E4853" s="1" t="s">
        <v>42</v>
      </c>
      <c r="F4853">
        <v>7.2</v>
      </c>
      <c r="G4853">
        <v>1</v>
      </c>
      <c r="H4853" s="1" t="s">
        <v>23</v>
      </c>
      <c r="I4853" s="1" t="s">
        <v>1099</v>
      </c>
      <c r="J4853" s="12">
        <v>45991</v>
      </c>
      <c r="K4853">
        <v>0</v>
      </c>
      <c r="L4853" s="1">
        <f t="shared" si="300"/>
        <v>7.2</v>
      </c>
      <c r="M4853" s="1">
        <f t="shared" si="301"/>
        <v>5</v>
      </c>
      <c r="N4853" s="2">
        <f t="shared" si="302"/>
        <v>45962</v>
      </c>
      <c r="O4853" t="str">
        <f t="shared" si="303"/>
        <v>mačka</v>
      </c>
    </row>
    <row r="4854" spans="1:15" hidden="1" x14ac:dyDescent="0.25">
      <c r="A4854">
        <v>12340</v>
      </c>
      <c r="B4854" s="11">
        <v>4066677889903</v>
      </c>
      <c r="C4854" s="1" t="s">
        <v>353</v>
      </c>
      <c r="D4854" s="1" t="s">
        <v>317</v>
      </c>
      <c r="E4854" s="1" t="s">
        <v>42</v>
      </c>
      <c r="F4854">
        <v>59.64</v>
      </c>
      <c r="G4854">
        <v>1</v>
      </c>
      <c r="H4854" s="1" t="s">
        <v>14</v>
      </c>
      <c r="I4854" s="1" t="s">
        <v>15</v>
      </c>
      <c r="J4854" s="12">
        <v>45991</v>
      </c>
      <c r="K4854">
        <v>0</v>
      </c>
      <c r="L4854" s="1">
        <f t="shared" si="300"/>
        <v>59.64</v>
      </c>
      <c r="M4854" s="1" t="str">
        <f t="shared" si="301"/>
        <v/>
      </c>
      <c r="N4854" s="2">
        <f t="shared" si="302"/>
        <v>45962</v>
      </c>
      <c r="O4854" t="str">
        <f t="shared" si="303"/>
        <v>mačka</v>
      </c>
    </row>
    <row r="4855" spans="1:15" hidden="1" x14ac:dyDescent="0.25">
      <c r="A4855">
        <v>12341</v>
      </c>
      <c r="B4855" s="11">
        <v>4024455667788</v>
      </c>
      <c r="C4855" s="1" t="s">
        <v>657</v>
      </c>
      <c r="D4855" s="1" t="s">
        <v>140</v>
      </c>
      <c r="E4855" s="1" t="s">
        <v>42</v>
      </c>
      <c r="F4855">
        <v>75.64</v>
      </c>
      <c r="G4855">
        <v>1</v>
      </c>
      <c r="H4855" s="1" t="s">
        <v>18</v>
      </c>
      <c r="I4855" s="1" t="s">
        <v>1100</v>
      </c>
      <c r="J4855" s="12">
        <v>45991</v>
      </c>
      <c r="K4855">
        <v>0</v>
      </c>
      <c r="L4855" s="1">
        <f t="shared" si="300"/>
        <v>75.64</v>
      </c>
      <c r="M4855" s="1">
        <f t="shared" si="301"/>
        <v>4</v>
      </c>
      <c r="N4855" s="2">
        <f t="shared" si="302"/>
        <v>45962</v>
      </c>
      <c r="O4855" t="str">
        <f t="shared" si="303"/>
        <v>mačka</v>
      </c>
    </row>
    <row r="4856" spans="1:15" hidden="1" x14ac:dyDescent="0.25">
      <c r="A4856">
        <v>12342</v>
      </c>
      <c r="B4856" s="11">
        <v>4042233445567</v>
      </c>
      <c r="C4856" s="1" t="s">
        <v>637</v>
      </c>
      <c r="D4856" s="1" t="s">
        <v>140</v>
      </c>
      <c r="E4856" s="1" t="s">
        <v>141</v>
      </c>
      <c r="F4856">
        <v>51.64</v>
      </c>
      <c r="G4856">
        <v>1</v>
      </c>
      <c r="H4856" s="1" t="s">
        <v>23</v>
      </c>
      <c r="I4856" s="1" t="s">
        <v>1101</v>
      </c>
      <c r="J4856" s="12">
        <v>45991</v>
      </c>
      <c r="K4856">
        <v>0</v>
      </c>
      <c r="L4856" s="1">
        <f t="shared" si="300"/>
        <v>51.64</v>
      </c>
      <c r="M4856" s="1">
        <f t="shared" si="301"/>
        <v>5</v>
      </c>
      <c r="N4856" s="2">
        <f t="shared" si="302"/>
        <v>45962</v>
      </c>
      <c r="O4856" t="str">
        <f t="shared" si="303"/>
        <v>mačka</v>
      </c>
    </row>
    <row r="4857" spans="1:15" hidden="1" x14ac:dyDescent="0.25">
      <c r="A4857">
        <v>12343</v>
      </c>
      <c r="B4857" s="11">
        <v>4017788990015</v>
      </c>
      <c r="C4857" s="1" t="s">
        <v>651</v>
      </c>
      <c r="D4857" s="1" t="s">
        <v>29</v>
      </c>
      <c r="E4857" s="1" t="s">
        <v>32</v>
      </c>
      <c r="F4857">
        <v>4.8</v>
      </c>
      <c r="G4857">
        <v>2</v>
      </c>
      <c r="H4857" s="1" t="s">
        <v>14</v>
      </c>
      <c r="I4857" s="1" t="s">
        <v>15</v>
      </c>
      <c r="J4857" s="12">
        <v>45991</v>
      </c>
      <c r="K4857">
        <v>0</v>
      </c>
      <c r="L4857" s="1">
        <f t="shared" si="300"/>
        <v>9.6</v>
      </c>
      <c r="M4857" s="1" t="str">
        <f t="shared" si="301"/>
        <v/>
      </c>
      <c r="N4857" s="2">
        <f t="shared" si="302"/>
        <v>45962</v>
      </c>
      <c r="O4857" t="str">
        <f t="shared" si="303"/>
        <v>mačka</v>
      </c>
    </row>
    <row r="4858" spans="1:15" hidden="1" x14ac:dyDescent="0.25">
      <c r="A4858">
        <v>12344</v>
      </c>
      <c r="B4858" s="11">
        <v>4025566778891</v>
      </c>
      <c r="C4858" s="1" t="s">
        <v>320</v>
      </c>
      <c r="D4858" s="1" t="s">
        <v>317</v>
      </c>
      <c r="E4858" s="1" t="s">
        <v>30</v>
      </c>
      <c r="F4858">
        <v>51.64</v>
      </c>
      <c r="G4858">
        <v>1</v>
      </c>
      <c r="H4858" s="1" t="s">
        <v>23</v>
      </c>
      <c r="I4858" s="1" t="s">
        <v>1102</v>
      </c>
      <c r="J4858" s="12">
        <v>45991</v>
      </c>
      <c r="K4858">
        <v>0</v>
      </c>
      <c r="L4858" s="1">
        <f t="shared" si="300"/>
        <v>51.64</v>
      </c>
      <c r="M4858" s="1">
        <f t="shared" si="301"/>
        <v>5</v>
      </c>
      <c r="N4858" s="2">
        <f t="shared" si="302"/>
        <v>45962</v>
      </c>
      <c r="O4858" t="str">
        <f t="shared" si="303"/>
        <v>mačka</v>
      </c>
    </row>
    <row r="4859" spans="1:15" hidden="1" x14ac:dyDescent="0.25">
      <c r="A4859">
        <v>12345</v>
      </c>
      <c r="B4859" s="11">
        <v>4056789012345</v>
      </c>
      <c r="C4859" s="1" t="s">
        <v>47</v>
      </c>
      <c r="D4859" s="1" t="s">
        <v>29</v>
      </c>
      <c r="E4859" s="1" t="s">
        <v>37</v>
      </c>
      <c r="F4859">
        <v>2.4</v>
      </c>
      <c r="G4859">
        <v>1</v>
      </c>
      <c r="H4859" s="1" t="s">
        <v>14</v>
      </c>
      <c r="I4859" s="1" t="s">
        <v>15</v>
      </c>
      <c r="J4859" s="12">
        <v>45991</v>
      </c>
      <c r="K4859">
        <v>0</v>
      </c>
      <c r="L4859" s="1">
        <f t="shared" si="300"/>
        <v>2.4</v>
      </c>
      <c r="M4859" s="1" t="str">
        <f t="shared" si="301"/>
        <v/>
      </c>
      <c r="N4859" s="2">
        <f t="shared" si="302"/>
        <v>45962</v>
      </c>
      <c r="O4859" t="str">
        <f t="shared" si="303"/>
        <v>mačka</v>
      </c>
    </row>
    <row r="4860" spans="1:15" hidden="1" x14ac:dyDescent="0.25">
      <c r="A4860">
        <v>12346</v>
      </c>
      <c r="B4860" s="11">
        <v>4050123456794</v>
      </c>
      <c r="C4860" s="1" t="s">
        <v>41</v>
      </c>
      <c r="D4860" s="1" t="s">
        <v>36</v>
      </c>
      <c r="E4860" s="1" t="s">
        <v>42</v>
      </c>
      <c r="F4860">
        <v>7.2</v>
      </c>
      <c r="G4860">
        <v>1</v>
      </c>
      <c r="H4860" s="1" t="s">
        <v>18</v>
      </c>
      <c r="I4860" s="1" t="s">
        <v>1103</v>
      </c>
      <c r="J4860" s="12">
        <v>45991</v>
      </c>
      <c r="K4860">
        <v>0</v>
      </c>
      <c r="L4860" s="1">
        <f t="shared" si="300"/>
        <v>7.2</v>
      </c>
      <c r="M4860" s="1">
        <f t="shared" si="301"/>
        <v>4</v>
      </c>
      <c r="N4860" s="2">
        <f t="shared" si="302"/>
        <v>45962</v>
      </c>
      <c r="O4860" t="str">
        <f t="shared" si="303"/>
        <v>mačka</v>
      </c>
    </row>
    <row r="4861" spans="1:15" hidden="1" x14ac:dyDescent="0.25">
      <c r="A4861">
        <v>12347</v>
      </c>
      <c r="B4861" s="11">
        <v>4007788990022</v>
      </c>
      <c r="C4861" s="1" t="s">
        <v>663</v>
      </c>
      <c r="D4861" s="1" t="s">
        <v>140</v>
      </c>
      <c r="E4861" s="1" t="s">
        <v>141</v>
      </c>
      <c r="F4861">
        <v>59.64</v>
      </c>
      <c r="G4861">
        <v>1</v>
      </c>
      <c r="H4861" s="1" t="s">
        <v>14</v>
      </c>
      <c r="I4861" s="1" t="s">
        <v>15</v>
      </c>
      <c r="J4861" s="12">
        <v>45991</v>
      </c>
      <c r="K4861">
        <v>0</v>
      </c>
      <c r="L4861" s="1">
        <f t="shared" si="300"/>
        <v>59.64</v>
      </c>
      <c r="M4861" s="1" t="str">
        <f t="shared" si="301"/>
        <v/>
      </c>
      <c r="N4861" s="2">
        <f t="shared" si="302"/>
        <v>45962</v>
      </c>
      <c r="O4861" t="str">
        <f t="shared" si="303"/>
        <v>mačka</v>
      </c>
    </row>
    <row r="4862" spans="1:15" hidden="1" x14ac:dyDescent="0.25">
      <c r="A4862">
        <v>12348</v>
      </c>
      <c r="B4862" s="11">
        <v>4055566778892</v>
      </c>
      <c r="C4862" s="1" t="s">
        <v>652</v>
      </c>
      <c r="D4862" s="1" t="s">
        <v>317</v>
      </c>
      <c r="E4862" s="1" t="s">
        <v>69</v>
      </c>
      <c r="F4862">
        <v>8</v>
      </c>
      <c r="G4862">
        <v>1</v>
      </c>
      <c r="H4862" s="1" t="s">
        <v>23</v>
      </c>
      <c r="I4862" s="1" t="s">
        <v>1104</v>
      </c>
      <c r="J4862" s="12">
        <v>45991</v>
      </c>
      <c r="K4862">
        <v>0</v>
      </c>
      <c r="L4862" s="1">
        <f t="shared" si="300"/>
        <v>8</v>
      </c>
      <c r="M4862" s="1">
        <f t="shared" si="301"/>
        <v>5</v>
      </c>
      <c r="N4862" s="2">
        <f t="shared" si="302"/>
        <v>45962</v>
      </c>
      <c r="O4862" t="str">
        <f t="shared" si="303"/>
        <v>mačka</v>
      </c>
    </row>
    <row r="4863" spans="1:15" x14ac:dyDescent="0.25">
      <c r="A4863">
        <v>12349</v>
      </c>
      <c r="B4863" s="11">
        <v>4063456789014</v>
      </c>
      <c r="C4863" s="1" t="s">
        <v>60</v>
      </c>
      <c r="D4863" s="1" t="s">
        <v>12</v>
      </c>
      <c r="E4863" s="1" t="s">
        <v>61</v>
      </c>
      <c r="F4863">
        <v>36</v>
      </c>
      <c r="G4863">
        <v>1</v>
      </c>
      <c r="H4863" s="1" t="s">
        <v>18</v>
      </c>
      <c r="I4863" s="1" t="s">
        <v>1105</v>
      </c>
      <c r="J4863" s="12">
        <v>45991</v>
      </c>
      <c r="K4863">
        <v>0</v>
      </c>
      <c r="L4863" s="1">
        <f t="shared" si="300"/>
        <v>36</v>
      </c>
      <c r="M4863" s="1">
        <f t="shared" si="301"/>
        <v>4</v>
      </c>
      <c r="N4863" s="2">
        <f t="shared" si="302"/>
        <v>45962</v>
      </c>
      <c r="O4863" t="str">
        <f t="shared" si="303"/>
        <v>pes</v>
      </c>
    </row>
    <row r="4864" spans="1:15" hidden="1" x14ac:dyDescent="0.25">
      <c r="A4864">
        <v>12350</v>
      </c>
      <c r="B4864" s="11">
        <v>4062345678917</v>
      </c>
      <c r="C4864" s="1" t="s">
        <v>649</v>
      </c>
      <c r="D4864" s="1" t="s">
        <v>140</v>
      </c>
      <c r="E4864" s="1" t="s">
        <v>69</v>
      </c>
      <c r="F4864">
        <v>59.64</v>
      </c>
      <c r="G4864">
        <v>1</v>
      </c>
      <c r="H4864" s="1" t="s">
        <v>14</v>
      </c>
      <c r="I4864" s="1" t="s">
        <v>15</v>
      </c>
      <c r="J4864" s="12">
        <v>45991</v>
      </c>
      <c r="K4864">
        <v>0</v>
      </c>
      <c r="L4864" s="1">
        <f t="shared" si="300"/>
        <v>59.64</v>
      </c>
      <c r="M4864" s="1" t="str">
        <f t="shared" si="301"/>
        <v/>
      </c>
      <c r="N4864" s="2">
        <f t="shared" si="302"/>
        <v>45962</v>
      </c>
      <c r="O4864" t="str">
        <f t="shared" si="303"/>
        <v>mačka</v>
      </c>
    </row>
    <row r="4865" spans="1:15" x14ac:dyDescent="0.25">
      <c r="A4865">
        <v>12351</v>
      </c>
      <c r="B4865" s="11">
        <v>4027788990013</v>
      </c>
      <c r="C4865" s="1" t="s">
        <v>43</v>
      </c>
      <c r="D4865" s="1" t="s">
        <v>21</v>
      </c>
      <c r="E4865" s="1" t="s">
        <v>22</v>
      </c>
      <c r="F4865">
        <v>8</v>
      </c>
      <c r="G4865">
        <v>1</v>
      </c>
      <c r="H4865" s="1" t="s">
        <v>18</v>
      </c>
      <c r="I4865" s="1" t="s">
        <v>1106</v>
      </c>
      <c r="J4865" s="12">
        <v>45991</v>
      </c>
      <c r="K4865">
        <v>0</v>
      </c>
      <c r="L4865" s="1">
        <f t="shared" si="300"/>
        <v>8</v>
      </c>
      <c r="M4865" s="1">
        <f t="shared" si="301"/>
        <v>4</v>
      </c>
      <c r="N4865" s="2">
        <f t="shared" si="302"/>
        <v>45962</v>
      </c>
      <c r="O4865" t="str">
        <f t="shared" si="303"/>
        <v>pes</v>
      </c>
    </row>
    <row r="4866" spans="1:15" x14ac:dyDescent="0.25">
      <c r="A4866">
        <v>12352</v>
      </c>
      <c r="B4866" s="11">
        <v>4005566778891</v>
      </c>
      <c r="C4866" s="1" t="s">
        <v>146</v>
      </c>
      <c r="D4866" s="1" t="s">
        <v>26</v>
      </c>
      <c r="E4866" s="1" t="s">
        <v>134</v>
      </c>
      <c r="F4866">
        <v>18</v>
      </c>
      <c r="G4866">
        <v>1</v>
      </c>
      <c r="H4866" s="1" t="s">
        <v>14</v>
      </c>
      <c r="I4866" s="1" t="s">
        <v>15</v>
      </c>
      <c r="J4866" s="12">
        <v>45991</v>
      </c>
      <c r="K4866">
        <v>0</v>
      </c>
      <c r="L4866" s="1">
        <f t="shared" ref="L4866:L4929" si="304">F4866*G4866</f>
        <v>18</v>
      </c>
      <c r="M4866" s="1" t="str">
        <f t="shared" ref="M4866:M4929" si="305">IF(H4866="NULL", "",VALUE(H4866))</f>
        <v/>
      </c>
      <c r="N4866" s="2">
        <f t="shared" ref="N4866:N4929" si="306">DATE(YEAR(J4866),MONTH(J4866),1)</f>
        <v>45962</v>
      </c>
      <c r="O4866" t="str">
        <f t="shared" ref="O4866:O4929" si="307">IF(ISNUMBER(SEARCH("Mačky",D4866)),"mačka",IF(ISNUMBER(SEARCH("Psy",D4866)),"pes","iné"))</f>
        <v>pes</v>
      </c>
    </row>
    <row r="4867" spans="1:15" x14ac:dyDescent="0.25">
      <c r="A4867">
        <v>12353</v>
      </c>
      <c r="B4867" s="11">
        <v>4027788990013</v>
      </c>
      <c r="C4867" s="1" t="s">
        <v>43</v>
      </c>
      <c r="D4867" s="1" t="s">
        <v>21</v>
      </c>
      <c r="E4867" s="1" t="s">
        <v>22</v>
      </c>
      <c r="F4867">
        <v>8</v>
      </c>
      <c r="G4867">
        <v>1</v>
      </c>
      <c r="H4867" s="1" t="s">
        <v>18</v>
      </c>
      <c r="I4867" s="1" t="s">
        <v>887</v>
      </c>
      <c r="J4867" s="12">
        <v>45991</v>
      </c>
      <c r="K4867">
        <v>0</v>
      </c>
      <c r="L4867" s="1">
        <f t="shared" si="304"/>
        <v>8</v>
      </c>
      <c r="M4867" s="1">
        <f t="shared" si="305"/>
        <v>4</v>
      </c>
      <c r="N4867" s="2">
        <f t="shared" si="306"/>
        <v>45962</v>
      </c>
      <c r="O4867" t="str">
        <f t="shared" si="307"/>
        <v>pes</v>
      </c>
    </row>
    <row r="4868" spans="1:15" x14ac:dyDescent="0.25">
      <c r="A4868">
        <v>12354</v>
      </c>
      <c r="B4868" s="11">
        <v>4017890123450</v>
      </c>
      <c r="C4868" s="1" t="s">
        <v>65</v>
      </c>
      <c r="D4868" s="1" t="s">
        <v>39</v>
      </c>
      <c r="E4868" s="1" t="s">
        <v>22</v>
      </c>
      <c r="F4868">
        <v>7.6</v>
      </c>
      <c r="G4868">
        <v>1</v>
      </c>
      <c r="H4868" s="1" t="s">
        <v>23</v>
      </c>
      <c r="I4868" s="1" t="s">
        <v>1107</v>
      </c>
      <c r="J4868" s="12">
        <v>45991</v>
      </c>
      <c r="K4868">
        <v>0</v>
      </c>
      <c r="L4868" s="1">
        <f t="shared" si="304"/>
        <v>7.6</v>
      </c>
      <c r="M4868" s="1">
        <f t="shared" si="305"/>
        <v>5</v>
      </c>
      <c r="N4868" s="2">
        <f t="shared" si="306"/>
        <v>45962</v>
      </c>
      <c r="O4868" t="str">
        <f t="shared" si="307"/>
        <v>pes</v>
      </c>
    </row>
    <row r="4869" spans="1:15" hidden="1" x14ac:dyDescent="0.25">
      <c r="A4869">
        <v>12355</v>
      </c>
      <c r="B4869" s="11">
        <v>4002233445566</v>
      </c>
      <c r="C4869" s="1" t="s">
        <v>268</v>
      </c>
      <c r="D4869" s="1" t="s">
        <v>140</v>
      </c>
      <c r="E4869" s="1" t="s">
        <v>30</v>
      </c>
      <c r="F4869">
        <v>20</v>
      </c>
      <c r="G4869">
        <v>1</v>
      </c>
      <c r="H4869" s="1" t="s">
        <v>14</v>
      </c>
      <c r="I4869" s="1" t="s">
        <v>15</v>
      </c>
      <c r="J4869" s="12">
        <v>45991</v>
      </c>
      <c r="K4869">
        <v>0</v>
      </c>
      <c r="L4869" s="1">
        <f t="shared" si="304"/>
        <v>20</v>
      </c>
      <c r="M4869" s="1" t="str">
        <f t="shared" si="305"/>
        <v/>
      </c>
      <c r="N4869" s="2">
        <f t="shared" si="306"/>
        <v>45962</v>
      </c>
      <c r="O4869" t="str">
        <f t="shared" si="307"/>
        <v>mačka</v>
      </c>
    </row>
    <row r="4870" spans="1:15" x14ac:dyDescent="0.25">
      <c r="A4870">
        <v>12356</v>
      </c>
      <c r="B4870" s="11">
        <v>4022345678908</v>
      </c>
      <c r="C4870" s="1" t="s">
        <v>363</v>
      </c>
      <c r="D4870" s="1" t="s">
        <v>21</v>
      </c>
      <c r="E4870" s="1" t="s">
        <v>69</v>
      </c>
      <c r="F4870">
        <v>10</v>
      </c>
      <c r="G4870">
        <v>1</v>
      </c>
      <c r="H4870" s="1" t="s">
        <v>33</v>
      </c>
      <c r="I4870" s="1" t="s">
        <v>113</v>
      </c>
      <c r="J4870" s="12">
        <v>45991</v>
      </c>
      <c r="K4870">
        <v>0</v>
      </c>
      <c r="L4870" s="1">
        <f t="shared" si="304"/>
        <v>10</v>
      </c>
      <c r="M4870" s="1">
        <f t="shared" si="305"/>
        <v>3</v>
      </c>
      <c r="N4870" s="2">
        <f t="shared" si="306"/>
        <v>45962</v>
      </c>
      <c r="O4870" t="str">
        <f t="shared" si="307"/>
        <v>pes</v>
      </c>
    </row>
    <row r="4871" spans="1:15" hidden="1" x14ac:dyDescent="0.25">
      <c r="A4871">
        <v>12357</v>
      </c>
      <c r="B4871" s="11">
        <v>4050123456794</v>
      </c>
      <c r="C4871" s="1" t="s">
        <v>41</v>
      </c>
      <c r="D4871" s="1" t="s">
        <v>36</v>
      </c>
      <c r="E4871" s="1" t="s">
        <v>42</v>
      </c>
      <c r="F4871">
        <v>7.2</v>
      </c>
      <c r="G4871">
        <v>1</v>
      </c>
      <c r="H4871" s="1" t="s">
        <v>14</v>
      </c>
      <c r="I4871" s="1" t="s">
        <v>15</v>
      </c>
      <c r="J4871" s="12">
        <v>45991</v>
      </c>
      <c r="K4871">
        <v>0</v>
      </c>
      <c r="L4871" s="1">
        <f t="shared" si="304"/>
        <v>7.2</v>
      </c>
      <c r="M4871" s="1" t="str">
        <f t="shared" si="305"/>
        <v/>
      </c>
      <c r="N4871" s="2">
        <f t="shared" si="306"/>
        <v>45962</v>
      </c>
      <c r="O4871" t="str">
        <f t="shared" si="307"/>
        <v>mačka</v>
      </c>
    </row>
    <row r="4872" spans="1:15" x14ac:dyDescent="0.25">
      <c r="A4872">
        <v>12358</v>
      </c>
      <c r="B4872" s="11">
        <v>4003344556679</v>
      </c>
      <c r="C4872" s="1" t="s">
        <v>132</v>
      </c>
      <c r="D4872" s="1" t="s">
        <v>133</v>
      </c>
      <c r="E4872" s="1" t="s">
        <v>134</v>
      </c>
      <c r="F4872">
        <v>51.64</v>
      </c>
      <c r="G4872">
        <v>1</v>
      </c>
      <c r="H4872" s="1" t="s">
        <v>18</v>
      </c>
      <c r="I4872" s="1" t="s">
        <v>1108</v>
      </c>
      <c r="J4872" s="12">
        <v>45991</v>
      </c>
      <c r="K4872">
        <v>0</v>
      </c>
      <c r="L4872" s="1">
        <f t="shared" si="304"/>
        <v>51.64</v>
      </c>
      <c r="M4872" s="1">
        <f t="shared" si="305"/>
        <v>4</v>
      </c>
      <c r="N4872" s="2">
        <f t="shared" si="306"/>
        <v>45962</v>
      </c>
      <c r="O4872" t="str">
        <f t="shared" si="307"/>
        <v>pes</v>
      </c>
    </row>
    <row r="4873" spans="1:15" hidden="1" x14ac:dyDescent="0.25">
      <c r="A4873">
        <v>12359</v>
      </c>
      <c r="B4873" s="11">
        <v>4019876501234</v>
      </c>
      <c r="C4873" s="1" t="s">
        <v>674</v>
      </c>
      <c r="D4873" s="1" t="s">
        <v>29</v>
      </c>
      <c r="E4873" s="1" t="s">
        <v>37</v>
      </c>
      <c r="F4873">
        <v>1.84</v>
      </c>
      <c r="G4873">
        <v>3</v>
      </c>
      <c r="H4873" s="1" t="s">
        <v>23</v>
      </c>
      <c r="I4873" s="1" t="s">
        <v>1109</v>
      </c>
      <c r="J4873" s="12">
        <v>45991</v>
      </c>
      <c r="K4873">
        <v>0</v>
      </c>
      <c r="L4873" s="1">
        <f t="shared" si="304"/>
        <v>5.5200000000000005</v>
      </c>
      <c r="M4873" s="1">
        <f t="shared" si="305"/>
        <v>5</v>
      </c>
      <c r="N4873" s="2">
        <f t="shared" si="306"/>
        <v>45962</v>
      </c>
      <c r="O4873" t="str">
        <f t="shared" si="307"/>
        <v>mačka</v>
      </c>
    </row>
    <row r="4874" spans="1:15" hidden="1" x14ac:dyDescent="0.25">
      <c r="A4874">
        <v>12360</v>
      </c>
      <c r="B4874" s="11">
        <v>8593456789012</v>
      </c>
      <c r="C4874" s="1" t="s">
        <v>28</v>
      </c>
      <c r="D4874" s="1" t="s">
        <v>29</v>
      </c>
      <c r="E4874" s="1" t="s">
        <v>30</v>
      </c>
      <c r="F4874">
        <v>42</v>
      </c>
      <c r="G4874">
        <v>1</v>
      </c>
      <c r="H4874" s="1" t="s">
        <v>14</v>
      </c>
      <c r="I4874" s="1" t="s">
        <v>15</v>
      </c>
      <c r="J4874" s="12">
        <v>45991</v>
      </c>
      <c r="K4874">
        <v>0</v>
      </c>
      <c r="L4874" s="1">
        <f t="shared" si="304"/>
        <v>42</v>
      </c>
      <c r="M4874" s="1" t="str">
        <f t="shared" si="305"/>
        <v/>
      </c>
      <c r="N4874" s="2">
        <f t="shared" si="306"/>
        <v>45962</v>
      </c>
      <c r="O4874" t="str">
        <f t="shared" si="307"/>
        <v>mačka</v>
      </c>
    </row>
    <row r="4875" spans="1:15" hidden="1" x14ac:dyDescent="0.25">
      <c r="A4875">
        <v>12361</v>
      </c>
      <c r="B4875" s="11">
        <v>4008899001134</v>
      </c>
      <c r="C4875" s="1" t="s">
        <v>332</v>
      </c>
      <c r="D4875" s="1" t="s">
        <v>333</v>
      </c>
      <c r="E4875" s="1" t="s">
        <v>334</v>
      </c>
      <c r="F4875">
        <v>47.64</v>
      </c>
      <c r="G4875">
        <v>1</v>
      </c>
      <c r="H4875" s="1" t="s">
        <v>18</v>
      </c>
      <c r="I4875" s="1" t="s">
        <v>1110</v>
      </c>
      <c r="J4875" s="12">
        <v>45991</v>
      </c>
      <c r="K4875">
        <v>0</v>
      </c>
      <c r="L4875" s="1">
        <f t="shared" si="304"/>
        <v>47.64</v>
      </c>
      <c r="M4875" s="1">
        <f t="shared" si="305"/>
        <v>4</v>
      </c>
      <c r="N4875" s="2">
        <f t="shared" si="306"/>
        <v>45962</v>
      </c>
      <c r="O4875" t="str">
        <f t="shared" si="307"/>
        <v>iné</v>
      </c>
    </row>
    <row r="4876" spans="1:15" hidden="1" x14ac:dyDescent="0.25">
      <c r="A4876">
        <v>12362</v>
      </c>
      <c r="B4876" s="11">
        <v>4029900112244</v>
      </c>
      <c r="C4876" s="1" t="s">
        <v>655</v>
      </c>
      <c r="D4876" s="1" t="s">
        <v>36</v>
      </c>
      <c r="E4876" s="1" t="s">
        <v>37</v>
      </c>
      <c r="F4876">
        <v>13.6</v>
      </c>
      <c r="G4876">
        <v>1</v>
      </c>
      <c r="H4876" s="1" t="s">
        <v>23</v>
      </c>
      <c r="I4876" s="1" t="s">
        <v>1111</v>
      </c>
      <c r="J4876" s="12">
        <v>45991</v>
      </c>
      <c r="K4876">
        <v>0</v>
      </c>
      <c r="L4876" s="1">
        <f t="shared" si="304"/>
        <v>13.6</v>
      </c>
      <c r="M4876" s="1">
        <f t="shared" si="305"/>
        <v>5</v>
      </c>
      <c r="N4876" s="2">
        <f t="shared" si="306"/>
        <v>45962</v>
      </c>
      <c r="O4876" t="str">
        <f t="shared" si="307"/>
        <v>mačka</v>
      </c>
    </row>
    <row r="4877" spans="1:15" hidden="1" x14ac:dyDescent="0.25">
      <c r="A4877">
        <v>12363</v>
      </c>
      <c r="B4877" s="11">
        <v>4056789012345</v>
      </c>
      <c r="C4877" s="1" t="s">
        <v>47</v>
      </c>
      <c r="D4877" s="1" t="s">
        <v>29</v>
      </c>
      <c r="E4877" s="1" t="s">
        <v>37</v>
      </c>
      <c r="F4877">
        <v>2.4</v>
      </c>
      <c r="G4877">
        <v>2</v>
      </c>
      <c r="H4877" s="1" t="s">
        <v>14</v>
      </c>
      <c r="I4877" s="1" t="s">
        <v>15</v>
      </c>
      <c r="J4877" s="12">
        <v>45991</v>
      </c>
      <c r="K4877">
        <v>0</v>
      </c>
      <c r="L4877" s="1">
        <f t="shared" si="304"/>
        <v>4.8</v>
      </c>
      <c r="M4877" s="1" t="str">
        <f t="shared" si="305"/>
        <v/>
      </c>
      <c r="N4877" s="2">
        <f t="shared" si="306"/>
        <v>45962</v>
      </c>
      <c r="O4877" t="str">
        <f t="shared" si="307"/>
        <v>mačka</v>
      </c>
    </row>
    <row r="4878" spans="1:15" x14ac:dyDescent="0.25">
      <c r="A4878">
        <v>12364</v>
      </c>
      <c r="B4878" s="11">
        <v>4028899001126</v>
      </c>
      <c r="C4878" s="1" t="s">
        <v>16</v>
      </c>
      <c r="D4878" s="1" t="s">
        <v>12</v>
      </c>
      <c r="E4878" s="1" t="s">
        <v>17</v>
      </c>
      <c r="F4878">
        <v>2.8</v>
      </c>
      <c r="G4878">
        <v>3</v>
      </c>
      <c r="H4878" s="1" t="s">
        <v>23</v>
      </c>
      <c r="I4878" s="1" t="s">
        <v>1112</v>
      </c>
      <c r="J4878" s="12">
        <v>45991</v>
      </c>
      <c r="K4878">
        <v>0</v>
      </c>
      <c r="L4878" s="1">
        <f t="shared" si="304"/>
        <v>8.3999999999999986</v>
      </c>
      <c r="M4878" s="1">
        <f t="shared" si="305"/>
        <v>5</v>
      </c>
      <c r="N4878" s="2">
        <f t="shared" si="306"/>
        <v>45962</v>
      </c>
      <c r="O4878" t="str">
        <f t="shared" si="307"/>
        <v>pes</v>
      </c>
    </row>
    <row r="4879" spans="1:15" x14ac:dyDescent="0.25">
      <c r="A4879">
        <v>12365</v>
      </c>
      <c r="B4879" s="11">
        <v>4013456789017</v>
      </c>
      <c r="C4879" s="1" t="s">
        <v>11</v>
      </c>
      <c r="D4879" s="1" t="s">
        <v>12</v>
      </c>
      <c r="E4879" s="1" t="s">
        <v>13</v>
      </c>
      <c r="F4879">
        <v>6</v>
      </c>
      <c r="G4879">
        <v>2</v>
      </c>
      <c r="H4879" s="1" t="s">
        <v>18</v>
      </c>
      <c r="I4879" s="1" t="s">
        <v>1113</v>
      </c>
      <c r="J4879" s="12">
        <v>45991</v>
      </c>
      <c r="K4879">
        <v>0</v>
      </c>
      <c r="L4879" s="1">
        <f t="shared" si="304"/>
        <v>12</v>
      </c>
      <c r="M4879" s="1">
        <f t="shared" si="305"/>
        <v>4</v>
      </c>
      <c r="N4879" s="2">
        <f t="shared" si="306"/>
        <v>45962</v>
      </c>
      <c r="O4879" t="str">
        <f t="shared" si="307"/>
        <v>pes</v>
      </c>
    </row>
    <row r="4880" spans="1:15" x14ac:dyDescent="0.25">
      <c r="A4880">
        <v>12366</v>
      </c>
      <c r="B4880" s="11">
        <v>4040123456795</v>
      </c>
      <c r="C4880" s="1" t="s">
        <v>20</v>
      </c>
      <c r="D4880" s="1" t="s">
        <v>21</v>
      </c>
      <c r="E4880" s="1" t="s">
        <v>22</v>
      </c>
      <c r="F4880">
        <v>8.8000000000000007</v>
      </c>
      <c r="G4880">
        <v>1</v>
      </c>
      <c r="H4880" s="1" t="s">
        <v>14</v>
      </c>
      <c r="I4880" s="1" t="s">
        <v>15</v>
      </c>
      <c r="J4880" s="12">
        <v>45991</v>
      </c>
      <c r="K4880">
        <v>0</v>
      </c>
      <c r="L4880" s="1">
        <f t="shared" si="304"/>
        <v>8.8000000000000007</v>
      </c>
      <c r="M4880" s="1" t="str">
        <f t="shared" si="305"/>
        <v/>
      </c>
      <c r="N4880" s="2">
        <f t="shared" si="306"/>
        <v>45962</v>
      </c>
      <c r="O4880" t="str">
        <f t="shared" si="307"/>
        <v>pes</v>
      </c>
    </row>
    <row r="4881" spans="1:15" hidden="1" x14ac:dyDescent="0.25">
      <c r="A4881">
        <v>12367</v>
      </c>
      <c r="B4881" s="11">
        <v>4055566778892</v>
      </c>
      <c r="C4881" s="1" t="s">
        <v>652</v>
      </c>
      <c r="D4881" s="1" t="s">
        <v>317</v>
      </c>
      <c r="E4881" s="1" t="s">
        <v>69</v>
      </c>
      <c r="F4881">
        <v>8</v>
      </c>
      <c r="G4881">
        <v>1</v>
      </c>
      <c r="H4881" s="1" t="s">
        <v>18</v>
      </c>
      <c r="I4881" s="1" t="s">
        <v>1114</v>
      </c>
      <c r="J4881" s="12">
        <v>45991</v>
      </c>
      <c r="K4881">
        <v>0</v>
      </c>
      <c r="L4881" s="1">
        <f t="shared" si="304"/>
        <v>8</v>
      </c>
      <c r="M4881" s="1">
        <f t="shared" si="305"/>
        <v>4</v>
      </c>
      <c r="N4881" s="2">
        <f t="shared" si="306"/>
        <v>45962</v>
      </c>
      <c r="O4881" t="str">
        <f t="shared" si="307"/>
        <v>mačka</v>
      </c>
    </row>
    <row r="4882" spans="1:15" hidden="1" x14ac:dyDescent="0.25">
      <c r="A4882">
        <v>12368</v>
      </c>
      <c r="B4882" s="11">
        <v>4009012345672</v>
      </c>
      <c r="C4882" s="1" t="s">
        <v>45</v>
      </c>
      <c r="D4882" s="1" t="s">
        <v>36</v>
      </c>
      <c r="E4882" s="1" t="s">
        <v>32</v>
      </c>
      <c r="F4882">
        <v>11.2</v>
      </c>
      <c r="G4882">
        <v>1</v>
      </c>
      <c r="H4882" s="1" t="s">
        <v>14</v>
      </c>
      <c r="I4882" s="1" t="s">
        <v>15</v>
      </c>
      <c r="J4882" s="12">
        <v>45991</v>
      </c>
      <c r="K4882">
        <v>0</v>
      </c>
      <c r="L4882" s="1">
        <f t="shared" si="304"/>
        <v>11.2</v>
      </c>
      <c r="M4882" s="1" t="str">
        <f t="shared" si="305"/>
        <v/>
      </c>
      <c r="N4882" s="2">
        <f t="shared" si="306"/>
        <v>45962</v>
      </c>
      <c r="O4882" t="str">
        <f t="shared" si="307"/>
        <v>mačka</v>
      </c>
    </row>
    <row r="4883" spans="1:15" x14ac:dyDescent="0.25">
      <c r="A4883">
        <v>12369</v>
      </c>
      <c r="B4883" s="11">
        <v>8592233445568</v>
      </c>
      <c r="C4883" s="1" t="s">
        <v>138</v>
      </c>
      <c r="D4883" s="1" t="s">
        <v>133</v>
      </c>
      <c r="E4883" s="1" t="s">
        <v>17</v>
      </c>
      <c r="F4883">
        <v>79.64</v>
      </c>
      <c r="G4883">
        <v>1</v>
      </c>
      <c r="H4883" s="1" t="s">
        <v>23</v>
      </c>
      <c r="I4883" s="1" t="s">
        <v>1115</v>
      </c>
      <c r="J4883" s="12">
        <v>45991</v>
      </c>
      <c r="K4883">
        <v>0</v>
      </c>
      <c r="L4883" s="1">
        <f t="shared" si="304"/>
        <v>79.64</v>
      </c>
      <c r="M4883" s="1">
        <f t="shared" si="305"/>
        <v>5</v>
      </c>
      <c r="N4883" s="2">
        <f t="shared" si="306"/>
        <v>45962</v>
      </c>
      <c r="O4883" t="str">
        <f t="shared" si="307"/>
        <v>pes</v>
      </c>
    </row>
    <row r="4884" spans="1:15" x14ac:dyDescent="0.25">
      <c r="A4884">
        <v>12370</v>
      </c>
      <c r="B4884" s="11">
        <v>4005566778891</v>
      </c>
      <c r="C4884" s="1" t="s">
        <v>146</v>
      </c>
      <c r="D4884" s="1" t="s">
        <v>26</v>
      </c>
      <c r="E4884" s="1" t="s">
        <v>134</v>
      </c>
      <c r="F4884">
        <v>18</v>
      </c>
      <c r="G4884">
        <v>1</v>
      </c>
      <c r="H4884" s="1" t="s">
        <v>14</v>
      </c>
      <c r="I4884" s="1" t="s">
        <v>15</v>
      </c>
      <c r="J4884" s="12">
        <v>45991</v>
      </c>
      <c r="K4884">
        <v>0</v>
      </c>
      <c r="L4884" s="1">
        <f t="shared" si="304"/>
        <v>18</v>
      </c>
      <c r="M4884" s="1" t="str">
        <f t="shared" si="305"/>
        <v/>
      </c>
      <c r="N4884" s="2">
        <f t="shared" si="306"/>
        <v>45962</v>
      </c>
      <c r="O4884" t="str">
        <f t="shared" si="307"/>
        <v>pes</v>
      </c>
    </row>
    <row r="4885" spans="1:15" x14ac:dyDescent="0.25">
      <c r="A4885">
        <v>12371</v>
      </c>
      <c r="B4885" s="11">
        <v>4027788990013</v>
      </c>
      <c r="C4885" s="1" t="s">
        <v>43</v>
      </c>
      <c r="D4885" s="1" t="s">
        <v>21</v>
      </c>
      <c r="E4885" s="1" t="s">
        <v>22</v>
      </c>
      <c r="F4885">
        <v>8</v>
      </c>
      <c r="G4885">
        <v>1</v>
      </c>
      <c r="H4885" s="1" t="s">
        <v>18</v>
      </c>
      <c r="I4885" s="1" t="s">
        <v>1116</v>
      </c>
      <c r="J4885" s="12">
        <v>45991</v>
      </c>
      <c r="K4885">
        <v>0</v>
      </c>
      <c r="L4885" s="1">
        <f t="shared" si="304"/>
        <v>8</v>
      </c>
      <c r="M4885" s="1">
        <f t="shared" si="305"/>
        <v>4</v>
      </c>
      <c r="N4885" s="2">
        <f t="shared" si="306"/>
        <v>45962</v>
      </c>
      <c r="O4885" t="str">
        <f t="shared" si="307"/>
        <v>pes</v>
      </c>
    </row>
    <row r="4886" spans="1:15" hidden="1" x14ac:dyDescent="0.25">
      <c r="A4886">
        <v>12372</v>
      </c>
      <c r="B4886" s="11">
        <v>4006677889904</v>
      </c>
      <c r="C4886" s="1" t="s">
        <v>206</v>
      </c>
      <c r="D4886" s="1" t="s">
        <v>29</v>
      </c>
      <c r="E4886" s="1" t="s">
        <v>30</v>
      </c>
      <c r="F4886">
        <v>2</v>
      </c>
      <c r="G4886">
        <v>3</v>
      </c>
      <c r="H4886" s="1" t="s">
        <v>23</v>
      </c>
      <c r="I4886" s="1" t="s">
        <v>1117</v>
      </c>
      <c r="J4886" s="12">
        <v>45991</v>
      </c>
      <c r="K4886">
        <v>0</v>
      </c>
      <c r="L4886" s="1">
        <f t="shared" si="304"/>
        <v>6</v>
      </c>
      <c r="M4886" s="1">
        <f t="shared" si="305"/>
        <v>5</v>
      </c>
      <c r="N4886" s="2">
        <f t="shared" si="306"/>
        <v>45962</v>
      </c>
      <c r="O4886" t="str">
        <f t="shared" si="307"/>
        <v>mačka</v>
      </c>
    </row>
    <row r="4887" spans="1:15" hidden="1" x14ac:dyDescent="0.25">
      <c r="A4887">
        <v>12373</v>
      </c>
      <c r="B4887" s="11">
        <v>4029900112244</v>
      </c>
      <c r="C4887" s="1" t="s">
        <v>655</v>
      </c>
      <c r="D4887" s="1" t="s">
        <v>36</v>
      </c>
      <c r="E4887" s="1" t="s">
        <v>37</v>
      </c>
      <c r="F4887">
        <v>13.6</v>
      </c>
      <c r="G4887">
        <v>1</v>
      </c>
      <c r="H4887" s="1" t="s">
        <v>14</v>
      </c>
      <c r="I4887" s="1" t="s">
        <v>15</v>
      </c>
      <c r="J4887" s="12">
        <v>45991</v>
      </c>
      <c r="K4887">
        <v>0</v>
      </c>
      <c r="L4887" s="1">
        <f t="shared" si="304"/>
        <v>13.6</v>
      </c>
      <c r="M4887" s="1" t="str">
        <f t="shared" si="305"/>
        <v/>
      </c>
      <c r="N4887" s="2">
        <f t="shared" si="306"/>
        <v>45962</v>
      </c>
      <c r="O4887" t="str">
        <f t="shared" si="307"/>
        <v>mačka</v>
      </c>
    </row>
    <row r="4888" spans="1:15" hidden="1" x14ac:dyDescent="0.25">
      <c r="A4888">
        <v>12374</v>
      </c>
      <c r="B4888" s="11">
        <v>4069012345682</v>
      </c>
      <c r="C4888" s="1" t="s">
        <v>143</v>
      </c>
      <c r="D4888" s="1" t="s">
        <v>144</v>
      </c>
      <c r="E4888" s="1" t="s">
        <v>30</v>
      </c>
      <c r="F4888">
        <v>26</v>
      </c>
      <c r="G4888">
        <v>1</v>
      </c>
      <c r="H4888" s="1" t="s">
        <v>23</v>
      </c>
      <c r="I4888" s="1" t="s">
        <v>1118</v>
      </c>
      <c r="J4888" s="12">
        <v>45991</v>
      </c>
      <c r="K4888">
        <v>0</v>
      </c>
      <c r="L4888" s="1">
        <f t="shared" si="304"/>
        <v>26</v>
      </c>
      <c r="M4888" s="1">
        <f t="shared" si="305"/>
        <v>5</v>
      </c>
      <c r="N4888" s="2">
        <f t="shared" si="306"/>
        <v>45962</v>
      </c>
      <c r="O4888" t="str">
        <f t="shared" si="307"/>
        <v>mačka</v>
      </c>
    </row>
    <row r="4889" spans="1:15" hidden="1" x14ac:dyDescent="0.25">
      <c r="A4889">
        <v>12375</v>
      </c>
      <c r="B4889" s="11">
        <v>4066677889903</v>
      </c>
      <c r="C4889" s="1" t="s">
        <v>353</v>
      </c>
      <c r="D4889" s="1" t="s">
        <v>317</v>
      </c>
      <c r="E4889" s="1" t="s">
        <v>42</v>
      </c>
      <c r="F4889">
        <v>59.64</v>
      </c>
      <c r="G4889">
        <v>1</v>
      </c>
      <c r="H4889" s="1" t="s">
        <v>14</v>
      </c>
      <c r="I4889" s="1" t="s">
        <v>15</v>
      </c>
      <c r="J4889" s="12">
        <v>45991</v>
      </c>
      <c r="K4889">
        <v>0</v>
      </c>
      <c r="L4889" s="1">
        <f t="shared" si="304"/>
        <v>59.64</v>
      </c>
      <c r="M4889" s="1" t="str">
        <f t="shared" si="305"/>
        <v/>
      </c>
      <c r="N4889" s="2">
        <f t="shared" si="306"/>
        <v>45962</v>
      </c>
      <c r="O4889" t="str">
        <f t="shared" si="307"/>
        <v>mačka</v>
      </c>
    </row>
    <row r="4890" spans="1:15" x14ac:dyDescent="0.25">
      <c r="A4890">
        <v>12376</v>
      </c>
      <c r="B4890" s="11">
        <v>4063456789014</v>
      </c>
      <c r="C4890" s="1" t="s">
        <v>60</v>
      </c>
      <c r="D4890" s="1" t="s">
        <v>12</v>
      </c>
      <c r="E4890" s="1" t="s">
        <v>61</v>
      </c>
      <c r="F4890">
        <v>36</v>
      </c>
      <c r="G4890">
        <v>1</v>
      </c>
      <c r="H4890" s="1" t="s">
        <v>18</v>
      </c>
      <c r="I4890" s="1" t="s">
        <v>1119</v>
      </c>
      <c r="J4890" s="12">
        <v>45991</v>
      </c>
      <c r="K4890">
        <v>0</v>
      </c>
      <c r="L4890" s="1">
        <f t="shared" si="304"/>
        <v>36</v>
      </c>
      <c r="M4890" s="1">
        <f t="shared" si="305"/>
        <v>4</v>
      </c>
      <c r="N4890" s="2">
        <f t="shared" si="306"/>
        <v>45962</v>
      </c>
      <c r="O4890" t="str">
        <f t="shared" si="307"/>
        <v>pes</v>
      </c>
    </row>
    <row r="4891" spans="1:15" hidden="1" x14ac:dyDescent="0.25">
      <c r="A4891">
        <v>12377</v>
      </c>
      <c r="B4891" s="11">
        <v>8593456789012</v>
      </c>
      <c r="C4891" s="1" t="s">
        <v>28</v>
      </c>
      <c r="D4891" s="1" t="s">
        <v>29</v>
      </c>
      <c r="E4891" s="1" t="s">
        <v>30</v>
      </c>
      <c r="F4891">
        <v>42</v>
      </c>
      <c r="G4891">
        <v>1</v>
      </c>
      <c r="H4891" s="1" t="s">
        <v>23</v>
      </c>
      <c r="I4891" s="1" t="s">
        <v>1120</v>
      </c>
      <c r="J4891" s="12">
        <v>45991</v>
      </c>
      <c r="K4891">
        <v>0</v>
      </c>
      <c r="L4891" s="1">
        <f t="shared" si="304"/>
        <v>42</v>
      </c>
      <c r="M4891" s="1">
        <f t="shared" si="305"/>
        <v>5</v>
      </c>
      <c r="N4891" s="2">
        <f t="shared" si="306"/>
        <v>45962</v>
      </c>
      <c r="O4891" t="str">
        <f t="shared" si="307"/>
        <v>mačka</v>
      </c>
    </row>
    <row r="4892" spans="1:15" hidden="1" x14ac:dyDescent="0.25">
      <c r="A4892">
        <v>12378</v>
      </c>
      <c r="B4892" s="11">
        <v>4056789012345</v>
      </c>
      <c r="C4892" s="1" t="s">
        <v>47</v>
      </c>
      <c r="D4892" s="1" t="s">
        <v>29</v>
      </c>
      <c r="E4892" s="1" t="s">
        <v>37</v>
      </c>
      <c r="F4892">
        <v>2.4</v>
      </c>
      <c r="G4892">
        <v>1</v>
      </c>
      <c r="H4892" s="1" t="s">
        <v>14</v>
      </c>
      <c r="I4892" s="1" t="s">
        <v>15</v>
      </c>
      <c r="J4892" s="12">
        <v>45991</v>
      </c>
      <c r="K4892">
        <v>0</v>
      </c>
      <c r="L4892" s="1">
        <f t="shared" si="304"/>
        <v>2.4</v>
      </c>
      <c r="M4892" s="1" t="str">
        <f t="shared" si="305"/>
        <v/>
      </c>
      <c r="N4892" s="2">
        <f t="shared" si="306"/>
        <v>45962</v>
      </c>
      <c r="O4892" t="str">
        <f t="shared" si="307"/>
        <v>mačka</v>
      </c>
    </row>
    <row r="4893" spans="1:15" hidden="1" x14ac:dyDescent="0.25">
      <c r="A4893">
        <v>12379</v>
      </c>
      <c r="B4893" s="11">
        <v>4019876501234</v>
      </c>
      <c r="C4893" s="1" t="s">
        <v>674</v>
      </c>
      <c r="D4893" s="1" t="s">
        <v>29</v>
      </c>
      <c r="E4893" s="1" t="s">
        <v>37</v>
      </c>
      <c r="F4893">
        <v>1.84</v>
      </c>
      <c r="G4893">
        <v>3</v>
      </c>
      <c r="H4893" s="1" t="s">
        <v>18</v>
      </c>
      <c r="I4893" s="1" t="s">
        <v>1121</v>
      </c>
      <c r="J4893" s="12">
        <v>45991</v>
      </c>
      <c r="K4893">
        <v>0</v>
      </c>
      <c r="L4893" s="1">
        <f t="shared" si="304"/>
        <v>5.5200000000000005</v>
      </c>
      <c r="M4893" s="1">
        <f t="shared" si="305"/>
        <v>4</v>
      </c>
      <c r="N4893" s="2">
        <f t="shared" si="306"/>
        <v>45962</v>
      </c>
      <c r="O4893" t="str">
        <f t="shared" si="307"/>
        <v>mačka</v>
      </c>
    </row>
    <row r="4894" spans="1:15" x14ac:dyDescent="0.25">
      <c r="A4894">
        <v>12380</v>
      </c>
      <c r="B4894" s="11">
        <v>4028899001126</v>
      </c>
      <c r="C4894" s="1" t="s">
        <v>16</v>
      </c>
      <c r="D4894" s="1" t="s">
        <v>12</v>
      </c>
      <c r="E4894" s="1" t="s">
        <v>17</v>
      </c>
      <c r="F4894">
        <v>2.8</v>
      </c>
      <c r="G4894">
        <v>2</v>
      </c>
      <c r="H4894" s="1" t="s">
        <v>14</v>
      </c>
      <c r="I4894" s="1" t="s">
        <v>15</v>
      </c>
      <c r="J4894" s="12">
        <v>45991</v>
      </c>
      <c r="K4894">
        <v>0</v>
      </c>
      <c r="L4894" s="1">
        <f t="shared" si="304"/>
        <v>5.6</v>
      </c>
      <c r="M4894" s="1" t="str">
        <f t="shared" si="305"/>
        <v/>
      </c>
      <c r="N4894" s="2">
        <f t="shared" si="306"/>
        <v>45962</v>
      </c>
      <c r="O4894" t="str">
        <f t="shared" si="307"/>
        <v>pes</v>
      </c>
    </row>
    <row r="4895" spans="1:15" x14ac:dyDescent="0.25">
      <c r="A4895">
        <v>12381</v>
      </c>
      <c r="B4895" s="11">
        <v>4013456789017</v>
      </c>
      <c r="C4895" s="1" t="s">
        <v>11</v>
      </c>
      <c r="D4895" s="1" t="s">
        <v>12</v>
      </c>
      <c r="E4895" s="1" t="s">
        <v>13</v>
      </c>
      <c r="F4895">
        <v>6</v>
      </c>
      <c r="G4895">
        <v>1</v>
      </c>
      <c r="H4895" s="1" t="s">
        <v>23</v>
      </c>
      <c r="I4895" s="1" t="s">
        <v>1122</v>
      </c>
      <c r="J4895" s="12">
        <v>45991</v>
      </c>
      <c r="K4895">
        <v>0</v>
      </c>
      <c r="L4895" s="1">
        <f t="shared" si="304"/>
        <v>6</v>
      </c>
      <c r="M4895" s="1">
        <f t="shared" si="305"/>
        <v>5</v>
      </c>
      <c r="N4895" s="2">
        <f t="shared" si="306"/>
        <v>45962</v>
      </c>
      <c r="O4895" t="str">
        <f t="shared" si="307"/>
        <v>pes</v>
      </c>
    </row>
    <row r="4896" spans="1:15" x14ac:dyDescent="0.25">
      <c r="A4896">
        <v>12382</v>
      </c>
      <c r="B4896" s="11">
        <v>4040123456795</v>
      </c>
      <c r="C4896" s="1" t="s">
        <v>20</v>
      </c>
      <c r="D4896" s="1" t="s">
        <v>21</v>
      </c>
      <c r="E4896" s="1" t="s">
        <v>22</v>
      </c>
      <c r="F4896">
        <v>8.8000000000000007</v>
      </c>
      <c r="G4896">
        <v>1</v>
      </c>
      <c r="H4896" s="1" t="s">
        <v>18</v>
      </c>
      <c r="I4896" s="1" t="s">
        <v>1123</v>
      </c>
      <c r="J4896" s="12">
        <v>45991</v>
      </c>
      <c r="K4896">
        <v>0</v>
      </c>
      <c r="L4896" s="1">
        <f t="shared" si="304"/>
        <v>8.8000000000000007</v>
      </c>
      <c r="M4896" s="1">
        <f t="shared" si="305"/>
        <v>4</v>
      </c>
      <c r="N4896" s="2">
        <f t="shared" si="306"/>
        <v>45962</v>
      </c>
      <c r="O4896" t="str">
        <f t="shared" si="307"/>
        <v>pes</v>
      </c>
    </row>
    <row r="4897" spans="1:15" hidden="1" x14ac:dyDescent="0.25">
      <c r="A4897">
        <v>12383</v>
      </c>
      <c r="B4897" s="11">
        <v>4002233445566</v>
      </c>
      <c r="C4897" s="1" t="s">
        <v>268</v>
      </c>
      <c r="D4897" s="1" t="s">
        <v>140</v>
      </c>
      <c r="E4897" s="1" t="s">
        <v>30</v>
      </c>
      <c r="F4897">
        <v>20</v>
      </c>
      <c r="G4897">
        <v>1</v>
      </c>
      <c r="H4897" s="1" t="s">
        <v>14</v>
      </c>
      <c r="I4897" s="1" t="s">
        <v>15</v>
      </c>
      <c r="J4897" s="12">
        <v>45991</v>
      </c>
      <c r="K4897">
        <v>0</v>
      </c>
      <c r="L4897" s="1">
        <f t="shared" si="304"/>
        <v>20</v>
      </c>
      <c r="M4897" s="1" t="str">
        <f t="shared" si="305"/>
        <v/>
      </c>
      <c r="N4897" s="2">
        <f t="shared" si="306"/>
        <v>45962</v>
      </c>
      <c r="O4897" t="str">
        <f t="shared" si="307"/>
        <v>mačka</v>
      </c>
    </row>
    <row r="4898" spans="1:15" x14ac:dyDescent="0.25">
      <c r="A4898">
        <v>12384</v>
      </c>
      <c r="B4898" s="11">
        <v>4003344556679</v>
      </c>
      <c r="C4898" s="1" t="s">
        <v>132</v>
      </c>
      <c r="D4898" s="1" t="s">
        <v>133</v>
      </c>
      <c r="E4898" s="1" t="s">
        <v>134</v>
      </c>
      <c r="F4898">
        <v>51.64</v>
      </c>
      <c r="G4898">
        <v>1</v>
      </c>
      <c r="H4898" s="1" t="s">
        <v>23</v>
      </c>
      <c r="I4898" s="1" t="s">
        <v>1124</v>
      </c>
      <c r="J4898" s="12">
        <v>45991</v>
      </c>
      <c r="K4898">
        <v>0</v>
      </c>
      <c r="L4898" s="1">
        <f t="shared" si="304"/>
        <v>51.64</v>
      </c>
      <c r="M4898" s="1">
        <f t="shared" si="305"/>
        <v>5</v>
      </c>
      <c r="N4898" s="2">
        <f t="shared" si="306"/>
        <v>45962</v>
      </c>
      <c r="O4898" t="str">
        <f t="shared" si="307"/>
        <v>pes</v>
      </c>
    </row>
    <row r="4899" spans="1:15" x14ac:dyDescent="0.25">
      <c r="A4899">
        <v>12385</v>
      </c>
      <c r="B4899" s="11">
        <v>4011234567897</v>
      </c>
      <c r="C4899" s="1" t="s">
        <v>341</v>
      </c>
      <c r="D4899" s="1" t="s">
        <v>21</v>
      </c>
      <c r="E4899" s="1" t="s">
        <v>303</v>
      </c>
      <c r="F4899">
        <v>11.6</v>
      </c>
      <c r="G4899">
        <v>1</v>
      </c>
      <c r="H4899" s="1" t="s">
        <v>14</v>
      </c>
      <c r="I4899" s="1" t="s">
        <v>15</v>
      </c>
      <c r="J4899" s="12">
        <v>45991</v>
      </c>
      <c r="K4899">
        <v>0</v>
      </c>
      <c r="L4899" s="1">
        <f t="shared" si="304"/>
        <v>11.6</v>
      </c>
      <c r="M4899" s="1" t="str">
        <f t="shared" si="305"/>
        <v/>
      </c>
      <c r="N4899" s="2">
        <f t="shared" si="306"/>
        <v>45962</v>
      </c>
      <c r="O4899" t="str">
        <f t="shared" si="307"/>
        <v>pes</v>
      </c>
    </row>
    <row r="4900" spans="1:15" hidden="1" x14ac:dyDescent="0.25">
      <c r="A4900">
        <v>12386</v>
      </c>
      <c r="B4900" s="11">
        <v>4009012345672</v>
      </c>
      <c r="C4900" s="1" t="s">
        <v>45</v>
      </c>
      <c r="D4900" s="1" t="s">
        <v>36</v>
      </c>
      <c r="E4900" s="1" t="s">
        <v>32</v>
      </c>
      <c r="F4900">
        <v>11.2</v>
      </c>
      <c r="G4900">
        <v>1</v>
      </c>
      <c r="H4900" s="1" t="s">
        <v>18</v>
      </c>
      <c r="I4900" s="1" t="s">
        <v>1125</v>
      </c>
      <c r="J4900" s="12">
        <v>45991</v>
      </c>
      <c r="K4900">
        <v>0</v>
      </c>
      <c r="L4900" s="1">
        <f t="shared" si="304"/>
        <v>11.2</v>
      </c>
      <c r="M4900" s="1">
        <f t="shared" si="305"/>
        <v>4</v>
      </c>
      <c r="N4900" s="2">
        <f t="shared" si="306"/>
        <v>45962</v>
      </c>
      <c r="O4900" t="str">
        <f t="shared" si="307"/>
        <v>mačka</v>
      </c>
    </row>
    <row r="4901" spans="1:15" hidden="1" x14ac:dyDescent="0.25">
      <c r="A4901">
        <v>12387</v>
      </c>
      <c r="B4901" s="11">
        <v>4017788990015</v>
      </c>
      <c r="C4901" s="1" t="s">
        <v>651</v>
      </c>
      <c r="D4901" s="1" t="s">
        <v>29</v>
      </c>
      <c r="E4901" s="1" t="s">
        <v>32</v>
      </c>
      <c r="F4901">
        <v>4.8</v>
      </c>
      <c r="G4901">
        <v>1</v>
      </c>
      <c r="H4901" s="1" t="s">
        <v>14</v>
      </c>
      <c r="I4901" s="1" t="s">
        <v>15</v>
      </c>
      <c r="J4901" s="12">
        <v>45991</v>
      </c>
      <c r="K4901">
        <v>0</v>
      </c>
      <c r="L4901" s="1">
        <f t="shared" si="304"/>
        <v>4.8</v>
      </c>
      <c r="M4901" s="1" t="str">
        <f t="shared" si="305"/>
        <v/>
      </c>
      <c r="N4901" s="2">
        <f t="shared" si="306"/>
        <v>45962</v>
      </c>
      <c r="O4901" t="str">
        <f t="shared" si="307"/>
        <v>mačka</v>
      </c>
    </row>
    <row r="4902" spans="1:15" hidden="1" x14ac:dyDescent="0.25">
      <c r="A4902">
        <v>12388</v>
      </c>
      <c r="B4902" s="11">
        <v>4062345678917</v>
      </c>
      <c r="C4902" s="1" t="s">
        <v>649</v>
      </c>
      <c r="D4902" s="1" t="s">
        <v>140</v>
      </c>
      <c r="E4902" s="1" t="s">
        <v>69</v>
      </c>
      <c r="F4902">
        <v>59.64</v>
      </c>
      <c r="G4902">
        <v>1</v>
      </c>
      <c r="H4902" s="1" t="s">
        <v>23</v>
      </c>
      <c r="I4902" s="1" t="s">
        <v>1126</v>
      </c>
      <c r="J4902" s="12">
        <v>45991</v>
      </c>
      <c r="K4902">
        <v>0</v>
      </c>
      <c r="L4902" s="1">
        <f t="shared" si="304"/>
        <v>59.64</v>
      </c>
      <c r="M4902" s="1">
        <f t="shared" si="305"/>
        <v>5</v>
      </c>
      <c r="N4902" s="2">
        <f t="shared" si="306"/>
        <v>45962</v>
      </c>
      <c r="O4902" t="str">
        <f t="shared" si="307"/>
        <v>mačka</v>
      </c>
    </row>
    <row r="4903" spans="1:15" x14ac:dyDescent="0.25">
      <c r="A4903">
        <v>12389</v>
      </c>
      <c r="B4903" s="11">
        <v>4027788990013</v>
      </c>
      <c r="C4903" s="1" t="s">
        <v>43</v>
      </c>
      <c r="D4903" s="1" t="s">
        <v>21</v>
      </c>
      <c r="E4903" s="1" t="s">
        <v>22</v>
      </c>
      <c r="F4903">
        <v>8</v>
      </c>
      <c r="G4903">
        <v>1</v>
      </c>
      <c r="H4903" s="1" t="s">
        <v>14</v>
      </c>
      <c r="I4903" s="1" t="s">
        <v>15</v>
      </c>
      <c r="J4903" s="12">
        <v>45991</v>
      </c>
      <c r="K4903">
        <v>0</v>
      </c>
      <c r="L4903" s="1">
        <f t="shared" si="304"/>
        <v>8</v>
      </c>
      <c r="M4903" s="1" t="str">
        <f t="shared" si="305"/>
        <v/>
      </c>
      <c r="N4903" s="2">
        <f t="shared" si="306"/>
        <v>45962</v>
      </c>
      <c r="O4903" t="str">
        <f t="shared" si="307"/>
        <v>pes</v>
      </c>
    </row>
    <row r="4904" spans="1:15" x14ac:dyDescent="0.25">
      <c r="A4904">
        <v>12390</v>
      </c>
      <c r="B4904" s="11">
        <v>4061011223346</v>
      </c>
      <c r="C4904" s="1" t="s">
        <v>25</v>
      </c>
      <c r="D4904" s="1" t="s">
        <v>26</v>
      </c>
      <c r="E4904" s="1" t="s">
        <v>27</v>
      </c>
      <c r="F4904">
        <v>19.600000000000001</v>
      </c>
      <c r="G4904">
        <v>1</v>
      </c>
      <c r="H4904" s="1" t="s">
        <v>18</v>
      </c>
      <c r="I4904" s="1" t="s">
        <v>1127</v>
      </c>
      <c r="J4904" s="12">
        <v>45991</v>
      </c>
      <c r="K4904">
        <v>0</v>
      </c>
      <c r="L4904" s="1">
        <f t="shared" si="304"/>
        <v>19.600000000000001</v>
      </c>
      <c r="M4904" s="1">
        <f t="shared" si="305"/>
        <v>4</v>
      </c>
      <c r="N4904" s="2">
        <f t="shared" si="306"/>
        <v>45962</v>
      </c>
      <c r="O4904" t="str">
        <f t="shared" si="307"/>
        <v>pes</v>
      </c>
    </row>
    <row r="4905" spans="1:15" hidden="1" x14ac:dyDescent="0.25">
      <c r="A4905">
        <v>12391</v>
      </c>
      <c r="B4905" s="11">
        <v>4055566778892</v>
      </c>
      <c r="C4905" s="1" t="s">
        <v>652</v>
      </c>
      <c r="D4905" s="1" t="s">
        <v>317</v>
      </c>
      <c r="E4905" s="1" t="s">
        <v>69</v>
      </c>
      <c r="F4905">
        <v>8</v>
      </c>
      <c r="G4905">
        <v>1</v>
      </c>
      <c r="H4905" s="1" t="s">
        <v>23</v>
      </c>
      <c r="I4905" s="1" t="s">
        <v>1128</v>
      </c>
      <c r="J4905" s="12">
        <v>45991</v>
      </c>
      <c r="K4905">
        <v>0</v>
      </c>
      <c r="L4905" s="1">
        <f t="shared" si="304"/>
        <v>8</v>
      </c>
      <c r="M4905" s="1">
        <f t="shared" si="305"/>
        <v>5</v>
      </c>
      <c r="N4905" s="2">
        <f t="shared" si="306"/>
        <v>45962</v>
      </c>
      <c r="O4905" t="str">
        <f t="shared" si="307"/>
        <v>mačka</v>
      </c>
    </row>
    <row r="4906" spans="1:15" hidden="1" x14ac:dyDescent="0.25">
      <c r="A4906">
        <v>12392</v>
      </c>
      <c r="B4906" s="11">
        <v>4029900112244</v>
      </c>
      <c r="C4906" s="1" t="s">
        <v>655</v>
      </c>
      <c r="D4906" s="1" t="s">
        <v>36</v>
      </c>
      <c r="E4906" s="1" t="s">
        <v>37</v>
      </c>
      <c r="F4906">
        <v>13.6</v>
      </c>
      <c r="G4906">
        <v>1</v>
      </c>
      <c r="H4906" s="1" t="s">
        <v>14</v>
      </c>
      <c r="I4906" s="1" t="s">
        <v>15</v>
      </c>
      <c r="J4906" s="12">
        <v>45991</v>
      </c>
      <c r="K4906">
        <v>0</v>
      </c>
      <c r="L4906" s="1">
        <f t="shared" si="304"/>
        <v>13.6</v>
      </c>
      <c r="M4906" s="1" t="str">
        <f t="shared" si="305"/>
        <v/>
      </c>
      <c r="N4906" s="2">
        <f t="shared" si="306"/>
        <v>45962</v>
      </c>
      <c r="O4906" t="str">
        <f t="shared" si="307"/>
        <v>mačka</v>
      </c>
    </row>
    <row r="4907" spans="1:15" x14ac:dyDescent="0.25">
      <c r="A4907">
        <v>12393</v>
      </c>
      <c r="B4907" s="11">
        <v>8592233445568</v>
      </c>
      <c r="C4907" s="1" t="s">
        <v>138</v>
      </c>
      <c r="D4907" s="1" t="s">
        <v>133</v>
      </c>
      <c r="E4907" s="1" t="s">
        <v>17</v>
      </c>
      <c r="F4907">
        <v>79.64</v>
      </c>
      <c r="G4907">
        <v>1</v>
      </c>
      <c r="H4907" s="1" t="s">
        <v>23</v>
      </c>
      <c r="I4907" s="1" t="s">
        <v>1129</v>
      </c>
      <c r="J4907" s="12">
        <v>45991</v>
      </c>
      <c r="K4907">
        <v>0</v>
      </c>
      <c r="L4907" s="1">
        <f t="shared" si="304"/>
        <v>79.64</v>
      </c>
      <c r="M4907" s="1">
        <f t="shared" si="305"/>
        <v>5</v>
      </c>
      <c r="N4907" s="2">
        <f t="shared" si="306"/>
        <v>45962</v>
      </c>
      <c r="O4907" t="str">
        <f t="shared" si="307"/>
        <v>pes</v>
      </c>
    </row>
    <row r="4908" spans="1:15" x14ac:dyDescent="0.25">
      <c r="A4908">
        <v>12394</v>
      </c>
      <c r="B4908" s="11">
        <v>4017890123450</v>
      </c>
      <c r="C4908" s="1" t="s">
        <v>65</v>
      </c>
      <c r="D4908" s="1" t="s">
        <v>39</v>
      </c>
      <c r="E4908" s="1" t="s">
        <v>22</v>
      </c>
      <c r="F4908">
        <v>7.6</v>
      </c>
      <c r="G4908">
        <v>2</v>
      </c>
      <c r="H4908" s="1" t="s">
        <v>14</v>
      </c>
      <c r="I4908" s="1" t="s">
        <v>15</v>
      </c>
      <c r="J4908" s="12">
        <v>45991</v>
      </c>
      <c r="K4908">
        <v>0</v>
      </c>
      <c r="L4908" s="1">
        <f t="shared" si="304"/>
        <v>15.2</v>
      </c>
      <c r="M4908" s="1" t="str">
        <f t="shared" si="305"/>
        <v/>
      </c>
      <c r="N4908" s="2">
        <f t="shared" si="306"/>
        <v>45962</v>
      </c>
      <c r="O4908" t="str">
        <f t="shared" si="307"/>
        <v>pes</v>
      </c>
    </row>
    <row r="4909" spans="1:15" hidden="1" x14ac:dyDescent="0.25">
      <c r="A4909">
        <v>12395</v>
      </c>
      <c r="B4909" s="11">
        <v>4008899001134</v>
      </c>
      <c r="C4909" s="1" t="s">
        <v>332</v>
      </c>
      <c r="D4909" s="1" t="s">
        <v>333</v>
      </c>
      <c r="E4909" s="1" t="s">
        <v>334</v>
      </c>
      <c r="F4909">
        <v>47.64</v>
      </c>
      <c r="G4909">
        <v>1</v>
      </c>
      <c r="H4909" s="1" t="s">
        <v>18</v>
      </c>
      <c r="I4909" s="1" t="s">
        <v>1130</v>
      </c>
      <c r="J4909" s="12">
        <v>45991</v>
      </c>
      <c r="K4909">
        <v>0</v>
      </c>
      <c r="L4909" s="1">
        <f t="shared" si="304"/>
        <v>47.64</v>
      </c>
      <c r="M4909" s="1">
        <f t="shared" si="305"/>
        <v>4</v>
      </c>
      <c r="N4909" s="2">
        <f t="shared" si="306"/>
        <v>45962</v>
      </c>
      <c r="O4909" t="str">
        <f t="shared" si="307"/>
        <v>iné</v>
      </c>
    </row>
    <row r="4910" spans="1:15" hidden="1" x14ac:dyDescent="0.25">
      <c r="A4910">
        <v>12396</v>
      </c>
      <c r="B4910" s="11">
        <v>4024455667788</v>
      </c>
      <c r="C4910" s="1" t="s">
        <v>657</v>
      </c>
      <c r="D4910" s="1" t="s">
        <v>140</v>
      </c>
      <c r="E4910" s="1" t="s">
        <v>42</v>
      </c>
      <c r="F4910">
        <v>75.64</v>
      </c>
      <c r="G4910">
        <v>1</v>
      </c>
      <c r="H4910" s="1" t="s">
        <v>14</v>
      </c>
      <c r="I4910" s="1" t="s">
        <v>15</v>
      </c>
      <c r="J4910" s="12">
        <v>45991</v>
      </c>
      <c r="K4910">
        <v>0</v>
      </c>
      <c r="L4910" s="1">
        <f t="shared" si="304"/>
        <v>75.64</v>
      </c>
      <c r="M4910" s="1" t="str">
        <f t="shared" si="305"/>
        <v/>
      </c>
      <c r="N4910" s="2">
        <f t="shared" si="306"/>
        <v>45962</v>
      </c>
      <c r="O4910" t="str">
        <f t="shared" si="307"/>
        <v>mačka</v>
      </c>
    </row>
    <row r="4911" spans="1:15" hidden="1" x14ac:dyDescent="0.25">
      <c r="A4911">
        <v>12397</v>
      </c>
      <c r="B4911" s="11">
        <v>4069012345682</v>
      </c>
      <c r="C4911" s="1" t="s">
        <v>143</v>
      </c>
      <c r="D4911" s="1" t="s">
        <v>144</v>
      </c>
      <c r="E4911" s="1" t="s">
        <v>30</v>
      </c>
      <c r="F4911">
        <v>26</v>
      </c>
      <c r="G4911">
        <v>1</v>
      </c>
      <c r="H4911" s="1" t="s">
        <v>23</v>
      </c>
      <c r="I4911" s="1" t="s">
        <v>1131</v>
      </c>
      <c r="J4911" s="12">
        <v>45991</v>
      </c>
      <c r="K4911">
        <v>0</v>
      </c>
      <c r="L4911" s="1">
        <f t="shared" si="304"/>
        <v>26</v>
      </c>
      <c r="M4911" s="1">
        <f t="shared" si="305"/>
        <v>5</v>
      </c>
      <c r="N4911" s="2">
        <f t="shared" si="306"/>
        <v>45962</v>
      </c>
      <c r="O4911" t="str">
        <f t="shared" si="307"/>
        <v>mačka</v>
      </c>
    </row>
    <row r="4912" spans="1:15" hidden="1" x14ac:dyDescent="0.25">
      <c r="A4912">
        <v>12398</v>
      </c>
      <c r="B4912" s="11">
        <v>4002233445566</v>
      </c>
      <c r="C4912" s="1" t="s">
        <v>268</v>
      </c>
      <c r="D4912" s="1" t="s">
        <v>140</v>
      </c>
      <c r="E4912" s="1" t="s">
        <v>30</v>
      </c>
      <c r="F4912">
        <v>20</v>
      </c>
      <c r="G4912">
        <v>1</v>
      </c>
      <c r="H4912" s="1" t="s">
        <v>18</v>
      </c>
      <c r="I4912" s="1" t="s">
        <v>1132</v>
      </c>
      <c r="J4912" s="12">
        <v>45991</v>
      </c>
      <c r="K4912">
        <v>0</v>
      </c>
      <c r="L4912" s="1">
        <f t="shared" si="304"/>
        <v>20</v>
      </c>
      <c r="M4912" s="1">
        <f t="shared" si="305"/>
        <v>4</v>
      </c>
      <c r="N4912" s="2">
        <f t="shared" si="306"/>
        <v>45962</v>
      </c>
      <c r="O4912" t="str">
        <f t="shared" si="307"/>
        <v>mačka</v>
      </c>
    </row>
    <row r="4913" spans="1:15" x14ac:dyDescent="0.25">
      <c r="A4913">
        <v>12399</v>
      </c>
      <c r="B4913" s="11">
        <v>4028899001126</v>
      </c>
      <c r="C4913" s="1" t="s">
        <v>16</v>
      </c>
      <c r="D4913" s="1" t="s">
        <v>12</v>
      </c>
      <c r="E4913" s="1" t="s">
        <v>17</v>
      </c>
      <c r="F4913">
        <v>2.8</v>
      </c>
      <c r="G4913">
        <v>3</v>
      </c>
      <c r="H4913" s="1" t="s">
        <v>23</v>
      </c>
      <c r="I4913" s="1" t="s">
        <v>1133</v>
      </c>
      <c r="J4913" s="12">
        <v>45991</v>
      </c>
      <c r="K4913">
        <v>0</v>
      </c>
      <c r="L4913" s="1">
        <f t="shared" si="304"/>
        <v>8.3999999999999986</v>
      </c>
      <c r="M4913" s="1">
        <f t="shared" si="305"/>
        <v>5</v>
      </c>
      <c r="N4913" s="2">
        <f t="shared" si="306"/>
        <v>45962</v>
      </c>
      <c r="O4913" t="str">
        <f t="shared" si="307"/>
        <v>pes</v>
      </c>
    </row>
    <row r="4914" spans="1:15" x14ac:dyDescent="0.25">
      <c r="A4914">
        <v>12400</v>
      </c>
      <c r="B4914" s="11">
        <v>4013456789017</v>
      </c>
      <c r="C4914" s="1" t="s">
        <v>11</v>
      </c>
      <c r="D4914" s="1" t="s">
        <v>12</v>
      </c>
      <c r="E4914" s="1" t="s">
        <v>13</v>
      </c>
      <c r="F4914">
        <v>6</v>
      </c>
      <c r="G4914">
        <v>2</v>
      </c>
      <c r="H4914" s="1" t="s">
        <v>23</v>
      </c>
      <c r="I4914" s="1" t="s">
        <v>1134</v>
      </c>
      <c r="J4914" s="12">
        <v>45991</v>
      </c>
      <c r="K4914">
        <v>0</v>
      </c>
      <c r="L4914" s="1">
        <f t="shared" si="304"/>
        <v>12</v>
      </c>
      <c r="M4914" s="1">
        <f t="shared" si="305"/>
        <v>5</v>
      </c>
      <c r="N4914" s="2">
        <f t="shared" si="306"/>
        <v>45962</v>
      </c>
      <c r="O4914" t="str">
        <f t="shared" si="307"/>
        <v>pes</v>
      </c>
    </row>
    <row r="4915" spans="1:15" x14ac:dyDescent="0.25">
      <c r="A4915">
        <v>12401</v>
      </c>
      <c r="B4915" s="11">
        <v>4040123456795</v>
      </c>
      <c r="C4915" s="1" t="s">
        <v>20</v>
      </c>
      <c r="D4915" s="1" t="s">
        <v>21</v>
      </c>
      <c r="E4915" s="1" t="s">
        <v>22</v>
      </c>
      <c r="F4915">
        <v>8.8000000000000007</v>
      </c>
      <c r="G4915">
        <v>1</v>
      </c>
      <c r="H4915" s="1" t="s">
        <v>18</v>
      </c>
      <c r="I4915" s="1" t="s">
        <v>1135</v>
      </c>
      <c r="J4915" s="12">
        <v>45991</v>
      </c>
      <c r="K4915">
        <v>0</v>
      </c>
      <c r="L4915" s="1">
        <f t="shared" si="304"/>
        <v>8.8000000000000007</v>
      </c>
      <c r="M4915" s="1">
        <f t="shared" si="305"/>
        <v>4</v>
      </c>
      <c r="N4915" s="2">
        <f t="shared" si="306"/>
        <v>45962</v>
      </c>
      <c r="O4915" t="str">
        <f t="shared" si="307"/>
        <v>pes</v>
      </c>
    </row>
    <row r="4916" spans="1:15" x14ac:dyDescent="0.25">
      <c r="A4916">
        <v>12402</v>
      </c>
      <c r="B4916" s="11">
        <v>4063456789014</v>
      </c>
      <c r="C4916" s="1" t="s">
        <v>60</v>
      </c>
      <c r="D4916" s="1" t="s">
        <v>12</v>
      </c>
      <c r="E4916" s="1" t="s">
        <v>61</v>
      </c>
      <c r="F4916">
        <v>36</v>
      </c>
      <c r="G4916">
        <v>1</v>
      </c>
      <c r="H4916" s="1" t="s">
        <v>14</v>
      </c>
      <c r="I4916" s="1" t="s">
        <v>15</v>
      </c>
      <c r="J4916" s="12">
        <v>45991</v>
      </c>
      <c r="K4916">
        <v>0</v>
      </c>
      <c r="L4916" s="1">
        <f t="shared" si="304"/>
        <v>36</v>
      </c>
      <c r="M4916" s="1" t="str">
        <f t="shared" si="305"/>
        <v/>
      </c>
      <c r="N4916" s="2">
        <f t="shared" si="306"/>
        <v>45962</v>
      </c>
      <c r="O4916" t="str">
        <f t="shared" si="307"/>
        <v>pes</v>
      </c>
    </row>
    <row r="4917" spans="1:15" hidden="1" x14ac:dyDescent="0.25">
      <c r="A4917">
        <v>12403</v>
      </c>
      <c r="B4917" s="11">
        <v>4019876501234</v>
      </c>
      <c r="C4917" s="1" t="s">
        <v>674</v>
      </c>
      <c r="D4917" s="1" t="s">
        <v>29</v>
      </c>
      <c r="E4917" s="1" t="s">
        <v>37</v>
      </c>
      <c r="F4917">
        <v>1.84</v>
      </c>
      <c r="G4917">
        <v>4</v>
      </c>
      <c r="H4917" s="1" t="s">
        <v>23</v>
      </c>
      <c r="I4917" s="1" t="s">
        <v>1136</v>
      </c>
      <c r="J4917" s="12">
        <v>45991</v>
      </c>
      <c r="K4917">
        <v>0</v>
      </c>
      <c r="L4917" s="1">
        <f t="shared" si="304"/>
        <v>7.36</v>
      </c>
      <c r="M4917" s="1">
        <f t="shared" si="305"/>
        <v>5</v>
      </c>
      <c r="N4917" s="2">
        <f t="shared" si="306"/>
        <v>45962</v>
      </c>
      <c r="O4917" t="str">
        <f t="shared" si="307"/>
        <v>mačka</v>
      </c>
    </row>
    <row r="4918" spans="1:15" hidden="1" x14ac:dyDescent="0.25">
      <c r="A4918">
        <v>12404</v>
      </c>
      <c r="B4918" s="11">
        <v>4029900112244</v>
      </c>
      <c r="C4918" s="1" t="s">
        <v>655</v>
      </c>
      <c r="D4918" s="1" t="s">
        <v>36</v>
      </c>
      <c r="E4918" s="1" t="s">
        <v>37</v>
      </c>
      <c r="F4918">
        <v>13.6</v>
      </c>
      <c r="G4918">
        <v>1</v>
      </c>
      <c r="H4918" s="1" t="s">
        <v>18</v>
      </c>
      <c r="I4918" s="1" t="s">
        <v>1137</v>
      </c>
      <c r="J4918" s="12">
        <v>45991</v>
      </c>
      <c r="K4918">
        <v>0</v>
      </c>
      <c r="L4918" s="1">
        <f t="shared" si="304"/>
        <v>13.6</v>
      </c>
      <c r="M4918" s="1">
        <f t="shared" si="305"/>
        <v>4</v>
      </c>
      <c r="N4918" s="2">
        <f t="shared" si="306"/>
        <v>45962</v>
      </c>
      <c r="O4918" t="str">
        <f t="shared" si="307"/>
        <v>mačka</v>
      </c>
    </row>
    <row r="4919" spans="1:15" hidden="1" x14ac:dyDescent="0.25">
      <c r="A4919">
        <v>12405</v>
      </c>
      <c r="B4919" s="11">
        <v>8593456789012</v>
      </c>
      <c r="C4919" s="1" t="s">
        <v>28</v>
      </c>
      <c r="D4919" s="1" t="s">
        <v>29</v>
      </c>
      <c r="E4919" s="1" t="s">
        <v>30</v>
      </c>
      <c r="F4919">
        <v>42</v>
      </c>
      <c r="G4919">
        <v>1</v>
      </c>
      <c r="H4919" s="1" t="s">
        <v>14</v>
      </c>
      <c r="I4919" s="1" t="s">
        <v>15</v>
      </c>
      <c r="J4919" s="12">
        <v>45991</v>
      </c>
      <c r="K4919">
        <v>0</v>
      </c>
      <c r="L4919" s="1">
        <f t="shared" si="304"/>
        <v>42</v>
      </c>
      <c r="M4919" s="1" t="str">
        <f t="shared" si="305"/>
        <v/>
      </c>
      <c r="N4919" s="2">
        <f t="shared" si="306"/>
        <v>45962</v>
      </c>
      <c r="O4919" t="str">
        <f t="shared" si="307"/>
        <v>mačka</v>
      </c>
    </row>
    <row r="4920" spans="1:15" hidden="1" x14ac:dyDescent="0.25">
      <c r="A4920">
        <v>12406</v>
      </c>
      <c r="B4920" s="11">
        <v>4062345678917</v>
      </c>
      <c r="C4920" s="1" t="s">
        <v>649</v>
      </c>
      <c r="D4920" s="1" t="s">
        <v>140</v>
      </c>
      <c r="E4920" s="1" t="s">
        <v>69</v>
      </c>
      <c r="F4920">
        <v>59.64</v>
      </c>
      <c r="G4920">
        <v>1</v>
      </c>
      <c r="H4920" s="1" t="s">
        <v>23</v>
      </c>
      <c r="I4920" s="1" t="s">
        <v>1138</v>
      </c>
      <c r="J4920" s="12">
        <v>45991</v>
      </c>
      <c r="K4920">
        <v>0</v>
      </c>
      <c r="L4920" s="1">
        <f t="shared" si="304"/>
        <v>59.64</v>
      </c>
      <c r="M4920" s="1">
        <f t="shared" si="305"/>
        <v>5</v>
      </c>
      <c r="N4920" s="2">
        <f t="shared" si="306"/>
        <v>45962</v>
      </c>
      <c r="O4920" t="str">
        <f t="shared" si="307"/>
        <v>mačka</v>
      </c>
    </row>
    <row r="4921" spans="1:15" hidden="1" x14ac:dyDescent="0.25">
      <c r="A4921">
        <v>12407</v>
      </c>
      <c r="B4921" s="11">
        <v>4007788990022</v>
      </c>
      <c r="C4921" s="1" t="s">
        <v>663</v>
      </c>
      <c r="D4921" s="1" t="s">
        <v>140</v>
      </c>
      <c r="E4921" s="1" t="s">
        <v>141</v>
      </c>
      <c r="F4921">
        <v>59.64</v>
      </c>
      <c r="G4921">
        <v>1</v>
      </c>
      <c r="H4921" s="1" t="s">
        <v>18</v>
      </c>
      <c r="I4921" s="1" t="s">
        <v>1139</v>
      </c>
      <c r="J4921" s="12">
        <v>45991</v>
      </c>
      <c r="K4921">
        <v>0</v>
      </c>
      <c r="L4921" s="1">
        <f t="shared" si="304"/>
        <v>59.64</v>
      </c>
      <c r="M4921" s="1">
        <f t="shared" si="305"/>
        <v>4</v>
      </c>
      <c r="N4921" s="2">
        <f t="shared" si="306"/>
        <v>45962</v>
      </c>
      <c r="O4921" t="str">
        <f t="shared" si="307"/>
        <v>mačka</v>
      </c>
    </row>
    <row r="4922" spans="1:15" x14ac:dyDescent="0.25">
      <c r="A4922">
        <v>12408</v>
      </c>
      <c r="B4922" s="11">
        <v>4027788990013</v>
      </c>
      <c r="C4922" s="1" t="s">
        <v>43</v>
      </c>
      <c r="D4922" s="1" t="s">
        <v>21</v>
      </c>
      <c r="E4922" s="1" t="s">
        <v>22</v>
      </c>
      <c r="F4922">
        <v>8</v>
      </c>
      <c r="G4922">
        <v>1</v>
      </c>
      <c r="H4922" s="1" t="s">
        <v>14</v>
      </c>
      <c r="I4922" s="1" t="s">
        <v>15</v>
      </c>
      <c r="J4922" s="12">
        <v>45991</v>
      </c>
      <c r="K4922">
        <v>0</v>
      </c>
      <c r="L4922" s="1">
        <f t="shared" si="304"/>
        <v>8</v>
      </c>
      <c r="M4922" s="1" t="str">
        <f t="shared" si="305"/>
        <v/>
      </c>
      <c r="N4922" s="2">
        <f t="shared" si="306"/>
        <v>45962</v>
      </c>
      <c r="O4922" t="str">
        <f t="shared" si="307"/>
        <v>pes</v>
      </c>
    </row>
    <row r="4923" spans="1:15" x14ac:dyDescent="0.25">
      <c r="A4923">
        <v>12409</v>
      </c>
      <c r="B4923" s="11">
        <v>4016677889902</v>
      </c>
      <c r="C4923" s="1" t="s">
        <v>328</v>
      </c>
      <c r="D4923" s="1" t="s">
        <v>26</v>
      </c>
      <c r="E4923" s="1" t="s">
        <v>17</v>
      </c>
      <c r="F4923">
        <v>22</v>
      </c>
      <c r="G4923">
        <v>1</v>
      </c>
      <c r="H4923" s="1" t="s">
        <v>23</v>
      </c>
      <c r="I4923" s="1" t="s">
        <v>1140</v>
      </c>
      <c r="J4923" s="12">
        <v>45991</v>
      </c>
      <c r="K4923">
        <v>0</v>
      </c>
      <c r="L4923" s="1">
        <f t="shared" si="304"/>
        <v>22</v>
      </c>
      <c r="M4923" s="1">
        <f t="shared" si="305"/>
        <v>5</v>
      </c>
      <c r="N4923" s="2">
        <f t="shared" si="306"/>
        <v>45962</v>
      </c>
      <c r="O4923" t="str">
        <f t="shared" si="307"/>
        <v>pes</v>
      </c>
    </row>
    <row r="4924" spans="1:15" x14ac:dyDescent="0.25">
      <c r="A4924">
        <v>12410</v>
      </c>
      <c r="B4924" s="11">
        <v>4061011223346</v>
      </c>
      <c r="C4924" s="1" t="s">
        <v>25</v>
      </c>
      <c r="D4924" s="1" t="s">
        <v>26</v>
      </c>
      <c r="E4924" s="1" t="s">
        <v>27</v>
      </c>
      <c r="F4924">
        <v>19.600000000000001</v>
      </c>
      <c r="G4924">
        <v>1</v>
      </c>
      <c r="H4924" s="1" t="s">
        <v>18</v>
      </c>
      <c r="I4924" s="1" t="s">
        <v>1141</v>
      </c>
      <c r="J4924" s="12">
        <v>45991</v>
      </c>
      <c r="K4924">
        <v>0</v>
      </c>
      <c r="L4924" s="1">
        <f t="shared" si="304"/>
        <v>19.600000000000001</v>
      </c>
      <c r="M4924" s="1">
        <f t="shared" si="305"/>
        <v>4</v>
      </c>
      <c r="N4924" s="2">
        <f t="shared" si="306"/>
        <v>45962</v>
      </c>
      <c r="O4924" t="str">
        <f t="shared" si="307"/>
        <v>pes</v>
      </c>
    </row>
    <row r="4925" spans="1:15" hidden="1" x14ac:dyDescent="0.25">
      <c r="A4925">
        <v>12411</v>
      </c>
      <c r="B4925" s="11">
        <v>4008899001134</v>
      </c>
      <c r="C4925" s="1" t="s">
        <v>332</v>
      </c>
      <c r="D4925" s="1" t="s">
        <v>333</v>
      </c>
      <c r="E4925" s="1" t="s">
        <v>334</v>
      </c>
      <c r="F4925">
        <v>47.64</v>
      </c>
      <c r="G4925">
        <v>1</v>
      </c>
      <c r="H4925" s="1" t="s">
        <v>14</v>
      </c>
      <c r="I4925" s="1" t="s">
        <v>15</v>
      </c>
      <c r="J4925" s="12">
        <v>45991</v>
      </c>
      <c r="K4925">
        <v>0</v>
      </c>
      <c r="L4925" s="1">
        <f t="shared" si="304"/>
        <v>47.64</v>
      </c>
      <c r="M4925" s="1" t="str">
        <f t="shared" si="305"/>
        <v/>
      </c>
      <c r="N4925" s="2">
        <f t="shared" si="306"/>
        <v>45962</v>
      </c>
      <c r="O4925" t="str">
        <f t="shared" si="307"/>
        <v>iné</v>
      </c>
    </row>
    <row r="4926" spans="1:15" hidden="1" x14ac:dyDescent="0.25">
      <c r="A4926">
        <v>12412</v>
      </c>
      <c r="B4926" s="11">
        <v>4009012345672</v>
      </c>
      <c r="C4926" s="1" t="s">
        <v>45</v>
      </c>
      <c r="D4926" s="1" t="s">
        <v>36</v>
      </c>
      <c r="E4926" s="1" t="s">
        <v>32</v>
      </c>
      <c r="F4926">
        <v>11.2</v>
      </c>
      <c r="G4926">
        <v>1</v>
      </c>
      <c r="H4926" s="1" t="s">
        <v>18</v>
      </c>
      <c r="I4926" s="1" t="s">
        <v>1142</v>
      </c>
      <c r="J4926" s="12">
        <v>45991</v>
      </c>
      <c r="K4926">
        <v>0</v>
      </c>
      <c r="L4926" s="1">
        <f t="shared" si="304"/>
        <v>11.2</v>
      </c>
      <c r="M4926" s="1">
        <f t="shared" si="305"/>
        <v>4</v>
      </c>
      <c r="N4926" s="2">
        <f t="shared" si="306"/>
        <v>45962</v>
      </c>
      <c r="O4926" t="str">
        <f t="shared" si="307"/>
        <v>mačka</v>
      </c>
    </row>
    <row r="4927" spans="1:15" hidden="1" x14ac:dyDescent="0.25">
      <c r="A4927">
        <v>12413</v>
      </c>
      <c r="B4927" s="11">
        <v>4050123456794</v>
      </c>
      <c r="C4927" s="1" t="s">
        <v>41</v>
      </c>
      <c r="D4927" s="1" t="s">
        <v>36</v>
      </c>
      <c r="E4927" s="1" t="s">
        <v>42</v>
      </c>
      <c r="F4927">
        <v>7.2</v>
      </c>
      <c r="G4927">
        <v>1</v>
      </c>
      <c r="H4927" s="1" t="s">
        <v>23</v>
      </c>
      <c r="I4927" s="1" t="s">
        <v>1143</v>
      </c>
      <c r="J4927" s="12">
        <v>45991</v>
      </c>
      <c r="K4927">
        <v>0</v>
      </c>
      <c r="L4927" s="1">
        <f t="shared" si="304"/>
        <v>7.2</v>
      </c>
      <c r="M4927" s="1">
        <f t="shared" si="305"/>
        <v>5</v>
      </c>
      <c r="N4927" s="2">
        <f t="shared" si="306"/>
        <v>45962</v>
      </c>
      <c r="O4927" t="str">
        <f t="shared" si="307"/>
        <v>mačka</v>
      </c>
    </row>
    <row r="4928" spans="1:15" x14ac:dyDescent="0.25">
      <c r="A4928">
        <v>12414</v>
      </c>
      <c r="B4928" s="11">
        <v>8592233445568</v>
      </c>
      <c r="C4928" s="1" t="s">
        <v>138</v>
      </c>
      <c r="D4928" s="1" t="s">
        <v>133</v>
      </c>
      <c r="E4928" s="1" t="s">
        <v>17</v>
      </c>
      <c r="F4928">
        <v>79.64</v>
      </c>
      <c r="G4928">
        <v>1</v>
      </c>
      <c r="H4928" s="1" t="s">
        <v>14</v>
      </c>
      <c r="I4928" s="1" t="s">
        <v>15</v>
      </c>
      <c r="J4928" s="12">
        <v>45991</v>
      </c>
      <c r="K4928">
        <v>0</v>
      </c>
      <c r="L4928" s="1">
        <f t="shared" si="304"/>
        <v>79.64</v>
      </c>
      <c r="M4928" s="1" t="str">
        <f t="shared" si="305"/>
        <v/>
      </c>
      <c r="N4928" s="2">
        <f t="shared" si="306"/>
        <v>45962</v>
      </c>
      <c r="O4928" t="str">
        <f t="shared" si="307"/>
        <v>pes</v>
      </c>
    </row>
    <row r="4929" spans="1:15" hidden="1" x14ac:dyDescent="0.25">
      <c r="A4929">
        <v>12415</v>
      </c>
      <c r="B4929" s="11">
        <v>4023456789012</v>
      </c>
      <c r="C4929" s="1" t="s">
        <v>55</v>
      </c>
      <c r="D4929" s="1" t="s">
        <v>29</v>
      </c>
      <c r="E4929" s="1" t="s">
        <v>32</v>
      </c>
      <c r="F4929">
        <v>4</v>
      </c>
      <c r="G4929">
        <v>1</v>
      </c>
      <c r="H4929" s="1" t="s">
        <v>18</v>
      </c>
      <c r="I4929" s="1" t="s">
        <v>730</v>
      </c>
      <c r="J4929" s="12">
        <v>45991</v>
      </c>
      <c r="K4929">
        <v>0</v>
      </c>
      <c r="L4929" s="1">
        <f t="shared" si="304"/>
        <v>4</v>
      </c>
      <c r="M4929" s="1">
        <f t="shared" si="305"/>
        <v>4</v>
      </c>
      <c r="N4929" s="2">
        <f t="shared" si="306"/>
        <v>45962</v>
      </c>
      <c r="O4929" t="str">
        <f t="shared" si="307"/>
        <v>mačka</v>
      </c>
    </row>
    <row r="4930" spans="1:15" x14ac:dyDescent="0.25">
      <c r="A4930">
        <v>12416</v>
      </c>
      <c r="B4930" s="11">
        <v>4028899001126</v>
      </c>
      <c r="C4930" s="1" t="s">
        <v>16</v>
      </c>
      <c r="D4930" s="1" t="s">
        <v>12</v>
      </c>
      <c r="E4930" s="1" t="s">
        <v>17</v>
      </c>
      <c r="F4930">
        <v>2.8</v>
      </c>
      <c r="G4930">
        <v>2</v>
      </c>
      <c r="H4930" s="1" t="s">
        <v>14</v>
      </c>
      <c r="I4930" s="1" t="s">
        <v>15</v>
      </c>
      <c r="J4930" s="12">
        <v>45991</v>
      </c>
      <c r="K4930">
        <v>0</v>
      </c>
      <c r="L4930" s="1">
        <f t="shared" ref="L4930:L4993" si="308">F4930*G4930</f>
        <v>5.6</v>
      </c>
      <c r="M4930" s="1" t="str">
        <f t="shared" ref="M4930:M4993" si="309">IF(H4930="NULL", "",VALUE(H4930))</f>
        <v/>
      </c>
      <c r="N4930" s="2">
        <f t="shared" ref="N4930:N4993" si="310">DATE(YEAR(J4930),MONTH(J4930),1)</f>
        <v>45962</v>
      </c>
      <c r="O4930" t="str">
        <f t="shared" ref="O4930:O4993" si="311">IF(ISNUMBER(SEARCH("Mačky",D4930)),"mačka",IF(ISNUMBER(SEARCH("Psy",D4930)),"pes","iné"))</f>
        <v>pes</v>
      </c>
    </row>
    <row r="4931" spans="1:15" x14ac:dyDescent="0.25">
      <c r="A4931">
        <v>12417</v>
      </c>
      <c r="B4931" s="11">
        <v>4013456789017</v>
      </c>
      <c r="C4931" s="1" t="s">
        <v>11</v>
      </c>
      <c r="D4931" s="1" t="s">
        <v>12</v>
      </c>
      <c r="E4931" s="1" t="s">
        <v>13</v>
      </c>
      <c r="F4931">
        <v>6</v>
      </c>
      <c r="G4931">
        <v>1</v>
      </c>
      <c r="H4931" s="1" t="s">
        <v>23</v>
      </c>
      <c r="I4931" s="1" t="s">
        <v>1144</v>
      </c>
      <c r="J4931" s="12">
        <v>45991</v>
      </c>
      <c r="K4931">
        <v>0</v>
      </c>
      <c r="L4931" s="1">
        <f t="shared" si="308"/>
        <v>6</v>
      </c>
      <c r="M4931" s="1">
        <f t="shared" si="309"/>
        <v>5</v>
      </c>
      <c r="N4931" s="2">
        <f t="shared" si="310"/>
        <v>45962</v>
      </c>
      <c r="O4931" t="str">
        <f t="shared" si="311"/>
        <v>pes</v>
      </c>
    </row>
    <row r="4932" spans="1:15" x14ac:dyDescent="0.25">
      <c r="A4932">
        <v>12418</v>
      </c>
      <c r="B4932" s="11">
        <v>4040123456795</v>
      </c>
      <c r="C4932" s="1" t="s">
        <v>20</v>
      </c>
      <c r="D4932" s="1" t="s">
        <v>21</v>
      </c>
      <c r="E4932" s="1" t="s">
        <v>22</v>
      </c>
      <c r="F4932">
        <v>8.8000000000000007</v>
      </c>
      <c r="G4932">
        <v>1</v>
      </c>
      <c r="H4932" s="1" t="s">
        <v>18</v>
      </c>
      <c r="I4932" s="1" t="s">
        <v>1145</v>
      </c>
      <c r="J4932" s="12">
        <v>45991</v>
      </c>
      <c r="K4932">
        <v>0</v>
      </c>
      <c r="L4932" s="1">
        <f t="shared" si="308"/>
        <v>8.8000000000000007</v>
      </c>
      <c r="M4932" s="1">
        <f t="shared" si="309"/>
        <v>4</v>
      </c>
      <c r="N4932" s="2">
        <f t="shared" si="310"/>
        <v>45962</v>
      </c>
      <c r="O4932" t="str">
        <f t="shared" si="311"/>
        <v>pes</v>
      </c>
    </row>
    <row r="4933" spans="1:15" x14ac:dyDescent="0.25">
      <c r="A4933">
        <v>12419</v>
      </c>
      <c r="B4933" s="11">
        <v>4005566778891</v>
      </c>
      <c r="C4933" s="1" t="s">
        <v>146</v>
      </c>
      <c r="D4933" s="1" t="s">
        <v>26</v>
      </c>
      <c r="E4933" s="1" t="s">
        <v>134</v>
      </c>
      <c r="F4933">
        <v>18</v>
      </c>
      <c r="G4933">
        <v>1</v>
      </c>
      <c r="H4933" s="1" t="s">
        <v>14</v>
      </c>
      <c r="I4933" s="1" t="s">
        <v>15</v>
      </c>
      <c r="J4933" s="12">
        <v>45991</v>
      </c>
      <c r="K4933">
        <v>0</v>
      </c>
      <c r="L4933" s="1">
        <f t="shared" si="308"/>
        <v>18</v>
      </c>
      <c r="M4933" s="1" t="str">
        <f t="shared" si="309"/>
        <v/>
      </c>
      <c r="N4933" s="2">
        <f t="shared" si="310"/>
        <v>45962</v>
      </c>
      <c r="O4933" t="str">
        <f t="shared" si="311"/>
        <v>pes</v>
      </c>
    </row>
    <row r="4934" spans="1:15" hidden="1" x14ac:dyDescent="0.25">
      <c r="A4934">
        <v>12420</v>
      </c>
      <c r="B4934" s="11">
        <v>4056789012345</v>
      </c>
      <c r="C4934" s="1" t="s">
        <v>47</v>
      </c>
      <c r="D4934" s="1" t="s">
        <v>29</v>
      </c>
      <c r="E4934" s="1" t="s">
        <v>37</v>
      </c>
      <c r="F4934">
        <v>2.4</v>
      </c>
      <c r="G4934">
        <v>2</v>
      </c>
      <c r="H4934" s="1" t="s">
        <v>23</v>
      </c>
      <c r="I4934" s="1" t="s">
        <v>1146</v>
      </c>
      <c r="J4934" s="12">
        <v>45991</v>
      </c>
      <c r="K4934">
        <v>0</v>
      </c>
      <c r="L4934" s="1">
        <f t="shared" si="308"/>
        <v>4.8</v>
      </c>
      <c r="M4934" s="1">
        <f t="shared" si="309"/>
        <v>5</v>
      </c>
      <c r="N4934" s="2">
        <f t="shared" si="310"/>
        <v>45962</v>
      </c>
      <c r="O4934" t="str">
        <f t="shared" si="311"/>
        <v>mačka</v>
      </c>
    </row>
    <row r="4935" spans="1:15" hidden="1" x14ac:dyDescent="0.25">
      <c r="A4935">
        <v>12421</v>
      </c>
      <c r="B4935" s="11">
        <v>4006677889904</v>
      </c>
      <c r="C4935" s="1" t="s">
        <v>206</v>
      </c>
      <c r="D4935" s="1" t="s">
        <v>29</v>
      </c>
      <c r="E4935" s="1" t="s">
        <v>30</v>
      </c>
      <c r="F4935">
        <v>2</v>
      </c>
      <c r="G4935">
        <v>3</v>
      </c>
      <c r="H4935" s="1" t="s">
        <v>14</v>
      </c>
      <c r="I4935" s="1" t="s">
        <v>15</v>
      </c>
      <c r="J4935" s="12">
        <v>45991</v>
      </c>
      <c r="K4935">
        <v>0</v>
      </c>
      <c r="L4935" s="1">
        <f t="shared" si="308"/>
        <v>6</v>
      </c>
      <c r="M4935" s="1" t="str">
        <f t="shared" si="309"/>
        <v/>
      </c>
      <c r="N4935" s="2">
        <f t="shared" si="310"/>
        <v>45962</v>
      </c>
      <c r="O4935" t="str">
        <f t="shared" si="311"/>
        <v>mačka</v>
      </c>
    </row>
    <row r="4936" spans="1:15" hidden="1" x14ac:dyDescent="0.25">
      <c r="A4936">
        <v>12422</v>
      </c>
      <c r="B4936" s="11">
        <v>4025566778891</v>
      </c>
      <c r="C4936" s="1" t="s">
        <v>320</v>
      </c>
      <c r="D4936" s="1" t="s">
        <v>317</v>
      </c>
      <c r="E4936" s="1" t="s">
        <v>30</v>
      </c>
      <c r="F4936">
        <v>51.64</v>
      </c>
      <c r="G4936">
        <v>1</v>
      </c>
      <c r="H4936" s="1" t="s">
        <v>18</v>
      </c>
      <c r="I4936" s="1" t="s">
        <v>1147</v>
      </c>
      <c r="J4936" s="12">
        <v>45991</v>
      </c>
      <c r="K4936">
        <v>0</v>
      </c>
      <c r="L4936" s="1">
        <f t="shared" si="308"/>
        <v>51.64</v>
      </c>
      <c r="M4936" s="1">
        <f t="shared" si="309"/>
        <v>4</v>
      </c>
      <c r="N4936" s="2">
        <f t="shared" si="310"/>
        <v>45962</v>
      </c>
      <c r="O4936" t="str">
        <f t="shared" si="311"/>
        <v>mačka</v>
      </c>
    </row>
    <row r="4937" spans="1:15" hidden="1" x14ac:dyDescent="0.25">
      <c r="A4937">
        <v>12423</v>
      </c>
      <c r="B4937" s="11">
        <v>4002233445566</v>
      </c>
      <c r="C4937" s="1" t="s">
        <v>268</v>
      </c>
      <c r="D4937" s="1" t="s">
        <v>140</v>
      </c>
      <c r="E4937" s="1" t="s">
        <v>30</v>
      </c>
      <c r="F4937">
        <v>20</v>
      </c>
      <c r="G4937">
        <v>1</v>
      </c>
      <c r="H4937" s="1" t="s">
        <v>23</v>
      </c>
      <c r="I4937" s="1" t="s">
        <v>1148</v>
      </c>
      <c r="J4937" s="12">
        <v>45991</v>
      </c>
      <c r="K4937">
        <v>0</v>
      </c>
      <c r="L4937" s="1">
        <f t="shared" si="308"/>
        <v>20</v>
      </c>
      <c r="M4937" s="1">
        <f t="shared" si="309"/>
        <v>5</v>
      </c>
      <c r="N4937" s="2">
        <f t="shared" si="310"/>
        <v>45962</v>
      </c>
      <c r="O4937" t="str">
        <f t="shared" si="311"/>
        <v>mačka</v>
      </c>
    </row>
    <row r="4938" spans="1:15" x14ac:dyDescent="0.25">
      <c r="A4938">
        <v>12424</v>
      </c>
      <c r="B4938" s="11">
        <v>4022345678908</v>
      </c>
      <c r="C4938" s="1" t="s">
        <v>363</v>
      </c>
      <c r="D4938" s="1" t="s">
        <v>21</v>
      </c>
      <c r="E4938" s="1" t="s">
        <v>69</v>
      </c>
      <c r="F4938">
        <v>10</v>
      </c>
      <c r="G4938">
        <v>1</v>
      </c>
      <c r="H4938" s="1" t="s">
        <v>14</v>
      </c>
      <c r="I4938" s="1" t="s">
        <v>15</v>
      </c>
      <c r="J4938" s="12">
        <v>45991</v>
      </c>
      <c r="K4938">
        <v>0</v>
      </c>
      <c r="L4938" s="1">
        <f t="shared" si="308"/>
        <v>10</v>
      </c>
      <c r="M4938" s="1" t="str">
        <f t="shared" si="309"/>
        <v/>
      </c>
      <c r="N4938" s="2">
        <f t="shared" si="310"/>
        <v>45962</v>
      </c>
      <c r="O4938" t="str">
        <f t="shared" si="311"/>
        <v>pes</v>
      </c>
    </row>
    <row r="4939" spans="1:15" hidden="1" x14ac:dyDescent="0.25">
      <c r="A4939">
        <v>12425</v>
      </c>
      <c r="B4939" s="11">
        <v>4050123456794</v>
      </c>
      <c r="C4939" s="1" t="s">
        <v>41</v>
      </c>
      <c r="D4939" s="1" t="s">
        <v>36</v>
      </c>
      <c r="E4939" s="1" t="s">
        <v>42</v>
      </c>
      <c r="F4939">
        <v>7.2</v>
      </c>
      <c r="G4939">
        <v>1</v>
      </c>
      <c r="H4939" s="1" t="s">
        <v>18</v>
      </c>
      <c r="I4939" s="1" t="s">
        <v>1149</v>
      </c>
      <c r="J4939" s="12">
        <v>45991</v>
      </c>
      <c r="K4939">
        <v>0</v>
      </c>
      <c r="L4939" s="1">
        <f t="shared" si="308"/>
        <v>7.2</v>
      </c>
      <c r="M4939" s="1">
        <f t="shared" si="309"/>
        <v>4</v>
      </c>
      <c r="N4939" s="2">
        <f t="shared" si="310"/>
        <v>45962</v>
      </c>
      <c r="O4939" t="str">
        <f t="shared" si="311"/>
        <v>mačka</v>
      </c>
    </row>
    <row r="4940" spans="1:15" x14ac:dyDescent="0.25">
      <c r="A4940">
        <v>12426</v>
      </c>
      <c r="B4940" s="11">
        <v>4003344556679</v>
      </c>
      <c r="C4940" s="1" t="s">
        <v>132</v>
      </c>
      <c r="D4940" s="1" t="s">
        <v>133</v>
      </c>
      <c r="E4940" s="1" t="s">
        <v>134</v>
      </c>
      <c r="F4940">
        <v>51.64</v>
      </c>
      <c r="G4940">
        <v>1</v>
      </c>
      <c r="H4940" s="1" t="s">
        <v>23</v>
      </c>
      <c r="I4940" s="1" t="s">
        <v>1150</v>
      </c>
      <c r="J4940" s="12">
        <v>45991</v>
      </c>
      <c r="K4940">
        <v>0</v>
      </c>
      <c r="L4940" s="1">
        <f t="shared" si="308"/>
        <v>51.64</v>
      </c>
      <c r="M4940" s="1">
        <f t="shared" si="309"/>
        <v>5</v>
      </c>
      <c r="N4940" s="2">
        <f t="shared" si="310"/>
        <v>45962</v>
      </c>
      <c r="O4940" t="str">
        <f t="shared" si="311"/>
        <v>pes</v>
      </c>
    </row>
    <row r="4941" spans="1:15" hidden="1" x14ac:dyDescent="0.25">
      <c r="A4941">
        <v>12427</v>
      </c>
      <c r="B4941" s="11">
        <v>4019876501234</v>
      </c>
      <c r="C4941" s="1" t="s">
        <v>674</v>
      </c>
      <c r="D4941" s="1" t="s">
        <v>29</v>
      </c>
      <c r="E4941" s="1" t="s">
        <v>37</v>
      </c>
      <c r="F4941">
        <v>1.84</v>
      </c>
      <c r="G4941">
        <v>2</v>
      </c>
      <c r="H4941" s="1" t="s">
        <v>14</v>
      </c>
      <c r="I4941" s="1" t="s">
        <v>15</v>
      </c>
      <c r="J4941" s="12">
        <v>45991</v>
      </c>
      <c r="K4941">
        <v>0</v>
      </c>
      <c r="L4941" s="1">
        <f t="shared" si="308"/>
        <v>3.68</v>
      </c>
      <c r="M4941" s="1" t="str">
        <f t="shared" si="309"/>
        <v/>
      </c>
      <c r="N4941" s="2">
        <f t="shared" si="310"/>
        <v>45962</v>
      </c>
      <c r="O4941" t="str">
        <f t="shared" si="311"/>
        <v>mačka</v>
      </c>
    </row>
    <row r="4942" spans="1:15" hidden="1" x14ac:dyDescent="0.25">
      <c r="A4942">
        <v>12428</v>
      </c>
      <c r="B4942" s="11">
        <v>4029900112244</v>
      </c>
      <c r="C4942" s="1" t="s">
        <v>655</v>
      </c>
      <c r="D4942" s="1" t="s">
        <v>36</v>
      </c>
      <c r="E4942" s="1" t="s">
        <v>37</v>
      </c>
      <c r="F4942">
        <v>13.6</v>
      </c>
      <c r="G4942">
        <v>1</v>
      </c>
      <c r="H4942" s="1" t="s">
        <v>23</v>
      </c>
      <c r="I4942" s="1" t="s">
        <v>1151</v>
      </c>
      <c r="J4942" s="12">
        <v>45991</v>
      </c>
      <c r="K4942">
        <v>0</v>
      </c>
      <c r="L4942" s="1">
        <f t="shared" si="308"/>
        <v>13.6</v>
      </c>
      <c r="M4942" s="1">
        <f t="shared" si="309"/>
        <v>5</v>
      </c>
      <c r="N4942" s="2">
        <f t="shared" si="310"/>
        <v>45962</v>
      </c>
      <c r="O4942" t="str">
        <f t="shared" si="311"/>
        <v>mačka</v>
      </c>
    </row>
    <row r="4943" spans="1:15" hidden="1" x14ac:dyDescent="0.25">
      <c r="A4943">
        <v>12429</v>
      </c>
      <c r="B4943" s="11">
        <v>8596677889011</v>
      </c>
      <c r="C4943" s="1" t="s">
        <v>318</v>
      </c>
      <c r="D4943" s="1" t="s">
        <v>29</v>
      </c>
      <c r="E4943" s="1" t="s">
        <v>30</v>
      </c>
      <c r="F4943">
        <v>35.200000000000003</v>
      </c>
      <c r="G4943">
        <v>1</v>
      </c>
      <c r="H4943" s="1" t="s">
        <v>18</v>
      </c>
      <c r="I4943" s="1" t="s">
        <v>1152</v>
      </c>
      <c r="J4943" s="12">
        <v>45991</v>
      </c>
      <c r="K4943">
        <v>0</v>
      </c>
      <c r="L4943" s="1">
        <f t="shared" si="308"/>
        <v>35.200000000000003</v>
      </c>
      <c r="M4943" s="1">
        <f t="shared" si="309"/>
        <v>4</v>
      </c>
      <c r="N4943" s="2">
        <f t="shared" si="310"/>
        <v>45962</v>
      </c>
      <c r="O4943" t="str">
        <f t="shared" si="311"/>
        <v>mačka</v>
      </c>
    </row>
    <row r="4944" spans="1:15" hidden="1" x14ac:dyDescent="0.25">
      <c r="A4944">
        <v>12430</v>
      </c>
      <c r="B4944" s="11">
        <v>4008899001134</v>
      </c>
      <c r="C4944" s="1" t="s">
        <v>332</v>
      </c>
      <c r="D4944" s="1" t="s">
        <v>333</v>
      </c>
      <c r="E4944" s="1" t="s">
        <v>334</v>
      </c>
      <c r="F4944">
        <v>47.64</v>
      </c>
      <c r="G4944">
        <v>1</v>
      </c>
      <c r="H4944" s="1" t="s">
        <v>14</v>
      </c>
      <c r="I4944" s="1" t="s">
        <v>15</v>
      </c>
      <c r="J4944" s="12">
        <v>45991</v>
      </c>
      <c r="K4944">
        <v>0</v>
      </c>
      <c r="L4944" s="1">
        <f t="shared" si="308"/>
        <v>47.64</v>
      </c>
      <c r="M4944" s="1" t="str">
        <f t="shared" si="309"/>
        <v/>
      </c>
      <c r="N4944" s="2">
        <f t="shared" si="310"/>
        <v>45962</v>
      </c>
      <c r="O4944" t="str">
        <f t="shared" si="311"/>
        <v>iné</v>
      </c>
    </row>
    <row r="4945" spans="1:15" hidden="1" x14ac:dyDescent="0.25">
      <c r="A4945">
        <v>12431</v>
      </c>
      <c r="B4945" s="11">
        <v>4029900112244</v>
      </c>
      <c r="C4945" s="1" t="s">
        <v>655</v>
      </c>
      <c r="D4945" s="1" t="s">
        <v>36</v>
      </c>
      <c r="E4945" s="1" t="s">
        <v>37</v>
      </c>
      <c r="F4945">
        <v>13.6</v>
      </c>
      <c r="G4945">
        <v>1</v>
      </c>
      <c r="H4945" s="1" t="s">
        <v>18</v>
      </c>
      <c r="I4945" s="1" t="s">
        <v>1153</v>
      </c>
      <c r="J4945" s="12">
        <v>45991</v>
      </c>
      <c r="K4945">
        <v>0</v>
      </c>
      <c r="L4945" s="1">
        <f t="shared" si="308"/>
        <v>13.6</v>
      </c>
      <c r="M4945" s="1">
        <f t="shared" si="309"/>
        <v>4</v>
      </c>
      <c r="N4945" s="2">
        <f t="shared" si="310"/>
        <v>45962</v>
      </c>
      <c r="O4945" t="str">
        <f t="shared" si="311"/>
        <v>mačka</v>
      </c>
    </row>
    <row r="4946" spans="1:15" hidden="1" x14ac:dyDescent="0.25">
      <c r="A4946">
        <v>12432</v>
      </c>
      <c r="B4946" s="11">
        <v>4009012345672</v>
      </c>
      <c r="C4946" s="1" t="s">
        <v>45</v>
      </c>
      <c r="D4946" s="1" t="s">
        <v>36</v>
      </c>
      <c r="E4946" s="1" t="s">
        <v>32</v>
      </c>
      <c r="F4946">
        <v>11.2</v>
      </c>
      <c r="G4946">
        <v>1</v>
      </c>
      <c r="H4946" s="1" t="s">
        <v>14</v>
      </c>
      <c r="I4946" s="1" t="s">
        <v>15</v>
      </c>
      <c r="J4946" s="12">
        <v>45991</v>
      </c>
      <c r="K4946">
        <v>0</v>
      </c>
      <c r="L4946" s="1">
        <f t="shared" si="308"/>
        <v>11.2</v>
      </c>
      <c r="M4946" s="1" t="str">
        <f t="shared" si="309"/>
        <v/>
      </c>
      <c r="N4946" s="2">
        <f t="shared" si="310"/>
        <v>45962</v>
      </c>
      <c r="O4946" t="str">
        <f t="shared" si="311"/>
        <v>mačka</v>
      </c>
    </row>
    <row r="4947" spans="1:15" hidden="1" x14ac:dyDescent="0.25">
      <c r="A4947">
        <v>12433</v>
      </c>
      <c r="B4947" s="11">
        <v>8593456789012</v>
      </c>
      <c r="C4947" s="1" t="s">
        <v>28</v>
      </c>
      <c r="D4947" s="1" t="s">
        <v>29</v>
      </c>
      <c r="E4947" s="1" t="s">
        <v>30</v>
      </c>
      <c r="F4947">
        <v>42</v>
      </c>
      <c r="G4947">
        <v>1</v>
      </c>
      <c r="H4947" s="1" t="s">
        <v>23</v>
      </c>
      <c r="I4947" s="1" t="s">
        <v>1154</v>
      </c>
      <c r="J4947" s="12">
        <v>45991</v>
      </c>
      <c r="K4947">
        <v>0</v>
      </c>
      <c r="L4947" s="1">
        <f t="shared" si="308"/>
        <v>42</v>
      </c>
      <c r="M4947" s="1">
        <f t="shared" si="309"/>
        <v>5</v>
      </c>
      <c r="N4947" s="2">
        <f t="shared" si="310"/>
        <v>45962</v>
      </c>
      <c r="O4947" t="str">
        <f t="shared" si="311"/>
        <v>mačka</v>
      </c>
    </row>
    <row r="4948" spans="1:15" hidden="1" x14ac:dyDescent="0.25">
      <c r="A4948">
        <v>12434</v>
      </c>
      <c r="B4948" s="11">
        <v>4062345678917</v>
      </c>
      <c r="C4948" s="1" t="s">
        <v>649</v>
      </c>
      <c r="D4948" s="1" t="s">
        <v>140</v>
      </c>
      <c r="E4948" s="1" t="s">
        <v>69</v>
      </c>
      <c r="F4948">
        <v>59.64</v>
      </c>
      <c r="G4948">
        <v>1</v>
      </c>
      <c r="H4948" s="1" t="s">
        <v>18</v>
      </c>
      <c r="I4948" s="1" t="s">
        <v>1155</v>
      </c>
      <c r="J4948" s="12">
        <v>45991</v>
      </c>
      <c r="K4948">
        <v>0</v>
      </c>
      <c r="L4948" s="1">
        <f t="shared" si="308"/>
        <v>59.64</v>
      </c>
      <c r="M4948" s="1">
        <f t="shared" si="309"/>
        <v>4</v>
      </c>
      <c r="N4948" s="2">
        <f t="shared" si="310"/>
        <v>45962</v>
      </c>
      <c r="O4948" t="str">
        <f t="shared" si="311"/>
        <v>mačka</v>
      </c>
    </row>
    <row r="4949" spans="1:15" x14ac:dyDescent="0.25">
      <c r="A4949">
        <v>12435</v>
      </c>
      <c r="B4949" s="11">
        <v>4061011223346</v>
      </c>
      <c r="C4949" s="1" t="s">
        <v>25</v>
      </c>
      <c r="D4949" s="1" t="s">
        <v>26</v>
      </c>
      <c r="E4949" s="1" t="s">
        <v>27</v>
      </c>
      <c r="F4949">
        <v>19.600000000000001</v>
      </c>
      <c r="G4949">
        <v>1</v>
      </c>
      <c r="H4949" s="1" t="s">
        <v>18</v>
      </c>
      <c r="I4949" s="1" t="s">
        <v>1156</v>
      </c>
      <c r="J4949" s="12">
        <v>45991</v>
      </c>
      <c r="K4949">
        <v>0</v>
      </c>
      <c r="L4949" s="1">
        <f t="shared" si="308"/>
        <v>19.600000000000001</v>
      </c>
      <c r="M4949" s="1">
        <f t="shared" si="309"/>
        <v>4</v>
      </c>
      <c r="N4949" s="2">
        <f t="shared" si="310"/>
        <v>45962</v>
      </c>
      <c r="O4949" t="str">
        <f t="shared" si="311"/>
        <v>pes</v>
      </c>
    </row>
    <row r="4950" spans="1:15" x14ac:dyDescent="0.25">
      <c r="A4950">
        <v>12436</v>
      </c>
      <c r="B4950" s="11">
        <v>4017890123450</v>
      </c>
      <c r="C4950" s="1" t="s">
        <v>65</v>
      </c>
      <c r="D4950" s="1" t="s">
        <v>39</v>
      </c>
      <c r="E4950" s="1" t="s">
        <v>22</v>
      </c>
      <c r="F4950">
        <v>7.6</v>
      </c>
      <c r="G4950">
        <v>1</v>
      </c>
      <c r="H4950" s="1" t="s">
        <v>14</v>
      </c>
      <c r="I4950" s="1" t="s">
        <v>15</v>
      </c>
      <c r="J4950" s="12">
        <v>45991</v>
      </c>
      <c r="K4950">
        <v>0</v>
      </c>
      <c r="L4950" s="1">
        <f t="shared" si="308"/>
        <v>7.6</v>
      </c>
      <c r="M4950" s="1" t="str">
        <f t="shared" si="309"/>
        <v/>
      </c>
      <c r="N4950" s="2">
        <f t="shared" si="310"/>
        <v>45962</v>
      </c>
      <c r="O4950" t="str">
        <f t="shared" si="311"/>
        <v>pes</v>
      </c>
    </row>
    <row r="4951" spans="1:15" x14ac:dyDescent="0.25">
      <c r="A4951">
        <v>12437</v>
      </c>
      <c r="B4951" s="11">
        <v>4040123456795</v>
      </c>
      <c r="C4951" s="1" t="s">
        <v>20</v>
      </c>
      <c r="D4951" s="1" t="s">
        <v>21</v>
      </c>
      <c r="E4951" s="1" t="s">
        <v>22</v>
      </c>
      <c r="F4951">
        <v>8.8000000000000007</v>
      </c>
      <c r="G4951">
        <v>1</v>
      </c>
      <c r="H4951" s="1" t="s">
        <v>23</v>
      </c>
      <c r="I4951" s="1" t="s">
        <v>1157</v>
      </c>
      <c r="J4951" s="12">
        <v>45991</v>
      </c>
      <c r="K4951">
        <v>0</v>
      </c>
      <c r="L4951" s="1">
        <f t="shared" si="308"/>
        <v>8.8000000000000007</v>
      </c>
      <c r="M4951" s="1">
        <f t="shared" si="309"/>
        <v>5</v>
      </c>
      <c r="N4951" s="2">
        <f t="shared" si="310"/>
        <v>45962</v>
      </c>
      <c r="O4951" t="str">
        <f t="shared" si="311"/>
        <v>pes</v>
      </c>
    </row>
    <row r="4952" spans="1:15" x14ac:dyDescent="0.25">
      <c r="A4952">
        <v>12438</v>
      </c>
      <c r="B4952" s="11">
        <v>4016677889902</v>
      </c>
      <c r="C4952" s="1" t="s">
        <v>328</v>
      </c>
      <c r="D4952" s="1" t="s">
        <v>26</v>
      </c>
      <c r="E4952" s="1" t="s">
        <v>17</v>
      </c>
      <c r="F4952">
        <v>22</v>
      </c>
      <c r="G4952">
        <v>1</v>
      </c>
      <c r="H4952" s="1" t="s">
        <v>14</v>
      </c>
      <c r="I4952" s="1" t="s">
        <v>15</v>
      </c>
      <c r="J4952" s="12">
        <v>45991</v>
      </c>
      <c r="K4952">
        <v>0</v>
      </c>
      <c r="L4952" s="1">
        <f t="shared" si="308"/>
        <v>22</v>
      </c>
      <c r="M4952" s="1" t="str">
        <f t="shared" si="309"/>
        <v/>
      </c>
      <c r="N4952" s="2">
        <f t="shared" si="310"/>
        <v>45962</v>
      </c>
      <c r="O4952" t="str">
        <f t="shared" si="311"/>
        <v>pes</v>
      </c>
    </row>
    <row r="4953" spans="1:15" hidden="1" x14ac:dyDescent="0.25">
      <c r="A4953">
        <v>12439</v>
      </c>
      <c r="B4953" s="11">
        <v>4007788990022</v>
      </c>
      <c r="C4953" s="1" t="s">
        <v>663</v>
      </c>
      <c r="D4953" s="1" t="s">
        <v>140</v>
      </c>
      <c r="E4953" s="1" t="s">
        <v>141</v>
      </c>
      <c r="F4953">
        <v>59.64</v>
      </c>
      <c r="G4953">
        <v>1</v>
      </c>
      <c r="H4953" s="1" t="s">
        <v>23</v>
      </c>
      <c r="I4953" s="1" t="s">
        <v>1158</v>
      </c>
      <c r="J4953" s="12">
        <v>45991</v>
      </c>
      <c r="K4953">
        <v>0</v>
      </c>
      <c r="L4953" s="1">
        <f t="shared" si="308"/>
        <v>59.64</v>
      </c>
      <c r="M4953" s="1">
        <f t="shared" si="309"/>
        <v>5</v>
      </c>
      <c r="N4953" s="2">
        <f t="shared" si="310"/>
        <v>45962</v>
      </c>
      <c r="O4953" t="str">
        <f t="shared" si="311"/>
        <v>mačka</v>
      </c>
    </row>
    <row r="4954" spans="1:15" x14ac:dyDescent="0.25">
      <c r="A4954">
        <v>12440</v>
      </c>
      <c r="B4954" s="11">
        <v>4027788990013</v>
      </c>
      <c r="C4954" s="1" t="s">
        <v>43</v>
      </c>
      <c r="D4954" s="1" t="s">
        <v>21</v>
      </c>
      <c r="E4954" s="1" t="s">
        <v>22</v>
      </c>
      <c r="F4954">
        <v>8</v>
      </c>
      <c r="G4954">
        <v>1</v>
      </c>
      <c r="H4954" s="1" t="s">
        <v>18</v>
      </c>
      <c r="I4954" s="1" t="s">
        <v>1159</v>
      </c>
      <c r="J4954" s="12">
        <v>45991</v>
      </c>
      <c r="K4954">
        <v>0</v>
      </c>
      <c r="L4954" s="1">
        <f t="shared" si="308"/>
        <v>8</v>
      </c>
      <c r="M4954" s="1">
        <f t="shared" si="309"/>
        <v>4</v>
      </c>
      <c r="N4954" s="2">
        <f t="shared" si="310"/>
        <v>45962</v>
      </c>
      <c r="O4954" t="str">
        <f t="shared" si="311"/>
        <v>pes</v>
      </c>
    </row>
    <row r="4955" spans="1:15" hidden="1" x14ac:dyDescent="0.25">
      <c r="A4955">
        <v>12441</v>
      </c>
      <c r="B4955" s="11">
        <v>4025566778891</v>
      </c>
      <c r="C4955" s="1" t="s">
        <v>320</v>
      </c>
      <c r="D4955" s="1" t="s">
        <v>317</v>
      </c>
      <c r="E4955" s="1" t="s">
        <v>30</v>
      </c>
      <c r="F4955">
        <v>51.64</v>
      </c>
      <c r="G4955">
        <v>1</v>
      </c>
      <c r="H4955" s="1" t="s">
        <v>14</v>
      </c>
      <c r="I4955" s="1" t="s">
        <v>15</v>
      </c>
      <c r="J4955" s="12">
        <v>45991</v>
      </c>
      <c r="K4955">
        <v>0</v>
      </c>
      <c r="L4955" s="1">
        <f t="shared" si="308"/>
        <v>51.64</v>
      </c>
      <c r="M4955" s="1" t="str">
        <f t="shared" si="309"/>
        <v/>
      </c>
      <c r="N4955" s="2">
        <f t="shared" si="310"/>
        <v>45962</v>
      </c>
      <c r="O4955" t="str">
        <f t="shared" si="311"/>
        <v>mačka</v>
      </c>
    </row>
    <row r="4956" spans="1:15" hidden="1" x14ac:dyDescent="0.25">
      <c r="A4956">
        <v>12442</v>
      </c>
      <c r="B4956" s="11">
        <v>4056789012345</v>
      </c>
      <c r="C4956" s="1" t="s">
        <v>47</v>
      </c>
      <c r="D4956" s="1" t="s">
        <v>29</v>
      </c>
      <c r="E4956" s="1" t="s">
        <v>37</v>
      </c>
      <c r="F4956">
        <v>2.4</v>
      </c>
      <c r="G4956">
        <v>2</v>
      </c>
      <c r="H4956" s="1" t="s">
        <v>23</v>
      </c>
      <c r="I4956" s="1" t="s">
        <v>1160</v>
      </c>
      <c r="J4956" s="12">
        <v>45991</v>
      </c>
      <c r="K4956">
        <v>0</v>
      </c>
      <c r="L4956" s="1">
        <f t="shared" si="308"/>
        <v>4.8</v>
      </c>
      <c r="M4956" s="1">
        <f t="shared" si="309"/>
        <v>5</v>
      </c>
      <c r="N4956" s="2">
        <f t="shared" si="310"/>
        <v>45962</v>
      </c>
      <c r="O4956" t="str">
        <f t="shared" si="311"/>
        <v>mačka</v>
      </c>
    </row>
    <row r="4957" spans="1:15" hidden="1" x14ac:dyDescent="0.25">
      <c r="A4957">
        <v>12443</v>
      </c>
      <c r="B4957" s="11">
        <v>4019876501234</v>
      </c>
      <c r="C4957" s="1" t="s">
        <v>674</v>
      </c>
      <c r="D4957" s="1" t="s">
        <v>29</v>
      </c>
      <c r="E4957" s="1" t="s">
        <v>37</v>
      </c>
      <c r="F4957">
        <v>1.84</v>
      </c>
      <c r="G4957">
        <v>3</v>
      </c>
      <c r="H4957" s="1" t="s">
        <v>18</v>
      </c>
      <c r="I4957" s="1" t="s">
        <v>1161</v>
      </c>
      <c r="J4957" s="12">
        <v>45991</v>
      </c>
      <c r="K4957">
        <v>0</v>
      </c>
      <c r="L4957" s="1">
        <f t="shared" si="308"/>
        <v>5.5200000000000005</v>
      </c>
      <c r="M4957" s="1">
        <f t="shared" si="309"/>
        <v>4</v>
      </c>
      <c r="N4957" s="2">
        <f t="shared" si="310"/>
        <v>45962</v>
      </c>
      <c r="O4957" t="str">
        <f t="shared" si="311"/>
        <v>mačka</v>
      </c>
    </row>
    <row r="4958" spans="1:15" x14ac:dyDescent="0.25">
      <c r="A4958">
        <v>12444</v>
      </c>
      <c r="B4958" s="11">
        <v>4028899001126</v>
      </c>
      <c r="C4958" s="1" t="s">
        <v>16</v>
      </c>
      <c r="D4958" s="1" t="s">
        <v>12</v>
      </c>
      <c r="E4958" s="1" t="s">
        <v>17</v>
      </c>
      <c r="F4958">
        <v>2.8</v>
      </c>
      <c r="G4958">
        <v>2</v>
      </c>
      <c r="H4958" s="1" t="s">
        <v>14</v>
      </c>
      <c r="I4958" s="1" t="s">
        <v>15</v>
      </c>
      <c r="J4958" s="12">
        <v>45991</v>
      </c>
      <c r="K4958">
        <v>0</v>
      </c>
      <c r="L4958" s="1">
        <f t="shared" si="308"/>
        <v>5.6</v>
      </c>
      <c r="M4958" s="1" t="str">
        <f t="shared" si="309"/>
        <v/>
      </c>
      <c r="N4958" s="2">
        <f t="shared" si="310"/>
        <v>45962</v>
      </c>
      <c r="O4958" t="str">
        <f t="shared" si="311"/>
        <v>pes</v>
      </c>
    </row>
    <row r="4959" spans="1:15" x14ac:dyDescent="0.25">
      <c r="A4959">
        <v>12445</v>
      </c>
      <c r="B4959" s="11">
        <v>4013456789017</v>
      </c>
      <c r="C4959" s="1" t="s">
        <v>11</v>
      </c>
      <c r="D4959" s="1" t="s">
        <v>12</v>
      </c>
      <c r="E4959" s="1" t="s">
        <v>13</v>
      </c>
      <c r="F4959">
        <v>6</v>
      </c>
      <c r="G4959">
        <v>1</v>
      </c>
      <c r="H4959" s="1" t="s">
        <v>18</v>
      </c>
      <c r="I4959" s="1" t="s">
        <v>15</v>
      </c>
      <c r="J4959" s="12">
        <v>45991</v>
      </c>
      <c r="K4959">
        <v>0</v>
      </c>
      <c r="L4959" s="1">
        <f t="shared" si="308"/>
        <v>6</v>
      </c>
      <c r="M4959" s="1">
        <f t="shared" si="309"/>
        <v>4</v>
      </c>
      <c r="N4959" s="2">
        <f t="shared" si="310"/>
        <v>45962</v>
      </c>
      <c r="O4959" t="str">
        <f t="shared" si="311"/>
        <v>pes</v>
      </c>
    </row>
    <row r="4960" spans="1:15" x14ac:dyDescent="0.25">
      <c r="A4960">
        <v>12446</v>
      </c>
      <c r="B4960" s="11">
        <v>4040123456795</v>
      </c>
      <c r="C4960" s="1" t="s">
        <v>20</v>
      </c>
      <c r="D4960" s="1" t="s">
        <v>21</v>
      </c>
      <c r="E4960" s="1" t="s">
        <v>22</v>
      </c>
      <c r="F4960">
        <v>8.8000000000000007</v>
      </c>
      <c r="G4960">
        <v>1</v>
      </c>
      <c r="H4960" s="1" t="s">
        <v>14</v>
      </c>
      <c r="I4960" s="1" t="s">
        <v>15</v>
      </c>
      <c r="J4960" s="12">
        <v>45991</v>
      </c>
      <c r="K4960">
        <v>0</v>
      </c>
      <c r="L4960" s="1">
        <f t="shared" si="308"/>
        <v>8.8000000000000007</v>
      </c>
      <c r="M4960" s="1" t="str">
        <f t="shared" si="309"/>
        <v/>
      </c>
      <c r="N4960" s="2">
        <f t="shared" si="310"/>
        <v>45962</v>
      </c>
      <c r="O4960" t="str">
        <f t="shared" si="311"/>
        <v>pes</v>
      </c>
    </row>
    <row r="4961" spans="1:15" hidden="1" x14ac:dyDescent="0.25">
      <c r="A4961">
        <v>12447</v>
      </c>
      <c r="B4961" s="11">
        <v>4002233445566</v>
      </c>
      <c r="C4961" s="1" t="s">
        <v>268</v>
      </c>
      <c r="D4961" s="1" t="s">
        <v>140</v>
      </c>
      <c r="E4961" s="1" t="s">
        <v>30</v>
      </c>
      <c r="F4961">
        <v>20</v>
      </c>
      <c r="G4961">
        <v>1</v>
      </c>
      <c r="H4961" s="1" t="s">
        <v>14</v>
      </c>
      <c r="I4961" s="1" t="s">
        <v>15</v>
      </c>
      <c r="J4961" s="12">
        <v>45991</v>
      </c>
      <c r="K4961">
        <v>0</v>
      </c>
      <c r="L4961" s="1">
        <f t="shared" si="308"/>
        <v>20</v>
      </c>
      <c r="M4961" s="1" t="str">
        <f t="shared" si="309"/>
        <v/>
      </c>
      <c r="N4961" s="2">
        <f t="shared" si="310"/>
        <v>45962</v>
      </c>
      <c r="O4961" t="str">
        <f t="shared" si="311"/>
        <v>mačka</v>
      </c>
    </row>
    <row r="4962" spans="1:15" hidden="1" x14ac:dyDescent="0.25">
      <c r="A4962">
        <v>12448</v>
      </c>
      <c r="B4962" s="11">
        <v>4069012345682</v>
      </c>
      <c r="C4962" s="1" t="s">
        <v>143</v>
      </c>
      <c r="D4962" s="1" t="s">
        <v>144</v>
      </c>
      <c r="E4962" s="1" t="s">
        <v>30</v>
      </c>
      <c r="F4962">
        <v>26</v>
      </c>
      <c r="G4962">
        <v>1</v>
      </c>
      <c r="H4962" s="1" t="s">
        <v>14</v>
      </c>
      <c r="I4962" s="1" t="s">
        <v>15</v>
      </c>
      <c r="J4962" s="12">
        <v>45991</v>
      </c>
      <c r="K4962">
        <v>0</v>
      </c>
      <c r="L4962" s="1">
        <f t="shared" si="308"/>
        <v>26</v>
      </c>
      <c r="M4962" s="1" t="str">
        <f t="shared" si="309"/>
        <v/>
      </c>
      <c r="N4962" s="2">
        <f t="shared" si="310"/>
        <v>45962</v>
      </c>
      <c r="O4962" t="str">
        <f t="shared" si="311"/>
        <v>mačka</v>
      </c>
    </row>
    <row r="4963" spans="1:15" x14ac:dyDescent="0.25">
      <c r="A4963">
        <v>12449</v>
      </c>
      <c r="B4963" s="11">
        <v>4005566778891</v>
      </c>
      <c r="C4963" s="1" t="s">
        <v>146</v>
      </c>
      <c r="D4963" s="1" t="s">
        <v>26</v>
      </c>
      <c r="E4963" s="1" t="s">
        <v>134</v>
      </c>
      <c r="F4963">
        <v>18</v>
      </c>
      <c r="G4963">
        <v>1</v>
      </c>
      <c r="H4963" s="1" t="s">
        <v>33</v>
      </c>
      <c r="I4963" s="1" t="s">
        <v>113</v>
      </c>
      <c r="J4963" s="12">
        <v>45991</v>
      </c>
      <c r="K4963">
        <v>0</v>
      </c>
      <c r="L4963" s="1">
        <f t="shared" si="308"/>
        <v>18</v>
      </c>
      <c r="M4963" s="1">
        <f t="shared" si="309"/>
        <v>3</v>
      </c>
      <c r="N4963" s="2">
        <f t="shared" si="310"/>
        <v>45962</v>
      </c>
      <c r="O4963" t="str">
        <f t="shared" si="311"/>
        <v>pes</v>
      </c>
    </row>
    <row r="4964" spans="1:15" hidden="1" x14ac:dyDescent="0.25">
      <c r="A4964">
        <v>12450</v>
      </c>
      <c r="B4964" s="11">
        <v>4019876501234</v>
      </c>
      <c r="C4964" s="1" t="s">
        <v>674</v>
      </c>
      <c r="D4964" s="1" t="s">
        <v>29</v>
      </c>
      <c r="E4964" s="1" t="s">
        <v>37</v>
      </c>
      <c r="F4964">
        <v>1.84</v>
      </c>
      <c r="G4964">
        <v>4</v>
      </c>
      <c r="H4964" s="1" t="s">
        <v>14</v>
      </c>
      <c r="I4964" s="1" t="s">
        <v>15</v>
      </c>
      <c r="J4964" s="12">
        <v>45991</v>
      </c>
      <c r="K4964">
        <v>0</v>
      </c>
      <c r="L4964" s="1">
        <f t="shared" si="308"/>
        <v>7.36</v>
      </c>
      <c r="M4964" s="1" t="str">
        <f t="shared" si="309"/>
        <v/>
      </c>
      <c r="N4964" s="2">
        <f t="shared" si="310"/>
        <v>45962</v>
      </c>
      <c r="O4964" t="str">
        <f t="shared" si="311"/>
        <v>mačka</v>
      </c>
    </row>
    <row r="4965" spans="1:15" x14ac:dyDescent="0.25">
      <c r="A4965">
        <v>12451</v>
      </c>
      <c r="B4965" s="11">
        <v>4061011223346</v>
      </c>
      <c r="C4965" s="1" t="s">
        <v>25</v>
      </c>
      <c r="D4965" s="1" t="s">
        <v>26</v>
      </c>
      <c r="E4965" s="1" t="s">
        <v>27</v>
      </c>
      <c r="F4965">
        <v>19.600000000000001</v>
      </c>
      <c r="G4965">
        <v>1</v>
      </c>
      <c r="H4965" s="1" t="s">
        <v>14</v>
      </c>
      <c r="I4965" s="1" t="s">
        <v>15</v>
      </c>
      <c r="J4965" s="12">
        <v>45991</v>
      </c>
      <c r="K4965">
        <v>0</v>
      </c>
      <c r="L4965" s="1">
        <f t="shared" si="308"/>
        <v>19.600000000000001</v>
      </c>
      <c r="M4965" s="1" t="str">
        <f t="shared" si="309"/>
        <v/>
      </c>
      <c r="N4965" s="2">
        <f t="shared" si="310"/>
        <v>45962</v>
      </c>
      <c r="O4965" t="str">
        <f t="shared" si="311"/>
        <v>pes</v>
      </c>
    </row>
    <row r="4966" spans="1:15" hidden="1" x14ac:dyDescent="0.25">
      <c r="A4966">
        <v>12452</v>
      </c>
      <c r="B4966" s="11">
        <v>4029900112244</v>
      </c>
      <c r="C4966" s="1" t="s">
        <v>655</v>
      </c>
      <c r="D4966" s="1" t="s">
        <v>36</v>
      </c>
      <c r="E4966" s="1" t="s">
        <v>37</v>
      </c>
      <c r="F4966">
        <v>13.6</v>
      </c>
      <c r="G4966">
        <v>1</v>
      </c>
      <c r="H4966" s="1" t="s">
        <v>14</v>
      </c>
      <c r="I4966" s="1" t="s">
        <v>15</v>
      </c>
      <c r="J4966" s="12">
        <v>45991</v>
      </c>
      <c r="K4966">
        <v>0</v>
      </c>
      <c r="L4966" s="1">
        <f t="shared" si="308"/>
        <v>13.6</v>
      </c>
      <c r="M4966" s="1" t="str">
        <f t="shared" si="309"/>
        <v/>
      </c>
      <c r="N4966" s="2">
        <f t="shared" si="310"/>
        <v>45962</v>
      </c>
      <c r="O4966" t="str">
        <f t="shared" si="311"/>
        <v>mačka</v>
      </c>
    </row>
    <row r="4967" spans="1:15" hidden="1" x14ac:dyDescent="0.25">
      <c r="A4967">
        <v>12453</v>
      </c>
      <c r="B4967" s="11">
        <v>8593456789012</v>
      </c>
      <c r="C4967" s="1" t="s">
        <v>28</v>
      </c>
      <c r="D4967" s="1" t="s">
        <v>29</v>
      </c>
      <c r="E4967" s="1" t="s">
        <v>30</v>
      </c>
      <c r="F4967">
        <v>42</v>
      </c>
      <c r="G4967">
        <v>1</v>
      </c>
      <c r="H4967" s="1" t="s">
        <v>14</v>
      </c>
      <c r="I4967" s="1" t="s">
        <v>15</v>
      </c>
      <c r="J4967" s="12">
        <v>45991</v>
      </c>
      <c r="K4967">
        <v>0</v>
      </c>
      <c r="L4967" s="1">
        <f t="shared" si="308"/>
        <v>42</v>
      </c>
      <c r="M4967" s="1" t="str">
        <f t="shared" si="309"/>
        <v/>
      </c>
      <c r="N4967" s="2">
        <f t="shared" si="310"/>
        <v>45962</v>
      </c>
      <c r="O4967" t="str">
        <f t="shared" si="311"/>
        <v>mačka</v>
      </c>
    </row>
    <row r="4968" spans="1:15" hidden="1" x14ac:dyDescent="0.25">
      <c r="A4968">
        <v>12454</v>
      </c>
      <c r="B4968" s="11">
        <v>4009012345672</v>
      </c>
      <c r="C4968" s="1" t="s">
        <v>45</v>
      </c>
      <c r="D4968" s="1" t="s">
        <v>36</v>
      </c>
      <c r="E4968" s="1" t="s">
        <v>32</v>
      </c>
      <c r="F4968">
        <v>11.2</v>
      </c>
      <c r="G4968">
        <v>1</v>
      </c>
      <c r="H4968" s="1" t="s">
        <v>14</v>
      </c>
      <c r="I4968" s="1" t="s">
        <v>15</v>
      </c>
      <c r="J4968" s="12">
        <v>45991</v>
      </c>
      <c r="K4968">
        <v>0</v>
      </c>
      <c r="L4968" s="1">
        <f t="shared" si="308"/>
        <v>11.2</v>
      </c>
      <c r="M4968" s="1" t="str">
        <f t="shared" si="309"/>
        <v/>
      </c>
      <c r="N4968" s="2">
        <f t="shared" si="310"/>
        <v>45962</v>
      </c>
      <c r="O4968" t="str">
        <f t="shared" si="311"/>
        <v>mačka</v>
      </c>
    </row>
    <row r="4969" spans="1:15" x14ac:dyDescent="0.25">
      <c r="A4969">
        <v>12455</v>
      </c>
      <c r="B4969" s="11">
        <v>4028899001126</v>
      </c>
      <c r="C4969" s="1" t="s">
        <v>16</v>
      </c>
      <c r="D4969" s="1" t="s">
        <v>12</v>
      </c>
      <c r="E4969" s="1" t="s">
        <v>17</v>
      </c>
      <c r="F4969">
        <v>2.8</v>
      </c>
      <c r="G4969">
        <v>2</v>
      </c>
      <c r="H4969" s="1" t="s">
        <v>18</v>
      </c>
      <c r="I4969" s="1" t="s">
        <v>15</v>
      </c>
      <c r="J4969" s="12">
        <v>45991</v>
      </c>
      <c r="K4969">
        <v>0</v>
      </c>
      <c r="L4969" s="1">
        <f t="shared" si="308"/>
        <v>5.6</v>
      </c>
      <c r="M4969" s="1">
        <f t="shared" si="309"/>
        <v>4</v>
      </c>
      <c r="N4969" s="2">
        <f t="shared" si="310"/>
        <v>45962</v>
      </c>
      <c r="O4969" t="str">
        <f t="shared" si="311"/>
        <v>pes</v>
      </c>
    </row>
    <row r="4970" spans="1:15" x14ac:dyDescent="0.25">
      <c r="A4970">
        <v>12456</v>
      </c>
      <c r="B4970" s="11">
        <v>4013456789017</v>
      </c>
      <c r="C4970" s="1" t="s">
        <v>11</v>
      </c>
      <c r="D4970" s="1" t="s">
        <v>12</v>
      </c>
      <c r="E4970" s="1" t="s">
        <v>13</v>
      </c>
      <c r="F4970">
        <v>6</v>
      </c>
      <c r="G4970">
        <v>1</v>
      </c>
      <c r="H4970" s="1" t="s">
        <v>14</v>
      </c>
      <c r="I4970" s="1" t="s">
        <v>15</v>
      </c>
      <c r="J4970" s="12">
        <v>45991</v>
      </c>
      <c r="K4970">
        <v>0</v>
      </c>
      <c r="L4970" s="1">
        <f t="shared" si="308"/>
        <v>6</v>
      </c>
      <c r="M4970" s="1" t="str">
        <f t="shared" si="309"/>
        <v/>
      </c>
      <c r="N4970" s="2">
        <f t="shared" si="310"/>
        <v>45962</v>
      </c>
      <c r="O4970" t="str">
        <f t="shared" si="311"/>
        <v>pes</v>
      </c>
    </row>
    <row r="4971" spans="1:15" hidden="1" x14ac:dyDescent="0.25">
      <c r="A4971">
        <v>12457</v>
      </c>
      <c r="B4971" s="11">
        <v>4050123456794</v>
      </c>
      <c r="C4971" s="1" t="s">
        <v>41</v>
      </c>
      <c r="D4971" s="1" t="s">
        <v>36</v>
      </c>
      <c r="E4971" s="1" t="s">
        <v>42</v>
      </c>
      <c r="F4971">
        <v>7.2</v>
      </c>
      <c r="G4971">
        <v>1</v>
      </c>
      <c r="H4971" s="1" t="s">
        <v>23</v>
      </c>
      <c r="I4971" s="1" t="s">
        <v>1162</v>
      </c>
      <c r="J4971" s="12">
        <v>45991</v>
      </c>
      <c r="K4971">
        <v>0</v>
      </c>
      <c r="L4971" s="1">
        <f t="shared" si="308"/>
        <v>7.2</v>
      </c>
      <c r="M4971" s="1">
        <f t="shared" si="309"/>
        <v>5</v>
      </c>
      <c r="N4971" s="2">
        <f t="shared" si="310"/>
        <v>45962</v>
      </c>
      <c r="O4971" t="str">
        <f t="shared" si="311"/>
        <v>mačka</v>
      </c>
    </row>
    <row r="4972" spans="1:15" hidden="1" x14ac:dyDescent="0.25">
      <c r="A4972">
        <v>12458</v>
      </c>
      <c r="B4972" s="11">
        <v>4056789012345</v>
      </c>
      <c r="C4972" s="1" t="s">
        <v>47</v>
      </c>
      <c r="D4972" s="1" t="s">
        <v>29</v>
      </c>
      <c r="E4972" s="1" t="s">
        <v>37</v>
      </c>
      <c r="F4972">
        <v>2.4</v>
      </c>
      <c r="G4972">
        <v>3</v>
      </c>
      <c r="H4972" s="1" t="s">
        <v>14</v>
      </c>
      <c r="I4972" s="1" t="s">
        <v>15</v>
      </c>
      <c r="J4972" s="12">
        <v>45991</v>
      </c>
      <c r="K4972">
        <v>0</v>
      </c>
      <c r="L4972" s="1">
        <f t="shared" si="308"/>
        <v>7.1999999999999993</v>
      </c>
      <c r="M4972" s="1" t="str">
        <f t="shared" si="309"/>
        <v/>
      </c>
      <c r="N4972" s="2">
        <f t="shared" si="310"/>
        <v>45962</v>
      </c>
      <c r="O4972" t="str">
        <f t="shared" si="311"/>
        <v>mačka</v>
      </c>
    </row>
    <row r="4973" spans="1:15" x14ac:dyDescent="0.25">
      <c r="A4973">
        <v>12459</v>
      </c>
      <c r="B4973" s="11">
        <v>4022345678908</v>
      </c>
      <c r="C4973" s="1" t="s">
        <v>363</v>
      </c>
      <c r="D4973" s="1" t="s">
        <v>21</v>
      </c>
      <c r="E4973" s="1" t="s">
        <v>69</v>
      </c>
      <c r="F4973">
        <v>10</v>
      </c>
      <c r="G4973">
        <v>1</v>
      </c>
      <c r="H4973" s="1" t="s">
        <v>14</v>
      </c>
      <c r="I4973" s="1" t="s">
        <v>15</v>
      </c>
      <c r="J4973" s="12">
        <v>45991</v>
      </c>
      <c r="K4973">
        <v>0</v>
      </c>
      <c r="L4973" s="1">
        <f t="shared" si="308"/>
        <v>10</v>
      </c>
      <c r="M4973" s="1" t="str">
        <f t="shared" si="309"/>
        <v/>
      </c>
      <c r="N4973" s="2">
        <f t="shared" si="310"/>
        <v>45962</v>
      </c>
      <c r="O4973" t="str">
        <f t="shared" si="311"/>
        <v>pes</v>
      </c>
    </row>
    <row r="4974" spans="1:15" hidden="1" x14ac:dyDescent="0.25">
      <c r="A4974">
        <v>12460</v>
      </c>
      <c r="B4974" s="11">
        <v>4008899001134</v>
      </c>
      <c r="C4974" s="1" t="s">
        <v>332</v>
      </c>
      <c r="D4974" s="1" t="s">
        <v>333</v>
      </c>
      <c r="E4974" s="1" t="s">
        <v>334</v>
      </c>
      <c r="F4974">
        <v>47.64</v>
      </c>
      <c r="G4974">
        <v>1</v>
      </c>
      <c r="H4974" s="1" t="s">
        <v>14</v>
      </c>
      <c r="I4974" s="1" t="s">
        <v>15</v>
      </c>
      <c r="J4974" s="12">
        <v>45991</v>
      </c>
      <c r="K4974">
        <v>0</v>
      </c>
      <c r="L4974" s="1">
        <f t="shared" si="308"/>
        <v>47.64</v>
      </c>
      <c r="M4974" s="1" t="str">
        <f t="shared" si="309"/>
        <v/>
      </c>
      <c r="N4974" s="2">
        <f t="shared" si="310"/>
        <v>45962</v>
      </c>
      <c r="O4974" t="str">
        <f t="shared" si="311"/>
        <v>iné</v>
      </c>
    </row>
    <row r="4975" spans="1:15" hidden="1" x14ac:dyDescent="0.25">
      <c r="A4975">
        <v>12461</v>
      </c>
      <c r="B4975" s="11">
        <v>4017788990015</v>
      </c>
      <c r="C4975" s="1" t="s">
        <v>651</v>
      </c>
      <c r="D4975" s="1" t="s">
        <v>29</v>
      </c>
      <c r="E4975" s="1" t="s">
        <v>32</v>
      </c>
      <c r="F4975">
        <v>4.8</v>
      </c>
      <c r="G4975">
        <v>1</v>
      </c>
      <c r="H4975" s="1" t="s">
        <v>14</v>
      </c>
      <c r="I4975" s="1" t="s">
        <v>15</v>
      </c>
      <c r="J4975" s="12">
        <v>45991</v>
      </c>
      <c r="K4975">
        <v>0</v>
      </c>
      <c r="L4975" s="1">
        <f t="shared" si="308"/>
        <v>4.8</v>
      </c>
      <c r="M4975" s="1" t="str">
        <f t="shared" si="309"/>
        <v/>
      </c>
      <c r="N4975" s="2">
        <f t="shared" si="310"/>
        <v>45962</v>
      </c>
      <c r="O4975" t="str">
        <f t="shared" si="311"/>
        <v>mačka</v>
      </c>
    </row>
    <row r="4976" spans="1:15" x14ac:dyDescent="0.25">
      <c r="A4976">
        <v>12462</v>
      </c>
      <c r="B4976" s="11">
        <v>4063456789014</v>
      </c>
      <c r="C4976" s="1" t="s">
        <v>60</v>
      </c>
      <c r="D4976" s="1" t="s">
        <v>12</v>
      </c>
      <c r="E4976" s="1" t="s">
        <v>61</v>
      </c>
      <c r="F4976">
        <v>36</v>
      </c>
      <c r="G4976">
        <v>1</v>
      </c>
      <c r="H4976" s="1" t="s">
        <v>14</v>
      </c>
      <c r="I4976" s="1" t="s">
        <v>15</v>
      </c>
      <c r="J4976" s="12">
        <v>45991</v>
      </c>
      <c r="K4976">
        <v>0</v>
      </c>
      <c r="L4976" s="1">
        <f t="shared" si="308"/>
        <v>36</v>
      </c>
      <c r="M4976" s="1" t="str">
        <f t="shared" si="309"/>
        <v/>
      </c>
      <c r="N4976" s="2">
        <f t="shared" si="310"/>
        <v>45962</v>
      </c>
      <c r="O4976" t="str">
        <f t="shared" si="311"/>
        <v>pes</v>
      </c>
    </row>
    <row r="4977" spans="1:15" x14ac:dyDescent="0.25">
      <c r="A4977">
        <v>12463</v>
      </c>
      <c r="B4977" s="11">
        <v>4003344556679</v>
      </c>
      <c r="C4977" s="1" t="s">
        <v>132</v>
      </c>
      <c r="D4977" s="1" t="s">
        <v>133</v>
      </c>
      <c r="E4977" s="1" t="s">
        <v>134</v>
      </c>
      <c r="F4977">
        <v>51.64</v>
      </c>
      <c r="G4977">
        <v>1</v>
      </c>
      <c r="H4977" s="1" t="s">
        <v>14</v>
      </c>
      <c r="I4977" s="1" t="s">
        <v>15</v>
      </c>
      <c r="J4977" s="12">
        <v>45991</v>
      </c>
      <c r="K4977">
        <v>0</v>
      </c>
      <c r="L4977" s="1">
        <f t="shared" si="308"/>
        <v>51.64</v>
      </c>
      <c r="M4977" s="1" t="str">
        <f t="shared" si="309"/>
        <v/>
      </c>
      <c r="N4977" s="2">
        <f t="shared" si="310"/>
        <v>45962</v>
      </c>
      <c r="O4977" t="str">
        <f t="shared" si="311"/>
        <v>pes</v>
      </c>
    </row>
    <row r="4978" spans="1:15" hidden="1" x14ac:dyDescent="0.25">
      <c r="A4978">
        <v>12464</v>
      </c>
      <c r="B4978" s="11">
        <v>4029900112244</v>
      </c>
      <c r="C4978" s="1" t="s">
        <v>655</v>
      </c>
      <c r="D4978" s="1" t="s">
        <v>36</v>
      </c>
      <c r="E4978" s="1" t="s">
        <v>37</v>
      </c>
      <c r="F4978">
        <v>13.6</v>
      </c>
      <c r="G4978">
        <v>1</v>
      </c>
      <c r="H4978" s="1" t="s">
        <v>14</v>
      </c>
      <c r="I4978" s="1" t="s">
        <v>15</v>
      </c>
      <c r="J4978" s="12">
        <v>45991</v>
      </c>
      <c r="K4978">
        <v>0</v>
      </c>
      <c r="L4978" s="1">
        <f t="shared" si="308"/>
        <v>13.6</v>
      </c>
      <c r="M4978" s="1" t="str">
        <f t="shared" si="309"/>
        <v/>
      </c>
      <c r="N4978" s="2">
        <f t="shared" si="310"/>
        <v>45962</v>
      </c>
      <c r="O4978" t="str">
        <f t="shared" si="311"/>
        <v>mačka</v>
      </c>
    </row>
    <row r="4979" spans="1:15" x14ac:dyDescent="0.25">
      <c r="A4979">
        <v>12465</v>
      </c>
      <c r="B4979" s="11">
        <v>4028899001126</v>
      </c>
      <c r="C4979" s="1" t="s">
        <v>16</v>
      </c>
      <c r="D4979" s="1" t="s">
        <v>12</v>
      </c>
      <c r="E4979" s="1" t="s">
        <v>17</v>
      </c>
      <c r="F4979">
        <v>2.8</v>
      </c>
      <c r="G4979">
        <v>1</v>
      </c>
      <c r="H4979" s="1" t="s">
        <v>33</v>
      </c>
      <c r="I4979" s="1" t="s">
        <v>15</v>
      </c>
      <c r="J4979" s="12">
        <v>45991</v>
      </c>
      <c r="K4979">
        <v>0</v>
      </c>
      <c r="L4979" s="1">
        <f t="shared" si="308"/>
        <v>2.8</v>
      </c>
      <c r="M4979" s="1">
        <f t="shared" si="309"/>
        <v>3</v>
      </c>
      <c r="N4979" s="2">
        <f t="shared" si="310"/>
        <v>45962</v>
      </c>
      <c r="O4979" t="str">
        <f t="shared" si="311"/>
        <v>pes</v>
      </c>
    </row>
    <row r="4980" spans="1:15" hidden="1" x14ac:dyDescent="0.25">
      <c r="A4980">
        <v>12466</v>
      </c>
      <c r="B4980" s="11">
        <v>4019876501234</v>
      </c>
      <c r="C4980" s="1" t="s">
        <v>674</v>
      </c>
      <c r="D4980" s="1" t="s">
        <v>29</v>
      </c>
      <c r="E4980" s="1" t="s">
        <v>37</v>
      </c>
      <c r="F4980">
        <v>1.84</v>
      </c>
      <c r="G4980">
        <v>2</v>
      </c>
      <c r="H4980" s="1" t="s">
        <v>14</v>
      </c>
      <c r="I4980" s="1" t="s">
        <v>15</v>
      </c>
      <c r="J4980" s="12">
        <v>45991</v>
      </c>
      <c r="K4980">
        <v>0</v>
      </c>
      <c r="L4980" s="1">
        <f t="shared" si="308"/>
        <v>3.68</v>
      </c>
      <c r="M4980" s="1" t="str">
        <f t="shared" si="309"/>
        <v/>
      </c>
      <c r="N4980" s="2">
        <f t="shared" si="310"/>
        <v>45962</v>
      </c>
      <c r="O4980" t="str">
        <f t="shared" si="311"/>
        <v>mačka</v>
      </c>
    </row>
    <row r="4981" spans="1:15" hidden="1" x14ac:dyDescent="0.25">
      <c r="A4981">
        <v>12467</v>
      </c>
      <c r="B4981" s="11">
        <v>4055566778892</v>
      </c>
      <c r="C4981" s="1" t="s">
        <v>652</v>
      </c>
      <c r="D4981" s="1" t="s">
        <v>317</v>
      </c>
      <c r="E4981" s="1" t="s">
        <v>69</v>
      </c>
      <c r="F4981">
        <v>8</v>
      </c>
      <c r="G4981">
        <v>1</v>
      </c>
      <c r="H4981" s="1" t="s">
        <v>14</v>
      </c>
      <c r="I4981" s="1" t="s">
        <v>15</v>
      </c>
      <c r="J4981" s="12">
        <v>45991</v>
      </c>
      <c r="K4981">
        <v>0</v>
      </c>
      <c r="L4981" s="1">
        <f t="shared" si="308"/>
        <v>8</v>
      </c>
      <c r="M4981" s="1" t="str">
        <f t="shared" si="309"/>
        <v/>
      </c>
      <c r="N4981" s="2">
        <f t="shared" si="310"/>
        <v>45962</v>
      </c>
      <c r="O4981" t="str">
        <f t="shared" si="311"/>
        <v>mačka</v>
      </c>
    </row>
    <row r="4982" spans="1:15" hidden="1" x14ac:dyDescent="0.25">
      <c r="A4982">
        <v>12468</v>
      </c>
      <c r="B4982" s="11">
        <v>8596677889011</v>
      </c>
      <c r="C4982" s="1" t="s">
        <v>318</v>
      </c>
      <c r="D4982" s="1" t="s">
        <v>29</v>
      </c>
      <c r="E4982" s="1" t="s">
        <v>30</v>
      </c>
      <c r="F4982">
        <v>35.200000000000003</v>
      </c>
      <c r="G4982">
        <v>1</v>
      </c>
      <c r="H4982" s="1" t="s">
        <v>14</v>
      </c>
      <c r="I4982" s="1" t="s">
        <v>15</v>
      </c>
      <c r="J4982" s="12">
        <v>45991</v>
      </c>
      <c r="K4982">
        <v>0</v>
      </c>
      <c r="L4982" s="1">
        <f t="shared" si="308"/>
        <v>35.200000000000003</v>
      </c>
      <c r="M4982" s="1" t="str">
        <f t="shared" si="309"/>
        <v/>
      </c>
      <c r="N4982" s="2">
        <f t="shared" si="310"/>
        <v>45962</v>
      </c>
      <c r="O4982" t="str">
        <f t="shared" si="311"/>
        <v>mačka</v>
      </c>
    </row>
    <row r="4983" spans="1:15" x14ac:dyDescent="0.25">
      <c r="A4983">
        <v>12469</v>
      </c>
      <c r="B4983" s="11">
        <v>4017890123450</v>
      </c>
      <c r="C4983" s="1" t="s">
        <v>65</v>
      </c>
      <c r="D4983" s="1" t="s">
        <v>39</v>
      </c>
      <c r="E4983" s="1" t="s">
        <v>22</v>
      </c>
      <c r="F4983">
        <v>7.6</v>
      </c>
      <c r="G4983">
        <v>1</v>
      </c>
      <c r="H4983" s="1" t="s">
        <v>14</v>
      </c>
      <c r="I4983" s="1" t="s">
        <v>15</v>
      </c>
      <c r="J4983" s="12">
        <v>45991</v>
      </c>
      <c r="K4983">
        <v>0</v>
      </c>
      <c r="L4983" s="1">
        <f t="shared" si="308"/>
        <v>7.6</v>
      </c>
      <c r="M4983" s="1" t="str">
        <f t="shared" si="309"/>
        <v/>
      </c>
      <c r="N4983" s="2">
        <f t="shared" si="310"/>
        <v>45962</v>
      </c>
      <c r="O4983" t="str">
        <f t="shared" si="311"/>
        <v>pes</v>
      </c>
    </row>
    <row r="4984" spans="1:15" x14ac:dyDescent="0.25">
      <c r="A4984">
        <v>12470</v>
      </c>
      <c r="B4984" s="11">
        <v>4027788990013</v>
      </c>
      <c r="C4984" s="1" t="s">
        <v>43</v>
      </c>
      <c r="D4984" s="1" t="s">
        <v>21</v>
      </c>
      <c r="E4984" s="1" t="s">
        <v>22</v>
      </c>
      <c r="F4984">
        <v>8</v>
      </c>
      <c r="G4984">
        <v>1</v>
      </c>
      <c r="H4984" s="1" t="s">
        <v>18</v>
      </c>
      <c r="I4984" s="1" t="s">
        <v>15</v>
      </c>
      <c r="J4984" s="12">
        <v>45991</v>
      </c>
      <c r="K4984">
        <v>0</v>
      </c>
      <c r="L4984" s="1">
        <f t="shared" si="308"/>
        <v>8</v>
      </c>
      <c r="M4984" s="1">
        <f t="shared" si="309"/>
        <v>4</v>
      </c>
      <c r="N4984" s="2">
        <f t="shared" si="310"/>
        <v>45962</v>
      </c>
      <c r="O4984" t="str">
        <f t="shared" si="311"/>
        <v>pes</v>
      </c>
    </row>
    <row r="4985" spans="1:15" hidden="1" x14ac:dyDescent="0.25">
      <c r="A4985">
        <v>12471</v>
      </c>
      <c r="B4985" s="11">
        <v>4069012345682</v>
      </c>
      <c r="C4985" s="1" t="s">
        <v>143</v>
      </c>
      <c r="D4985" s="1" t="s">
        <v>144</v>
      </c>
      <c r="E4985" s="1" t="s">
        <v>30</v>
      </c>
      <c r="F4985">
        <v>26</v>
      </c>
      <c r="G4985">
        <v>1</v>
      </c>
      <c r="H4985" s="1" t="s">
        <v>14</v>
      </c>
      <c r="I4985" s="1" t="s">
        <v>15</v>
      </c>
      <c r="J4985" s="12">
        <v>45991</v>
      </c>
      <c r="K4985">
        <v>0</v>
      </c>
      <c r="L4985" s="1">
        <f t="shared" si="308"/>
        <v>26</v>
      </c>
      <c r="M4985" s="1" t="str">
        <f t="shared" si="309"/>
        <v/>
      </c>
      <c r="N4985" s="2">
        <f t="shared" si="310"/>
        <v>45962</v>
      </c>
      <c r="O4985" t="str">
        <f t="shared" si="311"/>
        <v>mačka</v>
      </c>
    </row>
    <row r="4986" spans="1:15" hidden="1" x14ac:dyDescent="0.25">
      <c r="A4986">
        <v>12472</v>
      </c>
      <c r="B4986" s="11">
        <v>4006677889904</v>
      </c>
      <c r="C4986" s="1" t="s">
        <v>206</v>
      </c>
      <c r="D4986" s="1" t="s">
        <v>29</v>
      </c>
      <c r="E4986" s="1" t="s">
        <v>30</v>
      </c>
      <c r="F4986">
        <v>2</v>
      </c>
      <c r="G4986">
        <v>3</v>
      </c>
      <c r="H4986" s="1" t="s">
        <v>14</v>
      </c>
      <c r="I4986" s="1" t="s">
        <v>15</v>
      </c>
      <c r="J4986" s="12">
        <v>45991</v>
      </c>
      <c r="K4986">
        <v>0</v>
      </c>
      <c r="L4986" s="1">
        <f t="shared" si="308"/>
        <v>6</v>
      </c>
      <c r="M4986" s="1" t="str">
        <f t="shared" si="309"/>
        <v/>
      </c>
      <c r="N4986" s="2">
        <f t="shared" si="310"/>
        <v>45962</v>
      </c>
      <c r="O4986" t="str">
        <f t="shared" si="311"/>
        <v>mačka</v>
      </c>
    </row>
    <row r="4987" spans="1:15" x14ac:dyDescent="0.25">
      <c r="A4987">
        <v>12473</v>
      </c>
      <c r="B4987" s="11">
        <v>4022345678908</v>
      </c>
      <c r="C4987" s="1" t="s">
        <v>363</v>
      </c>
      <c r="D4987" s="1" t="s">
        <v>21</v>
      </c>
      <c r="E4987" s="1" t="s">
        <v>69</v>
      </c>
      <c r="F4987">
        <v>10</v>
      </c>
      <c r="G4987">
        <v>1</v>
      </c>
      <c r="H4987" s="1" t="s">
        <v>18</v>
      </c>
      <c r="I4987" s="1" t="s">
        <v>15</v>
      </c>
      <c r="J4987" s="12">
        <v>45991</v>
      </c>
      <c r="K4987">
        <v>0</v>
      </c>
      <c r="L4987" s="1">
        <f t="shared" si="308"/>
        <v>10</v>
      </c>
      <c r="M4987" s="1">
        <f t="shared" si="309"/>
        <v>4</v>
      </c>
      <c r="N4987" s="2">
        <f t="shared" si="310"/>
        <v>45962</v>
      </c>
      <c r="O4987" t="str">
        <f t="shared" si="311"/>
        <v>pes</v>
      </c>
    </row>
    <row r="4988" spans="1:15" hidden="1" x14ac:dyDescent="0.25">
      <c r="A4988">
        <v>12474</v>
      </c>
      <c r="B4988" s="11">
        <v>4026677889902</v>
      </c>
      <c r="C4988" s="1" t="s">
        <v>52</v>
      </c>
      <c r="D4988" s="1" t="s">
        <v>53</v>
      </c>
      <c r="E4988" s="1" t="s">
        <v>54</v>
      </c>
      <c r="F4988">
        <v>7.6</v>
      </c>
      <c r="G4988">
        <v>1</v>
      </c>
      <c r="H4988" s="1" t="s">
        <v>14</v>
      </c>
      <c r="I4988" s="1" t="s">
        <v>15</v>
      </c>
      <c r="J4988" s="12">
        <v>45991</v>
      </c>
      <c r="K4988">
        <v>0</v>
      </c>
      <c r="L4988" s="1">
        <f t="shared" si="308"/>
        <v>7.6</v>
      </c>
      <c r="M4988" s="1" t="str">
        <f t="shared" si="309"/>
        <v/>
      </c>
      <c r="N4988" s="2">
        <f t="shared" si="310"/>
        <v>45962</v>
      </c>
      <c r="O4988" t="str">
        <f t="shared" si="311"/>
        <v>iné</v>
      </c>
    </row>
    <row r="4989" spans="1:15" hidden="1" x14ac:dyDescent="0.25">
      <c r="A4989">
        <v>12475</v>
      </c>
      <c r="B4989" s="11">
        <v>4029900112244</v>
      </c>
      <c r="C4989" s="1" t="s">
        <v>655</v>
      </c>
      <c r="D4989" s="1" t="s">
        <v>36</v>
      </c>
      <c r="E4989" s="1" t="s">
        <v>37</v>
      </c>
      <c r="F4989">
        <v>13.6</v>
      </c>
      <c r="G4989">
        <v>1</v>
      </c>
      <c r="H4989" s="1" t="s">
        <v>14</v>
      </c>
      <c r="I4989" s="1" t="s">
        <v>15</v>
      </c>
      <c r="J4989" s="12">
        <v>45991</v>
      </c>
      <c r="K4989">
        <v>0</v>
      </c>
      <c r="L4989" s="1">
        <f t="shared" si="308"/>
        <v>13.6</v>
      </c>
      <c r="M4989" s="1" t="str">
        <f t="shared" si="309"/>
        <v/>
      </c>
      <c r="N4989" s="2">
        <f t="shared" si="310"/>
        <v>45962</v>
      </c>
      <c r="O4989" t="str">
        <f t="shared" si="311"/>
        <v>mačka</v>
      </c>
    </row>
    <row r="4990" spans="1:15" x14ac:dyDescent="0.25">
      <c r="A4990">
        <v>12476</v>
      </c>
      <c r="B4990" s="11">
        <v>4028899001126</v>
      </c>
      <c r="C4990" s="1" t="s">
        <v>16</v>
      </c>
      <c r="D4990" s="1" t="s">
        <v>12</v>
      </c>
      <c r="E4990" s="1" t="s">
        <v>17</v>
      </c>
      <c r="F4990">
        <v>2.8</v>
      </c>
      <c r="G4990">
        <v>2</v>
      </c>
      <c r="H4990" s="1" t="s">
        <v>14</v>
      </c>
      <c r="I4990" s="1" t="s">
        <v>15</v>
      </c>
      <c r="J4990" s="12">
        <v>45991</v>
      </c>
      <c r="K4990">
        <v>0</v>
      </c>
      <c r="L4990" s="1">
        <f t="shared" si="308"/>
        <v>5.6</v>
      </c>
      <c r="M4990" s="1" t="str">
        <f t="shared" si="309"/>
        <v/>
      </c>
      <c r="N4990" s="2">
        <f t="shared" si="310"/>
        <v>45962</v>
      </c>
      <c r="O4990" t="str">
        <f t="shared" si="311"/>
        <v>pes</v>
      </c>
    </row>
    <row r="4991" spans="1:15" x14ac:dyDescent="0.25">
      <c r="A4991">
        <v>12477</v>
      </c>
      <c r="B4991" s="11">
        <v>4013456789017</v>
      </c>
      <c r="C4991" s="1" t="s">
        <v>11</v>
      </c>
      <c r="D4991" s="1" t="s">
        <v>12</v>
      </c>
      <c r="E4991" s="1" t="s">
        <v>13</v>
      </c>
      <c r="F4991">
        <v>6</v>
      </c>
      <c r="G4991">
        <v>1</v>
      </c>
      <c r="H4991" s="1" t="s">
        <v>23</v>
      </c>
      <c r="I4991" s="1" t="s">
        <v>1163</v>
      </c>
      <c r="J4991" s="12">
        <v>45991</v>
      </c>
      <c r="K4991">
        <v>0</v>
      </c>
      <c r="L4991" s="1">
        <f t="shared" si="308"/>
        <v>6</v>
      </c>
      <c r="M4991" s="1">
        <f t="shared" si="309"/>
        <v>5</v>
      </c>
      <c r="N4991" s="2">
        <f t="shared" si="310"/>
        <v>45962</v>
      </c>
      <c r="O4991" t="str">
        <f t="shared" si="311"/>
        <v>pes</v>
      </c>
    </row>
    <row r="4992" spans="1:15" hidden="1" x14ac:dyDescent="0.25">
      <c r="A4992">
        <v>12478</v>
      </c>
      <c r="B4992" s="11">
        <v>4050123456794</v>
      </c>
      <c r="C4992" s="1" t="s">
        <v>41</v>
      </c>
      <c r="D4992" s="1" t="s">
        <v>36</v>
      </c>
      <c r="E4992" s="1" t="s">
        <v>42</v>
      </c>
      <c r="F4992">
        <v>7.2</v>
      </c>
      <c r="G4992">
        <v>1</v>
      </c>
      <c r="H4992" s="1" t="s">
        <v>14</v>
      </c>
      <c r="I4992" s="1" t="s">
        <v>15</v>
      </c>
      <c r="J4992" s="12">
        <v>45991</v>
      </c>
      <c r="K4992">
        <v>0</v>
      </c>
      <c r="L4992" s="1">
        <f t="shared" si="308"/>
        <v>7.2</v>
      </c>
      <c r="M4992" s="1" t="str">
        <f t="shared" si="309"/>
        <v/>
      </c>
      <c r="N4992" s="2">
        <f t="shared" si="310"/>
        <v>45962</v>
      </c>
      <c r="O4992" t="str">
        <f t="shared" si="311"/>
        <v>mačka</v>
      </c>
    </row>
    <row r="4993" spans="1:15" hidden="1" x14ac:dyDescent="0.25">
      <c r="A4993">
        <v>12479</v>
      </c>
      <c r="B4993" s="11">
        <v>4007788990022</v>
      </c>
      <c r="C4993" s="1" t="s">
        <v>663</v>
      </c>
      <c r="D4993" s="1" t="s">
        <v>140</v>
      </c>
      <c r="E4993" s="1" t="s">
        <v>141</v>
      </c>
      <c r="F4993">
        <v>59.64</v>
      </c>
      <c r="G4993">
        <v>1</v>
      </c>
      <c r="H4993" s="1" t="s">
        <v>14</v>
      </c>
      <c r="I4993" s="1" t="s">
        <v>15</v>
      </c>
      <c r="J4993" s="12">
        <v>45991</v>
      </c>
      <c r="K4993">
        <v>0</v>
      </c>
      <c r="L4993" s="1">
        <f t="shared" si="308"/>
        <v>59.64</v>
      </c>
      <c r="M4993" s="1" t="str">
        <f t="shared" si="309"/>
        <v/>
      </c>
      <c r="N4993" s="2">
        <f t="shared" si="310"/>
        <v>45962</v>
      </c>
      <c r="O4993" t="str">
        <f t="shared" si="311"/>
        <v>mačka</v>
      </c>
    </row>
    <row r="4994" spans="1:15" hidden="1" x14ac:dyDescent="0.25">
      <c r="A4994">
        <v>12480</v>
      </c>
      <c r="B4994" s="11">
        <v>4002233445566</v>
      </c>
      <c r="C4994" s="1" t="s">
        <v>268</v>
      </c>
      <c r="D4994" s="1" t="s">
        <v>140</v>
      </c>
      <c r="E4994" s="1" t="s">
        <v>30</v>
      </c>
      <c r="F4994">
        <v>20</v>
      </c>
      <c r="G4994">
        <v>1</v>
      </c>
      <c r="H4994" s="1" t="s">
        <v>33</v>
      </c>
      <c r="I4994" s="1" t="s">
        <v>15</v>
      </c>
      <c r="J4994" s="12">
        <v>45991</v>
      </c>
      <c r="K4994">
        <v>0</v>
      </c>
      <c r="L4994" s="1">
        <f t="shared" ref="L4994:L5057" si="312">F4994*G4994</f>
        <v>20</v>
      </c>
      <c r="M4994" s="1">
        <f t="shared" ref="M4994:M5057" si="313">IF(H4994="NULL", "",VALUE(H4994))</f>
        <v>3</v>
      </c>
      <c r="N4994" s="2">
        <f t="shared" ref="N4994:N5057" si="314">DATE(YEAR(J4994),MONTH(J4994),1)</f>
        <v>45962</v>
      </c>
      <c r="O4994" t="str">
        <f t="shared" ref="O4994:O5057" si="315">IF(ISNUMBER(SEARCH("Mačky",D4994)),"mačka",IF(ISNUMBER(SEARCH("Psy",D4994)),"pes","iné"))</f>
        <v>mačka</v>
      </c>
    </row>
    <row r="4995" spans="1:15" hidden="1" x14ac:dyDescent="0.25">
      <c r="A4995">
        <v>12481</v>
      </c>
      <c r="B4995" s="11">
        <v>4062345678917</v>
      </c>
      <c r="C4995" s="1" t="s">
        <v>649</v>
      </c>
      <c r="D4995" s="1" t="s">
        <v>140</v>
      </c>
      <c r="E4995" s="1" t="s">
        <v>69</v>
      </c>
      <c r="F4995">
        <v>59.64</v>
      </c>
      <c r="G4995">
        <v>1</v>
      </c>
      <c r="H4995" s="1" t="s">
        <v>14</v>
      </c>
      <c r="I4995" s="1" t="s">
        <v>15</v>
      </c>
      <c r="J4995" s="12">
        <v>45991</v>
      </c>
      <c r="K4995">
        <v>0</v>
      </c>
      <c r="L4995" s="1">
        <f t="shared" si="312"/>
        <v>59.64</v>
      </c>
      <c r="M4995" s="1" t="str">
        <f t="shared" si="313"/>
        <v/>
      </c>
      <c r="N4995" s="2">
        <f t="shared" si="314"/>
        <v>45962</v>
      </c>
      <c r="O4995" t="str">
        <f t="shared" si="315"/>
        <v>mačka</v>
      </c>
    </row>
    <row r="4996" spans="1:15" hidden="1" x14ac:dyDescent="0.25">
      <c r="A4996">
        <v>12482</v>
      </c>
      <c r="B4996" s="11">
        <v>4008899001134</v>
      </c>
      <c r="C4996" s="1" t="s">
        <v>332</v>
      </c>
      <c r="D4996" s="1" t="s">
        <v>333</v>
      </c>
      <c r="E4996" s="1" t="s">
        <v>334</v>
      </c>
      <c r="F4996">
        <v>47.64</v>
      </c>
      <c r="G4996">
        <v>1</v>
      </c>
      <c r="H4996" s="1" t="s">
        <v>14</v>
      </c>
      <c r="I4996" s="1" t="s">
        <v>15</v>
      </c>
      <c r="J4996" s="12">
        <v>45991</v>
      </c>
      <c r="K4996">
        <v>0</v>
      </c>
      <c r="L4996" s="1">
        <f t="shared" si="312"/>
        <v>47.64</v>
      </c>
      <c r="M4996" s="1" t="str">
        <f t="shared" si="313"/>
        <v/>
      </c>
      <c r="N4996" s="2">
        <f t="shared" si="314"/>
        <v>45962</v>
      </c>
      <c r="O4996" t="str">
        <f t="shared" si="315"/>
        <v>iné</v>
      </c>
    </row>
    <row r="4997" spans="1:15" hidden="1" x14ac:dyDescent="0.25">
      <c r="A4997">
        <v>12483</v>
      </c>
      <c r="B4997" s="11">
        <v>4056789012345</v>
      </c>
      <c r="C4997" s="1" t="s">
        <v>47</v>
      </c>
      <c r="D4997" s="1" t="s">
        <v>29</v>
      </c>
      <c r="E4997" s="1" t="s">
        <v>37</v>
      </c>
      <c r="F4997">
        <v>2.4</v>
      </c>
      <c r="G4997">
        <v>3</v>
      </c>
      <c r="H4997" s="1" t="s">
        <v>14</v>
      </c>
      <c r="I4997" s="1" t="s">
        <v>15</v>
      </c>
      <c r="J4997" s="12">
        <v>45991</v>
      </c>
      <c r="K4997">
        <v>0</v>
      </c>
      <c r="L4997" s="1">
        <f t="shared" si="312"/>
        <v>7.1999999999999993</v>
      </c>
      <c r="M4997" s="1" t="str">
        <f t="shared" si="313"/>
        <v/>
      </c>
      <c r="N4997" s="2">
        <f t="shared" si="314"/>
        <v>45962</v>
      </c>
      <c r="O4997" t="str">
        <f t="shared" si="315"/>
        <v>mačka</v>
      </c>
    </row>
    <row r="4998" spans="1:15" x14ac:dyDescent="0.25">
      <c r="A4998">
        <v>12484</v>
      </c>
      <c r="B4998" s="11">
        <v>4028899001126</v>
      </c>
      <c r="C4998" s="1" t="s">
        <v>16</v>
      </c>
      <c r="D4998" s="1" t="s">
        <v>12</v>
      </c>
      <c r="E4998" s="1" t="s">
        <v>17</v>
      </c>
      <c r="F4998">
        <v>2.8</v>
      </c>
      <c r="G4998">
        <v>2</v>
      </c>
      <c r="H4998" s="1" t="s">
        <v>18</v>
      </c>
      <c r="I4998" s="1" t="s">
        <v>15</v>
      </c>
      <c r="J4998" s="12">
        <v>45991</v>
      </c>
      <c r="K4998">
        <v>0</v>
      </c>
      <c r="L4998" s="1">
        <f t="shared" si="312"/>
        <v>5.6</v>
      </c>
      <c r="M4998" s="1">
        <f t="shared" si="313"/>
        <v>4</v>
      </c>
      <c r="N4998" s="2">
        <f t="shared" si="314"/>
        <v>45962</v>
      </c>
      <c r="O4998" t="str">
        <f t="shared" si="315"/>
        <v>pes</v>
      </c>
    </row>
    <row r="4999" spans="1:15" x14ac:dyDescent="0.25">
      <c r="A4999">
        <v>12485</v>
      </c>
      <c r="B4999" s="11">
        <v>4013456789017</v>
      </c>
      <c r="C4999" s="1" t="s">
        <v>11</v>
      </c>
      <c r="D4999" s="1" t="s">
        <v>12</v>
      </c>
      <c r="E4999" s="1" t="s">
        <v>13</v>
      </c>
      <c r="F4999">
        <v>6</v>
      </c>
      <c r="G4999">
        <v>1</v>
      </c>
      <c r="H4999" s="1" t="s">
        <v>14</v>
      </c>
      <c r="I4999" s="1" t="s">
        <v>15</v>
      </c>
      <c r="J4999" s="12">
        <v>45991</v>
      </c>
      <c r="K4999">
        <v>0</v>
      </c>
      <c r="L4999" s="1">
        <f t="shared" si="312"/>
        <v>6</v>
      </c>
      <c r="M4999" s="1" t="str">
        <f t="shared" si="313"/>
        <v/>
      </c>
      <c r="N4999" s="2">
        <f t="shared" si="314"/>
        <v>45962</v>
      </c>
      <c r="O4999" t="str">
        <f t="shared" si="315"/>
        <v>pes</v>
      </c>
    </row>
    <row r="5000" spans="1:15" x14ac:dyDescent="0.25">
      <c r="A5000">
        <v>12486</v>
      </c>
      <c r="B5000" s="11">
        <v>4040123456795</v>
      </c>
      <c r="C5000" s="1" t="s">
        <v>20</v>
      </c>
      <c r="D5000" s="1" t="s">
        <v>21</v>
      </c>
      <c r="E5000" s="1" t="s">
        <v>22</v>
      </c>
      <c r="F5000">
        <v>8.8000000000000007</v>
      </c>
      <c r="G5000">
        <v>1</v>
      </c>
      <c r="H5000" s="1" t="s">
        <v>14</v>
      </c>
      <c r="I5000" s="1" t="s">
        <v>15</v>
      </c>
      <c r="J5000" s="12">
        <v>45991</v>
      </c>
      <c r="K5000">
        <v>0</v>
      </c>
      <c r="L5000" s="1">
        <f t="shared" si="312"/>
        <v>8.8000000000000007</v>
      </c>
      <c r="M5000" s="1" t="str">
        <f t="shared" si="313"/>
        <v/>
      </c>
      <c r="N5000" s="2">
        <f t="shared" si="314"/>
        <v>45962</v>
      </c>
      <c r="O5000" t="str">
        <f t="shared" si="315"/>
        <v>pes</v>
      </c>
    </row>
    <row r="5001" spans="1:15" hidden="1" x14ac:dyDescent="0.25">
      <c r="A5001">
        <v>12487</v>
      </c>
      <c r="B5001" s="11">
        <v>4019876501234</v>
      </c>
      <c r="C5001" s="1" t="s">
        <v>674</v>
      </c>
      <c r="D5001" s="1" t="s">
        <v>29</v>
      </c>
      <c r="E5001" s="1" t="s">
        <v>37</v>
      </c>
      <c r="F5001">
        <v>1.84</v>
      </c>
      <c r="G5001">
        <v>3</v>
      </c>
      <c r="H5001" s="1" t="s">
        <v>18</v>
      </c>
      <c r="I5001" s="1" t="s">
        <v>15</v>
      </c>
      <c r="J5001" s="12">
        <v>45991</v>
      </c>
      <c r="K5001">
        <v>0</v>
      </c>
      <c r="L5001" s="1">
        <f t="shared" si="312"/>
        <v>5.5200000000000005</v>
      </c>
      <c r="M5001" s="1">
        <f t="shared" si="313"/>
        <v>4</v>
      </c>
      <c r="N5001" s="2">
        <f t="shared" si="314"/>
        <v>45962</v>
      </c>
      <c r="O5001" t="str">
        <f t="shared" si="315"/>
        <v>mačka</v>
      </c>
    </row>
    <row r="5002" spans="1:15" x14ac:dyDescent="0.25">
      <c r="A5002">
        <v>12488</v>
      </c>
      <c r="B5002" s="11">
        <v>4027788990013</v>
      </c>
      <c r="C5002" s="1" t="s">
        <v>43</v>
      </c>
      <c r="D5002" s="1" t="s">
        <v>21</v>
      </c>
      <c r="E5002" s="1" t="s">
        <v>22</v>
      </c>
      <c r="F5002">
        <v>8</v>
      </c>
      <c r="G5002">
        <v>1</v>
      </c>
      <c r="H5002" s="1" t="s">
        <v>14</v>
      </c>
      <c r="I5002" s="1" t="s">
        <v>15</v>
      </c>
      <c r="J5002" s="12">
        <v>45991</v>
      </c>
      <c r="K5002">
        <v>0</v>
      </c>
      <c r="L5002" s="1">
        <f t="shared" si="312"/>
        <v>8</v>
      </c>
      <c r="M5002" s="1" t="str">
        <f t="shared" si="313"/>
        <v/>
      </c>
      <c r="N5002" s="2">
        <f t="shared" si="314"/>
        <v>45962</v>
      </c>
      <c r="O5002" t="str">
        <f t="shared" si="315"/>
        <v>pes</v>
      </c>
    </row>
    <row r="5003" spans="1:15" x14ac:dyDescent="0.25">
      <c r="A5003">
        <v>12489</v>
      </c>
      <c r="B5003" s="11">
        <v>4061011223346</v>
      </c>
      <c r="C5003" s="1" t="s">
        <v>25</v>
      </c>
      <c r="D5003" s="1" t="s">
        <v>26</v>
      </c>
      <c r="E5003" s="1" t="s">
        <v>27</v>
      </c>
      <c r="F5003">
        <v>19.600000000000001</v>
      </c>
      <c r="G5003">
        <v>1</v>
      </c>
      <c r="H5003" s="1" t="s">
        <v>14</v>
      </c>
      <c r="I5003" s="1" t="s">
        <v>15</v>
      </c>
      <c r="J5003" s="12">
        <v>45991</v>
      </c>
      <c r="K5003">
        <v>0</v>
      </c>
      <c r="L5003" s="1">
        <f t="shared" si="312"/>
        <v>19.600000000000001</v>
      </c>
      <c r="M5003" s="1" t="str">
        <f t="shared" si="313"/>
        <v/>
      </c>
      <c r="N5003" s="2">
        <f t="shared" si="314"/>
        <v>45962</v>
      </c>
      <c r="O5003" t="str">
        <f t="shared" si="315"/>
        <v>pes</v>
      </c>
    </row>
    <row r="5004" spans="1:15" x14ac:dyDescent="0.25">
      <c r="A5004">
        <v>12490</v>
      </c>
      <c r="B5004" s="11">
        <v>4063456789014</v>
      </c>
      <c r="C5004" s="1" t="s">
        <v>60</v>
      </c>
      <c r="D5004" s="1" t="s">
        <v>12</v>
      </c>
      <c r="E5004" s="1" t="s">
        <v>61</v>
      </c>
      <c r="F5004">
        <v>36</v>
      </c>
      <c r="G5004">
        <v>1</v>
      </c>
      <c r="H5004" s="1" t="s">
        <v>14</v>
      </c>
      <c r="I5004" s="1" t="s">
        <v>15</v>
      </c>
      <c r="J5004" s="12">
        <v>45991</v>
      </c>
      <c r="K5004">
        <v>0</v>
      </c>
      <c r="L5004" s="1">
        <f t="shared" si="312"/>
        <v>36</v>
      </c>
      <c r="M5004" s="1" t="str">
        <f t="shared" si="313"/>
        <v/>
      </c>
      <c r="N5004" s="2">
        <f t="shared" si="314"/>
        <v>45962</v>
      </c>
      <c r="O5004" t="str">
        <f t="shared" si="315"/>
        <v>pes</v>
      </c>
    </row>
    <row r="5005" spans="1:15" hidden="1" x14ac:dyDescent="0.25">
      <c r="A5005">
        <v>12491</v>
      </c>
      <c r="B5005" s="11">
        <v>4029900112244</v>
      </c>
      <c r="C5005" s="1" t="s">
        <v>655</v>
      </c>
      <c r="D5005" s="1" t="s">
        <v>36</v>
      </c>
      <c r="E5005" s="1" t="s">
        <v>37</v>
      </c>
      <c r="F5005">
        <v>13.6</v>
      </c>
      <c r="G5005">
        <v>1</v>
      </c>
      <c r="H5005" s="1" t="s">
        <v>18</v>
      </c>
      <c r="I5005" s="1" t="s">
        <v>15</v>
      </c>
      <c r="J5005" s="12">
        <v>45991</v>
      </c>
      <c r="K5005">
        <v>0</v>
      </c>
      <c r="L5005" s="1">
        <f t="shared" si="312"/>
        <v>13.6</v>
      </c>
      <c r="M5005" s="1">
        <f t="shared" si="313"/>
        <v>4</v>
      </c>
      <c r="N5005" s="2">
        <f t="shared" si="314"/>
        <v>45962</v>
      </c>
      <c r="O5005" t="str">
        <f t="shared" si="315"/>
        <v>mačka</v>
      </c>
    </row>
    <row r="5006" spans="1:15" hidden="1" x14ac:dyDescent="0.25">
      <c r="A5006">
        <v>12492</v>
      </c>
      <c r="B5006" s="11">
        <v>8597890123456</v>
      </c>
      <c r="C5006" s="1" t="s">
        <v>149</v>
      </c>
      <c r="D5006" s="1" t="s">
        <v>144</v>
      </c>
      <c r="E5006" s="1" t="s">
        <v>30</v>
      </c>
      <c r="F5006">
        <v>18.8</v>
      </c>
      <c r="G5006">
        <v>1</v>
      </c>
      <c r="H5006" s="1" t="s">
        <v>14</v>
      </c>
      <c r="I5006" s="1" t="s">
        <v>15</v>
      </c>
      <c r="J5006" s="12">
        <v>45991</v>
      </c>
      <c r="K5006">
        <v>0</v>
      </c>
      <c r="L5006" s="1">
        <f t="shared" si="312"/>
        <v>18.8</v>
      </c>
      <c r="M5006" s="1" t="str">
        <f t="shared" si="313"/>
        <v/>
      </c>
      <c r="N5006" s="2">
        <f t="shared" si="314"/>
        <v>45962</v>
      </c>
      <c r="O5006" t="str">
        <f t="shared" si="315"/>
        <v>mačka</v>
      </c>
    </row>
    <row r="5007" spans="1:15" x14ac:dyDescent="0.25">
      <c r="A5007">
        <v>12493</v>
      </c>
      <c r="B5007" s="11">
        <v>4003344556679</v>
      </c>
      <c r="C5007" s="1" t="s">
        <v>132</v>
      </c>
      <c r="D5007" s="1" t="s">
        <v>133</v>
      </c>
      <c r="E5007" s="1" t="s">
        <v>134</v>
      </c>
      <c r="F5007">
        <v>51.64</v>
      </c>
      <c r="G5007">
        <v>1</v>
      </c>
      <c r="H5007" s="1" t="s">
        <v>23</v>
      </c>
      <c r="I5007" s="1" t="s">
        <v>1164</v>
      </c>
      <c r="J5007" s="12">
        <v>45991</v>
      </c>
      <c r="K5007">
        <v>0</v>
      </c>
      <c r="L5007" s="1">
        <f t="shared" si="312"/>
        <v>51.64</v>
      </c>
      <c r="M5007" s="1">
        <f t="shared" si="313"/>
        <v>5</v>
      </c>
      <c r="N5007" s="2">
        <f t="shared" si="314"/>
        <v>45962</v>
      </c>
      <c r="O5007" t="str">
        <f t="shared" si="315"/>
        <v>pes</v>
      </c>
    </row>
    <row r="5008" spans="1:15" x14ac:dyDescent="0.25">
      <c r="A5008">
        <v>12494</v>
      </c>
      <c r="B5008" s="11">
        <v>4027788990013</v>
      </c>
      <c r="C5008" s="1" t="s">
        <v>43</v>
      </c>
      <c r="D5008" s="1" t="s">
        <v>21</v>
      </c>
      <c r="E5008" s="1" t="s">
        <v>22</v>
      </c>
      <c r="F5008">
        <v>8</v>
      </c>
      <c r="G5008">
        <v>1</v>
      </c>
      <c r="H5008" s="1" t="s">
        <v>14</v>
      </c>
      <c r="I5008" s="1" t="s">
        <v>15</v>
      </c>
      <c r="J5008" s="12">
        <v>45991</v>
      </c>
      <c r="K5008">
        <v>0</v>
      </c>
      <c r="L5008" s="1">
        <f t="shared" si="312"/>
        <v>8</v>
      </c>
      <c r="M5008" s="1" t="str">
        <f t="shared" si="313"/>
        <v/>
      </c>
      <c r="N5008" s="2">
        <f t="shared" si="314"/>
        <v>45962</v>
      </c>
      <c r="O5008" t="str">
        <f t="shared" si="315"/>
        <v>pes</v>
      </c>
    </row>
    <row r="5009" spans="1:15" hidden="1" x14ac:dyDescent="0.25">
      <c r="A5009">
        <v>12495</v>
      </c>
      <c r="B5009" s="11">
        <v>4002233445566</v>
      </c>
      <c r="C5009" s="1" t="s">
        <v>268</v>
      </c>
      <c r="D5009" s="1" t="s">
        <v>140</v>
      </c>
      <c r="E5009" s="1" t="s">
        <v>30</v>
      </c>
      <c r="F5009">
        <v>20</v>
      </c>
      <c r="G5009">
        <v>1</v>
      </c>
      <c r="H5009" s="1" t="s">
        <v>14</v>
      </c>
      <c r="I5009" s="1" t="s">
        <v>15</v>
      </c>
      <c r="J5009" s="12">
        <v>45991</v>
      </c>
      <c r="K5009">
        <v>0</v>
      </c>
      <c r="L5009" s="1">
        <f t="shared" si="312"/>
        <v>20</v>
      </c>
      <c r="M5009" s="1" t="str">
        <f t="shared" si="313"/>
        <v/>
      </c>
      <c r="N5009" s="2">
        <f t="shared" si="314"/>
        <v>45962</v>
      </c>
      <c r="O5009" t="str">
        <f t="shared" si="315"/>
        <v>mačka</v>
      </c>
    </row>
    <row r="5010" spans="1:15" x14ac:dyDescent="0.25">
      <c r="A5010">
        <v>12496</v>
      </c>
      <c r="B5010" s="11">
        <v>4017890123450</v>
      </c>
      <c r="C5010" s="1" t="s">
        <v>65</v>
      </c>
      <c r="D5010" s="1" t="s">
        <v>39</v>
      </c>
      <c r="E5010" s="1" t="s">
        <v>22</v>
      </c>
      <c r="F5010">
        <v>7.6</v>
      </c>
      <c r="G5010">
        <v>1</v>
      </c>
      <c r="H5010" s="1" t="s">
        <v>14</v>
      </c>
      <c r="I5010" s="1" t="s">
        <v>15</v>
      </c>
      <c r="J5010" s="12">
        <v>45991</v>
      </c>
      <c r="K5010">
        <v>0</v>
      </c>
      <c r="L5010" s="1">
        <f t="shared" si="312"/>
        <v>7.6</v>
      </c>
      <c r="M5010" s="1" t="str">
        <f t="shared" si="313"/>
        <v/>
      </c>
      <c r="N5010" s="2">
        <f t="shared" si="314"/>
        <v>45962</v>
      </c>
      <c r="O5010" t="str">
        <f t="shared" si="315"/>
        <v>pes</v>
      </c>
    </row>
    <row r="5011" spans="1:15" hidden="1" x14ac:dyDescent="0.25">
      <c r="A5011">
        <v>12497</v>
      </c>
      <c r="B5011" s="11">
        <v>4056789012345</v>
      </c>
      <c r="C5011" s="1" t="s">
        <v>47</v>
      </c>
      <c r="D5011" s="1" t="s">
        <v>29</v>
      </c>
      <c r="E5011" s="1" t="s">
        <v>37</v>
      </c>
      <c r="F5011">
        <v>2.4</v>
      </c>
      <c r="G5011">
        <v>2</v>
      </c>
      <c r="H5011" s="1" t="s">
        <v>18</v>
      </c>
      <c r="I5011" s="1" t="s">
        <v>15</v>
      </c>
      <c r="J5011" s="12">
        <v>45991</v>
      </c>
      <c r="K5011">
        <v>0</v>
      </c>
      <c r="L5011" s="1">
        <f t="shared" si="312"/>
        <v>4.8</v>
      </c>
      <c r="M5011" s="1">
        <f t="shared" si="313"/>
        <v>4</v>
      </c>
      <c r="N5011" s="2">
        <f t="shared" si="314"/>
        <v>45962</v>
      </c>
      <c r="O5011" t="str">
        <f t="shared" si="315"/>
        <v>mačka</v>
      </c>
    </row>
    <row r="5012" spans="1:15" x14ac:dyDescent="0.25">
      <c r="A5012">
        <v>12498</v>
      </c>
      <c r="B5012" s="11">
        <v>4028899001126</v>
      </c>
      <c r="C5012" s="1" t="s">
        <v>16</v>
      </c>
      <c r="D5012" s="1" t="s">
        <v>12</v>
      </c>
      <c r="E5012" s="1" t="s">
        <v>17</v>
      </c>
      <c r="F5012">
        <v>2.8</v>
      </c>
      <c r="G5012">
        <v>2</v>
      </c>
      <c r="H5012" s="1" t="s">
        <v>14</v>
      </c>
      <c r="I5012" s="1" t="s">
        <v>15</v>
      </c>
      <c r="J5012" s="12">
        <v>45991</v>
      </c>
      <c r="K5012">
        <v>0</v>
      </c>
      <c r="L5012" s="1">
        <f t="shared" si="312"/>
        <v>5.6</v>
      </c>
      <c r="M5012" s="1" t="str">
        <f t="shared" si="313"/>
        <v/>
      </c>
      <c r="N5012" s="2">
        <f t="shared" si="314"/>
        <v>45962</v>
      </c>
      <c r="O5012" t="str">
        <f t="shared" si="315"/>
        <v>pes</v>
      </c>
    </row>
    <row r="5013" spans="1:15" x14ac:dyDescent="0.25">
      <c r="A5013">
        <v>12499</v>
      </c>
      <c r="B5013" s="11">
        <v>4013456789017</v>
      </c>
      <c r="C5013" s="1" t="s">
        <v>11</v>
      </c>
      <c r="D5013" s="1" t="s">
        <v>12</v>
      </c>
      <c r="E5013" s="1" t="s">
        <v>13</v>
      </c>
      <c r="F5013">
        <v>6</v>
      </c>
      <c r="G5013">
        <v>1</v>
      </c>
      <c r="H5013" s="1" t="s">
        <v>14</v>
      </c>
      <c r="I5013" s="1" t="s">
        <v>15</v>
      </c>
      <c r="J5013" s="12">
        <v>45991</v>
      </c>
      <c r="K5013">
        <v>0</v>
      </c>
      <c r="L5013" s="1">
        <f t="shared" si="312"/>
        <v>6</v>
      </c>
      <c r="M5013" s="1" t="str">
        <f t="shared" si="313"/>
        <v/>
      </c>
      <c r="N5013" s="2">
        <f t="shared" si="314"/>
        <v>45962</v>
      </c>
      <c r="O5013" t="str">
        <f t="shared" si="315"/>
        <v>pes</v>
      </c>
    </row>
    <row r="5014" spans="1:15" x14ac:dyDescent="0.25">
      <c r="A5014">
        <v>12500</v>
      </c>
      <c r="B5014" s="11">
        <v>4040123456795</v>
      </c>
      <c r="C5014" s="1" t="s">
        <v>20</v>
      </c>
      <c r="D5014" s="1" t="s">
        <v>21</v>
      </c>
      <c r="E5014" s="1" t="s">
        <v>22</v>
      </c>
      <c r="F5014">
        <v>8.8000000000000007</v>
      </c>
      <c r="G5014">
        <v>1</v>
      </c>
      <c r="H5014" s="1" t="s">
        <v>14</v>
      </c>
      <c r="I5014" s="1" t="s">
        <v>15</v>
      </c>
      <c r="J5014" s="12">
        <v>45991</v>
      </c>
      <c r="K5014">
        <v>0</v>
      </c>
      <c r="L5014" s="1">
        <f t="shared" si="312"/>
        <v>8.8000000000000007</v>
      </c>
      <c r="M5014" s="1" t="str">
        <f t="shared" si="313"/>
        <v/>
      </c>
      <c r="N5014" s="2">
        <f t="shared" si="314"/>
        <v>45962</v>
      </c>
      <c r="O5014" t="str">
        <f t="shared" si="315"/>
        <v>pes</v>
      </c>
    </row>
    <row r="5015" spans="1:15" hidden="1" x14ac:dyDescent="0.25">
      <c r="A5015">
        <v>12501</v>
      </c>
      <c r="B5015" s="11">
        <v>4006677889904</v>
      </c>
      <c r="C5015" s="1" t="s">
        <v>206</v>
      </c>
      <c r="D5015" s="1" t="s">
        <v>29</v>
      </c>
      <c r="E5015" s="1" t="s">
        <v>30</v>
      </c>
      <c r="F5015">
        <v>2</v>
      </c>
      <c r="G5015">
        <v>3</v>
      </c>
      <c r="H5015" s="1" t="s">
        <v>14</v>
      </c>
      <c r="I5015" s="1" t="s">
        <v>15</v>
      </c>
      <c r="J5015" s="12">
        <v>45991</v>
      </c>
      <c r="K5015">
        <v>0</v>
      </c>
      <c r="L5015" s="1">
        <f t="shared" si="312"/>
        <v>6</v>
      </c>
      <c r="M5015" s="1" t="str">
        <f t="shared" si="313"/>
        <v/>
      </c>
      <c r="N5015" s="2">
        <f t="shared" si="314"/>
        <v>45962</v>
      </c>
      <c r="O5015" t="str">
        <f t="shared" si="315"/>
        <v>mačka</v>
      </c>
    </row>
    <row r="5016" spans="1:15" hidden="1" x14ac:dyDescent="0.25">
      <c r="A5016">
        <v>12502</v>
      </c>
      <c r="B5016" s="11">
        <v>4023456789012</v>
      </c>
      <c r="C5016" s="1" t="s">
        <v>55</v>
      </c>
      <c r="D5016" s="1" t="s">
        <v>29</v>
      </c>
      <c r="E5016" s="1" t="s">
        <v>32</v>
      </c>
      <c r="F5016">
        <v>4</v>
      </c>
      <c r="G5016">
        <v>1</v>
      </c>
      <c r="H5016" s="1" t="s">
        <v>18</v>
      </c>
      <c r="I5016" s="1" t="s">
        <v>15</v>
      </c>
      <c r="J5016" s="12">
        <v>45991</v>
      </c>
      <c r="K5016">
        <v>0</v>
      </c>
      <c r="L5016" s="1">
        <f t="shared" si="312"/>
        <v>4</v>
      </c>
      <c r="M5016" s="1">
        <f t="shared" si="313"/>
        <v>4</v>
      </c>
      <c r="N5016" s="2">
        <f t="shared" si="314"/>
        <v>45962</v>
      </c>
      <c r="O5016" t="str">
        <f t="shared" si="315"/>
        <v>mačka</v>
      </c>
    </row>
    <row r="5017" spans="1:15" x14ac:dyDescent="0.25">
      <c r="A5017">
        <v>12503</v>
      </c>
      <c r="B5017" s="11">
        <v>4028899001126</v>
      </c>
      <c r="C5017" s="1" t="s">
        <v>16</v>
      </c>
      <c r="D5017" s="1" t="s">
        <v>12</v>
      </c>
      <c r="E5017" s="1" t="s">
        <v>17</v>
      </c>
      <c r="F5017">
        <v>2.8</v>
      </c>
      <c r="G5017">
        <v>2</v>
      </c>
      <c r="H5017" s="1" t="s">
        <v>14</v>
      </c>
      <c r="I5017" s="1" t="s">
        <v>15</v>
      </c>
      <c r="J5017" s="12">
        <v>45991</v>
      </c>
      <c r="K5017">
        <v>0</v>
      </c>
      <c r="L5017" s="1">
        <f t="shared" si="312"/>
        <v>5.6</v>
      </c>
      <c r="M5017" s="1" t="str">
        <f t="shared" si="313"/>
        <v/>
      </c>
      <c r="N5017" s="2">
        <f t="shared" si="314"/>
        <v>45962</v>
      </c>
      <c r="O5017" t="str">
        <f t="shared" si="315"/>
        <v>pes</v>
      </c>
    </row>
    <row r="5018" spans="1:15" x14ac:dyDescent="0.25">
      <c r="A5018">
        <v>12504</v>
      </c>
      <c r="B5018" s="11">
        <v>4017890123450</v>
      </c>
      <c r="C5018" s="1" t="s">
        <v>65</v>
      </c>
      <c r="D5018" s="1" t="s">
        <v>39</v>
      </c>
      <c r="E5018" s="1" t="s">
        <v>22</v>
      </c>
      <c r="F5018">
        <v>7.6</v>
      </c>
      <c r="G5018">
        <v>1</v>
      </c>
      <c r="H5018" s="1" t="s">
        <v>14</v>
      </c>
      <c r="I5018" s="1" t="s">
        <v>15</v>
      </c>
      <c r="J5018" s="12">
        <v>45991</v>
      </c>
      <c r="K5018">
        <v>0</v>
      </c>
      <c r="L5018" s="1">
        <f t="shared" si="312"/>
        <v>7.6</v>
      </c>
      <c r="M5018" s="1" t="str">
        <f t="shared" si="313"/>
        <v/>
      </c>
      <c r="N5018" s="2">
        <f t="shared" si="314"/>
        <v>45962</v>
      </c>
      <c r="O5018" t="str">
        <f t="shared" si="315"/>
        <v>pes</v>
      </c>
    </row>
    <row r="5019" spans="1:15" x14ac:dyDescent="0.25">
      <c r="A5019">
        <v>12505</v>
      </c>
      <c r="B5019" s="11">
        <v>4028899001126</v>
      </c>
      <c r="C5019" s="1" t="s">
        <v>16</v>
      </c>
      <c r="D5019" s="1" t="s">
        <v>12</v>
      </c>
      <c r="E5019" s="1" t="s">
        <v>17</v>
      </c>
      <c r="F5019">
        <v>2.8</v>
      </c>
      <c r="G5019">
        <v>2</v>
      </c>
      <c r="H5019" s="1" t="s">
        <v>14</v>
      </c>
      <c r="I5019" s="1" t="s">
        <v>15</v>
      </c>
      <c r="J5019" s="12">
        <v>45991</v>
      </c>
      <c r="K5019">
        <v>0</v>
      </c>
      <c r="L5019" s="1">
        <f t="shared" si="312"/>
        <v>5.6</v>
      </c>
      <c r="M5019" s="1" t="str">
        <f t="shared" si="313"/>
        <v/>
      </c>
      <c r="N5019" s="2">
        <f t="shared" si="314"/>
        <v>45962</v>
      </c>
      <c r="O5019" t="str">
        <f t="shared" si="315"/>
        <v>pes</v>
      </c>
    </row>
    <row r="5020" spans="1:15" x14ac:dyDescent="0.25">
      <c r="A5020">
        <v>12506</v>
      </c>
      <c r="B5020" s="11">
        <v>4013456789017</v>
      </c>
      <c r="C5020" s="1" t="s">
        <v>11</v>
      </c>
      <c r="D5020" s="1" t="s">
        <v>12</v>
      </c>
      <c r="E5020" s="1" t="s">
        <v>13</v>
      </c>
      <c r="F5020">
        <v>6</v>
      </c>
      <c r="G5020">
        <v>1</v>
      </c>
      <c r="H5020" s="1" t="s">
        <v>18</v>
      </c>
      <c r="I5020" s="1" t="s">
        <v>15</v>
      </c>
      <c r="J5020" s="12">
        <v>45991</v>
      </c>
      <c r="K5020">
        <v>0</v>
      </c>
      <c r="L5020" s="1">
        <f t="shared" si="312"/>
        <v>6</v>
      </c>
      <c r="M5020" s="1">
        <f t="shared" si="313"/>
        <v>4</v>
      </c>
      <c r="N5020" s="2">
        <f t="shared" si="314"/>
        <v>45962</v>
      </c>
      <c r="O5020" t="str">
        <f t="shared" si="315"/>
        <v>pes</v>
      </c>
    </row>
    <row r="5021" spans="1:15" x14ac:dyDescent="0.25">
      <c r="A5021">
        <v>12507</v>
      </c>
      <c r="B5021" s="11">
        <v>4040123456795</v>
      </c>
      <c r="C5021" s="1" t="s">
        <v>20</v>
      </c>
      <c r="D5021" s="1" t="s">
        <v>21</v>
      </c>
      <c r="E5021" s="1" t="s">
        <v>22</v>
      </c>
      <c r="F5021">
        <v>8.8000000000000007</v>
      </c>
      <c r="G5021">
        <v>1</v>
      </c>
      <c r="H5021" s="1" t="s">
        <v>14</v>
      </c>
      <c r="I5021" s="1" t="s">
        <v>15</v>
      </c>
      <c r="J5021" s="12">
        <v>45991</v>
      </c>
      <c r="K5021">
        <v>0</v>
      </c>
      <c r="L5021" s="1">
        <f t="shared" si="312"/>
        <v>8.8000000000000007</v>
      </c>
      <c r="M5021" s="1" t="str">
        <f t="shared" si="313"/>
        <v/>
      </c>
      <c r="N5021" s="2">
        <f t="shared" si="314"/>
        <v>45962</v>
      </c>
      <c r="O5021" t="str">
        <f t="shared" si="315"/>
        <v>pes</v>
      </c>
    </row>
    <row r="5022" spans="1:15" x14ac:dyDescent="0.25">
      <c r="A5022">
        <v>12508</v>
      </c>
      <c r="B5022" s="11">
        <v>4061011223346</v>
      </c>
      <c r="C5022" s="1" t="s">
        <v>25</v>
      </c>
      <c r="D5022" s="1" t="s">
        <v>26</v>
      </c>
      <c r="E5022" s="1" t="s">
        <v>27</v>
      </c>
      <c r="F5022">
        <v>19.600000000000001</v>
      </c>
      <c r="G5022">
        <v>1</v>
      </c>
      <c r="H5022" s="1" t="s">
        <v>14</v>
      </c>
      <c r="I5022" s="1" t="s">
        <v>15</v>
      </c>
      <c r="J5022" s="12">
        <v>45991</v>
      </c>
      <c r="K5022">
        <v>0</v>
      </c>
      <c r="L5022" s="1">
        <f t="shared" si="312"/>
        <v>19.600000000000001</v>
      </c>
      <c r="M5022" s="1" t="str">
        <f t="shared" si="313"/>
        <v/>
      </c>
      <c r="N5022" s="2">
        <f t="shared" si="314"/>
        <v>45962</v>
      </c>
      <c r="O5022" t="str">
        <f t="shared" si="315"/>
        <v>pes</v>
      </c>
    </row>
    <row r="5023" spans="1:15" x14ac:dyDescent="0.25">
      <c r="A5023">
        <v>12509</v>
      </c>
      <c r="B5023" s="11">
        <v>4063456789014</v>
      </c>
      <c r="C5023" s="1" t="s">
        <v>60</v>
      </c>
      <c r="D5023" s="1" t="s">
        <v>12</v>
      </c>
      <c r="E5023" s="1" t="s">
        <v>61</v>
      </c>
      <c r="F5023">
        <v>36</v>
      </c>
      <c r="G5023">
        <v>1</v>
      </c>
      <c r="H5023" s="1" t="s">
        <v>18</v>
      </c>
      <c r="I5023" s="1" t="s">
        <v>15</v>
      </c>
      <c r="J5023" s="12">
        <v>45991</v>
      </c>
      <c r="K5023">
        <v>0</v>
      </c>
      <c r="L5023" s="1">
        <f t="shared" si="312"/>
        <v>36</v>
      </c>
      <c r="M5023" s="1">
        <f t="shared" si="313"/>
        <v>4</v>
      </c>
      <c r="N5023" s="2">
        <f t="shared" si="314"/>
        <v>45962</v>
      </c>
      <c r="O5023" t="str">
        <f t="shared" si="315"/>
        <v>pes</v>
      </c>
    </row>
    <row r="5024" spans="1:15" x14ac:dyDescent="0.25">
      <c r="A5024">
        <v>12510</v>
      </c>
      <c r="B5024" s="11">
        <v>4008901234561</v>
      </c>
      <c r="C5024" s="1" t="s">
        <v>330</v>
      </c>
      <c r="D5024" s="1" t="s">
        <v>26</v>
      </c>
      <c r="E5024" s="1" t="s">
        <v>331</v>
      </c>
      <c r="F5024">
        <v>40</v>
      </c>
      <c r="G5024">
        <v>1</v>
      </c>
      <c r="H5024" s="1" t="s">
        <v>14</v>
      </c>
      <c r="I5024" s="1" t="s">
        <v>15</v>
      </c>
      <c r="J5024" s="12">
        <v>45991</v>
      </c>
      <c r="K5024">
        <v>0</v>
      </c>
      <c r="L5024" s="1">
        <f t="shared" si="312"/>
        <v>40</v>
      </c>
      <c r="M5024" s="1" t="str">
        <f t="shared" si="313"/>
        <v/>
      </c>
      <c r="N5024" s="2">
        <f t="shared" si="314"/>
        <v>45962</v>
      </c>
      <c r="O5024" t="str">
        <f t="shared" si="315"/>
        <v>pes</v>
      </c>
    </row>
    <row r="5025" spans="1:15" x14ac:dyDescent="0.25">
      <c r="A5025">
        <v>12511</v>
      </c>
      <c r="B5025" s="11">
        <v>4003344556679</v>
      </c>
      <c r="C5025" s="1" t="s">
        <v>132</v>
      </c>
      <c r="D5025" s="1" t="s">
        <v>133</v>
      </c>
      <c r="E5025" s="1" t="s">
        <v>134</v>
      </c>
      <c r="F5025">
        <v>51.64</v>
      </c>
      <c r="G5025">
        <v>1</v>
      </c>
      <c r="H5025" s="1" t="s">
        <v>14</v>
      </c>
      <c r="I5025" s="1" t="s">
        <v>15</v>
      </c>
      <c r="J5025" s="12">
        <v>45991</v>
      </c>
      <c r="K5025">
        <v>0</v>
      </c>
      <c r="L5025" s="1">
        <f t="shared" si="312"/>
        <v>51.64</v>
      </c>
      <c r="M5025" s="1" t="str">
        <f t="shared" si="313"/>
        <v/>
      </c>
      <c r="N5025" s="2">
        <f t="shared" si="314"/>
        <v>45962</v>
      </c>
      <c r="O5025" t="str">
        <f t="shared" si="315"/>
        <v>pes</v>
      </c>
    </row>
    <row r="5026" spans="1:15" x14ac:dyDescent="0.25">
      <c r="A5026">
        <v>12512</v>
      </c>
      <c r="B5026" s="11">
        <v>4011234567897</v>
      </c>
      <c r="C5026" s="1" t="s">
        <v>341</v>
      </c>
      <c r="D5026" s="1" t="s">
        <v>21</v>
      </c>
      <c r="E5026" s="1" t="s">
        <v>303</v>
      </c>
      <c r="F5026">
        <v>11.6</v>
      </c>
      <c r="G5026">
        <v>1</v>
      </c>
      <c r="H5026" s="1" t="s">
        <v>14</v>
      </c>
      <c r="I5026" s="1" t="s">
        <v>15</v>
      </c>
      <c r="J5026" s="12">
        <v>45991</v>
      </c>
      <c r="K5026">
        <v>0</v>
      </c>
      <c r="L5026" s="1">
        <f t="shared" si="312"/>
        <v>11.6</v>
      </c>
      <c r="M5026" s="1" t="str">
        <f t="shared" si="313"/>
        <v/>
      </c>
      <c r="N5026" s="2">
        <f t="shared" si="314"/>
        <v>45962</v>
      </c>
      <c r="O5026" t="str">
        <f t="shared" si="315"/>
        <v>pes</v>
      </c>
    </row>
    <row r="5027" spans="1:15" x14ac:dyDescent="0.25">
      <c r="A5027">
        <v>12513</v>
      </c>
      <c r="B5027" s="11">
        <v>4022345678908</v>
      </c>
      <c r="C5027" s="1" t="s">
        <v>363</v>
      </c>
      <c r="D5027" s="1" t="s">
        <v>21</v>
      </c>
      <c r="E5027" s="1" t="s">
        <v>69</v>
      </c>
      <c r="F5027">
        <v>10</v>
      </c>
      <c r="G5027">
        <v>1</v>
      </c>
      <c r="H5027" s="1" t="s">
        <v>14</v>
      </c>
      <c r="I5027" s="1" t="s">
        <v>15</v>
      </c>
      <c r="J5027" s="12">
        <v>45991</v>
      </c>
      <c r="K5027">
        <v>0</v>
      </c>
      <c r="L5027" s="1">
        <f t="shared" si="312"/>
        <v>10</v>
      </c>
      <c r="M5027" s="1" t="str">
        <f t="shared" si="313"/>
        <v/>
      </c>
      <c r="N5027" s="2">
        <f t="shared" si="314"/>
        <v>45962</v>
      </c>
      <c r="O5027" t="str">
        <f t="shared" si="315"/>
        <v>pes</v>
      </c>
    </row>
    <row r="5028" spans="1:15" hidden="1" x14ac:dyDescent="0.25">
      <c r="A5028">
        <v>12514</v>
      </c>
      <c r="B5028" s="11">
        <v>4025678901239</v>
      </c>
      <c r="C5028" s="1" t="s">
        <v>659</v>
      </c>
      <c r="D5028" s="1" t="s">
        <v>267</v>
      </c>
      <c r="E5028" s="1" t="s">
        <v>58</v>
      </c>
      <c r="F5028">
        <v>10</v>
      </c>
      <c r="G5028">
        <v>1</v>
      </c>
      <c r="H5028" s="1" t="s">
        <v>14</v>
      </c>
      <c r="I5028" s="1" t="s">
        <v>15</v>
      </c>
      <c r="J5028" s="12">
        <v>45991</v>
      </c>
      <c r="K5028">
        <v>0</v>
      </c>
      <c r="L5028" s="1">
        <f t="shared" si="312"/>
        <v>10</v>
      </c>
      <c r="M5028" s="1" t="str">
        <f t="shared" si="313"/>
        <v/>
      </c>
      <c r="N5028" s="2">
        <f t="shared" si="314"/>
        <v>45962</v>
      </c>
      <c r="O5028" t="str">
        <f t="shared" si="315"/>
        <v>mačka</v>
      </c>
    </row>
    <row r="5029" spans="1:15" hidden="1" x14ac:dyDescent="0.25">
      <c r="A5029">
        <v>12515</v>
      </c>
      <c r="B5029" s="11">
        <v>4029900112244</v>
      </c>
      <c r="C5029" s="1" t="s">
        <v>655</v>
      </c>
      <c r="D5029" s="1" t="s">
        <v>36</v>
      </c>
      <c r="E5029" s="1" t="s">
        <v>37</v>
      </c>
      <c r="F5029">
        <v>13.6</v>
      </c>
      <c r="G5029">
        <v>1</v>
      </c>
      <c r="H5029" s="1" t="s">
        <v>18</v>
      </c>
      <c r="I5029" s="1" t="s">
        <v>15</v>
      </c>
      <c r="J5029" s="12">
        <v>45991</v>
      </c>
      <c r="K5029">
        <v>0</v>
      </c>
      <c r="L5029" s="1">
        <f t="shared" si="312"/>
        <v>13.6</v>
      </c>
      <c r="M5029" s="1">
        <f t="shared" si="313"/>
        <v>4</v>
      </c>
      <c r="N5029" s="2">
        <f t="shared" si="314"/>
        <v>45962</v>
      </c>
      <c r="O5029" t="str">
        <f t="shared" si="315"/>
        <v>mačka</v>
      </c>
    </row>
    <row r="5030" spans="1:15" hidden="1" x14ac:dyDescent="0.25">
      <c r="A5030">
        <v>12516</v>
      </c>
      <c r="B5030" s="11">
        <v>4019876501234</v>
      </c>
      <c r="C5030" s="1" t="s">
        <v>674</v>
      </c>
      <c r="D5030" s="1" t="s">
        <v>29</v>
      </c>
      <c r="E5030" s="1" t="s">
        <v>37</v>
      </c>
      <c r="F5030">
        <v>1.84</v>
      </c>
      <c r="G5030">
        <v>3</v>
      </c>
      <c r="H5030" s="1" t="s">
        <v>14</v>
      </c>
      <c r="I5030" s="1" t="s">
        <v>15</v>
      </c>
      <c r="J5030" s="12">
        <v>45991</v>
      </c>
      <c r="K5030">
        <v>0</v>
      </c>
      <c r="L5030" s="1">
        <f t="shared" si="312"/>
        <v>5.5200000000000005</v>
      </c>
      <c r="M5030" s="1" t="str">
        <f t="shared" si="313"/>
        <v/>
      </c>
      <c r="N5030" s="2">
        <f t="shared" si="314"/>
        <v>45962</v>
      </c>
      <c r="O5030" t="str">
        <f t="shared" si="315"/>
        <v>mačka</v>
      </c>
    </row>
    <row r="5031" spans="1:15" hidden="1" x14ac:dyDescent="0.25">
      <c r="A5031">
        <v>12517</v>
      </c>
      <c r="B5031" s="11">
        <v>4056789012345</v>
      </c>
      <c r="C5031" s="1" t="s">
        <v>47</v>
      </c>
      <c r="D5031" s="1" t="s">
        <v>29</v>
      </c>
      <c r="E5031" s="1" t="s">
        <v>37</v>
      </c>
      <c r="F5031">
        <v>2.4</v>
      </c>
      <c r="G5031">
        <v>2</v>
      </c>
      <c r="H5031" s="1" t="s">
        <v>14</v>
      </c>
      <c r="I5031" s="1" t="s">
        <v>15</v>
      </c>
      <c r="J5031" s="12">
        <v>45991</v>
      </c>
      <c r="K5031">
        <v>0</v>
      </c>
      <c r="L5031" s="1">
        <f t="shared" si="312"/>
        <v>4.8</v>
      </c>
      <c r="M5031" s="1" t="str">
        <f t="shared" si="313"/>
        <v/>
      </c>
      <c r="N5031" s="2">
        <f t="shared" si="314"/>
        <v>45962</v>
      </c>
      <c r="O5031" t="str">
        <f t="shared" si="315"/>
        <v>mačka</v>
      </c>
    </row>
    <row r="5032" spans="1:15" hidden="1" x14ac:dyDescent="0.25">
      <c r="A5032">
        <v>12518</v>
      </c>
      <c r="B5032" s="11">
        <v>8593456789012</v>
      </c>
      <c r="C5032" s="1" t="s">
        <v>28</v>
      </c>
      <c r="D5032" s="1" t="s">
        <v>29</v>
      </c>
      <c r="E5032" s="1" t="s">
        <v>30</v>
      </c>
      <c r="F5032">
        <v>42</v>
      </c>
      <c r="G5032">
        <v>1</v>
      </c>
      <c r="H5032" s="1" t="s">
        <v>14</v>
      </c>
      <c r="I5032" s="1" t="s">
        <v>15</v>
      </c>
      <c r="J5032" s="12">
        <v>45991</v>
      </c>
      <c r="K5032">
        <v>0</v>
      </c>
      <c r="L5032" s="1">
        <f t="shared" si="312"/>
        <v>42</v>
      </c>
      <c r="M5032" s="1" t="str">
        <f t="shared" si="313"/>
        <v/>
      </c>
      <c r="N5032" s="2">
        <f t="shared" si="314"/>
        <v>45962</v>
      </c>
      <c r="O5032" t="str">
        <f t="shared" si="315"/>
        <v>mačka</v>
      </c>
    </row>
    <row r="5033" spans="1:15" hidden="1" x14ac:dyDescent="0.25">
      <c r="A5033">
        <v>12519</v>
      </c>
      <c r="B5033" s="11">
        <v>4025566778891</v>
      </c>
      <c r="C5033" s="1" t="s">
        <v>320</v>
      </c>
      <c r="D5033" s="1" t="s">
        <v>317</v>
      </c>
      <c r="E5033" s="1" t="s">
        <v>30</v>
      </c>
      <c r="F5033">
        <v>51.64</v>
      </c>
      <c r="G5033">
        <v>1</v>
      </c>
      <c r="H5033" s="1" t="s">
        <v>23</v>
      </c>
      <c r="I5033" s="1" t="s">
        <v>1165</v>
      </c>
      <c r="J5033" s="12">
        <v>45991</v>
      </c>
      <c r="K5033">
        <v>0</v>
      </c>
      <c r="L5033" s="1">
        <f t="shared" si="312"/>
        <v>51.64</v>
      </c>
      <c r="M5033" s="1">
        <f t="shared" si="313"/>
        <v>5</v>
      </c>
      <c r="N5033" s="2">
        <f t="shared" si="314"/>
        <v>45962</v>
      </c>
      <c r="O5033" t="str">
        <f t="shared" si="315"/>
        <v>mačka</v>
      </c>
    </row>
    <row r="5034" spans="1:15" hidden="1" x14ac:dyDescent="0.25">
      <c r="A5034">
        <v>12520</v>
      </c>
      <c r="B5034" s="11">
        <v>4002233445566</v>
      </c>
      <c r="C5034" s="1" t="s">
        <v>268</v>
      </c>
      <c r="D5034" s="1" t="s">
        <v>140</v>
      </c>
      <c r="E5034" s="1" t="s">
        <v>30</v>
      </c>
      <c r="F5034">
        <v>20</v>
      </c>
      <c r="G5034">
        <v>1</v>
      </c>
      <c r="H5034" s="1" t="s">
        <v>14</v>
      </c>
      <c r="I5034" s="1" t="s">
        <v>15</v>
      </c>
      <c r="J5034" s="12">
        <v>45991</v>
      </c>
      <c r="K5034">
        <v>0</v>
      </c>
      <c r="L5034" s="1">
        <f t="shared" si="312"/>
        <v>20</v>
      </c>
      <c r="M5034" s="1" t="str">
        <f t="shared" si="313"/>
        <v/>
      </c>
      <c r="N5034" s="2">
        <f t="shared" si="314"/>
        <v>45962</v>
      </c>
      <c r="O5034" t="str">
        <f t="shared" si="315"/>
        <v>mačka</v>
      </c>
    </row>
    <row r="5035" spans="1:15" hidden="1" x14ac:dyDescent="0.25">
      <c r="A5035">
        <v>12521</v>
      </c>
      <c r="B5035" s="11">
        <v>4009012345672</v>
      </c>
      <c r="C5035" s="1" t="s">
        <v>45</v>
      </c>
      <c r="D5035" s="1" t="s">
        <v>36</v>
      </c>
      <c r="E5035" s="1" t="s">
        <v>32</v>
      </c>
      <c r="F5035">
        <v>11.2</v>
      </c>
      <c r="G5035">
        <v>1</v>
      </c>
      <c r="H5035" s="1" t="s">
        <v>14</v>
      </c>
      <c r="I5035" s="1" t="s">
        <v>15</v>
      </c>
      <c r="J5035" s="12">
        <v>45991</v>
      </c>
      <c r="K5035">
        <v>0</v>
      </c>
      <c r="L5035" s="1">
        <f t="shared" si="312"/>
        <v>11.2</v>
      </c>
      <c r="M5035" s="1" t="str">
        <f t="shared" si="313"/>
        <v/>
      </c>
      <c r="N5035" s="2">
        <f t="shared" si="314"/>
        <v>45962</v>
      </c>
      <c r="O5035" t="str">
        <f t="shared" si="315"/>
        <v>mačka</v>
      </c>
    </row>
    <row r="5036" spans="1:15" hidden="1" x14ac:dyDescent="0.25">
      <c r="A5036">
        <v>12522</v>
      </c>
      <c r="B5036" s="11">
        <v>4062345678917</v>
      </c>
      <c r="C5036" s="1" t="s">
        <v>649</v>
      </c>
      <c r="D5036" s="1" t="s">
        <v>140</v>
      </c>
      <c r="E5036" s="1" t="s">
        <v>69</v>
      </c>
      <c r="F5036">
        <v>59.64</v>
      </c>
      <c r="G5036">
        <v>1</v>
      </c>
      <c r="H5036" s="1" t="s">
        <v>14</v>
      </c>
      <c r="I5036" s="1" t="s">
        <v>15</v>
      </c>
      <c r="J5036" s="12">
        <v>45991</v>
      </c>
      <c r="K5036">
        <v>0</v>
      </c>
      <c r="L5036" s="1">
        <f t="shared" si="312"/>
        <v>59.64</v>
      </c>
      <c r="M5036" s="1" t="str">
        <f t="shared" si="313"/>
        <v/>
      </c>
      <c r="N5036" s="2">
        <f t="shared" si="314"/>
        <v>45962</v>
      </c>
      <c r="O5036" t="str">
        <f t="shared" si="315"/>
        <v>mačka</v>
      </c>
    </row>
    <row r="5037" spans="1:15" hidden="1" x14ac:dyDescent="0.25">
      <c r="A5037">
        <v>12523</v>
      </c>
      <c r="B5037" s="11">
        <v>4006677889904</v>
      </c>
      <c r="C5037" s="1" t="s">
        <v>206</v>
      </c>
      <c r="D5037" s="1" t="s">
        <v>29</v>
      </c>
      <c r="E5037" s="1" t="s">
        <v>30</v>
      </c>
      <c r="F5037">
        <v>2</v>
      </c>
      <c r="G5037">
        <v>3</v>
      </c>
      <c r="H5037" s="1" t="s">
        <v>18</v>
      </c>
      <c r="I5037" s="1" t="s">
        <v>15</v>
      </c>
      <c r="J5037" s="12">
        <v>45991</v>
      </c>
      <c r="K5037">
        <v>0</v>
      </c>
      <c r="L5037" s="1">
        <f t="shared" si="312"/>
        <v>6</v>
      </c>
      <c r="M5037" s="1">
        <f t="shared" si="313"/>
        <v>4</v>
      </c>
      <c r="N5037" s="2">
        <f t="shared" si="314"/>
        <v>45962</v>
      </c>
      <c r="O5037" t="str">
        <f t="shared" si="315"/>
        <v>mačka</v>
      </c>
    </row>
    <row r="5038" spans="1:15" x14ac:dyDescent="0.25">
      <c r="A5038">
        <v>12524</v>
      </c>
      <c r="B5038" s="11">
        <v>4028899001126</v>
      </c>
      <c r="C5038" s="1" t="s">
        <v>16</v>
      </c>
      <c r="D5038" s="1" t="s">
        <v>12</v>
      </c>
      <c r="E5038" s="1" t="s">
        <v>17</v>
      </c>
      <c r="F5038">
        <v>2.8</v>
      </c>
      <c r="G5038">
        <v>2</v>
      </c>
      <c r="H5038" s="1" t="s">
        <v>14</v>
      </c>
      <c r="I5038" s="1" t="s">
        <v>15</v>
      </c>
      <c r="J5038" s="12">
        <v>45991</v>
      </c>
      <c r="K5038">
        <v>0</v>
      </c>
      <c r="L5038" s="1">
        <f t="shared" si="312"/>
        <v>5.6</v>
      </c>
      <c r="M5038" s="1" t="str">
        <f t="shared" si="313"/>
        <v/>
      </c>
      <c r="N5038" s="2">
        <f t="shared" si="314"/>
        <v>45962</v>
      </c>
      <c r="O5038" t="str">
        <f t="shared" si="315"/>
        <v>pes</v>
      </c>
    </row>
    <row r="5039" spans="1:15" x14ac:dyDescent="0.25">
      <c r="A5039">
        <v>12525</v>
      </c>
      <c r="B5039" s="11">
        <v>4013456789017</v>
      </c>
      <c r="C5039" s="1" t="s">
        <v>11</v>
      </c>
      <c r="D5039" s="1" t="s">
        <v>12</v>
      </c>
      <c r="E5039" s="1" t="s">
        <v>13</v>
      </c>
      <c r="F5039">
        <v>6</v>
      </c>
      <c r="G5039">
        <v>1</v>
      </c>
      <c r="H5039" s="1" t="s">
        <v>14</v>
      </c>
      <c r="I5039" s="1" t="s">
        <v>15</v>
      </c>
      <c r="J5039" s="12">
        <v>45991</v>
      </c>
      <c r="K5039">
        <v>0</v>
      </c>
      <c r="L5039" s="1">
        <f t="shared" si="312"/>
        <v>6</v>
      </c>
      <c r="M5039" s="1" t="str">
        <f t="shared" si="313"/>
        <v/>
      </c>
      <c r="N5039" s="2">
        <f t="shared" si="314"/>
        <v>45962</v>
      </c>
      <c r="O5039" t="str">
        <f t="shared" si="315"/>
        <v>pes</v>
      </c>
    </row>
    <row r="5040" spans="1:15" x14ac:dyDescent="0.25">
      <c r="A5040">
        <v>12526</v>
      </c>
      <c r="B5040" s="11">
        <v>4040123456795</v>
      </c>
      <c r="C5040" s="1" t="s">
        <v>20</v>
      </c>
      <c r="D5040" s="1" t="s">
        <v>21</v>
      </c>
      <c r="E5040" s="1" t="s">
        <v>22</v>
      </c>
      <c r="F5040">
        <v>8.8000000000000007</v>
      </c>
      <c r="G5040">
        <v>1</v>
      </c>
      <c r="H5040" s="1" t="s">
        <v>18</v>
      </c>
      <c r="I5040" s="1" t="s">
        <v>15</v>
      </c>
      <c r="J5040" s="12">
        <v>45991</v>
      </c>
      <c r="K5040">
        <v>0</v>
      </c>
      <c r="L5040" s="1">
        <f t="shared" si="312"/>
        <v>8.8000000000000007</v>
      </c>
      <c r="M5040" s="1">
        <f t="shared" si="313"/>
        <v>4</v>
      </c>
      <c r="N5040" s="2">
        <f t="shared" si="314"/>
        <v>45962</v>
      </c>
      <c r="O5040" t="str">
        <f t="shared" si="315"/>
        <v>pes</v>
      </c>
    </row>
    <row r="5041" spans="1:15" x14ac:dyDescent="0.25">
      <c r="A5041">
        <v>12527</v>
      </c>
      <c r="B5041" s="11">
        <v>4017890123450</v>
      </c>
      <c r="C5041" s="1" t="s">
        <v>65</v>
      </c>
      <c r="D5041" s="1" t="s">
        <v>39</v>
      </c>
      <c r="E5041" s="1" t="s">
        <v>22</v>
      </c>
      <c r="F5041">
        <v>7.6</v>
      </c>
      <c r="G5041">
        <v>1</v>
      </c>
      <c r="H5041" s="1" t="s">
        <v>14</v>
      </c>
      <c r="I5041" s="1" t="s">
        <v>15</v>
      </c>
      <c r="J5041" s="12">
        <v>45991</v>
      </c>
      <c r="K5041">
        <v>0</v>
      </c>
      <c r="L5041" s="1">
        <f t="shared" si="312"/>
        <v>7.6</v>
      </c>
      <c r="M5041" s="1" t="str">
        <f t="shared" si="313"/>
        <v/>
      </c>
      <c r="N5041" s="2">
        <f t="shared" si="314"/>
        <v>45962</v>
      </c>
      <c r="O5041" t="str">
        <f t="shared" si="315"/>
        <v>pes</v>
      </c>
    </row>
    <row r="5042" spans="1:15" x14ac:dyDescent="0.25">
      <c r="A5042">
        <v>12528</v>
      </c>
      <c r="B5042" s="11">
        <v>4061011223346</v>
      </c>
      <c r="C5042" s="1" t="s">
        <v>25</v>
      </c>
      <c r="D5042" s="1" t="s">
        <v>26</v>
      </c>
      <c r="E5042" s="1" t="s">
        <v>27</v>
      </c>
      <c r="F5042">
        <v>19.600000000000001</v>
      </c>
      <c r="G5042">
        <v>1</v>
      </c>
      <c r="H5042" s="1" t="s">
        <v>14</v>
      </c>
      <c r="I5042" s="1" t="s">
        <v>15</v>
      </c>
      <c r="J5042" s="12">
        <v>45991</v>
      </c>
      <c r="K5042">
        <v>0</v>
      </c>
      <c r="L5042" s="1">
        <f t="shared" si="312"/>
        <v>19.600000000000001</v>
      </c>
      <c r="M5042" s="1" t="str">
        <f t="shared" si="313"/>
        <v/>
      </c>
      <c r="N5042" s="2">
        <f t="shared" si="314"/>
        <v>45962</v>
      </c>
      <c r="O5042" t="str">
        <f t="shared" si="315"/>
        <v>pes</v>
      </c>
    </row>
    <row r="5043" spans="1:15" x14ac:dyDescent="0.25">
      <c r="A5043">
        <v>12529</v>
      </c>
      <c r="B5043" s="11">
        <v>4063456789014</v>
      </c>
      <c r="C5043" s="1" t="s">
        <v>60</v>
      </c>
      <c r="D5043" s="1" t="s">
        <v>12</v>
      </c>
      <c r="E5043" s="1" t="s">
        <v>61</v>
      </c>
      <c r="F5043">
        <v>36</v>
      </c>
      <c r="G5043">
        <v>1</v>
      </c>
      <c r="H5043" s="1" t="s">
        <v>33</v>
      </c>
      <c r="I5043" s="1" t="s">
        <v>15</v>
      </c>
      <c r="J5043" s="12">
        <v>45991</v>
      </c>
      <c r="K5043">
        <v>0</v>
      </c>
      <c r="L5043" s="1">
        <f t="shared" si="312"/>
        <v>36</v>
      </c>
      <c r="M5043" s="1">
        <f t="shared" si="313"/>
        <v>3</v>
      </c>
      <c r="N5043" s="2">
        <f t="shared" si="314"/>
        <v>45962</v>
      </c>
      <c r="O5043" t="str">
        <f t="shared" si="315"/>
        <v>pes</v>
      </c>
    </row>
    <row r="5044" spans="1:15" x14ac:dyDescent="0.25">
      <c r="A5044">
        <v>12530</v>
      </c>
      <c r="B5044" s="11">
        <v>4020123456783</v>
      </c>
      <c r="C5044" s="1" t="s">
        <v>327</v>
      </c>
      <c r="D5044" s="1" t="s">
        <v>26</v>
      </c>
      <c r="E5044" s="1" t="s">
        <v>17</v>
      </c>
      <c r="F5044">
        <v>22</v>
      </c>
      <c r="G5044">
        <v>1</v>
      </c>
      <c r="H5044" s="1" t="s">
        <v>14</v>
      </c>
      <c r="I5044" s="1" t="s">
        <v>15</v>
      </c>
      <c r="J5044" s="12">
        <v>45991</v>
      </c>
      <c r="K5044">
        <v>0</v>
      </c>
      <c r="L5044" s="1">
        <f t="shared" si="312"/>
        <v>22</v>
      </c>
      <c r="M5044" s="1" t="str">
        <f t="shared" si="313"/>
        <v/>
      </c>
      <c r="N5044" s="2">
        <f t="shared" si="314"/>
        <v>45962</v>
      </c>
      <c r="O5044" t="str">
        <f t="shared" si="315"/>
        <v>pes</v>
      </c>
    </row>
    <row r="5045" spans="1:15" x14ac:dyDescent="0.25">
      <c r="A5045">
        <v>12531</v>
      </c>
      <c r="B5045" s="11">
        <v>4005566778891</v>
      </c>
      <c r="C5045" s="1" t="s">
        <v>146</v>
      </c>
      <c r="D5045" s="1" t="s">
        <v>26</v>
      </c>
      <c r="E5045" s="1" t="s">
        <v>134</v>
      </c>
      <c r="F5045">
        <v>18</v>
      </c>
      <c r="G5045">
        <v>1</v>
      </c>
      <c r="H5045" s="1" t="s">
        <v>14</v>
      </c>
      <c r="I5045" s="1" t="s">
        <v>15</v>
      </c>
      <c r="J5045" s="12">
        <v>45991</v>
      </c>
      <c r="K5045">
        <v>0</v>
      </c>
      <c r="L5045" s="1">
        <f t="shared" si="312"/>
        <v>18</v>
      </c>
      <c r="M5045" s="1" t="str">
        <f t="shared" si="313"/>
        <v/>
      </c>
      <c r="N5045" s="2">
        <f t="shared" si="314"/>
        <v>45962</v>
      </c>
      <c r="O5045" t="str">
        <f t="shared" si="315"/>
        <v>pes</v>
      </c>
    </row>
    <row r="5046" spans="1:15" x14ac:dyDescent="0.25">
      <c r="A5046">
        <v>12532</v>
      </c>
      <c r="B5046" s="11">
        <v>4003344556679</v>
      </c>
      <c r="C5046" s="1" t="s">
        <v>132</v>
      </c>
      <c r="D5046" s="1" t="s">
        <v>133</v>
      </c>
      <c r="E5046" s="1" t="s">
        <v>134</v>
      </c>
      <c r="F5046">
        <v>51.64</v>
      </c>
      <c r="G5046">
        <v>1</v>
      </c>
      <c r="H5046" s="1" t="s">
        <v>23</v>
      </c>
      <c r="I5046" s="1" t="s">
        <v>1166</v>
      </c>
      <c r="J5046" s="12">
        <v>45991</v>
      </c>
      <c r="K5046">
        <v>0</v>
      </c>
      <c r="L5046" s="1">
        <f t="shared" si="312"/>
        <v>51.64</v>
      </c>
      <c r="M5046" s="1">
        <f t="shared" si="313"/>
        <v>5</v>
      </c>
      <c r="N5046" s="2">
        <f t="shared" si="314"/>
        <v>45962</v>
      </c>
      <c r="O5046" t="str">
        <f t="shared" si="315"/>
        <v>pes</v>
      </c>
    </row>
    <row r="5047" spans="1:15" x14ac:dyDescent="0.25">
      <c r="A5047">
        <v>12533</v>
      </c>
      <c r="B5047" s="11">
        <v>4011234567897</v>
      </c>
      <c r="C5047" s="1" t="s">
        <v>341</v>
      </c>
      <c r="D5047" s="1" t="s">
        <v>21</v>
      </c>
      <c r="E5047" s="1" t="s">
        <v>303</v>
      </c>
      <c r="F5047">
        <v>11.6</v>
      </c>
      <c r="G5047">
        <v>1</v>
      </c>
      <c r="H5047" s="1" t="s">
        <v>14</v>
      </c>
      <c r="I5047" s="1" t="s">
        <v>15</v>
      </c>
      <c r="J5047" s="12">
        <v>45991</v>
      </c>
      <c r="K5047">
        <v>0</v>
      </c>
      <c r="L5047" s="1">
        <f t="shared" si="312"/>
        <v>11.6</v>
      </c>
      <c r="M5047" s="1" t="str">
        <f t="shared" si="313"/>
        <v/>
      </c>
      <c r="N5047" s="2">
        <f t="shared" si="314"/>
        <v>45962</v>
      </c>
      <c r="O5047" t="str">
        <f t="shared" si="315"/>
        <v>pes</v>
      </c>
    </row>
    <row r="5048" spans="1:15" hidden="1" x14ac:dyDescent="0.25">
      <c r="A5048">
        <v>12534</v>
      </c>
      <c r="B5048" s="11">
        <v>4019876501234</v>
      </c>
      <c r="C5048" s="1" t="s">
        <v>674</v>
      </c>
      <c r="D5048" s="1" t="s">
        <v>29</v>
      </c>
      <c r="E5048" s="1" t="s">
        <v>37</v>
      </c>
      <c r="F5048">
        <v>1.84</v>
      </c>
      <c r="G5048">
        <v>2</v>
      </c>
      <c r="H5048" s="1" t="s">
        <v>14</v>
      </c>
      <c r="I5048" s="1" t="s">
        <v>15</v>
      </c>
      <c r="J5048" s="12">
        <v>45991</v>
      </c>
      <c r="K5048">
        <v>0</v>
      </c>
      <c r="L5048" s="1">
        <f t="shared" si="312"/>
        <v>3.68</v>
      </c>
      <c r="M5048" s="1" t="str">
        <f t="shared" si="313"/>
        <v/>
      </c>
      <c r="N5048" s="2">
        <f t="shared" si="314"/>
        <v>45962</v>
      </c>
      <c r="O5048" t="str">
        <f t="shared" si="315"/>
        <v>mačka</v>
      </c>
    </row>
    <row r="5049" spans="1:15" hidden="1" x14ac:dyDescent="0.25">
      <c r="A5049">
        <v>12535</v>
      </c>
      <c r="B5049" s="11">
        <v>4023456789012</v>
      </c>
      <c r="C5049" s="1" t="s">
        <v>55</v>
      </c>
      <c r="D5049" s="1" t="s">
        <v>29</v>
      </c>
      <c r="E5049" s="1" t="s">
        <v>32</v>
      </c>
      <c r="F5049">
        <v>4</v>
      </c>
      <c r="G5049">
        <v>1</v>
      </c>
      <c r="H5049" s="1" t="s">
        <v>14</v>
      </c>
      <c r="I5049" s="1" t="s">
        <v>15</v>
      </c>
      <c r="J5049" s="12">
        <v>45991</v>
      </c>
      <c r="K5049">
        <v>0</v>
      </c>
      <c r="L5049" s="1">
        <f t="shared" si="312"/>
        <v>4</v>
      </c>
      <c r="M5049" s="1" t="str">
        <f t="shared" si="313"/>
        <v/>
      </c>
      <c r="N5049" s="2">
        <f t="shared" si="314"/>
        <v>45962</v>
      </c>
      <c r="O5049" t="str">
        <f t="shared" si="315"/>
        <v>mačka</v>
      </c>
    </row>
    <row r="5050" spans="1:15" hidden="1" x14ac:dyDescent="0.25">
      <c r="A5050">
        <v>12536</v>
      </c>
      <c r="B5050" s="11">
        <v>4029900112244</v>
      </c>
      <c r="C5050" s="1" t="s">
        <v>655</v>
      </c>
      <c r="D5050" s="1" t="s">
        <v>36</v>
      </c>
      <c r="E5050" s="1" t="s">
        <v>37</v>
      </c>
      <c r="F5050">
        <v>13.6</v>
      </c>
      <c r="G5050">
        <v>1</v>
      </c>
      <c r="H5050" s="1" t="s">
        <v>18</v>
      </c>
      <c r="I5050" s="1" t="s">
        <v>15</v>
      </c>
      <c r="J5050" s="12">
        <v>45991</v>
      </c>
      <c r="K5050">
        <v>0</v>
      </c>
      <c r="L5050" s="1">
        <f t="shared" si="312"/>
        <v>13.6</v>
      </c>
      <c r="M5050" s="1">
        <f t="shared" si="313"/>
        <v>4</v>
      </c>
      <c r="N5050" s="2">
        <f t="shared" si="314"/>
        <v>45962</v>
      </c>
      <c r="O5050" t="str">
        <f t="shared" si="315"/>
        <v>mačka</v>
      </c>
    </row>
    <row r="5051" spans="1:15" hidden="1" x14ac:dyDescent="0.25">
      <c r="A5051">
        <v>12537</v>
      </c>
      <c r="B5051" s="11">
        <v>8596677889011</v>
      </c>
      <c r="C5051" s="1" t="s">
        <v>318</v>
      </c>
      <c r="D5051" s="1" t="s">
        <v>29</v>
      </c>
      <c r="E5051" s="1" t="s">
        <v>30</v>
      </c>
      <c r="F5051">
        <v>35.200000000000003</v>
      </c>
      <c r="G5051">
        <v>1</v>
      </c>
      <c r="H5051" s="1" t="s">
        <v>14</v>
      </c>
      <c r="I5051" s="1" t="s">
        <v>15</v>
      </c>
      <c r="J5051" s="12">
        <v>45991</v>
      </c>
      <c r="K5051">
        <v>0</v>
      </c>
      <c r="L5051" s="1">
        <f t="shared" si="312"/>
        <v>35.200000000000003</v>
      </c>
      <c r="M5051" s="1" t="str">
        <f t="shared" si="313"/>
        <v/>
      </c>
      <c r="N5051" s="2">
        <f t="shared" si="314"/>
        <v>45962</v>
      </c>
      <c r="O5051" t="str">
        <f t="shared" si="315"/>
        <v>mačka</v>
      </c>
    </row>
    <row r="5052" spans="1:15" hidden="1" x14ac:dyDescent="0.25">
      <c r="A5052">
        <v>12538</v>
      </c>
      <c r="B5052" s="11">
        <v>4069012345682</v>
      </c>
      <c r="C5052" s="1" t="s">
        <v>143</v>
      </c>
      <c r="D5052" s="1" t="s">
        <v>144</v>
      </c>
      <c r="E5052" s="1" t="s">
        <v>30</v>
      </c>
      <c r="F5052">
        <v>26</v>
      </c>
      <c r="G5052">
        <v>1</v>
      </c>
      <c r="H5052" s="1" t="s">
        <v>14</v>
      </c>
      <c r="I5052" s="1" t="s">
        <v>15</v>
      </c>
      <c r="J5052" s="12">
        <v>45991</v>
      </c>
      <c r="K5052">
        <v>0</v>
      </c>
      <c r="L5052" s="1">
        <f t="shared" si="312"/>
        <v>26</v>
      </c>
      <c r="M5052" s="1" t="str">
        <f t="shared" si="313"/>
        <v/>
      </c>
      <c r="N5052" s="2">
        <f t="shared" si="314"/>
        <v>45962</v>
      </c>
      <c r="O5052" t="str">
        <f t="shared" si="315"/>
        <v>mačka</v>
      </c>
    </row>
    <row r="5053" spans="1:15" hidden="1" x14ac:dyDescent="0.25">
      <c r="A5053">
        <v>12539</v>
      </c>
      <c r="B5053" s="11">
        <v>4002233445566</v>
      </c>
      <c r="C5053" s="1" t="s">
        <v>268</v>
      </c>
      <c r="D5053" s="1" t="s">
        <v>140</v>
      </c>
      <c r="E5053" s="1" t="s">
        <v>30</v>
      </c>
      <c r="F5053">
        <v>20</v>
      </c>
      <c r="G5053">
        <v>1</v>
      </c>
      <c r="H5053" s="1" t="s">
        <v>18</v>
      </c>
      <c r="I5053" s="1" t="s">
        <v>15</v>
      </c>
      <c r="J5053" s="12">
        <v>45991</v>
      </c>
      <c r="K5053">
        <v>0</v>
      </c>
      <c r="L5053" s="1">
        <f t="shared" si="312"/>
        <v>20</v>
      </c>
      <c r="M5053" s="1">
        <f t="shared" si="313"/>
        <v>4</v>
      </c>
      <c r="N5053" s="2">
        <f t="shared" si="314"/>
        <v>45962</v>
      </c>
      <c r="O5053" t="str">
        <f t="shared" si="315"/>
        <v>mačka</v>
      </c>
    </row>
    <row r="5054" spans="1:15" x14ac:dyDescent="0.25">
      <c r="A5054">
        <v>12540</v>
      </c>
      <c r="B5054" s="11">
        <v>4017890123450</v>
      </c>
      <c r="C5054" s="1" t="s">
        <v>65</v>
      </c>
      <c r="D5054" s="1" t="s">
        <v>39</v>
      </c>
      <c r="E5054" s="1" t="s">
        <v>22</v>
      </c>
      <c r="F5054">
        <v>7.6</v>
      </c>
      <c r="G5054">
        <v>1</v>
      </c>
      <c r="H5054" s="1" t="s">
        <v>14</v>
      </c>
      <c r="I5054" s="1" t="s">
        <v>15</v>
      </c>
      <c r="J5054" s="12">
        <v>45991</v>
      </c>
      <c r="K5054">
        <v>0</v>
      </c>
      <c r="L5054" s="1">
        <f t="shared" si="312"/>
        <v>7.6</v>
      </c>
      <c r="M5054" s="1" t="str">
        <f t="shared" si="313"/>
        <v/>
      </c>
      <c r="N5054" s="2">
        <f t="shared" si="314"/>
        <v>45962</v>
      </c>
      <c r="O5054" t="str">
        <f t="shared" si="315"/>
        <v>pes</v>
      </c>
    </row>
    <row r="5055" spans="1:15" x14ac:dyDescent="0.25">
      <c r="A5055">
        <v>12541</v>
      </c>
      <c r="B5055" s="11">
        <v>4027788990013</v>
      </c>
      <c r="C5055" s="1" t="s">
        <v>43</v>
      </c>
      <c r="D5055" s="1" t="s">
        <v>21</v>
      </c>
      <c r="E5055" s="1" t="s">
        <v>22</v>
      </c>
      <c r="F5055">
        <v>8</v>
      </c>
      <c r="G5055">
        <v>1</v>
      </c>
      <c r="H5055" s="1" t="s">
        <v>14</v>
      </c>
      <c r="I5055" s="1" t="s">
        <v>15</v>
      </c>
      <c r="J5055" s="12">
        <v>45991</v>
      </c>
      <c r="K5055">
        <v>0</v>
      </c>
      <c r="L5055" s="1">
        <f t="shared" si="312"/>
        <v>8</v>
      </c>
      <c r="M5055" s="1" t="str">
        <f t="shared" si="313"/>
        <v/>
      </c>
      <c r="N5055" s="2">
        <f t="shared" si="314"/>
        <v>45962</v>
      </c>
      <c r="O5055" t="str">
        <f t="shared" si="315"/>
        <v>pes</v>
      </c>
    </row>
    <row r="5056" spans="1:15" hidden="1" x14ac:dyDescent="0.25">
      <c r="A5056">
        <v>12542</v>
      </c>
      <c r="B5056" s="11">
        <v>4026677889902</v>
      </c>
      <c r="C5056" s="1" t="s">
        <v>52</v>
      </c>
      <c r="D5056" s="1" t="s">
        <v>53</v>
      </c>
      <c r="E5056" s="1" t="s">
        <v>54</v>
      </c>
      <c r="F5056">
        <v>7.6</v>
      </c>
      <c r="G5056">
        <v>1</v>
      </c>
      <c r="H5056" s="1" t="s">
        <v>14</v>
      </c>
      <c r="I5056" s="1" t="s">
        <v>15</v>
      </c>
      <c r="J5056" s="12">
        <v>45991</v>
      </c>
      <c r="K5056">
        <v>0</v>
      </c>
      <c r="L5056" s="1">
        <f t="shared" si="312"/>
        <v>7.6</v>
      </c>
      <c r="M5056" s="1" t="str">
        <f t="shared" si="313"/>
        <v/>
      </c>
      <c r="N5056" s="2">
        <f t="shared" si="314"/>
        <v>45962</v>
      </c>
      <c r="O5056" t="str">
        <f t="shared" si="315"/>
        <v>iné</v>
      </c>
    </row>
    <row r="5057" spans="1:15" hidden="1" x14ac:dyDescent="0.25">
      <c r="A5057">
        <v>12543</v>
      </c>
      <c r="B5057" s="11">
        <v>4008899001134</v>
      </c>
      <c r="C5057" s="1" t="s">
        <v>332</v>
      </c>
      <c r="D5057" s="1" t="s">
        <v>333</v>
      </c>
      <c r="E5057" s="1" t="s">
        <v>334</v>
      </c>
      <c r="F5057">
        <v>47.64</v>
      </c>
      <c r="G5057">
        <v>1</v>
      </c>
      <c r="H5057" s="1" t="s">
        <v>18</v>
      </c>
      <c r="I5057" s="1" t="s">
        <v>15</v>
      </c>
      <c r="J5057" s="12">
        <v>45991</v>
      </c>
      <c r="K5057">
        <v>0</v>
      </c>
      <c r="L5057" s="1">
        <f t="shared" si="312"/>
        <v>47.64</v>
      </c>
      <c r="M5057" s="1">
        <f t="shared" si="313"/>
        <v>4</v>
      </c>
      <c r="N5057" s="2">
        <f t="shared" si="314"/>
        <v>45962</v>
      </c>
      <c r="O5057" t="str">
        <f t="shared" si="315"/>
        <v>iné</v>
      </c>
    </row>
    <row r="5058" spans="1:15" x14ac:dyDescent="0.25">
      <c r="A5058">
        <v>12544</v>
      </c>
      <c r="B5058" s="11">
        <v>4027788990013</v>
      </c>
      <c r="C5058" s="1" t="s">
        <v>43</v>
      </c>
      <c r="D5058" s="1" t="s">
        <v>21</v>
      </c>
      <c r="E5058" s="1" t="s">
        <v>22</v>
      </c>
      <c r="F5058">
        <v>8</v>
      </c>
      <c r="G5058">
        <v>1</v>
      </c>
      <c r="H5058" s="1" t="s">
        <v>14</v>
      </c>
      <c r="I5058" s="1" t="s">
        <v>15</v>
      </c>
      <c r="J5058" s="12">
        <v>45991</v>
      </c>
      <c r="K5058">
        <v>0</v>
      </c>
      <c r="L5058" s="1">
        <f t="shared" ref="L5058:L5121" si="316">F5058*G5058</f>
        <v>8</v>
      </c>
      <c r="M5058" s="1" t="str">
        <f t="shared" ref="M5058:M5121" si="317">IF(H5058="NULL", "",VALUE(H5058))</f>
        <v/>
      </c>
      <c r="N5058" s="2">
        <f t="shared" ref="N5058:N5121" si="318">DATE(YEAR(J5058),MONTH(J5058),1)</f>
        <v>45962</v>
      </c>
      <c r="O5058" t="str">
        <f t="shared" ref="O5058:O5121" si="319">IF(ISNUMBER(SEARCH("Mačky",D5058)),"mačka",IF(ISNUMBER(SEARCH("Psy",D5058)),"pes","iné"))</f>
        <v>pes</v>
      </c>
    </row>
    <row r="5059" spans="1:15" x14ac:dyDescent="0.25">
      <c r="A5059">
        <v>12545</v>
      </c>
      <c r="B5059" s="11">
        <v>4013456789017</v>
      </c>
      <c r="C5059" s="1" t="s">
        <v>11</v>
      </c>
      <c r="D5059" s="1" t="s">
        <v>12</v>
      </c>
      <c r="E5059" s="1" t="s">
        <v>13</v>
      </c>
      <c r="F5059">
        <v>6</v>
      </c>
      <c r="G5059">
        <v>1</v>
      </c>
      <c r="H5059" s="1" t="s">
        <v>18</v>
      </c>
      <c r="I5059" s="1" t="s">
        <v>15</v>
      </c>
      <c r="J5059" s="12">
        <v>45991</v>
      </c>
      <c r="K5059">
        <v>0</v>
      </c>
      <c r="L5059" s="1">
        <f t="shared" si="316"/>
        <v>6</v>
      </c>
      <c r="M5059" s="1">
        <f t="shared" si="317"/>
        <v>4</v>
      </c>
      <c r="N5059" s="2">
        <f t="shared" si="318"/>
        <v>45962</v>
      </c>
      <c r="O5059" t="str">
        <f t="shared" si="319"/>
        <v>pes</v>
      </c>
    </row>
    <row r="5060" spans="1:15" x14ac:dyDescent="0.25">
      <c r="A5060">
        <v>12546</v>
      </c>
      <c r="B5060" s="11">
        <v>4028899001126</v>
      </c>
      <c r="C5060" s="1" t="s">
        <v>16</v>
      </c>
      <c r="D5060" s="1" t="s">
        <v>12</v>
      </c>
      <c r="E5060" s="1" t="s">
        <v>17</v>
      </c>
      <c r="F5060">
        <v>2.8</v>
      </c>
      <c r="G5060">
        <v>2</v>
      </c>
      <c r="H5060" s="1" t="s">
        <v>14</v>
      </c>
      <c r="I5060" s="1" t="s">
        <v>15</v>
      </c>
      <c r="J5060" s="12">
        <v>45991</v>
      </c>
      <c r="K5060">
        <v>0</v>
      </c>
      <c r="L5060" s="1">
        <f t="shared" si="316"/>
        <v>5.6</v>
      </c>
      <c r="M5060" s="1" t="str">
        <f t="shared" si="317"/>
        <v/>
      </c>
      <c r="N5060" s="2">
        <f t="shared" si="318"/>
        <v>45962</v>
      </c>
      <c r="O5060" t="str">
        <f t="shared" si="319"/>
        <v>pes</v>
      </c>
    </row>
    <row r="5061" spans="1:15" hidden="1" x14ac:dyDescent="0.25">
      <c r="A5061">
        <v>12547</v>
      </c>
      <c r="B5061" s="11">
        <v>4062345678917</v>
      </c>
      <c r="C5061" s="1" t="s">
        <v>649</v>
      </c>
      <c r="D5061" s="1" t="s">
        <v>140</v>
      </c>
      <c r="E5061" s="1" t="s">
        <v>69</v>
      </c>
      <c r="F5061">
        <v>59.64</v>
      </c>
      <c r="G5061">
        <v>1</v>
      </c>
      <c r="H5061" s="1" t="s">
        <v>14</v>
      </c>
      <c r="I5061" s="1" t="s">
        <v>15</v>
      </c>
      <c r="J5061" s="12">
        <v>45991</v>
      </c>
      <c r="K5061">
        <v>0</v>
      </c>
      <c r="L5061" s="1">
        <f t="shared" si="316"/>
        <v>59.64</v>
      </c>
      <c r="M5061" s="1" t="str">
        <f t="shared" si="317"/>
        <v/>
      </c>
      <c r="N5061" s="2">
        <f t="shared" si="318"/>
        <v>45962</v>
      </c>
      <c r="O5061" t="str">
        <f t="shared" si="319"/>
        <v>mačka</v>
      </c>
    </row>
    <row r="5062" spans="1:15" hidden="1" x14ac:dyDescent="0.25">
      <c r="A5062">
        <v>12548</v>
      </c>
      <c r="B5062" s="11">
        <v>4050123456794</v>
      </c>
      <c r="C5062" s="1" t="s">
        <v>41</v>
      </c>
      <c r="D5062" s="1" t="s">
        <v>36</v>
      </c>
      <c r="E5062" s="1" t="s">
        <v>42</v>
      </c>
      <c r="F5062">
        <v>7.2</v>
      </c>
      <c r="G5062">
        <v>1</v>
      </c>
      <c r="H5062" s="1" t="s">
        <v>14</v>
      </c>
      <c r="I5062" s="1" t="s">
        <v>15</v>
      </c>
      <c r="J5062" s="12">
        <v>45991</v>
      </c>
      <c r="K5062">
        <v>0</v>
      </c>
      <c r="L5062" s="1">
        <f t="shared" si="316"/>
        <v>7.2</v>
      </c>
      <c r="M5062" s="1" t="str">
        <f t="shared" si="317"/>
        <v/>
      </c>
      <c r="N5062" s="2">
        <f t="shared" si="318"/>
        <v>45962</v>
      </c>
      <c r="O5062" t="str">
        <f t="shared" si="319"/>
        <v>mačka</v>
      </c>
    </row>
    <row r="5063" spans="1:15" hidden="1" x14ac:dyDescent="0.25">
      <c r="A5063">
        <v>12549</v>
      </c>
      <c r="B5063" s="11">
        <v>4002233445566</v>
      </c>
      <c r="C5063" s="1" t="s">
        <v>268</v>
      </c>
      <c r="D5063" s="1" t="s">
        <v>140</v>
      </c>
      <c r="E5063" s="1" t="s">
        <v>30</v>
      </c>
      <c r="F5063">
        <v>20</v>
      </c>
      <c r="G5063">
        <v>1</v>
      </c>
      <c r="H5063" s="1" t="s">
        <v>18</v>
      </c>
      <c r="I5063" s="1" t="s">
        <v>15</v>
      </c>
      <c r="J5063" s="12">
        <v>45991</v>
      </c>
      <c r="K5063">
        <v>0</v>
      </c>
      <c r="L5063" s="1">
        <f t="shared" si="316"/>
        <v>20</v>
      </c>
      <c r="M5063" s="1">
        <f t="shared" si="317"/>
        <v>4</v>
      </c>
      <c r="N5063" s="2">
        <f t="shared" si="318"/>
        <v>45962</v>
      </c>
      <c r="O5063" t="str">
        <f t="shared" si="319"/>
        <v>mačka</v>
      </c>
    </row>
    <row r="5064" spans="1:15" hidden="1" x14ac:dyDescent="0.25">
      <c r="A5064">
        <v>12550</v>
      </c>
      <c r="B5064" s="11">
        <v>4029900112244</v>
      </c>
      <c r="C5064" s="1" t="s">
        <v>655</v>
      </c>
      <c r="D5064" s="1" t="s">
        <v>36</v>
      </c>
      <c r="E5064" s="1" t="s">
        <v>37</v>
      </c>
      <c r="F5064">
        <v>13.6</v>
      </c>
      <c r="G5064">
        <v>1</v>
      </c>
      <c r="H5064" s="1" t="s">
        <v>14</v>
      </c>
      <c r="I5064" s="1" t="s">
        <v>15</v>
      </c>
      <c r="J5064" s="12">
        <v>45991</v>
      </c>
      <c r="K5064">
        <v>0</v>
      </c>
      <c r="L5064" s="1">
        <f t="shared" si="316"/>
        <v>13.6</v>
      </c>
      <c r="M5064" s="1" t="str">
        <f t="shared" si="317"/>
        <v/>
      </c>
      <c r="N5064" s="2">
        <f t="shared" si="318"/>
        <v>45962</v>
      </c>
      <c r="O5064" t="str">
        <f t="shared" si="319"/>
        <v>mačka</v>
      </c>
    </row>
    <row r="5065" spans="1:15" x14ac:dyDescent="0.25">
      <c r="A5065">
        <v>12551</v>
      </c>
      <c r="B5065" s="11">
        <v>8592233445568</v>
      </c>
      <c r="C5065" s="1" t="s">
        <v>138</v>
      </c>
      <c r="D5065" s="1" t="s">
        <v>133</v>
      </c>
      <c r="E5065" s="1" t="s">
        <v>17</v>
      </c>
      <c r="F5065">
        <v>79.64</v>
      </c>
      <c r="G5065">
        <v>1</v>
      </c>
      <c r="H5065" s="1" t="s">
        <v>33</v>
      </c>
      <c r="I5065" s="1" t="s">
        <v>15</v>
      </c>
      <c r="J5065" s="12">
        <v>45991</v>
      </c>
      <c r="K5065">
        <v>0</v>
      </c>
      <c r="L5065" s="1">
        <f t="shared" si="316"/>
        <v>79.64</v>
      </c>
      <c r="M5065" s="1">
        <f t="shared" si="317"/>
        <v>3</v>
      </c>
      <c r="N5065" s="2">
        <f t="shared" si="318"/>
        <v>45962</v>
      </c>
      <c r="O5065" t="str">
        <f t="shared" si="319"/>
        <v>pes</v>
      </c>
    </row>
    <row r="5066" spans="1:15" x14ac:dyDescent="0.25">
      <c r="A5066">
        <v>12552</v>
      </c>
      <c r="B5066" s="11">
        <v>4003344556679</v>
      </c>
      <c r="C5066" s="1" t="s">
        <v>132</v>
      </c>
      <c r="D5066" s="1" t="s">
        <v>133</v>
      </c>
      <c r="E5066" s="1" t="s">
        <v>134</v>
      </c>
      <c r="F5066">
        <v>51.64</v>
      </c>
      <c r="G5066">
        <v>1</v>
      </c>
      <c r="H5066" s="1" t="s">
        <v>14</v>
      </c>
      <c r="I5066" s="1" t="s">
        <v>15</v>
      </c>
      <c r="J5066" s="12">
        <v>45991</v>
      </c>
      <c r="K5066">
        <v>0</v>
      </c>
      <c r="L5066" s="1">
        <f t="shared" si="316"/>
        <v>51.64</v>
      </c>
      <c r="M5066" s="1" t="str">
        <f t="shared" si="317"/>
        <v/>
      </c>
      <c r="N5066" s="2">
        <f t="shared" si="318"/>
        <v>45962</v>
      </c>
      <c r="O5066" t="str">
        <f t="shared" si="319"/>
        <v>pes</v>
      </c>
    </row>
    <row r="5067" spans="1:15" x14ac:dyDescent="0.25">
      <c r="A5067">
        <v>12553</v>
      </c>
      <c r="B5067" s="11">
        <v>4017890123450</v>
      </c>
      <c r="C5067" s="1" t="s">
        <v>65</v>
      </c>
      <c r="D5067" s="1" t="s">
        <v>39</v>
      </c>
      <c r="E5067" s="1" t="s">
        <v>22</v>
      </c>
      <c r="F5067">
        <v>7.6</v>
      </c>
      <c r="G5067">
        <v>1</v>
      </c>
      <c r="H5067" s="1" t="s">
        <v>14</v>
      </c>
      <c r="I5067" s="1" t="s">
        <v>15</v>
      </c>
      <c r="J5067" s="12">
        <v>45991</v>
      </c>
      <c r="K5067">
        <v>0</v>
      </c>
      <c r="L5067" s="1">
        <f t="shared" si="316"/>
        <v>7.6</v>
      </c>
      <c r="M5067" s="1" t="str">
        <f t="shared" si="317"/>
        <v/>
      </c>
      <c r="N5067" s="2">
        <f t="shared" si="318"/>
        <v>45962</v>
      </c>
      <c r="O5067" t="str">
        <f t="shared" si="319"/>
        <v>pes</v>
      </c>
    </row>
    <row r="5068" spans="1:15" hidden="1" x14ac:dyDescent="0.25">
      <c r="A5068">
        <v>12554</v>
      </c>
      <c r="B5068" s="11">
        <v>4009012345672</v>
      </c>
      <c r="C5068" s="1" t="s">
        <v>45</v>
      </c>
      <c r="D5068" s="1" t="s">
        <v>36</v>
      </c>
      <c r="E5068" s="1" t="s">
        <v>32</v>
      </c>
      <c r="F5068">
        <v>11.2</v>
      </c>
      <c r="G5068">
        <v>1</v>
      </c>
      <c r="H5068" s="1" t="s">
        <v>14</v>
      </c>
      <c r="I5068" s="1" t="s">
        <v>15</v>
      </c>
      <c r="J5068" s="12">
        <v>45991</v>
      </c>
      <c r="K5068">
        <v>0</v>
      </c>
      <c r="L5068" s="1">
        <f t="shared" si="316"/>
        <v>11.2</v>
      </c>
      <c r="M5068" s="1" t="str">
        <f t="shared" si="317"/>
        <v/>
      </c>
      <c r="N5068" s="2">
        <f t="shared" si="318"/>
        <v>45962</v>
      </c>
      <c r="O5068" t="str">
        <f t="shared" si="319"/>
        <v>mačka</v>
      </c>
    </row>
    <row r="5069" spans="1:15" hidden="1" x14ac:dyDescent="0.25">
      <c r="A5069">
        <v>12555</v>
      </c>
      <c r="B5069" s="11">
        <v>4006677889904</v>
      </c>
      <c r="C5069" s="1" t="s">
        <v>206</v>
      </c>
      <c r="D5069" s="1" t="s">
        <v>29</v>
      </c>
      <c r="E5069" s="1" t="s">
        <v>30</v>
      </c>
      <c r="F5069">
        <v>2</v>
      </c>
      <c r="G5069">
        <v>4</v>
      </c>
      <c r="H5069" s="1" t="s">
        <v>14</v>
      </c>
      <c r="I5069" s="1" t="s">
        <v>15</v>
      </c>
      <c r="J5069" s="12">
        <v>45991</v>
      </c>
      <c r="K5069">
        <v>0</v>
      </c>
      <c r="L5069" s="1">
        <f t="shared" si="316"/>
        <v>8</v>
      </c>
      <c r="M5069" s="1" t="str">
        <f t="shared" si="317"/>
        <v/>
      </c>
      <c r="N5069" s="2">
        <f t="shared" si="318"/>
        <v>45962</v>
      </c>
      <c r="O5069" t="str">
        <f t="shared" si="319"/>
        <v>mačka</v>
      </c>
    </row>
    <row r="5070" spans="1:15" hidden="1" x14ac:dyDescent="0.25">
      <c r="A5070">
        <v>12556</v>
      </c>
      <c r="B5070" s="11">
        <v>4056789012345</v>
      </c>
      <c r="C5070" s="1" t="s">
        <v>47</v>
      </c>
      <c r="D5070" s="1" t="s">
        <v>29</v>
      </c>
      <c r="E5070" s="1" t="s">
        <v>37</v>
      </c>
      <c r="F5070">
        <v>2.4</v>
      </c>
      <c r="G5070">
        <v>2</v>
      </c>
      <c r="H5070" s="1" t="s">
        <v>14</v>
      </c>
      <c r="I5070" s="1" t="s">
        <v>15</v>
      </c>
      <c r="J5070" s="12">
        <v>45991</v>
      </c>
      <c r="K5070">
        <v>0</v>
      </c>
      <c r="L5070" s="1">
        <f t="shared" si="316"/>
        <v>4.8</v>
      </c>
      <c r="M5070" s="1" t="str">
        <f t="shared" si="317"/>
        <v/>
      </c>
      <c r="N5070" s="2">
        <f t="shared" si="318"/>
        <v>45962</v>
      </c>
      <c r="O5070" t="str">
        <f t="shared" si="319"/>
        <v>mačka</v>
      </c>
    </row>
    <row r="5071" spans="1:15" hidden="1" x14ac:dyDescent="0.25">
      <c r="A5071">
        <v>12557</v>
      </c>
      <c r="B5071" s="11">
        <v>4019876501234</v>
      </c>
      <c r="C5071" s="1" t="s">
        <v>674</v>
      </c>
      <c r="D5071" s="1" t="s">
        <v>29</v>
      </c>
      <c r="E5071" s="1" t="s">
        <v>37</v>
      </c>
      <c r="F5071">
        <v>1.84</v>
      </c>
      <c r="G5071">
        <v>3</v>
      </c>
      <c r="H5071" s="1" t="s">
        <v>14</v>
      </c>
      <c r="I5071" s="1" t="s">
        <v>15</v>
      </c>
      <c r="J5071" s="12">
        <v>45991</v>
      </c>
      <c r="K5071">
        <v>0</v>
      </c>
      <c r="L5071" s="1">
        <f t="shared" si="316"/>
        <v>5.5200000000000005</v>
      </c>
      <c r="M5071" s="1" t="str">
        <f t="shared" si="317"/>
        <v/>
      </c>
      <c r="N5071" s="2">
        <f t="shared" si="318"/>
        <v>45962</v>
      </c>
      <c r="O5071" t="str">
        <f t="shared" si="319"/>
        <v>mačka</v>
      </c>
    </row>
    <row r="5072" spans="1:15" x14ac:dyDescent="0.25">
      <c r="A5072">
        <v>12558</v>
      </c>
      <c r="B5072" s="11">
        <v>4028899001126</v>
      </c>
      <c r="C5072" s="1" t="s">
        <v>16</v>
      </c>
      <c r="D5072" s="1" t="s">
        <v>12</v>
      </c>
      <c r="E5072" s="1" t="s">
        <v>17</v>
      </c>
      <c r="F5072">
        <v>2.8</v>
      </c>
      <c r="G5072">
        <v>2</v>
      </c>
      <c r="H5072" s="1" t="s">
        <v>23</v>
      </c>
      <c r="I5072" s="1" t="s">
        <v>1167</v>
      </c>
      <c r="J5072" s="12">
        <v>45991</v>
      </c>
      <c r="K5072">
        <v>0</v>
      </c>
      <c r="L5072" s="1">
        <f t="shared" si="316"/>
        <v>5.6</v>
      </c>
      <c r="M5072" s="1">
        <f t="shared" si="317"/>
        <v>5</v>
      </c>
      <c r="N5072" s="2">
        <f t="shared" si="318"/>
        <v>45962</v>
      </c>
      <c r="O5072" t="str">
        <f t="shared" si="319"/>
        <v>pes</v>
      </c>
    </row>
    <row r="5073" spans="1:15" x14ac:dyDescent="0.25">
      <c r="A5073">
        <v>12559</v>
      </c>
      <c r="B5073" s="11">
        <v>4013456789017</v>
      </c>
      <c r="C5073" s="1" t="s">
        <v>11</v>
      </c>
      <c r="D5073" s="1" t="s">
        <v>12</v>
      </c>
      <c r="E5073" s="1" t="s">
        <v>13</v>
      </c>
      <c r="F5073">
        <v>6</v>
      </c>
      <c r="G5073">
        <v>1</v>
      </c>
      <c r="H5073" s="1" t="s">
        <v>14</v>
      </c>
      <c r="I5073" s="1" t="s">
        <v>15</v>
      </c>
      <c r="J5073" s="12">
        <v>45991</v>
      </c>
      <c r="K5073">
        <v>0</v>
      </c>
      <c r="L5073" s="1">
        <f t="shared" si="316"/>
        <v>6</v>
      </c>
      <c r="M5073" s="1" t="str">
        <f t="shared" si="317"/>
        <v/>
      </c>
      <c r="N5073" s="2">
        <f t="shared" si="318"/>
        <v>45962</v>
      </c>
      <c r="O5073" t="str">
        <f t="shared" si="319"/>
        <v>pes</v>
      </c>
    </row>
    <row r="5074" spans="1:15" x14ac:dyDescent="0.25">
      <c r="A5074">
        <v>12560</v>
      </c>
      <c r="B5074" s="11">
        <v>4040123456795</v>
      </c>
      <c r="C5074" s="1" t="s">
        <v>20</v>
      </c>
      <c r="D5074" s="1" t="s">
        <v>21</v>
      </c>
      <c r="E5074" s="1" t="s">
        <v>22</v>
      </c>
      <c r="F5074">
        <v>8.8000000000000007</v>
      </c>
      <c r="G5074">
        <v>1</v>
      </c>
      <c r="H5074" s="1" t="s">
        <v>14</v>
      </c>
      <c r="I5074" s="1" t="s">
        <v>15</v>
      </c>
      <c r="J5074" s="12">
        <v>45991</v>
      </c>
      <c r="K5074">
        <v>0</v>
      </c>
      <c r="L5074" s="1">
        <f t="shared" si="316"/>
        <v>8.8000000000000007</v>
      </c>
      <c r="M5074" s="1" t="str">
        <f t="shared" si="317"/>
        <v/>
      </c>
      <c r="N5074" s="2">
        <f t="shared" si="318"/>
        <v>45962</v>
      </c>
      <c r="O5074" t="str">
        <f t="shared" si="319"/>
        <v>pes</v>
      </c>
    </row>
    <row r="5075" spans="1:15" hidden="1" x14ac:dyDescent="0.25">
      <c r="A5075">
        <v>12561</v>
      </c>
      <c r="B5075" s="11">
        <v>8593456789012</v>
      </c>
      <c r="C5075" s="1" t="s">
        <v>28</v>
      </c>
      <c r="D5075" s="1" t="s">
        <v>29</v>
      </c>
      <c r="E5075" s="1" t="s">
        <v>30</v>
      </c>
      <c r="F5075">
        <v>42</v>
      </c>
      <c r="G5075">
        <v>1</v>
      </c>
      <c r="H5075" s="1" t="s">
        <v>18</v>
      </c>
      <c r="I5075" s="1" t="s">
        <v>15</v>
      </c>
      <c r="J5075" s="12">
        <v>45991</v>
      </c>
      <c r="K5075">
        <v>0</v>
      </c>
      <c r="L5075" s="1">
        <f t="shared" si="316"/>
        <v>42</v>
      </c>
      <c r="M5075" s="1">
        <f t="shared" si="317"/>
        <v>4</v>
      </c>
      <c r="N5075" s="2">
        <f t="shared" si="318"/>
        <v>45962</v>
      </c>
      <c r="O5075" t="str">
        <f t="shared" si="319"/>
        <v>mačka</v>
      </c>
    </row>
    <row r="5076" spans="1:15" hidden="1" x14ac:dyDescent="0.25">
      <c r="A5076">
        <v>12562</v>
      </c>
      <c r="B5076" s="11">
        <v>4066677889903</v>
      </c>
      <c r="C5076" s="1" t="s">
        <v>353</v>
      </c>
      <c r="D5076" s="1" t="s">
        <v>317</v>
      </c>
      <c r="E5076" s="1" t="s">
        <v>42</v>
      </c>
      <c r="F5076">
        <v>59.64</v>
      </c>
      <c r="G5076">
        <v>1</v>
      </c>
      <c r="H5076" s="1" t="s">
        <v>14</v>
      </c>
      <c r="I5076" s="1" t="s">
        <v>15</v>
      </c>
      <c r="J5076" s="12">
        <v>45991</v>
      </c>
      <c r="K5076">
        <v>0</v>
      </c>
      <c r="L5076" s="1">
        <f t="shared" si="316"/>
        <v>59.64</v>
      </c>
      <c r="M5076" s="1" t="str">
        <f t="shared" si="317"/>
        <v/>
      </c>
      <c r="N5076" s="2">
        <f t="shared" si="318"/>
        <v>45962</v>
      </c>
      <c r="O5076" t="str">
        <f t="shared" si="319"/>
        <v>mačka</v>
      </c>
    </row>
    <row r="5077" spans="1:15" hidden="1" x14ac:dyDescent="0.25">
      <c r="A5077">
        <v>12563</v>
      </c>
      <c r="B5077" s="11">
        <v>4055566778892</v>
      </c>
      <c r="C5077" s="1" t="s">
        <v>652</v>
      </c>
      <c r="D5077" s="1" t="s">
        <v>317</v>
      </c>
      <c r="E5077" s="1" t="s">
        <v>69</v>
      </c>
      <c r="F5077">
        <v>8</v>
      </c>
      <c r="G5077">
        <v>1</v>
      </c>
      <c r="H5077" s="1" t="s">
        <v>14</v>
      </c>
      <c r="I5077" s="1" t="s">
        <v>15</v>
      </c>
      <c r="J5077" s="12">
        <v>45991</v>
      </c>
      <c r="K5077">
        <v>0</v>
      </c>
      <c r="L5077" s="1">
        <f t="shared" si="316"/>
        <v>8</v>
      </c>
      <c r="M5077" s="1" t="str">
        <f t="shared" si="317"/>
        <v/>
      </c>
      <c r="N5077" s="2">
        <f t="shared" si="318"/>
        <v>45962</v>
      </c>
      <c r="O5077" t="str">
        <f t="shared" si="319"/>
        <v>mačka</v>
      </c>
    </row>
    <row r="5078" spans="1:15" x14ac:dyDescent="0.25">
      <c r="A5078">
        <v>12564</v>
      </c>
      <c r="B5078" s="11">
        <v>4063456789014</v>
      </c>
      <c r="C5078" s="1" t="s">
        <v>60</v>
      </c>
      <c r="D5078" s="1" t="s">
        <v>12</v>
      </c>
      <c r="E5078" s="1" t="s">
        <v>61</v>
      </c>
      <c r="F5078">
        <v>36</v>
      </c>
      <c r="G5078">
        <v>1</v>
      </c>
      <c r="H5078" s="1" t="s">
        <v>14</v>
      </c>
      <c r="I5078" s="1" t="s">
        <v>15</v>
      </c>
      <c r="J5078" s="12">
        <v>45991</v>
      </c>
      <c r="K5078">
        <v>0</v>
      </c>
      <c r="L5078" s="1">
        <f t="shared" si="316"/>
        <v>36</v>
      </c>
      <c r="M5078" s="1" t="str">
        <f t="shared" si="317"/>
        <v/>
      </c>
      <c r="N5078" s="2">
        <f t="shared" si="318"/>
        <v>45962</v>
      </c>
      <c r="O5078" t="str">
        <f t="shared" si="319"/>
        <v>pes</v>
      </c>
    </row>
    <row r="5079" spans="1:15" x14ac:dyDescent="0.25">
      <c r="A5079">
        <v>12565</v>
      </c>
      <c r="B5079" s="11">
        <v>4027788990013</v>
      </c>
      <c r="C5079" s="1" t="s">
        <v>43</v>
      </c>
      <c r="D5079" s="1" t="s">
        <v>21</v>
      </c>
      <c r="E5079" s="1" t="s">
        <v>22</v>
      </c>
      <c r="F5079">
        <v>8</v>
      </c>
      <c r="G5079">
        <v>1</v>
      </c>
      <c r="H5079" s="1" t="s">
        <v>18</v>
      </c>
      <c r="I5079" s="1" t="s">
        <v>15</v>
      </c>
      <c r="J5079" s="12">
        <v>45991</v>
      </c>
      <c r="K5079">
        <v>0</v>
      </c>
      <c r="L5079" s="1">
        <f t="shared" si="316"/>
        <v>8</v>
      </c>
      <c r="M5079" s="1">
        <f t="shared" si="317"/>
        <v>4</v>
      </c>
      <c r="N5079" s="2">
        <f t="shared" si="318"/>
        <v>45962</v>
      </c>
      <c r="O5079" t="str">
        <f t="shared" si="319"/>
        <v>pes</v>
      </c>
    </row>
    <row r="5080" spans="1:15" x14ac:dyDescent="0.25">
      <c r="A5080">
        <v>12566</v>
      </c>
      <c r="B5080" s="11">
        <v>4008901234561</v>
      </c>
      <c r="C5080" s="1" t="s">
        <v>330</v>
      </c>
      <c r="D5080" s="1" t="s">
        <v>26</v>
      </c>
      <c r="E5080" s="1" t="s">
        <v>331</v>
      </c>
      <c r="F5080">
        <v>40</v>
      </c>
      <c r="G5080">
        <v>1</v>
      </c>
      <c r="H5080" s="1" t="s">
        <v>18</v>
      </c>
      <c r="I5080" s="1" t="s">
        <v>1168</v>
      </c>
      <c r="J5080" s="12">
        <v>45988</v>
      </c>
      <c r="K5080">
        <v>0</v>
      </c>
      <c r="L5080" s="1">
        <f t="shared" si="316"/>
        <v>40</v>
      </c>
      <c r="M5080" s="1">
        <f t="shared" si="317"/>
        <v>4</v>
      </c>
      <c r="N5080" s="2">
        <f t="shared" si="318"/>
        <v>45962</v>
      </c>
      <c r="O5080" t="str">
        <f t="shared" si="319"/>
        <v>pes</v>
      </c>
    </row>
    <row r="5081" spans="1:15" x14ac:dyDescent="0.25">
      <c r="A5081">
        <v>12567</v>
      </c>
      <c r="B5081" s="11">
        <v>4028899001126</v>
      </c>
      <c r="C5081" s="1" t="s">
        <v>16</v>
      </c>
      <c r="D5081" s="1" t="s">
        <v>12</v>
      </c>
      <c r="E5081" s="1" t="s">
        <v>17</v>
      </c>
      <c r="F5081">
        <v>2.8</v>
      </c>
      <c r="G5081">
        <v>2</v>
      </c>
      <c r="H5081" s="1" t="s">
        <v>14</v>
      </c>
      <c r="I5081" s="1" t="s">
        <v>15</v>
      </c>
      <c r="J5081" s="12">
        <v>45988</v>
      </c>
      <c r="K5081">
        <v>0</v>
      </c>
      <c r="L5081" s="1">
        <f t="shared" si="316"/>
        <v>5.6</v>
      </c>
      <c r="M5081" s="1" t="str">
        <f t="shared" si="317"/>
        <v/>
      </c>
      <c r="N5081" s="2">
        <f t="shared" si="318"/>
        <v>45962</v>
      </c>
      <c r="O5081" t="str">
        <f t="shared" si="319"/>
        <v>pes</v>
      </c>
    </row>
    <row r="5082" spans="1:15" x14ac:dyDescent="0.25">
      <c r="A5082">
        <v>12568</v>
      </c>
      <c r="B5082" s="11">
        <v>4022345678908</v>
      </c>
      <c r="C5082" s="1" t="s">
        <v>363</v>
      </c>
      <c r="D5082" s="1" t="s">
        <v>21</v>
      </c>
      <c r="E5082" s="1" t="s">
        <v>69</v>
      </c>
      <c r="F5082">
        <v>10</v>
      </c>
      <c r="G5082">
        <v>1</v>
      </c>
      <c r="H5082" s="1" t="s">
        <v>14</v>
      </c>
      <c r="I5082" s="1" t="s">
        <v>15</v>
      </c>
      <c r="J5082" s="12">
        <v>45988</v>
      </c>
      <c r="K5082">
        <v>0</v>
      </c>
      <c r="L5082" s="1">
        <f t="shared" si="316"/>
        <v>10</v>
      </c>
      <c r="M5082" s="1" t="str">
        <f t="shared" si="317"/>
        <v/>
      </c>
      <c r="N5082" s="2">
        <f t="shared" si="318"/>
        <v>45962</v>
      </c>
      <c r="O5082" t="str">
        <f t="shared" si="319"/>
        <v>pes</v>
      </c>
    </row>
    <row r="5083" spans="1:15" x14ac:dyDescent="0.25">
      <c r="A5083">
        <v>12568</v>
      </c>
      <c r="B5083" s="11">
        <v>4013456789017</v>
      </c>
      <c r="C5083" s="1" t="s">
        <v>11</v>
      </c>
      <c r="D5083" s="1" t="s">
        <v>12</v>
      </c>
      <c r="E5083" s="1" t="s">
        <v>13</v>
      </c>
      <c r="F5083">
        <v>6</v>
      </c>
      <c r="G5083">
        <v>1</v>
      </c>
      <c r="H5083" s="1" t="s">
        <v>23</v>
      </c>
      <c r="I5083" s="1" t="s">
        <v>1169</v>
      </c>
      <c r="J5083" s="12">
        <v>45988</v>
      </c>
      <c r="K5083">
        <v>0</v>
      </c>
      <c r="L5083" s="1">
        <f t="shared" si="316"/>
        <v>6</v>
      </c>
      <c r="M5083" s="1">
        <f t="shared" si="317"/>
        <v>5</v>
      </c>
      <c r="N5083" s="2">
        <f t="shared" si="318"/>
        <v>45962</v>
      </c>
      <c r="O5083" t="str">
        <f t="shared" si="319"/>
        <v>pes</v>
      </c>
    </row>
    <row r="5084" spans="1:15" hidden="1" x14ac:dyDescent="0.25">
      <c r="A5084">
        <v>12569</v>
      </c>
      <c r="B5084" s="11">
        <v>8593456789012</v>
      </c>
      <c r="C5084" s="1" t="s">
        <v>28</v>
      </c>
      <c r="D5084" s="1" t="s">
        <v>29</v>
      </c>
      <c r="E5084" s="1" t="s">
        <v>30</v>
      </c>
      <c r="F5084">
        <v>42</v>
      </c>
      <c r="G5084">
        <v>1</v>
      </c>
      <c r="H5084" s="1" t="s">
        <v>18</v>
      </c>
      <c r="I5084" s="1" t="s">
        <v>14</v>
      </c>
      <c r="J5084" s="12">
        <v>45989</v>
      </c>
      <c r="K5084">
        <v>0</v>
      </c>
      <c r="L5084" s="1">
        <f t="shared" si="316"/>
        <v>42</v>
      </c>
      <c r="M5084" s="1">
        <f t="shared" si="317"/>
        <v>4</v>
      </c>
      <c r="N5084" s="2">
        <f t="shared" si="318"/>
        <v>45962</v>
      </c>
      <c r="O5084" t="str">
        <f t="shared" si="319"/>
        <v>mačka</v>
      </c>
    </row>
    <row r="5085" spans="1:15" hidden="1" x14ac:dyDescent="0.25">
      <c r="A5085">
        <v>12570</v>
      </c>
      <c r="B5085" s="11">
        <v>4006677889904</v>
      </c>
      <c r="C5085" s="1" t="s">
        <v>206</v>
      </c>
      <c r="D5085" s="1" t="s">
        <v>29</v>
      </c>
      <c r="E5085" s="1" t="s">
        <v>30</v>
      </c>
      <c r="F5085">
        <v>2</v>
      </c>
      <c r="G5085">
        <v>3</v>
      </c>
      <c r="H5085" s="1" t="s">
        <v>14</v>
      </c>
      <c r="I5085" s="1" t="s">
        <v>15</v>
      </c>
      <c r="J5085" s="12">
        <v>45989</v>
      </c>
      <c r="K5085">
        <v>0</v>
      </c>
      <c r="L5085" s="1">
        <f t="shared" si="316"/>
        <v>6</v>
      </c>
      <c r="M5085" s="1" t="str">
        <f t="shared" si="317"/>
        <v/>
      </c>
      <c r="N5085" s="2">
        <f t="shared" si="318"/>
        <v>45962</v>
      </c>
      <c r="O5085" t="str">
        <f t="shared" si="319"/>
        <v>mačka</v>
      </c>
    </row>
    <row r="5086" spans="1:15" hidden="1" x14ac:dyDescent="0.25">
      <c r="A5086">
        <v>12571</v>
      </c>
      <c r="B5086" s="11">
        <v>4042233445567</v>
      </c>
      <c r="C5086" s="1" t="s">
        <v>637</v>
      </c>
      <c r="D5086" s="1" t="s">
        <v>140</v>
      </c>
      <c r="E5086" s="1" t="s">
        <v>141</v>
      </c>
      <c r="F5086">
        <v>51.64</v>
      </c>
      <c r="G5086">
        <v>1</v>
      </c>
      <c r="H5086" s="1" t="s">
        <v>23</v>
      </c>
      <c r="I5086" s="1" t="s">
        <v>1170</v>
      </c>
      <c r="J5086" s="12">
        <v>45989</v>
      </c>
      <c r="K5086">
        <v>0</v>
      </c>
      <c r="L5086" s="1">
        <f t="shared" si="316"/>
        <v>51.64</v>
      </c>
      <c r="M5086" s="1">
        <f t="shared" si="317"/>
        <v>5</v>
      </c>
      <c r="N5086" s="2">
        <f t="shared" si="318"/>
        <v>45962</v>
      </c>
      <c r="O5086" t="str">
        <f t="shared" si="319"/>
        <v>mačka</v>
      </c>
    </row>
    <row r="5087" spans="1:15" x14ac:dyDescent="0.25">
      <c r="A5087">
        <v>12572</v>
      </c>
      <c r="B5087" s="11">
        <v>4027788990013</v>
      </c>
      <c r="C5087" s="1" t="s">
        <v>43</v>
      </c>
      <c r="D5087" s="1" t="s">
        <v>21</v>
      </c>
      <c r="E5087" s="1" t="s">
        <v>22</v>
      </c>
      <c r="F5087">
        <v>8</v>
      </c>
      <c r="G5087">
        <v>1</v>
      </c>
      <c r="H5087" s="1" t="s">
        <v>14</v>
      </c>
      <c r="I5087" s="1" t="s">
        <v>15</v>
      </c>
      <c r="J5087" s="12">
        <v>45989</v>
      </c>
      <c r="K5087">
        <v>0</v>
      </c>
      <c r="L5087" s="1">
        <f t="shared" si="316"/>
        <v>8</v>
      </c>
      <c r="M5087" s="1" t="str">
        <f t="shared" si="317"/>
        <v/>
      </c>
      <c r="N5087" s="2">
        <f t="shared" si="318"/>
        <v>45962</v>
      </c>
      <c r="O5087" t="str">
        <f t="shared" si="319"/>
        <v>pes</v>
      </c>
    </row>
    <row r="5088" spans="1:15" x14ac:dyDescent="0.25">
      <c r="A5088">
        <v>12573</v>
      </c>
      <c r="B5088" s="11">
        <v>4000123456786</v>
      </c>
      <c r="C5088" s="1" t="s">
        <v>305</v>
      </c>
      <c r="D5088" s="1" t="s">
        <v>21</v>
      </c>
      <c r="E5088" s="1" t="s">
        <v>27</v>
      </c>
      <c r="F5088">
        <v>6.8</v>
      </c>
      <c r="G5088">
        <v>1</v>
      </c>
      <c r="H5088" s="1" t="s">
        <v>33</v>
      </c>
      <c r="I5088" s="1" t="s">
        <v>113</v>
      </c>
      <c r="J5088" s="12">
        <v>45989</v>
      </c>
      <c r="K5088">
        <v>0</v>
      </c>
      <c r="L5088" s="1">
        <f t="shared" si="316"/>
        <v>6.8</v>
      </c>
      <c r="M5088" s="1">
        <f t="shared" si="317"/>
        <v>3</v>
      </c>
      <c r="N5088" s="2">
        <f t="shared" si="318"/>
        <v>45962</v>
      </c>
      <c r="O5088" t="str">
        <f t="shared" si="319"/>
        <v>pes</v>
      </c>
    </row>
    <row r="5089" spans="1:15" hidden="1" x14ac:dyDescent="0.25">
      <c r="A5089">
        <v>12574</v>
      </c>
      <c r="B5089" s="11">
        <v>4018901234567</v>
      </c>
      <c r="C5089" s="1" t="s">
        <v>680</v>
      </c>
      <c r="D5089" s="1" t="s">
        <v>144</v>
      </c>
      <c r="E5089" s="1" t="s">
        <v>32</v>
      </c>
      <c r="F5089">
        <v>20</v>
      </c>
      <c r="G5089">
        <v>1</v>
      </c>
      <c r="H5089" s="1" t="s">
        <v>14</v>
      </c>
      <c r="I5089" s="1" t="s">
        <v>15</v>
      </c>
      <c r="J5089" s="12">
        <v>45989</v>
      </c>
      <c r="K5089">
        <v>0</v>
      </c>
      <c r="L5089" s="1">
        <f t="shared" si="316"/>
        <v>20</v>
      </c>
      <c r="M5089" s="1" t="str">
        <f t="shared" si="317"/>
        <v/>
      </c>
      <c r="N5089" s="2">
        <f t="shared" si="318"/>
        <v>45962</v>
      </c>
      <c r="O5089" t="str">
        <f t="shared" si="319"/>
        <v>mačka</v>
      </c>
    </row>
    <row r="5090" spans="1:15" hidden="1" x14ac:dyDescent="0.25">
      <c r="A5090">
        <v>12575</v>
      </c>
      <c r="B5090" s="11">
        <v>4021234567894</v>
      </c>
      <c r="C5090" s="1" t="s">
        <v>79</v>
      </c>
      <c r="D5090" s="1" t="s">
        <v>36</v>
      </c>
      <c r="E5090" s="1" t="s">
        <v>69</v>
      </c>
      <c r="F5090">
        <v>8</v>
      </c>
      <c r="G5090">
        <v>1</v>
      </c>
      <c r="H5090" s="1" t="s">
        <v>14</v>
      </c>
      <c r="I5090" s="1" t="s">
        <v>15</v>
      </c>
      <c r="J5090" s="12">
        <v>45990</v>
      </c>
      <c r="K5090">
        <v>0</v>
      </c>
      <c r="L5090" s="1">
        <f t="shared" si="316"/>
        <v>8</v>
      </c>
      <c r="M5090" s="1" t="str">
        <f t="shared" si="317"/>
        <v/>
      </c>
      <c r="N5090" s="2">
        <f t="shared" si="318"/>
        <v>45962</v>
      </c>
      <c r="O5090" t="str">
        <f t="shared" si="319"/>
        <v>mačka</v>
      </c>
    </row>
    <row r="5091" spans="1:15" x14ac:dyDescent="0.25">
      <c r="A5091">
        <v>12576</v>
      </c>
      <c r="B5091" s="11">
        <v>4046789012356</v>
      </c>
      <c r="C5091" s="1" t="s">
        <v>304</v>
      </c>
      <c r="D5091" s="1" t="s">
        <v>39</v>
      </c>
      <c r="E5091" s="1" t="s">
        <v>61</v>
      </c>
      <c r="F5091">
        <v>6.4</v>
      </c>
      <c r="G5091">
        <v>2</v>
      </c>
      <c r="H5091" s="1" t="s">
        <v>14</v>
      </c>
      <c r="I5091" s="1" t="s">
        <v>15</v>
      </c>
      <c r="J5091" s="12">
        <v>45990</v>
      </c>
      <c r="K5091">
        <v>0</v>
      </c>
      <c r="L5091" s="1">
        <f t="shared" si="316"/>
        <v>12.8</v>
      </c>
      <c r="M5091" s="1" t="str">
        <f t="shared" si="317"/>
        <v/>
      </c>
      <c r="N5091" s="2">
        <f t="shared" si="318"/>
        <v>45962</v>
      </c>
      <c r="O5091" t="str">
        <f t="shared" si="319"/>
        <v>pes</v>
      </c>
    </row>
    <row r="5092" spans="1:15" x14ac:dyDescent="0.25">
      <c r="A5092">
        <v>12577</v>
      </c>
      <c r="B5092" s="11">
        <v>4024567890128</v>
      </c>
      <c r="C5092" s="1" t="s">
        <v>682</v>
      </c>
      <c r="D5092" s="1" t="s">
        <v>12</v>
      </c>
      <c r="E5092" s="1" t="s">
        <v>134</v>
      </c>
      <c r="F5092">
        <v>40</v>
      </c>
      <c r="G5092">
        <v>1</v>
      </c>
      <c r="H5092" s="1" t="s">
        <v>18</v>
      </c>
      <c r="I5092" s="1" t="s">
        <v>1171</v>
      </c>
      <c r="J5092" s="12">
        <v>45990</v>
      </c>
      <c r="K5092">
        <v>0</v>
      </c>
      <c r="L5092" s="1">
        <f t="shared" si="316"/>
        <v>40</v>
      </c>
      <c r="M5092" s="1">
        <f t="shared" si="317"/>
        <v>4</v>
      </c>
      <c r="N5092" s="2">
        <f t="shared" si="318"/>
        <v>45962</v>
      </c>
      <c r="O5092" t="str">
        <f t="shared" si="319"/>
        <v>pes</v>
      </c>
    </row>
    <row r="5093" spans="1:15" hidden="1" x14ac:dyDescent="0.25">
      <c r="A5093">
        <v>12578</v>
      </c>
      <c r="B5093" s="11">
        <v>4023456789012</v>
      </c>
      <c r="C5093" s="1" t="s">
        <v>55</v>
      </c>
      <c r="D5093" s="1" t="s">
        <v>29</v>
      </c>
      <c r="E5093" s="1" t="s">
        <v>32</v>
      </c>
      <c r="F5093">
        <v>4</v>
      </c>
      <c r="G5093">
        <v>1</v>
      </c>
      <c r="H5093" s="1" t="s">
        <v>14</v>
      </c>
      <c r="I5093" s="1" t="s">
        <v>15</v>
      </c>
      <c r="J5093" s="12">
        <v>45990</v>
      </c>
      <c r="K5093">
        <v>0</v>
      </c>
      <c r="L5093" s="1">
        <f t="shared" si="316"/>
        <v>4</v>
      </c>
      <c r="M5093" s="1" t="str">
        <f t="shared" si="317"/>
        <v/>
      </c>
      <c r="N5093" s="2">
        <f t="shared" si="318"/>
        <v>45962</v>
      </c>
      <c r="O5093" t="str">
        <f t="shared" si="319"/>
        <v>mačka</v>
      </c>
    </row>
    <row r="5094" spans="1:15" x14ac:dyDescent="0.25">
      <c r="A5094">
        <v>12579</v>
      </c>
      <c r="B5094" s="11">
        <v>4003344556679</v>
      </c>
      <c r="C5094" s="1" t="s">
        <v>132</v>
      </c>
      <c r="D5094" s="1" t="s">
        <v>133</v>
      </c>
      <c r="E5094" s="1" t="s">
        <v>134</v>
      </c>
      <c r="F5094">
        <v>51.64</v>
      </c>
      <c r="G5094">
        <v>1</v>
      </c>
      <c r="H5094" s="1" t="s">
        <v>23</v>
      </c>
      <c r="I5094" s="1" t="s">
        <v>1172</v>
      </c>
      <c r="J5094" s="12">
        <v>45990</v>
      </c>
      <c r="K5094">
        <v>0</v>
      </c>
      <c r="L5094" s="1">
        <f t="shared" si="316"/>
        <v>51.64</v>
      </c>
      <c r="M5094" s="1">
        <f t="shared" si="317"/>
        <v>5</v>
      </c>
      <c r="N5094" s="2">
        <f t="shared" si="318"/>
        <v>45962</v>
      </c>
      <c r="O5094" t="str">
        <f t="shared" si="319"/>
        <v>pes</v>
      </c>
    </row>
    <row r="5095" spans="1:15" hidden="1" x14ac:dyDescent="0.25">
      <c r="A5095">
        <v>12580</v>
      </c>
      <c r="B5095" s="11">
        <v>4050123456794</v>
      </c>
      <c r="C5095" s="1" t="s">
        <v>41</v>
      </c>
      <c r="D5095" s="1" t="s">
        <v>36</v>
      </c>
      <c r="E5095" s="1" t="s">
        <v>42</v>
      </c>
      <c r="F5095">
        <v>7.2</v>
      </c>
      <c r="G5095">
        <v>1</v>
      </c>
      <c r="H5095" s="1" t="s">
        <v>14</v>
      </c>
      <c r="I5095" s="1" t="s">
        <v>15</v>
      </c>
      <c r="J5095" s="12">
        <v>45990</v>
      </c>
      <c r="K5095">
        <v>0</v>
      </c>
      <c r="L5095" s="1">
        <f t="shared" si="316"/>
        <v>7.2</v>
      </c>
      <c r="M5095" s="1" t="str">
        <f t="shared" si="317"/>
        <v/>
      </c>
      <c r="N5095" s="2">
        <f t="shared" si="318"/>
        <v>45962</v>
      </c>
      <c r="O5095" t="str">
        <f t="shared" si="319"/>
        <v>mačka</v>
      </c>
    </row>
    <row r="5096" spans="1:15" hidden="1" x14ac:dyDescent="0.25">
      <c r="A5096">
        <v>12581</v>
      </c>
      <c r="B5096" s="11">
        <v>4024455667788</v>
      </c>
      <c r="C5096" s="1" t="s">
        <v>657</v>
      </c>
      <c r="D5096" s="1" t="s">
        <v>140</v>
      </c>
      <c r="E5096" s="1" t="s">
        <v>42</v>
      </c>
      <c r="F5096">
        <v>75.64</v>
      </c>
      <c r="G5096">
        <v>1</v>
      </c>
      <c r="H5096" s="1" t="s">
        <v>23</v>
      </c>
      <c r="I5096" s="1" t="s">
        <v>1173</v>
      </c>
      <c r="J5096" s="12">
        <v>45990</v>
      </c>
      <c r="K5096">
        <v>0</v>
      </c>
      <c r="L5096" s="1">
        <f t="shared" si="316"/>
        <v>75.64</v>
      </c>
      <c r="M5096" s="1">
        <f t="shared" si="317"/>
        <v>5</v>
      </c>
      <c r="N5096" s="2">
        <f t="shared" si="318"/>
        <v>45962</v>
      </c>
      <c r="O5096" t="str">
        <f t="shared" si="319"/>
        <v>mačka</v>
      </c>
    </row>
    <row r="5097" spans="1:15" hidden="1" x14ac:dyDescent="0.25">
      <c r="A5097">
        <v>12582</v>
      </c>
      <c r="B5097" s="11">
        <v>4069012345682</v>
      </c>
      <c r="C5097" s="1" t="s">
        <v>143</v>
      </c>
      <c r="D5097" s="1" t="s">
        <v>144</v>
      </c>
      <c r="E5097" s="1" t="s">
        <v>30</v>
      </c>
      <c r="F5097">
        <v>26</v>
      </c>
      <c r="G5097">
        <v>1</v>
      </c>
      <c r="H5097" s="1" t="s">
        <v>18</v>
      </c>
      <c r="I5097" s="1" t="s">
        <v>1174</v>
      </c>
      <c r="J5097" s="12">
        <v>45990</v>
      </c>
      <c r="K5097">
        <v>0</v>
      </c>
      <c r="L5097" s="1">
        <f t="shared" si="316"/>
        <v>26</v>
      </c>
      <c r="M5097" s="1">
        <f t="shared" si="317"/>
        <v>4</v>
      </c>
      <c r="N5097" s="2">
        <f t="shared" si="318"/>
        <v>45962</v>
      </c>
      <c r="O5097" t="str">
        <f t="shared" si="319"/>
        <v>mačka</v>
      </c>
    </row>
    <row r="5098" spans="1:15" x14ac:dyDescent="0.25">
      <c r="A5098">
        <v>12583</v>
      </c>
      <c r="B5098" s="11">
        <v>4017890123450</v>
      </c>
      <c r="C5098" s="1" t="s">
        <v>65</v>
      </c>
      <c r="D5098" s="1" t="s">
        <v>39</v>
      </c>
      <c r="E5098" s="1" t="s">
        <v>22</v>
      </c>
      <c r="F5098">
        <v>7.6</v>
      </c>
      <c r="G5098">
        <v>1</v>
      </c>
      <c r="H5098" s="1" t="s">
        <v>14</v>
      </c>
      <c r="I5098" s="1" t="s">
        <v>15</v>
      </c>
      <c r="J5098" s="12">
        <v>45990</v>
      </c>
      <c r="K5098">
        <v>0</v>
      </c>
      <c r="L5098" s="1">
        <f t="shared" si="316"/>
        <v>7.6</v>
      </c>
      <c r="M5098" s="1" t="str">
        <f t="shared" si="317"/>
        <v/>
      </c>
      <c r="N5098" s="2">
        <f t="shared" si="318"/>
        <v>45962</v>
      </c>
      <c r="O5098" t="str">
        <f t="shared" si="319"/>
        <v>pes</v>
      </c>
    </row>
    <row r="5099" spans="1:15" x14ac:dyDescent="0.25">
      <c r="A5099">
        <v>12584</v>
      </c>
      <c r="B5099" s="11">
        <v>4046677889901</v>
      </c>
      <c r="C5099" s="1" t="s">
        <v>1175</v>
      </c>
      <c r="D5099" s="1" t="s">
        <v>21</v>
      </c>
      <c r="E5099" s="1" t="s">
        <v>308</v>
      </c>
      <c r="F5099">
        <v>7.2</v>
      </c>
      <c r="G5099">
        <v>1</v>
      </c>
      <c r="H5099" s="1" t="s">
        <v>33</v>
      </c>
      <c r="I5099" s="1" t="s">
        <v>1176</v>
      </c>
      <c r="J5099" s="12">
        <v>45990</v>
      </c>
      <c r="K5099">
        <v>0</v>
      </c>
      <c r="L5099" s="1">
        <f t="shared" si="316"/>
        <v>7.2</v>
      </c>
      <c r="M5099" s="1">
        <f t="shared" si="317"/>
        <v>3</v>
      </c>
      <c r="N5099" s="2">
        <f t="shared" si="318"/>
        <v>45962</v>
      </c>
      <c r="O5099" t="str">
        <f t="shared" si="319"/>
        <v>pes</v>
      </c>
    </row>
    <row r="5100" spans="1:15" x14ac:dyDescent="0.25">
      <c r="A5100">
        <v>12585</v>
      </c>
      <c r="B5100" s="11">
        <v>4063456789014</v>
      </c>
      <c r="C5100" s="1" t="s">
        <v>60</v>
      </c>
      <c r="D5100" s="1" t="s">
        <v>12</v>
      </c>
      <c r="E5100" s="1" t="s">
        <v>61</v>
      </c>
      <c r="F5100">
        <v>36</v>
      </c>
      <c r="G5100">
        <v>1</v>
      </c>
      <c r="H5100" s="1" t="s">
        <v>14</v>
      </c>
      <c r="I5100" s="1" t="s">
        <v>15</v>
      </c>
      <c r="J5100" s="12">
        <v>45990</v>
      </c>
      <c r="K5100">
        <v>0</v>
      </c>
      <c r="L5100" s="1">
        <f t="shared" si="316"/>
        <v>36</v>
      </c>
      <c r="M5100" s="1" t="str">
        <f t="shared" si="317"/>
        <v/>
      </c>
      <c r="N5100" s="2">
        <f t="shared" si="318"/>
        <v>45962</v>
      </c>
      <c r="O5100" t="str">
        <f t="shared" si="319"/>
        <v>pes</v>
      </c>
    </row>
    <row r="5101" spans="1:15" hidden="1" x14ac:dyDescent="0.25">
      <c r="A5101">
        <v>12586</v>
      </c>
      <c r="B5101" s="11">
        <v>4043344556676</v>
      </c>
      <c r="C5101" s="1" t="s">
        <v>316</v>
      </c>
      <c r="D5101" s="1" t="s">
        <v>317</v>
      </c>
      <c r="E5101" s="1" t="s">
        <v>58</v>
      </c>
      <c r="F5101">
        <v>10</v>
      </c>
      <c r="G5101">
        <v>1</v>
      </c>
      <c r="H5101" s="1" t="s">
        <v>14</v>
      </c>
      <c r="I5101" s="1" t="s">
        <v>15</v>
      </c>
      <c r="J5101" s="12">
        <v>45990</v>
      </c>
      <c r="K5101">
        <v>0</v>
      </c>
      <c r="L5101" s="1">
        <f t="shared" si="316"/>
        <v>10</v>
      </c>
      <c r="M5101" s="1" t="str">
        <f t="shared" si="317"/>
        <v/>
      </c>
      <c r="N5101" s="2">
        <f t="shared" si="318"/>
        <v>45962</v>
      </c>
      <c r="O5101" t="str">
        <f t="shared" si="319"/>
        <v>mačka</v>
      </c>
    </row>
    <row r="5102" spans="1:15" hidden="1" x14ac:dyDescent="0.25">
      <c r="A5102">
        <v>12587</v>
      </c>
      <c r="B5102" s="11">
        <v>8599012345678</v>
      </c>
      <c r="C5102" s="1" t="s">
        <v>1177</v>
      </c>
      <c r="D5102" s="1" t="s">
        <v>36</v>
      </c>
      <c r="E5102" s="1" t="s">
        <v>30</v>
      </c>
      <c r="F5102">
        <v>7.6</v>
      </c>
      <c r="G5102">
        <v>1</v>
      </c>
      <c r="H5102" s="1" t="s">
        <v>14</v>
      </c>
      <c r="I5102" s="1" t="s">
        <v>15</v>
      </c>
      <c r="J5102" s="12">
        <v>45990</v>
      </c>
      <c r="K5102">
        <v>0</v>
      </c>
      <c r="L5102" s="1">
        <f t="shared" si="316"/>
        <v>7.6</v>
      </c>
      <c r="M5102" s="1" t="str">
        <f t="shared" si="317"/>
        <v/>
      </c>
      <c r="N5102" s="2">
        <f t="shared" si="318"/>
        <v>45962</v>
      </c>
      <c r="O5102" t="str">
        <f t="shared" si="319"/>
        <v>mačka</v>
      </c>
    </row>
    <row r="5103" spans="1:15" x14ac:dyDescent="0.25">
      <c r="A5103">
        <v>12588</v>
      </c>
      <c r="B5103" s="11">
        <v>4040123456795</v>
      </c>
      <c r="C5103" s="1" t="s">
        <v>20</v>
      </c>
      <c r="D5103" s="1" t="s">
        <v>21</v>
      </c>
      <c r="E5103" s="1" t="s">
        <v>22</v>
      </c>
      <c r="F5103">
        <v>8.8000000000000007</v>
      </c>
      <c r="G5103">
        <v>1</v>
      </c>
      <c r="H5103" s="1" t="s">
        <v>23</v>
      </c>
      <c r="I5103" s="1" t="s">
        <v>1178</v>
      </c>
      <c r="J5103" s="12">
        <v>45990</v>
      </c>
      <c r="K5103">
        <v>0</v>
      </c>
      <c r="L5103" s="1">
        <f t="shared" si="316"/>
        <v>8.8000000000000007</v>
      </c>
      <c r="M5103" s="1">
        <f t="shared" si="317"/>
        <v>5</v>
      </c>
      <c r="N5103" s="2">
        <f t="shared" si="318"/>
        <v>45962</v>
      </c>
      <c r="O5103" t="str">
        <f t="shared" si="319"/>
        <v>pes</v>
      </c>
    </row>
    <row r="5104" spans="1:15" hidden="1" x14ac:dyDescent="0.25">
      <c r="A5104">
        <v>12589</v>
      </c>
      <c r="B5104" s="11">
        <v>4019900112245</v>
      </c>
      <c r="C5104" s="1" t="s">
        <v>1179</v>
      </c>
      <c r="D5104" s="1" t="s">
        <v>1180</v>
      </c>
      <c r="E5104" s="1" t="s">
        <v>69</v>
      </c>
      <c r="F5104">
        <v>3.6</v>
      </c>
      <c r="G5104">
        <v>2</v>
      </c>
      <c r="H5104" s="1" t="s">
        <v>14</v>
      </c>
      <c r="I5104" s="1" t="s">
        <v>15</v>
      </c>
      <c r="J5104" s="12">
        <v>45990</v>
      </c>
      <c r="K5104">
        <v>0</v>
      </c>
      <c r="L5104" s="1">
        <f t="shared" si="316"/>
        <v>7.2</v>
      </c>
      <c r="M5104" s="1" t="str">
        <f t="shared" si="317"/>
        <v/>
      </c>
      <c r="N5104" s="2">
        <f t="shared" si="318"/>
        <v>45962</v>
      </c>
      <c r="O5104" t="str">
        <f t="shared" si="319"/>
        <v>iné</v>
      </c>
    </row>
    <row r="5105" spans="1:15" hidden="1" x14ac:dyDescent="0.25">
      <c r="A5105">
        <v>12590</v>
      </c>
      <c r="B5105" s="11">
        <v>8595678901234</v>
      </c>
      <c r="C5105" s="1" t="s">
        <v>339</v>
      </c>
      <c r="D5105" s="1" t="s">
        <v>340</v>
      </c>
      <c r="E5105" s="1" t="s">
        <v>69</v>
      </c>
      <c r="F5105">
        <v>6</v>
      </c>
      <c r="G5105">
        <v>1</v>
      </c>
      <c r="H5105" s="1" t="s">
        <v>14</v>
      </c>
      <c r="I5105" s="1" t="s">
        <v>15</v>
      </c>
      <c r="J5105" s="12">
        <v>45990</v>
      </c>
      <c r="K5105">
        <v>0</v>
      </c>
      <c r="L5105" s="1">
        <f t="shared" si="316"/>
        <v>6</v>
      </c>
      <c r="M5105" s="1" t="str">
        <f t="shared" si="317"/>
        <v/>
      </c>
      <c r="N5105" s="2">
        <f t="shared" si="318"/>
        <v>45962</v>
      </c>
      <c r="O5105" t="str">
        <f t="shared" si="319"/>
        <v>iné</v>
      </c>
    </row>
    <row r="5106" spans="1:15" hidden="1" x14ac:dyDescent="0.25">
      <c r="A5106">
        <v>12591</v>
      </c>
      <c r="B5106" s="11">
        <v>4009012345672</v>
      </c>
      <c r="C5106" s="1" t="s">
        <v>45</v>
      </c>
      <c r="D5106" s="1" t="s">
        <v>36</v>
      </c>
      <c r="E5106" s="1" t="s">
        <v>32</v>
      </c>
      <c r="F5106">
        <v>11.2</v>
      </c>
      <c r="G5106">
        <v>1</v>
      </c>
      <c r="H5106" s="1" t="s">
        <v>18</v>
      </c>
      <c r="I5106" s="1" t="s">
        <v>1181</v>
      </c>
      <c r="J5106" s="12">
        <v>45990</v>
      </c>
      <c r="K5106">
        <v>0</v>
      </c>
      <c r="L5106" s="1">
        <f t="shared" si="316"/>
        <v>11.2</v>
      </c>
      <c r="M5106" s="1">
        <f t="shared" si="317"/>
        <v>4</v>
      </c>
      <c r="N5106" s="2">
        <f t="shared" si="318"/>
        <v>45962</v>
      </c>
      <c r="O5106" t="str">
        <f t="shared" si="319"/>
        <v>mačka</v>
      </c>
    </row>
    <row r="5107" spans="1:15" hidden="1" x14ac:dyDescent="0.25">
      <c r="A5107">
        <v>12592</v>
      </c>
      <c r="B5107" s="11">
        <v>4047890123460</v>
      </c>
      <c r="C5107" s="1" t="s">
        <v>325</v>
      </c>
      <c r="D5107" s="1" t="s">
        <v>144</v>
      </c>
      <c r="E5107" s="1" t="s">
        <v>58</v>
      </c>
      <c r="F5107">
        <v>10</v>
      </c>
      <c r="G5107">
        <v>1</v>
      </c>
      <c r="H5107" s="1" t="s">
        <v>14</v>
      </c>
      <c r="I5107" s="1" t="s">
        <v>15</v>
      </c>
      <c r="J5107" s="12">
        <v>45990</v>
      </c>
      <c r="K5107">
        <v>0</v>
      </c>
      <c r="L5107" s="1">
        <f t="shared" si="316"/>
        <v>10</v>
      </c>
      <c r="M5107" s="1" t="str">
        <f t="shared" si="317"/>
        <v/>
      </c>
      <c r="N5107" s="2">
        <f t="shared" si="318"/>
        <v>45962</v>
      </c>
      <c r="O5107" t="str">
        <f t="shared" si="319"/>
        <v>mačka</v>
      </c>
    </row>
    <row r="5108" spans="1:15" x14ac:dyDescent="0.25">
      <c r="A5108">
        <v>12593</v>
      </c>
      <c r="B5108" s="11">
        <v>4061011223346</v>
      </c>
      <c r="C5108" s="1" t="s">
        <v>25</v>
      </c>
      <c r="D5108" s="1" t="s">
        <v>26</v>
      </c>
      <c r="E5108" s="1" t="s">
        <v>27</v>
      </c>
      <c r="F5108">
        <v>19.600000000000001</v>
      </c>
      <c r="G5108">
        <v>1</v>
      </c>
      <c r="H5108" s="1" t="s">
        <v>23</v>
      </c>
      <c r="I5108" s="1" t="s">
        <v>1182</v>
      </c>
      <c r="J5108" s="12">
        <v>45990</v>
      </c>
      <c r="K5108">
        <v>0</v>
      </c>
      <c r="L5108" s="1">
        <f t="shared" si="316"/>
        <v>19.600000000000001</v>
      </c>
      <c r="M5108" s="1">
        <f t="shared" si="317"/>
        <v>5</v>
      </c>
      <c r="N5108" s="2">
        <f t="shared" si="318"/>
        <v>45962</v>
      </c>
      <c r="O5108" t="str">
        <f t="shared" si="319"/>
        <v>pes</v>
      </c>
    </row>
    <row r="5109" spans="1:15" x14ac:dyDescent="0.25">
      <c r="A5109">
        <v>12594</v>
      </c>
      <c r="B5109" s="11">
        <v>4059900112235</v>
      </c>
      <c r="C5109" s="1" t="s">
        <v>762</v>
      </c>
      <c r="D5109" s="1" t="s">
        <v>26</v>
      </c>
      <c r="E5109" s="1" t="s">
        <v>22</v>
      </c>
      <c r="F5109">
        <v>16</v>
      </c>
      <c r="G5109">
        <v>1</v>
      </c>
      <c r="H5109" s="1" t="s">
        <v>14</v>
      </c>
      <c r="I5109" s="1" t="s">
        <v>15</v>
      </c>
      <c r="J5109" s="12">
        <v>45990</v>
      </c>
      <c r="K5109">
        <v>0</v>
      </c>
      <c r="L5109" s="1">
        <f t="shared" si="316"/>
        <v>16</v>
      </c>
      <c r="M5109" s="1" t="str">
        <f t="shared" si="317"/>
        <v/>
      </c>
      <c r="N5109" s="2">
        <f t="shared" si="318"/>
        <v>45962</v>
      </c>
      <c r="O5109" t="str">
        <f t="shared" si="319"/>
        <v>pes</v>
      </c>
    </row>
    <row r="5110" spans="1:15" hidden="1" x14ac:dyDescent="0.25">
      <c r="A5110">
        <v>12595</v>
      </c>
      <c r="B5110" s="11">
        <v>8591234567812</v>
      </c>
      <c r="C5110" s="1" t="s">
        <v>314</v>
      </c>
      <c r="D5110" s="1" t="s">
        <v>29</v>
      </c>
      <c r="E5110" s="1" t="s">
        <v>30</v>
      </c>
      <c r="F5110">
        <v>33.200000000000003</v>
      </c>
      <c r="G5110">
        <v>1</v>
      </c>
      <c r="H5110" s="1" t="s">
        <v>14</v>
      </c>
      <c r="I5110" s="1" t="s">
        <v>15</v>
      </c>
      <c r="J5110" s="12">
        <v>45990</v>
      </c>
      <c r="K5110">
        <v>0</v>
      </c>
      <c r="L5110" s="1">
        <f t="shared" si="316"/>
        <v>33.200000000000003</v>
      </c>
      <c r="M5110" s="1" t="str">
        <f t="shared" si="317"/>
        <v/>
      </c>
      <c r="N5110" s="2">
        <f t="shared" si="318"/>
        <v>45962</v>
      </c>
      <c r="O5110" t="str">
        <f t="shared" si="319"/>
        <v>mačka</v>
      </c>
    </row>
    <row r="5111" spans="1:15" hidden="1" x14ac:dyDescent="0.25">
      <c r="A5111">
        <v>12596</v>
      </c>
      <c r="B5111" s="11">
        <v>4010123456783</v>
      </c>
      <c r="C5111" s="1" t="s">
        <v>35</v>
      </c>
      <c r="D5111" s="1" t="s">
        <v>36</v>
      </c>
      <c r="E5111" s="1" t="s">
        <v>37</v>
      </c>
      <c r="F5111">
        <v>14</v>
      </c>
      <c r="G5111">
        <v>1</v>
      </c>
      <c r="H5111" s="1" t="s">
        <v>18</v>
      </c>
      <c r="I5111" s="1" t="s">
        <v>1183</v>
      </c>
      <c r="J5111" s="12">
        <v>45990</v>
      </c>
      <c r="K5111">
        <v>0</v>
      </c>
      <c r="L5111" s="1">
        <f t="shared" si="316"/>
        <v>14</v>
      </c>
      <c r="M5111" s="1">
        <f t="shared" si="317"/>
        <v>4</v>
      </c>
      <c r="N5111" s="2">
        <f t="shared" si="318"/>
        <v>45962</v>
      </c>
      <c r="O5111" t="str">
        <f t="shared" si="319"/>
        <v>mačka</v>
      </c>
    </row>
    <row r="5112" spans="1:15" hidden="1" x14ac:dyDescent="0.25">
      <c r="A5112">
        <v>12597</v>
      </c>
      <c r="B5112" s="11">
        <v>4055566778892</v>
      </c>
      <c r="C5112" s="1" t="s">
        <v>652</v>
      </c>
      <c r="D5112" s="1" t="s">
        <v>317</v>
      </c>
      <c r="E5112" s="1" t="s">
        <v>69</v>
      </c>
      <c r="F5112">
        <v>8</v>
      </c>
      <c r="G5112">
        <v>1</v>
      </c>
      <c r="H5112" s="1" t="s">
        <v>14</v>
      </c>
      <c r="I5112" s="1" t="s">
        <v>15</v>
      </c>
      <c r="J5112" s="12">
        <v>45990</v>
      </c>
      <c r="K5112">
        <v>0</v>
      </c>
      <c r="L5112" s="1">
        <f t="shared" si="316"/>
        <v>8</v>
      </c>
      <c r="M5112" s="1" t="str">
        <f t="shared" si="317"/>
        <v/>
      </c>
      <c r="N5112" s="2">
        <f t="shared" si="318"/>
        <v>45962</v>
      </c>
      <c r="O5112" t="str">
        <f t="shared" si="319"/>
        <v>mačka</v>
      </c>
    </row>
    <row r="5113" spans="1:15" x14ac:dyDescent="0.25">
      <c r="A5113">
        <v>12598</v>
      </c>
      <c r="B5113" s="11">
        <v>4016677889902</v>
      </c>
      <c r="C5113" s="1" t="s">
        <v>328</v>
      </c>
      <c r="D5113" s="1" t="s">
        <v>26</v>
      </c>
      <c r="E5113" s="1" t="s">
        <v>17</v>
      </c>
      <c r="F5113">
        <v>22</v>
      </c>
      <c r="G5113">
        <v>1</v>
      </c>
      <c r="H5113" s="1" t="s">
        <v>14</v>
      </c>
      <c r="I5113" s="1" t="s">
        <v>15</v>
      </c>
      <c r="J5113" s="12">
        <v>45990</v>
      </c>
      <c r="K5113">
        <v>0</v>
      </c>
      <c r="L5113" s="1">
        <f t="shared" si="316"/>
        <v>22</v>
      </c>
      <c r="M5113" s="1" t="str">
        <f t="shared" si="317"/>
        <v/>
      </c>
      <c r="N5113" s="2">
        <f t="shared" si="318"/>
        <v>45962</v>
      </c>
      <c r="O5113" t="str">
        <f t="shared" si="319"/>
        <v>pes</v>
      </c>
    </row>
    <row r="5114" spans="1:15" hidden="1" x14ac:dyDescent="0.25">
      <c r="A5114">
        <v>12599</v>
      </c>
      <c r="B5114" s="11">
        <v>4007788990022</v>
      </c>
      <c r="C5114" s="1" t="s">
        <v>663</v>
      </c>
      <c r="D5114" s="1" t="s">
        <v>140</v>
      </c>
      <c r="E5114" s="1" t="s">
        <v>141</v>
      </c>
      <c r="F5114">
        <v>59.64</v>
      </c>
      <c r="G5114">
        <v>1</v>
      </c>
      <c r="H5114" s="1" t="s">
        <v>23</v>
      </c>
      <c r="I5114" s="1" t="s">
        <v>1184</v>
      </c>
      <c r="J5114" s="12">
        <v>45991</v>
      </c>
      <c r="K5114">
        <v>0</v>
      </c>
      <c r="L5114" s="1">
        <f t="shared" si="316"/>
        <v>59.64</v>
      </c>
      <c r="M5114" s="1">
        <f t="shared" si="317"/>
        <v>5</v>
      </c>
      <c r="N5114" s="2">
        <f t="shared" si="318"/>
        <v>45962</v>
      </c>
      <c r="O5114" t="str">
        <f t="shared" si="319"/>
        <v>mačka</v>
      </c>
    </row>
    <row r="5115" spans="1:15" hidden="1" x14ac:dyDescent="0.25">
      <c r="A5115">
        <v>12600</v>
      </c>
      <c r="B5115" s="11">
        <v>4041234567809</v>
      </c>
      <c r="C5115" s="1" t="s">
        <v>310</v>
      </c>
      <c r="D5115" s="1" t="s">
        <v>29</v>
      </c>
      <c r="E5115" s="1" t="s">
        <v>32</v>
      </c>
      <c r="F5115">
        <v>2</v>
      </c>
      <c r="G5115">
        <v>3</v>
      </c>
      <c r="H5115" s="1" t="s">
        <v>14</v>
      </c>
      <c r="I5115" s="1" t="s">
        <v>15</v>
      </c>
      <c r="J5115" s="12">
        <v>45991</v>
      </c>
      <c r="K5115">
        <v>0</v>
      </c>
      <c r="L5115" s="1">
        <f t="shared" si="316"/>
        <v>6</v>
      </c>
      <c r="M5115" s="1" t="str">
        <f t="shared" si="317"/>
        <v/>
      </c>
      <c r="N5115" s="2">
        <f t="shared" si="318"/>
        <v>45962</v>
      </c>
      <c r="O5115" t="str">
        <f t="shared" si="319"/>
        <v>mačka</v>
      </c>
    </row>
    <row r="5116" spans="1:15" hidden="1" x14ac:dyDescent="0.25">
      <c r="A5116">
        <v>12601</v>
      </c>
      <c r="B5116" s="11">
        <v>4056789012345</v>
      </c>
      <c r="C5116" s="1" t="s">
        <v>47</v>
      </c>
      <c r="D5116" s="1" t="s">
        <v>29</v>
      </c>
      <c r="E5116" s="1" t="s">
        <v>37</v>
      </c>
      <c r="F5116">
        <v>2.4</v>
      </c>
      <c r="G5116">
        <v>2</v>
      </c>
      <c r="H5116" s="1" t="s">
        <v>14</v>
      </c>
      <c r="I5116" s="1" t="s">
        <v>15</v>
      </c>
      <c r="J5116" s="12">
        <v>45991</v>
      </c>
      <c r="K5116">
        <v>0</v>
      </c>
      <c r="L5116" s="1">
        <f t="shared" si="316"/>
        <v>4.8</v>
      </c>
      <c r="M5116" s="1" t="str">
        <f t="shared" si="317"/>
        <v/>
      </c>
      <c r="N5116" s="2">
        <f t="shared" si="318"/>
        <v>45962</v>
      </c>
      <c r="O5116" t="str">
        <f t="shared" si="319"/>
        <v>mačka</v>
      </c>
    </row>
    <row r="5117" spans="1:15" hidden="1" x14ac:dyDescent="0.25">
      <c r="A5117">
        <v>12602</v>
      </c>
      <c r="B5117" s="11">
        <v>4026677889902</v>
      </c>
      <c r="C5117" s="1" t="s">
        <v>52</v>
      </c>
      <c r="D5117" s="1" t="s">
        <v>53</v>
      </c>
      <c r="E5117" s="1" t="s">
        <v>54</v>
      </c>
      <c r="F5117">
        <v>7.6</v>
      </c>
      <c r="G5117">
        <v>1</v>
      </c>
      <c r="H5117" s="1" t="s">
        <v>14</v>
      </c>
      <c r="I5117" s="1" t="s">
        <v>15</v>
      </c>
      <c r="J5117" s="12">
        <v>45991</v>
      </c>
      <c r="K5117">
        <v>0</v>
      </c>
      <c r="L5117" s="1">
        <f t="shared" si="316"/>
        <v>7.6</v>
      </c>
      <c r="M5117" s="1" t="str">
        <f t="shared" si="317"/>
        <v/>
      </c>
      <c r="N5117" s="2">
        <f t="shared" si="318"/>
        <v>45962</v>
      </c>
      <c r="O5117" t="str">
        <f t="shared" si="319"/>
        <v>iné</v>
      </c>
    </row>
    <row r="5118" spans="1:15" hidden="1" x14ac:dyDescent="0.25">
      <c r="A5118">
        <v>12603</v>
      </c>
      <c r="B5118" s="11">
        <v>4014455667790</v>
      </c>
      <c r="C5118" s="1" t="s">
        <v>355</v>
      </c>
      <c r="D5118" s="1" t="s">
        <v>356</v>
      </c>
      <c r="E5118" s="1" t="s">
        <v>303</v>
      </c>
      <c r="F5118">
        <v>37.6</v>
      </c>
      <c r="G5118">
        <v>1</v>
      </c>
      <c r="H5118" s="1" t="s">
        <v>18</v>
      </c>
      <c r="I5118" s="1" t="s">
        <v>1185</v>
      </c>
      <c r="J5118" s="12">
        <v>45991</v>
      </c>
      <c r="K5118">
        <v>0</v>
      </c>
      <c r="L5118" s="1">
        <f t="shared" si="316"/>
        <v>37.6</v>
      </c>
      <c r="M5118" s="1">
        <f t="shared" si="317"/>
        <v>4</v>
      </c>
      <c r="N5118" s="2">
        <f t="shared" si="318"/>
        <v>45962</v>
      </c>
      <c r="O5118" t="str">
        <f t="shared" si="319"/>
        <v>iné</v>
      </c>
    </row>
    <row r="5119" spans="1:15" hidden="1" x14ac:dyDescent="0.25">
      <c r="A5119">
        <v>12604</v>
      </c>
      <c r="B5119" s="11">
        <v>4044567890123</v>
      </c>
      <c r="C5119" s="1" t="s">
        <v>266</v>
      </c>
      <c r="D5119" s="1" t="s">
        <v>267</v>
      </c>
      <c r="E5119" s="1" t="s">
        <v>37</v>
      </c>
      <c r="F5119">
        <v>6</v>
      </c>
      <c r="G5119">
        <v>1</v>
      </c>
      <c r="H5119" s="1" t="s">
        <v>14</v>
      </c>
      <c r="I5119" s="1" t="s">
        <v>15</v>
      </c>
      <c r="J5119" s="12">
        <v>45991</v>
      </c>
      <c r="K5119">
        <v>0</v>
      </c>
      <c r="L5119" s="1">
        <f t="shared" si="316"/>
        <v>6</v>
      </c>
      <c r="M5119" s="1" t="str">
        <f t="shared" si="317"/>
        <v/>
      </c>
      <c r="N5119" s="2">
        <f t="shared" si="318"/>
        <v>45962</v>
      </c>
      <c r="O5119" t="str">
        <f t="shared" si="319"/>
        <v>mačka</v>
      </c>
    </row>
    <row r="5120" spans="1:15" hidden="1" x14ac:dyDescent="0.25">
      <c r="A5120">
        <v>12605</v>
      </c>
      <c r="B5120" s="11">
        <v>4029900112244</v>
      </c>
      <c r="C5120" s="1" t="s">
        <v>655</v>
      </c>
      <c r="D5120" s="1" t="s">
        <v>36</v>
      </c>
      <c r="E5120" s="1" t="s">
        <v>37</v>
      </c>
      <c r="F5120">
        <v>13.6</v>
      </c>
      <c r="G5120">
        <v>1</v>
      </c>
      <c r="H5120" s="1" t="s">
        <v>14</v>
      </c>
      <c r="I5120" s="1" t="s">
        <v>15</v>
      </c>
      <c r="J5120" s="12">
        <v>45991</v>
      </c>
      <c r="K5120">
        <v>0</v>
      </c>
      <c r="L5120" s="1">
        <f t="shared" si="316"/>
        <v>13.6</v>
      </c>
      <c r="M5120" s="1" t="str">
        <f t="shared" si="317"/>
        <v/>
      </c>
      <c r="N5120" s="2">
        <f t="shared" si="318"/>
        <v>45962</v>
      </c>
      <c r="O5120" t="str">
        <f t="shared" si="319"/>
        <v>mačka</v>
      </c>
    </row>
    <row r="5121" spans="1:15" hidden="1" x14ac:dyDescent="0.25">
      <c r="A5121">
        <v>12606</v>
      </c>
      <c r="B5121" s="11">
        <v>4002233445566</v>
      </c>
      <c r="C5121" s="1" t="s">
        <v>268</v>
      </c>
      <c r="D5121" s="1" t="s">
        <v>140</v>
      </c>
      <c r="E5121" s="1" t="s">
        <v>30</v>
      </c>
      <c r="F5121">
        <v>20</v>
      </c>
      <c r="G5121">
        <v>1</v>
      </c>
      <c r="H5121" s="1" t="s">
        <v>14</v>
      </c>
      <c r="I5121" s="1" t="s">
        <v>15</v>
      </c>
      <c r="J5121" s="12">
        <v>45991</v>
      </c>
      <c r="K5121">
        <v>0</v>
      </c>
      <c r="L5121" s="1">
        <f t="shared" si="316"/>
        <v>20</v>
      </c>
      <c r="M5121" s="1" t="str">
        <f t="shared" si="317"/>
        <v/>
      </c>
      <c r="N5121" s="2">
        <f t="shared" si="318"/>
        <v>45962</v>
      </c>
      <c r="O5121" t="str">
        <f t="shared" si="319"/>
        <v>mačka</v>
      </c>
    </row>
    <row r="5122" spans="1:15" x14ac:dyDescent="0.25">
      <c r="A5122">
        <v>12607</v>
      </c>
      <c r="B5122" s="11">
        <v>4028901234561</v>
      </c>
      <c r="C5122" s="1" t="s">
        <v>1186</v>
      </c>
      <c r="D5122" s="1" t="s">
        <v>39</v>
      </c>
      <c r="E5122" s="1" t="s">
        <v>27</v>
      </c>
      <c r="F5122">
        <v>10</v>
      </c>
      <c r="G5122">
        <v>1</v>
      </c>
      <c r="H5122" s="1" t="s">
        <v>14</v>
      </c>
      <c r="I5122" s="1" t="s">
        <v>15</v>
      </c>
      <c r="J5122" s="12">
        <v>45991</v>
      </c>
      <c r="K5122">
        <v>0</v>
      </c>
      <c r="L5122" s="1">
        <f t="shared" ref="L5122:L5185" si="320">F5122*G5122</f>
        <v>10</v>
      </c>
      <c r="M5122" s="1" t="str">
        <f t="shared" ref="M5122:M5185" si="321">IF(H5122="NULL", "",VALUE(H5122))</f>
        <v/>
      </c>
      <c r="N5122" s="2">
        <f t="shared" ref="N5122:N5185" si="322">DATE(YEAR(J5122),MONTH(J5122),1)</f>
        <v>45962</v>
      </c>
      <c r="O5122" t="str">
        <f t="shared" ref="O5122:O5185" si="323">IF(ISNUMBER(SEARCH("Mačky",D5122)),"mačka",IF(ISNUMBER(SEARCH("Psy",D5122)),"pes","iné"))</f>
        <v>pes</v>
      </c>
    </row>
    <row r="5123" spans="1:15" x14ac:dyDescent="0.25">
      <c r="A5123">
        <v>12608</v>
      </c>
      <c r="B5123" s="11">
        <v>8592233445568</v>
      </c>
      <c r="C5123" s="1" t="s">
        <v>138</v>
      </c>
      <c r="D5123" s="1" t="s">
        <v>133</v>
      </c>
      <c r="E5123" s="1" t="s">
        <v>17</v>
      </c>
      <c r="F5123">
        <v>79.64</v>
      </c>
      <c r="G5123">
        <v>1</v>
      </c>
      <c r="H5123" s="1" t="s">
        <v>23</v>
      </c>
      <c r="I5123" s="1" t="s">
        <v>1187</v>
      </c>
      <c r="J5123" s="12">
        <v>45991</v>
      </c>
      <c r="K5123">
        <v>0</v>
      </c>
      <c r="L5123" s="1">
        <f t="shared" si="320"/>
        <v>79.64</v>
      </c>
      <c r="M5123" s="1">
        <f t="shared" si="321"/>
        <v>5</v>
      </c>
      <c r="N5123" s="2">
        <f t="shared" si="322"/>
        <v>45962</v>
      </c>
      <c r="O5123" t="str">
        <f t="shared" si="323"/>
        <v>pes</v>
      </c>
    </row>
    <row r="5124" spans="1:15" hidden="1" x14ac:dyDescent="0.25">
      <c r="A5124">
        <v>12609</v>
      </c>
      <c r="B5124" s="11">
        <v>4051234567806</v>
      </c>
      <c r="C5124" s="1" t="s">
        <v>765</v>
      </c>
      <c r="D5124" s="1" t="s">
        <v>766</v>
      </c>
      <c r="E5124" s="1" t="s">
        <v>54</v>
      </c>
      <c r="F5124">
        <v>5.2</v>
      </c>
      <c r="G5124">
        <v>1</v>
      </c>
      <c r="H5124" s="1" t="s">
        <v>14</v>
      </c>
      <c r="I5124" s="1" t="s">
        <v>15</v>
      </c>
      <c r="J5124" s="12">
        <v>45991</v>
      </c>
      <c r="K5124">
        <v>0</v>
      </c>
      <c r="L5124" s="1">
        <f t="shared" si="320"/>
        <v>5.2</v>
      </c>
      <c r="M5124" s="1" t="str">
        <f t="shared" si="321"/>
        <v/>
      </c>
      <c r="N5124" s="2">
        <f t="shared" si="322"/>
        <v>45962</v>
      </c>
      <c r="O5124" t="str">
        <f t="shared" si="323"/>
        <v>iné</v>
      </c>
    </row>
    <row r="5125" spans="1:15" hidden="1" x14ac:dyDescent="0.25">
      <c r="A5125">
        <v>12610</v>
      </c>
      <c r="B5125" s="11">
        <v>4026677889902</v>
      </c>
      <c r="C5125" s="1" t="s">
        <v>52</v>
      </c>
      <c r="D5125" s="1" t="s">
        <v>53</v>
      </c>
      <c r="E5125" s="1" t="s">
        <v>54</v>
      </c>
      <c r="F5125">
        <v>7.6</v>
      </c>
      <c r="G5125">
        <v>1</v>
      </c>
      <c r="H5125" s="1" t="s">
        <v>14</v>
      </c>
      <c r="I5125" s="1" t="s">
        <v>15</v>
      </c>
      <c r="J5125" s="12">
        <v>45991</v>
      </c>
      <c r="K5125">
        <v>0</v>
      </c>
      <c r="L5125" s="1">
        <f t="shared" si="320"/>
        <v>7.6</v>
      </c>
      <c r="M5125" s="1" t="str">
        <f t="shared" si="321"/>
        <v/>
      </c>
      <c r="N5125" s="2">
        <f t="shared" si="322"/>
        <v>45962</v>
      </c>
      <c r="O5125" t="str">
        <f t="shared" si="323"/>
        <v>iné</v>
      </c>
    </row>
    <row r="5126" spans="1:15" hidden="1" x14ac:dyDescent="0.25">
      <c r="A5126">
        <v>12611</v>
      </c>
      <c r="B5126" s="11">
        <v>4050123456794</v>
      </c>
      <c r="C5126" s="1" t="s">
        <v>41</v>
      </c>
      <c r="D5126" s="1" t="s">
        <v>36</v>
      </c>
      <c r="E5126" s="1" t="s">
        <v>42</v>
      </c>
      <c r="F5126">
        <v>7.2</v>
      </c>
      <c r="G5126">
        <v>1</v>
      </c>
      <c r="H5126" s="1" t="s">
        <v>14</v>
      </c>
      <c r="I5126" s="1" t="s">
        <v>15</v>
      </c>
      <c r="J5126" s="12">
        <v>45991</v>
      </c>
      <c r="K5126">
        <v>0</v>
      </c>
      <c r="L5126" s="1">
        <f t="shared" si="320"/>
        <v>7.2</v>
      </c>
      <c r="M5126" s="1" t="str">
        <f t="shared" si="321"/>
        <v/>
      </c>
      <c r="N5126" s="2">
        <f t="shared" si="322"/>
        <v>45962</v>
      </c>
      <c r="O5126" t="str">
        <f t="shared" si="323"/>
        <v>mačka</v>
      </c>
    </row>
    <row r="5127" spans="1:15" hidden="1" x14ac:dyDescent="0.25">
      <c r="A5127">
        <v>12612</v>
      </c>
      <c r="B5127" s="11">
        <v>8597788990023</v>
      </c>
      <c r="C5127" s="1" t="s">
        <v>335</v>
      </c>
      <c r="D5127" s="1" t="s">
        <v>336</v>
      </c>
      <c r="E5127" s="1" t="s">
        <v>54</v>
      </c>
      <c r="F5127">
        <v>6.4</v>
      </c>
      <c r="G5127">
        <v>1</v>
      </c>
      <c r="H5127" s="1" t="s">
        <v>14</v>
      </c>
      <c r="I5127" s="1" t="s">
        <v>15</v>
      </c>
      <c r="J5127" s="12">
        <v>45991</v>
      </c>
      <c r="K5127">
        <v>0</v>
      </c>
      <c r="L5127" s="1">
        <f t="shared" si="320"/>
        <v>6.4</v>
      </c>
      <c r="M5127" s="1" t="str">
        <f t="shared" si="321"/>
        <v/>
      </c>
      <c r="N5127" s="2">
        <f t="shared" si="322"/>
        <v>45962</v>
      </c>
      <c r="O5127" t="str">
        <f t="shared" si="323"/>
        <v>iné</v>
      </c>
    </row>
    <row r="5128" spans="1:15" x14ac:dyDescent="0.25">
      <c r="A5128">
        <v>12613</v>
      </c>
      <c r="B5128" s="11">
        <v>4005566778891</v>
      </c>
      <c r="C5128" s="1" t="s">
        <v>146</v>
      </c>
      <c r="D5128" s="1" t="s">
        <v>26</v>
      </c>
      <c r="E5128" s="1" t="s">
        <v>134</v>
      </c>
      <c r="F5128">
        <v>18</v>
      </c>
      <c r="G5128">
        <v>1</v>
      </c>
      <c r="H5128" s="1" t="s">
        <v>14</v>
      </c>
      <c r="I5128" s="1" t="s">
        <v>15</v>
      </c>
      <c r="J5128" s="12">
        <v>45991</v>
      </c>
      <c r="K5128">
        <v>0</v>
      </c>
      <c r="L5128" s="1">
        <f t="shared" si="320"/>
        <v>18</v>
      </c>
      <c r="M5128" s="1" t="str">
        <f t="shared" si="321"/>
        <v/>
      </c>
      <c r="N5128" s="2">
        <f t="shared" si="322"/>
        <v>45962</v>
      </c>
      <c r="O5128" t="str">
        <f t="shared" si="323"/>
        <v>pes</v>
      </c>
    </row>
    <row r="5129" spans="1:15" hidden="1" x14ac:dyDescent="0.25">
      <c r="A5129">
        <v>12614</v>
      </c>
      <c r="B5129" s="11">
        <v>4067890123456</v>
      </c>
      <c r="C5129" s="1" t="s">
        <v>68</v>
      </c>
      <c r="D5129" s="1" t="s">
        <v>29</v>
      </c>
      <c r="E5129" s="1" t="s">
        <v>69</v>
      </c>
      <c r="F5129">
        <v>36</v>
      </c>
      <c r="G5129">
        <v>1</v>
      </c>
      <c r="H5129" s="1" t="s">
        <v>18</v>
      </c>
      <c r="I5129" s="1" t="s">
        <v>1188</v>
      </c>
      <c r="J5129" s="12">
        <v>45991</v>
      </c>
      <c r="K5129">
        <v>0</v>
      </c>
      <c r="L5129" s="1">
        <f t="shared" si="320"/>
        <v>36</v>
      </c>
      <c r="M5129" s="1">
        <f t="shared" si="321"/>
        <v>4</v>
      </c>
      <c r="N5129" s="2">
        <f t="shared" si="322"/>
        <v>45962</v>
      </c>
      <c r="O5129" t="str">
        <f t="shared" si="323"/>
        <v>mačka</v>
      </c>
    </row>
    <row r="5130" spans="1:15" hidden="1" x14ac:dyDescent="0.25">
      <c r="A5130">
        <v>12615</v>
      </c>
      <c r="B5130" s="11">
        <v>4002233445566</v>
      </c>
      <c r="C5130" s="1" t="s">
        <v>268</v>
      </c>
      <c r="D5130" s="1" t="s">
        <v>140</v>
      </c>
      <c r="E5130" s="1" t="s">
        <v>30</v>
      </c>
      <c r="F5130">
        <v>20</v>
      </c>
      <c r="G5130">
        <v>1</v>
      </c>
      <c r="H5130" s="1" t="s">
        <v>14</v>
      </c>
      <c r="I5130" s="1" t="s">
        <v>15</v>
      </c>
      <c r="J5130" s="12">
        <v>45991</v>
      </c>
      <c r="K5130">
        <v>0</v>
      </c>
      <c r="L5130" s="1">
        <f t="shared" si="320"/>
        <v>20</v>
      </c>
      <c r="M5130" s="1" t="str">
        <f t="shared" si="321"/>
        <v/>
      </c>
      <c r="N5130" s="2">
        <f t="shared" si="322"/>
        <v>45962</v>
      </c>
      <c r="O5130" t="str">
        <f t="shared" si="323"/>
        <v>mačka</v>
      </c>
    </row>
    <row r="5131" spans="1:15" x14ac:dyDescent="0.25">
      <c r="A5131">
        <v>12616</v>
      </c>
      <c r="B5131" s="11">
        <v>4003344556679</v>
      </c>
      <c r="C5131" s="1" t="s">
        <v>132</v>
      </c>
      <c r="D5131" s="1" t="s">
        <v>133</v>
      </c>
      <c r="E5131" s="1" t="s">
        <v>134</v>
      </c>
      <c r="F5131">
        <v>51.64</v>
      </c>
      <c r="G5131">
        <v>1</v>
      </c>
      <c r="H5131" s="1" t="s">
        <v>14</v>
      </c>
      <c r="I5131" s="1" t="s">
        <v>15</v>
      </c>
      <c r="J5131" s="12">
        <v>45991</v>
      </c>
      <c r="K5131">
        <v>0</v>
      </c>
      <c r="L5131" s="1">
        <f t="shared" si="320"/>
        <v>51.64</v>
      </c>
      <c r="M5131" s="1" t="str">
        <f t="shared" si="321"/>
        <v/>
      </c>
      <c r="N5131" s="2">
        <f t="shared" si="322"/>
        <v>45962</v>
      </c>
      <c r="O5131" t="str">
        <f t="shared" si="323"/>
        <v>pes</v>
      </c>
    </row>
    <row r="5132" spans="1:15" hidden="1" x14ac:dyDescent="0.25">
      <c r="A5132">
        <v>12617</v>
      </c>
      <c r="B5132" s="11">
        <v>4018901234567</v>
      </c>
      <c r="C5132" s="1" t="s">
        <v>680</v>
      </c>
      <c r="D5132" s="1" t="s">
        <v>144</v>
      </c>
      <c r="E5132" s="1" t="s">
        <v>32</v>
      </c>
      <c r="F5132">
        <v>20</v>
      </c>
      <c r="G5132">
        <v>1</v>
      </c>
      <c r="H5132" s="1" t="s">
        <v>14</v>
      </c>
      <c r="I5132" s="1" t="s">
        <v>15</v>
      </c>
      <c r="J5132" s="12">
        <v>45991</v>
      </c>
      <c r="K5132">
        <v>0</v>
      </c>
      <c r="L5132" s="1">
        <f t="shared" si="320"/>
        <v>20</v>
      </c>
      <c r="M5132" s="1" t="str">
        <f t="shared" si="321"/>
        <v/>
      </c>
      <c r="N5132" s="2">
        <f t="shared" si="322"/>
        <v>45962</v>
      </c>
      <c r="O5132" t="str">
        <f t="shared" si="323"/>
        <v>mačka</v>
      </c>
    </row>
    <row r="5133" spans="1:15" hidden="1" x14ac:dyDescent="0.25">
      <c r="A5133">
        <v>12618</v>
      </c>
      <c r="B5133" s="11">
        <v>4058901234571</v>
      </c>
      <c r="C5133" s="1" t="s">
        <v>1005</v>
      </c>
      <c r="D5133" s="1" t="s">
        <v>144</v>
      </c>
      <c r="E5133" s="1" t="s">
        <v>141</v>
      </c>
      <c r="F5133">
        <v>12</v>
      </c>
      <c r="G5133">
        <v>1</v>
      </c>
      <c r="H5133" s="1" t="s">
        <v>33</v>
      </c>
      <c r="I5133" s="1" t="s">
        <v>1189</v>
      </c>
      <c r="J5133" s="12">
        <v>45991</v>
      </c>
      <c r="K5133">
        <v>0</v>
      </c>
      <c r="L5133" s="1">
        <f t="shared" si="320"/>
        <v>12</v>
      </c>
      <c r="M5133" s="1">
        <f t="shared" si="321"/>
        <v>3</v>
      </c>
      <c r="N5133" s="2">
        <f t="shared" si="322"/>
        <v>45962</v>
      </c>
      <c r="O5133" t="str">
        <f t="shared" si="323"/>
        <v>mačka</v>
      </c>
    </row>
    <row r="5134" spans="1:15" hidden="1" x14ac:dyDescent="0.25">
      <c r="A5134">
        <v>12619</v>
      </c>
      <c r="B5134" s="11">
        <v>4009012345672</v>
      </c>
      <c r="C5134" s="1" t="s">
        <v>45</v>
      </c>
      <c r="D5134" s="1" t="s">
        <v>36</v>
      </c>
      <c r="E5134" s="1" t="s">
        <v>32</v>
      </c>
      <c r="F5134">
        <v>11.2</v>
      </c>
      <c r="G5134">
        <v>1</v>
      </c>
      <c r="H5134" s="1" t="s">
        <v>14</v>
      </c>
      <c r="I5134" s="1" t="s">
        <v>15</v>
      </c>
      <c r="J5134" s="12">
        <v>45991</v>
      </c>
      <c r="K5134">
        <v>0</v>
      </c>
      <c r="L5134" s="1">
        <f t="shared" si="320"/>
        <v>11.2</v>
      </c>
      <c r="M5134" s="1" t="str">
        <f t="shared" si="321"/>
        <v/>
      </c>
      <c r="N5134" s="2">
        <f t="shared" si="322"/>
        <v>45962</v>
      </c>
      <c r="O5134" t="str">
        <f t="shared" si="323"/>
        <v>mačka</v>
      </c>
    </row>
    <row r="5135" spans="1:15" hidden="1" x14ac:dyDescent="0.25">
      <c r="A5135">
        <v>12620</v>
      </c>
      <c r="B5135" s="11">
        <v>8593456789012</v>
      </c>
      <c r="C5135" s="1" t="s">
        <v>28</v>
      </c>
      <c r="D5135" s="1" t="s">
        <v>29</v>
      </c>
      <c r="E5135" s="1" t="s">
        <v>30</v>
      </c>
      <c r="F5135">
        <v>42</v>
      </c>
      <c r="G5135">
        <v>1</v>
      </c>
      <c r="H5135" s="1" t="s">
        <v>23</v>
      </c>
      <c r="I5135" s="1" t="s">
        <v>1190</v>
      </c>
      <c r="J5135" s="12">
        <v>45991</v>
      </c>
      <c r="K5135">
        <v>0</v>
      </c>
      <c r="L5135" s="1">
        <f t="shared" si="320"/>
        <v>42</v>
      </c>
      <c r="M5135" s="1">
        <f t="shared" si="321"/>
        <v>5</v>
      </c>
      <c r="N5135" s="2">
        <f t="shared" si="322"/>
        <v>45962</v>
      </c>
      <c r="O5135" t="str">
        <f t="shared" si="323"/>
        <v>mačka</v>
      </c>
    </row>
    <row r="5136" spans="1:15" x14ac:dyDescent="0.25">
      <c r="A5136">
        <v>12621</v>
      </c>
      <c r="B5136" s="11">
        <v>4028899001126</v>
      </c>
      <c r="C5136" s="1" t="s">
        <v>16</v>
      </c>
      <c r="D5136" s="1" t="s">
        <v>12</v>
      </c>
      <c r="E5136" s="1" t="s">
        <v>17</v>
      </c>
      <c r="F5136">
        <v>2.8</v>
      </c>
      <c r="G5136">
        <v>3</v>
      </c>
      <c r="H5136" s="1" t="s">
        <v>14</v>
      </c>
      <c r="I5136" s="1" t="s">
        <v>15</v>
      </c>
      <c r="J5136" s="12">
        <v>45991</v>
      </c>
      <c r="K5136">
        <v>0</v>
      </c>
      <c r="L5136" s="1">
        <f t="shared" si="320"/>
        <v>8.3999999999999986</v>
      </c>
      <c r="M5136" s="1" t="str">
        <f t="shared" si="321"/>
        <v/>
      </c>
      <c r="N5136" s="2">
        <f t="shared" si="322"/>
        <v>45962</v>
      </c>
      <c r="O5136" t="str">
        <f t="shared" si="323"/>
        <v>pes</v>
      </c>
    </row>
    <row r="5137" spans="1:15" x14ac:dyDescent="0.25">
      <c r="A5137">
        <v>12622</v>
      </c>
      <c r="B5137" s="11">
        <v>4016677889902</v>
      </c>
      <c r="C5137" s="1" t="s">
        <v>328</v>
      </c>
      <c r="D5137" s="1" t="s">
        <v>26</v>
      </c>
      <c r="E5137" s="1" t="s">
        <v>17</v>
      </c>
      <c r="F5137">
        <v>22</v>
      </c>
      <c r="G5137">
        <v>1</v>
      </c>
      <c r="H5137" s="1" t="s">
        <v>14</v>
      </c>
      <c r="I5137" s="1" t="s">
        <v>15</v>
      </c>
      <c r="J5137" s="12">
        <v>45991</v>
      </c>
      <c r="K5137">
        <v>0</v>
      </c>
      <c r="L5137" s="1">
        <f t="shared" si="320"/>
        <v>22</v>
      </c>
      <c r="M5137" s="1" t="str">
        <f t="shared" si="321"/>
        <v/>
      </c>
      <c r="N5137" s="2">
        <f t="shared" si="322"/>
        <v>45962</v>
      </c>
      <c r="O5137" t="str">
        <f t="shared" si="323"/>
        <v>pes</v>
      </c>
    </row>
    <row r="5138" spans="1:15" hidden="1" x14ac:dyDescent="0.25">
      <c r="A5138">
        <v>12623</v>
      </c>
      <c r="B5138" s="11">
        <v>4062345678917</v>
      </c>
      <c r="C5138" s="1" t="s">
        <v>649</v>
      </c>
      <c r="D5138" s="1" t="s">
        <v>140</v>
      </c>
      <c r="E5138" s="1" t="s">
        <v>69</v>
      </c>
      <c r="F5138">
        <v>59.64</v>
      </c>
      <c r="G5138">
        <v>1</v>
      </c>
      <c r="H5138" s="1" t="s">
        <v>23</v>
      </c>
      <c r="I5138" s="1" t="s">
        <v>1191</v>
      </c>
      <c r="J5138" s="12">
        <v>45991</v>
      </c>
      <c r="K5138">
        <v>0</v>
      </c>
      <c r="L5138" s="1">
        <f t="shared" si="320"/>
        <v>59.64</v>
      </c>
      <c r="M5138" s="1">
        <f t="shared" si="321"/>
        <v>5</v>
      </c>
      <c r="N5138" s="2">
        <f t="shared" si="322"/>
        <v>45962</v>
      </c>
      <c r="O5138" t="str">
        <f t="shared" si="323"/>
        <v>mačka</v>
      </c>
    </row>
    <row r="5139" spans="1:15" hidden="1" x14ac:dyDescent="0.25">
      <c r="A5139">
        <v>12624</v>
      </c>
      <c r="B5139" s="11">
        <v>4067890123456</v>
      </c>
      <c r="C5139" s="1" t="s">
        <v>68</v>
      </c>
      <c r="D5139" s="1" t="s">
        <v>29</v>
      </c>
      <c r="E5139" s="1" t="s">
        <v>69</v>
      </c>
      <c r="F5139">
        <v>36</v>
      </c>
      <c r="G5139">
        <v>1</v>
      </c>
      <c r="H5139" s="1" t="s">
        <v>14</v>
      </c>
      <c r="I5139" s="1" t="s">
        <v>15</v>
      </c>
      <c r="J5139" s="12">
        <v>45991</v>
      </c>
      <c r="K5139">
        <v>0</v>
      </c>
      <c r="L5139" s="1">
        <f t="shared" si="320"/>
        <v>36</v>
      </c>
      <c r="M5139" s="1" t="str">
        <f t="shared" si="321"/>
        <v/>
      </c>
      <c r="N5139" s="2">
        <f t="shared" si="322"/>
        <v>45962</v>
      </c>
      <c r="O5139" t="str">
        <f t="shared" si="323"/>
        <v>mačka</v>
      </c>
    </row>
    <row r="5140" spans="1:15" x14ac:dyDescent="0.25">
      <c r="A5140">
        <v>12625</v>
      </c>
      <c r="B5140" s="11">
        <v>4040123456795</v>
      </c>
      <c r="C5140" s="1" t="s">
        <v>20</v>
      </c>
      <c r="D5140" s="1" t="s">
        <v>21</v>
      </c>
      <c r="E5140" s="1" t="s">
        <v>22</v>
      </c>
      <c r="F5140">
        <v>8.8000000000000007</v>
      </c>
      <c r="G5140">
        <v>1</v>
      </c>
      <c r="H5140" s="1" t="s">
        <v>23</v>
      </c>
      <c r="I5140" s="1" t="s">
        <v>1192</v>
      </c>
      <c r="J5140" s="12">
        <v>45991</v>
      </c>
      <c r="K5140">
        <v>0</v>
      </c>
      <c r="L5140" s="1">
        <f t="shared" si="320"/>
        <v>8.8000000000000007</v>
      </c>
      <c r="M5140" s="1">
        <f t="shared" si="321"/>
        <v>5</v>
      </c>
      <c r="N5140" s="2">
        <f t="shared" si="322"/>
        <v>45962</v>
      </c>
      <c r="O5140" t="str">
        <f t="shared" si="323"/>
        <v>pes</v>
      </c>
    </row>
    <row r="5141" spans="1:15" hidden="1" x14ac:dyDescent="0.25">
      <c r="A5141">
        <v>12626</v>
      </c>
      <c r="B5141" s="11">
        <v>4051234567806</v>
      </c>
      <c r="C5141" s="1" t="s">
        <v>765</v>
      </c>
      <c r="D5141" s="1" t="s">
        <v>766</v>
      </c>
      <c r="E5141" s="1" t="s">
        <v>54</v>
      </c>
      <c r="F5141">
        <v>5.2</v>
      </c>
      <c r="G5141">
        <v>1</v>
      </c>
      <c r="H5141" s="1" t="s">
        <v>14</v>
      </c>
      <c r="I5141" s="1" t="s">
        <v>15</v>
      </c>
      <c r="J5141" s="12">
        <v>45991</v>
      </c>
      <c r="K5141">
        <v>0</v>
      </c>
      <c r="L5141" s="1">
        <f t="shared" si="320"/>
        <v>5.2</v>
      </c>
      <c r="M5141" s="1" t="str">
        <f t="shared" si="321"/>
        <v/>
      </c>
      <c r="N5141" s="2">
        <f t="shared" si="322"/>
        <v>45962</v>
      </c>
      <c r="O5141" t="str">
        <f t="shared" si="323"/>
        <v>iné</v>
      </c>
    </row>
    <row r="5142" spans="1:15" hidden="1" x14ac:dyDescent="0.25">
      <c r="A5142">
        <v>12627</v>
      </c>
      <c r="B5142" s="11">
        <v>4049012345683</v>
      </c>
      <c r="C5142" s="1" t="s">
        <v>57</v>
      </c>
      <c r="D5142" s="1" t="s">
        <v>36</v>
      </c>
      <c r="E5142" s="1" t="s">
        <v>58</v>
      </c>
      <c r="F5142">
        <v>9.1999999999999993</v>
      </c>
      <c r="G5142">
        <v>1</v>
      </c>
      <c r="H5142" s="1" t="s">
        <v>14</v>
      </c>
      <c r="I5142" s="1" t="s">
        <v>15</v>
      </c>
      <c r="J5142" s="12">
        <v>45991</v>
      </c>
      <c r="K5142">
        <v>0</v>
      </c>
      <c r="L5142" s="1">
        <f t="shared" si="320"/>
        <v>9.1999999999999993</v>
      </c>
      <c r="M5142" s="1" t="str">
        <f t="shared" si="321"/>
        <v/>
      </c>
      <c r="N5142" s="2">
        <f t="shared" si="322"/>
        <v>45962</v>
      </c>
      <c r="O5142" t="str">
        <f t="shared" si="323"/>
        <v>mačka</v>
      </c>
    </row>
    <row r="5143" spans="1:15" x14ac:dyDescent="0.25">
      <c r="A5143">
        <v>12628</v>
      </c>
      <c r="B5143" s="11">
        <v>4017890123450</v>
      </c>
      <c r="C5143" s="1" t="s">
        <v>65</v>
      </c>
      <c r="D5143" s="1" t="s">
        <v>39</v>
      </c>
      <c r="E5143" s="1" t="s">
        <v>22</v>
      </c>
      <c r="F5143">
        <v>7.6</v>
      </c>
      <c r="G5143">
        <v>2</v>
      </c>
      <c r="H5143" s="1" t="s">
        <v>18</v>
      </c>
      <c r="I5143" s="1" t="s">
        <v>1193</v>
      </c>
      <c r="J5143" s="12">
        <v>45991</v>
      </c>
      <c r="K5143">
        <v>0</v>
      </c>
      <c r="L5143" s="1">
        <f t="shared" si="320"/>
        <v>15.2</v>
      </c>
      <c r="M5143" s="1">
        <f t="shared" si="321"/>
        <v>4</v>
      </c>
      <c r="N5143" s="2">
        <f t="shared" si="322"/>
        <v>45962</v>
      </c>
      <c r="O5143" t="str">
        <f t="shared" si="323"/>
        <v>pes</v>
      </c>
    </row>
    <row r="5144" spans="1:15" x14ac:dyDescent="0.25">
      <c r="A5144">
        <v>12629</v>
      </c>
      <c r="B5144" s="11">
        <v>4024567890128</v>
      </c>
      <c r="C5144" s="1" t="s">
        <v>682</v>
      </c>
      <c r="D5144" s="1" t="s">
        <v>12</v>
      </c>
      <c r="E5144" s="1" t="s">
        <v>134</v>
      </c>
      <c r="F5144">
        <v>40</v>
      </c>
      <c r="G5144">
        <v>1</v>
      </c>
      <c r="H5144" s="1" t="s">
        <v>14</v>
      </c>
      <c r="I5144" s="1" t="s">
        <v>15</v>
      </c>
      <c r="J5144" s="12">
        <v>45991</v>
      </c>
      <c r="K5144">
        <v>0</v>
      </c>
      <c r="L5144" s="1">
        <f t="shared" si="320"/>
        <v>40</v>
      </c>
      <c r="M5144" s="1" t="str">
        <f t="shared" si="321"/>
        <v/>
      </c>
      <c r="N5144" s="2">
        <f t="shared" si="322"/>
        <v>45962</v>
      </c>
      <c r="O5144" t="str">
        <f t="shared" si="323"/>
        <v>pes</v>
      </c>
    </row>
    <row r="5145" spans="1:15" x14ac:dyDescent="0.25">
      <c r="A5145">
        <v>12630</v>
      </c>
      <c r="B5145" s="11">
        <v>4027788990013</v>
      </c>
      <c r="C5145" s="1" t="s">
        <v>43</v>
      </c>
      <c r="D5145" s="1" t="s">
        <v>21</v>
      </c>
      <c r="E5145" s="1" t="s">
        <v>22</v>
      </c>
      <c r="F5145">
        <v>8</v>
      </c>
      <c r="G5145">
        <v>1</v>
      </c>
      <c r="H5145" s="1" t="s">
        <v>14</v>
      </c>
      <c r="I5145" s="1" t="s">
        <v>15</v>
      </c>
      <c r="J5145" s="12">
        <v>45991</v>
      </c>
      <c r="K5145">
        <v>0</v>
      </c>
      <c r="L5145" s="1">
        <f t="shared" si="320"/>
        <v>8</v>
      </c>
      <c r="M5145" s="1" t="str">
        <f t="shared" si="321"/>
        <v/>
      </c>
      <c r="N5145" s="2">
        <f t="shared" si="322"/>
        <v>45962</v>
      </c>
      <c r="O5145" t="str">
        <f t="shared" si="323"/>
        <v>pes</v>
      </c>
    </row>
    <row r="5146" spans="1:15" hidden="1" x14ac:dyDescent="0.25">
      <c r="A5146">
        <v>12631</v>
      </c>
      <c r="B5146" s="11">
        <v>8595566778890</v>
      </c>
      <c r="C5146" s="1" t="s">
        <v>681</v>
      </c>
      <c r="D5146" s="1" t="s">
        <v>29</v>
      </c>
      <c r="E5146" s="1" t="s">
        <v>37</v>
      </c>
      <c r="F5146">
        <v>38</v>
      </c>
      <c r="G5146">
        <v>1</v>
      </c>
      <c r="H5146" s="1" t="s">
        <v>23</v>
      </c>
      <c r="I5146" s="1" t="s">
        <v>1194</v>
      </c>
      <c r="J5146" s="12">
        <v>45991</v>
      </c>
      <c r="K5146">
        <v>0</v>
      </c>
      <c r="L5146" s="1">
        <f t="shared" si="320"/>
        <v>38</v>
      </c>
      <c r="M5146" s="1">
        <f t="shared" si="321"/>
        <v>5</v>
      </c>
      <c r="N5146" s="2">
        <f t="shared" si="322"/>
        <v>45962</v>
      </c>
      <c r="O5146" t="str">
        <f t="shared" si="323"/>
        <v>mačka</v>
      </c>
    </row>
    <row r="5147" spans="1:15" hidden="1" x14ac:dyDescent="0.25">
      <c r="A5147">
        <v>12632</v>
      </c>
      <c r="B5147" s="11">
        <v>4007788990022</v>
      </c>
      <c r="C5147" s="1" t="s">
        <v>663</v>
      </c>
      <c r="D5147" s="1" t="s">
        <v>140</v>
      </c>
      <c r="E5147" s="1" t="s">
        <v>141</v>
      </c>
      <c r="F5147">
        <v>59.64</v>
      </c>
      <c r="G5147">
        <v>1</v>
      </c>
      <c r="H5147" s="1" t="s">
        <v>14</v>
      </c>
      <c r="I5147" s="1" t="s">
        <v>15</v>
      </c>
      <c r="J5147" s="12">
        <v>45991</v>
      </c>
      <c r="K5147">
        <v>0</v>
      </c>
      <c r="L5147" s="1">
        <f t="shared" si="320"/>
        <v>59.64</v>
      </c>
      <c r="M5147" s="1" t="str">
        <f t="shared" si="321"/>
        <v/>
      </c>
      <c r="N5147" s="2">
        <f t="shared" si="322"/>
        <v>45962</v>
      </c>
      <c r="O5147" t="str">
        <f t="shared" si="323"/>
        <v>mačka</v>
      </c>
    </row>
    <row r="5148" spans="1:15" x14ac:dyDescent="0.25">
      <c r="A5148">
        <v>12633</v>
      </c>
      <c r="B5148" s="11">
        <v>4011234567897</v>
      </c>
      <c r="C5148" s="1" t="s">
        <v>341</v>
      </c>
      <c r="D5148" s="1" t="s">
        <v>21</v>
      </c>
      <c r="E5148" s="1" t="s">
        <v>303</v>
      </c>
      <c r="F5148">
        <v>11.6</v>
      </c>
      <c r="G5148">
        <v>1</v>
      </c>
      <c r="H5148" s="1" t="s">
        <v>14</v>
      </c>
      <c r="I5148" s="1" t="s">
        <v>15</v>
      </c>
      <c r="J5148" s="12">
        <v>45991</v>
      </c>
      <c r="K5148">
        <v>0</v>
      </c>
      <c r="L5148" s="1">
        <f t="shared" si="320"/>
        <v>11.6</v>
      </c>
      <c r="M5148" s="1" t="str">
        <f t="shared" si="321"/>
        <v/>
      </c>
      <c r="N5148" s="2">
        <f t="shared" si="322"/>
        <v>45962</v>
      </c>
      <c r="O5148" t="str">
        <f t="shared" si="323"/>
        <v>pes</v>
      </c>
    </row>
    <row r="5149" spans="1:15" hidden="1" x14ac:dyDescent="0.25">
      <c r="A5149">
        <v>12634</v>
      </c>
      <c r="B5149" s="11">
        <v>4019900112245</v>
      </c>
      <c r="C5149" s="1" t="s">
        <v>1179</v>
      </c>
      <c r="D5149" s="1" t="s">
        <v>1180</v>
      </c>
      <c r="E5149" s="1" t="s">
        <v>69</v>
      </c>
      <c r="F5149">
        <v>3.6</v>
      </c>
      <c r="G5149">
        <v>1</v>
      </c>
      <c r="H5149" s="1" t="s">
        <v>14</v>
      </c>
      <c r="I5149" s="1" t="s">
        <v>15</v>
      </c>
      <c r="J5149" s="12">
        <v>45991</v>
      </c>
      <c r="K5149">
        <v>0</v>
      </c>
      <c r="L5149" s="1">
        <f t="shared" si="320"/>
        <v>3.6</v>
      </c>
      <c r="M5149" s="1" t="str">
        <f t="shared" si="321"/>
        <v/>
      </c>
      <c r="N5149" s="2">
        <f t="shared" si="322"/>
        <v>45962</v>
      </c>
      <c r="O5149" t="str">
        <f t="shared" si="323"/>
        <v>iné</v>
      </c>
    </row>
    <row r="5150" spans="1:15" x14ac:dyDescent="0.25">
      <c r="A5150">
        <v>12635</v>
      </c>
      <c r="B5150" s="11">
        <v>4028899001126</v>
      </c>
      <c r="C5150" s="1" t="s">
        <v>16</v>
      </c>
      <c r="D5150" s="1" t="s">
        <v>12</v>
      </c>
      <c r="E5150" s="1" t="s">
        <v>17</v>
      </c>
      <c r="F5150">
        <v>2.8</v>
      </c>
      <c r="G5150">
        <v>3</v>
      </c>
      <c r="H5150" s="1" t="s">
        <v>23</v>
      </c>
      <c r="I5150" s="1" t="s">
        <v>1195</v>
      </c>
      <c r="J5150" s="12">
        <v>45991</v>
      </c>
      <c r="K5150">
        <v>0</v>
      </c>
      <c r="L5150" s="1">
        <f t="shared" si="320"/>
        <v>8.3999999999999986</v>
      </c>
      <c r="M5150" s="1">
        <f t="shared" si="321"/>
        <v>5</v>
      </c>
      <c r="N5150" s="2">
        <f t="shared" si="322"/>
        <v>45962</v>
      </c>
      <c r="O5150" t="str">
        <f t="shared" si="323"/>
        <v>pes</v>
      </c>
    </row>
    <row r="5151" spans="1:15" x14ac:dyDescent="0.25">
      <c r="A5151">
        <v>12636</v>
      </c>
      <c r="B5151" s="11">
        <v>4000123456786</v>
      </c>
      <c r="C5151" s="1" t="s">
        <v>305</v>
      </c>
      <c r="D5151" s="1" t="s">
        <v>21</v>
      </c>
      <c r="E5151" s="1" t="s">
        <v>27</v>
      </c>
      <c r="F5151">
        <v>6.8</v>
      </c>
      <c r="G5151">
        <v>1</v>
      </c>
      <c r="H5151" s="1" t="s">
        <v>14</v>
      </c>
      <c r="I5151" s="1" t="s">
        <v>15</v>
      </c>
      <c r="J5151" s="12">
        <v>45991</v>
      </c>
      <c r="K5151">
        <v>0</v>
      </c>
      <c r="L5151" s="1">
        <f t="shared" si="320"/>
        <v>6.8</v>
      </c>
      <c r="M5151" s="1" t="str">
        <f t="shared" si="321"/>
        <v/>
      </c>
      <c r="N5151" s="2">
        <f t="shared" si="322"/>
        <v>45962</v>
      </c>
      <c r="O5151" t="str">
        <f t="shared" si="323"/>
        <v>pes</v>
      </c>
    </row>
    <row r="5152" spans="1:15" hidden="1" x14ac:dyDescent="0.25">
      <c r="A5152">
        <v>12637</v>
      </c>
      <c r="B5152" s="11">
        <v>4017788990015</v>
      </c>
      <c r="C5152" s="1" t="s">
        <v>651</v>
      </c>
      <c r="D5152" s="1" t="s">
        <v>29</v>
      </c>
      <c r="E5152" s="1" t="s">
        <v>32</v>
      </c>
      <c r="F5152">
        <v>4.8</v>
      </c>
      <c r="G5152">
        <v>2</v>
      </c>
      <c r="H5152" s="1" t="s">
        <v>33</v>
      </c>
      <c r="I5152" s="1" t="s">
        <v>1196</v>
      </c>
      <c r="J5152" s="12">
        <v>45991</v>
      </c>
      <c r="K5152">
        <v>0</v>
      </c>
      <c r="L5152" s="1">
        <f t="shared" si="320"/>
        <v>9.6</v>
      </c>
      <c r="M5152" s="1">
        <f t="shared" si="321"/>
        <v>3</v>
      </c>
      <c r="N5152" s="2">
        <f t="shared" si="322"/>
        <v>45962</v>
      </c>
      <c r="O5152" t="str">
        <f t="shared" si="323"/>
        <v>mačka</v>
      </c>
    </row>
    <row r="5153" spans="1:15" hidden="1" x14ac:dyDescent="0.25">
      <c r="A5153">
        <v>12638</v>
      </c>
      <c r="B5153" s="11">
        <v>4043344556676</v>
      </c>
      <c r="C5153" s="1" t="s">
        <v>316</v>
      </c>
      <c r="D5153" s="1" t="s">
        <v>317</v>
      </c>
      <c r="E5153" s="1" t="s">
        <v>58</v>
      </c>
      <c r="F5153">
        <v>10</v>
      </c>
      <c r="G5153">
        <v>1</v>
      </c>
      <c r="H5153" s="1" t="s">
        <v>14</v>
      </c>
      <c r="I5153" s="1" t="s">
        <v>15</v>
      </c>
      <c r="J5153" s="12">
        <v>45991</v>
      </c>
      <c r="K5153">
        <v>0</v>
      </c>
      <c r="L5153" s="1">
        <f t="shared" si="320"/>
        <v>10</v>
      </c>
      <c r="M5153" s="1" t="str">
        <f t="shared" si="321"/>
        <v/>
      </c>
      <c r="N5153" s="2">
        <f t="shared" si="322"/>
        <v>45962</v>
      </c>
      <c r="O5153" t="str">
        <f t="shared" si="323"/>
        <v>mačka</v>
      </c>
    </row>
    <row r="5154" spans="1:15" hidden="1" x14ac:dyDescent="0.25">
      <c r="A5154">
        <v>12639</v>
      </c>
      <c r="B5154" s="11">
        <v>8593456789012</v>
      </c>
      <c r="C5154" s="1" t="s">
        <v>28</v>
      </c>
      <c r="D5154" s="1" t="s">
        <v>29</v>
      </c>
      <c r="E5154" s="1" t="s">
        <v>30</v>
      </c>
      <c r="F5154">
        <v>42</v>
      </c>
      <c r="G5154">
        <v>1</v>
      </c>
      <c r="H5154" s="1" t="s">
        <v>18</v>
      </c>
      <c r="I5154" s="1" t="s">
        <v>1197</v>
      </c>
      <c r="J5154" s="12">
        <v>45991</v>
      </c>
      <c r="K5154">
        <v>0</v>
      </c>
      <c r="L5154" s="1">
        <f t="shared" si="320"/>
        <v>42</v>
      </c>
      <c r="M5154" s="1">
        <f t="shared" si="321"/>
        <v>4</v>
      </c>
      <c r="N5154" s="2">
        <f t="shared" si="322"/>
        <v>45962</v>
      </c>
      <c r="O5154" t="str">
        <f t="shared" si="323"/>
        <v>mačka</v>
      </c>
    </row>
    <row r="5155" spans="1:15" x14ac:dyDescent="0.25">
      <c r="A5155">
        <v>12640</v>
      </c>
      <c r="B5155" s="11">
        <v>4046677889901</v>
      </c>
      <c r="C5155" s="1" t="s">
        <v>1175</v>
      </c>
      <c r="D5155" s="1" t="s">
        <v>21</v>
      </c>
      <c r="E5155" s="1" t="s">
        <v>308</v>
      </c>
      <c r="F5155">
        <v>7.2</v>
      </c>
      <c r="G5155">
        <v>1</v>
      </c>
      <c r="H5155" s="1" t="s">
        <v>14</v>
      </c>
      <c r="I5155" s="1" t="s">
        <v>15</v>
      </c>
      <c r="J5155" s="12">
        <v>45991</v>
      </c>
      <c r="K5155">
        <v>0</v>
      </c>
      <c r="L5155" s="1">
        <f t="shared" si="320"/>
        <v>7.2</v>
      </c>
      <c r="M5155" s="1" t="str">
        <f t="shared" si="321"/>
        <v/>
      </c>
      <c r="N5155" s="2">
        <f t="shared" si="322"/>
        <v>45962</v>
      </c>
      <c r="O5155" t="str">
        <f t="shared" si="323"/>
        <v>pes</v>
      </c>
    </row>
    <row r="5156" spans="1:15" x14ac:dyDescent="0.25">
      <c r="A5156">
        <v>12641</v>
      </c>
      <c r="B5156" s="11">
        <v>4013456789017</v>
      </c>
      <c r="C5156" s="1" t="s">
        <v>11</v>
      </c>
      <c r="D5156" s="1" t="s">
        <v>12</v>
      </c>
      <c r="E5156" s="1" t="s">
        <v>13</v>
      </c>
      <c r="F5156">
        <v>6</v>
      </c>
      <c r="G5156">
        <v>1</v>
      </c>
      <c r="H5156" s="1" t="s">
        <v>23</v>
      </c>
      <c r="I5156" s="1" t="s">
        <v>1198</v>
      </c>
      <c r="J5156" s="12">
        <v>45991</v>
      </c>
      <c r="K5156">
        <v>0</v>
      </c>
      <c r="L5156" s="1">
        <f t="shared" si="320"/>
        <v>6</v>
      </c>
      <c r="M5156" s="1">
        <f t="shared" si="321"/>
        <v>5</v>
      </c>
      <c r="N5156" s="2">
        <f t="shared" si="322"/>
        <v>45962</v>
      </c>
      <c r="O5156" t="str">
        <f t="shared" si="323"/>
        <v>pes</v>
      </c>
    </row>
    <row r="5157" spans="1:15" hidden="1" x14ac:dyDescent="0.25">
      <c r="A5157">
        <v>12642</v>
      </c>
      <c r="B5157" s="11">
        <v>4009012345672</v>
      </c>
      <c r="C5157" s="1" t="s">
        <v>45</v>
      </c>
      <c r="D5157" s="1" t="s">
        <v>36</v>
      </c>
      <c r="E5157" s="1" t="s">
        <v>32</v>
      </c>
      <c r="F5157">
        <v>11.2</v>
      </c>
      <c r="G5157">
        <v>1</v>
      </c>
      <c r="H5157" s="1" t="s">
        <v>14</v>
      </c>
      <c r="I5157" s="1" t="s">
        <v>15</v>
      </c>
      <c r="J5157" s="12">
        <v>45991</v>
      </c>
      <c r="K5157">
        <v>0</v>
      </c>
      <c r="L5157" s="1">
        <f t="shared" si="320"/>
        <v>11.2</v>
      </c>
      <c r="M5157" s="1" t="str">
        <f t="shared" si="321"/>
        <v/>
      </c>
      <c r="N5157" s="2">
        <f t="shared" si="322"/>
        <v>45962</v>
      </c>
      <c r="O5157" t="str">
        <f t="shared" si="323"/>
        <v>mačka</v>
      </c>
    </row>
    <row r="5158" spans="1:15" hidden="1" x14ac:dyDescent="0.25">
      <c r="A5158">
        <v>12643</v>
      </c>
      <c r="B5158" s="11">
        <v>4025678901239</v>
      </c>
      <c r="C5158" s="1" t="s">
        <v>659</v>
      </c>
      <c r="D5158" s="1" t="s">
        <v>267</v>
      </c>
      <c r="E5158" s="1" t="s">
        <v>58</v>
      </c>
      <c r="F5158">
        <v>10</v>
      </c>
      <c r="G5158">
        <v>1</v>
      </c>
      <c r="H5158" s="1" t="s">
        <v>18</v>
      </c>
      <c r="I5158" s="1" t="s">
        <v>1199</v>
      </c>
      <c r="J5158" s="12">
        <v>45991</v>
      </c>
      <c r="K5158">
        <v>0</v>
      </c>
      <c r="L5158" s="1">
        <f t="shared" si="320"/>
        <v>10</v>
      </c>
      <c r="M5158" s="1">
        <f t="shared" si="321"/>
        <v>4</v>
      </c>
      <c r="N5158" s="2">
        <f t="shared" si="322"/>
        <v>45962</v>
      </c>
      <c r="O5158" t="str">
        <f t="shared" si="323"/>
        <v>mačka</v>
      </c>
    </row>
    <row r="5159" spans="1:15" hidden="1" x14ac:dyDescent="0.25">
      <c r="A5159">
        <v>12644</v>
      </c>
      <c r="B5159" s="11">
        <v>4056789012345</v>
      </c>
      <c r="C5159" s="1" t="s">
        <v>47</v>
      </c>
      <c r="D5159" s="1" t="s">
        <v>29</v>
      </c>
      <c r="E5159" s="1" t="s">
        <v>37</v>
      </c>
      <c r="F5159">
        <v>2.4</v>
      </c>
      <c r="G5159">
        <v>1</v>
      </c>
      <c r="H5159" s="1" t="s">
        <v>14</v>
      </c>
      <c r="I5159" s="1" t="s">
        <v>15</v>
      </c>
      <c r="J5159" s="12">
        <v>45991</v>
      </c>
      <c r="K5159">
        <v>0</v>
      </c>
      <c r="L5159" s="1">
        <f t="shared" si="320"/>
        <v>2.4</v>
      </c>
      <c r="M5159" s="1" t="str">
        <f t="shared" si="321"/>
        <v/>
      </c>
      <c r="N5159" s="2">
        <f t="shared" si="322"/>
        <v>45962</v>
      </c>
      <c r="O5159" t="str">
        <f t="shared" si="323"/>
        <v>mačka</v>
      </c>
    </row>
    <row r="5160" spans="1:15" x14ac:dyDescent="0.25">
      <c r="A5160">
        <v>12645</v>
      </c>
      <c r="B5160" s="11">
        <v>4022345678908</v>
      </c>
      <c r="C5160" s="1" t="s">
        <v>363</v>
      </c>
      <c r="D5160" s="1" t="s">
        <v>21</v>
      </c>
      <c r="E5160" s="1" t="s">
        <v>69</v>
      </c>
      <c r="F5160">
        <v>10</v>
      </c>
      <c r="G5160">
        <v>1</v>
      </c>
      <c r="H5160" s="1" t="s">
        <v>14</v>
      </c>
      <c r="I5160" s="1" t="s">
        <v>15</v>
      </c>
      <c r="J5160" s="12">
        <v>45991</v>
      </c>
      <c r="K5160">
        <v>0</v>
      </c>
      <c r="L5160" s="1">
        <f t="shared" si="320"/>
        <v>10</v>
      </c>
      <c r="M5160" s="1" t="str">
        <f t="shared" si="321"/>
        <v/>
      </c>
      <c r="N5160" s="2">
        <f t="shared" si="322"/>
        <v>45962</v>
      </c>
      <c r="O5160" t="str">
        <f t="shared" si="323"/>
        <v>pes</v>
      </c>
    </row>
    <row r="5161" spans="1:15" x14ac:dyDescent="0.25">
      <c r="A5161">
        <v>12646</v>
      </c>
      <c r="B5161" s="11">
        <v>4027788990013</v>
      </c>
      <c r="C5161" s="1" t="s">
        <v>43</v>
      </c>
      <c r="D5161" s="1" t="s">
        <v>21</v>
      </c>
      <c r="E5161" s="1" t="s">
        <v>22</v>
      </c>
      <c r="F5161">
        <v>8</v>
      </c>
      <c r="G5161">
        <v>1</v>
      </c>
      <c r="H5161" s="1" t="s">
        <v>18</v>
      </c>
      <c r="I5161" s="1" t="s">
        <v>1200</v>
      </c>
      <c r="J5161" s="12">
        <v>45991</v>
      </c>
      <c r="K5161">
        <v>0</v>
      </c>
      <c r="L5161" s="1">
        <f t="shared" si="320"/>
        <v>8</v>
      </c>
      <c r="M5161" s="1">
        <f t="shared" si="321"/>
        <v>4</v>
      </c>
      <c r="N5161" s="2">
        <f t="shared" si="322"/>
        <v>45962</v>
      </c>
      <c r="O5161" t="str">
        <f t="shared" si="323"/>
        <v>pes</v>
      </c>
    </row>
    <row r="5162" spans="1:15" hidden="1" x14ac:dyDescent="0.25">
      <c r="A5162">
        <v>12647</v>
      </c>
      <c r="B5162" s="11">
        <v>4042233445567</v>
      </c>
      <c r="C5162" s="1" t="s">
        <v>637</v>
      </c>
      <c r="D5162" s="1" t="s">
        <v>140</v>
      </c>
      <c r="E5162" s="1" t="s">
        <v>141</v>
      </c>
      <c r="F5162">
        <v>51.64</v>
      </c>
      <c r="G5162">
        <v>1</v>
      </c>
      <c r="H5162" s="1" t="s">
        <v>14</v>
      </c>
      <c r="I5162" s="1" t="s">
        <v>15</v>
      </c>
      <c r="J5162" s="12">
        <v>45991</v>
      </c>
      <c r="K5162">
        <v>0</v>
      </c>
      <c r="L5162" s="1">
        <f t="shared" si="320"/>
        <v>51.64</v>
      </c>
      <c r="M5162" s="1" t="str">
        <f t="shared" si="321"/>
        <v/>
      </c>
      <c r="N5162" s="2">
        <f t="shared" si="322"/>
        <v>45962</v>
      </c>
      <c r="O5162" t="str">
        <f t="shared" si="323"/>
        <v>mačka</v>
      </c>
    </row>
    <row r="5163" spans="1:15" hidden="1" x14ac:dyDescent="0.25">
      <c r="A5163">
        <v>12648</v>
      </c>
      <c r="B5163" s="11">
        <v>4006677889904</v>
      </c>
      <c r="C5163" s="1" t="s">
        <v>206</v>
      </c>
      <c r="D5163" s="1" t="s">
        <v>29</v>
      </c>
      <c r="E5163" s="1" t="s">
        <v>30</v>
      </c>
      <c r="F5163">
        <v>2</v>
      </c>
      <c r="G5163">
        <v>2</v>
      </c>
      <c r="H5163" s="1" t="s">
        <v>14</v>
      </c>
      <c r="I5163" s="1" t="s">
        <v>15</v>
      </c>
      <c r="J5163" s="12">
        <v>45991</v>
      </c>
      <c r="K5163">
        <v>0</v>
      </c>
      <c r="L5163" s="1">
        <f t="shared" si="320"/>
        <v>4</v>
      </c>
      <c r="M5163" s="1" t="str">
        <f t="shared" si="321"/>
        <v/>
      </c>
      <c r="N5163" s="2">
        <f t="shared" si="322"/>
        <v>45962</v>
      </c>
      <c r="O5163" t="str">
        <f t="shared" si="323"/>
        <v>mačka</v>
      </c>
    </row>
    <row r="5164" spans="1:15" x14ac:dyDescent="0.25">
      <c r="A5164">
        <v>12649</v>
      </c>
      <c r="B5164" s="11">
        <v>4017890123450</v>
      </c>
      <c r="C5164" s="1" t="s">
        <v>65</v>
      </c>
      <c r="D5164" s="1" t="s">
        <v>39</v>
      </c>
      <c r="E5164" s="1" t="s">
        <v>22</v>
      </c>
      <c r="F5164">
        <v>7.6</v>
      </c>
      <c r="G5164">
        <v>1</v>
      </c>
      <c r="H5164" s="1" t="s">
        <v>14</v>
      </c>
      <c r="I5164" s="1" t="s">
        <v>15</v>
      </c>
      <c r="J5164" s="12">
        <v>45991</v>
      </c>
      <c r="K5164">
        <v>0</v>
      </c>
      <c r="L5164" s="1">
        <f t="shared" si="320"/>
        <v>7.6</v>
      </c>
      <c r="M5164" s="1" t="str">
        <f t="shared" si="321"/>
        <v/>
      </c>
      <c r="N5164" s="2">
        <f t="shared" si="322"/>
        <v>45962</v>
      </c>
      <c r="O5164" t="str">
        <f t="shared" si="323"/>
        <v>pes</v>
      </c>
    </row>
    <row r="5165" spans="1:15" x14ac:dyDescent="0.25">
      <c r="A5165">
        <v>12650</v>
      </c>
      <c r="B5165" s="11">
        <v>4027788990013</v>
      </c>
      <c r="C5165" s="1" t="s">
        <v>43</v>
      </c>
      <c r="D5165" s="1" t="s">
        <v>21</v>
      </c>
      <c r="E5165" s="1" t="s">
        <v>22</v>
      </c>
      <c r="F5165">
        <v>8</v>
      </c>
      <c r="G5165">
        <v>1</v>
      </c>
      <c r="H5165" s="1" t="s">
        <v>14</v>
      </c>
      <c r="I5165" s="1" t="s">
        <v>15</v>
      </c>
      <c r="J5165" s="12">
        <v>45991</v>
      </c>
      <c r="K5165">
        <v>0</v>
      </c>
      <c r="L5165" s="1">
        <f t="shared" si="320"/>
        <v>8</v>
      </c>
      <c r="M5165" s="1" t="str">
        <f t="shared" si="321"/>
        <v/>
      </c>
      <c r="N5165" s="2">
        <f t="shared" si="322"/>
        <v>45962</v>
      </c>
      <c r="O5165" t="str">
        <f t="shared" si="323"/>
        <v>pes</v>
      </c>
    </row>
    <row r="5166" spans="1:15" x14ac:dyDescent="0.25">
      <c r="A5166">
        <v>12651</v>
      </c>
      <c r="B5166" s="11">
        <v>4003344556679</v>
      </c>
      <c r="C5166" s="1" t="s">
        <v>132</v>
      </c>
      <c r="D5166" s="1" t="s">
        <v>133</v>
      </c>
      <c r="E5166" s="1" t="s">
        <v>134</v>
      </c>
      <c r="F5166">
        <v>51.64</v>
      </c>
      <c r="G5166">
        <v>1</v>
      </c>
      <c r="H5166" s="1" t="s">
        <v>23</v>
      </c>
      <c r="I5166" s="1" t="s">
        <v>1201</v>
      </c>
      <c r="J5166" s="12">
        <v>45991</v>
      </c>
      <c r="K5166">
        <v>0</v>
      </c>
      <c r="L5166" s="1">
        <f t="shared" si="320"/>
        <v>51.64</v>
      </c>
      <c r="M5166" s="1">
        <f t="shared" si="321"/>
        <v>5</v>
      </c>
      <c r="N5166" s="2">
        <f t="shared" si="322"/>
        <v>45962</v>
      </c>
      <c r="O5166" t="str">
        <f t="shared" si="323"/>
        <v>pes</v>
      </c>
    </row>
    <row r="5167" spans="1:15" hidden="1" x14ac:dyDescent="0.25">
      <c r="A5167">
        <v>12652</v>
      </c>
      <c r="B5167" s="11">
        <v>4044567890123</v>
      </c>
      <c r="C5167" s="1" t="s">
        <v>266</v>
      </c>
      <c r="D5167" s="1" t="s">
        <v>267</v>
      </c>
      <c r="E5167" s="1" t="s">
        <v>37</v>
      </c>
      <c r="F5167">
        <v>6</v>
      </c>
      <c r="G5167">
        <v>2</v>
      </c>
      <c r="H5167" s="1" t="s">
        <v>14</v>
      </c>
      <c r="I5167" s="1" t="s">
        <v>15</v>
      </c>
      <c r="J5167" s="12">
        <v>45991</v>
      </c>
      <c r="K5167">
        <v>0</v>
      </c>
      <c r="L5167" s="1">
        <f t="shared" si="320"/>
        <v>12</v>
      </c>
      <c r="M5167" s="1" t="str">
        <f t="shared" si="321"/>
        <v/>
      </c>
      <c r="N5167" s="2">
        <f t="shared" si="322"/>
        <v>45962</v>
      </c>
      <c r="O5167" t="str">
        <f t="shared" si="323"/>
        <v>mačka</v>
      </c>
    </row>
    <row r="5168" spans="1:15" x14ac:dyDescent="0.25">
      <c r="A5168">
        <v>12653</v>
      </c>
      <c r="B5168" s="11">
        <v>4063456789014</v>
      </c>
      <c r="C5168" s="1" t="s">
        <v>60</v>
      </c>
      <c r="D5168" s="1" t="s">
        <v>12</v>
      </c>
      <c r="E5168" s="1" t="s">
        <v>61</v>
      </c>
      <c r="F5168">
        <v>36</v>
      </c>
      <c r="G5168">
        <v>1</v>
      </c>
      <c r="H5168" s="1" t="s">
        <v>23</v>
      </c>
      <c r="I5168" s="1" t="s">
        <v>1202</v>
      </c>
      <c r="J5168" s="12">
        <v>45991</v>
      </c>
      <c r="K5168">
        <v>0</v>
      </c>
      <c r="L5168" s="1">
        <f t="shared" si="320"/>
        <v>36</v>
      </c>
      <c r="M5168" s="1">
        <f t="shared" si="321"/>
        <v>5</v>
      </c>
      <c r="N5168" s="2">
        <f t="shared" si="322"/>
        <v>45962</v>
      </c>
      <c r="O5168" t="str">
        <f t="shared" si="323"/>
        <v>pes</v>
      </c>
    </row>
    <row r="5169" spans="1:15" hidden="1" x14ac:dyDescent="0.25">
      <c r="A5169">
        <v>12654</v>
      </c>
      <c r="B5169" s="11">
        <v>4029900112244</v>
      </c>
      <c r="C5169" s="1" t="s">
        <v>655</v>
      </c>
      <c r="D5169" s="1" t="s">
        <v>36</v>
      </c>
      <c r="E5169" s="1" t="s">
        <v>37</v>
      </c>
      <c r="F5169">
        <v>13.6</v>
      </c>
      <c r="G5169">
        <v>1</v>
      </c>
      <c r="H5169" s="1" t="s">
        <v>14</v>
      </c>
      <c r="I5169" s="1" t="s">
        <v>15</v>
      </c>
      <c r="J5169" s="12">
        <v>45991</v>
      </c>
      <c r="K5169">
        <v>0</v>
      </c>
      <c r="L5169" s="1">
        <f t="shared" si="320"/>
        <v>13.6</v>
      </c>
      <c r="M5169" s="1" t="str">
        <f t="shared" si="321"/>
        <v/>
      </c>
      <c r="N5169" s="2">
        <f t="shared" si="322"/>
        <v>45962</v>
      </c>
      <c r="O5169" t="str">
        <f t="shared" si="323"/>
        <v>mačka</v>
      </c>
    </row>
    <row r="5170" spans="1:15" hidden="1" x14ac:dyDescent="0.25">
      <c r="A5170">
        <v>12655</v>
      </c>
      <c r="B5170" s="11">
        <v>4002233445566</v>
      </c>
      <c r="C5170" s="1" t="s">
        <v>268</v>
      </c>
      <c r="D5170" s="1" t="s">
        <v>140</v>
      </c>
      <c r="E5170" s="1" t="s">
        <v>30</v>
      </c>
      <c r="F5170">
        <v>20</v>
      </c>
      <c r="G5170">
        <v>1</v>
      </c>
      <c r="H5170" s="1" t="s">
        <v>14</v>
      </c>
      <c r="I5170" s="1" t="s">
        <v>15</v>
      </c>
      <c r="J5170" s="12">
        <v>45991</v>
      </c>
      <c r="K5170">
        <v>0</v>
      </c>
      <c r="L5170" s="1">
        <f t="shared" si="320"/>
        <v>20</v>
      </c>
      <c r="M5170" s="1" t="str">
        <f t="shared" si="321"/>
        <v/>
      </c>
      <c r="N5170" s="2">
        <f t="shared" si="322"/>
        <v>45962</v>
      </c>
      <c r="O5170" t="str">
        <f t="shared" si="323"/>
        <v>mačka</v>
      </c>
    </row>
    <row r="5171" spans="1:15" hidden="1" x14ac:dyDescent="0.25">
      <c r="A5171">
        <v>12656</v>
      </c>
      <c r="B5171" s="11">
        <v>4017788990015</v>
      </c>
      <c r="C5171" s="1" t="s">
        <v>651</v>
      </c>
      <c r="D5171" s="1" t="s">
        <v>29</v>
      </c>
      <c r="E5171" s="1" t="s">
        <v>32</v>
      </c>
      <c r="F5171">
        <v>4.8</v>
      </c>
      <c r="G5171">
        <v>2</v>
      </c>
      <c r="H5171" s="1" t="s">
        <v>14</v>
      </c>
      <c r="I5171" s="1" t="s">
        <v>15</v>
      </c>
      <c r="J5171" s="12">
        <v>45991</v>
      </c>
      <c r="K5171">
        <v>0</v>
      </c>
      <c r="L5171" s="1">
        <f t="shared" si="320"/>
        <v>9.6</v>
      </c>
      <c r="M5171" s="1" t="str">
        <f t="shared" si="321"/>
        <v/>
      </c>
      <c r="N5171" s="2">
        <f t="shared" si="322"/>
        <v>45962</v>
      </c>
      <c r="O5171" t="str">
        <f t="shared" si="323"/>
        <v>mačka</v>
      </c>
    </row>
    <row r="5172" spans="1:15" hidden="1" x14ac:dyDescent="0.25">
      <c r="A5172">
        <v>12657</v>
      </c>
      <c r="B5172" s="11">
        <v>4069012345682</v>
      </c>
      <c r="C5172" s="1" t="s">
        <v>143</v>
      </c>
      <c r="D5172" s="1" t="s">
        <v>144</v>
      </c>
      <c r="E5172" s="1" t="s">
        <v>30</v>
      </c>
      <c r="F5172">
        <v>26</v>
      </c>
      <c r="G5172">
        <v>1</v>
      </c>
      <c r="H5172" s="1" t="s">
        <v>23</v>
      </c>
      <c r="I5172" s="1" t="s">
        <v>1203</v>
      </c>
      <c r="J5172" s="12">
        <v>45991</v>
      </c>
      <c r="K5172">
        <v>0</v>
      </c>
      <c r="L5172" s="1">
        <f t="shared" si="320"/>
        <v>26</v>
      </c>
      <c r="M5172" s="1">
        <f t="shared" si="321"/>
        <v>5</v>
      </c>
      <c r="N5172" s="2">
        <f t="shared" si="322"/>
        <v>45962</v>
      </c>
      <c r="O5172" t="str">
        <f t="shared" si="323"/>
        <v>mačka</v>
      </c>
    </row>
    <row r="5173" spans="1:15" hidden="1" x14ac:dyDescent="0.25">
      <c r="A5173">
        <v>12658</v>
      </c>
      <c r="B5173" s="11">
        <v>4055566778892</v>
      </c>
      <c r="C5173" s="1" t="s">
        <v>652</v>
      </c>
      <c r="D5173" s="1" t="s">
        <v>317</v>
      </c>
      <c r="E5173" s="1" t="s">
        <v>69</v>
      </c>
      <c r="F5173">
        <v>8</v>
      </c>
      <c r="G5173">
        <v>1</v>
      </c>
      <c r="H5173" s="1" t="s">
        <v>14</v>
      </c>
      <c r="I5173" s="1" t="s">
        <v>15</v>
      </c>
      <c r="J5173" s="12">
        <v>45991</v>
      </c>
      <c r="K5173">
        <v>0</v>
      </c>
      <c r="L5173" s="1">
        <f t="shared" si="320"/>
        <v>8</v>
      </c>
      <c r="M5173" s="1" t="str">
        <f t="shared" si="321"/>
        <v/>
      </c>
      <c r="N5173" s="2">
        <f t="shared" si="322"/>
        <v>45962</v>
      </c>
      <c r="O5173" t="str">
        <f t="shared" si="323"/>
        <v>mačka</v>
      </c>
    </row>
    <row r="5174" spans="1:15" x14ac:dyDescent="0.25">
      <c r="A5174">
        <v>12659</v>
      </c>
      <c r="B5174" s="11">
        <v>4046789012356</v>
      </c>
      <c r="C5174" s="1" t="s">
        <v>304</v>
      </c>
      <c r="D5174" s="1" t="s">
        <v>39</v>
      </c>
      <c r="E5174" s="1" t="s">
        <v>61</v>
      </c>
      <c r="F5174">
        <v>6.4</v>
      </c>
      <c r="G5174">
        <v>1</v>
      </c>
      <c r="H5174" s="1" t="s">
        <v>14</v>
      </c>
      <c r="I5174" s="1" t="s">
        <v>15</v>
      </c>
      <c r="J5174" s="12">
        <v>45991</v>
      </c>
      <c r="K5174">
        <v>0</v>
      </c>
      <c r="L5174" s="1">
        <f t="shared" si="320"/>
        <v>6.4</v>
      </c>
      <c r="M5174" s="1" t="str">
        <f t="shared" si="321"/>
        <v/>
      </c>
      <c r="N5174" s="2">
        <f t="shared" si="322"/>
        <v>45962</v>
      </c>
      <c r="O5174" t="str">
        <f t="shared" si="323"/>
        <v>pes</v>
      </c>
    </row>
    <row r="5175" spans="1:15" x14ac:dyDescent="0.25">
      <c r="A5175">
        <v>12660</v>
      </c>
      <c r="B5175" s="11">
        <v>4027788990013</v>
      </c>
      <c r="C5175" s="1" t="s">
        <v>43</v>
      </c>
      <c r="D5175" s="1" t="s">
        <v>21</v>
      </c>
      <c r="E5175" s="1" t="s">
        <v>22</v>
      </c>
      <c r="F5175">
        <v>8</v>
      </c>
      <c r="G5175">
        <v>1</v>
      </c>
      <c r="H5175" s="1" t="s">
        <v>14</v>
      </c>
      <c r="I5175" s="1" t="s">
        <v>15</v>
      </c>
      <c r="J5175" s="12">
        <v>45991</v>
      </c>
      <c r="K5175">
        <v>0</v>
      </c>
      <c r="L5175" s="1">
        <f t="shared" si="320"/>
        <v>8</v>
      </c>
      <c r="M5175" s="1" t="str">
        <f t="shared" si="321"/>
        <v/>
      </c>
      <c r="N5175" s="2">
        <f t="shared" si="322"/>
        <v>45962</v>
      </c>
      <c r="O5175" t="str">
        <f t="shared" si="323"/>
        <v>pes</v>
      </c>
    </row>
    <row r="5176" spans="1:15" hidden="1" x14ac:dyDescent="0.25">
      <c r="A5176">
        <v>12661</v>
      </c>
      <c r="B5176" s="11">
        <v>4056789012345</v>
      </c>
      <c r="C5176" s="1" t="s">
        <v>47</v>
      </c>
      <c r="D5176" s="1" t="s">
        <v>29</v>
      </c>
      <c r="E5176" s="1" t="s">
        <v>37</v>
      </c>
      <c r="F5176">
        <v>2.4</v>
      </c>
      <c r="G5176">
        <v>2</v>
      </c>
      <c r="H5176" s="1" t="s">
        <v>14</v>
      </c>
      <c r="I5176" s="1" t="s">
        <v>15</v>
      </c>
      <c r="J5176" s="12">
        <v>45991</v>
      </c>
      <c r="K5176">
        <v>0</v>
      </c>
      <c r="L5176" s="1">
        <f t="shared" si="320"/>
        <v>4.8</v>
      </c>
      <c r="M5176" s="1" t="str">
        <f t="shared" si="321"/>
        <v/>
      </c>
      <c r="N5176" s="2">
        <f t="shared" si="322"/>
        <v>45962</v>
      </c>
      <c r="O5176" t="str">
        <f t="shared" si="323"/>
        <v>mačka</v>
      </c>
    </row>
    <row r="5177" spans="1:15" x14ac:dyDescent="0.25">
      <c r="A5177">
        <v>12662</v>
      </c>
      <c r="B5177" s="11">
        <v>4003344556679</v>
      </c>
      <c r="C5177" s="1" t="s">
        <v>132</v>
      </c>
      <c r="D5177" s="1" t="s">
        <v>133</v>
      </c>
      <c r="E5177" s="1" t="s">
        <v>134</v>
      </c>
      <c r="F5177">
        <v>51.64</v>
      </c>
      <c r="G5177">
        <v>1</v>
      </c>
      <c r="H5177" s="1" t="s">
        <v>14</v>
      </c>
      <c r="I5177" s="1" t="s">
        <v>15</v>
      </c>
      <c r="J5177" s="12">
        <v>45991</v>
      </c>
      <c r="K5177">
        <v>0</v>
      </c>
      <c r="L5177" s="1">
        <f t="shared" si="320"/>
        <v>51.64</v>
      </c>
      <c r="M5177" s="1" t="str">
        <f t="shared" si="321"/>
        <v/>
      </c>
      <c r="N5177" s="2">
        <f t="shared" si="322"/>
        <v>45962</v>
      </c>
      <c r="O5177" t="str">
        <f t="shared" si="323"/>
        <v>pes</v>
      </c>
    </row>
    <row r="5178" spans="1:15" x14ac:dyDescent="0.25">
      <c r="A5178">
        <v>12663</v>
      </c>
      <c r="B5178" s="11">
        <v>4028899001126</v>
      </c>
      <c r="C5178" s="1" t="s">
        <v>16</v>
      </c>
      <c r="D5178" s="1" t="s">
        <v>12</v>
      </c>
      <c r="E5178" s="1" t="s">
        <v>17</v>
      </c>
      <c r="F5178">
        <v>2.8</v>
      </c>
      <c r="G5178">
        <v>3</v>
      </c>
      <c r="H5178" s="1" t="s">
        <v>18</v>
      </c>
      <c r="I5178" s="1" t="s">
        <v>1204</v>
      </c>
      <c r="J5178" s="12">
        <v>45991</v>
      </c>
      <c r="K5178">
        <v>0</v>
      </c>
      <c r="L5178" s="1">
        <f t="shared" si="320"/>
        <v>8.3999999999999986</v>
      </c>
      <c r="M5178" s="1">
        <f t="shared" si="321"/>
        <v>4</v>
      </c>
      <c r="N5178" s="2">
        <f t="shared" si="322"/>
        <v>45962</v>
      </c>
      <c r="O5178" t="str">
        <f t="shared" si="323"/>
        <v>pes</v>
      </c>
    </row>
    <row r="5179" spans="1:15" x14ac:dyDescent="0.25">
      <c r="A5179">
        <v>12664</v>
      </c>
      <c r="B5179" s="11">
        <v>4016677889902</v>
      </c>
      <c r="C5179" s="1" t="s">
        <v>328</v>
      </c>
      <c r="D5179" s="1" t="s">
        <v>26</v>
      </c>
      <c r="E5179" s="1" t="s">
        <v>17</v>
      </c>
      <c r="F5179">
        <v>22</v>
      </c>
      <c r="G5179">
        <v>1</v>
      </c>
      <c r="H5179" s="1" t="s">
        <v>14</v>
      </c>
      <c r="I5179" s="1" t="s">
        <v>15</v>
      </c>
      <c r="J5179" s="12">
        <v>45991</v>
      </c>
      <c r="K5179">
        <v>0</v>
      </c>
      <c r="L5179" s="1">
        <f t="shared" si="320"/>
        <v>22</v>
      </c>
      <c r="M5179" s="1" t="str">
        <f t="shared" si="321"/>
        <v/>
      </c>
      <c r="N5179" s="2">
        <f t="shared" si="322"/>
        <v>45962</v>
      </c>
      <c r="O5179" t="str">
        <f t="shared" si="323"/>
        <v>pes</v>
      </c>
    </row>
    <row r="5180" spans="1:15" hidden="1" x14ac:dyDescent="0.25">
      <c r="A5180">
        <v>12665</v>
      </c>
      <c r="B5180" s="11">
        <v>4047890123460</v>
      </c>
      <c r="C5180" s="1" t="s">
        <v>325</v>
      </c>
      <c r="D5180" s="1" t="s">
        <v>144</v>
      </c>
      <c r="E5180" s="1" t="s">
        <v>58</v>
      </c>
      <c r="F5180">
        <v>10</v>
      </c>
      <c r="G5180">
        <v>1</v>
      </c>
      <c r="H5180" s="1" t="s">
        <v>14</v>
      </c>
      <c r="I5180" s="1" t="s">
        <v>15</v>
      </c>
      <c r="J5180" s="12">
        <v>45991</v>
      </c>
      <c r="K5180">
        <v>0</v>
      </c>
      <c r="L5180" s="1">
        <f t="shared" si="320"/>
        <v>10</v>
      </c>
      <c r="M5180" s="1" t="str">
        <f t="shared" si="321"/>
        <v/>
      </c>
      <c r="N5180" s="2">
        <f t="shared" si="322"/>
        <v>45962</v>
      </c>
      <c r="O5180" t="str">
        <f t="shared" si="323"/>
        <v>mačka</v>
      </c>
    </row>
    <row r="5181" spans="1:15" hidden="1" x14ac:dyDescent="0.25">
      <c r="A5181">
        <v>12666</v>
      </c>
      <c r="B5181" s="11">
        <v>4026677889902</v>
      </c>
      <c r="C5181" s="1" t="s">
        <v>52</v>
      </c>
      <c r="D5181" s="1" t="s">
        <v>53</v>
      </c>
      <c r="E5181" s="1" t="s">
        <v>54</v>
      </c>
      <c r="F5181">
        <v>7.6</v>
      </c>
      <c r="G5181">
        <v>1</v>
      </c>
      <c r="H5181" s="1" t="s">
        <v>14</v>
      </c>
      <c r="I5181" s="1" t="s">
        <v>15</v>
      </c>
      <c r="J5181" s="12">
        <v>45991</v>
      </c>
      <c r="K5181">
        <v>0</v>
      </c>
      <c r="L5181" s="1">
        <f t="shared" si="320"/>
        <v>7.6</v>
      </c>
      <c r="M5181" s="1" t="str">
        <f t="shared" si="321"/>
        <v/>
      </c>
      <c r="N5181" s="2">
        <f t="shared" si="322"/>
        <v>45962</v>
      </c>
      <c r="O5181" t="str">
        <f t="shared" si="323"/>
        <v>iné</v>
      </c>
    </row>
    <row r="5182" spans="1:15" hidden="1" x14ac:dyDescent="0.25">
      <c r="A5182">
        <v>12667</v>
      </c>
      <c r="B5182" s="11">
        <v>4051234567806</v>
      </c>
      <c r="C5182" s="1" t="s">
        <v>765</v>
      </c>
      <c r="D5182" s="1" t="s">
        <v>766</v>
      </c>
      <c r="E5182" s="1" t="s">
        <v>54</v>
      </c>
      <c r="F5182">
        <v>5.2</v>
      </c>
      <c r="G5182">
        <v>1</v>
      </c>
      <c r="H5182" s="1" t="s">
        <v>14</v>
      </c>
      <c r="I5182" s="1" t="s">
        <v>15</v>
      </c>
      <c r="J5182" s="12">
        <v>45991</v>
      </c>
      <c r="K5182">
        <v>0</v>
      </c>
      <c r="L5182" s="1">
        <f t="shared" si="320"/>
        <v>5.2</v>
      </c>
      <c r="M5182" s="1" t="str">
        <f t="shared" si="321"/>
        <v/>
      </c>
      <c r="N5182" s="2">
        <f t="shared" si="322"/>
        <v>45962</v>
      </c>
      <c r="O5182" t="str">
        <f t="shared" si="323"/>
        <v>iné</v>
      </c>
    </row>
    <row r="5183" spans="1:15" hidden="1" x14ac:dyDescent="0.25">
      <c r="A5183">
        <v>12668</v>
      </c>
      <c r="B5183" s="11">
        <v>4042233445567</v>
      </c>
      <c r="C5183" s="1" t="s">
        <v>637</v>
      </c>
      <c r="D5183" s="1" t="s">
        <v>140</v>
      </c>
      <c r="E5183" s="1" t="s">
        <v>141</v>
      </c>
      <c r="F5183">
        <v>51.64</v>
      </c>
      <c r="G5183">
        <v>1</v>
      </c>
      <c r="H5183" s="1" t="s">
        <v>23</v>
      </c>
      <c r="I5183" s="1" t="s">
        <v>1205</v>
      </c>
      <c r="J5183" s="12">
        <v>45991</v>
      </c>
      <c r="K5183">
        <v>0</v>
      </c>
      <c r="L5183" s="1">
        <f t="shared" si="320"/>
        <v>51.64</v>
      </c>
      <c r="M5183" s="1">
        <f t="shared" si="321"/>
        <v>5</v>
      </c>
      <c r="N5183" s="2">
        <f t="shared" si="322"/>
        <v>45962</v>
      </c>
      <c r="O5183" t="str">
        <f t="shared" si="323"/>
        <v>mačka</v>
      </c>
    </row>
    <row r="5184" spans="1:15" hidden="1" x14ac:dyDescent="0.25">
      <c r="A5184">
        <v>12669</v>
      </c>
      <c r="B5184" s="11">
        <v>4056789012345</v>
      </c>
      <c r="C5184" s="1" t="s">
        <v>47</v>
      </c>
      <c r="D5184" s="1" t="s">
        <v>29</v>
      </c>
      <c r="E5184" s="1" t="s">
        <v>37</v>
      </c>
      <c r="F5184">
        <v>2.4</v>
      </c>
      <c r="G5184">
        <v>3</v>
      </c>
      <c r="H5184" s="1" t="s">
        <v>14</v>
      </c>
      <c r="I5184" s="1" t="s">
        <v>15</v>
      </c>
      <c r="J5184" s="12">
        <v>45991</v>
      </c>
      <c r="K5184">
        <v>0</v>
      </c>
      <c r="L5184" s="1">
        <f t="shared" si="320"/>
        <v>7.1999999999999993</v>
      </c>
      <c r="M5184" s="1" t="str">
        <f t="shared" si="321"/>
        <v/>
      </c>
      <c r="N5184" s="2">
        <f t="shared" si="322"/>
        <v>45962</v>
      </c>
      <c r="O5184" t="str">
        <f t="shared" si="323"/>
        <v>mačka</v>
      </c>
    </row>
    <row r="5185" spans="1:15" x14ac:dyDescent="0.25">
      <c r="A5185">
        <v>12670</v>
      </c>
      <c r="B5185" s="11">
        <v>4063456789014</v>
      </c>
      <c r="C5185" s="1" t="s">
        <v>60</v>
      </c>
      <c r="D5185" s="1" t="s">
        <v>12</v>
      </c>
      <c r="E5185" s="1" t="s">
        <v>61</v>
      </c>
      <c r="F5185">
        <v>36</v>
      </c>
      <c r="G5185">
        <v>1</v>
      </c>
      <c r="H5185" s="1" t="s">
        <v>14</v>
      </c>
      <c r="I5185" s="1" t="s">
        <v>15</v>
      </c>
      <c r="J5185" s="12">
        <v>45991</v>
      </c>
      <c r="K5185">
        <v>0</v>
      </c>
      <c r="L5185" s="1">
        <f t="shared" si="320"/>
        <v>36</v>
      </c>
      <c r="M5185" s="1" t="str">
        <f t="shared" si="321"/>
        <v/>
      </c>
      <c r="N5185" s="2">
        <f t="shared" si="322"/>
        <v>45962</v>
      </c>
      <c r="O5185" t="str">
        <f t="shared" si="323"/>
        <v>pes</v>
      </c>
    </row>
    <row r="5186" spans="1:15" x14ac:dyDescent="0.25">
      <c r="A5186">
        <v>12671</v>
      </c>
      <c r="B5186" s="11">
        <v>4027788990013</v>
      </c>
      <c r="C5186" s="1" t="s">
        <v>43</v>
      </c>
      <c r="D5186" s="1" t="s">
        <v>21</v>
      </c>
      <c r="E5186" s="1" t="s">
        <v>22</v>
      </c>
      <c r="F5186">
        <v>8</v>
      </c>
      <c r="G5186">
        <v>1</v>
      </c>
      <c r="H5186" s="1" t="s">
        <v>14</v>
      </c>
      <c r="I5186" s="1" t="s">
        <v>15</v>
      </c>
      <c r="J5186" s="12">
        <v>45991</v>
      </c>
      <c r="K5186">
        <v>0</v>
      </c>
      <c r="L5186" s="1">
        <f t="shared" ref="L5186:L5249" si="324">F5186*G5186</f>
        <v>8</v>
      </c>
      <c r="M5186" s="1" t="str">
        <f t="shared" ref="M5186:M5249" si="325">IF(H5186="NULL", "",VALUE(H5186))</f>
        <v/>
      </c>
      <c r="N5186" s="2">
        <f t="shared" ref="N5186:N5249" si="326">DATE(YEAR(J5186),MONTH(J5186),1)</f>
        <v>45962</v>
      </c>
      <c r="O5186" t="str">
        <f t="shared" ref="O5186:O5249" si="327">IF(ISNUMBER(SEARCH("Mačky",D5186)),"mačka",IF(ISNUMBER(SEARCH("Psy",D5186)),"pes","iné"))</f>
        <v>pes</v>
      </c>
    </row>
    <row r="5187" spans="1:15" hidden="1" x14ac:dyDescent="0.25">
      <c r="A5187">
        <v>12672</v>
      </c>
      <c r="B5187" s="11">
        <v>4029900112244</v>
      </c>
      <c r="C5187" s="1" t="s">
        <v>655</v>
      </c>
      <c r="D5187" s="1" t="s">
        <v>36</v>
      </c>
      <c r="E5187" s="1" t="s">
        <v>37</v>
      </c>
      <c r="F5187">
        <v>13.6</v>
      </c>
      <c r="G5187">
        <v>1</v>
      </c>
      <c r="H5187" s="1" t="s">
        <v>18</v>
      </c>
      <c r="I5187" s="1" t="s">
        <v>1206</v>
      </c>
      <c r="J5187" s="12">
        <v>45991</v>
      </c>
      <c r="K5187">
        <v>0</v>
      </c>
      <c r="L5187" s="1">
        <f t="shared" si="324"/>
        <v>13.6</v>
      </c>
      <c r="M5187" s="1">
        <f t="shared" si="325"/>
        <v>4</v>
      </c>
      <c r="N5187" s="2">
        <f t="shared" si="326"/>
        <v>45962</v>
      </c>
      <c r="O5187" t="str">
        <f t="shared" si="327"/>
        <v>mačka</v>
      </c>
    </row>
    <row r="5188" spans="1:15" hidden="1" x14ac:dyDescent="0.25">
      <c r="A5188">
        <v>12673</v>
      </c>
      <c r="B5188" s="11">
        <v>4007788990022</v>
      </c>
      <c r="C5188" s="1" t="s">
        <v>663</v>
      </c>
      <c r="D5188" s="1" t="s">
        <v>140</v>
      </c>
      <c r="E5188" s="1" t="s">
        <v>141</v>
      </c>
      <c r="F5188">
        <v>59.64</v>
      </c>
      <c r="G5188">
        <v>1</v>
      </c>
      <c r="H5188" s="1" t="s">
        <v>14</v>
      </c>
      <c r="I5188" s="1" t="s">
        <v>15</v>
      </c>
      <c r="J5188" s="12">
        <v>45991</v>
      </c>
      <c r="K5188">
        <v>0</v>
      </c>
      <c r="L5188" s="1">
        <f t="shared" si="324"/>
        <v>59.64</v>
      </c>
      <c r="M5188" s="1" t="str">
        <f t="shared" si="325"/>
        <v/>
      </c>
      <c r="N5188" s="2">
        <f t="shared" si="326"/>
        <v>45962</v>
      </c>
      <c r="O5188" t="str">
        <f t="shared" si="327"/>
        <v>mačka</v>
      </c>
    </row>
    <row r="5189" spans="1:15" hidden="1" x14ac:dyDescent="0.25">
      <c r="A5189">
        <v>12674</v>
      </c>
      <c r="B5189" s="11">
        <v>4018901234567</v>
      </c>
      <c r="C5189" s="1" t="s">
        <v>680</v>
      </c>
      <c r="D5189" s="1" t="s">
        <v>144</v>
      </c>
      <c r="E5189" s="1" t="s">
        <v>32</v>
      </c>
      <c r="F5189">
        <v>20</v>
      </c>
      <c r="G5189">
        <v>1</v>
      </c>
      <c r="H5189" s="1" t="s">
        <v>14</v>
      </c>
      <c r="I5189" s="1" t="s">
        <v>15</v>
      </c>
      <c r="J5189" s="12">
        <v>45991</v>
      </c>
      <c r="K5189">
        <v>0</v>
      </c>
      <c r="L5189" s="1">
        <f t="shared" si="324"/>
        <v>20</v>
      </c>
      <c r="M5189" s="1" t="str">
        <f t="shared" si="325"/>
        <v/>
      </c>
      <c r="N5189" s="2">
        <f t="shared" si="326"/>
        <v>45962</v>
      </c>
      <c r="O5189" t="str">
        <f t="shared" si="327"/>
        <v>mačka</v>
      </c>
    </row>
    <row r="5190" spans="1:15" x14ac:dyDescent="0.25">
      <c r="A5190">
        <v>12675</v>
      </c>
      <c r="B5190" s="11">
        <v>4063456789014</v>
      </c>
      <c r="C5190" s="1" t="s">
        <v>60</v>
      </c>
      <c r="D5190" s="1" t="s">
        <v>12</v>
      </c>
      <c r="E5190" s="1" t="s">
        <v>61</v>
      </c>
      <c r="F5190">
        <v>36</v>
      </c>
      <c r="G5190">
        <v>1</v>
      </c>
      <c r="H5190" s="1" t="s">
        <v>14</v>
      </c>
      <c r="I5190" s="1" t="s">
        <v>15</v>
      </c>
      <c r="J5190" s="12">
        <v>45991</v>
      </c>
      <c r="K5190">
        <v>0</v>
      </c>
      <c r="L5190" s="1">
        <f t="shared" si="324"/>
        <v>36</v>
      </c>
      <c r="M5190" s="1" t="str">
        <f t="shared" si="325"/>
        <v/>
      </c>
      <c r="N5190" s="2">
        <f t="shared" si="326"/>
        <v>45962</v>
      </c>
      <c r="O5190" t="str">
        <f t="shared" si="327"/>
        <v>pes</v>
      </c>
    </row>
    <row r="5191" spans="1:15" x14ac:dyDescent="0.25">
      <c r="A5191">
        <v>12676</v>
      </c>
      <c r="B5191" s="11">
        <v>4046677889901</v>
      </c>
      <c r="C5191" s="1" t="s">
        <v>1175</v>
      </c>
      <c r="D5191" s="1" t="s">
        <v>21</v>
      </c>
      <c r="E5191" s="1" t="s">
        <v>308</v>
      </c>
      <c r="F5191">
        <v>7.2</v>
      </c>
      <c r="G5191">
        <v>1</v>
      </c>
      <c r="H5191" s="1" t="s">
        <v>14</v>
      </c>
      <c r="I5191" s="1" t="s">
        <v>15</v>
      </c>
      <c r="J5191" s="12">
        <v>45991</v>
      </c>
      <c r="K5191">
        <v>0</v>
      </c>
      <c r="L5191" s="1">
        <f t="shared" si="324"/>
        <v>7.2</v>
      </c>
      <c r="M5191" s="1" t="str">
        <f t="shared" si="325"/>
        <v/>
      </c>
      <c r="N5191" s="2">
        <f t="shared" si="326"/>
        <v>45962</v>
      </c>
      <c r="O5191" t="str">
        <f t="shared" si="327"/>
        <v>pes</v>
      </c>
    </row>
    <row r="5192" spans="1:15" hidden="1" x14ac:dyDescent="0.25">
      <c r="A5192">
        <v>12677</v>
      </c>
      <c r="B5192" s="11">
        <v>8593456789012</v>
      </c>
      <c r="C5192" s="1" t="s">
        <v>28</v>
      </c>
      <c r="D5192" s="1" t="s">
        <v>29</v>
      </c>
      <c r="E5192" s="1" t="s">
        <v>30</v>
      </c>
      <c r="F5192">
        <v>42</v>
      </c>
      <c r="G5192">
        <v>1</v>
      </c>
      <c r="H5192" s="1" t="s">
        <v>23</v>
      </c>
      <c r="I5192" s="1" t="s">
        <v>1207</v>
      </c>
      <c r="J5192" s="12">
        <v>45991</v>
      </c>
      <c r="K5192">
        <v>0</v>
      </c>
      <c r="L5192" s="1">
        <f t="shared" si="324"/>
        <v>42</v>
      </c>
      <c r="M5192" s="1">
        <f t="shared" si="325"/>
        <v>5</v>
      </c>
      <c r="N5192" s="2">
        <f t="shared" si="326"/>
        <v>45962</v>
      </c>
      <c r="O5192" t="str">
        <f t="shared" si="327"/>
        <v>mačka</v>
      </c>
    </row>
    <row r="5193" spans="1:15" x14ac:dyDescent="0.25">
      <c r="A5193">
        <v>12678</v>
      </c>
      <c r="B5193" s="11">
        <v>4028899001126</v>
      </c>
      <c r="C5193" s="1" t="s">
        <v>16</v>
      </c>
      <c r="D5193" s="1" t="s">
        <v>12</v>
      </c>
      <c r="E5193" s="1" t="s">
        <v>17</v>
      </c>
      <c r="F5193">
        <v>2.8</v>
      </c>
      <c r="G5193">
        <v>2</v>
      </c>
      <c r="H5193" s="1" t="s">
        <v>14</v>
      </c>
      <c r="I5193" s="1" t="s">
        <v>15</v>
      </c>
      <c r="J5193" s="12">
        <v>45991</v>
      </c>
      <c r="K5193">
        <v>0</v>
      </c>
      <c r="L5193" s="1">
        <f t="shared" si="324"/>
        <v>5.6</v>
      </c>
      <c r="M5193" s="1" t="str">
        <f t="shared" si="325"/>
        <v/>
      </c>
      <c r="N5193" s="2">
        <f t="shared" si="326"/>
        <v>45962</v>
      </c>
      <c r="O5193" t="str">
        <f t="shared" si="327"/>
        <v>pes</v>
      </c>
    </row>
    <row r="5194" spans="1:15" hidden="1" x14ac:dyDescent="0.25">
      <c r="A5194">
        <v>12679</v>
      </c>
      <c r="B5194" s="11">
        <v>4009012345672</v>
      </c>
      <c r="C5194" s="1" t="s">
        <v>45</v>
      </c>
      <c r="D5194" s="1" t="s">
        <v>36</v>
      </c>
      <c r="E5194" s="1" t="s">
        <v>32</v>
      </c>
      <c r="F5194">
        <v>11.2</v>
      </c>
      <c r="G5194">
        <v>1</v>
      </c>
      <c r="H5194" s="1" t="s">
        <v>14</v>
      </c>
      <c r="I5194" s="1" t="s">
        <v>15</v>
      </c>
      <c r="J5194" s="12">
        <v>45991</v>
      </c>
      <c r="K5194">
        <v>0</v>
      </c>
      <c r="L5194" s="1">
        <f t="shared" si="324"/>
        <v>11.2</v>
      </c>
      <c r="M5194" s="1" t="str">
        <f t="shared" si="325"/>
        <v/>
      </c>
      <c r="N5194" s="2">
        <f t="shared" si="326"/>
        <v>45962</v>
      </c>
      <c r="O5194" t="str">
        <f t="shared" si="327"/>
        <v>mačka</v>
      </c>
    </row>
    <row r="5195" spans="1:15" x14ac:dyDescent="0.25">
      <c r="A5195">
        <v>12680</v>
      </c>
      <c r="B5195" s="11">
        <v>4046789012356</v>
      </c>
      <c r="C5195" s="1" t="s">
        <v>304</v>
      </c>
      <c r="D5195" s="1" t="s">
        <v>39</v>
      </c>
      <c r="E5195" s="1" t="s">
        <v>61</v>
      </c>
      <c r="F5195">
        <v>6.4</v>
      </c>
      <c r="G5195">
        <v>1</v>
      </c>
      <c r="H5195" s="1" t="s">
        <v>14</v>
      </c>
      <c r="I5195" s="1" t="s">
        <v>15</v>
      </c>
      <c r="J5195" s="12">
        <v>45991</v>
      </c>
      <c r="K5195">
        <v>0</v>
      </c>
      <c r="L5195" s="1">
        <f t="shared" si="324"/>
        <v>6.4</v>
      </c>
      <c r="M5195" s="1" t="str">
        <f t="shared" si="325"/>
        <v/>
      </c>
      <c r="N5195" s="2">
        <f t="shared" si="326"/>
        <v>45962</v>
      </c>
      <c r="O5195" t="str">
        <f t="shared" si="327"/>
        <v>pes</v>
      </c>
    </row>
    <row r="5196" spans="1:15" hidden="1" x14ac:dyDescent="0.25">
      <c r="A5196">
        <v>12681</v>
      </c>
      <c r="B5196" s="11">
        <v>4018901234567</v>
      </c>
      <c r="C5196" s="1" t="s">
        <v>680</v>
      </c>
      <c r="D5196" s="1" t="s">
        <v>144</v>
      </c>
      <c r="E5196" s="1" t="s">
        <v>32</v>
      </c>
      <c r="F5196">
        <v>20</v>
      </c>
      <c r="G5196">
        <v>1</v>
      </c>
      <c r="H5196" s="1" t="s">
        <v>14</v>
      </c>
      <c r="I5196" s="1" t="s">
        <v>15</v>
      </c>
      <c r="J5196" s="12">
        <v>45991</v>
      </c>
      <c r="K5196">
        <v>0</v>
      </c>
      <c r="L5196" s="1">
        <f t="shared" si="324"/>
        <v>20</v>
      </c>
      <c r="M5196" s="1" t="str">
        <f t="shared" si="325"/>
        <v/>
      </c>
      <c r="N5196" s="2">
        <f t="shared" si="326"/>
        <v>45962</v>
      </c>
      <c r="O5196" t="str">
        <f t="shared" si="327"/>
        <v>mačka</v>
      </c>
    </row>
    <row r="5197" spans="1:15" hidden="1" x14ac:dyDescent="0.25">
      <c r="A5197">
        <v>12682</v>
      </c>
      <c r="B5197" s="11">
        <v>4050123456794</v>
      </c>
      <c r="C5197" s="1" t="s">
        <v>41</v>
      </c>
      <c r="D5197" s="1" t="s">
        <v>36</v>
      </c>
      <c r="E5197" s="1" t="s">
        <v>42</v>
      </c>
      <c r="F5197">
        <v>7.2</v>
      </c>
      <c r="G5197">
        <v>1</v>
      </c>
      <c r="H5197" s="1" t="s">
        <v>14</v>
      </c>
      <c r="I5197" s="1" t="s">
        <v>15</v>
      </c>
      <c r="J5197" s="12">
        <v>45991</v>
      </c>
      <c r="K5197">
        <v>0</v>
      </c>
      <c r="L5197" s="1">
        <f t="shared" si="324"/>
        <v>7.2</v>
      </c>
      <c r="M5197" s="1" t="str">
        <f t="shared" si="325"/>
        <v/>
      </c>
      <c r="N5197" s="2">
        <f t="shared" si="326"/>
        <v>45962</v>
      </c>
      <c r="O5197" t="str">
        <f t="shared" si="327"/>
        <v>mačka</v>
      </c>
    </row>
    <row r="5198" spans="1:15" x14ac:dyDescent="0.25">
      <c r="A5198">
        <v>12683</v>
      </c>
      <c r="B5198" s="11">
        <v>4013456789017</v>
      </c>
      <c r="C5198" s="1" t="s">
        <v>11</v>
      </c>
      <c r="D5198" s="1" t="s">
        <v>12</v>
      </c>
      <c r="E5198" s="1" t="s">
        <v>13</v>
      </c>
      <c r="F5198">
        <v>6</v>
      </c>
      <c r="G5198">
        <v>1</v>
      </c>
      <c r="H5198" s="1" t="s">
        <v>18</v>
      </c>
      <c r="I5198" s="1" t="s">
        <v>1208</v>
      </c>
      <c r="J5198" s="12">
        <v>45991</v>
      </c>
      <c r="K5198">
        <v>0</v>
      </c>
      <c r="L5198" s="1">
        <f t="shared" si="324"/>
        <v>6</v>
      </c>
      <c r="M5198" s="1">
        <f t="shared" si="325"/>
        <v>4</v>
      </c>
      <c r="N5198" s="2">
        <f t="shared" si="326"/>
        <v>45962</v>
      </c>
      <c r="O5198" t="str">
        <f t="shared" si="327"/>
        <v>pes</v>
      </c>
    </row>
    <row r="5199" spans="1:15" x14ac:dyDescent="0.25">
      <c r="A5199">
        <v>12684</v>
      </c>
      <c r="B5199" s="11">
        <v>4027788990013</v>
      </c>
      <c r="C5199" s="1" t="s">
        <v>43</v>
      </c>
      <c r="D5199" s="1" t="s">
        <v>21</v>
      </c>
      <c r="E5199" s="1" t="s">
        <v>22</v>
      </c>
      <c r="F5199">
        <v>8</v>
      </c>
      <c r="G5199">
        <v>1</v>
      </c>
      <c r="H5199" s="1" t="s">
        <v>14</v>
      </c>
      <c r="I5199" s="1" t="s">
        <v>15</v>
      </c>
      <c r="J5199" s="12">
        <v>45991</v>
      </c>
      <c r="K5199">
        <v>0</v>
      </c>
      <c r="L5199" s="1">
        <f t="shared" si="324"/>
        <v>8</v>
      </c>
      <c r="M5199" s="1" t="str">
        <f t="shared" si="325"/>
        <v/>
      </c>
      <c r="N5199" s="2">
        <f t="shared" si="326"/>
        <v>45962</v>
      </c>
      <c r="O5199" t="str">
        <f t="shared" si="327"/>
        <v>pes</v>
      </c>
    </row>
    <row r="5200" spans="1:15" hidden="1" x14ac:dyDescent="0.25">
      <c r="A5200">
        <v>12685</v>
      </c>
      <c r="B5200" s="11">
        <v>4056789012345</v>
      </c>
      <c r="C5200" s="1" t="s">
        <v>47</v>
      </c>
      <c r="D5200" s="1" t="s">
        <v>29</v>
      </c>
      <c r="E5200" s="1" t="s">
        <v>37</v>
      </c>
      <c r="F5200">
        <v>2.4</v>
      </c>
      <c r="G5200">
        <v>2</v>
      </c>
      <c r="H5200" s="1" t="s">
        <v>14</v>
      </c>
      <c r="I5200" s="1" t="s">
        <v>15</v>
      </c>
      <c r="J5200" s="12">
        <v>45991</v>
      </c>
      <c r="K5200">
        <v>0</v>
      </c>
      <c r="L5200" s="1">
        <f t="shared" si="324"/>
        <v>4.8</v>
      </c>
      <c r="M5200" s="1" t="str">
        <f t="shared" si="325"/>
        <v/>
      </c>
      <c r="N5200" s="2">
        <f t="shared" si="326"/>
        <v>45962</v>
      </c>
      <c r="O5200" t="str">
        <f t="shared" si="327"/>
        <v>mačka</v>
      </c>
    </row>
    <row r="5201" spans="1:15" hidden="1" x14ac:dyDescent="0.25">
      <c r="A5201">
        <v>12686</v>
      </c>
      <c r="B5201" s="11">
        <v>4029900112244</v>
      </c>
      <c r="C5201" s="1" t="s">
        <v>655</v>
      </c>
      <c r="D5201" s="1" t="s">
        <v>36</v>
      </c>
      <c r="E5201" s="1" t="s">
        <v>37</v>
      </c>
      <c r="F5201">
        <v>13.6</v>
      </c>
      <c r="G5201">
        <v>1</v>
      </c>
      <c r="H5201" s="1" t="s">
        <v>14</v>
      </c>
      <c r="I5201" s="1" t="s">
        <v>15</v>
      </c>
      <c r="J5201" s="12">
        <v>45991</v>
      </c>
      <c r="K5201">
        <v>0</v>
      </c>
      <c r="L5201" s="1">
        <f t="shared" si="324"/>
        <v>13.6</v>
      </c>
      <c r="M5201" s="1" t="str">
        <f t="shared" si="325"/>
        <v/>
      </c>
      <c r="N5201" s="2">
        <f t="shared" si="326"/>
        <v>45962</v>
      </c>
      <c r="O5201" t="str">
        <f t="shared" si="327"/>
        <v>mačka</v>
      </c>
    </row>
    <row r="5202" spans="1:15" x14ac:dyDescent="0.25">
      <c r="A5202">
        <v>12687</v>
      </c>
      <c r="B5202" s="11">
        <v>4003344556679</v>
      </c>
      <c r="C5202" s="1" t="s">
        <v>132</v>
      </c>
      <c r="D5202" s="1" t="s">
        <v>133</v>
      </c>
      <c r="E5202" s="1" t="s">
        <v>134</v>
      </c>
      <c r="F5202">
        <v>51.64</v>
      </c>
      <c r="G5202">
        <v>1</v>
      </c>
      <c r="H5202" s="1" t="s">
        <v>23</v>
      </c>
      <c r="I5202" s="1" t="s">
        <v>1209</v>
      </c>
      <c r="J5202" s="12">
        <v>45991</v>
      </c>
      <c r="K5202">
        <v>0</v>
      </c>
      <c r="L5202" s="1">
        <f t="shared" si="324"/>
        <v>51.64</v>
      </c>
      <c r="M5202" s="1">
        <f t="shared" si="325"/>
        <v>5</v>
      </c>
      <c r="N5202" s="2">
        <f t="shared" si="326"/>
        <v>45962</v>
      </c>
      <c r="O5202" t="str">
        <f t="shared" si="327"/>
        <v>pes</v>
      </c>
    </row>
    <row r="5203" spans="1:15" hidden="1" x14ac:dyDescent="0.25">
      <c r="A5203">
        <v>12688</v>
      </c>
      <c r="B5203" s="11">
        <v>4026677889902</v>
      </c>
      <c r="C5203" s="1" t="s">
        <v>52</v>
      </c>
      <c r="D5203" s="1" t="s">
        <v>53</v>
      </c>
      <c r="E5203" s="1" t="s">
        <v>54</v>
      </c>
      <c r="F5203">
        <v>7.6</v>
      </c>
      <c r="G5203">
        <v>1</v>
      </c>
      <c r="H5203" s="1" t="s">
        <v>14</v>
      </c>
      <c r="I5203" s="1" t="s">
        <v>15</v>
      </c>
      <c r="J5203" s="12">
        <v>45991</v>
      </c>
      <c r="K5203">
        <v>0</v>
      </c>
      <c r="L5203" s="1">
        <f t="shared" si="324"/>
        <v>7.6</v>
      </c>
      <c r="M5203" s="1" t="str">
        <f t="shared" si="325"/>
        <v/>
      </c>
      <c r="N5203" s="2">
        <f t="shared" si="326"/>
        <v>45962</v>
      </c>
      <c r="O5203" t="str">
        <f t="shared" si="327"/>
        <v>iné</v>
      </c>
    </row>
    <row r="5204" spans="1:15" x14ac:dyDescent="0.25">
      <c r="A5204">
        <v>12689</v>
      </c>
      <c r="B5204" s="11">
        <v>4000123456786</v>
      </c>
      <c r="C5204" s="1" t="s">
        <v>305</v>
      </c>
      <c r="D5204" s="1" t="s">
        <v>21</v>
      </c>
      <c r="E5204" s="1" t="s">
        <v>27</v>
      </c>
      <c r="F5204">
        <v>6.8</v>
      </c>
      <c r="G5204">
        <v>1</v>
      </c>
      <c r="H5204" s="1" t="s">
        <v>14</v>
      </c>
      <c r="I5204" s="1" t="s">
        <v>15</v>
      </c>
      <c r="J5204" s="12">
        <v>45991</v>
      </c>
      <c r="K5204">
        <v>0</v>
      </c>
      <c r="L5204" s="1">
        <f t="shared" si="324"/>
        <v>6.8</v>
      </c>
      <c r="M5204" s="1" t="str">
        <f t="shared" si="325"/>
        <v/>
      </c>
      <c r="N5204" s="2">
        <f t="shared" si="326"/>
        <v>45962</v>
      </c>
      <c r="O5204" t="str">
        <f t="shared" si="327"/>
        <v>pes</v>
      </c>
    </row>
    <row r="5205" spans="1:15" x14ac:dyDescent="0.25">
      <c r="A5205">
        <v>12690</v>
      </c>
      <c r="B5205" s="11">
        <v>4028899001126</v>
      </c>
      <c r="C5205" s="1" t="s">
        <v>16</v>
      </c>
      <c r="D5205" s="1" t="s">
        <v>12</v>
      </c>
      <c r="E5205" s="1" t="s">
        <v>17</v>
      </c>
      <c r="F5205">
        <v>2.8</v>
      </c>
      <c r="G5205">
        <v>3</v>
      </c>
      <c r="H5205" s="1" t="s">
        <v>18</v>
      </c>
      <c r="I5205" s="1" t="s">
        <v>1210</v>
      </c>
      <c r="J5205" s="12">
        <v>45991</v>
      </c>
      <c r="K5205">
        <v>0</v>
      </c>
      <c r="L5205" s="1">
        <f t="shared" si="324"/>
        <v>8.3999999999999986</v>
      </c>
      <c r="M5205" s="1">
        <f t="shared" si="325"/>
        <v>4</v>
      </c>
      <c r="N5205" s="2">
        <f t="shared" si="326"/>
        <v>45962</v>
      </c>
      <c r="O5205" t="str">
        <f t="shared" si="327"/>
        <v>pes</v>
      </c>
    </row>
    <row r="5206" spans="1:15" x14ac:dyDescent="0.25">
      <c r="A5206">
        <v>12691</v>
      </c>
      <c r="B5206" s="11">
        <v>4016677889902</v>
      </c>
      <c r="C5206" s="1" t="s">
        <v>328</v>
      </c>
      <c r="D5206" s="1" t="s">
        <v>26</v>
      </c>
      <c r="E5206" s="1" t="s">
        <v>17</v>
      </c>
      <c r="F5206">
        <v>22</v>
      </c>
      <c r="G5206">
        <v>1</v>
      </c>
      <c r="H5206" s="1" t="s">
        <v>14</v>
      </c>
      <c r="I5206" s="1" t="s">
        <v>15</v>
      </c>
      <c r="J5206" s="12">
        <v>45991</v>
      </c>
      <c r="K5206">
        <v>0</v>
      </c>
      <c r="L5206" s="1">
        <f t="shared" si="324"/>
        <v>22</v>
      </c>
      <c r="M5206" s="1" t="str">
        <f t="shared" si="325"/>
        <v/>
      </c>
      <c r="N5206" s="2">
        <f t="shared" si="326"/>
        <v>45962</v>
      </c>
      <c r="O5206" t="str">
        <f t="shared" si="327"/>
        <v>pes</v>
      </c>
    </row>
    <row r="5207" spans="1:15" hidden="1" x14ac:dyDescent="0.25">
      <c r="A5207">
        <v>12692</v>
      </c>
      <c r="B5207" s="11">
        <v>4044567890123</v>
      </c>
      <c r="C5207" s="1" t="s">
        <v>266</v>
      </c>
      <c r="D5207" s="1" t="s">
        <v>267</v>
      </c>
      <c r="E5207" s="1" t="s">
        <v>37</v>
      </c>
      <c r="F5207">
        <v>6</v>
      </c>
      <c r="G5207">
        <v>2</v>
      </c>
      <c r="H5207" s="1" t="s">
        <v>14</v>
      </c>
      <c r="I5207" s="1" t="s">
        <v>15</v>
      </c>
      <c r="J5207" s="12">
        <v>45991</v>
      </c>
      <c r="K5207">
        <v>0</v>
      </c>
      <c r="L5207" s="1">
        <f t="shared" si="324"/>
        <v>12</v>
      </c>
      <c r="M5207" s="1" t="str">
        <f t="shared" si="325"/>
        <v/>
      </c>
      <c r="N5207" s="2">
        <f t="shared" si="326"/>
        <v>45962</v>
      </c>
      <c r="O5207" t="str">
        <f t="shared" si="327"/>
        <v>mačka</v>
      </c>
    </row>
    <row r="5208" spans="1:15" x14ac:dyDescent="0.25">
      <c r="A5208">
        <v>12693</v>
      </c>
      <c r="B5208" s="11">
        <v>4022345678908</v>
      </c>
      <c r="C5208" s="1" t="s">
        <v>363</v>
      </c>
      <c r="D5208" s="1" t="s">
        <v>21</v>
      </c>
      <c r="E5208" s="1" t="s">
        <v>69</v>
      </c>
      <c r="F5208">
        <v>10</v>
      </c>
      <c r="G5208">
        <v>1</v>
      </c>
      <c r="H5208" s="1" t="s">
        <v>14</v>
      </c>
      <c r="I5208" s="1" t="s">
        <v>15</v>
      </c>
      <c r="J5208" s="12">
        <v>45991</v>
      </c>
      <c r="K5208">
        <v>0</v>
      </c>
      <c r="L5208" s="1">
        <f t="shared" si="324"/>
        <v>10</v>
      </c>
      <c r="M5208" s="1" t="str">
        <f t="shared" si="325"/>
        <v/>
      </c>
      <c r="N5208" s="2">
        <f t="shared" si="326"/>
        <v>45962</v>
      </c>
      <c r="O5208" t="str">
        <f t="shared" si="327"/>
        <v>pes</v>
      </c>
    </row>
    <row r="5209" spans="1:15" hidden="1" x14ac:dyDescent="0.25">
      <c r="A5209">
        <v>12694</v>
      </c>
      <c r="B5209" s="11">
        <v>4006677889904</v>
      </c>
      <c r="C5209" s="1" t="s">
        <v>206</v>
      </c>
      <c r="D5209" s="1" t="s">
        <v>29</v>
      </c>
      <c r="E5209" s="1" t="s">
        <v>30</v>
      </c>
      <c r="F5209">
        <v>2</v>
      </c>
      <c r="G5209">
        <v>2</v>
      </c>
      <c r="H5209" s="1" t="s">
        <v>14</v>
      </c>
      <c r="I5209" s="1" t="s">
        <v>15</v>
      </c>
      <c r="J5209" s="12">
        <v>45991</v>
      </c>
      <c r="K5209">
        <v>0</v>
      </c>
      <c r="L5209" s="1">
        <f t="shared" si="324"/>
        <v>4</v>
      </c>
      <c r="M5209" s="1" t="str">
        <f t="shared" si="325"/>
        <v/>
      </c>
      <c r="N5209" s="2">
        <f t="shared" si="326"/>
        <v>45962</v>
      </c>
      <c r="O5209" t="str">
        <f t="shared" si="327"/>
        <v>mačka</v>
      </c>
    </row>
    <row r="5210" spans="1:15" hidden="1" x14ac:dyDescent="0.25">
      <c r="A5210">
        <v>12695</v>
      </c>
      <c r="B5210" s="11">
        <v>4056789012345</v>
      </c>
      <c r="C5210" s="1" t="s">
        <v>47</v>
      </c>
      <c r="D5210" s="1" t="s">
        <v>29</v>
      </c>
      <c r="E5210" s="1" t="s">
        <v>37</v>
      </c>
      <c r="F5210">
        <v>2.4</v>
      </c>
      <c r="G5210">
        <v>2</v>
      </c>
      <c r="H5210" s="1" t="s">
        <v>14</v>
      </c>
      <c r="I5210" s="1" t="s">
        <v>15</v>
      </c>
      <c r="J5210" s="12">
        <v>45991</v>
      </c>
      <c r="K5210">
        <v>0</v>
      </c>
      <c r="L5210" s="1">
        <f t="shared" si="324"/>
        <v>4.8</v>
      </c>
      <c r="M5210" s="1" t="str">
        <f t="shared" si="325"/>
        <v/>
      </c>
      <c r="N5210" s="2">
        <f t="shared" si="326"/>
        <v>45962</v>
      </c>
      <c r="O5210" t="str">
        <f t="shared" si="327"/>
        <v>mačka</v>
      </c>
    </row>
    <row r="5211" spans="1:15" x14ac:dyDescent="0.25">
      <c r="A5211">
        <v>12696</v>
      </c>
      <c r="B5211" s="11">
        <v>4063456789014</v>
      </c>
      <c r="C5211" s="1" t="s">
        <v>60</v>
      </c>
      <c r="D5211" s="1" t="s">
        <v>12</v>
      </c>
      <c r="E5211" s="1" t="s">
        <v>61</v>
      </c>
      <c r="F5211">
        <v>36</v>
      </c>
      <c r="G5211">
        <v>1</v>
      </c>
      <c r="H5211" s="1" t="s">
        <v>14</v>
      </c>
      <c r="I5211" s="1" t="s">
        <v>15</v>
      </c>
      <c r="J5211" s="12">
        <v>45991</v>
      </c>
      <c r="K5211">
        <v>0</v>
      </c>
      <c r="L5211" s="1">
        <f t="shared" si="324"/>
        <v>36</v>
      </c>
      <c r="M5211" s="1" t="str">
        <f t="shared" si="325"/>
        <v/>
      </c>
      <c r="N5211" s="2">
        <f t="shared" si="326"/>
        <v>45962</v>
      </c>
      <c r="O5211" t="str">
        <f t="shared" si="327"/>
        <v>pes</v>
      </c>
    </row>
    <row r="5212" spans="1:15" x14ac:dyDescent="0.25">
      <c r="A5212">
        <v>12697</v>
      </c>
      <c r="B5212" s="11">
        <v>4027788990013</v>
      </c>
      <c r="C5212" s="1" t="s">
        <v>43</v>
      </c>
      <c r="D5212" s="1" t="s">
        <v>21</v>
      </c>
      <c r="E5212" s="1" t="s">
        <v>22</v>
      </c>
      <c r="F5212">
        <v>8</v>
      </c>
      <c r="G5212">
        <v>1</v>
      </c>
      <c r="H5212" s="1" t="s">
        <v>14</v>
      </c>
      <c r="I5212" s="1" t="s">
        <v>15</v>
      </c>
      <c r="J5212" s="12">
        <v>45991</v>
      </c>
      <c r="K5212">
        <v>0</v>
      </c>
      <c r="L5212" s="1">
        <f t="shared" si="324"/>
        <v>8</v>
      </c>
      <c r="M5212" s="1" t="str">
        <f t="shared" si="325"/>
        <v/>
      </c>
      <c r="N5212" s="2">
        <f t="shared" si="326"/>
        <v>45962</v>
      </c>
      <c r="O5212" t="str">
        <f t="shared" si="327"/>
        <v>pes</v>
      </c>
    </row>
    <row r="5213" spans="1:15" hidden="1" x14ac:dyDescent="0.25">
      <c r="A5213">
        <v>12698</v>
      </c>
      <c r="B5213" s="11">
        <v>4055566778892</v>
      </c>
      <c r="C5213" s="1" t="s">
        <v>652</v>
      </c>
      <c r="D5213" s="1" t="s">
        <v>317</v>
      </c>
      <c r="E5213" s="1" t="s">
        <v>69</v>
      </c>
      <c r="F5213">
        <v>8</v>
      </c>
      <c r="G5213">
        <v>1</v>
      </c>
      <c r="H5213" s="1" t="s">
        <v>14</v>
      </c>
      <c r="I5213" s="1" t="s">
        <v>15</v>
      </c>
      <c r="J5213" s="12">
        <v>45991</v>
      </c>
      <c r="K5213">
        <v>0</v>
      </c>
      <c r="L5213" s="1">
        <f t="shared" si="324"/>
        <v>8</v>
      </c>
      <c r="M5213" s="1" t="str">
        <f t="shared" si="325"/>
        <v/>
      </c>
      <c r="N5213" s="2">
        <f t="shared" si="326"/>
        <v>45962</v>
      </c>
      <c r="O5213" t="str">
        <f t="shared" si="327"/>
        <v>mačka</v>
      </c>
    </row>
    <row r="5214" spans="1:15" hidden="1" x14ac:dyDescent="0.25">
      <c r="A5214">
        <v>12699</v>
      </c>
      <c r="B5214" s="11">
        <v>4026677889902</v>
      </c>
      <c r="C5214" s="1" t="s">
        <v>52</v>
      </c>
      <c r="D5214" s="1" t="s">
        <v>53</v>
      </c>
      <c r="E5214" s="1" t="s">
        <v>54</v>
      </c>
      <c r="F5214">
        <v>7.6</v>
      </c>
      <c r="G5214">
        <v>1</v>
      </c>
      <c r="H5214" s="1" t="s">
        <v>14</v>
      </c>
      <c r="I5214" s="1" t="s">
        <v>15</v>
      </c>
      <c r="J5214" s="12">
        <v>45991</v>
      </c>
      <c r="K5214">
        <v>0</v>
      </c>
      <c r="L5214" s="1">
        <f t="shared" si="324"/>
        <v>7.6</v>
      </c>
      <c r="M5214" s="1" t="str">
        <f t="shared" si="325"/>
        <v/>
      </c>
      <c r="N5214" s="2">
        <f t="shared" si="326"/>
        <v>45962</v>
      </c>
      <c r="O5214" t="str">
        <f t="shared" si="327"/>
        <v>iné</v>
      </c>
    </row>
    <row r="5215" spans="1:15" x14ac:dyDescent="0.25">
      <c r="A5215">
        <v>12700</v>
      </c>
      <c r="B5215" s="11">
        <v>4028899001126</v>
      </c>
      <c r="C5215" s="1" t="s">
        <v>16</v>
      </c>
      <c r="D5215" s="1" t="s">
        <v>12</v>
      </c>
      <c r="E5215" s="1" t="s">
        <v>17</v>
      </c>
      <c r="F5215">
        <v>2.8</v>
      </c>
      <c r="G5215">
        <v>2</v>
      </c>
      <c r="H5215" s="1" t="s">
        <v>14</v>
      </c>
      <c r="I5215" s="1" t="s">
        <v>15</v>
      </c>
      <c r="J5215" s="12">
        <v>45991</v>
      </c>
      <c r="K5215">
        <v>0</v>
      </c>
      <c r="L5215" s="1">
        <f t="shared" si="324"/>
        <v>5.6</v>
      </c>
      <c r="M5215" s="1" t="str">
        <f t="shared" si="325"/>
        <v/>
      </c>
      <c r="N5215" s="2">
        <f t="shared" si="326"/>
        <v>45962</v>
      </c>
      <c r="O5215" t="str">
        <f t="shared" si="327"/>
        <v>pes</v>
      </c>
    </row>
    <row r="5216" spans="1:15" x14ac:dyDescent="0.25">
      <c r="A5216">
        <v>12701</v>
      </c>
      <c r="B5216" s="11">
        <v>4013456789017</v>
      </c>
      <c r="C5216" s="1" t="s">
        <v>11</v>
      </c>
      <c r="D5216" s="1" t="s">
        <v>12</v>
      </c>
      <c r="E5216" s="1" t="s">
        <v>13</v>
      </c>
      <c r="F5216">
        <v>6</v>
      </c>
      <c r="G5216">
        <v>1</v>
      </c>
      <c r="H5216" s="1" t="s">
        <v>23</v>
      </c>
      <c r="I5216" s="1" t="s">
        <v>1211</v>
      </c>
      <c r="J5216" s="12">
        <v>45991</v>
      </c>
      <c r="K5216">
        <v>0</v>
      </c>
      <c r="L5216" s="1">
        <f t="shared" si="324"/>
        <v>6</v>
      </c>
      <c r="M5216" s="1">
        <f t="shared" si="325"/>
        <v>5</v>
      </c>
      <c r="N5216" s="2">
        <f t="shared" si="326"/>
        <v>45962</v>
      </c>
      <c r="O5216" t="str">
        <f t="shared" si="327"/>
        <v>pes</v>
      </c>
    </row>
    <row r="5217" spans="1:15" hidden="1" x14ac:dyDescent="0.25">
      <c r="A5217">
        <v>12702</v>
      </c>
      <c r="B5217" s="11">
        <v>8595566778890</v>
      </c>
      <c r="C5217" s="1" t="s">
        <v>681</v>
      </c>
      <c r="D5217" s="1" t="s">
        <v>29</v>
      </c>
      <c r="E5217" s="1" t="s">
        <v>37</v>
      </c>
      <c r="F5217">
        <v>38</v>
      </c>
      <c r="G5217">
        <v>1</v>
      </c>
      <c r="H5217" s="1" t="s">
        <v>14</v>
      </c>
      <c r="I5217" s="1" t="s">
        <v>15</v>
      </c>
      <c r="J5217" s="12">
        <v>45991</v>
      </c>
      <c r="K5217">
        <v>0</v>
      </c>
      <c r="L5217" s="1">
        <f t="shared" si="324"/>
        <v>38</v>
      </c>
      <c r="M5217" s="1" t="str">
        <f t="shared" si="325"/>
        <v/>
      </c>
      <c r="N5217" s="2">
        <f t="shared" si="326"/>
        <v>45962</v>
      </c>
      <c r="O5217" t="str">
        <f t="shared" si="327"/>
        <v>mačka</v>
      </c>
    </row>
    <row r="5218" spans="1:15" hidden="1" x14ac:dyDescent="0.25">
      <c r="A5218">
        <v>12703</v>
      </c>
      <c r="B5218" s="11">
        <v>4010123456783</v>
      </c>
      <c r="C5218" s="1" t="s">
        <v>35</v>
      </c>
      <c r="D5218" s="1" t="s">
        <v>36</v>
      </c>
      <c r="E5218" s="1" t="s">
        <v>37</v>
      </c>
      <c r="F5218">
        <v>14</v>
      </c>
      <c r="G5218">
        <v>1</v>
      </c>
      <c r="H5218" s="1" t="s">
        <v>18</v>
      </c>
      <c r="I5218" s="1" t="s">
        <v>1212</v>
      </c>
      <c r="J5218" s="12">
        <v>45991</v>
      </c>
      <c r="K5218">
        <v>0</v>
      </c>
      <c r="L5218" s="1">
        <f t="shared" si="324"/>
        <v>14</v>
      </c>
      <c r="M5218" s="1">
        <f t="shared" si="325"/>
        <v>4</v>
      </c>
      <c r="N5218" s="2">
        <f t="shared" si="326"/>
        <v>45962</v>
      </c>
      <c r="O5218" t="str">
        <f t="shared" si="327"/>
        <v>mačka</v>
      </c>
    </row>
    <row r="5219" spans="1:15" x14ac:dyDescent="0.25">
      <c r="A5219">
        <v>12704</v>
      </c>
      <c r="B5219" s="11">
        <v>4028899001126</v>
      </c>
      <c r="C5219" s="1" t="s">
        <v>16</v>
      </c>
      <c r="D5219" s="1" t="s">
        <v>12</v>
      </c>
      <c r="E5219" s="1" t="s">
        <v>17</v>
      </c>
      <c r="F5219">
        <v>2.8</v>
      </c>
      <c r="G5219">
        <v>3</v>
      </c>
      <c r="H5219" s="1" t="s">
        <v>14</v>
      </c>
      <c r="I5219" s="1" t="s">
        <v>15</v>
      </c>
      <c r="J5219" s="12">
        <v>45991</v>
      </c>
      <c r="K5219">
        <v>0</v>
      </c>
      <c r="L5219" s="1">
        <f t="shared" si="324"/>
        <v>8.3999999999999986</v>
      </c>
      <c r="M5219" s="1" t="str">
        <f t="shared" si="325"/>
        <v/>
      </c>
      <c r="N5219" s="2">
        <f t="shared" si="326"/>
        <v>45962</v>
      </c>
      <c r="O5219" t="str">
        <f t="shared" si="327"/>
        <v>pes</v>
      </c>
    </row>
    <row r="5220" spans="1:15" x14ac:dyDescent="0.25">
      <c r="A5220">
        <v>12705</v>
      </c>
      <c r="B5220" s="11">
        <v>4013456789017</v>
      </c>
      <c r="C5220" s="1" t="s">
        <v>11</v>
      </c>
      <c r="D5220" s="1" t="s">
        <v>12</v>
      </c>
      <c r="E5220" s="1" t="s">
        <v>13</v>
      </c>
      <c r="F5220">
        <v>6</v>
      </c>
      <c r="G5220">
        <v>2</v>
      </c>
      <c r="H5220" s="1" t="s">
        <v>23</v>
      </c>
      <c r="I5220" s="1" t="s">
        <v>559</v>
      </c>
      <c r="J5220" s="12">
        <v>45991</v>
      </c>
      <c r="K5220">
        <v>0</v>
      </c>
      <c r="L5220" s="1">
        <f t="shared" si="324"/>
        <v>12</v>
      </c>
      <c r="M5220" s="1">
        <f t="shared" si="325"/>
        <v>5</v>
      </c>
      <c r="N5220" s="2">
        <f t="shared" si="326"/>
        <v>45962</v>
      </c>
      <c r="O5220" t="str">
        <f t="shared" si="327"/>
        <v>pes</v>
      </c>
    </row>
    <row r="5221" spans="1:15" hidden="1" x14ac:dyDescent="0.25">
      <c r="A5221">
        <v>12706</v>
      </c>
      <c r="B5221" s="11">
        <v>4067890123456</v>
      </c>
      <c r="C5221" s="1" t="s">
        <v>68</v>
      </c>
      <c r="D5221" s="1" t="s">
        <v>29</v>
      </c>
      <c r="E5221" s="1" t="s">
        <v>69</v>
      </c>
      <c r="F5221">
        <v>36</v>
      </c>
      <c r="G5221">
        <v>1</v>
      </c>
      <c r="H5221" s="1" t="s">
        <v>14</v>
      </c>
      <c r="I5221" s="1" t="s">
        <v>15</v>
      </c>
      <c r="J5221" s="12">
        <v>45991</v>
      </c>
      <c r="K5221">
        <v>0</v>
      </c>
      <c r="L5221" s="1">
        <f t="shared" si="324"/>
        <v>36</v>
      </c>
      <c r="M5221" s="1" t="str">
        <f t="shared" si="325"/>
        <v/>
      </c>
      <c r="N5221" s="2">
        <f t="shared" si="326"/>
        <v>45962</v>
      </c>
      <c r="O5221" t="str">
        <f t="shared" si="327"/>
        <v>mačka</v>
      </c>
    </row>
    <row r="5222" spans="1:15" x14ac:dyDescent="0.25">
      <c r="A5222">
        <v>12707</v>
      </c>
      <c r="B5222" s="11">
        <v>4003344556679</v>
      </c>
      <c r="C5222" s="1" t="s">
        <v>132</v>
      </c>
      <c r="D5222" s="1" t="s">
        <v>133</v>
      </c>
      <c r="E5222" s="1" t="s">
        <v>134</v>
      </c>
      <c r="F5222">
        <v>51.64</v>
      </c>
      <c r="G5222">
        <v>1</v>
      </c>
      <c r="H5222" s="1" t="s">
        <v>23</v>
      </c>
      <c r="I5222" s="1" t="s">
        <v>1213</v>
      </c>
      <c r="J5222" s="12">
        <v>45991</v>
      </c>
      <c r="K5222">
        <v>0</v>
      </c>
      <c r="L5222" s="1">
        <f t="shared" si="324"/>
        <v>51.64</v>
      </c>
      <c r="M5222" s="1">
        <f t="shared" si="325"/>
        <v>5</v>
      </c>
      <c r="N5222" s="2">
        <f t="shared" si="326"/>
        <v>45962</v>
      </c>
      <c r="O5222" t="str">
        <f t="shared" si="327"/>
        <v>pes</v>
      </c>
    </row>
    <row r="5223" spans="1:15" hidden="1" x14ac:dyDescent="0.25">
      <c r="A5223">
        <v>12708</v>
      </c>
      <c r="B5223" s="11">
        <v>4042233445567</v>
      </c>
      <c r="C5223" s="1" t="s">
        <v>637</v>
      </c>
      <c r="D5223" s="1" t="s">
        <v>140</v>
      </c>
      <c r="E5223" s="1" t="s">
        <v>141</v>
      </c>
      <c r="F5223">
        <v>51.64</v>
      </c>
      <c r="G5223">
        <v>1</v>
      </c>
      <c r="H5223" s="1" t="s">
        <v>14</v>
      </c>
      <c r="I5223" s="1" t="s">
        <v>15</v>
      </c>
      <c r="J5223" s="12">
        <v>45991</v>
      </c>
      <c r="K5223">
        <v>0</v>
      </c>
      <c r="L5223" s="1">
        <f t="shared" si="324"/>
        <v>51.64</v>
      </c>
      <c r="M5223" s="1" t="str">
        <f t="shared" si="325"/>
        <v/>
      </c>
      <c r="N5223" s="2">
        <f t="shared" si="326"/>
        <v>45962</v>
      </c>
      <c r="O5223" t="str">
        <f t="shared" si="327"/>
        <v>mačka</v>
      </c>
    </row>
    <row r="5224" spans="1:15" hidden="1" x14ac:dyDescent="0.25">
      <c r="A5224">
        <v>12709</v>
      </c>
      <c r="B5224" s="11">
        <v>4050123456794</v>
      </c>
      <c r="C5224" s="1" t="s">
        <v>41</v>
      </c>
      <c r="D5224" s="1" t="s">
        <v>36</v>
      </c>
      <c r="E5224" s="1" t="s">
        <v>42</v>
      </c>
      <c r="F5224">
        <v>7.2</v>
      </c>
      <c r="G5224">
        <v>1</v>
      </c>
      <c r="H5224" s="1" t="s">
        <v>14</v>
      </c>
      <c r="I5224" s="1" t="s">
        <v>15</v>
      </c>
      <c r="J5224" s="12">
        <v>45991</v>
      </c>
      <c r="K5224">
        <v>0</v>
      </c>
      <c r="L5224" s="1">
        <f t="shared" si="324"/>
        <v>7.2</v>
      </c>
      <c r="M5224" s="1" t="str">
        <f t="shared" si="325"/>
        <v/>
      </c>
      <c r="N5224" s="2">
        <f t="shared" si="326"/>
        <v>45962</v>
      </c>
      <c r="O5224" t="str">
        <f t="shared" si="327"/>
        <v>mačka</v>
      </c>
    </row>
    <row r="5225" spans="1:15" x14ac:dyDescent="0.25">
      <c r="A5225">
        <v>12710</v>
      </c>
      <c r="B5225" s="11">
        <v>4027788990013</v>
      </c>
      <c r="C5225" s="1" t="s">
        <v>43</v>
      </c>
      <c r="D5225" s="1" t="s">
        <v>21</v>
      </c>
      <c r="E5225" s="1" t="s">
        <v>22</v>
      </c>
      <c r="F5225">
        <v>8</v>
      </c>
      <c r="G5225">
        <v>1</v>
      </c>
      <c r="H5225" s="1" t="s">
        <v>18</v>
      </c>
      <c r="I5225" s="1" t="s">
        <v>1214</v>
      </c>
      <c r="J5225" s="12">
        <v>45991</v>
      </c>
      <c r="K5225">
        <v>0</v>
      </c>
      <c r="L5225" s="1">
        <f t="shared" si="324"/>
        <v>8</v>
      </c>
      <c r="M5225" s="1">
        <f t="shared" si="325"/>
        <v>4</v>
      </c>
      <c r="N5225" s="2">
        <f t="shared" si="326"/>
        <v>45962</v>
      </c>
      <c r="O5225" t="str">
        <f t="shared" si="327"/>
        <v>pes</v>
      </c>
    </row>
    <row r="5226" spans="1:15" x14ac:dyDescent="0.25">
      <c r="A5226">
        <v>12711</v>
      </c>
      <c r="B5226" s="11">
        <v>4028899001126</v>
      </c>
      <c r="C5226" s="1" t="s">
        <v>16</v>
      </c>
      <c r="D5226" s="1" t="s">
        <v>12</v>
      </c>
      <c r="E5226" s="1" t="s">
        <v>17</v>
      </c>
      <c r="F5226">
        <v>2.8</v>
      </c>
      <c r="G5226">
        <v>3</v>
      </c>
      <c r="H5226" s="1" t="s">
        <v>23</v>
      </c>
      <c r="I5226" s="1" t="s">
        <v>1215</v>
      </c>
      <c r="J5226" s="12">
        <v>45992</v>
      </c>
      <c r="K5226">
        <v>0</v>
      </c>
      <c r="L5226" s="1">
        <f t="shared" si="324"/>
        <v>8.3999999999999986</v>
      </c>
      <c r="M5226" s="1">
        <f t="shared" si="325"/>
        <v>5</v>
      </c>
      <c r="N5226" s="2">
        <f t="shared" si="326"/>
        <v>45992</v>
      </c>
      <c r="O5226" t="str">
        <f t="shared" si="327"/>
        <v>pes</v>
      </c>
    </row>
    <row r="5227" spans="1:15" x14ac:dyDescent="0.25">
      <c r="A5227">
        <v>12712</v>
      </c>
      <c r="B5227" s="11">
        <v>4013456789017</v>
      </c>
      <c r="C5227" s="1" t="s">
        <v>11</v>
      </c>
      <c r="D5227" s="1" t="s">
        <v>12</v>
      </c>
      <c r="E5227" s="1" t="s">
        <v>13</v>
      </c>
      <c r="F5227">
        <v>6</v>
      </c>
      <c r="G5227">
        <v>2</v>
      </c>
      <c r="H5227" s="1" t="s">
        <v>14</v>
      </c>
      <c r="I5227" s="1" t="s">
        <v>15</v>
      </c>
      <c r="J5227" s="12">
        <v>45992</v>
      </c>
      <c r="K5227">
        <v>0</v>
      </c>
      <c r="L5227" s="1">
        <f t="shared" si="324"/>
        <v>12</v>
      </c>
      <c r="M5227" s="1" t="str">
        <f t="shared" si="325"/>
        <v/>
      </c>
      <c r="N5227" s="2">
        <f t="shared" si="326"/>
        <v>45992</v>
      </c>
      <c r="O5227" t="str">
        <f t="shared" si="327"/>
        <v>pes</v>
      </c>
    </row>
    <row r="5228" spans="1:15" x14ac:dyDescent="0.25">
      <c r="A5228">
        <v>12713</v>
      </c>
      <c r="B5228" s="11">
        <v>4027788990013</v>
      </c>
      <c r="C5228" s="1" t="s">
        <v>43</v>
      </c>
      <c r="D5228" s="1" t="s">
        <v>21</v>
      </c>
      <c r="E5228" s="1" t="s">
        <v>22</v>
      </c>
      <c r="F5228">
        <v>8</v>
      </c>
      <c r="G5228">
        <v>1</v>
      </c>
      <c r="H5228" s="1" t="s">
        <v>14</v>
      </c>
      <c r="I5228" s="1" t="s">
        <v>15</v>
      </c>
      <c r="J5228" s="12">
        <v>45992</v>
      </c>
      <c r="K5228">
        <v>0</v>
      </c>
      <c r="L5228" s="1">
        <f t="shared" si="324"/>
        <v>8</v>
      </c>
      <c r="M5228" s="1" t="str">
        <f t="shared" si="325"/>
        <v/>
      </c>
      <c r="N5228" s="2">
        <f t="shared" si="326"/>
        <v>45992</v>
      </c>
      <c r="O5228" t="str">
        <f t="shared" si="327"/>
        <v>pes</v>
      </c>
    </row>
    <row r="5229" spans="1:15" hidden="1" x14ac:dyDescent="0.25">
      <c r="A5229">
        <v>12714</v>
      </c>
      <c r="B5229" s="11">
        <v>4042233445567</v>
      </c>
      <c r="C5229" s="1" t="s">
        <v>637</v>
      </c>
      <c r="D5229" s="1" t="s">
        <v>140</v>
      </c>
      <c r="E5229" s="1" t="s">
        <v>141</v>
      </c>
      <c r="F5229">
        <v>51.64</v>
      </c>
      <c r="G5229">
        <v>1</v>
      </c>
      <c r="H5229" s="1" t="s">
        <v>23</v>
      </c>
      <c r="I5229" s="1" t="s">
        <v>1216</v>
      </c>
      <c r="J5229" s="12">
        <v>45992</v>
      </c>
      <c r="K5229">
        <v>0</v>
      </c>
      <c r="L5229" s="1">
        <f t="shared" si="324"/>
        <v>51.64</v>
      </c>
      <c r="M5229" s="1">
        <f t="shared" si="325"/>
        <v>5</v>
      </c>
      <c r="N5229" s="2">
        <f t="shared" si="326"/>
        <v>45992</v>
      </c>
      <c r="O5229" t="str">
        <f t="shared" si="327"/>
        <v>mačka</v>
      </c>
    </row>
    <row r="5230" spans="1:15" hidden="1" x14ac:dyDescent="0.25">
      <c r="A5230">
        <v>12715</v>
      </c>
      <c r="B5230" s="11">
        <v>8593456789012</v>
      </c>
      <c r="C5230" s="1" t="s">
        <v>28</v>
      </c>
      <c r="D5230" s="1" t="s">
        <v>29</v>
      </c>
      <c r="E5230" s="1" t="s">
        <v>30</v>
      </c>
      <c r="F5230">
        <v>42</v>
      </c>
      <c r="G5230">
        <v>1</v>
      </c>
      <c r="H5230" s="1" t="s">
        <v>18</v>
      </c>
      <c r="I5230" s="1" t="s">
        <v>1217</v>
      </c>
      <c r="J5230" s="12">
        <v>45992</v>
      </c>
      <c r="K5230">
        <v>0</v>
      </c>
      <c r="L5230" s="1">
        <f t="shared" si="324"/>
        <v>42</v>
      </c>
      <c r="M5230" s="1">
        <f t="shared" si="325"/>
        <v>4</v>
      </c>
      <c r="N5230" s="2">
        <f t="shared" si="326"/>
        <v>45992</v>
      </c>
      <c r="O5230" t="str">
        <f t="shared" si="327"/>
        <v>mačka</v>
      </c>
    </row>
    <row r="5231" spans="1:15" x14ac:dyDescent="0.25">
      <c r="A5231">
        <v>12716</v>
      </c>
      <c r="B5231" s="11">
        <v>4063456789014</v>
      </c>
      <c r="C5231" s="1" t="s">
        <v>60</v>
      </c>
      <c r="D5231" s="1" t="s">
        <v>12</v>
      </c>
      <c r="E5231" s="1" t="s">
        <v>61</v>
      </c>
      <c r="F5231">
        <v>36</v>
      </c>
      <c r="G5231">
        <v>1</v>
      </c>
      <c r="H5231" s="1" t="s">
        <v>14</v>
      </c>
      <c r="I5231" s="1" t="s">
        <v>15</v>
      </c>
      <c r="J5231" s="12">
        <v>45992</v>
      </c>
      <c r="K5231">
        <v>0</v>
      </c>
      <c r="L5231" s="1">
        <f t="shared" si="324"/>
        <v>36</v>
      </c>
      <c r="M5231" s="1" t="str">
        <f t="shared" si="325"/>
        <v/>
      </c>
      <c r="N5231" s="2">
        <f t="shared" si="326"/>
        <v>45992</v>
      </c>
      <c r="O5231" t="str">
        <f t="shared" si="327"/>
        <v>pes</v>
      </c>
    </row>
    <row r="5232" spans="1:15" hidden="1" x14ac:dyDescent="0.25">
      <c r="A5232">
        <v>12717</v>
      </c>
      <c r="B5232" s="11">
        <v>4056789012345</v>
      </c>
      <c r="C5232" s="1" t="s">
        <v>47</v>
      </c>
      <c r="D5232" s="1" t="s">
        <v>29</v>
      </c>
      <c r="E5232" s="1" t="s">
        <v>37</v>
      </c>
      <c r="F5232">
        <v>2.4</v>
      </c>
      <c r="G5232">
        <v>3</v>
      </c>
      <c r="H5232" s="1" t="s">
        <v>14</v>
      </c>
      <c r="I5232" s="1" t="s">
        <v>15</v>
      </c>
      <c r="J5232" s="12">
        <v>45992</v>
      </c>
      <c r="K5232">
        <v>0</v>
      </c>
      <c r="L5232" s="1">
        <f t="shared" si="324"/>
        <v>7.1999999999999993</v>
      </c>
      <c r="M5232" s="1" t="str">
        <f t="shared" si="325"/>
        <v/>
      </c>
      <c r="N5232" s="2">
        <f t="shared" si="326"/>
        <v>45992</v>
      </c>
      <c r="O5232" t="str">
        <f t="shared" si="327"/>
        <v>mačka</v>
      </c>
    </row>
    <row r="5233" spans="1:15" hidden="1" x14ac:dyDescent="0.25">
      <c r="A5233">
        <v>12718</v>
      </c>
      <c r="B5233" s="11">
        <v>4042233445567</v>
      </c>
      <c r="C5233" s="1" t="s">
        <v>637</v>
      </c>
      <c r="D5233" s="1" t="s">
        <v>140</v>
      </c>
      <c r="E5233" s="1" t="s">
        <v>141</v>
      </c>
      <c r="F5233">
        <v>51.64</v>
      </c>
      <c r="G5233">
        <v>1</v>
      </c>
      <c r="H5233" s="1" t="s">
        <v>14</v>
      </c>
      <c r="I5233" s="1" t="s">
        <v>15</v>
      </c>
      <c r="J5233" s="12">
        <v>45992</v>
      </c>
      <c r="K5233">
        <v>0</v>
      </c>
      <c r="L5233" s="1">
        <f t="shared" si="324"/>
        <v>51.64</v>
      </c>
      <c r="M5233" s="1" t="str">
        <f t="shared" si="325"/>
        <v/>
      </c>
      <c r="N5233" s="2">
        <f t="shared" si="326"/>
        <v>45992</v>
      </c>
      <c r="O5233" t="str">
        <f t="shared" si="327"/>
        <v>mačka</v>
      </c>
    </row>
    <row r="5234" spans="1:15" x14ac:dyDescent="0.25">
      <c r="A5234">
        <v>12719</v>
      </c>
      <c r="B5234" s="11">
        <v>4003344556679</v>
      </c>
      <c r="C5234" s="1" t="s">
        <v>132</v>
      </c>
      <c r="D5234" s="1" t="s">
        <v>133</v>
      </c>
      <c r="E5234" s="1" t="s">
        <v>134</v>
      </c>
      <c r="F5234">
        <v>51.64</v>
      </c>
      <c r="G5234">
        <v>1</v>
      </c>
      <c r="H5234" s="1" t="s">
        <v>23</v>
      </c>
      <c r="I5234" s="1" t="s">
        <v>1218</v>
      </c>
      <c r="J5234" s="12">
        <v>45992</v>
      </c>
      <c r="K5234">
        <v>0</v>
      </c>
      <c r="L5234" s="1">
        <f t="shared" si="324"/>
        <v>51.64</v>
      </c>
      <c r="M5234" s="1">
        <f t="shared" si="325"/>
        <v>5</v>
      </c>
      <c r="N5234" s="2">
        <f t="shared" si="326"/>
        <v>45992</v>
      </c>
      <c r="O5234" t="str">
        <f t="shared" si="327"/>
        <v>pes</v>
      </c>
    </row>
    <row r="5235" spans="1:15" hidden="1" x14ac:dyDescent="0.25">
      <c r="A5235">
        <v>12720</v>
      </c>
      <c r="B5235" s="11">
        <v>4018901234567</v>
      </c>
      <c r="C5235" s="1" t="s">
        <v>680</v>
      </c>
      <c r="D5235" s="1" t="s">
        <v>144</v>
      </c>
      <c r="E5235" s="1" t="s">
        <v>32</v>
      </c>
      <c r="F5235">
        <v>20</v>
      </c>
      <c r="G5235">
        <v>1</v>
      </c>
      <c r="H5235" s="1" t="s">
        <v>14</v>
      </c>
      <c r="I5235" s="1" t="s">
        <v>15</v>
      </c>
      <c r="J5235" s="12">
        <v>45992</v>
      </c>
      <c r="K5235">
        <v>0</v>
      </c>
      <c r="L5235" s="1">
        <f t="shared" si="324"/>
        <v>20</v>
      </c>
      <c r="M5235" s="1" t="str">
        <f t="shared" si="325"/>
        <v/>
      </c>
      <c r="N5235" s="2">
        <f t="shared" si="326"/>
        <v>45992</v>
      </c>
      <c r="O5235" t="str">
        <f t="shared" si="327"/>
        <v>mačka</v>
      </c>
    </row>
    <row r="5236" spans="1:15" hidden="1" x14ac:dyDescent="0.25">
      <c r="A5236">
        <v>12721</v>
      </c>
      <c r="B5236" s="11">
        <v>4067890123456</v>
      </c>
      <c r="C5236" s="1" t="s">
        <v>68</v>
      </c>
      <c r="D5236" s="1" t="s">
        <v>29</v>
      </c>
      <c r="E5236" s="1" t="s">
        <v>69</v>
      </c>
      <c r="F5236">
        <v>36</v>
      </c>
      <c r="G5236">
        <v>1</v>
      </c>
      <c r="H5236" s="1" t="s">
        <v>18</v>
      </c>
      <c r="I5236" s="1" t="s">
        <v>1219</v>
      </c>
      <c r="J5236" s="12">
        <v>45993</v>
      </c>
      <c r="K5236">
        <v>0</v>
      </c>
      <c r="L5236" s="1">
        <f t="shared" si="324"/>
        <v>36</v>
      </c>
      <c r="M5236" s="1">
        <f t="shared" si="325"/>
        <v>4</v>
      </c>
      <c r="N5236" s="2">
        <f t="shared" si="326"/>
        <v>45992</v>
      </c>
      <c r="O5236" t="str">
        <f t="shared" si="327"/>
        <v>mačka</v>
      </c>
    </row>
    <row r="5237" spans="1:15" hidden="1" x14ac:dyDescent="0.25">
      <c r="A5237">
        <v>12722</v>
      </c>
      <c r="B5237" s="11">
        <v>4010123456783</v>
      </c>
      <c r="C5237" s="1" t="s">
        <v>35</v>
      </c>
      <c r="D5237" s="1" t="s">
        <v>36</v>
      </c>
      <c r="E5237" s="1" t="s">
        <v>37</v>
      </c>
      <c r="F5237">
        <v>14</v>
      </c>
      <c r="G5237">
        <v>1</v>
      </c>
      <c r="H5237" s="1" t="s">
        <v>14</v>
      </c>
      <c r="I5237" s="1" t="s">
        <v>15</v>
      </c>
      <c r="J5237" s="12">
        <v>45993</v>
      </c>
      <c r="K5237">
        <v>0</v>
      </c>
      <c r="L5237" s="1">
        <f t="shared" si="324"/>
        <v>14</v>
      </c>
      <c r="M5237" s="1" t="str">
        <f t="shared" si="325"/>
        <v/>
      </c>
      <c r="N5237" s="2">
        <f t="shared" si="326"/>
        <v>45992</v>
      </c>
      <c r="O5237" t="str">
        <f t="shared" si="327"/>
        <v>mačka</v>
      </c>
    </row>
    <row r="5238" spans="1:15" x14ac:dyDescent="0.25">
      <c r="A5238">
        <v>12723</v>
      </c>
      <c r="B5238" s="11">
        <v>4027788990013</v>
      </c>
      <c r="C5238" s="1" t="s">
        <v>43</v>
      </c>
      <c r="D5238" s="1" t="s">
        <v>21</v>
      </c>
      <c r="E5238" s="1" t="s">
        <v>22</v>
      </c>
      <c r="F5238">
        <v>8</v>
      </c>
      <c r="G5238">
        <v>1</v>
      </c>
      <c r="H5238" s="1" t="s">
        <v>14</v>
      </c>
      <c r="I5238" s="1" t="s">
        <v>15</v>
      </c>
      <c r="J5238" s="12">
        <v>45993</v>
      </c>
      <c r="K5238">
        <v>0</v>
      </c>
      <c r="L5238" s="1">
        <f t="shared" si="324"/>
        <v>8</v>
      </c>
      <c r="M5238" s="1" t="str">
        <f t="shared" si="325"/>
        <v/>
      </c>
      <c r="N5238" s="2">
        <f t="shared" si="326"/>
        <v>45992</v>
      </c>
      <c r="O5238" t="str">
        <f t="shared" si="327"/>
        <v>pes</v>
      </c>
    </row>
    <row r="5239" spans="1:15" x14ac:dyDescent="0.25">
      <c r="A5239">
        <v>12724</v>
      </c>
      <c r="B5239" s="11">
        <v>4013456789017</v>
      </c>
      <c r="C5239" s="1" t="s">
        <v>11</v>
      </c>
      <c r="D5239" s="1" t="s">
        <v>12</v>
      </c>
      <c r="E5239" s="1" t="s">
        <v>13</v>
      </c>
      <c r="F5239">
        <v>6</v>
      </c>
      <c r="G5239">
        <v>1</v>
      </c>
      <c r="H5239" s="1" t="s">
        <v>23</v>
      </c>
      <c r="I5239" s="1" t="s">
        <v>1220</v>
      </c>
      <c r="J5239" s="12">
        <v>45993</v>
      </c>
      <c r="K5239">
        <v>0</v>
      </c>
      <c r="L5239" s="1">
        <f t="shared" si="324"/>
        <v>6</v>
      </c>
      <c r="M5239" s="1">
        <f t="shared" si="325"/>
        <v>5</v>
      </c>
      <c r="N5239" s="2">
        <f t="shared" si="326"/>
        <v>45992</v>
      </c>
      <c r="O5239" t="str">
        <f t="shared" si="327"/>
        <v>pes</v>
      </c>
    </row>
    <row r="5240" spans="1:15" x14ac:dyDescent="0.25">
      <c r="A5240">
        <v>12725</v>
      </c>
      <c r="B5240" s="11">
        <v>4028899001126</v>
      </c>
      <c r="C5240" s="1" t="s">
        <v>16</v>
      </c>
      <c r="D5240" s="1" t="s">
        <v>12</v>
      </c>
      <c r="E5240" s="1" t="s">
        <v>17</v>
      </c>
      <c r="F5240">
        <v>2.8</v>
      </c>
      <c r="G5240">
        <v>3</v>
      </c>
      <c r="H5240" s="1" t="s">
        <v>14</v>
      </c>
      <c r="I5240" s="1" t="s">
        <v>15</v>
      </c>
      <c r="J5240" s="12">
        <v>45993</v>
      </c>
      <c r="K5240">
        <v>0</v>
      </c>
      <c r="L5240" s="1">
        <f t="shared" si="324"/>
        <v>8.3999999999999986</v>
      </c>
      <c r="M5240" s="1" t="str">
        <f t="shared" si="325"/>
        <v/>
      </c>
      <c r="N5240" s="2">
        <f t="shared" si="326"/>
        <v>45992</v>
      </c>
      <c r="O5240" t="str">
        <f t="shared" si="327"/>
        <v>pes</v>
      </c>
    </row>
    <row r="5241" spans="1:15" hidden="1" x14ac:dyDescent="0.25">
      <c r="A5241">
        <v>12726</v>
      </c>
      <c r="B5241" s="11">
        <v>4050123456794</v>
      </c>
      <c r="C5241" s="1" t="s">
        <v>41</v>
      </c>
      <c r="D5241" s="1" t="s">
        <v>36</v>
      </c>
      <c r="E5241" s="1" t="s">
        <v>42</v>
      </c>
      <c r="F5241">
        <v>7.2</v>
      </c>
      <c r="G5241">
        <v>1</v>
      </c>
      <c r="H5241" s="1" t="s">
        <v>14</v>
      </c>
      <c r="I5241" s="1" t="s">
        <v>15</v>
      </c>
      <c r="J5241" s="12">
        <v>45993</v>
      </c>
      <c r="K5241">
        <v>0</v>
      </c>
      <c r="L5241" s="1">
        <f t="shared" si="324"/>
        <v>7.2</v>
      </c>
      <c r="M5241" s="1" t="str">
        <f t="shared" si="325"/>
        <v/>
      </c>
      <c r="N5241" s="2">
        <f t="shared" si="326"/>
        <v>45992</v>
      </c>
      <c r="O5241" t="str">
        <f t="shared" si="327"/>
        <v>mačka</v>
      </c>
    </row>
    <row r="5242" spans="1:15" hidden="1" x14ac:dyDescent="0.25">
      <c r="A5242">
        <v>12727</v>
      </c>
      <c r="B5242" s="11">
        <v>4067890123456</v>
      </c>
      <c r="C5242" s="1" t="s">
        <v>68</v>
      </c>
      <c r="D5242" s="1" t="s">
        <v>29</v>
      </c>
      <c r="E5242" s="1" t="s">
        <v>69</v>
      </c>
      <c r="F5242">
        <v>36</v>
      </c>
      <c r="G5242">
        <v>1</v>
      </c>
      <c r="H5242" s="1" t="s">
        <v>14</v>
      </c>
      <c r="I5242" s="1" t="s">
        <v>15</v>
      </c>
      <c r="J5242" s="12">
        <v>45993</v>
      </c>
      <c r="K5242">
        <v>0</v>
      </c>
      <c r="L5242" s="1">
        <f t="shared" si="324"/>
        <v>36</v>
      </c>
      <c r="M5242" s="1" t="str">
        <f t="shared" si="325"/>
        <v/>
      </c>
      <c r="N5242" s="2">
        <f t="shared" si="326"/>
        <v>45992</v>
      </c>
      <c r="O5242" t="str">
        <f t="shared" si="327"/>
        <v>mačka</v>
      </c>
    </row>
    <row r="5243" spans="1:15" hidden="1" x14ac:dyDescent="0.25">
      <c r="A5243">
        <v>12728</v>
      </c>
      <c r="B5243" s="11">
        <v>4021234567894</v>
      </c>
      <c r="C5243" s="1" t="s">
        <v>79</v>
      </c>
      <c r="D5243" s="1" t="s">
        <v>36</v>
      </c>
      <c r="E5243" s="1" t="s">
        <v>69</v>
      </c>
      <c r="F5243">
        <v>8</v>
      </c>
      <c r="G5243">
        <v>1</v>
      </c>
      <c r="H5243" s="1" t="s">
        <v>33</v>
      </c>
      <c r="I5243" s="1" t="s">
        <v>113</v>
      </c>
      <c r="J5243" s="12">
        <v>45993</v>
      </c>
      <c r="K5243">
        <v>0</v>
      </c>
      <c r="L5243" s="1">
        <f t="shared" si="324"/>
        <v>8</v>
      </c>
      <c r="M5243" s="1">
        <f t="shared" si="325"/>
        <v>3</v>
      </c>
      <c r="N5243" s="2">
        <f t="shared" si="326"/>
        <v>45992</v>
      </c>
      <c r="O5243" t="str">
        <f t="shared" si="327"/>
        <v>mačka</v>
      </c>
    </row>
    <row r="5244" spans="1:15" x14ac:dyDescent="0.25">
      <c r="A5244">
        <v>12729</v>
      </c>
      <c r="B5244" s="11">
        <v>4003344556679</v>
      </c>
      <c r="C5244" s="1" t="s">
        <v>132</v>
      </c>
      <c r="D5244" s="1" t="s">
        <v>133</v>
      </c>
      <c r="E5244" s="1" t="s">
        <v>134</v>
      </c>
      <c r="F5244">
        <v>51.64</v>
      </c>
      <c r="G5244">
        <v>1</v>
      </c>
      <c r="H5244" s="1" t="s">
        <v>14</v>
      </c>
      <c r="I5244" s="1" t="s">
        <v>15</v>
      </c>
      <c r="J5244" s="12">
        <v>45993</v>
      </c>
      <c r="K5244">
        <v>0</v>
      </c>
      <c r="L5244" s="1">
        <f t="shared" si="324"/>
        <v>51.64</v>
      </c>
      <c r="M5244" s="1" t="str">
        <f t="shared" si="325"/>
        <v/>
      </c>
      <c r="N5244" s="2">
        <f t="shared" si="326"/>
        <v>45992</v>
      </c>
      <c r="O5244" t="str">
        <f t="shared" si="327"/>
        <v>pes</v>
      </c>
    </row>
    <row r="5245" spans="1:15" x14ac:dyDescent="0.25">
      <c r="A5245">
        <v>12730</v>
      </c>
      <c r="B5245" s="11">
        <v>4028899001126</v>
      </c>
      <c r="C5245" s="1" t="s">
        <v>16</v>
      </c>
      <c r="D5245" s="1" t="s">
        <v>12</v>
      </c>
      <c r="E5245" s="1" t="s">
        <v>17</v>
      </c>
      <c r="F5245">
        <v>2.8</v>
      </c>
      <c r="G5245">
        <v>2</v>
      </c>
      <c r="H5245" s="1" t="s">
        <v>14</v>
      </c>
      <c r="I5245" s="1" t="s">
        <v>15</v>
      </c>
      <c r="J5245" s="12">
        <v>45993</v>
      </c>
      <c r="K5245">
        <v>0</v>
      </c>
      <c r="L5245" s="1">
        <f t="shared" si="324"/>
        <v>5.6</v>
      </c>
      <c r="M5245" s="1" t="str">
        <f t="shared" si="325"/>
        <v/>
      </c>
      <c r="N5245" s="2">
        <f t="shared" si="326"/>
        <v>45992</v>
      </c>
      <c r="O5245" t="str">
        <f t="shared" si="327"/>
        <v>pes</v>
      </c>
    </row>
    <row r="5246" spans="1:15" x14ac:dyDescent="0.25">
      <c r="A5246">
        <v>12731</v>
      </c>
      <c r="B5246" s="11">
        <v>4013456789017</v>
      </c>
      <c r="C5246" s="1" t="s">
        <v>11</v>
      </c>
      <c r="D5246" s="1" t="s">
        <v>12</v>
      </c>
      <c r="E5246" s="1" t="s">
        <v>13</v>
      </c>
      <c r="F5246">
        <v>6</v>
      </c>
      <c r="G5246">
        <v>1</v>
      </c>
      <c r="H5246" s="1" t="s">
        <v>14</v>
      </c>
      <c r="I5246" s="1" t="s">
        <v>15</v>
      </c>
      <c r="J5246" s="12">
        <v>45993</v>
      </c>
      <c r="K5246">
        <v>0</v>
      </c>
      <c r="L5246" s="1">
        <f t="shared" si="324"/>
        <v>6</v>
      </c>
      <c r="M5246" s="1" t="str">
        <f t="shared" si="325"/>
        <v/>
      </c>
      <c r="N5246" s="2">
        <f t="shared" si="326"/>
        <v>45992</v>
      </c>
      <c r="O5246" t="str">
        <f t="shared" si="327"/>
        <v>pes</v>
      </c>
    </row>
    <row r="5247" spans="1:15" x14ac:dyDescent="0.25">
      <c r="A5247">
        <v>12732</v>
      </c>
      <c r="B5247" s="11">
        <v>4046677889901</v>
      </c>
      <c r="C5247" s="1" t="s">
        <v>1175</v>
      </c>
      <c r="D5247" s="1" t="s">
        <v>21</v>
      </c>
      <c r="E5247" s="1" t="s">
        <v>308</v>
      </c>
      <c r="F5247">
        <v>7.2</v>
      </c>
      <c r="G5247">
        <v>1</v>
      </c>
      <c r="H5247" s="1" t="s">
        <v>14</v>
      </c>
      <c r="I5247" s="1" t="s">
        <v>15</v>
      </c>
      <c r="J5247" s="12">
        <v>45993</v>
      </c>
      <c r="K5247">
        <v>0</v>
      </c>
      <c r="L5247" s="1">
        <f t="shared" si="324"/>
        <v>7.2</v>
      </c>
      <c r="M5247" s="1" t="str">
        <f t="shared" si="325"/>
        <v/>
      </c>
      <c r="N5247" s="2">
        <f t="shared" si="326"/>
        <v>45992</v>
      </c>
      <c r="O5247" t="str">
        <f t="shared" si="327"/>
        <v>pes</v>
      </c>
    </row>
    <row r="5248" spans="1:15" x14ac:dyDescent="0.25">
      <c r="A5248">
        <v>12733</v>
      </c>
      <c r="B5248" s="11">
        <v>4017890123450</v>
      </c>
      <c r="C5248" s="1" t="s">
        <v>65</v>
      </c>
      <c r="D5248" s="1" t="s">
        <v>39</v>
      </c>
      <c r="E5248" s="1" t="s">
        <v>22</v>
      </c>
      <c r="F5248">
        <v>7.6</v>
      </c>
      <c r="G5248">
        <v>1</v>
      </c>
      <c r="H5248" s="1" t="s">
        <v>18</v>
      </c>
      <c r="I5248" s="1" t="s">
        <v>1221</v>
      </c>
      <c r="J5248" s="12">
        <v>45994</v>
      </c>
      <c r="K5248">
        <v>0</v>
      </c>
      <c r="L5248" s="1">
        <f t="shared" si="324"/>
        <v>7.6</v>
      </c>
      <c r="M5248" s="1">
        <f t="shared" si="325"/>
        <v>4</v>
      </c>
      <c r="N5248" s="2">
        <f t="shared" si="326"/>
        <v>45992</v>
      </c>
      <c r="O5248" t="str">
        <f t="shared" si="327"/>
        <v>pes</v>
      </c>
    </row>
    <row r="5249" spans="1:15" hidden="1" x14ac:dyDescent="0.25">
      <c r="A5249">
        <v>12734</v>
      </c>
      <c r="B5249" s="11">
        <v>8595566778890</v>
      </c>
      <c r="C5249" s="1" t="s">
        <v>681</v>
      </c>
      <c r="D5249" s="1" t="s">
        <v>29</v>
      </c>
      <c r="E5249" s="1" t="s">
        <v>37</v>
      </c>
      <c r="F5249">
        <v>38</v>
      </c>
      <c r="G5249">
        <v>1</v>
      </c>
      <c r="H5249" s="1" t="s">
        <v>14</v>
      </c>
      <c r="I5249" s="1" t="s">
        <v>15</v>
      </c>
      <c r="J5249" s="12">
        <v>45994</v>
      </c>
      <c r="K5249">
        <v>0</v>
      </c>
      <c r="L5249" s="1">
        <f t="shared" si="324"/>
        <v>38</v>
      </c>
      <c r="M5249" s="1" t="str">
        <f t="shared" si="325"/>
        <v/>
      </c>
      <c r="N5249" s="2">
        <f t="shared" si="326"/>
        <v>45992</v>
      </c>
      <c r="O5249" t="str">
        <f t="shared" si="327"/>
        <v>mačka</v>
      </c>
    </row>
    <row r="5250" spans="1:15" hidden="1" x14ac:dyDescent="0.25">
      <c r="A5250">
        <v>12735</v>
      </c>
      <c r="B5250" s="11">
        <v>4042233445567</v>
      </c>
      <c r="C5250" s="1" t="s">
        <v>637</v>
      </c>
      <c r="D5250" s="1" t="s">
        <v>140</v>
      </c>
      <c r="E5250" s="1" t="s">
        <v>141</v>
      </c>
      <c r="F5250">
        <v>51.64</v>
      </c>
      <c r="G5250">
        <v>1</v>
      </c>
      <c r="H5250" s="1" t="s">
        <v>14</v>
      </c>
      <c r="I5250" s="1" t="s">
        <v>15</v>
      </c>
      <c r="J5250" s="12">
        <v>45994</v>
      </c>
      <c r="K5250">
        <v>0</v>
      </c>
      <c r="L5250" s="1">
        <f t="shared" ref="L5250:L5313" si="328">F5250*G5250</f>
        <v>51.64</v>
      </c>
      <c r="M5250" s="1" t="str">
        <f t="shared" ref="M5250:M5313" si="329">IF(H5250="NULL", "",VALUE(H5250))</f>
        <v/>
      </c>
      <c r="N5250" s="2">
        <f t="shared" ref="N5250:N5313" si="330">DATE(YEAR(J5250),MONTH(J5250),1)</f>
        <v>45992</v>
      </c>
      <c r="O5250" t="str">
        <f t="shared" ref="O5250:O5313" si="331">IF(ISNUMBER(SEARCH("Mačky",D5250)),"mačka",IF(ISNUMBER(SEARCH("Psy",D5250)),"pes","iné"))</f>
        <v>mačka</v>
      </c>
    </row>
    <row r="5251" spans="1:15" hidden="1" x14ac:dyDescent="0.25">
      <c r="A5251">
        <v>12736</v>
      </c>
      <c r="B5251" s="11">
        <v>4026677889902</v>
      </c>
      <c r="C5251" s="1" t="s">
        <v>52</v>
      </c>
      <c r="D5251" s="1" t="s">
        <v>53</v>
      </c>
      <c r="E5251" s="1" t="s">
        <v>54</v>
      </c>
      <c r="F5251">
        <v>7.6</v>
      </c>
      <c r="G5251">
        <v>1</v>
      </c>
      <c r="H5251" s="1" t="s">
        <v>14</v>
      </c>
      <c r="I5251" s="1" t="s">
        <v>15</v>
      </c>
      <c r="J5251" s="12">
        <v>45994</v>
      </c>
      <c r="K5251">
        <v>0</v>
      </c>
      <c r="L5251" s="1">
        <f t="shared" si="328"/>
        <v>7.6</v>
      </c>
      <c r="M5251" s="1" t="str">
        <f t="shared" si="329"/>
        <v/>
      </c>
      <c r="N5251" s="2">
        <f t="shared" si="330"/>
        <v>45992</v>
      </c>
      <c r="O5251" t="str">
        <f t="shared" si="331"/>
        <v>iné</v>
      </c>
    </row>
    <row r="5252" spans="1:15" hidden="1" x14ac:dyDescent="0.25">
      <c r="A5252">
        <v>12737</v>
      </c>
      <c r="B5252" s="11">
        <v>4056789012345</v>
      </c>
      <c r="C5252" s="1" t="s">
        <v>47</v>
      </c>
      <c r="D5252" s="1" t="s">
        <v>29</v>
      </c>
      <c r="E5252" s="1" t="s">
        <v>37</v>
      </c>
      <c r="F5252">
        <v>2.4</v>
      </c>
      <c r="G5252">
        <v>2</v>
      </c>
      <c r="H5252" s="1" t="s">
        <v>14</v>
      </c>
      <c r="I5252" s="1" t="s">
        <v>15</v>
      </c>
      <c r="J5252" s="12">
        <v>45994</v>
      </c>
      <c r="K5252">
        <v>0</v>
      </c>
      <c r="L5252" s="1">
        <f t="shared" si="328"/>
        <v>4.8</v>
      </c>
      <c r="M5252" s="1" t="str">
        <f t="shared" si="329"/>
        <v/>
      </c>
      <c r="N5252" s="2">
        <f t="shared" si="330"/>
        <v>45992</v>
      </c>
      <c r="O5252" t="str">
        <f t="shared" si="331"/>
        <v>mačka</v>
      </c>
    </row>
    <row r="5253" spans="1:15" x14ac:dyDescent="0.25">
      <c r="A5253">
        <v>12738</v>
      </c>
      <c r="B5253" s="11">
        <v>4003344556679</v>
      </c>
      <c r="C5253" s="1" t="s">
        <v>132</v>
      </c>
      <c r="D5253" s="1" t="s">
        <v>133</v>
      </c>
      <c r="E5253" s="1" t="s">
        <v>134</v>
      </c>
      <c r="F5253">
        <v>51.64</v>
      </c>
      <c r="G5253">
        <v>1</v>
      </c>
      <c r="H5253" s="1" t="s">
        <v>23</v>
      </c>
      <c r="I5253" s="1" t="s">
        <v>1222</v>
      </c>
      <c r="J5253" s="12">
        <v>45994</v>
      </c>
      <c r="K5253">
        <v>0</v>
      </c>
      <c r="L5253" s="1">
        <f t="shared" si="328"/>
        <v>51.64</v>
      </c>
      <c r="M5253" s="1">
        <f t="shared" si="329"/>
        <v>5</v>
      </c>
      <c r="N5253" s="2">
        <f t="shared" si="330"/>
        <v>45992</v>
      </c>
      <c r="O5253" t="str">
        <f t="shared" si="331"/>
        <v>pes</v>
      </c>
    </row>
    <row r="5254" spans="1:15" x14ac:dyDescent="0.25">
      <c r="A5254">
        <v>12739</v>
      </c>
      <c r="B5254" s="11">
        <v>4016677889902</v>
      </c>
      <c r="C5254" s="1" t="s">
        <v>328</v>
      </c>
      <c r="D5254" s="1" t="s">
        <v>26</v>
      </c>
      <c r="E5254" s="1" t="s">
        <v>17</v>
      </c>
      <c r="F5254">
        <v>22</v>
      </c>
      <c r="G5254">
        <v>1</v>
      </c>
      <c r="H5254" s="1" t="s">
        <v>14</v>
      </c>
      <c r="I5254" s="1" t="s">
        <v>15</v>
      </c>
      <c r="J5254" s="12">
        <v>45994</v>
      </c>
      <c r="K5254">
        <v>0</v>
      </c>
      <c r="L5254" s="1">
        <f t="shared" si="328"/>
        <v>22</v>
      </c>
      <c r="M5254" s="1" t="str">
        <f t="shared" si="329"/>
        <v/>
      </c>
      <c r="N5254" s="2">
        <f t="shared" si="330"/>
        <v>45992</v>
      </c>
      <c r="O5254" t="str">
        <f t="shared" si="331"/>
        <v>pes</v>
      </c>
    </row>
    <row r="5255" spans="1:15" hidden="1" x14ac:dyDescent="0.25">
      <c r="A5255">
        <v>12740</v>
      </c>
      <c r="B5255" s="11">
        <v>4047890123460</v>
      </c>
      <c r="C5255" s="1" t="s">
        <v>325</v>
      </c>
      <c r="D5255" s="1" t="s">
        <v>144</v>
      </c>
      <c r="E5255" s="1" t="s">
        <v>58</v>
      </c>
      <c r="F5255">
        <v>10</v>
      </c>
      <c r="G5255">
        <v>1</v>
      </c>
      <c r="H5255" s="1" t="s">
        <v>14</v>
      </c>
      <c r="I5255" s="1" t="s">
        <v>15</v>
      </c>
      <c r="J5255" s="12">
        <v>45994</v>
      </c>
      <c r="K5255">
        <v>0</v>
      </c>
      <c r="L5255" s="1">
        <f t="shared" si="328"/>
        <v>10</v>
      </c>
      <c r="M5255" s="1" t="str">
        <f t="shared" si="329"/>
        <v/>
      </c>
      <c r="N5255" s="2">
        <f t="shared" si="330"/>
        <v>45992</v>
      </c>
      <c r="O5255" t="str">
        <f t="shared" si="331"/>
        <v>mačka</v>
      </c>
    </row>
    <row r="5256" spans="1:15" x14ac:dyDescent="0.25">
      <c r="A5256">
        <v>12741</v>
      </c>
      <c r="B5256" s="11">
        <v>4028899001126</v>
      </c>
      <c r="C5256" s="1" t="s">
        <v>16</v>
      </c>
      <c r="D5256" s="1" t="s">
        <v>12</v>
      </c>
      <c r="E5256" s="1" t="s">
        <v>17</v>
      </c>
      <c r="F5256">
        <v>2.8</v>
      </c>
      <c r="G5256">
        <v>2</v>
      </c>
      <c r="H5256" s="1" t="s">
        <v>14</v>
      </c>
      <c r="I5256" s="1" t="s">
        <v>15</v>
      </c>
      <c r="J5256" s="12">
        <v>45994</v>
      </c>
      <c r="K5256">
        <v>0</v>
      </c>
      <c r="L5256" s="1">
        <f t="shared" si="328"/>
        <v>5.6</v>
      </c>
      <c r="M5256" s="1" t="str">
        <f t="shared" si="329"/>
        <v/>
      </c>
      <c r="N5256" s="2">
        <f t="shared" si="330"/>
        <v>45992</v>
      </c>
      <c r="O5256" t="str">
        <f t="shared" si="331"/>
        <v>pes</v>
      </c>
    </row>
    <row r="5257" spans="1:15" hidden="1" x14ac:dyDescent="0.25">
      <c r="A5257">
        <v>12742</v>
      </c>
      <c r="B5257" s="11">
        <v>4055566778892</v>
      </c>
      <c r="C5257" s="1" t="s">
        <v>652</v>
      </c>
      <c r="D5257" s="1" t="s">
        <v>317</v>
      </c>
      <c r="E5257" s="1" t="s">
        <v>69</v>
      </c>
      <c r="F5257">
        <v>8</v>
      </c>
      <c r="G5257">
        <v>1</v>
      </c>
      <c r="H5257" s="1" t="s">
        <v>14</v>
      </c>
      <c r="I5257" s="1" t="s">
        <v>15</v>
      </c>
      <c r="J5257" s="12">
        <v>45994</v>
      </c>
      <c r="K5257">
        <v>0</v>
      </c>
      <c r="L5257" s="1">
        <f t="shared" si="328"/>
        <v>8</v>
      </c>
      <c r="M5257" s="1" t="str">
        <f t="shared" si="329"/>
        <v/>
      </c>
      <c r="N5257" s="2">
        <f t="shared" si="330"/>
        <v>45992</v>
      </c>
      <c r="O5257" t="str">
        <f t="shared" si="331"/>
        <v>mačka</v>
      </c>
    </row>
    <row r="5258" spans="1:15" x14ac:dyDescent="0.25">
      <c r="A5258">
        <v>12743</v>
      </c>
      <c r="B5258" s="11">
        <v>4040123456795</v>
      </c>
      <c r="C5258" s="1" t="s">
        <v>20</v>
      </c>
      <c r="D5258" s="1" t="s">
        <v>21</v>
      </c>
      <c r="E5258" s="1" t="s">
        <v>22</v>
      </c>
      <c r="F5258">
        <v>8.8000000000000007</v>
      </c>
      <c r="G5258">
        <v>1</v>
      </c>
      <c r="H5258" s="1" t="s">
        <v>23</v>
      </c>
      <c r="I5258" s="1" t="s">
        <v>1223</v>
      </c>
      <c r="J5258" s="12">
        <v>45994</v>
      </c>
      <c r="K5258">
        <v>0</v>
      </c>
      <c r="L5258" s="1">
        <f t="shared" si="328"/>
        <v>8.8000000000000007</v>
      </c>
      <c r="M5258" s="1">
        <f t="shared" si="329"/>
        <v>5</v>
      </c>
      <c r="N5258" s="2">
        <f t="shared" si="330"/>
        <v>45992</v>
      </c>
      <c r="O5258" t="str">
        <f t="shared" si="331"/>
        <v>pes</v>
      </c>
    </row>
    <row r="5259" spans="1:15" hidden="1" x14ac:dyDescent="0.25">
      <c r="A5259">
        <v>12744</v>
      </c>
      <c r="B5259" s="11">
        <v>4018901234567</v>
      </c>
      <c r="C5259" s="1" t="s">
        <v>680</v>
      </c>
      <c r="D5259" s="1" t="s">
        <v>144</v>
      </c>
      <c r="E5259" s="1" t="s">
        <v>32</v>
      </c>
      <c r="F5259">
        <v>20</v>
      </c>
      <c r="G5259">
        <v>1</v>
      </c>
      <c r="H5259" s="1" t="s">
        <v>14</v>
      </c>
      <c r="I5259" s="1" t="s">
        <v>15</v>
      </c>
      <c r="J5259" s="12">
        <v>45994</v>
      </c>
      <c r="K5259">
        <v>0</v>
      </c>
      <c r="L5259" s="1">
        <f t="shared" si="328"/>
        <v>20</v>
      </c>
      <c r="M5259" s="1" t="str">
        <f t="shared" si="329"/>
        <v/>
      </c>
      <c r="N5259" s="2">
        <f t="shared" si="330"/>
        <v>45992</v>
      </c>
      <c r="O5259" t="str">
        <f t="shared" si="331"/>
        <v>mačka</v>
      </c>
    </row>
    <row r="5260" spans="1:15" x14ac:dyDescent="0.25">
      <c r="A5260">
        <v>12745</v>
      </c>
      <c r="B5260" s="11">
        <v>4063456789014</v>
      </c>
      <c r="C5260" s="1" t="s">
        <v>60</v>
      </c>
      <c r="D5260" s="1" t="s">
        <v>12</v>
      </c>
      <c r="E5260" s="1" t="s">
        <v>61</v>
      </c>
      <c r="F5260">
        <v>36</v>
      </c>
      <c r="G5260">
        <v>1</v>
      </c>
      <c r="H5260" s="1" t="s">
        <v>14</v>
      </c>
      <c r="I5260" s="1" t="s">
        <v>15</v>
      </c>
      <c r="J5260" s="12">
        <v>45995</v>
      </c>
      <c r="K5260">
        <v>0</v>
      </c>
      <c r="L5260" s="1">
        <f t="shared" si="328"/>
        <v>36</v>
      </c>
      <c r="M5260" s="1" t="str">
        <f t="shared" si="329"/>
        <v/>
      </c>
      <c r="N5260" s="2">
        <f t="shared" si="330"/>
        <v>45992</v>
      </c>
      <c r="O5260" t="str">
        <f t="shared" si="331"/>
        <v>pes</v>
      </c>
    </row>
    <row r="5261" spans="1:15" x14ac:dyDescent="0.25">
      <c r="A5261">
        <v>12746</v>
      </c>
      <c r="B5261" s="11">
        <v>4027788990013</v>
      </c>
      <c r="C5261" s="1" t="s">
        <v>43</v>
      </c>
      <c r="D5261" s="1" t="s">
        <v>21</v>
      </c>
      <c r="E5261" s="1" t="s">
        <v>22</v>
      </c>
      <c r="F5261">
        <v>8</v>
      </c>
      <c r="G5261">
        <v>1</v>
      </c>
      <c r="H5261" s="1" t="s">
        <v>14</v>
      </c>
      <c r="I5261" s="1" t="s">
        <v>15</v>
      </c>
      <c r="J5261" s="12">
        <v>45995</v>
      </c>
      <c r="K5261">
        <v>0</v>
      </c>
      <c r="L5261" s="1">
        <f t="shared" si="328"/>
        <v>8</v>
      </c>
      <c r="M5261" s="1" t="str">
        <f t="shared" si="329"/>
        <v/>
      </c>
      <c r="N5261" s="2">
        <f t="shared" si="330"/>
        <v>45992</v>
      </c>
      <c r="O5261" t="str">
        <f t="shared" si="331"/>
        <v>pes</v>
      </c>
    </row>
    <row r="5262" spans="1:15" x14ac:dyDescent="0.25">
      <c r="A5262">
        <v>12747</v>
      </c>
      <c r="B5262" s="11">
        <v>4013456789017</v>
      </c>
      <c r="C5262" s="1" t="s">
        <v>11</v>
      </c>
      <c r="D5262" s="1" t="s">
        <v>12</v>
      </c>
      <c r="E5262" s="1" t="s">
        <v>13</v>
      </c>
      <c r="F5262">
        <v>6</v>
      </c>
      <c r="G5262">
        <v>1</v>
      </c>
      <c r="H5262" s="1" t="s">
        <v>23</v>
      </c>
      <c r="I5262" s="1" t="s">
        <v>1224</v>
      </c>
      <c r="J5262" s="12">
        <v>45995</v>
      </c>
      <c r="K5262">
        <v>0</v>
      </c>
      <c r="L5262" s="1">
        <f t="shared" si="328"/>
        <v>6</v>
      </c>
      <c r="M5262" s="1">
        <f t="shared" si="329"/>
        <v>5</v>
      </c>
      <c r="N5262" s="2">
        <f t="shared" si="330"/>
        <v>45992</v>
      </c>
      <c r="O5262" t="str">
        <f t="shared" si="331"/>
        <v>pes</v>
      </c>
    </row>
    <row r="5263" spans="1:15" hidden="1" x14ac:dyDescent="0.25">
      <c r="A5263">
        <v>12748</v>
      </c>
      <c r="B5263" s="11">
        <v>4009012345672</v>
      </c>
      <c r="C5263" s="1" t="s">
        <v>45</v>
      </c>
      <c r="D5263" s="1" t="s">
        <v>36</v>
      </c>
      <c r="E5263" s="1" t="s">
        <v>32</v>
      </c>
      <c r="F5263">
        <v>11.2</v>
      </c>
      <c r="G5263">
        <v>1</v>
      </c>
      <c r="H5263" s="1" t="s">
        <v>14</v>
      </c>
      <c r="I5263" s="1" t="s">
        <v>15</v>
      </c>
      <c r="J5263" s="12">
        <v>45995</v>
      </c>
      <c r="K5263">
        <v>0</v>
      </c>
      <c r="L5263" s="1">
        <f t="shared" si="328"/>
        <v>11.2</v>
      </c>
      <c r="M5263" s="1" t="str">
        <f t="shared" si="329"/>
        <v/>
      </c>
      <c r="N5263" s="2">
        <f t="shared" si="330"/>
        <v>45992</v>
      </c>
      <c r="O5263" t="str">
        <f t="shared" si="331"/>
        <v>mačka</v>
      </c>
    </row>
    <row r="5264" spans="1:15" hidden="1" x14ac:dyDescent="0.25">
      <c r="A5264">
        <v>12749</v>
      </c>
      <c r="B5264" s="11">
        <v>4029900112244</v>
      </c>
      <c r="C5264" s="1" t="s">
        <v>655</v>
      </c>
      <c r="D5264" s="1" t="s">
        <v>36</v>
      </c>
      <c r="E5264" s="1" t="s">
        <v>37</v>
      </c>
      <c r="F5264">
        <v>13.6</v>
      </c>
      <c r="G5264">
        <v>1</v>
      </c>
      <c r="H5264" s="1" t="s">
        <v>14</v>
      </c>
      <c r="I5264" s="1" t="s">
        <v>15</v>
      </c>
      <c r="J5264" s="12">
        <v>45995</v>
      </c>
      <c r="K5264">
        <v>0</v>
      </c>
      <c r="L5264" s="1">
        <f t="shared" si="328"/>
        <v>13.6</v>
      </c>
      <c r="M5264" s="1" t="str">
        <f t="shared" si="329"/>
        <v/>
      </c>
      <c r="N5264" s="2">
        <f t="shared" si="330"/>
        <v>45992</v>
      </c>
      <c r="O5264" t="str">
        <f t="shared" si="331"/>
        <v>mačka</v>
      </c>
    </row>
    <row r="5265" spans="1:15" hidden="1" x14ac:dyDescent="0.25">
      <c r="A5265">
        <v>12750</v>
      </c>
      <c r="B5265" s="11">
        <v>4010123456783</v>
      </c>
      <c r="C5265" s="1" t="s">
        <v>35</v>
      </c>
      <c r="D5265" s="1" t="s">
        <v>36</v>
      </c>
      <c r="E5265" s="1" t="s">
        <v>37</v>
      </c>
      <c r="F5265">
        <v>14</v>
      </c>
      <c r="G5265">
        <v>1</v>
      </c>
      <c r="H5265" s="1" t="s">
        <v>18</v>
      </c>
      <c r="I5265" s="1" t="s">
        <v>1225</v>
      </c>
      <c r="J5265" s="12">
        <v>45995</v>
      </c>
      <c r="K5265">
        <v>0</v>
      </c>
      <c r="L5265" s="1">
        <f t="shared" si="328"/>
        <v>14</v>
      </c>
      <c r="M5265" s="1">
        <f t="shared" si="329"/>
        <v>4</v>
      </c>
      <c r="N5265" s="2">
        <f t="shared" si="330"/>
        <v>45992</v>
      </c>
      <c r="O5265" t="str">
        <f t="shared" si="331"/>
        <v>mačka</v>
      </c>
    </row>
    <row r="5266" spans="1:15" x14ac:dyDescent="0.25">
      <c r="A5266">
        <v>12751</v>
      </c>
      <c r="B5266" s="11">
        <v>4028899001126</v>
      </c>
      <c r="C5266" s="1" t="s">
        <v>16</v>
      </c>
      <c r="D5266" s="1" t="s">
        <v>12</v>
      </c>
      <c r="E5266" s="1" t="s">
        <v>17</v>
      </c>
      <c r="F5266">
        <v>2.8</v>
      </c>
      <c r="G5266">
        <v>3</v>
      </c>
      <c r="H5266" s="1" t="s">
        <v>14</v>
      </c>
      <c r="I5266" s="1" t="s">
        <v>15</v>
      </c>
      <c r="J5266" s="12">
        <v>45995</v>
      </c>
      <c r="K5266">
        <v>0</v>
      </c>
      <c r="L5266" s="1">
        <f t="shared" si="328"/>
        <v>8.3999999999999986</v>
      </c>
      <c r="M5266" s="1" t="str">
        <f t="shared" si="329"/>
        <v/>
      </c>
      <c r="N5266" s="2">
        <f t="shared" si="330"/>
        <v>45992</v>
      </c>
      <c r="O5266" t="str">
        <f t="shared" si="331"/>
        <v>pes</v>
      </c>
    </row>
    <row r="5267" spans="1:15" hidden="1" x14ac:dyDescent="0.25">
      <c r="A5267">
        <v>12752</v>
      </c>
      <c r="B5267" s="11">
        <v>4056789012345</v>
      </c>
      <c r="C5267" s="1" t="s">
        <v>47</v>
      </c>
      <c r="D5267" s="1" t="s">
        <v>29</v>
      </c>
      <c r="E5267" s="1" t="s">
        <v>37</v>
      </c>
      <c r="F5267">
        <v>2.4</v>
      </c>
      <c r="G5267">
        <v>2</v>
      </c>
      <c r="H5267" s="1" t="s">
        <v>14</v>
      </c>
      <c r="I5267" s="1" t="s">
        <v>15</v>
      </c>
      <c r="J5267" s="12">
        <v>45995</v>
      </c>
      <c r="K5267">
        <v>0</v>
      </c>
      <c r="L5267" s="1">
        <f t="shared" si="328"/>
        <v>4.8</v>
      </c>
      <c r="M5267" s="1" t="str">
        <f t="shared" si="329"/>
        <v/>
      </c>
      <c r="N5267" s="2">
        <f t="shared" si="330"/>
        <v>45992</v>
      </c>
      <c r="O5267" t="str">
        <f t="shared" si="331"/>
        <v>mačka</v>
      </c>
    </row>
    <row r="5268" spans="1:15" x14ac:dyDescent="0.25">
      <c r="A5268">
        <v>12753</v>
      </c>
      <c r="B5268" s="11">
        <v>4003344556679</v>
      </c>
      <c r="C5268" s="1" t="s">
        <v>132</v>
      </c>
      <c r="D5268" s="1" t="s">
        <v>133</v>
      </c>
      <c r="E5268" s="1" t="s">
        <v>134</v>
      </c>
      <c r="F5268">
        <v>51.64</v>
      </c>
      <c r="G5268">
        <v>1</v>
      </c>
      <c r="H5268" s="1" t="s">
        <v>23</v>
      </c>
      <c r="I5268" s="1" t="s">
        <v>1226</v>
      </c>
      <c r="J5268" s="12">
        <v>45995</v>
      </c>
      <c r="K5268">
        <v>0</v>
      </c>
      <c r="L5268" s="1">
        <f t="shared" si="328"/>
        <v>51.64</v>
      </c>
      <c r="M5268" s="1">
        <f t="shared" si="329"/>
        <v>5</v>
      </c>
      <c r="N5268" s="2">
        <f t="shared" si="330"/>
        <v>45992</v>
      </c>
      <c r="O5268" t="str">
        <f t="shared" si="331"/>
        <v>pes</v>
      </c>
    </row>
    <row r="5269" spans="1:15" x14ac:dyDescent="0.25">
      <c r="A5269">
        <v>12754</v>
      </c>
      <c r="B5269" s="11">
        <v>4027788990013</v>
      </c>
      <c r="C5269" s="1" t="s">
        <v>43</v>
      </c>
      <c r="D5269" s="1" t="s">
        <v>21</v>
      </c>
      <c r="E5269" s="1" t="s">
        <v>22</v>
      </c>
      <c r="F5269">
        <v>8</v>
      </c>
      <c r="G5269">
        <v>1</v>
      </c>
      <c r="H5269" s="1" t="s">
        <v>14</v>
      </c>
      <c r="I5269" s="1" t="s">
        <v>15</v>
      </c>
      <c r="J5269" s="12">
        <v>45995</v>
      </c>
      <c r="K5269">
        <v>0</v>
      </c>
      <c r="L5269" s="1">
        <f t="shared" si="328"/>
        <v>8</v>
      </c>
      <c r="M5269" s="1" t="str">
        <f t="shared" si="329"/>
        <v/>
      </c>
      <c r="N5269" s="2">
        <f t="shared" si="330"/>
        <v>45992</v>
      </c>
      <c r="O5269" t="str">
        <f t="shared" si="331"/>
        <v>pes</v>
      </c>
    </row>
    <row r="5270" spans="1:15" x14ac:dyDescent="0.25">
      <c r="A5270">
        <v>12755</v>
      </c>
      <c r="B5270" s="11">
        <v>4040123456795</v>
      </c>
      <c r="C5270" s="1" t="s">
        <v>20</v>
      </c>
      <c r="D5270" s="1" t="s">
        <v>21</v>
      </c>
      <c r="E5270" s="1" t="s">
        <v>22</v>
      </c>
      <c r="F5270">
        <v>8.8000000000000007</v>
      </c>
      <c r="G5270">
        <v>1</v>
      </c>
      <c r="H5270" s="1" t="s">
        <v>23</v>
      </c>
      <c r="I5270" s="1" t="s">
        <v>1227</v>
      </c>
      <c r="J5270" s="12">
        <v>45995</v>
      </c>
      <c r="K5270">
        <v>0</v>
      </c>
      <c r="L5270" s="1">
        <f t="shared" si="328"/>
        <v>8.8000000000000007</v>
      </c>
      <c r="M5270" s="1">
        <f t="shared" si="329"/>
        <v>5</v>
      </c>
      <c r="N5270" s="2">
        <f t="shared" si="330"/>
        <v>45992</v>
      </c>
      <c r="O5270" t="str">
        <f t="shared" si="331"/>
        <v>pes</v>
      </c>
    </row>
    <row r="5271" spans="1:15" hidden="1" x14ac:dyDescent="0.25">
      <c r="A5271">
        <v>12756</v>
      </c>
      <c r="B5271" s="11">
        <v>4051234567806</v>
      </c>
      <c r="C5271" s="1" t="s">
        <v>765</v>
      </c>
      <c r="D5271" s="1" t="s">
        <v>766</v>
      </c>
      <c r="E5271" s="1" t="s">
        <v>54</v>
      </c>
      <c r="F5271">
        <v>5.2</v>
      </c>
      <c r="G5271">
        <v>1</v>
      </c>
      <c r="H5271" s="1" t="s">
        <v>14</v>
      </c>
      <c r="I5271" s="1" t="s">
        <v>15</v>
      </c>
      <c r="J5271" s="12">
        <v>45995</v>
      </c>
      <c r="K5271">
        <v>0</v>
      </c>
      <c r="L5271" s="1">
        <f t="shared" si="328"/>
        <v>5.2</v>
      </c>
      <c r="M5271" s="1" t="str">
        <f t="shared" si="329"/>
        <v/>
      </c>
      <c r="N5271" s="2">
        <f t="shared" si="330"/>
        <v>45992</v>
      </c>
      <c r="O5271" t="str">
        <f t="shared" si="331"/>
        <v>iné</v>
      </c>
    </row>
    <row r="5272" spans="1:15" x14ac:dyDescent="0.25">
      <c r="A5272">
        <v>12757</v>
      </c>
      <c r="B5272" s="11">
        <v>4016677889902</v>
      </c>
      <c r="C5272" s="1" t="s">
        <v>328</v>
      </c>
      <c r="D5272" s="1" t="s">
        <v>26</v>
      </c>
      <c r="E5272" s="1" t="s">
        <v>17</v>
      </c>
      <c r="F5272">
        <v>22</v>
      </c>
      <c r="G5272">
        <v>1</v>
      </c>
      <c r="H5272" s="1" t="s">
        <v>14</v>
      </c>
      <c r="I5272" s="1" t="s">
        <v>15</v>
      </c>
      <c r="J5272" s="12">
        <v>45995</v>
      </c>
      <c r="K5272">
        <v>0</v>
      </c>
      <c r="L5272" s="1">
        <f t="shared" si="328"/>
        <v>22</v>
      </c>
      <c r="M5272" s="1" t="str">
        <f t="shared" si="329"/>
        <v/>
      </c>
      <c r="N5272" s="2">
        <f t="shared" si="330"/>
        <v>45992</v>
      </c>
      <c r="O5272" t="str">
        <f t="shared" si="331"/>
        <v>pes</v>
      </c>
    </row>
    <row r="5273" spans="1:15" hidden="1" x14ac:dyDescent="0.25">
      <c r="A5273">
        <v>12758</v>
      </c>
      <c r="B5273" s="11">
        <v>4042233445567</v>
      </c>
      <c r="C5273" s="1" t="s">
        <v>637</v>
      </c>
      <c r="D5273" s="1" t="s">
        <v>140</v>
      </c>
      <c r="E5273" s="1" t="s">
        <v>141</v>
      </c>
      <c r="F5273">
        <v>51.64</v>
      </c>
      <c r="G5273">
        <v>1</v>
      </c>
      <c r="H5273" s="1" t="s">
        <v>14</v>
      </c>
      <c r="I5273" s="1" t="s">
        <v>15</v>
      </c>
      <c r="J5273" s="12">
        <v>45996</v>
      </c>
      <c r="K5273">
        <v>0</v>
      </c>
      <c r="L5273" s="1">
        <f t="shared" si="328"/>
        <v>51.64</v>
      </c>
      <c r="M5273" s="1" t="str">
        <f t="shared" si="329"/>
        <v/>
      </c>
      <c r="N5273" s="2">
        <f t="shared" si="330"/>
        <v>45992</v>
      </c>
      <c r="O5273" t="str">
        <f t="shared" si="331"/>
        <v>mačka</v>
      </c>
    </row>
    <row r="5274" spans="1:15" hidden="1" x14ac:dyDescent="0.25">
      <c r="A5274">
        <v>12759</v>
      </c>
      <c r="B5274" s="11">
        <v>8593456789012</v>
      </c>
      <c r="C5274" s="1" t="s">
        <v>28</v>
      </c>
      <c r="D5274" s="1" t="s">
        <v>29</v>
      </c>
      <c r="E5274" s="1" t="s">
        <v>30</v>
      </c>
      <c r="F5274">
        <v>42</v>
      </c>
      <c r="G5274">
        <v>1</v>
      </c>
      <c r="H5274" s="1" t="s">
        <v>23</v>
      </c>
      <c r="I5274" s="1" t="s">
        <v>1228</v>
      </c>
      <c r="J5274" s="12">
        <v>45996</v>
      </c>
      <c r="K5274">
        <v>0</v>
      </c>
      <c r="L5274" s="1">
        <f t="shared" si="328"/>
        <v>42</v>
      </c>
      <c r="M5274" s="1">
        <f t="shared" si="329"/>
        <v>5</v>
      </c>
      <c r="N5274" s="2">
        <f t="shared" si="330"/>
        <v>45992</v>
      </c>
      <c r="O5274" t="str">
        <f t="shared" si="331"/>
        <v>mačka</v>
      </c>
    </row>
    <row r="5275" spans="1:15" x14ac:dyDescent="0.25">
      <c r="A5275">
        <v>12760</v>
      </c>
      <c r="B5275" s="11">
        <v>4003344556679</v>
      </c>
      <c r="C5275" s="1" t="s">
        <v>132</v>
      </c>
      <c r="D5275" s="1" t="s">
        <v>133</v>
      </c>
      <c r="E5275" s="1" t="s">
        <v>134</v>
      </c>
      <c r="F5275">
        <v>51.64</v>
      </c>
      <c r="G5275">
        <v>1</v>
      </c>
      <c r="H5275" s="1" t="s">
        <v>14</v>
      </c>
      <c r="I5275" s="1" t="s">
        <v>15</v>
      </c>
      <c r="J5275" s="12">
        <v>45996</v>
      </c>
      <c r="K5275">
        <v>0</v>
      </c>
      <c r="L5275" s="1">
        <f t="shared" si="328"/>
        <v>51.64</v>
      </c>
      <c r="M5275" s="1" t="str">
        <f t="shared" si="329"/>
        <v/>
      </c>
      <c r="N5275" s="2">
        <f t="shared" si="330"/>
        <v>45992</v>
      </c>
      <c r="O5275" t="str">
        <f t="shared" si="331"/>
        <v>pes</v>
      </c>
    </row>
    <row r="5276" spans="1:15" x14ac:dyDescent="0.25">
      <c r="A5276">
        <v>12761</v>
      </c>
      <c r="B5276" s="11">
        <v>4027788990013</v>
      </c>
      <c r="C5276" s="1" t="s">
        <v>43</v>
      </c>
      <c r="D5276" s="1" t="s">
        <v>21</v>
      </c>
      <c r="E5276" s="1" t="s">
        <v>22</v>
      </c>
      <c r="F5276">
        <v>8</v>
      </c>
      <c r="G5276">
        <v>1</v>
      </c>
      <c r="H5276" s="1" t="s">
        <v>14</v>
      </c>
      <c r="I5276" s="1" t="s">
        <v>15</v>
      </c>
      <c r="J5276" s="12">
        <v>45996</v>
      </c>
      <c r="K5276">
        <v>0</v>
      </c>
      <c r="L5276" s="1">
        <f t="shared" si="328"/>
        <v>8</v>
      </c>
      <c r="M5276" s="1" t="str">
        <f t="shared" si="329"/>
        <v/>
      </c>
      <c r="N5276" s="2">
        <f t="shared" si="330"/>
        <v>45992</v>
      </c>
      <c r="O5276" t="str">
        <f t="shared" si="331"/>
        <v>pes</v>
      </c>
    </row>
    <row r="5277" spans="1:15" hidden="1" x14ac:dyDescent="0.25">
      <c r="A5277">
        <v>12762</v>
      </c>
      <c r="B5277" s="11">
        <v>4010123456783</v>
      </c>
      <c r="C5277" s="1" t="s">
        <v>35</v>
      </c>
      <c r="D5277" s="1" t="s">
        <v>36</v>
      </c>
      <c r="E5277" s="1" t="s">
        <v>37</v>
      </c>
      <c r="F5277">
        <v>14</v>
      </c>
      <c r="G5277">
        <v>1</v>
      </c>
      <c r="H5277" s="1" t="s">
        <v>14</v>
      </c>
      <c r="I5277" s="1" t="s">
        <v>15</v>
      </c>
      <c r="J5277" s="12">
        <v>45996</v>
      </c>
      <c r="K5277">
        <v>0</v>
      </c>
      <c r="L5277" s="1">
        <f t="shared" si="328"/>
        <v>14</v>
      </c>
      <c r="M5277" s="1" t="str">
        <f t="shared" si="329"/>
        <v/>
      </c>
      <c r="N5277" s="2">
        <f t="shared" si="330"/>
        <v>45992</v>
      </c>
      <c r="O5277" t="str">
        <f t="shared" si="331"/>
        <v>mačka</v>
      </c>
    </row>
    <row r="5278" spans="1:15" x14ac:dyDescent="0.25">
      <c r="A5278">
        <v>12763</v>
      </c>
      <c r="B5278" s="11">
        <v>4013456789017</v>
      </c>
      <c r="C5278" s="1" t="s">
        <v>11</v>
      </c>
      <c r="D5278" s="1" t="s">
        <v>12</v>
      </c>
      <c r="E5278" s="1" t="s">
        <v>13</v>
      </c>
      <c r="F5278">
        <v>6</v>
      </c>
      <c r="G5278">
        <v>1</v>
      </c>
      <c r="H5278" s="1" t="s">
        <v>18</v>
      </c>
      <c r="I5278" s="1" t="s">
        <v>1229</v>
      </c>
      <c r="J5278" s="12">
        <v>45996</v>
      </c>
      <c r="K5278">
        <v>0</v>
      </c>
      <c r="L5278" s="1">
        <f t="shared" si="328"/>
        <v>6</v>
      </c>
      <c r="M5278" s="1">
        <f t="shared" si="329"/>
        <v>4</v>
      </c>
      <c r="N5278" s="2">
        <f t="shared" si="330"/>
        <v>45992</v>
      </c>
      <c r="O5278" t="str">
        <f t="shared" si="331"/>
        <v>pes</v>
      </c>
    </row>
    <row r="5279" spans="1:15" x14ac:dyDescent="0.25">
      <c r="A5279">
        <v>12764</v>
      </c>
      <c r="B5279" s="11">
        <v>4028899001126</v>
      </c>
      <c r="C5279" s="1" t="s">
        <v>16</v>
      </c>
      <c r="D5279" s="1" t="s">
        <v>12</v>
      </c>
      <c r="E5279" s="1" t="s">
        <v>17</v>
      </c>
      <c r="F5279">
        <v>2.8</v>
      </c>
      <c r="G5279">
        <v>2</v>
      </c>
      <c r="H5279" s="1" t="s">
        <v>14</v>
      </c>
      <c r="I5279" s="1" t="s">
        <v>15</v>
      </c>
      <c r="J5279" s="12">
        <v>45996</v>
      </c>
      <c r="K5279">
        <v>0</v>
      </c>
      <c r="L5279" s="1">
        <f t="shared" si="328"/>
        <v>5.6</v>
      </c>
      <c r="M5279" s="1" t="str">
        <f t="shared" si="329"/>
        <v/>
      </c>
      <c r="N5279" s="2">
        <f t="shared" si="330"/>
        <v>45992</v>
      </c>
      <c r="O5279" t="str">
        <f t="shared" si="331"/>
        <v>pes</v>
      </c>
    </row>
    <row r="5280" spans="1:15" hidden="1" x14ac:dyDescent="0.25">
      <c r="A5280">
        <v>12765</v>
      </c>
      <c r="B5280" s="11">
        <v>4056789012345</v>
      </c>
      <c r="C5280" s="1" t="s">
        <v>47</v>
      </c>
      <c r="D5280" s="1" t="s">
        <v>29</v>
      </c>
      <c r="E5280" s="1" t="s">
        <v>37</v>
      </c>
      <c r="F5280">
        <v>2.4</v>
      </c>
      <c r="G5280">
        <v>2</v>
      </c>
      <c r="H5280" s="1" t="s">
        <v>14</v>
      </c>
      <c r="I5280" s="1" t="s">
        <v>15</v>
      </c>
      <c r="J5280" s="12">
        <v>45996</v>
      </c>
      <c r="K5280">
        <v>0</v>
      </c>
      <c r="L5280" s="1">
        <f t="shared" si="328"/>
        <v>4.8</v>
      </c>
      <c r="M5280" s="1" t="str">
        <f t="shared" si="329"/>
        <v/>
      </c>
      <c r="N5280" s="2">
        <f t="shared" si="330"/>
        <v>45992</v>
      </c>
      <c r="O5280" t="str">
        <f t="shared" si="331"/>
        <v>mačka</v>
      </c>
    </row>
    <row r="5281" spans="1:15" x14ac:dyDescent="0.25">
      <c r="A5281">
        <v>12766</v>
      </c>
      <c r="B5281" s="11">
        <v>4027788990013</v>
      </c>
      <c r="C5281" s="1" t="s">
        <v>43</v>
      </c>
      <c r="D5281" s="1" t="s">
        <v>21</v>
      </c>
      <c r="E5281" s="1" t="s">
        <v>22</v>
      </c>
      <c r="F5281">
        <v>8</v>
      </c>
      <c r="G5281">
        <v>1</v>
      </c>
      <c r="H5281" s="1" t="s">
        <v>14</v>
      </c>
      <c r="I5281" s="1" t="s">
        <v>15</v>
      </c>
      <c r="J5281" s="12">
        <v>45996</v>
      </c>
      <c r="K5281">
        <v>0</v>
      </c>
      <c r="L5281" s="1">
        <f t="shared" si="328"/>
        <v>8</v>
      </c>
      <c r="M5281" s="1" t="str">
        <f t="shared" si="329"/>
        <v/>
      </c>
      <c r="N5281" s="2">
        <f t="shared" si="330"/>
        <v>45992</v>
      </c>
      <c r="O5281" t="str">
        <f t="shared" si="331"/>
        <v>pes</v>
      </c>
    </row>
    <row r="5282" spans="1:15" x14ac:dyDescent="0.25">
      <c r="A5282">
        <v>12767</v>
      </c>
      <c r="B5282" s="11">
        <v>4003344556679</v>
      </c>
      <c r="C5282" s="1" t="s">
        <v>132</v>
      </c>
      <c r="D5282" s="1" t="s">
        <v>133</v>
      </c>
      <c r="E5282" s="1" t="s">
        <v>134</v>
      </c>
      <c r="F5282">
        <v>51.64</v>
      </c>
      <c r="G5282">
        <v>1</v>
      </c>
      <c r="H5282" s="1" t="s">
        <v>14</v>
      </c>
      <c r="I5282" s="1" t="s">
        <v>15</v>
      </c>
      <c r="J5282" s="12">
        <v>45996</v>
      </c>
      <c r="K5282">
        <v>0</v>
      </c>
      <c r="L5282" s="1">
        <f t="shared" si="328"/>
        <v>51.64</v>
      </c>
      <c r="M5282" s="1" t="str">
        <f t="shared" si="329"/>
        <v/>
      </c>
      <c r="N5282" s="2">
        <f t="shared" si="330"/>
        <v>45992</v>
      </c>
      <c r="O5282" t="str">
        <f t="shared" si="331"/>
        <v>pes</v>
      </c>
    </row>
    <row r="5283" spans="1:15" x14ac:dyDescent="0.25">
      <c r="A5283">
        <v>12768</v>
      </c>
      <c r="B5283" s="11">
        <v>4040123456795</v>
      </c>
      <c r="C5283" s="1" t="s">
        <v>20</v>
      </c>
      <c r="D5283" s="1" t="s">
        <v>21</v>
      </c>
      <c r="E5283" s="1" t="s">
        <v>22</v>
      </c>
      <c r="F5283">
        <v>8.8000000000000007</v>
      </c>
      <c r="G5283">
        <v>1</v>
      </c>
      <c r="H5283" s="1" t="s">
        <v>23</v>
      </c>
      <c r="I5283" s="1" t="s">
        <v>1230</v>
      </c>
      <c r="J5283" s="12">
        <v>45996</v>
      </c>
      <c r="K5283">
        <v>0</v>
      </c>
      <c r="L5283" s="1">
        <f t="shared" si="328"/>
        <v>8.8000000000000007</v>
      </c>
      <c r="M5283" s="1">
        <f t="shared" si="329"/>
        <v>5</v>
      </c>
      <c r="N5283" s="2">
        <f t="shared" si="330"/>
        <v>45992</v>
      </c>
      <c r="O5283" t="str">
        <f t="shared" si="331"/>
        <v>pes</v>
      </c>
    </row>
    <row r="5284" spans="1:15" hidden="1" x14ac:dyDescent="0.25">
      <c r="A5284">
        <v>12769</v>
      </c>
      <c r="B5284" s="11">
        <v>4017788990015</v>
      </c>
      <c r="C5284" s="1" t="s">
        <v>651</v>
      </c>
      <c r="D5284" s="1" t="s">
        <v>29</v>
      </c>
      <c r="E5284" s="1" t="s">
        <v>32</v>
      </c>
      <c r="F5284">
        <v>4.8</v>
      </c>
      <c r="G5284">
        <v>2</v>
      </c>
      <c r="H5284" s="1" t="s">
        <v>14</v>
      </c>
      <c r="I5284" s="1" t="s">
        <v>15</v>
      </c>
      <c r="J5284" s="12">
        <v>45996</v>
      </c>
      <c r="K5284">
        <v>0</v>
      </c>
      <c r="L5284" s="1">
        <f t="shared" si="328"/>
        <v>9.6</v>
      </c>
      <c r="M5284" s="1" t="str">
        <f t="shared" si="329"/>
        <v/>
      </c>
      <c r="N5284" s="2">
        <f t="shared" si="330"/>
        <v>45992</v>
      </c>
      <c r="O5284" t="str">
        <f t="shared" si="331"/>
        <v>mačka</v>
      </c>
    </row>
    <row r="5285" spans="1:15" hidden="1" x14ac:dyDescent="0.25">
      <c r="A5285">
        <v>12770</v>
      </c>
      <c r="B5285" s="11">
        <v>4055566778892</v>
      </c>
      <c r="C5285" s="1" t="s">
        <v>652</v>
      </c>
      <c r="D5285" s="1" t="s">
        <v>317</v>
      </c>
      <c r="E5285" s="1" t="s">
        <v>69</v>
      </c>
      <c r="F5285">
        <v>8</v>
      </c>
      <c r="G5285">
        <v>1</v>
      </c>
      <c r="H5285" s="1" t="s">
        <v>14</v>
      </c>
      <c r="I5285" s="1" t="s">
        <v>15</v>
      </c>
      <c r="J5285" s="12">
        <v>45996</v>
      </c>
      <c r="K5285">
        <v>0</v>
      </c>
      <c r="L5285" s="1">
        <f t="shared" si="328"/>
        <v>8</v>
      </c>
      <c r="M5285" s="1" t="str">
        <f t="shared" si="329"/>
        <v/>
      </c>
      <c r="N5285" s="2">
        <f t="shared" si="330"/>
        <v>45992</v>
      </c>
      <c r="O5285" t="str">
        <f t="shared" si="331"/>
        <v>mačka</v>
      </c>
    </row>
    <row r="5286" spans="1:15" x14ac:dyDescent="0.25">
      <c r="A5286">
        <v>12771</v>
      </c>
      <c r="B5286" s="11">
        <v>4022345678908</v>
      </c>
      <c r="C5286" s="1" t="s">
        <v>363</v>
      </c>
      <c r="D5286" s="1" t="s">
        <v>21</v>
      </c>
      <c r="E5286" s="1" t="s">
        <v>69</v>
      </c>
      <c r="F5286">
        <v>10</v>
      </c>
      <c r="G5286">
        <v>1</v>
      </c>
      <c r="H5286" s="1" t="s">
        <v>14</v>
      </c>
      <c r="I5286" s="1" t="s">
        <v>15</v>
      </c>
      <c r="J5286" s="12">
        <v>45996</v>
      </c>
      <c r="K5286">
        <v>0</v>
      </c>
      <c r="L5286" s="1">
        <f t="shared" si="328"/>
        <v>10</v>
      </c>
      <c r="M5286" s="1" t="str">
        <f t="shared" si="329"/>
        <v/>
      </c>
      <c r="N5286" s="2">
        <f t="shared" si="330"/>
        <v>45992</v>
      </c>
      <c r="O5286" t="str">
        <f t="shared" si="331"/>
        <v>pes</v>
      </c>
    </row>
    <row r="5287" spans="1:15" hidden="1" x14ac:dyDescent="0.25">
      <c r="A5287">
        <v>12772</v>
      </c>
      <c r="B5287" s="11">
        <v>4069012345682</v>
      </c>
      <c r="C5287" s="1" t="s">
        <v>143</v>
      </c>
      <c r="D5287" s="1" t="s">
        <v>144</v>
      </c>
      <c r="E5287" s="1" t="s">
        <v>30</v>
      </c>
      <c r="F5287">
        <v>26</v>
      </c>
      <c r="G5287">
        <v>1</v>
      </c>
      <c r="H5287" s="1" t="s">
        <v>23</v>
      </c>
      <c r="I5287" s="1" t="s">
        <v>1231</v>
      </c>
      <c r="J5287" s="12">
        <v>45996</v>
      </c>
      <c r="K5287">
        <v>0</v>
      </c>
      <c r="L5287" s="1">
        <f t="shared" si="328"/>
        <v>26</v>
      </c>
      <c r="M5287" s="1">
        <f t="shared" si="329"/>
        <v>5</v>
      </c>
      <c r="N5287" s="2">
        <f t="shared" si="330"/>
        <v>45992</v>
      </c>
      <c r="O5287" t="str">
        <f t="shared" si="331"/>
        <v>mačka</v>
      </c>
    </row>
    <row r="5288" spans="1:15" x14ac:dyDescent="0.25">
      <c r="A5288">
        <v>12773</v>
      </c>
      <c r="B5288" s="11">
        <v>4024567890128</v>
      </c>
      <c r="C5288" s="1" t="s">
        <v>682</v>
      </c>
      <c r="D5288" s="1" t="s">
        <v>12</v>
      </c>
      <c r="E5288" s="1" t="s">
        <v>134</v>
      </c>
      <c r="F5288">
        <v>40</v>
      </c>
      <c r="G5288">
        <v>1</v>
      </c>
      <c r="H5288" s="1" t="s">
        <v>14</v>
      </c>
      <c r="I5288" s="1" t="s">
        <v>15</v>
      </c>
      <c r="J5288" s="12">
        <v>45996</v>
      </c>
      <c r="K5288">
        <v>0</v>
      </c>
      <c r="L5288" s="1">
        <f t="shared" si="328"/>
        <v>40</v>
      </c>
      <c r="M5288" s="1" t="str">
        <f t="shared" si="329"/>
        <v/>
      </c>
      <c r="N5288" s="2">
        <f t="shared" si="330"/>
        <v>45992</v>
      </c>
      <c r="O5288" t="str">
        <f t="shared" si="331"/>
        <v>pes</v>
      </c>
    </row>
    <row r="5289" spans="1:15" x14ac:dyDescent="0.25">
      <c r="A5289">
        <v>12774</v>
      </c>
      <c r="B5289" s="11">
        <v>4027788990013</v>
      </c>
      <c r="C5289" s="1" t="s">
        <v>43</v>
      </c>
      <c r="D5289" s="1" t="s">
        <v>21</v>
      </c>
      <c r="E5289" s="1" t="s">
        <v>22</v>
      </c>
      <c r="F5289">
        <v>8</v>
      </c>
      <c r="G5289">
        <v>1</v>
      </c>
      <c r="H5289" s="1" t="s">
        <v>14</v>
      </c>
      <c r="I5289" s="1" t="s">
        <v>15</v>
      </c>
      <c r="J5289" s="12">
        <v>45996</v>
      </c>
      <c r="K5289">
        <v>0</v>
      </c>
      <c r="L5289" s="1">
        <f t="shared" si="328"/>
        <v>8</v>
      </c>
      <c r="M5289" s="1" t="str">
        <f t="shared" si="329"/>
        <v/>
      </c>
      <c r="N5289" s="2">
        <f t="shared" si="330"/>
        <v>45992</v>
      </c>
      <c r="O5289" t="str">
        <f t="shared" si="331"/>
        <v>pes</v>
      </c>
    </row>
    <row r="5290" spans="1:15" hidden="1" x14ac:dyDescent="0.25">
      <c r="A5290">
        <v>12775</v>
      </c>
      <c r="B5290" s="11">
        <v>4007788990022</v>
      </c>
      <c r="C5290" s="1" t="s">
        <v>663</v>
      </c>
      <c r="D5290" s="1" t="s">
        <v>140</v>
      </c>
      <c r="E5290" s="1" t="s">
        <v>141</v>
      </c>
      <c r="F5290">
        <v>59.64</v>
      </c>
      <c r="G5290">
        <v>1</v>
      </c>
      <c r="H5290" s="1" t="s">
        <v>23</v>
      </c>
      <c r="I5290" s="1" t="s">
        <v>1232</v>
      </c>
      <c r="J5290" s="12">
        <v>45996</v>
      </c>
      <c r="K5290">
        <v>0</v>
      </c>
      <c r="L5290" s="1">
        <f t="shared" si="328"/>
        <v>59.64</v>
      </c>
      <c r="M5290" s="1">
        <f t="shared" si="329"/>
        <v>5</v>
      </c>
      <c r="N5290" s="2">
        <f t="shared" si="330"/>
        <v>45992</v>
      </c>
      <c r="O5290" t="str">
        <f t="shared" si="331"/>
        <v>mačka</v>
      </c>
    </row>
    <row r="5291" spans="1:15" x14ac:dyDescent="0.25">
      <c r="A5291">
        <v>12776</v>
      </c>
      <c r="B5291" s="11">
        <v>4017890123450</v>
      </c>
      <c r="C5291" s="1" t="s">
        <v>65</v>
      </c>
      <c r="D5291" s="1" t="s">
        <v>39</v>
      </c>
      <c r="E5291" s="1" t="s">
        <v>22</v>
      </c>
      <c r="F5291">
        <v>7.6</v>
      </c>
      <c r="G5291">
        <v>1</v>
      </c>
      <c r="H5291" s="1" t="s">
        <v>14</v>
      </c>
      <c r="I5291" s="1" t="s">
        <v>15</v>
      </c>
      <c r="J5291" s="12">
        <v>45997</v>
      </c>
      <c r="K5291">
        <v>0</v>
      </c>
      <c r="L5291" s="1">
        <f t="shared" si="328"/>
        <v>7.6</v>
      </c>
      <c r="M5291" s="1" t="str">
        <f t="shared" si="329"/>
        <v/>
      </c>
      <c r="N5291" s="2">
        <f t="shared" si="330"/>
        <v>45992</v>
      </c>
      <c r="O5291" t="str">
        <f t="shared" si="331"/>
        <v>pes</v>
      </c>
    </row>
    <row r="5292" spans="1:15" x14ac:dyDescent="0.25">
      <c r="A5292">
        <v>12777</v>
      </c>
      <c r="B5292" s="11">
        <v>4013456789017</v>
      </c>
      <c r="C5292" s="1" t="s">
        <v>11</v>
      </c>
      <c r="D5292" s="1" t="s">
        <v>12</v>
      </c>
      <c r="E5292" s="1" t="s">
        <v>13</v>
      </c>
      <c r="F5292">
        <v>6</v>
      </c>
      <c r="G5292">
        <v>1</v>
      </c>
      <c r="H5292" s="1" t="s">
        <v>14</v>
      </c>
      <c r="I5292" s="1" t="s">
        <v>15</v>
      </c>
      <c r="J5292" s="12">
        <v>45997</v>
      </c>
      <c r="K5292">
        <v>0</v>
      </c>
      <c r="L5292" s="1">
        <f t="shared" si="328"/>
        <v>6</v>
      </c>
      <c r="M5292" s="1" t="str">
        <f t="shared" si="329"/>
        <v/>
      </c>
      <c r="N5292" s="2">
        <f t="shared" si="330"/>
        <v>45992</v>
      </c>
      <c r="O5292" t="str">
        <f t="shared" si="331"/>
        <v>pes</v>
      </c>
    </row>
    <row r="5293" spans="1:15" x14ac:dyDescent="0.25">
      <c r="A5293">
        <v>12778</v>
      </c>
      <c r="B5293" s="11">
        <v>4028899001126</v>
      </c>
      <c r="C5293" s="1" t="s">
        <v>16</v>
      </c>
      <c r="D5293" s="1" t="s">
        <v>12</v>
      </c>
      <c r="E5293" s="1" t="s">
        <v>17</v>
      </c>
      <c r="F5293">
        <v>2.8</v>
      </c>
      <c r="G5293">
        <v>2</v>
      </c>
      <c r="H5293" s="1" t="s">
        <v>14</v>
      </c>
      <c r="I5293" s="1" t="s">
        <v>15</v>
      </c>
      <c r="J5293" s="12">
        <v>45997</v>
      </c>
      <c r="K5293">
        <v>0</v>
      </c>
      <c r="L5293" s="1">
        <f t="shared" si="328"/>
        <v>5.6</v>
      </c>
      <c r="M5293" s="1" t="str">
        <f t="shared" si="329"/>
        <v/>
      </c>
      <c r="N5293" s="2">
        <f t="shared" si="330"/>
        <v>45992</v>
      </c>
      <c r="O5293" t="str">
        <f t="shared" si="331"/>
        <v>pes</v>
      </c>
    </row>
    <row r="5294" spans="1:15" hidden="1" x14ac:dyDescent="0.25">
      <c r="A5294">
        <v>12779</v>
      </c>
      <c r="B5294" s="11">
        <v>4042233445567</v>
      </c>
      <c r="C5294" s="1" t="s">
        <v>637</v>
      </c>
      <c r="D5294" s="1" t="s">
        <v>140</v>
      </c>
      <c r="E5294" s="1" t="s">
        <v>141</v>
      </c>
      <c r="F5294">
        <v>51.64</v>
      </c>
      <c r="G5294">
        <v>1</v>
      </c>
      <c r="H5294" s="1" t="s">
        <v>18</v>
      </c>
      <c r="I5294" s="1" t="s">
        <v>1233</v>
      </c>
      <c r="J5294" s="12">
        <v>45997</v>
      </c>
      <c r="K5294">
        <v>0</v>
      </c>
      <c r="L5294" s="1">
        <f t="shared" si="328"/>
        <v>51.64</v>
      </c>
      <c r="M5294" s="1">
        <f t="shared" si="329"/>
        <v>4</v>
      </c>
      <c r="N5294" s="2">
        <f t="shared" si="330"/>
        <v>45992</v>
      </c>
      <c r="O5294" t="str">
        <f t="shared" si="331"/>
        <v>mačka</v>
      </c>
    </row>
    <row r="5295" spans="1:15" x14ac:dyDescent="0.25">
      <c r="A5295">
        <v>12780</v>
      </c>
      <c r="B5295" s="11">
        <v>4003344556679</v>
      </c>
      <c r="C5295" s="1" t="s">
        <v>132</v>
      </c>
      <c r="D5295" s="1" t="s">
        <v>133</v>
      </c>
      <c r="E5295" s="1" t="s">
        <v>134</v>
      </c>
      <c r="F5295">
        <v>51.64</v>
      </c>
      <c r="G5295">
        <v>1</v>
      </c>
      <c r="H5295" s="1" t="s">
        <v>14</v>
      </c>
      <c r="I5295" s="1" t="s">
        <v>15</v>
      </c>
      <c r="J5295" s="12">
        <v>45997</v>
      </c>
      <c r="K5295">
        <v>0</v>
      </c>
      <c r="L5295" s="1">
        <f t="shared" si="328"/>
        <v>51.64</v>
      </c>
      <c r="M5295" s="1" t="str">
        <f t="shared" si="329"/>
        <v/>
      </c>
      <c r="N5295" s="2">
        <f t="shared" si="330"/>
        <v>45992</v>
      </c>
      <c r="O5295" t="str">
        <f t="shared" si="331"/>
        <v>pes</v>
      </c>
    </row>
    <row r="5296" spans="1:15" hidden="1" x14ac:dyDescent="0.25">
      <c r="A5296">
        <v>12781</v>
      </c>
      <c r="B5296" s="11">
        <v>4056789012345</v>
      </c>
      <c r="C5296" s="1" t="s">
        <v>47</v>
      </c>
      <c r="D5296" s="1" t="s">
        <v>29</v>
      </c>
      <c r="E5296" s="1" t="s">
        <v>37</v>
      </c>
      <c r="F5296">
        <v>2.4</v>
      </c>
      <c r="G5296">
        <v>3</v>
      </c>
      <c r="H5296" s="1" t="s">
        <v>14</v>
      </c>
      <c r="I5296" s="1" t="s">
        <v>15</v>
      </c>
      <c r="J5296" s="12">
        <v>45997</v>
      </c>
      <c r="K5296">
        <v>0</v>
      </c>
      <c r="L5296" s="1">
        <f t="shared" si="328"/>
        <v>7.1999999999999993</v>
      </c>
      <c r="M5296" s="1" t="str">
        <f t="shared" si="329"/>
        <v/>
      </c>
      <c r="N5296" s="2">
        <f t="shared" si="330"/>
        <v>45992</v>
      </c>
      <c r="O5296" t="str">
        <f t="shared" si="331"/>
        <v>mačka</v>
      </c>
    </row>
    <row r="5297" spans="1:15" x14ac:dyDescent="0.25">
      <c r="A5297">
        <v>12782</v>
      </c>
      <c r="B5297" s="11">
        <v>4027788990013</v>
      </c>
      <c r="C5297" s="1" t="s">
        <v>43</v>
      </c>
      <c r="D5297" s="1" t="s">
        <v>21</v>
      </c>
      <c r="E5297" s="1" t="s">
        <v>22</v>
      </c>
      <c r="F5297">
        <v>8</v>
      </c>
      <c r="G5297">
        <v>1</v>
      </c>
      <c r="H5297" s="1" t="s">
        <v>14</v>
      </c>
      <c r="I5297" s="1" t="s">
        <v>15</v>
      </c>
      <c r="J5297" s="12">
        <v>45997</v>
      </c>
      <c r="K5297">
        <v>0</v>
      </c>
      <c r="L5297" s="1">
        <f t="shared" si="328"/>
        <v>8</v>
      </c>
      <c r="M5297" s="1" t="str">
        <f t="shared" si="329"/>
        <v/>
      </c>
      <c r="N5297" s="2">
        <f t="shared" si="330"/>
        <v>45992</v>
      </c>
      <c r="O5297" t="str">
        <f t="shared" si="331"/>
        <v>pes</v>
      </c>
    </row>
    <row r="5298" spans="1:15" x14ac:dyDescent="0.25">
      <c r="A5298">
        <v>12783</v>
      </c>
      <c r="B5298" s="11">
        <v>4040123456795</v>
      </c>
      <c r="C5298" s="1" t="s">
        <v>20</v>
      </c>
      <c r="D5298" s="1" t="s">
        <v>21</v>
      </c>
      <c r="E5298" s="1" t="s">
        <v>22</v>
      </c>
      <c r="F5298">
        <v>8.8000000000000007</v>
      </c>
      <c r="G5298">
        <v>1</v>
      </c>
      <c r="H5298" s="1" t="s">
        <v>23</v>
      </c>
      <c r="I5298" s="1" t="s">
        <v>1234</v>
      </c>
      <c r="J5298" s="12">
        <v>45997</v>
      </c>
      <c r="K5298">
        <v>0</v>
      </c>
      <c r="L5298" s="1">
        <f t="shared" si="328"/>
        <v>8.8000000000000007</v>
      </c>
      <c r="M5298" s="1">
        <f t="shared" si="329"/>
        <v>5</v>
      </c>
      <c r="N5298" s="2">
        <f t="shared" si="330"/>
        <v>45992</v>
      </c>
      <c r="O5298" t="str">
        <f t="shared" si="331"/>
        <v>pes</v>
      </c>
    </row>
    <row r="5299" spans="1:15" hidden="1" x14ac:dyDescent="0.25">
      <c r="A5299">
        <v>12784</v>
      </c>
      <c r="B5299" s="11">
        <v>4023456789012</v>
      </c>
      <c r="C5299" s="1" t="s">
        <v>55</v>
      </c>
      <c r="D5299" s="1" t="s">
        <v>29</v>
      </c>
      <c r="E5299" s="1" t="s">
        <v>32</v>
      </c>
      <c r="F5299">
        <v>4</v>
      </c>
      <c r="G5299">
        <v>2</v>
      </c>
      <c r="H5299" s="1" t="s">
        <v>14</v>
      </c>
      <c r="I5299" s="1" t="s">
        <v>15</v>
      </c>
      <c r="J5299" s="12">
        <v>45997</v>
      </c>
      <c r="K5299">
        <v>0</v>
      </c>
      <c r="L5299" s="1">
        <f t="shared" si="328"/>
        <v>8</v>
      </c>
      <c r="M5299" s="1" t="str">
        <f t="shared" si="329"/>
        <v/>
      </c>
      <c r="N5299" s="2">
        <f t="shared" si="330"/>
        <v>45992</v>
      </c>
      <c r="O5299" t="str">
        <f t="shared" si="331"/>
        <v>mačka</v>
      </c>
    </row>
    <row r="5300" spans="1:15" hidden="1" x14ac:dyDescent="0.25">
      <c r="A5300">
        <v>12785</v>
      </c>
      <c r="B5300" s="11">
        <v>8599012345678</v>
      </c>
      <c r="C5300" s="1" t="s">
        <v>1177</v>
      </c>
      <c r="D5300" s="1" t="s">
        <v>36</v>
      </c>
      <c r="E5300" s="1" t="s">
        <v>30</v>
      </c>
      <c r="F5300">
        <v>7.6</v>
      </c>
      <c r="G5300">
        <v>1</v>
      </c>
      <c r="H5300" s="1" t="s">
        <v>14</v>
      </c>
      <c r="I5300" s="1" t="s">
        <v>15</v>
      </c>
      <c r="J5300" s="12">
        <v>45997</v>
      </c>
      <c r="K5300">
        <v>0</v>
      </c>
      <c r="L5300" s="1">
        <f t="shared" si="328"/>
        <v>7.6</v>
      </c>
      <c r="M5300" s="1" t="str">
        <f t="shared" si="329"/>
        <v/>
      </c>
      <c r="N5300" s="2">
        <f t="shared" si="330"/>
        <v>45992</v>
      </c>
      <c r="O5300" t="str">
        <f t="shared" si="331"/>
        <v>mačka</v>
      </c>
    </row>
    <row r="5301" spans="1:15" x14ac:dyDescent="0.25">
      <c r="A5301">
        <v>12786</v>
      </c>
      <c r="B5301" s="11">
        <v>4013456789017</v>
      </c>
      <c r="C5301" s="1" t="s">
        <v>11</v>
      </c>
      <c r="D5301" s="1" t="s">
        <v>12</v>
      </c>
      <c r="E5301" s="1" t="s">
        <v>13</v>
      </c>
      <c r="F5301">
        <v>6</v>
      </c>
      <c r="G5301">
        <v>2</v>
      </c>
      <c r="H5301" s="1" t="s">
        <v>18</v>
      </c>
      <c r="I5301" s="1" t="s">
        <v>559</v>
      </c>
      <c r="J5301" s="12">
        <v>45997</v>
      </c>
      <c r="K5301">
        <v>0</v>
      </c>
      <c r="L5301" s="1">
        <f t="shared" si="328"/>
        <v>12</v>
      </c>
      <c r="M5301" s="1">
        <f t="shared" si="329"/>
        <v>4</v>
      </c>
      <c r="N5301" s="2">
        <f t="shared" si="330"/>
        <v>45992</v>
      </c>
      <c r="O5301" t="str">
        <f t="shared" si="331"/>
        <v>pes</v>
      </c>
    </row>
    <row r="5302" spans="1:15" x14ac:dyDescent="0.25">
      <c r="A5302">
        <v>12787</v>
      </c>
      <c r="B5302" s="11">
        <v>4028899001126</v>
      </c>
      <c r="C5302" s="1" t="s">
        <v>16</v>
      </c>
      <c r="D5302" s="1" t="s">
        <v>12</v>
      </c>
      <c r="E5302" s="1" t="s">
        <v>17</v>
      </c>
      <c r="F5302">
        <v>2.8</v>
      </c>
      <c r="G5302">
        <v>2</v>
      </c>
      <c r="H5302" s="1" t="s">
        <v>14</v>
      </c>
      <c r="I5302" s="1" t="s">
        <v>15</v>
      </c>
      <c r="J5302" s="12">
        <v>45997</v>
      </c>
      <c r="K5302">
        <v>0</v>
      </c>
      <c r="L5302" s="1">
        <f t="shared" si="328"/>
        <v>5.6</v>
      </c>
      <c r="M5302" s="1" t="str">
        <f t="shared" si="329"/>
        <v/>
      </c>
      <c r="N5302" s="2">
        <f t="shared" si="330"/>
        <v>45992</v>
      </c>
      <c r="O5302" t="str">
        <f t="shared" si="331"/>
        <v>pes</v>
      </c>
    </row>
    <row r="5303" spans="1:15" hidden="1" x14ac:dyDescent="0.25">
      <c r="A5303">
        <v>12788</v>
      </c>
      <c r="B5303" s="11">
        <v>4018901234567</v>
      </c>
      <c r="C5303" s="1" t="s">
        <v>680</v>
      </c>
      <c r="D5303" s="1" t="s">
        <v>144</v>
      </c>
      <c r="E5303" s="1" t="s">
        <v>32</v>
      </c>
      <c r="F5303">
        <v>20</v>
      </c>
      <c r="G5303">
        <v>1</v>
      </c>
      <c r="H5303" s="1" t="s">
        <v>14</v>
      </c>
      <c r="I5303" s="1" t="s">
        <v>15</v>
      </c>
      <c r="J5303" s="12">
        <v>45997</v>
      </c>
      <c r="K5303">
        <v>0</v>
      </c>
      <c r="L5303" s="1">
        <f t="shared" si="328"/>
        <v>20</v>
      </c>
      <c r="M5303" s="1" t="str">
        <f t="shared" si="329"/>
        <v/>
      </c>
      <c r="N5303" s="2">
        <f t="shared" si="330"/>
        <v>45992</v>
      </c>
      <c r="O5303" t="str">
        <f t="shared" si="331"/>
        <v>mačka</v>
      </c>
    </row>
    <row r="5304" spans="1:15" hidden="1" x14ac:dyDescent="0.25">
      <c r="A5304">
        <v>12789</v>
      </c>
      <c r="B5304" s="11">
        <v>4042233445567</v>
      </c>
      <c r="C5304" s="1" t="s">
        <v>637</v>
      </c>
      <c r="D5304" s="1" t="s">
        <v>140</v>
      </c>
      <c r="E5304" s="1" t="s">
        <v>141</v>
      </c>
      <c r="F5304">
        <v>51.64</v>
      </c>
      <c r="G5304">
        <v>1</v>
      </c>
      <c r="H5304" s="1" t="s">
        <v>23</v>
      </c>
      <c r="I5304" s="1" t="s">
        <v>1235</v>
      </c>
      <c r="J5304" s="12">
        <v>45998</v>
      </c>
      <c r="K5304">
        <v>0</v>
      </c>
      <c r="L5304" s="1">
        <f t="shared" si="328"/>
        <v>51.64</v>
      </c>
      <c r="M5304" s="1">
        <f t="shared" si="329"/>
        <v>5</v>
      </c>
      <c r="N5304" s="2">
        <f t="shared" si="330"/>
        <v>45992</v>
      </c>
      <c r="O5304" t="str">
        <f t="shared" si="331"/>
        <v>mačka</v>
      </c>
    </row>
    <row r="5305" spans="1:15" x14ac:dyDescent="0.25">
      <c r="A5305">
        <v>12790</v>
      </c>
      <c r="B5305" s="11">
        <v>4003344556679</v>
      </c>
      <c r="C5305" s="1" t="s">
        <v>132</v>
      </c>
      <c r="D5305" s="1" t="s">
        <v>133</v>
      </c>
      <c r="E5305" s="1" t="s">
        <v>134</v>
      </c>
      <c r="F5305">
        <v>51.64</v>
      </c>
      <c r="G5305">
        <v>1</v>
      </c>
      <c r="H5305" s="1" t="s">
        <v>14</v>
      </c>
      <c r="I5305" s="1" t="s">
        <v>15</v>
      </c>
      <c r="J5305" s="12">
        <v>45998</v>
      </c>
      <c r="K5305">
        <v>0</v>
      </c>
      <c r="L5305" s="1">
        <f t="shared" si="328"/>
        <v>51.64</v>
      </c>
      <c r="M5305" s="1" t="str">
        <f t="shared" si="329"/>
        <v/>
      </c>
      <c r="N5305" s="2">
        <f t="shared" si="330"/>
        <v>45992</v>
      </c>
      <c r="O5305" t="str">
        <f t="shared" si="331"/>
        <v>pes</v>
      </c>
    </row>
    <row r="5306" spans="1:15" hidden="1" x14ac:dyDescent="0.25">
      <c r="A5306">
        <v>12791</v>
      </c>
      <c r="B5306" s="11">
        <v>4069012345682</v>
      </c>
      <c r="C5306" s="1" t="s">
        <v>143</v>
      </c>
      <c r="D5306" s="1" t="s">
        <v>144</v>
      </c>
      <c r="E5306" s="1" t="s">
        <v>30</v>
      </c>
      <c r="F5306">
        <v>26</v>
      </c>
      <c r="G5306">
        <v>1</v>
      </c>
      <c r="H5306" s="1" t="s">
        <v>14</v>
      </c>
      <c r="I5306" s="1" t="s">
        <v>15</v>
      </c>
      <c r="J5306" s="12">
        <v>45998</v>
      </c>
      <c r="K5306">
        <v>0</v>
      </c>
      <c r="L5306" s="1">
        <f t="shared" si="328"/>
        <v>26</v>
      </c>
      <c r="M5306" s="1" t="str">
        <f t="shared" si="329"/>
        <v/>
      </c>
      <c r="N5306" s="2">
        <f t="shared" si="330"/>
        <v>45992</v>
      </c>
      <c r="O5306" t="str">
        <f t="shared" si="331"/>
        <v>mačka</v>
      </c>
    </row>
    <row r="5307" spans="1:15" x14ac:dyDescent="0.25">
      <c r="A5307">
        <v>12792</v>
      </c>
      <c r="B5307" s="11">
        <v>4027788990013</v>
      </c>
      <c r="C5307" s="1" t="s">
        <v>43</v>
      </c>
      <c r="D5307" s="1" t="s">
        <v>21</v>
      </c>
      <c r="E5307" s="1" t="s">
        <v>22</v>
      </c>
      <c r="F5307">
        <v>8</v>
      </c>
      <c r="G5307">
        <v>1</v>
      </c>
      <c r="H5307" s="1" t="s">
        <v>14</v>
      </c>
      <c r="I5307" s="1" t="s">
        <v>15</v>
      </c>
      <c r="J5307" s="12">
        <v>45998</v>
      </c>
      <c r="K5307">
        <v>0</v>
      </c>
      <c r="L5307" s="1">
        <f t="shared" si="328"/>
        <v>8</v>
      </c>
      <c r="M5307" s="1" t="str">
        <f t="shared" si="329"/>
        <v/>
      </c>
      <c r="N5307" s="2">
        <f t="shared" si="330"/>
        <v>45992</v>
      </c>
      <c r="O5307" t="str">
        <f t="shared" si="331"/>
        <v>pes</v>
      </c>
    </row>
    <row r="5308" spans="1:15" x14ac:dyDescent="0.25">
      <c r="A5308">
        <v>12793</v>
      </c>
      <c r="B5308" s="11">
        <v>4040123456795</v>
      </c>
      <c r="C5308" s="1" t="s">
        <v>20</v>
      </c>
      <c r="D5308" s="1" t="s">
        <v>21</v>
      </c>
      <c r="E5308" s="1" t="s">
        <v>22</v>
      </c>
      <c r="F5308">
        <v>8.8000000000000007</v>
      </c>
      <c r="G5308">
        <v>1</v>
      </c>
      <c r="H5308" s="1" t="s">
        <v>23</v>
      </c>
      <c r="I5308" s="1" t="s">
        <v>1236</v>
      </c>
      <c r="J5308" s="12">
        <v>45998</v>
      </c>
      <c r="K5308">
        <v>0</v>
      </c>
      <c r="L5308" s="1">
        <f t="shared" si="328"/>
        <v>8.8000000000000007</v>
      </c>
      <c r="M5308" s="1">
        <f t="shared" si="329"/>
        <v>5</v>
      </c>
      <c r="N5308" s="2">
        <f t="shared" si="330"/>
        <v>45992</v>
      </c>
      <c r="O5308" t="str">
        <f t="shared" si="331"/>
        <v>pes</v>
      </c>
    </row>
    <row r="5309" spans="1:15" hidden="1" x14ac:dyDescent="0.25">
      <c r="A5309">
        <v>12794</v>
      </c>
      <c r="B5309" s="11">
        <v>4056789012345</v>
      </c>
      <c r="C5309" s="1" t="s">
        <v>47</v>
      </c>
      <c r="D5309" s="1" t="s">
        <v>29</v>
      </c>
      <c r="E5309" s="1" t="s">
        <v>37</v>
      </c>
      <c r="F5309">
        <v>2.4</v>
      </c>
      <c r="G5309">
        <v>3</v>
      </c>
      <c r="H5309" s="1" t="s">
        <v>14</v>
      </c>
      <c r="I5309" s="1" t="s">
        <v>15</v>
      </c>
      <c r="J5309" s="12">
        <v>45998</v>
      </c>
      <c r="K5309">
        <v>0</v>
      </c>
      <c r="L5309" s="1">
        <f t="shared" si="328"/>
        <v>7.1999999999999993</v>
      </c>
      <c r="M5309" s="1" t="str">
        <f t="shared" si="329"/>
        <v/>
      </c>
      <c r="N5309" s="2">
        <f t="shared" si="330"/>
        <v>45992</v>
      </c>
      <c r="O5309" t="str">
        <f t="shared" si="331"/>
        <v>mačka</v>
      </c>
    </row>
    <row r="5310" spans="1:15" x14ac:dyDescent="0.25">
      <c r="A5310">
        <v>12795</v>
      </c>
      <c r="B5310" s="11">
        <v>4028899001126</v>
      </c>
      <c r="C5310" s="1" t="s">
        <v>16</v>
      </c>
      <c r="D5310" s="1" t="s">
        <v>12</v>
      </c>
      <c r="E5310" s="1" t="s">
        <v>17</v>
      </c>
      <c r="F5310">
        <v>2.8</v>
      </c>
      <c r="G5310">
        <v>2</v>
      </c>
      <c r="H5310" s="1" t="s">
        <v>14</v>
      </c>
      <c r="I5310" s="1" t="s">
        <v>15</v>
      </c>
      <c r="J5310" s="12">
        <v>45998</v>
      </c>
      <c r="K5310">
        <v>0</v>
      </c>
      <c r="L5310" s="1">
        <f t="shared" si="328"/>
        <v>5.6</v>
      </c>
      <c r="M5310" s="1" t="str">
        <f t="shared" si="329"/>
        <v/>
      </c>
      <c r="N5310" s="2">
        <f t="shared" si="330"/>
        <v>45992</v>
      </c>
      <c r="O5310" t="str">
        <f t="shared" si="331"/>
        <v>pes</v>
      </c>
    </row>
    <row r="5311" spans="1:15" x14ac:dyDescent="0.25">
      <c r="A5311">
        <v>12796</v>
      </c>
      <c r="B5311" s="11">
        <v>4013456789017</v>
      </c>
      <c r="C5311" s="1" t="s">
        <v>11</v>
      </c>
      <c r="D5311" s="1" t="s">
        <v>12</v>
      </c>
      <c r="E5311" s="1" t="s">
        <v>13</v>
      </c>
      <c r="F5311">
        <v>6</v>
      </c>
      <c r="G5311">
        <v>1</v>
      </c>
      <c r="H5311" s="1" t="s">
        <v>14</v>
      </c>
      <c r="I5311" s="1" t="s">
        <v>15</v>
      </c>
      <c r="J5311" s="12">
        <v>45998</v>
      </c>
      <c r="K5311">
        <v>0</v>
      </c>
      <c r="L5311" s="1">
        <f t="shared" si="328"/>
        <v>6</v>
      </c>
      <c r="M5311" s="1" t="str">
        <f t="shared" si="329"/>
        <v/>
      </c>
      <c r="N5311" s="2">
        <f t="shared" si="330"/>
        <v>45992</v>
      </c>
      <c r="O5311" t="str">
        <f t="shared" si="331"/>
        <v>pes</v>
      </c>
    </row>
    <row r="5312" spans="1:15" x14ac:dyDescent="0.25">
      <c r="A5312">
        <v>12797</v>
      </c>
      <c r="B5312" s="11">
        <v>4027788990013</v>
      </c>
      <c r="C5312" s="1" t="s">
        <v>43</v>
      </c>
      <c r="D5312" s="1" t="s">
        <v>21</v>
      </c>
      <c r="E5312" s="1" t="s">
        <v>22</v>
      </c>
      <c r="F5312">
        <v>8</v>
      </c>
      <c r="G5312">
        <v>1</v>
      </c>
      <c r="H5312" s="1" t="s">
        <v>18</v>
      </c>
      <c r="I5312" s="1" t="s">
        <v>1237</v>
      </c>
      <c r="J5312" s="12">
        <v>45998</v>
      </c>
      <c r="K5312">
        <v>0</v>
      </c>
      <c r="L5312" s="1">
        <f t="shared" si="328"/>
        <v>8</v>
      </c>
      <c r="M5312" s="1">
        <f t="shared" si="329"/>
        <v>4</v>
      </c>
      <c r="N5312" s="2">
        <f t="shared" si="330"/>
        <v>45992</v>
      </c>
      <c r="O5312" t="str">
        <f t="shared" si="331"/>
        <v>pes</v>
      </c>
    </row>
    <row r="5313" spans="1:15" hidden="1" x14ac:dyDescent="0.25">
      <c r="A5313">
        <v>12798</v>
      </c>
      <c r="B5313" s="11">
        <v>4042233445567</v>
      </c>
      <c r="C5313" s="1" t="s">
        <v>637</v>
      </c>
      <c r="D5313" s="1" t="s">
        <v>140</v>
      </c>
      <c r="E5313" s="1" t="s">
        <v>141</v>
      </c>
      <c r="F5313">
        <v>51.64</v>
      </c>
      <c r="G5313">
        <v>1</v>
      </c>
      <c r="H5313" s="1" t="s">
        <v>14</v>
      </c>
      <c r="I5313" s="1" t="s">
        <v>15</v>
      </c>
      <c r="J5313" s="12">
        <v>45998</v>
      </c>
      <c r="K5313">
        <v>0</v>
      </c>
      <c r="L5313" s="1">
        <f t="shared" si="328"/>
        <v>51.64</v>
      </c>
      <c r="M5313" s="1" t="str">
        <f t="shared" si="329"/>
        <v/>
      </c>
      <c r="N5313" s="2">
        <f t="shared" si="330"/>
        <v>45992</v>
      </c>
      <c r="O5313" t="str">
        <f t="shared" si="331"/>
        <v>mačka</v>
      </c>
    </row>
    <row r="5314" spans="1:15" hidden="1" x14ac:dyDescent="0.25">
      <c r="A5314">
        <v>12799</v>
      </c>
      <c r="B5314" s="11">
        <v>8593456789012</v>
      </c>
      <c r="C5314" s="1" t="s">
        <v>28</v>
      </c>
      <c r="D5314" s="1" t="s">
        <v>29</v>
      </c>
      <c r="E5314" s="1" t="s">
        <v>30</v>
      </c>
      <c r="F5314">
        <v>42</v>
      </c>
      <c r="G5314">
        <v>1</v>
      </c>
      <c r="H5314" s="1" t="s">
        <v>23</v>
      </c>
      <c r="I5314" s="1" t="s">
        <v>1238</v>
      </c>
      <c r="J5314" s="12">
        <v>45998</v>
      </c>
      <c r="K5314">
        <v>0</v>
      </c>
      <c r="L5314" s="1">
        <f t="shared" ref="L5314:L5377" si="332">F5314*G5314</f>
        <v>42</v>
      </c>
      <c r="M5314" s="1">
        <f t="shared" ref="M5314:M5377" si="333">IF(H5314="NULL", "",VALUE(H5314))</f>
        <v>5</v>
      </c>
      <c r="N5314" s="2">
        <f t="shared" ref="N5314:N5377" si="334">DATE(YEAR(J5314),MONTH(J5314),1)</f>
        <v>45992</v>
      </c>
      <c r="O5314" t="str">
        <f t="shared" ref="O5314:O5377" si="335">IF(ISNUMBER(SEARCH("Mačky",D5314)),"mačka",IF(ISNUMBER(SEARCH("Psy",D5314)),"pes","iné"))</f>
        <v>mačka</v>
      </c>
    </row>
    <row r="5315" spans="1:15" x14ac:dyDescent="0.25">
      <c r="A5315">
        <v>12800</v>
      </c>
      <c r="B5315" s="11">
        <v>4003344556679</v>
      </c>
      <c r="C5315" s="1" t="s">
        <v>132</v>
      </c>
      <c r="D5315" s="1" t="s">
        <v>133</v>
      </c>
      <c r="E5315" s="1" t="s">
        <v>134</v>
      </c>
      <c r="F5315">
        <v>51.64</v>
      </c>
      <c r="G5315">
        <v>1</v>
      </c>
      <c r="H5315" s="1" t="s">
        <v>14</v>
      </c>
      <c r="I5315" s="1" t="s">
        <v>15</v>
      </c>
      <c r="J5315" s="12">
        <v>45998</v>
      </c>
      <c r="K5315">
        <v>0</v>
      </c>
      <c r="L5315" s="1">
        <f t="shared" si="332"/>
        <v>51.64</v>
      </c>
      <c r="M5315" s="1" t="str">
        <f t="shared" si="333"/>
        <v/>
      </c>
      <c r="N5315" s="2">
        <f t="shared" si="334"/>
        <v>45992</v>
      </c>
      <c r="O5315" t="str">
        <f t="shared" si="335"/>
        <v>pes</v>
      </c>
    </row>
    <row r="5316" spans="1:15" hidden="1" x14ac:dyDescent="0.25">
      <c r="A5316">
        <v>12801</v>
      </c>
      <c r="B5316" s="11">
        <v>4044567890123</v>
      </c>
      <c r="C5316" s="1" t="s">
        <v>266</v>
      </c>
      <c r="D5316" s="1" t="s">
        <v>267</v>
      </c>
      <c r="E5316" s="1" t="s">
        <v>37</v>
      </c>
      <c r="F5316">
        <v>6</v>
      </c>
      <c r="G5316">
        <v>1</v>
      </c>
      <c r="H5316" s="1" t="s">
        <v>14</v>
      </c>
      <c r="I5316" s="1" t="s">
        <v>15</v>
      </c>
      <c r="J5316" s="12">
        <v>45998</v>
      </c>
      <c r="K5316">
        <v>0</v>
      </c>
      <c r="L5316" s="1">
        <f t="shared" si="332"/>
        <v>6</v>
      </c>
      <c r="M5316" s="1" t="str">
        <f t="shared" si="333"/>
        <v/>
      </c>
      <c r="N5316" s="2">
        <f t="shared" si="334"/>
        <v>45992</v>
      </c>
      <c r="O5316" t="str">
        <f t="shared" si="335"/>
        <v>mačka</v>
      </c>
    </row>
    <row r="5317" spans="1:15" x14ac:dyDescent="0.25">
      <c r="A5317">
        <v>12802</v>
      </c>
      <c r="B5317" s="11">
        <v>4017890123450</v>
      </c>
      <c r="C5317" s="1" t="s">
        <v>65</v>
      </c>
      <c r="D5317" s="1" t="s">
        <v>39</v>
      </c>
      <c r="E5317" s="1" t="s">
        <v>22</v>
      </c>
      <c r="F5317">
        <v>7.6</v>
      </c>
      <c r="G5317">
        <v>2</v>
      </c>
      <c r="H5317" s="1" t="s">
        <v>14</v>
      </c>
      <c r="I5317" s="1" t="s">
        <v>15</v>
      </c>
      <c r="J5317" s="12">
        <v>45998</v>
      </c>
      <c r="K5317">
        <v>0</v>
      </c>
      <c r="L5317" s="1">
        <f t="shared" si="332"/>
        <v>15.2</v>
      </c>
      <c r="M5317" s="1" t="str">
        <f t="shared" si="333"/>
        <v/>
      </c>
      <c r="N5317" s="2">
        <f t="shared" si="334"/>
        <v>45992</v>
      </c>
      <c r="O5317" t="str">
        <f t="shared" si="335"/>
        <v>pes</v>
      </c>
    </row>
    <row r="5318" spans="1:15" x14ac:dyDescent="0.25">
      <c r="A5318">
        <v>12803</v>
      </c>
      <c r="B5318" s="11">
        <v>4016677889902</v>
      </c>
      <c r="C5318" s="1" t="s">
        <v>328</v>
      </c>
      <c r="D5318" s="1" t="s">
        <v>26</v>
      </c>
      <c r="E5318" s="1" t="s">
        <v>17</v>
      </c>
      <c r="F5318">
        <v>22</v>
      </c>
      <c r="G5318">
        <v>1</v>
      </c>
      <c r="H5318" s="1" t="s">
        <v>18</v>
      </c>
      <c r="I5318" s="1" t="s">
        <v>1239</v>
      </c>
      <c r="J5318" s="12">
        <v>45999</v>
      </c>
      <c r="K5318">
        <v>0</v>
      </c>
      <c r="L5318" s="1">
        <f t="shared" si="332"/>
        <v>22</v>
      </c>
      <c r="M5318" s="1">
        <f t="shared" si="333"/>
        <v>4</v>
      </c>
      <c r="N5318" s="2">
        <f t="shared" si="334"/>
        <v>45992</v>
      </c>
      <c r="O5318" t="str">
        <f t="shared" si="335"/>
        <v>pes</v>
      </c>
    </row>
    <row r="5319" spans="1:15" hidden="1" x14ac:dyDescent="0.25">
      <c r="A5319">
        <v>12804</v>
      </c>
      <c r="B5319" s="11">
        <v>4050123456794</v>
      </c>
      <c r="C5319" s="1" t="s">
        <v>41</v>
      </c>
      <c r="D5319" s="1" t="s">
        <v>36</v>
      </c>
      <c r="E5319" s="1" t="s">
        <v>42</v>
      </c>
      <c r="F5319">
        <v>7.2</v>
      </c>
      <c r="G5319">
        <v>1</v>
      </c>
      <c r="H5319" s="1" t="s">
        <v>14</v>
      </c>
      <c r="I5319" s="1" t="s">
        <v>15</v>
      </c>
      <c r="J5319" s="12">
        <v>45999</v>
      </c>
      <c r="K5319">
        <v>0</v>
      </c>
      <c r="L5319" s="1">
        <f t="shared" si="332"/>
        <v>7.2</v>
      </c>
      <c r="M5319" s="1" t="str">
        <f t="shared" si="333"/>
        <v/>
      </c>
      <c r="N5319" s="2">
        <f t="shared" si="334"/>
        <v>45992</v>
      </c>
      <c r="O5319" t="str">
        <f t="shared" si="335"/>
        <v>mačka</v>
      </c>
    </row>
    <row r="5320" spans="1:15" hidden="1" x14ac:dyDescent="0.25">
      <c r="A5320">
        <v>12805</v>
      </c>
      <c r="B5320" s="11">
        <v>4010123456783</v>
      </c>
      <c r="C5320" s="1" t="s">
        <v>35</v>
      </c>
      <c r="D5320" s="1" t="s">
        <v>36</v>
      </c>
      <c r="E5320" s="1" t="s">
        <v>37</v>
      </c>
      <c r="F5320">
        <v>14</v>
      </c>
      <c r="G5320">
        <v>1</v>
      </c>
      <c r="H5320" s="1" t="s">
        <v>14</v>
      </c>
      <c r="I5320" s="1" t="s">
        <v>15</v>
      </c>
      <c r="J5320" s="12">
        <v>45999</v>
      </c>
      <c r="K5320">
        <v>0</v>
      </c>
      <c r="L5320" s="1">
        <f t="shared" si="332"/>
        <v>14</v>
      </c>
      <c r="M5320" s="1" t="str">
        <f t="shared" si="333"/>
        <v/>
      </c>
      <c r="N5320" s="2">
        <f t="shared" si="334"/>
        <v>45992</v>
      </c>
      <c r="O5320" t="str">
        <f t="shared" si="335"/>
        <v>mačka</v>
      </c>
    </row>
    <row r="5321" spans="1:15" x14ac:dyDescent="0.25">
      <c r="A5321">
        <v>12806</v>
      </c>
      <c r="B5321" s="11">
        <v>4024567890128</v>
      </c>
      <c r="C5321" s="1" t="s">
        <v>682</v>
      </c>
      <c r="D5321" s="1" t="s">
        <v>12</v>
      </c>
      <c r="E5321" s="1" t="s">
        <v>134</v>
      </c>
      <c r="F5321">
        <v>40</v>
      </c>
      <c r="G5321">
        <v>1</v>
      </c>
      <c r="H5321" s="1" t="s">
        <v>14</v>
      </c>
      <c r="I5321" s="1" t="s">
        <v>15</v>
      </c>
      <c r="J5321" s="12">
        <v>45999</v>
      </c>
      <c r="K5321">
        <v>0</v>
      </c>
      <c r="L5321" s="1">
        <f t="shared" si="332"/>
        <v>40</v>
      </c>
      <c r="M5321" s="1" t="str">
        <f t="shared" si="333"/>
        <v/>
      </c>
      <c r="N5321" s="2">
        <f t="shared" si="334"/>
        <v>45992</v>
      </c>
      <c r="O5321" t="str">
        <f t="shared" si="335"/>
        <v>pes</v>
      </c>
    </row>
    <row r="5322" spans="1:15" x14ac:dyDescent="0.25">
      <c r="A5322">
        <v>12807</v>
      </c>
      <c r="B5322" s="11">
        <v>4027788990013</v>
      </c>
      <c r="C5322" s="1" t="s">
        <v>43</v>
      </c>
      <c r="D5322" s="1" t="s">
        <v>21</v>
      </c>
      <c r="E5322" s="1" t="s">
        <v>22</v>
      </c>
      <c r="F5322">
        <v>8</v>
      </c>
      <c r="G5322">
        <v>1</v>
      </c>
      <c r="H5322" s="1" t="s">
        <v>14</v>
      </c>
      <c r="I5322" s="1" t="s">
        <v>15</v>
      </c>
      <c r="J5322" s="12">
        <v>45999</v>
      </c>
      <c r="K5322">
        <v>0</v>
      </c>
      <c r="L5322" s="1">
        <f t="shared" si="332"/>
        <v>8</v>
      </c>
      <c r="M5322" s="1" t="str">
        <f t="shared" si="333"/>
        <v/>
      </c>
      <c r="N5322" s="2">
        <f t="shared" si="334"/>
        <v>45992</v>
      </c>
      <c r="O5322" t="str">
        <f t="shared" si="335"/>
        <v>pes</v>
      </c>
    </row>
    <row r="5323" spans="1:15" x14ac:dyDescent="0.25">
      <c r="A5323">
        <v>12808</v>
      </c>
      <c r="B5323" s="11">
        <v>4028899001126</v>
      </c>
      <c r="C5323" s="1" t="s">
        <v>16</v>
      </c>
      <c r="D5323" s="1" t="s">
        <v>12</v>
      </c>
      <c r="E5323" s="1" t="s">
        <v>17</v>
      </c>
      <c r="F5323">
        <v>2.8</v>
      </c>
      <c r="G5323">
        <v>2</v>
      </c>
      <c r="H5323" s="1" t="s">
        <v>14</v>
      </c>
      <c r="I5323" s="1" t="s">
        <v>15</v>
      </c>
      <c r="J5323" s="12">
        <v>45999</v>
      </c>
      <c r="K5323">
        <v>0</v>
      </c>
      <c r="L5323" s="1">
        <f t="shared" si="332"/>
        <v>5.6</v>
      </c>
      <c r="M5323" s="1" t="str">
        <f t="shared" si="333"/>
        <v/>
      </c>
      <c r="N5323" s="2">
        <f t="shared" si="334"/>
        <v>45992</v>
      </c>
      <c r="O5323" t="str">
        <f t="shared" si="335"/>
        <v>pes</v>
      </c>
    </row>
    <row r="5324" spans="1:15" hidden="1" x14ac:dyDescent="0.25">
      <c r="A5324">
        <v>12809</v>
      </c>
      <c r="B5324" s="11">
        <v>4056789012345</v>
      </c>
      <c r="C5324" s="1" t="s">
        <v>47</v>
      </c>
      <c r="D5324" s="1" t="s">
        <v>29</v>
      </c>
      <c r="E5324" s="1" t="s">
        <v>37</v>
      </c>
      <c r="F5324">
        <v>2.4</v>
      </c>
      <c r="G5324">
        <v>2</v>
      </c>
      <c r="H5324" s="1" t="s">
        <v>14</v>
      </c>
      <c r="I5324" s="1" t="s">
        <v>15</v>
      </c>
      <c r="J5324" s="12">
        <v>45999</v>
      </c>
      <c r="K5324">
        <v>0</v>
      </c>
      <c r="L5324" s="1">
        <f t="shared" si="332"/>
        <v>4.8</v>
      </c>
      <c r="M5324" s="1" t="str">
        <f t="shared" si="333"/>
        <v/>
      </c>
      <c r="N5324" s="2">
        <f t="shared" si="334"/>
        <v>45992</v>
      </c>
      <c r="O5324" t="str">
        <f t="shared" si="335"/>
        <v>mačka</v>
      </c>
    </row>
    <row r="5325" spans="1:15" hidden="1" x14ac:dyDescent="0.25">
      <c r="A5325">
        <v>12810</v>
      </c>
      <c r="B5325" s="11">
        <v>4042233445567</v>
      </c>
      <c r="C5325" s="1" t="s">
        <v>637</v>
      </c>
      <c r="D5325" s="1" t="s">
        <v>140</v>
      </c>
      <c r="E5325" s="1" t="s">
        <v>141</v>
      </c>
      <c r="F5325">
        <v>51.64</v>
      </c>
      <c r="G5325">
        <v>1</v>
      </c>
      <c r="H5325" s="1" t="s">
        <v>14</v>
      </c>
      <c r="I5325" s="1" t="s">
        <v>15</v>
      </c>
      <c r="J5325" s="12">
        <v>45999</v>
      </c>
      <c r="K5325">
        <v>0</v>
      </c>
      <c r="L5325" s="1">
        <f t="shared" si="332"/>
        <v>51.64</v>
      </c>
      <c r="M5325" s="1" t="str">
        <f t="shared" si="333"/>
        <v/>
      </c>
      <c r="N5325" s="2">
        <f t="shared" si="334"/>
        <v>45992</v>
      </c>
      <c r="O5325" t="str">
        <f t="shared" si="335"/>
        <v>mačka</v>
      </c>
    </row>
    <row r="5326" spans="1:15" x14ac:dyDescent="0.25">
      <c r="A5326">
        <v>12811</v>
      </c>
      <c r="B5326" s="11">
        <v>4003344556679</v>
      </c>
      <c r="C5326" s="1" t="s">
        <v>132</v>
      </c>
      <c r="D5326" s="1" t="s">
        <v>133</v>
      </c>
      <c r="E5326" s="1" t="s">
        <v>134</v>
      </c>
      <c r="F5326">
        <v>51.64</v>
      </c>
      <c r="G5326">
        <v>1</v>
      </c>
      <c r="H5326" s="1" t="s">
        <v>23</v>
      </c>
      <c r="I5326" s="1" t="s">
        <v>1240</v>
      </c>
      <c r="J5326" s="12">
        <v>45999</v>
      </c>
      <c r="K5326">
        <v>0</v>
      </c>
      <c r="L5326" s="1">
        <f t="shared" si="332"/>
        <v>51.64</v>
      </c>
      <c r="M5326" s="1">
        <f t="shared" si="333"/>
        <v>5</v>
      </c>
      <c r="N5326" s="2">
        <f t="shared" si="334"/>
        <v>45992</v>
      </c>
      <c r="O5326" t="str">
        <f t="shared" si="335"/>
        <v>pes</v>
      </c>
    </row>
    <row r="5327" spans="1:15" hidden="1" x14ac:dyDescent="0.25">
      <c r="A5327">
        <v>12812</v>
      </c>
      <c r="B5327" s="11">
        <v>4067890123456</v>
      </c>
      <c r="C5327" s="1" t="s">
        <v>68</v>
      </c>
      <c r="D5327" s="1" t="s">
        <v>29</v>
      </c>
      <c r="E5327" s="1" t="s">
        <v>69</v>
      </c>
      <c r="F5327">
        <v>36</v>
      </c>
      <c r="G5327">
        <v>1</v>
      </c>
      <c r="H5327" s="1" t="s">
        <v>14</v>
      </c>
      <c r="I5327" s="1" t="s">
        <v>15</v>
      </c>
      <c r="J5327" s="12">
        <v>45999</v>
      </c>
      <c r="K5327">
        <v>0</v>
      </c>
      <c r="L5327" s="1">
        <f t="shared" si="332"/>
        <v>36</v>
      </c>
      <c r="M5327" s="1" t="str">
        <f t="shared" si="333"/>
        <v/>
      </c>
      <c r="N5327" s="2">
        <f t="shared" si="334"/>
        <v>45992</v>
      </c>
      <c r="O5327" t="str">
        <f t="shared" si="335"/>
        <v>mačka</v>
      </c>
    </row>
    <row r="5328" spans="1:15" x14ac:dyDescent="0.25">
      <c r="A5328">
        <v>12813</v>
      </c>
      <c r="B5328" s="11">
        <v>4017890123450</v>
      </c>
      <c r="C5328" s="1" t="s">
        <v>65</v>
      </c>
      <c r="D5328" s="1" t="s">
        <v>39</v>
      </c>
      <c r="E5328" s="1" t="s">
        <v>22</v>
      </c>
      <c r="F5328">
        <v>7.6</v>
      </c>
      <c r="G5328">
        <v>1</v>
      </c>
      <c r="H5328" s="1" t="s">
        <v>14</v>
      </c>
      <c r="I5328" s="1" t="s">
        <v>15</v>
      </c>
      <c r="J5328" s="12">
        <v>45999</v>
      </c>
      <c r="K5328">
        <v>0</v>
      </c>
      <c r="L5328" s="1">
        <f t="shared" si="332"/>
        <v>7.6</v>
      </c>
      <c r="M5328" s="1" t="str">
        <f t="shared" si="333"/>
        <v/>
      </c>
      <c r="N5328" s="2">
        <f t="shared" si="334"/>
        <v>45992</v>
      </c>
      <c r="O5328" t="str">
        <f t="shared" si="335"/>
        <v>pes</v>
      </c>
    </row>
    <row r="5329" spans="1:15" hidden="1" x14ac:dyDescent="0.25">
      <c r="A5329">
        <v>12814</v>
      </c>
      <c r="B5329" s="11">
        <v>4056789012345</v>
      </c>
      <c r="C5329" s="1" t="s">
        <v>47</v>
      </c>
      <c r="D5329" s="1" t="s">
        <v>29</v>
      </c>
      <c r="E5329" s="1" t="s">
        <v>37</v>
      </c>
      <c r="F5329">
        <v>2.4</v>
      </c>
      <c r="G5329">
        <v>3</v>
      </c>
      <c r="H5329" s="1" t="s">
        <v>14</v>
      </c>
      <c r="I5329" s="1" t="s">
        <v>15</v>
      </c>
      <c r="J5329" s="12">
        <v>45999</v>
      </c>
      <c r="K5329">
        <v>0</v>
      </c>
      <c r="L5329" s="1">
        <f t="shared" si="332"/>
        <v>7.1999999999999993</v>
      </c>
      <c r="M5329" s="1" t="str">
        <f t="shared" si="333"/>
        <v/>
      </c>
      <c r="N5329" s="2">
        <f t="shared" si="334"/>
        <v>45992</v>
      </c>
      <c r="O5329" t="str">
        <f t="shared" si="335"/>
        <v>mačka</v>
      </c>
    </row>
    <row r="5330" spans="1:15" x14ac:dyDescent="0.25">
      <c r="A5330">
        <v>12815</v>
      </c>
      <c r="B5330" s="11">
        <v>4027788990013</v>
      </c>
      <c r="C5330" s="1" t="s">
        <v>43</v>
      </c>
      <c r="D5330" s="1" t="s">
        <v>21</v>
      </c>
      <c r="E5330" s="1" t="s">
        <v>22</v>
      </c>
      <c r="F5330">
        <v>8</v>
      </c>
      <c r="G5330">
        <v>1</v>
      </c>
      <c r="H5330" s="1" t="s">
        <v>18</v>
      </c>
      <c r="I5330" s="1" t="s">
        <v>1241</v>
      </c>
      <c r="J5330" s="12">
        <v>45999</v>
      </c>
      <c r="K5330">
        <v>0</v>
      </c>
      <c r="L5330" s="1">
        <f t="shared" si="332"/>
        <v>8</v>
      </c>
      <c r="M5330" s="1">
        <f t="shared" si="333"/>
        <v>4</v>
      </c>
      <c r="N5330" s="2">
        <f t="shared" si="334"/>
        <v>45992</v>
      </c>
      <c r="O5330" t="str">
        <f t="shared" si="335"/>
        <v>pes</v>
      </c>
    </row>
    <row r="5331" spans="1:15" x14ac:dyDescent="0.25">
      <c r="A5331">
        <v>12816</v>
      </c>
      <c r="B5331" s="11">
        <v>4040123456795</v>
      </c>
      <c r="C5331" s="1" t="s">
        <v>20</v>
      </c>
      <c r="D5331" s="1" t="s">
        <v>21</v>
      </c>
      <c r="E5331" s="1" t="s">
        <v>22</v>
      </c>
      <c r="F5331">
        <v>8.8000000000000007</v>
      </c>
      <c r="G5331">
        <v>1</v>
      </c>
      <c r="H5331" s="1" t="s">
        <v>14</v>
      </c>
      <c r="I5331" s="1" t="s">
        <v>15</v>
      </c>
      <c r="J5331" s="12">
        <v>45999</v>
      </c>
      <c r="K5331">
        <v>0</v>
      </c>
      <c r="L5331" s="1">
        <f t="shared" si="332"/>
        <v>8.8000000000000007</v>
      </c>
      <c r="M5331" s="1" t="str">
        <f t="shared" si="333"/>
        <v/>
      </c>
      <c r="N5331" s="2">
        <f t="shared" si="334"/>
        <v>45992</v>
      </c>
      <c r="O5331" t="str">
        <f t="shared" si="335"/>
        <v>pes</v>
      </c>
    </row>
    <row r="5332" spans="1:15" hidden="1" x14ac:dyDescent="0.25">
      <c r="A5332">
        <v>12817</v>
      </c>
      <c r="B5332" s="11">
        <v>8599012345678</v>
      </c>
      <c r="C5332" s="1" t="s">
        <v>1177</v>
      </c>
      <c r="D5332" s="1" t="s">
        <v>36</v>
      </c>
      <c r="E5332" s="1" t="s">
        <v>30</v>
      </c>
      <c r="F5332">
        <v>7.6</v>
      </c>
      <c r="G5332">
        <v>1</v>
      </c>
      <c r="H5332" s="1" t="s">
        <v>14</v>
      </c>
      <c r="I5332" s="1" t="s">
        <v>15</v>
      </c>
      <c r="J5332" s="12">
        <v>45999</v>
      </c>
      <c r="K5332">
        <v>0</v>
      </c>
      <c r="L5332" s="1">
        <f t="shared" si="332"/>
        <v>7.6</v>
      </c>
      <c r="M5332" s="1" t="str">
        <f t="shared" si="333"/>
        <v/>
      </c>
      <c r="N5332" s="2">
        <f t="shared" si="334"/>
        <v>45992</v>
      </c>
      <c r="O5332" t="str">
        <f t="shared" si="335"/>
        <v>mačka</v>
      </c>
    </row>
    <row r="5333" spans="1:15" hidden="1" x14ac:dyDescent="0.25">
      <c r="A5333">
        <v>12818</v>
      </c>
      <c r="B5333" s="11">
        <v>4069012345682</v>
      </c>
      <c r="C5333" s="1" t="s">
        <v>143</v>
      </c>
      <c r="D5333" s="1" t="s">
        <v>144</v>
      </c>
      <c r="E5333" s="1" t="s">
        <v>30</v>
      </c>
      <c r="F5333">
        <v>26</v>
      </c>
      <c r="G5333">
        <v>1</v>
      </c>
      <c r="H5333" s="1" t="s">
        <v>23</v>
      </c>
      <c r="I5333" s="1" t="s">
        <v>1242</v>
      </c>
      <c r="J5333" s="12">
        <v>45999</v>
      </c>
      <c r="K5333">
        <v>0</v>
      </c>
      <c r="L5333" s="1">
        <f t="shared" si="332"/>
        <v>26</v>
      </c>
      <c r="M5333" s="1">
        <f t="shared" si="333"/>
        <v>5</v>
      </c>
      <c r="N5333" s="2">
        <f t="shared" si="334"/>
        <v>45992</v>
      </c>
      <c r="O5333" t="str">
        <f t="shared" si="335"/>
        <v>mačka</v>
      </c>
    </row>
    <row r="5334" spans="1:15" x14ac:dyDescent="0.25">
      <c r="A5334">
        <v>12819</v>
      </c>
      <c r="B5334" s="11">
        <v>4003344556679</v>
      </c>
      <c r="C5334" s="1" t="s">
        <v>132</v>
      </c>
      <c r="D5334" s="1" t="s">
        <v>133</v>
      </c>
      <c r="E5334" s="1" t="s">
        <v>134</v>
      </c>
      <c r="F5334">
        <v>51.64</v>
      </c>
      <c r="G5334">
        <v>1</v>
      </c>
      <c r="H5334" s="1" t="s">
        <v>14</v>
      </c>
      <c r="I5334" s="1" t="s">
        <v>15</v>
      </c>
      <c r="J5334" s="12">
        <v>45999</v>
      </c>
      <c r="K5334">
        <v>0</v>
      </c>
      <c r="L5334" s="1">
        <f t="shared" si="332"/>
        <v>51.64</v>
      </c>
      <c r="M5334" s="1" t="str">
        <f t="shared" si="333"/>
        <v/>
      </c>
      <c r="N5334" s="2">
        <f t="shared" si="334"/>
        <v>45992</v>
      </c>
      <c r="O5334" t="str">
        <f t="shared" si="335"/>
        <v>pes</v>
      </c>
    </row>
    <row r="5335" spans="1:15" x14ac:dyDescent="0.25">
      <c r="A5335">
        <v>12820</v>
      </c>
      <c r="B5335" s="11">
        <v>4028899001126</v>
      </c>
      <c r="C5335" s="1" t="s">
        <v>16</v>
      </c>
      <c r="D5335" s="1" t="s">
        <v>12</v>
      </c>
      <c r="E5335" s="1" t="s">
        <v>17</v>
      </c>
      <c r="F5335">
        <v>2.8</v>
      </c>
      <c r="G5335">
        <v>3</v>
      </c>
      <c r="H5335" s="1" t="s">
        <v>14</v>
      </c>
      <c r="I5335" s="1" t="s">
        <v>15</v>
      </c>
      <c r="J5335" s="12">
        <v>45999</v>
      </c>
      <c r="K5335">
        <v>0</v>
      </c>
      <c r="L5335" s="1">
        <f t="shared" si="332"/>
        <v>8.3999999999999986</v>
      </c>
      <c r="M5335" s="1" t="str">
        <f t="shared" si="333"/>
        <v/>
      </c>
      <c r="N5335" s="2">
        <f t="shared" si="334"/>
        <v>45992</v>
      </c>
      <c r="O5335" t="str">
        <f t="shared" si="335"/>
        <v>pes</v>
      </c>
    </row>
    <row r="5336" spans="1:15" x14ac:dyDescent="0.25">
      <c r="A5336">
        <v>12821</v>
      </c>
      <c r="B5336" s="11">
        <v>4013456789017</v>
      </c>
      <c r="C5336" s="1" t="s">
        <v>11</v>
      </c>
      <c r="D5336" s="1" t="s">
        <v>12</v>
      </c>
      <c r="E5336" s="1" t="s">
        <v>13</v>
      </c>
      <c r="F5336">
        <v>6</v>
      </c>
      <c r="G5336">
        <v>1</v>
      </c>
      <c r="H5336" s="1" t="s">
        <v>18</v>
      </c>
      <c r="I5336" s="1" t="s">
        <v>1243</v>
      </c>
      <c r="J5336" s="12">
        <v>45999</v>
      </c>
      <c r="K5336">
        <v>0</v>
      </c>
      <c r="L5336" s="1">
        <f t="shared" si="332"/>
        <v>6</v>
      </c>
      <c r="M5336" s="1">
        <f t="shared" si="333"/>
        <v>4</v>
      </c>
      <c r="N5336" s="2">
        <f t="shared" si="334"/>
        <v>45992</v>
      </c>
      <c r="O5336" t="str">
        <f t="shared" si="335"/>
        <v>pes</v>
      </c>
    </row>
    <row r="5337" spans="1:15" x14ac:dyDescent="0.25">
      <c r="A5337">
        <v>12822</v>
      </c>
      <c r="B5337" s="11">
        <v>4027788990013</v>
      </c>
      <c r="C5337" s="1" t="s">
        <v>43</v>
      </c>
      <c r="D5337" s="1" t="s">
        <v>21</v>
      </c>
      <c r="E5337" s="1" t="s">
        <v>22</v>
      </c>
      <c r="F5337">
        <v>8</v>
      </c>
      <c r="G5337">
        <v>1</v>
      </c>
      <c r="H5337" s="1" t="s">
        <v>14</v>
      </c>
      <c r="I5337" s="1" t="s">
        <v>15</v>
      </c>
      <c r="J5337" s="12">
        <v>45999</v>
      </c>
      <c r="K5337">
        <v>0</v>
      </c>
      <c r="L5337" s="1">
        <f t="shared" si="332"/>
        <v>8</v>
      </c>
      <c r="M5337" s="1" t="str">
        <f t="shared" si="333"/>
        <v/>
      </c>
      <c r="N5337" s="2">
        <f t="shared" si="334"/>
        <v>45992</v>
      </c>
      <c r="O5337" t="str">
        <f t="shared" si="335"/>
        <v>pes</v>
      </c>
    </row>
    <row r="5338" spans="1:15" hidden="1" x14ac:dyDescent="0.25">
      <c r="A5338">
        <v>12823</v>
      </c>
      <c r="B5338" s="11">
        <v>4056789012345</v>
      </c>
      <c r="C5338" s="1" t="s">
        <v>47</v>
      </c>
      <c r="D5338" s="1" t="s">
        <v>29</v>
      </c>
      <c r="E5338" s="1" t="s">
        <v>37</v>
      </c>
      <c r="F5338">
        <v>2.4</v>
      </c>
      <c r="G5338">
        <v>2</v>
      </c>
      <c r="H5338" s="1" t="s">
        <v>14</v>
      </c>
      <c r="I5338" s="1" t="s">
        <v>15</v>
      </c>
      <c r="J5338" s="12">
        <v>45999</v>
      </c>
      <c r="K5338">
        <v>0</v>
      </c>
      <c r="L5338" s="1">
        <f t="shared" si="332"/>
        <v>4.8</v>
      </c>
      <c r="M5338" s="1" t="str">
        <f t="shared" si="333"/>
        <v/>
      </c>
      <c r="N5338" s="2">
        <f t="shared" si="334"/>
        <v>45992</v>
      </c>
      <c r="O5338" t="str">
        <f t="shared" si="335"/>
        <v>mačka</v>
      </c>
    </row>
    <row r="5339" spans="1:15" hidden="1" x14ac:dyDescent="0.25">
      <c r="A5339">
        <v>12824</v>
      </c>
      <c r="B5339" s="11">
        <v>4023456789012</v>
      </c>
      <c r="C5339" s="1" t="s">
        <v>55</v>
      </c>
      <c r="D5339" s="1" t="s">
        <v>29</v>
      </c>
      <c r="E5339" s="1" t="s">
        <v>32</v>
      </c>
      <c r="F5339">
        <v>4</v>
      </c>
      <c r="G5339">
        <v>1</v>
      </c>
      <c r="H5339" s="1" t="s">
        <v>14</v>
      </c>
      <c r="I5339" s="1" t="s">
        <v>15</v>
      </c>
      <c r="J5339" s="12">
        <v>45999</v>
      </c>
      <c r="K5339">
        <v>0</v>
      </c>
      <c r="L5339" s="1">
        <f t="shared" si="332"/>
        <v>4</v>
      </c>
      <c r="M5339" s="1" t="str">
        <f t="shared" si="333"/>
        <v/>
      </c>
      <c r="N5339" s="2">
        <f t="shared" si="334"/>
        <v>45992</v>
      </c>
      <c r="O5339" t="str">
        <f t="shared" si="335"/>
        <v>mačka</v>
      </c>
    </row>
    <row r="5340" spans="1:15" hidden="1" x14ac:dyDescent="0.25">
      <c r="A5340">
        <v>12825</v>
      </c>
      <c r="B5340" s="11">
        <v>4009012345672</v>
      </c>
      <c r="C5340" s="1" t="s">
        <v>45</v>
      </c>
      <c r="D5340" s="1" t="s">
        <v>36</v>
      </c>
      <c r="E5340" s="1" t="s">
        <v>32</v>
      </c>
      <c r="F5340">
        <v>11.2</v>
      </c>
      <c r="G5340">
        <v>1</v>
      </c>
      <c r="H5340" s="1" t="s">
        <v>14</v>
      </c>
      <c r="I5340" s="1" t="s">
        <v>15</v>
      </c>
      <c r="J5340" s="12">
        <v>46000</v>
      </c>
      <c r="K5340">
        <v>0</v>
      </c>
      <c r="L5340" s="1">
        <f t="shared" si="332"/>
        <v>11.2</v>
      </c>
      <c r="M5340" s="1" t="str">
        <f t="shared" si="333"/>
        <v/>
      </c>
      <c r="N5340" s="2">
        <f t="shared" si="334"/>
        <v>45992</v>
      </c>
      <c r="O5340" t="str">
        <f t="shared" si="335"/>
        <v>mačka</v>
      </c>
    </row>
    <row r="5341" spans="1:15" x14ac:dyDescent="0.25">
      <c r="A5341">
        <v>12826</v>
      </c>
      <c r="B5341" s="11">
        <v>4028899001126</v>
      </c>
      <c r="C5341" s="1" t="s">
        <v>16</v>
      </c>
      <c r="D5341" s="1" t="s">
        <v>12</v>
      </c>
      <c r="E5341" s="1" t="s">
        <v>17</v>
      </c>
      <c r="F5341">
        <v>2.8</v>
      </c>
      <c r="G5341">
        <v>2</v>
      </c>
      <c r="H5341" s="1" t="s">
        <v>14</v>
      </c>
      <c r="I5341" s="1" t="s">
        <v>15</v>
      </c>
      <c r="J5341" s="12">
        <v>46000</v>
      </c>
      <c r="K5341">
        <v>0</v>
      </c>
      <c r="L5341" s="1">
        <f t="shared" si="332"/>
        <v>5.6</v>
      </c>
      <c r="M5341" s="1" t="str">
        <f t="shared" si="333"/>
        <v/>
      </c>
      <c r="N5341" s="2">
        <f t="shared" si="334"/>
        <v>45992</v>
      </c>
      <c r="O5341" t="str">
        <f t="shared" si="335"/>
        <v>pes</v>
      </c>
    </row>
    <row r="5342" spans="1:15" hidden="1" x14ac:dyDescent="0.25">
      <c r="A5342">
        <v>12827</v>
      </c>
      <c r="B5342" s="11">
        <v>4042233445567</v>
      </c>
      <c r="C5342" s="1" t="s">
        <v>637</v>
      </c>
      <c r="D5342" s="1" t="s">
        <v>140</v>
      </c>
      <c r="E5342" s="1" t="s">
        <v>141</v>
      </c>
      <c r="F5342">
        <v>51.64</v>
      </c>
      <c r="G5342">
        <v>1</v>
      </c>
      <c r="H5342" s="1" t="s">
        <v>23</v>
      </c>
      <c r="I5342" s="1" t="s">
        <v>1244</v>
      </c>
      <c r="J5342" s="12">
        <v>46000</v>
      </c>
      <c r="K5342">
        <v>0</v>
      </c>
      <c r="L5342" s="1">
        <f t="shared" si="332"/>
        <v>51.64</v>
      </c>
      <c r="M5342" s="1">
        <f t="shared" si="333"/>
        <v>5</v>
      </c>
      <c r="N5342" s="2">
        <f t="shared" si="334"/>
        <v>45992</v>
      </c>
      <c r="O5342" t="str">
        <f t="shared" si="335"/>
        <v>mačka</v>
      </c>
    </row>
    <row r="5343" spans="1:15" x14ac:dyDescent="0.25">
      <c r="A5343">
        <v>12828</v>
      </c>
      <c r="B5343" s="11">
        <v>4013456789017</v>
      </c>
      <c r="C5343" s="1" t="s">
        <v>11</v>
      </c>
      <c r="D5343" s="1" t="s">
        <v>12</v>
      </c>
      <c r="E5343" s="1" t="s">
        <v>13</v>
      </c>
      <c r="F5343">
        <v>6</v>
      </c>
      <c r="G5343">
        <v>1</v>
      </c>
      <c r="H5343" s="1" t="s">
        <v>14</v>
      </c>
      <c r="I5343" s="1" t="s">
        <v>15</v>
      </c>
      <c r="J5343" s="12">
        <v>46000</v>
      </c>
      <c r="K5343">
        <v>0</v>
      </c>
      <c r="L5343" s="1">
        <f t="shared" si="332"/>
        <v>6</v>
      </c>
      <c r="M5343" s="1" t="str">
        <f t="shared" si="333"/>
        <v/>
      </c>
      <c r="N5343" s="2">
        <f t="shared" si="334"/>
        <v>45992</v>
      </c>
      <c r="O5343" t="str">
        <f t="shared" si="335"/>
        <v>pes</v>
      </c>
    </row>
    <row r="5344" spans="1:15" x14ac:dyDescent="0.25">
      <c r="A5344">
        <v>12829</v>
      </c>
      <c r="B5344" s="11">
        <v>4027788990013</v>
      </c>
      <c r="C5344" s="1" t="s">
        <v>43</v>
      </c>
      <c r="D5344" s="1" t="s">
        <v>21</v>
      </c>
      <c r="E5344" s="1" t="s">
        <v>22</v>
      </c>
      <c r="F5344">
        <v>8</v>
      </c>
      <c r="G5344">
        <v>1</v>
      </c>
      <c r="H5344" s="1" t="s">
        <v>14</v>
      </c>
      <c r="I5344" s="1" t="s">
        <v>15</v>
      </c>
      <c r="J5344" s="12">
        <v>46000</v>
      </c>
      <c r="K5344">
        <v>0</v>
      </c>
      <c r="L5344" s="1">
        <f t="shared" si="332"/>
        <v>8</v>
      </c>
      <c r="M5344" s="1" t="str">
        <f t="shared" si="333"/>
        <v/>
      </c>
      <c r="N5344" s="2">
        <f t="shared" si="334"/>
        <v>45992</v>
      </c>
      <c r="O5344" t="str">
        <f t="shared" si="335"/>
        <v>pes</v>
      </c>
    </row>
    <row r="5345" spans="1:15" x14ac:dyDescent="0.25">
      <c r="A5345">
        <v>12830</v>
      </c>
      <c r="B5345" s="11">
        <v>4003344556679</v>
      </c>
      <c r="C5345" s="1" t="s">
        <v>132</v>
      </c>
      <c r="D5345" s="1" t="s">
        <v>133</v>
      </c>
      <c r="E5345" s="1" t="s">
        <v>134</v>
      </c>
      <c r="F5345">
        <v>51.64</v>
      </c>
      <c r="G5345">
        <v>1</v>
      </c>
      <c r="H5345" s="1" t="s">
        <v>14</v>
      </c>
      <c r="I5345" s="1" t="s">
        <v>15</v>
      </c>
      <c r="J5345" s="12">
        <v>46000</v>
      </c>
      <c r="K5345">
        <v>0</v>
      </c>
      <c r="L5345" s="1">
        <f t="shared" si="332"/>
        <v>51.64</v>
      </c>
      <c r="M5345" s="1" t="str">
        <f t="shared" si="333"/>
        <v/>
      </c>
      <c r="N5345" s="2">
        <f t="shared" si="334"/>
        <v>45992</v>
      </c>
      <c r="O5345" t="str">
        <f t="shared" si="335"/>
        <v>pes</v>
      </c>
    </row>
    <row r="5346" spans="1:15" x14ac:dyDescent="0.25">
      <c r="A5346">
        <v>12831</v>
      </c>
      <c r="B5346" s="11">
        <v>4040123456795</v>
      </c>
      <c r="C5346" s="1" t="s">
        <v>20</v>
      </c>
      <c r="D5346" s="1" t="s">
        <v>21</v>
      </c>
      <c r="E5346" s="1" t="s">
        <v>22</v>
      </c>
      <c r="F5346">
        <v>8.8000000000000007</v>
      </c>
      <c r="G5346">
        <v>1</v>
      </c>
      <c r="H5346" s="1" t="s">
        <v>18</v>
      </c>
      <c r="I5346" s="1" t="s">
        <v>1245</v>
      </c>
      <c r="J5346" s="12">
        <v>46000</v>
      </c>
      <c r="K5346">
        <v>0</v>
      </c>
      <c r="L5346" s="1">
        <f t="shared" si="332"/>
        <v>8.8000000000000007</v>
      </c>
      <c r="M5346" s="1">
        <f t="shared" si="333"/>
        <v>4</v>
      </c>
      <c r="N5346" s="2">
        <f t="shared" si="334"/>
        <v>45992</v>
      </c>
      <c r="O5346" t="str">
        <f t="shared" si="335"/>
        <v>pes</v>
      </c>
    </row>
    <row r="5347" spans="1:15" x14ac:dyDescent="0.25">
      <c r="A5347">
        <v>12832</v>
      </c>
      <c r="B5347" s="11">
        <v>4027788990013</v>
      </c>
      <c r="C5347" s="1" t="s">
        <v>43</v>
      </c>
      <c r="D5347" s="1" t="s">
        <v>21</v>
      </c>
      <c r="E5347" s="1" t="s">
        <v>22</v>
      </c>
      <c r="F5347">
        <v>8</v>
      </c>
      <c r="G5347">
        <v>1</v>
      </c>
      <c r="H5347" s="1" t="s">
        <v>14</v>
      </c>
      <c r="I5347" s="1" t="s">
        <v>15</v>
      </c>
      <c r="J5347" s="12">
        <v>46000</v>
      </c>
      <c r="K5347">
        <v>0</v>
      </c>
      <c r="L5347" s="1">
        <f t="shared" si="332"/>
        <v>8</v>
      </c>
      <c r="M5347" s="1" t="str">
        <f t="shared" si="333"/>
        <v/>
      </c>
      <c r="N5347" s="2">
        <f t="shared" si="334"/>
        <v>45992</v>
      </c>
      <c r="O5347" t="str">
        <f t="shared" si="335"/>
        <v>pes</v>
      </c>
    </row>
    <row r="5348" spans="1:15" hidden="1" x14ac:dyDescent="0.25">
      <c r="A5348">
        <v>12833</v>
      </c>
      <c r="B5348" s="11">
        <v>4056789012345</v>
      </c>
      <c r="C5348" s="1" t="s">
        <v>47</v>
      </c>
      <c r="D5348" s="1" t="s">
        <v>29</v>
      </c>
      <c r="E5348" s="1" t="s">
        <v>37</v>
      </c>
      <c r="F5348">
        <v>2.4</v>
      </c>
      <c r="G5348">
        <v>2</v>
      </c>
      <c r="H5348" s="1" t="s">
        <v>14</v>
      </c>
      <c r="I5348" s="1" t="s">
        <v>15</v>
      </c>
      <c r="J5348" s="12">
        <v>46000</v>
      </c>
      <c r="K5348">
        <v>0</v>
      </c>
      <c r="L5348" s="1">
        <f t="shared" si="332"/>
        <v>4.8</v>
      </c>
      <c r="M5348" s="1" t="str">
        <f t="shared" si="333"/>
        <v/>
      </c>
      <c r="N5348" s="2">
        <f t="shared" si="334"/>
        <v>45992</v>
      </c>
      <c r="O5348" t="str">
        <f t="shared" si="335"/>
        <v>mačka</v>
      </c>
    </row>
    <row r="5349" spans="1:15" x14ac:dyDescent="0.25">
      <c r="A5349">
        <v>12834</v>
      </c>
      <c r="B5349" s="11">
        <v>4013456789017</v>
      </c>
      <c r="C5349" s="1" t="s">
        <v>11</v>
      </c>
      <c r="D5349" s="1" t="s">
        <v>12</v>
      </c>
      <c r="E5349" s="1" t="s">
        <v>13</v>
      </c>
      <c r="F5349">
        <v>6</v>
      </c>
      <c r="G5349">
        <v>1</v>
      </c>
      <c r="H5349" s="1" t="s">
        <v>14</v>
      </c>
      <c r="I5349" s="1" t="s">
        <v>15</v>
      </c>
      <c r="J5349" s="12">
        <v>46000</v>
      </c>
      <c r="K5349">
        <v>0</v>
      </c>
      <c r="L5349" s="1">
        <f t="shared" si="332"/>
        <v>6</v>
      </c>
      <c r="M5349" s="1" t="str">
        <f t="shared" si="333"/>
        <v/>
      </c>
      <c r="N5349" s="2">
        <f t="shared" si="334"/>
        <v>45992</v>
      </c>
      <c r="O5349" t="str">
        <f t="shared" si="335"/>
        <v>pes</v>
      </c>
    </row>
    <row r="5350" spans="1:15" x14ac:dyDescent="0.25">
      <c r="A5350">
        <v>12835</v>
      </c>
      <c r="B5350" s="11">
        <v>4063456789014</v>
      </c>
      <c r="C5350" s="1" t="s">
        <v>60</v>
      </c>
      <c r="D5350" s="1" t="s">
        <v>12</v>
      </c>
      <c r="E5350" s="1" t="s">
        <v>61</v>
      </c>
      <c r="F5350">
        <v>36</v>
      </c>
      <c r="G5350">
        <v>1</v>
      </c>
      <c r="H5350" s="1" t="s">
        <v>23</v>
      </c>
      <c r="I5350" s="1" t="s">
        <v>1246</v>
      </c>
      <c r="J5350" s="12">
        <v>46000</v>
      </c>
      <c r="K5350">
        <v>0</v>
      </c>
      <c r="L5350" s="1">
        <f t="shared" si="332"/>
        <v>36</v>
      </c>
      <c r="M5350" s="1">
        <f t="shared" si="333"/>
        <v>5</v>
      </c>
      <c r="N5350" s="2">
        <f t="shared" si="334"/>
        <v>45992</v>
      </c>
      <c r="O5350" t="str">
        <f t="shared" si="335"/>
        <v>pes</v>
      </c>
    </row>
    <row r="5351" spans="1:15" hidden="1" x14ac:dyDescent="0.25">
      <c r="A5351">
        <v>12836</v>
      </c>
      <c r="B5351" s="11">
        <v>8593456789012</v>
      </c>
      <c r="C5351" s="1" t="s">
        <v>28</v>
      </c>
      <c r="D5351" s="1" t="s">
        <v>29</v>
      </c>
      <c r="E5351" s="1" t="s">
        <v>30</v>
      </c>
      <c r="F5351">
        <v>42</v>
      </c>
      <c r="G5351">
        <v>1</v>
      </c>
      <c r="H5351" s="1" t="s">
        <v>14</v>
      </c>
      <c r="I5351" s="1" t="s">
        <v>15</v>
      </c>
      <c r="J5351" s="12">
        <v>46000</v>
      </c>
      <c r="K5351">
        <v>0</v>
      </c>
      <c r="L5351" s="1">
        <f t="shared" si="332"/>
        <v>42</v>
      </c>
      <c r="M5351" s="1" t="str">
        <f t="shared" si="333"/>
        <v/>
      </c>
      <c r="N5351" s="2">
        <f t="shared" si="334"/>
        <v>45992</v>
      </c>
      <c r="O5351" t="str">
        <f t="shared" si="335"/>
        <v>mačka</v>
      </c>
    </row>
    <row r="5352" spans="1:15" hidden="1" x14ac:dyDescent="0.25">
      <c r="A5352">
        <v>12837</v>
      </c>
      <c r="B5352" s="11">
        <v>4042233445567</v>
      </c>
      <c r="C5352" s="1" t="s">
        <v>637</v>
      </c>
      <c r="D5352" s="1" t="s">
        <v>140</v>
      </c>
      <c r="E5352" s="1" t="s">
        <v>141</v>
      </c>
      <c r="F5352">
        <v>51.64</v>
      </c>
      <c r="G5352">
        <v>1</v>
      </c>
      <c r="H5352" s="1" t="s">
        <v>14</v>
      </c>
      <c r="I5352" s="1" t="s">
        <v>15</v>
      </c>
      <c r="J5352" s="12">
        <v>46000</v>
      </c>
      <c r="K5352">
        <v>0</v>
      </c>
      <c r="L5352" s="1">
        <f t="shared" si="332"/>
        <v>51.64</v>
      </c>
      <c r="M5352" s="1" t="str">
        <f t="shared" si="333"/>
        <v/>
      </c>
      <c r="N5352" s="2">
        <f t="shared" si="334"/>
        <v>45992</v>
      </c>
      <c r="O5352" t="str">
        <f t="shared" si="335"/>
        <v>mačka</v>
      </c>
    </row>
    <row r="5353" spans="1:15" hidden="1" x14ac:dyDescent="0.25">
      <c r="A5353">
        <v>12838</v>
      </c>
      <c r="B5353" s="11">
        <v>4010123456783</v>
      </c>
      <c r="C5353" s="1" t="s">
        <v>35</v>
      </c>
      <c r="D5353" s="1" t="s">
        <v>36</v>
      </c>
      <c r="E5353" s="1" t="s">
        <v>37</v>
      </c>
      <c r="F5353">
        <v>14</v>
      </c>
      <c r="G5353">
        <v>1</v>
      </c>
      <c r="H5353" s="1" t="s">
        <v>14</v>
      </c>
      <c r="I5353" s="1" t="s">
        <v>15</v>
      </c>
      <c r="J5353" s="12">
        <v>46000</v>
      </c>
      <c r="K5353">
        <v>0</v>
      </c>
      <c r="L5353" s="1">
        <f t="shared" si="332"/>
        <v>14</v>
      </c>
      <c r="M5353" s="1" t="str">
        <f t="shared" si="333"/>
        <v/>
      </c>
      <c r="N5353" s="2">
        <f t="shared" si="334"/>
        <v>45992</v>
      </c>
      <c r="O5353" t="str">
        <f t="shared" si="335"/>
        <v>mačka</v>
      </c>
    </row>
    <row r="5354" spans="1:15" x14ac:dyDescent="0.25">
      <c r="A5354">
        <v>12839</v>
      </c>
      <c r="B5354" s="11">
        <v>4027788990013</v>
      </c>
      <c r="C5354" s="1" t="s">
        <v>43</v>
      </c>
      <c r="D5354" s="1" t="s">
        <v>21</v>
      </c>
      <c r="E5354" s="1" t="s">
        <v>22</v>
      </c>
      <c r="F5354">
        <v>8</v>
      </c>
      <c r="G5354">
        <v>1</v>
      </c>
      <c r="H5354" s="1" t="s">
        <v>14</v>
      </c>
      <c r="I5354" s="1" t="s">
        <v>15</v>
      </c>
      <c r="J5354" s="12">
        <v>46000</v>
      </c>
      <c r="K5354">
        <v>0</v>
      </c>
      <c r="L5354" s="1">
        <f t="shared" si="332"/>
        <v>8</v>
      </c>
      <c r="M5354" s="1" t="str">
        <f t="shared" si="333"/>
        <v/>
      </c>
      <c r="N5354" s="2">
        <f t="shared" si="334"/>
        <v>45992</v>
      </c>
      <c r="O5354" t="str">
        <f t="shared" si="335"/>
        <v>pes</v>
      </c>
    </row>
    <row r="5355" spans="1:15" x14ac:dyDescent="0.25">
      <c r="A5355">
        <v>12840</v>
      </c>
      <c r="B5355" s="11">
        <v>4028899001126</v>
      </c>
      <c r="C5355" s="1" t="s">
        <v>16</v>
      </c>
      <c r="D5355" s="1" t="s">
        <v>12</v>
      </c>
      <c r="E5355" s="1" t="s">
        <v>17</v>
      </c>
      <c r="F5355">
        <v>2.8</v>
      </c>
      <c r="G5355">
        <v>2</v>
      </c>
      <c r="H5355" s="1" t="s">
        <v>14</v>
      </c>
      <c r="I5355" s="1" t="s">
        <v>15</v>
      </c>
      <c r="J5355" s="12">
        <v>46000</v>
      </c>
      <c r="K5355">
        <v>0</v>
      </c>
      <c r="L5355" s="1">
        <f t="shared" si="332"/>
        <v>5.6</v>
      </c>
      <c r="M5355" s="1" t="str">
        <f t="shared" si="333"/>
        <v/>
      </c>
      <c r="N5355" s="2">
        <f t="shared" si="334"/>
        <v>45992</v>
      </c>
      <c r="O5355" t="str">
        <f t="shared" si="335"/>
        <v>pes</v>
      </c>
    </row>
    <row r="5356" spans="1:15" x14ac:dyDescent="0.25">
      <c r="A5356">
        <v>12841</v>
      </c>
      <c r="B5356" s="11">
        <v>4017890123450</v>
      </c>
      <c r="C5356" s="1" t="s">
        <v>65</v>
      </c>
      <c r="D5356" s="1" t="s">
        <v>39</v>
      </c>
      <c r="E5356" s="1" t="s">
        <v>22</v>
      </c>
      <c r="F5356">
        <v>7.6</v>
      </c>
      <c r="G5356">
        <v>1</v>
      </c>
      <c r="H5356" s="1" t="s">
        <v>14</v>
      </c>
      <c r="I5356" s="1" t="s">
        <v>15</v>
      </c>
      <c r="J5356" s="12">
        <v>46000</v>
      </c>
      <c r="K5356">
        <v>0</v>
      </c>
      <c r="L5356" s="1">
        <f t="shared" si="332"/>
        <v>7.6</v>
      </c>
      <c r="M5356" s="1" t="str">
        <f t="shared" si="333"/>
        <v/>
      </c>
      <c r="N5356" s="2">
        <f t="shared" si="334"/>
        <v>45992</v>
      </c>
      <c r="O5356" t="str">
        <f t="shared" si="335"/>
        <v>pes</v>
      </c>
    </row>
    <row r="5357" spans="1:15" hidden="1" x14ac:dyDescent="0.25">
      <c r="A5357">
        <v>12842</v>
      </c>
      <c r="B5357" s="11">
        <v>4042233445567</v>
      </c>
      <c r="C5357" s="1" t="s">
        <v>637</v>
      </c>
      <c r="D5357" s="1" t="s">
        <v>140</v>
      </c>
      <c r="E5357" s="1" t="s">
        <v>141</v>
      </c>
      <c r="F5357">
        <v>51.64</v>
      </c>
      <c r="G5357">
        <v>1</v>
      </c>
      <c r="H5357" s="1" t="s">
        <v>14</v>
      </c>
      <c r="I5357" s="1" t="s">
        <v>15</v>
      </c>
      <c r="J5357" s="12">
        <v>46000</v>
      </c>
      <c r="K5357">
        <v>0</v>
      </c>
      <c r="L5357" s="1">
        <f t="shared" si="332"/>
        <v>51.64</v>
      </c>
      <c r="M5357" s="1" t="str">
        <f t="shared" si="333"/>
        <v/>
      </c>
      <c r="N5357" s="2">
        <f t="shared" si="334"/>
        <v>45992</v>
      </c>
      <c r="O5357" t="str">
        <f t="shared" si="335"/>
        <v>mačka</v>
      </c>
    </row>
    <row r="5358" spans="1:15" hidden="1" x14ac:dyDescent="0.25">
      <c r="A5358">
        <v>12843</v>
      </c>
      <c r="B5358" s="11">
        <v>4056789012345</v>
      </c>
      <c r="C5358" s="1" t="s">
        <v>47</v>
      </c>
      <c r="D5358" s="1" t="s">
        <v>29</v>
      </c>
      <c r="E5358" s="1" t="s">
        <v>37</v>
      </c>
      <c r="F5358">
        <v>2.4</v>
      </c>
      <c r="G5358">
        <v>3</v>
      </c>
      <c r="H5358" s="1" t="s">
        <v>14</v>
      </c>
      <c r="I5358" s="1" t="s">
        <v>15</v>
      </c>
      <c r="J5358" s="12">
        <v>46000</v>
      </c>
      <c r="K5358">
        <v>0</v>
      </c>
      <c r="L5358" s="1">
        <f t="shared" si="332"/>
        <v>7.1999999999999993</v>
      </c>
      <c r="M5358" s="1" t="str">
        <f t="shared" si="333"/>
        <v/>
      </c>
      <c r="N5358" s="2">
        <f t="shared" si="334"/>
        <v>45992</v>
      </c>
      <c r="O5358" t="str">
        <f t="shared" si="335"/>
        <v>mačka</v>
      </c>
    </row>
    <row r="5359" spans="1:15" x14ac:dyDescent="0.25">
      <c r="A5359">
        <v>12844</v>
      </c>
      <c r="B5359" s="11">
        <v>4027788990013</v>
      </c>
      <c r="C5359" s="1" t="s">
        <v>43</v>
      </c>
      <c r="D5359" s="1" t="s">
        <v>21</v>
      </c>
      <c r="E5359" s="1" t="s">
        <v>22</v>
      </c>
      <c r="F5359">
        <v>8</v>
      </c>
      <c r="G5359">
        <v>1</v>
      </c>
      <c r="H5359" s="1" t="s">
        <v>14</v>
      </c>
      <c r="I5359" s="1" t="s">
        <v>15</v>
      </c>
      <c r="J5359" s="12">
        <v>46000</v>
      </c>
      <c r="K5359">
        <v>0</v>
      </c>
      <c r="L5359" s="1">
        <f t="shared" si="332"/>
        <v>8</v>
      </c>
      <c r="M5359" s="1" t="str">
        <f t="shared" si="333"/>
        <v/>
      </c>
      <c r="N5359" s="2">
        <f t="shared" si="334"/>
        <v>45992</v>
      </c>
      <c r="O5359" t="str">
        <f t="shared" si="335"/>
        <v>pes</v>
      </c>
    </row>
    <row r="5360" spans="1:15" x14ac:dyDescent="0.25">
      <c r="A5360">
        <v>12845</v>
      </c>
      <c r="B5360" s="11">
        <v>4040123456795</v>
      </c>
      <c r="C5360" s="1" t="s">
        <v>20</v>
      </c>
      <c r="D5360" s="1" t="s">
        <v>21</v>
      </c>
      <c r="E5360" s="1" t="s">
        <v>22</v>
      </c>
      <c r="F5360">
        <v>8.8000000000000007</v>
      </c>
      <c r="G5360">
        <v>1</v>
      </c>
      <c r="H5360" s="1" t="s">
        <v>23</v>
      </c>
      <c r="I5360" s="1" t="s">
        <v>1247</v>
      </c>
      <c r="J5360" s="12">
        <v>46000</v>
      </c>
      <c r="K5360">
        <v>0</v>
      </c>
      <c r="L5360" s="1">
        <f t="shared" si="332"/>
        <v>8.8000000000000007</v>
      </c>
      <c r="M5360" s="1">
        <f t="shared" si="333"/>
        <v>5</v>
      </c>
      <c r="N5360" s="2">
        <f t="shared" si="334"/>
        <v>45992</v>
      </c>
      <c r="O5360" t="str">
        <f t="shared" si="335"/>
        <v>pes</v>
      </c>
    </row>
    <row r="5361" spans="1:15" x14ac:dyDescent="0.25">
      <c r="A5361">
        <v>12846</v>
      </c>
      <c r="B5361" s="11">
        <v>4028899001126</v>
      </c>
      <c r="C5361" s="1" t="s">
        <v>16</v>
      </c>
      <c r="D5361" s="1" t="s">
        <v>12</v>
      </c>
      <c r="E5361" s="1" t="s">
        <v>17</v>
      </c>
      <c r="F5361">
        <v>2.8</v>
      </c>
      <c r="G5361">
        <v>2</v>
      </c>
      <c r="H5361" s="1" t="s">
        <v>14</v>
      </c>
      <c r="I5361" s="1" t="s">
        <v>15</v>
      </c>
      <c r="J5361" s="12">
        <v>46000</v>
      </c>
      <c r="K5361">
        <v>0</v>
      </c>
      <c r="L5361" s="1">
        <f t="shared" si="332"/>
        <v>5.6</v>
      </c>
      <c r="M5361" s="1" t="str">
        <f t="shared" si="333"/>
        <v/>
      </c>
      <c r="N5361" s="2">
        <f t="shared" si="334"/>
        <v>45992</v>
      </c>
      <c r="O5361" t="str">
        <f t="shared" si="335"/>
        <v>pes</v>
      </c>
    </row>
    <row r="5362" spans="1:15" x14ac:dyDescent="0.25">
      <c r="A5362">
        <v>12847</v>
      </c>
      <c r="B5362" s="11">
        <v>4013456789017</v>
      </c>
      <c r="C5362" s="1" t="s">
        <v>11</v>
      </c>
      <c r="D5362" s="1" t="s">
        <v>12</v>
      </c>
      <c r="E5362" s="1" t="s">
        <v>13</v>
      </c>
      <c r="F5362">
        <v>6</v>
      </c>
      <c r="G5362">
        <v>1</v>
      </c>
      <c r="H5362" s="1" t="s">
        <v>14</v>
      </c>
      <c r="I5362" s="1" t="s">
        <v>15</v>
      </c>
      <c r="J5362" s="12">
        <v>46000</v>
      </c>
      <c r="K5362">
        <v>0</v>
      </c>
      <c r="L5362" s="1">
        <f t="shared" si="332"/>
        <v>6</v>
      </c>
      <c r="M5362" s="1" t="str">
        <f t="shared" si="333"/>
        <v/>
      </c>
      <c r="N5362" s="2">
        <f t="shared" si="334"/>
        <v>45992</v>
      </c>
      <c r="O5362" t="str">
        <f t="shared" si="335"/>
        <v>pes</v>
      </c>
    </row>
    <row r="5363" spans="1:15" x14ac:dyDescent="0.25">
      <c r="A5363">
        <v>12848</v>
      </c>
      <c r="B5363" s="11">
        <v>4003344556679</v>
      </c>
      <c r="C5363" s="1" t="s">
        <v>132</v>
      </c>
      <c r="D5363" s="1" t="s">
        <v>133</v>
      </c>
      <c r="E5363" s="1" t="s">
        <v>134</v>
      </c>
      <c r="F5363">
        <v>51.64</v>
      </c>
      <c r="G5363">
        <v>1</v>
      </c>
      <c r="H5363" s="1" t="s">
        <v>14</v>
      </c>
      <c r="I5363" s="1" t="s">
        <v>15</v>
      </c>
      <c r="J5363" s="12">
        <v>46000</v>
      </c>
      <c r="K5363">
        <v>0</v>
      </c>
      <c r="L5363" s="1">
        <f t="shared" si="332"/>
        <v>51.64</v>
      </c>
      <c r="M5363" s="1" t="str">
        <f t="shared" si="333"/>
        <v/>
      </c>
      <c r="N5363" s="2">
        <f t="shared" si="334"/>
        <v>45992</v>
      </c>
      <c r="O5363" t="str">
        <f t="shared" si="335"/>
        <v>pes</v>
      </c>
    </row>
    <row r="5364" spans="1:15" hidden="1" x14ac:dyDescent="0.25">
      <c r="A5364">
        <v>12849</v>
      </c>
      <c r="B5364" s="11">
        <v>8599012345678</v>
      </c>
      <c r="C5364" s="1" t="s">
        <v>1177</v>
      </c>
      <c r="D5364" s="1" t="s">
        <v>36</v>
      </c>
      <c r="E5364" s="1" t="s">
        <v>30</v>
      </c>
      <c r="F5364">
        <v>7.6</v>
      </c>
      <c r="G5364">
        <v>1</v>
      </c>
      <c r="H5364" s="1" t="s">
        <v>14</v>
      </c>
      <c r="I5364" s="1" t="s">
        <v>15</v>
      </c>
      <c r="J5364" s="12">
        <v>46000</v>
      </c>
      <c r="K5364">
        <v>0</v>
      </c>
      <c r="L5364" s="1">
        <f t="shared" si="332"/>
        <v>7.6</v>
      </c>
      <c r="M5364" s="1" t="str">
        <f t="shared" si="333"/>
        <v/>
      </c>
      <c r="N5364" s="2">
        <f t="shared" si="334"/>
        <v>45992</v>
      </c>
      <c r="O5364" t="str">
        <f t="shared" si="335"/>
        <v>mačka</v>
      </c>
    </row>
    <row r="5365" spans="1:15" x14ac:dyDescent="0.25">
      <c r="A5365">
        <v>12850</v>
      </c>
      <c r="B5365" s="11">
        <v>4024567890128</v>
      </c>
      <c r="C5365" s="1" t="s">
        <v>682</v>
      </c>
      <c r="D5365" s="1" t="s">
        <v>12</v>
      </c>
      <c r="E5365" s="1" t="s">
        <v>134</v>
      </c>
      <c r="F5365">
        <v>40</v>
      </c>
      <c r="G5365">
        <v>1</v>
      </c>
      <c r="H5365" s="1" t="s">
        <v>14</v>
      </c>
      <c r="I5365" s="1" t="s">
        <v>15</v>
      </c>
      <c r="J5365" s="12">
        <v>46000</v>
      </c>
      <c r="K5365">
        <v>0</v>
      </c>
      <c r="L5365" s="1">
        <f t="shared" si="332"/>
        <v>40</v>
      </c>
      <c r="M5365" s="1" t="str">
        <f t="shared" si="333"/>
        <v/>
      </c>
      <c r="N5365" s="2">
        <f t="shared" si="334"/>
        <v>45992</v>
      </c>
      <c r="O5365" t="str">
        <f t="shared" si="335"/>
        <v>pes</v>
      </c>
    </row>
    <row r="5366" spans="1:15" hidden="1" x14ac:dyDescent="0.25">
      <c r="A5366">
        <v>12851</v>
      </c>
      <c r="B5366" s="11">
        <v>4067890123456</v>
      </c>
      <c r="C5366" s="1" t="s">
        <v>68</v>
      </c>
      <c r="D5366" s="1" t="s">
        <v>29</v>
      </c>
      <c r="E5366" s="1" t="s">
        <v>69</v>
      </c>
      <c r="F5366">
        <v>36</v>
      </c>
      <c r="G5366">
        <v>1</v>
      </c>
      <c r="H5366" s="1" t="s">
        <v>14</v>
      </c>
      <c r="I5366" s="1" t="s">
        <v>15</v>
      </c>
      <c r="J5366" s="12">
        <v>46000</v>
      </c>
      <c r="K5366">
        <v>0</v>
      </c>
      <c r="L5366" s="1">
        <f t="shared" si="332"/>
        <v>36</v>
      </c>
      <c r="M5366" s="1" t="str">
        <f t="shared" si="333"/>
        <v/>
      </c>
      <c r="N5366" s="2">
        <f t="shared" si="334"/>
        <v>45992</v>
      </c>
      <c r="O5366" t="str">
        <f t="shared" si="335"/>
        <v>mačka</v>
      </c>
    </row>
    <row r="5367" spans="1:15" x14ac:dyDescent="0.25">
      <c r="A5367">
        <v>12852</v>
      </c>
      <c r="B5367" s="11">
        <v>4027788990013</v>
      </c>
      <c r="C5367" s="1" t="s">
        <v>43</v>
      </c>
      <c r="D5367" s="1" t="s">
        <v>21</v>
      </c>
      <c r="E5367" s="1" t="s">
        <v>22</v>
      </c>
      <c r="F5367">
        <v>8</v>
      </c>
      <c r="G5367">
        <v>1</v>
      </c>
      <c r="H5367" s="1" t="s">
        <v>18</v>
      </c>
      <c r="I5367" s="1" t="s">
        <v>1248</v>
      </c>
      <c r="J5367" s="12">
        <v>46000</v>
      </c>
      <c r="K5367">
        <v>0</v>
      </c>
      <c r="L5367" s="1">
        <f t="shared" si="332"/>
        <v>8</v>
      </c>
      <c r="M5367" s="1">
        <f t="shared" si="333"/>
        <v>4</v>
      </c>
      <c r="N5367" s="2">
        <f t="shared" si="334"/>
        <v>45992</v>
      </c>
      <c r="O5367" t="str">
        <f t="shared" si="335"/>
        <v>pes</v>
      </c>
    </row>
    <row r="5368" spans="1:15" x14ac:dyDescent="0.25">
      <c r="A5368">
        <v>12853</v>
      </c>
      <c r="B5368" s="11">
        <v>4046677889901</v>
      </c>
      <c r="C5368" s="1" t="s">
        <v>1175</v>
      </c>
      <c r="D5368" s="1" t="s">
        <v>21</v>
      </c>
      <c r="E5368" s="1" t="s">
        <v>308</v>
      </c>
      <c r="F5368">
        <v>7.2</v>
      </c>
      <c r="G5368">
        <v>1</v>
      </c>
      <c r="H5368" s="1" t="s">
        <v>14</v>
      </c>
      <c r="I5368" s="1" t="s">
        <v>15</v>
      </c>
      <c r="J5368" s="12">
        <v>46000</v>
      </c>
      <c r="K5368">
        <v>0</v>
      </c>
      <c r="L5368" s="1">
        <f t="shared" si="332"/>
        <v>7.2</v>
      </c>
      <c r="M5368" s="1" t="str">
        <f t="shared" si="333"/>
        <v/>
      </c>
      <c r="N5368" s="2">
        <f t="shared" si="334"/>
        <v>45992</v>
      </c>
      <c r="O5368" t="str">
        <f t="shared" si="335"/>
        <v>pes</v>
      </c>
    </row>
    <row r="5369" spans="1:15" hidden="1" x14ac:dyDescent="0.25">
      <c r="A5369">
        <v>12854</v>
      </c>
      <c r="B5369" s="11">
        <v>4056789012345</v>
      </c>
      <c r="C5369" s="1" t="s">
        <v>47</v>
      </c>
      <c r="D5369" s="1" t="s">
        <v>29</v>
      </c>
      <c r="E5369" s="1" t="s">
        <v>37</v>
      </c>
      <c r="F5369">
        <v>2.4</v>
      </c>
      <c r="G5369">
        <v>2</v>
      </c>
      <c r="H5369" s="1" t="s">
        <v>14</v>
      </c>
      <c r="I5369" s="1" t="s">
        <v>15</v>
      </c>
      <c r="J5369" s="12">
        <v>46000</v>
      </c>
      <c r="K5369">
        <v>0</v>
      </c>
      <c r="L5369" s="1">
        <f t="shared" si="332"/>
        <v>4.8</v>
      </c>
      <c r="M5369" s="1" t="str">
        <f t="shared" si="333"/>
        <v/>
      </c>
      <c r="N5369" s="2">
        <f t="shared" si="334"/>
        <v>45992</v>
      </c>
      <c r="O5369" t="str">
        <f t="shared" si="335"/>
        <v>mačka</v>
      </c>
    </row>
    <row r="5370" spans="1:15" x14ac:dyDescent="0.25">
      <c r="A5370">
        <v>12855</v>
      </c>
      <c r="B5370" s="11">
        <v>4027788990013</v>
      </c>
      <c r="C5370" s="1" t="s">
        <v>43</v>
      </c>
      <c r="D5370" s="1" t="s">
        <v>21</v>
      </c>
      <c r="E5370" s="1" t="s">
        <v>22</v>
      </c>
      <c r="F5370">
        <v>8</v>
      </c>
      <c r="G5370">
        <v>1</v>
      </c>
      <c r="H5370" s="1" t="s">
        <v>14</v>
      </c>
      <c r="I5370" s="1" t="s">
        <v>15</v>
      </c>
      <c r="J5370" s="12">
        <v>46000</v>
      </c>
      <c r="K5370">
        <v>0</v>
      </c>
      <c r="L5370" s="1">
        <f t="shared" si="332"/>
        <v>8</v>
      </c>
      <c r="M5370" s="1" t="str">
        <f t="shared" si="333"/>
        <v/>
      </c>
      <c r="N5370" s="2">
        <f t="shared" si="334"/>
        <v>45992</v>
      </c>
      <c r="O5370" t="str">
        <f t="shared" si="335"/>
        <v>pes</v>
      </c>
    </row>
    <row r="5371" spans="1:15" x14ac:dyDescent="0.25">
      <c r="A5371">
        <v>12856</v>
      </c>
      <c r="B5371" s="11">
        <v>4003344556679</v>
      </c>
      <c r="C5371" s="1" t="s">
        <v>132</v>
      </c>
      <c r="D5371" s="1" t="s">
        <v>133</v>
      </c>
      <c r="E5371" s="1" t="s">
        <v>134</v>
      </c>
      <c r="F5371">
        <v>51.64</v>
      </c>
      <c r="G5371">
        <v>1</v>
      </c>
      <c r="H5371" s="1" t="s">
        <v>14</v>
      </c>
      <c r="I5371" s="1" t="s">
        <v>15</v>
      </c>
      <c r="J5371" s="12">
        <v>46000</v>
      </c>
      <c r="K5371">
        <v>0</v>
      </c>
      <c r="L5371" s="1">
        <f t="shared" si="332"/>
        <v>51.64</v>
      </c>
      <c r="M5371" s="1" t="str">
        <f t="shared" si="333"/>
        <v/>
      </c>
      <c r="N5371" s="2">
        <f t="shared" si="334"/>
        <v>45992</v>
      </c>
      <c r="O5371" t="str">
        <f t="shared" si="335"/>
        <v>pes</v>
      </c>
    </row>
    <row r="5372" spans="1:15" hidden="1" x14ac:dyDescent="0.25">
      <c r="A5372">
        <v>12857</v>
      </c>
      <c r="B5372" s="11">
        <v>4042233445567</v>
      </c>
      <c r="C5372" s="1" t="s">
        <v>637</v>
      </c>
      <c r="D5372" s="1" t="s">
        <v>140</v>
      </c>
      <c r="E5372" s="1" t="s">
        <v>141</v>
      </c>
      <c r="F5372">
        <v>51.64</v>
      </c>
      <c r="G5372">
        <v>1</v>
      </c>
      <c r="H5372" s="1" t="s">
        <v>23</v>
      </c>
      <c r="I5372" s="1" t="s">
        <v>1249</v>
      </c>
      <c r="J5372" s="12">
        <v>46000</v>
      </c>
      <c r="K5372">
        <v>0</v>
      </c>
      <c r="L5372" s="1">
        <f t="shared" si="332"/>
        <v>51.64</v>
      </c>
      <c r="M5372" s="1">
        <f t="shared" si="333"/>
        <v>5</v>
      </c>
      <c r="N5372" s="2">
        <f t="shared" si="334"/>
        <v>45992</v>
      </c>
      <c r="O5372" t="str">
        <f t="shared" si="335"/>
        <v>mačka</v>
      </c>
    </row>
    <row r="5373" spans="1:15" x14ac:dyDescent="0.25">
      <c r="A5373">
        <v>12858</v>
      </c>
      <c r="B5373" s="11">
        <v>4028899001126</v>
      </c>
      <c r="C5373" s="1" t="s">
        <v>16</v>
      </c>
      <c r="D5373" s="1" t="s">
        <v>12</v>
      </c>
      <c r="E5373" s="1" t="s">
        <v>17</v>
      </c>
      <c r="F5373">
        <v>2.8</v>
      </c>
      <c r="G5373">
        <v>3</v>
      </c>
      <c r="H5373" s="1" t="s">
        <v>14</v>
      </c>
      <c r="I5373" s="1" t="s">
        <v>15</v>
      </c>
      <c r="J5373" s="12">
        <v>46000</v>
      </c>
      <c r="K5373">
        <v>0</v>
      </c>
      <c r="L5373" s="1">
        <f t="shared" si="332"/>
        <v>8.3999999999999986</v>
      </c>
      <c r="M5373" s="1" t="str">
        <f t="shared" si="333"/>
        <v/>
      </c>
      <c r="N5373" s="2">
        <f t="shared" si="334"/>
        <v>45992</v>
      </c>
      <c r="O5373" t="str">
        <f t="shared" si="335"/>
        <v>pes</v>
      </c>
    </row>
    <row r="5374" spans="1:15" x14ac:dyDescent="0.25">
      <c r="A5374">
        <v>12859</v>
      </c>
      <c r="B5374" s="11">
        <v>4013456789017</v>
      </c>
      <c r="C5374" s="1" t="s">
        <v>11</v>
      </c>
      <c r="D5374" s="1" t="s">
        <v>12</v>
      </c>
      <c r="E5374" s="1" t="s">
        <v>13</v>
      </c>
      <c r="F5374">
        <v>6</v>
      </c>
      <c r="G5374">
        <v>1</v>
      </c>
      <c r="H5374" s="1" t="s">
        <v>14</v>
      </c>
      <c r="I5374" s="1" t="s">
        <v>15</v>
      </c>
      <c r="J5374" s="12">
        <v>46000</v>
      </c>
      <c r="K5374">
        <v>0</v>
      </c>
      <c r="L5374" s="1">
        <f t="shared" si="332"/>
        <v>6</v>
      </c>
      <c r="M5374" s="1" t="str">
        <f t="shared" si="333"/>
        <v/>
      </c>
      <c r="N5374" s="2">
        <f t="shared" si="334"/>
        <v>45992</v>
      </c>
      <c r="O5374" t="str">
        <f t="shared" si="335"/>
        <v>pes</v>
      </c>
    </row>
    <row r="5375" spans="1:15" x14ac:dyDescent="0.25">
      <c r="A5375">
        <v>12860</v>
      </c>
      <c r="B5375" s="11">
        <v>4027788990013</v>
      </c>
      <c r="C5375" s="1" t="s">
        <v>43</v>
      </c>
      <c r="D5375" s="1" t="s">
        <v>21</v>
      </c>
      <c r="E5375" s="1" t="s">
        <v>22</v>
      </c>
      <c r="F5375">
        <v>8</v>
      </c>
      <c r="G5375">
        <v>1</v>
      </c>
      <c r="H5375" s="1" t="s">
        <v>18</v>
      </c>
      <c r="I5375" s="1" t="s">
        <v>1250</v>
      </c>
      <c r="J5375" s="12">
        <v>46000</v>
      </c>
      <c r="K5375">
        <v>0</v>
      </c>
      <c r="L5375" s="1">
        <f t="shared" si="332"/>
        <v>8</v>
      </c>
      <c r="M5375" s="1">
        <f t="shared" si="333"/>
        <v>4</v>
      </c>
      <c r="N5375" s="2">
        <f t="shared" si="334"/>
        <v>45992</v>
      </c>
      <c r="O5375" t="str">
        <f t="shared" si="335"/>
        <v>pes</v>
      </c>
    </row>
    <row r="5376" spans="1:15" x14ac:dyDescent="0.25">
      <c r="A5376">
        <v>12861</v>
      </c>
      <c r="B5376" s="11">
        <v>4028899001126</v>
      </c>
      <c r="C5376" s="1" t="s">
        <v>16</v>
      </c>
      <c r="D5376" s="1" t="s">
        <v>12</v>
      </c>
      <c r="E5376" s="1" t="s">
        <v>17</v>
      </c>
      <c r="F5376">
        <v>2.8</v>
      </c>
      <c r="G5376">
        <v>3</v>
      </c>
      <c r="H5376" s="1" t="s">
        <v>23</v>
      </c>
      <c r="I5376" s="1" t="s">
        <v>1251</v>
      </c>
      <c r="J5376" s="12">
        <v>46000</v>
      </c>
      <c r="K5376">
        <v>0</v>
      </c>
      <c r="L5376" s="1">
        <f t="shared" si="332"/>
        <v>8.3999999999999986</v>
      </c>
      <c r="M5376" s="1">
        <f t="shared" si="333"/>
        <v>5</v>
      </c>
      <c r="N5376" s="2">
        <f t="shared" si="334"/>
        <v>45992</v>
      </c>
      <c r="O5376" t="str">
        <f t="shared" si="335"/>
        <v>pes</v>
      </c>
    </row>
    <row r="5377" spans="1:15" x14ac:dyDescent="0.25">
      <c r="A5377">
        <v>12862</v>
      </c>
      <c r="B5377" s="11">
        <v>4013456789017</v>
      </c>
      <c r="C5377" s="1" t="s">
        <v>11</v>
      </c>
      <c r="D5377" s="1" t="s">
        <v>12</v>
      </c>
      <c r="E5377" s="1" t="s">
        <v>13</v>
      </c>
      <c r="F5377">
        <v>6</v>
      </c>
      <c r="G5377">
        <v>1</v>
      </c>
      <c r="H5377" s="1" t="s">
        <v>18</v>
      </c>
      <c r="I5377" s="1" t="s">
        <v>1252</v>
      </c>
      <c r="J5377" s="12">
        <v>46000</v>
      </c>
      <c r="K5377">
        <v>0</v>
      </c>
      <c r="L5377" s="1">
        <f t="shared" si="332"/>
        <v>6</v>
      </c>
      <c r="M5377" s="1">
        <f t="shared" si="333"/>
        <v>4</v>
      </c>
      <c r="N5377" s="2">
        <f t="shared" si="334"/>
        <v>45992</v>
      </c>
      <c r="O5377" t="str">
        <f t="shared" si="335"/>
        <v>pes</v>
      </c>
    </row>
    <row r="5378" spans="1:15" hidden="1" x14ac:dyDescent="0.25">
      <c r="A5378">
        <v>12863</v>
      </c>
      <c r="B5378" s="11">
        <v>4042233445567</v>
      </c>
      <c r="C5378" s="1" t="s">
        <v>637</v>
      </c>
      <c r="D5378" s="1" t="s">
        <v>140</v>
      </c>
      <c r="E5378" s="1" t="s">
        <v>141</v>
      </c>
      <c r="F5378">
        <v>51.64</v>
      </c>
      <c r="G5378">
        <v>1</v>
      </c>
      <c r="H5378" s="1" t="s">
        <v>23</v>
      </c>
      <c r="I5378" s="1" t="s">
        <v>1253</v>
      </c>
      <c r="J5378" s="12">
        <v>46000</v>
      </c>
      <c r="K5378">
        <v>0</v>
      </c>
      <c r="L5378" s="1">
        <f t="shared" ref="L5378:L5441" si="336">F5378*G5378</f>
        <v>51.64</v>
      </c>
      <c r="M5378" s="1">
        <f t="shared" ref="M5378:M5441" si="337">IF(H5378="NULL", "",VALUE(H5378))</f>
        <v>5</v>
      </c>
      <c r="N5378" s="2">
        <f t="shared" ref="N5378:N5441" si="338">DATE(YEAR(J5378),MONTH(J5378),1)</f>
        <v>45992</v>
      </c>
      <c r="O5378" t="str">
        <f t="shared" ref="O5378:O5441" si="339">IF(ISNUMBER(SEARCH("Mačky",D5378)),"mačka",IF(ISNUMBER(SEARCH("Psy",D5378)),"pes","iné"))</f>
        <v>mačka</v>
      </c>
    </row>
    <row r="5379" spans="1:15" x14ac:dyDescent="0.25">
      <c r="A5379">
        <v>12864</v>
      </c>
      <c r="B5379" s="11">
        <v>4027788990013</v>
      </c>
      <c r="C5379" s="1" t="s">
        <v>43</v>
      </c>
      <c r="D5379" s="1" t="s">
        <v>21</v>
      </c>
      <c r="E5379" s="1" t="s">
        <v>22</v>
      </c>
      <c r="F5379">
        <v>8</v>
      </c>
      <c r="G5379">
        <v>1</v>
      </c>
      <c r="H5379" s="1" t="s">
        <v>18</v>
      </c>
      <c r="I5379" s="1" t="s">
        <v>1254</v>
      </c>
      <c r="J5379" s="12">
        <v>46000</v>
      </c>
      <c r="K5379">
        <v>0</v>
      </c>
      <c r="L5379" s="1">
        <f t="shared" si="336"/>
        <v>8</v>
      </c>
      <c r="M5379" s="1">
        <f t="shared" si="337"/>
        <v>4</v>
      </c>
      <c r="N5379" s="2">
        <f t="shared" si="338"/>
        <v>45992</v>
      </c>
      <c r="O5379" t="str">
        <f t="shared" si="339"/>
        <v>pes</v>
      </c>
    </row>
    <row r="5380" spans="1:15" x14ac:dyDescent="0.25">
      <c r="A5380">
        <v>12865</v>
      </c>
      <c r="B5380" s="11">
        <v>4003344556679</v>
      </c>
      <c r="C5380" s="1" t="s">
        <v>132</v>
      </c>
      <c r="D5380" s="1" t="s">
        <v>133</v>
      </c>
      <c r="E5380" s="1" t="s">
        <v>134</v>
      </c>
      <c r="F5380">
        <v>51.64</v>
      </c>
      <c r="G5380">
        <v>1</v>
      </c>
      <c r="H5380" s="1" t="s">
        <v>23</v>
      </c>
      <c r="I5380" s="1" t="s">
        <v>1255</v>
      </c>
      <c r="J5380" s="12">
        <v>46000</v>
      </c>
      <c r="K5380">
        <v>0</v>
      </c>
      <c r="L5380" s="1">
        <f t="shared" si="336"/>
        <v>51.64</v>
      </c>
      <c r="M5380" s="1">
        <f t="shared" si="337"/>
        <v>5</v>
      </c>
      <c r="N5380" s="2">
        <f t="shared" si="338"/>
        <v>45992</v>
      </c>
      <c r="O5380" t="str">
        <f t="shared" si="339"/>
        <v>pes</v>
      </c>
    </row>
    <row r="5381" spans="1:15" hidden="1" x14ac:dyDescent="0.25">
      <c r="A5381">
        <v>12866</v>
      </c>
      <c r="B5381" s="11">
        <v>8593456789012</v>
      </c>
      <c r="C5381" s="1" t="s">
        <v>28</v>
      </c>
      <c r="D5381" s="1" t="s">
        <v>29</v>
      </c>
      <c r="E5381" s="1" t="s">
        <v>30</v>
      </c>
      <c r="F5381">
        <v>42</v>
      </c>
      <c r="G5381">
        <v>1</v>
      </c>
      <c r="H5381" s="1" t="s">
        <v>18</v>
      </c>
      <c r="I5381" s="1" t="s">
        <v>1256</v>
      </c>
      <c r="J5381" s="12">
        <v>46000</v>
      </c>
      <c r="K5381">
        <v>0</v>
      </c>
      <c r="L5381" s="1">
        <f t="shared" si="336"/>
        <v>42</v>
      </c>
      <c r="M5381" s="1">
        <f t="shared" si="337"/>
        <v>4</v>
      </c>
      <c r="N5381" s="2">
        <f t="shared" si="338"/>
        <v>45992</v>
      </c>
      <c r="O5381" t="str">
        <f t="shared" si="339"/>
        <v>mačka</v>
      </c>
    </row>
    <row r="5382" spans="1:15" hidden="1" x14ac:dyDescent="0.25">
      <c r="A5382">
        <v>12867</v>
      </c>
      <c r="B5382" s="11">
        <v>4010123456783</v>
      </c>
      <c r="C5382" s="1" t="s">
        <v>35</v>
      </c>
      <c r="D5382" s="1" t="s">
        <v>36</v>
      </c>
      <c r="E5382" s="1" t="s">
        <v>37</v>
      </c>
      <c r="F5382">
        <v>14</v>
      </c>
      <c r="G5382">
        <v>1</v>
      </c>
      <c r="H5382" s="1" t="s">
        <v>14</v>
      </c>
      <c r="I5382" s="1" t="s">
        <v>15</v>
      </c>
      <c r="J5382" s="12">
        <v>46000</v>
      </c>
      <c r="K5382">
        <v>0</v>
      </c>
      <c r="L5382" s="1">
        <f t="shared" si="336"/>
        <v>14</v>
      </c>
      <c r="M5382" s="1" t="str">
        <f t="shared" si="337"/>
        <v/>
      </c>
      <c r="N5382" s="2">
        <f t="shared" si="338"/>
        <v>45992</v>
      </c>
      <c r="O5382" t="str">
        <f t="shared" si="339"/>
        <v>mačka</v>
      </c>
    </row>
    <row r="5383" spans="1:15" x14ac:dyDescent="0.25">
      <c r="A5383">
        <v>12868</v>
      </c>
      <c r="B5383" s="11">
        <v>4040123456795</v>
      </c>
      <c r="C5383" s="1" t="s">
        <v>20</v>
      </c>
      <c r="D5383" s="1" t="s">
        <v>21</v>
      </c>
      <c r="E5383" s="1" t="s">
        <v>22</v>
      </c>
      <c r="F5383">
        <v>8.8000000000000007</v>
      </c>
      <c r="G5383">
        <v>1</v>
      </c>
      <c r="H5383" s="1" t="s">
        <v>23</v>
      </c>
      <c r="I5383" s="1" t="s">
        <v>1257</v>
      </c>
      <c r="J5383" s="12">
        <v>46000</v>
      </c>
      <c r="K5383">
        <v>0</v>
      </c>
      <c r="L5383" s="1">
        <f t="shared" si="336"/>
        <v>8.8000000000000007</v>
      </c>
      <c r="M5383" s="1">
        <f t="shared" si="337"/>
        <v>5</v>
      </c>
      <c r="N5383" s="2">
        <f t="shared" si="338"/>
        <v>45992</v>
      </c>
      <c r="O5383" t="str">
        <f t="shared" si="339"/>
        <v>pes</v>
      </c>
    </row>
    <row r="5384" spans="1:15" hidden="1" x14ac:dyDescent="0.25">
      <c r="A5384">
        <v>12869</v>
      </c>
      <c r="B5384" s="11">
        <v>4069012345682</v>
      </c>
      <c r="C5384" s="1" t="s">
        <v>143</v>
      </c>
      <c r="D5384" s="1" t="s">
        <v>144</v>
      </c>
      <c r="E5384" s="1" t="s">
        <v>30</v>
      </c>
      <c r="F5384">
        <v>26</v>
      </c>
      <c r="G5384">
        <v>1</v>
      </c>
      <c r="H5384" s="1" t="s">
        <v>23</v>
      </c>
      <c r="I5384" s="1" t="s">
        <v>1258</v>
      </c>
      <c r="J5384" s="12">
        <v>46001</v>
      </c>
      <c r="K5384">
        <v>0</v>
      </c>
      <c r="L5384" s="1">
        <f t="shared" si="336"/>
        <v>26</v>
      </c>
      <c r="M5384" s="1">
        <f t="shared" si="337"/>
        <v>5</v>
      </c>
      <c r="N5384" s="2">
        <f t="shared" si="338"/>
        <v>45992</v>
      </c>
      <c r="O5384" t="str">
        <f t="shared" si="339"/>
        <v>mačka</v>
      </c>
    </row>
    <row r="5385" spans="1:15" hidden="1" x14ac:dyDescent="0.25">
      <c r="A5385">
        <v>12870</v>
      </c>
      <c r="B5385" s="11">
        <v>4056789012345</v>
      </c>
      <c r="C5385" s="1" t="s">
        <v>47</v>
      </c>
      <c r="D5385" s="1" t="s">
        <v>29</v>
      </c>
      <c r="E5385" s="1" t="s">
        <v>37</v>
      </c>
      <c r="F5385">
        <v>2.4</v>
      </c>
      <c r="G5385">
        <v>2</v>
      </c>
      <c r="H5385" s="1" t="s">
        <v>14</v>
      </c>
      <c r="I5385" s="1" t="s">
        <v>15</v>
      </c>
      <c r="J5385" s="12">
        <v>46001</v>
      </c>
      <c r="K5385">
        <v>0</v>
      </c>
      <c r="L5385" s="1">
        <f t="shared" si="336"/>
        <v>4.8</v>
      </c>
      <c r="M5385" s="1" t="str">
        <f t="shared" si="337"/>
        <v/>
      </c>
      <c r="N5385" s="2">
        <f t="shared" si="338"/>
        <v>45992</v>
      </c>
      <c r="O5385" t="str">
        <f t="shared" si="339"/>
        <v>mačka</v>
      </c>
    </row>
    <row r="5386" spans="1:15" x14ac:dyDescent="0.25">
      <c r="A5386">
        <v>12871</v>
      </c>
      <c r="B5386" s="11">
        <v>4017890123450</v>
      </c>
      <c r="C5386" s="1" t="s">
        <v>65</v>
      </c>
      <c r="D5386" s="1" t="s">
        <v>39</v>
      </c>
      <c r="E5386" s="1" t="s">
        <v>22</v>
      </c>
      <c r="F5386">
        <v>7.6</v>
      </c>
      <c r="G5386">
        <v>1</v>
      </c>
      <c r="H5386" s="1" t="s">
        <v>23</v>
      </c>
      <c r="I5386" s="1" t="s">
        <v>1259</v>
      </c>
      <c r="J5386" s="12">
        <v>46001</v>
      </c>
      <c r="K5386">
        <v>0</v>
      </c>
      <c r="L5386" s="1">
        <f t="shared" si="336"/>
        <v>7.6</v>
      </c>
      <c r="M5386" s="1">
        <f t="shared" si="337"/>
        <v>5</v>
      </c>
      <c r="N5386" s="2">
        <f t="shared" si="338"/>
        <v>45992</v>
      </c>
      <c r="O5386" t="str">
        <f t="shared" si="339"/>
        <v>pes</v>
      </c>
    </row>
    <row r="5387" spans="1:15" x14ac:dyDescent="0.25">
      <c r="A5387">
        <v>12872</v>
      </c>
      <c r="B5387" s="11">
        <v>4003344556679</v>
      </c>
      <c r="C5387" s="1" t="s">
        <v>132</v>
      </c>
      <c r="D5387" s="1" t="s">
        <v>133</v>
      </c>
      <c r="E5387" s="1" t="s">
        <v>134</v>
      </c>
      <c r="F5387">
        <v>51.64</v>
      </c>
      <c r="G5387">
        <v>1</v>
      </c>
      <c r="H5387" s="1" t="s">
        <v>14</v>
      </c>
      <c r="I5387" s="1" t="s">
        <v>15</v>
      </c>
      <c r="J5387" s="12">
        <v>46001</v>
      </c>
      <c r="K5387">
        <v>0</v>
      </c>
      <c r="L5387" s="1">
        <f t="shared" si="336"/>
        <v>51.64</v>
      </c>
      <c r="M5387" s="1" t="str">
        <f t="shared" si="337"/>
        <v/>
      </c>
      <c r="N5387" s="2">
        <f t="shared" si="338"/>
        <v>45992</v>
      </c>
      <c r="O5387" t="str">
        <f t="shared" si="339"/>
        <v>pes</v>
      </c>
    </row>
    <row r="5388" spans="1:15" x14ac:dyDescent="0.25">
      <c r="A5388">
        <v>12873</v>
      </c>
      <c r="B5388" s="11">
        <v>4024567890128</v>
      </c>
      <c r="C5388" s="1" t="s">
        <v>682</v>
      </c>
      <c r="D5388" s="1" t="s">
        <v>12</v>
      </c>
      <c r="E5388" s="1" t="s">
        <v>134</v>
      </c>
      <c r="F5388">
        <v>40</v>
      </c>
      <c r="G5388">
        <v>1</v>
      </c>
      <c r="H5388" s="1" t="s">
        <v>14</v>
      </c>
      <c r="I5388" s="1" t="s">
        <v>15</v>
      </c>
      <c r="J5388" s="12">
        <v>46001</v>
      </c>
      <c r="K5388">
        <v>0</v>
      </c>
      <c r="L5388" s="1">
        <f t="shared" si="336"/>
        <v>40</v>
      </c>
      <c r="M5388" s="1" t="str">
        <f t="shared" si="337"/>
        <v/>
      </c>
      <c r="N5388" s="2">
        <f t="shared" si="338"/>
        <v>45992</v>
      </c>
      <c r="O5388" t="str">
        <f t="shared" si="339"/>
        <v>pes</v>
      </c>
    </row>
    <row r="5389" spans="1:15" x14ac:dyDescent="0.25">
      <c r="A5389">
        <v>12874</v>
      </c>
      <c r="B5389" s="11">
        <v>4022345678908</v>
      </c>
      <c r="C5389" s="1" t="s">
        <v>363</v>
      </c>
      <c r="D5389" s="1" t="s">
        <v>21</v>
      </c>
      <c r="E5389" s="1" t="s">
        <v>69</v>
      </c>
      <c r="F5389">
        <v>10</v>
      </c>
      <c r="G5389">
        <v>1</v>
      </c>
      <c r="H5389" s="1" t="s">
        <v>18</v>
      </c>
      <c r="I5389" s="1" t="s">
        <v>1260</v>
      </c>
      <c r="J5389" s="12">
        <v>46001</v>
      </c>
      <c r="K5389">
        <v>0</v>
      </c>
      <c r="L5389" s="1">
        <f t="shared" si="336"/>
        <v>10</v>
      </c>
      <c r="M5389" s="1">
        <f t="shared" si="337"/>
        <v>4</v>
      </c>
      <c r="N5389" s="2">
        <f t="shared" si="338"/>
        <v>45992</v>
      </c>
      <c r="O5389" t="str">
        <f t="shared" si="339"/>
        <v>pes</v>
      </c>
    </row>
    <row r="5390" spans="1:15" hidden="1" x14ac:dyDescent="0.25">
      <c r="A5390">
        <v>12875</v>
      </c>
      <c r="B5390" s="11">
        <v>4050123456794</v>
      </c>
      <c r="C5390" s="1" t="s">
        <v>41</v>
      </c>
      <c r="D5390" s="1" t="s">
        <v>36</v>
      </c>
      <c r="E5390" s="1" t="s">
        <v>42</v>
      </c>
      <c r="F5390">
        <v>7.2</v>
      </c>
      <c r="G5390">
        <v>1</v>
      </c>
      <c r="H5390" s="1" t="s">
        <v>14</v>
      </c>
      <c r="I5390" s="1" t="s">
        <v>15</v>
      </c>
      <c r="J5390" s="12">
        <v>46001</v>
      </c>
      <c r="K5390">
        <v>0</v>
      </c>
      <c r="L5390" s="1">
        <f t="shared" si="336"/>
        <v>7.2</v>
      </c>
      <c r="M5390" s="1" t="str">
        <f t="shared" si="337"/>
        <v/>
      </c>
      <c r="N5390" s="2">
        <f t="shared" si="338"/>
        <v>45992</v>
      </c>
      <c r="O5390" t="str">
        <f t="shared" si="339"/>
        <v>mačka</v>
      </c>
    </row>
    <row r="5391" spans="1:15" hidden="1" x14ac:dyDescent="0.25">
      <c r="A5391">
        <v>12876</v>
      </c>
      <c r="B5391" s="11">
        <v>4042233445567</v>
      </c>
      <c r="C5391" s="1" t="s">
        <v>637</v>
      </c>
      <c r="D5391" s="1" t="s">
        <v>140</v>
      </c>
      <c r="E5391" s="1" t="s">
        <v>141</v>
      </c>
      <c r="F5391">
        <v>51.64</v>
      </c>
      <c r="G5391">
        <v>1</v>
      </c>
      <c r="H5391" s="1" t="s">
        <v>23</v>
      </c>
      <c r="I5391" s="1" t="s">
        <v>1261</v>
      </c>
      <c r="J5391" s="12">
        <v>46001</v>
      </c>
      <c r="K5391">
        <v>0</v>
      </c>
      <c r="L5391" s="1">
        <f t="shared" si="336"/>
        <v>51.64</v>
      </c>
      <c r="M5391" s="1">
        <f t="shared" si="337"/>
        <v>5</v>
      </c>
      <c r="N5391" s="2">
        <f t="shared" si="338"/>
        <v>45992</v>
      </c>
      <c r="O5391" t="str">
        <f t="shared" si="339"/>
        <v>mačka</v>
      </c>
    </row>
    <row r="5392" spans="1:15" x14ac:dyDescent="0.25">
      <c r="A5392">
        <v>12877</v>
      </c>
      <c r="B5392" s="11">
        <v>4013456789017</v>
      </c>
      <c r="C5392" s="1" t="s">
        <v>11</v>
      </c>
      <c r="D5392" s="1" t="s">
        <v>12</v>
      </c>
      <c r="E5392" s="1" t="s">
        <v>13</v>
      </c>
      <c r="F5392">
        <v>6</v>
      </c>
      <c r="G5392">
        <v>1</v>
      </c>
      <c r="H5392" s="1" t="s">
        <v>18</v>
      </c>
      <c r="I5392" s="1" t="s">
        <v>1262</v>
      </c>
      <c r="J5392" s="12">
        <v>46001</v>
      </c>
      <c r="K5392">
        <v>0</v>
      </c>
      <c r="L5392" s="1">
        <f t="shared" si="336"/>
        <v>6</v>
      </c>
      <c r="M5392" s="1">
        <f t="shared" si="337"/>
        <v>4</v>
      </c>
      <c r="N5392" s="2">
        <f t="shared" si="338"/>
        <v>45992</v>
      </c>
      <c r="O5392" t="str">
        <f t="shared" si="339"/>
        <v>pes</v>
      </c>
    </row>
    <row r="5393" spans="1:15" x14ac:dyDescent="0.25">
      <c r="A5393">
        <v>12878</v>
      </c>
      <c r="B5393" s="11">
        <v>4027788990013</v>
      </c>
      <c r="C5393" s="1" t="s">
        <v>43</v>
      </c>
      <c r="D5393" s="1" t="s">
        <v>21</v>
      </c>
      <c r="E5393" s="1" t="s">
        <v>22</v>
      </c>
      <c r="F5393">
        <v>8</v>
      </c>
      <c r="G5393">
        <v>1</v>
      </c>
      <c r="H5393" s="1" t="s">
        <v>14</v>
      </c>
      <c r="I5393" s="1" t="s">
        <v>15</v>
      </c>
      <c r="J5393" s="12">
        <v>46001</v>
      </c>
      <c r="K5393">
        <v>0</v>
      </c>
      <c r="L5393" s="1">
        <f t="shared" si="336"/>
        <v>8</v>
      </c>
      <c r="M5393" s="1" t="str">
        <f t="shared" si="337"/>
        <v/>
      </c>
      <c r="N5393" s="2">
        <f t="shared" si="338"/>
        <v>45992</v>
      </c>
      <c r="O5393" t="str">
        <f t="shared" si="339"/>
        <v>pes</v>
      </c>
    </row>
    <row r="5394" spans="1:15" x14ac:dyDescent="0.25">
      <c r="A5394">
        <v>12879</v>
      </c>
      <c r="B5394" s="11">
        <v>4028899001126</v>
      </c>
      <c r="C5394" s="1" t="s">
        <v>16</v>
      </c>
      <c r="D5394" s="1" t="s">
        <v>12</v>
      </c>
      <c r="E5394" s="1" t="s">
        <v>17</v>
      </c>
      <c r="F5394">
        <v>2.8</v>
      </c>
      <c r="G5394">
        <v>3</v>
      </c>
      <c r="H5394" s="1" t="s">
        <v>23</v>
      </c>
      <c r="I5394" s="1" t="s">
        <v>1263</v>
      </c>
      <c r="J5394" s="12">
        <v>46001</v>
      </c>
      <c r="K5394">
        <v>0</v>
      </c>
      <c r="L5394" s="1">
        <f t="shared" si="336"/>
        <v>8.3999999999999986</v>
      </c>
      <c r="M5394" s="1">
        <f t="shared" si="337"/>
        <v>5</v>
      </c>
      <c r="N5394" s="2">
        <f t="shared" si="338"/>
        <v>45992</v>
      </c>
      <c r="O5394" t="str">
        <f t="shared" si="339"/>
        <v>pes</v>
      </c>
    </row>
    <row r="5395" spans="1:15" hidden="1" x14ac:dyDescent="0.25">
      <c r="A5395">
        <v>12880</v>
      </c>
      <c r="B5395" s="11">
        <v>4010123456783</v>
      </c>
      <c r="C5395" s="1" t="s">
        <v>35</v>
      </c>
      <c r="D5395" s="1" t="s">
        <v>36</v>
      </c>
      <c r="E5395" s="1" t="s">
        <v>37</v>
      </c>
      <c r="F5395">
        <v>14</v>
      </c>
      <c r="G5395">
        <v>1</v>
      </c>
      <c r="H5395" s="1" t="s">
        <v>14</v>
      </c>
      <c r="I5395" s="1" t="s">
        <v>15</v>
      </c>
      <c r="J5395" s="12">
        <v>46001</v>
      </c>
      <c r="K5395">
        <v>0</v>
      </c>
      <c r="L5395" s="1">
        <f t="shared" si="336"/>
        <v>14</v>
      </c>
      <c r="M5395" s="1" t="str">
        <f t="shared" si="337"/>
        <v/>
      </c>
      <c r="N5395" s="2">
        <f t="shared" si="338"/>
        <v>45992</v>
      </c>
      <c r="O5395" t="str">
        <f t="shared" si="339"/>
        <v>mačka</v>
      </c>
    </row>
    <row r="5396" spans="1:15" x14ac:dyDescent="0.25">
      <c r="A5396">
        <v>12881</v>
      </c>
      <c r="B5396" s="11">
        <v>4027788990013</v>
      </c>
      <c r="C5396" s="1" t="s">
        <v>43</v>
      </c>
      <c r="D5396" s="1" t="s">
        <v>21</v>
      </c>
      <c r="E5396" s="1" t="s">
        <v>22</v>
      </c>
      <c r="F5396">
        <v>8</v>
      </c>
      <c r="G5396">
        <v>1</v>
      </c>
      <c r="H5396" s="1" t="s">
        <v>18</v>
      </c>
      <c r="I5396" s="1" t="s">
        <v>1264</v>
      </c>
      <c r="J5396" s="12">
        <v>46001</v>
      </c>
      <c r="K5396">
        <v>0</v>
      </c>
      <c r="L5396" s="1">
        <f t="shared" si="336"/>
        <v>8</v>
      </c>
      <c r="M5396" s="1">
        <f t="shared" si="337"/>
        <v>4</v>
      </c>
      <c r="N5396" s="2">
        <f t="shared" si="338"/>
        <v>45992</v>
      </c>
      <c r="O5396" t="str">
        <f t="shared" si="339"/>
        <v>pes</v>
      </c>
    </row>
    <row r="5397" spans="1:15" x14ac:dyDescent="0.25">
      <c r="A5397">
        <v>12882</v>
      </c>
      <c r="B5397" s="11">
        <v>4013456789017</v>
      </c>
      <c r="C5397" s="1" t="s">
        <v>11</v>
      </c>
      <c r="D5397" s="1" t="s">
        <v>12</v>
      </c>
      <c r="E5397" s="1" t="s">
        <v>13</v>
      </c>
      <c r="F5397">
        <v>6</v>
      </c>
      <c r="G5397">
        <v>1</v>
      </c>
      <c r="H5397" s="1" t="s">
        <v>14</v>
      </c>
      <c r="I5397" s="1" t="s">
        <v>15</v>
      </c>
      <c r="J5397" s="12">
        <v>46001</v>
      </c>
      <c r="K5397">
        <v>0</v>
      </c>
      <c r="L5397" s="1">
        <f t="shared" si="336"/>
        <v>6</v>
      </c>
      <c r="M5397" s="1" t="str">
        <f t="shared" si="337"/>
        <v/>
      </c>
      <c r="N5397" s="2">
        <f t="shared" si="338"/>
        <v>45992</v>
      </c>
      <c r="O5397" t="str">
        <f t="shared" si="339"/>
        <v>pes</v>
      </c>
    </row>
    <row r="5398" spans="1:15" x14ac:dyDescent="0.25">
      <c r="A5398">
        <v>12883</v>
      </c>
      <c r="B5398" s="11">
        <v>4003344556679</v>
      </c>
      <c r="C5398" s="1" t="s">
        <v>132</v>
      </c>
      <c r="D5398" s="1" t="s">
        <v>133</v>
      </c>
      <c r="E5398" s="1" t="s">
        <v>134</v>
      </c>
      <c r="F5398">
        <v>51.64</v>
      </c>
      <c r="G5398">
        <v>1</v>
      </c>
      <c r="H5398" s="1" t="s">
        <v>23</v>
      </c>
      <c r="I5398" s="1" t="s">
        <v>1265</v>
      </c>
      <c r="J5398" s="12">
        <v>46001</v>
      </c>
      <c r="K5398">
        <v>0</v>
      </c>
      <c r="L5398" s="1">
        <f t="shared" si="336"/>
        <v>51.64</v>
      </c>
      <c r="M5398" s="1">
        <f t="shared" si="337"/>
        <v>5</v>
      </c>
      <c r="N5398" s="2">
        <f t="shared" si="338"/>
        <v>45992</v>
      </c>
      <c r="O5398" t="str">
        <f t="shared" si="339"/>
        <v>pes</v>
      </c>
    </row>
    <row r="5399" spans="1:15" hidden="1" x14ac:dyDescent="0.25">
      <c r="A5399">
        <v>12884</v>
      </c>
      <c r="B5399" s="11">
        <v>8599012345678</v>
      </c>
      <c r="C5399" s="1" t="s">
        <v>1177</v>
      </c>
      <c r="D5399" s="1" t="s">
        <v>36</v>
      </c>
      <c r="E5399" s="1" t="s">
        <v>30</v>
      </c>
      <c r="F5399">
        <v>7.6</v>
      </c>
      <c r="G5399">
        <v>1</v>
      </c>
      <c r="H5399" s="1" t="s">
        <v>14</v>
      </c>
      <c r="I5399" s="1" t="s">
        <v>15</v>
      </c>
      <c r="J5399" s="12">
        <v>46001</v>
      </c>
      <c r="K5399">
        <v>0</v>
      </c>
      <c r="L5399" s="1">
        <f t="shared" si="336"/>
        <v>7.6</v>
      </c>
      <c r="M5399" s="1" t="str">
        <f t="shared" si="337"/>
        <v/>
      </c>
      <c r="N5399" s="2">
        <f t="shared" si="338"/>
        <v>45992</v>
      </c>
      <c r="O5399" t="str">
        <f t="shared" si="339"/>
        <v>mačka</v>
      </c>
    </row>
    <row r="5400" spans="1:15" x14ac:dyDescent="0.25">
      <c r="A5400">
        <v>12885</v>
      </c>
      <c r="B5400" s="11">
        <v>4040123456795</v>
      </c>
      <c r="C5400" s="1" t="s">
        <v>20</v>
      </c>
      <c r="D5400" s="1" t="s">
        <v>21</v>
      </c>
      <c r="E5400" s="1" t="s">
        <v>22</v>
      </c>
      <c r="F5400">
        <v>8.8000000000000007</v>
      </c>
      <c r="G5400">
        <v>1</v>
      </c>
      <c r="H5400" s="1" t="s">
        <v>23</v>
      </c>
      <c r="I5400" s="1" t="s">
        <v>1266</v>
      </c>
      <c r="J5400" s="12">
        <v>46001</v>
      </c>
      <c r="K5400">
        <v>0</v>
      </c>
      <c r="L5400" s="1">
        <f t="shared" si="336"/>
        <v>8.8000000000000007</v>
      </c>
      <c r="M5400" s="1">
        <f t="shared" si="337"/>
        <v>5</v>
      </c>
      <c r="N5400" s="2">
        <f t="shared" si="338"/>
        <v>45992</v>
      </c>
      <c r="O5400" t="str">
        <f t="shared" si="339"/>
        <v>pes</v>
      </c>
    </row>
    <row r="5401" spans="1:15" x14ac:dyDescent="0.25">
      <c r="A5401">
        <v>12886</v>
      </c>
      <c r="B5401" s="11">
        <v>4017890123450</v>
      </c>
      <c r="C5401" s="1" t="s">
        <v>65</v>
      </c>
      <c r="D5401" s="1" t="s">
        <v>39</v>
      </c>
      <c r="E5401" s="1" t="s">
        <v>22</v>
      </c>
      <c r="F5401">
        <v>7.6</v>
      </c>
      <c r="G5401">
        <v>2</v>
      </c>
      <c r="H5401" s="1" t="s">
        <v>14</v>
      </c>
      <c r="I5401" s="1" t="s">
        <v>15</v>
      </c>
      <c r="J5401" s="12">
        <v>46001</v>
      </c>
      <c r="K5401">
        <v>0</v>
      </c>
      <c r="L5401" s="1">
        <f t="shared" si="336"/>
        <v>15.2</v>
      </c>
      <c r="M5401" s="1" t="str">
        <f t="shared" si="337"/>
        <v/>
      </c>
      <c r="N5401" s="2">
        <f t="shared" si="338"/>
        <v>45992</v>
      </c>
      <c r="O5401" t="str">
        <f t="shared" si="339"/>
        <v>pes</v>
      </c>
    </row>
    <row r="5402" spans="1:15" hidden="1" x14ac:dyDescent="0.25">
      <c r="A5402">
        <v>12887</v>
      </c>
      <c r="B5402" s="11">
        <v>4056789012345</v>
      </c>
      <c r="C5402" s="1" t="s">
        <v>47</v>
      </c>
      <c r="D5402" s="1" t="s">
        <v>29</v>
      </c>
      <c r="E5402" s="1" t="s">
        <v>37</v>
      </c>
      <c r="F5402">
        <v>2.4</v>
      </c>
      <c r="G5402">
        <v>2</v>
      </c>
      <c r="H5402" s="1" t="s">
        <v>14</v>
      </c>
      <c r="I5402" s="1" t="s">
        <v>15</v>
      </c>
      <c r="J5402" s="12">
        <v>46001</v>
      </c>
      <c r="K5402">
        <v>0</v>
      </c>
      <c r="L5402" s="1">
        <f t="shared" si="336"/>
        <v>4.8</v>
      </c>
      <c r="M5402" s="1" t="str">
        <f t="shared" si="337"/>
        <v/>
      </c>
      <c r="N5402" s="2">
        <f t="shared" si="338"/>
        <v>45992</v>
      </c>
      <c r="O5402" t="str">
        <f t="shared" si="339"/>
        <v>mačka</v>
      </c>
    </row>
    <row r="5403" spans="1:15" x14ac:dyDescent="0.25">
      <c r="A5403">
        <v>12888</v>
      </c>
      <c r="B5403" s="11">
        <v>4027788990013</v>
      </c>
      <c r="C5403" s="1" t="s">
        <v>43</v>
      </c>
      <c r="D5403" s="1" t="s">
        <v>21</v>
      </c>
      <c r="E5403" s="1" t="s">
        <v>22</v>
      </c>
      <c r="F5403">
        <v>8</v>
      </c>
      <c r="G5403">
        <v>1</v>
      </c>
      <c r="H5403" s="1" t="s">
        <v>14</v>
      </c>
      <c r="I5403" s="1" t="s">
        <v>15</v>
      </c>
      <c r="J5403" s="12">
        <v>46001</v>
      </c>
      <c r="K5403">
        <v>0</v>
      </c>
      <c r="L5403" s="1">
        <f t="shared" si="336"/>
        <v>8</v>
      </c>
      <c r="M5403" s="1" t="str">
        <f t="shared" si="337"/>
        <v/>
      </c>
      <c r="N5403" s="2">
        <f t="shared" si="338"/>
        <v>45992</v>
      </c>
      <c r="O5403" t="str">
        <f t="shared" si="339"/>
        <v>pes</v>
      </c>
    </row>
    <row r="5404" spans="1:15" x14ac:dyDescent="0.25">
      <c r="A5404">
        <v>12889</v>
      </c>
      <c r="B5404" s="11">
        <v>4003344556679</v>
      </c>
      <c r="C5404" s="1" t="s">
        <v>132</v>
      </c>
      <c r="D5404" s="1" t="s">
        <v>133</v>
      </c>
      <c r="E5404" s="1" t="s">
        <v>134</v>
      </c>
      <c r="F5404">
        <v>51.64</v>
      </c>
      <c r="G5404">
        <v>1</v>
      </c>
      <c r="H5404" s="1" t="s">
        <v>18</v>
      </c>
      <c r="I5404" s="1" t="s">
        <v>1267</v>
      </c>
      <c r="J5404" s="12">
        <v>46002</v>
      </c>
      <c r="K5404">
        <v>0</v>
      </c>
      <c r="L5404" s="1">
        <f t="shared" si="336"/>
        <v>51.64</v>
      </c>
      <c r="M5404" s="1">
        <f t="shared" si="337"/>
        <v>4</v>
      </c>
      <c r="N5404" s="2">
        <f t="shared" si="338"/>
        <v>45992</v>
      </c>
      <c r="O5404" t="str">
        <f t="shared" si="339"/>
        <v>pes</v>
      </c>
    </row>
    <row r="5405" spans="1:15" hidden="1" x14ac:dyDescent="0.25">
      <c r="A5405">
        <v>12890</v>
      </c>
      <c r="B5405" s="11">
        <v>4067890123456</v>
      </c>
      <c r="C5405" s="1" t="s">
        <v>68</v>
      </c>
      <c r="D5405" s="1" t="s">
        <v>29</v>
      </c>
      <c r="E5405" s="1" t="s">
        <v>69</v>
      </c>
      <c r="F5405">
        <v>36</v>
      </c>
      <c r="G5405">
        <v>1</v>
      </c>
      <c r="H5405" s="1" t="s">
        <v>14</v>
      </c>
      <c r="I5405" s="1" t="s">
        <v>15</v>
      </c>
      <c r="J5405" s="12">
        <v>46002</v>
      </c>
      <c r="K5405">
        <v>0</v>
      </c>
      <c r="L5405" s="1">
        <f t="shared" si="336"/>
        <v>36</v>
      </c>
      <c r="M5405" s="1" t="str">
        <f t="shared" si="337"/>
        <v/>
      </c>
      <c r="N5405" s="2">
        <f t="shared" si="338"/>
        <v>45992</v>
      </c>
      <c r="O5405" t="str">
        <f t="shared" si="339"/>
        <v>mačka</v>
      </c>
    </row>
    <row r="5406" spans="1:15" hidden="1" x14ac:dyDescent="0.25">
      <c r="A5406">
        <v>12891</v>
      </c>
      <c r="B5406" s="11">
        <v>4055566778892</v>
      </c>
      <c r="C5406" s="1" t="s">
        <v>652</v>
      </c>
      <c r="D5406" s="1" t="s">
        <v>317</v>
      </c>
      <c r="E5406" s="1" t="s">
        <v>69</v>
      </c>
      <c r="F5406">
        <v>8</v>
      </c>
      <c r="G5406">
        <v>1</v>
      </c>
      <c r="H5406" s="1" t="s">
        <v>23</v>
      </c>
      <c r="I5406" s="1" t="s">
        <v>1268</v>
      </c>
      <c r="J5406" s="12">
        <v>46002</v>
      </c>
      <c r="K5406">
        <v>0</v>
      </c>
      <c r="L5406" s="1">
        <f t="shared" si="336"/>
        <v>8</v>
      </c>
      <c r="M5406" s="1">
        <f t="shared" si="337"/>
        <v>5</v>
      </c>
      <c r="N5406" s="2">
        <f t="shared" si="338"/>
        <v>45992</v>
      </c>
      <c r="O5406" t="str">
        <f t="shared" si="339"/>
        <v>mačka</v>
      </c>
    </row>
    <row r="5407" spans="1:15" x14ac:dyDescent="0.25">
      <c r="A5407">
        <v>12892</v>
      </c>
      <c r="B5407" s="11">
        <v>4027788990013</v>
      </c>
      <c r="C5407" s="1" t="s">
        <v>43</v>
      </c>
      <c r="D5407" s="1" t="s">
        <v>21</v>
      </c>
      <c r="E5407" s="1" t="s">
        <v>22</v>
      </c>
      <c r="F5407">
        <v>8</v>
      </c>
      <c r="G5407">
        <v>1</v>
      </c>
      <c r="H5407" s="1" t="s">
        <v>14</v>
      </c>
      <c r="I5407" s="1" t="s">
        <v>15</v>
      </c>
      <c r="J5407" s="12">
        <v>46002</v>
      </c>
      <c r="K5407">
        <v>0</v>
      </c>
      <c r="L5407" s="1">
        <f t="shared" si="336"/>
        <v>8</v>
      </c>
      <c r="M5407" s="1" t="str">
        <f t="shared" si="337"/>
        <v/>
      </c>
      <c r="N5407" s="2">
        <f t="shared" si="338"/>
        <v>45992</v>
      </c>
      <c r="O5407" t="str">
        <f t="shared" si="339"/>
        <v>pes</v>
      </c>
    </row>
    <row r="5408" spans="1:15" x14ac:dyDescent="0.25">
      <c r="A5408">
        <v>12893</v>
      </c>
      <c r="B5408" s="11">
        <v>4028899001126</v>
      </c>
      <c r="C5408" s="1" t="s">
        <v>16</v>
      </c>
      <c r="D5408" s="1" t="s">
        <v>12</v>
      </c>
      <c r="E5408" s="1" t="s">
        <v>17</v>
      </c>
      <c r="F5408">
        <v>2.8</v>
      </c>
      <c r="G5408">
        <v>2</v>
      </c>
      <c r="H5408" s="1" t="s">
        <v>14</v>
      </c>
      <c r="I5408" s="1" t="s">
        <v>15</v>
      </c>
      <c r="J5408" s="12">
        <v>46002</v>
      </c>
      <c r="K5408">
        <v>0</v>
      </c>
      <c r="L5408" s="1">
        <f t="shared" si="336"/>
        <v>5.6</v>
      </c>
      <c r="M5408" s="1" t="str">
        <f t="shared" si="337"/>
        <v/>
      </c>
      <c r="N5408" s="2">
        <f t="shared" si="338"/>
        <v>45992</v>
      </c>
      <c r="O5408" t="str">
        <f t="shared" si="339"/>
        <v>pes</v>
      </c>
    </row>
    <row r="5409" spans="1:15" hidden="1" x14ac:dyDescent="0.25">
      <c r="A5409">
        <v>12894</v>
      </c>
      <c r="B5409" s="11">
        <v>4042233445567</v>
      </c>
      <c r="C5409" s="1" t="s">
        <v>637</v>
      </c>
      <c r="D5409" s="1" t="s">
        <v>140</v>
      </c>
      <c r="E5409" s="1" t="s">
        <v>141</v>
      </c>
      <c r="F5409">
        <v>51.64</v>
      </c>
      <c r="G5409">
        <v>1</v>
      </c>
      <c r="H5409" s="1" t="s">
        <v>23</v>
      </c>
      <c r="I5409" s="1" t="s">
        <v>1269</v>
      </c>
      <c r="J5409" s="12">
        <v>46002</v>
      </c>
      <c r="K5409">
        <v>0</v>
      </c>
      <c r="L5409" s="1">
        <f t="shared" si="336"/>
        <v>51.64</v>
      </c>
      <c r="M5409" s="1">
        <f t="shared" si="337"/>
        <v>5</v>
      </c>
      <c r="N5409" s="2">
        <f t="shared" si="338"/>
        <v>45992</v>
      </c>
      <c r="O5409" t="str">
        <f t="shared" si="339"/>
        <v>mačka</v>
      </c>
    </row>
    <row r="5410" spans="1:15" x14ac:dyDescent="0.25">
      <c r="A5410">
        <v>12895</v>
      </c>
      <c r="B5410" s="11">
        <v>4013456789017</v>
      </c>
      <c r="C5410" s="1" t="s">
        <v>11</v>
      </c>
      <c r="D5410" s="1" t="s">
        <v>12</v>
      </c>
      <c r="E5410" s="1" t="s">
        <v>13</v>
      </c>
      <c r="F5410">
        <v>6</v>
      </c>
      <c r="G5410">
        <v>1</v>
      </c>
      <c r="H5410" s="1" t="s">
        <v>18</v>
      </c>
      <c r="I5410" s="1" t="s">
        <v>1270</v>
      </c>
      <c r="J5410" s="12">
        <v>46002</v>
      </c>
      <c r="K5410">
        <v>0</v>
      </c>
      <c r="L5410" s="1">
        <f t="shared" si="336"/>
        <v>6</v>
      </c>
      <c r="M5410" s="1">
        <f t="shared" si="337"/>
        <v>4</v>
      </c>
      <c r="N5410" s="2">
        <f t="shared" si="338"/>
        <v>45992</v>
      </c>
      <c r="O5410" t="str">
        <f t="shared" si="339"/>
        <v>pes</v>
      </c>
    </row>
    <row r="5411" spans="1:15" x14ac:dyDescent="0.25">
      <c r="A5411">
        <v>12896</v>
      </c>
      <c r="B5411" s="11">
        <v>4024567890128</v>
      </c>
      <c r="C5411" s="1" t="s">
        <v>682</v>
      </c>
      <c r="D5411" s="1" t="s">
        <v>12</v>
      </c>
      <c r="E5411" s="1" t="s">
        <v>134</v>
      </c>
      <c r="F5411">
        <v>40</v>
      </c>
      <c r="G5411">
        <v>1</v>
      </c>
      <c r="H5411" s="1" t="s">
        <v>14</v>
      </c>
      <c r="I5411" s="1" t="s">
        <v>15</v>
      </c>
      <c r="J5411" s="12">
        <v>46002</v>
      </c>
      <c r="K5411">
        <v>0</v>
      </c>
      <c r="L5411" s="1">
        <f t="shared" si="336"/>
        <v>40</v>
      </c>
      <c r="M5411" s="1" t="str">
        <f t="shared" si="337"/>
        <v/>
      </c>
      <c r="N5411" s="2">
        <f t="shared" si="338"/>
        <v>45992</v>
      </c>
      <c r="O5411" t="str">
        <f t="shared" si="339"/>
        <v>pes</v>
      </c>
    </row>
    <row r="5412" spans="1:15" x14ac:dyDescent="0.25">
      <c r="A5412">
        <v>12897</v>
      </c>
      <c r="B5412" s="11">
        <v>4040123456795</v>
      </c>
      <c r="C5412" s="1" t="s">
        <v>20</v>
      </c>
      <c r="D5412" s="1" t="s">
        <v>21</v>
      </c>
      <c r="E5412" s="1" t="s">
        <v>22</v>
      </c>
      <c r="F5412">
        <v>8.8000000000000007</v>
      </c>
      <c r="G5412">
        <v>1</v>
      </c>
      <c r="H5412" s="1" t="s">
        <v>23</v>
      </c>
      <c r="I5412" s="1" t="s">
        <v>1271</v>
      </c>
      <c r="J5412" s="12">
        <v>46002</v>
      </c>
      <c r="K5412">
        <v>0</v>
      </c>
      <c r="L5412" s="1">
        <f t="shared" si="336"/>
        <v>8.8000000000000007</v>
      </c>
      <c r="M5412" s="1">
        <f t="shared" si="337"/>
        <v>5</v>
      </c>
      <c r="N5412" s="2">
        <f t="shared" si="338"/>
        <v>45992</v>
      </c>
      <c r="O5412" t="str">
        <f t="shared" si="339"/>
        <v>pes</v>
      </c>
    </row>
    <row r="5413" spans="1:15" hidden="1" x14ac:dyDescent="0.25">
      <c r="A5413">
        <v>12898</v>
      </c>
      <c r="B5413" s="11">
        <v>4026677889902</v>
      </c>
      <c r="C5413" s="1" t="s">
        <v>52</v>
      </c>
      <c r="D5413" s="1" t="s">
        <v>53</v>
      </c>
      <c r="E5413" s="1" t="s">
        <v>54</v>
      </c>
      <c r="F5413">
        <v>7.6</v>
      </c>
      <c r="G5413">
        <v>1</v>
      </c>
      <c r="H5413" s="1" t="s">
        <v>14</v>
      </c>
      <c r="I5413" s="1" t="s">
        <v>15</v>
      </c>
      <c r="J5413" s="12">
        <v>46002</v>
      </c>
      <c r="K5413">
        <v>0</v>
      </c>
      <c r="L5413" s="1">
        <f t="shared" si="336"/>
        <v>7.6</v>
      </c>
      <c r="M5413" s="1" t="str">
        <f t="shared" si="337"/>
        <v/>
      </c>
      <c r="N5413" s="2">
        <f t="shared" si="338"/>
        <v>45992</v>
      </c>
      <c r="O5413" t="str">
        <f t="shared" si="339"/>
        <v>iné</v>
      </c>
    </row>
    <row r="5414" spans="1:15" x14ac:dyDescent="0.25">
      <c r="A5414">
        <v>12899</v>
      </c>
      <c r="B5414" s="11">
        <v>4022345678908</v>
      </c>
      <c r="C5414" s="1" t="s">
        <v>363</v>
      </c>
      <c r="D5414" s="1" t="s">
        <v>21</v>
      </c>
      <c r="E5414" s="1" t="s">
        <v>69</v>
      </c>
      <c r="F5414">
        <v>10</v>
      </c>
      <c r="G5414">
        <v>1</v>
      </c>
      <c r="H5414" s="1" t="s">
        <v>18</v>
      </c>
      <c r="I5414" s="1" t="s">
        <v>1272</v>
      </c>
      <c r="J5414" s="12">
        <v>46002</v>
      </c>
      <c r="K5414">
        <v>0</v>
      </c>
      <c r="L5414" s="1">
        <f t="shared" si="336"/>
        <v>10</v>
      </c>
      <c r="M5414" s="1">
        <f t="shared" si="337"/>
        <v>4</v>
      </c>
      <c r="N5414" s="2">
        <f t="shared" si="338"/>
        <v>45992</v>
      </c>
      <c r="O5414" t="str">
        <f t="shared" si="339"/>
        <v>pes</v>
      </c>
    </row>
    <row r="5415" spans="1:15" x14ac:dyDescent="0.25">
      <c r="A5415">
        <v>12900</v>
      </c>
      <c r="B5415" s="11">
        <v>4028899001126</v>
      </c>
      <c r="C5415" s="1" t="s">
        <v>16</v>
      </c>
      <c r="D5415" s="1" t="s">
        <v>12</v>
      </c>
      <c r="E5415" s="1" t="s">
        <v>17</v>
      </c>
      <c r="F5415">
        <v>2.8</v>
      </c>
      <c r="G5415">
        <v>3</v>
      </c>
      <c r="H5415" s="1" t="s">
        <v>23</v>
      </c>
      <c r="I5415" s="1" t="s">
        <v>1273</v>
      </c>
      <c r="J5415" s="12">
        <v>46002</v>
      </c>
      <c r="K5415">
        <v>0</v>
      </c>
      <c r="L5415" s="1">
        <f t="shared" si="336"/>
        <v>8.3999999999999986</v>
      </c>
      <c r="M5415" s="1">
        <f t="shared" si="337"/>
        <v>5</v>
      </c>
      <c r="N5415" s="2">
        <f t="shared" si="338"/>
        <v>45992</v>
      </c>
      <c r="O5415" t="str">
        <f t="shared" si="339"/>
        <v>pes</v>
      </c>
    </row>
    <row r="5416" spans="1:15" x14ac:dyDescent="0.25">
      <c r="A5416">
        <v>12901</v>
      </c>
      <c r="B5416" s="11">
        <v>4016677889902</v>
      </c>
      <c r="C5416" s="1" t="s">
        <v>328</v>
      </c>
      <c r="D5416" s="1" t="s">
        <v>26</v>
      </c>
      <c r="E5416" s="1" t="s">
        <v>17</v>
      </c>
      <c r="F5416">
        <v>22</v>
      </c>
      <c r="G5416">
        <v>1</v>
      </c>
      <c r="H5416" s="1" t="s">
        <v>23</v>
      </c>
      <c r="I5416" s="1" t="s">
        <v>1274</v>
      </c>
      <c r="J5416" s="12">
        <v>46002</v>
      </c>
      <c r="K5416">
        <v>0</v>
      </c>
      <c r="L5416" s="1">
        <f t="shared" si="336"/>
        <v>22</v>
      </c>
      <c r="M5416" s="1">
        <f t="shared" si="337"/>
        <v>5</v>
      </c>
      <c r="N5416" s="2">
        <f t="shared" si="338"/>
        <v>45992</v>
      </c>
      <c r="O5416" t="str">
        <f t="shared" si="339"/>
        <v>pes</v>
      </c>
    </row>
    <row r="5417" spans="1:15" hidden="1" x14ac:dyDescent="0.25">
      <c r="A5417">
        <v>12902</v>
      </c>
      <c r="B5417" s="11">
        <v>4042233445567</v>
      </c>
      <c r="C5417" s="1" t="s">
        <v>637</v>
      </c>
      <c r="D5417" s="1" t="s">
        <v>140</v>
      </c>
      <c r="E5417" s="1" t="s">
        <v>141</v>
      </c>
      <c r="F5417">
        <v>51.64</v>
      </c>
      <c r="G5417">
        <v>1</v>
      </c>
      <c r="H5417" s="1" t="s">
        <v>14</v>
      </c>
      <c r="I5417" s="1" t="s">
        <v>15</v>
      </c>
      <c r="J5417" s="12">
        <v>46002</v>
      </c>
      <c r="K5417">
        <v>0</v>
      </c>
      <c r="L5417" s="1">
        <f t="shared" si="336"/>
        <v>51.64</v>
      </c>
      <c r="M5417" s="1" t="str">
        <f t="shared" si="337"/>
        <v/>
      </c>
      <c r="N5417" s="2">
        <f t="shared" si="338"/>
        <v>45992</v>
      </c>
      <c r="O5417" t="str">
        <f t="shared" si="339"/>
        <v>mačka</v>
      </c>
    </row>
    <row r="5418" spans="1:15" x14ac:dyDescent="0.25">
      <c r="A5418">
        <v>12903</v>
      </c>
      <c r="B5418" s="11">
        <v>4063456789014</v>
      </c>
      <c r="C5418" s="1" t="s">
        <v>60</v>
      </c>
      <c r="D5418" s="1" t="s">
        <v>12</v>
      </c>
      <c r="E5418" s="1" t="s">
        <v>61</v>
      </c>
      <c r="F5418">
        <v>36</v>
      </c>
      <c r="G5418">
        <v>1</v>
      </c>
      <c r="H5418" s="1" t="s">
        <v>14</v>
      </c>
      <c r="I5418" s="1" t="s">
        <v>15</v>
      </c>
      <c r="J5418" s="12">
        <v>46002</v>
      </c>
      <c r="K5418">
        <v>0</v>
      </c>
      <c r="L5418" s="1">
        <f t="shared" si="336"/>
        <v>36</v>
      </c>
      <c r="M5418" s="1" t="str">
        <f t="shared" si="337"/>
        <v/>
      </c>
      <c r="N5418" s="2">
        <f t="shared" si="338"/>
        <v>45992</v>
      </c>
      <c r="O5418" t="str">
        <f t="shared" si="339"/>
        <v>pes</v>
      </c>
    </row>
    <row r="5419" spans="1:15" x14ac:dyDescent="0.25">
      <c r="A5419">
        <v>12904</v>
      </c>
      <c r="B5419" s="11">
        <v>4013456789017</v>
      </c>
      <c r="C5419" s="1" t="s">
        <v>11</v>
      </c>
      <c r="D5419" s="1" t="s">
        <v>12</v>
      </c>
      <c r="E5419" s="1" t="s">
        <v>13</v>
      </c>
      <c r="F5419">
        <v>6</v>
      </c>
      <c r="G5419">
        <v>1</v>
      </c>
      <c r="H5419" s="1" t="s">
        <v>18</v>
      </c>
      <c r="I5419" s="1" t="s">
        <v>1275</v>
      </c>
      <c r="J5419" s="12">
        <v>46002</v>
      </c>
      <c r="K5419">
        <v>0</v>
      </c>
      <c r="L5419" s="1">
        <f t="shared" si="336"/>
        <v>6</v>
      </c>
      <c r="M5419" s="1">
        <f t="shared" si="337"/>
        <v>4</v>
      </c>
      <c r="N5419" s="2">
        <f t="shared" si="338"/>
        <v>45992</v>
      </c>
      <c r="O5419" t="str">
        <f t="shared" si="339"/>
        <v>pes</v>
      </c>
    </row>
    <row r="5420" spans="1:15" x14ac:dyDescent="0.25">
      <c r="A5420">
        <v>12905</v>
      </c>
      <c r="B5420" s="11">
        <v>4027788990013</v>
      </c>
      <c r="C5420" s="1" t="s">
        <v>43</v>
      </c>
      <c r="D5420" s="1" t="s">
        <v>21</v>
      </c>
      <c r="E5420" s="1" t="s">
        <v>22</v>
      </c>
      <c r="F5420">
        <v>8</v>
      </c>
      <c r="G5420">
        <v>1</v>
      </c>
      <c r="H5420" s="1" t="s">
        <v>14</v>
      </c>
      <c r="I5420" s="1" t="s">
        <v>15</v>
      </c>
      <c r="J5420" s="12">
        <v>46002</v>
      </c>
      <c r="K5420">
        <v>0</v>
      </c>
      <c r="L5420" s="1">
        <f t="shared" si="336"/>
        <v>8</v>
      </c>
      <c r="M5420" s="1" t="str">
        <f t="shared" si="337"/>
        <v/>
      </c>
      <c r="N5420" s="2">
        <f t="shared" si="338"/>
        <v>45992</v>
      </c>
      <c r="O5420" t="str">
        <f t="shared" si="339"/>
        <v>pes</v>
      </c>
    </row>
    <row r="5421" spans="1:15" x14ac:dyDescent="0.25">
      <c r="A5421">
        <v>12906</v>
      </c>
      <c r="B5421" s="11">
        <v>4017890123450</v>
      </c>
      <c r="C5421" s="1" t="s">
        <v>65</v>
      </c>
      <c r="D5421" s="1" t="s">
        <v>39</v>
      </c>
      <c r="E5421" s="1" t="s">
        <v>22</v>
      </c>
      <c r="F5421">
        <v>7.6</v>
      </c>
      <c r="G5421">
        <v>2</v>
      </c>
      <c r="H5421" s="1" t="s">
        <v>14</v>
      </c>
      <c r="I5421" s="1" t="s">
        <v>15</v>
      </c>
      <c r="J5421" s="12">
        <v>46002</v>
      </c>
      <c r="K5421">
        <v>0</v>
      </c>
      <c r="L5421" s="1">
        <f t="shared" si="336"/>
        <v>15.2</v>
      </c>
      <c r="M5421" s="1" t="str">
        <f t="shared" si="337"/>
        <v/>
      </c>
      <c r="N5421" s="2">
        <f t="shared" si="338"/>
        <v>45992</v>
      </c>
      <c r="O5421" t="str">
        <f t="shared" si="339"/>
        <v>pes</v>
      </c>
    </row>
    <row r="5422" spans="1:15" hidden="1" x14ac:dyDescent="0.25">
      <c r="A5422">
        <v>12907</v>
      </c>
      <c r="B5422" s="11">
        <v>4056789012345</v>
      </c>
      <c r="C5422" s="1" t="s">
        <v>47</v>
      </c>
      <c r="D5422" s="1" t="s">
        <v>29</v>
      </c>
      <c r="E5422" s="1" t="s">
        <v>37</v>
      </c>
      <c r="F5422">
        <v>2.4</v>
      </c>
      <c r="G5422">
        <v>2</v>
      </c>
      <c r="H5422" s="1" t="s">
        <v>14</v>
      </c>
      <c r="I5422" s="1" t="s">
        <v>15</v>
      </c>
      <c r="J5422" s="12">
        <v>46002</v>
      </c>
      <c r="K5422">
        <v>0</v>
      </c>
      <c r="L5422" s="1">
        <f t="shared" si="336"/>
        <v>4.8</v>
      </c>
      <c r="M5422" s="1" t="str">
        <f t="shared" si="337"/>
        <v/>
      </c>
      <c r="N5422" s="2">
        <f t="shared" si="338"/>
        <v>45992</v>
      </c>
      <c r="O5422" t="str">
        <f t="shared" si="339"/>
        <v>mačka</v>
      </c>
    </row>
    <row r="5423" spans="1:15" hidden="1" x14ac:dyDescent="0.25">
      <c r="A5423">
        <v>12908</v>
      </c>
      <c r="B5423" s="11">
        <v>8593456789012</v>
      </c>
      <c r="C5423" s="1" t="s">
        <v>28</v>
      </c>
      <c r="D5423" s="1" t="s">
        <v>29</v>
      </c>
      <c r="E5423" s="1" t="s">
        <v>30</v>
      </c>
      <c r="F5423">
        <v>42</v>
      </c>
      <c r="G5423">
        <v>1</v>
      </c>
      <c r="H5423" s="1" t="s">
        <v>23</v>
      </c>
      <c r="I5423" s="1" t="s">
        <v>1276</v>
      </c>
      <c r="J5423" s="12">
        <v>46002</v>
      </c>
      <c r="K5423">
        <v>0</v>
      </c>
      <c r="L5423" s="1">
        <f t="shared" si="336"/>
        <v>42</v>
      </c>
      <c r="M5423" s="1">
        <f t="shared" si="337"/>
        <v>5</v>
      </c>
      <c r="N5423" s="2">
        <f t="shared" si="338"/>
        <v>45992</v>
      </c>
      <c r="O5423" t="str">
        <f t="shared" si="339"/>
        <v>mačka</v>
      </c>
    </row>
    <row r="5424" spans="1:15" hidden="1" x14ac:dyDescent="0.25">
      <c r="A5424">
        <v>12909</v>
      </c>
      <c r="B5424" s="11">
        <v>4042233445567</v>
      </c>
      <c r="C5424" s="1" t="s">
        <v>637</v>
      </c>
      <c r="D5424" s="1" t="s">
        <v>140</v>
      </c>
      <c r="E5424" s="1" t="s">
        <v>141</v>
      </c>
      <c r="F5424">
        <v>51.64</v>
      </c>
      <c r="G5424">
        <v>1</v>
      </c>
      <c r="H5424" s="1" t="s">
        <v>14</v>
      </c>
      <c r="I5424" s="1" t="s">
        <v>15</v>
      </c>
      <c r="J5424" s="12">
        <v>46002</v>
      </c>
      <c r="K5424">
        <v>0</v>
      </c>
      <c r="L5424" s="1">
        <f t="shared" si="336"/>
        <v>51.64</v>
      </c>
      <c r="M5424" s="1" t="str">
        <f t="shared" si="337"/>
        <v/>
      </c>
      <c r="N5424" s="2">
        <f t="shared" si="338"/>
        <v>45992</v>
      </c>
      <c r="O5424" t="str">
        <f t="shared" si="339"/>
        <v>mačka</v>
      </c>
    </row>
    <row r="5425" spans="1:15" x14ac:dyDescent="0.25">
      <c r="A5425">
        <v>12910</v>
      </c>
      <c r="B5425" s="11">
        <v>4027788990013</v>
      </c>
      <c r="C5425" s="1" t="s">
        <v>43</v>
      </c>
      <c r="D5425" s="1" t="s">
        <v>21</v>
      </c>
      <c r="E5425" s="1" t="s">
        <v>22</v>
      </c>
      <c r="F5425">
        <v>8</v>
      </c>
      <c r="G5425">
        <v>1</v>
      </c>
      <c r="H5425" s="1" t="s">
        <v>14</v>
      </c>
      <c r="I5425" s="1" t="s">
        <v>15</v>
      </c>
      <c r="J5425" s="12">
        <v>46002</v>
      </c>
      <c r="K5425">
        <v>0</v>
      </c>
      <c r="L5425" s="1">
        <f t="shared" si="336"/>
        <v>8</v>
      </c>
      <c r="M5425" s="1" t="str">
        <f t="shared" si="337"/>
        <v/>
      </c>
      <c r="N5425" s="2">
        <f t="shared" si="338"/>
        <v>45992</v>
      </c>
      <c r="O5425" t="str">
        <f t="shared" si="339"/>
        <v>pes</v>
      </c>
    </row>
    <row r="5426" spans="1:15" x14ac:dyDescent="0.25">
      <c r="A5426">
        <v>12911</v>
      </c>
      <c r="B5426" s="11">
        <v>4013456789017</v>
      </c>
      <c r="C5426" s="1" t="s">
        <v>11</v>
      </c>
      <c r="D5426" s="1" t="s">
        <v>12</v>
      </c>
      <c r="E5426" s="1" t="s">
        <v>13</v>
      </c>
      <c r="F5426">
        <v>6</v>
      </c>
      <c r="G5426">
        <v>1</v>
      </c>
      <c r="H5426" s="1" t="s">
        <v>23</v>
      </c>
      <c r="I5426" s="1" t="s">
        <v>1277</v>
      </c>
      <c r="J5426" s="12">
        <v>46002</v>
      </c>
      <c r="K5426">
        <v>0</v>
      </c>
      <c r="L5426" s="1">
        <f t="shared" si="336"/>
        <v>6</v>
      </c>
      <c r="M5426" s="1">
        <f t="shared" si="337"/>
        <v>5</v>
      </c>
      <c r="N5426" s="2">
        <f t="shared" si="338"/>
        <v>45992</v>
      </c>
      <c r="O5426" t="str">
        <f t="shared" si="339"/>
        <v>pes</v>
      </c>
    </row>
    <row r="5427" spans="1:15" x14ac:dyDescent="0.25">
      <c r="A5427">
        <v>12912</v>
      </c>
      <c r="B5427" s="11">
        <v>4003344556679</v>
      </c>
      <c r="C5427" s="1" t="s">
        <v>132</v>
      </c>
      <c r="D5427" s="1" t="s">
        <v>133</v>
      </c>
      <c r="E5427" s="1" t="s">
        <v>134</v>
      </c>
      <c r="F5427">
        <v>51.64</v>
      </c>
      <c r="G5427">
        <v>1</v>
      </c>
      <c r="H5427" s="1" t="s">
        <v>14</v>
      </c>
      <c r="I5427" s="1" t="s">
        <v>15</v>
      </c>
      <c r="J5427" s="12">
        <v>46002</v>
      </c>
      <c r="K5427">
        <v>0</v>
      </c>
      <c r="L5427" s="1">
        <f t="shared" si="336"/>
        <v>51.64</v>
      </c>
      <c r="M5427" s="1" t="str">
        <f t="shared" si="337"/>
        <v/>
      </c>
      <c r="N5427" s="2">
        <f t="shared" si="338"/>
        <v>45992</v>
      </c>
      <c r="O5427" t="str">
        <f t="shared" si="339"/>
        <v>pes</v>
      </c>
    </row>
    <row r="5428" spans="1:15" hidden="1" x14ac:dyDescent="0.25">
      <c r="A5428">
        <v>12913</v>
      </c>
      <c r="B5428" s="11">
        <v>4010123456783</v>
      </c>
      <c r="C5428" s="1" t="s">
        <v>35</v>
      </c>
      <c r="D5428" s="1" t="s">
        <v>36</v>
      </c>
      <c r="E5428" s="1" t="s">
        <v>37</v>
      </c>
      <c r="F5428">
        <v>14</v>
      </c>
      <c r="G5428">
        <v>1</v>
      </c>
      <c r="H5428" s="1" t="s">
        <v>14</v>
      </c>
      <c r="I5428" s="1" t="s">
        <v>15</v>
      </c>
      <c r="J5428" s="12">
        <v>46002</v>
      </c>
      <c r="K5428">
        <v>0</v>
      </c>
      <c r="L5428" s="1">
        <f t="shared" si="336"/>
        <v>14</v>
      </c>
      <c r="M5428" s="1" t="str">
        <f t="shared" si="337"/>
        <v/>
      </c>
      <c r="N5428" s="2">
        <f t="shared" si="338"/>
        <v>45992</v>
      </c>
      <c r="O5428" t="str">
        <f t="shared" si="339"/>
        <v>mačka</v>
      </c>
    </row>
    <row r="5429" spans="1:15" x14ac:dyDescent="0.25">
      <c r="A5429">
        <v>12914</v>
      </c>
      <c r="B5429" s="11">
        <v>4028899001126</v>
      </c>
      <c r="C5429" s="1" t="s">
        <v>16</v>
      </c>
      <c r="D5429" s="1" t="s">
        <v>12</v>
      </c>
      <c r="E5429" s="1" t="s">
        <v>17</v>
      </c>
      <c r="F5429">
        <v>2.8</v>
      </c>
      <c r="G5429">
        <v>3</v>
      </c>
      <c r="H5429" s="1" t="s">
        <v>14</v>
      </c>
      <c r="I5429" s="1" t="s">
        <v>15</v>
      </c>
      <c r="J5429" s="12">
        <v>46002</v>
      </c>
      <c r="K5429">
        <v>0</v>
      </c>
      <c r="L5429" s="1">
        <f t="shared" si="336"/>
        <v>8.3999999999999986</v>
      </c>
      <c r="M5429" s="1" t="str">
        <f t="shared" si="337"/>
        <v/>
      </c>
      <c r="N5429" s="2">
        <f t="shared" si="338"/>
        <v>45992</v>
      </c>
      <c r="O5429" t="str">
        <f t="shared" si="339"/>
        <v>pes</v>
      </c>
    </row>
    <row r="5430" spans="1:15" x14ac:dyDescent="0.25">
      <c r="A5430">
        <v>12915</v>
      </c>
      <c r="B5430" s="11">
        <v>4040123456795</v>
      </c>
      <c r="C5430" s="1" t="s">
        <v>20</v>
      </c>
      <c r="D5430" s="1" t="s">
        <v>21</v>
      </c>
      <c r="E5430" s="1" t="s">
        <v>22</v>
      </c>
      <c r="F5430">
        <v>8.8000000000000007</v>
      </c>
      <c r="G5430">
        <v>1</v>
      </c>
      <c r="H5430" s="1" t="s">
        <v>23</v>
      </c>
      <c r="I5430" s="1" t="s">
        <v>1278</v>
      </c>
      <c r="J5430" s="12">
        <v>46002</v>
      </c>
      <c r="K5430">
        <v>0</v>
      </c>
      <c r="L5430" s="1">
        <f t="shared" si="336"/>
        <v>8.8000000000000007</v>
      </c>
      <c r="M5430" s="1">
        <f t="shared" si="337"/>
        <v>5</v>
      </c>
      <c r="N5430" s="2">
        <f t="shared" si="338"/>
        <v>45992</v>
      </c>
      <c r="O5430" t="str">
        <f t="shared" si="339"/>
        <v>pes</v>
      </c>
    </row>
    <row r="5431" spans="1:15" hidden="1" x14ac:dyDescent="0.25">
      <c r="A5431">
        <v>12916</v>
      </c>
      <c r="B5431" s="11">
        <v>4067890123456</v>
      </c>
      <c r="C5431" s="1" t="s">
        <v>68</v>
      </c>
      <c r="D5431" s="1" t="s">
        <v>29</v>
      </c>
      <c r="E5431" s="1" t="s">
        <v>69</v>
      </c>
      <c r="F5431">
        <v>36</v>
      </c>
      <c r="G5431">
        <v>1</v>
      </c>
      <c r="H5431" s="1" t="s">
        <v>14</v>
      </c>
      <c r="I5431" s="1" t="s">
        <v>15</v>
      </c>
      <c r="J5431" s="12">
        <v>46002</v>
      </c>
      <c r="K5431">
        <v>0</v>
      </c>
      <c r="L5431" s="1">
        <f t="shared" si="336"/>
        <v>36</v>
      </c>
      <c r="M5431" s="1" t="str">
        <f t="shared" si="337"/>
        <v/>
      </c>
      <c r="N5431" s="2">
        <f t="shared" si="338"/>
        <v>45992</v>
      </c>
      <c r="O5431" t="str">
        <f t="shared" si="339"/>
        <v>mačka</v>
      </c>
    </row>
    <row r="5432" spans="1:15" hidden="1" x14ac:dyDescent="0.25">
      <c r="A5432">
        <v>12917</v>
      </c>
      <c r="B5432" s="11">
        <v>4042233445567</v>
      </c>
      <c r="C5432" s="1" t="s">
        <v>637</v>
      </c>
      <c r="D5432" s="1" t="s">
        <v>140</v>
      </c>
      <c r="E5432" s="1" t="s">
        <v>141</v>
      </c>
      <c r="F5432">
        <v>51.64</v>
      </c>
      <c r="G5432">
        <v>1</v>
      </c>
      <c r="H5432" s="1" t="s">
        <v>23</v>
      </c>
      <c r="I5432" s="1" t="s">
        <v>1279</v>
      </c>
      <c r="J5432" s="12">
        <v>46002</v>
      </c>
      <c r="K5432">
        <v>0</v>
      </c>
      <c r="L5432" s="1">
        <f t="shared" si="336"/>
        <v>51.64</v>
      </c>
      <c r="M5432" s="1">
        <f t="shared" si="337"/>
        <v>5</v>
      </c>
      <c r="N5432" s="2">
        <f t="shared" si="338"/>
        <v>45992</v>
      </c>
      <c r="O5432" t="str">
        <f t="shared" si="339"/>
        <v>mačka</v>
      </c>
    </row>
    <row r="5433" spans="1:15" x14ac:dyDescent="0.25">
      <c r="A5433">
        <v>12918</v>
      </c>
      <c r="B5433" s="11">
        <v>4017890123450</v>
      </c>
      <c r="C5433" s="1" t="s">
        <v>65</v>
      </c>
      <c r="D5433" s="1" t="s">
        <v>39</v>
      </c>
      <c r="E5433" s="1" t="s">
        <v>22</v>
      </c>
      <c r="F5433">
        <v>7.6</v>
      </c>
      <c r="G5433">
        <v>1</v>
      </c>
      <c r="H5433" s="1" t="s">
        <v>14</v>
      </c>
      <c r="I5433" s="1" t="s">
        <v>15</v>
      </c>
      <c r="J5433" s="12">
        <v>46002</v>
      </c>
      <c r="K5433">
        <v>0</v>
      </c>
      <c r="L5433" s="1">
        <f t="shared" si="336"/>
        <v>7.6</v>
      </c>
      <c r="M5433" s="1" t="str">
        <f t="shared" si="337"/>
        <v/>
      </c>
      <c r="N5433" s="2">
        <f t="shared" si="338"/>
        <v>45992</v>
      </c>
      <c r="O5433" t="str">
        <f t="shared" si="339"/>
        <v>pes</v>
      </c>
    </row>
    <row r="5434" spans="1:15" x14ac:dyDescent="0.25">
      <c r="A5434">
        <v>12919</v>
      </c>
      <c r="B5434" s="11">
        <v>4013456789017</v>
      </c>
      <c r="C5434" s="1" t="s">
        <v>11</v>
      </c>
      <c r="D5434" s="1" t="s">
        <v>12</v>
      </c>
      <c r="E5434" s="1" t="s">
        <v>13</v>
      </c>
      <c r="F5434">
        <v>6</v>
      </c>
      <c r="G5434">
        <v>1</v>
      </c>
      <c r="H5434" s="1" t="s">
        <v>14</v>
      </c>
      <c r="I5434" s="1" t="s">
        <v>15</v>
      </c>
      <c r="J5434" s="12">
        <v>46002</v>
      </c>
      <c r="K5434">
        <v>0</v>
      </c>
      <c r="L5434" s="1">
        <f t="shared" si="336"/>
        <v>6</v>
      </c>
      <c r="M5434" s="1" t="str">
        <f t="shared" si="337"/>
        <v/>
      </c>
      <c r="N5434" s="2">
        <f t="shared" si="338"/>
        <v>45992</v>
      </c>
      <c r="O5434" t="str">
        <f t="shared" si="339"/>
        <v>pes</v>
      </c>
    </row>
    <row r="5435" spans="1:15" hidden="1" x14ac:dyDescent="0.25">
      <c r="A5435">
        <v>12920</v>
      </c>
      <c r="B5435" s="11">
        <v>4056789012345</v>
      </c>
      <c r="C5435" s="1" t="s">
        <v>47</v>
      </c>
      <c r="D5435" s="1" t="s">
        <v>29</v>
      </c>
      <c r="E5435" s="1" t="s">
        <v>37</v>
      </c>
      <c r="F5435">
        <v>2.4</v>
      </c>
      <c r="G5435">
        <v>2</v>
      </c>
      <c r="H5435" s="1" t="s">
        <v>14</v>
      </c>
      <c r="I5435" s="1" t="s">
        <v>15</v>
      </c>
      <c r="J5435" s="12">
        <v>46002</v>
      </c>
      <c r="K5435">
        <v>0</v>
      </c>
      <c r="L5435" s="1">
        <f t="shared" si="336"/>
        <v>4.8</v>
      </c>
      <c r="M5435" s="1" t="str">
        <f t="shared" si="337"/>
        <v/>
      </c>
      <c r="N5435" s="2">
        <f t="shared" si="338"/>
        <v>45992</v>
      </c>
      <c r="O5435" t="str">
        <f t="shared" si="339"/>
        <v>mačka</v>
      </c>
    </row>
    <row r="5436" spans="1:15" hidden="1" x14ac:dyDescent="0.25">
      <c r="A5436">
        <v>12921</v>
      </c>
      <c r="B5436" s="11">
        <v>4069012345682</v>
      </c>
      <c r="C5436" s="1" t="s">
        <v>143</v>
      </c>
      <c r="D5436" s="1" t="s">
        <v>144</v>
      </c>
      <c r="E5436" s="1" t="s">
        <v>30</v>
      </c>
      <c r="F5436">
        <v>26</v>
      </c>
      <c r="G5436">
        <v>1</v>
      </c>
      <c r="H5436" s="1" t="s">
        <v>23</v>
      </c>
      <c r="I5436" s="1" t="s">
        <v>1280</v>
      </c>
      <c r="J5436" s="12">
        <v>46002</v>
      </c>
      <c r="K5436">
        <v>0</v>
      </c>
      <c r="L5436" s="1">
        <f t="shared" si="336"/>
        <v>26</v>
      </c>
      <c r="M5436" s="1">
        <f t="shared" si="337"/>
        <v>5</v>
      </c>
      <c r="N5436" s="2">
        <f t="shared" si="338"/>
        <v>45992</v>
      </c>
      <c r="O5436" t="str">
        <f t="shared" si="339"/>
        <v>mačka</v>
      </c>
    </row>
    <row r="5437" spans="1:15" x14ac:dyDescent="0.25">
      <c r="A5437">
        <v>12922</v>
      </c>
      <c r="B5437" s="11">
        <v>4027788990013</v>
      </c>
      <c r="C5437" s="1" t="s">
        <v>43</v>
      </c>
      <c r="D5437" s="1" t="s">
        <v>21</v>
      </c>
      <c r="E5437" s="1" t="s">
        <v>22</v>
      </c>
      <c r="F5437">
        <v>8</v>
      </c>
      <c r="G5437">
        <v>1</v>
      </c>
      <c r="H5437" s="1" t="s">
        <v>14</v>
      </c>
      <c r="I5437" s="1" t="s">
        <v>15</v>
      </c>
      <c r="J5437" s="12">
        <v>46002</v>
      </c>
      <c r="K5437">
        <v>0</v>
      </c>
      <c r="L5437" s="1">
        <f t="shared" si="336"/>
        <v>8</v>
      </c>
      <c r="M5437" s="1" t="str">
        <f t="shared" si="337"/>
        <v/>
      </c>
      <c r="N5437" s="2">
        <f t="shared" si="338"/>
        <v>45992</v>
      </c>
      <c r="O5437" t="str">
        <f t="shared" si="339"/>
        <v>pes</v>
      </c>
    </row>
    <row r="5438" spans="1:15" hidden="1" x14ac:dyDescent="0.25">
      <c r="A5438">
        <v>12923</v>
      </c>
      <c r="B5438" s="11">
        <v>4042233445567</v>
      </c>
      <c r="C5438" s="1" t="s">
        <v>637</v>
      </c>
      <c r="D5438" s="1" t="s">
        <v>140</v>
      </c>
      <c r="E5438" s="1" t="s">
        <v>141</v>
      </c>
      <c r="F5438">
        <v>51.64</v>
      </c>
      <c r="G5438">
        <v>1</v>
      </c>
      <c r="H5438" s="1" t="s">
        <v>14</v>
      </c>
      <c r="I5438" s="1" t="s">
        <v>15</v>
      </c>
      <c r="J5438" s="12">
        <v>46002</v>
      </c>
      <c r="K5438">
        <v>0</v>
      </c>
      <c r="L5438" s="1">
        <f t="shared" si="336"/>
        <v>51.64</v>
      </c>
      <c r="M5438" s="1" t="str">
        <f t="shared" si="337"/>
        <v/>
      </c>
      <c r="N5438" s="2">
        <f t="shared" si="338"/>
        <v>45992</v>
      </c>
      <c r="O5438" t="str">
        <f t="shared" si="339"/>
        <v>mačka</v>
      </c>
    </row>
    <row r="5439" spans="1:15" x14ac:dyDescent="0.25">
      <c r="A5439">
        <v>12924</v>
      </c>
      <c r="B5439" s="11">
        <v>4028899001126</v>
      </c>
      <c r="C5439" s="1" t="s">
        <v>16</v>
      </c>
      <c r="D5439" s="1" t="s">
        <v>12</v>
      </c>
      <c r="E5439" s="1" t="s">
        <v>17</v>
      </c>
      <c r="F5439">
        <v>2.8</v>
      </c>
      <c r="G5439">
        <v>3</v>
      </c>
      <c r="H5439" s="1" t="s">
        <v>18</v>
      </c>
      <c r="I5439" s="1" t="s">
        <v>1281</v>
      </c>
      <c r="J5439" s="12">
        <v>46002</v>
      </c>
      <c r="K5439">
        <v>0</v>
      </c>
      <c r="L5439" s="1">
        <f t="shared" si="336"/>
        <v>8.3999999999999986</v>
      </c>
      <c r="M5439" s="1">
        <f t="shared" si="337"/>
        <v>4</v>
      </c>
      <c r="N5439" s="2">
        <f t="shared" si="338"/>
        <v>45992</v>
      </c>
      <c r="O5439" t="str">
        <f t="shared" si="339"/>
        <v>pes</v>
      </c>
    </row>
    <row r="5440" spans="1:15" x14ac:dyDescent="0.25">
      <c r="A5440">
        <v>12925</v>
      </c>
      <c r="B5440" s="11">
        <v>4013456789017</v>
      </c>
      <c r="C5440" s="1" t="s">
        <v>11</v>
      </c>
      <c r="D5440" s="1" t="s">
        <v>12</v>
      </c>
      <c r="E5440" s="1" t="s">
        <v>13</v>
      </c>
      <c r="F5440">
        <v>6</v>
      </c>
      <c r="G5440">
        <v>1</v>
      </c>
      <c r="H5440" s="1" t="s">
        <v>14</v>
      </c>
      <c r="I5440" s="1" t="s">
        <v>15</v>
      </c>
      <c r="J5440" s="12">
        <v>46002</v>
      </c>
      <c r="K5440">
        <v>0</v>
      </c>
      <c r="L5440" s="1">
        <f t="shared" si="336"/>
        <v>6</v>
      </c>
      <c r="M5440" s="1" t="str">
        <f t="shared" si="337"/>
        <v/>
      </c>
      <c r="N5440" s="2">
        <f t="shared" si="338"/>
        <v>45992</v>
      </c>
      <c r="O5440" t="str">
        <f t="shared" si="339"/>
        <v>pes</v>
      </c>
    </row>
    <row r="5441" spans="1:15" x14ac:dyDescent="0.25">
      <c r="A5441">
        <v>12926</v>
      </c>
      <c r="B5441" s="11">
        <v>4024567890128</v>
      </c>
      <c r="C5441" s="1" t="s">
        <v>682</v>
      </c>
      <c r="D5441" s="1" t="s">
        <v>12</v>
      </c>
      <c r="E5441" s="1" t="s">
        <v>134</v>
      </c>
      <c r="F5441">
        <v>40</v>
      </c>
      <c r="G5441">
        <v>1</v>
      </c>
      <c r="H5441" s="1" t="s">
        <v>14</v>
      </c>
      <c r="I5441" s="1" t="s">
        <v>15</v>
      </c>
      <c r="J5441" s="12">
        <v>46002</v>
      </c>
      <c r="K5441">
        <v>0</v>
      </c>
      <c r="L5441" s="1">
        <f t="shared" si="336"/>
        <v>40</v>
      </c>
      <c r="M5441" s="1" t="str">
        <f t="shared" si="337"/>
        <v/>
      </c>
      <c r="N5441" s="2">
        <f t="shared" si="338"/>
        <v>45992</v>
      </c>
      <c r="O5441" t="str">
        <f t="shared" si="339"/>
        <v>pes</v>
      </c>
    </row>
    <row r="5442" spans="1:15" x14ac:dyDescent="0.25">
      <c r="A5442">
        <v>12927</v>
      </c>
      <c r="B5442" s="11">
        <v>4040123456795</v>
      </c>
      <c r="C5442" s="1" t="s">
        <v>20</v>
      </c>
      <c r="D5442" s="1" t="s">
        <v>21</v>
      </c>
      <c r="E5442" s="1" t="s">
        <v>22</v>
      </c>
      <c r="F5442">
        <v>8.8000000000000007</v>
      </c>
      <c r="G5442">
        <v>1</v>
      </c>
      <c r="H5442" s="1" t="s">
        <v>23</v>
      </c>
      <c r="I5442" s="1" t="s">
        <v>1282</v>
      </c>
      <c r="J5442" s="12">
        <v>46002</v>
      </c>
      <c r="K5442">
        <v>0</v>
      </c>
      <c r="L5442" s="1">
        <f t="shared" ref="L5442:L5505" si="340">F5442*G5442</f>
        <v>8.8000000000000007</v>
      </c>
      <c r="M5442" s="1">
        <f t="shared" ref="M5442:M5505" si="341">IF(H5442="NULL", "",VALUE(H5442))</f>
        <v>5</v>
      </c>
      <c r="N5442" s="2">
        <f t="shared" ref="N5442:N5505" si="342">DATE(YEAR(J5442),MONTH(J5442),1)</f>
        <v>45992</v>
      </c>
      <c r="O5442" t="str">
        <f t="shared" ref="O5442:O5505" si="343">IF(ISNUMBER(SEARCH("Mačky",D5442)),"mačka",IF(ISNUMBER(SEARCH("Psy",D5442)),"pes","iné"))</f>
        <v>pes</v>
      </c>
    </row>
    <row r="5443" spans="1:15" x14ac:dyDescent="0.25">
      <c r="A5443">
        <v>12928</v>
      </c>
      <c r="B5443" s="11">
        <v>4027788990013</v>
      </c>
      <c r="C5443" s="1" t="s">
        <v>43</v>
      </c>
      <c r="D5443" s="1" t="s">
        <v>21</v>
      </c>
      <c r="E5443" s="1" t="s">
        <v>22</v>
      </c>
      <c r="F5443">
        <v>8</v>
      </c>
      <c r="G5443">
        <v>1</v>
      </c>
      <c r="H5443" s="1" t="s">
        <v>14</v>
      </c>
      <c r="I5443" s="1" t="s">
        <v>15</v>
      </c>
      <c r="J5443" s="12">
        <v>46002</v>
      </c>
      <c r="K5443">
        <v>0</v>
      </c>
      <c r="L5443" s="1">
        <f t="shared" si="340"/>
        <v>8</v>
      </c>
      <c r="M5443" s="1" t="str">
        <f t="shared" si="341"/>
        <v/>
      </c>
      <c r="N5443" s="2">
        <f t="shared" si="342"/>
        <v>45992</v>
      </c>
      <c r="O5443" t="str">
        <f t="shared" si="343"/>
        <v>pes</v>
      </c>
    </row>
    <row r="5444" spans="1:15" hidden="1" x14ac:dyDescent="0.25">
      <c r="A5444">
        <v>12929</v>
      </c>
      <c r="B5444" s="11">
        <v>8593456789012</v>
      </c>
      <c r="C5444" s="1" t="s">
        <v>28</v>
      </c>
      <c r="D5444" s="1" t="s">
        <v>29</v>
      </c>
      <c r="E5444" s="1" t="s">
        <v>30</v>
      </c>
      <c r="F5444">
        <v>42</v>
      </c>
      <c r="G5444">
        <v>1</v>
      </c>
      <c r="H5444" s="1" t="s">
        <v>14</v>
      </c>
      <c r="I5444" s="1" t="s">
        <v>15</v>
      </c>
      <c r="J5444" s="12">
        <v>46002</v>
      </c>
      <c r="K5444">
        <v>0</v>
      </c>
      <c r="L5444" s="1">
        <f t="shared" si="340"/>
        <v>42</v>
      </c>
      <c r="M5444" s="1" t="str">
        <f t="shared" si="341"/>
        <v/>
      </c>
      <c r="N5444" s="2">
        <f t="shared" si="342"/>
        <v>45992</v>
      </c>
      <c r="O5444" t="str">
        <f t="shared" si="343"/>
        <v>mačka</v>
      </c>
    </row>
    <row r="5445" spans="1:15" x14ac:dyDescent="0.25">
      <c r="A5445">
        <v>12930</v>
      </c>
      <c r="B5445" s="11">
        <v>4003344556679</v>
      </c>
      <c r="C5445" s="1" t="s">
        <v>132</v>
      </c>
      <c r="D5445" s="1" t="s">
        <v>133</v>
      </c>
      <c r="E5445" s="1" t="s">
        <v>134</v>
      </c>
      <c r="F5445">
        <v>51.64</v>
      </c>
      <c r="G5445">
        <v>1</v>
      </c>
      <c r="H5445" s="1" t="s">
        <v>14</v>
      </c>
      <c r="I5445" s="1" t="s">
        <v>15</v>
      </c>
      <c r="J5445" s="12">
        <v>46002</v>
      </c>
      <c r="K5445">
        <v>0</v>
      </c>
      <c r="L5445" s="1">
        <f t="shared" si="340"/>
        <v>51.64</v>
      </c>
      <c r="M5445" s="1" t="str">
        <f t="shared" si="341"/>
        <v/>
      </c>
      <c r="N5445" s="2">
        <f t="shared" si="342"/>
        <v>45992</v>
      </c>
      <c r="O5445" t="str">
        <f t="shared" si="343"/>
        <v>pes</v>
      </c>
    </row>
    <row r="5446" spans="1:15" x14ac:dyDescent="0.25">
      <c r="A5446">
        <v>12931</v>
      </c>
      <c r="B5446" s="11">
        <v>4028899001126</v>
      </c>
      <c r="C5446" s="1" t="s">
        <v>16</v>
      </c>
      <c r="D5446" s="1" t="s">
        <v>12</v>
      </c>
      <c r="E5446" s="1" t="s">
        <v>17</v>
      </c>
      <c r="F5446">
        <v>2.8</v>
      </c>
      <c r="G5446">
        <v>2</v>
      </c>
      <c r="H5446" s="1" t="s">
        <v>23</v>
      </c>
      <c r="I5446" s="1" t="s">
        <v>1283</v>
      </c>
      <c r="J5446" s="12">
        <v>46002</v>
      </c>
      <c r="K5446">
        <v>0</v>
      </c>
      <c r="L5446" s="1">
        <f t="shared" si="340"/>
        <v>5.6</v>
      </c>
      <c r="M5446" s="1">
        <f t="shared" si="341"/>
        <v>5</v>
      </c>
      <c r="N5446" s="2">
        <f t="shared" si="342"/>
        <v>45992</v>
      </c>
      <c r="O5446" t="str">
        <f t="shared" si="343"/>
        <v>pes</v>
      </c>
    </row>
    <row r="5447" spans="1:15" x14ac:dyDescent="0.25">
      <c r="A5447">
        <v>12932</v>
      </c>
      <c r="B5447" s="11">
        <v>4013456789017</v>
      </c>
      <c r="C5447" s="1" t="s">
        <v>11</v>
      </c>
      <c r="D5447" s="1" t="s">
        <v>12</v>
      </c>
      <c r="E5447" s="1" t="s">
        <v>13</v>
      </c>
      <c r="F5447">
        <v>6</v>
      </c>
      <c r="G5447">
        <v>1</v>
      </c>
      <c r="H5447" s="1" t="s">
        <v>14</v>
      </c>
      <c r="I5447" s="1" t="s">
        <v>15</v>
      </c>
      <c r="J5447" s="12">
        <v>46002</v>
      </c>
      <c r="K5447">
        <v>0</v>
      </c>
      <c r="L5447" s="1">
        <f t="shared" si="340"/>
        <v>6</v>
      </c>
      <c r="M5447" s="1" t="str">
        <f t="shared" si="341"/>
        <v/>
      </c>
      <c r="N5447" s="2">
        <f t="shared" si="342"/>
        <v>45992</v>
      </c>
      <c r="O5447" t="str">
        <f t="shared" si="343"/>
        <v>pes</v>
      </c>
    </row>
    <row r="5448" spans="1:15" hidden="1" x14ac:dyDescent="0.25">
      <c r="A5448">
        <v>12933</v>
      </c>
      <c r="B5448" s="11">
        <v>4042233445567</v>
      </c>
      <c r="C5448" s="1" t="s">
        <v>637</v>
      </c>
      <c r="D5448" s="1" t="s">
        <v>140</v>
      </c>
      <c r="E5448" s="1" t="s">
        <v>141</v>
      </c>
      <c r="F5448">
        <v>51.64</v>
      </c>
      <c r="G5448">
        <v>1</v>
      </c>
      <c r="H5448" s="1" t="s">
        <v>14</v>
      </c>
      <c r="I5448" s="1" t="s">
        <v>15</v>
      </c>
      <c r="J5448" s="12">
        <v>46002</v>
      </c>
      <c r="K5448">
        <v>0</v>
      </c>
      <c r="L5448" s="1">
        <f t="shared" si="340"/>
        <v>51.64</v>
      </c>
      <c r="M5448" s="1" t="str">
        <f t="shared" si="341"/>
        <v/>
      </c>
      <c r="N5448" s="2">
        <f t="shared" si="342"/>
        <v>45992</v>
      </c>
      <c r="O5448" t="str">
        <f t="shared" si="343"/>
        <v>mačka</v>
      </c>
    </row>
    <row r="5449" spans="1:15" x14ac:dyDescent="0.25">
      <c r="A5449">
        <v>12934</v>
      </c>
      <c r="B5449" s="11">
        <v>4040123456795</v>
      </c>
      <c r="C5449" s="1" t="s">
        <v>20</v>
      </c>
      <c r="D5449" s="1" t="s">
        <v>21</v>
      </c>
      <c r="E5449" s="1" t="s">
        <v>22</v>
      </c>
      <c r="F5449">
        <v>8.8000000000000007</v>
      </c>
      <c r="G5449">
        <v>1</v>
      </c>
      <c r="H5449" s="1" t="s">
        <v>14</v>
      </c>
      <c r="I5449" s="1" t="s">
        <v>15</v>
      </c>
      <c r="J5449" s="12">
        <v>46002</v>
      </c>
      <c r="K5449">
        <v>0</v>
      </c>
      <c r="L5449" s="1">
        <f t="shared" si="340"/>
        <v>8.8000000000000007</v>
      </c>
      <c r="M5449" s="1" t="str">
        <f t="shared" si="341"/>
        <v/>
      </c>
      <c r="N5449" s="2">
        <f t="shared" si="342"/>
        <v>45992</v>
      </c>
      <c r="O5449" t="str">
        <f t="shared" si="343"/>
        <v>pes</v>
      </c>
    </row>
    <row r="5450" spans="1:15" hidden="1" x14ac:dyDescent="0.25">
      <c r="A5450">
        <v>12935</v>
      </c>
      <c r="B5450" s="11">
        <v>4010123456783</v>
      </c>
      <c r="C5450" s="1" t="s">
        <v>35</v>
      </c>
      <c r="D5450" s="1" t="s">
        <v>36</v>
      </c>
      <c r="E5450" s="1" t="s">
        <v>37</v>
      </c>
      <c r="F5450">
        <v>14</v>
      </c>
      <c r="G5450">
        <v>1</v>
      </c>
      <c r="H5450" s="1" t="s">
        <v>18</v>
      </c>
      <c r="I5450" s="1" t="s">
        <v>1284</v>
      </c>
      <c r="J5450" s="12">
        <v>46002</v>
      </c>
      <c r="K5450">
        <v>0</v>
      </c>
      <c r="L5450" s="1">
        <f t="shared" si="340"/>
        <v>14</v>
      </c>
      <c r="M5450" s="1">
        <f t="shared" si="341"/>
        <v>4</v>
      </c>
      <c r="N5450" s="2">
        <f t="shared" si="342"/>
        <v>45992</v>
      </c>
      <c r="O5450" t="str">
        <f t="shared" si="343"/>
        <v>mačka</v>
      </c>
    </row>
    <row r="5451" spans="1:15" x14ac:dyDescent="0.25">
      <c r="A5451">
        <v>12936</v>
      </c>
      <c r="B5451" s="11">
        <v>4028899001126</v>
      </c>
      <c r="C5451" s="1" t="s">
        <v>16</v>
      </c>
      <c r="D5451" s="1" t="s">
        <v>12</v>
      </c>
      <c r="E5451" s="1" t="s">
        <v>17</v>
      </c>
      <c r="F5451">
        <v>2.8</v>
      </c>
      <c r="G5451">
        <v>3</v>
      </c>
      <c r="H5451" s="1" t="s">
        <v>14</v>
      </c>
      <c r="I5451" s="1" t="s">
        <v>15</v>
      </c>
      <c r="J5451" s="12">
        <v>46003</v>
      </c>
      <c r="K5451">
        <v>0</v>
      </c>
      <c r="L5451" s="1">
        <f t="shared" si="340"/>
        <v>8.3999999999999986</v>
      </c>
      <c r="M5451" s="1" t="str">
        <f t="shared" si="341"/>
        <v/>
      </c>
      <c r="N5451" s="2">
        <f t="shared" si="342"/>
        <v>45992</v>
      </c>
      <c r="O5451" t="str">
        <f t="shared" si="343"/>
        <v>pes</v>
      </c>
    </row>
    <row r="5452" spans="1:15" x14ac:dyDescent="0.25">
      <c r="A5452">
        <v>12937</v>
      </c>
      <c r="B5452" s="11">
        <v>4013456789017</v>
      </c>
      <c r="C5452" s="1" t="s">
        <v>11</v>
      </c>
      <c r="D5452" s="1" t="s">
        <v>12</v>
      </c>
      <c r="E5452" s="1" t="s">
        <v>13</v>
      </c>
      <c r="F5452">
        <v>6</v>
      </c>
      <c r="G5452">
        <v>1</v>
      </c>
      <c r="H5452" s="1" t="s">
        <v>14</v>
      </c>
      <c r="I5452" s="1" t="s">
        <v>15</v>
      </c>
      <c r="J5452" s="12">
        <v>46003</v>
      </c>
      <c r="K5452">
        <v>0</v>
      </c>
      <c r="L5452" s="1">
        <f t="shared" si="340"/>
        <v>6</v>
      </c>
      <c r="M5452" s="1" t="str">
        <f t="shared" si="341"/>
        <v/>
      </c>
      <c r="N5452" s="2">
        <f t="shared" si="342"/>
        <v>45992</v>
      </c>
      <c r="O5452" t="str">
        <f t="shared" si="343"/>
        <v>pes</v>
      </c>
    </row>
    <row r="5453" spans="1:15" hidden="1" x14ac:dyDescent="0.25">
      <c r="A5453">
        <v>12938</v>
      </c>
      <c r="B5453" s="11">
        <v>4042233445567</v>
      </c>
      <c r="C5453" s="1" t="s">
        <v>637</v>
      </c>
      <c r="D5453" s="1" t="s">
        <v>140</v>
      </c>
      <c r="E5453" s="1" t="s">
        <v>141</v>
      </c>
      <c r="F5453">
        <v>51.64</v>
      </c>
      <c r="G5453">
        <v>1</v>
      </c>
      <c r="H5453" s="1" t="s">
        <v>23</v>
      </c>
      <c r="I5453" s="1" t="s">
        <v>1285</v>
      </c>
      <c r="J5453" s="12">
        <v>46003</v>
      </c>
      <c r="K5453">
        <v>0</v>
      </c>
      <c r="L5453" s="1">
        <f t="shared" si="340"/>
        <v>51.64</v>
      </c>
      <c r="M5453" s="1">
        <f t="shared" si="341"/>
        <v>5</v>
      </c>
      <c r="N5453" s="2">
        <f t="shared" si="342"/>
        <v>45992</v>
      </c>
      <c r="O5453" t="str">
        <f t="shared" si="343"/>
        <v>mačka</v>
      </c>
    </row>
    <row r="5454" spans="1:15" x14ac:dyDescent="0.25">
      <c r="A5454">
        <v>12939</v>
      </c>
      <c r="B5454" s="11">
        <v>4027788990013</v>
      </c>
      <c r="C5454" s="1" t="s">
        <v>43</v>
      </c>
      <c r="D5454" s="1" t="s">
        <v>21</v>
      </c>
      <c r="E5454" s="1" t="s">
        <v>22</v>
      </c>
      <c r="F5454">
        <v>8</v>
      </c>
      <c r="G5454">
        <v>1</v>
      </c>
      <c r="H5454" s="1" t="s">
        <v>14</v>
      </c>
      <c r="I5454" s="1" t="s">
        <v>15</v>
      </c>
      <c r="J5454" s="12">
        <v>46003</v>
      </c>
      <c r="K5454">
        <v>0</v>
      </c>
      <c r="L5454" s="1">
        <f t="shared" si="340"/>
        <v>8</v>
      </c>
      <c r="M5454" s="1" t="str">
        <f t="shared" si="341"/>
        <v/>
      </c>
      <c r="N5454" s="2">
        <f t="shared" si="342"/>
        <v>45992</v>
      </c>
      <c r="O5454" t="str">
        <f t="shared" si="343"/>
        <v>pes</v>
      </c>
    </row>
    <row r="5455" spans="1:15" x14ac:dyDescent="0.25">
      <c r="A5455">
        <v>12940</v>
      </c>
      <c r="B5455" s="11">
        <v>4003344556679</v>
      </c>
      <c r="C5455" s="1" t="s">
        <v>132</v>
      </c>
      <c r="D5455" s="1" t="s">
        <v>133</v>
      </c>
      <c r="E5455" s="1" t="s">
        <v>134</v>
      </c>
      <c r="F5455">
        <v>51.64</v>
      </c>
      <c r="G5455">
        <v>1</v>
      </c>
      <c r="H5455" s="1" t="s">
        <v>14</v>
      </c>
      <c r="I5455" s="1" t="s">
        <v>15</v>
      </c>
      <c r="J5455" s="12">
        <v>46003</v>
      </c>
      <c r="K5455">
        <v>0</v>
      </c>
      <c r="L5455" s="1">
        <f t="shared" si="340"/>
        <v>51.64</v>
      </c>
      <c r="M5455" s="1" t="str">
        <f t="shared" si="341"/>
        <v/>
      </c>
      <c r="N5455" s="2">
        <f t="shared" si="342"/>
        <v>45992</v>
      </c>
      <c r="O5455" t="str">
        <f t="shared" si="343"/>
        <v>pes</v>
      </c>
    </row>
    <row r="5456" spans="1:15" hidden="1" x14ac:dyDescent="0.25">
      <c r="A5456">
        <v>12941</v>
      </c>
      <c r="B5456" s="11">
        <v>4010123456783</v>
      </c>
      <c r="C5456" s="1" t="s">
        <v>35</v>
      </c>
      <c r="D5456" s="1" t="s">
        <v>36</v>
      </c>
      <c r="E5456" s="1" t="s">
        <v>37</v>
      </c>
      <c r="F5456">
        <v>14</v>
      </c>
      <c r="G5456">
        <v>1</v>
      </c>
      <c r="H5456" s="1" t="s">
        <v>14</v>
      </c>
      <c r="I5456" s="1" t="s">
        <v>15</v>
      </c>
      <c r="J5456" s="12">
        <v>46003</v>
      </c>
      <c r="K5456">
        <v>0</v>
      </c>
      <c r="L5456" s="1">
        <f t="shared" si="340"/>
        <v>14</v>
      </c>
      <c r="M5456" s="1" t="str">
        <f t="shared" si="341"/>
        <v/>
      </c>
      <c r="N5456" s="2">
        <f t="shared" si="342"/>
        <v>45992</v>
      </c>
      <c r="O5456" t="str">
        <f t="shared" si="343"/>
        <v>mačka</v>
      </c>
    </row>
    <row r="5457" spans="1:15" x14ac:dyDescent="0.25">
      <c r="A5457">
        <v>12942</v>
      </c>
      <c r="B5457" s="11">
        <v>4040123456795</v>
      </c>
      <c r="C5457" s="1" t="s">
        <v>20</v>
      </c>
      <c r="D5457" s="1" t="s">
        <v>21</v>
      </c>
      <c r="E5457" s="1" t="s">
        <v>22</v>
      </c>
      <c r="F5457">
        <v>8.8000000000000007</v>
      </c>
      <c r="G5457">
        <v>1</v>
      </c>
      <c r="H5457" s="1" t="s">
        <v>18</v>
      </c>
      <c r="I5457" s="1" t="s">
        <v>113</v>
      </c>
      <c r="J5457" s="12">
        <v>46003</v>
      </c>
      <c r="K5457">
        <v>0</v>
      </c>
      <c r="L5457" s="1">
        <f t="shared" si="340"/>
        <v>8.8000000000000007</v>
      </c>
      <c r="M5457" s="1">
        <f t="shared" si="341"/>
        <v>4</v>
      </c>
      <c r="N5457" s="2">
        <f t="shared" si="342"/>
        <v>45992</v>
      </c>
      <c r="O5457" t="str">
        <f t="shared" si="343"/>
        <v>pes</v>
      </c>
    </row>
    <row r="5458" spans="1:15" x14ac:dyDescent="0.25">
      <c r="A5458">
        <v>12943</v>
      </c>
      <c r="B5458" s="11">
        <v>4028899001126</v>
      </c>
      <c r="C5458" s="1" t="s">
        <v>16</v>
      </c>
      <c r="D5458" s="1" t="s">
        <v>12</v>
      </c>
      <c r="E5458" s="1" t="s">
        <v>17</v>
      </c>
      <c r="F5458">
        <v>2.8</v>
      </c>
      <c r="G5458">
        <v>3</v>
      </c>
      <c r="H5458" s="1" t="s">
        <v>14</v>
      </c>
      <c r="I5458" s="1" t="s">
        <v>15</v>
      </c>
      <c r="J5458" s="12">
        <v>46003</v>
      </c>
      <c r="K5458">
        <v>0</v>
      </c>
      <c r="L5458" s="1">
        <f t="shared" si="340"/>
        <v>8.3999999999999986</v>
      </c>
      <c r="M5458" s="1" t="str">
        <f t="shared" si="341"/>
        <v/>
      </c>
      <c r="N5458" s="2">
        <f t="shared" si="342"/>
        <v>45992</v>
      </c>
      <c r="O5458" t="str">
        <f t="shared" si="343"/>
        <v>pes</v>
      </c>
    </row>
    <row r="5459" spans="1:15" x14ac:dyDescent="0.25">
      <c r="A5459">
        <v>12944</v>
      </c>
      <c r="B5459" s="11">
        <v>4013456789017</v>
      </c>
      <c r="C5459" s="1" t="s">
        <v>11</v>
      </c>
      <c r="D5459" s="1" t="s">
        <v>12</v>
      </c>
      <c r="E5459" s="1" t="s">
        <v>13</v>
      </c>
      <c r="F5459">
        <v>6</v>
      </c>
      <c r="G5459">
        <v>1</v>
      </c>
      <c r="H5459" s="1" t="s">
        <v>14</v>
      </c>
      <c r="I5459" s="1" t="s">
        <v>15</v>
      </c>
      <c r="J5459" s="12">
        <v>46003</v>
      </c>
      <c r="K5459">
        <v>0</v>
      </c>
      <c r="L5459" s="1">
        <f t="shared" si="340"/>
        <v>6</v>
      </c>
      <c r="M5459" s="1" t="str">
        <f t="shared" si="341"/>
        <v/>
      </c>
      <c r="N5459" s="2">
        <f t="shared" si="342"/>
        <v>45992</v>
      </c>
      <c r="O5459" t="str">
        <f t="shared" si="343"/>
        <v>pes</v>
      </c>
    </row>
    <row r="5460" spans="1:15" hidden="1" x14ac:dyDescent="0.25">
      <c r="A5460">
        <v>12945</v>
      </c>
      <c r="B5460" s="11">
        <v>4067890123456</v>
      </c>
      <c r="C5460" s="1" t="s">
        <v>68</v>
      </c>
      <c r="D5460" s="1" t="s">
        <v>29</v>
      </c>
      <c r="E5460" s="1" t="s">
        <v>69</v>
      </c>
      <c r="F5460">
        <v>36</v>
      </c>
      <c r="G5460">
        <v>1</v>
      </c>
      <c r="H5460" s="1" t="s">
        <v>14</v>
      </c>
      <c r="I5460" s="1" t="s">
        <v>15</v>
      </c>
      <c r="J5460" s="12">
        <v>46003</v>
      </c>
      <c r="K5460">
        <v>0</v>
      </c>
      <c r="L5460" s="1">
        <f t="shared" si="340"/>
        <v>36</v>
      </c>
      <c r="M5460" s="1" t="str">
        <f t="shared" si="341"/>
        <v/>
      </c>
      <c r="N5460" s="2">
        <f t="shared" si="342"/>
        <v>45992</v>
      </c>
      <c r="O5460" t="str">
        <f t="shared" si="343"/>
        <v>mačka</v>
      </c>
    </row>
    <row r="5461" spans="1:15" x14ac:dyDescent="0.25">
      <c r="A5461">
        <v>12946</v>
      </c>
      <c r="B5461" s="11">
        <v>4027788990013</v>
      </c>
      <c r="C5461" s="1" t="s">
        <v>43</v>
      </c>
      <c r="D5461" s="1" t="s">
        <v>21</v>
      </c>
      <c r="E5461" s="1" t="s">
        <v>22</v>
      </c>
      <c r="F5461">
        <v>8</v>
      </c>
      <c r="G5461">
        <v>1</v>
      </c>
      <c r="H5461" s="1" t="s">
        <v>14</v>
      </c>
      <c r="I5461" s="1" t="s">
        <v>15</v>
      </c>
      <c r="J5461" s="12">
        <v>46003</v>
      </c>
      <c r="K5461">
        <v>0</v>
      </c>
      <c r="L5461" s="1">
        <f t="shared" si="340"/>
        <v>8</v>
      </c>
      <c r="M5461" s="1" t="str">
        <f t="shared" si="341"/>
        <v/>
      </c>
      <c r="N5461" s="2">
        <f t="shared" si="342"/>
        <v>45992</v>
      </c>
      <c r="O5461" t="str">
        <f t="shared" si="343"/>
        <v>pes</v>
      </c>
    </row>
    <row r="5462" spans="1:15" x14ac:dyDescent="0.25">
      <c r="A5462">
        <v>12947</v>
      </c>
      <c r="B5462" s="11">
        <v>4022345678908</v>
      </c>
      <c r="C5462" s="1" t="s">
        <v>363</v>
      </c>
      <c r="D5462" s="1" t="s">
        <v>21</v>
      </c>
      <c r="E5462" s="1" t="s">
        <v>69</v>
      </c>
      <c r="F5462">
        <v>10</v>
      </c>
      <c r="G5462">
        <v>1</v>
      </c>
      <c r="H5462" s="1" t="s">
        <v>33</v>
      </c>
      <c r="I5462" s="1" t="s">
        <v>1286</v>
      </c>
      <c r="J5462" s="12">
        <v>46003</v>
      </c>
      <c r="K5462">
        <v>0</v>
      </c>
      <c r="L5462" s="1">
        <f t="shared" si="340"/>
        <v>10</v>
      </c>
      <c r="M5462" s="1">
        <f t="shared" si="341"/>
        <v>3</v>
      </c>
      <c r="N5462" s="2">
        <f t="shared" si="342"/>
        <v>45992</v>
      </c>
      <c r="O5462" t="str">
        <f t="shared" si="343"/>
        <v>pes</v>
      </c>
    </row>
    <row r="5463" spans="1:15" x14ac:dyDescent="0.25">
      <c r="A5463">
        <v>12948</v>
      </c>
      <c r="B5463" s="11">
        <v>4027788990013</v>
      </c>
      <c r="C5463" s="1" t="s">
        <v>43</v>
      </c>
      <c r="D5463" s="1" t="s">
        <v>21</v>
      </c>
      <c r="E5463" s="1" t="s">
        <v>22</v>
      </c>
      <c r="F5463">
        <v>8</v>
      </c>
      <c r="G5463">
        <v>1</v>
      </c>
      <c r="H5463" s="1" t="s">
        <v>14</v>
      </c>
      <c r="I5463" s="1" t="s">
        <v>15</v>
      </c>
      <c r="J5463" s="12">
        <v>46003</v>
      </c>
      <c r="K5463">
        <v>0</v>
      </c>
      <c r="L5463" s="1">
        <f t="shared" si="340"/>
        <v>8</v>
      </c>
      <c r="M5463" s="1" t="str">
        <f t="shared" si="341"/>
        <v/>
      </c>
      <c r="N5463" s="2">
        <f t="shared" si="342"/>
        <v>45992</v>
      </c>
      <c r="O5463" t="str">
        <f t="shared" si="343"/>
        <v>pes</v>
      </c>
    </row>
    <row r="5464" spans="1:15" hidden="1" x14ac:dyDescent="0.25">
      <c r="A5464">
        <v>12949</v>
      </c>
      <c r="B5464" s="11">
        <v>4042233445567</v>
      </c>
      <c r="C5464" s="1" t="s">
        <v>637</v>
      </c>
      <c r="D5464" s="1" t="s">
        <v>140</v>
      </c>
      <c r="E5464" s="1" t="s">
        <v>141</v>
      </c>
      <c r="F5464">
        <v>51.64</v>
      </c>
      <c r="G5464">
        <v>1</v>
      </c>
      <c r="H5464" s="1" t="s">
        <v>14</v>
      </c>
      <c r="I5464" s="1" t="s">
        <v>15</v>
      </c>
      <c r="J5464" s="12">
        <v>46003</v>
      </c>
      <c r="K5464">
        <v>0</v>
      </c>
      <c r="L5464" s="1">
        <f t="shared" si="340"/>
        <v>51.64</v>
      </c>
      <c r="M5464" s="1" t="str">
        <f t="shared" si="341"/>
        <v/>
      </c>
      <c r="N5464" s="2">
        <f t="shared" si="342"/>
        <v>45992</v>
      </c>
      <c r="O5464" t="str">
        <f t="shared" si="343"/>
        <v>mačka</v>
      </c>
    </row>
    <row r="5465" spans="1:15" x14ac:dyDescent="0.25">
      <c r="A5465">
        <v>12950</v>
      </c>
      <c r="B5465" s="11">
        <v>4003344556679</v>
      </c>
      <c r="C5465" s="1" t="s">
        <v>132</v>
      </c>
      <c r="D5465" s="1" t="s">
        <v>133</v>
      </c>
      <c r="E5465" s="1" t="s">
        <v>134</v>
      </c>
      <c r="F5465">
        <v>51.64</v>
      </c>
      <c r="G5465">
        <v>1</v>
      </c>
      <c r="H5465" s="1" t="s">
        <v>14</v>
      </c>
      <c r="I5465" s="1" t="s">
        <v>15</v>
      </c>
      <c r="J5465" s="12">
        <v>46003</v>
      </c>
      <c r="K5465">
        <v>0</v>
      </c>
      <c r="L5465" s="1">
        <f t="shared" si="340"/>
        <v>51.64</v>
      </c>
      <c r="M5465" s="1" t="str">
        <f t="shared" si="341"/>
        <v/>
      </c>
      <c r="N5465" s="2">
        <f t="shared" si="342"/>
        <v>45992</v>
      </c>
      <c r="O5465" t="str">
        <f t="shared" si="343"/>
        <v>pes</v>
      </c>
    </row>
    <row r="5466" spans="1:15" x14ac:dyDescent="0.25">
      <c r="A5466">
        <v>12951</v>
      </c>
      <c r="B5466" s="11">
        <v>4017890123450</v>
      </c>
      <c r="C5466" s="1" t="s">
        <v>65</v>
      </c>
      <c r="D5466" s="1" t="s">
        <v>39</v>
      </c>
      <c r="E5466" s="1" t="s">
        <v>22</v>
      </c>
      <c r="F5466">
        <v>7.6</v>
      </c>
      <c r="G5466">
        <v>2</v>
      </c>
      <c r="H5466" s="1" t="s">
        <v>14</v>
      </c>
      <c r="I5466" s="1" t="s">
        <v>15</v>
      </c>
      <c r="J5466" s="12">
        <v>46003</v>
      </c>
      <c r="K5466">
        <v>0</v>
      </c>
      <c r="L5466" s="1">
        <f t="shared" si="340"/>
        <v>15.2</v>
      </c>
      <c r="M5466" s="1" t="str">
        <f t="shared" si="341"/>
        <v/>
      </c>
      <c r="N5466" s="2">
        <f t="shared" si="342"/>
        <v>45992</v>
      </c>
      <c r="O5466" t="str">
        <f t="shared" si="343"/>
        <v>pes</v>
      </c>
    </row>
    <row r="5467" spans="1:15" x14ac:dyDescent="0.25">
      <c r="A5467">
        <v>12952</v>
      </c>
      <c r="B5467" s="11">
        <v>4028899001126</v>
      </c>
      <c r="C5467" s="1" t="s">
        <v>16</v>
      </c>
      <c r="D5467" s="1" t="s">
        <v>12</v>
      </c>
      <c r="E5467" s="1" t="s">
        <v>17</v>
      </c>
      <c r="F5467">
        <v>2.8</v>
      </c>
      <c r="G5467">
        <v>3</v>
      </c>
      <c r="H5467" s="1" t="s">
        <v>14</v>
      </c>
      <c r="I5467" s="1" t="s">
        <v>15</v>
      </c>
      <c r="J5467" s="12">
        <v>46003</v>
      </c>
      <c r="K5467">
        <v>0</v>
      </c>
      <c r="L5467" s="1">
        <f t="shared" si="340"/>
        <v>8.3999999999999986</v>
      </c>
      <c r="M5467" s="1" t="str">
        <f t="shared" si="341"/>
        <v/>
      </c>
      <c r="N5467" s="2">
        <f t="shared" si="342"/>
        <v>45992</v>
      </c>
      <c r="O5467" t="str">
        <f t="shared" si="343"/>
        <v>pes</v>
      </c>
    </row>
    <row r="5468" spans="1:15" x14ac:dyDescent="0.25">
      <c r="A5468">
        <v>12953</v>
      </c>
      <c r="B5468" s="11">
        <v>4013456789017</v>
      </c>
      <c r="C5468" s="1" t="s">
        <v>11</v>
      </c>
      <c r="D5468" s="1" t="s">
        <v>12</v>
      </c>
      <c r="E5468" s="1" t="s">
        <v>13</v>
      </c>
      <c r="F5468">
        <v>6</v>
      </c>
      <c r="G5468">
        <v>1</v>
      </c>
      <c r="H5468" s="1" t="s">
        <v>14</v>
      </c>
      <c r="I5468" s="1" t="s">
        <v>15</v>
      </c>
      <c r="J5468" s="12">
        <v>46003</v>
      </c>
      <c r="K5468">
        <v>0</v>
      </c>
      <c r="L5468" s="1">
        <f t="shared" si="340"/>
        <v>6</v>
      </c>
      <c r="M5468" s="1" t="str">
        <f t="shared" si="341"/>
        <v/>
      </c>
      <c r="N5468" s="2">
        <f t="shared" si="342"/>
        <v>45992</v>
      </c>
      <c r="O5468" t="str">
        <f t="shared" si="343"/>
        <v>pes</v>
      </c>
    </row>
    <row r="5469" spans="1:15" hidden="1" x14ac:dyDescent="0.25">
      <c r="A5469">
        <v>12954</v>
      </c>
      <c r="B5469" s="11">
        <v>4056789012345</v>
      </c>
      <c r="C5469" s="1" t="s">
        <v>47</v>
      </c>
      <c r="D5469" s="1" t="s">
        <v>29</v>
      </c>
      <c r="E5469" s="1" t="s">
        <v>37</v>
      </c>
      <c r="F5469">
        <v>2.4</v>
      </c>
      <c r="G5469">
        <v>2</v>
      </c>
      <c r="H5469" s="1" t="s">
        <v>18</v>
      </c>
      <c r="I5469" s="1" t="s">
        <v>850</v>
      </c>
      <c r="J5469" s="12">
        <v>46003</v>
      </c>
      <c r="K5469">
        <v>0</v>
      </c>
      <c r="L5469" s="1">
        <f t="shared" si="340"/>
        <v>4.8</v>
      </c>
      <c r="M5469" s="1">
        <f t="shared" si="341"/>
        <v>4</v>
      </c>
      <c r="N5469" s="2">
        <f t="shared" si="342"/>
        <v>45992</v>
      </c>
      <c r="O5469" t="str">
        <f t="shared" si="343"/>
        <v>mačka</v>
      </c>
    </row>
    <row r="5470" spans="1:15" x14ac:dyDescent="0.25">
      <c r="A5470">
        <v>12955</v>
      </c>
      <c r="B5470" s="11">
        <v>4027788990013</v>
      </c>
      <c r="C5470" s="1" t="s">
        <v>43</v>
      </c>
      <c r="D5470" s="1" t="s">
        <v>21</v>
      </c>
      <c r="E5470" s="1" t="s">
        <v>22</v>
      </c>
      <c r="F5470">
        <v>8</v>
      </c>
      <c r="G5470">
        <v>1</v>
      </c>
      <c r="H5470" s="1" t="s">
        <v>14</v>
      </c>
      <c r="I5470" s="1" t="s">
        <v>15</v>
      </c>
      <c r="J5470" s="12">
        <v>46003</v>
      </c>
      <c r="K5470">
        <v>0</v>
      </c>
      <c r="L5470" s="1">
        <f t="shared" si="340"/>
        <v>8</v>
      </c>
      <c r="M5470" s="1" t="str">
        <f t="shared" si="341"/>
        <v/>
      </c>
      <c r="N5470" s="2">
        <f t="shared" si="342"/>
        <v>45992</v>
      </c>
      <c r="O5470" t="str">
        <f t="shared" si="343"/>
        <v>pes</v>
      </c>
    </row>
    <row r="5471" spans="1:15" x14ac:dyDescent="0.25">
      <c r="A5471">
        <v>12956</v>
      </c>
      <c r="B5471" s="11">
        <v>4040123456795</v>
      </c>
      <c r="C5471" s="1" t="s">
        <v>20</v>
      </c>
      <c r="D5471" s="1" t="s">
        <v>21</v>
      </c>
      <c r="E5471" s="1" t="s">
        <v>22</v>
      </c>
      <c r="F5471">
        <v>8.8000000000000007</v>
      </c>
      <c r="G5471">
        <v>1</v>
      </c>
      <c r="H5471" s="1" t="s">
        <v>14</v>
      </c>
      <c r="I5471" s="1" t="s">
        <v>15</v>
      </c>
      <c r="J5471" s="12">
        <v>46003</v>
      </c>
      <c r="K5471">
        <v>0</v>
      </c>
      <c r="L5471" s="1">
        <f t="shared" si="340"/>
        <v>8.8000000000000007</v>
      </c>
      <c r="M5471" s="1" t="str">
        <f t="shared" si="341"/>
        <v/>
      </c>
      <c r="N5471" s="2">
        <f t="shared" si="342"/>
        <v>45992</v>
      </c>
      <c r="O5471" t="str">
        <f t="shared" si="343"/>
        <v>pes</v>
      </c>
    </row>
    <row r="5472" spans="1:15" x14ac:dyDescent="0.25">
      <c r="A5472">
        <v>12957</v>
      </c>
      <c r="B5472" s="11">
        <v>4063456789014</v>
      </c>
      <c r="C5472" s="1" t="s">
        <v>60</v>
      </c>
      <c r="D5472" s="1" t="s">
        <v>12</v>
      </c>
      <c r="E5472" s="1" t="s">
        <v>61</v>
      </c>
      <c r="F5472">
        <v>36</v>
      </c>
      <c r="G5472">
        <v>1</v>
      </c>
      <c r="H5472" s="1" t="s">
        <v>14</v>
      </c>
      <c r="I5472" s="1" t="s">
        <v>15</v>
      </c>
      <c r="J5472" s="12">
        <v>46003</v>
      </c>
      <c r="K5472">
        <v>0</v>
      </c>
      <c r="L5472" s="1">
        <f t="shared" si="340"/>
        <v>36</v>
      </c>
      <c r="M5472" s="1" t="str">
        <f t="shared" si="341"/>
        <v/>
      </c>
      <c r="N5472" s="2">
        <f t="shared" si="342"/>
        <v>45992</v>
      </c>
      <c r="O5472" t="str">
        <f t="shared" si="343"/>
        <v>pes</v>
      </c>
    </row>
    <row r="5473" spans="1:15" hidden="1" x14ac:dyDescent="0.25">
      <c r="A5473">
        <v>12958</v>
      </c>
      <c r="B5473" s="11">
        <v>8593456789012</v>
      </c>
      <c r="C5473" s="1" t="s">
        <v>28</v>
      </c>
      <c r="D5473" s="1" t="s">
        <v>29</v>
      </c>
      <c r="E5473" s="1" t="s">
        <v>30</v>
      </c>
      <c r="F5473">
        <v>42</v>
      </c>
      <c r="G5473">
        <v>1</v>
      </c>
      <c r="H5473" s="1" t="s">
        <v>14</v>
      </c>
      <c r="I5473" s="1" t="s">
        <v>15</v>
      </c>
      <c r="J5473" s="12">
        <v>46003</v>
      </c>
      <c r="K5473">
        <v>0</v>
      </c>
      <c r="L5473" s="1">
        <f t="shared" si="340"/>
        <v>42</v>
      </c>
      <c r="M5473" s="1" t="str">
        <f t="shared" si="341"/>
        <v/>
      </c>
      <c r="N5473" s="2">
        <f t="shared" si="342"/>
        <v>45992</v>
      </c>
      <c r="O5473" t="str">
        <f t="shared" si="343"/>
        <v>mačka</v>
      </c>
    </row>
    <row r="5474" spans="1:15" hidden="1" x14ac:dyDescent="0.25">
      <c r="A5474">
        <v>12959</v>
      </c>
      <c r="B5474" s="11">
        <v>4042233445567</v>
      </c>
      <c r="C5474" s="1" t="s">
        <v>637</v>
      </c>
      <c r="D5474" s="1" t="s">
        <v>140</v>
      </c>
      <c r="E5474" s="1" t="s">
        <v>141</v>
      </c>
      <c r="F5474">
        <v>51.64</v>
      </c>
      <c r="G5474">
        <v>1</v>
      </c>
      <c r="H5474" s="1" t="s">
        <v>14</v>
      </c>
      <c r="I5474" s="1" t="s">
        <v>15</v>
      </c>
      <c r="J5474" s="12">
        <v>46003</v>
      </c>
      <c r="K5474">
        <v>0</v>
      </c>
      <c r="L5474" s="1">
        <f t="shared" si="340"/>
        <v>51.64</v>
      </c>
      <c r="M5474" s="1" t="str">
        <f t="shared" si="341"/>
        <v/>
      </c>
      <c r="N5474" s="2">
        <f t="shared" si="342"/>
        <v>45992</v>
      </c>
      <c r="O5474" t="str">
        <f t="shared" si="343"/>
        <v>mačka</v>
      </c>
    </row>
    <row r="5475" spans="1:15" x14ac:dyDescent="0.25">
      <c r="A5475">
        <v>12960</v>
      </c>
      <c r="B5475" s="11">
        <v>4013456789017</v>
      </c>
      <c r="C5475" s="1" t="s">
        <v>11</v>
      </c>
      <c r="D5475" s="1" t="s">
        <v>12</v>
      </c>
      <c r="E5475" s="1" t="s">
        <v>13</v>
      </c>
      <c r="F5475">
        <v>6</v>
      </c>
      <c r="G5475">
        <v>1</v>
      </c>
      <c r="H5475" s="1" t="s">
        <v>23</v>
      </c>
      <c r="I5475" s="1" t="s">
        <v>813</v>
      </c>
      <c r="J5475" s="12">
        <v>46003</v>
      </c>
      <c r="K5475">
        <v>0</v>
      </c>
      <c r="L5475" s="1">
        <f t="shared" si="340"/>
        <v>6</v>
      </c>
      <c r="M5475" s="1">
        <f t="shared" si="341"/>
        <v>5</v>
      </c>
      <c r="N5475" s="2">
        <f t="shared" si="342"/>
        <v>45992</v>
      </c>
      <c r="O5475" t="str">
        <f t="shared" si="343"/>
        <v>pes</v>
      </c>
    </row>
    <row r="5476" spans="1:15" x14ac:dyDescent="0.25">
      <c r="A5476">
        <v>12961</v>
      </c>
      <c r="B5476" s="11">
        <v>4028899001126</v>
      </c>
      <c r="C5476" s="1" t="s">
        <v>16</v>
      </c>
      <c r="D5476" s="1" t="s">
        <v>12</v>
      </c>
      <c r="E5476" s="1" t="s">
        <v>17</v>
      </c>
      <c r="F5476">
        <v>2.8</v>
      </c>
      <c r="G5476">
        <v>2</v>
      </c>
      <c r="H5476" s="1" t="s">
        <v>14</v>
      </c>
      <c r="I5476" s="1" t="s">
        <v>15</v>
      </c>
      <c r="J5476" s="12">
        <v>46003</v>
      </c>
      <c r="K5476">
        <v>0</v>
      </c>
      <c r="L5476" s="1">
        <f t="shared" si="340"/>
        <v>5.6</v>
      </c>
      <c r="M5476" s="1" t="str">
        <f t="shared" si="341"/>
        <v/>
      </c>
      <c r="N5476" s="2">
        <f t="shared" si="342"/>
        <v>45992</v>
      </c>
      <c r="O5476" t="str">
        <f t="shared" si="343"/>
        <v>pes</v>
      </c>
    </row>
    <row r="5477" spans="1:15" hidden="1" x14ac:dyDescent="0.25">
      <c r="A5477">
        <v>12962</v>
      </c>
      <c r="B5477" s="11">
        <v>4042233445567</v>
      </c>
      <c r="C5477" s="1" t="s">
        <v>637</v>
      </c>
      <c r="D5477" s="1" t="s">
        <v>140</v>
      </c>
      <c r="E5477" s="1" t="s">
        <v>141</v>
      </c>
      <c r="F5477">
        <v>51.64</v>
      </c>
      <c r="G5477">
        <v>1</v>
      </c>
      <c r="H5477" s="1" t="s">
        <v>14</v>
      </c>
      <c r="I5477" s="1" t="s">
        <v>15</v>
      </c>
      <c r="J5477" s="12">
        <v>46003</v>
      </c>
      <c r="K5477">
        <v>0</v>
      </c>
      <c r="L5477" s="1">
        <f t="shared" si="340"/>
        <v>51.64</v>
      </c>
      <c r="M5477" s="1" t="str">
        <f t="shared" si="341"/>
        <v/>
      </c>
      <c r="N5477" s="2">
        <f t="shared" si="342"/>
        <v>45992</v>
      </c>
      <c r="O5477" t="str">
        <f t="shared" si="343"/>
        <v>mačka</v>
      </c>
    </row>
    <row r="5478" spans="1:15" hidden="1" x14ac:dyDescent="0.25">
      <c r="A5478">
        <v>12963</v>
      </c>
      <c r="B5478" s="11">
        <v>4056789012345</v>
      </c>
      <c r="C5478" s="1" t="s">
        <v>47</v>
      </c>
      <c r="D5478" s="1" t="s">
        <v>29</v>
      </c>
      <c r="E5478" s="1" t="s">
        <v>37</v>
      </c>
      <c r="F5478">
        <v>2.4</v>
      </c>
      <c r="G5478">
        <v>3</v>
      </c>
      <c r="H5478" s="1" t="s">
        <v>14</v>
      </c>
      <c r="I5478" s="1" t="s">
        <v>15</v>
      </c>
      <c r="J5478" s="12">
        <v>46003</v>
      </c>
      <c r="K5478">
        <v>0</v>
      </c>
      <c r="L5478" s="1">
        <f t="shared" si="340"/>
        <v>7.1999999999999993</v>
      </c>
      <c r="M5478" s="1" t="str">
        <f t="shared" si="341"/>
        <v/>
      </c>
      <c r="N5478" s="2">
        <f t="shared" si="342"/>
        <v>45992</v>
      </c>
      <c r="O5478" t="str">
        <f t="shared" si="343"/>
        <v>mačka</v>
      </c>
    </row>
    <row r="5479" spans="1:15" x14ac:dyDescent="0.25">
      <c r="A5479">
        <v>12964</v>
      </c>
      <c r="B5479" s="11">
        <v>4027788990013</v>
      </c>
      <c r="C5479" s="1" t="s">
        <v>43</v>
      </c>
      <c r="D5479" s="1" t="s">
        <v>21</v>
      </c>
      <c r="E5479" s="1" t="s">
        <v>22</v>
      </c>
      <c r="F5479">
        <v>8</v>
      </c>
      <c r="G5479">
        <v>1</v>
      </c>
      <c r="H5479" s="1" t="s">
        <v>14</v>
      </c>
      <c r="I5479" s="1" t="s">
        <v>15</v>
      </c>
      <c r="J5479" s="12">
        <v>46003</v>
      </c>
      <c r="K5479">
        <v>0</v>
      </c>
      <c r="L5479" s="1">
        <f t="shared" si="340"/>
        <v>8</v>
      </c>
      <c r="M5479" s="1" t="str">
        <f t="shared" si="341"/>
        <v/>
      </c>
      <c r="N5479" s="2">
        <f t="shared" si="342"/>
        <v>45992</v>
      </c>
      <c r="O5479" t="str">
        <f t="shared" si="343"/>
        <v>pes</v>
      </c>
    </row>
    <row r="5480" spans="1:15" x14ac:dyDescent="0.25">
      <c r="A5480">
        <v>12965</v>
      </c>
      <c r="B5480" s="11">
        <v>4040123456795</v>
      </c>
      <c r="C5480" s="1" t="s">
        <v>20</v>
      </c>
      <c r="D5480" s="1" t="s">
        <v>21</v>
      </c>
      <c r="E5480" s="1" t="s">
        <v>22</v>
      </c>
      <c r="F5480">
        <v>8.8000000000000007</v>
      </c>
      <c r="G5480">
        <v>1</v>
      </c>
      <c r="H5480" s="1" t="s">
        <v>14</v>
      </c>
      <c r="I5480" s="1" t="s">
        <v>15</v>
      </c>
      <c r="J5480" s="12">
        <v>46003</v>
      </c>
      <c r="K5480">
        <v>0</v>
      </c>
      <c r="L5480" s="1">
        <f t="shared" si="340"/>
        <v>8.8000000000000007</v>
      </c>
      <c r="M5480" s="1" t="str">
        <f t="shared" si="341"/>
        <v/>
      </c>
      <c r="N5480" s="2">
        <f t="shared" si="342"/>
        <v>45992</v>
      </c>
      <c r="O5480" t="str">
        <f t="shared" si="343"/>
        <v>pes</v>
      </c>
    </row>
    <row r="5481" spans="1:15" hidden="1" x14ac:dyDescent="0.25">
      <c r="A5481">
        <v>12966</v>
      </c>
      <c r="B5481" s="11">
        <v>4010123456783</v>
      </c>
      <c r="C5481" s="1" t="s">
        <v>35</v>
      </c>
      <c r="D5481" s="1" t="s">
        <v>36</v>
      </c>
      <c r="E5481" s="1" t="s">
        <v>37</v>
      </c>
      <c r="F5481">
        <v>14</v>
      </c>
      <c r="G5481">
        <v>1</v>
      </c>
      <c r="H5481" s="1" t="s">
        <v>14</v>
      </c>
      <c r="I5481" s="1" t="s">
        <v>15</v>
      </c>
      <c r="J5481" s="12">
        <v>46003</v>
      </c>
      <c r="K5481">
        <v>0</v>
      </c>
      <c r="L5481" s="1">
        <f t="shared" si="340"/>
        <v>14</v>
      </c>
      <c r="M5481" s="1" t="str">
        <f t="shared" si="341"/>
        <v/>
      </c>
      <c r="N5481" s="2">
        <f t="shared" si="342"/>
        <v>45992</v>
      </c>
      <c r="O5481" t="str">
        <f t="shared" si="343"/>
        <v>mačka</v>
      </c>
    </row>
    <row r="5482" spans="1:15" x14ac:dyDescent="0.25">
      <c r="A5482">
        <v>12967</v>
      </c>
      <c r="B5482" s="11">
        <v>4024567890128</v>
      </c>
      <c r="C5482" s="1" t="s">
        <v>682</v>
      </c>
      <c r="D5482" s="1" t="s">
        <v>12</v>
      </c>
      <c r="E5482" s="1" t="s">
        <v>134</v>
      </c>
      <c r="F5482">
        <v>40</v>
      </c>
      <c r="G5482">
        <v>1</v>
      </c>
      <c r="H5482" s="1" t="s">
        <v>14</v>
      </c>
      <c r="I5482" s="1" t="s">
        <v>15</v>
      </c>
      <c r="J5482" s="12">
        <v>46003</v>
      </c>
      <c r="K5482">
        <v>0</v>
      </c>
      <c r="L5482" s="1">
        <f t="shared" si="340"/>
        <v>40</v>
      </c>
      <c r="M5482" s="1" t="str">
        <f t="shared" si="341"/>
        <v/>
      </c>
      <c r="N5482" s="2">
        <f t="shared" si="342"/>
        <v>45992</v>
      </c>
      <c r="O5482" t="str">
        <f t="shared" si="343"/>
        <v>pes</v>
      </c>
    </row>
    <row r="5483" spans="1:15" x14ac:dyDescent="0.25">
      <c r="A5483">
        <v>12968</v>
      </c>
      <c r="B5483" s="11">
        <v>4022345678908</v>
      </c>
      <c r="C5483" s="1" t="s">
        <v>363</v>
      </c>
      <c r="D5483" s="1" t="s">
        <v>21</v>
      </c>
      <c r="E5483" s="1" t="s">
        <v>69</v>
      </c>
      <c r="F5483">
        <v>10</v>
      </c>
      <c r="G5483">
        <v>1</v>
      </c>
      <c r="H5483" s="1" t="s">
        <v>14</v>
      </c>
      <c r="I5483" s="1" t="s">
        <v>15</v>
      </c>
      <c r="J5483" s="12">
        <v>46003</v>
      </c>
      <c r="K5483">
        <v>0</v>
      </c>
      <c r="L5483" s="1">
        <f t="shared" si="340"/>
        <v>10</v>
      </c>
      <c r="M5483" s="1" t="str">
        <f t="shared" si="341"/>
        <v/>
      </c>
      <c r="N5483" s="2">
        <f t="shared" si="342"/>
        <v>45992</v>
      </c>
      <c r="O5483" t="str">
        <f t="shared" si="343"/>
        <v>pes</v>
      </c>
    </row>
    <row r="5484" spans="1:15" x14ac:dyDescent="0.25">
      <c r="A5484">
        <v>12969</v>
      </c>
      <c r="B5484" s="11">
        <v>4027788990013</v>
      </c>
      <c r="C5484" s="1" t="s">
        <v>43</v>
      </c>
      <c r="D5484" s="1" t="s">
        <v>21</v>
      </c>
      <c r="E5484" s="1" t="s">
        <v>22</v>
      </c>
      <c r="F5484">
        <v>8</v>
      </c>
      <c r="G5484">
        <v>1</v>
      </c>
      <c r="H5484" s="1" t="s">
        <v>14</v>
      </c>
      <c r="I5484" s="1" t="s">
        <v>15</v>
      </c>
      <c r="J5484" s="12">
        <v>46004</v>
      </c>
      <c r="K5484">
        <v>0</v>
      </c>
      <c r="L5484" s="1">
        <f t="shared" si="340"/>
        <v>8</v>
      </c>
      <c r="M5484" s="1" t="str">
        <f t="shared" si="341"/>
        <v/>
      </c>
      <c r="N5484" s="2">
        <f t="shared" si="342"/>
        <v>45992</v>
      </c>
      <c r="O5484" t="str">
        <f t="shared" si="343"/>
        <v>pes</v>
      </c>
    </row>
    <row r="5485" spans="1:15" x14ac:dyDescent="0.25">
      <c r="A5485">
        <v>12970</v>
      </c>
      <c r="B5485" s="11">
        <v>4028899001126</v>
      </c>
      <c r="C5485" s="1" t="s">
        <v>16</v>
      </c>
      <c r="D5485" s="1" t="s">
        <v>12</v>
      </c>
      <c r="E5485" s="1" t="s">
        <v>17</v>
      </c>
      <c r="F5485">
        <v>2.8</v>
      </c>
      <c r="G5485">
        <v>3</v>
      </c>
      <c r="H5485" s="1" t="s">
        <v>14</v>
      </c>
      <c r="I5485" s="1" t="s">
        <v>15</v>
      </c>
      <c r="J5485" s="12">
        <v>46004</v>
      </c>
      <c r="K5485">
        <v>0</v>
      </c>
      <c r="L5485" s="1">
        <f t="shared" si="340"/>
        <v>8.3999999999999986</v>
      </c>
      <c r="M5485" s="1" t="str">
        <f t="shared" si="341"/>
        <v/>
      </c>
      <c r="N5485" s="2">
        <f t="shared" si="342"/>
        <v>45992</v>
      </c>
      <c r="O5485" t="str">
        <f t="shared" si="343"/>
        <v>pes</v>
      </c>
    </row>
    <row r="5486" spans="1:15" x14ac:dyDescent="0.25">
      <c r="A5486">
        <v>12971</v>
      </c>
      <c r="B5486" s="11">
        <v>4013456789017</v>
      </c>
      <c r="C5486" s="1" t="s">
        <v>11</v>
      </c>
      <c r="D5486" s="1" t="s">
        <v>12</v>
      </c>
      <c r="E5486" s="1" t="s">
        <v>13</v>
      </c>
      <c r="F5486">
        <v>6</v>
      </c>
      <c r="G5486">
        <v>1</v>
      </c>
      <c r="H5486" s="1" t="s">
        <v>23</v>
      </c>
      <c r="I5486" s="1" t="s">
        <v>1287</v>
      </c>
      <c r="J5486" s="12">
        <v>46004</v>
      </c>
      <c r="K5486">
        <v>0</v>
      </c>
      <c r="L5486" s="1">
        <f t="shared" si="340"/>
        <v>6</v>
      </c>
      <c r="M5486" s="1">
        <f t="shared" si="341"/>
        <v>5</v>
      </c>
      <c r="N5486" s="2">
        <f t="shared" si="342"/>
        <v>45992</v>
      </c>
      <c r="O5486" t="str">
        <f t="shared" si="343"/>
        <v>pes</v>
      </c>
    </row>
    <row r="5487" spans="1:15" hidden="1" x14ac:dyDescent="0.25">
      <c r="A5487">
        <v>12972</v>
      </c>
      <c r="B5487" s="11">
        <v>4056789012345</v>
      </c>
      <c r="C5487" s="1" t="s">
        <v>47</v>
      </c>
      <c r="D5487" s="1" t="s">
        <v>29</v>
      </c>
      <c r="E5487" s="1" t="s">
        <v>37</v>
      </c>
      <c r="F5487">
        <v>2.4</v>
      </c>
      <c r="G5487">
        <v>2</v>
      </c>
      <c r="H5487" s="1" t="s">
        <v>14</v>
      </c>
      <c r="I5487" s="1" t="s">
        <v>15</v>
      </c>
      <c r="J5487" s="12">
        <v>46004</v>
      </c>
      <c r="K5487">
        <v>0</v>
      </c>
      <c r="L5487" s="1">
        <f t="shared" si="340"/>
        <v>4.8</v>
      </c>
      <c r="M5487" s="1" t="str">
        <f t="shared" si="341"/>
        <v/>
      </c>
      <c r="N5487" s="2">
        <f t="shared" si="342"/>
        <v>45992</v>
      </c>
      <c r="O5487" t="str">
        <f t="shared" si="343"/>
        <v>mačka</v>
      </c>
    </row>
    <row r="5488" spans="1:15" hidden="1" x14ac:dyDescent="0.25">
      <c r="A5488">
        <v>12973</v>
      </c>
      <c r="B5488" s="11">
        <v>4042233445567</v>
      </c>
      <c r="C5488" s="1" t="s">
        <v>637</v>
      </c>
      <c r="D5488" s="1" t="s">
        <v>140</v>
      </c>
      <c r="E5488" s="1" t="s">
        <v>141</v>
      </c>
      <c r="F5488">
        <v>51.64</v>
      </c>
      <c r="G5488">
        <v>1</v>
      </c>
      <c r="H5488" s="1" t="s">
        <v>14</v>
      </c>
      <c r="I5488" s="1" t="s">
        <v>15</v>
      </c>
      <c r="J5488" s="12">
        <v>46004</v>
      </c>
      <c r="K5488">
        <v>0</v>
      </c>
      <c r="L5488" s="1">
        <f t="shared" si="340"/>
        <v>51.64</v>
      </c>
      <c r="M5488" s="1" t="str">
        <f t="shared" si="341"/>
        <v/>
      </c>
      <c r="N5488" s="2">
        <f t="shared" si="342"/>
        <v>45992</v>
      </c>
      <c r="O5488" t="str">
        <f t="shared" si="343"/>
        <v>mačka</v>
      </c>
    </row>
    <row r="5489" spans="1:15" x14ac:dyDescent="0.25">
      <c r="A5489">
        <v>12974</v>
      </c>
      <c r="B5489" s="11">
        <v>4003344556679</v>
      </c>
      <c r="C5489" s="1" t="s">
        <v>132</v>
      </c>
      <c r="D5489" s="1" t="s">
        <v>133</v>
      </c>
      <c r="E5489" s="1" t="s">
        <v>134</v>
      </c>
      <c r="F5489">
        <v>51.64</v>
      </c>
      <c r="G5489">
        <v>1</v>
      </c>
      <c r="H5489" s="1" t="s">
        <v>14</v>
      </c>
      <c r="I5489" s="1" t="s">
        <v>15</v>
      </c>
      <c r="J5489" s="12">
        <v>46004</v>
      </c>
      <c r="K5489">
        <v>0</v>
      </c>
      <c r="L5489" s="1">
        <f t="shared" si="340"/>
        <v>51.64</v>
      </c>
      <c r="M5489" s="1" t="str">
        <f t="shared" si="341"/>
        <v/>
      </c>
      <c r="N5489" s="2">
        <f t="shared" si="342"/>
        <v>45992</v>
      </c>
      <c r="O5489" t="str">
        <f t="shared" si="343"/>
        <v>pes</v>
      </c>
    </row>
    <row r="5490" spans="1:15" x14ac:dyDescent="0.25">
      <c r="A5490">
        <v>12975</v>
      </c>
      <c r="B5490" s="11">
        <v>4027788990013</v>
      </c>
      <c r="C5490" s="1" t="s">
        <v>43</v>
      </c>
      <c r="D5490" s="1" t="s">
        <v>21</v>
      </c>
      <c r="E5490" s="1" t="s">
        <v>22</v>
      </c>
      <c r="F5490">
        <v>8</v>
      </c>
      <c r="G5490">
        <v>1</v>
      </c>
      <c r="H5490" s="1" t="s">
        <v>33</v>
      </c>
      <c r="I5490" s="1" t="s">
        <v>1288</v>
      </c>
      <c r="J5490" s="12">
        <v>46004</v>
      </c>
      <c r="K5490">
        <v>0</v>
      </c>
      <c r="L5490" s="1">
        <f t="shared" si="340"/>
        <v>8</v>
      </c>
      <c r="M5490" s="1">
        <f t="shared" si="341"/>
        <v>3</v>
      </c>
      <c r="N5490" s="2">
        <f t="shared" si="342"/>
        <v>45992</v>
      </c>
      <c r="O5490" t="str">
        <f t="shared" si="343"/>
        <v>pes</v>
      </c>
    </row>
    <row r="5491" spans="1:15" x14ac:dyDescent="0.25">
      <c r="A5491">
        <v>12976</v>
      </c>
      <c r="B5491" s="11">
        <v>4040123456795</v>
      </c>
      <c r="C5491" s="1" t="s">
        <v>20</v>
      </c>
      <c r="D5491" s="1" t="s">
        <v>21</v>
      </c>
      <c r="E5491" s="1" t="s">
        <v>22</v>
      </c>
      <c r="F5491">
        <v>8.8000000000000007</v>
      </c>
      <c r="G5491">
        <v>1</v>
      </c>
      <c r="H5491" s="1" t="s">
        <v>14</v>
      </c>
      <c r="I5491" s="1" t="s">
        <v>15</v>
      </c>
      <c r="J5491" s="12">
        <v>46004</v>
      </c>
      <c r="K5491">
        <v>0</v>
      </c>
      <c r="L5491" s="1">
        <f t="shared" si="340"/>
        <v>8.8000000000000007</v>
      </c>
      <c r="M5491" s="1" t="str">
        <f t="shared" si="341"/>
        <v/>
      </c>
      <c r="N5491" s="2">
        <f t="shared" si="342"/>
        <v>45992</v>
      </c>
      <c r="O5491" t="str">
        <f t="shared" si="343"/>
        <v>pes</v>
      </c>
    </row>
    <row r="5492" spans="1:15" x14ac:dyDescent="0.25">
      <c r="A5492">
        <v>12977</v>
      </c>
      <c r="B5492" s="11">
        <v>4028899001126</v>
      </c>
      <c r="C5492" s="1" t="s">
        <v>16</v>
      </c>
      <c r="D5492" s="1" t="s">
        <v>12</v>
      </c>
      <c r="E5492" s="1" t="s">
        <v>17</v>
      </c>
      <c r="F5492">
        <v>2.8</v>
      </c>
      <c r="G5492">
        <v>3</v>
      </c>
      <c r="H5492" s="1" t="s">
        <v>14</v>
      </c>
      <c r="I5492" s="1" t="s">
        <v>15</v>
      </c>
      <c r="J5492" s="12">
        <v>46004</v>
      </c>
      <c r="K5492">
        <v>0</v>
      </c>
      <c r="L5492" s="1">
        <f t="shared" si="340"/>
        <v>8.3999999999999986</v>
      </c>
      <c r="M5492" s="1" t="str">
        <f t="shared" si="341"/>
        <v/>
      </c>
      <c r="N5492" s="2">
        <f t="shared" si="342"/>
        <v>45992</v>
      </c>
      <c r="O5492" t="str">
        <f t="shared" si="343"/>
        <v>pes</v>
      </c>
    </row>
    <row r="5493" spans="1:15" x14ac:dyDescent="0.25">
      <c r="A5493">
        <v>12978</v>
      </c>
      <c r="B5493" s="11">
        <v>4013456789017</v>
      </c>
      <c r="C5493" s="1" t="s">
        <v>11</v>
      </c>
      <c r="D5493" s="1" t="s">
        <v>12</v>
      </c>
      <c r="E5493" s="1" t="s">
        <v>13</v>
      </c>
      <c r="F5493">
        <v>6</v>
      </c>
      <c r="G5493">
        <v>1</v>
      </c>
      <c r="H5493" s="1" t="s">
        <v>14</v>
      </c>
      <c r="I5493" s="1" t="s">
        <v>15</v>
      </c>
      <c r="J5493" s="12">
        <v>46004</v>
      </c>
      <c r="K5493">
        <v>0</v>
      </c>
      <c r="L5493" s="1">
        <f t="shared" si="340"/>
        <v>6</v>
      </c>
      <c r="M5493" s="1" t="str">
        <f t="shared" si="341"/>
        <v/>
      </c>
      <c r="N5493" s="2">
        <f t="shared" si="342"/>
        <v>45992</v>
      </c>
      <c r="O5493" t="str">
        <f t="shared" si="343"/>
        <v>pes</v>
      </c>
    </row>
    <row r="5494" spans="1:15" hidden="1" x14ac:dyDescent="0.25">
      <c r="A5494">
        <v>12979</v>
      </c>
      <c r="B5494" s="11">
        <v>4067890123456</v>
      </c>
      <c r="C5494" s="1" t="s">
        <v>68</v>
      </c>
      <c r="D5494" s="1" t="s">
        <v>29</v>
      </c>
      <c r="E5494" s="1" t="s">
        <v>69</v>
      </c>
      <c r="F5494">
        <v>36</v>
      </c>
      <c r="G5494">
        <v>1</v>
      </c>
      <c r="H5494" s="1" t="s">
        <v>14</v>
      </c>
      <c r="I5494" s="1" t="s">
        <v>15</v>
      </c>
      <c r="J5494" s="12">
        <v>46004</v>
      </c>
      <c r="K5494">
        <v>0</v>
      </c>
      <c r="L5494" s="1">
        <f t="shared" si="340"/>
        <v>36</v>
      </c>
      <c r="M5494" s="1" t="str">
        <f t="shared" si="341"/>
        <v/>
      </c>
      <c r="N5494" s="2">
        <f t="shared" si="342"/>
        <v>45992</v>
      </c>
      <c r="O5494" t="str">
        <f t="shared" si="343"/>
        <v>mačka</v>
      </c>
    </row>
    <row r="5495" spans="1:15" x14ac:dyDescent="0.25">
      <c r="A5495">
        <v>12980</v>
      </c>
      <c r="B5495" s="11">
        <v>4027788990013</v>
      </c>
      <c r="C5495" s="1" t="s">
        <v>43</v>
      </c>
      <c r="D5495" s="1" t="s">
        <v>21</v>
      </c>
      <c r="E5495" s="1" t="s">
        <v>22</v>
      </c>
      <c r="F5495">
        <v>8</v>
      </c>
      <c r="G5495">
        <v>1</v>
      </c>
      <c r="H5495" s="1" t="s">
        <v>14</v>
      </c>
      <c r="I5495" s="1" t="s">
        <v>15</v>
      </c>
      <c r="J5495" s="12">
        <v>46004</v>
      </c>
      <c r="K5495">
        <v>0</v>
      </c>
      <c r="L5495" s="1">
        <f t="shared" si="340"/>
        <v>8</v>
      </c>
      <c r="M5495" s="1" t="str">
        <f t="shared" si="341"/>
        <v/>
      </c>
      <c r="N5495" s="2">
        <f t="shared" si="342"/>
        <v>45992</v>
      </c>
      <c r="O5495" t="str">
        <f t="shared" si="343"/>
        <v>pes</v>
      </c>
    </row>
    <row r="5496" spans="1:15" x14ac:dyDescent="0.25">
      <c r="A5496">
        <v>12981</v>
      </c>
      <c r="B5496" s="11">
        <v>4024567890128</v>
      </c>
      <c r="C5496" s="1" t="s">
        <v>682</v>
      </c>
      <c r="D5496" s="1" t="s">
        <v>12</v>
      </c>
      <c r="E5496" s="1" t="s">
        <v>134</v>
      </c>
      <c r="F5496">
        <v>40</v>
      </c>
      <c r="G5496">
        <v>1</v>
      </c>
      <c r="H5496" s="1" t="s">
        <v>14</v>
      </c>
      <c r="I5496" s="1" t="s">
        <v>15</v>
      </c>
      <c r="J5496" s="12">
        <v>46004</v>
      </c>
      <c r="K5496">
        <v>0</v>
      </c>
      <c r="L5496" s="1">
        <f t="shared" si="340"/>
        <v>40</v>
      </c>
      <c r="M5496" s="1" t="str">
        <f t="shared" si="341"/>
        <v/>
      </c>
      <c r="N5496" s="2">
        <f t="shared" si="342"/>
        <v>45992</v>
      </c>
      <c r="O5496" t="str">
        <f t="shared" si="343"/>
        <v>pes</v>
      </c>
    </row>
    <row r="5497" spans="1:15" x14ac:dyDescent="0.25">
      <c r="A5497">
        <v>12982</v>
      </c>
      <c r="B5497" s="11">
        <v>4017890123450</v>
      </c>
      <c r="C5497" s="1" t="s">
        <v>65</v>
      </c>
      <c r="D5497" s="1" t="s">
        <v>39</v>
      </c>
      <c r="E5497" s="1" t="s">
        <v>22</v>
      </c>
      <c r="F5497">
        <v>7.6</v>
      </c>
      <c r="G5497">
        <v>1</v>
      </c>
      <c r="H5497" s="1" t="s">
        <v>14</v>
      </c>
      <c r="I5497" s="1" t="s">
        <v>15</v>
      </c>
      <c r="J5497" s="12">
        <v>46004</v>
      </c>
      <c r="K5497">
        <v>0</v>
      </c>
      <c r="L5497" s="1">
        <f t="shared" si="340"/>
        <v>7.6</v>
      </c>
      <c r="M5497" s="1" t="str">
        <f t="shared" si="341"/>
        <v/>
      </c>
      <c r="N5497" s="2">
        <f t="shared" si="342"/>
        <v>45992</v>
      </c>
      <c r="O5497" t="str">
        <f t="shared" si="343"/>
        <v>pes</v>
      </c>
    </row>
    <row r="5498" spans="1:15" hidden="1" x14ac:dyDescent="0.25">
      <c r="A5498">
        <v>12983</v>
      </c>
      <c r="B5498" s="11">
        <v>4056789012345</v>
      </c>
      <c r="C5498" s="1" t="s">
        <v>47</v>
      </c>
      <c r="D5498" s="1" t="s">
        <v>29</v>
      </c>
      <c r="E5498" s="1" t="s">
        <v>37</v>
      </c>
      <c r="F5498">
        <v>2.4</v>
      </c>
      <c r="G5498">
        <v>2</v>
      </c>
      <c r="H5498" s="1" t="s">
        <v>14</v>
      </c>
      <c r="I5498" s="1" t="s">
        <v>15</v>
      </c>
      <c r="J5498" s="12">
        <v>46004</v>
      </c>
      <c r="K5498">
        <v>0</v>
      </c>
      <c r="L5498" s="1">
        <f t="shared" si="340"/>
        <v>4.8</v>
      </c>
      <c r="M5498" s="1" t="str">
        <f t="shared" si="341"/>
        <v/>
      </c>
      <c r="N5498" s="2">
        <f t="shared" si="342"/>
        <v>45992</v>
      </c>
      <c r="O5498" t="str">
        <f t="shared" si="343"/>
        <v>mačka</v>
      </c>
    </row>
    <row r="5499" spans="1:15" hidden="1" x14ac:dyDescent="0.25">
      <c r="A5499">
        <v>12984</v>
      </c>
      <c r="B5499" s="11">
        <v>4042233445567</v>
      </c>
      <c r="C5499" s="1" t="s">
        <v>637</v>
      </c>
      <c r="D5499" s="1" t="s">
        <v>140</v>
      </c>
      <c r="E5499" s="1" t="s">
        <v>141</v>
      </c>
      <c r="F5499">
        <v>51.64</v>
      </c>
      <c r="G5499">
        <v>1</v>
      </c>
      <c r="H5499" s="1" t="s">
        <v>14</v>
      </c>
      <c r="I5499" s="1" t="s">
        <v>15</v>
      </c>
      <c r="J5499" s="12">
        <v>46004</v>
      </c>
      <c r="K5499">
        <v>0</v>
      </c>
      <c r="L5499" s="1">
        <f t="shared" si="340"/>
        <v>51.64</v>
      </c>
      <c r="M5499" s="1" t="str">
        <f t="shared" si="341"/>
        <v/>
      </c>
      <c r="N5499" s="2">
        <f t="shared" si="342"/>
        <v>45992</v>
      </c>
      <c r="O5499" t="str">
        <f t="shared" si="343"/>
        <v>mačka</v>
      </c>
    </row>
    <row r="5500" spans="1:15" x14ac:dyDescent="0.25">
      <c r="A5500">
        <v>12985</v>
      </c>
      <c r="B5500" s="11">
        <v>4028899001126</v>
      </c>
      <c r="C5500" s="1" t="s">
        <v>16</v>
      </c>
      <c r="D5500" s="1" t="s">
        <v>12</v>
      </c>
      <c r="E5500" s="1" t="s">
        <v>17</v>
      </c>
      <c r="F5500">
        <v>2.8</v>
      </c>
      <c r="G5500">
        <v>3</v>
      </c>
      <c r="H5500" s="1" t="s">
        <v>14</v>
      </c>
      <c r="I5500" s="1" t="s">
        <v>15</v>
      </c>
      <c r="J5500" s="12">
        <v>46004</v>
      </c>
      <c r="K5500">
        <v>0</v>
      </c>
      <c r="L5500" s="1">
        <f t="shared" si="340"/>
        <v>8.3999999999999986</v>
      </c>
      <c r="M5500" s="1" t="str">
        <f t="shared" si="341"/>
        <v/>
      </c>
      <c r="N5500" s="2">
        <f t="shared" si="342"/>
        <v>45992</v>
      </c>
      <c r="O5500" t="str">
        <f t="shared" si="343"/>
        <v>pes</v>
      </c>
    </row>
    <row r="5501" spans="1:15" x14ac:dyDescent="0.25">
      <c r="A5501">
        <v>12986</v>
      </c>
      <c r="B5501" s="11">
        <v>4013456789017</v>
      </c>
      <c r="C5501" s="1" t="s">
        <v>11</v>
      </c>
      <c r="D5501" s="1" t="s">
        <v>12</v>
      </c>
      <c r="E5501" s="1" t="s">
        <v>13</v>
      </c>
      <c r="F5501">
        <v>6</v>
      </c>
      <c r="G5501">
        <v>1</v>
      </c>
      <c r="H5501" s="1" t="s">
        <v>14</v>
      </c>
      <c r="I5501" s="1" t="s">
        <v>15</v>
      </c>
      <c r="J5501" s="12">
        <v>46004</v>
      </c>
      <c r="K5501">
        <v>0</v>
      </c>
      <c r="L5501" s="1">
        <f t="shared" si="340"/>
        <v>6</v>
      </c>
      <c r="M5501" s="1" t="str">
        <f t="shared" si="341"/>
        <v/>
      </c>
      <c r="N5501" s="2">
        <f t="shared" si="342"/>
        <v>45992</v>
      </c>
      <c r="O5501" t="str">
        <f t="shared" si="343"/>
        <v>pes</v>
      </c>
    </row>
    <row r="5502" spans="1:15" x14ac:dyDescent="0.25">
      <c r="A5502">
        <v>12987</v>
      </c>
      <c r="B5502" s="11">
        <v>4040123456795</v>
      </c>
      <c r="C5502" s="1" t="s">
        <v>20</v>
      </c>
      <c r="D5502" s="1" t="s">
        <v>21</v>
      </c>
      <c r="E5502" s="1" t="s">
        <v>22</v>
      </c>
      <c r="F5502">
        <v>8.8000000000000007</v>
      </c>
      <c r="G5502">
        <v>1</v>
      </c>
      <c r="H5502" s="1" t="s">
        <v>18</v>
      </c>
      <c r="I5502" s="1" t="s">
        <v>1289</v>
      </c>
      <c r="J5502" s="12">
        <v>46004</v>
      </c>
      <c r="K5502">
        <v>0</v>
      </c>
      <c r="L5502" s="1">
        <f t="shared" si="340"/>
        <v>8.8000000000000007</v>
      </c>
      <c r="M5502" s="1">
        <f t="shared" si="341"/>
        <v>4</v>
      </c>
      <c r="N5502" s="2">
        <f t="shared" si="342"/>
        <v>45992</v>
      </c>
      <c r="O5502" t="str">
        <f t="shared" si="343"/>
        <v>pes</v>
      </c>
    </row>
    <row r="5503" spans="1:15" x14ac:dyDescent="0.25">
      <c r="A5503">
        <v>12988</v>
      </c>
      <c r="B5503" s="11">
        <v>4028899001126</v>
      </c>
      <c r="C5503" s="1" t="s">
        <v>16</v>
      </c>
      <c r="D5503" s="1" t="s">
        <v>12</v>
      </c>
      <c r="E5503" s="1" t="s">
        <v>17</v>
      </c>
      <c r="F5503">
        <v>2.8</v>
      </c>
      <c r="G5503">
        <v>2</v>
      </c>
      <c r="H5503" s="1" t="s">
        <v>14</v>
      </c>
      <c r="I5503" s="1" t="s">
        <v>15</v>
      </c>
      <c r="J5503" s="12">
        <v>46004</v>
      </c>
      <c r="K5503">
        <v>0</v>
      </c>
      <c r="L5503" s="1">
        <f t="shared" si="340"/>
        <v>5.6</v>
      </c>
      <c r="M5503" s="1" t="str">
        <f t="shared" si="341"/>
        <v/>
      </c>
      <c r="N5503" s="2">
        <f t="shared" si="342"/>
        <v>45992</v>
      </c>
      <c r="O5503" t="str">
        <f t="shared" si="343"/>
        <v>pes</v>
      </c>
    </row>
    <row r="5504" spans="1:15" hidden="1" x14ac:dyDescent="0.25">
      <c r="A5504">
        <v>12989</v>
      </c>
      <c r="B5504" s="11">
        <v>4056789012345</v>
      </c>
      <c r="C5504" s="1" t="s">
        <v>47</v>
      </c>
      <c r="D5504" s="1" t="s">
        <v>29</v>
      </c>
      <c r="E5504" s="1" t="s">
        <v>37</v>
      </c>
      <c r="F5504">
        <v>2.4</v>
      </c>
      <c r="G5504">
        <v>2</v>
      </c>
      <c r="H5504" s="1" t="s">
        <v>14</v>
      </c>
      <c r="I5504" s="1" t="s">
        <v>15</v>
      </c>
      <c r="J5504" s="12">
        <v>46004</v>
      </c>
      <c r="K5504">
        <v>0</v>
      </c>
      <c r="L5504" s="1">
        <f t="shared" si="340"/>
        <v>4.8</v>
      </c>
      <c r="M5504" s="1" t="str">
        <f t="shared" si="341"/>
        <v/>
      </c>
      <c r="N5504" s="2">
        <f t="shared" si="342"/>
        <v>45992</v>
      </c>
      <c r="O5504" t="str">
        <f t="shared" si="343"/>
        <v>mačka</v>
      </c>
    </row>
    <row r="5505" spans="1:15" x14ac:dyDescent="0.25">
      <c r="A5505">
        <v>12990</v>
      </c>
      <c r="B5505" s="11">
        <v>4003344556679</v>
      </c>
      <c r="C5505" s="1" t="s">
        <v>132</v>
      </c>
      <c r="D5505" s="1" t="s">
        <v>133</v>
      </c>
      <c r="E5505" s="1" t="s">
        <v>134</v>
      </c>
      <c r="F5505">
        <v>51.64</v>
      </c>
      <c r="G5505">
        <v>1</v>
      </c>
      <c r="H5505" s="1" t="s">
        <v>14</v>
      </c>
      <c r="I5505" s="1" t="s">
        <v>15</v>
      </c>
      <c r="J5505" s="12">
        <v>46004</v>
      </c>
      <c r="K5505">
        <v>0</v>
      </c>
      <c r="L5505" s="1">
        <f t="shared" si="340"/>
        <v>51.64</v>
      </c>
      <c r="M5505" s="1" t="str">
        <f t="shared" si="341"/>
        <v/>
      </c>
      <c r="N5505" s="2">
        <f t="shared" si="342"/>
        <v>45992</v>
      </c>
      <c r="O5505" t="str">
        <f t="shared" si="343"/>
        <v>pes</v>
      </c>
    </row>
    <row r="5506" spans="1:15" hidden="1" x14ac:dyDescent="0.25">
      <c r="A5506">
        <v>12991</v>
      </c>
      <c r="B5506" s="11">
        <v>4042233445567</v>
      </c>
      <c r="C5506" s="1" t="s">
        <v>637</v>
      </c>
      <c r="D5506" s="1" t="s">
        <v>140</v>
      </c>
      <c r="E5506" s="1" t="s">
        <v>141</v>
      </c>
      <c r="F5506">
        <v>51.64</v>
      </c>
      <c r="G5506">
        <v>1</v>
      </c>
      <c r="H5506" s="1" t="s">
        <v>14</v>
      </c>
      <c r="I5506" s="1" t="s">
        <v>15</v>
      </c>
      <c r="J5506" s="12">
        <v>46004</v>
      </c>
      <c r="K5506">
        <v>0</v>
      </c>
      <c r="L5506" s="1">
        <f t="shared" ref="L5506:L5569" si="344">F5506*G5506</f>
        <v>51.64</v>
      </c>
      <c r="M5506" s="1" t="str">
        <f t="shared" ref="M5506:M5569" si="345">IF(H5506="NULL", "",VALUE(H5506))</f>
        <v/>
      </c>
      <c r="N5506" s="2">
        <f t="shared" ref="N5506:N5569" si="346">DATE(YEAR(J5506),MONTH(J5506),1)</f>
        <v>45992</v>
      </c>
      <c r="O5506" t="str">
        <f t="shared" ref="O5506:O5569" si="347">IF(ISNUMBER(SEARCH("Mačky",D5506)),"mačka",IF(ISNUMBER(SEARCH("Psy",D5506)),"pes","iné"))</f>
        <v>mačka</v>
      </c>
    </row>
    <row r="5507" spans="1:15" x14ac:dyDescent="0.25">
      <c r="A5507">
        <v>12992</v>
      </c>
      <c r="B5507" s="11">
        <v>4027788990013</v>
      </c>
      <c r="C5507" s="1" t="s">
        <v>43</v>
      </c>
      <c r="D5507" s="1" t="s">
        <v>21</v>
      </c>
      <c r="E5507" s="1" t="s">
        <v>22</v>
      </c>
      <c r="F5507">
        <v>8</v>
      </c>
      <c r="G5507">
        <v>1</v>
      </c>
      <c r="H5507" s="1" t="s">
        <v>14</v>
      </c>
      <c r="I5507" s="1" t="s">
        <v>15</v>
      </c>
      <c r="J5507" s="12">
        <v>46004</v>
      </c>
      <c r="K5507">
        <v>0</v>
      </c>
      <c r="L5507" s="1">
        <f t="shared" si="344"/>
        <v>8</v>
      </c>
      <c r="M5507" s="1" t="str">
        <f t="shared" si="345"/>
        <v/>
      </c>
      <c r="N5507" s="2">
        <f t="shared" si="346"/>
        <v>45992</v>
      </c>
      <c r="O5507" t="str">
        <f t="shared" si="347"/>
        <v>pes</v>
      </c>
    </row>
    <row r="5508" spans="1:15" x14ac:dyDescent="0.25">
      <c r="A5508">
        <v>12993</v>
      </c>
      <c r="B5508" s="11">
        <v>4028899001126</v>
      </c>
      <c r="C5508" s="1" t="s">
        <v>16</v>
      </c>
      <c r="D5508" s="1" t="s">
        <v>12</v>
      </c>
      <c r="E5508" s="1" t="s">
        <v>17</v>
      </c>
      <c r="F5508">
        <v>2.8</v>
      </c>
      <c r="G5508">
        <v>3</v>
      </c>
      <c r="H5508" s="1" t="s">
        <v>14</v>
      </c>
      <c r="I5508" s="1" t="s">
        <v>15</v>
      </c>
      <c r="J5508" s="12">
        <v>46004</v>
      </c>
      <c r="K5508">
        <v>0</v>
      </c>
      <c r="L5508" s="1">
        <f t="shared" si="344"/>
        <v>8.3999999999999986</v>
      </c>
      <c r="M5508" s="1" t="str">
        <f t="shared" si="345"/>
        <v/>
      </c>
      <c r="N5508" s="2">
        <f t="shared" si="346"/>
        <v>45992</v>
      </c>
      <c r="O5508" t="str">
        <f t="shared" si="347"/>
        <v>pes</v>
      </c>
    </row>
    <row r="5509" spans="1:15" x14ac:dyDescent="0.25">
      <c r="A5509">
        <v>12994</v>
      </c>
      <c r="B5509" s="11">
        <v>4013456789017</v>
      </c>
      <c r="C5509" s="1" t="s">
        <v>11</v>
      </c>
      <c r="D5509" s="1" t="s">
        <v>12</v>
      </c>
      <c r="E5509" s="1" t="s">
        <v>13</v>
      </c>
      <c r="F5509">
        <v>6</v>
      </c>
      <c r="G5509">
        <v>1</v>
      </c>
      <c r="H5509" s="1" t="s">
        <v>14</v>
      </c>
      <c r="I5509" s="1" t="s">
        <v>15</v>
      </c>
      <c r="J5509" s="12">
        <v>46004</v>
      </c>
      <c r="K5509">
        <v>0</v>
      </c>
      <c r="L5509" s="1">
        <f t="shared" si="344"/>
        <v>6</v>
      </c>
      <c r="M5509" s="1" t="str">
        <f t="shared" si="345"/>
        <v/>
      </c>
      <c r="N5509" s="2">
        <f t="shared" si="346"/>
        <v>45992</v>
      </c>
      <c r="O5509" t="str">
        <f t="shared" si="347"/>
        <v>pes</v>
      </c>
    </row>
    <row r="5510" spans="1:15" hidden="1" x14ac:dyDescent="0.25">
      <c r="A5510">
        <v>12995</v>
      </c>
      <c r="B5510" s="11">
        <v>4056789012345</v>
      </c>
      <c r="C5510" s="1" t="s">
        <v>47</v>
      </c>
      <c r="D5510" s="1" t="s">
        <v>29</v>
      </c>
      <c r="E5510" s="1" t="s">
        <v>37</v>
      </c>
      <c r="F5510">
        <v>2.4</v>
      </c>
      <c r="G5510">
        <v>2</v>
      </c>
      <c r="H5510" s="1" t="s">
        <v>14</v>
      </c>
      <c r="I5510" s="1" t="s">
        <v>15</v>
      </c>
      <c r="J5510" s="12">
        <v>46004</v>
      </c>
      <c r="K5510">
        <v>0</v>
      </c>
      <c r="L5510" s="1">
        <f t="shared" si="344"/>
        <v>4.8</v>
      </c>
      <c r="M5510" s="1" t="str">
        <f t="shared" si="345"/>
        <v/>
      </c>
      <c r="N5510" s="2">
        <f t="shared" si="346"/>
        <v>45992</v>
      </c>
      <c r="O5510" t="str">
        <f t="shared" si="347"/>
        <v>mačka</v>
      </c>
    </row>
    <row r="5511" spans="1:15" x14ac:dyDescent="0.25">
      <c r="A5511">
        <v>12996</v>
      </c>
      <c r="B5511" s="11">
        <v>4040123456795</v>
      </c>
      <c r="C5511" s="1" t="s">
        <v>20</v>
      </c>
      <c r="D5511" s="1" t="s">
        <v>21</v>
      </c>
      <c r="E5511" s="1" t="s">
        <v>22</v>
      </c>
      <c r="F5511">
        <v>8.8000000000000007</v>
      </c>
      <c r="G5511">
        <v>1</v>
      </c>
      <c r="H5511" s="1" t="s">
        <v>18</v>
      </c>
      <c r="I5511" s="1" t="s">
        <v>1290</v>
      </c>
      <c r="J5511" s="12">
        <v>46004</v>
      </c>
      <c r="K5511">
        <v>0</v>
      </c>
      <c r="L5511" s="1">
        <f t="shared" si="344"/>
        <v>8.8000000000000007</v>
      </c>
      <c r="M5511" s="1">
        <f t="shared" si="345"/>
        <v>4</v>
      </c>
      <c r="N5511" s="2">
        <f t="shared" si="346"/>
        <v>45992</v>
      </c>
      <c r="O5511" t="str">
        <f t="shared" si="347"/>
        <v>pes</v>
      </c>
    </row>
    <row r="5512" spans="1:15" x14ac:dyDescent="0.25">
      <c r="A5512">
        <v>12997</v>
      </c>
      <c r="B5512" s="11">
        <v>4063456789014</v>
      </c>
      <c r="C5512" s="1" t="s">
        <v>60</v>
      </c>
      <c r="D5512" s="1" t="s">
        <v>12</v>
      </c>
      <c r="E5512" s="1" t="s">
        <v>61</v>
      </c>
      <c r="F5512">
        <v>36</v>
      </c>
      <c r="G5512">
        <v>1</v>
      </c>
      <c r="H5512" s="1" t="s">
        <v>14</v>
      </c>
      <c r="I5512" s="1" t="s">
        <v>15</v>
      </c>
      <c r="J5512" s="12">
        <v>46004</v>
      </c>
      <c r="K5512">
        <v>0</v>
      </c>
      <c r="L5512" s="1">
        <f t="shared" si="344"/>
        <v>36</v>
      </c>
      <c r="M5512" s="1" t="str">
        <f t="shared" si="345"/>
        <v/>
      </c>
      <c r="N5512" s="2">
        <f t="shared" si="346"/>
        <v>45992</v>
      </c>
      <c r="O5512" t="str">
        <f t="shared" si="347"/>
        <v>pes</v>
      </c>
    </row>
    <row r="5513" spans="1:15" hidden="1" x14ac:dyDescent="0.25">
      <c r="A5513">
        <v>12998</v>
      </c>
      <c r="B5513" s="11">
        <v>8593456789012</v>
      </c>
      <c r="C5513" s="1" t="s">
        <v>28</v>
      </c>
      <c r="D5513" s="1" t="s">
        <v>29</v>
      </c>
      <c r="E5513" s="1" t="s">
        <v>30</v>
      </c>
      <c r="F5513">
        <v>42</v>
      </c>
      <c r="G5513">
        <v>1</v>
      </c>
      <c r="H5513" s="1" t="s">
        <v>14</v>
      </c>
      <c r="I5513" s="1" t="s">
        <v>15</v>
      </c>
      <c r="J5513" s="12">
        <v>46004</v>
      </c>
      <c r="K5513">
        <v>0</v>
      </c>
      <c r="L5513" s="1">
        <f t="shared" si="344"/>
        <v>42</v>
      </c>
      <c r="M5513" s="1" t="str">
        <f t="shared" si="345"/>
        <v/>
      </c>
      <c r="N5513" s="2">
        <f t="shared" si="346"/>
        <v>45992</v>
      </c>
      <c r="O5513" t="str">
        <f t="shared" si="347"/>
        <v>mačka</v>
      </c>
    </row>
    <row r="5514" spans="1:15" hidden="1" x14ac:dyDescent="0.25">
      <c r="A5514">
        <v>12999</v>
      </c>
      <c r="B5514" s="11">
        <v>4042233445567</v>
      </c>
      <c r="C5514" s="1" t="s">
        <v>637</v>
      </c>
      <c r="D5514" s="1" t="s">
        <v>140</v>
      </c>
      <c r="E5514" s="1" t="s">
        <v>141</v>
      </c>
      <c r="F5514">
        <v>51.64</v>
      </c>
      <c r="G5514">
        <v>1</v>
      </c>
      <c r="H5514" s="1" t="s">
        <v>14</v>
      </c>
      <c r="I5514" s="1" t="s">
        <v>15</v>
      </c>
      <c r="J5514" s="12">
        <v>46004</v>
      </c>
      <c r="K5514">
        <v>0</v>
      </c>
      <c r="L5514" s="1">
        <f t="shared" si="344"/>
        <v>51.64</v>
      </c>
      <c r="M5514" s="1" t="str">
        <f t="shared" si="345"/>
        <v/>
      </c>
      <c r="N5514" s="2">
        <f t="shared" si="346"/>
        <v>45992</v>
      </c>
      <c r="O5514" t="str">
        <f t="shared" si="347"/>
        <v>mačka</v>
      </c>
    </row>
    <row r="5515" spans="1:15" hidden="1" x14ac:dyDescent="0.25">
      <c r="A5515">
        <v>13000</v>
      </c>
      <c r="B5515" s="11">
        <v>4010123456783</v>
      </c>
      <c r="C5515" s="1" t="s">
        <v>35</v>
      </c>
      <c r="D5515" s="1" t="s">
        <v>36</v>
      </c>
      <c r="E5515" s="1" t="s">
        <v>37</v>
      </c>
      <c r="F5515">
        <v>14</v>
      </c>
      <c r="G5515">
        <v>1</v>
      </c>
      <c r="H5515" s="1" t="s">
        <v>14</v>
      </c>
      <c r="I5515" s="1" t="s">
        <v>15</v>
      </c>
      <c r="J5515" s="12">
        <v>46004</v>
      </c>
      <c r="K5515">
        <v>0</v>
      </c>
      <c r="L5515" s="1">
        <f t="shared" si="344"/>
        <v>14</v>
      </c>
      <c r="M5515" s="1" t="str">
        <f t="shared" si="345"/>
        <v/>
      </c>
      <c r="N5515" s="2">
        <f t="shared" si="346"/>
        <v>45992</v>
      </c>
      <c r="O5515" t="str">
        <f t="shared" si="347"/>
        <v>mačka</v>
      </c>
    </row>
    <row r="5516" spans="1:15" x14ac:dyDescent="0.25">
      <c r="A5516">
        <v>13001</v>
      </c>
      <c r="B5516" s="11">
        <v>4028899001126</v>
      </c>
      <c r="C5516" s="1" t="s">
        <v>16</v>
      </c>
      <c r="D5516" s="1" t="s">
        <v>12</v>
      </c>
      <c r="E5516" s="1" t="s">
        <v>17</v>
      </c>
      <c r="F5516">
        <v>2.8</v>
      </c>
      <c r="G5516">
        <v>3</v>
      </c>
      <c r="H5516" s="1" t="s">
        <v>14</v>
      </c>
      <c r="I5516" s="1" t="s">
        <v>15</v>
      </c>
      <c r="J5516" s="12">
        <v>46004</v>
      </c>
      <c r="K5516">
        <v>0</v>
      </c>
      <c r="L5516" s="1">
        <f t="shared" si="344"/>
        <v>8.3999999999999986</v>
      </c>
      <c r="M5516" s="1" t="str">
        <f t="shared" si="345"/>
        <v/>
      </c>
      <c r="N5516" s="2">
        <f t="shared" si="346"/>
        <v>45992</v>
      </c>
      <c r="O5516" t="str">
        <f t="shared" si="347"/>
        <v>pes</v>
      </c>
    </row>
    <row r="5517" spans="1:15" x14ac:dyDescent="0.25">
      <c r="A5517">
        <v>13002</v>
      </c>
      <c r="B5517" s="11">
        <v>4013456789017</v>
      </c>
      <c r="C5517" s="1" t="s">
        <v>11</v>
      </c>
      <c r="D5517" s="1" t="s">
        <v>12</v>
      </c>
      <c r="E5517" s="1" t="s">
        <v>13</v>
      </c>
      <c r="F5517">
        <v>6</v>
      </c>
      <c r="G5517">
        <v>1</v>
      </c>
      <c r="H5517" s="1" t="s">
        <v>14</v>
      </c>
      <c r="I5517" s="1" t="s">
        <v>15</v>
      </c>
      <c r="J5517" s="12">
        <v>46004</v>
      </c>
      <c r="K5517">
        <v>0</v>
      </c>
      <c r="L5517" s="1">
        <f t="shared" si="344"/>
        <v>6</v>
      </c>
      <c r="M5517" s="1" t="str">
        <f t="shared" si="345"/>
        <v/>
      </c>
      <c r="N5517" s="2">
        <f t="shared" si="346"/>
        <v>45992</v>
      </c>
      <c r="O5517" t="str">
        <f t="shared" si="347"/>
        <v>pes</v>
      </c>
    </row>
    <row r="5518" spans="1:15" x14ac:dyDescent="0.25">
      <c r="A5518">
        <v>13003</v>
      </c>
      <c r="B5518" s="11">
        <v>4040123456795</v>
      </c>
      <c r="C5518" s="1" t="s">
        <v>20</v>
      </c>
      <c r="D5518" s="1" t="s">
        <v>21</v>
      </c>
      <c r="E5518" s="1" t="s">
        <v>22</v>
      </c>
      <c r="F5518">
        <v>8.8000000000000007</v>
      </c>
      <c r="G5518">
        <v>1</v>
      </c>
      <c r="H5518" s="1" t="s">
        <v>14</v>
      </c>
      <c r="I5518" s="1" t="s">
        <v>15</v>
      </c>
      <c r="J5518" s="12">
        <v>46004</v>
      </c>
      <c r="K5518">
        <v>0</v>
      </c>
      <c r="L5518" s="1">
        <f t="shared" si="344"/>
        <v>8.8000000000000007</v>
      </c>
      <c r="M5518" s="1" t="str">
        <f t="shared" si="345"/>
        <v/>
      </c>
      <c r="N5518" s="2">
        <f t="shared" si="346"/>
        <v>45992</v>
      </c>
      <c r="O5518" t="str">
        <f t="shared" si="347"/>
        <v>pes</v>
      </c>
    </row>
    <row r="5519" spans="1:15" x14ac:dyDescent="0.25">
      <c r="A5519">
        <v>13004</v>
      </c>
      <c r="B5519" s="11">
        <v>4027788990013</v>
      </c>
      <c r="C5519" s="1" t="s">
        <v>43</v>
      </c>
      <c r="D5519" s="1" t="s">
        <v>21</v>
      </c>
      <c r="E5519" s="1" t="s">
        <v>22</v>
      </c>
      <c r="F5519">
        <v>8</v>
      </c>
      <c r="G5519">
        <v>1</v>
      </c>
      <c r="H5519" s="1" t="s">
        <v>14</v>
      </c>
      <c r="I5519" s="1" t="s">
        <v>15</v>
      </c>
      <c r="J5519" s="12">
        <v>46004</v>
      </c>
      <c r="K5519">
        <v>0</v>
      </c>
      <c r="L5519" s="1">
        <f t="shared" si="344"/>
        <v>8</v>
      </c>
      <c r="M5519" s="1" t="str">
        <f t="shared" si="345"/>
        <v/>
      </c>
      <c r="N5519" s="2">
        <f t="shared" si="346"/>
        <v>45992</v>
      </c>
      <c r="O5519" t="str">
        <f t="shared" si="347"/>
        <v>pes</v>
      </c>
    </row>
    <row r="5520" spans="1:15" x14ac:dyDescent="0.25">
      <c r="A5520">
        <v>13005</v>
      </c>
      <c r="B5520" s="11">
        <v>4027788990013</v>
      </c>
      <c r="C5520" s="1" t="s">
        <v>43</v>
      </c>
      <c r="D5520" s="1" t="s">
        <v>21</v>
      </c>
      <c r="E5520" s="1" t="s">
        <v>22</v>
      </c>
      <c r="F5520">
        <v>8</v>
      </c>
      <c r="G5520">
        <v>1</v>
      </c>
      <c r="H5520" s="1" t="s">
        <v>14</v>
      </c>
      <c r="I5520" s="1" t="s">
        <v>15</v>
      </c>
      <c r="J5520" s="12">
        <v>46004</v>
      </c>
      <c r="K5520">
        <v>0</v>
      </c>
      <c r="L5520" s="1">
        <f t="shared" si="344"/>
        <v>8</v>
      </c>
      <c r="M5520" s="1" t="str">
        <f t="shared" si="345"/>
        <v/>
      </c>
      <c r="N5520" s="2">
        <f t="shared" si="346"/>
        <v>45992</v>
      </c>
      <c r="O5520" t="str">
        <f t="shared" si="347"/>
        <v>pes</v>
      </c>
    </row>
    <row r="5521" spans="1:15" x14ac:dyDescent="0.25">
      <c r="A5521">
        <v>13006</v>
      </c>
      <c r="B5521" s="11">
        <v>4003344556679</v>
      </c>
      <c r="C5521" s="1" t="s">
        <v>132</v>
      </c>
      <c r="D5521" s="1" t="s">
        <v>133</v>
      </c>
      <c r="E5521" s="1" t="s">
        <v>134</v>
      </c>
      <c r="F5521">
        <v>51.64</v>
      </c>
      <c r="G5521">
        <v>1</v>
      </c>
      <c r="H5521" s="1" t="s">
        <v>18</v>
      </c>
      <c r="I5521" s="1" t="s">
        <v>1291</v>
      </c>
      <c r="J5521" s="12">
        <v>46004</v>
      </c>
      <c r="K5521">
        <v>0</v>
      </c>
      <c r="L5521" s="1">
        <f t="shared" si="344"/>
        <v>51.64</v>
      </c>
      <c r="M5521" s="1">
        <f t="shared" si="345"/>
        <v>4</v>
      </c>
      <c r="N5521" s="2">
        <f t="shared" si="346"/>
        <v>45992</v>
      </c>
      <c r="O5521" t="str">
        <f t="shared" si="347"/>
        <v>pes</v>
      </c>
    </row>
    <row r="5522" spans="1:15" x14ac:dyDescent="0.25">
      <c r="A5522">
        <v>13007</v>
      </c>
      <c r="B5522" s="11">
        <v>4028899001126</v>
      </c>
      <c r="C5522" s="1" t="s">
        <v>16</v>
      </c>
      <c r="D5522" s="1" t="s">
        <v>12</v>
      </c>
      <c r="E5522" s="1" t="s">
        <v>17</v>
      </c>
      <c r="F5522">
        <v>2.8</v>
      </c>
      <c r="G5522">
        <v>2</v>
      </c>
      <c r="H5522" s="1" t="s">
        <v>14</v>
      </c>
      <c r="I5522" s="1" t="s">
        <v>15</v>
      </c>
      <c r="J5522" s="12">
        <v>46004</v>
      </c>
      <c r="K5522">
        <v>0</v>
      </c>
      <c r="L5522" s="1">
        <f t="shared" si="344"/>
        <v>5.6</v>
      </c>
      <c r="M5522" s="1" t="str">
        <f t="shared" si="345"/>
        <v/>
      </c>
      <c r="N5522" s="2">
        <f t="shared" si="346"/>
        <v>45992</v>
      </c>
      <c r="O5522" t="str">
        <f t="shared" si="347"/>
        <v>pes</v>
      </c>
    </row>
    <row r="5523" spans="1:15" hidden="1" x14ac:dyDescent="0.25">
      <c r="A5523">
        <v>13008</v>
      </c>
      <c r="B5523" s="11">
        <v>4056789012345</v>
      </c>
      <c r="C5523" s="1" t="s">
        <v>47</v>
      </c>
      <c r="D5523" s="1" t="s">
        <v>29</v>
      </c>
      <c r="E5523" s="1" t="s">
        <v>37</v>
      </c>
      <c r="F5523">
        <v>2.4</v>
      </c>
      <c r="G5523">
        <v>3</v>
      </c>
      <c r="H5523" s="1" t="s">
        <v>14</v>
      </c>
      <c r="I5523" s="1" t="s">
        <v>15</v>
      </c>
      <c r="J5523" s="12">
        <v>46004</v>
      </c>
      <c r="K5523">
        <v>0</v>
      </c>
      <c r="L5523" s="1">
        <f t="shared" si="344"/>
        <v>7.1999999999999993</v>
      </c>
      <c r="M5523" s="1" t="str">
        <f t="shared" si="345"/>
        <v/>
      </c>
      <c r="N5523" s="2">
        <f t="shared" si="346"/>
        <v>45992</v>
      </c>
      <c r="O5523" t="str">
        <f t="shared" si="347"/>
        <v>mačka</v>
      </c>
    </row>
    <row r="5524" spans="1:15" x14ac:dyDescent="0.25">
      <c r="A5524">
        <v>13009</v>
      </c>
      <c r="B5524" s="11">
        <v>4027788990013</v>
      </c>
      <c r="C5524" s="1" t="s">
        <v>43</v>
      </c>
      <c r="D5524" s="1" t="s">
        <v>21</v>
      </c>
      <c r="E5524" s="1" t="s">
        <v>22</v>
      </c>
      <c r="F5524">
        <v>8</v>
      </c>
      <c r="G5524">
        <v>1</v>
      </c>
      <c r="H5524" s="1" t="s">
        <v>14</v>
      </c>
      <c r="I5524" s="1" t="s">
        <v>15</v>
      </c>
      <c r="J5524" s="12">
        <v>46004</v>
      </c>
      <c r="K5524">
        <v>0</v>
      </c>
      <c r="L5524" s="1">
        <f t="shared" si="344"/>
        <v>8</v>
      </c>
      <c r="M5524" s="1" t="str">
        <f t="shared" si="345"/>
        <v/>
      </c>
      <c r="N5524" s="2">
        <f t="shared" si="346"/>
        <v>45992</v>
      </c>
      <c r="O5524" t="str">
        <f t="shared" si="347"/>
        <v>pes</v>
      </c>
    </row>
    <row r="5525" spans="1:15" hidden="1" x14ac:dyDescent="0.25">
      <c r="A5525">
        <v>13010</v>
      </c>
      <c r="B5525" s="11">
        <v>4042233445567</v>
      </c>
      <c r="C5525" s="1" t="s">
        <v>637</v>
      </c>
      <c r="D5525" s="1" t="s">
        <v>140</v>
      </c>
      <c r="E5525" s="1" t="s">
        <v>141</v>
      </c>
      <c r="F5525">
        <v>51.64</v>
      </c>
      <c r="G5525">
        <v>1</v>
      </c>
      <c r="H5525" s="1" t="s">
        <v>14</v>
      </c>
      <c r="I5525" s="1" t="s">
        <v>15</v>
      </c>
      <c r="J5525" s="12">
        <v>46004</v>
      </c>
      <c r="K5525">
        <v>0</v>
      </c>
      <c r="L5525" s="1">
        <f t="shared" si="344"/>
        <v>51.64</v>
      </c>
      <c r="M5525" s="1" t="str">
        <f t="shared" si="345"/>
        <v/>
      </c>
      <c r="N5525" s="2">
        <f t="shared" si="346"/>
        <v>45992</v>
      </c>
      <c r="O5525" t="str">
        <f t="shared" si="347"/>
        <v>mačka</v>
      </c>
    </row>
    <row r="5526" spans="1:15" x14ac:dyDescent="0.25">
      <c r="A5526">
        <v>13011</v>
      </c>
      <c r="B5526" s="11">
        <v>4028899001126</v>
      </c>
      <c r="C5526" s="1" t="s">
        <v>16</v>
      </c>
      <c r="D5526" s="1" t="s">
        <v>12</v>
      </c>
      <c r="E5526" s="1" t="s">
        <v>17</v>
      </c>
      <c r="F5526">
        <v>2.8</v>
      </c>
      <c r="G5526">
        <v>2</v>
      </c>
      <c r="H5526" s="1" t="s">
        <v>14</v>
      </c>
      <c r="I5526" s="1" t="s">
        <v>15</v>
      </c>
      <c r="J5526" s="12">
        <v>46004</v>
      </c>
      <c r="K5526">
        <v>0</v>
      </c>
      <c r="L5526" s="1">
        <f t="shared" si="344"/>
        <v>5.6</v>
      </c>
      <c r="M5526" s="1" t="str">
        <f t="shared" si="345"/>
        <v/>
      </c>
      <c r="N5526" s="2">
        <f t="shared" si="346"/>
        <v>45992</v>
      </c>
      <c r="O5526" t="str">
        <f t="shared" si="347"/>
        <v>pes</v>
      </c>
    </row>
    <row r="5527" spans="1:15" x14ac:dyDescent="0.25">
      <c r="A5527">
        <v>13012</v>
      </c>
      <c r="B5527" s="11">
        <v>4013456789017</v>
      </c>
      <c r="C5527" s="1" t="s">
        <v>11</v>
      </c>
      <c r="D5527" s="1" t="s">
        <v>12</v>
      </c>
      <c r="E5527" s="1" t="s">
        <v>13</v>
      </c>
      <c r="F5527">
        <v>6</v>
      </c>
      <c r="G5527">
        <v>1</v>
      </c>
      <c r="H5527" s="1" t="s">
        <v>14</v>
      </c>
      <c r="I5527" s="1" t="s">
        <v>15</v>
      </c>
      <c r="J5527" s="12">
        <v>46004</v>
      </c>
      <c r="K5527">
        <v>0</v>
      </c>
      <c r="L5527" s="1">
        <f t="shared" si="344"/>
        <v>6</v>
      </c>
      <c r="M5527" s="1" t="str">
        <f t="shared" si="345"/>
        <v/>
      </c>
      <c r="N5527" s="2">
        <f t="shared" si="346"/>
        <v>45992</v>
      </c>
      <c r="O5527" t="str">
        <f t="shared" si="347"/>
        <v>pes</v>
      </c>
    </row>
    <row r="5528" spans="1:15" x14ac:dyDescent="0.25">
      <c r="A5528">
        <v>13013</v>
      </c>
      <c r="B5528" s="11">
        <v>4040123456795</v>
      </c>
      <c r="C5528" s="1" t="s">
        <v>20</v>
      </c>
      <c r="D5528" s="1" t="s">
        <v>21</v>
      </c>
      <c r="E5528" s="1" t="s">
        <v>22</v>
      </c>
      <c r="F5528">
        <v>8.8000000000000007</v>
      </c>
      <c r="G5528">
        <v>1</v>
      </c>
      <c r="H5528" s="1" t="s">
        <v>18</v>
      </c>
      <c r="I5528" s="1" t="s">
        <v>1292</v>
      </c>
      <c r="J5528" s="12">
        <v>46004</v>
      </c>
      <c r="K5528">
        <v>0</v>
      </c>
      <c r="L5528" s="1">
        <f t="shared" si="344"/>
        <v>8.8000000000000007</v>
      </c>
      <c r="M5528" s="1">
        <f t="shared" si="345"/>
        <v>4</v>
      </c>
      <c r="N5528" s="2">
        <f t="shared" si="346"/>
        <v>45992</v>
      </c>
      <c r="O5528" t="str">
        <f t="shared" si="347"/>
        <v>pes</v>
      </c>
    </row>
    <row r="5529" spans="1:15" x14ac:dyDescent="0.25">
      <c r="A5529">
        <v>13014</v>
      </c>
      <c r="B5529" s="11">
        <v>4027788990013</v>
      </c>
      <c r="C5529" s="1" t="s">
        <v>43</v>
      </c>
      <c r="D5529" s="1" t="s">
        <v>21</v>
      </c>
      <c r="E5529" s="1" t="s">
        <v>22</v>
      </c>
      <c r="F5529">
        <v>8</v>
      </c>
      <c r="G5529">
        <v>1</v>
      </c>
      <c r="H5529" s="1" t="s">
        <v>14</v>
      </c>
      <c r="I5529" s="1" t="s">
        <v>15</v>
      </c>
      <c r="J5529" s="12">
        <v>46004</v>
      </c>
      <c r="K5529">
        <v>0</v>
      </c>
      <c r="L5529" s="1">
        <f t="shared" si="344"/>
        <v>8</v>
      </c>
      <c r="M5529" s="1" t="str">
        <f t="shared" si="345"/>
        <v/>
      </c>
      <c r="N5529" s="2">
        <f t="shared" si="346"/>
        <v>45992</v>
      </c>
      <c r="O5529" t="str">
        <f t="shared" si="347"/>
        <v>pes</v>
      </c>
    </row>
    <row r="5530" spans="1:15" x14ac:dyDescent="0.25">
      <c r="A5530">
        <v>13015</v>
      </c>
      <c r="B5530" s="11">
        <v>4003344556679</v>
      </c>
      <c r="C5530" s="1" t="s">
        <v>132</v>
      </c>
      <c r="D5530" s="1" t="s">
        <v>133</v>
      </c>
      <c r="E5530" s="1" t="s">
        <v>134</v>
      </c>
      <c r="F5530">
        <v>51.64</v>
      </c>
      <c r="G5530">
        <v>1</v>
      </c>
      <c r="H5530" s="1" t="s">
        <v>14</v>
      </c>
      <c r="I5530" s="1" t="s">
        <v>15</v>
      </c>
      <c r="J5530" s="12">
        <v>46004</v>
      </c>
      <c r="K5530">
        <v>0</v>
      </c>
      <c r="L5530" s="1">
        <f t="shared" si="344"/>
        <v>51.64</v>
      </c>
      <c r="M5530" s="1" t="str">
        <f t="shared" si="345"/>
        <v/>
      </c>
      <c r="N5530" s="2">
        <f t="shared" si="346"/>
        <v>45992</v>
      </c>
      <c r="O5530" t="str">
        <f t="shared" si="347"/>
        <v>pes</v>
      </c>
    </row>
    <row r="5531" spans="1:15" hidden="1" x14ac:dyDescent="0.25">
      <c r="A5531">
        <v>13016</v>
      </c>
      <c r="B5531" s="11">
        <v>4042233445567</v>
      </c>
      <c r="C5531" s="1" t="s">
        <v>637</v>
      </c>
      <c r="D5531" s="1" t="s">
        <v>140</v>
      </c>
      <c r="E5531" s="1" t="s">
        <v>141</v>
      </c>
      <c r="F5531">
        <v>51.64</v>
      </c>
      <c r="G5531">
        <v>1</v>
      </c>
      <c r="H5531" s="1" t="s">
        <v>23</v>
      </c>
      <c r="I5531" s="1" t="s">
        <v>1293</v>
      </c>
      <c r="J5531" s="12">
        <v>46004</v>
      </c>
      <c r="K5531">
        <v>0</v>
      </c>
      <c r="L5531" s="1">
        <f t="shared" si="344"/>
        <v>51.64</v>
      </c>
      <c r="M5531" s="1">
        <f t="shared" si="345"/>
        <v>5</v>
      </c>
      <c r="N5531" s="2">
        <f t="shared" si="346"/>
        <v>45992</v>
      </c>
      <c r="O5531" t="str">
        <f t="shared" si="347"/>
        <v>mačka</v>
      </c>
    </row>
    <row r="5532" spans="1:15" x14ac:dyDescent="0.25">
      <c r="A5532">
        <v>13017</v>
      </c>
      <c r="B5532" s="11">
        <v>4013456789017</v>
      </c>
      <c r="C5532" s="1" t="s">
        <v>11</v>
      </c>
      <c r="D5532" s="1" t="s">
        <v>12</v>
      </c>
      <c r="E5532" s="1" t="s">
        <v>13</v>
      </c>
      <c r="F5532">
        <v>6</v>
      </c>
      <c r="G5532">
        <v>1</v>
      </c>
      <c r="H5532" s="1" t="s">
        <v>14</v>
      </c>
      <c r="I5532" s="1" t="s">
        <v>15</v>
      </c>
      <c r="J5532" s="12">
        <v>46004</v>
      </c>
      <c r="K5532">
        <v>0</v>
      </c>
      <c r="L5532" s="1">
        <f t="shared" si="344"/>
        <v>6</v>
      </c>
      <c r="M5532" s="1" t="str">
        <f t="shared" si="345"/>
        <v/>
      </c>
      <c r="N5532" s="2">
        <f t="shared" si="346"/>
        <v>45992</v>
      </c>
      <c r="O5532" t="str">
        <f t="shared" si="347"/>
        <v>pes</v>
      </c>
    </row>
    <row r="5533" spans="1:15" x14ac:dyDescent="0.25">
      <c r="A5533">
        <v>13018</v>
      </c>
      <c r="B5533" s="11">
        <v>4028899001126</v>
      </c>
      <c r="C5533" s="1" t="s">
        <v>16</v>
      </c>
      <c r="D5533" s="1" t="s">
        <v>12</v>
      </c>
      <c r="E5533" s="1" t="s">
        <v>17</v>
      </c>
      <c r="F5533">
        <v>2.8</v>
      </c>
      <c r="G5533">
        <v>3</v>
      </c>
      <c r="H5533" s="1" t="s">
        <v>14</v>
      </c>
      <c r="I5533" s="1" t="s">
        <v>15</v>
      </c>
      <c r="J5533" s="12">
        <v>46004</v>
      </c>
      <c r="K5533">
        <v>0</v>
      </c>
      <c r="L5533" s="1">
        <f t="shared" si="344"/>
        <v>8.3999999999999986</v>
      </c>
      <c r="M5533" s="1" t="str">
        <f t="shared" si="345"/>
        <v/>
      </c>
      <c r="N5533" s="2">
        <f t="shared" si="346"/>
        <v>45992</v>
      </c>
      <c r="O5533" t="str">
        <f t="shared" si="347"/>
        <v>pes</v>
      </c>
    </row>
    <row r="5534" spans="1:15" x14ac:dyDescent="0.25">
      <c r="A5534">
        <v>13019</v>
      </c>
      <c r="B5534" s="11">
        <v>4017890123450</v>
      </c>
      <c r="C5534" s="1" t="s">
        <v>65</v>
      </c>
      <c r="D5534" s="1" t="s">
        <v>39</v>
      </c>
      <c r="E5534" s="1" t="s">
        <v>22</v>
      </c>
      <c r="F5534">
        <v>7.6</v>
      </c>
      <c r="G5534">
        <v>1</v>
      </c>
      <c r="H5534" s="1" t="s">
        <v>14</v>
      </c>
      <c r="I5534" s="1" t="s">
        <v>15</v>
      </c>
      <c r="J5534" s="12">
        <v>46004</v>
      </c>
      <c r="K5534">
        <v>0</v>
      </c>
      <c r="L5534" s="1">
        <f t="shared" si="344"/>
        <v>7.6</v>
      </c>
      <c r="M5534" s="1" t="str">
        <f t="shared" si="345"/>
        <v/>
      </c>
      <c r="N5534" s="2">
        <f t="shared" si="346"/>
        <v>45992</v>
      </c>
      <c r="O5534" t="str">
        <f t="shared" si="347"/>
        <v>pes</v>
      </c>
    </row>
    <row r="5535" spans="1:15" hidden="1" x14ac:dyDescent="0.25">
      <c r="A5535">
        <v>13020</v>
      </c>
      <c r="B5535" s="11">
        <v>4056789012345</v>
      </c>
      <c r="C5535" s="1" t="s">
        <v>47</v>
      </c>
      <c r="D5535" s="1" t="s">
        <v>29</v>
      </c>
      <c r="E5535" s="1" t="s">
        <v>37</v>
      </c>
      <c r="F5535">
        <v>2.4</v>
      </c>
      <c r="G5535">
        <v>2</v>
      </c>
      <c r="H5535" s="1" t="s">
        <v>14</v>
      </c>
      <c r="I5535" s="1" t="s">
        <v>15</v>
      </c>
      <c r="J5535" s="12">
        <v>46004</v>
      </c>
      <c r="K5535">
        <v>0</v>
      </c>
      <c r="L5535" s="1">
        <f t="shared" si="344"/>
        <v>4.8</v>
      </c>
      <c r="M5535" s="1" t="str">
        <f t="shared" si="345"/>
        <v/>
      </c>
      <c r="N5535" s="2">
        <f t="shared" si="346"/>
        <v>45992</v>
      </c>
      <c r="O5535" t="str">
        <f t="shared" si="347"/>
        <v>mačka</v>
      </c>
    </row>
    <row r="5536" spans="1:15" hidden="1" x14ac:dyDescent="0.25">
      <c r="A5536">
        <v>13021</v>
      </c>
      <c r="B5536" s="11">
        <v>8593456789012</v>
      </c>
      <c r="C5536" s="1" t="s">
        <v>28</v>
      </c>
      <c r="D5536" s="1" t="s">
        <v>29</v>
      </c>
      <c r="E5536" s="1" t="s">
        <v>30</v>
      </c>
      <c r="F5536">
        <v>42</v>
      </c>
      <c r="G5536">
        <v>1</v>
      </c>
      <c r="H5536" s="1" t="s">
        <v>18</v>
      </c>
      <c r="I5536" s="1" t="s">
        <v>1294</v>
      </c>
      <c r="J5536" s="12">
        <v>46004</v>
      </c>
      <c r="K5536">
        <v>0</v>
      </c>
      <c r="L5536" s="1">
        <f t="shared" si="344"/>
        <v>42</v>
      </c>
      <c r="M5536" s="1">
        <f t="shared" si="345"/>
        <v>4</v>
      </c>
      <c r="N5536" s="2">
        <f t="shared" si="346"/>
        <v>45992</v>
      </c>
      <c r="O5536" t="str">
        <f t="shared" si="347"/>
        <v>mačka</v>
      </c>
    </row>
    <row r="5537" spans="1:15" x14ac:dyDescent="0.25">
      <c r="A5537">
        <v>13022</v>
      </c>
      <c r="B5537" s="11">
        <v>4027788990013</v>
      </c>
      <c r="C5537" s="1" t="s">
        <v>43</v>
      </c>
      <c r="D5537" s="1" t="s">
        <v>21</v>
      </c>
      <c r="E5537" s="1" t="s">
        <v>22</v>
      </c>
      <c r="F5537">
        <v>8</v>
      </c>
      <c r="G5537">
        <v>1</v>
      </c>
      <c r="H5537" s="1" t="s">
        <v>14</v>
      </c>
      <c r="I5537" s="1" t="s">
        <v>15</v>
      </c>
      <c r="J5537" s="12">
        <v>46004</v>
      </c>
      <c r="K5537">
        <v>0</v>
      </c>
      <c r="L5537" s="1">
        <f t="shared" si="344"/>
        <v>8</v>
      </c>
      <c r="M5537" s="1" t="str">
        <f t="shared" si="345"/>
        <v/>
      </c>
      <c r="N5537" s="2">
        <f t="shared" si="346"/>
        <v>45992</v>
      </c>
      <c r="O5537" t="str">
        <f t="shared" si="347"/>
        <v>pes</v>
      </c>
    </row>
    <row r="5538" spans="1:15" x14ac:dyDescent="0.25">
      <c r="A5538">
        <v>13023</v>
      </c>
      <c r="B5538" s="11">
        <v>4040123456795</v>
      </c>
      <c r="C5538" s="1" t="s">
        <v>20</v>
      </c>
      <c r="D5538" s="1" t="s">
        <v>21</v>
      </c>
      <c r="E5538" s="1" t="s">
        <v>22</v>
      </c>
      <c r="F5538">
        <v>8.8000000000000007</v>
      </c>
      <c r="G5538">
        <v>1</v>
      </c>
      <c r="H5538" s="1" t="s">
        <v>14</v>
      </c>
      <c r="I5538" s="1" t="s">
        <v>15</v>
      </c>
      <c r="J5538" s="12">
        <v>46004</v>
      </c>
      <c r="K5538">
        <v>0</v>
      </c>
      <c r="L5538" s="1">
        <f t="shared" si="344"/>
        <v>8.8000000000000007</v>
      </c>
      <c r="M5538" s="1" t="str">
        <f t="shared" si="345"/>
        <v/>
      </c>
      <c r="N5538" s="2">
        <f t="shared" si="346"/>
        <v>45992</v>
      </c>
      <c r="O5538" t="str">
        <f t="shared" si="347"/>
        <v>pes</v>
      </c>
    </row>
    <row r="5539" spans="1:15" x14ac:dyDescent="0.25">
      <c r="A5539">
        <v>13024</v>
      </c>
      <c r="B5539" s="11">
        <v>4003344556679</v>
      </c>
      <c r="C5539" s="1" t="s">
        <v>132</v>
      </c>
      <c r="D5539" s="1" t="s">
        <v>133</v>
      </c>
      <c r="E5539" s="1" t="s">
        <v>134</v>
      </c>
      <c r="F5539">
        <v>51.64</v>
      </c>
      <c r="G5539">
        <v>1</v>
      </c>
      <c r="H5539" s="1" t="s">
        <v>14</v>
      </c>
      <c r="I5539" s="1" t="s">
        <v>15</v>
      </c>
      <c r="J5539" s="12">
        <v>46004</v>
      </c>
      <c r="K5539">
        <v>0</v>
      </c>
      <c r="L5539" s="1">
        <f t="shared" si="344"/>
        <v>51.64</v>
      </c>
      <c r="M5539" s="1" t="str">
        <f t="shared" si="345"/>
        <v/>
      </c>
      <c r="N5539" s="2">
        <f t="shared" si="346"/>
        <v>45992</v>
      </c>
      <c r="O5539" t="str">
        <f t="shared" si="347"/>
        <v>pes</v>
      </c>
    </row>
    <row r="5540" spans="1:15" x14ac:dyDescent="0.25">
      <c r="A5540">
        <v>13025</v>
      </c>
      <c r="B5540" s="11">
        <v>4028899001126</v>
      </c>
      <c r="C5540" s="1" t="s">
        <v>16</v>
      </c>
      <c r="D5540" s="1" t="s">
        <v>12</v>
      </c>
      <c r="E5540" s="1" t="s">
        <v>17</v>
      </c>
      <c r="F5540">
        <v>2.8</v>
      </c>
      <c r="G5540">
        <v>2</v>
      </c>
      <c r="H5540" s="1" t="s">
        <v>14</v>
      </c>
      <c r="I5540" s="1" t="s">
        <v>15</v>
      </c>
      <c r="J5540" s="12">
        <v>46004</v>
      </c>
      <c r="K5540">
        <v>0</v>
      </c>
      <c r="L5540" s="1">
        <f t="shared" si="344"/>
        <v>5.6</v>
      </c>
      <c r="M5540" s="1" t="str">
        <f t="shared" si="345"/>
        <v/>
      </c>
      <c r="N5540" s="2">
        <f t="shared" si="346"/>
        <v>45992</v>
      </c>
      <c r="O5540" t="str">
        <f t="shared" si="347"/>
        <v>pes</v>
      </c>
    </row>
    <row r="5541" spans="1:15" x14ac:dyDescent="0.25">
      <c r="A5541">
        <v>13026</v>
      </c>
      <c r="B5541" s="11">
        <v>4013456789017</v>
      </c>
      <c r="C5541" s="1" t="s">
        <v>11</v>
      </c>
      <c r="D5541" s="1" t="s">
        <v>12</v>
      </c>
      <c r="E5541" s="1" t="s">
        <v>13</v>
      </c>
      <c r="F5541">
        <v>6</v>
      </c>
      <c r="G5541">
        <v>1</v>
      </c>
      <c r="H5541" s="1" t="s">
        <v>23</v>
      </c>
      <c r="I5541" s="1" t="s">
        <v>1295</v>
      </c>
      <c r="J5541" s="12">
        <v>46004</v>
      </c>
      <c r="K5541">
        <v>0</v>
      </c>
      <c r="L5541" s="1">
        <f t="shared" si="344"/>
        <v>6</v>
      </c>
      <c r="M5541" s="1">
        <f t="shared" si="345"/>
        <v>5</v>
      </c>
      <c r="N5541" s="2">
        <f t="shared" si="346"/>
        <v>45992</v>
      </c>
      <c r="O5541" t="str">
        <f t="shared" si="347"/>
        <v>pes</v>
      </c>
    </row>
    <row r="5542" spans="1:15" hidden="1" x14ac:dyDescent="0.25">
      <c r="A5542">
        <v>13027</v>
      </c>
      <c r="B5542" s="11">
        <v>4067890123456</v>
      </c>
      <c r="C5542" s="1" t="s">
        <v>68</v>
      </c>
      <c r="D5542" s="1" t="s">
        <v>29</v>
      </c>
      <c r="E5542" s="1" t="s">
        <v>69</v>
      </c>
      <c r="F5542">
        <v>36</v>
      </c>
      <c r="G5542">
        <v>1</v>
      </c>
      <c r="H5542" s="1" t="s">
        <v>14</v>
      </c>
      <c r="I5542" s="1" t="s">
        <v>15</v>
      </c>
      <c r="J5542" s="12">
        <v>46004</v>
      </c>
      <c r="K5542">
        <v>0</v>
      </c>
      <c r="L5542" s="1">
        <f t="shared" si="344"/>
        <v>36</v>
      </c>
      <c r="M5542" s="1" t="str">
        <f t="shared" si="345"/>
        <v/>
      </c>
      <c r="N5542" s="2">
        <f t="shared" si="346"/>
        <v>45992</v>
      </c>
      <c r="O5542" t="str">
        <f t="shared" si="347"/>
        <v>mačka</v>
      </c>
    </row>
    <row r="5543" spans="1:15" hidden="1" x14ac:dyDescent="0.25">
      <c r="A5543">
        <v>13028</v>
      </c>
      <c r="B5543" s="11">
        <v>4042233445567</v>
      </c>
      <c r="C5543" s="1" t="s">
        <v>637</v>
      </c>
      <c r="D5543" s="1" t="s">
        <v>140</v>
      </c>
      <c r="E5543" s="1" t="s">
        <v>141</v>
      </c>
      <c r="F5543">
        <v>51.64</v>
      </c>
      <c r="G5543">
        <v>1</v>
      </c>
      <c r="H5543" s="1" t="s">
        <v>14</v>
      </c>
      <c r="I5543" s="1" t="s">
        <v>15</v>
      </c>
      <c r="J5543" s="12">
        <v>46004</v>
      </c>
      <c r="K5543">
        <v>0</v>
      </c>
      <c r="L5543" s="1">
        <f t="shared" si="344"/>
        <v>51.64</v>
      </c>
      <c r="M5543" s="1" t="str">
        <f t="shared" si="345"/>
        <v/>
      </c>
      <c r="N5543" s="2">
        <f t="shared" si="346"/>
        <v>45992</v>
      </c>
      <c r="O5543" t="str">
        <f t="shared" si="347"/>
        <v>mačka</v>
      </c>
    </row>
    <row r="5544" spans="1:15" x14ac:dyDescent="0.25">
      <c r="A5544">
        <v>13029</v>
      </c>
      <c r="B5544" s="11">
        <v>4022345678908</v>
      </c>
      <c r="C5544" s="1" t="s">
        <v>363</v>
      </c>
      <c r="D5544" s="1" t="s">
        <v>21</v>
      </c>
      <c r="E5544" s="1" t="s">
        <v>69</v>
      </c>
      <c r="F5544">
        <v>10</v>
      </c>
      <c r="G5544">
        <v>1</v>
      </c>
      <c r="H5544" s="1" t="s">
        <v>14</v>
      </c>
      <c r="I5544" s="1" t="s">
        <v>15</v>
      </c>
      <c r="J5544" s="12">
        <v>46004</v>
      </c>
      <c r="K5544">
        <v>0</v>
      </c>
      <c r="L5544" s="1">
        <f t="shared" si="344"/>
        <v>10</v>
      </c>
      <c r="M5544" s="1" t="str">
        <f t="shared" si="345"/>
        <v/>
      </c>
      <c r="N5544" s="2">
        <f t="shared" si="346"/>
        <v>45992</v>
      </c>
      <c r="O5544" t="str">
        <f t="shared" si="347"/>
        <v>pes</v>
      </c>
    </row>
    <row r="5545" spans="1:15" hidden="1" x14ac:dyDescent="0.25">
      <c r="A5545">
        <v>13030</v>
      </c>
      <c r="B5545" s="11">
        <v>4010123456783</v>
      </c>
      <c r="C5545" s="1" t="s">
        <v>35</v>
      </c>
      <c r="D5545" s="1" t="s">
        <v>36</v>
      </c>
      <c r="E5545" s="1" t="s">
        <v>37</v>
      </c>
      <c r="F5545">
        <v>14</v>
      </c>
      <c r="G5545">
        <v>1</v>
      </c>
      <c r="H5545" s="1" t="s">
        <v>14</v>
      </c>
      <c r="I5545" s="1" t="s">
        <v>15</v>
      </c>
      <c r="J5545" s="12">
        <v>46004</v>
      </c>
      <c r="K5545">
        <v>0</v>
      </c>
      <c r="L5545" s="1">
        <f t="shared" si="344"/>
        <v>14</v>
      </c>
      <c r="M5545" s="1" t="str">
        <f t="shared" si="345"/>
        <v/>
      </c>
      <c r="N5545" s="2">
        <f t="shared" si="346"/>
        <v>45992</v>
      </c>
      <c r="O5545" t="str">
        <f t="shared" si="347"/>
        <v>mačka</v>
      </c>
    </row>
    <row r="5546" spans="1:15" hidden="1" x14ac:dyDescent="0.25">
      <c r="A5546">
        <v>13031</v>
      </c>
      <c r="B5546" s="11">
        <v>4056789012345</v>
      </c>
      <c r="C5546" s="1" t="s">
        <v>47</v>
      </c>
      <c r="D5546" s="1" t="s">
        <v>29</v>
      </c>
      <c r="E5546" s="1" t="s">
        <v>37</v>
      </c>
      <c r="F5546">
        <v>2.4</v>
      </c>
      <c r="G5546">
        <v>2</v>
      </c>
      <c r="H5546" s="1" t="s">
        <v>14</v>
      </c>
      <c r="I5546" s="1" t="s">
        <v>15</v>
      </c>
      <c r="J5546" s="12">
        <v>46005</v>
      </c>
      <c r="K5546">
        <v>0</v>
      </c>
      <c r="L5546" s="1">
        <f t="shared" si="344"/>
        <v>4.8</v>
      </c>
      <c r="M5546" s="1" t="str">
        <f t="shared" si="345"/>
        <v/>
      </c>
      <c r="N5546" s="2">
        <f t="shared" si="346"/>
        <v>45992</v>
      </c>
      <c r="O5546" t="str">
        <f t="shared" si="347"/>
        <v>mačka</v>
      </c>
    </row>
    <row r="5547" spans="1:15" x14ac:dyDescent="0.25">
      <c r="A5547">
        <v>13032</v>
      </c>
      <c r="B5547" s="11">
        <v>4028899001126</v>
      </c>
      <c r="C5547" s="1" t="s">
        <v>16</v>
      </c>
      <c r="D5547" s="1" t="s">
        <v>12</v>
      </c>
      <c r="E5547" s="1" t="s">
        <v>17</v>
      </c>
      <c r="F5547">
        <v>2.8</v>
      </c>
      <c r="G5547">
        <v>3</v>
      </c>
      <c r="H5547" s="1" t="s">
        <v>14</v>
      </c>
      <c r="I5547" s="1" t="s">
        <v>15</v>
      </c>
      <c r="J5547" s="12">
        <v>46005</v>
      </c>
      <c r="K5547">
        <v>0</v>
      </c>
      <c r="L5547" s="1">
        <f t="shared" si="344"/>
        <v>8.3999999999999986</v>
      </c>
      <c r="M5547" s="1" t="str">
        <f t="shared" si="345"/>
        <v/>
      </c>
      <c r="N5547" s="2">
        <f t="shared" si="346"/>
        <v>45992</v>
      </c>
      <c r="O5547" t="str">
        <f t="shared" si="347"/>
        <v>pes</v>
      </c>
    </row>
    <row r="5548" spans="1:15" x14ac:dyDescent="0.25">
      <c r="A5548">
        <v>13033</v>
      </c>
      <c r="B5548" s="11">
        <v>4040123456795</v>
      </c>
      <c r="C5548" s="1" t="s">
        <v>20</v>
      </c>
      <c r="D5548" s="1" t="s">
        <v>21</v>
      </c>
      <c r="E5548" s="1" t="s">
        <v>22</v>
      </c>
      <c r="F5548">
        <v>8.8000000000000007</v>
      </c>
      <c r="G5548">
        <v>1</v>
      </c>
      <c r="H5548" s="1" t="s">
        <v>18</v>
      </c>
      <c r="I5548" s="1" t="s">
        <v>1296</v>
      </c>
      <c r="J5548" s="12">
        <v>46005</v>
      </c>
      <c r="K5548">
        <v>0</v>
      </c>
      <c r="L5548" s="1">
        <f t="shared" si="344"/>
        <v>8.8000000000000007</v>
      </c>
      <c r="M5548" s="1">
        <f t="shared" si="345"/>
        <v>4</v>
      </c>
      <c r="N5548" s="2">
        <f t="shared" si="346"/>
        <v>45992</v>
      </c>
      <c r="O5548" t="str">
        <f t="shared" si="347"/>
        <v>pes</v>
      </c>
    </row>
    <row r="5549" spans="1:15" x14ac:dyDescent="0.25">
      <c r="A5549">
        <v>13034</v>
      </c>
      <c r="B5549" s="11">
        <v>4027788990013</v>
      </c>
      <c r="C5549" s="1" t="s">
        <v>43</v>
      </c>
      <c r="D5549" s="1" t="s">
        <v>21</v>
      </c>
      <c r="E5549" s="1" t="s">
        <v>22</v>
      </c>
      <c r="F5549">
        <v>8</v>
      </c>
      <c r="G5549">
        <v>1</v>
      </c>
      <c r="H5549" s="1" t="s">
        <v>14</v>
      </c>
      <c r="I5549" s="1" t="s">
        <v>15</v>
      </c>
      <c r="J5549" s="12">
        <v>46005</v>
      </c>
      <c r="K5549">
        <v>0</v>
      </c>
      <c r="L5549" s="1">
        <f t="shared" si="344"/>
        <v>8</v>
      </c>
      <c r="M5549" s="1" t="str">
        <f t="shared" si="345"/>
        <v/>
      </c>
      <c r="N5549" s="2">
        <f t="shared" si="346"/>
        <v>45992</v>
      </c>
      <c r="O5549" t="str">
        <f t="shared" si="347"/>
        <v>pes</v>
      </c>
    </row>
    <row r="5550" spans="1:15" x14ac:dyDescent="0.25">
      <c r="A5550">
        <v>13035</v>
      </c>
      <c r="B5550" s="11">
        <v>4003344556679</v>
      </c>
      <c r="C5550" s="1" t="s">
        <v>132</v>
      </c>
      <c r="D5550" s="1" t="s">
        <v>133</v>
      </c>
      <c r="E5550" s="1" t="s">
        <v>134</v>
      </c>
      <c r="F5550">
        <v>51.64</v>
      </c>
      <c r="G5550">
        <v>1</v>
      </c>
      <c r="H5550" s="1" t="s">
        <v>14</v>
      </c>
      <c r="I5550" s="1" t="s">
        <v>15</v>
      </c>
      <c r="J5550" s="12">
        <v>46005</v>
      </c>
      <c r="K5550">
        <v>0</v>
      </c>
      <c r="L5550" s="1">
        <f t="shared" si="344"/>
        <v>51.64</v>
      </c>
      <c r="M5550" s="1" t="str">
        <f t="shared" si="345"/>
        <v/>
      </c>
      <c r="N5550" s="2">
        <f t="shared" si="346"/>
        <v>45992</v>
      </c>
      <c r="O5550" t="str">
        <f t="shared" si="347"/>
        <v>pes</v>
      </c>
    </row>
    <row r="5551" spans="1:15" hidden="1" x14ac:dyDescent="0.25">
      <c r="A5551">
        <v>13036</v>
      </c>
      <c r="B5551" s="11">
        <v>8593456789012</v>
      </c>
      <c r="C5551" s="1" t="s">
        <v>28</v>
      </c>
      <c r="D5551" s="1" t="s">
        <v>29</v>
      </c>
      <c r="E5551" s="1" t="s">
        <v>30</v>
      </c>
      <c r="F5551">
        <v>42</v>
      </c>
      <c r="G5551">
        <v>1</v>
      </c>
      <c r="H5551" s="1" t="s">
        <v>14</v>
      </c>
      <c r="I5551" s="1" t="s">
        <v>15</v>
      </c>
      <c r="J5551" s="12">
        <v>46005</v>
      </c>
      <c r="K5551">
        <v>0</v>
      </c>
      <c r="L5551" s="1">
        <f t="shared" si="344"/>
        <v>42</v>
      </c>
      <c r="M5551" s="1" t="str">
        <f t="shared" si="345"/>
        <v/>
      </c>
      <c r="N5551" s="2">
        <f t="shared" si="346"/>
        <v>45992</v>
      </c>
      <c r="O5551" t="str">
        <f t="shared" si="347"/>
        <v>mačka</v>
      </c>
    </row>
    <row r="5552" spans="1:15" x14ac:dyDescent="0.25">
      <c r="A5552">
        <v>13037</v>
      </c>
      <c r="B5552" s="11">
        <v>4017890123450</v>
      </c>
      <c r="C5552" s="1" t="s">
        <v>65</v>
      </c>
      <c r="D5552" s="1" t="s">
        <v>39</v>
      </c>
      <c r="E5552" s="1" t="s">
        <v>22</v>
      </c>
      <c r="F5552">
        <v>7.6</v>
      </c>
      <c r="G5552">
        <v>2</v>
      </c>
      <c r="H5552" s="1" t="s">
        <v>33</v>
      </c>
      <c r="I5552" s="1" t="s">
        <v>1297</v>
      </c>
      <c r="J5552" s="12">
        <v>46005</v>
      </c>
      <c r="K5552">
        <v>0</v>
      </c>
      <c r="L5552" s="1">
        <f t="shared" si="344"/>
        <v>15.2</v>
      </c>
      <c r="M5552" s="1">
        <f t="shared" si="345"/>
        <v>3</v>
      </c>
      <c r="N5552" s="2">
        <f t="shared" si="346"/>
        <v>45992</v>
      </c>
      <c r="O5552" t="str">
        <f t="shared" si="347"/>
        <v>pes</v>
      </c>
    </row>
    <row r="5553" spans="1:15" hidden="1" x14ac:dyDescent="0.25">
      <c r="A5553">
        <v>13038</v>
      </c>
      <c r="B5553" s="11">
        <v>4042233445567</v>
      </c>
      <c r="C5553" s="1" t="s">
        <v>637</v>
      </c>
      <c r="D5553" s="1" t="s">
        <v>140</v>
      </c>
      <c r="E5553" s="1" t="s">
        <v>141</v>
      </c>
      <c r="F5553">
        <v>51.64</v>
      </c>
      <c r="G5553">
        <v>1</v>
      </c>
      <c r="H5553" s="1" t="s">
        <v>14</v>
      </c>
      <c r="I5553" s="1" t="s">
        <v>15</v>
      </c>
      <c r="J5553" s="12">
        <v>46005</v>
      </c>
      <c r="K5553">
        <v>0</v>
      </c>
      <c r="L5553" s="1">
        <f t="shared" si="344"/>
        <v>51.64</v>
      </c>
      <c r="M5553" s="1" t="str">
        <f t="shared" si="345"/>
        <v/>
      </c>
      <c r="N5553" s="2">
        <f t="shared" si="346"/>
        <v>45992</v>
      </c>
      <c r="O5553" t="str">
        <f t="shared" si="347"/>
        <v>mačka</v>
      </c>
    </row>
    <row r="5554" spans="1:15" x14ac:dyDescent="0.25">
      <c r="A5554">
        <v>13039</v>
      </c>
      <c r="B5554" s="11">
        <v>4013456789017</v>
      </c>
      <c r="C5554" s="1" t="s">
        <v>11</v>
      </c>
      <c r="D5554" s="1" t="s">
        <v>12</v>
      </c>
      <c r="E5554" s="1" t="s">
        <v>13</v>
      </c>
      <c r="F5554">
        <v>6</v>
      </c>
      <c r="G5554">
        <v>1</v>
      </c>
      <c r="H5554" s="1" t="s">
        <v>14</v>
      </c>
      <c r="I5554" s="1" t="s">
        <v>15</v>
      </c>
      <c r="J5554" s="12">
        <v>46005</v>
      </c>
      <c r="K5554">
        <v>0</v>
      </c>
      <c r="L5554" s="1">
        <f t="shared" si="344"/>
        <v>6</v>
      </c>
      <c r="M5554" s="1" t="str">
        <f t="shared" si="345"/>
        <v/>
      </c>
      <c r="N5554" s="2">
        <f t="shared" si="346"/>
        <v>45992</v>
      </c>
      <c r="O5554" t="str">
        <f t="shared" si="347"/>
        <v>pes</v>
      </c>
    </row>
    <row r="5555" spans="1:15" x14ac:dyDescent="0.25">
      <c r="A5555">
        <v>13040</v>
      </c>
      <c r="B5555" s="11">
        <v>4028899001126</v>
      </c>
      <c r="C5555" s="1" t="s">
        <v>16</v>
      </c>
      <c r="D5555" s="1" t="s">
        <v>12</v>
      </c>
      <c r="E5555" s="1" t="s">
        <v>17</v>
      </c>
      <c r="F5555">
        <v>2.8</v>
      </c>
      <c r="G5555">
        <v>3</v>
      </c>
      <c r="H5555" s="1" t="s">
        <v>14</v>
      </c>
      <c r="I5555" s="1" t="s">
        <v>15</v>
      </c>
      <c r="J5555" s="12">
        <v>46005</v>
      </c>
      <c r="K5555">
        <v>0</v>
      </c>
      <c r="L5555" s="1">
        <f t="shared" si="344"/>
        <v>8.3999999999999986</v>
      </c>
      <c r="M5555" s="1" t="str">
        <f t="shared" si="345"/>
        <v/>
      </c>
      <c r="N5555" s="2">
        <f t="shared" si="346"/>
        <v>45992</v>
      </c>
      <c r="O5555" t="str">
        <f t="shared" si="347"/>
        <v>pes</v>
      </c>
    </row>
    <row r="5556" spans="1:15" hidden="1" x14ac:dyDescent="0.25">
      <c r="A5556">
        <v>13041</v>
      </c>
      <c r="B5556" s="11">
        <v>4056789012345</v>
      </c>
      <c r="C5556" s="1" t="s">
        <v>47</v>
      </c>
      <c r="D5556" s="1" t="s">
        <v>29</v>
      </c>
      <c r="E5556" s="1" t="s">
        <v>37</v>
      </c>
      <c r="F5556">
        <v>2.4</v>
      </c>
      <c r="G5556">
        <v>2</v>
      </c>
      <c r="H5556" s="1" t="s">
        <v>14</v>
      </c>
      <c r="I5556" s="1" t="s">
        <v>15</v>
      </c>
      <c r="J5556" s="12">
        <v>46005</v>
      </c>
      <c r="K5556">
        <v>0</v>
      </c>
      <c r="L5556" s="1">
        <f t="shared" si="344"/>
        <v>4.8</v>
      </c>
      <c r="M5556" s="1" t="str">
        <f t="shared" si="345"/>
        <v/>
      </c>
      <c r="N5556" s="2">
        <f t="shared" si="346"/>
        <v>45992</v>
      </c>
      <c r="O5556" t="str">
        <f t="shared" si="347"/>
        <v>mačka</v>
      </c>
    </row>
    <row r="5557" spans="1:15" x14ac:dyDescent="0.25">
      <c r="A5557">
        <v>13042</v>
      </c>
      <c r="B5557" s="11">
        <v>4040123456795</v>
      </c>
      <c r="C5557" s="1" t="s">
        <v>20</v>
      </c>
      <c r="D5557" s="1" t="s">
        <v>21</v>
      </c>
      <c r="E5557" s="1" t="s">
        <v>22</v>
      </c>
      <c r="F5557">
        <v>8.8000000000000007</v>
      </c>
      <c r="G5557">
        <v>1</v>
      </c>
      <c r="H5557" s="1" t="s">
        <v>14</v>
      </c>
      <c r="I5557" s="1" t="s">
        <v>15</v>
      </c>
      <c r="J5557" s="12">
        <v>46005</v>
      </c>
      <c r="K5557">
        <v>0</v>
      </c>
      <c r="L5557" s="1">
        <f t="shared" si="344"/>
        <v>8.8000000000000007</v>
      </c>
      <c r="M5557" s="1" t="str">
        <f t="shared" si="345"/>
        <v/>
      </c>
      <c r="N5557" s="2">
        <f t="shared" si="346"/>
        <v>45992</v>
      </c>
      <c r="O5557" t="str">
        <f t="shared" si="347"/>
        <v>pes</v>
      </c>
    </row>
    <row r="5558" spans="1:15" x14ac:dyDescent="0.25">
      <c r="A5558">
        <v>13043</v>
      </c>
      <c r="B5558" s="11">
        <v>4027788990013</v>
      </c>
      <c r="C5558" s="1" t="s">
        <v>43</v>
      </c>
      <c r="D5558" s="1" t="s">
        <v>21</v>
      </c>
      <c r="E5558" s="1" t="s">
        <v>22</v>
      </c>
      <c r="F5558">
        <v>8</v>
      </c>
      <c r="G5558">
        <v>1</v>
      </c>
      <c r="H5558" s="1" t="s">
        <v>14</v>
      </c>
      <c r="I5558" s="1" t="s">
        <v>15</v>
      </c>
      <c r="J5558" s="12">
        <v>46005</v>
      </c>
      <c r="K5558">
        <v>0</v>
      </c>
      <c r="L5558" s="1">
        <f t="shared" si="344"/>
        <v>8</v>
      </c>
      <c r="M5558" s="1" t="str">
        <f t="shared" si="345"/>
        <v/>
      </c>
      <c r="N5558" s="2">
        <f t="shared" si="346"/>
        <v>45992</v>
      </c>
      <c r="O5558" t="str">
        <f t="shared" si="347"/>
        <v>pes</v>
      </c>
    </row>
    <row r="5559" spans="1:15" x14ac:dyDescent="0.25">
      <c r="A5559">
        <v>13044</v>
      </c>
      <c r="B5559" s="11">
        <v>4003344556679</v>
      </c>
      <c r="C5559" s="1" t="s">
        <v>132</v>
      </c>
      <c r="D5559" s="1" t="s">
        <v>133</v>
      </c>
      <c r="E5559" s="1" t="s">
        <v>134</v>
      </c>
      <c r="F5559">
        <v>51.64</v>
      </c>
      <c r="G5559">
        <v>1</v>
      </c>
      <c r="H5559" s="1" t="s">
        <v>23</v>
      </c>
      <c r="I5559" s="1" t="s">
        <v>1298</v>
      </c>
      <c r="J5559" s="12">
        <v>46005</v>
      </c>
      <c r="K5559">
        <v>0</v>
      </c>
      <c r="L5559" s="1">
        <f t="shared" si="344"/>
        <v>51.64</v>
      </c>
      <c r="M5559" s="1">
        <f t="shared" si="345"/>
        <v>5</v>
      </c>
      <c r="N5559" s="2">
        <f t="shared" si="346"/>
        <v>45992</v>
      </c>
      <c r="O5559" t="str">
        <f t="shared" si="347"/>
        <v>pes</v>
      </c>
    </row>
    <row r="5560" spans="1:15" x14ac:dyDescent="0.25">
      <c r="A5560">
        <v>13045</v>
      </c>
      <c r="B5560" s="11">
        <v>4013456789017</v>
      </c>
      <c r="C5560" s="1" t="s">
        <v>11</v>
      </c>
      <c r="D5560" s="1" t="s">
        <v>12</v>
      </c>
      <c r="E5560" s="1" t="s">
        <v>13</v>
      </c>
      <c r="F5560">
        <v>6</v>
      </c>
      <c r="G5560">
        <v>1</v>
      </c>
      <c r="H5560" s="1" t="s">
        <v>14</v>
      </c>
      <c r="I5560" s="1" t="s">
        <v>15</v>
      </c>
      <c r="J5560" s="12">
        <v>46005</v>
      </c>
      <c r="K5560">
        <v>0</v>
      </c>
      <c r="L5560" s="1">
        <f t="shared" si="344"/>
        <v>6</v>
      </c>
      <c r="M5560" s="1" t="str">
        <f t="shared" si="345"/>
        <v/>
      </c>
      <c r="N5560" s="2">
        <f t="shared" si="346"/>
        <v>45992</v>
      </c>
      <c r="O5560" t="str">
        <f t="shared" si="347"/>
        <v>pes</v>
      </c>
    </row>
    <row r="5561" spans="1:15" x14ac:dyDescent="0.25">
      <c r="A5561">
        <v>13046</v>
      </c>
      <c r="B5561" s="11">
        <v>4028899001126</v>
      </c>
      <c r="C5561" s="1" t="s">
        <v>16</v>
      </c>
      <c r="D5561" s="1" t="s">
        <v>12</v>
      </c>
      <c r="E5561" s="1" t="s">
        <v>17</v>
      </c>
      <c r="F5561">
        <v>2.8</v>
      </c>
      <c r="G5561">
        <v>2</v>
      </c>
      <c r="H5561" s="1" t="s">
        <v>14</v>
      </c>
      <c r="I5561" s="1" t="s">
        <v>15</v>
      </c>
      <c r="J5561" s="12">
        <v>46005</v>
      </c>
      <c r="K5561">
        <v>0</v>
      </c>
      <c r="L5561" s="1">
        <f t="shared" si="344"/>
        <v>5.6</v>
      </c>
      <c r="M5561" s="1" t="str">
        <f t="shared" si="345"/>
        <v/>
      </c>
      <c r="N5561" s="2">
        <f t="shared" si="346"/>
        <v>45992</v>
      </c>
      <c r="O5561" t="str">
        <f t="shared" si="347"/>
        <v>pes</v>
      </c>
    </row>
    <row r="5562" spans="1:15" hidden="1" x14ac:dyDescent="0.25">
      <c r="A5562">
        <v>13047</v>
      </c>
      <c r="B5562" s="11">
        <v>4056789012345</v>
      </c>
      <c r="C5562" s="1" t="s">
        <v>47</v>
      </c>
      <c r="D5562" s="1" t="s">
        <v>29</v>
      </c>
      <c r="E5562" s="1" t="s">
        <v>37</v>
      </c>
      <c r="F5562">
        <v>2.4</v>
      </c>
      <c r="G5562">
        <v>3</v>
      </c>
      <c r="H5562" s="1" t="s">
        <v>14</v>
      </c>
      <c r="I5562" s="1" t="s">
        <v>15</v>
      </c>
      <c r="J5562" s="12">
        <v>46005</v>
      </c>
      <c r="K5562">
        <v>0</v>
      </c>
      <c r="L5562" s="1">
        <f t="shared" si="344"/>
        <v>7.1999999999999993</v>
      </c>
      <c r="M5562" s="1" t="str">
        <f t="shared" si="345"/>
        <v/>
      </c>
      <c r="N5562" s="2">
        <f t="shared" si="346"/>
        <v>45992</v>
      </c>
      <c r="O5562" t="str">
        <f t="shared" si="347"/>
        <v>mačka</v>
      </c>
    </row>
    <row r="5563" spans="1:15" hidden="1" x14ac:dyDescent="0.25">
      <c r="A5563">
        <v>13048</v>
      </c>
      <c r="B5563" s="11">
        <v>4042233445567</v>
      </c>
      <c r="C5563" s="1" t="s">
        <v>637</v>
      </c>
      <c r="D5563" s="1" t="s">
        <v>140</v>
      </c>
      <c r="E5563" s="1" t="s">
        <v>141</v>
      </c>
      <c r="F5563">
        <v>51.64</v>
      </c>
      <c r="G5563">
        <v>1</v>
      </c>
      <c r="H5563" s="1" t="s">
        <v>14</v>
      </c>
      <c r="I5563" s="1" t="s">
        <v>15</v>
      </c>
      <c r="J5563" s="12">
        <v>46005</v>
      </c>
      <c r="K5563">
        <v>0</v>
      </c>
      <c r="L5563" s="1">
        <f t="shared" si="344"/>
        <v>51.64</v>
      </c>
      <c r="M5563" s="1" t="str">
        <f t="shared" si="345"/>
        <v/>
      </c>
      <c r="N5563" s="2">
        <f t="shared" si="346"/>
        <v>45992</v>
      </c>
      <c r="O5563" t="str">
        <f t="shared" si="347"/>
        <v>mačka</v>
      </c>
    </row>
    <row r="5564" spans="1:15" hidden="1" x14ac:dyDescent="0.25">
      <c r="A5564">
        <v>13049</v>
      </c>
      <c r="B5564" s="11">
        <v>4067890123456</v>
      </c>
      <c r="C5564" s="1" t="s">
        <v>68</v>
      </c>
      <c r="D5564" s="1" t="s">
        <v>29</v>
      </c>
      <c r="E5564" s="1" t="s">
        <v>69</v>
      </c>
      <c r="F5564">
        <v>36</v>
      </c>
      <c r="G5564">
        <v>1</v>
      </c>
      <c r="H5564" s="1" t="s">
        <v>14</v>
      </c>
      <c r="I5564" s="1" t="s">
        <v>15</v>
      </c>
      <c r="J5564" s="12">
        <v>46005</v>
      </c>
      <c r="K5564">
        <v>0</v>
      </c>
      <c r="L5564" s="1">
        <f t="shared" si="344"/>
        <v>36</v>
      </c>
      <c r="M5564" s="1" t="str">
        <f t="shared" si="345"/>
        <v/>
      </c>
      <c r="N5564" s="2">
        <f t="shared" si="346"/>
        <v>45992</v>
      </c>
      <c r="O5564" t="str">
        <f t="shared" si="347"/>
        <v>mačka</v>
      </c>
    </row>
    <row r="5565" spans="1:15" x14ac:dyDescent="0.25">
      <c r="A5565">
        <v>13050</v>
      </c>
      <c r="B5565" s="11">
        <v>4022345678908</v>
      </c>
      <c r="C5565" s="1" t="s">
        <v>363</v>
      </c>
      <c r="D5565" s="1" t="s">
        <v>21</v>
      </c>
      <c r="E5565" s="1" t="s">
        <v>69</v>
      </c>
      <c r="F5565">
        <v>10</v>
      </c>
      <c r="G5565">
        <v>1</v>
      </c>
      <c r="H5565" s="1" t="s">
        <v>14</v>
      </c>
      <c r="I5565" s="1" t="s">
        <v>15</v>
      </c>
      <c r="J5565" s="12">
        <v>46005</v>
      </c>
      <c r="K5565">
        <v>0</v>
      </c>
      <c r="L5565" s="1">
        <f t="shared" si="344"/>
        <v>10</v>
      </c>
      <c r="M5565" s="1" t="str">
        <f t="shared" si="345"/>
        <v/>
      </c>
      <c r="N5565" s="2">
        <f t="shared" si="346"/>
        <v>45992</v>
      </c>
      <c r="O5565" t="str">
        <f t="shared" si="347"/>
        <v>pes</v>
      </c>
    </row>
    <row r="5566" spans="1:15" x14ac:dyDescent="0.25">
      <c r="A5566">
        <v>13051</v>
      </c>
      <c r="B5566" s="11">
        <v>4027788990013</v>
      </c>
      <c r="C5566" s="1" t="s">
        <v>43</v>
      </c>
      <c r="D5566" s="1" t="s">
        <v>21</v>
      </c>
      <c r="E5566" s="1" t="s">
        <v>22</v>
      </c>
      <c r="F5566">
        <v>8</v>
      </c>
      <c r="G5566">
        <v>1</v>
      </c>
      <c r="H5566" s="1" t="s">
        <v>18</v>
      </c>
      <c r="I5566" s="1" t="s">
        <v>1299</v>
      </c>
      <c r="J5566" s="12">
        <v>46005</v>
      </c>
      <c r="K5566">
        <v>0</v>
      </c>
      <c r="L5566" s="1">
        <f t="shared" si="344"/>
        <v>8</v>
      </c>
      <c r="M5566" s="1">
        <f t="shared" si="345"/>
        <v>4</v>
      </c>
      <c r="N5566" s="2">
        <f t="shared" si="346"/>
        <v>45992</v>
      </c>
      <c r="O5566" t="str">
        <f t="shared" si="347"/>
        <v>pes</v>
      </c>
    </row>
    <row r="5567" spans="1:15" x14ac:dyDescent="0.25">
      <c r="A5567">
        <v>13052</v>
      </c>
      <c r="B5567" s="11">
        <v>4013456789017</v>
      </c>
      <c r="C5567" s="1" t="s">
        <v>11</v>
      </c>
      <c r="D5567" s="1" t="s">
        <v>12</v>
      </c>
      <c r="E5567" s="1" t="s">
        <v>13</v>
      </c>
      <c r="F5567">
        <v>6</v>
      </c>
      <c r="G5567">
        <v>1</v>
      </c>
      <c r="H5567" s="1" t="s">
        <v>14</v>
      </c>
      <c r="I5567" s="1" t="s">
        <v>15</v>
      </c>
      <c r="J5567" s="12">
        <v>46005</v>
      </c>
      <c r="K5567">
        <v>0</v>
      </c>
      <c r="L5567" s="1">
        <f t="shared" si="344"/>
        <v>6</v>
      </c>
      <c r="M5567" s="1" t="str">
        <f t="shared" si="345"/>
        <v/>
      </c>
      <c r="N5567" s="2">
        <f t="shared" si="346"/>
        <v>45992</v>
      </c>
      <c r="O5567" t="str">
        <f t="shared" si="347"/>
        <v>pes</v>
      </c>
    </row>
    <row r="5568" spans="1:15" x14ac:dyDescent="0.25">
      <c r="A5568">
        <v>13053</v>
      </c>
      <c r="B5568" s="11">
        <v>4028899001126</v>
      </c>
      <c r="C5568" s="1" t="s">
        <v>16</v>
      </c>
      <c r="D5568" s="1" t="s">
        <v>12</v>
      </c>
      <c r="E5568" s="1" t="s">
        <v>17</v>
      </c>
      <c r="F5568">
        <v>2.8</v>
      </c>
      <c r="G5568">
        <v>2</v>
      </c>
      <c r="H5568" s="1" t="s">
        <v>14</v>
      </c>
      <c r="I5568" s="1" t="s">
        <v>15</v>
      </c>
      <c r="J5568" s="12">
        <v>46005</v>
      </c>
      <c r="K5568">
        <v>0</v>
      </c>
      <c r="L5568" s="1">
        <f t="shared" si="344"/>
        <v>5.6</v>
      </c>
      <c r="M5568" s="1" t="str">
        <f t="shared" si="345"/>
        <v/>
      </c>
      <c r="N5568" s="2">
        <f t="shared" si="346"/>
        <v>45992</v>
      </c>
      <c r="O5568" t="str">
        <f t="shared" si="347"/>
        <v>pes</v>
      </c>
    </row>
    <row r="5569" spans="1:15" x14ac:dyDescent="0.25">
      <c r="A5569">
        <v>13054</v>
      </c>
      <c r="B5569" s="11">
        <v>4040123456795</v>
      </c>
      <c r="C5569" s="1" t="s">
        <v>20</v>
      </c>
      <c r="D5569" s="1" t="s">
        <v>21</v>
      </c>
      <c r="E5569" s="1" t="s">
        <v>22</v>
      </c>
      <c r="F5569">
        <v>8.8000000000000007</v>
      </c>
      <c r="G5569">
        <v>1</v>
      </c>
      <c r="H5569" s="1" t="s">
        <v>14</v>
      </c>
      <c r="I5569" s="1" t="s">
        <v>15</v>
      </c>
      <c r="J5569" s="12">
        <v>46005</v>
      </c>
      <c r="K5569">
        <v>0</v>
      </c>
      <c r="L5569" s="1">
        <f t="shared" si="344"/>
        <v>8.8000000000000007</v>
      </c>
      <c r="M5569" s="1" t="str">
        <f t="shared" si="345"/>
        <v/>
      </c>
      <c r="N5569" s="2">
        <f t="shared" si="346"/>
        <v>45992</v>
      </c>
      <c r="O5569" t="str">
        <f t="shared" si="347"/>
        <v>pes</v>
      </c>
    </row>
    <row r="5570" spans="1:15" x14ac:dyDescent="0.25">
      <c r="A5570">
        <v>13055</v>
      </c>
      <c r="B5570" s="11">
        <v>4003344556679</v>
      </c>
      <c r="C5570" s="1" t="s">
        <v>132</v>
      </c>
      <c r="D5570" s="1" t="s">
        <v>133</v>
      </c>
      <c r="E5570" s="1" t="s">
        <v>134</v>
      </c>
      <c r="F5570">
        <v>51.64</v>
      </c>
      <c r="G5570">
        <v>1</v>
      </c>
      <c r="H5570" s="1" t="s">
        <v>14</v>
      </c>
      <c r="I5570" s="1" t="s">
        <v>15</v>
      </c>
      <c r="J5570" s="12">
        <v>46005</v>
      </c>
      <c r="K5570">
        <v>0</v>
      </c>
      <c r="L5570" s="1">
        <f t="shared" ref="L5570:L5633" si="348">F5570*G5570</f>
        <v>51.64</v>
      </c>
      <c r="M5570" s="1" t="str">
        <f t="shared" ref="M5570:M5633" si="349">IF(H5570="NULL", "",VALUE(H5570))</f>
        <v/>
      </c>
      <c r="N5570" s="2">
        <f t="shared" ref="N5570:N5633" si="350">DATE(YEAR(J5570),MONTH(J5570),1)</f>
        <v>45992</v>
      </c>
      <c r="O5570" t="str">
        <f t="shared" ref="O5570:O5633" si="351">IF(ISNUMBER(SEARCH("Mačky",D5570)),"mačka",IF(ISNUMBER(SEARCH("Psy",D5570)),"pes","iné"))</f>
        <v>pes</v>
      </c>
    </row>
    <row r="5571" spans="1:15" hidden="1" x14ac:dyDescent="0.25">
      <c r="A5571">
        <v>13056</v>
      </c>
      <c r="B5571" s="11">
        <v>8593456789012</v>
      </c>
      <c r="C5571" s="1" t="s">
        <v>28</v>
      </c>
      <c r="D5571" s="1" t="s">
        <v>29</v>
      </c>
      <c r="E5571" s="1" t="s">
        <v>30</v>
      </c>
      <c r="F5571">
        <v>42</v>
      </c>
      <c r="G5571">
        <v>1</v>
      </c>
      <c r="H5571" s="1" t="s">
        <v>23</v>
      </c>
      <c r="I5571" s="1" t="s">
        <v>1300</v>
      </c>
      <c r="J5571" s="12">
        <v>46005</v>
      </c>
      <c r="K5571">
        <v>0</v>
      </c>
      <c r="L5571" s="1">
        <f t="shared" si="348"/>
        <v>42</v>
      </c>
      <c r="M5571" s="1">
        <f t="shared" si="349"/>
        <v>5</v>
      </c>
      <c r="N5571" s="2">
        <f t="shared" si="350"/>
        <v>45992</v>
      </c>
      <c r="O5571" t="str">
        <f t="shared" si="351"/>
        <v>mačka</v>
      </c>
    </row>
    <row r="5572" spans="1:15" hidden="1" x14ac:dyDescent="0.25">
      <c r="A5572">
        <v>13057</v>
      </c>
      <c r="B5572" s="11">
        <v>4056789012345</v>
      </c>
      <c r="C5572" s="1" t="s">
        <v>47</v>
      </c>
      <c r="D5572" s="1" t="s">
        <v>29</v>
      </c>
      <c r="E5572" s="1" t="s">
        <v>37</v>
      </c>
      <c r="F5572">
        <v>2.4</v>
      </c>
      <c r="G5572">
        <v>2</v>
      </c>
      <c r="H5572" s="1" t="s">
        <v>14</v>
      </c>
      <c r="I5572" s="1" t="s">
        <v>15</v>
      </c>
      <c r="J5572" s="12">
        <v>46005</v>
      </c>
      <c r="K5572">
        <v>0</v>
      </c>
      <c r="L5572" s="1">
        <f t="shared" si="348"/>
        <v>4.8</v>
      </c>
      <c r="M5572" s="1" t="str">
        <f t="shared" si="349"/>
        <v/>
      </c>
      <c r="N5572" s="2">
        <f t="shared" si="350"/>
        <v>45992</v>
      </c>
      <c r="O5572" t="str">
        <f t="shared" si="351"/>
        <v>mačka</v>
      </c>
    </row>
    <row r="5573" spans="1:15" x14ac:dyDescent="0.25">
      <c r="A5573">
        <v>13058</v>
      </c>
      <c r="B5573" s="11">
        <v>4017890123450</v>
      </c>
      <c r="C5573" s="1" t="s">
        <v>65</v>
      </c>
      <c r="D5573" s="1" t="s">
        <v>39</v>
      </c>
      <c r="E5573" s="1" t="s">
        <v>22</v>
      </c>
      <c r="F5573">
        <v>7.6</v>
      </c>
      <c r="G5573">
        <v>1</v>
      </c>
      <c r="H5573" s="1" t="s">
        <v>14</v>
      </c>
      <c r="I5573" s="1" t="s">
        <v>15</v>
      </c>
      <c r="J5573" s="12">
        <v>46005</v>
      </c>
      <c r="K5573">
        <v>0</v>
      </c>
      <c r="L5573" s="1">
        <f t="shared" si="348"/>
        <v>7.6</v>
      </c>
      <c r="M5573" s="1" t="str">
        <f t="shared" si="349"/>
        <v/>
      </c>
      <c r="N5573" s="2">
        <f t="shared" si="350"/>
        <v>45992</v>
      </c>
      <c r="O5573" t="str">
        <f t="shared" si="351"/>
        <v>pes</v>
      </c>
    </row>
    <row r="5574" spans="1:15" x14ac:dyDescent="0.25">
      <c r="A5574">
        <v>13059</v>
      </c>
      <c r="B5574" s="11">
        <v>4027788990013</v>
      </c>
      <c r="C5574" s="1" t="s">
        <v>43</v>
      </c>
      <c r="D5574" s="1" t="s">
        <v>21</v>
      </c>
      <c r="E5574" s="1" t="s">
        <v>22</v>
      </c>
      <c r="F5574">
        <v>8</v>
      </c>
      <c r="G5574">
        <v>1</v>
      </c>
      <c r="H5574" s="1" t="s">
        <v>14</v>
      </c>
      <c r="I5574" s="1" t="s">
        <v>15</v>
      </c>
      <c r="J5574" s="12">
        <v>46005</v>
      </c>
      <c r="K5574">
        <v>0</v>
      </c>
      <c r="L5574" s="1">
        <f t="shared" si="348"/>
        <v>8</v>
      </c>
      <c r="M5574" s="1" t="str">
        <f t="shared" si="349"/>
        <v/>
      </c>
      <c r="N5574" s="2">
        <f t="shared" si="350"/>
        <v>45992</v>
      </c>
      <c r="O5574" t="str">
        <f t="shared" si="351"/>
        <v>pes</v>
      </c>
    </row>
    <row r="5575" spans="1:15" hidden="1" x14ac:dyDescent="0.25">
      <c r="A5575">
        <v>13060</v>
      </c>
      <c r="B5575" s="11">
        <v>4042233445567</v>
      </c>
      <c r="C5575" s="1" t="s">
        <v>637</v>
      </c>
      <c r="D5575" s="1" t="s">
        <v>140</v>
      </c>
      <c r="E5575" s="1" t="s">
        <v>141</v>
      </c>
      <c r="F5575">
        <v>51.64</v>
      </c>
      <c r="G5575">
        <v>1</v>
      </c>
      <c r="H5575" s="1" t="s">
        <v>14</v>
      </c>
      <c r="I5575" s="1" t="s">
        <v>15</v>
      </c>
      <c r="J5575" s="12">
        <v>46005</v>
      </c>
      <c r="K5575">
        <v>0</v>
      </c>
      <c r="L5575" s="1">
        <f t="shared" si="348"/>
        <v>51.64</v>
      </c>
      <c r="M5575" s="1" t="str">
        <f t="shared" si="349"/>
        <v/>
      </c>
      <c r="N5575" s="2">
        <f t="shared" si="350"/>
        <v>45992</v>
      </c>
      <c r="O5575" t="str">
        <f t="shared" si="351"/>
        <v>mačka</v>
      </c>
    </row>
    <row r="5576" spans="1:15" x14ac:dyDescent="0.25">
      <c r="A5576">
        <v>13061</v>
      </c>
      <c r="B5576" s="11">
        <v>4028899001126</v>
      </c>
      <c r="C5576" s="1" t="s">
        <v>16</v>
      </c>
      <c r="D5576" s="1" t="s">
        <v>12</v>
      </c>
      <c r="E5576" s="1" t="s">
        <v>17</v>
      </c>
      <c r="F5576">
        <v>2.8</v>
      </c>
      <c r="G5576">
        <v>2</v>
      </c>
      <c r="H5576" s="1" t="s">
        <v>14</v>
      </c>
      <c r="I5576" s="1" t="s">
        <v>15</v>
      </c>
      <c r="J5576" s="12">
        <v>46005</v>
      </c>
      <c r="K5576">
        <v>0</v>
      </c>
      <c r="L5576" s="1">
        <f t="shared" si="348"/>
        <v>5.6</v>
      </c>
      <c r="M5576" s="1" t="str">
        <f t="shared" si="349"/>
        <v/>
      </c>
      <c r="N5576" s="2">
        <f t="shared" si="350"/>
        <v>45992</v>
      </c>
      <c r="O5576" t="str">
        <f t="shared" si="351"/>
        <v>pes</v>
      </c>
    </row>
    <row r="5577" spans="1:15" x14ac:dyDescent="0.25">
      <c r="A5577">
        <v>13062</v>
      </c>
      <c r="B5577" s="11">
        <v>4013456789017</v>
      </c>
      <c r="C5577" s="1" t="s">
        <v>11</v>
      </c>
      <c r="D5577" s="1" t="s">
        <v>12</v>
      </c>
      <c r="E5577" s="1" t="s">
        <v>13</v>
      </c>
      <c r="F5577">
        <v>6</v>
      </c>
      <c r="G5577">
        <v>1</v>
      </c>
      <c r="H5577" s="1" t="s">
        <v>14</v>
      </c>
      <c r="I5577" s="1" t="s">
        <v>15</v>
      </c>
      <c r="J5577" s="12">
        <v>46005</v>
      </c>
      <c r="K5577">
        <v>0</v>
      </c>
      <c r="L5577" s="1">
        <f t="shared" si="348"/>
        <v>6</v>
      </c>
      <c r="M5577" s="1" t="str">
        <f t="shared" si="349"/>
        <v/>
      </c>
      <c r="N5577" s="2">
        <f t="shared" si="350"/>
        <v>45992</v>
      </c>
      <c r="O5577" t="str">
        <f t="shared" si="351"/>
        <v>pes</v>
      </c>
    </row>
    <row r="5578" spans="1:15" x14ac:dyDescent="0.25">
      <c r="A5578">
        <v>13063</v>
      </c>
      <c r="B5578" s="11">
        <v>4040123456795</v>
      </c>
      <c r="C5578" s="1" t="s">
        <v>20</v>
      </c>
      <c r="D5578" s="1" t="s">
        <v>21</v>
      </c>
      <c r="E5578" s="1" t="s">
        <v>22</v>
      </c>
      <c r="F5578">
        <v>8.8000000000000007</v>
      </c>
      <c r="G5578">
        <v>1</v>
      </c>
      <c r="H5578" s="1" t="s">
        <v>14</v>
      </c>
      <c r="I5578" s="1" t="s">
        <v>15</v>
      </c>
      <c r="J5578" s="12">
        <v>46005</v>
      </c>
      <c r="K5578">
        <v>0</v>
      </c>
      <c r="L5578" s="1">
        <f t="shared" si="348"/>
        <v>8.8000000000000007</v>
      </c>
      <c r="M5578" s="1" t="str">
        <f t="shared" si="349"/>
        <v/>
      </c>
      <c r="N5578" s="2">
        <f t="shared" si="350"/>
        <v>45992</v>
      </c>
      <c r="O5578" t="str">
        <f t="shared" si="351"/>
        <v>pes</v>
      </c>
    </row>
    <row r="5579" spans="1:15" x14ac:dyDescent="0.25">
      <c r="A5579">
        <v>13064</v>
      </c>
      <c r="B5579" s="11">
        <v>4027788990013</v>
      </c>
      <c r="C5579" s="1" t="s">
        <v>43</v>
      </c>
      <c r="D5579" s="1" t="s">
        <v>21</v>
      </c>
      <c r="E5579" s="1" t="s">
        <v>22</v>
      </c>
      <c r="F5579">
        <v>8</v>
      </c>
      <c r="G5579">
        <v>1</v>
      </c>
      <c r="H5579" s="1" t="s">
        <v>14</v>
      </c>
      <c r="I5579" s="1" t="s">
        <v>15</v>
      </c>
      <c r="J5579" s="12">
        <v>46005</v>
      </c>
      <c r="K5579">
        <v>0</v>
      </c>
      <c r="L5579" s="1">
        <f t="shared" si="348"/>
        <v>8</v>
      </c>
      <c r="M5579" s="1" t="str">
        <f t="shared" si="349"/>
        <v/>
      </c>
      <c r="N5579" s="2">
        <f t="shared" si="350"/>
        <v>45992</v>
      </c>
      <c r="O5579" t="str">
        <f t="shared" si="351"/>
        <v>pes</v>
      </c>
    </row>
    <row r="5580" spans="1:15" x14ac:dyDescent="0.25">
      <c r="A5580">
        <v>13065</v>
      </c>
      <c r="B5580" s="11">
        <v>4003344556679</v>
      </c>
      <c r="C5580" s="1" t="s">
        <v>132</v>
      </c>
      <c r="D5580" s="1" t="s">
        <v>133</v>
      </c>
      <c r="E5580" s="1" t="s">
        <v>134</v>
      </c>
      <c r="F5580">
        <v>51.64</v>
      </c>
      <c r="G5580">
        <v>1</v>
      </c>
      <c r="H5580" s="1" t="s">
        <v>14</v>
      </c>
      <c r="I5580" s="1" t="s">
        <v>15</v>
      </c>
      <c r="J5580" s="12">
        <v>46005</v>
      </c>
      <c r="K5580">
        <v>0</v>
      </c>
      <c r="L5580" s="1">
        <f t="shared" si="348"/>
        <v>51.64</v>
      </c>
      <c r="M5580" s="1" t="str">
        <f t="shared" si="349"/>
        <v/>
      </c>
      <c r="N5580" s="2">
        <f t="shared" si="350"/>
        <v>45992</v>
      </c>
      <c r="O5580" t="str">
        <f t="shared" si="351"/>
        <v>pes</v>
      </c>
    </row>
    <row r="5581" spans="1:15" x14ac:dyDescent="0.25">
      <c r="A5581">
        <v>13066</v>
      </c>
      <c r="B5581" s="11">
        <v>4022345678908</v>
      </c>
      <c r="C5581" s="1" t="s">
        <v>363</v>
      </c>
      <c r="D5581" s="1" t="s">
        <v>21</v>
      </c>
      <c r="E5581" s="1" t="s">
        <v>69</v>
      </c>
      <c r="F5581">
        <v>10</v>
      </c>
      <c r="G5581">
        <v>1</v>
      </c>
      <c r="H5581" s="1" t="s">
        <v>14</v>
      </c>
      <c r="I5581" s="1" t="s">
        <v>15</v>
      </c>
      <c r="J5581" s="12">
        <v>46005</v>
      </c>
      <c r="K5581">
        <v>0</v>
      </c>
      <c r="L5581" s="1">
        <f t="shared" si="348"/>
        <v>10</v>
      </c>
      <c r="M5581" s="1" t="str">
        <f t="shared" si="349"/>
        <v/>
      </c>
      <c r="N5581" s="2">
        <f t="shared" si="350"/>
        <v>45992</v>
      </c>
      <c r="O5581" t="str">
        <f t="shared" si="351"/>
        <v>pes</v>
      </c>
    </row>
    <row r="5582" spans="1:15" hidden="1" x14ac:dyDescent="0.25">
      <c r="A5582">
        <v>13067</v>
      </c>
      <c r="B5582" s="11">
        <v>4067890123456</v>
      </c>
      <c r="C5582" s="1" t="s">
        <v>68</v>
      </c>
      <c r="D5582" s="1" t="s">
        <v>29</v>
      </c>
      <c r="E5582" s="1" t="s">
        <v>69</v>
      </c>
      <c r="F5582">
        <v>36</v>
      </c>
      <c r="G5582">
        <v>1</v>
      </c>
      <c r="H5582" s="1" t="s">
        <v>14</v>
      </c>
      <c r="I5582" s="1" t="s">
        <v>15</v>
      </c>
      <c r="J5582" s="12">
        <v>46005</v>
      </c>
      <c r="K5582">
        <v>0</v>
      </c>
      <c r="L5582" s="1">
        <f t="shared" si="348"/>
        <v>36</v>
      </c>
      <c r="M5582" s="1" t="str">
        <f t="shared" si="349"/>
        <v/>
      </c>
      <c r="N5582" s="2">
        <f t="shared" si="350"/>
        <v>45992</v>
      </c>
      <c r="O5582" t="str">
        <f t="shared" si="351"/>
        <v>mačka</v>
      </c>
    </row>
    <row r="5583" spans="1:15" x14ac:dyDescent="0.25">
      <c r="A5583">
        <v>13068</v>
      </c>
      <c r="B5583" s="11">
        <v>4028899001126</v>
      </c>
      <c r="C5583" s="1" t="s">
        <v>16</v>
      </c>
      <c r="D5583" s="1" t="s">
        <v>12</v>
      </c>
      <c r="E5583" s="1" t="s">
        <v>17</v>
      </c>
      <c r="F5583">
        <v>2.8</v>
      </c>
      <c r="G5583">
        <v>3</v>
      </c>
      <c r="H5583" s="1" t="s">
        <v>14</v>
      </c>
      <c r="I5583" s="1" t="s">
        <v>15</v>
      </c>
      <c r="J5583" s="12">
        <v>46005</v>
      </c>
      <c r="K5583">
        <v>0</v>
      </c>
      <c r="L5583" s="1">
        <f t="shared" si="348"/>
        <v>8.3999999999999986</v>
      </c>
      <c r="M5583" s="1" t="str">
        <f t="shared" si="349"/>
        <v/>
      </c>
      <c r="N5583" s="2">
        <f t="shared" si="350"/>
        <v>45992</v>
      </c>
      <c r="O5583" t="str">
        <f t="shared" si="351"/>
        <v>pes</v>
      </c>
    </row>
    <row r="5584" spans="1:15" x14ac:dyDescent="0.25">
      <c r="A5584">
        <v>13069</v>
      </c>
      <c r="B5584" s="11">
        <v>4013456789017</v>
      </c>
      <c r="C5584" s="1" t="s">
        <v>11</v>
      </c>
      <c r="D5584" s="1" t="s">
        <v>12</v>
      </c>
      <c r="E5584" s="1" t="s">
        <v>13</v>
      </c>
      <c r="F5584">
        <v>6</v>
      </c>
      <c r="G5584">
        <v>1</v>
      </c>
      <c r="H5584" s="1" t="s">
        <v>14</v>
      </c>
      <c r="I5584" s="1" t="s">
        <v>15</v>
      </c>
      <c r="J5584" s="12">
        <v>46005</v>
      </c>
      <c r="K5584">
        <v>0</v>
      </c>
      <c r="L5584" s="1">
        <f t="shared" si="348"/>
        <v>6</v>
      </c>
      <c r="M5584" s="1" t="str">
        <f t="shared" si="349"/>
        <v/>
      </c>
      <c r="N5584" s="2">
        <f t="shared" si="350"/>
        <v>45992</v>
      </c>
      <c r="O5584" t="str">
        <f t="shared" si="351"/>
        <v>pes</v>
      </c>
    </row>
    <row r="5585" spans="1:15" hidden="1" x14ac:dyDescent="0.25">
      <c r="A5585">
        <v>13070</v>
      </c>
      <c r="B5585" s="11">
        <v>4042233445567</v>
      </c>
      <c r="C5585" s="1" t="s">
        <v>637</v>
      </c>
      <c r="D5585" s="1" t="s">
        <v>140</v>
      </c>
      <c r="E5585" s="1" t="s">
        <v>141</v>
      </c>
      <c r="F5585">
        <v>51.64</v>
      </c>
      <c r="G5585">
        <v>1</v>
      </c>
      <c r="H5585" s="1" t="s">
        <v>18</v>
      </c>
      <c r="I5585" s="1" t="s">
        <v>1301</v>
      </c>
      <c r="J5585" s="12">
        <v>46005</v>
      </c>
      <c r="K5585">
        <v>0</v>
      </c>
      <c r="L5585" s="1">
        <f t="shared" si="348"/>
        <v>51.64</v>
      </c>
      <c r="M5585" s="1">
        <f t="shared" si="349"/>
        <v>4</v>
      </c>
      <c r="N5585" s="2">
        <f t="shared" si="350"/>
        <v>45992</v>
      </c>
      <c r="O5585" t="str">
        <f t="shared" si="351"/>
        <v>mačka</v>
      </c>
    </row>
    <row r="5586" spans="1:15" x14ac:dyDescent="0.25">
      <c r="A5586">
        <v>13071</v>
      </c>
      <c r="B5586" s="11">
        <v>4027788990013</v>
      </c>
      <c r="C5586" s="1" t="s">
        <v>43</v>
      </c>
      <c r="D5586" s="1" t="s">
        <v>21</v>
      </c>
      <c r="E5586" s="1" t="s">
        <v>22</v>
      </c>
      <c r="F5586">
        <v>8</v>
      </c>
      <c r="G5586">
        <v>1</v>
      </c>
      <c r="H5586" s="1" t="s">
        <v>14</v>
      </c>
      <c r="I5586" s="1" t="s">
        <v>15</v>
      </c>
      <c r="J5586" s="12">
        <v>46005</v>
      </c>
      <c r="K5586">
        <v>0</v>
      </c>
      <c r="L5586" s="1">
        <f t="shared" si="348"/>
        <v>8</v>
      </c>
      <c r="M5586" s="1" t="str">
        <f t="shared" si="349"/>
        <v/>
      </c>
      <c r="N5586" s="2">
        <f t="shared" si="350"/>
        <v>45992</v>
      </c>
      <c r="O5586" t="str">
        <f t="shared" si="351"/>
        <v>pes</v>
      </c>
    </row>
    <row r="5587" spans="1:15" x14ac:dyDescent="0.25">
      <c r="A5587">
        <v>13072</v>
      </c>
      <c r="B5587" s="11">
        <v>4040123456795</v>
      </c>
      <c r="C5587" s="1" t="s">
        <v>20</v>
      </c>
      <c r="D5587" s="1" t="s">
        <v>21</v>
      </c>
      <c r="E5587" s="1" t="s">
        <v>22</v>
      </c>
      <c r="F5587">
        <v>8.8000000000000007</v>
      </c>
      <c r="G5587">
        <v>1</v>
      </c>
      <c r="H5587" s="1" t="s">
        <v>14</v>
      </c>
      <c r="I5587" s="1" t="s">
        <v>15</v>
      </c>
      <c r="J5587" s="12">
        <v>46005</v>
      </c>
      <c r="K5587">
        <v>0</v>
      </c>
      <c r="L5587" s="1">
        <f t="shared" si="348"/>
        <v>8.8000000000000007</v>
      </c>
      <c r="M5587" s="1" t="str">
        <f t="shared" si="349"/>
        <v/>
      </c>
      <c r="N5587" s="2">
        <f t="shared" si="350"/>
        <v>45992</v>
      </c>
      <c r="O5587" t="str">
        <f t="shared" si="351"/>
        <v>pes</v>
      </c>
    </row>
    <row r="5588" spans="1:15" x14ac:dyDescent="0.25">
      <c r="A5588">
        <v>13073</v>
      </c>
      <c r="B5588" s="11">
        <v>4028899001126</v>
      </c>
      <c r="C5588" s="1" t="s">
        <v>16</v>
      </c>
      <c r="D5588" s="1" t="s">
        <v>12</v>
      </c>
      <c r="E5588" s="1" t="s">
        <v>17</v>
      </c>
      <c r="F5588">
        <v>2.8</v>
      </c>
      <c r="G5588">
        <v>3</v>
      </c>
      <c r="H5588" s="1" t="s">
        <v>14</v>
      </c>
      <c r="I5588" s="1" t="s">
        <v>15</v>
      </c>
      <c r="J5588" s="12">
        <v>46005</v>
      </c>
      <c r="K5588">
        <v>0</v>
      </c>
      <c r="L5588" s="1">
        <f t="shared" si="348"/>
        <v>8.3999999999999986</v>
      </c>
      <c r="M5588" s="1" t="str">
        <f t="shared" si="349"/>
        <v/>
      </c>
      <c r="N5588" s="2">
        <f t="shared" si="350"/>
        <v>45992</v>
      </c>
      <c r="O5588" t="str">
        <f t="shared" si="351"/>
        <v>pes</v>
      </c>
    </row>
    <row r="5589" spans="1:15" hidden="1" x14ac:dyDescent="0.25">
      <c r="A5589">
        <v>13074</v>
      </c>
      <c r="B5589" s="11">
        <v>4056789012345</v>
      </c>
      <c r="C5589" s="1" t="s">
        <v>47</v>
      </c>
      <c r="D5589" s="1" t="s">
        <v>29</v>
      </c>
      <c r="E5589" s="1" t="s">
        <v>37</v>
      </c>
      <c r="F5589">
        <v>2.4</v>
      </c>
      <c r="G5589">
        <v>2</v>
      </c>
      <c r="H5589" s="1" t="s">
        <v>14</v>
      </c>
      <c r="I5589" s="1" t="s">
        <v>15</v>
      </c>
      <c r="J5589" s="12">
        <v>46005</v>
      </c>
      <c r="K5589">
        <v>0</v>
      </c>
      <c r="L5589" s="1">
        <f t="shared" si="348"/>
        <v>4.8</v>
      </c>
      <c r="M5589" s="1" t="str">
        <f t="shared" si="349"/>
        <v/>
      </c>
      <c r="N5589" s="2">
        <f t="shared" si="350"/>
        <v>45992</v>
      </c>
      <c r="O5589" t="str">
        <f t="shared" si="351"/>
        <v>mačka</v>
      </c>
    </row>
    <row r="5590" spans="1:15" hidden="1" x14ac:dyDescent="0.25">
      <c r="A5590">
        <v>13075</v>
      </c>
      <c r="B5590" s="11">
        <v>4042233445567</v>
      </c>
      <c r="C5590" s="1" t="s">
        <v>637</v>
      </c>
      <c r="D5590" s="1" t="s">
        <v>140</v>
      </c>
      <c r="E5590" s="1" t="s">
        <v>141</v>
      </c>
      <c r="F5590">
        <v>51.64</v>
      </c>
      <c r="G5590">
        <v>1</v>
      </c>
      <c r="H5590" s="1" t="s">
        <v>14</v>
      </c>
      <c r="I5590" s="1" t="s">
        <v>15</v>
      </c>
      <c r="J5590" s="12">
        <v>46005</v>
      </c>
      <c r="K5590">
        <v>0</v>
      </c>
      <c r="L5590" s="1">
        <f t="shared" si="348"/>
        <v>51.64</v>
      </c>
      <c r="M5590" s="1" t="str">
        <f t="shared" si="349"/>
        <v/>
      </c>
      <c r="N5590" s="2">
        <f t="shared" si="350"/>
        <v>45992</v>
      </c>
      <c r="O5590" t="str">
        <f t="shared" si="351"/>
        <v>mačka</v>
      </c>
    </row>
    <row r="5591" spans="1:15" x14ac:dyDescent="0.25">
      <c r="A5591">
        <v>13076</v>
      </c>
      <c r="B5591" s="11">
        <v>4003344556679</v>
      </c>
      <c r="C5591" s="1" t="s">
        <v>132</v>
      </c>
      <c r="D5591" s="1" t="s">
        <v>133</v>
      </c>
      <c r="E5591" s="1" t="s">
        <v>134</v>
      </c>
      <c r="F5591">
        <v>51.64</v>
      </c>
      <c r="G5591">
        <v>1</v>
      </c>
      <c r="H5591" s="1" t="s">
        <v>14</v>
      </c>
      <c r="I5591" s="1" t="s">
        <v>15</v>
      </c>
      <c r="J5591" s="12">
        <v>46005</v>
      </c>
      <c r="K5591">
        <v>0</v>
      </c>
      <c r="L5591" s="1">
        <f t="shared" si="348"/>
        <v>51.64</v>
      </c>
      <c r="M5591" s="1" t="str">
        <f t="shared" si="349"/>
        <v/>
      </c>
      <c r="N5591" s="2">
        <f t="shared" si="350"/>
        <v>45992</v>
      </c>
      <c r="O5591" t="str">
        <f t="shared" si="351"/>
        <v>pes</v>
      </c>
    </row>
    <row r="5592" spans="1:15" x14ac:dyDescent="0.25">
      <c r="A5592">
        <v>13077</v>
      </c>
      <c r="B5592" s="11">
        <v>4017890123450</v>
      </c>
      <c r="C5592" s="1" t="s">
        <v>65</v>
      </c>
      <c r="D5592" s="1" t="s">
        <v>39</v>
      </c>
      <c r="E5592" s="1" t="s">
        <v>22</v>
      </c>
      <c r="F5592">
        <v>7.6</v>
      </c>
      <c r="G5592">
        <v>1</v>
      </c>
      <c r="H5592" s="1" t="s">
        <v>14</v>
      </c>
      <c r="I5592" s="1" t="s">
        <v>15</v>
      </c>
      <c r="J5592" s="12">
        <v>46005</v>
      </c>
      <c r="K5592">
        <v>0</v>
      </c>
      <c r="L5592" s="1">
        <f t="shared" si="348"/>
        <v>7.6</v>
      </c>
      <c r="M5592" s="1" t="str">
        <f t="shared" si="349"/>
        <v/>
      </c>
      <c r="N5592" s="2">
        <f t="shared" si="350"/>
        <v>45992</v>
      </c>
      <c r="O5592" t="str">
        <f t="shared" si="351"/>
        <v>pes</v>
      </c>
    </row>
    <row r="5593" spans="1:15" hidden="1" x14ac:dyDescent="0.25">
      <c r="A5593">
        <v>13078</v>
      </c>
      <c r="B5593" s="11">
        <v>8593456789012</v>
      </c>
      <c r="C5593" s="1" t="s">
        <v>28</v>
      </c>
      <c r="D5593" s="1" t="s">
        <v>29</v>
      </c>
      <c r="E5593" s="1" t="s">
        <v>30</v>
      </c>
      <c r="F5593">
        <v>42</v>
      </c>
      <c r="G5593">
        <v>1</v>
      </c>
      <c r="H5593" s="1" t="s">
        <v>14</v>
      </c>
      <c r="I5593" s="1" t="s">
        <v>15</v>
      </c>
      <c r="J5593" s="12">
        <v>46005</v>
      </c>
      <c r="K5593">
        <v>0</v>
      </c>
      <c r="L5593" s="1">
        <f t="shared" si="348"/>
        <v>42</v>
      </c>
      <c r="M5593" s="1" t="str">
        <f t="shared" si="349"/>
        <v/>
      </c>
      <c r="N5593" s="2">
        <f t="shared" si="350"/>
        <v>45992</v>
      </c>
      <c r="O5593" t="str">
        <f t="shared" si="351"/>
        <v>mačka</v>
      </c>
    </row>
    <row r="5594" spans="1:15" hidden="1" x14ac:dyDescent="0.25">
      <c r="A5594">
        <v>13079</v>
      </c>
      <c r="B5594" s="11">
        <v>4056789012345</v>
      </c>
      <c r="C5594" s="1" t="s">
        <v>47</v>
      </c>
      <c r="D5594" s="1" t="s">
        <v>29</v>
      </c>
      <c r="E5594" s="1" t="s">
        <v>37</v>
      </c>
      <c r="F5594">
        <v>2.4</v>
      </c>
      <c r="G5594">
        <v>2</v>
      </c>
      <c r="H5594" s="1" t="s">
        <v>14</v>
      </c>
      <c r="I5594" s="1" t="s">
        <v>15</v>
      </c>
      <c r="J5594" s="12">
        <v>46005</v>
      </c>
      <c r="K5594">
        <v>0</v>
      </c>
      <c r="L5594" s="1">
        <f t="shared" si="348"/>
        <v>4.8</v>
      </c>
      <c r="M5594" s="1" t="str">
        <f t="shared" si="349"/>
        <v/>
      </c>
      <c r="N5594" s="2">
        <f t="shared" si="350"/>
        <v>45992</v>
      </c>
      <c r="O5594" t="str">
        <f t="shared" si="351"/>
        <v>mačka</v>
      </c>
    </row>
    <row r="5595" spans="1:15" x14ac:dyDescent="0.25">
      <c r="A5595">
        <v>13080</v>
      </c>
      <c r="B5595" s="11">
        <v>4028899001126</v>
      </c>
      <c r="C5595" s="1" t="s">
        <v>16</v>
      </c>
      <c r="D5595" s="1" t="s">
        <v>12</v>
      </c>
      <c r="E5595" s="1" t="s">
        <v>17</v>
      </c>
      <c r="F5595">
        <v>2.8</v>
      </c>
      <c r="G5595">
        <v>2</v>
      </c>
      <c r="H5595" s="1" t="s">
        <v>18</v>
      </c>
      <c r="I5595" s="1" t="s">
        <v>1302</v>
      </c>
      <c r="J5595" s="12">
        <v>46005</v>
      </c>
      <c r="K5595">
        <v>0</v>
      </c>
      <c r="L5595" s="1">
        <f t="shared" si="348"/>
        <v>5.6</v>
      </c>
      <c r="M5595" s="1">
        <f t="shared" si="349"/>
        <v>4</v>
      </c>
      <c r="N5595" s="2">
        <f t="shared" si="350"/>
        <v>45992</v>
      </c>
      <c r="O5595" t="str">
        <f t="shared" si="351"/>
        <v>pes</v>
      </c>
    </row>
    <row r="5596" spans="1:15" x14ac:dyDescent="0.25">
      <c r="A5596">
        <v>13081</v>
      </c>
      <c r="B5596" s="11">
        <v>4013456789017</v>
      </c>
      <c r="C5596" s="1" t="s">
        <v>11</v>
      </c>
      <c r="D5596" s="1" t="s">
        <v>12</v>
      </c>
      <c r="E5596" s="1" t="s">
        <v>13</v>
      </c>
      <c r="F5596">
        <v>6</v>
      </c>
      <c r="G5596">
        <v>1</v>
      </c>
      <c r="H5596" s="1" t="s">
        <v>14</v>
      </c>
      <c r="I5596" s="1" t="s">
        <v>15</v>
      </c>
      <c r="J5596" s="12">
        <v>46005</v>
      </c>
      <c r="K5596">
        <v>0</v>
      </c>
      <c r="L5596" s="1">
        <f t="shared" si="348"/>
        <v>6</v>
      </c>
      <c r="M5596" s="1" t="str">
        <f t="shared" si="349"/>
        <v/>
      </c>
      <c r="N5596" s="2">
        <f t="shared" si="350"/>
        <v>45992</v>
      </c>
      <c r="O5596" t="str">
        <f t="shared" si="351"/>
        <v>pes</v>
      </c>
    </row>
    <row r="5597" spans="1:15" x14ac:dyDescent="0.25">
      <c r="A5597">
        <v>13082</v>
      </c>
      <c r="B5597" s="11">
        <v>4040123456795</v>
      </c>
      <c r="C5597" s="1" t="s">
        <v>20</v>
      </c>
      <c r="D5597" s="1" t="s">
        <v>21</v>
      </c>
      <c r="E5597" s="1" t="s">
        <v>22</v>
      </c>
      <c r="F5597">
        <v>8.8000000000000007</v>
      </c>
      <c r="G5597">
        <v>1</v>
      </c>
      <c r="H5597" s="1" t="s">
        <v>14</v>
      </c>
      <c r="I5597" s="1" t="s">
        <v>15</v>
      </c>
      <c r="J5597" s="12">
        <v>46005</v>
      </c>
      <c r="K5597">
        <v>0</v>
      </c>
      <c r="L5597" s="1">
        <f t="shared" si="348"/>
        <v>8.8000000000000007</v>
      </c>
      <c r="M5597" s="1" t="str">
        <f t="shared" si="349"/>
        <v/>
      </c>
      <c r="N5597" s="2">
        <f t="shared" si="350"/>
        <v>45992</v>
      </c>
      <c r="O5597" t="str">
        <f t="shared" si="351"/>
        <v>pes</v>
      </c>
    </row>
    <row r="5598" spans="1:15" x14ac:dyDescent="0.25">
      <c r="A5598">
        <v>13083</v>
      </c>
      <c r="B5598" s="11">
        <v>4027788990013</v>
      </c>
      <c r="C5598" s="1" t="s">
        <v>43</v>
      </c>
      <c r="D5598" s="1" t="s">
        <v>21</v>
      </c>
      <c r="E5598" s="1" t="s">
        <v>22</v>
      </c>
      <c r="F5598">
        <v>8</v>
      </c>
      <c r="G5598">
        <v>1</v>
      </c>
      <c r="H5598" s="1" t="s">
        <v>14</v>
      </c>
      <c r="I5598" s="1" t="s">
        <v>15</v>
      </c>
      <c r="J5598" s="12">
        <v>46005</v>
      </c>
      <c r="K5598">
        <v>0</v>
      </c>
      <c r="L5598" s="1">
        <f t="shared" si="348"/>
        <v>8</v>
      </c>
      <c r="M5598" s="1" t="str">
        <f t="shared" si="349"/>
        <v/>
      </c>
      <c r="N5598" s="2">
        <f t="shared" si="350"/>
        <v>45992</v>
      </c>
      <c r="O5598" t="str">
        <f t="shared" si="351"/>
        <v>pes</v>
      </c>
    </row>
    <row r="5599" spans="1:15" x14ac:dyDescent="0.25">
      <c r="A5599">
        <v>13084</v>
      </c>
      <c r="B5599" s="11">
        <v>4003344556679</v>
      </c>
      <c r="C5599" s="1" t="s">
        <v>132</v>
      </c>
      <c r="D5599" s="1" t="s">
        <v>133</v>
      </c>
      <c r="E5599" s="1" t="s">
        <v>134</v>
      </c>
      <c r="F5599">
        <v>51.64</v>
      </c>
      <c r="G5599">
        <v>1</v>
      </c>
      <c r="H5599" s="1" t="s">
        <v>14</v>
      </c>
      <c r="I5599" s="1" t="s">
        <v>15</v>
      </c>
      <c r="J5599" s="12">
        <v>46005</v>
      </c>
      <c r="K5599">
        <v>0</v>
      </c>
      <c r="L5599" s="1">
        <f t="shared" si="348"/>
        <v>51.64</v>
      </c>
      <c r="M5599" s="1" t="str">
        <f t="shared" si="349"/>
        <v/>
      </c>
      <c r="N5599" s="2">
        <f t="shared" si="350"/>
        <v>45992</v>
      </c>
      <c r="O5599" t="str">
        <f t="shared" si="351"/>
        <v>pes</v>
      </c>
    </row>
    <row r="5600" spans="1:15" hidden="1" x14ac:dyDescent="0.25">
      <c r="A5600">
        <v>13085</v>
      </c>
      <c r="B5600" s="11">
        <v>4042233445567</v>
      </c>
      <c r="C5600" s="1" t="s">
        <v>637</v>
      </c>
      <c r="D5600" s="1" t="s">
        <v>140</v>
      </c>
      <c r="E5600" s="1" t="s">
        <v>141</v>
      </c>
      <c r="F5600">
        <v>51.64</v>
      </c>
      <c r="G5600">
        <v>1</v>
      </c>
      <c r="H5600" s="1" t="s">
        <v>14</v>
      </c>
      <c r="I5600" s="1" t="s">
        <v>15</v>
      </c>
      <c r="J5600" s="12">
        <v>46005</v>
      </c>
      <c r="K5600">
        <v>0</v>
      </c>
      <c r="L5600" s="1">
        <f t="shared" si="348"/>
        <v>51.64</v>
      </c>
      <c r="M5600" s="1" t="str">
        <f t="shared" si="349"/>
        <v/>
      </c>
      <c r="N5600" s="2">
        <f t="shared" si="350"/>
        <v>45992</v>
      </c>
      <c r="O5600" t="str">
        <f t="shared" si="351"/>
        <v>mačka</v>
      </c>
    </row>
    <row r="5601" spans="1:15" x14ac:dyDescent="0.25">
      <c r="A5601">
        <v>13086</v>
      </c>
      <c r="B5601" s="11">
        <v>4028899001126</v>
      </c>
      <c r="C5601" s="1" t="s">
        <v>16</v>
      </c>
      <c r="D5601" s="1" t="s">
        <v>12</v>
      </c>
      <c r="E5601" s="1" t="s">
        <v>17</v>
      </c>
      <c r="F5601">
        <v>2.8</v>
      </c>
      <c r="G5601">
        <v>3</v>
      </c>
      <c r="H5601" s="1" t="s">
        <v>14</v>
      </c>
      <c r="I5601" s="1" t="s">
        <v>15</v>
      </c>
      <c r="J5601" s="12">
        <v>46006</v>
      </c>
      <c r="K5601">
        <v>0</v>
      </c>
      <c r="L5601" s="1">
        <f t="shared" si="348"/>
        <v>8.3999999999999986</v>
      </c>
      <c r="M5601" s="1" t="str">
        <f t="shared" si="349"/>
        <v/>
      </c>
      <c r="N5601" s="2">
        <f t="shared" si="350"/>
        <v>45992</v>
      </c>
      <c r="O5601" t="str">
        <f t="shared" si="351"/>
        <v>pes</v>
      </c>
    </row>
    <row r="5602" spans="1:15" x14ac:dyDescent="0.25">
      <c r="A5602">
        <v>13087</v>
      </c>
      <c r="B5602" s="11">
        <v>4013456789017</v>
      </c>
      <c r="C5602" s="1" t="s">
        <v>11</v>
      </c>
      <c r="D5602" s="1" t="s">
        <v>12</v>
      </c>
      <c r="E5602" s="1" t="s">
        <v>13</v>
      </c>
      <c r="F5602">
        <v>6</v>
      </c>
      <c r="G5602">
        <v>1</v>
      </c>
      <c r="H5602" s="1" t="s">
        <v>14</v>
      </c>
      <c r="I5602" s="1" t="s">
        <v>15</v>
      </c>
      <c r="J5602" s="12">
        <v>46006</v>
      </c>
      <c r="K5602">
        <v>0</v>
      </c>
      <c r="L5602" s="1">
        <f t="shared" si="348"/>
        <v>6</v>
      </c>
      <c r="M5602" s="1" t="str">
        <f t="shared" si="349"/>
        <v/>
      </c>
      <c r="N5602" s="2">
        <f t="shared" si="350"/>
        <v>45992</v>
      </c>
      <c r="O5602" t="str">
        <f t="shared" si="351"/>
        <v>pes</v>
      </c>
    </row>
    <row r="5603" spans="1:15" hidden="1" x14ac:dyDescent="0.25">
      <c r="A5603">
        <v>13088</v>
      </c>
      <c r="B5603" s="11">
        <v>4042233445567</v>
      </c>
      <c r="C5603" s="1" t="s">
        <v>637</v>
      </c>
      <c r="D5603" s="1" t="s">
        <v>140</v>
      </c>
      <c r="E5603" s="1" t="s">
        <v>141</v>
      </c>
      <c r="F5603">
        <v>51.64</v>
      </c>
      <c r="G5603">
        <v>1</v>
      </c>
      <c r="H5603" s="1" t="s">
        <v>18</v>
      </c>
      <c r="I5603" s="1" t="s">
        <v>1303</v>
      </c>
      <c r="J5603" s="12">
        <v>46006</v>
      </c>
      <c r="K5603">
        <v>0</v>
      </c>
      <c r="L5603" s="1">
        <f t="shared" si="348"/>
        <v>51.64</v>
      </c>
      <c r="M5603" s="1">
        <f t="shared" si="349"/>
        <v>4</v>
      </c>
      <c r="N5603" s="2">
        <f t="shared" si="350"/>
        <v>45992</v>
      </c>
      <c r="O5603" t="str">
        <f t="shared" si="351"/>
        <v>mačka</v>
      </c>
    </row>
    <row r="5604" spans="1:15" x14ac:dyDescent="0.25">
      <c r="A5604">
        <v>13089</v>
      </c>
      <c r="B5604" s="11">
        <v>4040123456795</v>
      </c>
      <c r="C5604" s="1" t="s">
        <v>20</v>
      </c>
      <c r="D5604" s="1" t="s">
        <v>21</v>
      </c>
      <c r="E5604" s="1" t="s">
        <v>22</v>
      </c>
      <c r="F5604">
        <v>8.8000000000000007</v>
      </c>
      <c r="G5604">
        <v>1</v>
      </c>
      <c r="H5604" s="1" t="s">
        <v>14</v>
      </c>
      <c r="I5604" s="1" t="s">
        <v>15</v>
      </c>
      <c r="J5604" s="12">
        <v>46006</v>
      </c>
      <c r="K5604">
        <v>0</v>
      </c>
      <c r="L5604" s="1">
        <f t="shared" si="348"/>
        <v>8.8000000000000007</v>
      </c>
      <c r="M5604" s="1" t="str">
        <f t="shared" si="349"/>
        <v/>
      </c>
      <c r="N5604" s="2">
        <f t="shared" si="350"/>
        <v>45992</v>
      </c>
      <c r="O5604" t="str">
        <f t="shared" si="351"/>
        <v>pes</v>
      </c>
    </row>
    <row r="5605" spans="1:15" x14ac:dyDescent="0.25">
      <c r="A5605">
        <v>13090</v>
      </c>
      <c r="B5605" s="11">
        <v>4027788990013</v>
      </c>
      <c r="C5605" s="1" t="s">
        <v>43</v>
      </c>
      <c r="D5605" s="1" t="s">
        <v>21</v>
      </c>
      <c r="E5605" s="1" t="s">
        <v>22</v>
      </c>
      <c r="F5605">
        <v>8</v>
      </c>
      <c r="G5605">
        <v>1</v>
      </c>
      <c r="H5605" s="1" t="s">
        <v>14</v>
      </c>
      <c r="I5605" s="1" t="s">
        <v>15</v>
      </c>
      <c r="J5605" s="12">
        <v>46006</v>
      </c>
      <c r="K5605">
        <v>0</v>
      </c>
      <c r="L5605" s="1">
        <f t="shared" si="348"/>
        <v>8</v>
      </c>
      <c r="M5605" s="1" t="str">
        <f t="shared" si="349"/>
        <v/>
      </c>
      <c r="N5605" s="2">
        <f t="shared" si="350"/>
        <v>45992</v>
      </c>
      <c r="O5605" t="str">
        <f t="shared" si="351"/>
        <v>pes</v>
      </c>
    </row>
    <row r="5606" spans="1:15" x14ac:dyDescent="0.25">
      <c r="A5606">
        <v>13091</v>
      </c>
      <c r="B5606" s="11">
        <v>4003344556679</v>
      </c>
      <c r="C5606" s="1" t="s">
        <v>132</v>
      </c>
      <c r="D5606" s="1" t="s">
        <v>133</v>
      </c>
      <c r="E5606" s="1" t="s">
        <v>134</v>
      </c>
      <c r="F5606">
        <v>51.64</v>
      </c>
      <c r="G5606">
        <v>1</v>
      </c>
      <c r="H5606" s="1" t="s">
        <v>14</v>
      </c>
      <c r="I5606" s="1" t="s">
        <v>15</v>
      </c>
      <c r="J5606" s="12">
        <v>46006</v>
      </c>
      <c r="K5606">
        <v>0</v>
      </c>
      <c r="L5606" s="1">
        <f t="shared" si="348"/>
        <v>51.64</v>
      </c>
      <c r="M5606" s="1" t="str">
        <f t="shared" si="349"/>
        <v/>
      </c>
      <c r="N5606" s="2">
        <f t="shared" si="350"/>
        <v>45992</v>
      </c>
      <c r="O5606" t="str">
        <f t="shared" si="351"/>
        <v>pes</v>
      </c>
    </row>
    <row r="5607" spans="1:15" x14ac:dyDescent="0.25">
      <c r="A5607">
        <v>13092</v>
      </c>
      <c r="B5607" s="11">
        <v>4028899001126</v>
      </c>
      <c r="C5607" s="1" t="s">
        <v>16</v>
      </c>
      <c r="D5607" s="1" t="s">
        <v>12</v>
      </c>
      <c r="E5607" s="1" t="s">
        <v>17</v>
      </c>
      <c r="F5607">
        <v>2.8</v>
      </c>
      <c r="G5607">
        <v>3</v>
      </c>
      <c r="H5607" s="1" t="s">
        <v>14</v>
      </c>
      <c r="I5607" s="1" t="s">
        <v>15</v>
      </c>
      <c r="J5607" s="12">
        <v>46006</v>
      </c>
      <c r="K5607">
        <v>0</v>
      </c>
      <c r="L5607" s="1">
        <f t="shared" si="348"/>
        <v>8.3999999999999986</v>
      </c>
      <c r="M5607" s="1" t="str">
        <f t="shared" si="349"/>
        <v/>
      </c>
      <c r="N5607" s="2">
        <f t="shared" si="350"/>
        <v>45992</v>
      </c>
      <c r="O5607" t="str">
        <f t="shared" si="351"/>
        <v>pes</v>
      </c>
    </row>
    <row r="5608" spans="1:15" x14ac:dyDescent="0.25">
      <c r="A5608">
        <v>13093</v>
      </c>
      <c r="B5608" s="11">
        <v>4013456789017</v>
      </c>
      <c r="C5608" s="1" t="s">
        <v>11</v>
      </c>
      <c r="D5608" s="1" t="s">
        <v>12</v>
      </c>
      <c r="E5608" s="1" t="s">
        <v>13</v>
      </c>
      <c r="F5608">
        <v>6</v>
      </c>
      <c r="G5608">
        <v>1</v>
      </c>
      <c r="H5608" s="1" t="s">
        <v>14</v>
      </c>
      <c r="I5608" s="1" t="s">
        <v>15</v>
      </c>
      <c r="J5608" s="12">
        <v>46006</v>
      </c>
      <c r="K5608">
        <v>0</v>
      </c>
      <c r="L5608" s="1">
        <f t="shared" si="348"/>
        <v>6</v>
      </c>
      <c r="M5608" s="1" t="str">
        <f t="shared" si="349"/>
        <v/>
      </c>
      <c r="N5608" s="2">
        <f t="shared" si="350"/>
        <v>45992</v>
      </c>
      <c r="O5608" t="str">
        <f t="shared" si="351"/>
        <v>pes</v>
      </c>
    </row>
    <row r="5609" spans="1:15" hidden="1" x14ac:dyDescent="0.25">
      <c r="A5609">
        <v>13094</v>
      </c>
      <c r="B5609" s="11">
        <v>4056789012345</v>
      </c>
      <c r="C5609" s="1" t="s">
        <v>47</v>
      </c>
      <c r="D5609" s="1" t="s">
        <v>29</v>
      </c>
      <c r="E5609" s="1" t="s">
        <v>37</v>
      </c>
      <c r="F5609">
        <v>2.4</v>
      </c>
      <c r="G5609">
        <v>2</v>
      </c>
      <c r="H5609" s="1" t="s">
        <v>18</v>
      </c>
      <c r="I5609" s="1" t="s">
        <v>1304</v>
      </c>
      <c r="J5609" s="12">
        <v>46006</v>
      </c>
      <c r="K5609">
        <v>0</v>
      </c>
      <c r="L5609" s="1">
        <f t="shared" si="348"/>
        <v>4.8</v>
      </c>
      <c r="M5609" s="1">
        <f t="shared" si="349"/>
        <v>4</v>
      </c>
      <c r="N5609" s="2">
        <f t="shared" si="350"/>
        <v>45992</v>
      </c>
      <c r="O5609" t="str">
        <f t="shared" si="351"/>
        <v>mačka</v>
      </c>
    </row>
    <row r="5610" spans="1:15" hidden="1" x14ac:dyDescent="0.25">
      <c r="A5610">
        <v>13095</v>
      </c>
      <c r="B5610" s="11">
        <v>8593456789012</v>
      </c>
      <c r="C5610" s="1" t="s">
        <v>28</v>
      </c>
      <c r="D5610" s="1" t="s">
        <v>29</v>
      </c>
      <c r="E5610" s="1" t="s">
        <v>30</v>
      </c>
      <c r="F5610">
        <v>42</v>
      </c>
      <c r="G5610">
        <v>1</v>
      </c>
      <c r="H5610" s="1" t="s">
        <v>14</v>
      </c>
      <c r="I5610" s="1" t="s">
        <v>15</v>
      </c>
      <c r="J5610" s="12">
        <v>46006</v>
      </c>
      <c r="K5610">
        <v>0</v>
      </c>
      <c r="L5610" s="1">
        <f t="shared" si="348"/>
        <v>42</v>
      </c>
      <c r="M5610" s="1" t="str">
        <f t="shared" si="349"/>
        <v/>
      </c>
      <c r="N5610" s="2">
        <f t="shared" si="350"/>
        <v>45992</v>
      </c>
      <c r="O5610" t="str">
        <f t="shared" si="351"/>
        <v>mačka</v>
      </c>
    </row>
    <row r="5611" spans="1:15" x14ac:dyDescent="0.25">
      <c r="A5611">
        <v>13096</v>
      </c>
      <c r="B5611" s="11">
        <v>4017890123450</v>
      </c>
      <c r="C5611" s="1" t="s">
        <v>65</v>
      </c>
      <c r="D5611" s="1" t="s">
        <v>39</v>
      </c>
      <c r="E5611" s="1" t="s">
        <v>22</v>
      </c>
      <c r="F5611">
        <v>7.6</v>
      </c>
      <c r="G5611">
        <v>1</v>
      </c>
      <c r="H5611" s="1" t="s">
        <v>14</v>
      </c>
      <c r="I5611" s="1" t="s">
        <v>15</v>
      </c>
      <c r="J5611" s="12">
        <v>46006</v>
      </c>
      <c r="K5611">
        <v>0</v>
      </c>
      <c r="L5611" s="1">
        <f t="shared" si="348"/>
        <v>7.6</v>
      </c>
      <c r="M5611" s="1" t="str">
        <f t="shared" si="349"/>
        <v/>
      </c>
      <c r="N5611" s="2">
        <f t="shared" si="350"/>
        <v>45992</v>
      </c>
      <c r="O5611" t="str">
        <f t="shared" si="351"/>
        <v>pes</v>
      </c>
    </row>
    <row r="5612" spans="1:15" x14ac:dyDescent="0.25">
      <c r="A5612">
        <v>13097</v>
      </c>
      <c r="B5612" s="11">
        <v>4063456789014</v>
      </c>
      <c r="C5612" s="1" t="s">
        <v>60</v>
      </c>
      <c r="D5612" s="1" t="s">
        <v>12</v>
      </c>
      <c r="E5612" s="1" t="s">
        <v>61</v>
      </c>
      <c r="F5612">
        <v>36</v>
      </c>
      <c r="G5612">
        <v>1</v>
      </c>
      <c r="H5612" s="1" t="s">
        <v>14</v>
      </c>
      <c r="I5612" s="1" t="s">
        <v>15</v>
      </c>
      <c r="J5612" s="12">
        <v>46006</v>
      </c>
      <c r="K5612">
        <v>0</v>
      </c>
      <c r="L5612" s="1">
        <f t="shared" si="348"/>
        <v>36</v>
      </c>
      <c r="M5612" s="1" t="str">
        <f t="shared" si="349"/>
        <v/>
      </c>
      <c r="N5612" s="2">
        <f t="shared" si="350"/>
        <v>45992</v>
      </c>
      <c r="O5612" t="str">
        <f t="shared" si="351"/>
        <v>pes</v>
      </c>
    </row>
    <row r="5613" spans="1:15" hidden="1" x14ac:dyDescent="0.25">
      <c r="A5613">
        <v>13098</v>
      </c>
      <c r="B5613" s="11">
        <v>4042233445567</v>
      </c>
      <c r="C5613" s="1" t="s">
        <v>637</v>
      </c>
      <c r="D5613" s="1" t="s">
        <v>140</v>
      </c>
      <c r="E5613" s="1" t="s">
        <v>141</v>
      </c>
      <c r="F5613">
        <v>51.64</v>
      </c>
      <c r="G5613">
        <v>1</v>
      </c>
      <c r="H5613" s="1" t="s">
        <v>14</v>
      </c>
      <c r="I5613" s="1" t="s">
        <v>15</v>
      </c>
      <c r="J5613" s="12">
        <v>46006</v>
      </c>
      <c r="K5613">
        <v>0</v>
      </c>
      <c r="L5613" s="1">
        <f t="shared" si="348"/>
        <v>51.64</v>
      </c>
      <c r="M5613" s="1" t="str">
        <f t="shared" si="349"/>
        <v/>
      </c>
      <c r="N5613" s="2">
        <f t="shared" si="350"/>
        <v>45992</v>
      </c>
      <c r="O5613" t="str">
        <f t="shared" si="351"/>
        <v>mačka</v>
      </c>
    </row>
    <row r="5614" spans="1:15" x14ac:dyDescent="0.25">
      <c r="A5614">
        <v>13099</v>
      </c>
      <c r="B5614" s="11">
        <v>4027788990013</v>
      </c>
      <c r="C5614" s="1" t="s">
        <v>43</v>
      </c>
      <c r="D5614" s="1" t="s">
        <v>21</v>
      </c>
      <c r="E5614" s="1" t="s">
        <v>22</v>
      </c>
      <c r="F5614">
        <v>8</v>
      </c>
      <c r="G5614">
        <v>1</v>
      </c>
      <c r="H5614" s="1" t="s">
        <v>23</v>
      </c>
      <c r="I5614" s="1" t="s">
        <v>1305</v>
      </c>
      <c r="J5614" s="12">
        <v>46006</v>
      </c>
      <c r="K5614">
        <v>0</v>
      </c>
      <c r="L5614" s="1">
        <f t="shared" si="348"/>
        <v>8</v>
      </c>
      <c r="M5614" s="1">
        <f t="shared" si="349"/>
        <v>5</v>
      </c>
      <c r="N5614" s="2">
        <f t="shared" si="350"/>
        <v>45992</v>
      </c>
      <c r="O5614" t="str">
        <f t="shared" si="351"/>
        <v>pes</v>
      </c>
    </row>
    <row r="5615" spans="1:15" x14ac:dyDescent="0.25">
      <c r="A5615">
        <v>13100</v>
      </c>
      <c r="B5615" s="11">
        <v>4028899001126</v>
      </c>
      <c r="C5615" s="1" t="s">
        <v>16</v>
      </c>
      <c r="D5615" s="1" t="s">
        <v>12</v>
      </c>
      <c r="E5615" s="1" t="s">
        <v>17</v>
      </c>
      <c r="F5615">
        <v>2.8</v>
      </c>
      <c r="G5615">
        <v>2</v>
      </c>
      <c r="H5615" s="1" t="s">
        <v>14</v>
      </c>
      <c r="I5615" s="1" t="s">
        <v>15</v>
      </c>
      <c r="J5615" s="12">
        <v>46006</v>
      </c>
      <c r="K5615">
        <v>0</v>
      </c>
      <c r="L5615" s="1">
        <f t="shared" si="348"/>
        <v>5.6</v>
      </c>
      <c r="M5615" s="1" t="str">
        <f t="shared" si="349"/>
        <v/>
      </c>
      <c r="N5615" s="2">
        <f t="shared" si="350"/>
        <v>45992</v>
      </c>
      <c r="O5615" t="str">
        <f t="shared" si="351"/>
        <v>pes</v>
      </c>
    </row>
    <row r="5616" spans="1:15" x14ac:dyDescent="0.25">
      <c r="A5616">
        <v>13101</v>
      </c>
      <c r="B5616" s="11">
        <v>4013456789017</v>
      </c>
      <c r="C5616" s="1" t="s">
        <v>11</v>
      </c>
      <c r="D5616" s="1" t="s">
        <v>12</v>
      </c>
      <c r="E5616" s="1" t="s">
        <v>13</v>
      </c>
      <c r="F5616">
        <v>6</v>
      </c>
      <c r="G5616">
        <v>1</v>
      </c>
      <c r="H5616" s="1" t="s">
        <v>14</v>
      </c>
      <c r="I5616" s="1" t="s">
        <v>15</v>
      </c>
      <c r="J5616" s="12">
        <v>46006</v>
      </c>
      <c r="K5616">
        <v>0</v>
      </c>
      <c r="L5616" s="1">
        <f t="shared" si="348"/>
        <v>6</v>
      </c>
      <c r="M5616" s="1" t="str">
        <f t="shared" si="349"/>
        <v/>
      </c>
      <c r="N5616" s="2">
        <f t="shared" si="350"/>
        <v>45992</v>
      </c>
      <c r="O5616" t="str">
        <f t="shared" si="351"/>
        <v>pes</v>
      </c>
    </row>
    <row r="5617" spans="1:15" hidden="1" x14ac:dyDescent="0.25">
      <c r="A5617">
        <v>13102</v>
      </c>
      <c r="B5617" s="11">
        <v>4056789012345</v>
      </c>
      <c r="C5617" s="1" t="s">
        <v>47</v>
      </c>
      <c r="D5617" s="1" t="s">
        <v>29</v>
      </c>
      <c r="E5617" s="1" t="s">
        <v>37</v>
      </c>
      <c r="F5617">
        <v>2.4</v>
      </c>
      <c r="G5617">
        <v>2</v>
      </c>
      <c r="H5617" s="1" t="s">
        <v>14</v>
      </c>
      <c r="I5617" s="1" t="s">
        <v>15</v>
      </c>
      <c r="J5617" s="12">
        <v>46006</v>
      </c>
      <c r="K5617">
        <v>0</v>
      </c>
      <c r="L5617" s="1">
        <f t="shared" si="348"/>
        <v>4.8</v>
      </c>
      <c r="M5617" s="1" t="str">
        <f t="shared" si="349"/>
        <v/>
      </c>
      <c r="N5617" s="2">
        <f t="shared" si="350"/>
        <v>45992</v>
      </c>
      <c r="O5617" t="str">
        <f t="shared" si="351"/>
        <v>mačka</v>
      </c>
    </row>
    <row r="5618" spans="1:15" x14ac:dyDescent="0.25">
      <c r="A5618">
        <v>13103</v>
      </c>
      <c r="B5618" s="11">
        <v>4003344556679</v>
      </c>
      <c r="C5618" s="1" t="s">
        <v>132</v>
      </c>
      <c r="D5618" s="1" t="s">
        <v>133</v>
      </c>
      <c r="E5618" s="1" t="s">
        <v>134</v>
      </c>
      <c r="F5618">
        <v>51.64</v>
      </c>
      <c r="G5618">
        <v>1</v>
      </c>
      <c r="H5618" s="1" t="s">
        <v>14</v>
      </c>
      <c r="I5618" s="1" t="s">
        <v>15</v>
      </c>
      <c r="J5618" s="12">
        <v>46006</v>
      </c>
      <c r="K5618">
        <v>0</v>
      </c>
      <c r="L5618" s="1">
        <f t="shared" si="348"/>
        <v>51.64</v>
      </c>
      <c r="M5618" s="1" t="str">
        <f t="shared" si="349"/>
        <v/>
      </c>
      <c r="N5618" s="2">
        <f t="shared" si="350"/>
        <v>45992</v>
      </c>
      <c r="O5618" t="str">
        <f t="shared" si="351"/>
        <v>pes</v>
      </c>
    </row>
    <row r="5619" spans="1:15" x14ac:dyDescent="0.25">
      <c r="A5619">
        <v>13104</v>
      </c>
      <c r="B5619" s="11">
        <v>4022345678908</v>
      </c>
      <c r="C5619" s="1" t="s">
        <v>363</v>
      </c>
      <c r="D5619" s="1" t="s">
        <v>21</v>
      </c>
      <c r="E5619" s="1" t="s">
        <v>69</v>
      </c>
      <c r="F5619">
        <v>10</v>
      </c>
      <c r="G5619">
        <v>1</v>
      </c>
      <c r="H5619" s="1" t="s">
        <v>14</v>
      </c>
      <c r="I5619" s="1" t="s">
        <v>15</v>
      </c>
      <c r="J5619" s="12">
        <v>46006</v>
      </c>
      <c r="K5619">
        <v>0</v>
      </c>
      <c r="L5619" s="1">
        <f t="shared" si="348"/>
        <v>10</v>
      </c>
      <c r="M5619" s="1" t="str">
        <f t="shared" si="349"/>
        <v/>
      </c>
      <c r="N5619" s="2">
        <f t="shared" si="350"/>
        <v>45992</v>
      </c>
      <c r="O5619" t="str">
        <f t="shared" si="351"/>
        <v>pes</v>
      </c>
    </row>
    <row r="5620" spans="1:15" x14ac:dyDescent="0.25">
      <c r="A5620">
        <v>13105</v>
      </c>
      <c r="B5620" s="11">
        <v>4017890123450</v>
      </c>
      <c r="C5620" s="1" t="s">
        <v>65</v>
      </c>
      <c r="D5620" s="1" t="s">
        <v>39</v>
      </c>
      <c r="E5620" s="1" t="s">
        <v>22</v>
      </c>
      <c r="F5620">
        <v>7.6</v>
      </c>
      <c r="G5620">
        <v>1</v>
      </c>
      <c r="H5620" s="1" t="s">
        <v>33</v>
      </c>
      <c r="I5620" s="1" t="s">
        <v>1306</v>
      </c>
      <c r="J5620" s="12">
        <v>46006</v>
      </c>
      <c r="K5620">
        <v>0</v>
      </c>
      <c r="L5620" s="1">
        <f t="shared" si="348"/>
        <v>7.6</v>
      </c>
      <c r="M5620" s="1">
        <f t="shared" si="349"/>
        <v>3</v>
      </c>
      <c r="N5620" s="2">
        <f t="shared" si="350"/>
        <v>45992</v>
      </c>
      <c r="O5620" t="str">
        <f t="shared" si="351"/>
        <v>pes</v>
      </c>
    </row>
    <row r="5621" spans="1:15" hidden="1" x14ac:dyDescent="0.25">
      <c r="A5621">
        <v>13106</v>
      </c>
      <c r="B5621" s="11">
        <v>4056789012345</v>
      </c>
      <c r="C5621" s="1" t="s">
        <v>47</v>
      </c>
      <c r="D5621" s="1" t="s">
        <v>29</v>
      </c>
      <c r="E5621" s="1" t="s">
        <v>37</v>
      </c>
      <c r="F5621">
        <v>2.4</v>
      </c>
      <c r="G5621">
        <v>2</v>
      </c>
      <c r="H5621" s="1" t="s">
        <v>14</v>
      </c>
      <c r="I5621" s="1" t="s">
        <v>15</v>
      </c>
      <c r="J5621" s="12">
        <v>46006</v>
      </c>
      <c r="K5621">
        <v>0</v>
      </c>
      <c r="L5621" s="1">
        <f t="shared" si="348"/>
        <v>4.8</v>
      </c>
      <c r="M5621" s="1" t="str">
        <f t="shared" si="349"/>
        <v/>
      </c>
      <c r="N5621" s="2">
        <f t="shared" si="350"/>
        <v>45992</v>
      </c>
      <c r="O5621" t="str">
        <f t="shared" si="351"/>
        <v>mačka</v>
      </c>
    </row>
    <row r="5622" spans="1:15" hidden="1" x14ac:dyDescent="0.25">
      <c r="A5622">
        <v>13107</v>
      </c>
      <c r="B5622" s="11">
        <v>4042233445567</v>
      </c>
      <c r="C5622" s="1" t="s">
        <v>637</v>
      </c>
      <c r="D5622" s="1" t="s">
        <v>140</v>
      </c>
      <c r="E5622" s="1" t="s">
        <v>141</v>
      </c>
      <c r="F5622">
        <v>51.64</v>
      </c>
      <c r="G5622">
        <v>1</v>
      </c>
      <c r="H5622" s="1" t="s">
        <v>14</v>
      </c>
      <c r="I5622" s="1" t="s">
        <v>15</v>
      </c>
      <c r="J5622" s="12">
        <v>46006</v>
      </c>
      <c r="K5622">
        <v>0</v>
      </c>
      <c r="L5622" s="1">
        <f t="shared" si="348"/>
        <v>51.64</v>
      </c>
      <c r="M5622" s="1" t="str">
        <f t="shared" si="349"/>
        <v/>
      </c>
      <c r="N5622" s="2">
        <f t="shared" si="350"/>
        <v>45992</v>
      </c>
      <c r="O5622" t="str">
        <f t="shared" si="351"/>
        <v>mačka</v>
      </c>
    </row>
    <row r="5623" spans="1:15" x14ac:dyDescent="0.25">
      <c r="A5623">
        <v>13108</v>
      </c>
      <c r="B5623" s="11">
        <v>4028899001126</v>
      </c>
      <c r="C5623" s="1" t="s">
        <v>16</v>
      </c>
      <c r="D5623" s="1" t="s">
        <v>12</v>
      </c>
      <c r="E5623" s="1" t="s">
        <v>17</v>
      </c>
      <c r="F5623">
        <v>2.8</v>
      </c>
      <c r="G5623">
        <v>3</v>
      </c>
      <c r="H5623" s="1" t="s">
        <v>14</v>
      </c>
      <c r="I5623" s="1" t="s">
        <v>15</v>
      </c>
      <c r="J5623" s="12">
        <v>46006</v>
      </c>
      <c r="K5623">
        <v>0</v>
      </c>
      <c r="L5623" s="1">
        <f t="shared" si="348"/>
        <v>8.3999999999999986</v>
      </c>
      <c r="M5623" s="1" t="str">
        <f t="shared" si="349"/>
        <v/>
      </c>
      <c r="N5623" s="2">
        <f t="shared" si="350"/>
        <v>45992</v>
      </c>
      <c r="O5623" t="str">
        <f t="shared" si="351"/>
        <v>pes</v>
      </c>
    </row>
    <row r="5624" spans="1:15" x14ac:dyDescent="0.25">
      <c r="A5624">
        <v>13109</v>
      </c>
      <c r="B5624" s="11">
        <v>4013456789017</v>
      </c>
      <c r="C5624" s="1" t="s">
        <v>11</v>
      </c>
      <c r="D5624" s="1" t="s">
        <v>12</v>
      </c>
      <c r="E5624" s="1" t="s">
        <v>13</v>
      </c>
      <c r="F5624">
        <v>6</v>
      </c>
      <c r="G5624">
        <v>1</v>
      </c>
      <c r="H5624" s="1" t="s">
        <v>14</v>
      </c>
      <c r="I5624" s="1" t="s">
        <v>15</v>
      </c>
      <c r="J5624" s="12">
        <v>46006</v>
      </c>
      <c r="K5624">
        <v>0</v>
      </c>
      <c r="L5624" s="1">
        <f t="shared" si="348"/>
        <v>6</v>
      </c>
      <c r="M5624" s="1" t="str">
        <f t="shared" si="349"/>
        <v/>
      </c>
      <c r="N5624" s="2">
        <f t="shared" si="350"/>
        <v>45992</v>
      </c>
      <c r="O5624" t="str">
        <f t="shared" si="351"/>
        <v>pes</v>
      </c>
    </row>
    <row r="5625" spans="1:15" x14ac:dyDescent="0.25">
      <c r="A5625">
        <v>13110</v>
      </c>
      <c r="B5625" s="11">
        <v>4040123456795</v>
      </c>
      <c r="C5625" s="1" t="s">
        <v>20</v>
      </c>
      <c r="D5625" s="1" t="s">
        <v>21</v>
      </c>
      <c r="E5625" s="1" t="s">
        <v>22</v>
      </c>
      <c r="F5625">
        <v>8.8000000000000007</v>
      </c>
      <c r="G5625">
        <v>1</v>
      </c>
      <c r="H5625" s="1" t="s">
        <v>18</v>
      </c>
      <c r="I5625" s="1" t="s">
        <v>1307</v>
      </c>
      <c r="J5625" s="12">
        <v>46006</v>
      </c>
      <c r="K5625">
        <v>0</v>
      </c>
      <c r="L5625" s="1">
        <f t="shared" si="348"/>
        <v>8.8000000000000007</v>
      </c>
      <c r="M5625" s="1">
        <f t="shared" si="349"/>
        <v>4</v>
      </c>
      <c r="N5625" s="2">
        <f t="shared" si="350"/>
        <v>45992</v>
      </c>
      <c r="O5625" t="str">
        <f t="shared" si="351"/>
        <v>pes</v>
      </c>
    </row>
    <row r="5626" spans="1:15" x14ac:dyDescent="0.25">
      <c r="A5626">
        <v>13111</v>
      </c>
      <c r="B5626" s="11">
        <v>4027788990013</v>
      </c>
      <c r="C5626" s="1" t="s">
        <v>43</v>
      </c>
      <c r="D5626" s="1" t="s">
        <v>21</v>
      </c>
      <c r="E5626" s="1" t="s">
        <v>22</v>
      </c>
      <c r="F5626">
        <v>8</v>
      </c>
      <c r="G5626">
        <v>1</v>
      </c>
      <c r="H5626" s="1" t="s">
        <v>14</v>
      </c>
      <c r="I5626" s="1" t="s">
        <v>15</v>
      </c>
      <c r="J5626" s="12">
        <v>46006</v>
      </c>
      <c r="K5626">
        <v>0</v>
      </c>
      <c r="L5626" s="1">
        <f t="shared" si="348"/>
        <v>8</v>
      </c>
      <c r="M5626" s="1" t="str">
        <f t="shared" si="349"/>
        <v/>
      </c>
      <c r="N5626" s="2">
        <f t="shared" si="350"/>
        <v>45992</v>
      </c>
      <c r="O5626" t="str">
        <f t="shared" si="351"/>
        <v>pes</v>
      </c>
    </row>
    <row r="5627" spans="1:15" x14ac:dyDescent="0.25">
      <c r="A5627">
        <v>13112</v>
      </c>
      <c r="B5627" s="11">
        <v>4003344556679</v>
      </c>
      <c r="C5627" s="1" t="s">
        <v>132</v>
      </c>
      <c r="D5627" s="1" t="s">
        <v>133</v>
      </c>
      <c r="E5627" s="1" t="s">
        <v>134</v>
      </c>
      <c r="F5627">
        <v>51.64</v>
      </c>
      <c r="G5627">
        <v>1</v>
      </c>
      <c r="H5627" s="1" t="s">
        <v>14</v>
      </c>
      <c r="I5627" s="1" t="s">
        <v>15</v>
      </c>
      <c r="J5627" s="12">
        <v>46006</v>
      </c>
      <c r="K5627">
        <v>0</v>
      </c>
      <c r="L5627" s="1">
        <f t="shared" si="348"/>
        <v>51.64</v>
      </c>
      <c r="M5627" s="1" t="str">
        <f t="shared" si="349"/>
        <v/>
      </c>
      <c r="N5627" s="2">
        <f t="shared" si="350"/>
        <v>45992</v>
      </c>
      <c r="O5627" t="str">
        <f t="shared" si="351"/>
        <v>pes</v>
      </c>
    </row>
    <row r="5628" spans="1:15" x14ac:dyDescent="0.25">
      <c r="A5628">
        <v>13113</v>
      </c>
      <c r="B5628" s="11">
        <v>4013456789017</v>
      </c>
      <c r="C5628" s="1" t="s">
        <v>11</v>
      </c>
      <c r="D5628" s="1" t="s">
        <v>12</v>
      </c>
      <c r="E5628" s="1" t="s">
        <v>13</v>
      </c>
      <c r="F5628">
        <v>6</v>
      </c>
      <c r="G5628">
        <v>1</v>
      </c>
      <c r="H5628" s="1" t="s">
        <v>14</v>
      </c>
      <c r="I5628" s="1" t="s">
        <v>15</v>
      </c>
      <c r="J5628" s="12">
        <v>46006</v>
      </c>
      <c r="K5628">
        <v>0</v>
      </c>
      <c r="L5628" s="1">
        <f t="shared" si="348"/>
        <v>6</v>
      </c>
      <c r="M5628" s="1" t="str">
        <f t="shared" si="349"/>
        <v/>
      </c>
      <c r="N5628" s="2">
        <f t="shared" si="350"/>
        <v>45992</v>
      </c>
      <c r="O5628" t="str">
        <f t="shared" si="351"/>
        <v>pes</v>
      </c>
    </row>
    <row r="5629" spans="1:15" hidden="1" x14ac:dyDescent="0.25">
      <c r="A5629">
        <v>13114</v>
      </c>
      <c r="B5629" s="11">
        <v>4056789012345</v>
      </c>
      <c r="C5629" s="1" t="s">
        <v>47</v>
      </c>
      <c r="D5629" s="1" t="s">
        <v>29</v>
      </c>
      <c r="E5629" s="1" t="s">
        <v>37</v>
      </c>
      <c r="F5629">
        <v>2.4</v>
      </c>
      <c r="G5629">
        <v>2</v>
      </c>
      <c r="H5629" s="1" t="s">
        <v>14</v>
      </c>
      <c r="I5629" s="1" t="s">
        <v>15</v>
      </c>
      <c r="J5629" s="12">
        <v>46006</v>
      </c>
      <c r="K5629">
        <v>0</v>
      </c>
      <c r="L5629" s="1">
        <f t="shared" si="348"/>
        <v>4.8</v>
      </c>
      <c r="M5629" s="1" t="str">
        <f t="shared" si="349"/>
        <v/>
      </c>
      <c r="N5629" s="2">
        <f t="shared" si="350"/>
        <v>45992</v>
      </c>
      <c r="O5629" t="str">
        <f t="shared" si="351"/>
        <v>mačka</v>
      </c>
    </row>
    <row r="5630" spans="1:15" x14ac:dyDescent="0.25">
      <c r="A5630">
        <v>13115</v>
      </c>
      <c r="B5630" s="11">
        <v>4028899001126</v>
      </c>
      <c r="C5630" s="1" t="s">
        <v>16</v>
      </c>
      <c r="D5630" s="1" t="s">
        <v>12</v>
      </c>
      <c r="E5630" s="1" t="s">
        <v>17</v>
      </c>
      <c r="F5630">
        <v>2.8</v>
      </c>
      <c r="G5630">
        <v>2</v>
      </c>
      <c r="H5630" s="1" t="s">
        <v>14</v>
      </c>
      <c r="I5630" s="1" t="s">
        <v>15</v>
      </c>
      <c r="J5630" s="12">
        <v>46009</v>
      </c>
      <c r="K5630">
        <v>0</v>
      </c>
      <c r="L5630" s="1">
        <f t="shared" si="348"/>
        <v>5.6</v>
      </c>
      <c r="M5630" s="1" t="str">
        <f t="shared" si="349"/>
        <v/>
      </c>
      <c r="N5630" s="2">
        <f t="shared" si="350"/>
        <v>45992</v>
      </c>
      <c r="O5630" t="str">
        <f t="shared" si="351"/>
        <v>pes</v>
      </c>
    </row>
    <row r="5631" spans="1:15" hidden="1" x14ac:dyDescent="0.25">
      <c r="A5631">
        <v>13115</v>
      </c>
      <c r="B5631" s="11">
        <v>8593456789012</v>
      </c>
      <c r="C5631" s="1" t="s">
        <v>28</v>
      </c>
      <c r="D5631" s="1" t="s">
        <v>29</v>
      </c>
      <c r="E5631" s="1" t="s">
        <v>30</v>
      </c>
      <c r="F5631">
        <v>42</v>
      </c>
      <c r="G5631">
        <v>1</v>
      </c>
      <c r="H5631" s="1" t="s">
        <v>14</v>
      </c>
      <c r="I5631" s="1" t="s">
        <v>15</v>
      </c>
      <c r="J5631" s="12">
        <v>46006</v>
      </c>
      <c r="K5631">
        <v>0</v>
      </c>
      <c r="L5631" s="1">
        <f t="shared" si="348"/>
        <v>42</v>
      </c>
      <c r="M5631" s="1" t="str">
        <f t="shared" si="349"/>
        <v/>
      </c>
      <c r="N5631" s="2">
        <f t="shared" si="350"/>
        <v>45992</v>
      </c>
      <c r="O5631" t="str">
        <f t="shared" si="351"/>
        <v>mačka</v>
      </c>
    </row>
    <row r="5632" spans="1:15" x14ac:dyDescent="0.25">
      <c r="A5632">
        <v>13116</v>
      </c>
      <c r="B5632" s="11">
        <v>4013456789017</v>
      </c>
      <c r="C5632" s="1" t="s">
        <v>11</v>
      </c>
      <c r="D5632" s="1" t="s">
        <v>12</v>
      </c>
      <c r="E5632" s="1" t="s">
        <v>13</v>
      </c>
      <c r="F5632">
        <v>6</v>
      </c>
      <c r="G5632">
        <v>1</v>
      </c>
      <c r="H5632" s="1" t="s">
        <v>14</v>
      </c>
      <c r="I5632" s="1" t="s">
        <v>15</v>
      </c>
      <c r="J5632" s="12">
        <v>46009</v>
      </c>
      <c r="K5632">
        <v>0</v>
      </c>
      <c r="L5632" s="1">
        <f t="shared" si="348"/>
        <v>6</v>
      </c>
      <c r="M5632" s="1" t="str">
        <f t="shared" si="349"/>
        <v/>
      </c>
      <c r="N5632" s="2">
        <f t="shared" si="350"/>
        <v>45992</v>
      </c>
      <c r="O5632" t="str">
        <f t="shared" si="351"/>
        <v>pes</v>
      </c>
    </row>
    <row r="5633" spans="1:15" x14ac:dyDescent="0.25">
      <c r="A5633">
        <v>13116</v>
      </c>
      <c r="B5633" s="11">
        <v>4017890123450</v>
      </c>
      <c r="C5633" s="1" t="s">
        <v>65</v>
      </c>
      <c r="D5633" s="1" t="s">
        <v>39</v>
      </c>
      <c r="E5633" s="1" t="s">
        <v>22</v>
      </c>
      <c r="F5633">
        <v>7.6</v>
      </c>
      <c r="G5633">
        <v>1</v>
      </c>
      <c r="H5633" s="1" t="s">
        <v>14</v>
      </c>
      <c r="I5633" s="1" t="s">
        <v>15</v>
      </c>
      <c r="J5633" s="12">
        <v>46006</v>
      </c>
      <c r="K5633">
        <v>0</v>
      </c>
      <c r="L5633" s="1">
        <f t="shared" si="348"/>
        <v>7.6</v>
      </c>
      <c r="M5633" s="1" t="str">
        <f t="shared" si="349"/>
        <v/>
      </c>
      <c r="N5633" s="2">
        <f t="shared" si="350"/>
        <v>45992</v>
      </c>
      <c r="O5633" t="str">
        <f t="shared" si="351"/>
        <v>pes</v>
      </c>
    </row>
    <row r="5634" spans="1:15" hidden="1" x14ac:dyDescent="0.25">
      <c r="A5634">
        <v>13117</v>
      </c>
      <c r="B5634" s="11">
        <v>4042233445567</v>
      </c>
      <c r="C5634" s="1" t="s">
        <v>637</v>
      </c>
      <c r="D5634" s="1" t="s">
        <v>140</v>
      </c>
      <c r="E5634" s="1" t="s">
        <v>141</v>
      </c>
      <c r="F5634">
        <v>51.64</v>
      </c>
      <c r="G5634">
        <v>1</v>
      </c>
      <c r="H5634" s="1" t="s">
        <v>18</v>
      </c>
      <c r="I5634" s="1" t="s">
        <v>1308</v>
      </c>
      <c r="J5634" s="12">
        <v>46009</v>
      </c>
      <c r="K5634">
        <v>0</v>
      </c>
      <c r="L5634" s="1">
        <f t="shared" ref="L5634:L5697" si="352">F5634*G5634</f>
        <v>51.64</v>
      </c>
      <c r="M5634" s="1">
        <f t="shared" ref="M5634:M5697" si="353">IF(H5634="NULL", "",VALUE(H5634))</f>
        <v>4</v>
      </c>
      <c r="N5634" s="2">
        <f t="shared" ref="N5634:N5697" si="354">DATE(YEAR(J5634),MONTH(J5634),1)</f>
        <v>45992</v>
      </c>
      <c r="O5634" t="str">
        <f t="shared" ref="O5634:O5697" si="355">IF(ISNUMBER(SEARCH("Mačky",D5634)),"mačka",IF(ISNUMBER(SEARCH("Psy",D5634)),"pes","iné"))</f>
        <v>mačka</v>
      </c>
    </row>
    <row r="5635" spans="1:15" x14ac:dyDescent="0.25">
      <c r="A5635">
        <v>13117</v>
      </c>
      <c r="B5635" s="11">
        <v>4027788990013</v>
      </c>
      <c r="C5635" s="1" t="s">
        <v>43</v>
      </c>
      <c r="D5635" s="1" t="s">
        <v>21</v>
      </c>
      <c r="E5635" s="1" t="s">
        <v>22</v>
      </c>
      <c r="F5635">
        <v>8</v>
      </c>
      <c r="G5635">
        <v>1</v>
      </c>
      <c r="H5635" s="1" t="s">
        <v>14</v>
      </c>
      <c r="I5635" s="1" t="s">
        <v>15</v>
      </c>
      <c r="J5635" s="12">
        <v>46007</v>
      </c>
      <c r="K5635">
        <v>0</v>
      </c>
      <c r="L5635" s="1">
        <f t="shared" si="352"/>
        <v>8</v>
      </c>
      <c r="M5635" s="1" t="str">
        <f t="shared" si="353"/>
        <v/>
      </c>
      <c r="N5635" s="2">
        <f t="shared" si="354"/>
        <v>45992</v>
      </c>
      <c r="O5635" t="str">
        <f t="shared" si="355"/>
        <v>pes</v>
      </c>
    </row>
    <row r="5636" spans="1:15" x14ac:dyDescent="0.25">
      <c r="A5636">
        <v>13118</v>
      </c>
      <c r="B5636" s="11">
        <v>4027788990013</v>
      </c>
      <c r="C5636" s="1" t="s">
        <v>43</v>
      </c>
      <c r="D5636" s="1" t="s">
        <v>21</v>
      </c>
      <c r="E5636" s="1" t="s">
        <v>22</v>
      </c>
      <c r="F5636">
        <v>8</v>
      </c>
      <c r="G5636">
        <v>1</v>
      </c>
      <c r="H5636" s="1" t="s">
        <v>14</v>
      </c>
      <c r="I5636" s="1" t="s">
        <v>15</v>
      </c>
      <c r="J5636" s="12">
        <v>46009</v>
      </c>
      <c r="K5636">
        <v>0</v>
      </c>
      <c r="L5636" s="1">
        <f t="shared" si="352"/>
        <v>8</v>
      </c>
      <c r="M5636" s="1" t="str">
        <f t="shared" si="353"/>
        <v/>
      </c>
      <c r="N5636" s="2">
        <f t="shared" si="354"/>
        <v>45992</v>
      </c>
      <c r="O5636" t="str">
        <f t="shared" si="355"/>
        <v>pes</v>
      </c>
    </row>
    <row r="5637" spans="1:15" x14ac:dyDescent="0.25">
      <c r="A5637">
        <v>13118</v>
      </c>
      <c r="B5637" s="11">
        <v>4028899001126</v>
      </c>
      <c r="C5637" s="1" t="s">
        <v>16</v>
      </c>
      <c r="D5637" s="1" t="s">
        <v>12</v>
      </c>
      <c r="E5637" s="1" t="s">
        <v>17</v>
      </c>
      <c r="F5637">
        <v>2.8</v>
      </c>
      <c r="G5637">
        <v>3</v>
      </c>
      <c r="H5637" s="1" t="s">
        <v>18</v>
      </c>
      <c r="I5637" s="1" t="s">
        <v>1309</v>
      </c>
      <c r="J5637" s="12">
        <v>46007</v>
      </c>
      <c r="K5637">
        <v>0</v>
      </c>
      <c r="L5637" s="1">
        <f t="shared" si="352"/>
        <v>8.3999999999999986</v>
      </c>
      <c r="M5637" s="1">
        <f t="shared" si="353"/>
        <v>4</v>
      </c>
      <c r="N5637" s="2">
        <f t="shared" si="354"/>
        <v>45992</v>
      </c>
      <c r="O5637" t="str">
        <f t="shared" si="355"/>
        <v>pes</v>
      </c>
    </row>
    <row r="5638" spans="1:15" x14ac:dyDescent="0.25">
      <c r="A5638">
        <v>13119</v>
      </c>
      <c r="B5638" s="11">
        <v>4003344556679</v>
      </c>
      <c r="C5638" s="1" t="s">
        <v>132</v>
      </c>
      <c r="D5638" s="1" t="s">
        <v>133</v>
      </c>
      <c r="E5638" s="1" t="s">
        <v>134</v>
      </c>
      <c r="F5638">
        <v>51.64</v>
      </c>
      <c r="G5638">
        <v>1</v>
      </c>
      <c r="H5638" s="1" t="s">
        <v>14</v>
      </c>
      <c r="I5638" s="1" t="s">
        <v>15</v>
      </c>
      <c r="J5638" s="12">
        <v>46009</v>
      </c>
      <c r="K5638">
        <v>0</v>
      </c>
      <c r="L5638" s="1">
        <f t="shared" si="352"/>
        <v>51.64</v>
      </c>
      <c r="M5638" s="1" t="str">
        <f t="shared" si="353"/>
        <v/>
      </c>
      <c r="N5638" s="2">
        <f t="shared" si="354"/>
        <v>45992</v>
      </c>
      <c r="O5638" t="str">
        <f t="shared" si="355"/>
        <v>pes</v>
      </c>
    </row>
    <row r="5639" spans="1:15" hidden="1" x14ac:dyDescent="0.25">
      <c r="A5639">
        <v>13119</v>
      </c>
      <c r="B5639" s="11">
        <v>4042233445567</v>
      </c>
      <c r="C5639" s="1" t="s">
        <v>637</v>
      </c>
      <c r="D5639" s="1" t="s">
        <v>140</v>
      </c>
      <c r="E5639" s="1" t="s">
        <v>141</v>
      </c>
      <c r="F5639">
        <v>51.64</v>
      </c>
      <c r="G5639">
        <v>1</v>
      </c>
      <c r="H5639" s="1" t="s">
        <v>14</v>
      </c>
      <c r="I5639" s="1" t="s">
        <v>15</v>
      </c>
      <c r="J5639" s="12">
        <v>46007</v>
      </c>
      <c r="K5639">
        <v>0</v>
      </c>
      <c r="L5639" s="1">
        <f t="shared" si="352"/>
        <v>51.64</v>
      </c>
      <c r="M5639" s="1" t="str">
        <f t="shared" si="353"/>
        <v/>
      </c>
      <c r="N5639" s="2">
        <f t="shared" si="354"/>
        <v>45992</v>
      </c>
      <c r="O5639" t="str">
        <f t="shared" si="355"/>
        <v>mačka</v>
      </c>
    </row>
    <row r="5640" spans="1:15" x14ac:dyDescent="0.25">
      <c r="A5640">
        <v>13120</v>
      </c>
      <c r="B5640" s="11">
        <v>4003344556679</v>
      </c>
      <c r="C5640" s="1" t="s">
        <v>132</v>
      </c>
      <c r="D5640" s="1" t="s">
        <v>133</v>
      </c>
      <c r="E5640" s="1" t="s">
        <v>134</v>
      </c>
      <c r="F5640">
        <v>51.64</v>
      </c>
      <c r="G5640">
        <v>1</v>
      </c>
      <c r="H5640" s="1" t="s">
        <v>14</v>
      </c>
      <c r="I5640" s="1" t="s">
        <v>15</v>
      </c>
      <c r="J5640" s="12">
        <v>46007</v>
      </c>
      <c r="K5640">
        <v>0</v>
      </c>
      <c r="L5640" s="1">
        <f t="shared" si="352"/>
        <v>51.64</v>
      </c>
      <c r="M5640" s="1" t="str">
        <f t="shared" si="353"/>
        <v/>
      </c>
      <c r="N5640" s="2">
        <f t="shared" si="354"/>
        <v>45992</v>
      </c>
      <c r="O5640" t="str">
        <f t="shared" si="355"/>
        <v>pes</v>
      </c>
    </row>
    <row r="5641" spans="1:15" x14ac:dyDescent="0.25">
      <c r="A5641">
        <v>13120</v>
      </c>
      <c r="B5641" s="11">
        <v>4022345678908</v>
      </c>
      <c r="C5641" s="1" t="s">
        <v>363</v>
      </c>
      <c r="D5641" s="1" t="s">
        <v>21</v>
      </c>
      <c r="E5641" s="1" t="s">
        <v>69</v>
      </c>
      <c r="F5641">
        <v>10</v>
      </c>
      <c r="G5641">
        <v>1</v>
      </c>
      <c r="H5641" s="1" t="s">
        <v>14</v>
      </c>
      <c r="I5641" s="1" t="s">
        <v>15</v>
      </c>
      <c r="J5641" s="12">
        <v>46009</v>
      </c>
      <c r="K5641">
        <v>0</v>
      </c>
      <c r="L5641" s="1">
        <f t="shared" si="352"/>
        <v>10</v>
      </c>
      <c r="M5641" s="1" t="str">
        <f t="shared" si="353"/>
        <v/>
      </c>
      <c r="N5641" s="2">
        <f t="shared" si="354"/>
        <v>45992</v>
      </c>
      <c r="O5641" t="str">
        <f t="shared" si="355"/>
        <v>pes</v>
      </c>
    </row>
    <row r="5642" spans="1:15" x14ac:dyDescent="0.25">
      <c r="A5642">
        <v>13121</v>
      </c>
      <c r="B5642" s="11">
        <v>4017890123450</v>
      </c>
      <c r="C5642" s="1" t="s">
        <v>65</v>
      </c>
      <c r="D5642" s="1" t="s">
        <v>39</v>
      </c>
      <c r="E5642" s="1" t="s">
        <v>22</v>
      </c>
      <c r="F5642">
        <v>7.6</v>
      </c>
      <c r="G5642">
        <v>2</v>
      </c>
      <c r="H5642" s="1" t="s">
        <v>14</v>
      </c>
      <c r="I5642" s="1" t="s">
        <v>15</v>
      </c>
      <c r="J5642" s="12">
        <v>46009</v>
      </c>
      <c r="K5642">
        <v>0</v>
      </c>
      <c r="L5642" s="1">
        <f t="shared" si="352"/>
        <v>15.2</v>
      </c>
      <c r="M5642" s="1" t="str">
        <f t="shared" si="353"/>
        <v/>
      </c>
      <c r="N5642" s="2">
        <f t="shared" si="354"/>
        <v>45992</v>
      </c>
      <c r="O5642" t="str">
        <f t="shared" si="355"/>
        <v>pes</v>
      </c>
    </row>
    <row r="5643" spans="1:15" x14ac:dyDescent="0.25">
      <c r="A5643">
        <v>13121</v>
      </c>
      <c r="B5643" s="11">
        <v>4027788990013</v>
      </c>
      <c r="C5643" s="1" t="s">
        <v>43</v>
      </c>
      <c r="D5643" s="1" t="s">
        <v>21</v>
      </c>
      <c r="E5643" s="1" t="s">
        <v>22</v>
      </c>
      <c r="F5643">
        <v>8</v>
      </c>
      <c r="G5643">
        <v>1</v>
      </c>
      <c r="H5643" s="1" t="s">
        <v>14</v>
      </c>
      <c r="I5643" s="1" t="s">
        <v>15</v>
      </c>
      <c r="J5643" s="12">
        <v>46007</v>
      </c>
      <c r="K5643">
        <v>0</v>
      </c>
      <c r="L5643" s="1">
        <f t="shared" si="352"/>
        <v>8</v>
      </c>
      <c r="M5643" s="1" t="str">
        <f t="shared" si="353"/>
        <v/>
      </c>
      <c r="N5643" s="2">
        <f t="shared" si="354"/>
        <v>45992</v>
      </c>
      <c r="O5643" t="str">
        <f t="shared" si="355"/>
        <v>pes</v>
      </c>
    </row>
    <row r="5644" spans="1:15" hidden="1" x14ac:dyDescent="0.25">
      <c r="A5644">
        <v>13122</v>
      </c>
      <c r="B5644" s="11">
        <v>4056789012345</v>
      </c>
      <c r="C5644" s="1" t="s">
        <v>47</v>
      </c>
      <c r="D5644" s="1" t="s">
        <v>29</v>
      </c>
      <c r="E5644" s="1" t="s">
        <v>37</v>
      </c>
      <c r="F5644">
        <v>2.4</v>
      </c>
      <c r="G5644">
        <v>3</v>
      </c>
      <c r="H5644" s="1" t="s">
        <v>14</v>
      </c>
      <c r="I5644" s="1" t="s">
        <v>15</v>
      </c>
      <c r="J5644" s="12">
        <v>46009</v>
      </c>
      <c r="K5644">
        <v>0</v>
      </c>
      <c r="L5644" s="1">
        <f t="shared" si="352"/>
        <v>7.1999999999999993</v>
      </c>
      <c r="M5644" s="1" t="str">
        <f t="shared" si="353"/>
        <v/>
      </c>
      <c r="N5644" s="2">
        <f t="shared" si="354"/>
        <v>45992</v>
      </c>
      <c r="O5644" t="str">
        <f t="shared" si="355"/>
        <v>mačka</v>
      </c>
    </row>
    <row r="5645" spans="1:15" x14ac:dyDescent="0.25">
      <c r="A5645">
        <v>13122</v>
      </c>
      <c r="B5645" s="11">
        <v>4013456789017</v>
      </c>
      <c r="C5645" s="1" t="s">
        <v>11</v>
      </c>
      <c r="D5645" s="1" t="s">
        <v>12</v>
      </c>
      <c r="E5645" s="1" t="s">
        <v>13</v>
      </c>
      <c r="F5645">
        <v>6</v>
      </c>
      <c r="G5645">
        <v>1</v>
      </c>
      <c r="H5645" s="1" t="s">
        <v>14</v>
      </c>
      <c r="I5645" s="1" t="s">
        <v>15</v>
      </c>
      <c r="J5645" s="12">
        <v>46007</v>
      </c>
      <c r="K5645">
        <v>0</v>
      </c>
      <c r="L5645" s="1">
        <f t="shared" si="352"/>
        <v>6</v>
      </c>
      <c r="M5645" s="1" t="str">
        <f t="shared" si="353"/>
        <v/>
      </c>
      <c r="N5645" s="2">
        <f t="shared" si="354"/>
        <v>45992</v>
      </c>
      <c r="O5645" t="str">
        <f t="shared" si="355"/>
        <v>pes</v>
      </c>
    </row>
    <row r="5646" spans="1:15" hidden="1" x14ac:dyDescent="0.25">
      <c r="A5646">
        <v>13123</v>
      </c>
      <c r="B5646" s="11">
        <v>8593456789012</v>
      </c>
      <c r="C5646" s="1" t="s">
        <v>28</v>
      </c>
      <c r="D5646" s="1" t="s">
        <v>29</v>
      </c>
      <c r="E5646" s="1" t="s">
        <v>30</v>
      </c>
      <c r="F5646">
        <v>42</v>
      </c>
      <c r="G5646">
        <v>1</v>
      </c>
      <c r="H5646" s="1" t="s">
        <v>14</v>
      </c>
      <c r="I5646" s="1" t="s">
        <v>15</v>
      </c>
      <c r="J5646" s="12">
        <v>46009</v>
      </c>
      <c r="K5646">
        <v>0</v>
      </c>
      <c r="L5646" s="1">
        <f t="shared" si="352"/>
        <v>42</v>
      </c>
      <c r="M5646" s="1" t="str">
        <f t="shared" si="353"/>
        <v/>
      </c>
      <c r="N5646" s="2">
        <f t="shared" si="354"/>
        <v>45992</v>
      </c>
      <c r="O5646" t="str">
        <f t="shared" si="355"/>
        <v>mačka</v>
      </c>
    </row>
    <row r="5647" spans="1:15" hidden="1" x14ac:dyDescent="0.25">
      <c r="A5647">
        <v>13123</v>
      </c>
      <c r="B5647" s="11">
        <v>4056789012345</v>
      </c>
      <c r="C5647" s="1" t="s">
        <v>47</v>
      </c>
      <c r="D5647" s="1" t="s">
        <v>29</v>
      </c>
      <c r="E5647" s="1" t="s">
        <v>37</v>
      </c>
      <c r="F5647">
        <v>2.4</v>
      </c>
      <c r="G5647">
        <v>3</v>
      </c>
      <c r="H5647" s="1" t="s">
        <v>14</v>
      </c>
      <c r="I5647" s="1" t="s">
        <v>15</v>
      </c>
      <c r="J5647" s="12">
        <v>46007</v>
      </c>
      <c r="K5647">
        <v>0</v>
      </c>
      <c r="L5647" s="1">
        <f t="shared" si="352"/>
        <v>7.1999999999999993</v>
      </c>
      <c r="M5647" s="1" t="str">
        <f t="shared" si="353"/>
        <v/>
      </c>
      <c r="N5647" s="2">
        <f t="shared" si="354"/>
        <v>45992</v>
      </c>
      <c r="O5647" t="str">
        <f t="shared" si="355"/>
        <v>mačka</v>
      </c>
    </row>
    <row r="5648" spans="1:15" x14ac:dyDescent="0.25">
      <c r="A5648">
        <v>13124</v>
      </c>
      <c r="B5648" s="11">
        <v>4028899001126</v>
      </c>
      <c r="C5648" s="1" t="s">
        <v>16</v>
      </c>
      <c r="D5648" s="1" t="s">
        <v>12</v>
      </c>
      <c r="E5648" s="1" t="s">
        <v>17</v>
      </c>
      <c r="F5648">
        <v>2.8</v>
      </c>
      <c r="G5648">
        <v>2</v>
      </c>
      <c r="H5648" s="1" t="s">
        <v>23</v>
      </c>
      <c r="I5648" s="1" t="s">
        <v>1310</v>
      </c>
      <c r="J5648" s="12">
        <v>46009</v>
      </c>
      <c r="K5648">
        <v>0</v>
      </c>
      <c r="L5648" s="1">
        <f t="shared" si="352"/>
        <v>5.6</v>
      </c>
      <c r="M5648" s="1">
        <f t="shared" si="353"/>
        <v>5</v>
      </c>
      <c r="N5648" s="2">
        <f t="shared" si="354"/>
        <v>45992</v>
      </c>
      <c r="O5648" t="str">
        <f t="shared" si="355"/>
        <v>pes</v>
      </c>
    </row>
    <row r="5649" spans="1:15" hidden="1" x14ac:dyDescent="0.25">
      <c r="A5649">
        <v>13124</v>
      </c>
      <c r="B5649" s="11">
        <v>4067890123456</v>
      </c>
      <c r="C5649" s="1" t="s">
        <v>68</v>
      </c>
      <c r="D5649" s="1" t="s">
        <v>29</v>
      </c>
      <c r="E5649" s="1" t="s">
        <v>69</v>
      </c>
      <c r="F5649">
        <v>36</v>
      </c>
      <c r="G5649">
        <v>1</v>
      </c>
      <c r="H5649" s="1" t="s">
        <v>14</v>
      </c>
      <c r="I5649" s="1" t="s">
        <v>15</v>
      </c>
      <c r="J5649" s="12">
        <v>46007</v>
      </c>
      <c r="K5649">
        <v>0</v>
      </c>
      <c r="L5649" s="1">
        <f t="shared" si="352"/>
        <v>36</v>
      </c>
      <c r="M5649" s="1" t="str">
        <f t="shared" si="353"/>
        <v/>
      </c>
      <c r="N5649" s="2">
        <f t="shared" si="354"/>
        <v>45992</v>
      </c>
      <c r="O5649" t="str">
        <f t="shared" si="355"/>
        <v>mačka</v>
      </c>
    </row>
    <row r="5650" spans="1:15" x14ac:dyDescent="0.25">
      <c r="A5650">
        <v>13125</v>
      </c>
      <c r="B5650" s="11">
        <v>4040123456795</v>
      </c>
      <c r="C5650" s="1" t="s">
        <v>20</v>
      </c>
      <c r="D5650" s="1" t="s">
        <v>21</v>
      </c>
      <c r="E5650" s="1" t="s">
        <v>22</v>
      </c>
      <c r="F5650">
        <v>8.8000000000000007</v>
      </c>
      <c r="G5650">
        <v>1</v>
      </c>
      <c r="H5650" s="1" t="s">
        <v>14</v>
      </c>
      <c r="I5650" s="1" t="s">
        <v>15</v>
      </c>
      <c r="J5650" s="12">
        <v>46009</v>
      </c>
      <c r="K5650">
        <v>0</v>
      </c>
      <c r="L5650" s="1">
        <f t="shared" si="352"/>
        <v>8.8000000000000007</v>
      </c>
      <c r="M5650" s="1" t="str">
        <f t="shared" si="353"/>
        <v/>
      </c>
      <c r="N5650" s="2">
        <f t="shared" si="354"/>
        <v>45992</v>
      </c>
      <c r="O5650" t="str">
        <f t="shared" si="355"/>
        <v>pes</v>
      </c>
    </row>
    <row r="5651" spans="1:15" x14ac:dyDescent="0.25">
      <c r="A5651">
        <v>13125</v>
      </c>
      <c r="B5651" s="11">
        <v>4028899001126</v>
      </c>
      <c r="C5651" s="1" t="s">
        <v>16</v>
      </c>
      <c r="D5651" s="1" t="s">
        <v>12</v>
      </c>
      <c r="E5651" s="1" t="s">
        <v>17</v>
      </c>
      <c r="F5651">
        <v>2.8</v>
      </c>
      <c r="G5651">
        <v>3</v>
      </c>
      <c r="H5651" s="1" t="s">
        <v>14</v>
      </c>
      <c r="I5651" s="1" t="s">
        <v>15</v>
      </c>
      <c r="J5651" s="12">
        <v>46007</v>
      </c>
      <c r="K5651">
        <v>0</v>
      </c>
      <c r="L5651" s="1">
        <f t="shared" si="352"/>
        <v>8.3999999999999986</v>
      </c>
      <c r="M5651" s="1" t="str">
        <f t="shared" si="353"/>
        <v/>
      </c>
      <c r="N5651" s="2">
        <f t="shared" si="354"/>
        <v>45992</v>
      </c>
      <c r="O5651" t="str">
        <f t="shared" si="355"/>
        <v>pes</v>
      </c>
    </row>
    <row r="5652" spans="1:15" x14ac:dyDescent="0.25">
      <c r="A5652">
        <v>13126</v>
      </c>
      <c r="B5652" s="11">
        <v>4022345678908</v>
      </c>
      <c r="C5652" s="1" t="s">
        <v>363</v>
      </c>
      <c r="D5652" s="1" t="s">
        <v>21</v>
      </c>
      <c r="E5652" s="1" t="s">
        <v>69</v>
      </c>
      <c r="F5652">
        <v>10</v>
      </c>
      <c r="G5652">
        <v>1</v>
      </c>
      <c r="H5652" s="1" t="s">
        <v>14</v>
      </c>
      <c r="I5652" s="1" t="s">
        <v>15</v>
      </c>
      <c r="J5652" s="12">
        <v>46007</v>
      </c>
      <c r="K5652">
        <v>0</v>
      </c>
      <c r="L5652" s="1">
        <f t="shared" si="352"/>
        <v>10</v>
      </c>
      <c r="M5652" s="1" t="str">
        <f t="shared" si="353"/>
        <v/>
      </c>
      <c r="N5652" s="2">
        <f t="shared" si="354"/>
        <v>45992</v>
      </c>
      <c r="O5652" t="str">
        <f t="shared" si="355"/>
        <v>pes</v>
      </c>
    </row>
    <row r="5653" spans="1:15" x14ac:dyDescent="0.25">
      <c r="A5653">
        <v>13126</v>
      </c>
      <c r="B5653" s="11">
        <v>4027788990013</v>
      </c>
      <c r="C5653" s="1" t="s">
        <v>43</v>
      </c>
      <c r="D5653" s="1" t="s">
        <v>21</v>
      </c>
      <c r="E5653" s="1" t="s">
        <v>22</v>
      </c>
      <c r="F5653">
        <v>8</v>
      </c>
      <c r="G5653">
        <v>1</v>
      </c>
      <c r="H5653" s="1" t="s">
        <v>14</v>
      </c>
      <c r="I5653" s="1" t="s">
        <v>15</v>
      </c>
      <c r="J5653" s="12">
        <v>46009</v>
      </c>
      <c r="K5653">
        <v>0</v>
      </c>
      <c r="L5653" s="1">
        <f t="shared" si="352"/>
        <v>8</v>
      </c>
      <c r="M5653" s="1" t="str">
        <f t="shared" si="353"/>
        <v/>
      </c>
      <c r="N5653" s="2">
        <f t="shared" si="354"/>
        <v>45992</v>
      </c>
      <c r="O5653" t="str">
        <f t="shared" si="355"/>
        <v>pes</v>
      </c>
    </row>
    <row r="5654" spans="1:15" x14ac:dyDescent="0.25">
      <c r="A5654">
        <v>13127</v>
      </c>
      <c r="B5654" s="11">
        <v>4017890123450</v>
      </c>
      <c r="C5654" s="1" t="s">
        <v>65</v>
      </c>
      <c r="D5654" s="1" t="s">
        <v>39</v>
      </c>
      <c r="E5654" s="1" t="s">
        <v>22</v>
      </c>
      <c r="F5654">
        <v>7.6</v>
      </c>
      <c r="G5654">
        <v>1</v>
      </c>
      <c r="H5654" s="1" t="s">
        <v>14</v>
      </c>
      <c r="I5654" s="1" t="s">
        <v>15</v>
      </c>
      <c r="J5654" s="12">
        <v>46007</v>
      </c>
      <c r="K5654">
        <v>0</v>
      </c>
      <c r="L5654" s="1">
        <f t="shared" si="352"/>
        <v>7.6</v>
      </c>
      <c r="M5654" s="1" t="str">
        <f t="shared" si="353"/>
        <v/>
      </c>
      <c r="N5654" s="2">
        <f t="shared" si="354"/>
        <v>45992</v>
      </c>
      <c r="O5654" t="str">
        <f t="shared" si="355"/>
        <v>pes</v>
      </c>
    </row>
    <row r="5655" spans="1:15" x14ac:dyDescent="0.25">
      <c r="A5655">
        <v>13127</v>
      </c>
      <c r="B5655" s="11">
        <v>4013456789017</v>
      </c>
      <c r="C5655" s="1" t="s">
        <v>11</v>
      </c>
      <c r="D5655" s="1" t="s">
        <v>12</v>
      </c>
      <c r="E5655" s="1" t="s">
        <v>13</v>
      </c>
      <c r="F5655">
        <v>6</v>
      </c>
      <c r="G5655">
        <v>1</v>
      </c>
      <c r="H5655" s="1" t="s">
        <v>18</v>
      </c>
      <c r="I5655" s="1" t="s">
        <v>1311</v>
      </c>
      <c r="J5655" s="12">
        <v>46009</v>
      </c>
      <c r="K5655">
        <v>0</v>
      </c>
      <c r="L5655" s="1">
        <f t="shared" si="352"/>
        <v>6</v>
      </c>
      <c r="M5655" s="1">
        <f t="shared" si="353"/>
        <v>4</v>
      </c>
      <c r="N5655" s="2">
        <f t="shared" si="354"/>
        <v>45992</v>
      </c>
      <c r="O5655" t="str">
        <f t="shared" si="355"/>
        <v>pes</v>
      </c>
    </row>
    <row r="5656" spans="1:15" hidden="1" x14ac:dyDescent="0.25">
      <c r="A5656">
        <v>13128</v>
      </c>
      <c r="B5656" s="11">
        <v>4042233445567</v>
      </c>
      <c r="C5656" s="1" t="s">
        <v>637</v>
      </c>
      <c r="D5656" s="1" t="s">
        <v>140</v>
      </c>
      <c r="E5656" s="1" t="s">
        <v>141</v>
      </c>
      <c r="F5656">
        <v>51.64</v>
      </c>
      <c r="G5656">
        <v>1</v>
      </c>
      <c r="H5656" s="1" t="s">
        <v>14</v>
      </c>
      <c r="I5656" s="1" t="s">
        <v>15</v>
      </c>
      <c r="J5656" s="12">
        <v>46009</v>
      </c>
      <c r="K5656">
        <v>0</v>
      </c>
      <c r="L5656" s="1">
        <f t="shared" si="352"/>
        <v>51.64</v>
      </c>
      <c r="M5656" s="1" t="str">
        <f t="shared" si="353"/>
        <v/>
      </c>
      <c r="N5656" s="2">
        <f t="shared" si="354"/>
        <v>45992</v>
      </c>
      <c r="O5656" t="str">
        <f t="shared" si="355"/>
        <v>mačka</v>
      </c>
    </row>
    <row r="5657" spans="1:15" hidden="1" x14ac:dyDescent="0.25">
      <c r="A5657">
        <v>13128</v>
      </c>
      <c r="B5657" s="11">
        <v>8593456789012</v>
      </c>
      <c r="C5657" s="1" t="s">
        <v>28</v>
      </c>
      <c r="D5657" s="1" t="s">
        <v>29</v>
      </c>
      <c r="E5657" s="1" t="s">
        <v>30</v>
      </c>
      <c r="F5657">
        <v>42</v>
      </c>
      <c r="G5657">
        <v>1</v>
      </c>
      <c r="H5657" s="1" t="s">
        <v>23</v>
      </c>
      <c r="I5657" s="1" t="s">
        <v>1312</v>
      </c>
      <c r="J5657" s="12">
        <v>46007</v>
      </c>
      <c r="K5657">
        <v>0</v>
      </c>
      <c r="L5657" s="1">
        <f t="shared" si="352"/>
        <v>42</v>
      </c>
      <c r="M5657" s="1">
        <f t="shared" si="353"/>
        <v>5</v>
      </c>
      <c r="N5657" s="2">
        <f t="shared" si="354"/>
        <v>45992</v>
      </c>
      <c r="O5657" t="str">
        <f t="shared" si="355"/>
        <v>mačka</v>
      </c>
    </row>
    <row r="5658" spans="1:15" hidden="1" x14ac:dyDescent="0.25">
      <c r="A5658">
        <v>13129</v>
      </c>
      <c r="B5658" s="11">
        <v>4042233445567</v>
      </c>
      <c r="C5658" s="1" t="s">
        <v>637</v>
      </c>
      <c r="D5658" s="1" t="s">
        <v>140</v>
      </c>
      <c r="E5658" s="1" t="s">
        <v>141</v>
      </c>
      <c r="F5658">
        <v>51.64</v>
      </c>
      <c r="G5658">
        <v>1</v>
      </c>
      <c r="H5658" s="1" t="s">
        <v>14</v>
      </c>
      <c r="I5658" s="1" t="s">
        <v>15</v>
      </c>
      <c r="J5658" s="12">
        <v>46007</v>
      </c>
      <c r="K5658">
        <v>0</v>
      </c>
      <c r="L5658" s="1">
        <f t="shared" si="352"/>
        <v>51.64</v>
      </c>
      <c r="M5658" s="1" t="str">
        <f t="shared" si="353"/>
        <v/>
      </c>
      <c r="N5658" s="2">
        <f t="shared" si="354"/>
        <v>45992</v>
      </c>
      <c r="O5658" t="str">
        <f t="shared" si="355"/>
        <v>mačka</v>
      </c>
    </row>
    <row r="5659" spans="1:15" x14ac:dyDescent="0.25">
      <c r="A5659">
        <v>13129</v>
      </c>
      <c r="B5659" s="11">
        <v>4028899001126</v>
      </c>
      <c r="C5659" s="1" t="s">
        <v>16</v>
      </c>
      <c r="D5659" s="1" t="s">
        <v>12</v>
      </c>
      <c r="E5659" s="1" t="s">
        <v>17</v>
      </c>
      <c r="F5659">
        <v>2.8</v>
      </c>
      <c r="G5659">
        <v>3</v>
      </c>
      <c r="H5659" s="1" t="s">
        <v>14</v>
      </c>
      <c r="I5659" s="1" t="s">
        <v>15</v>
      </c>
      <c r="J5659" s="12">
        <v>46009</v>
      </c>
      <c r="K5659">
        <v>0</v>
      </c>
      <c r="L5659" s="1">
        <f t="shared" si="352"/>
        <v>8.3999999999999986</v>
      </c>
      <c r="M5659" s="1" t="str">
        <f t="shared" si="353"/>
        <v/>
      </c>
      <c r="N5659" s="2">
        <f t="shared" si="354"/>
        <v>45992</v>
      </c>
      <c r="O5659" t="str">
        <f t="shared" si="355"/>
        <v>pes</v>
      </c>
    </row>
    <row r="5660" spans="1:15" x14ac:dyDescent="0.25">
      <c r="A5660">
        <v>13130</v>
      </c>
      <c r="B5660" s="11">
        <v>4027788990013</v>
      </c>
      <c r="C5660" s="1" t="s">
        <v>43</v>
      </c>
      <c r="D5660" s="1" t="s">
        <v>21</v>
      </c>
      <c r="E5660" s="1" t="s">
        <v>22</v>
      </c>
      <c r="F5660">
        <v>8</v>
      </c>
      <c r="G5660">
        <v>1</v>
      </c>
      <c r="H5660" s="1" t="s">
        <v>14</v>
      </c>
      <c r="I5660" s="1" t="s">
        <v>15</v>
      </c>
      <c r="J5660" s="12">
        <v>46007</v>
      </c>
      <c r="K5660">
        <v>0</v>
      </c>
      <c r="L5660" s="1">
        <f t="shared" si="352"/>
        <v>8</v>
      </c>
      <c r="M5660" s="1" t="str">
        <f t="shared" si="353"/>
        <v/>
      </c>
      <c r="N5660" s="2">
        <f t="shared" si="354"/>
        <v>45992</v>
      </c>
      <c r="O5660" t="str">
        <f t="shared" si="355"/>
        <v>pes</v>
      </c>
    </row>
    <row r="5661" spans="1:15" hidden="1" x14ac:dyDescent="0.25">
      <c r="A5661">
        <v>13130</v>
      </c>
      <c r="B5661" s="11">
        <v>4067890123456</v>
      </c>
      <c r="C5661" s="1" t="s">
        <v>68</v>
      </c>
      <c r="D5661" s="1" t="s">
        <v>29</v>
      </c>
      <c r="E5661" s="1" t="s">
        <v>69</v>
      </c>
      <c r="F5661">
        <v>36</v>
      </c>
      <c r="G5661">
        <v>1</v>
      </c>
      <c r="H5661" s="1" t="s">
        <v>14</v>
      </c>
      <c r="I5661" s="1" t="s">
        <v>15</v>
      </c>
      <c r="J5661" s="12">
        <v>46009</v>
      </c>
      <c r="K5661">
        <v>0</v>
      </c>
      <c r="L5661" s="1">
        <f t="shared" si="352"/>
        <v>36</v>
      </c>
      <c r="M5661" s="1" t="str">
        <f t="shared" si="353"/>
        <v/>
      </c>
      <c r="N5661" s="2">
        <f t="shared" si="354"/>
        <v>45992</v>
      </c>
      <c r="O5661" t="str">
        <f t="shared" si="355"/>
        <v>mačka</v>
      </c>
    </row>
    <row r="5662" spans="1:15" x14ac:dyDescent="0.25">
      <c r="A5662">
        <v>13131</v>
      </c>
      <c r="B5662" s="11">
        <v>4003344556679</v>
      </c>
      <c r="C5662" s="1" t="s">
        <v>132</v>
      </c>
      <c r="D5662" s="1" t="s">
        <v>133</v>
      </c>
      <c r="E5662" s="1" t="s">
        <v>134</v>
      </c>
      <c r="F5662">
        <v>51.64</v>
      </c>
      <c r="G5662">
        <v>1</v>
      </c>
      <c r="H5662" s="1" t="s">
        <v>14</v>
      </c>
      <c r="I5662" s="1" t="s">
        <v>15</v>
      </c>
      <c r="J5662" s="12">
        <v>46010</v>
      </c>
      <c r="K5662">
        <v>0</v>
      </c>
      <c r="L5662" s="1">
        <f t="shared" si="352"/>
        <v>51.64</v>
      </c>
      <c r="M5662" s="1" t="str">
        <f t="shared" si="353"/>
        <v/>
      </c>
      <c r="N5662" s="2">
        <f t="shared" si="354"/>
        <v>45992</v>
      </c>
      <c r="O5662" t="str">
        <f t="shared" si="355"/>
        <v>pes</v>
      </c>
    </row>
    <row r="5663" spans="1:15" x14ac:dyDescent="0.25">
      <c r="A5663">
        <v>13131</v>
      </c>
      <c r="B5663" s="11">
        <v>4040123456795</v>
      </c>
      <c r="C5663" s="1" t="s">
        <v>20</v>
      </c>
      <c r="D5663" s="1" t="s">
        <v>21</v>
      </c>
      <c r="E5663" s="1" t="s">
        <v>22</v>
      </c>
      <c r="F5663">
        <v>8.8000000000000007</v>
      </c>
      <c r="G5663">
        <v>1</v>
      </c>
      <c r="H5663" s="1" t="s">
        <v>14</v>
      </c>
      <c r="I5663" s="1" t="s">
        <v>15</v>
      </c>
      <c r="J5663" s="12">
        <v>46007</v>
      </c>
      <c r="K5663">
        <v>0</v>
      </c>
      <c r="L5663" s="1">
        <f t="shared" si="352"/>
        <v>8.8000000000000007</v>
      </c>
      <c r="M5663" s="1" t="str">
        <f t="shared" si="353"/>
        <v/>
      </c>
      <c r="N5663" s="2">
        <f t="shared" si="354"/>
        <v>45992</v>
      </c>
      <c r="O5663" t="str">
        <f t="shared" si="355"/>
        <v>pes</v>
      </c>
    </row>
    <row r="5664" spans="1:15" x14ac:dyDescent="0.25">
      <c r="A5664">
        <v>13132</v>
      </c>
      <c r="B5664" s="11">
        <v>4003344556679</v>
      </c>
      <c r="C5664" s="1" t="s">
        <v>132</v>
      </c>
      <c r="D5664" s="1" t="s">
        <v>133</v>
      </c>
      <c r="E5664" s="1" t="s">
        <v>134</v>
      </c>
      <c r="F5664">
        <v>51.64</v>
      </c>
      <c r="G5664">
        <v>1</v>
      </c>
      <c r="H5664" s="1" t="s">
        <v>14</v>
      </c>
      <c r="I5664" s="1" t="s">
        <v>15</v>
      </c>
      <c r="J5664" s="12">
        <v>46007</v>
      </c>
      <c r="K5664">
        <v>0</v>
      </c>
      <c r="L5664" s="1">
        <f t="shared" si="352"/>
        <v>51.64</v>
      </c>
      <c r="M5664" s="1" t="str">
        <f t="shared" si="353"/>
        <v/>
      </c>
      <c r="N5664" s="2">
        <f t="shared" si="354"/>
        <v>45992</v>
      </c>
      <c r="O5664" t="str">
        <f t="shared" si="355"/>
        <v>pes</v>
      </c>
    </row>
    <row r="5665" spans="1:15" hidden="1" x14ac:dyDescent="0.25">
      <c r="A5665">
        <v>13132</v>
      </c>
      <c r="B5665" s="11">
        <v>4056789012345</v>
      </c>
      <c r="C5665" s="1" t="s">
        <v>47</v>
      </c>
      <c r="D5665" s="1" t="s">
        <v>29</v>
      </c>
      <c r="E5665" s="1" t="s">
        <v>37</v>
      </c>
      <c r="F5665">
        <v>2.4</v>
      </c>
      <c r="G5665">
        <v>2</v>
      </c>
      <c r="H5665" s="1" t="s">
        <v>14</v>
      </c>
      <c r="I5665" s="1" t="s">
        <v>15</v>
      </c>
      <c r="J5665" s="12">
        <v>46010</v>
      </c>
      <c r="K5665">
        <v>0</v>
      </c>
      <c r="L5665" s="1">
        <f t="shared" si="352"/>
        <v>4.8</v>
      </c>
      <c r="M5665" s="1" t="str">
        <f t="shared" si="353"/>
        <v/>
      </c>
      <c r="N5665" s="2">
        <f t="shared" si="354"/>
        <v>45992</v>
      </c>
      <c r="O5665" t="str">
        <f t="shared" si="355"/>
        <v>mačka</v>
      </c>
    </row>
    <row r="5666" spans="1:15" x14ac:dyDescent="0.25">
      <c r="A5666">
        <v>13133</v>
      </c>
      <c r="B5666" s="11">
        <v>4027788990013</v>
      </c>
      <c r="C5666" s="1" t="s">
        <v>43</v>
      </c>
      <c r="D5666" s="1" t="s">
        <v>21</v>
      </c>
      <c r="E5666" s="1" t="s">
        <v>22</v>
      </c>
      <c r="F5666">
        <v>8</v>
      </c>
      <c r="G5666">
        <v>1</v>
      </c>
      <c r="H5666" s="1" t="s">
        <v>14</v>
      </c>
      <c r="I5666" s="1" t="s">
        <v>15</v>
      </c>
      <c r="J5666" s="12">
        <v>46010</v>
      </c>
      <c r="K5666">
        <v>0</v>
      </c>
      <c r="L5666" s="1">
        <f t="shared" si="352"/>
        <v>8</v>
      </c>
      <c r="M5666" s="1" t="str">
        <f t="shared" si="353"/>
        <v/>
      </c>
      <c r="N5666" s="2">
        <f t="shared" si="354"/>
        <v>45992</v>
      </c>
      <c r="O5666" t="str">
        <f t="shared" si="355"/>
        <v>pes</v>
      </c>
    </row>
    <row r="5667" spans="1:15" x14ac:dyDescent="0.25">
      <c r="A5667">
        <v>13133</v>
      </c>
      <c r="B5667" s="11">
        <v>4028899001126</v>
      </c>
      <c r="C5667" s="1" t="s">
        <v>16</v>
      </c>
      <c r="D5667" s="1" t="s">
        <v>12</v>
      </c>
      <c r="E5667" s="1" t="s">
        <v>17</v>
      </c>
      <c r="F5667">
        <v>2.8</v>
      </c>
      <c r="G5667">
        <v>3</v>
      </c>
      <c r="H5667" s="1" t="s">
        <v>14</v>
      </c>
      <c r="I5667" s="1" t="s">
        <v>15</v>
      </c>
      <c r="J5667" s="12">
        <v>46007</v>
      </c>
      <c r="K5667">
        <v>0</v>
      </c>
      <c r="L5667" s="1">
        <f t="shared" si="352"/>
        <v>8.3999999999999986</v>
      </c>
      <c r="M5667" s="1" t="str">
        <f t="shared" si="353"/>
        <v/>
      </c>
      <c r="N5667" s="2">
        <f t="shared" si="354"/>
        <v>45992</v>
      </c>
      <c r="O5667" t="str">
        <f t="shared" si="355"/>
        <v>pes</v>
      </c>
    </row>
    <row r="5668" spans="1:15" x14ac:dyDescent="0.25">
      <c r="A5668">
        <v>13134</v>
      </c>
      <c r="B5668" s="11">
        <v>4040123456795</v>
      </c>
      <c r="C5668" s="1" t="s">
        <v>20</v>
      </c>
      <c r="D5668" s="1" t="s">
        <v>21</v>
      </c>
      <c r="E5668" s="1" t="s">
        <v>22</v>
      </c>
      <c r="F5668">
        <v>8.8000000000000007</v>
      </c>
      <c r="G5668">
        <v>1</v>
      </c>
      <c r="H5668" s="1" t="s">
        <v>14</v>
      </c>
      <c r="I5668" s="1" t="s">
        <v>15</v>
      </c>
      <c r="J5668" s="12">
        <v>46010</v>
      </c>
      <c r="K5668">
        <v>0</v>
      </c>
      <c r="L5668" s="1">
        <f t="shared" si="352"/>
        <v>8.8000000000000007</v>
      </c>
      <c r="M5668" s="1" t="str">
        <f t="shared" si="353"/>
        <v/>
      </c>
      <c r="N5668" s="2">
        <f t="shared" si="354"/>
        <v>45992</v>
      </c>
      <c r="O5668" t="str">
        <f t="shared" si="355"/>
        <v>pes</v>
      </c>
    </row>
    <row r="5669" spans="1:15" x14ac:dyDescent="0.25">
      <c r="A5669">
        <v>13134</v>
      </c>
      <c r="B5669" s="11">
        <v>4013456789017</v>
      </c>
      <c r="C5669" s="1" t="s">
        <v>11</v>
      </c>
      <c r="D5669" s="1" t="s">
        <v>12</v>
      </c>
      <c r="E5669" s="1" t="s">
        <v>13</v>
      </c>
      <c r="F5669">
        <v>6</v>
      </c>
      <c r="G5669">
        <v>1</v>
      </c>
      <c r="H5669" s="1" t="s">
        <v>14</v>
      </c>
      <c r="I5669" s="1" t="s">
        <v>15</v>
      </c>
      <c r="J5669" s="12">
        <v>46007</v>
      </c>
      <c r="K5669">
        <v>0</v>
      </c>
      <c r="L5669" s="1">
        <f t="shared" si="352"/>
        <v>6</v>
      </c>
      <c r="M5669" s="1" t="str">
        <f t="shared" si="353"/>
        <v/>
      </c>
      <c r="N5669" s="2">
        <f t="shared" si="354"/>
        <v>45992</v>
      </c>
      <c r="O5669" t="str">
        <f t="shared" si="355"/>
        <v>pes</v>
      </c>
    </row>
    <row r="5670" spans="1:15" x14ac:dyDescent="0.25">
      <c r="A5670">
        <v>13135</v>
      </c>
      <c r="B5670" s="11">
        <v>4028899001126</v>
      </c>
      <c r="C5670" s="1" t="s">
        <v>16</v>
      </c>
      <c r="D5670" s="1" t="s">
        <v>12</v>
      </c>
      <c r="E5670" s="1" t="s">
        <v>17</v>
      </c>
      <c r="F5670">
        <v>2.8</v>
      </c>
      <c r="G5670">
        <v>2</v>
      </c>
      <c r="H5670" s="1" t="s">
        <v>14</v>
      </c>
      <c r="I5670" s="1" t="s">
        <v>15</v>
      </c>
      <c r="J5670" s="12">
        <v>46010</v>
      </c>
      <c r="K5670">
        <v>0</v>
      </c>
      <c r="L5670" s="1">
        <f t="shared" si="352"/>
        <v>5.6</v>
      </c>
      <c r="M5670" s="1" t="str">
        <f t="shared" si="353"/>
        <v/>
      </c>
      <c r="N5670" s="2">
        <f t="shared" si="354"/>
        <v>45992</v>
      </c>
      <c r="O5670" t="str">
        <f t="shared" si="355"/>
        <v>pes</v>
      </c>
    </row>
    <row r="5671" spans="1:15" hidden="1" x14ac:dyDescent="0.25">
      <c r="A5671">
        <v>13135</v>
      </c>
      <c r="B5671" s="11">
        <v>4056789012345</v>
      </c>
      <c r="C5671" s="1" t="s">
        <v>47</v>
      </c>
      <c r="D5671" s="1" t="s">
        <v>29</v>
      </c>
      <c r="E5671" s="1" t="s">
        <v>37</v>
      </c>
      <c r="F5671">
        <v>2.4</v>
      </c>
      <c r="G5671">
        <v>2</v>
      </c>
      <c r="H5671" s="1" t="s">
        <v>14</v>
      </c>
      <c r="I5671" s="1" t="s">
        <v>15</v>
      </c>
      <c r="J5671" s="12">
        <v>46007</v>
      </c>
      <c r="K5671">
        <v>0</v>
      </c>
      <c r="L5671" s="1">
        <f t="shared" si="352"/>
        <v>4.8</v>
      </c>
      <c r="M5671" s="1" t="str">
        <f t="shared" si="353"/>
        <v/>
      </c>
      <c r="N5671" s="2">
        <f t="shared" si="354"/>
        <v>45992</v>
      </c>
      <c r="O5671" t="str">
        <f t="shared" si="355"/>
        <v>mačka</v>
      </c>
    </row>
    <row r="5672" spans="1:15" x14ac:dyDescent="0.25">
      <c r="A5672">
        <v>13136</v>
      </c>
      <c r="B5672" s="11">
        <v>4063456789014</v>
      </c>
      <c r="C5672" s="1" t="s">
        <v>60</v>
      </c>
      <c r="D5672" s="1" t="s">
        <v>12</v>
      </c>
      <c r="E5672" s="1" t="s">
        <v>61</v>
      </c>
      <c r="F5672">
        <v>36</v>
      </c>
      <c r="G5672">
        <v>1</v>
      </c>
      <c r="H5672" s="1" t="s">
        <v>14</v>
      </c>
      <c r="I5672" s="1" t="s">
        <v>15</v>
      </c>
      <c r="J5672" s="12">
        <v>46007</v>
      </c>
      <c r="K5672">
        <v>0</v>
      </c>
      <c r="L5672" s="1">
        <f t="shared" si="352"/>
        <v>36</v>
      </c>
      <c r="M5672" s="1" t="str">
        <f t="shared" si="353"/>
        <v/>
      </c>
      <c r="N5672" s="2">
        <f t="shared" si="354"/>
        <v>45992</v>
      </c>
      <c r="O5672" t="str">
        <f t="shared" si="355"/>
        <v>pes</v>
      </c>
    </row>
    <row r="5673" spans="1:15" x14ac:dyDescent="0.25">
      <c r="A5673">
        <v>13136</v>
      </c>
      <c r="B5673" s="11">
        <v>4013456789017</v>
      </c>
      <c r="C5673" s="1" t="s">
        <v>11</v>
      </c>
      <c r="D5673" s="1" t="s">
        <v>12</v>
      </c>
      <c r="E5673" s="1" t="s">
        <v>13</v>
      </c>
      <c r="F5673">
        <v>6</v>
      </c>
      <c r="G5673">
        <v>1</v>
      </c>
      <c r="H5673" s="1" t="s">
        <v>14</v>
      </c>
      <c r="I5673" s="1" t="s">
        <v>15</v>
      </c>
      <c r="J5673" s="12">
        <v>46010</v>
      </c>
      <c r="K5673">
        <v>0</v>
      </c>
      <c r="L5673" s="1">
        <f t="shared" si="352"/>
        <v>6</v>
      </c>
      <c r="M5673" s="1" t="str">
        <f t="shared" si="353"/>
        <v/>
      </c>
      <c r="N5673" s="2">
        <f t="shared" si="354"/>
        <v>45992</v>
      </c>
      <c r="O5673" t="str">
        <f t="shared" si="355"/>
        <v>pes</v>
      </c>
    </row>
    <row r="5674" spans="1:15" hidden="1" x14ac:dyDescent="0.25">
      <c r="A5674">
        <v>13137</v>
      </c>
      <c r="B5674" s="11">
        <v>4042233445567</v>
      </c>
      <c r="C5674" s="1" t="s">
        <v>637</v>
      </c>
      <c r="D5674" s="1" t="s">
        <v>140</v>
      </c>
      <c r="E5674" s="1" t="s">
        <v>141</v>
      </c>
      <c r="F5674">
        <v>51.64</v>
      </c>
      <c r="G5674">
        <v>1</v>
      </c>
      <c r="H5674" s="1" t="s">
        <v>18</v>
      </c>
      <c r="I5674" s="1" t="s">
        <v>1313</v>
      </c>
      <c r="J5674" s="12">
        <v>46007</v>
      </c>
      <c r="K5674">
        <v>0</v>
      </c>
      <c r="L5674" s="1">
        <f t="shared" si="352"/>
        <v>51.64</v>
      </c>
      <c r="M5674" s="1">
        <f t="shared" si="353"/>
        <v>4</v>
      </c>
      <c r="N5674" s="2">
        <f t="shared" si="354"/>
        <v>45992</v>
      </c>
      <c r="O5674" t="str">
        <f t="shared" si="355"/>
        <v>mačka</v>
      </c>
    </row>
    <row r="5675" spans="1:15" hidden="1" x14ac:dyDescent="0.25">
      <c r="A5675">
        <v>13137</v>
      </c>
      <c r="B5675" s="11">
        <v>4042233445567</v>
      </c>
      <c r="C5675" s="1" t="s">
        <v>637</v>
      </c>
      <c r="D5675" s="1" t="s">
        <v>140</v>
      </c>
      <c r="E5675" s="1" t="s">
        <v>141</v>
      </c>
      <c r="F5675">
        <v>51.64</v>
      </c>
      <c r="G5675">
        <v>1</v>
      </c>
      <c r="H5675" s="1" t="s">
        <v>18</v>
      </c>
      <c r="I5675" s="1" t="s">
        <v>1314</v>
      </c>
      <c r="J5675" s="12">
        <v>46010</v>
      </c>
      <c r="K5675">
        <v>0</v>
      </c>
      <c r="L5675" s="1">
        <f t="shared" si="352"/>
        <v>51.64</v>
      </c>
      <c r="M5675" s="1">
        <f t="shared" si="353"/>
        <v>4</v>
      </c>
      <c r="N5675" s="2">
        <f t="shared" si="354"/>
        <v>45992</v>
      </c>
      <c r="O5675" t="str">
        <f t="shared" si="355"/>
        <v>mačka</v>
      </c>
    </row>
    <row r="5676" spans="1:15" x14ac:dyDescent="0.25">
      <c r="A5676">
        <v>13138</v>
      </c>
      <c r="B5676" s="11">
        <v>4027788990013</v>
      </c>
      <c r="C5676" s="1" t="s">
        <v>43</v>
      </c>
      <c r="D5676" s="1" t="s">
        <v>21</v>
      </c>
      <c r="E5676" s="1" t="s">
        <v>22</v>
      </c>
      <c r="F5676">
        <v>8</v>
      </c>
      <c r="G5676">
        <v>1</v>
      </c>
      <c r="H5676" s="1" t="s">
        <v>14</v>
      </c>
      <c r="I5676" s="1" t="s">
        <v>15</v>
      </c>
      <c r="J5676" s="12">
        <v>46010</v>
      </c>
      <c r="K5676">
        <v>0</v>
      </c>
      <c r="L5676" s="1">
        <f t="shared" si="352"/>
        <v>8</v>
      </c>
      <c r="M5676" s="1" t="str">
        <f t="shared" si="353"/>
        <v/>
      </c>
      <c r="N5676" s="2">
        <f t="shared" si="354"/>
        <v>45992</v>
      </c>
      <c r="O5676" t="str">
        <f t="shared" si="355"/>
        <v>pes</v>
      </c>
    </row>
    <row r="5677" spans="1:15" x14ac:dyDescent="0.25">
      <c r="A5677">
        <v>13138</v>
      </c>
      <c r="B5677" s="11">
        <v>4017890123450</v>
      </c>
      <c r="C5677" s="1" t="s">
        <v>65</v>
      </c>
      <c r="D5677" s="1" t="s">
        <v>39</v>
      </c>
      <c r="E5677" s="1" t="s">
        <v>22</v>
      </c>
      <c r="F5677">
        <v>7.6</v>
      </c>
      <c r="G5677">
        <v>1</v>
      </c>
      <c r="H5677" s="1" t="s">
        <v>14</v>
      </c>
      <c r="I5677" s="1" t="s">
        <v>15</v>
      </c>
      <c r="J5677" s="12">
        <v>46007</v>
      </c>
      <c r="K5677">
        <v>0</v>
      </c>
      <c r="L5677" s="1">
        <f t="shared" si="352"/>
        <v>7.6</v>
      </c>
      <c r="M5677" s="1" t="str">
        <f t="shared" si="353"/>
        <v/>
      </c>
      <c r="N5677" s="2">
        <f t="shared" si="354"/>
        <v>45992</v>
      </c>
      <c r="O5677" t="str">
        <f t="shared" si="355"/>
        <v>pes</v>
      </c>
    </row>
    <row r="5678" spans="1:15" x14ac:dyDescent="0.25">
      <c r="A5678">
        <v>13139</v>
      </c>
      <c r="B5678" s="11">
        <v>4003344556679</v>
      </c>
      <c r="C5678" s="1" t="s">
        <v>132</v>
      </c>
      <c r="D5678" s="1" t="s">
        <v>133</v>
      </c>
      <c r="E5678" s="1" t="s">
        <v>134</v>
      </c>
      <c r="F5678">
        <v>51.64</v>
      </c>
      <c r="G5678">
        <v>1</v>
      </c>
      <c r="H5678" s="1" t="s">
        <v>14</v>
      </c>
      <c r="I5678" s="1" t="s">
        <v>15</v>
      </c>
      <c r="J5678" s="12">
        <v>46010</v>
      </c>
      <c r="K5678">
        <v>0</v>
      </c>
      <c r="L5678" s="1">
        <f t="shared" si="352"/>
        <v>51.64</v>
      </c>
      <c r="M5678" s="1" t="str">
        <f t="shared" si="353"/>
        <v/>
      </c>
      <c r="N5678" s="2">
        <f t="shared" si="354"/>
        <v>45992</v>
      </c>
      <c r="O5678" t="str">
        <f t="shared" si="355"/>
        <v>pes</v>
      </c>
    </row>
    <row r="5679" spans="1:15" x14ac:dyDescent="0.25">
      <c r="A5679">
        <v>13139</v>
      </c>
      <c r="B5679" s="11">
        <v>4027788990013</v>
      </c>
      <c r="C5679" s="1" t="s">
        <v>43</v>
      </c>
      <c r="D5679" s="1" t="s">
        <v>21</v>
      </c>
      <c r="E5679" s="1" t="s">
        <v>22</v>
      </c>
      <c r="F5679">
        <v>8</v>
      </c>
      <c r="G5679">
        <v>1</v>
      </c>
      <c r="H5679" s="1" t="s">
        <v>14</v>
      </c>
      <c r="I5679" s="1" t="s">
        <v>15</v>
      </c>
      <c r="J5679" s="12">
        <v>46007</v>
      </c>
      <c r="K5679">
        <v>0</v>
      </c>
      <c r="L5679" s="1">
        <f t="shared" si="352"/>
        <v>8</v>
      </c>
      <c r="M5679" s="1" t="str">
        <f t="shared" si="353"/>
        <v/>
      </c>
      <c r="N5679" s="2">
        <f t="shared" si="354"/>
        <v>45992</v>
      </c>
      <c r="O5679" t="str">
        <f t="shared" si="355"/>
        <v>pes</v>
      </c>
    </row>
    <row r="5680" spans="1:15" x14ac:dyDescent="0.25">
      <c r="A5680">
        <v>13140</v>
      </c>
      <c r="B5680" s="11">
        <v>4028899001126</v>
      </c>
      <c r="C5680" s="1" t="s">
        <v>16</v>
      </c>
      <c r="D5680" s="1" t="s">
        <v>12</v>
      </c>
      <c r="E5680" s="1" t="s">
        <v>17</v>
      </c>
      <c r="F5680">
        <v>2.8</v>
      </c>
      <c r="G5680">
        <v>3</v>
      </c>
      <c r="H5680" s="1" t="s">
        <v>14</v>
      </c>
      <c r="I5680" s="1" t="s">
        <v>15</v>
      </c>
      <c r="J5680" s="12">
        <v>46007</v>
      </c>
      <c r="K5680">
        <v>0</v>
      </c>
      <c r="L5680" s="1">
        <f t="shared" si="352"/>
        <v>8.3999999999999986</v>
      </c>
      <c r="M5680" s="1" t="str">
        <f t="shared" si="353"/>
        <v/>
      </c>
      <c r="N5680" s="2">
        <f t="shared" si="354"/>
        <v>45992</v>
      </c>
      <c r="O5680" t="str">
        <f t="shared" si="355"/>
        <v>pes</v>
      </c>
    </row>
    <row r="5681" spans="1:15" x14ac:dyDescent="0.25">
      <c r="A5681">
        <v>13140</v>
      </c>
      <c r="B5681" s="11">
        <v>4022345678908</v>
      </c>
      <c r="C5681" s="1" t="s">
        <v>363</v>
      </c>
      <c r="D5681" s="1" t="s">
        <v>21</v>
      </c>
      <c r="E5681" s="1" t="s">
        <v>69</v>
      </c>
      <c r="F5681">
        <v>10</v>
      </c>
      <c r="G5681">
        <v>1</v>
      </c>
      <c r="H5681" s="1" t="s">
        <v>14</v>
      </c>
      <c r="I5681" s="1" t="s">
        <v>15</v>
      </c>
      <c r="J5681" s="12">
        <v>46010</v>
      </c>
      <c r="K5681">
        <v>0</v>
      </c>
      <c r="L5681" s="1">
        <f t="shared" si="352"/>
        <v>10</v>
      </c>
      <c r="M5681" s="1" t="str">
        <f t="shared" si="353"/>
        <v/>
      </c>
      <c r="N5681" s="2">
        <f t="shared" si="354"/>
        <v>45992</v>
      </c>
      <c r="O5681" t="str">
        <f t="shared" si="355"/>
        <v>pes</v>
      </c>
    </row>
    <row r="5682" spans="1:15" x14ac:dyDescent="0.25">
      <c r="A5682">
        <v>13141</v>
      </c>
      <c r="B5682" s="11">
        <v>4017890123450</v>
      </c>
      <c r="C5682" s="1" t="s">
        <v>65</v>
      </c>
      <c r="D5682" s="1" t="s">
        <v>39</v>
      </c>
      <c r="E5682" s="1" t="s">
        <v>22</v>
      </c>
      <c r="F5682">
        <v>7.6</v>
      </c>
      <c r="G5682">
        <v>1</v>
      </c>
      <c r="H5682" s="1" t="s">
        <v>23</v>
      </c>
      <c r="I5682" s="1" t="s">
        <v>1315</v>
      </c>
      <c r="J5682" s="12">
        <v>46010</v>
      </c>
      <c r="K5682">
        <v>0</v>
      </c>
      <c r="L5682" s="1">
        <f t="shared" si="352"/>
        <v>7.6</v>
      </c>
      <c r="M5682" s="1">
        <f t="shared" si="353"/>
        <v>5</v>
      </c>
      <c r="N5682" s="2">
        <f t="shared" si="354"/>
        <v>45992</v>
      </c>
      <c r="O5682" t="str">
        <f t="shared" si="355"/>
        <v>pes</v>
      </c>
    </row>
    <row r="5683" spans="1:15" hidden="1" x14ac:dyDescent="0.25">
      <c r="A5683">
        <v>13142</v>
      </c>
      <c r="B5683" s="11">
        <v>4056789012345</v>
      </c>
      <c r="C5683" s="1" t="s">
        <v>47</v>
      </c>
      <c r="D5683" s="1" t="s">
        <v>29</v>
      </c>
      <c r="E5683" s="1" t="s">
        <v>37</v>
      </c>
      <c r="F5683">
        <v>2.4</v>
      </c>
      <c r="G5683">
        <v>3</v>
      </c>
      <c r="H5683" s="1" t="s">
        <v>14</v>
      </c>
      <c r="I5683" s="1" t="s">
        <v>15</v>
      </c>
      <c r="J5683" s="12">
        <v>46010</v>
      </c>
      <c r="K5683">
        <v>0</v>
      </c>
      <c r="L5683" s="1">
        <f t="shared" si="352"/>
        <v>7.1999999999999993</v>
      </c>
      <c r="M5683" s="1" t="str">
        <f t="shared" si="353"/>
        <v/>
      </c>
      <c r="N5683" s="2">
        <f t="shared" si="354"/>
        <v>45992</v>
      </c>
      <c r="O5683" t="str">
        <f t="shared" si="355"/>
        <v>mačka</v>
      </c>
    </row>
    <row r="5684" spans="1:15" hidden="1" x14ac:dyDescent="0.25">
      <c r="A5684">
        <v>13143</v>
      </c>
      <c r="B5684" s="11">
        <v>8593456789012</v>
      </c>
      <c r="C5684" s="1" t="s">
        <v>28</v>
      </c>
      <c r="D5684" s="1" t="s">
        <v>29</v>
      </c>
      <c r="E5684" s="1" t="s">
        <v>30</v>
      </c>
      <c r="F5684">
        <v>42</v>
      </c>
      <c r="G5684">
        <v>1</v>
      </c>
      <c r="H5684" s="1" t="s">
        <v>14</v>
      </c>
      <c r="I5684" s="1" t="s">
        <v>15</v>
      </c>
      <c r="J5684" s="12">
        <v>46010</v>
      </c>
      <c r="K5684">
        <v>0</v>
      </c>
      <c r="L5684" s="1">
        <f t="shared" si="352"/>
        <v>42</v>
      </c>
      <c r="M5684" s="1" t="str">
        <f t="shared" si="353"/>
        <v/>
      </c>
      <c r="N5684" s="2">
        <f t="shared" si="354"/>
        <v>45992</v>
      </c>
      <c r="O5684" t="str">
        <f t="shared" si="355"/>
        <v>mačka</v>
      </c>
    </row>
    <row r="5685" spans="1:15" x14ac:dyDescent="0.25">
      <c r="A5685">
        <v>13144</v>
      </c>
      <c r="B5685" s="11">
        <v>4028899001126</v>
      </c>
      <c r="C5685" s="1" t="s">
        <v>16</v>
      </c>
      <c r="D5685" s="1" t="s">
        <v>12</v>
      </c>
      <c r="E5685" s="1" t="s">
        <v>17</v>
      </c>
      <c r="F5685">
        <v>2.8</v>
      </c>
      <c r="G5685">
        <v>2</v>
      </c>
      <c r="H5685" s="1" t="s">
        <v>14</v>
      </c>
      <c r="I5685" s="1" t="s">
        <v>15</v>
      </c>
      <c r="J5685" s="12">
        <v>46010</v>
      </c>
      <c r="K5685">
        <v>0</v>
      </c>
      <c r="L5685" s="1">
        <f t="shared" si="352"/>
        <v>5.6</v>
      </c>
      <c r="M5685" s="1" t="str">
        <f t="shared" si="353"/>
        <v/>
      </c>
      <c r="N5685" s="2">
        <f t="shared" si="354"/>
        <v>45992</v>
      </c>
      <c r="O5685" t="str">
        <f t="shared" si="355"/>
        <v>pes</v>
      </c>
    </row>
    <row r="5686" spans="1:15" x14ac:dyDescent="0.25">
      <c r="A5686">
        <v>13145</v>
      </c>
      <c r="B5686" s="11">
        <v>4040123456795</v>
      </c>
      <c r="C5686" s="1" t="s">
        <v>20</v>
      </c>
      <c r="D5686" s="1" t="s">
        <v>21</v>
      </c>
      <c r="E5686" s="1" t="s">
        <v>22</v>
      </c>
      <c r="F5686">
        <v>8.8000000000000007</v>
      </c>
      <c r="G5686">
        <v>1</v>
      </c>
      <c r="H5686" s="1" t="s">
        <v>18</v>
      </c>
      <c r="I5686" s="1" t="s">
        <v>1316</v>
      </c>
      <c r="J5686" s="12">
        <v>46010</v>
      </c>
      <c r="K5686">
        <v>0</v>
      </c>
      <c r="L5686" s="1">
        <f t="shared" si="352"/>
        <v>8.8000000000000007</v>
      </c>
      <c r="M5686" s="1">
        <f t="shared" si="353"/>
        <v>4</v>
      </c>
      <c r="N5686" s="2">
        <f t="shared" si="354"/>
        <v>45992</v>
      </c>
      <c r="O5686" t="str">
        <f t="shared" si="355"/>
        <v>pes</v>
      </c>
    </row>
    <row r="5687" spans="1:15" x14ac:dyDescent="0.25">
      <c r="A5687">
        <v>13146</v>
      </c>
      <c r="B5687" s="11">
        <v>4027788990013</v>
      </c>
      <c r="C5687" s="1" t="s">
        <v>43</v>
      </c>
      <c r="D5687" s="1" t="s">
        <v>21</v>
      </c>
      <c r="E5687" s="1" t="s">
        <v>22</v>
      </c>
      <c r="F5687">
        <v>8</v>
      </c>
      <c r="G5687">
        <v>1</v>
      </c>
      <c r="H5687" s="1" t="s">
        <v>14</v>
      </c>
      <c r="I5687" s="1" t="s">
        <v>15</v>
      </c>
      <c r="J5687" s="12">
        <v>46010</v>
      </c>
      <c r="K5687">
        <v>0</v>
      </c>
      <c r="L5687" s="1">
        <f t="shared" si="352"/>
        <v>8</v>
      </c>
      <c r="M5687" s="1" t="str">
        <f t="shared" si="353"/>
        <v/>
      </c>
      <c r="N5687" s="2">
        <f t="shared" si="354"/>
        <v>45992</v>
      </c>
      <c r="O5687" t="str">
        <f t="shared" si="355"/>
        <v>pes</v>
      </c>
    </row>
    <row r="5688" spans="1:15" x14ac:dyDescent="0.25">
      <c r="A5688">
        <v>13147</v>
      </c>
      <c r="B5688" s="11">
        <v>4013456789017</v>
      </c>
      <c r="C5688" s="1" t="s">
        <v>11</v>
      </c>
      <c r="D5688" s="1" t="s">
        <v>12</v>
      </c>
      <c r="E5688" s="1" t="s">
        <v>13</v>
      </c>
      <c r="F5688">
        <v>6</v>
      </c>
      <c r="G5688">
        <v>1</v>
      </c>
      <c r="H5688" s="1" t="s">
        <v>14</v>
      </c>
      <c r="I5688" s="1" t="s">
        <v>15</v>
      </c>
      <c r="J5688" s="12">
        <v>46010</v>
      </c>
      <c r="K5688">
        <v>0</v>
      </c>
      <c r="L5688" s="1">
        <f t="shared" si="352"/>
        <v>6</v>
      </c>
      <c r="M5688" s="1" t="str">
        <f t="shared" si="353"/>
        <v/>
      </c>
      <c r="N5688" s="2">
        <f t="shared" si="354"/>
        <v>45992</v>
      </c>
      <c r="O5688" t="str">
        <f t="shared" si="355"/>
        <v>pes</v>
      </c>
    </row>
    <row r="5689" spans="1:15" hidden="1" x14ac:dyDescent="0.25">
      <c r="A5689">
        <v>13148</v>
      </c>
      <c r="B5689" s="11">
        <v>4042233445567</v>
      </c>
      <c r="C5689" s="1" t="s">
        <v>637</v>
      </c>
      <c r="D5689" s="1" t="s">
        <v>140</v>
      </c>
      <c r="E5689" s="1" t="s">
        <v>141</v>
      </c>
      <c r="F5689">
        <v>51.64</v>
      </c>
      <c r="G5689">
        <v>1</v>
      </c>
      <c r="H5689" s="1" t="s">
        <v>14</v>
      </c>
      <c r="I5689" s="1" t="s">
        <v>15</v>
      </c>
      <c r="J5689" s="12">
        <v>46010</v>
      </c>
      <c r="K5689">
        <v>0</v>
      </c>
      <c r="L5689" s="1">
        <f t="shared" si="352"/>
        <v>51.64</v>
      </c>
      <c r="M5689" s="1" t="str">
        <f t="shared" si="353"/>
        <v/>
      </c>
      <c r="N5689" s="2">
        <f t="shared" si="354"/>
        <v>45992</v>
      </c>
      <c r="O5689" t="str">
        <f t="shared" si="355"/>
        <v>mačka</v>
      </c>
    </row>
    <row r="5690" spans="1:15" x14ac:dyDescent="0.25">
      <c r="A5690">
        <v>13149</v>
      </c>
      <c r="B5690" s="11">
        <v>4028899001126</v>
      </c>
      <c r="C5690" s="1" t="s">
        <v>16</v>
      </c>
      <c r="D5690" s="1" t="s">
        <v>12</v>
      </c>
      <c r="E5690" s="1" t="s">
        <v>17</v>
      </c>
      <c r="F5690">
        <v>2.8</v>
      </c>
      <c r="G5690">
        <v>2</v>
      </c>
      <c r="H5690" s="1" t="s">
        <v>14</v>
      </c>
      <c r="I5690" s="1" t="s">
        <v>15</v>
      </c>
      <c r="J5690" s="12">
        <v>46010</v>
      </c>
      <c r="K5690">
        <v>0</v>
      </c>
      <c r="L5690" s="1">
        <f t="shared" si="352"/>
        <v>5.6</v>
      </c>
      <c r="M5690" s="1" t="str">
        <f t="shared" si="353"/>
        <v/>
      </c>
      <c r="N5690" s="2">
        <f t="shared" si="354"/>
        <v>45992</v>
      </c>
      <c r="O5690" t="str">
        <f t="shared" si="355"/>
        <v>pes</v>
      </c>
    </row>
    <row r="5691" spans="1:15" hidden="1" x14ac:dyDescent="0.25">
      <c r="A5691">
        <v>13150</v>
      </c>
      <c r="B5691" s="11">
        <v>4067890123456</v>
      </c>
      <c r="C5691" s="1" t="s">
        <v>68</v>
      </c>
      <c r="D5691" s="1" t="s">
        <v>29</v>
      </c>
      <c r="E5691" s="1" t="s">
        <v>69</v>
      </c>
      <c r="F5691">
        <v>36</v>
      </c>
      <c r="G5691">
        <v>1</v>
      </c>
      <c r="H5691" s="1" t="s">
        <v>14</v>
      </c>
      <c r="I5691" s="1" t="s">
        <v>15</v>
      </c>
      <c r="J5691" s="12">
        <v>46010</v>
      </c>
      <c r="K5691">
        <v>0</v>
      </c>
      <c r="L5691" s="1">
        <f t="shared" si="352"/>
        <v>36</v>
      </c>
      <c r="M5691" s="1" t="str">
        <f t="shared" si="353"/>
        <v/>
      </c>
      <c r="N5691" s="2">
        <f t="shared" si="354"/>
        <v>45992</v>
      </c>
      <c r="O5691" t="str">
        <f t="shared" si="355"/>
        <v>mačka</v>
      </c>
    </row>
    <row r="5692" spans="1:15" x14ac:dyDescent="0.25">
      <c r="A5692">
        <v>13151</v>
      </c>
      <c r="B5692" s="11">
        <v>4003344556679</v>
      </c>
      <c r="C5692" s="1" t="s">
        <v>132</v>
      </c>
      <c r="D5692" s="1" t="s">
        <v>133</v>
      </c>
      <c r="E5692" s="1" t="s">
        <v>134</v>
      </c>
      <c r="F5692">
        <v>51.64</v>
      </c>
      <c r="G5692">
        <v>1</v>
      </c>
      <c r="H5692" s="1" t="s">
        <v>14</v>
      </c>
      <c r="I5692" s="1" t="s">
        <v>15</v>
      </c>
      <c r="J5692" s="12">
        <v>46010</v>
      </c>
      <c r="K5692">
        <v>0</v>
      </c>
      <c r="L5692" s="1">
        <f t="shared" si="352"/>
        <v>51.64</v>
      </c>
      <c r="M5692" s="1" t="str">
        <f t="shared" si="353"/>
        <v/>
      </c>
      <c r="N5692" s="2">
        <f t="shared" si="354"/>
        <v>45992</v>
      </c>
      <c r="O5692" t="str">
        <f t="shared" si="355"/>
        <v>pes</v>
      </c>
    </row>
    <row r="5693" spans="1:15" hidden="1" x14ac:dyDescent="0.25">
      <c r="A5693">
        <v>13152</v>
      </c>
      <c r="B5693" s="11">
        <v>4056789012345</v>
      </c>
      <c r="C5693" s="1" t="s">
        <v>47</v>
      </c>
      <c r="D5693" s="1" t="s">
        <v>29</v>
      </c>
      <c r="E5693" s="1" t="s">
        <v>37</v>
      </c>
      <c r="F5693">
        <v>2.4</v>
      </c>
      <c r="G5693">
        <v>2</v>
      </c>
      <c r="H5693" s="1" t="s">
        <v>14</v>
      </c>
      <c r="I5693" s="1" t="s">
        <v>15</v>
      </c>
      <c r="J5693" s="12">
        <v>46010</v>
      </c>
      <c r="K5693">
        <v>0</v>
      </c>
      <c r="L5693" s="1">
        <f t="shared" si="352"/>
        <v>4.8</v>
      </c>
      <c r="M5693" s="1" t="str">
        <f t="shared" si="353"/>
        <v/>
      </c>
      <c r="N5693" s="2">
        <f t="shared" si="354"/>
        <v>45992</v>
      </c>
      <c r="O5693" t="str">
        <f t="shared" si="355"/>
        <v>mačka</v>
      </c>
    </row>
    <row r="5694" spans="1:15" x14ac:dyDescent="0.25">
      <c r="A5694">
        <v>13153</v>
      </c>
      <c r="B5694" s="11">
        <v>4027788990013</v>
      </c>
      <c r="C5694" s="1" t="s">
        <v>43</v>
      </c>
      <c r="D5694" s="1" t="s">
        <v>21</v>
      </c>
      <c r="E5694" s="1" t="s">
        <v>22</v>
      </c>
      <c r="F5694">
        <v>8</v>
      </c>
      <c r="G5694">
        <v>1</v>
      </c>
      <c r="H5694" s="1" t="s">
        <v>14</v>
      </c>
      <c r="I5694" s="1" t="s">
        <v>15</v>
      </c>
      <c r="J5694" s="12">
        <v>46011</v>
      </c>
      <c r="K5694">
        <v>0</v>
      </c>
      <c r="L5694" s="1">
        <f t="shared" si="352"/>
        <v>8</v>
      </c>
      <c r="M5694" s="1" t="str">
        <f t="shared" si="353"/>
        <v/>
      </c>
      <c r="N5694" s="2">
        <f t="shared" si="354"/>
        <v>45992</v>
      </c>
      <c r="O5694" t="str">
        <f t="shared" si="355"/>
        <v>pes</v>
      </c>
    </row>
    <row r="5695" spans="1:15" x14ac:dyDescent="0.25">
      <c r="A5695">
        <v>13154</v>
      </c>
      <c r="B5695" s="11">
        <v>4022345678908</v>
      </c>
      <c r="C5695" s="1" t="s">
        <v>363</v>
      </c>
      <c r="D5695" s="1" t="s">
        <v>21</v>
      </c>
      <c r="E5695" s="1" t="s">
        <v>69</v>
      </c>
      <c r="F5695">
        <v>10</v>
      </c>
      <c r="G5695">
        <v>1</v>
      </c>
      <c r="H5695" s="1" t="s">
        <v>14</v>
      </c>
      <c r="I5695" s="1" t="s">
        <v>15</v>
      </c>
      <c r="J5695" s="12">
        <v>46011</v>
      </c>
      <c r="K5695">
        <v>0</v>
      </c>
      <c r="L5695" s="1">
        <f t="shared" si="352"/>
        <v>10</v>
      </c>
      <c r="M5695" s="1" t="str">
        <f t="shared" si="353"/>
        <v/>
      </c>
      <c r="N5695" s="2">
        <f t="shared" si="354"/>
        <v>45992</v>
      </c>
      <c r="O5695" t="str">
        <f t="shared" si="355"/>
        <v>pes</v>
      </c>
    </row>
    <row r="5696" spans="1:15" x14ac:dyDescent="0.25">
      <c r="A5696">
        <v>13155</v>
      </c>
      <c r="B5696" s="11">
        <v>4028899001126</v>
      </c>
      <c r="C5696" s="1" t="s">
        <v>16</v>
      </c>
      <c r="D5696" s="1" t="s">
        <v>12</v>
      </c>
      <c r="E5696" s="1" t="s">
        <v>17</v>
      </c>
      <c r="F5696">
        <v>2.8</v>
      </c>
      <c r="G5696">
        <v>3</v>
      </c>
      <c r="H5696" s="1" t="s">
        <v>14</v>
      </c>
      <c r="I5696" s="1" t="s">
        <v>15</v>
      </c>
      <c r="J5696" s="12">
        <v>46011</v>
      </c>
      <c r="K5696">
        <v>0</v>
      </c>
      <c r="L5696" s="1">
        <f t="shared" si="352"/>
        <v>8.3999999999999986</v>
      </c>
      <c r="M5696" s="1" t="str">
        <f t="shared" si="353"/>
        <v/>
      </c>
      <c r="N5696" s="2">
        <f t="shared" si="354"/>
        <v>45992</v>
      </c>
      <c r="O5696" t="str">
        <f t="shared" si="355"/>
        <v>pes</v>
      </c>
    </row>
    <row r="5697" spans="1:15" x14ac:dyDescent="0.25">
      <c r="A5697">
        <v>13156</v>
      </c>
      <c r="B5697" s="11">
        <v>4013456789017</v>
      </c>
      <c r="C5697" s="1" t="s">
        <v>11</v>
      </c>
      <c r="D5697" s="1" t="s">
        <v>12</v>
      </c>
      <c r="E5697" s="1" t="s">
        <v>13</v>
      </c>
      <c r="F5697">
        <v>6</v>
      </c>
      <c r="G5697">
        <v>1</v>
      </c>
      <c r="H5697" s="1" t="s">
        <v>18</v>
      </c>
      <c r="I5697" s="1" t="s">
        <v>1317</v>
      </c>
      <c r="J5697" s="12">
        <v>46011</v>
      </c>
      <c r="K5697">
        <v>0</v>
      </c>
      <c r="L5697" s="1">
        <f t="shared" si="352"/>
        <v>6</v>
      </c>
      <c r="M5697" s="1">
        <f t="shared" si="353"/>
        <v>4</v>
      </c>
      <c r="N5697" s="2">
        <f t="shared" si="354"/>
        <v>45992</v>
      </c>
      <c r="O5697" t="str">
        <f t="shared" si="355"/>
        <v>pes</v>
      </c>
    </row>
    <row r="5698" spans="1:15" hidden="1" x14ac:dyDescent="0.25">
      <c r="A5698">
        <v>13157</v>
      </c>
      <c r="B5698" s="11">
        <v>4056789012345</v>
      </c>
      <c r="C5698" s="1" t="s">
        <v>47</v>
      </c>
      <c r="D5698" s="1" t="s">
        <v>29</v>
      </c>
      <c r="E5698" s="1" t="s">
        <v>37</v>
      </c>
      <c r="F5698">
        <v>2.4</v>
      </c>
      <c r="G5698">
        <v>2</v>
      </c>
      <c r="H5698" s="1" t="s">
        <v>14</v>
      </c>
      <c r="I5698" s="1" t="s">
        <v>15</v>
      </c>
      <c r="J5698" s="12">
        <v>46011</v>
      </c>
      <c r="K5698">
        <v>0</v>
      </c>
      <c r="L5698" s="1">
        <f t="shared" ref="L5698:L5761" si="356">F5698*G5698</f>
        <v>4.8</v>
      </c>
      <c r="M5698" s="1" t="str">
        <f t="shared" ref="M5698:M5761" si="357">IF(H5698="NULL", "",VALUE(H5698))</f>
        <v/>
      </c>
      <c r="N5698" s="2">
        <f t="shared" ref="N5698:N5761" si="358">DATE(YEAR(J5698),MONTH(J5698),1)</f>
        <v>45992</v>
      </c>
      <c r="O5698" t="str">
        <f t="shared" ref="O5698:O5761" si="359">IF(ISNUMBER(SEARCH("Mačky",D5698)),"mačka",IF(ISNUMBER(SEARCH("Psy",D5698)),"pes","iné"))</f>
        <v>mačka</v>
      </c>
    </row>
    <row r="5699" spans="1:15" hidden="1" x14ac:dyDescent="0.25">
      <c r="A5699">
        <v>13158</v>
      </c>
      <c r="B5699" s="11">
        <v>4042233445567</v>
      </c>
      <c r="C5699" s="1" t="s">
        <v>637</v>
      </c>
      <c r="D5699" s="1" t="s">
        <v>140</v>
      </c>
      <c r="E5699" s="1" t="s">
        <v>141</v>
      </c>
      <c r="F5699">
        <v>51.64</v>
      </c>
      <c r="G5699">
        <v>1</v>
      </c>
      <c r="H5699" s="1" t="s">
        <v>14</v>
      </c>
      <c r="I5699" s="1" t="s">
        <v>15</v>
      </c>
      <c r="J5699" s="12">
        <v>46011</v>
      </c>
      <c r="K5699">
        <v>0</v>
      </c>
      <c r="L5699" s="1">
        <f t="shared" si="356"/>
        <v>51.64</v>
      </c>
      <c r="M5699" s="1" t="str">
        <f t="shared" si="357"/>
        <v/>
      </c>
      <c r="N5699" s="2">
        <f t="shared" si="358"/>
        <v>45992</v>
      </c>
      <c r="O5699" t="str">
        <f t="shared" si="359"/>
        <v>mačka</v>
      </c>
    </row>
    <row r="5700" spans="1:15" x14ac:dyDescent="0.25">
      <c r="A5700">
        <v>13159</v>
      </c>
      <c r="B5700" s="11">
        <v>4003344556679</v>
      </c>
      <c r="C5700" s="1" t="s">
        <v>132</v>
      </c>
      <c r="D5700" s="1" t="s">
        <v>133</v>
      </c>
      <c r="E5700" s="1" t="s">
        <v>134</v>
      </c>
      <c r="F5700">
        <v>51.64</v>
      </c>
      <c r="G5700">
        <v>1</v>
      </c>
      <c r="H5700" s="1" t="s">
        <v>14</v>
      </c>
      <c r="I5700" s="1" t="s">
        <v>15</v>
      </c>
      <c r="J5700" s="12">
        <v>46011</v>
      </c>
      <c r="K5700">
        <v>0</v>
      </c>
      <c r="L5700" s="1">
        <f t="shared" si="356"/>
        <v>51.64</v>
      </c>
      <c r="M5700" s="1" t="str">
        <f t="shared" si="357"/>
        <v/>
      </c>
      <c r="N5700" s="2">
        <f t="shared" si="358"/>
        <v>45992</v>
      </c>
      <c r="O5700" t="str">
        <f t="shared" si="359"/>
        <v>pes</v>
      </c>
    </row>
    <row r="5701" spans="1:15" x14ac:dyDescent="0.25">
      <c r="A5701">
        <v>13160</v>
      </c>
      <c r="B5701" s="11">
        <v>4028899001126</v>
      </c>
      <c r="C5701" s="1" t="s">
        <v>16</v>
      </c>
      <c r="D5701" s="1" t="s">
        <v>12</v>
      </c>
      <c r="E5701" s="1" t="s">
        <v>17</v>
      </c>
      <c r="F5701">
        <v>2.8</v>
      </c>
      <c r="G5701">
        <v>2</v>
      </c>
      <c r="H5701" s="1" t="s">
        <v>14</v>
      </c>
      <c r="I5701" s="1" t="s">
        <v>15</v>
      </c>
      <c r="J5701" s="12">
        <v>46011</v>
      </c>
      <c r="K5701">
        <v>0</v>
      </c>
      <c r="L5701" s="1">
        <f t="shared" si="356"/>
        <v>5.6</v>
      </c>
      <c r="M5701" s="1" t="str">
        <f t="shared" si="357"/>
        <v/>
      </c>
      <c r="N5701" s="2">
        <f t="shared" si="358"/>
        <v>45992</v>
      </c>
      <c r="O5701" t="str">
        <f t="shared" si="359"/>
        <v>pes</v>
      </c>
    </row>
    <row r="5702" spans="1:15" x14ac:dyDescent="0.25">
      <c r="A5702">
        <v>13161</v>
      </c>
      <c r="B5702" s="11">
        <v>4040123456795</v>
      </c>
      <c r="C5702" s="1" t="s">
        <v>20</v>
      </c>
      <c r="D5702" s="1" t="s">
        <v>21</v>
      </c>
      <c r="E5702" s="1" t="s">
        <v>22</v>
      </c>
      <c r="F5702">
        <v>8.8000000000000007</v>
      </c>
      <c r="G5702">
        <v>1</v>
      </c>
      <c r="H5702" s="1" t="s">
        <v>14</v>
      </c>
      <c r="I5702" s="1" t="s">
        <v>15</v>
      </c>
      <c r="J5702" s="12">
        <v>46011</v>
      </c>
      <c r="K5702">
        <v>0</v>
      </c>
      <c r="L5702" s="1">
        <f t="shared" si="356"/>
        <v>8.8000000000000007</v>
      </c>
      <c r="M5702" s="1" t="str">
        <f t="shared" si="357"/>
        <v/>
      </c>
      <c r="N5702" s="2">
        <f t="shared" si="358"/>
        <v>45992</v>
      </c>
      <c r="O5702" t="str">
        <f t="shared" si="359"/>
        <v>pes</v>
      </c>
    </row>
    <row r="5703" spans="1:15" x14ac:dyDescent="0.25">
      <c r="A5703">
        <v>13162</v>
      </c>
      <c r="B5703" s="11">
        <v>4017890123450</v>
      </c>
      <c r="C5703" s="1" t="s">
        <v>65</v>
      </c>
      <c r="D5703" s="1" t="s">
        <v>39</v>
      </c>
      <c r="E5703" s="1" t="s">
        <v>22</v>
      </c>
      <c r="F5703">
        <v>7.6</v>
      </c>
      <c r="G5703">
        <v>1</v>
      </c>
      <c r="H5703" s="1" t="s">
        <v>14</v>
      </c>
      <c r="I5703" s="1" t="s">
        <v>15</v>
      </c>
      <c r="J5703" s="12">
        <v>46011</v>
      </c>
      <c r="K5703">
        <v>0</v>
      </c>
      <c r="L5703" s="1">
        <f t="shared" si="356"/>
        <v>7.6</v>
      </c>
      <c r="M5703" s="1" t="str">
        <f t="shared" si="357"/>
        <v/>
      </c>
      <c r="N5703" s="2">
        <f t="shared" si="358"/>
        <v>45992</v>
      </c>
      <c r="O5703" t="str">
        <f t="shared" si="359"/>
        <v>pes</v>
      </c>
    </row>
    <row r="5704" spans="1:15" x14ac:dyDescent="0.25">
      <c r="A5704">
        <v>13163</v>
      </c>
      <c r="B5704" s="11">
        <v>4027788990013</v>
      </c>
      <c r="C5704" s="1" t="s">
        <v>43</v>
      </c>
      <c r="D5704" s="1" t="s">
        <v>21</v>
      </c>
      <c r="E5704" s="1" t="s">
        <v>22</v>
      </c>
      <c r="F5704">
        <v>8</v>
      </c>
      <c r="G5704">
        <v>1</v>
      </c>
      <c r="H5704" s="1" t="s">
        <v>14</v>
      </c>
      <c r="I5704" s="1" t="s">
        <v>15</v>
      </c>
      <c r="J5704" s="12">
        <v>46011</v>
      </c>
      <c r="K5704">
        <v>0</v>
      </c>
      <c r="L5704" s="1">
        <f t="shared" si="356"/>
        <v>8</v>
      </c>
      <c r="M5704" s="1" t="str">
        <f t="shared" si="357"/>
        <v/>
      </c>
      <c r="N5704" s="2">
        <f t="shared" si="358"/>
        <v>45992</v>
      </c>
      <c r="O5704" t="str">
        <f t="shared" si="359"/>
        <v>pes</v>
      </c>
    </row>
    <row r="5705" spans="1:15" hidden="1" x14ac:dyDescent="0.25">
      <c r="A5705">
        <v>13164</v>
      </c>
      <c r="B5705" s="11">
        <v>8593456789012</v>
      </c>
      <c r="C5705" s="1" t="s">
        <v>28</v>
      </c>
      <c r="D5705" s="1" t="s">
        <v>29</v>
      </c>
      <c r="E5705" s="1" t="s">
        <v>30</v>
      </c>
      <c r="F5705">
        <v>42</v>
      </c>
      <c r="G5705">
        <v>1</v>
      </c>
      <c r="H5705" s="1" t="s">
        <v>14</v>
      </c>
      <c r="I5705" s="1" t="s">
        <v>15</v>
      </c>
      <c r="J5705" s="12">
        <v>46011</v>
      </c>
      <c r="K5705">
        <v>0</v>
      </c>
      <c r="L5705" s="1">
        <f t="shared" si="356"/>
        <v>42</v>
      </c>
      <c r="M5705" s="1" t="str">
        <f t="shared" si="357"/>
        <v/>
      </c>
      <c r="N5705" s="2">
        <f t="shared" si="358"/>
        <v>45992</v>
      </c>
      <c r="O5705" t="str">
        <f t="shared" si="359"/>
        <v>mačka</v>
      </c>
    </row>
    <row r="5706" spans="1:15" hidden="1" x14ac:dyDescent="0.25">
      <c r="A5706">
        <v>13165</v>
      </c>
      <c r="B5706" s="11">
        <v>4042233445567</v>
      </c>
      <c r="C5706" s="1" t="s">
        <v>637</v>
      </c>
      <c r="D5706" s="1" t="s">
        <v>140</v>
      </c>
      <c r="E5706" s="1" t="s">
        <v>141</v>
      </c>
      <c r="F5706">
        <v>51.64</v>
      </c>
      <c r="G5706">
        <v>1</v>
      </c>
      <c r="H5706" s="1" t="s">
        <v>14</v>
      </c>
      <c r="I5706" s="1" t="s">
        <v>15</v>
      </c>
      <c r="J5706" s="12">
        <v>46011</v>
      </c>
      <c r="K5706">
        <v>0</v>
      </c>
      <c r="L5706" s="1">
        <f t="shared" si="356"/>
        <v>51.64</v>
      </c>
      <c r="M5706" s="1" t="str">
        <f t="shared" si="357"/>
        <v/>
      </c>
      <c r="N5706" s="2">
        <f t="shared" si="358"/>
        <v>45992</v>
      </c>
      <c r="O5706" t="str">
        <f t="shared" si="359"/>
        <v>mačka</v>
      </c>
    </row>
    <row r="5707" spans="1:15" x14ac:dyDescent="0.25">
      <c r="A5707">
        <v>13166</v>
      </c>
      <c r="B5707" s="11">
        <v>4028899001126</v>
      </c>
      <c r="C5707" s="1" t="s">
        <v>16</v>
      </c>
      <c r="D5707" s="1" t="s">
        <v>12</v>
      </c>
      <c r="E5707" s="1" t="s">
        <v>17</v>
      </c>
      <c r="F5707">
        <v>2.8</v>
      </c>
      <c r="G5707">
        <v>3</v>
      </c>
      <c r="H5707" s="1" t="s">
        <v>14</v>
      </c>
      <c r="I5707" s="1" t="s">
        <v>15</v>
      </c>
      <c r="J5707" s="12">
        <v>46011</v>
      </c>
      <c r="K5707">
        <v>0</v>
      </c>
      <c r="L5707" s="1">
        <f t="shared" si="356"/>
        <v>8.3999999999999986</v>
      </c>
      <c r="M5707" s="1" t="str">
        <f t="shared" si="357"/>
        <v/>
      </c>
      <c r="N5707" s="2">
        <f t="shared" si="358"/>
        <v>45992</v>
      </c>
      <c r="O5707" t="str">
        <f t="shared" si="359"/>
        <v>pes</v>
      </c>
    </row>
    <row r="5708" spans="1:15" x14ac:dyDescent="0.25">
      <c r="A5708">
        <v>13167</v>
      </c>
      <c r="B5708" s="11">
        <v>4013456789017</v>
      </c>
      <c r="C5708" s="1" t="s">
        <v>11</v>
      </c>
      <c r="D5708" s="1" t="s">
        <v>12</v>
      </c>
      <c r="E5708" s="1" t="s">
        <v>13</v>
      </c>
      <c r="F5708">
        <v>6</v>
      </c>
      <c r="G5708">
        <v>1</v>
      </c>
      <c r="H5708" s="1" t="s">
        <v>23</v>
      </c>
      <c r="I5708" s="1" t="s">
        <v>1318</v>
      </c>
      <c r="J5708" s="12">
        <v>46011</v>
      </c>
      <c r="K5708">
        <v>0</v>
      </c>
      <c r="L5708" s="1">
        <f t="shared" si="356"/>
        <v>6</v>
      </c>
      <c r="M5708" s="1">
        <f t="shared" si="357"/>
        <v>5</v>
      </c>
      <c r="N5708" s="2">
        <f t="shared" si="358"/>
        <v>45992</v>
      </c>
      <c r="O5708" t="str">
        <f t="shared" si="359"/>
        <v>pes</v>
      </c>
    </row>
    <row r="5709" spans="1:15" x14ac:dyDescent="0.25">
      <c r="A5709">
        <v>13168</v>
      </c>
      <c r="B5709" s="11">
        <v>4027788990013</v>
      </c>
      <c r="C5709" s="1" t="s">
        <v>43</v>
      </c>
      <c r="D5709" s="1" t="s">
        <v>21</v>
      </c>
      <c r="E5709" s="1" t="s">
        <v>22</v>
      </c>
      <c r="F5709">
        <v>8</v>
      </c>
      <c r="G5709">
        <v>1</v>
      </c>
      <c r="H5709" s="1" t="s">
        <v>14</v>
      </c>
      <c r="I5709" s="1" t="s">
        <v>15</v>
      </c>
      <c r="J5709" s="12">
        <v>46011</v>
      </c>
      <c r="K5709">
        <v>0</v>
      </c>
      <c r="L5709" s="1">
        <f t="shared" si="356"/>
        <v>8</v>
      </c>
      <c r="M5709" s="1" t="str">
        <f t="shared" si="357"/>
        <v/>
      </c>
      <c r="N5709" s="2">
        <f t="shared" si="358"/>
        <v>45992</v>
      </c>
      <c r="O5709" t="str">
        <f t="shared" si="359"/>
        <v>pes</v>
      </c>
    </row>
    <row r="5710" spans="1:15" x14ac:dyDescent="0.25">
      <c r="A5710">
        <v>13169</v>
      </c>
      <c r="B5710" s="11">
        <v>4040123456795</v>
      </c>
      <c r="C5710" s="1" t="s">
        <v>20</v>
      </c>
      <c r="D5710" s="1" t="s">
        <v>21</v>
      </c>
      <c r="E5710" s="1" t="s">
        <v>22</v>
      </c>
      <c r="F5710">
        <v>8.8000000000000007</v>
      </c>
      <c r="G5710">
        <v>1</v>
      </c>
      <c r="H5710" s="1" t="s">
        <v>14</v>
      </c>
      <c r="I5710" s="1" t="s">
        <v>15</v>
      </c>
      <c r="J5710" s="12">
        <v>46011</v>
      </c>
      <c r="K5710">
        <v>0</v>
      </c>
      <c r="L5710" s="1">
        <f t="shared" si="356"/>
        <v>8.8000000000000007</v>
      </c>
      <c r="M5710" s="1" t="str">
        <f t="shared" si="357"/>
        <v/>
      </c>
      <c r="N5710" s="2">
        <f t="shared" si="358"/>
        <v>45992</v>
      </c>
      <c r="O5710" t="str">
        <f t="shared" si="359"/>
        <v>pes</v>
      </c>
    </row>
    <row r="5711" spans="1:15" x14ac:dyDescent="0.25">
      <c r="A5711">
        <v>13170</v>
      </c>
      <c r="B5711" s="11">
        <v>4028899001126</v>
      </c>
      <c r="C5711" s="1" t="s">
        <v>16</v>
      </c>
      <c r="D5711" s="1" t="s">
        <v>12</v>
      </c>
      <c r="E5711" s="1" t="s">
        <v>17</v>
      </c>
      <c r="F5711">
        <v>2.8</v>
      </c>
      <c r="G5711">
        <v>2</v>
      </c>
      <c r="H5711" s="1" t="s">
        <v>14</v>
      </c>
      <c r="I5711" s="1" t="s">
        <v>15</v>
      </c>
      <c r="J5711" s="12">
        <v>46011</v>
      </c>
      <c r="K5711">
        <v>0</v>
      </c>
      <c r="L5711" s="1">
        <f t="shared" si="356"/>
        <v>5.6</v>
      </c>
      <c r="M5711" s="1" t="str">
        <f t="shared" si="357"/>
        <v/>
      </c>
      <c r="N5711" s="2">
        <f t="shared" si="358"/>
        <v>45992</v>
      </c>
      <c r="O5711" t="str">
        <f t="shared" si="359"/>
        <v>pes</v>
      </c>
    </row>
    <row r="5712" spans="1:15" x14ac:dyDescent="0.25">
      <c r="A5712">
        <v>13171</v>
      </c>
      <c r="B5712" s="11">
        <v>4003344556679</v>
      </c>
      <c r="C5712" s="1" t="s">
        <v>132</v>
      </c>
      <c r="D5712" s="1" t="s">
        <v>133</v>
      </c>
      <c r="E5712" s="1" t="s">
        <v>134</v>
      </c>
      <c r="F5712">
        <v>51.64</v>
      </c>
      <c r="G5712">
        <v>1</v>
      </c>
      <c r="H5712" s="1" t="s">
        <v>14</v>
      </c>
      <c r="I5712" s="1" t="s">
        <v>15</v>
      </c>
      <c r="J5712" s="12">
        <v>46011</v>
      </c>
      <c r="K5712">
        <v>0</v>
      </c>
      <c r="L5712" s="1">
        <f t="shared" si="356"/>
        <v>51.64</v>
      </c>
      <c r="M5712" s="1" t="str">
        <f t="shared" si="357"/>
        <v/>
      </c>
      <c r="N5712" s="2">
        <f t="shared" si="358"/>
        <v>45992</v>
      </c>
      <c r="O5712" t="str">
        <f t="shared" si="359"/>
        <v>pes</v>
      </c>
    </row>
    <row r="5713" spans="1:15" hidden="1" x14ac:dyDescent="0.25">
      <c r="A5713">
        <v>13172</v>
      </c>
      <c r="B5713" s="11">
        <v>4056789012345</v>
      </c>
      <c r="C5713" s="1" t="s">
        <v>47</v>
      </c>
      <c r="D5713" s="1" t="s">
        <v>29</v>
      </c>
      <c r="E5713" s="1" t="s">
        <v>37</v>
      </c>
      <c r="F5713">
        <v>2.4</v>
      </c>
      <c r="G5713">
        <v>3</v>
      </c>
      <c r="H5713" s="1" t="s">
        <v>14</v>
      </c>
      <c r="I5713" s="1" t="s">
        <v>15</v>
      </c>
      <c r="J5713" s="12">
        <v>46011</v>
      </c>
      <c r="K5713">
        <v>0</v>
      </c>
      <c r="L5713" s="1">
        <f t="shared" si="356"/>
        <v>7.1999999999999993</v>
      </c>
      <c r="M5713" s="1" t="str">
        <f t="shared" si="357"/>
        <v/>
      </c>
      <c r="N5713" s="2">
        <f t="shared" si="358"/>
        <v>45992</v>
      </c>
      <c r="O5713" t="str">
        <f t="shared" si="359"/>
        <v>mačka</v>
      </c>
    </row>
    <row r="5714" spans="1:15" x14ac:dyDescent="0.25">
      <c r="A5714">
        <v>13173</v>
      </c>
      <c r="B5714" s="11">
        <v>4022345678908</v>
      </c>
      <c r="C5714" s="1" t="s">
        <v>363</v>
      </c>
      <c r="D5714" s="1" t="s">
        <v>21</v>
      </c>
      <c r="E5714" s="1" t="s">
        <v>69</v>
      </c>
      <c r="F5714">
        <v>10</v>
      </c>
      <c r="G5714">
        <v>1</v>
      </c>
      <c r="H5714" s="1" t="s">
        <v>14</v>
      </c>
      <c r="I5714" s="1" t="s">
        <v>15</v>
      </c>
      <c r="J5714" s="12">
        <v>46011</v>
      </c>
      <c r="K5714">
        <v>0</v>
      </c>
      <c r="L5714" s="1">
        <f t="shared" si="356"/>
        <v>10</v>
      </c>
      <c r="M5714" s="1" t="str">
        <f t="shared" si="357"/>
        <v/>
      </c>
      <c r="N5714" s="2">
        <f t="shared" si="358"/>
        <v>45992</v>
      </c>
      <c r="O5714" t="str">
        <f t="shared" si="359"/>
        <v>pes</v>
      </c>
    </row>
    <row r="5715" spans="1:15" hidden="1" x14ac:dyDescent="0.25">
      <c r="A5715">
        <v>13174</v>
      </c>
      <c r="B5715" s="11">
        <v>4010123456783</v>
      </c>
      <c r="C5715" s="1" t="s">
        <v>35</v>
      </c>
      <c r="D5715" s="1" t="s">
        <v>36</v>
      </c>
      <c r="E5715" s="1" t="s">
        <v>37</v>
      </c>
      <c r="F5715">
        <v>14</v>
      </c>
      <c r="G5715">
        <v>1</v>
      </c>
      <c r="H5715" s="1" t="s">
        <v>14</v>
      </c>
      <c r="I5715" s="1" t="s">
        <v>15</v>
      </c>
      <c r="J5715" s="12">
        <v>46011</v>
      </c>
      <c r="K5715">
        <v>0</v>
      </c>
      <c r="L5715" s="1">
        <f t="shared" si="356"/>
        <v>14</v>
      </c>
      <c r="M5715" s="1" t="str">
        <f t="shared" si="357"/>
        <v/>
      </c>
      <c r="N5715" s="2">
        <f t="shared" si="358"/>
        <v>45992</v>
      </c>
      <c r="O5715" t="str">
        <f t="shared" si="359"/>
        <v>mačka</v>
      </c>
    </row>
    <row r="5716" spans="1:15" x14ac:dyDescent="0.25">
      <c r="A5716">
        <v>13175</v>
      </c>
      <c r="B5716" s="11">
        <v>4028899001126</v>
      </c>
      <c r="C5716" s="1" t="s">
        <v>16</v>
      </c>
      <c r="D5716" s="1" t="s">
        <v>12</v>
      </c>
      <c r="E5716" s="1" t="s">
        <v>17</v>
      </c>
      <c r="F5716">
        <v>2.8</v>
      </c>
      <c r="G5716">
        <v>2</v>
      </c>
      <c r="H5716" s="1" t="s">
        <v>14</v>
      </c>
      <c r="I5716" s="1" t="s">
        <v>15</v>
      </c>
      <c r="J5716" s="12">
        <v>46012</v>
      </c>
      <c r="K5716">
        <v>0</v>
      </c>
      <c r="L5716" s="1">
        <f t="shared" si="356"/>
        <v>5.6</v>
      </c>
      <c r="M5716" s="1" t="str">
        <f t="shared" si="357"/>
        <v/>
      </c>
      <c r="N5716" s="2">
        <f t="shared" si="358"/>
        <v>45992</v>
      </c>
      <c r="O5716" t="str">
        <f t="shared" si="359"/>
        <v>pes</v>
      </c>
    </row>
    <row r="5717" spans="1:15" x14ac:dyDescent="0.25">
      <c r="A5717">
        <v>13176</v>
      </c>
      <c r="B5717" s="11">
        <v>4013456789017</v>
      </c>
      <c r="C5717" s="1" t="s">
        <v>11</v>
      </c>
      <c r="D5717" s="1" t="s">
        <v>12</v>
      </c>
      <c r="E5717" s="1" t="s">
        <v>13</v>
      </c>
      <c r="F5717">
        <v>6</v>
      </c>
      <c r="G5717">
        <v>1</v>
      </c>
      <c r="H5717" s="1" t="s">
        <v>14</v>
      </c>
      <c r="I5717" s="1" t="s">
        <v>15</v>
      </c>
      <c r="J5717" s="12">
        <v>46012</v>
      </c>
      <c r="K5717">
        <v>0</v>
      </c>
      <c r="L5717" s="1">
        <f t="shared" si="356"/>
        <v>6</v>
      </c>
      <c r="M5717" s="1" t="str">
        <f t="shared" si="357"/>
        <v/>
      </c>
      <c r="N5717" s="2">
        <f t="shared" si="358"/>
        <v>45992</v>
      </c>
      <c r="O5717" t="str">
        <f t="shared" si="359"/>
        <v>pes</v>
      </c>
    </row>
    <row r="5718" spans="1:15" hidden="1" x14ac:dyDescent="0.25">
      <c r="A5718">
        <v>13177</v>
      </c>
      <c r="B5718" s="11">
        <v>4042233445567</v>
      </c>
      <c r="C5718" s="1" t="s">
        <v>637</v>
      </c>
      <c r="D5718" s="1" t="s">
        <v>140</v>
      </c>
      <c r="E5718" s="1" t="s">
        <v>141</v>
      </c>
      <c r="F5718">
        <v>51.64</v>
      </c>
      <c r="G5718">
        <v>1</v>
      </c>
      <c r="H5718" s="1" t="s">
        <v>14</v>
      </c>
      <c r="I5718" s="1" t="s">
        <v>15</v>
      </c>
      <c r="J5718" s="12">
        <v>46012</v>
      </c>
      <c r="K5718">
        <v>0</v>
      </c>
      <c r="L5718" s="1">
        <f t="shared" si="356"/>
        <v>51.64</v>
      </c>
      <c r="M5718" s="1" t="str">
        <f t="shared" si="357"/>
        <v/>
      </c>
      <c r="N5718" s="2">
        <f t="shared" si="358"/>
        <v>45992</v>
      </c>
      <c r="O5718" t="str">
        <f t="shared" si="359"/>
        <v>mačka</v>
      </c>
    </row>
    <row r="5719" spans="1:15" x14ac:dyDescent="0.25">
      <c r="A5719">
        <v>13178</v>
      </c>
      <c r="B5719" s="11">
        <v>4027788990013</v>
      </c>
      <c r="C5719" s="1" t="s">
        <v>43</v>
      </c>
      <c r="D5719" s="1" t="s">
        <v>21</v>
      </c>
      <c r="E5719" s="1" t="s">
        <v>22</v>
      </c>
      <c r="F5719">
        <v>8</v>
      </c>
      <c r="G5719">
        <v>1</v>
      </c>
      <c r="H5719" s="1" t="s">
        <v>14</v>
      </c>
      <c r="I5719" s="1" t="s">
        <v>15</v>
      </c>
      <c r="J5719" s="12">
        <v>46012</v>
      </c>
      <c r="K5719">
        <v>0</v>
      </c>
      <c r="L5719" s="1">
        <f t="shared" si="356"/>
        <v>8</v>
      </c>
      <c r="M5719" s="1" t="str">
        <f t="shared" si="357"/>
        <v/>
      </c>
      <c r="N5719" s="2">
        <f t="shared" si="358"/>
        <v>45992</v>
      </c>
      <c r="O5719" t="str">
        <f t="shared" si="359"/>
        <v>pes</v>
      </c>
    </row>
    <row r="5720" spans="1:15" x14ac:dyDescent="0.25">
      <c r="A5720">
        <v>13179</v>
      </c>
      <c r="B5720" s="11">
        <v>4003344556679</v>
      </c>
      <c r="C5720" s="1" t="s">
        <v>132</v>
      </c>
      <c r="D5720" s="1" t="s">
        <v>133</v>
      </c>
      <c r="E5720" s="1" t="s">
        <v>134</v>
      </c>
      <c r="F5720">
        <v>51.64</v>
      </c>
      <c r="G5720">
        <v>1</v>
      </c>
      <c r="H5720" s="1" t="s">
        <v>18</v>
      </c>
      <c r="I5720" s="1" t="s">
        <v>1319</v>
      </c>
      <c r="J5720" s="12">
        <v>46012</v>
      </c>
      <c r="K5720">
        <v>0</v>
      </c>
      <c r="L5720" s="1">
        <f t="shared" si="356"/>
        <v>51.64</v>
      </c>
      <c r="M5720" s="1">
        <f t="shared" si="357"/>
        <v>4</v>
      </c>
      <c r="N5720" s="2">
        <f t="shared" si="358"/>
        <v>45992</v>
      </c>
      <c r="O5720" t="str">
        <f t="shared" si="359"/>
        <v>pes</v>
      </c>
    </row>
    <row r="5721" spans="1:15" x14ac:dyDescent="0.25">
      <c r="A5721">
        <v>13180</v>
      </c>
      <c r="B5721" s="11">
        <v>4022345678908</v>
      </c>
      <c r="C5721" s="1" t="s">
        <v>363</v>
      </c>
      <c r="D5721" s="1" t="s">
        <v>21</v>
      </c>
      <c r="E5721" s="1" t="s">
        <v>69</v>
      </c>
      <c r="F5721">
        <v>10</v>
      </c>
      <c r="G5721">
        <v>1</v>
      </c>
      <c r="H5721" s="1" t="s">
        <v>14</v>
      </c>
      <c r="I5721" s="1" t="s">
        <v>15</v>
      </c>
      <c r="J5721" s="12">
        <v>46012</v>
      </c>
      <c r="K5721">
        <v>0</v>
      </c>
      <c r="L5721" s="1">
        <f t="shared" si="356"/>
        <v>10</v>
      </c>
      <c r="M5721" s="1" t="str">
        <f t="shared" si="357"/>
        <v/>
      </c>
      <c r="N5721" s="2">
        <f t="shared" si="358"/>
        <v>45992</v>
      </c>
      <c r="O5721" t="str">
        <f t="shared" si="359"/>
        <v>pes</v>
      </c>
    </row>
    <row r="5722" spans="1:15" x14ac:dyDescent="0.25">
      <c r="A5722">
        <v>13181</v>
      </c>
      <c r="B5722" s="11">
        <v>4017890123450</v>
      </c>
      <c r="C5722" s="1" t="s">
        <v>65</v>
      </c>
      <c r="D5722" s="1" t="s">
        <v>39</v>
      </c>
      <c r="E5722" s="1" t="s">
        <v>22</v>
      </c>
      <c r="F5722">
        <v>7.6</v>
      </c>
      <c r="G5722">
        <v>2</v>
      </c>
      <c r="H5722" s="1" t="s">
        <v>14</v>
      </c>
      <c r="I5722" s="1" t="s">
        <v>15</v>
      </c>
      <c r="J5722" s="12">
        <v>46012</v>
      </c>
      <c r="K5722">
        <v>0</v>
      </c>
      <c r="L5722" s="1">
        <f t="shared" si="356"/>
        <v>15.2</v>
      </c>
      <c r="M5722" s="1" t="str">
        <f t="shared" si="357"/>
        <v/>
      </c>
      <c r="N5722" s="2">
        <f t="shared" si="358"/>
        <v>45992</v>
      </c>
      <c r="O5722" t="str">
        <f t="shared" si="359"/>
        <v>pes</v>
      </c>
    </row>
    <row r="5723" spans="1:15" hidden="1" x14ac:dyDescent="0.25">
      <c r="A5723">
        <v>13182</v>
      </c>
      <c r="B5723" s="11">
        <v>4056789012345</v>
      </c>
      <c r="C5723" s="1" t="s">
        <v>47</v>
      </c>
      <c r="D5723" s="1" t="s">
        <v>29</v>
      </c>
      <c r="E5723" s="1" t="s">
        <v>37</v>
      </c>
      <c r="F5723">
        <v>2.4</v>
      </c>
      <c r="G5723">
        <v>2</v>
      </c>
      <c r="H5723" s="1" t="s">
        <v>14</v>
      </c>
      <c r="I5723" s="1" t="s">
        <v>15</v>
      </c>
      <c r="J5723" s="12">
        <v>46012</v>
      </c>
      <c r="K5723">
        <v>0</v>
      </c>
      <c r="L5723" s="1">
        <f t="shared" si="356"/>
        <v>4.8</v>
      </c>
      <c r="M5723" s="1" t="str">
        <f t="shared" si="357"/>
        <v/>
      </c>
      <c r="N5723" s="2">
        <f t="shared" si="358"/>
        <v>45992</v>
      </c>
      <c r="O5723" t="str">
        <f t="shared" si="359"/>
        <v>mačka</v>
      </c>
    </row>
    <row r="5724" spans="1:15" hidden="1" x14ac:dyDescent="0.25">
      <c r="A5724">
        <v>13183</v>
      </c>
      <c r="B5724" s="11">
        <v>8593456789012</v>
      </c>
      <c r="C5724" s="1" t="s">
        <v>28</v>
      </c>
      <c r="D5724" s="1" t="s">
        <v>29</v>
      </c>
      <c r="E5724" s="1" t="s">
        <v>30</v>
      </c>
      <c r="F5724">
        <v>42</v>
      </c>
      <c r="G5724">
        <v>1</v>
      </c>
      <c r="H5724" s="1" t="s">
        <v>14</v>
      </c>
      <c r="I5724" s="1" t="s">
        <v>15</v>
      </c>
      <c r="J5724" s="12">
        <v>46012</v>
      </c>
      <c r="K5724">
        <v>0</v>
      </c>
      <c r="L5724" s="1">
        <f t="shared" si="356"/>
        <v>42</v>
      </c>
      <c r="M5724" s="1" t="str">
        <f t="shared" si="357"/>
        <v/>
      </c>
      <c r="N5724" s="2">
        <f t="shared" si="358"/>
        <v>45992</v>
      </c>
      <c r="O5724" t="str">
        <f t="shared" si="359"/>
        <v>mačka</v>
      </c>
    </row>
    <row r="5725" spans="1:15" x14ac:dyDescent="0.25">
      <c r="A5725">
        <v>13184</v>
      </c>
      <c r="B5725" s="11">
        <v>4028899001126</v>
      </c>
      <c r="C5725" s="1" t="s">
        <v>16</v>
      </c>
      <c r="D5725" s="1" t="s">
        <v>12</v>
      </c>
      <c r="E5725" s="1" t="s">
        <v>17</v>
      </c>
      <c r="F5725">
        <v>2.8</v>
      </c>
      <c r="G5725">
        <v>3</v>
      </c>
      <c r="H5725" s="1" t="s">
        <v>14</v>
      </c>
      <c r="I5725" s="1" t="s">
        <v>15</v>
      </c>
      <c r="J5725" s="12">
        <v>46012</v>
      </c>
      <c r="K5725">
        <v>0</v>
      </c>
      <c r="L5725" s="1">
        <f t="shared" si="356"/>
        <v>8.3999999999999986</v>
      </c>
      <c r="M5725" s="1" t="str">
        <f t="shared" si="357"/>
        <v/>
      </c>
      <c r="N5725" s="2">
        <f t="shared" si="358"/>
        <v>45992</v>
      </c>
      <c r="O5725" t="str">
        <f t="shared" si="359"/>
        <v>pes</v>
      </c>
    </row>
    <row r="5726" spans="1:15" x14ac:dyDescent="0.25">
      <c r="A5726">
        <v>13185</v>
      </c>
      <c r="B5726" s="11">
        <v>4040123456795</v>
      </c>
      <c r="C5726" s="1" t="s">
        <v>20</v>
      </c>
      <c r="D5726" s="1" t="s">
        <v>21</v>
      </c>
      <c r="E5726" s="1" t="s">
        <v>22</v>
      </c>
      <c r="F5726">
        <v>8.8000000000000007</v>
      </c>
      <c r="G5726">
        <v>1</v>
      </c>
      <c r="H5726" s="1" t="s">
        <v>14</v>
      </c>
      <c r="I5726" s="1" t="s">
        <v>15</v>
      </c>
      <c r="J5726" s="12">
        <v>46012</v>
      </c>
      <c r="K5726">
        <v>0</v>
      </c>
      <c r="L5726" s="1">
        <f t="shared" si="356"/>
        <v>8.8000000000000007</v>
      </c>
      <c r="M5726" s="1" t="str">
        <f t="shared" si="357"/>
        <v/>
      </c>
      <c r="N5726" s="2">
        <f t="shared" si="358"/>
        <v>45992</v>
      </c>
      <c r="O5726" t="str">
        <f t="shared" si="359"/>
        <v>pes</v>
      </c>
    </row>
    <row r="5727" spans="1:15" x14ac:dyDescent="0.25">
      <c r="A5727">
        <v>13186</v>
      </c>
      <c r="B5727" s="11">
        <v>4027788990013</v>
      </c>
      <c r="C5727" s="1" t="s">
        <v>43</v>
      </c>
      <c r="D5727" s="1" t="s">
        <v>21</v>
      </c>
      <c r="E5727" s="1" t="s">
        <v>22</v>
      </c>
      <c r="F5727">
        <v>8</v>
      </c>
      <c r="G5727">
        <v>1</v>
      </c>
      <c r="H5727" s="1" t="s">
        <v>14</v>
      </c>
      <c r="I5727" s="1" t="s">
        <v>15</v>
      </c>
      <c r="J5727" s="12">
        <v>46012</v>
      </c>
      <c r="K5727">
        <v>0</v>
      </c>
      <c r="L5727" s="1">
        <f t="shared" si="356"/>
        <v>8</v>
      </c>
      <c r="M5727" s="1" t="str">
        <f t="shared" si="357"/>
        <v/>
      </c>
      <c r="N5727" s="2">
        <f t="shared" si="358"/>
        <v>45992</v>
      </c>
      <c r="O5727" t="str">
        <f t="shared" si="359"/>
        <v>pes</v>
      </c>
    </row>
    <row r="5728" spans="1:15" x14ac:dyDescent="0.25">
      <c r="A5728">
        <v>13187</v>
      </c>
      <c r="B5728" s="11">
        <v>4013456789017</v>
      </c>
      <c r="C5728" s="1" t="s">
        <v>11</v>
      </c>
      <c r="D5728" s="1" t="s">
        <v>12</v>
      </c>
      <c r="E5728" s="1" t="s">
        <v>13</v>
      </c>
      <c r="F5728">
        <v>6</v>
      </c>
      <c r="G5728">
        <v>1</v>
      </c>
      <c r="H5728" s="1" t="s">
        <v>33</v>
      </c>
      <c r="I5728" s="1" t="s">
        <v>1320</v>
      </c>
      <c r="J5728" s="12">
        <v>46012</v>
      </c>
      <c r="K5728">
        <v>0</v>
      </c>
      <c r="L5728" s="1">
        <f t="shared" si="356"/>
        <v>6</v>
      </c>
      <c r="M5728" s="1">
        <f t="shared" si="357"/>
        <v>3</v>
      </c>
      <c r="N5728" s="2">
        <f t="shared" si="358"/>
        <v>45992</v>
      </c>
      <c r="O5728" t="str">
        <f t="shared" si="359"/>
        <v>pes</v>
      </c>
    </row>
    <row r="5729" spans="1:15" hidden="1" x14ac:dyDescent="0.25">
      <c r="A5729">
        <v>13188</v>
      </c>
      <c r="B5729" s="11">
        <v>4042233445567</v>
      </c>
      <c r="C5729" s="1" t="s">
        <v>637</v>
      </c>
      <c r="D5729" s="1" t="s">
        <v>140</v>
      </c>
      <c r="E5729" s="1" t="s">
        <v>141</v>
      </c>
      <c r="F5729">
        <v>51.64</v>
      </c>
      <c r="G5729">
        <v>1</v>
      </c>
      <c r="H5729" s="1" t="s">
        <v>14</v>
      </c>
      <c r="I5729" s="1" t="s">
        <v>15</v>
      </c>
      <c r="J5729" s="12">
        <v>46012</v>
      </c>
      <c r="K5729">
        <v>0</v>
      </c>
      <c r="L5729" s="1">
        <f t="shared" si="356"/>
        <v>51.64</v>
      </c>
      <c r="M5729" s="1" t="str">
        <f t="shared" si="357"/>
        <v/>
      </c>
      <c r="N5729" s="2">
        <f t="shared" si="358"/>
        <v>45992</v>
      </c>
      <c r="O5729" t="str">
        <f t="shared" si="359"/>
        <v>mačka</v>
      </c>
    </row>
    <row r="5730" spans="1:15" x14ac:dyDescent="0.25">
      <c r="A5730">
        <v>13189</v>
      </c>
      <c r="B5730" s="11">
        <v>4028899001126</v>
      </c>
      <c r="C5730" s="1" t="s">
        <v>16</v>
      </c>
      <c r="D5730" s="1" t="s">
        <v>12</v>
      </c>
      <c r="E5730" s="1" t="s">
        <v>17</v>
      </c>
      <c r="F5730">
        <v>2.8</v>
      </c>
      <c r="G5730">
        <v>3</v>
      </c>
      <c r="H5730" s="1" t="s">
        <v>14</v>
      </c>
      <c r="I5730" s="1" t="s">
        <v>15</v>
      </c>
      <c r="J5730" s="12">
        <v>46012</v>
      </c>
      <c r="K5730">
        <v>0</v>
      </c>
      <c r="L5730" s="1">
        <f t="shared" si="356"/>
        <v>8.3999999999999986</v>
      </c>
      <c r="M5730" s="1" t="str">
        <f t="shared" si="357"/>
        <v/>
      </c>
      <c r="N5730" s="2">
        <f t="shared" si="358"/>
        <v>45992</v>
      </c>
      <c r="O5730" t="str">
        <f t="shared" si="359"/>
        <v>pes</v>
      </c>
    </row>
    <row r="5731" spans="1:15" hidden="1" x14ac:dyDescent="0.25">
      <c r="A5731">
        <v>13190</v>
      </c>
      <c r="B5731" s="11">
        <v>4067890123456</v>
      </c>
      <c r="C5731" s="1" t="s">
        <v>68</v>
      </c>
      <c r="D5731" s="1" t="s">
        <v>29</v>
      </c>
      <c r="E5731" s="1" t="s">
        <v>69</v>
      </c>
      <c r="F5731">
        <v>36</v>
      </c>
      <c r="G5731">
        <v>1</v>
      </c>
      <c r="H5731" s="1" t="s">
        <v>14</v>
      </c>
      <c r="I5731" s="1" t="s">
        <v>15</v>
      </c>
      <c r="J5731" s="12">
        <v>46012</v>
      </c>
      <c r="K5731">
        <v>0</v>
      </c>
      <c r="L5731" s="1">
        <f t="shared" si="356"/>
        <v>36</v>
      </c>
      <c r="M5731" s="1" t="str">
        <f t="shared" si="357"/>
        <v/>
      </c>
      <c r="N5731" s="2">
        <f t="shared" si="358"/>
        <v>45992</v>
      </c>
      <c r="O5731" t="str">
        <f t="shared" si="359"/>
        <v>mačka</v>
      </c>
    </row>
    <row r="5732" spans="1:15" x14ac:dyDescent="0.25">
      <c r="A5732">
        <v>13191</v>
      </c>
      <c r="B5732" s="11">
        <v>4003344556679</v>
      </c>
      <c r="C5732" s="1" t="s">
        <v>132</v>
      </c>
      <c r="D5732" s="1" t="s">
        <v>133</v>
      </c>
      <c r="E5732" s="1" t="s">
        <v>134</v>
      </c>
      <c r="F5732">
        <v>51.64</v>
      </c>
      <c r="G5732">
        <v>1</v>
      </c>
      <c r="H5732" s="1" t="s">
        <v>14</v>
      </c>
      <c r="I5732" s="1" t="s">
        <v>15</v>
      </c>
      <c r="J5732" s="12">
        <v>46012</v>
      </c>
      <c r="K5732">
        <v>0</v>
      </c>
      <c r="L5732" s="1">
        <f t="shared" si="356"/>
        <v>51.64</v>
      </c>
      <c r="M5732" s="1" t="str">
        <f t="shared" si="357"/>
        <v/>
      </c>
      <c r="N5732" s="2">
        <f t="shared" si="358"/>
        <v>45992</v>
      </c>
      <c r="O5732" t="str">
        <f t="shared" si="359"/>
        <v>pes</v>
      </c>
    </row>
    <row r="5733" spans="1:15" hidden="1" x14ac:dyDescent="0.25">
      <c r="A5733">
        <v>13192</v>
      </c>
      <c r="B5733" s="11">
        <v>4056789012345</v>
      </c>
      <c r="C5733" s="1" t="s">
        <v>47</v>
      </c>
      <c r="D5733" s="1" t="s">
        <v>29</v>
      </c>
      <c r="E5733" s="1" t="s">
        <v>37</v>
      </c>
      <c r="F5733">
        <v>2.4</v>
      </c>
      <c r="G5733">
        <v>3</v>
      </c>
      <c r="H5733" s="1" t="s">
        <v>14</v>
      </c>
      <c r="I5733" s="1" t="s">
        <v>15</v>
      </c>
      <c r="J5733" s="12">
        <v>46012</v>
      </c>
      <c r="K5733">
        <v>0</v>
      </c>
      <c r="L5733" s="1">
        <f t="shared" si="356"/>
        <v>7.1999999999999993</v>
      </c>
      <c r="M5733" s="1" t="str">
        <f t="shared" si="357"/>
        <v/>
      </c>
      <c r="N5733" s="2">
        <f t="shared" si="358"/>
        <v>45992</v>
      </c>
      <c r="O5733" t="str">
        <f t="shared" si="359"/>
        <v>mačka</v>
      </c>
    </row>
    <row r="5734" spans="1:15" x14ac:dyDescent="0.25">
      <c r="A5734">
        <v>13193</v>
      </c>
      <c r="B5734" s="11">
        <v>4022345678908</v>
      </c>
      <c r="C5734" s="1" t="s">
        <v>363</v>
      </c>
      <c r="D5734" s="1" t="s">
        <v>21</v>
      </c>
      <c r="E5734" s="1" t="s">
        <v>69</v>
      </c>
      <c r="F5734">
        <v>10</v>
      </c>
      <c r="G5734">
        <v>1</v>
      </c>
      <c r="H5734" s="1" t="s">
        <v>14</v>
      </c>
      <c r="I5734" s="1" t="s">
        <v>15</v>
      </c>
      <c r="J5734" s="12">
        <v>46012</v>
      </c>
      <c r="K5734">
        <v>0</v>
      </c>
      <c r="L5734" s="1">
        <f t="shared" si="356"/>
        <v>10</v>
      </c>
      <c r="M5734" s="1" t="str">
        <f t="shared" si="357"/>
        <v/>
      </c>
      <c r="N5734" s="2">
        <f t="shared" si="358"/>
        <v>45992</v>
      </c>
      <c r="O5734" t="str">
        <f t="shared" si="359"/>
        <v>pes</v>
      </c>
    </row>
    <row r="5735" spans="1:15" hidden="1" x14ac:dyDescent="0.25">
      <c r="A5735">
        <v>13194</v>
      </c>
      <c r="B5735" s="11">
        <v>4010123456783</v>
      </c>
      <c r="C5735" s="1" t="s">
        <v>35</v>
      </c>
      <c r="D5735" s="1" t="s">
        <v>36</v>
      </c>
      <c r="E5735" s="1" t="s">
        <v>37</v>
      </c>
      <c r="F5735">
        <v>14</v>
      </c>
      <c r="G5735">
        <v>1</v>
      </c>
      <c r="H5735" s="1" t="s">
        <v>14</v>
      </c>
      <c r="I5735" s="1" t="s">
        <v>15</v>
      </c>
      <c r="J5735" s="12">
        <v>46012</v>
      </c>
      <c r="K5735">
        <v>0</v>
      </c>
      <c r="L5735" s="1">
        <f t="shared" si="356"/>
        <v>14</v>
      </c>
      <c r="M5735" s="1" t="str">
        <f t="shared" si="357"/>
        <v/>
      </c>
      <c r="N5735" s="2">
        <f t="shared" si="358"/>
        <v>45992</v>
      </c>
      <c r="O5735" t="str">
        <f t="shared" si="359"/>
        <v>mačka</v>
      </c>
    </row>
    <row r="5736" spans="1:15" x14ac:dyDescent="0.25">
      <c r="A5736">
        <v>13195</v>
      </c>
      <c r="B5736" s="11">
        <v>4028899001126</v>
      </c>
      <c r="C5736" s="1" t="s">
        <v>16</v>
      </c>
      <c r="D5736" s="1" t="s">
        <v>12</v>
      </c>
      <c r="E5736" s="1" t="s">
        <v>17</v>
      </c>
      <c r="F5736">
        <v>2.8</v>
      </c>
      <c r="G5736">
        <v>3</v>
      </c>
      <c r="H5736" s="1" t="s">
        <v>14</v>
      </c>
      <c r="I5736" s="1" t="s">
        <v>15</v>
      </c>
      <c r="J5736" s="12">
        <v>46013</v>
      </c>
      <c r="K5736">
        <v>0</v>
      </c>
      <c r="L5736" s="1">
        <f t="shared" si="356"/>
        <v>8.3999999999999986</v>
      </c>
      <c r="M5736" s="1" t="str">
        <f t="shared" si="357"/>
        <v/>
      </c>
      <c r="N5736" s="2">
        <f t="shared" si="358"/>
        <v>45992</v>
      </c>
      <c r="O5736" t="str">
        <f t="shared" si="359"/>
        <v>pes</v>
      </c>
    </row>
    <row r="5737" spans="1:15" x14ac:dyDescent="0.25">
      <c r="A5737">
        <v>13196</v>
      </c>
      <c r="B5737" s="11">
        <v>4013456789017</v>
      </c>
      <c r="C5737" s="1" t="s">
        <v>11</v>
      </c>
      <c r="D5737" s="1" t="s">
        <v>12</v>
      </c>
      <c r="E5737" s="1" t="s">
        <v>13</v>
      </c>
      <c r="F5737">
        <v>6</v>
      </c>
      <c r="G5737">
        <v>1</v>
      </c>
      <c r="H5737" s="1" t="s">
        <v>14</v>
      </c>
      <c r="I5737" s="1" t="s">
        <v>15</v>
      </c>
      <c r="J5737" s="12">
        <v>46013</v>
      </c>
      <c r="K5737">
        <v>0</v>
      </c>
      <c r="L5737" s="1">
        <f t="shared" si="356"/>
        <v>6</v>
      </c>
      <c r="M5737" s="1" t="str">
        <f t="shared" si="357"/>
        <v/>
      </c>
      <c r="N5737" s="2">
        <f t="shared" si="358"/>
        <v>45992</v>
      </c>
      <c r="O5737" t="str">
        <f t="shared" si="359"/>
        <v>pes</v>
      </c>
    </row>
    <row r="5738" spans="1:15" hidden="1" x14ac:dyDescent="0.25">
      <c r="A5738">
        <v>13197</v>
      </c>
      <c r="B5738" s="11">
        <v>4042233445567</v>
      </c>
      <c r="C5738" s="1" t="s">
        <v>637</v>
      </c>
      <c r="D5738" s="1" t="s">
        <v>140</v>
      </c>
      <c r="E5738" s="1" t="s">
        <v>141</v>
      </c>
      <c r="F5738">
        <v>51.64</v>
      </c>
      <c r="G5738">
        <v>1</v>
      </c>
      <c r="H5738" s="1" t="s">
        <v>14</v>
      </c>
      <c r="I5738" s="1" t="s">
        <v>15</v>
      </c>
      <c r="J5738" s="12">
        <v>46013</v>
      </c>
      <c r="K5738">
        <v>0</v>
      </c>
      <c r="L5738" s="1">
        <f t="shared" si="356"/>
        <v>51.64</v>
      </c>
      <c r="M5738" s="1" t="str">
        <f t="shared" si="357"/>
        <v/>
      </c>
      <c r="N5738" s="2">
        <f t="shared" si="358"/>
        <v>45992</v>
      </c>
      <c r="O5738" t="str">
        <f t="shared" si="359"/>
        <v>mačka</v>
      </c>
    </row>
    <row r="5739" spans="1:15" x14ac:dyDescent="0.25">
      <c r="A5739">
        <v>13198</v>
      </c>
      <c r="B5739" s="11">
        <v>4027788990013</v>
      </c>
      <c r="C5739" s="1" t="s">
        <v>43</v>
      </c>
      <c r="D5739" s="1" t="s">
        <v>21</v>
      </c>
      <c r="E5739" s="1" t="s">
        <v>22</v>
      </c>
      <c r="F5739">
        <v>8</v>
      </c>
      <c r="G5739">
        <v>1</v>
      </c>
      <c r="H5739" s="1" t="s">
        <v>14</v>
      </c>
      <c r="I5739" s="1" t="s">
        <v>15</v>
      </c>
      <c r="J5739" s="12">
        <v>46013</v>
      </c>
      <c r="K5739">
        <v>0</v>
      </c>
      <c r="L5739" s="1">
        <f t="shared" si="356"/>
        <v>8</v>
      </c>
      <c r="M5739" s="1" t="str">
        <f t="shared" si="357"/>
        <v/>
      </c>
      <c r="N5739" s="2">
        <f t="shared" si="358"/>
        <v>45992</v>
      </c>
      <c r="O5739" t="str">
        <f t="shared" si="359"/>
        <v>pes</v>
      </c>
    </row>
    <row r="5740" spans="1:15" x14ac:dyDescent="0.25">
      <c r="A5740">
        <v>13199</v>
      </c>
      <c r="B5740" s="11">
        <v>4003344556679</v>
      </c>
      <c r="C5740" s="1" t="s">
        <v>132</v>
      </c>
      <c r="D5740" s="1" t="s">
        <v>133</v>
      </c>
      <c r="E5740" s="1" t="s">
        <v>134</v>
      </c>
      <c r="F5740">
        <v>51.64</v>
      </c>
      <c r="G5740">
        <v>1</v>
      </c>
      <c r="H5740" s="1" t="s">
        <v>18</v>
      </c>
      <c r="I5740" s="1" t="s">
        <v>1321</v>
      </c>
      <c r="J5740" s="12">
        <v>46013</v>
      </c>
      <c r="K5740">
        <v>0</v>
      </c>
      <c r="L5740" s="1">
        <f t="shared" si="356"/>
        <v>51.64</v>
      </c>
      <c r="M5740" s="1">
        <f t="shared" si="357"/>
        <v>4</v>
      </c>
      <c r="N5740" s="2">
        <f t="shared" si="358"/>
        <v>45992</v>
      </c>
      <c r="O5740" t="str">
        <f t="shared" si="359"/>
        <v>pes</v>
      </c>
    </row>
    <row r="5741" spans="1:15" x14ac:dyDescent="0.25">
      <c r="A5741">
        <v>13200</v>
      </c>
      <c r="B5741" s="11">
        <v>4022345678908</v>
      </c>
      <c r="C5741" s="1" t="s">
        <v>363</v>
      </c>
      <c r="D5741" s="1" t="s">
        <v>21</v>
      </c>
      <c r="E5741" s="1" t="s">
        <v>69</v>
      </c>
      <c r="F5741">
        <v>10</v>
      </c>
      <c r="G5741">
        <v>1</v>
      </c>
      <c r="H5741" s="1" t="s">
        <v>14</v>
      </c>
      <c r="I5741" s="1" t="s">
        <v>15</v>
      </c>
      <c r="J5741" s="12">
        <v>46013</v>
      </c>
      <c r="K5741">
        <v>0</v>
      </c>
      <c r="L5741" s="1">
        <f t="shared" si="356"/>
        <v>10</v>
      </c>
      <c r="M5741" s="1" t="str">
        <f t="shared" si="357"/>
        <v/>
      </c>
      <c r="N5741" s="2">
        <f t="shared" si="358"/>
        <v>45992</v>
      </c>
      <c r="O5741" t="str">
        <f t="shared" si="359"/>
        <v>pes</v>
      </c>
    </row>
    <row r="5742" spans="1:15" x14ac:dyDescent="0.25">
      <c r="A5742">
        <v>13201</v>
      </c>
      <c r="B5742" s="11">
        <v>4017890123450</v>
      </c>
      <c r="C5742" s="1" t="s">
        <v>65</v>
      </c>
      <c r="D5742" s="1" t="s">
        <v>39</v>
      </c>
      <c r="E5742" s="1" t="s">
        <v>22</v>
      </c>
      <c r="F5742">
        <v>7.6</v>
      </c>
      <c r="G5742">
        <v>1</v>
      </c>
      <c r="H5742" s="1" t="s">
        <v>14</v>
      </c>
      <c r="I5742" s="1" t="s">
        <v>15</v>
      </c>
      <c r="J5742" s="12">
        <v>46013</v>
      </c>
      <c r="K5742">
        <v>0</v>
      </c>
      <c r="L5742" s="1">
        <f t="shared" si="356"/>
        <v>7.6</v>
      </c>
      <c r="M5742" s="1" t="str">
        <f t="shared" si="357"/>
        <v/>
      </c>
      <c r="N5742" s="2">
        <f t="shared" si="358"/>
        <v>45992</v>
      </c>
      <c r="O5742" t="str">
        <f t="shared" si="359"/>
        <v>pes</v>
      </c>
    </row>
    <row r="5743" spans="1:15" hidden="1" x14ac:dyDescent="0.25">
      <c r="A5743">
        <v>13202</v>
      </c>
      <c r="B5743" s="11">
        <v>4056789012345</v>
      </c>
      <c r="C5743" s="1" t="s">
        <v>47</v>
      </c>
      <c r="D5743" s="1" t="s">
        <v>29</v>
      </c>
      <c r="E5743" s="1" t="s">
        <v>37</v>
      </c>
      <c r="F5743">
        <v>2.4</v>
      </c>
      <c r="G5743">
        <v>2</v>
      </c>
      <c r="H5743" s="1" t="s">
        <v>14</v>
      </c>
      <c r="I5743" s="1" t="s">
        <v>15</v>
      </c>
      <c r="J5743" s="12">
        <v>46013</v>
      </c>
      <c r="K5743">
        <v>0</v>
      </c>
      <c r="L5743" s="1">
        <f t="shared" si="356"/>
        <v>4.8</v>
      </c>
      <c r="M5743" s="1" t="str">
        <f t="shared" si="357"/>
        <v/>
      </c>
      <c r="N5743" s="2">
        <f t="shared" si="358"/>
        <v>45992</v>
      </c>
      <c r="O5743" t="str">
        <f t="shared" si="359"/>
        <v>mačka</v>
      </c>
    </row>
    <row r="5744" spans="1:15" hidden="1" x14ac:dyDescent="0.25">
      <c r="A5744">
        <v>13203</v>
      </c>
      <c r="B5744" s="11">
        <v>8593456789012</v>
      </c>
      <c r="C5744" s="1" t="s">
        <v>28</v>
      </c>
      <c r="D5744" s="1" t="s">
        <v>29</v>
      </c>
      <c r="E5744" s="1" t="s">
        <v>30</v>
      </c>
      <c r="F5744">
        <v>42</v>
      </c>
      <c r="G5744">
        <v>1</v>
      </c>
      <c r="H5744" s="1" t="s">
        <v>14</v>
      </c>
      <c r="I5744" s="1" t="s">
        <v>15</v>
      </c>
      <c r="J5744" s="12">
        <v>46013</v>
      </c>
      <c r="K5744">
        <v>0</v>
      </c>
      <c r="L5744" s="1">
        <f t="shared" si="356"/>
        <v>42</v>
      </c>
      <c r="M5744" s="1" t="str">
        <f t="shared" si="357"/>
        <v/>
      </c>
      <c r="N5744" s="2">
        <f t="shared" si="358"/>
        <v>45992</v>
      </c>
      <c r="O5744" t="str">
        <f t="shared" si="359"/>
        <v>mačka</v>
      </c>
    </row>
    <row r="5745" spans="1:15" x14ac:dyDescent="0.25">
      <c r="A5745">
        <v>13204</v>
      </c>
      <c r="B5745" s="11">
        <v>4028899001126</v>
      </c>
      <c r="C5745" s="1" t="s">
        <v>16</v>
      </c>
      <c r="D5745" s="1" t="s">
        <v>12</v>
      </c>
      <c r="E5745" s="1" t="s">
        <v>17</v>
      </c>
      <c r="F5745">
        <v>2.8</v>
      </c>
      <c r="G5745">
        <v>2</v>
      </c>
      <c r="H5745" s="1" t="s">
        <v>14</v>
      </c>
      <c r="I5745" s="1" t="s">
        <v>15</v>
      </c>
      <c r="J5745" s="12">
        <v>46013</v>
      </c>
      <c r="K5745">
        <v>0</v>
      </c>
      <c r="L5745" s="1">
        <f t="shared" si="356"/>
        <v>5.6</v>
      </c>
      <c r="M5745" s="1" t="str">
        <f t="shared" si="357"/>
        <v/>
      </c>
      <c r="N5745" s="2">
        <f t="shared" si="358"/>
        <v>45992</v>
      </c>
      <c r="O5745" t="str">
        <f t="shared" si="359"/>
        <v>pes</v>
      </c>
    </row>
    <row r="5746" spans="1:15" x14ac:dyDescent="0.25">
      <c r="A5746">
        <v>13205</v>
      </c>
      <c r="B5746" s="11">
        <v>4040123456795</v>
      </c>
      <c r="C5746" s="1" t="s">
        <v>20</v>
      </c>
      <c r="D5746" s="1" t="s">
        <v>21</v>
      </c>
      <c r="E5746" s="1" t="s">
        <v>22</v>
      </c>
      <c r="F5746">
        <v>8.8000000000000007</v>
      </c>
      <c r="G5746">
        <v>1</v>
      </c>
      <c r="H5746" s="1" t="s">
        <v>14</v>
      </c>
      <c r="I5746" s="1" t="s">
        <v>15</v>
      </c>
      <c r="J5746" s="12">
        <v>46013</v>
      </c>
      <c r="K5746">
        <v>0</v>
      </c>
      <c r="L5746" s="1">
        <f t="shared" si="356"/>
        <v>8.8000000000000007</v>
      </c>
      <c r="M5746" s="1" t="str">
        <f t="shared" si="357"/>
        <v/>
      </c>
      <c r="N5746" s="2">
        <f t="shared" si="358"/>
        <v>45992</v>
      </c>
      <c r="O5746" t="str">
        <f t="shared" si="359"/>
        <v>pes</v>
      </c>
    </row>
    <row r="5747" spans="1:15" x14ac:dyDescent="0.25">
      <c r="A5747">
        <v>13206</v>
      </c>
      <c r="B5747" s="11">
        <v>4027788990013</v>
      </c>
      <c r="C5747" s="1" t="s">
        <v>43</v>
      </c>
      <c r="D5747" s="1" t="s">
        <v>21</v>
      </c>
      <c r="E5747" s="1" t="s">
        <v>22</v>
      </c>
      <c r="F5747">
        <v>8</v>
      </c>
      <c r="G5747">
        <v>1</v>
      </c>
      <c r="H5747" s="1" t="s">
        <v>14</v>
      </c>
      <c r="I5747" s="1" t="s">
        <v>15</v>
      </c>
      <c r="J5747" s="12">
        <v>46013</v>
      </c>
      <c r="K5747">
        <v>0</v>
      </c>
      <c r="L5747" s="1">
        <f t="shared" si="356"/>
        <v>8</v>
      </c>
      <c r="M5747" s="1" t="str">
        <f t="shared" si="357"/>
        <v/>
      </c>
      <c r="N5747" s="2">
        <f t="shared" si="358"/>
        <v>45992</v>
      </c>
      <c r="O5747" t="str">
        <f t="shared" si="359"/>
        <v>pes</v>
      </c>
    </row>
    <row r="5748" spans="1:15" x14ac:dyDescent="0.25">
      <c r="A5748">
        <v>13207</v>
      </c>
      <c r="B5748" s="11">
        <v>4013456789017</v>
      </c>
      <c r="C5748" s="1" t="s">
        <v>11</v>
      </c>
      <c r="D5748" s="1" t="s">
        <v>12</v>
      </c>
      <c r="E5748" s="1" t="s">
        <v>13</v>
      </c>
      <c r="F5748">
        <v>6</v>
      </c>
      <c r="G5748">
        <v>1</v>
      </c>
      <c r="H5748" s="1" t="s">
        <v>14</v>
      </c>
      <c r="I5748" s="1" t="s">
        <v>15</v>
      </c>
      <c r="J5748" s="12">
        <v>46013</v>
      </c>
      <c r="K5748">
        <v>0</v>
      </c>
      <c r="L5748" s="1">
        <f t="shared" si="356"/>
        <v>6</v>
      </c>
      <c r="M5748" s="1" t="str">
        <f t="shared" si="357"/>
        <v/>
      </c>
      <c r="N5748" s="2">
        <f t="shared" si="358"/>
        <v>45992</v>
      </c>
      <c r="O5748" t="str">
        <f t="shared" si="359"/>
        <v>pes</v>
      </c>
    </row>
    <row r="5749" spans="1:15" hidden="1" x14ac:dyDescent="0.25">
      <c r="A5749">
        <v>13208</v>
      </c>
      <c r="B5749" s="11">
        <v>4042233445567</v>
      </c>
      <c r="C5749" s="1" t="s">
        <v>637</v>
      </c>
      <c r="D5749" s="1" t="s">
        <v>140</v>
      </c>
      <c r="E5749" s="1" t="s">
        <v>141</v>
      </c>
      <c r="F5749">
        <v>51.64</v>
      </c>
      <c r="G5749">
        <v>1</v>
      </c>
      <c r="H5749" s="1" t="s">
        <v>14</v>
      </c>
      <c r="I5749" s="1" t="s">
        <v>15</v>
      </c>
      <c r="J5749" s="12">
        <v>46013</v>
      </c>
      <c r="K5749">
        <v>0</v>
      </c>
      <c r="L5749" s="1">
        <f t="shared" si="356"/>
        <v>51.64</v>
      </c>
      <c r="M5749" s="1" t="str">
        <f t="shared" si="357"/>
        <v/>
      </c>
      <c r="N5749" s="2">
        <f t="shared" si="358"/>
        <v>45992</v>
      </c>
      <c r="O5749" t="str">
        <f t="shared" si="359"/>
        <v>mačka</v>
      </c>
    </row>
    <row r="5750" spans="1:15" x14ac:dyDescent="0.25">
      <c r="A5750">
        <v>13209</v>
      </c>
      <c r="B5750" s="11">
        <v>4028899001126</v>
      </c>
      <c r="C5750" s="1" t="s">
        <v>16</v>
      </c>
      <c r="D5750" s="1" t="s">
        <v>12</v>
      </c>
      <c r="E5750" s="1" t="s">
        <v>17</v>
      </c>
      <c r="F5750">
        <v>2.8</v>
      </c>
      <c r="G5750">
        <v>3</v>
      </c>
      <c r="H5750" s="1" t="s">
        <v>18</v>
      </c>
      <c r="I5750" s="1" t="s">
        <v>1322</v>
      </c>
      <c r="J5750" s="12">
        <v>46013</v>
      </c>
      <c r="K5750">
        <v>0</v>
      </c>
      <c r="L5750" s="1">
        <f t="shared" si="356"/>
        <v>8.3999999999999986</v>
      </c>
      <c r="M5750" s="1">
        <f t="shared" si="357"/>
        <v>4</v>
      </c>
      <c r="N5750" s="2">
        <f t="shared" si="358"/>
        <v>45992</v>
      </c>
      <c r="O5750" t="str">
        <f t="shared" si="359"/>
        <v>pes</v>
      </c>
    </row>
    <row r="5751" spans="1:15" x14ac:dyDescent="0.25">
      <c r="A5751">
        <v>13210</v>
      </c>
      <c r="B5751" s="11">
        <v>4013456789017</v>
      </c>
      <c r="C5751" s="1" t="s">
        <v>11</v>
      </c>
      <c r="D5751" s="1" t="s">
        <v>12</v>
      </c>
      <c r="E5751" s="1" t="s">
        <v>13</v>
      </c>
      <c r="F5751">
        <v>6</v>
      </c>
      <c r="G5751">
        <v>1</v>
      </c>
      <c r="H5751" s="1" t="s">
        <v>14</v>
      </c>
      <c r="I5751" s="1" t="s">
        <v>15</v>
      </c>
      <c r="J5751" s="12">
        <v>46014</v>
      </c>
      <c r="K5751">
        <v>0</v>
      </c>
      <c r="L5751" s="1">
        <f t="shared" si="356"/>
        <v>6</v>
      </c>
      <c r="M5751" s="1" t="str">
        <f t="shared" si="357"/>
        <v/>
      </c>
      <c r="N5751" s="2">
        <f t="shared" si="358"/>
        <v>45992</v>
      </c>
      <c r="O5751" t="str">
        <f t="shared" si="359"/>
        <v>pes</v>
      </c>
    </row>
    <row r="5752" spans="1:15" x14ac:dyDescent="0.25">
      <c r="A5752">
        <v>13211</v>
      </c>
      <c r="B5752" s="11">
        <v>4028899001126</v>
      </c>
      <c r="C5752" s="1" t="s">
        <v>16</v>
      </c>
      <c r="D5752" s="1" t="s">
        <v>12</v>
      </c>
      <c r="E5752" s="1" t="s">
        <v>17</v>
      </c>
      <c r="F5752">
        <v>2.8</v>
      </c>
      <c r="G5752">
        <v>2</v>
      </c>
      <c r="H5752" s="1" t="s">
        <v>14</v>
      </c>
      <c r="I5752" s="1" t="s">
        <v>15</v>
      </c>
      <c r="J5752" s="12">
        <v>46014</v>
      </c>
      <c r="K5752">
        <v>0</v>
      </c>
      <c r="L5752" s="1">
        <f t="shared" si="356"/>
        <v>5.6</v>
      </c>
      <c r="M5752" s="1" t="str">
        <f t="shared" si="357"/>
        <v/>
      </c>
      <c r="N5752" s="2">
        <f t="shared" si="358"/>
        <v>45992</v>
      </c>
      <c r="O5752" t="str">
        <f t="shared" si="359"/>
        <v>pes</v>
      </c>
    </row>
    <row r="5753" spans="1:15" x14ac:dyDescent="0.25">
      <c r="A5753">
        <v>13212</v>
      </c>
      <c r="B5753" s="11">
        <v>4027788990013</v>
      </c>
      <c r="C5753" s="1" t="s">
        <v>43</v>
      </c>
      <c r="D5753" s="1" t="s">
        <v>21</v>
      </c>
      <c r="E5753" s="1" t="s">
        <v>22</v>
      </c>
      <c r="F5753">
        <v>8</v>
      </c>
      <c r="G5753">
        <v>1</v>
      </c>
      <c r="H5753" s="1" t="s">
        <v>14</v>
      </c>
      <c r="I5753" s="1" t="s">
        <v>15</v>
      </c>
      <c r="J5753" s="12">
        <v>46014</v>
      </c>
      <c r="K5753">
        <v>0</v>
      </c>
      <c r="L5753" s="1">
        <f t="shared" si="356"/>
        <v>8</v>
      </c>
      <c r="M5753" s="1" t="str">
        <f t="shared" si="357"/>
        <v/>
      </c>
      <c r="N5753" s="2">
        <f t="shared" si="358"/>
        <v>45992</v>
      </c>
      <c r="O5753" t="str">
        <f t="shared" si="359"/>
        <v>pes</v>
      </c>
    </row>
    <row r="5754" spans="1:15" x14ac:dyDescent="0.25">
      <c r="A5754">
        <v>13213</v>
      </c>
      <c r="B5754" s="11">
        <v>4040123456795</v>
      </c>
      <c r="C5754" s="1" t="s">
        <v>20</v>
      </c>
      <c r="D5754" s="1" t="s">
        <v>21</v>
      </c>
      <c r="E5754" s="1" t="s">
        <v>22</v>
      </c>
      <c r="F5754">
        <v>8.8000000000000007</v>
      </c>
      <c r="G5754">
        <v>1</v>
      </c>
      <c r="H5754" s="1" t="s">
        <v>14</v>
      </c>
      <c r="I5754" s="1" t="s">
        <v>15</v>
      </c>
      <c r="J5754" s="12">
        <v>46014</v>
      </c>
      <c r="K5754">
        <v>0</v>
      </c>
      <c r="L5754" s="1">
        <f t="shared" si="356"/>
        <v>8.8000000000000007</v>
      </c>
      <c r="M5754" s="1" t="str">
        <f t="shared" si="357"/>
        <v/>
      </c>
      <c r="N5754" s="2">
        <f t="shared" si="358"/>
        <v>45992</v>
      </c>
      <c r="O5754" t="str">
        <f t="shared" si="359"/>
        <v>pes</v>
      </c>
    </row>
    <row r="5755" spans="1:15" x14ac:dyDescent="0.25">
      <c r="A5755">
        <v>13214</v>
      </c>
      <c r="B5755" s="11">
        <v>4003344556679</v>
      </c>
      <c r="C5755" s="1" t="s">
        <v>132</v>
      </c>
      <c r="D5755" s="1" t="s">
        <v>133</v>
      </c>
      <c r="E5755" s="1" t="s">
        <v>134</v>
      </c>
      <c r="F5755">
        <v>51.64</v>
      </c>
      <c r="G5755">
        <v>1</v>
      </c>
      <c r="H5755" s="1" t="s">
        <v>14</v>
      </c>
      <c r="I5755" s="1" t="s">
        <v>15</v>
      </c>
      <c r="J5755" s="12">
        <v>46014</v>
      </c>
      <c r="K5755">
        <v>0</v>
      </c>
      <c r="L5755" s="1">
        <f t="shared" si="356"/>
        <v>51.64</v>
      </c>
      <c r="M5755" s="1" t="str">
        <f t="shared" si="357"/>
        <v/>
      </c>
      <c r="N5755" s="2">
        <f t="shared" si="358"/>
        <v>45992</v>
      </c>
      <c r="O5755" t="str">
        <f t="shared" si="359"/>
        <v>pes</v>
      </c>
    </row>
    <row r="5756" spans="1:15" hidden="1" x14ac:dyDescent="0.25">
      <c r="A5756">
        <v>13215</v>
      </c>
      <c r="B5756" s="11">
        <v>4056789012345</v>
      </c>
      <c r="C5756" s="1" t="s">
        <v>47</v>
      </c>
      <c r="D5756" s="1" t="s">
        <v>29</v>
      </c>
      <c r="E5756" s="1" t="s">
        <v>37</v>
      </c>
      <c r="F5756">
        <v>2.4</v>
      </c>
      <c r="G5756">
        <v>2</v>
      </c>
      <c r="H5756" s="1" t="s">
        <v>14</v>
      </c>
      <c r="I5756" s="1" t="s">
        <v>15</v>
      </c>
      <c r="J5756" s="12">
        <v>46014</v>
      </c>
      <c r="K5756">
        <v>0</v>
      </c>
      <c r="L5756" s="1">
        <f t="shared" si="356"/>
        <v>4.8</v>
      </c>
      <c r="M5756" s="1" t="str">
        <f t="shared" si="357"/>
        <v/>
      </c>
      <c r="N5756" s="2">
        <f t="shared" si="358"/>
        <v>45992</v>
      </c>
      <c r="O5756" t="str">
        <f t="shared" si="359"/>
        <v>mačka</v>
      </c>
    </row>
    <row r="5757" spans="1:15" x14ac:dyDescent="0.25">
      <c r="A5757">
        <v>13216</v>
      </c>
      <c r="B5757" s="11">
        <v>4028899001126</v>
      </c>
      <c r="C5757" s="1" t="s">
        <v>16</v>
      </c>
      <c r="D5757" s="1" t="s">
        <v>12</v>
      </c>
      <c r="E5757" s="1" t="s">
        <v>17</v>
      </c>
      <c r="F5757">
        <v>2.8</v>
      </c>
      <c r="G5757">
        <v>3</v>
      </c>
      <c r="H5757" s="1" t="s">
        <v>14</v>
      </c>
      <c r="I5757" s="1" t="s">
        <v>15</v>
      </c>
      <c r="J5757" s="12">
        <v>46014</v>
      </c>
      <c r="K5757">
        <v>0</v>
      </c>
      <c r="L5757" s="1">
        <f t="shared" si="356"/>
        <v>8.3999999999999986</v>
      </c>
      <c r="M5757" s="1" t="str">
        <f t="shared" si="357"/>
        <v/>
      </c>
      <c r="N5757" s="2">
        <f t="shared" si="358"/>
        <v>45992</v>
      </c>
      <c r="O5757" t="str">
        <f t="shared" si="359"/>
        <v>pes</v>
      </c>
    </row>
    <row r="5758" spans="1:15" x14ac:dyDescent="0.25">
      <c r="A5758">
        <v>13217</v>
      </c>
      <c r="B5758" s="11">
        <v>4013456789017</v>
      </c>
      <c r="C5758" s="1" t="s">
        <v>11</v>
      </c>
      <c r="D5758" s="1" t="s">
        <v>12</v>
      </c>
      <c r="E5758" s="1" t="s">
        <v>13</v>
      </c>
      <c r="F5758">
        <v>6</v>
      </c>
      <c r="G5758">
        <v>1</v>
      </c>
      <c r="H5758" s="1" t="s">
        <v>14</v>
      </c>
      <c r="I5758" s="1" t="s">
        <v>15</v>
      </c>
      <c r="J5758" s="12">
        <v>46014</v>
      </c>
      <c r="K5758">
        <v>0</v>
      </c>
      <c r="L5758" s="1">
        <f t="shared" si="356"/>
        <v>6</v>
      </c>
      <c r="M5758" s="1" t="str">
        <f t="shared" si="357"/>
        <v/>
      </c>
      <c r="N5758" s="2">
        <f t="shared" si="358"/>
        <v>45992</v>
      </c>
      <c r="O5758" t="str">
        <f t="shared" si="359"/>
        <v>pes</v>
      </c>
    </row>
    <row r="5759" spans="1:15" hidden="1" x14ac:dyDescent="0.25">
      <c r="A5759">
        <v>13218</v>
      </c>
      <c r="B5759" s="11">
        <v>4042233445567</v>
      </c>
      <c r="C5759" s="1" t="s">
        <v>637</v>
      </c>
      <c r="D5759" s="1" t="s">
        <v>140</v>
      </c>
      <c r="E5759" s="1" t="s">
        <v>141</v>
      </c>
      <c r="F5759">
        <v>51.64</v>
      </c>
      <c r="G5759">
        <v>1</v>
      </c>
      <c r="H5759" s="1" t="s">
        <v>14</v>
      </c>
      <c r="I5759" s="1" t="s">
        <v>15</v>
      </c>
      <c r="J5759" s="12">
        <v>46014</v>
      </c>
      <c r="K5759">
        <v>0</v>
      </c>
      <c r="L5759" s="1">
        <f t="shared" si="356"/>
        <v>51.64</v>
      </c>
      <c r="M5759" s="1" t="str">
        <f t="shared" si="357"/>
        <v/>
      </c>
      <c r="N5759" s="2">
        <f t="shared" si="358"/>
        <v>45992</v>
      </c>
      <c r="O5759" t="str">
        <f t="shared" si="359"/>
        <v>mačka</v>
      </c>
    </row>
    <row r="5760" spans="1:15" hidden="1" x14ac:dyDescent="0.25">
      <c r="A5760">
        <v>13219</v>
      </c>
      <c r="B5760" s="11">
        <v>8593456789012</v>
      </c>
      <c r="C5760" s="1" t="s">
        <v>28</v>
      </c>
      <c r="D5760" s="1" t="s">
        <v>29</v>
      </c>
      <c r="E5760" s="1" t="s">
        <v>30</v>
      </c>
      <c r="F5760">
        <v>42</v>
      </c>
      <c r="G5760">
        <v>1</v>
      </c>
      <c r="H5760" s="1" t="s">
        <v>14</v>
      </c>
      <c r="I5760" s="1" t="s">
        <v>15</v>
      </c>
      <c r="J5760" s="12">
        <v>46014</v>
      </c>
      <c r="K5760">
        <v>0</v>
      </c>
      <c r="L5760" s="1">
        <f t="shared" si="356"/>
        <v>42</v>
      </c>
      <c r="M5760" s="1" t="str">
        <f t="shared" si="357"/>
        <v/>
      </c>
      <c r="N5760" s="2">
        <f t="shared" si="358"/>
        <v>45992</v>
      </c>
      <c r="O5760" t="str">
        <f t="shared" si="359"/>
        <v>mačka</v>
      </c>
    </row>
    <row r="5761" spans="1:15" x14ac:dyDescent="0.25">
      <c r="A5761">
        <v>13220</v>
      </c>
      <c r="B5761" s="11">
        <v>4017890123450</v>
      </c>
      <c r="C5761" s="1" t="s">
        <v>65</v>
      </c>
      <c r="D5761" s="1" t="s">
        <v>39</v>
      </c>
      <c r="E5761" s="1" t="s">
        <v>22</v>
      </c>
      <c r="F5761">
        <v>7.6</v>
      </c>
      <c r="G5761">
        <v>1</v>
      </c>
      <c r="H5761" s="1" t="s">
        <v>14</v>
      </c>
      <c r="I5761" s="1" t="s">
        <v>15</v>
      </c>
      <c r="J5761" s="12">
        <v>46014</v>
      </c>
      <c r="K5761">
        <v>0</v>
      </c>
      <c r="L5761" s="1">
        <f t="shared" si="356"/>
        <v>7.6</v>
      </c>
      <c r="M5761" s="1" t="str">
        <f t="shared" si="357"/>
        <v/>
      </c>
      <c r="N5761" s="2">
        <f t="shared" si="358"/>
        <v>45992</v>
      </c>
      <c r="O5761" t="str">
        <f t="shared" si="359"/>
        <v>pes</v>
      </c>
    </row>
    <row r="5762" spans="1:15" x14ac:dyDescent="0.25">
      <c r="A5762">
        <v>13221</v>
      </c>
      <c r="B5762" s="11">
        <v>4022345678908</v>
      </c>
      <c r="C5762" s="1" t="s">
        <v>363</v>
      </c>
      <c r="D5762" s="1" t="s">
        <v>21</v>
      </c>
      <c r="E5762" s="1" t="s">
        <v>69</v>
      </c>
      <c r="F5762">
        <v>10</v>
      </c>
      <c r="G5762">
        <v>1</v>
      </c>
      <c r="H5762" s="1" t="s">
        <v>14</v>
      </c>
      <c r="I5762" s="1" t="s">
        <v>15</v>
      </c>
      <c r="J5762" s="12">
        <v>46014</v>
      </c>
      <c r="K5762">
        <v>0</v>
      </c>
      <c r="L5762" s="1">
        <f t="shared" ref="L5762:L5825" si="360">F5762*G5762</f>
        <v>10</v>
      </c>
      <c r="M5762" s="1" t="str">
        <f t="shared" ref="M5762:M5825" si="361">IF(H5762="NULL", "",VALUE(H5762))</f>
        <v/>
      </c>
      <c r="N5762" s="2">
        <f t="shared" ref="N5762:N5825" si="362">DATE(YEAR(J5762),MONTH(J5762),1)</f>
        <v>45992</v>
      </c>
      <c r="O5762" t="str">
        <f t="shared" ref="O5762:O5825" si="363">IF(ISNUMBER(SEARCH("Mačky",D5762)),"mačka",IF(ISNUMBER(SEARCH("Psy",D5762)),"pes","iné"))</f>
        <v>pes</v>
      </c>
    </row>
    <row r="5763" spans="1:15" hidden="1" x14ac:dyDescent="0.25">
      <c r="A5763">
        <v>13222</v>
      </c>
      <c r="B5763" s="11">
        <v>4067890123456</v>
      </c>
      <c r="C5763" s="1" t="s">
        <v>68</v>
      </c>
      <c r="D5763" s="1" t="s">
        <v>29</v>
      </c>
      <c r="E5763" s="1" t="s">
        <v>69</v>
      </c>
      <c r="F5763">
        <v>36</v>
      </c>
      <c r="G5763">
        <v>1</v>
      </c>
      <c r="H5763" s="1" t="s">
        <v>14</v>
      </c>
      <c r="I5763" s="1" t="s">
        <v>15</v>
      </c>
      <c r="J5763" s="12">
        <v>46014</v>
      </c>
      <c r="K5763">
        <v>0</v>
      </c>
      <c r="L5763" s="1">
        <f t="shared" si="360"/>
        <v>36</v>
      </c>
      <c r="M5763" s="1" t="str">
        <f t="shared" si="361"/>
        <v/>
      </c>
      <c r="N5763" s="2">
        <f t="shared" si="362"/>
        <v>45992</v>
      </c>
      <c r="O5763" t="str">
        <f t="shared" si="363"/>
        <v>mačka</v>
      </c>
    </row>
    <row r="5764" spans="1:15" x14ac:dyDescent="0.25">
      <c r="A5764">
        <v>13223</v>
      </c>
      <c r="B5764" s="11">
        <v>4028899001126</v>
      </c>
      <c r="C5764" s="1" t="s">
        <v>16</v>
      </c>
      <c r="D5764" s="1" t="s">
        <v>12</v>
      </c>
      <c r="E5764" s="1" t="s">
        <v>17</v>
      </c>
      <c r="F5764">
        <v>2.8</v>
      </c>
      <c r="G5764">
        <v>3</v>
      </c>
      <c r="H5764" s="1" t="s">
        <v>14</v>
      </c>
      <c r="I5764" s="1" t="s">
        <v>15</v>
      </c>
      <c r="J5764" s="12">
        <v>46014</v>
      </c>
      <c r="K5764">
        <v>0</v>
      </c>
      <c r="L5764" s="1">
        <f t="shared" si="360"/>
        <v>8.3999999999999986</v>
      </c>
      <c r="M5764" s="1" t="str">
        <f t="shared" si="361"/>
        <v/>
      </c>
      <c r="N5764" s="2">
        <f t="shared" si="362"/>
        <v>45992</v>
      </c>
      <c r="O5764" t="str">
        <f t="shared" si="363"/>
        <v>pes</v>
      </c>
    </row>
    <row r="5765" spans="1:15" x14ac:dyDescent="0.25">
      <c r="A5765">
        <v>13224</v>
      </c>
      <c r="B5765" s="11">
        <v>4013456789017</v>
      </c>
      <c r="C5765" s="1" t="s">
        <v>11</v>
      </c>
      <c r="D5765" s="1" t="s">
        <v>12</v>
      </c>
      <c r="E5765" s="1" t="s">
        <v>13</v>
      </c>
      <c r="F5765">
        <v>6</v>
      </c>
      <c r="G5765">
        <v>1</v>
      </c>
      <c r="H5765" s="1" t="s">
        <v>14</v>
      </c>
      <c r="I5765" s="1" t="s">
        <v>15</v>
      </c>
      <c r="J5765" s="12">
        <v>46014</v>
      </c>
      <c r="K5765">
        <v>0</v>
      </c>
      <c r="L5765" s="1">
        <f t="shared" si="360"/>
        <v>6</v>
      </c>
      <c r="M5765" s="1" t="str">
        <f t="shared" si="361"/>
        <v/>
      </c>
      <c r="N5765" s="2">
        <f t="shared" si="362"/>
        <v>45992</v>
      </c>
      <c r="O5765" t="str">
        <f t="shared" si="363"/>
        <v>pes</v>
      </c>
    </row>
    <row r="5766" spans="1:15" hidden="1" x14ac:dyDescent="0.25">
      <c r="A5766">
        <v>13225</v>
      </c>
      <c r="B5766" s="11">
        <v>4042233445567</v>
      </c>
      <c r="C5766" s="1" t="s">
        <v>637</v>
      </c>
      <c r="D5766" s="1" t="s">
        <v>140</v>
      </c>
      <c r="E5766" s="1" t="s">
        <v>141</v>
      </c>
      <c r="F5766">
        <v>51.64</v>
      </c>
      <c r="G5766">
        <v>1</v>
      </c>
      <c r="H5766" s="1" t="s">
        <v>14</v>
      </c>
      <c r="I5766" s="1" t="s">
        <v>15</v>
      </c>
      <c r="J5766" s="12">
        <v>46014</v>
      </c>
      <c r="K5766">
        <v>0</v>
      </c>
      <c r="L5766" s="1">
        <f t="shared" si="360"/>
        <v>51.64</v>
      </c>
      <c r="M5766" s="1" t="str">
        <f t="shared" si="361"/>
        <v/>
      </c>
      <c r="N5766" s="2">
        <f t="shared" si="362"/>
        <v>45992</v>
      </c>
      <c r="O5766" t="str">
        <f t="shared" si="363"/>
        <v>mačka</v>
      </c>
    </row>
    <row r="5767" spans="1:15" x14ac:dyDescent="0.25">
      <c r="A5767">
        <v>13226</v>
      </c>
      <c r="B5767" s="11">
        <v>4027788990013</v>
      </c>
      <c r="C5767" s="1" t="s">
        <v>43</v>
      </c>
      <c r="D5767" s="1" t="s">
        <v>21</v>
      </c>
      <c r="E5767" s="1" t="s">
        <v>22</v>
      </c>
      <c r="F5767">
        <v>8</v>
      </c>
      <c r="G5767">
        <v>1</v>
      </c>
      <c r="H5767" s="1" t="s">
        <v>14</v>
      </c>
      <c r="I5767" s="1" t="s">
        <v>15</v>
      </c>
      <c r="J5767" s="12">
        <v>46014</v>
      </c>
      <c r="K5767">
        <v>0</v>
      </c>
      <c r="L5767" s="1">
        <f t="shared" si="360"/>
        <v>8</v>
      </c>
      <c r="M5767" s="1" t="str">
        <f t="shared" si="361"/>
        <v/>
      </c>
      <c r="N5767" s="2">
        <f t="shared" si="362"/>
        <v>45992</v>
      </c>
      <c r="O5767" t="str">
        <f t="shared" si="363"/>
        <v>pes</v>
      </c>
    </row>
    <row r="5768" spans="1:15" x14ac:dyDescent="0.25">
      <c r="A5768">
        <v>13227</v>
      </c>
      <c r="B5768" s="11">
        <v>4003344556679</v>
      </c>
      <c r="C5768" s="1" t="s">
        <v>132</v>
      </c>
      <c r="D5768" s="1" t="s">
        <v>133</v>
      </c>
      <c r="E5768" s="1" t="s">
        <v>134</v>
      </c>
      <c r="F5768">
        <v>51.64</v>
      </c>
      <c r="G5768">
        <v>1</v>
      </c>
      <c r="H5768" s="1" t="s">
        <v>14</v>
      </c>
      <c r="I5768" s="1" t="s">
        <v>15</v>
      </c>
      <c r="J5768" s="12">
        <v>46014</v>
      </c>
      <c r="K5768">
        <v>0</v>
      </c>
      <c r="L5768" s="1">
        <f t="shared" si="360"/>
        <v>51.64</v>
      </c>
      <c r="M5768" s="1" t="str">
        <f t="shared" si="361"/>
        <v/>
      </c>
      <c r="N5768" s="2">
        <f t="shared" si="362"/>
        <v>45992</v>
      </c>
      <c r="O5768" t="str">
        <f t="shared" si="363"/>
        <v>pes</v>
      </c>
    </row>
    <row r="5769" spans="1:15" x14ac:dyDescent="0.25">
      <c r="A5769">
        <v>13228</v>
      </c>
      <c r="B5769" s="11">
        <v>4017890123450</v>
      </c>
      <c r="C5769" s="1" t="s">
        <v>65</v>
      </c>
      <c r="D5769" s="1" t="s">
        <v>39</v>
      </c>
      <c r="E5769" s="1" t="s">
        <v>22</v>
      </c>
      <c r="F5769">
        <v>7.6</v>
      </c>
      <c r="G5769">
        <v>1</v>
      </c>
      <c r="H5769" s="1" t="s">
        <v>14</v>
      </c>
      <c r="I5769" s="1" t="s">
        <v>15</v>
      </c>
      <c r="J5769" s="12">
        <v>46014</v>
      </c>
      <c r="K5769">
        <v>0</v>
      </c>
      <c r="L5769" s="1">
        <f t="shared" si="360"/>
        <v>7.6</v>
      </c>
      <c r="M5769" s="1" t="str">
        <f t="shared" si="361"/>
        <v/>
      </c>
      <c r="N5769" s="2">
        <f t="shared" si="362"/>
        <v>45992</v>
      </c>
      <c r="O5769" t="str">
        <f t="shared" si="363"/>
        <v>pes</v>
      </c>
    </row>
    <row r="5770" spans="1:15" hidden="1" x14ac:dyDescent="0.25">
      <c r="A5770">
        <v>13229</v>
      </c>
      <c r="B5770" s="11">
        <v>4056789012345</v>
      </c>
      <c r="C5770" s="1" t="s">
        <v>47</v>
      </c>
      <c r="D5770" s="1" t="s">
        <v>29</v>
      </c>
      <c r="E5770" s="1" t="s">
        <v>37</v>
      </c>
      <c r="F5770">
        <v>2.4</v>
      </c>
      <c r="G5770">
        <v>2</v>
      </c>
      <c r="H5770" s="1" t="s">
        <v>14</v>
      </c>
      <c r="I5770" s="1" t="s">
        <v>15</v>
      </c>
      <c r="J5770" s="12">
        <v>46014</v>
      </c>
      <c r="K5770">
        <v>0</v>
      </c>
      <c r="L5770" s="1">
        <f t="shared" si="360"/>
        <v>4.8</v>
      </c>
      <c r="M5770" s="1" t="str">
        <f t="shared" si="361"/>
        <v/>
      </c>
      <c r="N5770" s="2">
        <f t="shared" si="362"/>
        <v>45992</v>
      </c>
      <c r="O5770" t="str">
        <f t="shared" si="363"/>
        <v>mačka</v>
      </c>
    </row>
    <row r="5771" spans="1:15" hidden="1" x14ac:dyDescent="0.25">
      <c r="A5771">
        <v>13230</v>
      </c>
      <c r="B5771" s="11">
        <v>8593456789012</v>
      </c>
      <c r="C5771" s="1" t="s">
        <v>28</v>
      </c>
      <c r="D5771" s="1" t="s">
        <v>29</v>
      </c>
      <c r="E5771" s="1" t="s">
        <v>30</v>
      </c>
      <c r="F5771">
        <v>42</v>
      </c>
      <c r="G5771">
        <v>1</v>
      </c>
      <c r="H5771" s="1" t="s">
        <v>14</v>
      </c>
      <c r="I5771" s="1" t="s">
        <v>15</v>
      </c>
      <c r="J5771" s="12">
        <v>46014</v>
      </c>
      <c r="K5771">
        <v>0</v>
      </c>
      <c r="L5771" s="1">
        <f t="shared" si="360"/>
        <v>42</v>
      </c>
      <c r="M5771" s="1" t="str">
        <f t="shared" si="361"/>
        <v/>
      </c>
      <c r="N5771" s="2">
        <f t="shared" si="362"/>
        <v>45992</v>
      </c>
      <c r="O5771" t="str">
        <f t="shared" si="363"/>
        <v>mačka</v>
      </c>
    </row>
    <row r="5772" spans="1:15" x14ac:dyDescent="0.25">
      <c r="A5772">
        <v>13231</v>
      </c>
      <c r="B5772" s="11">
        <v>4022345678908</v>
      </c>
      <c r="C5772" s="1" t="s">
        <v>363</v>
      </c>
      <c r="D5772" s="1" t="s">
        <v>21</v>
      </c>
      <c r="E5772" s="1" t="s">
        <v>69</v>
      </c>
      <c r="F5772">
        <v>10</v>
      </c>
      <c r="G5772">
        <v>1</v>
      </c>
      <c r="H5772" s="1" t="s">
        <v>14</v>
      </c>
      <c r="I5772" s="1" t="s">
        <v>15</v>
      </c>
      <c r="J5772" s="12">
        <v>46014</v>
      </c>
      <c r="K5772">
        <v>0</v>
      </c>
      <c r="L5772" s="1">
        <f t="shared" si="360"/>
        <v>10</v>
      </c>
      <c r="M5772" s="1" t="str">
        <f t="shared" si="361"/>
        <v/>
      </c>
      <c r="N5772" s="2">
        <f t="shared" si="362"/>
        <v>45992</v>
      </c>
      <c r="O5772" t="str">
        <f t="shared" si="363"/>
        <v>pes</v>
      </c>
    </row>
    <row r="5773" spans="1:15" hidden="1" x14ac:dyDescent="0.25">
      <c r="A5773">
        <v>13232</v>
      </c>
      <c r="B5773" s="11">
        <v>4010123456783</v>
      </c>
      <c r="C5773" s="1" t="s">
        <v>35</v>
      </c>
      <c r="D5773" s="1" t="s">
        <v>36</v>
      </c>
      <c r="E5773" s="1" t="s">
        <v>37</v>
      </c>
      <c r="F5773">
        <v>14</v>
      </c>
      <c r="G5773">
        <v>1</v>
      </c>
      <c r="H5773" s="1" t="s">
        <v>14</v>
      </c>
      <c r="I5773" s="1" t="s">
        <v>15</v>
      </c>
      <c r="J5773" s="12">
        <v>46014</v>
      </c>
      <c r="K5773">
        <v>0</v>
      </c>
      <c r="L5773" s="1">
        <f t="shared" si="360"/>
        <v>14</v>
      </c>
      <c r="M5773" s="1" t="str">
        <f t="shared" si="361"/>
        <v/>
      </c>
      <c r="N5773" s="2">
        <f t="shared" si="362"/>
        <v>45992</v>
      </c>
      <c r="O5773" t="str">
        <f t="shared" si="363"/>
        <v>mačka</v>
      </c>
    </row>
    <row r="5774" spans="1:15" x14ac:dyDescent="0.25">
      <c r="A5774">
        <v>13233</v>
      </c>
      <c r="B5774" s="11">
        <v>4028899001126</v>
      </c>
      <c r="C5774" s="1" t="s">
        <v>16</v>
      </c>
      <c r="D5774" s="1" t="s">
        <v>12</v>
      </c>
      <c r="E5774" s="1" t="s">
        <v>17</v>
      </c>
      <c r="F5774">
        <v>2.8</v>
      </c>
      <c r="G5774">
        <v>3</v>
      </c>
      <c r="H5774" s="1" t="s">
        <v>18</v>
      </c>
      <c r="I5774" s="1" t="s">
        <v>1323</v>
      </c>
      <c r="J5774" s="12">
        <v>46014</v>
      </c>
      <c r="K5774">
        <v>0</v>
      </c>
      <c r="L5774" s="1">
        <f t="shared" si="360"/>
        <v>8.3999999999999986</v>
      </c>
      <c r="M5774" s="1">
        <f t="shared" si="361"/>
        <v>4</v>
      </c>
      <c r="N5774" s="2">
        <f t="shared" si="362"/>
        <v>45992</v>
      </c>
      <c r="O5774" t="str">
        <f t="shared" si="363"/>
        <v>pes</v>
      </c>
    </row>
    <row r="5775" spans="1:15" x14ac:dyDescent="0.25">
      <c r="A5775">
        <v>13234</v>
      </c>
      <c r="B5775" s="11">
        <v>4040123456795</v>
      </c>
      <c r="C5775" s="1" t="s">
        <v>20</v>
      </c>
      <c r="D5775" s="1" t="s">
        <v>21</v>
      </c>
      <c r="E5775" s="1" t="s">
        <v>22</v>
      </c>
      <c r="F5775">
        <v>8.8000000000000007</v>
      </c>
      <c r="G5775">
        <v>1</v>
      </c>
      <c r="H5775" s="1" t="s">
        <v>14</v>
      </c>
      <c r="I5775" s="1" t="s">
        <v>15</v>
      </c>
      <c r="J5775" s="12">
        <v>46015</v>
      </c>
      <c r="K5775">
        <v>0</v>
      </c>
      <c r="L5775" s="1">
        <f t="shared" si="360"/>
        <v>8.8000000000000007</v>
      </c>
      <c r="M5775" s="1" t="str">
        <f t="shared" si="361"/>
        <v/>
      </c>
      <c r="N5775" s="2">
        <f t="shared" si="362"/>
        <v>45992</v>
      </c>
      <c r="O5775" t="str">
        <f t="shared" si="363"/>
        <v>pes</v>
      </c>
    </row>
    <row r="5776" spans="1:15" x14ac:dyDescent="0.25">
      <c r="A5776">
        <v>13235</v>
      </c>
      <c r="B5776" s="11">
        <v>4027788990013</v>
      </c>
      <c r="C5776" s="1" t="s">
        <v>43</v>
      </c>
      <c r="D5776" s="1" t="s">
        <v>21</v>
      </c>
      <c r="E5776" s="1" t="s">
        <v>22</v>
      </c>
      <c r="F5776">
        <v>8</v>
      </c>
      <c r="G5776">
        <v>1</v>
      </c>
      <c r="H5776" s="1" t="s">
        <v>14</v>
      </c>
      <c r="I5776" s="1" t="s">
        <v>15</v>
      </c>
      <c r="J5776" s="12">
        <v>46015</v>
      </c>
      <c r="K5776">
        <v>0</v>
      </c>
      <c r="L5776" s="1">
        <f t="shared" si="360"/>
        <v>8</v>
      </c>
      <c r="M5776" s="1" t="str">
        <f t="shared" si="361"/>
        <v/>
      </c>
      <c r="N5776" s="2">
        <f t="shared" si="362"/>
        <v>45992</v>
      </c>
      <c r="O5776" t="str">
        <f t="shared" si="363"/>
        <v>pes</v>
      </c>
    </row>
    <row r="5777" spans="1:15" x14ac:dyDescent="0.25">
      <c r="A5777">
        <v>13236</v>
      </c>
      <c r="B5777" s="11">
        <v>4003344556679</v>
      </c>
      <c r="C5777" s="1" t="s">
        <v>132</v>
      </c>
      <c r="D5777" s="1" t="s">
        <v>133</v>
      </c>
      <c r="E5777" s="1" t="s">
        <v>134</v>
      </c>
      <c r="F5777">
        <v>51.64</v>
      </c>
      <c r="G5777">
        <v>1</v>
      </c>
      <c r="H5777" s="1" t="s">
        <v>14</v>
      </c>
      <c r="I5777" s="1" t="s">
        <v>15</v>
      </c>
      <c r="J5777" s="12">
        <v>46015</v>
      </c>
      <c r="K5777">
        <v>0</v>
      </c>
      <c r="L5777" s="1">
        <f t="shared" si="360"/>
        <v>51.64</v>
      </c>
      <c r="M5777" s="1" t="str">
        <f t="shared" si="361"/>
        <v/>
      </c>
      <c r="N5777" s="2">
        <f t="shared" si="362"/>
        <v>45992</v>
      </c>
      <c r="O5777" t="str">
        <f t="shared" si="363"/>
        <v>pes</v>
      </c>
    </row>
    <row r="5778" spans="1:15" hidden="1" x14ac:dyDescent="0.25">
      <c r="A5778">
        <v>13237</v>
      </c>
      <c r="B5778" s="11">
        <v>4056789012345</v>
      </c>
      <c r="C5778" s="1" t="s">
        <v>47</v>
      </c>
      <c r="D5778" s="1" t="s">
        <v>29</v>
      </c>
      <c r="E5778" s="1" t="s">
        <v>37</v>
      </c>
      <c r="F5778">
        <v>2.4</v>
      </c>
      <c r="G5778">
        <v>2</v>
      </c>
      <c r="H5778" s="1" t="s">
        <v>14</v>
      </c>
      <c r="I5778" s="1" t="s">
        <v>15</v>
      </c>
      <c r="J5778" s="12">
        <v>46015</v>
      </c>
      <c r="K5778">
        <v>0</v>
      </c>
      <c r="L5778" s="1">
        <f t="shared" si="360"/>
        <v>4.8</v>
      </c>
      <c r="M5778" s="1" t="str">
        <f t="shared" si="361"/>
        <v/>
      </c>
      <c r="N5778" s="2">
        <f t="shared" si="362"/>
        <v>45992</v>
      </c>
      <c r="O5778" t="str">
        <f t="shared" si="363"/>
        <v>mačka</v>
      </c>
    </row>
    <row r="5779" spans="1:15" hidden="1" x14ac:dyDescent="0.25">
      <c r="A5779">
        <v>13238</v>
      </c>
      <c r="B5779" s="11">
        <v>4067890123456</v>
      </c>
      <c r="C5779" s="1" t="s">
        <v>68</v>
      </c>
      <c r="D5779" s="1" t="s">
        <v>29</v>
      </c>
      <c r="E5779" s="1" t="s">
        <v>69</v>
      </c>
      <c r="F5779">
        <v>36</v>
      </c>
      <c r="G5779">
        <v>1</v>
      </c>
      <c r="H5779" s="1" t="s">
        <v>14</v>
      </c>
      <c r="I5779" s="1" t="s">
        <v>15</v>
      </c>
      <c r="J5779" s="12">
        <v>46015</v>
      </c>
      <c r="K5779">
        <v>0</v>
      </c>
      <c r="L5779" s="1">
        <f t="shared" si="360"/>
        <v>36</v>
      </c>
      <c r="M5779" s="1" t="str">
        <f t="shared" si="361"/>
        <v/>
      </c>
      <c r="N5779" s="2">
        <f t="shared" si="362"/>
        <v>45992</v>
      </c>
      <c r="O5779" t="str">
        <f t="shared" si="363"/>
        <v>mačka</v>
      </c>
    </row>
    <row r="5780" spans="1:15" x14ac:dyDescent="0.25">
      <c r="A5780">
        <v>13239</v>
      </c>
      <c r="B5780" s="11">
        <v>4013456789017</v>
      </c>
      <c r="C5780" s="1" t="s">
        <v>11</v>
      </c>
      <c r="D5780" s="1" t="s">
        <v>12</v>
      </c>
      <c r="E5780" s="1" t="s">
        <v>13</v>
      </c>
      <c r="F5780">
        <v>6</v>
      </c>
      <c r="G5780">
        <v>1</v>
      </c>
      <c r="H5780" s="1" t="s">
        <v>14</v>
      </c>
      <c r="I5780" s="1" t="s">
        <v>15</v>
      </c>
      <c r="J5780" s="12">
        <v>46015</v>
      </c>
      <c r="K5780">
        <v>0</v>
      </c>
      <c r="L5780" s="1">
        <f t="shared" si="360"/>
        <v>6</v>
      </c>
      <c r="M5780" s="1" t="str">
        <f t="shared" si="361"/>
        <v/>
      </c>
      <c r="N5780" s="2">
        <f t="shared" si="362"/>
        <v>45992</v>
      </c>
      <c r="O5780" t="str">
        <f t="shared" si="363"/>
        <v>pes</v>
      </c>
    </row>
    <row r="5781" spans="1:15" x14ac:dyDescent="0.25">
      <c r="A5781">
        <v>13240</v>
      </c>
      <c r="B5781" s="11">
        <v>4028899001126</v>
      </c>
      <c r="C5781" s="1" t="s">
        <v>16</v>
      </c>
      <c r="D5781" s="1" t="s">
        <v>12</v>
      </c>
      <c r="E5781" s="1" t="s">
        <v>17</v>
      </c>
      <c r="F5781">
        <v>2.8</v>
      </c>
      <c r="G5781">
        <v>3</v>
      </c>
      <c r="H5781" s="1" t="s">
        <v>14</v>
      </c>
      <c r="I5781" s="1" t="s">
        <v>15</v>
      </c>
      <c r="J5781" s="12">
        <v>46015</v>
      </c>
      <c r="K5781">
        <v>0</v>
      </c>
      <c r="L5781" s="1">
        <f t="shared" si="360"/>
        <v>8.3999999999999986</v>
      </c>
      <c r="M5781" s="1" t="str">
        <f t="shared" si="361"/>
        <v/>
      </c>
      <c r="N5781" s="2">
        <f t="shared" si="362"/>
        <v>45992</v>
      </c>
      <c r="O5781" t="str">
        <f t="shared" si="363"/>
        <v>pes</v>
      </c>
    </row>
    <row r="5782" spans="1:15" x14ac:dyDescent="0.25">
      <c r="A5782">
        <v>13241</v>
      </c>
      <c r="B5782" s="11">
        <v>4017890123450</v>
      </c>
      <c r="C5782" s="1" t="s">
        <v>65</v>
      </c>
      <c r="D5782" s="1" t="s">
        <v>39</v>
      </c>
      <c r="E5782" s="1" t="s">
        <v>22</v>
      </c>
      <c r="F5782">
        <v>7.6</v>
      </c>
      <c r="G5782">
        <v>1</v>
      </c>
      <c r="H5782" s="1" t="s">
        <v>18</v>
      </c>
      <c r="I5782" s="1" t="s">
        <v>1324</v>
      </c>
      <c r="J5782" s="12">
        <v>46015</v>
      </c>
      <c r="K5782">
        <v>0</v>
      </c>
      <c r="L5782" s="1">
        <f t="shared" si="360"/>
        <v>7.6</v>
      </c>
      <c r="M5782" s="1">
        <f t="shared" si="361"/>
        <v>4</v>
      </c>
      <c r="N5782" s="2">
        <f t="shared" si="362"/>
        <v>45992</v>
      </c>
      <c r="O5782" t="str">
        <f t="shared" si="363"/>
        <v>pes</v>
      </c>
    </row>
    <row r="5783" spans="1:15" x14ac:dyDescent="0.25">
      <c r="A5783">
        <v>13242</v>
      </c>
      <c r="B5783" s="11">
        <v>4027788990013</v>
      </c>
      <c r="C5783" s="1" t="s">
        <v>43</v>
      </c>
      <c r="D5783" s="1" t="s">
        <v>21</v>
      </c>
      <c r="E5783" s="1" t="s">
        <v>22</v>
      </c>
      <c r="F5783">
        <v>8</v>
      </c>
      <c r="G5783">
        <v>1</v>
      </c>
      <c r="H5783" s="1" t="s">
        <v>14</v>
      </c>
      <c r="I5783" s="1" t="s">
        <v>15</v>
      </c>
      <c r="J5783" s="12">
        <v>46015</v>
      </c>
      <c r="K5783">
        <v>0</v>
      </c>
      <c r="L5783" s="1">
        <f t="shared" si="360"/>
        <v>8</v>
      </c>
      <c r="M5783" s="1" t="str">
        <f t="shared" si="361"/>
        <v/>
      </c>
      <c r="N5783" s="2">
        <f t="shared" si="362"/>
        <v>45992</v>
      </c>
      <c r="O5783" t="str">
        <f t="shared" si="363"/>
        <v>pes</v>
      </c>
    </row>
    <row r="5784" spans="1:15" hidden="1" x14ac:dyDescent="0.25">
      <c r="A5784">
        <v>13243</v>
      </c>
      <c r="B5784" s="11">
        <v>8593456789012</v>
      </c>
      <c r="C5784" s="1" t="s">
        <v>28</v>
      </c>
      <c r="D5784" s="1" t="s">
        <v>29</v>
      </c>
      <c r="E5784" s="1" t="s">
        <v>30</v>
      </c>
      <c r="F5784">
        <v>42</v>
      </c>
      <c r="G5784">
        <v>1</v>
      </c>
      <c r="H5784" s="1" t="s">
        <v>14</v>
      </c>
      <c r="I5784" s="1" t="s">
        <v>15</v>
      </c>
      <c r="J5784" s="12">
        <v>46015</v>
      </c>
      <c r="K5784">
        <v>0</v>
      </c>
      <c r="L5784" s="1">
        <f t="shared" si="360"/>
        <v>42</v>
      </c>
      <c r="M5784" s="1" t="str">
        <f t="shared" si="361"/>
        <v/>
      </c>
      <c r="N5784" s="2">
        <f t="shared" si="362"/>
        <v>45992</v>
      </c>
      <c r="O5784" t="str">
        <f t="shared" si="363"/>
        <v>mačka</v>
      </c>
    </row>
    <row r="5785" spans="1:15" hidden="1" x14ac:dyDescent="0.25">
      <c r="A5785">
        <v>13244</v>
      </c>
      <c r="B5785" s="11">
        <v>4056789012345</v>
      </c>
      <c r="C5785" s="1" t="s">
        <v>47</v>
      </c>
      <c r="D5785" s="1" t="s">
        <v>29</v>
      </c>
      <c r="E5785" s="1" t="s">
        <v>37</v>
      </c>
      <c r="F5785">
        <v>2.4</v>
      </c>
      <c r="G5785">
        <v>2</v>
      </c>
      <c r="H5785" s="1" t="s">
        <v>14</v>
      </c>
      <c r="I5785" s="1" t="s">
        <v>15</v>
      </c>
      <c r="J5785" s="12">
        <v>46015</v>
      </c>
      <c r="K5785">
        <v>0</v>
      </c>
      <c r="L5785" s="1">
        <f t="shared" si="360"/>
        <v>4.8</v>
      </c>
      <c r="M5785" s="1" t="str">
        <f t="shared" si="361"/>
        <v/>
      </c>
      <c r="N5785" s="2">
        <f t="shared" si="362"/>
        <v>45992</v>
      </c>
      <c r="O5785" t="str">
        <f t="shared" si="363"/>
        <v>mačka</v>
      </c>
    </row>
    <row r="5786" spans="1:15" x14ac:dyDescent="0.25">
      <c r="A5786">
        <v>13245</v>
      </c>
      <c r="B5786" s="11">
        <v>4022345678908</v>
      </c>
      <c r="C5786" s="1" t="s">
        <v>363</v>
      </c>
      <c r="D5786" s="1" t="s">
        <v>21</v>
      </c>
      <c r="E5786" s="1" t="s">
        <v>69</v>
      </c>
      <c r="F5786">
        <v>10</v>
      </c>
      <c r="G5786">
        <v>1</v>
      </c>
      <c r="H5786" s="1" t="s">
        <v>14</v>
      </c>
      <c r="I5786" s="1" t="s">
        <v>15</v>
      </c>
      <c r="J5786" s="12">
        <v>46016</v>
      </c>
      <c r="K5786">
        <v>0</v>
      </c>
      <c r="L5786" s="1">
        <f t="shared" si="360"/>
        <v>10</v>
      </c>
      <c r="M5786" s="1" t="str">
        <f t="shared" si="361"/>
        <v/>
      </c>
      <c r="N5786" s="2">
        <f t="shared" si="362"/>
        <v>45992</v>
      </c>
      <c r="O5786" t="str">
        <f t="shared" si="363"/>
        <v>pes</v>
      </c>
    </row>
    <row r="5787" spans="1:15" x14ac:dyDescent="0.25">
      <c r="A5787">
        <v>13246</v>
      </c>
      <c r="B5787" s="11">
        <v>4013456789017</v>
      </c>
      <c r="C5787" s="1" t="s">
        <v>11</v>
      </c>
      <c r="D5787" s="1" t="s">
        <v>12</v>
      </c>
      <c r="E5787" s="1" t="s">
        <v>13</v>
      </c>
      <c r="F5787">
        <v>6</v>
      </c>
      <c r="G5787">
        <v>1</v>
      </c>
      <c r="H5787" s="1" t="s">
        <v>14</v>
      </c>
      <c r="I5787" s="1" t="s">
        <v>15</v>
      </c>
      <c r="J5787" s="12">
        <v>46016</v>
      </c>
      <c r="K5787">
        <v>0</v>
      </c>
      <c r="L5787" s="1">
        <f t="shared" si="360"/>
        <v>6</v>
      </c>
      <c r="M5787" s="1" t="str">
        <f t="shared" si="361"/>
        <v/>
      </c>
      <c r="N5787" s="2">
        <f t="shared" si="362"/>
        <v>45992</v>
      </c>
      <c r="O5787" t="str">
        <f t="shared" si="363"/>
        <v>pes</v>
      </c>
    </row>
    <row r="5788" spans="1:15" x14ac:dyDescent="0.25">
      <c r="A5788">
        <v>13247</v>
      </c>
      <c r="B5788" s="11">
        <v>4028899001126</v>
      </c>
      <c r="C5788" s="1" t="s">
        <v>16</v>
      </c>
      <c r="D5788" s="1" t="s">
        <v>12</v>
      </c>
      <c r="E5788" s="1" t="s">
        <v>17</v>
      </c>
      <c r="F5788">
        <v>2.8</v>
      </c>
      <c r="G5788">
        <v>3</v>
      </c>
      <c r="H5788" s="1" t="s">
        <v>14</v>
      </c>
      <c r="I5788" s="1" t="s">
        <v>15</v>
      </c>
      <c r="J5788" s="12">
        <v>46016</v>
      </c>
      <c r="K5788">
        <v>0</v>
      </c>
      <c r="L5788" s="1">
        <f t="shared" si="360"/>
        <v>8.3999999999999986</v>
      </c>
      <c r="M5788" s="1" t="str">
        <f t="shared" si="361"/>
        <v/>
      </c>
      <c r="N5788" s="2">
        <f t="shared" si="362"/>
        <v>45992</v>
      </c>
      <c r="O5788" t="str">
        <f t="shared" si="363"/>
        <v>pes</v>
      </c>
    </row>
    <row r="5789" spans="1:15" x14ac:dyDescent="0.25">
      <c r="A5789">
        <v>13248</v>
      </c>
      <c r="B5789" s="11">
        <v>4040123456795</v>
      </c>
      <c r="C5789" s="1" t="s">
        <v>20</v>
      </c>
      <c r="D5789" s="1" t="s">
        <v>21</v>
      </c>
      <c r="E5789" s="1" t="s">
        <v>22</v>
      </c>
      <c r="F5789">
        <v>8.8000000000000007</v>
      </c>
      <c r="G5789">
        <v>1</v>
      </c>
      <c r="H5789" s="1" t="s">
        <v>14</v>
      </c>
      <c r="I5789" s="1" t="s">
        <v>15</v>
      </c>
      <c r="J5789" s="12">
        <v>46016</v>
      </c>
      <c r="K5789">
        <v>0</v>
      </c>
      <c r="L5789" s="1">
        <f t="shared" si="360"/>
        <v>8.8000000000000007</v>
      </c>
      <c r="M5789" s="1" t="str">
        <f t="shared" si="361"/>
        <v/>
      </c>
      <c r="N5789" s="2">
        <f t="shared" si="362"/>
        <v>45992</v>
      </c>
      <c r="O5789" t="str">
        <f t="shared" si="363"/>
        <v>pes</v>
      </c>
    </row>
    <row r="5790" spans="1:15" x14ac:dyDescent="0.25">
      <c r="A5790">
        <v>13249</v>
      </c>
      <c r="B5790" s="11">
        <v>4027788990013</v>
      </c>
      <c r="C5790" s="1" t="s">
        <v>43</v>
      </c>
      <c r="D5790" s="1" t="s">
        <v>21</v>
      </c>
      <c r="E5790" s="1" t="s">
        <v>22</v>
      </c>
      <c r="F5790">
        <v>8</v>
      </c>
      <c r="G5790">
        <v>1</v>
      </c>
      <c r="H5790" s="1" t="s">
        <v>14</v>
      </c>
      <c r="I5790" s="1" t="s">
        <v>15</v>
      </c>
      <c r="J5790" s="12">
        <v>46016</v>
      </c>
      <c r="K5790">
        <v>0</v>
      </c>
      <c r="L5790" s="1">
        <f t="shared" si="360"/>
        <v>8</v>
      </c>
      <c r="M5790" s="1" t="str">
        <f t="shared" si="361"/>
        <v/>
      </c>
      <c r="N5790" s="2">
        <f t="shared" si="362"/>
        <v>45992</v>
      </c>
      <c r="O5790" t="str">
        <f t="shared" si="363"/>
        <v>pes</v>
      </c>
    </row>
    <row r="5791" spans="1:15" x14ac:dyDescent="0.25">
      <c r="A5791">
        <v>13250</v>
      </c>
      <c r="B5791" s="11">
        <v>4003344556679</v>
      </c>
      <c r="C5791" s="1" t="s">
        <v>132</v>
      </c>
      <c r="D5791" s="1" t="s">
        <v>133</v>
      </c>
      <c r="E5791" s="1" t="s">
        <v>134</v>
      </c>
      <c r="F5791">
        <v>51.64</v>
      </c>
      <c r="G5791">
        <v>1</v>
      </c>
      <c r="H5791" s="1" t="s">
        <v>14</v>
      </c>
      <c r="I5791" s="1" t="s">
        <v>15</v>
      </c>
      <c r="J5791" s="12">
        <v>46016</v>
      </c>
      <c r="K5791">
        <v>0</v>
      </c>
      <c r="L5791" s="1">
        <f t="shared" si="360"/>
        <v>51.64</v>
      </c>
      <c r="M5791" s="1" t="str">
        <f t="shared" si="361"/>
        <v/>
      </c>
      <c r="N5791" s="2">
        <f t="shared" si="362"/>
        <v>45992</v>
      </c>
      <c r="O5791" t="str">
        <f t="shared" si="363"/>
        <v>pes</v>
      </c>
    </row>
    <row r="5792" spans="1:15" hidden="1" x14ac:dyDescent="0.25">
      <c r="A5792">
        <v>13251</v>
      </c>
      <c r="B5792" s="11">
        <v>4010123456783</v>
      </c>
      <c r="C5792" s="1" t="s">
        <v>35</v>
      </c>
      <c r="D5792" s="1" t="s">
        <v>36</v>
      </c>
      <c r="E5792" s="1" t="s">
        <v>37</v>
      </c>
      <c r="F5792">
        <v>14</v>
      </c>
      <c r="G5792">
        <v>1</v>
      </c>
      <c r="H5792" s="1" t="s">
        <v>14</v>
      </c>
      <c r="I5792" s="1" t="s">
        <v>15</v>
      </c>
      <c r="J5792" s="12">
        <v>46016</v>
      </c>
      <c r="K5792">
        <v>0</v>
      </c>
      <c r="L5792" s="1">
        <f t="shared" si="360"/>
        <v>14</v>
      </c>
      <c r="M5792" s="1" t="str">
        <f t="shared" si="361"/>
        <v/>
      </c>
      <c r="N5792" s="2">
        <f t="shared" si="362"/>
        <v>45992</v>
      </c>
      <c r="O5792" t="str">
        <f t="shared" si="363"/>
        <v>mačka</v>
      </c>
    </row>
    <row r="5793" spans="1:15" x14ac:dyDescent="0.25">
      <c r="A5793">
        <v>13252</v>
      </c>
      <c r="B5793" s="11">
        <v>4028899001126</v>
      </c>
      <c r="C5793" s="1" t="s">
        <v>16</v>
      </c>
      <c r="D5793" s="1" t="s">
        <v>12</v>
      </c>
      <c r="E5793" s="1" t="s">
        <v>17</v>
      </c>
      <c r="F5793">
        <v>2.8</v>
      </c>
      <c r="G5793">
        <v>3</v>
      </c>
      <c r="H5793" s="1" t="s">
        <v>18</v>
      </c>
      <c r="I5793" s="1" t="s">
        <v>1325</v>
      </c>
      <c r="J5793" s="12">
        <v>46016</v>
      </c>
      <c r="K5793">
        <v>0</v>
      </c>
      <c r="L5793" s="1">
        <f t="shared" si="360"/>
        <v>8.3999999999999986</v>
      </c>
      <c r="M5793" s="1">
        <f t="shared" si="361"/>
        <v>4</v>
      </c>
      <c r="N5793" s="2">
        <f t="shared" si="362"/>
        <v>45992</v>
      </c>
      <c r="O5793" t="str">
        <f t="shared" si="363"/>
        <v>pes</v>
      </c>
    </row>
    <row r="5794" spans="1:15" x14ac:dyDescent="0.25">
      <c r="A5794">
        <v>13253</v>
      </c>
      <c r="B5794" s="11">
        <v>4013456789017</v>
      </c>
      <c r="C5794" s="1" t="s">
        <v>11</v>
      </c>
      <c r="D5794" s="1" t="s">
        <v>12</v>
      </c>
      <c r="E5794" s="1" t="s">
        <v>13</v>
      </c>
      <c r="F5794">
        <v>6</v>
      </c>
      <c r="G5794">
        <v>1</v>
      </c>
      <c r="H5794" s="1" t="s">
        <v>14</v>
      </c>
      <c r="I5794" s="1" t="s">
        <v>15</v>
      </c>
      <c r="J5794" s="12">
        <v>46017</v>
      </c>
      <c r="K5794">
        <v>0</v>
      </c>
      <c r="L5794" s="1">
        <f t="shared" si="360"/>
        <v>6</v>
      </c>
      <c r="M5794" s="1" t="str">
        <f t="shared" si="361"/>
        <v/>
      </c>
      <c r="N5794" s="2">
        <f t="shared" si="362"/>
        <v>45992</v>
      </c>
      <c r="O5794" t="str">
        <f t="shared" si="363"/>
        <v>pes</v>
      </c>
    </row>
    <row r="5795" spans="1:15" hidden="1" x14ac:dyDescent="0.25">
      <c r="A5795">
        <v>13254</v>
      </c>
      <c r="B5795" s="11">
        <v>4042233445567</v>
      </c>
      <c r="C5795" s="1" t="s">
        <v>637</v>
      </c>
      <c r="D5795" s="1" t="s">
        <v>140</v>
      </c>
      <c r="E5795" s="1" t="s">
        <v>141</v>
      </c>
      <c r="F5795">
        <v>51.64</v>
      </c>
      <c r="G5795">
        <v>1</v>
      </c>
      <c r="H5795" s="1" t="s">
        <v>14</v>
      </c>
      <c r="I5795" s="1" t="s">
        <v>15</v>
      </c>
      <c r="J5795" s="12">
        <v>46017</v>
      </c>
      <c r="K5795">
        <v>0</v>
      </c>
      <c r="L5795" s="1">
        <f t="shared" si="360"/>
        <v>51.64</v>
      </c>
      <c r="M5795" s="1" t="str">
        <f t="shared" si="361"/>
        <v/>
      </c>
      <c r="N5795" s="2">
        <f t="shared" si="362"/>
        <v>45992</v>
      </c>
      <c r="O5795" t="str">
        <f t="shared" si="363"/>
        <v>mačka</v>
      </c>
    </row>
    <row r="5796" spans="1:15" x14ac:dyDescent="0.25">
      <c r="A5796">
        <v>13255</v>
      </c>
      <c r="B5796" s="11">
        <v>4027788990013</v>
      </c>
      <c r="C5796" s="1" t="s">
        <v>43</v>
      </c>
      <c r="D5796" s="1" t="s">
        <v>21</v>
      </c>
      <c r="E5796" s="1" t="s">
        <v>22</v>
      </c>
      <c r="F5796">
        <v>8</v>
      </c>
      <c r="G5796">
        <v>1</v>
      </c>
      <c r="H5796" s="1" t="s">
        <v>14</v>
      </c>
      <c r="I5796" s="1" t="s">
        <v>15</v>
      </c>
      <c r="J5796" s="12">
        <v>46017</v>
      </c>
      <c r="K5796">
        <v>0</v>
      </c>
      <c r="L5796" s="1">
        <f t="shared" si="360"/>
        <v>8</v>
      </c>
      <c r="M5796" s="1" t="str">
        <f t="shared" si="361"/>
        <v/>
      </c>
      <c r="N5796" s="2">
        <f t="shared" si="362"/>
        <v>45992</v>
      </c>
      <c r="O5796" t="str">
        <f t="shared" si="363"/>
        <v>pes</v>
      </c>
    </row>
    <row r="5797" spans="1:15" x14ac:dyDescent="0.25">
      <c r="A5797">
        <v>13256</v>
      </c>
      <c r="B5797" s="11">
        <v>4003344556679</v>
      </c>
      <c r="C5797" s="1" t="s">
        <v>132</v>
      </c>
      <c r="D5797" s="1" t="s">
        <v>133</v>
      </c>
      <c r="E5797" s="1" t="s">
        <v>134</v>
      </c>
      <c r="F5797">
        <v>51.64</v>
      </c>
      <c r="G5797">
        <v>1</v>
      </c>
      <c r="H5797" s="1" t="s">
        <v>14</v>
      </c>
      <c r="I5797" s="1" t="s">
        <v>15</v>
      </c>
      <c r="J5797" s="12">
        <v>46017</v>
      </c>
      <c r="K5797">
        <v>0</v>
      </c>
      <c r="L5797" s="1">
        <f t="shared" si="360"/>
        <v>51.64</v>
      </c>
      <c r="M5797" s="1" t="str">
        <f t="shared" si="361"/>
        <v/>
      </c>
      <c r="N5797" s="2">
        <f t="shared" si="362"/>
        <v>45992</v>
      </c>
      <c r="O5797" t="str">
        <f t="shared" si="363"/>
        <v>pes</v>
      </c>
    </row>
    <row r="5798" spans="1:15" hidden="1" x14ac:dyDescent="0.25">
      <c r="A5798">
        <v>13257</v>
      </c>
      <c r="B5798" s="11">
        <v>4056789012345</v>
      </c>
      <c r="C5798" s="1" t="s">
        <v>47</v>
      </c>
      <c r="D5798" s="1" t="s">
        <v>29</v>
      </c>
      <c r="E5798" s="1" t="s">
        <v>37</v>
      </c>
      <c r="F5798">
        <v>2.4</v>
      </c>
      <c r="G5798">
        <v>2</v>
      </c>
      <c r="H5798" s="1" t="s">
        <v>14</v>
      </c>
      <c r="I5798" s="1" t="s">
        <v>15</v>
      </c>
      <c r="J5798" s="12">
        <v>46017</v>
      </c>
      <c r="K5798">
        <v>0</v>
      </c>
      <c r="L5798" s="1">
        <f t="shared" si="360"/>
        <v>4.8</v>
      </c>
      <c r="M5798" s="1" t="str">
        <f t="shared" si="361"/>
        <v/>
      </c>
      <c r="N5798" s="2">
        <f t="shared" si="362"/>
        <v>45992</v>
      </c>
      <c r="O5798" t="str">
        <f t="shared" si="363"/>
        <v>mačka</v>
      </c>
    </row>
    <row r="5799" spans="1:15" hidden="1" x14ac:dyDescent="0.25">
      <c r="A5799">
        <v>13258</v>
      </c>
      <c r="B5799" s="11">
        <v>8593456789012</v>
      </c>
      <c r="C5799" s="1" t="s">
        <v>28</v>
      </c>
      <c r="D5799" s="1" t="s">
        <v>29</v>
      </c>
      <c r="E5799" s="1" t="s">
        <v>30</v>
      </c>
      <c r="F5799">
        <v>42</v>
      </c>
      <c r="G5799">
        <v>1</v>
      </c>
      <c r="H5799" s="1" t="s">
        <v>14</v>
      </c>
      <c r="I5799" s="1" t="s">
        <v>15</v>
      </c>
      <c r="J5799" s="12">
        <v>46017</v>
      </c>
      <c r="K5799">
        <v>0</v>
      </c>
      <c r="L5799" s="1">
        <f t="shared" si="360"/>
        <v>42</v>
      </c>
      <c r="M5799" s="1" t="str">
        <f t="shared" si="361"/>
        <v/>
      </c>
      <c r="N5799" s="2">
        <f t="shared" si="362"/>
        <v>45992</v>
      </c>
      <c r="O5799" t="str">
        <f t="shared" si="363"/>
        <v>mačka</v>
      </c>
    </row>
    <row r="5800" spans="1:15" x14ac:dyDescent="0.25">
      <c r="A5800">
        <v>13259</v>
      </c>
      <c r="B5800" s="11">
        <v>4022345678908</v>
      </c>
      <c r="C5800" s="1" t="s">
        <v>363</v>
      </c>
      <c r="D5800" s="1" t="s">
        <v>21</v>
      </c>
      <c r="E5800" s="1" t="s">
        <v>69</v>
      </c>
      <c r="F5800">
        <v>10</v>
      </c>
      <c r="G5800">
        <v>1</v>
      </c>
      <c r="H5800" s="1" t="s">
        <v>14</v>
      </c>
      <c r="I5800" s="1" t="s">
        <v>15</v>
      </c>
      <c r="J5800" s="12">
        <v>46017</v>
      </c>
      <c r="K5800">
        <v>0</v>
      </c>
      <c r="L5800" s="1">
        <f t="shared" si="360"/>
        <v>10</v>
      </c>
      <c r="M5800" s="1" t="str">
        <f t="shared" si="361"/>
        <v/>
      </c>
      <c r="N5800" s="2">
        <f t="shared" si="362"/>
        <v>45992</v>
      </c>
      <c r="O5800" t="str">
        <f t="shared" si="363"/>
        <v>pes</v>
      </c>
    </row>
    <row r="5801" spans="1:15" x14ac:dyDescent="0.25">
      <c r="A5801">
        <v>13260</v>
      </c>
      <c r="B5801" s="11">
        <v>4017890123450</v>
      </c>
      <c r="C5801" s="1" t="s">
        <v>65</v>
      </c>
      <c r="D5801" s="1" t="s">
        <v>39</v>
      </c>
      <c r="E5801" s="1" t="s">
        <v>22</v>
      </c>
      <c r="F5801">
        <v>7.6</v>
      </c>
      <c r="G5801">
        <v>1</v>
      </c>
      <c r="H5801" s="1" t="s">
        <v>14</v>
      </c>
      <c r="I5801" s="1" t="s">
        <v>15</v>
      </c>
      <c r="J5801" s="12">
        <v>46017</v>
      </c>
      <c r="K5801">
        <v>0</v>
      </c>
      <c r="L5801" s="1">
        <f t="shared" si="360"/>
        <v>7.6</v>
      </c>
      <c r="M5801" s="1" t="str">
        <f t="shared" si="361"/>
        <v/>
      </c>
      <c r="N5801" s="2">
        <f t="shared" si="362"/>
        <v>45992</v>
      </c>
      <c r="O5801" t="str">
        <f t="shared" si="363"/>
        <v>pes</v>
      </c>
    </row>
    <row r="5802" spans="1:15" x14ac:dyDescent="0.25">
      <c r="A5802">
        <v>13261</v>
      </c>
      <c r="B5802" s="11">
        <v>4028899001126</v>
      </c>
      <c r="C5802" s="1" t="s">
        <v>16</v>
      </c>
      <c r="D5802" s="1" t="s">
        <v>12</v>
      </c>
      <c r="E5802" s="1" t="s">
        <v>17</v>
      </c>
      <c r="F5802">
        <v>2.8</v>
      </c>
      <c r="G5802">
        <v>2</v>
      </c>
      <c r="H5802" s="1" t="s">
        <v>14</v>
      </c>
      <c r="I5802" s="1" t="s">
        <v>15</v>
      </c>
      <c r="J5802" s="12">
        <v>46017</v>
      </c>
      <c r="K5802">
        <v>0</v>
      </c>
      <c r="L5802" s="1">
        <f t="shared" si="360"/>
        <v>5.6</v>
      </c>
      <c r="M5802" s="1" t="str">
        <f t="shared" si="361"/>
        <v/>
      </c>
      <c r="N5802" s="2">
        <f t="shared" si="362"/>
        <v>45992</v>
      </c>
      <c r="O5802" t="str">
        <f t="shared" si="363"/>
        <v>pes</v>
      </c>
    </row>
    <row r="5803" spans="1:15" x14ac:dyDescent="0.25">
      <c r="A5803">
        <v>13262</v>
      </c>
      <c r="B5803" s="11">
        <v>4040123456795</v>
      </c>
      <c r="C5803" s="1" t="s">
        <v>20</v>
      </c>
      <c r="D5803" s="1" t="s">
        <v>21</v>
      </c>
      <c r="E5803" s="1" t="s">
        <v>22</v>
      </c>
      <c r="F5803">
        <v>8.8000000000000007</v>
      </c>
      <c r="G5803">
        <v>1</v>
      </c>
      <c r="H5803" s="1" t="s">
        <v>18</v>
      </c>
      <c r="I5803" s="1" t="s">
        <v>1326</v>
      </c>
      <c r="J5803" s="12">
        <v>46017</v>
      </c>
      <c r="K5803">
        <v>0</v>
      </c>
      <c r="L5803" s="1">
        <f t="shared" si="360"/>
        <v>8.8000000000000007</v>
      </c>
      <c r="M5803" s="1">
        <f t="shared" si="361"/>
        <v>4</v>
      </c>
      <c r="N5803" s="2">
        <f t="shared" si="362"/>
        <v>45992</v>
      </c>
      <c r="O5803" t="str">
        <f t="shared" si="363"/>
        <v>pes</v>
      </c>
    </row>
    <row r="5804" spans="1:15" x14ac:dyDescent="0.25">
      <c r="A5804">
        <v>13263</v>
      </c>
      <c r="B5804" s="11">
        <v>4027788990013</v>
      </c>
      <c r="C5804" s="1" t="s">
        <v>43</v>
      </c>
      <c r="D5804" s="1" t="s">
        <v>21</v>
      </c>
      <c r="E5804" s="1" t="s">
        <v>22</v>
      </c>
      <c r="F5804">
        <v>8</v>
      </c>
      <c r="G5804">
        <v>1</v>
      </c>
      <c r="H5804" s="1" t="s">
        <v>14</v>
      </c>
      <c r="I5804" s="1" t="s">
        <v>15</v>
      </c>
      <c r="J5804" s="12">
        <v>46017</v>
      </c>
      <c r="K5804">
        <v>0</v>
      </c>
      <c r="L5804" s="1">
        <f t="shared" si="360"/>
        <v>8</v>
      </c>
      <c r="M5804" s="1" t="str">
        <f t="shared" si="361"/>
        <v/>
      </c>
      <c r="N5804" s="2">
        <f t="shared" si="362"/>
        <v>45992</v>
      </c>
      <c r="O5804" t="str">
        <f t="shared" si="363"/>
        <v>pes</v>
      </c>
    </row>
    <row r="5805" spans="1:15" x14ac:dyDescent="0.25">
      <c r="A5805">
        <v>13264</v>
      </c>
      <c r="B5805" s="11">
        <v>4003344556679</v>
      </c>
      <c r="C5805" s="1" t="s">
        <v>132</v>
      </c>
      <c r="D5805" s="1" t="s">
        <v>133</v>
      </c>
      <c r="E5805" s="1" t="s">
        <v>134</v>
      </c>
      <c r="F5805">
        <v>51.64</v>
      </c>
      <c r="G5805">
        <v>1</v>
      </c>
      <c r="H5805" s="1" t="s">
        <v>14</v>
      </c>
      <c r="I5805" s="1" t="s">
        <v>15</v>
      </c>
      <c r="J5805" s="12">
        <v>46017</v>
      </c>
      <c r="K5805">
        <v>0</v>
      </c>
      <c r="L5805" s="1">
        <f t="shared" si="360"/>
        <v>51.64</v>
      </c>
      <c r="M5805" s="1" t="str">
        <f t="shared" si="361"/>
        <v/>
      </c>
      <c r="N5805" s="2">
        <f t="shared" si="362"/>
        <v>45992</v>
      </c>
      <c r="O5805" t="str">
        <f t="shared" si="363"/>
        <v>pes</v>
      </c>
    </row>
    <row r="5806" spans="1:15" hidden="1" x14ac:dyDescent="0.25">
      <c r="A5806">
        <v>13265</v>
      </c>
      <c r="B5806" s="11">
        <v>4056789012345</v>
      </c>
      <c r="C5806" s="1" t="s">
        <v>47</v>
      </c>
      <c r="D5806" s="1" t="s">
        <v>29</v>
      </c>
      <c r="E5806" s="1" t="s">
        <v>37</v>
      </c>
      <c r="F5806">
        <v>2.4</v>
      </c>
      <c r="G5806">
        <v>2</v>
      </c>
      <c r="H5806" s="1" t="s">
        <v>14</v>
      </c>
      <c r="I5806" s="1" t="s">
        <v>15</v>
      </c>
      <c r="J5806" s="12">
        <v>46017</v>
      </c>
      <c r="K5806">
        <v>0</v>
      </c>
      <c r="L5806" s="1">
        <f t="shared" si="360"/>
        <v>4.8</v>
      </c>
      <c r="M5806" s="1" t="str">
        <f t="shared" si="361"/>
        <v/>
      </c>
      <c r="N5806" s="2">
        <f t="shared" si="362"/>
        <v>45992</v>
      </c>
      <c r="O5806" t="str">
        <f t="shared" si="363"/>
        <v>mačka</v>
      </c>
    </row>
    <row r="5807" spans="1:15" hidden="1" x14ac:dyDescent="0.25">
      <c r="A5807">
        <v>13266</v>
      </c>
      <c r="B5807" s="11">
        <v>4067890123456</v>
      </c>
      <c r="C5807" s="1" t="s">
        <v>68</v>
      </c>
      <c r="D5807" s="1" t="s">
        <v>29</v>
      </c>
      <c r="E5807" s="1" t="s">
        <v>69</v>
      </c>
      <c r="F5807">
        <v>36</v>
      </c>
      <c r="G5807">
        <v>1</v>
      </c>
      <c r="H5807" s="1" t="s">
        <v>14</v>
      </c>
      <c r="I5807" s="1" t="s">
        <v>15</v>
      </c>
      <c r="J5807" s="12">
        <v>46017</v>
      </c>
      <c r="K5807">
        <v>0</v>
      </c>
      <c r="L5807" s="1">
        <f t="shared" si="360"/>
        <v>36</v>
      </c>
      <c r="M5807" s="1" t="str">
        <f t="shared" si="361"/>
        <v/>
      </c>
      <c r="N5807" s="2">
        <f t="shared" si="362"/>
        <v>45992</v>
      </c>
      <c r="O5807" t="str">
        <f t="shared" si="363"/>
        <v>mačka</v>
      </c>
    </row>
    <row r="5808" spans="1:15" x14ac:dyDescent="0.25">
      <c r="A5808">
        <v>13267</v>
      </c>
      <c r="B5808" s="11">
        <v>4028899001126</v>
      </c>
      <c r="C5808" s="1" t="s">
        <v>16</v>
      </c>
      <c r="D5808" s="1" t="s">
        <v>12</v>
      </c>
      <c r="E5808" s="1" t="s">
        <v>17</v>
      </c>
      <c r="F5808">
        <v>2.8</v>
      </c>
      <c r="G5808">
        <v>3</v>
      </c>
      <c r="H5808" s="1" t="s">
        <v>14</v>
      </c>
      <c r="I5808" s="1" t="s">
        <v>15</v>
      </c>
      <c r="J5808" s="12">
        <v>46018</v>
      </c>
      <c r="K5808">
        <v>0</v>
      </c>
      <c r="L5808" s="1">
        <f t="shared" si="360"/>
        <v>8.3999999999999986</v>
      </c>
      <c r="M5808" s="1" t="str">
        <f t="shared" si="361"/>
        <v/>
      </c>
      <c r="N5808" s="2">
        <f t="shared" si="362"/>
        <v>45992</v>
      </c>
      <c r="O5808" t="str">
        <f t="shared" si="363"/>
        <v>pes</v>
      </c>
    </row>
    <row r="5809" spans="1:15" x14ac:dyDescent="0.25">
      <c r="A5809">
        <v>13268</v>
      </c>
      <c r="B5809" s="11">
        <v>4013456789017</v>
      </c>
      <c r="C5809" s="1" t="s">
        <v>11</v>
      </c>
      <c r="D5809" s="1" t="s">
        <v>12</v>
      </c>
      <c r="E5809" s="1" t="s">
        <v>13</v>
      </c>
      <c r="F5809">
        <v>6</v>
      </c>
      <c r="G5809">
        <v>1</v>
      </c>
      <c r="H5809" s="1" t="s">
        <v>14</v>
      </c>
      <c r="I5809" s="1" t="s">
        <v>15</v>
      </c>
      <c r="J5809" s="12">
        <v>46018</v>
      </c>
      <c r="K5809">
        <v>0</v>
      </c>
      <c r="L5809" s="1">
        <f t="shared" si="360"/>
        <v>6</v>
      </c>
      <c r="M5809" s="1" t="str">
        <f t="shared" si="361"/>
        <v/>
      </c>
      <c r="N5809" s="2">
        <f t="shared" si="362"/>
        <v>45992</v>
      </c>
      <c r="O5809" t="str">
        <f t="shared" si="363"/>
        <v>pes</v>
      </c>
    </row>
    <row r="5810" spans="1:15" hidden="1" x14ac:dyDescent="0.25">
      <c r="A5810">
        <v>13269</v>
      </c>
      <c r="B5810" s="11">
        <v>4042233445567</v>
      </c>
      <c r="C5810" s="1" t="s">
        <v>637</v>
      </c>
      <c r="D5810" s="1" t="s">
        <v>140</v>
      </c>
      <c r="E5810" s="1" t="s">
        <v>141</v>
      </c>
      <c r="F5810">
        <v>51.64</v>
      </c>
      <c r="G5810">
        <v>1</v>
      </c>
      <c r="H5810" s="1" t="s">
        <v>14</v>
      </c>
      <c r="I5810" s="1" t="s">
        <v>15</v>
      </c>
      <c r="J5810" s="12">
        <v>46018</v>
      </c>
      <c r="K5810">
        <v>0</v>
      </c>
      <c r="L5810" s="1">
        <f t="shared" si="360"/>
        <v>51.64</v>
      </c>
      <c r="M5810" s="1" t="str">
        <f t="shared" si="361"/>
        <v/>
      </c>
      <c r="N5810" s="2">
        <f t="shared" si="362"/>
        <v>45992</v>
      </c>
      <c r="O5810" t="str">
        <f t="shared" si="363"/>
        <v>mačka</v>
      </c>
    </row>
    <row r="5811" spans="1:15" x14ac:dyDescent="0.25">
      <c r="A5811">
        <v>13270</v>
      </c>
      <c r="B5811" s="11">
        <v>4027788990013</v>
      </c>
      <c r="C5811" s="1" t="s">
        <v>43</v>
      </c>
      <c r="D5811" s="1" t="s">
        <v>21</v>
      </c>
      <c r="E5811" s="1" t="s">
        <v>22</v>
      </c>
      <c r="F5811">
        <v>8</v>
      </c>
      <c r="G5811">
        <v>1</v>
      </c>
      <c r="H5811" s="1" t="s">
        <v>14</v>
      </c>
      <c r="I5811" s="1" t="s">
        <v>15</v>
      </c>
      <c r="J5811" s="12">
        <v>46018</v>
      </c>
      <c r="K5811">
        <v>0</v>
      </c>
      <c r="L5811" s="1">
        <f t="shared" si="360"/>
        <v>8</v>
      </c>
      <c r="M5811" s="1" t="str">
        <f t="shared" si="361"/>
        <v/>
      </c>
      <c r="N5811" s="2">
        <f t="shared" si="362"/>
        <v>45992</v>
      </c>
      <c r="O5811" t="str">
        <f t="shared" si="363"/>
        <v>pes</v>
      </c>
    </row>
    <row r="5812" spans="1:15" x14ac:dyDescent="0.25">
      <c r="A5812">
        <v>13271</v>
      </c>
      <c r="B5812" s="11">
        <v>4003344556679</v>
      </c>
      <c r="C5812" s="1" t="s">
        <v>132</v>
      </c>
      <c r="D5812" s="1" t="s">
        <v>133</v>
      </c>
      <c r="E5812" s="1" t="s">
        <v>134</v>
      </c>
      <c r="F5812">
        <v>51.64</v>
      </c>
      <c r="G5812">
        <v>1</v>
      </c>
      <c r="H5812" s="1" t="s">
        <v>14</v>
      </c>
      <c r="I5812" s="1" t="s">
        <v>15</v>
      </c>
      <c r="J5812" s="12">
        <v>46018</v>
      </c>
      <c r="K5812">
        <v>0</v>
      </c>
      <c r="L5812" s="1">
        <f t="shared" si="360"/>
        <v>51.64</v>
      </c>
      <c r="M5812" s="1" t="str">
        <f t="shared" si="361"/>
        <v/>
      </c>
      <c r="N5812" s="2">
        <f t="shared" si="362"/>
        <v>45992</v>
      </c>
      <c r="O5812" t="str">
        <f t="shared" si="363"/>
        <v>pes</v>
      </c>
    </row>
    <row r="5813" spans="1:15" x14ac:dyDescent="0.25">
      <c r="A5813">
        <v>13272</v>
      </c>
      <c r="B5813" s="11">
        <v>4022345678908</v>
      </c>
      <c r="C5813" s="1" t="s">
        <v>363</v>
      </c>
      <c r="D5813" s="1" t="s">
        <v>21</v>
      </c>
      <c r="E5813" s="1" t="s">
        <v>69</v>
      </c>
      <c r="F5813">
        <v>10</v>
      </c>
      <c r="G5813">
        <v>1</v>
      </c>
      <c r="H5813" s="1" t="s">
        <v>14</v>
      </c>
      <c r="I5813" s="1" t="s">
        <v>15</v>
      </c>
      <c r="J5813" s="12">
        <v>46018</v>
      </c>
      <c r="K5813">
        <v>0</v>
      </c>
      <c r="L5813" s="1">
        <f t="shared" si="360"/>
        <v>10</v>
      </c>
      <c r="M5813" s="1" t="str">
        <f t="shared" si="361"/>
        <v/>
      </c>
      <c r="N5813" s="2">
        <f t="shared" si="362"/>
        <v>45992</v>
      </c>
      <c r="O5813" t="str">
        <f t="shared" si="363"/>
        <v>pes</v>
      </c>
    </row>
    <row r="5814" spans="1:15" x14ac:dyDescent="0.25">
      <c r="A5814">
        <v>13273</v>
      </c>
      <c r="B5814" s="11">
        <v>4017890123450</v>
      </c>
      <c r="C5814" s="1" t="s">
        <v>65</v>
      </c>
      <c r="D5814" s="1" t="s">
        <v>39</v>
      </c>
      <c r="E5814" s="1" t="s">
        <v>22</v>
      </c>
      <c r="F5814">
        <v>7.6</v>
      </c>
      <c r="G5814">
        <v>1</v>
      </c>
      <c r="H5814" s="1" t="s">
        <v>14</v>
      </c>
      <c r="I5814" s="1" t="s">
        <v>15</v>
      </c>
      <c r="J5814" s="12">
        <v>46018</v>
      </c>
      <c r="K5814">
        <v>0</v>
      </c>
      <c r="L5814" s="1">
        <f t="shared" si="360"/>
        <v>7.6</v>
      </c>
      <c r="M5814" s="1" t="str">
        <f t="shared" si="361"/>
        <v/>
      </c>
      <c r="N5814" s="2">
        <f t="shared" si="362"/>
        <v>45992</v>
      </c>
      <c r="O5814" t="str">
        <f t="shared" si="363"/>
        <v>pes</v>
      </c>
    </row>
    <row r="5815" spans="1:15" hidden="1" x14ac:dyDescent="0.25">
      <c r="A5815">
        <v>13274</v>
      </c>
      <c r="B5815" s="11">
        <v>4056789012345</v>
      </c>
      <c r="C5815" s="1" t="s">
        <v>47</v>
      </c>
      <c r="D5815" s="1" t="s">
        <v>29</v>
      </c>
      <c r="E5815" s="1" t="s">
        <v>37</v>
      </c>
      <c r="F5815">
        <v>2.4</v>
      </c>
      <c r="G5815">
        <v>2</v>
      </c>
      <c r="H5815" s="1" t="s">
        <v>14</v>
      </c>
      <c r="I5815" s="1" t="s">
        <v>15</v>
      </c>
      <c r="J5815" s="12">
        <v>46018</v>
      </c>
      <c r="K5815">
        <v>0</v>
      </c>
      <c r="L5815" s="1">
        <f t="shared" si="360"/>
        <v>4.8</v>
      </c>
      <c r="M5815" s="1" t="str">
        <f t="shared" si="361"/>
        <v/>
      </c>
      <c r="N5815" s="2">
        <f t="shared" si="362"/>
        <v>45992</v>
      </c>
      <c r="O5815" t="str">
        <f t="shared" si="363"/>
        <v>mačka</v>
      </c>
    </row>
    <row r="5816" spans="1:15" hidden="1" x14ac:dyDescent="0.25">
      <c r="A5816">
        <v>13275</v>
      </c>
      <c r="B5816" s="11">
        <v>8593456789012</v>
      </c>
      <c r="C5816" s="1" t="s">
        <v>28</v>
      </c>
      <c r="D5816" s="1" t="s">
        <v>29</v>
      </c>
      <c r="E5816" s="1" t="s">
        <v>30</v>
      </c>
      <c r="F5816">
        <v>42</v>
      </c>
      <c r="G5816">
        <v>1</v>
      </c>
      <c r="H5816" s="1" t="s">
        <v>14</v>
      </c>
      <c r="I5816" s="1" t="s">
        <v>15</v>
      </c>
      <c r="J5816" s="12">
        <v>46018</v>
      </c>
      <c r="K5816">
        <v>0</v>
      </c>
      <c r="L5816" s="1">
        <f t="shared" si="360"/>
        <v>42</v>
      </c>
      <c r="M5816" s="1" t="str">
        <f t="shared" si="361"/>
        <v/>
      </c>
      <c r="N5816" s="2">
        <f t="shared" si="362"/>
        <v>45992</v>
      </c>
      <c r="O5816" t="str">
        <f t="shared" si="363"/>
        <v>mačka</v>
      </c>
    </row>
    <row r="5817" spans="1:15" x14ac:dyDescent="0.25">
      <c r="A5817">
        <v>13276</v>
      </c>
      <c r="B5817" s="11">
        <v>4028899001126</v>
      </c>
      <c r="C5817" s="1" t="s">
        <v>16</v>
      </c>
      <c r="D5817" s="1" t="s">
        <v>12</v>
      </c>
      <c r="E5817" s="1" t="s">
        <v>17</v>
      </c>
      <c r="F5817">
        <v>2.8</v>
      </c>
      <c r="G5817">
        <v>3</v>
      </c>
      <c r="H5817" s="1" t="s">
        <v>33</v>
      </c>
      <c r="I5817" s="1" t="s">
        <v>1327</v>
      </c>
      <c r="J5817" s="12">
        <v>46018</v>
      </c>
      <c r="K5817">
        <v>0</v>
      </c>
      <c r="L5817" s="1">
        <f t="shared" si="360"/>
        <v>8.3999999999999986</v>
      </c>
      <c r="M5817" s="1">
        <f t="shared" si="361"/>
        <v>3</v>
      </c>
      <c r="N5817" s="2">
        <f t="shared" si="362"/>
        <v>45992</v>
      </c>
      <c r="O5817" t="str">
        <f t="shared" si="363"/>
        <v>pes</v>
      </c>
    </row>
    <row r="5818" spans="1:15" x14ac:dyDescent="0.25">
      <c r="A5818">
        <v>13277</v>
      </c>
      <c r="B5818" s="11">
        <v>4040123456795</v>
      </c>
      <c r="C5818" s="1" t="s">
        <v>20</v>
      </c>
      <c r="D5818" s="1" t="s">
        <v>21</v>
      </c>
      <c r="E5818" s="1" t="s">
        <v>22</v>
      </c>
      <c r="F5818">
        <v>8.8000000000000007</v>
      </c>
      <c r="G5818">
        <v>1</v>
      </c>
      <c r="H5818" s="1" t="s">
        <v>14</v>
      </c>
      <c r="I5818" s="1" t="s">
        <v>15</v>
      </c>
      <c r="J5818" s="12">
        <v>46018</v>
      </c>
      <c r="K5818">
        <v>0</v>
      </c>
      <c r="L5818" s="1">
        <f t="shared" si="360"/>
        <v>8.8000000000000007</v>
      </c>
      <c r="M5818" s="1" t="str">
        <f t="shared" si="361"/>
        <v/>
      </c>
      <c r="N5818" s="2">
        <f t="shared" si="362"/>
        <v>45992</v>
      </c>
      <c r="O5818" t="str">
        <f t="shared" si="363"/>
        <v>pes</v>
      </c>
    </row>
    <row r="5819" spans="1:15" x14ac:dyDescent="0.25">
      <c r="A5819">
        <v>13278</v>
      </c>
      <c r="B5819" s="11">
        <v>4027788990013</v>
      </c>
      <c r="C5819" s="1" t="s">
        <v>43</v>
      </c>
      <c r="D5819" s="1" t="s">
        <v>21</v>
      </c>
      <c r="E5819" s="1" t="s">
        <v>22</v>
      </c>
      <c r="F5819">
        <v>8</v>
      </c>
      <c r="G5819">
        <v>1</v>
      </c>
      <c r="H5819" s="1" t="s">
        <v>14</v>
      </c>
      <c r="I5819" s="1" t="s">
        <v>15</v>
      </c>
      <c r="J5819" s="12">
        <v>46018</v>
      </c>
      <c r="K5819">
        <v>0</v>
      </c>
      <c r="L5819" s="1">
        <f t="shared" si="360"/>
        <v>8</v>
      </c>
      <c r="M5819" s="1" t="str">
        <f t="shared" si="361"/>
        <v/>
      </c>
      <c r="N5819" s="2">
        <f t="shared" si="362"/>
        <v>45992</v>
      </c>
      <c r="O5819" t="str">
        <f t="shared" si="363"/>
        <v>pes</v>
      </c>
    </row>
    <row r="5820" spans="1:15" x14ac:dyDescent="0.25">
      <c r="A5820">
        <v>13279</v>
      </c>
      <c r="B5820" s="11">
        <v>4003344556679</v>
      </c>
      <c r="C5820" s="1" t="s">
        <v>132</v>
      </c>
      <c r="D5820" s="1" t="s">
        <v>133</v>
      </c>
      <c r="E5820" s="1" t="s">
        <v>134</v>
      </c>
      <c r="F5820">
        <v>51.64</v>
      </c>
      <c r="G5820">
        <v>1</v>
      </c>
      <c r="H5820" s="1" t="s">
        <v>14</v>
      </c>
      <c r="I5820" s="1" t="s">
        <v>15</v>
      </c>
      <c r="J5820" s="12">
        <v>46018</v>
      </c>
      <c r="K5820">
        <v>0</v>
      </c>
      <c r="L5820" s="1">
        <f t="shared" si="360"/>
        <v>51.64</v>
      </c>
      <c r="M5820" s="1" t="str">
        <f t="shared" si="361"/>
        <v/>
      </c>
      <c r="N5820" s="2">
        <f t="shared" si="362"/>
        <v>45992</v>
      </c>
      <c r="O5820" t="str">
        <f t="shared" si="363"/>
        <v>pes</v>
      </c>
    </row>
    <row r="5821" spans="1:15" hidden="1" x14ac:dyDescent="0.25">
      <c r="A5821">
        <v>13280</v>
      </c>
      <c r="B5821" s="11">
        <v>4056789012345</v>
      </c>
      <c r="C5821" s="1" t="s">
        <v>47</v>
      </c>
      <c r="D5821" s="1" t="s">
        <v>29</v>
      </c>
      <c r="E5821" s="1" t="s">
        <v>37</v>
      </c>
      <c r="F5821">
        <v>2.4</v>
      </c>
      <c r="G5821">
        <v>2</v>
      </c>
      <c r="H5821" s="1" t="s">
        <v>14</v>
      </c>
      <c r="I5821" s="1" t="s">
        <v>15</v>
      </c>
      <c r="J5821" s="12">
        <v>46018</v>
      </c>
      <c r="K5821">
        <v>0</v>
      </c>
      <c r="L5821" s="1">
        <f t="shared" si="360"/>
        <v>4.8</v>
      </c>
      <c r="M5821" s="1" t="str">
        <f t="shared" si="361"/>
        <v/>
      </c>
      <c r="N5821" s="2">
        <f t="shared" si="362"/>
        <v>45992</v>
      </c>
      <c r="O5821" t="str">
        <f t="shared" si="363"/>
        <v>mačka</v>
      </c>
    </row>
    <row r="5822" spans="1:15" x14ac:dyDescent="0.25">
      <c r="A5822">
        <v>13281</v>
      </c>
      <c r="B5822" s="11">
        <v>4022345678908</v>
      </c>
      <c r="C5822" s="1" t="s">
        <v>363</v>
      </c>
      <c r="D5822" s="1" t="s">
        <v>21</v>
      </c>
      <c r="E5822" s="1" t="s">
        <v>69</v>
      </c>
      <c r="F5822">
        <v>10</v>
      </c>
      <c r="G5822">
        <v>1</v>
      </c>
      <c r="H5822" s="1" t="s">
        <v>14</v>
      </c>
      <c r="I5822" s="1" t="s">
        <v>15</v>
      </c>
      <c r="J5822" s="12">
        <v>46018</v>
      </c>
      <c r="K5822">
        <v>0</v>
      </c>
      <c r="L5822" s="1">
        <f t="shared" si="360"/>
        <v>10</v>
      </c>
      <c r="M5822" s="1" t="str">
        <f t="shared" si="361"/>
        <v/>
      </c>
      <c r="N5822" s="2">
        <f t="shared" si="362"/>
        <v>45992</v>
      </c>
      <c r="O5822" t="str">
        <f t="shared" si="363"/>
        <v>pes</v>
      </c>
    </row>
    <row r="5823" spans="1:15" hidden="1" x14ac:dyDescent="0.25">
      <c r="A5823">
        <v>13282</v>
      </c>
      <c r="B5823" s="11">
        <v>4010123456783</v>
      </c>
      <c r="C5823" s="1" t="s">
        <v>35</v>
      </c>
      <c r="D5823" s="1" t="s">
        <v>36</v>
      </c>
      <c r="E5823" s="1" t="s">
        <v>37</v>
      </c>
      <c r="F5823">
        <v>14</v>
      </c>
      <c r="G5823">
        <v>1</v>
      </c>
      <c r="H5823" s="1" t="s">
        <v>14</v>
      </c>
      <c r="I5823" s="1" t="s">
        <v>15</v>
      </c>
      <c r="J5823" s="12">
        <v>46018</v>
      </c>
      <c r="K5823">
        <v>0</v>
      </c>
      <c r="L5823" s="1">
        <f t="shared" si="360"/>
        <v>14</v>
      </c>
      <c r="M5823" s="1" t="str">
        <f t="shared" si="361"/>
        <v/>
      </c>
      <c r="N5823" s="2">
        <f t="shared" si="362"/>
        <v>45992</v>
      </c>
      <c r="O5823" t="str">
        <f t="shared" si="363"/>
        <v>mačka</v>
      </c>
    </row>
    <row r="5824" spans="1:15" x14ac:dyDescent="0.25">
      <c r="A5824">
        <v>13283</v>
      </c>
      <c r="B5824" s="11">
        <v>4028899001126</v>
      </c>
      <c r="C5824" s="1" t="s">
        <v>16</v>
      </c>
      <c r="D5824" s="1" t="s">
        <v>12</v>
      </c>
      <c r="E5824" s="1" t="s">
        <v>17</v>
      </c>
      <c r="F5824">
        <v>2.8</v>
      </c>
      <c r="G5824">
        <v>2</v>
      </c>
      <c r="H5824" s="1" t="s">
        <v>14</v>
      </c>
      <c r="I5824" s="1" t="s">
        <v>15</v>
      </c>
      <c r="J5824" s="12">
        <v>46018</v>
      </c>
      <c r="K5824">
        <v>0</v>
      </c>
      <c r="L5824" s="1">
        <f t="shared" si="360"/>
        <v>5.6</v>
      </c>
      <c r="M5824" s="1" t="str">
        <f t="shared" si="361"/>
        <v/>
      </c>
      <c r="N5824" s="2">
        <f t="shared" si="362"/>
        <v>45992</v>
      </c>
      <c r="O5824" t="str">
        <f t="shared" si="363"/>
        <v>pes</v>
      </c>
    </row>
    <row r="5825" spans="1:15" x14ac:dyDescent="0.25">
      <c r="A5825">
        <v>13284</v>
      </c>
      <c r="B5825" s="11">
        <v>4013456789017</v>
      </c>
      <c r="C5825" s="1" t="s">
        <v>11</v>
      </c>
      <c r="D5825" s="1" t="s">
        <v>12</v>
      </c>
      <c r="E5825" s="1" t="s">
        <v>13</v>
      </c>
      <c r="F5825">
        <v>6</v>
      </c>
      <c r="G5825">
        <v>1</v>
      </c>
      <c r="H5825" s="1" t="s">
        <v>14</v>
      </c>
      <c r="I5825" s="1" t="s">
        <v>15</v>
      </c>
      <c r="J5825" s="12">
        <v>46018</v>
      </c>
      <c r="K5825">
        <v>0</v>
      </c>
      <c r="L5825" s="1">
        <f t="shared" si="360"/>
        <v>6</v>
      </c>
      <c r="M5825" s="1" t="str">
        <f t="shared" si="361"/>
        <v/>
      </c>
      <c r="N5825" s="2">
        <f t="shared" si="362"/>
        <v>45992</v>
      </c>
      <c r="O5825" t="str">
        <f t="shared" si="363"/>
        <v>pes</v>
      </c>
    </row>
    <row r="5826" spans="1:15" x14ac:dyDescent="0.25">
      <c r="A5826">
        <v>13285</v>
      </c>
      <c r="B5826" s="11">
        <v>4028899001126</v>
      </c>
      <c r="C5826" s="1" t="s">
        <v>16</v>
      </c>
      <c r="D5826" s="1" t="s">
        <v>12</v>
      </c>
      <c r="E5826" s="1" t="s">
        <v>17</v>
      </c>
      <c r="F5826">
        <v>2.8</v>
      </c>
      <c r="G5826">
        <v>3</v>
      </c>
      <c r="H5826" s="1" t="s">
        <v>14</v>
      </c>
      <c r="I5826" s="1" t="s">
        <v>15</v>
      </c>
      <c r="J5826" s="12">
        <v>46019</v>
      </c>
      <c r="K5826">
        <v>0</v>
      </c>
      <c r="L5826" s="1">
        <f t="shared" ref="L5826:L5889" si="364">F5826*G5826</f>
        <v>8.3999999999999986</v>
      </c>
      <c r="M5826" s="1" t="str">
        <f t="shared" ref="M5826:M5889" si="365">IF(H5826="NULL", "",VALUE(H5826))</f>
        <v/>
      </c>
      <c r="N5826" s="2">
        <f t="shared" ref="N5826:N5889" si="366">DATE(YEAR(J5826),MONTH(J5826),1)</f>
        <v>45992</v>
      </c>
      <c r="O5826" t="str">
        <f t="shared" ref="O5826:O5889" si="367">IF(ISNUMBER(SEARCH("Mačky",D5826)),"mačka",IF(ISNUMBER(SEARCH("Psy",D5826)),"pes","iné"))</f>
        <v>pes</v>
      </c>
    </row>
    <row r="5827" spans="1:15" x14ac:dyDescent="0.25">
      <c r="A5827">
        <v>13286</v>
      </c>
      <c r="B5827" s="11">
        <v>4013456789017</v>
      </c>
      <c r="C5827" s="1" t="s">
        <v>11</v>
      </c>
      <c r="D5827" s="1" t="s">
        <v>12</v>
      </c>
      <c r="E5827" s="1" t="s">
        <v>13</v>
      </c>
      <c r="F5827">
        <v>6</v>
      </c>
      <c r="G5827">
        <v>1</v>
      </c>
      <c r="H5827" s="1" t="s">
        <v>14</v>
      </c>
      <c r="I5827" s="1" t="s">
        <v>15</v>
      </c>
      <c r="J5827" s="12">
        <v>46019</v>
      </c>
      <c r="K5827">
        <v>0</v>
      </c>
      <c r="L5827" s="1">
        <f t="shared" si="364"/>
        <v>6</v>
      </c>
      <c r="M5827" s="1" t="str">
        <f t="shared" si="365"/>
        <v/>
      </c>
      <c r="N5827" s="2">
        <f t="shared" si="366"/>
        <v>45992</v>
      </c>
      <c r="O5827" t="str">
        <f t="shared" si="367"/>
        <v>pes</v>
      </c>
    </row>
    <row r="5828" spans="1:15" hidden="1" x14ac:dyDescent="0.25">
      <c r="A5828">
        <v>13287</v>
      </c>
      <c r="B5828" s="11">
        <v>4042233445567</v>
      </c>
      <c r="C5828" s="1" t="s">
        <v>637</v>
      </c>
      <c r="D5828" s="1" t="s">
        <v>140</v>
      </c>
      <c r="E5828" s="1" t="s">
        <v>141</v>
      </c>
      <c r="F5828">
        <v>51.64</v>
      </c>
      <c r="G5828">
        <v>1</v>
      </c>
      <c r="H5828" s="1" t="s">
        <v>14</v>
      </c>
      <c r="I5828" s="1" t="s">
        <v>15</v>
      </c>
      <c r="J5828" s="12">
        <v>46019</v>
      </c>
      <c r="K5828">
        <v>0</v>
      </c>
      <c r="L5828" s="1">
        <f t="shared" si="364"/>
        <v>51.64</v>
      </c>
      <c r="M5828" s="1" t="str">
        <f t="shared" si="365"/>
        <v/>
      </c>
      <c r="N5828" s="2">
        <f t="shared" si="366"/>
        <v>45992</v>
      </c>
      <c r="O5828" t="str">
        <f t="shared" si="367"/>
        <v>mačka</v>
      </c>
    </row>
    <row r="5829" spans="1:15" x14ac:dyDescent="0.25">
      <c r="A5829">
        <v>13288</v>
      </c>
      <c r="B5829" s="11">
        <v>4027788990013</v>
      </c>
      <c r="C5829" s="1" t="s">
        <v>43</v>
      </c>
      <c r="D5829" s="1" t="s">
        <v>21</v>
      </c>
      <c r="E5829" s="1" t="s">
        <v>22</v>
      </c>
      <c r="F5829">
        <v>8</v>
      </c>
      <c r="G5829">
        <v>1</v>
      </c>
      <c r="H5829" s="1" t="s">
        <v>14</v>
      </c>
      <c r="I5829" s="1" t="s">
        <v>15</v>
      </c>
      <c r="J5829" s="12">
        <v>46019</v>
      </c>
      <c r="K5829">
        <v>0</v>
      </c>
      <c r="L5829" s="1">
        <f t="shared" si="364"/>
        <v>8</v>
      </c>
      <c r="M5829" s="1" t="str">
        <f t="shared" si="365"/>
        <v/>
      </c>
      <c r="N5829" s="2">
        <f t="shared" si="366"/>
        <v>45992</v>
      </c>
      <c r="O5829" t="str">
        <f t="shared" si="367"/>
        <v>pes</v>
      </c>
    </row>
    <row r="5830" spans="1:15" x14ac:dyDescent="0.25">
      <c r="A5830">
        <v>13289</v>
      </c>
      <c r="B5830" s="11">
        <v>4003344556679</v>
      </c>
      <c r="C5830" s="1" t="s">
        <v>132</v>
      </c>
      <c r="D5830" s="1" t="s">
        <v>133</v>
      </c>
      <c r="E5830" s="1" t="s">
        <v>134</v>
      </c>
      <c r="F5830">
        <v>51.64</v>
      </c>
      <c r="G5830">
        <v>1</v>
      </c>
      <c r="H5830" s="1" t="s">
        <v>14</v>
      </c>
      <c r="I5830" s="1" t="s">
        <v>15</v>
      </c>
      <c r="J5830" s="12">
        <v>46019</v>
      </c>
      <c r="K5830">
        <v>0</v>
      </c>
      <c r="L5830" s="1">
        <f t="shared" si="364"/>
        <v>51.64</v>
      </c>
      <c r="M5830" s="1" t="str">
        <f t="shared" si="365"/>
        <v/>
      </c>
      <c r="N5830" s="2">
        <f t="shared" si="366"/>
        <v>45992</v>
      </c>
      <c r="O5830" t="str">
        <f t="shared" si="367"/>
        <v>pes</v>
      </c>
    </row>
    <row r="5831" spans="1:15" x14ac:dyDescent="0.25">
      <c r="A5831">
        <v>13290</v>
      </c>
      <c r="B5831" s="11">
        <v>4017890123450</v>
      </c>
      <c r="C5831" s="1" t="s">
        <v>65</v>
      </c>
      <c r="D5831" s="1" t="s">
        <v>39</v>
      </c>
      <c r="E5831" s="1" t="s">
        <v>22</v>
      </c>
      <c r="F5831">
        <v>7.6</v>
      </c>
      <c r="G5831">
        <v>1</v>
      </c>
      <c r="H5831" s="1" t="s">
        <v>14</v>
      </c>
      <c r="I5831" s="1" t="s">
        <v>15</v>
      </c>
      <c r="J5831" s="12">
        <v>46019</v>
      </c>
      <c r="K5831">
        <v>0</v>
      </c>
      <c r="L5831" s="1">
        <f t="shared" si="364"/>
        <v>7.6</v>
      </c>
      <c r="M5831" s="1" t="str">
        <f t="shared" si="365"/>
        <v/>
      </c>
      <c r="N5831" s="2">
        <f t="shared" si="366"/>
        <v>45992</v>
      </c>
      <c r="O5831" t="str">
        <f t="shared" si="367"/>
        <v>pes</v>
      </c>
    </row>
    <row r="5832" spans="1:15" hidden="1" x14ac:dyDescent="0.25">
      <c r="A5832">
        <v>13291</v>
      </c>
      <c r="B5832" s="11">
        <v>4056789012345</v>
      </c>
      <c r="C5832" s="1" t="s">
        <v>47</v>
      </c>
      <c r="D5832" s="1" t="s">
        <v>29</v>
      </c>
      <c r="E5832" s="1" t="s">
        <v>37</v>
      </c>
      <c r="F5832">
        <v>2.4</v>
      </c>
      <c r="G5832">
        <v>2</v>
      </c>
      <c r="H5832" s="1" t="s">
        <v>14</v>
      </c>
      <c r="I5832" s="1" t="s">
        <v>15</v>
      </c>
      <c r="J5832" s="12">
        <v>46019</v>
      </c>
      <c r="K5832">
        <v>0</v>
      </c>
      <c r="L5832" s="1">
        <f t="shared" si="364"/>
        <v>4.8</v>
      </c>
      <c r="M5832" s="1" t="str">
        <f t="shared" si="365"/>
        <v/>
      </c>
      <c r="N5832" s="2">
        <f t="shared" si="366"/>
        <v>45992</v>
      </c>
      <c r="O5832" t="str">
        <f t="shared" si="367"/>
        <v>mačka</v>
      </c>
    </row>
    <row r="5833" spans="1:15" hidden="1" x14ac:dyDescent="0.25">
      <c r="A5833">
        <v>13292</v>
      </c>
      <c r="B5833" s="11">
        <v>8593456789012</v>
      </c>
      <c r="C5833" s="1" t="s">
        <v>28</v>
      </c>
      <c r="D5833" s="1" t="s">
        <v>29</v>
      </c>
      <c r="E5833" s="1" t="s">
        <v>30</v>
      </c>
      <c r="F5833">
        <v>42</v>
      </c>
      <c r="G5833">
        <v>1</v>
      </c>
      <c r="H5833" s="1" t="s">
        <v>14</v>
      </c>
      <c r="I5833" s="1" t="s">
        <v>15</v>
      </c>
      <c r="J5833" s="12">
        <v>46019</v>
      </c>
      <c r="K5833">
        <v>0</v>
      </c>
      <c r="L5833" s="1">
        <f t="shared" si="364"/>
        <v>42</v>
      </c>
      <c r="M5833" s="1" t="str">
        <f t="shared" si="365"/>
        <v/>
      </c>
      <c r="N5833" s="2">
        <f t="shared" si="366"/>
        <v>45992</v>
      </c>
      <c r="O5833" t="str">
        <f t="shared" si="367"/>
        <v>mačka</v>
      </c>
    </row>
    <row r="5834" spans="1:15" x14ac:dyDescent="0.25">
      <c r="A5834">
        <v>13293</v>
      </c>
      <c r="B5834" s="11">
        <v>4022345678908</v>
      </c>
      <c r="C5834" s="1" t="s">
        <v>363</v>
      </c>
      <c r="D5834" s="1" t="s">
        <v>21</v>
      </c>
      <c r="E5834" s="1" t="s">
        <v>69</v>
      </c>
      <c r="F5834">
        <v>10</v>
      </c>
      <c r="G5834">
        <v>1</v>
      </c>
      <c r="H5834" s="1" t="s">
        <v>14</v>
      </c>
      <c r="I5834" s="1" t="s">
        <v>15</v>
      </c>
      <c r="J5834" s="12">
        <v>46019</v>
      </c>
      <c r="K5834">
        <v>0</v>
      </c>
      <c r="L5834" s="1">
        <f t="shared" si="364"/>
        <v>10</v>
      </c>
      <c r="M5834" s="1" t="str">
        <f t="shared" si="365"/>
        <v/>
      </c>
      <c r="N5834" s="2">
        <f t="shared" si="366"/>
        <v>45992</v>
      </c>
      <c r="O5834" t="str">
        <f t="shared" si="367"/>
        <v>pes</v>
      </c>
    </row>
    <row r="5835" spans="1:15" hidden="1" x14ac:dyDescent="0.25">
      <c r="A5835">
        <v>13294</v>
      </c>
      <c r="B5835" s="11">
        <v>4010123456783</v>
      </c>
      <c r="C5835" s="1" t="s">
        <v>35</v>
      </c>
      <c r="D5835" s="1" t="s">
        <v>36</v>
      </c>
      <c r="E5835" s="1" t="s">
        <v>37</v>
      </c>
      <c r="F5835">
        <v>14</v>
      </c>
      <c r="G5835">
        <v>1</v>
      </c>
      <c r="H5835" s="1" t="s">
        <v>14</v>
      </c>
      <c r="I5835" s="1" t="s">
        <v>15</v>
      </c>
      <c r="J5835" s="12">
        <v>46019</v>
      </c>
      <c r="K5835">
        <v>0</v>
      </c>
      <c r="L5835" s="1">
        <f t="shared" si="364"/>
        <v>14</v>
      </c>
      <c r="M5835" s="1" t="str">
        <f t="shared" si="365"/>
        <v/>
      </c>
      <c r="N5835" s="2">
        <f t="shared" si="366"/>
        <v>45992</v>
      </c>
      <c r="O5835" t="str">
        <f t="shared" si="367"/>
        <v>mačka</v>
      </c>
    </row>
    <row r="5836" spans="1:15" x14ac:dyDescent="0.25">
      <c r="A5836">
        <v>13295</v>
      </c>
      <c r="B5836" s="11">
        <v>4028899001126</v>
      </c>
      <c r="C5836" s="1" t="s">
        <v>16</v>
      </c>
      <c r="D5836" s="1" t="s">
        <v>12</v>
      </c>
      <c r="E5836" s="1" t="s">
        <v>17</v>
      </c>
      <c r="F5836">
        <v>2.8</v>
      </c>
      <c r="G5836">
        <v>2</v>
      </c>
      <c r="H5836" s="1" t="s">
        <v>14</v>
      </c>
      <c r="I5836" s="1" t="s">
        <v>15</v>
      </c>
      <c r="J5836" s="12">
        <v>46019</v>
      </c>
      <c r="K5836">
        <v>0</v>
      </c>
      <c r="L5836" s="1">
        <f t="shared" si="364"/>
        <v>5.6</v>
      </c>
      <c r="M5836" s="1" t="str">
        <f t="shared" si="365"/>
        <v/>
      </c>
      <c r="N5836" s="2">
        <f t="shared" si="366"/>
        <v>45992</v>
      </c>
      <c r="O5836" t="str">
        <f t="shared" si="367"/>
        <v>pes</v>
      </c>
    </row>
    <row r="5837" spans="1:15" x14ac:dyDescent="0.25">
      <c r="A5837">
        <v>13296</v>
      </c>
      <c r="B5837" s="11">
        <v>4040123456795</v>
      </c>
      <c r="C5837" s="1" t="s">
        <v>20</v>
      </c>
      <c r="D5837" s="1" t="s">
        <v>21</v>
      </c>
      <c r="E5837" s="1" t="s">
        <v>22</v>
      </c>
      <c r="F5837">
        <v>8.8000000000000007</v>
      </c>
      <c r="G5837">
        <v>1</v>
      </c>
      <c r="H5837" s="1" t="s">
        <v>14</v>
      </c>
      <c r="I5837" s="1" t="s">
        <v>15</v>
      </c>
      <c r="J5837" s="12">
        <v>46019</v>
      </c>
      <c r="K5837">
        <v>0</v>
      </c>
      <c r="L5837" s="1">
        <f t="shared" si="364"/>
        <v>8.8000000000000007</v>
      </c>
      <c r="M5837" s="1" t="str">
        <f t="shared" si="365"/>
        <v/>
      </c>
      <c r="N5837" s="2">
        <f t="shared" si="366"/>
        <v>45992</v>
      </c>
      <c r="O5837" t="str">
        <f t="shared" si="367"/>
        <v>pes</v>
      </c>
    </row>
    <row r="5838" spans="1:15" x14ac:dyDescent="0.25">
      <c r="A5838">
        <v>13297</v>
      </c>
      <c r="B5838" s="11">
        <v>4027788990013</v>
      </c>
      <c r="C5838" s="1" t="s">
        <v>43</v>
      </c>
      <c r="D5838" s="1" t="s">
        <v>21</v>
      </c>
      <c r="E5838" s="1" t="s">
        <v>22</v>
      </c>
      <c r="F5838">
        <v>8</v>
      </c>
      <c r="G5838">
        <v>1</v>
      </c>
      <c r="H5838" s="1" t="s">
        <v>18</v>
      </c>
      <c r="I5838" s="1" t="s">
        <v>1328</v>
      </c>
      <c r="J5838" s="12">
        <v>46019</v>
      </c>
      <c r="K5838">
        <v>0</v>
      </c>
      <c r="L5838" s="1">
        <f t="shared" si="364"/>
        <v>8</v>
      </c>
      <c r="M5838" s="1">
        <f t="shared" si="365"/>
        <v>4</v>
      </c>
      <c r="N5838" s="2">
        <f t="shared" si="366"/>
        <v>45992</v>
      </c>
      <c r="O5838" t="str">
        <f t="shared" si="367"/>
        <v>pes</v>
      </c>
    </row>
    <row r="5839" spans="1:15" x14ac:dyDescent="0.25">
      <c r="A5839">
        <v>13298</v>
      </c>
      <c r="B5839" s="11">
        <v>4003344556679</v>
      </c>
      <c r="C5839" s="1" t="s">
        <v>132</v>
      </c>
      <c r="D5839" s="1" t="s">
        <v>133</v>
      </c>
      <c r="E5839" s="1" t="s">
        <v>134</v>
      </c>
      <c r="F5839">
        <v>51.64</v>
      </c>
      <c r="G5839">
        <v>1</v>
      </c>
      <c r="H5839" s="1" t="s">
        <v>14</v>
      </c>
      <c r="I5839" s="1" t="s">
        <v>15</v>
      </c>
      <c r="J5839" s="12">
        <v>46019</v>
      </c>
      <c r="K5839">
        <v>0</v>
      </c>
      <c r="L5839" s="1">
        <f t="shared" si="364"/>
        <v>51.64</v>
      </c>
      <c r="M5839" s="1" t="str">
        <f t="shared" si="365"/>
        <v/>
      </c>
      <c r="N5839" s="2">
        <f t="shared" si="366"/>
        <v>45992</v>
      </c>
      <c r="O5839" t="str">
        <f t="shared" si="367"/>
        <v>pes</v>
      </c>
    </row>
    <row r="5840" spans="1:15" hidden="1" x14ac:dyDescent="0.25">
      <c r="A5840">
        <v>13299</v>
      </c>
      <c r="B5840" s="11">
        <v>4056789012345</v>
      </c>
      <c r="C5840" s="1" t="s">
        <v>47</v>
      </c>
      <c r="D5840" s="1" t="s">
        <v>29</v>
      </c>
      <c r="E5840" s="1" t="s">
        <v>37</v>
      </c>
      <c r="F5840">
        <v>2.4</v>
      </c>
      <c r="G5840">
        <v>3</v>
      </c>
      <c r="H5840" s="1" t="s">
        <v>14</v>
      </c>
      <c r="I5840" s="1" t="s">
        <v>15</v>
      </c>
      <c r="J5840" s="12">
        <v>46019</v>
      </c>
      <c r="K5840">
        <v>0</v>
      </c>
      <c r="L5840" s="1">
        <f t="shared" si="364"/>
        <v>7.1999999999999993</v>
      </c>
      <c r="M5840" s="1" t="str">
        <f t="shared" si="365"/>
        <v/>
      </c>
      <c r="N5840" s="2">
        <f t="shared" si="366"/>
        <v>45992</v>
      </c>
      <c r="O5840" t="str">
        <f t="shared" si="367"/>
        <v>mačka</v>
      </c>
    </row>
    <row r="5841" spans="1:15" hidden="1" x14ac:dyDescent="0.25">
      <c r="A5841">
        <v>13300</v>
      </c>
      <c r="B5841" s="11">
        <v>4067890123456</v>
      </c>
      <c r="C5841" s="1" t="s">
        <v>68</v>
      </c>
      <c r="D5841" s="1" t="s">
        <v>29</v>
      </c>
      <c r="E5841" s="1" t="s">
        <v>69</v>
      </c>
      <c r="F5841">
        <v>36</v>
      </c>
      <c r="G5841">
        <v>1</v>
      </c>
      <c r="H5841" s="1" t="s">
        <v>14</v>
      </c>
      <c r="I5841" s="1" t="s">
        <v>15</v>
      </c>
      <c r="J5841" s="12">
        <v>46019</v>
      </c>
      <c r="K5841">
        <v>0</v>
      </c>
      <c r="L5841" s="1">
        <f t="shared" si="364"/>
        <v>36</v>
      </c>
      <c r="M5841" s="1" t="str">
        <f t="shared" si="365"/>
        <v/>
      </c>
      <c r="N5841" s="2">
        <f t="shared" si="366"/>
        <v>45992</v>
      </c>
      <c r="O5841" t="str">
        <f t="shared" si="367"/>
        <v>mačka</v>
      </c>
    </row>
    <row r="5842" spans="1:15" x14ac:dyDescent="0.25">
      <c r="A5842">
        <v>13301</v>
      </c>
      <c r="B5842" s="11">
        <v>4013456789017</v>
      </c>
      <c r="C5842" s="1" t="s">
        <v>11</v>
      </c>
      <c r="D5842" s="1" t="s">
        <v>12</v>
      </c>
      <c r="E5842" s="1" t="s">
        <v>13</v>
      </c>
      <c r="F5842">
        <v>6</v>
      </c>
      <c r="G5842">
        <v>1</v>
      </c>
      <c r="H5842" s="1" t="s">
        <v>14</v>
      </c>
      <c r="I5842" s="1" t="s">
        <v>15</v>
      </c>
      <c r="J5842" s="12">
        <v>46019</v>
      </c>
      <c r="K5842">
        <v>0</v>
      </c>
      <c r="L5842" s="1">
        <f t="shared" si="364"/>
        <v>6</v>
      </c>
      <c r="M5842" s="1" t="str">
        <f t="shared" si="365"/>
        <v/>
      </c>
      <c r="N5842" s="2">
        <f t="shared" si="366"/>
        <v>45992</v>
      </c>
      <c r="O5842" t="str">
        <f t="shared" si="367"/>
        <v>pes</v>
      </c>
    </row>
    <row r="5843" spans="1:15" x14ac:dyDescent="0.25">
      <c r="A5843">
        <v>13302</v>
      </c>
      <c r="B5843" s="11">
        <v>4028899001126</v>
      </c>
      <c r="C5843" s="1" t="s">
        <v>16</v>
      </c>
      <c r="D5843" s="1" t="s">
        <v>12</v>
      </c>
      <c r="E5843" s="1" t="s">
        <v>17</v>
      </c>
      <c r="F5843">
        <v>2.8</v>
      </c>
      <c r="G5843">
        <v>3</v>
      </c>
      <c r="H5843" s="1" t="s">
        <v>14</v>
      </c>
      <c r="I5843" s="1" t="s">
        <v>15</v>
      </c>
      <c r="J5843" s="12">
        <v>46019</v>
      </c>
      <c r="K5843">
        <v>0</v>
      </c>
      <c r="L5843" s="1">
        <f t="shared" si="364"/>
        <v>8.3999999999999986</v>
      </c>
      <c r="M5843" s="1" t="str">
        <f t="shared" si="365"/>
        <v/>
      </c>
      <c r="N5843" s="2">
        <f t="shared" si="366"/>
        <v>45992</v>
      </c>
      <c r="O5843" t="str">
        <f t="shared" si="367"/>
        <v>pes</v>
      </c>
    </row>
    <row r="5844" spans="1:15" x14ac:dyDescent="0.25">
      <c r="A5844">
        <v>13303</v>
      </c>
      <c r="B5844" s="11">
        <v>4027788990013</v>
      </c>
      <c r="C5844" s="1" t="s">
        <v>43</v>
      </c>
      <c r="D5844" s="1" t="s">
        <v>21</v>
      </c>
      <c r="E5844" s="1" t="s">
        <v>22</v>
      </c>
      <c r="F5844">
        <v>8</v>
      </c>
      <c r="G5844">
        <v>1</v>
      </c>
      <c r="H5844" s="1" t="s">
        <v>14</v>
      </c>
      <c r="I5844" s="1" t="s">
        <v>15</v>
      </c>
      <c r="J5844" s="12">
        <v>46019</v>
      </c>
      <c r="K5844">
        <v>0</v>
      </c>
      <c r="L5844" s="1">
        <f t="shared" si="364"/>
        <v>8</v>
      </c>
      <c r="M5844" s="1" t="str">
        <f t="shared" si="365"/>
        <v/>
      </c>
      <c r="N5844" s="2">
        <f t="shared" si="366"/>
        <v>45992</v>
      </c>
      <c r="O5844" t="str">
        <f t="shared" si="367"/>
        <v>pes</v>
      </c>
    </row>
    <row r="5845" spans="1:15" hidden="1" x14ac:dyDescent="0.25">
      <c r="A5845">
        <v>13304</v>
      </c>
      <c r="B5845" s="11">
        <v>4042233445567</v>
      </c>
      <c r="C5845" s="1" t="s">
        <v>637</v>
      </c>
      <c r="D5845" s="1" t="s">
        <v>140</v>
      </c>
      <c r="E5845" s="1" t="s">
        <v>141</v>
      </c>
      <c r="F5845">
        <v>51.64</v>
      </c>
      <c r="G5845">
        <v>1</v>
      </c>
      <c r="H5845" s="1" t="s">
        <v>14</v>
      </c>
      <c r="I5845" s="1" t="s">
        <v>15</v>
      </c>
      <c r="J5845" s="12">
        <v>46019</v>
      </c>
      <c r="K5845">
        <v>0</v>
      </c>
      <c r="L5845" s="1">
        <f t="shared" si="364"/>
        <v>51.64</v>
      </c>
      <c r="M5845" s="1" t="str">
        <f t="shared" si="365"/>
        <v/>
      </c>
      <c r="N5845" s="2">
        <f t="shared" si="366"/>
        <v>45992</v>
      </c>
      <c r="O5845" t="str">
        <f t="shared" si="367"/>
        <v>mačka</v>
      </c>
    </row>
    <row r="5846" spans="1:15" x14ac:dyDescent="0.25">
      <c r="A5846">
        <v>13305</v>
      </c>
      <c r="B5846" s="11">
        <v>4003344556679</v>
      </c>
      <c r="C5846" s="1" t="s">
        <v>132</v>
      </c>
      <c r="D5846" s="1" t="s">
        <v>133</v>
      </c>
      <c r="E5846" s="1" t="s">
        <v>134</v>
      </c>
      <c r="F5846">
        <v>51.64</v>
      </c>
      <c r="G5846">
        <v>1</v>
      </c>
      <c r="H5846" s="1" t="s">
        <v>14</v>
      </c>
      <c r="I5846" s="1" t="s">
        <v>15</v>
      </c>
      <c r="J5846" s="12">
        <v>46020</v>
      </c>
      <c r="K5846">
        <v>0</v>
      </c>
      <c r="L5846" s="1">
        <f t="shared" si="364"/>
        <v>51.64</v>
      </c>
      <c r="M5846" s="1" t="str">
        <f t="shared" si="365"/>
        <v/>
      </c>
      <c r="N5846" s="2">
        <f t="shared" si="366"/>
        <v>45992</v>
      </c>
      <c r="O5846" t="str">
        <f t="shared" si="367"/>
        <v>pes</v>
      </c>
    </row>
    <row r="5847" spans="1:15" x14ac:dyDescent="0.25">
      <c r="A5847">
        <v>13306</v>
      </c>
      <c r="B5847" s="11">
        <v>4028899001126</v>
      </c>
      <c r="C5847" s="1" t="s">
        <v>16</v>
      </c>
      <c r="D5847" s="1" t="s">
        <v>12</v>
      </c>
      <c r="E5847" s="1" t="s">
        <v>17</v>
      </c>
      <c r="F5847">
        <v>2.8</v>
      </c>
      <c r="G5847">
        <v>3</v>
      </c>
      <c r="H5847" s="1" t="s">
        <v>18</v>
      </c>
      <c r="I5847" s="1" t="s">
        <v>1329</v>
      </c>
      <c r="J5847" s="12">
        <v>46020</v>
      </c>
      <c r="K5847">
        <v>0</v>
      </c>
      <c r="L5847" s="1">
        <f t="shared" si="364"/>
        <v>8.3999999999999986</v>
      </c>
      <c r="M5847" s="1">
        <f t="shared" si="365"/>
        <v>4</v>
      </c>
      <c r="N5847" s="2">
        <f t="shared" si="366"/>
        <v>45992</v>
      </c>
      <c r="O5847" t="str">
        <f t="shared" si="367"/>
        <v>pes</v>
      </c>
    </row>
    <row r="5848" spans="1:15" x14ac:dyDescent="0.25">
      <c r="A5848">
        <v>13307</v>
      </c>
      <c r="B5848" s="11">
        <v>4013456789017</v>
      </c>
      <c r="C5848" s="1" t="s">
        <v>11</v>
      </c>
      <c r="D5848" s="1" t="s">
        <v>12</v>
      </c>
      <c r="E5848" s="1" t="s">
        <v>13</v>
      </c>
      <c r="F5848">
        <v>6</v>
      </c>
      <c r="G5848">
        <v>1</v>
      </c>
      <c r="H5848" s="1" t="s">
        <v>14</v>
      </c>
      <c r="I5848" s="1" t="s">
        <v>15</v>
      </c>
      <c r="J5848" s="12">
        <v>46020</v>
      </c>
      <c r="K5848">
        <v>0</v>
      </c>
      <c r="L5848" s="1">
        <f t="shared" si="364"/>
        <v>6</v>
      </c>
      <c r="M5848" s="1" t="str">
        <f t="shared" si="365"/>
        <v/>
      </c>
      <c r="N5848" s="2">
        <f t="shared" si="366"/>
        <v>45992</v>
      </c>
      <c r="O5848" t="str">
        <f t="shared" si="367"/>
        <v>pes</v>
      </c>
    </row>
    <row r="5849" spans="1:15" x14ac:dyDescent="0.25">
      <c r="A5849">
        <v>13308</v>
      </c>
      <c r="B5849" s="11">
        <v>4040123456795</v>
      </c>
      <c r="C5849" s="1" t="s">
        <v>20</v>
      </c>
      <c r="D5849" s="1" t="s">
        <v>21</v>
      </c>
      <c r="E5849" s="1" t="s">
        <v>22</v>
      </c>
      <c r="F5849">
        <v>8.8000000000000007</v>
      </c>
      <c r="G5849">
        <v>1</v>
      </c>
      <c r="H5849" s="1" t="s">
        <v>14</v>
      </c>
      <c r="I5849" s="1" t="s">
        <v>15</v>
      </c>
      <c r="J5849" s="12">
        <v>46020</v>
      </c>
      <c r="K5849">
        <v>0</v>
      </c>
      <c r="L5849" s="1">
        <f t="shared" si="364"/>
        <v>8.8000000000000007</v>
      </c>
      <c r="M5849" s="1" t="str">
        <f t="shared" si="365"/>
        <v/>
      </c>
      <c r="N5849" s="2">
        <f t="shared" si="366"/>
        <v>45992</v>
      </c>
      <c r="O5849" t="str">
        <f t="shared" si="367"/>
        <v>pes</v>
      </c>
    </row>
    <row r="5850" spans="1:15" x14ac:dyDescent="0.25">
      <c r="A5850">
        <v>13309</v>
      </c>
      <c r="B5850" s="11">
        <v>4027788990013</v>
      </c>
      <c r="C5850" s="1" t="s">
        <v>43</v>
      </c>
      <c r="D5850" s="1" t="s">
        <v>21</v>
      </c>
      <c r="E5850" s="1" t="s">
        <v>22</v>
      </c>
      <c r="F5850">
        <v>8</v>
      </c>
      <c r="G5850">
        <v>1</v>
      </c>
      <c r="H5850" s="1" t="s">
        <v>14</v>
      </c>
      <c r="I5850" s="1" t="s">
        <v>15</v>
      </c>
      <c r="J5850" s="12">
        <v>46020</v>
      </c>
      <c r="K5850">
        <v>0</v>
      </c>
      <c r="L5850" s="1">
        <f t="shared" si="364"/>
        <v>8</v>
      </c>
      <c r="M5850" s="1" t="str">
        <f t="shared" si="365"/>
        <v/>
      </c>
      <c r="N5850" s="2">
        <f t="shared" si="366"/>
        <v>45992</v>
      </c>
      <c r="O5850" t="str">
        <f t="shared" si="367"/>
        <v>pes</v>
      </c>
    </row>
    <row r="5851" spans="1:15" x14ac:dyDescent="0.25">
      <c r="A5851">
        <v>13310</v>
      </c>
      <c r="B5851" s="11">
        <v>4017890123450</v>
      </c>
      <c r="C5851" s="1" t="s">
        <v>65</v>
      </c>
      <c r="D5851" s="1" t="s">
        <v>39</v>
      </c>
      <c r="E5851" s="1" t="s">
        <v>22</v>
      </c>
      <c r="F5851">
        <v>7.6</v>
      </c>
      <c r="G5851">
        <v>1</v>
      </c>
      <c r="H5851" s="1" t="s">
        <v>14</v>
      </c>
      <c r="I5851" s="1" t="s">
        <v>15</v>
      </c>
      <c r="J5851" s="12">
        <v>46020</v>
      </c>
      <c r="K5851">
        <v>0</v>
      </c>
      <c r="L5851" s="1">
        <f t="shared" si="364"/>
        <v>7.6</v>
      </c>
      <c r="M5851" s="1" t="str">
        <f t="shared" si="365"/>
        <v/>
      </c>
      <c r="N5851" s="2">
        <f t="shared" si="366"/>
        <v>45992</v>
      </c>
      <c r="O5851" t="str">
        <f t="shared" si="367"/>
        <v>pes</v>
      </c>
    </row>
    <row r="5852" spans="1:15" hidden="1" x14ac:dyDescent="0.25">
      <c r="A5852">
        <v>13311</v>
      </c>
      <c r="B5852" s="11">
        <v>4056789012345</v>
      </c>
      <c r="C5852" s="1" t="s">
        <v>47</v>
      </c>
      <c r="D5852" s="1" t="s">
        <v>29</v>
      </c>
      <c r="E5852" s="1" t="s">
        <v>37</v>
      </c>
      <c r="F5852">
        <v>2.4</v>
      </c>
      <c r="G5852">
        <v>2</v>
      </c>
      <c r="H5852" s="1" t="s">
        <v>14</v>
      </c>
      <c r="I5852" s="1" t="s">
        <v>15</v>
      </c>
      <c r="J5852" s="12">
        <v>46020</v>
      </c>
      <c r="K5852">
        <v>0</v>
      </c>
      <c r="L5852" s="1">
        <f t="shared" si="364"/>
        <v>4.8</v>
      </c>
      <c r="M5852" s="1" t="str">
        <f t="shared" si="365"/>
        <v/>
      </c>
      <c r="N5852" s="2">
        <f t="shared" si="366"/>
        <v>45992</v>
      </c>
      <c r="O5852" t="str">
        <f t="shared" si="367"/>
        <v>mačka</v>
      </c>
    </row>
    <row r="5853" spans="1:15" hidden="1" x14ac:dyDescent="0.25">
      <c r="A5853">
        <v>13312</v>
      </c>
      <c r="B5853" s="11">
        <v>8593456789012</v>
      </c>
      <c r="C5853" s="1" t="s">
        <v>28</v>
      </c>
      <c r="D5853" s="1" t="s">
        <v>29</v>
      </c>
      <c r="E5853" s="1" t="s">
        <v>30</v>
      </c>
      <c r="F5853">
        <v>42</v>
      </c>
      <c r="G5853">
        <v>1</v>
      </c>
      <c r="H5853" s="1" t="s">
        <v>14</v>
      </c>
      <c r="I5853" s="1" t="s">
        <v>15</v>
      </c>
      <c r="J5853" s="12">
        <v>46020</v>
      </c>
      <c r="K5853">
        <v>0</v>
      </c>
      <c r="L5853" s="1">
        <f t="shared" si="364"/>
        <v>42</v>
      </c>
      <c r="M5853" s="1" t="str">
        <f t="shared" si="365"/>
        <v/>
      </c>
      <c r="N5853" s="2">
        <f t="shared" si="366"/>
        <v>45992</v>
      </c>
      <c r="O5853" t="str">
        <f t="shared" si="367"/>
        <v>mačka</v>
      </c>
    </row>
    <row r="5854" spans="1:15" x14ac:dyDescent="0.25">
      <c r="A5854">
        <v>13313</v>
      </c>
      <c r="B5854" s="11">
        <v>4022345678908</v>
      </c>
      <c r="C5854" s="1" t="s">
        <v>363</v>
      </c>
      <c r="D5854" s="1" t="s">
        <v>21</v>
      </c>
      <c r="E5854" s="1" t="s">
        <v>69</v>
      </c>
      <c r="F5854">
        <v>10</v>
      </c>
      <c r="G5854">
        <v>1</v>
      </c>
      <c r="H5854" s="1" t="s">
        <v>14</v>
      </c>
      <c r="I5854" s="1" t="s">
        <v>15</v>
      </c>
      <c r="J5854" s="12">
        <v>46020</v>
      </c>
      <c r="K5854">
        <v>0</v>
      </c>
      <c r="L5854" s="1">
        <f t="shared" si="364"/>
        <v>10</v>
      </c>
      <c r="M5854" s="1" t="str">
        <f t="shared" si="365"/>
        <v/>
      </c>
      <c r="N5854" s="2">
        <f t="shared" si="366"/>
        <v>45992</v>
      </c>
      <c r="O5854" t="str">
        <f t="shared" si="367"/>
        <v>pes</v>
      </c>
    </row>
    <row r="5855" spans="1:15" hidden="1" x14ac:dyDescent="0.25">
      <c r="A5855">
        <v>13314</v>
      </c>
      <c r="B5855" s="11">
        <v>4010123456783</v>
      </c>
      <c r="C5855" s="1" t="s">
        <v>35</v>
      </c>
      <c r="D5855" s="1" t="s">
        <v>36</v>
      </c>
      <c r="E5855" s="1" t="s">
        <v>37</v>
      </c>
      <c r="F5855">
        <v>14</v>
      </c>
      <c r="G5855">
        <v>1</v>
      </c>
      <c r="H5855" s="1" t="s">
        <v>14</v>
      </c>
      <c r="I5855" s="1" t="s">
        <v>15</v>
      </c>
      <c r="J5855" s="12">
        <v>46020</v>
      </c>
      <c r="K5855">
        <v>0</v>
      </c>
      <c r="L5855" s="1">
        <f t="shared" si="364"/>
        <v>14</v>
      </c>
      <c r="M5855" s="1" t="str">
        <f t="shared" si="365"/>
        <v/>
      </c>
      <c r="N5855" s="2">
        <f t="shared" si="366"/>
        <v>45992</v>
      </c>
      <c r="O5855" t="str">
        <f t="shared" si="367"/>
        <v>mačka</v>
      </c>
    </row>
    <row r="5856" spans="1:15" x14ac:dyDescent="0.25">
      <c r="A5856">
        <v>13315</v>
      </c>
      <c r="B5856" s="11">
        <v>4028899001126</v>
      </c>
      <c r="C5856" s="1" t="s">
        <v>16</v>
      </c>
      <c r="D5856" s="1" t="s">
        <v>12</v>
      </c>
      <c r="E5856" s="1" t="s">
        <v>17</v>
      </c>
      <c r="F5856">
        <v>2.8</v>
      </c>
      <c r="G5856">
        <v>3</v>
      </c>
      <c r="H5856" s="1" t="s">
        <v>14</v>
      </c>
      <c r="I5856" s="1" t="s">
        <v>15</v>
      </c>
      <c r="J5856" s="12">
        <v>46020</v>
      </c>
      <c r="K5856">
        <v>0</v>
      </c>
      <c r="L5856" s="1">
        <f t="shared" si="364"/>
        <v>8.3999999999999986</v>
      </c>
      <c r="M5856" s="1" t="str">
        <f t="shared" si="365"/>
        <v/>
      </c>
      <c r="N5856" s="2">
        <f t="shared" si="366"/>
        <v>45992</v>
      </c>
      <c r="O5856" t="str">
        <f t="shared" si="367"/>
        <v>pes</v>
      </c>
    </row>
    <row r="5857" spans="1:15" x14ac:dyDescent="0.25">
      <c r="A5857">
        <v>13316</v>
      </c>
      <c r="B5857" s="11">
        <v>4013456789017</v>
      </c>
      <c r="C5857" s="1" t="s">
        <v>11</v>
      </c>
      <c r="D5857" s="1" t="s">
        <v>12</v>
      </c>
      <c r="E5857" s="1" t="s">
        <v>13</v>
      </c>
      <c r="F5857">
        <v>6</v>
      </c>
      <c r="G5857">
        <v>1</v>
      </c>
      <c r="H5857" s="1" t="s">
        <v>14</v>
      </c>
      <c r="I5857" s="1" t="s">
        <v>15</v>
      </c>
      <c r="J5857" s="12">
        <v>46020</v>
      </c>
      <c r="K5857">
        <v>0</v>
      </c>
      <c r="L5857" s="1">
        <f t="shared" si="364"/>
        <v>6</v>
      </c>
      <c r="M5857" s="1" t="str">
        <f t="shared" si="365"/>
        <v/>
      </c>
      <c r="N5857" s="2">
        <f t="shared" si="366"/>
        <v>45992</v>
      </c>
      <c r="O5857" t="str">
        <f t="shared" si="367"/>
        <v>pes</v>
      </c>
    </row>
    <row r="5858" spans="1:15" hidden="1" x14ac:dyDescent="0.25">
      <c r="A5858">
        <v>13317</v>
      </c>
      <c r="B5858" s="11">
        <v>4042233445567</v>
      </c>
      <c r="C5858" s="1" t="s">
        <v>637</v>
      </c>
      <c r="D5858" s="1" t="s">
        <v>140</v>
      </c>
      <c r="E5858" s="1" t="s">
        <v>141</v>
      </c>
      <c r="F5858">
        <v>51.64</v>
      </c>
      <c r="G5858">
        <v>1</v>
      </c>
      <c r="H5858" s="1" t="s">
        <v>14</v>
      </c>
      <c r="I5858" s="1" t="s">
        <v>15</v>
      </c>
      <c r="J5858" s="12">
        <v>46020</v>
      </c>
      <c r="K5858">
        <v>0</v>
      </c>
      <c r="L5858" s="1">
        <f t="shared" si="364"/>
        <v>51.64</v>
      </c>
      <c r="M5858" s="1" t="str">
        <f t="shared" si="365"/>
        <v/>
      </c>
      <c r="N5858" s="2">
        <f t="shared" si="366"/>
        <v>45992</v>
      </c>
      <c r="O5858" t="str">
        <f t="shared" si="367"/>
        <v>mačka</v>
      </c>
    </row>
    <row r="5859" spans="1:15" x14ac:dyDescent="0.25">
      <c r="A5859">
        <v>13318</v>
      </c>
      <c r="B5859" s="11">
        <v>4027788990013</v>
      </c>
      <c r="C5859" s="1" t="s">
        <v>43</v>
      </c>
      <c r="D5859" s="1" t="s">
        <v>21</v>
      </c>
      <c r="E5859" s="1" t="s">
        <v>22</v>
      </c>
      <c r="F5859">
        <v>8</v>
      </c>
      <c r="G5859">
        <v>1</v>
      </c>
      <c r="H5859" s="1" t="s">
        <v>14</v>
      </c>
      <c r="I5859" s="1" t="s">
        <v>15</v>
      </c>
      <c r="J5859" s="12">
        <v>46020</v>
      </c>
      <c r="K5859">
        <v>0</v>
      </c>
      <c r="L5859" s="1">
        <f t="shared" si="364"/>
        <v>8</v>
      </c>
      <c r="M5859" s="1" t="str">
        <f t="shared" si="365"/>
        <v/>
      </c>
      <c r="N5859" s="2">
        <f t="shared" si="366"/>
        <v>45992</v>
      </c>
      <c r="O5859" t="str">
        <f t="shared" si="367"/>
        <v>pes</v>
      </c>
    </row>
    <row r="5860" spans="1:15" x14ac:dyDescent="0.25">
      <c r="A5860">
        <v>13319</v>
      </c>
      <c r="B5860" s="11">
        <v>4003344556679</v>
      </c>
      <c r="C5860" s="1" t="s">
        <v>132</v>
      </c>
      <c r="D5860" s="1" t="s">
        <v>133</v>
      </c>
      <c r="E5860" s="1" t="s">
        <v>134</v>
      </c>
      <c r="F5860">
        <v>51.64</v>
      </c>
      <c r="G5860">
        <v>1</v>
      </c>
      <c r="H5860" s="1" t="s">
        <v>14</v>
      </c>
      <c r="I5860" s="1" t="s">
        <v>15</v>
      </c>
      <c r="J5860" s="12">
        <v>46020</v>
      </c>
      <c r="K5860">
        <v>0</v>
      </c>
      <c r="L5860" s="1">
        <f t="shared" si="364"/>
        <v>51.64</v>
      </c>
      <c r="M5860" s="1" t="str">
        <f t="shared" si="365"/>
        <v/>
      </c>
      <c r="N5860" s="2">
        <f t="shared" si="366"/>
        <v>45992</v>
      </c>
      <c r="O5860" t="str">
        <f t="shared" si="367"/>
        <v>pes</v>
      </c>
    </row>
    <row r="5861" spans="1:15" hidden="1" x14ac:dyDescent="0.25">
      <c r="A5861">
        <v>13320</v>
      </c>
      <c r="B5861" s="11">
        <v>4056789012345</v>
      </c>
      <c r="C5861" s="1" t="s">
        <v>47</v>
      </c>
      <c r="D5861" s="1" t="s">
        <v>29</v>
      </c>
      <c r="E5861" s="1" t="s">
        <v>37</v>
      </c>
      <c r="F5861">
        <v>2.4</v>
      </c>
      <c r="G5861">
        <v>2</v>
      </c>
      <c r="H5861" s="1" t="s">
        <v>14</v>
      </c>
      <c r="I5861" s="1" t="s">
        <v>15</v>
      </c>
      <c r="J5861" s="12">
        <v>46020</v>
      </c>
      <c r="K5861">
        <v>0</v>
      </c>
      <c r="L5861" s="1">
        <f t="shared" si="364"/>
        <v>4.8</v>
      </c>
      <c r="M5861" s="1" t="str">
        <f t="shared" si="365"/>
        <v/>
      </c>
      <c r="N5861" s="2">
        <f t="shared" si="366"/>
        <v>45992</v>
      </c>
      <c r="O5861" t="str">
        <f t="shared" si="367"/>
        <v>mačka</v>
      </c>
    </row>
    <row r="5862" spans="1:15" x14ac:dyDescent="0.25">
      <c r="A5862">
        <v>13321</v>
      </c>
      <c r="B5862" s="11">
        <v>4028899001126</v>
      </c>
      <c r="C5862" s="1" t="s">
        <v>16</v>
      </c>
      <c r="D5862" s="1" t="s">
        <v>12</v>
      </c>
      <c r="E5862" s="1" t="s">
        <v>17</v>
      </c>
      <c r="F5862">
        <v>2.8</v>
      </c>
      <c r="G5862">
        <v>3</v>
      </c>
      <c r="H5862" s="1" t="s">
        <v>14</v>
      </c>
      <c r="I5862" s="1" t="s">
        <v>15</v>
      </c>
      <c r="J5862" s="12">
        <v>46021</v>
      </c>
      <c r="K5862">
        <v>0</v>
      </c>
      <c r="L5862" s="1">
        <f t="shared" si="364"/>
        <v>8.3999999999999986</v>
      </c>
      <c r="M5862" s="1" t="str">
        <f t="shared" si="365"/>
        <v/>
      </c>
      <c r="N5862" s="2">
        <f t="shared" si="366"/>
        <v>45992</v>
      </c>
      <c r="O5862" t="str">
        <f t="shared" si="367"/>
        <v>pes</v>
      </c>
    </row>
    <row r="5863" spans="1:15" x14ac:dyDescent="0.25">
      <c r="A5863">
        <v>13322</v>
      </c>
      <c r="B5863" s="11">
        <v>4013456789017</v>
      </c>
      <c r="C5863" s="1" t="s">
        <v>11</v>
      </c>
      <c r="D5863" s="1" t="s">
        <v>12</v>
      </c>
      <c r="E5863" s="1" t="s">
        <v>13</v>
      </c>
      <c r="F5863">
        <v>6</v>
      </c>
      <c r="G5863">
        <v>1</v>
      </c>
      <c r="H5863" s="1" t="s">
        <v>14</v>
      </c>
      <c r="I5863" s="1" t="s">
        <v>15</v>
      </c>
      <c r="J5863" s="12">
        <v>46021</v>
      </c>
      <c r="K5863">
        <v>0</v>
      </c>
      <c r="L5863" s="1">
        <f t="shared" si="364"/>
        <v>6</v>
      </c>
      <c r="M5863" s="1" t="str">
        <f t="shared" si="365"/>
        <v/>
      </c>
      <c r="N5863" s="2">
        <f t="shared" si="366"/>
        <v>45992</v>
      </c>
      <c r="O5863" t="str">
        <f t="shared" si="367"/>
        <v>pes</v>
      </c>
    </row>
    <row r="5864" spans="1:15" x14ac:dyDescent="0.25">
      <c r="A5864">
        <v>13323</v>
      </c>
      <c r="B5864" s="11">
        <v>4040123456795</v>
      </c>
      <c r="C5864" s="1" t="s">
        <v>20</v>
      </c>
      <c r="D5864" s="1" t="s">
        <v>21</v>
      </c>
      <c r="E5864" s="1" t="s">
        <v>22</v>
      </c>
      <c r="F5864">
        <v>8.8000000000000007</v>
      </c>
      <c r="G5864">
        <v>1</v>
      </c>
      <c r="H5864" s="1" t="s">
        <v>14</v>
      </c>
      <c r="I5864" s="1" t="s">
        <v>15</v>
      </c>
      <c r="J5864" s="12">
        <v>46021</v>
      </c>
      <c r="K5864">
        <v>0</v>
      </c>
      <c r="L5864" s="1">
        <f t="shared" si="364"/>
        <v>8.8000000000000007</v>
      </c>
      <c r="M5864" s="1" t="str">
        <f t="shared" si="365"/>
        <v/>
      </c>
      <c r="N5864" s="2">
        <f t="shared" si="366"/>
        <v>45992</v>
      </c>
      <c r="O5864" t="str">
        <f t="shared" si="367"/>
        <v>pes</v>
      </c>
    </row>
    <row r="5865" spans="1:15" x14ac:dyDescent="0.25">
      <c r="A5865">
        <v>13324</v>
      </c>
      <c r="B5865" s="11">
        <v>4027788990013</v>
      </c>
      <c r="C5865" s="1" t="s">
        <v>43</v>
      </c>
      <c r="D5865" s="1" t="s">
        <v>21</v>
      </c>
      <c r="E5865" s="1" t="s">
        <v>22</v>
      </c>
      <c r="F5865">
        <v>8</v>
      </c>
      <c r="G5865">
        <v>1</v>
      </c>
      <c r="H5865" s="1" t="s">
        <v>14</v>
      </c>
      <c r="I5865" s="1" t="s">
        <v>15</v>
      </c>
      <c r="J5865" s="12">
        <v>46021</v>
      </c>
      <c r="K5865">
        <v>0</v>
      </c>
      <c r="L5865" s="1">
        <f t="shared" si="364"/>
        <v>8</v>
      </c>
      <c r="M5865" s="1" t="str">
        <f t="shared" si="365"/>
        <v/>
      </c>
      <c r="N5865" s="2">
        <f t="shared" si="366"/>
        <v>45992</v>
      </c>
      <c r="O5865" t="str">
        <f t="shared" si="367"/>
        <v>pes</v>
      </c>
    </row>
    <row r="5866" spans="1:15" x14ac:dyDescent="0.25">
      <c r="A5866">
        <v>13325</v>
      </c>
      <c r="B5866" s="11">
        <v>4017890123450</v>
      </c>
      <c r="C5866" s="1" t="s">
        <v>65</v>
      </c>
      <c r="D5866" s="1" t="s">
        <v>39</v>
      </c>
      <c r="E5866" s="1" t="s">
        <v>22</v>
      </c>
      <c r="F5866">
        <v>7.6</v>
      </c>
      <c r="G5866">
        <v>1</v>
      </c>
      <c r="H5866" s="1" t="s">
        <v>18</v>
      </c>
      <c r="I5866" s="1" t="s">
        <v>1330</v>
      </c>
      <c r="J5866" s="12">
        <v>46021</v>
      </c>
      <c r="K5866">
        <v>0</v>
      </c>
      <c r="L5866" s="1">
        <f t="shared" si="364"/>
        <v>7.6</v>
      </c>
      <c r="M5866" s="1">
        <f t="shared" si="365"/>
        <v>4</v>
      </c>
      <c r="N5866" s="2">
        <f t="shared" si="366"/>
        <v>45992</v>
      </c>
      <c r="O5866" t="str">
        <f t="shared" si="367"/>
        <v>pes</v>
      </c>
    </row>
    <row r="5867" spans="1:15" hidden="1" x14ac:dyDescent="0.25">
      <c r="A5867">
        <v>13326</v>
      </c>
      <c r="B5867" s="11">
        <v>4056789012345</v>
      </c>
      <c r="C5867" s="1" t="s">
        <v>47</v>
      </c>
      <c r="D5867" s="1" t="s">
        <v>29</v>
      </c>
      <c r="E5867" s="1" t="s">
        <v>37</v>
      </c>
      <c r="F5867">
        <v>2.4</v>
      </c>
      <c r="G5867">
        <v>2</v>
      </c>
      <c r="H5867" s="1" t="s">
        <v>14</v>
      </c>
      <c r="I5867" s="1" t="s">
        <v>15</v>
      </c>
      <c r="J5867" s="12">
        <v>46021</v>
      </c>
      <c r="K5867">
        <v>0</v>
      </c>
      <c r="L5867" s="1">
        <f t="shared" si="364"/>
        <v>4.8</v>
      </c>
      <c r="M5867" s="1" t="str">
        <f t="shared" si="365"/>
        <v/>
      </c>
      <c r="N5867" s="2">
        <f t="shared" si="366"/>
        <v>45992</v>
      </c>
      <c r="O5867" t="str">
        <f t="shared" si="367"/>
        <v>mačka</v>
      </c>
    </row>
    <row r="5868" spans="1:15" hidden="1" x14ac:dyDescent="0.25">
      <c r="A5868">
        <v>13327</v>
      </c>
      <c r="B5868" s="11">
        <v>8593456789012</v>
      </c>
      <c r="C5868" s="1" t="s">
        <v>28</v>
      </c>
      <c r="D5868" s="1" t="s">
        <v>29</v>
      </c>
      <c r="E5868" s="1" t="s">
        <v>30</v>
      </c>
      <c r="F5868">
        <v>42</v>
      </c>
      <c r="G5868">
        <v>1</v>
      </c>
      <c r="H5868" s="1" t="s">
        <v>14</v>
      </c>
      <c r="I5868" s="1" t="s">
        <v>15</v>
      </c>
      <c r="J5868" s="12">
        <v>46021</v>
      </c>
      <c r="K5868">
        <v>0</v>
      </c>
      <c r="L5868" s="1">
        <f t="shared" si="364"/>
        <v>42</v>
      </c>
      <c r="M5868" s="1" t="str">
        <f t="shared" si="365"/>
        <v/>
      </c>
      <c r="N5868" s="2">
        <f t="shared" si="366"/>
        <v>45992</v>
      </c>
      <c r="O5868" t="str">
        <f t="shared" si="367"/>
        <v>mačka</v>
      </c>
    </row>
    <row r="5869" spans="1:15" x14ac:dyDescent="0.25">
      <c r="A5869">
        <v>13328</v>
      </c>
      <c r="B5869" s="11">
        <v>4022345678908</v>
      </c>
      <c r="C5869" s="1" t="s">
        <v>363</v>
      </c>
      <c r="D5869" s="1" t="s">
        <v>21</v>
      </c>
      <c r="E5869" s="1" t="s">
        <v>69</v>
      </c>
      <c r="F5869">
        <v>10</v>
      </c>
      <c r="G5869">
        <v>1</v>
      </c>
      <c r="H5869" s="1" t="s">
        <v>14</v>
      </c>
      <c r="I5869" s="1" t="s">
        <v>15</v>
      </c>
      <c r="J5869" s="12">
        <v>46021</v>
      </c>
      <c r="K5869">
        <v>0</v>
      </c>
      <c r="L5869" s="1">
        <f t="shared" si="364"/>
        <v>10</v>
      </c>
      <c r="M5869" s="1" t="str">
        <f t="shared" si="365"/>
        <v/>
      </c>
      <c r="N5869" s="2">
        <f t="shared" si="366"/>
        <v>45992</v>
      </c>
      <c r="O5869" t="str">
        <f t="shared" si="367"/>
        <v>pes</v>
      </c>
    </row>
    <row r="5870" spans="1:15" hidden="1" x14ac:dyDescent="0.25">
      <c r="A5870">
        <v>13329</v>
      </c>
      <c r="B5870" s="11">
        <v>4010123456783</v>
      </c>
      <c r="C5870" s="1" t="s">
        <v>35</v>
      </c>
      <c r="D5870" s="1" t="s">
        <v>36</v>
      </c>
      <c r="E5870" s="1" t="s">
        <v>37</v>
      </c>
      <c r="F5870">
        <v>14</v>
      </c>
      <c r="G5870">
        <v>1</v>
      </c>
      <c r="H5870" s="1" t="s">
        <v>14</v>
      </c>
      <c r="I5870" s="1" t="s">
        <v>15</v>
      </c>
      <c r="J5870" s="12">
        <v>46021</v>
      </c>
      <c r="K5870">
        <v>0</v>
      </c>
      <c r="L5870" s="1">
        <f t="shared" si="364"/>
        <v>14</v>
      </c>
      <c r="M5870" s="1" t="str">
        <f t="shared" si="365"/>
        <v/>
      </c>
      <c r="N5870" s="2">
        <f t="shared" si="366"/>
        <v>45992</v>
      </c>
      <c r="O5870" t="str">
        <f t="shared" si="367"/>
        <v>mačka</v>
      </c>
    </row>
    <row r="5871" spans="1:15" x14ac:dyDescent="0.25">
      <c r="A5871">
        <v>13330</v>
      </c>
      <c r="B5871" s="11">
        <v>4028899001126</v>
      </c>
      <c r="C5871" s="1" t="s">
        <v>16</v>
      </c>
      <c r="D5871" s="1" t="s">
        <v>12</v>
      </c>
      <c r="E5871" s="1" t="s">
        <v>17</v>
      </c>
      <c r="F5871">
        <v>2.8</v>
      </c>
      <c r="G5871">
        <v>2</v>
      </c>
      <c r="H5871" s="1" t="s">
        <v>14</v>
      </c>
      <c r="I5871" s="1" t="s">
        <v>15</v>
      </c>
      <c r="J5871" s="12">
        <v>46021</v>
      </c>
      <c r="K5871">
        <v>0</v>
      </c>
      <c r="L5871" s="1">
        <f t="shared" si="364"/>
        <v>5.6</v>
      </c>
      <c r="M5871" s="1" t="str">
        <f t="shared" si="365"/>
        <v/>
      </c>
      <c r="N5871" s="2">
        <f t="shared" si="366"/>
        <v>45992</v>
      </c>
      <c r="O5871" t="str">
        <f t="shared" si="367"/>
        <v>pes</v>
      </c>
    </row>
    <row r="5872" spans="1:15" x14ac:dyDescent="0.25">
      <c r="A5872">
        <v>13331</v>
      </c>
      <c r="B5872" s="11">
        <v>4040123456795</v>
      </c>
      <c r="C5872" s="1" t="s">
        <v>20</v>
      </c>
      <c r="D5872" s="1" t="s">
        <v>21</v>
      </c>
      <c r="E5872" s="1" t="s">
        <v>22</v>
      </c>
      <c r="F5872">
        <v>8.8000000000000007</v>
      </c>
      <c r="G5872">
        <v>1</v>
      </c>
      <c r="H5872" s="1" t="s">
        <v>14</v>
      </c>
      <c r="I5872" s="1" t="s">
        <v>15</v>
      </c>
      <c r="J5872" s="12">
        <v>46021</v>
      </c>
      <c r="K5872">
        <v>0</v>
      </c>
      <c r="L5872" s="1">
        <f t="shared" si="364"/>
        <v>8.8000000000000007</v>
      </c>
      <c r="M5872" s="1" t="str">
        <f t="shared" si="365"/>
        <v/>
      </c>
      <c r="N5872" s="2">
        <f t="shared" si="366"/>
        <v>45992</v>
      </c>
      <c r="O5872" t="str">
        <f t="shared" si="367"/>
        <v>pes</v>
      </c>
    </row>
    <row r="5873" spans="1:15" x14ac:dyDescent="0.25">
      <c r="A5873">
        <v>13332</v>
      </c>
      <c r="B5873" s="11">
        <v>4027788990013</v>
      </c>
      <c r="C5873" s="1" t="s">
        <v>43</v>
      </c>
      <c r="D5873" s="1" t="s">
        <v>21</v>
      </c>
      <c r="E5873" s="1" t="s">
        <v>22</v>
      </c>
      <c r="F5873">
        <v>8</v>
      </c>
      <c r="G5873">
        <v>1</v>
      </c>
      <c r="H5873" s="1" t="s">
        <v>14</v>
      </c>
      <c r="I5873" s="1" t="s">
        <v>15</v>
      </c>
      <c r="J5873" s="12">
        <v>46021</v>
      </c>
      <c r="K5873">
        <v>0</v>
      </c>
      <c r="L5873" s="1">
        <f t="shared" si="364"/>
        <v>8</v>
      </c>
      <c r="M5873" s="1" t="str">
        <f t="shared" si="365"/>
        <v/>
      </c>
      <c r="N5873" s="2">
        <f t="shared" si="366"/>
        <v>45992</v>
      </c>
      <c r="O5873" t="str">
        <f t="shared" si="367"/>
        <v>pes</v>
      </c>
    </row>
    <row r="5874" spans="1:15" x14ac:dyDescent="0.25">
      <c r="A5874">
        <v>13333</v>
      </c>
      <c r="B5874" s="11">
        <v>4003344556679</v>
      </c>
      <c r="C5874" s="1" t="s">
        <v>132</v>
      </c>
      <c r="D5874" s="1" t="s">
        <v>133</v>
      </c>
      <c r="E5874" s="1" t="s">
        <v>134</v>
      </c>
      <c r="F5874">
        <v>51.64</v>
      </c>
      <c r="G5874">
        <v>1</v>
      </c>
      <c r="H5874" s="1" t="s">
        <v>14</v>
      </c>
      <c r="I5874" s="1" t="s">
        <v>15</v>
      </c>
      <c r="J5874" s="12">
        <v>46021</v>
      </c>
      <c r="K5874">
        <v>0</v>
      </c>
      <c r="L5874" s="1">
        <f t="shared" si="364"/>
        <v>51.64</v>
      </c>
      <c r="M5874" s="1" t="str">
        <f t="shared" si="365"/>
        <v/>
      </c>
      <c r="N5874" s="2">
        <f t="shared" si="366"/>
        <v>45992</v>
      </c>
      <c r="O5874" t="str">
        <f t="shared" si="367"/>
        <v>pes</v>
      </c>
    </row>
    <row r="5875" spans="1:15" x14ac:dyDescent="0.25">
      <c r="A5875">
        <v>13334</v>
      </c>
      <c r="B5875" s="11">
        <v>4013456789017</v>
      </c>
      <c r="C5875" s="1" t="s">
        <v>11</v>
      </c>
      <c r="D5875" s="1" t="s">
        <v>12</v>
      </c>
      <c r="E5875" s="1" t="s">
        <v>13</v>
      </c>
      <c r="F5875">
        <v>6</v>
      </c>
      <c r="G5875">
        <v>1</v>
      </c>
      <c r="H5875" s="1" t="s">
        <v>14</v>
      </c>
      <c r="I5875" s="1" t="s">
        <v>15</v>
      </c>
      <c r="J5875" s="12">
        <v>46021</v>
      </c>
      <c r="K5875">
        <v>0</v>
      </c>
      <c r="L5875" s="1">
        <f t="shared" si="364"/>
        <v>6</v>
      </c>
      <c r="M5875" s="1" t="str">
        <f t="shared" si="365"/>
        <v/>
      </c>
      <c r="N5875" s="2">
        <f t="shared" si="366"/>
        <v>45992</v>
      </c>
      <c r="O5875" t="str">
        <f t="shared" si="367"/>
        <v>pes</v>
      </c>
    </row>
    <row r="5876" spans="1:15" x14ac:dyDescent="0.25">
      <c r="A5876">
        <v>13335</v>
      </c>
      <c r="B5876" s="11">
        <v>4028899001126</v>
      </c>
      <c r="C5876" s="1" t="s">
        <v>16</v>
      </c>
      <c r="D5876" s="1" t="s">
        <v>12</v>
      </c>
      <c r="E5876" s="1" t="s">
        <v>17</v>
      </c>
      <c r="F5876">
        <v>2.8</v>
      </c>
      <c r="G5876">
        <v>3</v>
      </c>
      <c r="H5876" s="1" t="s">
        <v>23</v>
      </c>
      <c r="I5876" s="1" t="s">
        <v>1331</v>
      </c>
      <c r="J5876" s="12">
        <v>46021</v>
      </c>
      <c r="K5876">
        <v>0</v>
      </c>
      <c r="L5876" s="1">
        <f t="shared" si="364"/>
        <v>8.3999999999999986</v>
      </c>
      <c r="M5876" s="1">
        <f t="shared" si="365"/>
        <v>5</v>
      </c>
      <c r="N5876" s="2">
        <f t="shared" si="366"/>
        <v>45992</v>
      </c>
      <c r="O5876" t="str">
        <f t="shared" si="367"/>
        <v>pes</v>
      </c>
    </row>
    <row r="5877" spans="1:15" hidden="1" x14ac:dyDescent="0.25">
      <c r="A5877">
        <v>13336</v>
      </c>
      <c r="B5877" s="11">
        <v>4042233445567</v>
      </c>
      <c r="C5877" s="1" t="s">
        <v>637</v>
      </c>
      <c r="D5877" s="1" t="s">
        <v>140</v>
      </c>
      <c r="E5877" s="1" t="s">
        <v>141</v>
      </c>
      <c r="F5877">
        <v>51.64</v>
      </c>
      <c r="G5877">
        <v>1</v>
      </c>
      <c r="H5877" s="1" t="s">
        <v>14</v>
      </c>
      <c r="I5877" s="1" t="s">
        <v>15</v>
      </c>
      <c r="J5877" s="12">
        <v>46021</v>
      </c>
      <c r="K5877">
        <v>0</v>
      </c>
      <c r="L5877" s="1">
        <f t="shared" si="364"/>
        <v>51.64</v>
      </c>
      <c r="M5877" s="1" t="str">
        <f t="shared" si="365"/>
        <v/>
      </c>
      <c r="N5877" s="2">
        <f t="shared" si="366"/>
        <v>45992</v>
      </c>
      <c r="O5877" t="str">
        <f t="shared" si="367"/>
        <v>mačka</v>
      </c>
    </row>
    <row r="5878" spans="1:15" hidden="1" x14ac:dyDescent="0.25">
      <c r="A5878">
        <v>13337</v>
      </c>
      <c r="B5878" s="11">
        <v>4067890123456</v>
      </c>
      <c r="C5878" s="1" t="s">
        <v>68</v>
      </c>
      <c r="D5878" s="1" t="s">
        <v>29</v>
      </c>
      <c r="E5878" s="1" t="s">
        <v>69</v>
      </c>
      <c r="F5878">
        <v>36</v>
      </c>
      <c r="G5878">
        <v>1</v>
      </c>
      <c r="H5878" s="1" t="s">
        <v>14</v>
      </c>
      <c r="I5878" s="1" t="s">
        <v>15</v>
      </c>
      <c r="J5878" s="12">
        <v>46021</v>
      </c>
      <c r="K5878">
        <v>0</v>
      </c>
      <c r="L5878" s="1">
        <f t="shared" si="364"/>
        <v>36</v>
      </c>
      <c r="M5878" s="1" t="str">
        <f t="shared" si="365"/>
        <v/>
      </c>
      <c r="N5878" s="2">
        <f t="shared" si="366"/>
        <v>45992</v>
      </c>
      <c r="O5878" t="str">
        <f t="shared" si="367"/>
        <v>mačka</v>
      </c>
    </row>
    <row r="5879" spans="1:15" x14ac:dyDescent="0.25">
      <c r="A5879">
        <v>13338</v>
      </c>
      <c r="B5879" s="11">
        <v>4022345678908</v>
      </c>
      <c r="C5879" s="1" t="s">
        <v>363</v>
      </c>
      <c r="D5879" s="1" t="s">
        <v>21</v>
      </c>
      <c r="E5879" s="1" t="s">
        <v>69</v>
      </c>
      <c r="F5879">
        <v>10</v>
      </c>
      <c r="G5879">
        <v>1</v>
      </c>
      <c r="H5879" s="1" t="s">
        <v>14</v>
      </c>
      <c r="I5879" s="1" t="s">
        <v>15</v>
      </c>
      <c r="J5879" s="12">
        <v>46021</v>
      </c>
      <c r="K5879">
        <v>0</v>
      </c>
      <c r="L5879" s="1">
        <f t="shared" si="364"/>
        <v>10</v>
      </c>
      <c r="M5879" s="1" t="str">
        <f t="shared" si="365"/>
        <v/>
      </c>
      <c r="N5879" s="2">
        <f t="shared" si="366"/>
        <v>45992</v>
      </c>
      <c r="O5879" t="str">
        <f t="shared" si="367"/>
        <v>pes</v>
      </c>
    </row>
    <row r="5880" spans="1:15" x14ac:dyDescent="0.25">
      <c r="A5880">
        <v>13339</v>
      </c>
      <c r="B5880" s="11">
        <v>4017890123450</v>
      </c>
      <c r="C5880" s="1" t="s">
        <v>65</v>
      </c>
      <c r="D5880" s="1" t="s">
        <v>39</v>
      </c>
      <c r="E5880" s="1" t="s">
        <v>22</v>
      </c>
      <c r="F5880">
        <v>7.6</v>
      </c>
      <c r="G5880">
        <v>1</v>
      </c>
      <c r="H5880" s="1" t="s">
        <v>14</v>
      </c>
      <c r="I5880" s="1" t="s">
        <v>15</v>
      </c>
      <c r="J5880" s="12">
        <v>46021</v>
      </c>
      <c r="K5880">
        <v>0</v>
      </c>
      <c r="L5880" s="1">
        <f t="shared" si="364"/>
        <v>7.6</v>
      </c>
      <c r="M5880" s="1" t="str">
        <f t="shared" si="365"/>
        <v/>
      </c>
      <c r="N5880" s="2">
        <f t="shared" si="366"/>
        <v>45992</v>
      </c>
      <c r="O5880" t="str">
        <f t="shared" si="367"/>
        <v>pes</v>
      </c>
    </row>
    <row r="5881" spans="1:15" hidden="1" x14ac:dyDescent="0.25">
      <c r="A5881">
        <v>13340</v>
      </c>
      <c r="B5881" s="11">
        <v>4056789012345</v>
      </c>
      <c r="C5881" s="1" t="s">
        <v>47</v>
      </c>
      <c r="D5881" s="1" t="s">
        <v>29</v>
      </c>
      <c r="E5881" s="1" t="s">
        <v>37</v>
      </c>
      <c r="F5881">
        <v>2.4</v>
      </c>
      <c r="G5881">
        <v>2</v>
      </c>
      <c r="H5881" s="1" t="s">
        <v>14</v>
      </c>
      <c r="I5881" s="1" t="s">
        <v>15</v>
      </c>
      <c r="J5881" s="12">
        <v>46021</v>
      </c>
      <c r="K5881">
        <v>0</v>
      </c>
      <c r="L5881" s="1">
        <f t="shared" si="364"/>
        <v>4.8</v>
      </c>
      <c r="M5881" s="1" t="str">
        <f t="shared" si="365"/>
        <v/>
      </c>
      <c r="N5881" s="2">
        <f t="shared" si="366"/>
        <v>45992</v>
      </c>
      <c r="O5881" t="str">
        <f t="shared" si="367"/>
        <v>mačka</v>
      </c>
    </row>
    <row r="5882" spans="1:15" hidden="1" x14ac:dyDescent="0.25">
      <c r="A5882">
        <v>13341</v>
      </c>
      <c r="B5882" s="11">
        <v>8593456789012</v>
      </c>
      <c r="C5882" s="1" t="s">
        <v>28</v>
      </c>
      <c r="D5882" s="1" t="s">
        <v>29</v>
      </c>
      <c r="E5882" s="1" t="s">
        <v>30</v>
      </c>
      <c r="F5882">
        <v>42</v>
      </c>
      <c r="G5882">
        <v>1</v>
      </c>
      <c r="H5882" s="1" t="s">
        <v>14</v>
      </c>
      <c r="I5882" s="1" t="s">
        <v>15</v>
      </c>
      <c r="J5882" s="12">
        <v>46022</v>
      </c>
      <c r="K5882">
        <v>0</v>
      </c>
      <c r="L5882" s="1">
        <f t="shared" si="364"/>
        <v>42</v>
      </c>
      <c r="M5882" s="1" t="str">
        <f t="shared" si="365"/>
        <v/>
      </c>
      <c r="N5882" s="2">
        <f t="shared" si="366"/>
        <v>45992</v>
      </c>
      <c r="O5882" t="str">
        <f t="shared" si="367"/>
        <v>mačka</v>
      </c>
    </row>
    <row r="5883" spans="1:15" x14ac:dyDescent="0.25">
      <c r="A5883">
        <v>13342</v>
      </c>
      <c r="B5883" s="11">
        <v>4028899001126</v>
      </c>
      <c r="C5883" s="1" t="s">
        <v>16</v>
      </c>
      <c r="D5883" s="1" t="s">
        <v>12</v>
      </c>
      <c r="E5883" s="1" t="s">
        <v>17</v>
      </c>
      <c r="F5883">
        <v>2.8</v>
      </c>
      <c r="G5883">
        <v>3</v>
      </c>
      <c r="H5883" s="1" t="s">
        <v>14</v>
      </c>
      <c r="I5883" s="1" t="s">
        <v>15</v>
      </c>
      <c r="J5883" s="12">
        <v>46022</v>
      </c>
      <c r="K5883">
        <v>0</v>
      </c>
      <c r="L5883" s="1">
        <f t="shared" si="364"/>
        <v>8.3999999999999986</v>
      </c>
      <c r="M5883" s="1" t="str">
        <f t="shared" si="365"/>
        <v/>
      </c>
      <c r="N5883" s="2">
        <f t="shared" si="366"/>
        <v>45992</v>
      </c>
      <c r="O5883" t="str">
        <f t="shared" si="367"/>
        <v>pes</v>
      </c>
    </row>
    <row r="5884" spans="1:15" x14ac:dyDescent="0.25">
      <c r="A5884">
        <v>13343</v>
      </c>
      <c r="B5884" s="11">
        <v>4013456789017</v>
      </c>
      <c r="C5884" s="1" t="s">
        <v>11</v>
      </c>
      <c r="D5884" s="1" t="s">
        <v>12</v>
      </c>
      <c r="E5884" s="1" t="s">
        <v>13</v>
      </c>
      <c r="F5884">
        <v>6</v>
      </c>
      <c r="G5884">
        <v>1</v>
      </c>
      <c r="H5884" s="1" t="s">
        <v>14</v>
      </c>
      <c r="I5884" s="1" t="s">
        <v>15</v>
      </c>
      <c r="J5884" s="12">
        <v>46022</v>
      </c>
      <c r="K5884">
        <v>0</v>
      </c>
      <c r="L5884" s="1">
        <f t="shared" si="364"/>
        <v>6</v>
      </c>
      <c r="M5884" s="1" t="str">
        <f t="shared" si="365"/>
        <v/>
      </c>
      <c r="N5884" s="2">
        <f t="shared" si="366"/>
        <v>45992</v>
      </c>
      <c r="O5884" t="str">
        <f t="shared" si="367"/>
        <v>pes</v>
      </c>
    </row>
    <row r="5885" spans="1:15" x14ac:dyDescent="0.25">
      <c r="A5885">
        <v>13344</v>
      </c>
      <c r="B5885" s="11">
        <v>4040123456795</v>
      </c>
      <c r="C5885" s="1" t="s">
        <v>20</v>
      </c>
      <c r="D5885" s="1" t="s">
        <v>21</v>
      </c>
      <c r="E5885" s="1" t="s">
        <v>22</v>
      </c>
      <c r="F5885">
        <v>8.8000000000000007</v>
      </c>
      <c r="G5885">
        <v>1</v>
      </c>
      <c r="H5885" s="1" t="s">
        <v>14</v>
      </c>
      <c r="I5885" s="1" t="s">
        <v>15</v>
      </c>
      <c r="J5885" s="12">
        <v>46022</v>
      </c>
      <c r="K5885">
        <v>0</v>
      </c>
      <c r="L5885" s="1">
        <f t="shared" si="364"/>
        <v>8.8000000000000007</v>
      </c>
      <c r="M5885" s="1" t="str">
        <f t="shared" si="365"/>
        <v/>
      </c>
      <c r="N5885" s="2">
        <f t="shared" si="366"/>
        <v>45992</v>
      </c>
      <c r="O5885" t="str">
        <f t="shared" si="367"/>
        <v>pes</v>
      </c>
    </row>
    <row r="5886" spans="1:15" x14ac:dyDescent="0.25">
      <c r="A5886">
        <v>13345</v>
      </c>
      <c r="B5886" s="11">
        <v>4027788990013</v>
      </c>
      <c r="C5886" s="1" t="s">
        <v>43</v>
      </c>
      <c r="D5886" s="1" t="s">
        <v>21</v>
      </c>
      <c r="E5886" s="1" t="s">
        <v>22</v>
      </c>
      <c r="F5886">
        <v>8</v>
      </c>
      <c r="G5886">
        <v>1</v>
      </c>
      <c r="H5886" s="1" t="s">
        <v>14</v>
      </c>
      <c r="I5886" s="1" t="s">
        <v>15</v>
      </c>
      <c r="J5886" s="12">
        <v>46022</v>
      </c>
      <c r="K5886">
        <v>0</v>
      </c>
      <c r="L5886" s="1">
        <f t="shared" si="364"/>
        <v>8</v>
      </c>
      <c r="M5886" s="1" t="str">
        <f t="shared" si="365"/>
        <v/>
      </c>
      <c r="N5886" s="2">
        <f t="shared" si="366"/>
        <v>45992</v>
      </c>
      <c r="O5886" t="str">
        <f t="shared" si="367"/>
        <v>pes</v>
      </c>
    </row>
    <row r="5887" spans="1:15" x14ac:dyDescent="0.25">
      <c r="A5887">
        <v>13346</v>
      </c>
      <c r="B5887" s="11">
        <v>4003344556679</v>
      </c>
      <c r="C5887" s="1" t="s">
        <v>132</v>
      </c>
      <c r="D5887" s="1" t="s">
        <v>133</v>
      </c>
      <c r="E5887" s="1" t="s">
        <v>134</v>
      </c>
      <c r="F5887">
        <v>51.64</v>
      </c>
      <c r="G5887">
        <v>1</v>
      </c>
      <c r="H5887" s="1" t="s">
        <v>14</v>
      </c>
      <c r="I5887" s="1" t="s">
        <v>15</v>
      </c>
      <c r="J5887" s="12">
        <v>46022</v>
      </c>
      <c r="K5887">
        <v>0</v>
      </c>
      <c r="L5887" s="1">
        <f t="shared" si="364"/>
        <v>51.64</v>
      </c>
      <c r="M5887" s="1" t="str">
        <f t="shared" si="365"/>
        <v/>
      </c>
      <c r="N5887" s="2">
        <f t="shared" si="366"/>
        <v>45992</v>
      </c>
      <c r="O5887" t="str">
        <f t="shared" si="367"/>
        <v>pes</v>
      </c>
    </row>
    <row r="5888" spans="1:15" x14ac:dyDescent="0.25">
      <c r="A5888">
        <v>13347</v>
      </c>
      <c r="B5888" s="11">
        <v>4017890123450</v>
      </c>
      <c r="C5888" s="1" t="s">
        <v>65</v>
      </c>
      <c r="D5888" s="1" t="s">
        <v>39</v>
      </c>
      <c r="E5888" s="1" t="s">
        <v>22</v>
      </c>
      <c r="F5888">
        <v>7.6</v>
      </c>
      <c r="G5888">
        <v>1</v>
      </c>
      <c r="H5888" s="1" t="s">
        <v>14</v>
      </c>
      <c r="I5888" s="1" t="s">
        <v>15</v>
      </c>
      <c r="J5888" s="12">
        <v>46022</v>
      </c>
      <c r="K5888">
        <v>0</v>
      </c>
      <c r="L5888" s="1">
        <f t="shared" si="364"/>
        <v>7.6</v>
      </c>
      <c r="M5888" s="1" t="str">
        <f t="shared" si="365"/>
        <v/>
      </c>
      <c r="N5888" s="2">
        <f t="shared" si="366"/>
        <v>45992</v>
      </c>
      <c r="O5888" t="str">
        <f t="shared" si="367"/>
        <v>pes</v>
      </c>
    </row>
    <row r="5889" spans="1:15" hidden="1" x14ac:dyDescent="0.25">
      <c r="A5889">
        <v>13348</v>
      </c>
      <c r="B5889" s="11">
        <v>4056789012345</v>
      </c>
      <c r="C5889" s="1" t="s">
        <v>47</v>
      </c>
      <c r="D5889" s="1" t="s">
        <v>29</v>
      </c>
      <c r="E5889" s="1" t="s">
        <v>37</v>
      </c>
      <c r="F5889">
        <v>2.4</v>
      </c>
      <c r="G5889">
        <v>2</v>
      </c>
      <c r="H5889" s="1" t="s">
        <v>14</v>
      </c>
      <c r="I5889" s="1" t="s">
        <v>15</v>
      </c>
      <c r="J5889" s="12">
        <v>46022</v>
      </c>
      <c r="K5889">
        <v>0</v>
      </c>
      <c r="L5889" s="1">
        <f t="shared" si="364"/>
        <v>4.8</v>
      </c>
      <c r="M5889" s="1" t="str">
        <f t="shared" si="365"/>
        <v/>
      </c>
      <c r="N5889" s="2">
        <f t="shared" si="366"/>
        <v>45992</v>
      </c>
      <c r="O5889" t="str">
        <f t="shared" si="367"/>
        <v>mačka</v>
      </c>
    </row>
    <row r="5890" spans="1:15" x14ac:dyDescent="0.25">
      <c r="A5890">
        <v>13349</v>
      </c>
      <c r="B5890" s="11">
        <v>4022345678908</v>
      </c>
      <c r="C5890" s="1" t="s">
        <v>363</v>
      </c>
      <c r="D5890" s="1" t="s">
        <v>21</v>
      </c>
      <c r="E5890" s="1" t="s">
        <v>69</v>
      </c>
      <c r="F5890">
        <v>10</v>
      </c>
      <c r="G5890">
        <v>1</v>
      </c>
      <c r="H5890" s="1" t="s">
        <v>14</v>
      </c>
      <c r="I5890" s="1" t="s">
        <v>15</v>
      </c>
      <c r="J5890" s="12">
        <v>46022</v>
      </c>
      <c r="K5890">
        <v>0</v>
      </c>
      <c r="L5890" s="1">
        <f t="shared" ref="L5890:L5953" si="368">F5890*G5890</f>
        <v>10</v>
      </c>
      <c r="M5890" s="1" t="str">
        <f t="shared" ref="M5890:M5953" si="369">IF(H5890="NULL", "",VALUE(H5890))</f>
        <v/>
      </c>
      <c r="N5890" s="2">
        <f t="shared" ref="N5890:N5953" si="370">DATE(YEAR(J5890),MONTH(J5890),1)</f>
        <v>45992</v>
      </c>
      <c r="O5890" t="str">
        <f t="shared" ref="O5890:O5953" si="371">IF(ISNUMBER(SEARCH("Mačky",D5890)),"mačka",IF(ISNUMBER(SEARCH("Psy",D5890)),"pes","iné"))</f>
        <v>pes</v>
      </c>
    </row>
    <row r="5891" spans="1:15" x14ac:dyDescent="0.25">
      <c r="A5891">
        <v>13350</v>
      </c>
      <c r="B5891" s="11">
        <v>4028899001126</v>
      </c>
      <c r="C5891" s="1" t="s">
        <v>16</v>
      </c>
      <c r="D5891" s="1" t="s">
        <v>12</v>
      </c>
      <c r="E5891" s="1" t="s">
        <v>17</v>
      </c>
      <c r="F5891">
        <v>2.8</v>
      </c>
      <c r="G5891">
        <v>2</v>
      </c>
      <c r="H5891" s="1" t="s">
        <v>14</v>
      </c>
      <c r="I5891" s="1" t="s">
        <v>15</v>
      </c>
      <c r="J5891" s="12">
        <v>46022</v>
      </c>
      <c r="K5891">
        <v>0</v>
      </c>
      <c r="L5891" s="1">
        <f t="shared" si="368"/>
        <v>5.6</v>
      </c>
      <c r="M5891" s="1" t="str">
        <f t="shared" si="369"/>
        <v/>
      </c>
      <c r="N5891" s="2">
        <f t="shared" si="370"/>
        <v>45992</v>
      </c>
      <c r="O5891" t="str">
        <f t="shared" si="371"/>
        <v>pes</v>
      </c>
    </row>
    <row r="5892" spans="1:15" x14ac:dyDescent="0.25">
      <c r="A5892">
        <v>13351</v>
      </c>
      <c r="B5892" s="11">
        <v>4013456789017</v>
      </c>
      <c r="C5892" s="1" t="s">
        <v>11</v>
      </c>
      <c r="D5892" s="1" t="s">
        <v>12</v>
      </c>
      <c r="E5892" s="1" t="s">
        <v>13</v>
      </c>
      <c r="F5892">
        <v>6</v>
      </c>
      <c r="G5892">
        <v>1</v>
      </c>
      <c r="H5892" s="1" t="s">
        <v>14</v>
      </c>
      <c r="I5892" s="1" t="s">
        <v>15</v>
      </c>
      <c r="J5892" s="12">
        <v>46022</v>
      </c>
      <c r="K5892">
        <v>0</v>
      </c>
      <c r="L5892" s="1">
        <f t="shared" si="368"/>
        <v>6</v>
      </c>
      <c r="M5892" s="1" t="str">
        <f t="shared" si="369"/>
        <v/>
      </c>
      <c r="N5892" s="2">
        <f t="shared" si="370"/>
        <v>45992</v>
      </c>
      <c r="O5892" t="str">
        <f t="shared" si="371"/>
        <v>pes</v>
      </c>
    </row>
    <row r="5893" spans="1:15" x14ac:dyDescent="0.25">
      <c r="A5893">
        <v>13352</v>
      </c>
      <c r="B5893" s="11">
        <v>4027788990013</v>
      </c>
      <c r="C5893" s="1" t="s">
        <v>43</v>
      </c>
      <c r="D5893" s="1" t="s">
        <v>21</v>
      </c>
      <c r="E5893" s="1" t="s">
        <v>22</v>
      </c>
      <c r="F5893">
        <v>8</v>
      </c>
      <c r="G5893">
        <v>1</v>
      </c>
      <c r="H5893" s="1" t="s">
        <v>14</v>
      </c>
      <c r="I5893" s="1" t="s">
        <v>15</v>
      </c>
      <c r="J5893" s="12">
        <v>46022</v>
      </c>
      <c r="K5893">
        <v>0</v>
      </c>
      <c r="L5893" s="1">
        <f t="shared" si="368"/>
        <v>8</v>
      </c>
      <c r="M5893" s="1" t="str">
        <f t="shared" si="369"/>
        <v/>
      </c>
      <c r="N5893" s="2">
        <f t="shared" si="370"/>
        <v>45992</v>
      </c>
      <c r="O5893" t="str">
        <f t="shared" si="371"/>
        <v>pes</v>
      </c>
    </row>
    <row r="5894" spans="1:15" hidden="1" x14ac:dyDescent="0.25">
      <c r="A5894">
        <v>13353</v>
      </c>
      <c r="B5894" s="11">
        <v>8593456789012</v>
      </c>
      <c r="C5894" s="1" t="s">
        <v>28</v>
      </c>
      <c r="D5894" s="1" t="s">
        <v>29</v>
      </c>
      <c r="E5894" s="1" t="s">
        <v>30</v>
      </c>
      <c r="F5894">
        <v>42</v>
      </c>
      <c r="G5894">
        <v>1</v>
      </c>
      <c r="H5894" s="1" t="s">
        <v>14</v>
      </c>
      <c r="I5894" s="1" t="s">
        <v>15</v>
      </c>
      <c r="J5894" s="12">
        <v>46022</v>
      </c>
      <c r="K5894">
        <v>0</v>
      </c>
      <c r="L5894" s="1">
        <f t="shared" si="368"/>
        <v>42</v>
      </c>
      <c r="M5894" s="1" t="str">
        <f t="shared" si="369"/>
        <v/>
      </c>
      <c r="N5894" s="2">
        <f t="shared" si="370"/>
        <v>45992</v>
      </c>
      <c r="O5894" t="str">
        <f t="shared" si="371"/>
        <v>mačka</v>
      </c>
    </row>
    <row r="5895" spans="1:15" hidden="1" x14ac:dyDescent="0.25">
      <c r="A5895">
        <v>13354</v>
      </c>
      <c r="B5895" s="11">
        <v>4042233445567</v>
      </c>
      <c r="C5895" s="1" t="s">
        <v>637</v>
      </c>
      <c r="D5895" s="1" t="s">
        <v>140</v>
      </c>
      <c r="E5895" s="1" t="s">
        <v>141</v>
      </c>
      <c r="F5895">
        <v>51.64</v>
      </c>
      <c r="G5895">
        <v>1</v>
      </c>
      <c r="H5895" s="1" t="s">
        <v>14</v>
      </c>
      <c r="I5895" s="1" t="s">
        <v>15</v>
      </c>
      <c r="J5895" s="12">
        <v>46022</v>
      </c>
      <c r="K5895">
        <v>0</v>
      </c>
      <c r="L5895" s="1">
        <f t="shared" si="368"/>
        <v>51.64</v>
      </c>
      <c r="M5895" s="1" t="str">
        <f t="shared" si="369"/>
        <v/>
      </c>
      <c r="N5895" s="2">
        <f t="shared" si="370"/>
        <v>45992</v>
      </c>
      <c r="O5895" t="str">
        <f t="shared" si="371"/>
        <v>mačka</v>
      </c>
    </row>
    <row r="5896" spans="1:15" x14ac:dyDescent="0.25">
      <c r="A5896">
        <v>13355</v>
      </c>
      <c r="B5896" s="11">
        <v>4003344556679</v>
      </c>
      <c r="C5896" s="1" t="s">
        <v>132</v>
      </c>
      <c r="D5896" s="1" t="s">
        <v>133</v>
      </c>
      <c r="E5896" s="1" t="s">
        <v>134</v>
      </c>
      <c r="F5896">
        <v>51.64</v>
      </c>
      <c r="G5896">
        <v>1</v>
      </c>
      <c r="H5896" s="1" t="s">
        <v>14</v>
      </c>
      <c r="I5896" s="1" t="s">
        <v>15</v>
      </c>
      <c r="J5896" s="12">
        <v>46022</v>
      </c>
      <c r="K5896">
        <v>0</v>
      </c>
      <c r="L5896" s="1">
        <f t="shared" si="368"/>
        <v>51.64</v>
      </c>
      <c r="M5896" s="1" t="str">
        <f t="shared" si="369"/>
        <v/>
      </c>
      <c r="N5896" s="2">
        <f t="shared" si="370"/>
        <v>45992</v>
      </c>
      <c r="O5896" t="str">
        <f t="shared" si="371"/>
        <v>pes</v>
      </c>
    </row>
    <row r="5897" spans="1:15" x14ac:dyDescent="0.25">
      <c r="A5897">
        <v>13356</v>
      </c>
      <c r="B5897" s="11">
        <v>4028899001126</v>
      </c>
      <c r="C5897" s="1" t="s">
        <v>16</v>
      </c>
      <c r="D5897" s="1" t="s">
        <v>12</v>
      </c>
      <c r="E5897" s="1" t="s">
        <v>17</v>
      </c>
      <c r="F5897">
        <v>2.8</v>
      </c>
      <c r="G5897">
        <v>3</v>
      </c>
      <c r="H5897" s="1" t="s">
        <v>14</v>
      </c>
      <c r="I5897" s="1" t="s">
        <v>15</v>
      </c>
      <c r="J5897" s="12">
        <v>46022</v>
      </c>
      <c r="K5897">
        <v>0</v>
      </c>
      <c r="L5897" s="1">
        <f t="shared" si="368"/>
        <v>8.3999999999999986</v>
      </c>
      <c r="M5897" s="1" t="str">
        <f t="shared" si="369"/>
        <v/>
      </c>
      <c r="N5897" s="2">
        <f t="shared" si="370"/>
        <v>45992</v>
      </c>
      <c r="O5897" t="str">
        <f t="shared" si="371"/>
        <v>pes</v>
      </c>
    </row>
    <row r="5898" spans="1:15" x14ac:dyDescent="0.25">
      <c r="A5898">
        <v>13357</v>
      </c>
      <c r="B5898" s="11">
        <v>4013456789017</v>
      </c>
      <c r="C5898" s="1" t="s">
        <v>11</v>
      </c>
      <c r="D5898" s="1" t="s">
        <v>12</v>
      </c>
      <c r="E5898" s="1" t="s">
        <v>13</v>
      </c>
      <c r="F5898">
        <v>6</v>
      </c>
      <c r="G5898">
        <v>1</v>
      </c>
      <c r="H5898" s="1" t="s">
        <v>14</v>
      </c>
      <c r="I5898" s="1" t="s">
        <v>15</v>
      </c>
      <c r="J5898" s="12">
        <v>46022</v>
      </c>
      <c r="K5898">
        <v>0</v>
      </c>
      <c r="L5898" s="1">
        <f t="shared" si="368"/>
        <v>6</v>
      </c>
      <c r="M5898" s="1" t="str">
        <f t="shared" si="369"/>
        <v/>
      </c>
      <c r="N5898" s="2">
        <f t="shared" si="370"/>
        <v>45992</v>
      </c>
      <c r="O5898" t="str">
        <f t="shared" si="371"/>
        <v>pes</v>
      </c>
    </row>
    <row r="5899" spans="1:15" x14ac:dyDescent="0.25">
      <c r="A5899">
        <v>13358</v>
      </c>
      <c r="B5899" s="11">
        <v>4040123456795</v>
      </c>
      <c r="C5899" s="1" t="s">
        <v>20</v>
      </c>
      <c r="D5899" s="1" t="s">
        <v>21</v>
      </c>
      <c r="E5899" s="1" t="s">
        <v>22</v>
      </c>
      <c r="F5899">
        <v>8.8000000000000007</v>
      </c>
      <c r="G5899">
        <v>1</v>
      </c>
      <c r="H5899" s="1" t="s">
        <v>18</v>
      </c>
      <c r="I5899" s="1" t="s">
        <v>1332</v>
      </c>
      <c r="J5899" s="12">
        <v>46022</v>
      </c>
      <c r="K5899">
        <v>0</v>
      </c>
      <c r="L5899" s="1">
        <f t="shared" si="368"/>
        <v>8.8000000000000007</v>
      </c>
      <c r="M5899" s="1">
        <f t="shared" si="369"/>
        <v>4</v>
      </c>
      <c r="N5899" s="2">
        <f t="shared" si="370"/>
        <v>45992</v>
      </c>
      <c r="O5899" t="str">
        <f t="shared" si="371"/>
        <v>pes</v>
      </c>
    </row>
    <row r="5900" spans="1:15" x14ac:dyDescent="0.25">
      <c r="A5900">
        <v>13359</v>
      </c>
      <c r="B5900" s="11">
        <v>4027788990013</v>
      </c>
      <c r="C5900" s="1" t="s">
        <v>43</v>
      </c>
      <c r="D5900" s="1" t="s">
        <v>21</v>
      </c>
      <c r="E5900" s="1" t="s">
        <v>22</v>
      </c>
      <c r="F5900">
        <v>8</v>
      </c>
      <c r="G5900">
        <v>1</v>
      </c>
      <c r="H5900" s="1" t="s">
        <v>14</v>
      </c>
      <c r="I5900" s="1" t="s">
        <v>15</v>
      </c>
      <c r="J5900" s="12">
        <v>46022</v>
      </c>
      <c r="K5900">
        <v>0</v>
      </c>
      <c r="L5900" s="1">
        <f t="shared" si="368"/>
        <v>8</v>
      </c>
      <c r="M5900" s="1" t="str">
        <f t="shared" si="369"/>
        <v/>
      </c>
      <c r="N5900" s="2">
        <f t="shared" si="370"/>
        <v>45992</v>
      </c>
      <c r="O5900" t="str">
        <f t="shared" si="371"/>
        <v>pes</v>
      </c>
    </row>
    <row r="5901" spans="1:15" x14ac:dyDescent="0.25">
      <c r="A5901">
        <v>13360</v>
      </c>
      <c r="B5901" s="11">
        <v>4017890123450</v>
      </c>
      <c r="C5901" s="1" t="s">
        <v>65</v>
      </c>
      <c r="D5901" s="1" t="s">
        <v>39</v>
      </c>
      <c r="E5901" s="1" t="s">
        <v>22</v>
      </c>
      <c r="F5901">
        <v>7.6</v>
      </c>
      <c r="G5901">
        <v>1</v>
      </c>
      <c r="H5901" s="1" t="s">
        <v>14</v>
      </c>
      <c r="I5901" s="1" t="s">
        <v>15</v>
      </c>
      <c r="J5901" s="12">
        <v>46022</v>
      </c>
      <c r="K5901">
        <v>0</v>
      </c>
      <c r="L5901" s="1">
        <f t="shared" si="368"/>
        <v>7.6</v>
      </c>
      <c r="M5901" s="1" t="str">
        <f t="shared" si="369"/>
        <v/>
      </c>
      <c r="N5901" s="2">
        <f t="shared" si="370"/>
        <v>45992</v>
      </c>
      <c r="O5901" t="str">
        <f t="shared" si="371"/>
        <v>pes</v>
      </c>
    </row>
    <row r="5902" spans="1:15" hidden="1" x14ac:dyDescent="0.25">
      <c r="A5902">
        <v>13361</v>
      </c>
      <c r="B5902" s="11">
        <v>4056789012345</v>
      </c>
      <c r="C5902" s="1" t="s">
        <v>47</v>
      </c>
      <c r="D5902" s="1" t="s">
        <v>29</v>
      </c>
      <c r="E5902" s="1" t="s">
        <v>37</v>
      </c>
      <c r="F5902">
        <v>2.4</v>
      </c>
      <c r="G5902">
        <v>3</v>
      </c>
      <c r="H5902" s="1" t="s">
        <v>14</v>
      </c>
      <c r="I5902" s="1" t="s">
        <v>15</v>
      </c>
      <c r="J5902" s="12">
        <v>46022</v>
      </c>
      <c r="K5902">
        <v>0</v>
      </c>
      <c r="L5902" s="1">
        <f t="shared" si="368"/>
        <v>7.1999999999999993</v>
      </c>
      <c r="M5902" s="1" t="str">
        <f t="shared" si="369"/>
        <v/>
      </c>
      <c r="N5902" s="2">
        <f t="shared" si="370"/>
        <v>45992</v>
      </c>
      <c r="O5902" t="str">
        <f t="shared" si="371"/>
        <v>mačka</v>
      </c>
    </row>
    <row r="5903" spans="1:15" hidden="1" x14ac:dyDescent="0.25">
      <c r="A5903">
        <v>13362</v>
      </c>
      <c r="B5903" s="11">
        <v>8593456789012</v>
      </c>
      <c r="C5903" s="1" t="s">
        <v>28</v>
      </c>
      <c r="D5903" s="1" t="s">
        <v>29</v>
      </c>
      <c r="E5903" s="1" t="s">
        <v>30</v>
      </c>
      <c r="F5903">
        <v>42</v>
      </c>
      <c r="G5903">
        <v>1</v>
      </c>
      <c r="H5903" s="1" t="s">
        <v>14</v>
      </c>
      <c r="I5903" s="1" t="s">
        <v>15</v>
      </c>
      <c r="J5903" s="12">
        <v>46022</v>
      </c>
      <c r="K5903">
        <v>0</v>
      </c>
      <c r="L5903" s="1">
        <f t="shared" si="368"/>
        <v>42</v>
      </c>
      <c r="M5903" s="1" t="str">
        <f t="shared" si="369"/>
        <v/>
      </c>
      <c r="N5903" s="2">
        <f t="shared" si="370"/>
        <v>45992</v>
      </c>
      <c r="O5903" t="str">
        <f t="shared" si="371"/>
        <v>mačka</v>
      </c>
    </row>
    <row r="5904" spans="1:15" x14ac:dyDescent="0.25">
      <c r="A5904">
        <v>13363</v>
      </c>
      <c r="B5904" s="11">
        <v>4022345678908</v>
      </c>
      <c r="C5904" s="1" t="s">
        <v>363</v>
      </c>
      <c r="D5904" s="1" t="s">
        <v>21</v>
      </c>
      <c r="E5904" s="1" t="s">
        <v>69</v>
      </c>
      <c r="F5904">
        <v>10</v>
      </c>
      <c r="G5904">
        <v>1</v>
      </c>
      <c r="H5904" s="1" t="s">
        <v>14</v>
      </c>
      <c r="I5904" s="1" t="s">
        <v>15</v>
      </c>
      <c r="J5904" s="12">
        <v>46022</v>
      </c>
      <c r="K5904">
        <v>0</v>
      </c>
      <c r="L5904" s="1">
        <f t="shared" si="368"/>
        <v>10</v>
      </c>
      <c r="M5904" s="1" t="str">
        <f t="shared" si="369"/>
        <v/>
      </c>
      <c r="N5904" s="2">
        <f t="shared" si="370"/>
        <v>45992</v>
      </c>
      <c r="O5904" t="str">
        <f t="shared" si="371"/>
        <v>pes</v>
      </c>
    </row>
    <row r="5905" spans="1:15" x14ac:dyDescent="0.25">
      <c r="A5905">
        <v>13364</v>
      </c>
      <c r="B5905" s="11">
        <v>4028899001126</v>
      </c>
      <c r="C5905" s="1" t="s">
        <v>16</v>
      </c>
      <c r="D5905" s="1" t="s">
        <v>12</v>
      </c>
      <c r="E5905" s="1" t="s">
        <v>17</v>
      </c>
      <c r="F5905">
        <v>2.8</v>
      </c>
      <c r="G5905">
        <v>2</v>
      </c>
      <c r="H5905" s="1" t="s">
        <v>14</v>
      </c>
      <c r="I5905" s="1" t="s">
        <v>15</v>
      </c>
      <c r="J5905" s="12">
        <v>46022</v>
      </c>
      <c r="K5905">
        <v>0</v>
      </c>
      <c r="L5905" s="1">
        <f t="shared" si="368"/>
        <v>5.6</v>
      </c>
      <c r="M5905" s="1" t="str">
        <f t="shared" si="369"/>
        <v/>
      </c>
      <c r="N5905" s="2">
        <f t="shared" si="370"/>
        <v>45992</v>
      </c>
      <c r="O5905" t="str">
        <f t="shared" si="371"/>
        <v>pes</v>
      </c>
    </row>
    <row r="5906" spans="1:15" x14ac:dyDescent="0.25">
      <c r="A5906">
        <v>13365</v>
      </c>
      <c r="B5906" s="11">
        <v>4013456789017</v>
      </c>
      <c r="C5906" s="1" t="s">
        <v>11</v>
      </c>
      <c r="D5906" s="1" t="s">
        <v>12</v>
      </c>
      <c r="E5906" s="1" t="s">
        <v>13</v>
      </c>
      <c r="F5906">
        <v>6</v>
      </c>
      <c r="G5906">
        <v>1</v>
      </c>
      <c r="H5906" s="1" t="s">
        <v>14</v>
      </c>
      <c r="I5906" s="1" t="s">
        <v>15</v>
      </c>
      <c r="J5906" s="12">
        <v>46022</v>
      </c>
      <c r="K5906">
        <v>0</v>
      </c>
      <c r="L5906" s="1">
        <f t="shared" si="368"/>
        <v>6</v>
      </c>
      <c r="M5906" s="1" t="str">
        <f t="shared" si="369"/>
        <v/>
      </c>
      <c r="N5906" s="2">
        <f t="shared" si="370"/>
        <v>45992</v>
      </c>
      <c r="O5906" t="str">
        <f t="shared" si="371"/>
        <v>pes</v>
      </c>
    </row>
    <row r="5907" spans="1:15" x14ac:dyDescent="0.25">
      <c r="A5907">
        <v>13366</v>
      </c>
      <c r="B5907" s="11">
        <v>4027788990013</v>
      </c>
      <c r="C5907" s="1" t="s">
        <v>43</v>
      </c>
      <c r="D5907" s="1" t="s">
        <v>21</v>
      </c>
      <c r="E5907" s="1" t="s">
        <v>22</v>
      </c>
      <c r="F5907">
        <v>8</v>
      </c>
      <c r="G5907">
        <v>1</v>
      </c>
      <c r="H5907" s="1" t="s">
        <v>14</v>
      </c>
      <c r="I5907" s="1" t="s">
        <v>15</v>
      </c>
      <c r="J5907" s="12">
        <v>46022</v>
      </c>
      <c r="K5907">
        <v>0</v>
      </c>
      <c r="L5907" s="1">
        <f t="shared" si="368"/>
        <v>8</v>
      </c>
      <c r="M5907" s="1" t="str">
        <f t="shared" si="369"/>
        <v/>
      </c>
      <c r="N5907" s="2">
        <f t="shared" si="370"/>
        <v>45992</v>
      </c>
      <c r="O5907" t="str">
        <f t="shared" si="371"/>
        <v>pes</v>
      </c>
    </row>
    <row r="5908" spans="1:15" hidden="1" x14ac:dyDescent="0.25">
      <c r="A5908">
        <v>13367</v>
      </c>
      <c r="B5908" s="11">
        <v>4042233445567</v>
      </c>
      <c r="C5908" s="1" t="s">
        <v>637</v>
      </c>
      <c r="D5908" s="1" t="s">
        <v>140</v>
      </c>
      <c r="E5908" s="1" t="s">
        <v>141</v>
      </c>
      <c r="F5908">
        <v>51.64</v>
      </c>
      <c r="G5908">
        <v>1</v>
      </c>
      <c r="H5908" s="1" t="s">
        <v>14</v>
      </c>
      <c r="I5908" s="1" t="s">
        <v>15</v>
      </c>
      <c r="J5908" s="12">
        <v>46022</v>
      </c>
      <c r="K5908">
        <v>0</v>
      </c>
      <c r="L5908" s="1">
        <f t="shared" si="368"/>
        <v>51.64</v>
      </c>
      <c r="M5908" s="1" t="str">
        <f t="shared" si="369"/>
        <v/>
      </c>
      <c r="N5908" s="2">
        <f t="shared" si="370"/>
        <v>45992</v>
      </c>
      <c r="O5908" t="str">
        <f t="shared" si="371"/>
        <v>mačka</v>
      </c>
    </row>
    <row r="5909" spans="1:15" x14ac:dyDescent="0.25">
      <c r="A5909">
        <v>13368</v>
      </c>
      <c r="B5909" s="11">
        <v>4003344556679</v>
      </c>
      <c r="C5909" s="1" t="s">
        <v>132</v>
      </c>
      <c r="D5909" s="1" t="s">
        <v>133</v>
      </c>
      <c r="E5909" s="1" t="s">
        <v>134</v>
      </c>
      <c r="F5909">
        <v>51.64</v>
      </c>
      <c r="G5909">
        <v>1</v>
      </c>
      <c r="H5909" s="1" t="s">
        <v>14</v>
      </c>
      <c r="I5909" s="1" t="s">
        <v>15</v>
      </c>
      <c r="J5909" s="12">
        <v>46022</v>
      </c>
      <c r="K5909">
        <v>0</v>
      </c>
      <c r="L5909" s="1">
        <f t="shared" si="368"/>
        <v>51.64</v>
      </c>
      <c r="M5909" s="1" t="str">
        <f t="shared" si="369"/>
        <v/>
      </c>
      <c r="N5909" s="2">
        <f t="shared" si="370"/>
        <v>45992</v>
      </c>
      <c r="O5909" t="str">
        <f t="shared" si="371"/>
        <v>pes</v>
      </c>
    </row>
    <row r="5910" spans="1:15" x14ac:dyDescent="0.25">
      <c r="A5910">
        <v>13369</v>
      </c>
      <c r="B5910" s="11">
        <v>4028899001126</v>
      </c>
      <c r="C5910" s="1" t="s">
        <v>16</v>
      </c>
      <c r="D5910" s="1" t="s">
        <v>12</v>
      </c>
      <c r="E5910" s="1" t="s">
        <v>17</v>
      </c>
      <c r="F5910">
        <v>2.8</v>
      </c>
      <c r="G5910">
        <v>3</v>
      </c>
      <c r="H5910" s="1" t="s">
        <v>14</v>
      </c>
      <c r="I5910" s="1" t="s">
        <v>15</v>
      </c>
      <c r="J5910" s="12">
        <v>46022</v>
      </c>
      <c r="K5910">
        <v>0</v>
      </c>
      <c r="L5910" s="1">
        <f t="shared" si="368"/>
        <v>8.3999999999999986</v>
      </c>
      <c r="M5910" s="1" t="str">
        <f t="shared" si="369"/>
        <v/>
      </c>
      <c r="N5910" s="2">
        <f t="shared" si="370"/>
        <v>45992</v>
      </c>
      <c r="O5910" t="str">
        <f t="shared" si="371"/>
        <v>pes</v>
      </c>
    </row>
    <row r="5911" spans="1:15" x14ac:dyDescent="0.25">
      <c r="A5911">
        <v>13370</v>
      </c>
      <c r="B5911" s="11">
        <v>4013456789017</v>
      </c>
      <c r="C5911" s="1" t="s">
        <v>11</v>
      </c>
      <c r="D5911" s="1" t="s">
        <v>12</v>
      </c>
      <c r="E5911" s="1" t="s">
        <v>13</v>
      </c>
      <c r="F5911">
        <v>6</v>
      </c>
      <c r="G5911">
        <v>1</v>
      </c>
      <c r="H5911" s="1" t="s">
        <v>14</v>
      </c>
      <c r="I5911" s="1" t="s">
        <v>15</v>
      </c>
      <c r="J5911" s="12">
        <v>46022</v>
      </c>
      <c r="K5911">
        <v>0</v>
      </c>
      <c r="L5911" s="1">
        <f t="shared" si="368"/>
        <v>6</v>
      </c>
      <c r="M5911" s="1" t="str">
        <f t="shared" si="369"/>
        <v/>
      </c>
      <c r="N5911" s="2">
        <f t="shared" si="370"/>
        <v>45992</v>
      </c>
      <c r="O5911" t="str">
        <f t="shared" si="371"/>
        <v>pes</v>
      </c>
    </row>
    <row r="5912" spans="1:15" x14ac:dyDescent="0.25">
      <c r="A5912">
        <v>13371</v>
      </c>
      <c r="B5912" s="11">
        <v>4040123456795</v>
      </c>
      <c r="C5912" s="1" t="s">
        <v>20</v>
      </c>
      <c r="D5912" s="1" t="s">
        <v>21</v>
      </c>
      <c r="E5912" s="1" t="s">
        <v>22</v>
      </c>
      <c r="F5912">
        <v>8.8000000000000007</v>
      </c>
      <c r="G5912">
        <v>1</v>
      </c>
      <c r="H5912" s="1" t="s">
        <v>14</v>
      </c>
      <c r="I5912" s="1" t="s">
        <v>15</v>
      </c>
      <c r="J5912" s="12">
        <v>46022</v>
      </c>
      <c r="K5912">
        <v>0</v>
      </c>
      <c r="L5912" s="1">
        <f t="shared" si="368"/>
        <v>8.8000000000000007</v>
      </c>
      <c r="M5912" s="1" t="str">
        <f t="shared" si="369"/>
        <v/>
      </c>
      <c r="N5912" s="2">
        <f t="shared" si="370"/>
        <v>45992</v>
      </c>
      <c r="O5912" t="str">
        <f t="shared" si="371"/>
        <v>pes</v>
      </c>
    </row>
    <row r="5913" spans="1:15" x14ac:dyDescent="0.25">
      <c r="A5913">
        <v>13372</v>
      </c>
      <c r="B5913" s="11">
        <v>4027788990013</v>
      </c>
      <c r="C5913" s="1" t="s">
        <v>43</v>
      </c>
      <c r="D5913" s="1" t="s">
        <v>21</v>
      </c>
      <c r="E5913" s="1" t="s">
        <v>22</v>
      </c>
      <c r="F5913">
        <v>8</v>
      </c>
      <c r="G5913">
        <v>1</v>
      </c>
      <c r="H5913" s="1" t="s">
        <v>14</v>
      </c>
      <c r="I5913" s="1" t="s">
        <v>15</v>
      </c>
      <c r="J5913" s="12">
        <v>46022</v>
      </c>
      <c r="K5913">
        <v>0</v>
      </c>
      <c r="L5913" s="1">
        <f t="shared" si="368"/>
        <v>8</v>
      </c>
      <c r="M5913" s="1" t="str">
        <f t="shared" si="369"/>
        <v/>
      </c>
      <c r="N5913" s="2">
        <f t="shared" si="370"/>
        <v>45992</v>
      </c>
      <c r="O5913" t="str">
        <f t="shared" si="371"/>
        <v>pes</v>
      </c>
    </row>
    <row r="5914" spans="1:15" x14ac:dyDescent="0.25">
      <c r="A5914">
        <v>13373</v>
      </c>
      <c r="B5914" s="11">
        <v>4017890123450</v>
      </c>
      <c r="C5914" s="1" t="s">
        <v>65</v>
      </c>
      <c r="D5914" s="1" t="s">
        <v>39</v>
      </c>
      <c r="E5914" s="1" t="s">
        <v>22</v>
      </c>
      <c r="F5914">
        <v>7.6</v>
      </c>
      <c r="G5914">
        <v>1</v>
      </c>
      <c r="H5914" s="1" t="s">
        <v>14</v>
      </c>
      <c r="I5914" s="1" t="s">
        <v>15</v>
      </c>
      <c r="J5914" s="12">
        <v>46022</v>
      </c>
      <c r="K5914">
        <v>0</v>
      </c>
      <c r="L5914" s="1">
        <f t="shared" si="368"/>
        <v>7.6</v>
      </c>
      <c r="M5914" s="1" t="str">
        <f t="shared" si="369"/>
        <v/>
      </c>
      <c r="N5914" s="2">
        <f t="shared" si="370"/>
        <v>45992</v>
      </c>
      <c r="O5914" t="str">
        <f t="shared" si="371"/>
        <v>pes</v>
      </c>
    </row>
    <row r="5915" spans="1:15" hidden="1" x14ac:dyDescent="0.25">
      <c r="A5915">
        <v>13374</v>
      </c>
      <c r="B5915" s="11">
        <v>4056789012345</v>
      </c>
      <c r="C5915" s="1" t="s">
        <v>47</v>
      </c>
      <c r="D5915" s="1" t="s">
        <v>29</v>
      </c>
      <c r="E5915" s="1" t="s">
        <v>37</v>
      </c>
      <c r="F5915">
        <v>2.4</v>
      </c>
      <c r="G5915">
        <v>2</v>
      </c>
      <c r="H5915" s="1" t="s">
        <v>14</v>
      </c>
      <c r="I5915" s="1" t="s">
        <v>15</v>
      </c>
      <c r="J5915" s="12">
        <v>46022</v>
      </c>
      <c r="K5915">
        <v>0</v>
      </c>
      <c r="L5915" s="1">
        <f t="shared" si="368"/>
        <v>4.8</v>
      </c>
      <c r="M5915" s="1" t="str">
        <f t="shared" si="369"/>
        <v/>
      </c>
      <c r="N5915" s="2">
        <f t="shared" si="370"/>
        <v>45992</v>
      </c>
      <c r="O5915" t="str">
        <f t="shared" si="371"/>
        <v>mačka</v>
      </c>
    </row>
    <row r="5916" spans="1:15" hidden="1" x14ac:dyDescent="0.25">
      <c r="A5916">
        <v>13375</v>
      </c>
      <c r="B5916" s="11">
        <v>8593456789012</v>
      </c>
      <c r="C5916" s="1" t="s">
        <v>28</v>
      </c>
      <c r="D5916" s="1" t="s">
        <v>29</v>
      </c>
      <c r="E5916" s="1" t="s">
        <v>30</v>
      </c>
      <c r="F5916">
        <v>42</v>
      </c>
      <c r="G5916">
        <v>1</v>
      </c>
      <c r="H5916" s="1" t="s">
        <v>14</v>
      </c>
      <c r="I5916" s="1" t="s">
        <v>15</v>
      </c>
      <c r="J5916" s="12">
        <v>46022</v>
      </c>
      <c r="K5916">
        <v>0</v>
      </c>
      <c r="L5916" s="1">
        <f t="shared" si="368"/>
        <v>42</v>
      </c>
      <c r="M5916" s="1" t="str">
        <f t="shared" si="369"/>
        <v/>
      </c>
      <c r="N5916" s="2">
        <f t="shared" si="370"/>
        <v>45992</v>
      </c>
      <c r="O5916" t="str">
        <f t="shared" si="371"/>
        <v>mačka</v>
      </c>
    </row>
    <row r="5917" spans="1:15" x14ac:dyDescent="0.25">
      <c r="A5917">
        <v>13376</v>
      </c>
      <c r="B5917" s="11">
        <v>4022345678908</v>
      </c>
      <c r="C5917" s="1" t="s">
        <v>363</v>
      </c>
      <c r="D5917" s="1" t="s">
        <v>21</v>
      </c>
      <c r="E5917" s="1" t="s">
        <v>69</v>
      </c>
      <c r="F5917">
        <v>10</v>
      </c>
      <c r="G5917">
        <v>1</v>
      </c>
      <c r="H5917" s="1" t="s">
        <v>14</v>
      </c>
      <c r="I5917" s="1" t="s">
        <v>15</v>
      </c>
      <c r="J5917" s="12">
        <v>46022</v>
      </c>
      <c r="K5917">
        <v>0</v>
      </c>
      <c r="L5917" s="1">
        <f t="shared" si="368"/>
        <v>10</v>
      </c>
      <c r="M5917" s="1" t="str">
        <f t="shared" si="369"/>
        <v/>
      </c>
      <c r="N5917" s="2">
        <f t="shared" si="370"/>
        <v>45992</v>
      </c>
      <c r="O5917" t="str">
        <f t="shared" si="371"/>
        <v>pes</v>
      </c>
    </row>
    <row r="5918" spans="1:15" hidden="1" x14ac:dyDescent="0.25">
      <c r="A5918">
        <v>13377</v>
      </c>
      <c r="B5918" s="11">
        <v>4010123456783</v>
      </c>
      <c r="C5918" s="1" t="s">
        <v>35</v>
      </c>
      <c r="D5918" s="1" t="s">
        <v>36</v>
      </c>
      <c r="E5918" s="1" t="s">
        <v>37</v>
      </c>
      <c r="F5918">
        <v>14</v>
      </c>
      <c r="G5918">
        <v>1</v>
      </c>
      <c r="H5918" s="1" t="s">
        <v>14</v>
      </c>
      <c r="I5918" s="1" t="s">
        <v>15</v>
      </c>
      <c r="J5918" s="12">
        <v>46022</v>
      </c>
      <c r="K5918">
        <v>0</v>
      </c>
      <c r="L5918" s="1">
        <f t="shared" si="368"/>
        <v>14</v>
      </c>
      <c r="M5918" s="1" t="str">
        <f t="shared" si="369"/>
        <v/>
      </c>
      <c r="N5918" s="2">
        <f t="shared" si="370"/>
        <v>45992</v>
      </c>
      <c r="O5918" t="str">
        <f t="shared" si="371"/>
        <v>mačka</v>
      </c>
    </row>
    <row r="5919" spans="1:15" x14ac:dyDescent="0.25">
      <c r="A5919">
        <v>13378</v>
      </c>
      <c r="B5919" s="11">
        <v>4028899001126</v>
      </c>
      <c r="C5919" s="1" t="s">
        <v>16</v>
      </c>
      <c r="D5919" s="1" t="s">
        <v>12</v>
      </c>
      <c r="E5919" s="1" t="s">
        <v>17</v>
      </c>
      <c r="F5919">
        <v>2.8</v>
      </c>
      <c r="G5919">
        <v>3</v>
      </c>
      <c r="H5919" s="1" t="s">
        <v>14</v>
      </c>
      <c r="I5919" s="1" t="s">
        <v>15</v>
      </c>
      <c r="J5919" s="12">
        <v>46022</v>
      </c>
      <c r="K5919">
        <v>0</v>
      </c>
      <c r="L5919" s="1">
        <f t="shared" si="368"/>
        <v>8.3999999999999986</v>
      </c>
      <c r="M5919" s="1" t="str">
        <f t="shared" si="369"/>
        <v/>
      </c>
      <c r="N5919" s="2">
        <f t="shared" si="370"/>
        <v>45992</v>
      </c>
      <c r="O5919" t="str">
        <f t="shared" si="371"/>
        <v>pes</v>
      </c>
    </row>
    <row r="5920" spans="1:15" x14ac:dyDescent="0.25">
      <c r="A5920">
        <v>13379</v>
      </c>
      <c r="B5920" s="11">
        <v>4013456789017</v>
      </c>
      <c r="C5920" s="1" t="s">
        <v>11</v>
      </c>
      <c r="D5920" s="1" t="s">
        <v>12</v>
      </c>
      <c r="E5920" s="1" t="s">
        <v>13</v>
      </c>
      <c r="F5920">
        <v>6</v>
      </c>
      <c r="G5920">
        <v>1</v>
      </c>
      <c r="H5920" s="1" t="s">
        <v>14</v>
      </c>
      <c r="I5920" s="1" t="s">
        <v>15</v>
      </c>
      <c r="J5920" s="12">
        <v>46022</v>
      </c>
      <c r="K5920">
        <v>0</v>
      </c>
      <c r="L5920" s="1">
        <f t="shared" si="368"/>
        <v>6</v>
      </c>
      <c r="M5920" s="1" t="str">
        <f t="shared" si="369"/>
        <v/>
      </c>
      <c r="N5920" s="2">
        <f t="shared" si="370"/>
        <v>45992</v>
      </c>
      <c r="O5920" t="str">
        <f t="shared" si="371"/>
        <v>pes</v>
      </c>
    </row>
    <row r="5921" spans="1:15" x14ac:dyDescent="0.25">
      <c r="A5921">
        <v>13380</v>
      </c>
      <c r="B5921" s="11">
        <v>4040123456795</v>
      </c>
      <c r="C5921" s="1" t="s">
        <v>20</v>
      </c>
      <c r="D5921" s="1" t="s">
        <v>21</v>
      </c>
      <c r="E5921" s="1" t="s">
        <v>22</v>
      </c>
      <c r="F5921">
        <v>8.8000000000000007</v>
      </c>
      <c r="G5921">
        <v>1</v>
      </c>
      <c r="H5921" s="1" t="s">
        <v>14</v>
      </c>
      <c r="I5921" s="1" t="s">
        <v>15</v>
      </c>
      <c r="J5921" s="12">
        <v>46022</v>
      </c>
      <c r="K5921">
        <v>0</v>
      </c>
      <c r="L5921" s="1">
        <f t="shared" si="368"/>
        <v>8.8000000000000007</v>
      </c>
      <c r="M5921" s="1" t="str">
        <f t="shared" si="369"/>
        <v/>
      </c>
      <c r="N5921" s="2">
        <f t="shared" si="370"/>
        <v>45992</v>
      </c>
      <c r="O5921" t="str">
        <f t="shared" si="371"/>
        <v>pes</v>
      </c>
    </row>
    <row r="5922" spans="1:15" x14ac:dyDescent="0.25">
      <c r="A5922">
        <v>13381</v>
      </c>
      <c r="B5922" s="11">
        <v>4027788990013</v>
      </c>
      <c r="C5922" s="1" t="s">
        <v>43</v>
      </c>
      <c r="D5922" s="1" t="s">
        <v>21</v>
      </c>
      <c r="E5922" s="1" t="s">
        <v>22</v>
      </c>
      <c r="F5922">
        <v>8</v>
      </c>
      <c r="G5922">
        <v>1</v>
      </c>
      <c r="H5922" s="1" t="s">
        <v>14</v>
      </c>
      <c r="I5922" s="1" t="s">
        <v>15</v>
      </c>
      <c r="J5922" s="12">
        <v>46022</v>
      </c>
      <c r="K5922">
        <v>0</v>
      </c>
      <c r="L5922" s="1">
        <f t="shared" si="368"/>
        <v>8</v>
      </c>
      <c r="M5922" s="1" t="str">
        <f t="shared" si="369"/>
        <v/>
      </c>
      <c r="N5922" s="2">
        <f t="shared" si="370"/>
        <v>45992</v>
      </c>
      <c r="O5922" t="str">
        <f t="shared" si="371"/>
        <v>pes</v>
      </c>
    </row>
    <row r="5923" spans="1:15" x14ac:dyDescent="0.25">
      <c r="A5923">
        <v>13382</v>
      </c>
      <c r="B5923" s="11">
        <v>4003344556679</v>
      </c>
      <c r="C5923" s="1" t="s">
        <v>132</v>
      </c>
      <c r="D5923" s="1" t="s">
        <v>133</v>
      </c>
      <c r="E5923" s="1" t="s">
        <v>134</v>
      </c>
      <c r="F5923">
        <v>51.64</v>
      </c>
      <c r="G5923">
        <v>1</v>
      </c>
      <c r="H5923" s="1" t="s">
        <v>14</v>
      </c>
      <c r="I5923" s="1" t="s">
        <v>15</v>
      </c>
      <c r="J5923" s="12">
        <v>46022</v>
      </c>
      <c r="K5923">
        <v>0</v>
      </c>
      <c r="L5923" s="1">
        <f t="shared" si="368"/>
        <v>51.64</v>
      </c>
      <c r="M5923" s="1" t="str">
        <f t="shared" si="369"/>
        <v/>
      </c>
      <c r="N5923" s="2">
        <f t="shared" si="370"/>
        <v>45992</v>
      </c>
      <c r="O5923" t="str">
        <f t="shared" si="371"/>
        <v>pes</v>
      </c>
    </row>
    <row r="5924" spans="1:15" hidden="1" x14ac:dyDescent="0.25">
      <c r="A5924">
        <v>13383</v>
      </c>
      <c r="B5924" s="11">
        <v>4056789012345</v>
      </c>
      <c r="C5924" s="1" t="s">
        <v>47</v>
      </c>
      <c r="D5924" s="1" t="s">
        <v>29</v>
      </c>
      <c r="E5924" s="1" t="s">
        <v>37</v>
      </c>
      <c r="F5924">
        <v>2.4</v>
      </c>
      <c r="G5924">
        <v>2</v>
      </c>
      <c r="H5924" s="1" t="s">
        <v>14</v>
      </c>
      <c r="I5924" s="1" t="s">
        <v>15</v>
      </c>
      <c r="J5924" s="12">
        <v>46022</v>
      </c>
      <c r="K5924">
        <v>0</v>
      </c>
      <c r="L5924" s="1">
        <f t="shared" si="368"/>
        <v>4.8</v>
      </c>
      <c r="M5924" s="1" t="str">
        <f t="shared" si="369"/>
        <v/>
      </c>
      <c r="N5924" s="2">
        <f t="shared" si="370"/>
        <v>45992</v>
      </c>
      <c r="O5924" t="str">
        <f t="shared" si="371"/>
        <v>mačka</v>
      </c>
    </row>
    <row r="5925" spans="1:15" hidden="1" x14ac:dyDescent="0.25">
      <c r="A5925">
        <v>13384</v>
      </c>
      <c r="B5925" s="11">
        <v>8593456789012</v>
      </c>
      <c r="C5925" s="1" t="s">
        <v>28</v>
      </c>
      <c r="D5925" s="1" t="s">
        <v>29</v>
      </c>
      <c r="E5925" s="1" t="s">
        <v>30</v>
      </c>
      <c r="F5925">
        <v>42</v>
      </c>
      <c r="G5925">
        <v>1</v>
      </c>
      <c r="H5925" s="1" t="s">
        <v>14</v>
      </c>
      <c r="I5925" s="1" t="s">
        <v>15</v>
      </c>
      <c r="J5925" s="12">
        <v>46022</v>
      </c>
      <c r="K5925">
        <v>0</v>
      </c>
      <c r="L5925" s="1">
        <f t="shared" si="368"/>
        <v>42</v>
      </c>
      <c r="M5925" s="1" t="str">
        <f t="shared" si="369"/>
        <v/>
      </c>
      <c r="N5925" s="2">
        <f t="shared" si="370"/>
        <v>45992</v>
      </c>
      <c r="O5925" t="str">
        <f t="shared" si="371"/>
        <v>mačka</v>
      </c>
    </row>
    <row r="5926" spans="1:15" x14ac:dyDescent="0.25">
      <c r="A5926">
        <v>13385</v>
      </c>
      <c r="B5926" s="11">
        <v>4022345678908</v>
      </c>
      <c r="C5926" s="1" t="s">
        <v>363</v>
      </c>
      <c r="D5926" s="1" t="s">
        <v>21</v>
      </c>
      <c r="E5926" s="1" t="s">
        <v>69</v>
      </c>
      <c r="F5926">
        <v>10</v>
      </c>
      <c r="G5926">
        <v>1</v>
      </c>
      <c r="H5926" s="1" t="s">
        <v>14</v>
      </c>
      <c r="I5926" s="1" t="s">
        <v>15</v>
      </c>
      <c r="J5926" s="12">
        <v>46022</v>
      </c>
      <c r="K5926">
        <v>0</v>
      </c>
      <c r="L5926" s="1">
        <f t="shared" si="368"/>
        <v>10</v>
      </c>
      <c r="M5926" s="1" t="str">
        <f t="shared" si="369"/>
        <v/>
      </c>
      <c r="N5926" s="2">
        <f t="shared" si="370"/>
        <v>45992</v>
      </c>
      <c r="O5926" t="str">
        <f t="shared" si="371"/>
        <v>pes</v>
      </c>
    </row>
    <row r="5927" spans="1:15" x14ac:dyDescent="0.25">
      <c r="A5927">
        <v>13386</v>
      </c>
      <c r="B5927" s="11">
        <v>4017890123450</v>
      </c>
      <c r="C5927" s="1" t="s">
        <v>65</v>
      </c>
      <c r="D5927" s="1" t="s">
        <v>39</v>
      </c>
      <c r="E5927" s="1" t="s">
        <v>22</v>
      </c>
      <c r="F5927">
        <v>7.6</v>
      </c>
      <c r="G5927">
        <v>1</v>
      </c>
      <c r="H5927" s="1" t="s">
        <v>14</v>
      </c>
      <c r="I5927" s="1" t="s">
        <v>15</v>
      </c>
      <c r="J5927" s="12">
        <v>46022</v>
      </c>
      <c r="K5927">
        <v>0</v>
      </c>
      <c r="L5927" s="1">
        <f t="shared" si="368"/>
        <v>7.6</v>
      </c>
      <c r="M5927" s="1" t="str">
        <f t="shared" si="369"/>
        <v/>
      </c>
      <c r="N5927" s="2">
        <f t="shared" si="370"/>
        <v>45992</v>
      </c>
      <c r="O5927" t="str">
        <f t="shared" si="371"/>
        <v>pes</v>
      </c>
    </row>
    <row r="5928" spans="1:15" hidden="1" x14ac:dyDescent="0.25">
      <c r="A5928">
        <v>13387</v>
      </c>
      <c r="B5928" s="11">
        <v>4056789012345</v>
      </c>
      <c r="C5928" s="1" t="s">
        <v>47</v>
      </c>
      <c r="D5928" s="1" t="s">
        <v>29</v>
      </c>
      <c r="E5928" s="1" t="s">
        <v>37</v>
      </c>
      <c r="F5928">
        <v>2.4</v>
      </c>
      <c r="G5928">
        <v>3</v>
      </c>
      <c r="H5928" s="1" t="s">
        <v>14</v>
      </c>
      <c r="I5928" s="1" t="s">
        <v>15</v>
      </c>
      <c r="J5928" s="12">
        <v>46022</v>
      </c>
      <c r="K5928">
        <v>0</v>
      </c>
      <c r="L5928" s="1">
        <f t="shared" si="368"/>
        <v>7.1999999999999993</v>
      </c>
      <c r="M5928" s="1" t="str">
        <f t="shared" si="369"/>
        <v/>
      </c>
      <c r="N5928" s="2">
        <f t="shared" si="370"/>
        <v>45992</v>
      </c>
      <c r="O5928" t="str">
        <f t="shared" si="371"/>
        <v>mačka</v>
      </c>
    </row>
    <row r="5929" spans="1:15" hidden="1" x14ac:dyDescent="0.25">
      <c r="A5929">
        <v>13388</v>
      </c>
      <c r="B5929" s="11">
        <v>4067890123456</v>
      </c>
      <c r="C5929" s="1" t="s">
        <v>68</v>
      </c>
      <c r="D5929" s="1" t="s">
        <v>29</v>
      </c>
      <c r="E5929" s="1" t="s">
        <v>69</v>
      </c>
      <c r="F5929">
        <v>36</v>
      </c>
      <c r="G5929">
        <v>1</v>
      </c>
      <c r="H5929" s="1" t="s">
        <v>14</v>
      </c>
      <c r="I5929" s="1" t="s">
        <v>15</v>
      </c>
      <c r="J5929" s="12">
        <v>46022</v>
      </c>
      <c r="K5929">
        <v>0</v>
      </c>
      <c r="L5929" s="1">
        <f t="shared" si="368"/>
        <v>36</v>
      </c>
      <c r="M5929" s="1" t="str">
        <f t="shared" si="369"/>
        <v/>
      </c>
      <c r="N5929" s="2">
        <f t="shared" si="370"/>
        <v>45992</v>
      </c>
      <c r="O5929" t="str">
        <f t="shared" si="371"/>
        <v>mačka</v>
      </c>
    </row>
    <row r="5930" spans="1:15" x14ac:dyDescent="0.25">
      <c r="A5930">
        <v>13389</v>
      </c>
      <c r="B5930" s="11">
        <v>4028899001126</v>
      </c>
      <c r="C5930" s="1" t="s">
        <v>16</v>
      </c>
      <c r="D5930" s="1" t="s">
        <v>12</v>
      </c>
      <c r="E5930" s="1" t="s">
        <v>17</v>
      </c>
      <c r="F5930">
        <v>2.8</v>
      </c>
      <c r="G5930">
        <v>3</v>
      </c>
      <c r="H5930" s="1" t="s">
        <v>14</v>
      </c>
      <c r="I5930" s="1" t="s">
        <v>15</v>
      </c>
      <c r="J5930" s="12">
        <v>46022</v>
      </c>
      <c r="K5930">
        <v>0</v>
      </c>
      <c r="L5930" s="1">
        <f t="shared" si="368"/>
        <v>8.3999999999999986</v>
      </c>
      <c r="M5930" s="1" t="str">
        <f t="shared" si="369"/>
        <v/>
      </c>
      <c r="N5930" s="2">
        <f t="shared" si="370"/>
        <v>45992</v>
      </c>
      <c r="O5930" t="str">
        <f t="shared" si="371"/>
        <v>pes</v>
      </c>
    </row>
    <row r="5931" spans="1:15" x14ac:dyDescent="0.25">
      <c r="A5931">
        <v>13390</v>
      </c>
      <c r="B5931" s="11">
        <v>4013456789017</v>
      </c>
      <c r="C5931" s="1" t="s">
        <v>11</v>
      </c>
      <c r="D5931" s="1" t="s">
        <v>12</v>
      </c>
      <c r="E5931" s="1" t="s">
        <v>13</v>
      </c>
      <c r="F5931">
        <v>6</v>
      </c>
      <c r="G5931">
        <v>1</v>
      </c>
      <c r="H5931" s="1" t="s">
        <v>14</v>
      </c>
      <c r="I5931" s="1" t="s">
        <v>15</v>
      </c>
      <c r="J5931" s="12">
        <v>46022</v>
      </c>
      <c r="K5931">
        <v>0</v>
      </c>
      <c r="L5931" s="1">
        <f t="shared" si="368"/>
        <v>6</v>
      </c>
      <c r="M5931" s="1" t="str">
        <f t="shared" si="369"/>
        <v/>
      </c>
      <c r="N5931" s="2">
        <f t="shared" si="370"/>
        <v>45992</v>
      </c>
      <c r="O5931" t="str">
        <f t="shared" si="371"/>
        <v>pes</v>
      </c>
    </row>
    <row r="5932" spans="1:15" x14ac:dyDescent="0.25">
      <c r="A5932">
        <v>13391</v>
      </c>
      <c r="B5932" s="11">
        <v>4027788990013</v>
      </c>
      <c r="C5932" s="1" t="s">
        <v>43</v>
      </c>
      <c r="D5932" s="1" t="s">
        <v>21</v>
      </c>
      <c r="E5932" s="1" t="s">
        <v>22</v>
      </c>
      <c r="F5932">
        <v>8</v>
      </c>
      <c r="G5932">
        <v>1</v>
      </c>
      <c r="H5932" s="1" t="s">
        <v>14</v>
      </c>
      <c r="I5932" s="1" t="s">
        <v>15</v>
      </c>
      <c r="J5932" s="12">
        <v>46022</v>
      </c>
      <c r="K5932">
        <v>0</v>
      </c>
      <c r="L5932" s="1">
        <f t="shared" si="368"/>
        <v>8</v>
      </c>
      <c r="M5932" s="1" t="str">
        <f t="shared" si="369"/>
        <v/>
      </c>
      <c r="N5932" s="2">
        <f t="shared" si="370"/>
        <v>45992</v>
      </c>
      <c r="O5932" t="str">
        <f t="shared" si="371"/>
        <v>pes</v>
      </c>
    </row>
    <row r="5933" spans="1:15" hidden="1" x14ac:dyDescent="0.25">
      <c r="A5933">
        <v>13392</v>
      </c>
      <c r="B5933" s="11">
        <v>4042233445567</v>
      </c>
      <c r="C5933" s="1" t="s">
        <v>637</v>
      </c>
      <c r="D5933" s="1" t="s">
        <v>140</v>
      </c>
      <c r="E5933" s="1" t="s">
        <v>141</v>
      </c>
      <c r="F5933">
        <v>51.64</v>
      </c>
      <c r="G5933">
        <v>1</v>
      </c>
      <c r="H5933" s="1" t="s">
        <v>14</v>
      </c>
      <c r="I5933" s="1" t="s">
        <v>15</v>
      </c>
      <c r="J5933" s="12">
        <v>46022</v>
      </c>
      <c r="K5933">
        <v>0</v>
      </c>
      <c r="L5933" s="1">
        <f t="shared" si="368"/>
        <v>51.64</v>
      </c>
      <c r="M5933" s="1" t="str">
        <f t="shared" si="369"/>
        <v/>
      </c>
      <c r="N5933" s="2">
        <f t="shared" si="370"/>
        <v>45992</v>
      </c>
      <c r="O5933" t="str">
        <f t="shared" si="371"/>
        <v>mačka</v>
      </c>
    </row>
    <row r="5934" spans="1:15" x14ac:dyDescent="0.25">
      <c r="A5934">
        <v>13393</v>
      </c>
      <c r="B5934" s="11">
        <v>4003344556679</v>
      </c>
      <c r="C5934" s="1" t="s">
        <v>132</v>
      </c>
      <c r="D5934" s="1" t="s">
        <v>133</v>
      </c>
      <c r="E5934" s="1" t="s">
        <v>134</v>
      </c>
      <c r="F5934">
        <v>51.64</v>
      </c>
      <c r="G5934">
        <v>1</v>
      </c>
      <c r="H5934" s="1" t="s">
        <v>14</v>
      </c>
      <c r="I5934" s="1" t="s">
        <v>15</v>
      </c>
      <c r="J5934" s="12">
        <v>46022</v>
      </c>
      <c r="K5934">
        <v>0</v>
      </c>
      <c r="L5934" s="1">
        <f t="shared" si="368"/>
        <v>51.64</v>
      </c>
      <c r="M5934" s="1" t="str">
        <f t="shared" si="369"/>
        <v/>
      </c>
      <c r="N5934" s="2">
        <f t="shared" si="370"/>
        <v>45992</v>
      </c>
      <c r="O5934" t="str">
        <f t="shared" si="371"/>
        <v>pes</v>
      </c>
    </row>
    <row r="5935" spans="1:15" x14ac:dyDescent="0.25">
      <c r="A5935">
        <v>13394</v>
      </c>
      <c r="B5935" s="11">
        <v>4028899001126</v>
      </c>
      <c r="C5935" s="1" t="s">
        <v>16</v>
      </c>
      <c r="D5935" s="1" t="s">
        <v>12</v>
      </c>
      <c r="E5935" s="1" t="s">
        <v>17</v>
      </c>
      <c r="F5935">
        <v>2.8</v>
      </c>
      <c r="G5935">
        <v>3</v>
      </c>
      <c r="H5935" s="1" t="s">
        <v>14</v>
      </c>
      <c r="I5935" s="1" t="s">
        <v>15</v>
      </c>
      <c r="J5935" s="12">
        <v>46022</v>
      </c>
      <c r="K5935">
        <v>0</v>
      </c>
      <c r="L5935" s="1">
        <f t="shared" si="368"/>
        <v>8.3999999999999986</v>
      </c>
      <c r="M5935" s="1" t="str">
        <f t="shared" si="369"/>
        <v/>
      </c>
      <c r="N5935" s="2">
        <f t="shared" si="370"/>
        <v>45992</v>
      </c>
      <c r="O5935" t="str">
        <f t="shared" si="371"/>
        <v>pes</v>
      </c>
    </row>
    <row r="5936" spans="1:15" x14ac:dyDescent="0.25">
      <c r="A5936">
        <v>13395</v>
      </c>
      <c r="B5936" s="11">
        <v>4013456789017</v>
      </c>
      <c r="C5936" s="1" t="s">
        <v>11</v>
      </c>
      <c r="D5936" s="1" t="s">
        <v>12</v>
      </c>
      <c r="E5936" s="1" t="s">
        <v>13</v>
      </c>
      <c r="F5936">
        <v>6</v>
      </c>
      <c r="G5936">
        <v>1</v>
      </c>
      <c r="H5936" s="1" t="s">
        <v>14</v>
      </c>
      <c r="I5936" s="1" t="s">
        <v>15</v>
      </c>
      <c r="J5936" s="12">
        <v>46022</v>
      </c>
      <c r="K5936">
        <v>0</v>
      </c>
      <c r="L5936" s="1">
        <f t="shared" si="368"/>
        <v>6</v>
      </c>
      <c r="M5936" s="1" t="str">
        <f t="shared" si="369"/>
        <v/>
      </c>
      <c r="N5936" s="2">
        <f t="shared" si="370"/>
        <v>45992</v>
      </c>
      <c r="O5936" t="str">
        <f t="shared" si="371"/>
        <v>pes</v>
      </c>
    </row>
    <row r="5937" spans="1:15" x14ac:dyDescent="0.25">
      <c r="A5937">
        <v>13396</v>
      </c>
      <c r="B5937" s="11">
        <v>4040123456795</v>
      </c>
      <c r="C5937" s="1" t="s">
        <v>20</v>
      </c>
      <c r="D5937" s="1" t="s">
        <v>21</v>
      </c>
      <c r="E5937" s="1" t="s">
        <v>22</v>
      </c>
      <c r="F5937">
        <v>8.8000000000000007</v>
      </c>
      <c r="G5937">
        <v>1</v>
      </c>
      <c r="H5937" s="1" t="s">
        <v>14</v>
      </c>
      <c r="I5937" s="1" t="s">
        <v>15</v>
      </c>
      <c r="J5937" s="12">
        <v>46022</v>
      </c>
      <c r="K5937">
        <v>0</v>
      </c>
      <c r="L5937" s="1">
        <f t="shared" si="368"/>
        <v>8.8000000000000007</v>
      </c>
      <c r="M5937" s="1" t="str">
        <f t="shared" si="369"/>
        <v/>
      </c>
      <c r="N5937" s="2">
        <f t="shared" si="370"/>
        <v>45992</v>
      </c>
      <c r="O5937" t="str">
        <f t="shared" si="371"/>
        <v>pes</v>
      </c>
    </row>
    <row r="5938" spans="1:15" x14ac:dyDescent="0.25">
      <c r="A5938">
        <v>13397</v>
      </c>
      <c r="B5938" s="11">
        <v>4027788990013</v>
      </c>
      <c r="C5938" s="1" t="s">
        <v>43</v>
      </c>
      <c r="D5938" s="1" t="s">
        <v>21</v>
      </c>
      <c r="E5938" s="1" t="s">
        <v>22</v>
      </c>
      <c r="F5938">
        <v>8</v>
      </c>
      <c r="G5938">
        <v>1</v>
      </c>
      <c r="H5938" s="1" t="s">
        <v>14</v>
      </c>
      <c r="I5938" s="1" t="s">
        <v>15</v>
      </c>
      <c r="J5938" s="12">
        <v>46022</v>
      </c>
      <c r="K5938">
        <v>0</v>
      </c>
      <c r="L5938" s="1">
        <f t="shared" si="368"/>
        <v>8</v>
      </c>
      <c r="M5938" s="1" t="str">
        <f t="shared" si="369"/>
        <v/>
      </c>
      <c r="N5938" s="2">
        <f t="shared" si="370"/>
        <v>45992</v>
      </c>
      <c r="O5938" t="str">
        <f t="shared" si="371"/>
        <v>pes</v>
      </c>
    </row>
    <row r="5939" spans="1:15" x14ac:dyDescent="0.25">
      <c r="A5939">
        <v>13398</v>
      </c>
      <c r="B5939" s="11">
        <v>4003344556679</v>
      </c>
      <c r="C5939" s="1" t="s">
        <v>132</v>
      </c>
      <c r="D5939" s="1" t="s">
        <v>133</v>
      </c>
      <c r="E5939" s="1" t="s">
        <v>134</v>
      </c>
      <c r="F5939">
        <v>51.64</v>
      </c>
      <c r="G5939">
        <v>1</v>
      </c>
      <c r="H5939" s="1" t="s">
        <v>14</v>
      </c>
      <c r="I5939" s="1" t="s">
        <v>15</v>
      </c>
      <c r="J5939" s="12">
        <v>46022</v>
      </c>
      <c r="K5939">
        <v>0</v>
      </c>
      <c r="L5939" s="1">
        <f t="shared" si="368"/>
        <v>51.64</v>
      </c>
      <c r="M5939" s="1" t="str">
        <f t="shared" si="369"/>
        <v/>
      </c>
      <c r="N5939" s="2">
        <f t="shared" si="370"/>
        <v>45992</v>
      </c>
      <c r="O5939" t="str">
        <f t="shared" si="371"/>
        <v>pes</v>
      </c>
    </row>
    <row r="5940" spans="1:15" hidden="1" x14ac:dyDescent="0.25">
      <c r="A5940">
        <v>13399</v>
      </c>
      <c r="B5940" s="11">
        <v>4056789012345</v>
      </c>
      <c r="C5940" s="1" t="s">
        <v>47</v>
      </c>
      <c r="D5940" s="1" t="s">
        <v>29</v>
      </c>
      <c r="E5940" s="1" t="s">
        <v>37</v>
      </c>
      <c r="F5940">
        <v>2.4</v>
      </c>
      <c r="G5940">
        <v>2</v>
      </c>
      <c r="H5940" s="1" t="s">
        <v>14</v>
      </c>
      <c r="I5940" s="1" t="s">
        <v>15</v>
      </c>
      <c r="J5940" s="12">
        <v>46022</v>
      </c>
      <c r="K5940">
        <v>0</v>
      </c>
      <c r="L5940" s="1">
        <f t="shared" si="368"/>
        <v>4.8</v>
      </c>
      <c r="M5940" s="1" t="str">
        <f t="shared" si="369"/>
        <v/>
      </c>
      <c r="N5940" s="2">
        <f t="shared" si="370"/>
        <v>45992</v>
      </c>
      <c r="O5940" t="str">
        <f t="shared" si="371"/>
        <v>mačka</v>
      </c>
    </row>
    <row r="5941" spans="1:15" hidden="1" x14ac:dyDescent="0.25">
      <c r="A5941">
        <v>13400</v>
      </c>
      <c r="B5941" s="11">
        <v>8593456789012</v>
      </c>
      <c r="C5941" s="1" t="s">
        <v>28</v>
      </c>
      <c r="D5941" s="1" t="s">
        <v>29</v>
      </c>
      <c r="E5941" s="1" t="s">
        <v>30</v>
      </c>
      <c r="F5941">
        <v>42</v>
      </c>
      <c r="G5941">
        <v>1</v>
      </c>
      <c r="H5941" s="1" t="s">
        <v>14</v>
      </c>
      <c r="I5941" s="1" t="s">
        <v>15</v>
      </c>
      <c r="J5941" s="12">
        <v>46022</v>
      </c>
      <c r="K5941">
        <v>0</v>
      </c>
      <c r="L5941" s="1">
        <f t="shared" si="368"/>
        <v>42</v>
      </c>
      <c r="M5941" s="1" t="str">
        <f t="shared" si="369"/>
        <v/>
      </c>
      <c r="N5941" s="2">
        <f t="shared" si="370"/>
        <v>45992</v>
      </c>
      <c r="O5941" t="str">
        <f t="shared" si="371"/>
        <v>mačka</v>
      </c>
    </row>
    <row r="5942" spans="1:15" x14ac:dyDescent="0.25">
      <c r="A5942">
        <v>13401</v>
      </c>
      <c r="B5942" s="11">
        <v>4022345678908</v>
      </c>
      <c r="C5942" s="1" t="s">
        <v>363</v>
      </c>
      <c r="D5942" s="1" t="s">
        <v>21</v>
      </c>
      <c r="E5942" s="1" t="s">
        <v>69</v>
      </c>
      <c r="F5942">
        <v>10</v>
      </c>
      <c r="G5942">
        <v>1</v>
      </c>
      <c r="H5942" s="1" t="s">
        <v>14</v>
      </c>
      <c r="I5942" s="1" t="s">
        <v>15</v>
      </c>
      <c r="J5942" s="12">
        <v>46022</v>
      </c>
      <c r="K5942">
        <v>0</v>
      </c>
      <c r="L5942" s="1">
        <f t="shared" si="368"/>
        <v>10</v>
      </c>
      <c r="M5942" s="1" t="str">
        <f t="shared" si="369"/>
        <v/>
      </c>
      <c r="N5942" s="2">
        <f t="shared" si="370"/>
        <v>45992</v>
      </c>
      <c r="O5942" t="str">
        <f t="shared" si="371"/>
        <v>pes</v>
      </c>
    </row>
    <row r="5943" spans="1:15" hidden="1" x14ac:dyDescent="0.25">
      <c r="A5943">
        <v>13402</v>
      </c>
      <c r="B5943" s="11">
        <v>4010123456783</v>
      </c>
      <c r="C5943" s="1" t="s">
        <v>35</v>
      </c>
      <c r="D5943" s="1" t="s">
        <v>36</v>
      </c>
      <c r="E5943" s="1" t="s">
        <v>37</v>
      </c>
      <c r="F5943">
        <v>14</v>
      </c>
      <c r="G5943">
        <v>1</v>
      </c>
      <c r="H5943" s="1" t="s">
        <v>14</v>
      </c>
      <c r="I5943" s="1" t="s">
        <v>15</v>
      </c>
      <c r="J5943" s="12">
        <v>46022</v>
      </c>
      <c r="K5943">
        <v>0</v>
      </c>
      <c r="L5943" s="1">
        <f t="shared" si="368"/>
        <v>14</v>
      </c>
      <c r="M5943" s="1" t="str">
        <f t="shared" si="369"/>
        <v/>
      </c>
      <c r="N5943" s="2">
        <f t="shared" si="370"/>
        <v>45992</v>
      </c>
      <c r="O5943" t="str">
        <f t="shared" si="371"/>
        <v>mačka</v>
      </c>
    </row>
    <row r="5944" spans="1:15" x14ac:dyDescent="0.25">
      <c r="A5944">
        <v>13403</v>
      </c>
      <c r="B5944" s="11">
        <v>4028899001126</v>
      </c>
      <c r="C5944" s="1" t="s">
        <v>16</v>
      </c>
      <c r="D5944" s="1" t="s">
        <v>12</v>
      </c>
      <c r="E5944" s="1" t="s">
        <v>17</v>
      </c>
      <c r="F5944">
        <v>2.8</v>
      </c>
      <c r="G5944">
        <v>2</v>
      </c>
      <c r="H5944" s="1" t="s">
        <v>14</v>
      </c>
      <c r="I5944" s="1" t="s">
        <v>15</v>
      </c>
      <c r="J5944" s="12">
        <v>46022</v>
      </c>
      <c r="K5944">
        <v>0</v>
      </c>
      <c r="L5944" s="1">
        <f t="shared" si="368"/>
        <v>5.6</v>
      </c>
      <c r="M5944" s="1" t="str">
        <f t="shared" si="369"/>
        <v/>
      </c>
      <c r="N5944" s="2">
        <f t="shared" si="370"/>
        <v>45992</v>
      </c>
      <c r="O5944" t="str">
        <f t="shared" si="371"/>
        <v>pes</v>
      </c>
    </row>
    <row r="5945" spans="1:15" x14ac:dyDescent="0.25">
      <c r="A5945">
        <v>13404</v>
      </c>
      <c r="B5945" s="11">
        <v>4013456789017</v>
      </c>
      <c r="C5945" s="1" t="s">
        <v>11</v>
      </c>
      <c r="D5945" s="1" t="s">
        <v>12</v>
      </c>
      <c r="E5945" s="1" t="s">
        <v>13</v>
      </c>
      <c r="F5945">
        <v>6</v>
      </c>
      <c r="G5945">
        <v>1</v>
      </c>
      <c r="H5945" s="1" t="s">
        <v>14</v>
      </c>
      <c r="I5945" s="1" t="s">
        <v>15</v>
      </c>
      <c r="J5945" s="12">
        <v>46022</v>
      </c>
      <c r="K5945">
        <v>0</v>
      </c>
      <c r="L5945" s="1">
        <f t="shared" si="368"/>
        <v>6</v>
      </c>
      <c r="M5945" s="1" t="str">
        <f t="shared" si="369"/>
        <v/>
      </c>
      <c r="N5945" s="2">
        <f t="shared" si="370"/>
        <v>45992</v>
      </c>
      <c r="O5945" t="str">
        <f t="shared" si="371"/>
        <v>pes</v>
      </c>
    </row>
    <row r="5946" spans="1:15" x14ac:dyDescent="0.25">
      <c r="A5946">
        <v>13405</v>
      </c>
      <c r="B5946" s="11">
        <v>4027788990013</v>
      </c>
      <c r="C5946" s="1" t="s">
        <v>43</v>
      </c>
      <c r="D5946" s="1" t="s">
        <v>21</v>
      </c>
      <c r="E5946" s="1" t="s">
        <v>22</v>
      </c>
      <c r="F5946">
        <v>8</v>
      </c>
      <c r="G5946">
        <v>1</v>
      </c>
      <c r="H5946" s="1" t="s">
        <v>14</v>
      </c>
      <c r="I5946" s="1" t="s">
        <v>15</v>
      </c>
      <c r="J5946" s="12">
        <v>46022</v>
      </c>
      <c r="K5946">
        <v>0</v>
      </c>
      <c r="L5946" s="1">
        <f t="shared" si="368"/>
        <v>8</v>
      </c>
      <c r="M5946" s="1" t="str">
        <f t="shared" si="369"/>
        <v/>
      </c>
      <c r="N5946" s="2">
        <f t="shared" si="370"/>
        <v>45992</v>
      </c>
      <c r="O5946" t="str">
        <f t="shared" si="371"/>
        <v>pes</v>
      </c>
    </row>
    <row r="5947" spans="1:15" hidden="1" x14ac:dyDescent="0.25">
      <c r="A5947">
        <v>13406</v>
      </c>
      <c r="B5947" s="11">
        <v>4042233445567</v>
      </c>
      <c r="C5947" s="1" t="s">
        <v>637</v>
      </c>
      <c r="D5947" s="1" t="s">
        <v>140</v>
      </c>
      <c r="E5947" s="1" t="s">
        <v>141</v>
      </c>
      <c r="F5947">
        <v>51.64</v>
      </c>
      <c r="G5947">
        <v>1</v>
      </c>
      <c r="H5947" s="1" t="s">
        <v>14</v>
      </c>
      <c r="I5947" s="1" t="s">
        <v>15</v>
      </c>
      <c r="J5947" s="12">
        <v>46022</v>
      </c>
      <c r="K5947">
        <v>0</v>
      </c>
      <c r="L5947" s="1">
        <f t="shared" si="368"/>
        <v>51.64</v>
      </c>
      <c r="M5947" s="1" t="str">
        <f t="shared" si="369"/>
        <v/>
      </c>
      <c r="N5947" s="2">
        <f t="shared" si="370"/>
        <v>45992</v>
      </c>
      <c r="O5947" t="str">
        <f t="shared" si="371"/>
        <v>mačka</v>
      </c>
    </row>
    <row r="5948" spans="1:15" x14ac:dyDescent="0.25">
      <c r="A5948">
        <v>13407</v>
      </c>
      <c r="B5948" s="11">
        <v>4003344556679</v>
      </c>
      <c r="C5948" s="1" t="s">
        <v>132</v>
      </c>
      <c r="D5948" s="1" t="s">
        <v>133</v>
      </c>
      <c r="E5948" s="1" t="s">
        <v>134</v>
      </c>
      <c r="F5948">
        <v>51.64</v>
      </c>
      <c r="G5948">
        <v>1</v>
      </c>
      <c r="H5948" s="1" t="s">
        <v>14</v>
      </c>
      <c r="I5948" s="1" t="s">
        <v>15</v>
      </c>
      <c r="J5948" s="12">
        <v>46022</v>
      </c>
      <c r="K5948">
        <v>0</v>
      </c>
      <c r="L5948" s="1">
        <f t="shared" si="368"/>
        <v>51.64</v>
      </c>
      <c r="M5948" s="1" t="str">
        <f t="shared" si="369"/>
        <v/>
      </c>
      <c r="N5948" s="2">
        <f t="shared" si="370"/>
        <v>45992</v>
      </c>
      <c r="O5948" t="str">
        <f t="shared" si="371"/>
        <v>pes</v>
      </c>
    </row>
    <row r="5949" spans="1:15" x14ac:dyDescent="0.25">
      <c r="A5949">
        <v>13408</v>
      </c>
      <c r="B5949" s="11">
        <v>4028899001126</v>
      </c>
      <c r="C5949" s="1" t="s">
        <v>16</v>
      </c>
      <c r="D5949" s="1" t="s">
        <v>12</v>
      </c>
      <c r="E5949" s="1" t="s">
        <v>17</v>
      </c>
      <c r="F5949">
        <v>2.8</v>
      </c>
      <c r="G5949">
        <v>3</v>
      </c>
      <c r="H5949" s="1" t="s">
        <v>14</v>
      </c>
      <c r="I5949" s="1" t="s">
        <v>15</v>
      </c>
      <c r="J5949" s="12">
        <v>46022</v>
      </c>
      <c r="K5949">
        <v>0</v>
      </c>
      <c r="L5949" s="1">
        <f t="shared" si="368"/>
        <v>8.3999999999999986</v>
      </c>
      <c r="M5949" s="1" t="str">
        <f t="shared" si="369"/>
        <v/>
      </c>
      <c r="N5949" s="2">
        <f t="shared" si="370"/>
        <v>45992</v>
      </c>
      <c r="O5949" t="str">
        <f t="shared" si="371"/>
        <v>pes</v>
      </c>
    </row>
    <row r="5950" spans="1:15" x14ac:dyDescent="0.25">
      <c r="A5950">
        <v>13409</v>
      </c>
      <c r="B5950" s="11">
        <v>4013456789017</v>
      </c>
      <c r="C5950" s="1" t="s">
        <v>11</v>
      </c>
      <c r="D5950" s="1" t="s">
        <v>12</v>
      </c>
      <c r="E5950" s="1" t="s">
        <v>13</v>
      </c>
      <c r="F5950">
        <v>6</v>
      </c>
      <c r="G5950">
        <v>1</v>
      </c>
      <c r="H5950" s="1" t="s">
        <v>14</v>
      </c>
      <c r="I5950" s="1" t="s">
        <v>15</v>
      </c>
      <c r="J5950" s="12">
        <v>46022</v>
      </c>
      <c r="K5950">
        <v>0</v>
      </c>
      <c r="L5950" s="1">
        <f t="shared" si="368"/>
        <v>6</v>
      </c>
      <c r="M5950" s="1" t="str">
        <f t="shared" si="369"/>
        <v/>
      </c>
      <c r="N5950" s="2">
        <f t="shared" si="370"/>
        <v>45992</v>
      </c>
      <c r="O5950" t="str">
        <f t="shared" si="371"/>
        <v>pes</v>
      </c>
    </row>
    <row r="5951" spans="1:15" x14ac:dyDescent="0.25">
      <c r="A5951">
        <v>13410</v>
      </c>
      <c r="B5951" s="11">
        <v>4040123456795</v>
      </c>
      <c r="C5951" s="1" t="s">
        <v>20</v>
      </c>
      <c r="D5951" s="1" t="s">
        <v>21</v>
      </c>
      <c r="E5951" s="1" t="s">
        <v>22</v>
      </c>
      <c r="F5951">
        <v>8.8000000000000007</v>
      </c>
      <c r="G5951">
        <v>1</v>
      </c>
      <c r="H5951" s="1" t="s">
        <v>14</v>
      </c>
      <c r="I5951" s="1" t="s">
        <v>15</v>
      </c>
      <c r="J5951" s="12">
        <v>46022</v>
      </c>
      <c r="K5951">
        <v>0</v>
      </c>
      <c r="L5951" s="1">
        <f t="shared" si="368"/>
        <v>8.8000000000000007</v>
      </c>
      <c r="M5951" s="1" t="str">
        <f t="shared" si="369"/>
        <v/>
      </c>
      <c r="N5951" s="2">
        <f t="shared" si="370"/>
        <v>45992</v>
      </c>
      <c r="O5951" t="str">
        <f t="shared" si="371"/>
        <v>pes</v>
      </c>
    </row>
    <row r="5952" spans="1:15" x14ac:dyDescent="0.25">
      <c r="A5952">
        <v>13411</v>
      </c>
      <c r="B5952" s="11">
        <v>4027788990013</v>
      </c>
      <c r="C5952" s="1" t="s">
        <v>43</v>
      </c>
      <c r="D5952" s="1" t="s">
        <v>21</v>
      </c>
      <c r="E5952" s="1" t="s">
        <v>22</v>
      </c>
      <c r="F5952">
        <v>8</v>
      </c>
      <c r="G5952">
        <v>1</v>
      </c>
      <c r="H5952" s="1" t="s">
        <v>14</v>
      </c>
      <c r="I5952" s="1" t="s">
        <v>15</v>
      </c>
      <c r="J5952" s="12">
        <v>46022</v>
      </c>
      <c r="K5952">
        <v>0</v>
      </c>
      <c r="L5952" s="1">
        <f t="shared" si="368"/>
        <v>8</v>
      </c>
      <c r="M5952" s="1" t="str">
        <f t="shared" si="369"/>
        <v/>
      </c>
      <c r="N5952" s="2">
        <f t="shared" si="370"/>
        <v>45992</v>
      </c>
      <c r="O5952" t="str">
        <f t="shared" si="371"/>
        <v>pes</v>
      </c>
    </row>
    <row r="5953" spans="1:15" x14ac:dyDescent="0.25">
      <c r="A5953">
        <v>13412</v>
      </c>
      <c r="B5953" s="11">
        <v>4017890123450</v>
      </c>
      <c r="C5953" s="1" t="s">
        <v>65</v>
      </c>
      <c r="D5953" s="1" t="s">
        <v>39</v>
      </c>
      <c r="E5953" s="1" t="s">
        <v>22</v>
      </c>
      <c r="F5953">
        <v>7.6</v>
      </c>
      <c r="G5953">
        <v>1</v>
      </c>
      <c r="H5953" s="1" t="s">
        <v>14</v>
      </c>
      <c r="I5953" s="1" t="s">
        <v>15</v>
      </c>
      <c r="J5953" s="12">
        <v>46022</v>
      </c>
      <c r="K5953">
        <v>0</v>
      </c>
      <c r="L5953" s="1">
        <f t="shared" si="368"/>
        <v>7.6</v>
      </c>
      <c r="M5953" s="1" t="str">
        <f t="shared" si="369"/>
        <v/>
      </c>
      <c r="N5953" s="2">
        <f t="shared" si="370"/>
        <v>45992</v>
      </c>
      <c r="O5953" t="str">
        <f t="shared" si="371"/>
        <v>pes</v>
      </c>
    </row>
    <row r="5954" spans="1:15" x14ac:dyDescent="0.25">
      <c r="B5954"/>
    </row>
    <row r="5955" spans="1:15" x14ac:dyDescent="0.25">
      <c r="B5955"/>
    </row>
    <row r="5956" spans="1:15" x14ac:dyDescent="0.25">
      <c r="B5956"/>
    </row>
    <row r="5957" spans="1:15" x14ac:dyDescent="0.25">
      <c r="B5957"/>
    </row>
    <row r="5958" spans="1:15" x14ac:dyDescent="0.25">
      <c r="B5958"/>
    </row>
    <row r="5959" spans="1:15" x14ac:dyDescent="0.25">
      <c r="B5959"/>
    </row>
    <row r="5960" spans="1:15" x14ac:dyDescent="0.25">
      <c r="B5960"/>
    </row>
    <row r="5961" spans="1:15" x14ac:dyDescent="0.25">
      <c r="B5961"/>
    </row>
    <row r="5962" spans="1:15" x14ac:dyDescent="0.25">
      <c r="B5962"/>
    </row>
    <row r="5963" spans="1:15" x14ac:dyDescent="0.25">
      <c r="B5963"/>
    </row>
    <row r="5964" spans="1:15" x14ac:dyDescent="0.25">
      <c r="B5964"/>
    </row>
    <row r="5965" spans="1:15" x14ac:dyDescent="0.25">
      <c r="B5965"/>
    </row>
    <row r="5966" spans="1:15" x14ac:dyDescent="0.25">
      <c r="B5966"/>
    </row>
    <row r="5967" spans="1:15" x14ac:dyDescent="0.25">
      <c r="B5967"/>
    </row>
    <row r="5968" spans="1:15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7C83-BC06-438A-B568-622D16B78228}">
  <dimension ref="A1:O909"/>
  <sheetViews>
    <sheetView workbookViewId="0">
      <selection activeCell="S6" sqref="S6"/>
    </sheetView>
  </sheetViews>
  <sheetFormatPr defaultRowHeight="15" x14ac:dyDescent="0.25"/>
  <cols>
    <col min="2" max="2" width="14.140625" bestFit="1" customWidth="1"/>
  </cols>
  <sheetData>
    <row r="1" spans="1:15" x14ac:dyDescent="0.25">
      <c r="A1" s="3" t="s">
        <v>0</v>
      </c>
      <c r="B1" s="2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0" t="s">
        <v>9</v>
      </c>
      <c r="K1" s="4" t="s">
        <v>10</v>
      </c>
      <c r="L1" s="4" t="s">
        <v>1333</v>
      </c>
      <c r="M1" s="4" t="s">
        <v>1334</v>
      </c>
      <c r="N1" s="4" t="s">
        <v>1335</v>
      </c>
      <c r="O1" s="9" t="s">
        <v>1336</v>
      </c>
    </row>
    <row r="2" spans="1:15" x14ac:dyDescent="0.25">
      <c r="A2" s="5">
        <v>10033</v>
      </c>
      <c r="B2" s="21">
        <v>8599988776654</v>
      </c>
      <c r="C2" s="22" t="s">
        <v>393</v>
      </c>
      <c r="D2" s="22" t="s">
        <v>133</v>
      </c>
      <c r="E2" s="22" t="s">
        <v>17</v>
      </c>
      <c r="F2" s="6">
        <v>16.8</v>
      </c>
      <c r="G2" s="6">
        <v>1</v>
      </c>
      <c r="H2" s="22" t="s">
        <v>23</v>
      </c>
      <c r="I2" s="22" t="s">
        <v>394</v>
      </c>
      <c r="J2" s="23">
        <v>45839</v>
      </c>
      <c r="K2" s="6">
        <v>0</v>
      </c>
      <c r="L2" s="22">
        <v>16.8</v>
      </c>
      <c r="M2" s="22">
        <v>5</v>
      </c>
      <c r="N2" s="24">
        <v>45839</v>
      </c>
      <c r="O2" s="13" t="s">
        <v>1346</v>
      </c>
    </row>
    <row r="3" spans="1:15" x14ac:dyDescent="0.25">
      <c r="A3" s="7">
        <v>10034</v>
      </c>
      <c r="B3" s="25">
        <v>8599988776654</v>
      </c>
      <c r="C3" s="26" t="s">
        <v>393</v>
      </c>
      <c r="D3" s="26" t="s">
        <v>133</v>
      </c>
      <c r="E3" s="26" t="s">
        <v>17</v>
      </c>
      <c r="F3" s="8">
        <v>16.8</v>
      </c>
      <c r="G3" s="8">
        <v>2</v>
      </c>
      <c r="H3" s="26" t="s">
        <v>14</v>
      </c>
      <c r="I3" s="26" t="s">
        <v>15</v>
      </c>
      <c r="J3" s="27">
        <v>45839</v>
      </c>
      <c r="K3" s="8">
        <v>0</v>
      </c>
      <c r="L3" s="26">
        <v>33.6</v>
      </c>
      <c r="M3" s="26" t="s">
        <v>15</v>
      </c>
      <c r="N3" s="28">
        <v>45839</v>
      </c>
      <c r="O3" s="14" t="s">
        <v>1346</v>
      </c>
    </row>
    <row r="4" spans="1:15" x14ac:dyDescent="0.25">
      <c r="A4" s="5">
        <v>10035</v>
      </c>
      <c r="B4" s="21">
        <v>8599988776654</v>
      </c>
      <c r="C4" s="22" t="s">
        <v>393</v>
      </c>
      <c r="D4" s="22" t="s">
        <v>133</v>
      </c>
      <c r="E4" s="22" t="s">
        <v>17</v>
      </c>
      <c r="F4" s="6">
        <v>16.8</v>
      </c>
      <c r="G4" s="6">
        <v>1</v>
      </c>
      <c r="H4" s="22" t="s">
        <v>14</v>
      </c>
      <c r="I4" s="22" t="s">
        <v>15</v>
      </c>
      <c r="J4" s="23">
        <v>45839</v>
      </c>
      <c r="K4" s="6">
        <v>0</v>
      </c>
      <c r="L4" s="22">
        <v>16.8</v>
      </c>
      <c r="M4" s="22" t="s">
        <v>15</v>
      </c>
      <c r="N4" s="24">
        <v>45839</v>
      </c>
      <c r="O4" s="13" t="s">
        <v>1346</v>
      </c>
    </row>
    <row r="5" spans="1:15" x14ac:dyDescent="0.25">
      <c r="A5" s="7">
        <v>10036</v>
      </c>
      <c r="B5" s="25">
        <v>8599988776654</v>
      </c>
      <c r="C5" s="26" t="s">
        <v>393</v>
      </c>
      <c r="D5" s="26" t="s">
        <v>133</v>
      </c>
      <c r="E5" s="26" t="s">
        <v>17</v>
      </c>
      <c r="F5" s="8">
        <v>16.8</v>
      </c>
      <c r="G5" s="8">
        <v>3</v>
      </c>
      <c r="H5" s="26" t="s">
        <v>23</v>
      </c>
      <c r="I5" s="26" t="s">
        <v>395</v>
      </c>
      <c r="J5" s="27">
        <v>45839</v>
      </c>
      <c r="K5" s="8">
        <v>0</v>
      </c>
      <c r="L5" s="26">
        <v>50.400000000000006</v>
      </c>
      <c r="M5" s="26">
        <v>5</v>
      </c>
      <c r="N5" s="28">
        <v>45839</v>
      </c>
      <c r="O5" s="14" t="s">
        <v>1346</v>
      </c>
    </row>
    <row r="6" spans="1:15" x14ac:dyDescent="0.25">
      <c r="A6" s="5">
        <v>10037</v>
      </c>
      <c r="B6" s="21">
        <v>8599988776654</v>
      </c>
      <c r="C6" s="22" t="s">
        <v>393</v>
      </c>
      <c r="D6" s="22" t="s">
        <v>133</v>
      </c>
      <c r="E6" s="22" t="s">
        <v>17</v>
      </c>
      <c r="F6" s="6">
        <v>16.8</v>
      </c>
      <c r="G6" s="6">
        <v>1</v>
      </c>
      <c r="H6" s="22" t="s">
        <v>14</v>
      </c>
      <c r="I6" s="22" t="s">
        <v>15</v>
      </c>
      <c r="J6" s="23">
        <v>45839</v>
      </c>
      <c r="K6" s="6">
        <v>0</v>
      </c>
      <c r="L6" s="22">
        <v>16.8</v>
      </c>
      <c r="M6" s="22" t="s">
        <v>15</v>
      </c>
      <c r="N6" s="24">
        <v>45839</v>
      </c>
      <c r="O6" s="13" t="s">
        <v>1346</v>
      </c>
    </row>
    <row r="7" spans="1:15" x14ac:dyDescent="0.25">
      <c r="A7" s="7">
        <v>10038</v>
      </c>
      <c r="B7" s="25">
        <v>4028899001126</v>
      </c>
      <c r="C7" s="26" t="s">
        <v>16</v>
      </c>
      <c r="D7" s="26" t="s">
        <v>12</v>
      </c>
      <c r="E7" s="26" t="s">
        <v>17</v>
      </c>
      <c r="F7" s="8">
        <v>2.8</v>
      </c>
      <c r="G7" s="8">
        <v>3</v>
      </c>
      <c r="H7" s="26" t="s">
        <v>14</v>
      </c>
      <c r="I7" s="26"/>
      <c r="J7" s="27">
        <v>45839</v>
      </c>
      <c r="K7" s="8">
        <v>0</v>
      </c>
      <c r="L7" s="26">
        <v>8.3999999999999986</v>
      </c>
      <c r="M7" s="26" t="s">
        <v>15</v>
      </c>
      <c r="N7" s="28">
        <v>45839</v>
      </c>
      <c r="O7" s="14" t="s">
        <v>1346</v>
      </c>
    </row>
    <row r="8" spans="1:15" x14ac:dyDescent="0.25">
      <c r="A8" s="5">
        <v>10038</v>
      </c>
      <c r="B8" s="21">
        <v>4013456789017</v>
      </c>
      <c r="C8" s="22" t="s">
        <v>11</v>
      </c>
      <c r="D8" s="22" t="s">
        <v>12</v>
      </c>
      <c r="E8" s="22" t="s">
        <v>13</v>
      </c>
      <c r="F8" s="6">
        <v>6</v>
      </c>
      <c r="G8" s="6">
        <v>1</v>
      </c>
      <c r="H8" s="22" t="s">
        <v>14</v>
      </c>
      <c r="I8" s="22" t="s">
        <v>15</v>
      </c>
      <c r="J8" s="23">
        <v>45839</v>
      </c>
      <c r="K8" s="6">
        <v>0</v>
      </c>
      <c r="L8" s="22">
        <v>6</v>
      </c>
      <c r="M8" s="22" t="s">
        <v>15</v>
      </c>
      <c r="N8" s="24">
        <v>45839</v>
      </c>
      <c r="O8" s="13" t="s">
        <v>1346</v>
      </c>
    </row>
    <row r="9" spans="1:15" x14ac:dyDescent="0.25">
      <c r="A9" s="7">
        <v>10039</v>
      </c>
      <c r="B9" s="25">
        <v>8599988776654</v>
      </c>
      <c r="C9" s="26" t="s">
        <v>393</v>
      </c>
      <c r="D9" s="26" t="s">
        <v>133</v>
      </c>
      <c r="E9" s="26" t="s">
        <v>17</v>
      </c>
      <c r="F9" s="8">
        <v>16.8</v>
      </c>
      <c r="G9" s="8">
        <v>1</v>
      </c>
      <c r="H9" s="26" t="s">
        <v>23</v>
      </c>
      <c r="I9" s="26" t="s">
        <v>396</v>
      </c>
      <c r="J9" s="27">
        <v>45839</v>
      </c>
      <c r="K9" s="8">
        <v>0</v>
      </c>
      <c r="L9" s="26">
        <v>16.8</v>
      </c>
      <c r="M9" s="26">
        <v>5</v>
      </c>
      <c r="N9" s="28">
        <v>45839</v>
      </c>
      <c r="O9" s="14" t="s">
        <v>1346</v>
      </c>
    </row>
    <row r="10" spans="1:15" x14ac:dyDescent="0.25">
      <c r="A10" s="5">
        <v>10040</v>
      </c>
      <c r="B10" s="21">
        <v>8599988776654</v>
      </c>
      <c r="C10" s="22" t="s">
        <v>393</v>
      </c>
      <c r="D10" s="22" t="s">
        <v>133</v>
      </c>
      <c r="E10" s="22" t="s">
        <v>17</v>
      </c>
      <c r="F10" s="6">
        <v>16.8</v>
      </c>
      <c r="G10" s="6">
        <v>2</v>
      </c>
      <c r="H10" s="22" t="s">
        <v>14</v>
      </c>
      <c r="I10" s="22" t="s">
        <v>15</v>
      </c>
      <c r="J10" s="23">
        <v>45839</v>
      </c>
      <c r="K10" s="6">
        <v>0</v>
      </c>
      <c r="L10" s="22">
        <v>33.6</v>
      </c>
      <c r="M10" s="22" t="s">
        <v>15</v>
      </c>
      <c r="N10" s="24">
        <v>45839</v>
      </c>
      <c r="O10" s="13" t="s">
        <v>1346</v>
      </c>
    </row>
    <row r="11" spans="1:15" x14ac:dyDescent="0.25">
      <c r="A11" s="7">
        <v>10041</v>
      </c>
      <c r="B11" s="25">
        <v>4010123456783</v>
      </c>
      <c r="C11" s="26" t="s">
        <v>35</v>
      </c>
      <c r="D11" s="26" t="s">
        <v>36</v>
      </c>
      <c r="E11" s="26" t="s">
        <v>37</v>
      </c>
      <c r="F11" s="8">
        <v>14</v>
      </c>
      <c r="G11" s="8">
        <v>1</v>
      </c>
      <c r="H11" s="26" t="s">
        <v>14</v>
      </c>
      <c r="I11" s="26" t="s">
        <v>15</v>
      </c>
      <c r="J11" s="27">
        <v>45839</v>
      </c>
      <c r="K11" s="8">
        <v>0</v>
      </c>
      <c r="L11" s="26">
        <v>14</v>
      </c>
      <c r="M11" s="26" t="s">
        <v>15</v>
      </c>
      <c r="N11" s="28">
        <v>45839</v>
      </c>
      <c r="O11" s="14" t="s">
        <v>1345</v>
      </c>
    </row>
    <row r="12" spans="1:15" x14ac:dyDescent="0.25">
      <c r="A12" s="5">
        <v>10042</v>
      </c>
      <c r="B12" s="21">
        <v>8599988776654</v>
      </c>
      <c r="C12" s="22" t="s">
        <v>393</v>
      </c>
      <c r="D12" s="22" t="s">
        <v>133</v>
      </c>
      <c r="E12" s="22" t="s">
        <v>17</v>
      </c>
      <c r="F12" s="6">
        <v>16.8</v>
      </c>
      <c r="G12" s="6">
        <v>1</v>
      </c>
      <c r="H12" s="22" t="s">
        <v>14</v>
      </c>
      <c r="I12" s="22" t="s">
        <v>15</v>
      </c>
      <c r="J12" s="23">
        <v>45839</v>
      </c>
      <c r="K12" s="6">
        <v>0</v>
      </c>
      <c r="L12" s="22">
        <v>16.8</v>
      </c>
      <c r="M12" s="22" t="s">
        <v>15</v>
      </c>
      <c r="N12" s="24">
        <v>45839</v>
      </c>
      <c r="O12" s="13" t="s">
        <v>1346</v>
      </c>
    </row>
    <row r="13" spans="1:15" x14ac:dyDescent="0.25">
      <c r="A13" s="7">
        <v>10043</v>
      </c>
      <c r="B13" s="25">
        <v>4028899001126</v>
      </c>
      <c r="C13" s="26" t="s">
        <v>16</v>
      </c>
      <c r="D13" s="26" t="s">
        <v>12</v>
      </c>
      <c r="E13" s="26" t="s">
        <v>17</v>
      </c>
      <c r="F13" s="8">
        <v>2.8</v>
      </c>
      <c r="G13" s="8">
        <v>4</v>
      </c>
      <c r="H13" s="26" t="s">
        <v>18</v>
      </c>
      <c r="I13" s="26" t="s">
        <v>397</v>
      </c>
      <c r="J13" s="27">
        <v>45839</v>
      </c>
      <c r="K13" s="8">
        <v>0</v>
      </c>
      <c r="L13" s="26">
        <v>11.2</v>
      </c>
      <c r="M13" s="26">
        <v>4</v>
      </c>
      <c r="N13" s="28">
        <v>45839</v>
      </c>
      <c r="O13" s="14" t="s">
        <v>1346</v>
      </c>
    </row>
    <row r="14" spans="1:15" x14ac:dyDescent="0.25">
      <c r="A14" s="5">
        <v>10044</v>
      </c>
      <c r="B14" s="21">
        <v>8599988776654</v>
      </c>
      <c r="C14" s="22" t="s">
        <v>393</v>
      </c>
      <c r="D14" s="22" t="s">
        <v>133</v>
      </c>
      <c r="E14" s="22" t="s">
        <v>17</v>
      </c>
      <c r="F14" s="6">
        <v>16.8</v>
      </c>
      <c r="G14" s="6">
        <v>1</v>
      </c>
      <c r="H14" s="22" t="s">
        <v>14</v>
      </c>
      <c r="I14" s="22" t="s">
        <v>15</v>
      </c>
      <c r="J14" s="23">
        <v>45839</v>
      </c>
      <c r="K14" s="6">
        <v>0</v>
      </c>
      <c r="L14" s="22">
        <v>16.8</v>
      </c>
      <c r="M14" s="22" t="s">
        <v>15</v>
      </c>
      <c r="N14" s="24">
        <v>45839</v>
      </c>
      <c r="O14" s="13" t="s">
        <v>1346</v>
      </c>
    </row>
    <row r="15" spans="1:15" x14ac:dyDescent="0.25">
      <c r="A15" s="7">
        <v>10045</v>
      </c>
      <c r="B15" s="25">
        <v>4056789012345</v>
      </c>
      <c r="C15" s="26" t="s">
        <v>47</v>
      </c>
      <c r="D15" s="26" t="s">
        <v>29</v>
      </c>
      <c r="E15" s="26" t="s">
        <v>37</v>
      </c>
      <c r="F15" s="8">
        <v>2.4</v>
      </c>
      <c r="G15" s="8">
        <v>3</v>
      </c>
      <c r="H15" s="26" t="s">
        <v>14</v>
      </c>
      <c r="I15" s="26" t="s">
        <v>15</v>
      </c>
      <c r="J15" s="27">
        <v>45839</v>
      </c>
      <c r="K15" s="8">
        <v>0</v>
      </c>
      <c r="L15" s="26">
        <v>7.1999999999999993</v>
      </c>
      <c r="M15" s="26" t="s">
        <v>15</v>
      </c>
      <c r="N15" s="28">
        <v>45839</v>
      </c>
      <c r="O15" s="14" t="s">
        <v>1345</v>
      </c>
    </row>
    <row r="16" spans="1:15" x14ac:dyDescent="0.25">
      <c r="A16" s="5">
        <v>10046</v>
      </c>
      <c r="B16" s="21">
        <v>8599988776654</v>
      </c>
      <c r="C16" s="22" t="s">
        <v>393</v>
      </c>
      <c r="D16" s="22" t="s">
        <v>133</v>
      </c>
      <c r="E16" s="22" t="s">
        <v>17</v>
      </c>
      <c r="F16" s="6">
        <v>16.8</v>
      </c>
      <c r="G16" s="6">
        <v>2</v>
      </c>
      <c r="H16" s="22" t="s">
        <v>23</v>
      </c>
      <c r="I16" s="22" t="s">
        <v>398</v>
      </c>
      <c r="J16" s="23">
        <v>45839</v>
      </c>
      <c r="K16" s="6">
        <v>0</v>
      </c>
      <c r="L16" s="22">
        <v>33.6</v>
      </c>
      <c r="M16" s="22">
        <v>5</v>
      </c>
      <c r="N16" s="24">
        <v>45839</v>
      </c>
      <c r="O16" s="13" t="s">
        <v>1346</v>
      </c>
    </row>
    <row r="17" spans="1:15" x14ac:dyDescent="0.25">
      <c r="A17" s="7">
        <v>10047</v>
      </c>
      <c r="B17" s="25">
        <v>8599988776654</v>
      </c>
      <c r="C17" s="26" t="s">
        <v>393</v>
      </c>
      <c r="D17" s="26" t="s">
        <v>133</v>
      </c>
      <c r="E17" s="26" t="s">
        <v>17</v>
      </c>
      <c r="F17" s="8">
        <v>16.8</v>
      </c>
      <c r="G17" s="8">
        <v>1</v>
      </c>
      <c r="H17" s="26" t="s">
        <v>14</v>
      </c>
      <c r="I17" s="26" t="s">
        <v>15</v>
      </c>
      <c r="J17" s="27">
        <v>45839</v>
      </c>
      <c r="K17" s="8">
        <v>0</v>
      </c>
      <c r="L17" s="26">
        <v>16.8</v>
      </c>
      <c r="M17" s="26" t="s">
        <v>15</v>
      </c>
      <c r="N17" s="28">
        <v>45839</v>
      </c>
      <c r="O17" s="14" t="s">
        <v>1346</v>
      </c>
    </row>
    <row r="18" spans="1:15" x14ac:dyDescent="0.25">
      <c r="A18" s="5">
        <v>10048</v>
      </c>
      <c r="B18" s="21">
        <v>8599988776654</v>
      </c>
      <c r="C18" s="22" t="s">
        <v>393</v>
      </c>
      <c r="D18" s="22" t="s">
        <v>133</v>
      </c>
      <c r="E18" s="22" t="s">
        <v>17</v>
      </c>
      <c r="F18" s="6">
        <v>16.8</v>
      </c>
      <c r="G18" s="6">
        <v>1</v>
      </c>
      <c r="H18" s="22" t="s">
        <v>14</v>
      </c>
      <c r="I18" s="22" t="s">
        <v>15</v>
      </c>
      <c r="J18" s="23">
        <v>45839</v>
      </c>
      <c r="K18" s="6">
        <v>0</v>
      </c>
      <c r="L18" s="22">
        <v>16.8</v>
      </c>
      <c r="M18" s="22" t="s">
        <v>15</v>
      </c>
      <c r="N18" s="24">
        <v>45839</v>
      </c>
      <c r="O18" s="13" t="s">
        <v>1346</v>
      </c>
    </row>
    <row r="19" spans="1:15" x14ac:dyDescent="0.25">
      <c r="A19" s="7">
        <v>10049</v>
      </c>
      <c r="B19" s="25">
        <v>8599988776654</v>
      </c>
      <c r="C19" s="26" t="s">
        <v>393</v>
      </c>
      <c r="D19" s="26" t="s">
        <v>133</v>
      </c>
      <c r="E19" s="26" t="s">
        <v>17</v>
      </c>
      <c r="F19" s="8">
        <v>16.8</v>
      </c>
      <c r="G19" s="8">
        <v>2</v>
      </c>
      <c r="H19" s="26" t="s">
        <v>14</v>
      </c>
      <c r="I19" s="26" t="s">
        <v>15</v>
      </c>
      <c r="J19" s="27">
        <v>45839</v>
      </c>
      <c r="K19" s="8">
        <v>0</v>
      </c>
      <c r="L19" s="26">
        <v>33.6</v>
      </c>
      <c r="M19" s="26" t="s">
        <v>15</v>
      </c>
      <c r="N19" s="28">
        <v>45839</v>
      </c>
      <c r="O19" s="14" t="s">
        <v>1346</v>
      </c>
    </row>
    <row r="20" spans="1:15" x14ac:dyDescent="0.25">
      <c r="A20" s="5">
        <v>10050</v>
      </c>
      <c r="B20" s="21">
        <v>8599988776654</v>
      </c>
      <c r="C20" s="22" t="s">
        <v>393</v>
      </c>
      <c r="D20" s="22" t="s">
        <v>133</v>
      </c>
      <c r="E20" s="22" t="s">
        <v>17</v>
      </c>
      <c r="F20" s="6">
        <v>16.8</v>
      </c>
      <c r="G20" s="6">
        <v>1</v>
      </c>
      <c r="H20" s="22" t="s">
        <v>18</v>
      </c>
      <c r="I20" s="22" t="s">
        <v>399</v>
      </c>
      <c r="J20" s="23">
        <v>45839</v>
      </c>
      <c r="K20" s="6">
        <v>0</v>
      </c>
      <c r="L20" s="22">
        <v>16.8</v>
      </c>
      <c r="M20" s="22">
        <v>4</v>
      </c>
      <c r="N20" s="24">
        <v>45839</v>
      </c>
      <c r="O20" s="13" t="s">
        <v>1346</v>
      </c>
    </row>
    <row r="21" spans="1:15" x14ac:dyDescent="0.25">
      <c r="A21" s="7">
        <v>10051</v>
      </c>
      <c r="B21" s="25">
        <v>8599988776654</v>
      </c>
      <c r="C21" s="26" t="s">
        <v>393</v>
      </c>
      <c r="D21" s="26" t="s">
        <v>133</v>
      </c>
      <c r="E21" s="26" t="s">
        <v>17</v>
      </c>
      <c r="F21" s="8">
        <v>16.8</v>
      </c>
      <c r="G21" s="8">
        <v>1</v>
      </c>
      <c r="H21" s="26" t="s">
        <v>14</v>
      </c>
      <c r="I21" s="26" t="s">
        <v>15</v>
      </c>
      <c r="J21" s="27">
        <v>45840</v>
      </c>
      <c r="K21" s="8">
        <v>0</v>
      </c>
      <c r="L21" s="26">
        <v>16.8</v>
      </c>
      <c r="M21" s="26" t="s">
        <v>15</v>
      </c>
      <c r="N21" s="28">
        <v>45839</v>
      </c>
      <c r="O21" s="14" t="s">
        <v>1346</v>
      </c>
    </row>
    <row r="22" spans="1:15" x14ac:dyDescent="0.25">
      <c r="A22" s="5">
        <v>10052</v>
      </c>
      <c r="B22" s="21">
        <v>4027788990013</v>
      </c>
      <c r="C22" s="22" t="s">
        <v>43</v>
      </c>
      <c r="D22" s="22" t="s">
        <v>21</v>
      </c>
      <c r="E22" s="22" t="s">
        <v>22</v>
      </c>
      <c r="F22" s="6">
        <v>8</v>
      </c>
      <c r="G22" s="6">
        <v>1</v>
      </c>
      <c r="H22" s="22" t="s">
        <v>14</v>
      </c>
      <c r="I22" s="22" t="s">
        <v>15</v>
      </c>
      <c r="J22" s="23">
        <v>45840</v>
      </c>
      <c r="K22" s="6">
        <v>0</v>
      </c>
      <c r="L22" s="22">
        <v>8</v>
      </c>
      <c r="M22" s="22" t="s">
        <v>15</v>
      </c>
      <c r="N22" s="24">
        <v>45839</v>
      </c>
      <c r="O22" s="13" t="s">
        <v>1346</v>
      </c>
    </row>
    <row r="23" spans="1:15" x14ac:dyDescent="0.25">
      <c r="A23" s="7">
        <v>10053</v>
      </c>
      <c r="B23" s="25">
        <v>8599988776654</v>
      </c>
      <c r="C23" s="26" t="s">
        <v>393</v>
      </c>
      <c r="D23" s="26" t="s">
        <v>133</v>
      </c>
      <c r="E23" s="26" t="s">
        <v>17</v>
      </c>
      <c r="F23" s="8">
        <v>16.8</v>
      </c>
      <c r="G23" s="8">
        <v>1</v>
      </c>
      <c r="H23" s="26" t="s">
        <v>14</v>
      </c>
      <c r="I23" s="26" t="s">
        <v>15</v>
      </c>
      <c r="J23" s="27">
        <v>45840</v>
      </c>
      <c r="K23" s="8">
        <v>0</v>
      </c>
      <c r="L23" s="26">
        <v>16.8</v>
      </c>
      <c r="M23" s="26" t="s">
        <v>15</v>
      </c>
      <c r="N23" s="28">
        <v>45839</v>
      </c>
      <c r="O23" s="14" t="s">
        <v>1346</v>
      </c>
    </row>
    <row r="24" spans="1:15" x14ac:dyDescent="0.25">
      <c r="A24" s="5">
        <v>10054</v>
      </c>
      <c r="B24" s="21">
        <v>4013456789017</v>
      </c>
      <c r="C24" s="22" t="s">
        <v>11</v>
      </c>
      <c r="D24" s="22" t="s">
        <v>12</v>
      </c>
      <c r="E24" s="22" t="s">
        <v>13</v>
      </c>
      <c r="F24" s="6">
        <v>6</v>
      </c>
      <c r="G24" s="6">
        <v>2</v>
      </c>
      <c r="H24" s="22" t="s">
        <v>14</v>
      </c>
      <c r="I24" s="22" t="s">
        <v>15</v>
      </c>
      <c r="J24" s="23">
        <v>45840</v>
      </c>
      <c r="K24" s="6">
        <v>0</v>
      </c>
      <c r="L24" s="22">
        <v>12</v>
      </c>
      <c r="M24" s="22" t="s">
        <v>15</v>
      </c>
      <c r="N24" s="24">
        <v>45839</v>
      </c>
      <c r="O24" s="13" t="s">
        <v>1346</v>
      </c>
    </row>
    <row r="25" spans="1:15" x14ac:dyDescent="0.25">
      <c r="A25" s="7">
        <v>10055</v>
      </c>
      <c r="B25" s="25">
        <v>8599988776654</v>
      </c>
      <c r="C25" s="26" t="s">
        <v>393</v>
      </c>
      <c r="D25" s="26" t="s">
        <v>133</v>
      </c>
      <c r="E25" s="26" t="s">
        <v>17</v>
      </c>
      <c r="F25" s="8">
        <v>16.8</v>
      </c>
      <c r="G25" s="8">
        <v>2</v>
      </c>
      <c r="H25" s="26" t="s">
        <v>23</v>
      </c>
      <c r="I25" s="26" t="s">
        <v>400</v>
      </c>
      <c r="J25" s="27">
        <v>45840</v>
      </c>
      <c r="K25" s="8">
        <v>0</v>
      </c>
      <c r="L25" s="26">
        <v>33.6</v>
      </c>
      <c r="M25" s="26">
        <v>5</v>
      </c>
      <c r="N25" s="28">
        <v>45839</v>
      </c>
      <c r="O25" s="14" t="s">
        <v>1346</v>
      </c>
    </row>
    <row r="26" spans="1:15" x14ac:dyDescent="0.25">
      <c r="A26" s="5">
        <v>10056</v>
      </c>
      <c r="B26" s="21">
        <v>4061011223346</v>
      </c>
      <c r="C26" s="22" t="s">
        <v>25</v>
      </c>
      <c r="D26" s="22" t="s">
        <v>26</v>
      </c>
      <c r="E26" s="22" t="s">
        <v>27</v>
      </c>
      <c r="F26" s="6">
        <v>19.600000000000001</v>
      </c>
      <c r="G26" s="6">
        <v>1</v>
      </c>
      <c r="H26" s="22" t="s">
        <v>14</v>
      </c>
      <c r="I26" s="22" t="s">
        <v>15</v>
      </c>
      <c r="J26" s="23">
        <v>45840</v>
      </c>
      <c r="K26" s="6">
        <v>0</v>
      </c>
      <c r="L26" s="22">
        <v>19.600000000000001</v>
      </c>
      <c r="M26" s="22" t="s">
        <v>15</v>
      </c>
      <c r="N26" s="24">
        <v>45839</v>
      </c>
      <c r="O26" s="13" t="s">
        <v>1346</v>
      </c>
    </row>
    <row r="27" spans="1:15" x14ac:dyDescent="0.25">
      <c r="A27" s="7">
        <v>10057</v>
      </c>
      <c r="B27" s="25">
        <v>8599988776654</v>
      </c>
      <c r="C27" s="26" t="s">
        <v>393</v>
      </c>
      <c r="D27" s="26" t="s">
        <v>133</v>
      </c>
      <c r="E27" s="26" t="s">
        <v>17</v>
      </c>
      <c r="F27" s="8">
        <v>16.8</v>
      </c>
      <c r="G27" s="8">
        <v>1</v>
      </c>
      <c r="H27" s="26" t="s">
        <v>14</v>
      </c>
      <c r="I27" s="26" t="s">
        <v>15</v>
      </c>
      <c r="J27" s="27">
        <v>45840</v>
      </c>
      <c r="K27" s="8">
        <v>0</v>
      </c>
      <c r="L27" s="26">
        <v>16.8</v>
      </c>
      <c r="M27" s="26" t="s">
        <v>15</v>
      </c>
      <c r="N27" s="28">
        <v>45839</v>
      </c>
      <c r="O27" s="14" t="s">
        <v>1346</v>
      </c>
    </row>
    <row r="28" spans="1:15" x14ac:dyDescent="0.25">
      <c r="A28" s="5">
        <v>10058</v>
      </c>
      <c r="B28" s="21">
        <v>4010123456783</v>
      </c>
      <c r="C28" s="22" t="s">
        <v>35</v>
      </c>
      <c r="D28" s="22" t="s">
        <v>36</v>
      </c>
      <c r="E28" s="22" t="s">
        <v>37</v>
      </c>
      <c r="F28" s="6">
        <v>14</v>
      </c>
      <c r="G28" s="6">
        <v>1</v>
      </c>
      <c r="H28" s="22" t="s">
        <v>14</v>
      </c>
      <c r="I28" s="22" t="s">
        <v>15</v>
      </c>
      <c r="J28" s="23">
        <v>45840</v>
      </c>
      <c r="K28" s="6">
        <v>0</v>
      </c>
      <c r="L28" s="22">
        <v>14</v>
      </c>
      <c r="M28" s="22" t="s">
        <v>15</v>
      </c>
      <c r="N28" s="24">
        <v>45839</v>
      </c>
      <c r="O28" s="13" t="s">
        <v>1345</v>
      </c>
    </row>
    <row r="29" spans="1:15" x14ac:dyDescent="0.25">
      <c r="A29" s="7">
        <v>10059</v>
      </c>
      <c r="B29" s="25">
        <v>8599988776654</v>
      </c>
      <c r="C29" s="26" t="s">
        <v>393</v>
      </c>
      <c r="D29" s="26" t="s">
        <v>133</v>
      </c>
      <c r="E29" s="26" t="s">
        <v>17</v>
      </c>
      <c r="F29" s="8">
        <v>16.8</v>
      </c>
      <c r="G29" s="8">
        <v>1</v>
      </c>
      <c r="H29" s="26" t="s">
        <v>23</v>
      </c>
      <c r="I29" s="26" t="s">
        <v>401</v>
      </c>
      <c r="J29" s="27">
        <v>45840</v>
      </c>
      <c r="K29" s="8">
        <v>0</v>
      </c>
      <c r="L29" s="26">
        <v>16.8</v>
      </c>
      <c r="M29" s="26">
        <v>5</v>
      </c>
      <c r="N29" s="28">
        <v>45839</v>
      </c>
      <c r="O29" s="14" t="s">
        <v>1346</v>
      </c>
    </row>
    <row r="30" spans="1:15" x14ac:dyDescent="0.25">
      <c r="A30" s="5">
        <v>10060</v>
      </c>
      <c r="B30" s="21">
        <v>4028899001126</v>
      </c>
      <c r="C30" s="22" t="s">
        <v>16</v>
      </c>
      <c r="D30" s="22" t="s">
        <v>12</v>
      </c>
      <c r="E30" s="22" t="s">
        <v>17</v>
      </c>
      <c r="F30" s="6">
        <v>2.8</v>
      </c>
      <c r="G30" s="6">
        <v>3</v>
      </c>
      <c r="H30" s="22" t="s">
        <v>14</v>
      </c>
      <c r="I30" s="22" t="s">
        <v>15</v>
      </c>
      <c r="J30" s="23">
        <v>45840</v>
      </c>
      <c r="K30" s="6">
        <v>0</v>
      </c>
      <c r="L30" s="22">
        <v>8.3999999999999986</v>
      </c>
      <c r="M30" s="22" t="s">
        <v>15</v>
      </c>
      <c r="N30" s="24">
        <v>45839</v>
      </c>
      <c r="O30" s="13" t="s">
        <v>1346</v>
      </c>
    </row>
    <row r="31" spans="1:15" x14ac:dyDescent="0.25">
      <c r="A31" s="7">
        <v>10061</v>
      </c>
      <c r="B31" s="25">
        <v>8599988776654</v>
      </c>
      <c r="C31" s="26" t="s">
        <v>393</v>
      </c>
      <c r="D31" s="26" t="s">
        <v>133</v>
      </c>
      <c r="E31" s="26" t="s">
        <v>17</v>
      </c>
      <c r="F31" s="8">
        <v>16.8</v>
      </c>
      <c r="G31" s="8">
        <v>1</v>
      </c>
      <c r="H31" s="26" t="s">
        <v>14</v>
      </c>
      <c r="I31" s="26" t="s">
        <v>15</v>
      </c>
      <c r="J31" s="27">
        <v>45840</v>
      </c>
      <c r="K31" s="8">
        <v>0</v>
      </c>
      <c r="L31" s="26">
        <v>16.8</v>
      </c>
      <c r="M31" s="26" t="s">
        <v>15</v>
      </c>
      <c r="N31" s="28">
        <v>45839</v>
      </c>
      <c r="O31" s="14" t="s">
        <v>1346</v>
      </c>
    </row>
    <row r="32" spans="1:15" x14ac:dyDescent="0.25">
      <c r="A32" s="5">
        <v>10062</v>
      </c>
      <c r="B32" s="21">
        <v>8599988776654</v>
      </c>
      <c r="C32" s="22" t="s">
        <v>393</v>
      </c>
      <c r="D32" s="22" t="s">
        <v>133</v>
      </c>
      <c r="E32" s="22" t="s">
        <v>17</v>
      </c>
      <c r="F32" s="6">
        <v>16.8</v>
      </c>
      <c r="G32" s="6">
        <v>2</v>
      </c>
      <c r="H32" s="22" t="s">
        <v>18</v>
      </c>
      <c r="I32" s="22" t="s">
        <v>402</v>
      </c>
      <c r="J32" s="23">
        <v>45840</v>
      </c>
      <c r="K32" s="6">
        <v>0</v>
      </c>
      <c r="L32" s="22">
        <v>33.6</v>
      </c>
      <c r="M32" s="22">
        <v>4</v>
      </c>
      <c r="N32" s="24">
        <v>45839</v>
      </c>
      <c r="O32" s="13" t="s">
        <v>1346</v>
      </c>
    </row>
    <row r="33" spans="1:15" x14ac:dyDescent="0.25">
      <c r="A33" s="7">
        <v>10063</v>
      </c>
      <c r="B33" s="25">
        <v>8599988776654</v>
      </c>
      <c r="C33" s="26" t="s">
        <v>393</v>
      </c>
      <c r="D33" s="26" t="s">
        <v>133</v>
      </c>
      <c r="E33" s="26" t="s">
        <v>17</v>
      </c>
      <c r="F33" s="8">
        <v>16.8</v>
      </c>
      <c r="G33" s="8">
        <v>1</v>
      </c>
      <c r="H33" s="26" t="s">
        <v>14</v>
      </c>
      <c r="I33" s="26" t="s">
        <v>15</v>
      </c>
      <c r="J33" s="27">
        <v>45840</v>
      </c>
      <c r="K33" s="8">
        <v>0</v>
      </c>
      <c r="L33" s="26">
        <v>16.8</v>
      </c>
      <c r="M33" s="26" t="s">
        <v>15</v>
      </c>
      <c r="N33" s="28">
        <v>45839</v>
      </c>
      <c r="O33" s="14" t="s">
        <v>1346</v>
      </c>
    </row>
    <row r="34" spans="1:15" x14ac:dyDescent="0.25">
      <c r="A34" s="5">
        <v>10064</v>
      </c>
      <c r="B34" s="21">
        <v>8599988776654</v>
      </c>
      <c r="C34" s="22" t="s">
        <v>393</v>
      </c>
      <c r="D34" s="22" t="s">
        <v>133</v>
      </c>
      <c r="E34" s="22" t="s">
        <v>17</v>
      </c>
      <c r="F34" s="6">
        <v>16.8</v>
      </c>
      <c r="G34" s="6">
        <v>1</v>
      </c>
      <c r="H34" s="22" t="s">
        <v>14</v>
      </c>
      <c r="I34" s="22" t="s">
        <v>15</v>
      </c>
      <c r="J34" s="23">
        <v>45840</v>
      </c>
      <c r="K34" s="6">
        <v>0</v>
      </c>
      <c r="L34" s="22">
        <v>16.8</v>
      </c>
      <c r="M34" s="22" t="s">
        <v>15</v>
      </c>
      <c r="N34" s="24">
        <v>45839</v>
      </c>
      <c r="O34" s="13" t="s">
        <v>1346</v>
      </c>
    </row>
    <row r="35" spans="1:15" x14ac:dyDescent="0.25">
      <c r="A35" s="7">
        <v>10065</v>
      </c>
      <c r="B35" s="25">
        <v>8599988776654</v>
      </c>
      <c r="C35" s="26" t="s">
        <v>393</v>
      </c>
      <c r="D35" s="26" t="s">
        <v>133</v>
      </c>
      <c r="E35" s="26" t="s">
        <v>17</v>
      </c>
      <c r="F35" s="8">
        <v>16.8</v>
      </c>
      <c r="G35" s="8">
        <v>1</v>
      </c>
      <c r="H35" s="26" t="s">
        <v>14</v>
      </c>
      <c r="I35" s="26" t="s">
        <v>15</v>
      </c>
      <c r="J35" s="27">
        <v>45840</v>
      </c>
      <c r="K35" s="8">
        <v>0</v>
      </c>
      <c r="L35" s="26">
        <v>16.8</v>
      </c>
      <c r="M35" s="26" t="s">
        <v>15</v>
      </c>
      <c r="N35" s="28">
        <v>45839</v>
      </c>
      <c r="O35" s="14" t="s">
        <v>1346</v>
      </c>
    </row>
    <row r="36" spans="1:15" x14ac:dyDescent="0.25">
      <c r="A36" s="5">
        <v>10066</v>
      </c>
      <c r="B36" s="21">
        <v>4021234567894</v>
      </c>
      <c r="C36" s="22" t="s">
        <v>79</v>
      </c>
      <c r="D36" s="22" t="s">
        <v>36</v>
      </c>
      <c r="E36" s="22" t="s">
        <v>69</v>
      </c>
      <c r="F36" s="6">
        <v>8</v>
      </c>
      <c r="G36" s="6">
        <v>1</v>
      </c>
      <c r="H36" s="22" t="s">
        <v>14</v>
      </c>
      <c r="I36" s="22" t="s">
        <v>15</v>
      </c>
      <c r="J36" s="23">
        <v>45840</v>
      </c>
      <c r="K36" s="6">
        <v>0</v>
      </c>
      <c r="L36" s="22">
        <v>8</v>
      </c>
      <c r="M36" s="22" t="s">
        <v>15</v>
      </c>
      <c r="N36" s="24">
        <v>45839</v>
      </c>
      <c r="O36" s="13" t="s">
        <v>1345</v>
      </c>
    </row>
    <row r="37" spans="1:15" x14ac:dyDescent="0.25">
      <c r="A37" s="7">
        <v>10067</v>
      </c>
      <c r="B37" s="25">
        <v>8599988776654</v>
      </c>
      <c r="C37" s="26" t="s">
        <v>393</v>
      </c>
      <c r="D37" s="26" t="s">
        <v>133</v>
      </c>
      <c r="E37" s="26" t="s">
        <v>17</v>
      </c>
      <c r="F37" s="8">
        <v>16.8</v>
      </c>
      <c r="G37" s="8">
        <v>1</v>
      </c>
      <c r="H37" s="26" t="s">
        <v>14</v>
      </c>
      <c r="I37" s="26" t="s">
        <v>15</v>
      </c>
      <c r="J37" s="27">
        <v>45840</v>
      </c>
      <c r="K37" s="8">
        <v>0</v>
      </c>
      <c r="L37" s="26">
        <v>16.8</v>
      </c>
      <c r="M37" s="26" t="s">
        <v>15</v>
      </c>
      <c r="N37" s="28">
        <v>45839</v>
      </c>
      <c r="O37" s="14" t="s">
        <v>1346</v>
      </c>
    </row>
    <row r="38" spans="1:15" x14ac:dyDescent="0.25">
      <c r="A38" s="5">
        <v>10068</v>
      </c>
      <c r="B38" s="21">
        <v>4013456789017</v>
      </c>
      <c r="C38" s="22" t="s">
        <v>11</v>
      </c>
      <c r="D38" s="22" t="s">
        <v>12</v>
      </c>
      <c r="E38" s="22" t="s">
        <v>13</v>
      </c>
      <c r="F38" s="6">
        <v>6</v>
      </c>
      <c r="G38" s="6">
        <v>1</v>
      </c>
      <c r="H38" s="22" t="s">
        <v>14</v>
      </c>
      <c r="I38" s="22" t="s">
        <v>15</v>
      </c>
      <c r="J38" s="23">
        <v>45840</v>
      </c>
      <c r="K38" s="6">
        <v>0</v>
      </c>
      <c r="L38" s="22">
        <v>6</v>
      </c>
      <c r="M38" s="22" t="s">
        <v>15</v>
      </c>
      <c r="N38" s="24">
        <v>45839</v>
      </c>
      <c r="O38" s="13" t="s">
        <v>1346</v>
      </c>
    </row>
    <row r="39" spans="1:15" x14ac:dyDescent="0.25">
      <c r="A39" s="7">
        <v>10069</v>
      </c>
      <c r="B39" s="25">
        <v>8599988776654</v>
      </c>
      <c r="C39" s="26" t="s">
        <v>393</v>
      </c>
      <c r="D39" s="26" t="s">
        <v>133</v>
      </c>
      <c r="E39" s="26" t="s">
        <v>17</v>
      </c>
      <c r="F39" s="8">
        <v>16.8</v>
      </c>
      <c r="G39" s="8">
        <v>1</v>
      </c>
      <c r="H39" s="26" t="s">
        <v>23</v>
      </c>
      <c r="I39" s="26" t="s">
        <v>403</v>
      </c>
      <c r="J39" s="27">
        <v>45840</v>
      </c>
      <c r="K39" s="8">
        <v>0</v>
      </c>
      <c r="L39" s="26">
        <v>16.8</v>
      </c>
      <c r="M39" s="26">
        <v>5</v>
      </c>
      <c r="N39" s="28">
        <v>45839</v>
      </c>
      <c r="O39" s="14" t="s">
        <v>1346</v>
      </c>
    </row>
    <row r="40" spans="1:15" x14ac:dyDescent="0.25">
      <c r="A40" s="5">
        <v>10070</v>
      </c>
      <c r="B40" s="21">
        <v>4028899001126</v>
      </c>
      <c r="C40" s="22" t="s">
        <v>16</v>
      </c>
      <c r="D40" s="22" t="s">
        <v>12</v>
      </c>
      <c r="E40" s="22" t="s">
        <v>17</v>
      </c>
      <c r="F40" s="6">
        <v>2.8</v>
      </c>
      <c r="G40" s="6">
        <v>2</v>
      </c>
      <c r="H40" s="22" t="s">
        <v>14</v>
      </c>
      <c r="I40" s="22" t="s">
        <v>15</v>
      </c>
      <c r="J40" s="23">
        <v>45840</v>
      </c>
      <c r="K40" s="6">
        <v>0</v>
      </c>
      <c r="L40" s="22">
        <v>5.6</v>
      </c>
      <c r="M40" s="22" t="s">
        <v>15</v>
      </c>
      <c r="N40" s="24">
        <v>45839</v>
      </c>
      <c r="O40" s="13" t="s">
        <v>1346</v>
      </c>
    </row>
    <row r="41" spans="1:15" x14ac:dyDescent="0.25">
      <c r="A41" s="7">
        <v>10071</v>
      </c>
      <c r="B41" s="25">
        <v>8599988776654</v>
      </c>
      <c r="C41" s="26" t="s">
        <v>393</v>
      </c>
      <c r="D41" s="26" t="s">
        <v>133</v>
      </c>
      <c r="E41" s="26" t="s">
        <v>17</v>
      </c>
      <c r="F41" s="8">
        <v>16.8</v>
      </c>
      <c r="G41" s="8">
        <v>1</v>
      </c>
      <c r="H41" s="26" t="s">
        <v>14</v>
      </c>
      <c r="I41" s="26" t="s">
        <v>15</v>
      </c>
      <c r="J41" s="27">
        <v>45840</v>
      </c>
      <c r="K41" s="8">
        <v>0</v>
      </c>
      <c r="L41" s="26">
        <v>16.8</v>
      </c>
      <c r="M41" s="26" t="s">
        <v>15</v>
      </c>
      <c r="N41" s="28">
        <v>45839</v>
      </c>
      <c r="O41" s="14" t="s">
        <v>1346</v>
      </c>
    </row>
    <row r="42" spans="1:15" x14ac:dyDescent="0.25">
      <c r="A42" s="5">
        <v>10072</v>
      </c>
      <c r="B42" s="21">
        <v>4017890123450</v>
      </c>
      <c r="C42" s="22" t="s">
        <v>65</v>
      </c>
      <c r="D42" s="22" t="s">
        <v>39</v>
      </c>
      <c r="E42" s="22" t="s">
        <v>22</v>
      </c>
      <c r="F42" s="6">
        <v>7.6</v>
      </c>
      <c r="G42" s="6">
        <v>1</v>
      </c>
      <c r="H42" s="22" t="s">
        <v>14</v>
      </c>
      <c r="I42" s="22" t="s">
        <v>15</v>
      </c>
      <c r="J42" s="23">
        <v>45841</v>
      </c>
      <c r="K42" s="6">
        <v>0</v>
      </c>
      <c r="L42" s="22">
        <v>7.6</v>
      </c>
      <c r="M42" s="22" t="s">
        <v>15</v>
      </c>
      <c r="N42" s="24">
        <v>45839</v>
      </c>
      <c r="O42" s="13" t="s">
        <v>1346</v>
      </c>
    </row>
    <row r="43" spans="1:15" x14ac:dyDescent="0.25">
      <c r="A43" s="7">
        <v>10073</v>
      </c>
      <c r="B43" s="25">
        <v>8599988776654</v>
      </c>
      <c r="C43" s="26" t="s">
        <v>393</v>
      </c>
      <c r="D43" s="26" t="s">
        <v>133</v>
      </c>
      <c r="E43" s="26" t="s">
        <v>17</v>
      </c>
      <c r="F43" s="8">
        <v>16.8</v>
      </c>
      <c r="G43" s="8">
        <v>1</v>
      </c>
      <c r="H43" s="26" t="s">
        <v>14</v>
      </c>
      <c r="I43" s="26" t="s">
        <v>15</v>
      </c>
      <c r="J43" s="27">
        <v>45841</v>
      </c>
      <c r="K43" s="8">
        <v>0</v>
      </c>
      <c r="L43" s="26">
        <v>16.8</v>
      </c>
      <c r="M43" s="26" t="s">
        <v>15</v>
      </c>
      <c r="N43" s="28">
        <v>45839</v>
      </c>
      <c r="O43" s="14" t="s">
        <v>1346</v>
      </c>
    </row>
    <row r="44" spans="1:15" x14ac:dyDescent="0.25">
      <c r="A44" s="5">
        <v>10074</v>
      </c>
      <c r="B44" s="21">
        <v>4010123456783</v>
      </c>
      <c r="C44" s="22" t="s">
        <v>35</v>
      </c>
      <c r="D44" s="22" t="s">
        <v>36</v>
      </c>
      <c r="E44" s="22" t="s">
        <v>37</v>
      </c>
      <c r="F44" s="6">
        <v>14</v>
      </c>
      <c r="G44" s="6">
        <v>2</v>
      </c>
      <c r="H44" s="22" t="s">
        <v>14</v>
      </c>
      <c r="I44" s="22" t="s">
        <v>15</v>
      </c>
      <c r="J44" s="23">
        <v>45841</v>
      </c>
      <c r="K44" s="6">
        <v>0</v>
      </c>
      <c r="L44" s="22">
        <v>28</v>
      </c>
      <c r="M44" s="22" t="s">
        <v>15</v>
      </c>
      <c r="N44" s="24">
        <v>45839</v>
      </c>
      <c r="O44" s="13" t="s">
        <v>1345</v>
      </c>
    </row>
    <row r="45" spans="1:15" x14ac:dyDescent="0.25">
      <c r="A45" s="7">
        <v>10075</v>
      </c>
      <c r="B45" s="25">
        <v>8599988776654</v>
      </c>
      <c r="C45" s="26" t="s">
        <v>393</v>
      </c>
      <c r="D45" s="26" t="s">
        <v>133</v>
      </c>
      <c r="E45" s="26" t="s">
        <v>17</v>
      </c>
      <c r="F45" s="8">
        <v>16.8</v>
      </c>
      <c r="G45" s="8">
        <v>2</v>
      </c>
      <c r="H45" s="26" t="s">
        <v>14</v>
      </c>
      <c r="I45" s="26" t="s">
        <v>15</v>
      </c>
      <c r="J45" s="27">
        <v>45841</v>
      </c>
      <c r="K45" s="8">
        <v>0</v>
      </c>
      <c r="L45" s="26">
        <v>33.6</v>
      </c>
      <c r="M45" s="26" t="s">
        <v>15</v>
      </c>
      <c r="N45" s="28">
        <v>45839</v>
      </c>
      <c r="O45" s="14" t="s">
        <v>1346</v>
      </c>
    </row>
    <row r="46" spans="1:15" x14ac:dyDescent="0.25">
      <c r="A46" s="5">
        <v>10076</v>
      </c>
      <c r="B46" s="21">
        <v>4063456789014</v>
      </c>
      <c r="C46" s="22" t="s">
        <v>60</v>
      </c>
      <c r="D46" s="22" t="s">
        <v>12</v>
      </c>
      <c r="E46" s="22" t="s">
        <v>61</v>
      </c>
      <c r="F46" s="6">
        <v>36</v>
      </c>
      <c r="G46" s="6">
        <v>1</v>
      </c>
      <c r="H46" s="22" t="s">
        <v>14</v>
      </c>
      <c r="I46" s="22" t="s">
        <v>15</v>
      </c>
      <c r="J46" s="23">
        <v>45841</v>
      </c>
      <c r="K46" s="6">
        <v>0</v>
      </c>
      <c r="L46" s="22">
        <v>36</v>
      </c>
      <c r="M46" s="22" t="s">
        <v>15</v>
      </c>
      <c r="N46" s="24">
        <v>45839</v>
      </c>
      <c r="O46" s="13" t="s">
        <v>1346</v>
      </c>
    </row>
    <row r="47" spans="1:15" x14ac:dyDescent="0.25">
      <c r="A47" s="7">
        <v>10077</v>
      </c>
      <c r="B47" s="25">
        <v>8599988776654</v>
      </c>
      <c r="C47" s="26" t="s">
        <v>393</v>
      </c>
      <c r="D47" s="26" t="s">
        <v>133</v>
      </c>
      <c r="E47" s="26" t="s">
        <v>17</v>
      </c>
      <c r="F47" s="8">
        <v>16.8</v>
      </c>
      <c r="G47" s="8">
        <v>1</v>
      </c>
      <c r="H47" s="26" t="s">
        <v>14</v>
      </c>
      <c r="I47" s="26" t="s">
        <v>15</v>
      </c>
      <c r="J47" s="27">
        <v>45841</v>
      </c>
      <c r="K47" s="8">
        <v>0</v>
      </c>
      <c r="L47" s="26">
        <v>16.8</v>
      </c>
      <c r="M47" s="26" t="s">
        <v>15</v>
      </c>
      <c r="N47" s="28">
        <v>45839</v>
      </c>
      <c r="O47" s="14" t="s">
        <v>1346</v>
      </c>
    </row>
    <row r="48" spans="1:15" x14ac:dyDescent="0.25">
      <c r="A48" s="5">
        <v>10078</v>
      </c>
      <c r="B48" s="21">
        <v>4056789012345</v>
      </c>
      <c r="C48" s="22" t="s">
        <v>47</v>
      </c>
      <c r="D48" s="22" t="s">
        <v>29</v>
      </c>
      <c r="E48" s="22" t="s">
        <v>37</v>
      </c>
      <c r="F48" s="6">
        <v>2.4</v>
      </c>
      <c r="G48" s="6">
        <v>3</v>
      </c>
      <c r="H48" s="22" t="s">
        <v>14</v>
      </c>
      <c r="I48" s="22" t="s">
        <v>15</v>
      </c>
      <c r="J48" s="23">
        <v>45841</v>
      </c>
      <c r="K48" s="6">
        <v>0</v>
      </c>
      <c r="L48" s="22">
        <v>7.1999999999999993</v>
      </c>
      <c r="M48" s="22" t="s">
        <v>15</v>
      </c>
      <c r="N48" s="24">
        <v>45839</v>
      </c>
      <c r="O48" s="13" t="s">
        <v>1345</v>
      </c>
    </row>
    <row r="49" spans="1:15" x14ac:dyDescent="0.25">
      <c r="A49" s="7">
        <v>10079</v>
      </c>
      <c r="B49" s="25">
        <v>8599988776654</v>
      </c>
      <c r="C49" s="26" t="s">
        <v>393</v>
      </c>
      <c r="D49" s="26" t="s">
        <v>133</v>
      </c>
      <c r="E49" s="26" t="s">
        <v>17</v>
      </c>
      <c r="F49" s="8">
        <v>16.8</v>
      </c>
      <c r="G49" s="8">
        <v>1</v>
      </c>
      <c r="H49" s="26" t="s">
        <v>18</v>
      </c>
      <c r="I49" s="26" t="s">
        <v>404</v>
      </c>
      <c r="J49" s="27">
        <v>45841</v>
      </c>
      <c r="K49" s="8">
        <v>0</v>
      </c>
      <c r="L49" s="26">
        <v>16.8</v>
      </c>
      <c r="M49" s="26">
        <v>4</v>
      </c>
      <c r="N49" s="28">
        <v>45839</v>
      </c>
      <c r="O49" s="14" t="s">
        <v>1346</v>
      </c>
    </row>
    <row r="50" spans="1:15" x14ac:dyDescent="0.25">
      <c r="A50" s="5">
        <v>10080</v>
      </c>
      <c r="B50" s="21">
        <v>4028899001126</v>
      </c>
      <c r="C50" s="22" t="s">
        <v>16</v>
      </c>
      <c r="D50" s="22" t="s">
        <v>12</v>
      </c>
      <c r="E50" s="22" t="s">
        <v>17</v>
      </c>
      <c r="F50" s="6">
        <v>2.8</v>
      </c>
      <c r="G50" s="6">
        <v>3</v>
      </c>
      <c r="H50" s="22" t="s">
        <v>14</v>
      </c>
      <c r="I50" s="22" t="s">
        <v>15</v>
      </c>
      <c r="J50" s="23">
        <v>45841</v>
      </c>
      <c r="K50" s="6">
        <v>0</v>
      </c>
      <c r="L50" s="22">
        <v>8.3999999999999986</v>
      </c>
      <c r="M50" s="22" t="s">
        <v>15</v>
      </c>
      <c r="N50" s="24">
        <v>45839</v>
      </c>
      <c r="O50" s="13" t="s">
        <v>1346</v>
      </c>
    </row>
    <row r="51" spans="1:15" x14ac:dyDescent="0.25">
      <c r="A51" s="7">
        <v>10081</v>
      </c>
      <c r="B51" s="25">
        <v>8599988776654</v>
      </c>
      <c r="C51" s="26" t="s">
        <v>393</v>
      </c>
      <c r="D51" s="26" t="s">
        <v>133</v>
      </c>
      <c r="E51" s="26" t="s">
        <v>17</v>
      </c>
      <c r="F51" s="8">
        <v>16.8</v>
      </c>
      <c r="G51" s="8">
        <v>2</v>
      </c>
      <c r="H51" s="26" t="s">
        <v>14</v>
      </c>
      <c r="I51" s="26" t="s">
        <v>15</v>
      </c>
      <c r="J51" s="27">
        <v>45841</v>
      </c>
      <c r="K51" s="8">
        <v>0</v>
      </c>
      <c r="L51" s="26">
        <v>33.6</v>
      </c>
      <c r="M51" s="26" t="s">
        <v>15</v>
      </c>
      <c r="N51" s="28">
        <v>45839</v>
      </c>
      <c r="O51" s="14" t="s">
        <v>1346</v>
      </c>
    </row>
    <row r="52" spans="1:15" x14ac:dyDescent="0.25">
      <c r="A52" s="5">
        <v>10082</v>
      </c>
      <c r="B52" s="21">
        <v>8599988776654</v>
      </c>
      <c r="C52" s="22" t="s">
        <v>393</v>
      </c>
      <c r="D52" s="22" t="s">
        <v>133</v>
      </c>
      <c r="E52" s="22" t="s">
        <v>17</v>
      </c>
      <c r="F52" s="6">
        <v>16.8</v>
      </c>
      <c r="G52" s="6">
        <v>1</v>
      </c>
      <c r="H52" s="22" t="s">
        <v>23</v>
      </c>
      <c r="I52" s="22" t="s">
        <v>405</v>
      </c>
      <c r="J52" s="23">
        <v>45841</v>
      </c>
      <c r="K52" s="6">
        <v>0</v>
      </c>
      <c r="L52" s="22">
        <v>16.8</v>
      </c>
      <c r="M52" s="22">
        <v>5</v>
      </c>
      <c r="N52" s="24">
        <v>45839</v>
      </c>
      <c r="O52" s="13" t="s">
        <v>1346</v>
      </c>
    </row>
    <row r="53" spans="1:15" x14ac:dyDescent="0.25">
      <c r="A53" s="7">
        <v>10083</v>
      </c>
      <c r="B53" s="25">
        <v>4013456789017</v>
      </c>
      <c r="C53" s="26" t="s">
        <v>11</v>
      </c>
      <c r="D53" s="26" t="s">
        <v>12</v>
      </c>
      <c r="E53" s="26" t="s">
        <v>13</v>
      </c>
      <c r="F53" s="8">
        <v>6</v>
      </c>
      <c r="G53" s="8">
        <v>1</v>
      </c>
      <c r="H53" s="26" t="s">
        <v>14</v>
      </c>
      <c r="I53" s="26" t="s">
        <v>15</v>
      </c>
      <c r="J53" s="27">
        <v>45841</v>
      </c>
      <c r="K53" s="8">
        <v>0</v>
      </c>
      <c r="L53" s="26">
        <v>6</v>
      </c>
      <c r="M53" s="26" t="s">
        <v>15</v>
      </c>
      <c r="N53" s="28">
        <v>45839</v>
      </c>
      <c r="O53" s="14" t="s">
        <v>1346</v>
      </c>
    </row>
    <row r="54" spans="1:15" x14ac:dyDescent="0.25">
      <c r="A54" s="5">
        <v>10084</v>
      </c>
      <c r="B54" s="21">
        <v>8599988776654</v>
      </c>
      <c r="C54" s="22" t="s">
        <v>393</v>
      </c>
      <c r="D54" s="22" t="s">
        <v>133</v>
      </c>
      <c r="E54" s="22" t="s">
        <v>17</v>
      </c>
      <c r="F54" s="6">
        <v>16.8</v>
      </c>
      <c r="G54" s="6">
        <v>1</v>
      </c>
      <c r="H54" s="22" t="s">
        <v>14</v>
      </c>
      <c r="I54" s="22" t="s">
        <v>15</v>
      </c>
      <c r="J54" s="23">
        <v>45841</v>
      </c>
      <c r="K54" s="6">
        <v>0</v>
      </c>
      <c r="L54" s="22">
        <v>16.8</v>
      </c>
      <c r="M54" s="22" t="s">
        <v>15</v>
      </c>
      <c r="N54" s="24">
        <v>45839</v>
      </c>
      <c r="O54" s="13" t="s">
        <v>1346</v>
      </c>
    </row>
    <row r="55" spans="1:15" x14ac:dyDescent="0.25">
      <c r="A55" s="7">
        <v>10085</v>
      </c>
      <c r="B55" s="25">
        <v>4028899001126</v>
      </c>
      <c r="C55" s="26" t="s">
        <v>16</v>
      </c>
      <c r="D55" s="26" t="s">
        <v>12</v>
      </c>
      <c r="E55" s="26" t="s">
        <v>17</v>
      </c>
      <c r="F55" s="8">
        <v>2.8</v>
      </c>
      <c r="G55" s="8">
        <v>4</v>
      </c>
      <c r="H55" s="26" t="s">
        <v>14</v>
      </c>
      <c r="I55" s="26" t="s">
        <v>15</v>
      </c>
      <c r="J55" s="27">
        <v>45841</v>
      </c>
      <c r="K55" s="8">
        <v>0</v>
      </c>
      <c r="L55" s="26">
        <v>11.2</v>
      </c>
      <c r="M55" s="26" t="s">
        <v>15</v>
      </c>
      <c r="N55" s="28">
        <v>45839</v>
      </c>
      <c r="O55" s="14" t="s">
        <v>1346</v>
      </c>
    </row>
    <row r="56" spans="1:15" x14ac:dyDescent="0.25">
      <c r="A56" s="5">
        <v>10086</v>
      </c>
      <c r="B56" s="21">
        <v>8599988776654</v>
      </c>
      <c r="C56" s="22" t="s">
        <v>393</v>
      </c>
      <c r="D56" s="22" t="s">
        <v>133</v>
      </c>
      <c r="E56" s="22" t="s">
        <v>17</v>
      </c>
      <c r="F56" s="6">
        <v>16.8</v>
      </c>
      <c r="G56" s="6">
        <v>1</v>
      </c>
      <c r="H56" s="22" t="s">
        <v>14</v>
      </c>
      <c r="I56" s="22" t="s">
        <v>15</v>
      </c>
      <c r="J56" s="23">
        <v>45841</v>
      </c>
      <c r="K56" s="6">
        <v>0</v>
      </c>
      <c r="L56" s="22">
        <v>16.8</v>
      </c>
      <c r="M56" s="22" t="s">
        <v>15</v>
      </c>
      <c r="N56" s="24">
        <v>45839</v>
      </c>
      <c r="O56" s="13" t="s">
        <v>1346</v>
      </c>
    </row>
    <row r="57" spans="1:15" x14ac:dyDescent="0.25">
      <c r="A57" s="7">
        <v>10087</v>
      </c>
      <c r="B57" s="25">
        <v>4010123456783</v>
      </c>
      <c r="C57" s="26" t="s">
        <v>35</v>
      </c>
      <c r="D57" s="26" t="s">
        <v>36</v>
      </c>
      <c r="E57" s="26" t="s">
        <v>37</v>
      </c>
      <c r="F57" s="8">
        <v>14</v>
      </c>
      <c r="G57" s="8">
        <v>1</v>
      </c>
      <c r="H57" s="26" t="s">
        <v>14</v>
      </c>
      <c r="I57" s="26" t="s">
        <v>15</v>
      </c>
      <c r="J57" s="27">
        <v>45841</v>
      </c>
      <c r="K57" s="8">
        <v>0</v>
      </c>
      <c r="L57" s="26">
        <v>14</v>
      </c>
      <c r="M57" s="26" t="s">
        <v>15</v>
      </c>
      <c r="N57" s="28">
        <v>45839</v>
      </c>
      <c r="O57" s="14" t="s">
        <v>1345</v>
      </c>
    </row>
    <row r="58" spans="1:15" x14ac:dyDescent="0.25">
      <c r="A58" s="5">
        <v>10088</v>
      </c>
      <c r="B58" s="21">
        <v>8599988776654</v>
      </c>
      <c r="C58" s="22" t="s">
        <v>393</v>
      </c>
      <c r="D58" s="22" t="s">
        <v>133</v>
      </c>
      <c r="E58" s="22" t="s">
        <v>17</v>
      </c>
      <c r="F58" s="6">
        <v>16.8</v>
      </c>
      <c r="G58" s="6">
        <v>2</v>
      </c>
      <c r="H58" s="22" t="s">
        <v>23</v>
      </c>
      <c r="I58" s="22" t="s">
        <v>406</v>
      </c>
      <c r="J58" s="23">
        <v>45841</v>
      </c>
      <c r="K58" s="6">
        <v>0</v>
      </c>
      <c r="L58" s="22">
        <v>33.6</v>
      </c>
      <c r="M58" s="22">
        <v>5</v>
      </c>
      <c r="N58" s="24">
        <v>45839</v>
      </c>
      <c r="O58" s="13" t="s">
        <v>1346</v>
      </c>
    </row>
    <row r="59" spans="1:15" x14ac:dyDescent="0.25">
      <c r="A59" s="7">
        <v>10089</v>
      </c>
      <c r="B59" s="25">
        <v>4056789012345</v>
      </c>
      <c r="C59" s="26" t="s">
        <v>47</v>
      </c>
      <c r="D59" s="26" t="s">
        <v>29</v>
      </c>
      <c r="E59" s="26" t="s">
        <v>37</v>
      </c>
      <c r="F59" s="8">
        <v>2.4</v>
      </c>
      <c r="G59" s="8">
        <v>2</v>
      </c>
      <c r="H59" s="26" t="s">
        <v>14</v>
      </c>
      <c r="I59" s="26" t="s">
        <v>15</v>
      </c>
      <c r="J59" s="27">
        <v>45841</v>
      </c>
      <c r="K59" s="8">
        <v>0</v>
      </c>
      <c r="L59" s="26">
        <v>4.8</v>
      </c>
      <c r="M59" s="26" t="s">
        <v>15</v>
      </c>
      <c r="N59" s="28">
        <v>45839</v>
      </c>
      <c r="O59" s="14" t="s">
        <v>1345</v>
      </c>
    </row>
    <row r="60" spans="1:15" x14ac:dyDescent="0.25">
      <c r="A60" s="5">
        <v>10090</v>
      </c>
      <c r="B60" s="21">
        <v>8599988776654</v>
      </c>
      <c r="C60" s="22" t="s">
        <v>393</v>
      </c>
      <c r="D60" s="22" t="s">
        <v>133</v>
      </c>
      <c r="E60" s="22" t="s">
        <v>17</v>
      </c>
      <c r="F60" s="6">
        <v>16.8</v>
      </c>
      <c r="G60" s="6">
        <v>1</v>
      </c>
      <c r="H60" s="22" t="s">
        <v>14</v>
      </c>
      <c r="I60" s="22" t="s">
        <v>15</v>
      </c>
      <c r="J60" s="23">
        <v>45841</v>
      </c>
      <c r="K60" s="6">
        <v>0</v>
      </c>
      <c r="L60" s="22">
        <v>16.8</v>
      </c>
      <c r="M60" s="22" t="s">
        <v>15</v>
      </c>
      <c r="N60" s="24">
        <v>45839</v>
      </c>
      <c r="O60" s="13" t="s">
        <v>1346</v>
      </c>
    </row>
    <row r="61" spans="1:15" x14ac:dyDescent="0.25">
      <c r="A61" s="7">
        <v>10091</v>
      </c>
      <c r="B61" s="25">
        <v>4021234567894</v>
      </c>
      <c r="C61" s="26" t="s">
        <v>79</v>
      </c>
      <c r="D61" s="26" t="s">
        <v>36</v>
      </c>
      <c r="E61" s="26" t="s">
        <v>69</v>
      </c>
      <c r="F61" s="8">
        <v>8</v>
      </c>
      <c r="G61" s="8">
        <v>1</v>
      </c>
      <c r="H61" s="26" t="s">
        <v>14</v>
      </c>
      <c r="I61" s="26" t="s">
        <v>15</v>
      </c>
      <c r="J61" s="27">
        <v>45841</v>
      </c>
      <c r="K61" s="8">
        <v>0</v>
      </c>
      <c r="L61" s="26">
        <v>8</v>
      </c>
      <c r="M61" s="26" t="s">
        <v>15</v>
      </c>
      <c r="N61" s="28">
        <v>45839</v>
      </c>
      <c r="O61" s="14" t="s">
        <v>1345</v>
      </c>
    </row>
    <row r="62" spans="1:15" x14ac:dyDescent="0.25">
      <c r="A62" s="5">
        <v>10092</v>
      </c>
      <c r="B62" s="21">
        <v>8599988776654</v>
      </c>
      <c r="C62" s="22" t="s">
        <v>393</v>
      </c>
      <c r="D62" s="22" t="s">
        <v>133</v>
      </c>
      <c r="E62" s="22" t="s">
        <v>17</v>
      </c>
      <c r="F62" s="6">
        <v>16.8</v>
      </c>
      <c r="G62" s="6">
        <v>1</v>
      </c>
      <c r="H62" s="22" t="s">
        <v>14</v>
      </c>
      <c r="I62" s="22" t="s">
        <v>15</v>
      </c>
      <c r="J62" s="23">
        <v>45841</v>
      </c>
      <c r="K62" s="6">
        <v>0</v>
      </c>
      <c r="L62" s="22">
        <v>16.8</v>
      </c>
      <c r="M62" s="22" t="s">
        <v>15</v>
      </c>
      <c r="N62" s="24">
        <v>45839</v>
      </c>
      <c r="O62" s="13" t="s">
        <v>1346</v>
      </c>
    </row>
    <row r="63" spans="1:15" x14ac:dyDescent="0.25">
      <c r="A63" s="7">
        <v>10093</v>
      </c>
      <c r="B63" s="25">
        <v>4063456789014</v>
      </c>
      <c r="C63" s="26" t="s">
        <v>60</v>
      </c>
      <c r="D63" s="26" t="s">
        <v>12</v>
      </c>
      <c r="E63" s="26" t="s">
        <v>61</v>
      </c>
      <c r="F63" s="8">
        <v>36</v>
      </c>
      <c r="G63" s="8">
        <v>1</v>
      </c>
      <c r="H63" s="26" t="s">
        <v>14</v>
      </c>
      <c r="I63" s="26" t="s">
        <v>15</v>
      </c>
      <c r="J63" s="27">
        <v>45841</v>
      </c>
      <c r="K63" s="8">
        <v>0</v>
      </c>
      <c r="L63" s="26">
        <v>36</v>
      </c>
      <c r="M63" s="26" t="s">
        <v>15</v>
      </c>
      <c r="N63" s="28">
        <v>45839</v>
      </c>
      <c r="O63" s="14" t="s">
        <v>1346</v>
      </c>
    </row>
    <row r="64" spans="1:15" x14ac:dyDescent="0.25">
      <c r="A64" s="5">
        <v>10094</v>
      </c>
      <c r="B64" s="21">
        <v>8599988776654</v>
      </c>
      <c r="C64" s="22" t="s">
        <v>393</v>
      </c>
      <c r="D64" s="22" t="s">
        <v>133</v>
      </c>
      <c r="E64" s="22" t="s">
        <v>17</v>
      </c>
      <c r="F64" s="6">
        <v>16.8</v>
      </c>
      <c r="G64" s="6">
        <v>2</v>
      </c>
      <c r="H64" s="22" t="s">
        <v>18</v>
      </c>
      <c r="I64" s="22" t="s">
        <v>407</v>
      </c>
      <c r="J64" s="23">
        <v>45842</v>
      </c>
      <c r="K64" s="6">
        <v>0</v>
      </c>
      <c r="L64" s="22">
        <v>33.6</v>
      </c>
      <c r="M64" s="22">
        <v>4</v>
      </c>
      <c r="N64" s="24">
        <v>45839</v>
      </c>
      <c r="O64" s="13" t="s">
        <v>1346</v>
      </c>
    </row>
    <row r="65" spans="1:15" x14ac:dyDescent="0.25">
      <c r="A65" s="7">
        <v>10095</v>
      </c>
      <c r="B65" s="25">
        <v>4017890123450</v>
      </c>
      <c r="C65" s="26" t="s">
        <v>65</v>
      </c>
      <c r="D65" s="26" t="s">
        <v>39</v>
      </c>
      <c r="E65" s="26" t="s">
        <v>22</v>
      </c>
      <c r="F65" s="8">
        <v>7.6</v>
      </c>
      <c r="G65" s="8">
        <v>1</v>
      </c>
      <c r="H65" s="26" t="s">
        <v>14</v>
      </c>
      <c r="I65" s="26" t="s">
        <v>15</v>
      </c>
      <c r="J65" s="27">
        <v>45842</v>
      </c>
      <c r="K65" s="8">
        <v>0</v>
      </c>
      <c r="L65" s="26">
        <v>7.6</v>
      </c>
      <c r="M65" s="26" t="s">
        <v>15</v>
      </c>
      <c r="N65" s="28">
        <v>45839</v>
      </c>
      <c r="O65" s="14" t="s">
        <v>1346</v>
      </c>
    </row>
    <row r="66" spans="1:15" x14ac:dyDescent="0.25">
      <c r="A66" s="5">
        <v>10096</v>
      </c>
      <c r="B66" s="21">
        <v>8599988776654</v>
      </c>
      <c r="C66" s="22" t="s">
        <v>393</v>
      </c>
      <c r="D66" s="22" t="s">
        <v>133</v>
      </c>
      <c r="E66" s="22" t="s">
        <v>17</v>
      </c>
      <c r="F66" s="6">
        <v>16.8</v>
      </c>
      <c r="G66" s="6">
        <v>1</v>
      </c>
      <c r="H66" s="22" t="s">
        <v>14</v>
      </c>
      <c r="I66" s="22" t="s">
        <v>15</v>
      </c>
      <c r="J66" s="23">
        <v>45842</v>
      </c>
      <c r="K66" s="6">
        <v>0</v>
      </c>
      <c r="L66" s="22">
        <v>16.8</v>
      </c>
      <c r="M66" s="22" t="s">
        <v>15</v>
      </c>
      <c r="N66" s="24">
        <v>45839</v>
      </c>
      <c r="O66" s="13" t="s">
        <v>1346</v>
      </c>
    </row>
    <row r="67" spans="1:15" x14ac:dyDescent="0.25">
      <c r="A67" s="7">
        <v>10097</v>
      </c>
      <c r="B67" s="25">
        <v>4013456789017</v>
      </c>
      <c r="C67" s="26" t="s">
        <v>11</v>
      </c>
      <c r="D67" s="26" t="s">
        <v>12</v>
      </c>
      <c r="E67" s="26" t="s">
        <v>13</v>
      </c>
      <c r="F67" s="8">
        <v>6</v>
      </c>
      <c r="G67" s="8">
        <v>2</v>
      </c>
      <c r="H67" s="26" t="s">
        <v>14</v>
      </c>
      <c r="I67" s="26" t="s">
        <v>15</v>
      </c>
      <c r="J67" s="27">
        <v>45842</v>
      </c>
      <c r="K67" s="8">
        <v>0</v>
      </c>
      <c r="L67" s="26">
        <v>12</v>
      </c>
      <c r="M67" s="26" t="s">
        <v>15</v>
      </c>
      <c r="N67" s="28">
        <v>45839</v>
      </c>
      <c r="O67" s="14" t="s">
        <v>1346</v>
      </c>
    </row>
    <row r="68" spans="1:15" x14ac:dyDescent="0.25">
      <c r="A68" s="5">
        <v>10098</v>
      </c>
      <c r="B68" s="21">
        <v>8599988776654</v>
      </c>
      <c r="C68" s="22" t="s">
        <v>393</v>
      </c>
      <c r="D68" s="22" t="s">
        <v>133</v>
      </c>
      <c r="E68" s="22" t="s">
        <v>17</v>
      </c>
      <c r="F68" s="6">
        <v>16.8</v>
      </c>
      <c r="G68" s="6">
        <v>1</v>
      </c>
      <c r="H68" s="22" t="s">
        <v>23</v>
      </c>
      <c r="I68" s="22" t="s">
        <v>408</v>
      </c>
      <c r="J68" s="23">
        <v>45842</v>
      </c>
      <c r="K68" s="6">
        <v>0</v>
      </c>
      <c r="L68" s="22">
        <v>16.8</v>
      </c>
      <c r="M68" s="22">
        <v>5</v>
      </c>
      <c r="N68" s="24">
        <v>45839</v>
      </c>
      <c r="O68" s="13" t="s">
        <v>1346</v>
      </c>
    </row>
    <row r="69" spans="1:15" x14ac:dyDescent="0.25">
      <c r="A69" s="7">
        <v>10099</v>
      </c>
      <c r="B69" s="25">
        <v>4028899001126</v>
      </c>
      <c r="C69" s="26" t="s">
        <v>16</v>
      </c>
      <c r="D69" s="26" t="s">
        <v>12</v>
      </c>
      <c r="E69" s="26" t="s">
        <v>17</v>
      </c>
      <c r="F69" s="8">
        <v>2.8</v>
      </c>
      <c r="G69" s="8">
        <v>3</v>
      </c>
      <c r="H69" s="26" t="s">
        <v>14</v>
      </c>
      <c r="I69" s="26" t="s">
        <v>15</v>
      </c>
      <c r="J69" s="27">
        <v>45842</v>
      </c>
      <c r="K69" s="8">
        <v>0</v>
      </c>
      <c r="L69" s="26">
        <v>8.3999999999999986</v>
      </c>
      <c r="M69" s="26" t="s">
        <v>15</v>
      </c>
      <c r="N69" s="28">
        <v>45839</v>
      </c>
      <c r="O69" s="14" t="s">
        <v>1346</v>
      </c>
    </row>
    <row r="70" spans="1:15" x14ac:dyDescent="0.25">
      <c r="A70" s="5">
        <v>10100</v>
      </c>
      <c r="B70" s="21">
        <v>8599988776654</v>
      </c>
      <c r="C70" s="22" t="s">
        <v>393</v>
      </c>
      <c r="D70" s="22" t="s">
        <v>133</v>
      </c>
      <c r="E70" s="22" t="s">
        <v>17</v>
      </c>
      <c r="F70" s="6">
        <v>16.8</v>
      </c>
      <c r="G70" s="6">
        <v>1</v>
      </c>
      <c r="H70" s="22" t="s">
        <v>14</v>
      </c>
      <c r="I70" s="22" t="s">
        <v>15</v>
      </c>
      <c r="J70" s="23">
        <v>45842</v>
      </c>
      <c r="K70" s="6">
        <v>0</v>
      </c>
      <c r="L70" s="22">
        <v>16.8</v>
      </c>
      <c r="M70" s="22" t="s">
        <v>15</v>
      </c>
      <c r="N70" s="24">
        <v>45839</v>
      </c>
      <c r="O70" s="13" t="s">
        <v>1346</v>
      </c>
    </row>
    <row r="71" spans="1:15" x14ac:dyDescent="0.25">
      <c r="A71" s="7">
        <v>10101</v>
      </c>
      <c r="B71" s="25">
        <v>4056789012345</v>
      </c>
      <c r="C71" s="26" t="s">
        <v>47</v>
      </c>
      <c r="D71" s="26" t="s">
        <v>29</v>
      </c>
      <c r="E71" s="26" t="s">
        <v>37</v>
      </c>
      <c r="F71" s="8">
        <v>2.4</v>
      </c>
      <c r="G71" s="8">
        <v>2</v>
      </c>
      <c r="H71" s="26" t="s">
        <v>14</v>
      </c>
      <c r="I71" s="26" t="s">
        <v>15</v>
      </c>
      <c r="J71" s="27">
        <v>45842</v>
      </c>
      <c r="K71" s="8">
        <v>0</v>
      </c>
      <c r="L71" s="26">
        <v>4.8</v>
      </c>
      <c r="M71" s="26" t="s">
        <v>15</v>
      </c>
      <c r="N71" s="28">
        <v>45839</v>
      </c>
      <c r="O71" s="14" t="s">
        <v>1345</v>
      </c>
    </row>
    <row r="72" spans="1:15" x14ac:dyDescent="0.25">
      <c r="A72" s="5">
        <v>10102</v>
      </c>
      <c r="B72" s="21">
        <v>8599988776654</v>
      </c>
      <c r="C72" s="22" t="s">
        <v>393</v>
      </c>
      <c r="D72" s="22" t="s">
        <v>133</v>
      </c>
      <c r="E72" s="22" t="s">
        <v>17</v>
      </c>
      <c r="F72" s="6">
        <v>16.8</v>
      </c>
      <c r="G72" s="6">
        <v>1</v>
      </c>
      <c r="H72" s="22" t="s">
        <v>14</v>
      </c>
      <c r="I72" s="22" t="s">
        <v>15</v>
      </c>
      <c r="J72" s="23">
        <v>45842</v>
      </c>
      <c r="K72" s="6">
        <v>0</v>
      </c>
      <c r="L72" s="22">
        <v>16.8</v>
      </c>
      <c r="M72" s="22" t="s">
        <v>15</v>
      </c>
      <c r="N72" s="24">
        <v>45839</v>
      </c>
      <c r="O72" s="13" t="s">
        <v>1346</v>
      </c>
    </row>
    <row r="73" spans="1:15" x14ac:dyDescent="0.25">
      <c r="A73" s="7">
        <v>10103</v>
      </c>
      <c r="B73" s="25">
        <v>4010123456783</v>
      </c>
      <c r="C73" s="26" t="s">
        <v>35</v>
      </c>
      <c r="D73" s="26" t="s">
        <v>36</v>
      </c>
      <c r="E73" s="26" t="s">
        <v>37</v>
      </c>
      <c r="F73" s="8">
        <v>14</v>
      </c>
      <c r="G73" s="8">
        <v>1</v>
      </c>
      <c r="H73" s="26" t="s">
        <v>14</v>
      </c>
      <c r="I73" s="26" t="s">
        <v>15</v>
      </c>
      <c r="J73" s="27">
        <v>45842</v>
      </c>
      <c r="K73" s="8">
        <v>0</v>
      </c>
      <c r="L73" s="26">
        <v>14</v>
      </c>
      <c r="M73" s="26" t="s">
        <v>15</v>
      </c>
      <c r="N73" s="28">
        <v>45839</v>
      </c>
      <c r="O73" s="14" t="s">
        <v>1345</v>
      </c>
    </row>
    <row r="74" spans="1:15" x14ac:dyDescent="0.25">
      <c r="A74" s="5">
        <v>10104</v>
      </c>
      <c r="B74" s="21">
        <v>8599988776654</v>
      </c>
      <c r="C74" s="22" t="s">
        <v>393</v>
      </c>
      <c r="D74" s="22" t="s">
        <v>133</v>
      </c>
      <c r="E74" s="22" t="s">
        <v>17</v>
      </c>
      <c r="F74" s="6">
        <v>16.8</v>
      </c>
      <c r="G74" s="6">
        <v>2</v>
      </c>
      <c r="H74" s="22" t="s">
        <v>14</v>
      </c>
      <c r="I74" s="22" t="s">
        <v>15</v>
      </c>
      <c r="J74" s="23">
        <v>45842</v>
      </c>
      <c r="K74" s="6">
        <v>0</v>
      </c>
      <c r="L74" s="22">
        <v>33.6</v>
      </c>
      <c r="M74" s="22" t="s">
        <v>15</v>
      </c>
      <c r="N74" s="24">
        <v>45839</v>
      </c>
      <c r="O74" s="13" t="s">
        <v>1346</v>
      </c>
    </row>
    <row r="75" spans="1:15" x14ac:dyDescent="0.25">
      <c r="A75" s="7">
        <v>10105</v>
      </c>
      <c r="B75" s="25">
        <v>4026677889902</v>
      </c>
      <c r="C75" s="26" t="s">
        <v>52</v>
      </c>
      <c r="D75" s="26" t="s">
        <v>53</v>
      </c>
      <c r="E75" s="26" t="s">
        <v>54</v>
      </c>
      <c r="F75" s="8">
        <v>7.6</v>
      </c>
      <c r="G75" s="8">
        <v>1</v>
      </c>
      <c r="H75" s="26" t="s">
        <v>14</v>
      </c>
      <c r="I75" s="26" t="s">
        <v>15</v>
      </c>
      <c r="J75" s="27">
        <v>45842</v>
      </c>
      <c r="K75" s="8">
        <v>0</v>
      </c>
      <c r="L75" s="26">
        <v>7.6</v>
      </c>
      <c r="M75" s="26" t="s">
        <v>15</v>
      </c>
      <c r="N75" s="28">
        <v>45839</v>
      </c>
      <c r="O75" s="14" t="s">
        <v>1344</v>
      </c>
    </row>
    <row r="76" spans="1:15" x14ac:dyDescent="0.25">
      <c r="A76" s="5">
        <v>10106</v>
      </c>
      <c r="B76" s="21">
        <v>8599988776654</v>
      </c>
      <c r="C76" s="22" t="s">
        <v>393</v>
      </c>
      <c r="D76" s="22" t="s">
        <v>133</v>
      </c>
      <c r="E76" s="22" t="s">
        <v>17</v>
      </c>
      <c r="F76" s="6">
        <v>16.8</v>
      </c>
      <c r="G76" s="6">
        <v>1</v>
      </c>
      <c r="H76" s="22" t="s">
        <v>23</v>
      </c>
      <c r="I76" s="22" t="s">
        <v>409</v>
      </c>
      <c r="J76" s="23">
        <v>45842</v>
      </c>
      <c r="K76" s="6">
        <v>0</v>
      </c>
      <c r="L76" s="22">
        <v>16.8</v>
      </c>
      <c r="M76" s="22">
        <v>5</v>
      </c>
      <c r="N76" s="24">
        <v>45839</v>
      </c>
      <c r="O76" s="13" t="s">
        <v>1346</v>
      </c>
    </row>
    <row r="77" spans="1:15" x14ac:dyDescent="0.25">
      <c r="A77" s="7">
        <v>10107</v>
      </c>
      <c r="B77" s="25">
        <v>4028899001126</v>
      </c>
      <c r="C77" s="26" t="s">
        <v>16</v>
      </c>
      <c r="D77" s="26" t="s">
        <v>12</v>
      </c>
      <c r="E77" s="26" t="s">
        <v>17</v>
      </c>
      <c r="F77" s="8">
        <v>2.8</v>
      </c>
      <c r="G77" s="8">
        <v>4</v>
      </c>
      <c r="H77" s="26" t="s">
        <v>14</v>
      </c>
      <c r="I77" s="26" t="s">
        <v>15</v>
      </c>
      <c r="J77" s="27">
        <v>45842</v>
      </c>
      <c r="K77" s="8">
        <v>0</v>
      </c>
      <c r="L77" s="26">
        <v>11.2</v>
      </c>
      <c r="M77" s="26" t="s">
        <v>15</v>
      </c>
      <c r="N77" s="28">
        <v>45839</v>
      </c>
      <c r="O77" s="14" t="s">
        <v>1346</v>
      </c>
    </row>
    <row r="78" spans="1:15" x14ac:dyDescent="0.25">
      <c r="A78" s="5">
        <v>10108</v>
      </c>
      <c r="B78" s="21">
        <v>8599988776654</v>
      </c>
      <c r="C78" s="22" t="s">
        <v>393</v>
      </c>
      <c r="D78" s="22" t="s">
        <v>133</v>
      </c>
      <c r="E78" s="22" t="s">
        <v>17</v>
      </c>
      <c r="F78" s="6">
        <v>16.8</v>
      </c>
      <c r="G78" s="6">
        <v>1</v>
      </c>
      <c r="H78" s="22" t="s">
        <v>14</v>
      </c>
      <c r="I78" s="22" t="s">
        <v>15</v>
      </c>
      <c r="J78" s="23">
        <v>45842</v>
      </c>
      <c r="K78" s="6">
        <v>0</v>
      </c>
      <c r="L78" s="22">
        <v>16.8</v>
      </c>
      <c r="M78" s="22" t="s">
        <v>15</v>
      </c>
      <c r="N78" s="24">
        <v>45839</v>
      </c>
      <c r="O78" s="13" t="s">
        <v>1346</v>
      </c>
    </row>
    <row r="79" spans="1:15" x14ac:dyDescent="0.25">
      <c r="A79" s="7">
        <v>10109</v>
      </c>
      <c r="B79" s="25">
        <v>4013456789017</v>
      </c>
      <c r="C79" s="26" t="s">
        <v>11</v>
      </c>
      <c r="D79" s="26" t="s">
        <v>12</v>
      </c>
      <c r="E79" s="26" t="s">
        <v>13</v>
      </c>
      <c r="F79" s="8">
        <v>6</v>
      </c>
      <c r="G79" s="8">
        <v>2</v>
      </c>
      <c r="H79" s="26" t="s">
        <v>14</v>
      </c>
      <c r="I79" s="26" t="s">
        <v>15</v>
      </c>
      <c r="J79" s="27">
        <v>45842</v>
      </c>
      <c r="K79" s="8">
        <v>0</v>
      </c>
      <c r="L79" s="26">
        <v>12</v>
      </c>
      <c r="M79" s="26" t="s">
        <v>15</v>
      </c>
      <c r="N79" s="28">
        <v>45839</v>
      </c>
      <c r="O79" s="14" t="s">
        <v>1346</v>
      </c>
    </row>
    <row r="80" spans="1:15" x14ac:dyDescent="0.25">
      <c r="A80" s="5">
        <v>10110</v>
      </c>
      <c r="B80" s="21">
        <v>8599988776654</v>
      </c>
      <c r="C80" s="22" t="s">
        <v>393</v>
      </c>
      <c r="D80" s="22" t="s">
        <v>133</v>
      </c>
      <c r="E80" s="22" t="s">
        <v>17</v>
      </c>
      <c r="F80" s="6">
        <v>16.8</v>
      </c>
      <c r="G80" s="6">
        <v>1</v>
      </c>
      <c r="H80" s="22" t="s">
        <v>14</v>
      </c>
      <c r="I80" s="22" t="s">
        <v>15</v>
      </c>
      <c r="J80" s="23">
        <v>45842</v>
      </c>
      <c r="K80" s="6">
        <v>0</v>
      </c>
      <c r="L80" s="22">
        <v>16.8</v>
      </c>
      <c r="M80" s="22" t="s">
        <v>15</v>
      </c>
      <c r="N80" s="24">
        <v>45839</v>
      </c>
      <c r="O80" s="13" t="s">
        <v>1346</v>
      </c>
    </row>
    <row r="81" spans="1:15" x14ac:dyDescent="0.25">
      <c r="A81" s="7">
        <v>10111</v>
      </c>
      <c r="B81" s="25">
        <v>4061011223346</v>
      </c>
      <c r="C81" s="26" t="s">
        <v>25</v>
      </c>
      <c r="D81" s="26" t="s">
        <v>26</v>
      </c>
      <c r="E81" s="26" t="s">
        <v>27</v>
      </c>
      <c r="F81" s="8">
        <v>19.600000000000001</v>
      </c>
      <c r="G81" s="8">
        <v>1</v>
      </c>
      <c r="H81" s="26" t="s">
        <v>14</v>
      </c>
      <c r="I81" s="26" t="s">
        <v>15</v>
      </c>
      <c r="J81" s="27">
        <v>45842</v>
      </c>
      <c r="K81" s="8">
        <v>0</v>
      </c>
      <c r="L81" s="26">
        <v>19.600000000000001</v>
      </c>
      <c r="M81" s="26" t="s">
        <v>15</v>
      </c>
      <c r="N81" s="28">
        <v>45839</v>
      </c>
      <c r="O81" s="14" t="s">
        <v>1346</v>
      </c>
    </row>
    <row r="82" spans="1:15" x14ac:dyDescent="0.25">
      <c r="A82" s="5">
        <v>10112</v>
      </c>
      <c r="B82" s="21">
        <v>8599988776654</v>
      </c>
      <c r="C82" s="22" t="s">
        <v>393</v>
      </c>
      <c r="D82" s="22" t="s">
        <v>133</v>
      </c>
      <c r="E82" s="22" t="s">
        <v>17</v>
      </c>
      <c r="F82" s="6">
        <v>16.8</v>
      </c>
      <c r="G82" s="6">
        <v>1</v>
      </c>
      <c r="H82" s="22" t="s">
        <v>18</v>
      </c>
      <c r="I82" s="22" t="s">
        <v>410</v>
      </c>
      <c r="J82" s="23">
        <v>45842</v>
      </c>
      <c r="K82" s="6">
        <v>0</v>
      </c>
      <c r="L82" s="22">
        <v>16.8</v>
      </c>
      <c r="M82" s="22">
        <v>4</v>
      </c>
      <c r="N82" s="24">
        <v>45839</v>
      </c>
      <c r="O82" s="13" t="s">
        <v>1346</v>
      </c>
    </row>
    <row r="83" spans="1:15" x14ac:dyDescent="0.25">
      <c r="A83" s="7">
        <v>10113</v>
      </c>
      <c r="B83" s="25">
        <v>4010123456783</v>
      </c>
      <c r="C83" s="26" t="s">
        <v>35</v>
      </c>
      <c r="D83" s="26" t="s">
        <v>36</v>
      </c>
      <c r="E83" s="26" t="s">
        <v>37</v>
      </c>
      <c r="F83" s="8">
        <v>14</v>
      </c>
      <c r="G83" s="8">
        <v>1</v>
      </c>
      <c r="H83" s="26" t="s">
        <v>14</v>
      </c>
      <c r="I83" s="26" t="s">
        <v>15</v>
      </c>
      <c r="J83" s="27">
        <v>45842</v>
      </c>
      <c r="K83" s="8">
        <v>0</v>
      </c>
      <c r="L83" s="26">
        <v>14</v>
      </c>
      <c r="M83" s="26" t="s">
        <v>15</v>
      </c>
      <c r="N83" s="28">
        <v>45839</v>
      </c>
      <c r="O83" s="14" t="s">
        <v>1345</v>
      </c>
    </row>
    <row r="84" spans="1:15" x14ac:dyDescent="0.25">
      <c r="A84" s="5">
        <v>10114</v>
      </c>
      <c r="B84" s="21">
        <v>8599988776654</v>
      </c>
      <c r="C84" s="22" t="s">
        <v>393</v>
      </c>
      <c r="D84" s="22" t="s">
        <v>133</v>
      </c>
      <c r="E84" s="22" t="s">
        <v>17</v>
      </c>
      <c r="F84" s="6">
        <v>16.8</v>
      </c>
      <c r="G84" s="6">
        <v>1</v>
      </c>
      <c r="H84" s="22" t="s">
        <v>14</v>
      </c>
      <c r="I84" s="22" t="s">
        <v>15</v>
      </c>
      <c r="J84" s="23">
        <v>45842</v>
      </c>
      <c r="K84" s="6">
        <v>0</v>
      </c>
      <c r="L84" s="22">
        <v>16.8</v>
      </c>
      <c r="M84" s="22" t="s">
        <v>15</v>
      </c>
      <c r="N84" s="24">
        <v>45839</v>
      </c>
      <c r="O84" s="13" t="s">
        <v>1346</v>
      </c>
    </row>
    <row r="85" spans="1:15" x14ac:dyDescent="0.25">
      <c r="A85" s="7">
        <v>10115</v>
      </c>
      <c r="B85" s="25">
        <v>4056789012345</v>
      </c>
      <c r="C85" s="26" t="s">
        <v>47</v>
      </c>
      <c r="D85" s="26" t="s">
        <v>29</v>
      </c>
      <c r="E85" s="26" t="s">
        <v>37</v>
      </c>
      <c r="F85" s="8">
        <v>2.4</v>
      </c>
      <c r="G85" s="8">
        <v>3</v>
      </c>
      <c r="H85" s="26" t="s">
        <v>14</v>
      </c>
      <c r="I85" s="26" t="s">
        <v>15</v>
      </c>
      <c r="J85" s="27">
        <v>45842</v>
      </c>
      <c r="K85" s="8">
        <v>0</v>
      </c>
      <c r="L85" s="26">
        <v>7.1999999999999993</v>
      </c>
      <c r="M85" s="26" t="s">
        <v>15</v>
      </c>
      <c r="N85" s="28">
        <v>45839</v>
      </c>
      <c r="O85" s="14" t="s">
        <v>1345</v>
      </c>
    </row>
    <row r="86" spans="1:15" x14ac:dyDescent="0.25">
      <c r="A86" s="5">
        <v>10116</v>
      </c>
      <c r="B86" s="21">
        <v>8599988776654</v>
      </c>
      <c r="C86" s="22" t="s">
        <v>393</v>
      </c>
      <c r="D86" s="22" t="s">
        <v>133</v>
      </c>
      <c r="E86" s="22" t="s">
        <v>17</v>
      </c>
      <c r="F86" s="6">
        <v>16.8</v>
      </c>
      <c r="G86" s="6">
        <v>2</v>
      </c>
      <c r="H86" s="22" t="s">
        <v>14</v>
      </c>
      <c r="I86" s="22" t="s">
        <v>15</v>
      </c>
      <c r="J86" s="23">
        <v>45842</v>
      </c>
      <c r="K86" s="6">
        <v>0</v>
      </c>
      <c r="L86" s="22">
        <v>33.6</v>
      </c>
      <c r="M86" s="22" t="s">
        <v>15</v>
      </c>
      <c r="N86" s="24">
        <v>45839</v>
      </c>
      <c r="O86" s="13" t="s">
        <v>1346</v>
      </c>
    </row>
    <row r="87" spans="1:15" x14ac:dyDescent="0.25">
      <c r="A87" s="7">
        <v>10117</v>
      </c>
      <c r="B87" s="25">
        <v>4027788990013</v>
      </c>
      <c r="C87" s="26" t="s">
        <v>43</v>
      </c>
      <c r="D87" s="26" t="s">
        <v>21</v>
      </c>
      <c r="E87" s="26" t="s">
        <v>22</v>
      </c>
      <c r="F87" s="8">
        <v>8</v>
      </c>
      <c r="G87" s="8">
        <v>1</v>
      </c>
      <c r="H87" s="26" t="s">
        <v>14</v>
      </c>
      <c r="I87" s="26" t="s">
        <v>15</v>
      </c>
      <c r="J87" s="27">
        <v>45842</v>
      </c>
      <c r="K87" s="8">
        <v>0</v>
      </c>
      <c r="L87" s="26">
        <v>8</v>
      </c>
      <c r="M87" s="26" t="s">
        <v>15</v>
      </c>
      <c r="N87" s="28">
        <v>45839</v>
      </c>
      <c r="O87" s="14" t="s">
        <v>1346</v>
      </c>
    </row>
    <row r="88" spans="1:15" x14ac:dyDescent="0.25">
      <c r="A88" s="5">
        <v>10118</v>
      </c>
      <c r="B88" s="21">
        <v>8599988776654</v>
      </c>
      <c r="C88" s="22" t="s">
        <v>393</v>
      </c>
      <c r="D88" s="22" t="s">
        <v>133</v>
      </c>
      <c r="E88" s="22" t="s">
        <v>17</v>
      </c>
      <c r="F88" s="6">
        <v>16.8</v>
      </c>
      <c r="G88" s="6">
        <v>1</v>
      </c>
      <c r="H88" s="22" t="s">
        <v>23</v>
      </c>
      <c r="I88" s="22" t="s">
        <v>411</v>
      </c>
      <c r="J88" s="23">
        <v>45842</v>
      </c>
      <c r="K88" s="6">
        <v>0</v>
      </c>
      <c r="L88" s="22">
        <v>16.8</v>
      </c>
      <c r="M88" s="22">
        <v>5</v>
      </c>
      <c r="N88" s="24">
        <v>45839</v>
      </c>
      <c r="O88" s="13" t="s">
        <v>1346</v>
      </c>
    </row>
    <row r="89" spans="1:15" x14ac:dyDescent="0.25">
      <c r="A89" s="7">
        <v>10119</v>
      </c>
      <c r="B89" s="25">
        <v>4017890123450</v>
      </c>
      <c r="C89" s="26" t="s">
        <v>65</v>
      </c>
      <c r="D89" s="26" t="s">
        <v>39</v>
      </c>
      <c r="E89" s="26" t="s">
        <v>22</v>
      </c>
      <c r="F89" s="8">
        <v>7.6</v>
      </c>
      <c r="G89" s="8">
        <v>1</v>
      </c>
      <c r="H89" s="26" t="s">
        <v>14</v>
      </c>
      <c r="I89" s="26" t="s">
        <v>15</v>
      </c>
      <c r="J89" s="27">
        <v>45842</v>
      </c>
      <c r="K89" s="8">
        <v>0</v>
      </c>
      <c r="L89" s="26">
        <v>7.6</v>
      </c>
      <c r="M89" s="26" t="s">
        <v>15</v>
      </c>
      <c r="N89" s="28">
        <v>45839</v>
      </c>
      <c r="O89" s="14" t="s">
        <v>1346</v>
      </c>
    </row>
    <row r="90" spans="1:15" x14ac:dyDescent="0.25">
      <c r="A90" s="5">
        <v>10120</v>
      </c>
      <c r="B90" s="21">
        <v>8599988776654</v>
      </c>
      <c r="C90" s="22" t="s">
        <v>393</v>
      </c>
      <c r="D90" s="22" t="s">
        <v>133</v>
      </c>
      <c r="E90" s="22" t="s">
        <v>17</v>
      </c>
      <c r="F90" s="6">
        <v>16.8</v>
      </c>
      <c r="G90" s="6">
        <v>1</v>
      </c>
      <c r="H90" s="22" t="s">
        <v>14</v>
      </c>
      <c r="I90" s="22" t="s">
        <v>15</v>
      </c>
      <c r="J90" s="23">
        <v>45842</v>
      </c>
      <c r="K90" s="6">
        <v>0</v>
      </c>
      <c r="L90" s="22">
        <v>16.8</v>
      </c>
      <c r="M90" s="22" t="s">
        <v>15</v>
      </c>
      <c r="N90" s="24">
        <v>45839</v>
      </c>
      <c r="O90" s="13" t="s">
        <v>1346</v>
      </c>
    </row>
    <row r="91" spans="1:15" x14ac:dyDescent="0.25">
      <c r="A91" s="7">
        <v>10121</v>
      </c>
      <c r="B91" s="25">
        <v>4013456789017</v>
      </c>
      <c r="C91" s="26" t="s">
        <v>11</v>
      </c>
      <c r="D91" s="26" t="s">
        <v>12</v>
      </c>
      <c r="E91" s="26" t="s">
        <v>13</v>
      </c>
      <c r="F91" s="8">
        <v>6</v>
      </c>
      <c r="G91" s="8">
        <v>1</v>
      </c>
      <c r="H91" s="26" t="s">
        <v>14</v>
      </c>
      <c r="I91" s="26" t="s">
        <v>15</v>
      </c>
      <c r="J91" s="27">
        <v>45842</v>
      </c>
      <c r="K91" s="8">
        <v>0</v>
      </c>
      <c r="L91" s="26">
        <v>6</v>
      </c>
      <c r="M91" s="26" t="s">
        <v>15</v>
      </c>
      <c r="N91" s="28">
        <v>45839</v>
      </c>
      <c r="O91" s="14" t="s">
        <v>1346</v>
      </c>
    </row>
    <row r="92" spans="1:15" x14ac:dyDescent="0.25">
      <c r="A92" s="5">
        <v>10122</v>
      </c>
      <c r="B92" s="21">
        <v>8599988776654</v>
      </c>
      <c r="C92" s="22" t="s">
        <v>393</v>
      </c>
      <c r="D92" s="22" t="s">
        <v>133</v>
      </c>
      <c r="E92" s="22" t="s">
        <v>17</v>
      </c>
      <c r="F92" s="6">
        <v>16.8</v>
      </c>
      <c r="G92" s="6">
        <v>2</v>
      </c>
      <c r="H92" s="22" t="s">
        <v>23</v>
      </c>
      <c r="I92" s="22" t="s">
        <v>412</v>
      </c>
      <c r="J92" s="23">
        <v>45842</v>
      </c>
      <c r="K92" s="6">
        <v>0</v>
      </c>
      <c r="L92" s="22">
        <v>33.6</v>
      </c>
      <c r="M92" s="22">
        <v>5</v>
      </c>
      <c r="N92" s="24">
        <v>45839</v>
      </c>
      <c r="O92" s="13" t="s">
        <v>1346</v>
      </c>
    </row>
    <row r="93" spans="1:15" x14ac:dyDescent="0.25">
      <c r="A93" s="7">
        <v>10123</v>
      </c>
      <c r="B93" s="25">
        <v>4028899001126</v>
      </c>
      <c r="C93" s="26" t="s">
        <v>16</v>
      </c>
      <c r="D93" s="26" t="s">
        <v>12</v>
      </c>
      <c r="E93" s="26" t="s">
        <v>17</v>
      </c>
      <c r="F93" s="8">
        <v>2.8</v>
      </c>
      <c r="G93" s="8">
        <v>3</v>
      </c>
      <c r="H93" s="26" t="s">
        <v>14</v>
      </c>
      <c r="I93" s="26" t="s">
        <v>15</v>
      </c>
      <c r="J93" s="27">
        <v>45842</v>
      </c>
      <c r="K93" s="8">
        <v>0</v>
      </c>
      <c r="L93" s="26">
        <v>8.3999999999999986</v>
      </c>
      <c r="M93" s="26" t="s">
        <v>15</v>
      </c>
      <c r="N93" s="28">
        <v>45839</v>
      </c>
      <c r="O93" s="14" t="s">
        <v>1346</v>
      </c>
    </row>
    <row r="94" spans="1:15" x14ac:dyDescent="0.25">
      <c r="A94" s="5">
        <v>10124</v>
      </c>
      <c r="B94" s="21">
        <v>8599988776654</v>
      </c>
      <c r="C94" s="22" t="s">
        <v>393</v>
      </c>
      <c r="D94" s="22" t="s">
        <v>133</v>
      </c>
      <c r="E94" s="22" t="s">
        <v>17</v>
      </c>
      <c r="F94" s="6">
        <v>16.8</v>
      </c>
      <c r="G94" s="6">
        <v>1</v>
      </c>
      <c r="H94" s="22" t="s">
        <v>14</v>
      </c>
      <c r="I94" s="22" t="s">
        <v>15</v>
      </c>
      <c r="J94" s="23">
        <v>45842</v>
      </c>
      <c r="K94" s="6">
        <v>0</v>
      </c>
      <c r="L94" s="22">
        <v>16.8</v>
      </c>
      <c r="M94" s="22" t="s">
        <v>15</v>
      </c>
      <c r="N94" s="24">
        <v>45839</v>
      </c>
      <c r="O94" s="13" t="s">
        <v>1346</v>
      </c>
    </row>
    <row r="95" spans="1:15" x14ac:dyDescent="0.25">
      <c r="A95" s="7">
        <v>10125</v>
      </c>
      <c r="B95" s="25">
        <v>4063456789014</v>
      </c>
      <c r="C95" s="26" t="s">
        <v>60</v>
      </c>
      <c r="D95" s="26" t="s">
        <v>12</v>
      </c>
      <c r="E95" s="26" t="s">
        <v>61</v>
      </c>
      <c r="F95" s="8">
        <v>36</v>
      </c>
      <c r="G95" s="8">
        <v>1</v>
      </c>
      <c r="H95" s="26" t="s">
        <v>14</v>
      </c>
      <c r="I95" s="26" t="s">
        <v>15</v>
      </c>
      <c r="J95" s="27">
        <v>45842</v>
      </c>
      <c r="K95" s="8">
        <v>0</v>
      </c>
      <c r="L95" s="26">
        <v>36</v>
      </c>
      <c r="M95" s="26" t="s">
        <v>15</v>
      </c>
      <c r="N95" s="28">
        <v>45839</v>
      </c>
      <c r="O95" s="14" t="s">
        <v>1346</v>
      </c>
    </row>
    <row r="96" spans="1:15" x14ac:dyDescent="0.25">
      <c r="A96" s="5">
        <v>10126</v>
      </c>
      <c r="B96" s="21">
        <v>8599988776654</v>
      </c>
      <c r="C96" s="22" t="s">
        <v>393</v>
      </c>
      <c r="D96" s="22" t="s">
        <v>133</v>
      </c>
      <c r="E96" s="22" t="s">
        <v>17</v>
      </c>
      <c r="F96" s="6">
        <v>16.8</v>
      </c>
      <c r="G96" s="6">
        <v>1</v>
      </c>
      <c r="H96" s="22" t="s">
        <v>14</v>
      </c>
      <c r="I96" s="22" t="s">
        <v>15</v>
      </c>
      <c r="J96" s="23">
        <v>45842</v>
      </c>
      <c r="K96" s="6">
        <v>0</v>
      </c>
      <c r="L96" s="22">
        <v>16.8</v>
      </c>
      <c r="M96" s="22" t="s">
        <v>15</v>
      </c>
      <c r="N96" s="24">
        <v>45839</v>
      </c>
      <c r="O96" s="13" t="s">
        <v>1346</v>
      </c>
    </row>
    <row r="97" spans="1:15" x14ac:dyDescent="0.25">
      <c r="A97" s="7">
        <v>10127</v>
      </c>
      <c r="B97" s="25">
        <v>4021234567894</v>
      </c>
      <c r="C97" s="26" t="s">
        <v>79</v>
      </c>
      <c r="D97" s="26" t="s">
        <v>36</v>
      </c>
      <c r="E97" s="26" t="s">
        <v>69</v>
      </c>
      <c r="F97" s="8">
        <v>8</v>
      </c>
      <c r="G97" s="8">
        <v>1</v>
      </c>
      <c r="H97" s="26" t="s">
        <v>14</v>
      </c>
      <c r="I97" s="26" t="s">
        <v>15</v>
      </c>
      <c r="J97" s="27">
        <v>45842</v>
      </c>
      <c r="K97" s="8">
        <v>0</v>
      </c>
      <c r="L97" s="26">
        <v>8</v>
      </c>
      <c r="M97" s="26" t="s">
        <v>15</v>
      </c>
      <c r="N97" s="28">
        <v>45839</v>
      </c>
      <c r="O97" s="14" t="s">
        <v>1345</v>
      </c>
    </row>
    <row r="98" spans="1:15" x14ac:dyDescent="0.25">
      <c r="A98" s="5">
        <v>10128</v>
      </c>
      <c r="B98" s="21">
        <v>8599988776654</v>
      </c>
      <c r="C98" s="22" t="s">
        <v>393</v>
      </c>
      <c r="D98" s="22" t="s">
        <v>133</v>
      </c>
      <c r="E98" s="22" t="s">
        <v>17</v>
      </c>
      <c r="F98" s="6">
        <v>16.8</v>
      </c>
      <c r="G98" s="6">
        <v>1</v>
      </c>
      <c r="H98" s="22" t="s">
        <v>14</v>
      </c>
      <c r="I98" s="22" t="s">
        <v>15</v>
      </c>
      <c r="J98" s="23">
        <v>45842</v>
      </c>
      <c r="K98" s="6">
        <v>0</v>
      </c>
      <c r="L98" s="22">
        <v>16.8</v>
      </c>
      <c r="M98" s="22" t="s">
        <v>15</v>
      </c>
      <c r="N98" s="24">
        <v>45839</v>
      </c>
      <c r="O98" s="13" t="s">
        <v>1346</v>
      </c>
    </row>
    <row r="99" spans="1:15" x14ac:dyDescent="0.25">
      <c r="A99" s="7">
        <v>10129</v>
      </c>
      <c r="B99" s="25">
        <v>4010123456783</v>
      </c>
      <c r="C99" s="26" t="s">
        <v>35</v>
      </c>
      <c r="D99" s="26" t="s">
        <v>36</v>
      </c>
      <c r="E99" s="26" t="s">
        <v>37</v>
      </c>
      <c r="F99" s="8">
        <v>14</v>
      </c>
      <c r="G99" s="8">
        <v>1</v>
      </c>
      <c r="H99" s="26" t="s">
        <v>14</v>
      </c>
      <c r="I99" s="26" t="s">
        <v>15</v>
      </c>
      <c r="J99" s="27">
        <v>45842</v>
      </c>
      <c r="K99" s="8">
        <v>0</v>
      </c>
      <c r="L99" s="26">
        <v>14</v>
      </c>
      <c r="M99" s="26" t="s">
        <v>15</v>
      </c>
      <c r="N99" s="28">
        <v>45839</v>
      </c>
      <c r="O99" s="14" t="s">
        <v>1345</v>
      </c>
    </row>
    <row r="100" spans="1:15" x14ac:dyDescent="0.25">
      <c r="A100" s="5">
        <v>10130</v>
      </c>
      <c r="B100" s="21">
        <v>8599988776654</v>
      </c>
      <c r="C100" s="22" t="s">
        <v>393</v>
      </c>
      <c r="D100" s="22" t="s">
        <v>133</v>
      </c>
      <c r="E100" s="22" t="s">
        <v>17</v>
      </c>
      <c r="F100" s="6">
        <v>16.8</v>
      </c>
      <c r="G100" s="6">
        <v>2</v>
      </c>
      <c r="H100" s="22" t="s">
        <v>14</v>
      </c>
      <c r="I100" s="22" t="s">
        <v>15</v>
      </c>
      <c r="J100" s="23">
        <v>45842</v>
      </c>
      <c r="K100" s="6">
        <v>0</v>
      </c>
      <c r="L100" s="22">
        <v>33.6</v>
      </c>
      <c r="M100" s="22" t="s">
        <v>15</v>
      </c>
      <c r="N100" s="24">
        <v>45839</v>
      </c>
      <c r="O100" s="13" t="s">
        <v>1346</v>
      </c>
    </row>
    <row r="101" spans="1:15" x14ac:dyDescent="0.25">
      <c r="A101" s="7">
        <v>10131</v>
      </c>
      <c r="B101" s="25">
        <v>4013456789017</v>
      </c>
      <c r="C101" s="26" t="s">
        <v>11</v>
      </c>
      <c r="D101" s="26" t="s">
        <v>12</v>
      </c>
      <c r="E101" s="26" t="s">
        <v>13</v>
      </c>
      <c r="F101" s="8">
        <v>6</v>
      </c>
      <c r="G101" s="8">
        <v>1</v>
      </c>
      <c r="H101" s="26" t="s">
        <v>14</v>
      </c>
      <c r="I101" s="26" t="s">
        <v>15</v>
      </c>
      <c r="J101" s="27">
        <v>45842</v>
      </c>
      <c r="K101" s="8">
        <v>0</v>
      </c>
      <c r="L101" s="26">
        <v>6</v>
      </c>
      <c r="M101" s="26" t="s">
        <v>15</v>
      </c>
      <c r="N101" s="28">
        <v>45839</v>
      </c>
      <c r="O101" s="14" t="s">
        <v>1346</v>
      </c>
    </row>
    <row r="102" spans="1:15" x14ac:dyDescent="0.25">
      <c r="A102" s="5">
        <v>10132</v>
      </c>
      <c r="B102" s="21">
        <v>8599988776654</v>
      </c>
      <c r="C102" s="22" t="s">
        <v>393</v>
      </c>
      <c r="D102" s="22" t="s">
        <v>133</v>
      </c>
      <c r="E102" s="22" t="s">
        <v>17</v>
      </c>
      <c r="F102" s="6">
        <v>16.8</v>
      </c>
      <c r="G102" s="6">
        <v>1</v>
      </c>
      <c r="H102" s="22" t="s">
        <v>23</v>
      </c>
      <c r="I102" s="22" t="s">
        <v>413</v>
      </c>
      <c r="J102" s="23">
        <v>45843</v>
      </c>
      <c r="K102" s="6">
        <v>0</v>
      </c>
      <c r="L102" s="22">
        <v>16.8</v>
      </c>
      <c r="M102" s="22">
        <v>5</v>
      </c>
      <c r="N102" s="24">
        <v>45839</v>
      </c>
      <c r="O102" s="13" t="s">
        <v>1346</v>
      </c>
    </row>
    <row r="103" spans="1:15" x14ac:dyDescent="0.25">
      <c r="A103" s="7">
        <v>10133</v>
      </c>
      <c r="B103" s="25">
        <v>4028899001126</v>
      </c>
      <c r="C103" s="26" t="s">
        <v>16</v>
      </c>
      <c r="D103" s="26" t="s">
        <v>12</v>
      </c>
      <c r="E103" s="26" t="s">
        <v>17</v>
      </c>
      <c r="F103" s="8">
        <v>2.8</v>
      </c>
      <c r="G103" s="8">
        <v>3</v>
      </c>
      <c r="H103" s="26" t="s">
        <v>14</v>
      </c>
      <c r="I103" s="26" t="s">
        <v>15</v>
      </c>
      <c r="J103" s="27">
        <v>45843</v>
      </c>
      <c r="K103" s="8">
        <v>0</v>
      </c>
      <c r="L103" s="26">
        <v>8.3999999999999986</v>
      </c>
      <c r="M103" s="26" t="s">
        <v>15</v>
      </c>
      <c r="N103" s="28">
        <v>45839</v>
      </c>
      <c r="O103" s="14" t="s">
        <v>1346</v>
      </c>
    </row>
    <row r="104" spans="1:15" x14ac:dyDescent="0.25">
      <c r="A104" s="5">
        <v>10134</v>
      </c>
      <c r="B104" s="21">
        <v>8599988776654</v>
      </c>
      <c r="C104" s="22" t="s">
        <v>393</v>
      </c>
      <c r="D104" s="22" t="s">
        <v>133</v>
      </c>
      <c r="E104" s="22" t="s">
        <v>17</v>
      </c>
      <c r="F104" s="6">
        <v>16.8</v>
      </c>
      <c r="G104" s="6">
        <v>1</v>
      </c>
      <c r="H104" s="22" t="s">
        <v>14</v>
      </c>
      <c r="I104" s="22" t="s">
        <v>15</v>
      </c>
      <c r="J104" s="23">
        <v>45843</v>
      </c>
      <c r="K104" s="6">
        <v>0</v>
      </c>
      <c r="L104" s="22">
        <v>16.8</v>
      </c>
      <c r="M104" s="22" t="s">
        <v>15</v>
      </c>
      <c r="N104" s="24">
        <v>45839</v>
      </c>
      <c r="O104" s="13" t="s">
        <v>1346</v>
      </c>
    </row>
    <row r="105" spans="1:15" x14ac:dyDescent="0.25">
      <c r="A105" s="7">
        <v>10135</v>
      </c>
      <c r="B105" s="25">
        <v>4013456789017</v>
      </c>
      <c r="C105" s="26" t="s">
        <v>11</v>
      </c>
      <c r="D105" s="26" t="s">
        <v>12</v>
      </c>
      <c r="E105" s="26" t="s">
        <v>13</v>
      </c>
      <c r="F105" s="8">
        <v>6</v>
      </c>
      <c r="G105" s="8">
        <v>1</v>
      </c>
      <c r="H105" s="26" t="s">
        <v>14</v>
      </c>
      <c r="I105" s="26" t="s">
        <v>15</v>
      </c>
      <c r="J105" s="27">
        <v>45843</v>
      </c>
      <c r="K105" s="8">
        <v>0</v>
      </c>
      <c r="L105" s="26">
        <v>6</v>
      </c>
      <c r="M105" s="26" t="s">
        <v>15</v>
      </c>
      <c r="N105" s="28">
        <v>45839</v>
      </c>
      <c r="O105" s="14" t="s">
        <v>1346</v>
      </c>
    </row>
    <row r="106" spans="1:15" x14ac:dyDescent="0.25">
      <c r="A106" s="5">
        <v>10136</v>
      </c>
      <c r="B106" s="21">
        <v>8599988776654</v>
      </c>
      <c r="C106" s="22" t="s">
        <v>393</v>
      </c>
      <c r="D106" s="22" t="s">
        <v>133</v>
      </c>
      <c r="E106" s="22" t="s">
        <v>17</v>
      </c>
      <c r="F106" s="6">
        <v>16.8</v>
      </c>
      <c r="G106" s="6">
        <v>2</v>
      </c>
      <c r="H106" s="22" t="s">
        <v>14</v>
      </c>
      <c r="I106" s="22" t="s">
        <v>15</v>
      </c>
      <c r="J106" s="23">
        <v>45843</v>
      </c>
      <c r="K106" s="6">
        <v>0</v>
      </c>
      <c r="L106" s="22">
        <v>33.6</v>
      </c>
      <c r="M106" s="22" t="s">
        <v>15</v>
      </c>
      <c r="N106" s="24">
        <v>45839</v>
      </c>
      <c r="O106" s="13" t="s">
        <v>1346</v>
      </c>
    </row>
    <row r="107" spans="1:15" x14ac:dyDescent="0.25">
      <c r="A107" s="7">
        <v>10137</v>
      </c>
      <c r="B107" s="25">
        <v>4056789012345</v>
      </c>
      <c r="C107" s="26" t="s">
        <v>47</v>
      </c>
      <c r="D107" s="26" t="s">
        <v>29</v>
      </c>
      <c r="E107" s="26" t="s">
        <v>37</v>
      </c>
      <c r="F107" s="8">
        <v>2.4</v>
      </c>
      <c r="G107" s="8">
        <v>3</v>
      </c>
      <c r="H107" s="26" t="s">
        <v>14</v>
      </c>
      <c r="I107" s="26" t="s">
        <v>15</v>
      </c>
      <c r="J107" s="27">
        <v>45843</v>
      </c>
      <c r="K107" s="8">
        <v>0</v>
      </c>
      <c r="L107" s="26">
        <v>7.1999999999999993</v>
      </c>
      <c r="M107" s="26" t="s">
        <v>15</v>
      </c>
      <c r="N107" s="28">
        <v>45839</v>
      </c>
      <c r="O107" s="14" t="s">
        <v>1345</v>
      </c>
    </row>
    <row r="108" spans="1:15" x14ac:dyDescent="0.25">
      <c r="A108" s="5">
        <v>10138</v>
      </c>
      <c r="B108" s="21">
        <v>8599988776654</v>
      </c>
      <c r="C108" s="22" t="s">
        <v>393</v>
      </c>
      <c r="D108" s="22" t="s">
        <v>133</v>
      </c>
      <c r="E108" s="22" t="s">
        <v>17</v>
      </c>
      <c r="F108" s="6">
        <v>16.8</v>
      </c>
      <c r="G108" s="6">
        <v>1</v>
      </c>
      <c r="H108" s="22" t="s">
        <v>23</v>
      </c>
      <c r="I108" s="22" t="s">
        <v>414</v>
      </c>
      <c r="J108" s="23">
        <v>45843</v>
      </c>
      <c r="K108" s="6">
        <v>0</v>
      </c>
      <c r="L108" s="22">
        <v>16.8</v>
      </c>
      <c r="M108" s="22">
        <v>5</v>
      </c>
      <c r="N108" s="24">
        <v>45839</v>
      </c>
      <c r="O108" s="13" t="s">
        <v>1346</v>
      </c>
    </row>
    <row r="109" spans="1:15" x14ac:dyDescent="0.25">
      <c r="A109" s="7">
        <v>10139</v>
      </c>
      <c r="B109" s="25">
        <v>4021234567894</v>
      </c>
      <c r="C109" s="26" t="s">
        <v>79</v>
      </c>
      <c r="D109" s="26" t="s">
        <v>36</v>
      </c>
      <c r="E109" s="26" t="s">
        <v>69</v>
      </c>
      <c r="F109" s="8">
        <v>8</v>
      </c>
      <c r="G109" s="8">
        <v>1</v>
      </c>
      <c r="H109" s="26" t="s">
        <v>14</v>
      </c>
      <c r="I109" s="26" t="s">
        <v>15</v>
      </c>
      <c r="J109" s="27">
        <v>45843</v>
      </c>
      <c r="K109" s="8">
        <v>0</v>
      </c>
      <c r="L109" s="26">
        <v>8</v>
      </c>
      <c r="M109" s="26" t="s">
        <v>15</v>
      </c>
      <c r="N109" s="28">
        <v>45839</v>
      </c>
      <c r="O109" s="14" t="s">
        <v>1345</v>
      </c>
    </row>
    <row r="110" spans="1:15" x14ac:dyDescent="0.25">
      <c r="A110" s="5">
        <v>10140</v>
      </c>
      <c r="B110" s="21">
        <v>8599988776654</v>
      </c>
      <c r="C110" s="22" t="s">
        <v>393</v>
      </c>
      <c r="D110" s="22" t="s">
        <v>133</v>
      </c>
      <c r="E110" s="22" t="s">
        <v>17</v>
      </c>
      <c r="F110" s="6">
        <v>16.8</v>
      </c>
      <c r="G110" s="6">
        <v>1</v>
      </c>
      <c r="H110" s="22" t="s">
        <v>14</v>
      </c>
      <c r="I110" s="22" t="s">
        <v>15</v>
      </c>
      <c r="J110" s="23">
        <v>45843</v>
      </c>
      <c r="K110" s="6">
        <v>0</v>
      </c>
      <c r="L110" s="22">
        <v>16.8</v>
      </c>
      <c r="M110" s="22" t="s">
        <v>15</v>
      </c>
      <c r="N110" s="24">
        <v>45839</v>
      </c>
      <c r="O110" s="13" t="s">
        <v>1346</v>
      </c>
    </row>
    <row r="111" spans="1:15" x14ac:dyDescent="0.25">
      <c r="A111" s="7">
        <v>10141</v>
      </c>
      <c r="B111" s="25">
        <v>4063456789014</v>
      </c>
      <c r="C111" s="26" t="s">
        <v>60</v>
      </c>
      <c r="D111" s="26" t="s">
        <v>12</v>
      </c>
      <c r="E111" s="26" t="s">
        <v>61</v>
      </c>
      <c r="F111" s="8">
        <v>36</v>
      </c>
      <c r="G111" s="8">
        <v>1</v>
      </c>
      <c r="H111" s="26" t="s">
        <v>14</v>
      </c>
      <c r="I111" s="26" t="s">
        <v>15</v>
      </c>
      <c r="J111" s="27">
        <v>45843</v>
      </c>
      <c r="K111" s="8">
        <v>0</v>
      </c>
      <c r="L111" s="26">
        <v>36</v>
      </c>
      <c r="M111" s="26" t="s">
        <v>15</v>
      </c>
      <c r="N111" s="28">
        <v>45839</v>
      </c>
      <c r="O111" s="14" t="s">
        <v>1346</v>
      </c>
    </row>
    <row r="112" spans="1:15" x14ac:dyDescent="0.25">
      <c r="A112" s="5">
        <v>10142</v>
      </c>
      <c r="B112" s="21">
        <v>8599988776654</v>
      </c>
      <c r="C112" s="22" t="s">
        <v>393</v>
      </c>
      <c r="D112" s="22" t="s">
        <v>133</v>
      </c>
      <c r="E112" s="22" t="s">
        <v>17</v>
      </c>
      <c r="F112" s="6">
        <v>16.8</v>
      </c>
      <c r="G112" s="6">
        <v>2</v>
      </c>
      <c r="H112" s="22" t="s">
        <v>18</v>
      </c>
      <c r="I112" s="22" t="s">
        <v>415</v>
      </c>
      <c r="J112" s="23">
        <v>45843</v>
      </c>
      <c r="K112" s="6">
        <v>0</v>
      </c>
      <c r="L112" s="22">
        <v>33.6</v>
      </c>
      <c r="M112" s="22">
        <v>4</v>
      </c>
      <c r="N112" s="24">
        <v>45839</v>
      </c>
      <c r="O112" s="13" t="s">
        <v>1346</v>
      </c>
    </row>
    <row r="113" spans="1:15" x14ac:dyDescent="0.25">
      <c r="A113" s="7">
        <v>10143</v>
      </c>
      <c r="B113" s="25">
        <v>4028899001126</v>
      </c>
      <c r="C113" s="26" t="s">
        <v>16</v>
      </c>
      <c r="D113" s="26" t="s">
        <v>12</v>
      </c>
      <c r="E113" s="26" t="s">
        <v>17</v>
      </c>
      <c r="F113" s="8">
        <v>2.8</v>
      </c>
      <c r="G113" s="8">
        <v>4</v>
      </c>
      <c r="H113" s="26" t="s">
        <v>14</v>
      </c>
      <c r="I113" s="26" t="s">
        <v>15</v>
      </c>
      <c r="J113" s="27">
        <v>45843</v>
      </c>
      <c r="K113" s="8">
        <v>0</v>
      </c>
      <c r="L113" s="26">
        <v>11.2</v>
      </c>
      <c r="M113" s="26" t="s">
        <v>15</v>
      </c>
      <c r="N113" s="28">
        <v>45839</v>
      </c>
      <c r="O113" s="14" t="s">
        <v>1346</v>
      </c>
    </row>
    <row r="114" spans="1:15" x14ac:dyDescent="0.25">
      <c r="A114" s="5">
        <v>10144</v>
      </c>
      <c r="B114" s="21">
        <v>8599988776654</v>
      </c>
      <c r="C114" s="22" t="s">
        <v>393</v>
      </c>
      <c r="D114" s="22" t="s">
        <v>133</v>
      </c>
      <c r="E114" s="22" t="s">
        <v>17</v>
      </c>
      <c r="F114" s="6">
        <v>16.8</v>
      </c>
      <c r="G114" s="6">
        <v>1</v>
      </c>
      <c r="H114" s="22" t="s">
        <v>14</v>
      </c>
      <c r="I114" s="22" t="s">
        <v>15</v>
      </c>
      <c r="J114" s="23">
        <v>45843</v>
      </c>
      <c r="K114" s="6">
        <v>0</v>
      </c>
      <c r="L114" s="22">
        <v>16.8</v>
      </c>
      <c r="M114" s="22" t="s">
        <v>15</v>
      </c>
      <c r="N114" s="24">
        <v>45839</v>
      </c>
      <c r="O114" s="13" t="s">
        <v>1346</v>
      </c>
    </row>
    <row r="115" spans="1:15" x14ac:dyDescent="0.25">
      <c r="A115" s="7">
        <v>10145</v>
      </c>
      <c r="B115" s="25">
        <v>4010123456783</v>
      </c>
      <c r="C115" s="26" t="s">
        <v>35</v>
      </c>
      <c r="D115" s="26" t="s">
        <v>36</v>
      </c>
      <c r="E115" s="26" t="s">
        <v>37</v>
      </c>
      <c r="F115" s="8">
        <v>14</v>
      </c>
      <c r="G115" s="8">
        <v>2</v>
      </c>
      <c r="H115" s="26" t="s">
        <v>14</v>
      </c>
      <c r="I115" s="26" t="s">
        <v>15</v>
      </c>
      <c r="J115" s="27">
        <v>45843</v>
      </c>
      <c r="K115" s="8">
        <v>0</v>
      </c>
      <c r="L115" s="26">
        <v>28</v>
      </c>
      <c r="M115" s="26" t="s">
        <v>15</v>
      </c>
      <c r="N115" s="28">
        <v>45839</v>
      </c>
      <c r="O115" s="14" t="s">
        <v>1345</v>
      </c>
    </row>
    <row r="116" spans="1:15" x14ac:dyDescent="0.25">
      <c r="A116" s="5">
        <v>10146</v>
      </c>
      <c r="B116" s="21">
        <v>8599988776654</v>
      </c>
      <c r="C116" s="22" t="s">
        <v>393</v>
      </c>
      <c r="D116" s="22" t="s">
        <v>133</v>
      </c>
      <c r="E116" s="22" t="s">
        <v>17</v>
      </c>
      <c r="F116" s="6">
        <v>16.8</v>
      </c>
      <c r="G116" s="6">
        <v>1</v>
      </c>
      <c r="H116" s="22" t="s">
        <v>14</v>
      </c>
      <c r="I116" s="22" t="s">
        <v>15</v>
      </c>
      <c r="J116" s="23">
        <v>45843</v>
      </c>
      <c r="K116" s="6">
        <v>0</v>
      </c>
      <c r="L116" s="22">
        <v>16.8</v>
      </c>
      <c r="M116" s="22" t="s">
        <v>15</v>
      </c>
      <c r="N116" s="24">
        <v>45839</v>
      </c>
      <c r="O116" s="13" t="s">
        <v>1346</v>
      </c>
    </row>
    <row r="117" spans="1:15" x14ac:dyDescent="0.25">
      <c r="A117" s="7">
        <v>10147</v>
      </c>
      <c r="B117" s="25">
        <v>4013456789017</v>
      </c>
      <c r="C117" s="26" t="s">
        <v>11</v>
      </c>
      <c r="D117" s="26" t="s">
        <v>12</v>
      </c>
      <c r="E117" s="26" t="s">
        <v>13</v>
      </c>
      <c r="F117" s="8">
        <v>6</v>
      </c>
      <c r="G117" s="8">
        <v>1</v>
      </c>
      <c r="H117" s="26" t="s">
        <v>14</v>
      </c>
      <c r="I117" s="26" t="s">
        <v>15</v>
      </c>
      <c r="J117" s="27">
        <v>45844</v>
      </c>
      <c r="K117" s="8">
        <v>0</v>
      </c>
      <c r="L117" s="26">
        <v>6</v>
      </c>
      <c r="M117" s="26" t="s">
        <v>15</v>
      </c>
      <c r="N117" s="28">
        <v>45839</v>
      </c>
      <c r="O117" s="14" t="s">
        <v>1346</v>
      </c>
    </row>
    <row r="118" spans="1:15" x14ac:dyDescent="0.25">
      <c r="A118" s="5">
        <v>10148</v>
      </c>
      <c r="B118" s="21">
        <v>8599988776654</v>
      </c>
      <c r="C118" s="22" t="s">
        <v>393</v>
      </c>
      <c r="D118" s="22" t="s">
        <v>133</v>
      </c>
      <c r="E118" s="22" t="s">
        <v>17</v>
      </c>
      <c r="F118" s="6">
        <v>16.8</v>
      </c>
      <c r="G118" s="6">
        <v>1</v>
      </c>
      <c r="H118" s="22" t="s">
        <v>23</v>
      </c>
      <c r="I118" s="22" t="s">
        <v>416</v>
      </c>
      <c r="J118" s="23">
        <v>45844</v>
      </c>
      <c r="K118" s="6">
        <v>0</v>
      </c>
      <c r="L118" s="22">
        <v>16.8</v>
      </c>
      <c r="M118" s="22">
        <v>5</v>
      </c>
      <c r="N118" s="24">
        <v>45839</v>
      </c>
      <c r="O118" s="13" t="s">
        <v>1346</v>
      </c>
    </row>
    <row r="119" spans="1:15" x14ac:dyDescent="0.25">
      <c r="A119" s="7">
        <v>10149</v>
      </c>
      <c r="B119" s="25">
        <v>4028899001126</v>
      </c>
      <c r="C119" s="26" t="s">
        <v>16</v>
      </c>
      <c r="D119" s="26" t="s">
        <v>12</v>
      </c>
      <c r="E119" s="26" t="s">
        <v>17</v>
      </c>
      <c r="F119" s="8">
        <v>2.8</v>
      </c>
      <c r="G119" s="8">
        <v>3</v>
      </c>
      <c r="H119" s="26" t="s">
        <v>14</v>
      </c>
      <c r="I119" s="26" t="s">
        <v>15</v>
      </c>
      <c r="J119" s="27">
        <v>45844</v>
      </c>
      <c r="K119" s="8">
        <v>0</v>
      </c>
      <c r="L119" s="26">
        <v>8.3999999999999986</v>
      </c>
      <c r="M119" s="26" t="s">
        <v>15</v>
      </c>
      <c r="N119" s="28">
        <v>45839</v>
      </c>
      <c r="O119" s="14" t="s">
        <v>1346</v>
      </c>
    </row>
    <row r="120" spans="1:15" x14ac:dyDescent="0.25">
      <c r="A120" s="5">
        <v>10150</v>
      </c>
      <c r="B120" s="21">
        <v>8599988776654</v>
      </c>
      <c r="C120" s="22" t="s">
        <v>393</v>
      </c>
      <c r="D120" s="22" t="s">
        <v>133</v>
      </c>
      <c r="E120" s="22" t="s">
        <v>17</v>
      </c>
      <c r="F120" s="6">
        <v>16.8</v>
      </c>
      <c r="G120" s="6">
        <v>2</v>
      </c>
      <c r="H120" s="22" t="s">
        <v>14</v>
      </c>
      <c r="I120" s="22" t="s">
        <v>15</v>
      </c>
      <c r="J120" s="23">
        <v>45844</v>
      </c>
      <c r="K120" s="6">
        <v>0</v>
      </c>
      <c r="L120" s="22">
        <v>33.6</v>
      </c>
      <c r="M120" s="22" t="s">
        <v>15</v>
      </c>
      <c r="N120" s="24">
        <v>45839</v>
      </c>
      <c r="O120" s="13" t="s">
        <v>1346</v>
      </c>
    </row>
    <row r="121" spans="1:15" x14ac:dyDescent="0.25">
      <c r="A121" s="7">
        <v>10151</v>
      </c>
      <c r="B121" s="25">
        <v>4056789012345</v>
      </c>
      <c r="C121" s="26" t="s">
        <v>47</v>
      </c>
      <c r="D121" s="26" t="s">
        <v>29</v>
      </c>
      <c r="E121" s="26" t="s">
        <v>37</v>
      </c>
      <c r="F121" s="8">
        <v>2.4</v>
      </c>
      <c r="G121" s="8">
        <v>2</v>
      </c>
      <c r="H121" s="26" t="s">
        <v>14</v>
      </c>
      <c r="I121" s="26" t="s">
        <v>15</v>
      </c>
      <c r="J121" s="27">
        <v>45844</v>
      </c>
      <c r="K121" s="8">
        <v>0</v>
      </c>
      <c r="L121" s="26">
        <v>4.8</v>
      </c>
      <c r="M121" s="26" t="s">
        <v>15</v>
      </c>
      <c r="N121" s="28">
        <v>45839</v>
      </c>
      <c r="O121" s="14" t="s">
        <v>1345</v>
      </c>
    </row>
    <row r="122" spans="1:15" x14ac:dyDescent="0.25">
      <c r="A122" s="5">
        <v>10152</v>
      </c>
      <c r="B122" s="21">
        <v>8599988776654</v>
      </c>
      <c r="C122" s="22" t="s">
        <v>393</v>
      </c>
      <c r="D122" s="22" t="s">
        <v>133</v>
      </c>
      <c r="E122" s="22" t="s">
        <v>17</v>
      </c>
      <c r="F122" s="6">
        <v>16.8</v>
      </c>
      <c r="G122" s="6">
        <v>1</v>
      </c>
      <c r="H122" s="22" t="s">
        <v>14</v>
      </c>
      <c r="I122" s="22" t="s">
        <v>15</v>
      </c>
      <c r="J122" s="23">
        <v>45844</v>
      </c>
      <c r="K122" s="6">
        <v>0</v>
      </c>
      <c r="L122" s="22">
        <v>16.8</v>
      </c>
      <c r="M122" s="22" t="s">
        <v>15</v>
      </c>
      <c r="N122" s="24">
        <v>45839</v>
      </c>
      <c r="O122" s="13" t="s">
        <v>1346</v>
      </c>
    </row>
    <row r="123" spans="1:15" x14ac:dyDescent="0.25">
      <c r="A123" s="7">
        <v>10153</v>
      </c>
      <c r="B123" s="25">
        <v>4061011223346</v>
      </c>
      <c r="C123" s="26" t="s">
        <v>25</v>
      </c>
      <c r="D123" s="26" t="s">
        <v>26</v>
      </c>
      <c r="E123" s="26" t="s">
        <v>27</v>
      </c>
      <c r="F123" s="8">
        <v>19.600000000000001</v>
      </c>
      <c r="G123" s="8">
        <v>1</v>
      </c>
      <c r="H123" s="26" t="s">
        <v>14</v>
      </c>
      <c r="I123" s="26" t="s">
        <v>15</v>
      </c>
      <c r="J123" s="27">
        <v>45844</v>
      </c>
      <c r="K123" s="8">
        <v>0</v>
      </c>
      <c r="L123" s="26">
        <v>19.600000000000001</v>
      </c>
      <c r="M123" s="26" t="s">
        <v>15</v>
      </c>
      <c r="N123" s="28">
        <v>45839</v>
      </c>
      <c r="O123" s="14" t="s">
        <v>1346</v>
      </c>
    </row>
    <row r="124" spans="1:15" x14ac:dyDescent="0.25">
      <c r="A124" s="5">
        <v>10154</v>
      </c>
      <c r="B124" s="21">
        <v>8599988776654</v>
      </c>
      <c r="C124" s="22" t="s">
        <v>393</v>
      </c>
      <c r="D124" s="22" t="s">
        <v>133</v>
      </c>
      <c r="E124" s="22" t="s">
        <v>17</v>
      </c>
      <c r="F124" s="6">
        <v>16.8</v>
      </c>
      <c r="G124" s="6">
        <v>1</v>
      </c>
      <c r="H124" s="22" t="s">
        <v>14</v>
      </c>
      <c r="I124" s="22" t="s">
        <v>15</v>
      </c>
      <c r="J124" s="23">
        <v>45844</v>
      </c>
      <c r="K124" s="6">
        <v>0</v>
      </c>
      <c r="L124" s="22">
        <v>16.8</v>
      </c>
      <c r="M124" s="22" t="s">
        <v>15</v>
      </c>
      <c r="N124" s="24">
        <v>45839</v>
      </c>
      <c r="O124" s="13" t="s">
        <v>1346</v>
      </c>
    </row>
    <row r="125" spans="1:15" x14ac:dyDescent="0.25">
      <c r="A125" s="7">
        <v>10155</v>
      </c>
      <c r="B125" s="25">
        <v>4017890123450</v>
      </c>
      <c r="C125" s="26" t="s">
        <v>65</v>
      </c>
      <c r="D125" s="26" t="s">
        <v>39</v>
      </c>
      <c r="E125" s="26" t="s">
        <v>22</v>
      </c>
      <c r="F125" s="8">
        <v>7.6</v>
      </c>
      <c r="G125" s="8">
        <v>1</v>
      </c>
      <c r="H125" s="26" t="s">
        <v>14</v>
      </c>
      <c r="I125" s="26" t="s">
        <v>15</v>
      </c>
      <c r="J125" s="27">
        <v>45844</v>
      </c>
      <c r="K125" s="8">
        <v>0</v>
      </c>
      <c r="L125" s="26">
        <v>7.6</v>
      </c>
      <c r="M125" s="26" t="s">
        <v>15</v>
      </c>
      <c r="N125" s="28">
        <v>45839</v>
      </c>
      <c r="O125" s="14" t="s">
        <v>1346</v>
      </c>
    </row>
    <row r="126" spans="1:15" x14ac:dyDescent="0.25">
      <c r="A126" s="5">
        <v>10156</v>
      </c>
      <c r="B126" s="21">
        <v>8599988776654</v>
      </c>
      <c r="C126" s="22" t="s">
        <v>393</v>
      </c>
      <c r="D126" s="22" t="s">
        <v>133</v>
      </c>
      <c r="E126" s="22" t="s">
        <v>17</v>
      </c>
      <c r="F126" s="6">
        <v>16.8</v>
      </c>
      <c r="G126" s="6">
        <v>2</v>
      </c>
      <c r="H126" s="22" t="s">
        <v>18</v>
      </c>
      <c r="I126" s="22" t="s">
        <v>417</v>
      </c>
      <c r="J126" s="23">
        <v>45844</v>
      </c>
      <c r="K126" s="6">
        <v>0</v>
      </c>
      <c r="L126" s="22">
        <v>33.6</v>
      </c>
      <c r="M126" s="22">
        <v>4</v>
      </c>
      <c r="N126" s="24">
        <v>45839</v>
      </c>
      <c r="O126" s="13" t="s">
        <v>1346</v>
      </c>
    </row>
    <row r="127" spans="1:15" x14ac:dyDescent="0.25">
      <c r="A127" s="7">
        <v>10157</v>
      </c>
      <c r="B127" s="25">
        <v>4010123456783</v>
      </c>
      <c r="C127" s="26" t="s">
        <v>35</v>
      </c>
      <c r="D127" s="26" t="s">
        <v>36</v>
      </c>
      <c r="E127" s="26" t="s">
        <v>37</v>
      </c>
      <c r="F127" s="8">
        <v>14</v>
      </c>
      <c r="G127" s="8">
        <v>1</v>
      </c>
      <c r="H127" s="26" t="s">
        <v>14</v>
      </c>
      <c r="I127" s="26" t="s">
        <v>15</v>
      </c>
      <c r="J127" s="27">
        <v>45844</v>
      </c>
      <c r="K127" s="8">
        <v>0</v>
      </c>
      <c r="L127" s="26">
        <v>14</v>
      </c>
      <c r="M127" s="26" t="s">
        <v>15</v>
      </c>
      <c r="N127" s="28">
        <v>45839</v>
      </c>
      <c r="O127" s="14" t="s">
        <v>1345</v>
      </c>
    </row>
    <row r="128" spans="1:15" x14ac:dyDescent="0.25">
      <c r="A128" s="5">
        <v>10158</v>
      </c>
      <c r="B128" s="21">
        <v>8599988776654</v>
      </c>
      <c r="C128" s="22" t="s">
        <v>393</v>
      </c>
      <c r="D128" s="22" t="s">
        <v>133</v>
      </c>
      <c r="E128" s="22" t="s">
        <v>17</v>
      </c>
      <c r="F128" s="6">
        <v>16.8</v>
      </c>
      <c r="G128" s="6">
        <v>1</v>
      </c>
      <c r="H128" s="22" t="s">
        <v>14</v>
      </c>
      <c r="I128" s="22" t="s">
        <v>15</v>
      </c>
      <c r="J128" s="23">
        <v>45844</v>
      </c>
      <c r="K128" s="6">
        <v>0</v>
      </c>
      <c r="L128" s="22">
        <v>16.8</v>
      </c>
      <c r="M128" s="22" t="s">
        <v>15</v>
      </c>
      <c r="N128" s="24">
        <v>45839</v>
      </c>
      <c r="O128" s="13" t="s">
        <v>1346</v>
      </c>
    </row>
    <row r="129" spans="1:15" x14ac:dyDescent="0.25">
      <c r="A129" s="7">
        <v>10159</v>
      </c>
      <c r="B129" s="25">
        <v>4026677889902</v>
      </c>
      <c r="C129" s="26" t="s">
        <v>52</v>
      </c>
      <c r="D129" s="26" t="s">
        <v>53</v>
      </c>
      <c r="E129" s="26" t="s">
        <v>54</v>
      </c>
      <c r="F129" s="8">
        <v>7.6</v>
      </c>
      <c r="G129" s="8">
        <v>1</v>
      </c>
      <c r="H129" s="26" t="s">
        <v>14</v>
      </c>
      <c r="I129" s="26" t="s">
        <v>15</v>
      </c>
      <c r="J129" s="27">
        <v>45844</v>
      </c>
      <c r="K129" s="8">
        <v>0</v>
      </c>
      <c r="L129" s="26">
        <v>7.6</v>
      </c>
      <c r="M129" s="26" t="s">
        <v>15</v>
      </c>
      <c r="N129" s="28">
        <v>45839</v>
      </c>
      <c r="O129" s="14" t="s">
        <v>1344</v>
      </c>
    </row>
    <row r="130" spans="1:15" x14ac:dyDescent="0.25">
      <c r="A130" s="5">
        <v>10160</v>
      </c>
      <c r="B130" s="21">
        <v>8599988776654</v>
      </c>
      <c r="C130" s="22" t="s">
        <v>393</v>
      </c>
      <c r="D130" s="22" t="s">
        <v>133</v>
      </c>
      <c r="E130" s="22" t="s">
        <v>17</v>
      </c>
      <c r="F130" s="6">
        <v>16.8</v>
      </c>
      <c r="G130" s="6">
        <v>1</v>
      </c>
      <c r="H130" s="22" t="s">
        <v>23</v>
      </c>
      <c r="I130" s="22" t="s">
        <v>418</v>
      </c>
      <c r="J130" s="23">
        <v>45844</v>
      </c>
      <c r="K130" s="6">
        <v>0</v>
      </c>
      <c r="L130" s="22">
        <v>16.8</v>
      </c>
      <c r="M130" s="22">
        <v>5</v>
      </c>
      <c r="N130" s="24">
        <v>45839</v>
      </c>
      <c r="O130" s="13" t="s">
        <v>1346</v>
      </c>
    </row>
    <row r="131" spans="1:15" x14ac:dyDescent="0.25">
      <c r="A131" s="7">
        <v>10161</v>
      </c>
      <c r="B131" s="25">
        <v>4028899001126</v>
      </c>
      <c r="C131" s="26" t="s">
        <v>16</v>
      </c>
      <c r="D131" s="26" t="s">
        <v>12</v>
      </c>
      <c r="E131" s="26" t="s">
        <v>17</v>
      </c>
      <c r="F131" s="8">
        <v>2.8</v>
      </c>
      <c r="G131" s="8">
        <v>4</v>
      </c>
      <c r="H131" s="26" t="s">
        <v>14</v>
      </c>
      <c r="I131" s="26" t="s">
        <v>15</v>
      </c>
      <c r="J131" s="27">
        <v>45844</v>
      </c>
      <c r="K131" s="8">
        <v>0</v>
      </c>
      <c r="L131" s="26">
        <v>11.2</v>
      </c>
      <c r="M131" s="26" t="s">
        <v>15</v>
      </c>
      <c r="N131" s="28">
        <v>45839</v>
      </c>
      <c r="O131" s="14" t="s">
        <v>1346</v>
      </c>
    </row>
    <row r="132" spans="1:15" x14ac:dyDescent="0.25">
      <c r="A132" s="5">
        <v>10162</v>
      </c>
      <c r="B132" s="21">
        <v>8599988776654</v>
      </c>
      <c r="C132" s="22" t="s">
        <v>393</v>
      </c>
      <c r="D132" s="22" t="s">
        <v>133</v>
      </c>
      <c r="E132" s="22" t="s">
        <v>17</v>
      </c>
      <c r="F132" s="6">
        <v>16.8</v>
      </c>
      <c r="G132" s="6">
        <v>1</v>
      </c>
      <c r="H132" s="22" t="s">
        <v>14</v>
      </c>
      <c r="I132" s="22" t="s">
        <v>15</v>
      </c>
      <c r="J132" s="23">
        <v>45844</v>
      </c>
      <c r="K132" s="6">
        <v>0</v>
      </c>
      <c r="L132" s="22">
        <v>16.8</v>
      </c>
      <c r="M132" s="22" t="s">
        <v>15</v>
      </c>
      <c r="N132" s="24">
        <v>45839</v>
      </c>
      <c r="O132" s="13" t="s">
        <v>1346</v>
      </c>
    </row>
    <row r="133" spans="1:15" x14ac:dyDescent="0.25">
      <c r="A133" s="7">
        <v>10163</v>
      </c>
      <c r="B133" s="25">
        <v>4013456789017</v>
      </c>
      <c r="C133" s="26" t="s">
        <v>11</v>
      </c>
      <c r="D133" s="26" t="s">
        <v>12</v>
      </c>
      <c r="E133" s="26" t="s">
        <v>13</v>
      </c>
      <c r="F133" s="8">
        <v>6</v>
      </c>
      <c r="G133" s="8">
        <v>1</v>
      </c>
      <c r="H133" s="26" t="s">
        <v>14</v>
      </c>
      <c r="I133" s="26" t="s">
        <v>15</v>
      </c>
      <c r="J133" s="27">
        <v>45844</v>
      </c>
      <c r="K133" s="8">
        <v>0</v>
      </c>
      <c r="L133" s="26">
        <v>6</v>
      </c>
      <c r="M133" s="26" t="s">
        <v>15</v>
      </c>
      <c r="N133" s="28">
        <v>45839</v>
      </c>
      <c r="O133" s="14" t="s">
        <v>1346</v>
      </c>
    </row>
    <row r="134" spans="1:15" x14ac:dyDescent="0.25">
      <c r="A134" s="5">
        <v>10164</v>
      </c>
      <c r="B134" s="21">
        <v>8599988776654</v>
      </c>
      <c r="C134" s="22" t="s">
        <v>393</v>
      </c>
      <c r="D134" s="22" t="s">
        <v>133</v>
      </c>
      <c r="E134" s="22" t="s">
        <v>17</v>
      </c>
      <c r="F134" s="6">
        <v>16.8</v>
      </c>
      <c r="G134" s="6">
        <v>1</v>
      </c>
      <c r="H134" s="22" t="s">
        <v>14</v>
      </c>
      <c r="I134" s="22" t="s">
        <v>15</v>
      </c>
      <c r="J134" s="23">
        <v>45845</v>
      </c>
      <c r="K134" s="6">
        <v>0</v>
      </c>
      <c r="L134" s="22">
        <v>16.8</v>
      </c>
      <c r="M134" s="22" t="s">
        <v>15</v>
      </c>
      <c r="N134" s="24">
        <v>45839</v>
      </c>
      <c r="O134" s="13" t="s">
        <v>1346</v>
      </c>
    </row>
    <row r="135" spans="1:15" x14ac:dyDescent="0.25">
      <c r="A135" s="7">
        <v>10165</v>
      </c>
      <c r="B135" s="25">
        <v>4028899001126</v>
      </c>
      <c r="C135" s="26" t="s">
        <v>16</v>
      </c>
      <c r="D135" s="26" t="s">
        <v>12</v>
      </c>
      <c r="E135" s="26" t="s">
        <v>17</v>
      </c>
      <c r="F135" s="8">
        <v>2.8</v>
      </c>
      <c r="G135" s="8">
        <v>2</v>
      </c>
      <c r="H135" s="26" t="s">
        <v>14</v>
      </c>
      <c r="I135" s="26" t="s">
        <v>15</v>
      </c>
      <c r="J135" s="27">
        <v>45845</v>
      </c>
      <c r="K135" s="8">
        <v>0</v>
      </c>
      <c r="L135" s="26">
        <v>5.6</v>
      </c>
      <c r="M135" s="26" t="s">
        <v>15</v>
      </c>
      <c r="N135" s="28">
        <v>45839</v>
      </c>
      <c r="O135" s="14" t="s">
        <v>1346</v>
      </c>
    </row>
    <row r="136" spans="1:15" x14ac:dyDescent="0.25">
      <c r="A136" s="5">
        <v>10166</v>
      </c>
      <c r="B136" s="21">
        <v>8599988776654</v>
      </c>
      <c r="C136" s="22" t="s">
        <v>393</v>
      </c>
      <c r="D136" s="22" t="s">
        <v>133</v>
      </c>
      <c r="E136" s="22" t="s">
        <v>17</v>
      </c>
      <c r="F136" s="6">
        <v>16.8</v>
      </c>
      <c r="G136" s="6">
        <v>1</v>
      </c>
      <c r="H136" s="22" t="s">
        <v>14</v>
      </c>
      <c r="I136" s="22" t="s">
        <v>15</v>
      </c>
      <c r="J136" s="23">
        <v>45845</v>
      </c>
      <c r="K136" s="6">
        <v>0</v>
      </c>
      <c r="L136" s="22">
        <v>16.8</v>
      </c>
      <c r="M136" s="22" t="s">
        <v>15</v>
      </c>
      <c r="N136" s="24">
        <v>45839</v>
      </c>
      <c r="O136" s="13" t="s">
        <v>1346</v>
      </c>
    </row>
    <row r="137" spans="1:15" x14ac:dyDescent="0.25">
      <c r="A137" s="7">
        <v>10167</v>
      </c>
      <c r="B137" s="25">
        <v>4056789012345</v>
      </c>
      <c r="C137" s="26" t="s">
        <v>47</v>
      </c>
      <c r="D137" s="26" t="s">
        <v>29</v>
      </c>
      <c r="E137" s="26" t="s">
        <v>37</v>
      </c>
      <c r="F137" s="8">
        <v>2.4</v>
      </c>
      <c r="G137" s="8">
        <v>3</v>
      </c>
      <c r="H137" s="26" t="s">
        <v>14</v>
      </c>
      <c r="I137" s="26" t="s">
        <v>15</v>
      </c>
      <c r="J137" s="27">
        <v>45845</v>
      </c>
      <c r="K137" s="8">
        <v>0</v>
      </c>
      <c r="L137" s="26">
        <v>7.1999999999999993</v>
      </c>
      <c r="M137" s="26" t="s">
        <v>15</v>
      </c>
      <c r="N137" s="28">
        <v>45839</v>
      </c>
      <c r="O137" s="14" t="s">
        <v>1345</v>
      </c>
    </row>
    <row r="138" spans="1:15" x14ac:dyDescent="0.25">
      <c r="A138" s="5">
        <v>10168</v>
      </c>
      <c r="B138" s="21">
        <v>8599988776654</v>
      </c>
      <c r="C138" s="22" t="s">
        <v>393</v>
      </c>
      <c r="D138" s="22" t="s">
        <v>133</v>
      </c>
      <c r="E138" s="22" t="s">
        <v>17</v>
      </c>
      <c r="F138" s="6">
        <v>16.8</v>
      </c>
      <c r="G138" s="6">
        <v>1</v>
      </c>
      <c r="H138" s="22" t="s">
        <v>23</v>
      </c>
      <c r="I138" s="22" t="s">
        <v>419</v>
      </c>
      <c r="J138" s="23">
        <v>45845</v>
      </c>
      <c r="K138" s="6">
        <v>0</v>
      </c>
      <c r="L138" s="22">
        <v>16.8</v>
      </c>
      <c r="M138" s="22">
        <v>5</v>
      </c>
      <c r="N138" s="24">
        <v>45839</v>
      </c>
      <c r="O138" s="13" t="s">
        <v>1346</v>
      </c>
    </row>
    <row r="139" spans="1:15" x14ac:dyDescent="0.25">
      <c r="A139" s="7">
        <v>10169</v>
      </c>
      <c r="B139" s="25">
        <v>4017890123450</v>
      </c>
      <c r="C139" s="26" t="s">
        <v>65</v>
      </c>
      <c r="D139" s="26" t="s">
        <v>39</v>
      </c>
      <c r="E139" s="26" t="s">
        <v>22</v>
      </c>
      <c r="F139" s="8">
        <v>7.6</v>
      </c>
      <c r="G139" s="8">
        <v>1</v>
      </c>
      <c r="H139" s="26" t="s">
        <v>14</v>
      </c>
      <c r="I139" s="26" t="s">
        <v>15</v>
      </c>
      <c r="J139" s="27">
        <v>45845</v>
      </c>
      <c r="K139" s="8">
        <v>0</v>
      </c>
      <c r="L139" s="26">
        <v>7.6</v>
      </c>
      <c r="M139" s="26" t="s">
        <v>15</v>
      </c>
      <c r="N139" s="28">
        <v>45839</v>
      </c>
      <c r="O139" s="14" t="s">
        <v>1346</v>
      </c>
    </row>
    <row r="140" spans="1:15" x14ac:dyDescent="0.25">
      <c r="A140" s="5">
        <v>10170</v>
      </c>
      <c r="B140" s="21">
        <v>8599988776654</v>
      </c>
      <c r="C140" s="22" t="s">
        <v>393</v>
      </c>
      <c r="D140" s="22" t="s">
        <v>133</v>
      </c>
      <c r="E140" s="22" t="s">
        <v>17</v>
      </c>
      <c r="F140" s="6">
        <v>16.8</v>
      </c>
      <c r="G140" s="6">
        <v>1</v>
      </c>
      <c r="H140" s="22" t="s">
        <v>14</v>
      </c>
      <c r="I140" s="22" t="s">
        <v>15</v>
      </c>
      <c r="J140" s="23">
        <v>45845</v>
      </c>
      <c r="K140" s="6">
        <v>0</v>
      </c>
      <c r="L140" s="22">
        <v>16.8</v>
      </c>
      <c r="M140" s="22" t="s">
        <v>15</v>
      </c>
      <c r="N140" s="24">
        <v>45839</v>
      </c>
      <c r="O140" s="13" t="s">
        <v>1346</v>
      </c>
    </row>
    <row r="141" spans="1:15" x14ac:dyDescent="0.25">
      <c r="A141" s="7">
        <v>10171</v>
      </c>
      <c r="B141" s="25">
        <v>4063456789014</v>
      </c>
      <c r="C141" s="26" t="s">
        <v>60</v>
      </c>
      <c r="D141" s="26" t="s">
        <v>12</v>
      </c>
      <c r="E141" s="26" t="s">
        <v>61</v>
      </c>
      <c r="F141" s="8">
        <v>36</v>
      </c>
      <c r="G141" s="8">
        <v>1</v>
      </c>
      <c r="H141" s="26" t="s">
        <v>14</v>
      </c>
      <c r="I141" s="26" t="s">
        <v>15</v>
      </c>
      <c r="J141" s="27">
        <v>45845</v>
      </c>
      <c r="K141" s="8">
        <v>0</v>
      </c>
      <c r="L141" s="26">
        <v>36</v>
      </c>
      <c r="M141" s="26" t="s">
        <v>15</v>
      </c>
      <c r="N141" s="28">
        <v>45839</v>
      </c>
      <c r="O141" s="14" t="s">
        <v>1346</v>
      </c>
    </row>
    <row r="142" spans="1:15" x14ac:dyDescent="0.25">
      <c r="A142" s="5">
        <v>10172</v>
      </c>
      <c r="B142" s="21">
        <v>8599988776654</v>
      </c>
      <c r="C142" s="22" t="s">
        <v>393</v>
      </c>
      <c r="D142" s="22" t="s">
        <v>133</v>
      </c>
      <c r="E142" s="22" t="s">
        <v>17</v>
      </c>
      <c r="F142" s="6">
        <v>16.8</v>
      </c>
      <c r="G142" s="6">
        <v>2</v>
      </c>
      <c r="H142" s="22" t="s">
        <v>14</v>
      </c>
      <c r="I142" s="22" t="s">
        <v>15</v>
      </c>
      <c r="J142" s="23">
        <v>45845</v>
      </c>
      <c r="K142" s="6">
        <v>0</v>
      </c>
      <c r="L142" s="22">
        <v>33.6</v>
      </c>
      <c r="M142" s="22" t="s">
        <v>15</v>
      </c>
      <c r="N142" s="24">
        <v>45839</v>
      </c>
      <c r="O142" s="13" t="s">
        <v>1346</v>
      </c>
    </row>
    <row r="143" spans="1:15" x14ac:dyDescent="0.25">
      <c r="A143" s="7">
        <v>10173</v>
      </c>
      <c r="B143" s="25">
        <v>4021234567894</v>
      </c>
      <c r="C143" s="26" t="s">
        <v>79</v>
      </c>
      <c r="D143" s="26" t="s">
        <v>36</v>
      </c>
      <c r="E143" s="26" t="s">
        <v>69</v>
      </c>
      <c r="F143" s="8">
        <v>8</v>
      </c>
      <c r="G143" s="8">
        <v>1</v>
      </c>
      <c r="H143" s="26" t="s">
        <v>14</v>
      </c>
      <c r="I143" s="26" t="s">
        <v>15</v>
      </c>
      <c r="J143" s="27">
        <v>45845</v>
      </c>
      <c r="K143" s="8">
        <v>0</v>
      </c>
      <c r="L143" s="26">
        <v>8</v>
      </c>
      <c r="M143" s="26" t="s">
        <v>15</v>
      </c>
      <c r="N143" s="28">
        <v>45839</v>
      </c>
      <c r="O143" s="14" t="s">
        <v>1345</v>
      </c>
    </row>
    <row r="144" spans="1:15" x14ac:dyDescent="0.25">
      <c r="A144" s="5">
        <v>10174</v>
      </c>
      <c r="B144" s="21">
        <v>8599988776654</v>
      </c>
      <c r="C144" s="22" t="s">
        <v>393</v>
      </c>
      <c r="D144" s="22" t="s">
        <v>133</v>
      </c>
      <c r="E144" s="22" t="s">
        <v>17</v>
      </c>
      <c r="F144" s="6">
        <v>16.8</v>
      </c>
      <c r="G144" s="6">
        <v>1</v>
      </c>
      <c r="H144" s="22" t="s">
        <v>14</v>
      </c>
      <c r="I144" s="22" t="s">
        <v>15</v>
      </c>
      <c r="J144" s="23">
        <v>45845</v>
      </c>
      <c r="K144" s="6">
        <v>0</v>
      </c>
      <c r="L144" s="22">
        <v>16.8</v>
      </c>
      <c r="M144" s="22" t="s">
        <v>15</v>
      </c>
      <c r="N144" s="24">
        <v>45839</v>
      </c>
      <c r="O144" s="13" t="s">
        <v>1346</v>
      </c>
    </row>
    <row r="145" spans="1:15" x14ac:dyDescent="0.25">
      <c r="A145" s="7">
        <v>10175</v>
      </c>
      <c r="B145" s="25">
        <v>4010123456783</v>
      </c>
      <c r="C145" s="26" t="s">
        <v>35</v>
      </c>
      <c r="D145" s="26" t="s">
        <v>36</v>
      </c>
      <c r="E145" s="26" t="s">
        <v>37</v>
      </c>
      <c r="F145" s="8">
        <v>14</v>
      </c>
      <c r="G145" s="8">
        <v>1</v>
      </c>
      <c r="H145" s="26" t="s">
        <v>14</v>
      </c>
      <c r="I145" s="26" t="s">
        <v>15</v>
      </c>
      <c r="J145" s="27">
        <v>45845</v>
      </c>
      <c r="K145" s="8">
        <v>0</v>
      </c>
      <c r="L145" s="26">
        <v>14</v>
      </c>
      <c r="M145" s="26" t="s">
        <v>15</v>
      </c>
      <c r="N145" s="28">
        <v>45839</v>
      </c>
      <c r="O145" s="14" t="s">
        <v>1345</v>
      </c>
    </row>
    <row r="146" spans="1:15" x14ac:dyDescent="0.25">
      <c r="A146" s="5">
        <v>10176</v>
      </c>
      <c r="B146" s="21">
        <v>8599988776654</v>
      </c>
      <c r="C146" s="22" t="s">
        <v>393</v>
      </c>
      <c r="D146" s="22" t="s">
        <v>133</v>
      </c>
      <c r="E146" s="22" t="s">
        <v>17</v>
      </c>
      <c r="F146" s="6">
        <v>16.8</v>
      </c>
      <c r="G146" s="6">
        <v>1</v>
      </c>
      <c r="H146" s="22" t="s">
        <v>23</v>
      </c>
      <c r="I146" s="22" t="s">
        <v>420</v>
      </c>
      <c r="J146" s="23">
        <v>45845</v>
      </c>
      <c r="K146" s="6">
        <v>0</v>
      </c>
      <c r="L146" s="22">
        <v>16.8</v>
      </c>
      <c r="M146" s="22">
        <v>5</v>
      </c>
      <c r="N146" s="24">
        <v>45839</v>
      </c>
      <c r="O146" s="13" t="s">
        <v>1346</v>
      </c>
    </row>
    <row r="147" spans="1:15" x14ac:dyDescent="0.25">
      <c r="A147" s="7">
        <v>10177</v>
      </c>
      <c r="B147" s="25">
        <v>4028899001126</v>
      </c>
      <c r="C147" s="26" t="s">
        <v>16</v>
      </c>
      <c r="D147" s="26" t="s">
        <v>12</v>
      </c>
      <c r="E147" s="26" t="s">
        <v>17</v>
      </c>
      <c r="F147" s="8">
        <v>2.8</v>
      </c>
      <c r="G147" s="8">
        <v>3</v>
      </c>
      <c r="H147" s="26" t="s">
        <v>14</v>
      </c>
      <c r="I147" s="26" t="s">
        <v>15</v>
      </c>
      <c r="J147" s="27">
        <v>45845</v>
      </c>
      <c r="K147" s="8">
        <v>0</v>
      </c>
      <c r="L147" s="26">
        <v>8.3999999999999986</v>
      </c>
      <c r="M147" s="26" t="s">
        <v>15</v>
      </c>
      <c r="N147" s="28">
        <v>45839</v>
      </c>
      <c r="O147" s="14" t="s">
        <v>1346</v>
      </c>
    </row>
    <row r="148" spans="1:15" x14ac:dyDescent="0.25">
      <c r="A148" s="5">
        <v>10178</v>
      </c>
      <c r="B148" s="21">
        <v>8599988776654</v>
      </c>
      <c r="C148" s="22" t="s">
        <v>393</v>
      </c>
      <c r="D148" s="22" t="s">
        <v>133</v>
      </c>
      <c r="E148" s="22" t="s">
        <v>17</v>
      </c>
      <c r="F148" s="6">
        <v>16.8</v>
      </c>
      <c r="G148" s="6">
        <v>2</v>
      </c>
      <c r="H148" s="22" t="s">
        <v>14</v>
      </c>
      <c r="I148" s="22" t="s">
        <v>15</v>
      </c>
      <c r="J148" s="23">
        <v>45845</v>
      </c>
      <c r="K148" s="6">
        <v>0</v>
      </c>
      <c r="L148" s="22">
        <v>33.6</v>
      </c>
      <c r="M148" s="22" t="s">
        <v>15</v>
      </c>
      <c r="N148" s="24">
        <v>45839</v>
      </c>
      <c r="O148" s="13" t="s">
        <v>1346</v>
      </c>
    </row>
    <row r="149" spans="1:15" x14ac:dyDescent="0.25">
      <c r="A149" s="7">
        <v>10179</v>
      </c>
      <c r="B149" s="25">
        <v>4013456789017</v>
      </c>
      <c r="C149" s="26" t="s">
        <v>11</v>
      </c>
      <c r="D149" s="26" t="s">
        <v>12</v>
      </c>
      <c r="E149" s="26" t="s">
        <v>13</v>
      </c>
      <c r="F149" s="8">
        <v>6</v>
      </c>
      <c r="G149" s="8">
        <v>1</v>
      </c>
      <c r="H149" s="26" t="s">
        <v>14</v>
      </c>
      <c r="I149" s="26" t="s">
        <v>15</v>
      </c>
      <c r="J149" s="27">
        <v>45845</v>
      </c>
      <c r="K149" s="8">
        <v>0</v>
      </c>
      <c r="L149" s="26">
        <v>6</v>
      </c>
      <c r="M149" s="26" t="s">
        <v>15</v>
      </c>
      <c r="N149" s="28">
        <v>45839</v>
      </c>
      <c r="O149" s="14" t="s">
        <v>1346</v>
      </c>
    </row>
    <row r="150" spans="1:15" x14ac:dyDescent="0.25">
      <c r="A150" s="5">
        <v>10180</v>
      </c>
      <c r="B150" s="21">
        <v>8599988776654</v>
      </c>
      <c r="C150" s="22" t="s">
        <v>393</v>
      </c>
      <c r="D150" s="22" t="s">
        <v>133</v>
      </c>
      <c r="E150" s="22" t="s">
        <v>17</v>
      </c>
      <c r="F150" s="6">
        <v>16.8</v>
      </c>
      <c r="G150" s="6">
        <v>1</v>
      </c>
      <c r="H150" s="22" t="s">
        <v>14</v>
      </c>
      <c r="I150" s="22" t="s">
        <v>15</v>
      </c>
      <c r="J150" s="23">
        <v>45846</v>
      </c>
      <c r="K150" s="6">
        <v>0</v>
      </c>
      <c r="L150" s="22">
        <v>16.8</v>
      </c>
      <c r="M150" s="22" t="s">
        <v>15</v>
      </c>
      <c r="N150" s="24">
        <v>45839</v>
      </c>
      <c r="O150" s="13" t="s">
        <v>1346</v>
      </c>
    </row>
    <row r="151" spans="1:15" x14ac:dyDescent="0.25">
      <c r="A151" s="7">
        <v>10181</v>
      </c>
      <c r="B151" s="25">
        <v>4063456789014</v>
      </c>
      <c r="C151" s="26" t="s">
        <v>60</v>
      </c>
      <c r="D151" s="26" t="s">
        <v>12</v>
      </c>
      <c r="E151" s="26" t="s">
        <v>61</v>
      </c>
      <c r="F151" s="8">
        <v>36</v>
      </c>
      <c r="G151" s="8">
        <v>1</v>
      </c>
      <c r="H151" s="26" t="s">
        <v>14</v>
      </c>
      <c r="I151" s="26" t="s">
        <v>15</v>
      </c>
      <c r="J151" s="27">
        <v>45846</v>
      </c>
      <c r="K151" s="8">
        <v>0</v>
      </c>
      <c r="L151" s="26">
        <v>36</v>
      </c>
      <c r="M151" s="26" t="s">
        <v>15</v>
      </c>
      <c r="N151" s="28">
        <v>45839</v>
      </c>
      <c r="O151" s="14" t="s">
        <v>1346</v>
      </c>
    </row>
    <row r="152" spans="1:15" x14ac:dyDescent="0.25">
      <c r="A152" s="5">
        <v>10182</v>
      </c>
      <c r="B152" s="21">
        <v>8599988776654</v>
      </c>
      <c r="C152" s="22" t="s">
        <v>393</v>
      </c>
      <c r="D152" s="22" t="s">
        <v>133</v>
      </c>
      <c r="E152" s="22" t="s">
        <v>17</v>
      </c>
      <c r="F152" s="6">
        <v>16.8</v>
      </c>
      <c r="G152" s="6">
        <v>1</v>
      </c>
      <c r="H152" s="22" t="s">
        <v>14</v>
      </c>
      <c r="I152" s="22" t="s">
        <v>15</v>
      </c>
      <c r="J152" s="23">
        <v>45846</v>
      </c>
      <c r="K152" s="6">
        <v>0</v>
      </c>
      <c r="L152" s="22">
        <v>16.8</v>
      </c>
      <c r="M152" s="22" t="s">
        <v>15</v>
      </c>
      <c r="N152" s="24">
        <v>45839</v>
      </c>
      <c r="O152" s="13" t="s">
        <v>1346</v>
      </c>
    </row>
    <row r="153" spans="1:15" x14ac:dyDescent="0.25">
      <c r="A153" s="7">
        <v>10183</v>
      </c>
      <c r="B153" s="25">
        <v>4028899001126</v>
      </c>
      <c r="C153" s="26" t="s">
        <v>16</v>
      </c>
      <c r="D153" s="26" t="s">
        <v>12</v>
      </c>
      <c r="E153" s="26" t="s">
        <v>17</v>
      </c>
      <c r="F153" s="8">
        <v>2.8</v>
      </c>
      <c r="G153" s="8">
        <v>4</v>
      </c>
      <c r="H153" s="26" t="s">
        <v>14</v>
      </c>
      <c r="I153" s="26" t="s">
        <v>15</v>
      </c>
      <c r="J153" s="27">
        <v>45846</v>
      </c>
      <c r="K153" s="8">
        <v>0</v>
      </c>
      <c r="L153" s="26">
        <v>11.2</v>
      </c>
      <c r="M153" s="26" t="s">
        <v>15</v>
      </c>
      <c r="N153" s="28">
        <v>45839</v>
      </c>
      <c r="O153" s="14" t="s">
        <v>1346</v>
      </c>
    </row>
    <row r="154" spans="1:15" x14ac:dyDescent="0.25">
      <c r="A154" s="5">
        <v>10184</v>
      </c>
      <c r="B154" s="21">
        <v>8599988776654</v>
      </c>
      <c r="C154" s="22" t="s">
        <v>393</v>
      </c>
      <c r="D154" s="22" t="s">
        <v>133</v>
      </c>
      <c r="E154" s="22" t="s">
        <v>17</v>
      </c>
      <c r="F154" s="6">
        <v>16.8</v>
      </c>
      <c r="G154" s="6">
        <v>2</v>
      </c>
      <c r="H154" s="22" t="s">
        <v>18</v>
      </c>
      <c r="I154" s="22" t="s">
        <v>421</v>
      </c>
      <c r="J154" s="23">
        <v>45846</v>
      </c>
      <c r="K154" s="6">
        <v>0</v>
      </c>
      <c r="L154" s="22">
        <v>33.6</v>
      </c>
      <c r="M154" s="22">
        <v>4</v>
      </c>
      <c r="N154" s="24">
        <v>45839</v>
      </c>
      <c r="O154" s="13" t="s">
        <v>1346</v>
      </c>
    </row>
    <row r="155" spans="1:15" x14ac:dyDescent="0.25">
      <c r="A155" s="7">
        <v>10185</v>
      </c>
      <c r="B155" s="25">
        <v>4010123456783</v>
      </c>
      <c r="C155" s="26" t="s">
        <v>35</v>
      </c>
      <c r="D155" s="26" t="s">
        <v>36</v>
      </c>
      <c r="E155" s="26" t="s">
        <v>37</v>
      </c>
      <c r="F155" s="8">
        <v>14</v>
      </c>
      <c r="G155" s="8">
        <v>1</v>
      </c>
      <c r="H155" s="26" t="s">
        <v>14</v>
      </c>
      <c r="I155" s="26" t="s">
        <v>15</v>
      </c>
      <c r="J155" s="27">
        <v>45846</v>
      </c>
      <c r="K155" s="8">
        <v>0</v>
      </c>
      <c r="L155" s="26">
        <v>14</v>
      </c>
      <c r="M155" s="26" t="s">
        <v>15</v>
      </c>
      <c r="N155" s="28">
        <v>45839</v>
      </c>
      <c r="O155" s="14" t="s">
        <v>1345</v>
      </c>
    </row>
    <row r="156" spans="1:15" x14ac:dyDescent="0.25">
      <c r="A156" s="5">
        <v>10186</v>
      </c>
      <c r="B156" s="21">
        <v>8599988776654</v>
      </c>
      <c r="C156" s="22" t="s">
        <v>393</v>
      </c>
      <c r="D156" s="22" t="s">
        <v>133</v>
      </c>
      <c r="E156" s="22" t="s">
        <v>17</v>
      </c>
      <c r="F156" s="6">
        <v>16.8</v>
      </c>
      <c r="G156" s="6">
        <v>1</v>
      </c>
      <c r="H156" s="22" t="s">
        <v>14</v>
      </c>
      <c r="I156" s="22" t="s">
        <v>15</v>
      </c>
      <c r="J156" s="23">
        <v>45846</v>
      </c>
      <c r="K156" s="6">
        <v>0</v>
      </c>
      <c r="L156" s="22">
        <v>16.8</v>
      </c>
      <c r="M156" s="22" t="s">
        <v>15</v>
      </c>
      <c r="N156" s="24">
        <v>45839</v>
      </c>
      <c r="O156" s="13" t="s">
        <v>1346</v>
      </c>
    </row>
    <row r="157" spans="1:15" x14ac:dyDescent="0.25">
      <c r="A157" s="7">
        <v>10187</v>
      </c>
      <c r="B157" s="25">
        <v>4056789012345</v>
      </c>
      <c r="C157" s="26" t="s">
        <v>47</v>
      </c>
      <c r="D157" s="26" t="s">
        <v>29</v>
      </c>
      <c r="E157" s="26" t="s">
        <v>37</v>
      </c>
      <c r="F157" s="8">
        <v>2.4</v>
      </c>
      <c r="G157" s="8">
        <v>2</v>
      </c>
      <c r="H157" s="26" t="s">
        <v>14</v>
      </c>
      <c r="I157" s="26" t="s">
        <v>15</v>
      </c>
      <c r="J157" s="27">
        <v>45846</v>
      </c>
      <c r="K157" s="8">
        <v>0</v>
      </c>
      <c r="L157" s="26">
        <v>4.8</v>
      </c>
      <c r="M157" s="26" t="s">
        <v>15</v>
      </c>
      <c r="N157" s="28">
        <v>45839</v>
      </c>
      <c r="O157" s="14" t="s">
        <v>1345</v>
      </c>
    </row>
    <row r="158" spans="1:15" x14ac:dyDescent="0.25">
      <c r="A158" s="5">
        <v>10188</v>
      </c>
      <c r="B158" s="21">
        <v>8599988776654</v>
      </c>
      <c r="C158" s="22" t="s">
        <v>393</v>
      </c>
      <c r="D158" s="22" t="s">
        <v>133</v>
      </c>
      <c r="E158" s="22" t="s">
        <v>17</v>
      </c>
      <c r="F158" s="6">
        <v>16.8</v>
      </c>
      <c r="G158" s="6">
        <v>1</v>
      </c>
      <c r="H158" s="22" t="s">
        <v>23</v>
      </c>
      <c r="I158" s="22" t="s">
        <v>422</v>
      </c>
      <c r="J158" s="23">
        <v>45846</v>
      </c>
      <c r="K158" s="6">
        <v>0</v>
      </c>
      <c r="L158" s="22">
        <v>16.8</v>
      </c>
      <c r="M158" s="22">
        <v>5</v>
      </c>
      <c r="N158" s="24">
        <v>45839</v>
      </c>
      <c r="O158" s="13" t="s">
        <v>1346</v>
      </c>
    </row>
    <row r="159" spans="1:15" x14ac:dyDescent="0.25">
      <c r="A159" s="7">
        <v>10189</v>
      </c>
      <c r="B159" s="25">
        <v>4017890123450</v>
      </c>
      <c r="C159" s="26" t="s">
        <v>65</v>
      </c>
      <c r="D159" s="26" t="s">
        <v>39</v>
      </c>
      <c r="E159" s="26" t="s">
        <v>22</v>
      </c>
      <c r="F159" s="8">
        <v>7.6</v>
      </c>
      <c r="G159" s="8">
        <v>1</v>
      </c>
      <c r="H159" s="26" t="s">
        <v>14</v>
      </c>
      <c r="I159" s="26" t="s">
        <v>15</v>
      </c>
      <c r="J159" s="27">
        <v>45846</v>
      </c>
      <c r="K159" s="8">
        <v>0</v>
      </c>
      <c r="L159" s="26">
        <v>7.6</v>
      </c>
      <c r="M159" s="26" t="s">
        <v>15</v>
      </c>
      <c r="N159" s="28">
        <v>45839</v>
      </c>
      <c r="O159" s="14" t="s">
        <v>1346</v>
      </c>
    </row>
    <row r="160" spans="1:15" x14ac:dyDescent="0.25">
      <c r="A160" s="5">
        <v>10190</v>
      </c>
      <c r="B160" s="21">
        <v>8599988776654</v>
      </c>
      <c r="C160" s="22" t="s">
        <v>393</v>
      </c>
      <c r="D160" s="22" t="s">
        <v>133</v>
      </c>
      <c r="E160" s="22" t="s">
        <v>17</v>
      </c>
      <c r="F160" s="6">
        <v>16.8</v>
      </c>
      <c r="G160" s="6">
        <v>1</v>
      </c>
      <c r="H160" s="22" t="s">
        <v>14</v>
      </c>
      <c r="I160" s="22" t="s">
        <v>15</v>
      </c>
      <c r="J160" s="23">
        <v>45846</v>
      </c>
      <c r="K160" s="6">
        <v>0</v>
      </c>
      <c r="L160" s="22">
        <v>16.8</v>
      </c>
      <c r="M160" s="22" t="s">
        <v>15</v>
      </c>
      <c r="N160" s="24">
        <v>45839</v>
      </c>
      <c r="O160" s="13" t="s">
        <v>1346</v>
      </c>
    </row>
    <row r="161" spans="1:15" x14ac:dyDescent="0.25">
      <c r="A161" s="7">
        <v>10191</v>
      </c>
      <c r="B161" s="25">
        <v>4026677889902</v>
      </c>
      <c r="C161" s="26" t="s">
        <v>52</v>
      </c>
      <c r="D161" s="26" t="s">
        <v>53</v>
      </c>
      <c r="E161" s="26" t="s">
        <v>54</v>
      </c>
      <c r="F161" s="8">
        <v>7.6</v>
      </c>
      <c r="G161" s="8">
        <v>1</v>
      </c>
      <c r="H161" s="26" t="s">
        <v>14</v>
      </c>
      <c r="I161" s="26" t="s">
        <v>15</v>
      </c>
      <c r="J161" s="27">
        <v>45846</v>
      </c>
      <c r="K161" s="8">
        <v>0</v>
      </c>
      <c r="L161" s="26">
        <v>7.6</v>
      </c>
      <c r="M161" s="26" t="s">
        <v>15</v>
      </c>
      <c r="N161" s="28">
        <v>45839</v>
      </c>
      <c r="O161" s="14" t="s">
        <v>1344</v>
      </c>
    </row>
    <row r="162" spans="1:15" x14ac:dyDescent="0.25">
      <c r="A162" s="5">
        <v>10192</v>
      </c>
      <c r="B162" s="21">
        <v>8599988776654</v>
      </c>
      <c r="C162" s="22" t="s">
        <v>393</v>
      </c>
      <c r="D162" s="22" t="s">
        <v>133</v>
      </c>
      <c r="E162" s="22" t="s">
        <v>17</v>
      </c>
      <c r="F162" s="6">
        <v>16.8</v>
      </c>
      <c r="G162" s="6">
        <v>1</v>
      </c>
      <c r="H162" s="22" t="s">
        <v>14</v>
      </c>
      <c r="I162" s="22" t="s">
        <v>15</v>
      </c>
      <c r="J162" s="23">
        <v>45846</v>
      </c>
      <c r="K162" s="6">
        <v>0</v>
      </c>
      <c r="L162" s="22">
        <v>16.8</v>
      </c>
      <c r="M162" s="22" t="s">
        <v>15</v>
      </c>
      <c r="N162" s="24">
        <v>45839</v>
      </c>
      <c r="O162" s="13" t="s">
        <v>1346</v>
      </c>
    </row>
    <row r="163" spans="1:15" x14ac:dyDescent="0.25">
      <c r="A163" s="7">
        <v>10193</v>
      </c>
      <c r="B163" s="25">
        <v>4028899001126</v>
      </c>
      <c r="C163" s="26" t="s">
        <v>16</v>
      </c>
      <c r="D163" s="26" t="s">
        <v>12</v>
      </c>
      <c r="E163" s="26" t="s">
        <v>17</v>
      </c>
      <c r="F163" s="8">
        <v>2.8</v>
      </c>
      <c r="G163" s="8">
        <v>3</v>
      </c>
      <c r="H163" s="26" t="s">
        <v>14</v>
      </c>
      <c r="I163" s="26" t="s">
        <v>15</v>
      </c>
      <c r="J163" s="27">
        <v>45846</v>
      </c>
      <c r="K163" s="8">
        <v>0</v>
      </c>
      <c r="L163" s="26">
        <v>8.3999999999999986</v>
      </c>
      <c r="M163" s="26" t="s">
        <v>15</v>
      </c>
      <c r="N163" s="28">
        <v>45839</v>
      </c>
      <c r="O163" s="14" t="s">
        <v>1346</v>
      </c>
    </row>
    <row r="164" spans="1:15" x14ac:dyDescent="0.25">
      <c r="A164" s="5">
        <v>10194</v>
      </c>
      <c r="B164" s="21">
        <v>8599988776654</v>
      </c>
      <c r="C164" s="22" t="s">
        <v>393</v>
      </c>
      <c r="D164" s="22" t="s">
        <v>133</v>
      </c>
      <c r="E164" s="22" t="s">
        <v>17</v>
      </c>
      <c r="F164" s="6">
        <v>16.8</v>
      </c>
      <c r="G164" s="6">
        <v>1</v>
      </c>
      <c r="H164" s="22" t="s">
        <v>18</v>
      </c>
      <c r="I164" s="22" t="s">
        <v>423</v>
      </c>
      <c r="J164" s="23">
        <v>45847</v>
      </c>
      <c r="K164" s="6">
        <v>0</v>
      </c>
      <c r="L164" s="22">
        <v>16.8</v>
      </c>
      <c r="M164" s="22">
        <v>4</v>
      </c>
      <c r="N164" s="24">
        <v>45839</v>
      </c>
      <c r="O164" s="13" t="s">
        <v>1346</v>
      </c>
    </row>
    <row r="165" spans="1:15" x14ac:dyDescent="0.25">
      <c r="A165" s="7">
        <v>10195</v>
      </c>
      <c r="B165" s="25">
        <v>4013456789017</v>
      </c>
      <c r="C165" s="26" t="s">
        <v>11</v>
      </c>
      <c r="D165" s="26" t="s">
        <v>12</v>
      </c>
      <c r="E165" s="26" t="s">
        <v>13</v>
      </c>
      <c r="F165" s="8">
        <v>6</v>
      </c>
      <c r="G165" s="8">
        <v>1</v>
      </c>
      <c r="H165" s="26" t="s">
        <v>14</v>
      </c>
      <c r="I165" s="26" t="s">
        <v>15</v>
      </c>
      <c r="J165" s="27">
        <v>45847</v>
      </c>
      <c r="K165" s="8">
        <v>0</v>
      </c>
      <c r="L165" s="26">
        <v>6</v>
      </c>
      <c r="M165" s="26" t="s">
        <v>15</v>
      </c>
      <c r="N165" s="28">
        <v>45839</v>
      </c>
      <c r="O165" s="14" t="s">
        <v>1346</v>
      </c>
    </row>
    <row r="166" spans="1:15" x14ac:dyDescent="0.25">
      <c r="A166" s="5">
        <v>10196</v>
      </c>
      <c r="B166" s="21">
        <v>8599988776654</v>
      </c>
      <c r="C166" s="22" t="s">
        <v>393</v>
      </c>
      <c r="D166" s="22" t="s">
        <v>133</v>
      </c>
      <c r="E166" s="22" t="s">
        <v>17</v>
      </c>
      <c r="F166" s="6">
        <v>16.8</v>
      </c>
      <c r="G166" s="6">
        <v>1</v>
      </c>
      <c r="H166" s="22" t="s">
        <v>14</v>
      </c>
      <c r="I166" s="22" t="s">
        <v>15</v>
      </c>
      <c r="J166" s="23">
        <v>45847</v>
      </c>
      <c r="K166" s="6">
        <v>0</v>
      </c>
      <c r="L166" s="22">
        <v>16.8</v>
      </c>
      <c r="M166" s="22" t="s">
        <v>15</v>
      </c>
      <c r="N166" s="24">
        <v>45839</v>
      </c>
      <c r="O166" s="13" t="s">
        <v>1346</v>
      </c>
    </row>
    <row r="167" spans="1:15" x14ac:dyDescent="0.25">
      <c r="A167" s="7">
        <v>10197</v>
      </c>
      <c r="B167" s="25">
        <v>4028899001126</v>
      </c>
      <c r="C167" s="26" t="s">
        <v>16</v>
      </c>
      <c r="D167" s="26" t="s">
        <v>12</v>
      </c>
      <c r="E167" s="26" t="s">
        <v>17</v>
      </c>
      <c r="F167" s="8">
        <v>2.8</v>
      </c>
      <c r="G167" s="8">
        <v>3</v>
      </c>
      <c r="H167" s="26" t="s">
        <v>14</v>
      </c>
      <c r="I167" s="26" t="s">
        <v>15</v>
      </c>
      <c r="J167" s="27">
        <v>45847</v>
      </c>
      <c r="K167" s="8">
        <v>0</v>
      </c>
      <c r="L167" s="26">
        <v>8.3999999999999986</v>
      </c>
      <c r="M167" s="26" t="s">
        <v>15</v>
      </c>
      <c r="N167" s="28">
        <v>45839</v>
      </c>
      <c r="O167" s="14" t="s">
        <v>1346</v>
      </c>
    </row>
    <row r="168" spans="1:15" x14ac:dyDescent="0.25">
      <c r="A168" s="5">
        <v>10198</v>
      </c>
      <c r="B168" s="21">
        <v>8599988776654</v>
      </c>
      <c r="C168" s="22" t="s">
        <v>393</v>
      </c>
      <c r="D168" s="22" t="s">
        <v>133</v>
      </c>
      <c r="E168" s="22" t="s">
        <v>17</v>
      </c>
      <c r="F168" s="6">
        <v>16.8</v>
      </c>
      <c r="G168" s="6">
        <v>2</v>
      </c>
      <c r="H168" s="22" t="s">
        <v>14</v>
      </c>
      <c r="I168" s="22" t="s">
        <v>15</v>
      </c>
      <c r="J168" s="23">
        <v>45847</v>
      </c>
      <c r="K168" s="6">
        <v>0</v>
      </c>
      <c r="L168" s="22">
        <v>33.6</v>
      </c>
      <c r="M168" s="22" t="s">
        <v>15</v>
      </c>
      <c r="N168" s="24">
        <v>45839</v>
      </c>
      <c r="O168" s="13" t="s">
        <v>1346</v>
      </c>
    </row>
    <row r="169" spans="1:15" x14ac:dyDescent="0.25">
      <c r="A169" s="7">
        <v>10199</v>
      </c>
      <c r="B169" s="25">
        <v>4063456789014</v>
      </c>
      <c r="C169" s="26" t="s">
        <v>60</v>
      </c>
      <c r="D169" s="26" t="s">
        <v>12</v>
      </c>
      <c r="E169" s="26" t="s">
        <v>61</v>
      </c>
      <c r="F169" s="8">
        <v>36</v>
      </c>
      <c r="G169" s="8">
        <v>1</v>
      </c>
      <c r="H169" s="26" t="s">
        <v>14</v>
      </c>
      <c r="I169" s="26" t="s">
        <v>15</v>
      </c>
      <c r="J169" s="27">
        <v>45847</v>
      </c>
      <c r="K169" s="8">
        <v>0</v>
      </c>
      <c r="L169" s="26">
        <v>36</v>
      </c>
      <c r="M169" s="26" t="s">
        <v>15</v>
      </c>
      <c r="N169" s="28">
        <v>45839</v>
      </c>
      <c r="O169" s="14" t="s">
        <v>1346</v>
      </c>
    </row>
    <row r="170" spans="1:15" x14ac:dyDescent="0.25">
      <c r="A170" s="5">
        <v>10200</v>
      </c>
      <c r="B170" s="21">
        <v>8599988776654</v>
      </c>
      <c r="C170" s="22" t="s">
        <v>393</v>
      </c>
      <c r="D170" s="22" t="s">
        <v>133</v>
      </c>
      <c r="E170" s="22" t="s">
        <v>17</v>
      </c>
      <c r="F170" s="6">
        <v>16.8</v>
      </c>
      <c r="G170" s="6">
        <v>1</v>
      </c>
      <c r="H170" s="22" t="s">
        <v>23</v>
      </c>
      <c r="I170" s="22" t="s">
        <v>424</v>
      </c>
      <c r="J170" s="23">
        <v>45847</v>
      </c>
      <c r="K170" s="6">
        <v>0</v>
      </c>
      <c r="L170" s="22">
        <v>16.8</v>
      </c>
      <c r="M170" s="22">
        <v>5</v>
      </c>
      <c r="N170" s="24">
        <v>45839</v>
      </c>
      <c r="O170" s="13" t="s">
        <v>1346</v>
      </c>
    </row>
    <row r="171" spans="1:15" x14ac:dyDescent="0.25">
      <c r="A171" s="7">
        <v>10201</v>
      </c>
      <c r="B171" s="25">
        <v>4010123456783</v>
      </c>
      <c r="C171" s="26" t="s">
        <v>35</v>
      </c>
      <c r="D171" s="26" t="s">
        <v>36</v>
      </c>
      <c r="E171" s="26" t="s">
        <v>37</v>
      </c>
      <c r="F171" s="8">
        <v>14</v>
      </c>
      <c r="G171" s="8">
        <v>1</v>
      </c>
      <c r="H171" s="26" t="s">
        <v>14</v>
      </c>
      <c r="I171" s="26" t="s">
        <v>15</v>
      </c>
      <c r="J171" s="27">
        <v>45847</v>
      </c>
      <c r="K171" s="8">
        <v>0</v>
      </c>
      <c r="L171" s="26">
        <v>14</v>
      </c>
      <c r="M171" s="26" t="s">
        <v>15</v>
      </c>
      <c r="N171" s="28">
        <v>45839</v>
      </c>
      <c r="O171" s="14" t="s">
        <v>1345</v>
      </c>
    </row>
    <row r="172" spans="1:15" x14ac:dyDescent="0.25">
      <c r="A172" s="5">
        <v>10202</v>
      </c>
      <c r="B172" s="21">
        <v>8599988776654</v>
      </c>
      <c r="C172" s="22" t="s">
        <v>393</v>
      </c>
      <c r="D172" s="22" t="s">
        <v>133</v>
      </c>
      <c r="E172" s="22" t="s">
        <v>17</v>
      </c>
      <c r="F172" s="6">
        <v>16.8</v>
      </c>
      <c r="G172" s="6">
        <v>1</v>
      </c>
      <c r="H172" s="22" t="s">
        <v>14</v>
      </c>
      <c r="I172" s="22" t="s">
        <v>15</v>
      </c>
      <c r="J172" s="23">
        <v>45847</v>
      </c>
      <c r="K172" s="6">
        <v>0</v>
      </c>
      <c r="L172" s="22">
        <v>16.8</v>
      </c>
      <c r="M172" s="22" t="s">
        <v>15</v>
      </c>
      <c r="N172" s="24">
        <v>45839</v>
      </c>
      <c r="O172" s="13" t="s">
        <v>1346</v>
      </c>
    </row>
    <row r="173" spans="1:15" x14ac:dyDescent="0.25">
      <c r="A173" s="7">
        <v>10203</v>
      </c>
      <c r="B173" s="25">
        <v>4027788990013</v>
      </c>
      <c r="C173" s="26" t="s">
        <v>43</v>
      </c>
      <c r="D173" s="26" t="s">
        <v>21</v>
      </c>
      <c r="E173" s="26" t="s">
        <v>22</v>
      </c>
      <c r="F173" s="8">
        <v>8</v>
      </c>
      <c r="G173" s="8">
        <v>1</v>
      </c>
      <c r="H173" s="26" t="s">
        <v>14</v>
      </c>
      <c r="I173" s="26" t="s">
        <v>15</v>
      </c>
      <c r="J173" s="27">
        <v>45847</v>
      </c>
      <c r="K173" s="8">
        <v>0</v>
      </c>
      <c r="L173" s="26">
        <v>8</v>
      </c>
      <c r="M173" s="26" t="s">
        <v>15</v>
      </c>
      <c r="N173" s="28">
        <v>45839</v>
      </c>
      <c r="O173" s="14" t="s">
        <v>1346</v>
      </c>
    </row>
    <row r="174" spans="1:15" x14ac:dyDescent="0.25">
      <c r="A174" s="5">
        <v>10204</v>
      </c>
      <c r="B174" s="21">
        <v>8599988776654</v>
      </c>
      <c r="C174" s="22" t="s">
        <v>393</v>
      </c>
      <c r="D174" s="22" t="s">
        <v>133</v>
      </c>
      <c r="E174" s="22" t="s">
        <v>17</v>
      </c>
      <c r="F174" s="6">
        <v>16.8</v>
      </c>
      <c r="G174" s="6">
        <v>1</v>
      </c>
      <c r="H174" s="22" t="s">
        <v>14</v>
      </c>
      <c r="I174" s="22" t="s">
        <v>15</v>
      </c>
      <c r="J174" s="23">
        <v>45847</v>
      </c>
      <c r="K174" s="6">
        <v>0</v>
      </c>
      <c r="L174" s="22">
        <v>16.8</v>
      </c>
      <c r="M174" s="22" t="s">
        <v>15</v>
      </c>
      <c r="N174" s="24">
        <v>45839</v>
      </c>
      <c r="O174" s="13" t="s">
        <v>1346</v>
      </c>
    </row>
    <row r="175" spans="1:15" x14ac:dyDescent="0.25">
      <c r="A175" s="7">
        <v>10205</v>
      </c>
      <c r="B175" s="25">
        <v>4013456789017</v>
      </c>
      <c r="C175" s="26" t="s">
        <v>11</v>
      </c>
      <c r="D175" s="26" t="s">
        <v>12</v>
      </c>
      <c r="E175" s="26" t="s">
        <v>13</v>
      </c>
      <c r="F175" s="8">
        <v>6</v>
      </c>
      <c r="G175" s="8">
        <v>2</v>
      </c>
      <c r="H175" s="26" t="s">
        <v>14</v>
      </c>
      <c r="I175" s="26" t="s">
        <v>15</v>
      </c>
      <c r="J175" s="27">
        <v>45847</v>
      </c>
      <c r="K175" s="8">
        <v>0</v>
      </c>
      <c r="L175" s="26">
        <v>12</v>
      </c>
      <c r="M175" s="26" t="s">
        <v>15</v>
      </c>
      <c r="N175" s="28">
        <v>45839</v>
      </c>
      <c r="O175" s="14" t="s">
        <v>1346</v>
      </c>
    </row>
    <row r="176" spans="1:15" x14ac:dyDescent="0.25">
      <c r="A176" s="5">
        <v>10206</v>
      </c>
      <c r="B176" s="21">
        <v>8599988776654</v>
      </c>
      <c r="C176" s="22" t="s">
        <v>393</v>
      </c>
      <c r="D176" s="22" t="s">
        <v>133</v>
      </c>
      <c r="E176" s="22" t="s">
        <v>17</v>
      </c>
      <c r="F176" s="6">
        <v>16.8</v>
      </c>
      <c r="G176" s="6">
        <v>2</v>
      </c>
      <c r="H176" s="22" t="s">
        <v>18</v>
      </c>
      <c r="I176" s="22" t="s">
        <v>425</v>
      </c>
      <c r="J176" s="23">
        <v>45847</v>
      </c>
      <c r="K176" s="6">
        <v>0</v>
      </c>
      <c r="L176" s="22">
        <v>33.6</v>
      </c>
      <c r="M176" s="22">
        <v>4</v>
      </c>
      <c r="N176" s="24">
        <v>45839</v>
      </c>
      <c r="O176" s="13" t="s">
        <v>1346</v>
      </c>
    </row>
    <row r="177" spans="1:15" x14ac:dyDescent="0.25">
      <c r="A177" s="7">
        <v>10207</v>
      </c>
      <c r="B177" s="25">
        <v>8599988776654</v>
      </c>
      <c r="C177" s="26" t="s">
        <v>393</v>
      </c>
      <c r="D177" s="26" t="s">
        <v>133</v>
      </c>
      <c r="E177" s="26" t="s">
        <v>17</v>
      </c>
      <c r="F177" s="8">
        <v>16.8</v>
      </c>
      <c r="G177" s="8">
        <v>1</v>
      </c>
      <c r="H177" s="26" t="s">
        <v>23</v>
      </c>
      <c r="I177" s="26" t="s">
        <v>426</v>
      </c>
      <c r="J177" s="27">
        <v>45847</v>
      </c>
      <c r="K177" s="8">
        <v>0</v>
      </c>
      <c r="L177" s="26">
        <v>16.8</v>
      </c>
      <c r="M177" s="26">
        <v>5</v>
      </c>
      <c r="N177" s="28">
        <v>45839</v>
      </c>
      <c r="O177" s="14" t="s">
        <v>1346</v>
      </c>
    </row>
    <row r="178" spans="1:15" x14ac:dyDescent="0.25">
      <c r="A178" s="5">
        <v>10208</v>
      </c>
      <c r="B178" s="21">
        <v>4028899001126</v>
      </c>
      <c r="C178" s="22" t="s">
        <v>16</v>
      </c>
      <c r="D178" s="22" t="s">
        <v>12</v>
      </c>
      <c r="E178" s="22" t="s">
        <v>17</v>
      </c>
      <c r="F178" s="6">
        <v>2.8</v>
      </c>
      <c r="G178" s="6">
        <v>3</v>
      </c>
      <c r="H178" s="22" t="s">
        <v>18</v>
      </c>
      <c r="I178" s="22" t="s">
        <v>427</v>
      </c>
      <c r="J178" s="23">
        <v>45847</v>
      </c>
      <c r="K178" s="6">
        <v>0</v>
      </c>
      <c r="L178" s="22">
        <v>8.3999999999999986</v>
      </c>
      <c r="M178" s="22">
        <v>4</v>
      </c>
      <c r="N178" s="24">
        <v>45839</v>
      </c>
      <c r="O178" s="13" t="s">
        <v>1346</v>
      </c>
    </row>
    <row r="179" spans="1:15" x14ac:dyDescent="0.25">
      <c r="A179" s="7">
        <v>10209</v>
      </c>
      <c r="B179" s="25">
        <v>4056789012345</v>
      </c>
      <c r="C179" s="26" t="s">
        <v>47</v>
      </c>
      <c r="D179" s="26" t="s">
        <v>29</v>
      </c>
      <c r="E179" s="26" t="s">
        <v>37</v>
      </c>
      <c r="F179" s="8">
        <v>2.4</v>
      </c>
      <c r="G179" s="8">
        <v>2</v>
      </c>
      <c r="H179" s="26" t="s">
        <v>14</v>
      </c>
      <c r="I179" s="26" t="s">
        <v>15</v>
      </c>
      <c r="J179" s="27">
        <v>45847</v>
      </c>
      <c r="K179" s="8">
        <v>0</v>
      </c>
      <c r="L179" s="26">
        <v>4.8</v>
      </c>
      <c r="M179" s="26" t="s">
        <v>15</v>
      </c>
      <c r="N179" s="28">
        <v>45839</v>
      </c>
      <c r="O179" s="14" t="s">
        <v>1345</v>
      </c>
    </row>
    <row r="180" spans="1:15" x14ac:dyDescent="0.25">
      <c r="A180" s="5">
        <v>10210</v>
      </c>
      <c r="B180" s="21">
        <v>4063456789014</v>
      </c>
      <c r="C180" s="22" t="s">
        <v>60</v>
      </c>
      <c r="D180" s="22" t="s">
        <v>12</v>
      </c>
      <c r="E180" s="22" t="s">
        <v>61</v>
      </c>
      <c r="F180" s="6">
        <v>36</v>
      </c>
      <c r="G180" s="6">
        <v>1</v>
      </c>
      <c r="H180" s="22" t="s">
        <v>14</v>
      </c>
      <c r="I180" s="22" t="s">
        <v>15</v>
      </c>
      <c r="J180" s="23">
        <v>45847</v>
      </c>
      <c r="K180" s="6">
        <v>0</v>
      </c>
      <c r="L180" s="22">
        <v>36</v>
      </c>
      <c r="M180" s="22" t="s">
        <v>15</v>
      </c>
      <c r="N180" s="24">
        <v>45839</v>
      </c>
      <c r="O180" s="13" t="s">
        <v>1346</v>
      </c>
    </row>
    <row r="181" spans="1:15" x14ac:dyDescent="0.25">
      <c r="A181" s="7">
        <v>10211</v>
      </c>
      <c r="B181" s="25">
        <v>8599988776654</v>
      </c>
      <c r="C181" s="26" t="s">
        <v>393</v>
      </c>
      <c r="D181" s="26" t="s">
        <v>133</v>
      </c>
      <c r="E181" s="26" t="s">
        <v>17</v>
      </c>
      <c r="F181" s="8">
        <v>16.8</v>
      </c>
      <c r="G181" s="8">
        <v>1</v>
      </c>
      <c r="H181" s="26" t="s">
        <v>14</v>
      </c>
      <c r="I181" s="26" t="s">
        <v>15</v>
      </c>
      <c r="J181" s="27">
        <v>45847</v>
      </c>
      <c r="K181" s="8">
        <v>0</v>
      </c>
      <c r="L181" s="26">
        <v>16.8</v>
      </c>
      <c r="M181" s="26" t="s">
        <v>15</v>
      </c>
      <c r="N181" s="28">
        <v>45839</v>
      </c>
      <c r="O181" s="14" t="s">
        <v>1346</v>
      </c>
    </row>
    <row r="182" spans="1:15" x14ac:dyDescent="0.25">
      <c r="A182" s="5">
        <v>10212</v>
      </c>
      <c r="B182" s="21">
        <v>4013456789017</v>
      </c>
      <c r="C182" s="22" t="s">
        <v>11</v>
      </c>
      <c r="D182" s="22" t="s">
        <v>12</v>
      </c>
      <c r="E182" s="22" t="s">
        <v>13</v>
      </c>
      <c r="F182" s="6">
        <v>6</v>
      </c>
      <c r="G182" s="6">
        <v>2</v>
      </c>
      <c r="H182" s="22" t="s">
        <v>18</v>
      </c>
      <c r="I182" s="22" t="s">
        <v>428</v>
      </c>
      <c r="J182" s="23">
        <v>45848</v>
      </c>
      <c r="K182" s="6">
        <v>0</v>
      </c>
      <c r="L182" s="22">
        <v>12</v>
      </c>
      <c r="M182" s="22">
        <v>4</v>
      </c>
      <c r="N182" s="24">
        <v>45839</v>
      </c>
      <c r="O182" s="13" t="s">
        <v>1346</v>
      </c>
    </row>
    <row r="183" spans="1:15" x14ac:dyDescent="0.25">
      <c r="A183" s="7">
        <v>10213</v>
      </c>
      <c r="B183" s="25">
        <v>8599988776654</v>
      </c>
      <c r="C183" s="26" t="s">
        <v>393</v>
      </c>
      <c r="D183" s="26" t="s">
        <v>133</v>
      </c>
      <c r="E183" s="26" t="s">
        <v>17</v>
      </c>
      <c r="F183" s="8">
        <v>16.8</v>
      </c>
      <c r="G183" s="8">
        <v>2</v>
      </c>
      <c r="H183" s="26" t="s">
        <v>14</v>
      </c>
      <c r="I183" s="26" t="s">
        <v>15</v>
      </c>
      <c r="J183" s="27">
        <v>45848</v>
      </c>
      <c r="K183" s="8">
        <v>0</v>
      </c>
      <c r="L183" s="26">
        <v>33.6</v>
      </c>
      <c r="M183" s="26" t="s">
        <v>15</v>
      </c>
      <c r="N183" s="28">
        <v>45839</v>
      </c>
      <c r="O183" s="14" t="s">
        <v>1346</v>
      </c>
    </row>
    <row r="184" spans="1:15" x14ac:dyDescent="0.25">
      <c r="A184" s="5">
        <v>10214</v>
      </c>
      <c r="B184" s="21">
        <v>4010123456783</v>
      </c>
      <c r="C184" s="22" t="s">
        <v>35</v>
      </c>
      <c r="D184" s="22" t="s">
        <v>36</v>
      </c>
      <c r="E184" s="22" t="s">
        <v>37</v>
      </c>
      <c r="F184" s="6">
        <v>14</v>
      </c>
      <c r="G184" s="6">
        <v>1</v>
      </c>
      <c r="H184" s="22" t="s">
        <v>14</v>
      </c>
      <c r="I184" s="22" t="s">
        <v>15</v>
      </c>
      <c r="J184" s="23">
        <v>45848</v>
      </c>
      <c r="K184" s="6">
        <v>0</v>
      </c>
      <c r="L184" s="22">
        <v>14</v>
      </c>
      <c r="M184" s="22" t="s">
        <v>15</v>
      </c>
      <c r="N184" s="24">
        <v>45839</v>
      </c>
      <c r="O184" s="13" t="s">
        <v>1345</v>
      </c>
    </row>
    <row r="185" spans="1:15" x14ac:dyDescent="0.25">
      <c r="A185" s="7">
        <v>10215</v>
      </c>
      <c r="B185" s="25">
        <v>4021234567894</v>
      </c>
      <c r="C185" s="26" t="s">
        <v>79</v>
      </c>
      <c r="D185" s="26" t="s">
        <v>36</v>
      </c>
      <c r="E185" s="26" t="s">
        <v>69</v>
      </c>
      <c r="F185" s="8">
        <v>8</v>
      </c>
      <c r="G185" s="8">
        <v>1</v>
      </c>
      <c r="H185" s="26" t="s">
        <v>33</v>
      </c>
      <c r="I185" s="26" t="s">
        <v>429</v>
      </c>
      <c r="J185" s="27">
        <v>45848</v>
      </c>
      <c r="K185" s="8">
        <v>0</v>
      </c>
      <c r="L185" s="26">
        <v>8</v>
      </c>
      <c r="M185" s="26">
        <v>3</v>
      </c>
      <c r="N185" s="28">
        <v>45839</v>
      </c>
      <c r="O185" s="14" t="s">
        <v>1345</v>
      </c>
    </row>
    <row r="186" spans="1:15" x14ac:dyDescent="0.25">
      <c r="A186" s="5">
        <v>10216</v>
      </c>
      <c r="B186" s="21">
        <v>8599988776654</v>
      </c>
      <c r="C186" s="22" t="s">
        <v>393</v>
      </c>
      <c r="D186" s="22" t="s">
        <v>133</v>
      </c>
      <c r="E186" s="22" t="s">
        <v>17</v>
      </c>
      <c r="F186" s="6">
        <v>16.8</v>
      </c>
      <c r="G186" s="6">
        <v>1</v>
      </c>
      <c r="H186" s="22" t="s">
        <v>14</v>
      </c>
      <c r="I186" s="22" t="s">
        <v>15</v>
      </c>
      <c r="J186" s="23">
        <v>45848</v>
      </c>
      <c r="K186" s="6">
        <v>0</v>
      </c>
      <c r="L186" s="22">
        <v>16.8</v>
      </c>
      <c r="M186" s="22" t="s">
        <v>15</v>
      </c>
      <c r="N186" s="24">
        <v>45839</v>
      </c>
      <c r="O186" s="13" t="s">
        <v>1346</v>
      </c>
    </row>
    <row r="187" spans="1:15" x14ac:dyDescent="0.25">
      <c r="A187" s="7">
        <v>10217</v>
      </c>
      <c r="B187" s="25">
        <v>4017890123450</v>
      </c>
      <c r="C187" s="26" t="s">
        <v>65</v>
      </c>
      <c r="D187" s="26" t="s">
        <v>39</v>
      </c>
      <c r="E187" s="26" t="s">
        <v>22</v>
      </c>
      <c r="F187" s="8">
        <v>7.6</v>
      </c>
      <c r="G187" s="8">
        <v>1</v>
      </c>
      <c r="H187" s="26" t="s">
        <v>23</v>
      </c>
      <c r="I187" s="26" t="s">
        <v>430</v>
      </c>
      <c r="J187" s="27">
        <v>45848</v>
      </c>
      <c r="K187" s="8">
        <v>0</v>
      </c>
      <c r="L187" s="26">
        <v>7.6</v>
      </c>
      <c r="M187" s="26">
        <v>5</v>
      </c>
      <c r="N187" s="28">
        <v>45839</v>
      </c>
      <c r="O187" s="14" t="s">
        <v>1346</v>
      </c>
    </row>
    <row r="188" spans="1:15" x14ac:dyDescent="0.25">
      <c r="A188" s="5">
        <v>10218</v>
      </c>
      <c r="B188" s="21">
        <v>8599988776654</v>
      </c>
      <c r="C188" s="22" t="s">
        <v>393</v>
      </c>
      <c r="D188" s="22" t="s">
        <v>133</v>
      </c>
      <c r="E188" s="22" t="s">
        <v>17</v>
      </c>
      <c r="F188" s="6">
        <v>16.8</v>
      </c>
      <c r="G188" s="6">
        <v>1</v>
      </c>
      <c r="H188" s="22" t="s">
        <v>14</v>
      </c>
      <c r="I188" s="22" t="s">
        <v>15</v>
      </c>
      <c r="J188" s="23">
        <v>45848</v>
      </c>
      <c r="K188" s="6">
        <v>0</v>
      </c>
      <c r="L188" s="22">
        <v>16.8</v>
      </c>
      <c r="M188" s="22" t="s">
        <v>15</v>
      </c>
      <c r="N188" s="24">
        <v>45839</v>
      </c>
      <c r="O188" s="13" t="s">
        <v>1346</v>
      </c>
    </row>
    <row r="189" spans="1:15" x14ac:dyDescent="0.25">
      <c r="A189" s="7">
        <v>10219</v>
      </c>
      <c r="B189" s="25">
        <v>4063456789014</v>
      </c>
      <c r="C189" s="26" t="s">
        <v>60</v>
      </c>
      <c r="D189" s="26" t="s">
        <v>12</v>
      </c>
      <c r="E189" s="26" t="s">
        <v>61</v>
      </c>
      <c r="F189" s="8">
        <v>36</v>
      </c>
      <c r="G189" s="8">
        <v>1</v>
      </c>
      <c r="H189" s="26" t="s">
        <v>14</v>
      </c>
      <c r="I189" s="26" t="s">
        <v>15</v>
      </c>
      <c r="J189" s="27">
        <v>45848</v>
      </c>
      <c r="K189" s="8">
        <v>0</v>
      </c>
      <c r="L189" s="26">
        <v>36</v>
      </c>
      <c r="M189" s="26" t="s">
        <v>15</v>
      </c>
      <c r="N189" s="28">
        <v>45839</v>
      </c>
      <c r="O189" s="14" t="s">
        <v>1346</v>
      </c>
    </row>
    <row r="190" spans="1:15" x14ac:dyDescent="0.25">
      <c r="A190" s="5">
        <v>10220</v>
      </c>
      <c r="B190" s="21">
        <v>8599988776654</v>
      </c>
      <c r="C190" s="22" t="s">
        <v>393</v>
      </c>
      <c r="D190" s="22" t="s">
        <v>133</v>
      </c>
      <c r="E190" s="22" t="s">
        <v>17</v>
      </c>
      <c r="F190" s="6">
        <v>16.8</v>
      </c>
      <c r="G190" s="6">
        <v>1</v>
      </c>
      <c r="H190" s="22" t="s">
        <v>14</v>
      </c>
      <c r="I190" s="22" t="s">
        <v>15</v>
      </c>
      <c r="J190" s="23">
        <v>45848</v>
      </c>
      <c r="K190" s="6">
        <v>0</v>
      </c>
      <c r="L190" s="22">
        <v>16.8</v>
      </c>
      <c r="M190" s="22" t="s">
        <v>15</v>
      </c>
      <c r="N190" s="24">
        <v>45839</v>
      </c>
      <c r="O190" s="13" t="s">
        <v>1346</v>
      </c>
    </row>
    <row r="191" spans="1:15" x14ac:dyDescent="0.25">
      <c r="A191" s="7">
        <v>10221</v>
      </c>
      <c r="B191" s="25">
        <v>4056789012345</v>
      </c>
      <c r="C191" s="26" t="s">
        <v>47</v>
      </c>
      <c r="D191" s="26" t="s">
        <v>29</v>
      </c>
      <c r="E191" s="26" t="s">
        <v>37</v>
      </c>
      <c r="F191" s="8">
        <v>2.4</v>
      </c>
      <c r="G191" s="8">
        <v>3</v>
      </c>
      <c r="H191" s="26" t="s">
        <v>18</v>
      </c>
      <c r="I191" s="26" t="s">
        <v>431</v>
      </c>
      <c r="J191" s="27">
        <v>45848</v>
      </c>
      <c r="K191" s="8">
        <v>0</v>
      </c>
      <c r="L191" s="26">
        <v>7.1999999999999993</v>
      </c>
      <c r="M191" s="26">
        <v>4</v>
      </c>
      <c r="N191" s="28">
        <v>45839</v>
      </c>
      <c r="O191" s="14" t="s">
        <v>1345</v>
      </c>
    </row>
    <row r="192" spans="1:15" x14ac:dyDescent="0.25">
      <c r="A192" s="5">
        <v>10222</v>
      </c>
      <c r="B192" s="21">
        <v>8599988776654</v>
      </c>
      <c r="C192" s="22" t="s">
        <v>393</v>
      </c>
      <c r="D192" s="22" t="s">
        <v>133</v>
      </c>
      <c r="E192" s="22" t="s">
        <v>17</v>
      </c>
      <c r="F192" s="6">
        <v>16.8</v>
      </c>
      <c r="G192" s="6">
        <v>1</v>
      </c>
      <c r="H192" s="22" t="s">
        <v>14</v>
      </c>
      <c r="I192" s="22" t="s">
        <v>15</v>
      </c>
      <c r="J192" s="23">
        <v>45848</v>
      </c>
      <c r="K192" s="6">
        <v>0</v>
      </c>
      <c r="L192" s="22">
        <v>16.8</v>
      </c>
      <c r="M192" s="22" t="s">
        <v>15</v>
      </c>
      <c r="N192" s="24">
        <v>45839</v>
      </c>
      <c r="O192" s="13" t="s">
        <v>1346</v>
      </c>
    </row>
    <row r="193" spans="1:15" x14ac:dyDescent="0.25">
      <c r="A193" s="7">
        <v>10223</v>
      </c>
      <c r="B193" s="25">
        <v>4028899001126</v>
      </c>
      <c r="C193" s="26" t="s">
        <v>16</v>
      </c>
      <c r="D193" s="26" t="s">
        <v>12</v>
      </c>
      <c r="E193" s="26" t="s">
        <v>17</v>
      </c>
      <c r="F193" s="8">
        <v>2.8</v>
      </c>
      <c r="G193" s="8">
        <v>2</v>
      </c>
      <c r="H193" s="26" t="s">
        <v>14</v>
      </c>
      <c r="I193" s="26" t="s">
        <v>15</v>
      </c>
      <c r="J193" s="27">
        <v>45848</v>
      </c>
      <c r="K193" s="8">
        <v>0</v>
      </c>
      <c r="L193" s="26">
        <v>5.6</v>
      </c>
      <c r="M193" s="26" t="s">
        <v>15</v>
      </c>
      <c r="N193" s="28">
        <v>45839</v>
      </c>
      <c r="O193" s="14" t="s">
        <v>1346</v>
      </c>
    </row>
    <row r="194" spans="1:15" x14ac:dyDescent="0.25">
      <c r="A194" s="5">
        <v>10224</v>
      </c>
      <c r="B194" s="21">
        <v>8599988776654</v>
      </c>
      <c r="C194" s="22" t="s">
        <v>393</v>
      </c>
      <c r="D194" s="22" t="s">
        <v>133</v>
      </c>
      <c r="E194" s="22" t="s">
        <v>17</v>
      </c>
      <c r="F194" s="6">
        <v>16.8</v>
      </c>
      <c r="G194" s="6">
        <v>2</v>
      </c>
      <c r="H194" s="22" t="s">
        <v>23</v>
      </c>
      <c r="I194" s="22" t="s">
        <v>432</v>
      </c>
      <c r="J194" s="23">
        <v>45848</v>
      </c>
      <c r="K194" s="6">
        <v>0</v>
      </c>
      <c r="L194" s="22">
        <v>33.6</v>
      </c>
      <c r="M194" s="22">
        <v>5</v>
      </c>
      <c r="N194" s="24">
        <v>45839</v>
      </c>
      <c r="O194" s="13" t="s">
        <v>1346</v>
      </c>
    </row>
    <row r="195" spans="1:15" x14ac:dyDescent="0.25">
      <c r="A195" s="7">
        <v>10225</v>
      </c>
      <c r="B195" s="25">
        <v>4013456789017</v>
      </c>
      <c r="C195" s="26" t="s">
        <v>11</v>
      </c>
      <c r="D195" s="26" t="s">
        <v>12</v>
      </c>
      <c r="E195" s="26" t="s">
        <v>13</v>
      </c>
      <c r="F195" s="8">
        <v>6</v>
      </c>
      <c r="G195" s="8">
        <v>1</v>
      </c>
      <c r="H195" s="26" t="s">
        <v>14</v>
      </c>
      <c r="I195" s="26" t="s">
        <v>15</v>
      </c>
      <c r="J195" s="27">
        <v>45848</v>
      </c>
      <c r="K195" s="8">
        <v>0</v>
      </c>
      <c r="L195" s="26">
        <v>6</v>
      </c>
      <c r="M195" s="26" t="s">
        <v>15</v>
      </c>
      <c r="N195" s="28">
        <v>45839</v>
      </c>
      <c r="O195" s="14" t="s">
        <v>1346</v>
      </c>
    </row>
    <row r="196" spans="1:15" x14ac:dyDescent="0.25">
      <c r="A196" s="5">
        <v>10226</v>
      </c>
      <c r="B196" s="21">
        <v>8599988776654</v>
      </c>
      <c r="C196" s="22" t="s">
        <v>393</v>
      </c>
      <c r="D196" s="22" t="s">
        <v>133</v>
      </c>
      <c r="E196" s="22" t="s">
        <v>17</v>
      </c>
      <c r="F196" s="6">
        <v>16.8</v>
      </c>
      <c r="G196" s="6">
        <v>1</v>
      </c>
      <c r="H196" s="22" t="s">
        <v>14</v>
      </c>
      <c r="I196" s="22" t="s">
        <v>15</v>
      </c>
      <c r="J196" s="23">
        <v>45848</v>
      </c>
      <c r="K196" s="6">
        <v>0</v>
      </c>
      <c r="L196" s="22">
        <v>16.8</v>
      </c>
      <c r="M196" s="22" t="s">
        <v>15</v>
      </c>
      <c r="N196" s="24">
        <v>45839</v>
      </c>
      <c r="O196" s="13" t="s">
        <v>1346</v>
      </c>
    </row>
    <row r="197" spans="1:15" x14ac:dyDescent="0.25">
      <c r="A197" s="7">
        <v>10227</v>
      </c>
      <c r="B197" s="25">
        <v>4063456789014</v>
      </c>
      <c r="C197" s="26" t="s">
        <v>60</v>
      </c>
      <c r="D197" s="26" t="s">
        <v>12</v>
      </c>
      <c r="E197" s="26" t="s">
        <v>61</v>
      </c>
      <c r="F197" s="8">
        <v>36</v>
      </c>
      <c r="G197" s="8">
        <v>1</v>
      </c>
      <c r="H197" s="26" t="s">
        <v>14</v>
      </c>
      <c r="I197" s="26" t="s">
        <v>15</v>
      </c>
      <c r="J197" s="27">
        <v>45849</v>
      </c>
      <c r="K197" s="8">
        <v>0</v>
      </c>
      <c r="L197" s="26">
        <v>36</v>
      </c>
      <c r="M197" s="26" t="s">
        <v>15</v>
      </c>
      <c r="N197" s="28">
        <v>45839</v>
      </c>
      <c r="O197" s="14" t="s">
        <v>1346</v>
      </c>
    </row>
    <row r="198" spans="1:15" x14ac:dyDescent="0.25">
      <c r="A198" s="5">
        <v>10228</v>
      </c>
      <c r="B198" s="21">
        <v>8599988776654</v>
      </c>
      <c r="C198" s="22" t="s">
        <v>393</v>
      </c>
      <c r="D198" s="22" t="s">
        <v>133</v>
      </c>
      <c r="E198" s="22" t="s">
        <v>17</v>
      </c>
      <c r="F198" s="6">
        <v>16.8</v>
      </c>
      <c r="G198" s="6">
        <v>1</v>
      </c>
      <c r="H198" s="22" t="s">
        <v>18</v>
      </c>
      <c r="I198" s="22" t="s">
        <v>433</v>
      </c>
      <c r="J198" s="23">
        <v>45849</v>
      </c>
      <c r="K198" s="6">
        <v>0</v>
      </c>
      <c r="L198" s="22">
        <v>16.8</v>
      </c>
      <c r="M198" s="22">
        <v>4</v>
      </c>
      <c r="N198" s="24">
        <v>45839</v>
      </c>
      <c r="O198" s="13" t="s">
        <v>1346</v>
      </c>
    </row>
    <row r="199" spans="1:15" x14ac:dyDescent="0.25">
      <c r="A199" s="7">
        <v>10229</v>
      </c>
      <c r="B199" s="25">
        <v>4010123456783</v>
      </c>
      <c r="C199" s="26" t="s">
        <v>35</v>
      </c>
      <c r="D199" s="26" t="s">
        <v>36</v>
      </c>
      <c r="E199" s="26" t="s">
        <v>37</v>
      </c>
      <c r="F199" s="8">
        <v>14</v>
      </c>
      <c r="G199" s="8">
        <v>2</v>
      </c>
      <c r="H199" s="26" t="s">
        <v>14</v>
      </c>
      <c r="I199" s="26" t="s">
        <v>15</v>
      </c>
      <c r="J199" s="27">
        <v>45849</v>
      </c>
      <c r="K199" s="8">
        <v>0</v>
      </c>
      <c r="L199" s="26">
        <v>28</v>
      </c>
      <c r="M199" s="26" t="s">
        <v>15</v>
      </c>
      <c r="N199" s="28">
        <v>45839</v>
      </c>
      <c r="O199" s="14" t="s">
        <v>1345</v>
      </c>
    </row>
    <row r="200" spans="1:15" x14ac:dyDescent="0.25">
      <c r="A200" s="5">
        <v>10230</v>
      </c>
      <c r="B200" s="21">
        <v>8599988776654</v>
      </c>
      <c r="C200" s="22" t="s">
        <v>393</v>
      </c>
      <c r="D200" s="22" t="s">
        <v>133</v>
      </c>
      <c r="E200" s="22" t="s">
        <v>17</v>
      </c>
      <c r="F200" s="6">
        <v>16.8</v>
      </c>
      <c r="G200" s="6">
        <v>1</v>
      </c>
      <c r="H200" s="22" t="s">
        <v>14</v>
      </c>
      <c r="I200" s="22" t="s">
        <v>15</v>
      </c>
      <c r="J200" s="23">
        <v>45849</v>
      </c>
      <c r="K200" s="6">
        <v>0</v>
      </c>
      <c r="L200" s="22">
        <v>16.8</v>
      </c>
      <c r="M200" s="22" t="s">
        <v>15</v>
      </c>
      <c r="N200" s="24">
        <v>45839</v>
      </c>
      <c r="O200" s="13" t="s">
        <v>1346</v>
      </c>
    </row>
    <row r="201" spans="1:15" x14ac:dyDescent="0.25">
      <c r="A201" s="7">
        <v>10231</v>
      </c>
      <c r="B201" s="25">
        <v>4027788990013</v>
      </c>
      <c r="C201" s="26" t="s">
        <v>43</v>
      </c>
      <c r="D201" s="26" t="s">
        <v>21</v>
      </c>
      <c r="E201" s="26" t="s">
        <v>22</v>
      </c>
      <c r="F201" s="8">
        <v>8</v>
      </c>
      <c r="G201" s="8">
        <v>1</v>
      </c>
      <c r="H201" s="26" t="s">
        <v>18</v>
      </c>
      <c r="I201" s="26" t="s">
        <v>434</v>
      </c>
      <c r="J201" s="27">
        <v>45849</v>
      </c>
      <c r="K201" s="8">
        <v>0</v>
      </c>
      <c r="L201" s="26">
        <v>8</v>
      </c>
      <c r="M201" s="26">
        <v>4</v>
      </c>
      <c r="N201" s="28">
        <v>45839</v>
      </c>
      <c r="O201" s="14" t="s">
        <v>1346</v>
      </c>
    </row>
    <row r="202" spans="1:15" x14ac:dyDescent="0.25">
      <c r="A202" s="5">
        <v>10232</v>
      </c>
      <c r="B202" s="21">
        <v>8599988776654</v>
      </c>
      <c r="C202" s="22" t="s">
        <v>393</v>
      </c>
      <c r="D202" s="22" t="s">
        <v>133</v>
      </c>
      <c r="E202" s="22" t="s">
        <v>17</v>
      </c>
      <c r="F202" s="6">
        <v>16.8</v>
      </c>
      <c r="G202" s="6">
        <v>2</v>
      </c>
      <c r="H202" s="22" t="s">
        <v>14</v>
      </c>
      <c r="I202" s="22" t="s">
        <v>15</v>
      </c>
      <c r="J202" s="23">
        <v>45849</v>
      </c>
      <c r="K202" s="6">
        <v>0</v>
      </c>
      <c r="L202" s="22">
        <v>33.6</v>
      </c>
      <c r="M202" s="22" t="s">
        <v>15</v>
      </c>
      <c r="N202" s="24">
        <v>45839</v>
      </c>
      <c r="O202" s="13" t="s">
        <v>1346</v>
      </c>
    </row>
    <row r="203" spans="1:15" x14ac:dyDescent="0.25">
      <c r="A203" s="7">
        <v>10233</v>
      </c>
      <c r="B203" s="25">
        <v>4017890123450</v>
      </c>
      <c r="C203" s="26" t="s">
        <v>65</v>
      </c>
      <c r="D203" s="26" t="s">
        <v>39</v>
      </c>
      <c r="E203" s="26" t="s">
        <v>22</v>
      </c>
      <c r="F203" s="8">
        <v>7.6</v>
      </c>
      <c r="G203" s="8">
        <v>1</v>
      </c>
      <c r="H203" s="26" t="s">
        <v>14</v>
      </c>
      <c r="I203" s="26" t="s">
        <v>15</v>
      </c>
      <c r="J203" s="27">
        <v>45849</v>
      </c>
      <c r="K203" s="8">
        <v>0</v>
      </c>
      <c r="L203" s="26">
        <v>7.6</v>
      </c>
      <c r="M203" s="26" t="s">
        <v>15</v>
      </c>
      <c r="N203" s="28">
        <v>45839</v>
      </c>
      <c r="O203" s="14" t="s">
        <v>1346</v>
      </c>
    </row>
    <row r="204" spans="1:15" x14ac:dyDescent="0.25">
      <c r="A204" s="5">
        <v>10234</v>
      </c>
      <c r="B204" s="21">
        <v>8599988776654</v>
      </c>
      <c r="C204" s="22" t="s">
        <v>393</v>
      </c>
      <c r="D204" s="22" t="s">
        <v>133</v>
      </c>
      <c r="E204" s="22" t="s">
        <v>17</v>
      </c>
      <c r="F204" s="6">
        <v>16.8</v>
      </c>
      <c r="G204" s="6">
        <v>1</v>
      </c>
      <c r="H204" s="22" t="s">
        <v>14</v>
      </c>
      <c r="I204" s="22" t="s">
        <v>15</v>
      </c>
      <c r="J204" s="23">
        <v>45849</v>
      </c>
      <c r="K204" s="6">
        <v>0</v>
      </c>
      <c r="L204" s="22">
        <v>16.8</v>
      </c>
      <c r="M204" s="22" t="s">
        <v>15</v>
      </c>
      <c r="N204" s="24">
        <v>45839</v>
      </c>
      <c r="O204" s="13" t="s">
        <v>1346</v>
      </c>
    </row>
    <row r="205" spans="1:15" x14ac:dyDescent="0.25">
      <c r="A205" s="7">
        <v>10235</v>
      </c>
      <c r="B205" s="25">
        <v>4013456789017</v>
      </c>
      <c r="C205" s="26" t="s">
        <v>11</v>
      </c>
      <c r="D205" s="26" t="s">
        <v>12</v>
      </c>
      <c r="E205" s="26" t="s">
        <v>13</v>
      </c>
      <c r="F205" s="8">
        <v>6</v>
      </c>
      <c r="G205" s="8">
        <v>1</v>
      </c>
      <c r="H205" s="26" t="s">
        <v>14</v>
      </c>
      <c r="I205" s="26" t="s">
        <v>15</v>
      </c>
      <c r="J205" s="27">
        <v>45849</v>
      </c>
      <c r="K205" s="8">
        <v>0</v>
      </c>
      <c r="L205" s="26">
        <v>6</v>
      </c>
      <c r="M205" s="26" t="s">
        <v>15</v>
      </c>
      <c r="N205" s="28">
        <v>45839</v>
      </c>
      <c r="O205" s="14" t="s">
        <v>1346</v>
      </c>
    </row>
    <row r="206" spans="1:15" x14ac:dyDescent="0.25">
      <c r="A206" s="5">
        <v>10236</v>
      </c>
      <c r="B206" s="21">
        <v>8599988776654</v>
      </c>
      <c r="C206" s="22" t="s">
        <v>393</v>
      </c>
      <c r="D206" s="22" t="s">
        <v>133</v>
      </c>
      <c r="E206" s="22" t="s">
        <v>17</v>
      </c>
      <c r="F206" s="6">
        <v>16.8</v>
      </c>
      <c r="G206" s="6">
        <v>1</v>
      </c>
      <c r="H206" s="22" t="s">
        <v>23</v>
      </c>
      <c r="I206" s="22" t="s">
        <v>435</v>
      </c>
      <c r="J206" s="23">
        <v>45849</v>
      </c>
      <c r="K206" s="6">
        <v>0</v>
      </c>
      <c r="L206" s="22">
        <v>16.8</v>
      </c>
      <c r="M206" s="22">
        <v>5</v>
      </c>
      <c r="N206" s="24">
        <v>45839</v>
      </c>
      <c r="O206" s="13" t="s">
        <v>1346</v>
      </c>
    </row>
    <row r="207" spans="1:15" x14ac:dyDescent="0.25">
      <c r="A207" s="7">
        <v>10237</v>
      </c>
      <c r="B207" s="25">
        <v>4063456789014</v>
      </c>
      <c r="C207" s="26" t="s">
        <v>60</v>
      </c>
      <c r="D207" s="26" t="s">
        <v>12</v>
      </c>
      <c r="E207" s="26" t="s">
        <v>61</v>
      </c>
      <c r="F207" s="8">
        <v>36</v>
      </c>
      <c r="G207" s="8">
        <v>1</v>
      </c>
      <c r="H207" s="26" t="s">
        <v>14</v>
      </c>
      <c r="I207" s="26" t="s">
        <v>15</v>
      </c>
      <c r="J207" s="27">
        <v>45849</v>
      </c>
      <c r="K207" s="8">
        <v>0</v>
      </c>
      <c r="L207" s="26">
        <v>36</v>
      </c>
      <c r="M207" s="26" t="s">
        <v>15</v>
      </c>
      <c r="N207" s="28">
        <v>45839</v>
      </c>
      <c r="O207" s="14" t="s">
        <v>1346</v>
      </c>
    </row>
    <row r="208" spans="1:15" x14ac:dyDescent="0.25">
      <c r="A208" s="5">
        <v>10238</v>
      </c>
      <c r="B208" s="21">
        <v>8599988776654</v>
      </c>
      <c r="C208" s="22" t="s">
        <v>393</v>
      </c>
      <c r="D208" s="22" t="s">
        <v>133</v>
      </c>
      <c r="E208" s="22" t="s">
        <v>17</v>
      </c>
      <c r="F208" s="6">
        <v>16.8</v>
      </c>
      <c r="G208" s="6">
        <v>1</v>
      </c>
      <c r="H208" s="22" t="s">
        <v>14</v>
      </c>
      <c r="I208" s="22" t="s">
        <v>15</v>
      </c>
      <c r="J208" s="23">
        <v>45849</v>
      </c>
      <c r="K208" s="6">
        <v>0</v>
      </c>
      <c r="L208" s="22">
        <v>16.8</v>
      </c>
      <c r="M208" s="22" t="s">
        <v>15</v>
      </c>
      <c r="N208" s="24">
        <v>45839</v>
      </c>
      <c r="O208" s="13" t="s">
        <v>1346</v>
      </c>
    </row>
    <row r="209" spans="1:15" x14ac:dyDescent="0.25">
      <c r="A209" s="7">
        <v>10239</v>
      </c>
      <c r="B209" s="25">
        <v>4028899001126</v>
      </c>
      <c r="C209" s="26" t="s">
        <v>16</v>
      </c>
      <c r="D209" s="26" t="s">
        <v>12</v>
      </c>
      <c r="E209" s="26" t="s">
        <v>17</v>
      </c>
      <c r="F209" s="8">
        <v>2.8</v>
      </c>
      <c r="G209" s="8">
        <v>3</v>
      </c>
      <c r="H209" s="26" t="s">
        <v>14</v>
      </c>
      <c r="I209" s="26" t="s">
        <v>15</v>
      </c>
      <c r="J209" s="27">
        <v>45849</v>
      </c>
      <c r="K209" s="8">
        <v>0</v>
      </c>
      <c r="L209" s="26">
        <v>8.3999999999999986</v>
      </c>
      <c r="M209" s="26" t="s">
        <v>15</v>
      </c>
      <c r="N209" s="28">
        <v>45839</v>
      </c>
      <c r="O209" s="14" t="s">
        <v>1346</v>
      </c>
    </row>
    <row r="210" spans="1:15" x14ac:dyDescent="0.25">
      <c r="A210" s="5">
        <v>10240</v>
      </c>
      <c r="B210" s="21">
        <v>8599988776654</v>
      </c>
      <c r="C210" s="22" t="s">
        <v>393</v>
      </c>
      <c r="D210" s="22" t="s">
        <v>133</v>
      </c>
      <c r="E210" s="22" t="s">
        <v>17</v>
      </c>
      <c r="F210" s="6">
        <v>16.8</v>
      </c>
      <c r="G210" s="6">
        <v>1</v>
      </c>
      <c r="H210" s="22" t="s">
        <v>14</v>
      </c>
      <c r="I210" s="22" t="s">
        <v>15</v>
      </c>
      <c r="J210" s="23">
        <v>45850</v>
      </c>
      <c r="K210" s="6">
        <v>0</v>
      </c>
      <c r="L210" s="22">
        <v>16.8</v>
      </c>
      <c r="M210" s="22" t="s">
        <v>15</v>
      </c>
      <c r="N210" s="24">
        <v>45839</v>
      </c>
      <c r="O210" s="13" t="s">
        <v>1346</v>
      </c>
    </row>
    <row r="211" spans="1:15" x14ac:dyDescent="0.25">
      <c r="A211" s="7">
        <v>10241</v>
      </c>
      <c r="B211" s="25">
        <v>4010123456783</v>
      </c>
      <c r="C211" s="26" t="s">
        <v>35</v>
      </c>
      <c r="D211" s="26" t="s">
        <v>36</v>
      </c>
      <c r="E211" s="26" t="s">
        <v>37</v>
      </c>
      <c r="F211" s="8">
        <v>14</v>
      </c>
      <c r="G211" s="8">
        <v>1</v>
      </c>
      <c r="H211" s="26" t="s">
        <v>23</v>
      </c>
      <c r="I211" s="26" t="s">
        <v>436</v>
      </c>
      <c r="J211" s="27">
        <v>45850</v>
      </c>
      <c r="K211" s="8">
        <v>0</v>
      </c>
      <c r="L211" s="26">
        <v>14</v>
      </c>
      <c r="M211" s="26">
        <v>5</v>
      </c>
      <c r="N211" s="28">
        <v>45839</v>
      </c>
      <c r="O211" s="14" t="s">
        <v>1345</v>
      </c>
    </row>
    <row r="212" spans="1:15" x14ac:dyDescent="0.25">
      <c r="A212" s="5">
        <v>10242</v>
      </c>
      <c r="B212" s="21">
        <v>8599988776654</v>
      </c>
      <c r="C212" s="22" t="s">
        <v>393</v>
      </c>
      <c r="D212" s="22" t="s">
        <v>133</v>
      </c>
      <c r="E212" s="22" t="s">
        <v>17</v>
      </c>
      <c r="F212" s="6">
        <v>16.8</v>
      </c>
      <c r="G212" s="6">
        <v>2</v>
      </c>
      <c r="H212" s="22" t="s">
        <v>14</v>
      </c>
      <c r="I212" s="22" t="s">
        <v>15</v>
      </c>
      <c r="J212" s="23">
        <v>45850</v>
      </c>
      <c r="K212" s="6">
        <v>0</v>
      </c>
      <c r="L212" s="22">
        <v>33.6</v>
      </c>
      <c r="M212" s="22" t="s">
        <v>15</v>
      </c>
      <c r="N212" s="24">
        <v>45839</v>
      </c>
      <c r="O212" s="13" t="s">
        <v>1346</v>
      </c>
    </row>
    <row r="213" spans="1:15" x14ac:dyDescent="0.25">
      <c r="A213" s="7">
        <v>10243</v>
      </c>
      <c r="B213" s="25">
        <v>4013456789017</v>
      </c>
      <c r="C213" s="26" t="s">
        <v>11</v>
      </c>
      <c r="D213" s="26" t="s">
        <v>12</v>
      </c>
      <c r="E213" s="26" t="s">
        <v>13</v>
      </c>
      <c r="F213" s="8">
        <v>6</v>
      </c>
      <c r="G213" s="8">
        <v>1</v>
      </c>
      <c r="H213" s="26" t="s">
        <v>14</v>
      </c>
      <c r="I213" s="26" t="s">
        <v>15</v>
      </c>
      <c r="J213" s="27">
        <v>45850</v>
      </c>
      <c r="K213" s="8">
        <v>0</v>
      </c>
      <c r="L213" s="26">
        <v>6</v>
      </c>
      <c r="M213" s="26" t="s">
        <v>15</v>
      </c>
      <c r="N213" s="28">
        <v>45839</v>
      </c>
      <c r="O213" s="14" t="s">
        <v>1346</v>
      </c>
    </row>
    <row r="214" spans="1:15" x14ac:dyDescent="0.25">
      <c r="A214" s="5">
        <v>10244</v>
      </c>
      <c r="B214" s="21">
        <v>8599988776654</v>
      </c>
      <c r="C214" s="22" t="s">
        <v>393</v>
      </c>
      <c r="D214" s="22" t="s">
        <v>133</v>
      </c>
      <c r="E214" s="22" t="s">
        <v>17</v>
      </c>
      <c r="F214" s="6">
        <v>16.8</v>
      </c>
      <c r="G214" s="6">
        <v>1</v>
      </c>
      <c r="H214" s="22" t="s">
        <v>14</v>
      </c>
      <c r="I214" s="22" t="s">
        <v>15</v>
      </c>
      <c r="J214" s="23">
        <v>45850</v>
      </c>
      <c r="K214" s="6">
        <v>0</v>
      </c>
      <c r="L214" s="22">
        <v>16.8</v>
      </c>
      <c r="M214" s="22" t="s">
        <v>15</v>
      </c>
      <c r="N214" s="24">
        <v>45839</v>
      </c>
      <c r="O214" s="13" t="s">
        <v>1346</v>
      </c>
    </row>
    <row r="215" spans="1:15" x14ac:dyDescent="0.25">
      <c r="A215" s="7">
        <v>10245</v>
      </c>
      <c r="B215" s="25">
        <v>4021234567894</v>
      </c>
      <c r="C215" s="26" t="s">
        <v>79</v>
      </c>
      <c r="D215" s="26" t="s">
        <v>36</v>
      </c>
      <c r="E215" s="26" t="s">
        <v>69</v>
      </c>
      <c r="F215" s="8">
        <v>8</v>
      </c>
      <c r="G215" s="8">
        <v>1</v>
      </c>
      <c r="H215" s="26" t="s">
        <v>14</v>
      </c>
      <c r="I215" s="26" t="s">
        <v>15</v>
      </c>
      <c r="J215" s="27">
        <v>45850</v>
      </c>
      <c r="K215" s="8">
        <v>0</v>
      </c>
      <c r="L215" s="26">
        <v>8</v>
      </c>
      <c r="M215" s="26" t="s">
        <v>15</v>
      </c>
      <c r="N215" s="28">
        <v>45839</v>
      </c>
      <c r="O215" s="14" t="s">
        <v>1345</v>
      </c>
    </row>
    <row r="216" spans="1:15" x14ac:dyDescent="0.25">
      <c r="A216" s="5">
        <v>10246</v>
      </c>
      <c r="B216" s="21">
        <v>8599988776654</v>
      </c>
      <c r="C216" s="22" t="s">
        <v>393</v>
      </c>
      <c r="D216" s="22" t="s">
        <v>133</v>
      </c>
      <c r="E216" s="22" t="s">
        <v>17</v>
      </c>
      <c r="F216" s="6">
        <v>16.8</v>
      </c>
      <c r="G216" s="6">
        <v>1</v>
      </c>
      <c r="H216" s="22" t="s">
        <v>18</v>
      </c>
      <c r="I216" s="22" t="s">
        <v>437</v>
      </c>
      <c r="J216" s="23">
        <v>45850</v>
      </c>
      <c r="K216" s="6">
        <v>0</v>
      </c>
      <c r="L216" s="22">
        <v>16.8</v>
      </c>
      <c r="M216" s="22">
        <v>4</v>
      </c>
      <c r="N216" s="24">
        <v>45839</v>
      </c>
      <c r="O216" s="13" t="s">
        <v>1346</v>
      </c>
    </row>
    <row r="217" spans="1:15" x14ac:dyDescent="0.25">
      <c r="A217" s="7">
        <v>10247</v>
      </c>
      <c r="B217" s="25">
        <v>4056789012345</v>
      </c>
      <c r="C217" s="26" t="s">
        <v>47</v>
      </c>
      <c r="D217" s="26" t="s">
        <v>29</v>
      </c>
      <c r="E217" s="26" t="s">
        <v>37</v>
      </c>
      <c r="F217" s="8">
        <v>2.4</v>
      </c>
      <c r="G217" s="8">
        <v>2</v>
      </c>
      <c r="H217" s="26" t="s">
        <v>14</v>
      </c>
      <c r="I217" s="26" t="s">
        <v>15</v>
      </c>
      <c r="J217" s="27">
        <v>45850</v>
      </c>
      <c r="K217" s="8">
        <v>0</v>
      </c>
      <c r="L217" s="26">
        <v>4.8</v>
      </c>
      <c r="M217" s="26" t="s">
        <v>15</v>
      </c>
      <c r="N217" s="28">
        <v>45839</v>
      </c>
      <c r="O217" s="14" t="s">
        <v>1345</v>
      </c>
    </row>
    <row r="218" spans="1:15" x14ac:dyDescent="0.25">
      <c r="A218" s="5">
        <v>10248</v>
      </c>
      <c r="B218" s="21">
        <v>8599988776654</v>
      </c>
      <c r="C218" s="22" t="s">
        <v>393</v>
      </c>
      <c r="D218" s="22" t="s">
        <v>133</v>
      </c>
      <c r="E218" s="22" t="s">
        <v>17</v>
      </c>
      <c r="F218" s="6">
        <v>16.8</v>
      </c>
      <c r="G218" s="6">
        <v>1</v>
      </c>
      <c r="H218" s="22" t="s">
        <v>14</v>
      </c>
      <c r="I218" s="22" t="s">
        <v>15</v>
      </c>
      <c r="J218" s="23">
        <v>45850</v>
      </c>
      <c r="K218" s="6">
        <v>0</v>
      </c>
      <c r="L218" s="22">
        <v>16.8</v>
      </c>
      <c r="M218" s="22" t="s">
        <v>15</v>
      </c>
      <c r="N218" s="24">
        <v>45839</v>
      </c>
      <c r="O218" s="13" t="s">
        <v>1346</v>
      </c>
    </row>
    <row r="219" spans="1:15" x14ac:dyDescent="0.25">
      <c r="A219" s="7">
        <v>10249</v>
      </c>
      <c r="B219" s="25">
        <v>4063456789014</v>
      </c>
      <c r="C219" s="26" t="s">
        <v>60</v>
      </c>
      <c r="D219" s="26" t="s">
        <v>12</v>
      </c>
      <c r="E219" s="26" t="s">
        <v>61</v>
      </c>
      <c r="F219" s="8">
        <v>36</v>
      </c>
      <c r="G219" s="8">
        <v>1</v>
      </c>
      <c r="H219" s="26" t="s">
        <v>14</v>
      </c>
      <c r="I219" s="26" t="s">
        <v>15</v>
      </c>
      <c r="J219" s="27">
        <v>45850</v>
      </c>
      <c r="K219" s="8">
        <v>0</v>
      </c>
      <c r="L219" s="26">
        <v>36</v>
      </c>
      <c r="M219" s="26" t="s">
        <v>15</v>
      </c>
      <c r="N219" s="28">
        <v>45839</v>
      </c>
      <c r="O219" s="14" t="s">
        <v>1346</v>
      </c>
    </row>
    <row r="220" spans="1:15" x14ac:dyDescent="0.25">
      <c r="A220" s="5">
        <v>10250</v>
      </c>
      <c r="B220" s="21">
        <v>8599988776654</v>
      </c>
      <c r="C220" s="22" t="s">
        <v>393</v>
      </c>
      <c r="D220" s="22" t="s">
        <v>133</v>
      </c>
      <c r="E220" s="22" t="s">
        <v>17</v>
      </c>
      <c r="F220" s="6">
        <v>16.8</v>
      </c>
      <c r="G220" s="6">
        <v>1</v>
      </c>
      <c r="H220" s="22" t="s">
        <v>14</v>
      </c>
      <c r="I220" s="22" t="s">
        <v>15</v>
      </c>
      <c r="J220" s="23">
        <v>45850</v>
      </c>
      <c r="K220" s="6">
        <v>0</v>
      </c>
      <c r="L220" s="22">
        <v>16.8</v>
      </c>
      <c r="M220" s="22" t="s">
        <v>15</v>
      </c>
      <c r="N220" s="24">
        <v>45839</v>
      </c>
      <c r="O220" s="13" t="s">
        <v>1346</v>
      </c>
    </row>
    <row r="221" spans="1:15" x14ac:dyDescent="0.25">
      <c r="A221" s="7">
        <v>10251</v>
      </c>
      <c r="B221" s="25">
        <v>4017890123450</v>
      </c>
      <c r="C221" s="26" t="s">
        <v>65</v>
      </c>
      <c r="D221" s="26" t="s">
        <v>39</v>
      </c>
      <c r="E221" s="26" t="s">
        <v>22</v>
      </c>
      <c r="F221" s="8">
        <v>7.6</v>
      </c>
      <c r="G221" s="8">
        <v>1</v>
      </c>
      <c r="H221" s="26" t="s">
        <v>18</v>
      </c>
      <c r="I221" s="26" t="s">
        <v>438</v>
      </c>
      <c r="J221" s="27">
        <v>45850</v>
      </c>
      <c r="K221" s="8">
        <v>0</v>
      </c>
      <c r="L221" s="26">
        <v>7.6</v>
      </c>
      <c r="M221" s="26">
        <v>4</v>
      </c>
      <c r="N221" s="28">
        <v>45839</v>
      </c>
      <c r="O221" s="14" t="s">
        <v>1346</v>
      </c>
    </row>
    <row r="222" spans="1:15" x14ac:dyDescent="0.25">
      <c r="A222" s="5">
        <v>10252</v>
      </c>
      <c r="B222" s="21">
        <v>8599988776654</v>
      </c>
      <c r="C222" s="22" t="s">
        <v>393</v>
      </c>
      <c r="D222" s="22" t="s">
        <v>133</v>
      </c>
      <c r="E222" s="22" t="s">
        <v>17</v>
      </c>
      <c r="F222" s="6">
        <v>16.8</v>
      </c>
      <c r="G222" s="6">
        <v>1</v>
      </c>
      <c r="H222" s="22" t="s">
        <v>14</v>
      </c>
      <c r="I222" s="22" t="s">
        <v>15</v>
      </c>
      <c r="J222" s="23">
        <v>45851</v>
      </c>
      <c r="K222" s="6">
        <v>0</v>
      </c>
      <c r="L222" s="22">
        <v>16.8</v>
      </c>
      <c r="M222" s="22" t="s">
        <v>15</v>
      </c>
      <c r="N222" s="24">
        <v>45839</v>
      </c>
      <c r="O222" s="13" t="s">
        <v>1346</v>
      </c>
    </row>
    <row r="223" spans="1:15" x14ac:dyDescent="0.25">
      <c r="A223" s="7">
        <v>10253</v>
      </c>
      <c r="B223" s="25">
        <v>4028899001126</v>
      </c>
      <c r="C223" s="26" t="s">
        <v>16</v>
      </c>
      <c r="D223" s="26" t="s">
        <v>12</v>
      </c>
      <c r="E223" s="26" t="s">
        <v>17</v>
      </c>
      <c r="F223" s="8">
        <v>2.8</v>
      </c>
      <c r="G223" s="8">
        <v>3</v>
      </c>
      <c r="H223" s="26" t="s">
        <v>14</v>
      </c>
      <c r="I223" s="26" t="s">
        <v>15</v>
      </c>
      <c r="J223" s="27">
        <v>45851</v>
      </c>
      <c r="K223" s="8">
        <v>0</v>
      </c>
      <c r="L223" s="26">
        <v>8.3999999999999986</v>
      </c>
      <c r="M223" s="26" t="s">
        <v>15</v>
      </c>
      <c r="N223" s="28">
        <v>45839</v>
      </c>
      <c r="O223" s="14" t="s">
        <v>1346</v>
      </c>
    </row>
    <row r="224" spans="1:15" x14ac:dyDescent="0.25">
      <c r="A224" s="5">
        <v>10254</v>
      </c>
      <c r="B224" s="21">
        <v>8599988776654</v>
      </c>
      <c r="C224" s="22" t="s">
        <v>393</v>
      </c>
      <c r="D224" s="22" t="s">
        <v>133</v>
      </c>
      <c r="E224" s="22" t="s">
        <v>17</v>
      </c>
      <c r="F224" s="6">
        <v>16.8</v>
      </c>
      <c r="G224" s="6">
        <v>1</v>
      </c>
      <c r="H224" s="22" t="s">
        <v>14</v>
      </c>
      <c r="I224" s="22" t="s">
        <v>15</v>
      </c>
      <c r="J224" s="23">
        <v>45851</v>
      </c>
      <c r="K224" s="6">
        <v>0</v>
      </c>
      <c r="L224" s="22">
        <v>16.8</v>
      </c>
      <c r="M224" s="22" t="s">
        <v>15</v>
      </c>
      <c r="N224" s="24">
        <v>45839</v>
      </c>
      <c r="O224" s="13" t="s">
        <v>1346</v>
      </c>
    </row>
    <row r="225" spans="1:15" x14ac:dyDescent="0.25">
      <c r="A225" s="7">
        <v>10255</v>
      </c>
      <c r="B225" s="25">
        <v>4013456789017</v>
      </c>
      <c r="C225" s="26" t="s">
        <v>11</v>
      </c>
      <c r="D225" s="26" t="s">
        <v>12</v>
      </c>
      <c r="E225" s="26" t="s">
        <v>13</v>
      </c>
      <c r="F225" s="8">
        <v>6</v>
      </c>
      <c r="G225" s="8">
        <v>1</v>
      </c>
      <c r="H225" s="26" t="s">
        <v>33</v>
      </c>
      <c r="I225" s="26" t="s">
        <v>439</v>
      </c>
      <c r="J225" s="27">
        <v>45851</v>
      </c>
      <c r="K225" s="8">
        <v>0</v>
      </c>
      <c r="L225" s="26">
        <v>6</v>
      </c>
      <c r="M225" s="26">
        <v>3</v>
      </c>
      <c r="N225" s="28">
        <v>45839</v>
      </c>
      <c r="O225" s="14" t="s">
        <v>1346</v>
      </c>
    </row>
    <row r="226" spans="1:15" x14ac:dyDescent="0.25">
      <c r="A226" s="5">
        <v>10256</v>
      </c>
      <c r="B226" s="21">
        <v>8599988776654</v>
      </c>
      <c r="C226" s="22" t="s">
        <v>393</v>
      </c>
      <c r="D226" s="22" t="s">
        <v>133</v>
      </c>
      <c r="E226" s="22" t="s">
        <v>17</v>
      </c>
      <c r="F226" s="6">
        <v>16.8</v>
      </c>
      <c r="G226" s="6">
        <v>2</v>
      </c>
      <c r="H226" s="22" t="s">
        <v>14</v>
      </c>
      <c r="I226" s="22" t="s">
        <v>15</v>
      </c>
      <c r="J226" s="23">
        <v>45851</v>
      </c>
      <c r="K226" s="6">
        <v>0</v>
      </c>
      <c r="L226" s="22">
        <v>33.6</v>
      </c>
      <c r="M226" s="22" t="s">
        <v>15</v>
      </c>
      <c r="N226" s="24">
        <v>45839</v>
      </c>
      <c r="O226" s="13" t="s">
        <v>1346</v>
      </c>
    </row>
    <row r="227" spans="1:15" x14ac:dyDescent="0.25">
      <c r="A227" s="7">
        <v>10257</v>
      </c>
      <c r="B227" s="25">
        <v>4063456789014</v>
      </c>
      <c r="C227" s="26" t="s">
        <v>60</v>
      </c>
      <c r="D227" s="26" t="s">
        <v>12</v>
      </c>
      <c r="E227" s="26" t="s">
        <v>61</v>
      </c>
      <c r="F227" s="8">
        <v>36</v>
      </c>
      <c r="G227" s="8">
        <v>1</v>
      </c>
      <c r="H227" s="26" t="s">
        <v>14</v>
      </c>
      <c r="I227" s="26" t="s">
        <v>15</v>
      </c>
      <c r="J227" s="27">
        <v>45851</v>
      </c>
      <c r="K227" s="8">
        <v>0</v>
      </c>
      <c r="L227" s="26">
        <v>36</v>
      </c>
      <c r="M227" s="26" t="s">
        <v>15</v>
      </c>
      <c r="N227" s="28">
        <v>45839</v>
      </c>
      <c r="O227" s="14" t="s">
        <v>1346</v>
      </c>
    </row>
    <row r="228" spans="1:15" x14ac:dyDescent="0.25">
      <c r="A228" s="5">
        <v>10258</v>
      </c>
      <c r="B228" s="21">
        <v>8599988776654</v>
      </c>
      <c r="C228" s="22" t="s">
        <v>393</v>
      </c>
      <c r="D228" s="22" t="s">
        <v>133</v>
      </c>
      <c r="E228" s="22" t="s">
        <v>17</v>
      </c>
      <c r="F228" s="6">
        <v>16.8</v>
      </c>
      <c r="G228" s="6">
        <v>1</v>
      </c>
      <c r="H228" s="22" t="s">
        <v>23</v>
      </c>
      <c r="I228" s="22" t="s">
        <v>440</v>
      </c>
      <c r="J228" s="23">
        <v>45851</v>
      </c>
      <c r="K228" s="6">
        <v>0</v>
      </c>
      <c r="L228" s="22">
        <v>16.8</v>
      </c>
      <c r="M228" s="22">
        <v>5</v>
      </c>
      <c r="N228" s="24">
        <v>45839</v>
      </c>
      <c r="O228" s="13" t="s">
        <v>1346</v>
      </c>
    </row>
    <row r="229" spans="1:15" x14ac:dyDescent="0.25">
      <c r="A229" s="7">
        <v>10259</v>
      </c>
      <c r="B229" s="25">
        <v>4010123456783</v>
      </c>
      <c r="C229" s="26" t="s">
        <v>35</v>
      </c>
      <c r="D229" s="26" t="s">
        <v>36</v>
      </c>
      <c r="E229" s="26" t="s">
        <v>37</v>
      </c>
      <c r="F229" s="8">
        <v>14</v>
      </c>
      <c r="G229" s="8">
        <v>1</v>
      </c>
      <c r="H229" s="26" t="s">
        <v>14</v>
      </c>
      <c r="I229" s="26" t="s">
        <v>15</v>
      </c>
      <c r="J229" s="27">
        <v>45851</v>
      </c>
      <c r="K229" s="8">
        <v>0</v>
      </c>
      <c r="L229" s="26">
        <v>14</v>
      </c>
      <c r="M229" s="26" t="s">
        <v>15</v>
      </c>
      <c r="N229" s="28">
        <v>45839</v>
      </c>
      <c r="O229" s="14" t="s">
        <v>1345</v>
      </c>
    </row>
    <row r="230" spans="1:15" x14ac:dyDescent="0.25">
      <c r="A230" s="5">
        <v>10260</v>
      </c>
      <c r="B230" s="21">
        <v>8599988776654</v>
      </c>
      <c r="C230" s="22" t="s">
        <v>393</v>
      </c>
      <c r="D230" s="22" t="s">
        <v>133</v>
      </c>
      <c r="E230" s="22" t="s">
        <v>17</v>
      </c>
      <c r="F230" s="6">
        <v>16.8</v>
      </c>
      <c r="G230" s="6">
        <v>1</v>
      </c>
      <c r="H230" s="22" t="s">
        <v>14</v>
      </c>
      <c r="I230" s="22" t="s">
        <v>15</v>
      </c>
      <c r="J230" s="23">
        <v>45851</v>
      </c>
      <c r="K230" s="6">
        <v>0</v>
      </c>
      <c r="L230" s="22">
        <v>16.8</v>
      </c>
      <c r="M230" s="22" t="s">
        <v>15</v>
      </c>
      <c r="N230" s="24">
        <v>45839</v>
      </c>
      <c r="O230" s="13" t="s">
        <v>1346</v>
      </c>
    </row>
    <row r="231" spans="1:15" x14ac:dyDescent="0.25">
      <c r="A231" s="7">
        <v>10261</v>
      </c>
      <c r="B231" s="25">
        <v>4026677889902</v>
      </c>
      <c r="C231" s="26" t="s">
        <v>52</v>
      </c>
      <c r="D231" s="26" t="s">
        <v>53</v>
      </c>
      <c r="E231" s="26" t="s">
        <v>54</v>
      </c>
      <c r="F231" s="8">
        <v>7.6</v>
      </c>
      <c r="G231" s="8">
        <v>1</v>
      </c>
      <c r="H231" s="26" t="s">
        <v>23</v>
      </c>
      <c r="I231" s="26" t="s">
        <v>441</v>
      </c>
      <c r="J231" s="27">
        <v>45851</v>
      </c>
      <c r="K231" s="8">
        <v>0</v>
      </c>
      <c r="L231" s="26">
        <v>7.6</v>
      </c>
      <c r="M231" s="26">
        <v>5</v>
      </c>
      <c r="N231" s="28">
        <v>45839</v>
      </c>
      <c r="O231" s="14" t="s">
        <v>1344</v>
      </c>
    </row>
    <row r="232" spans="1:15" x14ac:dyDescent="0.25">
      <c r="A232" s="5">
        <v>10262</v>
      </c>
      <c r="B232" s="21">
        <v>8599988776654</v>
      </c>
      <c r="C232" s="22" t="s">
        <v>393</v>
      </c>
      <c r="D232" s="22" t="s">
        <v>133</v>
      </c>
      <c r="E232" s="22" t="s">
        <v>17</v>
      </c>
      <c r="F232" s="6">
        <v>16.8</v>
      </c>
      <c r="G232" s="6">
        <v>2</v>
      </c>
      <c r="H232" s="22" t="s">
        <v>14</v>
      </c>
      <c r="I232" s="22" t="s">
        <v>15</v>
      </c>
      <c r="J232" s="23">
        <v>45851</v>
      </c>
      <c r="K232" s="6">
        <v>0</v>
      </c>
      <c r="L232" s="22">
        <v>33.6</v>
      </c>
      <c r="M232" s="22" t="s">
        <v>15</v>
      </c>
      <c r="N232" s="24">
        <v>45839</v>
      </c>
      <c r="O232" s="13" t="s">
        <v>1346</v>
      </c>
    </row>
    <row r="233" spans="1:15" x14ac:dyDescent="0.25">
      <c r="A233" s="7">
        <v>10263</v>
      </c>
      <c r="B233" s="25">
        <v>4028899001126</v>
      </c>
      <c r="C233" s="26" t="s">
        <v>16</v>
      </c>
      <c r="D233" s="26" t="s">
        <v>12</v>
      </c>
      <c r="E233" s="26" t="s">
        <v>17</v>
      </c>
      <c r="F233" s="8">
        <v>2.8</v>
      </c>
      <c r="G233" s="8">
        <v>3</v>
      </c>
      <c r="H233" s="26" t="s">
        <v>14</v>
      </c>
      <c r="I233" s="26" t="s">
        <v>15</v>
      </c>
      <c r="J233" s="27">
        <v>45851</v>
      </c>
      <c r="K233" s="8">
        <v>0</v>
      </c>
      <c r="L233" s="26">
        <v>8.3999999999999986</v>
      </c>
      <c r="M233" s="26" t="s">
        <v>15</v>
      </c>
      <c r="N233" s="28">
        <v>45839</v>
      </c>
      <c r="O233" s="14" t="s">
        <v>1346</v>
      </c>
    </row>
    <row r="234" spans="1:15" x14ac:dyDescent="0.25">
      <c r="A234" s="5">
        <v>10264</v>
      </c>
      <c r="B234" s="21">
        <v>8599988776654</v>
      </c>
      <c r="C234" s="22" t="s">
        <v>393</v>
      </c>
      <c r="D234" s="22" t="s">
        <v>133</v>
      </c>
      <c r="E234" s="22" t="s">
        <v>17</v>
      </c>
      <c r="F234" s="6">
        <v>16.8</v>
      </c>
      <c r="G234" s="6">
        <v>1</v>
      </c>
      <c r="H234" s="22" t="s">
        <v>14</v>
      </c>
      <c r="I234" s="22" t="s">
        <v>15</v>
      </c>
      <c r="J234" s="23">
        <v>45851</v>
      </c>
      <c r="K234" s="6">
        <v>0</v>
      </c>
      <c r="L234" s="22">
        <v>16.8</v>
      </c>
      <c r="M234" s="22" t="s">
        <v>15</v>
      </c>
      <c r="N234" s="24">
        <v>45839</v>
      </c>
      <c r="O234" s="13" t="s">
        <v>1346</v>
      </c>
    </row>
    <row r="235" spans="1:15" x14ac:dyDescent="0.25">
      <c r="A235" s="7">
        <v>10265</v>
      </c>
      <c r="B235" s="25">
        <v>4013456789017</v>
      </c>
      <c r="C235" s="26" t="s">
        <v>11</v>
      </c>
      <c r="D235" s="26" t="s">
        <v>12</v>
      </c>
      <c r="E235" s="26" t="s">
        <v>13</v>
      </c>
      <c r="F235" s="8">
        <v>6</v>
      </c>
      <c r="G235" s="8">
        <v>1</v>
      </c>
      <c r="H235" s="26" t="s">
        <v>14</v>
      </c>
      <c r="I235" s="26" t="s">
        <v>15</v>
      </c>
      <c r="J235" s="27">
        <v>45852</v>
      </c>
      <c r="K235" s="8">
        <v>0</v>
      </c>
      <c r="L235" s="26">
        <v>6</v>
      </c>
      <c r="M235" s="26" t="s">
        <v>15</v>
      </c>
      <c r="N235" s="28">
        <v>45839</v>
      </c>
      <c r="O235" s="14" t="s">
        <v>1346</v>
      </c>
    </row>
    <row r="236" spans="1:15" x14ac:dyDescent="0.25">
      <c r="A236" s="5">
        <v>10266</v>
      </c>
      <c r="B236" s="21">
        <v>8599988776654</v>
      </c>
      <c r="C236" s="22" t="s">
        <v>393</v>
      </c>
      <c r="D236" s="22" t="s">
        <v>133</v>
      </c>
      <c r="E236" s="22" t="s">
        <v>17</v>
      </c>
      <c r="F236" s="6">
        <v>16.8</v>
      </c>
      <c r="G236" s="6">
        <v>1</v>
      </c>
      <c r="H236" s="22" t="s">
        <v>14</v>
      </c>
      <c r="I236" s="22" t="s">
        <v>15</v>
      </c>
      <c r="J236" s="23">
        <v>45852</v>
      </c>
      <c r="K236" s="6">
        <v>0</v>
      </c>
      <c r="L236" s="22">
        <v>16.8</v>
      </c>
      <c r="M236" s="22" t="s">
        <v>15</v>
      </c>
      <c r="N236" s="24">
        <v>45839</v>
      </c>
      <c r="O236" s="13" t="s">
        <v>1346</v>
      </c>
    </row>
    <row r="237" spans="1:15" x14ac:dyDescent="0.25">
      <c r="A237" s="7">
        <v>10267</v>
      </c>
      <c r="B237" s="25">
        <v>4028899001126</v>
      </c>
      <c r="C237" s="26" t="s">
        <v>16</v>
      </c>
      <c r="D237" s="26" t="s">
        <v>12</v>
      </c>
      <c r="E237" s="26" t="s">
        <v>17</v>
      </c>
      <c r="F237" s="8">
        <v>2.8</v>
      </c>
      <c r="G237" s="8">
        <v>3</v>
      </c>
      <c r="H237" s="26" t="s">
        <v>23</v>
      </c>
      <c r="I237" s="26" t="s">
        <v>442</v>
      </c>
      <c r="J237" s="27">
        <v>45852</v>
      </c>
      <c r="K237" s="8">
        <v>0</v>
      </c>
      <c r="L237" s="26">
        <v>8.3999999999999986</v>
      </c>
      <c r="M237" s="26">
        <v>5</v>
      </c>
      <c r="N237" s="28">
        <v>45839</v>
      </c>
      <c r="O237" s="14" t="s">
        <v>1346</v>
      </c>
    </row>
    <row r="238" spans="1:15" x14ac:dyDescent="0.25">
      <c r="A238" s="5">
        <v>10268</v>
      </c>
      <c r="B238" s="21">
        <v>8599988776654</v>
      </c>
      <c r="C238" s="22" t="s">
        <v>393</v>
      </c>
      <c r="D238" s="22" t="s">
        <v>133</v>
      </c>
      <c r="E238" s="22" t="s">
        <v>17</v>
      </c>
      <c r="F238" s="6">
        <v>16.8</v>
      </c>
      <c r="G238" s="6">
        <v>2</v>
      </c>
      <c r="H238" s="22" t="s">
        <v>14</v>
      </c>
      <c r="I238" s="22" t="s">
        <v>15</v>
      </c>
      <c r="J238" s="23">
        <v>45852</v>
      </c>
      <c r="K238" s="6">
        <v>0</v>
      </c>
      <c r="L238" s="22">
        <v>33.6</v>
      </c>
      <c r="M238" s="22" t="s">
        <v>15</v>
      </c>
      <c r="N238" s="24">
        <v>45839</v>
      </c>
      <c r="O238" s="13" t="s">
        <v>1346</v>
      </c>
    </row>
    <row r="239" spans="1:15" x14ac:dyDescent="0.25">
      <c r="A239" s="7">
        <v>10269</v>
      </c>
      <c r="B239" s="25">
        <v>4010123456783</v>
      </c>
      <c r="C239" s="26" t="s">
        <v>35</v>
      </c>
      <c r="D239" s="26" t="s">
        <v>36</v>
      </c>
      <c r="E239" s="26" t="s">
        <v>37</v>
      </c>
      <c r="F239" s="8">
        <v>14</v>
      </c>
      <c r="G239" s="8">
        <v>1</v>
      </c>
      <c r="H239" s="26" t="s">
        <v>14</v>
      </c>
      <c r="I239" s="26" t="s">
        <v>15</v>
      </c>
      <c r="J239" s="27">
        <v>45852</v>
      </c>
      <c r="K239" s="8">
        <v>0</v>
      </c>
      <c r="L239" s="26">
        <v>14</v>
      </c>
      <c r="M239" s="26" t="s">
        <v>15</v>
      </c>
      <c r="N239" s="28">
        <v>45839</v>
      </c>
      <c r="O239" s="14" t="s">
        <v>1345</v>
      </c>
    </row>
    <row r="240" spans="1:15" x14ac:dyDescent="0.25">
      <c r="A240" s="5">
        <v>10270</v>
      </c>
      <c r="B240" s="21">
        <v>8599988776654</v>
      </c>
      <c r="C240" s="22" t="s">
        <v>393</v>
      </c>
      <c r="D240" s="22" t="s">
        <v>133</v>
      </c>
      <c r="E240" s="22" t="s">
        <v>17</v>
      </c>
      <c r="F240" s="6">
        <v>16.8</v>
      </c>
      <c r="G240" s="6">
        <v>1</v>
      </c>
      <c r="H240" s="22" t="s">
        <v>14</v>
      </c>
      <c r="I240" s="22" t="s">
        <v>15</v>
      </c>
      <c r="J240" s="23">
        <v>45852</v>
      </c>
      <c r="K240" s="6">
        <v>0</v>
      </c>
      <c r="L240" s="22">
        <v>16.8</v>
      </c>
      <c r="M240" s="22" t="s">
        <v>15</v>
      </c>
      <c r="N240" s="24">
        <v>45839</v>
      </c>
      <c r="O240" s="13" t="s">
        <v>1346</v>
      </c>
    </row>
    <row r="241" spans="1:15" x14ac:dyDescent="0.25">
      <c r="A241" s="7">
        <v>10271</v>
      </c>
      <c r="B241" s="25">
        <v>4021234567894</v>
      </c>
      <c r="C241" s="26" t="s">
        <v>79</v>
      </c>
      <c r="D241" s="26" t="s">
        <v>36</v>
      </c>
      <c r="E241" s="26" t="s">
        <v>69</v>
      </c>
      <c r="F241" s="8">
        <v>8</v>
      </c>
      <c r="G241" s="8">
        <v>1</v>
      </c>
      <c r="H241" s="26" t="s">
        <v>18</v>
      </c>
      <c r="I241" s="26" t="s">
        <v>443</v>
      </c>
      <c r="J241" s="27">
        <v>45852</v>
      </c>
      <c r="K241" s="8">
        <v>0</v>
      </c>
      <c r="L241" s="26">
        <v>8</v>
      </c>
      <c r="M241" s="26">
        <v>4</v>
      </c>
      <c r="N241" s="28">
        <v>45839</v>
      </c>
      <c r="O241" s="14" t="s">
        <v>1345</v>
      </c>
    </row>
    <row r="242" spans="1:15" x14ac:dyDescent="0.25">
      <c r="A242" s="5">
        <v>10272</v>
      </c>
      <c r="B242" s="21">
        <v>8599988776654</v>
      </c>
      <c r="C242" s="22" t="s">
        <v>393</v>
      </c>
      <c r="D242" s="22" t="s">
        <v>133</v>
      </c>
      <c r="E242" s="22" t="s">
        <v>17</v>
      </c>
      <c r="F242" s="6">
        <v>16.8</v>
      </c>
      <c r="G242" s="6">
        <v>1</v>
      </c>
      <c r="H242" s="22" t="s">
        <v>14</v>
      </c>
      <c r="I242" s="22" t="s">
        <v>15</v>
      </c>
      <c r="J242" s="23">
        <v>45852</v>
      </c>
      <c r="K242" s="6">
        <v>0</v>
      </c>
      <c r="L242" s="22">
        <v>16.8</v>
      </c>
      <c r="M242" s="22" t="s">
        <v>15</v>
      </c>
      <c r="N242" s="24">
        <v>45839</v>
      </c>
      <c r="O242" s="13" t="s">
        <v>1346</v>
      </c>
    </row>
    <row r="243" spans="1:15" x14ac:dyDescent="0.25">
      <c r="A243" s="7">
        <v>10273</v>
      </c>
      <c r="B243" s="25">
        <v>4017890123450</v>
      </c>
      <c r="C243" s="26" t="s">
        <v>65</v>
      </c>
      <c r="D243" s="26" t="s">
        <v>39</v>
      </c>
      <c r="E243" s="26" t="s">
        <v>22</v>
      </c>
      <c r="F243" s="8">
        <v>7.6</v>
      </c>
      <c r="G243" s="8">
        <v>1</v>
      </c>
      <c r="H243" s="26" t="s">
        <v>14</v>
      </c>
      <c r="I243" s="26" t="s">
        <v>15</v>
      </c>
      <c r="J243" s="27">
        <v>45852</v>
      </c>
      <c r="K243" s="8">
        <v>0</v>
      </c>
      <c r="L243" s="26">
        <v>7.6</v>
      </c>
      <c r="M243" s="26" t="s">
        <v>15</v>
      </c>
      <c r="N243" s="28">
        <v>45839</v>
      </c>
      <c r="O243" s="14" t="s">
        <v>1346</v>
      </c>
    </row>
    <row r="244" spans="1:15" x14ac:dyDescent="0.25">
      <c r="A244" s="5">
        <v>10274</v>
      </c>
      <c r="B244" s="21">
        <v>8599988776654</v>
      </c>
      <c r="C244" s="22" t="s">
        <v>393</v>
      </c>
      <c r="D244" s="22" t="s">
        <v>133</v>
      </c>
      <c r="E244" s="22" t="s">
        <v>17</v>
      </c>
      <c r="F244" s="6">
        <v>16.8</v>
      </c>
      <c r="G244" s="6">
        <v>2</v>
      </c>
      <c r="H244" s="22" t="s">
        <v>14</v>
      </c>
      <c r="I244" s="22" t="s">
        <v>15</v>
      </c>
      <c r="J244" s="23">
        <v>45852</v>
      </c>
      <c r="K244" s="6">
        <v>0</v>
      </c>
      <c r="L244" s="22">
        <v>33.6</v>
      </c>
      <c r="M244" s="22" t="s">
        <v>15</v>
      </c>
      <c r="N244" s="24">
        <v>45839</v>
      </c>
      <c r="O244" s="13" t="s">
        <v>1346</v>
      </c>
    </row>
    <row r="245" spans="1:15" x14ac:dyDescent="0.25">
      <c r="A245" s="7">
        <v>10275</v>
      </c>
      <c r="B245" s="25">
        <v>4056789012345</v>
      </c>
      <c r="C245" s="26" t="s">
        <v>47</v>
      </c>
      <c r="D245" s="26" t="s">
        <v>29</v>
      </c>
      <c r="E245" s="26" t="s">
        <v>37</v>
      </c>
      <c r="F245" s="8">
        <v>2.4</v>
      </c>
      <c r="G245" s="8">
        <v>2</v>
      </c>
      <c r="H245" s="26" t="s">
        <v>33</v>
      </c>
      <c r="I245" s="26" t="s">
        <v>444</v>
      </c>
      <c r="J245" s="27">
        <v>45852</v>
      </c>
      <c r="K245" s="8">
        <v>0</v>
      </c>
      <c r="L245" s="26">
        <v>4.8</v>
      </c>
      <c r="M245" s="26">
        <v>3</v>
      </c>
      <c r="N245" s="28">
        <v>45839</v>
      </c>
      <c r="O245" s="14" t="s">
        <v>1345</v>
      </c>
    </row>
    <row r="246" spans="1:15" x14ac:dyDescent="0.25">
      <c r="A246" s="5">
        <v>10276</v>
      </c>
      <c r="B246" s="21">
        <v>8599988776654</v>
      </c>
      <c r="C246" s="22" t="s">
        <v>393</v>
      </c>
      <c r="D246" s="22" t="s">
        <v>133</v>
      </c>
      <c r="E246" s="22" t="s">
        <v>17</v>
      </c>
      <c r="F246" s="6">
        <v>16.8</v>
      </c>
      <c r="G246" s="6">
        <v>1</v>
      </c>
      <c r="H246" s="22" t="s">
        <v>14</v>
      </c>
      <c r="I246" s="22" t="s">
        <v>15</v>
      </c>
      <c r="J246" s="23">
        <v>45852</v>
      </c>
      <c r="K246" s="6">
        <v>0</v>
      </c>
      <c r="L246" s="22">
        <v>16.8</v>
      </c>
      <c r="M246" s="22" t="s">
        <v>15</v>
      </c>
      <c r="N246" s="24">
        <v>45839</v>
      </c>
      <c r="O246" s="13" t="s">
        <v>1346</v>
      </c>
    </row>
    <row r="247" spans="1:15" x14ac:dyDescent="0.25">
      <c r="A247" s="7">
        <v>10277</v>
      </c>
      <c r="B247" s="25">
        <v>4063456789014</v>
      </c>
      <c r="C247" s="26" t="s">
        <v>60</v>
      </c>
      <c r="D247" s="26" t="s">
        <v>12</v>
      </c>
      <c r="E247" s="26" t="s">
        <v>61</v>
      </c>
      <c r="F247" s="8">
        <v>36</v>
      </c>
      <c r="G247" s="8">
        <v>1</v>
      </c>
      <c r="H247" s="26" t="s">
        <v>14</v>
      </c>
      <c r="I247" s="26" t="s">
        <v>15</v>
      </c>
      <c r="J247" s="27">
        <v>45852</v>
      </c>
      <c r="K247" s="8">
        <v>0</v>
      </c>
      <c r="L247" s="26">
        <v>36</v>
      </c>
      <c r="M247" s="26" t="s">
        <v>15</v>
      </c>
      <c r="N247" s="28">
        <v>45839</v>
      </c>
      <c r="O247" s="14" t="s">
        <v>1346</v>
      </c>
    </row>
    <row r="248" spans="1:15" x14ac:dyDescent="0.25">
      <c r="A248" s="5">
        <v>10278</v>
      </c>
      <c r="B248" s="21">
        <v>8599988776654</v>
      </c>
      <c r="C248" s="22" t="s">
        <v>393</v>
      </c>
      <c r="D248" s="22" t="s">
        <v>133</v>
      </c>
      <c r="E248" s="22" t="s">
        <v>17</v>
      </c>
      <c r="F248" s="6">
        <v>16.8</v>
      </c>
      <c r="G248" s="6">
        <v>1</v>
      </c>
      <c r="H248" s="22" t="s">
        <v>14</v>
      </c>
      <c r="I248" s="22" t="s">
        <v>15</v>
      </c>
      <c r="J248" s="23">
        <v>45852</v>
      </c>
      <c r="K248" s="6">
        <v>0</v>
      </c>
      <c r="L248" s="22">
        <v>16.8</v>
      </c>
      <c r="M248" s="22" t="s">
        <v>15</v>
      </c>
      <c r="N248" s="24">
        <v>45839</v>
      </c>
      <c r="O248" s="13" t="s">
        <v>1346</v>
      </c>
    </row>
    <row r="249" spans="1:15" x14ac:dyDescent="0.25">
      <c r="A249" s="7">
        <v>10279</v>
      </c>
      <c r="B249" s="25">
        <v>4013456789017</v>
      </c>
      <c r="C249" s="26" t="s">
        <v>11</v>
      </c>
      <c r="D249" s="26" t="s">
        <v>12</v>
      </c>
      <c r="E249" s="26" t="s">
        <v>13</v>
      </c>
      <c r="F249" s="8">
        <v>6</v>
      </c>
      <c r="G249" s="8">
        <v>2</v>
      </c>
      <c r="H249" s="26" t="s">
        <v>23</v>
      </c>
      <c r="I249" s="26" t="s">
        <v>445</v>
      </c>
      <c r="J249" s="27">
        <v>45852</v>
      </c>
      <c r="K249" s="8">
        <v>0</v>
      </c>
      <c r="L249" s="26">
        <v>12</v>
      </c>
      <c r="M249" s="26">
        <v>5</v>
      </c>
      <c r="N249" s="28">
        <v>45839</v>
      </c>
      <c r="O249" s="14" t="s">
        <v>1346</v>
      </c>
    </row>
    <row r="250" spans="1:15" x14ac:dyDescent="0.25">
      <c r="A250" s="5">
        <v>10280</v>
      </c>
      <c r="B250" s="21">
        <v>8599988776654</v>
      </c>
      <c r="C250" s="22" t="s">
        <v>393</v>
      </c>
      <c r="D250" s="22" t="s">
        <v>133</v>
      </c>
      <c r="E250" s="22" t="s">
        <v>17</v>
      </c>
      <c r="F250" s="6">
        <v>16.8</v>
      </c>
      <c r="G250" s="6">
        <v>1</v>
      </c>
      <c r="H250" s="22" t="s">
        <v>14</v>
      </c>
      <c r="I250" s="22" t="s">
        <v>15</v>
      </c>
      <c r="J250" s="23">
        <v>45852</v>
      </c>
      <c r="K250" s="6">
        <v>0</v>
      </c>
      <c r="L250" s="22">
        <v>16.8</v>
      </c>
      <c r="M250" s="22" t="s">
        <v>15</v>
      </c>
      <c r="N250" s="24">
        <v>45839</v>
      </c>
      <c r="O250" s="13" t="s">
        <v>1346</v>
      </c>
    </row>
    <row r="251" spans="1:15" x14ac:dyDescent="0.25">
      <c r="A251" s="7">
        <v>10281</v>
      </c>
      <c r="B251" s="25">
        <v>4028899001126</v>
      </c>
      <c r="C251" s="26" t="s">
        <v>16</v>
      </c>
      <c r="D251" s="26" t="s">
        <v>12</v>
      </c>
      <c r="E251" s="26" t="s">
        <v>17</v>
      </c>
      <c r="F251" s="8">
        <v>2.8</v>
      </c>
      <c r="G251" s="8">
        <v>3</v>
      </c>
      <c r="H251" s="26" t="s">
        <v>14</v>
      </c>
      <c r="I251" s="26" t="s">
        <v>15</v>
      </c>
      <c r="J251" s="27">
        <v>45852</v>
      </c>
      <c r="K251" s="8">
        <v>0</v>
      </c>
      <c r="L251" s="26">
        <v>8.3999999999999986</v>
      </c>
      <c r="M251" s="26" t="s">
        <v>15</v>
      </c>
      <c r="N251" s="28">
        <v>45839</v>
      </c>
      <c r="O251" s="14" t="s">
        <v>1346</v>
      </c>
    </row>
    <row r="252" spans="1:15" x14ac:dyDescent="0.25">
      <c r="A252" s="5">
        <v>10282</v>
      </c>
      <c r="B252" s="21">
        <v>8599988776654</v>
      </c>
      <c r="C252" s="22" t="s">
        <v>393</v>
      </c>
      <c r="D252" s="22" t="s">
        <v>133</v>
      </c>
      <c r="E252" s="22" t="s">
        <v>17</v>
      </c>
      <c r="F252" s="6">
        <v>16.8</v>
      </c>
      <c r="G252" s="6">
        <v>2</v>
      </c>
      <c r="H252" s="22" t="s">
        <v>14</v>
      </c>
      <c r="I252" s="22" t="s">
        <v>15</v>
      </c>
      <c r="J252" s="23">
        <v>45853</v>
      </c>
      <c r="K252" s="6">
        <v>0</v>
      </c>
      <c r="L252" s="22">
        <v>33.6</v>
      </c>
      <c r="M252" s="22" t="s">
        <v>15</v>
      </c>
      <c r="N252" s="24">
        <v>45839</v>
      </c>
      <c r="O252" s="13" t="s">
        <v>1346</v>
      </c>
    </row>
    <row r="253" spans="1:15" x14ac:dyDescent="0.25">
      <c r="A253" s="7">
        <v>10283</v>
      </c>
      <c r="B253" s="25">
        <v>4013456789017</v>
      </c>
      <c r="C253" s="26" t="s">
        <v>11</v>
      </c>
      <c r="D253" s="26" t="s">
        <v>12</v>
      </c>
      <c r="E253" s="26" t="s">
        <v>13</v>
      </c>
      <c r="F253" s="8">
        <v>6</v>
      </c>
      <c r="G253" s="8">
        <v>1</v>
      </c>
      <c r="H253" s="26" t="s">
        <v>18</v>
      </c>
      <c r="I253" s="26" t="s">
        <v>446</v>
      </c>
      <c r="J253" s="27">
        <v>45853</v>
      </c>
      <c r="K253" s="8">
        <v>0</v>
      </c>
      <c r="L253" s="26">
        <v>6</v>
      </c>
      <c r="M253" s="26">
        <v>4</v>
      </c>
      <c r="N253" s="28">
        <v>45839</v>
      </c>
      <c r="O253" s="14" t="s">
        <v>1346</v>
      </c>
    </row>
    <row r="254" spans="1:15" x14ac:dyDescent="0.25">
      <c r="A254" s="5">
        <v>10284</v>
      </c>
      <c r="B254" s="21">
        <v>8599988776654</v>
      </c>
      <c r="C254" s="22" t="s">
        <v>393</v>
      </c>
      <c r="D254" s="22" t="s">
        <v>133</v>
      </c>
      <c r="E254" s="22" t="s">
        <v>17</v>
      </c>
      <c r="F254" s="6">
        <v>16.8</v>
      </c>
      <c r="G254" s="6">
        <v>1</v>
      </c>
      <c r="H254" s="22" t="s">
        <v>14</v>
      </c>
      <c r="I254" s="22" t="s">
        <v>15</v>
      </c>
      <c r="J254" s="23">
        <v>45853</v>
      </c>
      <c r="K254" s="6">
        <v>0</v>
      </c>
      <c r="L254" s="22">
        <v>16.8</v>
      </c>
      <c r="M254" s="22" t="s">
        <v>15</v>
      </c>
      <c r="N254" s="24">
        <v>45839</v>
      </c>
      <c r="O254" s="13" t="s">
        <v>1346</v>
      </c>
    </row>
    <row r="255" spans="1:15" x14ac:dyDescent="0.25">
      <c r="A255" s="7">
        <v>10285</v>
      </c>
      <c r="B255" s="25">
        <v>4028899001126</v>
      </c>
      <c r="C255" s="26" t="s">
        <v>16</v>
      </c>
      <c r="D255" s="26" t="s">
        <v>12</v>
      </c>
      <c r="E255" s="26" t="s">
        <v>17</v>
      </c>
      <c r="F255" s="8">
        <v>2.8</v>
      </c>
      <c r="G255" s="8">
        <v>3</v>
      </c>
      <c r="H255" s="26" t="s">
        <v>14</v>
      </c>
      <c r="I255" s="26" t="s">
        <v>15</v>
      </c>
      <c r="J255" s="27">
        <v>45853</v>
      </c>
      <c r="K255" s="8">
        <v>0</v>
      </c>
      <c r="L255" s="26">
        <v>8.3999999999999986</v>
      </c>
      <c r="M255" s="26" t="s">
        <v>15</v>
      </c>
      <c r="N255" s="28">
        <v>45839</v>
      </c>
      <c r="O255" s="14" t="s">
        <v>1346</v>
      </c>
    </row>
    <row r="256" spans="1:15" x14ac:dyDescent="0.25">
      <c r="A256" s="5">
        <v>10286</v>
      </c>
      <c r="B256" s="21">
        <v>8599988776654</v>
      </c>
      <c r="C256" s="22" t="s">
        <v>393</v>
      </c>
      <c r="D256" s="22" t="s">
        <v>133</v>
      </c>
      <c r="E256" s="22" t="s">
        <v>17</v>
      </c>
      <c r="F256" s="6">
        <v>16.8</v>
      </c>
      <c r="G256" s="6">
        <v>2</v>
      </c>
      <c r="H256" s="22" t="s">
        <v>14</v>
      </c>
      <c r="I256" s="22" t="s">
        <v>15</v>
      </c>
      <c r="J256" s="23">
        <v>45853</v>
      </c>
      <c r="K256" s="6">
        <v>0</v>
      </c>
      <c r="L256" s="22">
        <v>33.6</v>
      </c>
      <c r="M256" s="22" t="s">
        <v>15</v>
      </c>
      <c r="N256" s="24">
        <v>45839</v>
      </c>
      <c r="O256" s="13" t="s">
        <v>1346</v>
      </c>
    </row>
    <row r="257" spans="1:15" x14ac:dyDescent="0.25">
      <c r="A257" s="7">
        <v>10287</v>
      </c>
      <c r="B257" s="25">
        <v>4017890123450</v>
      </c>
      <c r="C257" s="26" t="s">
        <v>65</v>
      </c>
      <c r="D257" s="26" t="s">
        <v>39</v>
      </c>
      <c r="E257" s="26" t="s">
        <v>22</v>
      </c>
      <c r="F257" s="8">
        <v>7.6</v>
      </c>
      <c r="G257" s="8">
        <v>1</v>
      </c>
      <c r="H257" s="26" t="s">
        <v>14</v>
      </c>
      <c r="I257" s="26" t="s">
        <v>15</v>
      </c>
      <c r="J257" s="27">
        <v>45853</v>
      </c>
      <c r="K257" s="8">
        <v>0</v>
      </c>
      <c r="L257" s="26">
        <v>7.6</v>
      </c>
      <c r="M257" s="26" t="s">
        <v>15</v>
      </c>
      <c r="N257" s="28">
        <v>45839</v>
      </c>
      <c r="O257" s="14" t="s">
        <v>1346</v>
      </c>
    </row>
    <row r="258" spans="1:15" x14ac:dyDescent="0.25">
      <c r="A258" s="5">
        <v>10288</v>
      </c>
      <c r="B258" s="21">
        <v>8599988776654</v>
      </c>
      <c r="C258" s="22" t="s">
        <v>393</v>
      </c>
      <c r="D258" s="22" t="s">
        <v>133</v>
      </c>
      <c r="E258" s="22" t="s">
        <v>17</v>
      </c>
      <c r="F258" s="6">
        <v>16.8</v>
      </c>
      <c r="G258" s="6">
        <v>1</v>
      </c>
      <c r="H258" s="22" t="s">
        <v>23</v>
      </c>
      <c r="I258" s="22" t="s">
        <v>447</v>
      </c>
      <c r="J258" s="23">
        <v>45853</v>
      </c>
      <c r="K258" s="6">
        <v>0</v>
      </c>
      <c r="L258" s="22">
        <v>16.8</v>
      </c>
      <c r="M258" s="22">
        <v>5</v>
      </c>
      <c r="N258" s="24">
        <v>45839</v>
      </c>
      <c r="O258" s="13" t="s">
        <v>1346</v>
      </c>
    </row>
    <row r="259" spans="1:15" x14ac:dyDescent="0.25">
      <c r="A259" s="7">
        <v>10289</v>
      </c>
      <c r="B259" s="25">
        <v>4010123456783</v>
      </c>
      <c r="C259" s="26" t="s">
        <v>35</v>
      </c>
      <c r="D259" s="26" t="s">
        <v>36</v>
      </c>
      <c r="E259" s="26" t="s">
        <v>37</v>
      </c>
      <c r="F259" s="8">
        <v>14</v>
      </c>
      <c r="G259" s="8">
        <v>1</v>
      </c>
      <c r="H259" s="26" t="s">
        <v>14</v>
      </c>
      <c r="I259" s="26" t="s">
        <v>15</v>
      </c>
      <c r="J259" s="27">
        <v>45853</v>
      </c>
      <c r="K259" s="8">
        <v>0</v>
      </c>
      <c r="L259" s="26">
        <v>14</v>
      </c>
      <c r="M259" s="26" t="s">
        <v>15</v>
      </c>
      <c r="N259" s="28">
        <v>45839</v>
      </c>
      <c r="O259" s="14" t="s">
        <v>1345</v>
      </c>
    </row>
    <row r="260" spans="1:15" x14ac:dyDescent="0.25">
      <c r="A260" s="5">
        <v>10290</v>
      </c>
      <c r="B260" s="21">
        <v>8599988776654</v>
      </c>
      <c r="C260" s="22" t="s">
        <v>393</v>
      </c>
      <c r="D260" s="22" t="s">
        <v>133</v>
      </c>
      <c r="E260" s="22" t="s">
        <v>17</v>
      </c>
      <c r="F260" s="6">
        <v>16.8</v>
      </c>
      <c r="G260" s="6">
        <v>1</v>
      </c>
      <c r="H260" s="22" t="s">
        <v>14</v>
      </c>
      <c r="I260" s="22" t="s">
        <v>15</v>
      </c>
      <c r="J260" s="23">
        <v>45853</v>
      </c>
      <c r="K260" s="6">
        <v>0</v>
      </c>
      <c r="L260" s="22">
        <v>16.8</v>
      </c>
      <c r="M260" s="22" t="s">
        <v>15</v>
      </c>
      <c r="N260" s="24">
        <v>45839</v>
      </c>
      <c r="O260" s="13" t="s">
        <v>1346</v>
      </c>
    </row>
    <row r="261" spans="1:15" x14ac:dyDescent="0.25">
      <c r="A261" s="7">
        <v>10291</v>
      </c>
      <c r="B261" s="25">
        <v>4063456789014</v>
      </c>
      <c r="C261" s="26" t="s">
        <v>60</v>
      </c>
      <c r="D261" s="26" t="s">
        <v>12</v>
      </c>
      <c r="E261" s="26" t="s">
        <v>61</v>
      </c>
      <c r="F261" s="8">
        <v>36</v>
      </c>
      <c r="G261" s="8">
        <v>1</v>
      </c>
      <c r="H261" s="26" t="s">
        <v>14</v>
      </c>
      <c r="I261" s="26" t="s">
        <v>15</v>
      </c>
      <c r="J261" s="27">
        <v>45853</v>
      </c>
      <c r="K261" s="8">
        <v>0</v>
      </c>
      <c r="L261" s="26">
        <v>36</v>
      </c>
      <c r="M261" s="26" t="s">
        <v>15</v>
      </c>
      <c r="N261" s="28">
        <v>45839</v>
      </c>
      <c r="O261" s="14" t="s">
        <v>1346</v>
      </c>
    </row>
    <row r="262" spans="1:15" x14ac:dyDescent="0.25">
      <c r="A262" s="5">
        <v>10292</v>
      </c>
      <c r="B262" s="21">
        <v>8599988776654</v>
      </c>
      <c r="C262" s="22" t="s">
        <v>393</v>
      </c>
      <c r="D262" s="22" t="s">
        <v>133</v>
      </c>
      <c r="E262" s="22" t="s">
        <v>17</v>
      </c>
      <c r="F262" s="6">
        <v>16.8</v>
      </c>
      <c r="G262" s="6">
        <v>1</v>
      </c>
      <c r="H262" s="22" t="s">
        <v>14</v>
      </c>
      <c r="I262" s="22" t="s">
        <v>15</v>
      </c>
      <c r="J262" s="23">
        <v>45853</v>
      </c>
      <c r="K262" s="6">
        <v>0</v>
      </c>
      <c r="L262" s="22">
        <v>16.8</v>
      </c>
      <c r="M262" s="22" t="s">
        <v>15</v>
      </c>
      <c r="N262" s="24">
        <v>45839</v>
      </c>
      <c r="O262" s="13" t="s">
        <v>1346</v>
      </c>
    </row>
    <row r="263" spans="1:15" x14ac:dyDescent="0.25">
      <c r="A263" s="7">
        <v>10293</v>
      </c>
      <c r="B263" s="25">
        <v>4056789012345</v>
      </c>
      <c r="C263" s="26" t="s">
        <v>47</v>
      </c>
      <c r="D263" s="26" t="s">
        <v>29</v>
      </c>
      <c r="E263" s="26" t="s">
        <v>37</v>
      </c>
      <c r="F263" s="8">
        <v>2.4</v>
      </c>
      <c r="G263" s="8">
        <v>2</v>
      </c>
      <c r="H263" s="26" t="s">
        <v>14</v>
      </c>
      <c r="I263" s="26" t="s">
        <v>15</v>
      </c>
      <c r="J263" s="27">
        <v>45853</v>
      </c>
      <c r="K263" s="8">
        <v>0</v>
      </c>
      <c r="L263" s="26">
        <v>4.8</v>
      </c>
      <c r="M263" s="26" t="s">
        <v>15</v>
      </c>
      <c r="N263" s="28">
        <v>45839</v>
      </c>
      <c r="O263" s="14" t="s">
        <v>1345</v>
      </c>
    </row>
    <row r="264" spans="1:15" x14ac:dyDescent="0.25">
      <c r="A264" s="5">
        <v>10294</v>
      </c>
      <c r="B264" s="21">
        <v>8599988776654</v>
      </c>
      <c r="C264" s="22" t="s">
        <v>393</v>
      </c>
      <c r="D264" s="22" t="s">
        <v>133</v>
      </c>
      <c r="E264" s="22" t="s">
        <v>17</v>
      </c>
      <c r="F264" s="6">
        <v>16.8</v>
      </c>
      <c r="G264" s="6">
        <v>1</v>
      </c>
      <c r="H264" s="22" t="s">
        <v>18</v>
      </c>
      <c r="I264" s="22" t="s">
        <v>448</v>
      </c>
      <c r="J264" s="23">
        <v>45853</v>
      </c>
      <c r="K264" s="6">
        <v>0</v>
      </c>
      <c r="L264" s="22">
        <v>16.8</v>
      </c>
      <c r="M264" s="22">
        <v>4</v>
      </c>
      <c r="N264" s="24">
        <v>45839</v>
      </c>
      <c r="O264" s="13" t="s">
        <v>1346</v>
      </c>
    </row>
    <row r="265" spans="1:15" x14ac:dyDescent="0.25">
      <c r="A265" s="7">
        <v>10295</v>
      </c>
      <c r="B265" s="25">
        <v>4021234567894</v>
      </c>
      <c r="C265" s="26" t="s">
        <v>79</v>
      </c>
      <c r="D265" s="26" t="s">
        <v>36</v>
      </c>
      <c r="E265" s="26" t="s">
        <v>69</v>
      </c>
      <c r="F265" s="8">
        <v>8</v>
      </c>
      <c r="G265" s="8">
        <v>1</v>
      </c>
      <c r="H265" s="26" t="s">
        <v>14</v>
      </c>
      <c r="I265" s="26" t="s">
        <v>15</v>
      </c>
      <c r="J265" s="27">
        <v>45854</v>
      </c>
      <c r="K265" s="8">
        <v>0</v>
      </c>
      <c r="L265" s="26">
        <v>8</v>
      </c>
      <c r="M265" s="26" t="s">
        <v>15</v>
      </c>
      <c r="N265" s="28">
        <v>45839</v>
      </c>
      <c r="O265" s="14" t="s">
        <v>1345</v>
      </c>
    </row>
    <row r="266" spans="1:15" x14ac:dyDescent="0.25">
      <c r="A266" s="5">
        <v>10296</v>
      </c>
      <c r="B266" s="21">
        <v>8599988776654</v>
      </c>
      <c r="C266" s="22" t="s">
        <v>393</v>
      </c>
      <c r="D266" s="22" t="s">
        <v>133</v>
      </c>
      <c r="E266" s="22" t="s">
        <v>17</v>
      </c>
      <c r="F266" s="6">
        <v>16.8</v>
      </c>
      <c r="G266" s="6">
        <v>2</v>
      </c>
      <c r="H266" s="22" t="s">
        <v>14</v>
      </c>
      <c r="I266" s="22" t="s">
        <v>15</v>
      </c>
      <c r="J266" s="23">
        <v>45854</v>
      </c>
      <c r="K266" s="6">
        <v>0</v>
      </c>
      <c r="L266" s="22">
        <v>33.6</v>
      </c>
      <c r="M266" s="22" t="s">
        <v>15</v>
      </c>
      <c r="N266" s="24">
        <v>45839</v>
      </c>
      <c r="O266" s="13" t="s">
        <v>1346</v>
      </c>
    </row>
    <row r="267" spans="1:15" x14ac:dyDescent="0.25">
      <c r="A267" s="7">
        <v>10297</v>
      </c>
      <c r="B267" s="25">
        <v>4013456789017</v>
      </c>
      <c r="C267" s="26" t="s">
        <v>11</v>
      </c>
      <c r="D267" s="26" t="s">
        <v>12</v>
      </c>
      <c r="E267" s="26" t="s">
        <v>13</v>
      </c>
      <c r="F267" s="8">
        <v>6</v>
      </c>
      <c r="G267" s="8">
        <v>1</v>
      </c>
      <c r="H267" s="26" t="s">
        <v>14</v>
      </c>
      <c r="I267" s="26" t="s">
        <v>15</v>
      </c>
      <c r="J267" s="27">
        <v>45854</v>
      </c>
      <c r="K267" s="8">
        <v>0</v>
      </c>
      <c r="L267" s="26">
        <v>6</v>
      </c>
      <c r="M267" s="26" t="s">
        <v>15</v>
      </c>
      <c r="N267" s="28">
        <v>45839</v>
      </c>
      <c r="O267" s="14" t="s">
        <v>1346</v>
      </c>
    </row>
    <row r="268" spans="1:15" x14ac:dyDescent="0.25">
      <c r="A268" s="5">
        <v>10298</v>
      </c>
      <c r="B268" s="21">
        <v>8599988776654</v>
      </c>
      <c r="C268" s="22" t="s">
        <v>393</v>
      </c>
      <c r="D268" s="22" t="s">
        <v>133</v>
      </c>
      <c r="E268" s="22" t="s">
        <v>17</v>
      </c>
      <c r="F268" s="6">
        <v>16.8</v>
      </c>
      <c r="G268" s="6">
        <v>1</v>
      </c>
      <c r="H268" s="22" t="s">
        <v>14</v>
      </c>
      <c r="I268" s="22" t="s">
        <v>15</v>
      </c>
      <c r="J268" s="23">
        <v>45854</v>
      </c>
      <c r="K268" s="6">
        <v>0</v>
      </c>
      <c r="L268" s="22">
        <v>16.8</v>
      </c>
      <c r="M268" s="22" t="s">
        <v>15</v>
      </c>
      <c r="N268" s="24">
        <v>45839</v>
      </c>
      <c r="O268" s="13" t="s">
        <v>1346</v>
      </c>
    </row>
    <row r="269" spans="1:15" x14ac:dyDescent="0.25">
      <c r="A269" s="7">
        <v>10299</v>
      </c>
      <c r="B269" s="25">
        <v>4063456789014</v>
      </c>
      <c r="C269" s="26" t="s">
        <v>60</v>
      </c>
      <c r="D269" s="26" t="s">
        <v>12</v>
      </c>
      <c r="E269" s="26" t="s">
        <v>61</v>
      </c>
      <c r="F269" s="8">
        <v>36</v>
      </c>
      <c r="G269" s="8">
        <v>1</v>
      </c>
      <c r="H269" s="26" t="s">
        <v>14</v>
      </c>
      <c r="I269" s="26" t="s">
        <v>15</v>
      </c>
      <c r="J269" s="27">
        <v>45854</v>
      </c>
      <c r="K269" s="8">
        <v>0</v>
      </c>
      <c r="L269" s="26">
        <v>36</v>
      </c>
      <c r="M269" s="26" t="s">
        <v>15</v>
      </c>
      <c r="N269" s="28">
        <v>45839</v>
      </c>
      <c r="O269" s="14" t="s">
        <v>1346</v>
      </c>
    </row>
    <row r="270" spans="1:15" x14ac:dyDescent="0.25">
      <c r="A270" s="5">
        <v>10300</v>
      </c>
      <c r="B270" s="21">
        <v>8599988776654</v>
      </c>
      <c r="C270" s="22" t="s">
        <v>393</v>
      </c>
      <c r="D270" s="22" t="s">
        <v>133</v>
      </c>
      <c r="E270" s="22" t="s">
        <v>17</v>
      </c>
      <c r="F270" s="6">
        <v>16.8</v>
      </c>
      <c r="G270" s="6">
        <v>1</v>
      </c>
      <c r="H270" s="22" t="s">
        <v>14</v>
      </c>
      <c r="I270" s="22" t="s">
        <v>15</v>
      </c>
      <c r="J270" s="23">
        <v>45854</v>
      </c>
      <c r="K270" s="6">
        <v>0</v>
      </c>
      <c r="L270" s="22">
        <v>16.8</v>
      </c>
      <c r="M270" s="22" t="s">
        <v>15</v>
      </c>
      <c r="N270" s="24">
        <v>45839</v>
      </c>
      <c r="O270" s="13" t="s">
        <v>1346</v>
      </c>
    </row>
    <row r="271" spans="1:15" x14ac:dyDescent="0.25">
      <c r="A271" s="7">
        <v>10301</v>
      </c>
      <c r="B271" s="25">
        <v>4017890123450</v>
      </c>
      <c r="C271" s="26" t="s">
        <v>65</v>
      </c>
      <c r="D271" s="26" t="s">
        <v>39</v>
      </c>
      <c r="E271" s="26" t="s">
        <v>22</v>
      </c>
      <c r="F271" s="8">
        <v>7.6</v>
      </c>
      <c r="G271" s="8">
        <v>1</v>
      </c>
      <c r="H271" s="26" t="s">
        <v>23</v>
      </c>
      <c r="I271" s="26" t="s">
        <v>449</v>
      </c>
      <c r="J271" s="27">
        <v>45854</v>
      </c>
      <c r="K271" s="8">
        <v>0</v>
      </c>
      <c r="L271" s="26">
        <v>7.6</v>
      </c>
      <c r="M271" s="26">
        <v>5</v>
      </c>
      <c r="N271" s="28">
        <v>45839</v>
      </c>
      <c r="O271" s="14" t="s">
        <v>1346</v>
      </c>
    </row>
    <row r="272" spans="1:15" x14ac:dyDescent="0.25">
      <c r="A272" s="5">
        <v>10302</v>
      </c>
      <c r="B272" s="21">
        <v>8599988776654</v>
      </c>
      <c r="C272" s="22" t="s">
        <v>393</v>
      </c>
      <c r="D272" s="22" t="s">
        <v>133</v>
      </c>
      <c r="E272" s="22" t="s">
        <v>17</v>
      </c>
      <c r="F272" s="6">
        <v>16.8</v>
      </c>
      <c r="G272" s="6">
        <v>2</v>
      </c>
      <c r="H272" s="22" t="s">
        <v>14</v>
      </c>
      <c r="I272" s="22" t="s">
        <v>15</v>
      </c>
      <c r="J272" s="23">
        <v>45854</v>
      </c>
      <c r="K272" s="6">
        <v>0</v>
      </c>
      <c r="L272" s="22">
        <v>33.6</v>
      </c>
      <c r="M272" s="22" t="s">
        <v>15</v>
      </c>
      <c r="N272" s="24">
        <v>45839</v>
      </c>
      <c r="O272" s="13" t="s">
        <v>1346</v>
      </c>
    </row>
    <row r="273" spans="1:15" x14ac:dyDescent="0.25">
      <c r="A273" s="7">
        <v>10303</v>
      </c>
      <c r="B273" s="25">
        <v>4010123456783</v>
      </c>
      <c r="C273" s="26" t="s">
        <v>35</v>
      </c>
      <c r="D273" s="26" t="s">
        <v>36</v>
      </c>
      <c r="E273" s="26" t="s">
        <v>37</v>
      </c>
      <c r="F273" s="8">
        <v>14</v>
      </c>
      <c r="G273" s="8">
        <v>1</v>
      </c>
      <c r="H273" s="26" t="s">
        <v>14</v>
      </c>
      <c r="I273" s="26" t="s">
        <v>15</v>
      </c>
      <c r="J273" s="27">
        <v>45854</v>
      </c>
      <c r="K273" s="8">
        <v>0</v>
      </c>
      <c r="L273" s="26">
        <v>14</v>
      </c>
      <c r="M273" s="26" t="s">
        <v>15</v>
      </c>
      <c r="N273" s="28">
        <v>45839</v>
      </c>
      <c r="O273" s="14" t="s">
        <v>1345</v>
      </c>
    </row>
    <row r="274" spans="1:15" x14ac:dyDescent="0.25">
      <c r="A274" s="5">
        <v>10304</v>
      </c>
      <c r="B274" s="21">
        <v>8599988776654</v>
      </c>
      <c r="C274" s="22" t="s">
        <v>393</v>
      </c>
      <c r="D274" s="22" t="s">
        <v>133</v>
      </c>
      <c r="E274" s="22" t="s">
        <v>17</v>
      </c>
      <c r="F274" s="6">
        <v>16.8</v>
      </c>
      <c r="G274" s="6">
        <v>1</v>
      </c>
      <c r="H274" s="22" t="s">
        <v>23</v>
      </c>
      <c r="I274" s="22" t="s">
        <v>450</v>
      </c>
      <c r="J274" s="23">
        <v>45854</v>
      </c>
      <c r="K274" s="6">
        <v>0</v>
      </c>
      <c r="L274" s="22">
        <v>16.8</v>
      </c>
      <c r="M274" s="22">
        <v>5</v>
      </c>
      <c r="N274" s="24">
        <v>45839</v>
      </c>
      <c r="O274" s="13" t="s">
        <v>1346</v>
      </c>
    </row>
    <row r="275" spans="1:15" x14ac:dyDescent="0.25">
      <c r="A275" s="7">
        <v>10305</v>
      </c>
      <c r="B275" s="25">
        <v>4027788990013</v>
      </c>
      <c r="C275" s="26" t="s">
        <v>43</v>
      </c>
      <c r="D275" s="26" t="s">
        <v>21</v>
      </c>
      <c r="E275" s="26" t="s">
        <v>22</v>
      </c>
      <c r="F275" s="8">
        <v>8</v>
      </c>
      <c r="G275" s="8">
        <v>1</v>
      </c>
      <c r="H275" s="26" t="s">
        <v>14</v>
      </c>
      <c r="I275" s="26" t="s">
        <v>15</v>
      </c>
      <c r="J275" s="27">
        <v>45854</v>
      </c>
      <c r="K275" s="8">
        <v>0</v>
      </c>
      <c r="L275" s="26">
        <v>8</v>
      </c>
      <c r="M275" s="26" t="s">
        <v>15</v>
      </c>
      <c r="N275" s="28">
        <v>45839</v>
      </c>
      <c r="O275" s="14" t="s">
        <v>1346</v>
      </c>
    </row>
    <row r="276" spans="1:15" x14ac:dyDescent="0.25">
      <c r="A276" s="5">
        <v>10306</v>
      </c>
      <c r="B276" s="21">
        <v>8599988776654</v>
      </c>
      <c r="C276" s="22" t="s">
        <v>393</v>
      </c>
      <c r="D276" s="22" t="s">
        <v>133</v>
      </c>
      <c r="E276" s="22" t="s">
        <v>17</v>
      </c>
      <c r="F276" s="6">
        <v>16.8</v>
      </c>
      <c r="G276" s="6">
        <v>1</v>
      </c>
      <c r="H276" s="22" t="s">
        <v>14</v>
      </c>
      <c r="I276" s="22" t="s">
        <v>15</v>
      </c>
      <c r="J276" s="23">
        <v>45854</v>
      </c>
      <c r="K276" s="6">
        <v>0</v>
      </c>
      <c r="L276" s="22">
        <v>16.8</v>
      </c>
      <c r="M276" s="22" t="s">
        <v>15</v>
      </c>
      <c r="N276" s="24">
        <v>45839</v>
      </c>
      <c r="O276" s="13" t="s">
        <v>1346</v>
      </c>
    </row>
    <row r="277" spans="1:15" x14ac:dyDescent="0.25">
      <c r="A277" s="7">
        <v>10307</v>
      </c>
      <c r="B277" s="25">
        <v>4028899001126</v>
      </c>
      <c r="C277" s="26" t="s">
        <v>16</v>
      </c>
      <c r="D277" s="26" t="s">
        <v>12</v>
      </c>
      <c r="E277" s="26" t="s">
        <v>17</v>
      </c>
      <c r="F277" s="8">
        <v>2.8</v>
      </c>
      <c r="G277" s="8">
        <v>3</v>
      </c>
      <c r="H277" s="26" t="s">
        <v>18</v>
      </c>
      <c r="I277" s="26" t="s">
        <v>451</v>
      </c>
      <c r="J277" s="27">
        <v>45854</v>
      </c>
      <c r="K277" s="8">
        <v>0</v>
      </c>
      <c r="L277" s="26">
        <v>8.3999999999999986</v>
      </c>
      <c r="M277" s="26">
        <v>4</v>
      </c>
      <c r="N277" s="28">
        <v>45839</v>
      </c>
      <c r="O277" s="14" t="s">
        <v>1346</v>
      </c>
    </row>
    <row r="278" spans="1:15" x14ac:dyDescent="0.25">
      <c r="A278" s="5">
        <v>10308</v>
      </c>
      <c r="B278" s="21">
        <v>8599988776654</v>
      </c>
      <c r="C278" s="22" t="s">
        <v>393</v>
      </c>
      <c r="D278" s="22" t="s">
        <v>133</v>
      </c>
      <c r="E278" s="22" t="s">
        <v>17</v>
      </c>
      <c r="F278" s="6">
        <v>16.8</v>
      </c>
      <c r="G278" s="6">
        <v>2</v>
      </c>
      <c r="H278" s="22" t="s">
        <v>14</v>
      </c>
      <c r="I278" s="22" t="s">
        <v>15</v>
      </c>
      <c r="J278" s="23">
        <v>45854</v>
      </c>
      <c r="K278" s="6">
        <v>0</v>
      </c>
      <c r="L278" s="22">
        <v>33.6</v>
      </c>
      <c r="M278" s="22" t="s">
        <v>15</v>
      </c>
      <c r="N278" s="24">
        <v>45839</v>
      </c>
      <c r="O278" s="13" t="s">
        <v>1346</v>
      </c>
    </row>
    <row r="279" spans="1:15" x14ac:dyDescent="0.25">
      <c r="A279" s="7">
        <v>10309</v>
      </c>
      <c r="B279" s="25">
        <v>4063456789014</v>
      </c>
      <c r="C279" s="26" t="s">
        <v>60</v>
      </c>
      <c r="D279" s="26" t="s">
        <v>12</v>
      </c>
      <c r="E279" s="26" t="s">
        <v>61</v>
      </c>
      <c r="F279" s="8">
        <v>36</v>
      </c>
      <c r="G279" s="8">
        <v>1</v>
      </c>
      <c r="H279" s="26" t="s">
        <v>14</v>
      </c>
      <c r="I279" s="26" t="s">
        <v>15</v>
      </c>
      <c r="J279" s="27">
        <v>45854</v>
      </c>
      <c r="K279" s="8">
        <v>0</v>
      </c>
      <c r="L279" s="26">
        <v>36</v>
      </c>
      <c r="M279" s="26" t="s">
        <v>15</v>
      </c>
      <c r="N279" s="28">
        <v>45839</v>
      </c>
      <c r="O279" s="14" t="s">
        <v>1346</v>
      </c>
    </row>
    <row r="280" spans="1:15" x14ac:dyDescent="0.25">
      <c r="A280" s="5">
        <v>10310</v>
      </c>
      <c r="B280" s="21">
        <v>8599988776654</v>
      </c>
      <c r="C280" s="22" t="s">
        <v>393</v>
      </c>
      <c r="D280" s="22" t="s">
        <v>133</v>
      </c>
      <c r="E280" s="22" t="s">
        <v>17</v>
      </c>
      <c r="F280" s="6">
        <v>16.8</v>
      </c>
      <c r="G280" s="6">
        <v>1</v>
      </c>
      <c r="H280" s="22" t="s">
        <v>14</v>
      </c>
      <c r="I280" s="22" t="s">
        <v>15</v>
      </c>
      <c r="J280" s="23">
        <v>45855</v>
      </c>
      <c r="K280" s="6">
        <v>0</v>
      </c>
      <c r="L280" s="22">
        <v>16.8</v>
      </c>
      <c r="M280" s="22" t="s">
        <v>15</v>
      </c>
      <c r="N280" s="24">
        <v>45839</v>
      </c>
      <c r="O280" s="13" t="s">
        <v>1346</v>
      </c>
    </row>
    <row r="281" spans="1:15" x14ac:dyDescent="0.25">
      <c r="A281" s="7">
        <v>10311</v>
      </c>
      <c r="B281" s="25">
        <v>4013456789017</v>
      </c>
      <c r="C281" s="26" t="s">
        <v>11</v>
      </c>
      <c r="D281" s="26" t="s">
        <v>12</v>
      </c>
      <c r="E281" s="26" t="s">
        <v>13</v>
      </c>
      <c r="F281" s="8">
        <v>6</v>
      </c>
      <c r="G281" s="8">
        <v>2</v>
      </c>
      <c r="H281" s="26" t="s">
        <v>18</v>
      </c>
      <c r="I281" s="26" t="s">
        <v>452</v>
      </c>
      <c r="J281" s="27">
        <v>45855</v>
      </c>
      <c r="K281" s="8">
        <v>0</v>
      </c>
      <c r="L281" s="26">
        <v>12</v>
      </c>
      <c r="M281" s="26">
        <v>4</v>
      </c>
      <c r="N281" s="28">
        <v>45839</v>
      </c>
      <c r="O281" s="14" t="s">
        <v>1346</v>
      </c>
    </row>
    <row r="282" spans="1:15" x14ac:dyDescent="0.25">
      <c r="A282" s="5">
        <v>10312</v>
      </c>
      <c r="B282" s="21">
        <v>8599988776654</v>
      </c>
      <c r="C282" s="22" t="s">
        <v>393</v>
      </c>
      <c r="D282" s="22" t="s">
        <v>133</v>
      </c>
      <c r="E282" s="22" t="s">
        <v>17</v>
      </c>
      <c r="F282" s="6">
        <v>16.8</v>
      </c>
      <c r="G282" s="6">
        <v>1</v>
      </c>
      <c r="H282" s="22" t="s">
        <v>14</v>
      </c>
      <c r="I282" s="22" t="s">
        <v>15</v>
      </c>
      <c r="J282" s="23">
        <v>45855</v>
      </c>
      <c r="K282" s="6">
        <v>0</v>
      </c>
      <c r="L282" s="22">
        <v>16.8</v>
      </c>
      <c r="M282" s="22" t="s">
        <v>15</v>
      </c>
      <c r="N282" s="24">
        <v>45839</v>
      </c>
      <c r="O282" s="13" t="s">
        <v>1346</v>
      </c>
    </row>
    <row r="283" spans="1:15" x14ac:dyDescent="0.25">
      <c r="A283" s="7">
        <v>10313</v>
      </c>
      <c r="B283" s="25">
        <v>4021234567894</v>
      </c>
      <c r="C283" s="26" t="s">
        <v>79</v>
      </c>
      <c r="D283" s="26" t="s">
        <v>36</v>
      </c>
      <c r="E283" s="26" t="s">
        <v>69</v>
      </c>
      <c r="F283" s="8">
        <v>8</v>
      </c>
      <c r="G283" s="8">
        <v>1</v>
      </c>
      <c r="H283" s="26" t="s">
        <v>14</v>
      </c>
      <c r="I283" s="26" t="s">
        <v>15</v>
      </c>
      <c r="J283" s="27">
        <v>45855</v>
      </c>
      <c r="K283" s="8">
        <v>0</v>
      </c>
      <c r="L283" s="26">
        <v>8</v>
      </c>
      <c r="M283" s="26" t="s">
        <v>15</v>
      </c>
      <c r="N283" s="28">
        <v>45839</v>
      </c>
      <c r="O283" s="14" t="s">
        <v>1345</v>
      </c>
    </row>
    <row r="284" spans="1:15" x14ac:dyDescent="0.25">
      <c r="A284" s="5">
        <v>10314</v>
      </c>
      <c r="B284" s="21">
        <v>8599988776654</v>
      </c>
      <c r="C284" s="22" t="s">
        <v>393</v>
      </c>
      <c r="D284" s="22" t="s">
        <v>133</v>
      </c>
      <c r="E284" s="22" t="s">
        <v>17</v>
      </c>
      <c r="F284" s="6">
        <v>16.8</v>
      </c>
      <c r="G284" s="6">
        <v>2</v>
      </c>
      <c r="H284" s="22" t="s">
        <v>14</v>
      </c>
      <c r="I284" s="22" t="s">
        <v>15</v>
      </c>
      <c r="J284" s="23">
        <v>45855</v>
      </c>
      <c r="K284" s="6">
        <v>0</v>
      </c>
      <c r="L284" s="22">
        <v>33.6</v>
      </c>
      <c r="M284" s="22" t="s">
        <v>15</v>
      </c>
      <c r="N284" s="24">
        <v>45839</v>
      </c>
      <c r="O284" s="13" t="s">
        <v>1346</v>
      </c>
    </row>
    <row r="285" spans="1:15" x14ac:dyDescent="0.25">
      <c r="A285" s="7">
        <v>10315</v>
      </c>
      <c r="B285" s="25">
        <v>4017890123450</v>
      </c>
      <c r="C285" s="26" t="s">
        <v>65</v>
      </c>
      <c r="D285" s="26" t="s">
        <v>39</v>
      </c>
      <c r="E285" s="26" t="s">
        <v>22</v>
      </c>
      <c r="F285" s="8">
        <v>7.6</v>
      </c>
      <c r="G285" s="8">
        <v>1</v>
      </c>
      <c r="H285" s="26" t="s">
        <v>23</v>
      </c>
      <c r="I285" s="26" t="s">
        <v>453</v>
      </c>
      <c r="J285" s="27">
        <v>45855</v>
      </c>
      <c r="K285" s="8">
        <v>0</v>
      </c>
      <c r="L285" s="26">
        <v>7.6</v>
      </c>
      <c r="M285" s="26">
        <v>5</v>
      </c>
      <c r="N285" s="28">
        <v>45839</v>
      </c>
      <c r="O285" s="14" t="s">
        <v>1346</v>
      </c>
    </row>
    <row r="286" spans="1:15" x14ac:dyDescent="0.25">
      <c r="A286" s="5">
        <v>10316</v>
      </c>
      <c r="B286" s="21">
        <v>8599988776654</v>
      </c>
      <c r="C286" s="22" t="s">
        <v>393</v>
      </c>
      <c r="D286" s="22" t="s">
        <v>133</v>
      </c>
      <c r="E286" s="22" t="s">
        <v>17</v>
      </c>
      <c r="F286" s="6">
        <v>16.8</v>
      </c>
      <c r="G286" s="6">
        <v>1</v>
      </c>
      <c r="H286" s="22" t="s">
        <v>14</v>
      </c>
      <c r="I286" s="22" t="s">
        <v>15</v>
      </c>
      <c r="J286" s="23">
        <v>45855</v>
      </c>
      <c r="K286" s="6">
        <v>0</v>
      </c>
      <c r="L286" s="22">
        <v>16.8</v>
      </c>
      <c r="M286" s="22" t="s">
        <v>15</v>
      </c>
      <c r="N286" s="24">
        <v>45839</v>
      </c>
      <c r="O286" s="13" t="s">
        <v>1346</v>
      </c>
    </row>
    <row r="287" spans="1:15" x14ac:dyDescent="0.25">
      <c r="A287" s="7">
        <v>10317</v>
      </c>
      <c r="B287" s="25">
        <v>4010123456783</v>
      </c>
      <c r="C287" s="26" t="s">
        <v>35</v>
      </c>
      <c r="D287" s="26" t="s">
        <v>36</v>
      </c>
      <c r="E287" s="26" t="s">
        <v>37</v>
      </c>
      <c r="F287" s="8">
        <v>14</v>
      </c>
      <c r="G287" s="8">
        <v>1</v>
      </c>
      <c r="H287" s="26" t="s">
        <v>14</v>
      </c>
      <c r="I287" s="26" t="s">
        <v>15</v>
      </c>
      <c r="J287" s="27">
        <v>45855</v>
      </c>
      <c r="K287" s="8">
        <v>0</v>
      </c>
      <c r="L287" s="26">
        <v>14</v>
      </c>
      <c r="M287" s="26" t="s">
        <v>15</v>
      </c>
      <c r="N287" s="28">
        <v>45839</v>
      </c>
      <c r="O287" s="14" t="s">
        <v>1345</v>
      </c>
    </row>
    <row r="288" spans="1:15" x14ac:dyDescent="0.25">
      <c r="A288" s="5">
        <v>10318</v>
      </c>
      <c r="B288" s="21">
        <v>8599988776654</v>
      </c>
      <c r="C288" s="22" t="s">
        <v>393</v>
      </c>
      <c r="D288" s="22" t="s">
        <v>133</v>
      </c>
      <c r="E288" s="22" t="s">
        <v>17</v>
      </c>
      <c r="F288" s="6">
        <v>16.8</v>
      </c>
      <c r="G288" s="6">
        <v>1</v>
      </c>
      <c r="H288" s="22" t="s">
        <v>18</v>
      </c>
      <c r="I288" s="22" t="s">
        <v>454</v>
      </c>
      <c r="J288" s="23">
        <v>45855</v>
      </c>
      <c r="K288" s="6">
        <v>0</v>
      </c>
      <c r="L288" s="22">
        <v>16.8</v>
      </c>
      <c r="M288" s="22">
        <v>4</v>
      </c>
      <c r="N288" s="24">
        <v>45839</v>
      </c>
      <c r="O288" s="13" t="s">
        <v>1346</v>
      </c>
    </row>
    <row r="289" spans="1:15" x14ac:dyDescent="0.25">
      <c r="A289" s="7">
        <v>10319</v>
      </c>
      <c r="B289" s="25">
        <v>4063456789014</v>
      </c>
      <c r="C289" s="26" t="s">
        <v>60</v>
      </c>
      <c r="D289" s="26" t="s">
        <v>12</v>
      </c>
      <c r="E289" s="26" t="s">
        <v>61</v>
      </c>
      <c r="F289" s="8">
        <v>36</v>
      </c>
      <c r="G289" s="8">
        <v>1</v>
      </c>
      <c r="H289" s="26" t="s">
        <v>14</v>
      </c>
      <c r="I289" s="26" t="s">
        <v>15</v>
      </c>
      <c r="J289" s="27">
        <v>45855</v>
      </c>
      <c r="K289" s="8">
        <v>0</v>
      </c>
      <c r="L289" s="26">
        <v>36</v>
      </c>
      <c r="M289" s="26" t="s">
        <v>15</v>
      </c>
      <c r="N289" s="28">
        <v>45839</v>
      </c>
      <c r="O289" s="14" t="s">
        <v>1346</v>
      </c>
    </row>
    <row r="290" spans="1:15" x14ac:dyDescent="0.25">
      <c r="A290" s="5">
        <v>10320</v>
      </c>
      <c r="B290" s="21">
        <v>8599988776654</v>
      </c>
      <c r="C290" s="22" t="s">
        <v>393</v>
      </c>
      <c r="D290" s="22" t="s">
        <v>133</v>
      </c>
      <c r="E290" s="22" t="s">
        <v>17</v>
      </c>
      <c r="F290" s="6">
        <v>16.8</v>
      </c>
      <c r="G290" s="6">
        <v>1</v>
      </c>
      <c r="H290" s="22" t="s">
        <v>14</v>
      </c>
      <c r="I290" s="22" t="s">
        <v>15</v>
      </c>
      <c r="J290" s="23">
        <v>45855</v>
      </c>
      <c r="K290" s="6">
        <v>0</v>
      </c>
      <c r="L290" s="22">
        <v>16.8</v>
      </c>
      <c r="M290" s="22" t="s">
        <v>15</v>
      </c>
      <c r="N290" s="24">
        <v>45839</v>
      </c>
      <c r="O290" s="13" t="s">
        <v>1346</v>
      </c>
    </row>
    <row r="291" spans="1:15" x14ac:dyDescent="0.25">
      <c r="A291" s="7">
        <v>10321</v>
      </c>
      <c r="B291" s="25">
        <v>4056789012345</v>
      </c>
      <c r="C291" s="26" t="s">
        <v>47</v>
      </c>
      <c r="D291" s="26" t="s">
        <v>29</v>
      </c>
      <c r="E291" s="26" t="s">
        <v>37</v>
      </c>
      <c r="F291" s="8">
        <v>2.4</v>
      </c>
      <c r="G291" s="8">
        <v>3</v>
      </c>
      <c r="H291" s="26" t="s">
        <v>14</v>
      </c>
      <c r="I291" s="26" t="s">
        <v>15</v>
      </c>
      <c r="J291" s="27">
        <v>45855</v>
      </c>
      <c r="K291" s="8">
        <v>0</v>
      </c>
      <c r="L291" s="26">
        <v>7.1999999999999993</v>
      </c>
      <c r="M291" s="26" t="s">
        <v>15</v>
      </c>
      <c r="N291" s="28">
        <v>45839</v>
      </c>
      <c r="O291" s="14" t="s">
        <v>1345</v>
      </c>
    </row>
    <row r="292" spans="1:15" x14ac:dyDescent="0.25">
      <c r="A292" s="5">
        <v>10322</v>
      </c>
      <c r="B292" s="21">
        <v>8599988776654</v>
      </c>
      <c r="C292" s="22" t="s">
        <v>393</v>
      </c>
      <c r="D292" s="22" t="s">
        <v>133</v>
      </c>
      <c r="E292" s="22" t="s">
        <v>17</v>
      </c>
      <c r="F292" s="6">
        <v>16.8</v>
      </c>
      <c r="G292" s="6">
        <v>1</v>
      </c>
      <c r="H292" s="22" t="s">
        <v>14</v>
      </c>
      <c r="I292" s="22" t="s">
        <v>15</v>
      </c>
      <c r="J292" s="23">
        <v>45855</v>
      </c>
      <c r="K292" s="6">
        <v>0</v>
      </c>
      <c r="L292" s="22">
        <v>16.8</v>
      </c>
      <c r="M292" s="22" t="s">
        <v>15</v>
      </c>
      <c r="N292" s="24">
        <v>45839</v>
      </c>
      <c r="O292" s="13" t="s">
        <v>1346</v>
      </c>
    </row>
    <row r="293" spans="1:15" x14ac:dyDescent="0.25">
      <c r="A293" s="7">
        <v>10323</v>
      </c>
      <c r="B293" s="25">
        <v>4013456789017</v>
      </c>
      <c r="C293" s="26" t="s">
        <v>11</v>
      </c>
      <c r="D293" s="26" t="s">
        <v>12</v>
      </c>
      <c r="E293" s="26" t="s">
        <v>13</v>
      </c>
      <c r="F293" s="8">
        <v>6</v>
      </c>
      <c r="G293" s="8">
        <v>1</v>
      </c>
      <c r="H293" s="26" t="s">
        <v>23</v>
      </c>
      <c r="I293" s="26" t="s">
        <v>455</v>
      </c>
      <c r="J293" s="27">
        <v>45855</v>
      </c>
      <c r="K293" s="8">
        <v>0</v>
      </c>
      <c r="L293" s="26">
        <v>6</v>
      </c>
      <c r="M293" s="26">
        <v>5</v>
      </c>
      <c r="N293" s="28">
        <v>45839</v>
      </c>
      <c r="O293" s="14" t="s">
        <v>1346</v>
      </c>
    </row>
    <row r="294" spans="1:15" x14ac:dyDescent="0.25">
      <c r="A294" s="5">
        <v>10324</v>
      </c>
      <c r="B294" s="21">
        <v>8599988776654</v>
      </c>
      <c r="C294" s="22" t="s">
        <v>393</v>
      </c>
      <c r="D294" s="22" t="s">
        <v>133</v>
      </c>
      <c r="E294" s="22" t="s">
        <v>17</v>
      </c>
      <c r="F294" s="6">
        <v>16.8</v>
      </c>
      <c r="G294" s="6">
        <v>1</v>
      </c>
      <c r="H294" s="22" t="s">
        <v>14</v>
      </c>
      <c r="I294" s="22" t="s">
        <v>15</v>
      </c>
      <c r="J294" s="23">
        <v>45856</v>
      </c>
      <c r="K294" s="6">
        <v>0</v>
      </c>
      <c r="L294" s="22">
        <v>16.8</v>
      </c>
      <c r="M294" s="22" t="s">
        <v>15</v>
      </c>
      <c r="N294" s="24">
        <v>45839</v>
      </c>
      <c r="O294" s="13" t="s">
        <v>1346</v>
      </c>
    </row>
    <row r="295" spans="1:15" x14ac:dyDescent="0.25">
      <c r="A295" s="7">
        <v>10325</v>
      </c>
      <c r="B295" s="25">
        <v>4028899001126</v>
      </c>
      <c r="C295" s="26" t="s">
        <v>16</v>
      </c>
      <c r="D295" s="26" t="s">
        <v>12</v>
      </c>
      <c r="E295" s="26" t="s">
        <v>17</v>
      </c>
      <c r="F295" s="8">
        <v>2.8</v>
      </c>
      <c r="G295" s="8">
        <v>2</v>
      </c>
      <c r="H295" s="26" t="s">
        <v>14</v>
      </c>
      <c r="I295" s="26" t="s">
        <v>15</v>
      </c>
      <c r="J295" s="27">
        <v>45856</v>
      </c>
      <c r="K295" s="8">
        <v>0</v>
      </c>
      <c r="L295" s="26">
        <v>5.6</v>
      </c>
      <c r="M295" s="26" t="s">
        <v>15</v>
      </c>
      <c r="N295" s="28">
        <v>45839</v>
      </c>
      <c r="O295" s="14" t="s">
        <v>1346</v>
      </c>
    </row>
    <row r="296" spans="1:15" x14ac:dyDescent="0.25">
      <c r="A296" s="5">
        <v>10326</v>
      </c>
      <c r="B296" s="21">
        <v>8599988776654</v>
      </c>
      <c r="C296" s="22" t="s">
        <v>393</v>
      </c>
      <c r="D296" s="22" t="s">
        <v>133</v>
      </c>
      <c r="E296" s="22" t="s">
        <v>17</v>
      </c>
      <c r="F296" s="6">
        <v>16.8</v>
      </c>
      <c r="G296" s="6">
        <v>2</v>
      </c>
      <c r="H296" s="22" t="s">
        <v>14</v>
      </c>
      <c r="I296" s="22" t="s">
        <v>15</v>
      </c>
      <c r="J296" s="23">
        <v>45856</v>
      </c>
      <c r="K296" s="6">
        <v>0</v>
      </c>
      <c r="L296" s="22">
        <v>33.6</v>
      </c>
      <c r="M296" s="22" t="s">
        <v>15</v>
      </c>
      <c r="N296" s="24">
        <v>45839</v>
      </c>
      <c r="O296" s="13" t="s">
        <v>1346</v>
      </c>
    </row>
    <row r="297" spans="1:15" x14ac:dyDescent="0.25">
      <c r="A297" s="7">
        <v>10327</v>
      </c>
      <c r="B297" s="25">
        <v>4063456789014</v>
      </c>
      <c r="C297" s="26" t="s">
        <v>60</v>
      </c>
      <c r="D297" s="26" t="s">
        <v>12</v>
      </c>
      <c r="E297" s="26" t="s">
        <v>61</v>
      </c>
      <c r="F297" s="8">
        <v>36</v>
      </c>
      <c r="G297" s="8">
        <v>1</v>
      </c>
      <c r="H297" s="26" t="s">
        <v>14</v>
      </c>
      <c r="I297" s="26" t="s">
        <v>15</v>
      </c>
      <c r="J297" s="27">
        <v>45856</v>
      </c>
      <c r="K297" s="8">
        <v>0</v>
      </c>
      <c r="L297" s="26">
        <v>36</v>
      </c>
      <c r="M297" s="26" t="s">
        <v>15</v>
      </c>
      <c r="N297" s="28">
        <v>45839</v>
      </c>
      <c r="O297" s="14" t="s">
        <v>1346</v>
      </c>
    </row>
    <row r="298" spans="1:15" x14ac:dyDescent="0.25">
      <c r="A298" s="5">
        <v>10328</v>
      </c>
      <c r="B298" s="21">
        <v>8599988776654</v>
      </c>
      <c r="C298" s="22" t="s">
        <v>393</v>
      </c>
      <c r="D298" s="22" t="s">
        <v>133</v>
      </c>
      <c r="E298" s="22" t="s">
        <v>17</v>
      </c>
      <c r="F298" s="6">
        <v>16.8</v>
      </c>
      <c r="G298" s="6">
        <v>1</v>
      </c>
      <c r="H298" s="22" t="s">
        <v>23</v>
      </c>
      <c r="I298" s="22" t="s">
        <v>456</v>
      </c>
      <c r="J298" s="23">
        <v>45856</v>
      </c>
      <c r="K298" s="6">
        <v>0</v>
      </c>
      <c r="L298" s="22">
        <v>16.8</v>
      </c>
      <c r="M298" s="22">
        <v>5</v>
      </c>
      <c r="N298" s="24">
        <v>45839</v>
      </c>
      <c r="O298" s="13" t="s">
        <v>1346</v>
      </c>
    </row>
    <row r="299" spans="1:15" x14ac:dyDescent="0.25">
      <c r="A299" s="7">
        <v>10329</v>
      </c>
      <c r="B299" s="25">
        <v>4010123456783</v>
      </c>
      <c r="C299" s="26" t="s">
        <v>35</v>
      </c>
      <c r="D299" s="26" t="s">
        <v>36</v>
      </c>
      <c r="E299" s="26" t="s">
        <v>37</v>
      </c>
      <c r="F299" s="8">
        <v>14</v>
      </c>
      <c r="G299" s="8">
        <v>1</v>
      </c>
      <c r="H299" s="26" t="s">
        <v>14</v>
      </c>
      <c r="I299" s="26" t="s">
        <v>15</v>
      </c>
      <c r="J299" s="27">
        <v>45856</v>
      </c>
      <c r="K299" s="8">
        <v>0</v>
      </c>
      <c r="L299" s="26">
        <v>14</v>
      </c>
      <c r="M299" s="26" t="s">
        <v>15</v>
      </c>
      <c r="N299" s="28">
        <v>45839</v>
      </c>
      <c r="O299" s="14" t="s">
        <v>1345</v>
      </c>
    </row>
    <row r="300" spans="1:15" x14ac:dyDescent="0.25">
      <c r="A300" s="5">
        <v>10330</v>
      </c>
      <c r="B300" s="21">
        <v>8599988776654</v>
      </c>
      <c r="C300" s="22" t="s">
        <v>393</v>
      </c>
      <c r="D300" s="22" t="s">
        <v>133</v>
      </c>
      <c r="E300" s="22" t="s">
        <v>17</v>
      </c>
      <c r="F300" s="6">
        <v>16.8</v>
      </c>
      <c r="G300" s="6">
        <v>1</v>
      </c>
      <c r="H300" s="22" t="s">
        <v>14</v>
      </c>
      <c r="I300" s="22" t="s">
        <v>15</v>
      </c>
      <c r="J300" s="23">
        <v>45856</v>
      </c>
      <c r="K300" s="6">
        <v>0</v>
      </c>
      <c r="L300" s="22">
        <v>16.8</v>
      </c>
      <c r="M300" s="22" t="s">
        <v>15</v>
      </c>
      <c r="N300" s="24">
        <v>45839</v>
      </c>
      <c r="O300" s="13" t="s">
        <v>1346</v>
      </c>
    </row>
    <row r="301" spans="1:15" x14ac:dyDescent="0.25">
      <c r="A301" s="7">
        <v>10331</v>
      </c>
      <c r="B301" s="25">
        <v>4013456789017</v>
      </c>
      <c r="C301" s="26" t="s">
        <v>11</v>
      </c>
      <c r="D301" s="26" t="s">
        <v>12</v>
      </c>
      <c r="E301" s="26" t="s">
        <v>13</v>
      </c>
      <c r="F301" s="8">
        <v>6</v>
      </c>
      <c r="G301" s="8">
        <v>2</v>
      </c>
      <c r="H301" s="26" t="s">
        <v>14</v>
      </c>
      <c r="I301" s="26" t="s">
        <v>15</v>
      </c>
      <c r="J301" s="27">
        <v>45856</v>
      </c>
      <c r="K301" s="8">
        <v>0</v>
      </c>
      <c r="L301" s="26">
        <v>12</v>
      </c>
      <c r="M301" s="26" t="s">
        <v>15</v>
      </c>
      <c r="N301" s="28">
        <v>45839</v>
      </c>
      <c r="O301" s="14" t="s">
        <v>1346</v>
      </c>
    </row>
    <row r="302" spans="1:15" x14ac:dyDescent="0.25">
      <c r="A302" s="5">
        <v>10332</v>
      </c>
      <c r="B302" s="21">
        <v>8599988776654</v>
      </c>
      <c r="C302" s="22" t="s">
        <v>393</v>
      </c>
      <c r="D302" s="22" t="s">
        <v>133</v>
      </c>
      <c r="E302" s="22" t="s">
        <v>17</v>
      </c>
      <c r="F302" s="6">
        <v>16.8</v>
      </c>
      <c r="G302" s="6">
        <v>1</v>
      </c>
      <c r="H302" s="22" t="s">
        <v>14</v>
      </c>
      <c r="I302" s="22" t="s">
        <v>15</v>
      </c>
      <c r="J302" s="23">
        <v>45856</v>
      </c>
      <c r="K302" s="6">
        <v>0</v>
      </c>
      <c r="L302" s="22">
        <v>16.8</v>
      </c>
      <c r="M302" s="22" t="s">
        <v>15</v>
      </c>
      <c r="N302" s="24">
        <v>45839</v>
      </c>
      <c r="O302" s="13" t="s">
        <v>1346</v>
      </c>
    </row>
    <row r="303" spans="1:15" x14ac:dyDescent="0.25">
      <c r="A303" s="7">
        <v>10333</v>
      </c>
      <c r="B303" s="25">
        <v>4021234567894</v>
      </c>
      <c r="C303" s="26" t="s">
        <v>79</v>
      </c>
      <c r="D303" s="26" t="s">
        <v>36</v>
      </c>
      <c r="E303" s="26" t="s">
        <v>69</v>
      </c>
      <c r="F303" s="8">
        <v>8</v>
      </c>
      <c r="G303" s="8">
        <v>1</v>
      </c>
      <c r="H303" s="26" t="s">
        <v>33</v>
      </c>
      <c r="I303" s="26" t="s">
        <v>457</v>
      </c>
      <c r="J303" s="27">
        <v>45856</v>
      </c>
      <c r="K303" s="8">
        <v>0</v>
      </c>
      <c r="L303" s="26">
        <v>8</v>
      </c>
      <c r="M303" s="26">
        <v>3</v>
      </c>
      <c r="N303" s="28">
        <v>45839</v>
      </c>
      <c r="O303" s="14" t="s">
        <v>1345</v>
      </c>
    </row>
    <row r="304" spans="1:15" x14ac:dyDescent="0.25">
      <c r="A304" s="5">
        <v>10334</v>
      </c>
      <c r="B304" s="21">
        <v>8599988776654</v>
      </c>
      <c r="C304" s="22" t="s">
        <v>393</v>
      </c>
      <c r="D304" s="22" t="s">
        <v>133</v>
      </c>
      <c r="E304" s="22" t="s">
        <v>17</v>
      </c>
      <c r="F304" s="6">
        <v>16.8</v>
      </c>
      <c r="G304" s="6">
        <v>1</v>
      </c>
      <c r="H304" s="22" t="s">
        <v>14</v>
      </c>
      <c r="I304" s="22" t="s">
        <v>15</v>
      </c>
      <c r="J304" s="23">
        <v>45857</v>
      </c>
      <c r="K304" s="6">
        <v>0</v>
      </c>
      <c r="L304" s="22">
        <v>16.8</v>
      </c>
      <c r="M304" s="22" t="s">
        <v>15</v>
      </c>
      <c r="N304" s="24">
        <v>45839</v>
      </c>
      <c r="O304" s="13" t="s">
        <v>1346</v>
      </c>
    </row>
    <row r="305" spans="1:15" x14ac:dyDescent="0.25">
      <c r="A305" s="7">
        <v>10335</v>
      </c>
      <c r="B305" s="25">
        <v>4027788990013</v>
      </c>
      <c r="C305" s="26" t="s">
        <v>43</v>
      </c>
      <c r="D305" s="26" t="s">
        <v>21</v>
      </c>
      <c r="E305" s="26" t="s">
        <v>22</v>
      </c>
      <c r="F305" s="8">
        <v>8</v>
      </c>
      <c r="G305" s="8">
        <v>1</v>
      </c>
      <c r="H305" s="26" t="s">
        <v>14</v>
      </c>
      <c r="I305" s="26" t="s">
        <v>15</v>
      </c>
      <c r="J305" s="27">
        <v>45857</v>
      </c>
      <c r="K305" s="8">
        <v>0</v>
      </c>
      <c r="L305" s="26">
        <v>8</v>
      </c>
      <c r="M305" s="26" t="s">
        <v>15</v>
      </c>
      <c r="N305" s="28">
        <v>45839</v>
      </c>
      <c r="O305" s="14" t="s">
        <v>1346</v>
      </c>
    </row>
    <row r="306" spans="1:15" x14ac:dyDescent="0.25">
      <c r="A306" s="5">
        <v>10336</v>
      </c>
      <c r="B306" s="21">
        <v>8599988776654</v>
      </c>
      <c r="C306" s="22" t="s">
        <v>393</v>
      </c>
      <c r="D306" s="22" t="s">
        <v>133</v>
      </c>
      <c r="E306" s="22" t="s">
        <v>17</v>
      </c>
      <c r="F306" s="6">
        <v>16.8</v>
      </c>
      <c r="G306" s="6">
        <v>2</v>
      </c>
      <c r="H306" s="22" t="s">
        <v>14</v>
      </c>
      <c r="I306" s="22" t="s">
        <v>15</v>
      </c>
      <c r="J306" s="23">
        <v>45857</v>
      </c>
      <c r="K306" s="6">
        <v>0</v>
      </c>
      <c r="L306" s="22">
        <v>33.6</v>
      </c>
      <c r="M306" s="22" t="s">
        <v>15</v>
      </c>
      <c r="N306" s="24">
        <v>45839</v>
      </c>
      <c r="O306" s="13" t="s">
        <v>1346</v>
      </c>
    </row>
    <row r="307" spans="1:15" x14ac:dyDescent="0.25">
      <c r="A307" s="7">
        <v>10337</v>
      </c>
      <c r="B307" s="25">
        <v>4063456789014</v>
      </c>
      <c r="C307" s="26" t="s">
        <v>60</v>
      </c>
      <c r="D307" s="26" t="s">
        <v>12</v>
      </c>
      <c r="E307" s="26" t="s">
        <v>61</v>
      </c>
      <c r="F307" s="8">
        <v>36</v>
      </c>
      <c r="G307" s="8">
        <v>1</v>
      </c>
      <c r="H307" s="26" t="s">
        <v>23</v>
      </c>
      <c r="I307" s="26" t="s">
        <v>458</v>
      </c>
      <c r="J307" s="27">
        <v>45857</v>
      </c>
      <c r="K307" s="8">
        <v>0</v>
      </c>
      <c r="L307" s="26">
        <v>36</v>
      </c>
      <c r="M307" s="26">
        <v>5</v>
      </c>
      <c r="N307" s="28">
        <v>45839</v>
      </c>
      <c r="O307" s="14" t="s">
        <v>1346</v>
      </c>
    </row>
    <row r="308" spans="1:15" x14ac:dyDescent="0.25">
      <c r="A308" s="5">
        <v>10338</v>
      </c>
      <c r="B308" s="21">
        <v>8599988776654</v>
      </c>
      <c r="C308" s="22" t="s">
        <v>393</v>
      </c>
      <c r="D308" s="22" t="s">
        <v>133</v>
      </c>
      <c r="E308" s="22" t="s">
        <v>17</v>
      </c>
      <c r="F308" s="6">
        <v>16.8</v>
      </c>
      <c r="G308" s="6">
        <v>1</v>
      </c>
      <c r="H308" s="22" t="s">
        <v>14</v>
      </c>
      <c r="I308" s="22" t="s">
        <v>15</v>
      </c>
      <c r="J308" s="23">
        <v>45857</v>
      </c>
      <c r="K308" s="6">
        <v>0</v>
      </c>
      <c r="L308" s="22">
        <v>16.8</v>
      </c>
      <c r="M308" s="22" t="s">
        <v>15</v>
      </c>
      <c r="N308" s="24">
        <v>45839</v>
      </c>
      <c r="O308" s="13" t="s">
        <v>1346</v>
      </c>
    </row>
    <row r="309" spans="1:15" x14ac:dyDescent="0.25">
      <c r="A309" s="7">
        <v>10339</v>
      </c>
      <c r="B309" s="25">
        <v>4017890123450</v>
      </c>
      <c r="C309" s="26" t="s">
        <v>65</v>
      </c>
      <c r="D309" s="26" t="s">
        <v>39</v>
      </c>
      <c r="E309" s="26" t="s">
        <v>22</v>
      </c>
      <c r="F309" s="8">
        <v>7.6</v>
      </c>
      <c r="G309" s="8">
        <v>1</v>
      </c>
      <c r="H309" s="26" t="s">
        <v>14</v>
      </c>
      <c r="I309" s="26" t="s">
        <v>15</v>
      </c>
      <c r="J309" s="27">
        <v>45857</v>
      </c>
      <c r="K309" s="8">
        <v>0</v>
      </c>
      <c r="L309" s="26">
        <v>7.6</v>
      </c>
      <c r="M309" s="26" t="s">
        <v>15</v>
      </c>
      <c r="N309" s="28">
        <v>45839</v>
      </c>
      <c r="O309" s="14" t="s">
        <v>1346</v>
      </c>
    </row>
    <row r="310" spans="1:15" x14ac:dyDescent="0.25">
      <c r="A310" s="5">
        <v>10340</v>
      </c>
      <c r="B310" s="21">
        <v>8599988776654</v>
      </c>
      <c r="C310" s="22" t="s">
        <v>393</v>
      </c>
      <c r="D310" s="22" t="s">
        <v>133</v>
      </c>
      <c r="E310" s="22" t="s">
        <v>17</v>
      </c>
      <c r="F310" s="6">
        <v>16.8</v>
      </c>
      <c r="G310" s="6">
        <v>2</v>
      </c>
      <c r="H310" s="22" t="s">
        <v>18</v>
      </c>
      <c r="I310" s="22" t="s">
        <v>459</v>
      </c>
      <c r="J310" s="23">
        <v>45857</v>
      </c>
      <c r="K310" s="6">
        <v>0</v>
      </c>
      <c r="L310" s="22">
        <v>33.6</v>
      </c>
      <c r="M310" s="22">
        <v>4</v>
      </c>
      <c r="N310" s="24">
        <v>45839</v>
      </c>
      <c r="O310" s="13" t="s">
        <v>1346</v>
      </c>
    </row>
    <row r="311" spans="1:15" x14ac:dyDescent="0.25">
      <c r="A311" s="7">
        <v>10341</v>
      </c>
      <c r="B311" s="25">
        <v>4028899001126</v>
      </c>
      <c r="C311" s="26" t="s">
        <v>16</v>
      </c>
      <c r="D311" s="26" t="s">
        <v>12</v>
      </c>
      <c r="E311" s="26" t="s">
        <v>17</v>
      </c>
      <c r="F311" s="8">
        <v>2.8</v>
      </c>
      <c r="G311" s="8">
        <v>3</v>
      </c>
      <c r="H311" s="26" t="s">
        <v>14</v>
      </c>
      <c r="I311" s="26" t="s">
        <v>15</v>
      </c>
      <c r="J311" s="27">
        <v>45857</v>
      </c>
      <c r="K311" s="8">
        <v>0</v>
      </c>
      <c r="L311" s="26">
        <v>8.3999999999999986</v>
      </c>
      <c r="M311" s="26" t="s">
        <v>15</v>
      </c>
      <c r="N311" s="28">
        <v>45839</v>
      </c>
      <c r="O311" s="14" t="s">
        <v>1346</v>
      </c>
    </row>
    <row r="312" spans="1:15" x14ac:dyDescent="0.25">
      <c r="A312" s="5">
        <v>10342</v>
      </c>
      <c r="B312" s="21">
        <v>8599988776654</v>
      </c>
      <c r="C312" s="22" t="s">
        <v>393</v>
      </c>
      <c r="D312" s="22" t="s">
        <v>133</v>
      </c>
      <c r="E312" s="22" t="s">
        <v>17</v>
      </c>
      <c r="F312" s="6">
        <v>16.8</v>
      </c>
      <c r="G312" s="6">
        <v>1</v>
      </c>
      <c r="H312" s="22" t="s">
        <v>14</v>
      </c>
      <c r="I312" s="22" t="s">
        <v>15</v>
      </c>
      <c r="J312" s="23">
        <v>45857</v>
      </c>
      <c r="K312" s="6">
        <v>0</v>
      </c>
      <c r="L312" s="22">
        <v>16.8</v>
      </c>
      <c r="M312" s="22" t="s">
        <v>15</v>
      </c>
      <c r="N312" s="24">
        <v>45839</v>
      </c>
      <c r="O312" s="13" t="s">
        <v>1346</v>
      </c>
    </row>
    <row r="313" spans="1:15" x14ac:dyDescent="0.25">
      <c r="A313" s="7">
        <v>10343</v>
      </c>
      <c r="B313" s="25">
        <v>4013456789017</v>
      </c>
      <c r="C313" s="26" t="s">
        <v>11</v>
      </c>
      <c r="D313" s="26" t="s">
        <v>12</v>
      </c>
      <c r="E313" s="26" t="s">
        <v>13</v>
      </c>
      <c r="F313" s="8">
        <v>6</v>
      </c>
      <c r="G313" s="8">
        <v>1</v>
      </c>
      <c r="H313" s="26" t="s">
        <v>14</v>
      </c>
      <c r="I313" s="26" t="s">
        <v>15</v>
      </c>
      <c r="J313" s="27">
        <v>45857</v>
      </c>
      <c r="K313" s="8">
        <v>0</v>
      </c>
      <c r="L313" s="26">
        <v>6</v>
      </c>
      <c r="M313" s="26" t="s">
        <v>15</v>
      </c>
      <c r="N313" s="28">
        <v>45839</v>
      </c>
      <c r="O313" s="14" t="s">
        <v>1346</v>
      </c>
    </row>
    <row r="314" spans="1:15" x14ac:dyDescent="0.25">
      <c r="A314" s="5">
        <v>10344</v>
      </c>
      <c r="B314" s="21">
        <v>8599988776654</v>
      </c>
      <c r="C314" s="22" t="s">
        <v>393</v>
      </c>
      <c r="D314" s="22" t="s">
        <v>133</v>
      </c>
      <c r="E314" s="22" t="s">
        <v>17</v>
      </c>
      <c r="F314" s="6">
        <v>16.8</v>
      </c>
      <c r="G314" s="6">
        <v>1</v>
      </c>
      <c r="H314" s="22" t="s">
        <v>14</v>
      </c>
      <c r="I314" s="22" t="s">
        <v>15</v>
      </c>
      <c r="J314" s="23">
        <v>45857</v>
      </c>
      <c r="K314" s="6">
        <v>0</v>
      </c>
      <c r="L314" s="22">
        <v>16.8</v>
      </c>
      <c r="M314" s="22" t="s">
        <v>15</v>
      </c>
      <c r="N314" s="24">
        <v>45839</v>
      </c>
      <c r="O314" s="13" t="s">
        <v>1346</v>
      </c>
    </row>
    <row r="315" spans="1:15" x14ac:dyDescent="0.25">
      <c r="A315" s="7">
        <v>10345</v>
      </c>
      <c r="B315" s="25">
        <v>4056789012345</v>
      </c>
      <c r="C315" s="26" t="s">
        <v>47</v>
      </c>
      <c r="D315" s="26" t="s">
        <v>29</v>
      </c>
      <c r="E315" s="26" t="s">
        <v>37</v>
      </c>
      <c r="F315" s="8">
        <v>2.4</v>
      </c>
      <c r="G315" s="8">
        <v>2</v>
      </c>
      <c r="H315" s="26" t="s">
        <v>18</v>
      </c>
      <c r="I315" s="26" t="s">
        <v>460</v>
      </c>
      <c r="J315" s="27">
        <v>45857</v>
      </c>
      <c r="K315" s="8">
        <v>0</v>
      </c>
      <c r="L315" s="26">
        <v>4.8</v>
      </c>
      <c r="M315" s="26">
        <v>4</v>
      </c>
      <c r="N315" s="28">
        <v>45839</v>
      </c>
      <c r="O315" s="14" t="s">
        <v>1345</v>
      </c>
    </row>
    <row r="316" spans="1:15" x14ac:dyDescent="0.25">
      <c r="A316" s="5">
        <v>10346</v>
      </c>
      <c r="B316" s="21">
        <v>8599988776654</v>
      </c>
      <c r="C316" s="22" t="s">
        <v>393</v>
      </c>
      <c r="D316" s="22" t="s">
        <v>133</v>
      </c>
      <c r="E316" s="22" t="s">
        <v>17</v>
      </c>
      <c r="F316" s="6">
        <v>16.8</v>
      </c>
      <c r="G316" s="6">
        <v>1</v>
      </c>
      <c r="H316" s="22" t="s">
        <v>14</v>
      </c>
      <c r="I316" s="22" t="s">
        <v>15</v>
      </c>
      <c r="J316" s="23">
        <v>45858</v>
      </c>
      <c r="K316" s="6">
        <v>0</v>
      </c>
      <c r="L316" s="22">
        <v>16.8</v>
      </c>
      <c r="M316" s="22" t="s">
        <v>15</v>
      </c>
      <c r="N316" s="24">
        <v>45839</v>
      </c>
      <c r="O316" s="13" t="s">
        <v>1346</v>
      </c>
    </row>
    <row r="317" spans="1:15" x14ac:dyDescent="0.25">
      <c r="A317" s="7">
        <v>10347</v>
      </c>
      <c r="B317" s="25">
        <v>4063456789014</v>
      </c>
      <c r="C317" s="26" t="s">
        <v>60</v>
      </c>
      <c r="D317" s="26" t="s">
        <v>12</v>
      </c>
      <c r="E317" s="26" t="s">
        <v>61</v>
      </c>
      <c r="F317" s="8">
        <v>36</v>
      </c>
      <c r="G317" s="8">
        <v>1</v>
      </c>
      <c r="H317" s="26" t="s">
        <v>14</v>
      </c>
      <c r="I317" s="26" t="s">
        <v>15</v>
      </c>
      <c r="J317" s="27">
        <v>45858</v>
      </c>
      <c r="K317" s="8">
        <v>0</v>
      </c>
      <c r="L317" s="26">
        <v>36</v>
      </c>
      <c r="M317" s="26" t="s">
        <v>15</v>
      </c>
      <c r="N317" s="28">
        <v>45839</v>
      </c>
      <c r="O317" s="14" t="s">
        <v>1346</v>
      </c>
    </row>
    <row r="318" spans="1:15" x14ac:dyDescent="0.25">
      <c r="A318" s="5">
        <v>10348</v>
      </c>
      <c r="B318" s="21">
        <v>8599988776654</v>
      </c>
      <c r="C318" s="22" t="s">
        <v>393</v>
      </c>
      <c r="D318" s="22" t="s">
        <v>133</v>
      </c>
      <c r="E318" s="22" t="s">
        <v>17</v>
      </c>
      <c r="F318" s="6">
        <v>16.8</v>
      </c>
      <c r="G318" s="6">
        <v>2</v>
      </c>
      <c r="H318" s="22" t="s">
        <v>23</v>
      </c>
      <c r="I318" s="22" t="s">
        <v>461</v>
      </c>
      <c r="J318" s="23">
        <v>45858</v>
      </c>
      <c r="K318" s="6">
        <v>0</v>
      </c>
      <c r="L318" s="22">
        <v>33.6</v>
      </c>
      <c r="M318" s="22">
        <v>5</v>
      </c>
      <c r="N318" s="24">
        <v>45839</v>
      </c>
      <c r="O318" s="13" t="s">
        <v>1346</v>
      </c>
    </row>
    <row r="319" spans="1:15" x14ac:dyDescent="0.25">
      <c r="A319" s="7">
        <v>10349</v>
      </c>
      <c r="B319" s="25">
        <v>4010123456783</v>
      </c>
      <c r="C319" s="26" t="s">
        <v>35</v>
      </c>
      <c r="D319" s="26" t="s">
        <v>36</v>
      </c>
      <c r="E319" s="26" t="s">
        <v>37</v>
      </c>
      <c r="F319" s="8">
        <v>14</v>
      </c>
      <c r="G319" s="8">
        <v>1</v>
      </c>
      <c r="H319" s="26" t="s">
        <v>14</v>
      </c>
      <c r="I319" s="26" t="s">
        <v>15</v>
      </c>
      <c r="J319" s="27">
        <v>45858</v>
      </c>
      <c r="K319" s="8">
        <v>0</v>
      </c>
      <c r="L319" s="26">
        <v>14</v>
      </c>
      <c r="M319" s="26" t="s">
        <v>15</v>
      </c>
      <c r="N319" s="28">
        <v>45839</v>
      </c>
      <c r="O319" s="14" t="s">
        <v>1345</v>
      </c>
    </row>
    <row r="320" spans="1:15" x14ac:dyDescent="0.25">
      <c r="A320" s="5">
        <v>10350</v>
      </c>
      <c r="B320" s="21">
        <v>8599988776654</v>
      </c>
      <c r="C320" s="22" t="s">
        <v>393</v>
      </c>
      <c r="D320" s="22" t="s">
        <v>133</v>
      </c>
      <c r="E320" s="22" t="s">
        <v>17</v>
      </c>
      <c r="F320" s="6">
        <v>16.8</v>
      </c>
      <c r="G320" s="6">
        <v>1</v>
      </c>
      <c r="H320" s="22" t="s">
        <v>14</v>
      </c>
      <c r="I320" s="22" t="s">
        <v>15</v>
      </c>
      <c r="J320" s="23">
        <v>45858</v>
      </c>
      <c r="K320" s="6">
        <v>0</v>
      </c>
      <c r="L320" s="22">
        <v>16.8</v>
      </c>
      <c r="M320" s="22" t="s">
        <v>15</v>
      </c>
      <c r="N320" s="24">
        <v>45839</v>
      </c>
      <c r="O320" s="13" t="s">
        <v>1346</v>
      </c>
    </row>
    <row r="321" spans="1:15" x14ac:dyDescent="0.25">
      <c r="A321" s="7">
        <v>10351</v>
      </c>
      <c r="B321" s="25">
        <v>4013456789017</v>
      </c>
      <c r="C321" s="26" t="s">
        <v>11</v>
      </c>
      <c r="D321" s="26" t="s">
        <v>12</v>
      </c>
      <c r="E321" s="26" t="s">
        <v>13</v>
      </c>
      <c r="F321" s="8">
        <v>6</v>
      </c>
      <c r="G321" s="8">
        <v>2</v>
      </c>
      <c r="H321" s="26" t="s">
        <v>14</v>
      </c>
      <c r="I321" s="26" t="s">
        <v>15</v>
      </c>
      <c r="J321" s="27">
        <v>45858</v>
      </c>
      <c r="K321" s="8">
        <v>0</v>
      </c>
      <c r="L321" s="26">
        <v>12</v>
      </c>
      <c r="M321" s="26" t="s">
        <v>15</v>
      </c>
      <c r="N321" s="28">
        <v>45839</v>
      </c>
      <c r="O321" s="14" t="s">
        <v>1346</v>
      </c>
    </row>
    <row r="322" spans="1:15" x14ac:dyDescent="0.25">
      <c r="A322" s="5">
        <v>10352</v>
      </c>
      <c r="B322" s="21">
        <v>8599988776654</v>
      </c>
      <c r="C322" s="22" t="s">
        <v>393</v>
      </c>
      <c r="D322" s="22" t="s">
        <v>133</v>
      </c>
      <c r="E322" s="22" t="s">
        <v>17</v>
      </c>
      <c r="F322" s="6">
        <v>16.8</v>
      </c>
      <c r="G322" s="6">
        <v>1</v>
      </c>
      <c r="H322" s="22" t="s">
        <v>14</v>
      </c>
      <c r="I322" s="22" t="s">
        <v>15</v>
      </c>
      <c r="J322" s="23">
        <v>45858</v>
      </c>
      <c r="K322" s="6">
        <v>0</v>
      </c>
      <c r="L322" s="22">
        <v>16.8</v>
      </c>
      <c r="M322" s="22" t="s">
        <v>15</v>
      </c>
      <c r="N322" s="24">
        <v>45839</v>
      </c>
      <c r="O322" s="13" t="s">
        <v>1346</v>
      </c>
    </row>
    <row r="323" spans="1:15" x14ac:dyDescent="0.25">
      <c r="A323" s="7">
        <v>10353</v>
      </c>
      <c r="B323" s="25">
        <v>4021234567894</v>
      </c>
      <c r="C323" s="26" t="s">
        <v>79</v>
      </c>
      <c r="D323" s="26" t="s">
        <v>36</v>
      </c>
      <c r="E323" s="26" t="s">
        <v>69</v>
      </c>
      <c r="F323" s="8">
        <v>8</v>
      </c>
      <c r="G323" s="8">
        <v>1</v>
      </c>
      <c r="H323" s="26" t="s">
        <v>33</v>
      </c>
      <c r="I323" s="26" t="s">
        <v>462</v>
      </c>
      <c r="J323" s="27">
        <v>45858</v>
      </c>
      <c r="K323" s="8">
        <v>0</v>
      </c>
      <c r="L323" s="26">
        <v>8</v>
      </c>
      <c r="M323" s="26">
        <v>3</v>
      </c>
      <c r="N323" s="28">
        <v>45839</v>
      </c>
      <c r="O323" s="14" t="s">
        <v>1345</v>
      </c>
    </row>
    <row r="324" spans="1:15" x14ac:dyDescent="0.25">
      <c r="A324" s="5">
        <v>10354</v>
      </c>
      <c r="B324" s="21">
        <v>8599988776654</v>
      </c>
      <c r="C324" s="22" t="s">
        <v>393</v>
      </c>
      <c r="D324" s="22" t="s">
        <v>133</v>
      </c>
      <c r="E324" s="22" t="s">
        <v>17</v>
      </c>
      <c r="F324" s="6">
        <v>16.8</v>
      </c>
      <c r="G324" s="6">
        <v>2</v>
      </c>
      <c r="H324" s="22" t="s">
        <v>14</v>
      </c>
      <c r="I324" s="22" t="s">
        <v>15</v>
      </c>
      <c r="J324" s="23">
        <v>45858</v>
      </c>
      <c r="K324" s="6">
        <v>0</v>
      </c>
      <c r="L324" s="22">
        <v>33.6</v>
      </c>
      <c r="M324" s="22" t="s">
        <v>15</v>
      </c>
      <c r="N324" s="24">
        <v>45839</v>
      </c>
      <c r="O324" s="13" t="s">
        <v>1346</v>
      </c>
    </row>
    <row r="325" spans="1:15" x14ac:dyDescent="0.25">
      <c r="A325" s="7">
        <v>10355</v>
      </c>
      <c r="B325" s="25">
        <v>4027788990013</v>
      </c>
      <c r="C325" s="26" t="s">
        <v>43</v>
      </c>
      <c r="D325" s="26" t="s">
        <v>21</v>
      </c>
      <c r="E325" s="26" t="s">
        <v>22</v>
      </c>
      <c r="F325" s="8">
        <v>8</v>
      </c>
      <c r="G325" s="8">
        <v>1</v>
      </c>
      <c r="H325" s="26" t="s">
        <v>14</v>
      </c>
      <c r="I325" s="26" t="s">
        <v>15</v>
      </c>
      <c r="J325" s="27">
        <v>45858</v>
      </c>
      <c r="K325" s="8">
        <v>0</v>
      </c>
      <c r="L325" s="26">
        <v>8</v>
      </c>
      <c r="M325" s="26" t="s">
        <v>15</v>
      </c>
      <c r="N325" s="28">
        <v>45839</v>
      </c>
      <c r="O325" s="14" t="s">
        <v>1346</v>
      </c>
    </row>
    <row r="326" spans="1:15" x14ac:dyDescent="0.25">
      <c r="A326" s="5">
        <v>10356</v>
      </c>
      <c r="B326" s="21">
        <v>8599988776654</v>
      </c>
      <c r="C326" s="22" t="s">
        <v>393</v>
      </c>
      <c r="D326" s="22" t="s">
        <v>133</v>
      </c>
      <c r="E326" s="22" t="s">
        <v>17</v>
      </c>
      <c r="F326" s="6">
        <v>16.8</v>
      </c>
      <c r="G326" s="6">
        <v>1</v>
      </c>
      <c r="H326" s="22" t="s">
        <v>14</v>
      </c>
      <c r="I326" s="22" t="s">
        <v>15</v>
      </c>
      <c r="J326" s="23">
        <v>45858</v>
      </c>
      <c r="K326" s="6">
        <v>0</v>
      </c>
      <c r="L326" s="22">
        <v>16.8</v>
      </c>
      <c r="M326" s="22" t="s">
        <v>15</v>
      </c>
      <c r="N326" s="24">
        <v>45839</v>
      </c>
      <c r="O326" s="13" t="s">
        <v>1346</v>
      </c>
    </row>
    <row r="327" spans="1:15" x14ac:dyDescent="0.25">
      <c r="A327" s="7">
        <v>10357</v>
      </c>
      <c r="B327" s="25">
        <v>8599988776654</v>
      </c>
      <c r="C327" s="26" t="s">
        <v>393</v>
      </c>
      <c r="D327" s="26" t="s">
        <v>133</v>
      </c>
      <c r="E327" s="26" t="s">
        <v>17</v>
      </c>
      <c r="F327" s="8">
        <v>16.8</v>
      </c>
      <c r="G327" s="8">
        <v>1</v>
      </c>
      <c r="H327" s="26" t="s">
        <v>14</v>
      </c>
      <c r="I327" s="26" t="s">
        <v>15</v>
      </c>
      <c r="J327" s="27">
        <v>45859</v>
      </c>
      <c r="K327" s="8">
        <v>0</v>
      </c>
      <c r="L327" s="26">
        <v>16.8</v>
      </c>
      <c r="M327" s="26" t="s">
        <v>15</v>
      </c>
      <c r="N327" s="28">
        <v>45839</v>
      </c>
      <c r="O327" s="14" t="s">
        <v>1346</v>
      </c>
    </row>
    <row r="328" spans="1:15" x14ac:dyDescent="0.25">
      <c r="A328" s="5">
        <v>10358</v>
      </c>
      <c r="B328" s="21">
        <v>4028899001126</v>
      </c>
      <c r="C328" s="22" t="s">
        <v>16</v>
      </c>
      <c r="D328" s="22" t="s">
        <v>12</v>
      </c>
      <c r="E328" s="22" t="s">
        <v>17</v>
      </c>
      <c r="F328" s="6">
        <v>2.8</v>
      </c>
      <c r="G328" s="6">
        <v>3</v>
      </c>
      <c r="H328" s="22" t="s">
        <v>23</v>
      </c>
      <c r="I328" s="22" t="s">
        <v>463</v>
      </c>
      <c r="J328" s="23">
        <v>45859</v>
      </c>
      <c r="K328" s="6">
        <v>0</v>
      </c>
      <c r="L328" s="22">
        <v>8.3999999999999986</v>
      </c>
      <c r="M328" s="22">
        <v>5</v>
      </c>
      <c r="N328" s="24">
        <v>45839</v>
      </c>
      <c r="O328" s="13" t="s">
        <v>1346</v>
      </c>
    </row>
    <row r="329" spans="1:15" x14ac:dyDescent="0.25">
      <c r="A329" s="7">
        <v>10359</v>
      </c>
      <c r="B329" s="25">
        <v>8599988776654</v>
      </c>
      <c r="C329" s="26" t="s">
        <v>393</v>
      </c>
      <c r="D329" s="26" t="s">
        <v>133</v>
      </c>
      <c r="E329" s="26" t="s">
        <v>17</v>
      </c>
      <c r="F329" s="8">
        <v>16.8</v>
      </c>
      <c r="G329" s="8">
        <v>2</v>
      </c>
      <c r="H329" s="26" t="s">
        <v>14</v>
      </c>
      <c r="I329" s="26" t="s">
        <v>15</v>
      </c>
      <c r="J329" s="27">
        <v>45859</v>
      </c>
      <c r="K329" s="8">
        <v>0</v>
      </c>
      <c r="L329" s="26">
        <v>33.6</v>
      </c>
      <c r="M329" s="26" t="s">
        <v>15</v>
      </c>
      <c r="N329" s="28">
        <v>45839</v>
      </c>
      <c r="O329" s="14" t="s">
        <v>1346</v>
      </c>
    </row>
    <row r="330" spans="1:15" x14ac:dyDescent="0.25">
      <c r="A330" s="5">
        <v>10360</v>
      </c>
      <c r="B330" s="21">
        <v>4013456789017</v>
      </c>
      <c r="C330" s="22" t="s">
        <v>11</v>
      </c>
      <c r="D330" s="22" t="s">
        <v>12</v>
      </c>
      <c r="E330" s="22" t="s">
        <v>13</v>
      </c>
      <c r="F330" s="6">
        <v>6</v>
      </c>
      <c r="G330" s="6">
        <v>1</v>
      </c>
      <c r="H330" s="22" t="s">
        <v>14</v>
      </c>
      <c r="I330" s="22" t="s">
        <v>15</v>
      </c>
      <c r="J330" s="23">
        <v>45859</v>
      </c>
      <c r="K330" s="6">
        <v>0</v>
      </c>
      <c r="L330" s="22">
        <v>6</v>
      </c>
      <c r="M330" s="22" t="s">
        <v>15</v>
      </c>
      <c r="N330" s="24">
        <v>45839</v>
      </c>
      <c r="O330" s="13" t="s">
        <v>1346</v>
      </c>
    </row>
    <row r="331" spans="1:15" x14ac:dyDescent="0.25">
      <c r="A331" s="7">
        <v>10361</v>
      </c>
      <c r="B331" s="25">
        <v>8599988776654</v>
      </c>
      <c r="C331" s="26" t="s">
        <v>393</v>
      </c>
      <c r="D331" s="26" t="s">
        <v>133</v>
      </c>
      <c r="E331" s="26" t="s">
        <v>17</v>
      </c>
      <c r="F331" s="8">
        <v>16.8</v>
      </c>
      <c r="G331" s="8">
        <v>1</v>
      </c>
      <c r="H331" s="26" t="s">
        <v>14</v>
      </c>
      <c r="I331" s="26" t="s">
        <v>15</v>
      </c>
      <c r="J331" s="27">
        <v>45859</v>
      </c>
      <c r="K331" s="8">
        <v>0</v>
      </c>
      <c r="L331" s="26">
        <v>16.8</v>
      </c>
      <c r="M331" s="26" t="s">
        <v>15</v>
      </c>
      <c r="N331" s="28">
        <v>45839</v>
      </c>
      <c r="O331" s="14" t="s">
        <v>1346</v>
      </c>
    </row>
    <row r="332" spans="1:15" x14ac:dyDescent="0.25">
      <c r="A332" s="5">
        <v>10362</v>
      </c>
      <c r="B332" s="21">
        <v>4063456789014</v>
      </c>
      <c r="C332" s="22" t="s">
        <v>60</v>
      </c>
      <c r="D332" s="22" t="s">
        <v>12</v>
      </c>
      <c r="E332" s="22" t="s">
        <v>61</v>
      </c>
      <c r="F332" s="6">
        <v>36</v>
      </c>
      <c r="G332" s="6">
        <v>1</v>
      </c>
      <c r="H332" s="22" t="s">
        <v>18</v>
      </c>
      <c r="I332" s="22" t="s">
        <v>464</v>
      </c>
      <c r="J332" s="23">
        <v>45859</v>
      </c>
      <c r="K332" s="6">
        <v>0</v>
      </c>
      <c r="L332" s="22">
        <v>36</v>
      </c>
      <c r="M332" s="22">
        <v>4</v>
      </c>
      <c r="N332" s="24">
        <v>45839</v>
      </c>
      <c r="O332" s="13" t="s">
        <v>1346</v>
      </c>
    </row>
    <row r="333" spans="1:15" x14ac:dyDescent="0.25">
      <c r="A333" s="7">
        <v>10363</v>
      </c>
      <c r="B333" s="25">
        <v>8599988776654</v>
      </c>
      <c r="C333" s="26" t="s">
        <v>393</v>
      </c>
      <c r="D333" s="26" t="s">
        <v>133</v>
      </c>
      <c r="E333" s="26" t="s">
        <v>17</v>
      </c>
      <c r="F333" s="8">
        <v>16.8</v>
      </c>
      <c r="G333" s="8">
        <v>1</v>
      </c>
      <c r="H333" s="26" t="s">
        <v>14</v>
      </c>
      <c r="I333" s="26" t="s">
        <v>15</v>
      </c>
      <c r="J333" s="27">
        <v>45859</v>
      </c>
      <c r="K333" s="8">
        <v>0</v>
      </c>
      <c r="L333" s="26">
        <v>16.8</v>
      </c>
      <c r="M333" s="26" t="s">
        <v>15</v>
      </c>
      <c r="N333" s="28">
        <v>45839</v>
      </c>
      <c r="O333" s="14" t="s">
        <v>1346</v>
      </c>
    </row>
    <row r="334" spans="1:15" x14ac:dyDescent="0.25">
      <c r="A334" s="5">
        <v>10364</v>
      </c>
      <c r="B334" s="21">
        <v>4021234567894</v>
      </c>
      <c r="C334" s="22" t="s">
        <v>79</v>
      </c>
      <c r="D334" s="22" t="s">
        <v>36</v>
      </c>
      <c r="E334" s="22" t="s">
        <v>69</v>
      </c>
      <c r="F334" s="6">
        <v>8</v>
      </c>
      <c r="G334" s="6">
        <v>1</v>
      </c>
      <c r="H334" s="22" t="s">
        <v>14</v>
      </c>
      <c r="I334" s="22" t="s">
        <v>15</v>
      </c>
      <c r="J334" s="23">
        <v>45859</v>
      </c>
      <c r="K334" s="6">
        <v>0</v>
      </c>
      <c r="L334" s="22">
        <v>8</v>
      </c>
      <c r="M334" s="22" t="s">
        <v>15</v>
      </c>
      <c r="N334" s="24">
        <v>45839</v>
      </c>
      <c r="O334" s="13" t="s">
        <v>1345</v>
      </c>
    </row>
    <row r="335" spans="1:15" x14ac:dyDescent="0.25">
      <c r="A335" s="7">
        <v>10365</v>
      </c>
      <c r="B335" s="25">
        <v>8599988776654</v>
      </c>
      <c r="C335" s="26" t="s">
        <v>393</v>
      </c>
      <c r="D335" s="26" t="s">
        <v>133</v>
      </c>
      <c r="E335" s="26" t="s">
        <v>17</v>
      </c>
      <c r="F335" s="8">
        <v>16.8</v>
      </c>
      <c r="G335" s="8">
        <v>2</v>
      </c>
      <c r="H335" s="26" t="s">
        <v>23</v>
      </c>
      <c r="I335" s="26" t="s">
        <v>465</v>
      </c>
      <c r="J335" s="27">
        <v>45859</v>
      </c>
      <c r="K335" s="8">
        <v>0</v>
      </c>
      <c r="L335" s="26">
        <v>33.6</v>
      </c>
      <c r="M335" s="26">
        <v>5</v>
      </c>
      <c r="N335" s="28">
        <v>45839</v>
      </c>
      <c r="O335" s="14" t="s">
        <v>1346</v>
      </c>
    </row>
    <row r="336" spans="1:15" x14ac:dyDescent="0.25">
      <c r="A336" s="5">
        <v>10366</v>
      </c>
      <c r="B336" s="21">
        <v>4010123456783</v>
      </c>
      <c r="C336" s="22" t="s">
        <v>35</v>
      </c>
      <c r="D336" s="22" t="s">
        <v>36</v>
      </c>
      <c r="E336" s="22" t="s">
        <v>37</v>
      </c>
      <c r="F336" s="6">
        <v>14</v>
      </c>
      <c r="G336" s="6">
        <v>1</v>
      </c>
      <c r="H336" s="22" t="s">
        <v>14</v>
      </c>
      <c r="I336" s="22" t="s">
        <v>15</v>
      </c>
      <c r="J336" s="23">
        <v>45860</v>
      </c>
      <c r="K336" s="6">
        <v>0</v>
      </c>
      <c r="L336" s="22">
        <v>14</v>
      </c>
      <c r="M336" s="22" t="s">
        <v>15</v>
      </c>
      <c r="N336" s="24">
        <v>45839</v>
      </c>
      <c r="O336" s="13" t="s">
        <v>1345</v>
      </c>
    </row>
    <row r="337" spans="1:15" x14ac:dyDescent="0.25">
      <c r="A337" s="7">
        <v>10367</v>
      </c>
      <c r="B337" s="25">
        <v>8599988776654</v>
      </c>
      <c r="C337" s="26" t="s">
        <v>393</v>
      </c>
      <c r="D337" s="26" t="s">
        <v>133</v>
      </c>
      <c r="E337" s="26" t="s">
        <v>17</v>
      </c>
      <c r="F337" s="8">
        <v>16.8</v>
      </c>
      <c r="G337" s="8">
        <v>1</v>
      </c>
      <c r="H337" s="26" t="s">
        <v>14</v>
      </c>
      <c r="I337" s="26" t="s">
        <v>15</v>
      </c>
      <c r="J337" s="27">
        <v>45860</v>
      </c>
      <c r="K337" s="8">
        <v>0</v>
      </c>
      <c r="L337" s="26">
        <v>16.8</v>
      </c>
      <c r="M337" s="26" t="s">
        <v>15</v>
      </c>
      <c r="N337" s="28">
        <v>45839</v>
      </c>
      <c r="O337" s="14" t="s">
        <v>1346</v>
      </c>
    </row>
    <row r="338" spans="1:15" x14ac:dyDescent="0.25">
      <c r="A338" s="5">
        <v>10368</v>
      </c>
      <c r="B338" s="21">
        <v>4027788990013</v>
      </c>
      <c r="C338" s="22" t="s">
        <v>43</v>
      </c>
      <c r="D338" s="22" t="s">
        <v>21</v>
      </c>
      <c r="E338" s="22" t="s">
        <v>22</v>
      </c>
      <c r="F338" s="6">
        <v>8</v>
      </c>
      <c r="G338" s="6">
        <v>1</v>
      </c>
      <c r="H338" s="22" t="s">
        <v>18</v>
      </c>
      <c r="I338" s="22" t="s">
        <v>466</v>
      </c>
      <c r="J338" s="23">
        <v>45860</v>
      </c>
      <c r="K338" s="6">
        <v>0</v>
      </c>
      <c r="L338" s="22">
        <v>8</v>
      </c>
      <c r="M338" s="22">
        <v>4</v>
      </c>
      <c r="N338" s="24">
        <v>45839</v>
      </c>
      <c r="O338" s="13" t="s">
        <v>1346</v>
      </c>
    </row>
    <row r="339" spans="1:15" x14ac:dyDescent="0.25">
      <c r="A339" s="7">
        <v>10369</v>
      </c>
      <c r="B339" s="25">
        <v>8599988776654</v>
      </c>
      <c r="C339" s="26" t="s">
        <v>393</v>
      </c>
      <c r="D339" s="26" t="s">
        <v>133</v>
      </c>
      <c r="E339" s="26" t="s">
        <v>17</v>
      </c>
      <c r="F339" s="8">
        <v>16.8</v>
      </c>
      <c r="G339" s="8">
        <v>1</v>
      </c>
      <c r="H339" s="26" t="s">
        <v>14</v>
      </c>
      <c r="I339" s="26" t="s">
        <v>15</v>
      </c>
      <c r="J339" s="27">
        <v>45860</v>
      </c>
      <c r="K339" s="8">
        <v>0</v>
      </c>
      <c r="L339" s="26">
        <v>16.8</v>
      </c>
      <c r="M339" s="26" t="s">
        <v>15</v>
      </c>
      <c r="N339" s="28">
        <v>45839</v>
      </c>
      <c r="O339" s="14" t="s">
        <v>1346</v>
      </c>
    </row>
    <row r="340" spans="1:15" x14ac:dyDescent="0.25">
      <c r="A340" s="5">
        <v>10370</v>
      </c>
      <c r="B340" s="21">
        <v>4017890123450</v>
      </c>
      <c r="C340" s="22" t="s">
        <v>65</v>
      </c>
      <c r="D340" s="22" t="s">
        <v>39</v>
      </c>
      <c r="E340" s="22" t="s">
        <v>22</v>
      </c>
      <c r="F340" s="6">
        <v>7.6</v>
      </c>
      <c r="G340" s="6">
        <v>1</v>
      </c>
      <c r="H340" s="22" t="s">
        <v>14</v>
      </c>
      <c r="I340" s="22" t="s">
        <v>15</v>
      </c>
      <c r="J340" s="23">
        <v>45860</v>
      </c>
      <c r="K340" s="6">
        <v>0</v>
      </c>
      <c r="L340" s="22">
        <v>7.6</v>
      </c>
      <c r="M340" s="22" t="s">
        <v>15</v>
      </c>
      <c r="N340" s="24">
        <v>45839</v>
      </c>
      <c r="O340" s="13" t="s">
        <v>1346</v>
      </c>
    </row>
    <row r="341" spans="1:15" x14ac:dyDescent="0.25">
      <c r="A341" s="7">
        <v>10371</v>
      </c>
      <c r="B341" s="25">
        <v>8599988776654</v>
      </c>
      <c r="C341" s="26" t="s">
        <v>393</v>
      </c>
      <c r="D341" s="26" t="s">
        <v>133</v>
      </c>
      <c r="E341" s="26" t="s">
        <v>17</v>
      </c>
      <c r="F341" s="8">
        <v>16.8</v>
      </c>
      <c r="G341" s="8">
        <v>1</v>
      </c>
      <c r="H341" s="26" t="s">
        <v>14</v>
      </c>
      <c r="I341" s="26" t="s">
        <v>15</v>
      </c>
      <c r="J341" s="27">
        <v>45860</v>
      </c>
      <c r="K341" s="8">
        <v>0</v>
      </c>
      <c r="L341" s="26">
        <v>16.8</v>
      </c>
      <c r="M341" s="26" t="s">
        <v>15</v>
      </c>
      <c r="N341" s="28">
        <v>45839</v>
      </c>
      <c r="O341" s="14" t="s">
        <v>1346</v>
      </c>
    </row>
    <row r="342" spans="1:15" x14ac:dyDescent="0.25">
      <c r="A342" s="5">
        <v>10372</v>
      </c>
      <c r="B342" s="21">
        <v>4063456789014</v>
      </c>
      <c r="C342" s="22" t="s">
        <v>60</v>
      </c>
      <c r="D342" s="22" t="s">
        <v>12</v>
      </c>
      <c r="E342" s="22" t="s">
        <v>61</v>
      </c>
      <c r="F342" s="6">
        <v>36</v>
      </c>
      <c r="G342" s="6">
        <v>1</v>
      </c>
      <c r="H342" s="22" t="s">
        <v>14</v>
      </c>
      <c r="I342" s="22" t="s">
        <v>15</v>
      </c>
      <c r="J342" s="23">
        <v>45860</v>
      </c>
      <c r="K342" s="6">
        <v>0</v>
      </c>
      <c r="L342" s="22">
        <v>36</v>
      </c>
      <c r="M342" s="22" t="s">
        <v>15</v>
      </c>
      <c r="N342" s="24">
        <v>45839</v>
      </c>
      <c r="O342" s="13" t="s">
        <v>1346</v>
      </c>
    </row>
    <row r="343" spans="1:15" x14ac:dyDescent="0.25">
      <c r="A343" s="7">
        <v>10373</v>
      </c>
      <c r="B343" s="25">
        <v>8599988776654</v>
      </c>
      <c r="C343" s="26" t="s">
        <v>393</v>
      </c>
      <c r="D343" s="26" t="s">
        <v>133</v>
      </c>
      <c r="E343" s="26" t="s">
        <v>17</v>
      </c>
      <c r="F343" s="8">
        <v>16.8</v>
      </c>
      <c r="G343" s="8">
        <v>1</v>
      </c>
      <c r="H343" s="26" t="s">
        <v>23</v>
      </c>
      <c r="I343" s="26" t="s">
        <v>467</v>
      </c>
      <c r="J343" s="27">
        <v>45860</v>
      </c>
      <c r="K343" s="8">
        <v>0</v>
      </c>
      <c r="L343" s="26">
        <v>16.8</v>
      </c>
      <c r="M343" s="26">
        <v>5</v>
      </c>
      <c r="N343" s="28">
        <v>45839</v>
      </c>
      <c r="O343" s="14" t="s">
        <v>1346</v>
      </c>
    </row>
    <row r="344" spans="1:15" x14ac:dyDescent="0.25">
      <c r="A344" s="5">
        <v>10374</v>
      </c>
      <c r="B344" s="21">
        <v>4028899001126</v>
      </c>
      <c r="C344" s="22" t="s">
        <v>16</v>
      </c>
      <c r="D344" s="22" t="s">
        <v>12</v>
      </c>
      <c r="E344" s="22" t="s">
        <v>17</v>
      </c>
      <c r="F344" s="6">
        <v>2.8</v>
      </c>
      <c r="G344" s="6">
        <v>3</v>
      </c>
      <c r="H344" s="22" t="s">
        <v>14</v>
      </c>
      <c r="I344" s="22" t="s">
        <v>15</v>
      </c>
      <c r="J344" s="23">
        <v>45860</v>
      </c>
      <c r="K344" s="6">
        <v>0</v>
      </c>
      <c r="L344" s="22">
        <v>8.3999999999999986</v>
      </c>
      <c r="M344" s="22" t="s">
        <v>15</v>
      </c>
      <c r="N344" s="24">
        <v>45839</v>
      </c>
      <c r="O344" s="13" t="s">
        <v>1346</v>
      </c>
    </row>
    <row r="345" spans="1:15" x14ac:dyDescent="0.25">
      <c r="A345" s="7">
        <v>10375</v>
      </c>
      <c r="B345" s="25">
        <v>8599988776654</v>
      </c>
      <c r="C345" s="26" t="s">
        <v>393</v>
      </c>
      <c r="D345" s="26" t="s">
        <v>133</v>
      </c>
      <c r="E345" s="26" t="s">
        <v>17</v>
      </c>
      <c r="F345" s="8">
        <v>16.8</v>
      </c>
      <c r="G345" s="8">
        <v>2</v>
      </c>
      <c r="H345" s="26" t="s">
        <v>14</v>
      </c>
      <c r="I345" s="26" t="s">
        <v>15</v>
      </c>
      <c r="J345" s="27">
        <v>45860</v>
      </c>
      <c r="K345" s="8">
        <v>0</v>
      </c>
      <c r="L345" s="26">
        <v>33.6</v>
      </c>
      <c r="M345" s="26" t="s">
        <v>15</v>
      </c>
      <c r="N345" s="28">
        <v>45839</v>
      </c>
      <c r="O345" s="14" t="s">
        <v>1346</v>
      </c>
    </row>
    <row r="346" spans="1:15" x14ac:dyDescent="0.25">
      <c r="A346" s="5">
        <v>10376</v>
      </c>
      <c r="B346" s="21">
        <v>4056789012345</v>
      </c>
      <c r="C346" s="22" t="s">
        <v>47</v>
      </c>
      <c r="D346" s="22" t="s">
        <v>29</v>
      </c>
      <c r="E346" s="22" t="s">
        <v>37</v>
      </c>
      <c r="F346" s="6">
        <v>2.4</v>
      </c>
      <c r="G346" s="6">
        <v>2</v>
      </c>
      <c r="H346" s="22" t="s">
        <v>14</v>
      </c>
      <c r="I346" s="22" t="s">
        <v>15</v>
      </c>
      <c r="J346" s="23">
        <v>45860</v>
      </c>
      <c r="K346" s="6">
        <v>0</v>
      </c>
      <c r="L346" s="22">
        <v>4.8</v>
      </c>
      <c r="M346" s="22" t="s">
        <v>15</v>
      </c>
      <c r="N346" s="24">
        <v>45839</v>
      </c>
      <c r="O346" s="13" t="s">
        <v>1345</v>
      </c>
    </row>
    <row r="347" spans="1:15" x14ac:dyDescent="0.25">
      <c r="A347" s="7">
        <v>10377</v>
      </c>
      <c r="B347" s="25">
        <v>8599988776654</v>
      </c>
      <c r="C347" s="26" t="s">
        <v>393</v>
      </c>
      <c r="D347" s="26" t="s">
        <v>133</v>
      </c>
      <c r="E347" s="26" t="s">
        <v>17</v>
      </c>
      <c r="F347" s="8">
        <v>16.8</v>
      </c>
      <c r="G347" s="8">
        <v>1</v>
      </c>
      <c r="H347" s="26" t="s">
        <v>14</v>
      </c>
      <c r="I347" s="26" t="s">
        <v>15</v>
      </c>
      <c r="J347" s="27">
        <v>45860</v>
      </c>
      <c r="K347" s="8">
        <v>0</v>
      </c>
      <c r="L347" s="26">
        <v>16.8</v>
      </c>
      <c r="M347" s="26" t="s">
        <v>15</v>
      </c>
      <c r="N347" s="28">
        <v>45839</v>
      </c>
      <c r="O347" s="14" t="s">
        <v>1346</v>
      </c>
    </row>
    <row r="348" spans="1:15" x14ac:dyDescent="0.25">
      <c r="A348" s="5">
        <v>10378</v>
      </c>
      <c r="B348" s="21">
        <v>4013456789017</v>
      </c>
      <c r="C348" s="22" t="s">
        <v>11</v>
      </c>
      <c r="D348" s="22" t="s">
        <v>12</v>
      </c>
      <c r="E348" s="22" t="s">
        <v>13</v>
      </c>
      <c r="F348" s="6">
        <v>6</v>
      </c>
      <c r="G348" s="6">
        <v>1</v>
      </c>
      <c r="H348" s="22" t="s">
        <v>18</v>
      </c>
      <c r="I348" s="22" t="s">
        <v>468</v>
      </c>
      <c r="J348" s="23">
        <v>45861</v>
      </c>
      <c r="K348" s="6">
        <v>0</v>
      </c>
      <c r="L348" s="22">
        <v>6</v>
      </c>
      <c r="M348" s="22">
        <v>4</v>
      </c>
      <c r="N348" s="24">
        <v>45839</v>
      </c>
      <c r="O348" s="13" t="s">
        <v>1346</v>
      </c>
    </row>
    <row r="349" spans="1:15" x14ac:dyDescent="0.25">
      <c r="A349" s="7">
        <v>10379</v>
      </c>
      <c r="B349" s="25">
        <v>8599988776654</v>
      </c>
      <c r="C349" s="26" t="s">
        <v>393</v>
      </c>
      <c r="D349" s="26" t="s">
        <v>133</v>
      </c>
      <c r="E349" s="26" t="s">
        <v>17</v>
      </c>
      <c r="F349" s="8">
        <v>16.8</v>
      </c>
      <c r="G349" s="8">
        <v>1</v>
      </c>
      <c r="H349" s="26" t="s">
        <v>14</v>
      </c>
      <c r="I349" s="26" t="s">
        <v>15</v>
      </c>
      <c r="J349" s="27">
        <v>45861</v>
      </c>
      <c r="K349" s="8">
        <v>0</v>
      </c>
      <c r="L349" s="26">
        <v>16.8</v>
      </c>
      <c r="M349" s="26" t="s">
        <v>15</v>
      </c>
      <c r="N349" s="28">
        <v>45839</v>
      </c>
      <c r="O349" s="14" t="s">
        <v>1346</v>
      </c>
    </row>
    <row r="350" spans="1:15" x14ac:dyDescent="0.25">
      <c r="A350" s="5">
        <v>10380</v>
      </c>
      <c r="B350" s="21">
        <v>4010123456783</v>
      </c>
      <c r="C350" s="22" t="s">
        <v>35</v>
      </c>
      <c r="D350" s="22" t="s">
        <v>36</v>
      </c>
      <c r="E350" s="22" t="s">
        <v>37</v>
      </c>
      <c r="F350" s="6">
        <v>14</v>
      </c>
      <c r="G350" s="6">
        <v>1</v>
      </c>
      <c r="H350" s="22" t="s">
        <v>14</v>
      </c>
      <c r="I350" s="22" t="s">
        <v>15</v>
      </c>
      <c r="J350" s="23">
        <v>45861</v>
      </c>
      <c r="K350" s="6">
        <v>0</v>
      </c>
      <c r="L350" s="22">
        <v>14</v>
      </c>
      <c r="M350" s="22" t="s">
        <v>15</v>
      </c>
      <c r="N350" s="24">
        <v>45839</v>
      </c>
      <c r="O350" s="13" t="s">
        <v>1345</v>
      </c>
    </row>
    <row r="351" spans="1:15" x14ac:dyDescent="0.25">
      <c r="A351" s="7">
        <v>10381</v>
      </c>
      <c r="B351" s="25">
        <v>8599988776654</v>
      </c>
      <c r="C351" s="26" t="s">
        <v>393</v>
      </c>
      <c r="D351" s="26" t="s">
        <v>133</v>
      </c>
      <c r="E351" s="26" t="s">
        <v>17</v>
      </c>
      <c r="F351" s="8">
        <v>16.8</v>
      </c>
      <c r="G351" s="8">
        <v>2</v>
      </c>
      <c r="H351" s="26" t="s">
        <v>14</v>
      </c>
      <c r="I351" s="26" t="s">
        <v>15</v>
      </c>
      <c r="J351" s="27">
        <v>45861</v>
      </c>
      <c r="K351" s="8">
        <v>0</v>
      </c>
      <c r="L351" s="26">
        <v>33.6</v>
      </c>
      <c r="M351" s="26" t="s">
        <v>15</v>
      </c>
      <c r="N351" s="28">
        <v>45839</v>
      </c>
      <c r="O351" s="14" t="s">
        <v>1346</v>
      </c>
    </row>
    <row r="352" spans="1:15" x14ac:dyDescent="0.25">
      <c r="A352" s="5">
        <v>10382</v>
      </c>
      <c r="B352" s="21">
        <v>4063456789014</v>
      </c>
      <c r="C352" s="22" t="s">
        <v>60</v>
      </c>
      <c r="D352" s="22" t="s">
        <v>12</v>
      </c>
      <c r="E352" s="22" t="s">
        <v>61</v>
      </c>
      <c r="F352" s="6">
        <v>36</v>
      </c>
      <c r="G352" s="6">
        <v>1</v>
      </c>
      <c r="H352" s="22" t="s">
        <v>23</v>
      </c>
      <c r="I352" s="22" t="s">
        <v>469</v>
      </c>
      <c r="J352" s="23">
        <v>45861</v>
      </c>
      <c r="K352" s="6">
        <v>0</v>
      </c>
      <c r="L352" s="22">
        <v>36</v>
      </c>
      <c r="M352" s="22">
        <v>5</v>
      </c>
      <c r="N352" s="24">
        <v>45839</v>
      </c>
      <c r="O352" s="13" t="s">
        <v>1346</v>
      </c>
    </row>
    <row r="353" spans="1:15" x14ac:dyDescent="0.25">
      <c r="A353" s="7">
        <v>10383</v>
      </c>
      <c r="B353" s="25">
        <v>8599988776654</v>
      </c>
      <c r="C353" s="26" t="s">
        <v>393</v>
      </c>
      <c r="D353" s="26" t="s">
        <v>133</v>
      </c>
      <c r="E353" s="26" t="s">
        <v>17</v>
      </c>
      <c r="F353" s="8">
        <v>16.8</v>
      </c>
      <c r="G353" s="8">
        <v>1</v>
      </c>
      <c r="H353" s="26" t="s">
        <v>14</v>
      </c>
      <c r="I353" s="26" t="s">
        <v>15</v>
      </c>
      <c r="J353" s="27">
        <v>45861</v>
      </c>
      <c r="K353" s="8">
        <v>0</v>
      </c>
      <c r="L353" s="26">
        <v>16.8</v>
      </c>
      <c r="M353" s="26" t="s">
        <v>15</v>
      </c>
      <c r="N353" s="28">
        <v>45839</v>
      </c>
      <c r="O353" s="14" t="s">
        <v>1346</v>
      </c>
    </row>
    <row r="354" spans="1:15" x14ac:dyDescent="0.25">
      <c r="A354" s="5">
        <v>10384</v>
      </c>
      <c r="B354" s="21">
        <v>4028899001126</v>
      </c>
      <c r="C354" s="22" t="s">
        <v>16</v>
      </c>
      <c r="D354" s="22" t="s">
        <v>12</v>
      </c>
      <c r="E354" s="22" t="s">
        <v>17</v>
      </c>
      <c r="F354" s="6">
        <v>2.8</v>
      </c>
      <c r="G354" s="6">
        <v>3</v>
      </c>
      <c r="H354" s="22" t="s">
        <v>14</v>
      </c>
      <c r="I354" s="22" t="s">
        <v>15</v>
      </c>
      <c r="J354" s="23">
        <v>45861</v>
      </c>
      <c r="K354" s="6">
        <v>0</v>
      </c>
      <c r="L354" s="22">
        <v>8.3999999999999986</v>
      </c>
      <c r="M354" s="22" t="s">
        <v>15</v>
      </c>
      <c r="N354" s="24">
        <v>45839</v>
      </c>
      <c r="O354" s="13" t="s">
        <v>1346</v>
      </c>
    </row>
    <row r="355" spans="1:15" x14ac:dyDescent="0.25">
      <c r="A355" s="7">
        <v>10385</v>
      </c>
      <c r="B355" s="25">
        <v>8599988776654</v>
      </c>
      <c r="C355" s="26" t="s">
        <v>393</v>
      </c>
      <c r="D355" s="26" t="s">
        <v>133</v>
      </c>
      <c r="E355" s="26" t="s">
        <v>17</v>
      </c>
      <c r="F355" s="8">
        <v>16.8</v>
      </c>
      <c r="G355" s="8">
        <v>1</v>
      </c>
      <c r="H355" s="26" t="s">
        <v>14</v>
      </c>
      <c r="I355" s="26" t="s">
        <v>15</v>
      </c>
      <c r="J355" s="27">
        <v>45861</v>
      </c>
      <c r="K355" s="8">
        <v>0</v>
      </c>
      <c r="L355" s="26">
        <v>16.8</v>
      </c>
      <c r="M355" s="26" t="s">
        <v>15</v>
      </c>
      <c r="N355" s="28">
        <v>45839</v>
      </c>
      <c r="O355" s="14" t="s">
        <v>1346</v>
      </c>
    </row>
    <row r="356" spans="1:15" x14ac:dyDescent="0.25">
      <c r="A356" s="5">
        <v>10386</v>
      </c>
      <c r="B356" s="21">
        <v>4017890123450</v>
      </c>
      <c r="C356" s="22" t="s">
        <v>65</v>
      </c>
      <c r="D356" s="22" t="s">
        <v>39</v>
      </c>
      <c r="E356" s="22" t="s">
        <v>22</v>
      </c>
      <c r="F356" s="6">
        <v>7.6</v>
      </c>
      <c r="G356" s="6">
        <v>1</v>
      </c>
      <c r="H356" s="22" t="s">
        <v>18</v>
      </c>
      <c r="I356" s="22" t="s">
        <v>470</v>
      </c>
      <c r="J356" s="23">
        <v>45861</v>
      </c>
      <c r="K356" s="6">
        <v>0</v>
      </c>
      <c r="L356" s="22">
        <v>7.6</v>
      </c>
      <c r="M356" s="22">
        <v>4</v>
      </c>
      <c r="N356" s="24">
        <v>45839</v>
      </c>
      <c r="O356" s="13" t="s">
        <v>1346</v>
      </c>
    </row>
    <row r="357" spans="1:15" x14ac:dyDescent="0.25">
      <c r="A357" s="7">
        <v>10387</v>
      </c>
      <c r="B357" s="25">
        <v>8599988776654</v>
      </c>
      <c r="C357" s="26" t="s">
        <v>393</v>
      </c>
      <c r="D357" s="26" t="s">
        <v>133</v>
      </c>
      <c r="E357" s="26" t="s">
        <v>17</v>
      </c>
      <c r="F357" s="8">
        <v>16.8</v>
      </c>
      <c r="G357" s="8">
        <v>1</v>
      </c>
      <c r="H357" s="26" t="s">
        <v>14</v>
      </c>
      <c r="I357" s="26" t="s">
        <v>15</v>
      </c>
      <c r="J357" s="27">
        <v>45861</v>
      </c>
      <c r="K357" s="8">
        <v>0</v>
      </c>
      <c r="L357" s="26">
        <v>16.8</v>
      </c>
      <c r="M357" s="26" t="s">
        <v>15</v>
      </c>
      <c r="N357" s="28">
        <v>45839</v>
      </c>
      <c r="O357" s="14" t="s">
        <v>1346</v>
      </c>
    </row>
    <row r="358" spans="1:15" x14ac:dyDescent="0.25">
      <c r="A358" s="5">
        <v>10388</v>
      </c>
      <c r="B358" s="21">
        <v>4021234567894</v>
      </c>
      <c r="C358" s="22" t="s">
        <v>79</v>
      </c>
      <c r="D358" s="22" t="s">
        <v>36</v>
      </c>
      <c r="E358" s="22" t="s">
        <v>69</v>
      </c>
      <c r="F358" s="6">
        <v>8</v>
      </c>
      <c r="G358" s="6">
        <v>1</v>
      </c>
      <c r="H358" s="22" t="s">
        <v>14</v>
      </c>
      <c r="I358" s="22" t="s">
        <v>15</v>
      </c>
      <c r="J358" s="23">
        <v>45861</v>
      </c>
      <c r="K358" s="6">
        <v>0</v>
      </c>
      <c r="L358" s="22">
        <v>8</v>
      </c>
      <c r="M358" s="22" t="s">
        <v>15</v>
      </c>
      <c r="N358" s="24">
        <v>45839</v>
      </c>
      <c r="O358" s="13" t="s">
        <v>1345</v>
      </c>
    </row>
    <row r="359" spans="1:15" x14ac:dyDescent="0.25">
      <c r="A359" s="7">
        <v>10389</v>
      </c>
      <c r="B359" s="25">
        <v>8599988776654</v>
      </c>
      <c r="C359" s="26" t="s">
        <v>393</v>
      </c>
      <c r="D359" s="26" t="s">
        <v>133</v>
      </c>
      <c r="E359" s="26" t="s">
        <v>17</v>
      </c>
      <c r="F359" s="8">
        <v>16.8</v>
      </c>
      <c r="G359" s="8">
        <v>2</v>
      </c>
      <c r="H359" s="26" t="s">
        <v>14</v>
      </c>
      <c r="I359" s="26" t="s">
        <v>15</v>
      </c>
      <c r="J359" s="27">
        <v>45862</v>
      </c>
      <c r="K359" s="8">
        <v>0</v>
      </c>
      <c r="L359" s="26">
        <v>33.6</v>
      </c>
      <c r="M359" s="26" t="s">
        <v>15</v>
      </c>
      <c r="N359" s="28">
        <v>45839</v>
      </c>
      <c r="O359" s="14" t="s">
        <v>1346</v>
      </c>
    </row>
    <row r="360" spans="1:15" x14ac:dyDescent="0.25">
      <c r="A360" s="5">
        <v>10390</v>
      </c>
      <c r="B360" s="21">
        <v>4013456789017</v>
      </c>
      <c r="C360" s="22" t="s">
        <v>11</v>
      </c>
      <c r="D360" s="22" t="s">
        <v>12</v>
      </c>
      <c r="E360" s="22" t="s">
        <v>13</v>
      </c>
      <c r="F360" s="6">
        <v>6</v>
      </c>
      <c r="G360" s="6">
        <v>1</v>
      </c>
      <c r="H360" s="22" t="s">
        <v>14</v>
      </c>
      <c r="I360" s="22" t="s">
        <v>15</v>
      </c>
      <c r="J360" s="23">
        <v>45862</v>
      </c>
      <c r="K360" s="6">
        <v>0</v>
      </c>
      <c r="L360" s="22">
        <v>6</v>
      </c>
      <c r="M360" s="22" t="s">
        <v>15</v>
      </c>
      <c r="N360" s="24">
        <v>45839</v>
      </c>
      <c r="O360" s="13" t="s">
        <v>1346</v>
      </c>
    </row>
    <row r="361" spans="1:15" x14ac:dyDescent="0.25">
      <c r="A361" s="7">
        <v>10391</v>
      </c>
      <c r="B361" s="25">
        <v>8599988776654</v>
      </c>
      <c r="C361" s="26" t="s">
        <v>393</v>
      </c>
      <c r="D361" s="26" t="s">
        <v>133</v>
      </c>
      <c r="E361" s="26" t="s">
        <v>17</v>
      </c>
      <c r="F361" s="8">
        <v>16.8</v>
      </c>
      <c r="G361" s="8">
        <v>1</v>
      </c>
      <c r="H361" s="26" t="s">
        <v>23</v>
      </c>
      <c r="I361" s="26" t="s">
        <v>471</v>
      </c>
      <c r="J361" s="27">
        <v>45862</v>
      </c>
      <c r="K361" s="8">
        <v>0</v>
      </c>
      <c r="L361" s="26">
        <v>16.8</v>
      </c>
      <c r="M361" s="26">
        <v>5</v>
      </c>
      <c r="N361" s="28">
        <v>45839</v>
      </c>
      <c r="O361" s="14" t="s">
        <v>1346</v>
      </c>
    </row>
    <row r="362" spans="1:15" x14ac:dyDescent="0.25">
      <c r="A362" s="5">
        <v>10392</v>
      </c>
      <c r="B362" s="21">
        <v>4027788990013</v>
      </c>
      <c r="C362" s="22" t="s">
        <v>43</v>
      </c>
      <c r="D362" s="22" t="s">
        <v>21</v>
      </c>
      <c r="E362" s="22" t="s">
        <v>22</v>
      </c>
      <c r="F362" s="6">
        <v>8</v>
      </c>
      <c r="G362" s="6">
        <v>1</v>
      </c>
      <c r="H362" s="22" t="s">
        <v>14</v>
      </c>
      <c r="I362" s="22" t="s">
        <v>15</v>
      </c>
      <c r="J362" s="23">
        <v>45862</v>
      </c>
      <c r="K362" s="6">
        <v>0</v>
      </c>
      <c r="L362" s="22">
        <v>8</v>
      </c>
      <c r="M362" s="22" t="s">
        <v>15</v>
      </c>
      <c r="N362" s="24">
        <v>45839</v>
      </c>
      <c r="O362" s="13" t="s">
        <v>1346</v>
      </c>
    </row>
    <row r="363" spans="1:15" x14ac:dyDescent="0.25">
      <c r="A363" s="7">
        <v>10393</v>
      </c>
      <c r="B363" s="25">
        <v>8599988776654</v>
      </c>
      <c r="C363" s="26" t="s">
        <v>393</v>
      </c>
      <c r="D363" s="26" t="s">
        <v>133</v>
      </c>
      <c r="E363" s="26" t="s">
        <v>17</v>
      </c>
      <c r="F363" s="8">
        <v>16.8</v>
      </c>
      <c r="G363" s="8">
        <v>1</v>
      </c>
      <c r="H363" s="26" t="s">
        <v>14</v>
      </c>
      <c r="I363" s="26" t="s">
        <v>15</v>
      </c>
      <c r="J363" s="27">
        <v>45862</v>
      </c>
      <c r="K363" s="8">
        <v>0</v>
      </c>
      <c r="L363" s="26">
        <v>16.8</v>
      </c>
      <c r="M363" s="26" t="s">
        <v>15</v>
      </c>
      <c r="N363" s="28">
        <v>45839</v>
      </c>
      <c r="O363" s="14" t="s">
        <v>1346</v>
      </c>
    </row>
    <row r="364" spans="1:15" x14ac:dyDescent="0.25">
      <c r="A364" s="5">
        <v>10394</v>
      </c>
      <c r="B364" s="21">
        <v>4056789012345</v>
      </c>
      <c r="C364" s="22" t="s">
        <v>47</v>
      </c>
      <c r="D364" s="22" t="s">
        <v>29</v>
      </c>
      <c r="E364" s="22" t="s">
        <v>37</v>
      </c>
      <c r="F364" s="6">
        <v>2.4</v>
      </c>
      <c r="G364" s="6">
        <v>2</v>
      </c>
      <c r="H364" s="22" t="s">
        <v>14</v>
      </c>
      <c r="I364" s="22" t="s">
        <v>15</v>
      </c>
      <c r="J364" s="23">
        <v>45862</v>
      </c>
      <c r="K364" s="6">
        <v>0</v>
      </c>
      <c r="L364" s="22">
        <v>4.8</v>
      </c>
      <c r="M364" s="22" t="s">
        <v>15</v>
      </c>
      <c r="N364" s="24">
        <v>45839</v>
      </c>
      <c r="O364" s="13" t="s">
        <v>1345</v>
      </c>
    </row>
    <row r="365" spans="1:15" x14ac:dyDescent="0.25">
      <c r="A365" s="7">
        <v>10395</v>
      </c>
      <c r="B365" s="25">
        <v>8599988776654</v>
      </c>
      <c r="C365" s="26" t="s">
        <v>393</v>
      </c>
      <c r="D365" s="26" t="s">
        <v>133</v>
      </c>
      <c r="E365" s="26" t="s">
        <v>17</v>
      </c>
      <c r="F365" s="8">
        <v>16.8</v>
      </c>
      <c r="G365" s="8">
        <v>2</v>
      </c>
      <c r="H365" s="26" t="s">
        <v>14</v>
      </c>
      <c r="I365" s="26" t="s">
        <v>15</v>
      </c>
      <c r="J365" s="27">
        <v>45862</v>
      </c>
      <c r="K365" s="8">
        <v>0</v>
      </c>
      <c r="L365" s="26">
        <v>33.6</v>
      </c>
      <c r="M365" s="26" t="s">
        <v>15</v>
      </c>
      <c r="N365" s="28">
        <v>45839</v>
      </c>
      <c r="O365" s="14" t="s">
        <v>1346</v>
      </c>
    </row>
    <row r="366" spans="1:15" x14ac:dyDescent="0.25">
      <c r="A366" s="5">
        <v>10396</v>
      </c>
      <c r="B366" s="21">
        <v>4010123456783</v>
      </c>
      <c r="C366" s="22" t="s">
        <v>35</v>
      </c>
      <c r="D366" s="22" t="s">
        <v>36</v>
      </c>
      <c r="E366" s="22" t="s">
        <v>37</v>
      </c>
      <c r="F366" s="6">
        <v>14</v>
      </c>
      <c r="G366" s="6">
        <v>1</v>
      </c>
      <c r="H366" s="22" t="s">
        <v>23</v>
      </c>
      <c r="I366" s="22" t="s">
        <v>472</v>
      </c>
      <c r="J366" s="23">
        <v>45862</v>
      </c>
      <c r="K366" s="6">
        <v>0</v>
      </c>
      <c r="L366" s="22">
        <v>14</v>
      </c>
      <c r="M366" s="22">
        <v>5</v>
      </c>
      <c r="N366" s="24">
        <v>45839</v>
      </c>
      <c r="O366" s="13" t="s">
        <v>1345</v>
      </c>
    </row>
    <row r="367" spans="1:15" x14ac:dyDescent="0.25">
      <c r="A367" s="7">
        <v>10397</v>
      </c>
      <c r="B367" s="25">
        <v>8599988776654</v>
      </c>
      <c r="C367" s="26" t="s">
        <v>393</v>
      </c>
      <c r="D367" s="26" t="s">
        <v>133</v>
      </c>
      <c r="E367" s="26" t="s">
        <v>17</v>
      </c>
      <c r="F367" s="8">
        <v>16.8</v>
      </c>
      <c r="G367" s="8">
        <v>1</v>
      </c>
      <c r="H367" s="26" t="s">
        <v>14</v>
      </c>
      <c r="I367" s="26" t="s">
        <v>15</v>
      </c>
      <c r="J367" s="27">
        <v>45863</v>
      </c>
      <c r="K367" s="8">
        <v>0</v>
      </c>
      <c r="L367" s="26">
        <v>16.8</v>
      </c>
      <c r="M367" s="26" t="s">
        <v>15</v>
      </c>
      <c r="N367" s="28">
        <v>45839</v>
      </c>
      <c r="O367" s="14" t="s">
        <v>1346</v>
      </c>
    </row>
    <row r="368" spans="1:15" x14ac:dyDescent="0.25">
      <c r="A368" s="5">
        <v>10398</v>
      </c>
      <c r="B368" s="21">
        <v>4028899001126</v>
      </c>
      <c r="C368" s="22" t="s">
        <v>16</v>
      </c>
      <c r="D368" s="22" t="s">
        <v>12</v>
      </c>
      <c r="E368" s="22" t="s">
        <v>17</v>
      </c>
      <c r="F368" s="6">
        <v>2.8</v>
      </c>
      <c r="G368" s="6">
        <v>3</v>
      </c>
      <c r="H368" s="22" t="s">
        <v>14</v>
      </c>
      <c r="I368" s="22" t="s">
        <v>15</v>
      </c>
      <c r="J368" s="23">
        <v>45863</v>
      </c>
      <c r="K368" s="6">
        <v>0</v>
      </c>
      <c r="L368" s="22">
        <v>8.3999999999999986</v>
      </c>
      <c r="M368" s="22" t="s">
        <v>15</v>
      </c>
      <c r="N368" s="24">
        <v>45839</v>
      </c>
      <c r="O368" s="13" t="s">
        <v>1346</v>
      </c>
    </row>
    <row r="369" spans="1:15" x14ac:dyDescent="0.25">
      <c r="A369" s="7">
        <v>10399</v>
      </c>
      <c r="B369" s="25">
        <v>8599988776654</v>
      </c>
      <c r="C369" s="26" t="s">
        <v>393</v>
      </c>
      <c r="D369" s="26" t="s">
        <v>133</v>
      </c>
      <c r="E369" s="26" t="s">
        <v>17</v>
      </c>
      <c r="F369" s="8">
        <v>16.8</v>
      </c>
      <c r="G369" s="8">
        <v>1</v>
      </c>
      <c r="H369" s="26" t="s">
        <v>14</v>
      </c>
      <c r="I369" s="26" t="s">
        <v>15</v>
      </c>
      <c r="J369" s="27">
        <v>45863</v>
      </c>
      <c r="K369" s="8">
        <v>0</v>
      </c>
      <c r="L369" s="26">
        <v>16.8</v>
      </c>
      <c r="M369" s="26" t="s">
        <v>15</v>
      </c>
      <c r="N369" s="28">
        <v>45839</v>
      </c>
      <c r="O369" s="14" t="s">
        <v>1346</v>
      </c>
    </row>
    <row r="370" spans="1:15" x14ac:dyDescent="0.25">
      <c r="A370" s="5">
        <v>10400</v>
      </c>
      <c r="B370" s="21">
        <v>4063456789014</v>
      </c>
      <c r="C370" s="22" t="s">
        <v>60</v>
      </c>
      <c r="D370" s="22" t="s">
        <v>12</v>
      </c>
      <c r="E370" s="22" t="s">
        <v>61</v>
      </c>
      <c r="F370" s="6">
        <v>36</v>
      </c>
      <c r="G370" s="6">
        <v>1</v>
      </c>
      <c r="H370" s="22" t="s">
        <v>18</v>
      </c>
      <c r="I370" s="22" t="s">
        <v>473</v>
      </c>
      <c r="J370" s="23">
        <v>45863</v>
      </c>
      <c r="K370" s="6">
        <v>0</v>
      </c>
      <c r="L370" s="22">
        <v>36</v>
      </c>
      <c r="M370" s="22">
        <v>4</v>
      </c>
      <c r="N370" s="24">
        <v>45839</v>
      </c>
      <c r="O370" s="13" t="s">
        <v>1346</v>
      </c>
    </row>
    <row r="371" spans="1:15" x14ac:dyDescent="0.25">
      <c r="A371" s="7">
        <v>10401</v>
      </c>
      <c r="B371" s="25">
        <v>8599988776654</v>
      </c>
      <c r="C371" s="26" t="s">
        <v>393</v>
      </c>
      <c r="D371" s="26" t="s">
        <v>133</v>
      </c>
      <c r="E371" s="26" t="s">
        <v>17</v>
      </c>
      <c r="F371" s="8">
        <v>16.8</v>
      </c>
      <c r="G371" s="8">
        <v>2</v>
      </c>
      <c r="H371" s="26" t="s">
        <v>14</v>
      </c>
      <c r="I371" s="26" t="s">
        <v>15</v>
      </c>
      <c r="J371" s="27">
        <v>45863</v>
      </c>
      <c r="K371" s="8">
        <v>0</v>
      </c>
      <c r="L371" s="26">
        <v>33.6</v>
      </c>
      <c r="M371" s="26" t="s">
        <v>15</v>
      </c>
      <c r="N371" s="28">
        <v>45839</v>
      </c>
      <c r="O371" s="14" t="s">
        <v>1346</v>
      </c>
    </row>
    <row r="372" spans="1:15" x14ac:dyDescent="0.25">
      <c r="A372" s="5">
        <v>10402</v>
      </c>
      <c r="B372" s="21">
        <v>4017890123450</v>
      </c>
      <c r="C372" s="22" t="s">
        <v>65</v>
      </c>
      <c r="D372" s="22" t="s">
        <v>39</v>
      </c>
      <c r="E372" s="22" t="s">
        <v>22</v>
      </c>
      <c r="F372" s="6">
        <v>7.6</v>
      </c>
      <c r="G372" s="6">
        <v>1</v>
      </c>
      <c r="H372" s="22" t="s">
        <v>14</v>
      </c>
      <c r="I372" s="22" t="s">
        <v>15</v>
      </c>
      <c r="J372" s="23">
        <v>45863</v>
      </c>
      <c r="K372" s="6">
        <v>0</v>
      </c>
      <c r="L372" s="22">
        <v>7.6</v>
      </c>
      <c r="M372" s="22" t="s">
        <v>15</v>
      </c>
      <c r="N372" s="24">
        <v>45839</v>
      </c>
      <c r="O372" s="13" t="s">
        <v>1346</v>
      </c>
    </row>
    <row r="373" spans="1:15" x14ac:dyDescent="0.25">
      <c r="A373" s="7">
        <v>10403</v>
      </c>
      <c r="B373" s="25">
        <v>8599988776654</v>
      </c>
      <c r="C373" s="26" t="s">
        <v>393</v>
      </c>
      <c r="D373" s="26" t="s">
        <v>133</v>
      </c>
      <c r="E373" s="26" t="s">
        <v>17</v>
      </c>
      <c r="F373" s="8">
        <v>16.8</v>
      </c>
      <c r="G373" s="8">
        <v>1</v>
      </c>
      <c r="H373" s="26" t="s">
        <v>14</v>
      </c>
      <c r="I373" s="26" t="s">
        <v>15</v>
      </c>
      <c r="J373" s="27">
        <v>45863</v>
      </c>
      <c r="K373" s="8">
        <v>0</v>
      </c>
      <c r="L373" s="26">
        <v>16.8</v>
      </c>
      <c r="M373" s="26" t="s">
        <v>15</v>
      </c>
      <c r="N373" s="28">
        <v>45839</v>
      </c>
      <c r="O373" s="14" t="s">
        <v>1346</v>
      </c>
    </row>
    <row r="374" spans="1:15" x14ac:dyDescent="0.25">
      <c r="A374" s="5">
        <v>10404</v>
      </c>
      <c r="B374" s="21">
        <v>4013456789017</v>
      </c>
      <c r="C374" s="22" t="s">
        <v>11</v>
      </c>
      <c r="D374" s="22" t="s">
        <v>12</v>
      </c>
      <c r="E374" s="22" t="s">
        <v>13</v>
      </c>
      <c r="F374" s="6">
        <v>6</v>
      </c>
      <c r="G374" s="6">
        <v>2</v>
      </c>
      <c r="H374" s="22" t="s">
        <v>23</v>
      </c>
      <c r="I374" s="22" t="s">
        <v>474</v>
      </c>
      <c r="J374" s="23">
        <v>45863</v>
      </c>
      <c r="K374" s="6">
        <v>0</v>
      </c>
      <c r="L374" s="22">
        <v>12</v>
      </c>
      <c r="M374" s="22">
        <v>5</v>
      </c>
      <c r="N374" s="24">
        <v>45839</v>
      </c>
      <c r="O374" s="13" t="s">
        <v>1346</v>
      </c>
    </row>
    <row r="375" spans="1:15" x14ac:dyDescent="0.25">
      <c r="A375" s="7">
        <v>10405</v>
      </c>
      <c r="B375" s="25">
        <v>8599988776654</v>
      </c>
      <c r="C375" s="26" t="s">
        <v>393</v>
      </c>
      <c r="D375" s="26" t="s">
        <v>133</v>
      </c>
      <c r="E375" s="26" t="s">
        <v>17</v>
      </c>
      <c r="F375" s="8">
        <v>16.8</v>
      </c>
      <c r="G375" s="8">
        <v>1</v>
      </c>
      <c r="H375" s="26" t="s">
        <v>14</v>
      </c>
      <c r="I375" s="26" t="s">
        <v>15</v>
      </c>
      <c r="J375" s="27">
        <v>45863</v>
      </c>
      <c r="K375" s="8">
        <v>0</v>
      </c>
      <c r="L375" s="26">
        <v>16.8</v>
      </c>
      <c r="M375" s="26" t="s">
        <v>15</v>
      </c>
      <c r="N375" s="28">
        <v>45839</v>
      </c>
      <c r="O375" s="14" t="s">
        <v>1346</v>
      </c>
    </row>
    <row r="376" spans="1:15" x14ac:dyDescent="0.25">
      <c r="A376" s="5">
        <v>10406</v>
      </c>
      <c r="B376" s="21">
        <v>4021234567894</v>
      </c>
      <c r="C376" s="22" t="s">
        <v>79</v>
      </c>
      <c r="D376" s="22" t="s">
        <v>36</v>
      </c>
      <c r="E376" s="22" t="s">
        <v>69</v>
      </c>
      <c r="F376" s="6">
        <v>8</v>
      </c>
      <c r="G376" s="6">
        <v>1</v>
      </c>
      <c r="H376" s="22" t="s">
        <v>14</v>
      </c>
      <c r="I376" s="22" t="s">
        <v>15</v>
      </c>
      <c r="J376" s="23">
        <v>45863</v>
      </c>
      <c r="K376" s="6">
        <v>0</v>
      </c>
      <c r="L376" s="22">
        <v>8</v>
      </c>
      <c r="M376" s="22" t="s">
        <v>15</v>
      </c>
      <c r="N376" s="24">
        <v>45839</v>
      </c>
      <c r="O376" s="13" t="s">
        <v>1345</v>
      </c>
    </row>
    <row r="377" spans="1:15" x14ac:dyDescent="0.25">
      <c r="A377" s="7">
        <v>10407</v>
      </c>
      <c r="B377" s="25">
        <v>8599988776654</v>
      </c>
      <c r="C377" s="26" t="s">
        <v>393</v>
      </c>
      <c r="D377" s="26" t="s">
        <v>133</v>
      </c>
      <c r="E377" s="26" t="s">
        <v>17</v>
      </c>
      <c r="F377" s="8">
        <v>16.8</v>
      </c>
      <c r="G377" s="8">
        <v>2</v>
      </c>
      <c r="H377" s="26" t="s">
        <v>14</v>
      </c>
      <c r="I377" s="26" t="s">
        <v>15</v>
      </c>
      <c r="J377" s="27">
        <v>45864</v>
      </c>
      <c r="K377" s="8">
        <v>0</v>
      </c>
      <c r="L377" s="26">
        <v>33.6</v>
      </c>
      <c r="M377" s="26" t="s">
        <v>15</v>
      </c>
      <c r="N377" s="28">
        <v>45839</v>
      </c>
      <c r="O377" s="14" t="s">
        <v>1346</v>
      </c>
    </row>
    <row r="378" spans="1:15" x14ac:dyDescent="0.25">
      <c r="A378" s="5">
        <v>10408</v>
      </c>
      <c r="B378" s="21">
        <v>4027788990013</v>
      </c>
      <c r="C378" s="22" t="s">
        <v>43</v>
      </c>
      <c r="D378" s="22" t="s">
        <v>21</v>
      </c>
      <c r="E378" s="22" t="s">
        <v>22</v>
      </c>
      <c r="F378" s="6">
        <v>8</v>
      </c>
      <c r="G378" s="6">
        <v>1</v>
      </c>
      <c r="H378" s="22" t="s">
        <v>18</v>
      </c>
      <c r="I378" s="22" t="s">
        <v>475</v>
      </c>
      <c r="J378" s="23">
        <v>45864</v>
      </c>
      <c r="K378" s="6">
        <v>0</v>
      </c>
      <c r="L378" s="22">
        <v>8</v>
      </c>
      <c r="M378" s="22">
        <v>4</v>
      </c>
      <c r="N378" s="24">
        <v>45839</v>
      </c>
      <c r="O378" s="13" t="s">
        <v>1346</v>
      </c>
    </row>
    <row r="379" spans="1:15" x14ac:dyDescent="0.25">
      <c r="A379" s="7">
        <v>10409</v>
      </c>
      <c r="B379" s="25">
        <v>8599988776654</v>
      </c>
      <c r="C379" s="26" t="s">
        <v>393</v>
      </c>
      <c r="D379" s="26" t="s">
        <v>133</v>
      </c>
      <c r="E379" s="26" t="s">
        <v>17</v>
      </c>
      <c r="F379" s="8">
        <v>16.8</v>
      </c>
      <c r="G379" s="8">
        <v>1</v>
      </c>
      <c r="H379" s="26" t="s">
        <v>14</v>
      </c>
      <c r="I379" s="26" t="s">
        <v>15</v>
      </c>
      <c r="J379" s="27">
        <v>45864</v>
      </c>
      <c r="K379" s="8">
        <v>0</v>
      </c>
      <c r="L379" s="26">
        <v>16.8</v>
      </c>
      <c r="M379" s="26" t="s">
        <v>15</v>
      </c>
      <c r="N379" s="28">
        <v>45839</v>
      </c>
      <c r="O379" s="14" t="s">
        <v>1346</v>
      </c>
    </row>
    <row r="380" spans="1:15" x14ac:dyDescent="0.25">
      <c r="A380" s="5">
        <v>10410</v>
      </c>
      <c r="B380" s="21">
        <v>4010123456783</v>
      </c>
      <c r="C380" s="22" t="s">
        <v>35</v>
      </c>
      <c r="D380" s="22" t="s">
        <v>36</v>
      </c>
      <c r="E380" s="22" t="s">
        <v>37</v>
      </c>
      <c r="F380" s="6">
        <v>14</v>
      </c>
      <c r="G380" s="6">
        <v>1</v>
      </c>
      <c r="H380" s="22" t="s">
        <v>14</v>
      </c>
      <c r="I380" s="22" t="s">
        <v>15</v>
      </c>
      <c r="J380" s="23">
        <v>45864</v>
      </c>
      <c r="K380" s="6">
        <v>0</v>
      </c>
      <c r="L380" s="22">
        <v>14</v>
      </c>
      <c r="M380" s="22" t="s">
        <v>15</v>
      </c>
      <c r="N380" s="24">
        <v>45839</v>
      </c>
      <c r="O380" s="13" t="s">
        <v>1345</v>
      </c>
    </row>
    <row r="381" spans="1:15" x14ac:dyDescent="0.25">
      <c r="A381" s="7">
        <v>10411</v>
      </c>
      <c r="B381" s="25">
        <v>8599988776654</v>
      </c>
      <c r="C381" s="26" t="s">
        <v>393</v>
      </c>
      <c r="D381" s="26" t="s">
        <v>133</v>
      </c>
      <c r="E381" s="26" t="s">
        <v>17</v>
      </c>
      <c r="F381" s="8">
        <v>16.8</v>
      </c>
      <c r="G381" s="8">
        <v>1</v>
      </c>
      <c r="H381" s="26" t="s">
        <v>14</v>
      </c>
      <c r="I381" s="26" t="s">
        <v>15</v>
      </c>
      <c r="J381" s="27">
        <v>45864</v>
      </c>
      <c r="K381" s="8">
        <v>0</v>
      </c>
      <c r="L381" s="26">
        <v>16.8</v>
      </c>
      <c r="M381" s="26" t="s">
        <v>15</v>
      </c>
      <c r="N381" s="28">
        <v>45839</v>
      </c>
      <c r="O381" s="14" t="s">
        <v>1346</v>
      </c>
    </row>
    <row r="382" spans="1:15" x14ac:dyDescent="0.25">
      <c r="A382" s="5">
        <v>10412</v>
      </c>
      <c r="B382" s="21">
        <v>4056789012345</v>
      </c>
      <c r="C382" s="22" t="s">
        <v>47</v>
      </c>
      <c r="D382" s="22" t="s">
        <v>29</v>
      </c>
      <c r="E382" s="22" t="s">
        <v>37</v>
      </c>
      <c r="F382" s="6">
        <v>2.4</v>
      </c>
      <c r="G382" s="6">
        <v>2</v>
      </c>
      <c r="H382" s="22" t="s">
        <v>14</v>
      </c>
      <c r="I382" s="22" t="s">
        <v>15</v>
      </c>
      <c r="J382" s="23">
        <v>45864</v>
      </c>
      <c r="K382" s="6">
        <v>0</v>
      </c>
      <c r="L382" s="22">
        <v>4.8</v>
      </c>
      <c r="M382" s="22" t="s">
        <v>15</v>
      </c>
      <c r="N382" s="24">
        <v>45839</v>
      </c>
      <c r="O382" s="13" t="s">
        <v>1345</v>
      </c>
    </row>
    <row r="383" spans="1:15" x14ac:dyDescent="0.25">
      <c r="A383" s="7">
        <v>10413</v>
      </c>
      <c r="B383" s="25">
        <v>8599988776654</v>
      </c>
      <c r="C383" s="26" t="s">
        <v>393</v>
      </c>
      <c r="D383" s="26" t="s">
        <v>133</v>
      </c>
      <c r="E383" s="26" t="s">
        <v>17</v>
      </c>
      <c r="F383" s="8">
        <v>16.8</v>
      </c>
      <c r="G383" s="8">
        <v>1</v>
      </c>
      <c r="H383" s="26" t="s">
        <v>23</v>
      </c>
      <c r="I383" s="26" t="s">
        <v>476</v>
      </c>
      <c r="J383" s="27">
        <v>45864</v>
      </c>
      <c r="K383" s="8">
        <v>0</v>
      </c>
      <c r="L383" s="26">
        <v>16.8</v>
      </c>
      <c r="M383" s="26">
        <v>5</v>
      </c>
      <c r="N383" s="28">
        <v>45839</v>
      </c>
      <c r="O383" s="14" t="s">
        <v>1346</v>
      </c>
    </row>
    <row r="384" spans="1:15" x14ac:dyDescent="0.25">
      <c r="A384" s="5">
        <v>10414</v>
      </c>
      <c r="B384" s="21">
        <v>4028899001126</v>
      </c>
      <c r="C384" s="22" t="s">
        <v>16</v>
      </c>
      <c r="D384" s="22" t="s">
        <v>12</v>
      </c>
      <c r="E384" s="22" t="s">
        <v>17</v>
      </c>
      <c r="F384" s="6">
        <v>2.8</v>
      </c>
      <c r="G384" s="6">
        <v>3</v>
      </c>
      <c r="H384" s="22" t="s">
        <v>14</v>
      </c>
      <c r="I384" s="22" t="s">
        <v>15</v>
      </c>
      <c r="J384" s="23">
        <v>45864</v>
      </c>
      <c r="K384" s="6">
        <v>0</v>
      </c>
      <c r="L384" s="22">
        <v>8.3999999999999986</v>
      </c>
      <c r="M384" s="22" t="s">
        <v>15</v>
      </c>
      <c r="N384" s="24">
        <v>45839</v>
      </c>
      <c r="O384" s="13" t="s">
        <v>1346</v>
      </c>
    </row>
    <row r="385" spans="1:15" x14ac:dyDescent="0.25">
      <c r="A385" s="7">
        <v>10415</v>
      </c>
      <c r="B385" s="25">
        <v>8599988776654</v>
      </c>
      <c r="C385" s="26" t="s">
        <v>393</v>
      </c>
      <c r="D385" s="26" t="s">
        <v>133</v>
      </c>
      <c r="E385" s="26" t="s">
        <v>17</v>
      </c>
      <c r="F385" s="8">
        <v>16.8</v>
      </c>
      <c r="G385" s="8">
        <v>1</v>
      </c>
      <c r="H385" s="26" t="s">
        <v>14</v>
      </c>
      <c r="I385" s="26" t="s">
        <v>15</v>
      </c>
      <c r="J385" s="27">
        <v>45864</v>
      </c>
      <c r="K385" s="8">
        <v>0</v>
      </c>
      <c r="L385" s="26">
        <v>16.8</v>
      </c>
      <c r="M385" s="26" t="s">
        <v>15</v>
      </c>
      <c r="N385" s="28">
        <v>45839</v>
      </c>
      <c r="O385" s="14" t="s">
        <v>1346</v>
      </c>
    </row>
    <row r="386" spans="1:15" x14ac:dyDescent="0.25">
      <c r="A386" s="5">
        <v>10416</v>
      </c>
      <c r="B386" s="21">
        <v>4013456789017</v>
      </c>
      <c r="C386" s="22" t="s">
        <v>11</v>
      </c>
      <c r="D386" s="22" t="s">
        <v>12</v>
      </c>
      <c r="E386" s="22" t="s">
        <v>13</v>
      </c>
      <c r="F386" s="6">
        <v>6</v>
      </c>
      <c r="G386" s="6">
        <v>1</v>
      </c>
      <c r="H386" s="22" t="s">
        <v>14</v>
      </c>
      <c r="I386" s="22" t="s">
        <v>15</v>
      </c>
      <c r="J386" s="23">
        <v>45865</v>
      </c>
      <c r="K386" s="6">
        <v>0</v>
      </c>
      <c r="L386" s="22">
        <v>6</v>
      </c>
      <c r="M386" s="22" t="s">
        <v>15</v>
      </c>
      <c r="N386" s="24">
        <v>45839</v>
      </c>
      <c r="O386" s="13" t="s">
        <v>1346</v>
      </c>
    </row>
    <row r="387" spans="1:15" x14ac:dyDescent="0.25">
      <c r="A387" s="7">
        <v>10417</v>
      </c>
      <c r="B387" s="25">
        <v>8599988776654</v>
      </c>
      <c r="C387" s="26" t="s">
        <v>393</v>
      </c>
      <c r="D387" s="26" t="s">
        <v>133</v>
      </c>
      <c r="E387" s="26" t="s">
        <v>17</v>
      </c>
      <c r="F387" s="8">
        <v>16.8</v>
      </c>
      <c r="G387" s="8">
        <v>1</v>
      </c>
      <c r="H387" s="26" t="s">
        <v>14</v>
      </c>
      <c r="I387" s="26" t="s">
        <v>15</v>
      </c>
      <c r="J387" s="27">
        <v>45865</v>
      </c>
      <c r="K387" s="8">
        <v>0</v>
      </c>
      <c r="L387" s="26">
        <v>16.8</v>
      </c>
      <c r="M387" s="26" t="s">
        <v>15</v>
      </c>
      <c r="N387" s="28">
        <v>45839</v>
      </c>
      <c r="O387" s="14" t="s">
        <v>1346</v>
      </c>
    </row>
    <row r="388" spans="1:15" x14ac:dyDescent="0.25">
      <c r="A388" s="5">
        <v>10418</v>
      </c>
      <c r="B388" s="21">
        <v>4063456789014</v>
      </c>
      <c r="C388" s="22" t="s">
        <v>60</v>
      </c>
      <c r="D388" s="22" t="s">
        <v>12</v>
      </c>
      <c r="E388" s="22" t="s">
        <v>61</v>
      </c>
      <c r="F388" s="6">
        <v>36</v>
      </c>
      <c r="G388" s="6">
        <v>1</v>
      </c>
      <c r="H388" s="22" t="s">
        <v>23</v>
      </c>
      <c r="I388" s="22" t="s">
        <v>477</v>
      </c>
      <c r="J388" s="23">
        <v>45865</v>
      </c>
      <c r="K388" s="6">
        <v>0</v>
      </c>
      <c r="L388" s="22">
        <v>36</v>
      </c>
      <c r="M388" s="22">
        <v>5</v>
      </c>
      <c r="N388" s="24">
        <v>45839</v>
      </c>
      <c r="O388" s="13" t="s">
        <v>1346</v>
      </c>
    </row>
    <row r="389" spans="1:15" x14ac:dyDescent="0.25">
      <c r="A389" s="7">
        <v>10419</v>
      </c>
      <c r="B389" s="25">
        <v>8599988776654</v>
      </c>
      <c r="C389" s="26" t="s">
        <v>393</v>
      </c>
      <c r="D389" s="26" t="s">
        <v>133</v>
      </c>
      <c r="E389" s="26" t="s">
        <v>17</v>
      </c>
      <c r="F389" s="8">
        <v>16.8</v>
      </c>
      <c r="G389" s="8">
        <v>2</v>
      </c>
      <c r="H389" s="26" t="s">
        <v>14</v>
      </c>
      <c r="I389" s="26" t="s">
        <v>15</v>
      </c>
      <c r="J389" s="27">
        <v>45865</v>
      </c>
      <c r="K389" s="8">
        <v>0</v>
      </c>
      <c r="L389" s="26">
        <v>33.6</v>
      </c>
      <c r="M389" s="26" t="s">
        <v>15</v>
      </c>
      <c r="N389" s="28">
        <v>45839</v>
      </c>
      <c r="O389" s="14" t="s">
        <v>1346</v>
      </c>
    </row>
    <row r="390" spans="1:15" x14ac:dyDescent="0.25">
      <c r="A390" s="5">
        <v>10420</v>
      </c>
      <c r="B390" s="21">
        <v>4010123456783</v>
      </c>
      <c r="C390" s="22" t="s">
        <v>35</v>
      </c>
      <c r="D390" s="22" t="s">
        <v>36</v>
      </c>
      <c r="E390" s="22" t="s">
        <v>37</v>
      </c>
      <c r="F390" s="6">
        <v>14</v>
      </c>
      <c r="G390" s="6">
        <v>1</v>
      </c>
      <c r="H390" s="22" t="s">
        <v>14</v>
      </c>
      <c r="I390" s="22" t="s">
        <v>15</v>
      </c>
      <c r="J390" s="23">
        <v>45865</v>
      </c>
      <c r="K390" s="6">
        <v>0</v>
      </c>
      <c r="L390" s="22">
        <v>14</v>
      </c>
      <c r="M390" s="22" t="s">
        <v>15</v>
      </c>
      <c r="N390" s="24">
        <v>45839</v>
      </c>
      <c r="O390" s="13" t="s">
        <v>1345</v>
      </c>
    </row>
    <row r="391" spans="1:15" x14ac:dyDescent="0.25">
      <c r="A391" s="7">
        <v>10421</v>
      </c>
      <c r="B391" s="25">
        <v>8599988776654</v>
      </c>
      <c r="C391" s="26" t="s">
        <v>393</v>
      </c>
      <c r="D391" s="26" t="s">
        <v>133</v>
      </c>
      <c r="E391" s="26" t="s">
        <v>17</v>
      </c>
      <c r="F391" s="8">
        <v>16.8</v>
      </c>
      <c r="G391" s="8">
        <v>1</v>
      </c>
      <c r="H391" s="26" t="s">
        <v>14</v>
      </c>
      <c r="I391" s="26" t="s">
        <v>15</v>
      </c>
      <c r="J391" s="27">
        <v>45865</v>
      </c>
      <c r="K391" s="8">
        <v>0</v>
      </c>
      <c r="L391" s="26">
        <v>16.8</v>
      </c>
      <c r="M391" s="26" t="s">
        <v>15</v>
      </c>
      <c r="N391" s="28">
        <v>45839</v>
      </c>
      <c r="O391" s="14" t="s">
        <v>1346</v>
      </c>
    </row>
    <row r="392" spans="1:15" x14ac:dyDescent="0.25">
      <c r="A392" s="5">
        <v>10422</v>
      </c>
      <c r="B392" s="21">
        <v>4021234567894</v>
      </c>
      <c r="C392" s="22" t="s">
        <v>79</v>
      </c>
      <c r="D392" s="22" t="s">
        <v>36</v>
      </c>
      <c r="E392" s="22" t="s">
        <v>69</v>
      </c>
      <c r="F392" s="6">
        <v>8</v>
      </c>
      <c r="G392" s="6">
        <v>1</v>
      </c>
      <c r="H392" s="22" t="s">
        <v>18</v>
      </c>
      <c r="I392" s="22" t="s">
        <v>478</v>
      </c>
      <c r="J392" s="23">
        <v>45865</v>
      </c>
      <c r="K392" s="6">
        <v>0</v>
      </c>
      <c r="L392" s="22">
        <v>8</v>
      </c>
      <c r="M392" s="22">
        <v>4</v>
      </c>
      <c r="N392" s="24">
        <v>45839</v>
      </c>
      <c r="O392" s="13" t="s">
        <v>1345</v>
      </c>
    </row>
    <row r="393" spans="1:15" x14ac:dyDescent="0.25">
      <c r="A393" s="7">
        <v>10423</v>
      </c>
      <c r="B393" s="25">
        <v>8599988776654</v>
      </c>
      <c r="C393" s="26" t="s">
        <v>393</v>
      </c>
      <c r="D393" s="26" t="s">
        <v>133</v>
      </c>
      <c r="E393" s="26" t="s">
        <v>17</v>
      </c>
      <c r="F393" s="8">
        <v>16.8</v>
      </c>
      <c r="G393" s="8">
        <v>1</v>
      </c>
      <c r="H393" s="26" t="s">
        <v>14</v>
      </c>
      <c r="I393" s="26" t="s">
        <v>15</v>
      </c>
      <c r="J393" s="27">
        <v>45865</v>
      </c>
      <c r="K393" s="8">
        <v>0</v>
      </c>
      <c r="L393" s="26">
        <v>16.8</v>
      </c>
      <c r="M393" s="26" t="s">
        <v>15</v>
      </c>
      <c r="N393" s="28">
        <v>45839</v>
      </c>
      <c r="O393" s="14" t="s">
        <v>1346</v>
      </c>
    </row>
    <row r="394" spans="1:15" x14ac:dyDescent="0.25">
      <c r="A394" s="5">
        <v>10424</v>
      </c>
      <c r="B394" s="21">
        <v>4017890123450</v>
      </c>
      <c r="C394" s="22" t="s">
        <v>65</v>
      </c>
      <c r="D394" s="22" t="s">
        <v>39</v>
      </c>
      <c r="E394" s="22" t="s">
        <v>22</v>
      </c>
      <c r="F394" s="6">
        <v>7.6</v>
      </c>
      <c r="G394" s="6">
        <v>1</v>
      </c>
      <c r="H394" s="22" t="s">
        <v>14</v>
      </c>
      <c r="I394" s="22" t="s">
        <v>15</v>
      </c>
      <c r="J394" s="23">
        <v>45865</v>
      </c>
      <c r="K394" s="6">
        <v>0</v>
      </c>
      <c r="L394" s="22">
        <v>7.6</v>
      </c>
      <c r="M394" s="22" t="s">
        <v>15</v>
      </c>
      <c r="N394" s="24">
        <v>45839</v>
      </c>
      <c r="O394" s="13" t="s">
        <v>1346</v>
      </c>
    </row>
    <row r="395" spans="1:15" x14ac:dyDescent="0.25">
      <c r="A395" s="7">
        <v>10425</v>
      </c>
      <c r="B395" s="25">
        <v>8599988776654</v>
      </c>
      <c r="C395" s="26" t="s">
        <v>393</v>
      </c>
      <c r="D395" s="26" t="s">
        <v>133</v>
      </c>
      <c r="E395" s="26" t="s">
        <v>17</v>
      </c>
      <c r="F395" s="8">
        <v>16.8</v>
      </c>
      <c r="G395" s="8">
        <v>2</v>
      </c>
      <c r="H395" s="26" t="s">
        <v>14</v>
      </c>
      <c r="I395" s="26" t="s">
        <v>15</v>
      </c>
      <c r="J395" s="27">
        <v>45865</v>
      </c>
      <c r="K395" s="8">
        <v>0</v>
      </c>
      <c r="L395" s="26">
        <v>33.6</v>
      </c>
      <c r="M395" s="26" t="s">
        <v>15</v>
      </c>
      <c r="N395" s="28">
        <v>45839</v>
      </c>
      <c r="O395" s="14" t="s">
        <v>1346</v>
      </c>
    </row>
    <row r="396" spans="1:15" x14ac:dyDescent="0.25">
      <c r="A396" s="5">
        <v>10426</v>
      </c>
      <c r="B396" s="21">
        <v>4063456789014</v>
      </c>
      <c r="C396" s="22" t="s">
        <v>60</v>
      </c>
      <c r="D396" s="22" t="s">
        <v>12</v>
      </c>
      <c r="E396" s="22" t="s">
        <v>61</v>
      </c>
      <c r="F396" s="6">
        <v>36</v>
      </c>
      <c r="G396" s="6">
        <v>1</v>
      </c>
      <c r="H396" s="22" t="s">
        <v>14</v>
      </c>
      <c r="I396" s="22" t="s">
        <v>15</v>
      </c>
      <c r="J396" s="23">
        <v>45865</v>
      </c>
      <c r="K396" s="6">
        <v>0</v>
      </c>
      <c r="L396" s="22">
        <v>36</v>
      </c>
      <c r="M396" s="22" t="s">
        <v>15</v>
      </c>
      <c r="N396" s="24">
        <v>45839</v>
      </c>
      <c r="O396" s="13" t="s">
        <v>1346</v>
      </c>
    </row>
    <row r="397" spans="1:15" x14ac:dyDescent="0.25">
      <c r="A397" s="7">
        <v>10427</v>
      </c>
      <c r="B397" s="25">
        <v>8599988776654</v>
      </c>
      <c r="C397" s="26" t="s">
        <v>393</v>
      </c>
      <c r="D397" s="26" t="s">
        <v>133</v>
      </c>
      <c r="E397" s="26" t="s">
        <v>17</v>
      </c>
      <c r="F397" s="8">
        <v>16.8</v>
      </c>
      <c r="G397" s="8">
        <v>1</v>
      </c>
      <c r="H397" s="26" t="s">
        <v>14</v>
      </c>
      <c r="I397" s="26" t="s">
        <v>15</v>
      </c>
      <c r="J397" s="27">
        <v>45865</v>
      </c>
      <c r="K397" s="8">
        <v>0</v>
      </c>
      <c r="L397" s="26">
        <v>16.8</v>
      </c>
      <c r="M397" s="26" t="s">
        <v>15</v>
      </c>
      <c r="N397" s="28">
        <v>45839</v>
      </c>
      <c r="O397" s="14" t="s">
        <v>1346</v>
      </c>
    </row>
    <row r="398" spans="1:15" x14ac:dyDescent="0.25">
      <c r="A398" s="5">
        <v>10428</v>
      </c>
      <c r="B398" s="21">
        <v>4028899001126</v>
      </c>
      <c r="C398" s="22" t="s">
        <v>16</v>
      </c>
      <c r="D398" s="22" t="s">
        <v>12</v>
      </c>
      <c r="E398" s="22" t="s">
        <v>17</v>
      </c>
      <c r="F398" s="6">
        <v>2.8</v>
      </c>
      <c r="G398" s="6">
        <v>3</v>
      </c>
      <c r="H398" s="22" t="s">
        <v>14</v>
      </c>
      <c r="I398" s="22" t="s">
        <v>15</v>
      </c>
      <c r="J398" s="23">
        <v>45865</v>
      </c>
      <c r="K398" s="6">
        <v>0</v>
      </c>
      <c r="L398" s="22">
        <v>8.3999999999999986</v>
      </c>
      <c r="M398" s="22" t="s">
        <v>15</v>
      </c>
      <c r="N398" s="24">
        <v>45839</v>
      </c>
      <c r="O398" s="13" t="s">
        <v>1346</v>
      </c>
    </row>
    <row r="399" spans="1:15" x14ac:dyDescent="0.25">
      <c r="A399" s="7">
        <v>10429</v>
      </c>
      <c r="B399" s="25">
        <v>8599988776654</v>
      </c>
      <c r="C399" s="26" t="s">
        <v>393</v>
      </c>
      <c r="D399" s="26" t="s">
        <v>133</v>
      </c>
      <c r="E399" s="26" t="s">
        <v>17</v>
      </c>
      <c r="F399" s="8">
        <v>16.8</v>
      </c>
      <c r="G399" s="8">
        <v>1</v>
      </c>
      <c r="H399" s="26" t="s">
        <v>14</v>
      </c>
      <c r="I399" s="26" t="s">
        <v>15</v>
      </c>
      <c r="J399" s="27">
        <v>45865</v>
      </c>
      <c r="K399" s="8">
        <v>0</v>
      </c>
      <c r="L399" s="26">
        <v>16.8</v>
      </c>
      <c r="M399" s="26" t="s">
        <v>15</v>
      </c>
      <c r="N399" s="28">
        <v>45839</v>
      </c>
      <c r="O399" s="14" t="s">
        <v>1346</v>
      </c>
    </row>
    <row r="400" spans="1:15" x14ac:dyDescent="0.25">
      <c r="A400" s="5">
        <v>10430</v>
      </c>
      <c r="B400" s="21">
        <v>4013456789017</v>
      </c>
      <c r="C400" s="22" t="s">
        <v>11</v>
      </c>
      <c r="D400" s="22" t="s">
        <v>12</v>
      </c>
      <c r="E400" s="22" t="s">
        <v>13</v>
      </c>
      <c r="F400" s="6">
        <v>6</v>
      </c>
      <c r="G400" s="6">
        <v>1</v>
      </c>
      <c r="H400" s="22" t="s">
        <v>18</v>
      </c>
      <c r="I400" s="22" t="s">
        <v>479</v>
      </c>
      <c r="J400" s="23">
        <v>45865</v>
      </c>
      <c r="K400" s="6">
        <v>0</v>
      </c>
      <c r="L400" s="22">
        <v>6</v>
      </c>
      <c r="M400" s="22">
        <v>4</v>
      </c>
      <c r="N400" s="24">
        <v>45839</v>
      </c>
      <c r="O400" s="13" t="s">
        <v>1346</v>
      </c>
    </row>
    <row r="401" spans="1:15" x14ac:dyDescent="0.25">
      <c r="A401" s="7">
        <v>10431</v>
      </c>
      <c r="B401" s="25">
        <v>8599988776654</v>
      </c>
      <c r="C401" s="26" t="s">
        <v>393</v>
      </c>
      <c r="D401" s="26" t="s">
        <v>133</v>
      </c>
      <c r="E401" s="26" t="s">
        <v>17</v>
      </c>
      <c r="F401" s="8">
        <v>16.8</v>
      </c>
      <c r="G401" s="8">
        <v>2</v>
      </c>
      <c r="H401" s="26" t="s">
        <v>14</v>
      </c>
      <c r="I401" s="26" t="s">
        <v>15</v>
      </c>
      <c r="J401" s="27">
        <v>45865</v>
      </c>
      <c r="K401" s="8">
        <v>0</v>
      </c>
      <c r="L401" s="26">
        <v>33.6</v>
      </c>
      <c r="M401" s="26" t="s">
        <v>15</v>
      </c>
      <c r="N401" s="28">
        <v>45839</v>
      </c>
      <c r="O401" s="14" t="s">
        <v>1346</v>
      </c>
    </row>
    <row r="402" spans="1:15" x14ac:dyDescent="0.25">
      <c r="A402" s="5">
        <v>10432</v>
      </c>
      <c r="B402" s="21">
        <v>8599988776654</v>
      </c>
      <c r="C402" s="22" t="s">
        <v>393</v>
      </c>
      <c r="D402" s="22" t="s">
        <v>133</v>
      </c>
      <c r="E402" s="22" t="s">
        <v>17</v>
      </c>
      <c r="F402" s="6">
        <v>16.8</v>
      </c>
      <c r="G402" s="6">
        <v>1</v>
      </c>
      <c r="H402" s="22" t="s">
        <v>23</v>
      </c>
      <c r="I402" s="22" t="s">
        <v>480</v>
      </c>
      <c r="J402" s="23">
        <v>45866</v>
      </c>
      <c r="K402" s="6">
        <v>0</v>
      </c>
      <c r="L402" s="22">
        <v>16.8</v>
      </c>
      <c r="M402" s="22">
        <v>5</v>
      </c>
      <c r="N402" s="24">
        <v>45839</v>
      </c>
      <c r="O402" s="13" t="s">
        <v>1346</v>
      </c>
    </row>
    <row r="403" spans="1:15" x14ac:dyDescent="0.25">
      <c r="A403" s="7">
        <v>10433</v>
      </c>
      <c r="B403" s="25">
        <v>4028899001126</v>
      </c>
      <c r="C403" s="26" t="s">
        <v>16</v>
      </c>
      <c r="D403" s="26" t="s">
        <v>12</v>
      </c>
      <c r="E403" s="26" t="s">
        <v>17</v>
      </c>
      <c r="F403" s="8">
        <v>2.8</v>
      </c>
      <c r="G403" s="8">
        <v>3</v>
      </c>
      <c r="H403" s="26" t="s">
        <v>14</v>
      </c>
      <c r="I403" s="26" t="s">
        <v>15</v>
      </c>
      <c r="J403" s="27">
        <v>45866</v>
      </c>
      <c r="K403" s="8">
        <v>0</v>
      </c>
      <c r="L403" s="26">
        <v>8.3999999999999986</v>
      </c>
      <c r="M403" s="26" t="s">
        <v>15</v>
      </c>
      <c r="N403" s="28">
        <v>45839</v>
      </c>
      <c r="O403" s="14" t="s">
        <v>1346</v>
      </c>
    </row>
    <row r="404" spans="1:15" x14ac:dyDescent="0.25">
      <c r="A404" s="5">
        <v>10434</v>
      </c>
      <c r="B404" s="21">
        <v>8599988776654</v>
      </c>
      <c r="C404" s="22" t="s">
        <v>393</v>
      </c>
      <c r="D404" s="22" t="s">
        <v>133</v>
      </c>
      <c r="E404" s="22" t="s">
        <v>17</v>
      </c>
      <c r="F404" s="6">
        <v>16.8</v>
      </c>
      <c r="G404" s="6">
        <v>2</v>
      </c>
      <c r="H404" s="22" t="s">
        <v>14</v>
      </c>
      <c r="I404" s="22" t="s">
        <v>15</v>
      </c>
      <c r="J404" s="23">
        <v>45866</v>
      </c>
      <c r="K404" s="6">
        <v>0</v>
      </c>
      <c r="L404" s="22">
        <v>33.6</v>
      </c>
      <c r="M404" s="22" t="s">
        <v>15</v>
      </c>
      <c r="N404" s="24">
        <v>45839</v>
      </c>
      <c r="O404" s="13" t="s">
        <v>1346</v>
      </c>
    </row>
    <row r="405" spans="1:15" x14ac:dyDescent="0.25">
      <c r="A405" s="7">
        <v>10435</v>
      </c>
      <c r="B405" s="25">
        <v>4013456789017</v>
      </c>
      <c r="C405" s="26" t="s">
        <v>11</v>
      </c>
      <c r="D405" s="26" t="s">
        <v>12</v>
      </c>
      <c r="E405" s="26" t="s">
        <v>13</v>
      </c>
      <c r="F405" s="8">
        <v>6</v>
      </c>
      <c r="G405" s="8">
        <v>1</v>
      </c>
      <c r="H405" s="26" t="s">
        <v>18</v>
      </c>
      <c r="I405" s="26" t="s">
        <v>481</v>
      </c>
      <c r="J405" s="27">
        <v>45866</v>
      </c>
      <c r="K405" s="8">
        <v>0</v>
      </c>
      <c r="L405" s="26">
        <v>6</v>
      </c>
      <c r="M405" s="26">
        <v>4</v>
      </c>
      <c r="N405" s="28">
        <v>45839</v>
      </c>
      <c r="O405" s="14" t="s">
        <v>1346</v>
      </c>
    </row>
    <row r="406" spans="1:15" x14ac:dyDescent="0.25">
      <c r="A406" s="5">
        <v>10436</v>
      </c>
      <c r="B406" s="21">
        <v>8599988776654</v>
      </c>
      <c r="C406" s="22" t="s">
        <v>393</v>
      </c>
      <c r="D406" s="22" t="s">
        <v>133</v>
      </c>
      <c r="E406" s="22" t="s">
        <v>17</v>
      </c>
      <c r="F406" s="6">
        <v>16.8</v>
      </c>
      <c r="G406" s="6">
        <v>1</v>
      </c>
      <c r="H406" s="22" t="s">
        <v>14</v>
      </c>
      <c r="I406" s="22" t="s">
        <v>15</v>
      </c>
      <c r="J406" s="23">
        <v>45866</v>
      </c>
      <c r="K406" s="6">
        <v>0</v>
      </c>
      <c r="L406" s="22">
        <v>16.8</v>
      </c>
      <c r="M406" s="22" t="s">
        <v>15</v>
      </c>
      <c r="N406" s="24">
        <v>45839</v>
      </c>
      <c r="O406" s="13" t="s">
        <v>1346</v>
      </c>
    </row>
    <row r="407" spans="1:15" x14ac:dyDescent="0.25">
      <c r="A407" s="7">
        <v>10437</v>
      </c>
      <c r="B407" s="25">
        <v>4010123456783</v>
      </c>
      <c r="C407" s="26" t="s">
        <v>35</v>
      </c>
      <c r="D407" s="26" t="s">
        <v>36</v>
      </c>
      <c r="E407" s="26" t="s">
        <v>37</v>
      </c>
      <c r="F407" s="8">
        <v>14</v>
      </c>
      <c r="G407" s="8">
        <v>1</v>
      </c>
      <c r="H407" s="26" t="s">
        <v>14</v>
      </c>
      <c r="I407" s="26" t="s">
        <v>15</v>
      </c>
      <c r="J407" s="27">
        <v>45866</v>
      </c>
      <c r="K407" s="8">
        <v>0</v>
      </c>
      <c r="L407" s="26">
        <v>14</v>
      </c>
      <c r="M407" s="26" t="s">
        <v>15</v>
      </c>
      <c r="N407" s="28">
        <v>45839</v>
      </c>
      <c r="O407" s="14" t="s">
        <v>1345</v>
      </c>
    </row>
    <row r="408" spans="1:15" x14ac:dyDescent="0.25">
      <c r="A408" s="5">
        <v>10438</v>
      </c>
      <c r="B408" s="21">
        <v>8599988776654</v>
      </c>
      <c r="C408" s="22" t="s">
        <v>393</v>
      </c>
      <c r="D408" s="22" t="s">
        <v>133</v>
      </c>
      <c r="E408" s="22" t="s">
        <v>17</v>
      </c>
      <c r="F408" s="6">
        <v>16.8</v>
      </c>
      <c r="G408" s="6">
        <v>1</v>
      </c>
      <c r="H408" s="22" t="s">
        <v>18</v>
      </c>
      <c r="I408" s="22" t="s">
        <v>482</v>
      </c>
      <c r="J408" s="23">
        <v>45866</v>
      </c>
      <c r="K408" s="6">
        <v>0</v>
      </c>
      <c r="L408" s="22">
        <v>16.8</v>
      </c>
      <c r="M408" s="22">
        <v>4</v>
      </c>
      <c r="N408" s="24">
        <v>45839</v>
      </c>
      <c r="O408" s="13" t="s">
        <v>1346</v>
      </c>
    </row>
    <row r="409" spans="1:15" x14ac:dyDescent="0.25">
      <c r="A409" s="7">
        <v>10439</v>
      </c>
      <c r="B409" s="25">
        <v>4063456789014</v>
      </c>
      <c r="C409" s="26" t="s">
        <v>60</v>
      </c>
      <c r="D409" s="26" t="s">
        <v>12</v>
      </c>
      <c r="E409" s="26" t="s">
        <v>61</v>
      </c>
      <c r="F409" s="8">
        <v>36</v>
      </c>
      <c r="G409" s="8">
        <v>1</v>
      </c>
      <c r="H409" s="26" t="s">
        <v>14</v>
      </c>
      <c r="I409" s="26" t="s">
        <v>15</v>
      </c>
      <c r="J409" s="27">
        <v>45866</v>
      </c>
      <c r="K409" s="8">
        <v>0</v>
      </c>
      <c r="L409" s="26">
        <v>36</v>
      </c>
      <c r="M409" s="26" t="s">
        <v>15</v>
      </c>
      <c r="N409" s="28">
        <v>45839</v>
      </c>
      <c r="O409" s="14" t="s">
        <v>1346</v>
      </c>
    </row>
    <row r="410" spans="1:15" x14ac:dyDescent="0.25">
      <c r="A410" s="5">
        <v>10440</v>
      </c>
      <c r="B410" s="21">
        <v>8599988776654</v>
      </c>
      <c r="C410" s="22" t="s">
        <v>393</v>
      </c>
      <c r="D410" s="22" t="s">
        <v>133</v>
      </c>
      <c r="E410" s="22" t="s">
        <v>17</v>
      </c>
      <c r="F410" s="6">
        <v>16.8</v>
      </c>
      <c r="G410" s="6">
        <v>1</v>
      </c>
      <c r="H410" s="22" t="s">
        <v>14</v>
      </c>
      <c r="I410" s="22" t="s">
        <v>15</v>
      </c>
      <c r="J410" s="23">
        <v>45866</v>
      </c>
      <c r="K410" s="6">
        <v>0</v>
      </c>
      <c r="L410" s="22">
        <v>16.8</v>
      </c>
      <c r="M410" s="22" t="s">
        <v>15</v>
      </c>
      <c r="N410" s="24">
        <v>45839</v>
      </c>
      <c r="O410" s="13" t="s">
        <v>1346</v>
      </c>
    </row>
    <row r="411" spans="1:15" x14ac:dyDescent="0.25">
      <c r="A411" s="7">
        <v>10441</v>
      </c>
      <c r="B411" s="25">
        <v>4021234567894</v>
      </c>
      <c r="C411" s="26" t="s">
        <v>79</v>
      </c>
      <c r="D411" s="26" t="s">
        <v>36</v>
      </c>
      <c r="E411" s="26" t="s">
        <v>69</v>
      </c>
      <c r="F411" s="8">
        <v>8</v>
      </c>
      <c r="G411" s="8">
        <v>1</v>
      </c>
      <c r="H411" s="26" t="s">
        <v>14</v>
      </c>
      <c r="I411" s="26" t="s">
        <v>15</v>
      </c>
      <c r="J411" s="27">
        <v>45866</v>
      </c>
      <c r="K411" s="8">
        <v>0</v>
      </c>
      <c r="L411" s="26">
        <v>8</v>
      </c>
      <c r="M411" s="26" t="s">
        <v>15</v>
      </c>
      <c r="N411" s="28">
        <v>45839</v>
      </c>
      <c r="O411" s="14" t="s">
        <v>1345</v>
      </c>
    </row>
    <row r="412" spans="1:15" x14ac:dyDescent="0.25">
      <c r="A412" s="5">
        <v>10442</v>
      </c>
      <c r="B412" s="21">
        <v>8599988776654</v>
      </c>
      <c r="C412" s="22" t="s">
        <v>393</v>
      </c>
      <c r="D412" s="22" t="s">
        <v>133</v>
      </c>
      <c r="E412" s="22" t="s">
        <v>17</v>
      </c>
      <c r="F412" s="6">
        <v>16.8</v>
      </c>
      <c r="G412" s="6">
        <v>1</v>
      </c>
      <c r="H412" s="22" t="s">
        <v>23</v>
      </c>
      <c r="I412" s="22" t="s">
        <v>483</v>
      </c>
      <c r="J412" s="23">
        <v>45866</v>
      </c>
      <c r="K412" s="6">
        <v>0</v>
      </c>
      <c r="L412" s="22">
        <v>16.8</v>
      </c>
      <c r="M412" s="22">
        <v>5</v>
      </c>
      <c r="N412" s="24">
        <v>45839</v>
      </c>
      <c r="O412" s="13" t="s">
        <v>1346</v>
      </c>
    </row>
    <row r="413" spans="1:15" x14ac:dyDescent="0.25">
      <c r="A413" s="7">
        <v>10443</v>
      </c>
      <c r="B413" s="25">
        <v>4056789012345</v>
      </c>
      <c r="C413" s="26" t="s">
        <v>47</v>
      </c>
      <c r="D413" s="26" t="s">
        <v>29</v>
      </c>
      <c r="E413" s="26" t="s">
        <v>37</v>
      </c>
      <c r="F413" s="8">
        <v>2.4</v>
      </c>
      <c r="G413" s="8">
        <v>2</v>
      </c>
      <c r="H413" s="26" t="s">
        <v>14</v>
      </c>
      <c r="I413" s="26" t="s">
        <v>15</v>
      </c>
      <c r="J413" s="27">
        <v>45866</v>
      </c>
      <c r="K413" s="8">
        <v>0</v>
      </c>
      <c r="L413" s="26">
        <v>4.8</v>
      </c>
      <c r="M413" s="26" t="s">
        <v>15</v>
      </c>
      <c r="N413" s="28">
        <v>45839</v>
      </c>
      <c r="O413" s="14" t="s">
        <v>1345</v>
      </c>
    </row>
    <row r="414" spans="1:15" x14ac:dyDescent="0.25">
      <c r="A414" s="5">
        <v>10444</v>
      </c>
      <c r="B414" s="21">
        <v>8599988776654</v>
      </c>
      <c r="C414" s="22" t="s">
        <v>393</v>
      </c>
      <c r="D414" s="22" t="s">
        <v>133</v>
      </c>
      <c r="E414" s="22" t="s">
        <v>17</v>
      </c>
      <c r="F414" s="6">
        <v>16.8</v>
      </c>
      <c r="G414" s="6">
        <v>2</v>
      </c>
      <c r="H414" s="22" t="s">
        <v>14</v>
      </c>
      <c r="I414" s="22" t="s">
        <v>15</v>
      </c>
      <c r="J414" s="23">
        <v>45866</v>
      </c>
      <c r="K414" s="6">
        <v>0</v>
      </c>
      <c r="L414" s="22">
        <v>33.6</v>
      </c>
      <c r="M414" s="22" t="s">
        <v>15</v>
      </c>
      <c r="N414" s="24">
        <v>45839</v>
      </c>
      <c r="O414" s="13" t="s">
        <v>1346</v>
      </c>
    </row>
    <row r="415" spans="1:15" x14ac:dyDescent="0.25">
      <c r="A415" s="7">
        <v>10445</v>
      </c>
      <c r="B415" s="25">
        <v>4017890123450</v>
      </c>
      <c r="C415" s="26" t="s">
        <v>65</v>
      </c>
      <c r="D415" s="26" t="s">
        <v>39</v>
      </c>
      <c r="E415" s="26" t="s">
        <v>22</v>
      </c>
      <c r="F415" s="8">
        <v>7.6</v>
      </c>
      <c r="G415" s="8">
        <v>1</v>
      </c>
      <c r="H415" s="26" t="s">
        <v>18</v>
      </c>
      <c r="I415" s="26" t="s">
        <v>484</v>
      </c>
      <c r="J415" s="27">
        <v>45866</v>
      </c>
      <c r="K415" s="8">
        <v>0</v>
      </c>
      <c r="L415" s="26">
        <v>7.6</v>
      </c>
      <c r="M415" s="26">
        <v>4</v>
      </c>
      <c r="N415" s="28">
        <v>45839</v>
      </c>
      <c r="O415" s="14" t="s">
        <v>1346</v>
      </c>
    </row>
    <row r="416" spans="1:15" x14ac:dyDescent="0.25">
      <c r="A416" s="5">
        <v>10446</v>
      </c>
      <c r="B416" s="21">
        <v>8599988776654</v>
      </c>
      <c r="C416" s="22" t="s">
        <v>393</v>
      </c>
      <c r="D416" s="22" t="s">
        <v>133</v>
      </c>
      <c r="E416" s="22" t="s">
        <v>17</v>
      </c>
      <c r="F416" s="6">
        <v>16.8</v>
      </c>
      <c r="G416" s="6">
        <v>1</v>
      </c>
      <c r="H416" s="22" t="s">
        <v>14</v>
      </c>
      <c r="I416" s="22" t="s">
        <v>15</v>
      </c>
      <c r="J416" s="23">
        <v>45866</v>
      </c>
      <c r="K416" s="6">
        <v>0</v>
      </c>
      <c r="L416" s="22">
        <v>16.8</v>
      </c>
      <c r="M416" s="22" t="s">
        <v>15</v>
      </c>
      <c r="N416" s="24">
        <v>45839</v>
      </c>
      <c r="O416" s="13" t="s">
        <v>1346</v>
      </c>
    </row>
    <row r="417" spans="1:15" x14ac:dyDescent="0.25">
      <c r="A417" s="7">
        <v>10446</v>
      </c>
      <c r="B417" s="25">
        <v>4028899001126</v>
      </c>
      <c r="C417" s="26" t="s">
        <v>16</v>
      </c>
      <c r="D417" s="26" t="s">
        <v>12</v>
      </c>
      <c r="E417" s="26" t="s">
        <v>17</v>
      </c>
      <c r="F417" s="8">
        <v>2.8</v>
      </c>
      <c r="G417" s="8">
        <v>2</v>
      </c>
      <c r="H417" s="26" t="s">
        <v>14</v>
      </c>
      <c r="I417" s="26" t="s">
        <v>15</v>
      </c>
      <c r="J417" s="27">
        <v>45866</v>
      </c>
      <c r="K417" s="8">
        <v>0</v>
      </c>
      <c r="L417" s="26">
        <v>5.6</v>
      </c>
      <c r="M417" s="26" t="s">
        <v>15</v>
      </c>
      <c r="N417" s="28">
        <v>45839</v>
      </c>
      <c r="O417" s="14" t="s">
        <v>1346</v>
      </c>
    </row>
    <row r="418" spans="1:15" x14ac:dyDescent="0.25">
      <c r="A418" s="5">
        <v>10447</v>
      </c>
      <c r="B418" s="21">
        <v>4061011223346</v>
      </c>
      <c r="C418" s="22" t="s">
        <v>25</v>
      </c>
      <c r="D418" s="22" t="s">
        <v>26</v>
      </c>
      <c r="E418" s="22" t="s">
        <v>27</v>
      </c>
      <c r="F418" s="6">
        <v>19.600000000000001</v>
      </c>
      <c r="G418" s="6">
        <v>1</v>
      </c>
      <c r="H418" s="22" t="s">
        <v>14</v>
      </c>
      <c r="I418" s="22" t="s">
        <v>15</v>
      </c>
      <c r="J418" s="23">
        <v>45866</v>
      </c>
      <c r="K418" s="6">
        <v>0</v>
      </c>
      <c r="L418" s="22">
        <v>19.600000000000001</v>
      </c>
      <c r="M418" s="22" t="s">
        <v>15</v>
      </c>
      <c r="N418" s="24">
        <v>45839</v>
      </c>
      <c r="O418" s="13" t="s">
        <v>1346</v>
      </c>
    </row>
    <row r="419" spans="1:15" x14ac:dyDescent="0.25">
      <c r="A419" s="7">
        <v>10448</v>
      </c>
      <c r="B419" s="25">
        <v>8599988776654</v>
      </c>
      <c r="C419" s="26" t="s">
        <v>393</v>
      </c>
      <c r="D419" s="26" t="s">
        <v>133</v>
      </c>
      <c r="E419" s="26" t="s">
        <v>17</v>
      </c>
      <c r="F419" s="8">
        <v>16.8</v>
      </c>
      <c r="G419" s="8">
        <v>1</v>
      </c>
      <c r="H419" s="26" t="s">
        <v>14</v>
      </c>
      <c r="I419" s="26" t="s">
        <v>15</v>
      </c>
      <c r="J419" s="27">
        <v>45866</v>
      </c>
      <c r="K419" s="8">
        <v>0</v>
      </c>
      <c r="L419" s="26">
        <v>16.8</v>
      </c>
      <c r="M419" s="26" t="s">
        <v>15</v>
      </c>
      <c r="N419" s="28">
        <v>45839</v>
      </c>
      <c r="O419" s="14" t="s">
        <v>1346</v>
      </c>
    </row>
    <row r="420" spans="1:15" x14ac:dyDescent="0.25">
      <c r="A420" s="5">
        <v>10449</v>
      </c>
      <c r="B420" s="21">
        <v>4043344556676</v>
      </c>
      <c r="C420" s="22" t="s">
        <v>316</v>
      </c>
      <c r="D420" s="22" t="s">
        <v>317</v>
      </c>
      <c r="E420" s="22" t="s">
        <v>58</v>
      </c>
      <c r="F420" s="6">
        <v>10</v>
      </c>
      <c r="G420" s="6">
        <v>1</v>
      </c>
      <c r="H420" s="22" t="s">
        <v>18</v>
      </c>
      <c r="I420" s="22" t="s">
        <v>485</v>
      </c>
      <c r="J420" s="23">
        <v>45866</v>
      </c>
      <c r="K420" s="6">
        <v>0</v>
      </c>
      <c r="L420" s="22">
        <v>10</v>
      </c>
      <c r="M420" s="22">
        <v>4</v>
      </c>
      <c r="N420" s="24">
        <v>45839</v>
      </c>
      <c r="O420" s="13" t="s">
        <v>1345</v>
      </c>
    </row>
    <row r="421" spans="1:15" x14ac:dyDescent="0.25">
      <c r="A421" s="7">
        <v>10450</v>
      </c>
      <c r="B421" s="25">
        <v>8599988776654</v>
      </c>
      <c r="C421" s="26" t="s">
        <v>393</v>
      </c>
      <c r="D421" s="26" t="s">
        <v>133</v>
      </c>
      <c r="E421" s="26" t="s">
        <v>17</v>
      </c>
      <c r="F421" s="8">
        <v>16.8</v>
      </c>
      <c r="G421" s="8">
        <v>1</v>
      </c>
      <c r="H421" s="26" t="s">
        <v>14</v>
      </c>
      <c r="I421" s="26" t="s">
        <v>15</v>
      </c>
      <c r="J421" s="27">
        <v>45866</v>
      </c>
      <c r="K421" s="8">
        <v>0</v>
      </c>
      <c r="L421" s="26">
        <v>16.8</v>
      </c>
      <c r="M421" s="26" t="s">
        <v>15</v>
      </c>
      <c r="N421" s="28">
        <v>45839</v>
      </c>
      <c r="O421" s="14" t="s">
        <v>1346</v>
      </c>
    </row>
    <row r="422" spans="1:15" x14ac:dyDescent="0.25">
      <c r="A422" s="5">
        <v>10451</v>
      </c>
      <c r="B422" s="21">
        <v>4027788990013</v>
      </c>
      <c r="C422" s="22" t="s">
        <v>43</v>
      </c>
      <c r="D422" s="22" t="s">
        <v>21</v>
      </c>
      <c r="E422" s="22" t="s">
        <v>22</v>
      </c>
      <c r="F422" s="6">
        <v>8</v>
      </c>
      <c r="G422" s="6">
        <v>1</v>
      </c>
      <c r="H422" s="22" t="s">
        <v>14</v>
      </c>
      <c r="I422" s="22" t="s">
        <v>15</v>
      </c>
      <c r="J422" s="23">
        <v>45866</v>
      </c>
      <c r="K422" s="6">
        <v>0</v>
      </c>
      <c r="L422" s="22">
        <v>8</v>
      </c>
      <c r="M422" s="22" t="s">
        <v>15</v>
      </c>
      <c r="N422" s="24">
        <v>45839</v>
      </c>
      <c r="O422" s="13" t="s">
        <v>1346</v>
      </c>
    </row>
    <row r="423" spans="1:15" x14ac:dyDescent="0.25">
      <c r="A423" s="7">
        <v>10452</v>
      </c>
      <c r="B423" s="25">
        <v>8599988776654</v>
      </c>
      <c r="C423" s="26" t="s">
        <v>393</v>
      </c>
      <c r="D423" s="26" t="s">
        <v>133</v>
      </c>
      <c r="E423" s="26" t="s">
        <v>17</v>
      </c>
      <c r="F423" s="8">
        <v>16.8</v>
      </c>
      <c r="G423" s="8">
        <v>1</v>
      </c>
      <c r="H423" s="26" t="s">
        <v>33</v>
      </c>
      <c r="I423" s="26" t="s">
        <v>486</v>
      </c>
      <c r="J423" s="27">
        <v>45866</v>
      </c>
      <c r="K423" s="8">
        <v>0</v>
      </c>
      <c r="L423" s="26">
        <v>16.8</v>
      </c>
      <c r="M423" s="26">
        <v>3</v>
      </c>
      <c r="N423" s="28">
        <v>45839</v>
      </c>
      <c r="O423" s="14" t="s">
        <v>1346</v>
      </c>
    </row>
    <row r="424" spans="1:15" x14ac:dyDescent="0.25">
      <c r="A424" s="5">
        <v>10453</v>
      </c>
      <c r="B424" s="21">
        <v>4010123456783</v>
      </c>
      <c r="C424" s="22" t="s">
        <v>35</v>
      </c>
      <c r="D424" s="22" t="s">
        <v>36</v>
      </c>
      <c r="E424" s="22" t="s">
        <v>37</v>
      </c>
      <c r="F424" s="6">
        <v>14</v>
      </c>
      <c r="G424" s="6">
        <v>1</v>
      </c>
      <c r="H424" s="22" t="s">
        <v>14</v>
      </c>
      <c r="I424" s="22" t="s">
        <v>15</v>
      </c>
      <c r="J424" s="23">
        <v>45866</v>
      </c>
      <c r="K424" s="6">
        <v>0</v>
      </c>
      <c r="L424" s="22">
        <v>14</v>
      </c>
      <c r="M424" s="22" t="s">
        <v>15</v>
      </c>
      <c r="N424" s="24">
        <v>45839</v>
      </c>
      <c r="O424" s="13" t="s">
        <v>1345</v>
      </c>
    </row>
    <row r="425" spans="1:15" x14ac:dyDescent="0.25">
      <c r="A425" s="7">
        <v>10454</v>
      </c>
      <c r="B425" s="25">
        <v>8599988776654</v>
      </c>
      <c r="C425" s="26" t="s">
        <v>393</v>
      </c>
      <c r="D425" s="26" t="s">
        <v>133</v>
      </c>
      <c r="E425" s="26" t="s">
        <v>17</v>
      </c>
      <c r="F425" s="8">
        <v>16.8</v>
      </c>
      <c r="G425" s="8">
        <v>2</v>
      </c>
      <c r="H425" s="26" t="s">
        <v>14</v>
      </c>
      <c r="I425" s="26" t="s">
        <v>15</v>
      </c>
      <c r="J425" s="27">
        <v>45866</v>
      </c>
      <c r="K425" s="8">
        <v>0</v>
      </c>
      <c r="L425" s="26">
        <v>33.6</v>
      </c>
      <c r="M425" s="26" t="s">
        <v>15</v>
      </c>
      <c r="N425" s="28">
        <v>45839</v>
      </c>
      <c r="O425" s="14" t="s">
        <v>1346</v>
      </c>
    </row>
    <row r="426" spans="1:15" x14ac:dyDescent="0.25">
      <c r="A426" s="5">
        <v>10455</v>
      </c>
      <c r="B426" s="21">
        <v>4028899001126</v>
      </c>
      <c r="C426" s="22" t="s">
        <v>16</v>
      </c>
      <c r="D426" s="22" t="s">
        <v>12</v>
      </c>
      <c r="E426" s="22" t="s">
        <v>17</v>
      </c>
      <c r="F426" s="6">
        <v>2.8</v>
      </c>
      <c r="G426" s="6">
        <v>3</v>
      </c>
      <c r="H426" s="22" t="s">
        <v>14</v>
      </c>
      <c r="I426" s="22" t="s">
        <v>15</v>
      </c>
      <c r="J426" s="23">
        <v>45866</v>
      </c>
      <c r="K426" s="6">
        <v>0</v>
      </c>
      <c r="L426" s="22">
        <v>8.3999999999999986</v>
      </c>
      <c r="M426" s="22" t="s">
        <v>15</v>
      </c>
      <c r="N426" s="24">
        <v>45839</v>
      </c>
      <c r="O426" s="13" t="s">
        <v>1346</v>
      </c>
    </row>
    <row r="427" spans="1:15" x14ac:dyDescent="0.25">
      <c r="A427" s="7">
        <v>10456</v>
      </c>
      <c r="B427" s="25">
        <v>8599988776654</v>
      </c>
      <c r="C427" s="26" t="s">
        <v>393</v>
      </c>
      <c r="D427" s="26" t="s">
        <v>133</v>
      </c>
      <c r="E427" s="26" t="s">
        <v>17</v>
      </c>
      <c r="F427" s="8">
        <v>16.8</v>
      </c>
      <c r="G427" s="8">
        <v>1</v>
      </c>
      <c r="H427" s="26" t="s">
        <v>14</v>
      </c>
      <c r="I427" s="26" t="s">
        <v>15</v>
      </c>
      <c r="J427" s="27">
        <v>45867</v>
      </c>
      <c r="K427" s="8">
        <v>0</v>
      </c>
      <c r="L427" s="26">
        <v>16.8</v>
      </c>
      <c r="M427" s="26" t="s">
        <v>15</v>
      </c>
      <c r="N427" s="28">
        <v>45839</v>
      </c>
      <c r="O427" s="14" t="s">
        <v>1346</v>
      </c>
    </row>
    <row r="428" spans="1:15" x14ac:dyDescent="0.25">
      <c r="A428" s="5">
        <v>10457</v>
      </c>
      <c r="B428" s="21">
        <v>4063456789014</v>
      </c>
      <c r="C428" s="22" t="s">
        <v>60</v>
      </c>
      <c r="D428" s="22" t="s">
        <v>12</v>
      </c>
      <c r="E428" s="22" t="s">
        <v>61</v>
      </c>
      <c r="F428" s="6">
        <v>36</v>
      </c>
      <c r="G428" s="6">
        <v>1</v>
      </c>
      <c r="H428" s="22" t="s">
        <v>23</v>
      </c>
      <c r="I428" s="22" t="s">
        <v>487</v>
      </c>
      <c r="J428" s="23">
        <v>45867</v>
      </c>
      <c r="K428" s="6">
        <v>0</v>
      </c>
      <c r="L428" s="22">
        <v>36</v>
      </c>
      <c r="M428" s="22">
        <v>5</v>
      </c>
      <c r="N428" s="24">
        <v>45839</v>
      </c>
      <c r="O428" s="13" t="s">
        <v>1346</v>
      </c>
    </row>
    <row r="429" spans="1:15" x14ac:dyDescent="0.25">
      <c r="A429" s="7">
        <v>10458</v>
      </c>
      <c r="B429" s="25">
        <v>8599988776654</v>
      </c>
      <c r="C429" s="26" t="s">
        <v>393</v>
      </c>
      <c r="D429" s="26" t="s">
        <v>133</v>
      </c>
      <c r="E429" s="26" t="s">
        <v>17</v>
      </c>
      <c r="F429" s="8">
        <v>16.8</v>
      </c>
      <c r="G429" s="8">
        <v>1</v>
      </c>
      <c r="H429" s="26" t="s">
        <v>14</v>
      </c>
      <c r="I429" s="26" t="s">
        <v>15</v>
      </c>
      <c r="J429" s="27">
        <v>45867</v>
      </c>
      <c r="K429" s="8">
        <v>0</v>
      </c>
      <c r="L429" s="26">
        <v>16.8</v>
      </c>
      <c r="M429" s="26" t="s">
        <v>15</v>
      </c>
      <c r="N429" s="28">
        <v>45839</v>
      </c>
      <c r="O429" s="14" t="s">
        <v>1346</v>
      </c>
    </row>
    <row r="430" spans="1:15" x14ac:dyDescent="0.25">
      <c r="A430" s="5">
        <v>10459</v>
      </c>
      <c r="B430" s="21">
        <v>4013456789017</v>
      </c>
      <c r="C430" s="22" t="s">
        <v>11</v>
      </c>
      <c r="D430" s="22" t="s">
        <v>12</v>
      </c>
      <c r="E430" s="22" t="s">
        <v>13</v>
      </c>
      <c r="F430" s="6">
        <v>6</v>
      </c>
      <c r="G430" s="6">
        <v>1</v>
      </c>
      <c r="H430" s="22" t="s">
        <v>14</v>
      </c>
      <c r="I430" s="22" t="s">
        <v>15</v>
      </c>
      <c r="J430" s="23">
        <v>45867</v>
      </c>
      <c r="K430" s="6">
        <v>0</v>
      </c>
      <c r="L430" s="22">
        <v>6</v>
      </c>
      <c r="M430" s="22" t="s">
        <v>15</v>
      </c>
      <c r="N430" s="24">
        <v>45839</v>
      </c>
      <c r="O430" s="13" t="s">
        <v>1346</v>
      </c>
    </row>
    <row r="431" spans="1:15" x14ac:dyDescent="0.25">
      <c r="A431" s="7">
        <v>10460</v>
      </c>
      <c r="B431" s="25">
        <v>8599988776654</v>
      </c>
      <c r="C431" s="26" t="s">
        <v>393</v>
      </c>
      <c r="D431" s="26" t="s">
        <v>133</v>
      </c>
      <c r="E431" s="26" t="s">
        <v>17</v>
      </c>
      <c r="F431" s="8">
        <v>16.8</v>
      </c>
      <c r="G431" s="8">
        <v>2</v>
      </c>
      <c r="H431" s="26" t="s">
        <v>14</v>
      </c>
      <c r="I431" s="26" t="s">
        <v>15</v>
      </c>
      <c r="J431" s="27">
        <v>45867</v>
      </c>
      <c r="K431" s="8">
        <v>0</v>
      </c>
      <c r="L431" s="26">
        <v>33.6</v>
      </c>
      <c r="M431" s="26" t="s">
        <v>15</v>
      </c>
      <c r="N431" s="28">
        <v>45839</v>
      </c>
      <c r="O431" s="14" t="s">
        <v>1346</v>
      </c>
    </row>
    <row r="432" spans="1:15" x14ac:dyDescent="0.25">
      <c r="A432" s="5">
        <v>10461</v>
      </c>
      <c r="B432" s="21">
        <v>4021234567894</v>
      </c>
      <c r="C432" s="22" t="s">
        <v>79</v>
      </c>
      <c r="D432" s="22" t="s">
        <v>36</v>
      </c>
      <c r="E432" s="22" t="s">
        <v>69</v>
      </c>
      <c r="F432" s="6">
        <v>8</v>
      </c>
      <c r="G432" s="6">
        <v>1</v>
      </c>
      <c r="H432" s="22" t="s">
        <v>14</v>
      </c>
      <c r="I432" s="22" t="s">
        <v>15</v>
      </c>
      <c r="J432" s="23">
        <v>45867</v>
      </c>
      <c r="K432" s="6">
        <v>0</v>
      </c>
      <c r="L432" s="22">
        <v>8</v>
      </c>
      <c r="M432" s="22" t="s">
        <v>15</v>
      </c>
      <c r="N432" s="24">
        <v>45839</v>
      </c>
      <c r="O432" s="13" t="s">
        <v>1345</v>
      </c>
    </row>
    <row r="433" spans="1:15" x14ac:dyDescent="0.25">
      <c r="A433" s="7">
        <v>10462</v>
      </c>
      <c r="B433" s="25">
        <v>8599988776654</v>
      </c>
      <c r="C433" s="26" t="s">
        <v>393</v>
      </c>
      <c r="D433" s="26" t="s">
        <v>133</v>
      </c>
      <c r="E433" s="26" t="s">
        <v>17</v>
      </c>
      <c r="F433" s="8">
        <v>16.8</v>
      </c>
      <c r="G433" s="8">
        <v>1</v>
      </c>
      <c r="H433" s="26" t="s">
        <v>23</v>
      </c>
      <c r="I433" s="26" t="s">
        <v>488</v>
      </c>
      <c r="J433" s="27">
        <v>45867</v>
      </c>
      <c r="K433" s="8">
        <v>0</v>
      </c>
      <c r="L433" s="26">
        <v>16.8</v>
      </c>
      <c r="M433" s="26">
        <v>5</v>
      </c>
      <c r="N433" s="28">
        <v>45839</v>
      </c>
      <c r="O433" s="14" t="s">
        <v>1346</v>
      </c>
    </row>
    <row r="434" spans="1:15" x14ac:dyDescent="0.25">
      <c r="A434" s="5">
        <v>10463</v>
      </c>
      <c r="B434" s="21">
        <v>4056789012345</v>
      </c>
      <c r="C434" s="22" t="s">
        <v>47</v>
      </c>
      <c r="D434" s="22" t="s">
        <v>29</v>
      </c>
      <c r="E434" s="22" t="s">
        <v>37</v>
      </c>
      <c r="F434" s="6">
        <v>2.4</v>
      </c>
      <c r="G434" s="6">
        <v>2</v>
      </c>
      <c r="H434" s="22" t="s">
        <v>14</v>
      </c>
      <c r="I434" s="22" t="s">
        <v>15</v>
      </c>
      <c r="J434" s="23">
        <v>45867</v>
      </c>
      <c r="K434" s="6">
        <v>0</v>
      </c>
      <c r="L434" s="22">
        <v>4.8</v>
      </c>
      <c r="M434" s="22" t="s">
        <v>15</v>
      </c>
      <c r="N434" s="24">
        <v>45839</v>
      </c>
      <c r="O434" s="13" t="s">
        <v>1345</v>
      </c>
    </row>
    <row r="435" spans="1:15" x14ac:dyDescent="0.25">
      <c r="A435" s="7">
        <v>10464</v>
      </c>
      <c r="B435" s="25">
        <v>8599988776654</v>
      </c>
      <c r="C435" s="26" t="s">
        <v>393</v>
      </c>
      <c r="D435" s="26" t="s">
        <v>133</v>
      </c>
      <c r="E435" s="26" t="s">
        <v>17</v>
      </c>
      <c r="F435" s="8">
        <v>16.8</v>
      </c>
      <c r="G435" s="8">
        <v>1</v>
      </c>
      <c r="H435" s="26" t="s">
        <v>14</v>
      </c>
      <c r="I435" s="26" t="s">
        <v>15</v>
      </c>
      <c r="J435" s="27">
        <v>45867</v>
      </c>
      <c r="K435" s="8">
        <v>0</v>
      </c>
      <c r="L435" s="26">
        <v>16.8</v>
      </c>
      <c r="M435" s="26" t="s">
        <v>15</v>
      </c>
      <c r="N435" s="28">
        <v>45839</v>
      </c>
      <c r="O435" s="14" t="s">
        <v>1346</v>
      </c>
    </row>
    <row r="436" spans="1:15" x14ac:dyDescent="0.25">
      <c r="A436" s="5">
        <v>10465</v>
      </c>
      <c r="B436" s="21">
        <v>4017890123450</v>
      </c>
      <c r="C436" s="22" t="s">
        <v>65</v>
      </c>
      <c r="D436" s="22" t="s">
        <v>39</v>
      </c>
      <c r="E436" s="22" t="s">
        <v>22</v>
      </c>
      <c r="F436" s="6">
        <v>7.6</v>
      </c>
      <c r="G436" s="6">
        <v>1</v>
      </c>
      <c r="H436" s="22" t="s">
        <v>14</v>
      </c>
      <c r="I436" s="22" t="s">
        <v>15</v>
      </c>
      <c r="J436" s="23">
        <v>45867</v>
      </c>
      <c r="K436" s="6">
        <v>0</v>
      </c>
      <c r="L436" s="22">
        <v>7.6</v>
      </c>
      <c r="M436" s="22" t="s">
        <v>15</v>
      </c>
      <c r="N436" s="24">
        <v>45839</v>
      </c>
      <c r="O436" s="13" t="s">
        <v>1346</v>
      </c>
    </row>
    <row r="437" spans="1:15" x14ac:dyDescent="0.25">
      <c r="A437" s="7">
        <v>10466</v>
      </c>
      <c r="B437" s="25">
        <v>8599988776654</v>
      </c>
      <c r="C437" s="26" t="s">
        <v>393</v>
      </c>
      <c r="D437" s="26" t="s">
        <v>133</v>
      </c>
      <c r="E437" s="26" t="s">
        <v>17</v>
      </c>
      <c r="F437" s="8">
        <v>16.8</v>
      </c>
      <c r="G437" s="8">
        <v>1</v>
      </c>
      <c r="H437" s="26" t="s">
        <v>18</v>
      </c>
      <c r="I437" s="26" t="s">
        <v>489</v>
      </c>
      <c r="J437" s="27">
        <v>45867</v>
      </c>
      <c r="K437" s="8">
        <v>0</v>
      </c>
      <c r="L437" s="26">
        <v>16.8</v>
      </c>
      <c r="M437" s="26">
        <v>4</v>
      </c>
      <c r="N437" s="28">
        <v>45839</v>
      </c>
      <c r="O437" s="14" t="s">
        <v>1346</v>
      </c>
    </row>
    <row r="438" spans="1:15" x14ac:dyDescent="0.25">
      <c r="A438" s="5">
        <v>10467</v>
      </c>
      <c r="B438" s="21">
        <v>4010123456783</v>
      </c>
      <c r="C438" s="22" t="s">
        <v>35</v>
      </c>
      <c r="D438" s="22" t="s">
        <v>36</v>
      </c>
      <c r="E438" s="22" t="s">
        <v>37</v>
      </c>
      <c r="F438" s="6">
        <v>14</v>
      </c>
      <c r="G438" s="6">
        <v>1</v>
      </c>
      <c r="H438" s="22" t="s">
        <v>14</v>
      </c>
      <c r="I438" s="22" t="s">
        <v>15</v>
      </c>
      <c r="J438" s="23">
        <v>45867</v>
      </c>
      <c r="K438" s="6">
        <v>0</v>
      </c>
      <c r="L438" s="22">
        <v>14</v>
      </c>
      <c r="M438" s="22" t="s">
        <v>15</v>
      </c>
      <c r="N438" s="24">
        <v>45839</v>
      </c>
      <c r="O438" s="13" t="s">
        <v>1345</v>
      </c>
    </row>
    <row r="439" spans="1:15" x14ac:dyDescent="0.25">
      <c r="A439" s="7">
        <v>10468</v>
      </c>
      <c r="B439" s="25">
        <v>8599988776654</v>
      </c>
      <c r="C439" s="26" t="s">
        <v>393</v>
      </c>
      <c r="D439" s="26" t="s">
        <v>133</v>
      </c>
      <c r="E439" s="26" t="s">
        <v>17</v>
      </c>
      <c r="F439" s="8">
        <v>16.8</v>
      </c>
      <c r="G439" s="8">
        <v>1</v>
      </c>
      <c r="H439" s="26" t="s">
        <v>14</v>
      </c>
      <c r="I439" s="26" t="s">
        <v>15</v>
      </c>
      <c r="J439" s="27">
        <v>45867</v>
      </c>
      <c r="K439" s="8">
        <v>0</v>
      </c>
      <c r="L439" s="26">
        <v>16.8</v>
      </c>
      <c r="M439" s="26" t="s">
        <v>15</v>
      </c>
      <c r="N439" s="28">
        <v>45839</v>
      </c>
      <c r="O439" s="14" t="s">
        <v>1346</v>
      </c>
    </row>
    <row r="440" spans="1:15" x14ac:dyDescent="0.25">
      <c r="A440" s="5">
        <v>10469</v>
      </c>
      <c r="B440" s="21">
        <v>4061011223346</v>
      </c>
      <c r="C440" s="22" t="s">
        <v>25</v>
      </c>
      <c r="D440" s="22" t="s">
        <v>26</v>
      </c>
      <c r="E440" s="22" t="s">
        <v>27</v>
      </c>
      <c r="F440" s="6">
        <v>19.600000000000001</v>
      </c>
      <c r="G440" s="6">
        <v>1</v>
      </c>
      <c r="H440" s="22" t="s">
        <v>14</v>
      </c>
      <c r="I440" s="22" t="s">
        <v>15</v>
      </c>
      <c r="J440" s="23">
        <v>45867</v>
      </c>
      <c r="K440" s="6">
        <v>0</v>
      </c>
      <c r="L440" s="22">
        <v>19.600000000000001</v>
      </c>
      <c r="M440" s="22" t="s">
        <v>15</v>
      </c>
      <c r="N440" s="24">
        <v>45839</v>
      </c>
      <c r="O440" s="13" t="s">
        <v>1346</v>
      </c>
    </row>
    <row r="441" spans="1:15" x14ac:dyDescent="0.25">
      <c r="A441" s="7">
        <v>10470</v>
      </c>
      <c r="B441" s="25">
        <v>8599988776654</v>
      </c>
      <c r="C441" s="26" t="s">
        <v>393</v>
      </c>
      <c r="D441" s="26" t="s">
        <v>133</v>
      </c>
      <c r="E441" s="26" t="s">
        <v>17</v>
      </c>
      <c r="F441" s="8">
        <v>16.8</v>
      </c>
      <c r="G441" s="8">
        <v>2</v>
      </c>
      <c r="H441" s="26" t="s">
        <v>14</v>
      </c>
      <c r="I441" s="26" t="s">
        <v>15</v>
      </c>
      <c r="J441" s="27">
        <v>45867</v>
      </c>
      <c r="K441" s="8">
        <v>0</v>
      </c>
      <c r="L441" s="26">
        <v>33.6</v>
      </c>
      <c r="M441" s="26" t="s">
        <v>15</v>
      </c>
      <c r="N441" s="28">
        <v>45839</v>
      </c>
      <c r="O441" s="14" t="s">
        <v>1346</v>
      </c>
    </row>
    <row r="442" spans="1:15" x14ac:dyDescent="0.25">
      <c r="A442" s="5">
        <v>10471</v>
      </c>
      <c r="B442" s="21">
        <v>4028899001126</v>
      </c>
      <c r="C442" s="22" t="s">
        <v>16</v>
      </c>
      <c r="D442" s="22" t="s">
        <v>12</v>
      </c>
      <c r="E442" s="22" t="s">
        <v>17</v>
      </c>
      <c r="F442" s="6">
        <v>2.8</v>
      </c>
      <c r="G442" s="6">
        <v>3</v>
      </c>
      <c r="H442" s="22" t="s">
        <v>18</v>
      </c>
      <c r="I442" s="22" t="s">
        <v>490</v>
      </c>
      <c r="J442" s="23">
        <v>45867</v>
      </c>
      <c r="K442" s="6">
        <v>0</v>
      </c>
      <c r="L442" s="22">
        <v>8.3999999999999986</v>
      </c>
      <c r="M442" s="22">
        <v>4</v>
      </c>
      <c r="N442" s="24">
        <v>45839</v>
      </c>
      <c r="O442" s="13" t="s">
        <v>1346</v>
      </c>
    </row>
    <row r="443" spans="1:15" x14ac:dyDescent="0.25">
      <c r="A443" s="7">
        <v>10472</v>
      </c>
      <c r="B443" s="25">
        <v>8599988776654</v>
      </c>
      <c r="C443" s="26" t="s">
        <v>393</v>
      </c>
      <c r="D443" s="26" t="s">
        <v>133</v>
      </c>
      <c r="E443" s="26" t="s">
        <v>17</v>
      </c>
      <c r="F443" s="8">
        <v>16.8</v>
      </c>
      <c r="G443" s="8">
        <v>1</v>
      </c>
      <c r="H443" s="26" t="s">
        <v>14</v>
      </c>
      <c r="I443" s="26" t="s">
        <v>15</v>
      </c>
      <c r="J443" s="27">
        <v>45867</v>
      </c>
      <c r="K443" s="8">
        <v>0</v>
      </c>
      <c r="L443" s="26">
        <v>16.8</v>
      </c>
      <c r="M443" s="26" t="s">
        <v>15</v>
      </c>
      <c r="N443" s="28">
        <v>45839</v>
      </c>
      <c r="O443" s="14" t="s">
        <v>1346</v>
      </c>
    </row>
    <row r="444" spans="1:15" x14ac:dyDescent="0.25">
      <c r="A444" s="5">
        <v>10473</v>
      </c>
      <c r="B444" s="21">
        <v>4043344556676</v>
      </c>
      <c r="C444" s="22" t="s">
        <v>316</v>
      </c>
      <c r="D444" s="22" t="s">
        <v>317</v>
      </c>
      <c r="E444" s="22" t="s">
        <v>58</v>
      </c>
      <c r="F444" s="6">
        <v>10</v>
      </c>
      <c r="G444" s="6">
        <v>1</v>
      </c>
      <c r="H444" s="22" t="s">
        <v>14</v>
      </c>
      <c r="I444" s="22" t="s">
        <v>15</v>
      </c>
      <c r="J444" s="23">
        <v>45867</v>
      </c>
      <c r="K444" s="6">
        <v>0</v>
      </c>
      <c r="L444" s="22">
        <v>10</v>
      </c>
      <c r="M444" s="22" t="s">
        <v>15</v>
      </c>
      <c r="N444" s="24">
        <v>45839</v>
      </c>
      <c r="O444" s="13" t="s">
        <v>1345</v>
      </c>
    </row>
    <row r="445" spans="1:15" x14ac:dyDescent="0.25">
      <c r="A445" s="7">
        <v>10473</v>
      </c>
      <c r="B445" s="25">
        <v>8599988776654</v>
      </c>
      <c r="C445" s="26" t="s">
        <v>393</v>
      </c>
      <c r="D445" s="26" t="s">
        <v>133</v>
      </c>
      <c r="E445" s="26" t="s">
        <v>17</v>
      </c>
      <c r="F445" s="8">
        <v>16.8</v>
      </c>
      <c r="G445" s="8">
        <v>1</v>
      </c>
      <c r="H445" s="26" t="s">
        <v>14</v>
      </c>
      <c r="I445" s="26" t="s">
        <v>15</v>
      </c>
      <c r="J445" s="27">
        <v>45867</v>
      </c>
      <c r="K445" s="8">
        <v>0</v>
      </c>
      <c r="L445" s="26">
        <v>16.8</v>
      </c>
      <c r="M445" s="26" t="s">
        <v>15</v>
      </c>
      <c r="N445" s="28">
        <v>45839</v>
      </c>
      <c r="O445" s="14" t="s">
        <v>1346</v>
      </c>
    </row>
    <row r="446" spans="1:15" x14ac:dyDescent="0.25">
      <c r="A446" s="5">
        <v>10474</v>
      </c>
      <c r="B446" s="21">
        <v>4027788990013</v>
      </c>
      <c r="C446" s="22" t="s">
        <v>43</v>
      </c>
      <c r="D446" s="22" t="s">
        <v>21</v>
      </c>
      <c r="E446" s="22" t="s">
        <v>22</v>
      </c>
      <c r="F446" s="6">
        <v>8</v>
      </c>
      <c r="G446" s="6">
        <v>1</v>
      </c>
      <c r="H446" s="22" t="s">
        <v>33</v>
      </c>
      <c r="I446" s="22" t="s">
        <v>491</v>
      </c>
      <c r="J446" s="23">
        <v>45867</v>
      </c>
      <c r="K446" s="6">
        <v>0</v>
      </c>
      <c r="L446" s="22">
        <v>8</v>
      </c>
      <c r="M446" s="22">
        <v>3</v>
      </c>
      <c r="N446" s="24">
        <v>45839</v>
      </c>
      <c r="O446" s="13" t="s">
        <v>1346</v>
      </c>
    </row>
    <row r="447" spans="1:15" x14ac:dyDescent="0.25">
      <c r="A447" s="7">
        <v>10475</v>
      </c>
      <c r="B447" s="25">
        <v>8599988776654</v>
      </c>
      <c r="C447" s="26" t="s">
        <v>393</v>
      </c>
      <c r="D447" s="26" t="s">
        <v>133</v>
      </c>
      <c r="E447" s="26" t="s">
        <v>17</v>
      </c>
      <c r="F447" s="8">
        <v>16.8</v>
      </c>
      <c r="G447" s="8">
        <v>1</v>
      </c>
      <c r="H447" s="26" t="s">
        <v>14</v>
      </c>
      <c r="I447" s="26" t="s">
        <v>15</v>
      </c>
      <c r="J447" s="27">
        <v>45868</v>
      </c>
      <c r="K447" s="8">
        <v>0</v>
      </c>
      <c r="L447" s="26">
        <v>16.8</v>
      </c>
      <c r="M447" s="26" t="s">
        <v>15</v>
      </c>
      <c r="N447" s="28">
        <v>45839</v>
      </c>
      <c r="O447" s="14" t="s">
        <v>1346</v>
      </c>
    </row>
    <row r="448" spans="1:15" x14ac:dyDescent="0.25">
      <c r="A448" s="5">
        <v>10476</v>
      </c>
      <c r="B448" s="21">
        <v>4063456789014</v>
      </c>
      <c r="C448" s="22" t="s">
        <v>60</v>
      </c>
      <c r="D448" s="22" t="s">
        <v>12</v>
      </c>
      <c r="E448" s="22" t="s">
        <v>61</v>
      </c>
      <c r="F448" s="6">
        <v>36</v>
      </c>
      <c r="G448" s="6">
        <v>1</v>
      </c>
      <c r="H448" s="22" t="s">
        <v>14</v>
      </c>
      <c r="I448" s="22" t="s">
        <v>15</v>
      </c>
      <c r="J448" s="23">
        <v>45868</v>
      </c>
      <c r="K448" s="6">
        <v>0</v>
      </c>
      <c r="L448" s="22">
        <v>36</v>
      </c>
      <c r="M448" s="22" t="s">
        <v>15</v>
      </c>
      <c r="N448" s="24">
        <v>45839</v>
      </c>
      <c r="O448" s="13" t="s">
        <v>1346</v>
      </c>
    </row>
    <row r="449" spans="1:15" x14ac:dyDescent="0.25">
      <c r="A449" s="7">
        <v>10477</v>
      </c>
      <c r="B449" s="25">
        <v>8599988776654</v>
      </c>
      <c r="C449" s="26" t="s">
        <v>393</v>
      </c>
      <c r="D449" s="26" t="s">
        <v>133</v>
      </c>
      <c r="E449" s="26" t="s">
        <v>17</v>
      </c>
      <c r="F449" s="8">
        <v>16.8</v>
      </c>
      <c r="G449" s="8">
        <v>1</v>
      </c>
      <c r="H449" s="26" t="s">
        <v>23</v>
      </c>
      <c r="I449" s="26" t="s">
        <v>492</v>
      </c>
      <c r="J449" s="27">
        <v>45868</v>
      </c>
      <c r="K449" s="8">
        <v>0</v>
      </c>
      <c r="L449" s="26">
        <v>16.8</v>
      </c>
      <c r="M449" s="26">
        <v>5</v>
      </c>
      <c r="N449" s="28">
        <v>45839</v>
      </c>
      <c r="O449" s="14" t="s">
        <v>1346</v>
      </c>
    </row>
    <row r="450" spans="1:15" x14ac:dyDescent="0.25">
      <c r="A450" s="5">
        <v>10478</v>
      </c>
      <c r="B450" s="21">
        <v>4013456789017</v>
      </c>
      <c r="C450" s="22" t="s">
        <v>11</v>
      </c>
      <c r="D450" s="22" t="s">
        <v>12</v>
      </c>
      <c r="E450" s="22" t="s">
        <v>13</v>
      </c>
      <c r="F450" s="6">
        <v>6</v>
      </c>
      <c r="G450" s="6">
        <v>1</v>
      </c>
      <c r="H450" s="22" t="s">
        <v>14</v>
      </c>
      <c r="I450" s="22" t="s">
        <v>15</v>
      </c>
      <c r="J450" s="23">
        <v>45868</v>
      </c>
      <c r="K450" s="6">
        <v>0</v>
      </c>
      <c r="L450" s="22">
        <v>6</v>
      </c>
      <c r="M450" s="22" t="s">
        <v>15</v>
      </c>
      <c r="N450" s="24">
        <v>45839</v>
      </c>
      <c r="O450" s="13" t="s">
        <v>1346</v>
      </c>
    </row>
    <row r="451" spans="1:15" x14ac:dyDescent="0.25">
      <c r="A451" s="7">
        <v>10479</v>
      </c>
      <c r="B451" s="25">
        <v>8599988776654</v>
      </c>
      <c r="C451" s="26" t="s">
        <v>393</v>
      </c>
      <c r="D451" s="26" t="s">
        <v>133</v>
      </c>
      <c r="E451" s="26" t="s">
        <v>17</v>
      </c>
      <c r="F451" s="8">
        <v>16.8</v>
      </c>
      <c r="G451" s="8">
        <v>2</v>
      </c>
      <c r="H451" s="26" t="s">
        <v>14</v>
      </c>
      <c r="I451" s="26" t="s">
        <v>15</v>
      </c>
      <c r="J451" s="27">
        <v>45868</v>
      </c>
      <c r="K451" s="8">
        <v>0</v>
      </c>
      <c r="L451" s="26">
        <v>33.6</v>
      </c>
      <c r="M451" s="26" t="s">
        <v>15</v>
      </c>
      <c r="N451" s="28">
        <v>45839</v>
      </c>
      <c r="O451" s="14" t="s">
        <v>1346</v>
      </c>
    </row>
    <row r="452" spans="1:15" x14ac:dyDescent="0.25">
      <c r="A452" s="5">
        <v>10480</v>
      </c>
      <c r="B452" s="21">
        <v>4021234567894</v>
      </c>
      <c r="C452" s="22" t="s">
        <v>79</v>
      </c>
      <c r="D452" s="22" t="s">
        <v>36</v>
      </c>
      <c r="E452" s="22" t="s">
        <v>69</v>
      </c>
      <c r="F452" s="6">
        <v>8</v>
      </c>
      <c r="G452" s="6">
        <v>1</v>
      </c>
      <c r="H452" s="22" t="s">
        <v>18</v>
      </c>
      <c r="I452" s="22" t="s">
        <v>493</v>
      </c>
      <c r="J452" s="23">
        <v>45868</v>
      </c>
      <c r="K452" s="6">
        <v>0</v>
      </c>
      <c r="L452" s="22">
        <v>8</v>
      </c>
      <c r="M452" s="22">
        <v>4</v>
      </c>
      <c r="N452" s="24">
        <v>45839</v>
      </c>
      <c r="O452" s="13" t="s">
        <v>1345</v>
      </c>
    </row>
    <row r="453" spans="1:15" x14ac:dyDescent="0.25">
      <c r="A453" s="7">
        <v>10481</v>
      </c>
      <c r="B453" s="25">
        <v>8599988776654</v>
      </c>
      <c r="C453" s="26" t="s">
        <v>393</v>
      </c>
      <c r="D453" s="26" t="s">
        <v>133</v>
      </c>
      <c r="E453" s="26" t="s">
        <v>17</v>
      </c>
      <c r="F453" s="8">
        <v>16.8</v>
      </c>
      <c r="G453" s="8">
        <v>1</v>
      </c>
      <c r="H453" s="26" t="s">
        <v>14</v>
      </c>
      <c r="I453" s="26" t="s">
        <v>15</v>
      </c>
      <c r="J453" s="27">
        <v>45868</v>
      </c>
      <c r="K453" s="8">
        <v>0</v>
      </c>
      <c r="L453" s="26">
        <v>16.8</v>
      </c>
      <c r="M453" s="26" t="s">
        <v>15</v>
      </c>
      <c r="N453" s="28">
        <v>45839</v>
      </c>
      <c r="O453" s="14" t="s">
        <v>1346</v>
      </c>
    </row>
    <row r="454" spans="1:15" x14ac:dyDescent="0.25">
      <c r="A454" s="5">
        <v>10482</v>
      </c>
      <c r="B454" s="21">
        <v>4017890123450</v>
      </c>
      <c r="C454" s="22" t="s">
        <v>65</v>
      </c>
      <c r="D454" s="22" t="s">
        <v>39</v>
      </c>
      <c r="E454" s="22" t="s">
        <v>22</v>
      </c>
      <c r="F454" s="6">
        <v>7.6</v>
      </c>
      <c r="G454" s="6">
        <v>1</v>
      </c>
      <c r="H454" s="22" t="s">
        <v>14</v>
      </c>
      <c r="I454" s="22" t="s">
        <v>15</v>
      </c>
      <c r="J454" s="23">
        <v>45868</v>
      </c>
      <c r="K454" s="6">
        <v>0</v>
      </c>
      <c r="L454" s="22">
        <v>7.6</v>
      </c>
      <c r="M454" s="22" t="s">
        <v>15</v>
      </c>
      <c r="N454" s="24">
        <v>45839</v>
      </c>
      <c r="O454" s="13" t="s">
        <v>1346</v>
      </c>
    </row>
    <row r="455" spans="1:15" x14ac:dyDescent="0.25">
      <c r="A455" s="7">
        <v>10483</v>
      </c>
      <c r="B455" s="25">
        <v>8599988776654</v>
      </c>
      <c r="C455" s="26" t="s">
        <v>393</v>
      </c>
      <c r="D455" s="26" t="s">
        <v>133</v>
      </c>
      <c r="E455" s="26" t="s">
        <v>17</v>
      </c>
      <c r="F455" s="8">
        <v>16.8</v>
      </c>
      <c r="G455" s="8">
        <v>1</v>
      </c>
      <c r="H455" s="26" t="s">
        <v>18</v>
      </c>
      <c r="I455" s="26" t="s">
        <v>494</v>
      </c>
      <c r="J455" s="27">
        <v>45868</v>
      </c>
      <c r="K455" s="8">
        <v>0</v>
      </c>
      <c r="L455" s="26">
        <v>16.8</v>
      </c>
      <c r="M455" s="26">
        <v>4</v>
      </c>
      <c r="N455" s="28">
        <v>45839</v>
      </c>
      <c r="O455" s="14" t="s">
        <v>1346</v>
      </c>
    </row>
    <row r="456" spans="1:15" x14ac:dyDescent="0.25">
      <c r="A456" s="5">
        <v>10484</v>
      </c>
      <c r="B456" s="21">
        <v>4010123456783</v>
      </c>
      <c r="C456" s="22" t="s">
        <v>35</v>
      </c>
      <c r="D456" s="22" t="s">
        <v>36</v>
      </c>
      <c r="E456" s="22" t="s">
        <v>37</v>
      </c>
      <c r="F456" s="6">
        <v>14</v>
      </c>
      <c r="G456" s="6">
        <v>1</v>
      </c>
      <c r="H456" s="22" t="s">
        <v>14</v>
      </c>
      <c r="I456" s="22" t="s">
        <v>15</v>
      </c>
      <c r="J456" s="23">
        <v>45868</v>
      </c>
      <c r="K456" s="6">
        <v>0</v>
      </c>
      <c r="L456" s="22">
        <v>14</v>
      </c>
      <c r="M456" s="22" t="s">
        <v>15</v>
      </c>
      <c r="N456" s="24">
        <v>45839</v>
      </c>
      <c r="O456" s="13" t="s">
        <v>1345</v>
      </c>
    </row>
    <row r="457" spans="1:15" x14ac:dyDescent="0.25">
      <c r="A457" s="7">
        <v>10485</v>
      </c>
      <c r="B457" s="25">
        <v>8599988776654</v>
      </c>
      <c r="C457" s="26" t="s">
        <v>393</v>
      </c>
      <c r="D457" s="26" t="s">
        <v>133</v>
      </c>
      <c r="E457" s="26" t="s">
        <v>17</v>
      </c>
      <c r="F457" s="8">
        <v>16.8</v>
      </c>
      <c r="G457" s="8">
        <v>1</v>
      </c>
      <c r="H457" s="26" t="s">
        <v>14</v>
      </c>
      <c r="I457" s="26" t="s">
        <v>15</v>
      </c>
      <c r="J457" s="27">
        <v>45868</v>
      </c>
      <c r="K457" s="8">
        <v>0</v>
      </c>
      <c r="L457" s="26">
        <v>16.8</v>
      </c>
      <c r="M457" s="26" t="s">
        <v>15</v>
      </c>
      <c r="N457" s="28">
        <v>45839</v>
      </c>
      <c r="O457" s="14" t="s">
        <v>1346</v>
      </c>
    </row>
    <row r="458" spans="1:15" x14ac:dyDescent="0.25">
      <c r="A458" s="5">
        <v>10486</v>
      </c>
      <c r="B458" s="21">
        <v>4028899001126</v>
      </c>
      <c r="C458" s="22" t="s">
        <v>16</v>
      </c>
      <c r="D458" s="22" t="s">
        <v>12</v>
      </c>
      <c r="E458" s="22" t="s">
        <v>17</v>
      </c>
      <c r="F458" s="6">
        <v>2.8</v>
      </c>
      <c r="G458" s="6">
        <v>2</v>
      </c>
      <c r="H458" s="22" t="s">
        <v>14</v>
      </c>
      <c r="I458" s="22" t="s">
        <v>15</v>
      </c>
      <c r="J458" s="23">
        <v>45868</v>
      </c>
      <c r="K458" s="6">
        <v>0</v>
      </c>
      <c r="L458" s="22">
        <v>5.6</v>
      </c>
      <c r="M458" s="22" t="s">
        <v>15</v>
      </c>
      <c r="N458" s="24">
        <v>45839</v>
      </c>
      <c r="O458" s="13" t="s">
        <v>1346</v>
      </c>
    </row>
    <row r="459" spans="1:15" x14ac:dyDescent="0.25">
      <c r="A459" s="7">
        <v>10487</v>
      </c>
      <c r="B459" s="25">
        <v>8599988776654</v>
      </c>
      <c r="C459" s="26" t="s">
        <v>393</v>
      </c>
      <c r="D459" s="26" t="s">
        <v>133</v>
      </c>
      <c r="E459" s="26" t="s">
        <v>17</v>
      </c>
      <c r="F459" s="8">
        <v>16.8</v>
      </c>
      <c r="G459" s="8">
        <v>2</v>
      </c>
      <c r="H459" s="26" t="s">
        <v>14</v>
      </c>
      <c r="I459" s="26" t="s">
        <v>15</v>
      </c>
      <c r="J459" s="27">
        <v>45868</v>
      </c>
      <c r="K459" s="8">
        <v>0</v>
      </c>
      <c r="L459" s="26">
        <v>33.6</v>
      </c>
      <c r="M459" s="26" t="s">
        <v>15</v>
      </c>
      <c r="N459" s="28">
        <v>45839</v>
      </c>
      <c r="O459" s="14" t="s">
        <v>1346</v>
      </c>
    </row>
    <row r="460" spans="1:15" x14ac:dyDescent="0.25">
      <c r="A460" s="5">
        <v>10488</v>
      </c>
      <c r="B460" s="21">
        <v>4061011223346</v>
      </c>
      <c r="C460" s="22" t="s">
        <v>25</v>
      </c>
      <c r="D460" s="22" t="s">
        <v>26</v>
      </c>
      <c r="E460" s="22" t="s">
        <v>27</v>
      </c>
      <c r="F460" s="6">
        <v>19.600000000000001</v>
      </c>
      <c r="G460" s="6">
        <v>1</v>
      </c>
      <c r="H460" s="22" t="s">
        <v>23</v>
      </c>
      <c r="I460" s="22" t="s">
        <v>495</v>
      </c>
      <c r="J460" s="23">
        <v>45868</v>
      </c>
      <c r="K460" s="6">
        <v>0</v>
      </c>
      <c r="L460" s="22">
        <v>19.600000000000001</v>
      </c>
      <c r="M460" s="22">
        <v>5</v>
      </c>
      <c r="N460" s="24">
        <v>45839</v>
      </c>
      <c r="O460" s="13" t="s">
        <v>1346</v>
      </c>
    </row>
    <row r="461" spans="1:15" x14ac:dyDescent="0.25">
      <c r="A461" s="7">
        <v>10489</v>
      </c>
      <c r="B461" s="25">
        <v>8599988776654</v>
      </c>
      <c r="C461" s="26" t="s">
        <v>393</v>
      </c>
      <c r="D461" s="26" t="s">
        <v>133</v>
      </c>
      <c r="E461" s="26" t="s">
        <v>17</v>
      </c>
      <c r="F461" s="8">
        <v>16.8</v>
      </c>
      <c r="G461" s="8">
        <v>1</v>
      </c>
      <c r="H461" s="26" t="s">
        <v>14</v>
      </c>
      <c r="I461" s="26" t="s">
        <v>15</v>
      </c>
      <c r="J461" s="27">
        <v>45868</v>
      </c>
      <c r="K461" s="8">
        <v>0</v>
      </c>
      <c r="L461" s="26">
        <v>16.8</v>
      </c>
      <c r="M461" s="26" t="s">
        <v>15</v>
      </c>
      <c r="N461" s="28">
        <v>45839</v>
      </c>
      <c r="O461" s="14" t="s">
        <v>1346</v>
      </c>
    </row>
    <row r="462" spans="1:15" x14ac:dyDescent="0.25">
      <c r="A462" s="5">
        <v>10490</v>
      </c>
      <c r="B462" s="21">
        <v>4027788990013</v>
      </c>
      <c r="C462" s="22" t="s">
        <v>43</v>
      </c>
      <c r="D462" s="22" t="s">
        <v>21</v>
      </c>
      <c r="E462" s="22" t="s">
        <v>22</v>
      </c>
      <c r="F462" s="6">
        <v>8</v>
      </c>
      <c r="G462" s="6">
        <v>1</v>
      </c>
      <c r="H462" s="22" t="s">
        <v>14</v>
      </c>
      <c r="I462" s="22" t="s">
        <v>15</v>
      </c>
      <c r="J462" s="23">
        <v>45868</v>
      </c>
      <c r="K462" s="6">
        <v>0</v>
      </c>
      <c r="L462" s="22">
        <v>8</v>
      </c>
      <c r="M462" s="22" t="s">
        <v>15</v>
      </c>
      <c r="N462" s="24">
        <v>45839</v>
      </c>
      <c r="O462" s="13" t="s">
        <v>1346</v>
      </c>
    </row>
    <row r="463" spans="1:15" x14ac:dyDescent="0.25">
      <c r="A463" s="7">
        <v>10491</v>
      </c>
      <c r="B463" s="25">
        <v>8599988776654</v>
      </c>
      <c r="C463" s="26" t="s">
        <v>393</v>
      </c>
      <c r="D463" s="26" t="s">
        <v>133</v>
      </c>
      <c r="E463" s="26" t="s">
        <v>17</v>
      </c>
      <c r="F463" s="8">
        <v>16.8</v>
      </c>
      <c r="G463" s="8">
        <v>1</v>
      </c>
      <c r="H463" s="26" t="s">
        <v>14</v>
      </c>
      <c r="I463" s="26" t="s">
        <v>15</v>
      </c>
      <c r="J463" s="27">
        <v>45868</v>
      </c>
      <c r="K463" s="8">
        <v>0</v>
      </c>
      <c r="L463" s="26">
        <v>16.8</v>
      </c>
      <c r="M463" s="26" t="s">
        <v>15</v>
      </c>
      <c r="N463" s="28">
        <v>45839</v>
      </c>
      <c r="O463" s="14" t="s">
        <v>1346</v>
      </c>
    </row>
    <row r="464" spans="1:15" x14ac:dyDescent="0.25">
      <c r="A464" s="5">
        <v>10492</v>
      </c>
      <c r="B464" s="21">
        <v>4013456789017</v>
      </c>
      <c r="C464" s="22" t="s">
        <v>11</v>
      </c>
      <c r="D464" s="22" t="s">
        <v>12</v>
      </c>
      <c r="E464" s="22" t="s">
        <v>13</v>
      </c>
      <c r="F464" s="6">
        <v>6</v>
      </c>
      <c r="G464" s="6">
        <v>1</v>
      </c>
      <c r="H464" s="22" t="s">
        <v>18</v>
      </c>
      <c r="I464" s="22" t="s">
        <v>496</v>
      </c>
      <c r="J464" s="23">
        <v>45868</v>
      </c>
      <c r="K464" s="6">
        <v>0</v>
      </c>
      <c r="L464" s="22">
        <v>6</v>
      </c>
      <c r="M464" s="22">
        <v>4</v>
      </c>
      <c r="N464" s="24">
        <v>45839</v>
      </c>
      <c r="O464" s="13" t="s">
        <v>1346</v>
      </c>
    </row>
    <row r="465" spans="1:15" x14ac:dyDescent="0.25">
      <c r="A465" s="7">
        <v>10493</v>
      </c>
      <c r="B465" s="25">
        <v>8599988776654</v>
      </c>
      <c r="C465" s="26" t="s">
        <v>393</v>
      </c>
      <c r="D465" s="26" t="s">
        <v>133</v>
      </c>
      <c r="E465" s="26" t="s">
        <v>17</v>
      </c>
      <c r="F465" s="8">
        <v>16.8</v>
      </c>
      <c r="G465" s="8">
        <v>2</v>
      </c>
      <c r="H465" s="26" t="s">
        <v>14</v>
      </c>
      <c r="I465" s="26" t="s">
        <v>15</v>
      </c>
      <c r="J465" s="27">
        <v>45869</v>
      </c>
      <c r="K465" s="8">
        <v>0</v>
      </c>
      <c r="L465" s="26">
        <v>33.6</v>
      </c>
      <c r="M465" s="26" t="s">
        <v>15</v>
      </c>
      <c r="N465" s="28">
        <v>45839</v>
      </c>
      <c r="O465" s="14" t="s">
        <v>1346</v>
      </c>
    </row>
    <row r="466" spans="1:15" x14ac:dyDescent="0.25">
      <c r="A466" s="5">
        <v>10494</v>
      </c>
      <c r="B466" s="21">
        <v>4028899001126</v>
      </c>
      <c r="C466" s="22" t="s">
        <v>16</v>
      </c>
      <c r="D466" s="22" t="s">
        <v>12</v>
      </c>
      <c r="E466" s="22" t="s">
        <v>17</v>
      </c>
      <c r="F466" s="6">
        <v>2.8</v>
      </c>
      <c r="G466" s="6">
        <v>3</v>
      </c>
      <c r="H466" s="22" t="s">
        <v>14</v>
      </c>
      <c r="I466" s="22" t="s">
        <v>15</v>
      </c>
      <c r="J466" s="23">
        <v>45869</v>
      </c>
      <c r="K466" s="6">
        <v>0</v>
      </c>
      <c r="L466" s="22">
        <v>8.3999999999999986</v>
      </c>
      <c r="M466" s="22" t="s">
        <v>15</v>
      </c>
      <c r="N466" s="24">
        <v>45839</v>
      </c>
      <c r="O466" s="13" t="s">
        <v>1346</v>
      </c>
    </row>
    <row r="467" spans="1:15" x14ac:dyDescent="0.25">
      <c r="A467" s="7">
        <v>10495</v>
      </c>
      <c r="B467" s="25">
        <v>8596677889011</v>
      </c>
      <c r="C467" s="26" t="s">
        <v>318</v>
      </c>
      <c r="D467" s="26" t="s">
        <v>29</v>
      </c>
      <c r="E467" s="26" t="s">
        <v>30</v>
      </c>
      <c r="F467" s="8">
        <v>35.200000000000003</v>
      </c>
      <c r="G467" s="8">
        <v>1</v>
      </c>
      <c r="H467" s="26" t="s">
        <v>23</v>
      </c>
      <c r="I467" s="26" t="s">
        <v>497</v>
      </c>
      <c r="J467" s="27">
        <v>45869</v>
      </c>
      <c r="K467" s="8">
        <v>0</v>
      </c>
      <c r="L467" s="26">
        <v>35.200000000000003</v>
      </c>
      <c r="M467" s="26">
        <v>5</v>
      </c>
      <c r="N467" s="28">
        <v>45839</v>
      </c>
      <c r="O467" s="14" t="s">
        <v>1345</v>
      </c>
    </row>
    <row r="468" spans="1:15" x14ac:dyDescent="0.25">
      <c r="A468" s="5">
        <v>10496</v>
      </c>
      <c r="B468" s="21">
        <v>8599988776654</v>
      </c>
      <c r="C468" s="22" t="s">
        <v>393</v>
      </c>
      <c r="D468" s="22" t="s">
        <v>133</v>
      </c>
      <c r="E468" s="22" t="s">
        <v>17</v>
      </c>
      <c r="F468" s="6">
        <v>16.8</v>
      </c>
      <c r="G468" s="6">
        <v>1</v>
      </c>
      <c r="H468" s="22" t="s">
        <v>14</v>
      </c>
      <c r="I468" s="22" t="s">
        <v>15</v>
      </c>
      <c r="J468" s="23">
        <v>45869</v>
      </c>
      <c r="K468" s="6">
        <v>0</v>
      </c>
      <c r="L468" s="22">
        <v>16.8</v>
      </c>
      <c r="M468" s="22" t="s">
        <v>15</v>
      </c>
      <c r="N468" s="24">
        <v>45839</v>
      </c>
      <c r="O468" s="13" t="s">
        <v>1346</v>
      </c>
    </row>
    <row r="469" spans="1:15" x14ac:dyDescent="0.25">
      <c r="A469" s="7">
        <v>10497</v>
      </c>
      <c r="B469" s="25">
        <v>4010123456783</v>
      </c>
      <c r="C469" s="26" t="s">
        <v>35</v>
      </c>
      <c r="D469" s="26" t="s">
        <v>36</v>
      </c>
      <c r="E469" s="26" t="s">
        <v>37</v>
      </c>
      <c r="F469" s="8">
        <v>14</v>
      </c>
      <c r="G469" s="8">
        <v>1</v>
      </c>
      <c r="H469" s="26" t="s">
        <v>14</v>
      </c>
      <c r="I469" s="26" t="s">
        <v>15</v>
      </c>
      <c r="J469" s="27">
        <v>45869</v>
      </c>
      <c r="K469" s="8">
        <v>0</v>
      </c>
      <c r="L469" s="26">
        <v>14</v>
      </c>
      <c r="M469" s="26" t="s">
        <v>15</v>
      </c>
      <c r="N469" s="28">
        <v>45839</v>
      </c>
      <c r="O469" s="14" t="s">
        <v>1345</v>
      </c>
    </row>
    <row r="470" spans="1:15" x14ac:dyDescent="0.25">
      <c r="A470" s="5">
        <v>10498</v>
      </c>
      <c r="B470" s="21">
        <v>8599988776654</v>
      </c>
      <c r="C470" s="22" t="s">
        <v>393</v>
      </c>
      <c r="D470" s="22" t="s">
        <v>133</v>
      </c>
      <c r="E470" s="22" t="s">
        <v>17</v>
      </c>
      <c r="F470" s="6">
        <v>16.8</v>
      </c>
      <c r="G470" s="6">
        <v>1</v>
      </c>
      <c r="H470" s="22" t="s">
        <v>33</v>
      </c>
      <c r="I470" s="22" t="s">
        <v>498</v>
      </c>
      <c r="J470" s="23">
        <v>45869</v>
      </c>
      <c r="K470" s="6">
        <v>0</v>
      </c>
      <c r="L470" s="22">
        <v>16.8</v>
      </c>
      <c r="M470" s="22">
        <v>3</v>
      </c>
      <c r="N470" s="24">
        <v>45839</v>
      </c>
      <c r="O470" s="13" t="s">
        <v>1346</v>
      </c>
    </row>
    <row r="471" spans="1:15" x14ac:dyDescent="0.25">
      <c r="A471" s="7">
        <v>10499</v>
      </c>
      <c r="B471" s="25">
        <v>4017890123450</v>
      </c>
      <c r="C471" s="26" t="s">
        <v>65</v>
      </c>
      <c r="D471" s="26" t="s">
        <v>39</v>
      </c>
      <c r="E471" s="26" t="s">
        <v>22</v>
      </c>
      <c r="F471" s="8">
        <v>7.6</v>
      </c>
      <c r="G471" s="8">
        <v>1</v>
      </c>
      <c r="H471" s="26" t="s">
        <v>14</v>
      </c>
      <c r="I471" s="26" t="s">
        <v>15</v>
      </c>
      <c r="J471" s="27">
        <v>45869</v>
      </c>
      <c r="K471" s="8">
        <v>0</v>
      </c>
      <c r="L471" s="26">
        <v>7.6</v>
      </c>
      <c r="M471" s="26" t="s">
        <v>15</v>
      </c>
      <c r="N471" s="28">
        <v>45839</v>
      </c>
      <c r="O471" s="14" t="s">
        <v>1346</v>
      </c>
    </row>
    <row r="472" spans="1:15" x14ac:dyDescent="0.25">
      <c r="A472" s="5">
        <v>10500</v>
      </c>
      <c r="B472" s="21">
        <v>4021234567894</v>
      </c>
      <c r="C472" s="22" t="s">
        <v>79</v>
      </c>
      <c r="D472" s="22" t="s">
        <v>36</v>
      </c>
      <c r="E472" s="22" t="s">
        <v>69</v>
      </c>
      <c r="F472" s="6">
        <v>8</v>
      </c>
      <c r="G472" s="6">
        <v>1</v>
      </c>
      <c r="H472" s="22" t="s">
        <v>14</v>
      </c>
      <c r="I472" s="22" t="s">
        <v>15</v>
      </c>
      <c r="J472" s="23">
        <v>45869</v>
      </c>
      <c r="K472" s="6">
        <v>0</v>
      </c>
      <c r="L472" s="22">
        <v>8</v>
      </c>
      <c r="M472" s="22" t="s">
        <v>15</v>
      </c>
      <c r="N472" s="24">
        <v>45839</v>
      </c>
      <c r="O472" s="13" t="s">
        <v>1345</v>
      </c>
    </row>
    <row r="473" spans="1:15" x14ac:dyDescent="0.25">
      <c r="A473" s="7">
        <v>10501</v>
      </c>
      <c r="B473" s="25">
        <v>8599988776654</v>
      </c>
      <c r="C473" s="26" t="s">
        <v>393</v>
      </c>
      <c r="D473" s="26" t="s">
        <v>133</v>
      </c>
      <c r="E473" s="26" t="s">
        <v>17</v>
      </c>
      <c r="F473" s="8">
        <v>16.8</v>
      </c>
      <c r="G473" s="8">
        <v>2</v>
      </c>
      <c r="H473" s="26" t="s">
        <v>14</v>
      </c>
      <c r="I473" s="26" t="s">
        <v>15</v>
      </c>
      <c r="J473" s="27">
        <v>45869</v>
      </c>
      <c r="K473" s="8">
        <v>0</v>
      </c>
      <c r="L473" s="26">
        <v>33.6</v>
      </c>
      <c r="M473" s="26" t="s">
        <v>15</v>
      </c>
      <c r="N473" s="28">
        <v>45839</v>
      </c>
      <c r="O473" s="14" t="s">
        <v>1346</v>
      </c>
    </row>
    <row r="474" spans="1:15" x14ac:dyDescent="0.25">
      <c r="A474" s="5">
        <v>10502</v>
      </c>
      <c r="B474" s="21">
        <v>4056789012345</v>
      </c>
      <c r="C474" s="22" t="s">
        <v>47</v>
      </c>
      <c r="D474" s="22" t="s">
        <v>29</v>
      </c>
      <c r="E474" s="22" t="s">
        <v>37</v>
      </c>
      <c r="F474" s="6">
        <v>2.4</v>
      </c>
      <c r="G474" s="6">
        <v>2</v>
      </c>
      <c r="H474" s="22" t="s">
        <v>18</v>
      </c>
      <c r="I474" s="22" t="s">
        <v>499</v>
      </c>
      <c r="J474" s="23">
        <v>45869</v>
      </c>
      <c r="K474" s="6">
        <v>0</v>
      </c>
      <c r="L474" s="22">
        <v>4.8</v>
      </c>
      <c r="M474" s="22">
        <v>4</v>
      </c>
      <c r="N474" s="24">
        <v>45839</v>
      </c>
      <c r="O474" s="13" t="s">
        <v>1345</v>
      </c>
    </row>
    <row r="475" spans="1:15" x14ac:dyDescent="0.25">
      <c r="A475" s="7">
        <v>10503</v>
      </c>
      <c r="B475" s="25">
        <v>8599988776654</v>
      </c>
      <c r="C475" s="26" t="s">
        <v>393</v>
      </c>
      <c r="D475" s="26" t="s">
        <v>133</v>
      </c>
      <c r="E475" s="26" t="s">
        <v>17</v>
      </c>
      <c r="F475" s="8">
        <v>16.8</v>
      </c>
      <c r="G475" s="8">
        <v>1</v>
      </c>
      <c r="H475" s="26" t="s">
        <v>14</v>
      </c>
      <c r="I475" s="26" t="s">
        <v>15</v>
      </c>
      <c r="J475" s="27">
        <v>45869</v>
      </c>
      <c r="K475" s="8">
        <v>0</v>
      </c>
      <c r="L475" s="26">
        <v>16.8</v>
      </c>
      <c r="M475" s="26" t="s">
        <v>15</v>
      </c>
      <c r="N475" s="28">
        <v>45839</v>
      </c>
      <c r="O475" s="14" t="s">
        <v>1346</v>
      </c>
    </row>
    <row r="476" spans="1:15" x14ac:dyDescent="0.25">
      <c r="A476" s="5">
        <v>10504</v>
      </c>
      <c r="B476" s="21">
        <v>4059012345683</v>
      </c>
      <c r="C476" s="22" t="s">
        <v>345</v>
      </c>
      <c r="D476" s="22" t="s">
        <v>26</v>
      </c>
      <c r="E476" s="22" t="s">
        <v>27</v>
      </c>
      <c r="F476" s="6">
        <v>20</v>
      </c>
      <c r="G476" s="6">
        <v>1</v>
      </c>
      <c r="H476" s="22" t="s">
        <v>48</v>
      </c>
      <c r="I476" s="22" t="s">
        <v>500</v>
      </c>
      <c r="J476" s="23">
        <v>45869</v>
      </c>
      <c r="K476" s="6">
        <v>1</v>
      </c>
      <c r="L476" s="22">
        <v>20</v>
      </c>
      <c r="M476" s="22">
        <v>2</v>
      </c>
      <c r="N476" s="24">
        <v>45839</v>
      </c>
      <c r="O476" s="13" t="s">
        <v>1346</v>
      </c>
    </row>
    <row r="477" spans="1:15" x14ac:dyDescent="0.25">
      <c r="A477" s="7">
        <v>10505</v>
      </c>
      <c r="B477" s="25">
        <v>8599988776654</v>
      </c>
      <c r="C477" s="26" t="s">
        <v>393</v>
      </c>
      <c r="D477" s="26" t="s">
        <v>133</v>
      </c>
      <c r="E477" s="26" t="s">
        <v>17</v>
      </c>
      <c r="F477" s="8">
        <v>16.8</v>
      </c>
      <c r="G477" s="8">
        <v>1</v>
      </c>
      <c r="H477" s="26" t="s">
        <v>23</v>
      </c>
      <c r="I477" s="26" t="s">
        <v>501</v>
      </c>
      <c r="J477" s="27">
        <v>45869</v>
      </c>
      <c r="K477" s="8">
        <v>0</v>
      </c>
      <c r="L477" s="26">
        <v>16.8</v>
      </c>
      <c r="M477" s="26">
        <v>5</v>
      </c>
      <c r="N477" s="28">
        <v>45839</v>
      </c>
      <c r="O477" s="14" t="s">
        <v>1346</v>
      </c>
    </row>
    <row r="478" spans="1:15" x14ac:dyDescent="0.25">
      <c r="A478" s="5">
        <v>10506</v>
      </c>
      <c r="B478" s="21">
        <v>4028899001126</v>
      </c>
      <c r="C478" s="22" t="s">
        <v>16</v>
      </c>
      <c r="D478" s="22" t="s">
        <v>12</v>
      </c>
      <c r="E478" s="22" t="s">
        <v>17</v>
      </c>
      <c r="F478" s="6">
        <v>2.8</v>
      </c>
      <c r="G478" s="6">
        <v>2</v>
      </c>
      <c r="H478" s="22" t="s">
        <v>14</v>
      </c>
      <c r="I478" s="22" t="s">
        <v>15</v>
      </c>
      <c r="J478" s="23">
        <v>45869</v>
      </c>
      <c r="K478" s="6">
        <v>0</v>
      </c>
      <c r="L478" s="22">
        <v>5.6</v>
      </c>
      <c r="M478" s="22" t="s">
        <v>15</v>
      </c>
      <c r="N478" s="24">
        <v>45839</v>
      </c>
      <c r="O478" s="13" t="s">
        <v>1346</v>
      </c>
    </row>
    <row r="479" spans="1:15" x14ac:dyDescent="0.25">
      <c r="A479" s="7">
        <v>10507</v>
      </c>
      <c r="B479" s="25">
        <v>4013456789017</v>
      </c>
      <c r="C479" s="26" t="s">
        <v>11</v>
      </c>
      <c r="D479" s="26" t="s">
        <v>12</v>
      </c>
      <c r="E479" s="26" t="s">
        <v>13</v>
      </c>
      <c r="F479" s="8">
        <v>6</v>
      </c>
      <c r="G479" s="8">
        <v>1</v>
      </c>
      <c r="H479" s="26" t="s">
        <v>18</v>
      </c>
      <c r="I479" s="26" t="s">
        <v>502</v>
      </c>
      <c r="J479" s="27">
        <v>45869</v>
      </c>
      <c r="K479" s="8">
        <v>0</v>
      </c>
      <c r="L479" s="26">
        <v>6</v>
      </c>
      <c r="M479" s="26">
        <v>4</v>
      </c>
      <c r="N479" s="28">
        <v>45839</v>
      </c>
      <c r="O479" s="14" t="s">
        <v>1346</v>
      </c>
    </row>
    <row r="480" spans="1:15" x14ac:dyDescent="0.25">
      <c r="A480" s="5">
        <v>10508</v>
      </c>
      <c r="B480" s="21">
        <v>8599988776654</v>
      </c>
      <c r="C480" s="22" t="s">
        <v>393</v>
      </c>
      <c r="D480" s="22" t="s">
        <v>133</v>
      </c>
      <c r="E480" s="22" t="s">
        <v>17</v>
      </c>
      <c r="F480" s="6">
        <v>16.8</v>
      </c>
      <c r="G480" s="6">
        <v>2</v>
      </c>
      <c r="H480" s="22" t="s">
        <v>14</v>
      </c>
      <c r="I480" s="22" t="s">
        <v>15</v>
      </c>
      <c r="J480" s="23">
        <v>45869</v>
      </c>
      <c r="K480" s="6">
        <v>0</v>
      </c>
      <c r="L480" s="22">
        <v>33.6</v>
      </c>
      <c r="M480" s="22" t="s">
        <v>15</v>
      </c>
      <c r="N480" s="24">
        <v>45839</v>
      </c>
      <c r="O480" s="13" t="s">
        <v>1346</v>
      </c>
    </row>
    <row r="481" spans="1:15" x14ac:dyDescent="0.25">
      <c r="A481" s="7">
        <v>10509</v>
      </c>
      <c r="B481" s="25">
        <v>4010123456783</v>
      </c>
      <c r="C481" s="26" t="s">
        <v>35</v>
      </c>
      <c r="D481" s="26" t="s">
        <v>36</v>
      </c>
      <c r="E481" s="26" t="s">
        <v>37</v>
      </c>
      <c r="F481" s="8">
        <v>14</v>
      </c>
      <c r="G481" s="8">
        <v>1</v>
      </c>
      <c r="H481" s="26" t="s">
        <v>14</v>
      </c>
      <c r="I481" s="26" t="s">
        <v>15</v>
      </c>
      <c r="J481" s="27">
        <v>45869</v>
      </c>
      <c r="K481" s="8">
        <v>0</v>
      </c>
      <c r="L481" s="26">
        <v>14</v>
      </c>
      <c r="M481" s="26" t="s">
        <v>15</v>
      </c>
      <c r="N481" s="28">
        <v>45839</v>
      </c>
      <c r="O481" s="14" t="s">
        <v>1345</v>
      </c>
    </row>
    <row r="482" spans="1:15" x14ac:dyDescent="0.25">
      <c r="A482" s="5">
        <v>10510</v>
      </c>
      <c r="B482" s="21">
        <v>8599988776654</v>
      </c>
      <c r="C482" s="22" t="s">
        <v>393</v>
      </c>
      <c r="D482" s="22" t="s">
        <v>133</v>
      </c>
      <c r="E482" s="22" t="s">
        <v>17</v>
      </c>
      <c r="F482" s="6">
        <v>16.8</v>
      </c>
      <c r="G482" s="6">
        <v>1</v>
      </c>
      <c r="H482" s="22" t="s">
        <v>14</v>
      </c>
      <c r="I482" s="22" t="s">
        <v>15</v>
      </c>
      <c r="J482" s="23">
        <v>45869</v>
      </c>
      <c r="K482" s="6">
        <v>0</v>
      </c>
      <c r="L482" s="22">
        <v>16.8</v>
      </c>
      <c r="M482" s="22" t="s">
        <v>15</v>
      </c>
      <c r="N482" s="24">
        <v>45839</v>
      </c>
      <c r="O482" s="13" t="s">
        <v>1346</v>
      </c>
    </row>
    <row r="483" spans="1:15" x14ac:dyDescent="0.25">
      <c r="A483" s="7">
        <v>10511</v>
      </c>
      <c r="B483" s="25">
        <v>4063456789014</v>
      </c>
      <c r="C483" s="26" t="s">
        <v>60</v>
      </c>
      <c r="D483" s="26" t="s">
        <v>12</v>
      </c>
      <c r="E483" s="26" t="s">
        <v>61</v>
      </c>
      <c r="F483" s="8">
        <v>36</v>
      </c>
      <c r="G483" s="8">
        <v>1</v>
      </c>
      <c r="H483" s="26" t="s">
        <v>14</v>
      </c>
      <c r="I483" s="26" t="s">
        <v>15</v>
      </c>
      <c r="J483" s="27">
        <v>45869</v>
      </c>
      <c r="K483" s="8">
        <v>0</v>
      </c>
      <c r="L483" s="26">
        <v>36</v>
      </c>
      <c r="M483" s="26" t="s">
        <v>15</v>
      </c>
      <c r="N483" s="28">
        <v>45839</v>
      </c>
      <c r="O483" s="14" t="s">
        <v>1346</v>
      </c>
    </row>
    <row r="484" spans="1:15" x14ac:dyDescent="0.25">
      <c r="A484" s="5">
        <v>10512</v>
      </c>
      <c r="B484" s="21">
        <v>8599988776654</v>
      </c>
      <c r="C484" s="22" t="s">
        <v>393</v>
      </c>
      <c r="D484" s="22" t="s">
        <v>133</v>
      </c>
      <c r="E484" s="22" t="s">
        <v>17</v>
      </c>
      <c r="F484" s="6">
        <v>16.8</v>
      </c>
      <c r="G484" s="6">
        <v>1</v>
      </c>
      <c r="H484" s="22" t="s">
        <v>23</v>
      </c>
      <c r="I484" s="22" t="s">
        <v>503</v>
      </c>
      <c r="J484" s="23">
        <v>45869</v>
      </c>
      <c r="K484" s="6">
        <v>0</v>
      </c>
      <c r="L484" s="22">
        <v>16.8</v>
      </c>
      <c r="M484" s="22">
        <v>5</v>
      </c>
      <c r="N484" s="24">
        <v>45839</v>
      </c>
      <c r="O484" s="13" t="s">
        <v>1346</v>
      </c>
    </row>
    <row r="485" spans="1:15" x14ac:dyDescent="0.25">
      <c r="A485" s="7">
        <v>10513</v>
      </c>
      <c r="B485" s="25">
        <v>4021234567894</v>
      </c>
      <c r="C485" s="26" t="s">
        <v>79</v>
      </c>
      <c r="D485" s="26" t="s">
        <v>36</v>
      </c>
      <c r="E485" s="26" t="s">
        <v>69</v>
      </c>
      <c r="F485" s="8">
        <v>8</v>
      </c>
      <c r="G485" s="8">
        <v>1</v>
      </c>
      <c r="H485" s="26" t="s">
        <v>14</v>
      </c>
      <c r="I485" s="26" t="s">
        <v>15</v>
      </c>
      <c r="J485" s="27">
        <v>45869</v>
      </c>
      <c r="K485" s="8">
        <v>0</v>
      </c>
      <c r="L485" s="26">
        <v>8</v>
      </c>
      <c r="M485" s="26" t="s">
        <v>15</v>
      </c>
      <c r="N485" s="28">
        <v>45839</v>
      </c>
      <c r="O485" s="14" t="s">
        <v>1345</v>
      </c>
    </row>
    <row r="486" spans="1:15" x14ac:dyDescent="0.25">
      <c r="A486" s="5">
        <v>10514</v>
      </c>
      <c r="B486" s="21">
        <v>8599988776654</v>
      </c>
      <c r="C486" s="22" t="s">
        <v>393</v>
      </c>
      <c r="D486" s="22" t="s">
        <v>133</v>
      </c>
      <c r="E486" s="22" t="s">
        <v>17</v>
      </c>
      <c r="F486" s="6">
        <v>16.8</v>
      </c>
      <c r="G486" s="6">
        <v>1</v>
      </c>
      <c r="H486" s="22" t="s">
        <v>14</v>
      </c>
      <c r="I486" s="22" t="s">
        <v>15</v>
      </c>
      <c r="J486" s="23">
        <v>45869</v>
      </c>
      <c r="K486" s="6">
        <v>0</v>
      </c>
      <c r="L486" s="22">
        <v>16.8</v>
      </c>
      <c r="M486" s="22" t="s">
        <v>15</v>
      </c>
      <c r="N486" s="24">
        <v>45839</v>
      </c>
      <c r="O486" s="13" t="s">
        <v>1346</v>
      </c>
    </row>
    <row r="487" spans="1:15" x14ac:dyDescent="0.25">
      <c r="A487" s="7">
        <v>10515</v>
      </c>
      <c r="B487" s="25">
        <v>4056789012345</v>
      </c>
      <c r="C487" s="26" t="s">
        <v>47</v>
      </c>
      <c r="D487" s="26" t="s">
        <v>29</v>
      </c>
      <c r="E487" s="26" t="s">
        <v>37</v>
      </c>
      <c r="F487" s="8">
        <v>2.4</v>
      </c>
      <c r="G487" s="8">
        <v>2</v>
      </c>
      <c r="H487" s="26" t="s">
        <v>14</v>
      </c>
      <c r="I487" s="26" t="s">
        <v>15</v>
      </c>
      <c r="J487" s="27">
        <v>45869</v>
      </c>
      <c r="K487" s="8">
        <v>0</v>
      </c>
      <c r="L487" s="26">
        <v>4.8</v>
      </c>
      <c r="M487" s="26" t="s">
        <v>15</v>
      </c>
      <c r="N487" s="28">
        <v>45839</v>
      </c>
      <c r="O487" s="14" t="s">
        <v>1345</v>
      </c>
    </row>
    <row r="488" spans="1:15" x14ac:dyDescent="0.25">
      <c r="A488" s="5">
        <v>10516</v>
      </c>
      <c r="B488" s="21">
        <v>8599988776654</v>
      </c>
      <c r="C488" s="22" t="s">
        <v>393</v>
      </c>
      <c r="D488" s="22" t="s">
        <v>133</v>
      </c>
      <c r="E488" s="22" t="s">
        <v>17</v>
      </c>
      <c r="F488" s="6">
        <v>16.8</v>
      </c>
      <c r="G488" s="6">
        <v>2</v>
      </c>
      <c r="H488" s="22" t="s">
        <v>14</v>
      </c>
      <c r="I488" s="22" t="s">
        <v>15</v>
      </c>
      <c r="J488" s="23">
        <v>45869</v>
      </c>
      <c r="K488" s="6">
        <v>0</v>
      </c>
      <c r="L488" s="22">
        <v>33.6</v>
      </c>
      <c r="M488" s="22" t="s">
        <v>15</v>
      </c>
      <c r="N488" s="24">
        <v>45839</v>
      </c>
      <c r="O488" s="13" t="s">
        <v>1346</v>
      </c>
    </row>
    <row r="489" spans="1:15" x14ac:dyDescent="0.25">
      <c r="A489" s="7">
        <v>10517</v>
      </c>
      <c r="B489" s="25">
        <v>4017890123450</v>
      </c>
      <c r="C489" s="26" t="s">
        <v>65</v>
      </c>
      <c r="D489" s="26" t="s">
        <v>39</v>
      </c>
      <c r="E489" s="26" t="s">
        <v>22</v>
      </c>
      <c r="F489" s="8">
        <v>7.6</v>
      </c>
      <c r="G489" s="8">
        <v>1</v>
      </c>
      <c r="H489" s="26" t="s">
        <v>23</v>
      </c>
      <c r="I489" s="26" t="s">
        <v>504</v>
      </c>
      <c r="J489" s="27">
        <v>45869</v>
      </c>
      <c r="K489" s="8">
        <v>0</v>
      </c>
      <c r="L489" s="26">
        <v>7.6</v>
      </c>
      <c r="M489" s="26">
        <v>5</v>
      </c>
      <c r="N489" s="28">
        <v>45839</v>
      </c>
      <c r="O489" s="14" t="s">
        <v>1346</v>
      </c>
    </row>
    <row r="490" spans="1:15" x14ac:dyDescent="0.25">
      <c r="A490" s="5">
        <v>10518</v>
      </c>
      <c r="B490" s="21">
        <v>8599988776654</v>
      </c>
      <c r="C490" s="22" t="s">
        <v>393</v>
      </c>
      <c r="D490" s="22" t="s">
        <v>133</v>
      </c>
      <c r="E490" s="22" t="s">
        <v>17</v>
      </c>
      <c r="F490" s="6">
        <v>16.8</v>
      </c>
      <c r="G490" s="6">
        <v>1</v>
      </c>
      <c r="H490" s="22" t="s">
        <v>14</v>
      </c>
      <c r="I490" s="22" t="s">
        <v>15</v>
      </c>
      <c r="J490" s="23">
        <v>45869</v>
      </c>
      <c r="K490" s="6">
        <v>0</v>
      </c>
      <c r="L490" s="22">
        <v>16.8</v>
      </c>
      <c r="M490" s="22" t="s">
        <v>15</v>
      </c>
      <c r="N490" s="24">
        <v>45839</v>
      </c>
      <c r="O490" s="13" t="s">
        <v>1346</v>
      </c>
    </row>
    <row r="491" spans="1:15" x14ac:dyDescent="0.25">
      <c r="A491" s="7">
        <v>10519</v>
      </c>
      <c r="B491" s="25">
        <v>4010123456783</v>
      </c>
      <c r="C491" s="26" t="s">
        <v>35</v>
      </c>
      <c r="D491" s="26" t="s">
        <v>36</v>
      </c>
      <c r="E491" s="26" t="s">
        <v>37</v>
      </c>
      <c r="F491" s="8">
        <v>14</v>
      </c>
      <c r="G491" s="8">
        <v>1</v>
      </c>
      <c r="H491" s="26" t="s">
        <v>14</v>
      </c>
      <c r="I491" s="26" t="s">
        <v>15</v>
      </c>
      <c r="J491" s="27">
        <v>45869</v>
      </c>
      <c r="K491" s="8">
        <v>0</v>
      </c>
      <c r="L491" s="26">
        <v>14</v>
      </c>
      <c r="M491" s="26" t="s">
        <v>15</v>
      </c>
      <c r="N491" s="28">
        <v>45839</v>
      </c>
      <c r="O491" s="14" t="s">
        <v>1345</v>
      </c>
    </row>
    <row r="492" spans="1:15" x14ac:dyDescent="0.25">
      <c r="A492" s="5">
        <v>10520</v>
      </c>
      <c r="B492" s="21">
        <v>8599988776654</v>
      </c>
      <c r="C492" s="22" t="s">
        <v>393</v>
      </c>
      <c r="D492" s="22" t="s">
        <v>133</v>
      </c>
      <c r="E492" s="22" t="s">
        <v>17</v>
      </c>
      <c r="F492" s="6">
        <v>16.8</v>
      </c>
      <c r="G492" s="6">
        <v>1</v>
      </c>
      <c r="H492" s="22" t="s">
        <v>18</v>
      </c>
      <c r="I492" s="22" t="s">
        <v>505</v>
      </c>
      <c r="J492" s="23">
        <v>45869</v>
      </c>
      <c r="K492" s="6">
        <v>0</v>
      </c>
      <c r="L492" s="22">
        <v>16.8</v>
      </c>
      <c r="M492" s="22">
        <v>4</v>
      </c>
      <c r="N492" s="24">
        <v>45839</v>
      </c>
      <c r="O492" s="13" t="s">
        <v>1346</v>
      </c>
    </row>
    <row r="493" spans="1:15" x14ac:dyDescent="0.25">
      <c r="A493" s="7">
        <v>10521</v>
      </c>
      <c r="B493" s="25">
        <v>4028899001126</v>
      </c>
      <c r="C493" s="26" t="s">
        <v>16</v>
      </c>
      <c r="D493" s="26" t="s">
        <v>12</v>
      </c>
      <c r="E493" s="26" t="s">
        <v>17</v>
      </c>
      <c r="F493" s="8">
        <v>2.8</v>
      </c>
      <c r="G493" s="8">
        <v>3</v>
      </c>
      <c r="H493" s="26" t="s">
        <v>14</v>
      </c>
      <c r="I493" s="26" t="s">
        <v>15</v>
      </c>
      <c r="J493" s="27">
        <v>45869</v>
      </c>
      <c r="K493" s="8">
        <v>0</v>
      </c>
      <c r="L493" s="26">
        <v>8.3999999999999986</v>
      </c>
      <c r="M493" s="26" t="s">
        <v>15</v>
      </c>
      <c r="N493" s="28">
        <v>45839</v>
      </c>
      <c r="O493" s="14" t="s">
        <v>1346</v>
      </c>
    </row>
    <row r="494" spans="1:15" x14ac:dyDescent="0.25">
      <c r="A494" s="5">
        <v>10522</v>
      </c>
      <c r="B494" s="21">
        <v>8599988776654</v>
      </c>
      <c r="C494" s="22" t="s">
        <v>393</v>
      </c>
      <c r="D494" s="22" t="s">
        <v>133</v>
      </c>
      <c r="E494" s="22" t="s">
        <v>17</v>
      </c>
      <c r="F494" s="6">
        <v>16.8</v>
      </c>
      <c r="G494" s="6">
        <v>1</v>
      </c>
      <c r="H494" s="22" t="s">
        <v>14</v>
      </c>
      <c r="I494" s="22" t="s">
        <v>15</v>
      </c>
      <c r="J494" s="23">
        <v>45869</v>
      </c>
      <c r="K494" s="6">
        <v>0</v>
      </c>
      <c r="L494" s="22">
        <v>16.8</v>
      </c>
      <c r="M494" s="22" t="s">
        <v>15</v>
      </c>
      <c r="N494" s="24">
        <v>45839</v>
      </c>
      <c r="O494" s="13" t="s">
        <v>1346</v>
      </c>
    </row>
    <row r="495" spans="1:15" x14ac:dyDescent="0.25">
      <c r="A495" s="7">
        <v>10523</v>
      </c>
      <c r="B495" s="25">
        <v>4056789012345</v>
      </c>
      <c r="C495" s="26" t="s">
        <v>47</v>
      </c>
      <c r="D495" s="26" t="s">
        <v>29</v>
      </c>
      <c r="E495" s="26" t="s">
        <v>37</v>
      </c>
      <c r="F495" s="8">
        <v>2.4</v>
      </c>
      <c r="G495" s="8">
        <v>2</v>
      </c>
      <c r="H495" s="26" t="s">
        <v>14</v>
      </c>
      <c r="I495" s="26" t="s">
        <v>15</v>
      </c>
      <c r="J495" s="27">
        <v>45869</v>
      </c>
      <c r="K495" s="8">
        <v>0</v>
      </c>
      <c r="L495" s="26">
        <v>4.8</v>
      </c>
      <c r="M495" s="26" t="s">
        <v>15</v>
      </c>
      <c r="N495" s="28">
        <v>45839</v>
      </c>
      <c r="O495" s="14" t="s">
        <v>1345</v>
      </c>
    </row>
    <row r="496" spans="1:15" x14ac:dyDescent="0.25">
      <c r="A496" s="5">
        <v>10524</v>
      </c>
      <c r="B496" s="21">
        <v>8599988776654</v>
      </c>
      <c r="C496" s="22" t="s">
        <v>393</v>
      </c>
      <c r="D496" s="22" t="s">
        <v>133</v>
      </c>
      <c r="E496" s="22" t="s">
        <v>17</v>
      </c>
      <c r="F496" s="6">
        <v>16.8</v>
      </c>
      <c r="G496" s="6">
        <v>2</v>
      </c>
      <c r="H496" s="22" t="s">
        <v>23</v>
      </c>
      <c r="I496" s="22" t="s">
        <v>506</v>
      </c>
      <c r="J496" s="23">
        <v>45869</v>
      </c>
      <c r="K496" s="6">
        <v>0</v>
      </c>
      <c r="L496" s="22">
        <v>33.6</v>
      </c>
      <c r="M496" s="22">
        <v>5</v>
      </c>
      <c r="N496" s="24">
        <v>45839</v>
      </c>
      <c r="O496" s="13" t="s">
        <v>1346</v>
      </c>
    </row>
    <row r="497" spans="1:15" x14ac:dyDescent="0.25">
      <c r="A497" s="7">
        <v>10525</v>
      </c>
      <c r="B497" s="25">
        <v>4013456789017</v>
      </c>
      <c r="C497" s="26" t="s">
        <v>11</v>
      </c>
      <c r="D497" s="26" t="s">
        <v>12</v>
      </c>
      <c r="E497" s="26" t="s">
        <v>13</v>
      </c>
      <c r="F497" s="8">
        <v>6</v>
      </c>
      <c r="G497" s="8">
        <v>1</v>
      </c>
      <c r="H497" s="26" t="s">
        <v>14</v>
      </c>
      <c r="I497" s="26" t="s">
        <v>15</v>
      </c>
      <c r="J497" s="27">
        <v>45869</v>
      </c>
      <c r="K497" s="8">
        <v>0</v>
      </c>
      <c r="L497" s="26">
        <v>6</v>
      </c>
      <c r="M497" s="26" t="s">
        <v>15</v>
      </c>
      <c r="N497" s="28">
        <v>45839</v>
      </c>
      <c r="O497" s="14" t="s">
        <v>1346</v>
      </c>
    </row>
    <row r="498" spans="1:15" x14ac:dyDescent="0.25">
      <c r="A498" s="5">
        <v>10526</v>
      </c>
      <c r="B498" s="21">
        <v>8599988776654</v>
      </c>
      <c r="C498" s="22" t="s">
        <v>393</v>
      </c>
      <c r="D498" s="22" t="s">
        <v>133</v>
      </c>
      <c r="E498" s="22" t="s">
        <v>17</v>
      </c>
      <c r="F498" s="6">
        <v>16.8</v>
      </c>
      <c r="G498" s="6">
        <v>1</v>
      </c>
      <c r="H498" s="22" t="s">
        <v>14</v>
      </c>
      <c r="I498" s="22" t="s">
        <v>15</v>
      </c>
      <c r="J498" s="23">
        <v>45869</v>
      </c>
      <c r="K498" s="6">
        <v>0</v>
      </c>
      <c r="L498" s="22">
        <v>16.8</v>
      </c>
      <c r="M498" s="22" t="s">
        <v>15</v>
      </c>
      <c r="N498" s="24">
        <v>45839</v>
      </c>
      <c r="O498" s="13" t="s">
        <v>1346</v>
      </c>
    </row>
    <row r="499" spans="1:15" x14ac:dyDescent="0.25">
      <c r="A499" s="7">
        <v>10527</v>
      </c>
      <c r="B499" s="25">
        <v>4027788990013</v>
      </c>
      <c r="C499" s="26" t="s">
        <v>43</v>
      </c>
      <c r="D499" s="26" t="s">
        <v>21</v>
      </c>
      <c r="E499" s="26" t="s">
        <v>22</v>
      </c>
      <c r="F499" s="8">
        <v>8</v>
      </c>
      <c r="G499" s="8">
        <v>1</v>
      </c>
      <c r="H499" s="26" t="s">
        <v>18</v>
      </c>
      <c r="I499" s="26" t="s">
        <v>507</v>
      </c>
      <c r="J499" s="27">
        <v>45869</v>
      </c>
      <c r="K499" s="8">
        <v>0</v>
      </c>
      <c r="L499" s="26">
        <v>8</v>
      </c>
      <c r="M499" s="26">
        <v>4</v>
      </c>
      <c r="N499" s="28">
        <v>45839</v>
      </c>
      <c r="O499" s="14" t="s">
        <v>1346</v>
      </c>
    </row>
    <row r="500" spans="1:15" x14ac:dyDescent="0.25">
      <c r="A500" s="5">
        <v>10528</v>
      </c>
      <c r="B500" s="21">
        <v>8599988776654</v>
      </c>
      <c r="C500" s="22" t="s">
        <v>393</v>
      </c>
      <c r="D500" s="22" t="s">
        <v>133</v>
      </c>
      <c r="E500" s="22" t="s">
        <v>17</v>
      </c>
      <c r="F500" s="6">
        <v>16.8</v>
      </c>
      <c r="G500" s="6">
        <v>1</v>
      </c>
      <c r="H500" s="22" t="s">
        <v>14</v>
      </c>
      <c r="I500" s="22" t="s">
        <v>15</v>
      </c>
      <c r="J500" s="23">
        <v>45869</v>
      </c>
      <c r="K500" s="6">
        <v>0</v>
      </c>
      <c r="L500" s="22">
        <v>16.8</v>
      </c>
      <c r="M500" s="22" t="s">
        <v>15</v>
      </c>
      <c r="N500" s="24">
        <v>45839</v>
      </c>
      <c r="O500" s="13" t="s">
        <v>1346</v>
      </c>
    </row>
    <row r="501" spans="1:15" x14ac:dyDescent="0.25">
      <c r="A501" s="7">
        <v>10529</v>
      </c>
      <c r="B501" s="25">
        <v>4017890123450</v>
      </c>
      <c r="C501" s="26" t="s">
        <v>65</v>
      </c>
      <c r="D501" s="26" t="s">
        <v>39</v>
      </c>
      <c r="E501" s="26" t="s">
        <v>22</v>
      </c>
      <c r="F501" s="8">
        <v>7.6</v>
      </c>
      <c r="G501" s="8">
        <v>1</v>
      </c>
      <c r="H501" s="26" t="s">
        <v>14</v>
      </c>
      <c r="I501" s="26" t="s">
        <v>15</v>
      </c>
      <c r="J501" s="27">
        <v>45869</v>
      </c>
      <c r="K501" s="8">
        <v>0</v>
      </c>
      <c r="L501" s="26">
        <v>7.6</v>
      </c>
      <c r="M501" s="26" t="s">
        <v>15</v>
      </c>
      <c r="N501" s="28">
        <v>45839</v>
      </c>
      <c r="O501" s="14" t="s">
        <v>1346</v>
      </c>
    </row>
    <row r="502" spans="1:15" x14ac:dyDescent="0.25">
      <c r="A502" s="5">
        <v>10530</v>
      </c>
      <c r="B502" s="21">
        <v>8599988776654</v>
      </c>
      <c r="C502" s="22" t="s">
        <v>393</v>
      </c>
      <c r="D502" s="22" t="s">
        <v>133</v>
      </c>
      <c r="E502" s="22" t="s">
        <v>17</v>
      </c>
      <c r="F502" s="6">
        <v>16.8</v>
      </c>
      <c r="G502" s="6">
        <v>1</v>
      </c>
      <c r="H502" s="22" t="s">
        <v>18</v>
      </c>
      <c r="I502" s="22" t="s">
        <v>508</v>
      </c>
      <c r="J502" s="23">
        <v>45869</v>
      </c>
      <c r="K502" s="6">
        <v>0</v>
      </c>
      <c r="L502" s="22">
        <v>16.8</v>
      </c>
      <c r="M502" s="22">
        <v>4</v>
      </c>
      <c r="N502" s="24">
        <v>45839</v>
      </c>
      <c r="O502" s="13" t="s">
        <v>1346</v>
      </c>
    </row>
    <row r="503" spans="1:15" x14ac:dyDescent="0.25">
      <c r="A503" s="7">
        <v>10531</v>
      </c>
      <c r="B503" s="25">
        <v>4010123456783</v>
      </c>
      <c r="C503" s="26" t="s">
        <v>35</v>
      </c>
      <c r="D503" s="26" t="s">
        <v>36</v>
      </c>
      <c r="E503" s="26" t="s">
        <v>37</v>
      </c>
      <c r="F503" s="8">
        <v>14</v>
      </c>
      <c r="G503" s="8">
        <v>1</v>
      </c>
      <c r="H503" s="26" t="s">
        <v>14</v>
      </c>
      <c r="I503" s="26" t="s">
        <v>15</v>
      </c>
      <c r="J503" s="27">
        <v>45869</v>
      </c>
      <c r="K503" s="8">
        <v>0</v>
      </c>
      <c r="L503" s="26">
        <v>14</v>
      </c>
      <c r="M503" s="26" t="s">
        <v>15</v>
      </c>
      <c r="N503" s="28">
        <v>45839</v>
      </c>
      <c r="O503" s="14" t="s">
        <v>1345</v>
      </c>
    </row>
    <row r="504" spans="1:15" x14ac:dyDescent="0.25">
      <c r="A504" s="5">
        <v>10532</v>
      </c>
      <c r="B504" s="21">
        <v>8599988776654</v>
      </c>
      <c r="C504" s="22" t="s">
        <v>393</v>
      </c>
      <c r="D504" s="22" t="s">
        <v>133</v>
      </c>
      <c r="E504" s="22" t="s">
        <v>17</v>
      </c>
      <c r="F504" s="6">
        <v>16.8</v>
      </c>
      <c r="G504" s="6">
        <v>2</v>
      </c>
      <c r="H504" s="22" t="s">
        <v>14</v>
      </c>
      <c r="I504" s="22" t="s">
        <v>15</v>
      </c>
      <c r="J504" s="23">
        <v>45869</v>
      </c>
      <c r="K504" s="6">
        <v>0</v>
      </c>
      <c r="L504" s="22">
        <v>33.6</v>
      </c>
      <c r="M504" s="22" t="s">
        <v>15</v>
      </c>
      <c r="N504" s="24">
        <v>45839</v>
      </c>
      <c r="O504" s="13" t="s">
        <v>1346</v>
      </c>
    </row>
    <row r="505" spans="1:15" x14ac:dyDescent="0.25">
      <c r="A505" s="7">
        <v>10533</v>
      </c>
      <c r="B505" s="25">
        <v>4063456789014</v>
      </c>
      <c r="C505" s="26" t="s">
        <v>60</v>
      </c>
      <c r="D505" s="26" t="s">
        <v>12</v>
      </c>
      <c r="E505" s="26" t="s">
        <v>61</v>
      </c>
      <c r="F505" s="8">
        <v>36</v>
      </c>
      <c r="G505" s="8">
        <v>1</v>
      </c>
      <c r="H505" s="26" t="s">
        <v>23</v>
      </c>
      <c r="I505" s="26" t="s">
        <v>509</v>
      </c>
      <c r="J505" s="27">
        <v>45869</v>
      </c>
      <c r="K505" s="8">
        <v>0</v>
      </c>
      <c r="L505" s="26">
        <v>36</v>
      </c>
      <c r="M505" s="26">
        <v>5</v>
      </c>
      <c r="N505" s="28">
        <v>45839</v>
      </c>
      <c r="O505" s="14" t="s">
        <v>1346</v>
      </c>
    </row>
    <row r="506" spans="1:15" x14ac:dyDescent="0.25">
      <c r="A506" s="5">
        <v>10534</v>
      </c>
      <c r="B506" s="21">
        <v>8599988776654</v>
      </c>
      <c r="C506" s="22" t="s">
        <v>393</v>
      </c>
      <c r="D506" s="22" t="s">
        <v>133</v>
      </c>
      <c r="E506" s="22" t="s">
        <v>17</v>
      </c>
      <c r="F506" s="6">
        <v>16.8</v>
      </c>
      <c r="G506" s="6">
        <v>1</v>
      </c>
      <c r="H506" s="22" t="s">
        <v>14</v>
      </c>
      <c r="I506" s="22" t="s">
        <v>15</v>
      </c>
      <c r="J506" s="23">
        <v>45869</v>
      </c>
      <c r="K506" s="6">
        <v>0</v>
      </c>
      <c r="L506" s="22">
        <v>16.8</v>
      </c>
      <c r="M506" s="22" t="s">
        <v>15</v>
      </c>
      <c r="N506" s="24">
        <v>45839</v>
      </c>
      <c r="O506" s="13" t="s">
        <v>1346</v>
      </c>
    </row>
    <row r="507" spans="1:15" x14ac:dyDescent="0.25">
      <c r="A507" s="7">
        <v>10535</v>
      </c>
      <c r="B507" s="25">
        <v>4021234567894</v>
      </c>
      <c r="C507" s="26" t="s">
        <v>79</v>
      </c>
      <c r="D507" s="26" t="s">
        <v>36</v>
      </c>
      <c r="E507" s="26" t="s">
        <v>69</v>
      </c>
      <c r="F507" s="8">
        <v>8</v>
      </c>
      <c r="G507" s="8">
        <v>1</v>
      </c>
      <c r="H507" s="26" t="s">
        <v>14</v>
      </c>
      <c r="I507" s="26" t="s">
        <v>15</v>
      </c>
      <c r="J507" s="27">
        <v>45869</v>
      </c>
      <c r="K507" s="8">
        <v>0</v>
      </c>
      <c r="L507" s="26">
        <v>8</v>
      </c>
      <c r="M507" s="26" t="s">
        <v>15</v>
      </c>
      <c r="N507" s="28">
        <v>45839</v>
      </c>
      <c r="O507" s="14" t="s">
        <v>1345</v>
      </c>
    </row>
    <row r="508" spans="1:15" x14ac:dyDescent="0.25">
      <c r="A508" s="5">
        <v>10536</v>
      </c>
      <c r="B508" s="21">
        <v>8599988776654</v>
      </c>
      <c r="C508" s="22" t="s">
        <v>393</v>
      </c>
      <c r="D508" s="22" t="s">
        <v>133</v>
      </c>
      <c r="E508" s="22" t="s">
        <v>17</v>
      </c>
      <c r="F508" s="6">
        <v>16.8</v>
      </c>
      <c r="G508" s="6">
        <v>1</v>
      </c>
      <c r="H508" s="22" t="s">
        <v>33</v>
      </c>
      <c r="I508" s="22" t="s">
        <v>510</v>
      </c>
      <c r="J508" s="23">
        <v>45869</v>
      </c>
      <c r="K508" s="6">
        <v>0</v>
      </c>
      <c r="L508" s="22">
        <v>16.8</v>
      </c>
      <c r="M508" s="22">
        <v>3</v>
      </c>
      <c r="N508" s="24">
        <v>45839</v>
      </c>
      <c r="O508" s="13" t="s">
        <v>1346</v>
      </c>
    </row>
    <row r="509" spans="1:15" x14ac:dyDescent="0.25">
      <c r="A509" s="7">
        <v>10537</v>
      </c>
      <c r="B509" s="25">
        <v>4056789012345</v>
      </c>
      <c r="C509" s="26" t="s">
        <v>47</v>
      </c>
      <c r="D509" s="26" t="s">
        <v>29</v>
      </c>
      <c r="E509" s="26" t="s">
        <v>37</v>
      </c>
      <c r="F509" s="8">
        <v>2.4</v>
      </c>
      <c r="G509" s="8">
        <v>2</v>
      </c>
      <c r="H509" s="26" t="s">
        <v>14</v>
      </c>
      <c r="I509" s="26" t="s">
        <v>15</v>
      </c>
      <c r="J509" s="27">
        <v>45869</v>
      </c>
      <c r="K509" s="8">
        <v>0</v>
      </c>
      <c r="L509" s="26">
        <v>4.8</v>
      </c>
      <c r="M509" s="26" t="s">
        <v>15</v>
      </c>
      <c r="N509" s="28">
        <v>45839</v>
      </c>
      <c r="O509" s="14" t="s">
        <v>1345</v>
      </c>
    </row>
    <row r="510" spans="1:15" x14ac:dyDescent="0.25">
      <c r="A510" s="5">
        <v>10538</v>
      </c>
      <c r="B510" s="21">
        <v>8599988776654</v>
      </c>
      <c r="C510" s="22" t="s">
        <v>393</v>
      </c>
      <c r="D510" s="22" t="s">
        <v>133</v>
      </c>
      <c r="E510" s="22" t="s">
        <v>17</v>
      </c>
      <c r="F510" s="6">
        <v>16.8</v>
      </c>
      <c r="G510" s="6">
        <v>1</v>
      </c>
      <c r="H510" s="22" t="s">
        <v>14</v>
      </c>
      <c r="I510" s="22" t="s">
        <v>15</v>
      </c>
      <c r="J510" s="23">
        <v>45869</v>
      </c>
      <c r="K510" s="6">
        <v>0</v>
      </c>
      <c r="L510" s="22">
        <v>16.8</v>
      </c>
      <c r="M510" s="22" t="s">
        <v>15</v>
      </c>
      <c r="N510" s="24">
        <v>45839</v>
      </c>
      <c r="O510" s="13" t="s">
        <v>1346</v>
      </c>
    </row>
    <row r="511" spans="1:15" x14ac:dyDescent="0.25">
      <c r="A511" s="7">
        <v>10539</v>
      </c>
      <c r="B511" s="25">
        <v>4013456789017</v>
      </c>
      <c r="C511" s="26" t="s">
        <v>11</v>
      </c>
      <c r="D511" s="26" t="s">
        <v>12</v>
      </c>
      <c r="E511" s="26" t="s">
        <v>13</v>
      </c>
      <c r="F511" s="8">
        <v>6</v>
      </c>
      <c r="G511" s="8">
        <v>1</v>
      </c>
      <c r="H511" s="26" t="s">
        <v>14</v>
      </c>
      <c r="I511" s="26" t="s">
        <v>15</v>
      </c>
      <c r="J511" s="27">
        <v>45869</v>
      </c>
      <c r="K511" s="8">
        <v>0</v>
      </c>
      <c r="L511" s="26">
        <v>6</v>
      </c>
      <c r="M511" s="26" t="s">
        <v>15</v>
      </c>
      <c r="N511" s="28">
        <v>45839</v>
      </c>
      <c r="O511" s="14" t="s">
        <v>1346</v>
      </c>
    </row>
    <row r="512" spans="1:15" x14ac:dyDescent="0.25">
      <c r="A512" s="5">
        <v>10540</v>
      </c>
      <c r="B512" s="21">
        <v>8599988776654</v>
      </c>
      <c r="C512" s="22" t="s">
        <v>393</v>
      </c>
      <c r="D512" s="22" t="s">
        <v>133</v>
      </c>
      <c r="E512" s="22" t="s">
        <v>17</v>
      </c>
      <c r="F512" s="6">
        <v>16.8</v>
      </c>
      <c r="G512" s="6">
        <v>2</v>
      </c>
      <c r="H512" s="22" t="s">
        <v>14</v>
      </c>
      <c r="I512" s="22" t="s">
        <v>15</v>
      </c>
      <c r="J512" s="23">
        <v>45869</v>
      </c>
      <c r="K512" s="6">
        <v>0</v>
      </c>
      <c r="L512" s="22">
        <v>33.6</v>
      </c>
      <c r="M512" s="22" t="s">
        <v>15</v>
      </c>
      <c r="N512" s="24">
        <v>45839</v>
      </c>
      <c r="O512" s="13" t="s">
        <v>1346</v>
      </c>
    </row>
    <row r="513" spans="1:15" x14ac:dyDescent="0.25">
      <c r="A513" s="7">
        <v>10541</v>
      </c>
      <c r="B513" s="25">
        <v>4017890123450</v>
      </c>
      <c r="C513" s="26" t="s">
        <v>65</v>
      </c>
      <c r="D513" s="26" t="s">
        <v>39</v>
      </c>
      <c r="E513" s="26" t="s">
        <v>22</v>
      </c>
      <c r="F513" s="8">
        <v>7.6</v>
      </c>
      <c r="G513" s="8">
        <v>1</v>
      </c>
      <c r="H513" s="26" t="s">
        <v>23</v>
      </c>
      <c r="I513" s="26" t="s">
        <v>511</v>
      </c>
      <c r="J513" s="27">
        <v>45869</v>
      </c>
      <c r="K513" s="8">
        <v>0</v>
      </c>
      <c r="L513" s="26">
        <v>7.6</v>
      </c>
      <c r="M513" s="26">
        <v>5</v>
      </c>
      <c r="N513" s="28">
        <v>45839</v>
      </c>
      <c r="O513" s="14" t="s">
        <v>1346</v>
      </c>
    </row>
    <row r="514" spans="1:15" x14ac:dyDescent="0.25">
      <c r="A514" s="5">
        <v>10542</v>
      </c>
      <c r="B514" s="21">
        <v>8599988776654</v>
      </c>
      <c r="C514" s="22" t="s">
        <v>393</v>
      </c>
      <c r="D514" s="22" t="s">
        <v>133</v>
      </c>
      <c r="E514" s="22" t="s">
        <v>17</v>
      </c>
      <c r="F514" s="6">
        <v>16.8</v>
      </c>
      <c r="G514" s="6">
        <v>1</v>
      </c>
      <c r="H514" s="22" t="s">
        <v>14</v>
      </c>
      <c r="I514" s="22" t="s">
        <v>15</v>
      </c>
      <c r="J514" s="23">
        <v>45869</v>
      </c>
      <c r="K514" s="6">
        <v>0</v>
      </c>
      <c r="L514" s="22">
        <v>16.8</v>
      </c>
      <c r="M514" s="22" t="s">
        <v>15</v>
      </c>
      <c r="N514" s="24">
        <v>45839</v>
      </c>
      <c r="O514" s="13" t="s">
        <v>1346</v>
      </c>
    </row>
    <row r="515" spans="1:15" x14ac:dyDescent="0.25">
      <c r="A515" s="7">
        <v>10543</v>
      </c>
      <c r="B515" s="25">
        <v>4010123456783</v>
      </c>
      <c r="C515" s="26" t="s">
        <v>35</v>
      </c>
      <c r="D515" s="26" t="s">
        <v>36</v>
      </c>
      <c r="E515" s="26" t="s">
        <v>37</v>
      </c>
      <c r="F515" s="8">
        <v>14</v>
      </c>
      <c r="G515" s="8">
        <v>1</v>
      </c>
      <c r="H515" s="26" t="s">
        <v>14</v>
      </c>
      <c r="I515" s="26" t="s">
        <v>15</v>
      </c>
      <c r="J515" s="27">
        <v>45869</v>
      </c>
      <c r="K515" s="8">
        <v>0</v>
      </c>
      <c r="L515" s="26">
        <v>14</v>
      </c>
      <c r="M515" s="26" t="s">
        <v>15</v>
      </c>
      <c r="N515" s="28">
        <v>45839</v>
      </c>
      <c r="O515" s="14" t="s">
        <v>1345</v>
      </c>
    </row>
    <row r="516" spans="1:15" x14ac:dyDescent="0.25">
      <c r="A516" s="5">
        <v>10544</v>
      </c>
      <c r="B516" s="21">
        <v>8599988776654</v>
      </c>
      <c r="C516" s="22" t="s">
        <v>393</v>
      </c>
      <c r="D516" s="22" t="s">
        <v>133</v>
      </c>
      <c r="E516" s="22" t="s">
        <v>17</v>
      </c>
      <c r="F516" s="6">
        <v>16.8</v>
      </c>
      <c r="G516" s="6">
        <v>1</v>
      </c>
      <c r="H516" s="22" t="s">
        <v>18</v>
      </c>
      <c r="I516" s="22" t="s">
        <v>512</v>
      </c>
      <c r="J516" s="23">
        <v>45869</v>
      </c>
      <c r="K516" s="6">
        <v>0</v>
      </c>
      <c r="L516" s="22">
        <v>16.8</v>
      </c>
      <c r="M516" s="22">
        <v>4</v>
      </c>
      <c r="N516" s="24">
        <v>45839</v>
      </c>
      <c r="O516" s="13" t="s">
        <v>1346</v>
      </c>
    </row>
    <row r="517" spans="1:15" x14ac:dyDescent="0.25">
      <c r="A517" s="7">
        <v>10545</v>
      </c>
      <c r="B517" s="25">
        <v>4028899001126</v>
      </c>
      <c r="C517" s="26" t="s">
        <v>16</v>
      </c>
      <c r="D517" s="26" t="s">
        <v>12</v>
      </c>
      <c r="E517" s="26" t="s">
        <v>17</v>
      </c>
      <c r="F517" s="8">
        <v>2.8</v>
      </c>
      <c r="G517" s="8">
        <v>2</v>
      </c>
      <c r="H517" s="26" t="s">
        <v>14</v>
      </c>
      <c r="I517" s="26" t="s">
        <v>15</v>
      </c>
      <c r="J517" s="27">
        <v>45869</v>
      </c>
      <c r="K517" s="8">
        <v>0</v>
      </c>
      <c r="L517" s="26">
        <v>5.6</v>
      </c>
      <c r="M517" s="26" t="s">
        <v>15</v>
      </c>
      <c r="N517" s="28">
        <v>45839</v>
      </c>
      <c r="O517" s="14" t="s">
        <v>1346</v>
      </c>
    </row>
    <row r="518" spans="1:15" x14ac:dyDescent="0.25">
      <c r="A518" s="5">
        <v>10546</v>
      </c>
      <c r="B518" s="21">
        <v>8599988776654</v>
      </c>
      <c r="C518" s="22" t="s">
        <v>393</v>
      </c>
      <c r="D518" s="22" t="s">
        <v>133</v>
      </c>
      <c r="E518" s="22" t="s">
        <v>17</v>
      </c>
      <c r="F518" s="6">
        <v>16.8</v>
      </c>
      <c r="G518" s="6">
        <v>1</v>
      </c>
      <c r="H518" s="22" t="s">
        <v>14</v>
      </c>
      <c r="I518" s="22" t="s">
        <v>15</v>
      </c>
      <c r="J518" s="23">
        <v>45869</v>
      </c>
      <c r="K518" s="6">
        <v>0</v>
      </c>
      <c r="L518" s="22">
        <v>16.8</v>
      </c>
      <c r="M518" s="22" t="s">
        <v>15</v>
      </c>
      <c r="N518" s="24">
        <v>45839</v>
      </c>
      <c r="O518" s="13" t="s">
        <v>1346</v>
      </c>
    </row>
    <row r="519" spans="1:15" x14ac:dyDescent="0.25">
      <c r="A519" s="7">
        <v>10547</v>
      </c>
      <c r="B519" s="25">
        <v>4056789012345</v>
      </c>
      <c r="C519" s="26" t="s">
        <v>47</v>
      </c>
      <c r="D519" s="26" t="s">
        <v>29</v>
      </c>
      <c r="E519" s="26" t="s">
        <v>37</v>
      </c>
      <c r="F519" s="8">
        <v>2.4</v>
      </c>
      <c r="G519" s="8">
        <v>1</v>
      </c>
      <c r="H519" s="26" t="s">
        <v>14</v>
      </c>
      <c r="I519" s="26" t="s">
        <v>15</v>
      </c>
      <c r="J519" s="27">
        <v>45869</v>
      </c>
      <c r="K519" s="8">
        <v>0</v>
      </c>
      <c r="L519" s="26">
        <v>2.4</v>
      </c>
      <c r="M519" s="26" t="s">
        <v>15</v>
      </c>
      <c r="N519" s="28">
        <v>45839</v>
      </c>
      <c r="O519" s="14" t="s">
        <v>1345</v>
      </c>
    </row>
    <row r="520" spans="1:15" x14ac:dyDescent="0.25">
      <c r="A520" s="5">
        <v>10548</v>
      </c>
      <c r="B520" s="21">
        <v>8599988776654</v>
      </c>
      <c r="C520" s="22" t="s">
        <v>393</v>
      </c>
      <c r="D520" s="22" t="s">
        <v>133</v>
      </c>
      <c r="E520" s="22" t="s">
        <v>17</v>
      </c>
      <c r="F520" s="6">
        <v>16.8</v>
      </c>
      <c r="G520" s="6">
        <v>1</v>
      </c>
      <c r="H520" s="22" t="s">
        <v>23</v>
      </c>
      <c r="I520" s="22" t="s">
        <v>513</v>
      </c>
      <c r="J520" s="23">
        <v>45869</v>
      </c>
      <c r="K520" s="6">
        <v>0</v>
      </c>
      <c r="L520" s="22">
        <v>16.8</v>
      </c>
      <c r="M520" s="22">
        <v>5</v>
      </c>
      <c r="N520" s="24">
        <v>45839</v>
      </c>
      <c r="O520" s="13" t="s">
        <v>1346</v>
      </c>
    </row>
    <row r="521" spans="1:15" x14ac:dyDescent="0.25">
      <c r="A521" s="7">
        <v>10549</v>
      </c>
      <c r="B521" s="25">
        <v>4017890123450</v>
      </c>
      <c r="C521" s="26" t="s">
        <v>65</v>
      </c>
      <c r="D521" s="26" t="s">
        <v>39</v>
      </c>
      <c r="E521" s="26" t="s">
        <v>22</v>
      </c>
      <c r="F521" s="8">
        <v>7.6</v>
      </c>
      <c r="G521" s="8">
        <v>1</v>
      </c>
      <c r="H521" s="26" t="s">
        <v>14</v>
      </c>
      <c r="I521" s="26" t="s">
        <v>15</v>
      </c>
      <c r="J521" s="27">
        <v>45869</v>
      </c>
      <c r="K521" s="8">
        <v>0</v>
      </c>
      <c r="L521" s="26">
        <v>7.6</v>
      </c>
      <c r="M521" s="26" t="s">
        <v>15</v>
      </c>
      <c r="N521" s="28">
        <v>45839</v>
      </c>
      <c r="O521" s="14" t="s">
        <v>1346</v>
      </c>
    </row>
    <row r="522" spans="1:15" x14ac:dyDescent="0.25">
      <c r="A522" s="5">
        <v>10550</v>
      </c>
      <c r="B522" s="21">
        <v>8599988776654</v>
      </c>
      <c r="C522" s="22" t="s">
        <v>393</v>
      </c>
      <c r="D522" s="22" t="s">
        <v>133</v>
      </c>
      <c r="E522" s="22" t="s">
        <v>17</v>
      </c>
      <c r="F522" s="6">
        <v>16.8</v>
      </c>
      <c r="G522" s="6">
        <v>2</v>
      </c>
      <c r="H522" s="22" t="s">
        <v>14</v>
      </c>
      <c r="I522" s="22" t="s">
        <v>15</v>
      </c>
      <c r="J522" s="23">
        <v>45869</v>
      </c>
      <c r="K522" s="6">
        <v>0</v>
      </c>
      <c r="L522" s="22">
        <v>33.6</v>
      </c>
      <c r="M522" s="22" t="s">
        <v>15</v>
      </c>
      <c r="N522" s="24">
        <v>45839</v>
      </c>
      <c r="O522" s="13" t="s">
        <v>1346</v>
      </c>
    </row>
    <row r="523" spans="1:15" x14ac:dyDescent="0.25">
      <c r="A523" s="7">
        <v>10551</v>
      </c>
      <c r="B523" s="25">
        <v>4010123456783</v>
      </c>
      <c r="C523" s="26" t="s">
        <v>35</v>
      </c>
      <c r="D523" s="26" t="s">
        <v>36</v>
      </c>
      <c r="E523" s="26" t="s">
        <v>37</v>
      </c>
      <c r="F523" s="8">
        <v>14</v>
      </c>
      <c r="G523" s="8">
        <v>1</v>
      </c>
      <c r="H523" s="26" t="s">
        <v>14</v>
      </c>
      <c r="I523" s="26" t="s">
        <v>15</v>
      </c>
      <c r="J523" s="27">
        <v>45869</v>
      </c>
      <c r="K523" s="8">
        <v>0</v>
      </c>
      <c r="L523" s="26">
        <v>14</v>
      </c>
      <c r="M523" s="26" t="s">
        <v>15</v>
      </c>
      <c r="N523" s="28">
        <v>45839</v>
      </c>
      <c r="O523" s="14" t="s">
        <v>1345</v>
      </c>
    </row>
    <row r="524" spans="1:15" x14ac:dyDescent="0.25">
      <c r="A524" s="5">
        <v>10552</v>
      </c>
      <c r="B524" s="21">
        <v>8599988776654</v>
      </c>
      <c r="C524" s="22" t="s">
        <v>393</v>
      </c>
      <c r="D524" s="22" t="s">
        <v>133</v>
      </c>
      <c r="E524" s="22" t="s">
        <v>17</v>
      </c>
      <c r="F524" s="6">
        <v>16.8</v>
      </c>
      <c r="G524" s="6">
        <v>1</v>
      </c>
      <c r="H524" s="22" t="s">
        <v>14</v>
      </c>
      <c r="I524" s="22" t="s">
        <v>15</v>
      </c>
      <c r="J524" s="23">
        <v>45869</v>
      </c>
      <c r="K524" s="6">
        <v>0</v>
      </c>
      <c r="L524" s="22">
        <v>16.8</v>
      </c>
      <c r="M524" s="22" t="s">
        <v>15</v>
      </c>
      <c r="N524" s="24">
        <v>45839</v>
      </c>
      <c r="O524" s="13" t="s">
        <v>1346</v>
      </c>
    </row>
    <row r="525" spans="1:15" x14ac:dyDescent="0.25">
      <c r="A525" s="7">
        <v>10553</v>
      </c>
      <c r="B525" s="25">
        <v>4063456789014</v>
      </c>
      <c r="C525" s="26" t="s">
        <v>60</v>
      </c>
      <c r="D525" s="26" t="s">
        <v>12</v>
      </c>
      <c r="E525" s="26" t="s">
        <v>61</v>
      </c>
      <c r="F525" s="8">
        <v>36</v>
      </c>
      <c r="G525" s="8">
        <v>1</v>
      </c>
      <c r="H525" s="26" t="s">
        <v>18</v>
      </c>
      <c r="I525" s="26" t="s">
        <v>514</v>
      </c>
      <c r="J525" s="27">
        <v>45869</v>
      </c>
      <c r="K525" s="8">
        <v>0</v>
      </c>
      <c r="L525" s="26">
        <v>36</v>
      </c>
      <c r="M525" s="26">
        <v>4</v>
      </c>
      <c r="N525" s="28">
        <v>45839</v>
      </c>
      <c r="O525" s="14" t="s">
        <v>1346</v>
      </c>
    </row>
    <row r="526" spans="1:15" x14ac:dyDescent="0.25">
      <c r="A526" s="5">
        <v>10554</v>
      </c>
      <c r="B526" s="21">
        <v>8599988776654</v>
      </c>
      <c r="C526" s="22" t="s">
        <v>393</v>
      </c>
      <c r="D526" s="22" t="s">
        <v>133</v>
      </c>
      <c r="E526" s="22" t="s">
        <v>17</v>
      </c>
      <c r="F526" s="6">
        <v>16.8</v>
      </c>
      <c r="G526" s="6">
        <v>1</v>
      </c>
      <c r="H526" s="22" t="s">
        <v>14</v>
      </c>
      <c r="I526" s="22" t="s">
        <v>15</v>
      </c>
      <c r="J526" s="23">
        <v>45869</v>
      </c>
      <c r="K526" s="6">
        <v>0</v>
      </c>
      <c r="L526" s="22">
        <v>16.8</v>
      </c>
      <c r="M526" s="22" t="s">
        <v>15</v>
      </c>
      <c r="N526" s="24">
        <v>45839</v>
      </c>
      <c r="O526" s="13" t="s">
        <v>1346</v>
      </c>
    </row>
    <row r="527" spans="1:15" x14ac:dyDescent="0.25">
      <c r="A527" s="7">
        <v>10555</v>
      </c>
      <c r="B527" s="25">
        <v>4021234567894</v>
      </c>
      <c r="C527" s="26" t="s">
        <v>79</v>
      </c>
      <c r="D527" s="26" t="s">
        <v>36</v>
      </c>
      <c r="E527" s="26" t="s">
        <v>69</v>
      </c>
      <c r="F527" s="8">
        <v>8</v>
      </c>
      <c r="G527" s="8">
        <v>1</v>
      </c>
      <c r="H527" s="26" t="s">
        <v>14</v>
      </c>
      <c r="I527" s="26" t="s">
        <v>15</v>
      </c>
      <c r="J527" s="27">
        <v>45869</v>
      </c>
      <c r="K527" s="8">
        <v>0</v>
      </c>
      <c r="L527" s="26">
        <v>8</v>
      </c>
      <c r="M527" s="26" t="s">
        <v>15</v>
      </c>
      <c r="N527" s="28">
        <v>45839</v>
      </c>
      <c r="O527" s="14" t="s">
        <v>1345</v>
      </c>
    </row>
    <row r="528" spans="1:15" x14ac:dyDescent="0.25">
      <c r="A528" s="5">
        <v>10556</v>
      </c>
      <c r="B528" s="21">
        <v>8599988776654</v>
      </c>
      <c r="C528" s="22" t="s">
        <v>393</v>
      </c>
      <c r="D528" s="22" t="s">
        <v>133</v>
      </c>
      <c r="E528" s="22" t="s">
        <v>17</v>
      </c>
      <c r="F528" s="6">
        <v>16.8</v>
      </c>
      <c r="G528" s="6">
        <v>2</v>
      </c>
      <c r="H528" s="22" t="s">
        <v>18</v>
      </c>
      <c r="I528" s="22" t="s">
        <v>515</v>
      </c>
      <c r="J528" s="23">
        <v>45869</v>
      </c>
      <c r="K528" s="6">
        <v>0</v>
      </c>
      <c r="L528" s="22">
        <v>33.6</v>
      </c>
      <c r="M528" s="22">
        <v>4</v>
      </c>
      <c r="N528" s="24">
        <v>45839</v>
      </c>
      <c r="O528" s="13" t="s">
        <v>1346</v>
      </c>
    </row>
    <row r="529" spans="1:15" x14ac:dyDescent="0.25">
      <c r="A529" s="7">
        <v>10557</v>
      </c>
      <c r="B529" s="25">
        <v>4056789012345</v>
      </c>
      <c r="C529" s="26" t="s">
        <v>47</v>
      </c>
      <c r="D529" s="26" t="s">
        <v>29</v>
      </c>
      <c r="E529" s="26" t="s">
        <v>37</v>
      </c>
      <c r="F529" s="8">
        <v>2.4</v>
      </c>
      <c r="G529" s="8">
        <v>1</v>
      </c>
      <c r="H529" s="26" t="s">
        <v>14</v>
      </c>
      <c r="I529" s="26" t="s">
        <v>15</v>
      </c>
      <c r="J529" s="27">
        <v>45869</v>
      </c>
      <c r="K529" s="8">
        <v>0</v>
      </c>
      <c r="L529" s="26">
        <v>2.4</v>
      </c>
      <c r="M529" s="26" t="s">
        <v>15</v>
      </c>
      <c r="N529" s="28">
        <v>45839</v>
      </c>
      <c r="O529" s="14" t="s">
        <v>1345</v>
      </c>
    </row>
    <row r="530" spans="1:15" x14ac:dyDescent="0.25">
      <c r="A530" s="5">
        <v>10558</v>
      </c>
      <c r="B530" s="21">
        <v>8599988776654</v>
      </c>
      <c r="C530" s="22" t="s">
        <v>393</v>
      </c>
      <c r="D530" s="22" t="s">
        <v>133</v>
      </c>
      <c r="E530" s="22" t="s">
        <v>17</v>
      </c>
      <c r="F530" s="6">
        <v>16.8</v>
      </c>
      <c r="G530" s="6">
        <v>1</v>
      </c>
      <c r="H530" s="22" t="s">
        <v>14</v>
      </c>
      <c r="I530" s="22" t="s">
        <v>15</v>
      </c>
      <c r="J530" s="23">
        <v>45869</v>
      </c>
      <c r="K530" s="6">
        <v>0</v>
      </c>
      <c r="L530" s="22">
        <v>16.8</v>
      </c>
      <c r="M530" s="22" t="s">
        <v>15</v>
      </c>
      <c r="N530" s="24">
        <v>45839</v>
      </c>
      <c r="O530" s="13" t="s">
        <v>1346</v>
      </c>
    </row>
    <row r="531" spans="1:15" x14ac:dyDescent="0.25">
      <c r="A531" s="7">
        <v>10559</v>
      </c>
      <c r="B531" s="25">
        <v>4013456789017</v>
      </c>
      <c r="C531" s="26" t="s">
        <v>11</v>
      </c>
      <c r="D531" s="26" t="s">
        <v>12</v>
      </c>
      <c r="E531" s="26" t="s">
        <v>13</v>
      </c>
      <c r="F531" s="8">
        <v>6</v>
      </c>
      <c r="G531" s="8">
        <v>1</v>
      </c>
      <c r="H531" s="26" t="s">
        <v>23</v>
      </c>
      <c r="I531" s="26" t="s">
        <v>516</v>
      </c>
      <c r="J531" s="27">
        <v>45869</v>
      </c>
      <c r="K531" s="8">
        <v>0</v>
      </c>
      <c r="L531" s="26">
        <v>6</v>
      </c>
      <c r="M531" s="26">
        <v>5</v>
      </c>
      <c r="N531" s="28">
        <v>45839</v>
      </c>
      <c r="O531" s="14" t="s">
        <v>1346</v>
      </c>
    </row>
    <row r="532" spans="1:15" x14ac:dyDescent="0.25">
      <c r="A532" s="5">
        <v>10560</v>
      </c>
      <c r="B532" s="21">
        <v>8599988776654</v>
      </c>
      <c r="C532" s="22" t="s">
        <v>393</v>
      </c>
      <c r="D532" s="22" t="s">
        <v>133</v>
      </c>
      <c r="E532" s="22" t="s">
        <v>17</v>
      </c>
      <c r="F532" s="6">
        <v>16.8</v>
      </c>
      <c r="G532" s="6">
        <v>1</v>
      </c>
      <c r="H532" s="22" t="s">
        <v>14</v>
      </c>
      <c r="I532" s="22" t="s">
        <v>15</v>
      </c>
      <c r="J532" s="23">
        <v>45869</v>
      </c>
      <c r="K532" s="6">
        <v>0</v>
      </c>
      <c r="L532" s="22">
        <v>16.8</v>
      </c>
      <c r="M532" s="22" t="s">
        <v>15</v>
      </c>
      <c r="N532" s="24">
        <v>45839</v>
      </c>
      <c r="O532" s="13" t="s">
        <v>1346</v>
      </c>
    </row>
    <row r="533" spans="1:15" x14ac:dyDescent="0.25">
      <c r="A533" s="7">
        <v>10561</v>
      </c>
      <c r="B533" s="25">
        <v>4010123456783</v>
      </c>
      <c r="C533" s="26" t="s">
        <v>35</v>
      </c>
      <c r="D533" s="26" t="s">
        <v>36</v>
      </c>
      <c r="E533" s="26" t="s">
        <v>37</v>
      </c>
      <c r="F533" s="8">
        <v>14</v>
      </c>
      <c r="G533" s="8">
        <v>1</v>
      </c>
      <c r="H533" s="26" t="s">
        <v>14</v>
      </c>
      <c r="I533" s="26" t="s">
        <v>15</v>
      </c>
      <c r="J533" s="27">
        <v>45869</v>
      </c>
      <c r="K533" s="8">
        <v>0</v>
      </c>
      <c r="L533" s="26">
        <v>14</v>
      </c>
      <c r="M533" s="26" t="s">
        <v>15</v>
      </c>
      <c r="N533" s="28">
        <v>45839</v>
      </c>
      <c r="O533" s="14" t="s">
        <v>1345</v>
      </c>
    </row>
    <row r="534" spans="1:15" x14ac:dyDescent="0.25">
      <c r="A534" s="5">
        <v>10562</v>
      </c>
      <c r="B534" s="21">
        <v>8599988776654</v>
      </c>
      <c r="C534" s="22" t="s">
        <v>393</v>
      </c>
      <c r="D534" s="22" t="s">
        <v>133</v>
      </c>
      <c r="E534" s="22" t="s">
        <v>17</v>
      </c>
      <c r="F534" s="6">
        <v>16.8</v>
      </c>
      <c r="G534" s="6">
        <v>2</v>
      </c>
      <c r="H534" s="22" t="s">
        <v>14</v>
      </c>
      <c r="I534" s="22" t="s">
        <v>15</v>
      </c>
      <c r="J534" s="23">
        <v>45869</v>
      </c>
      <c r="K534" s="6">
        <v>0</v>
      </c>
      <c r="L534" s="22">
        <v>33.6</v>
      </c>
      <c r="M534" s="22" t="s">
        <v>15</v>
      </c>
      <c r="N534" s="24">
        <v>45839</v>
      </c>
      <c r="O534" s="13" t="s">
        <v>1346</v>
      </c>
    </row>
    <row r="535" spans="1:15" x14ac:dyDescent="0.25">
      <c r="A535" s="7">
        <v>10563</v>
      </c>
      <c r="B535" s="25">
        <v>4017890123450</v>
      </c>
      <c r="C535" s="26" t="s">
        <v>65</v>
      </c>
      <c r="D535" s="26" t="s">
        <v>39</v>
      </c>
      <c r="E535" s="26" t="s">
        <v>22</v>
      </c>
      <c r="F535" s="8">
        <v>7.6</v>
      </c>
      <c r="G535" s="8">
        <v>1</v>
      </c>
      <c r="H535" s="26" t="s">
        <v>18</v>
      </c>
      <c r="I535" s="26" t="s">
        <v>517</v>
      </c>
      <c r="J535" s="27">
        <v>45869</v>
      </c>
      <c r="K535" s="8">
        <v>0</v>
      </c>
      <c r="L535" s="26">
        <v>7.6</v>
      </c>
      <c r="M535" s="26">
        <v>4</v>
      </c>
      <c r="N535" s="28">
        <v>45839</v>
      </c>
      <c r="O535" s="14" t="s">
        <v>1346</v>
      </c>
    </row>
    <row r="536" spans="1:15" x14ac:dyDescent="0.25">
      <c r="A536" s="5">
        <v>10564</v>
      </c>
      <c r="B536" s="21">
        <v>8599988776654</v>
      </c>
      <c r="C536" s="22" t="s">
        <v>393</v>
      </c>
      <c r="D536" s="22" t="s">
        <v>133</v>
      </c>
      <c r="E536" s="22" t="s">
        <v>17</v>
      </c>
      <c r="F536" s="6">
        <v>16.8</v>
      </c>
      <c r="G536" s="6">
        <v>1</v>
      </c>
      <c r="H536" s="22" t="s">
        <v>14</v>
      </c>
      <c r="I536" s="22" t="s">
        <v>15</v>
      </c>
      <c r="J536" s="23">
        <v>45869</v>
      </c>
      <c r="K536" s="6">
        <v>0</v>
      </c>
      <c r="L536" s="22">
        <v>16.8</v>
      </c>
      <c r="M536" s="22" t="s">
        <v>15</v>
      </c>
      <c r="N536" s="24">
        <v>45839</v>
      </c>
      <c r="O536" s="13" t="s">
        <v>1346</v>
      </c>
    </row>
    <row r="537" spans="1:15" x14ac:dyDescent="0.25">
      <c r="A537" s="7">
        <v>10565</v>
      </c>
      <c r="B537" s="25">
        <v>4028899001126</v>
      </c>
      <c r="C537" s="26" t="s">
        <v>16</v>
      </c>
      <c r="D537" s="26" t="s">
        <v>12</v>
      </c>
      <c r="E537" s="26" t="s">
        <v>17</v>
      </c>
      <c r="F537" s="8">
        <v>2.8</v>
      </c>
      <c r="G537" s="8">
        <v>3</v>
      </c>
      <c r="H537" s="26" t="s">
        <v>14</v>
      </c>
      <c r="I537" s="26" t="s">
        <v>15</v>
      </c>
      <c r="J537" s="27">
        <v>45869</v>
      </c>
      <c r="K537" s="8">
        <v>0</v>
      </c>
      <c r="L537" s="26">
        <v>8.3999999999999986</v>
      </c>
      <c r="M537" s="26" t="s">
        <v>15</v>
      </c>
      <c r="N537" s="28">
        <v>45839</v>
      </c>
      <c r="O537" s="14" t="s">
        <v>1346</v>
      </c>
    </row>
    <row r="538" spans="1:15" x14ac:dyDescent="0.25">
      <c r="A538" s="5">
        <v>10566</v>
      </c>
      <c r="B538" s="21">
        <v>8599988776654</v>
      </c>
      <c r="C538" s="22" t="s">
        <v>393</v>
      </c>
      <c r="D538" s="22" t="s">
        <v>133</v>
      </c>
      <c r="E538" s="22" t="s">
        <v>17</v>
      </c>
      <c r="F538" s="6">
        <v>16.8</v>
      </c>
      <c r="G538" s="6">
        <v>1</v>
      </c>
      <c r="H538" s="22" t="s">
        <v>14</v>
      </c>
      <c r="I538" s="22" t="s">
        <v>15</v>
      </c>
      <c r="J538" s="23">
        <v>45869</v>
      </c>
      <c r="K538" s="6">
        <v>0</v>
      </c>
      <c r="L538" s="22">
        <v>16.8</v>
      </c>
      <c r="M538" s="22" t="s">
        <v>15</v>
      </c>
      <c r="N538" s="24">
        <v>45839</v>
      </c>
      <c r="O538" s="13" t="s">
        <v>1346</v>
      </c>
    </row>
    <row r="539" spans="1:15" x14ac:dyDescent="0.25">
      <c r="A539" s="7">
        <v>10567</v>
      </c>
      <c r="B539" s="25">
        <v>4056789012345</v>
      </c>
      <c r="C539" s="26" t="s">
        <v>47</v>
      </c>
      <c r="D539" s="26" t="s">
        <v>29</v>
      </c>
      <c r="E539" s="26" t="s">
        <v>37</v>
      </c>
      <c r="F539" s="8">
        <v>2.4</v>
      </c>
      <c r="G539" s="8">
        <v>2</v>
      </c>
      <c r="H539" s="26" t="s">
        <v>18</v>
      </c>
      <c r="I539" s="26" t="s">
        <v>518</v>
      </c>
      <c r="J539" s="27">
        <v>45869</v>
      </c>
      <c r="K539" s="8">
        <v>0</v>
      </c>
      <c r="L539" s="26">
        <v>4.8</v>
      </c>
      <c r="M539" s="26">
        <v>4</v>
      </c>
      <c r="N539" s="28">
        <v>45839</v>
      </c>
      <c r="O539" s="14" t="s">
        <v>1345</v>
      </c>
    </row>
    <row r="540" spans="1:15" x14ac:dyDescent="0.25">
      <c r="A540" s="5">
        <v>10568</v>
      </c>
      <c r="B540" s="21">
        <v>8599988776654</v>
      </c>
      <c r="C540" s="22" t="s">
        <v>393</v>
      </c>
      <c r="D540" s="22" t="s">
        <v>133</v>
      </c>
      <c r="E540" s="22" t="s">
        <v>17</v>
      </c>
      <c r="F540" s="6">
        <v>16.8</v>
      </c>
      <c r="G540" s="6">
        <v>1</v>
      </c>
      <c r="H540" s="22" t="s">
        <v>14</v>
      </c>
      <c r="I540" s="22" t="s">
        <v>15</v>
      </c>
      <c r="J540" s="23">
        <v>45869</v>
      </c>
      <c r="K540" s="6">
        <v>0</v>
      </c>
      <c r="L540" s="22">
        <v>16.8</v>
      </c>
      <c r="M540" s="22" t="s">
        <v>15</v>
      </c>
      <c r="N540" s="24">
        <v>45839</v>
      </c>
      <c r="O540" s="13" t="s">
        <v>1346</v>
      </c>
    </row>
    <row r="541" spans="1:15" x14ac:dyDescent="0.25">
      <c r="A541" s="7">
        <v>10569</v>
      </c>
      <c r="B541" s="25">
        <v>4013456789017</v>
      </c>
      <c r="C541" s="26" t="s">
        <v>11</v>
      </c>
      <c r="D541" s="26" t="s">
        <v>12</v>
      </c>
      <c r="E541" s="26" t="s">
        <v>13</v>
      </c>
      <c r="F541" s="8">
        <v>6</v>
      </c>
      <c r="G541" s="8">
        <v>1</v>
      </c>
      <c r="H541" s="26" t="s">
        <v>14</v>
      </c>
      <c r="I541" s="26" t="s">
        <v>15</v>
      </c>
      <c r="J541" s="27">
        <v>45869</v>
      </c>
      <c r="K541" s="8">
        <v>0</v>
      </c>
      <c r="L541" s="26">
        <v>6</v>
      </c>
      <c r="M541" s="26" t="s">
        <v>15</v>
      </c>
      <c r="N541" s="28">
        <v>45839</v>
      </c>
      <c r="O541" s="14" t="s">
        <v>1346</v>
      </c>
    </row>
    <row r="542" spans="1:15" x14ac:dyDescent="0.25">
      <c r="A542" s="5">
        <v>10570</v>
      </c>
      <c r="B542" s="21">
        <v>8599988776654</v>
      </c>
      <c r="C542" s="22" t="s">
        <v>393</v>
      </c>
      <c r="D542" s="22" t="s">
        <v>133</v>
      </c>
      <c r="E542" s="22" t="s">
        <v>17</v>
      </c>
      <c r="F542" s="6">
        <v>16.8</v>
      </c>
      <c r="G542" s="6">
        <v>2</v>
      </c>
      <c r="H542" s="22" t="s">
        <v>14</v>
      </c>
      <c r="I542" s="22" t="s">
        <v>15</v>
      </c>
      <c r="J542" s="23">
        <v>45869</v>
      </c>
      <c r="K542" s="6">
        <v>0</v>
      </c>
      <c r="L542" s="22">
        <v>33.6</v>
      </c>
      <c r="M542" s="22" t="s">
        <v>15</v>
      </c>
      <c r="N542" s="24">
        <v>45839</v>
      </c>
      <c r="O542" s="13" t="s">
        <v>1346</v>
      </c>
    </row>
    <row r="543" spans="1:15" x14ac:dyDescent="0.25">
      <c r="A543" s="7">
        <v>10571</v>
      </c>
      <c r="B543" s="25">
        <v>4017890123450</v>
      </c>
      <c r="C543" s="26" t="s">
        <v>65</v>
      </c>
      <c r="D543" s="26" t="s">
        <v>39</v>
      </c>
      <c r="E543" s="26" t="s">
        <v>22</v>
      </c>
      <c r="F543" s="8">
        <v>7.6</v>
      </c>
      <c r="G543" s="8">
        <v>1</v>
      </c>
      <c r="H543" s="26" t="s">
        <v>23</v>
      </c>
      <c r="I543" s="26" t="s">
        <v>519</v>
      </c>
      <c r="J543" s="27">
        <v>45869</v>
      </c>
      <c r="K543" s="8">
        <v>0</v>
      </c>
      <c r="L543" s="26">
        <v>7.6</v>
      </c>
      <c r="M543" s="26">
        <v>5</v>
      </c>
      <c r="N543" s="28">
        <v>45839</v>
      </c>
      <c r="O543" s="14" t="s">
        <v>1346</v>
      </c>
    </row>
    <row r="544" spans="1:15" x14ac:dyDescent="0.25">
      <c r="A544" s="5">
        <v>10572</v>
      </c>
      <c r="B544" s="21">
        <v>8599988776654</v>
      </c>
      <c r="C544" s="22" t="s">
        <v>393</v>
      </c>
      <c r="D544" s="22" t="s">
        <v>133</v>
      </c>
      <c r="E544" s="22" t="s">
        <v>17</v>
      </c>
      <c r="F544" s="6">
        <v>16.8</v>
      </c>
      <c r="G544" s="6">
        <v>1</v>
      </c>
      <c r="H544" s="22" t="s">
        <v>14</v>
      </c>
      <c r="I544" s="22" t="s">
        <v>15</v>
      </c>
      <c r="J544" s="23">
        <v>45869</v>
      </c>
      <c r="K544" s="6">
        <v>0</v>
      </c>
      <c r="L544" s="22">
        <v>16.8</v>
      </c>
      <c r="M544" s="22" t="s">
        <v>15</v>
      </c>
      <c r="N544" s="24">
        <v>45839</v>
      </c>
      <c r="O544" s="13" t="s">
        <v>1346</v>
      </c>
    </row>
    <row r="545" spans="1:15" x14ac:dyDescent="0.25">
      <c r="A545" s="7">
        <v>10573</v>
      </c>
      <c r="B545" s="25">
        <v>4010123456783</v>
      </c>
      <c r="C545" s="26" t="s">
        <v>35</v>
      </c>
      <c r="D545" s="26" t="s">
        <v>36</v>
      </c>
      <c r="E545" s="26" t="s">
        <v>37</v>
      </c>
      <c r="F545" s="8">
        <v>14</v>
      </c>
      <c r="G545" s="8">
        <v>1</v>
      </c>
      <c r="H545" s="26" t="s">
        <v>14</v>
      </c>
      <c r="I545" s="26" t="s">
        <v>15</v>
      </c>
      <c r="J545" s="27">
        <v>45869</v>
      </c>
      <c r="K545" s="8">
        <v>0</v>
      </c>
      <c r="L545" s="26">
        <v>14</v>
      </c>
      <c r="M545" s="26" t="s">
        <v>15</v>
      </c>
      <c r="N545" s="28">
        <v>45839</v>
      </c>
      <c r="O545" s="14" t="s">
        <v>1345</v>
      </c>
    </row>
    <row r="546" spans="1:15" x14ac:dyDescent="0.25">
      <c r="A546" s="5">
        <v>10574</v>
      </c>
      <c r="B546" s="21">
        <v>8599988776654</v>
      </c>
      <c r="C546" s="22" t="s">
        <v>393</v>
      </c>
      <c r="D546" s="22" t="s">
        <v>133</v>
      </c>
      <c r="E546" s="22" t="s">
        <v>17</v>
      </c>
      <c r="F546" s="6">
        <v>16.8</v>
      </c>
      <c r="G546" s="6">
        <v>1</v>
      </c>
      <c r="H546" s="22" t="s">
        <v>18</v>
      </c>
      <c r="I546" s="22" t="s">
        <v>520</v>
      </c>
      <c r="J546" s="23">
        <v>45869</v>
      </c>
      <c r="K546" s="6">
        <v>0</v>
      </c>
      <c r="L546" s="22">
        <v>16.8</v>
      </c>
      <c r="M546" s="22">
        <v>4</v>
      </c>
      <c r="N546" s="24">
        <v>45839</v>
      </c>
      <c r="O546" s="13" t="s">
        <v>1346</v>
      </c>
    </row>
    <row r="547" spans="1:15" x14ac:dyDescent="0.25">
      <c r="A547" s="7">
        <v>10575</v>
      </c>
      <c r="B547" s="25">
        <v>4027788990013</v>
      </c>
      <c r="C547" s="26" t="s">
        <v>43</v>
      </c>
      <c r="D547" s="26" t="s">
        <v>21</v>
      </c>
      <c r="E547" s="26" t="s">
        <v>22</v>
      </c>
      <c r="F547" s="8">
        <v>8</v>
      </c>
      <c r="G547" s="8">
        <v>1</v>
      </c>
      <c r="H547" s="26" t="s">
        <v>14</v>
      </c>
      <c r="I547" s="26" t="s">
        <v>15</v>
      </c>
      <c r="J547" s="27">
        <v>45869</v>
      </c>
      <c r="K547" s="8">
        <v>0</v>
      </c>
      <c r="L547" s="26">
        <v>8</v>
      </c>
      <c r="M547" s="26" t="s">
        <v>15</v>
      </c>
      <c r="N547" s="28">
        <v>45839</v>
      </c>
      <c r="O547" s="14" t="s">
        <v>1346</v>
      </c>
    </row>
    <row r="548" spans="1:15" x14ac:dyDescent="0.25">
      <c r="A548" s="5">
        <v>10576</v>
      </c>
      <c r="B548" s="21">
        <v>8599988776654</v>
      </c>
      <c r="C548" s="22" t="s">
        <v>393</v>
      </c>
      <c r="D548" s="22" t="s">
        <v>133</v>
      </c>
      <c r="E548" s="22" t="s">
        <v>17</v>
      </c>
      <c r="F548" s="6">
        <v>16.8</v>
      </c>
      <c r="G548" s="6">
        <v>2</v>
      </c>
      <c r="H548" s="22" t="s">
        <v>14</v>
      </c>
      <c r="I548" s="22" t="s">
        <v>15</v>
      </c>
      <c r="J548" s="23">
        <v>45869</v>
      </c>
      <c r="K548" s="6">
        <v>0</v>
      </c>
      <c r="L548" s="22">
        <v>33.6</v>
      </c>
      <c r="M548" s="22" t="s">
        <v>15</v>
      </c>
      <c r="N548" s="24">
        <v>45839</v>
      </c>
      <c r="O548" s="13" t="s">
        <v>1346</v>
      </c>
    </row>
    <row r="549" spans="1:15" x14ac:dyDescent="0.25">
      <c r="A549" s="7">
        <v>10577</v>
      </c>
      <c r="B549" s="25">
        <v>4063456789014</v>
      </c>
      <c r="C549" s="26" t="s">
        <v>60</v>
      </c>
      <c r="D549" s="26" t="s">
        <v>12</v>
      </c>
      <c r="E549" s="26" t="s">
        <v>61</v>
      </c>
      <c r="F549" s="8">
        <v>36</v>
      </c>
      <c r="G549" s="8">
        <v>1</v>
      </c>
      <c r="H549" s="26" t="s">
        <v>23</v>
      </c>
      <c r="I549" s="26" t="s">
        <v>521</v>
      </c>
      <c r="J549" s="27">
        <v>45869</v>
      </c>
      <c r="K549" s="8">
        <v>0</v>
      </c>
      <c r="L549" s="26">
        <v>36</v>
      </c>
      <c r="M549" s="26">
        <v>5</v>
      </c>
      <c r="N549" s="28">
        <v>45839</v>
      </c>
      <c r="O549" s="14" t="s">
        <v>1346</v>
      </c>
    </row>
    <row r="550" spans="1:15" x14ac:dyDescent="0.25">
      <c r="A550" s="5">
        <v>10578</v>
      </c>
      <c r="B550" s="21">
        <v>8599988776654</v>
      </c>
      <c r="C550" s="22" t="s">
        <v>393</v>
      </c>
      <c r="D550" s="22" t="s">
        <v>133</v>
      </c>
      <c r="E550" s="22" t="s">
        <v>17</v>
      </c>
      <c r="F550" s="6">
        <v>16.8</v>
      </c>
      <c r="G550" s="6">
        <v>1</v>
      </c>
      <c r="H550" s="22" t="s">
        <v>14</v>
      </c>
      <c r="I550" s="22" t="s">
        <v>15</v>
      </c>
      <c r="J550" s="23">
        <v>45869</v>
      </c>
      <c r="K550" s="6">
        <v>0</v>
      </c>
      <c r="L550" s="22">
        <v>16.8</v>
      </c>
      <c r="M550" s="22" t="s">
        <v>15</v>
      </c>
      <c r="N550" s="24">
        <v>45839</v>
      </c>
      <c r="O550" s="13" t="s">
        <v>1346</v>
      </c>
    </row>
    <row r="551" spans="1:15" x14ac:dyDescent="0.25">
      <c r="A551" s="7">
        <v>10579</v>
      </c>
      <c r="B551" s="25">
        <v>4017890123450</v>
      </c>
      <c r="C551" s="26" t="s">
        <v>65</v>
      </c>
      <c r="D551" s="26" t="s">
        <v>39</v>
      </c>
      <c r="E551" s="26" t="s">
        <v>22</v>
      </c>
      <c r="F551" s="8">
        <v>7.6</v>
      </c>
      <c r="G551" s="8">
        <v>1</v>
      </c>
      <c r="H551" s="26" t="s">
        <v>14</v>
      </c>
      <c r="I551" s="26" t="s">
        <v>15</v>
      </c>
      <c r="J551" s="27">
        <v>45869</v>
      </c>
      <c r="K551" s="8">
        <v>0</v>
      </c>
      <c r="L551" s="26">
        <v>7.6</v>
      </c>
      <c r="M551" s="26" t="s">
        <v>15</v>
      </c>
      <c r="N551" s="28">
        <v>45839</v>
      </c>
      <c r="O551" s="14" t="s">
        <v>1346</v>
      </c>
    </row>
    <row r="552" spans="1:15" x14ac:dyDescent="0.25">
      <c r="A552" s="5">
        <v>10580</v>
      </c>
      <c r="B552" s="21">
        <v>8599988776654</v>
      </c>
      <c r="C552" s="22" t="s">
        <v>393</v>
      </c>
      <c r="D552" s="22" t="s">
        <v>133</v>
      </c>
      <c r="E552" s="22" t="s">
        <v>17</v>
      </c>
      <c r="F552" s="6">
        <v>16.8</v>
      </c>
      <c r="G552" s="6">
        <v>1</v>
      </c>
      <c r="H552" s="22" t="s">
        <v>23</v>
      </c>
      <c r="I552" s="22" t="s">
        <v>522</v>
      </c>
      <c r="J552" s="23">
        <v>45869</v>
      </c>
      <c r="K552" s="6">
        <v>0</v>
      </c>
      <c r="L552" s="22">
        <v>16.8</v>
      </c>
      <c r="M552" s="22">
        <v>5</v>
      </c>
      <c r="N552" s="24">
        <v>45839</v>
      </c>
      <c r="O552" s="13" t="s">
        <v>1346</v>
      </c>
    </row>
    <row r="553" spans="1:15" x14ac:dyDescent="0.25">
      <c r="A553" s="7">
        <v>10581</v>
      </c>
      <c r="B553" s="25">
        <v>4028899001126</v>
      </c>
      <c r="C553" s="26" t="s">
        <v>16</v>
      </c>
      <c r="D553" s="26" t="s">
        <v>12</v>
      </c>
      <c r="E553" s="26" t="s">
        <v>17</v>
      </c>
      <c r="F553" s="8">
        <v>2.8</v>
      </c>
      <c r="G553" s="8">
        <v>2</v>
      </c>
      <c r="H553" s="26" t="s">
        <v>14</v>
      </c>
      <c r="I553" s="26" t="s">
        <v>15</v>
      </c>
      <c r="J553" s="27">
        <v>45869</v>
      </c>
      <c r="K553" s="8">
        <v>0</v>
      </c>
      <c r="L553" s="26">
        <v>5.6</v>
      </c>
      <c r="M553" s="26" t="s">
        <v>15</v>
      </c>
      <c r="N553" s="28">
        <v>45839</v>
      </c>
      <c r="O553" s="14" t="s">
        <v>1346</v>
      </c>
    </row>
    <row r="554" spans="1:15" x14ac:dyDescent="0.25">
      <c r="A554" s="5">
        <v>10582</v>
      </c>
      <c r="B554" s="21">
        <v>4013456789017</v>
      </c>
      <c r="C554" s="22" t="s">
        <v>11</v>
      </c>
      <c r="D554" s="22" t="s">
        <v>12</v>
      </c>
      <c r="E554" s="22" t="s">
        <v>13</v>
      </c>
      <c r="F554" s="6">
        <v>6</v>
      </c>
      <c r="G554" s="6">
        <v>1</v>
      </c>
      <c r="H554" s="22" t="s">
        <v>18</v>
      </c>
      <c r="I554" s="22" t="s">
        <v>523</v>
      </c>
      <c r="J554" s="23">
        <v>45869</v>
      </c>
      <c r="K554" s="6">
        <v>0</v>
      </c>
      <c r="L554" s="22">
        <v>6</v>
      </c>
      <c r="M554" s="22">
        <v>4</v>
      </c>
      <c r="N554" s="24">
        <v>45839</v>
      </c>
      <c r="O554" s="13" t="s">
        <v>1346</v>
      </c>
    </row>
    <row r="555" spans="1:15" x14ac:dyDescent="0.25">
      <c r="A555" s="7">
        <v>10583</v>
      </c>
      <c r="B555" s="25">
        <v>8599988776654</v>
      </c>
      <c r="C555" s="26" t="s">
        <v>393</v>
      </c>
      <c r="D555" s="26" t="s">
        <v>133</v>
      </c>
      <c r="E555" s="26" t="s">
        <v>17</v>
      </c>
      <c r="F555" s="8">
        <v>16.8</v>
      </c>
      <c r="G555" s="8">
        <v>1</v>
      </c>
      <c r="H555" s="26" t="s">
        <v>14</v>
      </c>
      <c r="I555" s="26" t="s">
        <v>15</v>
      </c>
      <c r="J555" s="27">
        <v>45869</v>
      </c>
      <c r="K555" s="8">
        <v>0</v>
      </c>
      <c r="L555" s="26">
        <v>16.8</v>
      </c>
      <c r="M555" s="26" t="s">
        <v>15</v>
      </c>
      <c r="N555" s="28">
        <v>45839</v>
      </c>
      <c r="O555" s="14" t="s">
        <v>1346</v>
      </c>
    </row>
    <row r="556" spans="1:15" x14ac:dyDescent="0.25">
      <c r="A556" s="5">
        <v>10584</v>
      </c>
      <c r="B556" s="21">
        <v>4010123456783</v>
      </c>
      <c r="C556" s="22" t="s">
        <v>35</v>
      </c>
      <c r="D556" s="22" t="s">
        <v>36</v>
      </c>
      <c r="E556" s="22" t="s">
        <v>37</v>
      </c>
      <c r="F556" s="6">
        <v>14</v>
      </c>
      <c r="G556" s="6">
        <v>1</v>
      </c>
      <c r="H556" s="22" t="s">
        <v>14</v>
      </c>
      <c r="I556" s="22" t="s">
        <v>15</v>
      </c>
      <c r="J556" s="23">
        <v>45869</v>
      </c>
      <c r="K556" s="6">
        <v>0</v>
      </c>
      <c r="L556" s="22">
        <v>14</v>
      </c>
      <c r="M556" s="22" t="s">
        <v>15</v>
      </c>
      <c r="N556" s="24">
        <v>45839</v>
      </c>
      <c r="O556" s="13" t="s">
        <v>1345</v>
      </c>
    </row>
    <row r="557" spans="1:15" x14ac:dyDescent="0.25">
      <c r="A557" s="7">
        <v>10585</v>
      </c>
      <c r="B557" s="25">
        <v>8599988776654</v>
      </c>
      <c r="C557" s="26" t="s">
        <v>393</v>
      </c>
      <c r="D557" s="26" t="s">
        <v>133</v>
      </c>
      <c r="E557" s="26" t="s">
        <v>17</v>
      </c>
      <c r="F557" s="8">
        <v>16.8</v>
      </c>
      <c r="G557" s="8">
        <v>2</v>
      </c>
      <c r="H557" s="26" t="s">
        <v>14</v>
      </c>
      <c r="I557" s="26" t="s">
        <v>15</v>
      </c>
      <c r="J557" s="27">
        <v>45869</v>
      </c>
      <c r="K557" s="8">
        <v>0</v>
      </c>
      <c r="L557" s="26">
        <v>33.6</v>
      </c>
      <c r="M557" s="26" t="s">
        <v>15</v>
      </c>
      <c r="N557" s="28">
        <v>45839</v>
      </c>
      <c r="O557" s="14" t="s">
        <v>1346</v>
      </c>
    </row>
    <row r="558" spans="1:15" x14ac:dyDescent="0.25">
      <c r="A558" s="5">
        <v>10586</v>
      </c>
      <c r="B558" s="21">
        <v>4063456789014</v>
      </c>
      <c r="C558" s="22" t="s">
        <v>60</v>
      </c>
      <c r="D558" s="22" t="s">
        <v>12</v>
      </c>
      <c r="E558" s="22" t="s">
        <v>61</v>
      </c>
      <c r="F558" s="6">
        <v>36</v>
      </c>
      <c r="G558" s="6">
        <v>1</v>
      </c>
      <c r="H558" s="22" t="s">
        <v>23</v>
      </c>
      <c r="I558" s="22" t="s">
        <v>524</v>
      </c>
      <c r="J558" s="23">
        <v>45869</v>
      </c>
      <c r="K558" s="6">
        <v>0</v>
      </c>
      <c r="L558" s="22">
        <v>36</v>
      </c>
      <c r="M558" s="22">
        <v>5</v>
      </c>
      <c r="N558" s="24">
        <v>45839</v>
      </c>
      <c r="O558" s="13" t="s">
        <v>1346</v>
      </c>
    </row>
    <row r="559" spans="1:15" x14ac:dyDescent="0.25">
      <c r="A559" s="7">
        <v>10587</v>
      </c>
      <c r="B559" s="25">
        <v>8599988776654</v>
      </c>
      <c r="C559" s="26" t="s">
        <v>393</v>
      </c>
      <c r="D559" s="26" t="s">
        <v>133</v>
      </c>
      <c r="E559" s="26" t="s">
        <v>17</v>
      </c>
      <c r="F559" s="8">
        <v>16.8</v>
      </c>
      <c r="G559" s="8">
        <v>1</v>
      </c>
      <c r="H559" s="26" t="s">
        <v>14</v>
      </c>
      <c r="I559" s="26" t="s">
        <v>15</v>
      </c>
      <c r="J559" s="27">
        <v>45869</v>
      </c>
      <c r="K559" s="8">
        <v>0</v>
      </c>
      <c r="L559" s="26">
        <v>16.8</v>
      </c>
      <c r="M559" s="26" t="s">
        <v>15</v>
      </c>
      <c r="N559" s="28">
        <v>45839</v>
      </c>
      <c r="O559" s="14" t="s">
        <v>1346</v>
      </c>
    </row>
    <row r="560" spans="1:15" x14ac:dyDescent="0.25">
      <c r="A560" s="5">
        <v>10588</v>
      </c>
      <c r="B560" s="21">
        <v>4021234567894</v>
      </c>
      <c r="C560" s="22" t="s">
        <v>79</v>
      </c>
      <c r="D560" s="22" t="s">
        <v>36</v>
      </c>
      <c r="E560" s="22" t="s">
        <v>69</v>
      </c>
      <c r="F560" s="6">
        <v>8</v>
      </c>
      <c r="G560" s="6">
        <v>1</v>
      </c>
      <c r="H560" s="22" t="s">
        <v>14</v>
      </c>
      <c r="I560" s="22" t="s">
        <v>15</v>
      </c>
      <c r="J560" s="23">
        <v>45869</v>
      </c>
      <c r="K560" s="6">
        <v>0</v>
      </c>
      <c r="L560" s="22">
        <v>8</v>
      </c>
      <c r="M560" s="22" t="s">
        <v>15</v>
      </c>
      <c r="N560" s="24">
        <v>45839</v>
      </c>
      <c r="O560" s="13" t="s">
        <v>1345</v>
      </c>
    </row>
    <row r="561" spans="1:15" x14ac:dyDescent="0.25">
      <c r="A561" s="7">
        <v>10589</v>
      </c>
      <c r="B561" s="25">
        <v>8599988776654</v>
      </c>
      <c r="C561" s="26" t="s">
        <v>393</v>
      </c>
      <c r="D561" s="26" t="s">
        <v>133</v>
      </c>
      <c r="E561" s="26" t="s">
        <v>17</v>
      </c>
      <c r="F561" s="8">
        <v>16.8</v>
      </c>
      <c r="G561" s="8">
        <v>1</v>
      </c>
      <c r="H561" s="26" t="s">
        <v>18</v>
      </c>
      <c r="I561" s="26" t="s">
        <v>525</v>
      </c>
      <c r="J561" s="27">
        <v>45869</v>
      </c>
      <c r="K561" s="8">
        <v>0</v>
      </c>
      <c r="L561" s="26">
        <v>16.8</v>
      </c>
      <c r="M561" s="26">
        <v>4</v>
      </c>
      <c r="N561" s="28">
        <v>45839</v>
      </c>
      <c r="O561" s="14" t="s">
        <v>1346</v>
      </c>
    </row>
    <row r="562" spans="1:15" x14ac:dyDescent="0.25">
      <c r="A562" s="5">
        <v>10590</v>
      </c>
      <c r="B562" s="21">
        <v>4056789012345</v>
      </c>
      <c r="C562" s="22" t="s">
        <v>47</v>
      </c>
      <c r="D562" s="22" t="s">
        <v>29</v>
      </c>
      <c r="E562" s="22" t="s">
        <v>37</v>
      </c>
      <c r="F562" s="6">
        <v>2.4</v>
      </c>
      <c r="G562" s="6">
        <v>2</v>
      </c>
      <c r="H562" s="22" t="s">
        <v>14</v>
      </c>
      <c r="I562" s="22" t="s">
        <v>15</v>
      </c>
      <c r="J562" s="23">
        <v>45869</v>
      </c>
      <c r="K562" s="6">
        <v>0</v>
      </c>
      <c r="L562" s="22">
        <v>4.8</v>
      </c>
      <c r="M562" s="22" t="s">
        <v>15</v>
      </c>
      <c r="N562" s="24">
        <v>45839</v>
      </c>
      <c r="O562" s="13" t="s">
        <v>1345</v>
      </c>
    </row>
    <row r="563" spans="1:15" x14ac:dyDescent="0.25">
      <c r="A563" s="7">
        <v>10591</v>
      </c>
      <c r="B563" s="25">
        <v>8599988776654</v>
      </c>
      <c r="C563" s="26" t="s">
        <v>393</v>
      </c>
      <c r="D563" s="26" t="s">
        <v>133</v>
      </c>
      <c r="E563" s="26" t="s">
        <v>17</v>
      </c>
      <c r="F563" s="8">
        <v>16.8</v>
      </c>
      <c r="G563" s="8">
        <v>1</v>
      </c>
      <c r="H563" s="26" t="s">
        <v>14</v>
      </c>
      <c r="I563" s="26" t="s">
        <v>15</v>
      </c>
      <c r="J563" s="27">
        <v>45869</v>
      </c>
      <c r="K563" s="8">
        <v>0</v>
      </c>
      <c r="L563" s="26">
        <v>16.8</v>
      </c>
      <c r="M563" s="26" t="s">
        <v>15</v>
      </c>
      <c r="N563" s="28">
        <v>45839</v>
      </c>
      <c r="O563" s="14" t="s">
        <v>1346</v>
      </c>
    </row>
    <row r="564" spans="1:15" x14ac:dyDescent="0.25">
      <c r="A564" s="5">
        <v>10592</v>
      </c>
      <c r="B564" s="21">
        <v>4017890123450</v>
      </c>
      <c r="C564" s="22" t="s">
        <v>65</v>
      </c>
      <c r="D564" s="22" t="s">
        <v>39</v>
      </c>
      <c r="E564" s="22" t="s">
        <v>22</v>
      </c>
      <c r="F564" s="6">
        <v>7.6</v>
      </c>
      <c r="G564" s="6">
        <v>1</v>
      </c>
      <c r="H564" s="22" t="s">
        <v>18</v>
      </c>
      <c r="I564" s="22" t="s">
        <v>526</v>
      </c>
      <c r="J564" s="23">
        <v>45869</v>
      </c>
      <c r="K564" s="6">
        <v>0</v>
      </c>
      <c r="L564" s="22">
        <v>7.6</v>
      </c>
      <c r="M564" s="22">
        <v>4</v>
      </c>
      <c r="N564" s="24">
        <v>45839</v>
      </c>
      <c r="O564" s="13" t="s">
        <v>1346</v>
      </c>
    </row>
    <row r="565" spans="1:15" x14ac:dyDescent="0.25">
      <c r="A565" s="7">
        <v>10593</v>
      </c>
      <c r="B565" s="25">
        <v>8599988776654</v>
      </c>
      <c r="C565" s="26" t="s">
        <v>393</v>
      </c>
      <c r="D565" s="26" t="s">
        <v>133</v>
      </c>
      <c r="E565" s="26" t="s">
        <v>17</v>
      </c>
      <c r="F565" s="8">
        <v>16.8</v>
      </c>
      <c r="G565" s="8">
        <v>1</v>
      </c>
      <c r="H565" s="26" t="s">
        <v>14</v>
      </c>
      <c r="I565" s="26" t="s">
        <v>15</v>
      </c>
      <c r="J565" s="27">
        <v>45869</v>
      </c>
      <c r="K565" s="8">
        <v>0</v>
      </c>
      <c r="L565" s="26">
        <v>16.8</v>
      </c>
      <c r="M565" s="26" t="s">
        <v>15</v>
      </c>
      <c r="N565" s="28">
        <v>45839</v>
      </c>
      <c r="O565" s="14" t="s">
        <v>1346</v>
      </c>
    </row>
    <row r="566" spans="1:15" x14ac:dyDescent="0.25">
      <c r="A566" s="5">
        <v>10594</v>
      </c>
      <c r="B566" s="21">
        <v>4010123456783</v>
      </c>
      <c r="C566" s="22" t="s">
        <v>35</v>
      </c>
      <c r="D566" s="22" t="s">
        <v>36</v>
      </c>
      <c r="E566" s="22" t="s">
        <v>37</v>
      </c>
      <c r="F566" s="6">
        <v>14</v>
      </c>
      <c r="G566" s="6">
        <v>1</v>
      </c>
      <c r="H566" s="22" t="s">
        <v>14</v>
      </c>
      <c r="I566" s="22" t="s">
        <v>15</v>
      </c>
      <c r="J566" s="23">
        <v>45869</v>
      </c>
      <c r="K566" s="6">
        <v>0</v>
      </c>
      <c r="L566" s="22">
        <v>14</v>
      </c>
      <c r="M566" s="22" t="s">
        <v>15</v>
      </c>
      <c r="N566" s="24">
        <v>45839</v>
      </c>
      <c r="O566" s="13" t="s">
        <v>1345</v>
      </c>
    </row>
    <row r="567" spans="1:15" x14ac:dyDescent="0.25">
      <c r="A567" s="7">
        <v>10595</v>
      </c>
      <c r="B567" s="25">
        <v>8599988776654</v>
      </c>
      <c r="C567" s="26" t="s">
        <v>393</v>
      </c>
      <c r="D567" s="26" t="s">
        <v>133</v>
      </c>
      <c r="E567" s="26" t="s">
        <v>17</v>
      </c>
      <c r="F567" s="8">
        <v>16.8</v>
      </c>
      <c r="G567" s="8">
        <v>2</v>
      </c>
      <c r="H567" s="26" t="s">
        <v>14</v>
      </c>
      <c r="I567" s="26" t="s">
        <v>15</v>
      </c>
      <c r="J567" s="27">
        <v>45869</v>
      </c>
      <c r="K567" s="8">
        <v>0</v>
      </c>
      <c r="L567" s="26">
        <v>33.6</v>
      </c>
      <c r="M567" s="26" t="s">
        <v>15</v>
      </c>
      <c r="N567" s="28">
        <v>45839</v>
      </c>
      <c r="O567" s="14" t="s">
        <v>1346</v>
      </c>
    </row>
    <row r="568" spans="1:15" x14ac:dyDescent="0.25">
      <c r="A568" s="5">
        <v>10596</v>
      </c>
      <c r="B568" s="21">
        <v>4028899001126</v>
      </c>
      <c r="C568" s="22" t="s">
        <v>16</v>
      </c>
      <c r="D568" s="22" t="s">
        <v>12</v>
      </c>
      <c r="E568" s="22" t="s">
        <v>17</v>
      </c>
      <c r="F568" s="6">
        <v>2.8</v>
      </c>
      <c r="G568" s="6">
        <v>2</v>
      </c>
      <c r="H568" s="22" t="s">
        <v>23</v>
      </c>
      <c r="I568" s="22" t="s">
        <v>527</v>
      </c>
      <c r="J568" s="23">
        <v>45869</v>
      </c>
      <c r="K568" s="6">
        <v>0</v>
      </c>
      <c r="L568" s="22">
        <v>5.6</v>
      </c>
      <c r="M568" s="22">
        <v>5</v>
      </c>
      <c r="N568" s="24">
        <v>45839</v>
      </c>
      <c r="O568" s="13" t="s">
        <v>1346</v>
      </c>
    </row>
    <row r="569" spans="1:15" x14ac:dyDescent="0.25">
      <c r="A569" s="7">
        <v>10597</v>
      </c>
      <c r="B569" s="25">
        <v>8599988776654</v>
      </c>
      <c r="C569" s="26" t="s">
        <v>393</v>
      </c>
      <c r="D569" s="26" t="s">
        <v>133</v>
      </c>
      <c r="E569" s="26" t="s">
        <v>17</v>
      </c>
      <c r="F569" s="8">
        <v>16.8</v>
      </c>
      <c r="G569" s="8">
        <v>1</v>
      </c>
      <c r="H569" s="26" t="s">
        <v>14</v>
      </c>
      <c r="I569" s="26" t="s">
        <v>15</v>
      </c>
      <c r="J569" s="27">
        <v>45869</v>
      </c>
      <c r="K569" s="8">
        <v>0</v>
      </c>
      <c r="L569" s="26">
        <v>16.8</v>
      </c>
      <c r="M569" s="26" t="s">
        <v>15</v>
      </c>
      <c r="N569" s="28">
        <v>45839</v>
      </c>
      <c r="O569" s="14" t="s">
        <v>1346</v>
      </c>
    </row>
    <row r="570" spans="1:15" x14ac:dyDescent="0.25">
      <c r="A570" s="5">
        <v>10598</v>
      </c>
      <c r="B570" s="21">
        <v>4056789012345</v>
      </c>
      <c r="C570" s="22" t="s">
        <v>47</v>
      </c>
      <c r="D570" s="22" t="s">
        <v>29</v>
      </c>
      <c r="E570" s="22" t="s">
        <v>37</v>
      </c>
      <c r="F570" s="6">
        <v>2.4</v>
      </c>
      <c r="G570" s="6">
        <v>2</v>
      </c>
      <c r="H570" s="22" t="s">
        <v>14</v>
      </c>
      <c r="I570" s="22" t="s">
        <v>15</v>
      </c>
      <c r="J570" s="23">
        <v>45869</v>
      </c>
      <c r="K570" s="6">
        <v>0</v>
      </c>
      <c r="L570" s="22">
        <v>4.8</v>
      </c>
      <c r="M570" s="22" t="s">
        <v>15</v>
      </c>
      <c r="N570" s="24">
        <v>45839</v>
      </c>
      <c r="O570" s="13" t="s">
        <v>1345</v>
      </c>
    </row>
    <row r="571" spans="1:15" x14ac:dyDescent="0.25">
      <c r="A571" s="7">
        <v>10599</v>
      </c>
      <c r="B571" s="25">
        <v>8599988776654</v>
      </c>
      <c r="C571" s="26" t="s">
        <v>393</v>
      </c>
      <c r="D571" s="26" t="s">
        <v>133</v>
      </c>
      <c r="E571" s="26" t="s">
        <v>17</v>
      </c>
      <c r="F571" s="8">
        <v>16.8</v>
      </c>
      <c r="G571" s="8">
        <v>1</v>
      </c>
      <c r="H571" s="26" t="s">
        <v>14</v>
      </c>
      <c r="I571" s="26" t="s">
        <v>15</v>
      </c>
      <c r="J571" s="27">
        <v>45869</v>
      </c>
      <c r="K571" s="8">
        <v>0</v>
      </c>
      <c r="L571" s="26">
        <v>16.8</v>
      </c>
      <c r="M571" s="26" t="s">
        <v>15</v>
      </c>
      <c r="N571" s="28">
        <v>45839</v>
      </c>
      <c r="O571" s="14" t="s">
        <v>1346</v>
      </c>
    </row>
    <row r="572" spans="1:15" x14ac:dyDescent="0.25">
      <c r="A572" s="5">
        <v>10600</v>
      </c>
      <c r="B572" s="21">
        <v>4013456789017</v>
      </c>
      <c r="C572" s="22" t="s">
        <v>11</v>
      </c>
      <c r="D572" s="22" t="s">
        <v>12</v>
      </c>
      <c r="E572" s="22" t="s">
        <v>13</v>
      </c>
      <c r="F572" s="6">
        <v>6</v>
      </c>
      <c r="G572" s="6">
        <v>1</v>
      </c>
      <c r="H572" s="22" t="s">
        <v>23</v>
      </c>
      <c r="I572" s="22" t="s">
        <v>528</v>
      </c>
      <c r="J572" s="23">
        <v>45869</v>
      </c>
      <c r="K572" s="6">
        <v>0</v>
      </c>
      <c r="L572" s="22">
        <v>6</v>
      </c>
      <c r="M572" s="22">
        <v>5</v>
      </c>
      <c r="N572" s="24">
        <v>45839</v>
      </c>
      <c r="O572" s="13" t="s">
        <v>1346</v>
      </c>
    </row>
    <row r="573" spans="1:15" x14ac:dyDescent="0.25">
      <c r="A573" s="7">
        <v>10601</v>
      </c>
      <c r="B573" s="25">
        <v>8599988776654</v>
      </c>
      <c r="C573" s="26" t="s">
        <v>393</v>
      </c>
      <c r="D573" s="26" t="s">
        <v>133</v>
      </c>
      <c r="E573" s="26" t="s">
        <v>17</v>
      </c>
      <c r="F573" s="8">
        <v>16.8</v>
      </c>
      <c r="G573" s="8">
        <v>1</v>
      </c>
      <c r="H573" s="26" t="s">
        <v>14</v>
      </c>
      <c r="I573" s="26" t="s">
        <v>15</v>
      </c>
      <c r="J573" s="27">
        <v>45869</v>
      </c>
      <c r="K573" s="8">
        <v>0</v>
      </c>
      <c r="L573" s="26">
        <v>16.8</v>
      </c>
      <c r="M573" s="26" t="s">
        <v>15</v>
      </c>
      <c r="N573" s="28">
        <v>45839</v>
      </c>
      <c r="O573" s="14" t="s">
        <v>1346</v>
      </c>
    </row>
    <row r="574" spans="1:15" x14ac:dyDescent="0.25">
      <c r="A574" s="5">
        <v>10602</v>
      </c>
      <c r="B574" s="21">
        <v>4027788990013</v>
      </c>
      <c r="C574" s="22" t="s">
        <v>43</v>
      </c>
      <c r="D574" s="22" t="s">
        <v>21</v>
      </c>
      <c r="E574" s="22" t="s">
        <v>22</v>
      </c>
      <c r="F574" s="6">
        <v>8</v>
      </c>
      <c r="G574" s="6">
        <v>1</v>
      </c>
      <c r="H574" s="22" t="s">
        <v>14</v>
      </c>
      <c r="I574" s="22" t="s">
        <v>15</v>
      </c>
      <c r="J574" s="23">
        <v>45869</v>
      </c>
      <c r="K574" s="6">
        <v>0</v>
      </c>
      <c r="L574" s="22">
        <v>8</v>
      </c>
      <c r="M574" s="22" t="s">
        <v>15</v>
      </c>
      <c r="N574" s="24">
        <v>45839</v>
      </c>
      <c r="O574" s="13" t="s">
        <v>1346</v>
      </c>
    </row>
    <row r="575" spans="1:15" x14ac:dyDescent="0.25">
      <c r="A575" s="7">
        <v>10603</v>
      </c>
      <c r="B575" s="25">
        <v>8599988776654</v>
      </c>
      <c r="C575" s="26" t="s">
        <v>393</v>
      </c>
      <c r="D575" s="26" t="s">
        <v>133</v>
      </c>
      <c r="E575" s="26" t="s">
        <v>17</v>
      </c>
      <c r="F575" s="8">
        <v>16.8</v>
      </c>
      <c r="G575" s="8">
        <v>1</v>
      </c>
      <c r="H575" s="26" t="s">
        <v>14</v>
      </c>
      <c r="I575" s="26" t="s">
        <v>15</v>
      </c>
      <c r="J575" s="27">
        <v>45869</v>
      </c>
      <c r="K575" s="8">
        <v>0</v>
      </c>
      <c r="L575" s="26">
        <v>16.8</v>
      </c>
      <c r="M575" s="26" t="s">
        <v>15</v>
      </c>
      <c r="N575" s="28">
        <v>45839</v>
      </c>
      <c r="O575" s="14" t="s">
        <v>1346</v>
      </c>
    </row>
    <row r="576" spans="1:15" x14ac:dyDescent="0.25">
      <c r="A576" s="5">
        <v>10604</v>
      </c>
      <c r="B576" s="21">
        <v>4017890123450</v>
      </c>
      <c r="C576" s="22" t="s">
        <v>65</v>
      </c>
      <c r="D576" s="22" t="s">
        <v>39</v>
      </c>
      <c r="E576" s="22" t="s">
        <v>22</v>
      </c>
      <c r="F576" s="6">
        <v>7.6</v>
      </c>
      <c r="G576" s="6">
        <v>1</v>
      </c>
      <c r="H576" s="22" t="s">
        <v>18</v>
      </c>
      <c r="I576" s="22" t="s">
        <v>529</v>
      </c>
      <c r="J576" s="23">
        <v>45869</v>
      </c>
      <c r="K576" s="6">
        <v>0</v>
      </c>
      <c r="L576" s="22">
        <v>7.6</v>
      </c>
      <c r="M576" s="22">
        <v>4</v>
      </c>
      <c r="N576" s="24">
        <v>45839</v>
      </c>
      <c r="O576" s="13" t="s">
        <v>1346</v>
      </c>
    </row>
    <row r="577" spans="1:15" x14ac:dyDescent="0.25">
      <c r="A577" s="7">
        <v>10605</v>
      </c>
      <c r="B577" s="25">
        <v>8599988776654</v>
      </c>
      <c r="C577" s="26" t="s">
        <v>393</v>
      </c>
      <c r="D577" s="26" t="s">
        <v>133</v>
      </c>
      <c r="E577" s="26" t="s">
        <v>17</v>
      </c>
      <c r="F577" s="8">
        <v>16.8</v>
      </c>
      <c r="G577" s="8">
        <v>1</v>
      </c>
      <c r="H577" s="26" t="s">
        <v>14</v>
      </c>
      <c r="I577" s="26" t="s">
        <v>15</v>
      </c>
      <c r="J577" s="27">
        <v>45869</v>
      </c>
      <c r="K577" s="8">
        <v>0</v>
      </c>
      <c r="L577" s="26">
        <v>16.8</v>
      </c>
      <c r="M577" s="26" t="s">
        <v>15</v>
      </c>
      <c r="N577" s="28">
        <v>45839</v>
      </c>
      <c r="O577" s="14" t="s">
        <v>1346</v>
      </c>
    </row>
    <row r="578" spans="1:15" x14ac:dyDescent="0.25">
      <c r="A578" s="5">
        <v>10606</v>
      </c>
      <c r="B578" s="21">
        <v>4010123456783</v>
      </c>
      <c r="C578" s="22" t="s">
        <v>35</v>
      </c>
      <c r="D578" s="22" t="s">
        <v>36</v>
      </c>
      <c r="E578" s="22" t="s">
        <v>37</v>
      </c>
      <c r="F578" s="6">
        <v>14</v>
      </c>
      <c r="G578" s="6">
        <v>1</v>
      </c>
      <c r="H578" s="22" t="s">
        <v>14</v>
      </c>
      <c r="I578" s="22" t="s">
        <v>15</v>
      </c>
      <c r="J578" s="23">
        <v>45869</v>
      </c>
      <c r="K578" s="6">
        <v>0</v>
      </c>
      <c r="L578" s="22">
        <v>14</v>
      </c>
      <c r="M578" s="22" t="s">
        <v>15</v>
      </c>
      <c r="N578" s="24">
        <v>45839</v>
      </c>
      <c r="O578" s="13" t="s">
        <v>1345</v>
      </c>
    </row>
    <row r="579" spans="1:15" x14ac:dyDescent="0.25">
      <c r="A579" s="7">
        <v>10607</v>
      </c>
      <c r="B579" s="25">
        <v>8599988776654</v>
      </c>
      <c r="C579" s="26" t="s">
        <v>393</v>
      </c>
      <c r="D579" s="26" t="s">
        <v>133</v>
      </c>
      <c r="E579" s="26" t="s">
        <v>17</v>
      </c>
      <c r="F579" s="8">
        <v>16.8</v>
      </c>
      <c r="G579" s="8">
        <v>2</v>
      </c>
      <c r="H579" s="26" t="s">
        <v>14</v>
      </c>
      <c r="I579" s="26" t="s">
        <v>15</v>
      </c>
      <c r="J579" s="27">
        <v>45869</v>
      </c>
      <c r="K579" s="8">
        <v>0</v>
      </c>
      <c r="L579" s="26">
        <v>33.6</v>
      </c>
      <c r="M579" s="26" t="s">
        <v>15</v>
      </c>
      <c r="N579" s="28">
        <v>45839</v>
      </c>
      <c r="O579" s="14" t="s">
        <v>1346</v>
      </c>
    </row>
    <row r="580" spans="1:15" x14ac:dyDescent="0.25">
      <c r="A580" s="5">
        <v>10608</v>
      </c>
      <c r="B580" s="21">
        <v>4063456789014</v>
      </c>
      <c r="C580" s="22" t="s">
        <v>60</v>
      </c>
      <c r="D580" s="22" t="s">
        <v>12</v>
      </c>
      <c r="E580" s="22" t="s">
        <v>61</v>
      </c>
      <c r="F580" s="6">
        <v>36</v>
      </c>
      <c r="G580" s="6">
        <v>1</v>
      </c>
      <c r="H580" s="22" t="s">
        <v>23</v>
      </c>
      <c r="I580" s="22" t="s">
        <v>530</v>
      </c>
      <c r="J580" s="23">
        <v>45869</v>
      </c>
      <c r="K580" s="6">
        <v>0</v>
      </c>
      <c r="L580" s="22">
        <v>36</v>
      </c>
      <c r="M580" s="22">
        <v>5</v>
      </c>
      <c r="N580" s="24">
        <v>45839</v>
      </c>
      <c r="O580" s="13" t="s">
        <v>1346</v>
      </c>
    </row>
    <row r="581" spans="1:15" x14ac:dyDescent="0.25">
      <c r="A581" s="7">
        <v>10609</v>
      </c>
      <c r="B581" s="25">
        <v>8599988776654</v>
      </c>
      <c r="C581" s="26" t="s">
        <v>393</v>
      </c>
      <c r="D581" s="26" t="s">
        <v>133</v>
      </c>
      <c r="E581" s="26" t="s">
        <v>17</v>
      </c>
      <c r="F581" s="8">
        <v>16.8</v>
      </c>
      <c r="G581" s="8">
        <v>1</v>
      </c>
      <c r="H581" s="26" t="s">
        <v>14</v>
      </c>
      <c r="I581" s="26" t="s">
        <v>15</v>
      </c>
      <c r="J581" s="27">
        <v>45869</v>
      </c>
      <c r="K581" s="8">
        <v>0</v>
      </c>
      <c r="L581" s="26">
        <v>16.8</v>
      </c>
      <c r="M581" s="26" t="s">
        <v>15</v>
      </c>
      <c r="N581" s="28">
        <v>45839</v>
      </c>
      <c r="O581" s="14" t="s">
        <v>1346</v>
      </c>
    </row>
    <row r="582" spans="1:15" x14ac:dyDescent="0.25">
      <c r="A582" s="5">
        <v>10610</v>
      </c>
      <c r="B582" s="21">
        <v>4021234567894</v>
      </c>
      <c r="C582" s="22" t="s">
        <v>79</v>
      </c>
      <c r="D582" s="22" t="s">
        <v>36</v>
      </c>
      <c r="E582" s="22" t="s">
        <v>69</v>
      </c>
      <c r="F582" s="6">
        <v>8</v>
      </c>
      <c r="G582" s="6">
        <v>1</v>
      </c>
      <c r="H582" s="22" t="s">
        <v>14</v>
      </c>
      <c r="I582" s="22" t="s">
        <v>15</v>
      </c>
      <c r="J582" s="23">
        <v>45869</v>
      </c>
      <c r="K582" s="6">
        <v>0</v>
      </c>
      <c r="L582" s="22">
        <v>8</v>
      </c>
      <c r="M582" s="22" t="s">
        <v>15</v>
      </c>
      <c r="N582" s="24">
        <v>45839</v>
      </c>
      <c r="O582" s="13" t="s">
        <v>1345</v>
      </c>
    </row>
    <row r="583" spans="1:15" x14ac:dyDescent="0.25">
      <c r="A583" s="7">
        <v>10611</v>
      </c>
      <c r="B583" s="25">
        <v>8599988776654</v>
      </c>
      <c r="C583" s="26" t="s">
        <v>393</v>
      </c>
      <c r="D583" s="26" t="s">
        <v>133</v>
      </c>
      <c r="E583" s="26" t="s">
        <v>17</v>
      </c>
      <c r="F583" s="8">
        <v>16.8</v>
      </c>
      <c r="G583" s="8">
        <v>1</v>
      </c>
      <c r="H583" s="26" t="s">
        <v>14</v>
      </c>
      <c r="I583" s="26" t="s">
        <v>15</v>
      </c>
      <c r="J583" s="27">
        <v>45869</v>
      </c>
      <c r="K583" s="8">
        <v>0</v>
      </c>
      <c r="L583" s="26">
        <v>16.8</v>
      </c>
      <c r="M583" s="26" t="s">
        <v>15</v>
      </c>
      <c r="N583" s="28">
        <v>45839</v>
      </c>
      <c r="O583" s="14" t="s">
        <v>1346</v>
      </c>
    </row>
    <row r="584" spans="1:15" x14ac:dyDescent="0.25">
      <c r="A584" s="5">
        <v>10612</v>
      </c>
      <c r="B584" s="21">
        <v>4056789012345</v>
      </c>
      <c r="C584" s="22" t="s">
        <v>47</v>
      </c>
      <c r="D584" s="22" t="s">
        <v>29</v>
      </c>
      <c r="E584" s="22" t="s">
        <v>37</v>
      </c>
      <c r="F584" s="6">
        <v>2.4</v>
      </c>
      <c r="G584" s="6">
        <v>2</v>
      </c>
      <c r="H584" s="22" t="s">
        <v>14</v>
      </c>
      <c r="I584" s="22" t="s">
        <v>15</v>
      </c>
      <c r="J584" s="23">
        <v>45869</v>
      </c>
      <c r="K584" s="6">
        <v>0</v>
      </c>
      <c r="L584" s="22">
        <v>4.8</v>
      </c>
      <c r="M584" s="22" t="s">
        <v>15</v>
      </c>
      <c r="N584" s="24">
        <v>45839</v>
      </c>
      <c r="O584" s="13" t="s">
        <v>1345</v>
      </c>
    </row>
    <row r="585" spans="1:15" x14ac:dyDescent="0.25">
      <c r="A585" s="7">
        <v>10613</v>
      </c>
      <c r="B585" s="25">
        <v>8599988776654</v>
      </c>
      <c r="C585" s="26" t="s">
        <v>393</v>
      </c>
      <c r="D585" s="26" t="s">
        <v>133</v>
      </c>
      <c r="E585" s="26" t="s">
        <v>17</v>
      </c>
      <c r="F585" s="8">
        <v>16.8</v>
      </c>
      <c r="G585" s="8">
        <v>1</v>
      </c>
      <c r="H585" s="26" t="s">
        <v>18</v>
      </c>
      <c r="I585" s="26" t="s">
        <v>531</v>
      </c>
      <c r="J585" s="27">
        <v>45869</v>
      </c>
      <c r="K585" s="8">
        <v>0</v>
      </c>
      <c r="L585" s="26">
        <v>16.8</v>
      </c>
      <c r="M585" s="26">
        <v>4</v>
      </c>
      <c r="N585" s="28">
        <v>45839</v>
      </c>
      <c r="O585" s="14" t="s">
        <v>1346</v>
      </c>
    </row>
    <row r="586" spans="1:15" x14ac:dyDescent="0.25">
      <c r="A586" s="5">
        <v>10614</v>
      </c>
      <c r="B586" s="21">
        <v>4017890123450</v>
      </c>
      <c r="C586" s="22" t="s">
        <v>65</v>
      </c>
      <c r="D586" s="22" t="s">
        <v>39</v>
      </c>
      <c r="E586" s="22" t="s">
        <v>22</v>
      </c>
      <c r="F586" s="6">
        <v>7.6</v>
      </c>
      <c r="G586" s="6">
        <v>1</v>
      </c>
      <c r="H586" s="22" t="s">
        <v>14</v>
      </c>
      <c r="I586" s="22" t="s">
        <v>15</v>
      </c>
      <c r="J586" s="23">
        <v>45869</v>
      </c>
      <c r="K586" s="6">
        <v>0</v>
      </c>
      <c r="L586" s="22">
        <v>7.6</v>
      </c>
      <c r="M586" s="22" t="s">
        <v>15</v>
      </c>
      <c r="N586" s="24">
        <v>45839</v>
      </c>
      <c r="O586" s="13" t="s">
        <v>1346</v>
      </c>
    </row>
    <row r="587" spans="1:15" x14ac:dyDescent="0.25">
      <c r="A587" s="7">
        <v>10615</v>
      </c>
      <c r="B587" s="25">
        <v>8599988776654</v>
      </c>
      <c r="C587" s="26" t="s">
        <v>393</v>
      </c>
      <c r="D587" s="26" t="s">
        <v>133</v>
      </c>
      <c r="E587" s="26" t="s">
        <v>17</v>
      </c>
      <c r="F587" s="8">
        <v>16.8</v>
      </c>
      <c r="G587" s="8">
        <v>2</v>
      </c>
      <c r="H587" s="26" t="s">
        <v>14</v>
      </c>
      <c r="I587" s="26" t="s">
        <v>15</v>
      </c>
      <c r="J587" s="27">
        <v>45869</v>
      </c>
      <c r="K587" s="8">
        <v>0</v>
      </c>
      <c r="L587" s="26">
        <v>33.6</v>
      </c>
      <c r="M587" s="26" t="s">
        <v>15</v>
      </c>
      <c r="N587" s="28">
        <v>45839</v>
      </c>
      <c r="O587" s="14" t="s">
        <v>1346</v>
      </c>
    </row>
    <row r="588" spans="1:15" x14ac:dyDescent="0.25">
      <c r="A588" s="5">
        <v>10616</v>
      </c>
      <c r="B588" s="21">
        <v>4010123456783</v>
      </c>
      <c r="C588" s="22" t="s">
        <v>35</v>
      </c>
      <c r="D588" s="22" t="s">
        <v>36</v>
      </c>
      <c r="E588" s="22" t="s">
        <v>37</v>
      </c>
      <c r="F588" s="6">
        <v>14</v>
      </c>
      <c r="G588" s="6">
        <v>1</v>
      </c>
      <c r="H588" s="22" t="s">
        <v>14</v>
      </c>
      <c r="I588" s="22" t="s">
        <v>15</v>
      </c>
      <c r="J588" s="23">
        <v>45869</v>
      </c>
      <c r="K588" s="6">
        <v>0</v>
      </c>
      <c r="L588" s="22">
        <v>14</v>
      </c>
      <c r="M588" s="22" t="s">
        <v>15</v>
      </c>
      <c r="N588" s="24">
        <v>45839</v>
      </c>
      <c r="O588" s="13" t="s">
        <v>1345</v>
      </c>
    </row>
    <row r="589" spans="1:15" x14ac:dyDescent="0.25">
      <c r="A589" s="7">
        <v>10617</v>
      </c>
      <c r="B589" s="25">
        <v>8599988776654</v>
      </c>
      <c r="C589" s="26" t="s">
        <v>393</v>
      </c>
      <c r="D589" s="26" t="s">
        <v>133</v>
      </c>
      <c r="E589" s="26" t="s">
        <v>17</v>
      </c>
      <c r="F589" s="8">
        <v>16.8</v>
      </c>
      <c r="G589" s="8">
        <v>1</v>
      </c>
      <c r="H589" s="26" t="s">
        <v>14</v>
      </c>
      <c r="I589" s="26" t="s">
        <v>15</v>
      </c>
      <c r="J589" s="27">
        <v>45869</v>
      </c>
      <c r="K589" s="8">
        <v>0</v>
      </c>
      <c r="L589" s="26">
        <v>16.8</v>
      </c>
      <c r="M589" s="26" t="s">
        <v>15</v>
      </c>
      <c r="N589" s="28">
        <v>45839</v>
      </c>
      <c r="O589" s="14" t="s">
        <v>1346</v>
      </c>
    </row>
    <row r="590" spans="1:15" x14ac:dyDescent="0.25">
      <c r="A590" s="5">
        <v>10618</v>
      </c>
      <c r="B590" s="21">
        <v>4013456789017</v>
      </c>
      <c r="C590" s="22" t="s">
        <v>11</v>
      </c>
      <c r="D590" s="22" t="s">
        <v>12</v>
      </c>
      <c r="E590" s="22" t="s">
        <v>13</v>
      </c>
      <c r="F590" s="6">
        <v>6</v>
      </c>
      <c r="G590" s="6">
        <v>1</v>
      </c>
      <c r="H590" s="22" t="s">
        <v>23</v>
      </c>
      <c r="I590" s="22" t="s">
        <v>532</v>
      </c>
      <c r="J590" s="23">
        <v>45869</v>
      </c>
      <c r="K590" s="6">
        <v>0</v>
      </c>
      <c r="L590" s="22">
        <v>6</v>
      </c>
      <c r="M590" s="22">
        <v>5</v>
      </c>
      <c r="N590" s="24">
        <v>45839</v>
      </c>
      <c r="O590" s="13" t="s">
        <v>1346</v>
      </c>
    </row>
    <row r="591" spans="1:15" x14ac:dyDescent="0.25">
      <c r="A591" s="7">
        <v>10619</v>
      </c>
      <c r="B591" s="25">
        <v>8599988776654</v>
      </c>
      <c r="C591" s="26" t="s">
        <v>393</v>
      </c>
      <c r="D591" s="26" t="s">
        <v>133</v>
      </c>
      <c r="E591" s="26" t="s">
        <v>17</v>
      </c>
      <c r="F591" s="8">
        <v>16.8</v>
      </c>
      <c r="G591" s="8">
        <v>1</v>
      </c>
      <c r="H591" s="26" t="s">
        <v>14</v>
      </c>
      <c r="I591" s="26" t="s">
        <v>15</v>
      </c>
      <c r="J591" s="27">
        <v>45869</v>
      </c>
      <c r="K591" s="8">
        <v>0</v>
      </c>
      <c r="L591" s="26">
        <v>16.8</v>
      </c>
      <c r="M591" s="26" t="s">
        <v>15</v>
      </c>
      <c r="N591" s="28">
        <v>45839</v>
      </c>
      <c r="O591" s="14" t="s">
        <v>1346</v>
      </c>
    </row>
    <row r="592" spans="1:15" x14ac:dyDescent="0.25">
      <c r="A592" s="5">
        <v>10620</v>
      </c>
      <c r="B592" s="21">
        <v>4010123456783</v>
      </c>
      <c r="C592" s="22" t="s">
        <v>35</v>
      </c>
      <c r="D592" s="22" t="s">
        <v>36</v>
      </c>
      <c r="E592" s="22" t="s">
        <v>37</v>
      </c>
      <c r="F592" s="6">
        <v>14</v>
      </c>
      <c r="G592" s="6">
        <v>1</v>
      </c>
      <c r="H592" s="22" t="s">
        <v>14</v>
      </c>
      <c r="I592" s="22" t="s">
        <v>15</v>
      </c>
      <c r="J592" s="23">
        <v>45869</v>
      </c>
      <c r="K592" s="6">
        <v>0</v>
      </c>
      <c r="L592" s="22">
        <v>14</v>
      </c>
      <c r="M592" s="22" t="s">
        <v>15</v>
      </c>
      <c r="N592" s="24">
        <v>45839</v>
      </c>
      <c r="O592" s="13" t="s">
        <v>1345</v>
      </c>
    </row>
    <row r="593" spans="1:15" x14ac:dyDescent="0.25">
      <c r="A593" s="7">
        <v>10621</v>
      </c>
      <c r="B593" s="25">
        <v>8599988776654</v>
      </c>
      <c r="C593" s="26" t="s">
        <v>393</v>
      </c>
      <c r="D593" s="26" t="s">
        <v>133</v>
      </c>
      <c r="E593" s="26" t="s">
        <v>17</v>
      </c>
      <c r="F593" s="8">
        <v>16.8</v>
      </c>
      <c r="G593" s="8">
        <v>1</v>
      </c>
      <c r="H593" s="26" t="s">
        <v>14</v>
      </c>
      <c r="I593" s="26" t="s">
        <v>15</v>
      </c>
      <c r="J593" s="27">
        <v>45869</v>
      </c>
      <c r="K593" s="8">
        <v>0</v>
      </c>
      <c r="L593" s="26">
        <v>16.8</v>
      </c>
      <c r="M593" s="26" t="s">
        <v>15</v>
      </c>
      <c r="N593" s="28">
        <v>45839</v>
      </c>
      <c r="O593" s="14" t="s">
        <v>1346</v>
      </c>
    </row>
    <row r="594" spans="1:15" x14ac:dyDescent="0.25">
      <c r="A594" s="5">
        <v>10622</v>
      </c>
      <c r="B594" s="21">
        <v>4028899001126</v>
      </c>
      <c r="C594" s="22" t="s">
        <v>16</v>
      </c>
      <c r="D594" s="22" t="s">
        <v>12</v>
      </c>
      <c r="E594" s="22" t="s">
        <v>17</v>
      </c>
      <c r="F594" s="6">
        <v>2.8</v>
      </c>
      <c r="G594" s="6">
        <v>3</v>
      </c>
      <c r="H594" s="22" t="s">
        <v>18</v>
      </c>
      <c r="I594" s="22" t="s">
        <v>533</v>
      </c>
      <c r="J594" s="23">
        <v>45869</v>
      </c>
      <c r="K594" s="6">
        <v>0</v>
      </c>
      <c r="L594" s="22">
        <v>8.3999999999999986</v>
      </c>
      <c r="M594" s="22">
        <v>4</v>
      </c>
      <c r="N594" s="24">
        <v>45839</v>
      </c>
      <c r="O594" s="13" t="s">
        <v>1346</v>
      </c>
    </row>
    <row r="595" spans="1:15" x14ac:dyDescent="0.25">
      <c r="A595" s="7">
        <v>10623</v>
      </c>
      <c r="B595" s="25">
        <v>8599988776654</v>
      </c>
      <c r="C595" s="26" t="s">
        <v>393</v>
      </c>
      <c r="D595" s="26" t="s">
        <v>133</v>
      </c>
      <c r="E595" s="26" t="s">
        <v>17</v>
      </c>
      <c r="F595" s="8">
        <v>16.8</v>
      </c>
      <c r="G595" s="8">
        <v>2</v>
      </c>
      <c r="H595" s="26" t="s">
        <v>14</v>
      </c>
      <c r="I595" s="26" t="s">
        <v>15</v>
      </c>
      <c r="J595" s="27">
        <v>45869</v>
      </c>
      <c r="K595" s="8">
        <v>0</v>
      </c>
      <c r="L595" s="26">
        <v>33.6</v>
      </c>
      <c r="M595" s="26" t="s">
        <v>15</v>
      </c>
      <c r="N595" s="28">
        <v>45839</v>
      </c>
      <c r="O595" s="14" t="s">
        <v>1346</v>
      </c>
    </row>
    <row r="596" spans="1:15" x14ac:dyDescent="0.25">
      <c r="A596" s="5">
        <v>10624</v>
      </c>
      <c r="B596" s="21">
        <v>4056789012345</v>
      </c>
      <c r="C596" s="22" t="s">
        <v>47</v>
      </c>
      <c r="D596" s="22" t="s">
        <v>29</v>
      </c>
      <c r="E596" s="22" t="s">
        <v>37</v>
      </c>
      <c r="F596" s="6">
        <v>2.4</v>
      </c>
      <c r="G596" s="6">
        <v>2</v>
      </c>
      <c r="H596" s="22" t="s">
        <v>14</v>
      </c>
      <c r="I596" s="22" t="s">
        <v>15</v>
      </c>
      <c r="J596" s="23">
        <v>45869</v>
      </c>
      <c r="K596" s="6">
        <v>0</v>
      </c>
      <c r="L596" s="22">
        <v>4.8</v>
      </c>
      <c r="M596" s="22" t="s">
        <v>15</v>
      </c>
      <c r="N596" s="24">
        <v>45839</v>
      </c>
      <c r="O596" s="13" t="s">
        <v>1345</v>
      </c>
    </row>
    <row r="597" spans="1:15" x14ac:dyDescent="0.25">
      <c r="A597" s="7">
        <v>10625</v>
      </c>
      <c r="B597" s="25">
        <v>8599988776654</v>
      </c>
      <c r="C597" s="26" t="s">
        <v>393</v>
      </c>
      <c r="D597" s="26" t="s">
        <v>133</v>
      </c>
      <c r="E597" s="26" t="s">
        <v>17</v>
      </c>
      <c r="F597" s="8">
        <v>16.8</v>
      </c>
      <c r="G597" s="8">
        <v>1</v>
      </c>
      <c r="H597" s="26" t="s">
        <v>14</v>
      </c>
      <c r="I597" s="26" t="s">
        <v>15</v>
      </c>
      <c r="J597" s="27">
        <v>45869</v>
      </c>
      <c r="K597" s="8">
        <v>0</v>
      </c>
      <c r="L597" s="26">
        <v>16.8</v>
      </c>
      <c r="M597" s="26" t="s">
        <v>15</v>
      </c>
      <c r="N597" s="28">
        <v>45839</v>
      </c>
      <c r="O597" s="14" t="s">
        <v>1346</v>
      </c>
    </row>
    <row r="598" spans="1:15" x14ac:dyDescent="0.25">
      <c r="A598" s="5">
        <v>10626</v>
      </c>
      <c r="B598" s="21">
        <v>4013456789017</v>
      </c>
      <c r="C598" s="22" t="s">
        <v>11</v>
      </c>
      <c r="D598" s="22" t="s">
        <v>12</v>
      </c>
      <c r="E598" s="22" t="s">
        <v>13</v>
      </c>
      <c r="F598" s="6">
        <v>6</v>
      </c>
      <c r="G598" s="6">
        <v>1</v>
      </c>
      <c r="H598" s="22" t="s">
        <v>14</v>
      </c>
      <c r="I598" s="22" t="s">
        <v>15</v>
      </c>
      <c r="J598" s="23">
        <v>45869</v>
      </c>
      <c r="K598" s="6">
        <v>0</v>
      </c>
      <c r="L598" s="22">
        <v>6</v>
      </c>
      <c r="M598" s="22" t="s">
        <v>15</v>
      </c>
      <c r="N598" s="24">
        <v>45839</v>
      </c>
      <c r="O598" s="13" t="s">
        <v>1346</v>
      </c>
    </row>
    <row r="599" spans="1:15" x14ac:dyDescent="0.25">
      <c r="A599" s="7">
        <v>10627</v>
      </c>
      <c r="B599" s="25">
        <v>8599988776654</v>
      </c>
      <c r="C599" s="26" t="s">
        <v>393</v>
      </c>
      <c r="D599" s="26" t="s">
        <v>133</v>
      </c>
      <c r="E599" s="26" t="s">
        <v>17</v>
      </c>
      <c r="F599" s="8">
        <v>16.8</v>
      </c>
      <c r="G599" s="8">
        <v>2</v>
      </c>
      <c r="H599" s="26" t="s">
        <v>23</v>
      </c>
      <c r="I599" s="26" t="s">
        <v>534</v>
      </c>
      <c r="J599" s="27">
        <v>45869</v>
      </c>
      <c r="K599" s="8">
        <v>0</v>
      </c>
      <c r="L599" s="26">
        <v>33.6</v>
      </c>
      <c r="M599" s="26">
        <v>5</v>
      </c>
      <c r="N599" s="28">
        <v>45839</v>
      </c>
      <c r="O599" s="14" t="s">
        <v>1346</v>
      </c>
    </row>
    <row r="600" spans="1:15" x14ac:dyDescent="0.25">
      <c r="A600" s="5">
        <v>10628</v>
      </c>
      <c r="B600" s="21">
        <v>4017890123450</v>
      </c>
      <c r="C600" s="22" t="s">
        <v>65</v>
      </c>
      <c r="D600" s="22" t="s">
        <v>39</v>
      </c>
      <c r="E600" s="22" t="s">
        <v>22</v>
      </c>
      <c r="F600" s="6">
        <v>7.6</v>
      </c>
      <c r="G600" s="6">
        <v>1</v>
      </c>
      <c r="H600" s="22" t="s">
        <v>14</v>
      </c>
      <c r="I600" s="22" t="s">
        <v>15</v>
      </c>
      <c r="J600" s="23">
        <v>45869</v>
      </c>
      <c r="K600" s="6">
        <v>0</v>
      </c>
      <c r="L600" s="22">
        <v>7.6</v>
      </c>
      <c r="M600" s="22" t="s">
        <v>15</v>
      </c>
      <c r="N600" s="24">
        <v>45839</v>
      </c>
      <c r="O600" s="13" t="s">
        <v>1346</v>
      </c>
    </row>
    <row r="601" spans="1:15" x14ac:dyDescent="0.25">
      <c r="A601" s="7">
        <v>10629</v>
      </c>
      <c r="B601" s="25">
        <v>8599988776654</v>
      </c>
      <c r="C601" s="26" t="s">
        <v>393</v>
      </c>
      <c r="D601" s="26" t="s">
        <v>133</v>
      </c>
      <c r="E601" s="26" t="s">
        <v>17</v>
      </c>
      <c r="F601" s="8">
        <v>16.8</v>
      </c>
      <c r="G601" s="8">
        <v>1</v>
      </c>
      <c r="H601" s="26" t="s">
        <v>14</v>
      </c>
      <c r="I601" s="26" t="s">
        <v>15</v>
      </c>
      <c r="J601" s="27">
        <v>45869</v>
      </c>
      <c r="K601" s="8">
        <v>0</v>
      </c>
      <c r="L601" s="26">
        <v>16.8</v>
      </c>
      <c r="M601" s="26" t="s">
        <v>15</v>
      </c>
      <c r="N601" s="28">
        <v>45839</v>
      </c>
      <c r="O601" s="14" t="s">
        <v>1346</v>
      </c>
    </row>
    <row r="602" spans="1:15" x14ac:dyDescent="0.25">
      <c r="A602" s="5">
        <v>10630</v>
      </c>
      <c r="B602" s="21">
        <v>4010123456783</v>
      </c>
      <c r="C602" s="22" t="s">
        <v>35</v>
      </c>
      <c r="D602" s="22" t="s">
        <v>36</v>
      </c>
      <c r="E602" s="22" t="s">
        <v>37</v>
      </c>
      <c r="F602" s="6">
        <v>14</v>
      </c>
      <c r="G602" s="6">
        <v>1</v>
      </c>
      <c r="H602" s="22" t="s">
        <v>14</v>
      </c>
      <c r="I602" s="22" t="s">
        <v>15</v>
      </c>
      <c r="J602" s="23">
        <v>45869</v>
      </c>
      <c r="K602" s="6">
        <v>0</v>
      </c>
      <c r="L602" s="22">
        <v>14</v>
      </c>
      <c r="M602" s="22" t="s">
        <v>15</v>
      </c>
      <c r="N602" s="24">
        <v>45839</v>
      </c>
      <c r="O602" s="13" t="s">
        <v>1345</v>
      </c>
    </row>
    <row r="603" spans="1:15" x14ac:dyDescent="0.25">
      <c r="A603" s="7">
        <v>10631</v>
      </c>
      <c r="B603" s="25">
        <v>8599988776654</v>
      </c>
      <c r="C603" s="26" t="s">
        <v>393</v>
      </c>
      <c r="D603" s="26" t="s">
        <v>133</v>
      </c>
      <c r="E603" s="26" t="s">
        <v>17</v>
      </c>
      <c r="F603" s="8">
        <v>16.8</v>
      </c>
      <c r="G603" s="8">
        <v>1</v>
      </c>
      <c r="H603" s="26" t="s">
        <v>14</v>
      </c>
      <c r="I603" s="26" t="s">
        <v>15</v>
      </c>
      <c r="J603" s="27">
        <v>45869</v>
      </c>
      <c r="K603" s="8">
        <v>0</v>
      </c>
      <c r="L603" s="26">
        <v>16.8</v>
      </c>
      <c r="M603" s="26" t="s">
        <v>15</v>
      </c>
      <c r="N603" s="28">
        <v>45839</v>
      </c>
      <c r="O603" s="14" t="s">
        <v>1346</v>
      </c>
    </row>
    <row r="604" spans="1:15" x14ac:dyDescent="0.25">
      <c r="A604" s="5">
        <v>10632</v>
      </c>
      <c r="B604" s="21">
        <v>4063456789014</v>
      </c>
      <c r="C604" s="22" t="s">
        <v>60</v>
      </c>
      <c r="D604" s="22" t="s">
        <v>12</v>
      </c>
      <c r="E604" s="22" t="s">
        <v>61</v>
      </c>
      <c r="F604" s="6">
        <v>36</v>
      </c>
      <c r="G604" s="6">
        <v>1</v>
      </c>
      <c r="H604" s="22" t="s">
        <v>23</v>
      </c>
      <c r="I604" s="22" t="s">
        <v>535</v>
      </c>
      <c r="J604" s="23">
        <v>45869</v>
      </c>
      <c r="K604" s="6">
        <v>0</v>
      </c>
      <c r="L604" s="22">
        <v>36</v>
      </c>
      <c r="M604" s="22">
        <v>5</v>
      </c>
      <c r="N604" s="24">
        <v>45839</v>
      </c>
      <c r="O604" s="13" t="s">
        <v>1346</v>
      </c>
    </row>
    <row r="605" spans="1:15" x14ac:dyDescent="0.25">
      <c r="A605" s="7">
        <v>10633</v>
      </c>
      <c r="B605" s="25">
        <v>8599988776654</v>
      </c>
      <c r="C605" s="26" t="s">
        <v>393</v>
      </c>
      <c r="D605" s="26" t="s">
        <v>133</v>
      </c>
      <c r="E605" s="26" t="s">
        <v>17</v>
      </c>
      <c r="F605" s="8">
        <v>16.8</v>
      </c>
      <c r="G605" s="8">
        <v>2</v>
      </c>
      <c r="H605" s="26" t="s">
        <v>14</v>
      </c>
      <c r="I605" s="26" t="s">
        <v>15</v>
      </c>
      <c r="J605" s="27">
        <v>45869</v>
      </c>
      <c r="K605" s="8">
        <v>0</v>
      </c>
      <c r="L605" s="26">
        <v>33.6</v>
      </c>
      <c r="M605" s="26" t="s">
        <v>15</v>
      </c>
      <c r="N605" s="28">
        <v>45839</v>
      </c>
      <c r="O605" s="14" t="s">
        <v>1346</v>
      </c>
    </row>
    <row r="606" spans="1:15" x14ac:dyDescent="0.25">
      <c r="A606" s="5">
        <v>10634</v>
      </c>
      <c r="B606" s="21">
        <v>4021234567894</v>
      </c>
      <c r="C606" s="22" t="s">
        <v>79</v>
      </c>
      <c r="D606" s="22" t="s">
        <v>36</v>
      </c>
      <c r="E606" s="22" t="s">
        <v>69</v>
      </c>
      <c r="F606" s="6">
        <v>8</v>
      </c>
      <c r="G606" s="6">
        <v>1</v>
      </c>
      <c r="H606" s="22" t="s">
        <v>14</v>
      </c>
      <c r="I606" s="22" t="s">
        <v>15</v>
      </c>
      <c r="J606" s="23">
        <v>45869</v>
      </c>
      <c r="K606" s="6">
        <v>0</v>
      </c>
      <c r="L606" s="22">
        <v>8</v>
      </c>
      <c r="M606" s="22" t="s">
        <v>15</v>
      </c>
      <c r="N606" s="24">
        <v>45839</v>
      </c>
      <c r="O606" s="13" t="s">
        <v>1345</v>
      </c>
    </row>
    <row r="607" spans="1:15" x14ac:dyDescent="0.25">
      <c r="A607" s="7">
        <v>10635</v>
      </c>
      <c r="B607" s="25">
        <v>8599988776654</v>
      </c>
      <c r="C607" s="26" t="s">
        <v>393</v>
      </c>
      <c r="D607" s="26" t="s">
        <v>133</v>
      </c>
      <c r="E607" s="26" t="s">
        <v>17</v>
      </c>
      <c r="F607" s="8">
        <v>16.8</v>
      </c>
      <c r="G607" s="8">
        <v>1</v>
      </c>
      <c r="H607" s="26" t="s">
        <v>18</v>
      </c>
      <c r="I607" s="26" t="s">
        <v>536</v>
      </c>
      <c r="J607" s="27">
        <v>45869</v>
      </c>
      <c r="K607" s="8">
        <v>0</v>
      </c>
      <c r="L607" s="26">
        <v>16.8</v>
      </c>
      <c r="M607" s="26">
        <v>4</v>
      </c>
      <c r="N607" s="28">
        <v>45839</v>
      </c>
      <c r="O607" s="14" t="s">
        <v>1346</v>
      </c>
    </row>
    <row r="608" spans="1:15" x14ac:dyDescent="0.25">
      <c r="A608" s="5">
        <v>10636</v>
      </c>
      <c r="B608" s="21">
        <v>4056789012345</v>
      </c>
      <c r="C608" s="22" t="s">
        <v>47</v>
      </c>
      <c r="D608" s="22" t="s">
        <v>29</v>
      </c>
      <c r="E608" s="22" t="s">
        <v>37</v>
      </c>
      <c r="F608" s="6">
        <v>2.4</v>
      </c>
      <c r="G608" s="6">
        <v>2</v>
      </c>
      <c r="H608" s="22" t="s">
        <v>14</v>
      </c>
      <c r="I608" s="22" t="s">
        <v>15</v>
      </c>
      <c r="J608" s="23">
        <v>45869</v>
      </c>
      <c r="K608" s="6">
        <v>0</v>
      </c>
      <c r="L608" s="22">
        <v>4.8</v>
      </c>
      <c r="M608" s="22" t="s">
        <v>15</v>
      </c>
      <c r="N608" s="24">
        <v>45839</v>
      </c>
      <c r="O608" s="13" t="s">
        <v>1345</v>
      </c>
    </row>
    <row r="609" spans="1:15" x14ac:dyDescent="0.25">
      <c r="A609" s="7">
        <v>10637</v>
      </c>
      <c r="B609" s="25">
        <v>8599988776654</v>
      </c>
      <c r="C609" s="26" t="s">
        <v>393</v>
      </c>
      <c r="D609" s="26" t="s">
        <v>133</v>
      </c>
      <c r="E609" s="26" t="s">
        <v>17</v>
      </c>
      <c r="F609" s="8">
        <v>16.8</v>
      </c>
      <c r="G609" s="8">
        <v>1</v>
      </c>
      <c r="H609" s="26" t="s">
        <v>14</v>
      </c>
      <c r="I609" s="26" t="s">
        <v>15</v>
      </c>
      <c r="J609" s="27">
        <v>45869</v>
      </c>
      <c r="K609" s="8">
        <v>0</v>
      </c>
      <c r="L609" s="26">
        <v>16.8</v>
      </c>
      <c r="M609" s="26" t="s">
        <v>15</v>
      </c>
      <c r="N609" s="28">
        <v>45839</v>
      </c>
      <c r="O609" s="14" t="s">
        <v>1346</v>
      </c>
    </row>
    <row r="610" spans="1:15" x14ac:dyDescent="0.25">
      <c r="A610" s="5">
        <v>10638</v>
      </c>
      <c r="B610" s="21">
        <v>4013456789017</v>
      </c>
      <c r="C610" s="22" t="s">
        <v>11</v>
      </c>
      <c r="D610" s="22" t="s">
        <v>12</v>
      </c>
      <c r="E610" s="22" t="s">
        <v>13</v>
      </c>
      <c r="F610" s="6">
        <v>6</v>
      </c>
      <c r="G610" s="6">
        <v>1</v>
      </c>
      <c r="H610" s="22" t="s">
        <v>14</v>
      </c>
      <c r="I610" s="22" t="s">
        <v>15</v>
      </c>
      <c r="J610" s="23">
        <v>45869</v>
      </c>
      <c r="K610" s="6">
        <v>0</v>
      </c>
      <c r="L610" s="22">
        <v>6</v>
      </c>
      <c r="M610" s="22" t="s">
        <v>15</v>
      </c>
      <c r="N610" s="24">
        <v>45839</v>
      </c>
      <c r="O610" s="13" t="s">
        <v>1346</v>
      </c>
    </row>
    <row r="611" spans="1:15" x14ac:dyDescent="0.25">
      <c r="A611" s="7">
        <v>10639</v>
      </c>
      <c r="B611" s="25">
        <v>8599988776654</v>
      </c>
      <c r="C611" s="26" t="s">
        <v>393</v>
      </c>
      <c r="D611" s="26" t="s">
        <v>133</v>
      </c>
      <c r="E611" s="26" t="s">
        <v>17</v>
      </c>
      <c r="F611" s="8">
        <v>16.8</v>
      </c>
      <c r="G611" s="8">
        <v>2</v>
      </c>
      <c r="H611" s="26" t="s">
        <v>14</v>
      </c>
      <c r="I611" s="26" t="s">
        <v>15</v>
      </c>
      <c r="J611" s="27">
        <v>45869</v>
      </c>
      <c r="K611" s="8">
        <v>0</v>
      </c>
      <c r="L611" s="26">
        <v>33.6</v>
      </c>
      <c r="M611" s="26" t="s">
        <v>15</v>
      </c>
      <c r="N611" s="28">
        <v>45839</v>
      </c>
      <c r="O611" s="14" t="s">
        <v>1346</v>
      </c>
    </row>
    <row r="612" spans="1:15" x14ac:dyDescent="0.25">
      <c r="A612" s="5">
        <v>10640</v>
      </c>
      <c r="B612" s="21">
        <v>4017890123450</v>
      </c>
      <c r="C612" s="22" t="s">
        <v>65</v>
      </c>
      <c r="D612" s="22" t="s">
        <v>39</v>
      </c>
      <c r="E612" s="22" t="s">
        <v>22</v>
      </c>
      <c r="F612" s="6">
        <v>7.6</v>
      </c>
      <c r="G612" s="6">
        <v>1</v>
      </c>
      <c r="H612" s="22" t="s">
        <v>23</v>
      </c>
      <c r="I612" s="22" t="s">
        <v>537</v>
      </c>
      <c r="J612" s="23">
        <v>45869</v>
      </c>
      <c r="K612" s="6">
        <v>0</v>
      </c>
      <c r="L612" s="22">
        <v>7.6</v>
      </c>
      <c r="M612" s="22">
        <v>5</v>
      </c>
      <c r="N612" s="24">
        <v>45839</v>
      </c>
      <c r="O612" s="13" t="s">
        <v>1346</v>
      </c>
    </row>
    <row r="613" spans="1:15" x14ac:dyDescent="0.25">
      <c r="A613" s="7">
        <v>10641</v>
      </c>
      <c r="B613" s="25">
        <v>8599988776654</v>
      </c>
      <c r="C613" s="26" t="s">
        <v>393</v>
      </c>
      <c r="D613" s="26" t="s">
        <v>133</v>
      </c>
      <c r="E613" s="26" t="s">
        <v>17</v>
      </c>
      <c r="F613" s="8">
        <v>16.8</v>
      </c>
      <c r="G613" s="8">
        <v>1</v>
      </c>
      <c r="H613" s="26" t="s">
        <v>14</v>
      </c>
      <c r="I613" s="26" t="s">
        <v>15</v>
      </c>
      <c r="J613" s="27">
        <v>45869</v>
      </c>
      <c r="K613" s="8">
        <v>0</v>
      </c>
      <c r="L613" s="26">
        <v>16.8</v>
      </c>
      <c r="M613" s="26" t="s">
        <v>15</v>
      </c>
      <c r="N613" s="28">
        <v>45839</v>
      </c>
      <c r="O613" s="14" t="s">
        <v>1346</v>
      </c>
    </row>
    <row r="614" spans="1:15" x14ac:dyDescent="0.25">
      <c r="A614" s="5">
        <v>10642</v>
      </c>
      <c r="B614" s="21">
        <v>4010123456783</v>
      </c>
      <c r="C614" s="22" t="s">
        <v>35</v>
      </c>
      <c r="D614" s="22" t="s">
        <v>36</v>
      </c>
      <c r="E614" s="22" t="s">
        <v>37</v>
      </c>
      <c r="F614" s="6">
        <v>14</v>
      </c>
      <c r="G614" s="6">
        <v>1</v>
      </c>
      <c r="H614" s="22" t="s">
        <v>14</v>
      </c>
      <c r="I614" s="22" t="s">
        <v>15</v>
      </c>
      <c r="J614" s="23">
        <v>45869</v>
      </c>
      <c r="K614" s="6">
        <v>0</v>
      </c>
      <c r="L614" s="22">
        <v>14</v>
      </c>
      <c r="M614" s="22" t="s">
        <v>15</v>
      </c>
      <c r="N614" s="24">
        <v>45839</v>
      </c>
      <c r="O614" s="13" t="s">
        <v>1345</v>
      </c>
    </row>
    <row r="615" spans="1:15" x14ac:dyDescent="0.25">
      <c r="A615" s="7">
        <v>10643</v>
      </c>
      <c r="B615" s="25">
        <v>8599988776654</v>
      </c>
      <c r="C615" s="26" t="s">
        <v>393</v>
      </c>
      <c r="D615" s="26" t="s">
        <v>133</v>
      </c>
      <c r="E615" s="26" t="s">
        <v>17</v>
      </c>
      <c r="F615" s="8">
        <v>16.8</v>
      </c>
      <c r="G615" s="8">
        <v>1</v>
      </c>
      <c r="H615" s="26" t="s">
        <v>14</v>
      </c>
      <c r="I615" s="26" t="s">
        <v>15</v>
      </c>
      <c r="J615" s="27">
        <v>45869</v>
      </c>
      <c r="K615" s="8">
        <v>0</v>
      </c>
      <c r="L615" s="26">
        <v>16.8</v>
      </c>
      <c r="M615" s="26" t="s">
        <v>15</v>
      </c>
      <c r="N615" s="28">
        <v>45839</v>
      </c>
      <c r="O615" s="14" t="s">
        <v>1346</v>
      </c>
    </row>
    <row r="616" spans="1:15" x14ac:dyDescent="0.25">
      <c r="A616" s="5">
        <v>10644</v>
      </c>
      <c r="B616" s="21">
        <v>4028899001126</v>
      </c>
      <c r="C616" s="22" t="s">
        <v>16</v>
      </c>
      <c r="D616" s="22" t="s">
        <v>12</v>
      </c>
      <c r="E616" s="22" t="s">
        <v>17</v>
      </c>
      <c r="F616" s="6">
        <v>2.8</v>
      </c>
      <c r="G616" s="6">
        <v>3</v>
      </c>
      <c r="H616" s="22" t="s">
        <v>23</v>
      </c>
      <c r="I616" s="22" t="s">
        <v>538</v>
      </c>
      <c r="J616" s="23">
        <v>45869</v>
      </c>
      <c r="K616" s="6">
        <v>0</v>
      </c>
      <c r="L616" s="22">
        <v>8.3999999999999986</v>
      </c>
      <c r="M616" s="22">
        <v>5</v>
      </c>
      <c r="N616" s="24">
        <v>45839</v>
      </c>
      <c r="O616" s="13" t="s">
        <v>1346</v>
      </c>
    </row>
    <row r="617" spans="1:15" x14ac:dyDescent="0.25">
      <c r="A617" s="7">
        <v>10645</v>
      </c>
      <c r="B617" s="25">
        <v>8599988776654</v>
      </c>
      <c r="C617" s="26" t="s">
        <v>393</v>
      </c>
      <c r="D617" s="26" t="s">
        <v>133</v>
      </c>
      <c r="E617" s="26" t="s">
        <v>17</v>
      </c>
      <c r="F617" s="8">
        <v>16.8</v>
      </c>
      <c r="G617" s="8">
        <v>1</v>
      </c>
      <c r="H617" s="26" t="s">
        <v>14</v>
      </c>
      <c r="I617" s="26" t="s">
        <v>15</v>
      </c>
      <c r="J617" s="27">
        <v>45869</v>
      </c>
      <c r="K617" s="8">
        <v>0</v>
      </c>
      <c r="L617" s="26">
        <v>16.8</v>
      </c>
      <c r="M617" s="26" t="s">
        <v>15</v>
      </c>
      <c r="N617" s="28">
        <v>45839</v>
      </c>
      <c r="O617" s="14" t="s">
        <v>1346</v>
      </c>
    </row>
    <row r="618" spans="1:15" x14ac:dyDescent="0.25">
      <c r="A618" s="5">
        <v>10646</v>
      </c>
      <c r="B618" s="21">
        <v>4056789012345</v>
      </c>
      <c r="C618" s="22" t="s">
        <v>47</v>
      </c>
      <c r="D618" s="22" t="s">
        <v>29</v>
      </c>
      <c r="E618" s="22" t="s">
        <v>37</v>
      </c>
      <c r="F618" s="6">
        <v>2.4</v>
      </c>
      <c r="G618" s="6">
        <v>2</v>
      </c>
      <c r="H618" s="22" t="s">
        <v>14</v>
      </c>
      <c r="I618" s="22" t="s">
        <v>15</v>
      </c>
      <c r="J618" s="23">
        <v>45869</v>
      </c>
      <c r="K618" s="6">
        <v>0</v>
      </c>
      <c r="L618" s="22">
        <v>4.8</v>
      </c>
      <c r="M618" s="22" t="s">
        <v>15</v>
      </c>
      <c r="N618" s="24">
        <v>45839</v>
      </c>
      <c r="O618" s="13" t="s">
        <v>1345</v>
      </c>
    </row>
    <row r="619" spans="1:15" x14ac:dyDescent="0.25">
      <c r="A619" s="7">
        <v>10647</v>
      </c>
      <c r="B619" s="25">
        <v>8599988776654</v>
      </c>
      <c r="C619" s="26" t="s">
        <v>393</v>
      </c>
      <c r="D619" s="26" t="s">
        <v>133</v>
      </c>
      <c r="E619" s="26" t="s">
        <v>17</v>
      </c>
      <c r="F619" s="8">
        <v>16.8</v>
      </c>
      <c r="G619" s="8">
        <v>1</v>
      </c>
      <c r="H619" s="26" t="s">
        <v>14</v>
      </c>
      <c r="I619" s="26" t="s">
        <v>15</v>
      </c>
      <c r="J619" s="27">
        <v>45869</v>
      </c>
      <c r="K619" s="8">
        <v>0</v>
      </c>
      <c r="L619" s="26">
        <v>16.8</v>
      </c>
      <c r="M619" s="26" t="s">
        <v>15</v>
      </c>
      <c r="N619" s="28">
        <v>45839</v>
      </c>
      <c r="O619" s="14" t="s">
        <v>1346</v>
      </c>
    </row>
    <row r="620" spans="1:15" x14ac:dyDescent="0.25">
      <c r="A620" s="5">
        <v>10648</v>
      </c>
      <c r="B620" s="21">
        <v>4013456789017</v>
      </c>
      <c r="C620" s="22" t="s">
        <v>11</v>
      </c>
      <c r="D620" s="22" t="s">
        <v>12</v>
      </c>
      <c r="E620" s="22" t="s">
        <v>13</v>
      </c>
      <c r="F620" s="6">
        <v>6</v>
      </c>
      <c r="G620" s="6">
        <v>1</v>
      </c>
      <c r="H620" s="22" t="s">
        <v>18</v>
      </c>
      <c r="I620" s="22" t="s">
        <v>539</v>
      </c>
      <c r="J620" s="23">
        <v>45869</v>
      </c>
      <c r="K620" s="6">
        <v>0</v>
      </c>
      <c r="L620" s="22">
        <v>6</v>
      </c>
      <c r="M620" s="22">
        <v>4</v>
      </c>
      <c r="N620" s="24">
        <v>45839</v>
      </c>
      <c r="O620" s="13" t="s">
        <v>1346</v>
      </c>
    </row>
    <row r="621" spans="1:15" x14ac:dyDescent="0.25">
      <c r="A621" s="7">
        <v>10649</v>
      </c>
      <c r="B621" s="25">
        <v>8599988776654</v>
      </c>
      <c r="C621" s="26" t="s">
        <v>393</v>
      </c>
      <c r="D621" s="26" t="s">
        <v>133</v>
      </c>
      <c r="E621" s="26" t="s">
        <v>17</v>
      </c>
      <c r="F621" s="8">
        <v>16.8</v>
      </c>
      <c r="G621" s="8">
        <v>1</v>
      </c>
      <c r="H621" s="26" t="s">
        <v>14</v>
      </c>
      <c r="I621" s="26" t="s">
        <v>15</v>
      </c>
      <c r="J621" s="27">
        <v>45869</v>
      </c>
      <c r="K621" s="8">
        <v>0</v>
      </c>
      <c r="L621" s="26">
        <v>16.8</v>
      </c>
      <c r="M621" s="26" t="s">
        <v>15</v>
      </c>
      <c r="N621" s="28">
        <v>45839</v>
      </c>
      <c r="O621" s="14" t="s">
        <v>1346</v>
      </c>
    </row>
    <row r="622" spans="1:15" x14ac:dyDescent="0.25">
      <c r="A622" s="5">
        <v>10650</v>
      </c>
      <c r="B622" s="21">
        <v>4010123456783</v>
      </c>
      <c r="C622" s="22" t="s">
        <v>35</v>
      </c>
      <c r="D622" s="22" t="s">
        <v>36</v>
      </c>
      <c r="E622" s="22" t="s">
        <v>37</v>
      </c>
      <c r="F622" s="6">
        <v>14</v>
      </c>
      <c r="G622" s="6">
        <v>1</v>
      </c>
      <c r="H622" s="22" t="s">
        <v>14</v>
      </c>
      <c r="I622" s="22" t="s">
        <v>15</v>
      </c>
      <c r="J622" s="23">
        <v>45869</v>
      </c>
      <c r="K622" s="6">
        <v>0</v>
      </c>
      <c r="L622" s="22">
        <v>14</v>
      </c>
      <c r="M622" s="22" t="s">
        <v>15</v>
      </c>
      <c r="N622" s="24">
        <v>45839</v>
      </c>
      <c r="O622" s="13" t="s">
        <v>1345</v>
      </c>
    </row>
    <row r="623" spans="1:15" x14ac:dyDescent="0.25">
      <c r="A623" s="7">
        <v>10651</v>
      </c>
      <c r="B623" s="25">
        <v>8599988776654</v>
      </c>
      <c r="C623" s="26" t="s">
        <v>393</v>
      </c>
      <c r="D623" s="26" t="s">
        <v>133</v>
      </c>
      <c r="E623" s="26" t="s">
        <v>17</v>
      </c>
      <c r="F623" s="8">
        <v>16.8</v>
      </c>
      <c r="G623" s="8">
        <v>2</v>
      </c>
      <c r="H623" s="26" t="s">
        <v>14</v>
      </c>
      <c r="I623" s="26" t="s">
        <v>15</v>
      </c>
      <c r="J623" s="27">
        <v>45869</v>
      </c>
      <c r="K623" s="8">
        <v>0</v>
      </c>
      <c r="L623" s="26">
        <v>33.6</v>
      </c>
      <c r="M623" s="26" t="s">
        <v>15</v>
      </c>
      <c r="N623" s="28">
        <v>45839</v>
      </c>
      <c r="O623" s="14" t="s">
        <v>1346</v>
      </c>
    </row>
    <row r="624" spans="1:15" x14ac:dyDescent="0.25">
      <c r="A624" s="5">
        <v>10652</v>
      </c>
      <c r="B624" s="21">
        <v>4063456789014</v>
      </c>
      <c r="C624" s="22" t="s">
        <v>60</v>
      </c>
      <c r="D624" s="22" t="s">
        <v>12</v>
      </c>
      <c r="E624" s="22" t="s">
        <v>61</v>
      </c>
      <c r="F624" s="6">
        <v>36</v>
      </c>
      <c r="G624" s="6">
        <v>1</v>
      </c>
      <c r="H624" s="22" t="s">
        <v>18</v>
      </c>
      <c r="I624" s="22" t="s">
        <v>540</v>
      </c>
      <c r="J624" s="23">
        <v>45869</v>
      </c>
      <c r="K624" s="6">
        <v>0</v>
      </c>
      <c r="L624" s="22">
        <v>36</v>
      </c>
      <c r="M624" s="22">
        <v>4</v>
      </c>
      <c r="N624" s="24">
        <v>45839</v>
      </c>
      <c r="O624" s="13" t="s">
        <v>1346</v>
      </c>
    </row>
    <row r="625" spans="1:15" x14ac:dyDescent="0.25">
      <c r="A625" s="7">
        <v>10653</v>
      </c>
      <c r="B625" s="25">
        <v>8599988776654</v>
      </c>
      <c r="C625" s="26" t="s">
        <v>393</v>
      </c>
      <c r="D625" s="26" t="s">
        <v>133</v>
      </c>
      <c r="E625" s="26" t="s">
        <v>17</v>
      </c>
      <c r="F625" s="8">
        <v>16.8</v>
      </c>
      <c r="G625" s="8">
        <v>1</v>
      </c>
      <c r="H625" s="26" t="s">
        <v>14</v>
      </c>
      <c r="I625" s="26" t="s">
        <v>15</v>
      </c>
      <c r="J625" s="27">
        <v>45869</v>
      </c>
      <c r="K625" s="8">
        <v>0</v>
      </c>
      <c r="L625" s="26">
        <v>16.8</v>
      </c>
      <c r="M625" s="26" t="s">
        <v>15</v>
      </c>
      <c r="N625" s="28">
        <v>45839</v>
      </c>
      <c r="O625" s="14" t="s">
        <v>1346</v>
      </c>
    </row>
    <row r="626" spans="1:15" x14ac:dyDescent="0.25">
      <c r="A626" s="5">
        <v>10654</v>
      </c>
      <c r="B626" s="21">
        <v>4021234567894</v>
      </c>
      <c r="C626" s="22" t="s">
        <v>79</v>
      </c>
      <c r="D626" s="22" t="s">
        <v>36</v>
      </c>
      <c r="E626" s="22" t="s">
        <v>69</v>
      </c>
      <c r="F626" s="6">
        <v>8</v>
      </c>
      <c r="G626" s="6">
        <v>1</v>
      </c>
      <c r="H626" s="22" t="s">
        <v>14</v>
      </c>
      <c r="I626" s="22" t="s">
        <v>15</v>
      </c>
      <c r="J626" s="23">
        <v>45869</v>
      </c>
      <c r="K626" s="6">
        <v>0</v>
      </c>
      <c r="L626" s="22">
        <v>8</v>
      </c>
      <c r="M626" s="22" t="s">
        <v>15</v>
      </c>
      <c r="N626" s="24">
        <v>45839</v>
      </c>
      <c r="O626" s="13" t="s">
        <v>1345</v>
      </c>
    </row>
    <row r="627" spans="1:15" x14ac:dyDescent="0.25">
      <c r="A627" s="7">
        <v>10655</v>
      </c>
      <c r="B627" s="25">
        <v>8599988776654</v>
      </c>
      <c r="C627" s="26" t="s">
        <v>393</v>
      </c>
      <c r="D627" s="26" t="s">
        <v>133</v>
      </c>
      <c r="E627" s="26" t="s">
        <v>17</v>
      </c>
      <c r="F627" s="8">
        <v>16.8</v>
      </c>
      <c r="G627" s="8">
        <v>1</v>
      </c>
      <c r="H627" s="26" t="s">
        <v>23</v>
      </c>
      <c r="I627" s="26" t="s">
        <v>541</v>
      </c>
      <c r="J627" s="27">
        <v>45869</v>
      </c>
      <c r="K627" s="8">
        <v>0</v>
      </c>
      <c r="L627" s="26">
        <v>16.8</v>
      </c>
      <c r="M627" s="26">
        <v>5</v>
      </c>
      <c r="N627" s="28">
        <v>45839</v>
      </c>
      <c r="O627" s="14" t="s">
        <v>1346</v>
      </c>
    </row>
    <row r="628" spans="1:15" x14ac:dyDescent="0.25">
      <c r="A628" s="5">
        <v>10656</v>
      </c>
      <c r="B628" s="21">
        <v>4056789012345</v>
      </c>
      <c r="C628" s="22" t="s">
        <v>47</v>
      </c>
      <c r="D628" s="22" t="s">
        <v>29</v>
      </c>
      <c r="E628" s="22" t="s">
        <v>37</v>
      </c>
      <c r="F628" s="6">
        <v>2.4</v>
      </c>
      <c r="G628" s="6">
        <v>2</v>
      </c>
      <c r="H628" s="22" t="s">
        <v>18</v>
      </c>
      <c r="I628" s="22" t="s">
        <v>542</v>
      </c>
      <c r="J628" s="23">
        <v>45869</v>
      </c>
      <c r="K628" s="6">
        <v>0</v>
      </c>
      <c r="L628" s="22">
        <v>4.8</v>
      </c>
      <c r="M628" s="22">
        <v>4</v>
      </c>
      <c r="N628" s="24">
        <v>45839</v>
      </c>
      <c r="O628" s="13" t="s">
        <v>1345</v>
      </c>
    </row>
    <row r="629" spans="1:15" x14ac:dyDescent="0.25">
      <c r="A629" s="7">
        <v>10657</v>
      </c>
      <c r="B629" s="25">
        <v>8599988776654</v>
      </c>
      <c r="C629" s="26" t="s">
        <v>393</v>
      </c>
      <c r="D629" s="26" t="s">
        <v>133</v>
      </c>
      <c r="E629" s="26" t="s">
        <v>17</v>
      </c>
      <c r="F629" s="8">
        <v>16.8</v>
      </c>
      <c r="G629" s="8">
        <v>1</v>
      </c>
      <c r="H629" s="26" t="s">
        <v>14</v>
      </c>
      <c r="I629" s="26" t="s">
        <v>15</v>
      </c>
      <c r="J629" s="27">
        <v>45869</v>
      </c>
      <c r="K629" s="8">
        <v>0</v>
      </c>
      <c r="L629" s="26">
        <v>16.8</v>
      </c>
      <c r="M629" s="26" t="s">
        <v>15</v>
      </c>
      <c r="N629" s="28">
        <v>45839</v>
      </c>
      <c r="O629" s="14" t="s">
        <v>1346</v>
      </c>
    </row>
    <row r="630" spans="1:15" x14ac:dyDescent="0.25">
      <c r="A630" s="5">
        <v>10658</v>
      </c>
      <c r="B630" s="21">
        <v>4017890123450</v>
      </c>
      <c r="C630" s="22" t="s">
        <v>65</v>
      </c>
      <c r="D630" s="22" t="s">
        <v>39</v>
      </c>
      <c r="E630" s="22" t="s">
        <v>22</v>
      </c>
      <c r="F630" s="6">
        <v>7.6</v>
      </c>
      <c r="G630" s="6">
        <v>1</v>
      </c>
      <c r="H630" s="22" t="s">
        <v>18</v>
      </c>
      <c r="I630" s="22" t="s">
        <v>543</v>
      </c>
      <c r="J630" s="23">
        <v>45869</v>
      </c>
      <c r="K630" s="6">
        <v>0</v>
      </c>
      <c r="L630" s="22">
        <v>7.6</v>
      </c>
      <c r="M630" s="22">
        <v>4</v>
      </c>
      <c r="N630" s="24">
        <v>45839</v>
      </c>
      <c r="O630" s="13" t="s">
        <v>1346</v>
      </c>
    </row>
    <row r="631" spans="1:15" x14ac:dyDescent="0.25">
      <c r="A631" s="7">
        <v>10659</v>
      </c>
      <c r="B631" s="25">
        <v>4010123456783</v>
      </c>
      <c r="C631" s="26" t="s">
        <v>35</v>
      </c>
      <c r="D631" s="26" t="s">
        <v>36</v>
      </c>
      <c r="E631" s="26" t="s">
        <v>37</v>
      </c>
      <c r="F631" s="8">
        <v>14</v>
      </c>
      <c r="G631" s="8">
        <v>1</v>
      </c>
      <c r="H631" s="26" t="s">
        <v>23</v>
      </c>
      <c r="I631" s="26" t="s">
        <v>544</v>
      </c>
      <c r="J631" s="27">
        <v>45869</v>
      </c>
      <c r="K631" s="8">
        <v>0</v>
      </c>
      <c r="L631" s="26">
        <v>14</v>
      </c>
      <c r="M631" s="26">
        <v>5</v>
      </c>
      <c r="N631" s="28">
        <v>45839</v>
      </c>
      <c r="O631" s="14" t="s">
        <v>1345</v>
      </c>
    </row>
    <row r="632" spans="1:15" x14ac:dyDescent="0.25">
      <c r="A632" s="5">
        <v>10660</v>
      </c>
      <c r="B632" s="21">
        <v>8599988776654</v>
      </c>
      <c r="C632" s="22" t="s">
        <v>393</v>
      </c>
      <c r="D632" s="22" t="s">
        <v>133</v>
      </c>
      <c r="E632" s="22" t="s">
        <v>17</v>
      </c>
      <c r="F632" s="6">
        <v>16.8</v>
      </c>
      <c r="G632" s="6">
        <v>1</v>
      </c>
      <c r="H632" s="22" t="s">
        <v>14</v>
      </c>
      <c r="I632" s="22" t="s">
        <v>15</v>
      </c>
      <c r="J632" s="23">
        <v>45869</v>
      </c>
      <c r="K632" s="6">
        <v>0</v>
      </c>
      <c r="L632" s="22">
        <v>16.8</v>
      </c>
      <c r="M632" s="22" t="s">
        <v>15</v>
      </c>
      <c r="N632" s="24">
        <v>45839</v>
      </c>
      <c r="O632" s="13" t="s">
        <v>1346</v>
      </c>
    </row>
    <row r="633" spans="1:15" x14ac:dyDescent="0.25">
      <c r="A633" s="7">
        <v>10661</v>
      </c>
      <c r="B633" s="25">
        <v>4028899001126</v>
      </c>
      <c r="C633" s="26" t="s">
        <v>16</v>
      </c>
      <c r="D633" s="26" t="s">
        <v>12</v>
      </c>
      <c r="E633" s="26" t="s">
        <v>17</v>
      </c>
      <c r="F633" s="8">
        <v>2.8</v>
      </c>
      <c r="G633" s="8">
        <v>3</v>
      </c>
      <c r="H633" s="26" t="s">
        <v>14</v>
      </c>
      <c r="I633" s="26" t="s">
        <v>15</v>
      </c>
      <c r="J633" s="27">
        <v>45869</v>
      </c>
      <c r="K633" s="8">
        <v>0</v>
      </c>
      <c r="L633" s="26">
        <v>8.3999999999999986</v>
      </c>
      <c r="M633" s="26" t="s">
        <v>15</v>
      </c>
      <c r="N633" s="28">
        <v>45839</v>
      </c>
      <c r="O633" s="14" t="s">
        <v>1346</v>
      </c>
    </row>
    <row r="634" spans="1:15" x14ac:dyDescent="0.25">
      <c r="A634" s="5">
        <v>10662</v>
      </c>
      <c r="B634" s="21">
        <v>8599988776654</v>
      </c>
      <c r="C634" s="22" t="s">
        <v>393</v>
      </c>
      <c r="D634" s="22" t="s">
        <v>133</v>
      </c>
      <c r="E634" s="22" t="s">
        <v>17</v>
      </c>
      <c r="F634" s="6">
        <v>16.8</v>
      </c>
      <c r="G634" s="6">
        <v>2</v>
      </c>
      <c r="H634" s="22" t="s">
        <v>18</v>
      </c>
      <c r="I634" s="22" t="s">
        <v>545</v>
      </c>
      <c r="J634" s="23">
        <v>45869</v>
      </c>
      <c r="K634" s="6">
        <v>0</v>
      </c>
      <c r="L634" s="22">
        <v>33.6</v>
      </c>
      <c r="M634" s="22">
        <v>4</v>
      </c>
      <c r="N634" s="24">
        <v>45839</v>
      </c>
      <c r="O634" s="13" t="s">
        <v>1346</v>
      </c>
    </row>
    <row r="635" spans="1:15" x14ac:dyDescent="0.25">
      <c r="A635" s="7">
        <v>10663</v>
      </c>
      <c r="B635" s="25">
        <v>4013456789017</v>
      </c>
      <c r="C635" s="26" t="s">
        <v>11</v>
      </c>
      <c r="D635" s="26" t="s">
        <v>12</v>
      </c>
      <c r="E635" s="26" t="s">
        <v>13</v>
      </c>
      <c r="F635" s="8">
        <v>6</v>
      </c>
      <c r="G635" s="8">
        <v>1</v>
      </c>
      <c r="H635" s="26" t="s">
        <v>14</v>
      </c>
      <c r="I635" s="26" t="s">
        <v>15</v>
      </c>
      <c r="J635" s="27">
        <v>45869</v>
      </c>
      <c r="K635" s="8">
        <v>0</v>
      </c>
      <c r="L635" s="26">
        <v>6</v>
      </c>
      <c r="M635" s="26" t="s">
        <v>15</v>
      </c>
      <c r="N635" s="28">
        <v>45839</v>
      </c>
      <c r="O635" s="14" t="s">
        <v>1346</v>
      </c>
    </row>
    <row r="636" spans="1:15" x14ac:dyDescent="0.25">
      <c r="A636" s="5">
        <v>10664</v>
      </c>
      <c r="B636" s="21">
        <v>8599988776654</v>
      </c>
      <c r="C636" s="22" t="s">
        <v>393</v>
      </c>
      <c r="D636" s="22" t="s">
        <v>133</v>
      </c>
      <c r="E636" s="22" t="s">
        <v>17</v>
      </c>
      <c r="F636" s="6">
        <v>16.8</v>
      </c>
      <c r="G636" s="6">
        <v>1</v>
      </c>
      <c r="H636" s="22" t="s">
        <v>14</v>
      </c>
      <c r="I636" s="22" t="s">
        <v>15</v>
      </c>
      <c r="J636" s="23">
        <v>45869</v>
      </c>
      <c r="K636" s="6">
        <v>0</v>
      </c>
      <c r="L636" s="22">
        <v>16.8</v>
      </c>
      <c r="M636" s="22" t="s">
        <v>15</v>
      </c>
      <c r="N636" s="24">
        <v>45839</v>
      </c>
      <c r="O636" s="13" t="s">
        <v>1346</v>
      </c>
    </row>
    <row r="637" spans="1:15" x14ac:dyDescent="0.25">
      <c r="A637" s="7">
        <v>10665</v>
      </c>
      <c r="B637" s="25">
        <v>4056789012345</v>
      </c>
      <c r="C637" s="26" t="s">
        <v>47</v>
      </c>
      <c r="D637" s="26" t="s">
        <v>29</v>
      </c>
      <c r="E637" s="26" t="s">
        <v>37</v>
      </c>
      <c r="F637" s="8">
        <v>2.4</v>
      </c>
      <c r="G637" s="8">
        <v>2</v>
      </c>
      <c r="H637" s="26" t="s">
        <v>33</v>
      </c>
      <c r="I637" s="26" t="s">
        <v>546</v>
      </c>
      <c r="J637" s="27">
        <v>45869</v>
      </c>
      <c r="K637" s="8">
        <v>0</v>
      </c>
      <c r="L637" s="26">
        <v>4.8</v>
      </c>
      <c r="M637" s="26">
        <v>3</v>
      </c>
      <c r="N637" s="28">
        <v>45839</v>
      </c>
      <c r="O637" s="14" t="s">
        <v>1345</v>
      </c>
    </row>
    <row r="638" spans="1:15" x14ac:dyDescent="0.25">
      <c r="A638" s="5">
        <v>10666</v>
      </c>
      <c r="B638" s="21">
        <v>8599988776654</v>
      </c>
      <c r="C638" s="22" t="s">
        <v>393</v>
      </c>
      <c r="D638" s="22" t="s">
        <v>133</v>
      </c>
      <c r="E638" s="22" t="s">
        <v>17</v>
      </c>
      <c r="F638" s="6">
        <v>16.8</v>
      </c>
      <c r="G638" s="6">
        <v>1</v>
      </c>
      <c r="H638" s="22" t="s">
        <v>14</v>
      </c>
      <c r="I638" s="22" t="s">
        <v>15</v>
      </c>
      <c r="J638" s="23">
        <v>45869</v>
      </c>
      <c r="K638" s="6">
        <v>0</v>
      </c>
      <c r="L638" s="22">
        <v>16.8</v>
      </c>
      <c r="M638" s="22" t="s">
        <v>15</v>
      </c>
      <c r="N638" s="24">
        <v>45839</v>
      </c>
      <c r="O638" s="13" t="s">
        <v>1346</v>
      </c>
    </row>
    <row r="639" spans="1:15" x14ac:dyDescent="0.25">
      <c r="A639" s="7">
        <v>10667</v>
      </c>
      <c r="B639" s="25">
        <v>4017890123450</v>
      </c>
      <c r="C639" s="26" t="s">
        <v>65</v>
      </c>
      <c r="D639" s="26" t="s">
        <v>39</v>
      </c>
      <c r="E639" s="26" t="s">
        <v>22</v>
      </c>
      <c r="F639" s="8">
        <v>7.6</v>
      </c>
      <c r="G639" s="8">
        <v>1</v>
      </c>
      <c r="H639" s="26" t="s">
        <v>23</v>
      </c>
      <c r="I639" s="26" t="s">
        <v>547</v>
      </c>
      <c r="J639" s="27">
        <v>45869</v>
      </c>
      <c r="K639" s="8">
        <v>0</v>
      </c>
      <c r="L639" s="26">
        <v>7.6</v>
      </c>
      <c r="M639" s="26">
        <v>5</v>
      </c>
      <c r="N639" s="28">
        <v>45839</v>
      </c>
      <c r="O639" s="14" t="s">
        <v>1346</v>
      </c>
    </row>
    <row r="640" spans="1:15" x14ac:dyDescent="0.25">
      <c r="A640" s="5">
        <v>10668</v>
      </c>
      <c r="B640" s="21">
        <v>4010123456783</v>
      </c>
      <c r="C640" s="22" t="s">
        <v>35</v>
      </c>
      <c r="D640" s="22" t="s">
        <v>36</v>
      </c>
      <c r="E640" s="22" t="s">
        <v>37</v>
      </c>
      <c r="F640" s="6">
        <v>14</v>
      </c>
      <c r="G640" s="6">
        <v>1</v>
      </c>
      <c r="H640" s="22" t="s">
        <v>14</v>
      </c>
      <c r="I640" s="22" t="s">
        <v>15</v>
      </c>
      <c r="J640" s="23">
        <v>45869</v>
      </c>
      <c r="K640" s="6">
        <v>0</v>
      </c>
      <c r="L640" s="22">
        <v>14</v>
      </c>
      <c r="M640" s="22" t="s">
        <v>15</v>
      </c>
      <c r="N640" s="24">
        <v>45839</v>
      </c>
      <c r="O640" s="13" t="s">
        <v>1345</v>
      </c>
    </row>
    <row r="641" spans="1:15" x14ac:dyDescent="0.25">
      <c r="A641" s="7">
        <v>10669</v>
      </c>
      <c r="B641" s="25">
        <v>8599988776654</v>
      </c>
      <c r="C641" s="26" t="s">
        <v>393</v>
      </c>
      <c r="D641" s="26" t="s">
        <v>133</v>
      </c>
      <c r="E641" s="26" t="s">
        <v>17</v>
      </c>
      <c r="F641" s="8">
        <v>16.8</v>
      </c>
      <c r="G641" s="8">
        <v>2</v>
      </c>
      <c r="H641" s="26" t="s">
        <v>14</v>
      </c>
      <c r="I641" s="26" t="s">
        <v>15</v>
      </c>
      <c r="J641" s="27">
        <v>45869</v>
      </c>
      <c r="K641" s="8">
        <v>0</v>
      </c>
      <c r="L641" s="26">
        <v>33.6</v>
      </c>
      <c r="M641" s="26" t="s">
        <v>15</v>
      </c>
      <c r="N641" s="28">
        <v>45839</v>
      </c>
      <c r="O641" s="14" t="s">
        <v>1346</v>
      </c>
    </row>
    <row r="642" spans="1:15" x14ac:dyDescent="0.25">
      <c r="A642" s="5">
        <v>10670</v>
      </c>
      <c r="B642" s="21">
        <v>4027788990013</v>
      </c>
      <c r="C642" s="22" t="s">
        <v>43</v>
      </c>
      <c r="D642" s="22" t="s">
        <v>21</v>
      </c>
      <c r="E642" s="22" t="s">
        <v>22</v>
      </c>
      <c r="F642" s="6">
        <v>8</v>
      </c>
      <c r="G642" s="6">
        <v>1</v>
      </c>
      <c r="H642" s="22" t="s">
        <v>18</v>
      </c>
      <c r="I642" s="22" t="s">
        <v>548</v>
      </c>
      <c r="J642" s="23">
        <v>45869</v>
      </c>
      <c r="K642" s="6">
        <v>0</v>
      </c>
      <c r="L642" s="22">
        <v>8</v>
      </c>
      <c r="M642" s="22">
        <v>4</v>
      </c>
      <c r="N642" s="24">
        <v>45839</v>
      </c>
      <c r="O642" s="13" t="s">
        <v>1346</v>
      </c>
    </row>
    <row r="643" spans="1:15" x14ac:dyDescent="0.25">
      <c r="A643" s="7">
        <v>10671</v>
      </c>
      <c r="B643" s="25">
        <v>8599988776654</v>
      </c>
      <c r="C643" s="26" t="s">
        <v>393</v>
      </c>
      <c r="D643" s="26" t="s">
        <v>133</v>
      </c>
      <c r="E643" s="26" t="s">
        <v>17</v>
      </c>
      <c r="F643" s="8">
        <v>16.8</v>
      </c>
      <c r="G643" s="8">
        <v>1</v>
      </c>
      <c r="H643" s="26" t="s">
        <v>14</v>
      </c>
      <c r="I643" s="26" t="s">
        <v>15</v>
      </c>
      <c r="J643" s="27">
        <v>45869</v>
      </c>
      <c r="K643" s="8">
        <v>0</v>
      </c>
      <c r="L643" s="26">
        <v>16.8</v>
      </c>
      <c r="M643" s="26" t="s">
        <v>15</v>
      </c>
      <c r="N643" s="28">
        <v>45839</v>
      </c>
      <c r="O643" s="14" t="s">
        <v>1346</v>
      </c>
    </row>
    <row r="644" spans="1:15" x14ac:dyDescent="0.25">
      <c r="A644" s="5">
        <v>10672</v>
      </c>
      <c r="B644" s="21">
        <v>4021234567894</v>
      </c>
      <c r="C644" s="22" t="s">
        <v>79</v>
      </c>
      <c r="D644" s="22" t="s">
        <v>36</v>
      </c>
      <c r="E644" s="22" t="s">
        <v>69</v>
      </c>
      <c r="F644" s="6">
        <v>8</v>
      </c>
      <c r="G644" s="6">
        <v>1</v>
      </c>
      <c r="H644" s="22" t="s">
        <v>23</v>
      </c>
      <c r="I644" s="22" t="s">
        <v>549</v>
      </c>
      <c r="J644" s="23">
        <v>45869</v>
      </c>
      <c r="K644" s="6">
        <v>0</v>
      </c>
      <c r="L644" s="22">
        <v>8</v>
      </c>
      <c r="M644" s="22">
        <v>5</v>
      </c>
      <c r="N644" s="24">
        <v>45839</v>
      </c>
      <c r="O644" s="13" t="s">
        <v>1345</v>
      </c>
    </row>
    <row r="645" spans="1:15" x14ac:dyDescent="0.25">
      <c r="A645" s="7">
        <v>10673</v>
      </c>
      <c r="B645" s="25">
        <v>8599988776654</v>
      </c>
      <c r="C645" s="26" t="s">
        <v>393</v>
      </c>
      <c r="D645" s="26" t="s">
        <v>133</v>
      </c>
      <c r="E645" s="26" t="s">
        <v>17</v>
      </c>
      <c r="F645" s="8">
        <v>16.8</v>
      </c>
      <c r="G645" s="8">
        <v>1</v>
      </c>
      <c r="H645" s="26" t="s">
        <v>14</v>
      </c>
      <c r="I645" s="26" t="s">
        <v>15</v>
      </c>
      <c r="J645" s="27">
        <v>45869</v>
      </c>
      <c r="K645" s="8">
        <v>0</v>
      </c>
      <c r="L645" s="26">
        <v>16.8</v>
      </c>
      <c r="M645" s="26" t="s">
        <v>15</v>
      </c>
      <c r="N645" s="28">
        <v>45839</v>
      </c>
      <c r="O645" s="14" t="s">
        <v>1346</v>
      </c>
    </row>
    <row r="646" spans="1:15" x14ac:dyDescent="0.25">
      <c r="A646" s="5">
        <v>10674</v>
      </c>
      <c r="B646" s="21">
        <v>4013456789017</v>
      </c>
      <c r="C646" s="22" t="s">
        <v>11</v>
      </c>
      <c r="D646" s="22" t="s">
        <v>12</v>
      </c>
      <c r="E646" s="22" t="s">
        <v>13</v>
      </c>
      <c r="F646" s="6">
        <v>6</v>
      </c>
      <c r="G646" s="6">
        <v>1</v>
      </c>
      <c r="H646" s="22" t="s">
        <v>14</v>
      </c>
      <c r="I646" s="22" t="s">
        <v>15</v>
      </c>
      <c r="J646" s="23">
        <v>45869</v>
      </c>
      <c r="K646" s="6">
        <v>0</v>
      </c>
      <c r="L646" s="22">
        <v>6</v>
      </c>
      <c r="M646" s="22" t="s">
        <v>15</v>
      </c>
      <c r="N646" s="24">
        <v>45839</v>
      </c>
      <c r="O646" s="13" t="s">
        <v>1346</v>
      </c>
    </row>
    <row r="647" spans="1:15" x14ac:dyDescent="0.25">
      <c r="A647" s="7">
        <v>10675</v>
      </c>
      <c r="B647" s="25">
        <v>8599988776654</v>
      </c>
      <c r="C647" s="26" t="s">
        <v>393</v>
      </c>
      <c r="D647" s="26" t="s">
        <v>133</v>
      </c>
      <c r="E647" s="26" t="s">
        <v>17</v>
      </c>
      <c r="F647" s="8">
        <v>16.8</v>
      </c>
      <c r="G647" s="8">
        <v>2</v>
      </c>
      <c r="H647" s="26" t="s">
        <v>23</v>
      </c>
      <c r="I647" s="26" t="s">
        <v>550</v>
      </c>
      <c r="J647" s="27">
        <v>45869</v>
      </c>
      <c r="K647" s="8">
        <v>0</v>
      </c>
      <c r="L647" s="26">
        <v>33.6</v>
      </c>
      <c r="M647" s="26">
        <v>5</v>
      </c>
      <c r="N647" s="28">
        <v>45839</v>
      </c>
      <c r="O647" s="14" t="s">
        <v>1346</v>
      </c>
    </row>
    <row r="648" spans="1:15" x14ac:dyDescent="0.25">
      <c r="A648" s="5">
        <v>10676</v>
      </c>
      <c r="B648" s="21">
        <v>4017890123450</v>
      </c>
      <c r="C648" s="22" t="s">
        <v>65</v>
      </c>
      <c r="D648" s="22" t="s">
        <v>39</v>
      </c>
      <c r="E648" s="22" t="s">
        <v>22</v>
      </c>
      <c r="F648" s="6">
        <v>7.6</v>
      </c>
      <c r="G648" s="6">
        <v>1</v>
      </c>
      <c r="H648" s="22" t="s">
        <v>14</v>
      </c>
      <c r="I648" s="22" t="s">
        <v>15</v>
      </c>
      <c r="J648" s="23">
        <v>45869</v>
      </c>
      <c r="K648" s="6">
        <v>0</v>
      </c>
      <c r="L648" s="22">
        <v>7.6</v>
      </c>
      <c r="M648" s="22" t="s">
        <v>15</v>
      </c>
      <c r="N648" s="24">
        <v>45839</v>
      </c>
      <c r="O648" s="13" t="s">
        <v>1346</v>
      </c>
    </row>
    <row r="649" spans="1:15" x14ac:dyDescent="0.25">
      <c r="A649" s="7">
        <v>10677</v>
      </c>
      <c r="B649" s="25">
        <v>8599988776654</v>
      </c>
      <c r="C649" s="26" t="s">
        <v>393</v>
      </c>
      <c r="D649" s="26" t="s">
        <v>133</v>
      </c>
      <c r="E649" s="26" t="s">
        <v>17</v>
      </c>
      <c r="F649" s="8">
        <v>16.8</v>
      </c>
      <c r="G649" s="8">
        <v>1</v>
      </c>
      <c r="H649" s="26" t="s">
        <v>14</v>
      </c>
      <c r="I649" s="26" t="s">
        <v>15</v>
      </c>
      <c r="J649" s="27">
        <v>45869</v>
      </c>
      <c r="K649" s="8">
        <v>0</v>
      </c>
      <c r="L649" s="26">
        <v>16.8</v>
      </c>
      <c r="M649" s="26" t="s">
        <v>15</v>
      </c>
      <c r="N649" s="28">
        <v>45839</v>
      </c>
      <c r="O649" s="14" t="s">
        <v>1346</v>
      </c>
    </row>
    <row r="650" spans="1:15" x14ac:dyDescent="0.25">
      <c r="A650" s="5">
        <v>10678</v>
      </c>
      <c r="B650" s="21">
        <v>4010123456783</v>
      </c>
      <c r="C650" s="22" t="s">
        <v>35</v>
      </c>
      <c r="D650" s="22" t="s">
        <v>36</v>
      </c>
      <c r="E650" s="22" t="s">
        <v>37</v>
      </c>
      <c r="F650" s="6">
        <v>14</v>
      </c>
      <c r="G650" s="6">
        <v>1</v>
      </c>
      <c r="H650" s="22" t="s">
        <v>23</v>
      </c>
      <c r="I650" s="22" t="s">
        <v>551</v>
      </c>
      <c r="J650" s="23">
        <v>45869</v>
      </c>
      <c r="K650" s="6">
        <v>0</v>
      </c>
      <c r="L650" s="22">
        <v>14</v>
      </c>
      <c r="M650" s="22">
        <v>5</v>
      </c>
      <c r="N650" s="24">
        <v>45839</v>
      </c>
      <c r="O650" s="13" t="s">
        <v>1345</v>
      </c>
    </row>
    <row r="651" spans="1:15" x14ac:dyDescent="0.25">
      <c r="A651" s="7">
        <v>10679</v>
      </c>
      <c r="B651" s="25">
        <v>8599988776654</v>
      </c>
      <c r="C651" s="26" t="s">
        <v>393</v>
      </c>
      <c r="D651" s="26" t="s">
        <v>133</v>
      </c>
      <c r="E651" s="26" t="s">
        <v>17</v>
      </c>
      <c r="F651" s="8">
        <v>16.8</v>
      </c>
      <c r="G651" s="8">
        <v>1</v>
      </c>
      <c r="H651" s="26" t="s">
        <v>14</v>
      </c>
      <c r="I651" s="26" t="s">
        <v>15</v>
      </c>
      <c r="J651" s="27">
        <v>45869</v>
      </c>
      <c r="K651" s="8">
        <v>0</v>
      </c>
      <c r="L651" s="26">
        <v>16.8</v>
      </c>
      <c r="M651" s="26" t="s">
        <v>15</v>
      </c>
      <c r="N651" s="28">
        <v>45839</v>
      </c>
      <c r="O651" s="14" t="s">
        <v>1346</v>
      </c>
    </row>
    <row r="652" spans="1:15" x14ac:dyDescent="0.25">
      <c r="A652" s="5">
        <v>10680</v>
      </c>
      <c r="B652" s="21">
        <v>4063456789014</v>
      </c>
      <c r="C652" s="22" t="s">
        <v>60</v>
      </c>
      <c r="D652" s="22" t="s">
        <v>12</v>
      </c>
      <c r="E652" s="22" t="s">
        <v>61</v>
      </c>
      <c r="F652" s="6">
        <v>36</v>
      </c>
      <c r="G652" s="6">
        <v>1</v>
      </c>
      <c r="H652" s="22" t="s">
        <v>14</v>
      </c>
      <c r="I652" s="22" t="s">
        <v>15</v>
      </c>
      <c r="J652" s="23">
        <v>45869</v>
      </c>
      <c r="K652" s="6">
        <v>0</v>
      </c>
      <c r="L652" s="22">
        <v>36</v>
      </c>
      <c r="M652" s="22" t="s">
        <v>15</v>
      </c>
      <c r="N652" s="24">
        <v>45839</v>
      </c>
      <c r="O652" s="13" t="s">
        <v>1346</v>
      </c>
    </row>
    <row r="653" spans="1:15" x14ac:dyDescent="0.25">
      <c r="A653" s="7">
        <v>10681</v>
      </c>
      <c r="B653" s="25">
        <v>8599988776654</v>
      </c>
      <c r="C653" s="26" t="s">
        <v>393</v>
      </c>
      <c r="D653" s="26" t="s">
        <v>133</v>
      </c>
      <c r="E653" s="26" t="s">
        <v>17</v>
      </c>
      <c r="F653" s="8">
        <v>16.8</v>
      </c>
      <c r="G653" s="8">
        <v>1</v>
      </c>
      <c r="H653" s="26" t="s">
        <v>14</v>
      </c>
      <c r="I653" s="26" t="s">
        <v>15</v>
      </c>
      <c r="J653" s="27">
        <v>45869</v>
      </c>
      <c r="K653" s="8">
        <v>0</v>
      </c>
      <c r="L653" s="26">
        <v>16.8</v>
      </c>
      <c r="M653" s="26" t="s">
        <v>15</v>
      </c>
      <c r="N653" s="28">
        <v>45839</v>
      </c>
      <c r="O653" s="14" t="s">
        <v>1346</v>
      </c>
    </row>
    <row r="654" spans="1:15" x14ac:dyDescent="0.25">
      <c r="A654" s="5">
        <v>10682</v>
      </c>
      <c r="B654" s="21">
        <v>4028899001126</v>
      </c>
      <c r="C654" s="22" t="s">
        <v>16</v>
      </c>
      <c r="D654" s="22" t="s">
        <v>12</v>
      </c>
      <c r="E654" s="22" t="s">
        <v>17</v>
      </c>
      <c r="F654" s="6">
        <v>2.8</v>
      </c>
      <c r="G654" s="6">
        <v>3</v>
      </c>
      <c r="H654" s="22" t="s">
        <v>23</v>
      </c>
      <c r="I654" s="22" t="s">
        <v>552</v>
      </c>
      <c r="J654" s="23">
        <v>45869</v>
      </c>
      <c r="K654" s="6">
        <v>0</v>
      </c>
      <c r="L654" s="22">
        <v>8.3999999999999986</v>
      </c>
      <c r="M654" s="22">
        <v>5</v>
      </c>
      <c r="N654" s="24">
        <v>45839</v>
      </c>
      <c r="O654" s="13" t="s">
        <v>1346</v>
      </c>
    </row>
    <row r="655" spans="1:15" x14ac:dyDescent="0.25">
      <c r="A655" s="7">
        <v>10683</v>
      </c>
      <c r="B655" s="25">
        <v>8599988776654</v>
      </c>
      <c r="C655" s="26" t="s">
        <v>393</v>
      </c>
      <c r="D655" s="26" t="s">
        <v>133</v>
      </c>
      <c r="E655" s="26" t="s">
        <v>17</v>
      </c>
      <c r="F655" s="8">
        <v>16.8</v>
      </c>
      <c r="G655" s="8">
        <v>1</v>
      </c>
      <c r="H655" s="26" t="s">
        <v>14</v>
      </c>
      <c r="I655" s="26" t="s">
        <v>15</v>
      </c>
      <c r="J655" s="27">
        <v>45869</v>
      </c>
      <c r="K655" s="8">
        <v>0</v>
      </c>
      <c r="L655" s="26">
        <v>16.8</v>
      </c>
      <c r="M655" s="26" t="s">
        <v>15</v>
      </c>
      <c r="N655" s="28">
        <v>45839</v>
      </c>
      <c r="O655" s="14" t="s">
        <v>1346</v>
      </c>
    </row>
    <row r="656" spans="1:15" x14ac:dyDescent="0.25">
      <c r="A656" s="5">
        <v>10684</v>
      </c>
      <c r="B656" s="21">
        <v>4013456789017</v>
      </c>
      <c r="C656" s="22" t="s">
        <v>11</v>
      </c>
      <c r="D656" s="22" t="s">
        <v>12</v>
      </c>
      <c r="E656" s="22" t="s">
        <v>13</v>
      </c>
      <c r="F656" s="6">
        <v>6</v>
      </c>
      <c r="G656" s="6">
        <v>1</v>
      </c>
      <c r="H656" s="22" t="s">
        <v>14</v>
      </c>
      <c r="I656" s="22" t="s">
        <v>15</v>
      </c>
      <c r="J656" s="23">
        <v>45869</v>
      </c>
      <c r="K656" s="6">
        <v>0</v>
      </c>
      <c r="L656" s="22">
        <v>6</v>
      </c>
      <c r="M656" s="22" t="s">
        <v>15</v>
      </c>
      <c r="N656" s="24">
        <v>45839</v>
      </c>
      <c r="O656" s="13" t="s">
        <v>1346</v>
      </c>
    </row>
    <row r="657" spans="1:15" x14ac:dyDescent="0.25">
      <c r="A657" s="7">
        <v>10685</v>
      </c>
      <c r="B657" s="25">
        <v>8599988776654</v>
      </c>
      <c r="C657" s="26" t="s">
        <v>393</v>
      </c>
      <c r="D657" s="26" t="s">
        <v>133</v>
      </c>
      <c r="E657" s="26" t="s">
        <v>17</v>
      </c>
      <c r="F657" s="8">
        <v>16.8</v>
      </c>
      <c r="G657" s="8">
        <v>2</v>
      </c>
      <c r="H657" s="26" t="s">
        <v>14</v>
      </c>
      <c r="I657" s="26" t="s">
        <v>15</v>
      </c>
      <c r="J657" s="27">
        <v>45869</v>
      </c>
      <c r="K657" s="8">
        <v>0</v>
      </c>
      <c r="L657" s="26">
        <v>33.6</v>
      </c>
      <c r="M657" s="26" t="s">
        <v>15</v>
      </c>
      <c r="N657" s="28">
        <v>45839</v>
      </c>
      <c r="O657" s="14" t="s">
        <v>1346</v>
      </c>
    </row>
    <row r="658" spans="1:15" x14ac:dyDescent="0.25">
      <c r="A658" s="5">
        <v>10686</v>
      </c>
      <c r="B658" s="21">
        <v>4017890123450</v>
      </c>
      <c r="C658" s="22" t="s">
        <v>65</v>
      </c>
      <c r="D658" s="22" t="s">
        <v>39</v>
      </c>
      <c r="E658" s="22" t="s">
        <v>22</v>
      </c>
      <c r="F658" s="6">
        <v>7.6</v>
      </c>
      <c r="G658" s="6">
        <v>1</v>
      </c>
      <c r="H658" s="22" t="s">
        <v>18</v>
      </c>
      <c r="I658" s="22" t="s">
        <v>553</v>
      </c>
      <c r="J658" s="23">
        <v>45869</v>
      </c>
      <c r="K658" s="6">
        <v>0</v>
      </c>
      <c r="L658" s="22">
        <v>7.6</v>
      </c>
      <c r="M658" s="22">
        <v>4</v>
      </c>
      <c r="N658" s="24">
        <v>45839</v>
      </c>
      <c r="O658" s="13" t="s">
        <v>1346</v>
      </c>
    </row>
    <row r="659" spans="1:15" x14ac:dyDescent="0.25">
      <c r="A659" s="7">
        <v>10687</v>
      </c>
      <c r="B659" s="25">
        <v>4010123456783</v>
      </c>
      <c r="C659" s="26" t="s">
        <v>35</v>
      </c>
      <c r="D659" s="26" t="s">
        <v>36</v>
      </c>
      <c r="E659" s="26" t="s">
        <v>37</v>
      </c>
      <c r="F659" s="8">
        <v>14</v>
      </c>
      <c r="G659" s="8">
        <v>1</v>
      </c>
      <c r="H659" s="26" t="s">
        <v>14</v>
      </c>
      <c r="I659" s="26" t="s">
        <v>15</v>
      </c>
      <c r="J659" s="27">
        <v>45869</v>
      </c>
      <c r="K659" s="8">
        <v>0</v>
      </c>
      <c r="L659" s="26">
        <v>14</v>
      </c>
      <c r="M659" s="26" t="s">
        <v>15</v>
      </c>
      <c r="N659" s="28">
        <v>45839</v>
      </c>
      <c r="O659" s="14" t="s">
        <v>1345</v>
      </c>
    </row>
    <row r="660" spans="1:15" x14ac:dyDescent="0.25">
      <c r="A660" s="5">
        <v>10688</v>
      </c>
      <c r="B660" s="21">
        <v>8599988776654</v>
      </c>
      <c r="C660" s="22" t="s">
        <v>393</v>
      </c>
      <c r="D660" s="22" t="s">
        <v>133</v>
      </c>
      <c r="E660" s="22" t="s">
        <v>17</v>
      </c>
      <c r="F660" s="6">
        <v>16.8</v>
      </c>
      <c r="G660" s="6">
        <v>1</v>
      </c>
      <c r="H660" s="22" t="s">
        <v>14</v>
      </c>
      <c r="I660" s="22" t="s">
        <v>15</v>
      </c>
      <c r="J660" s="23">
        <v>45869</v>
      </c>
      <c r="K660" s="6">
        <v>0</v>
      </c>
      <c r="L660" s="22">
        <v>16.8</v>
      </c>
      <c r="M660" s="22" t="s">
        <v>15</v>
      </c>
      <c r="N660" s="24">
        <v>45839</v>
      </c>
      <c r="O660" s="13" t="s">
        <v>1346</v>
      </c>
    </row>
    <row r="661" spans="1:15" x14ac:dyDescent="0.25">
      <c r="A661" s="7">
        <v>10689</v>
      </c>
      <c r="B661" s="25">
        <v>4056789012345</v>
      </c>
      <c r="C661" s="26" t="s">
        <v>47</v>
      </c>
      <c r="D661" s="26" t="s">
        <v>29</v>
      </c>
      <c r="E661" s="26" t="s">
        <v>37</v>
      </c>
      <c r="F661" s="8">
        <v>2.4</v>
      </c>
      <c r="G661" s="8">
        <v>2</v>
      </c>
      <c r="H661" s="26" t="s">
        <v>18</v>
      </c>
      <c r="I661" s="26" t="s">
        <v>554</v>
      </c>
      <c r="J661" s="27">
        <v>45869</v>
      </c>
      <c r="K661" s="8">
        <v>0</v>
      </c>
      <c r="L661" s="26">
        <v>4.8</v>
      </c>
      <c r="M661" s="26">
        <v>4</v>
      </c>
      <c r="N661" s="28">
        <v>45839</v>
      </c>
      <c r="O661" s="14" t="s">
        <v>1345</v>
      </c>
    </row>
    <row r="662" spans="1:15" x14ac:dyDescent="0.25">
      <c r="A662" s="5">
        <v>10690</v>
      </c>
      <c r="B662" s="21">
        <v>8599988776654</v>
      </c>
      <c r="C662" s="22" t="s">
        <v>393</v>
      </c>
      <c r="D662" s="22" t="s">
        <v>133</v>
      </c>
      <c r="E662" s="22" t="s">
        <v>17</v>
      </c>
      <c r="F662" s="6">
        <v>16.8</v>
      </c>
      <c r="G662" s="6">
        <v>1</v>
      </c>
      <c r="H662" s="22" t="s">
        <v>14</v>
      </c>
      <c r="I662" s="22" t="s">
        <v>15</v>
      </c>
      <c r="J662" s="23">
        <v>45869</v>
      </c>
      <c r="K662" s="6">
        <v>0</v>
      </c>
      <c r="L662" s="22">
        <v>16.8</v>
      </c>
      <c r="M662" s="22" t="s">
        <v>15</v>
      </c>
      <c r="N662" s="24">
        <v>45839</v>
      </c>
      <c r="O662" s="13" t="s">
        <v>1346</v>
      </c>
    </row>
    <row r="663" spans="1:15" x14ac:dyDescent="0.25">
      <c r="A663" s="7">
        <v>10691</v>
      </c>
      <c r="B663" s="25">
        <v>4027788990013</v>
      </c>
      <c r="C663" s="26" t="s">
        <v>43</v>
      </c>
      <c r="D663" s="26" t="s">
        <v>21</v>
      </c>
      <c r="E663" s="26" t="s">
        <v>22</v>
      </c>
      <c r="F663" s="8">
        <v>8</v>
      </c>
      <c r="G663" s="8">
        <v>1</v>
      </c>
      <c r="H663" s="26" t="s">
        <v>14</v>
      </c>
      <c r="I663" s="26" t="s">
        <v>15</v>
      </c>
      <c r="J663" s="27">
        <v>45869</v>
      </c>
      <c r="K663" s="8">
        <v>0</v>
      </c>
      <c r="L663" s="26">
        <v>8</v>
      </c>
      <c r="M663" s="26" t="s">
        <v>15</v>
      </c>
      <c r="N663" s="28">
        <v>45839</v>
      </c>
      <c r="O663" s="14" t="s">
        <v>1346</v>
      </c>
    </row>
    <row r="664" spans="1:15" x14ac:dyDescent="0.25">
      <c r="A664" s="5">
        <v>10692</v>
      </c>
      <c r="B664" s="21">
        <v>8599988776654</v>
      </c>
      <c r="C664" s="22" t="s">
        <v>393</v>
      </c>
      <c r="D664" s="22" t="s">
        <v>133</v>
      </c>
      <c r="E664" s="22" t="s">
        <v>17</v>
      </c>
      <c r="F664" s="6">
        <v>16.8</v>
      </c>
      <c r="G664" s="6">
        <v>2</v>
      </c>
      <c r="H664" s="22" t="s">
        <v>14</v>
      </c>
      <c r="I664" s="22" t="s">
        <v>15</v>
      </c>
      <c r="J664" s="23">
        <v>45869</v>
      </c>
      <c r="K664" s="6">
        <v>0</v>
      </c>
      <c r="L664" s="22">
        <v>33.6</v>
      </c>
      <c r="M664" s="22" t="s">
        <v>15</v>
      </c>
      <c r="N664" s="24">
        <v>45839</v>
      </c>
      <c r="O664" s="13" t="s">
        <v>1346</v>
      </c>
    </row>
    <row r="665" spans="1:15" x14ac:dyDescent="0.25">
      <c r="A665" s="7">
        <v>10693</v>
      </c>
      <c r="B665" s="25">
        <v>4017890123450</v>
      </c>
      <c r="C665" s="26" t="s">
        <v>65</v>
      </c>
      <c r="D665" s="26" t="s">
        <v>39</v>
      </c>
      <c r="E665" s="26" t="s">
        <v>22</v>
      </c>
      <c r="F665" s="8">
        <v>7.6</v>
      </c>
      <c r="G665" s="8">
        <v>1</v>
      </c>
      <c r="H665" s="26" t="s">
        <v>18</v>
      </c>
      <c r="I665" s="26" t="s">
        <v>555</v>
      </c>
      <c r="J665" s="27">
        <v>45869</v>
      </c>
      <c r="K665" s="8">
        <v>0</v>
      </c>
      <c r="L665" s="26">
        <v>7.6</v>
      </c>
      <c r="M665" s="26">
        <v>4</v>
      </c>
      <c r="N665" s="28">
        <v>45839</v>
      </c>
      <c r="O665" s="14" t="s">
        <v>1346</v>
      </c>
    </row>
    <row r="666" spans="1:15" x14ac:dyDescent="0.25">
      <c r="A666" s="5">
        <v>10694</v>
      </c>
      <c r="B666" s="21">
        <v>8599988776654</v>
      </c>
      <c r="C666" s="22" t="s">
        <v>393</v>
      </c>
      <c r="D666" s="22" t="s">
        <v>133</v>
      </c>
      <c r="E666" s="22" t="s">
        <v>17</v>
      </c>
      <c r="F666" s="6">
        <v>16.8</v>
      </c>
      <c r="G666" s="6">
        <v>1</v>
      </c>
      <c r="H666" s="22" t="s">
        <v>14</v>
      </c>
      <c r="I666" s="22" t="s">
        <v>15</v>
      </c>
      <c r="J666" s="23">
        <v>45869</v>
      </c>
      <c r="K666" s="6">
        <v>0</v>
      </c>
      <c r="L666" s="22">
        <v>16.8</v>
      </c>
      <c r="M666" s="22" t="s">
        <v>15</v>
      </c>
      <c r="N666" s="24">
        <v>45839</v>
      </c>
      <c r="O666" s="13" t="s">
        <v>1346</v>
      </c>
    </row>
    <row r="667" spans="1:15" x14ac:dyDescent="0.25">
      <c r="A667" s="7">
        <v>10695</v>
      </c>
      <c r="B667" s="25">
        <v>4010123456783</v>
      </c>
      <c r="C667" s="26" t="s">
        <v>35</v>
      </c>
      <c r="D667" s="26" t="s">
        <v>36</v>
      </c>
      <c r="E667" s="26" t="s">
        <v>37</v>
      </c>
      <c r="F667" s="8">
        <v>14</v>
      </c>
      <c r="G667" s="8">
        <v>1</v>
      </c>
      <c r="H667" s="26" t="s">
        <v>23</v>
      </c>
      <c r="I667" s="26" t="s">
        <v>556</v>
      </c>
      <c r="J667" s="27">
        <v>45869</v>
      </c>
      <c r="K667" s="8">
        <v>0</v>
      </c>
      <c r="L667" s="26">
        <v>14</v>
      </c>
      <c r="M667" s="26">
        <v>5</v>
      </c>
      <c r="N667" s="28">
        <v>45839</v>
      </c>
      <c r="O667" s="14" t="s">
        <v>1345</v>
      </c>
    </row>
    <row r="668" spans="1:15" x14ac:dyDescent="0.25">
      <c r="A668" s="5">
        <v>10696</v>
      </c>
      <c r="B668" s="21">
        <v>8599988776654</v>
      </c>
      <c r="C668" s="22" t="s">
        <v>393</v>
      </c>
      <c r="D668" s="22" t="s">
        <v>133</v>
      </c>
      <c r="E668" s="22" t="s">
        <v>17</v>
      </c>
      <c r="F668" s="6">
        <v>16.8</v>
      </c>
      <c r="G668" s="6">
        <v>1</v>
      </c>
      <c r="H668" s="22" t="s">
        <v>14</v>
      </c>
      <c r="I668" s="22" t="s">
        <v>15</v>
      </c>
      <c r="J668" s="23">
        <v>45869</v>
      </c>
      <c r="K668" s="6">
        <v>0</v>
      </c>
      <c r="L668" s="22">
        <v>16.8</v>
      </c>
      <c r="M668" s="22" t="s">
        <v>15</v>
      </c>
      <c r="N668" s="24">
        <v>45839</v>
      </c>
      <c r="O668" s="13" t="s">
        <v>1346</v>
      </c>
    </row>
    <row r="669" spans="1:15" x14ac:dyDescent="0.25">
      <c r="A669" s="7">
        <v>10697</v>
      </c>
      <c r="B669" s="25">
        <v>4063456789014</v>
      </c>
      <c r="C669" s="26" t="s">
        <v>60</v>
      </c>
      <c r="D669" s="26" t="s">
        <v>12</v>
      </c>
      <c r="E669" s="26" t="s">
        <v>61</v>
      </c>
      <c r="F669" s="8">
        <v>36</v>
      </c>
      <c r="G669" s="8">
        <v>1</v>
      </c>
      <c r="H669" s="26" t="s">
        <v>23</v>
      </c>
      <c r="I669" s="26" t="s">
        <v>557</v>
      </c>
      <c r="J669" s="27">
        <v>45869</v>
      </c>
      <c r="K669" s="8">
        <v>0</v>
      </c>
      <c r="L669" s="26">
        <v>36</v>
      </c>
      <c r="M669" s="26">
        <v>5</v>
      </c>
      <c r="N669" s="28">
        <v>45839</v>
      </c>
      <c r="O669" s="14" t="s">
        <v>1346</v>
      </c>
    </row>
    <row r="670" spans="1:15" x14ac:dyDescent="0.25">
      <c r="A670" s="5">
        <v>10698</v>
      </c>
      <c r="B670" s="21">
        <v>8599988776654</v>
      </c>
      <c r="C670" s="22" t="s">
        <v>393</v>
      </c>
      <c r="D670" s="22" t="s">
        <v>133</v>
      </c>
      <c r="E670" s="22" t="s">
        <v>17</v>
      </c>
      <c r="F670" s="6">
        <v>16.8</v>
      </c>
      <c r="G670" s="6">
        <v>1</v>
      </c>
      <c r="H670" s="22" t="s">
        <v>14</v>
      </c>
      <c r="I670" s="22" t="s">
        <v>15</v>
      </c>
      <c r="J670" s="23">
        <v>45869</v>
      </c>
      <c r="K670" s="6">
        <v>0</v>
      </c>
      <c r="L670" s="22">
        <v>16.8</v>
      </c>
      <c r="M670" s="22" t="s">
        <v>15</v>
      </c>
      <c r="N670" s="24">
        <v>45839</v>
      </c>
      <c r="O670" s="13" t="s">
        <v>1346</v>
      </c>
    </row>
    <row r="671" spans="1:15" x14ac:dyDescent="0.25">
      <c r="A671" s="7">
        <v>10699</v>
      </c>
      <c r="B671" s="25">
        <v>4021234567894</v>
      </c>
      <c r="C671" s="26" t="s">
        <v>79</v>
      </c>
      <c r="D671" s="26" t="s">
        <v>36</v>
      </c>
      <c r="E671" s="26" t="s">
        <v>69</v>
      </c>
      <c r="F671" s="8">
        <v>8</v>
      </c>
      <c r="G671" s="8">
        <v>1</v>
      </c>
      <c r="H671" s="26" t="s">
        <v>14</v>
      </c>
      <c r="I671" s="26" t="s">
        <v>15</v>
      </c>
      <c r="J671" s="27">
        <v>45869</v>
      </c>
      <c r="K671" s="8">
        <v>0</v>
      </c>
      <c r="L671" s="26">
        <v>8</v>
      </c>
      <c r="M671" s="26" t="s">
        <v>15</v>
      </c>
      <c r="N671" s="28">
        <v>45839</v>
      </c>
      <c r="O671" s="14" t="s">
        <v>1345</v>
      </c>
    </row>
    <row r="672" spans="1:15" x14ac:dyDescent="0.25">
      <c r="A672" s="5">
        <v>10700</v>
      </c>
      <c r="B672" s="21">
        <v>8599988776654</v>
      </c>
      <c r="C672" s="22" t="s">
        <v>393</v>
      </c>
      <c r="D672" s="22" t="s">
        <v>133</v>
      </c>
      <c r="E672" s="22" t="s">
        <v>17</v>
      </c>
      <c r="F672" s="6">
        <v>16.8</v>
      </c>
      <c r="G672" s="6">
        <v>1</v>
      </c>
      <c r="H672" s="22" t="s">
        <v>18</v>
      </c>
      <c r="I672" s="22" t="s">
        <v>558</v>
      </c>
      <c r="J672" s="23">
        <v>45869</v>
      </c>
      <c r="K672" s="6">
        <v>0</v>
      </c>
      <c r="L672" s="22">
        <v>16.8</v>
      </c>
      <c r="M672" s="22">
        <v>4</v>
      </c>
      <c r="N672" s="24">
        <v>45839</v>
      </c>
      <c r="O672" s="13" t="s">
        <v>1346</v>
      </c>
    </row>
    <row r="673" spans="1:15" x14ac:dyDescent="0.25">
      <c r="A673" s="7">
        <v>10701</v>
      </c>
      <c r="B673" s="25">
        <v>4056789012345</v>
      </c>
      <c r="C673" s="26" t="s">
        <v>47</v>
      </c>
      <c r="D673" s="26" t="s">
        <v>29</v>
      </c>
      <c r="E673" s="26" t="s">
        <v>37</v>
      </c>
      <c r="F673" s="8">
        <v>2.4</v>
      </c>
      <c r="G673" s="8">
        <v>2</v>
      </c>
      <c r="H673" s="26" t="s">
        <v>14</v>
      </c>
      <c r="I673" s="26" t="s">
        <v>15</v>
      </c>
      <c r="J673" s="27">
        <v>45869</v>
      </c>
      <c r="K673" s="8">
        <v>0</v>
      </c>
      <c r="L673" s="26">
        <v>4.8</v>
      </c>
      <c r="M673" s="26" t="s">
        <v>15</v>
      </c>
      <c r="N673" s="28">
        <v>45839</v>
      </c>
      <c r="O673" s="14" t="s">
        <v>1345</v>
      </c>
    </row>
    <row r="674" spans="1:15" x14ac:dyDescent="0.25">
      <c r="A674" s="5">
        <v>10702</v>
      </c>
      <c r="B674" s="21">
        <v>8599988776654</v>
      </c>
      <c r="C674" s="22" t="s">
        <v>393</v>
      </c>
      <c r="D674" s="22" t="s">
        <v>133</v>
      </c>
      <c r="E674" s="22" t="s">
        <v>17</v>
      </c>
      <c r="F674" s="6">
        <v>16.8</v>
      </c>
      <c r="G674" s="6">
        <v>1</v>
      </c>
      <c r="H674" s="22" t="s">
        <v>14</v>
      </c>
      <c r="I674" s="22" t="s">
        <v>15</v>
      </c>
      <c r="J674" s="23">
        <v>45869</v>
      </c>
      <c r="K674" s="6">
        <v>0</v>
      </c>
      <c r="L674" s="22">
        <v>16.8</v>
      </c>
      <c r="M674" s="22" t="s">
        <v>15</v>
      </c>
      <c r="N674" s="24">
        <v>45839</v>
      </c>
      <c r="O674" s="13" t="s">
        <v>1346</v>
      </c>
    </row>
    <row r="675" spans="1:15" x14ac:dyDescent="0.25">
      <c r="A675" s="7">
        <v>10703</v>
      </c>
      <c r="B675" s="25">
        <v>4013456789017</v>
      </c>
      <c r="C675" s="26" t="s">
        <v>11</v>
      </c>
      <c r="D675" s="26" t="s">
        <v>12</v>
      </c>
      <c r="E675" s="26" t="s">
        <v>13</v>
      </c>
      <c r="F675" s="8">
        <v>6</v>
      </c>
      <c r="G675" s="8">
        <v>1</v>
      </c>
      <c r="H675" s="26" t="s">
        <v>23</v>
      </c>
      <c r="I675" s="26" t="s">
        <v>559</v>
      </c>
      <c r="J675" s="27">
        <v>45869</v>
      </c>
      <c r="K675" s="8">
        <v>0</v>
      </c>
      <c r="L675" s="26">
        <v>6</v>
      </c>
      <c r="M675" s="26">
        <v>5</v>
      </c>
      <c r="N675" s="28">
        <v>45839</v>
      </c>
      <c r="O675" s="14" t="s">
        <v>1346</v>
      </c>
    </row>
    <row r="676" spans="1:15" x14ac:dyDescent="0.25">
      <c r="A676" s="5">
        <v>10704</v>
      </c>
      <c r="B676" s="21">
        <v>8599988776654</v>
      </c>
      <c r="C676" s="22" t="s">
        <v>393</v>
      </c>
      <c r="D676" s="22" t="s">
        <v>133</v>
      </c>
      <c r="E676" s="22" t="s">
        <v>17</v>
      </c>
      <c r="F676" s="6">
        <v>16.8</v>
      </c>
      <c r="G676" s="6">
        <v>2</v>
      </c>
      <c r="H676" s="22" t="s">
        <v>14</v>
      </c>
      <c r="I676" s="22" t="s">
        <v>15</v>
      </c>
      <c r="J676" s="23">
        <v>45869</v>
      </c>
      <c r="K676" s="6">
        <v>0</v>
      </c>
      <c r="L676" s="22">
        <v>33.6</v>
      </c>
      <c r="M676" s="22" t="s">
        <v>15</v>
      </c>
      <c r="N676" s="24">
        <v>45839</v>
      </c>
      <c r="O676" s="13" t="s">
        <v>1346</v>
      </c>
    </row>
    <row r="677" spans="1:15" x14ac:dyDescent="0.25">
      <c r="A677" s="7">
        <v>10705</v>
      </c>
      <c r="B677" s="25">
        <v>4010123456783</v>
      </c>
      <c r="C677" s="26" t="s">
        <v>35</v>
      </c>
      <c r="D677" s="26" t="s">
        <v>36</v>
      </c>
      <c r="E677" s="26" t="s">
        <v>37</v>
      </c>
      <c r="F677" s="8">
        <v>14</v>
      </c>
      <c r="G677" s="8">
        <v>1</v>
      </c>
      <c r="H677" s="26" t="s">
        <v>14</v>
      </c>
      <c r="I677" s="26" t="s">
        <v>15</v>
      </c>
      <c r="J677" s="27">
        <v>45869</v>
      </c>
      <c r="K677" s="8">
        <v>0</v>
      </c>
      <c r="L677" s="26">
        <v>14</v>
      </c>
      <c r="M677" s="26" t="s">
        <v>15</v>
      </c>
      <c r="N677" s="28">
        <v>45839</v>
      </c>
      <c r="O677" s="14" t="s">
        <v>1345</v>
      </c>
    </row>
    <row r="678" spans="1:15" x14ac:dyDescent="0.25">
      <c r="A678" s="5">
        <v>10706</v>
      </c>
      <c r="B678" s="21">
        <v>8599988776654</v>
      </c>
      <c r="C678" s="22" t="s">
        <v>393</v>
      </c>
      <c r="D678" s="22" t="s">
        <v>133</v>
      </c>
      <c r="E678" s="22" t="s">
        <v>17</v>
      </c>
      <c r="F678" s="6">
        <v>16.8</v>
      </c>
      <c r="G678" s="6">
        <v>1</v>
      </c>
      <c r="H678" s="22" t="s">
        <v>14</v>
      </c>
      <c r="I678" s="22" t="s">
        <v>15</v>
      </c>
      <c r="J678" s="23">
        <v>45869</v>
      </c>
      <c r="K678" s="6">
        <v>0</v>
      </c>
      <c r="L678" s="22">
        <v>16.8</v>
      </c>
      <c r="M678" s="22" t="s">
        <v>15</v>
      </c>
      <c r="N678" s="24">
        <v>45839</v>
      </c>
      <c r="O678" s="13" t="s">
        <v>1346</v>
      </c>
    </row>
    <row r="679" spans="1:15" x14ac:dyDescent="0.25">
      <c r="A679" s="7">
        <v>10707</v>
      </c>
      <c r="B679" s="25">
        <v>4017890123450</v>
      </c>
      <c r="C679" s="26" t="s">
        <v>65</v>
      </c>
      <c r="D679" s="26" t="s">
        <v>39</v>
      </c>
      <c r="E679" s="26" t="s">
        <v>22</v>
      </c>
      <c r="F679" s="8">
        <v>7.6</v>
      </c>
      <c r="G679" s="8">
        <v>1</v>
      </c>
      <c r="H679" s="26" t="s">
        <v>23</v>
      </c>
      <c r="I679" s="26" t="s">
        <v>560</v>
      </c>
      <c r="J679" s="27">
        <v>45869</v>
      </c>
      <c r="K679" s="8">
        <v>0</v>
      </c>
      <c r="L679" s="26">
        <v>7.6</v>
      </c>
      <c r="M679" s="26">
        <v>5</v>
      </c>
      <c r="N679" s="28">
        <v>45839</v>
      </c>
      <c r="O679" s="14" t="s">
        <v>1346</v>
      </c>
    </row>
    <row r="680" spans="1:15" x14ac:dyDescent="0.25">
      <c r="A680" s="5">
        <v>10708</v>
      </c>
      <c r="B680" s="21">
        <v>8599988776654</v>
      </c>
      <c r="C680" s="22" t="s">
        <v>393</v>
      </c>
      <c r="D680" s="22" t="s">
        <v>133</v>
      </c>
      <c r="E680" s="22" t="s">
        <v>17</v>
      </c>
      <c r="F680" s="6">
        <v>16.8</v>
      </c>
      <c r="G680" s="6">
        <v>1</v>
      </c>
      <c r="H680" s="22" t="s">
        <v>14</v>
      </c>
      <c r="I680" s="22" t="s">
        <v>15</v>
      </c>
      <c r="J680" s="23">
        <v>45869</v>
      </c>
      <c r="K680" s="6">
        <v>0</v>
      </c>
      <c r="L680" s="22">
        <v>16.8</v>
      </c>
      <c r="M680" s="22" t="s">
        <v>15</v>
      </c>
      <c r="N680" s="24">
        <v>45839</v>
      </c>
      <c r="O680" s="13" t="s">
        <v>1346</v>
      </c>
    </row>
    <row r="681" spans="1:15" x14ac:dyDescent="0.25">
      <c r="A681" s="7">
        <v>10709</v>
      </c>
      <c r="B681" s="25">
        <v>4028899001126</v>
      </c>
      <c r="C681" s="26" t="s">
        <v>16</v>
      </c>
      <c r="D681" s="26" t="s">
        <v>12</v>
      </c>
      <c r="E681" s="26" t="s">
        <v>17</v>
      </c>
      <c r="F681" s="8">
        <v>2.8</v>
      </c>
      <c r="G681" s="8">
        <v>3</v>
      </c>
      <c r="H681" s="26" t="s">
        <v>14</v>
      </c>
      <c r="I681" s="26" t="s">
        <v>15</v>
      </c>
      <c r="J681" s="27">
        <v>45869</v>
      </c>
      <c r="K681" s="8">
        <v>0</v>
      </c>
      <c r="L681" s="26">
        <v>8.3999999999999986</v>
      </c>
      <c r="M681" s="26" t="s">
        <v>15</v>
      </c>
      <c r="N681" s="28">
        <v>45839</v>
      </c>
      <c r="O681" s="14" t="s">
        <v>1346</v>
      </c>
    </row>
    <row r="682" spans="1:15" x14ac:dyDescent="0.25">
      <c r="A682" s="5">
        <v>10710</v>
      </c>
      <c r="B682" s="21">
        <v>8599988776654</v>
      </c>
      <c r="C682" s="22" t="s">
        <v>393</v>
      </c>
      <c r="D682" s="22" t="s">
        <v>133</v>
      </c>
      <c r="E682" s="22" t="s">
        <v>17</v>
      </c>
      <c r="F682" s="6">
        <v>16.8</v>
      </c>
      <c r="G682" s="6">
        <v>1</v>
      </c>
      <c r="H682" s="22" t="s">
        <v>14</v>
      </c>
      <c r="I682" s="22" t="s">
        <v>15</v>
      </c>
      <c r="J682" s="23">
        <v>45869</v>
      </c>
      <c r="K682" s="6">
        <v>0</v>
      </c>
      <c r="L682" s="22">
        <v>16.8</v>
      </c>
      <c r="M682" s="22" t="s">
        <v>15</v>
      </c>
      <c r="N682" s="24">
        <v>45839</v>
      </c>
      <c r="O682" s="13" t="s">
        <v>1346</v>
      </c>
    </row>
    <row r="683" spans="1:15" x14ac:dyDescent="0.25">
      <c r="A683" s="7">
        <v>10711</v>
      </c>
      <c r="B683" s="25">
        <v>4056789012345</v>
      </c>
      <c r="C683" s="26" t="s">
        <v>47</v>
      </c>
      <c r="D683" s="26" t="s">
        <v>29</v>
      </c>
      <c r="E683" s="26" t="s">
        <v>37</v>
      </c>
      <c r="F683" s="8">
        <v>2.4</v>
      </c>
      <c r="G683" s="8">
        <v>2</v>
      </c>
      <c r="H683" s="26" t="s">
        <v>18</v>
      </c>
      <c r="I683" s="26" t="s">
        <v>561</v>
      </c>
      <c r="J683" s="27">
        <v>45869</v>
      </c>
      <c r="K683" s="8">
        <v>0</v>
      </c>
      <c r="L683" s="26">
        <v>4.8</v>
      </c>
      <c r="M683" s="26">
        <v>4</v>
      </c>
      <c r="N683" s="28">
        <v>45839</v>
      </c>
      <c r="O683" s="14" t="s">
        <v>1345</v>
      </c>
    </row>
    <row r="684" spans="1:15" x14ac:dyDescent="0.25">
      <c r="A684" s="5">
        <v>10712</v>
      </c>
      <c r="B684" s="21">
        <v>8599988776654</v>
      </c>
      <c r="C684" s="22" t="s">
        <v>393</v>
      </c>
      <c r="D684" s="22" t="s">
        <v>133</v>
      </c>
      <c r="E684" s="22" t="s">
        <v>17</v>
      </c>
      <c r="F684" s="6">
        <v>16.8</v>
      </c>
      <c r="G684" s="6">
        <v>1</v>
      </c>
      <c r="H684" s="22" t="s">
        <v>14</v>
      </c>
      <c r="I684" s="22" t="s">
        <v>15</v>
      </c>
      <c r="J684" s="23">
        <v>45869</v>
      </c>
      <c r="K684" s="6">
        <v>0</v>
      </c>
      <c r="L684" s="22">
        <v>16.8</v>
      </c>
      <c r="M684" s="22" t="s">
        <v>15</v>
      </c>
      <c r="N684" s="24">
        <v>45839</v>
      </c>
      <c r="O684" s="13" t="s">
        <v>1346</v>
      </c>
    </row>
    <row r="685" spans="1:15" x14ac:dyDescent="0.25">
      <c r="A685" s="7">
        <v>10713</v>
      </c>
      <c r="B685" s="25">
        <v>4013456789017</v>
      </c>
      <c r="C685" s="26" t="s">
        <v>11</v>
      </c>
      <c r="D685" s="26" t="s">
        <v>12</v>
      </c>
      <c r="E685" s="26" t="s">
        <v>13</v>
      </c>
      <c r="F685" s="8">
        <v>6</v>
      </c>
      <c r="G685" s="8">
        <v>1</v>
      </c>
      <c r="H685" s="26" t="s">
        <v>23</v>
      </c>
      <c r="I685" s="26" t="s">
        <v>562</v>
      </c>
      <c r="J685" s="27">
        <v>45869</v>
      </c>
      <c r="K685" s="8">
        <v>0</v>
      </c>
      <c r="L685" s="26">
        <v>6</v>
      </c>
      <c r="M685" s="26">
        <v>5</v>
      </c>
      <c r="N685" s="28">
        <v>45839</v>
      </c>
      <c r="O685" s="14" t="s">
        <v>1346</v>
      </c>
    </row>
    <row r="686" spans="1:15" x14ac:dyDescent="0.25">
      <c r="A686" s="5">
        <v>10714</v>
      </c>
      <c r="B686" s="21">
        <v>8599988776654</v>
      </c>
      <c r="C686" s="22" t="s">
        <v>393</v>
      </c>
      <c r="D686" s="22" t="s">
        <v>133</v>
      </c>
      <c r="E686" s="22" t="s">
        <v>17</v>
      </c>
      <c r="F686" s="6">
        <v>16.8</v>
      </c>
      <c r="G686" s="6">
        <v>2</v>
      </c>
      <c r="H686" s="22" t="s">
        <v>14</v>
      </c>
      <c r="I686" s="22" t="s">
        <v>15</v>
      </c>
      <c r="J686" s="23">
        <v>45869</v>
      </c>
      <c r="K686" s="6">
        <v>0</v>
      </c>
      <c r="L686" s="22">
        <v>33.6</v>
      </c>
      <c r="M686" s="22" t="s">
        <v>15</v>
      </c>
      <c r="N686" s="24">
        <v>45839</v>
      </c>
      <c r="O686" s="13" t="s">
        <v>1346</v>
      </c>
    </row>
    <row r="687" spans="1:15" x14ac:dyDescent="0.25">
      <c r="A687" s="7">
        <v>10715</v>
      </c>
      <c r="B687" s="25">
        <v>4017890123450</v>
      </c>
      <c r="C687" s="26" t="s">
        <v>65</v>
      </c>
      <c r="D687" s="26" t="s">
        <v>39</v>
      </c>
      <c r="E687" s="26" t="s">
        <v>22</v>
      </c>
      <c r="F687" s="8">
        <v>7.6</v>
      </c>
      <c r="G687" s="8">
        <v>1</v>
      </c>
      <c r="H687" s="26" t="s">
        <v>14</v>
      </c>
      <c r="I687" s="26" t="s">
        <v>15</v>
      </c>
      <c r="J687" s="27">
        <v>45869</v>
      </c>
      <c r="K687" s="8">
        <v>0</v>
      </c>
      <c r="L687" s="26">
        <v>7.6</v>
      </c>
      <c r="M687" s="26" t="s">
        <v>15</v>
      </c>
      <c r="N687" s="28">
        <v>45839</v>
      </c>
      <c r="O687" s="14" t="s">
        <v>1346</v>
      </c>
    </row>
    <row r="688" spans="1:15" x14ac:dyDescent="0.25">
      <c r="A688" s="5">
        <v>10716</v>
      </c>
      <c r="B688" s="21">
        <v>8599988776654</v>
      </c>
      <c r="C688" s="22" t="s">
        <v>393</v>
      </c>
      <c r="D688" s="22" t="s">
        <v>133</v>
      </c>
      <c r="E688" s="22" t="s">
        <v>17</v>
      </c>
      <c r="F688" s="6">
        <v>16.8</v>
      </c>
      <c r="G688" s="6">
        <v>1</v>
      </c>
      <c r="H688" s="22" t="s">
        <v>14</v>
      </c>
      <c r="I688" s="22" t="s">
        <v>15</v>
      </c>
      <c r="J688" s="23">
        <v>45869</v>
      </c>
      <c r="K688" s="6">
        <v>0</v>
      </c>
      <c r="L688" s="22">
        <v>16.8</v>
      </c>
      <c r="M688" s="22" t="s">
        <v>15</v>
      </c>
      <c r="N688" s="24">
        <v>45839</v>
      </c>
      <c r="O688" s="13" t="s">
        <v>1346</v>
      </c>
    </row>
    <row r="689" spans="1:15" x14ac:dyDescent="0.25">
      <c r="A689" s="7">
        <v>10717</v>
      </c>
      <c r="B689" s="25">
        <v>4010123456783</v>
      </c>
      <c r="C689" s="26" t="s">
        <v>35</v>
      </c>
      <c r="D689" s="26" t="s">
        <v>36</v>
      </c>
      <c r="E689" s="26" t="s">
        <v>37</v>
      </c>
      <c r="F689" s="8">
        <v>14</v>
      </c>
      <c r="G689" s="8">
        <v>1</v>
      </c>
      <c r="H689" s="26" t="s">
        <v>23</v>
      </c>
      <c r="I689" s="26" t="s">
        <v>563</v>
      </c>
      <c r="J689" s="27">
        <v>45869</v>
      </c>
      <c r="K689" s="8">
        <v>0</v>
      </c>
      <c r="L689" s="26">
        <v>14</v>
      </c>
      <c r="M689" s="26">
        <v>5</v>
      </c>
      <c r="N689" s="28">
        <v>45839</v>
      </c>
      <c r="O689" s="14" t="s">
        <v>1345</v>
      </c>
    </row>
    <row r="690" spans="1:15" x14ac:dyDescent="0.25">
      <c r="A690" s="5">
        <v>10718</v>
      </c>
      <c r="B690" s="21">
        <v>8599988776654</v>
      </c>
      <c r="C690" s="22" t="s">
        <v>393</v>
      </c>
      <c r="D690" s="22" t="s">
        <v>133</v>
      </c>
      <c r="E690" s="22" t="s">
        <v>17</v>
      </c>
      <c r="F690" s="6">
        <v>16.8</v>
      </c>
      <c r="G690" s="6">
        <v>1</v>
      </c>
      <c r="H690" s="22" t="s">
        <v>14</v>
      </c>
      <c r="I690" s="22" t="s">
        <v>15</v>
      </c>
      <c r="J690" s="23">
        <v>45869</v>
      </c>
      <c r="K690" s="6">
        <v>0</v>
      </c>
      <c r="L690" s="22">
        <v>16.8</v>
      </c>
      <c r="M690" s="22" t="s">
        <v>15</v>
      </c>
      <c r="N690" s="24">
        <v>45839</v>
      </c>
      <c r="O690" s="13" t="s">
        <v>1346</v>
      </c>
    </row>
    <row r="691" spans="1:15" x14ac:dyDescent="0.25">
      <c r="A691" s="7">
        <v>10719</v>
      </c>
      <c r="B691" s="25">
        <v>4063456789014</v>
      </c>
      <c r="C691" s="26" t="s">
        <v>60</v>
      </c>
      <c r="D691" s="26" t="s">
        <v>12</v>
      </c>
      <c r="E691" s="26" t="s">
        <v>61</v>
      </c>
      <c r="F691" s="8">
        <v>36</v>
      </c>
      <c r="G691" s="8">
        <v>1</v>
      </c>
      <c r="H691" s="26" t="s">
        <v>18</v>
      </c>
      <c r="I691" s="26" t="s">
        <v>564</v>
      </c>
      <c r="J691" s="27">
        <v>45869</v>
      </c>
      <c r="K691" s="8">
        <v>0</v>
      </c>
      <c r="L691" s="26">
        <v>36</v>
      </c>
      <c r="M691" s="26">
        <v>4</v>
      </c>
      <c r="N691" s="28">
        <v>45839</v>
      </c>
      <c r="O691" s="14" t="s">
        <v>1346</v>
      </c>
    </row>
    <row r="692" spans="1:15" x14ac:dyDescent="0.25">
      <c r="A692" s="5">
        <v>10720</v>
      </c>
      <c r="B692" s="21">
        <v>8599988776654</v>
      </c>
      <c r="C692" s="22" t="s">
        <v>393</v>
      </c>
      <c r="D692" s="22" t="s">
        <v>133</v>
      </c>
      <c r="E692" s="22" t="s">
        <v>17</v>
      </c>
      <c r="F692" s="6">
        <v>16.8</v>
      </c>
      <c r="G692" s="6">
        <v>2</v>
      </c>
      <c r="H692" s="22" t="s">
        <v>14</v>
      </c>
      <c r="I692" s="22" t="s">
        <v>15</v>
      </c>
      <c r="J692" s="23">
        <v>45869</v>
      </c>
      <c r="K692" s="6">
        <v>0</v>
      </c>
      <c r="L692" s="22">
        <v>33.6</v>
      </c>
      <c r="M692" s="22" t="s">
        <v>15</v>
      </c>
      <c r="N692" s="24">
        <v>45839</v>
      </c>
      <c r="O692" s="13" t="s">
        <v>1346</v>
      </c>
    </row>
    <row r="693" spans="1:15" x14ac:dyDescent="0.25">
      <c r="A693" s="7">
        <v>10721</v>
      </c>
      <c r="B693" s="25">
        <v>4021234567894</v>
      </c>
      <c r="C693" s="26" t="s">
        <v>79</v>
      </c>
      <c r="D693" s="26" t="s">
        <v>36</v>
      </c>
      <c r="E693" s="26" t="s">
        <v>69</v>
      </c>
      <c r="F693" s="8">
        <v>8</v>
      </c>
      <c r="G693" s="8">
        <v>1</v>
      </c>
      <c r="H693" s="26" t="s">
        <v>14</v>
      </c>
      <c r="I693" s="26" t="s">
        <v>15</v>
      </c>
      <c r="J693" s="27">
        <v>45869</v>
      </c>
      <c r="K693" s="8">
        <v>0</v>
      </c>
      <c r="L693" s="26">
        <v>8</v>
      </c>
      <c r="M693" s="26" t="s">
        <v>15</v>
      </c>
      <c r="N693" s="28">
        <v>45839</v>
      </c>
      <c r="O693" s="14" t="s">
        <v>1345</v>
      </c>
    </row>
    <row r="694" spans="1:15" x14ac:dyDescent="0.25">
      <c r="A694" s="5">
        <v>10722</v>
      </c>
      <c r="B694" s="21">
        <v>8599988776654</v>
      </c>
      <c r="C694" s="22" t="s">
        <v>393</v>
      </c>
      <c r="D694" s="22" t="s">
        <v>133</v>
      </c>
      <c r="E694" s="22" t="s">
        <v>17</v>
      </c>
      <c r="F694" s="6">
        <v>16.8</v>
      </c>
      <c r="G694" s="6">
        <v>1</v>
      </c>
      <c r="H694" s="22" t="s">
        <v>14</v>
      </c>
      <c r="I694" s="22" t="s">
        <v>15</v>
      </c>
      <c r="J694" s="23">
        <v>45869</v>
      </c>
      <c r="K694" s="6">
        <v>0</v>
      </c>
      <c r="L694" s="22">
        <v>16.8</v>
      </c>
      <c r="M694" s="22" t="s">
        <v>15</v>
      </c>
      <c r="N694" s="24">
        <v>45839</v>
      </c>
      <c r="O694" s="13" t="s">
        <v>1346</v>
      </c>
    </row>
    <row r="695" spans="1:15" x14ac:dyDescent="0.25">
      <c r="A695" s="7">
        <v>10723</v>
      </c>
      <c r="B695" s="25">
        <v>4013456789017</v>
      </c>
      <c r="C695" s="26" t="s">
        <v>11</v>
      </c>
      <c r="D695" s="26" t="s">
        <v>12</v>
      </c>
      <c r="E695" s="26" t="s">
        <v>13</v>
      </c>
      <c r="F695" s="8">
        <v>6</v>
      </c>
      <c r="G695" s="8">
        <v>1</v>
      </c>
      <c r="H695" s="26" t="s">
        <v>18</v>
      </c>
      <c r="I695" s="26" t="s">
        <v>565</v>
      </c>
      <c r="J695" s="27">
        <v>45869</v>
      </c>
      <c r="K695" s="8">
        <v>0</v>
      </c>
      <c r="L695" s="26">
        <v>6</v>
      </c>
      <c r="M695" s="26">
        <v>4</v>
      </c>
      <c r="N695" s="28">
        <v>45839</v>
      </c>
      <c r="O695" s="14" t="s">
        <v>1346</v>
      </c>
    </row>
    <row r="696" spans="1:15" x14ac:dyDescent="0.25">
      <c r="A696" s="5">
        <v>10724</v>
      </c>
      <c r="B696" s="21">
        <v>8599988776654</v>
      </c>
      <c r="C696" s="22" t="s">
        <v>393</v>
      </c>
      <c r="D696" s="22" t="s">
        <v>133</v>
      </c>
      <c r="E696" s="22" t="s">
        <v>17</v>
      </c>
      <c r="F696" s="6">
        <v>16.8</v>
      </c>
      <c r="G696" s="6">
        <v>1</v>
      </c>
      <c r="H696" s="22" t="s">
        <v>14</v>
      </c>
      <c r="I696" s="22" t="s">
        <v>15</v>
      </c>
      <c r="J696" s="23">
        <v>45869</v>
      </c>
      <c r="K696" s="6">
        <v>0</v>
      </c>
      <c r="L696" s="22">
        <v>16.8</v>
      </c>
      <c r="M696" s="22" t="s">
        <v>15</v>
      </c>
      <c r="N696" s="24">
        <v>45839</v>
      </c>
      <c r="O696" s="13" t="s">
        <v>1346</v>
      </c>
    </row>
    <row r="697" spans="1:15" x14ac:dyDescent="0.25">
      <c r="A697" s="7">
        <v>10725</v>
      </c>
      <c r="B697" s="25">
        <v>4010123456783</v>
      </c>
      <c r="C697" s="26" t="s">
        <v>35</v>
      </c>
      <c r="D697" s="26" t="s">
        <v>36</v>
      </c>
      <c r="E697" s="26" t="s">
        <v>37</v>
      </c>
      <c r="F697" s="8">
        <v>14</v>
      </c>
      <c r="G697" s="8">
        <v>1</v>
      </c>
      <c r="H697" s="26" t="s">
        <v>14</v>
      </c>
      <c r="I697" s="26" t="s">
        <v>15</v>
      </c>
      <c r="J697" s="27">
        <v>45869</v>
      </c>
      <c r="K697" s="8">
        <v>0</v>
      </c>
      <c r="L697" s="26">
        <v>14</v>
      </c>
      <c r="M697" s="26" t="s">
        <v>15</v>
      </c>
      <c r="N697" s="28">
        <v>45839</v>
      </c>
      <c r="O697" s="14" t="s">
        <v>1345</v>
      </c>
    </row>
    <row r="698" spans="1:15" x14ac:dyDescent="0.25">
      <c r="A698" s="5">
        <v>10726</v>
      </c>
      <c r="B698" s="21">
        <v>8599988776654</v>
      </c>
      <c r="C698" s="22" t="s">
        <v>393</v>
      </c>
      <c r="D698" s="22" t="s">
        <v>133</v>
      </c>
      <c r="E698" s="22" t="s">
        <v>17</v>
      </c>
      <c r="F698" s="6">
        <v>16.8</v>
      </c>
      <c r="G698" s="6">
        <v>2</v>
      </c>
      <c r="H698" s="22" t="s">
        <v>14</v>
      </c>
      <c r="I698" s="22" t="s">
        <v>15</v>
      </c>
      <c r="J698" s="23">
        <v>45869</v>
      </c>
      <c r="K698" s="6">
        <v>0</v>
      </c>
      <c r="L698" s="22">
        <v>33.6</v>
      </c>
      <c r="M698" s="22" t="s">
        <v>15</v>
      </c>
      <c r="N698" s="24">
        <v>45839</v>
      </c>
      <c r="O698" s="13" t="s">
        <v>1346</v>
      </c>
    </row>
    <row r="699" spans="1:15" x14ac:dyDescent="0.25">
      <c r="A699" s="7">
        <v>10727</v>
      </c>
      <c r="B699" s="25">
        <v>4017890123450</v>
      </c>
      <c r="C699" s="26" t="s">
        <v>65</v>
      </c>
      <c r="D699" s="26" t="s">
        <v>39</v>
      </c>
      <c r="E699" s="26" t="s">
        <v>22</v>
      </c>
      <c r="F699" s="8">
        <v>7.6</v>
      </c>
      <c r="G699" s="8">
        <v>1</v>
      </c>
      <c r="H699" s="26" t="s">
        <v>23</v>
      </c>
      <c r="I699" s="26" t="s">
        <v>566</v>
      </c>
      <c r="J699" s="27">
        <v>45869</v>
      </c>
      <c r="K699" s="8">
        <v>0</v>
      </c>
      <c r="L699" s="26">
        <v>7.6</v>
      </c>
      <c r="M699" s="26">
        <v>5</v>
      </c>
      <c r="N699" s="28">
        <v>45839</v>
      </c>
      <c r="O699" s="14" t="s">
        <v>1346</v>
      </c>
    </row>
    <row r="700" spans="1:15" x14ac:dyDescent="0.25">
      <c r="A700" s="5">
        <v>10728</v>
      </c>
      <c r="B700" s="21">
        <v>8599988776654</v>
      </c>
      <c r="C700" s="22" t="s">
        <v>393</v>
      </c>
      <c r="D700" s="22" t="s">
        <v>133</v>
      </c>
      <c r="E700" s="22" t="s">
        <v>17</v>
      </c>
      <c r="F700" s="6">
        <v>16.8</v>
      </c>
      <c r="G700" s="6">
        <v>1</v>
      </c>
      <c r="H700" s="22" t="s">
        <v>14</v>
      </c>
      <c r="I700" s="22" t="s">
        <v>15</v>
      </c>
      <c r="J700" s="23">
        <v>45869</v>
      </c>
      <c r="K700" s="6">
        <v>0</v>
      </c>
      <c r="L700" s="22">
        <v>16.8</v>
      </c>
      <c r="M700" s="22" t="s">
        <v>15</v>
      </c>
      <c r="N700" s="24">
        <v>45839</v>
      </c>
      <c r="O700" s="13" t="s">
        <v>1346</v>
      </c>
    </row>
    <row r="701" spans="1:15" x14ac:dyDescent="0.25">
      <c r="A701" s="7">
        <v>10729</v>
      </c>
      <c r="B701" s="25">
        <v>4013456789017</v>
      </c>
      <c r="C701" s="26" t="s">
        <v>11</v>
      </c>
      <c r="D701" s="26" t="s">
        <v>12</v>
      </c>
      <c r="E701" s="26" t="s">
        <v>13</v>
      </c>
      <c r="F701" s="8">
        <v>6</v>
      </c>
      <c r="G701" s="8">
        <v>1</v>
      </c>
      <c r="H701" s="26" t="s">
        <v>14</v>
      </c>
      <c r="I701" s="26" t="s">
        <v>15</v>
      </c>
      <c r="J701" s="27">
        <v>45869</v>
      </c>
      <c r="K701" s="8">
        <v>0</v>
      </c>
      <c r="L701" s="26">
        <v>6</v>
      </c>
      <c r="M701" s="26" t="s">
        <v>15</v>
      </c>
      <c r="N701" s="28">
        <v>45839</v>
      </c>
      <c r="O701" s="14" t="s">
        <v>1346</v>
      </c>
    </row>
    <row r="702" spans="1:15" x14ac:dyDescent="0.25">
      <c r="A702" s="5">
        <v>10730</v>
      </c>
      <c r="B702" s="21">
        <v>8599988776654</v>
      </c>
      <c r="C702" s="22" t="s">
        <v>393</v>
      </c>
      <c r="D702" s="22" t="s">
        <v>133</v>
      </c>
      <c r="E702" s="22" t="s">
        <v>17</v>
      </c>
      <c r="F702" s="6">
        <v>16.8</v>
      </c>
      <c r="G702" s="6">
        <v>2</v>
      </c>
      <c r="H702" s="22" t="s">
        <v>14</v>
      </c>
      <c r="I702" s="22" t="s">
        <v>15</v>
      </c>
      <c r="J702" s="23">
        <v>45869</v>
      </c>
      <c r="K702" s="6">
        <v>0</v>
      </c>
      <c r="L702" s="22">
        <v>33.6</v>
      </c>
      <c r="M702" s="22" t="s">
        <v>15</v>
      </c>
      <c r="N702" s="24">
        <v>45839</v>
      </c>
      <c r="O702" s="13" t="s">
        <v>1346</v>
      </c>
    </row>
    <row r="703" spans="1:15" x14ac:dyDescent="0.25">
      <c r="A703" s="7">
        <v>10731</v>
      </c>
      <c r="B703" s="25">
        <v>4017890123450</v>
      </c>
      <c r="C703" s="26" t="s">
        <v>65</v>
      </c>
      <c r="D703" s="26" t="s">
        <v>39</v>
      </c>
      <c r="E703" s="26" t="s">
        <v>22</v>
      </c>
      <c r="F703" s="8">
        <v>7.6</v>
      </c>
      <c r="G703" s="8">
        <v>1</v>
      </c>
      <c r="H703" s="26" t="s">
        <v>18</v>
      </c>
      <c r="I703" s="26" t="s">
        <v>567</v>
      </c>
      <c r="J703" s="27">
        <v>45869</v>
      </c>
      <c r="K703" s="8">
        <v>0</v>
      </c>
      <c r="L703" s="26">
        <v>7.6</v>
      </c>
      <c r="M703" s="26">
        <v>4</v>
      </c>
      <c r="N703" s="28">
        <v>45839</v>
      </c>
      <c r="O703" s="14" t="s">
        <v>1346</v>
      </c>
    </row>
    <row r="704" spans="1:15" x14ac:dyDescent="0.25">
      <c r="A704" s="5">
        <v>10732</v>
      </c>
      <c r="B704" s="21">
        <v>4010123456783</v>
      </c>
      <c r="C704" s="22" t="s">
        <v>35</v>
      </c>
      <c r="D704" s="22" t="s">
        <v>36</v>
      </c>
      <c r="E704" s="22" t="s">
        <v>37</v>
      </c>
      <c r="F704" s="6">
        <v>14</v>
      </c>
      <c r="G704" s="6">
        <v>1</v>
      </c>
      <c r="H704" s="22" t="s">
        <v>23</v>
      </c>
      <c r="I704" s="22" t="s">
        <v>568</v>
      </c>
      <c r="J704" s="23">
        <v>45869</v>
      </c>
      <c r="K704" s="6">
        <v>0</v>
      </c>
      <c r="L704" s="22">
        <v>14</v>
      </c>
      <c r="M704" s="22">
        <v>5</v>
      </c>
      <c r="N704" s="24">
        <v>45839</v>
      </c>
      <c r="O704" s="13" t="s">
        <v>1345</v>
      </c>
    </row>
    <row r="705" spans="1:15" x14ac:dyDescent="0.25">
      <c r="A705" s="7">
        <v>10733</v>
      </c>
      <c r="B705" s="25">
        <v>8599988776654</v>
      </c>
      <c r="C705" s="26" t="s">
        <v>393</v>
      </c>
      <c r="D705" s="26" t="s">
        <v>133</v>
      </c>
      <c r="E705" s="26" t="s">
        <v>17</v>
      </c>
      <c r="F705" s="8">
        <v>16.8</v>
      </c>
      <c r="G705" s="8">
        <v>1</v>
      </c>
      <c r="H705" s="26" t="s">
        <v>14</v>
      </c>
      <c r="I705" s="26" t="s">
        <v>15</v>
      </c>
      <c r="J705" s="27">
        <v>45869</v>
      </c>
      <c r="K705" s="8">
        <v>0</v>
      </c>
      <c r="L705" s="26">
        <v>16.8</v>
      </c>
      <c r="M705" s="26" t="s">
        <v>15</v>
      </c>
      <c r="N705" s="28">
        <v>45839</v>
      </c>
      <c r="O705" s="14" t="s">
        <v>1346</v>
      </c>
    </row>
    <row r="706" spans="1:15" x14ac:dyDescent="0.25">
      <c r="A706" s="5">
        <v>10734</v>
      </c>
      <c r="B706" s="21">
        <v>4028899001126</v>
      </c>
      <c r="C706" s="22" t="s">
        <v>16</v>
      </c>
      <c r="D706" s="22" t="s">
        <v>12</v>
      </c>
      <c r="E706" s="22" t="s">
        <v>17</v>
      </c>
      <c r="F706" s="6">
        <v>2.8</v>
      </c>
      <c r="G706" s="6">
        <v>2</v>
      </c>
      <c r="H706" s="22" t="s">
        <v>14</v>
      </c>
      <c r="I706" s="22" t="s">
        <v>15</v>
      </c>
      <c r="J706" s="23">
        <v>45869</v>
      </c>
      <c r="K706" s="6">
        <v>0</v>
      </c>
      <c r="L706" s="22">
        <v>5.6</v>
      </c>
      <c r="M706" s="22" t="s">
        <v>15</v>
      </c>
      <c r="N706" s="24">
        <v>45839</v>
      </c>
      <c r="O706" s="13" t="s">
        <v>1346</v>
      </c>
    </row>
    <row r="707" spans="1:15" x14ac:dyDescent="0.25">
      <c r="A707" s="7">
        <v>10735</v>
      </c>
      <c r="B707" s="25">
        <v>4013456789017</v>
      </c>
      <c r="C707" s="26" t="s">
        <v>11</v>
      </c>
      <c r="D707" s="26" t="s">
        <v>12</v>
      </c>
      <c r="E707" s="26" t="s">
        <v>13</v>
      </c>
      <c r="F707" s="8">
        <v>6</v>
      </c>
      <c r="G707" s="8">
        <v>1</v>
      </c>
      <c r="H707" s="26" t="s">
        <v>23</v>
      </c>
      <c r="I707" s="26" t="s">
        <v>569</v>
      </c>
      <c r="J707" s="27">
        <v>45869</v>
      </c>
      <c r="K707" s="8">
        <v>0</v>
      </c>
      <c r="L707" s="26">
        <v>6</v>
      </c>
      <c r="M707" s="26">
        <v>5</v>
      </c>
      <c r="N707" s="28">
        <v>45839</v>
      </c>
      <c r="O707" s="14" t="s">
        <v>1346</v>
      </c>
    </row>
    <row r="708" spans="1:15" x14ac:dyDescent="0.25">
      <c r="A708" s="5">
        <v>10736</v>
      </c>
      <c r="B708" s="21">
        <v>8599988776654</v>
      </c>
      <c r="C708" s="22" t="s">
        <v>393</v>
      </c>
      <c r="D708" s="22" t="s">
        <v>133</v>
      </c>
      <c r="E708" s="22" t="s">
        <v>17</v>
      </c>
      <c r="F708" s="6">
        <v>16.8</v>
      </c>
      <c r="G708" s="6">
        <v>1</v>
      </c>
      <c r="H708" s="22" t="s">
        <v>14</v>
      </c>
      <c r="I708" s="22" t="s">
        <v>15</v>
      </c>
      <c r="J708" s="23">
        <v>45869</v>
      </c>
      <c r="K708" s="6">
        <v>0</v>
      </c>
      <c r="L708" s="22">
        <v>16.8</v>
      </c>
      <c r="M708" s="22" t="s">
        <v>15</v>
      </c>
      <c r="N708" s="24">
        <v>45839</v>
      </c>
      <c r="O708" s="13" t="s">
        <v>1346</v>
      </c>
    </row>
    <row r="709" spans="1:15" x14ac:dyDescent="0.25">
      <c r="A709" s="7">
        <v>10737</v>
      </c>
      <c r="B709" s="25">
        <v>4027788990013</v>
      </c>
      <c r="C709" s="26" t="s">
        <v>43</v>
      </c>
      <c r="D709" s="26" t="s">
        <v>21</v>
      </c>
      <c r="E709" s="26" t="s">
        <v>22</v>
      </c>
      <c r="F709" s="8">
        <v>8</v>
      </c>
      <c r="G709" s="8">
        <v>1</v>
      </c>
      <c r="H709" s="26" t="s">
        <v>18</v>
      </c>
      <c r="I709" s="26" t="s">
        <v>570</v>
      </c>
      <c r="J709" s="27">
        <v>45869</v>
      </c>
      <c r="K709" s="8">
        <v>0</v>
      </c>
      <c r="L709" s="26">
        <v>8</v>
      </c>
      <c r="M709" s="26">
        <v>4</v>
      </c>
      <c r="N709" s="28">
        <v>45839</v>
      </c>
      <c r="O709" s="14" t="s">
        <v>1346</v>
      </c>
    </row>
    <row r="710" spans="1:15" x14ac:dyDescent="0.25">
      <c r="A710" s="5">
        <v>10738</v>
      </c>
      <c r="B710" s="21">
        <v>4010123456783</v>
      </c>
      <c r="C710" s="22" t="s">
        <v>35</v>
      </c>
      <c r="D710" s="22" t="s">
        <v>36</v>
      </c>
      <c r="E710" s="22" t="s">
        <v>37</v>
      </c>
      <c r="F710" s="6">
        <v>14</v>
      </c>
      <c r="G710" s="6">
        <v>1</v>
      </c>
      <c r="H710" s="22" t="s">
        <v>14</v>
      </c>
      <c r="I710" s="22" t="s">
        <v>15</v>
      </c>
      <c r="J710" s="23">
        <v>45869</v>
      </c>
      <c r="K710" s="6">
        <v>0</v>
      </c>
      <c r="L710" s="22">
        <v>14</v>
      </c>
      <c r="M710" s="22" t="s">
        <v>15</v>
      </c>
      <c r="N710" s="24">
        <v>45839</v>
      </c>
      <c r="O710" s="13" t="s">
        <v>1345</v>
      </c>
    </row>
    <row r="711" spans="1:15" x14ac:dyDescent="0.25">
      <c r="A711" s="7">
        <v>10739</v>
      </c>
      <c r="B711" s="25">
        <v>8599988776654</v>
      </c>
      <c r="C711" s="26" t="s">
        <v>393</v>
      </c>
      <c r="D711" s="26" t="s">
        <v>133</v>
      </c>
      <c r="E711" s="26" t="s">
        <v>17</v>
      </c>
      <c r="F711" s="8">
        <v>16.8</v>
      </c>
      <c r="G711" s="8">
        <v>2</v>
      </c>
      <c r="H711" s="26" t="s">
        <v>23</v>
      </c>
      <c r="I711" s="26" t="s">
        <v>571</v>
      </c>
      <c r="J711" s="27">
        <v>45869</v>
      </c>
      <c r="K711" s="8">
        <v>0</v>
      </c>
      <c r="L711" s="26">
        <v>33.6</v>
      </c>
      <c r="M711" s="26">
        <v>5</v>
      </c>
      <c r="N711" s="28">
        <v>45839</v>
      </c>
      <c r="O711" s="14" t="s">
        <v>1346</v>
      </c>
    </row>
    <row r="712" spans="1:15" x14ac:dyDescent="0.25">
      <c r="A712" s="5">
        <v>10740</v>
      </c>
      <c r="B712" s="21">
        <v>4063456789014</v>
      </c>
      <c r="C712" s="22" t="s">
        <v>60</v>
      </c>
      <c r="D712" s="22" t="s">
        <v>12</v>
      </c>
      <c r="E712" s="22" t="s">
        <v>61</v>
      </c>
      <c r="F712" s="6">
        <v>36</v>
      </c>
      <c r="G712" s="6">
        <v>1</v>
      </c>
      <c r="H712" s="22" t="s">
        <v>14</v>
      </c>
      <c r="I712" s="22" t="s">
        <v>15</v>
      </c>
      <c r="J712" s="23">
        <v>45869</v>
      </c>
      <c r="K712" s="6">
        <v>0</v>
      </c>
      <c r="L712" s="22">
        <v>36</v>
      </c>
      <c r="M712" s="22" t="s">
        <v>15</v>
      </c>
      <c r="N712" s="24">
        <v>45839</v>
      </c>
      <c r="O712" s="13" t="s">
        <v>1346</v>
      </c>
    </row>
    <row r="713" spans="1:15" x14ac:dyDescent="0.25">
      <c r="A713" s="7">
        <v>10741</v>
      </c>
      <c r="B713" s="25">
        <v>8599988776654</v>
      </c>
      <c r="C713" s="26" t="s">
        <v>393</v>
      </c>
      <c r="D713" s="26" t="s">
        <v>133</v>
      </c>
      <c r="E713" s="26" t="s">
        <v>17</v>
      </c>
      <c r="F713" s="8">
        <v>16.8</v>
      </c>
      <c r="G713" s="8">
        <v>1</v>
      </c>
      <c r="H713" s="26" t="s">
        <v>14</v>
      </c>
      <c r="I713" s="26" t="s">
        <v>15</v>
      </c>
      <c r="J713" s="27">
        <v>45869</v>
      </c>
      <c r="K713" s="8">
        <v>0</v>
      </c>
      <c r="L713" s="26">
        <v>16.8</v>
      </c>
      <c r="M713" s="26" t="s">
        <v>15</v>
      </c>
      <c r="N713" s="28">
        <v>45839</v>
      </c>
      <c r="O713" s="14" t="s">
        <v>1346</v>
      </c>
    </row>
    <row r="714" spans="1:15" x14ac:dyDescent="0.25">
      <c r="A714" s="5">
        <v>10742</v>
      </c>
      <c r="B714" s="21">
        <v>4017890123450</v>
      </c>
      <c r="C714" s="22" t="s">
        <v>65</v>
      </c>
      <c r="D714" s="22" t="s">
        <v>39</v>
      </c>
      <c r="E714" s="22" t="s">
        <v>22</v>
      </c>
      <c r="F714" s="6">
        <v>7.6</v>
      </c>
      <c r="G714" s="6">
        <v>1</v>
      </c>
      <c r="H714" s="22" t="s">
        <v>23</v>
      </c>
      <c r="I714" s="22" t="s">
        <v>572</v>
      </c>
      <c r="J714" s="23">
        <v>45869</v>
      </c>
      <c r="K714" s="6">
        <v>0</v>
      </c>
      <c r="L714" s="22">
        <v>7.6</v>
      </c>
      <c r="M714" s="22">
        <v>5</v>
      </c>
      <c r="N714" s="24">
        <v>45839</v>
      </c>
      <c r="O714" s="13" t="s">
        <v>1346</v>
      </c>
    </row>
    <row r="715" spans="1:15" x14ac:dyDescent="0.25">
      <c r="A715" s="7">
        <v>10743</v>
      </c>
      <c r="B715" s="25">
        <v>8599988776654</v>
      </c>
      <c r="C715" s="26" t="s">
        <v>393</v>
      </c>
      <c r="D715" s="26" t="s">
        <v>133</v>
      </c>
      <c r="E715" s="26" t="s">
        <v>17</v>
      </c>
      <c r="F715" s="8">
        <v>16.8</v>
      </c>
      <c r="G715" s="8">
        <v>2</v>
      </c>
      <c r="H715" s="26" t="s">
        <v>14</v>
      </c>
      <c r="I715" s="26" t="s">
        <v>15</v>
      </c>
      <c r="J715" s="27">
        <v>45869</v>
      </c>
      <c r="K715" s="8">
        <v>0</v>
      </c>
      <c r="L715" s="26">
        <v>33.6</v>
      </c>
      <c r="M715" s="26" t="s">
        <v>15</v>
      </c>
      <c r="N715" s="28">
        <v>45839</v>
      </c>
      <c r="O715" s="14" t="s">
        <v>1346</v>
      </c>
    </row>
    <row r="716" spans="1:15" x14ac:dyDescent="0.25">
      <c r="A716" s="5">
        <v>10744</v>
      </c>
      <c r="B716" s="21">
        <v>4056789012345</v>
      </c>
      <c r="C716" s="22" t="s">
        <v>47</v>
      </c>
      <c r="D716" s="22" t="s">
        <v>29</v>
      </c>
      <c r="E716" s="22" t="s">
        <v>37</v>
      </c>
      <c r="F716" s="6">
        <v>2.4</v>
      </c>
      <c r="G716" s="6">
        <v>2</v>
      </c>
      <c r="H716" s="22" t="s">
        <v>14</v>
      </c>
      <c r="I716" s="22" t="s">
        <v>15</v>
      </c>
      <c r="J716" s="23">
        <v>45869</v>
      </c>
      <c r="K716" s="6">
        <v>0</v>
      </c>
      <c r="L716" s="22">
        <v>4.8</v>
      </c>
      <c r="M716" s="22" t="s">
        <v>15</v>
      </c>
      <c r="N716" s="24">
        <v>45839</v>
      </c>
      <c r="O716" s="13" t="s">
        <v>1345</v>
      </c>
    </row>
    <row r="717" spans="1:15" x14ac:dyDescent="0.25">
      <c r="A717" s="7">
        <v>10745</v>
      </c>
      <c r="B717" s="25">
        <v>8599988776654</v>
      </c>
      <c r="C717" s="26" t="s">
        <v>393</v>
      </c>
      <c r="D717" s="26" t="s">
        <v>133</v>
      </c>
      <c r="E717" s="26" t="s">
        <v>17</v>
      </c>
      <c r="F717" s="8">
        <v>16.8</v>
      </c>
      <c r="G717" s="8">
        <v>1</v>
      </c>
      <c r="H717" s="26" t="s">
        <v>14</v>
      </c>
      <c r="I717" s="26" t="s">
        <v>15</v>
      </c>
      <c r="J717" s="27">
        <v>45869</v>
      </c>
      <c r="K717" s="8">
        <v>0</v>
      </c>
      <c r="L717" s="26">
        <v>16.8</v>
      </c>
      <c r="M717" s="26" t="s">
        <v>15</v>
      </c>
      <c r="N717" s="28">
        <v>45839</v>
      </c>
      <c r="O717" s="14" t="s">
        <v>1346</v>
      </c>
    </row>
    <row r="718" spans="1:15" x14ac:dyDescent="0.25">
      <c r="A718" s="5">
        <v>10746</v>
      </c>
      <c r="B718" s="21">
        <v>4013456789017</v>
      </c>
      <c r="C718" s="22" t="s">
        <v>11</v>
      </c>
      <c r="D718" s="22" t="s">
        <v>12</v>
      </c>
      <c r="E718" s="22" t="s">
        <v>13</v>
      </c>
      <c r="F718" s="6">
        <v>6</v>
      </c>
      <c r="G718" s="6">
        <v>1</v>
      </c>
      <c r="H718" s="22" t="s">
        <v>18</v>
      </c>
      <c r="I718" s="22" t="s">
        <v>573</v>
      </c>
      <c r="J718" s="23">
        <v>45869</v>
      </c>
      <c r="K718" s="6">
        <v>0</v>
      </c>
      <c r="L718" s="22">
        <v>6</v>
      </c>
      <c r="M718" s="22">
        <v>4</v>
      </c>
      <c r="N718" s="24">
        <v>45839</v>
      </c>
      <c r="O718" s="13" t="s">
        <v>1346</v>
      </c>
    </row>
    <row r="719" spans="1:15" x14ac:dyDescent="0.25">
      <c r="A719" s="7">
        <v>10747</v>
      </c>
      <c r="B719" s="25">
        <v>8599988776654</v>
      </c>
      <c r="C719" s="26" t="s">
        <v>393</v>
      </c>
      <c r="D719" s="26" t="s">
        <v>133</v>
      </c>
      <c r="E719" s="26" t="s">
        <v>17</v>
      </c>
      <c r="F719" s="8">
        <v>16.8</v>
      </c>
      <c r="G719" s="8">
        <v>1</v>
      </c>
      <c r="H719" s="26" t="s">
        <v>14</v>
      </c>
      <c r="I719" s="26" t="s">
        <v>15</v>
      </c>
      <c r="J719" s="27">
        <v>45869</v>
      </c>
      <c r="K719" s="8">
        <v>0</v>
      </c>
      <c r="L719" s="26">
        <v>16.8</v>
      </c>
      <c r="M719" s="26" t="s">
        <v>15</v>
      </c>
      <c r="N719" s="28">
        <v>45839</v>
      </c>
      <c r="O719" s="14" t="s">
        <v>1346</v>
      </c>
    </row>
    <row r="720" spans="1:15" x14ac:dyDescent="0.25">
      <c r="A720" s="5">
        <v>10748</v>
      </c>
      <c r="B720" s="21">
        <v>4010123456783</v>
      </c>
      <c r="C720" s="22" t="s">
        <v>35</v>
      </c>
      <c r="D720" s="22" t="s">
        <v>36</v>
      </c>
      <c r="E720" s="22" t="s">
        <v>37</v>
      </c>
      <c r="F720" s="6">
        <v>14</v>
      </c>
      <c r="G720" s="6">
        <v>1</v>
      </c>
      <c r="H720" s="22" t="s">
        <v>14</v>
      </c>
      <c r="I720" s="22" t="s">
        <v>15</v>
      </c>
      <c r="J720" s="23">
        <v>45869</v>
      </c>
      <c r="K720" s="6">
        <v>0</v>
      </c>
      <c r="L720" s="22">
        <v>14</v>
      </c>
      <c r="M720" s="22" t="s">
        <v>15</v>
      </c>
      <c r="N720" s="24">
        <v>45839</v>
      </c>
      <c r="O720" s="13" t="s">
        <v>1345</v>
      </c>
    </row>
    <row r="721" spans="1:15" x14ac:dyDescent="0.25">
      <c r="A721" s="7">
        <v>10749</v>
      </c>
      <c r="B721" s="25">
        <v>4028899001126</v>
      </c>
      <c r="C721" s="26" t="s">
        <v>16</v>
      </c>
      <c r="D721" s="26" t="s">
        <v>12</v>
      </c>
      <c r="E721" s="26" t="s">
        <v>17</v>
      </c>
      <c r="F721" s="8">
        <v>2.8</v>
      </c>
      <c r="G721" s="8">
        <v>3</v>
      </c>
      <c r="H721" s="26" t="s">
        <v>23</v>
      </c>
      <c r="I721" s="26" t="s">
        <v>190</v>
      </c>
      <c r="J721" s="27">
        <v>45869</v>
      </c>
      <c r="K721" s="8">
        <v>0</v>
      </c>
      <c r="L721" s="26">
        <v>8.3999999999999986</v>
      </c>
      <c r="M721" s="26">
        <v>5</v>
      </c>
      <c r="N721" s="28">
        <v>45839</v>
      </c>
      <c r="O721" s="14" t="s">
        <v>1346</v>
      </c>
    </row>
    <row r="722" spans="1:15" x14ac:dyDescent="0.25">
      <c r="A722" s="5">
        <v>10750</v>
      </c>
      <c r="B722" s="21">
        <v>8599988776654</v>
      </c>
      <c r="C722" s="22" t="s">
        <v>393</v>
      </c>
      <c r="D722" s="22" t="s">
        <v>133</v>
      </c>
      <c r="E722" s="22" t="s">
        <v>17</v>
      </c>
      <c r="F722" s="6">
        <v>16.8</v>
      </c>
      <c r="G722" s="6">
        <v>1</v>
      </c>
      <c r="H722" s="22" t="s">
        <v>14</v>
      </c>
      <c r="I722" s="22" t="s">
        <v>15</v>
      </c>
      <c r="J722" s="23">
        <v>45869</v>
      </c>
      <c r="K722" s="6">
        <v>0</v>
      </c>
      <c r="L722" s="22">
        <v>16.8</v>
      </c>
      <c r="M722" s="22" t="s">
        <v>15</v>
      </c>
      <c r="N722" s="24">
        <v>45839</v>
      </c>
      <c r="O722" s="13" t="s">
        <v>1346</v>
      </c>
    </row>
    <row r="723" spans="1:15" x14ac:dyDescent="0.25">
      <c r="A723" s="7">
        <v>10751</v>
      </c>
      <c r="B723" s="25">
        <v>4063456789014</v>
      </c>
      <c r="C723" s="26" t="s">
        <v>60</v>
      </c>
      <c r="D723" s="26" t="s">
        <v>12</v>
      </c>
      <c r="E723" s="26" t="s">
        <v>61</v>
      </c>
      <c r="F723" s="8">
        <v>36</v>
      </c>
      <c r="G723" s="8">
        <v>1</v>
      </c>
      <c r="H723" s="26" t="s">
        <v>14</v>
      </c>
      <c r="I723" s="26" t="s">
        <v>15</v>
      </c>
      <c r="J723" s="27">
        <v>45869</v>
      </c>
      <c r="K723" s="8">
        <v>0</v>
      </c>
      <c r="L723" s="26">
        <v>36</v>
      </c>
      <c r="M723" s="26" t="s">
        <v>15</v>
      </c>
      <c r="N723" s="28">
        <v>45839</v>
      </c>
      <c r="O723" s="14" t="s">
        <v>1346</v>
      </c>
    </row>
    <row r="724" spans="1:15" x14ac:dyDescent="0.25">
      <c r="A724" s="5">
        <v>10752</v>
      </c>
      <c r="B724" s="21">
        <v>8599988776654</v>
      </c>
      <c r="C724" s="22" t="s">
        <v>393</v>
      </c>
      <c r="D724" s="22" t="s">
        <v>133</v>
      </c>
      <c r="E724" s="22" t="s">
        <v>17</v>
      </c>
      <c r="F724" s="6">
        <v>16.8</v>
      </c>
      <c r="G724" s="6">
        <v>2</v>
      </c>
      <c r="H724" s="22" t="s">
        <v>18</v>
      </c>
      <c r="I724" s="22" t="s">
        <v>574</v>
      </c>
      <c r="J724" s="23">
        <v>45869</v>
      </c>
      <c r="K724" s="6">
        <v>0</v>
      </c>
      <c r="L724" s="22">
        <v>33.6</v>
      </c>
      <c r="M724" s="22">
        <v>4</v>
      </c>
      <c r="N724" s="24">
        <v>45839</v>
      </c>
      <c r="O724" s="13" t="s">
        <v>1346</v>
      </c>
    </row>
    <row r="725" spans="1:15" x14ac:dyDescent="0.25">
      <c r="A725" s="7">
        <v>10753</v>
      </c>
      <c r="B725" s="25">
        <v>4021234567894</v>
      </c>
      <c r="C725" s="26" t="s">
        <v>79</v>
      </c>
      <c r="D725" s="26" t="s">
        <v>36</v>
      </c>
      <c r="E725" s="26" t="s">
        <v>69</v>
      </c>
      <c r="F725" s="8">
        <v>8</v>
      </c>
      <c r="G725" s="8">
        <v>1</v>
      </c>
      <c r="H725" s="26" t="s">
        <v>23</v>
      </c>
      <c r="I725" s="26" t="s">
        <v>575</v>
      </c>
      <c r="J725" s="27">
        <v>45869</v>
      </c>
      <c r="K725" s="8">
        <v>0</v>
      </c>
      <c r="L725" s="26">
        <v>8</v>
      </c>
      <c r="M725" s="26">
        <v>5</v>
      </c>
      <c r="N725" s="28">
        <v>45839</v>
      </c>
      <c r="O725" s="14" t="s">
        <v>1345</v>
      </c>
    </row>
    <row r="726" spans="1:15" x14ac:dyDescent="0.25">
      <c r="A726" s="5">
        <v>10754</v>
      </c>
      <c r="B726" s="21">
        <v>8599988776654</v>
      </c>
      <c r="C726" s="22" t="s">
        <v>393</v>
      </c>
      <c r="D726" s="22" t="s">
        <v>133</v>
      </c>
      <c r="E726" s="22" t="s">
        <v>17</v>
      </c>
      <c r="F726" s="6">
        <v>16.8</v>
      </c>
      <c r="G726" s="6">
        <v>1</v>
      </c>
      <c r="H726" s="22" t="s">
        <v>14</v>
      </c>
      <c r="I726" s="22" t="s">
        <v>15</v>
      </c>
      <c r="J726" s="23">
        <v>45869</v>
      </c>
      <c r="K726" s="6">
        <v>0</v>
      </c>
      <c r="L726" s="22">
        <v>16.8</v>
      </c>
      <c r="M726" s="22" t="s">
        <v>15</v>
      </c>
      <c r="N726" s="24">
        <v>45839</v>
      </c>
      <c r="O726" s="13" t="s">
        <v>1346</v>
      </c>
    </row>
    <row r="727" spans="1:15" x14ac:dyDescent="0.25">
      <c r="A727" s="7">
        <v>10755</v>
      </c>
      <c r="B727" s="25">
        <v>4017890123450</v>
      </c>
      <c r="C727" s="26" t="s">
        <v>65</v>
      </c>
      <c r="D727" s="26" t="s">
        <v>39</v>
      </c>
      <c r="E727" s="26" t="s">
        <v>22</v>
      </c>
      <c r="F727" s="8">
        <v>7.6</v>
      </c>
      <c r="G727" s="8">
        <v>1</v>
      </c>
      <c r="H727" s="26" t="s">
        <v>14</v>
      </c>
      <c r="I727" s="26" t="s">
        <v>15</v>
      </c>
      <c r="J727" s="27">
        <v>45869</v>
      </c>
      <c r="K727" s="8">
        <v>0</v>
      </c>
      <c r="L727" s="26">
        <v>7.6</v>
      </c>
      <c r="M727" s="26" t="s">
        <v>15</v>
      </c>
      <c r="N727" s="28">
        <v>45839</v>
      </c>
      <c r="O727" s="14" t="s">
        <v>1346</v>
      </c>
    </row>
    <row r="728" spans="1:15" x14ac:dyDescent="0.25">
      <c r="A728" s="5">
        <v>10756</v>
      </c>
      <c r="B728" s="21">
        <v>8599988776654</v>
      </c>
      <c r="C728" s="22" t="s">
        <v>393</v>
      </c>
      <c r="D728" s="22" t="s">
        <v>133</v>
      </c>
      <c r="E728" s="22" t="s">
        <v>17</v>
      </c>
      <c r="F728" s="6">
        <v>16.8</v>
      </c>
      <c r="G728" s="6">
        <v>2</v>
      </c>
      <c r="H728" s="22" t="s">
        <v>14</v>
      </c>
      <c r="I728" s="22" t="s">
        <v>15</v>
      </c>
      <c r="J728" s="23">
        <v>45869</v>
      </c>
      <c r="K728" s="6">
        <v>0</v>
      </c>
      <c r="L728" s="22">
        <v>33.6</v>
      </c>
      <c r="M728" s="22" t="s">
        <v>15</v>
      </c>
      <c r="N728" s="24">
        <v>45839</v>
      </c>
      <c r="O728" s="13" t="s">
        <v>1346</v>
      </c>
    </row>
    <row r="729" spans="1:15" x14ac:dyDescent="0.25">
      <c r="A729" s="7">
        <v>10757</v>
      </c>
      <c r="B729" s="25">
        <v>4010123456783</v>
      </c>
      <c r="C729" s="26" t="s">
        <v>35</v>
      </c>
      <c r="D729" s="26" t="s">
        <v>36</v>
      </c>
      <c r="E729" s="26" t="s">
        <v>37</v>
      </c>
      <c r="F729" s="8">
        <v>14</v>
      </c>
      <c r="G729" s="8">
        <v>1</v>
      </c>
      <c r="H729" s="26" t="s">
        <v>23</v>
      </c>
      <c r="I729" s="26" t="s">
        <v>576</v>
      </c>
      <c r="J729" s="27">
        <v>45869</v>
      </c>
      <c r="K729" s="8">
        <v>0</v>
      </c>
      <c r="L729" s="26">
        <v>14</v>
      </c>
      <c r="M729" s="26">
        <v>5</v>
      </c>
      <c r="N729" s="28">
        <v>45839</v>
      </c>
      <c r="O729" s="14" t="s">
        <v>1345</v>
      </c>
    </row>
    <row r="730" spans="1:15" x14ac:dyDescent="0.25">
      <c r="A730" s="5">
        <v>10758</v>
      </c>
      <c r="B730" s="21">
        <v>8599988776654</v>
      </c>
      <c r="C730" s="22" t="s">
        <v>393</v>
      </c>
      <c r="D730" s="22" t="s">
        <v>133</v>
      </c>
      <c r="E730" s="22" t="s">
        <v>17</v>
      </c>
      <c r="F730" s="6">
        <v>16.8</v>
      </c>
      <c r="G730" s="6">
        <v>1</v>
      </c>
      <c r="H730" s="22" t="s">
        <v>14</v>
      </c>
      <c r="I730" s="22" t="s">
        <v>15</v>
      </c>
      <c r="J730" s="23">
        <v>45869</v>
      </c>
      <c r="K730" s="6">
        <v>0</v>
      </c>
      <c r="L730" s="22">
        <v>16.8</v>
      </c>
      <c r="M730" s="22" t="s">
        <v>15</v>
      </c>
      <c r="N730" s="24">
        <v>45839</v>
      </c>
      <c r="O730" s="13" t="s">
        <v>1346</v>
      </c>
    </row>
    <row r="731" spans="1:15" x14ac:dyDescent="0.25">
      <c r="A731" s="7">
        <v>10759</v>
      </c>
      <c r="B731" s="25">
        <v>4013456789017</v>
      </c>
      <c r="C731" s="26" t="s">
        <v>11</v>
      </c>
      <c r="D731" s="26" t="s">
        <v>12</v>
      </c>
      <c r="E731" s="26" t="s">
        <v>13</v>
      </c>
      <c r="F731" s="8">
        <v>6</v>
      </c>
      <c r="G731" s="8">
        <v>1</v>
      </c>
      <c r="H731" s="26" t="s">
        <v>18</v>
      </c>
      <c r="I731" s="26" t="s">
        <v>577</v>
      </c>
      <c r="J731" s="27">
        <v>45869</v>
      </c>
      <c r="K731" s="8">
        <v>0</v>
      </c>
      <c r="L731" s="26">
        <v>6</v>
      </c>
      <c r="M731" s="26">
        <v>4</v>
      </c>
      <c r="N731" s="28">
        <v>45839</v>
      </c>
      <c r="O731" s="14" t="s">
        <v>1346</v>
      </c>
    </row>
    <row r="732" spans="1:15" x14ac:dyDescent="0.25">
      <c r="A732" s="5">
        <v>10760</v>
      </c>
      <c r="B732" s="21">
        <v>8599988776654</v>
      </c>
      <c r="C732" s="22" t="s">
        <v>393</v>
      </c>
      <c r="D732" s="22" t="s">
        <v>133</v>
      </c>
      <c r="E732" s="22" t="s">
        <v>17</v>
      </c>
      <c r="F732" s="6">
        <v>16.8</v>
      </c>
      <c r="G732" s="6">
        <v>1</v>
      </c>
      <c r="H732" s="22" t="s">
        <v>14</v>
      </c>
      <c r="I732" s="22" t="s">
        <v>15</v>
      </c>
      <c r="J732" s="23">
        <v>45869</v>
      </c>
      <c r="K732" s="6">
        <v>0</v>
      </c>
      <c r="L732" s="22">
        <v>16.8</v>
      </c>
      <c r="M732" s="22" t="s">
        <v>15</v>
      </c>
      <c r="N732" s="24">
        <v>45839</v>
      </c>
      <c r="O732" s="13" t="s">
        <v>1346</v>
      </c>
    </row>
    <row r="733" spans="1:15" x14ac:dyDescent="0.25">
      <c r="A733" s="7">
        <v>10761</v>
      </c>
      <c r="B733" s="25">
        <v>4056789012345</v>
      </c>
      <c r="C733" s="26" t="s">
        <v>47</v>
      </c>
      <c r="D733" s="26" t="s">
        <v>29</v>
      </c>
      <c r="E733" s="26" t="s">
        <v>37</v>
      </c>
      <c r="F733" s="8">
        <v>2.4</v>
      </c>
      <c r="G733" s="8">
        <v>2</v>
      </c>
      <c r="H733" s="26" t="s">
        <v>14</v>
      </c>
      <c r="I733" s="26" t="s">
        <v>15</v>
      </c>
      <c r="J733" s="27">
        <v>45869</v>
      </c>
      <c r="K733" s="8">
        <v>0</v>
      </c>
      <c r="L733" s="26">
        <v>4.8</v>
      </c>
      <c r="M733" s="26" t="s">
        <v>15</v>
      </c>
      <c r="N733" s="28">
        <v>45839</v>
      </c>
      <c r="O733" s="14" t="s">
        <v>1345</v>
      </c>
    </row>
    <row r="734" spans="1:15" x14ac:dyDescent="0.25">
      <c r="A734" s="5">
        <v>10762</v>
      </c>
      <c r="B734" s="21">
        <v>8599988776654</v>
      </c>
      <c r="C734" s="22" t="s">
        <v>393</v>
      </c>
      <c r="D734" s="22" t="s">
        <v>133</v>
      </c>
      <c r="E734" s="22" t="s">
        <v>17</v>
      </c>
      <c r="F734" s="6">
        <v>16.8</v>
      </c>
      <c r="G734" s="6">
        <v>1</v>
      </c>
      <c r="H734" s="22" t="s">
        <v>14</v>
      </c>
      <c r="I734" s="22" t="s">
        <v>15</v>
      </c>
      <c r="J734" s="23">
        <v>45869</v>
      </c>
      <c r="K734" s="6">
        <v>0</v>
      </c>
      <c r="L734" s="22">
        <v>16.8</v>
      </c>
      <c r="M734" s="22" t="s">
        <v>15</v>
      </c>
      <c r="N734" s="24">
        <v>45839</v>
      </c>
      <c r="O734" s="13" t="s">
        <v>1346</v>
      </c>
    </row>
    <row r="735" spans="1:15" x14ac:dyDescent="0.25">
      <c r="A735" s="7">
        <v>10763</v>
      </c>
      <c r="B735" s="25">
        <v>4063456789014</v>
      </c>
      <c r="C735" s="26" t="s">
        <v>60</v>
      </c>
      <c r="D735" s="26" t="s">
        <v>12</v>
      </c>
      <c r="E735" s="26" t="s">
        <v>61</v>
      </c>
      <c r="F735" s="8">
        <v>36</v>
      </c>
      <c r="G735" s="8">
        <v>1</v>
      </c>
      <c r="H735" s="26" t="s">
        <v>23</v>
      </c>
      <c r="I735" s="26" t="s">
        <v>578</v>
      </c>
      <c r="J735" s="27">
        <v>45869</v>
      </c>
      <c r="K735" s="8">
        <v>0</v>
      </c>
      <c r="L735" s="26">
        <v>36</v>
      </c>
      <c r="M735" s="26">
        <v>5</v>
      </c>
      <c r="N735" s="28">
        <v>45839</v>
      </c>
      <c r="O735" s="14" t="s">
        <v>1346</v>
      </c>
    </row>
    <row r="736" spans="1:15" x14ac:dyDescent="0.25">
      <c r="A736" s="5">
        <v>10764</v>
      </c>
      <c r="B736" s="21">
        <v>8599988776654</v>
      </c>
      <c r="C736" s="22" t="s">
        <v>393</v>
      </c>
      <c r="D736" s="22" t="s">
        <v>133</v>
      </c>
      <c r="E736" s="22" t="s">
        <v>17</v>
      </c>
      <c r="F736" s="6">
        <v>16.8</v>
      </c>
      <c r="G736" s="6">
        <v>2</v>
      </c>
      <c r="H736" s="22" t="s">
        <v>14</v>
      </c>
      <c r="I736" s="22" t="s">
        <v>15</v>
      </c>
      <c r="J736" s="23">
        <v>45869</v>
      </c>
      <c r="K736" s="6">
        <v>0</v>
      </c>
      <c r="L736" s="22">
        <v>33.6</v>
      </c>
      <c r="M736" s="22" t="s">
        <v>15</v>
      </c>
      <c r="N736" s="24">
        <v>45839</v>
      </c>
      <c r="O736" s="13" t="s">
        <v>1346</v>
      </c>
    </row>
    <row r="737" spans="1:15" x14ac:dyDescent="0.25">
      <c r="A737" s="7">
        <v>10765</v>
      </c>
      <c r="B737" s="25">
        <v>4028899001126</v>
      </c>
      <c r="C737" s="26" t="s">
        <v>16</v>
      </c>
      <c r="D737" s="26" t="s">
        <v>12</v>
      </c>
      <c r="E737" s="26" t="s">
        <v>17</v>
      </c>
      <c r="F737" s="8">
        <v>2.8</v>
      </c>
      <c r="G737" s="8">
        <v>3</v>
      </c>
      <c r="H737" s="26" t="s">
        <v>14</v>
      </c>
      <c r="I737" s="26" t="s">
        <v>15</v>
      </c>
      <c r="J737" s="27">
        <v>45869</v>
      </c>
      <c r="K737" s="8">
        <v>0</v>
      </c>
      <c r="L737" s="26">
        <v>8.3999999999999986</v>
      </c>
      <c r="M737" s="26" t="s">
        <v>15</v>
      </c>
      <c r="N737" s="28">
        <v>45839</v>
      </c>
      <c r="O737" s="14" t="s">
        <v>1346</v>
      </c>
    </row>
    <row r="738" spans="1:15" x14ac:dyDescent="0.25">
      <c r="A738" s="5">
        <v>10766</v>
      </c>
      <c r="B738" s="21">
        <v>4010123456783</v>
      </c>
      <c r="C738" s="22" t="s">
        <v>35</v>
      </c>
      <c r="D738" s="22" t="s">
        <v>36</v>
      </c>
      <c r="E738" s="22" t="s">
        <v>37</v>
      </c>
      <c r="F738" s="6">
        <v>14</v>
      </c>
      <c r="G738" s="6">
        <v>1</v>
      </c>
      <c r="H738" s="22" t="s">
        <v>14</v>
      </c>
      <c r="I738" s="22" t="s">
        <v>15</v>
      </c>
      <c r="J738" s="23">
        <v>45869</v>
      </c>
      <c r="K738" s="6">
        <v>0</v>
      </c>
      <c r="L738" s="22">
        <v>14</v>
      </c>
      <c r="M738" s="22" t="s">
        <v>15</v>
      </c>
      <c r="N738" s="24">
        <v>45839</v>
      </c>
      <c r="O738" s="13" t="s">
        <v>1345</v>
      </c>
    </row>
    <row r="739" spans="1:15" x14ac:dyDescent="0.25">
      <c r="A739" s="7">
        <v>10767</v>
      </c>
      <c r="B739" s="25">
        <v>8599988776654</v>
      </c>
      <c r="C739" s="26" t="s">
        <v>393</v>
      </c>
      <c r="D739" s="26" t="s">
        <v>133</v>
      </c>
      <c r="E739" s="26" t="s">
        <v>17</v>
      </c>
      <c r="F739" s="8">
        <v>16.8</v>
      </c>
      <c r="G739" s="8">
        <v>1</v>
      </c>
      <c r="H739" s="26" t="s">
        <v>23</v>
      </c>
      <c r="I739" s="26" t="s">
        <v>579</v>
      </c>
      <c r="J739" s="27">
        <v>45869</v>
      </c>
      <c r="K739" s="8">
        <v>0</v>
      </c>
      <c r="L739" s="26">
        <v>16.8</v>
      </c>
      <c r="M739" s="26">
        <v>5</v>
      </c>
      <c r="N739" s="28">
        <v>45839</v>
      </c>
      <c r="O739" s="14" t="s">
        <v>1346</v>
      </c>
    </row>
    <row r="740" spans="1:15" x14ac:dyDescent="0.25">
      <c r="A740" s="5">
        <v>10768</v>
      </c>
      <c r="B740" s="21">
        <v>4017890123450</v>
      </c>
      <c r="C740" s="22" t="s">
        <v>65</v>
      </c>
      <c r="D740" s="22" t="s">
        <v>39</v>
      </c>
      <c r="E740" s="22" t="s">
        <v>22</v>
      </c>
      <c r="F740" s="6">
        <v>7.6</v>
      </c>
      <c r="G740" s="6">
        <v>1</v>
      </c>
      <c r="H740" s="22" t="s">
        <v>14</v>
      </c>
      <c r="I740" s="22" t="s">
        <v>15</v>
      </c>
      <c r="J740" s="23">
        <v>45869</v>
      </c>
      <c r="K740" s="6">
        <v>0</v>
      </c>
      <c r="L740" s="22">
        <v>7.6</v>
      </c>
      <c r="M740" s="22" t="s">
        <v>15</v>
      </c>
      <c r="N740" s="24">
        <v>45839</v>
      </c>
      <c r="O740" s="13" t="s">
        <v>1346</v>
      </c>
    </row>
    <row r="741" spans="1:15" x14ac:dyDescent="0.25">
      <c r="A741" s="7">
        <v>10769</v>
      </c>
      <c r="B741" s="25">
        <v>8599988776654</v>
      </c>
      <c r="C741" s="26" t="s">
        <v>393</v>
      </c>
      <c r="D741" s="26" t="s">
        <v>133</v>
      </c>
      <c r="E741" s="26" t="s">
        <v>17</v>
      </c>
      <c r="F741" s="8">
        <v>16.8</v>
      </c>
      <c r="G741" s="8">
        <v>2</v>
      </c>
      <c r="H741" s="26" t="s">
        <v>14</v>
      </c>
      <c r="I741" s="26" t="s">
        <v>15</v>
      </c>
      <c r="J741" s="27">
        <v>45869</v>
      </c>
      <c r="K741" s="8">
        <v>0</v>
      </c>
      <c r="L741" s="26">
        <v>33.6</v>
      </c>
      <c r="M741" s="26" t="s">
        <v>15</v>
      </c>
      <c r="N741" s="28">
        <v>45839</v>
      </c>
      <c r="O741" s="14" t="s">
        <v>1346</v>
      </c>
    </row>
    <row r="742" spans="1:15" x14ac:dyDescent="0.25">
      <c r="A742" s="5">
        <v>10770</v>
      </c>
      <c r="B742" s="21">
        <v>4013456789017</v>
      </c>
      <c r="C742" s="22" t="s">
        <v>11</v>
      </c>
      <c r="D742" s="22" t="s">
        <v>12</v>
      </c>
      <c r="E742" s="22" t="s">
        <v>13</v>
      </c>
      <c r="F742" s="6">
        <v>6</v>
      </c>
      <c r="G742" s="6">
        <v>1</v>
      </c>
      <c r="H742" s="22" t="s">
        <v>23</v>
      </c>
      <c r="I742" s="22" t="s">
        <v>580</v>
      </c>
      <c r="J742" s="23">
        <v>45869</v>
      </c>
      <c r="K742" s="6">
        <v>0</v>
      </c>
      <c r="L742" s="22">
        <v>6</v>
      </c>
      <c r="M742" s="22">
        <v>5</v>
      </c>
      <c r="N742" s="24">
        <v>45839</v>
      </c>
      <c r="O742" s="13" t="s">
        <v>1346</v>
      </c>
    </row>
    <row r="743" spans="1:15" x14ac:dyDescent="0.25">
      <c r="A743" s="7">
        <v>10771</v>
      </c>
      <c r="B743" s="25">
        <v>8599988776654</v>
      </c>
      <c r="C743" s="26" t="s">
        <v>393</v>
      </c>
      <c r="D743" s="26" t="s">
        <v>133</v>
      </c>
      <c r="E743" s="26" t="s">
        <v>17</v>
      </c>
      <c r="F743" s="8">
        <v>16.8</v>
      </c>
      <c r="G743" s="8">
        <v>1</v>
      </c>
      <c r="H743" s="26" t="s">
        <v>14</v>
      </c>
      <c r="I743" s="26" t="s">
        <v>15</v>
      </c>
      <c r="J743" s="27">
        <v>45869</v>
      </c>
      <c r="K743" s="8">
        <v>0</v>
      </c>
      <c r="L743" s="26">
        <v>16.8</v>
      </c>
      <c r="M743" s="26" t="s">
        <v>15</v>
      </c>
      <c r="N743" s="28">
        <v>45839</v>
      </c>
      <c r="O743" s="14" t="s">
        <v>1346</v>
      </c>
    </row>
    <row r="744" spans="1:15" x14ac:dyDescent="0.25">
      <c r="A744" s="5">
        <v>10772</v>
      </c>
      <c r="B744" s="21">
        <v>4056789012345</v>
      </c>
      <c r="C744" s="22" t="s">
        <v>47</v>
      </c>
      <c r="D744" s="22" t="s">
        <v>29</v>
      </c>
      <c r="E744" s="22" t="s">
        <v>37</v>
      </c>
      <c r="F744" s="6">
        <v>2.4</v>
      </c>
      <c r="G744" s="6">
        <v>2</v>
      </c>
      <c r="H744" s="22" t="s">
        <v>14</v>
      </c>
      <c r="I744" s="22" t="s">
        <v>15</v>
      </c>
      <c r="J744" s="23">
        <v>45869</v>
      </c>
      <c r="K744" s="6">
        <v>0</v>
      </c>
      <c r="L744" s="22">
        <v>4.8</v>
      </c>
      <c r="M744" s="22" t="s">
        <v>15</v>
      </c>
      <c r="N744" s="24">
        <v>45839</v>
      </c>
      <c r="O744" s="13" t="s">
        <v>1345</v>
      </c>
    </row>
    <row r="745" spans="1:15" x14ac:dyDescent="0.25">
      <c r="A745" s="7">
        <v>10773</v>
      </c>
      <c r="B745" s="25">
        <v>8599988776654</v>
      </c>
      <c r="C745" s="26" t="s">
        <v>393</v>
      </c>
      <c r="D745" s="26" t="s">
        <v>133</v>
      </c>
      <c r="E745" s="26" t="s">
        <v>17</v>
      </c>
      <c r="F745" s="8">
        <v>16.8</v>
      </c>
      <c r="G745" s="8">
        <v>1</v>
      </c>
      <c r="H745" s="26" t="s">
        <v>14</v>
      </c>
      <c r="I745" s="26" t="s">
        <v>15</v>
      </c>
      <c r="J745" s="27">
        <v>45869</v>
      </c>
      <c r="K745" s="8">
        <v>0</v>
      </c>
      <c r="L745" s="26">
        <v>16.8</v>
      </c>
      <c r="M745" s="26" t="s">
        <v>15</v>
      </c>
      <c r="N745" s="28">
        <v>45839</v>
      </c>
      <c r="O745" s="14" t="s">
        <v>1346</v>
      </c>
    </row>
    <row r="746" spans="1:15" x14ac:dyDescent="0.25">
      <c r="A746" s="5">
        <v>10774</v>
      </c>
      <c r="B746" s="21">
        <v>4027788990013</v>
      </c>
      <c r="C746" s="22" t="s">
        <v>43</v>
      </c>
      <c r="D746" s="22" t="s">
        <v>21</v>
      </c>
      <c r="E746" s="22" t="s">
        <v>22</v>
      </c>
      <c r="F746" s="6">
        <v>8</v>
      </c>
      <c r="G746" s="6">
        <v>1</v>
      </c>
      <c r="H746" s="22" t="s">
        <v>18</v>
      </c>
      <c r="I746" s="22" t="s">
        <v>581</v>
      </c>
      <c r="J746" s="23">
        <v>45869</v>
      </c>
      <c r="K746" s="6">
        <v>0</v>
      </c>
      <c r="L746" s="22">
        <v>8</v>
      </c>
      <c r="M746" s="22">
        <v>4</v>
      </c>
      <c r="N746" s="24">
        <v>45839</v>
      </c>
      <c r="O746" s="13" t="s">
        <v>1346</v>
      </c>
    </row>
    <row r="747" spans="1:15" x14ac:dyDescent="0.25">
      <c r="A747" s="7">
        <v>10775</v>
      </c>
      <c r="B747" s="25">
        <v>8599988776654</v>
      </c>
      <c r="C747" s="26" t="s">
        <v>393</v>
      </c>
      <c r="D747" s="26" t="s">
        <v>133</v>
      </c>
      <c r="E747" s="26" t="s">
        <v>17</v>
      </c>
      <c r="F747" s="8">
        <v>16.8</v>
      </c>
      <c r="G747" s="8">
        <v>2</v>
      </c>
      <c r="H747" s="26" t="s">
        <v>14</v>
      </c>
      <c r="I747" s="26" t="s">
        <v>15</v>
      </c>
      <c r="J747" s="27">
        <v>45869</v>
      </c>
      <c r="K747" s="8">
        <v>0</v>
      </c>
      <c r="L747" s="26">
        <v>33.6</v>
      </c>
      <c r="M747" s="26" t="s">
        <v>15</v>
      </c>
      <c r="N747" s="28">
        <v>45839</v>
      </c>
      <c r="O747" s="14" t="s">
        <v>1346</v>
      </c>
    </row>
    <row r="748" spans="1:15" x14ac:dyDescent="0.25">
      <c r="A748" s="5">
        <v>10776</v>
      </c>
      <c r="B748" s="21">
        <v>4017890123450</v>
      </c>
      <c r="C748" s="22" t="s">
        <v>65</v>
      </c>
      <c r="D748" s="22" t="s">
        <v>39</v>
      </c>
      <c r="E748" s="22" t="s">
        <v>22</v>
      </c>
      <c r="F748" s="6">
        <v>7.6</v>
      </c>
      <c r="G748" s="6">
        <v>1</v>
      </c>
      <c r="H748" s="22" t="s">
        <v>14</v>
      </c>
      <c r="I748" s="22" t="s">
        <v>15</v>
      </c>
      <c r="J748" s="23">
        <v>45869</v>
      </c>
      <c r="K748" s="6">
        <v>0</v>
      </c>
      <c r="L748" s="22">
        <v>7.6</v>
      </c>
      <c r="M748" s="22" t="s">
        <v>15</v>
      </c>
      <c r="N748" s="24">
        <v>45839</v>
      </c>
      <c r="O748" s="13" t="s">
        <v>1346</v>
      </c>
    </row>
    <row r="749" spans="1:15" x14ac:dyDescent="0.25">
      <c r="A749" s="7">
        <v>10777</v>
      </c>
      <c r="B749" s="25">
        <v>8599988776654</v>
      </c>
      <c r="C749" s="26" t="s">
        <v>393</v>
      </c>
      <c r="D749" s="26" t="s">
        <v>133</v>
      </c>
      <c r="E749" s="26" t="s">
        <v>17</v>
      </c>
      <c r="F749" s="8">
        <v>16.8</v>
      </c>
      <c r="G749" s="8">
        <v>1</v>
      </c>
      <c r="H749" s="26" t="s">
        <v>14</v>
      </c>
      <c r="I749" s="26" t="s">
        <v>15</v>
      </c>
      <c r="J749" s="27">
        <v>45869</v>
      </c>
      <c r="K749" s="8">
        <v>0</v>
      </c>
      <c r="L749" s="26">
        <v>16.8</v>
      </c>
      <c r="M749" s="26" t="s">
        <v>15</v>
      </c>
      <c r="N749" s="28">
        <v>45839</v>
      </c>
      <c r="O749" s="14" t="s">
        <v>1346</v>
      </c>
    </row>
    <row r="750" spans="1:15" x14ac:dyDescent="0.25">
      <c r="A750" s="5">
        <v>10778</v>
      </c>
      <c r="B750" s="21">
        <v>4010123456783</v>
      </c>
      <c r="C750" s="22" t="s">
        <v>35</v>
      </c>
      <c r="D750" s="22" t="s">
        <v>36</v>
      </c>
      <c r="E750" s="22" t="s">
        <v>37</v>
      </c>
      <c r="F750" s="6">
        <v>14</v>
      </c>
      <c r="G750" s="6">
        <v>1</v>
      </c>
      <c r="H750" s="22" t="s">
        <v>23</v>
      </c>
      <c r="I750" s="22" t="s">
        <v>582</v>
      </c>
      <c r="J750" s="23">
        <v>45869</v>
      </c>
      <c r="K750" s="6">
        <v>0</v>
      </c>
      <c r="L750" s="22">
        <v>14</v>
      </c>
      <c r="M750" s="22">
        <v>5</v>
      </c>
      <c r="N750" s="24">
        <v>45839</v>
      </c>
      <c r="O750" s="13" t="s">
        <v>1345</v>
      </c>
    </row>
    <row r="751" spans="1:15" x14ac:dyDescent="0.25">
      <c r="A751" s="7">
        <v>10779</v>
      </c>
      <c r="B751" s="25">
        <v>8599988776654</v>
      </c>
      <c r="C751" s="26" t="s">
        <v>393</v>
      </c>
      <c r="D751" s="26" t="s">
        <v>133</v>
      </c>
      <c r="E751" s="26" t="s">
        <v>17</v>
      </c>
      <c r="F751" s="8">
        <v>16.8</v>
      </c>
      <c r="G751" s="8">
        <v>1</v>
      </c>
      <c r="H751" s="26" t="s">
        <v>14</v>
      </c>
      <c r="I751" s="26" t="s">
        <v>15</v>
      </c>
      <c r="J751" s="27">
        <v>45869</v>
      </c>
      <c r="K751" s="8">
        <v>0</v>
      </c>
      <c r="L751" s="26">
        <v>16.8</v>
      </c>
      <c r="M751" s="26" t="s">
        <v>15</v>
      </c>
      <c r="N751" s="28">
        <v>45839</v>
      </c>
      <c r="O751" s="14" t="s">
        <v>1346</v>
      </c>
    </row>
    <row r="752" spans="1:15" x14ac:dyDescent="0.25">
      <c r="A752" s="5">
        <v>10780</v>
      </c>
      <c r="B752" s="21">
        <v>4028899001126</v>
      </c>
      <c r="C752" s="22" t="s">
        <v>16</v>
      </c>
      <c r="D752" s="22" t="s">
        <v>12</v>
      </c>
      <c r="E752" s="22" t="s">
        <v>17</v>
      </c>
      <c r="F752" s="6">
        <v>2.8</v>
      </c>
      <c r="G752" s="6">
        <v>2</v>
      </c>
      <c r="H752" s="22" t="s">
        <v>14</v>
      </c>
      <c r="I752" s="22" t="s">
        <v>15</v>
      </c>
      <c r="J752" s="23">
        <v>45869</v>
      </c>
      <c r="K752" s="6">
        <v>0</v>
      </c>
      <c r="L752" s="22">
        <v>5.6</v>
      </c>
      <c r="M752" s="22" t="s">
        <v>15</v>
      </c>
      <c r="N752" s="24">
        <v>45839</v>
      </c>
      <c r="O752" s="13" t="s">
        <v>1346</v>
      </c>
    </row>
    <row r="753" spans="1:15" x14ac:dyDescent="0.25">
      <c r="A753" s="7">
        <v>10781</v>
      </c>
      <c r="B753" s="25">
        <v>8599988776654</v>
      </c>
      <c r="C753" s="26" t="s">
        <v>393</v>
      </c>
      <c r="D753" s="26" t="s">
        <v>133</v>
      </c>
      <c r="E753" s="26" t="s">
        <v>17</v>
      </c>
      <c r="F753" s="8">
        <v>16.8</v>
      </c>
      <c r="G753" s="8">
        <v>1</v>
      </c>
      <c r="H753" s="26" t="s">
        <v>23</v>
      </c>
      <c r="I753" s="26" t="s">
        <v>583</v>
      </c>
      <c r="J753" s="27">
        <v>45869</v>
      </c>
      <c r="K753" s="8">
        <v>0</v>
      </c>
      <c r="L753" s="26">
        <v>16.8</v>
      </c>
      <c r="M753" s="26">
        <v>5</v>
      </c>
      <c r="N753" s="28">
        <v>45839</v>
      </c>
      <c r="O753" s="14" t="s">
        <v>1346</v>
      </c>
    </row>
    <row r="754" spans="1:15" x14ac:dyDescent="0.25">
      <c r="A754" s="5">
        <v>10782</v>
      </c>
      <c r="B754" s="21">
        <v>4013456789017</v>
      </c>
      <c r="C754" s="22" t="s">
        <v>11</v>
      </c>
      <c r="D754" s="22" t="s">
        <v>12</v>
      </c>
      <c r="E754" s="22" t="s">
        <v>13</v>
      </c>
      <c r="F754" s="6">
        <v>6</v>
      </c>
      <c r="G754" s="6">
        <v>1</v>
      </c>
      <c r="H754" s="22" t="s">
        <v>14</v>
      </c>
      <c r="I754" s="22" t="s">
        <v>15</v>
      </c>
      <c r="J754" s="23">
        <v>45869</v>
      </c>
      <c r="K754" s="6">
        <v>0</v>
      </c>
      <c r="L754" s="22">
        <v>6</v>
      </c>
      <c r="M754" s="22" t="s">
        <v>15</v>
      </c>
      <c r="N754" s="24">
        <v>45839</v>
      </c>
      <c r="O754" s="13" t="s">
        <v>1346</v>
      </c>
    </row>
    <row r="755" spans="1:15" x14ac:dyDescent="0.25">
      <c r="A755" s="7">
        <v>10783</v>
      </c>
      <c r="B755" s="25">
        <v>8599988776654</v>
      </c>
      <c r="C755" s="26" t="s">
        <v>393</v>
      </c>
      <c r="D755" s="26" t="s">
        <v>133</v>
      </c>
      <c r="E755" s="26" t="s">
        <v>17</v>
      </c>
      <c r="F755" s="8">
        <v>16.8</v>
      </c>
      <c r="G755" s="8">
        <v>1</v>
      </c>
      <c r="H755" s="26" t="s">
        <v>14</v>
      </c>
      <c r="I755" s="26" t="s">
        <v>15</v>
      </c>
      <c r="J755" s="27">
        <v>45869</v>
      </c>
      <c r="K755" s="8">
        <v>0</v>
      </c>
      <c r="L755" s="26">
        <v>16.8</v>
      </c>
      <c r="M755" s="26" t="s">
        <v>15</v>
      </c>
      <c r="N755" s="28">
        <v>45839</v>
      </c>
      <c r="O755" s="14" t="s">
        <v>1346</v>
      </c>
    </row>
    <row r="756" spans="1:15" x14ac:dyDescent="0.25">
      <c r="A756" s="5">
        <v>10784</v>
      </c>
      <c r="B756" s="21">
        <v>4010123456783</v>
      </c>
      <c r="C756" s="22" t="s">
        <v>35</v>
      </c>
      <c r="D756" s="22" t="s">
        <v>36</v>
      </c>
      <c r="E756" s="22" t="s">
        <v>37</v>
      </c>
      <c r="F756" s="6">
        <v>14</v>
      </c>
      <c r="G756" s="6">
        <v>1</v>
      </c>
      <c r="H756" s="22" t="s">
        <v>14</v>
      </c>
      <c r="I756" s="22" t="s">
        <v>15</v>
      </c>
      <c r="J756" s="23">
        <v>45869</v>
      </c>
      <c r="K756" s="6">
        <v>0</v>
      </c>
      <c r="L756" s="22">
        <v>14</v>
      </c>
      <c r="M756" s="22" t="s">
        <v>15</v>
      </c>
      <c r="N756" s="24">
        <v>45839</v>
      </c>
      <c r="O756" s="13" t="s">
        <v>1345</v>
      </c>
    </row>
    <row r="757" spans="1:15" x14ac:dyDescent="0.25">
      <c r="A757" s="7">
        <v>10785</v>
      </c>
      <c r="B757" s="25">
        <v>8599988776654</v>
      </c>
      <c r="C757" s="26" t="s">
        <v>393</v>
      </c>
      <c r="D757" s="26" t="s">
        <v>133</v>
      </c>
      <c r="E757" s="26" t="s">
        <v>17</v>
      </c>
      <c r="F757" s="8">
        <v>16.8</v>
      </c>
      <c r="G757" s="8">
        <v>1</v>
      </c>
      <c r="H757" s="26" t="s">
        <v>14</v>
      </c>
      <c r="I757" s="26" t="s">
        <v>15</v>
      </c>
      <c r="J757" s="27">
        <v>45869</v>
      </c>
      <c r="K757" s="8">
        <v>0</v>
      </c>
      <c r="L757" s="26">
        <v>16.8</v>
      </c>
      <c r="M757" s="26" t="s">
        <v>15</v>
      </c>
      <c r="N757" s="28">
        <v>45839</v>
      </c>
      <c r="O757" s="14" t="s">
        <v>1346</v>
      </c>
    </row>
    <row r="758" spans="1:15" x14ac:dyDescent="0.25">
      <c r="A758" s="5">
        <v>10786</v>
      </c>
      <c r="B758" s="21">
        <v>4063456789014</v>
      </c>
      <c r="C758" s="22" t="s">
        <v>60</v>
      </c>
      <c r="D758" s="22" t="s">
        <v>12</v>
      </c>
      <c r="E758" s="22" t="s">
        <v>61</v>
      </c>
      <c r="F758" s="6">
        <v>36</v>
      </c>
      <c r="G758" s="6">
        <v>1</v>
      </c>
      <c r="H758" s="22" t="s">
        <v>18</v>
      </c>
      <c r="I758" s="22" t="s">
        <v>584</v>
      </c>
      <c r="J758" s="23">
        <v>45869</v>
      </c>
      <c r="K758" s="6">
        <v>0</v>
      </c>
      <c r="L758" s="22">
        <v>36</v>
      </c>
      <c r="M758" s="22">
        <v>4</v>
      </c>
      <c r="N758" s="24">
        <v>45839</v>
      </c>
      <c r="O758" s="13" t="s">
        <v>1346</v>
      </c>
    </row>
    <row r="759" spans="1:15" x14ac:dyDescent="0.25">
      <c r="A759" s="7">
        <v>10787</v>
      </c>
      <c r="B759" s="25">
        <v>8599988776654</v>
      </c>
      <c r="C759" s="26" t="s">
        <v>393</v>
      </c>
      <c r="D759" s="26" t="s">
        <v>133</v>
      </c>
      <c r="E759" s="26" t="s">
        <v>17</v>
      </c>
      <c r="F759" s="8">
        <v>16.8</v>
      </c>
      <c r="G759" s="8">
        <v>1</v>
      </c>
      <c r="H759" s="26" t="s">
        <v>14</v>
      </c>
      <c r="I759" s="26" t="s">
        <v>15</v>
      </c>
      <c r="J759" s="27">
        <v>45869</v>
      </c>
      <c r="K759" s="8">
        <v>0</v>
      </c>
      <c r="L759" s="26">
        <v>16.8</v>
      </c>
      <c r="M759" s="26" t="s">
        <v>15</v>
      </c>
      <c r="N759" s="28">
        <v>45839</v>
      </c>
      <c r="O759" s="14" t="s">
        <v>1346</v>
      </c>
    </row>
    <row r="760" spans="1:15" x14ac:dyDescent="0.25">
      <c r="A760" s="5">
        <v>10788</v>
      </c>
      <c r="B760" s="21">
        <v>4017890123450</v>
      </c>
      <c r="C760" s="22" t="s">
        <v>65</v>
      </c>
      <c r="D760" s="22" t="s">
        <v>39</v>
      </c>
      <c r="E760" s="22" t="s">
        <v>22</v>
      </c>
      <c r="F760" s="6">
        <v>7.6</v>
      </c>
      <c r="G760" s="6">
        <v>1</v>
      </c>
      <c r="H760" s="22" t="s">
        <v>18</v>
      </c>
      <c r="I760" s="22" t="s">
        <v>585</v>
      </c>
      <c r="J760" s="23">
        <v>45869</v>
      </c>
      <c r="K760" s="6">
        <v>0</v>
      </c>
      <c r="L760" s="22">
        <v>7.6</v>
      </c>
      <c r="M760" s="22">
        <v>4</v>
      </c>
      <c r="N760" s="24">
        <v>45839</v>
      </c>
      <c r="O760" s="13" t="s">
        <v>1346</v>
      </c>
    </row>
    <row r="761" spans="1:15" x14ac:dyDescent="0.25">
      <c r="A761" s="7">
        <v>10789</v>
      </c>
      <c r="B761" s="25">
        <v>8599988776654</v>
      </c>
      <c r="C761" s="26" t="s">
        <v>393</v>
      </c>
      <c r="D761" s="26" t="s">
        <v>133</v>
      </c>
      <c r="E761" s="26" t="s">
        <v>17</v>
      </c>
      <c r="F761" s="8">
        <v>16.8</v>
      </c>
      <c r="G761" s="8">
        <v>1</v>
      </c>
      <c r="H761" s="26" t="s">
        <v>14</v>
      </c>
      <c r="I761" s="26" t="s">
        <v>15</v>
      </c>
      <c r="J761" s="27">
        <v>45869</v>
      </c>
      <c r="K761" s="8">
        <v>0</v>
      </c>
      <c r="L761" s="26">
        <v>16.8</v>
      </c>
      <c r="M761" s="26" t="s">
        <v>15</v>
      </c>
      <c r="N761" s="28">
        <v>45839</v>
      </c>
      <c r="O761" s="14" t="s">
        <v>1346</v>
      </c>
    </row>
    <row r="762" spans="1:15" x14ac:dyDescent="0.25">
      <c r="A762" s="5">
        <v>10790</v>
      </c>
      <c r="B762" s="21">
        <v>4013456789017</v>
      </c>
      <c r="C762" s="22" t="s">
        <v>11</v>
      </c>
      <c r="D762" s="22" t="s">
        <v>12</v>
      </c>
      <c r="E762" s="22" t="s">
        <v>13</v>
      </c>
      <c r="F762" s="6">
        <v>6</v>
      </c>
      <c r="G762" s="6">
        <v>1</v>
      </c>
      <c r="H762" s="22" t="s">
        <v>23</v>
      </c>
      <c r="I762" s="22" t="s">
        <v>586</v>
      </c>
      <c r="J762" s="23">
        <v>45869</v>
      </c>
      <c r="K762" s="6">
        <v>0</v>
      </c>
      <c r="L762" s="22">
        <v>6</v>
      </c>
      <c r="M762" s="22">
        <v>5</v>
      </c>
      <c r="N762" s="24">
        <v>45839</v>
      </c>
      <c r="O762" s="13" t="s">
        <v>1346</v>
      </c>
    </row>
    <row r="763" spans="1:15" x14ac:dyDescent="0.25">
      <c r="A763" s="7">
        <v>10791</v>
      </c>
      <c r="B763" s="25">
        <v>8599988776654</v>
      </c>
      <c r="C763" s="26" t="s">
        <v>393</v>
      </c>
      <c r="D763" s="26" t="s">
        <v>133</v>
      </c>
      <c r="E763" s="26" t="s">
        <v>17</v>
      </c>
      <c r="F763" s="8">
        <v>16.8</v>
      </c>
      <c r="G763" s="8">
        <v>2</v>
      </c>
      <c r="H763" s="26" t="s">
        <v>14</v>
      </c>
      <c r="I763" s="26" t="s">
        <v>15</v>
      </c>
      <c r="J763" s="27">
        <v>45869</v>
      </c>
      <c r="K763" s="8">
        <v>0</v>
      </c>
      <c r="L763" s="26">
        <v>33.6</v>
      </c>
      <c r="M763" s="26" t="s">
        <v>15</v>
      </c>
      <c r="N763" s="28">
        <v>45839</v>
      </c>
      <c r="O763" s="14" t="s">
        <v>1346</v>
      </c>
    </row>
    <row r="764" spans="1:15" x14ac:dyDescent="0.25">
      <c r="A764" s="5">
        <v>10792</v>
      </c>
      <c r="B764" s="21">
        <v>4056789012345</v>
      </c>
      <c r="C764" s="22" t="s">
        <v>47</v>
      </c>
      <c r="D764" s="22" t="s">
        <v>29</v>
      </c>
      <c r="E764" s="22" t="s">
        <v>37</v>
      </c>
      <c r="F764" s="6">
        <v>2.4</v>
      </c>
      <c r="G764" s="6">
        <v>2</v>
      </c>
      <c r="H764" s="22" t="s">
        <v>14</v>
      </c>
      <c r="I764" s="22" t="s">
        <v>15</v>
      </c>
      <c r="J764" s="23">
        <v>45869</v>
      </c>
      <c r="K764" s="6">
        <v>0</v>
      </c>
      <c r="L764" s="22">
        <v>4.8</v>
      </c>
      <c r="M764" s="22" t="s">
        <v>15</v>
      </c>
      <c r="N764" s="24">
        <v>45839</v>
      </c>
      <c r="O764" s="13" t="s">
        <v>1345</v>
      </c>
    </row>
    <row r="765" spans="1:15" x14ac:dyDescent="0.25">
      <c r="A765" s="7">
        <v>10793</v>
      </c>
      <c r="B765" s="25">
        <v>8599988776654</v>
      </c>
      <c r="C765" s="26" t="s">
        <v>393</v>
      </c>
      <c r="D765" s="26" t="s">
        <v>133</v>
      </c>
      <c r="E765" s="26" t="s">
        <v>17</v>
      </c>
      <c r="F765" s="8">
        <v>16.8</v>
      </c>
      <c r="G765" s="8">
        <v>1</v>
      </c>
      <c r="H765" s="26" t="s">
        <v>14</v>
      </c>
      <c r="I765" s="26" t="s">
        <v>15</v>
      </c>
      <c r="J765" s="27">
        <v>45869</v>
      </c>
      <c r="K765" s="8">
        <v>0</v>
      </c>
      <c r="L765" s="26">
        <v>16.8</v>
      </c>
      <c r="M765" s="26" t="s">
        <v>15</v>
      </c>
      <c r="N765" s="28">
        <v>45839</v>
      </c>
      <c r="O765" s="14" t="s">
        <v>1346</v>
      </c>
    </row>
    <row r="766" spans="1:15" x14ac:dyDescent="0.25">
      <c r="A766" s="5">
        <v>10794</v>
      </c>
      <c r="B766" s="21">
        <v>4021234567894</v>
      </c>
      <c r="C766" s="22" t="s">
        <v>79</v>
      </c>
      <c r="D766" s="22" t="s">
        <v>36</v>
      </c>
      <c r="E766" s="22" t="s">
        <v>69</v>
      </c>
      <c r="F766" s="6">
        <v>8</v>
      </c>
      <c r="G766" s="6">
        <v>1</v>
      </c>
      <c r="H766" s="22" t="s">
        <v>18</v>
      </c>
      <c r="I766" s="22" t="s">
        <v>587</v>
      </c>
      <c r="J766" s="23">
        <v>45869</v>
      </c>
      <c r="K766" s="6">
        <v>0</v>
      </c>
      <c r="L766" s="22">
        <v>8</v>
      </c>
      <c r="M766" s="22">
        <v>4</v>
      </c>
      <c r="N766" s="24">
        <v>45839</v>
      </c>
      <c r="O766" s="13" t="s">
        <v>1345</v>
      </c>
    </row>
    <row r="767" spans="1:15" x14ac:dyDescent="0.25">
      <c r="A767" s="7">
        <v>10795</v>
      </c>
      <c r="B767" s="25">
        <v>8599988776654</v>
      </c>
      <c r="C767" s="26" t="s">
        <v>393</v>
      </c>
      <c r="D767" s="26" t="s">
        <v>133</v>
      </c>
      <c r="E767" s="26" t="s">
        <v>17</v>
      </c>
      <c r="F767" s="8">
        <v>16.8</v>
      </c>
      <c r="G767" s="8">
        <v>1</v>
      </c>
      <c r="H767" s="26" t="s">
        <v>14</v>
      </c>
      <c r="I767" s="26" t="s">
        <v>15</v>
      </c>
      <c r="J767" s="27">
        <v>45869</v>
      </c>
      <c r="K767" s="8">
        <v>0</v>
      </c>
      <c r="L767" s="26">
        <v>16.8</v>
      </c>
      <c r="M767" s="26" t="s">
        <v>15</v>
      </c>
      <c r="N767" s="28">
        <v>45839</v>
      </c>
      <c r="O767" s="14" t="s">
        <v>1346</v>
      </c>
    </row>
    <row r="768" spans="1:15" x14ac:dyDescent="0.25">
      <c r="A768" s="5">
        <v>10796</v>
      </c>
      <c r="B768" s="21">
        <v>4027788990013</v>
      </c>
      <c r="C768" s="22" t="s">
        <v>43</v>
      </c>
      <c r="D768" s="22" t="s">
        <v>21</v>
      </c>
      <c r="E768" s="22" t="s">
        <v>22</v>
      </c>
      <c r="F768" s="6">
        <v>8</v>
      </c>
      <c r="G768" s="6">
        <v>1</v>
      </c>
      <c r="H768" s="22" t="s">
        <v>14</v>
      </c>
      <c r="I768" s="22" t="s">
        <v>15</v>
      </c>
      <c r="J768" s="23">
        <v>45869</v>
      </c>
      <c r="K768" s="6">
        <v>0</v>
      </c>
      <c r="L768" s="22">
        <v>8</v>
      </c>
      <c r="M768" s="22" t="s">
        <v>15</v>
      </c>
      <c r="N768" s="24">
        <v>45839</v>
      </c>
      <c r="O768" s="13" t="s">
        <v>1346</v>
      </c>
    </row>
    <row r="769" spans="1:15" x14ac:dyDescent="0.25">
      <c r="A769" s="7">
        <v>10797</v>
      </c>
      <c r="B769" s="25">
        <v>8599988776654</v>
      </c>
      <c r="C769" s="26" t="s">
        <v>393</v>
      </c>
      <c r="D769" s="26" t="s">
        <v>133</v>
      </c>
      <c r="E769" s="26" t="s">
        <v>17</v>
      </c>
      <c r="F769" s="8">
        <v>16.8</v>
      </c>
      <c r="G769" s="8">
        <v>1</v>
      </c>
      <c r="H769" s="26" t="s">
        <v>14</v>
      </c>
      <c r="I769" s="26" t="s">
        <v>15</v>
      </c>
      <c r="J769" s="27">
        <v>45869</v>
      </c>
      <c r="K769" s="8">
        <v>0</v>
      </c>
      <c r="L769" s="26">
        <v>16.8</v>
      </c>
      <c r="M769" s="26" t="s">
        <v>15</v>
      </c>
      <c r="N769" s="28">
        <v>45839</v>
      </c>
      <c r="O769" s="14" t="s">
        <v>1346</v>
      </c>
    </row>
    <row r="770" spans="1:15" x14ac:dyDescent="0.25">
      <c r="A770" s="5">
        <v>10798</v>
      </c>
      <c r="B770" s="21">
        <v>4010123456783</v>
      </c>
      <c r="C770" s="22" t="s">
        <v>35</v>
      </c>
      <c r="D770" s="22" t="s">
        <v>36</v>
      </c>
      <c r="E770" s="22" t="s">
        <v>37</v>
      </c>
      <c r="F770" s="6">
        <v>14</v>
      </c>
      <c r="G770" s="6">
        <v>1</v>
      </c>
      <c r="H770" s="22" t="s">
        <v>23</v>
      </c>
      <c r="I770" s="22" t="s">
        <v>588</v>
      </c>
      <c r="J770" s="23">
        <v>45869</v>
      </c>
      <c r="K770" s="6">
        <v>0</v>
      </c>
      <c r="L770" s="22">
        <v>14</v>
      </c>
      <c r="M770" s="22">
        <v>5</v>
      </c>
      <c r="N770" s="24">
        <v>45839</v>
      </c>
      <c r="O770" s="13" t="s">
        <v>1345</v>
      </c>
    </row>
    <row r="771" spans="1:15" x14ac:dyDescent="0.25">
      <c r="A771" s="7">
        <v>10799</v>
      </c>
      <c r="B771" s="25">
        <v>8599988776654</v>
      </c>
      <c r="C771" s="26" t="s">
        <v>393</v>
      </c>
      <c r="D771" s="26" t="s">
        <v>133</v>
      </c>
      <c r="E771" s="26" t="s">
        <v>17</v>
      </c>
      <c r="F771" s="8">
        <v>16.8</v>
      </c>
      <c r="G771" s="8">
        <v>1</v>
      </c>
      <c r="H771" s="26" t="s">
        <v>14</v>
      </c>
      <c r="I771" s="26" t="s">
        <v>15</v>
      </c>
      <c r="J771" s="27">
        <v>45869</v>
      </c>
      <c r="K771" s="8">
        <v>0</v>
      </c>
      <c r="L771" s="26">
        <v>16.8</v>
      </c>
      <c r="M771" s="26" t="s">
        <v>15</v>
      </c>
      <c r="N771" s="28">
        <v>45839</v>
      </c>
      <c r="O771" s="14" t="s">
        <v>1346</v>
      </c>
    </row>
    <row r="772" spans="1:15" x14ac:dyDescent="0.25">
      <c r="A772" s="5">
        <v>10800</v>
      </c>
      <c r="B772" s="21">
        <v>4017890123450</v>
      </c>
      <c r="C772" s="22" t="s">
        <v>65</v>
      </c>
      <c r="D772" s="22" t="s">
        <v>39</v>
      </c>
      <c r="E772" s="22" t="s">
        <v>22</v>
      </c>
      <c r="F772" s="6">
        <v>7.6</v>
      </c>
      <c r="G772" s="6">
        <v>1</v>
      </c>
      <c r="H772" s="22" t="s">
        <v>18</v>
      </c>
      <c r="I772" s="22" t="s">
        <v>589</v>
      </c>
      <c r="J772" s="23">
        <v>45869</v>
      </c>
      <c r="K772" s="6">
        <v>0</v>
      </c>
      <c r="L772" s="22">
        <v>7.6</v>
      </c>
      <c r="M772" s="22">
        <v>4</v>
      </c>
      <c r="N772" s="24">
        <v>45839</v>
      </c>
      <c r="O772" s="13" t="s">
        <v>1346</v>
      </c>
    </row>
    <row r="773" spans="1:15" x14ac:dyDescent="0.25">
      <c r="A773" s="7">
        <v>10801</v>
      </c>
      <c r="B773" s="25">
        <v>8599988776654</v>
      </c>
      <c r="C773" s="26" t="s">
        <v>393</v>
      </c>
      <c r="D773" s="26" t="s">
        <v>133</v>
      </c>
      <c r="E773" s="26" t="s">
        <v>17</v>
      </c>
      <c r="F773" s="8">
        <v>16.8</v>
      </c>
      <c r="G773" s="8">
        <v>2</v>
      </c>
      <c r="H773" s="26" t="s">
        <v>14</v>
      </c>
      <c r="I773" s="26" t="s">
        <v>15</v>
      </c>
      <c r="J773" s="27">
        <v>45869</v>
      </c>
      <c r="K773" s="8">
        <v>0</v>
      </c>
      <c r="L773" s="26">
        <v>33.6</v>
      </c>
      <c r="M773" s="26" t="s">
        <v>15</v>
      </c>
      <c r="N773" s="28">
        <v>45839</v>
      </c>
      <c r="O773" s="14" t="s">
        <v>1346</v>
      </c>
    </row>
    <row r="774" spans="1:15" x14ac:dyDescent="0.25">
      <c r="A774" s="5">
        <v>10802</v>
      </c>
      <c r="B774" s="21">
        <v>4063456789014</v>
      </c>
      <c r="C774" s="22" t="s">
        <v>60</v>
      </c>
      <c r="D774" s="22" t="s">
        <v>12</v>
      </c>
      <c r="E774" s="22" t="s">
        <v>61</v>
      </c>
      <c r="F774" s="6">
        <v>36</v>
      </c>
      <c r="G774" s="6">
        <v>1</v>
      </c>
      <c r="H774" s="22" t="s">
        <v>14</v>
      </c>
      <c r="I774" s="22" t="s">
        <v>15</v>
      </c>
      <c r="J774" s="23">
        <v>45869</v>
      </c>
      <c r="K774" s="6">
        <v>0</v>
      </c>
      <c r="L774" s="22">
        <v>36</v>
      </c>
      <c r="M774" s="22" t="s">
        <v>15</v>
      </c>
      <c r="N774" s="24">
        <v>45839</v>
      </c>
      <c r="O774" s="13" t="s">
        <v>1346</v>
      </c>
    </row>
    <row r="775" spans="1:15" x14ac:dyDescent="0.25">
      <c r="A775" s="7">
        <v>10803</v>
      </c>
      <c r="B775" s="25">
        <v>8599988776654</v>
      </c>
      <c r="C775" s="26" t="s">
        <v>393</v>
      </c>
      <c r="D775" s="26" t="s">
        <v>133</v>
      </c>
      <c r="E775" s="26" t="s">
        <v>17</v>
      </c>
      <c r="F775" s="8">
        <v>16.8</v>
      </c>
      <c r="G775" s="8">
        <v>1</v>
      </c>
      <c r="H775" s="26" t="s">
        <v>14</v>
      </c>
      <c r="I775" s="26" t="s">
        <v>15</v>
      </c>
      <c r="J775" s="27">
        <v>45869</v>
      </c>
      <c r="K775" s="8">
        <v>0</v>
      </c>
      <c r="L775" s="26">
        <v>16.8</v>
      </c>
      <c r="M775" s="26" t="s">
        <v>15</v>
      </c>
      <c r="N775" s="28">
        <v>45839</v>
      </c>
      <c r="O775" s="14" t="s">
        <v>1346</v>
      </c>
    </row>
    <row r="776" spans="1:15" x14ac:dyDescent="0.25">
      <c r="A776" s="5">
        <v>10804</v>
      </c>
      <c r="B776" s="21">
        <v>4013456789017</v>
      </c>
      <c r="C776" s="22" t="s">
        <v>11</v>
      </c>
      <c r="D776" s="22" t="s">
        <v>12</v>
      </c>
      <c r="E776" s="22" t="s">
        <v>13</v>
      </c>
      <c r="F776" s="6">
        <v>6</v>
      </c>
      <c r="G776" s="6">
        <v>1</v>
      </c>
      <c r="H776" s="22" t="s">
        <v>23</v>
      </c>
      <c r="I776" s="22" t="s">
        <v>590</v>
      </c>
      <c r="J776" s="23">
        <v>45869</v>
      </c>
      <c r="K776" s="6">
        <v>0</v>
      </c>
      <c r="L776" s="22">
        <v>6</v>
      </c>
      <c r="M776" s="22">
        <v>5</v>
      </c>
      <c r="N776" s="24">
        <v>45839</v>
      </c>
      <c r="O776" s="13" t="s">
        <v>1346</v>
      </c>
    </row>
    <row r="777" spans="1:15" x14ac:dyDescent="0.25">
      <c r="A777" s="7">
        <v>10805</v>
      </c>
      <c r="B777" s="25">
        <v>8599988776654</v>
      </c>
      <c r="C777" s="26" t="s">
        <v>393</v>
      </c>
      <c r="D777" s="26" t="s">
        <v>133</v>
      </c>
      <c r="E777" s="26" t="s">
        <v>17</v>
      </c>
      <c r="F777" s="8">
        <v>16.8</v>
      </c>
      <c r="G777" s="8">
        <v>2</v>
      </c>
      <c r="H777" s="26" t="s">
        <v>14</v>
      </c>
      <c r="I777" s="26" t="s">
        <v>15</v>
      </c>
      <c r="J777" s="27">
        <v>45869</v>
      </c>
      <c r="K777" s="8">
        <v>0</v>
      </c>
      <c r="L777" s="26">
        <v>33.6</v>
      </c>
      <c r="M777" s="26" t="s">
        <v>15</v>
      </c>
      <c r="N777" s="28">
        <v>45839</v>
      </c>
      <c r="O777" s="14" t="s">
        <v>1346</v>
      </c>
    </row>
    <row r="778" spans="1:15" x14ac:dyDescent="0.25">
      <c r="A778" s="5">
        <v>10806</v>
      </c>
      <c r="B778" s="21">
        <v>4017890123450</v>
      </c>
      <c r="C778" s="22" t="s">
        <v>65</v>
      </c>
      <c r="D778" s="22" t="s">
        <v>39</v>
      </c>
      <c r="E778" s="22" t="s">
        <v>22</v>
      </c>
      <c r="F778" s="6">
        <v>7.6</v>
      </c>
      <c r="G778" s="6">
        <v>1</v>
      </c>
      <c r="H778" s="22" t="s">
        <v>18</v>
      </c>
      <c r="I778" s="22" t="s">
        <v>591</v>
      </c>
      <c r="J778" s="23">
        <v>45869</v>
      </c>
      <c r="K778" s="6">
        <v>0</v>
      </c>
      <c r="L778" s="22">
        <v>7.6</v>
      </c>
      <c r="M778" s="22">
        <v>4</v>
      </c>
      <c r="N778" s="24">
        <v>45839</v>
      </c>
      <c r="O778" s="13" t="s">
        <v>1346</v>
      </c>
    </row>
    <row r="779" spans="1:15" x14ac:dyDescent="0.25">
      <c r="A779" s="7">
        <v>10807</v>
      </c>
      <c r="B779" s="25">
        <v>4010123456783</v>
      </c>
      <c r="C779" s="26" t="s">
        <v>35</v>
      </c>
      <c r="D779" s="26" t="s">
        <v>36</v>
      </c>
      <c r="E779" s="26" t="s">
        <v>37</v>
      </c>
      <c r="F779" s="8">
        <v>14</v>
      </c>
      <c r="G779" s="8">
        <v>1</v>
      </c>
      <c r="H779" s="26" t="s">
        <v>23</v>
      </c>
      <c r="I779" s="26" t="s">
        <v>592</v>
      </c>
      <c r="J779" s="27">
        <v>45869</v>
      </c>
      <c r="K779" s="8">
        <v>0</v>
      </c>
      <c r="L779" s="26">
        <v>14</v>
      </c>
      <c r="M779" s="26">
        <v>5</v>
      </c>
      <c r="N779" s="28">
        <v>45839</v>
      </c>
      <c r="O779" s="14" t="s">
        <v>1345</v>
      </c>
    </row>
    <row r="780" spans="1:15" x14ac:dyDescent="0.25">
      <c r="A780" s="5">
        <v>10808</v>
      </c>
      <c r="B780" s="21">
        <v>8599988776654</v>
      </c>
      <c r="C780" s="22" t="s">
        <v>393</v>
      </c>
      <c r="D780" s="22" t="s">
        <v>133</v>
      </c>
      <c r="E780" s="22" t="s">
        <v>17</v>
      </c>
      <c r="F780" s="6">
        <v>16.8</v>
      </c>
      <c r="G780" s="6">
        <v>1</v>
      </c>
      <c r="H780" s="22" t="s">
        <v>14</v>
      </c>
      <c r="I780" s="22" t="s">
        <v>15</v>
      </c>
      <c r="J780" s="23">
        <v>45869</v>
      </c>
      <c r="K780" s="6">
        <v>0</v>
      </c>
      <c r="L780" s="22">
        <v>16.8</v>
      </c>
      <c r="M780" s="22" t="s">
        <v>15</v>
      </c>
      <c r="N780" s="24">
        <v>45839</v>
      </c>
      <c r="O780" s="13" t="s">
        <v>1346</v>
      </c>
    </row>
    <row r="781" spans="1:15" x14ac:dyDescent="0.25">
      <c r="A781" s="7">
        <v>10809</v>
      </c>
      <c r="B781" s="25">
        <v>4028899001126</v>
      </c>
      <c r="C781" s="26" t="s">
        <v>16</v>
      </c>
      <c r="D781" s="26" t="s">
        <v>12</v>
      </c>
      <c r="E781" s="26" t="s">
        <v>17</v>
      </c>
      <c r="F781" s="8">
        <v>2.8</v>
      </c>
      <c r="G781" s="8">
        <v>2</v>
      </c>
      <c r="H781" s="26" t="s">
        <v>14</v>
      </c>
      <c r="I781" s="26" t="s">
        <v>15</v>
      </c>
      <c r="J781" s="27">
        <v>45869</v>
      </c>
      <c r="K781" s="8">
        <v>0</v>
      </c>
      <c r="L781" s="26">
        <v>5.6</v>
      </c>
      <c r="M781" s="26" t="s">
        <v>15</v>
      </c>
      <c r="N781" s="28">
        <v>45839</v>
      </c>
      <c r="O781" s="14" t="s">
        <v>1346</v>
      </c>
    </row>
    <row r="782" spans="1:15" x14ac:dyDescent="0.25">
      <c r="A782" s="5">
        <v>10810</v>
      </c>
      <c r="B782" s="21">
        <v>4013456789017</v>
      </c>
      <c r="C782" s="22" t="s">
        <v>11</v>
      </c>
      <c r="D782" s="22" t="s">
        <v>12</v>
      </c>
      <c r="E782" s="22" t="s">
        <v>13</v>
      </c>
      <c r="F782" s="6">
        <v>6</v>
      </c>
      <c r="G782" s="6">
        <v>1</v>
      </c>
      <c r="H782" s="22" t="s">
        <v>18</v>
      </c>
      <c r="I782" s="22" t="s">
        <v>593</v>
      </c>
      <c r="J782" s="23">
        <v>45869</v>
      </c>
      <c r="K782" s="6">
        <v>0</v>
      </c>
      <c r="L782" s="22">
        <v>6</v>
      </c>
      <c r="M782" s="22">
        <v>4</v>
      </c>
      <c r="N782" s="24">
        <v>45839</v>
      </c>
      <c r="O782" s="13" t="s">
        <v>1346</v>
      </c>
    </row>
    <row r="783" spans="1:15" x14ac:dyDescent="0.25">
      <c r="A783" s="7">
        <v>10811</v>
      </c>
      <c r="B783" s="25">
        <v>8599988776654</v>
      </c>
      <c r="C783" s="26" t="s">
        <v>393</v>
      </c>
      <c r="D783" s="26" t="s">
        <v>133</v>
      </c>
      <c r="E783" s="26" t="s">
        <v>17</v>
      </c>
      <c r="F783" s="8">
        <v>16.8</v>
      </c>
      <c r="G783" s="8">
        <v>1</v>
      </c>
      <c r="H783" s="26" t="s">
        <v>14</v>
      </c>
      <c r="I783" s="26" t="s">
        <v>15</v>
      </c>
      <c r="J783" s="27">
        <v>45869</v>
      </c>
      <c r="K783" s="8">
        <v>0</v>
      </c>
      <c r="L783" s="26">
        <v>16.8</v>
      </c>
      <c r="M783" s="26" t="s">
        <v>15</v>
      </c>
      <c r="N783" s="28">
        <v>45839</v>
      </c>
      <c r="O783" s="14" t="s">
        <v>1346</v>
      </c>
    </row>
    <row r="784" spans="1:15" x14ac:dyDescent="0.25">
      <c r="A784" s="5">
        <v>10812</v>
      </c>
      <c r="B784" s="21">
        <v>4027788990013</v>
      </c>
      <c r="C784" s="22" t="s">
        <v>43</v>
      </c>
      <c r="D784" s="22" t="s">
        <v>21</v>
      </c>
      <c r="E784" s="22" t="s">
        <v>22</v>
      </c>
      <c r="F784" s="6">
        <v>8</v>
      </c>
      <c r="G784" s="6">
        <v>1</v>
      </c>
      <c r="H784" s="22" t="s">
        <v>23</v>
      </c>
      <c r="I784" s="22" t="s">
        <v>594</v>
      </c>
      <c r="J784" s="23">
        <v>45869</v>
      </c>
      <c r="K784" s="6">
        <v>0</v>
      </c>
      <c r="L784" s="22">
        <v>8</v>
      </c>
      <c r="M784" s="22">
        <v>5</v>
      </c>
      <c r="N784" s="24">
        <v>45839</v>
      </c>
      <c r="O784" s="13" t="s">
        <v>1346</v>
      </c>
    </row>
    <row r="785" spans="1:15" x14ac:dyDescent="0.25">
      <c r="A785" s="7">
        <v>10813</v>
      </c>
      <c r="B785" s="25">
        <v>4010123456783</v>
      </c>
      <c r="C785" s="26" t="s">
        <v>35</v>
      </c>
      <c r="D785" s="26" t="s">
        <v>36</v>
      </c>
      <c r="E785" s="26" t="s">
        <v>37</v>
      </c>
      <c r="F785" s="8">
        <v>14</v>
      </c>
      <c r="G785" s="8">
        <v>1</v>
      </c>
      <c r="H785" s="26" t="s">
        <v>14</v>
      </c>
      <c r="I785" s="26" t="s">
        <v>15</v>
      </c>
      <c r="J785" s="27">
        <v>45869</v>
      </c>
      <c r="K785" s="8">
        <v>0</v>
      </c>
      <c r="L785" s="26">
        <v>14</v>
      </c>
      <c r="M785" s="26" t="s">
        <v>15</v>
      </c>
      <c r="N785" s="28">
        <v>45839</v>
      </c>
      <c r="O785" s="14" t="s">
        <v>1345</v>
      </c>
    </row>
    <row r="786" spans="1:15" x14ac:dyDescent="0.25">
      <c r="A786" s="5">
        <v>10814</v>
      </c>
      <c r="B786" s="21">
        <v>8599988776654</v>
      </c>
      <c r="C786" s="22" t="s">
        <v>393</v>
      </c>
      <c r="D786" s="22" t="s">
        <v>133</v>
      </c>
      <c r="E786" s="22" t="s">
        <v>17</v>
      </c>
      <c r="F786" s="6">
        <v>16.8</v>
      </c>
      <c r="G786" s="6">
        <v>2</v>
      </c>
      <c r="H786" s="22" t="s">
        <v>23</v>
      </c>
      <c r="I786" s="22" t="s">
        <v>595</v>
      </c>
      <c r="J786" s="23">
        <v>45869</v>
      </c>
      <c r="K786" s="6">
        <v>0</v>
      </c>
      <c r="L786" s="22">
        <v>33.6</v>
      </c>
      <c r="M786" s="22">
        <v>5</v>
      </c>
      <c r="N786" s="24">
        <v>45839</v>
      </c>
      <c r="O786" s="13" t="s">
        <v>1346</v>
      </c>
    </row>
    <row r="787" spans="1:15" x14ac:dyDescent="0.25">
      <c r="A787" s="7">
        <v>10815</v>
      </c>
      <c r="B787" s="25">
        <v>4063456789014</v>
      </c>
      <c r="C787" s="26" t="s">
        <v>60</v>
      </c>
      <c r="D787" s="26" t="s">
        <v>12</v>
      </c>
      <c r="E787" s="26" t="s">
        <v>61</v>
      </c>
      <c r="F787" s="8">
        <v>36</v>
      </c>
      <c r="G787" s="8">
        <v>1</v>
      </c>
      <c r="H787" s="26" t="s">
        <v>14</v>
      </c>
      <c r="I787" s="26" t="s">
        <v>15</v>
      </c>
      <c r="J787" s="27">
        <v>45869</v>
      </c>
      <c r="K787" s="8">
        <v>0</v>
      </c>
      <c r="L787" s="26">
        <v>36</v>
      </c>
      <c r="M787" s="26" t="s">
        <v>15</v>
      </c>
      <c r="N787" s="28">
        <v>45839</v>
      </c>
      <c r="O787" s="14" t="s">
        <v>1346</v>
      </c>
    </row>
    <row r="788" spans="1:15" x14ac:dyDescent="0.25">
      <c r="A788" s="5">
        <v>10816</v>
      </c>
      <c r="B788" s="21">
        <v>8599988776654</v>
      </c>
      <c r="C788" s="22" t="s">
        <v>393</v>
      </c>
      <c r="D788" s="22" t="s">
        <v>133</v>
      </c>
      <c r="E788" s="22" t="s">
        <v>17</v>
      </c>
      <c r="F788" s="6">
        <v>16.8</v>
      </c>
      <c r="G788" s="6">
        <v>1</v>
      </c>
      <c r="H788" s="22" t="s">
        <v>14</v>
      </c>
      <c r="I788" s="22" t="s">
        <v>15</v>
      </c>
      <c r="J788" s="23">
        <v>45869</v>
      </c>
      <c r="K788" s="6">
        <v>0</v>
      </c>
      <c r="L788" s="22">
        <v>16.8</v>
      </c>
      <c r="M788" s="22" t="s">
        <v>15</v>
      </c>
      <c r="N788" s="24">
        <v>45839</v>
      </c>
      <c r="O788" s="13" t="s">
        <v>1346</v>
      </c>
    </row>
    <row r="789" spans="1:15" x14ac:dyDescent="0.25">
      <c r="A789" s="7">
        <v>10817</v>
      </c>
      <c r="B789" s="25">
        <v>4017890123450</v>
      </c>
      <c r="C789" s="26" t="s">
        <v>65</v>
      </c>
      <c r="D789" s="26" t="s">
        <v>39</v>
      </c>
      <c r="E789" s="26" t="s">
        <v>22</v>
      </c>
      <c r="F789" s="8">
        <v>7.6</v>
      </c>
      <c r="G789" s="8">
        <v>1</v>
      </c>
      <c r="H789" s="26" t="s">
        <v>23</v>
      </c>
      <c r="I789" s="26" t="s">
        <v>596</v>
      </c>
      <c r="J789" s="27">
        <v>45869</v>
      </c>
      <c r="K789" s="8">
        <v>0</v>
      </c>
      <c r="L789" s="26">
        <v>7.6</v>
      </c>
      <c r="M789" s="26">
        <v>5</v>
      </c>
      <c r="N789" s="28">
        <v>45839</v>
      </c>
      <c r="O789" s="14" t="s">
        <v>1346</v>
      </c>
    </row>
    <row r="790" spans="1:15" x14ac:dyDescent="0.25">
      <c r="A790" s="5">
        <v>10818</v>
      </c>
      <c r="B790" s="21">
        <v>8599988776654</v>
      </c>
      <c r="C790" s="22" t="s">
        <v>393</v>
      </c>
      <c r="D790" s="22" t="s">
        <v>133</v>
      </c>
      <c r="E790" s="22" t="s">
        <v>17</v>
      </c>
      <c r="F790" s="6">
        <v>16.8</v>
      </c>
      <c r="G790" s="6">
        <v>2</v>
      </c>
      <c r="H790" s="22" t="s">
        <v>14</v>
      </c>
      <c r="I790" s="22" t="s">
        <v>15</v>
      </c>
      <c r="J790" s="23">
        <v>45869</v>
      </c>
      <c r="K790" s="6">
        <v>0</v>
      </c>
      <c r="L790" s="22">
        <v>33.6</v>
      </c>
      <c r="M790" s="22" t="s">
        <v>15</v>
      </c>
      <c r="N790" s="24">
        <v>45839</v>
      </c>
      <c r="O790" s="13" t="s">
        <v>1346</v>
      </c>
    </row>
    <row r="791" spans="1:15" x14ac:dyDescent="0.25">
      <c r="A791" s="7">
        <v>10819</v>
      </c>
      <c r="B791" s="25">
        <v>4056789012345</v>
      </c>
      <c r="C791" s="26" t="s">
        <v>47</v>
      </c>
      <c r="D791" s="26" t="s">
        <v>29</v>
      </c>
      <c r="E791" s="26" t="s">
        <v>37</v>
      </c>
      <c r="F791" s="8">
        <v>2.4</v>
      </c>
      <c r="G791" s="8">
        <v>2</v>
      </c>
      <c r="H791" s="26" t="s">
        <v>14</v>
      </c>
      <c r="I791" s="26" t="s">
        <v>15</v>
      </c>
      <c r="J791" s="27">
        <v>45869</v>
      </c>
      <c r="K791" s="8">
        <v>0</v>
      </c>
      <c r="L791" s="26">
        <v>4.8</v>
      </c>
      <c r="M791" s="26" t="s">
        <v>15</v>
      </c>
      <c r="N791" s="28">
        <v>45839</v>
      </c>
      <c r="O791" s="14" t="s">
        <v>1345</v>
      </c>
    </row>
    <row r="792" spans="1:15" x14ac:dyDescent="0.25">
      <c r="A792" s="5">
        <v>10820</v>
      </c>
      <c r="B792" s="21">
        <v>8599988776654</v>
      </c>
      <c r="C792" s="22" t="s">
        <v>393</v>
      </c>
      <c r="D792" s="22" t="s">
        <v>133</v>
      </c>
      <c r="E792" s="22" t="s">
        <v>17</v>
      </c>
      <c r="F792" s="6">
        <v>16.8</v>
      </c>
      <c r="G792" s="6">
        <v>1</v>
      </c>
      <c r="H792" s="22" t="s">
        <v>14</v>
      </c>
      <c r="I792" s="22" t="s">
        <v>15</v>
      </c>
      <c r="J792" s="23">
        <v>45869</v>
      </c>
      <c r="K792" s="6">
        <v>0</v>
      </c>
      <c r="L792" s="22">
        <v>16.8</v>
      </c>
      <c r="M792" s="22" t="s">
        <v>15</v>
      </c>
      <c r="N792" s="24">
        <v>45839</v>
      </c>
      <c r="O792" s="13" t="s">
        <v>1346</v>
      </c>
    </row>
    <row r="793" spans="1:15" x14ac:dyDescent="0.25">
      <c r="A793" s="7">
        <v>10821</v>
      </c>
      <c r="B793" s="25">
        <v>4013456789017</v>
      </c>
      <c r="C793" s="26" t="s">
        <v>11</v>
      </c>
      <c r="D793" s="26" t="s">
        <v>12</v>
      </c>
      <c r="E793" s="26" t="s">
        <v>13</v>
      </c>
      <c r="F793" s="8">
        <v>6</v>
      </c>
      <c r="G793" s="8">
        <v>1</v>
      </c>
      <c r="H793" s="26" t="s">
        <v>18</v>
      </c>
      <c r="I793" s="26" t="s">
        <v>597</v>
      </c>
      <c r="J793" s="27">
        <v>45869</v>
      </c>
      <c r="K793" s="8">
        <v>0</v>
      </c>
      <c r="L793" s="26">
        <v>6</v>
      </c>
      <c r="M793" s="26">
        <v>4</v>
      </c>
      <c r="N793" s="28">
        <v>45839</v>
      </c>
      <c r="O793" s="14" t="s">
        <v>1346</v>
      </c>
    </row>
    <row r="794" spans="1:15" x14ac:dyDescent="0.25">
      <c r="A794" s="5">
        <v>10822</v>
      </c>
      <c r="B794" s="21">
        <v>8599988776654</v>
      </c>
      <c r="C794" s="22" t="s">
        <v>393</v>
      </c>
      <c r="D794" s="22" t="s">
        <v>133</v>
      </c>
      <c r="E794" s="22" t="s">
        <v>17</v>
      </c>
      <c r="F794" s="6">
        <v>16.8</v>
      </c>
      <c r="G794" s="6">
        <v>1</v>
      </c>
      <c r="H794" s="22" t="s">
        <v>14</v>
      </c>
      <c r="I794" s="22" t="s">
        <v>15</v>
      </c>
      <c r="J794" s="23">
        <v>45869</v>
      </c>
      <c r="K794" s="6">
        <v>0</v>
      </c>
      <c r="L794" s="22">
        <v>16.8</v>
      </c>
      <c r="M794" s="22" t="s">
        <v>15</v>
      </c>
      <c r="N794" s="24">
        <v>45839</v>
      </c>
      <c r="O794" s="13" t="s">
        <v>1346</v>
      </c>
    </row>
    <row r="795" spans="1:15" x14ac:dyDescent="0.25">
      <c r="A795" s="7">
        <v>10823</v>
      </c>
      <c r="B795" s="25">
        <v>4010123456783</v>
      </c>
      <c r="C795" s="26" t="s">
        <v>35</v>
      </c>
      <c r="D795" s="26" t="s">
        <v>36</v>
      </c>
      <c r="E795" s="26" t="s">
        <v>37</v>
      </c>
      <c r="F795" s="8">
        <v>14</v>
      </c>
      <c r="G795" s="8">
        <v>1</v>
      </c>
      <c r="H795" s="26" t="s">
        <v>14</v>
      </c>
      <c r="I795" s="26" t="s">
        <v>15</v>
      </c>
      <c r="J795" s="27">
        <v>45869</v>
      </c>
      <c r="K795" s="8">
        <v>0</v>
      </c>
      <c r="L795" s="26">
        <v>14</v>
      </c>
      <c r="M795" s="26" t="s">
        <v>15</v>
      </c>
      <c r="N795" s="28">
        <v>45839</v>
      </c>
      <c r="O795" s="14" t="s">
        <v>1345</v>
      </c>
    </row>
    <row r="796" spans="1:15" x14ac:dyDescent="0.25">
      <c r="A796" s="5">
        <v>10824</v>
      </c>
      <c r="B796" s="21">
        <v>4028899001126</v>
      </c>
      <c r="C796" s="22" t="s">
        <v>16</v>
      </c>
      <c r="D796" s="22" t="s">
        <v>12</v>
      </c>
      <c r="E796" s="22" t="s">
        <v>17</v>
      </c>
      <c r="F796" s="6">
        <v>2.8</v>
      </c>
      <c r="G796" s="6">
        <v>3</v>
      </c>
      <c r="H796" s="22" t="s">
        <v>23</v>
      </c>
      <c r="I796" s="22" t="s">
        <v>598</v>
      </c>
      <c r="J796" s="23">
        <v>45869</v>
      </c>
      <c r="K796" s="6">
        <v>0</v>
      </c>
      <c r="L796" s="22">
        <v>8.3999999999999986</v>
      </c>
      <c r="M796" s="22">
        <v>5</v>
      </c>
      <c r="N796" s="24">
        <v>45839</v>
      </c>
      <c r="O796" s="13" t="s">
        <v>1346</v>
      </c>
    </row>
    <row r="797" spans="1:15" x14ac:dyDescent="0.25">
      <c r="A797" s="7">
        <v>10825</v>
      </c>
      <c r="B797" s="25">
        <v>8599988776654</v>
      </c>
      <c r="C797" s="26" t="s">
        <v>393</v>
      </c>
      <c r="D797" s="26" t="s">
        <v>133</v>
      </c>
      <c r="E797" s="26" t="s">
        <v>17</v>
      </c>
      <c r="F797" s="8">
        <v>16.8</v>
      </c>
      <c r="G797" s="8">
        <v>1</v>
      </c>
      <c r="H797" s="26" t="s">
        <v>14</v>
      </c>
      <c r="I797" s="26" t="s">
        <v>15</v>
      </c>
      <c r="J797" s="27">
        <v>45869</v>
      </c>
      <c r="K797" s="8">
        <v>0</v>
      </c>
      <c r="L797" s="26">
        <v>16.8</v>
      </c>
      <c r="M797" s="26" t="s">
        <v>15</v>
      </c>
      <c r="N797" s="28">
        <v>45839</v>
      </c>
      <c r="O797" s="14" t="s">
        <v>1346</v>
      </c>
    </row>
    <row r="798" spans="1:15" x14ac:dyDescent="0.25">
      <c r="A798" s="5">
        <v>10826</v>
      </c>
      <c r="B798" s="21">
        <v>4063456789014</v>
      </c>
      <c r="C798" s="22" t="s">
        <v>60</v>
      </c>
      <c r="D798" s="22" t="s">
        <v>12</v>
      </c>
      <c r="E798" s="22" t="s">
        <v>61</v>
      </c>
      <c r="F798" s="6">
        <v>36</v>
      </c>
      <c r="G798" s="6">
        <v>1</v>
      </c>
      <c r="H798" s="22" t="s">
        <v>14</v>
      </c>
      <c r="I798" s="22" t="s">
        <v>15</v>
      </c>
      <c r="J798" s="23">
        <v>45869</v>
      </c>
      <c r="K798" s="6">
        <v>0</v>
      </c>
      <c r="L798" s="22">
        <v>36</v>
      </c>
      <c r="M798" s="22" t="s">
        <v>15</v>
      </c>
      <c r="N798" s="24">
        <v>45839</v>
      </c>
      <c r="O798" s="13" t="s">
        <v>1346</v>
      </c>
    </row>
    <row r="799" spans="1:15" x14ac:dyDescent="0.25">
      <c r="A799" s="7">
        <v>10827</v>
      </c>
      <c r="B799" s="25">
        <v>8599988776654</v>
      </c>
      <c r="C799" s="26" t="s">
        <v>393</v>
      </c>
      <c r="D799" s="26" t="s">
        <v>133</v>
      </c>
      <c r="E799" s="26" t="s">
        <v>17</v>
      </c>
      <c r="F799" s="8">
        <v>16.8</v>
      </c>
      <c r="G799" s="8">
        <v>2</v>
      </c>
      <c r="H799" s="26" t="s">
        <v>18</v>
      </c>
      <c r="I799" s="26" t="s">
        <v>599</v>
      </c>
      <c r="J799" s="27">
        <v>45869</v>
      </c>
      <c r="K799" s="8">
        <v>0</v>
      </c>
      <c r="L799" s="26">
        <v>33.6</v>
      </c>
      <c r="M799" s="26">
        <v>4</v>
      </c>
      <c r="N799" s="28">
        <v>45839</v>
      </c>
      <c r="O799" s="14" t="s">
        <v>1346</v>
      </c>
    </row>
    <row r="800" spans="1:15" x14ac:dyDescent="0.25">
      <c r="A800" s="5">
        <v>10828</v>
      </c>
      <c r="B800" s="21">
        <v>4021234567894</v>
      </c>
      <c r="C800" s="22" t="s">
        <v>79</v>
      </c>
      <c r="D800" s="22" t="s">
        <v>36</v>
      </c>
      <c r="E800" s="22" t="s">
        <v>69</v>
      </c>
      <c r="F800" s="6">
        <v>8</v>
      </c>
      <c r="G800" s="6">
        <v>1</v>
      </c>
      <c r="H800" s="22" t="s">
        <v>23</v>
      </c>
      <c r="I800" s="22" t="s">
        <v>600</v>
      </c>
      <c r="J800" s="23">
        <v>45869</v>
      </c>
      <c r="K800" s="6">
        <v>0</v>
      </c>
      <c r="L800" s="22">
        <v>8</v>
      </c>
      <c r="M800" s="22">
        <v>5</v>
      </c>
      <c r="N800" s="24">
        <v>45839</v>
      </c>
      <c r="O800" s="13" t="s">
        <v>1345</v>
      </c>
    </row>
    <row r="801" spans="1:15" x14ac:dyDescent="0.25">
      <c r="A801" s="7">
        <v>10829</v>
      </c>
      <c r="B801" s="25">
        <v>8599988776654</v>
      </c>
      <c r="C801" s="26" t="s">
        <v>393</v>
      </c>
      <c r="D801" s="26" t="s">
        <v>133</v>
      </c>
      <c r="E801" s="26" t="s">
        <v>17</v>
      </c>
      <c r="F801" s="8">
        <v>16.8</v>
      </c>
      <c r="G801" s="8">
        <v>1</v>
      </c>
      <c r="H801" s="26" t="s">
        <v>14</v>
      </c>
      <c r="I801" s="26" t="s">
        <v>15</v>
      </c>
      <c r="J801" s="27">
        <v>45869</v>
      </c>
      <c r="K801" s="8">
        <v>0</v>
      </c>
      <c r="L801" s="26">
        <v>16.8</v>
      </c>
      <c r="M801" s="26" t="s">
        <v>15</v>
      </c>
      <c r="N801" s="28">
        <v>45839</v>
      </c>
      <c r="O801" s="14" t="s">
        <v>1346</v>
      </c>
    </row>
    <row r="802" spans="1:15" x14ac:dyDescent="0.25">
      <c r="A802" s="5">
        <v>10830</v>
      </c>
      <c r="B802" s="21">
        <v>4017890123450</v>
      </c>
      <c r="C802" s="22" t="s">
        <v>65</v>
      </c>
      <c r="D802" s="22" t="s">
        <v>39</v>
      </c>
      <c r="E802" s="22" t="s">
        <v>22</v>
      </c>
      <c r="F802" s="6">
        <v>7.6</v>
      </c>
      <c r="G802" s="6">
        <v>1</v>
      </c>
      <c r="H802" s="22" t="s">
        <v>14</v>
      </c>
      <c r="I802" s="22" t="s">
        <v>15</v>
      </c>
      <c r="J802" s="23">
        <v>45869</v>
      </c>
      <c r="K802" s="6">
        <v>0</v>
      </c>
      <c r="L802" s="22">
        <v>7.6</v>
      </c>
      <c r="M802" s="22" t="s">
        <v>15</v>
      </c>
      <c r="N802" s="24">
        <v>45839</v>
      </c>
      <c r="O802" s="13" t="s">
        <v>1346</v>
      </c>
    </row>
    <row r="803" spans="1:15" x14ac:dyDescent="0.25">
      <c r="A803" s="7">
        <v>10831</v>
      </c>
      <c r="B803" s="25">
        <v>8599988776654</v>
      </c>
      <c r="C803" s="26" t="s">
        <v>393</v>
      </c>
      <c r="D803" s="26" t="s">
        <v>133</v>
      </c>
      <c r="E803" s="26" t="s">
        <v>17</v>
      </c>
      <c r="F803" s="8">
        <v>16.8</v>
      </c>
      <c r="G803" s="8">
        <v>2</v>
      </c>
      <c r="H803" s="26" t="s">
        <v>14</v>
      </c>
      <c r="I803" s="26" t="s">
        <v>15</v>
      </c>
      <c r="J803" s="27">
        <v>45869</v>
      </c>
      <c r="K803" s="8">
        <v>0</v>
      </c>
      <c r="L803" s="26">
        <v>33.6</v>
      </c>
      <c r="M803" s="26" t="s">
        <v>15</v>
      </c>
      <c r="N803" s="28">
        <v>45839</v>
      </c>
      <c r="O803" s="14" t="s">
        <v>1346</v>
      </c>
    </row>
    <row r="804" spans="1:15" x14ac:dyDescent="0.25">
      <c r="A804" s="5">
        <v>10832</v>
      </c>
      <c r="B804" s="21">
        <v>4010123456783</v>
      </c>
      <c r="C804" s="22" t="s">
        <v>35</v>
      </c>
      <c r="D804" s="22" t="s">
        <v>36</v>
      </c>
      <c r="E804" s="22" t="s">
        <v>37</v>
      </c>
      <c r="F804" s="6">
        <v>14</v>
      </c>
      <c r="G804" s="6">
        <v>1</v>
      </c>
      <c r="H804" s="22" t="s">
        <v>23</v>
      </c>
      <c r="I804" s="22" t="s">
        <v>601</v>
      </c>
      <c r="J804" s="23">
        <v>45869</v>
      </c>
      <c r="K804" s="6">
        <v>0</v>
      </c>
      <c r="L804" s="22">
        <v>14</v>
      </c>
      <c r="M804" s="22">
        <v>5</v>
      </c>
      <c r="N804" s="24">
        <v>45839</v>
      </c>
      <c r="O804" s="13" t="s">
        <v>1345</v>
      </c>
    </row>
    <row r="805" spans="1:15" x14ac:dyDescent="0.25">
      <c r="A805" s="7">
        <v>10833</v>
      </c>
      <c r="B805" s="25">
        <v>8599988776654</v>
      </c>
      <c r="C805" s="26" t="s">
        <v>393</v>
      </c>
      <c r="D805" s="26" t="s">
        <v>133</v>
      </c>
      <c r="E805" s="26" t="s">
        <v>17</v>
      </c>
      <c r="F805" s="8">
        <v>16.8</v>
      </c>
      <c r="G805" s="8">
        <v>1</v>
      </c>
      <c r="H805" s="26" t="s">
        <v>14</v>
      </c>
      <c r="I805" s="26" t="s">
        <v>15</v>
      </c>
      <c r="J805" s="27">
        <v>45869</v>
      </c>
      <c r="K805" s="8">
        <v>0</v>
      </c>
      <c r="L805" s="26">
        <v>16.8</v>
      </c>
      <c r="M805" s="26" t="s">
        <v>15</v>
      </c>
      <c r="N805" s="28">
        <v>45839</v>
      </c>
      <c r="O805" s="14" t="s">
        <v>1346</v>
      </c>
    </row>
    <row r="806" spans="1:15" x14ac:dyDescent="0.25">
      <c r="A806" s="5">
        <v>10834</v>
      </c>
      <c r="B806" s="21">
        <v>4013456789017</v>
      </c>
      <c r="C806" s="22" t="s">
        <v>11</v>
      </c>
      <c r="D806" s="22" t="s">
        <v>12</v>
      </c>
      <c r="E806" s="22" t="s">
        <v>13</v>
      </c>
      <c r="F806" s="6">
        <v>6</v>
      </c>
      <c r="G806" s="6">
        <v>1</v>
      </c>
      <c r="H806" s="22" t="s">
        <v>18</v>
      </c>
      <c r="I806" s="22" t="s">
        <v>559</v>
      </c>
      <c r="J806" s="23">
        <v>45869</v>
      </c>
      <c r="K806" s="6">
        <v>0</v>
      </c>
      <c r="L806" s="22">
        <v>6</v>
      </c>
      <c r="M806" s="22">
        <v>4</v>
      </c>
      <c r="N806" s="24">
        <v>45839</v>
      </c>
      <c r="O806" s="13" t="s">
        <v>1346</v>
      </c>
    </row>
    <row r="807" spans="1:15" x14ac:dyDescent="0.25">
      <c r="A807" s="7">
        <v>10835</v>
      </c>
      <c r="B807" s="25">
        <v>8599988776654</v>
      </c>
      <c r="C807" s="26" t="s">
        <v>393</v>
      </c>
      <c r="D807" s="26" t="s">
        <v>133</v>
      </c>
      <c r="E807" s="26" t="s">
        <v>17</v>
      </c>
      <c r="F807" s="8">
        <v>16.8</v>
      </c>
      <c r="G807" s="8">
        <v>1</v>
      </c>
      <c r="H807" s="26" t="s">
        <v>14</v>
      </c>
      <c r="I807" s="26" t="s">
        <v>15</v>
      </c>
      <c r="J807" s="27">
        <v>45869</v>
      </c>
      <c r="K807" s="8">
        <v>0</v>
      </c>
      <c r="L807" s="26">
        <v>16.8</v>
      </c>
      <c r="M807" s="26" t="s">
        <v>15</v>
      </c>
      <c r="N807" s="28">
        <v>45839</v>
      </c>
      <c r="O807" s="14" t="s">
        <v>1346</v>
      </c>
    </row>
    <row r="808" spans="1:15" x14ac:dyDescent="0.25">
      <c r="A808" s="5">
        <v>10836</v>
      </c>
      <c r="B808" s="21">
        <v>4056789012345</v>
      </c>
      <c r="C808" s="22" t="s">
        <v>47</v>
      </c>
      <c r="D808" s="22" t="s">
        <v>29</v>
      </c>
      <c r="E808" s="22" t="s">
        <v>37</v>
      </c>
      <c r="F808" s="6">
        <v>2.4</v>
      </c>
      <c r="G808" s="6">
        <v>2</v>
      </c>
      <c r="H808" s="22" t="s">
        <v>14</v>
      </c>
      <c r="I808" s="22" t="s">
        <v>15</v>
      </c>
      <c r="J808" s="23">
        <v>45869</v>
      </c>
      <c r="K808" s="6">
        <v>0</v>
      </c>
      <c r="L808" s="22">
        <v>4.8</v>
      </c>
      <c r="M808" s="22" t="s">
        <v>15</v>
      </c>
      <c r="N808" s="24">
        <v>45839</v>
      </c>
      <c r="O808" s="13" t="s">
        <v>1345</v>
      </c>
    </row>
    <row r="809" spans="1:15" x14ac:dyDescent="0.25">
      <c r="A809" s="7">
        <v>10837</v>
      </c>
      <c r="B809" s="25">
        <v>8599988776654</v>
      </c>
      <c r="C809" s="26" t="s">
        <v>393</v>
      </c>
      <c r="D809" s="26" t="s">
        <v>133</v>
      </c>
      <c r="E809" s="26" t="s">
        <v>17</v>
      </c>
      <c r="F809" s="8">
        <v>16.8</v>
      </c>
      <c r="G809" s="8">
        <v>1</v>
      </c>
      <c r="H809" s="26" t="s">
        <v>14</v>
      </c>
      <c r="I809" s="26" t="s">
        <v>15</v>
      </c>
      <c r="J809" s="27">
        <v>45869</v>
      </c>
      <c r="K809" s="8">
        <v>0</v>
      </c>
      <c r="L809" s="26">
        <v>16.8</v>
      </c>
      <c r="M809" s="26" t="s">
        <v>15</v>
      </c>
      <c r="N809" s="28">
        <v>45839</v>
      </c>
      <c r="O809" s="14" t="s">
        <v>1346</v>
      </c>
    </row>
    <row r="810" spans="1:15" x14ac:dyDescent="0.25">
      <c r="A810" s="5">
        <v>10838</v>
      </c>
      <c r="B810" s="21">
        <v>4063456789014</v>
      </c>
      <c r="C810" s="22" t="s">
        <v>60</v>
      </c>
      <c r="D810" s="22" t="s">
        <v>12</v>
      </c>
      <c r="E810" s="22" t="s">
        <v>61</v>
      </c>
      <c r="F810" s="6">
        <v>36</v>
      </c>
      <c r="G810" s="6">
        <v>1</v>
      </c>
      <c r="H810" s="22" t="s">
        <v>23</v>
      </c>
      <c r="I810" s="22" t="s">
        <v>602</v>
      </c>
      <c r="J810" s="23">
        <v>45869</v>
      </c>
      <c r="K810" s="6">
        <v>0</v>
      </c>
      <c r="L810" s="22">
        <v>36</v>
      </c>
      <c r="M810" s="22">
        <v>5</v>
      </c>
      <c r="N810" s="24">
        <v>45839</v>
      </c>
      <c r="O810" s="13" t="s">
        <v>1346</v>
      </c>
    </row>
    <row r="811" spans="1:15" x14ac:dyDescent="0.25">
      <c r="A811" s="7">
        <v>10839</v>
      </c>
      <c r="B811" s="25">
        <v>8599988776654</v>
      </c>
      <c r="C811" s="26" t="s">
        <v>393</v>
      </c>
      <c r="D811" s="26" t="s">
        <v>133</v>
      </c>
      <c r="E811" s="26" t="s">
        <v>17</v>
      </c>
      <c r="F811" s="8">
        <v>16.8</v>
      </c>
      <c r="G811" s="8">
        <v>2</v>
      </c>
      <c r="H811" s="26" t="s">
        <v>14</v>
      </c>
      <c r="I811" s="26" t="s">
        <v>15</v>
      </c>
      <c r="J811" s="27">
        <v>45869</v>
      </c>
      <c r="K811" s="8">
        <v>0</v>
      </c>
      <c r="L811" s="26">
        <v>33.6</v>
      </c>
      <c r="M811" s="26" t="s">
        <v>15</v>
      </c>
      <c r="N811" s="28">
        <v>45839</v>
      </c>
      <c r="O811" s="14" t="s">
        <v>1346</v>
      </c>
    </row>
    <row r="812" spans="1:15" x14ac:dyDescent="0.25">
      <c r="A812" s="5">
        <v>10840</v>
      </c>
      <c r="B812" s="21">
        <v>4028899001126</v>
      </c>
      <c r="C812" s="22" t="s">
        <v>16</v>
      </c>
      <c r="D812" s="22" t="s">
        <v>12</v>
      </c>
      <c r="E812" s="22" t="s">
        <v>17</v>
      </c>
      <c r="F812" s="6">
        <v>2.8</v>
      </c>
      <c r="G812" s="6">
        <v>3</v>
      </c>
      <c r="H812" s="22" t="s">
        <v>14</v>
      </c>
      <c r="I812" s="22" t="s">
        <v>15</v>
      </c>
      <c r="J812" s="23">
        <v>45869</v>
      </c>
      <c r="K812" s="6">
        <v>0</v>
      </c>
      <c r="L812" s="22">
        <v>8.3999999999999986</v>
      </c>
      <c r="M812" s="22" t="s">
        <v>15</v>
      </c>
      <c r="N812" s="24">
        <v>45839</v>
      </c>
      <c r="O812" s="13" t="s">
        <v>1346</v>
      </c>
    </row>
    <row r="813" spans="1:15" x14ac:dyDescent="0.25">
      <c r="A813" s="7">
        <v>10841</v>
      </c>
      <c r="B813" s="25">
        <v>4010123456783</v>
      </c>
      <c r="C813" s="26" t="s">
        <v>35</v>
      </c>
      <c r="D813" s="26" t="s">
        <v>36</v>
      </c>
      <c r="E813" s="26" t="s">
        <v>37</v>
      </c>
      <c r="F813" s="8">
        <v>14</v>
      </c>
      <c r="G813" s="8">
        <v>1</v>
      </c>
      <c r="H813" s="26" t="s">
        <v>14</v>
      </c>
      <c r="I813" s="26" t="s">
        <v>15</v>
      </c>
      <c r="J813" s="27">
        <v>45869</v>
      </c>
      <c r="K813" s="8">
        <v>0</v>
      </c>
      <c r="L813" s="26">
        <v>14</v>
      </c>
      <c r="M813" s="26" t="s">
        <v>15</v>
      </c>
      <c r="N813" s="28">
        <v>45839</v>
      </c>
      <c r="O813" s="14" t="s">
        <v>1345</v>
      </c>
    </row>
    <row r="814" spans="1:15" x14ac:dyDescent="0.25">
      <c r="A814" s="5">
        <v>10842</v>
      </c>
      <c r="B814" s="21">
        <v>8599988776654</v>
      </c>
      <c r="C814" s="22" t="s">
        <v>393</v>
      </c>
      <c r="D814" s="22" t="s">
        <v>133</v>
      </c>
      <c r="E814" s="22" t="s">
        <v>17</v>
      </c>
      <c r="F814" s="6">
        <v>16.8</v>
      </c>
      <c r="G814" s="6">
        <v>1</v>
      </c>
      <c r="H814" s="22" t="s">
        <v>23</v>
      </c>
      <c r="I814" s="22" t="s">
        <v>603</v>
      </c>
      <c r="J814" s="23">
        <v>45869</v>
      </c>
      <c r="K814" s="6">
        <v>0</v>
      </c>
      <c r="L814" s="22">
        <v>16.8</v>
      </c>
      <c r="M814" s="22">
        <v>5</v>
      </c>
      <c r="N814" s="24">
        <v>45839</v>
      </c>
      <c r="O814" s="13" t="s">
        <v>1346</v>
      </c>
    </row>
    <row r="815" spans="1:15" x14ac:dyDescent="0.25">
      <c r="A815" s="7">
        <v>10843</v>
      </c>
      <c r="B815" s="25">
        <v>4017890123450</v>
      </c>
      <c r="C815" s="26" t="s">
        <v>65</v>
      </c>
      <c r="D815" s="26" t="s">
        <v>39</v>
      </c>
      <c r="E815" s="26" t="s">
        <v>22</v>
      </c>
      <c r="F815" s="8">
        <v>7.6</v>
      </c>
      <c r="G815" s="8">
        <v>1</v>
      </c>
      <c r="H815" s="26" t="s">
        <v>14</v>
      </c>
      <c r="I815" s="26" t="s">
        <v>15</v>
      </c>
      <c r="J815" s="27">
        <v>45869</v>
      </c>
      <c r="K815" s="8">
        <v>0</v>
      </c>
      <c r="L815" s="26">
        <v>7.6</v>
      </c>
      <c r="M815" s="26" t="s">
        <v>15</v>
      </c>
      <c r="N815" s="28">
        <v>45839</v>
      </c>
      <c r="O815" s="14" t="s">
        <v>1346</v>
      </c>
    </row>
    <row r="816" spans="1:15" x14ac:dyDescent="0.25">
      <c r="A816" s="5">
        <v>10844</v>
      </c>
      <c r="B816" s="21">
        <v>8599988776654</v>
      </c>
      <c r="C816" s="22" t="s">
        <v>393</v>
      </c>
      <c r="D816" s="22" t="s">
        <v>133</v>
      </c>
      <c r="E816" s="22" t="s">
        <v>17</v>
      </c>
      <c r="F816" s="6">
        <v>16.8</v>
      </c>
      <c r="G816" s="6">
        <v>2</v>
      </c>
      <c r="H816" s="22" t="s">
        <v>14</v>
      </c>
      <c r="I816" s="22" t="s">
        <v>15</v>
      </c>
      <c r="J816" s="23">
        <v>45869</v>
      </c>
      <c r="K816" s="6">
        <v>0</v>
      </c>
      <c r="L816" s="22">
        <v>33.6</v>
      </c>
      <c r="M816" s="22" t="s">
        <v>15</v>
      </c>
      <c r="N816" s="24">
        <v>45839</v>
      </c>
      <c r="O816" s="13" t="s">
        <v>1346</v>
      </c>
    </row>
    <row r="817" spans="1:15" x14ac:dyDescent="0.25">
      <c r="A817" s="7">
        <v>10845</v>
      </c>
      <c r="B817" s="25">
        <v>4013456789017</v>
      </c>
      <c r="C817" s="26" t="s">
        <v>11</v>
      </c>
      <c r="D817" s="26" t="s">
        <v>12</v>
      </c>
      <c r="E817" s="26" t="s">
        <v>13</v>
      </c>
      <c r="F817" s="8">
        <v>6</v>
      </c>
      <c r="G817" s="8">
        <v>1</v>
      </c>
      <c r="H817" s="26" t="s">
        <v>18</v>
      </c>
      <c r="I817" s="26" t="s">
        <v>604</v>
      </c>
      <c r="J817" s="27">
        <v>45869</v>
      </c>
      <c r="K817" s="8">
        <v>0</v>
      </c>
      <c r="L817" s="26">
        <v>6</v>
      </c>
      <c r="M817" s="26">
        <v>4</v>
      </c>
      <c r="N817" s="28">
        <v>45839</v>
      </c>
      <c r="O817" s="14" t="s">
        <v>1346</v>
      </c>
    </row>
    <row r="818" spans="1:15" x14ac:dyDescent="0.25">
      <c r="A818" s="5">
        <v>10846</v>
      </c>
      <c r="B818" s="21">
        <v>8599988776654</v>
      </c>
      <c r="C818" s="22" t="s">
        <v>393</v>
      </c>
      <c r="D818" s="22" t="s">
        <v>133</v>
      </c>
      <c r="E818" s="22" t="s">
        <v>17</v>
      </c>
      <c r="F818" s="6">
        <v>16.8</v>
      </c>
      <c r="G818" s="6">
        <v>1</v>
      </c>
      <c r="H818" s="22" t="s">
        <v>14</v>
      </c>
      <c r="I818" s="22" t="s">
        <v>15</v>
      </c>
      <c r="J818" s="23">
        <v>45869</v>
      </c>
      <c r="K818" s="6">
        <v>0</v>
      </c>
      <c r="L818" s="22">
        <v>16.8</v>
      </c>
      <c r="M818" s="22" t="s">
        <v>15</v>
      </c>
      <c r="N818" s="24">
        <v>45839</v>
      </c>
      <c r="O818" s="13" t="s">
        <v>1346</v>
      </c>
    </row>
    <row r="819" spans="1:15" x14ac:dyDescent="0.25">
      <c r="A819" s="7">
        <v>10847</v>
      </c>
      <c r="B819" s="25">
        <v>4010123456783</v>
      </c>
      <c r="C819" s="26" t="s">
        <v>35</v>
      </c>
      <c r="D819" s="26" t="s">
        <v>36</v>
      </c>
      <c r="E819" s="26" t="s">
        <v>37</v>
      </c>
      <c r="F819" s="8">
        <v>14</v>
      </c>
      <c r="G819" s="8">
        <v>1</v>
      </c>
      <c r="H819" s="26" t="s">
        <v>14</v>
      </c>
      <c r="I819" s="26" t="s">
        <v>15</v>
      </c>
      <c r="J819" s="27">
        <v>45869</v>
      </c>
      <c r="K819" s="8">
        <v>0</v>
      </c>
      <c r="L819" s="26">
        <v>14</v>
      </c>
      <c r="M819" s="26" t="s">
        <v>15</v>
      </c>
      <c r="N819" s="28">
        <v>45839</v>
      </c>
      <c r="O819" s="14" t="s">
        <v>1345</v>
      </c>
    </row>
    <row r="820" spans="1:15" x14ac:dyDescent="0.25">
      <c r="A820" s="5">
        <v>10848</v>
      </c>
      <c r="B820" s="21">
        <v>4056789012345</v>
      </c>
      <c r="C820" s="22" t="s">
        <v>47</v>
      </c>
      <c r="D820" s="22" t="s">
        <v>29</v>
      </c>
      <c r="E820" s="22" t="s">
        <v>37</v>
      </c>
      <c r="F820" s="6">
        <v>2.4</v>
      </c>
      <c r="G820" s="6">
        <v>2</v>
      </c>
      <c r="H820" s="22" t="s">
        <v>23</v>
      </c>
      <c r="I820" s="22" t="s">
        <v>605</v>
      </c>
      <c r="J820" s="23">
        <v>45869</v>
      </c>
      <c r="K820" s="6">
        <v>0</v>
      </c>
      <c r="L820" s="22">
        <v>4.8</v>
      </c>
      <c r="M820" s="22">
        <v>5</v>
      </c>
      <c r="N820" s="24">
        <v>45839</v>
      </c>
      <c r="O820" s="13" t="s">
        <v>1345</v>
      </c>
    </row>
    <row r="821" spans="1:15" x14ac:dyDescent="0.25">
      <c r="A821" s="7">
        <v>10849</v>
      </c>
      <c r="B821" s="25">
        <v>8599988776654</v>
      </c>
      <c r="C821" s="26" t="s">
        <v>393</v>
      </c>
      <c r="D821" s="26" t="s">
        <v>133</v>
      </c>
      <c r="E821" s="26" t="s">
        <v>17</v>
      </c>
      <c r="F821" s="8">
        <v>16.8</v>
      </c>
      <c r="G821" s="8">
        <v>1</v>
      </c>
      <c r="H821" s="26" t="s">
        <v>14</v>
      </c>
      <c r="I821" s="26" t="s">
        <v>15</v>
      </c>
      <c r="J821" s="27">
        <v>45869</v>
      </c>
      <c r="K821" s="8">
        <v>0</v>
      </c>
      <c r="L821" s="26">
        <v>16.8</v>
      </c>
      <c r="M821" s="26" t="s">
        <v>15</v>
      </c>
      <c r="N821" s="28">
        <v>45839</v>
      </c>
      <c r="O821" s="14" t="s">
        <v>1346</v>
      </c>
    </row>
    <row r="822" spans="1:15" x14ac:dyDescent="0.25">
      <c r="A822" s="5">
        <v>10850</v>
      </c>
      <c r="B822" s="21">
        <v>4027788990013</v>
      </c>
      <c r="C822" s="22" t="s">
        <v>43</v>
      </c>
      <c r="D822" s="22" t="s">
        <v>21</v>
      </c>
      <c r="E822" s="22" t="s">
        <v>22</v>
      </c>
      <c r="F822" s="6">
        <v>8</v>
      </c>
      <c r="G822" s="6">
        <v>1</v>
      </c>
      <c r="H822" s="22" t="s">
        <v>18</v>
      </c>
      <c r="I822" s="22" t="s">
        <v>606</v>
      </c>
      <c r="J822" s="23">
        <v>45869</v>
      </c>
      <c r="K822" s="6">
        <v>0</v>
      </c>
      <c r="L822" s="22">
        <v>8</v>
      </c>
      <c r="M822" s="22">
        <v>4</v>
      </c>
      <c r="N822" s="24">
        <v>45839</v>
      </c>
      <c r="O822" s="13" t="s">
        <v>1346</v>
      </c>
    </row>
    <row r="823" spans="1:15" x14ac:dyDescent="0.25">
      <c r="A823" s="7">
        <v>10851</v>
      </c>
      <c r="B823" s="25">
        <v>8599988776654</v>
      </c>
      <c r="C823" s="26" t="s">
        <v>393</v>
      </c>
      <c r="D823" s="26" t="s">
        <v>133</v>
      </c>
      <c r="E823" s="26" t="s">
        <v>17</v>
      </c>
      <c r="F823" s="8">
        <v>16.8</v>
      </c>
      <c r="G823" s="8">
        <v>2</v>
      </c>
      <c r="H823" s="26" t="s">
        <v>14</v>
      </c>
      <c r="I823" s="26" t="s">
        <v>15</v>
      </c>
      <c r="J823" s="27">
        <v>45869</v>
      </c>
      <c r="K823" s="8">
        <v>0</v>
      </c>
      <c r="L823" s="26">
        <v>33.6</v>
      </c>
      <c r="M823" s="26" t="s">
        <v>15</v>
      </c>
      <c r="N823" s="28">
        <v>45839</v>
      </c>
      <c r="O823" s="14" t="s">
        <v>1346</v>
      </c>
    </row>
    <row r="824" spans="1:15" x14ac:dyDescent="0.25">
      <c r="A824" s="5">
        <v>10852</v>
      </c>
      <c r="B824" s="21">
        <v>4017890123450</v>
      </c>
      <c r="C824" s="22" t="s">
        <v>65</v>
      </c>
      <c r="D824" s="22" t="s">
        <v>39</v>
      </c>
      <c r="E824" s="22" t="s">
        <v>22</v>
      </c>
      <c r="F824" s="6">
        <v>7.6</v>
      </c>
      <c r="G824" s="6">
        <v>1</v>
      </c>
      <c r="H824" s="22" t="s">
        <v>14</v>
      </c>
      <c r="I824" s="22" t="s">
        <v>15</v>
      </c>
      <c r="J824" s="23">
        <v>45869</v>
      </c>
      <c r="K824" s="6">
        <v>0</v>
      </c>
      <c r="L824" s="22">
        <v>7.6</v>
      </c>
      <c r="M824" s="22" t="s">
        <v>15</v>
      </c>
      <c r="N824" s="24">
        <v>45839</v>
      </c>
      <c r="O824" s="13" t="s">
        <v>1346</v>
      </c>
    </row>
    <row r="825" spans="1:15" x14ac:dyDescent="0.25">
      <c r="A825" s="7">
        <v>10853</v>
      </c>
      <c r="B825" s="25">
        <v>8599988776654</v>
      </c>
      <c r="C825" s="26" t="s">
        <v>393</v>
      </c>
      <c r="D825" s="26" t="s">
        <v>133</v>
      </c>
      <c r="E825" s="26" t="s">
        <v>17</v>
      </c>
      <c r="F825" s="8">
        <v>16.8</v>
      </c>
      <c r="G825" s="8">
        <v>1</v>
      </c>
      <c r="H825" s="26" t="s">
        <v>14</v>
      </c>
      <c r="I825" s="26" t="s">
        <v>15</v>
      </c>
      <c r="J825" s="27">
        <v>45869</v>
      </c>
      <c r="K825" s="8">
        <v>0</v>
      </c>
      <c r="L825" s="26">
        <v>16.8</v>
      </c>
      <c r="M825" s="26" t="s">
        <v>15</v>
      </c>
      <c r="N825" s="28">
        <v>45839</v>
      </c>
      <c r="O825" s="14" t="s">
        <v>1346</v>
      </c>
    </row>
    <row r="826" spans="1:15" x14ac:dyDescent="0.25">
      <c r="A826" s="5">
        <v>10854</v>
      </c>
      <c r="B826" s="21">
        <v>4010123456783</v>
      </c>
      <c r="C826" s="22" t="s">
        <v>35</v>
      </c>
      <c r="D826" s="22" t="s">
        <v>36</v>
      </c>
      <c r="E826" s="22" t="s">
        <v>37</v>
      </c>
      <c r="F826" s="6">
        <v>14</v>
      </c>
      <c r="G826" s="6">
        <v>1</v>
      </c>
      <c r="H826" s="22" t="s">
        <v>23</v>
      </c>
      <c r="I826" s="22" t="s">
        <v>607</v>
      </c>
      <c r="J826" s="23">
        <v>45869</v>
      </c>
      <c r="K826" s="6">
        <v>0</v>
      </c>
      <c r="L826" s="22">
        <v>14</v>
      </c>
      <c r="M826" s="22">
        <v>5</v>
      </c>
      <c r="N826" s="24">
        <v>45839</v>
      </c>
      <c r="O826" s="13" t="s">
        <v>1345</v>
      </c>
    </row>
    <row r="827" spans="1:15" x14ac:dyDescent="0.25">
      <c r="A827" s="7">
        <v>10855</v>
      </c>
      <c r="B827" s="25">
        <v>8599988776654</v>
      </c>
      <c r="C827" s="26" t="s">
        <v>393</v>
      </c>
      <c r="D827" s="26" t="s">
        <v>133</v>
      </c>
      <c r="E827" s="26" t="s">
        <v>17</v>
      </c>
      <c r="F827" s="8">
        <v>16.8</v>
      </c>
      <c r="G827" s="8">
        <v>1</v>
      </c>
      <c r="H827" s="26" t="s">
        <v>14</v>
      </c>
      <c r="I827" s="26" t="s">
        <v>15</v>
      </c>
      <c r="J827" s="27">
        <v>45869</v>
      </c>
      <c r="K827" s="8">
        <v>0</v>
      </c>
      <c r="L827" s="26">
        <v>16.8</v>
      </c>
      <c r="M827" s="26" t="s">
        <v>15</v>
      </c>
      <c r="N827" s="28">
        <v>45839</v>
      </c>
      <c r="O827" s="14" t="s">
        <v>1346</v>
      </c>
    </row>
    <row r="828" spans="1:15" x14ac:dyDescent="0.25">
      <c r="A828" s="5">
        <v>10856</v>
      </c>
      <c r="B828" s="21">
        <v>4028899001126</v>
      </c>
      <c r="C828" s="22" t="s">
        <v>16</v>
      </c>
      <c r="D828" s="22" t="s">
        <v>12</v>
      </c>
      <c r="E828" s="22" t="s">
        <v>17</v>
      </c>
      <c r="F828" s="6">
        <v>2.8</v>
      </c>
      <c r="G828" s="6">
        <v>2</v>
      </c>
      <c r="H828" s="22" t="s">
        <v>14</v>
      </c>
      <c r="I828" s="22" t="s">
        <v>15</v>
      </c>
      <c r="J828" s="23">
        <v>45869</v>
      </c>
      <c r="K828" s="6">
        <v>0</v>
      </c>
      <c r="L828" s="22">
        <v>5.6</v>
      </c>
      <c r="M828" s="22" t="s">
        <v>15</v>
      </c>
      <c r="N828" s="24">
        <v>45839</v>
      </c>
      <c r="O828" s="13" t="s">
        <v>1346</v>
      </c>
    </row>
    <row r="829" spans="1:15" x14ac:dyDescent="0.25">
      <c r="A829" s="7">
        <v>10857</v>
      </c>
      <c r="B829" s="25">
        <v>8599988776654</v>
      </c>
      <c r="C829" s="26" t="s">
        <v>393</v>
      </c>
      <c r="D829" s="26" t="s">
        <v>133</v>
      </c>
      <c r="E829" s="26" t="s">
        <v>17</v>
      </c>
      <c r="F829" s="8">
        <v>16.8</v>
      </c>
      <c r="G829" s="8">
        <v>1</v>
      </c>
      <c r="H829" s="26" t="s">
        <v>23</v>
      </c>
      <c r="I829" s="26" t="s">
        <v>608</v>
      </c>
      <c r="J829" s="27">
        <v>45869</v>
      </c>
      <c r="K829" s="8">
        <v>0</v>
      </c>
      <c r="L829" s="26">
        <v>16.8</v>
      </c>
      <c r="M829" s="26">
        <v>5</v>
      </c>
      <c r="N829" s="28">
        <v>45839</v>
      </c>
      <c r="O829" s="14" t="s">
        <v>1346</v>
      </c>
    </row>
    <row r="830" spans="1:15" x14ac:dyDescent="0.25">
      <c r="A830" s="5">
        <v>10858</v>
      </c>
      <c r="B830" s="21">
        <v>4013456789017</v>
      </c>
      <c r="C830" s="22" t="s">
        <v>11</v>
      </c>
      <c r="D830" s="22" t="s">
        <v>12</v>
      </c>
      <c r="E830" s="22" t="s">
        <v>13</v>
      </c>
      <c r="F830" s="6">
        <v>6</v>
      </c>
      <c r="G830" s="6">
        <v>1</v>
      </c>
      <c r="H830" s="22" t="s">
        <v>14</v>
      </c>
      <c r="I830" s="22" t="s">
        <v>15</v>
      </c>
      <c r="J830" s="23">
        <v>45869</v>
      </c>
      <c r="K830" s="6">
        <v>0</v>
      </c>
      <c r="L830" s="22">
        <v>6</v>
      </c>
      <c r="M830" s="22" t="s">
        <v>15</v>
      </c>
      <c r="N830" s="24">
        <v>45839</v>
      </c>
      <c r="O830" s="13" t="s">
        <v>1346</v>
      </c>
    </row>
    <row r="831" spans="1:15" x14ac:dyDescent="0.25">
      <c r="A831" s="7">
        <v>10859</v>
      </c>
      <c r="B831" s="25">
        <v>8599988776654</v>
      </c>
      <c r="C831" s="26" t="s">
        <v>393</v>
      </c>
      <c r="D831" s="26" t="s">
        <v>133</v>
      </c>
      <c r="E831" s="26" t="s">
        <v>17</v>
      </c>
      <c r="F831" s="8">
        <v>16.8</v>
      </c>
      <c r="G831" s="8">
        <v>1</v>
      </c>
      <c r="H831" s="26" t="s">
        <v>14</v>
      </c>
      <c r="I831" s="26" t="s">
        <v>15</v>
      </c>
      <c r="J831" s="27">
        <v>45869</v>
      </c>
      <c r="K831" s="8">
        <v>0</v>
      </c>
      <c r="L831" s="26">
        <v>16.8</v>
      </c>
      <c r="M831" s="26" t="s">
        <v>15</v>
      </c>
      <c r="N831" s="28">
        <v>45839</v>
      </c>
      <c r="O831" s="14" t="s">
        <v>1346</v>
      </c>
    </row>
    <row r="832" spans="1:15" x14ac:dyDescent="0.25">
      <c r="A832" s="5">
        <v>10860</v>
      </c>
      <c r="B832" s="21">
        <v>4010123456783</v>
      </c>
      <c r="C832" s="22" t="s">
        <v>35</v>
      </c>
      <c r="D832" s="22" t="s">
        <v>36</v>
      </c>
      <c r="E832" s="22" t="s">
        <v>37</v>
      </c>
      <c r="F832" s="6">
        <v>14</v>
      </c>
      <c r="G832" s="6">
        <v>1</v>
      </c>
      <c r="H832" s="22" t="s">
        <v>14</v>
      </c>
      <c r="I832" s="22" t="s">
        <v>15</v>
      </c>
      <c r="J832" s="23">
        <v>45869</v>
      </c>
      <c r="K832" s="6">
        <v>0</v>
      </c>
      <c r="L832" s="22">
        <v>14</v>
      </c>
      <c r="M832" s="22" t="s">
        <v>15</v>
      </c>
      <c r="N832" s="24">
        <v>45839</v>
      </c>
      <c r="O832" s="13" t="s">
        <v>1345</v>
      </c>
    </row>
    <row r="833" spans="1:15" x14ac:dyDescent="0.25">
      <c r="A833" s="7">
        <v>10861</v>
      </c>
      <c r="B833" s="25">
        <v>4063456789014</v>
      </c>
      <c r="C833" s="26" t="s">
        <v>60</v>
      </c>
      <c r="D833" s="26" t="s">
        <v>12</v>
      </c>
      <c r="E833" s="26" t="s">
        <v>61</v>
      </c>
      <c r="F833" s="8">
        <v>36</v>
      </c>
      <c r="G833" s="8">
        <v>1</v>
      </c>
      <c r="H833" s="26" t="s">
        <v>23</v>
      </c>
      <c r="I833" s="26" t="s">
        <v>609</v>
      </c>
      <c r="J833" s="27">
        <v>45869</v>
      </c>
      <c r="K833" s="8">
        <v>0</v>
      </c>
      <c r="L833" s="26">
        <v>36</v>
      </c>
      <c r="M833" s="26">
        <v>5</v>
      </c>
      <c r="N833" s="28">
        <v>45839</v>
      </c>
      <c r="O833" s="14" t="s">
        <v>1346</v>
      </c>
    </row>
    <row r="834" spans="1:15" x14ac:dyDescent="0.25">
      <c r="A834" s="5">
        <v>10862</v>
      </c>
      <c r="B834" s="21">
        <v>8599988776654</v>
      </c>
      <c r="C834" s="22" t="s">
        <v>393</v>
      </c>
      <c r="D834" s="22" t="s">
        <v>133</v>
      </c>
      <c r="E834" s="22" t="s">
        <v>17</v>
      </c>
      <c r="F834" s="6">
        <v>16.8</v>
      </c>
      <c r="G834" s="6">
        <v>2</v>
      </c>
      <c r="H834" s="22" t="s">
        <v>14</v>
      </c>
      <c r="I834" s="22" t="s">
        <v>15</v>
      </c>
      <c r="J834" s="23">
        <v>45869</v>
      </c>
      <c r="K834" s="6">
        <v>0</v>
      </c>
      <c r="L834" s="22">
        <v>33.6</v>
      </c>
      <c r="M834" s="22" t="s">
        <v>15</v>
      </c>
      <c r="N834" s="24">
        <v>45839</v>
      </c>
      <c r="O834" s="13" t="s">
        <v>1346</v>
      </c>
    </row>
    <row r="835" spans="1:15" x14ac:dyDescent="0.25">
      <c r="A835" s="7">
        <v>10863</v>
      </c>
      <c r="B835" s="25">
        <v>4021234567894</v>
      </c>
      <c r="C835" s="26" t="s">
        <v>79</v>
      </c>
      <c r="D835" s="26" t="s">
        <v>36</v>
      </c>
      <c r="E835" s="26" t="s">
        <v>69</v>
      </c>
      <c r="F835" s="8">
        <v>8</v>
      </c>
      <c r="G835" s="8">
        <v>1</v>
      </c>
      <c r="H835" s="26" t="s">
        <v>14</v>
      </c>
      <c r="I835" s="26" t="s">
        <v>15</v>
      </c>
      <c r="J835" s="27">
        <v>45869</v>
      </c>
      <c r="K835" s="8">
        <v>0</v>
      </c>
      <c r="L835" s="26">
        <v>8</v>
      </c>
      <c r="M835" s="26" t="s">
        <v>15</v>
      </c>
      <c r="N835" s="28">
        <v>45839</v>
      </c>
      <c r="O835" s="14" t="s">
        <v>1345</v>
      </c>
    </row>
    <row r="836" spans="1:15" x14ac:dyDescent="0.25">
      <c r="A836" s="5">
        <v>10864</v>
      </c>
      <c r="B836" s="21">
        <v>8599988776654</v>
      </c>
      <c r="C836" s="22" t="s">
        <v>393</v>
      </c>
      <c r="D836" s="22" t="s">
        <v>133</v>
      </c>
      <c r="E836" s="22" t="s">
        <v>17</v>
      </c>
      <c r="F836" s="6">
        <v>16.8</v>
      </c>
      <c r="G836" s="6">
        <v>1</v>
      </c>
      <c r="H836" s="22" t="s">
        <v>14</v>
      </c>
      <c r="I836" s="22" t="s">
        <v>15</v>
      </c>
      <c r="J836" s="23">
        <v>45869</v>
      </c>
      <c r="K836" s="6">
        <v>0</v>
      </c>
      <c r="L836" s="22">
        <v>16.8</v>
      </c>
      <c r="M836" s="22" t="s">
        <v>15</v>
      </c>
      <c r="N836" s="24">
        <v>45839</v>
      </c>
      <c r="O836" s="13" t="s">
        <v>1346</v>
      </c>
    </row>
    <row r="837" spans="1:15" x14ac:dyDescent="0.25">
      <c r="A837" s="7">
        <v>10865</v>
      </c>
      <c r="B837" s="25">
        <v>4056789012345</v>
      </c>
      <c r="C837" s="26" t="s">
        <v>47</v>
      </c>
      <c r="D837" s="26" t="s">
        <v>29</v>
      </c>
      <c r="E837" s="26" t="s">
        <v>37</v>
      </c>
      <c r="F837" s="8">
        <v>2.4</v>
      </c>
      <c r="G837" s="8">
        <v>2</v>
      </c>
      <c r="H837" s="26" t="s">
        <v>18</v>
      </c>
      <c r="I837" s="26" t="s">
        <v>610</v>
      </c>
      <c r="J837" s="27">
        <v>45869</v>
      </c>
      <c r="K837" s="8">
        <v>0</v>
      </c>
      <c r="L837" s="26">
        <v>4.8</v>
      </c>
      <c r="M837" s="26">
        <v>4</v>
      </c>
      <c r="N837" s="28">
        <v>45839</v>
      </c>
      <c r="O837" s="14" t="s">
        <v>1345</v>
      </c>
    </row>
    <row r="838" spans="1:15" x14ac:dyDescent="0.25">
      <c r="A838" s="5">
        <v>10866</v>
      </c>
      <c r="B838" s="21">
        <v>8599988776654</v>
      </c>
      <c r="C838" s="22" t="s">
        <v>393</v>
      </c>
      <c r="D838" s="22" t="s">
        <v>133</v>
      </c>
      <c r="E838" s="22" t="s">
        <v>17</v>
      </c>
      <c r="F838" s="6">
        <v>16.8</v>
      </c>
      <c r="G838" s="6">
        <v>1</v>
      </c>
      <c r="H838" s="22" t="s">
        <v>14</v>
      </c>
      <c r="I838" s="22" t="s">
        <v>15</v>
      </c>
      <c r="J838" s="23">
        <v>45869</v>
      </c>
      <c r="K838" s="6">
        <v>0</v>
      </c>
      <c r="L838" s="22">
        <v>16.8</v>
      </c>
      <c r="M838" s="22" t="s">
        <v>15</v>
      </c>
      <c r="N838" s="24">
        <v>45839</v>
      </c>
      <c r="O838" s="13" t="s">
        <v>1346</v>
      </c>
    </row>
    <row r="839" spans="1:15" x14ac:dyDescent="0.25">
      <c r="A839" s="7">
        <v>10867</v>
      </c>
      <c r="B839" s="25">
        <v>4013456789017</v>
      </c>
      <c r="C839" s="26" t="s">
        <v>11</v>
      </c>
      <c r="D839" s="26" t="s">
        <v>12</v>
      </c>
      <c r="E839" s="26" t="s">
        <v>13</v>
      </c>
      <c r="F839" s="8">
        <v>6</v>
      </c>
      <c r="G839" s="8">
        <v>1</v>
      </c>
      <c r="H839" s="26" t="s">
        <v>14</v>
      </c>
      <c r="I839" s="26" t="s">
        <v>15</v>
      </c>
      <c r="J839" s="27">
        <v>45869</v>
      </c>
      <c r="K839" s="8">
        <v>0</v>
      </c>
      <c r="L839" s="26">
        <v>6</v>
      </c>
      <c r="M839" s="26" t="s">
        <v>15</v>
      </c>
      <c r="N839" s="28">
        <v>45839</v>
      </c>
      <c r="O839" s="14" t="s">
        <v>1346</v>
      </c>
    </row>
    <row r="840" spans="1:15" x14ac:dyDescent="0.25">
      <c r="A840" s="5">
        <v>10868</v>
      </c>
      <c r="B840" s="21">
        <v>8599988776654</v>
      </c>
      <c r="C840" s="22" t="s">
        <v>393</v>
      </c>
      <c r="D840" s="22" t="s">
        <v>133</v>
      </c>
      <c r="E840" s="22" t="s">
        <v>17</v>
      </c>
      <c r="F840" s="6">
        <v>16.8</v>
      </c>
      <c r="G840" s="6">
        <v>2</v>
      </c>
      <c r="H840" s="22" t="s">
        <v>23</v>
      </c>
      <c r="I840" s="22" t="s">
        <v>611</v>
      </c>
      <c r="J840" s="23">
        <v>45869</v>
      </c>
      <c r="K840" s="6">
        <v>0</v>
      </c>
      <c r="L840" s="22">
        <v>33.6</v>
      </c>
      <c r="M840" s="22">
        <v>5</v>
      </c>
      <c r="N840" s="24">
        <v>45839</v>
      </c>
      <c r="O840" s="13" t="s">
        <v>1346</v>
      </c>
    </row>
    <row r="841" spans="1:15" x14ac:dyDescent="0.25">
      <c r="A841" s="7">
        <v>10869</v>
      </c>
      <c r="B841" s="25">
        <v>4017890123450</v>
      </c>
      <c r="C841" s="26" t="s">
        <v>65</v>
      </c>
      <c r="D841" s="26" t="s">
        <v>39</v>
      </c>
      <c r="E841" s="26" t="s">
        <v>22</v>
      </c>
      <c r="F841" s="8">
        <v>7.6</v>
      </c>
      <c r="G841" s="8">
        <v>1</v>
      </c>
      <c r="H841" s="26" t="s">
        <v>14</v>
      </c>
      <c r="I841" s="26" t="s">
        <v>15</v>
      </c>
      <c r="J841" s="27">
        <v>45869</v>
      </c>
      <c r="K841" s="8">
        <v>0</v>
      </c>
      <c r="L841" s="26">
        <v>7.6</v>
      </c>
      <c r="M841" s="26" t="s">
        <v>15</v>
      </c>
      <c r="N841" s="28">
        <v>45839</v>
      </c>
      <c r="O841" s="14" t="s">
        <v>1346</v>
      </c>
    </row>
    <row r="842" spans="1:15" x14ac:dyDescent="0.25">
      <c r="A842" s="5">
        <v>10870</v>
      </c>
      <c r="B842" s="21">
        <v>8599988776654</v>
      </c>
      <c r="C842" s="22" t="s">
        <v>393</v>
      </c>
      <c r="D842" s="22" t="s">
        <v>133</v>
      </c>
      <c r="E842" s="22" t="s">
        <v>17</v>
      </c>
      <c r="F842" s="6">
        <v>16.8</v>
      </c>
      <c r="G842" s="6">
        <v>1</v>
      </c>
      <c r="H842" s="22" t="s">
        <v>14</v>
      </c>
      <c r="I842" s="22" t="s">
        <v>15</v>
      </c>
      <c r="J842" s="23">
        <v>45869</v>
      </c>
      <c r="K842" s="6">
        <v>0</v>
      </c>
      <c r="L842" s="22">
        <v>16.8</v>
      </c>
      <c r="M842" s="22" t="s">
        <v>15</v>
      </c>
      <c r="N842" s="24">
        <v>45839</v>
      </c>
      <c r="O842" s="13" t="s">
        <v>1346</v>
      </c>
    </row>
    <row r="843" spans="1:15" x14ac:dyDescent="0.25">
      <c r="A843" s="7">
        <v>10871</v>
      </c>
      <c r="B843" s="25">
        <v>4010123456783</v>
      </c>
      <c r="C843" s="26" t="s">
        <v>35</v>
      </c>
      <c r="D843" s="26" t="s">
        <v>36</v>
      </c>
      <c r="E843" s="26" t="s">
        <v>37</v>
      </c>
      <c r="F843" s="8">
        <v>14</v>
      </c>
      <c r="G843" s="8">
        <v>1</v>
      </c>
      <c r="H843" s="26" t="s">
        <v>14</v>
      </c>
      <c r="I843" s="26" t="s">
        <v>15</v>
      </c>
      <c r="J843" s="27">
        <v>45869</v>
      </c>
      <c r="K843" s="8">
        <v>0</v>
      </c>
      <c r="L843" s="26">
        <v>14</v>
      </c>
      <c r="M843" s="26" t="s">
        <v>15</v>
      </c>
      <c r="N843" s="28">
        <v>45839</v>
      </c>
      <c r="O843" s="14" t="s">
        <v>1345</v>
      </c>
    </row>
    <row r="844" spans="1:15" x14ac:dyDescent="0.25">
      <c r="A844" s="5">
        <v>10872</v>
      </c>
      <c r="B844" s="21">
        <v>4063456789014</v>
      </c>
      <c r="C844" s="22" t="s">
        <v>60</v>
      </c>
      <c r="D844" s="22" t="s">
        <v>12</v>
      </c>
      <c r="E844" s="22" t="s">
        <v>61</v>
      </c>
      <c r="F844" s="6">
        <v>36</v>
      </c>
      <c r="G844" s="6">
        <v>1</v>
      </c>
      <c r="H844" s="22" t="s">
        <v>23</v>
      </c>
      <c r="I844" s="22" t="s">
        <v>612</v>
      </c>
      <c r="J844" s="23">
        <v>45869</v>
      </c>
      <c r="K844" s="6">
        <v>0</v>
      </c>
      <c r="L844" s="22">
        <v>36</v>
      </c>
      <c r="M844" s="22">
        <v>5</v>
      </c>
      <c r="N844" s="24">
        <v>45839</v>
      </c>
      <c r="O844" s="13" t="s">
        <v>1346</v>
      </c>
    </row>
    <row r="845" spans="1:15" x14ac:dyDescent="0.25">
      <c r="A845" s="7">
        <v>10873</v>
      </c>
      <c r="B845" s="25">
        <v>8599988776654</v>
      </c>
      <c r="C845" s="26" t="s">
        <v>393</v>
      </c>
      <c r="D845" s="26" t="s">
        <v>133</v>
      </c>
      <c r="E845" s="26" t="s">
        <v>17</v>
      </c>
      <c r="F845" s="8">
        <v>16.8</v>
      </c>
      <c r="G845" s="8">
        <v>1</v>
      </c>
      <c r="H845" s="26" t="s">
        <v>14</v>
      </c>
      <c r="I845" s="26" t="s">
        <v>15</v>
      </c>
      <c r="J845" s="27">
        <v>45869</v>
      </c>
      <c r="K845" s="8">
        <v>0</v>
      </c>
      <c r="L845" s="26">
        <v>16.8</v>
      </c>
      <c r="M845" s="26" t="s">
        <v>15</v>
      </c>
      <c r="N845" s="28">
        <v>45839</v>
      </c>
      <c r="O845" s="14" t="s">
        <v>1346</v>
      </c>
    </row>
    <row r="846" spans="1:15" x14ac:dyDescent="0.25">
      <c r="A846" s="5">
        <v>10874</v>
      </c>
      <c r="B846" s="21">
        <v>4013456789017</v>
      </c>
      <c r="C846" s="22" t="s">
        <v>11</v>
      </c>
      <c r="D846" s="22" t="s">
        <v>12</v>
      </c>
      <c r="E846" s="22" t="s">
        <v>13</v>
      </c>
      <c r="F846" s="6">
        <v>6</v>
      </c>
      <c r="G846" s="6">
        <v>1</v>
      </c>
      <c r="H846" s="22" t="s">
        <v>18</v>
      </c>
      <c r="I846" s="22" t="s">
        <v>613</v>
      </c>
      <c r="J846" s="23">
        <v>45869</v>
      </c>
      <c r="K846" s="6">
        <v>0</v>
      </c>
      <c r="L846" s="22">
        <v>6</v>
      </c>
      <c r="M846" s="22">
        <v>4</v>
      </c>
      <c r="N846" s="24">
        <v>45839</v>
      </c>
      <c r="O846" s="13" t="s">
        <v>1346</v>
      </c>
    </row>
    <row r="847" spans="1:15" x14ac:dyDescent="0.25">
      <c r="A847" s="7">
        <v>10875</v>
      </c>
      <c r="B847" s="25">
        <v>8599988776654</v>
      </c>
      <c r="C847" s="26" t="s">
        <v>393</v>
      </c>
      <c r="D847" s="26" t="s">
        <v>133</v>
      </c>
      <c r="E847" s="26" t="s">
        <v>17</v>
      </c>
      <c r="F847" s="8">
        <v>16.8</v>
      </c>
      <c r="G847" s="8">
        <v>2</v>
      </c>
      <c r="H847" s="26" t="s">
        <v>14</v>
      </c>
      <c r="I847" s="26" t="s">
        <v>15</v>
      </c>
      <c r="J847" s="27">
        <v>45869</v>
      </c>
      <c r="K847" s="8">
        <v>0</v>
      </c>
      <c r="L847" s="26">
        <v>33.6</v>
      </c>
      <c r="M847" s="26" t="s">
        <v>15</v>
      </c>
      <c r="N847" s="28">
        <v>45839</v>
      </c>
      <c r="O847" s="14" t="s">
        <v>1346</v>
      </c>
    </row>
    <row r="848" spans="1:15" x14ac:dyDescent="0.25">
      <c r="A848" s="5">
        <v>10876</v>
      </c>
      <c r="B848" s="21">
        <v>4017890123450</v>
      </c>
      <c r="C848" s="22" t="s">
        <v>65</v>
      </c>
      <c r="D848" s="22" t="s">
        <v>39</v>
      </c>
      <c r="E848" s="22" t="s">
        <v>22</v>
      </c>
      <c r="F848" s="6">
        <v>7.6</v>
      </c>
      <c r="G848" s="6">
        <v>1</v>
      </c>
      <c r="H848" s="22" t="s">
        <v>14</v>
      </c>
      <c r="I848" s="22" t="s">
        <v>15</v>
      </c>
      <c r="J848" s="23">
        <v>45869</v>
      </c>
      <c r="K848" s="6">
        <v>0</v>
      </c>
      <c r="L848" s="22">
        <v>7.6</v>
      </c>
      <c r="M848" s="22" t="s">
        <v>15</v>
      </c>
      <c r="N848" s="24">
        <v>45839</v>
      </c>
      <c r="O848" s="13" t="s">
        <v>1346</v>
      </c>
    </row>
    <row r="849" spans="1:15" x14ac:dyDescent="0.25">
      <c r="A849" s="7">
        <v>10877</v>
      </c>
      <c r="B849" s="25">
        <v>8599988776654</v>
      </c>
      <c r="C849" s="26" t="s">
        <v>393</v>
      </c>
      <c r="D849" s="26" t="s">
        <v>133</v>
      </c>
      <c r="E849" s="26" t="s">
        <v>17</v>
      </c>
      <c r="F849" s="8">
        <v>16.8</v>
      </c>
      <c r="G849" s="8">
        <v>1</v>
      </c>
      <c r="H849" s="26" t="s">
        <v>14</v>
      </c>
      <c r="I849" s="26" t="s">
        <v>15</v>
      </c>
      <c r="J849" s="27">
        <v>45869</v>
      </c>
      <c r="K849" s="8">
        <v>0</v>
      </c>
      <c r="L849" s="26">
        <v>16.8</v>
      </c>
      <c r="M849" s="26" t="s">
        <v>15</v>
      </c>
      <c r="N849" s="28">
        <v>45839</v>
      </c>
      <c r="O849" s="14" t="s">
        <v>1346</v>
      </c>
    </row>
    <row r="850" spans="1:15" x14ac:dyDescent="0.25">
      <c r="A850" s="5">
        <v>10878</v>
      </c>
      <c r="B850" s="21">
        <v>4056789012345</v>
      </c>
      <c r="C850" s="22" t="s">
        <v>47</v>
      </c>
      <c r="D850" s="22" t="s">
        <v>29</v>
      </c>
      <c r="E850" s="22" t="s">
        <v>37</v>
      </c>
      <c r="F850" s="6">
        <v>2.4</v>
      </c>
      <c r="G850" s="6">
        <v>2</v>
      </c>
      <c r="H850" s="22" t="s">
        <v>23</v>
      </c>
      <c r="I850" s="22" t="s">
        <v>614</v>
      </c>
      <c r="J850" s="23">
        <v>45869</v>
      </c>
      <c r="K850" s="6">
        <v>0</v>
      </c>
      <c r="L850" s="22">
        <v>4.8</v>
      </c>
      <c r="M850" s="22">
        <v>5</v>
      </c>
      <c r="N850" s="24">
        <v>45839</v>
      </c>
      <c r="O850" s="13" t="s">
        <v>1345</v>
      </c>
    </row>
    <row r="851" spans="1:15" x14ac:dyDescent="0.25">
      <c r="A851" s="7">
        <v>10879</v>
      </c>
      <c r="B851" s="25">
        <v>8599988776654</v>
      </c>
      <c r="C851" s="26" t="s">
        <v>393</v>
      </c>
      <c r="D851" s="26" t="s">
        <v>133</v>
      </c>
      <c r="E851" s="26" t="s">
        <v>17</v>
      </c>
      <c r="F851" s="8">
        <v>16.8</v>
      </c>
      <c r="G851" s="8">
        <v>1</v>
      </c>
      <c r="H851" s="26" t="s">
        <v>14</v>
      </c>
      <c r="I851" s="26" t="s">
        <v>15</v>
      </c>
      <c r="J851" s="27">
        <v>45869</v>
      </c>
      <c r="K851" s="8">
        <v>0</v>
      </c>
      <c r="L851" s="26">
        <v>16.8</v>
      </c>
      <c r="M851" s="26" t="s">
        <v>15</v>
      </c>
      <c r="N851" s="28">
        <v>45839</v>
      </c>
      <c r="O851" s="14" t="s">
        <v>1346</v>
      </c>
    </row>
    <row r="852" spans="1:15" x14ac:dyDescent="0.25">
      <c r="A852" s="5">
        <v>10880</v>
      </c>
      <c r="B852" s="21">
        <v>4028899001126</v>
      </c>
      <c r="C852" s="22" t="s">
        <v>16</v>
      </c>
      <c r="D852" s="22" t="s">
        <v>12</v>
      </c>
      <c r="E852" s="22" t="s">
        <v>17</v>
      </c>
      <c r="F852" s="6">
        <v>2.8</v>
      </c>
      <c r="G852" s="6">
        <v>3</v>
      </c>
      <c r="H852" s="22" t="s">
        <v>14</v>
      </c>
      <c r="I852" s="22" t="s">
        <v>15</v>
      </c>
      <c r="J852" s="23">
        <v>45869</v>
      </c>
      <c r="K852" s="6">
        <v>0</v>
      </c>
      <c r="L852" s="22">
        <v>8.3999999999999986</v>
      </c>
      <c r="M852" s="22" t="s">
        <v>15</v>
      </c>
      <c r="N852" s="24">
        <v>45839</v>
      </c>
      <c r="O852" s="13" t="s">
        <v>1346</v>
      </c>
    </row>
    <row r="853" spans="1:15" x14ac:dyDescent="0.25">
      <c r="A853" s="7">
        <v>10881</v>
      </c>
      <c r="B853" s="25">
        <v>8599988776654</v>
      </c>
      <c r="C853" s="26" t="s">
        <v>393</v>
      </c>
      <c r="D853" s="26" t="s">
        <v>133</v>
      </c>
      <c r="E853" s="26" t="s">
        <v>17</v>
      </c>
      <c r="F853" s="8">
        <v>16.8</v>
      </c>
      <c r="G853" s="8">
        <v>1</v>
      </c>
      <c r="H853" s="26" t="s">
        <v>14</v>
      </c>
      <c r="I853" s="26" t="s">
        <v>15</v>
      </c>
      <c r="J853" s="27">
        <v>45869</v>
      </c>
      <c r="K853" s="8">
        <v>0</v>
      </c>
      <c r="L853" s="26">
        <v>16.8</v>
      </c>
      <c r="M853" s="26" t="s">
        <v>15</v>
      </c>
      <c r="N853" s="28">
        <v>45839</v>
      </c>
      <c r="O853" s="14" t="s">
        <v>1346</v>
      </c>
    </row>
    <row r="854" spans="1:15" x14ac:dyDescent="0.25">
      <c r="A854" s="5">
        <v>10882</v>
      </c>
      <c r="B854" s="21">
        <v>4013456789017</v>
      </c>
      <c r="C854" s="22" t="s">
        <v>11</v>
      </c>
      <c r="D854" s="22" t="s">
        <v>12</v>
      </c>
      <c r="E854" s="22" t="s">
        <v>13</v>
      </c>
      <c r="F854" s="6">
        <v>6</v>
      </c>
      <c r="G854" s="6">
        <v>1</v>
      </c>
      <c r="H854" s="22" t="s">
        <v>18</v>
      </c>
      <c r="I854" s="22" t="s">
        <v>186</v>
      </c>
      <c r="J854" s="23">
        <v>45869</v>
      </c>
      <c r="K854" s="6">
        <v>0</v>
      </c>
      <c r="L854" s="22">
        <v>6</v>
      </c>
      <c r="M854" s="22">
        <v>4</v>
      </c>
      <c r="N854" s="24">
        <v>45839</v>
      </c>
      <c r="O854" s="13" t="s">
        <v>1346</v>
      </c>
    </row>
    <row r="855" spans="1:15" x14ac:dyDescent="0.25">
      <c r="A855" s="7">
        <v>10883</v>
      </c>
      <c r="B855" s="25">
        <v>8599988776654</v>
      </c>
      <c r="C855" s="26" t="s">
        <v>393</v>
      </c>
      <c r="D855" s="26" t="s">
        <v>133</v>
      </c>
      <c r="E855" s="26" t="s">
        <v>17</v>
      </c>
      <c r="F855" s="8">
        <v>16.8</v>
      </c>
      <c r="G855" s="8">
        <v>1</v>
      </c>
      <c r="H855" s="26" t="s">
        <v>14</v>
      </c>
      <c r="I855" s="26" t="s">
        <v>15</v>
      </c>
      <c r="J855" s="27">
        <v>45869</v>
      </c>
      <c r="K855" s="8">
        <v>0</v>
      </c>
      <c r="L855" s="26">
        <v>16.8</v>
      </c>
      <c r="M855" s="26" t="s">
        <v>15</v>
      </c>
      <c r="N855" s="28">
        <v>45839</v>
      </c>
      <c r="O855" s="14" t="s">
        <v>1346</v>
      </c>
    </row>
    <row r="856" spans="1:15" x14ac:dyDescent="0.25">
      <c r="A856" s="5">
        <v>10884</v>
      </c>
      <c r="B856" s="21">
        <v>4010123456783</v>
      </c>
      <c r="C856" s="22" t="s">
        <v>35</v>
      </c>
      <c r="D856" s="22" t="s">
        <v>36</v>
      </c>
      <c r="E856" s="22" t="s">
        <v>37</v>
      </c>
      <c r="F856" s="6">
        <v>14</v>
      </c>
      <c r="G856" s="6">
        <v>1</v>
      </c>
      <c r="H856" s="22" t="s">
        <v>14</v>
      </c>
      <c r="I856" s="22" t="s">
        <v>15</v>
      </c>
      <c r="J856" s="23">
        <v>45869</v>
      </c>
      <c r="K856" s="6">
        <v>0</v>
      </c>
      <c r="L856" s="22">
        <v>14</v>
      </c>
      <c r="M856" s="22" t="s">
        <v>15</v>
      </c>
      <c r="N856" s="24">
        <v>45839</v>
      </c>
      <c r="O856" s="13" t="s">
        <v>1345</v>
      </c>
    </row>
    <row r="857" spans="1:15" x14ac:dyDescent="0.25">
      <c r="A857" s="7">
        <v>10885</v>
      </c>
      <c r="B857" s="25">
        <v>4063456789014</v>
      </c>
      <c r="C857" s="26" t="s">
        <v>60</v>
      </c>
      <c r="D857" s="26" t="s">
        <v>12</v>
      </c>
      <c r="E857" s="26" t="s">
        <v>61</v>
      </c>
      <c r="F857" s="8">
        <v>36</v>
      </c>
      <c r="G857" s="8">
        <v>1</v>
      </c>
      <c r="H857" s="26" t="s">
        <v>23</v>
      </c>
      <c r="I857" s="26" t="s">
        <v>615</v>
      </c>
      <c r="J857" s="27">
        <v>45869</v>
      </c>
      <c r="K857" s="8">
        <v>0</v>
      </c>
      <c r="L857" s="26">
        <v>36</v>
      </c>
      <c r="M857" s="26">
        <v>5</v>
      </c>
      <c r="N857" s="28">
        <v>45839</v>
      </c>
      <c r="O857" s="14" t="s">
        <v>1346</v>
      </c>
    </row>
    <row r="858" spans="1:15" x14ac:dyDescent="0.25">
      <c r="A858" s="5">
        <v>10886</v>
      </c>
      <c r="B858" s="21">
        <v>8599988776654</v>
      </c>
      <c r="C858" s="22" t="s">
        <v>393</v>
      </c>
      <c r="D858" s="22" t="s">
        <v>133</v>
      </c>
      <c r="E858" s="22" t="s">
        <v>17</v>
      </c>
      <c r="F858" s="6">
        <v>16.8</v>
      </c>
      <c r="G858" s="6">
        <v>2</v>
      </c>
      <c r="H858" s="22" t="s">
        <v>14</v>
      </c>
      <c r="I858" s="22" t="s">
        <v>15</v>
      </c>
      <c r="J858" s="23">
        <v>45869</v>
      </c>
      <c r="K858" s="6">
        <v>0</v>
      </c>
      <c r="L858" s="22">
        <v>33.6</v>
      </c>
      <c r="M858" s="22" t="s">
        <v>15</v>
      </c>
      <c r="N858" s="24">
        <v>45839</v>
      </c>
      <c r="O858" s="13" t="s">
        <v>1346</v>
      </c>
    </row>
    <row r="859" spans="1:15" x14ac:dyDescent="0.25">
      <c r="A859" s="7">
        <v>10887</v>
      </c>
      <c r="B859" s="25">
        <v>4027788990013</v>
      </c>
      <c r="C859" s="26" t="s">
        <v>43</v>
      </c>
      <c r="D859" s="26" t="s">
        <v>21</v>
      </c>
      <c r="E859" s="26" t="s">
        <v>22</v>
      </c>
      <c r="F859" s="8">
        <v>8</v>
      </c>
      <c r="G859" s="8">
        <v>1</v>
      </c>
      <c r="H859" s="26" t="s">
        <v>18</v>
      </c>
      <c r="I859" s="26" t="s">
        <v>616</v>
      </c>
      <c r="J859" s="27">
        <v>45869</v>
      </c>
      <c r="K859" s="8">
        <v>0</v>
      </c>
      <c r="L859" s="26">
        <v>8</v>
      </c>
      <c r="M859" s="26">
        <v>4</v>
      </c>
      <c r="N859" s="28">
        <v>45839</v>
      </c>
      <c r="O859" s="14" t="s">
        <v>1346</v>
      </c>
    </row>
    <row r="860" spans="1:15" x14ac:dyDescent="0.25">
      <c r="A860" s="5">
        <v>10888</v>
      </c>
      <c r="B860" s="21">
        <v>8599988776654</v>
      </c>
      <c r="C860" s="22" t="s">
        <v>393</v>
      </c>
      <c r="D860" s="22" t="s">
        <v>133</v>
      </c>
      <c r="E860" s="22" t="s">
        <v>17</v>
      </c>
      <c r="F860" s="6">
        <v>16.8</v>
      </c>
      <c r="G860" s="6">
        <v>1</v>
      </c>
      <c r="H860" s="22" t="s">
        <v>14</v>
      </c>
      <c r="I860" s="22" t="s">
        <v>15</v>
      </c>
      <c r="J860" s="23">
        <v>45869</v>
      </c>
      <c r="K860" s="6">
        <v>0</v>
      </c>
      <c r="L860" s="22">
        <v>16.8</v>
      </c>
      <c r="M860" s="22" t="s">
        <v>15</v>
      </c>
      <c r="N860" s="24">
        <v>45839</v>
      </c>
      <c r="O860" s="13" t="s">
        <v>1346</v>
      </c>
    </row>
    <row r="861" spans="1:15" x14ac:dyDescent="0.25">
      <c r="A861" s="7">
        <v>10889</v>
      </c>
      <c r="B861" s="25">
        <v>4017890123450</v>
      </c>
      <c r="C861" s="26" t="s">
        <v>65</v>
      </c>
      <c r="D861" s="26" t="s">
        <v>39</v>
      </c>
      <c r="E861" s="26" t="s">
        <v>22</v>
      </c>
      <c r="F861" s="8">
        <v>7.6</v>
      </c>
      <c r="G861" s="8">
        <v>1</v>
      </c>
      <c r="H861" s="26" t="s">
        <v>14</v>
      </c>
      <c r="I861" s="26" t="s">
        <v>15</v>
      </c>
      <c r="J861" s="27">
        <v>45869</v>
      </c>
      <c r="K861" s="8">
        <v>0</v>
      </c>
      <c r="L861" s="26">
        <v>7.6</v>
      </c>
      <c r="M861" s="26" t="s">
        <v>15</v>
      </c>
      <c r="N861" s="28">
        <v>45839</v>
      </c>
      <c r="O861" s="14" t="s">
        <v>1346</v>
      </c>
    </row>
    <row r="862" spans="1:15" x14ac:dyDescent="0.25">
      <c r="A862" s="5">
        <v>10890</v>
      </c>
      <c r="B862" s="21">
        <v>8599988776654</v>
      </c>
      <c r="C862" s="22" t="s">
        <v>393</v>
      </c>
      <c r="D862" s="22" t="s">
        <v>133</v>
      </c>
      <c r="E862" s="22" t="s">
        <v>17</v>
      </c>
      <c r="F862" s="6">
        <v>16.8</v>
      </c>
      <c r="G862" s="6">
        <v>2</v>
      </c>
      <c r="H862" s="22" t="s">
        <v>23</v>
      </c>
      <c r="I862" s="22" t="s">
        <v>617</v>
      </c>
      <c r="J862" s="23">
        <v>45869</v>
      </c>
      <c r="K862" s="6">
        <v>0</v>
      </c>
      <c r="L862" s="22">
        <v>33.6</v>
      </c>
      <c r="M862" s="22">
        <v>5</v>
      </c>
      <c r="N862" s="24">
        <v>45839</v>
      </c>
      <c r="O862" s="13" t="s">
        <v>1346</v>
      </c>
    </row>
    <row r="863" spans="1:15" x14ac:dyDescent="0.25">
      <c r="A863" s="7">
        <v>10891</v>
      </c>
      <c r="B863" s="25">
        <v>4013456789017</v>
      </c>
      <c r="C863" s="26" t="s">
        <v>11</v>
      </c>
      <c r="D863" s="26" t="s">
        <v>12</v>
      </c>
      <c r="E863" s="26" t="s">
        <v>13</v>
      </c>
      <c r="F863" s="8">
        <v>6</v>
      </c>
      <c r="G863" s="8">
        <v>1</v>
      </c>
      <c r="H863" s="26" t="s">
        <v>14</v>
      </c>
      <c r="I863" s="26" t="s">
        <v>15</v>
      </c>
      <c r="J863" s="27">
        <v>45869</v>
      </c>
      <c r="K863" s="8">
        <v>0</v>
      </c>
      <c r="L863" s="26">
        <v>6</v>
      </c>
      <c r="M863" s="26" t="s">
        <v>15</v>
      </c>
      <c r="N863" s="28">
        <v>45839</v>
      </c>
      <c r="O863" s="14" t="s">
        <v>1346</v>
      </c>
    </row>
    <row r="864" spans="1:15" x14ac:dyDescent="0.25">
      <c r="A864" s="5">
        <v>10892</v>
      </c>
      <c r="B864" s="21">
        <v>8599988776654</v>
      </c>
      <c r="C864" s="22" t="s">
        <v>393</v>
      </c>
      <c r="D864" s="22" t="s">
        <v>133</v>
      </c>
      <c r="E864" s="22" t="s">
        <v>17</v>
      </c>
      <c r="F864" s="6">
        <v>16.8</v>
      </c>
      <c r="G864" s="6">
        <v>1</v>
      </c>
      <c r="H864" s="22" t="s">
        <v>14</v>
      </c>
      <c r="I864" s="22" t="s">
        <v>15</v>
      </c>
      <c r="J864" s="23">
        <v>45869</v>
      </c>
      <c r="K864" s="6">
        <v>0</v>
      </c>
      <c r="L864" s="22">
        <v>16.8</v>
      </c>
      <c r="M864" s="22" t="s">
        <v>15</v>
      </c>
      <c r="N864" s="24">
        <v>45839</v>
      </c>
      <c r="O864" s="13" t="s">
        <v>1346</v>
      </c>
    </row>
    <row r="865" spans="1:15" x14ac:dyDescent="0.25">
      <c r="A865" s="7">
        <v>10893</v>
      </c>
      <c r="B865" s="25">
        <v>4010123456783</v>
      </c>
      <c r="C865" s="26" t="s">
        <v>35</v>
      </c>
      <c r="D865" s="26" t="s">
        <v>36</v>
      </c>
      <c r="E865" s="26" t="s">
        <v>37</v>
      </c>
      <c r="F865" s="8">
        <v>14</v>
      </c>
      <c r="G865" s="8">
        <v>1</v>
      </c>
      <c r="H865" s="26" t="s">
        <v>14</v>
      </c>
      <c r="I865" s="26" t="s">
        <v>15</v>
      </c>
      <c r="J865" s="27">
        <v>45869</v>
      </c>
      <c r="K865" s="8">
        <v>0</v>
      </c>
      <c r="L865" s="26">
        <v>14</v>
      </c>
      <c r="M865" s="26" t="s">
        <v>15</v>
      </c>
      <c r="N865" s="28">
        <v>45839</v>
      </c>
      <c r="O865" s="14" t="s">
        <v>1345</v>
      </c>
    </row>
    <row r="866" spans="1:15" x14ac:dyDescent="0.25">
      <c r="A866" s="5">
        <v>10894</v>
      </c>
      <c r="B866" s="21">
        <v>4063456789014</v>
      </c>
      <c r="C866" s="22" t="s">
        <v>60</v>
      </c>
      <c r="D866" s="22" t="s">
        <v>12</v>
      </c>
      <c r="E866" s="22" t="s">
        <v>61</v>
      </c>
      <c r="F866" s="6">
        <v>36</v>
      </c>
      <c r="G866" s="6">
        <v>1</v>
      </c>
      <c r="H866" s="22" t="s">
        <v>18</v>
      </c>
      <c r="I866" s="22" t="s">
        <v>618</v>
      </c>
      <c r="J866" s="23">
        <v>45869</v>
      </c>
      <c r="K866" s="6">
        <v>0</v>
      </c>
      <c r="L866" s="22">
        <v>36</v>
      </c>
      <c r="M866" s="22">
        <v>4</v>
      </c>
      <c r="N866" s="24">
        <v>45839</v>
      </c>
      <c r="O866" s="13" t="s">
        <v>1346</v>
      </c>
    </row>
    <row r="867" spans="1:15" x14ac:dyDescent="0.25">
      <c r="A867" s="7">
        <v>10895</v>
      </c>
      <c r="B867" s="25">
        <v>8599988776654</v>
      </c>
      <c r="C867" s="26" t="s">
        <v>393</v>
      </c>
      <c r="D867" s="26" t="s">
        <v>133</v>
      </c>
      <c r="E867" s="26" t="s">
        <v>17</v>
      </c>
      <c r="F867" s="8">
        <v>16.8</v>
      </c>
      <c r="G867" s="8">
        <v>1</v>
      </c>
      <c r="H867" s="26" t="s">
        <v>14</v>
      </c>
      <c r="I867" s="26" t="s">
        <v>15</v>
      </c>
      <c r="J867" s="27">
        <v>45869</v>
      </c>
      <c r="K867" s="8">
        <v>0</v>
      </c>
      <c r="L867" s="26">
        <v>16.8</v>
      </c>
      <c r="M867" s="26" t="s">
        <v>15</v>
      </c>
      <c r="N867" s="28">
        <v>45839</v>
      </c>
      <c r="O867" s="14" t="s">
        <v>1346</v>
      </c>
    </row>
    <row r="868" spans="1:15" x14ac:dyDescent="0.25">
      <c r="A868" s="5">
        <v>10896</v>
      </c>
      <c r="B868" s="21">
        <v>4028899001126</v>
      </c>
      <c r="C868" s="22" t="s">
        <v>16</v>
      </c>
      <c r="D868" s="22" t="s">
        <v>12</v>
      </c>
      <c r="E868" s="22" t="s">
        <v>17</v>
      </c>
      <c r="F868" s="6">
        <v>2.8</v>
      </c>
      <c r="G868" s="6">
        <v>2</v>
      </c>
      <c r="H868" s="22" t="s">
        <v>14</v>
      </c>
      <c r="I868" s="22" t="s">
        <v>15</v>
      </c>
      <c r="J868" s="23">
        <v>45869</v>
      </c>
      <c r="K868" s="6">
        <v>0</v>
      </c>
      <c r="L868" s="22">
        <v>5.6</v>
      </c>
      <c r="M868" s="22" t="s">
        <v>15</v>
      </c>
      <c r="N868" s="24">
        <v>45839</v>
      </c>
      <c r="O868" s="13" t="s">
        <v>1346</v>
      </c>
    </row>
    <row r="869" spans="1:15" x14ac:dyDescent="0.25">
      <c r="A869" s="7">
        <v>10897</v>
      </c>
      <c r="B869" s="25">
        <v>8599988776654</v>
      </c>
      <c r="C869" s="26" t="s">
        <v>393</v>
      </c>
      <c r="D869" s="26" t="s">
        <v>133</v>
      </c>
      <c r="E869" s="26" t="s">
        <v>17</v>
      </c>
      <c r="F869" s="8">
        <v>16.8</v>
      </c>
      <c r="G869" s="8">
        <v>2</v>
      </c>
      <c r="H869" s="26" t="s">
        <v>23</v>
      </c>
      <c r="I869" s="26" t="s">
        <v>619</v>
      </c>
      <c r="J869" s="27">
        <v>45869</v>
      </c>
      <c r="K869" s="8">
        <v>0</v>
      </c>
      <c r="L869" s="26">
        <v>33.6</v>
      </c>
      <c r="M869" s="26">
        <v>5</v>
      </c>
      <c r="N869" s="28">
        <v>45839</v>
      </c>
      <c r="O869" s="14" t="s">
        <v>1346</v>
      </c>
    </row>
    <row r="870" spans="1:15" x14ac:dyDescent="0.25">
      <c r="A870" s="5">
        <v>10898</v>
      </c>
      <c r="B870" s="21">
        <v>4017890123450</v>
      </c>
      <c r="C870" s="22" t="s">
        <v>65</v>
      </c>
      <c r="D870" s="22" t="s">
        <v>39</v>
      </c>
      <c r="E870" s="22" t="s">
        <v>22</v>
      </c>
      <c r="F870" s="6">
        <v>7.6</v>
      </c>
      <c r="G870" s="6">
        <v>1</v>
      </c>
      <c r="H870" s="22" t="s">
        <v>14</v>
      </c>
      <c r="I870" s="22" t="s">
        <v>15</v>
      </c>
      <c r="J870" s="23">
        <v>45869</v>
      </c>
      <c r="K870" s="6">
        <v>0</v>
      </c>
      <c r="L870" s="22">
        <v>7.6</v>
      </c>
      <c r="M870" s="22" t="s">
        <v>15</v>
      </c>
      <c r="N870" s="24">
        <v>45839</v>
      </c>
      <c r="O870" s="13" t="s">
        <v>1346</v>
      </c>
    </row>
    <row r="871" spans="1:15" x14ac:dyDescent="0.25">
      <c r="A871" s="7">
        <v>10899</v>
      </c>
      <c r="B871" s="25">
        <v>8599988776654</v>
      </c>
      <c r="C871" s="26" t="s">
        <v>393</v>
      </c>
      <c r="D871" s="26" t="s">
        <v>133</v>
      </c>
      <c r="E871" s="26" t="s">
        <v>17</v>
      </c>
      <c r="F871" s="8">
        <v>16.8</v>
      </c>
      <c r="G871" s="8">
        <v>1</v>
      </c>
      <c r="H871" s="26" t="s">
        <v>14</v>
      </c>
      <c r="I871" s="26" t="s">
        <v>15</v>
      </c>
      <c r="J871" s="27">
        <v>45869</v>
      </c>
      <c r="K871" s="8">
        <v>0</v>
      </c>
      <c r="L871" s="26">
        <v>16.8</v>
      </c>
      <c r="M871" s="26" t="s">
        <v>15</v>
      </c>
      <c r="N871" s="28">
        <v>45839</v>
      </c>
      <c r="O871" s="14" t="s">
        <v>1346</v>
      </c>
    </row>
    <row r="872" spans="1:15" x14ac:dyDescent="0.25">
      <c r="A872" s="5">
        <v>10900</v>
      </c>
      <c r="B872" s="21">
        <v>4056789012345</v>
      </c>
      <c r="C872" s="22" t="s">
        <v>47</v>
      </c>
      <c r="D872" s="22" t="s">
        <v>29</v>
      </c>
      <c r="E872" s="22" t="s">
        <v>37</v>
      </c>
      <c r="F872" s="6">
        <v>2.4</v>
      </c>
      <c r="G872" s="6">
        <v>2</v>
      </c>
      <c r="H872" s="22" t="s">
        <v>14</v>
      </c>
      <c r="I872" s="22" t="s">
        <v>15</v>
      </c>
      <c r="J872" s="23">
        <v>45869</v>
      </c>
      <c r="K872" s="6">
        <v>0</v>
      </c>
      <c r="L872" s="22">
        <v>4.8</v>
      </c>
      <c r="M872" s="22" t="s">
        <v>15</v>
      </c>
      <c r="N872" s="24">
        <v>45839</v>
      </c>
      <c r="O872" s="13" t="s">
        <v>1345</v>
      </c>
    </row>
    <row r="873" spans="1:15" x14ac:dyDescent="0.25">
      <c r="A873" s="7">
        <v>10901</v>
      </c>
      <c r="B873" s="25">
        <v>8599988776654</v>
      </c>
      <c r="C873" s="26" t="s">
        <v>393</v>
      </c>
      <c r="D873" s="26" t="s">
        <v>133</v>
      </c>
      <c r="E873" s="26" t="s">
        <v>17</v>
      </c>
      <c r="F873" s="8">
        <v>16.8</v>
      </c>
      <c r="G873" s="8">
        <v>1</v>
      </c>
      <c r="H873" s="26" t="s">
        <v>23</v>
      </c>
      <c r="I873" s="26" t="s">
        <v>620</v>
      </c>
      <c r="J873" s="27">
        <v>45869</v>
      </c>
      <c r="K873" s="8">
        <v>0</v>
      </c>
      <c r="L873" s="26">
        <v>16.8</v>
      </c>
      <c r="M873" s="26">
        <v>5</v>
      </c>
      <c r="N873" s="28">
        <v>45839</v>
      </c>
      <c r="O873" s="14" t="s">
        <v>1346</v>
      </c>
    </row>
    <row r="874" spans="1:15" x14ac:dyDescent="0.25">
      <c r="A874" s="5">
        <v>10902</v>
      </c>
      <c r="B874" s="21">
        <v>4013456789017</v>
      </c>
      <c r="C874" s="22" t="s">
        <v>11</v>
      </c>
      <c r="D874" s="22" t="s">
        <v>12</v>
      </c>
      <c r="E874" s="22" t="s">
        <v>13</v>
      </c>
      <c r="F874" s="6">
        <v>6</v>
      </c>
      <c r="G874" s="6">
        <v>1</v>
      </c>
      <c r="H874" s="22" t="s">
        <v>14</v>
      </c>
      <c r="I874" s="22" t="s">
        <v>15</v>
      </c>
      <c r="J874" s="23">
        <v>45869</v>
      </c>
      <c r="K874" s="6">
        <v>0</v>
      </c>
      <c r="L874" s="22">
        <v>6</v>
      </c>
      <c r="M874" s="22" t="s">
        <v>15</v>
      </c>
      <c r="N874" s="24">
        <v>45839</v>
      </c>
      <c r="O874" s="13" t="s">
        <v>1346</v>
      </c>
    </row>
    <row r="875" spans="1:15" x14ac:dyDescent="0.25">
      <c r="A875" s="7">
        <v>10903</v>
      </c>
      <c r="B875" s="25">
        <v>8599988776654</v>
      </c>
      <c r="C875" s="26" t="s">
        <v>393</v>
      </c>
      <c r="D875" s="26" t="s">
        <v>133</v>
      </c>
      <c r="E875" s="26" t="s">
        <v>17</v>
      </c>
      <c r="F875" s="8">
        <v>16.8</v>
      </c>
      <c r="G875" s="8">
        <v>1</v>
      </c>
      <c r="H875" s="26" t="s">
        <v>14</v>
      </c>
      <c r="I875" s="26" t="s">
        <v>15</v>
      </c>
      <c r="J875" s="27">
        <v>45869</v>
      </c>
      <c r="K875" s="8">
        <v>0</v>
      </c>
      <c r="L875" s="26">
        <v>16.8</v>
      </c>
      <c r="M875" s="26" t="s">
        <v>15</v>
      </c>
      <c r="N875" s="28">
        <v>45839</v>
      </c>
      <c r="O875" s="14" t="s">
        <v>1346</v>
      </c>
    </row>
    <row r="876" spans="1:15" x14ac:dyDescent="0.25">
      <c r="A876" s="5">
        <v>10904</v>
      </c>
      <c r="B876" s="21">
        <v>4010123456783</v>
      </c>
      <c r="C876" s="22" t="s">
        <v>35</v>
      </c>
      <c r="D876" s="22" t="s">
        <v>36</v>
      </c>
      <c r="E876" s="22" t="s">
        <v>37</v>
      </c>
      <c r="F876" s="6">
        <v>14</v>
      </c>
      <c r="G876" s="6">
        <v>1</v>
      </c>
      <c r="H876" s="22" t="s">
        <v>23</v>
      </c>
      <c r="I876" s="22" t="s">
        <v>621</v>
      </c>
      <c r="J876" s="23">
        <v>45869</v>
      </c>
      <c r="K876" s="6">
        <v>0</v>
      </c>
      <c r="L876" s="22">
        <v>14</v>
      </c>
      <c r="M876" s="22">
        <v>5</v>
      </c>
      <c r="N876" s="24">
        <v>45839</v>
      </c>
      <c r="O876" s="13" t="s">
        <v>1345</v>
      </c>
    </row>
    <row r="877" spans="1:15" x14ac:dyDescent="0.25">
      <c r="A877" s="7">
        <v>10905</v>
      </c>
      <c r="B877" s="25">
        <v>8599988776654</v>
      </c>
      <c r="C877" s="26" t="s">
        <v>393</v>
      </c>
      <c r="D877" s="26" t="s">
        <v>133</v>
      </c>
      <c r="E877" s="26" t="s">
        <v>17</v>
      </c>
      <c r="F877" s="8">
        <v>16.8</v>
      </c>
      <c r="G877" s="8">
        <v>2</v>
      </c>
      <c r="H877" s="26" t="s">
        <v>14</v>
      </c>
      <c r="I877" s="26" t="s">
        <v>15</v>
      </c>
      <c r="J877" s="27">
        <v>45869</v>
      </c>
      <c r="K877" s="8">
        <v>0</v>
      </c>
      <c r="L877" s="26">
        <v>33.6</v>
      </c>
      <c r="M877" s="26" t="s">
        <v>15</v>
      </c>
      <c r="N877" s="28">
        <v>45839</v>
      </c>
      <c r="O877" s="14" t="s">
        <v>1346</v>
      </c>
    </row>
    <row r="878" spans="1:15" x14ac:dyDescent="0.25">
      <c r="A878" s="5">
        <v>10906</v>
      </c>
      <c r="B878" s="21">
        <v>4063456789014</v>
      </c>
      <c r="C878" s="22" t="s">
        <v>60</v>
      </c>
      <c r="D878" s="22" t="s">
        <v>12</v>
      </c>
      <c r="E878" s="22" t="s">
        <v>61</v>
      </c>
      <c r="F878" s="6">
        <v>36</v>
      </c>
      <c r="G878" s="6">
        <v>1</v>
      </c>
      <c r="H878" s="22" t="s">
        <v>18</v>
      </c>
      <c r="I878" s="22" t="s">
        <v>622</v>
      </c>
      <c r="J878" s="23">
        <v>45869</v>
      </c>
      <c r="K878" s="6">
        <v>0</v>
      </c>
      <c r="L878" s="22">
        <v>36</v>
      </c>
      <c r="M878" s="22">
        <v>4</v>
      </c>
      <c r="N878" s="24">
        <v>45839</v>
      </c>
      <c r="O878" s="13" t="s">
        <v>1346</v>
      </c>
    </row>
    <row r="879" spans="1:15" x14ac:dyDescent="0.25">
      <c r="A879" s="7">
        <v>10907</v>
      </c>
      <c r="B879" s="25">
        <v>8599988776654</v>
      </c>
      <c r="C879" s="26" t="s">
        <v>393</v>
      </c>
      <c r="D879" s="26" t="s">
        <v>133</v>
      </c>
      <c r="E879" s="26" t="s">
        <v>17</v>
      </c>
      <c r="F879" s="8">
        <v>16.8</v>
      </c>
      <c r="G879" s="8">
        <v>1</v>
      </c>
      <c r="H879" s="26" t="s">
        <v>14</v>
      </c>
      <c r="I879" s="26" t="s">
        <v>15</v>
      </c>
      <c r="J879" s="27">
        <v>45869</v>
      </c>
      <c r="K879" s="8">
        <v>0</v>
      </c>
      <c r="L879" s="26">
        <v>16.8</v>
      </c>
      <c r="M879" s="26" t="s">
        <v>15</v>
      </c>
      <c r="N879" s="28">
        <v>45839</v>
      </c>
      <c r="O879" s="14" t="s">
        <v>1346</v>
      </c>
    </row>
    <row r="880" spans="1:15" x14ac:dyDescent="0.25">
      <c r="A880" s="5">
        <v>10908</v>
      </c>
      <c r="B880" s="21">
        <v>4027788990013</v>
      </c>
      <c r="C880" s="22" t="s">
        <v>43</v>
      </c>
      <c r="D880" s="22" t="s">
        <v>21</v>
      </c>
      <c r="E880" s="22" t="s">
        <v>22</v>
      </c>
      <c r="F880" s="6">
        <v>8</v>
      </c>
      <c r="G880" s="6">
        <v>1</v>
      </c>
      <c r="H880" s="22" t="s">
        <v>14</v>
      </c>
      <c r="I880" s="22" t="s">
        <v>15</v>
      </c>
      <c r="J880" s="23">
        <v>45869</v>
      </c>
      <c r="K880" s="6">
        <v>0</v>
      </c>
      <c r="L880" s="22">
        <v>8</v>
      </c>
      <c r="M880" s="22" t="s">
        <v>15</v>
      </c>
      <c r="N880" s="24">
        <v>45839</v>
      </c>
      <c r="O880" s="13" t="s">
        <v>1346</v>
      </c>
    </row>
    <row r="881" spans="1:15" x14ac:dyDescent="0.25">
      <c r="A881" s="7">
        <v>10909</v>
      </c>
      <c r="B881" s="25">
        <v>8599988776654</v>
      </c>
      <c r="C881" s="26" t="s">
        <v>393</v>
      </c>
      <c r="D881" s="26" t="s">
        <v>133</v>
      </c>
      <c r="E881" s="26" t="s">
        <v>17</v>
      </c>
      <c r="F881" s="8">
        <v>16.8</v>
      </c>
      <c r="G881" s="8">
        <v>1</v>
      </c>
      <c r="H881" s="26" t="s">
        <v>14</v>
      </c>
      <c r="I881" s="26" t="s">
        <v>15</v>
      </c>
      <c r="J881" s="27">
        <v>45869</v>
      </c>
      <c r="K881" s="8">
        <v>0</v>
      </c>
      <c r="L881" s="26">
        <v>16.8</v>
      </c>
      <c r="M881" s="26" t="s">
        <v>15</v>
      </c>
      <c r="N881" s="28">
        <v>45839</v>
      </c>
      <c r="O881" s="14" t="s">
        <v>1346</v>
      </c>
    </row>
    <row r="882" spans="1:15" x14ac:dyDescent="0.25">
      <c r="A882" s="5">
        <v>10910</v>
      </c>
      <c r="B882" s="21">
        <v>4017890123450</v>
      </c>
      <c r="C882" s="22" t="s">
        <v>65</v>
      </c>
      <c r="D882" s="22" t="s">
        <v>39</v>
      </c>
      <c r="E882" s="22" t="s">
        <v>22</v>
      </c>
      <c r="F882" s="6">
        <v>7.6</v>
      </c>
      <c r="G882" s="6">
        <v>1</v>
      </c>
      <c r="H882" s="22" t="s">
        <v>18</v>
      </c>
      <c r="I882" s="22" t="s">
        <v>623</v>
      </c>
      <c r="J882" s="23">
        <v>45869</v>
      </c>
      <c r="K882" s="6">
        <v>0</v>
      </c>
      <c r="L882" s="22">
        <v>7.6</v>
      </c>
      <c r="M882" s="22">
        <v>4</v>
      </c>
      <c r="N882" s="24">
        <v>45839</v>
      </c>
      <c r="O882" s="13" t="s">
        <v>1346</v>
      </c>
    </row>
    <row r="883" spans="1:15" x14ac:dyDescent="0.25">
      <c r="A883" s="7">
        <v>10911</v>
      </c>
      <c r="B883" s="25">
        <v>8599988776654</v>
      </c>
      <c r="C883" s="26" t="s">
        <v>393</v>
      </c>
      <c r="D883" s="26" t="s">
        <v>133</v>
      </c>
      <c r="E883" s="26" t="s">
        <v>17</v>
      </c>
      <c r="F883" s="8">
        <v>16.8</v>
      </c>
      <c r="G883" s="8">
        <v>2</v>
      </c>
      <c r="H883" s="26" t="s">
        <v>14</v>
      </c>
      <c r="I883" s="26" t="s">
        <v>15</v>
      </c>
      <c r="J883" s="27">
        <v>45869</v>
      </c>
      <c r="K883" s="8">
        <v>0</v>
      </c>
      <c r="L883" s="26">
        <v>33.6</v>
      </c>
      <c r="M883" s="26" t="s">
        <v>15</v>
      </c>
      <c r="N883" s="28">
        <v>45839</v>
      </c>
      <c r="O883" s="14" t="s">
        <v>1346</v>
      </c>
    </row>
    <row r="884" spans="1:15" x14ac:dyDescent="0.25">
      <c r="A884" s="5">
        <v>10912</v>
      </c>
      <c r="B884" s="21">
        <v>4013456789017</v>
      </c>
      <c r="C884" s="22" t="s">
        <v>11</v>
      </c>
      <c r="D884" s="22" t="s">
        <v>12</v>
      </c>
      <c r="E884" s="22" t="s">
        <v>13</v>
      </c>
      <c r="F884" s="6">
        <v>6</v>
      </c>
      <c r="G884" s="6">
        <v>1</v>
      </c>
      <c r="H884" s="22" t="s">
        <v>23</v>
      </c>
      <c r="I884" s="22" t="s">
        <v>624</v>
      </c>
      <c r="J884" s="23">
        <v>45869</v>
      </c>
      <c r="K884" s="6">
        <v>0</v>
      </c>
      <c r="L884" s="22">
        <v>6</v>
      </c>
      <c r="M884" s="22">
        <v>5</v>
      </c>
      <c r="N884" s="24">
        <v>45839</v>
      </c>
      <c r="O884" s="13" t="s">
        <v>1346</v>
      </c>
    </row>
    <row r="885" spans="1:15" x14ac:dyDescent="0.25">
      <c r="A885" s="7">
        <v>10913</v>
      </c>
      <c r="B885" s="25">
        <v>8599988776654</v>
      </c>
      <c r="C885" s="26" t="s">
        <v>393</v>
      </c>
      <c r="D885" s="26" t="s">
        <v>133</v>
      </c>
      <c r="E885" s="26" t="s">
        <v>17</v>
      </c>
      <c r="F885" s="8">
        <v>16.8</v>
      </c>
      <c r="G885" s="8">
        <v>1</v>
      </c>
      <c r="H885" s="26" t="s">
        <v>14</v>
      </c>
      <c r="I885" s="26" t="s">
        <v>15</v>
      </c>
      <c r="J885" s="27">
        <v>45869</v>
      </c>
      <c r="K885" s="8">
        <v>0</v>
      </c>
      <c r="L885" s="26">
        <v>16.8</v>
      </c>
      <c r="M885" s="26" t="s">
        <v>15</v>
      </c>
      <c r="N885" s="28">
        <v>45839</v>
      </c>
      <c r="O885" s="14" t="s">
        <v>1346</v>
      </c>
    </row>
    <row r="886" spans="1:15" x14ac:dyDescent="0.25">
      <c r="A886" s="5">
        <v>10914</v>
      </c>
      <c r="B886" s="21">
        <v>4010123456783</v>
      </c>
      <c r="C886" s="22" t="s">
        <v>35</v>
      </c>
      <c r="D886" s="22" t="s">
        <v>36</v>
      </c>
      <c r="E886" s="22" t="s">
        <v>37</v>
      </c>
      <c r="F886" s="6">
        <v>14</v>
      </c>
      <c r="G886" s="6">
        <v>1</v>
      </c>
      <c r="H886" s="22" t="s">
        <v>14</v>
      </c>
      <c r="I886" s="22" t="s">
        <v>15</v>
      </c>
      <c r="J886" s="23">
        <v>45869</v>
      </c>
      <c r="K886" s="6">
        <v>0</v>
      </c>
      <c r="L886" s="22">
        <v>14</v>
      </c>
      <c r="M886" s="22" t="s">
        <v>15</v>
      </c>
      <c r="N886" s="24">
        <v>45839</v>
      </c>
      <c r="O886" s="13" t="s">
        <v>1345</v>
      </c>
    </row>
    <row r="887" spans="1:15" x14ac:dyDescent="0.25">
      <c r="A887" s="7">
        <v>10915</v>
      </c>
      <c r="B887" s="25">
        <v>4028899001126</v>
      </c>
      <c r="C887" s="26" t="s">
        <v>16</v>
      </c>
      <c r="D887" s="26" t="s">
        <v>12</v>
      </c>
      <c r="E887" s="26" t="s">
        <v>17</v>
      </c>
      <c r="F887" s="8">
        <v>2.8</v>
      </c>
      <c r="G887" s="8">
        <v>3</v>
      </c>
      <c r="H887" s="26" t="s">
        <v>18</v>
      </c>
      <c r="I887" s="26" t="s">
        <v>625</v>
      </c>
      <c r="J887" s="27">
        <v>45869</v>
      </c>
      <c r="K887" s="8">
        <v>0</v>
      </c>
      <c r="L887" s="26">
        <v>8.3999999999999986</v>
      </c>
      <c r="M887" s="26">
        <v>4</v>
      </c>
      <c r="N887" s="28">
        <v>45839</v>
      </c>
      <c r="O887" s="14" t="s">
        <v>1346</v>
      </c>
    </row>
    <row r="888" spans="1:15" x14ac:dyDescent="0.25">
      <c r="A888" s="5">
        <v>10916</v>
      </c>
      <c r="B888" s="21">
        <v>8599988776654</v>
      </c>
      <c r="C888" s="22" t="s">
        <v>393</v>
      </c>
      <c r="D888" s="22" t="s">
        <v>133</v>
      </c>
      <c r="E888" s="22" t="s">
        <v>17</v>
      </c>
      <c r="F888" s="6">
        <v>16.8</v>
      </c>
      <c r="G888" s="6">
        <v>2</v>
      </c>
      <c r="H888" s="22" t="s">
        <v>14</v>
      </c>
      <c r="I888" s="22" t="s">
        <v>15</v>
      </c>
      <c r="J888" s="23">
        <v>45869</v>
      </c>
      <c r="K888" s="6">
        <v>0</v>
      </c>
      <c r="L888" s="22">
        <v>33.6</v>
      </c>
      <c r="M888" s="22" t="s">
        <v>15</v>
      </c>
      <c r="N888" s="24">
        <v>45839</v>
      </c>
      <c r="O888" s="13" t="s">
        <v>1346</v>
      </c>
    </row>
    <row r="889" spans="1:15" x14ac:dyDescent="0.25">
      <c r="A889" s="7">
        <v>10917</v>
      </c>
      <c r="B889" s="25">
        <v>4063456789014</v>
      </c>
      <c r="C889" s="26" t="s">
        <v>60</v>
      </c>
      <c r="D889" s="26" t="s">
        <v>12</v>
      </c>
      <c r="E889" s="26" t="s">
        <v>61</v>
      </c>
      <c r="F889" s="8">
        <v>36</v>
      </c>
      <c r="G889" s="8">
        <v>1</v>
      </c>
      <c r="H889" s="26" t="s">
        <v>14</v>
      </c>
      <c r="I889" s="26" t="s">
        <v>15</v>
      </c>
      <c r="J889" s="27">
        <v>45869</v>
      </c>
      <c r="K889" s="8">
        <v>0</v>
      </c>
      <c r="L889" s="26">
        <v>36</v>
      </c>
      <c r="M889" s="26" t="s">
        <v>15</v>
      </c>
      <c r="N889" s="28">
        <v>45839</v>
      </c>
      <c r="O889" s="14" t="s">
        <v>1346</v>
      </c>
    </row>
    <row r="890" spans="1:15" x14ac:dyDescent="0.25">
      <c r="A890" s="5">
        <v>10918</v>
      </c>
      <c r="B890" s="21">
        <v>8599988776654</v>
      </c>
      <c r="C890" s="22" t="s">
        <v>393</v>
      </c>
      <c r="D890" s="22" t="s">
        <v>133</v>
      </c>
      <c r="E890" s="22" t="s">
        <v>17</v>
      </c>
      <c r="F890" s="6">
        <v>16.8</v>
      </c>
      <c r="G890" s="6">
        <v>1</v>
      </c>
      <c r="H890" s="22" t="s">
        <v>14</v>
      </c>
      <c r="I890" s="22" t="s">
        <v>15</v>
      </c>
      <c r="J890" s="23">
        <v>45869</v>
      </c>
      <c r="K890" s="6">
        <v>0</v>
      </c>
      <c r="L890" s="22">
        <v>16.8</v>
      </c>
      <c r="M890" s="22" t="s">
        <v>15</v>
      </c>
      <c r="N890" s="24">
        <v>45839</v>
      </c>
      <c r="O890" s="13" t="s">
        <v>1346</v>
      </c>
    </row>
    <row r="891" spans="1:15" x14ac:dyDescent="0.25">
      <c r="A891" s="7">
        <v>10919</v>
      </c>
      <c r="B891" s="25">
        <v>4017890123450</v>
      </c>
      <c r="C891" s="26" t="s">
        <v>65</v>
      </c>
      <c r="D891" s="26" t="s">
        <v>39</v>
      </c>
      <c r="E891" s="26" t="s">
        <v>22</v>
      </c>
      <c r="F891" s="8">
        <v>7.6</v>
      </c>
      <c r="G891" s="8">
        <v>1</v>
      </c>
      <c r="H891" s="26" t="s">
        <v>23</v>
      </c>
      <c r="I891" s="26" t="s">
        <v>626</v>
      </c>
      <c r="J891" s="27">
        <v>45869</v>
      </c>
      <c r="K891" s="8">
        <v>0</v>
      </c>
      <c r="L891" s="26">
        <v>7.6</v>
      </c>
      <c r="M891" s="26">
        <v>5</v>
      </c>
      <c r="N891" s="28">
        <v>45839</v>
      </c>
      <c r="O891" s="14" t="s">
        <v>1346</v>
      </c>
    </row>
    <row r="892" spans="1:15" x14ac:dyDescent="0.25">
      <c r="A892" s="5">
        <v>10920</v>
      </c>
      <c r="B892" s="21">
        <v>8599988776654</v>
      </c>
      <c r="C892" s="22" t="s">
        <v>393</v>
      </c>
      <c r="D892" s="22" t="s">
        <v>133</v>
      </c>
      <c r="E892" s="22" t="s">
        <v>17</v>
      </c>
      <c r="F892" s="6">
        <v>16.8</v>
      </c>
      <c r="G892" s="6">
        <v>1</v>
      </c>
      <c r="H892" s="22" t="s">
        <v>14</v>
      </c>
      <c r="I892" s="22" t="s">
        <v>15</v>
      </c>
      <c r="J892" s="23">
        <v>45869</v>
      </c>
      <c r="K892" s="6">
        <v>0</v>
      </c>
      <c r="L892" s="22">
        <v>16.8</v>
      </c>
      <c r="M892" s="22" t="s">
        <v>15</v>
      </c>
      <c r="N892" s="24">
        <v>45839</v>
      </c>
      <c r="O892" s="13" t="s">
        <v>1346</v>
      </c>
    </row>
    <row r="893" spans="1:15" x14ac:dyDescent="0.25">
      <c r="A893" s="7">
        <v>10921</v>
      </c>
      <c r="B893" s="25">
        <v>4013456789017</v>
      </c>
      <c r="C893" s="26" t="s">
        <v>11</v>
      </c>
      <c r="D893" s="26" t="s">
        <v>12</v>
      </c>
      <c r="E893" s="26" t="s">
        <v>13</v>
      </c>
      <c r="F893" s="8">
        <v>6</v>
      </c>
      <c r="G893" s="8">
        <v>1</v>
      </c>
      <c r="H893" s="26" t="s">
        <v>14</v>
      </c>
      <c r="I893" s="26" t="s">
        <v>15</v>
      </c>
      <c r="J893" s="27">
        <v>45869</v>
      </c>
      <c r="K893" s="8">
        <v>0</v>
      </c>
      <c r="L893" s="26">
        <v>6</v>
      </c>
      <c r="M893" s="26" t="s">
        <v>15</v>
      </c>
      <c r="N893" s="28">
        <v>45839</v>
      </c>
      <c r="O893" s="14" t="s">
        <v>1346</v>
      </c>
    </row>
    <row r="894" spans="1:15" x14ac:dyDescent="0.25">
      <c r="A894" s="5">
        <v>10922</v>
      </c>
      <c r="B894" s="21">
        <v>8599988776654</v>
      </c>
      <c r="C894" s="22" t="s">
        <v>393</v>
      </c>
      <c r="D894" s="22" t="s">
        <v>133</v>
      </c>
      <c r="E894" s="22" t="s">
        <v>17</v>
      </c>
      <c r="F894" s="6">
        <v>16.8</v>
      </c>
      <c r="G894" s="6">
        <v>1</v>
      </c>
      <c r="H894" s="22" t="s">
        <v>14</v>
      </c>
      <c r="I894" s="22" t="s">
        <v>15</v>
      </c>
      <c r="J894" s="23">
        <v>45869</v>
      </c>
      <c r="K894" s="6">
        <v>0</v>
      </c>
      <c r="L894" s="22">
        <v>16.8</v>
      </c>
      <c r="M894" s="22" t="s">
        <v>15</v>
      </c>
      <c r="N894" s="24">
        <v>45839</v>
      </c>
      <c r="O894" s="13" t="s">
        <v>1346</v>
      </c>
    </row>
    <row r="895" spans="1:15" x14ac:dyDescent="0.25">
      <c r="A895" s="7">
        <v>10923</v>
      </c>
      <c r="B895" s="25">
        <v>4010123456783</v>
      </c>
      <c r="C895" s="26" t="s">
        <v>35</v>
      </c>
      <c r="D895" s="26" t="s">
        <v>36</v>
      </c>
      <c r="E895" s="26" t="s">
        <v>37</v>
      </c>
      <c r="F895" s="8">
        <v>14</v>
      </c>
      <c r="G895" s="8">
        <v>1</v>
      </c>
      <c r="H895" s="26" t="s">
        <v>23</v>
      </c>
      <c r="I895" s="26" t="s">
        <v>627</v>
      </c>
      <c r="J895" s="27">
        <v>45869</v>
      </c>
      <c r="K895" s="8">
        <v>0</v>
      </c>
      <c r="L895" s="26">
        <v>14</v>
      </c>
      <c r="M895" s="26">
        <v>5</v>
      </c>
      <c r="N895" s="28">
        <v>45839</v>
      </c>
      <c r="O895" s="14" t="s">
        <v>1345</v>
      </c>
    </row>
    <row r="896" spans="1:15" x14ac:dyDescent="0.25">
      <c r="A896" s="5">
        <v>10924</v>
      </c>
      <c r="B896" s="21">
        <v>8599988776654</v>
      </c>
      <c r="C896" s="22" t="s">
        <v>393</v>
      </c>
      <c r="D896" s="22" t="s">
        <v>133</v>
      </c>
      <c r="E896" s="22" t="s">
        <v>17</v>
      </c>
      <c r="F896" s="6">
        <v>16.8</v>
      </c>
      <c r="G896" s="6">
        <v>2</v>
      </c>
      <c r="H896" s="22" t="s">
        <v>14</v>
      </c>
      <c r="I896" s="22" t="s">
        <v>15</v>
      </c>
      <c r="J896" s="23">
        <v>45869</v>
      </c>
      <c r="K896" s="6">
        <v>0</v>
      </c>
      <c r="L896" s="22">
        <v>33.6</v>
      </c>
      <c r="M896" s="22" t="s">
        <v>15</v>
      </c>
      <c r="N896" s="24">
        <v>45839</v>
      </c>
      <c r="O896" s="13" t="s">
        <v>1346</v>
      </c>
    </row>
    <row r="897" spans="1:15" x14ac:dyDescent="0.25">
      <c r="A897" s="7">
        <v>10925</v>
      </c>
      <c r="B897" s="25">
        <v>4027788990013</v>
      </c>
      <c r="C897" s="26" t="s">
        <v>43</v>
      </c>
      <c r="D897" s="26" t="s">
        <v>21</v>
      </c>
      <c r="E897" s="26" t="s">
        <v>22</v>
      </c>
      <c r="F897" s="8">
        <v>8</v>
      </c>
      <c r="G897" s="8">
        <v>1</v>
      </c>
      <c r="H897" s="26" t="s">
        <v>18</v>
      </c>
      <c r="I897" s="26" t="s">
        <v>628</v>
      </c>
      <c r="J897" s="27">
        <v>45869</v>
      </c>
      <c r="K897" s="8">
        <v>0</v>
      </c>
      <c r="L897" s="26">
        <v>8</v>
      </c>
      <c r="M897" s="26">
        <v>4</v>
      </c>
      <c r="N897" s="28">
        <v>45839</v>
      </c>
      <c r="O897" s="14" t="s">
        <v>1346</v>
      </c>
    </row>
    <row r="898" spans="1:15" x14ac:dyDescent="0.25">
      <c r="A898" s="5">
        <v>10926</v>
      </c>
      <c r="B898" s="21">
        <v>8599988776654</v>
      </c>
      <c r="C898" s="22" t="s">
        <v>393</v>
      </c>
      <c r="D898" s="22" t="s">
        <v>133</v>
      </c>
      <c r="E898" s="22" t="s">
        <v>17</v>
      </c>
      <c r="F898" s="6">
        <v>16.8</v>
      </c>
      <c r="G898" s="6">
        <v>1</v>
      </c>
      <c r="H898" s="22" t="s">
        <v>14</v>
      </c>
      <c r="I898" s="22" t="s">
        <v>15</v>
      </c>
      <c r="J898" s="23">
        <v>45869</v>
      </c>
      <c r="K898" s="6">
        <v>0</v>
      </c>
      <c r="L898" s="22">
        <v>16.8</v>
      </c>
      <c r="M898" s="22" t="s">
        <v>15</v>
      </c>
      <c r="N898" s="24">
        <v>45839</v>
      </c>
      <c r="O898" s="13" t="s">
        <v>1346</v>
      </c>
    </row>
    <row r="899" spans="1:15" x14ac:dyDescent="0.25">
      <c r="A899" s="7">
        <v>10927</v>
      </c>
      <c r="B899" s="25">
        <v>4063456789014</v>
      </c>
      <c r="C899" s="26" t="s">
        <v>60</v>
      </c>
      <c r="D899" s="26" t="s">
        <v>12</v>
      </c>
      <c r="E899" s="26" t="s">
        <v>61</v>
      </c>
      <c r="F899" s="8">
        <v>36</v>
      </c>
      <c r="G899" s="8">
        <v>1</v>
      </c>
      <c r="H899" s="26" t="s">
        <v>14</v>
      </c>
      <c r="I899" s="26" t="s">
        <v>15</v>
      </c>
      <c r="J899" s="27">
        <v>45869</v>
      </c>
      <c r="K899" s="8">
        <v>0</v>
      </c>
      <c r="L899" s="26">
        <v>36</v>
      </c>
      <c r="M899" s="26" t="s">
        <v>15</v>
      </c>
      <c r="N899" s="28">
        <v>45839</v>
      </c>
      <c r="O899" s="14" t="s">
        <v>1346</v>
      </c>
    </row>
    <row r="900" spans="1:15" x14ac:dyDescent="0.25">
      <c r="A900" s="5">
        <v>10928</v>
      </c>
      <c r="B900" s="21">
        <v>8599988776654</v>
      </c>
      <c r="C900" s="22" t="s">
        <v>393</v>
      </c>
      <c r="D900" s="22" t="s">
        <v>133</v>
      </c>
      <c r="E900" s="22" t="s">
        <v>17</v>
      </c>
      <c r="F900" s="6">
        <v>16.8</v>
      </c>
      <c r="G900" s="6">
        <v>2</v>
      </c>
      <c r="H900" s="22" t="s">
        <v>23</v>
      </c>
      <c r="I900" s="22" t="s">
        <v>629</v>
      </c>
      <c r="J900" s="23">
        <v>45869</v>
      </c>
      <c r="K900" s="6">
        <v>0</v>
      </c>
      <c r="L900" s="22">
        <v>33.6</v>
      </c>
      <c r="M900" s="22">
        <v>5</v>
      </c>
      <c r="N900" s="24">
        <v>45839</v>
      </c>
      <c r="O900" s="13" t="s">
        <v>1346</v>
      </c>
    </row>
    <row r="901" spans="1:15" x14ac:dyDescent="0.25">
      <c r="A901" s="7">
        <v>10929</v>
      </c>
      <c r="B901" s="25">
        <v>4021234567894</v>
      </c>
      <c r="C901" s="26" t="s">
        <v>79</v>
      </c>
      <c r="D901" s="26" t="s">
        <v>36</v>
      </c>
      <c r="E901" s="26" t="s">
        <v>69</v>
      </c>
      <c r="F901" s="8">
        <v>8</v>
      </c>
      <c r="G901" s="8">
        <v>1</v>
      </c>
      <c r="H901" s="26" t="s">
        <v>14</v>
      </c>
      <c r="I901" s="26" t="s">
        <v>15</v>
      </c>
      <c r="J901" s="27">
        <v>45869</v>
      </c>
      <c r="K901" s="8">
        <v>0</v>
      </c>
      <c r="L901" s="26">
        <v>8</v>
      </c>
      <c r="M901" s="26" t="s">
        <v>15</v>
      </c>
      <c r="N901" s="28">
        <v>45839</v>
      </c>
      <c r="O901" s="14" t="s">
        <v>1345</v>
      </c>
    </row>
    <row r="902" spans="1:15" x14ac:dyDescent="0.25">
      <c r="A902" s="5">
        <v>10930</v>
      </c>
      <c r="B902" s="21">
        <v>8599988776654</v>
      </c>
      <c r="C902" s="22" t="s">
        <v>393</v>
      </c>
      <c r="D902" s="22" t="s">
        <v>133</v>
      </c>
      <c r="E902" s="22" t="s">
        <v>17</v>
      </c>
      <c r="F902" s="6">
        <v>16.8</v>
      </c>
      <c r="G902" s="6">
        <v>1</v>
      </c>
      <c r="H902" s="22" t="s">
        <v>14</v>
      </c>
      <c r="I902" s="22" t="s">
        <v>15</v>
      </c>
      <c r="J902" s="23">
        <v>45869</v>
      </c>
      <c r="K902" s="6">
        <v>0</v>
      </c>
      <c r="L902" s="22">
        <v>16.8</v>
      </c>
      <c r="M902" s="22" t="s">
        <v>15</v>
      </c>
      <c r="N902" s="24">
        <v>45839</v>
      </c>
      <c r="O902" s="13" t="s">
        <v>1346</v>
      </c>
    </row>
    <row r="903" spans="1:15" x14ac:dyDescent="0.25">
      <c r="A903" s="7">
        <v>10931</v>
      </c>
      <c r="B903" s="25">
        <v>4017890123450</v>
      </c>
      <c r="C903" s="26" t="s">
        <v>65</v>
      </c>
      <c r="D903" s="26" t="s">
        <v>39</v>
      </c>
      <c r="E903" s="26" t="s">
        <v>22</v>
      </c>
      <c r="F903" s="8">
        <v>7.6</v>
      </c>
      <c r="G903" s="8">
        <v>1</v>
      </c>
      <c r="H903" s="26" t="s">
        <v>14</v>
      </c>
      <c r="I903" s="26" t="s">
        <v>15</v>
      </c>
      <c r="J903" s="27">
        <v>45869</v>
      </c>
      <c r="K903" s="8">
        <v>0</v>
      </c>
      <c r="L903" s="26">
        <v>7.6</v>
      </c>
      <c r="M903" s="26" t="s">
        <v>15</v>
      </c>
      <c r="N903" s="28">
        <v>45839</v>
      </c>
      <c r="O903" s="14" t="s">
        <v>1346</v>
      </c>
    </row>
    <row r="904" spans="1:15" x14ac:dyDescent="0.25">
      <c r="A904" s="5">
        <v>10932</v>
      </c>
      <c r="B904" s="21">
        <v>8599988776654</v>
      </c>
      <c r="C904" s="22" t="s">
        <v>393</v>
      </c>
      <c r="D904" s="22" t="s">
        <v>133</v>
      </c>
      <c r="E904" s="22" t="s">
        <v>17</v>
      </c>
      <c r="F904" s="6">
        <v>16.8</v>
      </c>
      <c r="G904" s="6">
        <v>1</v>
      </c>
      <c r="H904" s="22" t="s">
        <v>23</v>
      </c>
      <c r="I904" s="22" t="s">
        <v>630</v>
      </c>
      <c r="J904" s="23">
        <v>45869</v>
      </c>
      <c r="K904" s="6">
        <v>0</v>
      </c>
      <c r="L904" s="22">
        <v>16.8</v>
      </c>
      <c r="M904" s="22">
        <v>5</v>
      </c>
      <c r="N904" s="24">
        <v>45839</v>
      </c>
      <c r="O904" s="13" t="s">
        <v>1346</v>
      </c>
    </row>
    <row r="905" spans="1:15" x14ac:dyDescent="0.25">
      <c r="A905" s="7">
        <v>10933</v>
      </c>
      <c r="B905" s="25">
        <v>4013456789017</v>
      </c>
      <c r="C905" s="26" t="s">
        <v>11</v>
      </c>
      <c r="D905" s="26" t="s">
        <v>12</v>
      </c>
      <c r="E905" s="26" t="s">
        <v>13</v>
      </c>
      <c r="F905" s="8">
        <v>6</v>
      </c>
      <c r="G905" s="8">
        <v>1</v>
      </c>
      <c r="H905" s="26" t="s">
        <v>14</v>
      </c>
      <c r="I905" s="26" t="s">
        <v>15</v>
      </c>
      <c r="J905" s="27">
        <v>45869</v>
      </c>
      <c r="K905" s="8">
        <v>0</v>
      </c>
      <c r="L905" s="26">
        <v>6</v>
      </c>
      <c r="M905" s="26" t="s">
        <v>15</v>
      </c>
      <c r="N905" s="28">
        <v>45839</v>
      </c>
      <c r="O905" s="14" t="s">
        <v>1346</v>
      </c>
    </row>
    <row r="906" spans="1:15" x14ac:dyDescent="0.25">
      <c r="A906" s="5">
        <v>10934</v>
      </c>
      <c r="B906" s="21">
        <v>8599988776654</v>
      </c>
      <c r="C906" s="22" t="s">
        <v>393</v>
      </c>
      <c r="D906" s="22" t="s">
        <v>133</v>
      </c>
      <c r="E906" s="22" t="s">
        <v>17</v>
      </c>
      <c r="F906" s="6">
        <v>16.8</v>
      </c>
      <c r="G906" s="6">
        <v>1</v>
      </c>
      <c r="H906" s="22" t="s">
        <v>14</v>
      </c>
      <c r="I906" s="22" t="s">
        <v>15</v>
      </c>
      <c r="J906" s="23">
        <v>45869</v>
      </c>
      <c r="K906" s="6">
        <v>0</v>
      </c>
      <c r="L906" s="22">
        <v>16.8</v>
      </c>
      <c r="M906" s="22" t="s">
        <v>15</v>
      </c>
      <c r="N906" s="24">
        <v>45839</v>
      </c>
      <c r="O906" s="13" t="s">
        <v>1346</v>
      </c>
    </row>
    <row r="907" spans="1:15" x14ac:dyDescent="0.25">
      <c r="A907" s="7">
        <v>10935</v>
      </c>
      <c r="B907" s="25">
        <v>4010123456783</v>
      </c>
      <c r="C907" s="26" t="s">
        <v>35</v>
      </c>
      <c r="D907" s="26" t="s">
        <v>36</v>
      </c>
      <c r="E907" s="26" t="s">
        <v>37</v>
      </c>
      <c r="F907" s="8">
        <v>14</v>
      </c>
      <c r="G907" s="8">
        <v>1</v>
      </c>
      <c r="H907" s="26" t="s">
        <v>14</v>
      </c>
      <c r="I907" s="26" t="s">
        <v>15</v>
      </c>
      <c r="J907" s="27">
        <v>45869</v>
      </c>
      <c r="K907" s="8">
        <v>0</v>
      </c>
      <c r="L907" s="26">
        <v>14</v>
      </c>
      <c r="M907" s="26" t="s">
        <v>15</v>
      </c>
      <c r="N907" s="28">
        <v>45839</v>
      </c>
      <c r="O907" s="14" t="s">
        <v>1345</v>
      </c>
    </row>
    <row r="908" spans="1:15" x14ac:dyDescent="0.25">
      <c r="A908" s="5">
        <v>10936</v>
      </c>
      <c r="B908" s="21">
        <v>4063456789014</v>
      </c>
      <c r="C908" s="22" t="s">
        <v>60</v>
      </c>
      <c r="D908" s="22" t="s">
        <v>12</v>
      </c>
      <c r="E908" s="22" t="s">
        <v>61</v>
      </c>
      <c r="F908" s="6">
        <v>36</v>
      </c>
      <c r="G908" s="6">
        <v>1</v>
      </c>
      <c r="H908" s="22" t="s">
        <v>23</v>
      </c>
      <c r="I908" s="22" t="s">
        <v>631</v>
      </c>
      <c r="J908" s="23">
        <v>45869</v>
      </c>
      <c r="K908" s="6">
        <v>0</v>
      </c>
      <c r="L908" s="22">
        <v>36</v>
      </c>
      <c r="M908" s="22">
        <v>5</v>
      </c>
      <c r="N908" s="24">
        <v>45839</v>
      </c>
      <c r="O908" s="13" t="s">
        <v>1346</v>
      </c>
    </row>
    <row r="909" spans="1:15" x14ac:dyDescent="0.25">
      <c r="A909" s="7">
        <v>10937</v>
      </c>
      <c r="B909" s="25">
        <v>8599988776654</v>
      </c>
      <c r="C909" s="26" t="s">
        <v>393</v>
      </c>
      <c r="D909" s="26" t="s">
        <v>133</v>
      </c>
      <c r="E909" s="26" t="s">
        <v>17</v>
      </c>
      <c r="F909" s="8">
        <v>16.8</v>
      </c>
      <c r="G909" s="8">
        <v>2</v>
      </c>
      <c r="H909" s="26" t="s">
        <v>14</v>
      </c>
      <c r="I909" s="26" t="s">
        <v>15</v>
      </c>
      <c r="J909" s="27">
        <v>45869</v>
      </c>
      <c r="K909" s="8">
        <v>0</v>
      </c>
      <c r="L909" s="26">
        <v>33.6</v>
      </c>
      <c r="M909" s="26" t="s">
        <v>15</v>
      </c>
      <c r="N909" s="28">
        <v>45839</v>
      </c>
      <c r="O909" s="14" t="s">
        <v>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1AEC-EC30-4FD1-9504-AE8D8C8F7711}">
  <dimension ref="A3:G5893"/>
  <sheetViews>
    <sheetView topLeftCell="A5874" workbookViewId="0">
      <selection activeCell="G5892" sqref="G5892"/>
    </sheetView>
  </sheetViews>
  <sheetFormatPr defaultRowHeight="15" x14ac:dyDescent="0.25"/>
  <cols>
    <col min="1" max="1" width="19.28515625" bestFit="1" customWidth="1"/>
    <col min="2" max="2" width="15" bestFit="1" customWidth="1"/>
    <col min="3" max="3" width="15.140625" bestFit="1" customWidth="1"/>
    <col min="4" max="4" width="19.7109375" bestFit="1" customWidth="1"/>
    <col min="6" max="6" width="36.140625" bestFit="1" customWidth="1"/>
  </cols>
  <sheetData>
    <row r="3" spans="1:4" x14ac:dyDescent="0.25">
      <c r="A3" s="15" t="s">
        <v>1337</v>
      </c>
      <c r="B3" t="s">
        <v>1341</v>
      </c>
      <c r="C3" t="s">
        <v>1339</v>
      </c>
      <c r="D3" t="s">
        <v>1340</v>
      </c>
    </row>
    <row r="4" spans="1:4" x14ac:dyDescent="0.25">
      <c r="A4" s="16">
        <v>7524</v>
      </c>
      <c r="B4" s="1">
        <v>2</v>
      </c>
      <c r="C4" s="1">
        <v>4</v>
      </c>
      <c r="D4" s="1">
        <v>14.399999999999999</v>
      </c>
    </row>
    <row r="5" spans="1:4" x14ac:dyDescent="0.25">
      <c r="A5" s="16">
        <v>7525</v>
      </c>
      <c r="B5" s="1">
        <v>1</v>
      </c>
      <c r="C5" s="1">
        <v>1</v>
      </c>
      <c r="D5" s="1">
        <v>8.8000000000000007</v>
      </c>
    </row>
    <row r="6" spans="1:4" x14ac:dyDescent="0.25">
      <c r="A6" s="16">
        <v>7526</v>
      </c>
      <c r="B6" s="1">
        <v>1</v>
      </c>
      <c r="C6" s="1">
        <v>1</v>
      </c>
      <c r="D6" s="1">
        <v>19.600000000000001</v>
      </c>
    </row>
    <row r="7" spans="1:4" x14ac:dyDescent="0.25">
      <c r="A7" s="16">
        <v>7527</v>
      </c>
      <c r="B7" s="1">
        <v>1</v>
      </c>
      <c r="C7" s="1">
        <v>1</v>
      </c>
      <c r="D7" s="1">
        <v>42</v>
      </c>
    </row>
    <row r="8" spans="1:4" x14ac:dyDescent="0.25">
      <c r="A8" s="16">
        <v>7528</v>
      </c>
      <c r="B8" s="1">
        <v>1</v>
      </c>
      <c r="C8" s="1">
        <v>2</v>
      </c>
      <c r="D8" s="1">
        <v>18.399999999999999</v>
      </c>
    </row>
    <row r="9" spans="1:4" x14ac:dyDescent="0.25">
      <c r="A9" s="16">
        <v>7529</v>
      </c>
      <c r="B9" s="1">
        <v>1</v>
      </c>
      <c r="C9" s="1">
        <v>2</v>
      </c>
      <c r="D9" s="1">
        <v>28</v>
      </c>
    </row>
    <row r="10" spans="1:4" x14ac:dyDescent="0.25">
      <c r="A10" s="16">
        <v>7530</v>
      </c>
      <c r="B10" s="1">
        <v>1</v>
      </c>
      <c r="C10" s="1">
        <v>4</v>
      </c>
      <c r="D10" s="1">
        <v>11.2</v>
      </c>
    </row>
    <row r="11" spans="1:4" x14ac:dyDescent="0.25">
      <c r="A11" s="16">
        <v>7531</v>
      </c>
      <c r="B11" s="1">
        <v>1</v>
      </c>
      <c r="C11" s="1">
        <v>1</v>
      </c>
      <c r="D11" s="1">
        <v>12</v>
      </c>
    </row>
    <row r="12" spans="1:4" x14ac:dyDescent="0.25">
      <c r="A12" s="16">
        <v>7532</v>
      </c>
      <c r="B12" s="1">
        <v>1</v>
      </c>
      <c r="C12" s="1">
        <v>1</v>
      </c>
      <c r="D12" s="1">
        <v>7.2</v>
      </c>
    </row>
    <row r="13" spans="1:4" x14ac:dyDescent="0.25">
      <c r="A13" s="16">
        <v>7533</v>
      </c>
      <c r="B13" s="1">
        <v>1</v>
      </c>
      <c r="C13" s="1">
        <v>1</v>
      </c>
      <c r="D13" s="1">
        <v>8</v>
      </c>
    </row>
    <row r="14" spans="1:4" x14ac:dyDescent="0.25">
      <c r="A14" s="16">
        <v>7534</v>
      </c>
      <c r="B14" s="1">
        <v>1</v>
      </c>
      <c r="C14" s="1">
        <v>5</v>
      </c>
      <c r="D14" s="1">
        <v>14</v>
      </c>
    </row>
    <row r="15" spans="1:4" x14ac:dyDescent="0.25">
      <c r="A15" s="16">
        <v>7535</v>
      </c>
      <c r="B15" s="1">
        <v>1</v>
      </c>
      <c r="C15" s="1">
        <v>2</v>
      </c>
      <c r="D15" s="1">
        <v>22.4</v>
      </c>
    </row>
    <row r="16" spans="1:4" x14ac:dyDescent="0.25">
      <c r="A16" s="16">
        <v>7536</v>
      </c>
      <c r="B16" s="1">
        <v>1</v>
      </c>
      <c r="C16" s="1">
        <v>1</v>
      </c>
      <c r="D16" s="1">
        <v>6</v>
      </c>
    </row>
    <row r="17" spans="1:4" x14ac:dyDescent="0.25">
      <c r="A17" s="16">
        <v>7537</v>
      </c>
      <c r="B17" s="1">
        <v>1</v>
      </c>
      <c r="C17" s="1">
        <v>3</v>
      </c>
      <c r="D17" s="1">
        <v>7.1999999999999993</v>
      </c>
    </row>
    <row r="18" spans="1:4" x14ac:dyDescent="0.25">
      <c r="A18" s="16">
        <v>7538</v>
      </c>
      <c r="B18" s="1">
        <v>2</v>
      </c>
      <c r="C18" s="1">
        <v>3</v>
      </c>
      <c r="D18" s="1">
        <v>11.6</v>
      </c>
    </row>
    <row r="19" spans="1:4" x14ac:dyDescent="0.25">
      <c r="A19" s="16">
        <v>7539</v>
      </c>
      <c r="B19" s="1">
        <v>1</v>
      </c>
      <c r="C19" s="1">
        <v>1</v>
      </c>
      <c r="D19" s="1">
        <v>8.8000000000000007</v>
      </c>
    </row>
    <row r="20" spans="1:4" x14ac:dyDescent="0.25">
      <c r="A20" s="16">
        <v>7540</v>
      </c>
      <c r="B20" s="1">
        <v>1</v>
      </c>
      <c r="C20" s="1">
        <v>2</v>
      </c>
      <c r="D20" s="1">
        <v>28</v>
      </c>
    </row>
    <row r="21" spans="1:4" x14ac:dyDescent="0.25">
      <c r="A21" s="16">
        <v>7541</v>
      </c>
      <c r="B21" s="1">
        <v>1</v>
      </c>
      <c r="C21" s="1">
        <v>4</v>
      </c>
      <c r="D21" s="1">
        <v>11.2</v>
      </c>
    </row>
    <row r="22" spans="1:4" x14ac:dyDescent="0.25">
      <c r="A22" s="16">
        <v>7542</v>
      </c>
      <c r="B22" s="1">
        <v>1</v>
      </c>
      <c r="C22" s="1">
        <v>1</v>
      </c>
      <c r="D22" s="1">
        <v>19.600000000000001</v>
      </c>
    </row>
    <row r="23" spans="1:4" x14ac:dyDescent="0.25">
      <c r="A23" s="16">
        <v>7543</v>
      </c>
      <c r="B23" s="1">
        <v>1</v>
      </c>
      <c r="C23" s="1">
        <v>1</v>
      </c>
      <c r="D23" s="1">
        <v>42</v>
      </c>
    </row>
    <row r="24" spans="1:4" x14ac:dyDescent="0.25">
      <c r="A24" s="16">
        <v>7544</v>
      </c>
      <c r="B24" s="1">
        <v>1</v>
      </c>
      <c r="C24" s="1">
        <v>1</v>
      </c>
      <c r="D24" s="1">
        <v>7.6</v>
      </c>
    </row>
    <row r="25" spans="1:4" x14ac:dyDescent="0.25">
      <c r="A25" s="16">
        <v>7545</v>
      </c>
      <c r="B25" s="1">
        <v>1</v>
      </c>
      <c r="C25" s="1">
        <v>3</v>
      </c>
      <c r="D25" s="1">
        <v>12</v>
      </c>
    </row>
    <row r="26" spans="1:4" x14ac:dyDescent="0.25">
      <c r="A26" s="16">
        <v>7546</v>
      </c>
      <c r="B26" s="1">
        <v>1</v>
      </c>
      <c r="C26" s="1">
        <v>1</v>
      </c>
      <c r="D26" s="1">
        <v>9.1999999999999993</v>
      </c>
    </row>
    <row r="27" spans="1:4" x14ac:dyDescent="0.25">
      <c r="A27" s="16">
        <v>7547</v>
      </c>
      <c r="B27" s="1">
        <v>1</v>
      </c>
      <c r="C27" s="1">
        <v>1</v>
      </c>
      <c r="D27" s="1">
        <v>36</v>
      </c>
    </row>
    <row r="28" spans="1:4" x14ac:dyDescent="0.25">
      <c r="A28" s="16">
        <v>7548</v>
      </c>
      <c r="B28" s="1">
        <v>1</v>
      </c>
      <c r="C28" s="1">
        <v>4</v>
      </c>
      <c r="D28" s="1">
        <v>11.2</v>
      </c>
    </row>
    <row r="29" spans="1:4" x14ac:dyDescent="0.25">
      <c r="A29" s="16">
        <v>7549</v>
      </c>
      <c r="B29" s="1">
        <v>1</v>
      </c>
      <c r="C29" s="1">
        <v>2</v>
      </c>
      <c r="D29" s="1">
        <v>12</v>
      </c>
    </row>
    <row r="30" spans="1:4" x14ac:dyDescent="0.25">
      <c r="A30" s="16">
        <v>7550</v>
      </c>
      <c r="B30" s="1">
        <v>1</v>
      </c>
      <c r="C30" s="1">
        <v>2</v>
      </c>
      <c r="D30" s="1">
        <v>22.4</v>
      </c>
    </row>
    <row r="31" spans="1:4" x14ac:dyDescent="0.25">
      <c r="A31" s="16">
        <v>7551</v>
      </c>
      <c r="B31" s="1">
        <v>1</v>
      </c>
      <c r="C31" s="1">
        <v>2</v>
      </c>
      <c r="D31" s="1">
        <v>4.8</v>
      </c>
    </row>
    <row r="32" spans="1:4" x14ac:dyDescent="0.25">
      <c r="A32" s="16">
        <v>7552</v>
      </c>
      <c r="B32" s="1">
        <v>1</v>
      </c>
      <c r="C32" s="1">
        <v>3</v>
      </c>
      <c r="D32" s="1">
        <v>8.3999999999999986</v>
      </c>
    </row>
    <row r="33" spans="1:4" x14ac:dyDescent="0.25">
      <c r="A33" s="16">
        <v>7553</v>
      </c>
      <c r="B33" s="1">
        <v>1</v>
      </c>
      <c r="C33" s="1">
        <v>1</v>
      </c>
      <c r="D33" s="1">
        <v>19.600000000000001</v>
      </c>
    </row>
    <row r="34" spans="1:4" x14ac:dyDescent="0.25">
      <c r="A34" s="16">
        <v>7554</v>
      </c>
      <c r="B34" s="1">
        <v>1</v>
      </c>
      <c r="C34" s="1">
        <v>1</v>
      </c>
      <c r="D34" s="1">
        <v>7.6</v>
      </c>
    </row>
    <row r="35" spans="1:4" x14ac:dyDescent="0.25">
      <c r="A35" s="16">
        <v>7555</v>
      </c>
      <c r="B35" s="1">
        <v>1</v>
      </c>
      <c r="C35" s="1">
        <v>1</v>
      </c>
      <c r="D35" s="1">
        <v>8.8000000000000007</v>
      </c>
    </row>
    <row r="36" spans="1:4" x14ac:dyDescent="0.25">
      <c r="A36" s="16">
        <v>7556</v>
      </c>
      <c r="B36" s="1">
        <v>1</v>
      </c>
      <c r="C36" s="1">
        <v>2</v>
      </c>
      <c r="D36" s="1">
        <v>28</v>
      </c>
    </row>
    <row r="37" spans="1:4" x14ac:dyDescent="0.25">
      <c r="A37" s="16">
        <v>7557</v>
      </c>
      <c r="B37" s="1">
        <v>1</v>
      </c>
      <c r="C37" s="1">
        <v>5</v>
      </c>
      <c r="D37" s="1">
        <v>14</v>
      </c>
    </row>
    <row r="38" spans="1:4" x14ac:dyDescent="0.25">
      <c r="A38" s="16">
        <v>7558</v>
      </c>
      <c r="B38" s="1">
        <v>1</v>
      </c>
      <c r="C38" s="1">
        <v>1</v>
      </c>
      <c r="D38" s="1">
        <v>6</v>
      </c>
    </row>
    <row r="39" spans="1:4" x14ac:dyDescent="0.25">
      <c r="A39" s="16">
        <v>7559</v>
      </c>
      <c r="B39" s="1">
        <v>1</v>
      </c>
      <c r="C39" s="1">
        <v>1</v>
      </c>
      <c r="D39" s="1">
        <v>36</v>
      </c>
    </row>
    <row r="40" spans="1:4" x14ac:dyDescent="0.25">
      <c r="A40" s="16">
        <v>7560</v>
      </c>
      <c r="B40" s="1">
        <v>1</v>
      </c>
      <c r="C40" s="1">
        <v>3</v>
      </c>
      <c r="D40" s="1">
        <v>8.3999999999999986</v>
      </c>
    </row>
    <row r="41" spans="1:4" x14ac:dyDescent="0.25">
      <c r="A41" s="16">
        <v>7561</v>
      </c>
      <c r="B41" s="1">
        <v>1</v>
      </c>
      <c r="C41" s="1">
        <v>2</v>
      </c>
      <c r="D41" s="1">
        <v>12</v>
      </c>
    </row>
    <row r="42" spans="1:4" x14ac:dyDescent="0.25">
      <c r="A42" s="16">
        <v>7562</v>
      </c>
      <c r="B42" s="1">
        <v>1</v>
      </c>
      <c r="C42" s="1">
        <v>1</v>
      </c>
      <c r="D42" s="1">
        <v>19.600000000000001</v>
      </c>
    </row>
    <row r="43" spans="1:4" x14ac:dyDescent="0.25">
      <c r="A43" s="16">
        <v>7563</v>
      </c>
      <c r="B43" s="1">
        <v>1</v>
      </c>
      <c r="C43" s="1">
        <v>4</v>
      </c>
      <c r="D43" s="1">
        <v>11.2</v>
      </c>
    </row>
    <row r="44" spans="1:4" x14ac:dyDescent="0.25">
      <c r="A44" s="16">
        <v>7564</v>
      </c>
      <c r="B44" s="1">
        <v>1</v>
      </c>
      <c r="C44" s="1">
        <v>2</v>
      </c>
      <c r="D44" s="1">
        <v>12</v>
      </c>
    </row>
    <row r="45" spans="1:4" x14ac:dyDescent="0.25">
      <c r="A45" s="16">
        <v>7565</v>
      </c>
      <c r="B45" s="1">
        <v>1</v>
      </c>
      <c r="C45" s="1">
        <v>1</v>
      </c>
      <c r="D45" s="1">
        <v>8.8000000000000007</v>
      </c>
    </row>
    <row r="46" spans="1:4" x14ac:dyDescent="0.25">
      <c r="A46" s="16">
        <v>7566</v>
      </c>
      <c r="B46" s="1">
        <v>1</v>
      </c>
      <c r="C46" s="1">
        <v>1</v>
      </c>
      <c r="D46" s="1">
        <v>7.6</v>
      </c>
    </row>
    <row r="47" spans="1:4" x14ac:dyDescent="0.25">
      <c r="A47" s="16">
        <v>7567</v>
      </c>
      <c r="B47" s="1">
        <v>1</v>
      </c>
      <c r="C47" s="1">
        <v>2</v>
      </c>
      <c r="D47" s="1">
        <v>4.8</v>
      </c>
    </row>
    <row r="48" spans="1:4" x14ac:dyDescent="0.25">
      <c r="A48" s="16">
        <v>7568</v>
      </c>
      <c r="B48" s="1">
        <v>1</v>
      </c>
      <c r="C48" s="1">
        <v>1</v>
      </c>
      <c r="D48" s="1">
        <v>36</v>
      </c>
    </row>
    <row r="49" spans="1:4" x14ac:dyDescent="0.25">
      <c r="A49" s="16">
        <v>7569</v>
      </c>
      <c r="B49" s="1">
        <v>1</v>
      </c>
      <c r="C49" s="1">
        <v>2</v>
      </c>
      <c r="D49" s="1">
        <v>22.4</v>
      </c>
    </row>
    <row r="50" spans="1:4" x14ac:dyDescent="0.25">
      <c r="A50" s="16">
        <v>7570</v>
      </c>
      <c r="B50" s="1">
        <v>1</v>
      </c>
      <c r="C50" s="1">
        <v>4</v>
      </c>
      <c r="D50" s="1">
        <v>11.2</v>
      </c>
    </row>
    <row r="51" spans="1:4" x14ac:dyDescent="0.25">
      <c r="A51" s="16">
        <v>7571</v>
      </c>
      <c r="B51" s="1">
        <v>1</v>
      </c>
      <c r="C51" s="1">
        <v>1</v>
      </c>
      <c r="D51" s="1">
        <v>6</v>
      </c>
    </row>
    <row r="52" spans="1:4" x14ac:dyDescent="0.25">
      <c r="A52" s="16">
        <v>7572</v>
      </c>
      <c r="B52" s="1">
        <v>1</v>
      </c>
      <c r="C52" s="1">
        <v>1</v>
      </c>
      <c r="D52" s="1">
        <v>8</v>
      </c>
    </row>
    <row r="53" spans="1:4" x14ac:dyDescent="0.25">
      <c r="A53" s="16">
        <v>7573</v>
      </c>
      <c r="B53" s="1">
        <v>1</v>
      </c>
      <c r="C53" s="1">
        <v>1</v>
      </c>
      <c r="D53" s="1">
        <v>14</v>
      </c>
    </row>
    <row r="54" spans="1:4" x14ac:dyDescent="0.25">
      <c r="A54" s="16">
        <v>7574</v>
      </c>
      <c r="B54" s="1">
        <v>1</v>
      </c>
      <c r="C54" s="1">
        <v>3</v>
      </c>
      <c r="D54" s="1">
        <v>8.3999999999999986</v>
      </c>
    </row>
    <row r="55" spans="1:4" x14ac:dyDescent="0.25">
      <c r="A55" s="16">
        <v>7575</v>
      </c>
      <c r="B55" s="1">
        <v>1</v>
      </c>
      <c r="C55" s="1">
        <v>1</v>
      </c>
      <c r="D55" s="1">
        <v>19.600000000000001</v>
      </c>
    </row>
    <row r="56" spans="1:4" x14ac:dyDescent="0.25">
      <c r="A56" s="16">
        <v>7576</v>
      </c>
      <c r="B56" s="1">
        <v>1</v>
      </c>
      <c r="C56" s="1">
        <v>1</v>
      </c>
      <c r="D56" s="1">
        <v>12</v>
      </c>
    </row>
    <row r="57" spans="1:4" x14ac:dyDescent="0.25">
      <c r="A57" s="16">
        <v>7577</v>
      </c>
      <c r="B57" s="1">
        <v>1</v>
      </c>
      <c r="C57" s="1">
        <v>1</v>
      </c>
      <c r="D57" s="1">
        <v>7.6</v>
      </c>
    </row>
    <row r="58" spans="1:4" x14ac:dyDescent="0.25">
      <c r="A58" s="16">
        <v>7578</v>
      </c>
      <c r="B58" s="1">
        <v>1</v>
      </c>
      <c r="C58" s="1">
        <v>2</v>
      </c>
      <c r="D58" s="1">
        <v>12</v>
      </c>
    </row>
    <row r="59" spans="1:4" x14ac:dyDescent="0.25">
      <c r="A59" s="16">
        <v>7579</v>
      </c>
      <c r="B59" s="1">
        <v>1</v>
      </c>
      <c r="C59" s="1">
        <v>2</v>
      </c>
      <c r="D59" s="1">
        <v>8</v>
      </c>
    </row>
    <row r="60" spans="1:4" x14ac:dyDescent="0.25">
      <c r="A60" s="16">
        <v>7580</v>
      </c>
      <c r="B60" s="1">
        <v>1</v>
      </c>
      <c r="C60" s="1">
        <v>1</v>
      </c>
      <c r="D60" s="1">
        <v>7.2</v>
      </c>
    </row>
    <row r="61" spans="1:4" x14ac:dyDescent="0.25">
      <c r="A61" s="16">
        <v>7581</v>
      </c>
      <c r="B61" s="1">
        <v>1</v>
      </c>
      <c r="C61" s="1">
        <v>4</v>
      </c>
      <c r="D61" s="1">
        <v>11.2</v>
      </c>
    </row>
    <row r="62" spans="1:4" x14ac:dyDescent="0.25">
      <c r="A62" s="16">
        <v>7582</v>
      </c>
      <c r="B62" s="1">
        <v>1</v>
      </c>
      <c r="C62" s="1">
        <v>1</v>
      </c>
      <c r="D62" s="1">
        <v>7.6</v>
      </c>
    </row>
    <row r="63" spans="1:4" x14ac:dyDescent="0.25">
      <c r="A63" s="16">
        <v>7583</v>
      </c>
      <c r="B63" s="1">
        <v>1</v>
      </c>
      <c r="C63" s="1">
        <v>1</v>
      </c>
      <c r="D63" s="1">
        <v>6</v>
      </c>
    </row>
    <row r="64" spans="1:4" x14ac:dyDescent="0.25">
      <c r="A64" s="16">
        <v>7584</v>
      </c>
      <c r="B64" s="1">
        <v>1</v>
      </c>
      <c r="C64" s="1">
        <v>2</v>
      </c>
      <c r="D64" s="1">
        <v>4.8</v>
      </c>
    </row>
    <row r="65" spans="1:4" x14ac:dyDescent="0.25">
      <c r="A65" s="16">
        <v>7585</v>
      </c>
      <c r="B65" s="1">
        <v>1</v>
      </c>
      <c r="C65" s="1">
        <v>1</v>
      </c>
      <c r="D65" s="1">
        <v>36</v>
      </c>
    </row>
    <row r="66" spans="1:4" x14ac:dyDescent="0.25">
      <c r="A66" s="16">
        <v>7586</v>
      </c>
      <c r="B66" s="1">
        <v>1</v>
      </c>
      <c r="C66" s="1">
        <v>1</v>
      </c>
      <c r="D66" s="1">
        <v>36</v>
      </c>
    </row>
    <row r="67" spans="1:4" x14ac:dyDescent="0.25">
      <c r="A67" s="16">
        <v>7587</v>
      </c>
      <c r="B67" s="1">
        <v>1</v>
      </c>
      <c r="C67" s="1">
        <v>3</v>
      </c>
      <c r="D67" s="1">
        <v>8.3999999999999986</v>
      </c>
    </row>
    <row r="68" spans="1:4" x14ac:dyDescent="0.25">
      <c r="A68" s="16">
        <v>7588</v>
      </c>
      <c r="B68" s="1">
        <v>1</v>
      </c>
      <c r="C68" s="1">
        <v>2</v>
      </c>
      <c r="D68" s="1">
        <v>28</v>
      </c>
    </row>
    <row r="69" spans="1:4" x14ac:dyDescent="0.25">
      <c r="A69" s="16">
        <v>7589</v>
      </c>
      <c r="B69" s="1">
        <v>1</v>
      </c>
      <c r="C69" s="1">
        <v>1</v>
      </c>
      <c r="D69" s="1">
        <v>8</v>
      </c>
    </row>
    <row r="70" spans="1:4" x14ac:dyDescent="0.25">
      <c r="A70" s="16">
        <v>7590</v>
      </c>
      <c r="B70" s="1">
        <v>1</v>
      </c>
      <c r="C70" s="1">
        <v>1</v>
      </c>
      <c r="D70" s="1">
        <v>19.600000000000001</v>
      </c>
    </row>
    <row r="71" spans="1:4" x14ac:dyDescent="0.25">
      <c r="A71" s="16">
        <v>7591</v>
      </c>
      <c r="B71" s="1">
        <v>1</v>
      </c>
      <c r="C71" s="1">
        <v>5</v>
      </c>
      <c r="D71" s="1">
        <v>14</v>
      </c>
    </row>
    <row r="72" spans="1:4" x14ac:dyDescent="0.25">
      <c r="A72" s="16">
        <v>7592</v>
      </c>
      <c r="B72" s="1">
        <v>1</v>
      </c>
      <c r="C72" s="1">
        <v>1</v>
      </c>
      <c r="D72" s="1">
        <v>6</v>
      </c>
    </row>
    <row r="73" spans="1:4" x14ac:dyDescent="0.25">
      <c r="A73" s="16">
        <v>7593</v>
      </c>
      <c r="B73" s="1">
        <v>1</v>
      </c>
      <c r="C73" s="1">
        <v>1</v>
      </c>
      <c r="D73" s="1">
        <v>8.8000000000000007</v>
      </c>
    </row>
    <row r="74" spans="1:4" x14ac:dyDescent="0.25">
      <c r="A74" s="16">
        <v>7594</v>
      </c>
      <c r="B74" s="1">
        <v>1</v>
      </c>
      <c r="C74" s="1">
        <v>1</v>
      </c>
      <c r="D74" s="1">
        <v>14</v>
      </c>
    </row>
    <row r="75" spans="1:4" x14ac:dyDescent="0.25">
      <c r="A75" s="16">
        <v>7595</v>
      </c>
      <c r="B75" s="1">
        <v>1</v>
      </c>
      <c r="C75" s="1">
        <v>3</v>
      </c>
      <c r="D75" s="1">
        <v>8.3999999999999986</v>
      </c>
    </row>
    <row r="76" spans="1:4" x14ac:dyDescent="0.25">
      <c r="A76" s="16">
        <v>7596</v>
      </c>
      <c r="B76" s="1">
        <v>1</v>
      </c>
      <c r="C76" s="1">
        <v>1</v>
      </c>
      <c r="D76" s="1">
        <v>36</v>
      </c>
    </row>
    <row r="77" spans="1:4" x14ac:dyDescent="0.25">
      <c r="A77" s="16">
        <v>7597</v>
      </c>
      <c r="B77" s="1">
        <v>1</v>
      </c>
      <c r="C77" s="1">
        <v>1</v>
      </c>
      <c r="D77" s="1">
        <v>7.6</v>
      </c>
    </row>
    <row r="78" spans="1:4" x14ac:dyDescent="0.25">
      <c r="A78" s="16">
        <v>7598</v>
      </c>
      <c r="B78" s="1">
        <v>1</v>
      </c>
      <c r="C78" s="1">
        <v>2</v>
      </c>
      <c r="D78" s="1">
        <v>12</v>
      </c>
    </row>
    <row r="79" spans="1:4" x14ac:dyDescent="0.25">
      <c r="A79" s="16">
        <v>7599</v>
      </c>
      <c r="B79" s="1">
        <v>1</v>
      </c>
      <c r="C79" s="1">
        <v>2</v>
      </c>
      <c r="D79" s="1">
        <v>4.8</v>
      </c>
    </row>
    <row r="80" spans="1:4" x14ac:dyDescent="0.25">
      <c r="A80" s="16">
        <v>7600</v>
      </c>
      <c r="B80" s="1">
        <v>1</v>
      </c>
      <c r="C80" s="1">
        <v>1</v>
      </c>
      <c r="D80" s="1">
        <v>19.600000000000001</v>
      </c>
    </row>
    <row r="81" spans="1:4" x14ac:dyDescent="0.25">
      <c r="A81" s="16">
        <v>7601</v>
      </c>
      <c r="B81" s="1">
        <v>1</v>
      </c>
      <c r="C81" s="1">
        <v>3</v>
      </c>
      <c r="D81" s="1">
        <v>8.3999999999999986</v>
      </c>
    </row>
    <row r="82" spans="1:4" x14ac:dyDescent="0.25">
      <c r="A82" s="16">
        <v>7602</v>
      </c>
      <c r="B82" s="1">
        <v>1</v>
      </c>
      <c r="C82" s="1">
        <v>1</v>
      </c>
      <c r="D82" s="1">
        <v>6</v>
      </c>
    </row>
    <row r="83" spans="1:4" x14ac:dyDescent="0.25">
      <c r="A83" s="16">
        <v>7603</v>
      </c>
      <c r="B83" s="1">
        <v>1</v>
      </c>
      <c r="C83" s="1">
        <v>1</v>
      </c>
      <c r="D83" s="1">
        <v>19.600000000000001</v>
      </c>
    </row>
    <row r="84" spans="1:4" x14ac:dyDescent="0.25">
      <c r="A84" s="16">
        <v>7604</v>
      </c>
      <c r="B84" s="1">
        <v>1</v>
      </c>
      <c r="C84" s="1">
        <v>3</v>
      </c>
      <c r="D84" s="1">
        <v>7.1999999999999993</v>
      </c>
    </row>
    <row r="85" spans="1:4" x14ac:dyDescent="0.25">
      <c r="A85" s="16">
        <v>7605</v>
      </c>
      <c r="B85" s="1">
        <v>1</v>
      </c>
      <c r="C85" s="1">
        <v>4</v>
      </c>
      <c r="D85" s="1">
        <v>11.2</v>
      </c>
    </row>
    <row r="86" spans="1:4" x14ac:dyDescent="0.25">
      <c r="A86" s="16">
        <v>7606</v>
      </c>
      <c r="B86" s="1">
        <v>1</v>
      </c>
      <c r="C86" s="1">
        <v>1</v>
      </c>
      <c r="D86" s="1">
        <v>6</v>
      </c>
    </row>
    <row r="87" spans="1:4" x14ac:dyDescent="0.25">
      <c r="A87" s="16">
        <v>7607</v>
      </c>
      <c r="B87" s="1">
        <v>1</v>
      </c>
      <c r="C87" s="1">
        <v>5</v>
      </c>
      <c r="D87" s="1">
        <v>14</v>
      </c>
    </row>
    <row r="88" spans="1:4" x14ac:dyDescent="0.25">
      <c r="A88" s="16">
        <v>7608</v>
      </c>
      <c r="B88" s="1">
        <v>1</v>
      </c>
      <c r="C88" s="1">
        <v>1</v>
      </c>
      <c r="D88" s="1">
        <v>11.2</v>
      </c>
    </row>
    <row r="89" spans="1:4" x14ac:dyDescent="0.25">
      <c r="A89" s="16">
        <v>7609</v>
      </c>
      <c r="B89" s="1">
        <v>1</v>
      </c>
      <c r="C89" s="1">
        <v>1</v>
      </c>
      <c r="D89" s="1">
        <v>8</v>
      </c>
    </row>
    <row r="90" spans="1:4" x14ac:dyDescent="0.25">
      <c r="A90" s="16">
        <v>7610</v>
      </c>
      <c r="B90" s="1">
        <v>1</v>
      </c>
      <c r="C90" s="1">
        <v>1</v>
      </c>
      <c r="D90" s="1">
        <v>36</v>
      </c>
    </row>
    <row r="91" spans="1:4" x14ac:dyDescent="0.25">
      <c r="A91" s="16">
        <v>7611</v>
      </c>
      <c r="B91" s="1">
        <v>1</v>
      </c>
      <c r="C91" s="1">
        <v>1</v>
      </c>
      <c r="D91" s="1">
        <v>7.6</v>
      </c>
    </row>
    <row r="92" spans="1:4" x14ac:dyDescent="0.25">
      <c r="A92" s="16">
        <v>7612</v>
      </c>
      <c r="B92" s="1">
        <v>1</v>
      </c>
      <c r="C92" s="1">
        <v>1</v>
      </c>
      <c r="D92" s="1">
        <v>7.2</v>
      </c>
    </row>
    <row r="93" spans="1:4" x14ac:dyDescent="0.25">
      <c r="A93" s="16">
        <v>7613</v>
      </c>
      <c r="B93" s="1">
        <v>1</v>
      </c>
      <c r="C93" s="1">
        <v>1</v>
      </c>
      <c r="D93" s="1">
        <v>19.600000000000001</v>
      </c>
    </row>
    <row r="94" spans="1:4" x14ac:dyDescent="0.25">
      <c r="A94" s="16">
        <v>7614</v>
      </c>
      <c r="B94" s="1">
        <v>1</v>
      </c>
      <c r="C94" s="1">
        <v>2</v>
      </c>
      <c r="D94" s="1">
        <v>5.6</v>
      </c>
    </row>
    <row r="95" spans="1:4" x14ac:dyDescent="0.25">
      <c r="A95" s="16">
        <v>7615</v>
      </c>
      <c r="B95" s="1">
        <v>1</v>
      </c>
      <c r="C95" s="1">
        <v>2</v>
      </c>
      <c r="D95" s="1">
        <v>12</v>
      </c>
    </row>
    <row r="96" spans="1:4" x14ac:dyDescent="0.25">
      <c r="A96" s="16">
        <v>7616</v>
      </c>
      <c r="B96" s="1">
        <v>1</v>
      </c>
      <c r="C96" s="1">
        <v>3</v>
      </c>
      <c r="D96" s="1">
        <v>7.1999999999999993</v>
      </c>
    </row>
    <row r="97" spans="1:4" x14ac:dyDescent="0.25">
      <c r="A97" s="16">
        <v>7617</v>
      </c>
      <c r="B97" s="1">
        <v>1</v>
      </c>
      <c r="C97" s="1">
        <v>1</v>
      </c>
      <c r="D97" s="1">
        <v>36</v>
      </c>
    </row>
    <row r="98" spans="1:4" x14ac:dyDescent="0.25">
      <c r="A98" s="16">
        <v>7618</v>
      </c>
      <c r="B98" s="1">
        <v>1</v>
      </c>
      <c r="C98" s="1">
        <v>3</v>
      </c>
      <c r="D98" s="1">
        <v>8.3999999999999986</v>
      </c>
    </row>
    <row r="99" spans="1:4" x14ac:dyDescent="0.25">
      <c r="A99" s="16">
        <v>7619</v>
      </c>
      <c r="B99" s="1">
        <v>1</v>
      </c>
      <c r="C99" s="1">
        <v>1</v>
      </c>
      <c r="D99" s="1">
        <v>6</v>
      </c>
    </row>
    <row r="100" spans="1:4" x14ac:dyDescent="0.25">
      <c r="A100" s="16">
        <v>7620</v>
      </c>
      <c r="B100" s="1">
        <v>1</v>
      </c>
      <c r="C100" s="1">
        <v>1</v>
      </c>
      <c r="D100" s="1">
        <v>8.8000000000000007</v>
      </c>
    </row>
    <row r="101" spans="1:4" x14ac:dyDescent="0.25">
      <c r="A101" s="16">
        <v>7621</v>
      </c>
      <c r="B101" s="1">
        <v>1</v>
      </c>
      <c r="C101" s="1">
        <v>1</v>
      </c>
      <c r="D101" s="1">
        <v>14</v>
      </c>
    </row>
    <row r="102" spans="1:4" x14ac:dyDescent="0.25">
      <c r="A102" s="16">
        <v>7622</v>
      </c>
      <c r="B102" s="1">
        <v>1</v>
      </c>
      <c r="C102" s="1">
        <v>4</v>
      </c>
      <c r="D102" s="1">
        <v>11.2</v>
      </c>
    </row>
    <row r="103" spans="1:4" x14ac:dyDescent="0.25">
      <c r="A103" s="16">
        <v>7623</v>
      </c>
      <c r="B103" s="1">
        <v>1</v>
      </c>
      <c r="C103" s="1">
        <v>1</v>
      </c>
      <c r="D103" s="1">
        <v>6</v>
      </c>
    </row>
    <row r="104" spans="1:4" x14ac:dyDescent="0.25">
      <c r="A104" s="16">
        <v>7624</v>
      </c>
      <c r="B104" s="1">
        <v>1</v>
      </c>
      <c r="C104" s="1">
        <v>1</v>
      </c>
      <c r="D104" s="1">
        <v>19.600000000000001</v>
      </c>
    </row>
    <row r="105" spans="1:4" x14ac:dyDescent="0.25">
      <c r="A105" s="16">
        <v>7625</v>
      </c>
      <c r="B105" s="1">
        <v>1</v>
      </c>
      <c r="C105" s="1">
        <v>2</v>
      </c>
      <c r="D105" s="1">
        <v>8</v>
      </c>
    </row>
    <row r="106" spans="1:4" x14ac:dyDescent="0.25">
      <c r="A106" s="16">
        <v>7626</v>
      </c>
      <c r="B106" s="1">
        <v>1</v>
      </c>
      <c r="C106" s="1">
        <v>5</v>
      </c>
      <c r="D106" s="1">
        <v>14</v>
      </c>
    </row>
    <row r="107" spans="1:4" x14ac:dyDescent="0.25">
      <c r="A107" s="16">
        <v>7627</v>
      </c>
      <c r="B107" s="1">
        <v>1</v>
      </c>
      <c r="C107" s="1">
        <v>1</v>
      </c>
      <c r="D107" s="1">
        <v>6</v>
      </c>
    </row>
    <row r="108" spans="1:4" x14ac:dyDescent="0.25">
      <c r="A108" s="16">
        <v>7628</v>
      </c>
      <c r="B108" s="1">
        <v>1</v>
      </c>
      <c r="C108" s="1">
        <v>3</v>
      </c>
      <c r="D108" s="1">
        <v>7.1999999999999993</v>
      </c>
    </row>
    <row r="109" spans="1:4" x14ac:dyDescent="0.25">
      <c r="A109" s="16">
        <v>7629</v>
      </c>
      <c r="B109" s="1">
        <v>1</v>
      </c>
      <c r="C109" s="1">
        <v>1</v>
      </c>
      <c r="D109" s="1">
        <v>36</v>
      </c>
    </row>
    <row r="110" spans="1:4" x14ac:dyDescent="0.25">
      <c r="A110" s="16">
        <v>7630</v>
      </c>
      <c r="B110" s="1">
        <v>1</v>
      </c>
      <c r="C110" s="1">
        <v>1</v>
      </c>
      <c r="D110" s="1">
        <v>36</v>
      </c>
    </row>
    <row r="111" spans="1:4" x14ac:dyDescent="0.25">
      <c r="A111" s="16">
        <v>7631</v>
      </c>
      <c r="B111" s="1">
        <v>1</v>
      </c>
      <c r="C111" s="1">
        <v>4</v>
      </c>
      <c r="D111" s="1">
        <v>11.2</v>
      </c>
    </row>
    <row r="112" spans="1:4" x14ac:dyDescent="0.25">
      <c r="A112" s="16">
        <v>7632</v>
      </c>
      <c r="B112" s="1">
        <v>1</v>
      </c>
      <c r="C112" s="1">
        <v>2</v>
      </c>
      <c r="D112" s="1">
        <v>12</v>
      </c>
    </row>
    <row r="113" spans="1:4" x14ac:dyDescent="0.25">
      <c r="A113" s="16">
        <v>7633</v>
      </c>
      <c r="B113" s="1">
        <v>1</v>
      </c>
      <c r="C113" s="1">
        <v>1</v>
      </c>
      <c r="D113" s="1">
        <v>8.8000000000000007</v>
      </c>
    </row>
    <row r="114" spans="1:4" x14ac:dyDescent="0.25">
      <c r="A114" s="16">
        <v>7634</v>
      </c>
      <c r="B114" s="1">
        <v>1</v>
      </c>
      <c r="C114" s="1">
        <v>1</v>
      </c>
      <c r="D114" s="1">
        <v>19.600000000000001</v>
      </c>
    </row>
    <row r="115" spans="1:4" x14ac:dyDescent="0.25">
      <c r="A115" s="16">
        <v>7635</v>
      </c>
      <c r="B115" s="1">
        <v>1</v>
      </c>
      <c r="C115" s="1">
        <v>2</v>
      </c>
      <c r="D115" s="1">
        <v>28</v>
      </c>
    </row>
    <row r="116" spans="1:4" x14ac:dyDescent="0.25">
      <c r="A116" s="16">
        <v>7636</v>
      </c>
      <c r="B116" s="1">
        <v>1</v>
      </c>
      <c r="C116" s="1">
        <v>5</v>
      </c>
      <c r="D116" s="1">
        <v>14</v>
      </c>
    </row>
    <row r="117" spans="1:4" x14ac:dyDescent="0.25">
      <c r="A117" s="16">
        <v>7637</v>
      </c>
      <c r="B117" s="1">
        <v>1</v>
      </c>
      <c r="C117" s="1">
        <v>1</v>
      </c>
      <c r="D117" s="1">
        <v>6</v>
      </c>
    </row>
    <row r="118" spans="1:4" x14ac:dyDescent="0.25">
      <c r="A118" s="16">
        <v>7638</v>
      </c>
      <c r="B118" s="1">
        <v>1</v>
      </c>
      <c r="C118" s="1">
        <v>2</v>
      </c>
      <c r="D118" s="1">
        <v>4.8</v>
      </c>
    </row>
    <row r="119" spans="1:4" x14ac:dyDescent="0.25">
      <c r="A119" s="16">
        <v>7639</v>
      </c>
      <c r="B119" s="1">
        <v>1</v>
      </c>
      <c r="C119" s="1">
        <v>1</v>
      </c>
      <c r="D119" s="1">
        <v>36</v>
      </c>
    </row>
    <row r="120" spans="1:4" x14ac:dyDescent="0.25">
      <c r="A120" s="16">
        <v>7640</v>
      </c>
      <c r="B120" s="1">
        <v>1</v>
      </c>
      <c r="C120" s="1">
        <v>3</v>
      </c>
      <c r="D120" s="1">
        <v>8.3999999999999986</v>
      </c>
    </row>
    <row r="121" spans="1:4" x14ac:dyDescent="0.25">
      <c r="A121" s="16">
        <v>7641</v>
      </c>
      <c r="B121" s="1">
        <v>2</v>
      </c>
      <c r="C121" s="1">
        <v>3</v>
      </c>
      <c r="D121" s="1">
        <v>31.6</v>
      </c>
    </row>
    <row r="122" spans="1:4" x14ac:dyDescent="0.25">
      <c r="A122" s="16">
        <v>7642</v>
      </c>
      <c r="B122" s="1">
        <v>2</v>
      </c>
      <c r="C122" s="1">
        <v>6</v>
      </c>
      <c r="D122" s="1">
        <v>22.8</v>
      </c>
    </row>
    <row r="123" spans="1:4" x14ac:dyDescent="0.25">
      <c r="A123" s="16">
        <v>7643</v>
      </c>
      <c r="B123" s="1">
        <v>2</v>
      </c>
      <c r="C123" s="1">
        <v>3</v>
      </c>
      <c r="D123" s="1">
        <v>31.6</v>
      </c>
    </row>
    <row r="124" spans="1:4" x14ac:dyDescent="0.25">
      <c r="A124" s="16">
        <v>7644</v>
      </c>
      <c r="B124" s="1">
        <v>2</v>
      </c>
      <c r="C124" s="1">
        <v>2</v>
      </c>
      <c r="D124" s="1">
        <v>43.6</v>
      </c>
    </row>
    <row r="125" spans="1:4" x14ac:dyDescent="0.25">
      <c r="A125" s="16">
        <v>7645</v>
      </c>
      <c r="B125" s="1">
        <v>2</v>
      </c>
      <c r="C125" s="1">
        <v>4</v>
      </c>
      <c r="D125" s="1">
        <v>21.2</v>
      </c>
    </row>
    <row r="126" spans="1:4" x14ac:dyDescent="0.25">
      <c r="A126" s="16">
        <v>7646</v>
      </c>
      <c r="B126" s="1">
        <v>2</v>
      </c>
      <c r="C126" s="1">
        <v>4</v>
      </c>
      <c r="D126" s="1">
        <v>44.4</v>
      </c>
    </row>
    <row r="127" spans="1:4" x14ac:dyDescent="0.25">
      <c r="A127" s="16">
        <v>7647</v>
      </c>
      <c r="B127" s="1">
        <v>1</v>
      </c>
      <c r="C127" s="1">
        <v>2</v>
      </c>
      <c r="D127" s="1">
        <v>12</v>
      </c>
    </row>
    <row r="128" spans="1:4" x14ac:dyDescent="0.25">
      <c r="A128" s="16">
        <v>7648</v>
      </c>
      <c r="B128" s="1">
        <v>1</v>
      </c>
      <c r="C128" s="1">
        <v>3</v>
      </c>
      <c r="D128" s="1">
        <v>8.3999999999999986</v>
      </c>
    </row>
    <row r="129" spans="1:4" x14ac:dyDescent="0.25">
      <c r="A129" s="16">
        <v>7649</v>
      </c>
      <c r="B129" s="1">
        <v>1</v>
      </c>
      <c r="C129" s="1">
        <v>1</v>
      </c>
      <c r="D129" s="1">
        <v>8.8000000000000007</v>
      </c>
    </row>
    <row r="130" spans="1:4" x14ac:dyDescent="0.25">
      <c r="A130" s="16">
        <v>7650</v>
      </c>
      <c r="B130" s="1">
        <v>1</v>
      </c>
      <c r="C130" s="1">
        <v>3</v>
      </c>
      <c r="D130" s="1">
        <v>7.1999999999999993</v>
      </c>
    </row>
    <row r="131" spans="1:4" x14ac:dyDescent="0.25">
      <c r="A131" s="16">
        <v>7651</v>
      </c>
      <c r="B131" s="1">
        <v>1</v>
      </c>
      <c r="C131" s="1">
        <v>1</v>
      </c>
      <c r="D131" s="1">
        <v>7.6</v>
      </c>
    </row>
    <row r="132" spans="1:4" x14ac:dyDescent="0.25">
      <c r="A132" s="16">
        <v>7652</v>
      </c>
      <c r="B132" s="1">
        <v>1</v>
      </c>
      <c r="C132" s="1">
        <v>1</v>
      </c>
      <c r="D132" s="1">
        <v>36</v>
      </c>
    </row>
    <row r="133" spans="1:4" x14ac:dyDescent="0.25">
      <c r="A133" s="16">
        <v>7653</v>
      </c>
      <c r="B133" s="1">
        <v>1</v>
      </c>
      <c r="C133" s="1">
        <v>2</v>
      </c>
      <c r="D133" s="1">
        <v>8</v>
      </c>
    </row>
    <row r="134" spans="1:4" x14ac:dyDescent="0.25">
      <c r="A134" s="16">
        <v>7654</v>
      </c>
      <c r="B134" s="1">
        <v>1</v>
      </c>
      <c r="C134" s="1">
        <v>1</v>
      </c>
      <c r="D134" s="1">
        <v>8</v>
      </c>
    </row>
    <row r="135" spans="1:4" x14ac:dyDescent="0.25">
      <c r="A135" s="16">
        <v>7655</v>
      </c>
      <c r="B135" s="1">
        <v>1</v>
      </c>
      <c r="C135" s="1">
        <v>4</v>
      </c>
      <c r="D135" s="1">
        <v>11.2</v>
      </c>
    </row>
    <row r="136" spans="1:4" x14ac:dyDescent="0.25">
      <c r="A136" s="16">
        <v>7656</v>
      </c>
      <c r="B136" s="1">
        <v>1</v>
      </c>
      <c r="C136" s="1">
        <v>2</v>
      </c>
      <c r="D136" s="1">
        <v>12</v>
      </c>
    </row>
    <row r="137" spans="1:4" x14ac:dyDescent="0.25">
      <c r="A137" s="16">
        <v>7657</v>
      </c>
      <c r="B137" s="1">
        <v>1</v>
      </c>
      <c r="C137" s="1">
        <v>2</v>
      </c>
      <c r="D137" s="1">
        <v>4.8</v>
      </c>
    </row>
    <row r="138" spans="1:4" x14ac:dyDescent="0.25">
      <c r="A138" s="16">
        <v>7658</v>
      </c>
      <c r="B138" s="1">
        <v>1</v>
      </c>
      <c r="C138" s="1">
        <v>1</v>
      </c>
      <c r="D138" s="1">
        <v>36</v>
      </c>
    </row>
    <row r="139" spans="1:4" x14ac:dyDescent="0.25">
      <c r="A139" s="16">
        <v>7659</v>
      </c>
      <c r="B139" s="1">
        <v>1</v>
      </c>
      <c r="C139" s="1">
        <v>3</v>
      </c>
      <c r="D139" s="1">
        <v>8.3999999999999986</v>
      </c>
    </row>
    <row r="140" spans="1:4" x14ac:dyDescent="0.25">
      <c r="A140" s="16">
        <v>7660</v>
      </c>
      <c r="B140" s="1">
        <v>1</v>
      </c>
      <c r="C140" s="1">
        <v>1</v>
      </c>
      <c r="D140" s="1">
        <v>6</v>
      </c>
    </row>
    <row r="141" spans="1:4" x14ac:dyDescent="0.25">
      <c r="A141" s="16">
        <v>7661</v>
      </c>
      <c r="B141" s="1">
        <v>1</v>
      </c>
      <c r="C141" s="1">
        <v>1</v>
      </c>
      <c r="D141" s="1">
        <v>8.8000000000000007</v>
      </c>
    </row>
    <row r="142" spans="1:4" x14ac:dyDescent="0.25">
      <c r="A142" s="16">
        <v>7662</v>
      </c>
      <c r="B142" s="1">
        <v>1</v>
      </c>
      <c r="C142" s="1">
        <v>1</v>
      </c>
      <c r="D142" s="1">
        <v>14</v>
      </c>
    </row>
    <row r="143" spans="1:4" x14ac:dyDescent="0.25">
      <c r="A143" s="16">
        <v>7663</v>
      </c>
      <c r="B143" s="1">
        <v>1</v>
      </c>
      <c r="C143" s="1">
        <v>3</v>
      </c>
      <c r="D143" s="1">
        <v>8.3999999999999986</v>
      </c>
    </row>
    <row r="144" spans="1:4" x14ac:dyDescent="0.25">
      <c r="A144" s="16">
        <v>7664</v>
      </c>
      <c r="B144" s="1">
        <v>1</v>
      </c>
      <c r="C144" s="1">
        <v>1</v>
      </c>
      <c r="D144" s="1">
        <v>6</v>
      </c>
    </row>
    <row r="145" spans="1:4" x14ac:dyDescent="0.25">
      <c r="A145" s="16">
        <v>7665</v>
      </c>
      <c r="B145" s="1">
        <v>1</v>
      </c>
      <c r="C145" s="1">
        <v>1</v>
      </c>
      <c r="D145" s="1">
        <v>36</v>
      </c>
    </row>
    <row r="146" spans="1:4" x14ac:dyDescent="0.25">
      <c r="A146" s="16">
        <v>7666</v>
      </c>
      <c r="B146" s="1">
        <v>1</v>
      </c>
      <c r="C146" s="1">
        <v>1</v>
      </c>
      <c r="D146" s="1">
        <v>8</v>
      </c>
    </row>
    <row r="147" spans="1:4" x14ac:dyDescent="0.25">
      <c r="A147" s="16">
        <v>7667</v>
      </c>
      <c r="B147" s="1">
        <v>1</v>
      </c>
      <c r="C147" s="1">
        <v>1</v>
      </c>
      <c r="D147" s="1">
        <v>19.600000000000001</v>
      </c>
    </row>
    <row r="148" spans="1:4" x14ac:dyDescent="0.25">
      <c r="A148" s="16">
        <v>7668</v>
      </c>
      <c r="B148" s="1">
        <v>1</v>
      </c>
      <c r="C148" s="1">
        <v>4</v>
      </c>
      <c r="D148" s="1">
        <v>11.2</v>
      </c>
    </row>
    <row r="149" spans="1:4" x14ac:dyDescent="0.25">
      <c r="A149" s="16">
        <v>7669</v>
      </c>
      <c r="B149" s="1">
        <v>1</v>
      </c>
      <c r="C149" s="1">
        <v>2</v>
      </c>
      <c r="D149" s="1">
        <v>12</v>
      </c>
    </row>
    <row r="150" spans="1:4" x14ac:dyDescent="0.25">
      <c r="A150" s="16">
        <v>7670</v>
      </c>
      <c r="B150" s="1">
        <v>1</v>
      </c>
      <c r="C150" s="1">
        <v>2</v>
      </c>
      <c r="D150" s="1">
        <v>4.8</v>
      </c>
    </row>
    <row r="151" spans="1:4" x14ac:dyDescent="0.25">
      <c r="A151" s="16">
        <v>7671</v>
      </c>
      <c r="B151" s="1">
        <v>1</v>
      </c>
      <c r="C151" s="1">
        <v>1</v>
      </c>
      <c r="D151" s="1">
        <v>36</v>
      </c>
    </row>
    <row r="152" spans="1:4" x14ac:dyDescent="0.25">
      <c r="A152" s="16">
        <v>7672</v>
      </c>
      <c r="B152" s="1">
        <v>1</v>
      </c>
      <c r="C152" s="1">
        <v>1</v>
      </c>
      <c r="D152" s="1">
        <v>7.6</v>
      </c>
    </row>
    <row r="153" spans="1:4" x14ac:dyDescent="0.25">
      <c r="A153" s="16">
        <v>7673</v>
      </c>
      <c r="B153" s="1">
        <v>1</v>
      </c>
      <c r="C153" s="1">
        <v>3</v>
      </c>
      <c r="D153" s="1">
        <v>8.3999999999999986</v>
      </c>
    </row>
    <row r="154" spans="1:4" x14ac:dyDescent="0.25">
      <c r="A154" s="16">
        <v>7674</v>
      </c>
      <c r="B154" s="1">
        <v>1</v>
      </c>
      <c r="C154" s="1">
        <v>2</v>
      </c>
      <c r="D154" s="1">
        <v>12</v>
      </c>
    </row>
    <row r="155" spans="1:4" x14ac:dyDescent="0.25">
      <c r="A155" s="16">
        <v>7675</v>
      </c>
      <c r="B155" s="1">
        <v>1</v>
      </c>
      <c r="C155" s="1">
        <v>1</v>
      </c>
      <c r="D155" s="1">
        <v>7.6</v>
      </c>
    </row>
    <row r="156" spans="1:4" x14ac:dyDescent="0.25">
      <c r="A156" s="16">
        <v>7676</v>
      </c>
      <c r="B156" s="1">
        <v>1</v>
      </c>
      <c r="C156" s="1">
        <v>2</v>
      </c>
      <c r="D156" s="1">
        <v>4.8</v>
      </c>
    </row>
    <row r="157" spans="1:4" x14ac:dyDescent="0.25">
      <c r="A157" s="16">
        <v>7677</v>
      </c>
      <c r="B157" s="1">
        <v>1</v>
      </c>
      <c r="C157" s="1">
        <v>5</v>
      </c>
      <c r="D157" s="1">
        <v>14</v>
      </c>
    </row>
    <row r="158" spans="1:4" x14ac:dyDescent="0.25">
      <c r="A158" s="16">
        <v>7678</v>
      </c>
      <c r="B158" s="1">
        <v>1</v>
      </c>
      <c r="C158" s="1">
        <v>2</v>
      </c>
      <c r="D158" s="1">
        <v>12</v>
      </c>
    </row>
    <row r="159" spans="1:4" x14ac:dyDescent="0.25">
      <c r="A159" s="16">
        <v>7679</v>
      </c>
      <c r="B159" s="1">
        <v>1</v>
      </c>
      <c r="C159" s="1">
        <v>1</v>
      </c>
      <c r="D159" s="1">
        <v>8.8000000000000007</v>
      </c>
    </row>
    <row r="160" spans="1:4" x14ac:dyDescent="0.25">
      <c r="A160" s="16">
        <v>7680</v>
      </c>
      <c r="B160" s="1">
        <v>1</v>
      </c>
      <c r="C160" s="1">
        <v>1</v>
      </c>
      <c r="D160" s="1">
        <v>14</v>
      </c>
    </row>
    <row r="161" spans="1:4" x14ac:dyDescent="0.25">
      <c r="A161" s="16">
        <v>7681</v>
      </c>
      <c r="B161" s="1">
        <v>1</v>
      </c>
      <c r="C161" s="1">
        <v>3</v>
      </c>
      <c r="D161" s="1">
        <v>8.3999999999999986</v>
      </c>
    </row>
    <row r="162" spans="1:4" x14ac:dyDescent="0.25">
      <c r="A162" s="16">
        <v>7682</v>
      </c>
      <c r="B162" s="1">
        <v>1</v>
      </c>
      <c r="C162" s="1">
        <v>1</v>
      </c>
      <c r="D162" s="1">
        <v>6</v>
      </c>
    </row>
    <row r="163" spans="1:4" x14ac:dyDescent="0.25">
      <c r="A163" s="16">
        <v>7683</v>
      </c>
      <c r="B163" s="1">
        <v>1</v>
      </c>
      <c r="C163" s="1">
        <v>1</v>
      </c>
      <c r="D163" s="1">
        <v>36</v>
      </c>
    </row>
    <row r="164" spans="1:4" x14ac:dyDescent="0.25">
      <c r="A164" s="16">
        <v>7684</v>
      </c>
      <c r="B164" s="1">
        <v>1</v>
      </c>
      <c r="C164" s="1">
        <v>1</v>
      </c>
      <c r="D164" s="1">
        <v>8</v>
      </c>
    </row>
    <row r="165" spans="1:4" x14ac:dyDescent="0.25">
      <c r="A165" s="16">
        <v>7685</v>
      </c>
      <c r="B165" s="1">
        <v>1</v>
      </c>
      <c r="C165" s="1">
        <v>1</v>
      </c>
      <c r="D165" s="1">
        <v>19.600000000000001</v>
      </c>
    </row>
    <row r="166" spans="1:4" x14ac:dyDescent="0.25">
      <c r="A166" s="16">
        <v>7686</v>
      </c>
      <c r="B166" s="1">
        <v>1</v>
      </c>
      <c r="C166" s="1">
        <v>4</v>
      </c>
      <c r="D166" s="1">
        <v>11.2</v>
      </c>
    </row>
    <row r="167" spans="1:4" x14ac:dyDescent="0.25">
      <c r="A167" s="16">
        <v>7687</v>
      </c>
      <c r="B167" s="1">
        <v>1</v>
      </c>
      <c r="C167" s="1">
        <v>2</v>
      </c>
      <c r="D167" s="1">
        <v>12</v>
      </c>
    </row>
    <row r="168" spans="1:4" x14ac:dyDescent="0.25">
      <c r="A168" s="16">
        <v>7688</v>
      </c>
      <c r="B168" s="1">
        <v>1</v>
      </c>
      <c r="C168" s="1">
        <v>3</v>
      </c>
      <c r="D168" s="1">
        <v>7.1999999999999993</v>
      </c>
    </row>
    <row r="169" spans="1:4" x14ac:dyDescent="0.25">
      <c r="A169" s="16">
        <v>7689</v>
      </c>
      <c r="B169" s="1">
        <v>1</v>
      </c>
      <c r="C169" s="1">
        <v>1</v>
      </c>
      <c r="D169" s="1">
        <v>36</v>
      </c>
    </row>
    <row r="170" spans="1:4" x14ac:dyDescent="0.25">
      <c r="A170" s="16">
        <v>7690</v>
      </c>
      <c r="B170" s="1">
        <v>1</v>
      </c>
      <c r="C170" s="1">
        <v>1</v>
      </c>
      <c r="D170" s="1">
        <v>7.6</v>
      </c>
    </row>
    <row r="171" spans="1:4" x14ac:dyDescent="0.25">
      <c r="A171" s="16">
        <v>7691</v>
      </c>
      <c r="B171" s="1">
        <v>1</v>
      </c>
      <c r="C171" s="1">
        <v>5</v>
      </c>
      <c r="D171" s="1">
        <v>14</v>
      </c>
    </row>
    <row r="172" spans="1:4" x14ac:dyDescent="0.25">
      <c r="A172" s="16">
        <v>7692</v>
      </c>
      <c r="B172" s="1">
        <v>1</v>
      </c>
      <c r="C172" s="1">
        <v>2</v>
      </c>
      <c r="D172" s="1">
        <v>12</v>
      </c>
    </row>
    <row r="173" spans="1:4" x14ac:dyDescent="0.25">
      <c r="A173" s="16">
        <v>7693</v>
      </c>
      <c r="B173" s="1">
        <v>1</v>
      </c>
      <c r="C173" s="1">
        <v>1</v>
      </c>
      <c r="D173" s="1">
        <v>8.8000000000000007</v>
      </c>
    </row>
    <row r="174" spans="1:4" x14ac:dyDescent="0.25">
      <c r="A174" s="16">
        <v>7694</v>
      </c>
      <c r="B174" s="1">
        <v>1</v>
      </c>
      <c r="C174" s="1">
        <v>1</v>
      </c>
      <c r="D174" s="1">
        <v>14</v>
      </c>
    </row>
    <row r="175" spans="1:4" x14ac:dyDescent="0.25">
      <c r="A175" s="16">
        <v>7695</v>
      </c>
      <c r="B175" s="1">
        <v>1</v>
      </c>
      <c r="C175" s="1">
        <v>3</v>
      </c>
      <c r="D175" s="1">
        <v>8.3999999999999986</v>
      </c>
    </row>
    <row r="176" spans="1:4" x14ac:dyDescent="0.25">
      <c r="A176" s="16">
        <v>7696</v>
      </c>
      <c r="B176" s="1">
        <v>1</v>
      </c>
      <c r="C176" s="1">
        <v>1</v>
      </c>
      <c r="D176" s="1">
        <v>6</v>
      </c>
    </row>
    <row r="177" spans="1:4" x14ac:dyDescent="0.25">
      <c r="A177" s="16">
        <v>7697</v>
      </c>
      <c r="B177" s="1">
        <v>1</v>
      </c>
      <c r="C177" s="1">
        <v>1</v>
      </c>
      <c r="D177" s="1">
        <v>36</v>
      </c>
    </row>
    <row r="178" spans="1:4" x14ac:dyDescent="0.25">
      <c r="A178" s="16">
        <v>7698</v>
      </c>
      <c r="B178" s="1">
        <v>1</v>
      </c>
      <c r="C178" s="1">
        <v>1</v>
      </c>
      <c r="D178" s="1">
        <v>8</v>
      </c>
    </row>
    <row r="179" spans="1:4" x14ac:dyDescent="0.25">
      <c r="A179" s="16">
        <v>7699</v>
      </c>
      <c r="B179" s="1">
        <v>1</v>
      </c>
      <c r="C179" s="1">
        <v>1</v>
      </c>
      <c r="D179" s="1">
        <v>19.600000000000001</v>
      </c>
    </row>
    <row r="180" spans="1:4" x14ac:dyDescent="0.25">
      <c r="A180" s="16">
        <v>7700</v>
      </c>
      <c r="B180" s="1">
        <v>1</v>
      </c>
      <c r="C180" s="1">
        <v>4</v>
      </c>
      <c r="D180" s="1">
        <v>11.2</v>
      </c>
    </row>
    <row r="181" spans="1:4" x14ac:dyDescent="0.25">
      <c r="A181" s="16">
        <v>7701</v>
      </c>
      <c r="B181" s="1">
        <v>1</v>
      </c>
      <c r="C181" s="1">
        <v>2</v>
      </c>
      <c r="D181" s="1">
        <v>12</v>
      </c>
    </row>
    <row r="182" spans="1:4" x14ac:dyDescent="0.25">
      <c r="A182" s="16">
        <v>7702</v>
      </c>
      <c r="B182" s="1">
        <v>1</v>
      </c>
      <c r="C182" s="1">
        <v>3</v>
      </c>
      <c r="D182" s="1">
        <v>7.1999999999999993</v>
      </c>
    </row>
    <row r="183" spans="1:4" x14ac:dyDescent="0.25">
      <c r="A183" s="16">
        <v>7703</v>
      </c>
      <c r="B183" s="1">
        <v>1</v>
      </c>
      <c r="C183" s="1">
        <v>1</v>
      </c>
      <c r="D183" s="1">
        <v>36</v>
      </c>
    </row>
    <row r="184" spans="1:4" x14ac:dyDescent="0.25">
      <c r="A184" s="16">
        <v>7704</v>
      </c>
      <c r="B184" s="1">
        <v>1</v>
      </c>
      <c r="C184" s="1">
        <v>1</v>
      </c>
      <c r="D184" s="1">
        <v>7.6</v>
      </c>
    </row>
    <row r="185" spans="1:4" x14ac:dyDescent="0.25">
      <c r="A185" s="16">
        <v>7705</v>
      </c>
      <c r="B185" s="1">
        <v>1</v>
      </c>
      <c r="C185" s="1">
        <v>5</v>
      </c>
      <c r="D185" s="1">
        <v>14</v>
      </c>
    </row>
    <row r="186" spans="1:4" x14ac:dyDescent="0.25">
      <c r="A186" s="16">
        <v>7706</v>
      </c>
      <c r="B186" s="1">
        <v>1</v>
      </c>
      <c r="C186" s="1">
        <v>2</v>
      </c>
      <c r="D186" s="1">
        <v>12</v>
      </c>
    </row>
    <row r="187" spans="1:4" x14ac:dyDescent="0.25">
      <c r="A187" s="16">
        <v>7707</v>
      </c>
      <c r="B187" s="1">
        <v>1</v>
      </c>
      <c r="C187" s="1">
        <v>1</v>
      </c>
      <c r="D187" s="1">
        <v>8.8000000000000007</v>
      </c>
    </row>
    <row r="188" spans="1:4" x14ac:dyDescent="0.25">
      <c r="A188" s="16">
        <v>7708</v>
      </c>
      <c r="B188" s="1">
        <v>1</v>
      </c>
      <c r="C188" s="1">
        <v>1</v>
      </c>
      <c r="D188" s="1">
        <v>14</v>
      </c>
    </row>
    <row r="189" spans="1:4" x14ac:dyDescent="0.25">
      <c r="A189" s="16">
        <v>7709</v>
      </c>
      <c r="B189" s="1">
        <v>1</v>
      </c>
      <c r="C189" s="1">
        <v>3</v>
      </c>
      <c r="D189" s="1">
        <v>8.3999999999999986</v>
      </c>
    </row>
    <row r="190" spans="1:4" x14ac:dyDescent="0.25">
      <c r="A190" s="16">
        <v>7710</v>
      </c>
      <c r="B190" s="1">
        <v>1</v>
      </c>
      <c r="C190" s="1">
        <v>1</v>
      </c>
      <c r="D190" s="1">
        <v>6</v>
      </c>
    </row>
    <row r="191" spans="1:4" x14ac:dyDescent="0.25">
      <c r="A191" s="16">
        <v>7711</v>
      </c>
      <c r="B191" s="1">
        <v>1</v>
      </c>
      <c r="C191" s="1">
        <v>1</v>
      </c>
      <c r="D191" s="1">
        <v>36</v>
      </c>
    </row>
    <row r="192" spans="1:4" x14ac:dyDescent="0.25">
      <c r="A192" s="16">
        <v>7712</v>
      </c>
      <c r="B192" s="1">
        <v>1</v>
      </c>
      <c r="C192" s="1">
        <v>1</v>
      </c>
      <c r="D192" s="1">
        <v>8</v>
      </c>
    </row>
    <row r="193" spans="1:4" x14ac:dyDescent="0.25">
      <c r="A193" s="16">
        <v>7713</v>
      </c>
      <c r="B193" s="1">
        <v>1</v>
      </c>
      <c r="C193" s="1">
        <v>1</v>
      </c>
      <c r="D193" s="1">
        <v>19.600000000000001</v>
      </c>
    </row>
    <row r="194" spans="1:4" x14ac:dyDescent="0.25">
      <c r="A194" s="16">
        <v>7714</v>
      </c>
      <c r="B194" s="1">
        <v>1</v>
      </c>
      <c r="C194" s="1">
        <v>4</v>
      </c>
      <c r="D194" s="1">
        <v>11.2</v>
      </c>
    </row>
    <row r="195" spans="1:4" x14ac:dyDescent="0.25">
      <c r="A195" s="16">
        <v>7715</v>
      </c>
      <c r="B195" s="1">
        <v>1</v>
      </c>
      <c r="C195" s="1">
        <v>2</v>
      </c>
      <c r="D195" s="1">
        <v>12</v>
      </c>
    </row>
    <row r="196" spans="1:4" x14ac:dyDescent="0.25">
      <c r="A196" s="16">
        <v>7716</v>
      </c>
      <c r="B196" s="1">
        <v>1</v>
      </c>
      <c r="C196" s="1">
        <v>3</v>
      </c>
      <c r="D196" s="1">
        <v>7.1999999999999993</v>
      </c>
    </row>
    <row r="197" spans="1:4" x14ac:dyDescent="0.25">
      <c r="A197" s="16">
        <v>7717</v>
      </c>
      <c r="B197" s="1">
        <v>1</v>
      </c>
      <c r="C197" s="1">
        <v>1</v>
      </c>
      <c r="D197" s="1">
        <v>36</v>
      </c>
    </row>
    <row r="198" spans="1:4" x14ac:dyDescent="0.25">
      <c r="A198" s="16">
        <v>7718</v>
      </c>
      <c r="B198" s="1">
        <v>1</v>
      </c>
      <c r="C198" s="1">
        <v>1</v>
      </c>
      <c r="D198" s="1">
        <v>7.6</v>
      </c>
    </row>
    <row r="199" spans="1:4" x14ac:dyDescent="0.25">
      <c r="A199" s="16">
        <v>7719</v>
      </c>
      <c r="B199" s="1">
        <v>1</v>
      </c>
      <c r="C199" s="1">
        <v>5</v>
      </c>
      <c r="D199" s="1">
        <v>14</v>
      </c>
    </row>
    <row r="200" spans="1:4" x14ac:dyDescent="0.25">
      <c r="A200" s="16">
        <v>7720</v>
      </c>
      <c r="B200" s="1">
        <v>1</v>
      </c>
      <c r="C200" s="1">
        <v>2</v>
      </c>
      <c r="D200" s="1">
        <v>12</v>
      </c>
    </row>
    <row r="201" spans="1:4" x14ac:dyDescent="0.25">
      <c r="A201" s="16">
        <v>7721</v>
      </c>
      <c r="B201" s="1">
        <v>1</v>
      </c>
      <c r="C201" s="1">
        <v>1</v>
      </c>
      <c r="D201" s="1">
        <v>8.8000000000000007</v>
      </c>
    </row>
    <row r="202" spans="1:4" x14ac:dyDescent="0.25">
      <c r="A202" s="16">
        <v>7722</v>
      </c>
      <c r="B202" s="1">
        <v>1</v>
      </c>
      <c r="C202" s="1">
        <v>1</v>
      </c>
      <c r="D202" s="1">
        <v>14</v>
      </c>
    </row>
    <row r="203" spans="1:4" x14ac:dyDescent="0.25">
      <c r="A203" s="16">
        <v>7723</v>
      </c>
      <c r="B203" s="1">
        <v>1</v>
      </c>
      <c r="C203" s="1">
        <v>3</v>
      </c>
      <c r="D203" s="1">
        <v>8.3999999999999986</v>
      </c>
    </row>
    <row r="204" spans="1:4" x14ac:dyDescent="0.25">
      <c r="A204" s="16">
        <v>7724</v>
      </c>
      <c r="B204" s="1">
        <v>1</v>
      </c>
      <c r="C204" s="1">
        <v>1</v>
      </c>
      <c r="D204" s="1">
        <v>6</v>
      </c>
    </row>
    <row r="205" spans="1:4" x14ac:dyDescent="0.25">
      <c r="A205" s="16">
        <v>7725</v>
      </c>
      <c r="B205" s="1">
        <v>1</v>
      </c>
      <c r="C205" s="1">
        <v>1</v>
      </c>
      <c r="D205" s="1">
        <v>36</v>
      </c>
    </row>
    <row r="206" spans="1:4" x14ac:dyDescent="0.25">
      <c r="A206" s="16">
        <v>7726</v>
      </c>
      <c r="B206" s="1">
        <v>1</v>
      </c>
      <c r="C206" s="1">
        <v>1</v>
      </c>
      <c r="D206" s="1">
        <v>8</v>
      </c>
    </row>
    <row r="207" spans="1:4" x14ac:dyDescent="0.25">
      <c r="A207" s="16">
        <v>7727</v>
      </c>
      <c r="B207" s="1">
        <v>1</v>
      </c>
      <c r="C207" s="1">
        <v>1</v>
      </c>
      <c r="D207" s="1">
        <v>19.600000000000001</v>
      </c>
    </row>
    <row r="208" spans="1:4" x14ac:dyDescent="0.25">
      <c r="A208" s="16">
        <v>7728</v>
      </c>
      <c r="B208" s="1">
        <v>1</v>
      </c>
      <c r="C208" s="1">
        <v>4</v>
      </c>
      <c r="D208" s="1">
        <v>11.2</v>
      </c>
    </row>
    <row r="209" spans="1:4" x14ac:dyDescent="0.25">
      <c r="A209" s="16">
        <v>7729</v>
      </c>
      <c r="B209" s="1">
        <v>1</v>
      </c>
      <c r="C209" s="1">
        <v>2</v>
      </c>
      <c r="D209" s="1">
        <v>12</v>
      </c>
    </row>
    <row r="210" spans="1:4" x14ac:dyDescent="0.25">
      <c r="A210" s="16">
        <v>7730</v>
      </c>
      <c r="B210" s="1">
        <v>1</v>
      </c>
      <c r="C210" s="1">
        <v>3</v>
      </c>
      <c r="D210" s="1">
        <v>7.1999999999999993</v>
      </c>
    </row>
    <row r="211" spans="1:4" x14ac:dyDescent="0.25">
      <c r="A211" s="16">
        <v>7731</v>
      </c>
      <c r="B211" s="1">
        <v>1</v>
      </c>
      <c r="C211" s="1">
        <v>1</v>
      </c>
      <c r="D211" s="1">
        <v>36</v>
      </c>
    </row>
    <row r="212" spans="1:4" x14ac:dyDescent="0.25">
      <c r="A212" s="16">
        <v>7732</v>
      </c>
      <c r="B212" s="1">
        <v>1</v>
      </c>
      <c r="C212" s="1">
        <v>1</v>
      </c>
      <c r="D212" s="1">
        <v>7.6</v>
      </c>
    </row>
    <row r="213" spans="1:4" x14ac:dyDescent="0.25">
      <c r="A213" s="16">
        <v>7733</v>
      </c>
      <c r="B213" s="1">
        <v>1</v>
      </c>
      <c r="C213" s="1">
        <v>5</v>
      </c>
      <c r="D213" s="1">
        <v>14</v>
      </c>
    </row>
    <row r="214" spans="1:4" x14ac:dyDescent="0.25">
      <c r="A214" s="16">
        <v>7734</v>
      </c>
      <c r="B214" s="1">
        <v>1</v>
      </c>
      <c r="C214" s="1">
        <v>2</v>
      </c>
      <c r="D214" s="1">
        <v>12</v>
      </c>
    </row>
    <row r="215" spans="1:4" x14ac:dyDescent="0.25">
      <c r="A215" s="16">
        <v>7735</v>
      </c>
      <c r="B215" s="1">
        <v>1</v>
      </c>
      <c r="C215" s="1">
        <v>1</v>
      </c>
      <c r="D215" s="1">
        <v>8.8000000000000007</v>
      </c>
    </row>
    <row r="216" spans="1:4" x14ac:dyDescent="0.25">
      <c r="A216" s="16">
        <v>7736</v>
      </c>
      <c r="B216" s="1">
        <v>1</v>
      </c>
      <c r="C216" s="1">
        <v>1</v>
      </c>
      <c r="D216" s="1">
        <v>14</v>
      </c>
    </row>
    <row r="217" spans="1:4" x14ac:dyDescent="0.25">
      <c r="A217" s="16">
        <v>7737</v>
      </c>
      <c r="B217" s="1">
        <v>1</v>
      </c>
      <c r="C217" s="1">
        <v>3</v>
      </c>
      <c r="D217" s="1">
        <v>8.3999999999999986</v>
      </c>
    </row>
    <row r="218" spans="1:4" x14ac:dyDescent="0.25">
      <c r="A218" s="16">
        <v>7738</v>
      </c>
      <c r="B218" s="1">
        <v>1</v>
      </c>
      <c r="C218" s="1">
        <v>1</v>
      </c>
      <c r="D218" s="1">
        <v>6</v>
      </c>
    </row>
    <row r="219" spans="1:4" x14ac:dyDescent="0.25">
      <c r="A219" s="16">
        <v>7739</v>
      </c>
      <c r="B219" s="1">
        <v>1</v>
      </c>
      <c r="C219" s="1">
        <v>1</v>
      </c>
      <c r="D219" s="1">
        <v>36</v>
      </c>
    </row>
    <row r="220" spans="1:4" x14ac:dyDescent="0.25">
      <c r="A220" s="16">
        <v>7740</v>
      </c>
      <c r="B220" s="1">
        <v>1</v>
      </c>
      <c r="C220" s="1">
        <v>1</v>
      </c>
      <c r="D220" s="1">
        <v>8</v>
      </c>
    </row>
    <row r="221" spans="1:4" x14ac:dyDescent="0.25">
      <c r="A221" s="16">
        <v>7741</v>
      </c>
      <c r="B221" s="1">
        <v>1</v>
      </c>
      <c r="C221" s="1">
        <v>1</v>
      </c>
      <c r="D221" s="1">
        <v>19.600000000000001</v>
      </c>
    </row>
    <row r="222" spans="1:4" x14ac:dyDescent="0.25">
      <c r="A222" s="16">
        <v>7742</v>
      </c>
      <c r="B222" s="1">
        <v>1</v>
      </c>
      <c r="C222" s="1">
        <v>5</v>
      </c>
      <c r="D222" s="1">
        <v>14</v>
      </c>
    </row>
    <row r="223" spans="1:4" x14ac:dyDescent="0.25">
      <c r="A223" s="16">
        <v>7743</v>
      </c>
      <c r="B223" s="1">
        <v>1</v>
      </c>
      <c r="C223" s="1">
        <v>2</v>
      </c>
      <c r="D223" s="1">
        <v>12</v>
      </c>
    </row>
    <row r="224" spans="1:4" x14ac:dyDescent="0.25">
      <c r="A224" s="16">
        <v>7744</v>
      </c>
      <c r="B224" s="1">
        <v>1</v>
      </c>
      <c r="C224" s="1">
        <v>1</v>
      </c>
      <c r="D224" s="1">
        <v>36</v>
      </c>
    </row>
    <row r="225" spans="1:4" x14ac:dyDescent="0.25">
      <c r="A225" s="16">
        <v>7745</v>
      </c>
      <c r="B225" s="1">
        <v>1</v>
      </c>
      <c r="C225" s="1">
        <v>1</v>
      </c>
      <c r="D225" s="1">
        <v>14</v>
      </c>
    </row>
    <row r="226" spans="1:4" x14ac:dyDescent="0.25">
      <c r="A226" s="16">
        <v>7746</v>
      </c>
      <c r="B226" s="1">
        <v>1</v>
      </c>
      <c r="C226" s="1">
        <v>3</v>
      </c>
      <c r="D226" s="1">
        <v>8.3999999999999986</v>
      </c>
    </row>
    <row r="227" spans="1:4" x14ac:dyDescent="0.25">
      <c r="A227" s="16">
        <v>7747</v>
      </c>
      <c r="B227" s="1">
        <v>1</v>
      </c>
      <c r="C227" s="1">
        <v>2</v>
      </c>
      <c r="D227" s="1">
        <v>12</v>
      </c>
    </row>
    <row r="228" spans="1:4" x14ac:dyDescent="0.25">
      <c r="A228" s="16">
        <v>7748</v>
      </c>
      <c r="B228" s="1">
        <v>1</v>
      </c>
      <c r="C228" s="1">
        <v>1</v>
      </c>
      <c r="D228" s="1">
        <v>8.8000000000000007</v>
      </c>
    </row>
    <row r="229" spans="1:4" x14ac:dyDescent="0.25">
      <c r="A229" s="16">
        <v>7749</v>
      </c>
      <c r="B229" s="1">
        <v>1</v>
      </c>
      <c r="C229" s="1">
        <v>3</v>
      </c>
      <c r="D229" s="1">
        <v>7.1999999999999993</v>
      </c>
    </row>
    <row r="230" spans="1:4" x14ac:dyDescent="0.25">
      <c r="A230" s="16">
        <v>7750</v>
      </c>
      <c r="B230" s="1">
        <v>1</v>
      </c>
      <c r="C230" s="1">
        <v>1</v>
      </c>
      <c r="D230" s="1">
        <v>7.6</v>
      </c>
    </row>
    <row r="231" spans="1:4" x14ac:dyDescent="0.25">
      <c r="A231" s="16">
        <v>7751</v>
      </c>
      <c r="B231" s="1">
        <v>1</v>
      </c>
      <c r="C231" s="1">
        <v>1</v>
      </c>
      <c r="D231" s="1">
        <v>36</v>
      </c>
    </row>
    <row r="232" spans="1:4" x14ac:dyDescent="0.25">
      <c r="A232" s="16">
        <v>7752</v>
      </c>
      <c r="B232" s="1">
        <v>1</v>
      </c>
      <c r="C232" s="1">
        <v>2</v>
      </c>
      <c r="D232" s="1">
        <v>8</v>
      </c>
    </row>
    <row r="233" spans="1:4" x14ac:dyDescent="0.25">
      <c r="A233" s="16">
        <v>7753</v>
      </c>
      <c r="B233" s="1">
        <v>1</v>
      </c>
      <c r="C233" s="1">
        <v>1</v>
      </c>
      <c r="D233" s="1">
        <v>8</v>
      </c>
    </row>
    <row r="234" spans="1:4" x14ac:dyDescent="0.25">
      <c r="A234" s="16">
        <v>7754</v>
      </c>
      <c r="B234" s="1">
        <v>1</v>
      </c>
      <c r="C234" s="1">
        <v>4</v>
      </c>
      <c r="D234" s="1">
        <v>11.2</v>
      </c>
    </row>
    <row r="235" spans="1:4" x14ac:dyDescent="0.25">
      <c r="A235" s="16">
        <v>7755</v>
      </c>
      <c r="B235" s="1">
        <v>1</v>
      </c>
      <c r="C235" s="1">
        <v>2</v>
      </c>
      <c r="D235" s="1">
        <v>12</v>
      </c>
    </row>
    <row r="236" spans="1:4" x14ac:dyDescent="0.25">
      <c r="A236" s="16">
        <v>7756</v>
      </c>
      <c r="B236" s="1">
        <v>1</v>
      </c>
      <c r="C236" s="1">
        <v>2</v>
      </c>
      <c r="D236" s="1">
        <v>4.8</v>
      </c>
    </row>
    <row r="237" spans="1:4" x14ac:dyDescent="0.25">
      <c r="A237" s="16">
        <v>7757</v>
      </c>
      <c r="B237" s="1">
        <v>1</v>
      </c>
      <c r="C237" s="1">
        <v>1</v>
      </c>
      <c r="D237" s="1">
        <v>36</v>
      </c>
    </row>
    <row r="238" spans="1:4" x14ac:dyDescent="0.25">
      <c r="A238" s="16">
        <v>7758</v>
      </c>
      <c r="B238" s="1">
        <v>1</v>
      </c>
      <c r="C238" s="1">
        <v>3</v>
      </c>
      <c r="D238" s="1">
        <v>8.3999999999999986</v>
      </c>
    </row>
    <row r="239" spans="1:4" x14ac:dyDescent="0.25">
      <c r="A239" s="16">
        <v>7759</v>
      </c>
      <c r="B239" s="1">
        <v>1</v>
      </c>
      <c r="C239" s="1">
        <v>1</v>
      </c>
      <c r="D239" s="1">
        <v>6</v>
      </c>
    </row>
    <row r="240" spans="1:4" x14ac:dyDescent="0.25">
      <c r="A240" s="16">
        <v>7760</v>
      </c>
      <c r="B240" s="1">
        <v>1</v>
      </c>
      <c r="C240" s="1">
        <v>1</v>
      </c>
      <c r="D240" s="1">
        <v>8.8000000000000007</v>
      </c>
    </row>
    <row r="241" spans="1:4" x14ac:dyDescent="0.25">
      <c r="A241" s="16">
        <v>7761</v>
      </c>
      <c r="B241" s="1">
        <v>1</v>
      </c>
      <c r="C241" s="1">
        <v>1</v>
      </c>
      <c r="D241" s="1">
        <v>14</v>
      </c>
    </row>
    <row r="242" spans="1:4" x14ac:dyDescent="0.25">
      <c r="A242" s="16">
        <v>7762</v>
      </c>
      <c r="B242" s="1">
        <v>1</v>
      </c>
      <c r="C242" s="1">
        <v>3</v>
      </c>
      <c r="D242" s="1">
        <v>8.3999999999999986</v>
      </c>
    </row>
    <row r="243" spans="1:4" x14ac:dyDescent="0.25">
      <c r="A243" s="16">
        <v>7763</v>
      </c>
      <c r="B243" s="1">
        <v>1</v>
      </c>
      <c r="C243" s="1">
        <v>1</v>
      </c>
      <c r="D243" s="1">
        <v>6</v>
      </c>
    </row>
    <row r="244" spans="1:4" x14ac:dyDescent="0.25">
      <c r="A244" s="16">
        <v>7764</v>
      </c>
      <c r="B244" s="1">
        <v>1</v>
      </c>
      <c r="C244" s="1">
        <v>1</v>
      </c>
      <c r="D244" s="1">
        <v>36</v>
      </c>
    </row>
    <row r="245" spans="1:4" x14ac:dyDescent="0.25">
      <c r="A245" s="16">
        <v>7765</v>
      </c>
      <c r="B245" s="1">
        <v>1</v>
      </c>
      <c r="C245" s="1">
        <v>1</v>
      </c>
      <c r="D245" s="1">
        <v>8</v>
      </c>
    </row>
    <row r="246" spans="1:4" x14ac:dyDescent="0.25">
      <c r="A246" s="16">
        <v>7766</v>
      </c>
      <c r="B246" s="1">
        <v>1</v>
      </c>
      <c r="C246" s="1">
        <v>1</v>
      </c>
      <c r="D246" s="1">
        <v>19.600000000000001</v>
      </c>
    </row>
    <row r="247" spans="1:4" x14ac:dyDescent="0.25">
      <c r="A247" s="16">
        <v>7767</v>
      </c>
      <c r="B247" s="1">
        <v>1</v>
      </c>
      <c r="C247" s="1">
        <v>5</v>
      </c>
      <c r="D247" s="1">
        <v>14</v>
      </c>
    </row>
    <row r="248" spans="1:4" x14ac:dyDescent="0.25">
      <c r="A248" s="16">
        <v>7768</v>
      </c>
      <c r="B248" s="1">
        <v>1</v>
      </c>
      <c r="C248" s="1">
        <v>2</v>
      </c>
      <c r="D248" s="1">
        <v>12</v>
      </c>
    </row>
    <row r="249" spans="1:4" x14ac:dyDescent="0.25">
      <c r="A249" s="16">
        <v>7769</v>
      </c>
      <c r="B249" s="1">
        <v>1</v>
      </c>
      <c r="C249" s="1">
        <v>1</v>
      </c>
      <c r="D249" s="1">
        <v>36</v>
      </c>
    </row>
    <row r="250" spans="1:4" x14ac:dyDescent="0.25">
      <c r="A250" s="16">
        <v>7770</v>
      </c>
      <c r="B250" s="1">
        <v>1</v>
      </c>
      <c r="C250" s="1">
        <v>1</v>
      </c>
      <c r="D250" s="1">
        <v>14</v>
      </c>
    </row>
    <row r="251" spans="1:4" x14ac:dyDescent="0.25">
      <c r="A251" s="16">
        <v>7771</v>
      </c>
      <c r="B251" s="1">
        <v>1</v>
      </c>
      <c r="C251" s="1">
        <v>3</v>
      </c>
      <c r="D251" s="1">
        <v>8.3999999999999986</v>
      </c>
    </row>
    <row r="252" spans="1:4" x14ac:dyDescent="0.25">
      <c r="A252" s="16">
        <v>7772</v>
      </c>
      <c r="B252" s="1">
        <v>1</v>
      </c>
      <c r="C252" s="1">
        <v>2</v>
      </c>
      <c r="D252" s="1">
        <v>12</v>
      </c>
    </row>
    <row r="253" spans="1:4" x14ac:dyDescent="0.25">
      <c r="A253" s="16">
        <v>7773</v>
      </c>
      <c r="B253" s="1">
        <v>1</v>
      </c>
      <c r="C253" s="1">
        <v>1</v>
      </c>
      <c r="D253" s="1">
        <v>8.8000000000000007</v>
      </c>
    </row>
    <row r="254" spans="1:4" x14ac:dyDescent="0.25">
      <c r="A254" s="16">
        <v>7774</v>
      </c>
      <c r="B254" s="1">
        <v>1</v>
      </c>
      <c r="C254" s="1">
        <v>3</v>
      </c>
      <c r="D254" s="1">
        <v>7.1999999999999993</v>
      </c>
    </row>
    <row r="255" spans="1:4" x14ac:dyDescent="0.25">
      <c r="A255" s="16">
        <v>7775</v>
      </c>
      <c r="B255" s="1">
        <v>1</v>
      </c>
      <c r="C255" s="1">
        <v>1</v>
      </c>
      <c r="D255" s="1">
        <v>7.6</v>
      </c>
    </row>
    <row r="256" spans="1:4" x14ac:dyDescent="0.25">
      <c r="A256" s="16">
        <v>7776</v>
      </c>
      <c r="B256" s="1">
        <v>1</v>
      </c>
      <c r="C256" s="1">
        <v>1</v>
      </c>
      <c r="D256" s="1">
        <v>36</v>
      </c>
    </row>
    <row r="257" spans="1:4" x14ac:dyDescent="0.25">
      <c r="A257" s="16">
        <v>7777</v>
      </c>
      <c r="B257" s="1">
        <v>1</v>
      </c>
      <c r="C257" s="1">
        <v>2</v>
      </c>
      <c r="D257" s="1">
        <v>8</v>
      </c>
    </row>
    <row r="258" spans="1:4" x14ac:dyDescent="0.25">
      <c r="A258" s="16">
        <v>7778</v>
      </c>
      <c r="B258" s="1">
        <v>1</v>
      </c>
      <c r="C258" s="1">
        <v>1</v>
      </c>
      <c r="D258" s="1">
        <v>8</v>
      </c>
    </row>
    <row r="259" spans="1:4" x14ac:dyDescent="0.25">
      <c r="A259" s="16">
        <v>7779</v>
      </c>
      <c r="B259" s="1">
        <v>1</v>
      </c>
      <c r="C259" s="1">
        <v>4</v>
      </c>
      <c r="D259" s="1">
        <v>11.2</v>
      </c>
    </row>
    <row r="260" spans="1:4" x14ac:dyDescent="0.25">
      <c r="A260" s="16">
        <v>7780</v>
      </c>
      <c r="B260" s="1">
        <v>1</v>
      </c>
      <c r="C260" s="1">
        <v>2</v>
      </c>
      <c r="D260" s="1">
        <v>12</v>
      </c>
    </row>
    <row r="261" spans="1:4" x14ac:dyDescent="0.25">
      <c r="A261" s="16">
        <v>7781</v>
      </c>
      <c r="B261" s="1">
        <v>1</v>
      </c>
      <c r="C261" s="1">
        <v>2</v>
      </c>
      <c r="D261" s="1">
        <v>4.8</v>
      </c>
    </row>
    <row r="262" spans="1:4" x14ac:dyDescent="0.25">
      <c r="A262" s="16">
        <v>7782</v>
      </c>
      <c r="B262" s="1">
        <v>1</v>
      </c>
      <c r="C262" s="1">
        <v>1</v>
      </c>
      <c r="D262" s="1">
        <v>36</v>
      </c>
    </row>
    <row r="263" spans="1:4" x14ac:dyDescent="0.25">
      <c r="A263" s="16">
        <v>7783</v>
      </c>
      <c r="B263" s="1">
        <v>1</v>
      </c>
      <c r="C263" s="1">
        <v>1</v>
      </c>
      <c r="D263" s="1">
        <v>7.6</v>
      </c>
    </row>
    <row r="264" spans="1:4" x14ac:dyDescent="0.25">
      <c r="A264" s="16">
        <v>7784</v>
      </c>
      <c r="B264" s="1">
        <v>1</v>
      </c>
      <c r="C264" s="1">
        <v>3</v>
      </c>
      <c r="D264" s="1">
        <v>8.3999999999999986</v>
      </c>
    </row>
    <row r="265" spans="1:4" x14ac:dyDescent="0.25">
      <c r="A265" s="16">
        <v>7785</v>
      </c>
      <c r="B265" s="1">
        <v>1</v>
      </c>
      <c r="C265" s="1">
        <v>2</v>
      </c>
      <c r="D265" s="1">
        <v>12</v>
      </c>
    </row>
    <row r="266" spans="1:4" x14ac:dyDescent="0.25">
      <c r="A266" s="16">
        <v>7786</v>
      </c>
      <c r="B266" s="1">
        <v>1</v>
      </c>
      <c r="C266" s="1">
        <v>1</v>
      </c>
      <c r="D266" s="1">
        <v>7.6</v>
      </c>
    </row>
    <row r="267" spans="1:4" x14ac:dyDescent="0.25">
      <c r="A267" s="16">
        <v>7787</v>
      </c>
      <c r="B267" s="1">
        <v>1</v>
      </c>
      <c r="C267" s="1">
        <v>3</v>
      </c>
      <c r="D267" s="1">
        <v>7.1999999999999993</v>
      </c>
    </row>
    <row r="268" spans="1:4" x14ac:dyDescent="0.25">
      <c r="A268" s="16">
        <v>7788</v>
      </c>
      <c r="B268" s="1">
        <v>1</v>
      </c>
      <c r="C268" s="1">
        <v>5</v>
      </c>
      <c r="D268" s="1">
        <v>14</v>
      </c>
    </row>
    <row r="269" spans="1:4" x14ac:dyDescent="0.25">
      <c r="A269" s="16">
        <v>7789</v>
      </c>
      <c r="B269" s="1">
        <v>1</v>
      </c>
      <c r="C269" s="1">
        <v>2</v>
      </c>
      <c r="D269" s="1">
        <v>12</v>
      </c>
    </row>
    <row r="270" spans="1:4" x14ac:dyDescent="0.25">
      <c r="A270" s="16">
        <v>7790</v>
      </c>
      <c r="B270" s="1">
        <v>1</v>
      </c>
      <c r="C270" s="1">
        <v>1</v>
      </c>
      <c r="D270" s="1">
        <v>8.8000000000000007</v>
      </c>
    </row>
    <row r="271" spans="1:4" x14ac:dyDescent="0.25">
      <c r="A271" s="16">
        <v>7791</v>
      </c>
      <c r="B271" s="1">
        <v>1</v>
      </c>
      <c r="C271" s="1">
        <v>1</v>
      </c>
      <c r="D271" s="1">
        <v>14</v>
      </c>
    </row>
    <row r="272" spans="1:4" x14ac:dyDescent="0.25">
      <c r="A272" s="16">
        <v>7792</v>
      </c>
      <c r="B272" s="1">
        <v>1</v>
      </c>
      <c r="C272" s="1">
        <v>3</v>
      </c>
      <c r="D272" s="1">
        <v>8.3999999999999986</v>
      </c>
    </row>
    <row r="273" spans="1:4" x14ac:dyDescent="0.25">
      <c r="A273" s="16">
        <v>7793</v>
      </c>
      <c r="B273" s="1">
        <v>1</v>
      </c>
      <c r="C273" s="1">
        <v>1</v>
      </c>
      <c r="D273" s="1">
        <v>6</v>
      </c>
    </row>
    <row r="274" spans="1:4" x14ac:dyDescent="0.25">
      <c r="A274" s="16">
        <v>7794</v>
      </c>
      <c r="B274" s="1">
        <v>1</v>
      </c>
      <c r="C274" s="1">
        <v>1</v>
      </c>
      <c r="D274" s="1">
        <v>36</v>
      </c>
    </row>
    <row r="275" spans="1:4" x14ac:dyDescent="0.25">
      <c r="A275" s="16">
        <v>7795</v>
      </c>
      <c r="B275" s="1">
        <v>1</v>
      </c>
      <c r="C275" s="1">
        <v>1</v>
      </c>
      <c r="D275" s="1">
        <v>8</v>
      </c>
    </row>
    <row r="276" spans="1:4" x14ac:dyDescent="0.25">
      <c r="A276" s="16">
        <v>7796</v>
      </c>
      <c r="B276" s="1">
        <v>1</v>
      </c>
      <c r="C276" s="1">
        <v>1</v>
      </c>
      <c r="D276" s="1">
        <v>19.600000000000001</v>
      </c>
    </row>
    <row r="277" spans="1:4" x14ac:dyDescent="0.25">
      <c r="A277" s="16">
        <v>7797</v>
      </c>
      <c r="B277" s="1">
        <v>1</v>
      </c>
      <c r="C277" s="1">
        <v>4</v>
      </c>
      <c r="D277" s="1">
        <v>11.2</v>
      </c>
    </row>
    <row r="278" spans="1:4" x14ac:dyDescent="0.25">
      <c r="A278" s="16">
        <v>7798</v>
      </c>
      <c r="B278" s="1">
        <v>1</v>
      </c>
      <c r="C278" s="1">
        <v>2</v>
      </c>
      <c r="D278" s="1">
        <v>12</v>
      </c>
    </row>
    <row r="279" spans="1:4" x14ac:dyDescent="0.25">
      <c r="A279" s="16">
        <v>7799</v>
      </c>
      <c r="B279" s="1">
        <v>1</v>
      </c>
      <c r="C279" s="1">
        <v>3</v>
      </c>
      <c r="D279" s="1">
        <v>7.1999999999999993</v>
      </c>
    </row>
    <row r="280" spans="1:4" x14ac:dyDescent="0.25">
      <c r="A280" s="16">
        <v>7800</v>
      </c>
      <c r="B280" s="1">
        <v>1</v>
      </c>
      <c r="C280" s="1">
        <v>1</v>
      </c>
      <c r="D280" s="1">
        <v>36</v>
      </c>
    </row>
    <row r="281" spans="1:4" x14ac:dyDescent="0.25">
      <c r="A281" s="16">
        <v>7801</v>
      </c>
      <c r="B281" s="1">
        <v>1</v>
      </c>
      <c r="C281" s="1">
        <v>1</v>
      </c>
      <c r="D281" s="1">
        <v>7.6</v>
      </c>
    </row>
    <row r="282" spans="1:4" x14ac:dyDescent="0.25">
      <c r="A282" s="16">
        <v>7802</v>
      </c>
      <c r="B282" s="1">
        <v>1</v>
      </c>
      <c r="C282" s="1">
        <v>5</v>
      </c>
      <c r="D282" s="1">
        <v>14</v>
      </c>
    </row>
    <row r="283" spans="1:4" x14ac:dyDescent="0.25">
      <c r="A283" s="16">
        <v>7803</v>
      </c>
      <c r="B283" s="1">
        <v>1</v>
      </c>
      <c r="C283" s="1">
        <v>2</v>
      </c>
      <c r="D283" s="1">
        <v>12</v>
      </c>
    </row>
    <row r="284" spans="1:4" x14ac:dyDescent="0.25">
      <c r="A284" s="16">
        <v>7804</v>
      </c>
      <c r="B284" s="1">
        <v>1</v>
      </c>
      <c r="C284" s="1">
        <v>1</v>
      </c>
      <c r="D284" s="1">
        <v>8.8000000000000007</v>
      </c>
    </row>
    <row r="285" spans="1:4" x14ac:dyDescent="0.25">
      <c r="A285" s="16">
        <v>7805</v>
      </c>
      <c r="B285" s="1">
        <v>1</v>
      </c>
      <c r="C285" s="1">
        <v>1</v>
      </c>
      <c r="D285" s="1">
        <v>14</v>
      </c>
    </row>
    <row r="286" spans="1:4" x14ac:dyDescent="0.25">
      <c r="A286" s="16">
        <v>7806</v>
      </c>
      <c r="B286" s="1">
        <v>1</v>
      </c>
      <c r="C286" s="1">
        <v>3</v>
      </c>
      <c r="D286" s="1">
        <v>8.3999999999999986</v>
      </c>
    </row>
    <row r="287" spans="1:4" x14ac:dyDescent="0.25">
      <c r="A287" s="16">
        <v>7807</v>
      </c>
      <c r="B287" s="1">
        <v>1</v>
      </c>
      <c r="C287" s="1">
        <v>1</v>
      </c>
      <c r="D287" s="1">
        <v>6</v>
      </c>
    </row>
    <row r="288" spans="1:4" x14ac:dyDescent="0.25">
      <c r="A288" s="16">
        <v>7808</v>
      </c>
      <c r="B288" s="1">
        <v>1</v>
      </c>
      <c r="C288" s="1">
        <v>1</v>
      </c>
      <c r="D288" s="1">
        <v>36</v>
      </c>
    </row>
    <row r="289" spans="1:4" x14ac:dyDescent="0.25">
      <c r="A289" s="16">
        <v>7809</v>
      </c>
      <c r="B289" s="1">
        <v>1</v>
      </c>
      <c r="C289" s="1">
        <v>1</v>
      </c>
      <c r="D289" s="1">
        <v>8</v>
      </c>
    </row>
    <row r="290" spans="1:4" x14ac:dyDescent="0.25">
      <c r="A290" s="16">
        <v>7810</v>
      </c>
      <c r="B290" s="1">
        <v>1</v>
      </c>
      <c r="C290" s="1">
        <v>1</v>
      </c>
      <c r="D290" s="1">
        <v>19.600000000000001</v>
      </c>
    </row>
    <row r="291" spans="1:4" x14ac:dyDescent="0.25">
      <c r="A291" s="16">
        <v>7811</v>
      </c>
      <c r="B291" s="1">
        <v>1</v>
      </c>
      <c r="C291" s="1">
        <v>4</v>
      </c>
      <c r="D291" s="1">
        <v>11.2</v>
      </c>
    </row>
    <row r="292" spans="1:4" x14ac:dyDescent="0.25">
      <c r="A292" s="16">
        <v>7812</v>
      </c>
      <c r="B292" s="1">
        <v>1</v>
      </c>
      <c r="C292" s="1">
        <v>2</v>
      </c>
      <c r="D292" s="1">
        <v>12</v>
      </c>
    </row>
    <row r="293" spans="1:4" x14ac:dyDescent="0.25">
      <c r="A293" s="16">
        <v>7813</v>
      </c>
      <c r="B293" s="1">
        <v>1</v>
      </c>
      <c r="C293" s="1">
        <v>3</v>
      </c>
      <c r="D293" s="1">
        <v>7.1999999999999993</v>
      </c>
    </row>
    <row r="294" spans="1:4" x14ac:dyDescent="0.25">
      <c r="A294" s="16">
        <v>7814</v>
      </c>
      <c r="B294" s="1">
        <v>1</v>
      </c>
      <c r="C294" s="1">
        <v>1</v>
      </c>
      <c r="D294" s="1">
        <v>36</v>
      </c>
    </row>
    <row r="295" spans="1:4" x14ac:dyDescent="0.25">
      <c r="A295" s="16">
        <v>7815</v>
      </c>
      <c r="B295" s="1">
        <v>1</v>
      </c>
      <c r="C295" s="1">
        <v>1</v>
      </c>
      <c r="D295" s="1">
        <v>7.6</v>
      </c>
    </row>
    <row r="296" spans="1:4" x14ac:dyDescent="0.25">
      <c r="A296" s="16">
        <v>7816</v>
      </c>
      <c r="B296" s="1">
        <v>1</v>
      </c>
      <c r="C296" s="1">
        <v>5</v>
      </c>
      <c r="D296" s="1">
        <v>14</v>
      </c>
    </row>
    <row r="297" spans="1:4" x14ac:dyDescent="0.25">
      <c r="A297" s="16">
        <v>7817</v>
      </c>
      <c r="B297" s="1">
        <v>1</v>
      </c>
      <c r="C297" s="1">
        <v>2</v>
      </c>
      <c r="D297" s="1">
        <v>12</v>
      </c>
    </row>
    <row r="298" spans="1:4" x14ac:dyDescent="0.25">
      <c r="A298" s="16">
        <v>7818</v>
      </c>
      <c r="B298" s="1">
        <v>1</v>
      </c>
      <c r="C298" s="1">
        <v>1</v>
      </c>
      <c r="D298" s="1">
        <v>8.8000000000000007</v>
      </c>
    </row>
    <row r="299" spans="1:4" x14ac:dyDescent="0.25">
      <c r="A299" s="16">
        <v>7819</v>
      </c>
      <c r="B299" s="1">
        <v>1</v>
      </c>
      <c r="C299" s="1">
        <v>1</v>
      </c>
      <c r="D299" s="1">
        <v>14</v>
      </c>
    </row>
    <row r="300" spans="1:4" x14ac:dyDescent="0.25">
      <c r="A300" s="16">
        <v>7820</v>
      </c>
      <c r="B300" s="1">
        <v>1</v>
      </c>
      <c r="C300" s="1">
        <v>3</v>
      </c>
      <c r="D300" s="1">
        <v>8.3999999999999986</v>
      </c>
    </row>
    <row r="301" spans="1:4" x14ac:dyDescent="0.25">
      <c r="A301" s="16">
        <v>7821</v>
      </c>
      <c r="B301" s="1">
        <v>1</v>
      </c>
      <c r="C301" s="1">
        <v>1</v>
      </c>
      <c r="D301" s="1">
        <v>6</v>
      </c>
    </row>
    <row r="302" spans="1:4" x14ac:dyDescent="0.25">
      <c r="A302" s="16">
        <v>7822</v>
      </c>
      <c r="B302" s="1">
        <v>1</v>
      </c>
      <c r="C302" s="1">
        <v>1</v>
      </c>
      <c r="D302" s="1">
        <v>36</v>
      </c>
    </row>
    <row r="303" spans="1:4" x14ac:dyDescent="0.25">
      <c r="A303" s="16">
        <v>7823</v>
      </c>
      <c r="B303" s="1">
        <v>1</v>
      </c>
      <c r="C303" s="1">
        <v>1</v>
      </c>
      <c r="D303" s="1">
        <v>8</v>
      </c>
    </row>
    <row r="304" spans="1:4" x14ac:dyDescent="0.25">
      <c r="A304" s="16">
        <v>7824</v>
      </c>
      <c r="B304" s="1">
        <v>1</v>
      </c>
      <c r="C304" s="1">
        <v>1</v>
      </c>
      <c r="D304" s="1">
        <v>19.600000000000001</v>
      </c>
    </row>
    <row r="305" spans="1:4" x14ac:dyDescent="0.25">
      <c r="A305" s="16">
        <v>7825</v>
      </c>
      <c r="B305" s="1">
        <v>1</v>
      </c>
      <c r="C305" s="1">
        <v>4</v>
      </c>
      <c r="D305" s="1">
        <v>11.2</v>
      </c>
    </row>
    <row r="306" spans="1:4" x14ac:dyDescent="0.25">
      <c r="A306" s="16">
        <v>7826</v>
      </c>
      <c r="B306" s="1">
        <v>1</v>
      </c>
      <c r="C306" s="1">
        <v>2</v>
      </c>
      <c r="D306" s="1">
        <v>12</v>
      </c>
    </row>
    <row r="307" spans="1:4" x14ac:dyDescent="0.25">
      <c r="A307" s="16">
        <v>7827</v>
      </c>
      <c r="B307" s="1">
        <v>1</v>
      </c>
      <c r="C307" s="1">
        <v>3</v>
      </c>
      <c r="D307" s="1">
        <v>7.1999999999999993</v>
      </c>
    </row>
    <row r="308" spans="1:4" x14ac:dyDescent="0.25">
      <c r="A308" s="16">
        <v>7828</v>
      </c>
      <c r="B308" s="1">
        <v>1</v>
      </c>
      <c r="C308" s="1">
        <v>1</v>
      </c>
      <c r="D308" s="1">
        <v>36</v>
      </c>
    </row>
    <row r="309" spans="1:4" x14ac:dyDescent="0.25">
      <c r="A309" s="16">
        <v>7829</v>
      </c>
      <c r="B309" s="1">
        <v>1</v>
      </c>
      <c r="C309" s="1">
        <v>1</v>
      </c>
      <c r="D309" s="1">
        <v>7.6</v>
      </c>
    </row>
    <row r="310" spans="1:4" x14ac:dyDescent="0.25">
      <c r="A310" s="16">
        <v>7830</v>
      </c>
      <c r="B310" s="1">
        <v>1</v>
      </c>
      <c r="C310" s="1">
        <v>5</v>
      </c>
      <c r="D310" s="1">
        <v>14</v>
      </c>
    </row>
    <row r="311" spans="1:4" x14ac:dyDescent="0.25">
      <c r="A311" s="16">
        <v>7831</v>
      </c>
      <c r="B311" s="1">
        <v>1</v>
      </c>
      <c r="C311" s="1">
        <v>2</v>
      </c>
      <c r="D311" s="1">
        <v>12</v>
      </c>
    </row>
    <row r="312" spans="1:4" x14ac:dyDescent="0.25">
      <c r="A312" s="16">
        <v>7832</v>
      </c>
      <c r="B312" s="1">
        <v>1</v>
      </c>
      <c r="C312" s="1">
        <v>1</v>
      </c>
      <c r="D312" s="1">
        <v>8.8000000000000007</v>
      </c>
    </row>
    <row r="313" spans="1:4" x14ac:dyDescent="0.25">
      <c r="A313" s="16">
        <v>7833</v>
      </c>
      <c r="B313" s="1">
        <v>1</v>
      </c>
      <c r="C313" s="1">
        <v>1</v>
      </c>
      <c r="D313" s="1">
        <v>14</v>
      </c>
    </row>
    <row r="314" spans="1:4" x14ac:dyDescent="0.25">
      <c r="A314" s="16">
        <v>7834</v>
      </c>
      <c r="B314" s="1">
        <v>1</v>
      </c>
      <c r="C314" s="1">
        <v>3</v>
      </c>
      <c r="D314" s="1">
        <v>8.3999999999999986</v>
      </c>
    </row>
    <row r="315" spans="1:4" x14ac:dyDescent="0.25">
      <c r="A315" s="16">
        <v>7835</v>
      </c>
      <c r="B315" s="1">
        <v>1</v>
      </c>
      <c r="C315" s="1">
        <v>1</v>
      </c>
      <c r="D315" s="1">
        <v>6</v>
      </c>
    </row>
    <row r="316" spans="1:4" x14ac:dyDescent="0.25">
      <c r="A316" s="16">
        <v>7836</v>
      </c>
      <c r="B316" s="1">
        <v>1</v>
      </c>
      <c r="C316" s="1">
        <v>1</v>
      </c>
      <c r="D316" s="1">
        <v>36</v>
      </c>
    </row>
    <row r="317" spans="1:4" x14ac:dyDescent="0.25">
      <c r="A317" s="16">
        <v>7837</v>
      </c>
      <c r="B317" s="1">
        <v>1</v>
      </c>
      <c r="C317" s="1">
        <v>1</v>
      </c>
      <c r="D317" s="1">
        <v>8</v>
      </c>
    </row>
    <row r="318" spans="1:4" x14ac:dyDescent="0.25">
      <c r="A318" s="16">
        <v>7838</v>
      </c>
      <c r="B318" s="1">
        <v>1</v>
      </c>
      <c r="C318" s="1">
        <v>1</v>
      </c>
      <c r="D318" s="1">
        <v>19.600000000000001</v>
      </c>
    </row>
    <row r="319" spans="1:4" x14ac:dyDescent="0.25">
      <c r="A319" s="16">
        <v>7839</v>
      </c>
      <c r="B319" s="1">
        <v>1</v>
      </c>
      <c r="C319" s="1">
        <v>4</v>
      </c>
      <c r="D319" s="1">
        <v>11.2</v>
      </c>
    </row>
    <row r="320" spans="1:4" x14ac:dyDescent="0.25">
      <c r="A320" s="16">
        <v>7840</v>
      </c>
      <c r="B320" s="1">
        <v>1</v>
      </c>
      <c r="C320" s="1">
        <v>2</v>
      </c>
      <c r="D320" s="1">
        <v>12</v>
      </c>
    </row>
    <row r="321" spans="1:4" x14ac:dyDescent="0.25">
      <c r="A321" s="16">
        <v>7841</v>
      </c>
      <c r="B321" s="1">
        <v>1</v>
      </c>
      <c r="C321" s="1">
        <v>1</v>
      </c>
      <c r="D321" s="1">
        <v>8.8000000000000007</v>
      </c>
    </row>
    <row r="322" spans="1:4" x14ac:dyDescent="0.25">
      <c r="A322" s="16">
        <v>7842</v>
      </c>
      <c r="B322" s="1">
        <v>1</v>
      </c>
      <c r="C322" s="1">
        <v>1</v>
      </c>
      <c r="D322" s="1">
        <v>14</v>
      </c>
    </row>
    <row r="323" spans="1:4" x14ac:dyDescent="0.25">
      <c r="A323" s="16">
        <v>7843</v>
      </c>
      <c r="B323" s="1">
        <v>1</v>
      </c>
      <c r="C323" s="1">
        <v>3</v>
      </c>
      <c r="D323" s="1">
        <v>8.3999999999999986</v>
      </c>
    </row>
    <row r="324" spans="1:4" x14ac:dyDescent="0.25">
      <c r="A324" s="16">
        <v>7844</v>
      </c>
      <c r="B324" s="1">
        <v>1</v>
      </c>
      <c r="C324" s="1">
        <v>1</v>
      </c>
      <c r="D324" s="1">
        <v>6</v>
      </c>
    </row>
    <row r="325" spans="1:4" x14ac:dyDescent="0.25">
      <c r="A325" s="16">
        <v>7845</v>
      </c>
      <c r="B325" s="1">
        <v>1</v>
      </c>
      <c r="C325" s="1">
        <v>1</v>
      </c>
      <c r="D325" s="1">
        <v>36</v>
      </c>
    </row>
    <row r="326" spans="1:4" x14ac:dyDescent="0.25">
      <c r="A326" s="16">
        <v>7846</v>
      </c>
      <c r="B326" s="1">
        <v>1</v>
      </c>
      <c r="C326" s="1">
        <v>1</v>
      </c>
      <c r="D326" s="1">
        <v>8</v>
      </c>
    </row>
    <row r="327" spans="1:4" x14ac:dyDescent="0.25">
      <c r="A327" s="16">
        <v>7847</v>
      </c>
      <c r="B327" s="1">
        <v>1</v>
      </c>
      <c r="C327" s="1">
        <v>1</v>
      </c>
      <c r="D327" s="1">
        <v>19.600000000000001</v>
      </c>
    </row>
    <row r="328" spans="1:4" x14ac:dyDescent="0.25">
      <c r="A328" s="16">
        <v>7848</v>
      </c>
      <c r="B328" s="1">
        <v>1</v>
      </c>
      <c r="C328" s="1">
        <v>4</v>
      </c>
      <c r="D328" s="1">
        <v>11.2</v>
      </c>
    </row>
    <row r="329" spans="1:4" x14ac:dyDescent="0.25">
      <c r="A329" s="16">
        <v>7849</v>
      </c>
      <c r="B329" s="1">
        <v>1</v>
      </c>
      <c r="C329" s="1">
        <v>2</v>
      </c>
      <c r="D329" s="1">
        <v>12</v>
      </c>
    </row>
    <row r="330" spans="1:4" x14ac:dyDescent="0.25">
      <c r="A330" s="16">
        <v>7850</v>
      </c>
      <c r="B330" s="1">
        <v>1</v>
      </c>
      <c r="C330" s="1">
        <v>3</v>
      </c>
      <c r="D330" s="1">
        <v>7.1999999999999993</v>
      </c>
    </row>
    <row r="331" spans="1:4" x14ac:dyDescent="0.25">
      <c r="A331" s="16">
        <v>7851</v>
      </c>
      <c r="B331" s="1">
        <v>1</v>
      </c>
      <c r="C331" s="1">
        <v>1</v>
      </c>
      <c r="D331" s="1">
        <v>36</v>
      </c>
    </row>
    <row r="332" spans="1:4" x14ac:dyDescent="0.25">
      <c r="A332" s="16">
        <v>7852</v>
      </c>
      <c r="B332" s="1">
        <v>1</v>
      </c>
      <c r="C332" s="1">
        <v>1</v>
      </c>
      <c r="D332" s="1">
        <v>7.6</v>
      </c>
    </row>
    <row r="333" spans="1:4" x14ac:dyDescent="0.25">
      <c r="A333" s="16">
        <v>7853</v>
      </c>
      <c r="B333" s="1">
        <v>1</v>
      </c>
      <c r="C333" s="1">
        <v>5</v>
      </c>
      <c r="D333" s="1">
        <v>14</v>
      </c>
    </row>
    <row r="334" spans="1:4" x14ac:dyDescent="0.25">
      <c r="A334" s="16">
        <v>7854</v>
      </c>
      <c r="B334" s="1">
        <v>1</v>
      </c>
      <c r="C334" s="1">
        <v>2</v>
      </c>
      <c r="D334" s="1">
        <v>12</v>
      </c>
    </row>
    <row r="335" spans="1:4" x14ac:dyDescent="0.25">
      <c r="A335" s="16">
        <v>7855</v>
      </c>
      <c r="B335" s="1">
        <v>1</v>
      </c>
      <c r="C335" s="1">
        <v>1</v>
      </c>
      <c r="D335" s="1">
        <v>8.8000000000000007</v>
      </c>
    </row>
    <row r="336" spans="1:4" x14ac:dyDescent="0.25">
      <c r="A336" s="16">
        <v>7856</v>
      </c>
      <c r="B336" s="1">
        <v>1</v>
      </c>
      <c r="C336" s="1">
        <v>1</v>
      </c>
      <c r="D336" s="1">
        <v>14</v>
      </c>
    </row>
    <row r="337" spans="1:4" x14ac:dyDescent="0.25">
      <c r="A337" s="16">
        <v>7857</v>
      </c>
      <c r="B337" s="1">
        <v>1</v>
      </c>
      <c r="C337" s="1">
        <v>3</v>
      </c>
      <c r="D337" s="1">
        <v>8.3999999999999986</v>
      </c>
    </row>
    <row r="338" spans="1:4" x14ac:dyDescent="0.25">
      <c r="A338" s="16">
        <v>7858</v>
      </c>
      <c r="B338" s="1">
        <v>1</v>
      </c>
      <c r="C338" s="1">
        <v>1</v>
      </c>
      <c r="D338" s="1">
        <v>6</v>
      </c>
    </row>
    <row r="339" spans="1:4" x14ac:dyDescent="0.25">
      <c r="A339" s="16">
        <v>7859</v>
      </c>
      <c r="B339" s="1">
        <v>1</v>
      </c>
      <c r="C339" s="1">
        <v>1</v>
      </c>
      <c r="D339" s="1">
        <v>36</v>
      </c>
    </row>
    <row r="340" spans="1:4" x14ac:dyDescent="0.25">
      <c r="A340" s="16">
        <v>7860</v>
      </c>
      <c r="B340" s="1">
        <v>1</v>
      </c>
      <c r="C340" s="1">
        <v>1</v>
      </c>
      <c r="D340" s="1">
        <v>8</v>
      </c>
    </row>
    <row r="341" spans="1:4" x14ac:dyDescent="0.25">
      <c r="A341" s="16">
        <v>7861</v>
      </c>
      <c r="B341" s="1">
        <v>1</v>
      </c>
      <c r="C341" s="1">
        <v>1</v>
      </c>
      <c r="D341" s="1">
        <v>19.600000000000001</v>
      </c>
    </row>
    <row r="342" spans="1:4" x14ac:dyDescent="0.25">
      <c r="A342" s="16">
        <v>7862</v>
      </c>
      <c r="B342" s="1">
        <v>1</v>
      </c>
      <c r="C342" s="1">
        <v>4</v>
      </c>
      <c r="D342" s="1">
        <v>11.2</v>
      </c>
    </row>
    <row r="343" spans="1:4" x14ac:dyDescent="0.25">
      <c r="A343" s="16">
        <v>7863</v>
      </c>
      <c r="B343" s="1">
        <v>1</v>
      </c>
      <c r="C343" s="1">
        <v>2</v>
      </c>
      <c r="D343" s="1">
        <v>12</v>
      </c>
    </row>
    <row r="344" spans="1:4" x14ac:dyDescent="0.25">
      <c r="A344" s="16">
        <v>7864</v>
      </c>
      <c r="B344" s="1">
        <v>1</v>
      </c>
      <c r="C344" s="1">
        <v>3</v>
      </c>
      <c r="D344" s="1">
        <v>7.1999999999999993</v>
      </c>
    </row>
    <row r="345" spans="1:4" x14ac:dyDescent="0.25">
      <c r="A345" s="16">
        <v>7865</v>
      </c>
      <c r="B345" s="1">
        <v>1</v>
      </c>
      <c r="C345" s="1">
        <v>1</v>
      </c>
      <c r="D345" s="1">
        <v>36</v>
      </c>
    </row>
    <row r="346" spans="1:4" x14ac:dyDescent="0.25">
      <c r="A346" s="16">
        <v>7866</v>
      </c>
      <c r="B346" s="1">
        <v>1</v>
      </c>
      <c r="C346" s="1">
        <v>1</v>
      </c>
      <c r="D346" s="1">
        <v>7.6</v>
      </c>
    </row>
    <row r="347" spans="1:4" x14ac:dyDescent="0.25">
      <c r="A347" s="16">
        <v>7867</v>
      </c>
      <c r="B347" s="1">
        <v>1</v>
      </c>
      <c r="C347" s="1">
        <v>5</v>
      </c>
      <c r="D347" s="1">
        <v>14</v>
      </c>
    </row>
    <row r="348" spans="1:4" x14ac:dyDescent="0.25">
      <c r="A348" s="16">
        <v>7868</v>
      </c>
      <c r="B348" s="1">
        <v>1</v>
      </c>
      <c r="C348" s="1">
        <v>2</v>
      </c>
      <c r="D348" s="1">
        <v>12</v>
      </c>
    </row>
    <row r="349" spans="1:4" x14ac:dyDescent="0.25">
      <c r="A349" s="16">
        <v>7869</v>
      </c>
      <c r="B349" s="1">
        <v>1</v>
      </c>
      <c r="C349" s="1">
        <v>1</v>
      </c>
      <c r="D349" s="1">
        <v>8.8000000000000007</v>
      </c>
    </row>
    <row r="350" spans="1:4" x14ac:dyDescent="0.25">
      <c r="A350" s="16">
        <v>7870</v>
      </c>
      <c r="B350" s="1">
        <v>1</v>
      </c>
      <c r="C350" s="1">
        <v>1</v>
      </c>
      <c r="D350" s="1">
        <v>14</v>
      </c>
    </row>
    <row r="351" spans="1:4" x14ac:dyDescent="0.25">
      <c r="A351" s="16">
        <v>7871</v>
      </c>
      <c r="B351" s="1">
        <v>1</v>
      </c>
      <c r="C351" s="1">
        <v>3</v>
      </c>
      <c r="D351" s="1">
        <v>8.3999999999999986</v>
      </c>
    </row>
    <row r="352" spans="1:4" x14ac:dyDescent="0.25">
      <c r="A352" s="16">
        <v>7872</v>
      </c>
      <c r="B352" s="1">
        <v>1</v>
      </c>
      <c r="C352" s="1">
        <v>1</v>
      </c>
      <c r="D352" s="1">
        <v>6</v>
      </c>
    </row>
    <row r="353" spans="1:4" x14ac:dyDescent="0.25">
      <c r="A353" s="16">
        <v>7873</v>
      </c>
      <c r="B353" s="1">
        <v>1</v>
      </c>
      <c r="C353" s="1">
        <v>1</v>
      </c>
      <c r="D353" s="1">
        <v>36</v>
      </c>
    </row>
    <row r="354" spans="1:4" x14ac:dyDescent="0.25">
      <c r="A354" s="16">
        <v>7874</v>
      </c>
      <c r="B354" s="1">
        <v>1</v>
      </c>
      <c r="C354" s="1">
        <v>1</v>
      </c>
      <c r="D354" s="1">
        <v>8</v>
      </c>
    </row>
    <row r="355" spans="1:4" x14ac:dyDescent="0.25">
      <c r="A355" s="16">
        <v>7875</v>
      </c>
      <c r="B355" s="1">
        <v>1</v>
      </c>
      <c r="C355" s="1">
        <v>1</v>
      </c>
      <c r="D355" s="1">
        <v>19.600000000000001</v>
      </c>
    </row>
    <row r="356" spans="1:4" x14ac:dyDescent="0.25">
      <c r="A356" s="16">
        <v>7876</v>
      </c>
      <c r="B356" s="1">
        <v>1</v>
      </c>
      <c r="C356" s="1">
        <v>4</v>
      </c>
      <c r="D356" s="1">
        <v>11.2</v>
      </c>
    </row>
    <row r="357" spans="1:4" x14ac:dyDescent="0.25">
      <c r="A357" s="16">
        <v>7877</v>
      </c>
      <c r="B357" s="1">
        <v>1</v>
      </c>
      <c r="C357" s="1">
        <v>2</v>
      </c>
      <c r="D357" s="1">
        <v>12</v>
      </c>
    </row>
    <row r="358" spans="1:4" x14ac:dyDescent="0.25">
      <c r="A358" s="16">
        <v>7878</v>
      </c>
      <c r="B358" s="1">
        <v>1</v>
      </c>
      <c r="C358" s="1">
        <v>3</v>
      </c>
      <c r="D358" s="1">
        <v>7.1999999999999993</v>
      </c>
    </row>
    <row r="359" spans="1:4" x14ac:dyDescent="0.25">
      <c r="A359" s="16">
        <v>7879</v>
      </c>
      <c r="B359" s="1">
        <v>1</v>
      </c>
      <c r="C359" s="1">
        <v>1</v>
      </c>
      <c r="D359" s="1">
        <v>36</v>
      </c>
    </row>
    <row r="360" spans="1:4" x14ac:dyDescent="0.25">
      <c r="A360" s="16">
        <v>7880</v>
      </c>
      <c r="B360" s="1">
        <v>1</v>
      </c>
      <c r="C360" s="1">
        <v>1</v>
      </c>
      <c r="D360" s="1">
        <v>7.6</v>
      </c>
    </row>
    <row r="361" spans="1:4" x14ac:dyDescent="0.25">
      <c r="A361" s="16">
        <v>7881</v>
      </c>
      <c r="B361" s="1">
        <v>1</v>
      </c>
      <c r="C361" s="1">
        <v>5</v>
      </c>
      <c r="D361" s="1">
        <v>14</v>
      </c>
    </row>
    <row r="362" spans="1:4" x14ac:dyDescent="0.25">
      <c r="A362" s="16">
        <v>7882</v>
      </c>
      <c r="B362" s="1">
        <v>1</v>
      </c>
      <c r="C362" s="1">
        <v>2</v>
      </c>
      <c r="D362" s="1">
        <v>12</v>
      </c>
    </row>
    <row r="363" spans="1:4" x14ac:dyDescent="0.25">
      <c r="A363" s="16">
        <v>7883</v>
      </c>
      <c r="B363" s="1">
        <v>1</v>
      </c>
      <c r="C363" s="1">
        <v>1</v>
      </c>
      <c r="D363" s="1">
        <v>8.8000000000000007</v>
      </c>
    </row>
    <row r="364" spans="1:4" x14ac:dyDescent="0.25">
      <c r="A364" s="16">
        <v>7884</v>
      </c>
      <c r="B364" s="1">
        <v>1</v>
      </c>
      <c r="C364" s="1">
        <v>1</v>
      </c>
      <c r="D364" s="1">
        <v>14</v>
      </c>
    </row>
    <row r="365" spans="1:4" x14ac:dyDescent="0.25">
      <c r="A365" s="16">
        <v>7885</v>
      </c>
      <c r="B365" s="1">
        <v>1</v>
      </c>
      <c r="C365" s="1">
        <v>3</v>
      </c>
      <c r="D365" s="1">
        <v>8.3999999999999986</v>
      </c>
    </row>
    <row r="366" spans="1:4" x14ac:dyDescent="0.25">
      <c r="A366" s="16">
        <v>7886</v>
      </c>
      <c r="B366" s="1">
        <v>1</v>
      </c>
      <c r="C366" s="1">
        <v>1</v>
      </c>
      <c r="D366" s="1">
        <v>6</v>
      </c>
    </row>
    <row r="367" spans="1:4" x14ac:dyDescent="0.25">
      <c r="A367" s="16">
        <v>7887</v>
      </c>
      <c r="B367" s="1">
        <v>1</v>
      </c>
      <c r="C367" s="1">
        <v>1</v>
      </c>
      <c r="D367" s="1">
        <v>36</v>
      </c>
    </row>
    <row r="368" spans="1:4" x14ac:dyDescent="0.25">
      <c r="A368" s="16">
        <v>7888</v>
      </c>
      <c r="B368" s="1">
        <v>1</v>
      </c>
      <c r="C368" s="1">
        <v>1</v>
      </c>
      <c r="D368" s="1">
        <v>8</v>
      </c>
    </row>
    <row r="369" spans="1:4" x14ac:dyDescent="0.25">
      <c r="A369" s="16">
        <v>7889</v>
      </c>
      <c r="B369" s="1">
        <v>1</v>
      </c>
      <c r="C369" s="1">
        <v>1</v>
      </c>
      <c r="D369" s="1">
        <v>19.600000000000001</v>
      </c>
    </row>
    <row r="370" spans="1:4" x14ac:dyDescent="0.25">
      <c r="A370" s="16">
        <v>7890</v>
      </c>
      <c r="B370" s="1">
        <v>1</v>
      </c>
      <c r="C370" s="1">
        <v>4</v>
      </c>
      <c r="D370" s="1">
        <v>11.2</v>
      </c>
    </row>
    <row r="371" spans="1:4" x14ac:dyDescent="0.25">
      <c r="A371" s="16">
        <v>7891</v>
      </c>
      <c r="B371" s="1">
        <v>1</v>
      </c>
      <c r="C371" s="1">
        <v>2</v>
      </c>
      <c r="D371" s="1">
        <v>12</v>
      </c>
    </row>
    <row r="372" spans="1:4" x14ac:dyDescent="0.25">
      <c r="A372" s="16">
        <v>7892</v>
      </c>
      <c r="B372" s="1">
        <v>1</v>
      </c>
      <c r="C372" s="1">
        <v>3</v>
      </c>
      <c r="D372" s="1">
        <v>7.1999999999999993</v>
      </c>
    </row>
    <row r="373" spans="1:4" x14ac:dyDescent="0.25">
      <c r="A373" s="16">
        <v>7893</v>
      </c>
      <c r="B373" s="1">
        <v>1</v>
      </c>
      <c r="C373" s="1">
        <v>1</v>
      </c>
      <c r="D373" s="1">
        <v>36</v>
      </c>
    </row>
    <row r="374" spans="1:4" x14ac:dyDescent="0.25">
      <c r="A374" s="16">
        <v>7894</v>
      </c>
      <c r="B374" s="1">
        <v>1</v>
      </c>
      <c r="C374" s="1">
        <v>1</v>
      </c>
      <c r="D374" s="1">
        <v>7.6</v>
      </c>
    </row>
    <row r="375" spans="1:4" x14ac:dyDescent="0.25">
      <c r="A375" s="16">
        <v>7895</v>
      </c>
      <c r="B375" s="1">
        <v>1</v>
      </c>
      <c r="C375" s="1">
        <v>5</v>
      </c>
      <c r="D375" s="1">
        <v>14</v>
      </c>
    </row>
    <row r="376" spans="1:4" x14ac:dyDescent="0.25">
      <c r="A376" s="16">
        <v>7896</v>
      </c>
      <c r="B376" s="1">
        <v>1</v>
      </c>
      <c r="C376" s="1">
        <v>2</v>
      </c>
      <c r="D376" s="1">
        <v>12</v>
      </c>
    </row>
    <row r="377" spans="1:4" x14ac:dyDescent="0.25">
      <c r="A377" s="16">
        <v>7897</v>
      </c>
      <c r="B377" s="1">
        <v>1</v>
      </c>
      <c r="C377" s="1">
        <v>1</v>
      </c>
      <c r="D377" s="1">
        <v>8.8000000000000007</v>
      </c>
    </row>
    <row r="378" spans="1:4" x14ac:dyDescent="0.25">
      <c r="A378" s="16">
        <v>7898</v>
      </c>
      <c r="B378" s="1">
        <v>1</v>
      </c>
      <c r="C378" s="1">
        <v>1</v>
      </c>
      <c r="D378" s="1">
        <v>14</v>
      </c>
    </row>
    <row r="379" spans="1:4" x14ac:dyDescent="0.25">
      <c r="A379" s="16">
        <v>7899</v>
      </c>
      <c r="B379" s="1">
        <v>1</v>
      </c>
      <c r="C379" s="1">
        <v>3</v>
      </c>
      <c r="D379" s="1">
        <v>8.3999999999999986</v>
      </c>
    </row>
    <row r="380" spans="1:4" x14ac:dyDescent="0.25">
      <c r="A380" s="16">
        <v>7900</v>
      </c>
      <c r="B380" s="1">
        <v>1</v>
      </c>
      <c r="C380" s="1">
        <v>1</v>
      </c>
      <c r="D380" s="1">
        <v>6</v>
      </c>
    </row>
    <row r="381" spans="1:4" x14ac:dyDescent="0.25">
      <c r="A381" s="16">
        <v>7901</v>
      </c>
      <c r="B381" s="1">
        <v>1</v>
      </c>
      <c r="C381" s="1">
        <v>1</v>
      </c>
      <c r="D381" s="1">
        <v>36</v>
      </c>
    </row>
    <row r="382" spans="1:4" x14ac:dyDescent="0.25">
      <c r="A382" s="16">
        <v>7902</v>
      </c>
      <c r="B382" s="1">
        <v>1</v>
      </c>
      <c r="C382" s="1">
        <v>1</v>
      </c>
      <c r="D382" s="1">
        <v>8</v>
      </c>
    </row>
    <row r="383" spans="1:4" x14ac:dyDescent="0.25">
      <c r="A383" s="16">
        <v>7903</v>
      </c>
      <c r="B383" s="1">
        <v>1</v>
      </c>
      <c r="C383" s="1">
        <v>1</v>
      </c>
      <c r="D383" s="1">
        <v>19.600000000000001</v>
      </c>
    </row>
    <row r="384" spans="1:4" x14ac:dyDescent="0.25">
      <c r="A384" s="16">
        <v>7904</v>
      </c>
      <c r="B384" s="1">
        <v>1</v>
      </c>
      <c r="C384" s="1">
        <v>4</v>
      </c>
      <c r="D384" s="1">
        <v>11.2</v>
      </c>
    </row>
    <row r="385" spans="1:4" x14ac:dyDescent="0.25">
      <c r="A385" s="16">
        <v>7905</v>
      </c>
      <c r="B385" s="1">
        <v>1</v>
      </c>
      <c r="C385" s="1">
        <v>2</v>
      </c>
      <c r="D385" s="1">
        <v>12</v>
      </c>
    </row>
    <row r="386" spans="1:4" x14ac:dyDescent="0.25">
      <c r="A386" s="16">
        <v>7906</v>
      </c>
      <c r="B386" s="1">
        <v>1</v>
      </c>
      <c r="C386" s="1">
        <v>3</v>
      </c>
      <c r="D386" s="1">
        <v>7.1999999999999993</v>
      </c>
    </row>
    <row r="387" spans="1:4" x14ac:dyDescent="0.25">
      <c r="A387" s="16">
        <v>7907</v>
      </c>
      <c r="B387" s="1">
        <v>1</v>
      </c>
      <c r="C387" s="1">
        <v>1</v>
      </c>
      <c r="D387" s="1">
        <v>36</v>
      </c>
    </row>
    <row r="388" spans="1:4" x14ac:dyDescent="0.25">
      <c r="A388" s="16">
        <v>7908</v>
      </c>
      <c r="B388" s="1">
        <v>1</v>
      </c>
      <c r="C388" s="1">
        <v>1</v>
      </c>
      <c r="D388" s="1">
        <v>7.6</v>
      </c>
    </row>
    <row r="389" spans="1:4" x14ac:dyDescent="0.25">
      <c r="A389" s="16">
        <v>7909</v>
      </c>
      <c r="B389" s="1">
        <v>1</v>
      </c>
      <c r="C389" s="1">
        <v>5</v>
      </c>
      <c r="D389" s="1">
        <v>14</v>
      </c>
    </row>
    <row r="390" spans="1:4" x14ac:dyDescent="0.25">
      <c r="A390" s="16">
        <v>7910</v>
      </c>
      <c r="B390" s="1">
        <v>1</v>
      </c>
      <c r="C390" s="1">
        <v>2</v>
      </c>
      <c r="D390" s="1">
        <v>12</v>
      </c>
    </row>
    <row r="391" spans="1:4" x14ac:dyDescent="0.25">
      <c r="A391" s="16">
        <v>7911</v>
      </c>
      <c r="B391" s="1">
        <v>1</v>
      </c>
      <c r="C391" s="1">
        <v>1</v>
      </c>
      <c r="D391" s="1">
        <v>8.8000000000000007</v>
      </c>
    </row>
    <row r="392" spans="1:4" x14ac:dyDescent="0.25">
      <c r="A392" s="16">
        <v>7912</v>
      </c>
      <c r="B392" s="1">
        <v>1</v>
      </c>
      <c r="C392" s="1">
        <v>1</v>
      </c>
      <c r="D392" s="1">
        <v>14</v>
      </c>
    </row>
    <row r="393" spans="1:4" x14ac:dyDescent="0.25">
      <c r="A393" s="16">
        <v>7913</v>
      </c>
      <c r="B393" s="1">
        <v>1</v>
      </c>
      <c r="C393" s="1">
        <v>4</v>
      </c>
      <c r="D393" s="1">
        <v>11.2</v>
      </c>
    </row>
    <row r="394" spans="1:4" x14ac:dyDescent="0.25">
      <c r="A394" s="16">
        <v>7914</v>
      </c>
      <c r="B394" s="1">
        <v>1</v>
      </c>
      <c r="C394" s="1">
        <v>2</v>
      </c>
      <c r="D394" s="1">
        <v>12</v>
      </c>
    </row>
    <row r="395" spans="1:4" x14ac:dyDescent="0.25">
      <c r="A395" s="16">
        <v>7915</v>
      </c>
      <c r="B395" s="1">
        <v>1</v>
      </c>
      <c r="C395" s="1">
        <v>1</v>
      </c>
      <c r="D395" s="1">
        <v>8.8000000000000007</v>
      </c>
    </row>
    <row r="396" spans="1:4" x14ac:dyDescent="0.25">
      <c r="A396" s="16">
        <v>7916</v>
      </c>
      <c r="B396" s="1">
        <v>1</v>
      </c>
      <c r="C396" s="1">
        <v>2</v>
      </c>
      <c r="D396" s="1">
        <v>28</v>
      </c>
    </row>
    <row r="397" spans="1:4" x14ac:dyDescent="0.25">
      <c r="A397" s="16">
        <v>7917</v>
      </c>
      <c r="B397" s="1">
        <v>1</v>
      </c>
      <c r="C397" s="1">
        <v>1</v>
      </c>
      <c r="D397" s="1">
        <v>36</v>
      </c>
    </row>
    <row r="398" spans="1:4" x14ac:dyDescent="0.25">
      <c r="A398" s="16">
        <v>7918</v>
      </c>
      <c r="B398" s="1">
        <v>1</v>
      </c>
      <c r="C398" s="1">
        <v>3</v>
      </c>
      <c r="D398" s="1">
        <v>7.1999999999999993</v>
      </c>
    </row>
    <row r="399" spans="1:4" x14ac:dyDescent="0.25">
      <c r="A399" s="16">
        <v>7919</v>
      </c>
      <c r="B399" s="1">
        <v>1</v>
      </c>
      <c r="C399" s="1">
        <v>1</v>
      </c>
      <c r="D399" s="1">
        <v>19.600000000000001</v>
      </c>
    </row>
    <row r="400" spans="1:4" x14ac:dyDescent="0.25">
      <c r="A400" s="16">
        <v>7920</v>
      </c>
      <c r="B400" s="1">
        <v>1</v>
      </c>
      <c r="C400" s="1">
        <v>1</v>
      </c>
      <c r="D400" s="1">
        <v>8</v>
      </c>
    </row>
    <row r="401" spans="1:4" x14ac:dyDescent="0.25">
      <c r="A401" s="16">
        <v>7921</v>
      </c>
      <c r="B401" s="1">
        <v>1</v>
      </c>
      <c r="C401" s="1">
        <v>1</v>
      </c>
      <c r="D401" s="1">
        <v>7.6</v>
      </c>
    </row>
    <row r="402" spans="1:4" x14ac:dyDescent="0.25">
      <c r="A402" s="16">
        <v>7922</v>
      </c>
      <c r="B402" s="1">
        <v>1</v>
      </c>
      <c r="C402" s="1">
        <v>1</v>
      </c>
      <c r="D402" s="1">
        <v>7.6</v>
      </c>
    </row>
    <row r="403" spans="1:4" x14ac:dyDescent="0.25">
      <c r="A403" s="16">
        <v>7923</v>
      </c>
      <c r="B403" s="1">
        <v>1</v>
      </c>
      <c r="C403" s="1">
        <v>5</v>
      </c>
      <c r="D403" s="1">
        <v>14</v>
      </c>
    </row>
    <row r="404" spans="1:4" x14ac:dyDescent="0.25">
      <c r="A404" s="16">
        <v>7924</v>
      </c>
      <c r="B404" s="1">
        <v>1</v>
      </c>
      <c r="C404" s="1">
        <v>1</v>
      </c>
      <c r="D404" s="1">
        <v>6</v>
      </c>
    </row>
    <row r="405" spans="1:4" x14ac:dyDescent="0.25">
      <c r="A405" s="16">
        <v>7925</v>
      </c>
      <c r="B405" s="1">
        <v>1</v>
      </c>
      <c r="C405" s="1">
        <v>1</v>
      </c>
      <c r="D405" s="1">
        <v>8.8000000000000007</v>
      </c>
    </row>
    <row r="406" spans="1:4" x14ac:dyDescent="0.25">
      <c r="A406" s="16">
        <v>7926</v>
      </c>
      <c r="B406" s="1">
        <v>1</v>
      </c>
      <c r="C406" s="1">
        <v>1</v>
      </c>
      <c r="D406" s="1">
        <v>14</v>
      </c>
    </row>
    <row r="407" spans="1:4" x14ac:dyDescent="0.25">
      <c r="A407" s="16">
        <v>7927</v>
      </c>
      <c r="B407" s="1">
        <v>1</v>
      </c>
      <c r="C407" s="1">
        <v>2</v>
      </c>
      <c r="D407" s="1">
        <v>4.8</v>
      </c>
    </row>
    <row r="408" spans="1:4" x14ac:dyDescent="0.25">
      <c r="A408" s="16">
        <v>7928</v>
      </c>
      <c r="B408" s="1">
        <v>1</v>
      </c>
      <c r="C408" s="1">
        <v>1</v>
      </c>
      <c r="D408" s="1">
        <v>36</v>
      </c>
    </row>
    <row r="409" spans="1:4" x14ac:dyDescent="0.25">
      <c r="A409" s="16">
        <v>7929</v>
      </c>
      <c r="B409" s="1">
        <v>1</v>
      </c>
      <c r="C409" s="1">
        <v>1</v>
      </c>
      <c r="D409" s="1">
        <v>8</v>
      </c>
    </row>
    <row r="410" spans="1:4" x14ac:dyDescent="0.25">
      <c r="A410" s="16">
        <v>7930</v>
      </c>
      <c r="B410" s="1">
        <v>1</v>
      </c>
      <c r="C410" s="1">
        <v>1</v>
      </c>
      <c r="D410" s="1">
        <v>19.600000000000001</v>
      </c>
    </row>
    <row r="411" spans="1:4" x14ac:dyDescent="0.25">
      <c r="A411" s="16">
        <v>7931</v>
      </c>
      <c r="B411" s="1">
        <v>1</v>
      </c>
      <c r="C411" s="1">
        <v>1</v>
      </c>
      <c r="D411" s="1">
        <v>6</v>
      </c>
    </row>
    <row r="412" spans="1:4" x14ac:dyDescent="0.25">
      <c r="A412" s="16">
        <v>7932</v>
      </c>
      <c r="B412" s="1">
        <v>1</v>
      </c>
      <c r="C412" s="1">
        <v>4</v>
      </c>
      <c r="D412" s="1">
        <v>11.2</v>
      </c>
    </row>
    <row r="413" spans="1:4" x14ac:dyDescent="0.25">
      <c r="A413" s="16">
        <v>7933</v>
      </c>
      <c r="B413" s="1">
        <v>1</v>
      </c>
      <c r="C413" s="1">
        <v>2</v>
      </c>
      <c r="D413" s="1">
        <v>28</v>
      </c>
    </row>
    <row r="414" spans="1:4" x14ac:dyDescent="0.25">
      <c r="A414" s="16">
        <v>7934</v>
      </c>
      <c r="B414" s="1">
        <v>1</v>
      </c>
      <c r="C414" s="1">
        <v>2</v>
      </c>
      <c r="D414" s="1">
        <v>4.8</v>
      </c>
    </row>
    <row r="415" spans="1:4" x14ac:dyDescent="0.25">
      <c r="A415" s="16">
        <v>7935</v>
      </c>
      <c r="B415" s="1">
        <v>1</v>
      </c>
      <c r="C415" s="1">
        <v>1</v>
      </c>
      <c r="D415" s="1">
        <v>36</v>
      </c>
    </row>
    <row r="416" spans="1:4" x14ac:dyDescent="0.25">
      <c r="A416" s="16">
        <v>7936</v>
      </c>
      <c r="B416" s="1">
        <v>1</v>
      </c>
      <c r="C416" s="1">
        <v>1</v>
      </c>
      <c r="D416" s="1">
        <v>8</v>
      </c>
    </row>
    <row r="417" spans="1:4" x14ac:dyDescent="0.25">
      <c r="A417" s="16">
        <v>7937</v>
      </c>
      <c r="B417" s="1">
        <v>1</v>
      </c>
      <c r="C417" s="1">
        <v>1</v>
      </c>
      <c r="D417" s="1">
        <v>7.6</v>
      </c>
    </row>
    <row r="418" spans="1:4" x14ac:dyDescent="0.25">
      <c r="A418" s="16">
        <v>7938</v>
      </c>
      <c r="B418" s="1">
        <v>1</v>
      </c>
      <c r="C418" s="1">
        <v>5</v>
      </c>
      <c r="D418" s="1">
        <v>14</v>
      </c>
    </row>
    <row r="419" spans="1:4" x14ac:dyDescent="0.25">
      <c r="A419" s="16">
        <v>7939</v>
      </c>
      <c r="B419" s="1">
        <v>1</v>
      </c>
      <c r="C419" s="1">
        <v>2</v>
      </c>
      <c r="D419" s="1">
        <v>12</v>
      </c>
    </row>
    <row r="420" spans="1:4" x14ac:dyDescent="0.25">
      <c r="A420" s="16">
        <v>7940</v>
      </c>
      <c r="B420" s="1">
        <v>1</v>
      </c>
      <c r="C420" s="1">
        <v>1</v>
      </c>
      <c r="D420" s="1">
        <v>8.8000000000000007</v>
      </c>
    </row>
    <row r="421" spans="1:4" x14ac:dyDescent="0.25">
      <c r="A421" s="16">
        <v>7941</v>
      </c>
      <c r="B421" s="1">
        <v>1</v>
      </c>
      <c r="C421" s="1">
        <v>1</v>
      </c>
      <c r="D421" s="1">
        <v>14</v>
      </c>
    </row>
    <row r="422" spans="1:4" x14ac:dyDescent="0.25">
      <c r="A422" s="16">
        <v>7942</v>
      </c>
      <c r="B422" s="1">
        <v>1</v>
      </c>
      <c r="C422" s="1">
        <v>1</v>
      </c>
      <c r="D422" s="1">
        <v>36</v>
      </c>
    </row>
    <row r="423" spans="1:4" x14ac:dyDescent="0.25">
      <c r="A423" s="16">
        <v>7943</v>
      </c>
      <c r="B423" s="1">
        <v>1</v>
      </c>
      <c r="C423" s="1">
        <v>1</v>
      </c>
      <c r="D423" s="1">
        <v>8</v>
      </c>
    </row>
    <row r="424" spans="1:4" x14ac:dyDescent="0.25">
      <c r="A424" s="16">
        <v>7944</v>
      </c>
      <c r="B424" s="1">
        <v>1</v>
      </c>
      <c r="C424" s="1">
        <v>3</v>
      </c>
      <c r="D424" s="1">
        <v>8.3999999999999986</v>
      </c>
    </row>
    <row r="425" spans="1:4" x14ac:dyDescent="0.25">
      <c r="A425" s="16">
        <v>7945</v>
      </c>
      <c r="B425" s="1">
        <v>1</v>
      </c>
      <c r="C425" s="1">
        <v>2</v>
      </c>
      <c r="D425" s="1">
        <v>12</v>
      </c>
    </row>
    <row r="426" spans="1:4" x14ac:dyDescent="0.25">
      <c r="A426" s="16">
        <v>7946</v>
      </c>
      <c r="B426" s="1">
        <v>1</v>
      </c>
      <c r="C426" s="1">
        <v>1</v>
      </c>
      <c r="D426" s="1">
        <v>8.8000000000000007</v>
      </c>
    </row>
    <row r="427" spans="1:4" x14ac:dyDescent="0.25">
      <c r="A427" s="16">
        <v>7947</v>
      </c>
      <c r="B427" s="1">
        <v>1</v>
      </c>
      <c r="C427" s="1">
        <v>1</v>
      </c>
      <c r="D427" s="1">
        <v>14</v>
      </c>
    </row>
    <row r="428" spans="1:4" x14ac:dyDescent="0.25">
      <c r="A428" s="16">
        <v>7948</v>
      </c>
      <c r="B428" s="1">
        <v>1</v>
      </c>
      <c r="C428" s="1">
        <v>3</v>
      </c>
      <c r="D428" s="1">
        <v>8.3999999999999986</v>
      </c>
    </row>
    <row r="429" spans="1:4" x14ac:dyDescent="0.25">
      <c r="A429" s="16">
        <v>7949</v>
      </c>
      <c r="B429" s="1">
        <v>1</v>
      </c>
      <c r="C429" s="1">
        <v>1</v>
      </c>
      <c r="D429" s="1">
        <v>6</v>
      </c>
    </row>
    <row r="430" spans="1:4" x14ac:dyDescent="0.25">
      <c r="A430" s="16">
        <v>7950</v>
      </c>
      <c r="B430" s="1">
        <v>1</v>
      </c>
      <c r="C430" s="1">
        <v>1</v>
      </c>
      <c r="D430" s="1">
        <v>36</v>
      </c>
    </row>
    <row r="431" spans="1:4" x14ac:dyDescent="0.25">
      <c r="A431" s="16">
        <v>7951</v>
      </c>
      <c r="B431" s="1">
        <v>1</v>
      </c>
      <c r="C431" s="1">
        <v>2</v>
      </c>
      <c r="D431" s="1">
        <v>4.8</v>
      </c>
    </row>
    <row r="432" spans="1:4" x14ac:dyDescent="0.25">
      <c r="A432" s="16">
        <v>7952</v>
      </c>
      <c r="B432" s="1">
        <v>1</v>
      </c>
      <c r="C432" s="1">
        <v>1</v>
      </c>
      <c r="D432" s="1">
        <v>19.600000000000001</v>
      </c>
    </row>
    <row r="433" spans="1:4" x14ac:dyDescent="0.25">
      <c r="A433" s="16">
        <v>7953</v>
      </c>
      <c r="B433" s="1">
        <v>1</v>
      </c>
      <c r="C433" s="1">
        <v>1</v>
      </c>
      <c r="D433" s="1">
        <v>8</v>
      </c>
    </row>
    <row r="434" spans="1:4" x14ac:dyDescent="0.25">
      <c r="A434" s="16">
        <v>7954</v>
      </c>
      <c r="B434" s="1">
        <v>1</v>
      </c>
      <c r="C434" s="1">
        <v>1</v>
      </c>
      <c r="D434" s="1">
        <v>7.6</v>
      </c>
    </row>
    <row r="435" spans="1:4" x14ac:dyDescent="0.25">
      <c r="A435" s="16">
        <v>7955</v>
      </c>
      <c r="B435" s="1">
        <v>1</v>
      </c>
      <c r="C435" s="1">
        <v>4</v>
      </c>
      <c r="D435" s="1">
        <v>11.2</v>
      </c>
    </row>
    <row r="436" spans="1:4" x14ac:dyDescent="0.25">
      <c r="A436" s="16">
        <v>7956</v>
      </c>
      <c r="B436" s="1">
        <v>1</v>
      </c>
      <c r="C436" s="1">
        <v>1</v>
      </c>
      <c r="D436" s="1">
        <v>6</v>
      </c>
    </row>
    <row r="437" spans="1:4" x14ac:dyDescent="0.25">
      <c r="A437" s="16">
        <v>7957</v>
      </c>
      <c r="B437" s="1">
        <v>1</v>
      </c>
      <c r="C437" s="1">
        <v>1</v>
      </c>
      <c r="D437" s="1">
        <v>8.8000000000000007</v>
      </c>
    </row>
    <row r="438" spans="1:4" x14ac:dyDescent="0.25">
      <c r="A438" s="16">
        <v>7958</v>
      </c>
      <c r="B438" s="1">
        <v>1</v>
      </c>
      <c r="C438" s="1">
        <v>1</v>
      </c>
      <c r="D438" s="1">
        <v>14</v>
      </c>
    </row>
    <row r="439" spans="1:4" x14ac:dyDescent="0.25">
      <c r="A439" s="16">
        <v>7959</v>
      </c>
      <c r="B439" s="1">
        <v>1</v>
      </c>
      <c r="C439" s="1">
        <v>1</v>
      </c>
      <c r="D439" s="1">
        <v>36</v>
      </c>
    </row>
    <row r="440" spans="1:4" x14ac:dyDescent="0.25">
      <c r="A440" s="16">
        <v>7960</v>
      </c>
      <c r="B440" s="1">
        <v>1</v>
      </c>
      <c r="C440" s="1">
        <v>1</v>
      </c>
      <c r="D440" s="1">
        <v>8</v>
      </c>
    </row>
    <row r="441" spans="1:4" x14ac:dyDescent="0.25">
      <c r="A441" s="16">
        <v>7961</v>
      </c>
      <c r="B441" s="1">
        <v>1</v>
      </c>
      <c r="C441" s="1">
        <v>1</v>
      </c>
      <c r="D441" s="1">
        <v>7.6</v>
      </c>
    </row>
    <row r="442" spans="1:4" x14ac:dyDescent="0.25">
      <c r="A442" s="16">
        <v>7962</v>
      </c>
      <c r="B442" s="1">
        <v>1</v>
      </c>
      <c r="C442" s="1">
        <v>4</v>
      </c>
      <c r="D442" s="1">
        <v>11.2</v>
      </c>
    </row>
    <row r="443" spans="1:4" x14ac:dyDescent="0.25">
      <c r="A443" s="16">
        <v>7963</v>
      </c>
      <c r="B443" s="1">
        <v>1</v>
      </c>
      <c r="C443" s="1">
        <v>2</v>
      </c>
      <c r="D443" s="1">
        <v>12</v>
      </c>
    </row>
    <row r="444" spans="1:4" x14ac:dyDescent="0.25">
      <c r="A444" s="16">
        <v>7964</v>
      </c>
      <c r="B444" s="1">
        <v>1</v>
      </c>
      <c r="C444" s="1">
        <v>1</v>
      </c>
      <c r="D444" s="1">
        <v>8.8000000000000007</v>
      </c>
    </row>
    <row r="445" spans="1:4" x14ac:dyDescent="0.25">
      <c r="A445" s="16">
        <v>7965</v>
      </c>
      <c r="B445" s="1">
        <v>1</v>
      </c>
      <c r="C445" s="1">
        <v>2</v>
      </c>
      <c r="D445" s="1">
        <v>28</v>
      </c>
    </row>
    <row r="446" spans="1:4" x14ac:dyDescent="0.25">
      <c r="A446" s="16">
        <v>7966</v>
      </c>
      <c r="B446" s="1">
        <v>1</v>
      </c>
      <c r="C446" s="1">
        <v>2</v>
      </c>
      <c r="D446" s="1">
        <v>4.8</v>
      </c>
    </row>
    <row r="447" spans="1:4" x14ac:dyDescent="0.25">
      <c r="A447" s="16">
        <v>7967</v>
      </c>
      <c r="B447" s="1">
        <v>1</v>
      </c>
      <c r="C447" s="1">
        <v>1</v>
      </c>
      <c r="D447" s="1">
        <v>36</v>
      </c>
    </row>
    <row r="448" spans="1:4" x14ac:dyDescent="0.25">
      <c r="A448" s="16">
        <v>7968</v>
      </c>
      <c r="B448" s="1">
        <v>1</v>
      </c>
      <c r="C448" s="1">
        <v>5</v>
      </c>
      <c r="D448" s="1">
        <v>14</v>
      </c>
    </row>
    <row r="449" spans="1:4" x14ac:dyDescent="0.25">
      <c r="A449" s="16">
        <v>7969</v>
      </c>
      <c r="B449" s="1">
        <v>1</v>
      </c>
      <c r="C449" s="1">
        <v>1</v>
      </c>
      <c r="D449" s="1">
        <v>6</v>
      </c>
    </row>
    <row r="450" spans="1:4" x14ac:dyDescent="0.25">
      <c r="A450" s="16">
        <v>7970</v>
      </c>
      <c r="B450" s="1">
        <v>1</v>
      </c>
      <c r="C450" s="1">
        <v>1</v>
      </c>
      <c r="D450" s="1">
        <v>8.8000000000000007</v>
      </c>
    </row>
    <row r="451" spans="1:4" x14ac:dyDescent="0.25">
      <c r="A451" s="16">
        <v>7971</v>
      </c>
      <c r="B451" s="1">
        <v>1</v>
      </c>
      <c r="C451" s="1">
        <v>1</v>
      </c>
      <c r="D451" s="1">
        <v>14</v>
      </c>
    </row>
    <row r="452" spans="1:4" x14ac:dyDescent="0.25">
      <c r="A452" s="16">
        <v>7972</v>
      </c>
      <c r="B452" s="1">
        <v>1</v>
      </c>
      <c r="C452" s="1">
        <v>2</v>
      </c>
      <c r="D452" s="1">
        <v>4.8</v>
      </c>
    </row>
    <row r="453" spans="1:4" x14ac:dyDescent="0.25">
      <c r="A453" s="16">
        <v>7973</v>
      </c>
      <c r="B453" s="1">
        <v>1</v>
      </c>
      <c r="C453" s="1">
        <v>1</v>
      </c>
      <c r="D453" s="1">
        <v>36</v>
      </c>
    </row>
    <row r="454" spans="1:4" x14ac:dyDescent="0.25">
      <c r="A454" s="16">
        <v>7974</v>
      </c>
      <c r="B454" s="1">
        <v>1</v>
      </c>
      <c r="C454" s="1">
        <v>1</v>
      </c>
      <c r="D454" s="1">
        <v>8</v>
      </c>
    </row>
    <row r="455" spans="1:4" x14ac:dyDescent="0.25">
      <c r="A455" s="16">
        <v>7975</v>
      </c>
      <c r="B455" s="1">
        <v>1</v>
      </c>
      <c r="C455" s="1">
        <v>1</v>
      </c>
      <c r="D455" s="1">
        <v>19.600000000000001</v>
      </c>
    </row>
    <row r="456" spans="1:4" x14ac:dyDescent="0.25">
      <c r="A456" s="16">
        <v>7976</v>
      </c>
      <c r="B456" s="1">
        <v>1</v>
      </c>
      <c r="C456" s="1">
        <v>1</v>
      </c>
      <c r="D456" s="1">
        <v>7.6</v>
      </c>
    </row>
    <row r="457" spans="1:4" x14ac:dyDescent="0.25">
      <c r="A457" s="16">
        <v>7977</v>
      </c>
      <c r="B457" s="1">
        <v>1</v>
      </c>
      <c r="C457" s="1">
        <v>3</v>
      </c>
      <c r="D457" s="1">
        <v>8.3999999999999986</v>
      </c>
    </row>
    <row r="458" spans="1:4" x14ac:dyDescent="0.25">
      <c r="A458" s="16">
        <v>7978</v>
      </c>
      <c r="B458" s="1">
        <v>1</v>
      </c>
      <c r="C458" s="1">
        <v>2</v>
      </c>
      <c r="D458" s="1">
        <v>12</v>
      </c>
    </row>
    <row r="459" spans="1:4" x14ac:dyDescent="0.25">
      <c r="A459" s="16">
        <v>7979</v>
      </c>
      <c r="B459" s="1">
        <v>1</v>
      </c>
      <c r="C459" s="1">
        <v>1</v>
      </c>
      <c r="D459" s="1">
        <v>8.8000000000000007</v>
      </c>
    </row>
    <row r="460" spans="1:4" x14ac:dyDescent="0.25">
      <c r="A460" s="16">
        <v>7980</v>
      </c>
      <c r="B460" s="1">
        <v>1</v>
      </c>
      <c r="C460" s="1">
        <v>1</v>
      </c>
      <c r="D460" s="1">
        <v>14</v>
      </c>
    </row>
    <row r="461" spans="1:4" x14ac:dyDescent="0.25">
      <c r="A461" s="16">
        <v>7981</v>
      </c>
      <c r="B461" s="1">
        <v>1</v>
      </c>
      <c r="C461" s="1">
        <v>1</v>
      </c>
      <c r="D461" s="1">
        <v>36</v>
      </c>
    </row>
    <row r="462" spans="1:4" x14ac:dyDescent="0.25">
      <c r="A462" s="16">
        <v>7982</v>
      </c>
      <c r="B462" s="1">
        <v>1</v>
      </c>
      <c r="C462" s="1">
        <v>1</v>
      </c>
      <c r="D462" s="1">
        <v>8</v>
      </c>
    </row>
    <row r="463" spans="1:4" x14ac:dyDescent="0.25">
      <c r="A463" s="16">
        <v>7983</v>
      </c>
      <c r="B463" s="1">
        <v>1</v>
      </c>
      <c r="C463" s="1">
        <v>1</v>
      </c>
      <c r="D463" s="1">
        <v>19.600000000000001</v>
      </c>
    </row>
    <row r="464" spans="1:4" x14ac:dyDescent="0.25">
      <c r="A464" s="16">
        <v>7984</v>
      </c>
      <c r="B464" s="1">
        <v>1</v>
      </c>
      <c r="C464" s="1">
        <v>4</v>
      </c>
      <c r="D464" s="1">
        <v>11.2</v>
      </c>
    </row>
    <row r="465" spans="1:4" x14ac:dyDescent="0.25">
      <c r="A465" s="16">
        <v>7985</v>
      </c>
      <c r="B465" s="1">
        <v>1</v>
      </c>
      <c r="C465" s="1">
        <v>2</v>
      </c>
      <c r="D465" s="1">
        <v>12</v>
      </c>
    </row>
    <row r="466" spans="1:4" x14ac:dyDescent="0.25">
      <c r="A466" s="16">
        <v>7986</v>
      </c>
      <c r="B466" s="1">
        <v>1</v>
      </c>
      <c r="C466" s="1">
        <v>1</v>
      </c>
      <c r="D466" s="1">
        <v>8.8000000000000007</v>
      </c>
    </row>
    <row r="467" spans="1:4" x14ac:dyDescent="0.25">
      <c r="A467" s="16">
        <v>7987</v>
      </c>
      <c r="B467" s="1">
        <v>1</v>
      </c>
      <c r="C467" s="1">
        <v>1</v>
      </c>
      <c r="D467" s="1">
        <v>14</v>
      </c>
    </row>
    <row r="468" spans="1:4" x14ac:dyDescent="0.25">
      <c r="A468" s="16">
        <v>7988</v>
      </c>
      <c r="B468" s="1">
        <v>1</v>
      </c>
      <c r="C468" s="1">
        <v>1</v>
      </c>
      <c r="D468" s="1">
        <v>36</v>
      </c>
    </row>
    <row r="469" spans="1:4" x14ac:dyDescent="0.25">
      <c r="A469" s="16">
        <v>7989</v>
      </c>
      <c r="B469" s="1">
        <v>1</v>
      </c>
      <c r="C469" s="1">
        <v>3</v>
      </c>
      <c r="D469" s="1">
        <v>7.1999999999999993</v>
      </c>
    </row>
    <row r="470" spans="1:4" x14ac:dyDescent="0.25">
      <c r="A470" s="16">
        <v>7990</v>
      </c>
      <c r="B470" s="1">
        <v>1</v>
      </c>
      <c r="C470" s="1">
        <v>1</v>
      </c>
      <c r="D470" s="1">
        <v>8</v>
      </c>
    </row>
    <row r="471" spans="1:4" x14ac:dyDescent="0.25">
      <c r="A471" s="16">
        <v>7991</v>
      </c>
      <c r="B471" s="1">
        <v>1</v>
      </c>
      <c r="C471" s="1">
        <v>1</v>
      </c>
      <c r="D471" s="1">
        <v>7.6</v>
      </c>
    </row>
    <row r="472" spans="1:4" x14ac:dyDescent="0.25">
      <c r="A472" s="16">
        <v>7992</v>
      </c>
      <c r="B472" s="1">
        <v>1</v>
      </c>
      <c r="C472" s="1">
        <v>1</v>
      </c>
      <c r="D472" s="1">
        <v>7.6</v>
      </c>
    </row>
    <row r="473" spans="1:4" x14ac:dyDescent="0.25">
      <c r="A473" s="16">
        <v>7993</v>
      </c>
      <c r="B473" s="1">
        <v>1</v>
      </c>
      <c r="C473" s="1">
        <v>3</v>
      </c>
      <c r="D473" s="1">
        <v>8.3999999999999986</v>
      </c>
    </row>
    <row r="474" spans="1:4" x14ac:dyDescent="0.25">
      <c r="A474" s="16">
        <v>7994</v>
      </c>
      <c r="B474" s="1">
        <v>1</v>
      </c>
      <c r="C474" s="1">
        <v>1</v>
      </c>
      <c r="D474" s="1">
        <v>6</v>
      </c>
    </row>
    <row r="475" spans="1:4" x14ac:dyDescent="0.25">
      <c r="A475" s="16">
        <v>7995</v>
      </c>
      <c r="B475" s="1">
        <v>1</v>
      </c>
      <c r="C475" s="1">
        <v>1</v>
      </c>
      <c r="D475" s="1">
        <v>8.8000000000000007</v>
      </c>
    </row>
    <row r="476" spans="1:4" x14ac:dyDescent="0.25">
      <c r="A476" s="16">
        <v>7996</v>
      </c>
      <c r="B476" s="1">
        <v>1</v>
      </c>
      <c r="C476" s="1">
        <v>1</v>
      </c>
      <c r="D476" s="1">
        <v>14</v>
      </c>
    </row>
    <row r="477" spans="1:4" x14ac:dyDescent="0.25">
      <c r="A477" s="16">
        <v>7997</v>
      </c>
      <c r="B477" s="1">
        <v>1</v>
      </c>
      <c r="C477" s="1">
        <v>2</v>
      </c>
      <c r="D477" s="1">
        <v>4.8</v>
      </c>
    </row>
    <row r="478" spans="1:4" x14ac:dyDescent="0.25">
      <c r="A478" s="16">
        <v>7998</v>
      </c>
      <c r="B478" s="1">
        <v>1</v>
      </c>
      <c r="C478" s="1">
        <v>1</v>
      </c>
      <c r="D478" s="1">
        <v>36</v>
      </c>
    </row>
    <row r="479" spans="1:4" x14ac:dyDescent="0.25">
      <c r="A479" s="16">
        <v>7999</v>
      </c>
      <c r="B479" s="1">
        <v>1</v>
      </c>
      <c r="C479" s="1">
        <v>1</v>
      </c>
      <c r="D479" s="1">
        <v>8</v>
      </c>
    </row>
    <row r="480" spans="1:4" x14ac:dyDescent="0.25">
      <c r="A480" s="16">
        <v>8000</v>
      </c>
      <c r="B480" s="1">
        <v>1</v>
      </c>
      <c r="C480" s="1">
        <v>1</v>
      </c>
      <c r="D480" s="1">
        <v>19.600000000000001</v>
      </c>
    </row>
    <row r="481" spans="1:4" x14ac:dyDescent="0.25">
      <c r="A481" s="16">
        <v>8001</v>
      </c>
      <c r="B481" s="1">
        <v>1</v>
      </c>
      <c r="C481" s="1">
        <v>3</v>
      </c>
      <c r="D481" s="1">
        <v>8.3999999999999986</v>
      </c>
    </row>
    <row r="482" spans="1:4" x14ac:dyDescent="0.25">
      <c r="A482" s="16">
        <v>8002</v>
      </c>
      <c r="B482" s="1">
        <v>1</v>
      </c>
      <c r="C482" s="1">
        <v>2</v>
      </c>
      <c r="D482" s="1">
        <v>12</v>
      </c>
    </row>
    <row r="483" spans="1:4" x14ac:dyDescent="0.25">
      <c r="A483" s="16">
        <v>8003</v>
      </c>
      <c r="B483" s="1">
        <v>1</v>
      </c>
      <c r="C483" s="1">
        <v>1</v>
      </c>
      <c r="D483" s="1">
        <v>8.8000000000000007</v>
      </c>
    </row>
    <row r="484" spans="1:4" x14ac:dyDescent="0.25">
      <c r="A484" s="16">
        <v>8004</v>
      </c>
      <c r="B484" s="1">
        <v>1</v>
      </c>
      <c r="C484" s="1">
        <v>1</v>
      </c>
      <c r="D484" s="1">
        <v>14</v>
      </c>
    </row>
    <row r="485" spans="1:4" x14ac:dyDescent="0.25">
      <c r="A485" s="16">
        <v>8005</v>
      </c>
      <c r="B485" s="1">
        <v>1</v>
      </c>
      <c r="C485" s="1">
        <v>1</v>
      </c>
      <c r="D485" s="1">
        <v>36</v>
      </c>
    </row>
    <row r="486" spans="1:4" x14ac:dyDescent="0.25">
      <c r="A486" s="16">
        <v>8006</v>
      </c>
      <c r="B486" s="1">
        <v>1</v>
      </c>
      <c r="C486" s="1">
        <v>3</v>
      </c>
      <c r="D486" s="1">
        <v>7.1999999999999993</v>
      </c>
    </row>
    <row r="487" spans="1:4" x14ac:dyDescent="0.25">
      <c r="A487" s="16">
        <v>8007</v>
      </c>
      <c r="B487" s="1">
        <v>1</v>
      </c>
      <c r="C487" s="1">
        <v>1</v>
      </c>
      <c r="D487" s="1">
        <v>19.600000000000001</v>
      </c>
    </row>
    <row r="488" spans="1:4" x14ac:dyDescent="0.25">
      <c r="A488" s="16">
        <v>8008</v>
      </c>
      <c r="B488" s="1">
        <v>1</v>
      </c>
      <c r="C488" s="1">
        <v>1</v>
      </c>
      <c r="D488" s="1">
        <v>8</v>
      </c>
    </row>
    <row r="489" spans="1:4" x14ac:dyDescent="0.25">
      <c r="A489" s="16">
        <v>8009</v>
      </c>
      <c r="B489" s="1">
        <v>1</v>
      </c>
      <c r="C489" s="1">
        <v>1</v>
      </c>
      <c r="D489" s="1">
        <v>7.6</v>
      </c>
    </row>
    <row r="490" spans="1:4" x14ac:dyDescent="0.25">
      <c r="A490" s="16">
        <v>8010</v>
      </c>
      <c r="B490" s="1">
        <v>1</v>
      </c>
      <c r="C490" s="1">
        <v>1</v>
      </c>
      <c r="D490" s="1">
        <v>7.6</v>
      </c>
    </row>
    <row r="491" spans="1:4" x14ac:dyDescent="0.25">
      <c r="A491" s="16">
        <v>8011</v>
      </c>
      <c r="B491" s="1">
        <v>1</v>
      </c>
      <c r="C491" s="1">
        <v>3</v>
      </c>
      <c r="D491" s="1">
        <v>8.3999999999999986</v>
      </c>
    </row>
    <row r="492" spans="1:4" x14ac:dyDescent="0.25">
      <c r="A492" s="16">
        <v>8012</v>
      </c>
      <c r="B492" s="1">
        <v>1</v>
      </c>
      <c r="C492" s="1">
        <v>2</v>
      </c>
      <c r="D492" s="1">
        <v>12</v>
      </c>
    </row>
    <row r="493" spans="1:4" x14ac:dyDescent="0.25">
      <c r="A493" s="16">
        <v>8013</v>
      </c>
      <c r="B493" s="1">
        <v>1</v>
      </c>
      <c r="C493" s="1">
        <v>5</v>
      </c>
      <c r="D493" s="1">
        <v>14</v>
      </c>
    </row>
    <row r="494" spans="1:4" x14ac:dyDescent="0.25">
      <c r="A494" s="16">
        <v>8014</v>
      </c>
      <c r="B494" s="1">
        <v>1</v>
      </c>
      <c r="C494" s="1">
        <v>1</v>
      </c>
      <c r="D494" s="1">
        <v>6</v>
      </c>
    </row>
    <row r="495" spans="1:4" x14ac:dyDescent="0.25">
      <c r="A495" s="16">
        <v>8015</v>
      </c>
      <c r="B495" s="1">
        <v>1</v>
      </c>
      <c r="C495" s="1">
        <v>1</v>
      </c>
      <c r="D495" s="1">
        <v>8.8000000000000007</v>
      </c>
    </row>
    <row r="496" spans="1:4" x14ac:dyDescent="0.25">
      <c r="A496" s="16">
        <v>8016</v>
      </c>
      <c r="B496" s="1">
        <v>1</v>
      </c>
      <c r="C496" s="1">
        <v>2</v>
      </c>
      <c r="D496" s="1">
        <v>28</v>
      </c>
    </row>
    <row r="497" spans="1:4" x14ac:dyDescent="0.25">
      <c r="A497" s="16">
        <v>8017</v>
      </c>
      <c r="B497" s="1">
        <v>1</v>
      </c>
      <c r="C497" s="1">
        <v>3</v>
      </c>
      <c r="D497" s="1">
        <v>7.1999999999999993</v>
      </c>
    </row>
    <row r="498" spans="1:4" x14ac:dyDescent="0.25">
      <c r="A498" s="16">
        <v>8018</v>
      </c>
      <c r="B498" s="1">
        <v>1</v>
      </c>
      <c r="C498" s="1">
        <v>1</v>
      </c>
      <c r="D498" s="1">
        <v>36</v>
      </c>
    </row>
    <row r="499" spans="1:4" x14ac:dyDescent="0.25">
      <c r="A499" s="16">
        <v>8019</v>
      </c>
      <c r="B499" s="1">
        <v>1</v>
      </c>
      <c r="C499" s="1">
        <v>1</v>
      </c>
      <c r="D499" s="1">
        <v>8</v>
      </c>
    </row>
    <row r="500" spans="1:4" x14ac:dyDescent="0.25">
      <c r="A500" s="16">
        <v>8020</v>
      </c>
      <c r="B500" s="1">
        <v>1</v>
      </c>
      <c r="C500" s="1">
        <v>1</v>
      </c>
      <c r="D500" s="1">
        <v>51.64</v>
      </c>
    </row>
    <row r="501" spans="1:4" x14ac:dyDescent="0.25">
      <c r="A501" s="16">
        <v>8021</v>
      </c>
      <c r="B501" s="1">
        <v>1</v>
      </c>
      <c r="C501" s="1">
        <v>1</v>
      </c>
      <c r="D501" s="1">
        <v>28</v>
      </c>
    </row>
    <row r="502" spans="1:4" x14ac:dyDescent="0.25">
      <c r="A502" s="16">
        <v>8022</v>
      </c>
      <c r="B502" s="1">
        <v>1</v>
      </c>
      <c r="C502" s="1">
        <v>1</v>
      </c>
      <c r="D502" s="1">
        <v>79.64</v>
      </c>
    </row>
    <row r="503" spans="1:4" x14ac:dyDescent="0.25">
      <c r="A503" s="16">
        <v>8023</v>
      </c>
      <c r="B503" s="1">
        <v>1</v>
      </c>
      <c r="C503" s="1">
        <v>3</v>
      </c>
      <c r="D503" s="1">
        <v>8.3999999999999986</v>
      </c>
    </row>
    <row r="504" spans="1:4" x14ac:dyDescent="0.25">
      <c r="A504" s="16">
        <v>8024</v>
      </c>
      <c r="B504" s="1">
        <v>1</v>
      </c>
      <c r="C504" s="1">
        <v>1</v>
      </c>
      <c r="D504" s="1">
        <v>6</v>
      </c>
    </row>
    <row r="505" spans="1:4" x14ac:dyDescent="0.25">
      <c r="A505" s="16">
        <v>8025</v>
      </c>
      <c r="B505" s="1">
        <v>1</v>
      </c>
      <c r="C505" s="1">
        <v>1</v>
      </c>
      <c r="D505" s="1">
        <v>42</v>
      </c>
    </row>
    <row r="506" spans="1:4" x14ac:dyDescent="0.25">
      <c r="A506" s="16">
        <v>8026</v>
      </c>
      <c r="B506" s="1">
        <v>1</v>
      </c>
      <c r="C506" s="1">
        <v>1</v>
      </c>
      <c r="D506" s="1">
        <v>20.8</v>
      </c>
    </row>
    <row r="507" spans="1:4" x14ac:dyDescent="0.25">
      <c r="A507" s="16">
        <v>8027</v>
      </c>
      <c r="B507" s="1">
        <v>1</v>
      </c>
      <c r="C507" s="1">
        <v>1</v>
      </c>
      <c r="D507" s="1">
        <v>7.6</v>
      </c>
    </row>
    <row r="508" spans="1:4" x14ac:dyDescent="0.25">
      <c r="A508" s="16">
        <v>8028</v>
      </c>
      <c r="B508" s="1">
        <v>1</v>
      </c>
      <c r="C508" s="1">
        <v>1</v>
      </c>
      <c r="D508" s="1">
        <v>7.6</v>
      </c>
    </row>
    <row r="509" spans="1:4" x14ac:dyDescent="0.25">
      <c r="A509" s="16">
        <v>8029</v>
      </c>
      <c r="B509" s="1">
        <v>1</v>
      </c>
      <c r="C509" s="1">
        <v>4</v>
      </c>
      <c r="D509" s="1">
        <v>11.2</v>
      </c>
    </row>
    <row r="510" spans="1:4" x14ac:dyDescent="0.25">
      <c r="A510" s="16">
        <v>8030</v>
      </c>
      <c r="B510" s="1">
        <v>1</v>
      </c>
      <c r="C510" s="1">
        <v>2</v>
      </c>
      <c r="D510" s="1">
        <v>12</v>
      </c>
    </row>
    <row r="511" spans="1:4" x14ac:dyDescent="0.25">
      <c r="A511" s="16">
        <v>8031</v>
      </c>
      <c r="B511" s="1">
        <v>1</v>
      </c>
      <c r="C511" s="1">
        <v>1</v>
      </c>
      <c r="D511" s="1">
        <v>8.8000000000000007</v>
      </c>
    </row>
    <row r="512" spans="1:4" x14ac:dyDescent="0.25">
      <c r="A512" s="16">
        <v>8032</v>
      </c>
      <c r="B512" s="1">
        <v>1</v>
      </c>
      <c r="C512" s="1">
        <v>1</v>
      </c>
      <c r="D512" s="1">
        <v>14</v>
      </c>
    </row>
    <row r="513" spans="1:4" x14ac:dyDescent="0.25">
      <c r="A513" s="16">
        <v>8033</v>
      </c>
      <c r="B513" s="1">
        <v>1</v>
      </c>
      <c r="C513" s="1">
        <v>1</v>
      </c>
      <c r="D513" s="1">
        <v>26</v>
      </c>
    </row>
    <row r="514" spans="1:4" x14ac:dyDescent="0.25">
      <c r="A514" s="16">
        <v>8034</v>
      </c>
      <c r="B514" s="1">
        <v>1</v>
      </c>
      <c r="C514" s="1">
        <v>1</v>
      </c>
      <c r="D514" s="1">
        <v>18</v>
      </c>
    </row>
    <row r="515" spans="1:4" x14ac:dyDescent="0.25">
      <c r="A515" s="16">
        <v>8035</v>
      </c>
      <c r="B515" s="1">
        <v>1</v>
      </c>
      <c r="C515" s="1">
        <v>3</v>
      </c>
      <c r="D515" s="1">
        <v>8.3999999999999986</v>
      </c>
    </row>
    <row r="516" spans="1:4" x14ac:dyDescent="0.25">
      <c r="A516" s="16">
        <v>8036</v>
      </c>
      <c r="B516" s="1">
        <v>1</v>
      </c>
      <c r="C516" s="1">
        <v>1</v>
      </c>
      <c r="D516" s="1">
        <v>6</v>
      </c>
    </row>
    <row r="517" spans="1:4" x14ac:dyDescent="0.25">
      <c r="A517" s="16">
        <v>8037</v>
      </c>
      <c r="B517" s="1">
        <v>1</v>
      </c>
      <c r="C517" s="1">
        <v>1</v>
      </c>
      <c r="D517" s="1">
        <v>8.8000000000000007</v>
      </c>
    </row>
    <row r="518" spans="1:4" x14ac:dyDescent="0.25">
      <c r="A518" s="16">
        <v>8038</v>
      </c>
      <c r="B518" s="1">
        <v>1</v>
      </c>
      <c r="C518" s="1">
        <v>1</v>
      </c>
      <c r="D518" s="1">
        <v>14</v>
      </c>
    </row>
    <row r="519" spans="1:4" x14ac:dyDescent="0.25">
      <c r="A519" s="16">
        <v>8039</v>
      </c>
      <c r="B519" s="1">
        <v>1</v>
      </c>
      <c r="C519" s="1">
        <v>3</v>
      </c>
      <c r="D519" s="1">
        <v>7.1999999999999993</v>
      </c>
    </row>
    <row r="520" spans="1:4" x14ac:dyDescent="0.25">
      <c r="A520" s="16">
        <v>8040</v>
      </c>
      <c r="B520" s="1">
        <v>1</v>
      </c>
      <c r="C520" s="1">
        <v>4</v>
      </c>
      <c r="D520" s="1">
        <v>11.2</v>
      </c>
    </row>
    <row r="521" spans="1:4" x14ac:dyDescent="0.25">
      <c r="A521" s="16">
        <v>8041</v>
      </c>
      <c r="B521" s="1">
        <v>1</v>
      </c>
      <c r="C521" s="1">
        <v>1</v>
      </c>
      <c r="D521" s="1">
        <v>36</v>
      </c>
    </row>
    <row r="522" spans="1:4" x14ac:dyDescent="0.25">
      <c r="A522" s="16">
        <v>8042</v>
      </c>
      <c r="B522" s="1">
        <v>1</v>
      </c>
      <c r="C522" s="1">
        <v>1</v>
      </c>
      <c r="D522" s="1">
        <v>8</v>
      </c>
    </row>
    <row r="523" spans="1:4" x14ac:dyDescent="0.25">
      <c r="A523" s="16">
        <v>8043</v>
      </c>
      <c r="B523" s="1">
        <v>1</v>
      </c>
      <c r="C523" s="1">
        <v>1</v>
      </c>
      <c r="D523" s="1">
        <v>51.64</v>
      </c>
    </row>
    <row r="524" spans="1:4" x14ac:dyDescent="0.25">
      <c r="A524" s="16">
        <v>8044</v>
      </c>
      <c r="B524" s="1">
        <v>1</v>
      </c>
      <c r="C524" s="1">
        <v>1</v>
      </c>
      <c r="D524" s="1">
        <v>28</v>
      </c>
    </row>
    <row r="525" spans="1:4" x14ac:dyDescent="0.25">
      <c r="A525" s="16">
        <v>8045</v>
      </c>
      <c r="B525" s="1">
        <v>1</v>
      </c>
      <c r="C525" s="1">
        <v>1</v>
      </c>
      <c r="D525" s="1">
        <v>79.64</v>
      </c>
    </row>
    <row r="526" spans="1:4" x14ac:dyDescent="0.25">
      <c r="A526" s="16">
        <v>8046</v>
      </c>
      <c r="B526" s="1">
        <v>1</v>
      </c>
      <c r="C526" s="1">
        <v>1</v>
      </c>
      <c r="D526" s="1">
        <v>18.8</v>
      </c>
    </row>
    <row r="527" spans="1:4" x14ac:dyDescent="0.25">
      <c r="A527" s="16">
        <v>8047</v>
      </c>
      <c r="B527" s="1">
        <v>1</v>
      </c>
      <c r="C527" s="1">
        <v>3</v>
      </c>
      <c r="D527" s="1">
        <v>8.3999999999999986</v>
      </c>
    </row>
    <row r="528" spans="1:4" x14ac:dyDescent="0.25">
      <c r="A528" s="16">
        <v>8048</v>
      </c>
      <c r="B528" s="1">
        <v>1</v>
      </c>
      <c r="C528" s="1">
        <v>1</v>
      </c>
      <c r="D528" s="1">
        <v>6</v>
      </c>
    </row>
    <row r="529" spans="1:4" x14ac:dyDescent="0.25">
      <c r="A529" s="16">
        <v>8049</v>
      </c>
      <c r="B529" s="1">
        <v>1</v>
      </c>
      <c r="C529" s="1">
        <v>1</v>
      </c>
      <c r="D529" s="1">
        <v>8.8000000000000007</v>
      </c>
    </row>
    <row r="530" spans="1:4" x14ac:dyDescent="0.25">
      <c r="A530" s="16">
        <v>8050</v>
      </c>
      <c r="B530" s="1">
        <v>1</v>
      </c>
      <c r="C530" s="1">
        <v>1</v>
      </c>
      <c r="D530" s="1">
        <v>14</v>
      </c>
    </row>
    <row r="531" spans="1:4" x14ac:dyDescent="0.25">
      <c r="A531" s="16">
        <v>8051</v>
      </c>
      <c r="B531" s="1">
        <v>1</v>
      </c>
      <c r="C531" s="1">
        <v>3</v>
      </c>
      <c r="D531" s="1">
        <v>7.1999999999999993</v>
      </c>
    </row>
    <row r="532" spans="1:4" x14ac:dyDescent="0.25">
      <c r="A532" s="16">
        <v>8052</v>
      </c>
      <c r="B532" s="1">
        <v>1</v>
      </c>
      <c r="C532" s="1">
        <v>1</v>
      </c>
      <c r="D532" s="1">
        <v>36</v>
      </c>
    </row>
    <row r="533" spans="1:4" x14ac:dyDescent="0.25">
      <c r="A533" s="16">
        <v>8053</v>
      </c>
      <c r="B533" s="1">
        <v>1</v>
      </c>
      <c r="C533" s="1">
        <v>4</v>
      </c>
      <c r="D533" s="1">
        <v>11.2</v>
      </c>
    </row>
    <row r="534" spans="1:4" x14ac:dyDescent="0.25">
      <c r="A534" s="16">
        <v>8054</v>
      </c>
      <c r="B534" s="1">
        <v>1</v>
      </c>
      <c r="C534" s="1">
        <v>2</v>
      </c>
      <c r="D534" s="1">
        <v>12</v>
      </c>
    </row>
    <row r="535" spans="1:4" x14ac:dyDescent="0.25">
      <c r="A535" s="16">
        <v>8055</v>
      </c>
      <c r="B535" s="1">
        <v>1</v>
      </c>
      <c r="C535" s="1">
        <v>1</v>
      </c>
      <c r="D535" s="1">
        <v>8.8000000000000007</v>
      </c>
    </row>
    <row r="536" spans="1:4" x14ac:dyDescent="0.25">
      <c r="A536" s="16">
        <v>8056</v>
      </c>
      <c r="B536" s="1">
        <v>1</v>
      </c>
      <c r="C536" s="1">
        <v>1</v>
      </c>
      <c r="D536" s="1">
        <v>14</v>
      </c>
    </row>
    <row r="537" spans="1:4" x14ac:dyDescent="0.25">
      <c r="A537" s="16">
        <v>8057</v>
      </c>
      <c r="B537" s="1">
        <v>1</v>
      </c>
      <c r="C537" s="1">
        <v>1</v>
      </c>
      <c r="D537" s="1">
        <v>26</v>
      </c>
    </row>
    <row r="538" spans="1:4" x14ac:dyDescent="0.25">
      <c r="A538" s="16">
        <v>8058</v>
      </c>
      <c r="B538" s="1">
        <v>1</v>
      </c>
      <c r="C538" s="1">
        <v>1</v>
      </c>
      <c r="D538" s="1">
        <v>18</v>
      </c>
    </row>
    <row r="539" spans="1:4" x14ac:dyDescent="0.25">
      <c r="A539" s="16">
        <v>8059</v>
      </c>
      <c r="B539" s="1">
        <v>1</v>
      </c>
      <c r="C539" s="1">
        <v>3</v>
      </c>
      <c r="D539" s="1">
        <v>8.3999999999999986</v>
      </c>
    </row>
    <row r="540" spans="1:4" x14ac:dyDescent="0.25">
      <c r="A540" s="16">
        <v>8060</v>
      </c>
      <c r="B540" s="1">
        <v>1</v>
      </c>
      <c r="C540" s="1">
        <v>1</v>
      </c>
      <c r="D540" s="1">
        <v>6</v>
      </c>
    </row>
    <row r="541" spans="1:4" x14ac:dyDescent="0.25">
      <c r="A541" s="16">
        <v>8061</v>
      </c>
      <c r="B541" s="1">
        <v>1</v>
      </c>
      <c r="C541" s="1">
        <v>1</v>
      </c>
      <c r="D541" s="1">
        <v>8.8000000000000007</v>
      </c>
    </row>
    <row r="542" spans="1:4" x14ac:dyDescent="0.25">
      <c r="A542" s="16">
        <v>8062</v>
      </c>
      <c r="B542" s="1">
        <v>1</v>
      </c>
      <c r="C542" s="1">
        <v>1</v>
      </c>
      <c r="D542" s="1">
        <v>14</v>
      </c>
    </row>
    <row r="543" spans="1:4" x14ac:dyDescent="0.25">
      <c r="A543" s="16">
        <v>8063</v>
      </c>
      <c r="B543" s="1">
        <v>1</v>
      </c>
      <c r="C543" s="1">
        <v>4</v>
      </c>
      <c r="D543" s="1">
        <v>11.2</v>
      </c>
    </row>
    <row r="544" spans="1:4" x14ac:dyDescent="0.25">
      <c r="A544" s="16">
        <v>8064</v>
      </c>
      <c r="B544" s="1">
        <v>1</v>
      </c>
      <c r="C544" s="1">
        <v>2</v>
      </c>
      <c r="D544" s="1">
        <v>12</v>
      </c>
    </row>
    <row r="545" spans="1:4" x14ac:dyDescent="0.25">
      <c r="A545" s="16">
        <v>8065</v>
      </c>
      <c r="B545" s="1">
        <v>1</v>
      </c>
      <c r="C545" s="1">
        <v>1</v>
      </c>
      <c r="D545" s="1">
        <v>8.8000000000000007</v>
      </c>
    </row>
    <row r="546" spans="1:4" x14ac:dyDescent="0.25">
      <c r="A546" s="16">
        <v>8066</v>
      </c>
      <c r="B546" s="1">
        <v>1</v>
      </c>
      <c r="C546" s="1">
        <v>2</v>
      </c>
      <c r="D546" s="1">
        <v>28</v>
      </c>
    </row>
    <row r="547" spans="1:4" x14ac:dyDescent="0.25">
      <c r="A547" s="16">
        <v>8067</v>
      </c>
      <c r="B547" s="1">
        <v>1</v>
      </c>
      <c r="C547" s="1">
        <v>1</v>
      </c>
      <c r="D547" s="1">
        <v>51.64</v>
      </c>
    </row>
    <row r="548" spans="1:4" x14ac:dyDescent="0.25">
      <c r="A548" s="16">
        <v>8068</v>
      </c>
      <c r="B548" s="1">
        <v>1</v>
      </c>
      <c r="C548" s="1">
        <v>1</v>
      </c>
      <c r="D548" s="1">
        <v>28</v>
      </c>
    </row>
    <row r="549" spans="1:4" x14ac:dyDescent="0.25">
      <c r="A549" s="16">
        <v>8069</v>
      </c>
      <c r="B549" s="1">
        <v>1</v>
      </c>
      <c r="C549" s="1">
        <v>1</v>
      </c>
      <c r="D549" s="1">
        <v>79.64</v>
      </c>
    </row>
    <row r="550" spans="1:4" x14ac:dyDescent="0.25">
      <c r="A550" s="16">
        <v>8070</v>
      </c>
      <c r="B550" s="1">
        <v>1</v>
      </c>
      <c r="C550" s="1">
        <v>1</v>
      </c>
      <c r="D550" s="1">
        <v>18.8</v>
      </c>
    </row>
    <row r="551" spans="1:4" x14ac:dyDescent="0.25">
      <c r="A551" s="16">
        <v>8071</v>
      </c>
      <c r="B551" s="1">
        <v>1</v>
      </c>
      <c r="C551" s="1">
        <v>3</v>
      </c>
      <c r="D551" s="1">
        <v>8.3999999999999986</v>
      </c>
    </row>
    <row r="552" spans="1:4" x14ac:dyDescent="0.25">
      <c r="A552" s="16">
        <v>8072</v>
      </c>
      <c r="B552" s="1">
        <v>1</v>
      </c>
      <c r="C552" s="1">
        <v>1</v>
      </c>
      <c r="D552" s="1">
        <v>6</v>
      </c>
    </row>
    <row r="553" spans="1:4" x14ac:dyDescent="0.25">
      <c r="A553" s="16">
        <v>8073</v>
      </c>
      <c r="B553" s="1">
        <v>1</v>
      </c>
      <c r="C553" s="1">
        <v>1</v>
      </c>
      <c r="D553" s="1">
        <v>8.8000000000000007</v>
      </c>
    </row>
    <row r="554" spans="1:4" x14ac:dyDescent="0.25">
      <c r="A554" s="16">
        <v>8074</v>
      </c>
      <c r="B554" s="1">
        <v>1</v>
      </c>
      <c r="C554" s="1">
        <v>1</v>
      </c>
      <c r="D554" s="1">
        <v>14</v>
      </c>
    </row>
    <row r="555" spans="1:4" x14ac:dyDescent="0.25">
      <c r="A555" s="16">
        <v>8075</v>
      </c>
      <c r="B555" s="1">
        <v>1</v>
      </c>
      <c r="C555" s="1">
        <v>2</v>
      </c>
      <c r="D555" s="1">
        <v>4.8</v>
      </c>
    </row>
    <row r="556" spans="1:4" x14ac:dyDescent="0.25">
      <c r="A556" s="16">
        <v>8076</v>
      </c>
      <c r="B556" s="1">
        <v>1</v>
      </c>
      <c r="C556" s="1">
        <v>5</v>
      </c>
      <c r="D556" s="1">
        <v>14</v>
      </c>
    </row>
    <row r="557" spans="1:4" x14ac:dyDescent="0.25">
      <c r="A557" s="16">
        <v>8077</v>
      </c>
      <c r="B557" s="1">
        <v>1</v>
      </c>
      <c r="C557" s="1">
        <v>1</v>
      </c>
      <c r="D557" s="1">
        <v>36</v>
      </c>
    </row>
    <row r="558" spans="1:4" x14ac:dyDescent="0.25">
      <c r="A558" s="16">
        <v>8078</v>
      </c>
      <c r="B558" s="1">
        <v>1</v>
      </c>
      <c r="C558" s="1">
        <v>1</v>
      </c>
      <c r="D558" s="1">
        <v>8</v>
      </c>
    </row>
    <row r="559" spans="1:4" x14ac:dyDescent="0.25">
      <c r="A559" s="16">
        <v>8079</v>
      </c>
      <c r="B559" s="1">
        <v>1</v>
      </c>
      <c r="C559" s="1">
        <v>1</v>
      </c>
      <c r="D559" s="1">
        <v>26</v>
      </c>
    </row>
    <row r="560" spans="1:4" x14ac:dyDescent="0.25">
      <c r="A560" s="16">
        <v>8080</v>
      </c>
      <c r="B560" s="1">
        <v>1</v>
      </c>
      <c r="C560" s="1">
        <v>1</v>
      </c>
      <c r="D560" s="1">
        <v>18</v>
      </c>
    </row>
    <row r="561" spans="1:4" x14ac:dyDescent="0.25">
      <c r="A561" s="16">
        <v>8081</v>
      </c>
      <c r="B561" s="1">
        <v>1</v>
      </c>
      <c r="C561" s="1">
        <v>3</v>
      </c>
      <c r="D561" s="1">
        <v>8.3999999999999986</v>
      </c>
    </row>
    <row r="562" spans="1:4" x14ac:dyDescent="0.25">
      <c r="A562" s="16">
        <v>8082</v>
      </c>
      <c r="B562" s="1">
        <v>1</v>
      </c>
      <c r="C562" s="1">
        <v>2</v>
      </c>
      <c r="D562" s="1">
        <v>12</v>
      </c>
    </row>
    <row r="563" spans="1:4" x14ac:dyDescent="0.25">
      <c r="A563" s="16">
        <v>8083</v>
      </c>
      <c r="B563" s="1">
        <v>1</v>
      </c>
      <c r="C563" s="1">
        <v>1</v>
      </c>
      <c r="D563" s="1">
        <v>8.8000000000000007</v>
      </c>
    </row>
    <row r="564" spans="1:4" x14ac:dyDescent="0.25">
      <c r="A564" s="16">
        <v>8084</v>
      </c>
      <c r="B564" s="1">
        <v>1</v>
      </c>
      <c r="C564" s="1">
        <v>1</v>
      </c>
      <c r="D564" s="1">
        <v>14</v>
      </c>
    </row>
    <row r="565" spans="1:4" x14ac:dyDescent="0.25">
      <c r="A565" s="16">
        <v>8085</v>
      </c>
      <c r="B565" s="1">
        <v>1</v>
      </c>
      <c r="C565" s="1">
        <v>1</v>
      </c>
      <c r="D565" s="1">
        <v>36</v>
      </c>
    </row>
    <row r="566" spans="1:4" x14ac:dyDescent="0.25">
      <c r="A566" s="16">
        <v>8086</v>
      </c>
      <c r="B566" s="1">
        <v>1</v>
      </c>
      <c r="C566" s="1">
        <v>1</v>
      </c>
      <c r="D566" s="1">
        <v>8</v>
      </c>
    </row>
    <row r="567" spans="1:4" x14ac:dyDescent="0.25">
      <c r="A567" s="16">
        <v>8087</v>
      </c>
      <c r="B567" s="1">
        <v>1</v>
      </c>
      <c r="C567" s="1">
        <v>1</v>
      </c>
      <c r="D567" s="1">
        <v>19.600000000000001</v>
      </c>
    </row>
    <row r="568" spans="1:4" x14ac:dyDescent="0.25">
      <c r="A568" s="16">
        <v>8088</v>
      </c>
      <c r="B568" s="1">
        <v>1</v>
      </c>
      <c r="C568" s="1">
        <v>1</v>
      </c>
      <c r="D568" s="1">
        <v>7.6</v>
      </c>
    </row>
    <row r="569" spans="1:4" x14ac:dyDescent="0.25">
      <c r="A569" s="16">
        <v>8089</v>
      </c>
      <c r="B569" s="1">
        <v>1</v>
      </c>
      <c r="C569" s="1">
        <v>4</v>
      </c>
      <c r="D569" s="1">
        <v>11.2</v>
      </c>
    </row>
    <row r="570" spans="1:4" x14ac:dyDescent="0.25">
      <c r="A570" s="16">
        <v>8090</v>
      </c>
      <c r="B570" s="1">
        <v>1</v>
      </c>
      <c r="C570" s="1">
        <v>1</v>
      </c>
      <c r="D570" s="1">
        <v>6</v>
      </c>
    </row>
    <row r="571" spans="1:4" x14ac:dyDescent="0.25">
      <c r="A571" s="16">
        <v>8091</v>
      </c>
      <c r="B571" s="1">
        <v>1</v>
      </c>
      <c r="C571" s="1">
        <v>1</v>
      </c>
      <c r="D571" s="1">
        <v>8.8000000000000007</v>
      </c>
    </row>
    <row r="572" spans="1:4" x14ac:dyDescent="0.25">
      <c r="A572" s="16">
        <v>8092</v>
      </c>
      <c r="B572" s="1">
        <v>1</v>
      </c>
      <c r="C572" s="1">
        <v>1</v>
      </c>
      <c r="D572" s="1">
        <v>14</v>
      </c>
    </row>
    <row r="573" spans="1:4" x14ac:dyDescent="0.25">
      <c r="A573" s="16">
        <v>8093</v>
      </c>
      <c r="B573" s="1">
        <v>1</v>
      </c>
      <c r="C573" s="1">
        <v>1</v>
      </c>
      <c r="D573" s="1">
        <v>36</v>
      </c>
    </row>
    <row r="574" spans="1:4" x14ac:dyDescent="0.25">
      <c r="A574" s="16">
        <v>8094</v>
      </c>
      <c r="B574" s="1">
        <v>1</v>
      </c>
      <c r="C574" s="1">
        <v>3</v>
      </c>
      <c r="D574" s="1">
        <v>8.3999999999999986</v>
      </c>
    </row>
    <row r="575" spans="1:4" x14ac:dyDescent="0.25">
      <c r="A575" s="16">
        <v>8095</v>
      </c>
      <c r="B575" s="1">
        <v>1</v>
      </c>
      <c r="C575" s="1">
        <v>2</v>
      </c>
      <c r="D575" s="1">
        <v>12</v>
      </c>
    </row>
    <row r="576" spans="1:4" x14ac:dyDescent="0.25">
      <c r="A576" s="16">
        <v>8096</v>
      </c>
      <c r="B576" s="1">
        <v>1</v>
      </c>
      <c r="C576" s="1">
        <v>1</v>
      </c>
      <c r="D576" s="1">
        <v>8.8000000000000007</v>
      </c>
    </row>
    <row r="577" spans="1:4" x14ac:dyDescent="0.25">
      <c r="A577" s="16">
        <v>8097</v>
      </c>
      <c r="B577" s="1">
        <v>1</v>
      </c>
      <c r="C577" s="1">
        <v>1</v>
      </c>
      <c r="D577" s="1">
        <v>14</v>
      </c>
    </row>
    <row r="578" spans="1:4" x14ac:dyDescent="0.25">
      <c r="A578" s="16">
        <v>8098</v>
      </c>
      <c r="B578" s="1">
        <v>1</v>
      </c>
      <c r="C578" s="1">
        <v>1</v>
      </c>
      <c r="D578" s="1">
        <v>7.6</v>
      </c>
    </row>
    <row r="579" spans="1:4" x14ac:dyDescent="0.25">
      <c r="A579" s="16">
        <v>8099</v>
      </c>
      <c r="B579" s="1">
        <v>1</v>
      </c>
      <c r="C579" s="1">
        <v>5</v>
      </c>
      <c r="D579" s="1">
        <v>14</v>
      </c>
    </row>
    <row r="580" spans="1:4" x14ac:dyDescent="0.25">
      <c r="A580" s="16">
        <v>8100</v>
      </c>
      <c r="B580" s="1">
        <v>1</v>
      </c>
      <c r="C580" s="1">
        <v>2</v>
      </c>
      <c r="D580" s="1">
        <v>12</v>
      </c>
    </row>
    <row r="581" spans="1:4" x14ac:dyDescent="0.25">
      <c r="A581" s="16">
        <v>8101</v>
      </c>
      <c r="B581" s="1">
        <v>1</v>
      </c>
      <c r="C581" s="1">
        <v>1</v>
      </c>
      <c r="D581" s="1">
        <v>8.8000000000000007</v>
      </c>
    </row>
    <row r="582" spans="1:4" x14ac:dyDescent="0.25">
      <c r="A582" s="16">
        <v>8102</v>
      </c>
      <c r="B582" s="1">
        <v>1</v>
      </c>
      <c r="C582" s="1">
        <v>1</v>
      </c>
      <c r="D582" s="1">
        <v>14</v>
      </c>
    </row>
    <row r="583" spans="1:4" x14ac:dyDescent="0.25">
      <c r="A583" s="16">
        <v>8103</v>
      </c>
      <c r="B583" s="1">
        <v>1</v>
      </c>
      <c r="C583" s="1">
        <v>2</v>
      </c>
      <c r="D583" s="1">
        <v>4.8</v>
      </c>
    </row>
    <row r="584" spans="1:4" x14ac:dyDescent="0.25">
      <c r="A584" s="16">
        <v>8104</v>
      </c>
      <c r="B584" s="1">
        <v>1</v>
      </c>
      <c r="C584" s="1">
        <v>1</v>
      </c>
      <c r="D584" s="1">
        <v>36</v>
      </c>
    </row>
    <row r="585" spans="1:4" x14ac:dyDescent="0.25">
      <c r="A585" s="16">
        <v>8105</v>
      </c>
      <c r="B585" s="1">
        <v>1</v>
      </c>
      <c r="C585" s="1">
        <v>1</v>
      </c>
      <c r="D585" s="1">
        <v>8</v>
      </c>
    </row>
    <row r="586" spans="1:4" x14ac:dyDescent="0.25">
      <c r="A586" s="16">
        <v>8106</v>
      </c>
      <c r="B586" s="1">
        <v>1</v>
      </c>
      <c r="C586" s="1">
        <v>1</v>
      </c>
      <c r="D586" s="1">
        <v>19.600000000000001</v>
      </c>
    </row>
    <row r="587" spans="1:4" x14ac:dyDescent="0.25">
      <c r="A587" s="16">
        <v>8107</v>
      </c>
      <c r="B587" s="1">
        <v>1</v>
      </c>
      <c r="C587" s="1">
        <v>1</v>
      </c>
      <c r="D587" s="1">
        <v>7.6</v>
      </c>
    </row>
    <row r="588" spans="1:4" x14ac:dyDescent="0.25">
      <c r="A588" s="16">
        <v>8108</v>
      </c>
      <c r="B588" s="1">
        <v>1</v>
      </c>
      <c r="C588" s="1">
        <v>3</v>
      </c>
      <c r="D588" s="1">
        <v>8.3999999999999986</v>
      </c>
    </row>
    <row r="589" spans="1:4" x14ac:dyDescent="0.25">
      <c r="A589" s="16">
        <v>8109</v>
      </c>
      <c r="B589" s="1">
        <v>1</v>
      </c>
      <c r="C589" s="1">
        <v>1</v>
      </c>
      <c r="D589" s="1">
        <v>6</v>
      </c>
    </row>
    <row r="590" spans="1:4" x14ac:dyDescent="0.25">
      <c r="A590" s="16">
        <v>8110</v>
      </c>
      <c r="B590" s="1">
        <v>1</v>
      </c>
      <c r="C590" s="1">
        <v>1</v>
      </c>
      <c r="D590" s="1">
        <v>8.8000000000000007</v>
      </c>
    </row>
    <row r="591" spans="1:4" x14ac:dyDescent="0.25">
      <c r="A591" s="16">
        <v>8111</v>
      </c>
      <c r="B591" s="1">
        <v>1</v>
      </c>
      <c r="C591" s="1">
        <v>1</v>
      </c>
      <c r="D591" s="1">
        <v>14</v>
      </c>
    </row>
    <row r="592" spans="1:4" x14ac:dyDescent="0.25">
      <c r="A592" s="16">
        <v>8112</v>
      </c>
      <c r="B592" s="1">
        <v>1</v>
      </c>
      <c r="C592" s="1">
        <v>2</v>
      </c>
      <c r="D592" s="1">
        <v>4.8</v>
      </c>
    </row>
    <row r="593" spans="1:4" x14ac:dyDescent="0.25">
      <c r="A593" s="16">
        <v>8113</v>
      </c>
      <c r="B593" s="1">
        <v>1</v>
      </c>
      <c r="C593" s="1">
        <v>4</v>
      </c>
      <c r="D593" s="1">
        <v>11.2</v>
      </c>
    </row>
    <row r="594" spans="1:4" x14ac:dyDescent="0.25">
      <c r="A594" s="16">
        <v>8114</v>
      </c>
      <c r="B594" s="1">
        <v>1</v>
      </c>
      <c r="C594" s="1">
        <v>2</v>
      </c>
      <c r="D594" s="1">
        <v>12</v>
      </c>
    </row>
    <row r="595" spans="1:4" x14ac:dyDescent="0.25">
      <c r="A595" s="16">
        <v>8115</v>
      </c>
      <c r="B595" s="1">
        <v>1</v>
      </c>
      <c r="C595" s="1">
        <v>1</v>
      </c>
      <c r="D595" s="1">
        <v>8.8000000000000007</v>
      </c>
    </row>
    <row r="596" spans="1:4" x14ac:dyDescent="0.25">
      <c r="A596" s="16">
        <v>8116</v>
      </c>
      <c r="B596" s="1">
        <v>1</v>
      </c>
      <c r="C596" s="1">
        <v>1</v>
      </c>
      <c r="D596" s="1">
        <v>14</v>
      </c>
    </row>
    <row r="597" spans="1:4" x14ac:dyDescent="0.25">
      <c r="A597" s="16">
        <v>8117</v>
      </c>
      <c r="B597" s="1">
        <v>1</v>
      </c>
      <c r="C597" s="1">
        <v>1</v>
      </c>
      <c r="D597" s="1">
        <v>26</v>
      </c>
    </row>
    <row r="598" spans="1:4" x14ac:dyDescent="0.25">
      <c r="A598" s="16">
        <v>8118</v>
      </c>
      <c r="B598" s="1">
        <v>1</v>
      </c>
      <c r="C598" s="1">
        <v>1</v>
      </c>
      <c r="D598" s="1">
        <v>18</v>
      </c>
    </row>
    <row r="599" spans="1:4" x14ac:dyDescent="0.25">
      <c r="A599" s="16">
        <v>8119</v>
      </c>
      <c r="B599" s="1">
        <v>1</v>
      </c>
      <c r="C599" s="1">
        <v>3</v>
      </c>
      <c r="D599" s="1">
        <v>8.3999999999999986</v>
      </c>
    </row>
    <row r="600" spans="1:4" x14ac:dyDescent="0.25">
      <c r="A600" s="16">
        <v>8120</v>
      </c>
      <c r="B600" s="1">
        <v>1</v>
      </c>
      <c r="C600" s="1">
        <v>1</v>
      </c>
      <c r="D600" s="1">
        <v>6</v>
      </c>
    </row>
    <row r="601" spans="1:4" x14ac:dyDescent="0.25">
      <c r="A601" s="16">
        <v>8121</v>
      </c>
      <c r="B601" s="1">
        <v>1</v>
      </c>
      <c r="C601" s="1">
        <v>1</v>
      </c>
      <c r="D601" s="1">
        <v>8.8000000000000007</v>
      </c>
    </row>
    <row r="602" spans="1:4" x14ac:dyDescent="0.25">
      <c r="A602" s="16">
        <v>8122</v>
      </c>
      <c r="B602" s="1">
        <v>1</v>
      </c>
      <c r="C602" s="1">
        <v>2</v>
      </c>
      <c r="D602" s="1">
        <v>28</v>
      </c>
    </row>
    <row r="603" spans="1:4" x14ac:dyDescent="0.25">
      <c r="A603" s="16">
        <v>8123</v>
      </c>
      <c r="B603" s="1">
        <v>1</v>
      </c>
      <c r="C603" s="1">
        <v>2</v>
      </c>
      <c r="D603" s="1">
        <v>4.8</v>
      </c>
    </row>
    <row r="604" spans="1:4" x14ac:dyDescent="0.25">
      <c r="A604" s="16">
        <v>8124</v>
      </c>
      <c r="B604" s="1">
        <v>1</v>
      </c>
      <c r="C604" s="1">
        <v>1</v>
      </c>
      <c r="D604" s="1">
        <v>36</v>
      </c>
    </row>
    <row r="605" spans="1:4" x14ac:dyDescent="0.25">
      <c r="A605" s="16">
        <v>8125</v>
      </c>
      <c r="B605" s="1">
        <v>1</v>
      </c>
      <c r="C605" s="1">
        <v>1</v>
      </c>
      <c r="D605" s="1">
        <v>8</v>
      </c>
    </row>
    <row r="606" spans="1:4" x14ac:dyDescent="0.25">
      <c r="A606" s="16">
        <v>8126</v>
      </c>
      <c r="B606" s="1">
        <v>1</v>
      </c>
      <c r="C606" s="1">
        <v>1</v>
      </c>
      <c r="D606" s="1">
        <v>19.600000000000001</v>
      </c>
    </row>
    <row r="607" spans="1:4" x14ac:dyDescent="0.25">
      <c r="A607" s="16">
        <v>8127</v>
      </c>
      <c r="B607" s="1">
        <v>1</v>
      </c>
      <c r="C607" s="1">
        <v>1</v>
      </c>
      <c r="D607" s="1">
        <v>7.6</v>
      </c>
    </row>
    <row r="608" spans="1:4" x14ac:dyDescent="0.25">
      <c r="A608" s="16">
        <v>8128</v>
      </c>
      <c r="B608" s="1">
        <v>1</v>
      </c>
      <c r="C608" s="1">
        <v>3</v>
      </c>
      <c r="D608" s="1">
        <v>8.3999999999999986</v>
      </c>
    </row>
    <row r="609" spans="1:4" x14ac:dyDescent="0.25">
      <c r="A609" s="16">
        <v>8129</v>
      </c>
      <c r="B609" s="1">
        <v>1</v>
      </c>
      <c r="C609" s="1">
        <v>2</v>
      </c>
      <c r="D609" s="1">
        <v>12</v>
      </c>
    </row>
    <row r="610" spans="1:4" x14ac:dyDescent="0.25">
      <c r="A610" s="16">
        <v>8130</v>
      </c>
      <c r="B610" s="1">
        <v>1</v>
      </c>
      <c r="C610" s="1">
        <v>1</v>
      </c>
      <c r="D610" s="1">
        <v>8.8000000000000007</v>
      </c>
    </row>
    <row r="611" spans="1:4" x14ac:dyDescent="0.25">
      <c r="A611" s="16">
        <v>8131</v>
      </c>
      <c r="B611" s="1">
        <v>1</v>
      </c>
      <c r="C611" s="1">
        <v>1</v>
      </c>
      <c r="D611" s="1">
        <v>14</v>
      </c>
    </row>
    <row r="612" spans="1:4" x14ac:dyDescent="0.25">
      <c r="A612" s="16">
        <v>8132</v>
      </c>
      <c r="B612" s="1">
        <v>1</v>
      </c>
      <c r="C612" s="1">
        <v>1</v>
      </c>
      <c r="D612" s="1">
        <v>36</v>
      </c>
    </row>
    <row r="613" spans="1:4" x14ac:dyDescent="0.25">
      <c r="A613" s="16">
        <v>8133</v>
      </c>
      <c r="B613" s="1">
        <v>1</v>
      </c>
      <c r="C613" s="1">
        <v>1</v>
      </c>
      <c r="D613" s="1">
        <v>8</v>
      </c>
    </row>
    <row r="614" spans="1:4" x14ac:dyDescent="0.25">
      <c r="A614" s="16">
        <v>8134</v>
      </c>
      <c r="B614" s="1">
        <v>1</v>
      </c>
      <c r="C614" s="1">
        <v>1</v>
      </c>
      <c r="D614" s="1">
        <v>26</v>
      </c>
    </row>
    <row r="615" spans="1:4" x14ac:dyDescent="0.25">
      <c r="A615" s="16">
        <v>8135</v>
      </c>
      <c r="B615" s="1">
        <v>1</v>
      </c>
      <c r="C615" s="1">
        <v>1</v>
      </c>
      <c r="D615" s="1">
        <v>18</v>
      </c>
    </row>
    <row r="616" spans="1:4" x14ac:dyDescent="0.25">
      <c r="A616" s="16">
        <v>8136</v>
      </c>
      <c r="B616" s="1">
        <v>1</v>
      </c>
      <c r="C616" s="1">
        <v>5</v>
      </c>
      <c r="D616" s="1">
        <v>14</v>
      </c>
    </row>
    <row r="617" spans="1:4" x14ac:dyDescent="0.25">
      <c r="A617" s="16">
        <v>8137</v>
      </c>
      <c r="B617" s="1">
        <v>1</v>
      </c>
      <c r="C617" s="1">
        <v>2</v>
      </c>
      <c r="D617" s="1">
        <v>12</v>
      </c>
    </row>
    <row r="618" spans="1:4" x14ac:dyDescent="0.25">
      <c r="A618" s="16">
        <v>8138</v>
      </c>
      <c r="B618" s="1">
        <v>1</v>
      </c>
      <c r="C618" s="1">
        <v>1</v>
      </c>
      <c r="D618" s="1">
        <v>8.8000000000000007</v>
      </c>
    </row>
    <row r="619" spans="1:4" x14ac:dyDescent="0.25">
      <c r="A619" s="16">
        <v>8139</v>
      </c>
      <c r="B619" s="1">
        <v>1</v>
      </c>
      <c r="C619" s="1">
        <v>2</v>
      </c>
      <c r="D619" s="1">
        <v>28</v>
      </c>
    </row>
    <row r="620" spans="1:4" x14ac:dyDescent="0.25">
      <c r="A620" s="16">
        <v>8140</v>
      </c>
      <c r="B620" s="1">
        <v>1</v>
      </c>
      <c r="C620" s="1">
        <v>3</v>
      </c>
      <c r="D620" s="1">
        <v>7.1999999999999993</v>
      </c>
    </row>
    <row r="621" spans="1:4" x14ac:dyDescent="0.25">
      <c r="A621" s="16">
        <v>8141</v>
      </c>
      <c r="B621" s="1">
        <v>1</v>
      </c>
      <c r="C621" s="1">
        <v>1</v>
      </c>
      <c r="D621" s="1">
        <v>36</v>
      </c>
    </row>
    <row r="622" spans="1:4" x14ac:dyDescent="0.25">
      <c r="A622" s="16">
        <v>8142</v>
      </c>
      <c r="B622" s="1">
        <v>1</v>
      </c>
      <c r="C622" s="1">
        <v>4</v>
      </c>
      <c r="D622" s="1">
        <v>11.2</v>
      </c>
    </row>
    <row r="623" spans="1:4" x14ac:dyDescent="0.25">
      <c r="A623" s="16">
        <v>8143</v>
      </c>
      <c r="B623" s="1">
        <v>1</v>
      </c>
      <c r="C623" s="1">
        <v>1</v>
      </c>
      <c r="D623" s="1">
        <v>6</v>
      </c>
    </row>
    <row r="624" spans="1:4" x14ac:dyDescent="0.25">
      <c r="A624" s="16">
        <v>8144</v>
      </c>
      <c r="B624" s="1">
        <v>1</v>
      </c>
      <c r="C624" s="1">
        <v>1</v>
      </c>
      <c r="D624" s="1">
        <v>8.8000000000000007</v>
      </c>
    </row>
    <row r="625" spans="1:4" x14ac:dyDescent="0.25">
      <c r="A625" s="16">
        <v>8145</v>
      </c>
      <c r="B625" s="1">
        <v>1</v>
      </c>
      <c r="C625" s="1">
        <v>1</v>
      </c>
      <c r="D625" s="1">
        <v>14</v>
      </c>
    </row>
    <row r="626" spans="1:4" x14ac:dyDescent="0.25">
      <c r="A626" s="16">
        <v>8146</v>
      </c>
      <c r="B626" s="1">
        <v>1</v>
      </c>
      <c r="C626" s="1">
        <v>1</v>
      </c>
      <c r="D626" s="1">
        <v>36</v>
      </c>
    </row>
    <row r="627" spans="1:4" x14ac:dyDescent="0.25">
      <c r="A627" s="16">
        <v>8147</v>
      </c>
      <c r="B627" s="1">
        <v>1</v>
      </c>
      <c r="C627" s="1">
        <v>1</v>
      </c>
      <c r="D627" s="1">
        <v>8</v>
      </c>
    </row>
    <row r="628" spans="1:4" x14ac:dyDescent="0.25">
      <c r="A628" s="16">
        <v>8148</v>
      </c>
      <c r="B628" s="1">
        <v>1</v>
      </c>
      <c r="C628" s="1">
        <v>1</v>
      </c>
      <c r="D628" s="1">
        <v>19.600000000000001</v>
      </c>
    </row>
    <row r="629" spans="1:4" x14ac:dyDescent="0.25">
      <c r="A629" s="16">
        <v>8149</v>
      </c>
      <c r="B629" s="1">
        <v>1</v>
      </c>
      <c r="C629" s="1">
        <v>1</v>
      </c>
      <c r="D629" s="1">
        <v>7.6</v>
      </c>
    </row>
    <row r="630" spans="1:4" x14ac:dyDescent="0.25">
      <c r="A630" s="16">
        <v>8150</v>
      </c>
      <c r="B630" s="1">
        <v>1</v>
      </c>
      <c r="C630" s="1">
        <v>5</v>
      </c>
      <c r="D630" s="1">
        <v>14</v>
      </c>
    </row>
    <row r="631" spans="1:4" x14ac:dyDescent="0.25">
      <c r="A631" s="16">
        <v>8151</v>
      </c>
      <c r="B631" s="1">
        <v>1</v>
      </c>
      <c r="C631" s="1">
        <v>2</v>
      </c>
      <c r="D631" s="1">
        <v>12</v>
      </c>
    </row>
    <row r="632" spans="1:4" x14ac:dyDescent="0.25">
      <c r="A632" s="16">
        <v>8152</v>
      </c>
      <c r="B632" s="1">
        <v>1</v>
      </c>
      <c r="C632" s="1">
        <v>1</v>
      </c>
      <c r="D632" s="1">
        <v>8.8000000000000007</v>
      </c>
    </row>
    <row r="633" spans="1:4" x14ac:dyDescent="0.25">
      <c r="A633" s="16">
        <v>8153</v>
      </c>
      <c r="B633" s="1">
        <v>1</v>
      </c>
      <c r="C633" s="1">
        <v>2</v>
      </c>
      <c r="D633" s="1">
        <v>28</v>
      </c>
    </row>
    <row r="634" spans="1:4" x14ac:dyDescent="0.25">
      <c r="A634" s="16">
        <v>8154</v>
      </c>
      <c r="B634" s="1">
        <v>1</v>
      </c>
      <c r="C634" s="1">
        <v>1</v>
      </c>
      <c r="D634" s="1">
        <v>26</v>
      </c>
    </row>
    <row r="635" spans="1:4" x14ac:dyDescent="0.25">
      <c r="A635" s="16">
        <v>8155</v>
      </c>
      <c r="B635" s="1">
        <v>1</v>
      </c>
      <c r="C635" s="1">
        <v>1</v>
      </c>
      <c r="D635" s="1">
        <v>18</v>
      </c>
    </row>
    <row r="636" spans="1:4" x14ac:dyDescent="0.25">
      <c r="A636" s="16">
        <v>8156</v>
      </c>
      <c r="B636" s="1">
        <v>1</v>
      </c>
      <c r="C636" s="1">
        <v>3</v>
      </c>
      <c r="D636" s="1">
        <v>8.3999999999999986</v>
      </c>
    </row>
    <row r="637" spans="1:4" x14ac:dyDescent="0.25">
      <c r="A637" s="16">
        <v>8157</v>
      </c>
      <c r="B637" s="1">
        <v>1</v>
      </c>
      <c r="C637" s="1">
        <v>1</v>
      </c>
      <c r="D637" s="1">
        <v>6</v>
      </c>
    </row>
    <row r="638" spans="1:4" x14ac:dyDescent="0.25">
      <c r="A638" s="16">
        <v>8158</v>
      </c>
      <c r="B638" s="1">
        <v>1</v>
      </c>
      <c r="C638" s="1">
        <v>1</v>
      </c>
      <c r="D638" s="1">
        <v>8.8000000000000007</v>
      </c>
    </row>
    <row r="639" spans="1:4" x14ac:dyDescent="0.25">
      <c r="A639" s="16">
        <v>8159</v>
      </c>
      <c r="B639" s="1">
        <v>1</v>
      </c>
      <c r="C639" s="1">
        <v>1</v>
      </c>
      <c r="D639" s="1">
        <v>14</v>
      </c>
    </row>
    <row r="640" spans="1:4" x14ac:dyDescent="0.25">
      <c r="A640" s="16">
        <v>8160</v>
      </c>
      <c r="B640" s="1">
        <v>1</v>
      </c>
      <c r="C640" s="1">
        <v>1</v>
      </c>
      <c r="D640" s="1">
        <v>36</v>
      </c>
    </row>
    <row r="641" spans="1:4" x14ac:dyDescent="0.25">
      <c r="A641" s="16">
        <v>8161</v>
      </c>
      <c r="B641" s="1">
        <v>1</v>
      </c>
      <c r="C641" s="1">
        <v>3</v>
      </c>
      <c r="D641" s="1">
        <v>7.1999999999999993</v>
      </c>
    </row>
    <row r="642" spans="1:4" x14ac:dyDescent="0.25">
      <c r="A642" s="16">
        <v>8162</v>
      </c>
      <c r="B642" s="1">
        <v>1</v>
      </c>
      <c r="C642" s="1">
        <v>1</v>
      </c>
      <c r="D642" s="1">
        <v>8</v>
      </c>
    </row>
    <row r="643" spans="1:4" x14ac:dyDescent="0.25">
      <c r="A643" s="16">
        <v>8163</v>
      </c>
      <c r="B643" s="1">
        <v>1</v>
      </c>
      <c r="C643" s="1">
        <v>1</v>
      </c>
      <c r="D643" s="1">
        <v>19.600000000000001</v>
      </c>
    </row>
    <row r="644" spans="1:4" x14ac:dyDescent="0.25">
      <c r="A644" s="16">
        <v>8164</v>
      </c>
      <c r="B644" s="1">
        <v>1</v>
      </c>
      <c r="C644" s="1">
        <v>4</v>
      </c>
      <c r="D644" s="1">
        <v>11.2</v>
      </c>
    </row>
    <row r="645" spans="1:4" x14ac:dyDescent="0.25">
      <c r="A645" s="16">
        <v>8165</v>
      </c>
      <c r="B645" s="1">
        <v>1</v>
      </c>
      <c r="C645" s="1">
        <v>2</v>
      </c>
      <c r="D645" s="1">
        <v>12</v>
      </c>
    </row>
    <row r="646" spans="1:4" x14ac:dyDescent="0.25">
      <c r="A646" s="16">
        <v>8166</v>
      </c>
      <c r="B646" s="1">
        <v>1</v>
      </c>
      <c r="C646" s="1">
        <v>1</v>
      </c>
      <c r="D646" s="1">
        <v>8.8000000000000007</v>
      </c>
    </row>
    <row r="647" spans="1:4" x14ac:dyDescent="0.25">
      <c r="A647" s="16">
        <v>8167</v>
      </c>
      <c r="B647" s="1">
        <v>1</v>
      </c>
      <c r="C647" s="1">
        <v>2</v>
      </c>
      <c r="D647" s="1">
        <v>28</v>
      </c>
    </row>
    <row r="648" spans="1:4" x14ac:dyDescent="0.25">
      <c r="A648" s="16">
        <v>8168</v>
      </c>
      <c r="B648" s="1">
        <v>1</v>
      </c>
      <c r="C648" s="1">
        <v>1</v>
      </c>
      <c r="D648" s="1">
        <v>36</v>
      </c>
    </row>
    <row r="649" spans="1:4" x14ac:dyDescent="0.25">
      <c r="A649" s="16">
        <v>8169</v>
      </c>
      <c r="B649" s="1">
        <v>1</v>
      </c>
      <c r="C649" s="1">
        <v>3</v>
      </c>
      <c r="D649" s="1">
        <v>8.3999999999999986</v>
      </c>
    </row>
    <row r="650" spans="1:4" x14ac:dyDescent="0.25">
      <c r="A650" s="16">
        <v>8170</v>
      </c>
      <c r="B650" s="1">
        <v>1</v>
      </c>
      <c r="C650" s="1">
        <v>1</v>
      </c>
      <c r="D650" s="1">
        <v>6</v>
      </c>
    </row>
    <row r="651" spans="1:4" x14ac:dyDescent="0.25">
      <c r="A651" s="16">
        <v>8171</v>
      </c>
      <c r="B651" s="1">
        <v>1</v>
      </c>
      <c r="C651" s="1">
        <v>1</v>
      </c>
      <c r="D651" s="1">
        <v>8.8000000000000007</v>
      </c>
    </row>
    <row r="652" spans="1:4" x14ac:dyDescent="0.25">
      <c r="A652" s="16">
        <v>8172</v>
      </c>
      <c r="B652" s="1">
        <v>1</v>
      </c>
      <c r="C652" s="1">
        <v>1</v>
      </c>
      <c r="D652" s="1">
        <v>14</v>
      </c>
    </row>
    <row r="653" spans="1:4" x14ac:dyDescent="0.25">
      <c r="A653" s="16">
        <v>8173</v>
      </c>
      <c r="B653" s="1">
        <v>1</v>
      </c>
      <c r="C653" s="1">
        <v>1</v>
      </c>
      <c r="D653" s="1">
        <v>36</v>
      </c>
    </row>
    <row r="654" spans="1:4" x14ac:dyDescent="0.25">
      <c r="A654" s="16">
        <v>8174</v>
      </c>
      <c r="B654" s="1">
        <v>1</v>
      </c>
      <c r="C654" s="1">
        <v>1</v>
      </c>
      <c r="D654" s="1">
        <v>8</v>
      </c>
    </row>
    <row r="655" spans="1:4" x14ac:dyDescent="0.25">
      <c r="A655" s="16">
        <v>8175</v>
      </c>
      <c r="B655" s="1">
        <v>1</v>
      </c>
      <c r="C655" s="1">
        <v>1</v>
      </c>
      <c r="D655" s="1">
        <v>19.600000000000001</v>
      </c>
    </row>
    <row r="656" spans="1:4" x14ac:dyDescent="0.25">
      <c r="A656" s="16">
        <v>8176</v>
      </c>
      <c r="B656" s="1">
        <v>1</v>
      </c>
      <c r="C656" s="1">
        <v>1</v>
      </c>
      <c r="D656" s="1">
        <v>7.6</v>
      </c>
    </row>
    <row r="657" spans="1:4" x14ac:dyDescent="0.25">
      <c r="A657" s="16">
        <v>8177</v>
      </c>
      <c r="B657" s="1">
        <v>1</v>
      </c>
      <c r="C657" s="1">
        <v>3</v>
      </c>
      <c r="D657" s="1">
        <v>8.3999999999999986</v>
      </c>
    </row>
    <row r="658" spans="1:4" x14ac:dyDescent="0.25">
      <c r="A658" s="16">
        <v>8178</v>
      </c>
      <c r="B658" s="1">
        <v>1</v>
      </c>
      <c r="C658" s="1">
        <v>2</v>
      </c>
      <c r="D658" s="1">
        <v>12</v>
      </c>
    </row>
    <row r="659" spans="1:4" x14ac:dyDescent="0.25">
      <c r="A659" s="16">
        <v>8179</v>
      </c>
      <c r="B659" s="1">
        <v>1</v>
      </c>
      <c r="C659" s="1">
        <v>1</v>
      </c>
      <c r="D659" s="1">
        <v>8.8000000000000007</v>
      </c>
    </row>
    <row r="660" spans="1:4" x14ac:dyDescent="0.25">
      <c r="A660" s="16">
        <v>8180</v>
      </c>
      <c r="B660" s="1">
        <v>1</v>
      </c>
      <c r="C660" s="1">
        <v>1</v>
      </c>
      <c r="D660" s="1">
        <v>14</v>
      </c>
    </row>
    <row r="661" spans="1:4" x14ac:dyDescent="0.25">
      <c r="A661" s="16">
        <v>8181</v>
      </c>
      <c r="B661" s="1">
        <v>1</v>
      </c>
      <c r="C661" s="1">
        <v>2</v>
      </c>
      <c r="D661" s="1">
        <v>4.8</v>
      </c>
    </row>
    <row r="662" spans="1:4" x14ac:dyDescent="0.25">
      <c r="A662" s="16">
        <v>8182</v>
      </c>
      <c r="B662" s="1">
        <v>1</v>
      </c>
      <c r="C662" s="1">
        <v>1</v>
      </c>
      <c r="D662" s="1">
        <v>36</v>
      </c>
    </row>
    <row r="663" spans="1:4" x14ac:dyDescent="0.25">
      <c r="A663" s="16">
        <v>8183</v>
      </c>
      <c r="B663" s="1">
        <v>1</v>
      </c>
      <c r="C663" s="1">
        <v>4</v>
      </c>
      <c r="D663" s="1">
        <v>11.2</v>
      </c>
    </row>
    <row r="664" spans="1:4" x14ac:dyDescent="0.25">
      <c r="A664" s="16">
        <v>8184</v>
      </c>
      <c r="B664" s="1">
        <v>1</v>
      </c>
      <c r="C664" s="1">
        <v>2</v>
      </c>
      <c r="D664" s="1">
        <v>12</v>
      </c>
    </row>
    <row r="665" spans="1:4" x14ac:dyDescent="0.25">
      <c r="A665" s="16">
        <v>8185</v>
      </c>
      <c r="B665" s="1">
        <v>1</v>
      </c>
      <c r="C665" s="1">
        <v>1</v>
      </c>
      <c r="D665" s="1">
        <v>8.8000000000000007</v>
      </c>
    </row>
    <row r="666" spans="1:4" x14ac:dyDescent="0.25">
      <c r="A666" s="16">
        <v>8186</v>
      </c>
      <c r="B666" s="1">
        <v>1</v>
      </c>
      <c r="C666" s="1">
        <v>1</v>
      </c>
      <c r="D666" s="1">
        <v>14</v>
      </c>
    </row>
    <row r="667" spans="1:4" x14ac:dyDescent="0.25">
      <c r="A667" s="16">
        <v>8187</v>
      </c>
      <c r="B667" s="1">
        <v>1</v>
      </c>
      <c r="C667" s="1">
        <v>1</v>
      </c>
      <c r="D667" s="1">
        <v>36</v>
      </c>
    </row>
    <row r="668" spans="1:4" x14ac:dyDescent="0.25">
      <c r="A668" s="16">
        <v>8188</v>
      </c>
      <c r="B668" s="1">
        <v>1</v>
      </c>
      <c r="C668" s="1">
        <v>1</v>
      </c>
      <c r="D668" s="1">
        <v>8</v>
      </c>
    </row>
    <row r="669" spans="1:4" x14ac:dyDescent="0.25">
      <c r="A669" s="16">
        <v>8189</v>
      </c>
      <c r="B669" s="1">
        <v>1</v>
      </c>
      <c r="C669" s="1">
        <v>1</v>
      </c>
      <c r="D669" s="1">
        <v>19.600000000000001</v>
      </c>
    </row>
    <row r="670" spans="1:4" x14ac:dyDescent="0.25">
      <c r="A670" s="16">
        <v>8190</v>
      </c>
      <c r="B670" s="1">
        <v>1</v>
      </c>
      <c r="C670" s="1">
        <v>1</v>
      </c>
      <c r="D670" s="1">
        <v>7.6</v>
      </c>
    </row>
    <row r="671" spans="1:4" x14ac:dyDescent="0.25">
      <c r="A671" s="16">
        <v>8191</v>
      </c>
      <c r="B671" s="1">
        <v>1</v>
      </c>
      <c r="C671" s="1">
        <v>3</v>
      </c>
      <c r="D671" s="1">
        <v>8.3999999999999986</v>
      </c>
    </row>
    <row r="672" spans="1:4" x14ac:dyDescent="0.25">
      <c r="A672" s="16">
        <v>8192</v>
      </c>
      <c r="B672" s="1">
        <v>1</v>
      </c>
      <c r="C672" s="1">
        <v>2</v>
      </c>
      <c r="D672" s="1">
        <v>12</v>
      </c>
    </row>
    <row r="673" spans="1:4" x14ac:dyDescent="0.25">
      <c r="A673" s="16">
        <v>8193</v>
      </c>
      <c r="B673" s="1">
        <v>1</v>
      </c>
      <c r="C673" s="1">
        <v>1</v>
      </c>
      <c r="D673" s="1">
        <v>8.8000000000000007</v>
      </c>
    </row>
    <row r="674" spans="1:4" x14ac:dyDescent="0.25">
      <c r="A674" s="16">
        <v>8194</v>
      </c>
      <c r="B674" s="1">
        <v>1</v>
      </c>
      <c r="C674" s="1">
        <v>1</v>
      </c>
      <c r="D674" s="1">
        <v>14</v>
      </c>
    </row>
    <row r="675" spans="1:4" x14ac:dyDescent="0.25">
      <c r="A675" s="16">
        <v>8195</v>
      </c>
      <c r="B675" s="1">
        <v>1</v>
      </c>
      <c r="C675" s="1">
        <v>1</v>
      </c>
      <c r="D675" s="1">
        <v>36</v>
      </c>
    </row>
    <row r="676" spans="1:4" x14ac:dyDescent="0.25">
      <c r="A676" s="16">
        <v>8196</v>
      </c>
      <c r="B676" s="1">
        <v>1</v>
      </c>
      <c r="C676" s="1">
        <v>1</v>
      </c>
      <c r="D676" s="1">
        <v>8</v>
      </c>
    </row>
    <row r="677" spans="1:4" x14ac:dyDescent="0.25">
      <c r="A677" s="16">
        <v>8197</v>
      </c>
      <c r="B677" s="1">
        <v>1</v>
      </c>
      <c r="C677" s="1">
        <v>1</v>
      </c>
      <c r="D677" s="1">
        <v>26</v>
      </c>
    </row>
    <row r="678" spans="1:4" x14ac:dyDescent="0.25">
      <c r="A678" s="16">
        <v>8198</v>
      </c>
      <c r="B678" s="1">
        <v>1</v>
      </c>
      <c r="C678" s="1">
        <v>1</v>
      </c>
      <c r="D678" s="1">
        <v>18</v>
      </c>
    </row>
    <row r="679" spans="1:4" x14ac:dyDescent="0.25">
      <c r="A679" s="16">
        <v>8199</v>
      </c>
      <c r="B679" s="1">
        <v>1</v>
      </c>
      <c r="C679" s="1">
        <v>3</v>
      </c>
      <c r="D679" s="1">
        <v>8.3999999999999986</v>
      </c>
    </row>
    <row r="680" spans="1:4" x14ac:dyDescent="0.25">
      <c r="A680" s="16">
        <v>8200</v>
      </c>
      <c r="B680" s="1">
        <v>1</v>
      </c>
      <c r="C680" s="1">
        <v>1</v>
      </c>
      <c r="D680" s="1">
        <v>6</v>
      </c>
    </row>
    <row r="681" spans="1:4" x14ac:dyDescent="0.25">
      <c r="A681" s="16">
        <v>8201</v>
      </c>
      <c r="B681" s="1">
        <v>1</v>
      </c>
      <c r="C681" s="1">
        <v>1</v>
      </c>
      <c r="D681" s="1">
        <v>8.8000000000000007</v>
      </c>
    </row>
    <row r="682" spans="1:4" x14ac:dyDescent="0.25">
      <c r="A682" s="16">
        <v>8202</v>
      </c>
      <c r="B682" s="1">
        <v>1</v>
      </c>
      <c r="C682" s="1">
        <v>2</v>
      </c>
      <c r="D682" s="1">
        <v>28</v>
      </c>
    </row>
    <row r="683" spans="1:4" x14ac:dyDescent="0.25">
      <c r="A683" s="16">
        <v>8203</v>
      </c>
      <c r="B683" s="1">
        <v>1</v>
      </c>
      <c r="C683" s="1">
        <v>2</v>
      </c>
      <c r="D683" s="1">
        <v>4.8</v>
      </c>
    </row>
    <row r="684" spans="1:4" x14ac:dyDescent="0.25">
      <c r="A684" s="16">
        <v>8204</v>
      </c>
      <c r="B684" s="1">
        <v>1</v>
      </c>
      <c r="C684" s="1">
        <v>1</v>
      </c>
      <c r="D684" s="1">
        <v>36</v>
      </c>
    </row>
    <row r="685" spans="1:4" x14ac:dyDescent="0.25">
      <c r="A685" s="16">
        <v>8205</v>
      </c>
      <c r="B685" s="1">
        <v>1</v>
      </c>
      <c r="C685" s="1">
        <v>1</v>
      </c>
      <c r="D685" s="1">
        <v>8</v>
      </c>
    </row>
    <row r="686" spans="1:4" x14ac:dyDescent="0.25">
      <c r="A686" s="16">
        <v>8206</v>
      </c>
      <c r="B686" s="1">
        <v>1</v>
      </c>
      <c r="C686" s="1">
        <v>1</v>
      </c>
      <c r="D686" s="1">
        <v>19.600000000000001</v>
      </c>
    </row>
    <row r="687" spans="1:4" x14ac:dyDescent="0.25">
      <c r="A687" s="16">
        <v>8207</v>
      </c>
      <c r="B687" s="1">
        <v>1</v>
      </c>
      <c r="C687" s="1">
        <v>1</v>
      </c>
      <c r="D687" s="1">
        <v>7.6</v>
      </c>
    </row>
    <row r="688" spans="1:4" x14ac:dyDescent="0.25">
      <c r="A688" s="16">
        <v>8208</v>
      </c>
      <c r="B688" s="1">
        <v>1</v>
      </c>
      <c r="C688" s="1">
        <v>5</v>
      </c>
      <c r="D688" s="1">
        <v>14</v>
      </c>
    </row>
    <row r="689" spans="1:4" x14ac:dyDescent="0.25">
      <c r="A689" s="16">
        <v>8209</v>
      </c>
      <c r="B689" s="1">
        <v>1</v>
      </c>
      <c r="C689" s="1">
        <v>2</v>
      </c>
      <c r="D689" s="1">
        <v>12</v>
      </c>
    </row>
    <row r="690" spans="1:4" x14ac:dyDescent="0.25">
      <c r="A690" s="16">
        <v>8210</v>
      </c>
      <c r="B690" s="1">
        <v>1</v>
      </c>
      <c r="C690" s="1">
        <v>1</v>
      </c>
      <c r="D690" s="1">
        <v>8.8000000000000007</v>
      </c>
    </row>
    <row r="691" spans="1:4" x14ac:dyDescent="0.25">
      <c r="A691" s="16">
        <v>8211</v>
      </c>
      <c r="B691" s="1">
        <v>1</v>
      </c>
      <c r="C691" s="1">
        <v>1</v>
      </c>
      <c r="D691" s="1">
        <v>14</v>
      </c>
    </row>
    <row r="692" spans="1:4" x14ac:dyDescent="0.25">
      <c r="A692" s="16">
        <v>8212</v>
      </c>
      <c r="B692" s="1">
        <v>1</v>
      </c>
      <c r="C692" s="1">
        <v>1</v>
      </c>
      <c r="D692" s="1">
        <v>36</v>
      </c>
    </row>
    <row r="693" spans="1:4" x14ac:dyDescent="0.25">
      <c r="A693" s="16">
        <v>8213</v>
      </c>
      <c r="B693" s="1">
        <v>1</v>
      </c>
      <c r="C693" s="1">
        <v>3</v>
      </c>
      <c r="D693" s="1">
        <v>8.3999999999999986</v>
      </c>
    </row>
    <row r="694" spans="1:4" x14ac:dyDescent="0.25">
      <c r="A694" s="16">
        <v>8214</v>
      </c>
      <c r="B694" s="1">
        <v>1</v>
      </c>
      <c r="C694" s="1">
        <v>2</v>
      </c>
      <c r="D694" s="1">
        <v>12</v>
      </c>
    </row>
    <row r="695" spans="1:4" x14ac:dyDescent="0.25">
      <c r="A695" s="16">
        <v>8215</v>
      </c>
      <c r="B695" s="1">
        <v>1</v>
      </c>
      <c r="C695" s="1">
        <v>1</v>
      </c>
      <c r="D695" s="1">
        <v>8.8000000000000007</v>
      </c>
    </row>
    <row r="696" spans="1:4" x14ac:dyDescent="0.25">
      <c r="A696" s="16">
        <v>8216</v>
      </c>
      <c r="B696" s="1">
        <v>1</v>
      </c>
      <c r="C696" s="1">
        <v>2</v>
      </c>
      <c r="D696" s="1">
        <v>28</v>
      </c>
    </row>
    <row r="697" spans="1:4" x14ac:dyDescent="0.25">
      <c r="A697" s="16">
        <v>8217</v>
      </c>
      <c r="B697" s="1">
        <v>1</v>
      </c>
      <c r="C697" s="1">
        <v>3</v>
      </c>
      <c r="D697" s="1">
        <v>7.1999999999999993</v>
      </c>
    </row>
    <row r="698" spans="1:4" x14ac:dyDescent="0.25">
      <c r="A698" s="16">
        <v>8218</v>
      </c>
      <c r="B698" s="1">
        <v>1</v>
      </c>
      <c r="C698" s="1">
        <v>1</v>
      </c>
      <c r="D698" s="1">
        <v>36</v>
      </c>
    </row>
    <row r="699" spans="1:4" x14ac:dyDescent="0.25">
      <c r="A699" s="16">
        <v>8219</v>
      </c>
      <c r="B699" s="1">
        <v>1</v>
      </c>
      <c r="C699" s="1">
        <v>1</v>
      </c>
      <c r="D699" s="1">
        <v>8</v>
      </c>
    </row>
    <row r="700" spans="1:4" x14ac:dyDescent="0.25">
      <c r="A700" s="16">
        <v>8220</v>
      </c>
      <c r="B700" s="1">
        <v>1</v>
      </c>
      <c r="C700" s="1">
        <v>1</v>
      </c>
      <c r="D700" s="1">
        <v>26</v>
      </c>
    </row>
    <row r="701" spans="1:4" x14ac:dyDescent="0.25">
      <c r="A701" s="16">
        <v>8221</v>
      </c>
      <c r="B701" s="1">
        <v>1</v>
      </c>
      <c r="C701" s="1">
        <v>1</v>
      </c>
      <c r="D701" s="1">
        <v>7.6</v>
      </c>
    </row>
    <row r="702" spans="1:4" x14ac:dyDescent="0.25">
      <c r="A702" s="16">
        <v>8222</v>
      </c>
      <c r="B702" s="1">
        <v>1</v>
      </c>
      <c r="C702" s="1">
        <v>4</v>
      </c>
      <c r="D702" s="1">
        <v>11.2</v>
      </c>
    </row>
    <row r="703" spans="1:4" x14ac:dyDescent="0.25">
      <c r="A703" s="16">
        <v>8223</v>
      </c>
      <c r="B703" s="1">
        <v>1</v>
      </c>
      <c r="C703" s="1">
        <v>2</v>
      </c>
      <c r="D703" s="1">
        <v>12</v>
      </c>
    </row>
    <row r="704" spans="1:4" x14ac:dyDescent="0.25">
      <c r="A704" s="16">
        <v>8224</v>
      </c>
      <c r="B704" s="1">
        <v>1</v>
      </c>
      <c r="C704" s="1">
        <v>1</v>
      </c>
      <c r="D704" s="1">
        <v>8.8000000000000007</v>
      </c>
    </row>
    <row r="705" spans="1:4" x14ac:dyDescent="0.25">
      <c r="A705" s="16">
        <v>8225</v>
      </c>
      <c r="B705" s="1">
        <v>1</v>
      </c>
      <c r="C705" s="1">
        <v>1</v>
      </c>
      <c r="D705" s="1">
        <v>14</v>
      </c>
    </row>
    <row r="706" spans="1:4" x14ac:dyDescent="0.25">
      <c r="A706" s="16">
        <v>8226</v>
      </c>
      <c r="B706" s="1">
        <v>1</v>
      </c>
      <c r="C706" s="1">
        <v>1</v>
      </c>
      <c r="D706" s="1">
        <v>36</v>
      </c>
    </row>
    <row r="707" spans="1:4" x14ac:dyDescent="0.25">
      <c r="A707" s="16">
        <v>8227</v>
      </c>
      <c r="B707" s="1">
        <v>1</v>
      </c>
      <c r="C707" s="1">
        <v>1</v>
      </c>
      <c r="D707" s="1">
        <v>8</v>
      </c>
    </row>
    <row r="708" spans="1:4" x14ac:dyDescent="0.25">
      <c r="A708" s="16">
        <v>8228</v>
      </c>
      <c r="B708" s="1">
        <v>1</v>
      </c>
      <c r="C708" s="1">
        <v>1</v>
      </c>
      <c r="D708" s="1">
        <v>19.600000000000001</v>
      </c>
    </row>
    <row r="709" spans="1:4" x14ac:dyDescent="0.25">
      <c r="A709" s="16">
        <v>8229</v>
      </c>
      <c r="B709" s="1">
        <v>1</v>
      </c>
      <c r="C709" s="1">
        <v>1</v>
      </c>
      <c r="D709" s="1">
        <v>7.6</v>
      </c>
    </row>
    <row r="710" spans="1:4" x14ac:dyDescent="0.25">
      <c r="A710" s="16">
        <v>8230</v>
      </c>
      <c r="B710" s="1">
        <v>1</v>
      </c>
      <c r="C710" s="1">
        <v>3</v>
      </c>
      <c r="D710" s="1">
        <v>8.3999999999999986</v>
      </c>
    </row>
    <row r="711" spans="1:4" x14ac:dyDescent="0.25">
      <c r="A711" s="16">
        <v>8231</v>
      </c>
      <c r="B711" s="1">
        <v>1</v>
      </c>
      <c r="C711" s="1">
        <v>2</v>
      </c>
      <c r="D711" s="1">
        <v>12</v>
      </c>
    </row>
    <row r="712" spans="1:4" x14ac:dyDescent="0.25">
      <c r="A712" s="16">
        <v>8232</v>
      </c>
      <c r="B712" s="1">
        <v>1</v>
      </c>
      <c r="C712" s="1">
        <v>1</v>
      </c>
      <c r="D712" s="1">
        <v>8.8000000000000007</v>
      </c>
    </row>
    <row r="713" spans="1:4" x14ac:dyDescent="0.25">
      <c r="A713" s="16">
        <v>8233</v>
      </c>
      <c r="B713" s="1">
        <v>1</v>
      </c>
      <c r="C713" s="1">
        <v>1</v>
      </c>
      <c r="D713" s="1">
        <v>14</v>
      </c>
    </row>
    <row r="714" spans="1:4" x14ac:dyDescent="0.25">
      <c r="A714" s="16">
        <v>8234</v>
      </c>
      <c r="B714" s="1">
        <v>1</v>
      </c>
      <c r="C714" s="1">
        <v>1</v>
      </c>
      <c r="D714" s="1">
        <v>36</v>
      </c>
    </row>
    <row r="715" spans="1:4" x14ac:dyDescent="0.25">
      <c r="A715" s="16">
        <v>8235</v>
      </c>
      <c r="B715" s="1">
        <v>1</v>
      </c>
      <c r="C715" s="1">
        <v>5</v>
      </c>
      <c r="D715" s="1">
        <v>14</v>
      </c>
    </row>
    <row r="716" spans="1:4" x14ac:dyDescent="0.25">
      <c r="A716" s="16">
        <v>8236</v>
      </c>
      <c r="B716" s="1">
        <v>1</v>
      </c>
      <c r="C716" s="1">
        <v>1</v>
      </c>
      <c r="D716" s="1">
        <v>6</v>
      </c>
    </row>
    <row r="717" spans="1:4" x14ac:dyDescent="0.25">
      <c r="A717" s="16">
        <v>8237</v>
      </c>
      <c r="B717" s="1">
        <v>1</v>
      </c>
      <c r="C717" s="1">
        <v>1</v>
      </c>
      <c r="D717" s="1">
        <v>8.8000000000000007</v>
      </c>
    </row>
    <row r="718" spans="1:4" x14ac:dyDescent="0.25">
      <c r="A718" s="16">
        <v>8238</v>
      </c>
      <c r="B718" s="1">
        <v>1</v>
      </c>
      <c r="C718" s="1">
        <v>2</v>
      </c>
      <c r="D718" s="1">
        <v>28</v>
      </c>
    </row>
    <row r="719" spans="1:4" x14ac:dyDescent="0.25">
      <c r="A719" s="16">
        <v>8239</v>
      </c>
      <c r="B719" s="1">
        <v>1</v>
      </c>
      <c r="C719" s="1">
        <v>3</v>
      </c>
      <c r="D719" s="1">
        <v>7.1999999999999993</v>
      </c>
    </row>
    <row r="720" spans="1:4" x14ac:dyDescent="0.25">
      <c r="A720" s="16">
        <v>8240</v>
      </c>
      <c r="B720" s="1">
        <v>1</v>
      </c>
      <c r="C720" s="1">
        <v>1</v>
      </c>
      <c r="D720" s="1">
        <v>36</v>
      </c>
    </row>
    <row r="721" spans="1:4" x14ac:dyDescent="0.25">
      <c r="A721" s="16">
        <v>8241</v>
      </c>
      <c r="B721" s="1">
        <v>1</v>
      </c>
      <c r="C721" s="1">
        <v>4</v>
      </c>
      <c r="D721" s="1">
        <v>11.2</v>
      </c>
    </row>
    <row r="722" spans="1:4" x14ac:dyDescent="0.25">
      <c r="A722" s="16">
        <v>8242</v>
      </c>
      <c r="B722" s="1">
        <v>1</v>
      </c>
      <c r="C722" s="1">
        <v>2</v>
      </c>
      <c r="D722" s="1">
        <v>12</v>
      </c>
    </row>
    <row r="723" spans="1:4" x14ac:dyDescent="0.25">
      <c r="A723" s="16">
        <v>8243</v>
      </c>
      <c r="B723" s="1">
        <v>1</v>
      </c>
      <c r="C723" s="1">
        <v>1</v>
      </c>
      <c r="D723" s="1">
        <v>8.8000000000000007</v>
      </c>
    </row>
    <row r="724" spans="1:4" x14ac:dyDescent="0.25">
      <c r="A724" s="16">
        <v>8244</v>
      </c>
      <c r="B724" s="1">
        <v>1</v>
      </c>
      <c r="C724" s="1">
        <v>1</v>
      </c>
      <c r="D724" s="1">
        <v>14</v>
      </c>
    </row>
    <row r="725" spans="1:4" x14ac:dyDescent="0.25">
      <c r="A725" s="16">
        <v>8245</v>
      </c>
      <c r="B725" s="1">
        <v>1</v>
      </c>
      <c r="C725" s="1">
        <v>1</v>
      </c>
      <c r="D725" s="1">
        <v>36</v>
      </c>
    </row>
    <row r="726" spans="1:4" x14ac:dyDescent="0.25">
      <c r="A726" s="16">
        <v>8246</v>
      </c>
      <c r="B726" s="1">
        <v>1</v>
      </c>
      <c r="C726" s="1">
        <v>1</v>
      </c>
      <c r="D726" s="1">
        <v>8</v>
      </c>
    </row>
    <row r="727" spans="1:4" x14ac:dyDescent="0.25">
      <c r="A727" s="16">
        <v>8247</v>
      </c>
      <c r="B727" s="1">
        <v>1</v>
      </c>
      <c r="C727" s="1">
        <v>1</v>
      </c>
      <c r="D727" s="1">
        <v>19.600000000000001</v>
      </c>
    </row>
    <row r="728" spans="1:4" x14ac:dyDescent="0.25">
      <c r="A728" s="16">
        <v>8248</v>
      </c>
      <c r="B728" s="1">
        <v>1</v>
      </c>
      <c r="C728" s="1">
        <v>1</v>
      </c>
      <c r="D728" s="1">
        <v>7.6</v>
      </c>
    </row>
    <row r="729" spans="1:4" x14ac:dyDescent="0.25">
      <c r="A729" s="16">
        <v>8249</v>
      </c>
      <c r="B729" s="1">
        <v>1</v>
      </c>
      <c r="C729" s="1">
        <v>3</v>
      </c>
      <c r="D729" s="1">
        <v>8.3999999999999986</v>
      </c>
    </row>
    <row r="730" spans="1:4" x14ac:dyDescent="0.25">
      <c r="A730" s="16">
        <v>8250</v>
      </c>
      <c r="B730" s="1">
        <v>1</v>
      </c>
      <c r="C730" s="1">
        <v>1</v>
      </c>
      <c r="D730" s="1">
        <v>6</v>
      </c>
    </row>
    <row r="731" spans="1:4" x14ac:dyDescent="0.25">
      <c r="A731" s="16">
        <v>8251</v>
      </c>
      <c r="B731" s="1">
        <v>1</v>
      </c>
      <c r="C731" s="1">
        <v>1</v>
      </c>
      <c r="D731" s="1">
        <v>8.8000000000000007</v>
      </c>
    </row>
    <row r="732" spans="1:4" x14ac:dyDescent="0.25">
      <c r="A732" s="16">
        <v>8252</v>
      </c>
      <c r="B732" s="1">
        <v>1</v>
      </c>
      <c r="C732" s="1">
        <v>1</v>
      </c>
      <c r="D732" s="1">
        <v>14</v>
      </c>
    </row>
    <row r="733" spans="1:4" x14ac:dyDescent="0.25">
      <c r="A733" s="16">
        <v>8253</v>
      </c>
      <c r="B733" s="1">
        <v>1</v>
      </c>
      <c r="C733" s="1">
        <v>1</v>
      </c>
      <c r="D733" s="1">
        <v>36</v>
      </c>
    </row>
    <row r="734" spans="1:4" x14ac:dyDescent="0.25">
      <c r="A734" s="16">
        <v>8254</v>
      </c>
      <c r="B734" s="1">
        <v>1</v>
      </c>
      <c r="C734" s="1">
        <v>3</v>
      </c>
      <c r="D734" s="1">
        <v>8.3999999999999986</v>
      </c>
    </row>
    <row r="735" spans="1:4" x14ac:dyDescent="0.25">
      <c r="A735" s="16">
        <v>8255</v>
      </c>
      <c r="B735" s="1">
        <v>1</v>
      </c>
      <c r="C735" s="1">
        <v>1</v>
      </c>
      <c r="D735" s="1">
        <v>6</v>
      </c>
    </row>
    <row r="736" spans="1:4" x14ac:dyDescent="0.25">
      <c r="A736" s="16">
        <v>8256</v>
      </c>
      <c r="B736" s="1">
        <v>1</v>
      </c>
      <c r="C736" s="1">
        <v>1</v>
      </c>
      <c r="D736" s="1">
        <v>8.8000000000000007</v>
      </c>
    </row>
    <row r="737" spans="1:4" x14ac:dyDescent="0.25">
      <c r="A737" s="16">
        <v>8257</v>
      </c>
      <c r="B737" s="1">
        <v>1</v>
      </c>
      <c r="C737" s="1">
        <v>2</v>
      </c>
      <c r="D737" s="1">
        <v>28</v>
      </c>
    </row>
    <row r="738" spans="1:4" x14ac:dyDescent="0.25">
      <c r="A738" s="16">
        <v>8258</v>
      </c>
      <c r="B738" s="1">
        <v>1</v>
      </c>
      <c r="C738" s="1">
        <v>2</v>
      </c>
      <c r="D738" s="1">
        <v>4.8</v>
      </c>
    </row>
    <row r="739" spans="1:4" x14ac:dyDescent="0.25">
      <c r="A739" s="16">
        <v>8259</v>
      </c>
      <c r="B739" s="1">
        <v>1</v>
      </c>
      <c r="C739" s="1">
        <v>1</v>
      </c>
      <c r="D739" s="1">
        <v>36</v>
      </c>
    </row>
    <row r="740" spans="1:4" x14ac:dyDescent="0.25">
      <c r="A740" s="16">
        <v>8260</v>
      </c>
      <c r="B740" s="1">
        <v>1</v>
      </c>
      <c r="C740" s="1">
        <v>5</v>
      </c>
      <c r="D740" s="1">
        <v>14</v>
      </c>
    </row>
    <row r="741" spans="1:4" x14ac:dyDescent="0.25">
      <c r="A741" s="16">
        <v>8261</v>
      </c>
      <c r="B741" s="1">
        <v>1</v>
      </c>
      <c r="C741" s="1">
        <v>1</v>
      </c>
      <c r="D741" s="1">
        <v>6</v>
      </c>
    </row>
    <row r="742" spans="1:4" x14ac:dyDescent="0.25">
      <c r="A742" s="16">
        <v>8262</v>
      </c>
      <c r="B742" s="1">
        <v>1</v>
      </c>
      <c r="C742" s="1">
        <v>1</v>
      </c>
      <c r="D742" s="1">
        <v>8.8000000000000007</v>
      </c>
    </row>
    <row r="743" spans="1:4" x14ac:dyDescent="0.25">
      <c r="A743" s="16">
        <v>8263</v>
      </c>
      <c r="B743" s="1">
        <v>1</v>
      </c>
      <c r="C743" s="1">
        <v>1</v>
      </c>
      <c r="D743" s="1">
        <v>14</v>
      </c>
    </row>
    <row r="744" spans="1:4" x14ac:dyDescent="0.25">
      <c r="A744" s="16">
        <v>8264</v>
      </c>
      <c r="B744" s="1">
        <v>1</v>
      </c>
      <c r="C744" s="1">
        <v>1</v>
      </c>
      <c r="D744" s="1">
        <v>36</v>
      </c>
    </row>
    <row r="745" spans="1:4" x14ac:dyDescent="0.25">
      <c r="A745" s="16">
        <v>8265</v>
      </c>
      <c r="B745" s="1">
        <v>1</v>
      </c>
      <c r="C745" s="1">
        <v>1</v>
      </c>
      <c r="D745" s="1">
        <v>8</v>
      </c>
    </row>
    <row r="746" spans="1:4" x14ac:dyDescent="0.25">
      <c r="A746" s="16">
        <v>8266</v>
      </c>
      <c r="B746" s="1">
        <v>1</v>
      </c>
      <c r="C746" s="1">
        <v>1</v>
      </c>
      <c r="D746" s="1">
        <v>19.600000000000001</v>
      </c>
    </row>
    <row r="747" spans="1:4" x14ac:dyDescent="0.25">
      <c r="A747" s="16">
        <v>8267</v>
      </c>
      <c r="B747" s="1">
        <v>1</v>
      </c>
      <c r="C747" s="1">
        <v>1</v>
      </c>
      <c r="D747" s="1">
        <v>7.6</v>
      </c>
    </row>
    <row r="748" spans="1:4" x14ac:dyDescent="0.25">
      <c r="A748" s="16">
        <v>8268</v>
      </c>
      <c r="B748" s="1">
        <v>1</v>
      </c>
      <c r="C748" s="1">
        <v>3</v>
      </c>
      <c r="D748" s="1">
        <v>8.3999999999999986</v>
      </c>
    </row>
    <row r="749" spans="1:4" x14ac:dyDescent="0.25">
      <c r="A749" s="16">
        <v>8269</v>
      </c>
      <c r="B749" s="1">
        <v>1</v>
      </c>
      <c r="C749" s="1">
        <v>1</v>
      </c>
      <c r="D749" s="1">
        <v>6</v>
      </c>
    </row>
    <row r="750" spans="1:4" x14ac:dyDescent="0.25">
      <c r="A750" s="16">
        <v>8270</v>
      </c>
      <c r="B750" s="1">
        <v>1</v>
      </c>
      <c r="C750" s="1">
        <v>1</v>
      </c>
      <c r="D750" s="1">
        <v>8.8000000000000007</v>
      </c>
    </row>
    <row r="751" spans="1:4" x14ac:dyDescent="0.25">
      <c r="A751" s="16">
        <v>8271</v>
      </c>
      <c r="B751" s="1">
        <v>1</v>
      </c>
      <c r="C751" s="1">
        <v>1</v>
      </c>
      <c r="D751" s="1">
        <v>14</v>
      </c>
    </row>
    <row r="752" spans="1:4" x14ac:dyDescent="0.25">
      <c r="A752" s="16">
        <v>8272</v>
      </c>
      <c r="B752" s="1">
        <v>1</v>
      </c>
      <c r="C752" s="1">
        <v>1</v>
      </c>
      <c r="D752" s="1">
        <v>36</v>
      </c>
    </row>
    <row r="753" spans="1:4" x14ac:dyDescent="0.25">
      <c r="A753" s="16">
        <v>8273</v>
      </c>
      <c r="B753" s="1">
        <v>1</v>
      </c>
      <c r="C753" s="1">
        <v>4</v>
      </c>
      <c r="D753" s="1">
        <v>11.2</v>
      </c>
    </row>
    <row r="754" spans="1:4" x14ac:dyDescent="0.25">
      <c r="A754" s="16">
        <v>8274</v>
      </c>
      <c r="B754" s="1">
        <v>1</v>
      </c>
      <c r="C754" s="1">
        <v>2</v>
      </c>
      <c r="D754" s="1">
        <v>12</v>
      </c>
    </row>
    <row r="755" spans="1:4" x14ac:dyDescent="0.25">
      <c r="A755" s="16">
        <v>8275</v>
      </c>
      <c r="B755" s="1">
        <v>1</v>
      </c>
      <c r="C755" s="1">
        <v>1</v>
      </c>
      <c r="D755" s="1">
        <v>8.8000000000000007</v>
      </c>
    </row>
    <row r="756" spans="1:4" x14ac:dyDescent="0.25">
      <c r="A756" s="16">
        <v>8276</v>
      </c>
      <c r="B756" s="1">
        <v>1</v>
      </c>
      <c r="C756" s="1">
        <v>2</v>
      </c>
      <c r="D756" s="1">
        <v>28</v>
      </c>
    </row>
    <row r="757" spans="1:4" x14ac:dyDescent="0.25">
      <c r="A757" s="16">
        <v>8277</v>
      </c>
      <c r="B757" s="1">
        <v>1</v>
      </c>
      <c r="C757" s="1">
        <v>1</v>
      </c>
      <c r="D757" s="1">
        <v>36</v>
      </c>
    </row>
    <row r="758" spans="1:4" x14ac:dyDescent="0.25">
      <c r="A758" s="16">
        <v>8278</v>
      </c>
      <c r="B758" s="1">
        <v>1</v>
      </c>
      <c r="C758" s="1">
        <v>1</v>
      </c>
      <c r="D758" s="1">
        <v>8</v>
      </c>
    </row>
    <row r="759" spans="1:4" x14ac:dyDescent="0.25">
      <c r="A759" s="16">
        <v>8279</v>
      </c>
      <c r="B759" s="1">
        <v>1</v>
      </c>
      <c r="C759" s="1">
        <v>3</v>
      </c>
      <c r="D759" s="1">
        <v>8.3999999999999986</v>
      </c>
    </row>
    <row r="760" spans="1:4" x14ac:dyDescent="0.25">
      <c r="A760" s="16">
        <v>8280</v>
      </c>
      <c r="B760" s="1">
        <v>1</v>
      </c>
      <c r="C760" s="1">
        <v>2</v>
      </c>
      <c r="D760" s="1">
        <v>12</v>
      </c>
    </row>
    <row r="761" spans="1:4" x14ac:dyDescent="0.25">
      <c r="A761" s="16">
        <v>8281</v>
      </c>
      <c r="B761" s="1">
        <v>1</v>
      </c>
      <c r="C761" s="1">
        <v>1</v>
      </c>
      <c r="D761" s="1">
        <v>8.8000000000000007</v>
      </c>
    </row>
    <row r="762" spans="1:4" x14ac:dyDescent="0.25">
      <c r="A762" s="16">
        <v>8282</v>
      </c>
      <c r="B762" s="1">
        <v>1</v>
      </c>
      <c r="C762" s="1">
        <v>1</v>
      </c>
      <c r="D762" s="1">
        <v>14</v>
      </c>
    </row>
    <row r="763" spans="1:4" x14ac:dyDescent="0.25">
      <c r="A763" s="16">
        <v>8283</v>
      </c>
      <c r="B763" s="1">
        <v>1</v>
      </c>
      <c r="C763" s="1">
        <v>3</v>
      </c>
      <c r="D763" s="1">
        <v>7.1999999999999993</v>
      </c>
    </row>
    <row r="764" spans="1:4" x14ac:dyDescent="0.25">
      <c r="A764" s="16">
        <v>8284</v>
      </c>
      <c r="B764" s="1">
        <v>1</v>
      </c>
      <c r="C764" s="1">
        <v>1</v>
      </c>
      <c r="D764" s="1">
        <v>26</v>
      </c>
    </row>
    <row r="765" spans="1:4" x14ac:dyDescent="0.25">
      <c r="A765" s="16">
        <v>8285</v>
      </c>
      <c r="B765" s="1">
        <v>1</v>
      </c>
      <c r="C765" s="1">
        <v>1</v>
      </c>
      <c r="D765" s="1">
        <v>18</v>
      </c>
    </row>
    <row r="766" spans="1:4" x14ac:dyDescent="0.25">
      <c r="A766" s="16">
        <v>8286</v>
      </c>
      <c r="B766" s="1">
        <v>1</v>
      </c>
      <c r="C766" s="1">
        <v>5</v>
      </c>
      <c r="D766" s="1">
        <v>14</v>
      </c>
    </row>
    <row r="767" spans="1:4" x14ac:dyDescent="0.25">
      <c r="A767" s="16">
        <v>8287</v>
      </c>
      <c r="B767" s="1">
        <v>1</v>
      </c>
      <c r="C767" s="1">
        <v>1</v>
      </c>
      <c r="D767" s="1">
        <v>6</v>
      </c>
    </row>
    <row r="768" spans="1:4" x14ac:dyDescent="0.25">
      <c r="A768" s="16">
        <v>8288</v>
      </c>
      <c r="B768" s="1">
        <v>1</v>
      </c>
      <c r="C768" s="1">
        <v>1</v>
      </c>
      <c r="D768" s="1">
        <v>8.8000000000000007</v>
      </c>
    </row>
    <row r="769" spans="1:4" x14ac:dyDescent="0.25">
      <c r="A769" s="16">
        <v>8289</v>
      </c>
      <c r="B769" s="1">
        <v>1</v>
      </c>
      <c r="C769" s="1">
        <v>2</v>
      </c>
      <c r="D769" s="1">
        <v>28</v>
      </c>
    </row>
    <row r="770" spans="1:4" x14ac:dyDescent="0.25">
      <c r="A770" s="16">
        <v>8290</v>
      </c>
      <c r="B770" s="1">
        <v>1</v>
      </c>
      <c r="C770" s="1">
        <v>1</v>
      </c>
      <c r="D770" s="1">
        <v>36</v>
      </c>
    </row>
    <row r="771" spans="1:4" x14ac:dyDescent="0.25">
      <c r="A771" s="16">
        <v>8291</v>
      </c>
      <c r="B771" s="1">
        <v>1</v>
      </c>
      <c r="C771" s="1">
        <v>1</v>
      </c>
      <c r="D771" s="1">
        <v>8</v>
      </c>
    </row>
    <row r="772" spans="1:4" x14ac:dyDescent="0.25">
      <c r="A772" s="16">
        <v>8292</v>
      </c>
      <c r="B772" s="1">
        <v>1</v>
      </c>
      <c r="C772" s="1">
        <v>1</v>
      </c>
      <c r="D772" s="1">
        <v>19.600000000000001</v>
      </c>
    </row>
    <row r="773" spans="1:4" x14ac:dyDescent="0.25">
      <c r="A773" s="16">
        <v>8293</v>
      </c>
      <c r="B773" s="1">
        <v>1</v>
      </c>
      <c r="C773" s="1">
        <v>1</v>
      </c>
      <c r="D773" s="1">
        <v>7.6</v>
      </c>
    </row>
    <row r="774" spans="1:4" x14ac:dyDescent="0.25">
      <c r="A774" s="16">
        <v>8294</v>
      </c>
      <c r="B774" s="1">
        <v>1</v>
      </c>
      <c r="C774" s="1">
        <v>3</v>
      </c>
      <c r="D774" s="1">
        <v>8.3999999999999986</v>
      </c>
    </row>
    <row r="775" spans="1:4" x14ac:dyDescent="0.25">
      <c r="A775" s="16">
        <v>8295</v>
      </c>
      <c r="B775" s="1">
        <v>1</v>
      </c>
      <c r="C775" s="1">
        <v>1</v>
      </c>
      <c r="D775" s="1">
        <v>6</v>
      </c>
    </row>
    <row r="776" spans="1:4" x14ac:dyDescent="0.25">
      <c r="A776" s="16">
        <v>8296</v>
      </c>
      <c r="B776" s="1">
        <v>1</v>
      </c>
      <c r="C776" s="1">
        <v>1</v>
      </c>
      <c r="D776" s="1">
        <v>8.8000000000000007</v>
      </c>
    </row>
    <row r="777" spans="1:4" x14ac:dyDescent="0.25">
      <c r="A777" s="16">
        <v>8297</v>
      </c>
      <c r="B777" s="1">
        <v>1</v>
      </c>
      <c r="C777" s="1">
        <v>2</v>
      </c>
      <c r="D777" s="1">
        <v>28</v>
      </c>
    </row>
    <row r="778" spans="1:4" x14ac:dyDescent="0.25">
      <c r="A778" s="16">
        <v>8298</v>
      </c>
      <c r="B778" s="1">
        <v>1</v>
      </c>
      <c r="C778" s="1">
        <v>1</v>
      </c>
      <c r="D778" s="1">
        <v>36</v>
      </c>
    </row>
    <row r="779" spans="1:4" x14ac:dyDescent="0.25">
      <c r="A779" s="16">
        <v>8299</v>
      </c>
      <c r="B779" s="1">
        <v>1</v>
      </c>
      <c r="C779" s="1">
        <v>4</v>
      </c>
      <c r="D779" s="1">
        <v>11.2</v>
      </c>
    </row>
    <row r="780" spans="1:4" x14ac:dyDescent="0.25">
      <c r="A780" s="16">
        <v>8300</v>
      </c>
      <c r="B780" s="1">
        <v>1</v>
      </c>
      <c r="C780" s="1">
        <v>2</v>
      </c>
      <c r="D780" s="1">
        <v>12</v>
      </c>
    </row>
    <row r="781" spans="1:4" x14ac:dyDescent="0.25">
      <c r="A781" s="16">
        <v>8301</v>
      </c>
      <c r="B781" s="1">
        <v>1</v>
      </c>
      <c r="C781" s="1">
        <v>1</v>
      </c>
      <c r="D781" s="1">
        <v>8.8000000000000007</v>
      </c>
    </row>
    <row r="782" spans="1:4" x14ac:dyDescent="0.25">
      <c r="A782" s="16">
        <v>8302</v>
      </c>
      <c r="B782" s="1">
        <v>1</v>
      </c>
      <c r="C782" s="1">
        <v>2</v>
      </c>
      <c r="D782" s="1">
        <v>28</v>
      </c>
    </row>
    <row r="783" spans="1:4" x14ac:dyDescent="0.25">
      <c r="A783" s="16">
        <v>8303</v>
      </c>
      <c r="B783" s="1">
        <v>1</v>
      </c>
      <c r="C783" s="1">
        <v>2</v>
      </c>
      <c r="D783" s="1">
        <v>4.8</v>
      </c>
    </row>
    <row r="784" spans="1:4" x14ac:dyDescent="0.25">
      <c r="A784" s="16">
        <v>8304</v>
      </c>
      <c r="B784" s="1">
        <v>1</v>
      </c>
      <c r="C784" s="1">
        <v>1</v>
      </c>
      <c r="D784" s="1">
        <v>36</v>
      </c>
    </row>
    <row r="785" spans="1:4" x14ac:dyDescent="0.25">
      <c r="A785" s="16">
        <v>8305</v>
      </c>
      <c r="B785" s="1">
        <v>1</v>
      </c>
      <c r="C785" s="1">
        <v>1</v>
      </c>
      <c r="D785" s="1">
        <v>8</v>
      </c>
    </row>
    <row r="786" spans="1:4" x14ac:dyDescent="0.25">
      <c r="A786" s="16">
        <v>8306</v>
      </c>
      <c r="B786" s="1">
        <v>1</v>
      </c>
      <c r="C786" s="1">
        <v>1</v>
      </c>
      <c r="D786" s="1">
        <v>19.600000000000001</v>
      </c>
    </row>
    <row r="787" spans="1:4" x14ac:dyDescent="0.25">
      <c r="A787" s="16">
        <v>8307</v>
      </c>
      <c r="B787" s="1">
        <v>1</v>
      </c>
      <c r="C787" s="1">
        <v>1</v>
      </c>
      <c r="D787" s="1">
        <v>7.6</v>
      </c>
    </row>
    <row r="788" spans="1:4" x14ac:dyDescent="0.25">
      <c r="A788" s="16">
        <v>8308</v>
      </c>
      <c r="B788" s="1">
        <v>1</v>
      </c>
      <c r="C788" s="1">
        <v>3</v>
      </c>
      <c r="D788" s="1">
        <v>8.3999999999999986</v>
      </c>
    </row>
    <row r="789" spans="1:4" x14ac:dyDescent="0.25">
      <c r="A789" s="16">
        <v>8309</v>
      </c>
      <c r="B789" s="1">
        <v>1</v>
      </c>
      <c r="C789" s="1">
        <v>2</v>
      </c>
      <c r="D789" s="1">
        <v>12</v>
      </c>
    </row>
    <row r="790" spans="1:4" x14ac:dyDescent="0.25">
      <c r="A790" s="16">
        <v>8310</v>
      </c>
      <c r="B790" s="1">
        <v>1</v>
      </c>
      <c r="C790" s="1">
        <v>1</v>
      </c>
      <c r="D790" s="1">
        <v>8.8000000000000007</v>
      </c>
    </row>
    <row r="791" spans="1:4" x14ac:dyDescent="0.25">
      <c r="A791" s="16">
        <v>8311</v>
      </c>
      <c r="B791" s="1">
        <v>1</v>
      </c>
      <c r="C791" s="1">
        <v>2</v>
      </c>
      <c r="D791" s="1">
        <v>28</v>
      </c>
    </row>
    <row r="792" spans="1:4" x14ac:dyDescent="0.25">
      <c r="A792" s="16">
        <v>8312</v>
      </c>
      <c r="B792" s="1">
        <v>1</v>
      </c>
      <c r="C792" s="1">
        <v>1</v>
      </c>
      <c r="D792" s="1">
        <v>36</v>
      </c>
    </row>
    <row r="793" spans="1:4" x14ac:dyDescent="0.25">
      <c r="A793" s="16">
        <v>8313</v>
      </c>
      <c r="B793" s="1">
        <v>1</v>
      </c>
      <c r="C793" s="1">
        <v>4</v>
      </c>
      <c r="D793" s="1">
        <v>11.2</v>
      </c>
    </row>
    <row r="794" spans="1:4" x14ac:dyDescent="0.25">
      <c r="A794" s="16">
        <v>8314</v>
      </c>
      <c r="B794" s="1">
        <v>1</v>
      </c>
      <c r="C794" s="1">
        <v>1</v>
      </c>
      <c r="D794" s="1">
        <v>6</v>
      </c>
    </row>
    <row r="795" spans="1:4" x14ac:dyDescent="0.25">
      <c r="A795" s="16">
        <v>8315</v>
      </c>
      <c r="B795" s="1">
        <v>1</v>
      </c>
      <c r="C795" s="1">
        <v>1</v>
      </c>
      <c r="D795" s="1">
        <v>8.8000000000000007</v>
      </c>
    </row>
    <row r="796" spans="1:4" x14ac:dyDescent="0.25">
      <c r="A796" s="16">
        <v>8316</v>
      </c>
      <c r="B796" s="1">
        <v>1</v>
      </c>
      <c r="C796" s="1">
        <v>1</v>
      </c>
      <c r="D796" s="1">
        <v>14</v>
      </c>
    </row>
    <row r="797" spans="1:4" x14ac:dyDescent="0.25">
      <c r="A797" s="16">
        <v>8317</v>
      </c>
      <c r="B797" s="1">
        <v>1</v>
      </c>
      <c r="C797" s="1">
        <v>2</v>
      </c>
      <c r="D797" s="1">
        <v>4.8</v>
      </c>
    </row>
    <row r="798" spans="1:4" x14ac:dyDescent="0.25">
      <c r="A798" s="16">
        <v>8318</v>
      </c>
      <c r="B798" s="1">
        <v>1</v>
      </c>
      <c r="C798" s="1">
        <v>1</v>
      </c>
      <c r="D798" s="1">
        <v>36</v>
      </c>
    </row>
    <row r="799" spans="1:4" x14ac:dyDescent="0.25">
      <c r="A799" s="16">
        <v>8319</v>
      </c>
      <c r="B799" s="1">
        <v>1</v>
      </c>
      <c r="C799" s="1">
        <v>1</v>
      </c>
      <c r="D799" s="1">
        <v>8</v>
      </c>
    </row>
    <row r="800" spans="1:4" x14ac:dyDescent="0.25">
      <c r="A800" s="16">
        <v>8320</v>
      </c>
      <c r="B800" s="1">
        <v>1</v>
      </c>
      <c r="C800" s="1">
        <v>1</v>
      </c>
      <c r="D800" s="1">
        <v>26</v>
      </c>
    </row>
    <row r="801" spans="1:4" x14ac:dyDescent="0.25">
      <c r="A801" s="16">
        <v>8321</v>
      </c>
      <c r="B801" s="1">
        <v>1</v>
      </c>
      <c r="C801" s="1">
        <v>1</v>
      </c>
      <c r="D801" s="1">
        <v>7.6</v>
      </c>
    </row>
    <row r="802" spans="1:4" x14ac:dyDescent="0.25">
      <c r="A802" s="16">
        <v>8322</v>
      </c>
      <c r="B802" s="1">
        <v>1</v>
      </c>
      <c r="C802" s="1">
        <v>5</v>
      </c>
      <c r="D802" s="1">
        <v>14</v>
      </c>
    </row>
    <row r="803" spans="1:4" x14ac:dyDescent="0.25">
      <c r="A803" s="16">
        <v>8323</v>
      </c>
      <c r="B803" s="1">
        <v>1</v>
      </c>
      <c r="C803" s="1">
        <v>1</v>
      </c>
      <c r="D803" s="1">
        <v>6</v>
      </c>
    </row>
    <row r="804" spans="1:4" x14ac:dyDescent="0.25">
      <c r="A804" s="16">
        <v>8324</v>
      </c>
      <c r="B804" s="1">
        <v>1</v>
      </c>
      <c r="C804" s="1">
        <v>1</v>
      </c>
      <c r="D804" s="1">
        <v>8.8000000000000007</v>
      </c>
    </row>
    <row r="805" spans="1:4" x14ac:dyDescent="0.25">
      <c r="A805" s="16">
        <v>8325</v>
      </c>
      <c r="B805" s="1">
        <v>1</v>
      </c>
      <c r="C805" s="1">
        <v>1</v>
      </c>
      <c r="D805" s="1">
        <v>14</v>
      </c>
    </row>
    <row r="806" spans="1:4" x14ac:dyDescent="0.25">
      <c r="A806" s="16">
        <v>8326</v>
      </c>
      <c r="B806" s="1">
        <v>1</v>
      </c>
      <c r="C806" s="1">
        <v>1</v>
      </c>
      <c r="D806" s="1">
        <v>36</v>
      </c>
    </row>
    <row r="807" spans="1:4" x14ac:dyDescent="0.25">
      <c r="A807" s="16">
        <v>8327</v>
      </c>
      <c r="B807" s="1">
        <v>1</v>
      </c>
      <c r="C807" s="1">
        <v>1</v>
      </c>
      <c r="D807" s="1">
        <v>8</v>
      </c>
    </row>
    <row r="808" spans="1:4" x14ac:dyDescent="0.25">
      <c r="A808" s="16">
        <v>8328</v>
      </c>
      <c r="B808" s="1">
        <v>1</v>
      </c>
      <c r="C808" s="1">
        <v>1</v>
      </c>
      <c r="D808" s="1">
        <v>19.600000000000001</v>
      </c>
    </row>
    <row r="809" spans="1:4" x14ac:dyDescent="0.25">
      <c r="A809" s="16">
        <v>8329</v>
      </c>
      <c r="B809" s="1">
        <v>1</v>
      </c>
      <c r="C809" s="1">
        <v>1</v>
      </c>
      <c r="D809" s="1">
        <v>7.6</v>
      </c>
    </row>
    <row r="810" spans="1:4" x14ac:dyDescent="0.25">
      <c r="A810" s="16">
        <v>8330</v>
      </c>
      <c r="B810" s="1">
        <v>1</v>
      </c>
      <c r="C810" s="1">
        <v>3</v>
      </c>
      <c r="D810" s="1">
        <v>8.3999999999999986</v>
      </c>
    </row>
    <row r="811" spans="1:4" x14ac:dyDescent="0.25">
      <c r="A811" s="16">
        <v>8331</v>
      </c>
      <c r="B811" s="1">
        <v>1</v>
      </c>
      <c r="C811" s="1">
        <v>1</v>
      </c>
      <c r="D811" s="1">
        <v>6</v>
      </c>
    </row>
    <row r="812" spans="1:4" x14ac:dyDescent="0.25">
      <c r="A812" s="16">
        <v>8332</v>
      </c>
      <c r="B812" s="1">
        <v>1</v>
      </c>
      <c r="C812" s="1">
        <v>1</v>
      </c>
      <c r="D812" s="1">
        <v>8.8000000000000007</v>
      </c>
    </row>
    <row r="813" spans="1:4" x14ac:dyDescent="0.25">
      <c r="A813" s="16">
        <v>8333</v>
      </c>
      <c r="B813" s="1">
        <v>1</v>
      </c>
      <c r="C813" s="1">
        <v>2</v>
      </c>
      <c r="D813" s="1">
        <v>28</v>
      </c>
    </row>
    <row r="814" spans="1:4" x14ac:dyDescent="0.25">
      <c r="A814" s="16">
        <v>8334</v>
      </c>
      <c r="B814" s="1">
        <v>1</v>
      </c>
      <c r="C814" s="1">
        <v>2</v>
      </c>
      <c r="D814" s="1">
        <v>4.8</v>
      </c>
    </row>
    <row r="815" spans="1:4" x14ac:dyDescent="0.25">
      <c r="A815" s="16">
        <v>8335</v>
      </c>
      <c r="B815" s="1">
        <v>1</v>
      </c>
      <c r="C815" s="1">
        <v>1</v>
      </c>
      <c r="D815" s="1">
        <v>36</v>
      </c>
    </row>
    <row r="816" spans="1:4" x14ac:dyDescent="0.25">
      <c r="A816" s="16">
        <v>8336</v>
      </c>
      <c r="B816" s="1">
        <v>1</v>
      </c>
      <c r="C816" s="1">
        <v>4</v>
      </c>
      <c r="D816" s="1">
        <v>11.2</v>
      </c>
    </row>
    <row r="817" spans="1:4" x14ac:dyDescent="0.25">
      <c r="A817" s="16">
        <v>8337</v>
      </c>
      <c r="B817" s="1">
        <v>1</v>
      </c>
      <c r="C817" s="1">
        <v>1</v>
      </c>
      <c r="D817" s="1">
        <v>6</v>
      </c>
    </row>
    <row r="818" spans="1:4" x14ac:dyDescent="0.25">
      <c r="A818" s="16">
        <v>8338</v>
      </c>
      <c r="B818" s="1">
        <v>1</v>
      </c>
      <c r="C818" s="1">
        <v>1</v>
      </c>
      <c r="D818" s="1">
        <v>8.8000000000000007</v>
      </c>
    </row>
    <row r="819" spans="1:4" x14ac:dyDescent="0.25">
      <c r="A819" s="16">
        <v>8339</v>
      </c>
      <c r="B819" s="1">
        <v>1</v>
      </c>
      <c r="C819" s="1">
        <v>1</v>
      </c>
      <c r="D819" s="1">
        <v>14</v>
      </c>
    </row>
    <row r="820" spans="1:4" x14ac:dyDescent="0.25">
      <c r="A820" s="16">
        <v>8340</v>
      </c>
      <c r="B820" s="1">
        <v>1</v>
      </c>
      <c r="C820" s="1">
        <v>1</v>
      </c>
      <c r="D820" s="1">
        <v>36</v>
      </c>
    </row>
    <row r="821" spans="1:4" x14ac:dyDescent="0.25">
      <c r="A821" s="16">
        <v>8341</v>
      </c>
      <c r="B821" s="1">
        <v>1</v>
      </c>
      <c r="C821" s="1">
        <v>1</v>
      </c>
      <c r="D821" s="1">
        <v>8</v>
      </c>
    </row>
    <row r="822" spans="1:4" x14ac:dyDescent="0.25">
      <c r="A822" s="16">
        <v>8342</v>
      </c>
      <c r="B822" s="1">
        <v>1</v>
      </c>
      <c r="C822" s="1">
        <v>1</v>
      </c>
      <c r="D822" s="1">
        <v>19.600000000000001</v>
      </c>
    </row>
    <row r="823" spans="1:4" x14ac:dyDescent="0.25">
      <c r="A823" s="16">
        <v>8343</v>
      </c>
      <c r="B823" s="1">
        <v>1</v>
      </c>
      <c r="C823" s="1">
        <v>1</v>
      </c>
      <c r="D823" s="1">
        <v>7.6</v>
      </c>
    </row>
    <row r="824" spans="1:4" x14ac:dyDescent="0.25">
      <c r="A824" s="16">
        <v>8344</v>
      </c>
      <c r="B824" s="1">
        <v>1</v>
      </c>
      <c r="C824" s="1">
        <v>3</v>
      </c>
      <c r="D824" s="1">
        <v>8.3999999999999986</v>
      </c>
    </row>
    <row r="825" spans="1:4" x14ac:dyDescent="0.25">
      <c r="A825" s="16">
        <v>8345</v>
      </c>
      <c r="B825" s="1">
        <v>1</v>
      </c>
      <c r="C825" s="1">
        <v>2</v>
      </c>
      <c r="D825" s="1">
        <v>12</v>
      </c>
    </row>
    <row r="826" spans="1:4" x14ac:dyDescent="0.25">
      <c r="A826" s="16">
        <v>8346</v>
      </c>
      <c r="B826" s="1">
        <v>1</v>
      </c>
      <c r="C826" s="1">
        <v>1</v>
      </c>
      <c r="D826" s="1">
        <v>8.8000000000000007</v>
      </c>
    </row>
    <row r="827" spans="1:4" x14ac:dyDescent="0.25">
      <c r="A827" s="16">
        <v>8347</v>
      </c>
      <c r="B827" s="1">
        <v>1</v>
      </c>
      <c r="C827" s="1">
        <v>1</v>
      </c>
      <c r="D827" s="1">
        <v>14</v>
      </c>
    </row>
    <row r="828" spans="1:4" x14ac:dyDescent="0.25">
      <c r="A828" s="16">
        <v>8348</v>
      </c>
      <c r="B828" s="1">
        <v>1</v>
      </c>
      <c r="C828" s="1">
        <v>1</v>
      </c>
      <c r="D828" s="1">
        <v>36</v>
      </c>
    </row>
    <row r="829" spans="1:4" x14ac:dyDescent="0.25">
      <c r="A829" s="16">
        <v>8349</v>
      </c>
      <c r="B829" s="1">
        <v>1</v>
      </c>
      <c r="C829" s="1">
        <v>4</v>
      </c>
      <c r="D829" s="1">
        <v>11.2</v>
      </c>
    </row>
    <row r="830" spans="1:4" x14ac:dyDescent="0.25">
      <c r="A830" s="16">
        <v>8350</v>
      </c>
      <c r="B830" s="1">
        <v>1</v>
      </c>
      <c r="C830" s="1">
        <v>1</v>
      </c>
      <c r="D830" s="1">
        <v>6</v>
      </c>
    </row>
    <row r="831" spans="1:4" x14ac:dyDescent="0.25">
      <c r="A831" s="16">
        <v>8351</v>
      </c>
      <c r="B831" s="1">
        <v>1</v>
      </c>
      <c r="C831" s="1">
        <v>1</v>
      </c>
      <c r="D831" s="1">
        <v>8.8000000000000007</v>
      </c>
    </row>
    <row r="832" spans="1:4" x14ac:dyDescent="0.25">
      <c r="A832" s="16">
        <v>8352</v>
      </c>
      <c r="B832" s="1">
        <v>1</v>
      </c>
      <c r="C832" s="1">
        <v>1</v>
      </c>
      <c r="D832" s="1">
        <v>14</v>
      </c>
    </row>
    <row r="833" spans="1:4" x14ac:dyDescent="0.25">
      <c r="A833" s="16">
        <v>8353</v>
      </c>
      <c r="B833" s="1">
        <v>1</v>
      </c>
      <c r="C833" s="1">
        <v>2</v>
      </c>
      <c r="D833" s="1">
        <v>4.8</v>
      </c>
    </row>
    <row r="834" spans="1:4" x14ac:dyDescent="0.25">
      <c r="A834" s="16">
        <v>8354</v>
      </c>
      <c r="B834" s="1">
        <v>1</v>
      </c>
      <c r="C834" s="1">
        <v>1</v>
      </c>
      <c r="D834" s="1">
        <v>36</v>
      </c>
    </row>
    <row r="835" spans="1:4" x14ac:dyDescent="0.25">
      <c r="A835" s="16">
        <v>8355</v>
      </c>
      <c r="B835" s="1">
        <v>1</v>
      </c>
      <c r="C835" s="1">
        <v>1</v>
      </c>
      <c r="D835" s="1">
        <v>8</v>
      </c>
    </row>
    <row r="836" spans="1:4" x14ac:dyDescent="0.25">
      <c r="A836" s="16">
        <v>8356</v>
      </c>
      <c r="B836" s="1">
        <v>1</v>
      </c>
      <c r="C836" s="1">
        <v>1</v>
      </c>
      <c r="D836" s="1">
        <v>19.600000000000001</v>
      </c>
    </row>
    <row r="837" spans="1:4" x14ac:dyDescent="0.25">
      <c r="A837" s="16">
        <v>8357</v>
      </c>
      <c r="B837" s="1">
        <v>1</v>
      </c>
      <c r="C837" s="1">
        <v>1</v>
      </c>
      <c r="D837" s="1">
        <v>7.6</v>
      </c>
    </row>
    <row r="838" spans="1:4" x14ac:dyDescent="0.25">
      <c r="A838" s="16">
        <v>8358</v>
      </c>
      <c r="B838" s="1">
        <v>1</v>
      </c>
      <c r="C838" s="1">
        <v>3</v>
      </c>
      <c r="D838" s="1">
        <v>8.3999999999999986</v>
      </c>
    </row>
    <row r="839" spans="1:4" x14ac:dyDescent="0.25">
      <c r="A839" s="16">
        <v>8359</v>
      </c>
      <c r="B839" s="1">
        <v>1</v>
      </c>
      <c r="C839" s="1">
        <v>2</v>
      </c>
      <c r="D839" s="1">
        <v>12</v>
      </c>
    </row>
    <row r="840" spans="1:4" x14ac:dyDescent="0.25">
      <c r="A840" s="16">
        <v>8360</v>
      </c>
      <c r="B840" s="1">
        <v>1</v>
      </c>
      <c r="C840" s="1">
        <v>1</v>
      </c>
      <c r="D840" s="1">
        <v>8.8000000000000007</v>
      </c>
    </row>
    <row r="841" spans="1:4" x14ac:dyDescent="0.25">
      <c r="A841" s="16">
        <v>8361</v>
      </c>
      <c r="B841" s="1">
        <v>1</v>
      </c>
      <c r="C841" s="1">
        <v>1</v>
      </c>
      <c r="D841" s="1">
        <v>14</v>
      </c>
    </row>
    <row r="842" spans="1:4" x14ac:dyDescent="0.25">
      <c r="A842" s="16">
        <v>8362</v>
      </c>
      <c r="B842" s="1">
        <v>1</v>
      </c>
      <c r="C842" s="1">
        <v>1</v>
      </c>
      <c r="D842" s="1">
        <v>36</v>
      </c>
    </row>
    <row r="843" spans="1:4" x14ac:dyDescent="0.25">
      <c r="A843" s="16">
        <v>8363</v>
      </c>
      <c r="B843" s="1">
        <v>1</v>
      </c>
      <c r="C843" s="1">
        <v>5</v>
      </c>
      <c r="D843" s="1">
        <v>14</v>
      </c>
    </row>
    <row r="844" spans="1:4" x14ac:dyDescent="0.25">
      <c r="A844" s="16">
        <v>8364</v>
      </c>
      <c r="B844" s="1">
        <v>1</v>
      </c>
      <c r="C844" s="1">
        <v>1</v>
      </c>
      <c r="D844" s="1">
        <v>6</v>
      </c>
    </row>
    <row r="845" spans="1:4" x14ac:dyDescent="0.25">
      <c r="A845" s="16">
        <v>8365</v>
      </c>
      <c r="B845" s="1">
        <v>1</v>
      </c>
      <c r="C845" s="1">
        <v>1</v>
      </c>
      <c r="D845" s="1">
        <v>8.8000000000000007</v>
      </c>
    </row>
    <row r="846" spans="1:4" x14ac:dyDescent="0.25">
      <c r="A846" s="16">
        <v>8366</v>
      </c>
      <c r="B846" s="1">
        <v>1</v>
      </c>
      <c r="C846" s="1">
        <v>1</v>
      </c>
      <c r="D846" s="1">
        <v>14</v>
      </c>
    </row>
    <row r="847" spans="1:4" x14ac:dyDescent="0.25">
      <c r="A847" s="16">
        <v>8367</v>
      </c>
      <c r="B847" s="1">
        <v>1</v>
      </c>
      <c r="C847" s="1">
        <v>2</v>
      </c>
      <c r="D847" s="1">
        <v>4.8</v>
      </c>
    </row>
    <row r="848" spans="1:4" x14ac:dyDescent="0.25">
      <c r="A848" s="16">
        <v>8368</v>
      </c>
      <c r="B848" s="1">
        <v>1</v>
      </c>
      <c r="C848" s="1">
        <v>1</v>
      </c>
      <c r="D848" s="1">
        <v>36</v>
      </c>
    </row>
    <row r="849" spans="1:4" x14ac:dyDescent="0.25">
      <c r="A849" s="16">
        <v>8369</v>
      </c>
      <c r="B849" s="1">
        <v>1</v>
      </c>
      <c r="C849" s="1">
        <v>1</v>
      </c>
      <c r="D849" s="1">
        <v>8</v>
      </c>
    </row>
    <row r="850" spans="1:4" x14ac:dyDescent="0.25">
      <c r="A850" s="16">
        <v>8370</v>
      </c>
      <c r="B850" s="1">
        <v>1</v>
      </c>
      <c r="C850" s="1">
        <v>1</v>
      </c>
      <c r="D850" s="1">
        <v>19.600000000000001</v>
      </c>
    </row>
    <row r="851" spans="1:4" x14ac:dyDescent="0.25">
      <c r="A851" s="16">
        <v>8371</v>
      </c>
      <c r="B851" s="1">
        <v>1</v>
      </c>
      <c r="C851" s="1">
        <v>1</v>
      </c>
      <c r="D851" s="1">
        <v>7.6</v>
      </c>
    </row>
    <row r="852" spans="1:4" x14ac:dyDescent="0.25">
      <c r="A852" s="16">
        <v>8372</v>
      </c>
      <c r="B852" s="1">
        <v>1</v>
      </c>
      <c r="C852" s="1">
        <v>3</v>
      </c>
      <c r="D852" s="1">
        <v>8.3999999999999986</v>
      </c>
    </row>
    <row r="853" spans="1:4" x14ac:dyDescent="0.25">
      <c r="A853" s="16">
        <v>8373</v>
      </c>
      <c r="B853" s="1">
        <v>1</v>
      </c>
      <c r="C853" s="1">
        <v>4</v>
      </c>
      <c r="D853" s="1">
        <v>11.2</v>
      </c>
    </row>
    <row r="854" spans="1:4" x14ac:dyDescent="0.25">
      <c r="A854" s="16">
        <v>8374</v>
      </c>
      <c r="B854" s="1">
        <v>1</v>
      </c>
      <c r="C854" s="1">
        <v>1</v>
      </c>
      <c r="D854" s="1">
        <v>6</v>
      </c>
    </row>
    <row r="855" spans="1:4" x14ac:dyDescent="0.25">
      <c r="A855" s="16">
        <v>8375</v>
      </c>
      <c r="B855" s="1">
        <v>1</v>
      </c>
      <c r="C855" s="1">
        <v>1</v>
      </c>
      <c r="D855" s="1">
        <v>8.8000000000000007</v>
      </c>
    </row>
    <row r="856" spans="1:4" x14ac:dyDescent="0.25">
      <c r="A856" s="16">
        <v>8376</v>
      </c>
      <c r="B856" s="1">
        <v>1</v>
      </c>
      <c r="C856" s="1">
        <v>1</v>
      </c>
      <c r="D856" s="1">
        <v>14</v>
      </c>
    </row>
    <row r="857" spans="1:4" x14ac:dyDescent="0.25">
      <c r="A857" s="16">
        <v>8377</v>
      </c>
      <c r="B857" s="1">
        <v>1</v>
      </c>
      <c r="C857" s="1">
        <v>1</v>
      </c>
      <c r="D857" s="1">
        <v>36</v>
      </c>
    </row>
    <row r="858" spans="1:4" x14ac:dyDescent="0.25">
      <c r="A858" s="16">
        <v>8378</v>
      </c>
      <c r="B858" s="1">
        <v>1</v>
      </c>
      <c r="C858" s="1">
        <v>1</v>
      </c>
      <c r="D858" s="1">
        <v>8</v>
      </c>
    </row>
    <row r="859" spans="1:4" x14ac:dyDescent="0.25">
      <c r="A859" s="16">
        <v>8379</v>
      </c>
      <c r="B859" s="1">
        <v>1</v>
      </c>
      <c r="C859" s="1">
        <v>1</v>
      </c>
      <c r="D859" s="1">
        <v>26</v>
      </c>
    </row>
    <row r="860" spans="1:4" x14ac:dyDescent="0.25">
      <c r="A860" s="16">
        <v>8380</v>
      </c>
      <c r="B860" s="1">
        <v>1</v>
      </c>
      <c r="C860" s="1">
        <v>1</v>
      </c>
      <c r="D860" s="1">
        <v>7.6</v>
      </c>
    </row>
    <row r="861" spans="1:4" x14ac:dyDescent="0.25">
      <c r="A861" s="16">
        <v>8381</v>
      </c>
      <c r="B861" s="1">
        <v>1</v>
      </c>
      <c r="C861" s="1">
        <v>3</v>
      </c>
      <c r="D861" s="1">
        <v>8.3999999999999986</v>
      </c>
    </row>
    <row r="862" spans="1:4" x14ac:dyDescent="0.25">
      <c r="A862" s="16">
        <v>8382</v>
      </c>
      <c r="B862" s="1">
        <v>1</v>
      </c>
      <c r="C862" s="1">
        <v>2</v>
      </c>
      <c r="D862" s="1">
        <v>12</v>
      </c>
    </row>
    <row r="863" spans="1:4" x14ac:dyDescent="0.25">
      <c r="A863" s="16">
        <v>8383</v>
      </c>
      <c r="B863" s="1">
        <v>1</v>
      </c>
      <c r="C863" s="1">
        <v>1</v>
      </c>
      <c r="D863" s="1">
        <v>8.8000000000000007</v>
      </c>
    </row>
    <row r="864" spans="1:4" x14ac:dyDescent="0.25">
      <c r="A864" s="16">
        <v>8384</v>
      </c>
      <c r="B864" s="1">
        <v>1</v>
      </c>
      <c r="C864" s="1">
        <v>2</v>
      </c>
      <c r="D864" s="1">
        <v>28</v>
      </c>
    </row>
    <row r="865" spans="1:4" x14ac:dyDescent="0.25">
      <c r="A865" s="16">
        <v>8385</v>
      </c>
      <c r="B865" s="1">
        <v>1</v>
      </c>
      <c r="C865" s="1">
        <v>1</v>
      </c>
      <c r="D865" s="1">
        <v>36</v>
      </c>
    </row>
    <row r="866" spans="1:4" x14ac:dyDescent="0.25">
      <c r="A866" s="16">
        <v>8386</v>
      </c>
      <c r="B866" s="1">
        <v>1</v>
      </c>
      <c r="C866" s="1">
        <v>3</v>
      </c>
      <c r="D866" s="1">
        <v>7.1999999999999993</v>
      </c>
    </row>
    <row r="867" spans="1:4" x14ac:dyDescent="0.25">
      <c r="A867" s="16">
        <v>8387</v>
      </c>
      <c r="B867" s="1">
        <v>1</v>
      </c>
      <c r="C867" s="1">
        <v>4</v>
      </c>
      <c r="D867" s="1">
        <v>11.2</v>
      </c>
    </row>
    <row r="868" spans="1:4" x14ac:dyDescent="0.25">
      <c r="A868" s="16">
        <v>8388</v>
      </c>
      <c r="B868" s="1">
        <v>1</v>
      </c>
      <c r="C868" s="1">
        <v>2</v>
      </c>
      <c r="D868" s="1">
        <v>12</v>
      </c>
    </row>
    <row r="869" spans="1:4" x14ac:dyDescent="0.25">
      <c r="A869" s="16">
        <v>8389</v>
      </c>
      <c r="B869" s="1">
        <v>1</v>
      </c>
      <c r="C869" s="1">
        <v>1</v>
      </c>
      <c r="D869" s="1">
        <v>8.8000000000000007</v>
      </c>
    </row>
    <row r="870" spans="1:4" x14ac:dyDescent="0.25">
      <c r="A870" s="16">
        <v>8390</v>
      </c>
      <c r="B870" s="1">
        <v>1</v>
      </c>
      <c r="C870" s="1">
        <v>1</v>
      </c>
      <c r="D870" s="1">
        <v>14</v>
      </c>
    </row>
    <row r="871" spans="1:4" x14ac:dyDescent="0.25">
      <c r="A871" s="16">
        <v>8391</v>
      </c>
      <c r="B871" s="1">
        <v>1</v>
      </c>
      <c r="C871" s="1">
        <v>1</v>
      </c>
      <c r="D871" s="1">
        <v>36</v>
      </c>
    </row>
    <row r="872" spans="1:4" x14ac:dyDescent="0.25">
      <c r="A872" s="16">
        <v>8392</v>
      </c>
      <c r="B872" s="1">
        <v>1</v>
      </c>
      <c r="C872" s="1">
        <v>1</v>
      </c>
      <c r="D872" s="1">
        <v>8</v>
      </c>
    </row>
    <row r="873" spans="1:4" x14ac:dyDescent="0.25">
      <c r="A873" s="16">
        <v>8393</v>
      </c>
      <c r="B873" s="1">
        <v>1</v>
      </c>
      <c r="C873" s="1">
        <v>1</v>
      </c>
      <c r="D873" s="1">
        <v>19.600000000000001</v>
      </c>
    </row>
    <row r="874" spans="1:4" x14ac:dyDescent="0.25">
      <c r="A874" s="16">
        <v>8394</v>
      </c>
      <c r="B874" s="1">
        <v>1</v>
      </c>
      <c r="C874" s="1">
        <v>1</v>
      </c>
      <c r="D874" s="1">
        <v>7.6</v>
      </c>
    </row>
    <row r="875" spans="1:4" x14ac:dyDescent="0.25">
      <c r="A875" s="16">
        <v>8395</v>
      </c>
      <c r="B875" s="1">
        <v>1</v>
      </c>
      <c r="C875" s="1">
        <v>5</v>
      </c>
      <c r="D875" s="1">
        <v>14</v>
      </c>
    </row>
    <row r="876" spans="1:4" x14ac:dyDescent="0.25">
      <c r="A876" s="16">
        <v>8396</v>
      </c>
      <c r="B876" s="1">
        <v>1</v>
      </c>
      <c r="C876" s="1">
        <v>2</v>
      </c>
      <c r="D876" s="1">
        <v>12</v>
      </c>
    </row>
    <row r="877" spans="1:4" x14ac:dyDescent="0.25">
      <c r="A877" s="16">
        <v>8397</v>
      </c>
      <c r="B877" s="1">
        <v>1</v>
      </c>
      <c r="C877" s="1">
        <v>1</v>
      </c>
      <c r="D877" s="1">
        <v>8.8000000000000007</v>
      </c>
    </row>
    <row r="878" spans="1:4" x14ac:dyDescent="0.25">
      <c r="A878" s="16">
        <v>8398</v>
      </c>
      <c r="B878" s="1">
        <v>1</v>
      </c>
      <c r="C878" s="1">
        <v>1</v>
      </c>
      <c r="D878" s="1">
        <v>14</v>
      </c>
    </row>
    <row r="879" spans="1:4" x14ac:dyDescent="0.25">
      <c r="A879" s="16">
        <v>8399</v>
      </c>
      <c r="B879" s="1">
        <v>1</v>
      </c>
      <c r="C879" s="1">
        <v>1</v>
      </c>
      <c r="D879" s="1">
        <v>36</v>
      </c>
    </row>
    <row r="880" spans="1:4" x14ac:dyDescent="0.25">
      <c r="A880" s="16">
        <v>8400</v>
      </c>
      <c r="B880" s="1">
        <v>1</v>
      </c>
      <c r="C880" s="1">
        <v>4</v>
      </c>
      <c r="D880" s="1">
        <v>11.2</v>
      </c>
    </row>
    <row r="881" spans="1:4" x14ac:dyDescent="0.25">
      <c r="A881" s="16">
        <v>8401</v>
      </c>
      <c r="B881" s="1">
        <v>1</v>
      </c>
      <c r="C881" s="1">
        <v>1</v>
      </c>
      <c r="D881" s="1">
        <v>6</v>
      </c>
    </row>
    <row r="882" spans="1:4" x14ac:dyDescent="0.25">
      <c r="A882" s="16">
        <v>8402</v>
      </c>
      <c r="B882" s="1">
        <v>1</v>
      </c>
      <c r="C882" s="1">
        <v>1</v>
      </c>
      <c r="D882" s="1">
        <v>8.8000000000000007</v>
      </c>
    </row>
    <row r="883" spans="1:4" x14ac:dyDescent="0.25">
      <c r="A883" s="16">
        <v>8403</v>
      </c>
      <c r="B883" s="1">
        <v>1</v>
      </c>
      <c r="C883" s="1">
        <v>1</v>
      </c>
      <c r="D883" s="1">
        <v>14</v>
      </c>
    </row>
    <row r="884" spans="1:4" x14ac:dyDescent="0.25">
      <c r="A884" s="16">
        <v>8404</v>
      </c>
      <c r="B884" s="1">
        <v>1</v>
      </c>
      <c r="C884" s="1">
        <v>2</v>
      </c>
      <c r="D884" s="1">
        <v>4.8</v>
      </c>
    </row>
    <row r="885" spans="1:4" x14ac:dyDescent="0.25">
      <c r="A885" s="16">
        <v>8405</v>
      </c>
      <c r="B885" s="1">
        <v>1</v>
      </c>
      <c r="C885" s="1">
        <v>1</v>
      </c>
      <c r="D885" s="1">
        <v>36</v>
      </c>
    </row>
    <row r="886" spans="1:4" x14ac:dyDescent="0.25">
      <c r="A886" s="16">
        <v>8406</v>
      </c>
      <c r="B886" s="1">
        <v>1</v>
      </c>
      <c r="C886" s="1">
        <v>1</v>
      </c>
      <c r="D886" s="1">
        <v>8</v>
      </c>
    </row>
    <row r="887" spans="1:4" x14ac:dyDescent="0.25">
      <c r="A887" s="16">
        <v>8407</v>
      </c>
      <c r="B887" s="1">
        <v>1</v>
      </c>
      <c r="C887" s="1">
        <v>1</v>
      </c>
      <c r="D887" s="1">
        <v>19.600000000000001</v>
      </c>
    </row>
    <row r="888" spans="1:4" x14ac:dyDescent="0.25">
      <c r="A888" s="16">
        <v>8408</v>
      </c>
      <c r="B888" s="1">
        <v>1</v>
      </c>
      <c r="C888" s="1">
        <v>1</v>
      </c>
      <c r="D888" s="1">
        <v>7.6</v>
      </c>
    </row>
    <row r="889" spans="1:4" x14ac:dyDescent="0.25">
      <c r="A889" s="16">
        <v>8409</v>
      </c>
      <c r="B889" s="1">
        <v>1</v>
      </c>
      <c r="C889" s="1">
        <v>3</v>
      </c>
      <c r="D889" s="1">
        <v>8.3999999999999986</v>
      </c>
    </row>
    <row r="890" spans="1:4" x14ac:dyDescent="0.25">
      <c r="A890" s="16">
        <v>8410</v>
      </c>
      <c r="B890" s="1">
        <v>1</v>
      </c>
      <c r="C890" s="1">
        <v>2</v>
      </c>
      <c r="D890" s="1">
        <v>12</v>
      </c>
    </row>
    <row r="891" spans="1:4" x14ac:dyDescent="0.25">
      <c r="A891" s="16">
        <v>8411</v>
      </c>
      <c r="B891" s="1">
        <v>1</v>
      </c>
      <c r="C891" s="1">
        <v>1</v>
      </c>
      <c r="D891" s="1">
        <v>8.8000000000000007</v>
      </c>
    </row>
    <row r="892" spans="1:4" x14ac:dyDescent="0.25">
      <c r="A892" s="16">
        <v>8412</v>
      </c>
      <c r="B892" s="1">
        <v>1</v>
      </c>
      <c r="C892" s="1">
        <v>2</v>
      </c>
      <c r="D892" s="1">
        <v>28</v>
      </c>
    </row>
    <row r="893" spans="1:4" x14ac:dyDescent="0.25">
      <c r="A893" s="16">
        <v>8413</v>
      </c>
      <c r="B893" s="1">
        <v>1</v>
      </c>
      <c r="C893" s="1">
        <v>1</v>
      </c>
      <c r="D893" s="1">
        <v>36</v>
      </c>
    </row>
    <row r="894" spans="1:4" x14ac:dyDescent="0.25">
      <c r="A894" s="16">
        <v>8414</v>
      </c>
      <c r="B894" s="1">
        <v>1</v>
      </c>
      <c r="C894" s="1">
        <v>5</v>
      </c>
      <c r="D894" s="1">
        <v>14</v>
      </c>
    </row>
    <row r="895" spans="1:4" x14ac:dyDescent="0.25">
      <c r="A895" s="16">
        <v>8415</v>
      </c>
      <c r="B895" s="1">
        <v>1</v>
      </c>
      <c r="C895" s="1">
        <v>1</v>
      </c>
      <c r="D895" s="1">
        <v>6</v>
      </c>
    </row>
    <row r="896" spans="1:4" x14ac:dyDescent="0.25">
      <c r="A896" s="16">
        <v>8416</v>
      </c>
      <c r="B896" s="1">
        <v>1</v>
      </c>
      <c r="C896" s="1">
        <v>1</v>
      </c>
      <c r="D896" s="1">
        <v>8.8000000000000007</v>
      </c>
    </row>
    <row r="897" spans="1:4" x14ac:dyDescent="0.25">
      <c r="A897" s="16">
        <v>8417</v>
      </c>
      <c r="B897" s="1">
        <v>1</v>
      </c>
      <c r="C897" s="1">
        <v>1</v>
      </c>
      <c r="D897" s="1">
        <v>14</v>
      </c>
    </row>
    <row r="898" spans="1:4" x14ac:dyDescent="0.25">
      <c r="A898" s="16">
        <v>8418</v>
      </c>
      <c r="B898" s="1">
        <v>1</v>
      </c>
      <c r="C898" s="1">
        <v>1</v>
      </c>
      <c r="D898" s="1">
        <v>36</v>
      </c>
    </row>
    <row r="899" spans="1:4" x14ac:dyDescent="0.25">
      <c r="A899" s="16">
        <v>8419</v>
      </c>
      <c r="B899" s="1">
        <v>1</v>
      </c>
      <c r="C899" s="1">
        <v>1</v>
      </c>
      <c r="D899" s="1">
        <v>8</v>
      </c>
    </row>
    <row r="900" spans="1:4" x14ac:dyDescent="0.25">
      <c r="A900" s="16">
        <v>8420</v>
      </c>
      <c r="B900" s="1">
        <v>1</v>
      </c>
      <c r="C900" s="1">
        <v>1</v>
      </c>
      <c r="D900" s="1">
        <v>19.600000000000001</v>
      </c>
    </row>
    <row r="901" spans="1:4" x14ac:dyDescent="0.25">
      <c r="A901" s="16">
        <v>8421</v>
      </c>
      <c r="B901" s="1">
        <v>1</v>
      </c>
      <c r="C901" s="1">
        <v>1</v>
      </c>
      <c r="D901" s="1">
        <v>7.6</v>
      </c>
    </row>
    <row r="902" spans="1:4" x14ac:dyDescent="0.25">
      <c r="A902" s="16">
        <v>8422</v>
      </c>
      <c r="B902" s="1">
        <v>1</v>
      </c>
      <c r="C902" s="1">
        <v>4</v>
      </c>
      <c r="D902" s="1">
        <v>11.2</v>
      </c>
    </row>
    <row r="903" spans="1:4" x14ac:dyDescent="0.25">
      <c r="A903" s="16">
        <v>8423</v>
      </c>
      <c r="B903" s="1">
        <v>1</v>
      </c>
      <c r="C903" s="1">
        <v>2</v>
      </c>
      <c r="D903" s="1">
        <v>12</v>
      </c>
    </row>
    <row r="904" spans="1:4" x14ac:dyDescent="0.25">
      <c r="A904" s="16">
        <v>8424</v>
      </c>
      <c r="B904" s="1">
        <v>1</v>
      </c>
      <c r="C904" s="1">
        <v>1</v>
      </c>
      <c r="D904" s="1">
        <v>8.8000000000000007</v>
      </c>
    </row>
    <row r="905" spans="1:4" x14ac:dyDescent="0.25">
      <c r="A905" s="16">
        <v>8425</v>
      </c>
      <c r="B905" s="1">
        <v>1</v>
      </c>
      <c r="C905" s="1">
        <v>2</v>
      </c>
      <c r="D905" s="1">
        <v>28</v>
      </c>
    </row>
    <row r="906" spans="1:4" x14ac:dyDescent="0.25">
      <c r="A906" s="16">
        <v>8426</v>
      </c>
      <c r="B906" s="1">
        <v>1</v>
      </c>
      <c r="C906" s="1">
        <v>1</v>
      </c>
      <c r="D906" s="1">
        <v>36</v>
      </c>
    </row>
    <row r="907" spans="1:4" x14ac:dyDescent="0.25">
      <c r="A907" s="16">
        <v>8427</v>
      </c>
      <c r="B907" s="1">
        <v>1</v>
      </c>
      <c r="C907" s="1">
        <v>3</v>
      </c>
      <c r="D907" s="1">
        <v>8.3999999999999986</v>
      </c>
    </row>
    <row r="908" spans="1:4" x14ac:dyDescent="0.25">
      <c r="A908" s="16">
        <v>8428</v>
      </c>
      <c r="B908" s="1">
        <v>1</v>
      </c>
      <c r="C908" s="1">
        <v>2</v>
      </c>
      <c r="D908" s="1">
        <v>12</v>
      </c>
    </row>
    <row r="909" spans="1:4" x14ac:dyDescent="0.25">
      <c r="A909" s="16">
        <v>8429</v>
      </c>
      <c r="B909" s="1">
        <v>1</v>
      </c>
      <c r="C909" s="1">
        <v>1</v>
      </c>
      <c r="D909" s="1">
        <v>8.8000000000000007</v>
      </c>
    </row>
    <row r="910" spans="1:4" x14ac:dyDescent="0.25">
      <c r="A910" s="16">
        <v>8430</v>
      </c>
      <c r="B910" s="1">
        <v>1</v>
      </c>
      <c r="C910" s="1">
        <v>1</v>
      </c>
      <c r="D910" s="1">
        <v>14</v>
      </c>
    </row>
    <row r="911" spans="1:4" x14ac:dyDescent="0.25">
      <c r="A911" s="16">
        <v>8431</v>
      </c>
      <c r="B911" s="1">
        <v>1</v>
      </c>
      <c r="C911" s="1">
        <v>2</v>
      </c>
      <c r="D911" s="1">
        <v>4.8</v>
      </c>
    </row>
    <row r="912" spans="1:4" x14ac:dyDescent="0.25">
      <c r="A912" s="16">
        <v>8432</v>
      </c>
      <c r="B912" s="1">
        <v>1</v>
      </c>
      <c r="C912" s="1">
        <v>1</v>
      </c>
      <c r="D912" s="1">
        <v>36</v>
      </c>
    </row>
    <row r="913" spans="1:4" x14ac:dyDescent="0.25">
      <c r="A913" s="16">
        <v>8433</v>
      </c>
      <c r="B913" s="1">
        <v>1</v>
      </c>
      <c r="C913" s="1">
        <v>1</v>
      </c>
      <c r="D913" s="1">
        <v>8</v>
      </c>
    </row>
    <row r="914" spans="1:4" x14ac:dyDescent="0.25">
      <c r="A914" s="16">
        <v>8434</v>
      </c>
      <c r="B914" s="1">
        <v>1</v>
      </c>
      <c r="C914" s="1">
        <v>1</v>
      </c>
      <c r="D914" s="1">
        <v>19.600000000000001</v>
      </c>
    </row>
    <row r="915" spans="1:4" x14ac:dyDescent="0.25">
      <c r="A915" s="16">
        <v>8435</v>
      </c>
      <c r="B915" s="1">
        <v>1</v>
      </c>
      <c r="C915" s="1">
        <v>1</v>
      </c>
      <c r="D915" s="1">
        <v>7.6</v>
      </c>
    </row>
    <row r="916" spans="1:4" x14ac:dyDescent="0.25">
      <c r="A916" s="16">
        <v>8436</v>
      </c>
      <c r="B916" s="1">
        <v>1</v>
      </c>
      <c r="C916" s="1">
        <v>4</v>
      </c>
      <c r="D916" s="1">
        <v>11.2</v>
      </c>
    </row>
    <row r="917" spans="1:4" x14ac:dyDescent="0.25">
      <c r="A917" s="16">
        <v>8437</v>
      </c>
      <c r="B917" s="1">
        <v>1</v>
      </c>
      <c r="C917" s="1">
        <v>2</v>
      </c>
      <c r="D917" s="1">
        <v>12</v>
      </c>
    </row>
    <row r="918" spans="1:4" x14ac:dyDescent="0.25">
      <c r="A918" s="16">
        <v>8438</v>
      </c>
      <c r="B918" s="1">
        <v>1</v>
      </c>
      <c r="C918" s="1">
        <v>1</v>
      </c>
      <c r="D918" s="1">
        <v>8.8000000000000007</v>
      </c>
    </row>
    <row r="919" spans="1:4" x14ac:dyDescent="0.25">
      <c r="A919" s="16">
        <v>8439</v>
      </c>
      <c r="B919" s="1">
        <v>1</v>
      </c>
      <c r="C919" s="1">
        <v>1</v>
      </c>
      <c r="D919" s="1">
        <v>14</v>
      </c>
    </row>
    <row r="920" spans="1:4" x14ac:dyDescent="0.25">
      <c r="A920" s="16">
        <v>8440</v>
      </c>
      <c r="B920" s="1">
        <v>1</v>
      </c>
      <c r="C920" s="1">
        <v>1</v>
      </c>
      <c r="D920" s="1">
        <v>36</v>
      </c>
    </row>
    <row r="921" spans="1:4" x14ac:dyDescent="0.25">
      <c r="A921" s="16">
        <v>8441</v>
      </c>
      <c r="B921" s="1">
        <v>1</v>
      </c>
      <c r="C921" s="1">
        <v>4</v>
      </c>
      <c r="D921" s="1">
        <v>11.2</v>
      </c>
    </row>
    <row r="922" spans="1:4" x14ac:dyDescent="0.25">
      <c r="A922" s="16">
        <v>8442</v>
      </c>
      <c r="B922" s="1">
        <v>1</v>
      </c>
      <c r="C922" s="1">
        <v>2</v>
      </c>
      <c r="D922" s="1">
        <v>12</v>
      </c>
    </row>
    <row r="923" spans="1:4" x14ac:dyDescent="0.25">
      <c r="A923" s="16">
        <v>8443</v>
      </c>
      <c r="B923" s="1">
        <v>1</v>
      </c>
      <c r="C923" s="1">
        <v>1</v>
      </c>
      <c r="D923" s="1">
        <v>8.8000000000000007</v>
      </c>
    </row>
    <row r="924" spans="1:4" x14ac:dyDescent="0.25">
      <c r="A924" s="16">
        <v>8444</v>
      </c>
      <c r="B924" s="1">
        <v>1</v>
      </c>
      <c r="C924" s="1">
        <v>2</v>
      </c>
      <c r="D924" s="1">
        <v>28</v>
      </c>
    </row>
    <row r="925" spans="1:4" x14ac:dyDescent="0.25">
      <c r="A925" s="16">
        <v>8445</v>
      </c>
      <c r="B925" s="1">
        <v>1</v>
      </c>
      <c r="C925" s="1">
        <v>2</v>
      </c>
      <c r="D925" s="1">
        <v>4.8</v>
      </c>
    </row>
    <row r="926" spans="1:4" x14ac:dyDescent="0.25">
      <c r="A926" s="16">
        <v>8446</v>
      </c>
      <c r="B926" s="1">
        <v>1</v>
      </c>
      <c r="C926" s="1">
        <v>1</v>
      </c>
      <c r="D926" s="1">
        <v>36</v>
      </c>
    </row>
    <row r="927" spans="1:4" x14ac:dyDescent="0.25">
      <c r="A927" s="16">
        <v>8447</v>
      </c>
      <c r="B927" s="1">
        <v>1</v>
      </c>
      <c r="C927" s="1">
        <v>1</v>
      </c>
      <c r="D927" s="1">
        <v>8</v>
      </c>
    </row>
    <row r="928" spans="1:4" x14ac:dyDescent="0.25">
      <c r="A928" s="16">
        <v>8448</v>
      </c>
      <c r="B928" s="1">
        <v>1</v>
      </c>
      <c r="C928" s="1">
        <v>1</v>
      </c>
      <c r="D928" s="1">
        <v>19.600000000000001</v>
      </c>
    </row>
    <row r="929" spans="1:4" x14ac:dyDescent="0.25">
      <c r="A929" s="16">
        <v>8449</v>
      </c>
      <c r="B929" s="1">
        <v>1</v>
      </c>
      <c r="C929" s="1">
        <v>1</v>
      </c>
      <c r="D929" s="1">
        <v>7.6</v>
      </c>
    </row>
    <row r="930" spans="1:4" x14ac:dyDescent="0.25">
      <c r="A930" s="16">
        <v>8450</v>
      </c>
      <c r="B930" s="1">
        <v>1</v>
      </c>
      <c r="C930" s="1">
        <v>3</v>
      </c>
      <c r="D930" s="1">
        <v>8.3999999999999986</v>
      </c>
    </row>
    <row r="931" spans="1:4" x14ac:dyDescent="0.25">
      <c r="A931" s="16">
        <v>8451</v>
      </c>
      <c r="B931" s="1">
        <v>1</v>
      </c>
      <c r="C931" s="1">
        <v>2</v>
      </c>
      <c r="D931" s="1">
        <v>12</v>
      </c>
    </row>
    <row r="932" spans="1:4" x14ac:dyDescent="0.25">
      <c r="A932" s="16">
        <v>8452</v>
      </c>
      <c r="B932" s="1">
        <v>1</v>
      </c>
      <c r="C932" s="1">
        <v>1</v>
      </c>
      <c r="D932" s="1">
        <v>8.8000000000000007</v>
      </c>
    </row>
    <row r="933" spans="1:4" x14ac:dyDescent="0.25">
      <c r="A933" s="16">
        <v>8453</v>
      </c>
      <c r="B933" s="1">
        <v>1</v>
      </c>
      <c r="C933" s="1">
        <v>1</v>
      </c>
      <c r="D933" s="1">
        <v>14</v>
      </c>
    </row>
    <row r="934" spans="1:4" x14ac:dyDescent="0.25">
      <c r="A934" s="16">
        <v>8454</v>
      </c>
      <c r="B934" s="1">
        <v>1</v>
      </c>
      <c r="C934" s="1">
        <v>1</v>
      </c>
      <c r="D934" s="1">
        <v>36</v>
      </c>
    </row>
    <row r="935" spans="1:4" x14ac:dyDescent="0.25">
      <c r="A935" s="16">
        <v>8455</v>
      </c>
      <c r="B935" s="1">
        <v>1</v>
      </c>
      <c r="C935" s="1">
        <v>3</v>
      </c>
      <c r="D935" s="1">
        <v>8.3999999999999986</v>
      </c>
    </row>
    <row r="936" spans="1:4" x14ac:dyDescent="0.25">
      <c r="A936" s="16">
        <v>8456</v>
      </c>
      <c r="B936" s="1">
        <v>1</v>
      </c>
      <c r="C936" s="1">
        <v>2</v>
      </c>
      <c r="D936" s="1">
        <v>12</v>
      </c>
    </row>
    <row r="937" spans="1:4" x14ac:dyDescent="0.25">
      <c r="A937" s="16">
        <v>8457</v>
      </c>
      <c r="B937" s="1">
        <v>1</v>
      </c>
      <c r="C937" s="1">
        <v>1</v>
      </c>
      <c r="D937" s="1">
        <v>8.8000000000000007</v>
      </c>
    </row>
    <row r="938" spans="1:4" x14ac:dyDescent="0.25">
      <c r="A938" s="16">
        <v>8458</v>
      </c>
      <c r="B938" s="1">
        <v>1</v>
      </c>
      <c r="C938" s="1">
        <v>1</v>
      </c>
      <c r="D938" s="1">
        <v>14</v>
      </c>
    </row>
    <row r="939" spans="1:4" x14ac:dyDescent="0.25">
      <c r="A939" s="16">
        <v>8459</v>
      </c>
      <c r="B939" s="1">
        <v>1</v>
      </c>
      <c r="C939" s="1">
        <v>1</v>
      </c>
      <c r="D939" s="1">
        <v>36</v>
      </c>
    </row>
    <row r="940" spans="1:4" x14ac:dyDescent="0.25">
      <c r="A940" s="16">
        <v>8460</v>
      </c>
      <c r="B940" s="1">
        <v>1</v>
      </c>
      <c r="C940" s="1">
        <v>1</v>
      </c>
      <c r="D940" s="1">
        <v>8</v>
      </c>
    </row>
    <row r="941" spans="1:4" x14ac:dyDescent="0.25">
      <c r="A941" s="16">
        <v>8461</v>
      </c>
      <c r="B941" s="1">
        <v>1</v>
      </c>
      <c r="C941" s="1">
        <v>1</v>
      </c>
      <c r="D941" s="1">
        <v>19.600000000000001</v>
      </c>
    </row>
    <row r="942" spans="1:4" x14ac:dyDescent="0.25">
      <c r="A942" s="16">
        <v>8462</v>
      </c>
      <c r="B942" s="1">
        <v>1</v>
      </c>
      <c r="C942" s="1">
        <v>1</v>
      </c>
      <c r="D942" s="1">
        <v>7.6</v>
      </c>
    </row>
    <row r="943" spans="1:4" x14ac:dyDescent="0.25">
      <c r="A943" s="16">
        <v>8463</v>
      </c>
      <c r="B943" s="1">
        <v>1</v>
      </c>
      <c r="C943" s="1">
        <v>5</v>
      </c>
      <c r="D943" s="1">
        <v>14</v>
      </c>
    </row>
    <row r="944" spans="1:4" x14ac:dyDescent="0.25">
      <c r="A944" s="16">
        <v>8464</v>
      </c>
      <c r="B944" s="1">
        <v>1</v>
      </c>
      <c r="C944" s="1">
        <v>1</v>
      </c>
      <c r="D944" s="1">
        <v>6</v>
      </c>
    </row>
    <row r="945" spans="1:4" x14ac:dyDescent="0.25">
      <c r="A945" s="16">
        <v>8465</v>
      </c>
      <c r="B945" s="1">
        <v>1</v>
      </c>
      <c r="C945" s="1">
        <v>1</v>
      </c>
      <c r="D945" s="1">
        <v>8.8000000000000007</v>
      </c>
    </row>
    <row r="946" spans="1:4" x14ac:dyDescent="0.25">
      <c r="A946" s="16">
        <v>8466</v>
      </c>
      <c r="B946" s="1">
        <v>1</v>
      </c>
      <c r="C946" s="1">
        <v>2</v>
      </c>
      <c r="D946" s="1">
        <v>28</v>
      </c>
    </row>
    <row r="947" spans="1:4" x14ac:dyDescent="0.25">
      <c r="A947" s="16">
        <v>8467</v>
      </c>
      <c r="B947" s="1">
        <v>1</v>
      </c>
      <c r="C947" s="1">
        <v>2</v>
      </c>
      <c r="D947" s="1">
        <v>4.8</v>
      </c>
    </row>
    <row r="948" spans="1:4" x14ac:dyDescent="0.25">
      <c r="A948" s="16">
        <v>8468</v>
      </c>
      <c r="B948" s="1">
        <v>1</v>
      </c>
      <c r="C948" s="1">
        <v>1</v>
      </c>
      <c r="D948" s="1">
        <v>36</v>
      </c>
    </row>
    <row r="949" spans="1:4" x14ac:dyDescent="0.25">
      <c r="A949" s="16">
        <v>8469</v>
      </c>
      <c r="B949" s="1">
        <v>1</v>
      </c>
      <c r="C949" s="1">
        <v>1</v>
      </c>
      <c r="D949" s="1">
        <v>8</v>
      </c>
    </row>
    <row r="950" spans="1:4" x14ac:dyDescent="0.25">
      <c r="A950" s="16">
        <v>8470</v>
      </c>
      <c r="B950" s="1">
        <v>1</v>
      </c>
      <c r="C950" s="1">
        <v>1</v>
      </c>
      <c r="D950" s="1">
        <v>19.600000000000001</v>
      </c>
    </row>
    <row r="951" spans="1:4" x14ac:dyDescent="0.25">
      <c r="A951" s="16">
        <v>8471</v>
      </c>
      <c r="B951" s="1">
        <v>1</v>
      </c>
      <c r="C951" s="1">
        <v>1</v>
      </c>
      <c r="D951" s="1">
        <v>7.6</v>
      </c>
    </row>
    <row r="952" spans="1:4" x14ac:dyDescent="0.25">
      <c r="A952" s="16">
        <v>8472</v>
      </c>
      <c r="B952" s="1">
        <v>1</v>
      </c>
      <c r="C952" s="1">
        <v>4</v>
      </c>
      <c r="D952" s="1">
        <v>11.2</v>
      </c>
    </row>
    <row r="953" spans="1:4" x14ac:dyDescent="0.25">
      <c r="A953" s="16">
        <v>8473</v>
      </c>
      <c r="B953" s="1">
        <v>1</v>
      </c>
      <c r="C953" s="1">
        <v>2</v>
      </c>
      <c r="D953" s="1">
        <v>12</v>
      </c>
    </row>
    <row r="954" spans="1:4" x14ac:dyDescent="0.25">
      <c r="A954" s="16">
        <v>8474</v>
      </c>
      <c r="B954" s="1">
        <v>1</v>
      </c>
      <c r="C954" s="1">
        <v>1</v>
      </c>
      <c r="D954" s="1">
        <v>8.8000000000000007</v>
      </c>
    </row>
    <row r="955" spans="1:4" x14ac:dyDescent="0.25">
      <c r="A955" s="16">
        <v>8475</v>
      </c>
      <c r="B955" s="1">
        <v>1</v>
      </c>
      <c r="C955" s="1">
        <v>1</v>
      </c>
      <c r="D955" s="1">
        <v>14</v>
      </c>
    </row>
    <row r="956" spans="1:4" x14ac:dyDescent="0.25">
      <c r="A956" s="16">
        <v>8476</v>
      </c>
      <c r="B956" s="1">
        <v>1</v>
      </c>
      <c r="C956" s="1">
        <v>1</v>
      </c>
      <c r="D956" s="1">
        <v>36</v>
      </c>
    </row>
    <row r="957" spans="1:4" x14ac:dyDescent="0.25">
      <c r="A957" s="16">
        <v>8477</v>
      </c>
      <c r="B957" s="1">
        <v>1</v>
      </c>
      <c r="C957" s="1">
        <v>3</v>
      </c>
      <c r="D957" s="1">
        <v>8.3999999999999986</v>
      </c>
    </row>
    <row r="958" spans="1:4" x14ac:dyDescent="0.25">
      <c r="A958" s="16">
        <v>8478</v>
      </c>
      <c r="B958" s="1">
        <v>1</v>
      </c>
      <c r="C958" s="1">
        <v>1</v>
      </c>
      <c r="D958" s="1">
        <v>6</v>
      </c>
    </row>
    <row r="959" spans="1:4" x14ac:dyDescent="0.25">
      <c r="A959" s="16">
        <v>8479</v>
      </c>
      <c r="B959" s="1">
        <v>1</v>
      </c>
      <c r="C959" s="1">
        <v>1</v>
      </c>
      <c r="D959" s="1">
        <v>8.8000000000000007</v>
      </c>
    </row>
    <row r="960" spans="1:4" x14ac:dyDescent="0.25">
      <c r="A960" s="16">
        <v>8480</v>
      </c>
      <c r="B960" s="1">
        <v>1</v>
      </c>
      <c r="C960" s="1">
        <v>1</v>
      </c>
      <c r="D960" s="1">
        <v>14</v>
      </c>
    </row>
    <row r="961" spans="1:4" x14ac:dyDescent="0.25">
      <c r="A961" s="16">
        <v>8481</v>
      </c>
      <c r="B961" s="1">
        <v>1</v>
      </c>
      <c r="C961" s="1">
        <v>1</v>
      </c>
      <c r="D961" s="1">
        <v>36</v>
      </c>
    </row>
    <row r="962" spans="1:4" x14ac:dyDescent="0.25">
      <c r="A962" s="16">
        <v>8482</v>
      </c>
      <c r="B962" s="1">
        <v>1</v>
      </c>
      <c r="C962" s="1">
        <v>1</v>
      </c>
      <c r="D962" s="1">
        <v>8</v>
      </c>
    </row>
    <row r="963" spans="1:4" x14ac:dyDescent="0.25">
      <c r="A963" s="16">
        <v>8483</v>
      </c>
      <c r="B963" s="1">
        <v>1</v>
      </c>
      <c r="C963" s="1">
        <v>1</v>
      </c>
      <c r="D963" s="1">
        <v>19.600000000000001</v>
      </c>
    </row>
    <row r="964" spans="1:4" x14ac:dyDescent="0.25">
      <c r="A964" s="16">
        <v>8484</v>
      </c>
      <c r="B964" s="1">
        <v>1</v>
      </c>
      <c r="C964" s="1">
        <v>1</v>
      </c>
      <c r="D964" s="1">
        <v>7.6</v>
      </c>
    </row>
    <row r="965" spans="1:4" x14ac:dyDescent="0.25">
      <c r="A965" s="16">
        <v>8485</v>
      </c>
      <c r="B965" s="1">
        <v>1</v>
      </c>
      <c r="C965" s="1">
        <v>4</v>
      </c>
      <c r="D965" s="1">
        <v>11.2</v>
      </c>
    </row>
    <row r="966" spans="1:4" x14ac:dyDescent="0.25">
      <c r="A966" s="16">
        <v>8486</v>
      </c>
      <c r="B966" s="1">
        <v>1</v>
      </c>
      <c r="C966" s="1">
        <v>2</v>
      </c>
      <c r="D966" s="1">
        <v>12</v>
      </c>
    </row>
    <row r="967" spans="1:4" x14ac:dyDescent="0.25">
      <c r="A967" s="16">
        <v>8487</v>
      </c>
      <c r="B967" s="1">
        <v>1</v>
      </c>
      <c r="C967" s="1">
        <v>1</v>
      </c>
      <c r="D967" s="1">
        <v>8.8000000000000007</v>
      </c>
    </row>
    <row r="968" spans="1:4" x14ac:dyDescent="0.25">
      <c r="A968" s="16">
        <v>8488</v>
      </c>
      <c r="B968" s="1">
        <v>1</v>
      </c>
      <c r="C968" s="1">
        <v>2</v>
      </c>
      <c r="D968" s="1">
        <v>28</v>
      </c>
    </row>
    <row r="969" spans="1:4" x14ac:dyDescent="0.25">
      <c r="A969" s="16">
        <v>8489</v>
      </c>
      <c r="B969" s="1">
        <v>1</v>
      </c>
      <c r="C969" s="1">
        <v>1</v>
      </c>
      <c r="D969" s="1">
        <v>36</v>
      </c>
    </row>
    <row r="970" spans="1:4" x14ac:dyDescent="0.25">
      <c r="A970" s="16">
        <v>8490</v>
      </c>
      <c r="B970" s="1">
        <v>1</v>
      </c>
      <c r="C970" s="1">
        <v>4</v>
      </c>
      <c r="D970" s="1">
        <v>11.2</v>
      </c>
    </row>
    <row r="971" spans="1:4" x14ac:dyDescent="0.25">
      <c r="A971" s="16">
        <v>8491</v>
      </c>
      <c r="B971" s="1">
        <v>1</v>
      </c>
      <c r="C971" s="1">
        <v>2</v>
      </c>
      <c r="D971" s="1">
        <v>12</v>
      </c>
    </row>
    <row r="972" spans="1:4" x14ac:dyDescent="0.25">
      <c r="A972" s="16">
        <v>8492</v>
      </c>
      <c r="B972" s="1">
        <v>1</v>
      </c>
      <c r="C972" s="1">
        <v>1</v>
      </c>
      <c r="D972" s="1">
        <v>8.8000000000000007</v>
      </c>
    </row>
    <row r="973" spans="1:4" x14ac:dyDescent="0.25">
      <c r="A973" s="16">
        <v>8493</v>
      </c>
      <c r="B973" s="1">
        <v>1</v>
      </c>
      <c r="C973" s="1">
        <v>1</v>
      </c>
      <c r="D973" s="1">
        <v>14</v>
      </c>
    </row>
    <row r="974" spans="1:4" x14ac:dyDescent="0.25">
      <c r="A974" s="16">
        <v>8494</v>
      </c>
      <c r="B974" s="1">
        <v>1</v>
      </c>
      <c r="C974" s="1">
        <v>2</v>
      </c>
      <c r="D974" s="1">
        <v>4.8</v>
      </c>
    </row>
    <row r="975" spans="1:4" x14ac:dyDescent="0.25">
      <c r="A975" s="16">
        <v>8495</v>
      </c>
      <c r="B975" s="1">
        <v>1</v>
      </c>
      <c r="C975" s="1">
        <v>1</v>
      </c>
      <c r="D975" s="1">
        <v>36</v>
      </c>
    </row>
    <row r="976" spans="1:4" x14ac:dyDescent="0.25">
      <c r="A976" s="16">
        <v>8496</v>
      </c>
      <c r="B976" s="1">
        <v>1</v>
      </c>
      <c r="C976" s="1">
        <v>1</v>
      </c>
      <c r="D976" s="1">
        <v>8</v>
      </c>
    </row>
    <row r="977" spans="1:4" x14ac:dyDescent="0.25">
      <c r="A977" s="16">
        <v>8497</v>
      </c>
      <c r="B977" s="1">
        <v>1</v>
      </c>
      <c r="C977" s="1">
        <v>1</v>
      </c>
      <c r="D977" s="1">
        <v>19.600000000000001</v>
      </c>
    </row>
    <row r="978" spans="1:4" x14ac:dyDescent="0.25">
      <c r="A978" s="16">
        <v>8498</v>
      </c>
      <c r="B978" s="1">
        <v>1</v>
      </c>
      <c r="C978" s="1">
        <v>1</v>
      </c>
      <c r="D978" s="1">
        <v>7.6</v>
      </c>
    </row>
    <row r="979" spans="1:4" x14ac:dyDescent="0.25">
      <c r="A979" s="16">
        <v>8499</v>
      </c>
      <c r="B979" s="1">
        <v>1</v>
      </c>
      <c r="C979" s="1">
        <v>3</v>
      </c>
      <c r="D979" s="1">
        <v>8.3999999999999986</v>
      </c>
    </row>
    <row r="980" spans="1:4" x14ac:dyDescent="0.25">
      <c r="A980" s="16">
        <v>8500</v>
      </c>
      <c r="B980" s="1">
        <v>1</v>
      </c>
      <c r="C980" s="1">
        <v>2</v>
      </c>
      <c r="D980" s="1">
        <v>12</v>
      </c>
    </row>
    <row r="981" spans="1:4" x14ac:dyDescent="0.25">
      <c r="A981" s="16">
        <v>8501</v>
      </c>
      <c r="B981" s="1">
        <v>1</v>
      </c>
      <c r="C981" s="1">
        <v>1</v>
      </c>
      <c r="D981" s="1">
        <v>8.8000000000000007</v>
      </c>
    </row>
    <row r="982" spans="1:4" x14ac:dyDescent="0.25">
      <c r="A982" s="16">
        <v>8502</v>
      </c>
      <c r="B982" s="1">
        <v>1</v>
      </c>
      <c r="C982" s="1">
        <v>2</v>
      </c>
      <c r="D982" s="1">
        <v>28</v>
      </c>
    </row>
    <row r="983" spans="1:4" x14ac:dyDescent="0.25">
      <c r="A983" s="16">
        <v>8503</v>
      </c>
      <c r="B983" s="1">
        <v>1</v>
      </c>
      <c r="C983" s="1">
        <v>1</v>
      </c>
      <c r="D983" s="1">
        <v>36</v>
      </c>
    </row>
    <row r="984" spans="1:4" x14ac:dyDescent="0.25">
      <c r="A984" s="16">
        <v>8504</v>
      </c>
      <c r="B984" s="1">
        <v>1</v>
      </c>
      <c r="C984" s="1">
        <v>5</v>
      </c>
      <c r="D984" s="1">
        <v>14</v>
      </c>
    </row>
    <row r="985" spans="1:4" x14ac:dyDescent="0.25">
      <c r="A985" s="16">
        <v>8505</v>
      </c>
      <c r="B985" s="1">
        <v>1</v>
      </c>
      <c r="C985" s="1">
        <v>2</v>
      </c>
      <c r="D985" s="1">
        <v>12</v>
      </c>
    </row>
    <row r="986" spans="1:4" x14ac:dyDescent="0.25">
      <c r="A986" s="16">
        <v>8506</v>
      </c>
      <c r="B986" s="1">
        <v>1</v>
      </c>
      <c r="C986" s="1">
        <v>1</v>
      </c>
      <c r="D986" s="1">
        <v>8.8000000000000007</v>
      </c>
    </row>
    <row r="987" spans="1:4" x14ac:dyDescent="0.25">
      <c r="A987" s="16">
        <v>8507</v>
      </c>
      <c r="B987" s="1">
        <v>1</v>
      </c>
      <c r="C987" s="1">
        <v>1</v>
      </c>
      <c r="D987" s="1">
        <v>14</v>
      </c>
    </row>
    <row r="988" spans="1:4" x14ac:dyDescent="0.25">
      <c r="A988" s="16">
        <v>8508</v>
      </c>
      <c r="B988" s="1">
        <v>1</v>
      </c>
      <c r="C988" s="1">
        <v>1</v>
      </c>
      <c r="D988" s="1">
        <v>36</v>
      </c>
    </row>
    <row r="989" spans="1:4" x14ac:dyDescent="0.25">
      <c r="A989" s="16">
        <v>8509</v>
      </c>
      <c r="B989" s="1">
        <v>1</v>
      </c>
      <c r="C989" s="1">
        <v>1</v>
      </c>
      <c r="D989" s="1">
        <v>8</v>
      </c>
    </row>
    <row r="990" spans="1:4" x14ac:dyDescent="0.25">
      <c r="A990" s="16">
        <v>8510</v>
      </c>
      <c r="B990" s="1">
        <v>1</v>
      </c>
      <c r="C990" s="1">
        <v>1</v>
      </c>
      <c r="D990" s="1">
        <v>19.600000000000001</v>
      </c>
    </row>
    <row r="991" spans="1:4" x14ac:dyDescent="0.25">
      <c r="A991" s="16">
        <v>8511</v>
      </c>
      <c r="B991" s="1">
        <v>1</v>
      </c>
      <c r="C991" s="1">
        <v>1</v>
      </c>
      <c r="D991" s="1">
        <v>7.6</v>
      </c>
    </row>
    <row r="992" spans="1:4" x14ac:dyDescent="0.25">
      <c r="A992" s="16">
        <v>8512</v>
      </c>
      <c r="B992" s="1">
        <v>1</v>
      </c>
      <c r="C992" s="1">
        <v>3</v>
      </c>
      <c r="D992" s="1">
        <v>8.3999999999999986</v>
      </c>
    </row>
    <row r="993" spans="1:4" x14ac:dyDescent="0.25">
      <c r="A993" s="16">
        <v>8513</v>
      </c>
      <c r="B993" s="1">
        <v>1</v>
      </c>
      <c r="C993" s="1">
        <v>2</v>
      </c>
      <c r="D993" s="1">
        <v>12</v>
      </c>
    </row>
    <row r="994" spans="1:4" x14ac:dyDescent="0.25">
      <c r="A994" s="16">
        <v>8514</v>
      </c>
      <c r="B994" s="1">
        <v>1</v>
      </c>
      <c r="C994" s="1">
        <v>1</v>
      </c>
      <c r="D994" s="1">
        <v>8.8000000000000007</v>
      </c>
    </row>
    <row r="995" spans="1:4" x14ac:dyDescent="0.25">
      <c r="A995" s="16">
        <v>8515</v>
      </c>
      <c r="B995" s="1">
        <v>1</v>
      </c>
      <c r="C995" s="1">
        <v>1</v>
      </c>
      <c r="D995" s="1">
        <v>14</v>
      </c>
    </row>
    <row r="996" spans="1:4" x14ac:dyDescent="0.25">
      <c r="A996" s="16">
        <v>8516</v>
      </c>
      <c r="B996" s="1">
        <v>1</v>
      </c>
      <c r="C996" s="1">
        <v>1</v>
      </c>
      <c r="D996" s="1">
        <v>36</v>
      </c>
    </row>
    <row r="997" spans="1:4" x14ac:dyDescent="0.25">
      <c r="A997" s="16">
        <v>8517</v>
      </c>
      <c r="B997" s="1">
        <v>1</v>
      </c>
      <c r="C997" s="1">
        <v>5</v>
      </c>
      <c r="D997" s="1">
        <v>14</v>
      </c>
    </row>
    <row r="998" spans="1:4" x14ac:dyDescent="0.25">
      <c r="A998" s="16">
        <v>8518</v>
      </c>
      <c r="B998" s="1">
        <v>1</v>
      </c>
      <c r="C998" s="1">
        <v>2</v>
      </c>
      <c r="D998" s="1">
        <v>12</v>
      </c>
    </row>
    <row r="999" spans="1:4" x14ac:dyDescent="0.25">
      <c r="A999" s="16">
        <v>8519</v>
      </c>
      <c r="B999" s="1">
        <v>1</v>
      </c>
      <c r="C999" s="1">
        <v>1</v>
      </c>
      <c r="D999" s="1">
        <v>8.8000000000000007</v>
      </c>
    </row>
    <row r="1000" spans="1:4" x14ac:dyDescent="0.25">
      <c r="A1000" s="16">
        <v>8520</v>
      </c>
      <c r="B1000" s="1">
        <v>1</v>
      </c>
      <c r="C1000" s="1">
        <v>1</v>
      </c>
      <c r="D1000" s="1">
        <v>14</v>
      </c>
    </row>
    <row r="1001" spans="1:4" x14ac:dyDescent="0.25">
      <c r="A1001" s="16">
        <v>8521</v>
      </c>
      <c r="B1001" s="1">
        <v>1</v>
      </c>
      <c r="C1001" s="1">
        <v>2</v>
      </c>
      <c r="D1001" s="1">
        <v>4.8</v>
      </c>
    </row>
    <row r="1002" spans="1:4" x14ac:dyDescent="0.25">
      <c r="A1002" s="16">
        <v>8522</v>
      </c>
      <c r="B1002" s="1">
        <v>1</v>
      </c>
      <c r="C1002" s="1">
        <v>1</v>
      </c>
      <c r="D1002" s="1">
        <v>36</v>
      </c>
    </row>
    <row r="1003" spans="1:4" x14ac:dyDescent="0.25">
      <c r="A1003" s="16">
        <v>8523</v>
      </c>
      <c r="B1003" s="1">
        <v>1</v>
      </c>
      <c r="C1003" s="1">
        <v>1</v>
      </c>
      <c r="D1003" s="1">
        <v>8</v>
      </c>
    </row>
    <row r="1004" spans="1:4" x14ac:dyDescent="0.25">
      <c r="A1004" s="16">
        <v>8524</v>
      </c>
      <c r="B1004" s="1">
        <v>1</v>
      </c>
      <c r="C1004" s="1">
        <v>1</v>
      </c>
      <c r="D1004" s="1">
        <v>19.600000000000001</v>
      </c>
    </row>
    <row r="1005" spans="1:4" x14ac:dyDescent="0.25">
      <c r="A1005" s="16">
        <v>8525</v>
      </c>
      <c r="B1005" s="1">
        <v>1</v>
      </c>
      <c r="C1005" s="1">
        <v>1</v>
      </c>
      <c r="D1005" s="1">
        <v>7.6</v>
      </c>
    </row>
    <row r="1006" spans="1:4" x14ac:dyDescent="0.25">
      <c r="A1006" s="16">
        <v>8526</v>
      </c>
      <c r="B1006" s="1">
        <v>1</v>
      </c>
      <c r="C1006" s="1">
        <v>4</v>
      </c>
      <c r="D1006" s="1">
        <v>11.2</v>
      </c>
    </row>
    <row r="1007" spans="1:4" x14ac:dyDescent="0.25">
      <c r="A1007" s="16">
        <v>8527</v>
      </c>
      <c r="B1007" s="1">
        <v>1</v>
      </c>
      <c r="C1007" s="1">
        <v>2</v>
      </c>
      <c r="D1007" s="1">
        <v>12</v>
      </c>
    </row>
    <row r="1008" spans="1:4" x14ac:dyDescent="0.25">
      <c r="A1008" s="16">
        <v>8528</v>
      </c>
      <c r="B1008" s="1">
        <v>1</v>
      </c>
      <c r="C1008" s="1">
        <v>1</v>
      </c>
      <c r="D1008" s="1">
        <v>8.8000000000000007</v>
      </c>
    </row>
    <row r="1009" spans="1:4" x14ac:dyDescent="0.25">
      <c r="A1009" s="16">
        <v>8529</v>
      </c>
      <c r="B1009" s="1">
        <v>1</v>
      </c>
      <c r="C1009" s="1">
        <v>2</v>
      </c>
      <c r="D1009" s="1">
        <v>28</v>
      </c>
    </row>
    <row r="1010" spans="1:4" x14ac:dyDescent="0.25">
      <c r="A1010" s="16">
        <v>8530</v>
      </c>
      <c r="B1010" s="1">
        <v>1</v>
      </c>
      <c r="C1010" s="1">
        <v>1</v>
      </c>
      <c r="D1010" s="1">
        <v>36</v>
      </c>
    </row>
    <row r="1011" spans="1:4" x14ac:dyDescent="0.25">
      <c r="A1011" s="16">
        <v>8531</v>
      </c>
      <c r="B1011" s="1">
        <v>1</v>
      </c>
      <c r="C1011" s="1">
        <v>3</v>
      </c>
      <c r="D1011" s="1">
        <v>8.3999999999999986</v>
      </c>
    </row>
    <row r="1012" spans="1:4" x14ac:dyDescent="0.25">
      <c r="A1012" s="16">
        <v>8532</v>
      </c>
      <c r="B1012" s="1">
        <v>1</v>
      </c>
      <c r="C1012" s="1">
        <v>1</v>
      </c>
      <c r="D1012" s="1">
        <v>6</v>
      </c>
    </row>
    <row r="1013" spans="1:4" x14ac:dyDescent="0.25">
      <c r="A1013" s="16">
        <v>8533</v>
      </c>
      <c r="B1013" s="1">
        <v>1</v>
      </c>
      <c r="C1013" s="1">
        <v>1</v>
      </c>
      <c r="D1013" s="1">
        <v>8.8000000000000007</v>
      </c>
    </row>
    <row r="1014" spans="1:4" x14ac:dyDescent="0.25">
      <c r="A1014" s="16">
        <v>8534</v>
      </c>
      <c r="B1014" s="1">
        <v>1</v>
      </c>
      <c r="C1014" s="1">
        <v>1</v>
      </c>
      <c r="D1014" s="1">
        <v>14</v>
      </c>
    </row>
    <row r="1015" spans="1:4" x14ac:dyDescent="0.25">
      <c r="A1015" s="16">
        <v>8535</v>
      </c>
      <c r="B1015" s="1">
        <v>1</v>
      </c>
      <c r="C1015" s="1">
        <v>2</v>
      </c>
      <c r="D1015" s="1">
        <v>4.8</v>
      </c>
    </row>
    <row r="1016" spans="1:4" x14ac:dyDescent="0.25">
      <c r="A1016" s="16">
        <v>8536</v>
      </c>
      <c r="B1016" s="1">
        <v>1</v>
      </c>
      <c r="C1016" s="1">
        <v>1</v>
      </c>
      <c r="D1016" s="1">
        <v>36</v>
      </c>
    </row>
    <row r="1017" spans="1:4" x14ac:dyDescent="0.25">
      <c r="A1017" s="16">
        <v>8537</v>
      </c>
      <c r="B1017" s="1">
        <v>1</v>
      </c>
      <c r="C1017" s="1">
        <v>1</v>
      </c>
      <c r="D1017" s="1">
        <v>8</v>
      </c>
    </row>
    <row r="1018" spans="1:4" x14ac:dyDescent="0.25">
      <c r="A1018" s="16">
        <v>8538</v>
      </c>
      <c r="B1018" s="1">
        <v>1</v>
      </c>
      <c r="C1018" s="1">
        <v>1</v>
      </c>
      <c r="D1018" s="1">
        <v>19.600000000000001</v>
      </c>
    </row>
    <row r="1019" spans="1:4" x14ac:dyDescent="0.25">
      <c r="A1019" s="16">
        <v>8539</v>
      </c>
      <c r="B1019" s="1">
        <v>1</v>
      </c>
      <c r="C1019" s="1">
        <v>1</v>
      </c>
      <c r="D1019" s="1">
        <v>7.6</v>
      </c>
    </row>
    <row r="1020" spans="1:4" x14ac:dyDescent="0.25">
      <c r="A1020" s="16">
        <v>8540</v>
      </c>
      <c r="B1020" s="1">
        <v>1</v>
      </c>
      <c r="C1020" s="1">
        <v>4</v>
      </c>
      <c r="D1020" s="1">
        <v>11.2</v>
      </c>
    </row>
    <row r="1021" spans="1:4" x14ac:dyDescent="0.25">
      <c r="A1021" s="16">
        <v>8541</v>
      </c>
      <c r="B1021" s="1">
        <v>1</v>
      </c>
      <c r="C1021" s="1">
        <v>2</v>
      </c>
      <c r="D1021" s="1">
        <v>12</v>
      </c>
    </row>
    <row r="1022" spans="1:4" x14ac:dyDescent="0.25">
      <c r="A1022" s="16">
        <v>8542</v>
      </c>
      <c r="B1022" s="1">
        <v>1</v>
      </c>
      <c r="C1022" s="1">
        <v>1</v>
      </c>
      <c r="D1022" s="1">
        <v>8.8000000000000007</v>
      </c>
    </row>
    <row r="1023" spans="1:4" x14ac:dyDescent="0.25">
      <c r="A1023" s="16">
        <v>8543</v>
      </c>
      <c r="B1023" s="1">
        <v>1</v>
      </c>
      <c r="C1023" s="1">
        <v>2</v>
      </c>
      <c r="D1023" s="1">
        <v>28</v>
      </c>
    </row>
    <row r="1024" spans="1:4" x14ac:dyDescent="0.25">
      <c r="A1024" s="16">
        <v>8544</v>
      </c>
      <c r="B1024" s="1">
        <v>1</v>
      </c>
      <c r="C1024" s="1">
        <v>1</v>
      </c>
      <c r="D1024" s="1">
        <v>36</v>
      </c>
    </row>
    <row r="1025" spans="1:4" x14ac:dyDescent="0.25">
      <c r="A1025" s="16">
        <v>8545</v>
      </c>
      <c r="B1025" s="1">
        <v>1</v>
      </c>
      <c r="C1025" s="1">
        <v>3</v>
      </c>
      <c r="D1025" s="1">
        <v>8.3999999999999986</v>
      </c>
    </row>
    <row r="1026" spans="1:4" x14ac:dyDescent="0.25">
      <c r="A1026" s="16">
        <v>8546</v>
      </c>
      <c r="B1026" s="1">
        <v>1</v>
      </c>
      <c r="C1026" s="1">
        <v>2</v>
      </c>
      <c r="D1026" s="1">
        <v>12</v>
      </c>
    </row>
    <row r="1027" spans="1:4" x14ac:dyDescent="0.25">
      <c r="A1027" s="16">
        <v>8547</v>
      </c>
      <c r="B1027" s="1">
        <v>1</v>
      </c>
      <c r="C1027" s="1">
        <v>1</v>
      </c>
      <c r="D1027" s="1">
        <v>8.8000000000000007</v>
      </c>
    </row>
    <row r="1028" spans="1:4" x14ac:dyDescent="0.25">
      <c r="A1028" s="16">
        <v>8548</v>
      </c>
      <c r="B1028" s="1">
        <v>1</v>
      </c>
      <c r="C1028" s="1">
        <v>2</v>
      </c>
      <c r="D1028" s="1">
        <v>28</v>
      </c>
    </row>
    <row r="1029" spans="1:4" x14ac:dyDescent="0.25">
      <c r="A1029" s="16">
        <v>8549</v>
      </c>
      <c r="B1029" s="1">
        <v>1</v>
      </c>
      <c r="C1029" s="1">
        <v>1</v>
      </c>
      <c r="D1029" s="1">
        <v>36</v>
      </c>
    </row>
    <row r="1030" spans="1:4" x14ac:dyDescent="0.25">
      <c r="A1030" s="16">
        <v>8550</v>
      </c>
      <c r="B1030" s="1">
        <v>1</v>
      </c>
      <c r="C1030" s="1">
        <v>4</v>
      </c>
      <c r="D1030" s="1">
        <v>11.2</v>
      </c>
    </row>
    <row r="1031" spans="1:4" x14ac:dyDescent="0.25">
      <c r="A1031" s="16">
        <v>8551</v>
      </c>
      <c r="B1031" s="1">
        <v>1</v>
      </c>
      <c r="C1031" s="1">
        <v>2</v>
      </c>
      <c r="D1031" s="1">
        <v>12</v>
      </c>
    </row>
    <row r="1032" spans="1:4" x14ac:dyDescent="0.25">
      <c r="A1032" s="16">
        <v>8552</v>
      </c>
      <c r="B1032" s="1">
        <v>1</v>
      </c>
      <c r="C1032" s="1">
        <v>1</v>
      </c>
      <c r="D1032" s="1">
        <v>8.8000000000000007</v>
      </c>
    </row>
    <row r="1033" spans="1:4" x14ac:dyDescent="0.25">
      <c r="A1033" s="16">
        <v>8553</v>
      </c>
      <c r="B1033" s="1">
        <v>1</v>
      </c>
      <c r="C1033" s="1">
        <v>1</v>
      </c>
      <c r="D1033" s="1">
        <v>14</v>
      </c>
    </row>
    <row r="1034" spans="1:4" x14ac:dyDescent="0.25">
      <c r="A1034" s="16">
        <v>8554</v>
      </c>
      <c r="B1034" s="1">
        <v>1</v>
      </c>
      <c r="C1034" s="1">
        <v>1</v>
      </c>
      <c r="D1034" s="1">
        <v>36</v>
      </c>
    </row>
    <row r="1035" spans="1:4" x14ac:dyDescent="0.25">
      <c r="A1035" s="16">
        <v>8555</v>
      </c>
      <c r="B1035" s="1">
        <v>1</v>
      </c>
      <c r="C1035" s="1">
        <v>5</v>
      </c>
      <c r="D1035" s="1">
        <v>14</v>
      </c>
    </row>
    <row r="1036" spans="1:4" x14ac:dyDescent="0.25">
      <c r="A1036" s="16">
        <v>8556</v>
      </c>
      <c r="B1036" s="1">
        <v>1</v>
      </c>
      <c r="C1036" s="1">
        <v>2</v>
      </c>
      <c r="D1036" s="1">
        <v>12</v>
      </c>
    </row>
    <row r="1037" spans="1:4" x14ac:dyDescent="0.25">
      <c r="A1037" s="16">
        <v>8557</v>
      </c>
      <c r="B1037" s="1">
        <v>1</v>
      </c>
      <c r="C1037" s="1">
        <v>1</v>
      </c>
      <c r="D1037" s="1">
        <v>8.8000000000000007</v>
      </c>
    </row>
    <row r="1038" spans="1:4" x14ac:dyDescent="0.25">
      <c r="A1038" s="16">
        <v>8558</v>
      </c>
      <c r="B1038" s="1">
        <v>1</v>
      </c>
      <c r="C1038" s="1">
        <v>2</v>
      </c>
      <c r="D1038" s="1">
        <v>28</v>
      </c>
    </row>
    <row r="1039" spans="1:4" x14ac:dyDescent="0.25">
      <c r="A1039" s="16">
        <v>8559</v>
      </c>
      <c r="B1039" s="1">
        <v>1</v>
      </c>
      <c r="C1039" s="1">
        <v>1</v>
      </c>
      <c r="D1039" s="1">
        <v>36</v>
      </c>
    </row>
    <row r="1040" spans="1:4" x14ac:dyDescent="0.25">
      <c r="A1040" s="16">
        <v>8560</v>
      </c>
      <c r="B1040" s="1">
        <v>1</v>
      </c>
      <c r="C1040" s="1">
        <v>1</v>
      </c>
      <c r="D1040" s="1">
        <v>8</v>
      </c>
    </row>
    <row r="1041" spans="1:4" x14ac:dyDescent="0.25">
      <c r="A1041" s="16">
        <v>8561</v>
      </c>
      <c r="B1041" s="1">
        <v>1</v>
      </c>
      <c r="C1041" s="1">
        <v>1</v>
      </c>
      <c r="D1041" s="1">
        <v>19.600000000000001</v>
      </c>
    </row>
    <row r="1042" spans="1:4" x14ac:dyDescent="0.25">
      <c r="A1042" s="16">
        <v>8562</v>
      </c>
      <c r="B1042" s="1">
        <v>1</v>
      </c>
      <c r="C1042" s="1">
        <v>1</v>
      </c>
      <c r="D1042" s="1">
        <v>7.6</v>
      </c>
    </row>
    <row r="1043" spans="1:4" x14ac:dyDescent="0.25">
      <c r="A1043" s="16">
        <v>8563</v>
      </c>
      <c r="B1043" s="1">
        <v>1</v>
      </c>
      <c r="C1043" s="1">
        <v>3</v>
      </c>
      <c r="D1043" s="1">
        <v>8.3999999999999986</v>
      </c>
    </row>
    <row r="1044" spans="1:4" x14ac:dyDescent="0.25">
      <c r="A1044" s="16">
        <v>8564</v>
      </c>
      <c r="B1044" s="1">
        <v>1</v>
      </c>
      <c r="C1044" s="1">
        <v>2</v>
      </c>
      <c r="D1044" s="1">
        <v>12</v>
      </c>
    </row>
    <row r="1045" spans="1:4" x14ac:dyDescent="0.25">
      <c r="A1045" s="16">
        <v>8565</v>
      </c>
      <c r="B1045" s="1">
        <v>1</v>
      </c>
      <c r="C1045" s="1">
        <v>1</v>
      </c>
      <c r="D1045" s="1">
        <v>8.8000000000000007</v>
      </c>
    </row>
    <row r="1046" spans="1:4" x14ac:dyDescent="0.25">
      <c r="A1046" s="16">
        <v>8566</v>
      </c>
      <c r="B1046" s="1">
        <v>1</v>
      </c>
      <c r="C1046" s="1">
        <v>1</v>
      </c>
      <c r="D1046" s="1">
        <v>14</v>
      </c>
    </row>
    <row r="1047" spans="1:4" x14ac:dyDescent="0.25">
      <c r="A1047" s="16">
        <v>8567</v>
      </c>
      <c r="B1047" s="1">
        <v>1</v>
      </c>
      <c r="C1047" s="1">
        <v>2</v>
      </c>
      <c r="D1047" s="1">
        <v>4.8</v>
      </c>
    </row>
    <row r="1048" spans="1:4" x14ac:dyDescent="0.25">
      <c r="A1048" s="16">
        <v>8568</v>
      </c>
      <c r="B1048" s="1">
        <v>1</v>
      </c>
      <c r="C1048" s="1">
        <v>1</v>
      </c>
      <c r="D1048" s="1">
        <v>36</v>
      </c>
    </row>
    <row r="1049" spans="1:4" x14ac:dyDescent="0.25">
      <c r="A1049" s="16">
        <v>8569</v>
      </c>
      <c r="B1049" s="1">
        <v>1</v>
      </c>
      <c r="C1049" s="1">
        <v>1</v>
      </c>
      <c r="D1049" s="1">
        <v>8</v>
      </c>
    </row>
    <row r="1050" spans="1:4" x14ac:dyDescent="0.25">
      <c r="A1050" s="16">
        <v>8570</v>
      </c>
      <c r="B1050" s="1">
        <v>1</v>
      </c>
      <c r="C1050" s="1">
        <v>1</v>
      </c>
      <c r="D1050" s="1">
        <v>19.600000000000001</v>
      </c>
    </row>
    <row r="1051" spans="1:4" x14ac:dyDescent="0.25">
      <c r="A1051" s="16">
        <v>8571</v>
      </c>
      <c r="B1051" s="1">
        <v>1</v>
      </c>
      <c r="C1051" s="1">
        <v>1</v>
      </c>
      <c r="D1051" s="1">
        <v>7.6</v>
      </c>
    </row>
    <row r="1052" spans="1:4" x14ac:dyDescent="0.25">
      <c r="A1052" s="16">
        <v>8572</v>
      </c>
      <c r="B1052" s="1">
        <v>1</v>
      </c>
      <c r="C1052" s="1">
        <v>4</v>
      </c>
      <c r="D1052" s="1">
        <v>11.2</v>
      </c>
    </row>
    <row r="1053" spans="1:4" x14ac:dyDescent="0.25">
      <c r="A1053" s="16">
        <v>8573</v>
      </c>
      <c r="B1053" s="1">
        <v>1</v>
      </c>
      <c r="C1053" s="1">
        <v>2</v>
      </c>
      <c r="D1053" s="1">
        <v>12</v>
      </c>
    </row>
    <row r="1054" spans="1:4" x14ac:dyDescent="0.25">
      <c r="A1054" s="16">
        <v>8574</v>
      </c>
      <c r="B1054" s="1">
        <v>1</v>
      </c>
      <c r="C1054" s="1">
        <v>1</v>
      </c>
      <c r="D1054" s="1">
        <v>8.8000000000000007</v>
      </c>
    </row>
    <row r="1055" spans="1:4" x14ac:dyDescent="0.25">
      <c r="A1055" s="16">
        <v>8575</v>
      </c>
      <c r="B1055" s="1">
        <v>1</v>
      </c>
      <c r="C1055" s="1">
        <v>1</v>
      </c>
      <c r="D1055" s="1">
        <v>14</v>
      </c>
    </row>
    <row r="1056" spans="1:4" x14ac:dyDescent="0.25">
      <c r="A1056" s="16">
        <v>8576</v>
      </c>
      <c r="B1056" s="1">
        <v>1</v>
      </c>
      <c r="C1056" s="1">
        <v>1</v>
      </c>
      <c r="D1056" s="1">
        <v>36</v>
      </c>
    </row>
    <row r="1057" spans="1:4" x14ac:dyDescent="0.25">
      <c r="A1057" s="16">
        <v>8577</v>
      </c>
      <c r="B1057" s="1">
        <v>1</v>
      </c>
      <c r="C1057" s="1">
        <v>5</v>
      </c>
      <c r="D1057" s="1">
        <v>14</v>
      </c>
    </row>
    <row r="1058" spans="1:4" x14ac:dyDescent="0.25">
      <c r="A1058" s="16">
        <v>8578</v>
      </c>
      <c r="B1058" s="1">
        <v>1</v>
      </c>
      <c r="C1058" s="1">
        <v>1</v>
      </c>
      <c r="D1058" s="1">
        <v>6</v>
      </c>
    </row>
    <row r="1059" spans="1:4" x14ac:dyDescent="0.25">
      <c r="A1059" s="16">
        <v>8579</v>
      </c>
      <c r="B1059" s="1">
        <v>1</v>
      </c>
      <c r="C1059" s="1">
        <v>1</v>
      </c>
      <c r="D1059" s="1">
        <v>8.8000000000000007</v>
      </c>
    </row>
    <row r="1060" spans="1:4" x14ac:dyDescent="0.25">
      <c r="A1060" s="16">
        <v>8580</v>
      </c>
      <c r="B1060" s="1">
        <v>1</v>
      </c>
      <c r="C1060" s="1">
        <v>2</v>
      </c>
      <c r="D1060" s="1">
        <v>28</v>
      </c>
    </row>
    <row r="1061" spans="1:4" x14ac:dyDescent="0.25">
      <c r="A1061" s="16">
        <v>8581</v>
      </c>
      <c r="B1061" s="1">
        <v>1</v>
      </c>
      <c r="C1061" s="1">
        <v>1</v>
      </c>
      <c r="D1061" s="1">
        <v>36</v>
      </c>
    </row>
    <row r="1062" spans="1:4" x14ac:dyDescent="0.25">
      <c r="A1062" s="16">
        <v>8582</v>
      </c>
      <c r="B1062" s="1">
        <v>1</v>
      </c>
      <c r="C1062" s="1">
        <v>1</v>
      </c>
      <c r="D1062" s="1">
        <v>8</v>
      </c>
    </row>
    <row r="1063" spans="1:4" x14ac:dyDescent="0.25">
      <c r="A1063" s="16">
        <v>8583</v>
      </c>
      <c r="B1063" s="1">
        <v>1</v>
      </c>
      <c r="C1063" s="1">
        <v>1</v>
      </c>
      <c r="D1063" s="1">
        <v>19.600000000000001</v>
      </c>
    </row>
    <row r="1064" spans="1:4" x14ac:dyDescent="0.25">
      <c r="A1064" s="16">
        <v>8584</v>
      </c>
      <c r="B1064" s="1">
        <v>1</v>
      </c>
      <c r="C1064" s="1">
        <v>1</v>
      </c>
      <c r="D1064" s="1">
        <v>7.6</v>
      </c>
    </row>
    <row r="1065" spans="1:4" x14ac:dyDescent="0.25">
      <c r="A1065" s="16">
        <v>8585</v>
      </c>
      <c r="B1065" s="1">
        <v>1</v>
      </c>
      <c r="C1065" s="1">
        <v>3</v>
      </c>
      <c r="D1065" s="1">
        <v>8.3999999999999986</v>
      </c>
    </row>
    <row r="1066" spans="1:4" x14ac:dyDescent="0.25">
      <c r="A1066" s="16">
        <v>8586</v>
      </c>
      <c r="B1066" s="1">
        <v>1</v>
      </c>
      <c r="C1066" s="1">
        <v>2</v>
      </c>
      <c r="D1066" s="1">
        <v>12</v>
      </c>
    </row>
    <row r="1067" spans="1:4" x14ac:dyDescent="0.25">
      <c r="A1067" s="16">
        <v>8587</v>
      </c>
      <c r="B1067" s="1">
        <v>1</v>
      </c>
      <c r="C1067" s="1">
        <v>1</v>
      </c>
      <c r="D1067" s="1">
        <v>8.8000000000000007</v>
      </c>
    </row>
    <row r="1068" spans="1:4" x14ac:dyDescent="0.25">
      <c r="A1068" s="16">
        <v>8588</v>
      </c>
      <c r="B1068" s="1">
        <v>1</v>
      </c>
      <c r="C1068" s="1">
        <v>1</v>
      </c>
      <c r="D1068" s="1">
        <v>14</v>
      </c>
    </row>
    <row r="1069" spans="1:4" x14ac:dyDescent="0.25">
      <c r="A1069" s="16">
        <v>8589</v>
      </c>
      <c r="B1069" s="1">
        <v>1</v>
      </c>
      <c r="C1069" s="1">
        <v>1</v>
      </c>
      <c r="D1069" s="1">
        <v>36</v>
      </c>
    </row>
    <row r="1070" spans="1:4" x14ac:dyDescent="0.25">
      <c r="A1070" s="16">
        <v>8590</v>
      </c>
      <c r="B1070" s="1">
        <v>1</v>
      </c>
      <c r="C1070" s="1">
        <v>4</v>
      </c>
      <c r="D1070" s="1">
        <v>11.2</v>
      </c>
    </row>
    <row r="1071" spans="1:4" x14ac:dyDescent="0.25">
      <c r="A1071" s="16">
        <v>8591</v>
      </c>
      <c r="B1071" s="1">
        <v>1</v>
      </c>
      <c r="C1071" s="1">
        <v>2</v>
      </c>
      <c r="D1071" s="1">
        <v>12</v>
      </c>
    </row>
    <row r="1072" spans="1:4" x14ac:dyDescent="0.25">
      <c r="A1072" s="16">
        <v>8592</v>
      </c>
      <c r="B1072" s="1">
        <v>1</v>
      </c>
      <c r="C1072" s="1">
        <v>1</v>
      </c>
      <c r="D1072" s="1">
        <v>8.8000000000000007</v>
      </c>
    </row>
    <row r="1073" spans="1:4" x14ac:dyDescent="0.25">
      <c r="A1073" s="16">
        <v>8593</v>
      </c>
      <c r="B1073" s="1">
        <v>1</v>
      </c>
      <c r="C1073" s="1">
        <v>2</v>
      </c>
      <c r="D1073" s="1">
        <v>28</v>
      </c>
    </row>
    <row r="1074" spans="1:4" x14ac:dyDescent="0.25">
      <c r="A1074" s="16">
        <v>8594</v>
      </c>
      <c r="B1074" s="1">
        <v>1</v>
      </c>
      <c r="C1074" s="1">
        <v>2</v>
      </c>
      <c r="D1074" s="1">
        <v>4.8</v>
      </c>
    </row>
    <row r="1075" spans="1:4" x14ac:dyDescent="0.25">
      <c r="A1075" s="16">
        <v>8595</v>
      </c>
      <c r="B1075" s="1">
        <v>1</v>
      </c>
      <c r="C1075" s="1">
        <v>1</v>
      </c>
      <c r="D1075" s="1">
        <v>36</v>
      </c>
    </row>
    <row r="1076" spans="1:4" x14ac:dyDescent="0.25">
      <c r="A1076" s="16">
        <v>8596</v>
      </c>
      <c r="B1076" s="1">
        <v>1</v>
      </c>
      <c r="C1076" s="1">
        <v>1</v>
      </c>
      <c r="D1076" s="1">
        <v>8</v>
      </c>
    </row>
    <row r="1077" spans="1:4" x14ac:dyDescent="0.25">
      <c r="A1077" s="16">
        <v>8597</v>
      </c>
      <c r="B1077" s="1">
        <v>1</v>
      </c>
      <c r="C1077" s="1">
        <v>1</v>
      </c>
      <c r="D1077" s="1">
        <v>19.600000000000001</v>
      </c>
    </row>
    <row r="1078" spans="1:4" x14ac:dyDescent="0.25">
      <c r="A1078" s="16">
        <v>8598</v>
      </c>
      <c r="B1078" s="1">
        <v>1</v>
      </c>
      <c r="C1078" s="1">
        <v>1</v>
      </c>
      <c r="D1078" s="1">
        <v>7.6</v>
      </c>
    </row>
    <row r="1079" spans="1:4" x14ac:dyDescent="0.25">
      <c r="A1079" s="16">
        <v>8599</v>
      </c>
      <c r="B1079" s="1">
        <v>1</v>
      </c>
      <c r="C1079" s="1">
        <v>3</v>
      </c>
      <c r="D1079" s="1">
        <v>8.3999999999999986</v>
      </c>
    </row>
    <row r="1080" spans="1:4" x14ac:dyDescent="0.25">
      <c r="A1080" s="16">
        <v>8600</v>
      </c>
      <c r="B1080" s="1">
        <v>1</v>
      </c>
      <c r="C1080" s="1">
        <v>2</v>
      </c>
      <c r="D1080" s="1">
        <v>12</v>
      </c>
    </row>
    <row r="1081" spans="1:4" x14ac:dyDescent="0.25">
      <c r="A1081" s="16">
        <v>8601</v>
      </c>
      <c r="B1081" s="1">
        <v>1</v>
      </c>
      <c r="C1081" s="1">
        <v>1</v>
      </c>
      <c r="D1081" s="1">
        <v>8.8000000000000007</v>
      </c>
    </row>
    <row r="1082" spans="1:4" x14ac:dyDescent="0.25">
      <c r="A1082" s="16">
        <v>8602</v>
      </c>
      <c r="B1082" s="1">
        <v>1</v>
      </c>
      <c r="C1082" s="1">
        <v>1</v>
      </c>
      <c r="D1082" s="1">
        <v>14</v>
      </c>
    </row>
    <row r="1083" spans="1:4" x14ac:dyDescent="0.25">
      <c r="A1083" s="16">
        <v>8603</v>
      </c>
      <c r="B1083" s="1">
        <v>1</v>
      </c>
      <c r="C1083" s="1">
        <v>1</v>
      </c>
      <c r="D1083" s="1">
        <v>36</v>
      </c>
    </row>
    <row r="1084" spans="1:4" x14ac:dyDescent="0.25">
      <c r="A1084" s="16">
        <v>8604</v>
      </c>
      <c r="B1084" s="1">
        <v>1</v>
      </c>
      <c r="C1084" s="1">
        <v>5</v>
      </c>
      <c r="D1084" s="1">
        <v>14</v>
      </c>
    </row>
    <row r="1085" spans="1:4" x14ac:dyDescent="0.25">
      <c r="A1085" s="16">
        <v>8605</v>
      </c>
      <c r="B1085" s="1">
        <v>1</v>
      </c>
      <c r="C1085" s="1">
        <v>1</v>
      </c>
      <c r="D1085" s="1">
        <v>6</v>
      </c>
    </row>
    <row r="1086" spans="1:4" x14ac:dyDescent="0.25">
      <c r="A1086" s="16">
        <v>8606</v>
      </c>
      <c r="B1086" s="1">
        <v>1</v>
      </c>
      <c r="C1086" s="1">
        <v>1</v>
      </c>
      <c r="D1086" s="1">
        <v>8.8000000000000007</v>
      </c>
    </row>
    <row r="1087" spans="1:4" x14ac:dyDescent="0.25">
      <c r="A1087" s="16">
        <v>8607</v>
      </c>
      <c r="B1087" s="1">
        <v>1</v>
      </c>
      <c r="C1087" s="1">
        <v>2</v>
      </c>
      <c r="D1087" s="1">
        <v>28</v>
      </c>
    </row>
    <row r="1088" spans="1:4" x14ac:dyDescent="0.25">
      <c r="A1088" s="16">
        <v>8608</v>
      </c>
      <c r="B1088" s="1">
        <v>1</v>
      </c>
      <c r="C1088" s="1">
        <v>1</v>
      </c>
      <c r="D1088" s="1">
        <v>36</v>
      </c>
    </row>
    <row r="1089" spans="1:4" x14ac:dyDescent="0.25">
      <c r="A1089" s="16">
        <v>8609</v>
      </c>
      <c r="B1089" s="1">
        <v>1</v>
      </c>
      <c r="C1089" s="1">
        <v>1</v>
      </c>
      <c r="D1089" s="1">
        <v>8</v>
      </c>
    </row>
    <row r="1090" spans="1:4" x14ac:dyDescent="0.25">
      <c r="A1090" s="16">
        <v>8610</v>
      </c>
      <c r="B1090" s="1">
        <v>1</v>
      </c>
      <c r="C1090" s="1">
        <v>1</v>
      </c>
      <c r="D1090" s="1">
        <v>19.600000000000001</v>
      </c>
    </row>
    <row r="1091" spans="1:4" x14ac:dyDescent="0.25">
      <c r="A1091" s="16">
        <v>8611</v>
      </c>
      <c r="B1091" s="1">
        <v>1</v>
      </c>
      <c r="C1091" s="1">
        <v>1</v>
      </c>
      <c r="D1091" s="1">
        <v>7.6</v>
      </c>
    </row>
    <row r="1092" spans="1:4" x14ac:dyDescent="0.25">
      <c r="A1092" s="16">
        <v>8612</v>
      </c>
      <c r="B1092" s="1">
        <v>1</v>
      </c>
      <c r="C1092" s="1">
        <v>3</v>
      </c>
      <c r="D1092" s="1">
        <v>8.3999999999999986</v>
      </c>
    </row>
    <row r="1093" spans="1:4" x14ac:dyDescent="0.25">
      <c r="A1093" s="16">
        <v>8613</v>
      </c>
      <c r="B1093" s="1">
        <v>1</v>
      </c>
      <c r="C1093" s="1">
        <v>2</v>
      </c>
      <c r="D1093" s="1">
        <v>12</v>
      </c>
    </row>
    <row r="1094" spans="1:4" x14ac:dyDescent="0.25">
      <c r="A1094" s="16">
        <v>8614</v>
      </c>
      <c r="B1094" s="1">
        <v>1</v>
      </c>
      <c r="C1094" s="1">
        <v>1</v>
      </c>
      <c r="D1094" s="1">
        <v>8.8000000000000007</v>
      </c>
    </row>
    <row r="1095" spans="1:4" x14ac:dyDescent="0.25">
      <c r="A1095" s="16">
        <v>8615</v>
      </c>
      <c r="B1095" s="1">
        <v>1</v>
      </c>
      <c r="C1095" s="1">
        <v>1</v>
      </c>
      <c r="D1095" s="1">
        <v>14</v>
      </c>
    </row>
    <row r="1096" spans="1:4" x14ac:dyDescent="0.25">
      <c r="A1096" s="16">
        <v>8616</v>
      </c>
      <c r="B1096" s="1">
        <v>1</v>
      </c>
      <c r="C1096" s="1">
        <v>1</v>
      </c>
      <c r="D1096" s="1">
        <v>36</v>
      </c>
    </row>
    <row r="1097" spans="1:4" x14ac:dyDescent="0.25">
      <c r="A1097" s="16">
        <v>8617</v>
      </c>
      <c r="B1097" s="1">
        <v>1</v>
      </c>
      <c r="C1097" s="1">
        <v>4</v>
      </c>
      <c r="D1097" s="1">
        <v>11.2</v>
      </c>
    </row>
    <row r="1098" spans="1:4" x14ac:dyDescent="0.25">
      <c r="A1098" s="16">
        <v>8618</v>
      </c>
      <c r="B1098" s="1">
        <v>1</v>
      </c>
      <c r="C1098" s="1">
        <v>2</v>
      </c>
      <c r="D1098" s="1">
        <v>12</v>
      </c>
    </row>
    <row r="1099" spans="1:4" x14ac:dyDescent="0.25">
      <c r="A1099" s="16">
        <v>8619</v>
      </c>
      <c r="B1099" s="1">
        <v>1</v>
      </c>
      <c r="C1099" s="1">
        <v>1</v>
      </c>
      <c r="D1099" s="1">
        <v>8.8000000000000007</v>
      </c>
    </row>
    <row r="1100" spans="1:4" x14ac:dyDescent="0.25">
      <c r="A1100" s="16">
        <v>8620</v>
      </c>
      <c r="B1100" s="1">
        <v>1</v>
      </c>
      <c r="C1100" s="1">
        <v>2</v>
      </c>
      <c r="D1100" s="1">
        <v>28</v>
      </c>
    </row>
    <row r="1101" spans="1:4" x14ac:dyDescent="0.25">
      <c r="A1101" s="16">
        <v>8621</v>
      </c>
      <c r="B1101" s="1">
        <v>1</v>
      </c>
      <c r="C1101" s="1">
        <v>2</v>
      </c>
      <c r="D1101" s="1">
        <v>4.8</v>
      </c>
    </row>
    <row r="1102" spans="1:4" x14ac:dyDescent="0.25">
      <c r="A1102" s="16">
        <v>8622</v>
      </c>
      <c r="B1102" s="1">
        <v>1</v>
      </c>
      <c r="C1102" s="1">
        <v>1</v>
      </c>
      <c r="D1102" s="1">
        <v>36</v>
      </c>
    </row>
    <row r="1103" spans="1:4" x14ac:dyDescent="0.25">
      <c r="A1103" s="16">
        <v>8623</v>
      </c>
      <c r="B1103" s="1">
        <v>1</v>
      </c>
      <c r="C1103" s="1">
        <v>1</v>
      </c>
      <c r="D1103" s="1">
        <v>8</v>
      </c>
    </row>
    <row r="1104" spans="1:4" x14ac:dyDescent="0.25">
      <c r="A1104" s="16">
        <v>8624</v>
      </c>
      <c r="B1104" s="1">
        <v>1</v>
      </c>
      <c r="C1104" s="1">
        <v>1</v>
      </c>
      <c r="D1104" s="1">
        <v>19.600000000000001</v>
      </c>
    </row>
    <row r="1105" spans="1:4" x14ac:dyDescent="0.25">
      <c r="A1105" s="16">
        <v>8625</v>
      </c>
      <c r="B1105" s="1">
        <v>1</v>
      </c>
      <c r="C1105" s="1">
        <v>1</v>
      </c>
      <c r="D1105" s="1">
        <v>7.6</v>
      </c>
    </row>
    <row r="1106" spans="1:4" x14ac:dyDescent="0.25">
      <c r="A1106" s="16">
        <v>8626</v>
      </c>
      <c r="B1106" s="1">
        <v>1</v>
      </c>
      <c r="C1106" s="1">
        <v>3</v>
      </c>
      <c r="D1106" s="1">
        <v>8.3999999999999986</v>
      </c>
    </row>
    <row r="1107" spans="1:4" x14ac:dyDescent="0.25">
      <c r="A1107" s="16">
        <v>8627</v>
      </c>
      <c r="B1107" s="1">
        <v>1</v>
      </c>
      <c r="C1107" s="1">
        <v>2</v>
      </c>
      <c r="D1107" s="1">
        <v>12</v>
      </c>
    </row>
    <row r="1108" spans="1:4" x14ac:dyDescent="0.25">
      <c r="A1108" s="16">
        <v>8628</v>
      </c>
      <c r="B1108" s="1">
        <v>1</v>
      </c>
      <c r="C1108" s="1">
        <v>1</v>
      </c>
      <c r="D1108" s="1">
        <v>8.8000000000000007</v>
      </c>
    </row>
    <row r="1109" spans="1:4" x14ac:dyDescent="0.25">
      <c r="A1109" s="16">
        <v>8629</v>
      </c>
      <c r="B1109" s="1">
        <v>1</v>
      </c>
      <c r="C1109" s="1">
        <v>1</v>
      </c>
      <c r="D1109" s="1">
        <v>14</v>
      </c>
    </row>
    <row r="1110" spans="1:4" x14ac:dyDescent="0.25">
      <c r="A1110" s="16">
        <v>8630</v>
      </c>
      <c r="B1110" s="1">
        <v>1</v>
      </c>
      <c r="C1110" s="1">
        <v>1</v>
      </c>
      <c r="D1110" s="1">
        <v>36</v>
      </c>
    </row>
    <row r="1111" spans="1:4" x14ac:dyDescent="0.25">
      <c r="A1111" s="16">
        <v>8631</v>
      </c>
      <c r="B1111" s="1">
        <v>1</v>
      </c>
      <c r="C1111" s="1">
        <v>4</v>
      </c>
      <c r="D1111" s="1">
        <v>11.2</v>
      </c>
    </row>
    <row r="1112" spans="1:4" x14ac:dyDescent="0.25">
      <c r="A1112" s="16">
        <v>8632</v>
      </c>
      <c r="B1112" s="1">
        <v>1</v>
      </c>
      <c r="C1112" s="1">
        <v>2</v>
      </c>
      <c r="D1112" s="1">
        <v>12</v>
      </c>
    </row>
    <row r="1113" spans="1:4" x14ac:dyDescent="0.25">
      <c r="A1113" s="16">
        <v>8633</v>
      </c>
      <c r="B1113" s="1">
        <v>2</v>
      </c>
      <c r="C1113" s="1">
        <v>2</v>
      </c>
      <c r="D1113" s="1">
        <v>14.8</v>
      </c>
    </row>
    <row r="1114" spans="1:4" x14ac:dyDescent="0.25">
      <c r="A1114" s="16">
        <v>8634</v>
      </c>
      <c r="B1114" s="1">
        <v>1</v>
      </c>
      <c r="C1114" s="1">
        <v>4</v>
      </c>
      <c r="D1114" s="1">
        <v>11.2</v>
      </c>
    </row>
    <row r="1115" spans="1:4" x14ac:dyDescent="0.25">
      <c r="A1115" s="16">
        <v>8635</v>
      </c>
      <c r="B1115" s="1">
        <v>1</v>
      </c>
      <c r="C1115" s="1">
        <v>2</v>
      </c>
      <c r="D1115" s="1">
        <v>28</v>
      </c>
    </row>
    <row r="1116" spans="1:4" x14ac:dyDescent="0.25">
      <c r="A1116" s="16">
        <v>8636</v>
      </c>
      <c r="B1116" s="1">
        <v>1</v>
      </c>
      <c r="C1116" s="1">
        <v>1</v>
      </c>
      <c r="D1116" s="1">
        <v>36</v>
      </c>
    </row>
    <row r="1117" spans="1:4" x14ac:dyDescent="0.25">
      <c r="A1117" s="16">
        <v>8637</v>
      </c>
      <c r="B1117" s="1">
        <v>1</v>
      </c>
      <c r="C1117" s="1">
        <v>1</v>
      </c>
      <c r="D1117" s="1">
        <v>8</v>
      </c>
    </row>
    <row r="1118" spans="1:4" x14ac:dyDescent="0.25">
      <c r="A1118" s="16">
        <v>8638</v>
      </c>
      <c r="B1118" s="1">
        <v>1</v>
      </c>
      <c r="C1118" s="1">
        <v>2</v>
      </c>
      <c r="D1118" s="1">
        <v>4.8</v>
      </c>
    </row>
    <row r="1119" spans="1:4" x14ac:dyDescent="0.25">
      <c r="A1119" s="16">
        <v>8639</v>
      </c>
      <c r="B1119" s="1">
        <v>1</v>
      </c>
      <c r="C1119" s="1">
        <v>1</v>
      </c>
      <c r="D1119" s="1">
        <v>19.600000000000001</v>
      </c>
    </row>
    <row r="1120" spans="1:4" x14ac:dyDescent="0.25">
      <c r="A1120" s="16">
        <v>8640</v>
      </c>
      <c r="B1120" s="1">
        <v>1</v>
      </c>
      <c r="C1120" s="1">
        <v>1</v>
      </c>
      <c r="D1120" s="1">
        <v>7.6</v>
      </c>
    </row>
    <row r="1121" spans="1:4" x14ac:dyDescent="0.25">
      <c r="A1121" s="16">
        <v>8641</v>
      </c>
      <c r="B1121" s="1">
        <v>2</v>
      </c>
      <c r="C1121" s="1">
        <v>4</v>
      </c>
      <c r="D1121" s="1">
        <v>14.399999999999999</v>
      </c>
    </row>
    <row r="1122" spans="1:4" x14ac:dyDescent="0.25">
      <c r="A1122" s="16">
        <v>8642</v>
      </c>
      <c r="B1122" s="1">
        <v>1</v>
      </c>
      <c r="C1122" s="1">
        <v>1</v>
      </c>
      <c r="D1122" s="1">
        <v>8.8000000000000007</v>
      </c>
    </row>
    <row r="1123" spans="1:4" x14ac:dyDescent="0.25">
      <c r="A1123" s="16">
        <v>8643</v>
      </c>
      <c r="B1123" s="1">
        <v>1</v>
      </c>
      <c r="C1123" s="1">
        <v>1</v>
      </c>
      <c r="D1123" s="1">
        <v>14</v>
      </c>
    </row>
    <row r="1124" spans="1:4" x14ac:dyDescent="0.25">
      <c r="A1124" s="16">
        <v>8644</v>
      </c>
      <c r="B1124" s="1">
        <v>1</v>
      </c>
      <c r="C1124" s="1">
        <v>1</v>
      </c>
      <c r="D1124" s="1">
        <v>36</v>
      </c>
    </row>
    <row r="1125" spans="1:4" x14ac:dyDescent="0.25">
      <c r="A1125" s="16">
        <v>8645</v>
      </c>
      <c r="B1125" s="1">
        <v>1</v>
      </c>
      <c r="C1125" s="1">
        <v>1</v>
      </c>
      <c r="D1125" s="1">
        <v>8</v>
      </c>
    </row>
    <row r="1126" spans="1:4" x14ac:dyDescent="0.25">
      <c r="A1126" s="16">
        <v>8646</v>
      </c>
      <c r="B1126" s="1">
        <v>1</v>
      </c>
      <c r="C1126" s="1">
        <v>3</v>
      </c>
      <c r="D1126" s="1">
        <v>7.1999999999999993</v>
      </c>
    </row>
    <row r="1127" spans="1:4" x14ac:dyDescent="0.25">
      <c r="A1127" s="16">
        <v>8647</v>
      </c>
      <c r="B1127" s="1">
        <v>1</v>
      </c>
      <c r="C1127" s="1">
        <v>1</v>
      </c>
      <c r="D1127" s="1">
        <v>19.600000000000001</v>
      </c>
    </row>
    <row r="1128" spans="1:4" x14ac:dyDescent="0.25">
      <c r="A1128" s="16">
        <v>8648</v>
      </c>
      <c r="B1128" s="1">
        <v>1</v>
      </c>
      <c r="C1128" s="1">
        <v>1</v>
      </c>
      <c r="D1128" s="1">
        <v>7.6</v>
      </c>
    </row>
    <row r="1129" spans="1:4" x14ac:dyDescent="0.25">
      <c r="A1129" s="16">
        <v>8649</v>
      </c>
      <c r="B1129" s="1">
        <v>1</v>
      </c>
      <c r="C1129" s="1">
        <v>1</v>
      </c>
      <c r="D1129" s="1">
        <v>42</v>
      </c>
    </row>
    <row r="1130" spans="1:4" x14ac:dyDescent="0.25">
      <c r="A1130" s="16">
        <v>8650</v>
      </c>
      <c r="B1130" s="1">
        <v>1</v>
      </c>
      <c r="C1130" s="1">
        <v>2</v>
      </c>
      <c r="D1130" s="1">
        <v>18.399999999999999</v>
      </c>
    </row>
    <row r="1131" spans="1:4" x14ac:dyDescent="0.25">
      <c r="A1131" s="16">
        <v>8651</v>
      </c>
      <c r="B1131" s="1">
        <v>1</v>
      </c>
      <c r="C1131" s="1">
        <v>4</v>
      </c>
      <c r="D1131" s="1">
        <v>11.2</v>
      </c>
    </row>
    <row r="1132" spans="1:4" x14ac:dyDescent="0.25">
      <c r="A1132" s="16">
        <v>8652</v>
      </c>
      <c r="B1132" s="1">
        <v>2</v>
      </c>
      <c r="C1132" s="1">
        <v>2</v>
      </c>
      <c r="D1132" s="1">
        <v>14.8</v>
      </c>
    </row>
    <row r="1133" spans="1:4" x14ac:dyDescent="0.25">
      <c r="A1133" s="16">
        <v>8653</v>
      </c>
      <c r="B1133" s="1">
        <v>1</v>
      </c>
      <c r="C1133" s="1">
        <v>2</v>
      </c>
      <c r="D1133" s="1">
        <v>28</v>
      </c>
    </row>
    <row r="1134" spans="1:4" x14ac:dyDescent="0.25">
      <c r="A1134" s="16">
        <v>8654</v>
      </c>
      <c r="B1134" s="1">
        <v>1</v>
      </c>
      <c r="C1134" s="1">
        <v>1</v>
      </c>
      <c r="D1134" s="1">
        <v>36</v>
      </c>
    </row>
    <row r="1135" spans="1:4" x14ac:dyDescent="0.25">
      <c r="A1135" s="16">
        <v>8655</v>
      </c>
      <c r="B1135" s="1">
        <v>1</v>
      </c>
      <c r="C1135" s="1">
        <v>1</v>
      </c>
      <c r="D1135" s="1">
        <v>8</v>
      </c>
    </row>
    <row r="1136" spans="1:4" x14ac:dyDescent="0.25">
      <c r="A1136" s="16">
        <v>8656</v>
      </c>
      <c r="B1136" s="1">
        <v>1</v>
      </c>
      <c r="C1136" s="1">
        <v>2</v>
      </c>
      <c r="D1136" s="1">
        <v>4.8</v>
      </c>
    </row>
    <row r="1137" spans="1:4" x14ac:dyDescent="0.25">
      <c r="A1137" s="16">
        <v>8657</v>
      </c>
      <c r="B1137" s="1">
        <v>1</v>
      </c>
      <c r="C1137" s="1">
        <v>1</v>
      </c>
      <c r="D1137" s="1">
        <v>19.600000000000001</v>
      </c>
    </row>
    <row r="1138" spans="1:4" x14ac:dyDescent="0.25">
      <c r="A1138" s="16">
        <v>8658</v>
      </c>
      <c r="B1138" s="1">
        <v>1</v>
      </c>
      <c r="C1138" s="1">
        <v>1</v>
      </c>
      <c r="D1138" s="1">
        <v>7.6</v>
      </c>
    </row>
    <row r="1139" spans="1:4" x14ac:dyDescent="0.25">
      <c r="A1139" s="16">
        <v>8659</v>
      </c>
      <c r="B1139" s="1">
        <v>1</v>
      </c>
      <c r="C1139" s="1">
        <v>5</v>
      </c>
      <c r="D1139" s="1">
        <v>14</v>
      </c>
    </row>
    <row r="1140" spans="1:4" x14ac:dyDescent="0.25">
      <c r="A1140" s="16">
        <v>8660</v>
      </c>
      <c r="B1140" s="1">
        <v>1</v>
      </c>
      <c r="C1140" s="1">
        <v>2</v>
      </c>
      <c r="D1140" s="1">
        <v>12</v>
      </c>
    </row>
    <row r="1141" spans="1:4" x14ac:dyDescent="0.25">
      <c r="A1141" s="16">
        <v>8661</v>
      </c>
      <c r="B1141" s="1">
        <v>1</v>
      </c>
      <c r="C1141" s="1">
        <v>1</v>
      </c>
      <c r="D1141" s="1">
        <v>8.8000000000000007</v>
      </c>
    </row>
    <row r="1142" spans="1:4" x14ac:dyDescent="0.25">
      <c r="A1142" s="16">
        <v>8662</v>
      </c>
      <c r="B1142" s="1">
        <v>1</v>
      </c>
      <c r="C1142" s="1">
        <v>1</v>
      </c>
      <c r="D1142" s="1">
        <v>14</v>
      </c>
    </row>
    <row r="1143" spans="1:4" x14ac:dyDescent="0.25">
      <c r="A1143" s="16">
        <v>8663</v>
      </c>
      <c r="B1143" s="1">
        <v>1</v>
      </c>
      <c r="C1143" s="1">
        <v>1</v>
      </c>
      <c r="D1143" s="1">
        <v>36</v>
      </c>
    </row>
    <row r="1144" spans="1:4" x14ac:dyDescent="0.25">
      <c r="A1144" s="16">
        <v>8664</v>
      </c>
      <c r="B1144" s="1">
        <v>2</v>
      </c>
      <c r="C1144" s="1">
        <v>5</v>
      </c>
      <c r="D1144" s="1">
        <v>17.2</v>
      </c>
    </row>
    <row r="1145" spans="1:4" x14ac:dyDescent="0.25">
      <c r="A1145" s="16">
        <v>8665</v>
      </c>
      <c r="B1145" s="1">
        <v>1</v>
      </c>
      <c r="C1145" s="1">
        <v>1</v>
      </c>
      <c r="D1145" s="1">
        <v>8.8000000000000007</v>
      </c>
    </row>
    <row r="1146" spans="1:4" x14ac:dyDescent="0.25">
      <c r="A1146" s="16">
        <v>8666</v>
      </c>
      <c r="B1146" s="1">
        <v>1</v>
      </c>
      <c r="C1146" s="1">
        <v>2</v>
      </c>
      <c r="D1146" s="1">
        <v>28</v>
      </c>
    </row>
    <row r="1147" spans="1:4" x14ac:dyDescent="0.25">
      <c r="A1147" s="16">
        <v>8667</v>
      </c>
      <c r="B1147" s="1">
        <v>1</v>
      </c>
      <c r="C1147" s="1">
        <v>2</v>
      </c>
      <c r="D1147" s="1">
        <v>4.8</v>
      </c>
    </row>
    <row r="1148" spans="1:4" x14ac:dyDescent="0.25">
      <c r="A1148" s="16">
        <v>8668</v>
      </c>
      <c r="B1148" s="1">
        <v>1</v>
      </c>
      <c r="C1148" s="1">
        <v>1</v>
      </c>
      <c r="D1148" s="1">
        <v>36</v>
      </c>
    </row>
    <row r="1149" spans="1:4" x14ac:dyDescent="0.25">
      <c r="A1149" s="16">
        <v>8669</v>
      </c>
      <c r="B1149" s="1">
        <v>1</v>
      </c>
      <c r="C1149" s="1">
        <v>1</v>
      </c>
      <c r="D1149" s="1">
        <v>8</v>
      </c>
    </row>
    <row r="1150" spans="1:4" x14ac:dyDescent="0.25">
      <c r="A1150" s="16">
        <v>8670</v>
      </c>
      <c r="B1150" s="1">
        <v>1</v>
      </c>
      <c r="C1150" s="1">
        <v>1</v>
      </c>
      <c r="D1150" s="1">
        <v>19.600000000000001</v>
      </c>
    </row>
    <row r="1151" spans="1:4" x14ac:dyDescent="0.25">
      <c r="A1151" s="16">
        <v>8671</v>
      </c>
      <c r="B1151" s="1">
        <v>1</v>
      </c>
      <c r="C1151" s="1">
        <v>1</v>
      </c>
      <c r="D1151" s="1">
        <v>7.6</v>
      </c>
    </row>
    <row r="1152" spans="1:4" x14ac:dyDescent="0.25">
      <c r="A1152" s="16">
        <v>8672</v>
      </c>
      <c r="B1152" s="1">
        <v>1</v>
      </c>
      <c r="C1152" s="1">
        <v>3</v>
      </c>
      <c r="D1152" s="1">
        <v>8.3999999999999986</v>
      </c>
    </row>
    <row r="1153" spans="1:4" x14ac:dyDescent="0.25">
      <c r="A1153" s="16">
        <v>8673</v>
      </c>
      <c r="B1153" s="1">
        <v>1</v>
      </c>
      <c r="C1153" s="1">
        <v>2</v>
      </c>
      <c r="D1153" s="1">
        <v>12</v>
      </c>
    </row>
    <row r="1154" spans="1:4" x14ac:dyDescent="0.25">
      <c r="A1154" s="16">
        <v>8674</v>
      </c>
      <c r="B1154" s="1">
        <v>1</v>
      </c>
      <c r="C1154" s="1">
        <v>1</v>
      </c>
      <c r="D1154" s="1">
        <v>8.8000000000000007</v>
      </c>
    </row>
    <row r="1155" spans="1:4" x14ac:dyDescent="0.25">
      <c r="A1155" s="16">
        <v>8675</v>
      </c>
      <c r="B1155" s="1">
        <v>1</v>
      </c>
      <c r="C1155" s="1">
        <v>1</v>
      </c>
      <c r="D1155" s="1">
        <v>14</v>
      </c>
    </row>
    <row r="1156" spans="1:4" x14ac:dyDescent="0.25">
      <c r="A1156" s="16">
        <v>8676</v>
      </c>
      <c r="B1156" s="1">
        <v>1</v>
      </c>
      <c r="C1156" s="1">
        <v>1</v>
      </c>
      <c r="D1156" s="1">
        <v>36</v>
      </c>
    </row>
    <row r="1157" spans="1:4" x14ac:dyDescent="0.25">
      <c r="A1157" s="16">
        <v>8677</v>
      </c>
      <c r="B1157" s="1">
        <v>1</v>
      </c>
      <c r="C1157" s="1">
        <v>4</v>
      </c>
      <c r="D1157" s="1">
        <v>11.2</v>
      </c>
    </row>
    <row r="1158" spans="1:4" x14ac:dyDescent="0.25">
      <c r="A1158" s="16">
        <v>8678</v>
      </c>
      <c r="B1158" s="1">
        <v>1</v>
      </c>
      <c r="C1158" s="1">
        <v>1</v>
      </c>
      <c r="D1158" s="1">
        <v>6</v>
      </c>
    </row>
    <row r="1159" spans="1:4" x14ac:dyDescent="0.25">
      <c r="A1159" s="16">
        <v>8679</v>
      </c>
      <c r="B1159" s="1">
        <v>1</v>
      </c>
      <c r="C1159" s="1">
        <v>1</v>
      </c>
      <c r="D1159" s="1">
        <v>8.8000000000000007</v>
      </c>
    </row>
    <row r="1160" spans="1:4" x14ac:dyDescent="0.25">
      <c r="A1160" s="16">
        <v>8680</v>
      </c>
      <c r="B1160" s="1">
        <v>1</v>
      </c>
      <c r="C1160" s="1">
        <v>2</v>
      </c>
      <c r="D1160" s="1">
        <v>28</v>
      </c>
    </row>
    <row r="1161" spans="1:4" x14ac:dyDescent="0.25">
      <c r="A1161" s="16">
        <v>8681</v>
      </c>
      <c r="B1161" s="1">
        <v>1</v>
      </c>
      <c r="C1161" s="1">
        <v>3</v>
      </c>
      <c r="D1161" s="1">
        <v>7.1999999999999993</v>
      </c>
    </row>
    <row r="1162" spans="1:4" x14ac:dyDescent="0.25">
      <c r="A1162" s="16">
        <v>8682</v>
      </c>
      <c r="B1162" s="1">
        <v>1</v>
      </c>
      <c r="C1162" s="1">
        <v>1</v>
      </c>
      <c r="D1162" s="1">
        <v>36</v>
      </c>
    </row>
    <row r="1163" spans="1:4" x14ac:dyDescent="0.25">
      <c r="A1163" s="16">
        <v>8683</v>
      </c>
      <c r="B1163" s="1">
        <v>1</v>
      </c>
      <c r="C1163" s="1">
        <v>1</v>
      </c>
      <c r="D1163" s="1">
        <v>8</v>
      </c>
    </row>
    <row r="1164" spans="1:4" x14ac:dyDescent="0.25">
      <c r="A1164" s="16">
        <v>8684</v>
      </c>
      <c r="B1164" s="1">
        <v>1</v>
      </c>
      <c r="C1164" s="1">
        <v>1</v>
      </c>
      <c r="D1164" s="1">
        <v>19.600000000000001</v>
      </c>
    </row>
    <row r="1165" spans="1:4" x14ac:dyDescent="0.25">
      <c r="A1165" s="16">
        <v>8685</v>
      </c>
      <c r="B1165" s="1">
        <v>1</v>
      </c>
      <c r="C1165" s="1">
        <v>1</v>
      </c>
      <c r="D1165" s="1">
        <v>7.6</v>
      </c>
    </row>
    <row r="1166" spans="1:4" x14ac:dyDescent="0.25">
      <c r="A1166" s="16">
        <v>8686</v>
      </c>
      <c r="B1166" s="1">
        <v>1</v>
      </c>
      <c r="C1166" s="1">
        <v>1</v>
      </c>
      <c r="D1166" s="1">
        <v>42</v>
      </c>
    </row>
    <row r="1167" spans="1:4" x14ac:dyDescent="0.25">
      <c r="A1167" s="16">
        <v>8687</v>
      </c>
      <c r="B1167" s="1">
        <v>1</v>
      </c>
      <c r="C1167" s="1">
        <v>4</v>
      </c>
      <c r="D1167" s="1">
        <v>8</v>
      </c>
    </row>
    <row r="1168" spans="1:4" x14ac:dyDescent="0.25">
      <c r="A1168" s="16">
        <v>8688</v>
      </c>
      <c r="B1168" s="1">
        <v>1</v>
      </c>
      <c r="C1168" s="1">
        <v>2</v>
      </c>
      <c r="D1168" s="1">
        <v>18.399999999999999</v>
      </c>
    </row>
    <row r="1169" spans="1:4" x14ac:dyDescent="0.25">
      <c r="A1169" s="16">
        <v>8689</v>
      </c>
      <c r="B1169" s="1">
        <v>1</v>
      </c>
      <c r="C1169" s="1">
        <v>5</v>
      </c>
      <c r="D1169" s="1">
        <v>14</v>
      </c>
    </row>
    <row r="1170" spans="1:4" x14ac:dyDescent="0.25">
      <c r="A1170" s="16">
        <v>8690</v>
      </c>
      <c r="B1170" s="1">
        <v>1</v>
      </c>
      <c r="C1170" s="1">
        <v>2</v>
      </c>
      <c r="D1170" s="1">
        <v>12</v>
      </c>
    </row>
    <row r="1171" spans="1:4" x14ac:dyDescent="0.25">
      <c r="A1171" s="16">
        <v>8691</v>
      </c>
      <c r="B1171" s="1">
        <v>1</v>
      </c>
      <c r="C1171" s="1">
        <v>1</v>
      </c>
      <c r="D1171" s="1">
        <v>8.8000000000000007</v>
      </c>
    </row>
    <row r="1172" spans="1:4" x14ac:dyDescent="0.25">
      <c r="A1172" s="16">
        <v>8692</v>
      </c>
      <c r="B1172" s="1">
        <v>2</v>
      </c>
      <c r="C1172" s="1">
        <v>4</v>
      </c>
      <c r="D1172" s="1">
        <v>14.399999999999999</v>
      </c>
    </row>
    <row r="1173" spans="1:4" x14ac:dyDescent="0.25">
      <c r="A1173" s="16">
        <v>8693</v>
      </c>
      <c r="B1173" s="1">
        <v>1</v>
      </c>
      <c r="C1173" s="1">
        <v>1</v>
      </c>
      <c r="D1173" s="1">
        <v>8.8000000000000007</v>
      </c>
    </row>
    <row r="1174" spans="1:4" x14ac:dyDescent="0.25">
      <c r="A1174" s="16">
        <v>8694</v>
      </c>
      <c r="B1174" s="1">
        <v>1</v>
      </c>
      <c r="C1174" s="1">
        <v>2</v>
      </c>
      <c r="D1174" s="1">
        <v>4.8</v>
      </c>
    </row>
    <row r="1175" spans="1:4" x14ac:dyDescent="0.25">
      <c r="A1175" s="16">
        <v>8695</v>
      </c>
      <c r="B1175" s="1">
        <v>1</v>
      </c>
      <c r="C1175" s="1">
        <v>1</v>
      </c>
      <c r="D1175" s="1">
        <v>36</v>
      </c>
    </row>
    <row r="1176" spans="1:4" x14ac:dyDescent="0.25">
      <c r="A1176" s="16">
        <v>8696</v>
      </c>
      <c r="B1176" s="1">
        <v>1</v>
      </c>
      <c r="C1176" s="1">
        <v>1</v>
      </c>
      <c r="D1176" s="1">
        <v>14</v>
      </c>
    </row>
    <row r="1177" spans="1:4" x14ac:dyDescent="0.25">
      <c r="A1177" s="16">
        <v>8697</v>
      </c>
      <c r="B1177" s="1">
        <v>1</v>
      </c>
      <c r="C1177" s="1">
        <v>1</v>
      </c>
      <c r="D1177" s="1">
        <v>8</v>
      </c>
    </row>
    <row r="1178" spans="1:4" x14ac:dyDescent="0.25">
      <c r="A1178" s="16">
        <v>8698</v>
      </c>
      <c r="B1178" s="1">
        <v>1</v>
      </c>
      <c r="C1178" s="1">
        <v>1</v>
      </c>
      <c r="D1178" s="1">
        <v>19.600000000000001</v>
      </c>
    </row>
    <row r="1179" spans="1:4" x14ac:dyDescent="0.25">
      <c r="A1179" s="16">
        <v>8699</v>
      </c>
      <c r="B1179" s="1">
        <v>1</v>
      </c>
      <c r="C1179" s="1">
        <v>1</v>
      </c>
      <c r="D1179" s="1">
        <v>7.6</v>
      </c>
    </row>
    <row r="1180" spans="1:4" x14ac:dyDescent="0.25">
      <c r="A1180" s="16">
        <v>8700</v>
      </c>
      <c r="B1180" s="1">
        <v>1</v>
      </c>
      <c r="C1180" s="1">
        <v>5</v>
      </c>
      <c r="D1180" s="1">
        <v>14</v>
      </c>
    </row>
    <row r="1181" spans="1:4" x14ac:dyDescent="0.25">
      <c r="A1181" s="16">
        <v>8701</v>
      </c>
      <c r="B1181" s="1">
        <v>1</v>
      </c>
      <c r="C1181" s="1">
        <v>2</v>
      </c>
      <c r="D1181" s="1">
        <v>12</v>
      </c>
    </row>
    <row r="1182" spans="1:4" x14ac:dyDescent="0.25">
      <c r="A1182" s="16">
        <v>8702</v>
      </c>
      <c r="B1182" s="1">
        <v>1</v>
      </c>
      <c r="C1182" s="1">
        <v>1</v>
      </c>
      <c r="D1182" s="1">
        <v>8.8000000000000007</v>
      </c>
    </row>
    <row r="1183" spans="1:4" x14ac:dyDescent="0.25">
      <c r="A1183" s="16">
        <v>8703</v>
      </c>
      <c r="B1183" s="1">
        <v>1</v>
      </c>
      <c r="C1183" s="1">
        <v>1</v>
      </c>
      <c r="D1183" s="1">
        <v>14</v>
      </c>
    </row>
    <row r="1184" spans="1:4" x14ac:dyDescent="0.25">
      <c r="A1184" s="16">
        <v>8704</v>
      </c>
      <c r="B1184" s="1">
        <v>1</v>
      </c>
      <c r="C1184" s="1">
        <v>2</v>
      </c>
      <c r="D1184" s="1">
        <v>4.8</v>
      </c>
    </row>
    <row r="1185" spans="1:4" x14ac:dyDescent="0.25">
      <c r="A1185" s="16">
        <v>8705</v>
      </c>
      <c r="B1185" s="1">
        <v>1</v>
      </c>
      <c r="C1185" s="1">
        <v>1</v>
      </c>
      <c r="D1185" s="1">
        <v>36</v>
      </c>
    </row>
    <row r="1186" spans="1:4" x14ac:dyDescent="0.25">
      <c r="A1186" s="16">
        <v>8706</v>
      </c>
      <c r="B1186" s="1">
        <v>1</v>
      </c>
      <c r="C1186" s="1">
        <v>3</v>
      </c>
      <c r="D1186" s="1">
        <v>8.3999999999999986</v>
      </c>
    </row>
    <row r="1187" spans="1:4" x14ac:dyDescent="0.25">
      <c r="A1187" s="16">
        <v>8707</v>
      </c>
      <c r="B1187" s="1">
        <v>1</v>
      </c>
      <c r="C1187" s="1">
        <v>1</v>
      </c>
      <c r="D1187" s="1">
        <v>6</v>
      </c>
    </row>
    <row r="1188" spans="1:4" x14ac:dyDescent="0.25">
      <c r="A1188" s="16">
        <v>8708</v>
      </c>
      <c r="B1188" s="1">
        <v>1</v>
      </c>
      <c r="C1188" s="1">
        <v>1</v>
      </c>
      <c r="D1188" s="1">
        <v>8.8000000000000007</v>
      </c>
    </row>
    <row r="1189" spans="1:4" x14ac:dyDescent="0.25">
      <c r="A1189" s="16">
        <v>8709</v>
      </c>
      <c r="B1189" s="1">
        <v>1</v>
      </c>
      <c r="C1189" s="1">
        <v>2</v>
      </c>
      <c r="D1189" s="1">
        <v>28</v>
      </c>
    </row>
    <row r="1190" spans="1:4" x14ac:dyDescent="0.25">
      <c r="A1190" s="16">
        <v>8710</v>
      </c>
      <c r="B1190" s="1">
        <v>1</v>
      </c>
      <c r="C1190" s="1">
        <v>1</v>
      </c>
      <c r="D1190" s="1">
        <v>36</v>
      </c>
    </row>
    <row r="1191" spans="1:4" x14ac:dyDescent="0.25">
      <c r="A1191" s="16">
        <v>8711</v>
      </c>
      <c r="B1191" s="1">
        <v>1</v>
      </c>
      <c r="C1191" s="1">
        <v>1</v>
      </c>
      <c r="D1191" s="1">
        <v>8</v>
      </c>
    </row>
    <row r="1192" spans="1:4" x14ac:dyDescent="0.25">
      <c r="A1192" s="16">
        <v>8712</v>
      </c>
      <c r="B1192" s="1">
        <v>1</v>
      </c>
      <c r="C1192" s="1">
        <v>3</v>
      </c>
      <c r="D1192" s="1">
        <v>7.1999999999999993</v>
      </c>
    </row>
    <row r="1193" spans="1:4" x14ac:dyDescent="0.25">
      <c r="A1193" s="16">
        <v>8713</v>
      </c>
      <c r="B1193" s="1">
        <v>1</v>
      </c>
      <c r="C1193" s="1">
        <v>1</v>
      </c>
      <c r="D1193" s="1">
        <v>19.600000000000001</v>
      </c>
    </row>
    <row r="1194" spans="1:4" x14ac:dyDescent="0.25">
      <c r="A1194" s="16">
        <v>8714</v>
      </c>
      <c r="B1194" s="1">
        <v>1</v>
      </c>
      <c r="C1194" s="1">
        <v>1</v>
      </c>
      <c r="D1194" s="1">
        <v>7.6</v>
      </c>
    </row>
    <row r="1195" spans="1:4" x14ac:dyDescent="0.25">
      <c r="A1195" s="16">
        <v>8715</v>
      </c>
      <c r="B1195" s="1">
        <v>2</v>
      </c>
      <c r="C1195" s="1">
        <v>5</v>
      </c>
      <c r="D1195" s="1">
        <v>17.2</v>
      </c>
    </row>
    <row r="1196" spans="1:4" x14ac:dyDescent="0.25">
      <c r="A1196" s="16">
        <v>8716</v>
      </c>
      <c r="B1196" s="1">
        <v>1</v>
      </c>
      <c r="C1196" s="1">
        <v>1</v>
      </c>
      <c r="D1196" s="1">
        <v>8.8000000000000007</v>
      </c>
    </row>
    <row r="1197" spans="1:4" x14ac:dyDescent="0.25">
      <c r="A1197" s="16">
        <v>8717</v>
      </c>
      <c r="B1197" s="1">
        <v>1</v>
      </c>
      <c r="C1197" s="1">
        <v>1</v>
      </c>
      <c r="D1197" s="1">
        <v>14</v>
      </c>
    </row>
    <row r="1198" spans="1:4" x14ac:dyDescent="0.25">
      <c r="A1198" s="16">
        <v>8718</v>
      </c>
      <c r="B1198" s="1">
        <v>1</v>
      </c>
      <c r="C1198" s="1">
        <v>1</v>
      </c>
      <c r="D1198" s="1">
        <v>36</v>
      </c>
    </row>
    <row r="1199" spans="1:4" x14ac:dyDescent="0.25">
      <c r="A1199" s="16">
        <v>8719</v>
      </c>
      <c r="B1199" s="1">
        <v>1</v>
      </c>
      <c r="C1199" s="1">
        <v>1</v>
      </c>
      <c r="D1199" s="1">
        <v>8</v>
      </c>
    </row>
    <row r="1200" spans="1:4" x14ac:dyDescent="0.25">
      <c r="A1200" s="16">
        <v>8720</v>
      </c>
      <c r="B1200" s="1">
        <v>1</v>
      </c>
      <c r="C1200" s="1">
        <v>5</v>
      </c>
      <c r="D1200" s="1">
        <v>14</v>
      </c>
    </row>
    <row r="1201" spans="1:4" x14ac:dyDescent="0.25">
      <c r="A1201" s="16">
        <v>8721</v>
      </c>
      <c r="B1201" s="1">
        <v>1</v>
      </c>
      <c r="C1201" s="1">
        <v>1</v>
      </c>
      <c r="D1201" s="1">
        <v>6</v>
      </c>
    </row>
    <row r="1202" spans="1:4" x14ac:dyDescent="0.25">
      <c r="A1202" s="16">
        <v>8722</v>
      </c>
      <c r="B1202" s="1">
        <v>1</v>
      </c>
      <c r="C1202" s="1">
        <v>1</v>
      </c>
      <c r="D1202" s="1">
        <v>8.8000000000000007</v>
      </c>
    </row>
    <row r="1203" spans="1:4" x14ac:dyDescent="0.25">
      <c r="A1203" s="16">
        <v>8723</v>
      </c>
      <c r="B1203" s="1">
        <v>1</v>
      </c>
      <c r="C1203" s="1">
        <v>2</v>
      </c>
      <c r="D1203" s="1">
        <v>28</v>
      </c>
    </row>
    <row r="1204" spans="1:4" x14ac:dyDescent="0.25">
      <c r="A1204" s="16">
        <v>8724</v>
      </c>
      <c r="B1204" s="1">
        <v>1</v>
      </c>
      <c r="C1204" s="1">
        <v>1</v>
      </c>
      <c r="D1204" s="1">
        <v>36</v>
      </c>
    </row>
    <row r="1205" spans="1:4" x14ac:dyDescent="0.25">
      <c r="A1205" s="16">
        <v>8725</v>
      </c>
      <c r="B1205" s="1">
        <v>1</v>
      </c>
      <c r="C1205" s="1">
        <v>1</v>
      </c>
      <c r="D1205" s="1">
        <v>8</v>
      </c>
    </row>
    <row r="1206" spans="1:4" x14ac:dyDescent="0.25">
      <c r="A1206" s="16">
        <v>8726</v>
      </c>
      <c r="B1206" s="1">
        <v>1</v>
      </c>
      <c r="C1206" s="1">
        <v>2</v>
      </c>
      <c r="D1206" s="1">
        <v>4.8</v>
      </c>
    </row>
    <row r="1207" spans="1:4" x14ac:dyDescent="0.25">
      <c r="A1207" s="16">
        <v>8727</v>
      </c>
      <c r="B1207" s="1">
        <v>1</v>
      </c>
      <c r="C1207" s="1">
        <v>1</v>
      </c>
      <c r="D1207" s="1">
        <v>19.600000000000001</v>
      </c>
    </row>
    <row r="1208" spans="1:4" x14ac:dyDescent="0.25">
      <c r="A1208" s="16">
        <v>8728</v>
      </c>
      <c r="B1208" s="1">
        <v>1</v>
      </c>
      <c r="C1208" s="1">
        <v>1</v>
      </c>
      <c r="D1208" s="1">
        <v>7.6</v>
      </c>
    </row>
    <row r="1209" spans="1:4" x14ac:dyDescent="0.25">
      <c r="A1209" s="16">
        <v>8729</v>
      </c>
      <c r="B1209" s="1">
        <v>1</v>
      </c>
      <c r="C1209" s="1">
        <v>4</v>
      </c>
      <c r="D1209" s="1">
        <v>11.2</v>
      </c>
    </row>
    <row r="1210" spans="1:4" x14ac:dyDescent="0.25">
      <c r="A1210" s="16">
        <v>8730</v>
      </c>
      <c r="B1210" s="1">
        <v>1</v>
      </c>
      <c r="C1210" s="1">
        <v>2</v>
      </c>
      <c r="D1210" s="1">
        <v>12</v>
      </c>
    </row>
    <row r="1211" spans="1:4" x14ac:dyDescent="0.25">
      <c r="A1211" s="16">
        <v>8731</v>
      </c>
      <c r="B1211" s="1">
        <v>1</v>
      </c>
      <c r="C1211" s="1">
        <v>1</v>
      </c>
      <c r="D1211" s="1">
        <v>8.8000000000000007</v>
      </c>
    </row>
    <row r="1212" spans="1:4" x14ac:dyDescent="0.25">
      <c r="A1212" s="16">
        <v>8732</v>
      </c>
      <c r="B1212" s="1">
        <v>1</v>
      </c>
      <c r="C1212" s="1">
        <v>1</v>
      </c>
      <c r="D1212" s="1">
        <v>14</v>
      </c>
    </row>
    <row r="1213" spans="1:4" x14ac:dyDescent="0.25">
      <c r="A1213" s="16">
        <v>8733</v>
      </c>
      <c r="B1213" s="1">
        <v>1</v>
      </c>
      <c r="C1213" s="1">
        <v>1</v>
      </c>
      <c r="D1213" s="1">
        <v>36</v>
      </c>
    </row>
    <row r="1214" spans="1:4" x14ac:dyDescent="0.25">
      <c r="A1214" s="16">
        <v>8734</v>
      </c>
      <c r="B1214" s="1">
        <v>1</v>
      </c>
      <c r="C1214" s="1">
        <v>1</v>
      </c>
      <c r="D1214" s="1">
        <v>8</v>
      </c>
    </row>
    <row r="1215" spans="1:4" x14ac:dyDescent="0.25">
      <c r="A1215" s="16">
        <v>8735</v>
      </c>
      <c r="B1215" s="1">
        <v>1</v>
      </c>
      <c r="C1215" s="1">
        <v>3</v>
      </c>
      <c r="D1215" s="1">
        <v>7.1999999999999993</v>
      </c>
    </row>
    <row r="1216" spans="1:4" x14ac:dyDescent="0.25">
      <c r="A1216" s="16">
        <v>8736</v>
      </c>
      <c r="B1216" s="1">
        <v>1</v>
      </c>
      <c r="C1216" s="1">
        <v>1</v>
      </c>
      <c r="D1216" s="1">
        <v>19.600000000000001</v>
      </c>
    </row>
    <row r="1217" spans="1:4" x14ac:dyDescent="0.25">
      <c r="A1217" s="16">
        <v>8737</v>
      </c>
      <c r="B1217" s="1">
        <v>1</v>
      </c>
      <c r="C1217" s="1">
        <v>1</v>
      </c>
      <c r="D1217" s="1">
        <v>7.6</v>
      </c>
    </row>
    <row r="1218" spans="1:4" x14ac:dyDescent="0.25">
      <c r="A1218" s="16">
        <v>8738</v>
      </c>
      <c r="B1218" s="1">
        <v>1</v>
      </c>
      <c r="C1218" s="1">
        <v>3</v>
      </c>
      <c r="D1218" s="1">
        <v>8.3999999999999986</v>
      </c>
    </row>
    <row r="1219" spans="1:4" x14ac:dyDescent="0.25">
      <c r="A1219" s="16">
        <v>8739</v>
      </c>
      <c r="B1219" s="1">
        <v>1</v>
      </c>
      <c r="C1219" s="1">
        <v>1</v>
      </c>
      <c r="D1219" s="1">
        <v>6</v>
      </c>
    </row>
    <row r="1220" spans="1:4" x14ac:dyDescent="0.25">
      <c r="A1220" s="16">
        <v>8740</v>
      </c>
      <c r="B1220" s="1">
        <v>1</v>
      </c>
      <c r="C1220" s="1">
        <v>1</v>
      </c>
      <c r="D1220" s="1">
        <v>8.8000000000000007</v>
      </c>
    </row>
    <row r="1221" spans="1:4" x14ac:dyDescent="0.25">
      <c r="A1221" s="16">
        <v>8741</v>
      </c>
      <c r="B1221" s="1">
        <v>1</v>
      </c>
      <c r="C1221" s="1">
        <v>2</v>
      </c>
      <c r="D1221" s="1">
        <v>28</v>
      </c>
    </row>
    <row r="1222" spans="1:4" x14ac:dyDescent="0.25">
      <c r="A1222" s="16">
        <v>8742</v>
      </c>
      <c r="B1222" s="1">
        <v>1</v>
      </c>
      <c r="C1222" s="1">
        <v>1</v>
      </c>
      <c r="D1222" s="1">
        <v>36</v>
      </c>
    </row>
    <row r="1223" spans="1:4" x14ac:dyDescent="0.25">
      <c r="A1223" s="16">
        <v>8743</v>
      </c>
      <c r="B1223" s="1">
        <v>1</v>
      </c>
      <c r="C1223" s="1">
        <v>1</v>
      </c>
      <c r="D1223" s="1">
        <v>8</v>
      </c>
    </row>
    <row r="1224" spans="1:4" x14ac:dyDescent="0.25">
      <c r="A1224" s="16">
        <v>8744</v>
      </c>
      <c r="B1224" s="1">
        <v>1</v>
      </c>
      <c r="C1224" s="1">
        <v>3</v>
      </c>
      <c r="D1224" s="1">
        <v>7.1999999999999993</v>
      </c>
    </row>
    <row r="1225" spans="1:4" x14ac:dyDescent="0.25">
      <c r="A1225" s="16">
        <v>8745</v>
      </c>
      <c r="B1225" s="1">
        <v>1</v>
      </c>
      <c r="C1225" s="1">
        <v>1</v>
      </c>
      <c r="D1225" s="1">
        <v>19.600000000000001</v>
      </c>
    </row>
    <row r="1226" spans="1:4" x14ac:dyDescent="0.25">
      <c r="A1226" s="16">
        <v>8746</v>
      </c>
      <c r="B1226" s="1">
        <v>1</v>
      </c>
      <c r="C1226" s="1">
        <v>1</v>
      </c>
      <c r="D1226" s="1">
        <v>7.6</v>
      </c>
    </row>
    <row r="1227" spans="1:4" x14ac:dyDescent="0.25">
      <c r="A1227" s="16">
        <v>8747</v>
      </c>
      <c r="B1227" s="1">
        <v>1</v>
      </c>
      <c r="C1227" s="1">
        <v>5</v>
      </c>
      <c r="D1227" s="1">
        <v>14</v>
      </c>
    </row>
    <row r="1228" spans="1:4" x14ac:dyDescent="0.25">
      <c r="A1228" s="16">
        <v>8748</v>
      </c>
      <c r="B1228" s="1">
        <v>1</v>
      </c>
      <c r="C1228" s="1">
        <v>2</v>
      </c>
      <c r="D1228" s="1">
        <v>12</v>
      </c>
    </row>
    <row r="1229" spans="1:4" x14ac:dyDescent="0.25">
      <c r="A1229" s="16">
        <v>8749</v>
      </c>
      <c r="B1229" s="1">
        <v>1</v>
      </c>
      <c r="C1229" s="1">
        <v>1</v>
      </c>
      <c r="D1229" s="1">
        <v>8.8000000000000007</v>
      </c>
    </row>
    <row r="1230" spans="1:4" x14ac:dyDescent="0.25">
      <c r="A1230" s="16">
        <v>8750</v>
      </c>
      <c r="B1230" s="1">
        <v>1</v>
      </c>
      <c r="C1230" s="1">
        <v>1</v>
      </c>
      <c r="D1230" s="1">
        <v>14</v>
      </c>
    </row>
    <row r="1231" spans="1:4" x14ac:dyDescent="0.25">
      <c r="A1231" s="16">
        <v>8751</v>
      </c>
      <c r="B1231" s="1">
        <v>1</v>
      </c>
      <c r="C1231" s="1">
        <v>1</v>
      </c>
      <c r="D1231" s="1">
        <v>36</v>
      </c>
    </row>
    <row r="1232" spans="1:4" x14ac:dyDescent="0.25">
      <c r="A1232" s="16">
        <v>8752</v>
      </c>
      <c r="B1232" s="1">
        <v>1</v>
      </c>
      <c r="C1232" s="1">
        <v>1</v>
      </c>
      <c r="D1232" s="1">
        <v>8</v>
      </c>
    </row>
    <row r="1233" spans="1:4" x14ac:dyDescent="0.25">
      <c r="A1233" s="16">
        <v>8753</v>
      </c>
      <c r="B1233" s="1">
        <v>1</v>
      </c>
      <c r="C1233" s="1">
        <v>2</v>
      </c>
      <c r="D1233" s="1">
        <v>4.8</v>
      </c>
    </row>
    <row r="1234" spans="1:4" x14ac:dyDescent="0.25">
      <c r="A1234" s="16">
        <v>8754</v>
      </c>
      <c r="B1234" s="1">
        <v>1</v>
      </c>
      <c r="C1234" s="1">
        <v>1</v>
      </c>
      <c r="D1234" s="1">
        <v>19.600000000000001</v>
      </c>
    </row>
    <row r="1235" spans="1:4" x14ac:dyDescent="0.25">
      <c r="A1235" s="16">
        <v>8755</v>
      </c>
      <c r="B1235" s="1">
        <v>1</v>
      </c>
      <c r="C1235" s="1">
        <v>1</v>
      </c>
      <c r="D1235" s="1">
        <v>7.6</v>
      </c>
    </row>
    <row r="1236" spans="1:4" x14ac:dyDescent="0.25">
      <c r="A1236" s="16">
        <v>8756</v>
      </c>
      <c r="B1236" s="1">
        <v>1</v>
      </c>
      <c r="C1236" s="1">
        <v>4</v>
      </c>
      <c r="D1236" s="1">
        <v>11.2</v>
      </c>
    </row>
    <row r="1237" spans="1:4" x14ac:dyDescent="0.25">
      <c r="A1237" s="16">
        <v>8757</v>
      </c>
      <c r="B1237" s="1">
        <v>1</v>
      </c>
      <c r="C1237" s="1">
        <v>1</v>
      </c>
      <c r="D1237" s="1">
        <v>6</v>
      </c>
    </row>
    <row r="1238" spans="1:4" x14ac:dyDescent="0.25">
      <c r="A1238" s="16">
        <v>8758</v>
      </c>
      <c r="B1238" s="1">
        <v>1</v>
      </c>
      <c r="C1238" s="1">
        <v>1</v>
      </c>
      <c r="D1238" s="1">
        <v>8.8000000000000007</v>
      </c>
    </row>
    <row r="1239" spans="1:4" x14ac:dyDescent="0.25">
      <c r="A1239" s="16">
        <v>8759</v>
      </c>
      <c r="B1239" s="1">
        <v>1</v>
      </c>
      <c r="C1239" s="1">
        <v>2</v>
      </c>
      <c r="D1239" s="1">
        <v>28</v>
      </c>
    </row>
    <row r="1240" spans="1:4" x14ac:dyDescent="0.25">
      <c r="A1240" s="16">
        <v>8760</v>
      </c>
      <c r="B1240" s="1">
        <v>1</v>
      </c>
      <c r="C1240" s="1">
        <v>1</v>
      </c>
      <c r="D1240" s="1">
        <v>36</v>
      </c>
    </row>
    <row r="1241" spans="1:4" x14ac:dyDescent="0.25">
      <c r="A1241" s="16">
        <v>8761</v>
      </c>
      <c r="B1241" s="1">
        <v>1</v>
      </c>
      <c r="C1241" s="1">
        <v>1</v>
      </c>
      <c r="D1241" s="1">
        <v>8</v>
      </c>
    </row>
    <row r="1242" spans="1:4" x14ac:dyDescent="0.25">
      <c r="A1242" s="16">
        <v>8762</v>
      </c>
      <c r="B1242" s="1">
        <v>1</v>
      </c>
      <c r="C1242" s="1">
        <v>3</v>
      </c>
      <c r="D1242" s="1">
        <v>7.1999999999999993</v>
      </c>
    </row>
    <row r="1243" spans="1:4" x14ac:dyDescent="0.25">
      <c r="A1243" s="16">
        <v>8763</v>
      </c>
      <c r="B1243" s="1">
        <v>1</v>
      </c>
      <c r="C1243" s="1">
        <v>1</v>
      </c>
      <c r="D1243" s="1">
        <v>19.600000000000001</v>
      </c>
    </row>
    <row r="1244" spans="1:4" x14ac:dyDescent="0.25">
      <c r="A1244" s="16">
        <v>8764</v>
      </c>
      <c r="B1244" s="1">
        <v>1</v>
      </c>
      <c r="C1244" s="1">
        <v>1</v>
      </c>
      <c r="D1244" s="1">
        <v>7.6</v>
      </c>
    </row>
    <row r="1245" spans="1:4" x14ac:dyDescent="0.25">
      <c r="A1245" s="16">
        <v>8765</v>
      </c>
      <c r="B1245" s="1">
        <v>1</v>
      </c>
      <c r="C1245" s="1">
        <v>3</v>
      </c>
      <c r="D1245" s="1">
        <v>8.3999999999999986</v>
      </c>
    </row>
    <row r="1246" spans="1:4" x14ac:dyDescent="0.25">
      <c r="A1246" s="16">
        <v>8766</v>
      </c>
      <c r="B1246" s="1">
        <v>1</v>
      </c>
      <c r="C1246" s="1">
        <v>1</v>
      </c>
      <c r="D1246" s="1">
        <v>6</v>
      </c>
    </row>
    <row r="1247" spans="1:4" x14ac:dyDescent="0.25">
      <c r="A1247" s="16">
        <v>8767</v>
      </c>
      <c r="B1247" s="1">
        <v>1</v>
      </c>
      <c r="C1247" s="1">
        <v>1</v>
      </c>
      <c r="D1247" s="1">
        <v>8.8000000000000007</v>
      </c>
    </row>
    <row r="1248" spans="1:4" x14ac:dyDescent="0.25">
      <c r="A1248" s="16">
        <v>8768</v>
      </c>
      <c r="B1248" s="1">
        <v>1</v>
      </c>
      <c r="C1248" s="1">
        <v>1</v>
      </c>
      <c r="D1248" s="1">
        <v>14</v>
      </c>
    </row>
    <row r="1249" spans="1:4" x14ac:dyDescent="0.25">
      <c r="A1249" s="16">
        <v>8769</v>
      </c>
      <c r="B1249" s="1">
        <v>1</v>
      </c>
      <c r="C1249" s="1">
        <v>1</v>
      </c>
      <c r="D1249" s="1">
        <v>36</v>
      </c>
    </row>
    <row r="1250" spans="1:4" x14ac:dyDescent="0.25">
      <c r="A1250" s="16">
        <v>8770</v>
      </c>
      <c r="B1250" s="1">
        <v>1</v>
      </c>
      <c r="C1250" s="1">
        <v>1</v>
      </c>
      <c r="D1250" s="1">
        <v>8</v>
      </c>
    </row>
    <row r="1251" spans="1:4" x14ac:dyDescent="0.25">
      <c r="A1251" s="16">
        <v>8771</v>
      </c>
      <c r="B1251" s="1">
        <v>1</v>
      </c>
      <c r="C1251" s="1">
        <v>3</v>
      </c>
      <c r="D1251" s="1">
        <v>7.1999999999999993</v>
      </c>
    </row>
    <row r="1252" spans="1:4" x14ac:dyDescent="0.25">
      <c r="A1252" s="16">
        <v>8772</v>
      </c>
      <c r="B1252" s="1">
        <v>1</v>
      </c>
      <c r="C1252" s="1">
        <v>1</v>
      </c>
      <c r="D1252" s="1">
        <v>19.600000000000001</v>
      </c>
    </row>
    <row r="1253" spans="1:4" x14ac:dyDescent="0.25">
      <c r="A1253" s="16">
        <v>8773</v>
      </c>
      <c r="B1253" s="1">
        <v>1</v>
      </c>
      <c r="C1253" s="1">
        <v>1</v>
      </c>
      <c r="D1253" s="1">
        <v>7.6</v>
      </c>
    </row>
    <row r="1254" spans="1:4" x14ac:dyDescent="0.25">
      <c r="A1254" s="16">
        <v>8774</v>
      </c>
      <c r="B1254" s="1">
        <v>1</v>
      </c>
      <c r="C1254" s="1">
        <v>4</v>
      </c>
      <c r="D1254" s="1">
        <v>11.2</v>
      </c>
    </row>
    <row r="1255" spans="1:4" x14ac:dyDescent="0.25">
      <c r="A1255" s="16">
        <v>8775</v>
      </c>
      <c r="B1255" s="1">
        <v>1</v>
      </c>
      <c r="C1255" s="1">
        <v>1</v>
      </c>
      <c r="D1255" s="1">
        <v>6</v>
      </c>
    </row>
    <row r="1256" spans="1:4" x14ac:dyDescent="0.25">
      <c r="A1256" s="16">
        <v>8776</v>
      </c>
      <c r="B1256" s="1">
        <v>1</v>
      </c>
      <c r="C1256" s="1">
        <v>1</v>
      </c>
      <c r="D1256" s="1">
        <v>8.8000000000000007</v>
      </c>
    </row>
    <row r="1257" spans="1:4" x14ac:dyDescent="0.25">
      <c r="A1257" s="16">
        <v>8777</v>
      </c>
      <c r="B1257" s="1">
        <v>1</v>
      </c>
      <c r="C1257" s="1">
        <v>2</v>
      </c>
      <c r="D1257" s="1">
        <v>28</v>
      </c>
    </row>
    <row r="1258" spans="1:4" x14ac:dyDescent="0.25">
      <c r="A1258" s="16">
        <v>8778</v>
      </c>
      <c r="B1258" s="1">
        <v>1</v>
      </c>
      <c r="C1258" s="1">
        <v>1</v>
      </c>
      <c r="D1258" s="1">
        <v>36</v>
      </c>
    </row>
    <row r="1259" spans="1:4" x14ac:dyDescent="0.25">
      <c r="A1259" s="16">
        <v>8779</v>
      </c>
      <c r="B1259" s="1">
        <v>1</v>
      </c>
      <c r="C1259" s="1">
        <v>1</v>
      </c>
      <c r="D1259" s="1">
        <v>8</v>
      </c>
    </row>
    <row r="1260" spans="1:4" x14ac:dyDescent="0.25">
      <c r="A1260" s="16">
        <v>8780</v>
      </c>
      <c r="B1260" s="1">
        <v>1</v>
      </c>
      <c r="C1260" s="1">
        <v>2</v>
      </c>
      <c r="D1260" s="1">
        <v>4.8</v>
      </c>
    </row>
    <row r="1261" spans="1:4" x14ac:dyDescent="0.25">
      <c r="A1261" s="16">
        <v>8781</v>
      </c>
      <c r="B1261" s="1">
        <v>1</v>
      </c>
      <c r="C1261" s="1">
        <v>1</v>
      </c>
      <c r="D1261" s="1">
        <v>19.600000000000001</v>
      </c>
    </row>
    <row r="1262" spans="1:4" x14ac:dyDescent="0.25">
      <c r="A1262" s="16">
        <v>8782</v>
      </c>
      <c r="B1262" s="1">
        <v>1</v>
      </c>
      <c r="C1262" s="1">
        <v>1</v>
      </c>
      <c r="D1262" s="1">
        <v>7.6</v>
      </c>
    </row>
    <row r="1263" spans="1:4" x14ac:dyDescent="0.25">
      <c r="A1263" s="16">
        <v>8783</v>
      </c>
      <c r="B1263" s="1">
        <v>1</v>
      </c>
      <c r="C1263" s="1">
        <v>5</v>
      </c>
      <c r="D1263" s="1">
        <v>14</v>
      </c>
    </row>
    <row r="1264" spans="1:4" x14ac:dyDescent="0.25">
      <c r="A1264" s="16">
        <v>8784</v>
      </c>
      <c r="B1264" s="1">
        <v>1</v>
      </c>
      <c r="C1264" s="1">
        <v>1</v>
      </c>
      <c r="D1264" s="1">
        <v>6</v>
      </c>
    </row>
    <row r="1265" spans="1:4" x14ac:dyDescent="0.25">
      <c r="A1265" s="16">
        <v>8785</v>
      </c>
      <c r="B1265" s="1">
        <v>1</v>
      </c>
      <c r="C1265" s="1">
        <v>1</v>
      </c>
      <c r="D1265" s="1">
        <v>8.8000000000000007</v>
      </c>
    </row>
    <row r="1266" spans="1:4" x14ac:dyDescent="0.25">
      <c r="A1266" s="16">
        <v>8786</v>
      </c>
      <c r="B1266" s="1">
        <v>1</v>
      </c>
      <c r="C1266" s="1">
        <v>2</v>
      </c>
      <c r="D1266" s="1">
        <v>28</v>
      </c>
    </row>
    <row r="1267" spans="1:4" x14ac:dyDescent="0.25">
      <c r="A1267" s="16">
        <v>8787</v>
      </c>
      <c r="B1267" s="1">
        <v>1</v>
      </c>
      <c r="C1267" s="1">
        <v>1</v>
      </c>
      <c r="D1267" s="1">
        <v>36</v>
      </c>
    </row>
    <row r="1268" spans="1:4" x14ac:dyDescent="0.25">
      <c r="A1268" s="16">
        <v>8788</v>
      </c>
      <c r="B1268" s="1">
        <v>1</v>
      </c>
      <c r="C1268" s="1">
        <v>1</v>
      </c>
      <c r="D1268" s="1">
        <v>8</v>
      </c>
    </row>
    <row r="1269" spans="1:4" x14ac:dyDescent="0.25">
      <c r="A1269" s="16">
        <v>8789</v>
      </c>
      <c r="B1269" s="1">
        <v>1</v>
      </c>
      <c r="C1269" s="1">
        <v>3</v>
      </c>
      <c r="D1269" s="1">
        <v>7.1999999999999993</v>
      </c>
    </row>
    <row r="1270" spans="1:4" x14ac:dyDescent="0.25">
      <c r="A1270" s="16">
        <v>8790</v>
      </c>
      <c r="B1270" s="1">
        <v>2</v>
      </c>
      <c r="C1270" s="1">
        <v>4</v>
      </c>
      <c r="D1270" s="1">
        <v>14.399999999999999</v>
      </c>
    </row>
    <row r="1271" spans="1:4" x14ac:dyDescent="0.25">
      <c r="A1271" s="16">
        <v>8791</v>
      </c>
      <c r="B1271" s="1">
        <v>1</v>
      </c>
      <c r="C1271" s="1">
        <v>1</v>
      </c>
      <c r="D1271" s="1">
        <v>8.8000000000000007</v>
      </c>
    </row>
    <row r="1272" spans="1:4" x14ac:dyDescent="0.25">
      <c r="A1272" s="16">
        <v>8792</v>
      </c>
      <c r="B1272" s="1">
        <v>1</v>
      </c>
      <c r="C1272" s="1">
        <v>1</v>
      </c>
      <c r="D1272" s="1">
        <v>14</v>
      </c>
    </row>
    <row r="1273" spans="1:4" x14ac:dyDescent="0.25">
      <c r="A1273" s="16">
        <v>8793</v>
      </c>
      <c r="B1273" s="1">
        <v>1</v>
      </c>
      <c r="C1273" s="1">
        <v>1</v>
      </c>
      <c r="D1273" s="1">
        <v>36</v>
      </c>
    </row>
    <row r="1274" spans="1:4" x14ac:dyDescent="0.25">
      <c r="A1274" s="16">
        <v>8794</v>
      </c>
      <c r="B1274" s="1">
        <v>1</v>
      </c>
      <c r="C1274" s="1">
        <v>3</v>
      </c>
      <c r="D1274" s="1">
        <v>7.1999999999999993</v>
      </c>
    </row>
    <row r="1275" spans="1:4" x14ac:dyDescent="0.25">
      <c r="A1275" s="16">
        <v>8795</v>
      </c>
      <c r="B1275" s="1">
        <v>1</v>
      </c>
      <c r="C1275" s="1">
        <v>1</v>
      </c>
      <c r="D1275" s="1">
        <v>8</v>
      </c>
    </row>
    <row r="1276" spans="1:4" x14ac:dyDescent="0.25">
      <c r="A1276" s="16">
        <v>8796</v>
      </c>
      <c r="B1276" s="1">
        <v>1</v>
      </c>
      <c r="C1276" s="1">
        <v>1</v>
      </c>
      <c r="D1276" s="1">
        <v>19.600000000000001</v>
      </c>
    </row>
    <row r="1277" spans="1:4" x14ac:dyDescent="0.25">
      <c r="A1277" s="16">
        <v>8797</v>
      </c>
      <c r="B1277" s="1">
        <v>1</v>
      </c>
      <c r="C1277" s="1">
        <v>1</v>
      </c>
      <c r="D1277" s="1">
        <v>7.6</v>
      </c>
    </row>
    <row r="1278" spans="1:4" x14ac:dyDescent="0.25">
      <c r="A1278" s="16">
        <v>8798</v>
      </c>
      <c r="B1278" s="1">
        <v>1</v>
      </c>
      <c r="C1278" s="1">
        <v>4</v>
      </c>
      <c r="D1278" s="1">
        <v>11.2</v>
      </c>
    </row>
    <row r="1279" spans="1:4" x14ac:dyDescent="0.25">
      <c r="A1279" s="16">
        <v>8799</v>
      </c>
      <c r="B1279" s="1">
        <v>1</v>
      </c>
      <c r="C1279" s="1">
        <v>1</v>
      </c>
      <c r="D1279" s="1">
        <v>6</v>
      </c>
    </row>
    <row r="1280" spans="1:4" x14ac:dyDescent="0.25">
      <c r="A1280" s="16">
        <v>8800</v>
      </c>
      <c r="B1280" s="1">
        <v>1</v>
      </c>
      <c r="C1280" s="1">
        <v>1</v>
      </c>
      <c r="D1280" s="1">
        <v>8.8000000000000007</v>
      </c>
    </row>
    <row r="1281" spans="1:4" x14ac:dyDescent="0.25">
      <c r="A1281" s="16">
        <v>8801</v>
      </c>
      <c r="B1281" s="1">
        <v>1</v>
      </c>
      <c r="C1281" s="1">
        <v>2</v>
      </c>
      <c r="D1281" s="1">
        <v>28</v>
      </c>
    </row>
    <row r="1282" spans="1:4" x14ac:dyDescent="0.25">
      <c r="A1282" s="16">
        <v>8802</v>
      </c>
      <c r="B1282" s="1">
        <v>1</v>
      </c>
      <c r="C1282" s="1">
        <v>1</v>
      </c>
      <c r="D1282" s="1">
        <v>36</v>
      </c>
    </row>
    <row r="1283" spans="1:4" x14ac:dyDescent="0.25">
      <c r="A1283" s="16">
        <v>8803</v>
      </c>
      <c r="B1283" s="1">
        <v>1</v>
      </c>
      <c r="C1283" s="1">
        <v>1</v>
      </c>
      <c r="D1283" s="1">
        <v>8</v>
      </c>
    </row>
    <row r="1284" spans="1:4" x14ac:dyDescent="0.25">
      <c r="A1284" s="16">
        <v>8804</v>
      </c>
      <c r="B1284" s="1">
        <v>1</v>
      </c>
      <c r="C1284" s="1">
        <v>2</v>
      </c>
      <c r="D1284" s="1">
        <v>4.8</v>
      </c>
    </row>
    <row r="1285" spans="1:4" x14ac:dyDescent="0.25">
      <c r="A1285" s="16">
        <v>8805</v>
      </c>
      <c r="B1285" s="1">
        <v>1</v>
      </c>
      <c r="C1285" s="1">
        <v>1</v>
      </c>
      <c r="D1285" s="1">
        <v>19.600000000000001</v>
      </c>
    </row>
    <row r="1286" spans="1:4" x14ac:dyDescent="0.25">
      <c r="A1286" s="16">
        <v>8806</v>
      </c>
      <c r="B1286" s="1">
        <v>1</v>
      </c>
      <c r="C1286" s="1">
        <v>1</v>
      </c>
      <c r="D1286" s="1">
        <v>7.6</v>
      </c>
    </row>
    <row r="1287" spans="1:4" x14ac:dyDescent="0.25">
      <c r="A1287" s="16">
        <v>8807</v>
      </c>
      <c r="B1287" s="1">
        <v>1</v>
      </c>
      <c r="C1287" s="1">
        <v>3</v>
      </c>
      <c r="D1287" s="1">
        <v>8.3999999999999986</v>
      </c>
    </row>
    <row r="1288" spans="1:4" x14ac:dyDescent="0.25">
      <c r="A1288" s="16">
        <v>8808</v>
      </c>
      <c r="B1288" s="1">
        <v>1</v>
      </c>
      <c r="C1288" s="1">
        <v>1</v>
      </c>
      <c r="D1288" s="1">
        <v>6</v>
      </c>
    </row>
    <row r="1289" spans="1:4" x14ac:dyDescent="0.25">
      <c r="A1289" s="16">
        <v>8809</v>
      </c>
      <c r="B1289" s="1">
        <v>1</v>
      </c>
      <c r="C1289" s="1">
        <v>1</v>
      </c>
      <c r="D1289" s="1">
        <v>8.8000000000000007</v>
      </c>
    </row>
    <row r="1290" spans="1:4" x14ac:dyDescent="0.25">
      <c r="A1290" s="16">
        <v>8810</v>
      </c>
      <c r="B1290" s="1">
        <v>1</v>
      </c>
      <c r="C1290" s="1">
        <v>1</v>
      </c>
      <c r="D1290" s="1">
        <v>14</v>
      </c>
    </row>
    <row r="1291" spans="1:4" x14ac:dyDescent="0.25">
      <c r="A1291" s="16">
        <v>8811</v>
      </c>
      <c r="B1291" s="1">
        <v>1</v>
      </c>
      <c r="C1291" s="1">
        <v>1</v>
      </c>
      <c r="D1291" s="1">
        <v>36</v>
      </c>
    </row>
    <row r="1292" spans="1:4" x14ac:dyDescent="0.25">
      <c r="A1292" s="16">
        <v>8812</v>
      </c>
      <c r="B1292" s="1">
        <v>1</v>
      </c>
      <c r="C1292" s="1">
        <v>1</v>
      </c>
      <c r="D1292" s="1">
        <v>8</v>
      </c>
    </row>
    <row r="1293" spans="1:4" x14ac:dyDescent="0.25">
      <c r="A1293" s="16">
        <v>8813</v>
      </c>
      <c r="B1293" s="1">
        <v>1</v>
      </c>
      <c r="C1293" s="1">
        <v>3</v>
      </c>
      <c r="D1293" s="1">
        <v>7.1999999999999993</v>
      </c>
    </row>
    <row r="1294" spans="1:4" x14ac:dyDescent="0.25">
      <c r="A1294" s="16">
        <v>8814</v>
      </c>
      <c r="B1294" s="1">
        <v>1</v>
      </c>
      <c r="C1294" s="1">
        <v>1</v>
      </c>
      <c r="D1294" s="1">
        <v>19.600000000000001</v>
      </c>
    </row>
    <row r="1295" spans="1:4" x14ac:dyDescent="0.25">
      <c r="A1295" s="16">
        <v>8815</v>
      </c>
      <c r="B1295" s="1">
        <v>1</v>
      </c>
      <c r="C1295" s="1">
        <v>1</v>
      </c>
      <c r="D1295" s="1">
        <v>7.6</v>
      </c>
    </row>
    <row r="1296" spans="1:4" x14ac:dyDescent="0.25">
      <c r="A1296" s="16">
        <v>8816</v>
      </c>
      <c r="B1296" s="1">
        <v>1</v>
      </c>
      <c r="C1296" s="1">
        <v>4</v>
      </c>
      <c r="D1296" s="1">
        <v>11.2</v>
      </c>
    </row>
    <row r="1297" spans="1:4" x14ac:dyDescent="0.25">
      <c r="A1297" s="16">
        <v>8817</v>
      </c>
      <c r="B1297" s="1">
        <v>1</v>
      </c>
      <c r="C1297" s="1">
        <v>2</v>
      </c>
      <c r="D1297" s="1">
        <v>12</v>
      </c>
    </row>
    <row r="1298" spans="1:4" x14ac:dyDescent="0.25">
      <c r="A1298" s="16">
        <v>8818</v>
      </c>
      <c r="B1298" s="1">
        <v>1</v>
      </c>
      <c r="C1298" s="1">
        <v>1</v>
      </c>
      <c r="D1298" s="1">
        <v>8.8000000000000007</v>
      </c>
    </row>
    <row r="1299" spans="1:4" x14ac:dyDescent="0.25">
      <c r="A1299" s="16">
        <v>8819</v>
      </c>
      <c r="B1299" s="1">
        <v>1</v>
      </c>
      <c r="C1299" s="1">
        <v>1</v>
      </c>
      <c r="D1299" s="1">
        <v>14</v>
      </c>
    </row>
    <row r="1300" spans="1:4" x14ac:dyDescent="0.25">
      <c r="A1300" s="16">
        <v>8820</v>
      </c>
      <c r="B1300" s="1">
        <v>1</v>
      </c>
      <c r="C1300" s="1">
        <v>1</v>
      </c>
      <c r="D1300" s="1">
        <v>36</v>
      </c>
    </row>
    <row r="1301" spans="1:4" x14ac:dyDescent="0.25">
      <c r="A1301" s="16">
        <v>8821</v>
      </c>
      <c r="B1301" s="1">
        <v>1</v>
      </c>
      <c r="C1301" s="1">
        <v>1</v>
      </c>
      <c r="D1301" s="1">
        <v>8</v>
      </c>
    </row>
    <row r="1302" spans="1:4" x14ac:dyDescent="0.25">
      <c r="A1302" s="16">
        <v>8822</v>
      </c>
      <c r="B1302" s="1">
        <v>1</v>
      </c>
      <c r="C1302" s="1">
        <v>2</v>
      </c>
      <c r="D1302" s="1">
        <v>4.8</v>
      </c>
    </row>
    <row r="1303" spans="1:4" x14ac:dyDescent="0.25">
      <c r="A1303" s="16">
        <v>8823</v>
      </c>
      <c r="B1303" s="1">
        <v>1</v>
      </c>
      <c r="C1303" s="1">
        <v>1</v>
      </c>
      <c r="D1303" s="1">
        <v>19.600000000000001</v>
      </c>
    </row>
    <row r="1304" spans="1:4" x14ac:dyDescent="0.25">
      <c r="A1304" s="16">
        <v>8824</v>
      </c>
      <c r="B1304" s="1">
        <v>1</v>
      </c>
      <c r="C1304" s="1">
        <v>1</v>
      </c>
      <c r="D1304" s="1">
        <v>7.6</v>
      </c>
    </row>
    <row r="1305" spans="1:4" x14ac:dyDescent="0.25">
      <c r="A1305" s="16">
        <v>8825</v>
      </c>
      <c r="B1305" s="1">
        <v>1</v>
      </c>
      <c r="C1305" s="1">
        <v>3</v>
      </c>
      <c r="D1305" s="1">
        <v>8.3999999999999986</v>
      </c>
    </row>
    <row r="1306" spans="1:4" x14ac:dyDescent="0.25">
      <c r="A1306" s="16">
        <v>8826</v>
      </c>
      <c r="B1306" s="1">
        <v>1</v>
      </c>
      <c r="C1306" s="1">
        <v>1</v>
      </c>
      <c r="D1306" s="1">
        <v>6</v>
      </c>
    </row>
    <row r="1307" spans="1:4" x14ac:dyDescent="0.25">
      <c r="A1307" s="16">
        <v>8827</v>
      </c>
      <c r="B1307" s="1">
        <v>1</v>
      </c>
      <c r="C1307" s="1">
        <v>1</v>
      </c>
      <c r="D1307" s="1">
        <v>8.8000000000000007</v>
      </c>
    </row>
    <row r="1308" spans="1:4" x14ac:dyDescent="0.25">
      <c r="A1308" s="16">
        <v>8828</v>
      </c>
      <c r="B1308" s="1">
        <v>1</v>
      </c>
      <c r="C1308" s="1">
        <v>2</v>
      </c>
      <c r="D1308" s="1">
        <v>28</v>
      </c>
    </row>
    <row r="1309" spans="1:4" x14ac:dyDescent="0.25">
      <c r="A1309" s="16">
        <v>8829</v>
      </c>
      <c r="B1309" s="1">
        <v>1</v>
      </c>
      <c r="C1309" s="1">
        <v>1</v>
      </c>
      <c r="D1309" s="1">
        <v>36</v>
      </c>
    </row>
    <row r="1310" spans="1:4" x14ac:dyDescent="0.25">
      <c r="A1310" s="16">
        <v>8830</v>
      </c>
      <c r="B1310" s="1">
        <v>1</v>
      </c>
      <c r="C1310" s="1">
        <v>1</v>
      </c>
      <c r="D1310" s="1">
        <v>8</v>
      </c>
    </row>
    <row r="1311" spans="1:4" x14ac:dyDescent="0.25">
      <c r="A1311" s="16">
        <v>8831</v>
      </c>
      <c r="B1311" s="1">
        <v>1</v>
      </c>
      <c r="C1311" s="1">
        <v>3</v>
      </c>
      <c r="D1311" s="1">
        <v>7.1999999999999993</v>
      </c>
    </row>
    <row r="1312" spans="1:4" x14ac:dyDescent="0.25">
      <c r="A1312" s="16">
        <v>8832</v>
      </c>
      <c r="B1312" s="1">
        <v>1</v>
      </c>
      <c r="C1312" s="1">
        <v>1</v>
      </c>
      <c r="D1312" s="1">
        <v>19.600000000000001</v>
      </c>
    </row>
    <row r="1313" spans="1:4" x14ac:dyDescent="0.25">
      <c r="A1313" s="16">
        <v>8833</v>
      </c>
      <c r="B1313" s="1">
        <v>1</v>
      </c>
      <c r="C1313" s="1">
        <v>1</v>
      </c>
      <c r="D1313" s="1">
        <v>7.6</v>
      </c>
    </row>
    <row r="1314" spans="1:4" x14ac:dyDescent="0.25">
      <c r="A1314" s="16">
        <v>8834</v>
      </c>
      <c r="B1314" s="1">
        <v>1</v>
      </c>
      <c r="C1314" s="1">
        <v>5</v>
      </c>
      <c r="D1314" s="1">
        <v>14</v>
      </c>
    </row>
    <row r="1315" spans="1:4" x14ac:dyDescent="0.25">
      <c r="A1315" s="16">
        <v>8835</v>
      </c>
      <c r="B1315" s="1">
        <v>1</v>
      </c>
      <c r="C1315" s="1">
        <v>2</v>
      </c>
      <c r="D1315" s="1">
        <v>12</v>
      </c>
    </row>
    <row r="1316" spans="1:4" x14ac:dyDescent="0.25">
      <c r="A1316" s="16">
        <v>8836</v>
      </c>
      <c r="B1316" s="1">
        <v>1</v>
      </c>
      <c r="C1316" s="1">
        <v>1</v>
      </c>
      <c r="D1316" s="1">
        <v>8.8000000000000007</v>
      </c>
    </row>
    <row r="1317" spans="1:4" x14ac:dyDescent="0.25">
      <c r="A1317" s="16">
        <v>8837</v>
      </c>
      <c r="B1317" s="1">
        <v>1</v>
      </c>
      <c r="C1317" s="1">
        <v>2</v>
      </c>
      <c r="D1317" s="1">
        <v>28</v>
      </c>
    </row>
    <row r="1318" spans="1:4" x14ac:dyDescent="0.25">
      <c r="A1318" s="16">
        <v>8838</v>
      </c>
      <c r="B1318" s="1">
        <v>1</v>
      </c>
      <c r="C1318" s="1">
        <v>1</v>
      </c>
      <c r="D1318" s="1">
        <v>36</v>
      </c>
    </row>
    <row r="1319" spans="1:4" x14ac:dyDescent="0.25">
      <c r="A1319" s="16">
        <v>8839</v>
      </c>
      <c r="B1319" s="1">
        <v>1</v>
      </c>
      <c r="C1319" s="1">
        <v>3</v>
      </c>
      <c r="D1319" s="1">
        <v>8.3999999999999986</v>
      </c>
    </row>
    <row r="1320" spans="1:4" x14ac:dyDescent="0.25">
      <c r="A1320" s="16">
        <v>8840</v>
      </c>
      <c r="B1320" s="1">
        <v>1</v>
      </c>
      <c r="C1320" s="1">
        <v>1</v>
      </c>
      <c r="D1320" s="1">
        <v>6</v>
      </c>
    </row>
    <row r="1321" spans="1:4" x14ac:dyDescent="0.25">
      <c r="A1321" s="16">
        <v>8841</v>
      </c>
      <c r="B1321" s="1">
        <v>1</v>
      </c>
      <c r="C1321" s="1">
        <v>1</v>
      </c>
      <c r="D1321" s="1">
        <v>8.8000000000000007</v>
      </c>
    </row>
    <row r="1322" spans="1:4" x14ac:dyDescent="0.25">
      <c r="A1322" s="16">
        <v>8842</v>
      </c>
      <c r="B1322" s="1">
        <v>1</v>
      </c>
      <c r="C1322" s="1">
        <v>2</v>
      </c>
      <c r="D1322" s="1">
        <v>28</v>
      </c>
    </row>
    <row r="1323" spans="1:4" x14ac:dyDescent="0.25">
      <c r="A1323" s="16">
        <v>8843</v>
      </c>
      <c r="B1323" s="1">
        <v>1</v>
      </c>
      <c r="C1323" s="1">
        <v>1</v>
      </c>
      <c r="D1323" s="1">
        <v>36</v>
      </c>
    </row>
    <row r="1324" spans="1:4" x14ac:dyDescent="0.25">
      <c r="A1324" s="16">
        <v>8844</v>
      </c>
      <c r="B1324" s="1">
        <v>1</v>
      </c>
      <c r="C1324" s="1">
        <v>1</v>
      </c>
      <c r="D1324" s="1">
        <v>8</v>
      </c>
    </row>
    <row r="1325" spans="1:4" x14ac:dyDescent="0.25">
      <c r="A1325" s="16">
        <v>8845</v>
      </c>
      <c r="B1325" s="1">
        <v>1</v>
      </c>
      <c r="C1325" s="1">
        <v>3</v>
      </c>
      <c r="D1325" s="1">
        <v>7.1999999999999993</v>
      </c>
    </row>
    <row r="1326" spans="1:4" x14ac:dyDescent="0.25">
      <c r="A1326" s="16">
        <v>8846</v>
      </c>
      <c r="B1326" s="1">
        <v>1</v>
      </c>
      <c r="C1326" s="1">
        <v>1</v>
      </c>
      <c r="D1326" s="1">
        <v>19.600000000000001</v>
      </c>
    </row>
    <row r="1327" spans="1:4" x14ac:dyDescent="0.25">
      <c r="A1327" s="16">
        <v>8847</v>
      </c>
      <c r="B1327" s="1">
        <v>1</v>
      </c>
      <c r="C1327" s="1">
        <v>1</v>
      </c>
      <c r="D1327" s="1">
        <v>7.6</v>
      </c>
    </row>
    <row r="1328" spans="1:4" x14ac:dyDescent="0.25">
      <c r="A1328" s="16">
        <v>8848</v>
      </c>
      <c r="B1328" s="1">
        <v>1</v>
      </c>
      <c r="C1328" s="1">
        <v>5</v>
      </c>
      <c r="D1328" s="1">
        <v>14</v>
      </c>
    </row>
    <row r="1329" spans="1:4" x14ac:dyDescent="0.25">
      <c r="A1329" s="16">
        <v>8849</v>
      </c>
      <c r="B1329" s="1">
        <v>1</v>
      </c>
      <c r="C1329" s="1">
        <v>1</v>
      </c>
      <c r="D1329" s="1">
        <v>6</v>
      </c>
    </row>
    <row r="1330" spans="1:4" x14ac:dyDescent="0.25">
      <c r="A1330" s="16">
        <v>8850</v>
      </c>
      <c r="B1330" s="1">
        <v>1</v>
      </c>
      <c r="C1330" s="1">
        <v>1</v>
      </c>
      <c r="D1330" s="1">
        <v>8.8000000000000007</v>
      </c>
    </row>
    <row r="1331" spans="1:4" x14ac:dyDescent="0.25">
      <c r="A1331" s="16">
        <v>8851</v>
      </c>
      <c r="B1331" s="1">
        <v>1</v>
      </c>
      <c r="C1331" s="1">
        <v>1</v>
      </c>
      <c r="D1331" s="1">
        <v>14</v>
      </c>
    </row>
    <row r="1332" spans="1:4" x14ac:dyDescent="0.25">
      <c r="A1332" s="16">
        <v>8852</v>
      </c>
      <c r="B1332" s="1">
        <v>1</v>
      </c>
      <c r="C1332" s="1">
        <v>1</v>
      </c>
      <c r="D1332" s="1">
        <v>36</v>
      </c>
    </row>
    <row r="1333" spans="1:4" x14ac:dyDescent="0.25">
      <c r="A1333" s="16">
        <v>8853</v>
      </c>
      <c r="B1333" s="1">
        <v>1</v>
      </c>
      <c r="C1333" s="1">
        <v>1</v>
      </c>
      <c r="D1333" s="1">
        <v>8</v>
      </c>
    </row>
    <row r="1334" spans="1:4" x14ac:dyDescent="0.25">
      <c r="A1334" s="16">
        <v>8854</v>
      </c>
      <c r="B1334" s="1">
        <v>1</v>
      </c>
      <c r="C1334" s="1">
        <v>2</v>
      </c>
      <c r="D1334" s="1">
        <v>4.8</v>
      </c>
    </row>
    <row r="1335" spans="1:4" x14ac:dyDescent="0.25">
      <c r="A1335" s="16">
        <v>8855</v>
      </c>
      <c r="B1335" s="1">
        <v>1</v>
      </c>
      <c r="C1335" s="1">
        <v>1</v>
      </c>
      <c r="D1335" s="1">
        <v>19.600000000000001</v>
      </c>
    </row>
    <row r="1336" spans="1:4" x14ac:dyDescent="0.25">
      <c r="A1336" s="16">
        <v>8856</v>
      </c>
      <c r="B1336" s="1">
        <v>1</v>
      </c>
      <c r="C1336" s="1">
        <v>1</v>
      </c>
      <c r="D1336" s="1">
        <v>7.6</v>
      </c>
    </row>
    <row r="1337" spans="1:4" x14ac:dyDescent="0.25">
      <c r="A1337" s="16">
        <v>8857</v>
      </c>
      <c r="B1337" s="1">
        <v>1</v>
      </c>
      <c r="C1337" s="1">
        <v>3</v>
      </c>
      <c r="D1337" s="1">
        <v>8.3999999999999986</v>
      </c>
    </row>
    <row r="1338" spans="1:4" x14ac:dyDescent="0.25">
      <c r="A1338" s="16">
        <v>8858</v>
      </c>
      <c r="B1338" s="1">
        <v>1</v>
      </c>
      <c r="C1338" s="1">
        <v>1</v>
      </c>
      <c r="D1338" s="1">
        <v>6</v>
      </c>
    </row>
    <row r="1339" spans="1:4" x14ac:dyDescent="0.25">
      <c r="A1339" s="16">
        <v>8859</v>
      </c>
      <c r="B1339" s="1">
        <v>1</v>
      </c>
      <c r="C1339" s="1">
        <v>1</v>
      </c>
      <c r="D1339" s="1">
        <v>8.8000000000000007</v>
      </c>
    </row>
    <row r="1340" spans="1:4" x14ac:dyDescent="0.25">
      <c r="A1340" s="16">
        <v>8860</v>
      </c>
      <c r="B1340" s="1">
        <v>1</v>
      </c>
      <c r="C1340" s="1">
        <v>2</v>
      </c>
      <c r="D1340" s="1">
        <v>28</v>
      </c>
    </row>
    <row r="1341" spans="1:4" x14ac:dyDescent="0.25">
      <c r="A1341" s="16">
        <v>8861</v>
      </c>
      <c r="B1341" s="1">
        <v>1</v>
      </c>
      <c r="C1341" s="1">
        <v>1</v>
      </c>
      <c r="D1341" s="1">
        <v>36</v>
      </c>
    </row>
    <row r="1342" spans="1:4" x14ac:dyDescent="0.25">
      <c r="A1342" s="16">
        <v>8862</v>
      </c>
      <c r="B1342" s="1">
        <v>1</v>
      </c>
      <c r="C1342" s="1">
        <v>1</v>
      </c>
      <c r="D1342" s="1">
        <v>8</v>
      </c>
    </row>
    <row r="1343" spans="1:4" x14ac:dyDescent="0.25">
      <c r="A1343" s="16">
        <v>8863</v>
      </c>
      <c r="B1343" s="1">
        <v>1</v>
      </c>
      <c r="C1343" s="1">
        <v>3</v>
      </c>
      <c r="D1343" s="1">
        <v>7.1999999999999993</v>
      </c>
    </row>
    <row r="1344" spans="1:4" x14ac:dyDescent="0.25">
      <c r="A1344" s="16">
        <v>8864</v>
      </c>
      <c r="B1344" s="1">
        <v>1</v>
      </c>
      <c r="C1344" s="1">
        <v>1</v>
      </c>
      <c r="D1344" s="1">
        <v>19.600000000000001</v>
      </c>
    </row>
    <row r="1345" spans="1:4" x14ac:dyDescent="0.25">
      <c r="A1345" s="16">
        <v>8865</v>
      </c>
      <c r="B1345" s="1">
        <v>1</v>
      </c>
      <c r="C1345" s="1">
        <v>1</v>
      </c>
      <c r="D1345" s="1">
        <v>7.6</v>
      </c>
    </row>
    <row r="1346" spans="1:4" x14ac:dyDescent="0.25">
      <c r="A1346" s="16">
        <v>8866</v>
      </c>
      <c r="B1346" s="1">
        <v>1</v>
      </c>
      <c r="C1346" s="1">
        <v>4</v>
      </c>
      <c r="D1346" s="1">
        <v>11.2</v>
      </c>
    </row>
    <row r="1347" spans="1:4" x14ac:dyDescent="0.25">
      <c r="A1347" s="16">
        <v>8867</v>
      </c>
      <c r="B1347" s="1">
        <v>1</v>
      </c>
      <c r="C1347" s="1">
        <v>1</v>
      </c>
      <c r="D1347" s="1">
        <v>6</v>
      </c>
    </row>
    <row r="1348" spans="1:4" x14ac:dyDescent="0.25">
      <c r="A1348" s="16">
        <v>8868</v>
      </c>
      <c r="B1348" s="1">
        <v>1</v>
      </c>
      <c r="C1348" s="1">
        <v>1</v>
      </c>
      <c r="D1348" s="1">
        <v>8.8000000000000007</v>
      </c>
    </row>
    <row r="1349" spans="1:4" x14ac:dyDescent="0.25">
      <c r="A1349" s="16">
        <v>8869</v>
      </c>
      <c r="B1349" s="1">
        <v>1</v>
      </c>
      <c r="C1349" s="1">
        <v>1</v>
      </c>
      <c r="D1349" s="1">
        <v>14</v>
      </c>
    </row>
    <row r="1350" spans="1:4" x14ac:dyDescent="0.25">
      <c r="A1350" s="16">
        <v>8870</v>
      </c>
      <c r="B1350" s="1">
        <v>1</v>
      </c>
      <c r="C1350" s="1">
        <v>1</v>
      </c>
      <c r="D1350" s="1">
        <v>36</v>
      </c>
    </row>
    <row r="1351" spans="1:4" x14ac:dyDescent="0.25">
      <c r="A1351" s="16">
        <v>8871</v>
      </c>
      <c r="B1351" s="1">
        <v>1</v>
      </c>
      <c r="C1351" s="1">
        <v>1</v>
      </c>
      <c r="D1351" s="1">
        <v>8</v>
      </c>
    </row>
    <row r="1352" spans="1:4" x14ac:dyDescent="0.25">
      <c r="A1352" s="16">
        <v>8872</v>
      </c>
      <c r="B1352" s="1">
        <v>1</v>
      </c>
      <c r="C1352" s="1">
        <v>3</v>
      </c>
      <c r="D1352" s="1">
        <v>7.1999999999999993</v>
      </c>
    </row>
    <row r="1353" spans="1:4" x14ac:dyDescent="0.25">
      <c r="A1353" s="16">
        <v>8873</v>
      </c>
      <c r="B1353" s="1">
        <v>1</v>
      </c>
      <c r="C1353" s="1">
        <v>1</v>
      </c>
      <c r="D1353" s="1">
        <v>19.600000000000001</v>
      </c>
    </row>
    <row r="1354" spans="1:4" x14ac:dyDescent="0.25">
      <c r="A1354" s="16">
        <v>8874</v>
      </c>
      <c r="B1354" s="1">
        <v>1</v>
      </c>
      <c r="C1354" s="1">
        <v>1</v>
      </c>
      <c r="D1354" s="1">
        <v>7.6</v>
      </c>
    </row>
    <row r="1355" spans="1:4" x14ac:dyDescent="0.25">
      <c r="A1355" s="16">
        <v>8875</v>
      </c>
      <c r="B1355" s="1">
        <v>1</v>
      </c>
      <c r="C1355" s="1">
        <v>3</v>
      </c>
      <c r="D1355" s="1">
        <v>8.3999999999999986</v>
      </c>
    </row>
    <row r="1356" spans="1:4" x14ac:dyDescent="0.25">
      <c r="A1356" s="16">
        <v>8876</v>
      </c>
      <c r="B1356" s="1">
        <v>1</v>
      </c>
      <c r="C1356" s="1">
        <v>1</v>
      </c>
      <c r="D1356" s="1">
        <v>6</v>
      </c>
    </row>
    <row r="1357" spans="1:4" x14ac:dyDescent="0.25">
      <c r="A1357" s="16">
        <v>8877</v>
      </c>
      <c r="B1357" s="1">
        <v>1</v>
      </c>
      <c r="C1357" s="1">
        <v>1</v>
      </c>
      <c r="D1357" s="1">
        <v>8.8000000000000007</v>
      </c>
    </row>
    <row r="1358" spans="1:4" x14ac:dyDescent="0.25">
      <c r="A1358" s="16">
        <v>8878</v>
      </c>
      <c r="B1358" s="1">
        <v>1</v>
      </c>
      <c r="C1358" s="1">
        <v>2</v>
      </c>
      <c r="D1358" s="1">
        <v>28</v>
      </c>
    </row>
    <row r="1359" spans="1:4" x14ac:dyDescent="0.25">
      <c r="A1359" s="16">
        <v>8879</v>
      </c>
      <c r="B1359" s="1">
        <v>1</v>
      </c>
      <c r="C1359" s="1">
        <v>1</v>
      </c>
      <c r="D1359" s="1">
        <v>36</v>
      </c>
    </row>
    <row r="1360" spans="1:4" x14ac:dyDescent="0.25">
      <c r="A1360" s="16">
        <v>8880</v>
      </c>
      <c r="B1360" s="1">
        <v>1</v>
      </c>
      <c r="C1360" s="1">
        <v>1</v>
      </c>
      <c r="D1360" s="1">
        <v>8</v>
      </c>
    </row>
    <row r="1361" spans="1:4" x14ac:dyDescent="0.25">
      <c r="A1361" s="16">
        <v>8881</v>
      </c>
      <c r="B1361" s="1">
        <v>1</v>
      </c>
      <c r="C1361" s="1">
        <v>2</v>
      </c>
      <c r="D1361" s="1">
        <v>4.8</v>
      </c>
    </row>
    <row r="1362" spans="1:4" x14ac:dyDescent="0.25">
      <c r="A1362" s="16">
        <v>8882</v>
      </c>
      <c r="B1362" s="1">
        <v>1</v>
      </c>
      <c r="C1362" s="1">
        <v>1</v>
      </c>
      <c r="D1362" s="1">
        <v>19.600000000000001</v>
      </c>
    </row>
    <row r="1363" spans="1:4" x14ac:dyDescent="0.25">
      <c r="A1363" s="16">
        <v>8883</v>
      </c>
      <c r="B1363" s="1">
        <v>1</v>
      </c>
      <c r="C1363" s="1">
        <v>1</v>
      </c>
      <c r="D1363" s="1">
        <v>7.6</v>
      </c>
    </row>
    <row r="1364" spans="1:4" x14ac:dyDescent="0.25">
      <c r="A1364" s="16">
        <v>8884</v>
      </c>
      <c r="B1364" s="1">
        <v>1</v>
      </c>
      <c r="C1364" s="1">
        <v>4</v>
      </c>
      <c r="D1364" s="1">
        <v>11.2</v>
      </c>
    </row>
    <row r="1365" spans="1:4" x14ac:dyDescent="0.25">
      <c r="A1365" s="16">
        <v>8885</v>
      </c>
      <c r="B1365" s="1">
        <v>1</v>
      </c>
      <c r="C1365" s="1">
        <v>1</v>
      </c>
      <c r="D1365" s="1">
        <v>6</v>
      </c>
    </row>
    <row r="1366" spans="1:4" x14ac:dyDescent="0.25">
      <c r="A1366" s="16">
        <v>8886</v>
      </c>
      <c r="B1366" s="1">
        <v>1</v>
      </c>
      <c r="C1366" s="1">
        <v>1</v>
      </c>
      <c r="D1366" s="1">
        <v>8.8000000000000007</v>
      </c>
    </row>
    <row r="1367" spans="1:4" x14ac:dyDescent="0.25">
      <c r="A1367" s="16">
        <v>8887</v>
      </c>
      <c r="B1367" s="1">
        <v>1</v>
      </c>
      <c r="C1367" s="1">
        <v>2</v>
      </c>
      <c r="D1367" s="1">
        <v>28</v>
      </c>
    </row>
    <row r="1368" spans="1:4" x14ac:dyDescent="0.25">
      <c r="A1368" s="16">
        <v>8888</v>
      </c>
      <c r="B1368" s="1">
        <v>1</v>
      </c>
      <c r="C1368" s="1">
        <v>1</v>
      </c>
      <c r="D1368" s="1">
        <v>36</v>
      </c>
    </row>
    <row r="1369" spans="1:4" x14ac:dyDescent="0.25">
      <c r="A1369" s="16">
        <v>8889</v>
      </c>
      <c r="B1369" s="1">
        <v>1</v>
      </c>
      <c r="C1369" s="1">
        <v>3</v>
      </c>
      <c r="D1369" s="1">
        <v>8.3999999999999986</v>
      </c>
    </row>
    <row r="1370" spans="1:4" x14ac:dyDescent="0.25">
      <c r="A1370" s="16">
        <v>8890</v>
      </c>
      <c r="B1370" s="1">
        <v>1</v>
      </c>
      <c r="C1370" s="1">
        <v>2</v>
      </c>
      <c r="D1370" s="1">
        <v>12</v>
      </c>
    </row>
    <row r="1371" spans="1:4" x14ac:dyDescent="0.25">
      <c r="A1371" s="16">
        <v>8891</v>
      </c>
      <c r="B1371" s="1">
        <v>1</v>
      </c>
      <c r="C1371" s="1">
        <v>1</v>
      </c>
      <c r="D1371" s="1">
        <v>8.8000000000000007</v>
      </c>
    </row>
    <row r="1372" spans="1:4" x14ac:dyDescent="0.25">
      <c r="A1372" s="16">
        <v>8892</v>
      </c>
      <c r="B1372" s="1">
        <v>1</v>
      </c>
      <c r="C1372" s="1">
        <v>2</v>
      </c>
      <c r="D1372" s="1">
        <v>28</v>
      </c>
    </row>
    <row r="1373" spans="1:4" x14ac:dyDescent="0.25">
      <c r="A1373" s="16">
        <v>8893</v>
      </c>
      <c r="B1373" s="1">
        <v>1</v>
      </c>
      <c r="C1373" s="1">
        <v>1</v>
      </c>
      <c r="D1373" s="1">
        <v>36</v>
      </c>
    </row>
    <row r="1374" spans="1:4" x14ac:dyDescent="0.25">
      <c r="A1374" s="16">
        <v>8894</v>
      </c>
      <c r="B1374" s="1">
        <v>1</v>
      </c>
      <c r="C1374" s="1">
        <v>1</v>
      </c>
      <c r="D1374" s="1">
        <v>8</v>
      </c>
    </row>
    <row r="1375" spans="1:4" x14ac:dyDescent="0.25">
      <c r="A1375" s="16">
        <v>8895</v>
      </c>
      <c r="B1375" s="1">
        <v>1</v>
      </c>
      <c r="C1375" s="1">
        <v>3</v>
      </c>
      <c r="D1375" s="1">
        <v>7.1999999999999993</v>
      </c>
    </row>
    <row r="1376" spans="1:4" x14ac:dyDescent="0.25">
      <c r="A1376" s="16">
        <v>8896</v>
      </c>
      <c r="B1376" s="1">
        <v>1</v>
      </c>
      <c r="C1376" s="1">
        <v>1</v>
      </c>
      <c r="D1376" s="1">
        <v>19.600000000000001</v>
      </c>
    </row>
    <row r="1377" spans="1:4" x14ac:dyDescent="0.25">
      <c r="A1377" s="16">
        <v>8897</v>
      </c>
      <c r="B1377" s="1">
        <v>1</v>
      </c>
      <c r="C1377" s="1">
        <v>1</v>
      </c>
      <c r="D1377" s="1">
        <v>7.6</v>
      </c>
    </row>
    <row r="1378" spans="1:4" x14ac:dyDescent="0.25">
      <c r="A1378" s="16">
        <v>8898</v>
      </c>
      <c r="B1378" s="1">
        <v>1</v>
      </c>
      <c r="C1378" s="1">
        <v>4</v>
      </c>
      <c r="D1378" s="1">
        <v>11.2</v>
      </c>
    </row>
    <row r="1379" spans="1:4" x14ac:dyDescent="0.25">
      <c r="A1379" s="16">
        <v>8899</v>
      </c>
      <c r="B1379" s="1">
        <v>1</v>
      </c>
      <c r="C1379" s="1">
        <v>1</v>
      </c>
      <c r="D1379" s="1">
        <v>6</v>
      </c>
    </row>
    <row r="1380" spans="1:4" x14ac:dyDescent="0.25">
      <c r="A1380" s="16">
        <v>8900</v>
      </c>
      <c r="B1380" s="1">
        <v>1</v>
      </c>
      <c r="C1380" s="1">
        <v>1</v>
      </c>
      <c r="D1380" s="1">
        <v>8.8000000000000007</v>
      </c>
    </row>
    <row r="1381" spans="1:4" x14ac:dyDescent="0.25">
      <c r="A1381" s="16">
        <v>8901</v>
      </c>
      <c r="B1381" s="1">
        <v>1</v>
      </c>
      <c r="C1381" s="1">
        <v>1</v>
      </c>
      <c r="D1381" s="1">
        <v>14</v>
      </c>
    </row>
    <row r="1382" spans="1:4" x14ac:dyDescent="0.25">
      <c r="A1382" s="16">
        <v>8902</v>
      </c>
      <c r="B1382" s="1">
        <v>1</v>
      </c>
      <c r="C1382" s="1">
        <v>1</v>
      </c>
      <c r="D1382" s="1">
        <v>36</v>
      </c>
    </row>
    <row r="1383" spans="1:4" x14ac:dyDescent="0.25">
      <c r="A1383" s="16">
        <v>8903</v>
      </c>
      <c r="B1383" s="1">
        <v>1</v>
      </c>
      <c r="C1383" s="1">
        <v>1</v>
      </c>
      <c r="D1383" s="1">
        <v>8</v>
      </c>
    </row>
    <row r="1384" spans="1:4" x14ac:dyDescent="0.25">
      <c r="A1384" s="16">
        <v>8904</v>
      </c>
      <c r="B1384" s="1">
        <v>1</v>
      </c>
      <c r="C1384" s="1">
        <v>3</v>
      </c>
      <c r="D1384" s="1">
        <v>7.1999999999999993</v>
      </c>
    </row>
    <row r="1385" spans="1:4" x14ac:dyDescent="0.25">
      <c r="A1385" s="16">
        <v>8905</v>
      </c>
      <c r="B1385" s="1">
        <v>1</v>
      </c>
      <c r="C1385" s="1">
        <v>1</v>
      </c>
      <c r="D1385" s="1">
        <v>19.600000000000001</v>
      </c>
    </row>
    <row r="1386" spans="1:4" x14ac:dyDescent="0.25">
      <c r="A1386" s="16">
        <v>8906</v>
      </c>
      <c r="B1386" s="1">
        <v>1</v>
      </c>
      <c r="C1386" s="1">
        <v>1</v>
      </c>
      <c r="D1386" s="1">
        <v>7.6</v>
      </c>
    </row>
    <row r="1387" spans="1:4" x14ac:dyDescent="0.25">
      <c r="A1387" s="16">
        <v>8907</v>
      </c>
      <c r="B1387" s="1">
        <v>1</v>
      </c>
      <c r="C1387" s="1">
        <v>5</v>
      </c>
      <c r="D1387" s="1">
        <v>14</v>
      </c>
    </row>
    <row r="1388" spans="1:4" x14ac:dyDescent="0.25">
      <c r="A1388" s="16">
        <v>8908</v>
      </c>
      <c r="B1388" s="1">
        <v>1</v>
      </c>
      <c r="C1388" s="1">
        <v>2</v>
      </c>
      <c r="D1388" s="1">
        <v>12</v>
      </c>
    </row>
    <row r="1389" spans="1:4" x14ac:dyDescent="0.25">
      <c r="A1389" s="16">
        <v>8909</v>
      </c>
      <c r="B1389" s="1">
        <v>1</v>
      </c>
      <c r="C1389" s="1">
        <v>1</v>
      </c>
      <c r="D1389" s="1">
        <v>8.8000000000000007</v>
      </c>
    </row>
    <row r="1390" spans="1:4" x14ac:dyDescent="0.25">
      <c r="A1390" s="16">
        <v>8910</v>
      </c>
      <c r="B1390" s="1">
        <v>1</v>
      </c>
      <c r="C1390" s="1">
        <v>1</v>
      </c>
      <c r="D1390" s="1">
        <v>14</v>
      </c>
    </row>
    <row r="1391" spans="1:4" x14ac:dyDescent="0.25">
      <c r="A1391" s="16">
        <v>8911</v>
      </c>
      <c r="B1391" s="1">
        <v>1</v>
      </c>
      <c r="C1391" s="1">
        <v>1</v>
      </c>
      <c r="D1391" s="1">
        <v>36</v>
      </c>
    </row>
    <row r="1392" spans="1:4" x14ac:dyDescent="0.25">
      <c r="A1392" s="16">
        <v>8912</v>
      </c>
      <c r="B1392" s="1">
        <v>1</v>
      </c>
      <c r="C1392" s="1">
        <v>1</v>
      </c>
      <c r="D1392" s="1">
        <v>8</v>
      </c>
    </row>
    <row r="1393" spans="1:4" x14ac:dyDescent="0.25">
      <c r="A1393" s="16">
        <v>8913</v>
      </c>
      <c r="B1393" s="1">
        <v>1</v>
      </c>
      <c r="C1393" s="1">
        <v>2</v>
      </c>
      <c r="D1393" s="1">
        <v>4.8</v>
      </c>
    </row>
    <row r="1394" spans="1:4" x14ac:dyDescent="0.25">
      <c r="A1394" s="16">
        <v>8914</v>
      </c>
      <c r="B1394" s="1">
        <v>1</v>
      </c>
      <c r="C1394" s="1">
        <v>1</v>
      </c>
      <c r="D1394" s="1">
        <v>19.600000000000001</v>
      </c>
    </row>
    <row r="1395" spans="1:4" x14ac:dyDescent="0.25">
      <c r="A1395" s="16">
        <v>8915</v>
      </c>
      <c r="B1395" s="1">
        <v>1</v>
      </c>
      <c r="C1395" s="1">
        <v>1</v>
      </c>
      <c r="D1395" s="1">
        <v>7.6</v>
      </c>
    </row>
    <row r="1396" spans="1:4" x14ac:dyDescent="0.25">
      <c r="A1396" s="16">
        <v>8916</v>
      </c>
      <c r="B1396" s="1">
        <v>1</v>
      </c>
      <c r="C1396" s="1">
        <v>4</v>
      </c>
      <c r="D1396" s="1">
        <v>11.2</v>
      </c>
    </row>
    <row r="1397" spans="1:4" x14ac:dyDescent="0.25">
      <c r="A1397" s="16">
        <v>8917</v>
      </c>
      <c r="B1397" s="1">
        <v>1</v>
      </c>
      <c r="C1397" s="1">
        <v>1</v>
      </c>
      <c r="D1397" s="1">
        <v>6</v>
      </c>
    </row>
    <row r="1398" spans="1:4" x14ac:dyDescent="0.25">
      <c r="A1398" s="16">
        <v>8918</v>
      </c>
      <c r="B1398" s="1">
        <v>1</v>
      </c>
      <c r="C1398" s="1">
        <v>1</v>
      </c>
      <c r="D1398" s="1">
        <v>8.8000000000000007</v>
      </c>
    </row>
    <row r="1399" spans="1:4" x14ac:dyDescent="0.25">
      <c r="A1399" s="16">
        <v>8919</v>
      </c>
      <c r="B1399" s="1">
        <v>1</v>
      </c>
      <c r="C1399" s="1">
        <v>1</v>
      </c>
      <c r="D1399" s="1">
        <v>14</v>
      </c>
    </row>
    <row r="1400" spans="1:4" x14ac:dyDescent="0.25">
      <c r="A1400" s="16">
        <v>8920</v>
      </c>
      <c r="B1400" s="1">
        <v>1</v>
      </c>
      <c r="C1400" s="1">
        <v>1</v>
      </c>
      <c r="D1400" s="1">
        <v>36</v>
      </c>
    </row>
    <row r="1401" spans="1:4" x14ac:dyDescent="0.25">
      <c r="A1401" s="16">
        <v>8921</v>
      </c>
      <c r="B1401" s="1">
        <v>1</v>
      </c>
      <c r="C1401" s="1">
        <v>1</v>
      </c>
      <c r="D1401" s="1">
        <v>8</v>
      </c>
    </row>
    <row r="1402" spans="1:4" x14ac:dyDescent="0.25">
      <c r="A1402" s="16">
        <v>8922</v>
      </c>
      <c r="B1402" s="1">
        <v>1</v>
      </c>
      <c r="C1402" s="1">
        <v>2</v>
      </c>
      <c r="D1402" s="1">
        <v>4.8</v>
      </c>
    </row>
    <row r="1403" spans="1:4" x14ac:dyDescent="0.25">
      <c r="A1403" s="16">
        <v>8923</v>
      </c>
      <c r="B1403" s="1">
        <v>1</v>
      </c>
      <c r="C1403" s="1">
        <v>1</v>
      </c>
      <c r="D1403" s="1">
        <v>19.600000000000001</v>
      </c>
    </row>
    <row r="1404" spans="1:4" x14ac:dyDescent="0.25">
      <c r="A1404" s="16">
        <v>8924</v>
      </c>
      <c r="B1404" s="1">
        <v>1</v>
      </c>
      <c r="C1404" s="1">
        <v>1</v>
      </c>
      <c r="D1404" s="1">
        <v>7.6</v>
      </c>
    </row>
    <row r="1405" spans="1:4" x14ac:dyDescent="0.25">
      <c r="A1405" s="16">
        <v>8925</v>
      </c>
      <c r="B1405" s="1">
        <v>1</v>
      </c>
      <c r="C1405" s="1">
        <v>5</v>
      </c>
      <c r="D1405" s="1">
        <v>14</v>
      </c>
    </row>
    <row r="1406" spans="1:4" x14ac:dyDescent="0.25">
      <c r="A1406" s="16">
        <v>8926</v>
      </c>
      <c r="B1406" s="1">
        <v>1</v>
      </c>
      <c r="C1406" s="1">
        <v>2</v>
      </c>
      <c r="D1406" s="1">
        <v>12</v>
      </c>
    </row>
    <row r="1407" spans="1:4" x14ac:dyDescent="0.25">
      <c r="A1407" s="16">
        <v>8927</v>
      </c>
      <c r="B1407" s="1">
        <v>1</v>
      </c>
      <c r="C1407" s="1">
        <v>1</v>
      </c>
      <c r="D1407" s="1">
        <v>8.8000000000000007</v>
      </c>
    </row>
    <row r="1408" spans="1:4" x14ac:dyDescent="0.25">
      <c r="A1408" s="16">
        <v>8928</v>
      </c>
      <c r="B1408" s="1">
        <v>1</v>
      </c>
      <c r="C1408" s="1">
        <v>1</v>
      </c>
      <c r="D1408" s="1">
        <v>14</v>
      </c>
    </row>
    <row r="1409" spans="1:4" x14ac:dyDescent="0.25">
      <c r="A1409" s="16">
        <v>8929</v>
      </c>
      <c r="B1409" s="1">
        <v>1</v>
      </c>
      <c r="C1409" s="1">
        <v>1</v>
      </c>
      <c r="D1409" s="1">
        <v>36</v>
      </c>
    </row>
    <row r="1410" spans="1:4" x14ac:dyDescent="0.25">
      <c r="A1410" s="16">
        <v>8930</v>
      </c>
      <c r="B1410" s="1">
        <v>1</v>
      </c>
      <c r="C1410" s="1">
        <v>1</v>
      </c>
      <c r="D1410" s="1">
        <v>8</v>
      </c>
    </row>
    <row r="1411" spans="1:4" x14ac:dyDescent="0.25">
      <c r="A1411" s="16">
        <v>8931</v>
      </c>
      <c r="B1411" s="1">
        <v>1</v>
      </c>
      <c r="C1411" s="1">
        <v>2</v>
      </c>
      <c r="D1411" s="1">
        <v>4.8</v>
      </c>
    </row>
    <row r="1412" spans="1:4" x14ac:dyDescent="0.25">
      <c r="A1412" s="16">
        <v>8932</v>
      </c>
      <c r="B1412" s="1">
        <v>1</v>
      </c>
      <c r="C1412" s="1">
        <v>1</v>
      </c>
      <c r="D1412" s="1">
        <v>19.600000000000001</v>
      </c>
    </row>
    <row r="1413" spans="1:4" x14ac:dyDescent="0.25">
      <c r="A1413" s="16">
        <v>8933</v>
      </c>
      <c r="B1413" s="1">
        <v>1</v>
      </c>
      <c r="C1413" s="1">
        <v>1</v>
      </c>
      <c r="D1413" s="1">
        <v>7.6</v>
      </c>
    </row>
    <row r="1414" spans="1:4" x14ac:dyDescent="0.25">
      <c r="A1414" s="16">
        <v>8934</v>
      </c>
      <c r="B1414" s="1">
        <v>1</v>
      </c>
      <c r="C1414" s="1">
        <v>4</v>
      </c>
      <c r="D1414" s="1">
        <v>11.2</v>
      </c>
    </row>
    <row r="1415" spans="1:4" x14ac:dyDescent="0.25">
      <c r="A1415" s="16">
        <v>8935</v>
      </c>
      <c r="B1415" s="1">
        <v>1</v>
      </c>
      <c r="C1415" s="1">
        <v>1</v>
      </c>
      <c r="D1415" s="1">
        <v>6</v>
      </c>
    </row>
    <row r="1416" spans="1:4" x14ac:dyDescent="0.25">
      <c r="A1416" s="16">
        <v>8936</v>
      </c>
      <c r="B1416" s="1">
        <v>1</v>
      </c>
      <c r="C1416" s="1">
        <v>1</v>
      </c>
      <c r="D1416" s="1">
        <v>8.8000000000000007</v>
      </c>
    </row>
    <row r="1417" spans="1:4" x14ac:dyDescent="0.25">
      <c r="A1417" s="16">
        <v>8937</v>
      </c>
      <c r="B1417" s="1">
        <v>1</v>
      </c>
      <c r="C1417" s="1">
        <v>1</v>
      </c>
      <c r="D1417" s="1">
        <v>14</v>
      </c>
    </row>
    <row r="1418" spans="1:4" x14ac:dyDescent="0.25">
      <c r="A1418" s="16">
        <v>8938</v>
      </c>
      <c r="B1418" s="1">
        <v>1</v>
      </c>
      <c r="C1418" s="1">
        <v>1</v>
      </c>
      <c r="D1418" s="1">
        <v>36</v>
      </c>
    </row>
    <row r="1419" spans="1:4" x14ac:dyDescent="0.25">
      <c r="A1419" s="16">
        <v>8939</v>
      </c>
      <c r="B1419" s="1">
        <v>1</v>
      </c>
      <c r="C1419" s="1">
        <v>1</v>
      </c>
      <c r="D1419" s="1">
        <v>8</v>
      </c>
    </row>
    <row r="1420" spans="1:4" x14ac:dyDescent="0.25">
      <c r="A1420" s="16">
        <v>8940</v>
      </c>
      <c r="B1420" s="1">
        <v>1</v>
      </c>
      <c r="C1420" s="1">
        <v>3</v>
      </c>
      <c r="D1420" s="1">
        <v>7.1999999999999993</v>
      </c>
    </row>
    <row r="1421" spans="1:4" x14ac:dyDescent="0.25">
      <c r="A1421" s="16">
        <v>8941</v>
      </c>
      <c r="B1421" s="1">
        <v>1</v>
      </c>
      <c r="C1421" s="1">
        <v>1</v>
      </c>
      <c r="D1421" s="1">
        <v>19.600000000000001</v>
      </c>
    </row>
    <row r="1422" spans="1:4" x14ac:dyDescent="0.25">
      <c r="A1422" s="16">
        <v>8942</v>
      </c>
      <c r="B1422" s="1">
        <v>1</v>
      </c>
      <c r="C1422" s="1">
        <v>1</v>
      </c>
      <c r="D1422" s="1">
        <v>7.6</v>
      </c>
    </row>
    <row r="1423" spans="1:4" x14ac:dyDescent="0.25">
      <c r="A1423" s="16">
        <v>8943</v>
      </c>
      <c r="B1423" s="1">
        <v>1</v>
      </c>
      <c r="C1423" s="1">
        <v>3</v>
      </c>
      <c r="D1423" s="1">
        <v>8.3999999999999986</v>
      </c>
    </row>
    <row r="1424" spans="1:4" x14ac:dyDescent="0.25">
      <c r="A1424" s="16">
        <v>8944</v>
      </c>
      <c r="B1424" s="1">
        <v>1</v>
      </c>
      <c r="C1424" s="1">
        <v>1</v>
      </c>
      <c r="D1424" s="1">
        <v>6</v>
      </c>
    </row>
    <row r="1425" spans="1:4" x14ac:dyDescent="0.25">
      <c r="A1425" s="16">
        <v>8945</v>
      </c>
      <c r="B1425" s="1">
        <v>1</v>
      </c>
      <c r="C1425" s="1">
        <v>1</v>
      </c>
      <c r="D1425" s="1">
        <v>8.8000000000000007</v>
      </c>
    </row>
    <row r="1426" spans="1:4" x14ac:dyDescent="0.25">
      <c r="A1426" s="16">
        <v>8946</v>
      </c>
      <c r="B1426" s="1">
        <v>1</v>
      </c>
      <c r="C1426" s="1">
        <v>1</v>
      </c>
      <c r="D1426" s="1">
        <v>14</v>
      </c>
    </row>
    <row r="1427" spans="1:4" x14ac:dyDescent="0.25">
      <c r="A1427" s="16">
        <v>8947</v>
      </c>
      <c r="B1427" s="1">
        <v>1</v>
      </c>
      <c r="C1427" s="1">
        <v>1</v>
      </c>
      <c r="D1427" s="1">
        <v>36</v>
      </c>
    </row>
    <row r="1428" spans="1:4" x14ac:dyDescent="0.25">
      <c r="A1428" s="16">
        <v>8948</v>
      </c>
      <c r="B1428" s="1">
        <v>1</v>
      </c>
      <c r="C1428" s="1">
        <v>1</v>
      </c>
      <c r="D1428" s="1">
        <v>8</v>
      </c>
    </row>
    <row r="1429" spans="1:4" x14ac:dyDescent="0.25">
      <c r="A1429" s="16">
        <v>8949</v>
      </c>
      <c r="B1429" s="1">
        <v>1</v>
      </c>
      <c r="C1429" s="1">
        <v>2</v>
      </c>
      <c r="D1429" s="1">
        <v>4.8</v>
      </c>
    </row>
    <row r="1430" spans="1:4" x14ac:dyDescent="0.25">
      <c r="A1430" s="16">
        <v>8950</v>
      </c>
      <c r="B1430" s="1">
        <v>1</v>
      </c>
      <c r="C1430" s="1">
        <v>1</v>
      </c>
      <c r="D1430" s="1">
        <v>19.600000000000001</v>
      </c>
    </row>
    <row r="1431" spans="1:4" x14ac:dyDescent="0.25">
      <c r="A1431" s="16">
        <v>8951</v>
      </c>
      <c r="B1431" s="1">
        <v>1</v>
      </c>
      <c r="C1431" s="1">
        <v>1</v>
      </c>
      <c r="D1431" s="1">
        <v>7.6</v>
      </c>
    </row>
    <row r="1432" spans="1:4" x14ac:dyDescent="0.25">
      <c r="A1432" s="16">
        <v>8952</v>
      </c>
      <c r="B1432" s="1">
        <v>1</v>
      </c>
      <c r="C1432" s="1">
        <v>5</v>
      </c>
      <c r="D1432" s="1">
        <v>14</v>
      </c>
    </row>
    <row r="1433" spans="1:4" x14ac:dyDescent="0.25">
      <c r="A1433" s="16">
        <v>8953</v>
      </c>
      <c r="B1433" s="1">
        <v>1</v>
      </c>
      <c r="C1433" s="1">
        <v>1</v>
      </c>
      <c r="D1433" s="1">
        <v>6</v>
      </c>
    </row>
    <row r="1434" spans="1:4" x14ac:dyDescent="0.25">
      <c r="A1434" s="16">
        <v>8954</v>
      </c>
      <c r="B1434" s="1">
        <v>1</v>
      </c>
      <c r="C1434" s="1">
        <v>1</v>
      </c>
      <c r="D1434" s="1">
        <v>8.8000000000000007</v>
      </c>
    </row>
    <row r="1435" spans="1:4" x14ac:dyDescent="0.25">
      <c r="A1435" s="16">
        <v>8955</v>
      </c>
      <c r="B1435" s="1">
        <v>1</v>
      </c>
      <c r="C1435" s="1">
        <v>2</v>
      </c>
      <c r="D1435" s="1">
        <v>28</v>
      </c>
    </row>
    <row r="1436" spans="1:4" x14ac:dyDescent="0.25">
      <c r="A1436" s="16">
        <v>8956</v>
      </c>
      <c r="B1436" s="1">
        <v>1</v>
      </c>
      <c r="C1436" s="1">
        <v>1</v>
      </c>
      <c r="D1436" s="1">
        <v>36</v>
      </c>
    </row>
    <row r="1437" spans="1:4" x14ac:dyDescent="0.25">
      <c r="A1437" s="16">
        <v>8957</v>
      </c>
      <c r="B1437" s="1">
        <v>1</v>
      </c>
      <c r="C1437" s="1">
        <v>1</v>
      </c>
      <c r="D1437" s="1">
        <v>8</v>
      </c>
    </row>
    <row r="1438" spans="1:4" x14ac:dyDescent="0.25">
      <c r="A1438" s="16">
        <v>8958</v>
      </c>
      <c r="B1438" s="1">
        <v>1</v>
      </c>
      <c r="C1438" s="1">
        <v>3</v>
      </c>
      <c r="D1438" s="1">
        <v>7.1999999999999993</v>
      </c>
    </row>
    <row r="1439" spans="1:4" x14ac:dyDescent="0.25">
      <c r="A1439" s="16">
        <v>8959</v>
      </c>
      <c r="B1439" s="1">
        <v>1</v>
      </c>
      <c r="C1439" s="1">
        <v>1</v>
      </c>
      <c r="D1439" s="1">
        <v>19.600000000000001</v>
      </c>
    </row>
    <row r="1440" spans="1:4" x14ac:dyDescent="0.25">
      <c r="A1440" s="16">
        <v>8960</v>
      </c>
      <c r="B1440" s="1">
        <v>1</v>
      </c>
      <c r="C1440" s="1">
        <v>1</v>
      </c>
      <c r="D1440" s="1">
        <v>7.6</v>
      </c>
    </row>
    <row r="1441" spans="1:4" x14ac:dyDescent="0.25">
      <c r="A1441" s="16">
        <v>8961</v>
      </c>
      <c r="B1441" s="1">
        <v>1</v>
      </c>
      <c r="C1441" s="1">
        <v>5</v>
      </c>
      <c r="D1441" s="1">
        <v>14</v>
      </c>
    </row>
    <row r="1442" spans="1:4" x14ac:dyDescent="0.25">
      <c r="A1442" s="16">
        <v>8962</v>
      </c>
      <c r="B1442" s="1">
        <v>1</v>
      </c>
      <c r="C1442" s="1">
        <v>1</v>
      </c>
      <c r="D1442" s="1">
        <v>6</v>
      </c>
    </row>
    <row r="1443" spans="1:4" x14ac:dyDescent="0.25">
      <c r="A1443" s="16">
        <v>8963</v>
      </c>
      <c r="B1443" s="1">
        <v>1</v>
      </c>
      <c r="C1443" s="1">
        <v>1</v>
      </c>
      <c r="D1443" s="1">
        <v>8.8000000000000007</v>
      </c>
    </row>
    <row r="1444" spans="1:4" x14ac:dyDescent="0.25">
      <c r="A1444" s="16">
        <v>8964</v>
      </c>
      <c r="B1444" s="1">
        <v>1</v>
      </c>
      <c r="C1444" s="1">
        <v>1</v>
      </c>
      <c r="D1444" s="1">
        <v>14</v>
      </c>
    </row>
    <row r="1445" spans="1:4" x14ac:dyDescent="0.25">
      <c r="A1445" s="16">
        <v>8965</v>
      </c>
      <c r="B1445" s="1">
        <v>1</v>
      </c>
      <c r="C1445" s="1">
        <v>1</v>
      </c>
      <c r="D1445" s="1">
        <v>36</v>
      </c>
    </row>
    <row r="1446" spans="1:4" x14ac:dyDescent="0.25">
      <c r="A1446" s="16">
        <v>8966</v>
      </c>
      <c r="B1446" s="1">
        <v>1</v>
      </c>
      <c r="C1446" s="1">
        <v>1</v>
      </c>
      <c r="D1446" s="1">
        <v>8</v>
      </c>
    </row>
    <row r="1447" spans="1:4" x14ac:dyDescent="0.25">
      <c r="A1447" s="16">
        <v>8967</v>
      </c>
      <c r="B1447" s="1">
        <v>1</v>
      </c>
      <c r="C1447" s="1">
        <v>2</v>
      </c>
      <c r="D1447" s="1">
        <v>4.8</v>
      </c>
    </row>
    <row r="1448" spans="1:4" x14ac:dyDescent="0.25">
      <c r="A1448" s="16">
        <v>8968</v>
      </c>
      <c r="B1448" s="1">
        <v>1</v>
      </c>
      <c r="C1448" s="1">
        <v>1</v>
      </c>
      <c r="D1448" s="1">
        <v>19.600000000000001</v>
      </c>
    </row>
    <row r="1449" spans="1:4" x14ac:dyDescent="0.25">
      <c r="A1449" s="16">
        <v>8969</v>
      </c>
      <c r="B1449" s="1">
        <v>1</v>
      </c>
      <c r="C1449" s="1">
        <v>1</v>
      </c>
      <c r="D1449" s="1">
        <v>7.6</v>
      </c>
    </row>
    <row r="1450" spans="1:4" x14ac:dyDescent="0.25">
      <c r="A1450" s="16">
        <v>8970</v>
      </c>
      <c r="B1450" s="1">
        <v>1</v>
      </c>
      <c r="C1450" s="1">
        <v>4</v>
      </c>
      <c r="D1450" s="1">
        <v>11.2</v>
      </c>
    </row>
    <row r="1451" spans="1:4" x14ac:dyDescent="0.25">
      <c r="A1451" s="16">
        <v>8971</v>
      </c>
      <c r="B1451" s="1">
        <v>1</v>
      </c>
      <c r="C1451" s="1">
        <v>1</v>
      </c>
      <c r="D1451" s="1">
        <v>6</v>
      </c>
    </row>
    <row r="1452" spans="1:4" x14ac:dyDescent="0.25">
      <c r="A1452" s="16">
        <v>8972</v>
      </c>
      <c r="B1452" s="1">
        <v>1</v>
      </c>
      <c r="C1452" s="1">
        <v>1</v>
      </c>
      <c r="D1452" s="1">
        <v>8.8000000000000007</v>
      </c>
    </row>
    <row r="1453" spans="1:4" x14ac:dyDescent="0.25">
      <c r="A1453" s="16">
        <v>8973</v>
      </c>
      <c r="B1453" s="1">
        <v>1</v>
      </c>
      <c r="C1453" s="1">
        <v>1</v>
      </c>
      <c r="D1453" s="1">
        <v>14</v>
      </c>
    </row>
    <row r="1454" spans="1:4" x14ac:dyDescent="0.25">
      <c r="A1454" s="16">
        <v>8974</v>
      </c>
      <c r="B1454" s="1">
        <v>1</v>
      </c>
      <c r="C1454" s="1">
        <v>1</v>
      </c>
      <c r="D1454" s="1">
        <v>36</v>
      </c>
    </row>
    <row r="1455" spans="1:4" x14ac:dyDescent="0.25">
      <c r="A1455" s="16">
        <v>8975</v>
      </c>
      <c r="B1455" s="1">
        <v>1</v>
      </c>
      <c r="C1455" s="1">
        <v>1</v>
      </c>
      <c r="D1455" s="1">
        <v>8</v>
      </c>
    </row>
    <row r="1456" spans="1:4" x14ac:dyDescent="0.25">
      <c r="A1456" s="16">
        <v>8976</v>
      </c>
      <c r="B1456" s="1">
        <v>1</v>
      </c>
      <c r="C1456" s="1">
        <v>2</v>
      </c>
      <c r="D1456" s="1">
        <v>4.8</v>
      </c>
    </row>
    <row r="1457" spans="1:4" x14ac:dyDescent="0.25">
      <c r="A1457" s="16">
        <v>8977</v>
      </c>
      <c r="B1457" s="1">
        <v>1</v>
      </c>
      <c r="C1457" s="1">
        <v>1</v>
      </c>
      <c r="D1457" s="1">
        <v>19.600000000000001</v>
      </c>
    </row>
    <row r="1458" spans="1:4" x14ac:dyDescent="0.25">
      <c r="A1458" s="16">
        <v>8978</v>
      </c>
      <c r="B1458" s="1">
        <v>1</v>
      </c>
      <c r="C1458" s="1">
        <v>1</v>
      </c>
      <c r="D1458" s="1">
        <v>7.6</v>
      </c>
    </row>
    <row r="1459" spans="1:4" x14ac:dyDescent="0.25">
      <c r="A1459" s="16">
        <v>8979</v>
      </c>
      <c r="B1459" s="1">
        <v>1</v>
      </c>
      <c r="C1459" s="1">
        <v>3</v>
      </c>
      <c r="D1459" s="1">
        <v>8.3999999999999986</v>
      </c>
    </row>
    <row r="1460" spans="1:4" x14ac:dyDescent="0.25">
      <c r="A1460" s="16">
        <v>8980</v>
      </c>
      <c r="B1460" s="1">
        <v>1</v>
      </c>
      <c r="C1460" s="1">
        <v>1</v>
      </c>
      <c r="D1460" s="1">
        <v>6</v>
      </c>
    </row>
    <row r="1461" spans="1:4" x14ac:dyDescent="0.25">
      <c r="A1461" s="16">
        <v>8981</v>
      </c>
      <c r="B1461" s="1">
        <v>1</v>
      </c>
      <c r="C1461" s="1">
        <v>1</v>
      </c>
      <c r="D1461" s="1">
        <v>8.8000000000000007</v>
      </c>
    </row>
    <row r="1462" spans="1:4" x14ac:dyDescent="0.25">
      <c r="A1462" s="16">
        <v>8982</v>
      </c>
      <c r="B1462" s="1">
        <v>1</v>
      </c>
      <c r="C1462" s="1">
        <v>1</v>
      </c>
      <c r="D1462" s="1">
        <v>14</v>
      </c>
    </row>
    <row r="1463" spans="1:4" x14ac:dyDescent="0.25">
      <c r="A1463" s="16">
        <v>8983</v>
      </c>
      <c r="B1463" s="1">
        <v>1</v>
      </c>
      <c r="C1463" s="1">
        <v>1</v>
      </c>
      <c r="D1463" s="1">
        <v>36</v>
      </c>
    </row>
    <row r="1464" spans="1:4" x14ac:dyDescent="0.25">
      <c r="A1464" s="16">
        <v>8984</v>
      </c>
      <c r="B1464" s="1">
        <v>1</v>
      </c>
      <c r="C1464" s="1">
        <v>1</v>
      </c>
      <c r="D1464" s="1">
        <v>8</v>
      </c>
    </row>
    <row r="1465" spans="1:4" x14ac:dyDescent="0.25">
      <c r="A1465" s="16">
        <v>8985</v>
      </c>
      <c r="B1465" s="1">
        <v>1</v>
      </c>
      <c r="C1465" s="1">
        <v>3</v>
      </c>
      <c r="D1465" s="1">
        <v>7.1999999999999993</v>
      </c>
    </row>
    <row r="1466" spans="1:4" x14ac:dyDescent="0.25">
      <c r="A1466" s="16">
        <v>8986</v>
      </c>
      <c r="B1466" s="1">
        <v>1</v>
      </c>
      <c r="C1466" s="1">
        <v>1</v>
      </c>
      <c r="D1466" s="1">
        <v>19.600000000000001</v>
      </c>
    </row>
    <row r="1467" spans="1:4" x14ac:dyDescent="0.25">
      <c r="A1467" s="16">
        <v>8987</v>
      </c>
      <c r="B1467" s="1">
        <v>1</v>
      </c>
      <c r="C1467" s="1">
        <v>1</v>
      </c>
      <c r="D1467" s="1">
        <v>7.6</v>
      </c>
    </row>
    <row r="1468" spans="1:4" x14ac:dyDescent="0.25">
      <c r="A1468" s="16">
        <v>8988</v>
      </c>
      <c r="B1468" s="1">
        <v>1</v>
      </c>
      <c r="C1468" s="1">
        <v>5</v>
      </c>
      <c r="D1468" s="1">
        <v>14</v>
      </c>
    </row>
    <row r="1469" spans="1:4" x14ac:dyDescent="0.25">
      <c r="A1469" s="16">
        <v>8989</v>
      </c>
      <c r="B1469" s="1">
        <v>1</v>
      </c>
      <c r="C1469" s="1">
        <v>2</v>
      </c>
      <c r="D1469" s="1">
        <v>12</v>
      </c>
    </row>
    <row r="1470" spans="1:4" x14ac:dyDescent="0.25">
      <c r="A1470" s="16">
        <v>8990</v>
      </c>
      <c r="B1470" s="1">
        <v>1</v>
      </c>
      <c r="C1470" s="1">
        <v>1</v>
      </c>
      <c r="D1470" s="1">
        <v>8.8000000000000007</v>
      </c>
    </row>
    <row r="1471" spans="1:4" x14ac:dyDescent="0.25">
      <c r="A1471" s="16">
        <v>8991</v>
      </c>
      <c r="B1471" s="1">
        <v>1</v>
      </c>
      <c r="C1471" s="1">
        <v>1</v>
      </c>
      <c r="D1471" s="1">
        <v>14</v>
      </c>
    </row>
    <row r="1472" spans="1:4" x14ac:dyDescent="0.25">
      <c r="A1472" s="16">
        <v>8992</v>
      </c>
      <c r="B1472" s="1">
        <v>1</v>
      </c>
      <c r="C1472" s="1">
        <v>1</v>
      </c>
      <c r="D1472" s="1">
        <v>36</v>
      </c>
    </row>
    <row r="1473" spans="1:4" x14ac:dyDescent="0.25">
      <c r="A1473" s="16">
        <v>8993</v>
      </c>
      <c r="B1473" s="1">
        <v>1</v>
      </c>
      <c r="C1473" s="1">
        <v>1</v>
      </c>
      <c r="D1473" s="1">
        <v>8</v>
      </c>
    </row>
    <row r="1474" spans="1:4" x14ac:dyDescent="0.25">
      <c r="A1474" s="16">
        <v>8994</v>
      </c>
      <c r="B1474" s="1">
        <v>1</v>
      </c>
      <c r="C1474" s="1">
        <v>3</v>
      </c>
      <c r="D1474" s="1">
        <v>7.1999999999999993</v>
      </c>
    </row>
    <row r="1475" spans="1:4" x14ac:dyDescent="0.25">
      <c r="A1475" s="16">
        <v>8995</v>
      </c>
      <c r="B1475" s="1">
        <v>1</v>
      </c>
      <c r="C1475" s="1">
        <v>1</v>
      </c>
      <c r="D1475" s="1">
        <v>19.600000000000001</v>
      </c>
    </row>
    <row r="1476" spans="1:4" x14ac:dyDescent="0.25">
      <c r="A1476" s="16">
        <v>8996</v>
      </c>
      <c r="B1476" s="1">
        <v>1</v>
      </c>
      <c r="C1476" s="1">
        <v>1</v>
      </c>
      <c r="D1476" s="1">
        <v>7.6</v>
      </c>
    </row>
    <row r="1477" spans="1:4" x14ac:dyDescent="0.25">
      <c r="A1477" s="16">
        <v>8997</v>
      </c>
      <c r="B1477" s="1">
        <v>1</v>
      </c>
      <c r="C1477" s="1">
        <v>4</v>
      </c>
      <c r="D1477" s="1">
        <v>11.2</v>
      </c>
    </row>
    <row r="1478" spans="1:4" x14ac:dyDescent="0.25">
      <c r="A1478" s="16">
        <v>8998</v>
      </c>
      <c r="B1478" s="1">
        <v>1</v>
      </c>
      <c r="C1478" s="1">
        <v>1</v>
      </c>
      <c r="D1478" s="1">
        <v>6</v>
      </c>
    </row>
    <row r="1479" spans="1:4" x14ac:dyDescent="0.25">
      <c r="A1479" s="16">
        <v>8999</v>
      </c>
      <c r="B1479" s="1">
        <v>1</v>
      </c>
      <c r="C1479" s="1">
        <v>1</v>
      </c>
      <c r="D1479" s="1">
        <v>8.8000000000000007</v>
      </c>
    </row>
    <row r="1480" spans="1:4" x14ac:dyDescent="0.25">
      <c r="A1480" s="16">
        <v>9000</v>
      </c>
      <c r="B1480" s="1">
        <v>1</v>
      </c>
      <c r="C1480" s="1">
        <v>1</v>
      </c>
      <c r="D1480" s="1">
        <v>14</v>
      </c>
    </row>
    <row r="1481" spans="1:4" x14ac:dyDescent="0.25">
      <c r="A1481" s="16">
        <v>9001</v>
      </c>
      <c r="B1481" s="1">
        <v>1</v>
      </c>
      <c r="C1481" s="1">
        <v>1</v>
      </c>
      <c r="D1481" s="1">
        <v>36</v>
      </c>
    </row>
    <row r="1482" spans="1:4" x14ac:dyDescent="0.25">
      <c r="A1482" s="16">
        <v>9002</v>
      </c>
      <c r="B1482" s="1">
        <v>1</v>
      </c>
      <c r="C1482" s="1">
        <v>1</v>
      </c>
      <c r="D1482" s="1">
        <v>8</v>
      </c>
    </row>
    <row r="1483" spans="1:4" x14ac:dyDescent="0.25">
      <c r="A1483" s="16">
        <v>9003</v>
      </c>
      <c r="B1483" s="1">
        <v>1</v>
      </c>
      <c r="C1483" s="1">
        <v>2</v>
      </c>
      <c r="D1483" s="1">
        <v>4.8</v>
      </c>
    </row>
    <row r="1484" spans="1:4" x14ac:dyDescent="0.25">
      <c r="A1484" s="16">
        <v>9004</v>
      </c>
      <c r="B1484" s="1">
        <v>1</v>
      </c>
      <c r="C1484" s="1">
        <v>1</v>
      </c>
      <c r="D1484" s="1">
        <v>19.600000000000001</v>
      </c>
    </row>
    <row r="1485" spans="1:4" x14ac:dyDescent="0.25">
      <c r="A1485" s="16">
        <v>9005</v>
      </c>
      <c r="B1485" s="1">
        <v>1</v>
      </c>
      <c r="C1485" s="1">
        <v>1</v>
      </c>
      <c r="D1485" s="1">
        <v>7.6</v>
      </c>
    </row>
    <row r="1486" spans="1:4" x14ac:dyDescent="0.25">
      <c r="A1486" s="16">
        <v>9006</v>
      </c>
      <c r="B1486" s="1">
        <v>1</v>
      </c>
      <c r="C1486" s="1">
        <v>5</v>
      </c>
      <c r="D1486" s="1">
        <v>14</v>
      </c>
    </row>
    <row r="1487" spans="1:4" x14ac:dyDescent="0.25">
      <c r="A1487" s="16">
        <v>9007</v>
      </c>
      <c r="B1487" s="1">
        <v>1</v>
      </c>
      <c r="C1487" s="1">
        <v>1</v>
      </c>
      <c r="D1487" s="1">
        <v>6</v>
      </c>
    </row>
    <row r="1488" spans="1:4" x14ac:dyDescent="0.25">
      <c r="A1488" s="16">
        <v>9008</v>
      </c>
      <c r="B1488" s="1">
        <v>1</v>
      </c>
      <c r="C1488" s="1">
        <v>1</v>
      </c>
      <c r="D1488" s="1">
        <v>8.8000000000000007</v>
      </c>
    </row>
    <row r="1489" spans="1:4" x14ac:dyDescent="0.25">
      <c r="A1489" s="16">
        <v>9009</v>
      </c>
      <c r="B1489" s="1">
        <v>1</v>
      </c>
      <c r="C1489" s="1">
        <v>1</v>
      </c>
      <c r="D1489" s="1">
        <v>14</v>
      </c>
    </row>
    <row r="1490" spans="1:4" x14ac:dyDescent="0.25">
      <c r="A1490" s="16">
        <v>9010</v>
      </c>
      <c r="B1490" s="1">
        <v>1</v>
      </c>
      <c r="C1490" s="1">
        <v>1</v>
      </c>
      <c r="D1490" s="1">
        <v>36</v>
      </c>
    </row>
    <row r="1491" spans="1:4" x14ac:dyDescent="0.25">
      <c r="A1491" s="16">
        <v>9011</v>
      </c>
      <c r="B1491" s="1">
        <v>1</v>
      </c>
      <c r="C1491" s="1">
        <v>1</v>
      </c>
      <c r="D1491" s="1">
        <v>8</v>
      </c>
    </row>
    <row r="1492" spans="1:4" x14ac:dyDescent="0.25">
      <c r="A1492" s="16">
        <v>9012</v>
      </c>
      <c r="B1492" s="1">
        <v>1</v>
      </c>
      <c r="C1492" s="1">
        <v>2</v>
      </c>
      <c r="D1492" s="1">
        <v>4.8</v>
      </c>
    </row>
    <row r="1493" spans="1:4" x14ac:dyDescent="0.25">
      <c r="A1493" s="16">
        <v>9013</v>
      </c>
      <c r="B1493" s="1">
        <v>1</v>
      </c>
      <c r="C1493" s="1">
        <v>1</v>
      </c>
      <c r="D1493" s="1">
        <v>19.600000000000001</v>
      </c>
    </row>
    <row r="1494" spans="1:4" x14ac:dyDescent="0.25">
      <c r="A1494" s="16">
        <v>9014</v>
      </c>
      <c r="B1494" s="1">
        <v>1</v>
      </c>
      <c r="C1494" s="1">
        <v>1</v>
      </c>
      <c r="D1494" s="1">
        <v>7.6</v>
      </c>
    </row>
    <row r="1495" spans="1:4" x14ac:dyDescent="0.25">
      <c r="A1495" s="16">
        <v>9015</v>
      </c>
      <c r="B1495" s="1">
        <v>1</v>
      </c>
      <c r="C1495" s="1">
        <v>3</v>
      </c>
      <c r="D1495" s="1">
        <v>8.3999999999999986</v>
      </c>
    </row>
    <row r="1496" spans="1:4" x14ac:dyDescent="0.25">
      <c r="A1496" s="16">
        <v>9016</v>
      </c>
      <c r="B1496" s="1">
        <v>1</v>
      </c>
      <c r="C1496" s="1">
        <v>1</v>
      </c>
      <c r="D1496" s="1">
        <v>6</v>
      </c>
    </row>
    <row r="1497" spans="1:4" x14ac:dyDescent="0.25">
      <c r="A1497" s="16">
        <v>9017</v>
      </c>
      <c r="B1497" s="1">
        <v>1</v>
      </c>
      <c r="C1497" s="1">
        <v>1</v>
      </c>
      <c r="D1497" s="1">
        <v>8.8000000000000007</v>
      </c>
    </row>
    <row r="1498" spans="1:4" x14ac:dyDescent="0.25">
      <c r="A1498" s="16">
        <v>9018</v>
      </c>
      <c r="B1498" s="1">
        <v>1</v>
      </c>
      <c r="C1498" s="1">
        <v>1</v>
      </c>
      <c r="D1498" s="1">
        <v>14</v>
      </c>
    </row>
    <row r="1499" spans="1:4" x14ac:dyDescent="0.25">
      <c r="A1499" s="16">
        <v>9019</v>
      </c>
      <c r="B1499" s="1">
        <v>1</v>
      </c>
      <c r="C1499" s="1">
        <v>1</v>
      </c>
      <c r="D1499" s="1">
        <v>36</v>
      </c>
    </row>
    <row r="1500" spans="1:4" x14ac:dyDescent="0.25">
      <c r="A1500" s="16">
        <v>9020</v>
      </c>
      <c r="B1500" s="1">
        <v>1</v>
      </c>
      <c r="C1500" s="1">
        <v>1</v>
      </c>
      <c r="D1500" s="1">
        <v>8</v>
      </c>
    </row>
    <row r="1501" spans="1:4" x14ac:dyDescent="0.25">
      <c r="A1501" s="16">
        <v>9021</v>
      </c>
      <c r="B1501" s="1">
        <v>1</v>
      </c>
      <c r="C1501" s="1">
        <v>3</v>
      </c>
      <c r="D1501" s="1">
        <v>7.1999999999999993</v>
      </c>
    </row>
    <row r="1502" spans="1:4" x14ac:dyDescent="0.25">
      <c r="A1502" s="16">
        <v>9022</v>
      </c>
      <c r="B1502" s="1">
        <v>1</v>
      </c>
      <c r="C1502" s="1">
        <v>1</v>
      </c>
      <c r="D1502" s="1">
        <v>19.600000000000001</v>
      </c>
    </row>
    <row r="1503" spans="1:4" x14ac:dyDescent="0.25">
      <c r="A1503" s="16">
        <v>9023</v>
      </c>
      <c r="B1503" s="1">
        <v>1</v>
      </c>
      <c r="C1503" s="1">
        <v>1</v>
      </c>
      <c r="D1503" s="1">
        <v>7.6</v>
      </c>
    </row>
    <row r="1504" spans="1:4" x14ac:dyDescent="0.25">
      <c r="A1504" s="16">
        <v>9024</v>
      </c>
      <c r="B1504" s="1">
        <v>1</v>
      </c>
      <c r="C1504" s="1">
        <v>4</v>
      </c>
      <c r="D1504" s="1">
        <v>11.2</v>
      </c>
    </row>
    <row r="1505" spans="1:4" x14ac:dyDescent="0.25">
      <c r="A1505" s="16">
        <v>9025</v>
      </c>
      <c r="B1505" s="1">
        <v>1</v>
      </c>
      <c r="C1505" s="1">
        <v>1</v>
      </c>
      <c r="D1505" s="1">
        <v>6</v>
      </c>
    </row>
    <row r="1506" spans="1:4" x14ac:dyDescent="0.25">
      <c r="A1506" s="16">
        <v>9026</v>
      </c>
      <c r="B1506" s="1">
        <v>1</v>
      </c>
      <c r="C1506" s="1">
        <v>1</v>
      </c>
      <c r="D1506" s="1">
        <v>8.8000000000000007</v>
      </c>
    </row>
    <row r="1507" spans="1:4" x14ac:dyDescent="0.25">
      <c r="A1507" s="16">
        <v>9027</v>
      </c>
      <c r="B1507" s="1">
        <v>1</v>
      </c>
      <c r="C1507" s="1">
        <v>1</v>
      </c>
      <c r="D1507" s="1">
        <v>14</v>
      </c>
    </row>
    <row r="1508" spans="1:4" x14ac:dyDescent="0.25">
      <c r="A1508" s="16">
        <v>9028</v>
      </c>
      <c r="B1508" s="1">
        <v>1</v>
      </c>
      <c r="C1508" s="1">
        <v>1</v>
      </c>
      <c r="D1508" s="1">
        <v>36</v>
      </c>
    </row>
    <row r="1509" spans="1:4" x14ac:dyDescent="0.25">
      <c r="A1509" s="16">
        <v>9029</v>
      </c>
      <c r="B1509" s="1">
        <v>1</v>
      </c>
      <c r="C1509" s="1">
        <v>1</v>
      </c>
      <c r="D1509" s="1">
        <v>8</v>
      </c>
    </row>
    <row r="1510" spans="1:4" x14ac:dyDescent="0.25">
      <c r="A1510" s="16">
        <v>9030</v>
      </c>
      <c r="B1510" s="1">
        <v>1</v>
      </c>
      <c r="C1510" s="1">
        <v>2</v>
      </c>
      <c r="D1510" s="1">
        <v>4.8</v>
      </c>
    </row>
    <row r="1511" spans="1:4" x14ac:dyDescent="0.25">
      <c r="A1511" s="16">
        <v>9031</v>
      </c>
      <c r="B1511" s="1">
        <v>1</v>
      </c>
      <c r="C1511" s="1">
        <v>1</v>
      </c>
      <c r="D1511" s="1">
        <v>19.600000000000001</v>
      </c>
    </row>
    <row r="1512" spans="1:4" x14ac:dyDescent="0.25">
      <c r="A1512" s="16">
        <v>9032</v>
      </c>
      <c r="B1512" s="1">
        <v>1</v>
      </c>
      <c r="C1512" s="1">
        <v>1</v>
      </c>
      <c r="D1512" s="1">
        <v>7.6</v>
      </c>
    </row>
    <row r="1513" spans="1:4" x14ac:dyDescent="0.25">
      <c r="A1513" s="16">
        <v>9033</v>
      </c>
      <c r="B1513" s="1">
        <v>1</v>
      </c>
      <c r="C1513" s="1">
        <v>3</v>
      </c>
      <c r="D1513" s="1">
        <v>8.3999999999999986</v>
      </c>
    </row>
    <row r="1514" spans="1:4" x14ac:dyDescent="0.25">
      <c r="A1514" s="16">
        <v>9034</v>
      </c>
      <c r="B1514" s="1">
        <v>1</v>
      </c>
      <c r="C1514" s="1">
        <v>1</v>
      </c>
      <c r="D1514" s="1">
        <v>6</v>
      </c>
    </row>
    <row r="1515" spans="1:4" x14ac:dyDescent="0.25">
      <c r="A1515" s="16">
        <v>9035</v>
      </c>
      <c r="B1515" s="1">
        <v>1</v>
      </c>
      <c r="C1515" s="1">
        <v>1</v>
      </c>
      <c r="D1515" s="1">
        <v>8.8000000000000007</v>
      </c>
    </row>
    <row r="1516" spans="1:4" x14ac:dyDescent="0.25">
      <c r="A1516" s="16">
        <v>9036</v>
      </c>
      <c r="B1516" s="1">
        <v>1</v>
      </c>
      <c r="C1516" s="1">
        <v>1</v>
      </c>
      <c r="D1516" s="1">
        <v>14</v>
      </c>
    </row>
    <row r="1517" spans="1:4" x14ac:dyDescent="0.25">
      <c r="A1517" s="16">
        <v>9037</v>
      </c>
      <c r="B1517" s="1">
        <v>1</v>
      </c>
      <c r="C1517" s="1">
        <v>1</v>
      </c>
      <c r="D1517" s="1">
        <v>36</v>
      </c>
    </row>
    <row r="1518" spans="1:4" x14ac:dyDescent="0.25">
      <c r="A1518" s="16">
        <v>9038</v>
      </c>
      <c r="B1518" s="1">
        <v>1</v>
      </c>
      <c r="C1518" s="1">
        <v>1</v>
      </c>
      <c r="D1518" s="1">
        <v>8</v>
      </c>
    </row>
    <row r="1519" spans="1:4" x14ac:dyDescent="0.25">
      <c r="A1519" s="16">
        <v>9039</v>
      </c>
      <c r="B1519" s="1">
        <v>1</v>
      </c>
      <c r="C1519" s="1">
        <v>2</v>
      </c>
      <c r="D1519" s="1">
        <v>4.8</v>
      </c>
    </row>
    <row r="1520" spans="1:4" x14ac:dyDescent="0.25">
      <c r="A1520" s="16">
        <v>9040</v>
      </c>
      <c r="B1520" s="1">
        <v>1</v>
      </c>
      <c r="C1520" s="1">
        <v>1</v>
      </c>
      <c r="D1520" s="1">
        <v>19.600000000000001</v>
      </c>
    </row>
    <row r="1521" spans="1:4" x14ac:dyDescent="0.25">
      <c r="A1521" s="16">
        <v>9041</v>
      </c>
      <c r="B1521" s="1">
        <v>1</v>
      </c>
      <c r="C1521" s="1">
        <v>1</v>
      </c>
      <c r="D1521" s="1">
        <v>7.6</v>
      </c>
    </row>
    <row r="1522" spans="1:4" x14ac:dyDescent="0.25">
      <c r="A1522" s="16">
        <v>9042</v>
      </c>
      <c r="B1522" s="1">
        <v>1</v>
      </c>
      <c r="C1522" s="1">
        <v>5</v>
      </c>
      <c r="D1522" s="1">
        <v>14</v>
      </c>
    </row>
    <row r="1523" spans="1:4" x14ac:dyDescent="0.25">
      <c r="A1523" s="16">
        <v>9043</v>
      </c>
      <c r="B1523" s="1">
        <v>1</v>
      </c>
      <c r="C1523" s="1">
        <v>1</v>
      </c>
      <c r="D1523" s="1">
        <v>6</v>
      </c>
    </row>
    <row r="1524" spans="1:4" x14ac:dyDescent="0.25">
      <c r="A1524" s="16">
        <v>9044</v>
      </c>
      <c r="B1524" s="1">
        <v>1</v>
      </c>
      <c r="C1524" s="1">
        <v>1</v>
      </c>
      <c r="D1524" s="1">
        <v>8.8000000000000007</v>
      </c>
    </row>
    <row r="1525" spans="1:4" x14ac:dyDescent="0.25">
      <c r="A1525" s="16">
        <v>9045</v>
      </c>
      <c r="B1525" s="1">
        <v>1</v>
      </c>
      <c r="C1525" s="1">
        <v>1</v>
      </c>
      <c r="D1525" s="1">
        <v>14</v>
      </c>
    </row>
    <row r="1526" spans="1:4" x14ac:dyDescent="0.25">
      <c r="A1526" s="16">
        <v>9046</v>
      </c>
      <c r="B1526" s="1">
        <v>1</v>
      </c>
      <c r="C1526" s="1">
        <v>1</v>
      </c>
      <c r="D1526" s="1">
        <v>36</v>
      </c>
    </row>
    <row r="1527" spans="1:4" x14ac:dyDescent="0.25">
      <c r="A1527" s="16">
        <v>9047</v>
      </c>
      <c r="B1527" s="1">
        <v>1</v>
      </c>
      <c r="C1527" s="1">
        <v>1</v>
      </c>
      <c r="D1527" s="1">
        <v>8</v>
      </c>
    </row>
    <row r="1528" spans="1:4" x14ac:dyDescent="0.25">
      <c r="A1528" s="16">
        <v>9048</v>
      </c>
      <c r="B1528" s="1">
        <v>1</v>
      </c>
      <c r="C1528" s="1">
        <v>2</v>
      </c>
      <c r="D1528" s="1">
        <v>4.8</v>
      </c>
    </row>
    <row r="1529" spans="1:4" x14ac:dyDescent="0.25">
      <c r="A1529" s="16">
        <v>9049</v>
      </c>
      <c r="B1529" s="1">
        <v>1</v>
      </c>
      <c r="C1529" s="1">
        <v>1</v>
      </c>
      <c r="D1529" s="1">
        <v>19.600000000000001</v>
      </c>
    </row>
    <row r="1530" spans="1:4" x14ac:dyDescent="0.25">
      <c r="A1530" s="16">
        <v>9050</v>
      </c>
      <c r="B1530" s="1">
        <v>1</v>
      </c>
      <c r="C1530" s="1">
        <v>1</v>
      </c>
      <c r="D1530" s="1">
        <v>7.6</v>
      </c>
    </row>
    <row r="1531" spans="1:4" x14ac:dyDescent="0.25">
      <c r="A1531" s="16">
        <v>9051</v>
      </c>
      <c r="B1531" s="1">
        <v>1</v>
      </c>
      <c r="C1531" s="1">
        <v>4</v>
      </c>
      <c r="D1531" s="1">
        <v>11.2</v>
      </c>
    </row>
    <row r="1532" spans="1:4" x14ac:dyDescent="0.25">
      <c r="A1532" s="16">
        <v>9052</v>
      </c>
      <c r="B1532" s="1">
        <v>1</v>
      </c>
      <c r="C1532" s="1">
        <v>1</v>
      </c>
      <c r="D1532" s="1">
        <v>6</v>
      </c>
    </row>
    <row r="1533" spans="1:4" x14ac:dyDescent="0.25">
      <c r="A1533" s="16">
        <v>9053</v>
      </c>
      <c r="B1533" s="1">
        <v>1</v>
      </c>
      <c r="C1533" s="1">
        <v>1</v>
      </c>
      <c r="D1533" s="1">
        <v>8.8000000000000007</v>
      </c>
    </row>
    <row r="1534" spans="1:4" x14ac:dyDescent="0.25">
      <c r="A1534" s="16">
        <v>9054</v>
      </c>
      <c r="B1534" s="1">
        <v>1</v>
      </c>
      <c r="C1534" s="1">
        <v>1</v>
      </c>
      <c r="D1534" s="1">
        <v>14</v>
      </c>
    </row>
    <row r="1535" spans="1:4" x14ac:dyDescent="0.25">
      <c r="A1535" s="16">
        <v>9055</v>
      </c>
      <c r="B1535" s="1">
        <v>1</v>
      </c>
      <c r="C1535" s="1">
        <v>1</v>
      </c>
      <c r="D1535" s="1">
        <v>36</v>
      </c>
    </row>
    <row r="1536" spans="1:4" x14ac:dyDescent="0.25">
      <c r="A1536" s="16">
        <v>9056</v>
      </c>
      <c r="B1536" s="1">
        <v>1</v>
      </c>
      <c r="C1536" s="1">
        <v>1</v>
      </c>
      <c r="D1536" s="1">
        <v>8</v>
      </c>
    </row>
    <row r="1537" spans="1:4" x14ac:dyDescent="0.25">
      <c r="A1537" s="16">
        <v>9057</v>
      </c>
      <c r="B1537" s="1">
        <v>1</v>
      </c>
      <c r="C1537" s="1">
        <v>2</v>
      </c>
      <c r="D1537" s="1">
        <v>4.8</v>
      </c>
    </row>
    <row r="1538" spans="1:4" x14ac:dyDescent="0.25">
      <c r="A1538" s="16">
        <v>9058</v>
      </c>
      <c r="B1538" s="1">
        <v>1</v>
      </c>
      <c r="C1538" s="1">
        <v>1</v>
      </c>
      <c r="D1538" s="1">
        <v>19.600000000000001</v>
      </c>
    </row>
    <row r="1539" spans="1:4" x14ac:dyDescent="0.25">
      <c r="A1539" s="16">
        <v>9059</v>
      </c>
      <c r="B1539" s="1">
        <v>1</v>
      </c>
      <c r="C1539" s="1">
        <v>1</v>
      </c>
      <c r="D1539" s="1">
        <v>7.6</v>
      </c>
    </row>
    <row r="1540" spans="1:4" x14ac:dyDescent="0.25">
      <c r="A1540" s="16">
        <v>9060</v>
      </c>
      <c r="B1540" s="1">
        <v>1</v>
      </c>
      <c r="C1540" s="1">
        <v>3</v>
      </c>
      <c r="D1540" s="1">
        <v>8.3999999999999986</v>
      </c>
    </row>
    <row r="1541" spans="1:4" x14ac:dyDescent="0.25">
      <c r="A1541" s="16">
        <v>9061</v>
      </c>
      <c r="B1541" s="1">
        <v>1</v>
      </c>
      <c r="C1541" s="1">
        <v>1</v>
      </c>
      <c r="D1541" s="1">
        <v>6</v>
      </c>
    </row>
    <row r="1542" spans="1:4" x14ac:dyDescent="0.25">
      <c r="A1542" s="16">
        <v>9062</v>
      </c>
      <c r="B1542" s="1">
        <v>1</v>
      </c>
      <c r="C1542" s="1">
        <v>1</v>
      </c>
      <c r="D1542" s="1">
        <v>8.8000000000000007</v>
      </c>
    </row>
    <row r="1543" spans="1:4" x14ac:dyDescent="0.25">
      <c r="A1543" s="16">
        <v>9063</v>
      </c>
      <c r="B1543" s="1">
        <v>1</v>
      </c>
      <c r="C1543" s="1">
        <v>1</v>
      </c>
      <c r="D1543" s="1">
        <v>14</v>
      </c>
    </row>
    <row r="1544" spans="1:4" x14ac:dyDescent="0.25">
      <c r="A1544" s="16">
        <v>9064</v>
      </c>
      <c r="B1544" s="1">
        <v>1</v>
      </c>
      <c r="C1544" s="1">
        <v>1</v>
      </c>
      <c r="D1544" s="1">
        <v>36</v>
      </c>
    </row>
    <row r="1545" spans="1:4" x14ac:dyDescent="0.25">
      <c r="A1545" s="16">
        <v>9065</v>
      </c>
      <c r="B1545" s="1">
        <v>1</v>
      </c>
      <c r="C1545" s="1">
        <v>1</v>
      </c>
      <c r="D1545" s="1">
        <v>8</v>
      </c>
    </row>
    <row r="1546" spans="1:4" x14ac:dyDescent="0.25">
      <c r="A1546" s="16">
        <v>9066</v>
      </c>
      <c r="B1546" s="1">
        <v>1</v>
      </c>
      <c r="C1546" s="1">
        <v>3</v>
      </c>
      <c r="D1546" s="1">
        <v>7.1999999999999993</v>
      </c>
    </row>
    <row r="1547" spans="1:4" x14ac:dyDescent="0.25">
      <c r="A1547" s="16">
        <v>9067</v>
      </c>
      <c r="B1547" s="1">
        <v>1</v>
      </c>
      <c r="C1547" s="1">
        <v>1</v>
      </c>
      <c r="D1547" s="1">
        <v>19.600000000000001</v>
      </c>
    </row>
    <row r="1548" spans="1:4" x14ac:dyDescent="0.25">
      <c r="A1548" s="16">
        <v>9068</v>
      </c>
      <c r="B1548" s="1">
        <v>1</v>
      </c>
      <c r="C1548" s="1">
        <v>1</v>
      </c>
      <c r="D1548" s="1">
        <v>7.6</v>
      </c>
    </row>
    <row r="1549" spans="1:4" x14ac:dyDescent="0.25">
      <c r="A1549" s="16">
        <v>9069</v>
      </c>
      <c r="B1549" s="1">
        <v>1</v>
      </c>
      <c r="C1549" s="1">
        <v>5</v>
      </c>
      <c r="D1549" s="1">
        <v>14</v>
      </c>
    </row>
    <row r="1550" spans="1:4" x14ac:dyDescent="0.25">
      <c r="A1550" s="16">
        <v>9070</v>
      </c>
      <c r="B1550" s="1">
        <v>1</v>
      </c>
      <c r="C1550" s="1">
        <v>1</v>
      </c>
      <c r="D1550" s="1">
        <v>6</v>
      </c>
    </row>
    <row r="1551" spans="1:4" x14ac:dyDescent="0.25">
      <c r="A1551" s="16">
        <v>9071</v>
      </c>
      <c r="B1551" s="1">
        <v>1</v>
      </c>
      <c r="C1551" s="1">
        <v>1</v>
      </c>
      <c r="D1551" s="1">
        <v>8.8000000000000007</v>
      </c>
    </row>
    <row r="1552" spans="1:4" x14ac:dyDescent="0.25">
      <c r="A1552" s="16">
        <v>9072</v>
      </c>
      <c r="B1552" s="1">
        <v>1</v>
      </c>
      <c r="C1552" s="1">
        <v>1</v>
      </c>
      <c r="D1552" s="1">
        <v>14</v>
      </c>
    </row>
    <row r="1553" spans="1:4" x14ac:dyDescent="0.25">
      <c r="A1553" s="16">
        <v>9073</v>
      </c>
      <c r="B1553" s="1">
        <v>1</v>
      </c>
      <c r="C1553" s="1">
        <v>1</v>
      </c>
      <c r="D1553" s="1">
        <v>36</v>
      </c>
    </row>
    <row r="1554" spans="1:4" x14ac:dyDescent="0.25">
      <c r="A1554" s="16">
        <v>9074</v>
      </c>
      <c r="B1554" s="1">
        <v>1</v>
      </c>
      <c r="C1554" s="1">
        <v>1</v>
      </c>
      <c r="D1554" s="1">
        <v>8</v>
      </c>
    </row>
    <row r="1555" spans="1:4" x14ac:dyDescent="0.25">
      <c r="A1555" s="16">
        <v>9075</v>
      </c>
      <c r="B1555" s="1">
        <v>1</v>
      </c>
      <c r="C1555" s="1">
        <v>2</v>
      </c>
      <c r="D1555" s="1">
        <v>4.8</v>
      </c>
    </row>
    <row r="1556" spans="1:4" x14ac:dyDescent="0.25">
      <c r="A1556" s="16">
        <v>9076</v>
      </c>
      <c r="B1556" s="1">
        <v>1</v>
      </c>
      <c r="C1556" s="1">
        <v>1</v>
      </c>
      <c r="D1556" s="1">
        <v>19.600000000000001</v>
      </c>
    </row>
    <row r="1557" spans="1:4" x14ac:dyDescent="0.25">
      <c r="A1557" s="16">
        <v>9077</v>
      </c>
      <c r="B1557" s="1">
        <v>1</v>
      </c>
      <c r="C1557" s="1">
        <v>1</v>
      </c>
      <c r="D1557" s="1">
        <v>7.6</v>
      </c>
    </row>
    <row r="1558" spans="1:4" x14ac:dyDescent="0.25">
      <c r="A1558" s="16">
        <v>9078</v>
      </c>
      <c r="B1558" s="1">
        <v>1</v>
      </c>
      <c r="C1558" s="1">
        <v>4</v>
      </c>
      <c r="D1558" s="1">
        <v>11.2</v>
      </c>
    </row>
    <row r="1559" spans="1:4" x14ac:dyDescent="0.25">
      <c r="A1559" s="16">
        <v>9079</v>
      </c>
      <c r="B1559" s="1">
        <v>1</v>
      </c>
      <c r="C1559" s="1">
        <v>1</v>
      </c>
      <c r="D1559" s="1">
        <v>6</v>
      </c>
    </row>
    <row r="1560" spans="1:4" x14ac:dyDescent="0.25">
      <c r="A1560" s="16">
        <v>9080</v>
      </c>
      <c r="B1560" s="1">
        <v>1</v>
      </c>
      <c r="C1560" s="1">
        <v>1</v>
      </c>
      <c r="D1560" s="1">
        <v>8.8000000000000007</v>
      </c>
    </row>
    <row r="1561" spans="1:4" x14ac:dyDescent="0.25">
      <c r="A1561" s="16">
        <v>9081</v>
      </c>
      <c r="B1561" s="1">
        <v>1</v>
      </c>
      <c r="C1561" s="1">
        <v>1</v>
      </c>
      <c r="D1561" s="1">
        <v>14</v>
      </c>
    </row>
    <row r="1562" spans="1:4" x14ac:dyDescent="0.25">
      <c r="A1562" s="16">
        <v>9082</v>
      </c>
      <c r="B1562" s="1">
        <v>1</v>
      </c>
      <c r="C1562" s="1">
        <v>1</v>
      </c>
      <c r="D1562" s="1">
        <v>36</v>
      </c>
    </row>
    <row r="1563" spans="1:4" x14ac:dyDescent="0.25">
      <c r="A1563" s="16">
        <v>9083</v>
      </c>
      <c r="B1563" s="1">
        <v>1</v>
      </c>
      <c r="C1563" s="1">
        <v>1</v>
      </c>
      <c r="D1563" s="1">
        <v>8</v>
      </c>
    </row>
    <row r="1564" spans="1:4" x14ac:dyDescent="0.25">
      <c r="A1564" s="16">
        <v>9084</v>
      </c>
      <c r="B1564" s="1">
        <v>1</v>
      </c>
      <c r="C1564" s="1">
        <v>2</v>
      </c>
      <c r="D1564" s="1">
        <v>4.8</v>
      </c>
    </row>
    <row r="1565" spans="1:4" x14ac:dyDescent="0.25">
      <c r="A1565" s="16">
        <v>9085</v>
      </c>
      <c r="B1565" s="1">
        <v>1</v>
      </c>
      <c r="C1565" s="1">
        <v>1</v>
      </c>
      <c r="D1565" s="1">
        <v>19.600000000000001</v>
      </c>
    </row>
    <row r="1566" spans="1:4" x14ac:dyDescent="0.25">
      <c r="A1566" s="16">
        <v>9086</v>
      </c>
      <c r="B1566" s="1">
        <v>1</v>
      </c>
      <c r="C1566" s="1">
        <v>1</v>
      </c>
      <c r="D1566" s="1">
        <v>7.6</v>
      </c>
    </row>
    <row r="1567" spans="1:4" x14ac:dyDescent="0.25">
      <c r="A1567" s="16">
        <v>9087</v>
      </c>
      <c r="B1567" s="1">
        <v>1</v>
      </c>
      <c r="C1567" s="1">
        <v>5</v>
      </c>
      <c r="D1567" s="1">
        <v>14</v>
      </c>
    </row>
    <row r="1568" spans="1:4" x14ac:dyDescent="0.25">
      <c r="A1568" s="16">
        <v>9088</v>
      </c>
      <c r="B1568" s="1">
        <v>1</v>
      </c>
      <c r="C1568" s="1">
        <v>1</v>
      </c>
      <c r="D1568" s="1">
        <v>6</v>
      </c>
    </row>
    <row r="1569" spans="1:4" x14ac:dyDescent="0.25">
      <c r="A1569" s="16">
        <v>9089</v>
      </c>
      <c r="B1569" s="1">
        <v>1</v>
      </c>
      <c r="C1569" s="1">
        <v>1</v>
      </c>
      <c r="D1569" s="1">
        <v>8.8000000000000007</v>
      </c>
    </row>
    <row r="1570" spans="1:4" x14ac:dyDescent="0.25">
      <c r="A1570" s="16">
        <v>9090</v>
      </c>
      <c r="B1570" s="1">
        <v>1</v>
      </c>
      <c r="C1570" s="1">
        <v>1</v>
      </c>
      <c r="D1570" s="1">
        <v>14</v>
      </c>
    </row>
    <row r="1571" spans="1:4" x14ac:dyDescent="0.25">
      <c r="A1571" s="16">
        <v>9091</v>
      </c>
      <c r="B1571" s="1">
        <v>1</v>
      </c>
      <c r="C1571" s="1">
        <v>1</v>
      </c>
      <c r="D1571" s="1">
        <v>36</v>
      </c>
    </row>
    <row r="1572" spans="1:4" x14ac:dyDescent="0.25">
      <c r="A1572" s="16">
        <v>9092</v>
      </c>
      <c r="B1572" s="1">
        <v>1</v>
      </c>
      <c r="C1572" s="1">
        <v>1</v>
      </c>
      <c r="D1572" s="1">
        <v>8</v>
      </c>
    </row>
    <row r="1573" spans="1:4" x14ac:dyDescent="0.25">
      <c r="A1573" s="16">
        <v>9093</v>
      </c>
      <c r="B1573" s="1">
        <v>1</v>
      </c>
      <c r="C1573" s="1">
        <v>3</v>
      </c>
      <c r="D1573" s="1">
        <v>7.1999999999999993</v>
      </c>
    </row>
    <row r="1574" spans="1:4" x14ac:dyDescent="0.25">
      <c r="A1574" s="16">
        <v>9094</v>
      </c>
      <c r="B1574" s="1">
        <v>1</v>
      </c>
      <c r="C1574" s="1">
        <v>1</v>
      </c>
      <c r="D1574" s="1">
        <v>19.600000000000001</v>
      </c>
    </row>
    <row r="1575" spans="1:4" x14ac:dyDescent="0.25">
      <c r="A1575" s="16">
        <v>9095</v>
      </c>
      <c r="B1575" s="1">
        <v>1</v>
      </c>
      <c r="C1575" s="1">
        <v>1</v>
      </c>
      <c r="D1575" s="1">
        <v>7.6</v>
      </c>
    </row>
    <row r="1576" spans="1:4" x14ac:dyDescent="0.25">
      <c r="A1576" s="16">
        <v>9096</v>
      </c>
      <c r="B1576" s="1">
        <v>1</v>
      </c>
      <c r="C1576" s="1">
        <v>4</v>
      </c>
      <c r="D1576" s="1">
        <v>11.2</v>
      </c>
    </row>
    <row r="1577" spans="1:4" x14ac:dyDescent="0.25">
      <c r="A1577" s="16">
        <v>9097</v>
      </c>
      <c r="B1577" s="1">
        <v>1</v>
      </c>
      <c r="C1577" s="1">
        <v>1</v>
      </c>
      <c r="D1577" s="1">
        <v>6</v>
      </c>
    </row>
    <row r="1578" spans="1:4" x14ac:dyDescent="0.25">
      <c r="A1578" s="16">
        <v>9098</v>
      </c>
      <c r="B1578" s="1">
        <v>1</v>
      </c>
      <c r="C1578" s="1">
        <v>1</v>
      </c>
      <c r="D1578" s="1">
        <v>8.8000000000000007</v>
      </c>
    </row>
    <row r="1579" spans="1:4" x14ac:dyDescent="0.25">
      <c r="A1579" s="16">
        <v>9099</v>
      </c>
      <c r="B1579" s="1">
        <v>1</v>
      </c>
      <c r="C1579" s="1">
        <v>1</v>
      </c>
      <c r="D1579" s="1">
        <v>14</v>
      </c>
    </row>
    <row r="1580" spans="1:4" x14ac:dyDescent="0.25">
      <c r="A1580" s="16">
        <v>9100</v>
      </c>
      <c r="B1580" s="1">
        <v>1</v>
      </c>
      <c r="C1580" s="1">
        <v>1</v>
      </c>
      <c r="D1580" s="1">
        <v>36</v>
      </c>
    </row>
    <row r="1581" spans="1:4" x14ac:dyDescent="0.25">
      <c r="A1581" s="16">
        <v>9101</v>
      </c>
      <c r="B1581" s="1">
        <v>1</v>
      </c>
      <c r="C1581" s="1">
        <v>1</v>
      </c>
      <c r="D1581" s="1">
        <v>8</v>
      </c>
    </row>
    <row r="1582" spans="1:4" x14ac:dyDescent="0.25">
      <c r="A1582" s="16">
        <v>9102</v>
      </c>
      <c r="B1582" s="1">
        <v>1</v>
      </c>
      <c r="C1582" s="1">
        <v>3</v>
      </c>
      <c r="D1582" s="1">
        <v>7.1999999999999993</v>
      </c>
    </row>
    <row r="1583" spans="1:4" x14ac:dyDescent="0.25">
      <c r="A1583" s="16">
        <v>9103</v>
      </c>
      <c r="B1583" s="1">
        <v>1</v>
      </c>
      <c r="C1583" s="1">
        <v>1</v>
      </c>
      <c r="D1583" s="1">
        <v>19.600000000000001</v>
      </c>
    </row>
    <row r="1584" spans="1:4" x14ac:dyDescent="0.25">
      <c r="A1584" s="16">
        <v>9104</v>
      </c>
      <c r="B1584" s="1">
        <v>1</v>
      </c>
      <c r="C1584" s="1">
        <v>1</v>
      </c>
      <c r="D1584" s="1">
        <v>7.6</v>
      </c>
    </row>
    <row r="1585" spans="1:4" x14ac:dyDescent="0.25">
      <c r="A1585" s="16">
        <v>9105</v>
      </c>
      <c r="B1585" s="1">
        <v>1</v>
      </c>
      <c r="C1585" s="1">
        <v>5</v>
      </c>
      <c r="D1585" s="1">
        <v>14</v>
      </c>
    </row>
    <row r="1586" spans="1:4" x14ac:dyDescent="0.25">
      <c r="A1586" s="16">
        <v>9106</v>
      </c>
      <c r="B1586" s="1">
        <v>1</v>
      </c>
      <c r="C1586" s="1">
        <v>1</v>
      </c>
      <c r="D1586" s="1">
        <v>6</v>
      </c>
    </row>
    <row r="1587" spans="1:4" x14ac:dyDescent="0.25">
      <c r="A1587" s="16">
        <v>9107</v>
      </c>
      <c r="B1587" s="1">
        <v>1</v>
      </c>
      <c r="C1587" s="1">
        <v>1</v>
      </c>
      <c r="D1587" s="1">
        <v>8.8000000000000007</v>
      </c>
    </row>
    <row r="1588" spans="1:4" x14ac:dyDescent="0.25">
      <c r="A1588" s="16">
        <v>9108</v>
      </c>
      <c r="B1588" s="1">
        <v>1</v>
      </c>
      <c r="C1588" s="1">
        <v>1</v>
      </c>
      <c r="D1588" s="1">
        <v>14</v>
      </c>
    </row>
    <row r="1589" spans="1:4" x14ac:dyDescent="0.25">
      <c r="A1589" s="16">
        <v>9109</v>
      </c>
      <c r="B1589" s="1">
        <v>1</v>
      </c>
      <c r="C1589" s="1">
        <v>1</v>
      </c>
      <c r="D1589" s="1">
        <v>36</v>
      </c>
    </row>
    <row r="1590" spans="1:4" x14ac:dyDescent="0.25">
      <c r="A1590" s="16">
        <v>9110</v>
      </c>
      <c r="B1590" s="1">
        <v>1</v>
      </c>
      <c r="C1590" s="1">
        <v>1</v>
      </c>
      <c r="D1590" s="1">
        <v>8</v>
      </c>
    </row>
    <row r="1591" spans="1:4" x14ac:dyDescent="0.25">
      <c r="A1591" s="16">
        <v>9111</v>
      </c>
      <c r="B1591" s="1">
        <v>1</v>
      </c>
      <c r="C1591" s="1">
        <v>3</v>
      </c>
      <c r="D1591" s="1">
        <v>7.1999999999999993</v>
      </c>
    </row>
    <row r="1592" spans="1:4" x14ac:dyDescent="0.25">
      <c r="A1592" s="16">
        <v>9112</v>
      </c>
      <c r="B1592" s="1">
        <v>1</v>
      </c>
      <c r="C1592" s="1">
        <v>1</v>
      </c>
      <c r="D1592" s="1">
        <v>19.600000000000001</v>
      </c>
    </row>
    <row r="1593" spans="1:4" x14ac:dyDescent="0.25">
      <c r="A1593" s="16">
        <v>9113</v>
      </c>
      <c r="B1593" s="1">
        <v>1</v>
      </c>
      <c r="C1593" s="1">
        <v>1</v>
      </c>
      <c r="D1593" s="1">
        <v>7.6</v>
      </c>
    </row>
    <row r="1594" spans="1:4" x14ac:dyDescent="0.25">
      <c r="A1594" s="16">
        <v>9114</v>
      </c>
      <c r="B1594" s="1">
        <v>1</v>
      </c>
      <c r="C1594" s="1">
        <v>4</v>
      </c>
      <c r="D1594" s="1">
        <v>11.2</v>
      </c>
    </row>
    <row r="1595" spans="1:4" x14ac:dyDescent="0.25">
      <c r="A1595" s="16">
        <v>9115</v>
      </c>
      <c r="B1595" s="1">
        <v>1</v>
      </c>
      <c r="C1595" s="1">
        <v>1</v>
      </c>
      <c r="D1595" s="1">
        <v>6</v>
      </c>
    </row>
    <row r="1596" spans="1:4" x14ac:dyDescent="0.25">
      <c r="A1596" s="16">
        <v>9116</v>
      </c>
      <c r="B1596" s="1">
        <v>1</v>
      </c>
      <c r="C1596" s="1">
        <v>1</v>
      </c>
      <c r="D1596" s="1">
        <v>8.8000000000000007</v>
      </c>
    </row>
    <row r="1597" spans="1:4" x14ac:dyDescent="0.25">
      <c r="A1597" s="16">
        <v>9117</v>
      </c>
      <c r="B1597" s="1">
        <v>1</v>
      </c>
      <c r="C1597" s="1">
        <v>1</v>
      </c>
      <c r="D1597" s="1">
        <v>14</v>
      </c>
    </row>
    <row r="1598" spans="1:4" x14ac:dyDescent="0.25">
      <c r="A1598" s="16">
        <v>9118</v>
      </c>
      <c r="B1598" s="1">
        <v>1</v>
      </c>
      <c r="C1598" s="1">
        <v>1</v>
      </c>
      <c r="D1598" s="1">
        <v>36</v>
      </c>
    </row>
    <row r="1599" spans="1:4" x14ac:dyDescent="0.25">
      <c r="A1599" s="16">
        <v>9119</v>
      </c>
      <c r="B1599" s="1">
        <v>1</v>
      </c>
      <c r="C1599" s="1">
        <v>1</v>
      </c>
      <c r="D1599" s="1">
        <v>8</v>
      </c>
    </row>
    <row r="1600" spans="1:4" x14ac:dyDescent="0.25">
      <c r="A1600" s="16">
        <v>9120</v>
      </c>
      <c r="B1600" s="1">
        <v>1</v>
      </c>
      <c r="C1600" s="1">
        <v>3</v>
      </c>
      <c r="D1600" s="1">
        <v>7.1999999999999993</v>
      </c>
    </row>
    <row r="1601" spans="1:4" x14ac:dyDescent="0.25">
      <c r="A1601" s="16">
        <v>9121</v>
      </c>
      <c r="B1601" s="1">
        <v>1</v>
      </c>
      <c r="C1601" s="1">
        <v>1</v>
      </c>
      <c r="D1601" s="1">
        <v>19.600000000000001</v>
      </c>
    </row>
    <row r="1602" spans="1:4" x14ac:dyDescent="0.25">
      <c r="A1602" s="16">
        <v>9122</v>
      </c>
      <c r="B1602" s="1">
        <v>1</v>
      </c>
      <c r="C1602" s="1">
        <v>1</v>
      </c>
      <c r="D1602" s="1">
        <v>7.6</v>
      </c>
    </row>
    <row r="1603" spans="1:4" x14ac:dyDescent="0.25">
      <c r="A1603" s="16">
        <v>9123</v>
      </c>
      <c r="B1603" s="1">
        <v>1</v>
      </c>
      <c r="C1603" s="1">
        <v>4</v>
      </c>
      <c r="D1603" s="1">
        <v>11.2</v>
      </c>
    </row>
    <row r="1604" spans="1:4" x14ac:dyDescent="0.25">
      <c r="A1604" s="16">
        <v>9124</v>
      </c>
      <c r="B1604" s="1">
        <v>1</v>
      </c>
      <c r="C1604" s="1">
        <v>1</v>
      </c>
      <c r="D1604" s="1">
        <v>6</v>
      </c>
    </row>
    <row r="1605" spans="1:4" x14ac:dyDescent="0.25">
      <c r="A1605" s="16">
        <v>9125</v>
      </c>
      <c r="B1605" s="1">
        <v>1</v>
      </c>
      <c r="C1605" s="1">
        <v>1</v>
      </c>
      <c r="D1605" s="1">
        <v>8.8000000000000007</v>
      </c>
    </row>
    <row r="1606" spans="1:4" x14ac:dyDescent="0.25">
      <c r="A1606" s="16">
        <v>9126</v>
      </c>
      <c r="B1606" s="1">
        <v>1</v>
      </c>
      <c r="C1606" s="1">
        <v>1</v>
      </c>
      <c r="D1606" s="1">
        <v>14</v>
      </c>
    </row>
    <row r="1607" spans="1:4" x14ac:dyDescent="0.25">
      <c r="A1607" s="16">
        <v>9127</v>
      </c>
      <c r="B1607" s="1">
        <v>1</v>
      </c>
      <c r="C1607" s="1">
        <v>1</v>
      </c>
      <c r="D1607" s="1">
        <v>36</v>
      </c>
    </row>
    <row r="1608" spans="1:4" x14ac:dyDescent="0.25">
      <c r="A1608" s="16">
        <v>9128</v>
      </c>
      <c r="B1608" s="1">
        <v>1</v>
      </c>
      <c r="C1608" s="1">
        <v>1</v>
      </c>
      <c r="D1608" s="1">
        <v>8</v>
      </c>
    </row>
    <row r="1609" spans="1:4" x14ac:dyDescent="0.25">
      <c r="A1609" s="16">
        <v>9129</v>
      </c>
      <c r="B1609" s="1">
        <v>1</v>
      </c>
      <c r="C1609" s="1">
        <v>2</v>
      </c>
      <c r="D1609" s="1">
        <v>4.8</v>
      </c>
    </row>
    <row r="1610" spans="1:4" x14ac:dyDescent="0.25">
      <c r="A1610" s="16">
        <v>9130</v>
      </c>
      <c r="B1610" s="1">
        <v>1</v>
      </c>
      <c r="C1610" s="1">
        <v>1</v>
      </c>
      <c r="D1610" s="1">
        <v>19.600000000000001</v>
      </c>
    </row>
    <row r="1611" spans="1:4" x14ac:dyDescent="0.25">
      <c r="A1611" s="16">
        <v>9131</v>
      </c>
      <c r="B1611" s="1">
        <v>1</v>
      </c>
      <c r="C1611" s="1">
        <v>1</v>
      </c>
      <c r="D1611" s="1">
        <v>7.6</v>
      </c>
    </row>
    <row r="1612" spans="1:4" x14ac:dyDescent="0.25">
      <c r="A1612" s="16">
        <v>9133</v>
      </c>
      <c r="B1612" s="1">
        <v>1</v>
      </c>
      <c r="C1612" s="1">
        <v>1</v>
      </c>
      <c r="D1612" s="1">
        <v>6</v>
      </c>
    </row>
    <row r="1613" spans="1:4" x14ac:dyDescent="0.25">
      <c r="A1613" s="16">
        <v>9134</v>
      </c>
      <c r="B1613" s="1">
        <v>1</v>
      </c>
      <c r="C1613" s="1">
        <v>1</v>
      </c>
      <c r="D1613" s="1">
        <v>8.8000000000000007</v>
      </c>
    </row>
    <row r="1614" spans="1:4" x14ac:dyDescent="0.25">
      <c r="A1614" s="16">
        <v>9135</v>
      </c>
      <c r="B1614" s="1">
        <v>1</v>
      </c>
      <c r="C1614" s="1">
        <v>1</v>
      </c>
      <c r="D1614" s="1">
        <v>14</v>
      </c>
    </row>
    <row r="1615" spans="1:4" x14ac:dyDescent="0.25">
      <c r="A1615" s="16">
        <v>9136</v>
      </c>
      <c r="B1615" s="1">
        <v>1</v>
      </c>
      <c r="C1615" s="1">
        <v>1</v>
      </c>
      <c r="D1615" s="1">
        <v>36</v>
      </c>
    </row>
    <row r="1616" spans="1:4" x14ac:dyDescent="0.25">
      <c r="A1616" s="16">
        <v>9137</v>
      </c>
      <c r="B1616" s="1">
        <v>1</v>
      </c>
      <c r="C1616" s="1">
        <v>1</v>
      </c>
      <c r="D1616" s="1">
        <v>8</v>
      </c>
    </row>
    <row r="1617" spans="1:4" x14ac:dyDescent="0.25">
      <c r="A1617" s="16">
        <v>9138</v>
      </c>
      <c r="B1617" s="1">
        <v>1</v>
      </c>
      <c r="C1617" s="1">
        <v>3</v>
      </c>
      <c r="D1617" s="1">
        <v>7.1999999999999993</v>
      </c>
    </row>
    <row r="1618" spans="1:4" x14ac:dyDescent="0.25">
      <c r="A1618" s="16">
        <v>9139</v>
      </c>
      <c r="B1618" s="1">
        <v>1</v>
      </c>
      <c r="C1618" s="1">
        <v>1</v>
      </c>
      <c r="D1618" s="1">
        <v>19.600000000000001</v>
      </c>
    </row>
    <row r="1619" spans="1:4" x14ac:dyDescent="0.25">
      <c r="A1619" s="16">
        <v>9140</v>
      </c>
      <c r="B1619" s="1">
        <v>1</v>
      </c>
      <c r="C1619" s="1">
        <v>1</v>
      </c>
      <c r="D1619" s="1">
        <v>7.6</v>
      </c>
    </row>
    <row r="1620" spans="1:4" x14ac:dyDescent="0.25">
      <c r="A1620" s="16">
        <v>9141</v>
      </c>
      <c r="B1620" s="1">
        <v>1</v>
      </c>
      <c r="C1620" s="1">
        <v>4</v>
      </c>
      <c r="D1620" s="1">
        <v>11.2</v>
      </c>
    </row>
    <row r="1621" spans="1:4" x14ac:dyDescent="0.25">
      <c r="A1621" s="16">
        <v>9142</v>
      </c>
      <c r="B1621" s="1">
        <v>1</v>
      </c>
      <c r="C1621" s="1">
        <v>1</v>
      </c>
      <c r="D1621" s="1">
        <v>6</v>
      </c>
    </row>
    <row r="1622" spans="1:4" x14ac:dyDescent="0.25">
      <c r="A1622" s="16">
        <v>9143</v>
      </c>
      <c r="B1622" s="1">
        <v>1</v>
      </c>
      <c r="C1622" s="1">
        <v>1</v>
      </c>
      <c r="D1622" s="1">
        <v>8.8000000000000007</v>
      </c>
    </row>
    <row r="1623" spans="1:4" x14ac:dyDescent="0.25">
      <c r="A1623" s="16">
        <v>9144</v>
      </c>
      <c r="B1623" s="1">
        <v>1</v>
      </c>
      <c r="C1623" s="1">
        <v>1</v>
      </c>
      <c r="D1623" s="1">
        <v>14</v>
      </c>
    </row>
    <row r="1624" spans="1:4" x14ac:dyDescent="0.25">
      <c r="A1624" s="16">
        <v>9145</v>
      </c>
      <c r="B1624" s="1">
        <v>1</v>
      </c>
      <c r="C1624" s="1">
        <v>1</v>
      </c>
      <c r="D1624" s="1">
        <v>36</v>
      </c>
    </row>
    <row r="1625" spans="1:4" x14ac:dyDescent="0.25">
      <c r="A1625" s="16">
        <v>9146</v>
      </c>
      <c r="B1625" s="1">
        <v>1</v>
      </c>
      <c r="C1625" s="1">
        <v>1</v>
      </c>
      <c r="D1625" s="1">
        <v>8</v>
      </c>
    </row>
    <row r="1626" spans="1:4" x14ac:dyDescent="0.25">
      <c r="A1626" s="16">
        <v>9147</v>
      </c>
      <c r="B1626" s="1">
        <v>1</v>
      </c>
      <c r="C1626" s="1">
        <v>2</v>
      </c>
      <c r="D1626" s="1">
        <v>4.8</v>
      </c>
    </row>
    <row r="1627" spans="1:4" x14ac:dyDescent="0.25">
      <c r="A1627" s="16">
        <v>9148</v>
      </c>
      <c r="B1627" s="1">
        <v>1</v>
      </c>
      <c r="C1627" s="1">
        <v>4</v>
      </c>
      <c r="D1627" s="1">
        <v>11.2</v>
      </c>
    </row>
    <row r="1628" spans="1:4" x14ac:dyDescent="0.25">
      <c r="A1628" s="16">
        <v>9149</v>
      </c>
      <c r="B1628" s="1">
        <v>1</v>
      </c>
      <c r="C1628" s="1">
        <v>1</v>
      </c>
      <c r="D1628" s="1">
        <v>6</v>
      </c>
    </row>
    <row r="1629" spans="1:4" x14ac:dyDescent="0.25">
      <c r="A1629" s="16">
        <v>9150</v>
      </c>
      <c r="B1629" s="1">
        <v>1</v>
      </c>
      <c r="C1629" s="1">
        <v>1</v>
      </c>
      <c r="D1629" s="1">
        <v>8.8000000000000007</v>
      </c>
    </row>
    <row r="1630" spans="1:4" x14ac:dyDescent="0.25">
      <c r="A1630" s="16">
        <v>9151</v>
      </c>
      <c r="B1630" s="1">
        <v>1</v>
      </c>
      <c r="C1630" s="1">
        <v>1</v>
      </c>
      <c r="D1630" s="1">
        <v>14</v>
      </c>
    </row>
    <row r="1631" spans="1:4" x14ac:dyDescent="0.25">
      <c r="A1631" s="16">
        <v>9152</v>
      </c>
      <c r="B1631" s="1">
        <v>1</v>
      </c>
      <c r="C1631" s="1">
        <v>1</v>
      </c>
      <c r="D1631" s="1">
        <v>36</v>
      </c>
    </row>
    <row r="1632" spans="1:4" x14ac:dyDescent="0.25">
      <c r="A1632" s="16">
        <v>9153</v>
      </c>
      <c r="B1632" s="1">
        <v>1</v>
      </c>
      <c r="C1632" s="1">
        <v>1</v>
      </c>
      <c r="D1632" s="1">
        <v>8</v>
      </c>
    </row>
    <row r="1633" spans="1:4" x14ac:dyDescent="0.25">
      <c r="A1633" s="16">
        <v>9154</v>
      </c>
      <c r="B1633" s="1">
        <v>1</v>
      </c>
      <c r="C1633" s="1">
        <v>2</v>
      </c>
      <c r="D1633" s="1">
        <v>4.8</v>
      </c>
    </row>
    <row r="1634" spans="1:4" x14ac:dyDescent="0.25">
      <c r="A1634" s="16">
        <v>9155</v>
      </c>
      <c r="B1634" s="1">
        <v>1</v>
      </c>
      <c r="C1634" s="1">
        <v>1</v>
      </c>
      <c r="D1634" s="1">
        <v>19.600000000000001</v>
      </c>
    </row>
    <row r="1635" spans="1:4" x14ac:dyDescent="0.25">
      <c r="A1635" s="16">
        <v>9156</v>
      </c>
      <c r="B1635" s="1">
        <v>1</v>
      </c>
      <c r="C1635" s="1">
        <v>1</v>
      </c>
      <c r="D1635" s="1">
        <v>7.6</v>
      </c>
    </row>
    <row r="1636" spans="1:4" x14ac:dyDescent="0.25">
      <c r="A1636" s="16">
        <v>9157</v>
      </c>
      <c r="B1636" s="1">
        <v>1</v>
      </c>
      <c r="C1636" s="1">
        <v>3</v>
      </c>
      <c r="D1636" s="1">
        <v>8.3999999999999986</v>
      </c>
    </row>
    <row r="1637" spans="1:4" x14ac:dyDescent="0.25">
      <c r="A1637" s="16">
        <v>9158</v>
      </c>
      <c r="B1637" s="1">
        <v>1</v>
      </c>
      <c r="C1637" s="1">
        <v>1</v>
      </c>
      <c r="D1637" s="1">
        <v>6</v>
      </c>
    </row>
    <row r="1638" spans="1:4" x14ac:dyDescent="0.25">
      <c r="A1638" s="16">
        <v>9159</v>
      </c>
      <c r="B1638" s="1">
        <v>1</v>
      </c>
      <c r="C1638" s="1">
        <v>1</v>
      </c>
      <c r="D1638" s="1">
        <v>6</v>
      </c>
    </row>
    <row r="1639" spans="1:4" x14ac:dyDescent="0.25">
      <c r="A1639" s="16">
        <v>9160</v>
      </c>
      <c r="B1639" s="1">
        <v>1</v>
      </c>
      <c r="C1639" s="1">
        <v>1</v>
      </c>
      <c r="D1639" s="1">
        <v>12</v>
      </c>
    </row>
    <row r="1640" spans="1:4" x14ac:dyDescent="0.25">
      <c r="A1640" s="16">
        <v>9161</v>
      </c>
      <c r="B1640" s="1">
        <v>1</v>
      </c>
      <c r="C1640" s="1">
        <v>1</v>
      </c>
      <c r="D1640" s="1">
        <v>7.2</v>
      </c>
    </row>
    <row r="1641" spans="1:4" x14ac:dyDescent="0.25">
      <c r="A1641" s="16">
        <v>9162</v>
      </c>
      <c r="B1641" s="1">
        <v>1</v>
      </c>
      <c r="C1641" s="1">
        <v>1</v>
      </c>
      <c r="D1641" s="1">
        <v>20</v>
      </c>
    </row>
    <row r="1642" spans="1:4" x14ac:dyDescent="0.25">
      <c r="A1642" s="16">
        <v>9163</v>
      </c>
      <c r="B1642" s="1">
        <v>1</v>
      </c>
      <c r="C1642" s="1">
        <v>1</v>
      </c>
      <c r="D1642" s="1">
        <v>8</v>
      </c>
    </row>
    <row r="1643" spans="1:4" x14ac:dyDescent="0.25">
      <c r="A1643" s="16">
        <v>9164</v>
      </c>
      <c r="B1643" s="1">
        <v>1</v>
      </c>
      <c r="C1643" s="1">
        <v>5</v>
      </c>
      <c r="D1643" s="1">
        <v>14</v>
      </c>
    </row>
    <row r="1644" spans="1:4" x14ac:dyDescent="0.25">
      <c r="A1644" s="16">
        <v>9165</v>
      </c>
      <c r="B1644" s="1">
        <v>1</v>
      </c>
      <c r="C1644" s="1">
        <v>1</v>
      </c>
      <c r="D1644" s="1">
        <v>6</v>
      </c>
    </row>
    <row r="1645" spans="1:4" x14ac:dyDescent="0.25">
      <c r="A1645" s="16">
        <v>9166</v>
      </c>
      <c r="B1645" s="1">
        <v>1</v>
      </c>
      <c r="C1645" s="1">
        <v>1</v>
      </c>
      <c r="D1645" s="1">
        <v>8.8000000000000007</v>
      </c>
    </row>
    <row r="1646" spans="1:4" x14ac:dyDescent="0.25">
      <c r="A1646" s="16">
        <v>9167</v>
      </c>
      <c r="B1646" s="1">
        <v>1</v>
      </c>
      <c r="C1646" s="1">
        <v>2</v>
      </c>
      <c r="D1646" s="1">
        <v>28</v>
      </c>
    </row>
    <row r="1647" spans="1:4" x14ac:dyDescent="0.25">
      <c r="A1647" s="16">
        <v>9168</v>
      </c>
      <c r="B1647" s="1">
        <v>1</v>
      </c>
      <c r="C1647" s="1">
        <v>1</v>
      </c>
      <c r="D1647" s="1">
        <v>36</v>
      </c>
    </row>
    <row r="1648" spans="1:4" x14ac:dyDescent="0.25">
      <c r="A1648" s="16">
        <v>9169</v>
      </c>
      <c r="B1648" s="1">
        <v>1</v>
      </c>
      <c r="C1648" s="1">
        <v>1</v>
      </c>
      <c r="D1648" s="1">
        <v>8</v>
      </c>
    </row>
    <row r="1649" spans="1:4" x14ac:dyDescent="0.25">
      <c r="A1649" s="16">
        <v>9170</v>
      </c>
      <c r="B1649" s="1">
        <v>1</v>
      </c>
      <c r="C1649" s="1">
        <v>3</v>
      </c>
      <c r="D1649" s="1">
        <v>7.1999999999999993</v>
      </c>
    </row>
    <row r="1650" spans="1:4" x14ac:dyDescent="0.25">
      <c r="A1650" s="16">
        <v>9171</v>
      </c>
      <c r="B1650" s="1">
        <v>1</v>
      </c>
      <c r="C1650" s="1">
        <v>1</v>
      </c>
      <c r="D1650" s="1">
        <v>19.600000000000001</v>
      </c>
    </row>
    <row r="1651" spans="1:4" x14ac:dyDescent="0.25">
      <c r="A1651" s="16">
        <v>9172</v>
      </c>
      <c r="B1651" s="1">
        <v>1</v>
      </c>
      <c r="C1651" s="1">
        <v>1</v>
      </c>
      <c r="D1651" s="1">
        <v>7.6</v>
      </c>
    </row>
    <row r="1652" spans="1:4" x14ac:dyDescent="0.25">
      <c r="A1652" s="16">
        <v>9173</v>
      </c>
      <c r="B1652" s="1">
        <v>1</v>
      </c>
      <c r="C1652" s="1">
        <v>3</v>
      </c>
      <c r="D1652" s="1">
        <v>8.3999999999999986</v>
      </c>
    </row>
    <row r="1653" spans="1:4" x14ac:dyDescent="0.25">
      <c r="A1653" s="16">
        <v>9174</v>
      </c>
      <c r="B1653" s="1">
        <v>1</v>
      </c>
      <c r="C1653" s="1">
        <v>1</v>
      </c>
      <c r="D1653" s="1">
        <v>6</v>
      </c>
    </row>
    <row r="1654" spans="1:4" x14ac:dyDescent="0.25">
      <c r="A1654" s="16">
        <v>9175</v>
      </c>
      <c r="B1654" s="1">
        <v>1</v>
      </c>
      <c r="C1654" s="1">
        <v>1</v>
      </c>
      <c r="D1654" s="1">
        <v>8.8000000000000007</v>
      </c>
    </row>
    <row r="1655" spans="1:4" x14ac:dyDescent="0.25">
      <c r="A1655" s="16">
        <v>9176</v>
      </c>
      <c r="B1655" s="1">
        <v>1</v>
      </c>
      <c r="C1655" s="1">
        <v>2</v>
      </c>
      <c r="D1655" s="1">
        <v>28</v>
      </c>
    </row>
    <row r="1656" spans="1:4" x14ac:dyDescent="0.25">
      <c r="A1656" s="16">
        <v>9177</v>
      </c>
      <c r="B1656" s="1">
        <v>1</v>
      </c>
      <c r="C1656" s="1">
        <v>1</v>
      </c>
      <c r="D1656" s="1">
        <v>36</v>
      </c>
    </row>
    <row r="1657" spans="1:4" x14ac:dyDescent="0.25">
      <c r="A1657" s="16">
        <v>9178</v>
      </c>
      <c r="B1657" s="1">
        <v>1</v>
      </c>
      <c r="C1657" s="1">
        <v>1</v>
      </c>
      <c r="D1657" s="1">
        <v>8</v>
      </c>
    </row>
    <row r="1658" spans="1:4" x14ac:dyDescent="0.25">
      <c r="A1658" s="16">
        <v>9179</v>
      </c>
      <c r="B1658" s="1">
        <v>1</v>
      </c>
      <c r="C1658" s="1">
        <v>2</v>
      </c>
      <c r="D1658" s="1">
        <v>4.8</v>
      </c>
    </row>
    <row r="1659" spans="1:4" x14ac:dyDescent="0.25">
      <c r="A1659" s="16">
        <v>9180</v>
      </c>
      <c r="B1659" s="1">
        <v>1</v>
      </c>
      <c r="C1659" s="1">
        <v>1</v>
      </c>
      <c r="D1659" s="1">
        <v>19.600000000000001</v>
      </c>
    </row>
    <row r="1660" spans="1:4" x14ac:dyDescent="0.25">
      <c r="A1660" s="16">
        <v>9181</v>
      </c>
      <c r="B1660" s="1">
        <v>1</v>
      </c>
      <c r="C1660" s="1">
        <v>1</v>
      </c>
      <c r="D1660" s="1">
        <v>7.6</v>
      </c>
    </row>
    <row r="1661" spans="1:4" x14ac:dyDescent="0.25">
      <c r="A1661" s="16">
        <v>9182</v>
      </c>
      <c r="B1661" s="1">
        <v>1</v>
      </c>
      <c r="C1661" s="1">
        <v>4</v>
      </c>
      <c r="D1661" s="1">
        <v>11.2</v>
      </c>
    </row>
    <row r="1662" spans="1:4" x14ac:dyDescent="0.25">
      <c r="A1662" s="16">
        <v>9183</v>
      </c>
      <c r="B1662" s="1">
        <v>1</v>
      </c>
      <c r="C1662" s="1">
        <v>1</v>
      </c>
      <c r="D1662" s="1">
        <v>6</v>
      </c>
    </row>
    <row r="1663" spans="1:4" x14ac:dyDescent="0.25">
      <c r="A1663" s="16">
        <v>9184</v>
      </c>
      <c r="B1663" s="1">
        <v>1</v>
      </c>
      <c r="C1663" s="1">
        <v>1</v>
      </c>
      <c r="D1663" s="1">
        <v>8.8000000000000007</v>
      </c>
    </row>
    <row r="1664" spans="1:4" x14ac:dyDescent="0.25">
      <c r="A1664" s="16">
        <v>9185</v>
      </c>
      <c r="B1664" s="1">
        <v>1</v>
      </c>
      <c r="C1664" s="1">
        <v>1</v>
      </c>
      <c r="D1664" s="1">
        <v>14</v>
      </c>
    </row>
    <row r="1665" spans="1:4" x14ac:dyDescent="0.25">
      <c r="A1665" s="16">
        <v>9186</v>
      </c>
      <c r="B1665" s="1">
        <v>1</v>
      </c>
      <c r="C1665" s="1">
        <v>1</v>
      </c>
      <c r="D1665" s="1">
        <v>36</v>
      </c>
    </row>
    <row r="1666" spans="1:4" x14ac:dyDescent="0.25">
      <c r="A1666" s="16">
        <v>9187</v>
      </c>
      <c r="B1666" s="1">
        <v>1</v>
      </c>
      <c r="C1666" s="1">
        <v>1</v>
      </c>
      <c r="D1666" s="1">
        <v>8</v>
      </c>
    </row>
    <row r="1667" spans="1:4" x14ac:dyDescent="0.25">
      <c r="A1667" s="16">
        <v>9188</v>
      </c>
      <c r="B1667" s="1">
        <v>1</v>
      </c>
      <c r="C1667" s="1">
        <v>3</v>
      </c>
      <c r="D1667" s="1">
        <v>7.1999999999999993</v>
      </c>
    </row>
    <row r="1668" spans="1:4" x14ac:dyDescent="0.25">
      <c r="A1668" s="16">
        <v>9189</v>
      </c>
      <c r="B1668" s="1">
        <v>1</v>
      </c>
      <c r="C1668" s="1">
        <v>1</v>
      </c>
      <c r="D1668" s="1">
        <v>19.600000000000001</v>
      </c>
    </row>
    <row r="1669" spans="1:4" x14ac:dyDescent="0.25">
      <c r="A1669" s="16">
        <v>9190</v>
      </c>
      <c r="B1669" s="1">
        <v>1</v>
      </c>
      <c r="C1669" s="1">
        <v>1</v>
      </c>
      <c r="D1669" s="1">
        <v>7.6</v>
      </c>
    </row>
    <row r="1670" spans="1:4" x14ac:dyDescent="0.25">
      <c r="A1670" s="16">
        <v>9191</v>
      </c>
      <c r="B1670" s="1">
        <v>1</v>
      </c>
      <c r="C1670" s="1">
        <v>5</v>
      </c>
      <c r="D1670" s="1">
        <v>14</v>
      </c>
    </row>
    <row r="1671" spans="1:4" x14ac:dyDescent="0.25">
      <c r="A1671" s="16">
        <v>9192</v>
      </c>
      <c r="B1671" s="1">
        <v>1</v>
      </c>
      <c r="C1671" s="1">
        <v>1</v>
      </c>
      <c r="D1671" s="1">
        <v>6</v>
      </c>
    </row>
    <row r="1672" spans="1:4" x14ac:dyDescent="0.25">
      <c r="A1672" s="16">
        <v>9193</v>
      </c>
      <c r="B1672" s="1">
        <v>1</v>
      </c>
      <c r="C1672" s="1">
        <v>1</v>
      </c>
      <c r="D1672" s="1">
        <v>8.8000000000000007</v>
      </c>
    </row>
    <row r="1673" spans="1:4" x14ac:dyDescent="0.25">
      <c r="A1673" s="16">
        <v>9194</v>
      </c>
      <c r="B1673" s="1">
        <v>1</v>
      </c>
      <c r="C1673" s="1">
        <v>2</v>
      </c>
      <c r="D1673" s="1">
        <v>28</v>
      </c>
    </row>
    <row r="1674" spans="1:4" x14ac:dyDescent="0.25">
      <c r="A1674" s="16">
        <v>9195</v>
      </c>
      <c r="B1674" s="1">
        <v>1</v>
      </c>
      <c r="C1674" s="1">
        <v>1</v>
      </c>
      <c r="D1674" s="1">
        <v>36</v>
      </c>
    </row>
    <row r="1675" spans="1:4" x14ac:dyDescent="0.25">
      <c r="A1675" s="16">
        <v>9196</v>
      </c>
      <c r="B1675" s="1">
        <v>1</v>
      </c>
      <c r="C1675" s="1">
        <v>1</v>
      </c>
      <c r="D1675" s="1">
        <v>8</v>
      </c>
    </row>
    <row r="1676" spans="1:4" x14ac:dyDescent="0.25">
      <c r="A1676" s="16">
        <v>9197</v>
      </c>
      <c r="B1676" s="1">
        <v>1</v>
      </c>
      <c r="C1676" s="1">
        <v>2</v>
      </c>
      <c r="D1676" s="1">
        <v>4.8</v>
      </c>
    </row>
    <row r="1677" spans="1:4" x14ac:dyDescent="0.25">
      <c r="A1677" s="16">
        <v>9198</v>
      </c>
      <c r="B1677" s="1">
        <v>1</v>
      </c>
      <c r="C1677" s="1">
        <v>1</v>
      </c>
      <c r="D1677" s="1">
        <v>19.600000000000001</v>
      </c>
    </row>
    <row r="1678" spans="1:4" x14ac:dyDescent="0.25">
      <c r="A1678" s="16">
        <v>9199</v>
      </c>
      <c r="B1678" s="1">
        <v>1</v>
      </c>
      <c r="C1678" s="1">
        <v>1</v>
      </c>
      <c r="D1678" s="1">
        <v>7.6</v>
      </c>
    </row>
    <row r="1679" spans="1:4" x14ac:dyDescent="0.25">
      <c r="A1679" s="16">
        <v>9200</v>
      </c>
      <c r="B1679" s="1">
        <v>1</v>
      </c>
      <c r="C1679" s="1">
        <v>3</v>
      </c>
      <c r="D1679" s="1">
        <v>8.3999999999999986</v>
      </c>
    </row>
    <row r="1680" spans="1:4" x14ac:dyDescent="0.25">
      <c r="A1680" s="16">
        <v>9201</v>
      </c>
      <c r="B1680" s="1">
        <v>1</v>
      </c>
      <c r="C1680" s="1">
        <v>1</v>
      </c>
      <c r="D1680" s="1">
        <v>6</v>
      </c>
    </row>
    <row r="1681" spans="1:4" x14ac:dyDescent="0.25">
      <c r="A1681" s="16">
        <v>9202</v>
      </c>
      <c r="B1681" s="1">
        <v>1</v>
      </c>
      <c r="C1681" s="1">
        <v>1</v>
      </c>
      <c r="D1681" s="1">
        <v>8.8000000000000007</v>
      </c>
    </row>
    <row r="1682" spans="1:4" x14ac:dyDescent="0.25">
      <c r="A1682" s="16">
        <v>9203</v>
      </c>
      <c r="B1682" s="1">
        <v>1</v>
      </c>
      <c r="C1682" s="1">
        <v>1</v>
      </c>
      <c r="D1682" s="1">
        <v>14</v>
      </c>
    </row>
    <row r="1683" spans="1:4" x14ac:dyDescent="0.25">
      <c r="A1683" s="16">
        <v>9204</v>
      </c>
      <c r="B1683" s="1">
        <v>1</v>
      </c>
      <c r="C1683" s="1">
        <v>1</v>
      </c>
      <c r="D1683" s="1">
        <v>36</v>
      </c>
    </row>
    <row r="1684" spans="1:4" x14ac:dyDescent="0.25">
      <c r="A1684" s="16">
        <v>9205</v>
      </c>
      <c r="B1684" s="1">
        <v>1</v>
      </c>
      <c r="C1684" s="1">
        <v>1</v>
      </c>
      <c r="D1684" s="1">
        <v>8</v>
      </c>
    </row>
    <row r="1685" spans="1:4" x14ac:dyDescent="0.25">
      <c r="A1685" s="16">
        <v>9206</v>
      </c>
      <c r="B1685" s="1">
        <v>1</v>
      </c>
      <c r="C1685" s="1">
        <v>3</v>
      </c>
      <c r="D1685" s="1">
        <v>7.1999999999999993</v>
      </c>
    </row>
    <row r="1686" spans="1:4" x14ac:dyDescent="0.25">
      <c r="A1686" s="16">
        <v>9207</v>
      </c>
      <c r="B1686" s="1">
        <v>1</v>
      </c>
      <c r="C1686" s="1">
        <v>1</v>
      </c>
      <c r="D1686" s="1">
        <v>19.600000000000001</v>
      </c>
    </row>
    <row r="1687" spans="1:4" x14ac:dyDescent="0.25">
      <c r="A1687" s="16">
        <v>9208</v>
      </c>
      <c r="B1687" s="1">
        <v>1</v>
      </c>
      <c r="C1687" s="1">
        <v>1</v>
      </c>
      <c r="D1687" s="1">
        <v>7.6</v>
      </c>
    </row>
    <row r="1688" spans="1:4" x14ac:dyDescent="0.25">
      <c r="A1688" s="16">
        <v>9209</v>
      </c>
      <c r="B1688" s="1">
        <v>1</v>
      </c>
      <c r="C1688" s="1">
        <v>4</v>
      </c>
      <c r="D1688" s="1">
        <v>11.2</v>
      </c>
    </row>
    <row r="1689" spans="1:4" x14ac:dyDescent="0.25">
      <c r="A1689" s="16">
        <v>9210</v>
      </c>
      <c r="B1689" s="1">
        <v>1</v>
      </c>
      <c r="C1689" s="1">
        <v>1</v>
      </c>
      <c r="D1689" s="1">
        <v>6</v>
      </c>
    </row>
    <row r="1690" spans="1:4" x14ac:dyDescent="0.25">
      <c r="A1690" s="16">
        <v>9211</v>
      </c>
      <c r="B1690" s="1">
        <v>1</v>
      </c>
      <c r="C1690" s="1">
        <v>1</v>
      </c>
      <c r="D1690" s="1">
        <v>8.8000000000000007</v>
      </c>
    </row>
    <row r="1691" spans="1:4" x14ac:dyDescent="0.25">
      <c r="A1691" s="16">
        <v>9212</v>
      </c>
      <c r="B1691" s="1">
        <v>1</v>
      </c>
      <c r="C1691" s="1">
        <v>1</v>
      </c>
      <c r="D1691" s="1">
        <v>14</v>
      </c>
    </row>
    <row r="1692" spans="1:4" x14ac:dyDescent="0.25">
      <c r="A1692" s="16">
        <v>9213</v>
      </c>
      <c r="B1692" s="1">
        <v>1</v>
      </c>
      <c r="C1692" s="1">
        <v>1</v>
      </c>
      <c r="D1692" s="1">
        <v>36</v>
      </c>
    </row>
    <row r="1693" spans="1:4" x14ac:dyDescent="0.25">
      <c r="A1693" s="16">
        <v>9214</v>
      </c>
      <c r="B1693" s="1">
        <v>1</v>
      </c>
      <c r="C1693" s="1">
        <v>1</v>
      </c>
      <c r="D1693" s="1">
        <v>8</v>
      </c>
    </row>
    <row r="1694" spans="1:4" x14ac:dyDescent="0.25">
      <c r="A1694" s="16">
        <v>9215</v>
      </c>
      <c r="B1694" s="1">
        <v>1</v>
      </c>
      <c r="C1694" s="1">
        <v>2</v>
      </c>
      <c r="D1694" s="1">
        <v>4.8</v>
      </c>
    </row>
    <row r="1695" spans="1:4" x14ac:dyDescent="0.25">
      <c r="A1695" s="16">
        <v>9216</v>
      </c>
      <c r="B1695" s="1">
        <v>1</v>
      </c>
      <c r="C1695" s="1">
        <v>1</v>
      </c>
      <c r="D1695" s="1">
        <v>19.600000000000001</v>
      </c>
    </row>
    <row r="1696" spans="1:4" x14ac:dyDescent="0.25">
      <c r="A1696" s="16">
        <v>9217</v>
      </c>
      <c r="B1696" s="1">
        <v>1</v>
      </c>
      <c r="C1696" s="1">
        <v>1</v>
      </c>
      <c r="D1696" s="1">
        <v>7.6</v>
      </c>
    </row>
    <row r="1697" spans="1:4" x14ac:dyDescent="0.25">
      <c r="A1697" s="16">
        <v>9218</v>
      </c>
      <c r="B1697" s="1">
        <v>1</v>
      </c>
      <c r="C1697" s="1">
        <v>3</v>
      </c>
      <c r="D1697" s="1">
        <v>8.3999999999999986</v>
      </c>
    </row>
    <row r="1698" spans="1:4" x14ac:dyDescent="0.25">
      <c r="A1698" s="16">
        <v>9219</v>
      </c>
      <c r="B1698" s="1">
        <v>1</v>
      </c>
      <c r="C1698" s="1">
        <v>1</v>
      </c>
      <c r="D1698" s="1">
        <v>6</v>
      </c>
    </row>
    <row r="1699" spans="1:4" x14ac:dyDescent="0.25">
      <c r="A1699" s="16">
        <v>9220</v>
      </c>
      <c r="B1699" s="1">
        <v>1</v>
      </c>
      <c r="C1699" s="1">
        <v>1</v>
      </c>
      <c r="D1699" s="1">
        <v>8.8000000000000007</v>
      </c>
    </row>
    <row r="1700" spans="1:4" x14ac:dyDescent="0.25">
      <c r="A1700" s="16">
        <v>9221</v>
      </c>
      <c r="B1700" s="1">
        <v>1</v>
      </c>
      <c r="C1700" s="1">
        <v>1</v>
      </c>
      <c r="D1700" s="1">
        <v>14</v>
      </c>
    </row>
    <row r="1701" spans="1:4" x14ac:dyDescent="0.25">
      <c r="A1701" s="16">
        <v>9222</v>
      </c>
      <c r="B1701" s="1">
        <v>1</v>
      </c>
      <c r="C1701" s="1">
        <v>1</v>
      </c>
      <c r="D1701" s="1">
        <v>36</v>
      </c>
    </row>
    <row r="1702" spans="1:4" x14ac:dyDescent="0.25">
      <c r="A1702" s="16">
        <v>9223</v>
      </c>
      <c r="B1702" s="1">
        <v>1</v>
      </c>
      <c r="C1702" s="1">
        <v>1</v>
      </c>
      <c r="D1702" s="1">
        <v>8</v>
      </c>
    </row>
    <row r="1703" spans="1:4" x14ac:dyDescent="0.25">
      <c r="A1703" s="16">
        <v>9224</v>
      </c>
      <c r="B1703" s="1">
        <v>1</v>
      </c>
      <c r="C1703" s="1">
        <v>2</v>
      </c>
      <c r="D1703" s="1">
        <v>4.8</v>
      </c>
    </row>
    <row r="1704" spans="1:4" x14ac:dyDescent="0.25">
      <c r="A1704" s="16">
        <v>9225</v>
      </c>
      <c r="B1704" s="1">
        <v>1</v>
      </c>
      <c r="C1704" s="1">
        <v>1</v>
      </c>
      <c r="D1704" s="1">
        <v>19.600000000000001</v>
      </c>
    </row>
    <row r="1705" spans="1:4" x14ac:dyDescent="0.25">
      <c r="A1705" s="16">
        <v>9226</v>
      </c>
      <c r="B1705" s="1">
        <v>1</v>
      </c>
      <c r="C1705" s="1">
        <v>1</v>
      </c>
      <c r="D1705" s="1">
        <v>7.6</v>
      </c>
    </row>
    <row r="1706" spans="1:4" x14ac:dyDescent="0.25">
      <c r="A1706" s="16">
        <v>9227</v>
      </c>
      <c r="B1706" s="1">
        <v>1</v>
      </c>
      <c r="C1706" s="1">
        <v>4</v>
      </c>
      <c r="D1706" s="1">
        <v>11.2</v>
      </c>
    </row>
    <row r="1707" spans="1:4" x14ac:dyDescent="0.25">
      <c r="A1707" s="16">
        <v>9228</v>
      </c>
      <c r="B1707" s="1">
        <v>1</v>
      </c>
      <c r="C1707" s="1">
        <v>1</v>
      </c>
      <c r="D1707" s="1">
        <v>6</v>
      </c>
    </row>
    <row r="1708" spans="1:4" x14ac:dyDescent="0.25">
      <c r="A1708" s="16">
        <v>9229</v>
      </c>
      <c r="B1708" s="1">
        <v>1</v>
      </c>
      <c r="C1708" s="1">
        <v>1</v>
      </c>
      <c r="D1708" s="1">
        <v>8.8000000000000007</v>
      </c>
    </row>
    <row r="1709" spans="1:4" x14ac:dyDescent="0.25">
      <c r="A1709" s="16">
        <v>9230</v>
      </c>
      <c r="B1709" s="1">
        <v>1</v>
      </c>
      <c r="C1709" s="1">
        <v>2</v>
      </c>
      <c r="D1709" s="1">
        <v>28</v>
      </c>
    </row>
    <row r="1710" spans="1:4" x14ac:dyDescent="0.25">
      <c r="A1710" s="16">
        <v>9231</v>
      </c>
      <c r="B1710" s="1">
        <v>1</v>
      </c>
      <c r="C1710" s="1">
        <v>1</v>
      </c>
      <c r="D1710" s="1">
        <v>36</v>
      </c>
    </row>
    <row r="1711" spans="1:4" x14ac:dyDescent="0.25">
      <c r="A1711" s="16">
        <v>9232</v>
      </c>
      <c r="B1711" s="1">
        <v>1</v>
      </c>
      <c r="C1711" s="1">
        <v>1</v>
      </c>
      <c r="D1711" s="1">
        <v>8</v>
      </c>
    </row>
    <row r="1712" spans="1:4" x14ac:dyDescent="0.25">
      <c r="A1712" s="16">
        <v>9233</v>
      </c>
      <c r="B1712" s="1">
        <v>1</v>
      </c>
      <c r="C1712" s="1">
        <v>2</v>
      </c>
      <c r="D1712" s="1">
        <v>4.8</v>
      </c>
    </row>
    <row r="1713" spans="1:4" x14ac:dyDescent="0.25">
      <c r="A1713" s="16">
        <v>9234</v>
      </c>
      <c r="B1713" s="1">
        <v>1</v>
      </c>
      <c r="C1713" s="1">
        <v>1</v>
      </c>
      <c r="D1713" s="1">
        <v>19.600000000000001</v>
      </c>
    </row>
    <row r="1714" spans="1:4" x14ac:dyDescent="0.25">
      <c r="A1714" s="16">
        <v>9235</v>
      </c>
      <c r="B1714" s="1">
        <v>1</v>
      </c>
      <c r="C1714" s="1">
        <v>1</v>
      </c>
      <c r="D1714" s="1">
        <v>7.6</v>
      </c>
    </row>
    <row r="1715" spans="1:4" x14ac:dyDescent="0.25">
      <c r="A1715" s="16">
        <v>9236</v>
      </c>
      <c r="B1715" s="1">
        <v>1</v>
      </c>
      <c r="C1715" s="1">
        <v>3</v>
      </c>
      <c r="D1715" s="1">
        <v>8.3999999999999986</v>
      </c>
    </row>
    <row r="1716" spans="1:4" x14ac:dyDescent="0.25">
      <c r="A1716" s="16">
        <v>9237</v>
      </c>
      <c r="B1716" s="1">
        <v>1</v>
      </c>
      <c r="C1716" s="1">
        <v>1</v>
      </c>
      <c r="D1716" s="1">
        <v>6</v>
      </c>
    </row>
    <row r="1717" spans="1:4" x14ac:dyDescent="0.25">
      <c r="A1717" s="16">
        <v>9238</v>
      </c>
      <c r="B1717" s="1">
        <v>1</v>
      </c>
      <c r="C1717" s="1">
        <v>1</v>
      </c>
      <c r="D1717" s="1">
        <v>8.8000000000000007</v>
      </c>
    </row>
    <row r="1718" spans="1:4" x14ac:dyDescent="0.25">
      <c r="A1718" s="16">
        <v>9239</v>
      </c>
      <c r="B1718" s="1">
        <v>1</v>
      </c>
      <c r="C1718" s="1">
        <v>1</v>
      </c>
      <c r="D1718" s="1">
        <v>14</v>
      </c>
    </row>
    <row r="1719" spans="1:4" x14ac:dyDescent="0.25">
      <c r="A1719" s="16">
        <v>9240</v>
      </c>
      <c r="B1719" s="1">
        <v>1</v>
      </c>
      <c r="C1719" s="1">
        <v>1</v>
      </c>
      <c r="D1719" s="1">
        <v>36</v>
      </c>
    </row>
    <row r="1720" spans="1:4" x14ac:dyDescent="0.25">
      <c r="A1720" s="16">
        <v>9241</v>
      </c>
      <c r="B1720" s="1">
        <v>1</v>
      </c>
      <c r="C1720" s="1">
        <v>1</v>
      </c>
      <c r="D1720" s="1">
        <v>8</v>
      </c>
    </row>
    <row r="1721" spans="1:4" x14ac:dyDescent="0.25">
      <c r="A1721" s="16">
        <v>9242</v>
      </c>
      <c r="B1721" s="1">
        <v>1</v>
      </c>
      <c r="C1721" s="1">
        <v>2</v>
      </c>
      <c r="D1721" s="1">
        <v>4.8</v>
      </c>
    </row>
    <row r="1722" spans="1:4" x14ac:dyDescent="0.25">
      <c r="A1722" s="16">
        <v>9243</v>
      </c>
      <c r="B1722" s="1">
        <v>1</v>
      </c>
      <c r="C1722" s="1">
        <v>1</v>
      </c>
      <c r="D1722" s="1">
        <v>19.600000000000001</v>
      </c>
    </row>
    <row r="1723" spans="1:4" x14ac:dyDescent="0.25">
      <c r="A1723" s="16">
        <v>9244</v>
      </c>
      <c r="B1723" s="1">
        <v>1</v>
      </c>
      <c r="C1723" s="1">
        <v>1</v>
      </c>
      <c r="D1723" s="1">
        <v>7.6</v>
      </c>
    </row>
    <row r="1724" spans="1:4" x14ac:dyDescent="0.25">
      <c r="A1724" s="16">
        <v>9245</v>
      </c>
      <c r="B1724" s="1">
        <v>1</v>
      </c>
      <c r="C1724" s="1">
        <v>5</v>
      </c>
      <c r="D1724" s="1">
        <v>14</v>
      </c>
    </row>
    <row r="1725" spans="1:4" x14ac:dyDescent="0.25">
      <c r="A1725" s="16">
        <v>9246</v>
      </c>
      <c r="B1725" s="1">
        <v>1</v>
      </c>
      <c r="C1725" s="1">
        <v>1</v>
      </c>
      <c r="D1725" s="1">
        <v>6</v>
      </c>
    </row>
    <row r="1726" spans="1:4" x14ac:dyDescent="0.25">
      <c r="A1726" s="16">
        <v>9247</v>
      </c>
      <c r="B1726" s="1">
        <v>1</v>
      </c>
      <c r="C1726" s="1">
        <v>1</v>
      </c>
      <c r="D1726" s="1">
        <v>8.8000000000000007</v>
      </c>
    </row>
    <row r="1727" spans="1:4" x14ac:dyDescent="0.25">
      <c r="A1727" s="16">
        <v>9248</v>
      </c>
      <c r="B1727" s="1">
        <v>1</v>
      </c>
      <c r="C1727" s="1">
        <v>1</v>
      </c>
      <c r="D1727" s="1">
        <v>14</v>
      </c>
    </row>
    <row r="1728" spans="1:4" x14ac:dyDescent="0.25">
      <c r="A1728" s="16">
        <v>9249</v>
      </c>
      <c r="B1728" s="1">
        <v>1</v>
      </c>
      <c r="C1728" s="1">
        <v>1</v>
      </c>
      <c r="D1728" s="1">
        <v>36</v>
      </c>
    </row>
    <row r="1729" spans="1:4" x14ac:dyDescent="0.25">
      <c r="A1729" s="16">
        <v>9250</v>
      </c>
      <c r="B1729" s="1">
        <v>1</v>
      </c>
      <c r="C1729" s="1">
        <v>1</v>
      </c>
      <c r="D1729" s="1">
        <v>8</v>
      </c>
    </row>
    <row r="1730" spans="1:4" x14ac:dyDescent="0.25">
      <c r="A1730" s="16">
        <v>9251</v>
      </c>
      <c r="B1730" s="1">
        <v>1</v>
      </c>
      <c r="C1730" s="1">
        <v>2</v>
      </c>
      <c r="D1730" s="1">
        <v>4.8</v>
      </c>
    </row>
    <row r="1731" spans="1:4" x14ac:dyDescent="0.25">
      <c r="A1731" s="16">
        <v>9252</v>
      </c>
      <c r="B1731" s="1">
        <v>1</v>
      </c>
      <c r="C1731" s="1">
        <v>1</v>
      </c>
      <c r="D1731" s="1">
        <v>19.600000000000001</v>
      </c>
    </row>
    <row r="1732" spans="1:4" x14ac:dyDescent="0.25">
      <c r="A1732" s="16">
        <v>9253</v>
      </c>
      <c r="B1732" s="1">
        <v>1</v>
      </c>
      <c r="C1732" s="1">
        <v>1</v>
      </c>
      <c r="D1732" s="1">
        <v>7.6</v>
      </c>
    </row>
    <row r="1733" spans="1:4" x14ac:dyDescent="0.25">
      <c r="A1733" s="16">
        <v>9254</v>
      </c>
      <c r="B1733" s="1">
        <v>1</v>
      </c>
      <c r="C1733" s="1">
        <v>3</v>
      </c>
      <c r="D1733" s="1">
        <v>8.3999999999999986</v>
      </c>
    </row>
    <row r="1734" spans="1:4" x14ac:dyDescent="0.25">
      <c r="A1734" s="16">
        <v>9255</v>
      </c>
      <c r="B1734" s="1">
        <v>1</v>
      </c>
      <c r="C1734" s="1">
        <v>1</v>
      </c>
      <c r="D1734" s="1">
        <v>6</v>
      </c>
    </row>
    <row r="1735" spans="1:4" x14ac:dyDescent="0.25">
      <c r="A1735" s="16">
        <v>9256</v>
      </c>
      <c r="B1735" s="1">
        <v>1</v>
      </c>
      <c r="C1735" s="1">
        <v>1</v>
      </c>
      <c r="D1735" s="1">
        <v>8.8000000000000007</v>
      </c>
    </row>
    <row r="1736" spans="1:4" x14ac:dyDescent="0.25">
      <c r="A1736" s="16">
        <v>9257</v>
      </c>
      <c r="B1736" s="1">
        <v>1</v>
      </c>
      <c r="C1736" s="1">
        <v>2</v>
      </c>
      <c r="D1736" s="1">
        <v>28</v>
      </c>
    </row>
    <row r="1737" spans="1:4" x14ac:dyDescent="0.25">
      <c r="A1737" s="16">
        <v>9258</v>
      </c>
      <c r="B1737" s="1">
        <v>1</v>
      </c>
      <c r="C1737" s="1">
        <v>1</v>
      </c>
      <c r="D1737" s="1">
        <v>36</v>
      </c>
    </row>
    <row r="1738" spans="1:4" x14ac:dyDescent="0.25">
      <c r="A1738" s="16">
        <v>9259</v>
      </c>
      <c r="B1738" s="1">
        <v>1</v>
      </c>
      <c r="C1738" s="1">
        <v>1</v>
      </c>
      <c r="D1738" s="1">
        <v>8</v>
      </c>
    </row>
    <row r="1739" spans="1:4" x14ac:dyDescent="0.25">
      <c r="A1739" s="16">
        <v>9260</v>
      </c>
      <c r="B1739" s="1">
        <v>1</v>
      </c>
      <c r="C1739" s="1">
        <v>3</v>
      </c>
      <c r="D1739" s="1">
        <v>7.1999999999999993</v>
      </c>
    </row>
    <row r="1740" spans="1:4" x14ac:dyDescent="0.25">
      <c r="A1740" s="16">
        <v>9261</v>
      </c>
      <c r="B1740" s="1">
        <v>1</v>
      </c>
      <c r="C1740" s="1">
        <v>1</v>
      </c>
      <c r="D1740" s="1">
        <v>19.600000000000001</v>
      </c>
    </row>
    <row r="1741" spans="1:4" x14ac:dyDescent="0.25">
      <c r="A1741" s="16">
        <v>9262</v>
      </c>
      <c r="B1741" s="1">
        <v>1</v>
      </c>
      <c r="C1741" s="1">
        <v>1</v>
      </c>
      <c r="D1741" s="1">
        <v>7.6</v>
      </c>
    </row>
    <row r="1742" spans="1:4" x14ac:dyDescent="0.25">
      <c r="A1742" s="16">
        <v>9263</v>
      </c>
      <c r="B1742" s="1">
        <v>1</v>
      </c>
      <c r="C1742" s="1">
        <v>4</v>
      </c>
      <c r="D1742" s="1">
        <v>11.2</v>
      </c>
    </row>
    <row r="1743" spans="1:4" x14ac:dyDescent="0.25">
      <c r="A1743" s="16">
        <v>9264</v>
      </c>
      <c r="B1743" s="1">
        <v>1</v>
      </c>
      <c r="C1743" s="1">
        <v>1</v>
      </c>
      <c r="D1743" s="1">
        <v>6</v>
      </c>
    </row>
    <row r="1744" spans="1:4" x14ac:dyDescent="0.25">
      <c r="A1744" s="16">
        <v>9265</v>
      </c>
      <c r="B1744" s="1">
        <v>1</v>
      </c>
      <c r="C1744" s="1">
        <v>1</v>
      </c>
      <c r="D1744" s="1">
        <v>8.8000000000000007</v>
      </c>
    </row>
    <row r="1745" spans="1:4" x14ac:dyDescent="0.25">
      <c r="A1745" s="16">
        <v>9266</v>
      </c>
      <c r="B1745" s="1">
        <v>1</v>
      </c>
      <c r="C1745" s="1">
        <v>1</v>
      </c>
      <c r="D1745" s="1">
        <v>14</v>
      </c>
    </row>
    <row r="1746" spans="1:4" x14ac:dyDescent="0.25">
      <c r="A1746" s="16">
        <v>9267</v>
      </c>
      <c r="B1746" s="1">
        <v>1</v>
      </c>
      <c r="C1746" s="1">
        <v>1</v>
      </c>
      <c r="D1746" s="1">
        <v>36</v>
      </c>
    </row>
    <row r="1747" spans="1:4" x14ac:dyDescent="0.25">
      <c r="A1747" s="16">
        <v>9268</v>
      </c>
      <c r="B1747" s="1">
        <v>1</v>
      </c>
      <c r="C1747" s="1">
        <v>1</v>
      </c>
      <c r="D1747" s="1">
        <v>8</v>
      </c>
    </row>
    <row r="1748" spans="1:4" x14ac:dyDescent="0.25">
      <c r="A1748" s="16">
        <v>9269</v>
      </c>
      <c r="B1748" s="1">
        <v>1</v>
      </c>
      <c r="C1748" s="1">
        <v>3</v>
      </c>
      <c r="D1748" s="1">
        <v>7.1999999999999993</v>
      </c>
    </row>
    <row r="1749" spans="1:4" x14ac:dyDescent="0.25">
      <c r="A1749" s="16">
        <v>9270</v>
      </c>
      <c r="B1749" s="1">
        <v>1</v>
      </c>
      <c r="C1749" s="1">
        <v>1</v>
      </c>
      <c r="D1749" s="1">
        <v>19.600000000000001</v>
      </c>
    </row>
    <row r="1750" spans="1:4" x14ac:dyDescent="0.25">
      <c r="A1750" s="16">
        <v>9271</v>
      </c>
      <c r="B1750" s="1">
        <v>1</v>
      </c>
      <c r="C1750" s="1">
        <v>1</v>
      </c>
      <c r="D1750" s="1">
        <v>7.6</v>
      </c>
    </row>
    <row r="1751" spans="1:4" x14ac:dyDescent="0.25">
      <c r="A1751" s="16">
        <v>9272</v>
      </c>
      <c r="B1751" s="1">
        <v>1</v>
      </c>
      <c r="C1751" s="1">
        <v>3</v>
      </c>
      <c r="D1751" s="1">
        <v>8.3999999999999986</v>
      </c>
    </row>
    <row r="1752" spans="1:4" x14ac:dyDescent="0.25">
      <c r="A1752" s="16">
        <v>9273</v>
      </c>
      <c r="B1752" s="1">
        <v>1</v>
      </c>
      <c r="C1752" s="1">
        <v>1</v>
      </c>
      <c r="D1752" s="1">
        <v>6</v>
      </c>
    </row>
    <row r="1753" spans="1:4" x14ac:dyDescent="0.25">
      <c r="A1753" s="16">
        <v>9274</v>
      </c>
      <c r="B1753" s="1">
        <v>1</v>
      </c>
      <c r="C1753" s="1">
        <v>1</v>
      </c>
      <c r="D1753" s="1">
        <v>8.8000000000000007</v>
      </c>
    </row>
    <row r="1754" spans="1:4" x14ac:dyDescent="0.25">
      <c r="A1754" s="16">
        <v>9275</v>
      </c>
      <c r="B1754" s="1">
        <v>1</v>
      </c>
      <c r="C1754" s="1">
        <v>1</v>
      </c>
      <c r="D1754" s="1">
        <v>14</v>
      </c>
    </row>
    <row r="1755" spans="1:4" x14ac:dyDescent="0.25">
      <c r="A1755" s="16">
        <v>9276</v>
      </c>
      <c r="B1755" s="1">
        <v>1</v>
      </c>
      <c r="C1755" s="1">
        <v>1</v>
      </c>
      <c r="D1755" s="1">
        <v>36</v>
      </c>
    </row>
    <row r="1756" spans="1:4" x14ac:dyDescent="0.25">
      <c r="A1756" s="16">
        <v>9277</v>
      </c>
      <c r="B1756" s="1">
        <v>1</v>
      </c>
      <c r="C1756" s="1">
        <v>1</v>
      </c>
      <c r="D1756" s="1">
        <v>8</v>
      </c>
    </row>
    <row r="1757" spans="1:4" x14ac:dyDescent="0.25">
      <c r="A1757" s="16">
        <v>9278</v>
      </c>
      <c r="B1757" s="1">
        <v>1</v>
      </c>
      <c r="C1757" s="1">
        <v>3</v>
      </c>
      <c r="D1757" s="1">
        <v>7.1999999999999993</v>
      </c>
    </row>
    <row r="1758" spans="1:4" x14ac:dyDescent="0.25">
      <c r="A1758" s="16">
        <v>9279</v>
      </c>
      <c r="B1758" s="1">
        <v>1</v>
      </c>
      <c r="C1758" s="1">
        <v>1</v>
      </c>
      <c r="D1758" s="1">
        <v>19.600000000000001</v>
      </c>
    </row>
    <row r="1759" spans="1:4" x14ac:dyDescent="0.25">
      <c r="A1759" s="16">
        <v>9280</v>
      </c>
      <c r="B1759" s="1">
        <v>1</v>
      </c>
      <c r="C1759" s="1">
        <v>1</v>
      </c>
      <c r="D1759" s="1">
        <v>7.6</v>
      </c>
    </row>
    <row r="1760" spans="1:4" x14ac:dyDescent="0.25">
      <c r="A1760" s="16">
        <v>9281</v>
      </c>
      <c r="B1760" s="1">
        <v>1</v>
      </c>
      <c r="C1760" s="1">
        <v>4</v>
      </c>
      <c r="D1760" s="1">
        <v>11.2</v>
      </c>
    </row>
    <row r="1761" spans="1:4" x14ac:dyDescent="0.25">
      <c r="A1761" s="16">
        <v>9282</v>
      </c>
      <c r="B1761" s="1">
        <v>1</v>
      </c>
      <c r="C1761" s="1">
        <v>1</v>
      </c>
      <c r="D1761" s="1">
        <v>6</v>
      </c>
    </row>
    <row r="1762" spans="1:4" x14ac:dyDescent="0.25">
      <c r="A1762" s="16">
        <v>9283</v>
      </c>
      <c r="B1762" s="1">
        <v>1</v>
      </c>
      <c r="C1762" s="1">
        <v>1</v>
      </c>
      <c r="D1762" s="1">
        <v>8.8000000000000007</v>
      </c>
    </row>
    <row r="1763" spans="1:4" x14ac:dyDescent="0.25">
      <c r="A1763" s="16">
        <v>9284</v>
      </c>
      <c r="B1763" s="1">
        <v>1</v>
      </c>
      <c r="C1763" s="1">
        <v>2</v>
      </c>
      <c r="D1763" s="1">
        <v>28</v>
      </c>
    </row>
    <row r="1764" spans="1:4" x14ac:dyDescent="0.25">
      <c r="A1764" s="16">
        <v>9285</v>
      </c>
      <c r="B1764" s="1">
        <v>1</v>
      </c>
      <c r="C1764" s="1">
        <v>1</v>
      </c>
      <c r="D1764" s="1">
        <v>36</v>
      </c>
    </row>
    <row r="1765" spans="1:4" x14ac:dyDescent="0.25">
      <c r="A1765" s="16">
        <v>9286</v>
      </c>
      <c r="B1765" s="1">
        <v>1</v>
      </c>
      <c r="C1765" s="1">
        <v>1</v>
      </c>
      <c r="D1765" s="1">
        <v>8</v>
      </c>
    </row>
    <row r="1766" spans="1:4" x14ac:dyDescent="0.25">
      <c r="A1766" s="16">
        <v>9287</v>
      </c>
      <c r="B1766" s="1">
        <v>1</v>
      </c>
      <c r="C1766" s="1">
        <v>3</v>
      </c>
      <c r="D1766" s="1">
        <v>7.1999999999999993</v>
      </c>
    </row>
    <row r="1767" spans="1:4" x14ac:dyDescent="0.25">
      <c r="A1767" s="16">
        <v>9288</v>
      </c>
      <c r="B1767" s="1">
        <v>1</v>
      </c>
      <c r="C1767" s="1">
        <v>1</v>
      </c>
      <c r="D1767" s="1">
        <v>19.600000000000001</v>
      </c>
    </row>
    <row r="1768" spans="1:4" x14ac:dyDescent="0.25">
      <c r="A1768" s="16">
        <v>9289</v>
      </c>
      <c r="B1768" s="1">
        <v>1</v>
      </c>
      <c r="C1768" s="1">
        <v>1</v>
      </c>
      <c r="D1768" s="1">
        <v>7.6</v>
      </c>
    </row>
    <row r="1769" spans="1:4" x14ac:dyDescent="0.25">
      <c r="A1769" s="16">
        <v>9290</v>
      </c>
      <c r="B1769" s="1">
        <v>1</v>
      </c>
      <c r="C1769" s="1">
        <v>3</v>
      </c>
      <c r="D1769" s="1">
        <v>8.3999999999999986</v>
      </c>
    </row>
    <row r="1770" spans="1:4" x14ac:dyDescent="0.25">
      <c r="A1770" s="16">
        <v>9291</v>
      </c>
      <c r="B1770" s="1">
        <v>1</v>
      </c>
      <c r="C1770" s="1">
        <v>1</v>
      </c>
      <c r="D1770" s="1">
        <v>6</v>
      </c>
    </row>
    <row r="1771" spans="1:4" x14ac:dyDescent="0.25">
      <c r="A1771" s="16">
        <v>9292</v>
      </c>
      <c r="B1771" s="1">
        <v>1</v>
      </c>
      <c r="C1771" s="1">
        <v>1</v>
      </c>
      <c r="D1771" s="1">
        <v>8.8000000000000007</v>
      </c>
    </row>
    <row r="1772" spans="1:4" x14ac:dyDescent="0.25">
      <c r="A1772" s="16">
        <v>9293</v>
      </c>
      <c r="B1772" s="1">
        <v>1</v>
      </c>
      <c r="C1772" s="1">
        <v>1</v>
      </c>
      <c r="D1772" s="1">
        <v>14</v>
      </c>
    </row>
    <row r="1773" spans="1:4" x14ac:dyDescent="0.25">
      <c r="A1773" s="16">
        <v>9294</v>
      </c>
      <c r="B1773" s="1">
        <v>1</v>
      </c>
      <c r="C1773" s="1">
        <v>1</v>
      </c>
      <c r="D1773" s="1">
        <v>36</v>
      </c>
    </row>
    <row r="1774" spans="1:4" x14ac:dyDescent="0.25">
      <c r="A1774" s="16">
        <v>9295</v>
      </c>
      <c r="B1774" s="1">
        <v>1</v>
      </c>
      <c r="C1774" s="1">
        <v>1</v>
      </c>
      <c r="D1774" s="1">
        <v>8</v>
      </c>
    </row>
    <row r="1775" spans="1:4" x14ac:dyDescent="0.25">
      <c r="A1775" s="16">
        <v>9296</v>
      </c>
      <c r="B1775" s="1">
        <v>1</v>
      </c>
      <c r="C1775" s="1">
        <v>3</v>
      </c>
      <c r="D1775" s="1">
        <v>7.1999999999999993</v>
      </c>
    </row>
    <row r="1776" spans="1:4" x14ac:dyDescent="0.25">
      <c r="A1776" s="16">
        <v>9297</v>
      </c>
      <c r="B1776" s="1">
        <v>1</v>
      </c>
      <c r="C1776" s="1">
        <v>1</v>
      </c>
      <c r="D1776" s="1">
        <v>19.600000000000001</v>
      </c>
    </row>
    <row r="1777" spans="1:4" x14ac:dyDescent="0.25">
      <c r="A1777" s="16">
        <v>9298</v>
      </c>
      <c r="B1777" s="1">
        <v>1</v>
      </c>
      <c r="C1777" s="1">
        <v>1</v>
      </c>
      <c r="D1777" s="1">
        <v>7.6</v>
      </c>
    </row>
    <row r="1778" spans="1:4" x14ac:dyDescent="0.25">
      <c r="A1778" s="16">
        <v>9299</v>
      </c>
      <c r="B1778" s="1">
        <v>1</v>
      </c>
      <c r="C1778" s="1">
        <v>3</v>
      </c>
      <c r="D1778" s="1">
        <v>8.3999999999999986</v>
      </c>
    </row>
    <row r="1779" spans="1:4" x14ac:dyDescent="0.25">
      <c r="A1779" s="16">
        <v>9300</v>
      </c>
      <c r="B1779" s="1">
        <v>1</v>
      </c>
      <c r="C1779" s="1">
        <v>1</v>
      </c>
      <c r="D1779" s="1">
        <v>6</v>
      </c>
    </row>
    <row r="1780" spans="1:4" x14ac:dyDescent="0.25">
      <c r="A1780" s="16">
        <v>9301</v>
      </c>
      <c r="B1780" s="1">
        <v>1</v>
      </c>
      <c r="C1780" s="1">
        <v>1</v>
      </c>
      <c r="D1780" s="1">
        <v>8.8000000000000007</v>
      </c>
    </row>
    <row r="1781" spans="1:4" x14ac:dyDescent="0.25">
      <c r="A1781" s="16">
        <v>9302</v>
      </c>
      <c r="B1781" s="1">
        <v>1</v>
      </c>
      <c r="C1781" s="1">
        <v>2</v>
      </c>
      <c r="D1781" s="1">
        <v>28</v>
      </c>
    </row>
    <row r="1782" spans="1:4" x14ac:dyDescent="0.25">
      <c r="A1782" s="16">
        <v>9303</v>
      </c>
      <c r="B1782" s="1">
        <v>1</v>
      </c>
      <c r="C1782" s="1">
        <v>1</v>
      </c>
      <c r="D1782" s="1">
        <v>36</v>
      </c>
    </row>
    <row r="1783" spans="1:4" x14ac:dyDescent="0.25">
      <c r="A1783" s="16">
        <v>9304</v>
      </c>
      <c r="B1783" s="1">
        <v>1</v>
      </c>
      <c r="C1783" s="1">
        <v>1</v>
      </c>
      <c r="D1783" s="1">
        <v>8</v>
      </c>
    </row>
    <row r="1784" spans="1:4" x14ac:dyDescent="0.25">
      <c r="A1784" s="16">
        <v>9305</v>
      </c>
      <c r="B1784" s="1">
        <v>1</v>
      </c>
      <c r="C1784" s="1">
        <v>3</v>
      </c>
      <c r="D1784" s="1">
        <v>7.1999999999999993</v>
      </c>
    </row>
    <row r="1785" spans="1:4" x14ac:dyDescent="0.25">
      <c r="A1785" s="16">
        <v>9306</v>
      </c>
      <c r="B1785" s="1">
        <v>1</v>
      </c>
      <c r="C1785" s="1">
        <v>1</v>
      </c>
      <c r="D1785" s="1">
        <v>19.600000000000001</v>
      </c>
    </row>
    <row r="1786" spans="1:4" x14ac:dyDescent="0.25">
      <c r="A1786" s="16">
        <v>9307</v>
      </c>
      <c r="B1786" s="1">
        <v>1</v>
      </c>
      <c r="C1786" s="1">
        <v>1</v>
      </c>
      <c r="D1786" s="1">
        <v>7.6</v>
      </c>
    </row>
    <row r="1787" spans="1:4" x14ac:dyDescent="0.25">
      <c r="A1787" s="16">
        <v>9308</v>
      </c>
      <c r="B1787" s="1">
        <v>1</v>
      </c>
      <c r="C1787" s="1">
        <v>4</v>
      </c>
      <c r="D1787" s="1">
        <v>11.2</v>
      </c>
    </row>
    <row r="1788" spans="1:4" x14ac:dyDescent="0.25">
      <c r="A1788" s="16">
        <v>9309</v>
      </c>
      <c r="B1788" s="1">
        <v>1</v>
      </c>
      <c r="C1788" s="1">
        <v>1</v>
      </c>
      <c r="D1788" s="1">
        <v>6</v>
      </c>
    </row>
    <row r="1789" spans="1:4" x14ac:dyDescent="0.25">
      <c r="A1789" s="16">
        <v>9310</v>
      </c>
      <c r="B1789" s="1">
        <v>1</v>
      </c>
      <c r="C1789" s="1">
        <v>1</v>
      </c>
      <c r="D1789" s="1">
        <v>8.8000000000000007</v>
      </c>
    </row>
    <row r="1790" spans="1:4" x14ac:dyDescent="0.25">
      <c r="A1790" s="16">
        <v>9311</v>
      </c>
      <c r="B1790" s="1">
        <v>1</v>
      </c>
      <c r="C1790" s="1">
        <v>1</v>
      </c>
      <c r="D1790" s="1">
        <v>14</v>
      </c>
    </row>
    <row r="1791" spans="1:4" x14ac:dyDescent="0.25">
      <c r="A1791" s="16">
        <v>9312</v>
      </c>
      <c r="B1791" s="1">
        <v>1</v>
      </c>
      <c r="C1791" s="1">
        <v>1</v>
      </c>
      <c r="D1791" s="1">
        <v>36</v>
      </c>
    </row>
    <row r="1792" spans="1:4" x14ac:dyDescent="0.25">
      <c r="A1792" s="16">
        <v>9313</v>
      </c>
      <c r="B1792" s="1">
        <v>1</v>
      </c>
      <c r="C1792" s="1">
        <v>1</v>
      </c>
      <c r="D1792" s="1">
        <v>8</v>
      </c>
    </row>
    <row r="1793" spans="1:4" x14ac:dyDescent="0.25">
      <c r="A1793" s="16">
        <v>9314</v>
      </c>
      <c r="B1793" s="1">
        <v>1</v>
      </c>
      <c r="C1793" s="1">
        <v>3</v>
      </c>
      <c r="D1793" s="1">
        <v>7.1999999999999993</v>
      </c>
    </row>
    <row r="1794" spans="1:4" x14ac:dyDescent="0.25">
      <c r="A1794" s="16">
        <v>9315</v>
      </c>
      <c r="B1794" s="1">
        <v>1</v>
      </c>
      <c r="C1794" s="1">
        <v>1</v>
      </c>
      <c r="D1794" s="1">
        <v>19.600000000000001</v>
      </c>
    </row>
    <row r="1795" spans="1:4" x14ac:dyDescent="0.25">
      <c r="A1795" s="16">
        <v>9316</v>
      </c>
      <c r="B1795" s="1">
        <v>1</v>
      </c>
      <c r="C1795" s="1">
        <v>1</v>
      </c>
      <c r="D1795" s="1">
        <v>7.6</v>
      </c>
    </row>
    <row r="1796" spans="1:4" x14ac:dyDescent="0.25">
      <c r="A1796" s="16">
        <v>9317</v>
      </c>
      <c r="B1796" s="1">
        <v>1</v>
      </c>
      <c r="C1796" s="1">
        <v>3</v>
      </c>
      <c r="D1796" s="1">
        <v>8.3999999999999986</v>
      </c>
    </row>
    <row r="1797" spans="1:4" x14ac:dyDescent="0.25">
      <c r="A1797" s="16">
        <v>9318</v>
      </c>
      <c r="B1797" s="1">
        <v>1</v>
      </c>
      <c r="C1797" s="1">
        <v>1</v>
      </c>
      <c r="D1797" s="1">
        <v>6</v>
      </c>
    </row>
    <row r="1798" spans="1:4" x14ac:dyDescent="0.25">
      <c r="A1798" s="16">
        <v>9319</v>
      </c>
      <c r="B1798" s="1">
        <v>1</v>
      </c>
      <c r="C1798" s="1">
        <v>1</v>
      </c>
      <c r="D1798" s="1">
        <v>8.8000000000000007</v>
      </c>
    </row>
    <row r="1799" spans="1:4" x14ac:dyDescent="0.25">
      <c r="A1799" s="16">
        <v>9320</v>
      </c>
      <c r="B1799" s="1">
        <v>1</v>
      </c>
      <c r="C1799" s="1">
        <v>2</v>
      </c>
      <c r="D1799" s="1">
        <v>28</v>
      </c>
    </row>
    <row r="1800" spans="1:4" x14ac:dyDescent="0.25">
      <c r="A1800" s="16">
        <v>9321</v>
      </c>
      <c r="B1800" s="1">
        <v>1</v>
      </c>
      <c r="C1800" s="1">
        <v>1</v>
      </c>
      <c r="D1800" s="1">
        <v>36</v>
      </c>
    </row>
    <row r="1801" spans="1:4" x14ac:dyDescent="0.25">
      <c r="A1801" s="16">
        <v>9322</v>
      </c>
      <c r="B1801" s="1">
        <v>1</v>
      </c>
      <c r="C1801" s="1">
        <v>1</v>
      </c>
      <c r="D1801" s="1">
        <v>8</v>
      </c>
    </row>
    <row r="1802" spans="1:4" x14ac:dyDescent="0.25">
      <c r="A1802" s="16">
        <v>9323</v>
      </c>
      <c r="B1802" s="1">
        <v>1</v>
      </c>
      <c r="C1802" s="1">
        <v>3</v>
      </c>
      <c r="D1802" s="1">
        <v>7.1999999999999993</v>
      </c>
    </row>
    <row r="1803" spans="1:4" x14ac:dyDescent="0.25">
      <c r="A1803" s="16">
        <v>9324</v>
      </c>
      <c r="B1803" s="1">
        <v>1</v>
      </c>
      <c r="C1803" s="1">
        <v>1</v>
      </c>
      <c r="D1803" s="1">
        <v>19.600000000000001</v>
      </c>
    </row>
    <row r="1804" spans="1:4" x14ac:dyDescent="0.25">
      <c r="A1804" s="16">
        <v>9325</v>
      </c>
      <c r="B1804" s="1">
        <v>1</v>
      </c>
      <c r="C1804" s="1">
        <v>1</v>
      </c>
      <c r="D1804" s="1">
        <v>7.6</v>
      </c>
    </row>
    <row r="1805" spans="1:4" x14ac:dyDescent="0.25">
      <c r="A1805" s="16">
        <v>9326</v>
      </c>
      <c r="B1805" s="1">
        <v>1</v>
      </c>
      <c r="C1805" s="1">
        <v>4</v>
      </c>
      <c r="D1805" s="1">
        <v>11.2</v>
      </c>
    </row>
    <row r="1806" spans="1:4" x14ac:dyDescent="0.25">
      <c r="A1806" s="16">
        <v>9327</v>
      </c>
      <c r="B1806" s="1">
        <v>1</v>
      </c>
      <c r="C1806" s="1">
        <v>1</v>
      </c>
      <c r="D1806" s="1">
        <v>6</v>
      </c>
    </row>
    <row r="1807" spans="1:4" x14ac:dyDescent="0.25">
      <c r="A1807" s="16">
        <v>9328</v>
      </c>
      <c r="B1807" s="1">
        <v>1</v>
      </c>
      <c r="C1807" s="1">
        <v>1</v>
      </c>
      <c r="D1807" s="1">
        <v>8.8000000000000007</v>
      </c>
    </row>
    <row r="1808" spans="1:4" x14ac:dyDescent="0.25">
      <c r="A1808" s="16">
        <v>9329</v>
      </c>
      <c r="B1808" s="1">
        <v>1</v>
      </c>
      <c r="C1808" s="1">
        <v>1</v>
      </c>
      <c r="D1808" s="1">
        <v>14</v>
      </c>
    </row>
    <row r="1809" spans="1:4" x14ac:dyDescent="0.25">
      <c r="A1809" s="16">
        <v>9330</v>
      </c>
      <c r="B1809" s="1">
        <v>1</v>
      </c>
      <c r="C1809" s="1">
        <v>1</v>
      </c>
      <c r="D1809" s="1">
        <v>36</v>
      </c>
    </row>
    <row r="1810" spans="1:4" x14ac:dyDescent="0.25">
      <c r="A1810" s="16">
        <v>9331</v>
      </c>
      <c r="B1810" s="1">
        <v>1</v>
      </c>
      <c r="C1810" s="1">
        <v>1</v>
      </c>
      <c r="D1810" s="1">
        <v>8</v>
      </c>
    </row>
    <row r="1811" spans="1:4" x14ac:dyDescent="0.25">
      <c r="A1811" s="16">
        <v>9332</v>
      </c>
      <c r="B1811" s="1">
        <v>1</v>
      </c>
      <c r="C1811" s="1">
        <v>2</v>
      </c>
      <c r="D1811" s="1">
        <v>4.8</v>
      </c>
    </row>
    <row r="1812" spans="1:4" x14ac:dyDescent="0.25">
      <c r="A1812" s="16">
        <v>9333</v>
      </c>
      <c r="B1812" s="1">
        <v>1</v>
      </c>
      <c r="C1812" s="1">
        <v>1</v>
      </c>
      <c r="D1812" s="1">
        <v>19.600000000000001</v>
      </c>
    </row>
    <row r="1813" spans="1:4" x14ac:dyDescent="0.25">
      <c r="A1813" s="16">
        <v>9334</v>
      </c>
      <c r="B1813" s="1">
        <v>1</v>
      </c>
      <c r="C1813" s="1">
        <v>1</v>
      </c>
      <c r="D1813" s="1">
        <v>7.6</v>
      </c>
    </row>
    <row r="1814" spans="1:4" x14ac:dyDescent="0.25">
      <c r="A1814" s="16">
        <v>9335</v>
      </c>
      <c r="B1814" s="1">
        <v>1</v>
      </c>
      <c r="C1814" s="1">
        <v>4</v>
      </c>
      <c r="D1814" s="1">
        <v>11.2</v>
      </c>
    </row>
    <row r="1815" spans="1:4" x14ac:dyDescent="0.25">
      <c r="A1815" s="16">
        <v>9336</v>
      </c>
      <c r="B1815" s="1">
        <v>1</v>
      </c>
      <c r="C1815" s="1">
        <v>1</v>
      </c>
      <c r="D1815" s="1">
        <v>6</v>
      </c>
    </row>
    <row r="1816" spans="1:4" x14ac:dyDescent="0.25">
      <c r="A1816" s="16">
        <v>9337</v>
      </c>
      <c r="B1816" s="1">
        <v>1</v>
      </c>
      <c r="C1816" s="1">
        <v>1</v>
      </c>
      <c r="D1816" s="1">
        <v>8.8000000000000007</v>
      </c>
    </row>
    <row r="1817" spans="1:4" x14ac:dyDescent="0.25">
      <c r="A1817" s="16">
        <v>9338</v>
      </c>
      <c r="B1817" s="1">
        <v>1</v>
      </c>
      <c r="C1817" s="1">
        <v>2</v>
      </c>
      <c r="D1817" s="1">
        <v>28</v>
      </c>
    </row>
    <row r="1818" spans="1:4" x14ac:dyDescent="0.25">
      <c r="A1818" s="16">
        <v>9339</v>
      </c>
      <c r="B1818" s="1">
        <v>1</v>
      </c>
      <c r="C1818" s="1">
        <v>1</v>
      </c>
      <c r="D1818" s="1">
        <v>36</v>
      </c>
    </row>
    <row r="1819" spans="1:4" x14ac:dyDescent="0.25">
      <c r="A1819" s="16">
        <v>9340</v>
      </c>
      <c r="B1819" s="1">
        <v>1</v>
      </c>
      <c r="C1819" s="1">
        <v>1</v>
      </c>
      <c r="D1819" s="1">
        <v>8</v>
      </c>
    </row>
    <row r="1820" spans="1:4" x14ac:dyDescent="0.25">
      <c r="A1820" s="16">
        <v>9341</v>
      </c>
      <c r="B1820" s="1">
        <v>1</v>
      </c>
      <c r="C1820" s="1">
        <v>2</v>
      </c>
      <c r="D1820" s="1">
        <v>4.8</v>
      </c>
    </row>
    <row r="1821" spans="1:4" x14ac:dyDescent="0.25">
      <c r="A1821" s="16">
        <v>9342</v>
      </c>
      <c r="B1821" s="1">
        <v>1</v>
      </c>
      <c r="C1821" s="1">
        <v>1</v>
      </c>
      <c r="D1821" s="1">
        <v>19.600000000000001</v>
      </c>
    </row>
    <row r="1822" spans="1:4" x14ac:dyDescent="0.25">
      <c r="A1822" s="16">
        <v>9343</v>
      </c>
      <c r="B1822" s="1">
        <v>1</v>
      </c>
      <c r="C1822" s="1">
        <v>1</v>
      </c>
      <c r="D1822" s="1">
        <v>7.6</v>
      </c>
    </row>
    <row r="1823" spans="1:4" x14ac:dyDescent="0.25">
      <c r="A1823" s="16">
        <v>9344</v>
      </c>
      <c r="B1823" s="1">
        <v>1</v>
      </c>
      <c r="C1823" s="1">
        <v>3</v>
      </c>
      <c r="D1823" s="1">
        <v>8.3999999999999986</v>
      </c>
    </row>
    <row r="1824" spans="1:4" x14ac:dyDescent="0.25">
      <c r="A1824" s="16">
        <v>9345</v>
      </c>
      <c r="B1824" s="1">
        <v>1</v>
      </c>
      <c r="C1824" s="1">
        <v>1</v>
      </c>
      <c r="D1824" s="1">
        <v>6</v>
      </c>
    </row>
    <row r="1825" spans="1:4" x14ac:dyDescent="0.25">
      <c r="A1825" s="16">
        <v>9346</v>
      </c>
      <c r="B1825" s="1">
        <v>1</v>
      </c>
      <c r="C1825" s="1">
        <v>1</v>
      </c>
      <c r="D1825" s="1">
        <v>8.8000000000000007</v>
      </c>
    </row>
    <row r="1826" spans="1:4" x14ac:dyDescent="0.25">
      <c r="A1826" s="16">
        <v>9347</v>
      </c>
      <c r="B1826" s="1">
        <v>1</v>
      </c>
      <c r="C1826" s="1">
        <v>1</v>
      </c>
      <c r="D1826" s="1">
        <v>14</v>
      </c>
    </row>
    <row r="1827" spans="1:4" x14ac:dyDescent="0.25">
      <c r="A1827" s="16">
        <v>9348</v>
      </c>
      <c r="B1827" s="1">
        <v>1</v>
      </c>
      <c r="C1827" s="1">
        <v>1</v>
      </c>
      <c r="D1827" s="1">
        <v>36</v>
      </c>
    </row>
    <row r="1828" spans="1:4" x14ac:dyDescent="0.25">
      <c r="A1828" s="16">
        <v>9349</v>
      </c>
      <c r="B1828" s="1">
        <v>1</v>
      </c>
      <c r="C1828" s="1">
        <v>1</v>
      </c>
      <c r="D1828" s="1">
        <v>8</v>
      </c>
    </row>
    <row r="1829" spans="1:4" x14ac:dyDescent="0.25">
      <c r="A1829" s="16">
        <v>9350</v>
      </c>
      <c r="B1829" s="1">
        <v>1</v>
      </c>
      <c r="C1829" s="1">
        <v>3</v>
      </c>
      <c r="D1829" s="1">
        <v>7.1999999999999993</v>
      </c>
    </row>
    <row r="1830" spans="1:4" x14ac:dyDescent="0.25">
      <c r="A1830" s="16">
        <v>9351</v>
      </c>
      <c r="B1830" s="1">
        <v>1</v>
      </c>
      <c r="C1830" s="1">
        <v>1</v>
      </c>
      <c r="D1830" s="1">
        <v>19.600000000000001</v>
      </c>
    </row>
    <row r="1831" spans="1:4" x14ac:dyDescent="0.25">
      <c r="A1831" s="16">
        <v>9352</v>
      </c>
      <c r="B1831" s="1">
        <v>1</v>
      </c>
      <c r="C1831" s="1">
        <v>1</v>
      </c>
      <c r="D1831" s="1">
        <v>7.6</v>
      </c>
    </row>
    <row r="1832" spans="1:4" x14ac:dyDescent="0.25">
      <c r="A1832" s="16">
        <v>9353</v>
      </c>
      <c r="B1832" s="1">
        <v>1</v>
      </c>
      <c r="C1832" s="1">
        <v>3</v>
      </c>
      <c r="D1832" s="1">
        <v>8.3999999999999986</v>
      </c>
    </row>
    <row r="1833" spans="1:4" x14ac:dyDescent="0.25">
      <c r="A1833" s="16">
        <v>9354</v>
      </c>
      <c r="B1833" s="1">
        <v>1</v>
      </c>
      <c r="C1833" s="1">
        <v>1</v>
      </c>
      <c r="D1833" s="1">
        <v>6</v>
      </c>
    </row>
    <row r="1834" spans="1:4" x14ac:dyDescent="0.25">
      <c r="A1834" s="16">
        <v>9355</v>
      </c>
      <c r="B1834" s="1">
        <v>1</v>
      </c>
      <c r="C1834" s="1">
        <v>1</v>
      </c>
      <c r="D1834" s="1">
        <v>8.8000000000000007</v>
      </c>
    </row>
    <row r="1835" spans="1:4" x14ac:dyDescent="0.25">
      <c r="A1835" s="16">
        <v>9356</v>
      </c>
      <c r="B1835" s="1">
        <v>1</v>
      </c>
      <c r="C1835" s="1">
        <v>1</v>
      </c>
      <c r="D1835" s="1">
        <v>14</v>
      </c>
    </row>
    <row r="1836" spans="1:4" x14ac:dyDescent="0.25">
      <c r="A1836" s="16">
        <v>9357</v>
      </c>
      <c r="B1836" s="1">
        <v>1</v>
      </c>
      <c r="C1836" s="1">
        <v>1</v>
      </c>
      <c r="D1836" s="1">
        <v>36</v>
      </c>
    </row>
    <row r="1837" spans="1:4" x14ac:dyDescent="0.25">
      <c r="A1837" s="16">
        <v>9358</v>
      </c>
      <c r="B1837" s="1">
        <v>1</v>
      </c>
      <c r="C1837" s="1">
        <v>1</v>
      </c>
      <c r="D1837" s="1">
        <v>8</v>
      </c>
    </row>
    <row r="1838" spans="1:4" x14ac:dyDescent="0.25">
      <c r="A1838" s="16">
        <v>9359</v>
      </c>
      <c r="B1838" s="1">
        <v>1</v>
      </c>
      <c r="C1838" s="1">
        <v>3</v>
      </c>
      <c r="D1838" s="1">
        <v>7.1999999999999993</v>
      </c>
    </row>
    <row r="1839" spans="1:4" x14ac:dyDescent="0.25">
      <c r="A1839" s="16">
        <v>9360</v>
      </c>
      <c r="B1839" s="1">
        <v>1</v>
      </c>
      <c r="C1839" s="1">
        <v>1</v>
      </c>
      <c r="D1839" s="1">
        <v>19.600000000000001</v>
      </c>
    </row>
    <row r="1840" spans="1:4" x14ac:dyDescent="0.25">
      <c r="A1840" s="16">
        <v>9361</v>
      </c>
      <c r="B1840" s="1">
        <v>1</v>
      </c>
      <c r="C1840" s="1">
        <v>1</v>
      </c>
      <c r="D1840" s="1">
        <v>7.6</v>
      </c>
    </row>
    <row r="1841" spans="1:4" x14ac:dyDescent="0.25">
      <c r="A1841" s="16">
        <v>9362</v>
      </c>
      <c r="B1841" s="1">
        <v>1</v>
      </c>
      <c r="C1841" s="1">
        <v>4</v>
      </c>
      <c r="D1841" s="1">
        <v>11.2</v>
      </c>
    </row>
    <row r="1842" spans="1:4" x14ac:dyDescent="0.25">
      <c r="A1842" s="16">
        <v>9363</v>
      </c>
      <c r="B1842" s="1">
        <v>1</v>
      </c>
      <c r="C1842" s="1">
        <v>1</v>
      </c>
      <c r="D1842" s="1">
        <v>6</v>
      </c>
    </row>
    <row r="1843" spans="1:4" x14ac:dyDescent="0.25">
      <c r="A1843" s="16">
        <v>9364</v>
      </c>
      <c r="B1843" s="1">
        <v>1</v>
      </c>
      <c r="C1843" s="1">
        <v>1</v>
      </c>
      <c r="D1843" s="1">
        <v>8.8000000000000007</v>
      </c>
    </row>
    <row r="1844" spans="1:4" x14ac:dyDescent="0.25">
      <c r="A1844" s="16">
        <v>9365</v>
      </c>
      <c r="B1844" s="1">
        <v>1</v>
      </c>
      <c r="C1844" s="1">
        <v>2</v>
      </c>
      <c r="D1844" s="1">
        <v>28</v>
      </c>
    </row>
    <row r="1845" spans="1:4" x14ac:dyDescent="0.25">
      <c r="A1845" s="16">
        <v>9366</v>
      </c>
      <c r="B1845" s="1">
        <v>1</v>
      </c>
      <c r="C1845" s="1">
        <v>1</v>
      </c>
      <c r="D1845" s="1">
        <v>14</v>
      </c>
    </row>
    <row r="1846" spans="1:4" x14ac:dyDescent="0.25">
      <c r="A1846" s="16">
        <v>9367</v>
      </c>
      <c r="B1846" s="1">
        <v>1</v>
      </c>
      <c r="C1846" s="1">
        <v>1</v>
      </c>
      <c r="D1846" s="1">
        <v>36</v>
      </c>
    </row>
    <row r="1847" spans="1:4" x14ac:dyDescent="0.25">
      <c r="A1847" s="16">
        <v>9368</v>
      </c>
      <c r="B1847" s="1">
        <v>1</v>
      </c>
      <c r="C1847" s="1">
        <v>1</v>
      </c>
      <c r="D1847" s="1">
        <v>8</v>
      </c>
    </row>
    <row r="1848" spans="1:4" x14ac:dyDescent="0.25">
      <c r="A1848" s="16">
        <v>9369</v>
      </c>
      <c r="B1848" s="1">
        <v>1</v>
      </c>
      <c r="C1848" s="1">
        <v>2</v>
      </c>
      <c r="D1848" s="1">
        <v>4.8</v>
      </c>
    </row>
    <row r="1849" spans="1:4" x14ac:dyDescent="0.25">
      <c r="A1849" s="16">
        <v>9370</v>
      </c>
      <c r="B1849" s="1">
        <v>1</v>
      </c>
      <c r="C1849" s="1">
        <v>1</v>
      </c>
      <c r="D1849" s="1">
        <v>19.600000000000001</v>
      </c>
    </row>
    <row r="1850" spans="1:4" x14ac:dyDescent="0.25">
      <c r="A1850" s="16">
        <v>9371</v>
      </c>
      <c r="B1850" s="1">
        <v>1</v>
      </c>
      <c r="C1850" s="1">
        <v>1</v>
      </c>
      <c r="D1850" s="1">
        <v>7.6</v>
      </c>
    </row>
    <row r="1851" spans="1:4" x14ac:dyDescent="0.25">
      <c r="A1851" s="16">
        <v>9372</v>
      </c>
      <c r="B1851" s="1">
        <v>1</v>
      </c>
      <c r="C1851" s="1">
        <v>4</v>
      </c>
      <c r="D1851" s="1">
        <v>11.2</v>
      </c>
    </row>
    <row r="1852" spans="1:4" x14ac:dyDescent="0.25">
      <c r="A1852" s="16">
        <v>9373</v>
      </c>
      <c r="B1852" s="1">
        <v>1</v>
      </c>
      <c r="C1852" s="1">
        <v>1</v>
      </c>
      <c r="D1852" s="1">
        <v>6</v>
      </c>
    </row>
    <row r="1853" spans="1:4" x14ac:dyDescent="0.25">
      <c r="A1853" s="16">
        <v>9374</v>
      </c>
      <c r="B1853" s="1">
        <v>1</v>
      </c>
      <c r="C1853" s="1">
        <v>1</v>
      </c>
      <c r="D1853" s="1">
        <v>8.8000000000000007</v>
      </c>
    </row>
    <row r="1854" spans="1:4" x14ac:dyDescent="0.25">
      <c r="A1854" s="16">
        <v>9375</v>
      </c>
      <c r="B1854" s="1">
        <v>1</v>
      </c>
      <c r="C1854" s="1">
        <v>2</v>
      </c>
      <c r="D1854" s="1">
        <v>28</v>
      </c>
    </row>
    <row r="1855" spans="1:4" x14ac:dyDescent="0.25">
      <c r="A1855" s="16">
        <v>9376</v>
      </c>
      <c r="B1855" s="1">
        <v>1</v>
      </c>
      <c r="C1855" s="1">
        <v>1</v>
      </c>
      <c r="D1855" s="1">
        <v>36</v>
      </c>
    </row>
    <row r="1856" spans="1:4" x14ac:dyDescent="0.25">
      <c r="A1856" s="16">
        <v>9377</v>
      </c>
      <c r="B1856" s="1">
        <v>1</v>
      </c>
      <c r="C1856" s="1">
        <v>1</v>
      </c>
      <c r="D1856" s="1">
        <v>8</v>
      </c>
    </row>
    <row r="1857" spans="1:4" x14ac:dyDescent="0.25">
      <c r="A1857" s="16">
        <v>9378</v>
      </c>
      <c r="B1857" s="1">
        <v>1</v>
      </c>
      <c r="C1857" s="1">
        <v>3</v>
      </c>
      <c r="D1857" s="1">
        <v>7.1999999999999993</v>
      </c>
    </row>
    <row r="1858" spans="1:4" x14ac:dyDescent="0.25">
      <c r="A1858" s="16">
        <v>9379</v>
      </c>
      <c r="B1858" s="1">
        <v>1</v>
      </c>
      <c r="C1858" s="1">
        <v>1</v>
      </c>
      <c r="D1858" s="1">
        <v>19.600000000000001</v>
      </c>
    </row>
    <row r="1859" spans="1:4" x14ac:dyDescent="0.25">
      <c r="A1859" s="16">
        <v>9380</v>
      </c>
      <c r="B1859" s="1">
        <v>1</v>
      </c>
      <c r="C1859" s="1">
        <v>1</v>
      </c>
      <c r="D1859" s="1">
        <v>7.6</v>
      </c>
    </row>
    <row r="1860" spans="1:4" x14ac:dyDescent="0.25">
      <c r="A1860" s="16">
        <v>9381</v>
      </c>
      <c r="B1860" s="1">
        <v>1</v>
      </c>
      <c r="C1860" s="1">
        <v>3</v>
      </c>
      <c r="D1860" s="1">
        <v>8.3999999999999986</v>
      </c>
    </row>
    <row r="1861" spans="1:4" x14ac:dyDescent="0.25">
      <c r="A1861" s="16">
        <v>9382</v>
      </c>
      <c r="B1861" s="1">
        <v>1</v>
      </c>
      <c r="C1861" s="1">
        <v>1</v>
      </c>
      <c r="D1861" s="1">
        <v>6</v>
      </c>
    </row>
    <row r="1862" spans="1:4" x14ac:dyDescent="0.25">
      <c r="A1862" s="16">
        <v>9383</v>
      </c>
      <c r="B1862" s="1">
        <v>1</v>
      </c>
      <c r="C1862" s="1">
        <v>1</v>
      </c>
      <c r="D1862" s="1">
        <v>8.8000000000000007</v>
      </c>
    </row>
    <row r="1863" spans="1:4" x14ac:dyDescent="0.25">
      <c r="A1863" s="16">
        <v>9384</v>
      </c>
      <c r="B1863" s="1">
        <v>1</v>
      </c>
      <c r="C1863" s="1">
        <v>1</v>
      </c>
      <c r="D1863" s="1">
        <v>14</v>
      </c>
    </row>
    <row r="1864" spans="1:4" x14ac:dyDescent="0.25">
      <c r="A1864" s="16">
        <v>9385</v>
      </c>
      <c r="B1864" s="1">
        <v>1</v>
      </c>
      <c r="C1864" s="1">
        <v>1</v>
      </c>
      <c r="D1864" s="1">
        <v>36</v>
      </c>
    </row>
    <row r="1865" spans="1:4" x14ac:dyDescent="0.25">
      <c r="A1865" s="16">
        <v>9386</v>
      </c>
      <c r="B1865" s="1">
        <v>1</v>
      </c>
      <c r="C1865" s="1">
        <v>1</v>
      </c>
      <c r="D1865" s="1">
        <v>8</v>
      </c>
    </row>
    <row r="1866" spans="1:4" x14ac:dyDescent="0.25">
      <c r="A1866" s="16">
        <v>9387</v>
      </c>
      <c r="B1866" s="1">
        <v>1</v>
      </c>
      <c r="C1866" s="1">
        <v>2</v>
      </c>
      <c r="D1866" s="1">
        <v>4.8</v>
      </c>
    </row>
    <row r="1867" spans="1:4" x14ac:dyDescent="0.25">
      <c r="A1867" s="16">
        <v>9388</v>
      </c>
      <c r="B1867" s="1">
        <v>1</v>
      </c>
      <c r="C1867" s="1">
        <v>1</v>
      </c>
      <c r="D1867" s="1">
        <v>19.600000000000001</v>
      </c>
    </row>
    <row r="1868" spans="1:4" x14ac:dyDescent="0.25">
      <c r="A1868" s="16">
        <v>9389</v>
      </c>
      <c r="B1868" s="1">
        <v>1</v>
      </c>
      <c r="C1868" s="1">
        <v>1</v>
      </c>
      <c r="D1868" s="1">
        <v>7.6</v>
      </c>
    </row>
    <row r="1869" spans="1:4" x14ac:dyDescent="0.25">
      <c r="A1869" s="16">
        <v>9390</v>
      </c>
      <c r="B1869" s="1">
        <v>1</v>
      </c>
      <c r="C1869" s="1">
        <v>3</v>
      </c>
      <c r="D1869" s="1">
        <v>8.3999999999999986</v>
      </c>
    </row>
    <row r="1870" spans="1:4" x14ac:dyDescent="0.25">
      <c r="A1870" s="16">
        <v>9391</v>
      </c>
      <c r="B1870" s="1">
        <v>1</v>
      </c>
      <c r="C1870" s="1">
        <v>1</v>
      </c>
      <c r="D1870" s="1">
        <v>6</v>
      </c>
    </row>
    <row r="1871" spans="1:4" x14ac:dyDescent="0.25">
      <c r="A1871" s="16">
        <v>9392</v>
      </c>
      <c r="B1871" s="1">
        <v>1</v>
      </c>
      <c r="C1871" s="1">
        <v>1</v>
      </c>
      <c r="D1871" s="1">
        <v>8.8000000000000007</v>
      </c>
    </row>
    <row r="1872" spans="1:4" x14ac:dyDescent="0.25">
      <c r="A1872" s="16">
        <v>9393</v>
      </c>
      <c r="B1872" s="1">
        <v>1</v>
      </c>
      <c r="C1872" s="1">
        <v>1</v>
      </c>
      <c r="D1872" s="1">
        <v>14</v>
      </c>
    </row>
    <row r="1873" spans="1:4" x14ac:dyDescent="0.25">
      <c r="A1873" s="16">
        <v>9394</v>
      </c>
      <c r="B1873" s="1">
        <v>1</v>
      </c>
      <c r="C1873" s="1">
        <v>1</v>
      </c>
      <c r="D1873" s="1">
        <v>36</v>
      </c>
    </row>
    <row r="1874" spans="1:4" x14ac:dyDescent="0.25">
      <c r="A1874" s="16">
        <v>9395</v>
      </c>
      <c r="B1874" s="1">
        <v>1</v>
      </c>
      <c r="C1874" s="1">
        <v>1</v>
      </c>
      <c r="D1874" s="1">
        <v>8</v>
      </c>
    </row>
    <row r="1875" spans="1:4" x14ac:dyDescent="0.25">
      <c r="A1875" s="16">
        <v>9396</v>
      </c>
      <c r="B1875" s="1">
        <v>1</v>
      </c>
      <c r="C1875" s="1">
        <v>2</v>
      </c>
      <c r="D1875" s="1">
        <v>4.8</v>
      </c>
    </row>
    <row r="1876" spans="1:4" x14ac:dyDescent="0.25">
      <c r="A1876" s="16">
        <v>9397</v>
      </c>
      <c r="B1876" s="1">
        <v>1</v>
      </c>
      <c r="C1876" s="1">
        <v>1</v>
      </c>
      <c r="D1876" s="1">
        <v>19.600000000000001</v>
      </c>
    </row>
    <row r="1877" spans="1:4" x14ac:dyDescent="0.25">
      <c r="A1877" s="16">
        <v>9398</v>
      </c>
      <c r="B1877" s="1">
        <v>1</v>
      </c>
      <c r="C1877" s="1">
        <v>1</v>
      </c>
      <c r="D1877" s="1">
        <v>7.6</v>
      </c>
    </row>
    <row r="1878" spans="1:4" x14ac:dyDescent="0.25">
      <c r="A1878" s="16">
        <v>9399</v>
      </c>
      <c r="B1878" s="1">
        <v>1</v>
      </c>
      <c r="C1878" s="1">
        <v>4</v>
      </c>
      <c r="D1878" s="1">
        <v>11.2</v>
      </c>
    </row>
    <row r="1879" spans="1:4" x14ac:dyDescent="0.25">
      <c r="A1879" s="16">
        <v>9400</v>
      </c>
      <c r="B1879" s="1">
        <v>1</v>
      </c>
      <c r="C1879" s="1">
        <v>1</v>
      </c>
      <c r="D1879" s="1">
        <v>6</v>
      </c>
    </row>
    <row r="1880" spans="1:4" x14ac:dyDescent="0.25">
      <c r="A1880" s="16">
        <v>9401</v>
      </c>
      <c r="B1880" s="1">
        <v>1</v>
      </c>
      <c r="C1880" s="1">
        <v>1</v>
      </c>
      <c r="D1880" s="1">
        <v>8.8000000000000007</v>
      </c>
    </row>
    <row r="1881" spans="1:4" x14ac:dyDescent="0.25">
      <c r="A1881" s="16">
        <v>9402</v>
      </c>
      <c r="B1881" s="1">
        <v>1</v>
      </c>
      <c r="C1881" s="1">
        <v>1</v>
      </c>
      <c r="D1881" s="1">
        <v>14</v>
      </c>
    </row>
    <row r="1882" spans="1:4" x14ac:dyDescent="0.25">
      <c r="A1882" s="16">
        <v>9403</v>
      </c>
      <c r="B1882" s="1">
        <v>1</v>
      </c>
      <c r="C1882" s="1">
        <v>1</v>
      </c>
      <c r="D1882" s="1">
        <v>36</v>
      </c>
    </row>
    <row r="1883" spans="1:4" x14ac:dyDescent="0.25">
      <c r="A1883" s="16">
        <v>9404</v>
      </c>
      <c r="B1883" s="1">
        <v>1</v>
      </c>
      <c r="C1883" s="1">
        <v>1</v>
      </c>
      <c r="D1883" s="1">
        <v>8</v>
      </c>
    </row>
    <row r="1884" spans="1:4" x14ac:dyDescent="0.25">
      <c r="A1884" s="16">
        <v>9405</v>
      </c>
      <c r="B1884" s="1">
        <v>1</v>
      </c>
      <c r="C1884" s="1">
        <v>3</v>
      </c>
      <c r="D1884" s="1">
        <v>7.1999999999999993</v>
      </c>
    </row>
    <row r="1885" spans="1:4" x14ac:dyDescent="0.25">
      <c r="A1885" s="16">
        <v>9406</v>
      </c>
      <c r="B1885" s="1">
        <v>1</v>
      </c>
      <c r="C1885" s="1">
        <v>1</v>
      </c>
      <c r="D1885" s="1">
        <v>19.600000000000001</v>
      </c>
    </row>
    <row r="1886" spans="1:4" x14ac:dyDescent="0.25">
      <c r="A1886" s="16">
        <v>9407</v>
      </c>
      <c r="B1886" s="1">
        <v>1</v>
      </c>
      <c r="C1886" s="1">
        <v>1</v>
      </c>
      <c r="D1886" s="1">
        <v>7.6</v>
      </c>
    </row>
    <row r="1887" spans="1:4" x14ac:dyDescent="0.25">
      <c r="A1887" s="16">
        <v>9408</v>
      </c>
      <c r="B1887" s="1">
        <v>1</v>
      </c>
      <c r="C1887" s="1">
        <v>3</v>
      </c>
      <c r="D1887" s="1">
        <v>8.3999999999999986</v>
      </c>
    </row>
    <row r="1888" spans="1:4" x14ac:dyDescent="0.25">
      <c r="A1888" s="16">
        <v>9409</v>
      </c>
      <c r="B1888" s="1">
        <v>1</v>
      </c>
      <c r="C1888" s="1">
        <v>1</v>
      </c>
      <c r="D1888" s="1">
        <v>6</v>
      </c>
    </row>
    <row r="1889" spans="1:4" x14ac:dyDescent="0.25">
      <c r="A1889" s="16">
        <v>9410</v>
      </c>
      <c r="B1889" s="1">
        <v>1</v>
      </c>
      <c r="C1889" s="1">
        <v>1</v>
      </c>
      <c r="D1889" s="1">
        <v>8.8000000000000007</v>
      </c>
    </row>
    <row r="1890" spans="1:4" x14ac:dyDescent="0.25">
      <c r="A1890" s="16">
        <v>9411</v>
      </c>
      <c r="B1890" s="1">
        <v>1</v>
      </c>
      <c r="C1890" s="1">
        <v>2</v>
      </c>
      <c r="D1890" s="1">
        <v>28</v>
      </c>
    </row>
    <row r="1891" spans="1:4" x14ac:dyDescent="0.25">
      <c r="A1891" s="16">
        <v>9412</v>
      </c>
      <c r="B1891" s="1">
        <v>1</v>
      </c>
      <c r="C1891" s="1">
        <v>1</v>
      </c>
      <c r="D1891" s="1">
        <v>36</v>
      </c>
    </row>
    <row r="1892" spans="1:4" x14ac:dyDescent="0.25">
      <c r="A1892" s="16">
        <v>9413</v>
      </c>
      <c r="B1892" s="1">
        <v>1</v>
      </c>
      <c r="C1892" s="1">
        <v>1</v>
      </c>
      <c r="D1892" s="1">
        <v>8</v>
      </c>
    </row>
    <row r="1893" spans="1:4" x14ac:dyDescent="0.25">
      <c r="A1893" s="16">
        <v>9414</v>
      </c>
      <c r="B1893" s="1">
        <v>1</v>
      </c>
      <c r="C1893" s="1">
        <v>2</v>
      </c>
      <c r="D1893" s="1">
        <v>4.8</v>
      </c>
    </row>
    <row r="1894" spans="1:4" x14ac:dyDescent="0.25">
      <c r="A1894" s="16">
        <v>9415</v>
      </c>
      <c r="B1894" s="1">
        <v>1</v>
      </c>
      <c r="C1894" s="1">
        <v>1</v>
      </c>
      <c r="D1894" s="1">
        <v>19.600000000000001</v>
      </c>
    </row>
    <row r="1895" spans="1:4" x14ac:dyDescent="0.25">
      <c r="A1895" s="16">
        <v>9416</v>
      </c>
      <c r="B1895" s="1">
        <v>1</v>
      </c>
      <c r="C1895" s="1">
        <v>1</v>
      </c>
      <c r="D1895" s="1">
        <v>7.6</v>
      </c>
    </row>
    <row r="1896" spans="1:4" x14ac:dyDescent="0.25">
      <c r="A1896" s="16">
        <v>9417</v>
      </c>
      <c r="B1896" s="1">
        <v>1</v>
      </c>
      <c r="C1896" s="1">
        <v>4</v>
      </c>
      <c r="D1896" s="1">
        <v>11.2</v>
      </c>
    </row>
    <row r="1897" spans="1:4" x14ac:dyDescent="0.25">
      <c r="A1897" s="16">
        <v>9418</v>
      </c>
      <c r="B1897" s="1">
        <v>1</v>
      </c>
      <c r="C1897" s="1">
        <v>1</v>
      </c>
      <c r="D1897" s="1">
        <v>6</v>
      </c>
    </row>
    <row r="1898" spans="1:4" x14ac:dyDescent="0.25">
      <c r="A1898" s="16">
        <v>9419</v>
      </c>
      <c r="B1898" s="1">
        <v>1</v>
      </c>
      <c r="C1898" s="1">
        <v>1</v>
      </c>
      <c r="D1898" s="1">
        <v>8.8000000000000007</v>
      </c>
    </row>
    <row r="1899" spans="1:4" x14ac:dyDescent="0.25">
      <c r="A1899" s="16">
        <v>9420</v>
      </c>
      <c r="B1899" s="1">
        <v>1</v>
      </c>
      <c r="C1899" s="1">
        <v>2</v>
      </c>
      <c r="D1899" s="1">
        <v>28</v>
      </c>
    </row>
    <row r="1900" spans="1:4" x14ac:dyDescent="0.25">
      <c r="A1900" s="16">
        <v>9421</v>
      </c>
      <c r="B1900" s="1">
        <v>1</v>
      </c>
      <c r="C1900" s="1">
        <v>1</v>
      </c>
      <c r="D1900" s="1">
        <v>36</v>
      </c>
    </row>
    <row r="1901" spans="1:4" x14ac:dyDescent="0.25">
      <c r="A1901" s="16">
        <v>9422</v>
      </c>
      <c r="B1901" s="1">
        <v>1</v>
      </c>
      <c r="C1901" s="1">
        <v>1</v>
      </c>
      <c r="D1901" s="1">
        <v>8</v>
      </c>
    </row>
    <row r="1902" spans="1:4" x14ac:dyDescent="0.25">
      <c r="A1902" s="16">
        <v>9423</v>
      </c>
      <c r="B1902" s="1">
        <v>1</v>
      </c>
      <c r="C1902" s="1">
        <v>2</v>
      </c>
      <c r="D1902" s="1">
        <v>4.8</v>
      </c>
    </row>
    <row r="1903" spans="1:4" x14ac:dyDescent="0.25">
      <c r="A1903" s="16">
        <v>9424</v>
      </c>
      <c r="B1903" s="1">
        <v>1</v>
      </c>
      <c r="C1903" s="1">
        <v>1</v>
      </c>
      <c r="D1903" s="1">
        <v>19.600000000000001</v>
      </c>
    </row>
    <row r="1904" spans="1:4" x14ac:dyDescent="0.25">
      <c r="A1904" s="16">
        <v>9425</v>
      </c>
      <c r="B1904" s="1">
        <v>1</v>
      </c>
      <c r="C1904" s="1">
        <v>1</v>
      </c>
      <c r="D1904" s="1">
        <v>7.6</v>
      </c>
    </row>
    <row r="1905" spans="1:4" x14ac:dyDescent="0.25">
      <c r="A1905" s="16">
        <v>9426</v>
      </c>
      <c r="B1905" s="1">
        <v>1</v>
      </c>
      <c r="C1905" s="1">
        <v>3</v>
      </c>
      <c r="D1905" s="1">
        <v>8.3999999999999986</v>
      </c>
    </row>
    <row r="1906" spans="1:4" x14ac:dyDescent="0.25">
      <c r="A1906" s="16">
        <v>9427</v>
      </c>
      <c r="B1906" s="1">
        <v>1</v>
      </c>
      <c r="C1906" s="1">
        <v>1</v>
      </c>
      <c r="D1906" s="1">
        <v>6</v>
      </c>
    </row>
    <row r="1907" spans="1:4" x14ac:dyDescent="0.25">
      <c r="A1907" s="16">
        <v>9428</v>
      </c>
      <c r="B1907" s="1">
        <v>1</v>
      </c>
      <c r="C1907" s="1">
        <v>1</v>
      </c>
      <c r="D1907" s="1">
        <v>8.8000000000000007</v>
      </c>
    </row>
    <row r="1908" spans="1:4" x14ac:dyDescent="0.25">
      <c r="A1908" s="16">
        <v>9429</v>
      </c>
      <c r="B1908" s="1">
        <v>1</v>
      </c>
      <c r="C1908" s="1">
        <v>1</v>
      </c>
      <c r="D1908" s="1">
        <v>14</v>
      </c>
    </row>
    <row r="1909" spans="1:4" x14ac:dyDescent="0.25">
      <c r="A1909" s="16">
        <v>9430</v>
      </c>
      <c r="B1909" s="1">
        <v>1</v>
      </c>
      <c r="C1909" s="1">
        <v>1</v>
      </c>
      <c r="D1909" s="1">
        <v>36</v>
      </c>
    </row>
    <row r="1910" spans="1:4" x14ac:dyDescent="0.25">
      <c r="A1910" s="16">
        <v>9431</v>
      </c>
      <c r="B1910" s="1">
        <v>1</v>
      </c>
      <c r="C1910" s="1">
        <v>1</v>
      </c>
      <c r="D1910" s="1">
        <v>8</v>
      </c>
    </row>
    <row r="1911" spans="1:4" x14ac:dyDescent="0.25">
      <c r="A1911" s="16">
        <v>9432</v>
      </c>
      <c r="B1911" s="1">
        <v>1</v>
      </c>
      <c r="C1911" s="1">
        <v>2</v>
      </c>
      <c r="D1911" s="1">
        <v>4.8</v>
      </c>
    </row>
    <row r="1912" spans="1:4" x14ac:dyDescent="0.25">
      <c r="A1912" s="16">
        <v>9433</v>
      </c>
      <c r="B1912" s="1">
        <v>1</v>
      </c>
      <c r="C1912" s="1">
        <v>1</v>
      </c>
      <c r="D1912" s="1">
        <v>19.600000000000001</v>
      </c>
    </row>
    <row r="1913" spans="1:4" x14ac:dyDescent="0.25">
      <c r="A1913" s="16">
        <v>9434</v>
      </c>
      <c r="B1913" s="1">
        <v>1</v>
      </c>
      <c r="C1913" s="1">
        <v>1</v>
      </c>
      <c r="D1913" s="1">
        <v>7.6</v>
      </c>
    </row>
    <row r="1914" spans="1:4" x14ac:dyDescent="0.25">
      <c r="A1914" s="16">
        <v>9435</v>
      </c>
      <c r="B1914" s="1">
        <v>1</v>
      </c>
      <c r="C1914" s="1">
        <v>4</v>
      </c>
      <c r="D1914" s="1">
        <v>11.2</v>
      </c>
    </row>
    <row r="1915" spans="1:4" x14ac:dyDescent="0.25">
      <c r="A1915" s="16">
        <v>9436</v>
      </c>
      <c r="B1915" s="1">
        <v>1</v>
      </c>
      <c r="C1915" s="1">
        <v>1</v>
      </c>
      <c r="D1915" s="1">
        <v>6</v>
      </c>
    </row>
    <row r="1916" spans="1:4" x14ac:dyDescent="0.25">
      <c r="A1916" s="16">
        <v>9437</v>
      </c>
      <c r="B1916" s="1">
        <v>1</v>
      </c>
      <c r="C1916" s="1">
        <v>1</v>
      </c>
      <c r="D1916" s="1">
        <v>8.8000000000000007</v>
      </c>
    </row>
    <row r="1917" spans="1:4" x14ac:dyDescent="0.25">
      <c r="A1917" s="16">
        <v>9438</v>
      </c>
      <c r="B1917" s="1">
        <v>1</v>
      </c>
      <c r="C1917" s="1">
        <v>1</v>
      </c>
      <c r="D1917" s="1">
        <v>14</v>
      </c>
    </row>
    <row r="1918" spans="1:4" x14ac:dyDescent="0.25">
      <c r="A1918" s="16">
        <v>9439</v>
      </c>
      <c r="B1918" s="1">
        <v>1</v>
      </c>
      <c r="C1918" s="1">
        <v>1</v>
      </c>
      <c r="D1918" s="1">
        <v>36</v>
      </c>
    </row>
    <row r="1919" spans="1:4" x14ac:dyDescent="0.25">
      <c r="A1919" s="16">
        <v>9440</v>
      </c>
      <c r="B1919" s="1">
        <v>1</v>
      </c>
      <c r="C1919" s="1">
        <v>1</v>
      </c>
      <c r="D1919" s="1">
        <v>8</v>
      </c>
    </row>
    <row r="1920" spans="1:4" x14ac:dyDescent="0.25">
      <c r="A1920" s="16">
        <v>9441</v>
      </c>
      <c r="B1920" s="1">
        <v>1</v>
      </c>
      <c r="C1920" s="1">
        <v>3</v>
      </c>
      <c r="D1920" s="1">
        <v>7.1999999999999993</v>
      </c>
    </row>
    <row r="1921" spans="1:4" x14ac:dyDescent="0.25">
      <c r="A1921" s="16">
        <v>9442</v>
      </c>
      <c r="B1921" s="1">
        <v>1</v>
      </c>
      <c r="C1921" s="1">
        <v>1</v>
      </c>
      <c r="D1921" s="1">
        <v>19.600000000000001</v>
      </c>
    </row>
    <row r="1922" spans="1:4" x14ac:dyDescent="0.25">
      <c r="A1922" s="16">
        <v>9443</v>
      </c>
      <c r="B1922" s="1">
        <v>1</v>
      </c>
      <c r="C1922" s="1">
        <v>1</v>
      </c>
      <c r="D1922" s="1">
        <v>7.6</v>
      </c>
    </row>
    <row r="1923" spans="1:4" x14ac:dyDescent="0.25">
      <c r="A1923" s="16">
        <v>9444</v>
      </c>
      <c r="B1923" s="1">
        <v>1</v>
      </c>
      <c r="C1923" s="1">
        <v>4</v>
      </c>
      <c r="D1923" s="1">
        <v>11.2</v>
      </c>
    </row>
    <row r="1924" spans="1:4" x14ac:dyDescent="0.25">
      <c r="A1924" s="16">
        <v>9446</v>
      </c>
      <c r="B1924" s="1">
        <v>1</v>
      </c>
      <c r="C1924" s="1">
        <v>1</v>
      </c>
      <c r="D1924" s="1">
        <v>8.8000000000000007</v>
      </c>
    </row>
    <row r="1925" spans="1:4" x14ac:dyDescent="0.25">
      <c r="A1925" s="16">
        <v>9447</v>
      </c>
      <c r="B1925" s="1">
        <v>1</v>
      </c>
      <c r="C1925" s="1">
        <v>1</v>
      </c>
      <c r="D1925" s="1">
        <v>14</v>
      </c>
    </row>
    <row r="1926" spans="1:4" x14ac:dyDescent="0.25">
      <c r="A1926" s="16">
        <v>9448</v>
      </c>
      <c r="B1926" s="1">
        <v>1</v>
      </c>
      <c r="C1926" s="1">
        <v>1</v>
      </c>
      <c r="D1926" s="1">
        <v>36</v>
      </c>
    </row>
    <row r="1927" spans="1:4" x14ac:dyDescent="0.25">
      <c r="A1927" s="16">
        <v>9449</v>
      </c>
      <c r="B1927" s="1">
        <v>1</v>
      </c>
      <c r="C1927" s="1">
        <v>1</v>
      </c>
      <c r="D1927" s="1">
        <v>8</v>
      </c>
    </row>
    <row r="1928" spans="1:4" x14ac:dyDescent="0.25">
      <c r="A1928" s="16">
        <v>9450</v>
      </c>
      <c r="B1928" s="1">
        <v>1</v>
      </c>
      <c r="C1928" s="1">
        <v>3</v>
      </c>
      <c r="D1928" s="1">
        <v>7.1999999999999993</v>
      </c>
    </row>
    <row r="1929" spans="1:4" x14ac:dyDescent="0.25">
      <c r="A1929" s="16">
        <v>9451</v>
      </c>
      <c r="B1929" s="1">
        <v>1</v>
      </c>
      <c r="C1929" s="1">
        <v>1</v>
      </c>
      <c r="D1929" s="1">
        <v>19.600000000000001</v>
      </c>
    </row>
    <row r="1930" spans="1:4" x14ac:dyDescent="0.25">
      <c r="A1930" s="16">
        <v>9452</v>
      </c>
      <c r="B1930" s="1">
        <v>1</v>
      </c>
      <c r="C1930" s="1">
        <v>1</v>
      </c>
      <c r="D1930" s="1">
        <v>7.6</v>
      </c>
    </row>
    <row r="1931" spans="1:4" x14ac:dyDescent="0.25">
      <c r="A1931" s="16">
        <v>9453</v>
      </c>
      <c r="B1931" s="1">
        <v>1</v>
      </c>
      <c r="C1931" s="1">
        <v>3</v>
      </c>
      <c r="D1931" s="1">
        <v>8.3999999999999986</v>
      </c>
    </row>
    <row r="1932" spans="1:4" x14ac:dyDescent="0.25">
      <c r="A1932" s="16">
        <v>9454</v>
      </c>
      <c r="B1932" s="1">
        <v>1</v>
      </c>
      <c r="C1932" s="1">
        <v>1</v>
      </c>
      <c r="D1932" s="1">
        <v>6</v>
      </c>
    </row>
    <row r="1933" spans="1:4" x14ac:dyDescent="0.25">
      <c r="A1933" s="16">
        <v>9455</v>
      </c>
      <c r="B1933" s="1">
        <v>1</v>
      </c>
      <c r="C1933" s="1">
        <v>1</v>
      </c>
      <c r="D1933" s="1">
        <v>8.8000000000000007</v>
      </c>
    </row>
    <row r="1934" spans="1:4" x14ac:dyDescent="0.25">
      <c r="A1934" s="16">
        <v>9456</v>
      </c>
      <c r="B1934" s="1">
        <v>1</v>
      </c>
      <c r="C1934" s="1">
        <v>1</v>
      </c>
      <c r="D1934" s="1">
        <v>14</v>
      </c>
    </row>
    <row r="1935" spans="1:4" x14ac:dyDescent="0.25">
      <c r="A1935" s="16">
        <v>9457</v>
      </c>
      <c r="B1935" s="1">
        <v>1</v>
      </c>
      <c r="C1935" s="1">
        <v>1</v>
      </c>
      <c r="D1935" s="1">
        <v>36</v>
      </c>
    </row>
    <row r="1936" spans="1:4" x14ac:dyDescent="0.25">
      <c r="A1936" s="16">
        <v>9458</v>
      </c>
      <c r="B1936" s="1">
        <v>1</v>
      </c>
      <c r="C1936" s="1">
        <v>1</v>
      </c>
      <c r="D1936" s="1">
        <v>8</v>
      </c>
    </row>
    <row r="1937" spans="1:4" x14ac:dyDescent="0.25">
      <c r="A1937" s="16">
        <v>9459</v>
      </c>
      <c r="B1937" s="1">
        <v>1</v>
      </c>
      <c r="C1937" s="1">
        <v>2</v>
      </c>
      <c r="D1937" s="1">
        <v>4.8</v>
      </c>
    </row>
    <row r="1938" spans="1:4" x14ac:dyDescent="0.25">
      <c r="A1938" s="16">
        <v>9460</v>
      </c>
      <c r="B1938" s="1">
        <v>1</v>
      </c>
      <c r="C1938" s="1">
        <v>1</v>
      </c>
      <c r="D1938" s="1">
        <v>19.600000000000001</v>
      </c>
    </row>
    <row r="1939" spans="1:4" x14ac:dyDescent="0.25">
      <c r="A1939" s="16">
        <v>9461</v>
      </c>
      <c r="B1939" s="1">
        <v>1</v>
      </c>
      <c r="C1939" s="1">
        <v>1</v>
      </c>
      <c r="D1939" s="1">
        <v>7.6</v>
      </c>
    </row>
    <row r="1940" spans="1:4" x14ac:dyDescent="0.25">
      <c r="A1940" s="16">
        <v>9462</v>
      </c>
      <c r="B1940" s="1">
        <v>1</v>
      </c>
      <c r="C1940" s="1">
        <v>5</v>
      </c>
      <c r="D1940" s="1">
        <v>14</v>
      </c>
    </row>
    <row r="1941" spans="1:4" x14ac:dyDescent="0.25">
      <c r="A1941" s="16">
        <v>9463</v>
      </c>
      <c r="B1941" s="1">
        <v>1</v>
      </c>
      <c r="C1941" s="1">
        <v>1</v>
      </c>
      <c r="D1941" s="1">
        <v>6</v>
      </c>
    </row>
    <row r="1942" spans="1:4" x14ac:dyDescent="0.25">
      <c r="A1942" s="16">
        <v>9464</v>
      </c>
      <c r="B1942" s="1">
        <v>1</v>
      </c>
      <c r="C1942" s="1">
        <v>1</v>
      </c>
      <c r="D1942" s="1">
        <v>8.8000000000000007</v>
      </c>
    </row>
    <row r="1943" spans="1:4" x14ac:dyDescent="0.25">
      <c r="A1943" s="16">
        <v>9465</v>
      </c>
      <c r="B1943" s="1">
        <v>1</v>
      </c>
      <c r="C1943" s="1">
        <v>1</v>
      </c>
      <c r="D1943" s="1">
        <v>14</v>
      </c>
    </row>
    <row r="1944" spans="1:4" x14ac:dyDescent="0.25">
      <c r="A1944" s="16">
        <v>9466</v>
      </c>
      <c r="B1944" s="1">
        <v>1</v>
      </c>
      <c r="C1944" s="1">
        <v>1</v>
      </c>
      <c r="D1944" s="1">
        <v>36</v>
      </c>
    </row>
    <row r="1945" spans="1:4" x14ac:dyDescent="0.25">
      <c r="A1945" s="16">
        <v>9467</v>
      </c>
      <c r="B1945" s="1">
        <v>1</v>
      </c>
      <c r="C1945" s="1">
        <v>1</v>
      </c>
      <c r="D1945" s="1">
        <v>8</v>
      </c>
    </row>
    <row r="1946" spans="1:4" x14ac:dyDescent="0.25">
      <c r="A1946" s="16">
        <v>9468</v>
      </c>
      <c r="B1946" s="1">
        <v>1</v>
      </c>
      <c r="C1946" s="1">
        <v>2</v>
      </c>
      <c r="D1946" s="1">
        <v>4.8</v>
      </c>
    </row>
    <row r="1947" spans="1:4" x14ac:dyDescent="0.25">
      <c r="A1947" s="16">
        <v>9469</v>
      </c>
      <c r="B1947" s="1">
        <v>1</v>
      </c>
      <c r="C1947" s="1">
        <v>1</v>
      </c>
      <c r="D1947" s="1">
        <v>19.600000000000001</v>
      </c>
    </row>
    <row r="1948" spans="1:4" x14ac:dyDescent="0.25">
      <c r="A1948" s="16">
        <v>9470</v>
      </c>
      <c r="B1948" s="1">
        <v>1</v>
      </c>
      <c r="C1948" s="1">
        <v>1</v>
      </c>
      <c r="D1948" s="1">
        <v>7.6</v>
      </c>
    </row>
    <row r="1949" spans="1:4" x14ac:dyDescent="0.25">
      <c r="A1949" s="16">
        <v>9471</v>
      </c>
      <c r="B1949" s="1">
        <v>1</v>
      </c>
      <c r="C1949" s="1">
        <v>3</v>
      </c>
      <c r="D1949" s="1">
        <v>8.3999999999999986</v>
      </c>
    </row>
    <row r="1950" spans="1:4" x14ac:dyDescent="0.25">
      <c r="A1950" s="16">
        <v>9472</v>
      </c>
      <c r="B1950" s="1">
        <v>1</v>
      </c>
      <c r="C1950" s="1">
        <v>1</v>
      </c>
      <c r="D1950" s="1">
        <v>6</v>
      </c>
    </row>
    <row r="1951" spans="1:4" x14ac:dyDescent="0.25">
      <c r="A1951" s="16">
        <v>9473</v>
      </c>
      <c r="B1951" s="1">
        <v>1</v>
      </c>
      <c r="C1951" s="1">
        <v>1</v>
      </c>
      <c r="D1951" s="1">
        <v>8.8000000000000007</v>
      </c>
    </row>
    <row r="1952" spans="1:4" x14ac:dyDescent="0.25">
      <c r="A1952" s="16">
        <v>9474</v>
      </c>
      <c r="B1952" s="1">
        <v>1</v>
      </c>
      <c r="C1952" s="1">
        <v>2</v>
      </c>
      <c r="D1952" s="1">
        <v>28</v>
      </c>
    </row>
    <row r="1953" spans="1:4" x14ac:dyDescent="0.25">
      <c r="A1953" s="16">
        <v>9475</v>
      </c>
      <c r="B1953" s="1">
        <v>1</v>
      </c>
      <c r="C1953" s="1">
        <v>1</v>
      </c>
      <c r="D1953" s="1">
        <v>36</v>
      </c>
    </row>
    <row r="1954" spans="1:4" x14ac:dyDescent="0.25">
      <c r="A1954" s="16">
        <v>9476</v>
      </c>
      <c r="B1954" s="1">
        <v>1</v>
      </c>
      <c r="C1954" s="1">
        <v>1</v>
      </c>
      <c r="D1954" s="1">
        <v>8</v>
      </c>
    </row>
    <row r="1955" spans="1:4" x14ac:dyDescent="0.25">
      <c r="A1955" s="16">
        <v>9477</v>
      </c>
      <c r="B1955" s="1">
        <v>1</v>
      </c>
      <c r="C1955" s="1">
        <v>2</v>
      </c>
      <c r="D1955" s="1">
        <v>4.8</v>
      </c>
    </row>
    <row r="1956" spans="1:4" x14ac:dyDescent="0.25">
      <c r="A1956" s="16">
        <v>9478</v>
      </c>
      <c r="B1956" s="1">
        <v>1</v>
      </c>
      <c r="C1956" s="1">
        <v>1</v>
      </c>
      <c r="D1956" s="1">
        <v>19.600000000000001</v>
      </c>
    </row>
    <row r="1957" spans="1:4" x14ac:dyDescent="0.25">
      <c r="A1957" s="16">
        <v>9479</v>
      </c>
      <c r="B1957" s="1">
        <v>1</v>
      </c>
      <c r="C1957" s="1">
        <v>1</v>
      </c>
      <c r="D1957" s="1">
        <v>7.6</v>
      </c>
    </row>
    <row r="1958" spans="1:4" x14ac:dyDescent="0.25">
      <c r="A1958" s="16">
        <v>9480</v>
      </c>
      <c r="B1958" s="1">
        <v>1</v>
      </c>
      <c r="C1958" s="1">
        <v>4</v>
      </c>
      <c r="D1958" s="1">
        <v>11.2</v>
      </c>
    </row>
    <row r="1959" spans="1:4" x14ac:dyDescent="0.25">
      <c r="A1959" s="16">
        <v>9481</v>
      </c>
      <c r="B1959" s="1">
        <v>1</v>
      </c>
      <c r="C1959" s="1">
        <v>1</v>
      </c>
      <c r="D1959" s="1">
        <v>6</v>
      </c>
    </row>
    <row r="1960" spans="1:4" x14ac:dyDescent="0.25">
      <c r="A1960" s="16">
        <v>9482</v>
      </c>
      <c r="B1960" s="1">
        <v>1</v>
      </c>
      <c r="C1960" s="1">
        <v>1</v>
      </c>
      <c r="D1960" s="1">
        <v>8.8000000000000007</v>
      </c>
    </row>
    <row r="1961" spans="1:4" x14ac:dyDescent="0.25">
      <c r="A1961" s="16">
        <v>9483</v>
      </c>
      <c r="B1961" s="1">
        <v>1</v>
      </c>
      <c r="C1961" s="1">
        <v>1</v>
      </c>
      <c r="D1961" s="1">
        <v>14</v>
      </c>
    </row>
    <row r="1962" spans="1:4" x14ac:dyDescent="0.25">
      <c r="A1962" s="16">
        <v>9484</v>
      </c>
      <c r="B1962" s="1">
        <v>1</v>
      </c>
      <c r="C1962" s="1">
        <v>1</v>
      </c>
      <c r="D1962" s="1">
        <v>36</v>
      </c>
    </row>
    <row r="1963" spans="1:4" x14ac:dyDescent="0.25">
      <c r="A1963" s="16">
        <v>9485</v>
      </c>
      <c r="B1963" s="1">
        <v>1</v>
      </c>
      <c r="C1963" s="1">
        <v>1</v>
      </c>
      <c r="D1963" s="1">
        <v>8</v>
      </c>
    </row>
    <row r="1964" spans="1:4" x14ac:dyDescent="0.25">
      <c r="A1964" s="16">
        <v>9486</v>
      </c>
      <c r="B1964" s="1">
        <v>1</v>
      </c>
      <c r="C1964" s="1">
        <v>2</v>
      </c>
      <c r="D1964" s="1">
        <v>4.8</v>
      </c>
    </row>
    <row r="1965" spans="1:4" x14ac:dyDescent="0.25">
      <c r="A1965" s="16">
        <v>9487</v>
      </c>
      <c r="B1965" s="1">
        <v>1</v>
      </c>
      <c r="C1965" s="1">
        <v>1</v>
      </c>
      <c r="D1965" s="1">
        <v>19.600000000000001</v>
      </c>
    </row>
    <row r="1966" spans="1:4" x14ac:dyDescent="0.25">
      <c r="A1966" s="16">
        <v>9488</v>
      </c>
      <c r="B1966" s="1">
        <v>1</v>
      </c>
      <c r="C1966" s="1">
        <v>1</v>
      </c>
      <c r="D1966" s="1">
        <v>7.6</v>
      </c>
    </row>
    <row r="1967" spans="1:4" x14ac:dyDescent="0.25">
      <c r="A1967" s="16">
        <v>9489</v>
      </c>
      <c r="B1967" s="1">
        <v>1</v>
      </c>
      <c r="C1967" s="1">
        <v>4</v>
      </c>
      <c r="D1967" s="1">
        <v>11.2</v>
      </c>
    </row>
    <row r="1968" spans="1:4" x14ac:dyDescent="0.25">
      <c r="A1968" s="16">
        <v>9490</v>
      </c>
      <c r="B1968" s="1">
        <v>1</v>
      </c>
      <c r="C1968" s="1">
        <v>1</v>
      </c>
      <c r="D1968" s="1">
        <v>6</v>
      </c>
    </row>
    <row r="1969" spans="1:4" x14ac:dyDescent="0.25">
      <c r="A1969" s="16">
        <v>9491</v>
      </c>
      <c r="B1969" s="1">
        <v>1</v>
      </c>
      <c r="C1969" s="1">
        <v>1</v>
      </c>
      <c r="D1969" s="1">
        <v>8.8000000000000007</v>
      </c>
    </row>
    <row r="1970" spans="1:4" x14ac:dyDescent="0.25">
      <c r="A1970" s="16">
        <v>9492</v>
      </c>
      <c r="B1970" s="1">
        <v>1</v>
      </c>
      <c r="C1970" s="1">
        <v>2</v>
      </c>
      <c r="D1970" s="1">
        <v>28</v>
      </c>
    </row>
    <row r="1971" spans="1:4" x14ac:dyDescent="0.25">
      <c r="A1971" s="16">
        <v>9493</v>
      </c>
      <c r="B1971" s="1">
        <v>1</v>
      </c>
      <c r="C1971" s="1">
        <v>1</v>
      </c>
      <c r="D1971" s="1">
        <v>36</v>
      </c>
    </row>
    <row r="1972" spans="1:4" x14ac:dyDescent="0.25">
      <c r="A1972" s="16">
        <v>9494</v>
      </c>
      <c r="B1972" s="1">
        <v>1</v>
      </c>
      <c r="C1972" s="1">
        <v>1</v>
      </c>
      <c r="D1972" s="1">
        <v>8</v>
      </c>
    </row>
    <row r="1973" spans="1:4" x14ac:dyDescent="0.25">
      <c r="A1973" s="16">
        <v>9495</v>
      </c>
      <c r="B1973" s="1">
        <v>1</v>
      </c>
      <c r="C1973" s="1">
        <v>2</v>
      </c>
      <c r="D1973" s="1">
        <v>4.8</v>
      </c>
    </row>
    <row r="1974" spans="1:4" x14ac:dyDescent="0.25">
      <c r="A1974" s="16">
        <v>9496</v>
      </c>
      <c r="B1974" s="1">
        <v>1</v>
      </c>
      <c r="C1974" s="1">
        <v>1</v>
      </c>
      <c r="D1974" s="1">
        <v>19.600000000000001</v>
      </c>
    </row>
    <row r="1975" spans="1:4" x14ac:dyDescent="0.25">
      <c r="A1975" s="16">
        <v>9497</v>
      </c>
      <c r="B1975" s="1">
        <v>1</v>
      </c>
      <c r="C1975" s="1">
        <v>1</v>
      </c>
      <c r="D1975" s="1">
        <v>7.6</v>
      </c>
    </row>
    <row r="1976" spans="1:4" x14ac:dyDescent="0.25">
      <c r="A1976" s="16">
        <v>9498</v>
      </c>
      <c r="B1976" s="1">
        <v>1</v>
      </c>
      <c r="C1976" s="1">
        <v>3</v>
      </c>
      <c r="D1976" s="1">
        <v>8.3999999999999986</v>
      </c>
    </row>
    <row r="1977" spans="1:4" x14ac:dyDescent="0.25">
      <c r="A1977" s="16">
        <v>9499</v>
      </c>
      <c r="B1977" s="1">
        <v>1</v>
      </c>
      <c r="C1977" s="1">
        <v>1</v>
      </c>
      <c r="D1977" s="1">
        <v>6</v>
      </c>
    </row>
    <row r="1978" spans="1:4" x14ac:dyDescent="0.25">
      <c r="A1978" s="16">
        <v>9500</v>
      </c>
      <c r="B1978" s="1">
        <v>1</v>
      </c>
      <c r="C1978" s="1">
        <v>1</v>
      </c>
      <c r="D1978" s="1">
        <v>8.8000000000000007</v>
      </c>
    </row>
    <row r="1979" spans="1:4" x14ac:dyDescent="0.25">
      <c r="A1979" s="16">
        <v>9501</v>
      </c>
      <c r="B1979" s="1">
        <v>1</v>
      </c>
      <c r="C1979" s="1">
        <v>1</v>
      </c>
      <c r="D1979" s="1">
        <v>14</v>
      </c>
    </row>
    <row r="1980" spans="1:4" x14ac:dyDescent="0.25">
      <c r="A1980" s="16">
        <v>9502</v>
      </c>
      <c r="B1980" s="1">
        <v>1</v>
      </c>
      <c r="C1980" s="1">
        <v>1</v>
      </c>
      <c r="D1980" s="1">
        <v>36</v>
      </c>
    </row>
    <row r="1981" spans="1:4" x14ac:dyDescent="0.25">
      <c r="A1981" s="16">
        <v>9503</v>
      </c>
      <c r="B1981" s="1">
        <v>1</v>
      </c>
      <c r="C1981" s="1">
        <v>1</v>
      </c>
      <c r="D1981" s="1">
        <v>8</v>
      </c>
    </row>
    <row r="1982" spans="1:4" x14ac:dyDescent="0.25">
      <c r="A1982" s="16">
        <v>9504</v>
      </c>
      <c r="B1982" s="1">
        <v>1</v>
      </c>
      <c r="C1982" s="1">
        <v>3</v>
      </c>
      <c r="D1982" s="1">
        <v>7.1999999999999993</v>
      </c>
    </row>
    <row r="1983" spans="1:4" x14ac:dyDescent="0.25">
      <c r="A1983" s="16">
        <v>9505</v>
      </c>
      <c r="B1983" s="1">
        <v>1</v>
      </c>
      <c r="C1983" s="1">
        <v>1</v>
      </c>
      <c r="D1983" s="1">
        <v>19.600000000000001</v>
      </c>
    </row>
    <row r="1984" spans="1:4" x14ac:dyDescent="0.25">
      <c r="A1984" s="16">
        <v>9506</v>
      </c>
      <c r="B1984" s="1">
        <v>1</v>
      </c>
      <c r="C1984" s="1">
        <v>1</v>
      </c>
      <c r="D1984" s="1">
        <v>7.6</v>
      </c>
    </row>
    <row r="1985" spans="1:4" x14ac:dyDescent="0.25">
      <c r="A1985" s="16">
        <v>9507</v>
      </c>
      <c r="B1985" s="1">
        <v>1</v>
      </c>
      <c r="C1985" s="1">
        <v>4</v>
      </c>
      <c r="D1985" s="1">
        <v>11.2</v>
      </c>
    </row>
    <row r="1986" spans="1:4" x14ac:dyDescent="0.25">
      <c r="A1986" s="16">
        <v>9508</v>
      </c>
      <c r="B1986" s="1">
        <v>1</v>
      </c>
      <c r="C1986" s="1">
        <v>1</v>
      </c>
      <c r="D1986" s="1">
        <v>6</v>
      </c>
    </row>
    <row r="1987" spans="1:4" x14ac:dyDescent="0.25">
      <c r="A1987" s="16">
        <v>9509</v>
      </c>
      <c r="B1987" s="1">
        <v>1</v>
      </c>
      <c r="C1987" s="1">
        <v>1</v>
      </c>
      <c r="D1987" s="1">
        <v>8.8000000000000007</v>
      </c>
    </row>
    <row r="1988" spans="1:4" x14ac:dyDescent="0.25">
      <c r="A1988" s="16">
        <v>9510</v>
      </c>
      <c r="B1988" s="1">
        <v>1</v>
      </c>
      <c r="C1988" s="1">
        <v>1</v>
      </c>
      <c r="D1988" s="1">
        <v>14</v>
      </c>
    </row>
    <row r="1989" spans="1:4" x14ac:dyDescent="0.25">
      <c r="A1989" s="16">
        <v>9511</v>
      </c>
      <c r="B1989" s="1">
        <v>1</v>
      </c>
      <c r="C1989" s="1">
        <v>1</v>
      </c>
      <c r="D1989" s="1">
        <v>36</v>
      </c>
    </row>
    <row r="1990" spans="1:4" x14ac:dyDescent="0.25">
      <c r="A1990" s="16">
        <v>9512</v>
      </c>
      <c r="B1990" s="1">
        <v>1</v>
      </c>
      <c r="C1990" s="1">
        <v>1</v>
      </c>
      <c r="D1990" s="1">
        <v>8</v>
      </c>
    </row>
    <row r="1991" spans="1:4" x14ac:dyDescent="0.25">
      <c r="A1991" s="16">
        <v>9513</v>
      </c>
      <c r="B1991" s="1">
        <v>1</v>
      </c>
      <c r="C1991" s="1">
        <v>3</v>
      </c>
      <c r="D1991" s="1">
        <v>7.1999999999999993</v>
      </c>
    </row>
    <row r="1992" spans="1:4" x14ac:dyDescent="0.25">
      <c r="A1992" s="16">
        <v>9514</v>
      </c>
      <c r="B1992" s="1">
        <v>1</v>
      </c>
      <c r="C1992" s="1">
        <v>1</v>
      </c>
      <c r="D1992" s="1">
        <v>19.600000000000001</v>
      </c>
    </row>
    <row r="1993" spans="1:4" x14ac:dyDescent="0.25">
      <c r="A1993" s="16">
        <v>9515</v>
      </c>
      <c r="B1993" s="1">
        <v>1</v>
      </c>
      <c r="C1993" s="1">
        <v>1</v>
      </c>
      <c r="D1993" s="1">
        <v>7.6</v>
      </c>
    </row>
    <row r="1994" spans="1:4" x14ac:dyDescent="0.25">
      <c r="A1994" s="16">
        <v>9516</v>
      </c>
      <c r="B1994" s="1">
        <v>1</v>
      </c>
      <c r="C1994" s="1">
        <v>3</v>
      </c>
      <c r="D1994" s="1">
        <v>8.3999999999999986</v>
      </c>
    </row>
    <row r="1995" spans="1:4" x14ac:dyDescent="0.25">
      <c r="A1995" s="16">
        <v>9517</v>
      </c>
      <c r="B1995" s="1">
        <v>1</v>
      </c>
      <c r="C1995" s="1">
        <v>1</v>
      </c>
      <c r="D1995" s="1">
        <v>6</v>
      </c>
    </row>
    <row r="1996" spans="1:4" x14ac:dyDescent="0.25">
      <c r="A1996" s="16">
        <v>9518</v>
      </c>
      <c r="B1996" s="1">
        <v>1</v>
      </c>
      <c r="C1996" s="1">
        <v>1</v>
      </c>
      <c r="D1996" s="1">
        <v>8.8000000000000007</v>
      </c>
    </row>
    <row r="1997" spans="1:4" x14ac:dyDescent="0.25">
      <c r="A1997" s="16">
        <v>9519</v>
      </c>
      <c r="B1997" s="1">
        <v>1</v>
      </c>
      <c r="C1997" s="1">
        <v>2</v>
      </c>
      <c r="D1997" s="1">
        <v>28</v>
      </c>
    </row>
    <row r="1998" spans="1:4" x14ac:dyDescent="0.25">
      <c r="A1998" s="16">
        <v>9520</v>
      </c>
      <c r="B1998" s="1">
        <v>1</v>
      </c>
      <c r="C1998" s="1">
        <v>1</v>
      </c>
      <c r="D1998" s="1">
        <v>36</v>
      </c>
    </row>
    <row r="1999" spans="1:4" x14ac:dyDescent="0.25">
      <c r="A1999" s="16">
        <v>9521</v>
      </c>
      <c r="B1999" s="1">
        <v>1</v>
      </c>
      <c r="C1999" s="1">
        <v>1</v>
      </c>
      <c r="D1999" s="1">
        <v>8</v>
      </c>
    </row>
    <row r="2000" spans="1:4" x14ac:dyDescent="0.25">
      <c r="A2000" s="16">
        <v>9522</v>
      </c>
      <c r="B2000" s="1">
        <v>1</v>
      </c>
      <c r="C2000" s="1">
        <v>2</v>
      </c>
      <c r="D2000" s="1">
        <v>4.8</v>
      </c>
    </row>
    <row r="2001" spans="1:4" x14ac:dyDescent="0.25">
      <c r="A2001" s="16">
        <v>9523</v>
      </c>
      <c r="B2001" s="1">
        <v>1</v>
      </c>
      <c r="C2001" s="1">
        <v>1</v>
      </c>
      <c r="D2001" s="1">
        <v>19.600000000000001</v>
      </c>
    </row>
    <row r="2002" spans="1:4" x14ac:dyDescent="0.25">
      <c r="A2002" s="16">
        <v>9524</v>
      </c>
      <c r="B2002" s="1">
        <v>1</v>
      </c>
      <c r="C2002" s="1">
        <v>1</v>
      </c>
      <c r="D2002" s="1">
        <v>7.6</v>
      </c>
    </row>
    <row r="2003" spans="1:4" x14ac:dyDescent="0.25">
      <c r="A2003" s="16">
        <v>9525</v>
      </c>
      <c r="B2003" s="1">
        <v>1</v>
      </c>
      <c r="C2003" s="1">
        <v>4</v>
      </c>
      <c r="D2003" s="1">
        <v>11.2</v>
      </c>
    </row>
    <row r="2004" spans="1:4" x14ac:dyDescent="0.25">
      <c r="A2004" s="16">
        <v>9526</v>
      </c>
      <c r="B2004" s="1">
        <v>1</v>
      </c>
      <c r="C2004" s="1">
        <v>1</v>
      </c>
      <c r="D2004" s="1">
        <v>6</v>
      </c>
    </row>
    <row r="2005" spans="1:4" x14ac:dyDescent="0.25">
      <c r="A2005" s="16">
        <v>9527</v>
      </c>
      <c r="B2005" s="1">
        <v>1</v>
      </c>
      <c r="C2005" s="1">
        <v>1</v>
      </c>
      <c r="D2005" s="1">
        <v>8.8000000000000007</v>
      </c>
    </row>
    <row r="2006" spans="1:4" x14ac:dyDescent="0.25">
      <c r="A2006" s="16">
        <v>9528</v>
      </c>
      <c r="B2006" s="1">
        <v>1</v>
      </c>
      <c r="C2006" s="1">
        <v>1</v>
      </c>
      <c r="D2006" s="1">
        <v>14</v>
      </c>
    </row>
    <row r="2007" spans="1:4" x14ac:dyDescent="0.25">
      <c r="A2007" s="16">
        <v>9529</v>
      </c>
      <c r="B2007" s="1">
        <v>1</v>
      </c>
      <c r="C2007" s="1">
        <v>1</v>
      </c>
      <c r="D2007" s="1">
        <v>36</v>
      </c>
    </row>
    <row r="2008" spans="1:4" x14ac:dyDescent="0.25">
      <c r="A2008" s="16">
        <v>9530</v>
      </c>
      <c r="B2008" s="1">
        <v>1</v>
      </c>
      <c r="C2008" s="1">
        <v>1</v>
      </c>
      <c r="D2008" s="1">
        <v>8</v>
      </c>
    </row>
    <row r="2009" spans="1:4" x14ac:dyDescent="0.25">
      <c r="A2009" s="16">
        <v>9531</v>
      </c>
      <c r="B2009" s="1">
        <v>1</v>
      </c>
      <c r="C2009" s="1">
        <v>2</v>
      </c>
      <c r="D2009" s="1">
        <v>4.8</v>
      </c>
    </row>
    <row r="2010" spans="1:4" x14ac:dyDescent="0.25">
      <c r="A2010" s="16">
        <v>9532</v>
      </c>
      <c r="B2010" s="1">
        <v>1</v>
      </c>
      <c r="C2010" s="1">
        <v>1</v>
      </c>
      <c r="D2010" s="1">
        <v>19.600000000000001</v>
      </c>
    </row>
    <row r="2011" spans="1:4" x14ac:dyDescent="0.25">
      <c r="A2011" s="16">
        <v>9533</v>
      </c>
      <c r="B2011" s="1">
        <v>1</v>
      </c>
      <c r="C2011" s="1">
        <v>1</v>
      </c>
      <c r="D2011" s="1">
        <v>7.6</v>
      </c>
    </row>
    <row r="2012" spans="1:4" x14ac:dyDescent="0.25">
      <c r="A2012" s="16">
        <v>9534</v>
      </c>
      <c r="B2012" s="1">
        <v>1</v>
      </c>
      <c r="C2012" s="1">
        <v>3</v>
      </c>
      <c r="D2012" s="1">
        <v>8.3999999999999986</v>
      </c>
    </row>
    <row r="2013" spans="1:4" x14ac:dyDescent="0.25">
      <c r="A2013" s="16">
        <v>9535</v>
      </c>
      <c r="B2013" s="1">
        <v>1</v>
      </c>
      <c r="C2013" s="1">
        <v>1</v>
      </c>
      <c r="D2013" s="1">
        <v>6</v>
      </c>
    </row>
    <row r="2014" spans="1:4" x14ac:dyDescent="0.25">
      <c r="A2014" s="16">
        <v>9536</v>
      </c>
      <c r="B2014" s="1">
        <v>1</v>
      </c>
      <c r="C2014" s="1">
        <v>1</v>
      </c>
      <c r="D2014" s="1">
        <v>8.8000000000000007</v>
      </c>
    </row>
    <row r="2015" spans="1:4" x14ac:dyDescent="0.25">
      <c r="A2015" s="16">
        <v>9537</v>
      </c>
      <c r="B2015" s="1">
        <v>1</v>
      </c>
      <c r="C2015" s="1">
        <v>1</v>
      </c>
      <c r="D2015" s="1">
        <v>14</v>
      </c>
    </row>
    <row r="2016" spans="1:4" x14ac:dyDescent="0.25">
      <c r="A2016" s="16">
        <v>9538</v>
      </c>
      <c r="B2016" s="1">
        <v>1</v>
      </c>
      <c r="C2016" s="1">
        <v>1</v>
      </c>
      <c r="D2016" s="1">
        <v>36</v>
      </c>
    </row>
    <row r="2017" spans="1:4" x14ac:dyDescent="0.25">
      <c r="A2017" s="16">
        <v>9539</v>
      </c>
      <c r="B2017" s="1">
        <v>1</v>
      </c>
      <c r="C2017" s="1">
        <v>1</v>
      </c>
      <c r="D2017" s="1">
        <v>8</v>
      </c>
    </row>
    <row r="2018" spans="1:4" x14ac:dyDescent="0.25">
      <c r="A2018" s="16">
        <v>9540</v>
      </c>
      <c r="B2018" s="1">
        <v>1</v>
      </c>
      <c r="C2018" s="1">
        <v>3</v>
      </c>
      <c r="D2018" s="1">
        <v>7.1999999999999993</v>
      </c>
    </row>
    <row r="2019" spans="1:4" x14ac:dyDescent="0.25">
      <c r="A2019" s="16">
        <v>9541</v>
      </c>
      <c r="B2019" s="1">
        <v>1</v>
      </c>
      <c r="C2019" s="1">
        <v>1</v>
      </c>
      <c r="D2019" s="1">
        <v>19.600000000000001</v>
      </c>
    </row>
    <row r="2020" spans="1:4" x14ac:dyDescent="0.25">
      <c r="A2020" s="16">
        <v>9542</v>
      </c>
      <c r="B2020" s="1">
        <v>1</v>
      </c>
      <c r="C2020" s="1">
        <v>1</v>
      </c>
      <c r="D2020" s="1">
        <v>7.6</v>
      </c>
    </row>
    <row r="2021" spans="1:4" x14ac:dyDescent="0.25">
      <c r="A2021" s="16">
        <v>9543</v>
      </c>
      <c r="B2021" s="1">
        <v>1</v>
      </c>
      <c r="C2021" s="1">
        <v>4</v>
      </c>
      <c r="D2021" s="1">
        <v>11.2</v>
      </c>
    </row>
    <row r="2022" spans="1:4" x14ac:dyDescent="0.25">
      <c r="A2022" s="16">
        <v>9544</v>
      </c>
      <c r="B2022" s="1">
        <v>1</v>
      </c>
      <c r="C2022" s="1">
        <v>1</v>
      </c>
      <c r="D2022" s="1">
        <v>6</v>
      </c>
    </row>
    <row r="2023" spans="1:4" x14ac:dyDescent="0.25">
      <c r="A2023" s="16">
        <v>9545</v>
      </c>
      <c r="B2023" s="1">
        <v>1</v>
      </c>
      <c r="C2023" s="1">
        <v>1</v>
      </c>
      <c r="D2023" s="1">
        <v>8.8000000000000007</v>
      </c>
    </row>
    <row r="2024" spans="1:4" x14ac:dyDescent="0.25">
      <c r="A2024" s="16">
        <v>9546</v>
      </c>
      <c r="B2024" s="1">
        <v>1</v>
      </c>
      <c r="C2024" s="1">
        <v>1</v>
      </c>
      <c r="D2024" s="1">
        <v>14</v>
      </c>
    </row>
    <row r="2025" spans="1:4" x14ac:dyDescent="0.25">
      <c r="A2025" s="16">
        <v>9547</v>
      </c>
      <c r="B2025" s="1">
        <v>1</v>
      </c>
      <c r="C2025" s="1">
        <v>1</v>
      </c>
      <c r="D2025" s="1">
        <v>36</v>
      </c>
    </row>
    <row r="2026" spans="1:4" x14ac:dyDescent="0.25">
      <c r="A2026" s="16">
        <v>9548</v>
      </c>
      <c r="B2026" s="1">
        <v>1</v>
      </c>
      <c r="C2026" s="1">
        <v>1</v>
      </c>
      <c r="D2026" s="1">
        <v>8</v>
      </c>
    </row>
    <row r="2027" spans="1:4" x14ac:dyDescent="0.25">
      <c r="A2027" s="16">
        <v>9549</v>
      </c>
      <c r="B2027" s="1">
        <v>1</v>
      </c>
      <c r="C2027" s="1">
        <v>3</v>
      </c>
      <c r="D2027" s="1">
        <v>7.1999999999999993</v>
      </c>
    </row>
    <row r="2028" spans="1:4" x14ac:dyDescent="0.25">
      <c r="A2028" s="16">
        <v>9550</v>
      </c>
      <c r="B2028" s="1">
        <v>1</v>
      </c>
      <c r="C2028" s="1">
        <v>1</v>
      </c>
      <c r="D2028" s="1">
        <v>19.600000000000001</v>
      </c>
    </row>
    <row r="2029" spans="1:4" x14ac:dyDescent="0.25">
      <c r="A2029" s="16">
        <v>9551</v>
      </c>
      <c r="B2029" s="1">
        <v>1</v>
      </c>
      <c r="C2029" s="1">
        <v>1</v>
      </c>
      <c r="D2029" s="1">
        <v>7.6</v>
      </c>
    </row>
    <row r="2030" spans="1:4" x14ac:dyDescent="0.25">
      <c r="A2030" s="16">
        <v>9552</v>
      </c>
      <c r="B2030" s="1">
        <v>1</v>
      </c>
      <c r="C2030" s="1">
        <v>3</v>
      </c>
      <c r="D2030" s="1">
        <v>8.3999999999999986</v>
      </c>
    </row>
    <row r="2031" spans="1:4" x14ac:dyDescent="0.25">
      <c r="A2031" s="16">
        <v>9553</v>
      </c>
      <c r="B2031" s="1">
        <v>1</v>
      </c>
      <c r="C2031" s="1">
        <v>1</v>
      </c>
      <c r="D2031" s="1">
        <v>6</v>
      </c>
    </row>
    <row r="2032" spans="1:4" x14ac:dyDescent="0.25">
      <c r="A2032" s="16">
        <v>9554</v>
      </c>
      <c r="B2032" s="1">
        <v>1</v>
      </c>
      <c r="C2032" s="1">
        <v>1</v>
      </c>
      <c r="D2032" s="1">
        <v>8.8000000000000007</v>
      </c>
    </row>
    <row r="2033" spans="1:4" x14ac:dyDescent="0.25">
      <c r="A2033" s="16">
        <v>9555</v>
      </c>
      <c r="B2033" s="1">
        <v>1</v>
      </c>
      <c r="C2033" s="1">
        <v>1</v>
      </c>
      <c r="D2033" s="1">
        <v>14</v>
      </c>
    </row>
    <row r="2034" spans="1:4" x14ac:dyDescent="0.25">
      <c r="A2034" s="16">
        <v>9556</v>
      </c>
      <c r="B2034" s="1">
        <v>1</v>
      </c>
      <c r="C2034" s="1">
        <v>1</v>
      </c>
      <c r="D2034" s="1">
        <v>36</v>
      </c>
    </row>
    <row r="2035" spans="1:4" x14ac:dyDescent="0.25">
      <c r="A2035" s="16">
        <v>9557</v>
      </c>
      <c r="B2035" s="1">
        <v>1</v>
      </c>
      <c r="C2035" s="1">
        <v>1</v>
      </c>
      <c r="D2035" s="1">
        <v>8</v>
      </c>
    </row>
    <row r="2036" spans="1:4" x14ac:dyDescent="0.25">
      <c r="A2036" s="16">
        <v>9558</v>
      </c>
      <c r="B2036" s="1">
        <v>1</v>
      </c>
      <c r="C2036" s="1">
        <v>2</v>
      </c>
      <c r="D2036" s="1">
        <v>4.8</v>
      </c>
    </row>
    <row r="2037" spans="1:4" x14ac:dyDescent="0.25">
      <c r="A2037" s="16">
        <v>9559</v>
      </c>
      <c r="B2037" s="1">
        <v>1</v>
      </c>
      <c r="C2037" s="1">
        <v>1</v>
      </c>
      <c r="D2037" s="1">
        <v>19.600000000000001</v>
      </c>
    </row>
    <row r="2038" spans="1:4" x14ac:dyDescent="0.25">
      <c r="A2038" s="16">
        <v>9560</v>
      </c>
      <c r="B2038" s="1">
        <v>1</v>
      </c>
      <c r="C2038" s="1">
        <v>1</v>
      </c>
      <c r="D2038" s="1">
        <v>7.6</v>
      </c>
    </row>
    <row r="2039" spans="1:4" x14ac:dyDescent="0.25">
      <c r="A2039" s="16">
        <v>9561</v>
      </c>
      <c r="B2039" s="1">
        <v>1</v>
      </c>
      <c r="C2039" s="1">
        <v>4</v>
      </c>
      <c r="D2039" s="1">
        <v>11.2</v>
      </c>
    </row>
    <row r="2040" spans="1:4" x14ac:dyDescent="0.25">
      <c r="A2040" s="16">
        <v>9562</v>
      </c>
      <c r="B2040" s="1">
        <v>1</v>
      </c>
      <c r="C2040" s="1">
        <v>1</v>
      </c>
      <c r="D2040" s="1">
        <v>6</v>
      </c>
    </row>
    <row r="2041" spans="1:4" x14ac:dyDescent="0.25">
      <c r="A2041" s="16">
        <v>9563</v>
      </c>
      <c r="B2041" s="1">
        <v>1</v>
      </c>
      <c r="C2041" s="1">
        <v>1</v>
      </c>
      <c r="D2041" s="1">
        <v>8.8000000000000007</v>
      </c>
    </row>
    <row r="2042" spans="1:4" x14ac:dyDescent="0.25">
      <c r="A2042" s="16">
        <v>9564</v>
      </c>
      <c r="B2042" s="1">
        <v>1</v>
      </c>
      <c r="C2042" s="1">
        <v>2</v>
      </c>
      <c r="D2042" s="1">
        <v>28</v>
      </c>
    </row>
    <row r="2043" spans="1:4" x14ac:dyDescent="0.25">
      <c r="A2043" s="16">
        <v>9565</v>
      </c>
      <c r="B2043" s="1">
        <v>1</v>
      </c>
      <c r="C2043" s="1">
        <v>1</v>
      </c>
      <c r="D2043" s="1">
        <v>36</v>
      </c>
    </row>
    <row r="2044" spans="1:4" x14ac:dyDescent="0.25">
      <c r="A2044" s="16">
        <v>9566</v>
      </c>
      <c r="B2044" s="1">
        <v>1</v>
      </c>
      <c r="C2044" s="1">
        <v>1</v>
      </c>
      <c r="D2044" s="1">
        <v>8</v>
      </c>
    </row>
    <row r="2045" spans="1:4" x14ac:dyDescent="0.25">
      <c r="A2045" s="16">
        <v>9567</v>
      </c>
      <c r="B2045" s="1">
        <v>1</v>
      </c>
      <c r="C2045" s="1">
        <v>3</v>
      </c>
      <c r="D2045" s="1">
        <v>7.1999999999999993</v>
      </c>
    </row>
    <row r="2046" spans="1:4" x14ac:dyDescent="0.25">
      <c r="A2046" s="16">
        <v>9568</v>
      </c>
      <c r="B2046" s="1">
        <v>1</v>
      </c>
      <c r="C2046" s="1">
        <v>1</v>
      </c>
      <c r="D2046" s="1">
        <v>19.600000000000001</v>
      </c>
    </row>
    <row r="2047" spans="1:4" x14ac:dyDescent="0.25">
      <c r="A2047" s="16">
        <v>9569</v>
      </c>
      <c r="B2047" s="1">
        <v>1</v>
      </c>
      <c r="C2047" s="1">
        <v>1</v>
      </c>
      <c r="D2047" s="1">
        <v>7.6</v>
      </c>
    </row>
    <row r="2048" spans="1:4" x14ac:dyDescent="0.25">
      <c r="A2048" s="16">
        <v>9570</v>
      </c>
      <c r="B2048" s="1">
        <v>1</v>
      </c>
      <c r="C2048" s="1">
        <v>3</v>
      </c>
      <c r="D2048" s="1">
        <v>8.3999999999999986</v>
      </c>
    </row>
    <row r="2049" spans="1:4" x14ac:dyDescent="0.25">
      <c r="A2049" s="16">
        <v>9571</v>
      </c>
      <c r="B2049" s="1">
        <v>1</v>
      </c>
      <c r="C2049" s="1">
        <v>1</v>
      </c>
      <c r="D2049" s="1">
        <v>6</v>
      </c>
    </row>
    <row r="2050" spans="1:4" x14ac:dyDescent="0.25">
      <c r="A2050" s="16">
        <v>9572</v>
      </c>
      <c r="B2050" s="1">
        <v>1</v>
      </c>
      <c r="C2050" s="1">
        <v>1</v>
      </c>
      <c r="D2050" s="1">
        <v>8.8000000000000007</v>
      </c>
    </row>
    <row r="2051" spans="1:4" x14ac:dyDescent="0.25">
      <c r="A2051" s="16">
        <v>9573</v>
      </c>
      <c r="B2051" s="1">
        <v>1</v>
      </c>
      <c r="C2051" s="1">
        <v>1</v>
      </c>
      <c r="D2051" s="1">
        <v>14</v>
      </c>
    </row>
    <row r="2052" spans="1:4" x14ac:dyDescent="0.25">
      <c r="A2052" s="16">
        <v>9574</v>
      </c>
      <c r="B2052" s="1">
        <v>1</v>
      </c>
      <c r="C2052" s="1">
        <v>1</v>
      </c>
      <c r="D2052" s="1">
        <v>36</v>
      </c>
    </row>
    <row r="2053" spans="1:4" x14ac:dyDescent="0.25">
      <c r="A2053" s="16">
        <v>9575</v>
      </c>
      <c r="B2053" s="1">
        <v>1</v>
      </c>
      <c r="C2053" s="1">
        <v>1</v>
      </c>
      <c r="D2053" s="1">
        <v>8</v>
      </c>
    </row>
    <row r="2054" spans="1:4" x14ac:dyDescent="0.25">
      <c r="A2054" s="16">
        <v>9576</v>
      </c>
      <c r="B2054" s="1">
        <v>1</v>
      </c>
      <c r="C2054" s="1">
        <v>2</v>
      </c>
      <c r="D2054" s="1">
        <v>4.8</v>
      </c>
    </row>
    <row r="2055" spans="1:4" x14ac:dyDescent="0.25">
      <c r="A2055" s="16">
        <v>9577</v>
      </c>
      <c r="B2055" s="1">
        <v>1</v>
      </c>
      <c r="C2055" s="1">
        <v>1</v>
      </c>
      <c r="D2055" s="1">
        <v>19.600000000000001</v>
      </c>
    </row>
    <row r="2056" spans="1:4" x14ac:dyDescent="0.25">
      <c r="A2056" s="16">
        <v>9578</v>
      </c>
      <c r="B2056" s="1">
        <v>1</v>
      </c>
      <c r="C2056" s="1">
        <v>1</v>
      </c>
      <c r="D2056" s="1">
        <v>7.6</v>
      </c>
    </row>
    <row r="2057" spans="1:4" x14ac:dyDescent="0.25">
      <c r="A2057" s="16">
        <v>9579</v>
      </c>
      <c r="B2057" s="1">
        <v>1</v>
      </c>
      <c r="C2057" s="1">
        <v>3</v>
      </c>
      <c r="D2057" s="1">
        <v>8.3999999999999986</v>
      </c>
    </row>
    <row r="2058" spans="1:4" x14ac:dyDescent="0.25">
      <c r="A2058" s="16">
        <v>9580</v>
      </c>
      <c r="B2058" s="1">
        <v>1</v>
      </c>
      <c r="C2058" s="1">
        <v>1</v>
      </c>
      <c r="D2058" s="1">
        <v>6</v>
      </c>
    </row>
    <row r="2059" spans="1:4" x14ac:dyDescent="0.25">
      <c r="A2059" s="16">
        <v>9581</v>
      </c>
      <c r="B2059" s="1">
        <v>1</v>
      </c>
      <c r="C2059" s="1">
        <v>1</v>
      </c>
      <c r="D2059" s="1">
        <v>8.8000000000000007</v>
      </c>
    </row>
    <row r="2060" spans="1:4" x14ac:dyDescent="0.25">
      <c r="A2060" s="16">
        <v>9582</v>
      </c>
      <c r="B2060" s="1">
        <v>1</v>
      </c>
      <c r="C2060" s="1">
        <v>1</v>
      </c>
      <c r="D2060" s="1">
        <v>14</v>
      </c>
    </row>
    <row r="2061" spans="1:4" x14ac:dyDescent="0.25">
      <c r="A2061" s="16">
        <v>9583</v>
      </c>
      <c r="B2061" s="1">
        <v>1</v>
      </c>
      <c r="C2061" s="1">
        <v>1</v>
      </c>
      <c r="D2061" s="1">
        <v>36</v>
      </c>
    </row>
    <row r="2062" spans="1:4" x14ac:dyDescent="0.25">
      <c r="A2062" s="16">
        <v>9584</v>
      </c>
      <c r="B2062" s="1">
        <v>1</v>
      </c>
      <c r="C2062" s="1">
        <v>1</v>
      </c>
      <c r="D2062" s="1">
        <v>8</v>
      </c>
    </row>
    <row r="2063" spans="1:4" x14ac:dyDescent="0.25">
      <c r="A2063" s="16">
        <v>9585</v>
      </c>
      <c r="B2063" s="1">
        <v>1</v>
      </c>
      <c r="C2063" s="1">
        <v>2</v>
      </c>
      <c r="D2063" s="1">
        <v>4.8</v>
      </c>
    </row>
    <row r="2064" spans="1:4" x14ac:dyDescent="0.25">
      <c r="A2064" s="16">
        <v>9586</v>
      </c>
      <c r="B2064" s="1">
        <v>1</v>
      </c>
      <c r="C2064" s="1">
        <v>1</v>
      </c>
      <c r="D2064" s="1">
        <v>19.600000000000001</v>
      </c>
    </row>
    <row r="2065" spans="1:4" x14ac:dyDescent="0.25">
      <c r="A2065" s="16">
        <v>9587</v>
      </c>
      <c r="B2065" s="1">
        <v>1</v>
      </c>
      <c r="C2065" s="1">
        <v>1</v>
      </c>
      <c r="D2065" s="1">
        <v>7.6</v>
      </c>
    </row>
    <row r="2066" spans="1:4" x14ac:dyDescent="0.25">
      <c r="A2066" s="16">
        <v>9588</v>
      </c>
      <c r="B2066" s="1">
        <v>1</v>
      </c>
      <c r="C2066" s="1">
        <v>4</v>
      </c>
      <c r="D2066" s="1">
        <v>11.2</v>
      </c>
    </row>
    <row r="2067" spans="1:4" x14ac:dyDescent="0.25">
      <c r="A2067" s="16">
        <v>9589</v>
      </c>
      <c r="B2067" s="1">
        <v>1</v>
      </c>
      <c r="C2067" s="1">
        <v>1</v>
      </c>
      <c r="D2067" s="1">
        <v>6</v>
      </c>
    </row>
    <row r="2068" spans="1:4" x14ac:dyDescent="0.25">
      <c r="A2068" s="16">
        <v>9590</v>
      </c>
      <c r="B2068" s="1">
        <v>1</v>
      </c>
      <c r="C2068" s="1">
        <v>1</v>
      </c>
      <c r="D2068" s="1">
        <v>8.8000000000000007</v>
      </c>
    </row>
    <row r="2069" spans="1:4" x14ac:dyDescent="0.25">
      <c r="A2069" s="16">
        <v>9591</v>
      </c>
      <c r="B2069" s="1">
        <v>1</v>
      </c>
      <c r="C2069" s="1">
        <v>1</v>
      </c>
      <c r="D2069" s="1">
        <v>14</v>
      </c>
    </row>
    <row r="2070" spans="1:4" x14ac:dyDescent="0.25">
      <c r="A2070" s="16">
        <v>9592</v>
      </c>
      <c r="B2070" s="1">
        <v>1</v>
      </c>
      <c r="C2070" s="1">
        <v>1</v>
      </c>
      <c r="D2070" s="1">
        <v>36</v>
      </c>
    </row>
    <row r="2071" spans="1:4" x14ac:dyDescent="0.25">
      <c r="A2071" s="16">
        <v>9593</v>
      </c>
      <c r="B2071" s="1">
        <v>1</v>
      </c>
      <c r="C2071" s="1">
        <v>1</v>
      </c>
      <c r="D2071" s="1">
        <v>8</v>
      </c>
    </row>
    <row r="2072" spans="1:4" x14ac:dyDescent="0.25">
      <c r="A2072" s="16">
        <v>9594</v>
      </c>
      <c r="B2072" s="1">
        <v>1</v>
      </c>
      <c r="C2072" s="1">
        <v>3</v>
      </c>
      <c r="D2072" s="1">
        <v>7.1999999999999993</v>
      </c>
    </row>
    <row r="2073" spans="1:4" x14ac:dyDescent="0.25">
      <c r="A2073" s="16">
        <v>9595</v>
      </c>
      <c r="B2073" s="1">
        <v>1</v>
      </c>
      <c r="C2073" s="1">
        <v>1</v>
      </c>
      <c r="D2073" s="1">
        <v>19.600000000000001</v>
      </c>
    </row>
    <row r="2074" spans="1:4" x14ac:dyDescent="0.25">
      <c r="A2074" s="16">
        <v>9596</v>
      </c>
      <c r="B2074" s="1">
        <v>1</v>
      </c>
      <c r="C2074" s="1">
        <v>1</v>
      </c>
      <c r="D2074" s="1">
        <v>7.6</v>
      </c>
    </row>
    <row r="2075" spans="1:4" x14ac:dyDescent="0.25">
      <c r="A2075" s="16">
        <v>9597</v>
      </c>
      <c r="B2075" s="1">
        <v>1</v>
      </c>
      <c r="C2075" s="1">
        <v>3</v>
      </c>
      <c r="D2075" s="1">
        <v>8.3999999999999986</v>
      </c>
    </row>
    <row r="2076" spans="1:4" x14ac:dyDescent="0.25">
      <c r="A2076" s="16">
        <v>9598</v>
      </c>
      <c r="B2076" s="1">
        <v>1</v>
      </c>
      <c r="C2076" s="1">
        <v>1</v>
      </c>
      <c r="D2076" s="1">
        <v>6</v>
      </c>
    </row>
    <row r="2077" spans="1:4" x14ac:dyDescent="0.25">
      <c r="A2077" s="16">
        <v>9599</v>
      </c>
      <c r="B2077" s="1">
        <v>1</v>
      </c>
      <c r="C2077" s="1">
        <v>1</v>
      </c>
      <c r="D2077" s="1">
        <v>8.8000000000000007</v>
      </c>
    </row>
    <row r="2078" spans="1:4" x14ac:dyDescent="0.25">
      <c r="A2078" s="16">
        <v>9600</v>
      </c>
      <c r="B2078" s="1">
        <v>1</v>
      </c>
      <c r="C2078" s="1">
        <v>1</v>
      </c>
      <c r="D2078" s="1">
        <v>14</v>
      </c>
    </row>
    <row r="2079" spans="1:4" x14ac:dyDescent="0.25">
      <c r="A2079" s="16">
        <v>9601</v>
      </c>
      <c r="B2079" s="1">
        <v>1</v>
      </c>
      <c r="C2079" s="1">
        <v>1</v>
      </c>
      <c r="D2079" s="1">
        <v>36</v>
      </c>
    </row>
    <row r="2080" spans="1:4" x14ac:dyDescent="0.25">
      <c r="A2080" s="16">
        <v>9602</v>
      </c>
      <c r="B2080" s="1">
        <v>1</v>
      </c>
      <c r="C2080" s="1">
        <v>1</v>
      </c>
      <c r="D2080" s="1">
        <v>8</v>
      </c>
    </row>
    <row r="2081" spans="1:4" x14ac:dyDescent="0.25">
      <c r="A2081" s="16">
        <v>9603</v>
      </c>
      <c r="B2081" s="1">
        <v>1</v>
      </c>
      <c r="C2081" s="1">
        <v>3</v>
      </c>
      <c r="D2081" s="1">
        <v>7.1999999999999993</v>
      </c>
    </row>
    <row r="2082" spans="1:4" x14ac:dyDescent="0.25">
      <c r="A2082" s="16">
        <v>9604</v>
      </c>
      <c r="B2082" s="1">
        <v>1</v>
      </c>
      <c r="C2082" s="1">
        <v>1</v>
      </c>
      <c r="D2082" s="1">
        <v>19.600000000000001</v>
      </c>
    </row>
    <row r="2083" spans="1:4" x14ac:dyDescent="0.25">
      <c r="A2083" s="16">
        <v>9605</v>
      </c>
      <c r="B2083" s="1">
        <v>1</v>
      </c>
      <c r="C2083" s="1">
        <v>1</v>
      </c>
      <c r="D2083" s="1">
        <v>7.6</v>
      </c>
    </row>
    <row r="2084" spans="1:4" x14ac:dyDescent="0.25">
      <c r="A2084" s="16">
        <v>9606</v>
      </c>
      <c r="B2084" s="1">
        <v>1</v>
      </c>
      <c r="C2084" s="1">
        <v>4</v>
      </c>
      <c r="D2084" s="1">
        <v>11.2</v>
      </c>
    </row>
    <row r="2085" spans="1:4" x14ac:dyDescent="0.25">
      <c r="A2085" s="16">
        <v>9607</v>
      </c>
      <c r="B2085" s="1">
        <v>1</v>
      </c>
      <c r="C2085" s="1">
        <v>1</v>
      </c>
      <c r="D2085" s="1">
        <v>6</v>
      </c>
    </row>
    <row r="2086" spans="1:4" x14ac:dyDescent="0.25">
      <c r="A2086" s="16">
        <v>9608</v>
      </c>
      <c r="B2086" s="1">
        <v>1</v>
      </c>
      <c r="C2086" s="1">
        <v>1</v>
      </c>
      <c r="D2086" s="1">
        <v>8.8000000000000007</v>
      </c>
    </row>
    <row r="2087" spans="1:4" x14ac:dyDescent="0.25">
      <c r="A2087" s="16">
        <v>9609</v>
      </c>
      <c r="B2087" s="1">
        <v>1</v>
      </c>
      <c r="C2087" s="1">
        <v>1</v>
      </c>
      <c r="D2087" s="1">
        <v>14</v>
      </c>
    </row>
    <row r="2088" spans="1:4" x14ac:dyDescent="0.25">
      <c r="A2088" s="16">
        <v>9610</v>
      </c>
      <c r="B2088" s="1">
        <v>1</v>
      </c>
      <c r="C2088" s="1">
        <v>1</v>
      </c>
      <c r="D2088" s="1">
        <v>36</v>
      </c>
    </row>
    <row r="2089" spans="1:4" x14ac:dyDescent="0.25">
      <c r="A2089" s="16">
        <v>9611</v>
      </c>
      <c r="B2089" s="1">
        <v>1</v>
      </c>
      <c r="C2089" s="1">
        <v>1</v>
      </c>
      <c r="D2089" s="1">
        <v>8</v>
      </c>
    </row>
    <row r="2090" spans="1:4" x14ac:dyDescent="0.25">
      <c r="A2090" s="16">
        <v>9612</v>
      </c>
      <c r="B2090" s="1">
        <v>1</v>
      </c>
      <c r="C2090" s="1">
        <v>2</v>
      </c>
      <c r="D2090" s="1">
        <v>4.8</v>
      </c>
    </row>
    <row r="2091" spans="1:4" x14ac:dyDescent="0.25">
      <c r="A2091" s="16">
        <v>9613</v>
      </c>
      <c r="B2091" s="1">
        <v>1</v>
      </c>
      <c r="C2091" s="1">
        <v>1</v>
      </c>
      <c r="D2091" s="1">
        <v>19.600000000000001</v>
      </c>
    </row>
    <row r="2092" spans="1:4" x14ac:dyDescent="0.25">
      <c r="A2092" s="16">
        <v>9614</v>
      </c>
      <c r="B2092" s="1">
        <v>1</v>
      </c>
      <c r="C2092" s="1">
        <v>1</v>
      </c>
      <c r="D2092" s="1">
        <v>7.6</v>
      </c>
    </row>
    <row r="2093" spans="1:4" x14ac:dyDescent="0.25">
      <c r="A2093" s="16">
        <v>9615</v>
      </c>
      <c r="B2093" s="1">
        <v>1</v>
      </c>
      <c r="C2093" s="1">
        <v>3</v>
      </c>
      <c r="D2093" s="1">
        <v>8.3999999999999986</v>
      </c>
    </row>
    <row r="2094" spans="1:4" x14ac:dyDescent="0.25">
      <c r="A2094" s="16">
        <v>9616</v>
      </c>
      <c r="B2094" s="1">
        <v>1</v>
      </c>
      <c r="C2094" s="1">
        <v>1</v>
      </c>
      <c r="D2094" s="1">
        <v>6</v>
      </c>
    </row>
    <row r="2095" spans="1:4" x14ac:dyDescent="0.25">
      <c r="A2095" s="16">
        <v>9617</v>
      </c>
      <c r="B2095" s="1">
        <v>1</v>
      </c>
      <c r="C2095" s="1">
        <v>1</v>
      </c>
      <c r="D2095" s="1">
        <v>8.8000000000000007</v>
      </c>
    </row>
    <row r="2096" spans="1:4" x14ac:dyDescent="0.25">
      <c r="A2096" s="16">
        <v>9618</v>
      </c>
      <c r="B2096" s="1">
        <v>1</v>
      </c>
      <c r="C2096" s="1">
        <v>1</v>
      </c>
      <c r="D2096" s="1">
        <v>14</v>
      </c>
    </row>
    <row r="2097" spans="1:4" x14ac:dyDescent="0.25">
      <c r="A2097" s="16">
        <v>9619</v>
      </c>
      <c r="B2097" s="1">
        <v>1</v>
      </c>
      <c r="C2097" s="1">
        <v>1</v>
      </c>
      <c r="D2097" s="1">
        <v>36</v>
      </c>
    </row>
    <row r="2098" spans="1:4" x14ac:dyDescent="0.25">
      <c r="A2098" s="16">
        <v>9620</v>
      </c>
      <c r="B2098" s="1">
        <v>1</v>
      </c>
      <c r="C2098" s="1">
        <v>1</v>
      </c>
      <c r="D2098" s="1">
        <v>8</v>
      </c>
    </row>
    <row r="2099" spans="1:4" x14ac:dyDescent="0.25">
      <c r="A2099" s="16">
        <v>9621</v>
      </c>
      <c r="B2099" s="1">
        <v>1</v>
      </c>
      <c r="C2099" s="1">
        <v>2</v>
      </c>
      <c r="D2099" s="1">
        <v>4.8</v>
      </c>
    </row>
    <row r="2100" spans="1:4" x14ac:dyDescent="0.25">
      <c r="A2100" s="16">
        <v>9622</v>
      </c>
      <c r="B2100" s="1">
        <v>1</v>
      </c>
      <c r="C2100" s="1">
        <v>1</v>
      </c>
      <c r="D2100" s="1">
        <v>19.600000000000001</v>
      </c>
    </row>
    <row r="2101" spans="1:4" x14ac:dyDescent="0.25">
      <c r="A2101" s="16">
        <v>9623</v>
      </c>
      <c r="B2101" s="1">
        <v>1</v>
      </c>
      <c r="C2101" s="1">
        <v>1</v>
      </c>
      <c r="D2101" s="1">
        <v>7.6</v>
      </c>
    </row>
    <row r="2102" spans="1:4" x14ac:dyDescent="0.25">
      <c r="A2102" s="16">
        <v>9624</v>
      </c>
      <c r="B2102" s="1">
        <v>1</v>
      </c>
      <c r="C2102" s="1">
        <v>4</v>
      </c>
      <c r="D2102" s="1">
        <v>11.2</v>
      </c>
    </row>
    <row r="2103" spans="1:4" x14ac:dyDescent="0.25">
      <c r="A2103" s="16">
        <v>9625</v>
      </c>
      <c r="B2103" s="1">
        <v>1</v>
      </c>
      <c r="C2103" s="1">
        <v>1</v>
      </c>
      <c r="D2103" s="1">
        <v>6</v>
      </c>
    </row>
    <row r="2104" spans="1:4" x14ac:dyDescent="0.25">
      <c r="A2104" s="16">
        <v>9626</v>
      </c>
      <c r="B2104" s="1">
        <v>1</v>
      </c>
      <c r="C2104" s="1">
        <v>1</v>
      </c>
      <c r="D2104" s="1">
        <v>8.8000000000000007</v>
      </c>
    </row>
    <row r="2105" spans="1:4" x14ac:dyDescent="0.25">
      <c r="A2105" s="16">
        <v>9627</v>
      </c>
      <c r="B2105" s="1">
        <v>1</v>
      </c>
      <c r="C2105" s="1">
        <v>1</v>
      </c>
      <c r="D2105" s="1">
        <v>14</v>
      </c>
    </row>
    <row r="2106" spans="1:4" x14ac:dyDescent="0.25">
      <c r="A2106" s="16">
        <v>9628</v>
      </c>
      <c r="B2106" s="1">
        <v>1</v>
      </c>
      <c r="C2106" s="1">
        <v>1</v>
      </c>
      <c r="D2106" s="1">
        <v>36</v>
      </c>
    </row>
    <row r="2107" spans="1:4" x14ac:dyDescent="0.25">
      <c r="A2107" s="16">
        <v>9629</v>
      </c>
      <c r="B2107" s="1">
        <v>1</v>
      </c>
      <c r="C2107" s="1">
        <v>1</v>
      </c>
      <c r="D2107" s="1">
        <v>8</v>
      </c>
    </row>
    <row r="2108" spans="1:4" x14ac:dyDescent="0.25">
      <c r="A2108" s="16">
        <v>9630</v>
      </c>
      <c r="B2108" s="1">
        <v>1</v>
      </c>
      <c r="C2108" s="1">
        <v>3</v>
      </c>
      <c r="D2108" s="1">
        <v>7.1999999999999993</v>
      </c>
    </row>
    <row r="2109" spans="1:4" x14ac:dyDescent="0.25">
      <c r="A2109" s="16">
        <v>9631</v>
      </c>
      <c r="B2109" s="1">
        <v>1</v>
      </c>
      <c r="C2109" s="1">
        <v>1</v>
      </c>
      <c r="D2109" s="1">
        <v>19.600000000000001</v>
      </c>
    </row>
    <row r="2110" spans="1:4" x14ac:dyDescent="0.25">
      <c r="A2110" s="16">
        <v>9632</v>
      </c>
      <c r="B2110" s="1">
        <v>1</v>
      </c>
      <c r="C2110" s="1">
        <v>1</v>
      </c>
      <c r="D2110" s="1">
        <v>7.6</v>
      </c>
    </row>
    <row r="2111" spans="1:4" x14ac:dyDescent="0.25">
      <c r="A2111" s="16">
        <v>9633</v>
      </c>
      <c r="B2111" s="1">
        <v>1</v>
      </c>
      <c r="C2111" s="1">
        <v>3</v>
      </c>
      <c r="D2111" s="1">
        <v>8.3999999999999986</v>
      </c>
    </row>
    <row r="2112" spans="1:4" x14ac:dyDescent="0.25">
      <c r="A2112" s="16">
        <v>9634</v>
      </c>
      <c r="B2112" s="1">
        <v>1</v>
      </c>
      <c r="C2112" s="1">
        <v>1</v>
      </c>
      <c r="D2112" s="1">
        <v>6</v>
      </c>
    </row>
    <row r="2113" spans="1:4" x14ac:dyDescent="0.25">
      <c r="A2113" s="16">
        <v>9635</v>
      </c>
      <c r="B2113" s="1">
        <v>1</v>
      </c>
      <c r="C2113" s="1">
        <v>1</v>
      </c>
      <c r="D2113" s="1">
        <v>8.8000000000000007</v>
      </c>
    </row>
    <row r="2114" spans="1:4" x14ac:dyDescent="0.25">
      <c r="A2114" s="16">
        <v>9636</v>
      </c>
      <c r="B2114" s="1">
        <v>1</v>
      </c>
      <c r="C2114" s="1">
        <v>1</v>
      </c>
      <c r="D2114" s="1">
        <v>14</v>
      </c>
    </row>
    <row r="2115" spans="1:4" x14ac:dyDescent="0.25">
      <c r="A2115" s="16">
        <v>9637</v>
      </c>
      <c r="B2115" s="1">
        <v>1</v>
      </c>
      <c r="C2115" s="1">
        <v>1</v>
      </c>
      <c r="D2115" s="1">
        <v>36</v>
      </c>
    </row>
    <row r="2116" spans="1:4" x14ac:dyDescent="0.25">
      <c r="A2116" s="16">
        <v>9638</v>
      </c>
      <c r="B2116" s="1">
        <v>1</v>
      </c>
      <c r="C2116" s="1">
        <v>1</v>
      </c>
      <c r="D2116" s="1">
        <v>8</v>
      </c>
    </row>
    <row r="2117" spans="1:4" x14ac:dyDescent="0.25">
      <c r="A2117" s="16">
        <v>9639</v>
      </c>
      <c r="B2117" s="1">
        <v>1</v>
      </c>
      <c r="C2117" s="1">
        <v>2</v>
      </c>
      <c r="D2117" s="1">
        <v>4.8</v>
      </c>
    </row>
    <row r="2118" spans="1:4" x14ac:dyDescent="0.25">
      <c r="A2118" s="16">
        <v>9640</v>
      </c>
      <c r="B2118" s="1">
        <v>1</v>
      </c>
      <c r="C2118" s="1">
        <v>1</v>
      </c>
      <c r="D2118" s="1">
        <v>19.600000000000001</v>
      </c>
    </row>
    <row r="2119" spans="1:4" x14ac:dyDescent="0.25">
      <c r="A2119" s="16">
        <v>9641</v>
      </c>
      <c r="B2119" s="1">
        <v>1</v>
      </c>
      <c r="C2119" s="1">
        <v>1</v>
      </c>
      <c r="D2119" s="1">
        <v>7.6</v>
      </c>
    </row>
    <row r="2120" spans="1:4" x14ac:dyDescent="0.25">
      <c r="A2120" s="16">
        <v>9642</v>
      </c>
      <c r="B2120" s="1">
        <v>1</v>
      </c>
      <c r="C2120" s="1">
        <v>3</v>
      </c>
      <c r="D2120" s="1">
        <v>8.3999999999999986</v>
      </c>
    </row>
    <row r="2121" spans="1:4" x14ac:dyDescent="0.25">
      <c r="A2121" s="16">
        <v>9643</v>
      </c>
      <c r="B2121" s="1">
        <v>1</v>
      </c>
      <c r="C2121" s="1">
        <v>1</v>
      </c>
      <c r="D2121" s="1">
        <v>6</v>
      </c>
    </row>
    <row r="2122" spans="1:4" x14ac:dyDescent="0.25">
      <c r="A2122" s="16">
        <v>9644</v>
      </c>
      <c r="B2122" s="1">
        <v>1</v>
      </c>
      <c r="C2122" s="1">
        <v>1</v>
      </c>
      <c r="D2122" s="1">
        <v>8.8000000000000007</v>
      </c>
    </row>
    <row r="2123" spans="1:4" x14ac:dyDescent="0.25">
      <c r="A2123" s="16">
        <v>9645</v>
      </c>
      <c r="B2123" s="1">
        <v>1</v>
      </c>
      <c r="C2123" s="1">
        <v>1</v>
      </c>
      <c r="D2123" s="1">
        <v>14</v>
      </c>
    </row>
    <row r="2124" spans="1:4" x14ac:dyDescent="0.25">
      <c r="A2124" s="16">
        <v>9646</v>
      </c>
      <c r="B2124" s="1">
        <v>1</v>
      </c>
      <c r="C2124" s="1">
        <v>1</v>
      </c>
      <c r="D2124" s="1">
        <v>36</v>
      </c>
    </row>
    <row r="2125" spans="1:4" x14ac:dyDescent="0.25">
      <c r="A2125" s="16">
        <v>9647</v>
      </c>
      <c r="B2125" s="1">
        <v>1</v>
      </c>
      <c r="C2125" s="1">
        <v>1</v>
      </c>
      <c r="D2125" s="1">
        <v>8</v>
      </c>
    </row>
    <row r="2126" spans="1:4" x14ac:dyDescent="0.25">
      <c r="A2126" s="16">
        <v>9648</v>
      </c>
      <c r="B2126" s="1">
        <v>1</v>
      </c>
      <c r="C2126" s="1">
        <v>3</v>
      </c>
      <c r="D2126" s="1">
        <v>7.1999999999999993</v>
      </c>
    </row>
    <row r="2127" spans="1:4" x14ac:dyDescent="0.25">
      <c r="A2127" s="16">
        <v>9649</v>
      </c>
      <c r="B2127" s="1">
        <v>1</v>
      </c>
      <c r="C2127" s="1">
        <v>1</v>
      </c>
      <c r="D2127" s="1">
        <v>19.600000000000001</v>
      </c>
    </row>
    <row r="2128" spans="1:4" x14ac:dyDescent="0.25">
      <c r="A2128" s="16">
        <v>9650</v>
      </c>
      <c r="B2128" s="1">
        <v>1</v>
      </c>
      <c r="C2128" s="1">
        <v>1</v>
      </c>
      <c r="D2128" s="1">
        <v>7.6</v>
      </c>
    </row>
    <row r="2129" spans="1:4" x14ac:dyDescent="0.25">
      <c r="A2129" s="16">
        <v>9651</v>
      </c>
      <c r="B2129" s="1">
        <v>1</v>
      </c>
      <c r="C2129" s="1">
        <v>3</v>
      </c>
      <c r="D2129" s="1">
        <v>8.3999999999999986</v>
      </c>
    </row>
    <row r="2130" spans="1:4" x14ac:dyDescent="0.25">
      <c r="A2130" s="16">
        <v>9652</v>
      </c>
      <c r="B2130" s="1">
        <v>1</v>
      </c>
      <c r="C2130" s="1">
        <v>3</v>
      </c>
      <c r="D2130" s="1">
        <v>8.3999999999999986</v>
      </c>
    </row>
    <row r="2131" spans="1:4" x14ac:dyDescent="0.25">
      <c r="A2131" s="16">
        <v>9653</v>
      </c>
      <c r="B2131" s="1">
        <v>1</v>
      </c>
      <c r="C2131" s="1">
        <v>1</v>
      </c>
      <c r="D2131" s="1">
        <v>6</v>
      </c>
    </row>
    <row r="2132" spans="1:4" x14ac:dyDescent="0.25">
      <c r="A2132" s="16">
        <v>9654</v>
      </c>
      <c r="B2132" s="1">
        <v>1</v>
      </c>
      <c r="C2132" s="1">
        <v>1</v>
      </c>
      <c r="D2132" s="1">
        <v>8.8000000000000007</v>
      </c>
    </row>
    <row r="2133" spans="1:4" x14ac:dyDescent="0.25">
      <c r="A2133" s="16">
        <v>9655</v>
      </c>
      <c r="B2133" s="1">
        <v>1</v>
      </c>
      <c r="C2133" s="1">
        <v>1</v>
      </c>
      <c r="D2133" s="1">
        <v>14</v>
      </c>
    </row>
    <row r="2134" spans="1:4" x14ac:dyDescent="0.25">
      <c r="A2134" s="16">
        <v>9656</v>
      </c>
      <c r="B2134" s="1">
        <v>1</v>
      </c>
      <c r="C2134" s="1">
        <v>1</v>
      </c>
      <c r="D2134" s="1">
        <v>36</v>
      </c>
    </row>
    <row r="2135" spans="1:4" x14ac:dyDescent="0.25">
      <c r="A2135" s="16">
        <v>9657</v>
      </c>
      <c r="B2135" s="1">
        <v>1</v>
      </c>
      <c r="C2135" s="1">
        <v>1</v>
      </c>
      <c r="D2135" s="1">
        <v>8</v>
      </c>
    </row>
    <row r="2136" spans="1:4" x14ac:dyDescent="0.25">
      <c r="A2136" s="16">
        <v>9658</v>
      </c>
      <c r="B2136" s="1">
        <v>1</v>
      </c>
      <c r="C2136" s="1">
        <v>3</v>
      </c>
      <c r="D2136" s="1">
        <v>7.1999999999999993</v>
      </c>
    </row>
    <row r="2137" spans="1:4" x14ac:dyDescent="0.25">
      <c r="A2137" s="16">
        <v>9659</v>
      </c>
      <c r="B2137" s="1">
        <v>1</v>
      </c>
      <c r="C2137" s="1">
        <v>1</v>
      </c>
      <c r="D2137" s="1">
        <v>19.600000000000001</v>
      </c>
    </row>
    <row r="2138" spans="1:4" x14ac:dyDescent="0.25">
      <c r="A2138" s="16">
        <v>9660</v>
      </c>
      <c r="B2138" s="1">
        <v>1</v>
      </c>
      <c r="C2138" s="1">
        <v>1</v>
      </c>
      <c r="D2138" s="1">
        <v>7.6</v>
      </c>
    </row>
    <row r="2139" spans="1:4" x14ac:dyDescent="0.25">
      <c r="A2139" s="16">
        <v>9661</v>
      </c>
      <c r="B2139" s="1">
        <v>1</v>
      </c>
      <c r="C2139" s="1">
        <v>4</v>
      </c>
      <c r="D2139" s="1">
        <v>11.2</v>
      </c>
    </row>
    <row r="2140" spans="1:4" x14ac:dyDescent="0.25">
      <c r="A2140" s="16">
        <v>9662</v>
      </c>
      <c r="B2140" s="1">
        <v>1</v>
      </c>
      <c r="C2140" s="1">
        <v>1</v>
      </c>
      <c r="D2140" s="1">
        <v>6</v>
      </c>
    </row>
    <row r="2141" spans="1:4" x14ac:dyDescent="0.25">
      <c r="A2141" s="16">
        <v>9663</v>
      </c>
      <c r="B2141" s="1">
        <v>1</v>
      </c>
      <c r="C2141" s="1">
        <v>1</v>
      </c>
      <c r="D2141" s="1">
        <v>8.8000000000000007</v>
      </c>
    </row>
    <row r="2142" spans="1:4" x14ac:dyDescent="0.25">
      <c r="A2142" s="16">
        <v>9664</v>
      </c>
      <c r="B2142" s="1">
        <v>1</v>
      </c>
      <c r="C2142" s="1">
        <v>1</v>
      </c>
      <c r="D2142" s="1">
        <v>14</v>
      </c>
    </row>
    <row r="2143" spans="1:4" x14ac:dyDescent="0.25">
      <c r="A2143" s="16">
        <v>9665</v>
      </c>
      <c r="B2143" s="1">
        <v>1</v>
      </c>
      <c r="C2143" s="1">
        <v>1</v>
      </c>
      <c r="D2143" s="1">
        <v>36</v>
      </c>
    </row>
    <row r="2144" spans="1:4" x14ac:dyDescent="0.25">
      <c r="A2144" s="16">
        <v>9666</v>
      </c>
      <c r="B2144" s="1">
        <v>1</v>
      </c>
      <c r="C2144" s="1">
        <v>1</v>
      </c>
      <c r="D2144" s="1">
        <v>8</v>
      </c>
    </row>
    <row r="2145" spans="1:4" x14ac:dyDescent="0.25">
      <c r="A2145" s="16">
        <v>9667</v>
      </c>
      <c r="B2145" s="1">
        <v>1</v>
      </c>
      <c r="C2145" s="1">
        <v>2</v>
      </c>
      <c r="D2145" s="1">
        <v>4.8</v>
      </c>
    </row>
    <row r="2146" spans="1:4" x14ac:dyDescent="0.25">
      <c r="A2146" s="16">
        <v>9668</v>
      </c>
      <c r="B2146" s="1">
        <v>1</v>
      </c>
      <c r="C2146" s="1">
        <v>1</v>
      </c>
      <c r="D2146" s="1">
        <v>19.600000000000001</v>
      </c>
    </row>
    <row r="2147" spans="1:4" x14ac:dyDescent="0.25">
      <c r="A2147" s="16">
        <v>9669</v>
      </c>
      <c r="B2147" s="1">
        <v>1</v>
      </c>
      <c r="C2147" s="1">
        <v>1</v>
      </c>
      <c r="D2147" s="1">
        <v>7.6</v>
      </c>
    </row>
    <row r="2148" spans="1:4" x14ac:dyDescent="0.25">
      <c r="A2148" s="16">
        <v>9670</v>
      </c>
      <c r="B2148" s="1">
        <v>1</v>
      </c>
      <c r="C2148" s="1">
        <v>3</v>
      </c>
      <c r="D2148" s="1">
        <v>8.3999999999999986</v>
      </c>
    </row>
    <row r="2149" spans="1:4" x14ac:dyDescent="0.25">
      <c r="A2149" s="16">
        <v>9671</v>
      </c>
      <c r="B2149" s="1">
        <v>1</v>
      </c>
      <c r="C2149" s="1">
        <v>1</v>
      </c>
      <c r="D2149" s="1">
        <v>6</v>
      </c>
    </row>
    <row r="2150" spans="1:4" x14ac:dyDescent="0.25">
      <c r="A2150" s="16">
        <v>9672</v>
      </c>
      <c r="B2150" s="1">
        <v>1</v>
      </c>
      <c r="C2150" s="1">
        <v>1</v>
      </c>
      <c r="D2150" s="1">
        <v>8.8000000000000007</v>
      </c>
    </row>
    <row r="2151" spans="1:4" x14ac:dyDescent="0.25">
      <c r="A2151" s="16">
        <v>9673</v>
      </c>
      <c r="B2151" s="1">
        <v>1</v>
      </c>
      <c r="C2151" s="1">
        <v>1</v>
      </c>
      <c r="D2151" s="1">
        <v>14</v>
      </c>
    </row>
    <row r="2152" spans="1:4" x14ac:dyDescent="0.25">
      <c r="A2152" s="16">
        <v>9674</v>
      </c>
      <c r="B2152" s="1">
        <v>1</v>
      </c>
      <c r="C2152" s="1">
        <v>1</v>
      </c>
      <c r="D2152" s="1">
        <v>36</v>
      </c>
    </row>
    <row r="2153" spans="1:4" x14ac:dyDescent="0.25">
      <c r="A2153" s="16">
        <v>9675</v>
      </c>
      <c r="B2153" s="1">
        <v>1</v>
      </c>
      <c r="C2153" s="1">
        <v>1</v>
      </c>
      <c r="D2153" s="1">
        <v>8</v>
      </c>
    </row>
    <row r="2154" spans="1:4" x14ac:dyDescent="0.25">
      <c r="A2154" s="16">
        <v>9676</v>
      </c>
      <c r="B2154" s="1">
        <v>1</v>
      </c>
      <c r="C2154" s="1">
        <v>2</v>
      </c>
      <c r="D2154" s="1">
        <v>4.8</v>
      </c>
    </row>
    <row r="2155" spans="1:4" x14ac:dyDescent="0.25">
      <c r="A2155" s="16">
        <v>9677</v>
      </c>
      <c r="B2155" s="1">
        <v>1</v>
      </c>
      <c r="C2155" s="1">
        <v>1</v>
      </c>
      <c r="D2155" s="1">
        <v>19.600000000000001</v>
      </c>
    </row>
    <row r="2156" spans="1:4" x14ac:dyDescent="0.25">
      <c r="A2156" s="16">
        <v>9678</v>
      </c>
      <c r="B2156" s="1">
        <v>1</v>
      </c>
      <c r="C2156" s="1">
        <v>1</v>
      </c>
      <c r="D2156" s="1">
        <v>7.6</v>
      </c>
    </row>
    <row r="2157" spans="1:4" x14ac:dyDescent="0.25">
      <c r="A2157" s="16">
        <v>9679</v>
      </c>
      <c r="B2157" s="1">
        <v>1</v>
      </c>
      <c r="C2157" s="1">
        <v>4</v>
      </c>
      <c r="D2157" s="1">
        <v>11.2</v>
      </c>
    </row>
    <row r="2158" spans="1:4" x14ac:dyDescent="0.25">
      <c r="A2158" s="16">
        <v>9680</v>
      </c>
      <c r="B2158" s="1">
        <v>1</v>
      </c>
      <c r="C2158" s="1">
        <v>1</v>
      </c>
      <c r="D2158" s="1">
        <v>6</v>
      </c>
    </row>
    <row r="2159" spans="1:4" x14ac:dyDescent="0.25">
      <c r="A2159" s="16">
        <v>9681</v>
      </c>
      <c r="B2159" s="1">
        <v>1</v>
      </c>
      <c r="C2159" s="1">
        <v>1</v>
      </c>
      <c r="D2159" s="1">
        <v>8.8000000000000007</v>
      </c>
    </row>
    <row r="2160" spans="1:4" x14ac:dyDescent="0.25">
      <c r="A2160" s="16">
        <v>9682</v>
      </c>
      <c r="B2160" s="1">
        <v>1</v>
      </c>
      <c r="C2160" s="1">
        <v>1</v>
      </c>
      <c r="D2160" s="1">
        <v>14</v>
      </c>
    </row>
    <row r="2161" spans="1:4" x14ac:dyDescent="0.25">
      <c r="A2161" s="16">
        <v>9683</v>
      </c>
      <c r="B2161" s="1">
        <v>1</v>
      </c>
      <c r="C2161" s="1">
        <v>1</v>
      </c>
      <c r="D2161" s="1">
        <v>36</v>
      </c>
    </row>
    <row r="2162" spans="1:4" x14ac:dyDescent="0.25">
      <c r="A2162" s="16">
        <v>9684</v>
      </c>
      <c r="B2162" s="1">
        <v>1</v>
      </c>
      <c r="C2162" s="1">
        <v>1</v>
      </c>
      <c r="D2162" s="1">
        <v>8</v>
      </c>
    </row>
    <row r="2163" spans="1:4" x14ac:dyDescent="0.25">
      <c r="A2163" s="16">
        <v>9685</v>
      </c>
      <c r="B2163" s="1">
        <v>1</v>
      </c>
      <c r="C2163" s="1">
        <v>3</v>
      </c>
      <c r="D2163" s="1">
        <v>7.1999999999999993</v>
      </c>
    </row>
    <row r="2164" spans="1:4" x14ac:dyDescent="0.25">
      <c r="A2164" s="16">
        <v>9686</v>
      </c>
      <c r="B2164" s="1">
        <v>1</v>
      </c>
      <c r="C2164" s="1">
        <v>1</v>
      </c>
      <c r="D2164" s="1">
        <v>19.600000000000001</v>
      </c>
    </row>
    <row r="2165" spans="1:4" x14ac:dyDescent="0.25">
      <c r="A2165" s="16">
        <v>9687</v>
      </c>
      <c r="B2165" s="1">
        <v>1</v>
      </c>
      <c r="C2165" s="1">
        <v>1</v>
      </c>
      <c r="D2165" s="1">
        <v>7.6</v>
      </c>
    </row>
    <row r="2166" spans="1:4" x14ac:dyDescent="0.25">
      <c r="A2166" s="16">
        <v>9688</v>
      </c>
      <c r="B2166" s="1">
        <v>1</v>
      </c>
      <c r="C2166" s="1">
        <v>4</v>
      </c>
      <c r="D2166" s="1">
        <v>11.2</v>
      </c>
    </row>
    <row r="2167" spans="1:4" x14ac:dyDescent="0.25">
      <c r="A2167" s="16">
        <v>9689</v>
      </c>
      <c r="B2167" s="1">
        <v>1</v>
      </c>
      <c r="C2167" s="1">
        <v>1</v>
      </c>
      <c r="D2167" s="1">
        <v>6</v>
      </c>
    </row>
    <row r="2168" spans="1:4" x14ac:dyDescent="0.25">
      <c r="A2168" s="16">
        <v>9690</v>
      </c>
      <c r="B2168" s="1">
        <v>1</v>
      </c>
      <c r="C2168" s="1">
        <v>1</v>
      </c>
      <c r="D2168" s="1">
        <v>8.8000000000000007</v>
      </c>
    </row>
    <row r="2169" spans="1:4" x14ac:dyDescent="0.25">
      <c r="A2169" s="16">
        <v>9691</v>
      </c>
      <c r="B2169" s="1">
        <v>1</v>
      </c>
      <c r="C2169" s="1">
        <v>1</v>
      </c>
      <c r="D2169" s="1">
        <v>14</v>
      </c>
    </row>
    <row r="2170" spans="1:4" x14ac:dyDescent="0.25">
      <c r="A2170" s="16">
        <v>9692</v>
      </c>
      <c r="B2170" s="1">
        <v>1</v>
      </c>
      <c r="C2170" s="1">
        <v>1</v>
      </c>
      <c r="D2170" s="1">
        <v>36</v>
      </c>
    </row>
    <row r="2171" spans="1:4" x14ac:dyDescent="0.25">
      <c r="A2171" s="16">
        <v>9693</v>
      </c>
      <c r="B2171" s="1">
        <v>1</v>
      </c>
      <c r="C2171" s="1">
        <v>1</v>
      </c>
      <c r="D2171" s="1">
        <v>8</v>
      </c>
    </row>
    <row r="2172" spans="1:4" x14ac:dyDescent="0.25">
      <c r="A2172" s="16">
        <v>9694</v>
      </c>
      <c r="B2172" s="1">
        <v>1</v>
      </c>
      <c r="C2172" s="1">
        <v>2</v>
      </c>
      <c r="D2172" s="1">
        <v>4.8</v>
      </c>
    </row>
    <row r="2173" spans="1:4" x14ac:dyDescent="0.25">
      <c r="A2173" s="16">
        <v>9695</v>
      </c>
      <c r="B2173" s="1">
        <v>1</v>
      </c>
      <c r="C2173" s="1">
        <v>1</v>
      </c>
      <c r="D2173" s="1">
        <v>19.600000000000001</v>
      </c>
    </row>
    <row r="2174" spans="1:4" x14ac:dyDescent="0.25">
      <c r="A2174" s="16">
        <v>9696</v>
      </c>
      <c r="B2174" s="1">
        <v>1</v>
      </c>
      <c r="C2174" s="1">
        <v>1</v>
      </c>
      <c r="D2174" s="1">
        <v>7.6</v>
      </c>
    </row>
    <row r="2175" spans="1:4" x14ac:dyDescent="0.25">
      <c r="A2175" s="16">
        <v>9697</v>
      </c>
      <c r="B2175" s="1">
        <v>1</v>
      </c>
      <c r="C2175" s="1">
        <v>3</v>
      </c>
      <c r="D2175" s="1">
        <v>8.3999999999999986</v>
      </c>
    </row>
    <row r="2176" spans="1:4" x14ac:dyDescent="0.25">
      <c r="A2176" s="16">
        <v>9698</v>
      </c>
      <c r="B2176" s="1">
        <v>1</v>
      </c>
      <c r="C2176" s="1">
        <v>1</v>
      </c>
      <c r="D2176" s="1">
        <v>6</v>
      </c>
    </row>
    <row r="2177" spans="1:4" x14ac:dyDescent="0.25">
      <c r="A2177" s="16">
        <v>9699</v>
      </c>
      <c r="B2177" s="1">
        <v>1</v>
      </c>
      <c r="C2177" s="1">
        <v>1</v>
      </c>
      <c r="D2177" s="1">
        <v>8.8000000000000007</v>
      </c>
    </row>
    <row r="2178" spans="1:4" x14ac:dyDescent="0.25">
      <c r="A2178" s="16">
        <v>9700</v>
      </c>
      <c r="B2178" s="1">
        <v>1</v>
      </c>
      <c r="C2178" s="1">
        <v>1</v>
      </c>
      <c r="D2178" s="1">
        <v>14</v>
      </c>
    </row>
    <row r="2179" spans="1:4" x14ac:dyDescent="0.25">
      <c r="A2179" s="16">
        <v>9701</v>
      </c>
      <c r="B2179" s="1">
        <v>1</v>
      </c>
      <c r="C2179" s="1">
        <v>1</v>
      </c>
      <c r="D2179" s="1">
        <v>36</v>
      </c>
    </row>
    <row r="2180" spans="1:4" x14ac:dyDescent="0.25">
      <c r="A2180" s="16">
        <v>9702</v>
      </c>
      <c r="B2180" s="1">
        <v>1</v>
      </c>
      <c r="C2180" s="1">
        <v>1</v>
      </c>
      <c r="D2180" s="1">
        <v>8</v>
      </c>
    </row>
    <row r="2181" spans="1:4" x14ac:dyDescent="0.25">
      <c r="A2181" s="16">
        <v>9703</v>
      </c>
      <c r="B2181" s="1">
        <v>1</v>
      </c>
      <c r="C2181" s="1">
        <v>2</v>
      </c>
      <c r="D2181" s="1">
        <v>4.8</v>
      </c>
    </row>
    <row r="2182" spans="1:4" x14ac:dyDescent="0.25">
      <c r="A2182" s="16">
        <v>9704</v>
      </c>
      <c r="B2182" s="1">
        <v>1</v>
      </c>
      <c r="C2182" s="1">
        <v>1</v>
      </c>
      <c r="D2182" s="1">
        <v>19.600000000000001</v>
      </c>
    </row>
    <row r="2183" spans="1:4" x14ac:dyDescent="0.25">
      <c r="A2183" s="16">
        <v>9705</v>
      </c>
      <c r="B2183" s="1">
        <v>1</v>
      </c>
      <c r="C2183" s="1">
        <v>1</v>
      </c>
      <c r="D2183" s="1">
        <v>7.6</v>
      </c>
    </row>
    <row r="2184" spans="1:4" x14ac:dyDescent="0.25">
      <c r="A2184" s="16">
        <v>9706</v>
      </c>
      <c r="B2184" s="1">
        <v>1</v>
      </c>
      <c r="C2184" s="1">
        <v>3</v>
      </c>
      <c r="D2184" s="1">
        <v>8.3999999999999986</v>
      </c>
    </row>
    <row r="2185" spans="1:4" x14ac:dyDescent="0.25">
      <c r="A2185" s="16">
        <v>9707</v>
      </c>
      <c r="B2185" s="1">
        <v>1</v>
      </c>
      <c r="C2185" s="1">
        <v>1</v>
      </c>
      <c r="D2185" s="1">
        <v>6</v>
      </c>
    </row>
    <row r="2186" spans="1:4" x14ac:dyDescent="0.25">
      <c r="A2186" s="16">
        <v>9708</v>
      </c>
      <c r="B2186" s="1">
        <v>1</v>
      </c>
      <c r="C2186" s="1">
        <v>1</v>
      </c>
      <c r="D2186" s="1">
        <v>8.8000000000000007</v>
      </c>
    </row>
    <row r="2187" spans="1:4" x14ac:dyDescent="0.25">
      <c r="A2187" s="16">
        <v>9709</v>
      </c>
      <c r="B2187" s="1">
        <v>1</v>
      </c>
      <c r="C2187" s="1">
        <v>1</v>
      </c>
      <c r="D2187" s="1">
        <v>14</v>
      </c>
    </row>
    <row r="2188" spans="1:4" x14ac:dyDescent="0.25">
      <c r="A2188" s="16">
        <v>9710</v>
      </c>
      <c r="B2188" s="1">
        <v>1</v>
      </c>
      <c r="C2188" s="1">
        <v>1</v>
      </c>
      <c r="D2188" s="1">
        <v>36</v>
      </c>
    </row>
    <row r="2189" spans="1:4" x14ac:dyDescent="0.25">
      <c r="A2189" s="16">
        <v>9711</v>
      </c>
      <c r="B2189" s="1">
        <v>1</v>
      </c>
      <c r="C2189" s="1">
        <v>1</v>
      </c>
      <c r="D2189" s="1">
        <v>8</v>
      </c>
    </row>
    <row r="2190" spans="1:4" x14ac:dyDescent="0.25">
      <c r="A2190" s="16">
        <v>9712</v>
      </c>
      <c r="B2190" s="1">
        <v>1</v>
      </c>
      <c r="C2190" s="1">
        <v>2</v>
      </c>
      <c r="D2190" s="1">
        <v>4.8</v>
      </c>
    </row>
    <row r="2191" spans="1:4" x14ac:dyDescent="0.25">
      <c r="A2191" s="16">
        <v>9713</v>
      </c>
      <c r="B2191" s="1">
        <v>1</v>
      </c>
      <c r="C2191" s="1">
        <v>1</v>
      </c>
      <c r="D2191" s="1">
        <v>19.600000000000001</v>
      </c>
    </row>
    <row r="2192" spans="1:4" x14ac:dyDescent="0.25">
      <c r="A2192" s="16">
        <v>9714</v>
      </c>
      <c r="B2192" s="1">
        <v>1</v>
      </c>
      <c r="C2192" s="1">
        <v>1</v>
      </c>
      <c r="D2192" s="1">
        <v>7.6</v>
      </c>
    </row>
    <row r="2193" spans="1:4" x14ac:dyDescent="0.25">
      <c r="A2193" s="16">
        <v>9715</v>
      </c>
      <c r="B2193" s="1">
        <v>1</v>
      </c>
      <c r="C2193" s="1">
        <v>4</v>
      </c>
      <c r="D2193" s="1">
        <v>11.2</v>
      </c>
    </row>
    <row r="2194" spans="1:4" x14ac:dyDescent="0.25">
      <c r="A2194" s="16">
        <v>9716</v>
      </c>
      <c r="B2194" s="1">
        <v>1</v>
      </c>
      <c r="C2194" s="1">
        <v>1</v>
      </c>
      <c r="D2194" s="1">
        <v>6</v>
      </c>
    </row>
    <row r="2195" spans="1:4" x14ac:dyDescent="0.25">
      <c r="A2195" s="16">
        <v>9717</v>
      </c>
      <c r="B2195" s="1">
        <v>1</v>
      </c>
      <c r="C2195" s="1">
        <v>1</v>
      </c>
      <c r="D2195" s="1">
        <v>8.8000000000000007</v>
      </c>
    </row>
    <row r="2196" spans="1:4" x14ac:dyDescent="0.25">
      <c r="A2196" s="16">
        <v>9718</v>
      </c>
      <c r="B2196" s="1">
        <v>1</v>
      </c>
      <c r="C2196" s="1">
        <v>2</v>
      </c>
      <c r="D2196" s="1">
        <v>28</v>
      </c>
    </row>
    <row r="2197" spans="1:4" x14ac:dyDescent="0.25">
      <c r="A2197" s="16">
        <v>9719</v>
      </c>
      <c r="B2197" s="1">
        <v>1</v>
      </c>
      <c r="C2197" s="1">
        <v>1</v>
      </c>
      <c r="D2197" s="1">
        <v>36</v>
      </c>
    </row>
    <row r="2198" spans="1:4" x14ac:dyDescent="0.25">
      <c r="A2198" s="16">
        <v>9720</v>
      </c>
      <c r="B2198" s="1">
        <v>1</v>
      </c>
      <c r="C2198" s="1">
        <v>1</v>
      </c>
      <c r="D2198" s="1">
        <v>8</v>
      </c>
    </row>
    <row r="2199" spans="1:4" x14ac:dyDescent="0.25">
      <c r="A2199" s="16">
        <v>9721</v>
      </c>
      <c r="B2199" s="1">
        <v>1</v>
      </c>
      <c r="C2199" s="1">
        <v>3</v>
      </c>
      <c r="D2199" s="1">
        <v>7.1999999999999993</v>
      </c>
    </row>
    <row r="2200" spans="1:4" x14ac:dyDescent="0.25">
      <c r="A2200" s="16">
        <v>9722</v>
      </c>
      <c r="B2200" s="1">
        <v>1</v>
      </c>
      <c r="C2200" s="1">
        <v>1</v>
      </c>
      <c r="D2200" s="1">
        <v>19.600000000000001</v>
      </c>
    </row>
    <row r="2201" spans="1:4" x14ac:dyDescent="0.25">
      <c r="A2201" s="16">
        <v>9723</v>
      </c>
      <c r="B2201" s="1">
        <v>1</v>
      </c>
      <c r="C2201" s="1">
        <v>1</v>
      </c>
      <c r="D2201" s="1">
        <v>7.6</v>
      </c>
    </row>
    <row r="2202" spans="1:4" x14ac:dyDescent="0.25">
      <c r="A2202" s="16">
        <v>9724</v>
      </c>
      <c r="B2202" s="1">
        <v>1</v>
      </c>
      <c r="C2202" s="1">
        <v>3</v>
      </c>
      <c r="D2202" s="1">
        <v>8.3999999999999986</v>
      </c>
    </row>
    <row r="2203" spans="1:4" x14ac:dyDescent="0.25">
      <c r="A2203" s="16">
        <v>9725</v>
      </c>
      <c r="B2203" s="1">
        <v>1</v>
      </c>
      <c r="C2203" s="1">
        <v>1</v>
      </c>
      <c r="D2203" s="1">
        <v>6</v>
      </c>
    </row>
    <row r="2204" spans="1:4" x14ac:dyDescent="0.25">
      <c r="A2204" s="16">
        <v>9726</v>
      </c>
      <c r="B2204" s="1">
        <v>1</v>
      </c>
      <c r="C2204" s="1">
        <v>1</v>
      </c>
      <c r="D2204" s="1">
        <v>8.8000000000000007</v>
      </c>
    </row>
    <row r="2205" spans="1:4" x14ac:dyDescent="0.25">
      <c r="A2205" s="16">
        <v>9727</v>
      </c>
      <c r="B2205" s="1">
        <v>1</v>
      </c>
      <c r="C2205" s="1">
        <v>4</v>
      </c>
      <c r="D2205" s="1">
        <v>11.2</v>
      </c>
    </row>
    <row r="2206" spans="1:4" x14ac:dyDescent="0.25">
      <c r="A2206" s="16">
        <v>9728</v>
      </c>
      <c r="B2206" s="1">
        <v>1</v>
      </c>
      <c r="C2206" s="1">
        <v>1</v>
      </c>
      <c r="D2206" s="1">
        <v>6</v>
      </c>
    </row>
    <row r="2207" spans="1:4" x14ac:dyDescent="0.25">
      <c r="A2207" s="16">
        <v>9729</v>
      </c>
      <c r="B2207" s="1">
        <v>1</v>
      </c>
      <c r="C2207" s="1">
        <v>1</v>
      </c>
      <c r="D2207" s="1">
        <v>8.8000000000000007</v>
      </c>
    </row>
    <row r="2208" spans="1:4" x14ac:dyDescent="0.25">
      <c r="A2208" s="16">
        <v>9730</v>
      </c>
      <c r="B2208" s="1">
        <v>1</v>
      </c>
      <c r="C2208" s="1">
        <v>1</v>
      </c>
      <c r="D2208" s="1">
        <v>14</v>
      </c>
    </row>
    <row r="2209" spans="1:4" x14ac:dyDescent="0.25">
      <c r="A2209" s="16">
        <v>9731</v>
      </c>
      <c r="B2209" s="1">
        <v>1</v>
      </c>
      <c r="C2209" s="1">
        <v>1</v>
      </c>
      <c r="D2209" s="1">
        <v>36</v>
      </c>
    </row>
    <row r="2210" spans="1:4" x14ac:dyDescent="0.25">
      <c r="A2210" s="16">
        <v>9732</v>
      </c>
      <c r="B2210" s="1">
        <v>1</v>
      </c>
      <c r="C2210" s="1">
        <v>1</v>
      </c>
      <c r="D2210" s="1">
        <v>8</v>
      </c>
    </row>
    <row r="2211" spans="1:4" x14ac:dyDescent="0.25">
      <c r="A2211" s="16">
        <v>9733</v>
      </c>
      <c r="B2211" s="1">
        <v>1</v>
      </c>
      <c r="C2211" s="1">
        <v>2</v>
      </c>
      <c r="D2211" s="1">
        <v>4.8</v>
      </c>
    </row>
    <row r="2212" spans="1:4" x14ac:dyDescent="0.25">
      <c r="A2212" s="16">
        <v>9734</v>
      </c>
      <c r="B2212" s="1">
        <v>1</v>
      </c>
      <c r="C2212" s="1">
        <v>1</v>
      </c>
      <c r="D2212" s="1">
        <v>19.600000000000001</v>
      </c>
    </row>
    <row r="2213" spans="1:4" x14ac:dyDescent="0.25">
      <c r="A2213" s="16">
        <v>9735</v>
      </c>
      <c r="B2213" s="1">
        <v>1</v>
      </c>
      <c r="C2213" s="1">
        <v>1</v>
      </c>
      <c r="D2213" s="1">
        <v>7.6</v>
      </c>
    </row>
    <row r="2214" spans="1:4" x14ac:dyDescent="0.25">
      <c r="A2214" s="16">
        <v>9736</v>
      </c>
      <c r="B2214" s="1">
        <v>1</v>
      </c>
      <c r="C2214" s="1">
        <v>3</v>
      </c>
      <c r="D2214" s="1">
        <v>8.3999999999999986</v>
      </c>
    </row>
    <row r="2215" spans="1:4" x14ac:dyDescent="0.25">
      <c r="A2215" s="16">
        <v>9737</v>
      </c>
      <c r="B2215" s="1">
        <v>1</v>
      </c>
      <c r="C2215" s="1">
        <v>2</v>
      </c>
      <c r="D2215" s="1">
        <v>12</v>
      </c>
    </row>
    <row r="2216" spans="1:4" x14ac:dyDescent="0.25">
      <c r="A2216" s="16">
        <v>9738</v>
      </c>
      <c r="B2216" s="1">
        <v>1</v>
      </c>
      <c r="C2216" s="1">
        <v>1</v>
      </c>
      <c r="D2216" s="1">
        <v>6</v>
      </c>
    </row>
    <row r="2217" spans="1:4" x14ac:dyDescent="0.25">
      <c r="A2217" s="16">
        <v>9739</v>
      </c>
      <c r="B2217" s="1">
        <v>1</v>
      </c>
      <c r="C2217" s="1">
        <v>1</v>
      </c>
      <c r="D2217" s="1">
        <v>8</v>
      </c>
    </row>
    <row r="2218" spans="1:4" x14ac:dyDescent="0.25">
      <c r="A2218" s="16">
        <v>9740</v>
      </c>
      <c r="B2218" s="1">
        <v>1</v>
      </c>
      <c r="C2218" s="1">
        <v>1</v>
      </c>
      <c r="D2218" s="1">
        <v>6.4</v>
      </c>
    </row>
    <row r="2219" spans="1:4" x14ac:dyDescent="0.25">
      <c r="A2219" s="16">
        <v>9741</v>
      </c>
      <c r="B2219" s="1">
        <v>1</v>
      </c>
      <c r="C2219" s="1">
        <v>1</v>
      </c>
      <c r="D2219" s="1">
        <v>6.8</v>
      </c>
    </row>
    <row r="2220" spans="1:4" x14ac:dyDescent="0.25">
      <c r="A2220" s="16">
        <v>9742</v>
      </c>
      <c r="B2220" s="1">
        <v>1</v>
      </c>
      <c r="C2220" s="1">
        <v>5</v>
      </c>
      <c r="D2220" s="1">
        <v>14</v>
      </c>
    </row>
    <row r="2221" spans="1:4" x14ac:dyDescent="0.25">
      <c r="A2221" s="16">
        <v>9743</v>
      </c>
      <c r="B2221" s="1">
        <v>1</v>
      </c>
      <c r="C2221" s="1">
        <v>1</v>
      </c>
      <c r="D2221" s="1">
        <v>14</v>
      </c>
    </row>
    <row r="2222" spans="1:4" x14ac:dyDescent="0.25">
      <c r="A2222" s="16">
        <v>9744</v>
      </c>
      <c r="B2222" s="1">
        <v>1</v>
      </c>
      <c r="C2222" s="1">
        <v>1</v>
      </c>
      <c r="D2222" s="1">
        <v>36</v>
      </c>
    </row>
    <row r="2223" spans="1:4" x14ac:dyDescent="0.25">
      <c r="A2223" s="16">
        <v>9745</v>
      </c>
      <c r="B2223" s="1">
        <v>1</v>
      </c>
      <c r="C2223" s="1">
        <v>1</v>
      </c>
      <c r="D2223" s="1">
        <v>8</v>
      </c>
    </row>
    <row r="2224" spans="1:4" x14ac:dyDescent="0.25">
      <c r="A2224" s="16">
        <v>9746</v>
      </c>
      <c r="B2224" s="1">
        <v>1</v>
      </c>
      <c r="C2224" s="1">
        <v>1</v>
      </c>
      <c r="D2224" s="1">
        <v>9.6</v>
      </c>
    </row>
    <row r="2225" spans="1:4" x14ac:dyDescent="0.25">
      <c r="A2225" s="16">
        <v>9747</v>
      </c>
      <c r="B2225" s="1">
        <v>1</v>
      </c>
      <c r="C2225" s="1">
        <v>1</v>
      </c>
      <c r="D2225" s="1">
        <v>12</v>
      </c>
    </row>
    <row r="2226" spans="1:4" x14ac:dyDescent="0.25">
      <c r="A2226" s="16">
        <v>9748</v>
      </c>
      <c r="B2226" s="1">
        <v>1</v>
      </c>
      <c r="C2226" s="1">
        <v>4</v>
      </c>
      <c r="D2226" s="1">
        <v>8</v>
      </c>
    </row>
    <row r="2227" spans="1:4" x14ac:dyDescent="0.25">
      <c r="A2227" s="16">
        <v>9749</v>
      </c>
      <c r="B2227" s="1">
        <v>1</v>
      </c>
      <c r="C2227" s="1">
        <v>1</v>
      </c>
      <c r="D2227" s="1">
        <v>42</v>
      </c>
    </row>
    <row r="2228" spans="1:4" x14ac:dyDescent="0.25">
      <c r="A2228" s="16">
        <v>9750</v>
      </c>
      <c r="B2228" s="1">
        <v>1</v>
      </c>
      <c r="C2228" s="1">
        <v>1</v>
      </c>
      <c r="D2228" s="1">
        <v>12</v>
      </c>
    </row>
    <row r="2229" spans="1:4" x14ac:dyDescent="0.25">
      <c r="A2229" s="16">
        <v>9751</v>
      </c>
      <c r="B2229" s="1">
        <v>1</v>
      </c>
      <c r="C2229" s="1">
        <v>2</v>
      </c>
      <c r="D2229" s="1">
        <v>5.6</v>
      </c>
    </row>
    <row r="2230" spans="1:4" x14ac:dyDescent="0.25">
      <c r="A2230" s="16">
        <v>9752</v>
      </c>
      <c r="B2230" s="1">
        <v>1</v>
      </c>
      <c r="C2230" s="1">
        <v>1</v>
      </c>
      <c r="D2230" s="1">
        <v>6</v>
      </c>
    </row>
    <row r="2231" spans="1:4" x14ac:dyDescent="0.25">
      <c r="A2231" s="16">
        <v>9753</v>
      </c>
      <c r="B2231" s="1">
        <v>1</v>
      </c>
      <c r="C2231" s="1">
        <v>1</v>
      </c>
      <c r="D2231" s="1">
        <v>8.8000000000000007</v>
      </c>
    </row>
    <row r="2232" spans="1:4" x14ac:dyDescent="0.25">
      <c r="A2232" s="16">
        <v>9754</v>
      </c>
      <c r="B2232" s="1">
        <v>1</v>
      </c>
      <c r="C2232" s="1">
        <v>1</v>
      </c>
      <c r="D2232" s="1">
        <v>14</v>
      </c>
    </row>
    <row r="2233" spans="1:4" x14ac:dyDescent="0.25">
      <c r="A2233" s="16">
        <v>9755</v>
      </c>
      <c r="B2233" s="1">
        <v>1</v>
      </c>
      <c r="C2233" s="1">
        <v>1</v>
      </c>
      <c r="D2233" s="1">
        <v>36</v>
      </c>
    </row>
    <row r="2234" spans="1:4" x14ac:dyDescent="0.25">
      <c r="A2234" s="16">
        <v>9756</v>
      </c>
      <c r="B2234" s="1">
        <v>1</v>
      </c>
      <c r="C2234" s="1">
        <v>1</v>
      </c>
      <c r="D2234" s="1">
        <v>8</v>
      </c>
    </row>
    <row r="2235" spans="1:4" x14ac:dyDescent="0.25">
      <c r="A2235" s="16">
        <v>9757</v>
      </c>
      <c r="B2235" s="1">
        <v>1</v>
      </c>
      <c r="C2235" s="1">
        <v>3</v>
      </c>
      <c r="D2235" s="1">
        <v>7.1999999999999993</v>
      </c>
    </row>
    <row r="2236" spans="1:4" x14ac:dyDescent="0.25">
      <c r="A2236" s="16">
        <v>9758</v>
      </c>
      <c r="B2236" s="1">
        <v>1</v>
      </c>
      <c r="C2236" s="1">
        <v>1</v>
      </c>
      <c r="D2236" s="1">
        <v>19.600000000000001</v>
      </c>
    </row>
    <row r="2237" spans="1:4" x14ac:dyDescent="0.25">
      <c r="A2237" s="16">
        <v>9759</v>
      </c>
      <c r="B2237" s="1">
        <v>1</v>
      </c>
      <c r="C2237" s="1">
        <v>1</v>
      </c>
      <c r="D2237" s="1">
        <v>7.6</v>
      </c>
    </row>
    <row r="2238" spans="1:4" x14ac:dyDescent="0.25">
      <c r="A2238" s="16">
        <v>9760</v>
      </c>
      <c r="B2238" s="1">
        <v>1</v>
      </c>
      <c r="C2238" s="1">
        <v>1</v>
      </c>
      <c r="D2238" s="1">
        <v>33.200000000000003</v>
      </c>
    </row>
    <row r="2239" spans="1:4" x14ac:dyDescent="0.25">
      <c r="A2239" s="16">
        <v>9761</v>
      </c>
      <c r="B2239" s="1">
        <v>1</v>
      </c>
      <c r="C2239" s="1">
        <v>5</v>
      </c>
      <c r="D2239" s="1">
        <v>14</v>
      </c>
    </row>
    <row r="2240" spans="1:4" x14ac:dyDescent="0.25">
      <c r="A2240" s="16">
        <v>9762</v>
      </c>
      <c r="B2240" s="1">
        <v>1</v>
      </c>
      <c r="C2240" s="1">
        <v>1</v>
      </c>
      <c r="D2240" s="1">
        <v>6</v>
      </c>
    </row>
    <row r="2241" spans="1:4" x14ac:dyDescent="0.25">
      <c r="A2241" s="16">
        <v>9763</v>
      </c>
      <c r="B2241" s="1">
        <v>1</v>
      </c>
      <c r="C2241" s="1">
        <v>1</v>
      </c>
      <c r="D2241" s="1">
        <v>10</v>
      </c>
    </row>
    <row r="2242" spans="1:4" x14ac:dyDescent="0.25">
      <c r="A2242" s="16">
        <v>9764</v>
      </c>
      <c r="B2242" s="1">
        <v>1</v>
      </c>
      <c r="C2242" s="1">
        <v>1</v>
      </c>
      <c r="D2242" s="1">
        <v>35.200000000000003</v>
      </c>
    </row>
    <row r="2243" spans="1:4" x14ac:dyDescent="0.25">
      <c r="A2243" s="16">
        <v>9765</v>
      </c>
      <c r="B2243" s="1">
        <v>1</v>
      </c>
      <c r="C2243" s="1">
        <v>1</v>
      </c>
      <c r="D2243" s="1">
        <v>20</v>
      </c>
    </row>
    <row r="2244" spans="1:4" x14ac:dyDescent="0.25">
      <c r="A2244" s="16">
        <v>9766</v>
      </c>
      <c r="B2244" s="1">
        <v>1</v>
      </c>
      <c r="C2244" s="1">
        <v>1</v>
      </c>
      <c r="D2244" s="1">
        <v>51.64</v>
      </c>
    </row>
    <row r="2245" spans="1:4" x14ac:dyDescent="0.25">
      <c r="A2245" s="16">
        <v>9767</v>
      </c>
      <c r="B2245" s="1">
        <v>1</v>
      </c>
      <c r="C2245" s="1">
        <v>3</v>
      </c>
      <c r="D2245" s="1">
        <v>8.3999999999999986</v>
      </c>
    </row>
    <row r="2246" spans="1:4" x14ac:dyDescent="0.25">
      <c r="A2246" s="16">
        <v>9768</v>
      </c>
      <c r="B2246" s="1">
        <v>1</v>
      </c>
      <c r="C2246" s="1">
        <v>2</v>
      </c>
      <c r="D2246" s="1">
        <v>12</v>
      </c>
    </row>
    <row r="2247" spans="1:4" x14ac:dyDescent="0.25">
      <c r="A2247" s="16">
        <v>9769</v>
      </c>
      <c r="B2247" s="1">
        <v>1</v>
      </c>
      <c r="C2247" s="1">
        <v>1</v>
      </c>
      <c r="D2247" s="1">
        <v>8.8000000000000007</v>
      </c>
    </row>
    <row r="2248" spans="1:4" x14ac:dyDescent="0.25">
      <c r="A2248" s="16">
        <v>9770</v>
      </c>
      <c r="B2248" s="1">
        <v>1</v>
      </c>
      <c r="C2248" s="1">
        <v>1</v>
      </c>
      <c r="D2248" s="1">
        <v>14</v>
      </c>
    </row>
    <row r="2249" spans="1:4" x14ac:dyDescent="0.25">
      <c r="A2249" s="16">
        <v>9771</v>
      </c>
      <c r="B2249" s="1">
        <v>1</v>
      </c>
      <c r="C2249" s="1">
        <v>1</v>
      </c>
      <c r="D2249" s="1">
        <v>36</v>
      </c>
    </row>
    <row r="2250" spans="1:4" x14ac:dyDescent="0.25">
      <c r="A2250" s="16">
        <v>9772</v>
      </c>
      <c r="B2250" s="1">
        <v>1</v>
      </c>
      <c r="C2250" s="1">
        <v>1</v>
      </c>
      <c r="D2250" s="1">
        <v>8</v>
      </c>
    </row>
    <row r="2251" spans="1:4" x14ac:dyDescent="0.25">
      <c r="A2251" s="16">
        <v>9773</v>
      </c>
      <c r="B2251" s="1">
        <v>1</v>
      </c>
      <c r="C2251" s="1">
        <v>2</v>
      </c>
      <c r="D2251" s="1">
        <v>4.8</v>
      </c>
    </row>
    <row r="2252" spans="1:4" x14ac:dyDescent="0.25">
      <c r="A2252" s="16">
        <v>9774</v>
      </c>
      <c r="B2252" s="1">
        <v>1</v>
      </c>
      <c r="C2252" s="1">
        <v>1</v>
      </c>
      <c r="D2252" s="1">
        <v>19.600000000000001</v>
      </c>
    </row>
    <row r="2253" spans="1:4" x14ac:dyDescent="0.25">
      <c r="A2253" s="16">
        <v>9775</v>
      </c>
      <c r="B2253" s="1">
        <v>1</v>
      </c>
      <c r="C2253" s="1">
        <v>1</v>
      </c>
      <c r="D2253" s="1">
        <v>7.6</v>
      </c>
    </row>
    <row r="2254" spans="1:4" x14ac:dyDescent="0.25">
      <c r="A2254" s="16">
        <v>9776</v>
      </c>
      <c r="B2254" s="1">
        <v>1</v>
      </c>
      <c r="C2254" s="1">
        <v>1</v>
      </c>
      <c r="D2254" s="1">
        <v>51.64</v>
      </c>
    </row>
    <row r="2255" spans="1:4" x14ac:dyDescent="0.25">
      <c r="A2255" s="16">
        <v>9777</v>
      </c>
      <c r="B2255" s="1">
        <v>1</v>
      </c>
      <c r="C2255" s="1">
        <v>4</v>
      </c>
      <c r="D2255" s="1">
        <v>11.2</v>
      </c>
    </row>
    <row r="2256" spans="1:4" x14ac:dyDescent="0.25">
      <c r="A2256" s="16">
        <v>9778</v>
      </c>
      <c r="B2256" s="1">
        <v>1</v>
      </c>
      <c r="C2256" s="1">
        <v>1</v>
      </c>
      <c r="D2256" s="1">
        <v>6</v>
      </c>
    </row>
    <row r="2257" spans="1:4" x14ac:dyDescent="0.25">
      <c r="A2257" s="16">
        <v>9779</v>
      </c>
      <c r="B2257" s="1">
        <v>1</v>
      </c>
      <c r="C2257" s="1">
        <v>1</v>
      </c>
      <c r="D2257" s="1">
        <v>10</v>
      </c>
    </row>
    <row r="2258" spans="1:4" x14ac:dyDescent="0.25">
      <c r="A2258" s="16">
        <v>9780</v>
      </c>
      <c r="B2258" s="1">
        <v>1</v>
      </c>
      <c r="C2258" s="1">
        <v>1</v>
      </c>
      <c r="D2258" s="1">
        <v>12</v>
      </c>
    </row>
    <row r="2259" spans="1:4" x14ac:dyDescent="0.25">
      <c r="A2259" s="16">
        <v>9781</v>
      </c>
      <c r="B2259" s="1">
        <v>1</v>
      </c>
      <c r="C2259" s="1">
        <v>1</v>
      </c>
      <c r="D2259" s="1">
        <v>22</v>
      </c>
    </row>
    <row r="2260" spans="1:4" x14ac:dyDescent="0.25">
      <c r="A2260" s="16">
        <v>9782</v>
      </c>
      <c r="B2260" s="1">
        <v>1</v>
      </c>
      <c r="C2260" s="1">
        <v>1</v>
      </c>
      <c r="D2260" s="1">
        <v>22</v>
      </c>
    </row>
    <row r="2261" spans="1:4" x14ac:dyDescent="0.25">
      <c r="A2261" s="16">
        <v>9783</v>
      </c>
      <c r="B2261" s="1">
        <v>1</v>
      </c>
      <c r="C2261" s="1">
        <v>1</v>
      </c>
      <c r="D2261" s="1">
        <v>40</v>
      </c>
    </row>
    <row r="2262" spans="1:4" x14ac:dyDescent="0.25">
      <c r="A2262" s="16">
        <v>9784</v>
      </c>
      <c r="B2262" s="1">
        <v>1</v>
      </c>
      <c r="C2262" s="1">
        <v>1</v>
      </c>
      <c r="D2262" s="1">
        <v>47.64</v>
      </c>
    </row>
    <row r="2263" spans="1:4" x14ac:dyDescent="0.25">
      <c r="A2263" s="16">
        <v>9785</v>
      </c>
      <c r="B2263" s="1">
        <v>1</v>
      </c>
      <c r="C2263" s="1">
        <v>2</v>
      </c>
      <c r="D2263" s="1">
        <v>12.8</v>
      </c>
    </row>
    <row r="2264" spans="1:4" x14ac:dyDescent="0.25">
      <c r="A2264" s="16">
        <v>9786</v>
      </c>
      <c r="B2264" s="1">
        <v>1</v>
      </c>
      <c r="C2264" s="1">
        <v>3</v>
      </c>
      <c r="D2264" s="1">
        <v>8.3999999999999986</v>
      </c>
    </row>
    <row r="2265" spans="1:4" x14ac:dyDescent="0.25">
      <c r="A2265" s="16">
        <v>9787</v>
      </c>
      <c r="B2265" s="1">
        <v>1</v>
      </c>
      <c r="C2265" s="1">
        <v>1</v>
      </c>
      <c r="D2265" s="1">
        <v>6</v>
      </c>
    </row>
    <row r="2266" spans="1:4" x14ac:dyDescent="0.25">
      <c r="A2266" s="16">
        <v>9788</v>
      </c>
      <c r="B2266" s="1">
        <v>1</v>
      </c>
      <c r="C2266" s="1">
        <v>1</v>
      </c>
      <c r="D2266" s="1">
        <v>8.8000000000000007</v>
      </c>
    </row>
    <row r="2267" spans="1:4" x14ac:dyDescent="0.25">
      <c r="A2267" s="16">
        <v>9789</v>
      </c>
      <c r="B2267" s="1">
        <v>1</v>
      </c>
      <c r="C2267" s="1">
        <v>1</v>
      </c>
      <c r="D2267" s="1">
        <v>14</v>
      </c>
    </row>
    <row r="2268" spans="1:4" x14ac:dyDescent="0.25">
      <c r="A2268" s="16">
        <v>9790</v>
      </c>
      <c r="B2268" s="1">
        <v>1</v>
      </c>
      <c r="C2268" s="1">
        <v>1</v>
      </c>
      <c r="D2268" s="1">
        <v>36</v>
      </c>
    </row>
    <row r="2269" spans="1:4" x14ac:dyDescent="0.25">
      <c r="A2269" s="16">
        <v>9791</v>
      </c>
      <c r="B2269" s="1">
        <v>1</v>
      </c>
      <c r="C2269" s="1">
        <v>1</v>
      </c>
      <c r="D2269" s="1">
        <v>8</v>
      </c>
    </row>
    <row r="2270" spans="1:4" x14ac:dyDescent="0.25">
      <c r="A2270" s="16">
        <v>9792</v>
      </c>
      <c r="B2270" s="1">
        <v>1</v>
      </c>
      <c r="C2270" s="1">
        <v>2</v>
      </c>
      <c r="D2270" s="1">
        <v>4.8</v>
      </c>
    </row>
    <row r="2271" spans="1:4" x14ac:dyDescent="0.25">
      <c r="A2271" s="16">
        <v>9793</v>
      </c>
      <c r="B2271" s="1">
        <v>1</v>
      </c>
      <c r="C2271" s="1">
        <v>1</v>
      </c>
      <c r="D2271" s="1">
        <v>7.2</v>
      </c>
    </row>
    <row r="2272" spans="1:4" x14ac:dyDescent="0.25">
      <c r="A2272" s="16">
        <v>9794</v>
      </c>
      <c r="B2272" s="1">
        <v>1</v>
      </c>
      <c r="C2272" s="1">
        <v>1</v>
      </c>
      <c r="D2272" s="1">
        <v>6</v>
      </c>
    </row>
    <row r="2273" spans="1:4" x14ac:dyDescent="0.25">
      <c r="A2273" s="16">
        <v>9795</v>
      </c>
      <c r="B2273" s="1">
        <v>1</v>
      </c>
      <c r="C2273" s="1">
        <v>1</v>
      </c>
      <c r="D2273" s="1">
        <v>11.6</v>
      </c>
    </row>
    <row r="2274" spans="1:4" x14ac:dyDescent="0.25">
      <c r="A2274" s="16">
        <v>9796</v>
      </c>
      <c r="B2274" s="1">
        <v>1</v>
      </c>
      <c r="C2274" s="1">
        <v>1</v>
      </c>
      <c r="D2274" s="1">
        <v>18</v>
      </c>
    </row>
    <row r="2275" spans="1:4" x14ac:dyDescent="0.25">
      <c r="A2275" s="16">
        <v>9797</v>
      </c>
      <c r="B2275" s="1">
        <v>1</v>
      </c>
      <c r="C2275" s="1">
        <v>1</v>
      </c>
      <c r="D2275" s="1">
        <v>9.6</v>
      </c>
    </row>
    <row r="2276" spans="1:4" x14ac:dyDescent="0.25">
      <c r="A2276" s="16">
        <v>9798</v>
      </c>
      <c r="B2276" s="1">
        <v>1</v>
      </c>
      <c r="C2276" s="1">
        <v>1</v>
      </c>
      <c r="D2276" s="1">
        <v>11.2</v>
      </c>
    </row>
    <row r="2277" spans="1:4" x14ac:dyDescent="0.25">
      <c r="A2277" s="16">
        <v>9799</v>
      </c>
      <c r="B2277" s="1">
        <v>1</v>
      </c>
      <c r="C2277" s="1">
        <v>1</v>
      </c>
      <c r="D2277" s="1">
        <v>18</v>
      </c>
    </row>
    <row r="2278" spans="1:4" x14ac:dyDescent="0.25">
      <c r="A2278" s="16">
        <v>9800</v>
      </c>
      <c r="B2278" s="1">
        <v>1</v>
      </c>
      <c r="C2278" s="1">
        <v>1</v>
      </c>
      <c r="D2278" s="1">
        <v>20</v>
      </c>
    </row>
    <row r="2279" spans="1:4" x14ac:dyDescent="0.25">
      <c r="A2279" s="16">
        <v>9801</v>
      </c>
      <c r="B2279" s="1">
        <v>1</v>
      </c>
      <c r="C2279" s="1">
        <v>1</v>
      </c>
      <c r="D2279" s="1">
        <v>7.6</v>
      </c>
    </row>
    <row r="2280" spans="1:4" x14ac:dyDescent="0.25">
      <c r="A2280" s="16">
        <v>9802</v>
      </c>
      <c r="B2280" s="1">
        <v>1</v>
      </c>
      <c r="C2280" s="1">
        <v>4</v>
      </c>
      <c r="D2280" s="1">
        <v>11.2</v>
      </c>
    </row>
    <row r="2281" spans="1:4" x14ac:dyDescent="0.25">
      <c r="A2281" s="16">
        <v>9803</v>
      </c>
      <c r="B2281" s="1">
        <v>1</v>
      </c>
      <c r="C2281" s="1">
        <v>1</v>
      </c>
      <c r="D2281" s="1">
        <v>6</v>
      </c>
    </row>
    <row r="2282" spans="1:4" x14ac:dyDescent="0.25">
      <c r="A2282" s="16">
        <v>9804</v>
      </c>
      <c r="B2282" s="1">
        <v>1</v>
      </c>
      <c r="C2282" s="1">
        <v>1</v>
      </c>
      <c r="D2282" s="1">
        <v>8.8000000000000007</v>
      </c>
    </row>
    <row r="2283" spans="1:4" x14ac:dyDescent="0.25">
      <c r="A2283" s="16">
        <v>9805</v>
      </c>
      <c r="B2283" s="1">
        <v>1</v>
      </c>
      <c r="C2283" s="1">
        <v>1</v>
      </c>
      <c r="D2283" s="1">
        <v>14</v>
      </c>
    </row>
    <row r="2284" spans="1:4" x14ac:dyDescent="0.25">
      <c r="A2284" s="16">
        <v>9806</v>
      </c>
      <c r="B2284" s="1">
        <v>1</v>
      </c>
      <c r="C2284" s="1">
        <v>1</v>
      </c>
      <c r="D2284" s="1">
        <v>36</v>
      </c>
    </row>
    <row r="2285" spans="1:4" x14ac:dyDescent="0.25">
      <c r="A2285" s="16">
        <v>9807</v>
      </c>
      <c r="B2285" s="1">
        <v>1</v>
      </c>
      <c r="C2285" s="1">
        <v>1</v>
      </c>
      <c r="D2285" s="1">
        <v>8</v>
      </c>
    </row>
    <row r="2286" spans="1:4" x14ac:dyDescent="0.25">
      <c r="A2286" s="16">
        <v>9808</v>
      </c>
      <c r="B2286" s="1">
        <v>1</v>
      </c>
      <c r="C2286" s="1">
        <v>3</v>
      </c>
      <c r="D2286" s="1">
        <v>7.1999999999999993</v>
      </c>
    </row>
    <row r="2287" spans="1:4" x14ac:dyDescent="0.25">
      <c r="A2287" s="16">
        <v>9809</v>
      </c>
      <c r="B2287" s="1">
        <v>1</v>
      </c>
      <c r="C2287" s="1">
        <v>1</v>
      </c>
      <c r="D2287" s="1">
        <v>19.600000000000001</v>
      </c>
    </row>
    <row r="2288" spans="1:4" x14ac:dyDescent="0.25">
      <c r="A2288" s="16">
        <v>9810</v>
      </c>
      <c r="B2288" s="1">
        <v>1</v>
      </c>
      <c r="C2288" s="1">
        <v>1</v>
      </c>
      <c r="D2288" s="1">
        <v>7.6</v>
      </c>
    </row>
    <row r="2289" spans="1:4" x14ac:dyDescent="0.25">
      <c r="A2289" s="16">
        <v>9811</v>
      </c>
      <c r="B2289" s="1">
        <v>1</v>
      </c>
      <c r="C2289" s="1">
        <v>3</v>
      </c>
      <c r="D2289" s="1">
        <v>8.3999999999999986</v>
      </c>
    </row>
    <row r="2290" spans="1:4" x14ac:dyDescent="0.25">
      <c r="A2290" s="16">
        <v>9812</v>
      </c>
      <c r="B2290" s="1">
        <v>1</v>
      </c>
      <c r="C2290" s="1">
        <v>1</v>
      </c>
      <c r="D2290" s="1">
        <v>6</v>
      </c>
    </row>
    <row r="2291" spans="1:4" x14ac:dyDescent="0.25">
      <c r="A2291" s="16">
        <v>9813</v>
      </c>
      <c r="B2291" s="1">
        <v>1</v>
      </c>
      <c r="C2291" s="1">
        <v>1</v>
      </c>
      <c r="D2291" s="1">
        <v>6</v>
      </c>
    </row>
    <row r="2292" spans="1:4" x14ac:dyDescent="0.25">
      <c r="A2292" s="16">
        <v>9814</v>
      </c>
      <c r="B2292" s="1">
        <v>1</v>
      </c>
      <c r="C2292" s="1">
        <v>1</v>
      </c>
      <c r="D2292" s="1">
        <v>8</v>
      </c>
    </row>
    <row r="2293" spans="1:4" x14ac:dyDescent="0.25">
      <c r="A2293" s="16">
        <v>9815</v>
      </c>
      <c r="B2293" s="1">
        <v>1</v>
      </c>
      <c r="C2293" s="1">
        <v>1</v>
      </c>
      <c r="D2293" s="1">
        <v>6.4</v>
      </c>
    </row>
    <row r="2294" spans="1:4" x14ac:dyDescent="0.25">
      <c r="A2294" s="16">
        <v>9816</v>
      </c>
      <c r="B2294" s="1">
        <v>1</v>
      </c>
      <c r="C2294" s="1">
        <v>1</v>
      </c>
      <c r="D2294" s="1">
        <v>6.8</v>
      </c>
    </row>
    <row r="2295" spans="1:4" x14ac:dyDescent="0.25">
      <c r="A2295" s="16">
        <v>9817</v>
      </c>
      <c r="B2295" s="1">
        <v>1</v>
      </c>
      <c r="C2295" s="1">
        <v>1</v>
      </c>
      <c r="D2295" s="1">
        <v>33.200000000000003</v>
      </c>
    </row>
    <row r="2296" spans="1:4" x14ac:dyDescent="0.25">
      <c r="A2296" s="16">
        <v>9818</v>
      </c>
      <c r="B2296" s="1">
        <v>1</v>
      </c>
      <c r="C2296" s="1">
        <v>1</v>
      </c>
      <c r="D2296" s="1">
        <v>10.4</v>
      </c>
    </row>
    <row r="2297" spans="1:4" x14ac:dyDescent="0.25">
      <c r="A2297" s="16">
        <v>9819</v>
      </c>
      <c r="B2297" s="1">
        <v>1</v>
      </c>
      <c r="C2297" s="1">
        <v>1</v>
      </c>
      <c r="D2297" s="1">
        <v>8</v>
      </c>
    </row>
    <row r="2298" spans="1:4" x14ac:dyDescent="0.25">
      <c r="A2298" s="16">
        <v>9820</v>
      </c>
      <c r="B2298" s="1">
        <v>1</v>
      </c>
      <c r="C2298" s="1">
        <v>1</v>
      </c>
      <c r="D2298" s="1">
        <v>59.64</v>
      </c>
    </row>
    <row r="2299" spans="1:4" x14ac:dyDescent="0.25">
      <c r="A2299" s="16">
        <v>9821</v>
      </c>
      <c r="B2299" s="1">
        <v>1</v>
      </c>
      <c r="C2299" s="1">
        <v>4</v>
      </c>
      <c r="D2299" s="1">
        <v>8</v>
      </c>
    </row>
    <row r="2300" spans="1:4" x14ac:dyDescent="0.25">
      <c r="A2300" s="16">
        <v>9822</v>
      </c>
      <c r="B2300" s="1">
        <v>1</v>
      </c>
      <c r="C2300" s="1">
        <v>1</v>
      </c>
      <c r="D2300" s="1">
        <v>7.6</v>
      </c>
    </row>
    <row r="2301" spans="1:4" x14ac:dyDescent="0.25">
      <c r="A2301" s="16">
        <v>9823</v>
      </c>
      <c r="B2301" s="1">
        <v>1</v>
      </c>
      <c r="C2301" s="1">
        <v>1</v>
      </c>
      <c r="D2301" s="1">
        <v>37.6</v>
      </c>
    </row>
    <row r="2302" spans="1:4" x14ac:dyDescent="0.25">
      <c r="A2302" s="16">
        <v>9824</v>
      </c>
      <c r="B2302" s="1">
        <v>1</v>
      </c>
      <c r="C2302" s="1">
        <v>4</v>
      </c>
      <c r="D2302" s="1">
        <v>11.2</v>
      </c>
    </row>
    <row r="2303" spans="1:4" x14ac:dyDescent="0.25">
      <c r="A2303" s="16">
        <v>9825</v>
      </c>
      <c r="B2303" s="1">
        <v>1</v>
      </c>
      <c r="C2303" s="1">
        <v>1</v>
      </c>
      <c r="D2303" s="1">
        <v>6</v>
      </c>
    </row>
    <row r="2304" spans="1:4" x14ac:dyDescent="0.25">
      <c r="A2304" s="16">
        <v>9826</v>
      </c>
      <c r="B2304" s="1">
        <v>1</v>
      </c>
      <c r="C2304" s="1">
        <v>1</v>
      </c>
      <c r="D2304" s="1">
        <v>8.8000000000000007</v>
      </c>
    </row>
    <row r="2305" spans="1:4" x14ac:dyDescent="0.25">
      <c r="A2305" s="16">
        <v>9827</v>
      </c>
      <c r="B2305" s="1">
        <v>1</v>
      </c>
      <c r="C2305" s="1">
        <v>1</v>
      </c>
      <c r="D2305" s="1">
        <v>14</v>
      </c>
    </row>
    <row r="2306" spans="1:4" x14ac:dyDescent="0.25">
      <c r="A2306" s="16">
        <v>9828</v>
      </c>
      <c r="B2306" s="1">
        <v>1</v>
      </c>
      <c r="C2306" s="1">
        <v>1</v>
      </c>
      <c r="D2306" s="1">
        <v>36</v>
      </c>
    </row>
    <row r="2307" spans="1:4" x14ac:dyDescent="0.25">
      <c r="A2307" s="16">
        <v>9829</v>
      </c>
      <c r="B2307" s="1">
        <v>1</v>
      </c>
      <c r="C2307" s="1">
        <v>1</v>
      </c>
      <c r="D2307" s="1">
        <v>8</v>
      </c>
    </row>
    <row r="2308" spans="1:4" x14ac:dyDescent="0.25">
      <c r="A2308" s="16">
        <v>9830</v>
      </c>
      <c r="B2308" s="1">
        <v>1</v>
      </c>
      <c r="C2308" s="1">
        <v>3</v>
      </c>
      <c r="D2308" s="1">
        <v>7.1999999999999993</v>
      </c>
    </row>
    <row r="2309" spans="1:4" x14ac:dyDescent="0.25">
      <c r="A2309" s="16">
        <v>9831</v>
      </c>
      <c r="B2309" s="1">
        <v>1</v>
      </c>
      <c r="C2309" s="1">
        <v>1</v>
      </c>
      <c r="D2309" s="1">
        <v>19.600000000000001</v>
      </c>
    </row>
    <row r="2310" spans="1:4" x14ac:dyDescent="0.25">
      <c r="A2310" s="16">
        <v>9832</v>
      </c>
      <c r="B2310" s="1">
        <v>1</v>
      </c>
      <c r="C2310" s="1">
        <v>1</v>
      </c>
      <c r="D2310" s="1">
        <v>7.6</v>
      </c>
    </row>
    <row r="2311" spans="1:4" x14ac:dyDescent="0.25">
      <c r="A2311" s="16">
        <v>9833</v>
      </c>
      <c r="B2311" s="1">
        <v>1</v>
      </c>
      <c r="C2311" s="1">
        <v>1</v>
      </c>
      <c r="D2311" s="1">
        <v>43.64</v>
      </c>
    </row>
    <row r="2312" spans="1:4" x14ac:dyDescent="0.25">
      <c r="A2312" s="16">
        <v>9834</v>
      </c>
      <c r="B2312" s="1">
        <v>1</v>
      </c>
      <c r="C2312" s="1">
        <v>5</v>
      </c>
      <c r="D2312" s="1">
        <v>14</v>
      </c>
    </row>
    <row r="2313" spans="1:4" x14ac:dyDescent="0.25">
      <c r="A2313" s="16">
        <v>9835</v>
      </c>
      <c r="B2313" s="1">
        <v>1</v>
      </c>
      <c r="C2313" s="1">
        <v>1</v>
      </c>
      <c r="D2313" s="1">
        <v>6</v>
      </c>
    </row>
    <row r="2314" spans="1:4" x14ac:dyDescent="0.25">
      <c r="A2314" s="16">
        <v>9836</v>
      </c>
      <c r="B2314" s="1">
        <v>1</v>
      </c>
      <c r="C2314" s="1">
        <v>1</v>
      </c>
      <c r="D2314" s="1">
        <v>6</v>
      </c>
    </row>
    <row r="2315" spans="1:4" x14ac:dyDescent="0.25">
      <c r="A2315" s="16">
        <v>9837</v>
      </c>
      <c r="B2315" s="1">
        <v>1</v>
      </c>
      <c r="C2315" s="1">
        <v>1</v>
      </c>
      <c r="D2315" s="1">
        <v>7.2</v>
      </c>
    </row>
    <row r="2316" spans="1:4" x14ac:dyDescent="0.25">
      <c r="A2316" s="16">
        <v>9838</v>
      </c>
      <c r="B2316" s="1">
        <v>1</v>
      </c>
      <c r="C2316" s="1">
        <v>1</v>
      </c>
      <c r="D2316" s="1">
        <v>51.64</v>
      </c>
    </row>
    <row r="2317" spans="1:4" x14ac:dyDescent="0.25">
      <c r="A2317" s="16">
        <v>9839</v>
      </c>
      <c r="B2317" s="1">
        <v>1</v>
      </c>
      <c r="C2317" s="1">
        <v>1</v>
      </c>
      <c r="D2317" s="1">
        <v>8</v>
      </c>
    </row>
    <row r="2318" spans="1:4" x14ac:dyDescent="0.25">
      <c r="A2318" s="16">
        <v>9840</v>
      </c>
      <c r="B2318" s="1">
        <v>1</v>
      </c>
      <c r="C2318" s="1">
        <v>1</v>
      </c>
      <c r="D2318" s="1">
        <v>10</v>
      </c>
    </row>
    <row r="2319" spans="1:4" x14ac:dyDescent="0.25">
      <c r="A2319" s="16">
        <v>9841</v>
      </c>
      <c r="B2319" s="1">
        <v>1</v>
      </c>
      <c r="C2319" s="1">
        <v>4</v>
      </c>
      <c r="D2319" s="1">
        <v>11.2</v>
      </c>
    </row>
    <row r="2320" spans="1:4" x14ac:dyDescent="0.25">
      <c r="A2320" s="16">
        <v>9842</v>
      </c>
      <c r="B2320" s="1">
        <v>1</v>
      </c>
      <c r="C2320" s="1">
        <v>1</v>
      </c>
      <c r="D2320" s="1">
        <v>6</v>
      </c>
    </row>
    <row r="2321" spans="1:4" x14ac:dyDescent="0.25">
      <c r="A2321" s="16">
        <v>9843</v>
      </c>
      <c r="B2321" s="1">
        <v>1</v>
      </c>
      <c r="C2321" s="1">
        <v>1</v>
      </c>
      <c r="D2321" s="1">
        <v>8.8000000000000007</v>
      </c>
    </row>
    <row r="2322" spans="1:4" x14ac:dyDescent="0.25">
      <c r="A2322" s="16">
        <v>9844</v>
      </c>
      <c r="B2322" s="1">
        <v>1</v>
      </c>
      <c r="C2322" s="1">
        <v>1</v>
      </c>
      <c r="D2322" s="1">
        <v>14</v>
      </c>
    </row>
    <row r="2323" spans="1:4" x14ac:dyDescent="0.25">
      <c r="A2323" s="16">
        <v>9845</v>
      </c>
      <c r="B2323" s="1">
        <v>1</v>
      </c>
      <c r="C2323" s="1">
        <v>1</v>
      </c>
      <c r="D2323" s="1">
        <v>36</v>
      </c>
    </row>
    <row r="2324" spans="1:4" x14ac:dyDescent="0.25">
      <c r="A2324" s="16">
        <v>9846</v>
      </c>
      <c r="B2324" s="1">
        <v>1</v>
      </c>
      <c r="C2324" s="1">
        <v>1</v>
      </c>
      <c r="D2324" s="1">
        <v>8</v>
      </c>
    </row>
    <row r="2325" spans="1:4" x14ac:dyDescent="0.25">
      <c r="A2325" s="16">
        <v>9847</v>
      </c>
      <c r="B2325" s="1">
        <v>1</v>
      </c>
      <c r="C2325" s="1">
        <v>3</v>
      </c>
      <c r="D2325" s="1">
        <v>7.1999999999999993</v>
      </c>
    </row>
    <row r="2326" spans="1:4" x14ac:dyDescent="0.25">
      <c r="A2326" s="16">
        <v>9848</v>
      </c>
      <c r="B2326" s="1">
        <v>1</v>
      </c>
      <c r="C2326" s="1">
        <v>1</v>
      </c>
      <c r="D2326" s="1">
        <v>19.600000000000001</v>
      </c>
    </row>
    <row r="2327" spans="1:4" x14ac:dyDescent="0.25">
      <c r="A2327" s="16">
        <v>9849</v>
      </c>
      <c r="B2327" s="1">
        <v>1</v>
      </c>
      <c r="C2327" s="1">
        <v>1</v>
      </c>
      <c r="D2327" s="1">
        <v>7.6</v>
      </c>
    </row>
    <row r="2328" spans="1:4" x14ac:dyDescent="0.25">
      <c r="A2328" s="16">
        <v>9850</v>
      </c>
      <c r="B2328" s="1">
        <v>1</v>
      </c>
      <c r="C2328" s="1">
        <v>4</v>
      </c>
      <c r="D2328" s="1">
        <v>11.2</v>
      </c>
    </row>
    <row r="2329" spans="1:4" x14ac:dyDescent="0.25">
      <c r="A2329" s="16">
        <v>9851</v>
      </c>
      <c r="B2329" s="1">
        <v>1</v>
      </c>
      <c r="C2329" s="1">
        <v>1</v>
      </c>
      <c r="D2329" s="1">
        <v>6</v>
      </c>
    </row>
    <row r="2330" spans="1:4" x14ac:dyDescent="0.25">
      <c r="A2330" s="16">
        <v>9852</v>
      </c>
      <c r="B2330" s="1">
        <v>1</v>
      </c>
      <c r="C2330" s="1">
        <v>1</v>
      </c>
      <c r="D2330" s="1">
        <v>8.8000000000000007</v>
      </c>
    </row>
    <row r="2331" spans="1:4" x14ac:dyDescent="0.25">
      <c r="A2331" s="16">
        <v>9853</v>
      </c>
      <c r="B2331" s="1">
        <v>1</v>
      </c>
      <c r="C2331" s="1">
        <v>1</v>
      </c>
      <c r="D2331" s="1">
        <v>14</v>
      </c>
    </row>
    <row r="2332" spans="1:4" x14ac:dyDescent="0.25">
      <c r="A2332" s="16">
        <v>9854</v>
      </c>
      <c r="B2332" s="1">
        <v>1</v>
      </c>
      <c r="C2332" s="1">
        <v>1</v>
      </c>
      <c r="D2332" s="1">
        <v>36</v>
      </c>
    </row>
    <row r="2333" spans="1:4" x14ac:dyDescent="0.25">
      <c r="A2333" s="16">
        <v>9855</v>
      </c>
      <c r="B2333" s="1">
        <v>1</v>
      </c>
      <c r="C2333" s="1">
        <v>1</v>
      </c>
      <c r="D2333" s="1">
        <v>8</v>
      </c>
    </row>
    <row r="2334" spans="1:4" x14ac:dyDescent="0.25">
      <c r="A2334" s="16">
        <v>9856</v>
      </c>
      <c r="B2334" s="1">
        <v>1</v>
      </c>
      <c r="C2334" s="1">
        <v>2</v>
      </c>
      <c r="D2334" s="1">
        <v>4.8</v>
      </c>
    </row>
    <row r="2335" spans="1:4" x14ac:dyDescent="0.25">
      <c r="A2335" s="16">
        <v>9857</v>
      </c>
      <c r="B2335" s="1">
        <v>1</v>
      </c>
      <c r="C2335" s="1">
        <v>1</v>
      </c>
      <c r="D2335" s="1">
        <v>19.600000000000001</v>
      </c>
    </row>
    <row r="2336" spans="1:4" x14ac:dyDescent="0.25">
      <c r="A2336" s="16">
        <v>9858</v>
      </c>
      <c r="B2336" s="1">
        <v>1</v>
      </c>
      <c r="C2336" s="1">
        <v>1</v>
      </c>
      <c r="D2336" s="1">
        <v>7.6</v>
      </c>
    </row>
    <row r="2337" spans="1:4" x14ac:dyDescent="0.25">
      <c r="A2337" s="16">
        <v>9859</v>
      </c>
      <c r="B2337" s="1">
        <v>1</v>
      </c>
      <c r="C2337" s="1">
        <v>3</v>
      </c>
      <c r="D2337" s="1">
        <v>8.3999999999999986</v>
      </c>
    </row>
    <row r="2338" spans="1:4" x14ac:dyDescent="0.25">
      <c r="A2338" s="16">
        <v>9860</v>
      </c>
      <c r="B2338" s="1">
        <v>1</v>
      </c>
      <c r="C2338" s="1">
        <v>1</v>
      </c>
      <c r="D2338" s="1">
        <v>6</v>
      </c>
    </row>
    <row r="2339" spans="1:4" x14ac:dyDescent="0.25">
      <c r="A2339" s="16">
        <v>9861</v>
      </c>
      <c r="B2339" s="1">
        <v>1</v>
      </c>
      <c r="C2339" s="1">
        <v>1</v>
      </c>
      <c r="D2339" s="1">
        <v>6</v>
      </c>
    </row>
    <row r="2340" spans="1:4" x14ac:dyDescent="0.25">
      <c r="A2340" s="16">
        <v>9862</v>
      </c>
      <c r="B2340" s="1">
        <v>1</v>
      </c>
      <c r="C2340" s="1">
        <v>1</v>
      </c>
      <c r="D2340" s="1">
        <v>8</v>
      </c>
    </row>
    <row r="2341" spans="1:4" x14ac:dyDescent="0.25">
      <c r="A2341" s="16">
        <v>9863</v>
      </c>
      <c r="B2341" s="1">
        <v>1</v>
      </c>
      <c r="C2341" s="1">
        <v>1</v>
      </c>
      <c r="D2341" s="1">
        <v>6.4</v>
      </c>
    </row>
    <row r="2342" spans="1:4" x14ac:dyDescent="0.25">
      <c r="A2342" s="16">
        <v>9864</v>
      </c>
      <c r="B2342" s="1">
        <v>1</v>
      </c>
      <c r="C2342" s="1">
        <v>1</v>
      </c>
      <c r="D2342" s="1">
        <v>6.8</v>
      </c>
    </row>
    <row r="2343" spans="1:4" x14ac:dyDescent="0.25">
      <c r="A2343" s="16">
        <v>9865</v>
      </c>
      <c r="B2343" s="1">
        <v>1</v>
      </c>
      <c r="C2343" s="1">
        <v>3</v>
      </c>
      <c r="D2343" s="1">
        <v>8.3999999999999986</v>
      </c>
    </row>
    <row r="2344" spans="1:4" x14ac:dyDescent="0.25">
      <c r="A2344" s="16">
        <v>9866</v>
      </c>
      <c r="B2344" s="1">
        <v>1</v>
      </c>
      <c r="C2344" s="1">
        <v>2</v>
      </c>
      <c r="D2344" s="1">
        <v>12</v>
      </c>
    </row>
    <row r="2345" spans="1:4" x14ac:dyDescent="0.25">
      <c r="A2345" s="16">
        <v>9867</v>
      </c>
      <c r="B2345" s="1">
        <v>1</v>
      </c>
      <c r="C2345" s="1">
        <v>1</v>
      </c>
      <c r="D2345" s="1">
        <v>8.8000000000000007</v>
      </c>
    </row>
    <row r="2346" spans="1:4" x14ac:dyDescent="0.25">
      <c r="A2346" s="16">
        <v>9868</v>
      </c>
      <c r="B2346" s="1">
        <v>1</v>
      </c>
      <c r="C2346" s="1">
        <v>1</v>
      </c>
      <c r="D2346" s="1">
        <v>14</v>
      </c>
    </row>
    <row r="2347" spans="1:4" x14ac:dyDescent="0.25">
      <c r="A2347" s="16">
        <v>9869</v>
      </c>
      <c r="B2347" s="1">
        <v>1</v>
      </c>
      <c r="C2347" s="1">
        <v>1</v>
      </c>
      <c r="D2347" s="1">
        <v>36</v>
      </c>
    </row>
    <row r="2348" spans="1:4" x14ac:dyDescent="0.25">
      <c r="A2348" s="16">
        <v>9870</v>
      </c>
      <c r="B2348" s="1">
        <v>1</v>
      </c>
      <c r="C2348" s="1">
        <v>1</v>
      </c>
      <c r="D2348" s="1">
        <v>8</v>
      </c>
    </row>
    <row r="2349" spans="1:4" x14ac:dyDescent="0.25">
      <c r="A2349" s="16">
        <v>9871</v>
      </c>
      <c r="B2349" s="1">
        <v>1</v>
      </c>
      <c r="C2349" s="1">
        <v>2</v>
      </c>
      <c r="D2349" s="1">
        <v>4.8</v>
      </c>
    </row>
    <row r="2350" spans="1:4" x14ac:dyDescent="0.25">
      <c r="A2350" s="16">
        <v>9872</v>
      </c>
      <c r="B2350" s="1">
        <v>1</v>
      </c>
      <c r="C2350" s="1">
        <v>1</v>
      </c>
      <c r="D2350" s="1">
        <v>19.600000000000001</v>
      </c>
    </row>
    <row r="2351" spans="1:4" x14ac:dyDescent="0.25">
      <c r="A2351" s="16">
        <v>9873</v>
      </c>
      <c r="B2351" s="1">
        <v>1</v>
      </c>
      <c r="C2351" s="1">
        <v>1</v>
      </c>
      <c r="D2351" s="1">
        <v>7.6</v>
      </c>
    </row>
    <row r="2352" spans="1:4" x14ac:dyDescent="0.25">
      <c r="A2352" s="16">
        <v>9874</v>
      </c>
      <c r="B2352" s="1">
        <v>1</v>
      </c>
      <c r="C2352" s="1">
        <v>4</v>
      </c>
      <c r="D2352" s="1">
        <v>11.2</v>
      </c>
    </row>
    <row r="2353" spans="1:4" x14ac:dyDescent="0.25">
      <c r="A2353" s="16">
        <v>9875</v>
      </c>
      <c r="B2353" s="1">
        <v>1</v>
      </c>
      <c r="C2353" s="1">
        <v>1</v>
      </c>
      <c r="D2353" s="1">
        <v>6</v>
      </c>
    </row>
    <row r="2354" spans="1:4" x14ac:dyDescent="0.25">
      <c r="A2354" s="16">
        <v>9876</v>
      </c>
      <c r="B2354" s="1">
        <v>1</v>
      </c>
      <c r="C2354" s="1">
        <v>1</v>
      </c>
      <c r="D2354" s="1">
        <v>10</v>
      </c>
    </row>
    <row r="2355" spans="1:4" x14ac:dyDescent="0.25">
      <c r="A2355" s="16">
        <v>9877</v>
      </c>
      <c r="B2355" s="1">
        <v>1</v>
      </c>
      <c r="C2355" s="1">
        <v>4</v>
      </c>
      <c r="D2355" s="1">
        <v>11.2</v>
      </c>
    </row>
    <row r="2356" spans="1:4" x14ac:dyDescent="0.25">
      <c r="A2356" s="16">
        <v>9878</v>
      </c>
      <c r="B2356" s="1">
        <v>1</v>
      </c>
      <c r="C2356" s="1">
        <v>1</v>
      </c>
      <c r="D2356" s="1">
        <v>6</v>
      </c>
    </row>
    <row r="2357" spans="1:4" x14ac:dyDescent="0.25">
      <c r="A2357" s="16">
        <v>9879</v>
      </c>
      <c r="B2357" s="1">
        <v>1</v>
      </c>
      <c r="C2357" s="1">
        <v>1</v>
      </c>
      <c r="D2357" s="1">
        <v>8.8000000000000007</v>
      </c>
    </row>
    <row r="2358" spans="1:4" x14ac:dyDescent="0.25">
      <c r="A2358" s="16">
        <v>9880</v>
      </c>
      <c r="B2358" s="1">
        <v>1</v>
      </c>
      <c r="C2358" s="1">
        <v>1</v>
      </c>
      <c r="D2358" s="1">
        <v>14</v>
      </c>
    </row>
    <row r="2359" spans="1:4" x14ac:dyDescent="0.25">
      <c r="A2359" s="16">
        <v>9881</v>
      </c>
      <c r="B2359" s="1">
        <v>1</v>
      </c>
      <c r="C2359" s="1">
        <v>1</v>
      </c>
      <c r="D2359" s="1">
        <v>36</v>
      </c>
    </row>
    <row r="2360" spans="1:4" x14ac:dyDescent="0.25">
      <c r="A2360" s="16">
        <v>9882</v>
      </c>
      <c r="B2360" s="1">
        <v>1</v>
      </c>
      <c r="C2360" s="1">
        <v>1</v>
      </c>
      <c r="D2360" s="1">
        <v>8</v>
      </c>
    </row>
    <row r="2361" spans="1:4" x14ac:dyDescent="0.25">
      <c r="A2361" s="16">
        <v>9883</v>
      </c>
      <c r="B2361" s="1">
        <v>1</v>
      </c>
      <c r="C2361" s="1">
        <v>3</v>
      </c>
      <c r="D2361" s="1">
        <v>7.1999999999999993</v>
      </c>
    </row>
    <row r="2362" spans="1:4" x14ac:dyDescent="0.25">
      <c r="A2362" s="16">
        <v>9884</v>
      </c>
      <c r="B2362" s="1">
        <v>1</v>
      </c>
      <c r="C2362" s="1">
        <v>1</v>
      </c>
      <c r="D2362" s="1">
        <v>19.600000000000001</v>
      </c>
    </row>
    <row r="2363" spans="1:4" x14ac:dyDescent="0.25">
      <c r="A2363" s="16">
        <v>9885</v>
      </c>
      <c r="B2363" s="1">
        <v>1</v>
      </c>
      <c r="C2363" s="1">
        <v>1</v>
      </c>
      <c r="D2363" s="1">
        <v>7.6</v>
      </c>
    </row>
    <row r="2364" spans="1:4" x14ac:dyDescent="0.25">
      <c r="A2364" s="16">
        <v>9886</v>
      </c>
      <c r="B2364" s="1">
        <v>1</v>
      </c>
      <c r="C2364" s="1">
        <v>3</v>
      </c>
      <c r="D2364" s="1">
        <v>8.3999999999999986</v>
      </c>
    </row>
    <row r="2365" spans="1:4" x14ac:dyDescent="0.25">
      <c r="A2365" s="16">
        <v>9887</v>
      </c>
      <c r="B2365" s="1">
        <v>1</v>
      </c>
      <c r="C2365" s="1">
        <v>2</v>
      </c>
      <c r="D2365" s="1">
        <v>12</v>
      </c>
    </row>
    <row r="2366" spans="1:4" x14ac:dyDescent="0.25">
      <c r="A2366" s="16">
        <v>9888</v>
      </c>
      <c r="B2366" s="1">
        <v>1</v>
      </c>
      <c r="C2366" s="1">
        <v>1</v>
      </c>
      <c r="D2366" s="1">
        <v>6</v>
      </c>
    </row>
    <row r="2367" spans="1:4" x14ac:dyDescent="0.25">
      <c r="A2367" s="16">
        <v>9889</v>
      </c>
      <c r="B2367" s="1">
        <v>1</v>
      </c>
      <c r="C2367" s="1">
        <v>1</v>
      </c>
      <c r="D2367" s="1">
        <v>8</v>
      </c>
    </row>
    <row r="2368" spans="1:4" x14ac:dyDescent="0.25">
      <c r="A2368" s="16">
        <v>9890</v>
      </c>
      <c r="B2368" s="1">
        <v>1</v>
      </c>
      <c r="C2368" s="1">
        <v>1</v>
      </c>
      <c r="D2368" s="1">
        <v>6.4</v>
      </c>
    </row>
    <row r="2369" spans="1:4" x14ac:dyDescent="0.25">
      <c r="A2369" s="16">
        <v>9891</v>
      </c>
      <c r="B2369" s="1">
        <v>1</v>
      </c>
      <c r="C2369" s="1">
        <v>1</v>
      </c>
      <c r="D2369" s="1">
        <v>6.8</v>
      </c>
    </row>
    <row r="2370" spans="1:4" x14ac:dyDescent="0.25">
      <c r="A2370" s="16">
        <v>9892</v>
      </c>
      <c r="B2370" s="1">
        <v>1</v>
      </c>
      <c r="C2370" s="1">
        <v>1</v>
      </c>
      <c r="D2370" s="1">
        <v>35.200000000000003</v>
      </c>
    </row>
    <row r="2371" spans="1:4" x14ac:dyDescent="0.25">
      <c r="A2371" s="16">
        <v>9893</v>
      </c>
      <c r="B2371" s="1">
        <v>1</v>
      </c>
      <c r="C2371" s="1">
        <v>1</v>
      </c>
      <c r="D2371" s="1">
        <v>10.4</v>
      </c>
    </row>
    <row r="2372" spans="1:4" x14ac:dyDescent="0.25">
      <c r="A2372" s="16">
        <v>9894</v>
      </c>
      <c r="B2372" s="1">
        <v>1</v>
      </c>
      <c r="C2372" s="1">
        <v>1</v>
      </c>
      <c r="D2372" s="1">
        <v>8</v>
      </c>
    </row>
    <row r="2373" spans="1:4" x14ac:dyDescent="0.25">
      <c r="A2373" s="16">
        <v>9895</v>
      </c>
      <c r="B2373" s="1">
        <v>1</v>
      </c>
      <c r="C2373" s="1">
        <v>1</v>
      </c>
      <c r="D2373" s="1">
        <v>59.64</v>
      </c>
    </row>
    <row r="2374" spans="1:4" x14ac:dyDescent="0.25">
      <c r="A2374" s="16">
        <v>9896</v>
      </c>
      <c r="B2374" s="1">
        <v>1</v>
      </c>
      <c r="C2374" s="1">
        <v>4</v>
      </c>
      <c r="D2374" s="1">
        <v>8</v>
      </c>
    </row>
    <row r="2375" spans="1:4" x14ac:dyDescent="0.25">
      <c r="A2375" s="16">
        <v>9897</v>
      </c>
      <c r="B2375" s="1">
        <v>1</v>
      </c>
      <c r="C2375" s="1">
        <v>1</v>
      </c>
      <c r="D2375" s="1">
        <v>7.6</v>
      </c>
    </row>
    <row r="2376" spans="1:4" x14ac:dyDescent="0.25">
      <c r="A2376" s="16">
        <v>9898</v>
      </c>
      <c r="B2376" s="1">
        <v>1</v>
      </c>
      <c r="C2376" s="1">
        <v>1</v>
      </c>
      <c r="D2376" s="1">
        <v>37.6</v>
      </c>
    </row>
    <row r="2377" spans="1:4" x14ac:dyDescent="0.25">
      <c r="A2377" s="16">
        <v>9899</v>
      </c>
      <c r="B2377" s="1">
        <v>1</v>
      </c>
      <c r="C2377" s="1">
        <v>5</v>
      </c>
      <c r="D2377" s="1">
        <v>14</v>
      </c>
    </row>
    <row r="2378" spans="1:4" x14ac:dyDescent="0.25">
      <c r="A2378" s="16">
        <v>9900</v>
      </c>
      <c r="B2378" s="1">
        <v>1</v>
      </c>
      <c r="C2378" s="1">
        <v>1</v>
      </c>
      <c r="D2378" s="1">
        <v>6</v>
      </c>
    </row>
    <row r="2379" spans="1:4" x14ac:dyDescent="0.25">
      <c r="A2379" s="16">
        <v>9901</v>
      </c>
      <c r="B2379" s="1">
        <v>1</v>
      </c>
      <c r="C2379" s="1">
        <v>1</v>
      </c>
      <c r="D2379" s="1">
        <v>8.8000000000000007</v>
      </c>
    </row>
    <row r="2380" spans="1:4" x14ac:dyDescent="0.25">
      <c r="A2380" s="16">
        <v>9902</v>
      </c>
      <c r="B2380" s="1">
        <v>1</v>
      </c>
      <c r="C2380" s="1">
        <v>1</v>
      </c>
      <c r="D2380" s="1">
        <v>14</v>
      </c>
    </row>
    <row r="2381" spans="1:4" x14ac:dyDescent="0.25">
      <c r="A2381" s="16">
        <v>9903</v>
      </c>
      <c r="B2381" s="1">
        <v>1</v>
      </c>
      <c r="C2381" s="1">
        <v>1</v>
      </c>
      <c r="D2381" s="1">
        <v>36</v>
      </c>
    </row>
    <row r="2382" spans="1:4" x14ac:dyDescent="0.25">
      <c r="A2382" s="16">
        <v>9904</v>
      </c>
      <c r="B2382" s="1">
        <v>1</v>
      </c>
      <c r="C2382" s="1">
        <v>1</v>
      </c>
      <c r="D2382" s="1">
        <v>8</v>
      </c>
    </row>
    <row r="2383" spans="1:4" x14ac:dyDescent="0.25">
      <c r="A2383" s="16">
        <v>9905</v>
      </c>
      <c r="B2383" s="1">
        <v>1</v>
      </c>
      <c r="C2383" s="1">
        <v>3</v>
      </c>
      <c r="D2383" s="1">
        <v>7.1999999999999993</v>
      </c>
    </row>
    <row r="2384" spans="1:4" x14ac:dyDescent="0.25">
      <c r="A2384" s="16">
        <v>9906</v>
      </c>
      <c r="B2384" s="1">
        <v>1</v>
      </c>
      <c r="C2384" s="1">
        <v>1</v>
      </c>
      <c r="D2384" s="1">
        <v>19.600000000000001</v>
      </c>
    </row>
    <row r="2385" spans="1:4" x14ac:dyDescent="0.25">
      <c r="A2385" s="16">
        <v>9907</v>
      </c>
      <c r="B2385" s="1">
        <v>1</v>
      </c>
      <c r="C2385" s="1">
        <v>1</v>
      </c>
      <c r="D2385" s="1">
        <v>7.6</v>
      </c>
    </row>
    <row r="2386" spans="1:4" x14ac:dyDescent="0.25">
      <c r="A2386" s="16">
        <v>9908</v>
      </c>
      <c r="B2386" s="1">
        <v>1</v>
      </c>
      <c r="C2386" s="1">
        <v>3</v>
      </c>
      <c r="D2386" s="1">
        <v>8.3999999999999986</v>
      </c>
    </row>
    <row r="2387" spans="1:4" x14ac:dyDescent="0.25">
      <c r="A2387" s="16">
        <v>9909</v>
      </c>
      <c r="B2387" s="1">
        <v>1</v>
      </c>
      <c r="C2387" s="1">
        <v>2</v>
      </c>
      <c r="D2387" s="1">
        <v>12</v>
      </c>
    </row>
    <row r="2388" spans="1:4" x14ac:dyDescent="0.25">
      <c r="A2388" s="16">
        <v>9910</v>
      </c>
      <c r="B2388" s="1">
        <v>1</v>
      </c>
      <c r="C2388" s="1">
        <v>1</v>
      </c>
      <c r="D2388" s="1">
        <v>6</v>
      </c>
    </row>
    <row r="2389" spans="1:4" x14ac:dyDescent="0.25">
      <c r="A2389" s="16">
        <v>9911</v>
      </c>
      <c r="B2389" s="1">
        <v>1</v>
      </c>
      <c r="C2389" s="1">
        <v>1</v>
      </c>
      <c r="D2389" s="1">
        <v>7.2</v>
      </c>
    </row>
    <row r="2390" spans="1:4" x14ac:dyDescent="0.25">
      <c r="A2390" s="16">
        <v>9912</v>
      </c>
      <c r="B2390" s="1">
        <v>1</v>
      </c>
      <c r="C2390" s="1">
        <v>1</v>
      </c>
      <c r="D2390" s="1">
        <v>51.64</v>
      </c>
    </row>
    <row r="2391" spans="1:4" x14ac:dyDescent="0.25">
      <c r="A2391" s="16">
        <v>9913</v>
      </c>
      <c r="B2391" s="1">
        <v>1</v>
      </c>
      <c r="C2391" s="1">
        <v>1</v>
      </c>
      <c r="D2391" s="1">
        <v>8</v>
      </c>
    </row>
    <row r="2392" spans="1:4" x14ac:dyDescent="0.25">
      <c r="A2392" s="16">
        <v>9914</v>
      </c>
      <c r="B2392" s="1">
        <v>1</v>
      </c>
      <c r="C2392" s="1">
        <v>1</v>
      </c>
      <c r="D2392" s="1">
        <v>10</v>
      </c>
    </row>
    <row r="2393" spans="1:4" x14ac:dyDescent="0.25">
      <c r="A2393" s="16">
        <v>9915</v>
      </c>
      <c r="B2393" s="1">
        <v>1</v>
      </c>
      <c r="C2393" s="1">
        <v>4</v>
      </c>
      <c r="D2393" s="1">
        <v>11.2</v>
      </c>
    </row>
    <row r="2394" spans="1:4" x14ac:dyDescent="0.25">
      <c r="A2394" s="16">
        <v>9916</v>
      </c>
      <c r="B2394" s="1">
        <v>1</v>
      </c>
      <c r="C2394" s="1">
        <v>1</v>
      </c>
      <c r="D2394" s="1">
        <v>6</v>
      </c>
    </row>
    <row r="2395" spans="1:4" x14ac:dyDescent="0.25">
      <c r="A2395" s="16">
        <v>9917</v>
      </c>
      <c r="B2395" s="1">
        <v>1</v>
      </c>
      <c r="C2395" s="1">
        <v>1</v>
      </c>
      <c r="D2395" s="1">
        <v>8.8000000000000007</v>
      </c>
    </row>
    <row r="2396" spans="1:4" x14ac:dyDescent="0.25">
      <c r="A2396" s="16">
        <v>9918</v>
      </c>
      <c r="B2396" s="1">
        <v>1</v>
      </c>
      <c r="C2396" s="1">
        <v>1</v>
      </c>
      <c r="D2396" s="1">
        <v>14</v>
      </c>
    </row>
    <row r="2397" spans="1:4" x14ac:dyDescent="0.25">
      <c r="A2397" s="16">
        <v>9919</v>
      </c>
      <c r="B2397" s="1">
        <v>1</v>
      </c>
      <c r="C2397" s="1">
        <v>1</v>
      </c>
      <c r="D2397" s="1">
        <v>36</v>
      </c>
    </row>
    <row r="2398" spans="1:4" x14ac:dyDescent="0.25">
      <c r="A2398" s="16">
        <v>9920</v>
      </c>
      <c r="B2398" s="1">
        <v>1</v>
      </c>
      <c r="C2398" s="1">
        <v>1</v>
      </c>
      <c r="D2398" s="1">
        <v>8</v>
      </c>
    </row>
    <row r="2399" spans="1:4" x14ac:dyDescent="0.25">
      <c r="A2399" s="16">
        <v>9921</v>
      </c>
      <c r="B2399" s="1">
        <v>1</v>
      </c>
      <c r="C2399" s="1">
        <v>2</v>
      </c>
      <c r="D2399" s="1">
        <v>4.8</v>
      </c>
    </row>
    <row r="2400" spans="1:4" x14ac:dyDescent="0.25">
      <c r="A2400" s="16">
        <v>9922</v>
      </c>
      <c r="B2400" s="1">
        <v>1</v>
      </c>
      <c r="C2400" s="1">
        <v>1</v>
      </c>
      <c r="D2400" s="1">
        <v>19.600000000000001</v>
      </c>
    </row>
    <row r="2401" spans="1:4" x14ac:dyDescent="0.25">
      <c r="A2401" s="16">
        <v>9923</v>
      </c>
      <c r="B2401" s="1">
        <v>1</v>
      </c>
      <c r="C2401" s="1">
        <v>1</v>
      </c>
      <c r="D2401" s="1">
        <v>7.6</v>
      </c>
    </row>
    <row r="2402" spans="1:4" x14ac:dyDescent="0.25">
      <c r="A2402" s="16">
        <v>9924</v>
      </c>
      <c r="B2402" s="1">
        <v>1</v>
      </c>
      <c r="C2402" s="1">
        <v>3</v>
      </c>
      <c r="D2402" s="1">
        <v>8.3999999999999986</v>
      </c>
    </row>
    <row r="2403" spans="1:4" x14ac:dyDescent="0.25">
      <c r="A2403" s="16">
        <v>9925</v>
      </c>
      <c r="B2403" s="1">
        <v>1</v>
      </c>
      <c r="C2403" s="1">
        <v>1</v>
      </c>
      <c r="D2403" s="1">
        <v>6</v>
      </c>
    </row>
    <row r="2404" spans="1:4" x14ac:dyDescent="0.25">
      <c r="A2404" s="16">
        <v>9926</v>
      </c>
      <c r="B2404" s="1">
        <v>1</v>
      </c>
      <c r="C2404" s="1">
        <v>1</v>
      </c>
      <c r="D2404" s="1">
        <v>10</v>
      </c>
    </row>
    <row r="2405" spans="1:4" x14ac:dyDescent="0.25">
      <c r="A2405" s="16">
        <v>9927</v>
      </c>
      <c r="B2405" s="1">
        <v>1</v>
      </c>
      <c r="C2405" s="1">
        <v>1</v>
      </c>
      <c r="D2405" s="1">
        <v>35.200000000000003</v>
      </c>
    </row>
    <row r="2406" spans="1:4" x14ac:dyDescent="0.25">
      <c r="A2406" s="16">
        <v>9928</v>
      </c>
      <c r="B2406" s="1">
        <v>1</v>
      </c>
      <c r="C2406" s="1">
        <v>1</v>
      </c>
      <c r="D2406" s="1">
        <v>20</v>
      </c>
    </row>
    <row r="2407" spans="1:4" x14ac:dyDescent="0.25">
      <c r="A2407" s="16">
        <v>9929</v>
      </c>
      <c r="B2407" s="1">
        <v>1</v>
      </c>
      <c r="C2407" s="1">
        <v>1</v>
      </c>
      <c r="D2407" s="1">
        <v>51.64</v>
      </c>
    </row>
    <row r="2408" spans="1:4" x14ac:dyDescent="0.25">
      <c r="A2408" s="16">
        <v>9930</v>
      </c>
      <c r="B2408" s="1">
        <v>1</v>
      </c>
      <c r="C2408" s="1">
        <v>4</v>
      </c>
      <c r="D2408" s="1">
        <v>11.2</v>
      </c>
    </row>
    <row r="2409" spans="1:4" x14ac:dyDescent="0.25">
      <c r="A2409" s="16">
        <v>9931</v>
      </c>
      <c r="B2409" s="1">
        <v>1</v>
      </c>
      <c r="C2409" s="1">
        <v>1</v>
      </c>
      <c r="D2409" s="1">
        <v>6</v>
      </c>
    </row>
    <row r="2410" spans="1:4" x14ac:dyDescent="0.25">
      <c r="A2410" s="16">
        <v>9932</v>
      </c>
      <c r="B2410" s="1">
        <v>1</v>
      </c>
      <c r="C2410" s="1">
        <v>1</v>
      </c>
      <c r="D2410" s="1">
        <v>8.8000000000000007</v>
      </c>
    </row>
    <row r="2411" spans="1:4" x14ac:dyDescent="0.25">
      <c r="A2411" s="16">
        <v>9933</v>
      </c>
      <c r="B2411" s="1">
        <v>1</v>
      </c>
      <c r="C2411" s="1">
        <v>1</v>
      </c>
      <c r="D2411" s="1">
        <v>14</v>
      </c>
    </row>
    <row r="2412" spans="1:4" x14ac:dyDescent="0.25">
      <c r="A2412" s="16">
        <v>9934</v>
      </c>
      <c r="B2412" s="1">
        <v>1</v>
      </c>
      <c r="C2412" s="1">
        <v>1</v>
      </c>
      <c r="D2412" s="1">
        <v>36</v>
      </c>
    </row>
    <row r="2413" spans="1:4" x14ac:dyDescent="0.25">
      <c r="A2413" s="16">
        <v>9935</v>
      </c>
      <c r="B2413" s="1">
        <v>1</v>
      </c>
      <c r="C2413" s="1">
        <v>1</v>
      </c>
      <c r="D2413" s="1">
        <v>8</v>
      </c>
    </row>
    <row r="2414" spans="1:4" x14ac:dyDescent="0.25">
      <c r="A2414" s="16">
        <v>9936</v>
      </c>
      <c r="B2414" s="1">
        <v>1</v>
      </c>
      <c r="C2414" s="1">
        <v>3</v>
      </c>
      <c r="D2414" s="1">
        <v>7.1999999999999993</v>
      </c>
    </row>
    <row r="2415" spans="1:4" x14ac:dyDescent="0.25">
      <c r="A2415" s="16">
        <v>9937</v>
      </c>
      <c r="B2415" s="1">
        <v>1</v>
      </c>
      <c r="C2415" s="1">
        <v>1</v>
      </c>
      <c r="D2415" s="1">
        <v>19.600000000000001</v>
      </c>
    </row>
    <row r="2416" spans="1:4" x14ac:dyDescent="0.25">
      <c r="A2416" s="16">
        <v>9938</v>
      </c>
      <c r="B2416" s="1">
        <v>1</v>
      </c>
      <c r="C2416" s="1">
        <v>1</v>
      </c>
      <c r="D2416" s="1">
        <v>7.6</v>
      </c>
    </row>
    <row r="2417" spans="1:4" x14ac:dyDescent="0.25">
      <c r="A2417" s="16">
        <v>9939</v>
      </c>
      <c r="B2417" s="1">
        <v>1</v>
      </c>
      <c r="C2417" s="1">
        <v>4</v>
      </c>
      <c r="D2417" s="1">
        <v>11.2</v>
      </c>
    </row>
    <row r="2418" spans="1:4" x14ac:dyDescent="0.25">
      <c r="A2418" s="16">
        <v>9940</v>
      </c>
      <c r="B2418" s="1">
        <v>1</v>
      </c>
      <c r="C2418" s="1">
        <v>1</v>
      </c>
      <c r="D2418" s="1">
        <v>6</v>
      </c>
    </row>
    <row r="2419" spans="1:4" x14ac:dyDescent="0.25">
      <c r="A2419" s="16">
        <v>9941</v>
      </c>
      <c r="B2419" s="1">
        <v>1</v>
      </c>
      <c r="C2419" s="1">
        <v>1</v>
      </c>
      <c r="D2419" s="1">
        <v>8.8000000000000007</v>
      </c>
    </row>
    <row r="2420" spans="1:4" x14ac:dyDescent="0.25">
      <c r="A2420" s="16">
        <v>9942</v>
      </c>
      <c r="B2420" s="1">
        <v>1</v>
      </c>
      <c r="C2420" s="1">
        <v>1</v>
      </c>
      <c r="D2420" s="1">
        <v>14</v>
      </c>
    </row>
    <row r="2421" spans="1:4" x14ac:dyDescent="0.25">
      <c r="A2421" s="16">
        <v>9943</v>
      </c>
      <c r="B2421" s="1">
        <v>1</v>
      </c>
      <c r="C2421" s="1">
        <v>1</v>
      </c>
      <c r="D2421" s="1">
        <v>36</v>
      </c>
    </row>
    <row r="2422" spans="1:4" x14ac:dyDescent="0.25">
      <c r="A2422" s="16">
        <v>9944</v>
      </c>
      <c r="B2422" s="1">
        <v>1</v>
      </c>
      <c r="C2422" s="1">
        <v>1</v>
      </c>
      <c r="D2422" s="1">
        <v>8</v>
      </c>
    </row>
    <row r="2423" spans="1:4" x14ac:dyDescent="0.25">
      <c r="A2423" s="16">
        <v>9945</v>
      </c>
      <c r="B2423" s="1">
        <v>1</v>
      </c>
      <c r="C2423" s="1">
        <v>2</v>
      </c>
      <c r="D2423" s="1">
        <v>4.8</v>
      </c>
    </row>
    <row r="2424" spans="1:4" x14ac:dyDescent="0.25">
      <c r="A2424" s="16">
        <v>9946</v>
      </c>
      <c r="B2424" s="1">
        <v>1</v>
      </c>
      <c r="C2424" s="1">
        <v>1</v>
      </c>
      <c r="D2424" s="1">
        <v>19.600000000000001</v>
      </c>
    </row>
    <row r="2425" spans="1:4" x14ac:dyDescent="0.25">
      <c r="A2425" s="16">
        <v>9947</v>
      </c>
      <c r="B2425" s="1">
        <v>1</v>
      </c>
      <c r="C2425" s="1">
        <v>1</v>
      </c>
      <c r="D2425" s="1">
        <v>7.6</v>
      </c>
    </row>
    <row r="2426" spans="1:4" x14ac:dyDescent="0.25">
      <c r="A2426" s="16">
        <v>9948</v>
      </c>
      <c r="B2426" s="1">
        <v>1</v>
      </c>
      <c r="C2426" s="1">
        <v>3</v>
      </c>
      <c r="D2426" s="1">
        <v>8.3999999999999986</v>
      </c>
    </row>
    <row r="2427" spans="1:4" x14ac:dyDescent="0.25">
      <c r="A2427" s="16">
        <v>9949</v>
      </c>
      <c r="B2427" s="1">
        <v>1</v>
      </c>
      <c r="C2427" s="1">
        <v>1</v>
      </c>
      <c r="D2427" s="1">
        <v>6</v>
      </c>
    </row>
    <row r="2428" spans="1:4" x14ac:dyDescent="0.25">
      <c r="A2428" s="16">
        <v>9950</v>
      </c>
      <c r="B2428" s="1">
        <v>1</v>
      </c>
      <c r="C2428" s="1">
        <v>1</v>
      </c>
      <c r="D2428" s="1">
        <v>8.8000000000000007</v>
      </c>
    </row>
    <row r="2429" spans="1:4" x14ac:dyDescent="0.25">
      <c r="A2429" s="16">
        <v>9951</v>
      </c>
      <c r="B2429" s="1">
        <v>1</v>
      </c>
      <c r="C2429" s="1">
        <v>1</v>
      </c>
      <c r="D2429" s="1">
        <v>14</v>
      </c>
    </row>
    <row r="2430" spans="1:4" x14ac:dyDescent="0.25">
      <c r="A2430" s="16">
        <v>9952</v>
      </c>
      <c r="B2430" s="1">
        <v>1</v>
      </c>
      <c r="C2430" s="1">
        <v>1</v>
      </c>
      <c r="D2430" s="1">
        <v>36</v>
      </c>
    </row>
    <row r="2431" spans="1:4" x14ac:dyDescent="0.25">
      <c r="A2431" s="16">
        <v>9953</v>
      </c>
      <c r="B2431" s="1">
        <v>1</v>
      </c>
      <c r="C2431" s="1">
        <v>1</v>
      </c>
      <c r="D2431" s="1">
        <v>8</v>
      </c>
    </row>
    <row r="2432" spans="1:4" x14ac:dyDescent="0.25">
      <c r="A2432" s="16">
        <v>9954</v>
      </c>
      <c r="B2432" s="1">
        <v>1</v>
      </c>
      <c r="C2432" s="1">
        <v>2</v>
      </c>
      <c r="D2432" s="1">
        <v>4.8</v>
      </c>
    </row>
    <row r="2433" spans="1:4" x14ac:dyDescent="0.25">
      <c r="A2433" s="16">
        <v>9955</v>
      </c>
      <c r="B2433" s="1">
        <v>1</v>
      </c>
      <c r="C2433" s="1">
        <v>1</v>
      </c>
      <c r="D2433" s="1">
        <v>19.600000000000001</v>
      </c>
    </row>
    <row r="2434" spans="1:4" x14ac:dyDescent="0.25">
      <c r="A2434" s="16">
        <v>9956</v>
      </c>
      <c r="B2434" s="1">
        <v>1</v>
      </c>
      <c r="C2434" s="1">
        <v>1</v>
      </c>
      <c r="D2434" s="1">
        <v>7.6</v>
      </c>
    </row>
    <row r="2435" spans="1:4" x14ac:dyDescent="0.25">
      <c r="A2435" s="16">
        <v>9957</v>
      </c>
      <c r="B2435" s="1">
        <v>1</v>
      </c>
      <c r="C2435" s="1">
        <v>4</v>
      </c>
      <c r="D2435" s="1">
        <v>11.2</v>
      </c>
    </row>
    <row r="2436" spans="1:4" x14ac:dyDescent="0.25">
      <c r="A2436" s="16">
        <v>9958</v>
      </c>
      <c r="B2436" s="1">
        <v>1</v>
      </c>
      <c r="C2436" s="1">
        <v>2</v>
      </c>
      <c r="D2436" s="1">
        <v>12</v>
      </c>
    </row>
    <row r="2437" spans="1:4" x14ac:dyDescent="0.25">
      <c r="A2437" s="16">
        <v>9959</v>
      </c>
      <c r="B2437" s="1">
        <v>1</v>
      </c>
      <c r="C2437" s="1">
        <v>1</v>
      </c>
      <c r="D2437" s="1">
        <v>8.8000000000000007</v>
      </c>
    </row>
    <row r="2438" spans="1:4" x14ac:dyDescent="0.25">
      <c r="A2438" s="16">
        <v>9960</v>
      </c>
      <c r="B2438" s="1">
        <v>1</v>
      </c>
      <c r="C2438" s="1">
        <v>1</v>
      </c>
      <c r="D2438" s="1">
        <v>14</v>
      </c>
    </row>
    <row r="2439" spans="1:4" x14ac:dyDescent="0.25">
      <c r="A2439" s="16">
        <v>9961</v>
      </c>
      <c r="B2439" s="1">
        <v>1</v>
      </c>
      <c r="C2439" s="1">
        <v>1</v>
      </c>
      <c r="D2439" s="1">
        <v>36</v>
      </c>
    </row>
    <row r="2440" spans="1:4" x14ac:dyDescent="0.25">
      <c r="A2440" s="16">
        <v>9962</v>
      </c>
      <c r="B2440" s="1">
        <v>1</v>
      </c>
      <c r="C2440" s="1">
        <v>1</v>
      </c>
      <c r="D2440" s="1">
        <v>8</v>
      </c>
    </row>
    <row r="2441" spans="1:4" x14ac:dyDescent="0.25">
      <c r="A2441" s="16">
        <v>9963</v>
      </c>
      <c r="B2441" s="1">
        <v>1</v>
      </c>
      <c r="C2441" s="1">
        <v>3</v>
      </c>
      <c r="D2441" s="1">
        <v>7.1999999999999993</v>
      </c>
    </row>
    <row r="2442" spans="1:4" x14ac:dyDescent="0.25">
      <c r="A2442" s="16">
        <v>9964</v>
      </c>
      <c r="B2442" s="1">
        <v>1</v>
      </c>
      <c r="C2442" s="1">
        <v>1</v>
      </c>
      <c r="D2442" s="1">
        <v>19.600000000000001</v>
      </c>
    </row>
    <row r="2443" spans="1:4" x14ac:dyDescent="0.25">
      <c r="A2443" s="16">
        <v>9965</v>
      </c>
      <c r="B2443" s="1">
        <v>1</v>
      </c>
      <c r="C2443" s="1">
        <v>1</v>
      </c>
      <c r="D2443" s="1">
        <v>7.6</v>
      </c>
    </row>
    <row r="2444" spans="1:4" x14ac:dyDescent="0.25">
      <c r="A2444" s="16">
        <v>9966</v>
      </c>
      <c r="B2444" s="1">
        <v>1</v>
      </c>
      <c r="C2444" s="1">
        <v>3</v>
      </c>
      <c r="D2444" s="1">
        <v>8.3999999999999986</v>
      </c>
    </row>
    <row r="2445" spans="1:4" x14ac:dyDescent="0.25">
      <c r="A2445" s="16">
        <v>9967</v>
      </c>
      <c r="B2445" s="1">
        <v>1</v>
      </c>
      <c r="C2445" s="1">
        <v>1</v>
      </c>
      <c r="D2445" s="1">
        <v>6</v>
      </c>
    </row>
    <row r="2446" spans="1:4" x14ac:dyDescent="0.25">
      <c r="A2446" s="16">
        <v>9968</v>
      </c>
      <c r="B2446" s="1">
        <v>1</v>
      </c>
      <c r="C2446" s="1">
        <v>1</v>
      </c>
      <c r="D2446" s="1">
        <v>8.8000000000000007</v>
      </c>
    </row>
    <row r="2447" spans="1:4" x14ac:dyDescent="0.25">
      <c r="A2447" s="16">
        <v>9969</v>
      </c>
      <c r="B2447" s="1">
        <v>1</v>
      </c>
      <c r="C2447" s="1">
        <v>2</v>
      </c>
      <c r="D2447" s="1">
        <v>28</v>
      </c>
    </row>
    <row r="2448" spans="1:4" x14ac:dyDescent="0.25">
      <c r="A2448" s="16">
        <v>9970</v>
      </c>
      <c r="B2448" s="1">
        <v>1</v>
      </c>
      <c r="C2448" s="1">
        <v>1</v>
      </c>
      <c r="D2448" s="1">
        <v>36</v>
      </c>
    </row>
    <row r="2449" spans="1:4" x14ac:dyDescent="0.25">
      <c r="A2449" s="16">
        <v>9971</v>
      </c>
      <c r="B2449" s="1">
        <v>1</v>
      </c>
      <c r="C2449" s="1">
        <v>1</v>
      </c>
      <c r="D2449" s="1">
        <v>8</v>
      </c>
    </row>
    <row r="2450" spans="1:4" x14ac:dyDescent="0.25">
      <c r="A2450" s="16">
        <v>9972</v>
      </c>
      <c r="B2450" s="1">
        <v>1</v>
      </c>
      <c r="C2450" s="1">
        <v>2</v>
      </c>
      <c r="D2450" s="1">
        <v>4.8</v>
      </c>
    </row>
    <row r="2451" spans="1:4" x14ac:dyDescent="0.25">
      <c r="A2451" s="16">
        <v>9973</v>
      </c>
      <c r="B2451" s="1">
        <v>1</v>
      </c>
      <c r="C2451" s="1">
        <v>1</v>
      </c>
      <c r="D2451" s="1">
        <v>19.600000000000001</v>
      </c>
    </row>
    <row r="2452" spans="1:4" x14ac:dyDescent="0.25">
      <c r="A2452" s="16">
        <v>9974</v>
      </c>
      <c r="B2452" s="1">
        <v>1</v>
      </c>
      <c r="C2452" s="1">
        <v>1</v>
      </c>
      <c r="D2452" s="1">
        <v>7.6</v>
      </c>
    </row>
    <row r="2453" spans="1:4" x14ac:dyDescent="0.25">
      <c r="A2453" s="16">
        <v>9975</v>
      </c>
      <c r="B2453" s="1">
        <v>1</v>
      </c>
      <c r="C2453" s="1">
        <v>4</v>
      </c>
      <c r="D2453" s="1">
        <v>11.2</v>
      </c>
    </row>
    <row r="2454" spans="1:4" x14ac:dyDescent="0.25">
      <c r="A2454" s="16">
        <v>9976</v>
      </c>
      <c r="B2454" s="1">
        <v>1</v>
      </c>
      <c r="C2454" s="1">
        <v>1</v>
      </c>
      <c r="D2454" s="1">
        <v>6</v>
      </c>
    </row>
    <row r="2455" spans="1:4" x14ac:dyDescent="0.25">
      <c r="A2455" s="16">
        <v>9977</v>
      </c>
      <c r="B2455" s="1">
        <v>1</v>
      </c>
      <c r="C2455" s="1">
        <v>1</v>
      </c>
      <c r="D2455" s="1">
        <v>8.8000000000000007</v>
      </c>
    </row>
    <row r="2456" spans="1:4" x14ac:dyDescent="0.25">
      <c r="A2456" s="16">
        <v>9978</v>
      </c>
      <c r="B2456" s="1">
        <v>1</v>
      </c>
      <c r="C2456" s="1">
        <v>1</v>
      </c>
      <c r="D2456" s="1">
        <v>14</v>
      </c>
    </row>
    <row r="2457" spans="1:4" x14ac:dyDescent="0.25">
      <c r="A2457" s="16">
        <v>9979</v>
      </c>
      <c r="B2457" s="1">
        <v>1</v>
      </c>
      <c r="C2457" s="1">
        <v>1</v>
      </c>
      <c r="D2457" s="1">
        <v>36</v>
      </c>
    </row>
    <row r="2458" spans="1:4" x14ac:dyDescent="0.25">
      <c r="A2458" s="16">
        <v>9980</v>
      </c>
      <c r="B2458" s="1">
        <v>1</v>
      </c>
      <c r="C2458" s="1">
        <v>1</v>
      </c>
      <c r="D2458" s="1">
        <v>8</v>
      </c>
    </row>
    <row r="2459" spans="1:4" x14ac:dyDescent="0.25">
      <c r="A2459" s="16">
        <v>9981</v>
      </c>
      <c r="B2459" s="1">
        <v>1</v>
      </c>
      <c r="C2459" s="1">
        <v>3</v>
      </c>
      <c r="D2459" s="1">
        <v>7.1999999999999993</v>
      </c>
    </row>
    <row r="2460" spans="1:4" x14ac:dyDescent="0.25">
      <c r="A2460" s="16">
        <v>9982</v>
      </c>
      <c r="B2460" s="1">
        <v>1</v>
      </c>
      <c r="C2460" s="1">
        <v>1</v>
      </c>
      <c r="D2460" s="1">
        <v>19.600000000000001</v>
      </c>
    </row>
    <row r="2461" spans="1:4" x14ac:dyDescent="0.25">
      <c r="A2461" s="16">
        <v>9983</v>
      </c>
      <c r="B2461" s="1">
        <v>1</v>
      </c>
      <c r="C2461" s="1">
        <v>1</v>
      </c>
      <c r="D2461" s="1">
        <v>7.6</v>
      </c>
    </row>
    <row r="2462" spans="1:4" x14ac:dyDescent="0.25">
      <c r="A2462" s="16">
        <v>9984</v>
      </c>
      <c r="B2462" s="1">
        <v>1</v>
      </c>
      <c r="C2462" s="1">
        <v>4</v>
      </c>
      <c r="D2462" s="1">
        <v>11.2</v>
      </c>
    </row>
    <row r="2463" spans="1:4" x14ac:dyDescent="0.25">
      <c r="A2463" s="16">
        <v>9985</v>
      </c>
      <c r="B2463" s="1">
        <v>1</v>
      </c>
      <c r="C2463" s="1">
        <v>1</v>
      </c>
      <c r="D2463" s="1">
        <v>6</v>
      </c>
    </row>
    <row r="2464" spans="1:4" x14ac:dyDescent="0.25">
      <c r="A2464" s="16">
        <v>9986</v>
      </c>
      <c r="B2464" s="1">
        <v>1</v>
      </c>
      <c r="C2464" s="1">
        <v>1</v>
      </c>
      <c r="D2464" s="1">
        <v>8.8000000000000007</v>
      </c>
    </row>
    <row r="2465" spans="1:4" x14ac:dyDescent="0.25">
      <c r="A2465" s="16">
        <v>9987</v>
      </c>
      <c r="B2465" s="1">
        <v>1</v>
      </c>
      <c r="C2465" s="1">
        <v>1</v>
      </c>
      <c r="D2465" s="1">
        <v>14</v>
      </c>
    </row>
    <row r="2466" spans="1:4" x14ac:dyDescent="0.25">
      <c r="A2466" s="16">
        <v>9988</v>
      </c>
      <c r="B2466" s="1">
        <v>1</v>
      </c>
      <c r="C2466" s="1">
        <v>1</v>
      </c>
      <c r="D2466" s="1">
        <v>36</v>
      </c>
    </row>
    <row r="2467" spans="1:4" x14ac:dyDescent="0.25">
      <c r="A2467" s="16">
        <v>9989</v>
      </c>
      <c r="B2467" s="1">
        <v>1</v>
      </c>
      <c r="C2467" s="1">
        <v>1</v>
      </c>
      <c r="D2467" s="1">
        <v>8</v>
      </c>
    </row>
    <row r="2468" spans="1:4" x14ac:dyDescent="0.25">
      <c r="A2468" s="16">
        <v>9990</v>
      </c>
      <c r="B2468" s="1">
        <v>1</v>
      </c>
      <c r="C2468" s="1">
        <v>2</v>
      </c>
      <c r="D2468" s="1">
        <v>4.8</v>
      </c>
    </row>
    <row r="2469" spans="1:4" x14ac:dyDescent="0.25">
      <c r="A2469" s="16">
        <v>9991</v>
      </c>
      <c r="B2469" s="1">
        <v>1</v>
      </c>
      <c r="C2469" s="1">
        <v>1</v>
      </c>
      <c r="D2469" s="1">
        <v>19.600000000000001</v>
      </c>
    </row>
    <row r="2470" spans="1:4" x14ac:dyDescent="0.25">
      <c r="A2470" s="16">
        <v>9992</v>
      </c>
      <c r="B2470" s="1">
        <v>1</v>
      </c>
      <c r="C2470" s="1">
        <v>1</v>
      </c>
      <c r="D2470" s="1">
        <v>7.6</v>
      </c>
    </row>
    <row r="2471" spans="1:4" x14ac:dyDescent="0.25">
      <c r="A2471" s="16">
        <v>9993</v>
      </c>
      <c r="B2471" s="1">
        <v>1</v>
      </c>
      <c r="C2471" s="1">
        <v>3</v>
      </c>
      <c r="D2471" s="1">
        <v>8.3999999999999986</v>
      </c>
    </row>
    <row r="2472" spans="1:4" x14ac:dyDescent="0.25">
      <c r="A2472" s="16">
        <v>9994</v>
      </c>
      <c r="B2472" s="1">
        <v>1</v>
      </c>
      <c r="C2472" s="1">
        <v>1</v>
      </c>
      <c r="D2472" s="1">
        <v>6</v>
      </c>
    </row>
    <row r="2473" spans="1:4" x14ac:dyDescent="0.25">
      <c r="A2473" s="16">
        <v>9995</v>
      </c>
      <c r="B2473" s="1">
        <v>1</v>
      </c>
      <c r="C2473" s="1">
        <v>1</v>
      </c>
      <c r="D2473" s="1">
        <v>8.8000000000000007</v>
      </c>
    </row>
    <row r="2474" spans="1:4" x14ac:dyDescent="0.25">
      <c r="A2474" s="16">
        <v>9996</v>
      </c>
      <c r="B2474" s="1">
        <v>1</v>
      </c>
      <c r="C2474" s="1">
        <v>1</v>
      </c>
      <c r="D2474" s="1">
        <v>14</v>
      </c>
    </row>
    <row r="2475" spans="1:4" x14ac:dyDescent="0.25">
      <c r="A2475" s="16">
        <v>9997</v>
      </c>
      <c r="B2475" s="1">
        <v>1</v>
      </c>
      <c r="C2475" s="1">
        <v>1</v>
      </c>
      <c r="D2475" s="1">
        <v>36</v>
      </c>
    </row>
    <row r="2476" spans="1:4" x14ac:dyDescent="0.25">
      <c r="A2476" s="16">
        <v>9998</v>
      </c>
      <c r="B2476" s="1">
        <v>1</v>
      </c>
      <c r="C2476" s="1">
        <v>1</v>
      </c>
      <c r="D2476" s="1">
        <v>8</v>
      </c>
    </row>
    <row r="2477" spans="1:4" x14ac:dyDescent="0.25">
      <c r="A2477" s="16">
        <v>9999</v>
      </c>
      <c r="B2477" s="1">
        <v>1</v>
      </c>
      <c r="C2477" s="1">
        <v>3</v>
      </c>
      <c r="D2477" s="1">
        <v>7.1999999999999993</v>
      </c>
    </row>
    <row r="2478" spans="1:4" x14ac:dyDescent="0.25">
      <c r="A2478" s="16">
        <v>10000</v>
      </c>
      <c r="B2478" s="1">
        <v>1</v>
      </c>
      <c r="C2478" s="1">
        <v>1</v>
      </c>
      <c r="D2478" s="1">
        <v>19.600000000000001</v>
      </c>
    </row>
    <row r="2479" spans="1:4" x14ac:dyDescent="0.25">
      <c r="A2479" s="16">
        <v>10001</v>
      </c>
      <c r="B2479" s="1">
        <v>1</v>
      </c>
      <c r="C2479" s="1">
        <v>1</v>
      </c>
      <c r="D2479" s="1">
        <v>7.6</v>
      </c>
    </row>
    <row r="2480" spans="1:4" x14ac:dyDescent="0.25">
      <c r="A2480" s="16">
        <v>10002</v>
      </c>
      <c r="B2480" s="1">
        <v>1</v>
      </c>
      <c r="C2480" s="1">
        <v>4</v>
      </c>
      <c r="D2480" s="1">
        <v>11.2</v>
      </c>
    </row>
    <row r="2481" spans="1:4" x14ac:dyDescent="0.25">
      <c r="A2481" s="16">
        <v>10003</v>
      </c>
      <c r="B2481" s="1">
        <v>1</v>
      </c>
      <c r="C2481" s="1">
        <v>1</v>
      </c>
      <c r="D2481" s="1">
        <v>6</v>
      </c>
    </row>
    <row r="2482" spans="1:4" x14ac:dyDescent="0.25">
      <c r="A2482" s="16">
        <v>10004</v>
      </c>
      <c r="B2482" s="1">
        <v>1</v>
      </c>
      <c r="C2482" s="1">
        <v>1</v>
      </c>
      <c r="D2482" s="1">
        <v>8.8000000000000007</v>
      </c>
    </row>
    <row r="2483" spans="1:4" x14ac:dyDescent="0.25">
      <c r="A2483" s="16">
        <v>10005</v>
      </c>
      <c r="B2483" s="1">
        <v>1</v>
      </c>
      <c r="C2483" s="1">
        <v>1</v>
      </c>
      <c r="D2483" s="1">
        <v>14</v>
      </c>
    </row>
    <row r="2484" spans="1:4" x14ac:dyDescent="0.25">
      <c r="A2484" s="16">
        <v>10006</v>
      </c>
      <c r="B2484" s="1">
        <v>1</v>
      </c>
      <c r="C2484" s="1">
        <v>1</v>
      </c>
      <c r="D2484" s="1">
        <v>36</v>
      </c>
    </row>
    <row r="2485" spans="1:4" x14ac:dyDescent="0.25">
      <c r="A2485" s="16">
        <v>10007</v>
      </c>
      <c r="B2485" s="1">
        <v>1</v>
      </c>
      <c r="C2485" s="1">
        <v>1</v>
      </c>
      <c r="D2485" s="1">
        <v>8</v>
      </c>
    </row>
    <row r="2486" spans="1:4" x14ac:dyDescent="0.25">
      <c r="A2486" s="16">
        <v>10008</v>
      </c>
      <c r="B2486" s="1">
        <v>1</v>
      </c>
      <c r="C2486" s="1">
        <v>3</v>
      </c>
      <c r="D2486" s="1">
        <v>7.1999999999999993</v>
      </c>
    </row>
    <row r="2487" spans="1:4" x14ac:dyDescent="0.25">
      <c r="A2487" s="16">
        <v>10009</v>
      </c>
      <c r="B2487" s="1">
        <v>1</v>
      </c>
      <c r="C2487" s="1">
        <v>1</v>
      </c>
      <c r="D2487" s="1">
        <v>19.600000000000001</v>
      </c>
    </row>
    <row r="2488" spans="1:4" x14ac:dyDescent="0.25">
      <c r="A2488" s="16">
        <v>10010</v>
      </c>
      <c r="B2488" s="1">
        <v>1</v>
      </c>
      <c r="C2488" s="1">
        <v>1</v>
      </c>
      <c r="D2488" s="1">
        <v>7.6</v>
      </c>
    </row>
    <row r="2489" spans="1:4" x14ac:dyDescent="0.25">
      <c r="A2489" s="16">
        <v>10011</v>
      </c>
      <c r="B2489" s="1">
        <v>1</v>
      </c>
      <c r="C2489" s="1">
        <v>3</v>
      </c>
      <c r="D2489" s="1">
        <v>8.3999999999999986</v>
      </c>
    </row>
    <row r="2490" spans="1:4" x14ac:dyDescent="0.25">
      <c r="A2490" s="16">
        <v>10012</v>
      </c>
      <c r="B2490" s="1">
        <v>1</v>
      </c>
      <c r="C2490" s="1">
        <v>1</v>
      </c>
      <c r="D2490" s="1">
        <v>6</v>
      </c>
    </row>
    <row r="2491" spans="1:4" x14ac:dyDescent="0.25">
      <c r="A2491" s="16">
        <v>10013</v>
      </c>
      <c r="B2491" s="1">
        <v>1</v>
      </c>
      <c r="C2491" s="1">
        <v>1</v>
      </c>
      <c r="D2491" s="1">
        <v>8.8000000000000007</v>
      </c>
    </row>
    <row r="2492" spans="1:4" x14ac:dyDescent="0.25">
      <c r="A2492" s="16">
        <v>10014</v>
      </c>
      <c r="B2492" s="1">
        <v>1</v>
      </c>
      <c r="C2492" s="1">
        <v>1</v>
      </c>
      <c r="D2492" s="1">
        <v>14</v>
      </c>
    </row>
    <row r="2493" spans="1:4" x14ac:dyDescent="0.25">
      <c r="A2493" s="16">
        <v>10015</v>
      </c>
      <c r="B2493" s="1">
        <v>1</v>
      </c>
      <c r="C2493" s="1">
        <v>1</v>
      </c>
      <c r="D2493" s="1">
        <v>36</v>
      </c>
    </row>
    <row r="2494" spans="1:4" x14ac:dyDescent="0.25">
      <c r="A2494" s="16">
        <v>10016</v>
      </c>
      <c r="B2494" s="1">
        <v>1</v>
      </c>
      <c r="C2494" s="1">
        <v>1</v>
      </c>
      <c r="D2494" s="1">
        <v>8</v>
      </c>
    </row>
    <row r="2495" spans="1:4" x14ac:dyDescent="0.25">
      <c r="A2495" s="16">
        <v>10017</v>
      </c>
      <c r="B2495" s="1">
        <v>1</v>
      </c>
      <c r="C2495" s="1">
        <v>3</v>
      </c>
      <c r="D2495" s="1">
        <v>7.1999999999999993</v>
      </c>
    </row>
    <row r="2496" spans="1:4" x14ac:dyDescent="0.25">
      <c r="A2496" s="16">
        <v>10018</v>
      </c>
      <c r="B2496" s="1">
        <v>1</v>
      </c>
      <c r="C2496" s="1">
        <v>1</v>
      </c>
      <c r="D2496" s="1">
        <v>19.600000000000001</v>
      </c>
    </row>
    <row r="2497" spans="1:4" x14ac:dyDescent="0.25">
      <c r="A2497" s="16">
        <v>10019</v>
      </c>
      <c r="B2497" s="1">
        <v>1</v>
      </c>
      <c r="C2497" s="1">
        <v>1</v>
      </c>
      <c r="D2497" s="1">
        <v>7.6</v>
      </c>
    </row>
    <row r="2498" spans="1:4" x14ac:dyDescent="0.25">
      <c r="A2498" s="16">
        <v>10020</v>
      </c>
      <c r="B2498" s="1">
        <v>1</v>
      </c>
      <c r="C2498" s="1">
        <v>4</v>
      </c>
      <c r="D2498" s="1">
        <v>11.2</v>
      </c>
    </row>
    <row r="2499" spans="1:4" x14ac:dyDescent="0.25">
      <c r="A2499" s="16">
        <v>10021</v>
      </c>
      <c r="B2499" s="1">
        <v>1</v>
      </c>
      <c r="C2499" s="1">
        <v>1</v>
      </c>
      <c r="D2499" s="1">
        <v>6</v>
      </c>
    </row>
    <row r="2500" spans="1:4" x14ac:dyDescent="0.25">
      <c r="A2500" s="16">
        <v>10022</v>
      </c>
      <c r="B2500" s="1">
        <v>1</v>
      </c>
      <c r="C2500" s="1">
        <v>1</v>
      </c>
      <c r="D2500" s="1">
        <v>8.8000000000000007</v>
      </c>
    </row>
    <row r="2501" spans="1:4" x14ac:dyDescent="0.25">
      <c r="A2501" s="16">
        <v>10023</v>
      </c>
      <c r="B2501" s="1">
        <v>1</v>
      </c>
      <c r="C2501" s="1">
        <v>1</v>
      </c>
      <c r="D2501" s="1">
        <v>14</v>
      </c>
    </row>
    <row r="2502" spans="1:4" x14ac:dyDescent="0.25">
      <c r="A2502" s="16">
        <v>10024</v>
      </c>
      <c r="B2502" s="1">
        <v>1</v>
      </c>
      <c r="C2502" s="1">
        <v>1</v>
      </c>
      <c r="D2502" s="1">
        <v>36</v>
      </c>
    </row>
    <row r="2503" spans="1:4" x14ac:dyDescent="0.25">
      <c r="A2503" s="16">
        <v>10025</v>
      </c>
      <c r="B2503" s="1">
        <v>1</v>
      </c>
      <c r="C2503" s="1">
        <v>1</v>
      </c>
      <c r="D2503" s="1">
        <v>8</v>
      </c>
    </row>
    <row r="2504" spans="1:4" x14ac:dyDescent="0.25">
      <c r="A2504" s="16">
        <v>10026</v>
      </c>
      <c r="B2504" s="1">
        <v>1</v>
      </c>
      <c r="C2504" s="1">
        <v>3</v>
      </c>
      <c r="D2504" s="1">
        <v>7.1999999999999993</v>
      </c>
    </row>
    <row r="2505" spans="1:4" x14ac:dyDescent="0.25">
      <c r="A2505" s="16">
        <v>10027</v>
      </c>
      <c r="B2505" s="1">
        <v>1</v>
      </c>
      <c r="C2505" s="1">
        <v>1</v>
      </c>
      <c r="D2505" s="1">
        <v>19.600000000000001</v>
      </c>
    </row>
    <row r="2506" spans="1:4" x14ac:dyDescent="0.25">
      <c r="A2506" s="16">
        <v>10028</v>
      </c>
      <c r="B2506" s="1">
        <v>1</v>
      </c>
      <c r="C2506" s="1">
        <v>1</v>
      </c>
      <c r="D2506" s="1">
        <v>7.6</v>
      </c>
    </row>
    <row r="2507" spans="1:4" x14ac:dyDescent="0.25">
      <c r="A2507" s="16">
        <v>10029</v>
      </c>
      <c r="B2507" s="1">
        <v>1</v>
      </c>
      <c r="C2507" s="1">
        <v>4</v>
      </c>
      <c r="D2507" s="1">
        <v>11.2</v>
      </c>
    </row>
    <row r="2508" spans="1:4" x14ac:dyDescent="0.25">
      <c r="A2508" s="16">
        <v>10030</v>
      </c>
      <c r="B2508" s="1">
        <v>1</v>
      </c>
      <c r="C2508" s="1">
        <v>1</v>
      </c>
      <c r="D2508" s="1">
        <v>6</v>
      </c>
    </row>
    <row r="2509" spans="1:4" x14ac:dyDescent="0.25">
      <c r="A2509" s="16">
        <v>10031</v>
      </c>
      <c r="B2509" s="1">
        <v>1</v>
      </c>
      <c r="C2509" s="1">
        <v>1</v>
      </c>
      <c r="D2509" s="1">
        <v>8.8000000000000007</v>
      </c>
    </row>
    <row r="2510" spans="1:4" x14ac:dyDescent="0.25">
      <c r="A2510" s="16">
        <v>10032</v>
      </c>
      <c r="B2510" s="1">
        <v>1</v>
      </c>
      <c r="C2510" s="1">
        <v>1</v>
      </c>
      <c r="D2510" s="1">
        <v>14</v>
      </c>
    </row>
    <row r="2511" spans="1:4" x14ac:dyDescent="0.25">
      <c r="A2511" s="16">
        <v>10033</v>
      </c>
      <c r="B2511" s="1">
        <v>1</v>
      </c>
      <c r="C2511" s="1">
        <v>1</v>
      </c>
      <c r="D2511" s="1">
        <v>16.8</v>
      </c>
    </row>
    <row r="2512" spans="1:4" x14ac:dyDescent="0.25">
      <c r="A2512" s="16">
        <v>10034</v>
      </c>
      <c r="B2512" s="1">
        <v>1</v>
      </c>
      <c r="C2512" s="1">
        <v>2</v>
      </c>
      <c r="D2512" s="1">
        <v>33.6</v>
      </c>
    </row>
    <row r="2513" spans="1:4" x14ac:dyDescent="0.25">
      <c r="A2513" s="16">
        <v>10035</v>
      </c>
      <c r="B2513" s="1">
        <v>1</v>
      </c>
      <c r="C2513" s="1">
        <v>1</v>
      </c>
      <c r="D2513" s="1">
        <v>16.8</v>
      </c>
    </row>
    <row r="2514" spans="1:4" x14ac:dyDescent="0.25">
      <c r="A2514" s="16">
        <v>10036</v>
      </c>
      <c r="B2514" s="1">
        <v>1</v>
      </c>
      <c r="C2514" s="1">
        <v>3</v>
      </c>
      <c r="D2514" s="1">
        <v>50.400000000000006</v>
      </c>
    </row>
    <row r="2515" spans="1:4" x14ac:dyDescent="0.25">
      <c r="A2515" s="16">
        <v>10037</v>
      </c>
      <c r="B2515" s="1">
        <v>1</v>
      </c>
      <c r="C2515" s="1">
        <v>1</v>
      </c>
      <c r="D2515" s="1">
        <v>16.8</v>
      </c>
    </row>
    <row r="2516" spans="1:4" x14ac:dyDescent="0.25">
      <c r="A2516" s="16">
        <v>10038</v>
      </c>
      <c r="B2516" s="1">
        <v>2</v>
      </c>
      <c r="C2516" s="1">
        <v>4</v>
      </c>
      <c r="D2516" s="1">
        <v>14.399999999999999</v>
      </c>
    </row>
    <row r="2517" spans="1:4" x14ac:dyDescent="0.25">
      <c r="A2517" s="16">
        <v>10039</v>
      </c>
      <c r="B2517" s="1">
        <v>1</v>
      </c>
      <c r="C2517" s="1">
        <v>1</v>
      </c>
      <c r="D2517" s="1">
        <v>16.8</v>
      </c>
    </row>
    <row r="2518" spans="1:4" x14ac:dyDescent="0.25">
      <c r="A2518" s="16">
        <v>10040</v>
      </c>
      <c r="B2518" s="1">
        <v>1</v>
      </c>
      <c r="C2518" s="1">
        <v>2</v>
      </c>
      <c r="D2518" s="1">
        <v>33.6</v>
      </c>
    </row>
    <row r="2519" spans="1:4" x14ac:dyDescent="0.25">
      <c r="A2519" s="16">
        <v>10041</v>
      </c>
      <c r="B2519" s="1">
        <v>1</v>
      </c>
      <c r="C2519" s="1">
        <v>1</v>
      </c>
      <c r="D2519" s="1">
        <v>14</v>
      </c>
    </row>
    <row r="2520" spans="1:4" x14ac:dyDescent="0.25">
      <c r="A2520" s="16">
        <v>10042</v>
      </c>
      <c r="B2520" s="1">
        <v>1</v>
      </c>
      <c r="C2520" s="1">
        <v>1</v>
      </c>
      <c r="D2520" s="1">
        <v>16.8</v>
      </c>
    </row>
    <row r="2521" spans="1:4" x14ac:dyDescent="0.25">
      <c r="A2521" s="16">
        <v>10043</v>
      </c>
      <c r="B2521" s="1">
        <v>1</v>
      </c>
      <c r="C2521" s="1">
        <v>4</v>
      </c>
      <c r="D2521" s="1">
        <v>11.2</v>
      </c>
    </row>
    <row r="2522" spans="1:4" x14ac:dyDescent="0.25">
      <c r="A2522" s="16">
        <v>10044</v>
      </c>
      <c r="B2522" s="1">
        <v>1</v>
      </c>
      <c r="C2522" s="1">
        <v>1</v>
      </c>
      <c r="D2522" s="1">
        <v>16.8</v>
      </c>
    </row>
    <row r="2523" spans="1:4" x14ac:dyDescent="0.25">
      <c r="A2523" s="16">
        <v>10045</v>
      </c>
      <c r="B2523" s="1">
        <v>1</v>
      </c>
      <c r="C2523" s="1">
        <v>3</v>
      </c>
      <c r="D2523" s="1">
        <v>7.1999999999999993</v>
      </c>
    </row>
    <row r="2524" spans="1:4" x14ac:dyDescent="0.25">
      <c r="A2524" s="16">
        <v>10046</v>
      </c>
      <c r="B2524" s="1">
        <v>1</v>
      </c>
      <c r="C2524" s="1">
        <v>2</v>
      </c>
      <c r="D2524" s="1">
        <v>33.6</v>
      </c>
    </row>
    <row r="2525" spans="1:4" x14ac:dyDescent="0.25">
      <c r="A2525" s="16">
        <v>10047</v>
      </c>
      <c r="B2525" s="1">
        <v>1</v>
      </c>
      <c r="C2525" s="1">
        <v>1</v>
      </c>
      <c r="D2525" s="1">
        <v>16.8</v>
      </c>
    </row>
    <row r="2526" spans="1:4" x14ac:dyDescent="0.25">
      <c r="A2526" s="16">
        <v>10048</v>
      </c>
      <c r="B2526" s="1">
        <v>1</v>
      </c>
      <c r="C2526" s="1">
        <v>1</v>
      </c>
      <c r="D2526" s="1">
        <v>16.8</v>
      </c>
    </row>
    <row r="2527" spans="1:4" x14ac:dyDescent="0.25">
      <c r="A2527" s="16">
        <v>10049</v>
      </c>
      <c r="B2527" s="1">
        <v>1</v>
      </c>
      <c r="C2527" s="1">
        <v>2</v>
      </c>
      <c r="D2527" s="1">
        <v>33.6</v>
      </c>
    </row>
    <row r="2528" spans="1:4" x14ac:dyDescent="0.25">
      <c r="A2528" s="16">
        <v>10050</v>
      </c>
      <c r="B2528" s="1">
        <v>1</v>
      </c>
      <c r="C2528" s="1">
        <v>1</v>
      </c>
      <c r="D2528" s="1">
        <v>16.8</v>
      </c>
    </row>
    <row r="2529" spans="1:4" x14ac:dyDescent="0.25">
      <c r="A2529" s="16">
        <v>10051</v>
      </c>
      <c r="B2529" s="1">
        <v>1</v>
      </c>
      <c r="C2529" s="1">
        <v>1</v>
      </c>
      <c r="D2529" s="1">
        <v>16.8</v>
      </c>
    </row>
    <row r="2530" spans="1:4" x14ac:dyDescent="0.25">
      <c r="A2530" s="16">
        <v>10052</v>
      </c>
      <c r="B2530" s="1">
        <v>1</v>
      </c>
      <c r="C2530" s="1">
        <v>1</v>
      </c>
      <c r="D2530" s="1">
        <v>8</v>
      </c>
    </row>
    <row r="2531" spans="1:4" x14ac:dyDescent="0.25">
      <c r="A2531" s="16">
        <v>10053</v>
      </c>
      <c r="B2531" s="1">
        <v>1</v>
      </c>
      <c r="C2531" s="1">
        <v>1</v>
      </c>
      <c r="D2531" s="1">
        <v>16.8</v>
      </c>
    </row>
    <row r="2532" spans="1:4" x14ac:dyDescent="0.25">
      <c r="A2532" s="16">
        <v>10054</v>
      </c>
      <c r="B2532" s="1">
        <v>1</v>
      </c>
      <c r="C2532" s="1">
        <v>2</v>
      </c>
      <c r="D2532" s="1">
        <v>12</v>
      </c>
    </row>
    <row r="2533" spans="1:4" x14ac:dyDescent="0.25">
      <c r="A2533" s="16">
        <v>10055</v>
      </c>
      <c r="B2533" s="1">
        <v>1</v>
      </c>
      <c r="C2533" s="1">
        <v>2</v>
      </c>
      <c r="D2533" s="1">
        <v>33.6</v>
      </c>
    </row>
    <row r="2534" spans="1:4" x14ac:dyDescent="0.25">
      <c r="A2534" s="16">
        <v>10056</v>
      </c>
      <c r="B2534" s="1">
        <v>1</v>
      </c>
      <c r="C2534" s="1">
        <v>1</v>
      </c>
      <c r="D2534" s="1">
        <v>19.600000000000001</v>
      </c>
    </row>
    <row r="2535" spans="1:4" x14ac:dyDescent="0.25">
      <c r="A2535" s="16">
        <v>10057</v>
      </c>
      <c r="B2535" s="1">
        <v>1</v>
      </c>
      <c r="C2535" s="1">
        <v>1</v>
      </c>
      <c r="D2535" s="1">
        <v>16.8</v>
      </c>
    </row>
    <row r="2536" spans="1:4" x14ac:dyDescent="0.25">
      <c r="A2536" s="16">
        <v>10058</v>
      </c>
      <c r="B2536" s="1">
        <v>1</v>
      </c>
      <c r="C2536" s="1">
        <v>1</v>
      </c>
      <c r="D2536" s="1">
        <v>14</v>
      </c>
    </row>
    <row r="2537" spans="1:4" x14ac:dyDescent="0.25">
      <c r="A2537" s="16">
        <v>10059</v>
      </c>
      <c r="B2537" s="1">
        <v>1</v>
      </c>
      <c r="C2537" s="1">
        <v>1</v>
      </c>
      <c r="D2537" s="1">
        <v>16.8</v>
      </c>
    </row>
    <row r="2538" spans="1:4" x14ac:dyDescent="0.25">
      <c r="A2538" s="16">
        <v>10060</v>
      </c>
      <c r="B2538" s="1">
        <v>1</v>
      </c>
      <c r="C2538" s="1">
        <v>3</v>
      </c>
      <c r="D2538" s="1">
        <v>8.3999999999999986</v>
      </c>
    </row>
    <row r="2539" spans="1:4" x14ac:dyDescent="0.25">
      <c r="A2539" s="16">
        <v>10061</v>
      </c>
      <c r="B2539" s="1">
        <v>1</v>
      </c>
      <c r="C2539" s="1">
        <v>1</v>
      </c>
      <c r="D2539" s="1">
        <v>16.8</v>
      </c>
    </row>
    <row r="2540" spans="1:4" x14ac:dyDescent="0.25">
      <c r="A2540" s="16">
        <v>10062</v>
      </c>
      <c r="B2540" s="1">
        <v>1</v>
      </c>
      <c r="C2540" s="1">
        <v>2</v>
      </c>
      <c r="D2540" s="1">
        <v>33.6</v>
      </c>
    </row>
    <row r="2541" spans="1:4" x14ac:dyDescent="0.25">
      <c r="A2541" s="16">
        <v>10063</v>
      </c>
      <c r="B2541" s="1">
        <v>1</v>
      </c>
      <c r="C2541" s="1">
        <v>1</v>
      </c>
      <c r="D2541" s="1">
        <v>16.8</v>
      </c>
    </row>
    <row r="2542" spans="1:4" x14ac:dyDescent="0.25">
      <c r="A2542" s="16">
        <v>10064</v>
      </c>
      <c r="B2542" s="1">
        <v>1</v>
      </c>
      <c r="C2542" s="1">
        <v>1</v>
      </c>
      <c r="D2542" s="1">
        <v>16.8</v>
      </c>
    </row>
    <row r="2543" spans="1:4" x14ac:dyDescent="0.25">
      <c r="A2543" s="16">
        <v>10065</v>
      </c>
      <c r="B2543" s="1">
        <v>1</v>
      </c>
      <c r="C2543" s="1">
        <v>1</v>
      </c>
      <c r="D2543" s="1">
        <v>16.8</v>
      </c>
    </row>
    <row r="2544" spans="1:4" x14ac:dyDescent="0.25">
      <c r="A2544" s="16">
        <v>10066</v>
      </c>
      <c r="B2544" s="1">
        <v>1</v>
      </c>
      <c r="C2544" s="1">
        <v>1</v>
      </c>
      <c r="D2544" s="1">
        <v>8</v>
      </c>
    </row>
    <row r="2545" spans="1:4" x14ac:dyDescent="0.25">
      <c r="A2545" s="16">
        <v>10067</v>
      </c>
      <c r="B2545" s="1">
        <v>1</v>
      </c>
      <c r="C2545" s="1">
        <v>1</v>
      </c>
      <c r="D2545" s="1">
        <v>16.8</v>
      </c>
    </row>
    <row r="2546" spans="1:4" x14ac:dyDescent="0.25">
      <c r="A2546" s="16">
        <v>10068</v>
      </c>
      <c r="B2546" s="1">
        <v>1</v>
      </c>
      <c r="C2546" s="1">
        <v>1</v>
      </c>
      <c r="D2546" s="1">
        <v>6</v>
      </c>
    </row>
    <row r="2547" spans="1:4" x14ac:dyDescent="0.25">
      <c r="A2547" s="16">
        <v>10069</v>
      </c>
      <c r="B2547" s="1">
        <v>1</v>
      </c>
      <c r="C2547" s="1">
        <v>1</v>
      </c>
      <c r="D2547" s="1">
        <v>16.8</v>
      </c>
    </row>
    <row r="2548" spans="1:4" x14ac:dyDescent="0.25">
      <c r="A2548" s="16">
        <v>10070</v>
      </c>
      <c r="B2548" s="1">
        <v>1</v>
      </c>
      <c r="C2548" s="1">
        <v>2</v>
      </c>
      <c r="D2548" s="1">
        <v>5.6</v>
      </c>
    </row>
    <row r="2549" spans="1:4" x14ac:dyDescent="0.25">
      <c r="A2549" s="16">
        <v>10071</v>
      </c>
      <c r="B2549" s="1">
        <v>1</v>
      </c>
      <c r="C2549" s="1">
        <v>1</v>
      </c>
      <c r="D2549" s="1">
        <v>16.8</v>
      </c>
    </row>
    <row r="2550" spans="1:4" x14ac:dyDescent="0.25">
      <c r="A2550" s="16">
        <v>10072</v>
      </c>
      <c r="B2550" s="1">
        <v>1</v>
      </c>
      <c r="C2550" s="1">
        <v>1</v>
      </c>
      <c r="D2550" s="1">
        <v>7.6</v>
      </c>
    </row>
    <row r="2551" spans="1:4" x14ac:dyDescent="0.25">
      <c r="A2551" s="16">
        <v>10073</v>
      </c>
      <c r="B2551" s="1">
        <v>1</v>
      </c>
      <c r="C2551" s="1">
        <v>1</v>
      </c>
      <c r="D2551" s="1">
        <v>16.8</v>
      </c>
    </row>
    <row r="2552" spans="1:4" x14ac:dyDescent="0.25">
      <c r="A2552" s="16">
        <v>10074</v>
      </c>
      <c r="B2552" s="1">
        <v>1</v>
      </c>
      <c r="C2552" s="1">
        <v>2</v>
      </c>
      <c r="D2552" s="1">
        <v>28</v>
      </c>
    </row>
    <row r="2553" spans="1:4" x14ac:dyDescent="0.25">
      <c r="A2553" s="16">
        <v>10075</v>
      </c>
      <c r="B2553" s="1">
        <v>1</v>
      </c>
      <c r="C2553" s="1">
        <v>2</v>
      </c>
      <c r="D2553" s="1">
        <v>33.6</v>
      </c>
    </row>
    <row r="2554" spans="1:4" x14ac:dyDescent="0.25">
      <c r="A2554" s="16">
        <v>10076</v>
      </c>
      <c r="B2554" s="1">
        <v>1</v>
      </c>
      <c r="C2554" s="1">
        <v>1</v>
      </c>
      <c r="D2554" s="1">
        <v>36</v>
      </c>
    </row>
    <row r="2555" spans="1:4" x14ac:dyDescent="0.25">
      <c r="A2555" s="16">
        <v>10077</v>
      </c>
      <c r="B2555" s="1">
        <v>1</v>
      </c>
      <c r="C2555" s="1">
        <v>1</v>
      </c>
      <c r="D2555" s="1">
        <v>16.8</v>
      </c>
    </row>
    <row r="2556" spans="1:4" x14ac:dyDescent="0.25">
      <c r="A2556" s="16">
        <v>10078</v>
      </c>
      <c r="B2556" s="1">
        <v>1</v>
      </c>
      <c r="C2556" s="1">
        <v>3</v>
      </c>
      <c r="D2556" s="1">
        <v>7.1999999999999993</v>
      </c>
    </row>
    <row r="2557" spans="1:4" x14ac:dyDescent="0.25">
      <c r="A2557" s="16">
        <v>10079</v>
      </c>
      <c r="B2557" s="1">
        <v>1</v>
      </c>
      <c r="C2557" s="1">
        <v>1</v>
      </c>
      <c r="D2557" s="1">
        <v>16.8</v>
      </c>
    </row>
    <row r="2558" spans="1:4" x14ac:dyDescent="0.25">
      <c r="A2558" s="16">
        <v>10080</v>
      </c>
      <c r="B2558" s="1">
        <v>1</v>
      </c>
      <c r="C2558" s="1">
        <v>3</v>
      </c>
      <c r="D2558" s="1">
        <v>8.3999999999999986</v>
      </c>
    </row>
    <row r="2559" spans="1:4" x14ac:dyDescent="0.25">
      <c r="A2559" s="16">
        <v>10081</v>
      </c>
      <c r="B2559" s="1">
        <v>1</v>
      </c>
      <c r="C2559" s="1">
        <v>2</v>
      </c>
      <c r="D2559" s="1">
        <v>33.6</v>
      </c>
    </row>
    <row r="2560" spans="1:4" x14ac:dyDescent="0.25">
      <c r="A2560" s="16">
        <v>10082</v>
      </c>
      <c r="B2560" s="1">
        <v>1</v>
      </c>
      <c r="C2560" s="1">
        <v>1</v>
      </c>
      <c r="D2560" s="1">
        <v>16.8</v>
      </c>
    </row>
    <row r="2561" spans="1:4" x14ac:dyDescent="0.25">
      <c r="A2561" s="16">
        <v>10083</v>
      </c>
      <c r="B2561" s="1">
        <v>1</v>
      </c>
      <c r="C2561" s="1">
        <v>1</v>
      </c>
      <c r="D2561" s="1">
        <v>6</v>
      </c>
    </row>
    <row r="2562" spans="1:4" x14ac:dyDescent="0.25">
      <c r="A2562" s="16">
        <v>10084</v>
      </c>
      <c r="B2562" s="1">
        <v>1</v>
      </c>
      <c r="C2562" s="1">
        <v>1</v>
      </c>
      <c r="D2562" s="1">
        <v>16.8</v>
      </c>
    </row>
    <row r="2563" spans="1:4" x14ac:dyDescent="0.25">
      <c r="A2563" s="16">
        <v>10085</v>
      </c>
      <c r="B2563" s="1">
        <v>1</v>
      </c>
      <c r="C2563" s="1">
        <v>4</v>
      </c>
      <c r="D2563" s="1">
        <v>11.2</v>
      </c>
    </row>
    <row r="2564" spans="1:4" x14ac:dyDescent="0.25">
      <c r="A2564" s="16">
        <v>10086</v>
      </c>
      <c r="B2564" s="1">
        <v>1</v>
      </c>
      <c r="C2564" s="1">
        <v>1</v>
      </c>
      <c r="D2564" s="1">
        <v>16.8</v>
      </c>
    </row>
    <row r="2565" spans="1:4" x14ac:dyDescent="0.25">
      <c r="A2565" s="16">
        <v>10087</v>
      </c>
      <c r="B2565" s="1">
        <v>1</v>
      </c>
      <c r="C2565" s="1">
        <v>1</v>
      </c>
      <c r="D2565" s="1">
        <v>14</v>
      </c>
    </row>
    <row r="2566" spans="1:4" x14ac:dyDescent="0.25">
      <c r="A2566" s="16">
        <v>10088</v>
      </c>
      <c r="B2566" s="1">
        <v>1</v>
      </c>
      <c r="C2566" s="1">
        <v>2</v>
      </c>
      <c r="D2566" s="1">
        <v>33.6</v>
      </c>
    </row>
    <row r="2567" spans="1:4" x14ac:dyDescent="0.25">
      <c r="A2567" s="16">
        <v>10089</v>
      </c>
      <c r="B2567" s="1">
        <v>1</v>
      </c>
      <c r="C2567" s="1">
        <v>2</v>
      </c>
      <c r="D2567" s="1">
        <v>4.8</v>
      </c>
    </row>
    <row r="2568" spans="1:4" x14ac:dyDescent="0.25">
      <c r="A2568" s="16">
        <v>10090</v>
      </c>
      <c r="B2568" s="1">
        <v>1</v>
      </c>
      <c r="C2568" s="1">
        <v>1</v>
      </c>
      <c r="D2568" s="1">
        <v>16.8</v>
      </c>
    </row>
    <row r="2569" spans="1:4" x14ac:dyDescent="0.25">
      <c r="A2569" s="16">
        <v>10091</v>
      </c>
      <c r="B2569" s="1">
        <v>1</v>
      </c>
      <c r="C2569" s="1">
        <v>1</v>
      </c>
      <c r="D2569" s="1">
        <v>8</v>
      </c>
    </row>
    <row r="2570" spans="1:4" x14ac:dyDescent="0.25">
      <c r="A2570" s="16">
        <v>10092</v>
      </c>
      <c r="B2570" s="1">
        <v>1</v>
      </c>
      <c r="C2570" s="1">
        <v>1</v>
      </c>
      <c r="D2570" s="1">
        <v>16.8</v>
      </c>
    </row>
    <row r="2571" spans="1:4" x14ac:dyDescent="0.25">
      <c r="A2571" s="16">
        <v>10093</v>
      </c>
      <c r="B2571" s="1">
        <v>1</v>
      </c>
      <c r="C2571" s="1">
        <v>1</v>
      </c>
      <c r="D2571" s="1">
        <v>36</v>
      </c>
    </row>
    <row r="2572" spans="1:4" x14ac:dyDescent="0.25">
      <c r="A2572" s="16">
        <v>10094</v>
      </c>
      <c r="B2572" s="1">
        <v>1</v>
      </c>
      <c r="C2572" s="1">
        <v>2</v>
      </c>
      <c r="D2572" s="1">
        <v>33.6</v>
      </c>
    </row>
    <row r="2573" spans="1:4" x14ac:dyDescent="0.25">
      <c r="A2573" s="16">
        <v>10095</v>
      </c>
      <c r="B2573" s="1">
        <v>1</v>
      </c>
      <c r="C2573" s="1">
        <v>1</v>
      </c>
      <c r="D2573" s="1">
        <v>7.6</v>
      </c>
    </row>
    <row r="2574" spans="1:4" x14ac:dyDescent="0.25">
      <c r="A2574" s="16">
        <v>10096</v>
      </c>
      <c r="B2574" s="1">
        <v>1</v>
      </c>
      <c r="C2574" s="1">
        <v>1</v>
      </c>
      <c r="D2574" s="1">
        <v>16.8</v>
      </c>
    </row>
    <row r="2575" spans="1:4" x14ac:dyDescent="0.25">
      <c r="A2575" s="16">
        <v>10097</v>
      </c>
      <c r="B2575" s="1">
        <v>1</v>
      </c>
      <c r="C2575" s="1">
        <v>2</v>
      </c>
      <c r="D2575" s="1">
        <v>12</v>
      </c>
    </row>
    <row r="2576" spans="1:4" x14ac:dyDescent="0.25">
      <c r="A2576" s="16">
        <v>10098</v>
      </c>
      <c r="B2576" s="1">
        <v>1</v>
      </c>
      <c r="C2576" s="1">
        <v>1</v>
      </c>
      <c r="D2576" s="1">
        <v>16.8</v>
      </c>
    </row>
    <row r="2577" spans="1:4" x14ac:dyDescent="0.25">
      <c r="A2577" s="16">
        <v>10099</v>
      </c>
      <c r="B2577" s="1">
        <v>1</v>
      </c>
      <c r="C2577" s="1">
        <v>3</v>
      </c>
      <c r="D2577" s="1">
        <v>8.3999999999999986</v>
      </c>
    </row>
    <row r="2578" spans="1:4" x14ac:dyDescent="0.25">
      <c r="A2578" s="16">
        <v>10100</v>
      </c>
      <c r="B2578" s="1">
        <v>1</v>
      </c>
      <c r="C2578" s="1">
        <v>1</v>
      </c>
      <c r="D2578" s="1">
        <v>16.8</v>
      </c>
    </row>
    <row r="2579" spans="1:4" x14ac:dyDescent="0.25">
      <c r="A2579" s="16">
        <v>10101</v>
      </c>
      <c r="B2579" s="1">
        <v>1</v>
      </c>
      <c r="C2579" s="1">
        <v>2</v>
      </c>
      <c r="D2579" s="1">
        <v>4.8</v>
      </c>
    </row>
    <row r="2580" spans="1:4" x14ac:dyDescent="0.25">
      <c r="A2580" s="16">
        <v>10102</v>
      </c>
      <c r="B2580" s="1">
        <v>1</v>
      </c>
      <c r="C2580" s="1">
        <v>1</v>
      </c>
      <c r="D2580" s="1">
        <v>16.8</v>
      </c>
    </row>
    <row r="2581" spans="1:4" x14ac:dyDescent="0.25">
      <c r="A2581" s="16">
        <v>10103</v>
      </c>
      <c r="B2581" s="1">
        <v>1</v>
      </c>
      <c r="C2581" s="1">
        <v>1</v>
      </c>
      <c r="D2581" s="1">
        <v>14</v>
      </c>
    </row>
    <row r="2582" spans="1:4" x14ac:dyDescent="0.25">
      <c r="A2582" s="16">
        <v>10104</v>
      </c>
      <c r="B2582" s="1">
        <v>1</v>
      </c>
      <c r="C2582" s="1">
        <v>2</v>
      </c>
      <c r="D2582" s="1">
        <v>33.6</v>
      </c>
    </row>
    <row r="2583" spans="1:4" x14ac:dyDescent="0.25">
      <c r="A2583" s="16">
        <v>10105</v>
      </c>
      <c r="B2583" s="1">
        <v>1</v>
      </c>
      <c r="C2583" s="1">
        <v>1</v>
      </c>
      <c r="D2583" s="1">
        <v>7.6</v>
      </c>
    </row>
    <row r="2584" spans="1:4" x14ac:dyDescent="0.25">
      <c r="A2584" s="16">
        <v>10106</v>
      </c>
      <c r="B2584" s="1">
        <v>1</v>
      </c>
      <c r="C2584" s="1">
        <v>1</v>
      </c>
      <c r="D2584" s="1">
        <v>16.8</v>
      </c>
    </row>
    <row r="2585" spans="1:4" x14ac:dyDescent="0.25">
      <c r="A2585" s="16">
        <v>10107</v>
      </c>
      <c r="B2585" s="1">
        <v>1</v>
      </c>
      <c r="C2585" s="1">
        <v>4</v>
      </c>
      <c r="D2585" s="1">
        <v>11.2</v>
      </c>
    </row>
    <row r="2586" spans="1:4" x14ac:dyDescent="0.25">
      <c r="A2586" s="16">
        <v>10108</v>
      </c>
      <c r="B2586" s="1">
        <v>1</v>
      </c>
      <c r="C2586" s="1">
        <v>1</v>
      </c>
      <c r="D2586" s="1">
        <v>16.8</v>
      </c>
    </row>
    <row r="2587" spans="1:4" x14ac:dyDescent="0.25">
      <c r="A2587" s="16">
        <v>10109</v>
      </c>
      <c r="B2587" s="1">
        <v>1</v>
      </c>
      <c r="C2587" s="1">
        <v>2</v>
      </c>
      <c r="D2587" s="1">
        <v>12</v>
      </c>
    </row>
    <row r="2588" spans="1:4" x14ac:dyDescent="0.25">
      <c r="A2588" s="16">
        <v>10110</v>
      </c>
      <c r="B2588" s="1">
        <v>1</v>
      </c>
      <c r="C2588" s="1">
        <v>1</v>
      </c>
      <c r="D2588" s="1">
        <v>16.8</v>
      </c>
    </row>
    <row r="2589" spans="1:4" x14ac:dyDescent="0.25">
      <c r="A2589" s="16">
        <v>10111</v>
      </c>
      <c r="B2589" s="1">
        <v>1</v>
      </c>
      <c r="C2589" s="1">
        <v>1</v>
      </c>
      <c r="D2589" s="1">
        <v>19.600000000000001</v>
      </c>
    </row>
    <row r="2590" spans="1:4" x14ac:dyDescent="0.25">
      <c r="A2590" s="16">
        <v>10112</v>
      </c>
      <c r="B2590" s="1">
        <v>1</v>
      </c>
      <c r="C2590" s="1">
        <v>1</v>
      </c>
      <c r="D2590" s="1">
        <v>16.8</v>
      </c>
    </row>
    <row r="2591" spans="1:4" x14ac:dyDescent="0.25">
      <c r="A2591" s="16">
        <v>10113</v>
      </c>
      <c r="B2591" s="1">
        <v>1</v>
      </c>
      <c r="C2591" s="1">
        <v>1</v>
      </c>
      <c r="D2591" s="1">
        <v>14</v>
      </c>
    </row>
    <row r="2592" spans="1:4" x14ac:dyDescent="0.25">
      <c r="A2592" s="16">
        <v>10114</v>
      </c>
      <c r="B2592" s="1">
        <v>1</v>
      </c>
      <c r="C2592" s="1">
        <v>1</v>
      </c>
      <c r="D2592" s="1">
        <v>16.8</v>
      </c>
    </row>
    <row r="2593" spans="1:4" x14ac:dyDescent="0.25">
      <c r="A2593" s="16">
        <v>10115</v>
      </c>
      <c r="B2593" s="1">
        <v>1</v>
      </c>
      <c r="C2593" s="1">
        <v>3</v>
      </c>
      <c r="D2593" s="1">
        <v>7.1999999999999993</v>
      </c>
    </row>
    <row r="2594" spans="1:4" x14ac:dyDescent="0.25">
      <c r="A2594" s="16">
        <v>10116</v>
      </c>
      <c r="B2594" s="1">
        <v>1</v>
      </c>
      <c r="C2594" s="1">
        <v>2</v>
      </c>
      <c r="D2594" s="1">
        <v>33.6</v>
      </c>
    </row>
    <row r="2595" spans="1:4" x14ac:dyDescent="0.25">
      <c r="A2595" s="16">
        <v>10117</v>
      </c>
      <c r="B2595" s="1">
        <v>1</v>
      </c>
      <c r="C2595" s="1">
        <v>1</v>
      </c>
      <c r="D2595" s="1">
        <v>8</v>
      </c>
    </row>
    <row r="2596" spans="1:4" x14ac:dyDescent="0.25">
      <c r="A2596" s="16">
        <v>10118</v>
      </c>
      <c r="B2596" s="1">
        <v>1</v>
      </c>
      <c r="C2596" s="1">
        <v>1</v>
      </c>
      <c r="D2596" s="1">
        <v>16.8</v>
      </c>
    </row>
    <row r="2597" spans="1:4" x14ac:dyDescent="0.25">
      <c r="A2597" s="16">
        <v>10119</v>
      </c>
      <c r="B2597" s="1">
        <v>1</v>
      </c>
      <c r="C2597" s="1">
        <v>1</v>
      </c>
      <c r="D2597" s="1">
        <v>7.6</v>
      </c>
    </row>
    <row r="2598" spans="1:4" x14ac:dyDescent="0.25">
      <c r="A2598" s="16">
        <v>10120</v>
      </c>
      <c r="B2598" s="1">
        <v>1</v>
      </c>
      <c r="C2598" s="1">
        <v>1</v>
      </c>
      <c r="D2598" s="1">
        <v>16.8</v>
      </c>
    </row>
    <row r="2599" spans="1:4" x14ac:dyDescent="0.25">
      <c r="A2599" s="16">
        <v>10121</v>
      </c>
      <c r="B2599" s="1">
        <v>1</v>
      </c>
      <c r="C2599" s="1">
        <v>1</v>
      </c>
      <c r="D2599" s="1">
        <v>6</v>
      </c>
    </row>
    <row r="2600" spans="1:4" x14ac:dyDescent="0.25">
      <c r="A2600" s="16">
        <v>10122</v>
      </c>
      <c r="B2600" s="1">
        <v>1</v>
      </c>
      <c r="C2600" s="1">
        <v>2</v>
      </c>
      <c r="D2600" s="1">
        <v>33.6</v>
      </c>
    </row>
    <row r="2601" spans="1:4" x14ac:dyDescent="0.25">
      <c r="A2601" s="16">
        <v>10123</v>
      </c>
      <c r="B2601" s="1">
        <v>1</v>
      </c>
      <c r="C2601" s="1">
        <v>3</v>
      </c>
      <c r="D2601" s="1">
        <v>8.3999999999999986</v>
      </c>
    </row>
    <row r="2602" spans="1:4" x14ac:dyDescent="0.25">
      <c r="A2602" s="16">
        <v>10124</v>
      </c>
      <c r="B2602" s="1">
        <v>1</v>
      </c>
      <c r="C2602" s="1">
        <v>1</v>
      </c>
      <c r="D2602" s="1">
        <v>16.8</v>
      </c>
    </row>
    <row r="2603" spans="1:4" x14ac:dyDescent="0.25">
      <c r="A2603" s="16">
        <v>10125</v>
      </c>
      <c r="B2603" s="1">
        <v>1</v>
      </c>
      <c r="C2603" s="1">
        <v>1</v>
      </c>
      <c r="D2603" s="1">
        <v>36</v>
      </c>
    </row>
    <row r="2604" spans="1:4" x14ac:dyDescent="0.25">
      <c r="A2604" s="16">
        <v>10126</v>
      </c>
      <c r="B2604" s="1">
        <v>1</v>
      </c>
      <c r="C2604" s="1">
        <v>1</v>
      </c>
      <c r="D2604" s="1">
        <v>16.8</v>
      </c>
    </row>
    <row r="2605" spans="1:4" x14ac:dyDescent="0.25">
      <c r="A2605" s="16">
        <v>10127</v>
      </c>
      <c r="B2605" s="1">
        <v>1</v>
      </c>
      <c r="C2605" s="1">
        <v>1</v>
      </c>
      <c r="D2605" s="1">
        <v>8</v>
      </c>
    </row>
    <row r="2606" spans="1:4" x14ac:dyDescent="0.25">
      <c r="A2606" s="16">
        <v>10128</v>
      </c>
      <c r="B2606" s="1">
        <v>1</v>
      </c>
      <c r="C2606" s="1">
        <v>1</v>
      </c>
      <c r="D2606" s="1">
        <v>16.8</v>
      </c>
    </row>
    <row r="2607" spans="1:4" x14ac:dyDescent="0.25">
      <c r="A2607" s="16">
        <v>10129</v>
      </c>
      <c r="B2607" s="1">
        <v>1</v>
      </c>
      <c r="C2607" s="1">
        <v>1</v>
      </c>
      <c r="D2607" s="1">
        <v>14</v>
      </c>
    </row>
    <row r="2608" spans="1:4" x14ac:dyDescent="0.25">
      <c r="A2608" s="16">
        <v>10130</v>
      </c>
      <c r="B2608" s="1">
        <v>1</v>
      </c>
      <c r="C2608" s="1">
        <v>2</v>
      </c>
      <c r="D2608" s="1">
        <v>33.6</v>
      </c>
    </row>
    <row r="2609" spans="1:4" x14ac:dyDescent="0.25">
      <c r="A2609" s="16">
        <v>10131</v>
      </c>
      <c r="B2609" s="1">
        <v>1</v>
      </c>
      <c r="C2609" s="1">
        <v>1</v>
      </c>
      <c r="D2609" s="1">
        <v>6</v>
      </c>
    </row>
    <row r="2610" spans="1:4" x14ac:dyDescent="0.25">
      <c r="A2610" s="16">
        <v>10132</v>
      </c>
      <c r="B2610" s="1">
        <v>1</v>
      </c>
      <c r="C2610" s="1">
        <v>1</v>
      </c>
      <c r="D2610" s="1">
        <v>16.8</v>
      </c>
    </row>
    <row r="2611" spans="1:4" x14ac:dyDescent="0.25">
      <c r="A2611" s="16">
        <v>10133</v>
      </c>
      <c r="B2611" s="1">
        <v>1</v>
      </c>
      <c r="C2611" s="1">
        <v>3</v>
      </c>
      <c r="D2611" s="1">
        <v>8.3999999999999986</v>
      </c>
    </row>
    <row r="2612" spans="1:4" x14ac:dyDescent="0.25">
      <c r="A2612" s="16">
        <v>10134</v>
      </c>
      <c r="B2612" s="1">
        <v>1</v>
      </c>
      <c r="C2612" s="1">
        <v>1</v>
      </c>
      <c r="D2612" s="1">
        <v>16.8</v>
      </c>
    </row>
    <row r="2613" spans="1:4" x14ac:dyDescent="0.25">
      <c r="A2613" s="16">
        <v>10135</v>
      </c>
      <c r="B2613" s="1">
        <v>1</v>
      </c>
      <c r="C2613" s="1">
        <v>1</v>
      </c>
      <c r="D2613" s="1">
        <v>6</v>
      </c>
    </row>
    <row r="2614" spans="1:4" x14ac:dyDescent="0.25">
      <c r="A2614" s="16">
        <v>10136</v>
      </c>
      <c r="B2614" s="1">
        <v>1</v>
      </c>
      <c r="C2614" s="1">
        <v>2</v>
      </c>
      <c r="D2614" s="1">
        <v>33.6</v>
      </c>
    </row>
    <row r="2615" spans="1:4" x14ac:dyDescent="0.25">
      <c r="A2615" s="16">
        <v>10137</v>
      </c>
      <c r="B2615" s="1">
        <v>1</v>
      </c>
      <c r="C2615" s="1">
        <v>3</v>
      </c>
      <c r="D2615" s="1">
        <v>7.1999999999999993</v>
      </c>
    </row>
    <row r="2616" spans="1:4" x14ac:dyDescent="0.25">
      <c r="A2616" s="16">
        <v>10138</v>
      </c>
      <c r="B2616" s="1">
        <v>1</v>
      </c>
      <c r="C2616" s="1">
        <v>1</v>
      </c>
      <c r="D2616" s="1">
        <v>16.8</v>
      </c>
    </row>
    <row r="2617" spans="1:4" x14ac:dyDescent="0.25">
      <c r="A2617" s="16">
        <v>10139</v>
      </c>
      <c r="B2617" s="1">
        <v>1</v>
      </c>
      <c r="C2617" s="1">
        <v>1</v>
      </c>
      <c r="D2617" s="1">
        <v>8</v>
      </c>
    </row>
    <row r="2618" spans="1:4" x14ac:dyDescent="0.25">
      <c r="A2618" s="16">
        <v>10140</v>
      </c>
      <c r="B2618" s="1">
        <v>1</v>
      </c>
      <c r="C2618" s="1">
        <v>1</v>
      </c>
      <c r="D2618" s="1">
        <v>16.8</v>
      </c>
    </row>
    <row r="2619" spans="1:4" x14ac:dyDescent="0.25">
      <c r="A2619" s="16">
        <v>10141</v>
      </c>
      <c r="B2619" s="1">
        <v>1</v>
      </c>
      <c r="C2619" s="1">
        <v>1</v>
      </c>
      <c r="D2619" s="1">
        <v>36</v>
      </c>
    </row>
    <row r="2620" spans="1:4" x14ac:dyDescent="0.25">
      <c r="A2620" s="16">
        <v>10142</v>
      </c>
      <c r="B2620" s="1">
        <v>1</v>
      </c>
      <c r="C2620" s="1">
        <v>2</v>
      </c>
      <c r="D2620" s="1">
        <v>33.6</v>
      </c>
    </row>
    <row r="2621" spans="1:4" x14ac:dyDescent="0.25">
      <c r="A2621" s="16">
        <v>10143</v>
      </c>
      <c r="B2621" s="1">
        <v>1</v>
      </c>
      <c r="C2621" s="1">
        <v>4</v>
      </c>
      <c r="D2621" s="1">
        <v>11.2</v>
      </c>
    </row>
    <row r="2622" spans="1:4" x14ac:dyDescent="0.25">
      <c r="A2622" s="16">
        <v>10144</v>
      </c>
      <c r="B2622" s="1">
        <v>1</v>
      </c>
      <c r="C2622" s="1">
        <v>1</v>
      </c>
      <c r="D2622" s="1">
        <v>16.8</v>
      </c>
    </row>
    <row r="2623" spans="1:4" x14ac:dyDescent="0.25">
      <c r="A2623" s="16">
        <v>10145</v>
      </c>
      <c r="B2623" s="1">
        <v>1</v>
      </c>
      <c r="C2623" s="1">
        <v>2</v>
      </c>
      <c r="D2623" s="1">
        <v>28</v>
      </c>
    </row>
    <row r="2624" spans="1:4" x14ac:dyDescent="0.25">
      <c r="A2624" s="16">
        <v>10146</v>
      </c>
      <c r="B2624" s="1">
        <v>1</v>
      </c>
      <c r="C2624" s="1">
        <v>1</v>
      </c>
      <c r="D2624" s="1">
        <v>16.8</v>
      </c>
    </row>
    <row r="2625" spans="1:4" x14ac:dyDescent="0.25">
      <c r="A2625" s="16">
        <v>10147</v>
      </c>
      <c r="B2625" s="1">
        <v>1</v>
      </c>
      <c r="C2625" s="1">
        <v>1</v>
      </c>
      <c r="D2625" s="1">
        <v>6</v>
      </c>
    </row>
    <row r="2626" spans="1:4" x14ac:dyDescent="0.25">
      <c r="A2626" s="16">
        <v>10148</v>
      </c>
      <c r="B2626" s="1">
        <v>1</v>
      </c>
      <c r="C2626" s="1">
        <v>1</v>
      </c>
      <c r="D2626" s="1">
        <v>16.8</v>
      </c>
    </row>
    <row r="2627" spans="1:4" x14ac:dyDescent="0.25">
      <c r="A2627" s="16">
        <v>10149</v>
      </c>
      <c r="B2627" s="1">
        <v>1</v>
      </c>
      <c r="C2627" s="1">
        <v>3</v>
      </c>
      <c r="D2627" s="1">
        <v>8.3999999999999986</v>
      </c>
    </row>
    <row r="2628" spans="1:4" x14ac:dyDescent="0.25">
      <c r="A2628" s="16">
        <v>10150</v>
      </c>
      <c r="B2628" s="1">
        <v>1</v>
      </c>
      <c r="C2628" s="1">
        <v>2</v>
      </c>
      <c r="D2628" s="1">
        <v>33.6</v>
      </c>
    </row>
    <row r="2629" spans="1:4" x14ac:dyDescent="0.25">
      <c r="A2629" s="16">
        <v>10151</v>
      </c>
      <c r="B2629" s="1">
        <v>1</v>
      </c>
      <c r="C2629" s="1">
        <v>2</v>
      </c>
      <c r="D2629" s="1">
        <v>4.8</v>
      </c>
    </row>
    <row r="2630" spans="1:4" x14ac:dyDescent="0.25">
      <c r="A2630" s="16">
        <v>10152</v>
      </c>
      <c r="B2630" s="1">
        <v>1</v>
      </c>
      <c r="C2630" s="1">
        <v>1</v>
      </c>
      <c r="D2630" s="1">
        <v>16.8</v>
      </c>
    </row>
    <row r="2631" spans="1:4" x14ac:dyDescent="0.25">
      <c r="A2631" s="16">
        <v>10153</v>
      </c>
      <c r="B2631" s="1">
        <v>1</v>
      </c>
      <c r="C2631" s="1">
        <v>1</v>
      </c>
      <c r="D2631" s="1">
        <v>19.600000000000001</v>
      </c>
    </row>
    <row r="2632" spans="1:4" x14ac:dyDescent="0.25">
      <c r="A2632" s="16">
        <v>10154</v>
      </c>
      <c r="B2632" s="1">
        <v>1</v>
      </c>
      <c r="C2632" s="1">
        <v>1</v>
      </c>
      <c r="D2632" s="1">
        <v>16.8</v>
      </c>
    </row>
    <row r="2633" spans="1:4" x14ac:dyDescent="0.25">
      <c r="A2633" s="16">
        <v>10155</v>
      </c>
      <c r="B2633" s="1">
        <v>1</v>
      </c>
      <c r="C2633" s="1">
        <v>1</v>
      </c>
      <c r="D2633" s="1">
        <v>7.6</v>
      </c>
    </row>
    <row r="2634" spans="1:4" x14ac:dyDescent="0.25">
      <c r="A2634" s="16">
        <v>10156</v>
      </c>
      <c r="B2634" s="1">
        <v>1</v>
      </c>
      <c r="C2634" s="1">
        <v>2</v>
      </c>
      <c r="D2634" s="1">
        <v>33.6</v>
      </c>
    </row>
    <row r="2635" spans="1:4" x14ac:dyDescent="0.25">
      <c r="A2635" s="16">
        <v>10157</v>
      </c>
      <c r="B2635" s="1">
        <v>1</v>
      </c>
      <c r="C2635" s="1">
        <v>1</v>
      </c>
      <c r="D2635" s="1">
        <v>14</v>
      </c>
    </row>
    <row r="2636" spans="1:4" x14ac:dyDescent="0.25">
      <c r="A2636" s="16">
        <v>10158</v>
      </c>
      <c r="B2636" s="1">
        <v>1</v>
      </c>
      <c r="C2636" s="1">
        <v>1</v>
      </c>
      <c r="D2636" s="1">
        <v>16.8</v>
      </c>
    </row>
    <row r="2637" spans="1:4" x14ac:dyDescent="0.25">
      <c r="A2637" s="16">
        <v>10159</v>
      </c>
      <c r="B2637" s="1">
        <v>1</v>
      </c>
      <c r="C2637" s="1">
        <v>1</v>
      </c>
      <c r="D2637" s="1">
        <v>7.6</v>
      </c>
    </row>
    <row r="2638" spans="1:4" x14ac:dyDescent="0.25">
      <c r="A2638" s="16">
        <v>10160</v>
      </c>
      <c r="B2638" s="1">
        <v>1</v>
      </c>
      <c r="C2638" s="1">
        <v>1</v>
      </c>
      <c r="D2638" s="1">
        <v>16.8</v>
      </c>
    </row>
    <row r="2639" spans="1:4" x14ac:dyDescent="0.25">
      <c r="A2639" s="16">
        <v>10161</v>
      </c>
      <c r="B2639" s="1">
        <v>1</v>
      </c>
      <c r="C2639" s="1">
        <v>4</v>
      </c>
      <c r="D2639" s="1">
        <v>11.2</v>
      </c>
    </row>
    <row r="2640" spans="1:4" x14ac:dyDescent="0.25">
      <c r="A2640" s="16">
        <v>10162</v>
      </c>
      <c r="B2640" s="1">
        <v>1</v>
      </c>
      <c r="C2640" s="1">
        <v>1</v>
      </c>
      <c r="D2640" s="1">
        <v>16.8</v>
      </c>
    </row>
    <row r="2641" spans="1:4" x14ac:dyDescent="0.25">
      <c r="A2641" s="16">
        <v>10163</v>
      </c>
      <c r="B2641" s="1">
        <v>1</v>
      </c>
      <c r="C2641" s="1">
        <v>1</v>
      </c>
      <c r="D2641" s="1">
        <v>6</v>
      </c>
    </row>
    <row r="2642" spans="1:4" x14ac:dyDescent="0.25">
      <c r="A2642" s="16">
        <v>10164</v>
      </c>
      <c r="B2642" s="1">
        <v>1</v>
      </c>
      <c r="C2642" s="1">
        <v>1</v>
      </c>
      <c r="D2642" s="1">
        <v>16.8</v>
      </c>
    </row>
    <row r="2643" spans="1:4" x14ac:dyDescent="0.25">
      <c r="A2643" s="16">
        <v>10165</v>
      </c>
      <c r="B2643" s="1">
        <v>1</v>
      </c>
      <c r="C2643" s="1">
        <v>2</v>
      </c>
      <c r="D2643" s="1">
        <v>5.6</v>
      </c>
    </row>
    <row r="2644" spans="1:4" x14ac:dyDescent="0.25">
      <c r="A2644" s="16">
        <v>10166</v>
      </c>
      <c r="B2644" s="1">
        <v>1</v>
      </c>
      <c r="C2644" s="1">
        <v>1</v>
      </c>
      <c r="D2644" s="1">
        <v>16.8</v>
      </c>
    </row>
    <row r="2645" spans="1:4" x14ac:dyDescent="0.25">
      <c r="A2645" s="16">
        <v>10167</v>
      </c>
      <c r="B2645" s="1">
        <v>1</v>
      </c>
      <c r="C2645" s="1">
        <v>3</v>
      </c>
      <c r="D2645" s="1">
        <v>7.1999999999999993</v>
      </c>
    </row>
    <row r="2646" spans="1:4" x14ac:dyDescent="0.25">
      <c r="A2646" s="16">
        <v>10168</v>
      </c>
      <c r="B2646" s="1">
        <v>1</v>
      </c>
      <c r="C2646" s="1">
        <v>1</v>
      </c>
      <c r="D2646" s="1">
        <v>16.8</v>
      </c>
    </row>
    <row r="2647" spans="1:4" x14ac:dyDescent="0.25">
      <c r="A2647" s="16">
        <v>10169</v>
      </c>
      <c r="B2647" s="1">
        <v>1</v>
      </c>
      <c r="C2647" s="1">
        <v>1</v>
      </c>
      <c r="D2647" s="1">
        <v>7.6</v>
      </c>
    </row>
    <row r="2648" spans="1:4" x14ac:dyDescent="0.25">
      <c r="A2648" s="16">
        <v>10170</v>
      </c>
      <c r="B2648" s="1">
        <v>1</v>
      </c>
      <c r="C2648" s="1">
        <v>1</v>
      </c>
      <c r="D2648" s="1">
        <v>16.8</v>
      </c>
    </row>
    <row r="2649" spans="1:4" x14ac:dyDescent="0.25">
      <c r="A2649" s="16">
        <v>10171</v>
      </c>
      <c r="B2649" s="1">
        <v>1</v>
      </c>
      <c r="C2649" s="1">
        <v>1</v>
      </c>
      <c r="D2649" s="1">
        <v>36</v>
      </c>
    </row>
    <row r="2650" spans="1:4" x14ac:dyDescent="0.25">
      <c r="A2650" s="16">
        <v>10172</v>
      </c>
      <c r="B2650" s="1">
        <v>1</v>
      </c>
      <c r="C2650" s="1">
        <v>2</v>
      </c>
      <c r="D2650" s="1">
        <v>33.6</v>
      </c>
    </row>
    <row r="2651" spans="1:4" x14ac:dyDescent="0.25">
      <c r="A2651" s="16">
        <v>10173</v>
      </c>
      <c r="B2651" s="1">
        <v>1</v>
      </c>
      <c r="C2651" s="1">
        <v>1</v>
      </c>
      <c r="D2651" s="1">
        <v>8</v>
      </c>
    </row>
    <row r="2652" spans="1:4" x14ac:dyDescent="0.25">
      <c r="A2652" s="16">
        <v>10174</v>
      </c>
      <c r="B2652" s="1">
        <v>1</v>
      </c>
      <c r="C2652" s="1">
        <v>1</v>
      </c>
      <c r="D2652" s="1">
        <v>16.8</v>
      </c>
    </row>
    <row r="2653" spans="1:4" x14ac:dyDescent="0.25">
      <c r="A2653" s="16">
        <v>10175</v>
      </c>
      <c r="B2653" s="1">
        <v>1</v>
      </c>
      <c r="C2653" s="1">
        <v>1</v>
      </c>
      <c r="D2653" s="1">
        <v>14</v>
      </c>
    </row>
    <row r="2654" spans="1:4" x14ac:dyDescent="0.25">
      <c r="A2654" s="16">
        <v>10176</v>
      </c>
      <c r="B2654" s="1">
        <v>1</v>
      </c>
      <c r="C2654" s="1">
        <v>1</v>
      </c>
      <c r="D2654" s="1">
        <v>16.8</v>
      </c>
    </row>
    <row r="2655" spans="1:4" x14ac:dyDescent="0.25">
      <c r="A2655" s="16">
        <v>10177</v>
      </c>
      <c r="B2655" s="1">
        <v>1</v>
      </c>
      <c r="C2655" s="1">
        <v>3</v>
      </c>
      <c r="D2655" s="1">
        <v>8.3999999999999986</v>
      </c>
    </row>
    <row r="2656" spans="1:4" x14ac:dyDescent="0.25">
      <c r="A2656" s="16">
        <v>10178</v>
      </c>
      <c r="B2656" s="1">
        <v>1</v>
      </c>
      <c r="C2656" s="1">
        <v>2</v>
      </c>
      <c r="D2656" s="1">
        <v>33.6</v>
      </c>
    </row>
    <row r="2657" spans="1:4" x14ac:dyDescent="0.25">
      <c r="A2657" s="16">
        <v>10179</v>
      </c>
      <c r="B2657" s="1">
        <v>1</v>
      </c>
      <c r="C2657" s="1">
        <v>1</v>
      </c>
      <c r="D2657" s="1">
        <v>6</v>
      </c>
    </row>
    <row r="2658" spans="1:4" x14ac:dyDescent="0.25">
      <c r="A2658" s="16">
        <v>10180</v>
      </c>
      <c r="B2658" s="1">
        <v>1</v>
      </c>
      <c r="C2658" s="1">
        <v>1</v>
      </c>
      <c r="D2658" s="1">
        <v>16.8</v>
      </c>
    </row>
    <row r="2659" spans="1:4" x14ac:dyDescent="0.25">
      <c r="A2659" s="16">
        <v>10181</v>
      </c>
      <c r="B2659" s="1">
        <v>1</v>
      </c>
      <c r="C2659" s="1">
        <v>1</v>
      </c>
      <c r="D2659" s="1">
        <v>36</v>
      </c>
    </row>
    <row r="2660" spans="1:4" x14ac:dyDescent="0.25">
      <c r="A2660" s="16">
        <v>10182</v>
      </c>
      <c r="B2660" s="1">
        <v>1</v>
      </c>
      <c r="C2660" s="1">
        <v>1</v>
      </c>
      <c r="D2660" s="1">
        <v>16.8</v>
      </c>
    </row>
    <row r="2661" spans="1:4" x14ac:dyDescent="0.25">
      <c r="A2661" s="16">
        <v>10183</v>
      </c>
      <c r="B2661" s="1">
        <v>1</v>
      </c>
      <c r="C2661" s="1">
        <v>4</v>
      </c>
      <c r="D2661" s="1">
        <v>11.2</v>
      </c>
    </row>
    <row r="2662" spans="1:4" x14ac:dyDescent="0.25">
      <c r="A2662" s="16">
        <v>10184</v>
      </c>
      <c r="B2662" s="1">
        <v>1</v>
      </c>
      <c r="C2662" s="1">
        <v>2</v>
      </c>
      <c r="D2662" s="1">
        <v>33.6</v>
      </c>
    </row>
    <row r="2663" spans="1:4" x14ac:dyDescent="0.25">
      <c r="A2663" s="16">
        <v>10185</v>
      </c>
      <c r="B2663" s="1">
        <v>1</v>
      </c>
      <c r="C2663" s="1">
        <v>1</v>
      </c>
      <c r="D2663" s="1">
        <v>14</v>
      </c>
    </row>
    <row r="2664" spans="1:4" x14ac:dyDescent="0.25">
      <c r="A2664" s="16">
        <v>10186</v>
      </c>
      <c r="B2664" s="1">
        <v>1</v>
      </c>
      <c r="C2664" s="1">
        <v>1</v>
      </c>
      <c r="D2664" s="1">
        <v>16.8</v>
      </c>
    </row>
    <row r="2665" spans="1:4" x14ac:dyDescent="0.25">
      <c r="A2665" s="16">
        <v>10187</v>
      </c>
      <c r="B2665" s="1">
        <v>1</v>
      </c>
      <c r="C2665" s="1">
        <v>2</v>
      </c>
      <c r="D2665" s="1">
        <v>4.8</v>
      </c>
    </row>
    <row r="2666" spans="1:4" x14ac:dyDescent="0.25">
      <c r="A2666" s="16">
        <v>10188</v>
      </c>
      <c r="B2666" s="1">
        <v>1</v>
      </c>
      <c r="C2666" s="1">
        <v>1</v>
      </c>
      <c r="D2666" s="1">
        <v>16.8</v>
      </c>
    </row>
    <row r="2667" spans="1:4" x14ac:dyDescent="0.25">
      <c r="A2667" s="16">
        <v>10189</v>
      </c>
      <c r="B2667" s="1">
        <v>1</v>
      </c>
      <c r="C2667" s="1">
        <v>1</v>
      </c>
      <c r="D2667" s="1">
        <v>7.6</v>
      </c>
    </row>
    <row r="2668" spans="1:4" x14ac:dyDescent="0.25">
      <c r="A2668" s="16">
        <v>10190</v>
      </c>
      <c r="B2668" s="1">
        <v>1</v>
      </c>
      <c r="C2668" s="1">
        <v>1</v>
      </c>
      <c r="D2668" s="1">
        <v>16.8</v>
      </c>
    </row>
    <row r="2669" spans="1:4" x14ac:dyDescent="0.25">
      <c r="A2669" s="16">
        <v>10191</v>
      </c>
      <c r="B2669" s="1">
        <v>1</v>
      </c>
      <c r="C2669" s="1">
        <v>1</v>
      </c>
      <c r="D2669" s="1">
        <v>7.6</v>
      </c>
    </row>
    <row r="2670" spans="1:4" x14ac:dyDescent="0.25">
      <c r="A2670" s="16">
        <v>10192</v>
      </c>
      <c r="B2670" s="1">
        <v>1</v>
      </c>
      <c r="C2670" s="1">
        <v>1</v>
      </c>
      <c r="D2670" s="1">
        <v>16.8</v>
      </c>
    </row>
    <row r="2671" spans="1:4" x14ac:dyDescent="0.25">
      <c r="A2671" s="16">
        <v>10193</v>
      </c>
      <c r="B2671" s="1">
        <v>1</v>
      </c>
      <c r="C2671" s="1">
        <v>3</v>
      </c>
      <c r="D2671" s="1">
        <v>8.3999999999999986</v>
      </c>
    </row>
    <row r="2672" spans="1:4" x14ac:dyDescent="0.25">
      <c r="A2672" s="16">
        <v>10194</v>
      </c>
      <c r="B2672" s="1">
        <v>1</v>
      </c>
      <c r="C2672" s="1">
        <v>1</v>
      </c>
      <c r="D2672" s="1">
        <v>16.8</v>
      </c>
    </row>
    <row r="2673" spans="1:4" x14ac:dyDescent="0.25">
      <c r="A2673" s="16">
        <v>10195</v>
      </c>
      <c r="B2673" s="1">
        <v>1</v>
      </c>
      <c r="C2673" s="1">
        <v>1</v>
      </c>
      <c r="D2673" s="1">
        <v>6</v>
      </c>
    </row>
    <row r="2674" spans="1:4" x14ac:dyDescent="0.25">
      <c r="A2674" s="16">
        <v>10196</v>
      </c>
      <c r="B2674" s="1">
        <v>1</v>
      </c>
      <c r="C2674" s="1">
        <v>1</v>
      </c>
      <c r="D2674" s="1">
        <v>16.8</v>
      </c>
    </row>
    <row r="2675" spans="1:4" x14ac:dyDescent="0.25">
      <c r="A2675" s="16">
        <v>10197</v>
      </c>
      <c r="B2675" s="1">
        <v>1</v>
      </c>
      <c r="C2675" s="1">
        <v>3</v>
      </c>
      <c r="D2675" s="1">
        <v>8.3999999999999986</v>
      </c>
    </row>
    <row r="2676" spans="1:4" x14ac:dyDescent="0.25">
      <c r="A2676" s="16">
        <v>10198</v>
      </c>
      <c r="B2676" s="1">
        <v>1</v>
      </c>
      <c r="C2676" s="1">
        <v>2</v>
      </c>
      <c r="D2676" s="1">
        <v>33.6</v>
      </c>
    </row>
    <row r="2677" spans="1:4" x14ac:dyDescent="0.25">
      <c r="A2677" s="16">
        <v>10199</v>
      </c>
      <c r="B2677" s="1">
        <v>1</v>
      </c>
      <c r="C2677" s="1">
        <v>1</v>
      </c>
      <c r="D2677" s="1">
        <v>36</v>
      </c>
    </row>
    <row r="2678" spans="1:4" x14ac:dyDescent="0.25">
      <c r="A2678" s="16">
        <v>10200</v>
      </c>
      <c r="B2678" s="1">
        <v>1</v>
      </c>
      <c r="C2678" s="1">
        <v>1</v>
      </c>
      <c r="D2678" s="1">
        <v>16.8</v>
      </c>
    </row>
    <row r="2679" spans="1:4" x14ac:dyDescent="0.25">
      <c r="A2679" s="16">
        <v>10201</v>
      </c>
      <c r="B2679" s="1">
        <v>1</v>
      </c>
      <c r="C2679" s="1">
        <v>1</v>
      </c>
      <c r="D2679" s="1">
        <v>14</v>
      </c>
    </row>
    <row r="2680" spans="1:4" x14ac:dyDescent="0.25">
      <c r="A2680" s="16">
        <v>10202</v>
      </c>
      <c r="B2680" s="1">
        <v>1</v>
      </c>
      <c r="C2680" s="1">
        <v>1</v>
      </c>
      <c r="D2680" s="1">
        <v>16.8</v>
      </c>
    </row>
    <row r="2681" spans="1:4" x14ac:dyDescent="0.25">
      <c r="A2681" s="16">
        <v>10203</v>
      </c>
      <c r="B2681" s="1">
        <v>1</v>
      </c>
      <c r="C2681" s="1">
        <v>1</v>
      </c>
      <c r="D2681" s="1">
        <v>8</v>
      </c>
    </row>
    <row r="2682" spans="1:4" x14ac:dyDescent="0.25">
      <c r="A2682" s="16">
        <v>10204</v>
      </c>
      <c r="B2682" s="1">
        <v>1</v>
      </c>
      <c r="C2682" s="1">
        <v>1</v>
      </c>
      <c r="D2682" s="1">
        <v>16.8</v>
      </c>
    </row>
    <row r="2683" spans="1:4" x14ac:dyDescent="0.25">
      <c r="A2683" s="16">
        <v>10205</v>
      </c>
      <c r="B2683" s="1">
        <v>1</v>
      </c>
      <c r="C2683" s="1">
        <v>2</v>
      </c>
      <c r="D2683" s="1">
        <v>12</v>
      </c>
    </row>
    <row r="2684" spans="1:4" x14ac:dyDescent="0.25">
      <c r="A2684" s="16">
        <v>10206</v>
      </c>
      <c r="B2684" s="1">
        <v>1</v>
      </c>
      <c r="C2684" s="1">
        <v>2</v>
      </c>
      <c r="D2684" s="1">
        <v>33.6</v>
      </c>
    </row>
    <row r="2685" spans="1:4" x14ac:dyDescent="0.25">
      <c r="A2685" s="16">
        <v>10207</v>
      </c>
      <c r="B2685" s="1">
        <v>1</v>
      </c>
      <c r="C2685" s="1">
        <v>1</v>
      </c>
      <c r="D2685" s="1">
        <v>16.8</v>
      </c>
    </row>
    <row r="2686" spans="1:4" x14ac:dyDescent="0.25">
      <c r="A2686" s="16">
        <v>10208</v>
      </c>
      <c r="B2686" s="1">
        <v>1</v>
      </c>
      <c r="C2686" s="1">
        <v>3</v>
      </c>
      <c r="D2686" s="1">
        <v>8.3999999999999986</v>
      </c>
    </row>
    <row r="2687" spans="1:4" x14ac:dyDescent="0.25">
      <c r="A2687" s="16">
        <v>10209</v>
      </c>
      <c r="B2687" s="1">
        <v>1</v>
      </c>
      <c r="C2687" s="1">
        <v>2</v>
      </c>
      <c r="D2687" s="1">
        <v>4.8</v>
      </c>
    </row>
    <row r="2688" spans="1:4" x14ac:dyDescent="0.25">
      <c r="A2688" s="16">
        <v>10210</v>
      </c>
      <c r="B2688" s="1">
        <v>1</v>
      </c>
      <c r="C2688" s="1">
        <v>1</v>
      </c>
      <c r="D2688" s="1">
        <v>36</v>
      </c>
    </row>
    <row r="2689" spans="1:4" x14ac:dyDescent="0.25">
      <c r="A2689" s="16">
        <v>10211</v>
      </c>
      <c r="B2689" s="1">
        <v>1</v>
      </c>
      <c r="C2689" s="1">
        <v>1</v>
      </c>
      <c r="D2689" s="1">
        <v>16.8</v>
      </c>
    </row>
    <row r="2690" spans="1:4" x14ac:dyDescent="0.25">
      <c r="A2690" s="16">
        <v>10212</v>
      </c>
      <c r="B2690" s="1">
        <v>1</v>
      </c>
      <c r="C2690" s="1">
        <v>2</v>
      </c>
      <c r="D2690" s="1">
        <v>12</v>
      </c>
    </row>
    <row r="2691" spans="1:4" x14ac:dyDescent="0.25">
      <c r="A2691" s="16">
        <v>10213</v>
      </c>
      <c r="B2691" s="1">
        <v>1</v>
      </c>
      <c r="C2691" s="1">
        <v>2</v>
      </c>
      <c r="D2691" s="1">
        <v>33.6</v>
      </c>
    </row>
    <row r="2692" spans="1:4" x14ac:dyDescent="0.25">
      <c r="A2692" s="16">
        <v>10214</v>
      </c>
      <c r="B2692" s="1">
        <v>1</v>
      </c>
      <c r="C2692" s="1">
        <v>1</v>
      </c>
      <c r="D2692" s="1">
        <v>14</v>
      </c>
    </row>
    <row r="2693" spans="1:4" x14ac:dyDescent="0.25">
      <c r="A2693" s="16">
        <v>10215</v>
      </c>
      <c r="B2693" s="1">
        <v>1</v>
      </c>
      <c r="C2693" s="1">
        <v>1</v>
      </c>
      <c r="D2693" s="1">
        <v>8</v>
      </c>
    </row>
    <row r="2694" spans="1:4" x14ac:dyDescent="0.25">
      <c r="A2694" s="16">
        <v>10216</v>
      </c>
      <c r="B2694" s="1">
        <v>1</v>
      </c>
      <c r="C2694" s="1">
        <v>1</v>
      </c>
      <c r="D2694" s="1">
        <v>16.8</v>
      </c>
    </row>
    <row r="2695" spans="1:4" x14ac:dyDescent="0.25">
      <c r="A2695" s="16">
        <v>10217</v>
      </c>
      <c r="B2695" s="1">
        <v>1</v>
      </c>
      <c r="C2695" s="1">
        <v>1</v>
      </c>
      <c r="D2695" s="1">
        <v>7.6</v>
      </c>
    </row>
    <row r="2696" spans="1:4" x14ac:dyDescent="0.25">
      <c r="A2696" s="16">
        <v>10218</v>
      </c>
      <c r="B2696" s="1">
        <v>1</v>
      </c>
      <c r="C2696" s="1">
        <v>1</v>
      </c>
      <c r="D2696" s="1">
        <v>16.8</v>
      </c>
    </row>
    <row r="2697" spans="1:4" x14ac:dyDescent="0.25">
      <c r="A2697" s="16">
        <v>10219</v>
      </c>
      <c r="B2697" s="1">
        <v>1</v>
      </c>
      <c r="C2697" s="1">
        <v>1</v>
      </c>
      <c r="D2697" s="1">
        <v>36</v>
      </c>
    </row>
    <row r="2698" spans="1:4" x14ac:dyDescent="0.25">
      <c r="A2698" s="16">
        <v>10220</v>
      </c>
      <c r="B2698" s="1">
        <v>1</v>
      </c>
      <c r="C2698" s="1">
        <v>1</v>
      </c>
      <c r="D2698" s="1">
        <v>16.8</v>
      </c>
    </row>
    <row r="2699" spans="1:4" x14ac:dyDescent="0.25">
      <c r="A2699" s="16">
        <v>10221</v>
      </c>
      <c r="B2699" s="1">
        <v>1</v>
      </c>
      <c r="C2699" s="1">
        <v>3</v>
      </c>
      <c r="D2699" s="1">
        <v>7.1999999999999993</v>
      </c>
    </row>
    <row r="2700" spans="1:4" x14ac:dyDescent="0.25">
      <c r="A2700" s="16">
        <v>10222</v>
      </c>
      <c r="B2700" s="1">
        <v>1</v>
      </c>
      <c r="C2700" s="1">
        <v>1</v>
      </c>
      <c r="D2700" s="1">
        <v>16.8</v>
      </c>
    </row>
    <row r="2701" spans="1:4" x14ac:dyDescent="0.25">
      <c r="A2701" s="16">
        <v>10223</v>
      </c>
      <c r="B2701" s="1">
        <v>1</v>
      </c>
      <c r="C2701" s="1">
        <v>2</v>
      </c>
      <c r="D2701" s="1">
        <v>5.6</v>
      </c>
    </row>
    <row r="2702" spans="1:4" x14ac:dyDescent="0.25">
      <c r="A2702" s="16">
        <v>10224</v>
      </c>
      <c r="B2702" s="1">
        <v>1</v>
      </c>
      <c r="C2702" s="1">
        <v>2</v>
      </c>
      <c r="D2702" s="1">
        <v>33.6</v>
      </c>
    </row>
    <row r="2703" spans="1:4" x14ac:dyDescent="0.25">
      <c r="A2703" s="16">
        <v>10225</v>
      </c>
      <c r="B2703" s="1">
        <v>1</v>
      </c>
      <c r="C2703" s="1">
        <v>1</v>
      </c>
      <c r="D2703" s="1">
        <v>6</v>
      </c>
    </row>
    <row r="2704" spans="1:4" x14ac:dyDescent="0.25">
      <c r="A2704" s="16">
        <v>10226</v>
      </c>
      <c r="B2704" s="1">
        <v>1</v>
      </c>
      <c r="C2704" s="1">
        <v>1</v>
      </c>
      <c r="D2704" s="1">
        <v>16.8</v>
      </c>
    </row>
    <row r="2705" spans="1:4" x14ac:dyDescent="0.25">
      <c r="A2705" s="16">
        <v>10227</v>
      </c>
      <c r="B2705" s="1">
        <v>1</v>
      </c>
      <c r="C2705" s="1">
        <v>1</v>
      </c>
      <c r="D2705" s="1">
        <v>36</v>
      </c>
    </row>
    <row r="2706" spans="1:4" x14ac:dyDescent="0.25">
      <c r="A2706" s="16">
        <v>10228</v>
      </c>
      <c r="B2706" s="1">
        <v>1</v>
      </c>
      <c r="C2706" s="1">
        <v>1</v>
      </c>
      <c r="D2706" s="1">
        <v>16.8</v>
      </c>
    </row>
    <row r="2707" spans="1:4" x14ac:dyDescent="0.25">
      <c r="A2707" s="16">
        <v>10229</v>
      </c>
      <c r="B2707" s="1">
        <v>1</v>
      </c>
      <c r="C2707" s="1">
        <v>2</v>
      </c>
      <c r="D2707" s="1">
        <v>28</v>
      </c>
    </row>
    <row r="2708" spans="1:4" x14ac:dyDescent="0.25">
      <c r="A2708" s="16">
        <v>10230</v>
      </c>
      <c r="B2708" s="1">
        <v>1</v>
      </c>
      <c r="C2708" s="1">
        <v>1</v>
      </c>
      <c r="D2708" s="1">
        <v>16.8</v>
      </c>
    </row>
    <row r="2709" spans="1:4" x14ac:dyDescent="0.25">
      <c r="A2709" s="16">
        <v>10231</v>
      </c>
      <c r="B2709" s="1">
        <v>1</v>
      </c>
      <c r="C2709" s="1">
        <v>1</v>
      </c>
      <c r="D2709" s="1">
        <v>8</v>
      </c>
    </row>
    <row r="2710" spans="1:4" x14ac:dyDescent="0.25">
      <c r="A2710" s="16">
        <v>10232</v>
      </c>
      <c r="B2710" s="1">
        <v>1</v>
      </c>
      <c r="C2710" s="1">
        <v>2</v>
      </c>
      <c r="D2710" s="1">
        <v>33.6</v>
      </c>
    </row>
    <row r="2711" spans="1:4" x14ac:dyDescent="0.25">
      <c r="A2711" s="16">
        <v>10233</v>
      </c>
      <c r="B2711" s="1">
        <v>1</v>
      </c>
      <c r="C2711" s="1">
        <v>1</v>
      </c>
      <c r="D2711" s="1">
        <v>7.6</v>
      </c>
    </row>
    <row r="2712" spans="1:4" x14ac:dyDescent="0.25">
      <c r="A2712" s="16">
        <v>10234</v>
      </c>
      <c r="B2712" s="1">
        <v>1</v>
      </c>
      <c r="C2712" s="1">
        <v>1</v>
      </c>
      <c r="D2712" s="1">
        <v>16.8</v>
      </c>
    </row>
    <row r="2713" spans="1:4" x14ac:dyDescent="0.25">
      <c r="A2713" s="16">
        <v>10235</v>
      </c>
      <c r="B2713" s="1">
        <v>1</v>
      </c>
      <c r="C2713" s="1">
        <v>1</v>
      </c>
      <c r="D2713" s="1">
        <v>6</v>
      </c>
    </row>
    <row r="2714" spans="1:4" x14ac:dyDescent="0.25">
      <c r="A2714" s="16">
        <v>10236</v>
      </c>
      <c r="B2714" s="1">
        <v>1</v>
      </c>
      <c r="C2714" s="1">
        <v>1</v>
      </c>
      <c r="D2714" s="1">
        <v>16.8</v>
      </c>
    </row>
    <row r="2715" spans="1:4" x14ac:dyDescent="0.25">
      <c r="A2715" s="16">
        <v>10237</v>
      </c>
      <c r="B2715" s="1">
        <v>1</v>
      </c>
      <c r="C2715" s="1">
        <v>1</v>
      </c>
      <c r="D2715" s="1">
        <v>36</v>
      </c>
    </row>
    <row r="2716" spans="1:4" x14ac:dyDescent="0.25">
      <c r="A2716" s="16">
        <v>10238</v>
      </c>
      <c r="B2716" s="1">
        <v>1</v>
      </c>
      <c r="C2716" s="1">
        <v>1</v>
      </c>
      <c r="D2716" s="1">
        <v>16.8</v>
      </c>
    </row>
    <row r="2717" spans="1:4" x14ac:dyDescent="0.25">
      <c r="A2717" s="16">
        <v>10239</v>
      </c>
      <c r="B2717" s="1">
        <v>1</v>
      </c>
      <c r="C2717" s="1">
        <v>3</v>
      </c>
      <c r="D2717" s="1">
        <v>8.3999999999999986</v>
      </c>
    </row>
    <row r="2718" spans="1:4" x14ac:dyDescent="0.25">
      <c r="A2718" s="16">
        <v>10240</v>
      </c>
      <c r="B2718" s="1">
        <v>1</v>
      </c>
      <c r="C2718" s="1">
        <v>1</v>
      </c>
      <c r="D2718" s="1">
        <v>16.8</v>
      </c>
    </row>
    <row r="2719" spans="1:4" x14ac:dyDescent="0.25">
      <c r="A2719" s="16">
        <v>10241</v>
      </c>
      <c r="B2719" s="1">
        <v>1</v>
      </c>
      <c r="C2719" s="1">
        <v>1</v>
      </c>
      <c r="D2719" s="1">
        <v>14</v>
      </c>
    </row>
    <row r="2720" spans="1:4" x14ac:dyDescent="0.25">
      <c r="A2720" s="16">
        <v>10242</v>
      </c>
      <c r="B2720" s="1">
        <v>1</v>
      </c>
      <c r="C2720" s="1">
        <v>2</v>
      </c>
      <c r="D2720" s="1">
        <v>33.6</v>
      </c>
    </row>
    <row r="2721" spans="1:4" x14ac:dyDescent="0.25">
      <c r="A2721" s="16">
        <v>10243</v>
      </c>
      <c r="B2721" s="1">
        <v>1</v>
      </c>
      <c r="C2721" s="1">
        <v>1</v>
      </c>
      <c r="D2721" s="1">
        <v>6</v>
      </c>
    </row>
    <row r="2722" spans="1:4" x14ac:dyDescent="0.25">
      <c r="A2722" s="16">
        <v>10244</v>
      </c>
      <c r="B2722" s="1">
        <v>1</v>
      </c>
      <c r="C2722" s="1">
        <v>1</v>
      </c>
      <c r="D2722" s="1">
        <v>16.8</v>
      </c>
    </row>
    <row r="2723" spans="1:4" x14ac:dyDescent="0.25">
      <c r="A2723" s="16">
        <v>10245</v>
      </c>
      <c r="B2723" s="1">
        <v>1</v>
      </c>
      <c r="C2723" s="1">
        <v>1</v>
      </c>
      <c r="D2723" s="1">
        <v>8</v>
      </c>
    </row>
    <row r="2724" spans="1:4" x14ac:dyDescent="0.25">
      <c r="A2724" s="16">
        <v>10246</v>
      </c>
      <c r="B2724" s="1">
        <v>1</v>
      </c>
      <c r="C2724" s="1">
        <v>1</v>
      </c>
      <c r="D2724" s="1">
        <v>16.8</v>
      </c>
    </row>
    <row r="2725" spans="1:4" x14ac:dyDescent="0.25">
      <c r="A2725" s="16">
        <v>10247</v>
      </c>
      <c r="B2725" s="1">
        <v>1</v>
      </c>
      <c r="C2725" s="1">
        <v>2</v>
      </c>
      <c r="D2725" s="1">
        <v>4.8</v>
      </c>
    </row>
    <row r="2726" spans="1:4" x14ac:dyDescent="0.25">
      <c r="A2726" s="16">
        <v>10248</v>
      </c>
      <c r="B2726" s="1">
        <v>1</v>
      </c>
      <c r="C2726" s="1">
        <v>1</v>
      </c>
      <c r="D2726" s="1">
        <v>16.8</v>
      </c>
    </row>
    <row r="2727" spans="1:4" x14ac:dyDescent="0.25">
      <c r="A2727" s="16">
        <v>10249</v>
      </c>
      <c r="B2727" s="1">
        <v>1</v>
      </c>
      <c r="C2727" s="1">
        <v>1</v>
      </c>
      <c r="D2727" s="1">
        <v>36</v>
      </c>
    </row>
    <row r="2728" spans="1:4" x14ac:dyDescent="0.25">
      <c r="A2728" s="16">
        <v>10250</v>
      </c>
      <c r="B2728" s="1">
        <v>1</v>
      </c>
      <c r="C2728" s="1">
        <v>1</v>
      </c>
      <c r="D2728" s="1">
        <v>16.8</v>
      </c>
    </row>
    <row r="2729" spans="1:4" x14ac:dyDescent="0.25">
      <c r="A2729" s="16">
        <v>10251</v>
      </c>
      <c r="B2729" s="1">
        <v>1</v>
      </c>
      <c r="C2729" s="1">
        <v>1</v>
      </c>
      <c r="D2729" s="1">
        <v>7.6</v>
      </c>
    </row>
    <row r="2730" spans="1:4" x14ac:dyDescent="0.25">
      <c r="A2730" s="16">
        <v>10252</v>
      </c>
      <c r="B2730" s="1">
        <v>1</v>
      </c>
      <c r="C2730" s="1">
        <v>1</v>
      </c>
      <c r="D2730" s="1">
        <v>16.8</v>
      </c>
    </row>
    <row r="2731" spans="1:4" x14ac:dyDescent="0.25">
      <c r="A2731" s="16">
        <v>10253</v>
      </c>
      <c r="B2731" s="1">
        <v>1</v>
      </c>
      <c r="C2731" s="1">
        <v>3</v>
      </c>
      <c r="D2731" s="1">
        <v>8.3999999999999986</v>
      </c>
    </row>
    <row r="2732" spans="1:4" x14ac:dyDescent="0.25">
      <c r="A2732" s="16">
        <v>10254</v>
      </c>
      <c r="B2732" s="1">
        <v>1</v>
      </c>
      <c r="C2732" s="1">
        <v>1</v>
      </c>
      <c r="D2732" s="1">
        <v>16.8</v>
      </c>
    </row>
    <row r="2733" spans="1:4" x14ac:dyDescent="0.25">
      <c r="A2733" s="16">
        <v>10255</v>
      </c>
      <c r="B2733" s="1">
        <v>1</v>
      </c>
      <c r="C2733" s="1">
        <v>1</v>
      </c>
      <c r="D2733" s="1">
        <v>6</v>
      </c>
    </row>
    <row r="2734" spans="1:4" x14ac:dyDescent="0.25">
      <c r="A2734" s="16">
        <v>10256</v>
      </c>
      <c r="B2734" s="1">
        <v>1</v>
      </c>
      <c r="C2734" s="1">
        <v>2</v>
      </c>
      <c r="D2734" s="1">
        <v>33.6</v>
      </c>
    </row>
    <row r="2735" spans="1:4" x14ac:dyDescent="0.25">
      <c r="A2735" s="16">
        <v>10257</v>
      </c>
      <c r="B2735" s="1">
        <v>1</v>
      </c>
      <c r="C2735" s="1">
        <v>1</v>
      </c>
      <c r="D2735" s="1">
        <v>36</v>
      </c>
    </row>
    <row r="2736" spans="1:4" x14ac:dyDescent="0.25">
      <c r="A2736" s="16">
        <v>10258</v>
      </c>
      <c r="B2736" s="1">
        <v>1</v>
      </c>
      <c r="C2736" s="1">
        <v>1</v>
      </c>
      <c r="D2736" s="1">
        <v>16.8</v>
      </c>
    </row>
    <row r="2737" spans="1:4" x14ac:dyDescent="0.25">
      <c r="A2737" s="16">
        <v>10259</v>
      </c>
      <c r="B2737" s="1">
        <v>1</v>
      </c>
      <c r="C2737" s="1">
        <v>1</v>
      </c>
      <c r="D2737" s="1">
        <v>14</v>
      </c>
    </row>
    <row r="2738" spans="1:4" x14ac:dyDescent="0.25">
      <c r="A2738" s="16">
        <v>10260</v>
      </c>
      <c r="B2738" s="1">
        <v>1</v>
      </c>
      <c r="C2738" s="1">
        <v>1</v>
      </c>
      <c r="D2738" s="1">
        <v>16.8</v>
      </c>
    </row>
    <row r="2739" spans="1:4" x14ac:dyDescent="0.25">
      <c r="A2739" s="16">
        <v>10261</v>
      </c>
      <c r="B2739" s="1">
        <v>1</v>
      </c>
      <c r="C2739" s="1">
        <v>1</v>
      </c>
      <c r="D2739" s="1">
        <v>7.6</v>
      </c>
    </row>
    <row r="2740" spans="1:4" x14ac:dyDescent="0.25">
      <c r="A2740" s="16">
        <v>10262</v>
      </c>
      <c r="B2740" s="1">
        <v>1</v>
      </c>
      <c r="C2740" s="1">
        <v>2</v>
      </c>
      <c r="D2740" s="1">
        <v>33.6</v>
      </c>
    </row>
    <row r="2741" spans="1:4" x14ac:dyDescent="0.25">
      <c r="A2741" s="16">
        <v>10263</v>
      </c>
      <c r="B2741" s="1">
        <v>1</v>
      </c>
      <c r="C2741" s="1">
        <v>3</v>
      </c>
      <c r="D2741" s="1">
        <v>8.3999999999999986</v>
      </c>
    </row>
    <row r="2742" spans="1:4" x14ac:dyDescent="0.25">
      <c r="A2742" s="16">
        <v>10264</v>
      </c>
      <c r="B2742" s="1">
        <v>1</v>
      </c>
      <c r="C2742" s="1">
        <v>1</v>
      </c>
      <c r="D2742" s="1">
        <v>16.8</v>
      </c>
    </row>
    <row r="2743" spans="1:4" x14ac:dyDescent="0.25">
      <c r="A2743" s="16">
        <v>10265</v>
      </c>
      <c r="B2743" s="1">
        <v>1</v>
      </c>
      <c r="C2743" s="1">
        <v>1</v>
      </c>
      <c r="D2743" s="1">
        <v>6</v>
      </c>
    </row>
    <row r="2744" spans="1:4" x14ac:dyDescent="0.25">
      <c r="A2744" s="16">
        <v>10266</v>
      </c>
      <c r="B2744" s="1">
        <v>1</v>
      </c>
      <c r="C2744" s="1">
        <v>1</v>
      </c>
      <c r="D2744" s="1">
        <v>16.8</v>
      </c>
    </row>
    <row r="2745" spans="1:4" x14ac:dyDescent="0.25">
      <c r="A2745" s="16">
        <v>10267</v>
      </c>
      <c r="B2745" s="1">
        <v>1</v>
      </c>
      <c r="C2745" s="1">
        <v>3</v>
      </c>
      <c r="D2745" s="1">
        <v>8.3999999999999986</v>
      </c>
    </row>
    <row r="2746" spans="1:4" x14ac:dyDescent="0.25">
      <c r="A2746" s="16">
        <v>10268</v>
      </c>
      <c r="B2746" s="1">
        <v>1</v>
      </c>
      <c r="C2746" s="1">
        <v>2</v>
      </c>
      <c r="D2746" s="1">
        <v>33.6</v>
      </c>
    </row>
    <row r="2747" spans="1:4" x14ac:dyDescent="0.25">
      <c r="A2747" s="16">
        <v>10269</v>
      </c>
      <c r="B2747" s="1">
        <v>1</v>
      </c>
      <c r="C2747" s="1">
        <v>1</v>
      </c>
      <c r="D2747" s="1">
        <v>14</v>
      </c>
    </row>
    <row r="2748" spans="1:4" x14ac:dyDescent="0.25">
      <c r="A2748" s="16">
        <v>10270</v>
      </c>
      <c r="B2748" s="1">
        <v>1</v>
      </c>
      <c r="C2748" s="1">
        <v>1</v>
      </c>
      <c r="D2748" s="1">
        <v>16.8</v>
      </c>
    </row>
    <row r="2749" spans="1:4" x14ac:dyDescent="0.25">
      <c r="A2749" s="16">
        <v>10271</v>
      </c>
      <c r="B2749" s="1">
        <v>1</v>
      </c>
      <c r="C2749" s="1">
        <v>1</v>
      </c>
      <c r="D2749" s="1">
        <v>8</v>
      </c>
    </row>
    <row r="2750" spans="1:4" x14ac:dyDescent="0.25">
      <c r="A2750" s="16">
        <v>10272</v>
      </c>
      <c r="B2750" s="1">
        <v>1</v>
      </c>
      <c r="C2750" s="1">
        <v>1</v>
      </c>
      <c r="D2750" s="1">
        <v>16.8</v>
      </c>
    </row>
    <row r="2751" spans="1:4" x14ac:dyDescent="0.25">
      <c r="A2751" s="16">
        <v>10273</v>
      </c>
      <c r="B2751" s="1">
        <v>1</v>
      </c>
      <c r="C2751" s="1">
        <v>1</v>
      </c>
      <c r="D2751" s="1">
        <v>7.6</v>
      </c>
    </row>
    <row r="2752" spans="1:4" x14ac:dyDescent="0.25">
      <c r="A2752" s="16">
        <v>10274</v>
      </c>
      <c r="B2752" s="1">
        <v>1</v>
      </c>
      <c r="C2752" s="1">
        <v>2</v>
      </c>
      <c r="D2752" s="1">
        <v>33.6</v>
      </c>
    </row>
    <row r="2753" spans="1:4" x14ac:dyDescent="0.25">
      <c r="A2753" s="16">
        <v>10275</v>
      </c>
      <c r="B2753" s="1">
        <v>1</v>
      </c>
      <c r="C2753" s="1">
        <v>2</v>
      </c>
      <c r="D2753" s="1">
        <v>4.8</v>
      </c>
    </row>
    <row r="2754" spans="1:4" x14ac:dyDescent="0.25">
      <c r="A2754" s="16">
        <v>10276</v>
      </c>
      <c r="B2754" s="1">
        <v>1</v>
      </c>
      <c r="C2754" s="1">
        <v>1</v>
      </c>
      <c r="D2754" s="1">
        <v>16.8</v>
      </c>
    </row>
    <row r="2755" spans="1:4" x14ac:dyDescent="0.25">
      <c r="A2755" s="16">
        <v>10277</v>
      </c>
      <c r="B2755" s="1">
        <v>1</v>
      </c>
      <c r="C2755" s="1">
        <v>1</v>
      </c>
      <c r="D2755" s="1">
        <v>36</v>
      </c>
    </row>
    <row r="2756" spans="1:4" x14ac:dyDescent="0.25">
      <c r="A2756" s="16">
        <v>10278</v>
      </c>
      <c r="B2756" s="1">
        <v>1</v>
      </c>
      <c r="C2756" s="1">
        <v>1</v>
      </c>
      <c r="D2756" s="1">
        <v>16.8</v>
      </c>
    </row>
    <row r="2757" spans="1:4" x14ac:dyDescent="0.25">
      <c r="A2757" s="16">
        <v>10279</v>
      </c>
      <c r="B2757" s="1">
        <v>1</v>
      </c>
      <c r="C2757" s="1">
        <v>2</v>
      </c>
      <c r="D2757" s="1">
        <v>12</v>
      </c>
    </row>
    <row r="2758" spans="1:4" x14ac:dyDescent="0.25">
      <c r="A2758" s="16">
        <v>10280</v>
      </c>
      <c r="B2758" s="1">
        <v>1</v>
      </c>
      <c r="C2758" s="1">
        <v>1</v>
      </c>
      <c r="D2758" s="1">
        <v>16.8</v>
      </c>
    </row>
    <row r="2759" spans="1:4" x14ac:dyDescent="0.25">
      <c r="A2759" s="16">
        <v>10281</v>
      </c>
      <c r="B2759" s="1">
        <v>1</v>
      </c>
      <c r="C2759" s="1">
        <v>3</v>
      </c>
      <c r="D2759" s="1">
        <v>8.3999999999999986</v>
      </c>
    </row>
    <row r="2760" spans="1:4" x14ac:dyDescent="0.25">
      <c r="A2760" s="16">
        <v>10282</v>
      </c>
      <c r="B2760" s="1">
        <v>1</v>
      </c>
      <c r="C2760" s="1">
        <v>2</v>
      </c>
      <c r="D2760" s="1">
        <v>33.6</v>
      </c>
    </row>
    <row r="2761" spans="1:4" x14ac:dyDescent="0.25">
      <c r="A2761" s="16">
        <v>10283</v>
      </c>
      <c r="B2761" s="1">
        <v>1</v>
      </c>
      <c r="C2761" s="1">
        <v>1</v>
      </c>
      <c r="D2761" s="1">
        <v>6</v>
      </c>
    </row>
    <row r="2762" spans="1:4" x14ac:dyDescent="0.25">
      <c r="A2762" s="16">
        <v>10284</v>
      </c>
      <c r="B2762" s="1">
        <v>1</v>
      </c>
      <c r="C2762" s="1">
        <v>1</v>
      </c>
      <c r="D2762" s="1">
        <v>16.8</v>
      </c>
    </row>
    <row r="2763" spans="1:4" x14ac:dyDescent="0.25">
      <c r="A2763" s="16">
        <v>10285</v>
      </c>
      <c r="B2763" s="1">
        <v>1</v>
      </c>
      <c r="C2763" s="1">
        <v>3</v>
      </c>
      <c r="D2763" s="1">
        <v>8.3999999999999986</v>
      </c>
    </row>
    <row r="2764" spans="1:4" x14ac:dyDescent="0.25">
      <c r="A2764" s="16">
        <v>10286</v>
      </c>
      <c r="B2764" s="1">
        <v>1</v>
      </c>
      <c r="C2764" s="1">
        <v>2</v>
      </c>
      <c r="D2764" s="1">
        <v>33.6</v>
      </c>
    </row>
    <row r="2765" spans="1:4" x14ac:dyDescent="0.25">
      <c r="A2765" s="16">
        <v>10287</v>
      </c>
      <c r="B2765" s="1">
        <v>1</v>
      </c>
      <c r="C2765" s="1">
        <v>1</v>
      </c>
      <c r="D2765" s="1">
        <v>7.6</v>
      </c>
    </row>
    <row r="2766" spans="1:4" x14ac:dyDescent="0.25">
      <c r="A2766" s="16">
        <v>10288</v>
      </c>
      <c r="B2766" s="1">
        <v>1</v>
      </c>
      <c r="C2766" s="1">
        <v>1</v>
      </c>
      <c r="D2766" s="1">
        <v>16.8</v>
      </c>
    </row>
    <row r="2767" spans="1:4" x14ac:dyDescent="0.25">
      <c r="A2767" s="16">
        <v>10289</v>
      </c>
      <c r="B2767" s="1">
        <v>1</v>
      </c>
      <c r="C2767" s="1">
        <v>1</v>
      </c>
      <c r="D2767" s="1">
        <v>14</v>
      </c>
    </row>
    <row r="2768" spans="1:4" x14ac:dyDescent="0.25">
      <c r="A2768" s="16">
        <v>10290</v>
      </c>
      <c r="B2768" s="1">
        <v>1</v>
      </c>
      <c r="C2768" s="1">
        <v>1</v>
      </c>
      <c r="D2768" s="1">
        <v>16.8</v>
      </c>
    </row>
    <row r="2769" spans="1:4" x14ac:dyDescent="0.25">
      <c r="A2769" s="16">
        <v>10291</v>
      </c>
      <c r="B2769" s="1">
        <v>1</v>
      </c>
      <c r="C2769" s="1">
        <v>1</v>
      </c>
      <c r="D2769" s="1">
        <v>36</v>
      </c>
    </row>
    <row r="2770" spans="1:4" x14ac:dyDescent="0.25">
      <c r="A2770" s="16">
        <v>10292</v>
      </c>
      <c r="B2770" s="1">
        <v>1</v>
      </c>
      <c r="C2770" s="1">
        <v>1</v>
      </c>
      <c r="D2770" s="1">
        <v>16.8</v>
      </c>
    </row>
    <row r="2771" spans="1:4" x14ac:dyDescent="0.25">
      <c r="A2771" s="16">
        <v>10293</v>
      </c>
      <c r="B2771" s="1">
        <v>1</v>
      </c>
      <c r="C2771" s="1">
        <v>2</v>
      </c>
      <c r="D2771" s="1">
        <v>4.8</v>
      </c>
    </row>
    <row r="2772" spans="1:4" x14ac:dyDescent="0.25">
      <c r="A2772" s="16">
        <v>10294</v>
      </c>
      <c r="B2772" s="1">
        <v>1</v>
      </c>
      <c r="C2772" s="1">
        <v>1</v>
      </c>
      <c r="D2772" s="1">
        <v>16.8</v>
      </c>
    </row>
    <row r="2773" spans="1:4" x14ac:dyDescent="0.25">
      <c r="A2773" s="16">
        <v>10295</v>
      </c>
      <c r="B2773" s="1">
        <v>1</v>
      </c>
      <c r="C2773" s="1">
        <v>1</v>
      </c>
      <c r="D2773" s="1">
        <v>8</v>
      </c>
    </row>
    <row r="2774" spans="1:4" x14ac:dyDescent="0.25">
      <c r="A2774" s="16">
        <v>10296</v>
      </c>
      <c r="B2774" s="1">
        <v>1</v>
      </c>
      <c r="C2774" s="1">
        <v>2</v>
      </c>
      <c r="D2774" s="1">
        <v>33.6</v>
      </c>
    </row>
    <row r="2775" spans="1:4" x14ac:dyDescent="0.25">
      <c r="A2775" s="16">
        <v>10297</v>
      </c>
      <c r="B2775" s="1">
        <v>1</v>
      </c>
      <c r="C2775" s="1">
        <v>1</v>
      </c>
      <c r="D2775" s="1">
        <v>6</v>
      </c>
    </row>
    <row r="2776" spans="1:4" x14ac:dyDescent="0.25">
      <c r="A2776" s="16">
        <v>10298</v>
      </c>
      <c r="B2776" s="1">
        <v>1</v>
      </c>
      <c r="C2776" s="1">
        <v>1</v>
      </c>
      <c r="D2776" s="1">
        <v>16.8</v>
      </c>
    </row>
    <row r="2777" spans="1:4" x14ac:dyDescent="0.25">
      <c r="A2777" s="16">
        <v>10299</v>
      </c>
      <c r="B2777" s="1">
        <v>1</v>
      </c>
      <c r="C2777" s="1">
        <v>1</v>
      </c>
      <c r="D2777" s="1">
        <v>36</v>
      </c>
    </row>
    <row r="2778" spans="1:4" x14ac:dyDescent="0.25">
      <c r="A2778" s="16">
        <v>10300</v>
      </c>
      <c r="B2778" s="1">
        <v>1</v>
      </c>
      <c r="C2778" s="1">
        <v>1</v>
      </c>
      <c r="D2778" s="1">
        <v>16.8</v>
      </c>
    </row>
    <row r="2779" spans="1:4" x14ac:dyDescent="0.25">
      <c r="A2779" s="16">
        <v>10301</v>
      </c>
      <c r="B2779" s="1">
        <v>1</v>
      </c>
      <c r="C2779" s="1">
        <v>1</v>
      </c>
      <c r="D2779" s="1">
        <v>7.6</v>
      </c>
    </row>
    <row r="2780" spans="1:4" x14ac:dyDescent="0.25">
      <c r="A2780" s="16">
        <v>10302</v>
      </c>
      <c r="B2780" s="1">
        <v>1</v>
      </c>
      <c r="C2780" s="1">
        <v>2</v>
      </c>
      <c r="D2780" s="1">
        <v>33.6</v>
      </c>
    </row>
    <row r="2781" spans="1:4" x14ac:dyDescent="0.25">
      <c r="A2781" s="16">
        <v>10303</v>
      </c>
      <c r="B2781" s="1">
        <v>1</v>
      </c>
      <c r="C2781" s="1">
        <v>1</v>
      </c>
      <c r="D2781" s="1">
        <v>14</v>
      </c>
    </row>
    <row r="2782" spans="1:4" x14ac:dyDescent="0.25">
      <c r="A2782" s="16">
        <v>10304</v>
      </c>
      <c r="B2782" s="1">
        <v>1</v>
      </c>
      <c r="C2782" s="1">
        <v>1</v>
      </c>
      <c r="D2782" s="1">
        <v>16.8</v>
      </c>
    </row>
    <row r="2783" spans="1:4" x14ac:dyDescent="0.25">
      <c r="A2783" s="16">
        <v>10305</v>
      </c>
      <c r="B2783" s="1">
        <v>1</v>
      </c>
      <c r="C2783" s="1">
        <v>1</v>
      </c>
      <c r="D2783" s="1">
        <v>8</v>
      </c>
    </row>
    <row r="2784" spans="1:4" x14ac:dyDescent="0.25">
      <c r="A2784" s="16">
        <v>10306</v>
      </c>
      <c r="B2784" s="1">
        <v>1</v>
      </c>
      <c r="C2784" s="1">
        <v>1</v>
      </c>
      <c r="D2784" s="1">
        <v>16.8</v>
      </c>
    </row>
    <row r="2785" spans="1:4" x14ac:dyDescent="0.25">
      <c r="A2785" s="16">
        <v>10307</v>
      </c>
      <c r="B2785" s="1">
        <v>1</v>
      </c>
      <c r="C2785" s="1">
        <v>3</v>
      </c>
      <c r="D2785" s="1">
        <v>8.3999999999999986</v>
      </c>
    </row>
    <row r="2786" spans="1:4" x14ac:dyDescent="0.25">
      <c r="A2786" s="16">
        <v>10308</v>
      </c>
      <c r="B2786" s="1">
        <v>1</v>
      </c>
      <c r="C2786" s="1">
        <v>2</v>
      </c>
      <c r="D2786" s="1">
        <v>33.6</v>
      </c>
    </row>
    <row r="2787" spans="1:4" x14ac:dyDescent="0.25">
      <c r="A2787" s="16">
        <v>10309</v>
      </c>
      <c r="B2787" s="1">
        <v>1</v>
      </c>
      <c r="C2787" s="1">
        <v>1</v>
      </c>
      <c r="D2787" s="1">
        <v>36</v>
      </c>
    </row>
    <row r="2788" spans="1:4" x14ac:dyDescent="0.25">
      <c r="A2788" s="16">
        <v>10310</v>
      </c>
      <c r="B2788" s="1">
        <v>1</v>
      </c>
      <c r="C2788" s="1">
        <v>1</v>
      </c>
      <c r="D2788" s="1">
        <v>16.8</v>
      </c>
    </row>
    <row r="2789" spans="1:4" x14ac:dyDescent="0.25">
      <c r="A2789" s="16">
        <v>10311</v>
      </c>
      <c r="B2789" s="1">
        <v>1</v>
      </c>
      <c r="C2789" s="1">
        <v>2</v>
      </c>
      <c r="D2789" s="1">
        <v>12</v>
      </c>
    </row>
    <row r="2790" spans="1:4" x14ac:dyDescent="0.25">
      <c r="A2790" s="16">
        <v>10312</v>
      </c>
      <c r="B2790" s="1">
        <v>1</v>
      </c>
      <c r="C2790" s="1">
        <v>1</v>
      </c>
      <c r="D2790" s="1">
        <v>16.8</v>
      </c>
    </row>
    <row r="2791" spans="1:4" x14ac:dyDescent="0.25">
      <c r="A2791" s="16">
        <v>10313</v>
      </c>
      <c r="B2791" s="1">
        <v>1</v>
      </c>
      <c r="C2791" s="1">
        <v>1</v>
      </c>
      <c r="D2791" s="1">
        <v>8</v>
      </c>
    </row>
    <row r="2792" spans="1:4" x14ac:dyDescent="0.25">
      <c r="A2792" s="16">
        <v>10314</v>
      </c>
      <c r="B2792" s="1">
        <v>1</v>
      </c>
      <c r="C2792" s="1">
        <v>2</v>
      </c>
      <c r="D2792" s="1">
        <v>33.6</v>
      </c>
    </row>
    <row r="2793" spans="1:4" x14ac:dyDescent="0.25">
      <c r="A2793" s="16">
        <v>10315</v>
      </c>
      <c r="B2793" s="1">
        <v>1</v>
      </c>
      <c r="C2793" s="1">
        <v>1</v>
      </c>
      <c r="D2793" s="1">
        <v>7.6</v>
      </c>
    </row>
    <row r="2794" spans="1:4" x14ac:dyDescent="0.25">
      <c r="A2794" s="16">
        <v>10316</v>
      </c>
      <c r="B2794" s="1">
        <v>1</v>
      </c>
      <c r="C2794" s="1">
        <v>1</v>
      </c>
      <c r="D2794" s="1">
        <v>16.8</v>
      </c>
    </row>
    <row r="2795" spans="1:4" x14ac:dyDescent="0.25">
      <c r="A2795" s="16">
        <v>10317</v>
      </c>
      <c r="B2795" s="1">
        <v>1</v>
      </c>
      <c r="C2795" s="1">
        <v>1</v>
      </c>
      <c r="D2795" s="1">
        <v>14</v>
      </c>
    </row>
    <row r="2796" spans="1:4" x14ac:dyDescent="0.25">
      <c r="A2796" s="16">
        <v>10318</v>
      </c>
      <c r="B2796" s="1">
        <v>1</v>
      </c>
      <c r="C2796" s="1">
        <v>1</v>
      </c>
      <c r="D2796" s="1">
        <v>16.8</v>
      </c>
    </row>
    <row r="2797" spans="1:4" x14ac:dyDescent="0.25">
      <c r="A2797" s="16">
        <v>10319</v>
      </c>
      <c r="B2797" s="1">
        <v>1</v>
      </c>
      <c r="C2797" s="1">
        <v>1</v>
      </c>
      <c r="D2797" s="1">
        <v>36</v>
      </c>
    </row>
    <row r="2798" spans="1:4" x14ac:dyDescent="0.25">
      <c r="A2798" s="16">
        <v>10320</v>
      </c>
      <c r="B2798" s="1">
        <v>1</v>
      </c>
      <c r="C2798" s="1">
        <v>1</v>
      </c>
      <c r="D2798" s="1">
        <v>16.8</v>
      </c>
    </row>
    <row r="2799" spans="1:4" x14ac:dyDescent="0.25">
      <c r="A2799" s="16">
        <v>10321</v>
      </c>
      <c r="B2799" s="1">
        <v>1</v>
      </c>
      <c r="C2799" s="1">
        <v>3</v>
      </c>
      <c r="D2799" s="1">
        <v>7.1999999999999993</v>
      </c>
    </row>
    <row r="2800" spans="1:4" x14ac:dyDescent="0.25">
      <c r="A2800" s="16">
        <v>10322</v>
      </c>
      <c r="B2800" s="1">
        <v>1</v>
      </c>
      <c r="C2800" s="1">
        <v>1</v>
      </c>
      <c r="D2800" s="1">
        <v>16.8</v>
      </c>
    </row>
    <row r="2801" spans="1:4" x14ac:dyDescent="0.25">
      <c r="A2801" s="16">
        <v>10323</v>
      </c>
      <c r="B2801" s="1">
        <v>1</v>
      </c>
      <c r="C2801" s="1">
        <v>1</v>
      </c>
      <c r="D2801" s="1">
        <v>6</v>
      </c>
    </row>
    <row r="2802" spans="1:4" x14ac:dyDescent="0.25">
      <c r="A2802" s="16">
        <v>10324</v>
      </c>
      <c r="B2802" s="1">
        <v>1</v>
      </c>
      <c r="C2802" s="1">
        <v>1</v>
      </c>
      <c r="D2802" s="1">
        <v>16.8</v>
      </c>
    </row>
    <row r="2803" spans="1:4" x14ac:dyDescent="0.25">
      <c r="A2803" s="16">
        <v>10325</v>
      </c>
      <c r="B2803" s="1">
        <v>1</v>
      </c>
      <c r="C2803" s="1">
        <v>2</v>
      </c>
      <c r="D2803" s="1">
        <v>5.6</v>
      </c>
    </row>
    <row r="2804" spans="1:4" x14ac:dyDescent="0.25">
      <c r="A2804" s="16">
        <v>10326</v>
      </c>
      <c r="B2804" s="1">
        <v>1</v>
      </c>
      <c r="C2804" s="1">
        <v>2</v>
      </c>
      <c r="D2804" s="1">
        <v>33.6</v>
      </c>
    </row>
    <row r="2805" spans="1:4" x14ac:dyDescent="0.25">
      <c r="A2805" s="16">
        <v>10327</v>
      </c>
      <c r="B2805" s="1">
        <v>1</v>
      </c>
      <c r="C2805" s="1">
        <v>1</v>
      </c>
      <c r="D2805" s="1">
        <v>36</v>
      </c>
    </row>
    <row r="2806" spans="1:4" x14ac:dyDescent="0.25">
      <c r="A2806" s="16">
        <v>10328</v>
      </c>
      <c r="B2806" s="1">
        <v>1</v>
      </c>
      <c r="C2806" s="1">
        <v>1</v>
      </c>
      <c r="D2806" s="1">
        <v>16.8</v>
      </c>
    </row>
    <row r="2807" spans="1:4" x14ac:dyDescent="0.25">
      <c r="A2807" s="16">
        <v>10329</v>
      </c>
      <c r="B2807" s="1">
        <v>1</v>
      </c>
      <c r="C2807" s="1">
        <v>1</v>
      </c>
      <c r="D2807" s="1">
        <v>14</v>
      </c>
    </row>
    <row r="2808" spans="1:4" x14ac:dyDescent="0.25">
      <c r="A2808" s="16">
        <v>10330</v>
      </c>
      <c r="B2808" s="1">
        <v>1</v>
      </c>
      <c r="C2808" s="1">
        <v>1</v>
      </c>
      <c r="D2808" s="1">
        <v>16.8</v>
      </c>
    </row>
    <row r="2809" spans="1:4" x14ac:dyDescent="0.25">
      <c r="A2809" s="16">
        <v>10331</v>
      </c>
      <c r="B2809" s="1">
        <v>1</v>
      </c>
      <c r="C2809" s="1">
        <v>2</v>
      </c>
      <c r="D2809" s="1">
        <v>12</v>
      </c>
    </row>
    <row r="2810" spans="1:4" x14ac:dyDescent="0.25">
      <c r="A2810" s="16">
        <v>10332</v>
      </c>
      <c r="B2810" s="1">
        <v>1</v>
      </c>
      <c r="C2810" s="1">
        <v>1</v>
      </c>
      <c r="D2810" s="1">
        <v>16.8</v>
      </c>
    </row>
    <row r="2811" spans="1:4" x14ac:dyDescent="0.25">
      <c r="A2811" s="16">
        <v>10333</v>
      </c>
      <c r="B2811" s="1">
        <v>1</v>
      </c>
      <c r="C2811" s="1">
        <v>1</v>
      </c>
      <c r="D2811" s="1">
        <v>8</v>
      </c>
    </row>
    <row r="2812" spans="1:4" x14ac:dyDescent="0.25">
      <c r="A2812" s="16">
        <v>10334</v>
      </c>
      <c r="B2812" s="1">
        <v>1</v>
      </c>
      <c r="C2812" s="1">
        <v>1</v>
      </c>
      <c r="D2812" s="1">
        <v>16.8</v>
      </c>
    </row>
    <row r="2813" spans="1:4" x14ac:dyDescent="0.25">
      <c r="A2813" s="16">
        <v>10335</v>
      </c>
      <c r="B2813" s="1">
        <v>1</v>
      </c>
      <c r="C2813" s="1">
        <v>1</v>
      </c>
      <c r="D2813" s="1">
        <v>8</v>
      </c>
    </row>
    <row r="2814" spans="1:4" x14ac:dyDescent="0.25">
      <c r="A2814" s="16">
        <v>10336</v>
      </c>
      <c r="B2814" s="1">
        <v>1</v>
      </c>
      <c r="C2814" s="1">
        <v>2</v>
      </c>
      <c r="D2814" s="1">
        <v>33.6</v>
      </c>
    </row>
    <row r="2815" spans="1:4" x14ac:dyDescent="0.25">
      <c r="A2815" s="16">
        <v>10337</v>
      </c>
      <c r="B2815" s="1">
        <v>1</v>
      </c>
      <c r="C2815" s="1">
        <v>1</v>
      </c>
      <c r="D2815" s="1">
        <v>36</v>
      </c>
    </row>
    <row r="2816" spans="1:4" x14ac:dyDescent="0.25">
      <c r="A2816" s="16">
        <v>10338</v>
      </c>
      <c r="B2816" s="1">
        <v>1</v>
      </c>
      <c r="C2816" s="1">
        <v>1</v>
      </c>
      <c r="D2816" s="1">
        <v>16.8</v>
      </c>
    </row>
    <row r="2817" spans="1:4" x14ac:dyDescent="0.25">
      <c r="A2817" s="16">
        <v>10339</v>
      </c>
      <c r="B2817" s="1">
        <v>1</v>
      </c>
      <c r="C2817" s="1">
        <v>1</v>
      </c>
      <c r="D2817" s="1">
        <v>7.6</v>
      </c>
    </row>
    <row r="2818" spans="1:4" x14ac:dyDescent="0.25">
      <c r="A2818" s="16">
        <v>10340</v>
      </c>
      <c r="B2818" s="1">
        <v>1</v>
      </c>
      <c r="C2818" s="1">
        <v>2</v>
      </c>
      <c r="D2818" s="1">
        <v>33.6</v>
      </c>
    </row>
    <row r="2819" spans="1:4" x14ac:dyDescent="0.25">
      <c r="A2819" s="16">
        <v>10341</v>
      </c>
      <c r="B2819" s="1">
        <v>1</v>
      </c>
      <c r="C2819" s="1">
        <v>3</v>
      </c>
      <c r="D2819" s="1">
        <v>8.3999999999999986</v>
      </c>
    </row>
    <row r="2820" spans="1:4" x14ac:dyDescent="0.25">
      <c r="A2820" s="16">
        <v>10342</v>
      </c>
      <c r="B2820" s="1">
        <v>1</v>
      </c>
      <c r="C2820" s="1">
        <v>1</v>
      </c>
      <c r="D2820" s="1">
        <v>16.8</v>
      </c>
    </row>
    <row r="2821" spans="1:4" x14ac:dyDescent="0.25">
      <c r="A2821" s="16">
        <v>10343</v>
      </c>
      <c r="B2821" s="1">
        <v>1</v>
      </c>
      <c r="C2821" s="1">
        <v>1</v>
      </c>
      <c r="D2821" s="1">
        <v>6</v>
      </c>
    </row>
    <row r="2822" spans="1:4" x14ac:dyDescent="0.25">
      <c r="A2822" s="16">
        <v>10344</v>
      </c>
      <c r="B2822" s="1">
        <v>1</v>
      </c>
      <c r="C2822" s="1">
        <v>1</v>
      </c>
      <c r="D2822" s="1">
        <v>16.8</v>
      </c>
    </row>
    <row r="2823" spans="1:4" x14ac:dyDescent="0.25">
      <c r="A2823" s="16">
        <v>10345</v>
      </c>
      <c r="B2823" s="1">
        <v>1</v>
      </c>
      <c r="C2823" s="1">
        <v>2</v>
      </c>
      <c r="D2823" s="1">
        <v>4.8</v>
      </c>
    </row>
    <row r="2824" spans="1:4" x14ac:dyDescent="0.25">
      <c r="A2824" s="16">
        <v>10346</v>
      </c>
      <c r="B2824" s="1">
        <v>1</v>
      </c>
      <c r="C2824" s="1">
        <v>1</v>
      </c>
      <c r="D2824" s="1">
        <v>16.8</v>
      </c>
    </row>
    <row r="2825" spans="1:4" x14ac:dyDescent="0.25">
      <c r="A2825" s="16">
        <v>10347</v>
      </c>
      <c r="B2825" s="1">
        <v>1</v>
      </c>
      <c r="C2825" s="1">
        <v>1</v>
      </c>
      <c r="D2825" s="1">
        <v>36</v>
      </c>
    </row>
    <row r="2826" spans="1:4" x14ac:dyDescent="0.25">
      <c r="A2826" s="16">
        <v>10348</v>
      </c>
      <c r="B2826" s="1">
        <v>1</v>
      </c>
      <c r="C2826" s="1">
        <v>2</v>
      </c>
      <c r="D2826" s="1">
        <v>33.6</v>
      </c>
    </row>
    <row r="2827" spans="1:4" x14ac:dyDescent="0.25">
      <c r="A2827" s="16">
        <v>10349</v>
      </c>
      <c r="B2827" s="1">
        <v>1</v>
      </c>
      <c r="C2827" s="1">
        <v>1</v>
      </c>
      <c r="D2827" s="1">
        <v>14</v>
      </c>
    </row>
    <row r="2828" spans="1:4" x14ac:dyDescent="0.25">
      <c r="A2828" s="16">
        <v>10350</v>
      </c>
      <c r="B2828" s="1">
        <v>1</v>
      </c>
      <c r="C2828" s="1">
        <v>1</v>
      </c>
      <c r="D2828" s="1">
        <v>16.8</v>
      </c>
    </row>
    <row r="2829" spans="1:4" x14ac:dyDescent="0.25">
      <c r="A2829" s="16">
        <v>10351</v>
      </c>
      <c r="B2829" s="1">
        <v>1</v>
      </c>
      <c r="C2829" s="1">
        <v>2</v>
      </c>
      <c r="D2829" s="1">
        <v>12</v>
      </c>
    </row>
    <row r="2830" spans="1:4" x14ac:dyDescent="0.25">
      <c r="A2830" s="16">
        <v>10352</v>
      </c>
      <c r="B2830" s="1">
        <v>1</v>
      </c>
      <c r="C2830" s="1">
        <v>1</v>
      </c>
      <c r="D2830" s="1">
        <v>16.8</v>
      </c>
    </row>
    <row r="2831" spans="1:4" x14ac:dyDescent="0.25">
      <c r="A2831" s="16">
        <v>10353</v>
      </c>
      <c r="B2831" s="1">
        <v>1</v>
      </c>
      <c r="C2831" s="1">
        <v>1</v>
      </c>
      <c r="D2831" s="1">
        <v>8</v>
      </c>
    </row>
    <row r="2832" spans="1:4" x14ac:dyDescent="0.25">
      <c r="A2832" s="16">
        <v>10354</v>
      </c>
      <c r="B2832" s="1">
        <v>1</v>
      </c>
      <c r="C2832" s="1">
        <v>2</v>
      </c>
      <c r="D2832" s="1">
        <v>33.6</v>
      </c>
    </row>
    <row r="2833" spans="1:4" x14ac:dyDescent="0.25">
      <c r="A2833" s="16">
        <v>10355</v>
      </c>
      <c r="B2833" s="1">
        <v>1</v>
      </c>
      <c r="C2833" s="1">
        <v>1</v>
      </c>
      <c r="D2833" s="1">
        <v>8</v>
      </c>
    </row>
    <row r="2834" spans="1:4" x14ac:dyDescent="0.25">
      <c r="A2834" s="16">
        <v>10356</v>
      </c>
      <c r="B2834" s="1">
        <v>1</v>
      </c>
      <c r="C2834" s="1">
        <v>1</v>
      </c>
      <c r="D2834" s="1">
        <v>16.8</v>
      </c>
    </row>
    <row r="2835" spans="1:4" x14ac:dyDescent="0.25">
      <c r="A2835" s="16">
        <v>10357</v>
      </c>
      <c r="B2835" s="1">
        <v>1</v>
      </c>
      <c r="C2835" s="1">
        <v>1</v>
      </c>
      <c r="D2835" s="1">
        <v>16.8</v>
      </c>
    </row>
    <row r="2836" spans="1:4" x14ac:dyDescent="0.25">
      <c r="A2836" s="16">
        <v>10358</v>
      </c>
      <c r="B2836" s="1">
        <v>1</v>
      </c>
      <c r="C2836" s="1">
        <v>3</v>
      </c>
      <c r="D2836" s="1">
        <v>8.3999999999999986</v>
      </c>
    </row>
    <row r="2837" spans="1:4" x14ac:dyDescent="0.25">
      <c r="A2837" s="16">
        <v>10359</v>
      </c>
      <c r="B2837" s="1">
        <v>1</v>
      </c>
      <c r="C2837" s="1">
        <v>2</v>
      </c>
      <c r="D2837" s="1">
        <v>33.6</v>
      </c>
    </row>
    <row r="2838" spans="1:4" x14ac:dyDescent="0.25">
      <c r="A2838" s="16">
        <v>10360</v>
      </c>
      <c r="B2838" s="1">
        <v>1</v>
      </c>
      <c r="C2838" s="1">
        <v>1</v>
      </c>
      <c r="D2838" s="1">
        <v>6</v>
      </c>
    </row>
    <row r="2839" spans="1:4" x14ac:dyDescent="0.25">
      <c r="A2839" s="16">
        <v>10361</v>
      </c>
      <c r="B2839" s="1">
        <v>1</v>
      </c>
      <c r="C2839" s="1">
        <v>1</v>
      </c>
      <c r="D2839" s="1">
        <v>16.8</v>
      </c>
    </row>
    <row r="2840" spans="1:4" x14ac:dyDescent="0.25">
      <c r="A2840" s="16">
        <v>10362</v>
      </c>
      <c r="B2840" s="1">
        <v>1</v>
      </c>
      <c r="C2840" s="1">
        <v>1</v>
      </c>
      <c r="D2840" s="1">
        <v>36</v>
      </c>
    </row>
    <row r="2841" spans="1:4" x14ac:dyDescent="0.25">
      <c r="A2841" s="16">
        <v>10363</v>
      </c>
      <c r="B2841" s="1">
        <v>1</v>
      </c>
      <c r="C2841" s="1">
        <v>1</v>
      </c>
      <c r="D2841" s="1">
        <v>16.8</v>
      </c>
    </row>
    <row r="2842" spans="1:4" x14ac:dyDescent="0.25">
      <c r="A2842" s="16">
        <v>10364</v>
      </c>
      <c r="B2842" s="1">
        <v>1</v>
      </c>
      <c r="C2842" s="1">
        <v>1</v>
      </c>
      <c r="D2842" s="1">
        <v>8</v>
      </c>
    </row>
    <row r="2843" spans="1:4" x14ac:dyDescent="0.25">
      <c r="A2843" s="16">
        <v>10365</v>
      </c>
      <c r="B2843" s="1">
        <v>1</v>
      </c>
      <c r="C2843" s="1">
        <v>2</v>
      </c>
      <c r="D2843" s="1">
        <v>33.6</v>
      </c>
    </row>
    <row r="2844" spans="1:4" x14ac:dyDescent="0.25">
      <c r="A2844" s="16">
        <v>10366</v>
      </c>
      <c r="B2844" s="1">
        <v>1</v>
      </c>
      <c r="C2844" s="1">
        <v>1</v>
      </c>
      <c r="D2844" s="1">
        <v>14</v>
      </c>
    </row>
    <row r="2845" spans="1:4" x14ac:dyDescent="0.25">
      <c r="A2845" s="16">
        <v>10367</v>
      </c>
      <c r="B2845" s="1">
        <v>1</v>
      </c>
      <c r="C2845" s="1">
        <v>1</v>
      </c>
      <c r="D2845" s="1">
        <v>16.8</v>
      </c>
    </row>
    <row r="2846" spans="1:4" x14ac:dyDescent="0.25">
      <c r="A2846" s="16">
        <v>10368</v>
      </c>
      <c r="B2846" s="1">
        <v>1</v>
      </c>
      <c r="C2846" s="1">
        <v>1</v>
      </c>
      <c r="D2846" s="1">
        <v>8</v>
      </c>
    </row>
    <row r="2847" spans="1:4" x14ac:dyDescent="0.25">
      <c r="A2847" s="16">
        <v>10369</v>
      </c>
      <c r="B2847" s="1">
        <v>1</v>
      </c>
      <c r="C2847" s="1">
        <v>1</v>
      </c>
      <c r="D2847" s="1">
        <v>16.8</v>
      </c>
    </row>
    <row r="2848" spans="1:4" x14ac:dyDescent="0.25">
      <c r="A2848" s="16">
        <v>10370</v>
      </c>
      <c r="B2848" s="1">
        <v>1</v>
      </c>
      <c r="C2848" s="1">
        <v>1</v>
      </c>
      <c r="D2848" s="1">
        <v>7.6</v>
      </c>
    </row>
    <row r="2849" spans="1:4" x14ac:dyDescent="0.25">
      <c r="A2849" s="16">
        <v>10371</v>
      </c>
      <c r="B2849" s="1">
        <v>1</v>
      </c>
      <c r="C2849" s="1">
        <v>1</v>
      </c>
      <c r="D2849" s="1">
        <v>16.8</v>
      </c>
    </row>
    <row r="2850" spans="1:4" x14ac:dyDescent="0.25">
      <c r="A2850" s="16">
        <v>10372</v>
      </c>
      <c r="B2850" s="1">
        <v>1</v>
      </c>
      <c r="C2850" s="1">
        <v>1</v>
      </c>
      <c r="D2850" s="1">
        <v>36</v>
      </c>
    </row>
    <row r="2851" spans="1:4" x14ac:dyDescent="0.25">
      <c r="A2851" s="16">
        <v>10373</v>
      </c>
      <c r="B2851" s="1">
        <v>1</v>
      </c>
      <c r="C2851" s="1">
        <v>1</v>
      </c>
      <c r="D2851" s="1">
        <v>16.8</v>
      </c>
    </row>
    <row r="2852" spans="1:4" x14ac:dyDescent="0.25">
      <c r="A2852" s="16">
        <v>10374</v>
      </c>
      <c r="B2852" s="1">
        <v>1</v>
      </c>
      <c r="C2852" s="1">
        <v>3</v>
      </c>
      <c r="D2852" s="1">
        <v>8.3999999999999986</v>
      </c>
    </row>
    <row r="2853" spans="1:4" x14ac:dyDescent="0.25">
      <c r="A2853" s="16">
        <v>10375</v>
      </c>
      <c r="B2853" s="1">
        <v>1</v>
      </c>
      <c r="C2853" s="1">
        <v>2</v>
      </c>
      <c r="D2853" s="1">
        <v>33.6</v>
      </c>
    </row>
    <row r="2854" spans="1:4" x14ac:dyDescent="0.25">
      <c r="A2854" s="16">
        <v>10376</v>
      </c>
      <c r="B2854" s="1">
        <v>1</v>
      </c>
      <c r="C2854" s="1">
        <v>2</v>
      </c>
      <c r="D2854" s="1">
        <v>4.8</v>
      </c>
    </row>
    <row r="2855" spans="1:4" x14ac:dyDescent="0.25">
      <c r="A2855" s="16">
        <v>10377</v>
      </c>
      <c r="B2855" s="1">
        <v>1</v>
      </c>
      <c r="C2855" s="1">
        <v>1</v>
      </c>
      <c r="D2855" s="1">
        <v>16.8</v>
      </c>
    </row>
    <row r="2856" spans="1:4" x14ac:dyDescent="0.25">
      <c r="A2856" s="16">
        <v>10378</v>
      </c>
      <c r="B2856" s="1">
        <v>1</v>
      </c>
      <c r="C2856" s="1">
        <v>1</v>
      </c>
      <c r="D2856" s="1">
        <v>6</v>
      </c>
    </row>
    <row r="2857" spans="1:4" x14ac:dyDescent="0.25">
      <c r="A2857" s="16">
        <v>10379</v>
      </c>
      <c r="B2857" s="1">
        <v>1</v>
      </c>
      <c r="C2857" s="1">
        <v>1</v>
      </c>
      <c r="D2857" s="1">
        <v>16.8</v>
      </c>
    </row>
    <row r="2858" spans="1:4" x14ac:dyDescent="0.25">
      <c r="A2858" s="16">
        <v>10380</v>
      </c>
      <c r="B2858" s="1">
        <v>1</v>
      </c>
      <c r="C2858" s="1">
        <v>1</v>
      </c>
      <c r="D2858" s="1">
        <v>14</v>
      </c>
    </row>
    <row r="2859" spans="1:4" x14ac:dyDescent="0.25">
      <c r="A2859" s="16">
        <v>10381</v>
      </c>
      <c r="B2859" s="1">
        <v>1</v>
      </c>
      <c r="C2859" s="1">
        <v>2</v>
      </c>
      <c r="D2859" s="1">
        <v>33.6</v>
      </c>
    </row>
    <row r="2860" spans="1:4" x14ac:dyDescent="0.25">
      <c r="A2860" s="16">
        <v>10382</v>
      </c>
      <c r="B2860" s="1">
        <v>1</v>
      </c>
      <c r="C2860" s="1">
        <v>1</v>
      </c>
      <c r="D2860" s="1">
        <v>36</v>
      </c>
    </row>
    <row r="2861" spans="1:4" x14ac:dyDescent="0.25">
      <c r="A2861" s="16">
        <v>10383</v>
      </c>
      <c r="B2861" s="1">
        <v>1</v>
      </c>
      <c r="C2861" s="1">
        <v>1</v>
      </c>
      <c r="D2861" s="1">
        <v>16.8</v>
      </c>
    </row>
    <row r="2862" spans="1:4" x14ac:dyDescent="0.25">
      <c r="A2862" s="16">
        <v>10384</v>
      </c>
      <c r="B2862" s="1">
        <v>1</v>
      </c>
      <c r="C2862" s="1">
        <v>3</v>
      </c>
      <c r="D2862" s="1">
        <v>8.3999999999999986</v>
      </c>
    </row>
    <row r="2863" spans="1:4" x14ac:dyDescent="0.25">
      <c r="A2863" s="16">
        <v>10385</v>
      </c>
      <c r="B2863" s="1">
        <v>1</v>
      </c>
      <c r="C2863" s="1">
        <v>1</v>
      </c>
      <c r="D2863" s="1">
        <v>16.8</v>
      </c>
    </row>
    <row r="2864" spans="1:4" x14ac:dyDescent="0.25">
      <c r="A2864" s="16">
        <v>10386</v>
      </c>
      <c r="B2864" s="1">
        <v>1</v>
      </c>
      <c r="C2864" s="1">
        <v>1</v>
      </c>
      <c r="D2864" s="1">
        <v>7.6</v>
      </c>
    </row>
    <row r="2865" spans="1:4" x14ac:dyDescent="0.25">
      <c r="A2865" s="16">
        <v>10387</v>
      </c>
      <c r="B2865" s="1">
        <v>1</v>
      </c>
      <c r="C2865" s="1">
        <v>1</v>
      </c>
      <c r="D2865" s="1">
        <v>16.8</v>
      </c>
    </row>
    <row r="2866" spans="1:4" x14ac:dyDescent="0.25">
      <c r="A2866" s="16">
        <v>10388</v>
      </c>
      <c r="B2866" s="1">
        <v>1</v>
      </c>
      <c r="C2866" s="1">
        <v>1</v>
      </c>
      <c r="D2866" s="1">
        <v>8</v>
      </c>
    </row>
    <row r="2867" spans="1:4" x14ac:dyDescent="0.25">
      <c r="A2867" s="16">
        <v>10389</v>
      </c>
      <c r="B2867" s="1">
        <v>1</v>
      </c>
      <c r="C2867" s="1">
        <v>2</v>
      </c>
      <c r="D2867" s="1">
        <v>33.6</v>
      </c>
    </row>
    <row r="2868" spans="1:4" x14ac:dyDescent="0.25">
      <c r="A2868" s="16">
        <v>10390</v>
      </c>
      <c r="B2868" s="1">
        <v>1</v>
      </c>
      <c r="C2868" s="1">
        <v>1</v>
      </c>
      <c r="D2868" s="1">
        <v>6</v>
      </c>
    </row>
    <row r="2869" spans="1:4" x14ac:dyDescent="0.25">
      <c r="A2869" s="16">
        <v>10391</v>
      </c>
      <c r="B2869" s="1">
        <v>1</v>
      </c>
      <c r="C2869" s="1">
        <v>1</v>
      </c>
      <c r="D2869" s="1">
        <v>16.8</v>
      </c>
    </row>
    <row r="2870" spans="1:4" x14ac:dyDescent="0.25">
      <c r="A2870" s="16">
        <v>10392</v>
      </c>
      <c r="B2870" s="1">
        <v>1</v>
      </c>
      <c r="C2870" s="1">
        <v>1</v>
      </c>
      <c r="D2870" s="1">
        <v>8</v>
      </c>
    </row>
    <row r="2871" spans="1:4" x14ac:dyDescent="0.25">
      <c r="A2871" s="16">
        <v>10393</v>
      </c>
      <c r="B2871" s="1">
        <v>1</v>
      </c>
      <c r="C2871" s="1">
        <v>1</v>
      </c>
      <c r="D2871" s="1">
        <v>16.8</v>
      </c>
    </row>
    <row r="2872" spans="1:4" x14ac:dyDescent="0.25">
      <c r="A2872" s="16">
        <v>10394</v>
      </c>
      <c r="B2872" s="1">
        <v>1</v>
      </c>
      <c r="C2872" s="1">
        <v>2</v>
      </c>
      <c r="D2872" s="1">
        <v>4.8</v>
      </c>
    </row>
    <row r="2873" spans="1:4" x14ac:dyDescent="0.25">
      <c r="A2873" s="16">
        <v>10395</v>
      </c>
      <c r="B2873" s="1">
        <v>1</v>
      </c>
      <c r="C2873" s="1">
        <v>2</v>
      </c>
      <c r="D2873" s="1">
        <v>33.6</v>
      </c>
    </row>
    <row r="2874" spans="1:4" x14ac:dyDescent="0.25">
      <c r="A2874" s="16">
        <v>10396</v>
      </c>
      <c r="B2874" s="1">
        <v>1</v>
      </c>
      <c r="C2874" s="1">
        <v>1</v>
      </c>
      <c r="D2874" s="1">
        <v>14</v>
      </c>
    </row>
    <row r="2875" spans="1:4" x14ac:dyDescent="0.25">
      <c r="A2875" s="16">
        <v>10397</v>
      </c>
      <c r="B2875" s="1">
        <v>1</v>
      </c>
      <c r="C2875" s="1">
        <v>1</v>
      </c>
      <c r="D2875" s="1">
        <v>16.8</v>
      </c>
    </row>
    <row r="2876" spans="1:4" x14ac:dyDescent="0.25">
      <c r="A2876" s="16">
        <v>10398</v>
      </c>
      <c r="B2876" s="1">
        <v>1</v>
      </c>
      <c r="C2876" s="1">
        <v>3</v>
      </c>
      <c r="D2876" s="1">
        <v>8.3999999999999986</v>
      </c>
    </row>
    <row r="2877" spans="1:4" x14ac:dyDescent="0.25">
      <c r="A2877" s="16">
        <v>10399</v>
      </c>
      <c r="B2877" s="1">
        <v>1</v>
      </c>
      <c r="C2877" s="1">
        <v>1</v>
      </c>
      <c r="D2877" s="1">
        <v>16.8</v>
      </c>
    </row>
    <row r="2878" spans="1:4" x14ac:dyDescent="0.25">
      <c r="A2878" s="16">
        <v>10400</v>
      </c>
      <c r="B2878" s="1">
        <v>1</v>
      </c>
      <c r="C2878" s="1">
        <v>1</v>
      </c>
      <c r="D2878" s="1">
        <v>36</v>
      </c>
    </row>
    <row r="2879" spans="1:4" x14ac:dyDescent="0.25">
      <c r="A2879" s="16">
        <v>10401</v>
      </c>
      <c r="B2879" s="1">
        <v>1</v>
      </c>
      <c r="C2879" s="1">
        <v>2</v>
      </c>
      <c r="D2879" s="1">
        <v>33.6</v>
      </c>
    </row>
    <row r="2880" spans="1:4" x14ac:dyDescent="0.25">
      <c r="A2880" s="16">
        <v>10402</v>
      </c>
      <c r="B2880" s="1">
        <v>1</v>
      </c>
      <c r="C2880" s="1">
        <v>1</v>
      </c>
      <c r="D2880" s="1">
        <v>7.6</v>
      </c>
    </row>
    <row r="2881" spans="1:4" x14ac:dyDescent="0.25">
      <c r="A2881" s="16">
        <v>10403</v>
      </c>
      <c r="B2881" s="1">
        <v>1</v>
      </c>
      <c r="C2881" s="1">
        <v>1</v>
      </c>
      <c r="D2881" s="1">
        <v>16.8</v>
      </c>
    </row>
    <row r="2882" spans="1:4" x14ac:dyDescent="0.25">
      <c r="A2882" s="16">
        <v>10404</v>
      </c>
      <c r="B2882" s="1">
        <v>1</v>
      </c>
      <c r="C2882" s="1">
        <v>2</v>
      </c>
      <c r="D2882" s="1">
        <v>12</v>
      </c>
    </row>
    <row r="2883" spans="1:4" x14ac:dyDescent="0.25">
      <c r="A2883" s="16">
        <v>10405</v>
      </c>
      <c r="B2883" s="1">
        <v>1</v>
      </c>
      <c r="C2883" s="1">
        <v>1</v>
      </c>
      <c r="D2883" s="1">
        <v>16.8</v>
      </c>
    </row>
    <row r="2884" spans="1:4" x14ac:dyDescent="0.25">
      <c r="A2884" s="16">
        <v>10406</v>
      </c>
      <c r="B2884" s="1">
        <v>1</v>
      </c>
      <c r="C2884" s="1">
        <v>1</v>
      </c>
      <c r="D2884" s="1">
        <v>8</v>
      </c>
    </row>
    <row r="2885" spans="1:4" x14ac:dyDescent="0.25">
      <c r="A2885" s="16">
        <v>10407</v>
      </c>
      <c r="B2885" s="1">
        <v>1</v>
      </c>
      <c r="C2885" s="1">
        <v>2</v>
      </c>
      <c r="D2885" s="1">
        <v>33.6</v>
      </c>
    </row>
    <row r="2886" spans="1:4" x14ac:dyDescent="0.25">
      <c r="A2886" s="16">
        <v>10408</v>
      </c>
      <c r="B2886" s="1">
        <v>1</v>
      </c>
      <c r="C2886" s="1">
        <v>1</v>
      </c>
      <c r="D2886" s="1">
        <v>8</v>
      </c>
    </row>
    <row r="2887" spans="1:4" x14ac:dyDescent="0.25">
      <c r="A2887" s="16">
        <v>10409</v>
      </c>
      <c r="B2887" s="1">
        <v>1</v>
      </c>
      <c r="C2887" s="1">
        <v>1</v>
      </c>
      <c r="D2887" s="1">
        <v>16.8</v>
      </c>
    </row>
    <row r="2888" spans="1:4" x14ac:dyDescent="0.25">
      <c r="A2888" s="16">
        <v>10410</v>
      </c>
      <c r="B2888" s="1">
        <v>1</v>
      </c>
      <c r="C2888" s="1">
        <v>1</v>
      </c>
      <c r="D2888" s="1">
        <v>14</v>
      </c>
    </row>
    <row r="2889" spans="1:4" x14ac:dyDescent="0.25">
      <c r="A2889" s="16">
        <v>10411</v>
      </c>
      <c r="B2889" s="1">
        <v>1</v>
      </c>
      <c r="C2889" s="1">
        <v>1</v>
      </c>
      <c r="D2889" s="1">
        <v>16.8</v>
      </c>
    </row>
    <row r="2890" spans="1:4" x14ac:dyDescent="0.25">
      <c r="A2890" s="16">
        <v>10412</v>
      </c>
      <c r="B2890" s="1">
        <v>1</v>
      </c>
      <c r="C2890" s="1">
        <v>2</v>
      </c>
      <c r="D2890" s="1">
        <v>4.8</v>
      </c>
    </row>
    <row r="2891" spans="1:4" x14ac:dyDescent="0.25">
      <c r="A2891" s="16">
        <v>10413</v>
      </c>
      <c r="B2891" s="1">
        <v>1</v>
      </c>
      <c r="C2891" s="1">
        <v>1</v>
      </c>
      <c r="D2891" s="1">
        <v>16.8</v>
      </c>
    </row>
    <row r="2892" spans="1:4" x14ac:dyDescent="0.25">
      <c r="A2892" s="16">
        <v>10414</v>
      </c>
      <c r="B2892" s="1">
        <v>1</v>
      </c>
      <c r="C2892" s="1">
        <v>3</v>
      </c>
      <c r="D2892" s="1">
        <v>8.3999999999999986</v>
      </c>
    </row>
    <row r="2893" spans="1:4" x14ac:dyDescent="0.25">
      <c r="A2893" s="16">
        <v>10415</v>
      </c>
      <c r="B2893" s="1">
        <v>1</v>
      </c>
      <c r="C2893" s="1">
        <v>1</v>
      </c>
      <c r="D2893" s="1">
        <v>16.8</v>
      </c>
    </row>
    <row r="2894" spans="1:4" x14ac:dyDescent="0.25">
      <c r="A2894" s="16">
        <v>10416</v>
      </c>
      <c r="B2894" s="1">
        <v>1</v>
      </c>
      <c r="C2894" s="1">
        <v>1</v>
      </c>
      <c r="D2894" s="1">
        <v>6</v>
      </c>
    </row>
    <row r="2895" spans="1:4" x14ac:dyDescent="0.25">
      <c r="A2895" s="16">
        <v>10417</v>
      </c>
      <c r="B2895" s="1">
        <v>1</v>
      </c>
      <c r="C2895" s="1">
        <v>1</v>
      </c>
      <c r="D2895" s="1">
        <v>16.8</v>
      </c>
    </row>
    <row r="2896" spans="1:4" x14ac:dyDescent="0.25">
      <c r="A2896" s="16">
        <v>10418</v>
      </c>
      <c r="B2896" s="1">
        <v>1</v>
      </c>
      <c r="C2896" s="1">
        <v>1</v>
      </c>
      <c r="D2896" s="1">
        <v>36</v>
      </c>
    </row>
    <row r="2897" spans="1:4" x14ac:dyDescent="0.25">
      <c r="A2897" s="16">
        <v>10419</v>
      </c>
      <c r="B2897" s="1">
        <v>1</v>
      </c>
      <c r="C2897" s="1">
        <v>2</v>
      </c>
      <c r="D2897" s="1">
        <v>33.6</v>
      </c>
    </row>
    <row r="2898" spans="1:4" x14ac:dyDescent="0.25">
      <c r="A2898" s="16">
        <v>10420</v>
      </c>
      <c r="B2898" s="1">
        <v>1</v>
      </c>
      <c r="C2898" s="1">
        <v>1</v>
      </c>
      <c r="D2898" s="1">
        <v>14</v>
      </c>
    </row>
    <row r="2899" spans="1:4" x14ac:dyDescent="0.25">
      <c r="A2899" s="16">
        <v>10421</v>
      </c>
      <c r="B2899" s="1">
        <v>1</v>
      </c>
      <c r="C2899" s="1">
        <v>1</v>
      </c>
      <c r="D2899" s="1">
        <v>16.8</v>
      </c>
    </row>
    <row r="2900" spans="1:4" x14ac:dyDescent="0.25">
      <c r="A2900" s="16">
        <v>10422</v>
      </c>
      <c r="B2900" s="1">
        <v>1</v>
      </c>
      <c r="C2900" s="1">
        <v>1</v>
      </c>
      <c r="D2900" s="1">
        <v>8</v>
      </c>
    </row>
    <row r="2901" spans="1:4" x14ac:dyDescent="0.25">
      <c r="A2901" s="16">
        <v>10423</v>
      </c>
      <c r="B2901" s="1">
        <v>1</v>
      </c>
      <c r="C2901" s="1">
        <v>1</v>
      </c>
      <c r="D2901" s="1">
        <v>16.8</v>
      </c>
    </row>
    <row r="2902" spans="1:4" x14ac:dyDescent="0.25">
      <c r="A2902" s="16">
        <v>10424</v>
      </c>
      <c r="B2902" s="1">
        <v>1</v>
      </c>
      <c r="C2902" s="1">
        <v>1</v>
      </c>
      <c r="D2902" s="1">
        <v>7.6</v>
      </c>
    </row>
    <row r="2903" spans="1:4" x14ac:dyDescent="0.25">
      <c r="A2903" s="16">
        <v>10425</v>
      </c>
      <c r="B2903" s="1">
        <v>1</v>
      </c>
      <c r="C2903" s="1">
        <v>2</v>
      </c>
      <c r="D2903" s="1">
        <v>33.6</v>
      </c>
    </row>
    <row r="2904" spans="1:4" x14ac:dyDescent="0.25">
      <c r="A2904" s="16">
        <v>10426</v>
      </c>
      <c r="B2904" s="1">
        <v>1</v>
      </c>
      <c r="C2904" s="1">
        <v>1</v>
      </c>
      <c r="D2904" s="1">
        <v>36</v>
      </c>
    </row>
    <row r="2905" spans="1:4" x14ac:dyDescent="0.25">
      <c r="A2905" s="16">
        <v>10427</v>
      </c>
      <c r="B2905" s="1">
        <v>1</v>
      </c>
      <c r="C2905" s="1">
        <v>1</v>
      </c>
      <c r="D2905" s="1">
        <v>16.8</v>
      </c>
    </row>
    <row r="2906" spans="1:4" x14ac:dyDescent="0.25">
      <c r="A2906" s="16">
        <v>10428</v>
      </c>
      <c r="B2906" s="1">
        <v>1</v>
      </c>
      <c r="C2906" s="1">
        <v>3</v>
      </c>
      <c r="D2906" s="1">
        <v>8.3999999999999986</v>
      </c>
    </row>
    <row r="2907" spans="1:4" x14ac:dyDescent="0.25">
      <c r="A2907" s="16">
        <v>10429</v>
      </c>
      <c r="B2907" s="1">
        <v>1</v>
      </c>
      <c r="C2907" s="1">
        <v>1</v>
      </c>
      <c r="D2907" s="1">
        <v>16.8</v>
      </c>
    </row>
    <row r="2908" spans="1:4" x14ac:dyDescent="0.25">
      <c r="A2908" s="16">
        <v>10430</v>
      </c>
      <c r="B2908" s="1">
        <v>1</v>
      </c>
      <c r="C2908" s="1">
        <v>1</v>
      </c>
      <c r="D2908" s="1">
        <v>6</v>
      </c>
    </row>
    <row r="2909" spans="1:4" x14ac:dyDescent="0.25">
      <c r="A2909" s="16">
        <v>10431</v>
      </c>
      <c r="B2909" s="1">
        <v>1</v>
      </c>
      <c r="C2909" s="1">
        <v>2</v>
      </c>
      <c r="D2909" s="1">
        <v>33.6</v>
      </c>
    </row>
    <row r="2910" spans="1:4" x14ac:dyDescent="0.25">
      <c r="A2910" s="16">
        <v>10432</v>
      </c>
      <c r="B2910" s="1">
        <v>1</v>
      </c>
      <c r="C2910" s="1">
        <v>1</v>
      </c>
      <c r="D2910" s="1">
        <v>16.8</v>
      </c>
    </row>
    <row r="2911" spans="1:4" x14ac:dyDescent="0.25">
      <c r="A2911" s="16">
        <v>10433</v>
      </c>
      <c r="B2911" s="1">
        <v>1</v>
      </c>
      <c r="C2911" s="1">
        <v>3</v>
      </c>
      <c r="D2911" s="1">
        <v>8.3999999999999986</v>
      </c>
    </row>
    <row r="2912" spans="1:4" x14ac:dyDescent="0.25">
      <c r="A2912" s="16">
        <v>10434</v>
      </c>
      <c r="B2912" s="1">
        <v>1</v>
      </c>
      <c r="C2912" s="1">
        <v>2</v>
      </c>
      <c r="D2912" s="1">
        <v>33.6</v>
      </c>
    </row>
    <row r="2913" spans="1:4" x14ac:dyDescent="0.25">
      <c r="A2913" s="16">
        <v>10435</v>
      </c>
      <c r="B2913" s="1">
        <v>1</v>
      </c>
      <c r="C2913" s="1">
        <v>1</v>
      </c>
      <c r="D2913" s="1">
        <v>6</v>
      </c>
    </row>
    <row r="2914" spans="1:4" x14ac:dyDescent="0.25">
      <c r="A2914" s="16">
        <v>10436</v>
      </c>
      <c r="B2914" s="1">
        <v>1</v>
      </c>
      <c r="C2914" s="1">
        <v>1</v>
      </c>
      <c r="D2914" s="1">
        <v>16.8</v>
      </c>
    </row>
    <row r="2915" spans="1:4" x14ac:dyDescent="0.25">
      <c r="A2915" s="16">
        <v>10437</v>
      </c>
      <c r="B2915" s="1">
        <v>1</v>
      </c>
      <c r="C2915" s="1">
        <v>1</v>
      </c>
      <c r="D2915" s="1">
        <v>14</v>
      </c>
    </row>
    <row r="2916" spans="1:4" x14ac:dyDescent="0.25">
      <c r="A2916" s="16">
        <v>10438</v>
      </c>
      <c r="B2916" s="1">
        <v>1</v>
      </c>
      <c r="C2916" s="1">
        <v>1</v>
      </c>
      <c r="D2916" s="1">
        <v>16.8</v>
      </c>
    </row>
    <row r="2917" spans="1:4" x14ac:dyDescent="0.25">
      <c r="A2917" s="16">
        <v>10439</v>
      </c>
      <c r="B2917" s="1">
        <v>1</v>
      </c>
      <c r="C2917" s="1">
        <v>1</v>
      </c>
      <c r="D2917" s="1">
        <v>36</v>
      </c>
    </row>
    <row r="2918" spans="1:4" x14ac:dyDescent="0.25">
      <c r="A2918" s="16">
        <v>10440</v>
      </c>
      <c r="B2918" s="1">
        <v>1</v>
      </c>
      <c r="C2918" s="1">
        <v>1</v>
      </c>
      <c r="D2918" s="1">
        <v>16.8</v>
      </c>
    </row>
    <row r="2919" spans="1:4" x14ac:dyDescent="0.25">
      <c r="A2919" s="16">
        <v>10441</v>
      </c>
      <c r="B2919" s="1">
        <v>1</v>
      </c>
      <c r="C2919" s="1">
        <v>1</v>
      </c>
      <c r="D2919" s="1">
        <v>8</v>
      </c>
    </row>
    <row r="2920" spans="1:4" x14ac:dyDescent="0.25">
      <c r="A2920" s="16">
        <v>10442</v>
      </c>
      <c r="B2920" s="1">
        <v>1</v>
      </c>
      <c r="C2920" s="1">
        <v>1</v>
      </c>
      <c r="D2920" s="1">
        <v>16.8</v>
      </c>
    </row>
    <row r="2921" spans="1:4" x14ac:dyDescent="0.25">
      <c r="A2921" s="16">
        <v>10443</v>
      </c>
      <c r="B2921" s="1">
        <v>1</v>
      </c>
      <c r="C2921" s="1">
        <v>2</v>
      </c>
      <c r="D2921" s="1">
        <v>4.8</v>
      </c>
    </row>
    <row r="2922" spans="1:4" x14ac:dyDescent="0.25">
      <c r="A2922" s="16">
        <v>10444</v>
      </c>
      <c r="B2922" s="1">
        <v>1</v>
      </c>
      <c r="C2922" s="1">
        <v>2</v>
      </c>
      <c r="D2922" s="1">
        <v>33.6</v>
      </c>
    </row>
    <row r="2923" spans="1:4" x14ac:dyDescent="0.25">
      <c r="A2923" s="16">
        <v>10445</v>
      </c>
      <c r="B2923" s="1">
        <v>1</v>
      </c>
      <c r="C2923" s="1">
        <v>1</v>
      </c>
      <c r="D2923" s="1">
        <v>7.6</v>
      </c>
    </row>
    <row r="2924" spans="1:4" x14ac:dyDescent="0.25">
      <c r="A2924" s="16">
        <v>10446</v>
      </c>
      <c r="B2924" s="1">
        <v>2</v>
      </c>
      <c r="C2924" s="1">
        <v>3</v>
      </c>
      <c r="D2924" s="1">
        <v>22.4</v>
      </c>
    </row>
    <row r="2925" spans="1:4" x14ac:dyDescent="0.25">
      <c r="A2925" s="16">
        <v>10447</v>
      </c>
      <c r="B2925" s="1">
        <v>1</v>
      </c>
      <c r="C2925" s="1">
        <v>1</v>
      </c>
      <c r="D2925" s="1">
        <v>19.600000000000001</v>
      </c>
    </row>
    <row r="2926" spans="1:4" x14ac:dyDescent="0.25">
      <c r="A2926" s="16">
        <v>10448</v>
      </c>
      <c r="B2926" s="1">
        <v>1</v>
      </c>
      <c r="C2926" s="1">
        <v>1</v>
      </c>
      <c r="D2926" s="1">
        <v>16.8</v>
      </c>
    </row>
    <row r="2927" spans="1:4" x14ac:dyDescent="0.25">
      <c r="A2927" s="16">
        <v>10449</v>
      </c>
      <c r="B2927" s="1">
        <v>1</v>
      </c>
      <c r="C2927" s="1">
        <v>1</v>
      </c>
      <c r="D2927" s="1">
        <v>10</v>
      </c>
    </row>
    <row r="2928" spans="1:4" x14ac:dyDescent="0.25">
      <c r="A2928" s="16">
        <v>10450</v>
      </c>
      <c r="B2928" s="1">
        <v>1</v>
      </c>
      <c r="C2928" s="1">
        <v>1</v>
      </c>
      <c r="D2928" s="1">
        <v>16.8</v>
      </c>
    </row>
    <row r="2929" spans="1:4" x14ac:dyDescent="0.25">
      <c r="A2929" s="16">
        <v>10451</v>
      </c>
      <c r="B2929" s="1">
        <v>1</v>
      </c>
      <c r="C2929" s="1">
        <v>1</v>
      </c>
      <c r="D2929" s="1">
        <v>8</v>
      </c>
    </row>
    <row r="2930" spans="1:4" x14ac:dyDescent="0.25">
      <c r="A2930" s="16">
        <v>10452</v>
      </c>
      <c r="B2930" s="1">
        <v>1</v>
      </c>
      <c r="C2930" s="1">
        <v>1</v>
      </c>
      <c r="D2930" s="1">
        <v>16.8</v>
      </c>
    </row>
    <row r="2931" spans="1:4" x14ac:dyDescent="0.25">
      <c r="A2931" s="16">
        <v>10453</v>
      </c>
      <c r="B2931" s="1">
        <v>1</v>
      </c>
      <c r="C2931" s="1">
        <v>1</v>
      </c>
      <c r="D2931" s="1">
        <v>14</v>
      </c>
    </row>
    <row r="2932" spans="1:4" x14ac:dyDescent="0.25">
      <c r="A2932" s="16">
        <v>10454</v>
      </c>
      <c r="B2932" s="1">
        <v>1</v>
      </c>
      <c r="C2932" s="1">
        <v>2</v>
      </c>
      <c r="D2932" s="1">
        <v>33.6</v>
      </c>
    </row>
    <row r="2933" spans="1:4" x14ac:dyDescent="0.25">
      <c r="A2933" s="16">
        <v>10455</v>
      </c>
      <c r="B2933" s="1">
        <v>1</v>
      </c>
      <c r="C2933" s="1">
        <v>3</v>
      </c>
      <c r="D2933" s="1">
        <v>8.3999999999999986</v>
      </c>
    </row>
    <row r="2934" spans="1:4" x14ac:dyDescent="0.25">
      <c r="A2934" s="16">
        <v>10456</v>
      </c>
      <c r="B2934" s="1">
        <v>1</v>
      </c>
      <c r="C2934" s="1">
        <v>1</v>
      </c>
      <c r="D2934" s="1">
        <v>16.8</v>
      </c>
    </row>
    <row r="2935" spans="1:4" x14ac:dyDescent="0.25">
      <c r="A2935" s="16">
        <v>10457</v>
      </c>
      <c r="B2935" s="1">
        <v>1</v>
      </c>
      <c r="C2935" s="1">
        <v>1</v>
      </c>
      <c r="D2935" s="1">
        <v>36</v>
      </c>
    </row>
    <row r="2936" spans="1:4" x14ac:dyDescent="0.25">
      <c r="A2936" s="16">
        <v>10458</v>
      </c>
      <c r="B2936" s="1">
        <v>1</v>
      </c>
      <c r="C2936" s="1">
        <v>1</v>
      </c>
      <c r="D2936" s="1">
        <v>16.8</v>
      </c>
    </row>
    <row r="2937" spans="1:4" x14ac:dyDescent="0.25">
      <c r="A2937" s="16">
        <v>10459</v>
      </c>
      <c r="B2937" s="1">
        <v>1</v>
      </c>
      <c r="C2937" s="1">
        <v>1</v>
      </c>
      <c r="D2937" s="1">
        <v>6</v>
      </c>
    </row>
    <row r="2938" spans="1:4" x14ac:dyDescent="0.25">
      <c r="A2938" s="16">
        <v>10460</v>
      </c>
      <c r="B2938" s="1">
        <v>1</v>
      </c>
      <c r="C2938" s="1">
        <v>2</v>
      </c>
      <c r="D2938" s="1">
        <v>33.6</v>
      </c>
    </row>
    <row r="2939" spans="1:4" x14ac:dyDescent="0.25">
      <c r="A2939" s="16">
        <v>10461</v>
      </c>
      <c r="B2939" s="1">
        <v>1</v>
      </c>
      <c r="C2939" s="1">
        <v>1</v>
      </c>
      <c r="D2939" s="1">
        <v>8</v>
      </c>
    </row>
    <row r="2940" spans="1:4" x14ac:dyDescent="0.25">
      <c r="A2940" s="16">
        <v>10462</v>
      </c>
      <c r="B2940" s="1">
        <v>1</v>
      </c>
      <c r="C2940" s="1">
        <v>1</v>
      </c>
      <c r="D2940" s="1">
        <v>16.8</v>
      </c>
    </row>
    <row r="2941" spans="1:4" x14ac:dyDescent="0.25">
      <c r="A2941" s="16">
        <v>10463</v>
      </c>
      <c r="B2941" s="1">
        <v>1</v>
      </c>
      <c r="C2941" s="1">
        <v>2</v>
      </c>
      <c r="D2941" s="1">
        <v>4.8</v>
      </c>
    </row>
    <row r="2942" spans="1:4" x14ac:dyDescent="0.25">
      <c r="A2942" s="16">
        <v>10464</v>
      </c>
      <c r="B2942" s="1">
        <v>1</v>
      </c>
      <c r="C2942" s="1">
        <v>1</v>
      </c>
      <c r="D2942" s="1">
        <v>16.8</v>
      </c>
    </row>
    <row r="2943" spans="1:4" x14ac:dyDescent="0.25">
      <c r="A2943" s="16">
        <v>10465</v>
      </c>
      <c r="B2943" s="1">
        <v>1</v>
      </c>
      <c r="C2943" s="1">
        <v>1</v>
      </c>
      <c r="D2943" s="1">
        <v>7.6</v>
      </c>
    </row>
    <row r="2944" spans="1:4" x14ac:dyDescent="0.25">
      <c r="A2944" s="16">
        <v>10466</v>
      </c>
      <c r="B2944" s="1">
        <v>1</v>
      </c>
      <c r="C2944" s="1">
        <v>1</v>
      </c>
      <c r="D2944" s="1">
        <v>16.8</v>
      </c>
    </row>
    <row r="2945" spans="1:4" x14ac:dyDescent="0.25">
      <c r="A2945" s="16">
        <v>10467</v>
      </c>
      <c r="B2945" s="1">
        <v>1</v>
      </c>
      <c r="C2945" s="1">
        <v>1</v>
      </c>
      <c r="D2945" s="1">
        <v>14</v>
      </c>
    </row>
    <row r="2946" spans="1:4" x14ac:dyDescent="0.25">
      <c r="A2946" s="16">
        <v>10468</v>
      </c>
      <c r="B2946" s="1">
        <v>1</v>
      </c>
      <c r="C2946" s="1">
        <v>1</v>
      </c>
      <c r="D2946" s="1">
        <v>16.8</v>
      </c>
    </row>
    <row r="2947" spans="1:4" x14ac:dyDescent="0.25">
      <c r="A2947" s="16">
        <v>10469</v>
      </c>
      <c r="B2947" s="1">
        <v>1</v>
      </c>
      <c r="C2947" s="1">
        <v>1</v>
      </c>
      <c r="D2947" s="1">
        <v>19.600000000000001</v>
      </c>
    </row>
    <row r="2948" spans="1:4" x14ac:dyDescent="0.25">
      <c r="A2948" s="16">
        <v>10470</v>
      </c>
      <c r="B2948" s="1">
        <v>1</v>
      </c>
      <c r="C2948" s="1">
        <v>2</v>
      </c>
      <c r="D2948" s="1">
        <v>33.6</v>
      </c>
    </row>
    <row r="2949" spans="1:4" x14ac:dyDescent="0.25">
      <c r="A2949" s="16">
        <v>10471</v>
      </c>
      <c r="B2949" s="1">
        <v>1</v>
      </c>
      <c r="C2949" s="1">
        <v>3</v>
      </c>
      <c r="D2949" s="1">
        <v>8.3999999999999986</v>
      </c>
    </row>
    <row r="2950" spans="1:4" x14ac:dyDescent="0.25">
      <c r="A2950" s="16">
        <v>10472</v>
      </c>
      <c r="B2950" s="1">
        <v>1</v>
      </c>
      <c r="C2950" s="1">
        <v>1</v>
      </c>
      <c r="D2950" s="1">
        <v>16.8</v>
      </c>
    </row>
    <row r="2951" spans="1:4" x14ac:dyDescent="0.25">
      <c r="A2951" s="16">
        <v>10473</v>
      </c>
      <c r="B2951" s="1">
        <v>2</v>
      </c>
      <c r="C2951" s="1">
        <v>2</v>
      </c>
      <c r="D2951" s="1">
        <v>26.8</v>
      </c>
    </row>
    <row r="2952" spans="1:4" x14ac:dyDescent="0.25">
      <c r="A2952" s="16">
        <v>10474</v>
      </c>
      <c r="B2952" s="1">
        <v>1</v>
      </c>
      <c r="C2952" s="1">
        <v>1</v>
      </c>
      <c r="D2952" s="1">
        <v>8</v>
      </c>
    </row>
    <row r="2953" spans="1:4" x14ac:dyDescent="0.25">
      <c r="A2953" s="16">
        <v>10475</v>
      </c>
      <c r="B2953" s="1">
        <v>1</v>
      </c>
      <c r="C2953" s="1">
        <v>1</v>
      </c>
      <c r="D2953" s="1">
        <v>16.8</v>
      </c>
    </row>
    <row r="2954" spans="1:4" x14ac:dyDescent="0.25">
      <c r="A2954" s="16">
        <v>10476</v>
      </c>
      <c r="B2954" s="1">
        <v>1</v>
      </c>
      <c r="C2954" s="1">
        <v>1</v>
      </c>
      <c r="D2954" s="1">
        <v>36</v>
      </c>
    </row>
    <row r="2955" spans="1:4" x14ac:dyDescent="0.25">
      <c r="A2955" s="16">
        <v>10477</v>
      </c>
      <c r="B2955" s="1">
        <v>1</v>
      </c>
      <c r="C2955" s="1">
        <v>1</v>
      </c>
      <c r="D2955" s="1">
        <v>16.8</v>
      </c>
    </row>
    <row r="2956" spans="1:4" x14ac:dyDescent="0.25">
      <c r="A2956" s="16">
        <v>10478</v>
      </c>
      <c r="B2956" s="1">
        <v>1</v>
      </c>
      <c r="C2956" s="1">
        <v>1</v>
      </c>
      <c r="D2956" s="1">
        <v>6</v>
      </c>
    </row>
    <row r="2957" spans="1:4" x14ac:dyDescent="0.25">
      <c r="A2957" s="16">
        <v>10479</v>
      </c>
      <c r="B2957" s="1">
        <v>1</v>
      </c>
      <c r="C2957" s="1">
        <v>2</v>
      </c>
      <c r="D2957" s="1">
        <v>33.6</v>
      </c>
    </row>
    <row r="2958" spans="1:4" x14ac:dyDescent="0.25">
      <c r="A2958" s="16">
        <v>10480</v>
      </c>
      <c r="B2958" s="1">
        <v>1</v>
      </c>
      <c r="C2958" s="1">
        <v>1</v>
      </c>
      <c r="D2958" s="1">
        <v>8</v>
      </c>
    </row>
    <row r="2959" spans="1:4" x14ac:dyDescent="0.25">
      <c r="A2959" s="16">
        <v>10481</v>
      </c>
      <c r="B2959" s="1">
        <v>1</v>
      </c>
      <c r="C2959" s="1">
        <v>1</v>
      </c>
      <c r="D2959" s="1">
        <v>16.8</v>
      </c>
    </row>
    <row r="2960" spans="1:4" x14ac:dyDescent="0.25">
      <c r="A2960" s="16">
        <v>10482</v>
      </c>
      <c r="B2960" s="1">
        <v>1</v>
      </c>
      <c r="C2960" s="1">
        <v>1</v>
      </c>
      <c r="D2960" s="1">
        <v>7.6</v>
      </c>
    </row>
    <row r="2961" spans="1:4" x14ac:dyDescent="0.25">
      <c r="A2961" s="16">
        <v>10483</v>
      </c>
      <c r="B2961" s="1">
        <v>1</v>
      </c>
      <c r="C2961" s="1">
        <v>1</v>
      </c>
      <c r="D2961" s="1">
        <v>16.8</v>
      </c>
    </row>
    <row r="2962" spans="1:4" x14ac:dyDescent="0.25">
      <c r="A2962" s="16">
        <v>10484</v>
      </c>
      <c r="B2962" s="1">
        <v>1</v>
      </c>
      <c r="C2962" s="1">
        <v>1</v>
      </c>
      <c r="D2962" s="1">
        <v>14</v>
      </c>
    </row>
    <row r="2963" spans="1:4" x14ac:dyDescent="0.25">
      <c r="A2963" s="16">
        <v>10485</v>
      </c>
      <c r="B2963" s="1">
        <v>1</v>
      </c>
      <c r="C2963" s="1">
        <v>1</v>
      </c>
      <c r="D2963" s="1">
        <v>16.8</v>
      </c>
    </row>
    <row r="2964" spans="1:4" x14ac:dyDescent="0.25">
      <c r="A2964" s="16">
        <v>10486</v>
      </c>
      <c r="B2964" s="1">
        <v>1</v>
      </c>
      <c r="C2964" s="1">
        <v>2</v>
      </c>
      <c r="D2964" s="1">
        <v>5.6</v>
      </c>
    </row>
    <row r="2965" spans="1:4" x14ac:dyDescent="0.25">
      <c r="A2965" s="16">
        <v>10487</v>
      </c>
      <c r="B2965" s="1">
        <v>1</v>
      </c>
      <c r="C2965" s="1">
        <v>2</v>
      </c>
      <c r="D2965" s="1">
        <v>33.6</v>
      </c>
    </row>
    <row r="2966" spans="1:4" x14ac:dyDescent="0.25">
      <c r="A2966" s="16">
        <v>10488</v>
      </c>
      <c r="B2966" s="1">
        <v>1</v>
      </c>
      <c r="C2966" s="1">
        <v>1</v>
      </c>
      <c r="D2966" s="1">
        <v>19.600000000000001</v>
      </c>
    </row>
    <row r="2967" spans="1:4" x14ac:dyDescent="0.25">
      <c r="A2967" s="16">
        <v>10489</v>
      </c>
      <c r="B2967" s="1">
        <v>1</v>
      </c>
      <c r="C2967" s="1">
        <v>1</v>
      </c>
      <c r="D2967" s="1">
        <v>16.8</v>
      </c>
    </row>
    <row r="2968" spans="1:4" x14ac:dyDescent="0.25">
      <c r="A2968" s="16">
        <v>10490</v>
      </c>
      <c r="B2968" s="1">
        <v>1</v>
      </c>
      <c r="C2968" s="1">
        <v>1</v>
      </c>
      <c r="D2968" s="1">
        <v>8</v>
      </c>
    </row>
    <row r="2969" spans="1:4" x14ac:dyDescent="0.25">
      <c r="A2969" s="16">
        <v>10491</v>
      </c>
      <c r="B2969" s="1">
        <v>1</v>
      </c>
      <c r="C2969" s="1">
        <v>1</v>
      </c>
      <c r="D2969" s="1">
        <v>16.8</v>
      </c>
    </row>
    <row r="2970" spans="1:4" x14ac:dyDescent="0.25">
      <c r="A2970" s="16">
        <v>10492</v>
      </c>
      <c r="B2970" s="1">
        <v>1</v>
      </c>
      <c r="C2970" s="1">
        <v>1</v>
      </c>
      <c r="D2970" s="1">
        <v>6</v>
      </c>
    </row>
    <row r="2971" spans="1:4" x14ac:dyDescent="0.25">
      <c r="A2971" s="16">
        <v>10493</v>
      </c>
      <c r="B2971" s="1">
        <v>1</v>
      </c>
      <c r="C2971" s="1">
        <v>2</v>
      </c>
      <c r="D2971" s="1">
        <v>33.6</v>
      </c>
    </row>
    <row r="2972" spans="1:4" x14ac:dyDescent="0.25">
      <c r="A2972" s="16">
        <v>10494</v>
      </c>
      <c r="B2972" s="1">
        <v>1</v>
      </c>
      <c r="C2972" s="1">
        <v>3</v>
      </c>
      <c r="D2972" s="1">
        <v>8.3999999999999986</v>
      </c>
    </row>
    <row r="2973" spans="1:4" x14ac:dyDescent="0.25">
      <c r="A2973" s="16">
        <v>10495</v>
      </c>
      <c r="B2973" s="1">
        <v>1</v>
      </c>
      <c r="C2973" s="1">
        <v>1</v>
      </c>
      <c r="D2973" s="1">
        <v>35.200000000000003</v>
      </c>
    </row>
    <row r="2974" spans="1:4" x14ac:dyDescent="0.25">
      <c r="A2974" s="16">
        <v>10496</v>
      </c>
      <c r="B2974" s="1">
        <v>1</v>
      </c>
      <c r="C2974" s="1">
        <v>1</v>
      </c>
      <c r="D2974" s="1">
        <v>16.8</v>
      </c>
    </row>
    <row r="2975" spans="1:4" x14ac:dyDescent="0.25">
      <c r="A2975" s="16">
        <v>10497</v>
      </c>
      <c r="B2975" s="1">
        <v>1</v>
      </c>
      <c r="C2975" s="1">
        <v>1</v>
      </c>
      <c r="D2975" s="1">
        <v>14</v>
      </c>
    </row>
    <row r="2976" spans="1:4" x14ac:dyDescent="0.25">
      <c r="A2976" s="16">
        <v>10498</v>
      </c>
      <c r="B2976" s="1">
        <v>1</v>
      </c>
      <c r="C2976" s="1">
        <v>1</v>
      </c>
      <c r="D2976" s="1">
        <v>16.8</v>
      </c>
    </row>
    <row r="2977" spans="1:4" x14ac:dyDescent="0.25">
      <c r="A2977" s="16">
        <v>10499</v>
      </c>
      <c r="B2977" s="1">
        <v>1</v>
      </c>
      <c r="C2977" s="1">
        <v>1</v>
      </c>
      <c r="D2977" s="1">
        <v>7.6</v>
      </c>
    </row>
    <row r="2978" spans="1:4" x14ac:dyDescent="0.25">
      <c r="A2978" s="16">
        <v>10500</v>
      </c>
      <c r="B2978" s="1">
        <v>1</v>
      </c>
      <c r="C2978" s="1">
        <v>1</v>
      </c>
      <c r="D2978" s="1">
        <v>8</v>
      </c>
    </row>
    <row r="2979" spans="1:4" x14ac:dyDescent="0.25">
      <c r="A2979" s="16">
        <v>10501</v>
      </c>
      <c r="B2979" s="1">
        <v>1</v>
      </c>
      <c r="C2979" s="1">
        <v>2</v>
      </c>
      <c r="D2979" s="1">
        <v>33.6</v>
      </c>
    </row>
    <row r="2980" spans="1:4" x14ac:dyDescent="0.25">
      <c r="A2980" s="16">
        <v>10502</v>
      </c>
      <c r="B2980" s="1">
        <v>1</v>
      </c>
      <c r="C2980" s="1">
        <v>2</v>
      </c>
      <c r="D2980" s="1">
        <v>4.8</v>
      </c>
    </row>
    <row r="2981" spans="1:4" x14ac:dyDescent="0.25">
      <c r="A2981" s="16">
        <v>10503</v>
      </c>
      <c r="B2981" s="1">
        <v>1</v>
      </c>
      <c r="C2981" s="1">
        <v>1</v>
      </c>
      <c r="D2981" s="1">
        <v>16.8</v>
      </c>
    </row>
    <row r="2982" spans="1:4" x14ac:dyDescent="0.25">
      <c r="A2982" s="16">
        <v>10504</v>
      </c>
      <c r="B2982" s="1">
        <v>1</v>
      </c>
      <c r="C2982" s="1">
        <v>1</v>
      </c>
      <c r="D2982" s="1">
        <v>20</v>
      </c>
    </row>
    <row r="2983" spans="1:4" x14ac:dyDescent="0.25">
      <c r="A2983" s="16">
        <v>10505</v>
      </c>
      <c r="B2983" s="1">
        <v>1</v>
      </c>
      <c r="C2983" s="1">
        <v>1</v>
      </c>
      <c r="D2983" s="1">
        <v>16.8</v>
      </c>
    </row>
    <row r="2984" spans="1:4" x14ac:dyDescent="0.25">
      <c r="A2984" s="16">
        <v>10506</v>
      </c>
      <c r="B2984" s="1">
        <v>1</v>
      </c>
      <c r="C2984" s="1">
        <v>2</v>
      </c>
      <c r="D2984" s="1">
        <v>5.6</v>
      </c>
    </row>
    <row r="2985" spans="1:4" x14ac:dyDescent="0.25">
      <c r="A2985" s="16">
        <v>10507</v>
      </c>
      <c r="B2985" s="1">
        <v>1</v>
      </c>
      <c r="C2985" s="1">
        <v>1</v>
      </c>
      <c r="D2985" s="1">
        <v>6</v>
      </c>
    </row>
    <row r="2986" spans="1:4" x14ac:dyDescent="0.25">
      <c r="A2986" s="16">
        <v>10508</v>
      </c>
      <c r="B2986" s="1">
        <v>1</v>
      </c>
      <c r="C2986" s="1">
        <v>2</v>
      </c>
      <c r="D2986" s="1">
        <v>33.6</v>
      </c>
    </row>
    <row r="2987" spans="1:4" x14ac:dyDescent="0.25">
      <c r="A2987" s="16">
        <v>10509</v>
      </c>
      <c r="B2987" s="1">
        <v>1</v>
      </c>
      <c r="C2987" s="1">
        <v>1</v>
      </c>
      <c r="D2987" s="1">
        <v>14</v>
      </c>
    </row>
    <row r="2988" spans="1:4" x14ac:dyDescent="0.25">
      <c r="A2988" s="16">
        <v>10510</v>
      </c>
      <c r="B2988" s="1">
        <v>1</v>
      </c>
      <c r="C2988" s="1">
        <v>1</v>
      </c>
      <c r="D2988" s="1">
        <v>16.8</v>
      </c>
    </row>
    <row r="2989" spans="1:4" x14ac:dyDescent="0.25">
      <c r="A2989" s="16">
        <v>10511</v>
      </c>
      <c r="B2989" s="1">
        <v>1</v>
      </c>
      <c r="C2989" s="1">
        <v>1</v>
      </c>
      <c r="D2989" s="1">
        <v>36</v>
      </c>
    </row>
    <row r="2990" spans="1:4" x14ac:dyDescent="0.25">
      <c r="A2990" s="16">
        <v>10512</v>
      </c>
      <c r="B2990" s="1">
        <v>1</v>
      </c>
      <c r="C2990" s="1">
        <v>1</v>
      </c>
      <c r="D2990" s="1">
        <v>16.8</v>
      </c>
    </row>
    <row r="2991" spans="1:4" x14ac:dyDescent="0.25">
      <c r="A2991" s="16">
        <v>10513</v>
      </c>
      <c r="B2991" s="1">
        <v>1</v>
      </c>
      <c r="C2991" s="1">
        <v>1</v>
      </c>
      <c r="D2991" s="1">
        <v>8</v>
      </c>
    </row>
    <row r="2992" spans="1:4" x14ac:dyDescent="0.25">
      <c r="A2992" s="16">
        <v>10514</v>
      </c>
      <c r="B2992" s="1">
        <v>1</v>
      </c>
      <c r="C2992" s="1">
        <v>1</v>
      </c>
      <c r="D2992" s="1">
        <v>16.8</v>
      </c>
    </row>
    <row r="2993" spans="1:4" x14ac:dyDescent="0.25">
      <c r="A2993" s="16">
        <v>10515</v>
      </c>
      <c r="B2993" s="1">
        <v>1</v>
      </c>
      <c r="C2993" s="1">
        <v>2</v>
      </c>
      <c r="D2993" s="1">
        <v>4.8</v>
      </c>
    </row>
    <row r="2994" spans="1:4" x14ac:dyDescent="0.25">
      <c r="A2994" s="16">
        <v>10516</v>
      </c>
      <c r="B2994" s="1">
        <v>1</v>
      </c>
      <c r="C2994" s="1">
        <v>2</v>
      </c>
      <c r="D2994" s="1">
        <v>33.6</v>
      </c>
    </row>
    <row r="2995" spans="1:4" x14ac:dyDescent="0.25">
      <c r="A2995" s="16">
        <v>10517</v>
      </c>
      <c r="B2995" s="1">
        <v>1</v>
      </c>
      <c r="C2995" s="1">
        <v>1</v>
      </c>
      <c r="D2995" s="1">
        <v>7.6</v>
      </c>
    </row>
    <row r="2996" spans="1:4" x14ac:dyDescent="0.25">
      <c r="A2996" s="16">
        <v>10518</v>
      </c>
      <c r="B2996" s="1">
        <v>1</v>
      </c>
      <c r="C2996" s="1">
        <v>1</v>
      </c>
      <c r="D2996" s="1">
        <v>16.8</v>
      </c>
    </row>
    <row r="2997" spans="1:4" x14ac:dyDescent="0.25">
      <c r="A2997" s="16">
        <v>10519</v>
      </c>
      <c r="B2997" s="1">
        <v>1</v>
      </c>
      <c r="C2997" s="1">
        <v>1</v>
      </c>
      <c r="D2997" s="1">
        <v>14</v>
      </c>
    </row>
    <row r="2998" spans="1:4" x14ac:dyDescent="0.25">
      <c r="A2998" s="16">
        <v>10520</v>
      </c>
      <c r="B2998" s="1">
        <v>1</v>
      </c>
      <c r="C2998" s="1">
        <v>1</v>
      </c>
      <c r="D2998" s="1">
        <v>16.8</v>
      </c>
    </row>
    <row r="2999" spans="1:4" x14ac:dyDescent="0.25">
      <c r="A2999" s="16">
        <v>10521</v>
      </c>
      <c r="B2999" s="1">
        <v>1</v>
      </c>
      <c r="C2999" s="1">
        <v>3</v>
      </c>
      <c r="D2999" s="1">
        <v>8.3999999999999986</v>
      </c>
    </row>
    <row r="3000" spans="1:4" x14ac:dyDescent="0.25">
      <c r="A3000" s="16">
        <v>10522</v>
      </c>
      <c r="B3000" s="1">
        <v>1</v>
      </c>
      <c r="C3000" s="1">
        <v>1</v>
      </c>
      <c r="D3000" s="1">
        <v>16.8</v>
      </c>
    </row>
    <row r="3001" spans="1:4" x14ac:dyDescent="0.25">
      <c r="A3001" s="16">
        <v>10523</v>
      </c>
      <c r="B3001" s="1">
        <v>1</v>
      </c>
      <c r="C3001" s="1">
        <v>2</v>
      </c>
      <c r="D3001" s="1">
        <v>4.8</v>
      </c>
    </row>
    <row r="3002" spans="1:4" x14ac:dyDescent="0.25">
      <c r="A3002" s="16">
        <v>10524</v>
      </c>
      <c r="B3002" s="1">
        <v>1</v>
      </c>
      <c r="C3002" s="1">
        <v>2</v>
      </c>
      <c r="D3002" s="1">
        <v>33.6</v>
      </c>
    </row>
    <row r="3003" spans="1:4" x14ac:dyDescent="0.25">
      <c r="A3003" s="16">
        <v>10525</v>
      </c>
      <c r="B3003" s="1">
        <v>1</v>
      </c>
      <c r="C3003" s="1">
        <v>1</v>
      </c>
      <c r="D3003" s="1">
        <v>6</v>
      </c>
    </row>
    <row r="3004" spans="1:4" x14ac:dyDescent="0.25">
      <c r="A3004" s="16">
        <v>10526</v>
      </c>
      <c r="B3004" s="1">
        <v>1</v>
      </c>
      <c r="C3004" s="1">
        <v>1</v>
      </c>
      <c r="D3004" s="1">
        <v>16.8</v>
      </c>
    </row>
    <row r="3005" spans="1:4" x14ac:dyDescent="0.25">
      <c r="A3005" s="16">
        <v>10527</v>
      </c>
      <c r="B3005" s="1">
        <v>1</v>
      </c>
      <c r="C3005" s="1">
        <v>1</v>
      </c>
      <c r="D3005" s="1">
        <v>8</v>
      </c>
    </row>
    <row r="3006" spans="1:4" x14ac:dyDescent="0.25">
      <c r="A3006" s="16">
        <v>10528</v>
      </c>
      <c r="B3006" s="1">
        <v>1</v>
      </c>
      <c r="C3006" s="1">
        <v>1</v>
      </c>
      <c r="D3006" s="1">
        <v>16.8</v>
      </c>
    </row>
    <row r="3007" spans="1:4" x14ac:dyDescent="0.25">
      <c r="A3007" s="16">
        <v>10529</v>
      </c>
      <c r="B3007" s="1">
        <v>1</v>
      </c>
      <c r="C3007" s="1">
        <v>1</v>
      </c>
      <c r="D3007" s="1">
        <v>7.6</v>
      </c>
    </row>
    <row r="3008" spans="1:4" x14ac:dyDescent="0.25">
      <c r="A3008" s="16">
        <v>10530</v>
      </c>
      <c r="B3008" s="1">
        <v>1</v>
      </c>
      <c r="C3008" s="1">
        <v>1</v>
      </c>
      <c r="D3008" s="1">
        <v>16.8</v>
      </c>
    </row>
    <row r="3009" spans="1:4" x14ac:dyDescent="0.25">
      <c r="A3009" s="16">
        <v>10531</v>
      </c>
      <c r="B3009" s="1">
        <v>1</v>
      </c>
      <c r="C3009" s="1">
        <v>1</v>
      </c>
      <c r="D3009" s="1">
        <v>14</v>
      </c>
    </row>
    <row r="3010" spans="1:4" x14ac:dyDescent="0.25">
      <c r="A3010" s="16">
        <v>10532</v>
      </c>
      <c r="B3010" s="1">
        <v>1</v>
      </c>
      <c r="C3010" s="1">
        <v>2</v>
      </c>
      <c r="D3010" s="1">
        <v>33.6</v>
      </c>
    </row>
    <row r="3011" spans="1:4" x14ac:dyDescent="0.25">
      <c r="A3011" s="16">
        <v>10533</v>
      </c>
      <c r="B3011" s="1">
        <v>1</v>
      </c>
      <c r="C3011" s="1">
        <v>1</v>
      </c>
      <c r="D3011" s="1">
        <v>36</v>
      </c>
    </row>
    <row r="3012" spans="1:4" x14ac:dyDescent="0.25">
      <c r="A3012" s="16">
        <v>10534</v>
      </c>
      <c r="B3012" s="1">
        <v>1</v>
      </c>
      <c r="C3012" s="1">
        <v>1</v>
      </c>
      <c r="D3012" s="1">
        <v>16.8</v>
      </c>
    </row>
    <row r="3013" spans="1:4" x14ac:dyDescent="0.25">
      <c r="A3013" s="16">
        <v>10535</v>
      </c>
      <c r="B3013" s="1">
        <v>1</v>
      </c>
      <c r="C3013" s="1">
        <v>1</v>
      </c>
      <c r="D3013" s="1">
        <v>8</v>
      </c>
    </row>
    <row r="3014" spans="1:4" x14ac:dyDescent="0.25">
      <c r="A3014" s="16">
        <v>10536</v>
      </c>
      <c r="B3014" s="1">
        <v>1</v>
      </c>
      <c r="C3014" s="1">
        <v>1</v>
      </c>
      <c r="D3014" s="1">
        <v>16.8</v>
      </c>
    </row>
    <row r="3015" spans="1:4" x14ac:dyDescent="0.25">
      <c r="A3015" s="16">
        <v>10537</v>
      </c>
      <c r="B3015" s="1">
        <v>1</v>
      </c>
      <c r="C3015" s="1">
        <v>2</v>
      </c>
      <c r="D3015" s="1">
        <v>4.8</v>
      </c>
    </row>
    <row r="3016" spans="1:4" x14ac:dyDescent="0.25">
      <c r="A3016" s="16">
        <v>10538</v>
      </c>
      <c r="B3016" s="1">
        <v>1</v>
      </c>
      <c r="C3016" s="1">
        <v>1</v>
      </c>
      <c r="D3016" s="1">
        <v>16.8</v>
      </c>
    </row>
    <row r="3017" spans="1:4" x14ac:dyDescent="0.25">
      <c r="A3017" s="16">
        <v>10539</v>
      </c>
      <c r="B3017" s="1">
        <v>1</v>
      </c>
      <c r="C3017" s="1">
        <v>1</v>
      </c>
      <c r="D3017" s="1">
        <v>6</v>
      </c>
    </row>
    <row r="3018" spans="1:4" x14ac:dyDescent="0.25">
      <c r="A3018" s="16">
        <v>10540</v>
      </c>
      <c r="B3018" s="1">
        <v>1</v>
      </c>
      <c r="C3018" s="1">
        <v>2</v>
      </c>
      <c r="D3018" s="1">
        <v>33.6</v>
      </c>
    </row>
    <row r="3019" spans="1:4" x14ac:dyDescent="0.25">
      <c r="A3019" s="16">
        <v>10541</v>
      </c>
      <c r="B3019" s="1">
        <v>1</v>
      </c>
      <c r="C3019" s="1">
        <v>1</v>
      </c>
      <c r="D3019" s="1">
        <v>7.6</v>
      </c>
    </row>
    <row r="3020" spans="1:4" x14ac:dyDescent="0.25">
      <c r="A3020" s="16">
        <v>10542</v>
      </c>
      <c r="B3020" s="1">
        <v>1</v>
      </c>
      <c r="C3020" s="1">
        <v>1</v>
      </c>
      <c r="D3020" s="1">
        <v>16.8</v>
      </c>
    </row>
    <row r="3021" spans="1:4" x14ac:dyDescent="0.25">
      <c r="A3021" s="16">
        <v>10543</v>
      </c>
      <c r="B3021" s="1">
        <v>1</v>
      </c>
      <c r="C3021" s="1">
        <v>1</v>
      </c>
      <c r="D3021" s="1">
        <v>14</v>
      </c>
    </row>
    <row r="3022" spans="1:4" x14ac:dyDescent="0.25">
      <c r="A3022" s="16">
        <v>10544</v>
      </c>
      <c r="B3022" s="1">
        <v>1</v>
      </c>
      <c r="C3022" s="1">
        <v>1</v>
      </c>
      <c r="D3022" s="1">
        <v>16.8</v>
      </c>
    </row>
    <row r="3023" spans="1:4" x14ac:dyDescent="0.25">
      <c r="A3023" s="16">
        <v>10545</v>
      </c>
      <c r="B3023" s="1">
        <v>1</v>
      </c>
      <c r="C3023" s="1">
        <v>2</v>
      </c>
      <c r="D3023" s="1">
        <v>5.6</v>
      </c>
    </row>
    <row r="3024" spans="1:4" x14ac:dyDescent="0.25">
      <c r="A3024" s="16">
        <v>10546</v>
      </c>
      <c r="B3024" s="1">
        <v>1</v>
      </c>
      <c r="C3024" s="1">
        <v>1</v>
      </c>
      <c r="D3024" s="1">
        <v>16.8</v>
      </c>
    </row>
    <row r="3025" spans="1:4" x14ac:dyDescent="0.25">
      <c r="A3025" s="16">
        <v>10547</v>
      </c>
      <c r="B3025" s="1">
        <v>1</v>
      </c>
      <c r="C3025" s="1">
        <v>1</v>
      </c>
      <c r="D3025" s="1">
        <v>2.4</v>
      </c>
    </row>
    <row r="3026" spans="1:4" x14ac:dyDescent="0.25">
      <c r="A3026" s="16">
        <v>10548</v>
      </c>
      <c r="B3026" s="1">
        <v>1</v>
      </c>
      <c r="C3026" s="1">
        <v>1</v>
      </c>
      <c r="D3026" s="1">
        <v>16.8</v>
      </c>
    </row>
    <row r="3027" spans="1:4" x14ac:dyDescent="0.25">
      <c r="A3027" s="16">
        <v>10549</v>
      </c>
      <c r="B3027" s="1">
        <v>1</v>
      </c>
      <c r="C3027" s="1">
        <v>1</v>
      </c>
      <c r="D3027" s="1">
        <v>7.6</v>
      </c>
    </row>
    <row r="3028" spans="1:4" x14ac:dyDescent="0.25">
      <c r="A3028" s="16">
        <v>10550</v>
      </c>
      <c r="B3028" s="1">
        <v>1</v>
      </c>
      <c r="C3028" s="1">
        <v>2</v>
      </c>
      <c r="D3028" s="1">
        <v>33.6</v>
      </c>
    </row>
    <row r="3029" spans="1:4" x14ac:dyDescent="0.25">
      <c r="A3029" s="16">
        <v>10551</v>
      </c>
      <c r="B3029" s="1">
        <v>1</v>
      </c>
      <c r="C3029" s="1">
        <v>1</v>
      </c>
      <c r="D3029" s="1">
        <v>14</v>
      </c>
    </row>
    <row r="3030" spans="1:4" x14ac:dyDescent="0.25">
      <c r="A3030" s="16">
        <v>10552</v>
      </c>
      <c r="B3030" s="1">
        <v>1</v>
      </c>
      <c r="C3030" s="1">
        <v>1</v>
      </c>
      <c r="D3030" s="1">
        <v>16.8</v>
      </c>
    </row>
    <row r="3031" spans="1:4" x14ac:dyDescent="0.25">
      <c r="A3031" s="16">
        <v>10553</v>
      </c>
      <c r="B3031" s="1">
        <v>1</v>
      </c>
      <c r="C3031" s="1">
        <v>1</v>
      </c>
      <c r="D3031" s="1">
        <v>36</v>
      </c>
    </row>
    <row r="3032" spans="1:4" x14ac:dyDescent="0.25">
      <c r="A3032" s="16">
        <v>10554</v>
      </c>
      <c r="B3032" s="1">
        <v>1</v>
      </c>
      <c r="C3032" s="1">
        <v>1</v>
      </c>
      <c r="D3032" s="1">
        <v>16.8</v>
      </c>
    </row>
    <row r="3033" spans="1:4" x14ac:dyDescent="0.25">
      <c r="A3033" s="16">
        <v>10555</v>
      </c>
      <c r="B3033" s="1">
        <v>1</v>
      </c>
      <c r="C3033" s="1">
        <v>1</v>
      </c>
      <c r="D3033" s="1">
        <v>8</v>
      </c>
    </row>
    <row r="3034" spans="1:4" x14ac:dyDescent="0.25">
      <c r="A3034" s="16">
        <v>10556</v>
      </c>
      <c r="B3034" s="1">
        <v>1</v>
      </c>
      <c r="C3034" s="1">
        <v>2</v>
      </c>
      <c r="D3034" s="1">
        <v>33.6</v>
      </c>
    </row>
    <row r="3035" spans="1:4" x14ac:dyDescent="0.25">
      <c r="A3035" s="16">
        <v>10557</v>
      </c>
      <c r="B3035" s="1">
        <v>1</v>
      </c>
      <c r="C3035" s="1">
        <v>1</v>
      </c>
      <c r="D3035" s="1">
        <v>2.4</v>
      </c>
    </row>
    <row r="3036" spans="1:4" x14ac:dyDescent="0.25">
      <c r="A3036" s="16">
        <v>10558</v>
      </c>
      <c r="B3036" s="1">
        <v>1</v>
      </c>
      <c r="C3036" s="1">
        <v>1</v>
      </c>
      <c r="D3036" s="1">
        <v>16.8</v>
      </c>
    </row>
    <row r="3037" spans="1:4" x14ac:dyDescent="0.25">
      <c r="A3037" s="16">
        <v>10559</v>
      </c>
      <c r="B3037" s="1">
        <v>1</v>
      </c>
      <c r="C3037" s="1">
        <v>1</v>
      </c>
      <c r="D3037" s="1">
        <v>6</v>
      </c>
    </row>
    <row r="3038" spans="1:4" x14ac:dyDescent="0.25">
      <c r="A3038" s="16">
        <v>10560</v>
      </c>
      <c r="B3038" s="1">
        <v>1</v>
      </c>
      <c r="C3038" s="1">
        <v>1</v>
      </c>
      <c r="D3038" s="1">
        <v>16.8</v>
      </c>
    </row>
    <row r="3039" spans="1:4" x14ac:dyDescent="0.25">
      <c r="A3039" s="16">
        <v>10561</v>
      </c>
      <c r="B3039" s="1">
        <v>1</v>
      </c>
      <c r="C3039" s="1">
        <v>1</v>
      </c>
      <c r="D3039" s="1">
        <v>14</v>
      </c>
    </row>
    <row r="3040" spans="1:4" x14ac:dyDescent="0.25">
      <c r="A3040" s="16">
        <v>10562</v>
      </c>
      <c r="B3040" s="1">
        <v>1</v>
      </c>
      <c r="C3040" s="1">
        <v>2</v>
      </c>
      <c r="D3040" s="1">
        <v>33.6</v>
      </c>
    </row>
    <row r="3041" spans="1:4" x14ac:dyDescent="0.25">
      <c r="A3041" s="16">
        <v>10563</v>
      </c>
      <c r="B3041" s="1">
        <v>1</v>
      </c>
      <c r="C3041" s="1">
        <v>1</v>
      </c>
      <c r="D3041" s="1">
        <v>7.6</v>
      </c>
    </row>
    <row r="3042" spans="1:4" x14ac:dyDescent="0.25">
      <c r="A3042" s="16">
        <v>10564</v>
      </c>
      <c r="B3042" s="1">
        <v>1</v>
      </c>
      <c r="C3042" s="1">
        <v>1</v>
      </c>
      <c r="D3042" s="1">
        <v>16.8</v>
      </c>
    </row>
    <row r="3043" spans="1:4" x14ac:dyDescent="0.25">
      <c r="A3043" s="16">
        <v>10565</v>
      </c>
      <c r="B3043" s="1">
        <v>1</v>
      </c>
      <c r="C3043" s="1">
        <v>3</v>
      </c>
      <c r="D3043" s="1">
        <v>8.3999999999999986</v>
      </c>
    </row>
    <row r="3044" spans="1:4" x14ac:dyDescent="0.25">
      <c r="A3044" s="16">
        <v>10566</v>
      </c>
      <c r="B3044" s="1">
        <v>1</v>
      </c>
      <c r="C3044" s="1">
        <v>1</v>
      </c>
      <c r="D3044" s="1">
        <v>16.8</v>
      </c>
    </row>
    <row r="3045" spans="1:4" x14ac:dyDescent="0.25">
      <c r="A3045" s="16">
        <v>10567</v>
      </c>
      <c r="B3045" s="1">
        <v>1</v>
      </c>
      <c r="C3045" s="1">
        <v>2</v>
      </c>
      <c r="D3045" s="1">
        <v>4.8</v>
      </c>
    </row>
    <row r="3046" spans="1:4" x14ac:dyDescent="0.25">
      <c r="A3046" s="16">
        <v>10568</v>
      </c>
      <c r="B3046" s="1">
        <v>1</v>
      </c>
      <c r="C3046" s="1">
        <v>1</v>
      </c>
      <c r="D3046" s="1">
        <v>16.8</v>
      </c>
    </row>
    <row r="3047" spans="1:4" x14ac:dyDescent="0.25">
      <c r="A3047" s="16">
        <v>10569</v>
      </c>
      <c r="B3047" s="1">
        <v>1</v>
      </c>
      <c r="C3047" s="1">
        <v>1</v>
      </c>
      <c r="D3047" s="1">
        <v>6</v>
      </c>
    </row>
    <row r="3048" spans="1:4" x14ac:dyDescent="0.25">
      <c r="A3048" s="16">
        <v>10570</v>
      </c>
      <c r="B3048" s="1">
        <v>1</v>
      </c>
      <c r="C3048" s="1">
        <v>2</v>
      </c>
      <c r="D3048" s="1">
        <v>33.6</v>
      </c>
    </row>
    <row r="3049" spans="1:4" x14ac:dyDescent="0.25">
      <c r="A3049" s="16">
        <v>10571</v>
      </c>
      <c r="B3049" s="1">
        <v>1</v>
      </c>
      <c r="C3049" s="1">
        <v>1</v>
      </c>
      <c r="D3049" s="1">
        <v>7.6</v>
      </c>
    </row>
    <row r="3050" spans="1:4" x14ac:dyDescent="0.25">
      <c r="A3050" s="16">
        <v>10572</v>
      </c>
      <c r="B3050" s="1">
        <v>1</v>
      </c>
      <c r="C3050" s="1">
        <v>1</v>
      </c>
      <c r="D3050" s="1">
        <v>16.8</v>
      </c>
    </row>
    <row r="3051" spans="1:4" x14ac:dyDescent="0.25">
      <c r="A3051" s="16">
        <v>10573</v>
      </c>
      <c r="B3051" s="1">
        <v>1</v>
      </c>
      <c r="C3051" s="1">
        <v>1</v>
      </c>
      <c r="D3051" s="1">
        <v>14</v>
      </c>
    </row>
    <row r="3052" spans="1:4" x14ac:dyDescent="0.25">
      <c r="A3052" s="16">
        <v>10574</v>
      </c>
      <c r="B3052" s="1">
        <v>1</v>
      </c>
      <c r="C3052" s="1">
        <v>1</v>
      </c>
      <c r="D3052" s="1">
        <v>16.8</v>
      </c>
    </row>
    <row r="3053" spans="1:4" x14ac:dyDescent="0.25">
      <c r="A3053" s="16">
        <v>10575</v>
      </c>
      <c r="B3053" s="1">
        <v>1</v>
      </c>
      <c r="C3053" s="1">
        <v>1</v>
      </c>
      <c r="D3053" s="1">
        <v>8</v>
      </c>
    </row>
    <row r="3054" spans="1:4" x14ac:dyDescent="0.25">
      <c r="A3054" s="16">
        <v>10576</v>
      </c>
      <c r="B3054" s="1">
        <v>1</v>
      </c>
      <c r="C3054" s="1">
        <v>2</v>
      </c>
      <c r="D3054" s="1">
        <v>33.6</v>
      </c>
    </row>
    <row r="3055" spans="1:4" x14ac:dyDescent="0.25">
      <c r="A3055" s="16">
        <v>10577</v>
      </c>
      <c r="B3055" s="1">
        <v>1</v>
      </c>
      <c r="C3055" s="1">
        <v>1</v>
      </c>
      <c r="D3055" s="1">
        <v>36</v>
      </c>
    </row>
    <row r="3056" spans="1:4" x14ac:dyDescent="0.25">
      <c r="A3056" s="16">
        <v>10578</v>
      </c>
      <c r="B3056" s="1">
        <v>1</v>
      </c>
      <c r="C3056" s="1">
        <v>1</v>
      </c>
      <c r="D3056" s="1">
        <v>16.8</v>
      </c>
    </row>
    <row r="3057" spans="1:4" x14ac:dyDescent="0.25">
      <c r="A3057" s="16">
        <v>10579</v>
      </c>
      <c r="B3057" s="1">
        <v>1</v>
      </c>
      <c r="C3057" s="1">
        <v>1</v>
      </c>
      <c r="D3057" s="1">
        <v>7.6</v>
      </c>
    </row>
    <row r="3058" spans="1:4" x14ac:dyDescent="0.25">
      <c r="A3058" s="16">
        <v>10580</v>
      </c>
      <c r="B3058" s="1">
        <v>1</v>
      </c>
      <c r="C3058" s="1">
        <v>1</v>
      </c>
      <c r="D3058" s="1">
        <v>16.8</v>
      </c>
    </row>
    <row r="3059" spans="1:4" x14ac:dyDescent="0.25">
      <c r="A3059" s="16">
        <v>10581</v>
      </c>
      <c r="B3059" s="1">
        <v>1</v>
      </c>
      <c r="C3059" s="1">
        <v>2</v>
      </c>
      <c r="D3059" s="1">
        <v>5.6</v>
      </c>
    </row>
    <row r="3060" spans="1:4" x14ac:dyDescent="0.25">
      <c r="A3060" s="16">
        <v>10582</v>
      </c>
      <c r="B3060" s="1">
        <v>1</v>
      </c>
      <c r="C3060" s="1">
        <v>1</v>
      </c>
      <c r="D3060" s="1">
        <v>6</v>
      </c>
    </row>
    <row r="3061" spans="1:4" x14ac:dyDescent="0.25">
      <c r="A3061" s="16">
        <v>10583</v>
      </c>
      <c r="B3061" s="1">
        <v>1</v>
      </c>
      <c r="C3061" s="1">
        <v>1</v>
      </c>
      <c r="D3061" s="1">
        <v>16.8</v>
      </c>
    </row>
    <row r="3062" spans="1:4" x14ac:dyDescent="0.25">
      <c r="A3062" s="16">
        <v>10584</v>
      </c>
      <c r="B3062" s="1">
        <v>1</v>
      </c>
      <c r="C3062" s="1">
        <v>1</v>
      </c>
      <c r="D3062" s="1">
        <v>14</v>
      </c>
    </row>
    <row r="3063" spans="1:4" x14ac:dyDescent="0.25">
      <c r="A3063" s="16">
        <v>10585</v>
      </c>
      <c r="B3063" s="1">
        <v>1</v>
      </c>
      <c r="C3063" s="1">
        <v>2</v>
      </c>
      <c r="D3063" s="1">
        <v>33.6</v>
      </c>
    </row>
    <row r="3064" spans="1:4" x14ac:dyDescent="0.25">
      <c r="A3064" s="16">
        <v>10586</v>
      </c>
      <c r="B3064" s="1">
        <v>1</v>
      </c>
      <c r="C3064" s="1">
        <v>1</v>
      </c>
      <c r="D3064" s="1">
        <v>36</v>
      </c>
    </row>
    <row r="3065" spans="1:4" x14ac:dyDescent="0.25">
      <c r="A3065" s="16">
        <v>10587</v>
      </c>
      <c r="B3065" s="1">
        <v>1</v>
      </c>
      <c r="C3065" s="1">
        <v>1</v>
      </c>
      <c r="D3065" s="1">
        <v>16.8</v>
      </c>
    </row>
    <row r="3066" spans="1:4" x14ac:dyDescent="0.25">
      <c r="A3066" s="16">
        <v>10588</v>
      </c>
      <c r="B3066" s="1">
        <v>1</v>
      </c>
      <c r="C3066" s="1">
        <v>1</v>
      </c>
      <c r="D3066" s="1">
        <v>8</v>
      </c>
    </row>
    <row r="3067" spans="1:4" x14ac:dyDescent="0.25">
      <c r="A3067" s="16">
        <v>10589</v>
      </c>
      <c r="B3067" s="1">
        <v>1</v>
      </c>
      <c r="C3067" s="1">
        <v>1</v>
      </c>
      <c r="D3067" s="1">
        <v>16.8</v>
      </c>
    </row>
    <row r="3068" spans="1:4" x14ac:dyDescent="0.25">
      <c r="A3068" s="16">
        <v>10590</v>
      </c>
      <c r="B3068" s="1">
        <v>1</v>
      </c>
      <c r="C3068" s="1">
        <v>2</v>
      </c>
      <c r="D3068" s="1">
        <v>4.8</v>
      </c>
    </row>
    <row r="3069" spans="1:4" x14ac:dyDescent="0.25">
      <c r="A3069" s="16">
        <v>10591</v>
      </c>
      <c r="B3069" s="1">
        <v>1</v>
      </c>
      <c r="C3069" s="1">
        <v>1</v>
      </c>
      <c r="D3069" s="1">
        <v>16.8</v>
      </c>
    </row>
    <row r="3070" spans="1:4" x14ac:dyDescent="0.25">
      <c r="A3070" s="16">
        <v>10592</v>
      </c>
      <c r="B3070" s="1">
        <v>1</v>
      </c>
      <c r="C3070" s="1">
        <v>1</v>
      </c>
      <c r="D3070" s="1">
        <v>7.6</v>
      </c>
    </row>
    <row r="3071" spans="1:4" x14ac:dyDescent="0.25">
      <c r="A3071" s="16">
        <v>10593</v>
      </c>
      <c r="B3071" s="1">
        <v>1</v>
      </c>
      <c r="C3071" s="1">
        <v>1</v>
      </c>
      <c r="D3071" s="1">
        <v>16.8</v>
      </c>
    </row>
    <row r="3072" spans="1:4" x14ac:dyDescent="0.25">
      <c r="A3072" s="16">
        <v>10594</v>
      </c>
      <c r="B3072" s="1">
        <v>1</v>
      </c>
      <c r="C3072" s="1">
        <v>1</v>
      </c>
      <c r="D3072" s="1">
        <v>14</v>
      </c>
    </row>
    <row r="3073" spans="1:4" x14ac:dyDescent="0.25">
      <c r="A3073" s="16">
        <v>10595</v>
      </c>
      <c r="B3073" s="1">
        <v>1</v>
      </c>
      <c r="C3073" s="1">
        <v>2</v>
      </c>
      <c r="D3073" s="1">
        <v>33.6</v>
      </c>
    </row>
    <row r="3074" spans="1:4" x14ac:dyDescent="0.25">
      <c r="A3074" s="16">
        <v>10596</v>
      </c>
      <c r="B3074" s="1">
        <v>1</v>
      </c>
      <c r="C3074" s="1">
        <v>2</v>
      </c>
      <c r="D3074" s="1">
        <v>5.6</v>
      </c>
    </row>
    <row r="3075" spans="1:4" x14ac:dyDescent="0.25">
      <c r="A3075" s="16">
        <v>10597</v>
      </c>
      <c r="B3075" s="1">
        <v>1</v>
      </c>
      <c r="C3075" s="1">
        <v>1</v>
      </c>
      <c r="D3075" s="1">
        <v>16.8</v>
      </c>
    </row>
    <row r="3076" spans="1:4" x14ac:dyDescent="0.25">
      <c r="A3076" s="16">
        <v>10598</v>
      </c>
      <c r="B3076" s="1">
        <v>1</v>
      </c>
      <c r="C3076" s="1">
        <v>2</v>
      </c>
      <c r="D3076" s="1">
        <v>4.8</v>
      </c>
    </row>
    <row r="3077" spans="1:4" x14ac:dyDescent="0.25">
      <c r="A3077" s="16">
        <v>10599</v>
      </c>
      <c r="B3077" s="1">
        <v>1</v>
      </c>
      <c r="C3077" s="1">
        <v>1</v>
      </c>
      <c r="D3077" s="1">
        <v>16.8</v>
      </c>
    </row>
    <row r="3078" spans="1:4" x14ac:dyDescent="0.25">
      <c r="A3078" s="16">
        <v>10600</v>
      </c>
      <c r="B3078" s="1">
        <v>1</v>
      </c>
      <c r="C3078" s="1">
        <v>1</v>
      </c>
      <c r="D3078" s="1">
        <v>6</v>
      </c>
    </row>
    <row r="3079" spans="1:4" x14ac:dyDescent="0.25">
      <c r="A3079" s="16">
        <v>10601</v>
      </c>
      <c r="B3079" s="1">
        <v>1</v>
      </c>
      <c r="C3079" s="1">
        <v>1</v>
      </c>
      <c r="D3079" s="1">
        <v>16.8</v>
      </c>
    </row>
    <row r="3080" spans="1:4" x14ac:dyDescent="0.25">
      <c r="A3080" s="16">
        <v>10602</v>
      </c>
      <c r="B3080" s="1">
        <v>1</v>
      </c>
      <c r="C3080" s="1">
        <v>1</v>
      </c>
      <c r="D3080" s="1">
        <v>8</v>
      </c>
    </row>
    <row r="3081" spans="1:4" x14ac:dyDescent="0.25">
      <c r="A3081" s="16">
        <v>10603</v>
      </c>
      <c r="B3081" s="1">
        <v>1</v>
      </c>
      <c r="C3081" s="1">
        <v>1</v>
      </c>
      <c r="D3081" s="1">
        <v>16.8</v>
      </c>
    </row>
    <row r="3082" spans="1:4" x14ac:dyDescent="0.25">
      <c r="A3082" s="16">
        <v>10604</v>
      </c>
      <c r="B3082" s="1">
        <v>1</v>
      </c>
      <c r="C3082" s="1">
        <v>1</v>
      </c>
      <c r="D3082" s="1">
        <v>7.6</v>
      </c>
    </row>
    <row r="3083" spans="1:4" x14ac:dyDescent="0.25">
      <c r="A3083" s="16">
        <v>10605</v>
      </c>
      <c r="B3083" s="1">
        <v>1</v>
      </c>
      <c r="C3083" s="1">
        <v>1</v>
      </c>
      <c r="D3083" s="1">
        <v>16.8</v>
      </c>
    </row>
    <row r="3084" spans="1:4" x14ac:dyDescent="0.25">
      <c r="A3084" s="16">
        <v>10606</v>
      </c>
      <c r="B3084" s="1">
        <v>1</v>
      </c>
      <c r="C3084" s="1">
        <v>1</v>
      </c>
      <c r="D3084" s="1">
        <v>14</v>
      </c>
    </row>
    <row r="3085" spans="1:4" x14ac:dyDescent="0.25">
      <c r="A3085" s="16">
        <v>10607</v>
      </c>
      <c r="B3085" s="1">
        <v>1</v>
      </c>
      <c r="C3085" s="1">
        <v>2</v>
      </c>
      <c r="D3085" s="1">
        <v>33.6</v>
      </c>
    </row>
    <row r="3086" spans="1:4" x14ac:dyDescent="0.25">
      <c r="A3086" s="16">
        <v>10608</v>
      </c>
      <c r="B3086" s="1">
        <v>1</v>
      </c>
      <c r="C3086" s="1">
        <v>1</v>
      </c>
      <c r="D3086" s="1">
        <v>36</v>
      </c>
    </row>
    <row r="3087" spans="1:4" x14ac:dyDescent="0.25">
      <c r="A3087" s="16">
        <v>10609</v>
      </c>
      <c r="B3087" s="1">
        <v>1</v>
      </c>
      <c r="C3087" s="1">
        <v>1</v>
      </c>
      <c r="D3087" s="1">
        <v>16.8</v>
      </c>
    </row>
    <row r="3088" spans="1:4" x14ac:dyDescent="0.25">
      <c r="A3088" s="16">
        <v>10610</v>
      </c>
      <c r="B3088" s="1">
        <v>1</v>
      </c>
      <c r="C3088" s="1">
        <v>1</v>
      </c>
      <c r="D3088" s="1">
        <v>8</v>
      </c>
    </row>
    <row r="3089" spans="1:4" x14ac:dyDescent="0.25">
      <c r="A3089" s="16">
        <v>10611</v>
      </c>
      <c r="B3089" s="1">
        <v>1</v>
      </c>
      <c r="C3089" s="1">
        <v>1</v>
      </c>
      <c r="D3089" s="1">
        <v>16.8</v>
      </c>
    </row>
    <row r="3090" spans="1:4" x14ac:dyDescent="0.25">
      <c r="A3090" s="16">
        <v>10612</v>
      </c>
      <c r="B3090" s="1">
        <v>1</v>
      </c>
      <c r="C3090" s="1">
        <v>2</v>
      </c>
      <c r="D3090" s="1">
        <v>4.8</v>
      </c>
    </row>
    <row r="3091" spans="1:4" x14ac:dyDescent="0.25">
      <c r="A3091" s="16">
        <v>10613</v>
      </c>
      <c r="B3091" s="1">
        <v>1</v>
      </c>
      <c r="C3091" s="1">
        <v>1</v>
      </c>
      <c r="D3091" s="1">
        <v>16.8</v>
      </c>
    </row>
    <row r="3092" spans="1:4" x14ac:dyDescent="0.25">
      <c r="A3092" s="16">
        <v>10614</v>
      </c>
      <c r="B3092" s="1">
        <v>1</v>
      </c>
      <c r="C3092" s="1">
        <v>1</v>
      </c>
      <c r="D3092" s="1">
        <v>7.6</v>
      </c>
    </row>
    <row r="3093" spans="1:4" x14ac:dyDescent="0.25">
      <c r="A3093" s="16">
        <v>10615</v>
      </c>
      <c r="B3093" s="1">
        <v>1</v>
      </c>
      <c r="C3093" s="1">
        <v>2</v>
      </c>
      <c r="D3093" s="1">
        <v>33.6</v>
      </c>
    </row>
    <row r="3094" spans="1:4" x14ac:dyDescent="0.25">
      <c r="A3094" s="16">
        <v>10616</v>
      </c>
      <c r="B3094" s="1">
        <v>1</v>
      </c>
      <c r="C3094" s="1">
        <v>1</v>
      </c>
      <c r="D3094" s="1">
        <v>14</v>
      </c>
    </row>
    <row r="3095" spans="1:4" x14ac:dyDescent="0.25">
      <c r="A3095" s="16">
        <v>10617</v>
      </c>
      <c r="B3095" s="1">
        <v>1</v>
      </c>
      <c r="C3095" s="1">
        <v>1</v>
      </c>
      <c r="D3095" s="1">
        <v>16.8</v>
      </c>
    </row>
    <row r="3096" spans="1:4" x14ac:dyDescent="0.25">
      <c r="A3096" s="16">
        <v>10618</v>
      </c>
      <c r="B3096" s="1">
        <v>1</v>
      </c>
      <c r="C3096" s="1">
        <v>1</v>
      </c>
      <c r="D3096" s="1">
        <v>6</v>
      </c>
    </row>
    <row r="3097" spans="1:4" x14ac:dyDescent="0.25">
      <c r="A3097" s="16">
        <v>10619</v>
      </c>
      <c r="B3097" s="1">
        <v>1</v>
      </c>
      <c r="C3097" s="1">
        <v>1</v>
      </c>
      <c r="D3097" s="1">
        <v>16.8</v>
      </c>
    </row>
    <row r="3098" spans="1:4" x14ac:dyDescent="0.25">
      <c r="A3098" s="16">
        <v>10620</v>
      </c>
      <c r="B3098" s="1">
        <v>1</v>
      </c>
      <c r="C3098" s="1">
        <v>1</v>
      </c>
      <c r="D3098" s="1">
        <v>14</v>
      </c>
    </row>
    <row r="3099" spans="1:4" x14ac:dyDescent="0.25">
      <c r="A3099" s="16">
        <v>10621</v>
      </c>
      <c r="B3099" s="1">
        <v>1</v>
      </c>
      <c r="C3099" s="1">
        <v>1</v>
      </c>
      <c r="D3099" s="1">
        <v>16.8</v>
      </c>
    </row>
    <row r="3100" spans="1:4" x14ac:dyDescent="0.25">
      <c r="A3100" s="16">
        <v>10622</v>
      </c>
      <c r="B3100" s="1">
        <v>1</v>
      </c>
      <c r="C3100" s="1">
        <v>3</v>
      </c>
      <c r="D3100" s="1">
        <v>8.3999999999999986</v>
      </c>
    </row>
    <row r="3101" spans="1:4" x14ac:dyDescent="0.25">
      <c r="A3101" s="16">
        <v>10623</v>
      </c>
      <c r="B3101" s="1">
        <v>1</v>
      </c>
      <c r="C3101" s="1">
        <v>2</v>
      </c>
      <c r="D3101" s="1">
        <v>33.6</v>
      </c>
    </row>
    <row r="3102" spans="1:4" x14ac:dyDescent="0.25">
      <c r="A3102" s="16">
        <v>10624</v>
      </c>
      <c r="B3102" s="1">
        <v>1</v>
      </c>
      <c r="C3102" s="1">
        <v>2</v>
      </c>
      <c r="D3102" s="1">
        <v>4.8</v>
      </c>
    </row>
    <row r="3103" spans="1:4" x14ac:dyDescent="0.25">
      <c r="A3103" s="16">
        <v>10625</v>
      </c>
      <c r="B3103" s="1">
        <v>1</v>
      </c>
      <c r="C3103" s="1">
        <v>1</v>
      </c>
      <c r="D3103" s="1">
        <v>16.8</v>
      </c>
    </row>
    <row r="3104" spans="1:4" x14ac:dyDescent="0.25">
      <c r="A3104" s="16">
        <v>10626</v>
      </c>
      <c r="B3104" s="1">
        <v>1</v>
      </c>
      <c r="C3104" s="1">
        <v>1</v>
      </c>
      <c r="D3104" s="1">
        <v>6</v>
      </c>
    </row>
    <row r="3105" spans="1:4" x14ac:dyDescent="0.25">
      <c r="A3105" s="16">
        <v>10627</v>
      </c>
      <c r="B3105" s="1">
        <v>1</v>
      </c>
      <c r="C3105" s="1">
        <v>2</v>
      </c>
      <c r="D3105" s="1">
        <v>33.6</v>
      </c>
    </row>
    <row r="3106" spans="1:4" x14ac:dyDescent="0.25">
      <c r="A3106" s="16">
        <v>10628</v>
      </c>
      <c r="B3106" s="1">
        <v>1</v>
      </c>
      <c r="C3106" s="1">
        <v>1</v>
      </c>
      <c r="D3106" s="1">
        <v>7.6</v>
      </c>
    </row>
    <row r="3107" spans="1:4" x14ac:dyDescent="0.25">
      <c r="A3107" s="16">
        <v>10629</v>
      </c>
      <c r="B3107" s="1">
        <v>1</v>
      </c>
      <c r="C3107" s="1">
        <v>1</v>
      </c>
      <c r="D3107" s="1">
        <v>16.8</v>
      </c>
    </row>
    <row r="3108" spans="1:4" x14ac:dyDescent="0.25">
      <c r="A3108" s="16">
        <v>10630</v>
      </c>
      <c r="B3108" s="1">
        <v>1</v>
      </c>
      <c r="C3108" s="1">
        <v>1</v>
      </c>
      <c r="D3108" s="1">
        <v>14</v>
      </c>
    </row>
    <row r="3109" spans="1:4" x14ac:dyDescent="0.25">
      <c r="A3109" s="16">
        <v>10631</v>
      </c>
      <c r="B3109" s="1">
        <v>1</v>
      </c>
      <c r="C3109" s="1">
        <v>1</v>
      </c>
      <c r="D3109" s="1">
        <v>16.8</v>
      </c>
    </row>
    <row r="3110" spans="1:4" x14ac:dyDescent="0.25">
      <c r="A3110" s="16">
        <v>10632</v>
      </c>
      <c r="B3110" s="1">
        <v>1</v>
      </c>
      <c r="C3110" s="1">
        <v>1</v>
      </c>
      <c r="D3110" s="1">
        <v>36</v>
      </c>
    </row>
    <row r="3111" spans="1:4" x14ac:dyDescent="0.25">
      <c r="A3111" s="16">
        <v>10633</v>
      </c>
      <c r="B3111" s="1">
        <v>1</v>
      </c>
      <c r="C3111" s="1">
        <v>2</v>
      </c>
      <c r="D3111" s="1">
        <v>33.6</v>
      </c>
    </row>
    <row r="3112" spans="1:4" x14ac:dyDescent="0.25">
      <c r="A3112" s="16">
        <v>10634</v>
      </c>
      <c r="B3112" s="1">
        <v>1</v>
      </c>
      <c r="C3112" s="1">
        <v>1</v>
      </c>
      <c r="D3112" s="1">
        <v>8</v>
      </c>
    </row>
    <row r="3113" spans="1:4" x14ac:dyDescent="0.25">
      <c r="A3113" s="16">
        <v>10635</v>
      </c>
      <c r="B3113" s="1">
        <v>1</v>
      </c>
      <c r="C3113" s="1">
        <v>1</v>
      </c>
      <c r="D3113" s="1">
        <v>16.8</v>
      </c>
    </row>
    <row r="3114" spans="1:4" x14ac:dyDescent="0.25">
      <c r="A3114" s="16">
        <v>10636</v>
      </c>
      <c r="B3114" s="1">
        <v>1</v>
      </c>
      <c r="C3114" s="1">
        <v>2</v>
      </c>
      <c r="D3114" s="1">
        <v>4.8</v>
      </c>
    </row>
    <row r="3115" spans="1:4" x14ac:dyDescent="0.25">
      <c r="A3115" s="16">
        <v>10637</v>
      </c>
      <c r="B3115" s="1">
        <v>1</v>
      </c>
      <c r="C3115" s="1">
        <v>1</v>
      </c>
      <c r="D3115" s="1">
        <v>16.8</v>
      </c>
    </row>
    <row r="3116" spans="1:4" x14ac:dyDescent="0.25">
      <c r="A3116" s="16">
        <v>10638</v>
      </c>
      <c r="B3116" s="1">
        <v>1</v>
      </c>
      <c r="C3116" s="1">
        <v>1</v>
      </c>
      <c r="D3116" s="1">
        <v>6</v>
      </c>
    </row>
    <row r="3117" spans="1:4" x14ac:dyDescent="0.25">
      <c r="A3117" s="16">
        <v>10639</v>
      </c>
      <c r="B3117" s="1">
        <v>1</v>
      </c>
      <c r="C3117" s="1">
        <v>2</v>
      </c>
      <c r="D3117" s="1">
        <v>33.6</v>
      </c>
    </row>
    <row r="3118" spans="1:4" x14ac:dyDescent="0.25">
      <c r="A3118" s="16">
        <v>10640</v>
      </c>
      <c r="B3118" s="1">
        <v>1</v>
      </c>
      <c r="C3118" s="1">
        <v>1</v>
      </c>
      <c r="D3118" s="1">
        <v>7.6</v>
      </c>
    </row>
    <row r="3119" spans="1:4" x14ac:dyDescent="0.25">
      <c r="A3119" s="16">
        <v>10641</v>
      </c>
      <c r="B3119" s="1">
        <v>1</v>
      </c>
      <c r="C3119" s="1">
        <v>1</v>
      </c>
      <c r="D3119" s="1">
        <v>16.8</v>
      </c>
    </row>
    <row r="3120" spans="1:4" x14ac:dyDescent="0.25">
      <c r="A3120" s="16">
        <v>10642</v>
      </c>
      <c r="B3120" s="1">
        <v>1</v>
      </c>
      <c r="C3120" s="1">
        <v>1</v>
      </c>
      <c r="D3120" s="1">
        <v>14</v>
      </c>
    </row>
    <row r="3121" spans="1:4" x14ac:dyDescent="0.25">
      <c r="A3121" s="16">
        <v>10643</v>
      </c>
      <c r="B3121" s="1">
        <v>1</v>
      </c>
      <c r="C3121" s="1">
        <v>1</v>
      </c>
      <c r="D3121" s="1">
        <v>16.8</v>
      </c>
    </row>
    <row r="3122" spans="1:4" x14ac:dyDescent="0.25">
      <c r="A3122" s="16">
        <v>10644</v>
      </c>
      <c r="B3122" s="1">
        <v>1</v>
      </c>
      <c r="C3122" s="1">
        <v>3</v>
      </c>
      <c r="D3122" s="1">
        <v>8.3999999999999986</v>
      </c>
    </row>
    <row r="3123" spans="1:4" x14ac:dyDescent="0.25">
      <c r="A3123" s="16">
        <v>10645</v>
      </c>
      <c r="B3123" s="1">
        <v>1</v>
      </c>
      <c r="C3123" s="1">
        <v>1</v>
      </c>
      <c r="D3123" s="1">
        <v>16.8</v>
      </c>
    </row>
    <row r="3124" spans="1:4" x14ac:dyDescent="0.25">
      <c r="A3124" s="16">
        <v>10646</v>
      </c>
      <c r="B3124" s="1">
        <v>1</v>
      </c>
      <c r="C3124" s="1">
        <v>2</v>
      </c>
      <c r="D3124" s="1">
        <v>4.8</v>
      </c>
    </row>
    <row r="3125" spans="1:4" x14ac:dyDescent="0.25">
      <c r="A3125" s="16">
        <v>10647</v>
      </c>
      <c r="B3125" s="1">
        <v>1</v>
      </c>
      <c r="C3125" s="1">
        <v>1</v>
      </c>
      <c r="D3125" s="1">
        <v>16.8</v>
      </c>
    </row>
    <row r="3126" spans="1:4" x14ac:dyDescent="0.25">
      <c r="A3126" s="16">
        <v>10648</v>
      </c>
      <c r="B3126" s="1">
        <v>1</v>
      </c>
      <c r="C3126" s="1">
        <v>1</v>
      </c>
      <c r="D3126" s="1">
        <v>6</v>
      </c>
    </row>
    <row r="3127" spans="1:4" x14ac:dyDescent="0.25">
      <c r="A3127" s="16">
        <v>10649</v>
      </c>
      <c r="B3127" s="1">
        <v>1</v>
      </c>
      <c r="C3127" s="1">
        <v>1</v>
      </c>
      <c r="D3127" s="1">
        <v>16.8</v>
      </c>
    </row>
    <row r="3128" spans="1:4" x14ac:dyDescent="0.25">
      <c r="A3128" s="16">
        <v>10650</v>
      </c>
      <c r="B3128" s="1">
        <v>1</v>
      </c>
      <c r="C3128" s="1">
        <v>1</v>
      </c>
      <c r="D3128" s="1">
        <v>14</v>
      </c>
    </row>
    <row r="3129" spans="1:4" x14ac:dyDescent="0.25">
      <c r="A3129" s="16">
        <v>10651</v>
      </c>
      <c r="B3129" s="1">
        <v>1</v>
      </c>
      <c r="C3129" s="1">
        <v>2</v>
      </c>
      <c r="D3129" s="1">
        <v>33.6</v>
      </c>
    </row>
    <row r="3130" spans="1:4" x14ac:dyDescent="0.25">
      <c r="A3130" s="16">
        <v>10652</v>
      </c>
      <c r="B3130" s="1">
        <v>1</v>
      </c>
      <c r="C3130" s="1">
        <v>1</v>
      </c>
      <c r="D3130" s="1">
        <v>36</v>
      </c>
    </row>
    <row r="3131" spans="1:4" x14ac:dyDescent="0.25">
      <c r="A3131" s="16">
        <v>10653</v>
      </c>
      <c r="B3131" s="1">
        <v>1</v>
      </c>
      <c r="C3131" s="1">
        <v>1</v>
      </c>
      <c r="D3131" s="1">
        <v>16.8</v>
      </c>
    </row>
    <row r="3132" spans="1:4" x14ac:dyDescent="0.25">
      <c r="A3132" s="16">
        <v>10654</v>
      </c>
      <c r="B3132" s="1">
        <v>1</v>
      </c>
      <c r="C3132" s="1">
        <v>1</v>
      </c>
      <c r="D3132" s="1">
        <v>8</v>
      </c>
    </row>
    <row r="3133" spans="1:4" x14ac:dyDescent="0.25">
      <c r="A3133" s="16">
        <v>10655</v>
      </c>
      <c r="B3133" s="1">
        <v>1</v>
      </c>
      <c r="C3133" s="1">
        <v>1</v>
      </c>
      <c r="D3133" s="1">
        <v>16.8</v>
      </c>
    </row>
    <row r="3134" spans="1:4" x14ac:dyDescent="0.25">
      <c r="A3134" s="16">
        <v>10656</v>
      </c>
      <c r="B3134" s="1">
        <v>1</v>
      </c>
      <c r="C3134" s="1">
        <v>2</v>
      </c>
      <c r="D3134" s="1">
        <v>4.8</v>
      </c>
    </row>
    <row r="3135" spans="1:4" x14ac:dyDescent="0.25">
      <c r="A3135" s="16">
        <v>10657</v>
      </c>
      <c r="B3135" s="1">
        <v>1</v>
      </c>
      <c r="C3135" s="1">
        <v>1</v>
      </c>
      <c r="D3135" s="1">
        <v>16.8</v>
      </c>
    </row>
    <row r="3136" spans="1:4" x14ac:dyDescent="0.25">
      <c r="A3136" s="16">
        <v>10658</v>
      </c>
      <c r="B3136" s="1">
        <v>1</v>
      </c>
      <c r="C3136" s="1">
        <v>1</v>
      </c>
      <c r="D3136" s="1">
        <v>7.6</v>
      </c>
    </row>
    <row r="3137" spans="1:4" x14ac:dyDescent="0.25">
      <c r="A3137" s="16">
        <v>10659</v>
      </c>
      <c r="B3137" s="1">
        <v>1</v>
      </c>
      <c r="C3137" s="1">
        <v>1</v>
      </c>
      <c r="D3137" s="1">
        <v>14</v>
      </c>
    </row>
    <row r="3138" spans="1:4" x14ac:dyDescent="0.25">
      <c r="A3138" s="16">
        <v>10660</v>
      </c>
      <c r="B3138" s="1">
        <v>1</v>
      </c>
      <c r="C3138" s="1">
        <v>1</v>
      </c>
      <c r="D3138" s="1">
        <v>16.8</v>
      </c>
    </row>
    <row r="3139" spans="1:4" x14ac:dyDescent="0.25">
      <c r="A3139" s="16">
        <v>10661</v>
      </c>
      <c r="B3139" s="1">
        <v>1</v>
      </c>
      <c r="C3139" s="1">
        <v>3</v>
      </c>
      <c r="D3139" s="1">
        <v>8.3999999999999986</v>
      </c>
    </row>
    <row r="3140" spans="1:4" x14ac:dyDescent="0.25">
      <c r="A3140" s="16">
        <v>10662</v>
      </c>
      <c r="B3140" s="1">
        <v>1</v>
      </c>
      <c r="C3140" s="1">
        <v>2</v>
      </c>
      <c r="D3140" s="1">
        <v>33.6</v>
      </c>
    </row>
    <row r="3141" spans="1:4" x14ac:dyDescent="0.25">
      <c r="A3141" s="16">
        <v>10663</v>
      </c>
      <c r="B3141" s="1">
        <v>1</v>
      </c>
      <c r="C3141" s="1">
        <v>1</v>
      </c>
      <c r="D3141" s="1">
        <v>6</v>
      </c>
    </row>
    <row r="3142" spans="1:4" x14ac:dyDescent="0.25">
      <c r="A3142" s="16">
        <v>10664</v>
      </c>
      <c r="B3142" s="1">
        <v>1</v>
      </c>
      <c r="C3142" s="1">
        <v>1</v>
      </c>
      <c r="D3142" s="1">
        <v>16.8</v>
      </c>
    </row>
    <row r="3143" spans="1:4" x14ac:dyDescent="0.25">
      <c r="A3143" s="16">
        <v>10665</v>
      </c>
      <c r="B3143" s="1">
        <v>1</v>
      </c>
      <c r="C3143" s="1">
        <v>2</v>
      </c>
      <c r="D3143" s="1">
        <v>4.8</v>
      </c>
    </row>
    <row r="3144" spans="1:4" x14ac:dyDescent="0.25">
      <c r="A3144" s="16">
        <v>10666</v>
      </c>
      <c r="B3144" s="1">
        <v>1</v>
      </c>
      <c r="C3144" s="1">
        <v>1</v>
      </c>
      <c r="D3144" s="1">
        <v>16.8</v>
      </c>
    </row>
    <row r="3145" spans="1:4" x14ac:dyDescent="0.25">
      <c r="A3145" s="16">
        <v>10667</v>
      </c>
      <c r="B3145" s="1">
        <v>1</v>
      </c>
      <c r="C3145" s="1">
        <v>1</v>
      </c>
      <c r="D3145" s="1">
        <v>7.6</v>
      </c>
    </row>
    <row r="3146" spans="1:4" x14ac:dyDescent="0.25">
      <c r="A3146" s="16">
        <v>10668</v>
      </c>
      <c r="B3146" s="1">
        <v>1</v>
      </c>
      <c r="C3146" s="1">
        <v>1</v>
      </c>
      <c r="D3146" s="1">
        <v>14</v>
      </c>
    </row>
    <row r="3147" spans="1:4" x14ac:dyDescent="0.25">
      <c r="A3147" s="16">
        <v>10669</v>
      </c>
      <c r="B3147" s="1">
        <v>1</v>
      </c>
      <c r="C3147" s="1">
        <v>2</v>
      </c>
      <c r="D3147" s="1">
        <v>33.6</v>
      </c>
    </row>
    <row r="3148" spans="1:4" x14ac:dyDescent="0.25">
      <c r="A3148" s="16">
        <v>10670</v>
      </c>
      <c r="B3148" s="1">
        <v>1</v>
      </c>
      <c r="C3148" s="1">
        <v>1</v>
      </c>
      <c r="D3148" s="1">
        <v>8</v>
      </c>
    </row>
    <row r="3149" spans="1:4" x14ac:dyDescent="0.25">
      <c r="A3149" s="16">
        <v>10671</v>
      </c>
      <c r="B3149" s="1">
        <v>1</v>
      </c>
      <c r="C3149" s="1">
        <v>1</v>
      </c>
      <c r="D3149" s="1">
        <v>16.8</v>
      </c>
    </row>
    <row r="3150" spans="1:4" x14ac:dyDescent="0.25">
      <c r="A3150" s="16">
        <v>10672</v>
      </c>
      <c r="B3150" s="1">
        <v>1</v>
      </c>
      <c r="C3150" s="1">
        <v>1</v>
      </c>
      <c r="D3150" s="1">
        <v>8</v>
      </c>
    </row>
    <row r="3151" spans="1:4" x14ac:dyDescent="0.25">
      <c r="A3151" s="16">
        <v>10673</v>
      </c>
      <c r="B3151" s="1">
        <v>1</v>
      </c>
      <c r="C3151" s="1">
        <v>1</v>
      </c>
      <c r="D3151" s="1">
        <v>16.8</v>
      </c>
    </row>
    <row r="3152" spans="1:4" x14ac:dyDescent="0.25">
      <c r="A3152" s="16">
        <v>10674</v>
      </c>
      <c r="B3152" s="1">
        <v>1</v>
      </c>
      <c r="C3152" s="1">
        <v>1</v>
      </c>
      <c r="D3152" s="1">
        <v>6</v>
      </c>
    </row>
    <row r="3153" spans="1:4" x14ac:dyDescent="0.25">
      <c r="A3153" s="16">
        <v>10675</v>
      </c>
      <c r="B3153" s="1">
        <v>1</v>
      </c>
      <c r="C3153" s="1">
        <v>2</v>
      </c>
      <c r="D3153" s="1">
        <v>33.6</v>
      </c>
    </row>
    <row r="3154" spans="1:4" x14ac:dyDescent="0.25">
      <c r="A3154" s="16">
        <v>10676</v>
      </c>
      <c r="B3154" s="1">
        <v>1</v>
      </c>
      <c r="C3154" s="1">
        <v>1</v>
      </c>
      <c r="D3154" s="1">
        <v>7.6</v>
      </c>
    </row>
    <row r="3155" spans="1:4" x14ac:dyDescent="0.25">
      <c r="A3155" s="16">
        <v>10677</v>
      </c>
      <c r="B3155" s="1">
        <v>1</v>
      </c>
      <c r="C3155" s="1">
        <v>1</v>
      </c>
      <c r="D3155" s="1">
        <v>16.8</v>
      </c>
    </row>
    <row r="3156" spans="1:4" x14ac:dyDescent="0.25">
      <c r="A3156" s="16">
        <v>10678</v>
      </c>
      <c r="B3156" s="1">
        <v>1</v>
      </c>
      <c r="C3156" s="1">
        <v>1</v>
      </c>
      <c r="D3156" s="1">
        <v>14</v>
      </c>
    </row>
    <row r="3157" spans="1:4" x14ac:dyDescent="0.25">
      <c r="A3157" s="16">
        <v>10679</v>
      </c>
      <c r="B3157" s="1">
        <v>1</v>
      </c>
      <c r="C3157" s="1">
        <v>1</v>
      </c>
      <c r="D3157" s="1">
        <v>16.8</v>
      </c>
    </row>
    <row r="3158" spans="1:4" x14ac:dyDescent="0.25">
      <c r="A3158" s="16">
        <v>10680</v>
      </c>
      <c r="B3158" s="1">
        <v>1</v>
      </c>
      <c r="C3158" s="1">
        <v>1</v>
      </c>
      <c r="D3158" s="1">
        <v>36</v>
      </c>
    </row>
    <row r="3159" spans="1:4" x14ac:dyDescent="0.25">
      <c r="A3159" s="16">
        <v>10681</v>
      </c>
      <c r="B3159" s="1">
        <v>1</v>
      </c>
      <c r="C3159" s="1">
        <v>1</v>
      </c>
      <c r="D3159" s="1">
        <v>16.8</v>
      </c>
    </row>
    <row r="3160" spans="1:4" x14ac:dyDescent="0.25">
      <c r="A3160" s="16">
        <v>10682</v>
      </c>
      <c r="B3160" s="1">
        <v>1</v>
      </c>
      <c r="C3160" s="1">
        <v>3</v>
      </c>
      <c r="D3160" s="1">
        <v>8.3999999999999986</v>
      </c>
    </row>
    <row r="3161" spans="1:4" x14ac:dyDescent="0.25">
      <c r="A3161" s="16">
        <v>10683</v>
      </c>
      <c r="B3161" s="1">
        <v>1</v>
      </c>
      <c r="C3161" s="1">
        <v>1</v>
      </c>
      <c r="D3161" s="1">
        <v>16.8</v>
      </c>
    </row>
    <row r="3162" spans="1:4" x14ac:dyDescent="0.25">
      <c r="A3162" s="16">
        <v>10684</v>
      </c>
      <c r="B3162" s="1">
        <v>1</v>
      </c>
      <c r="C3162" s="1">
        <v>1</v>
      </c>
      <c r="D3162" s="1">
        <v>6</v>
      </c>
    </row>
    <row r="3163" spans="1:4" x14ac:dyDescent="0.25">
      <c r="A3163" s="16">
        <v>10685</v>
      </c>
      <c r="B3163" s="1">
        <v>1</v>
      </c>
      <c r="C3163" s="1">
        <v>2</v>
      </c>
      <c r="D3163" s="1">
        <v>33.6</v>
      </c>
    </row>
    <row r="3164" spans="1:4" x14ac:dyDescent="0.25">
      <c r="A3164" s="16">
        <v>10686</v>
      </c>
      <c r="B3164" s="1">
        <v>1</v>
      </c>
      <c r="C3164" s="1">
        <v>1</v>
      </c>
      <c r="D3164" s="1">
        <v>7.6</v>
      </c>
    </row>
    <row r="3165" spans="1:4" x14ac:dyDescent="0.25">
      <c r="A3165" s="16">
        <v>10687</v>
      </c>
      <c r="B3165" s="1">
        <v>1</v>
      </c>
      <c r="C3165" s="1">
        <v>1</v>
      </c>
      <c r="D3165" s="1">
        <v>14</v>
      </c>
    </row>
    <row r="3166" spans="1:4" x14ac:dyDescent="0.25">
      <c r="A3166" s="16">
        <v>10688</v>
      </c>
      <c r="B3166" s="1">
        <v>1</v>
      </c>
      <c r="C3166" s="1">
        <v>1</v>
      </c>
      <c r="D3166" s="1">
        <v>16.8</v>
      </c>
    </row>
    <row r="3167" spans="1:4" x14ac:dyDescent="0.25">
      <c r="A3167" s="16">
        <v>10689</v>
      </c>
      <c r="B3167" s="1">
        <v>1</v>
      </c>
      <c r="C3167" s="1">
        <v>2</v>
      </c>
      <c r="D3167" s="1">
        <v>4.8</v>
      </c>
    </row>
    <row r="3168" spans="1:4" x14ac:dyDescent="0.25">
      <c r="A3168" s="16">
        <v>10690</v>
      </c>
      <c r="B3168" s="1">
        <v>1</v>
      </c>
      <c r="C3168" s="1">
        <v>1</v>
      </c>
      <c r="D3168" s="1">
        <v>16.8</v>
      </c>
    </row>
    <row r="3169" spans="1:4" x14ac:dyDescent="0.25">
      <c r="A3169" s="16">
        <v>10691</v>
      </c>
      <c r="B3169" s="1">
        <v>1</v>
      </c>
      <c r="C3169" s="1">
        <v>1</v>
      </c>
      <c r="D3169" s="1">
        <v>8</v>
      </c>
    </row>
    <row r="3170" spans="1:4" x14ac:dyDescent="0.25">
      <c r="A3170" s="16">
        <v>10692</v>
      </c>
      <c r="B3170" s="1">
        <v>1</v>
      </c>
      <c r="C3170" s="1">
        <v>2</v>
      </c>
      <c r="D3170" s="1">
        <v>33.6</v>
      </c>
    </row>
    <row r="3171" spans="1:4" x14ac:dyDescent="0.25">
      <c r="A3171" s="16">
        <v>10693</v>
      </c>
      <c r="B3171" s="1">
        <v>1</v>
      </c>
      <c r="C3171" s="1">
        <v>1</v>
      </c>
      <c r="D3171" s="1">
        <v>7.6</v>
      </c>
    </row>
    <row r="3172" spans="1:4" x14ac:dyDescent="0.25">
      <c r="A3172" s="16">
        <v>10694</v>
      </c>
      <c r="B3172" s="1">
        <v>1</v>
      </c>
      <c r="C3172" s="1">
        <v>1</v>
      </c>
      <c r="D3172" s="1">
        <v>16.8</v>
      </c>
    </row>
    <row r="3173" spans="1:4" x14ac:dyDescent="0.25">
      <c r="A3173" s="16">
        <v>10695</v>
      </c>
      <c r="B3173" s="1">
        <v>1</v>
      </c>
      <c r="C3173" s="1">
        <v>1</v>
      </c>
      <c r="D3173" s="1">
        <v>14</v>
      </c>
    </row>
    <row r="3174" spans="1:4" x14ac:dyDescent="0.25">
      <c r="A3174" s="16">
        <v>10696</v>
      </c>
      <c r="B3174" s="1">
        <v>1</v>
      </c>
      <c r="C3174" s="1">
        <v>1</v>
      </c>
      <c r="D3174" s="1">
        <v>16.8</v>
      </c>
    </row>
    <row r="3175" spans="1:4" x14ac:dyDescent="0.25">
      <c r="A3175" s="16">
        <v>10697</v>
      </c>
      <c r="B3175" s="1">
        <v>1</v>
      </c>
      <c r="C3175" s="1">
        <v>1</v>
      </c>
      <c r="D3175" s="1">
        <v>36</v>
      </c>
    </row>
    <row r="3176" spans="1:4" x14ac:dyDescent="0.25">
      <c r="A3176" s="16">
        <v>10698</v>
      </c>
      <c r="B3176" s="1">
        <v>1</v>
      </c>
      <c r="C3176" s="1">
        <v>1</v>
      </c>
      <c r="D3176" s="1">
        <v>16.8</v>
      </c>
    </row>
    <row r="3177" spans="1:4" x14ac:dyDescent="0.25">
      <c r="A3177" s="16">
        <v>10699</v>
      </c>
      <c r="B3177" s="1">
        <v>1</v>
      </c>
      <c r="C3177" s="1">
        <v>1</v>
      </c>
      <c r="D3177" s="1">
        <v>8</v>
      </c>
    </row>
    <row r="3178" spans="1:4" x14ac:dyDescent="0.25">
      <c r="A3178" s="16">
        <v>10700</v>
      </c>
      <c r="B3178" s="1">
        <v>1</v>
      </c>
      <c r="C3178" s="1">
        <v>1</v>
      </c>
      <c r="D3178" s="1">
        <v>16.8</v>
      </c>
    </row>
    <row r="3179" spans="1:4" x14ac:dyDescent="0.25">
      <c r="A3179" s="16">
        <v>10701</v>
      </c>
      <c r="B3179" s="1">
        <v>1</v>
      </c>
      <c r="C3179" s="1">
        <v>2</v>
      </c>
      <c r="D3179" s="1">
        <v>4.8</v>
      </c>
    </row>
    <row r="3180" spans="1:4" x14ac:dyDescent="0.25">
      <c r="A3180" s="16">
        <v>10702</v>
      </c>
      <c r="B3180" s="1">
        <v>1</v>
      </c>
      <c r="C3180" s="1">
        <v>1</v>
      </c>
      <c r="D3180" s="1">
        <v>16.8</v>
      </c>
    </row>
    <row r="3181" spans="1:4" x14ac:dyDescent="0.25">
      <c r="A3181" s="16">
        <v>10703</v>
      </c>
      <c r="B3181" s="1">
        <v>1</v>
      </c>
      <c r="C3181" s="1">
        <v>1</v>
      </c>
      <c r="D3181" s="1">
        <v>6</v>
      </c>
    </row>
    <row r="3182" spans="1:4" x14ac:dyDescent="0.25">
      <c r="A3182" s="16">
        <v>10704</v>
      </c>
      <c r="B3182" s="1">
        <v>1</v>
      </c>
      <c r="C3182" s="1">
        <v>2</v>
      </c>
      <c r="D3182" s="1">
        <v>33.6</v>
      </c>
    </row>
    <row r="3183" spans="1:4" x14ac:dyDescent="0.25">
      <c r="A3183" s="16">
        <v>10705</v>
      </c>
      <c r="B3183" s="1">
        <v>1</v>
      </c>
      <c r="C3183" s="1">
        <v>1</v>
      </c>
      <c r="D3183" s="1">
        <v>14</v>
      </c>
    </row>
    <row r="3184" spans="1:4" x14ac:dyDescent="0.25">
      <c r="A3184" s="16">
        <v>10706</v>
      </c>
      <c r="B3184" s="1">
        <v>1</v>
      </c>
      <c r="C3184" s="1">
        <v>1</v>
      </c>
      <c r="D3184" s="1">
        <v>16.8</v>
      </c>
    </row>
    <row r="3185" spans="1:4" x14ac:dyDescent="0.25">
      <c r="A3185" s="16">
        <v>10707</v>
      </c>
      <c r="B3185" s="1">
        <v>1</v>
      </c>
      <c r="C3185" s="1">
        <v>1</v>
      </c>
      <c r="D3185" s="1">
        <v>7.6</v>
      </c>
    </row>
    <row r="3186" spans="1:4" x14ac:dyDescent="0.25">
      <c r="A3186" s="16">
        <v>10708</v>
      </c>
      <c r="B3186" s="1">
        <v>1</v>
      </c>
      <c r="C3186" s="1">
        <v>1</v>
      </c>
      <c r="D3186" s="1">
        <v>16.8</v>
      </c>
    </row>
    <row r="3187" spans="1:4" x14ac:dyDescent="0.25">
      <c r="A3187" s="16">
        <v>10709</v>
      </c>
      <c r="B3187" s="1">
        <v>1</v>
      </c>
      <c r="C3187" s="1">
        <v>3</v>
      </c>
      <c r="D3187" s="1">
        <v>8.3999999999999986</v>
      </c>
    </row>
    <row r="3188" spans="1:4" x14ac:dyDescent="0.25">
      <c r="A3188" s="16">
        <v>10710</v>
      </c>
      <c r="B3188" s="1">
        <v>1</v>
      </c>
      <c r="C3188" s="1">
        <v>1</v>
      </c>
      <c r="D3188" s="1">
        <v>16.8</v>
      </c>
    </row>
    <row r="3189" spans="1:4" x14ac:dyDescent="0.25">
      <c r="A3189" s="16">
        <v>10711</v>
      </c>
      <c r="B3189" s="1">
        <v>1</v>
      </c>
      <c r="C3189" s="1">
        <v>2</v>
      </c>
      <c r="D3189" s="1">
        <v>4.8</v>
      </c>
    </row>
    <row r="3190" spans="1:4" x14ac:dyDescent="0.25">
      <c r="A3190" s="16">
        <v>10712</v>
      </c>
      <c r="B3190" s="1">
        <v>1</v>
      </c>
      <c r="C3190" s="1">
        <v>1</v>
      </c>
      <c r="D3190" s="1">
        <v>16.8</v>
      </c>
    </row>
    <row r="3191" spans="1:4" x14ac:dyDescent="0.25">
      <c r="A3191" s="16">
        <v>10713</v>
      </c>
      <c r="B3191" s="1">
        <v>1</v>
      </c>
      <c r="C3191" s="1">
        <v>1</v>
      </c>
      <c r="D3191" s="1">
        <v>6</v>
      </c>
    </row>
    <row r="3192" spans="1:4" x14ac:dyDescent="0.25">
      <c r="A3192" s="16">
        <v>10714</v>
      </c>
      <c r="B3192" s="1">
        <v>1</v>
      </c>
      <c r="C3192" s="1">
        <v>2</v>
      </c>
      <c r="D3192" s="1">
        <v>33.6</v>
      </c>
    </row>
    <row r="3193" spans="1:4" x14ac:dyDescent="0.25">
      <c r="A3193" s="16">
        <v>10715</v>
      </c>
      <c r="B3193" s="1">
        <v>1</v>
      </c>
      <c r="C3193" s="1">
        <v>1</v>
      </c>
      <c r="D3193" s="1">
        <v>7.6</v>
      </c>
    </row>
    <row r="3194" spans="1:4" x14ac:dyDescent="0.25">
      <c r="A3194" s="16">
        <v>10716</v>
      </c>
      <c r="B3194" s="1">
        <v>1</v>
      </c>
      <c r="C3194" s="1">
        <v>1</v>
      </c>
      <c r="D3194" s="1">
        <v>16.8</v>
      </c>
    </row>
    <row r="3195" spans="1:4" x14ac:dyDescent="0.25">
      <c r="A3195" s="16">
        <v>10717</v>
      </c>
      <c r="B3195" s="1">
        <v>1</v>
      </c>
      <c r="C3195" s="1">
        <v>1</v>
      </c>
      <c r="D3195" s="1">
        <v>14</v>
      </c>
    </row>
    <row r="3196" spans="1:4" x14ac:dyDescent="0.25">
      <c r="A3196" s="16">
        <v>10718</v>
      </c>
      <c r="B3196" s="1">
        <v>1</v>
      </c>
      <c r="C3196" s="1">
        <v>1</v>
      </c>
      <c r="D3196" s="1">
        <v>16.8</v>
      </c>
    </row>
    <row r="3197" spans="1:4" x14ac:dyDescent="0.25">
      <c r="A3197" s="16">
        <v>10719</v>
      </c>
      <c r="B3197" s="1">
        <v>1</v>
      </c>
      <c r="C3197" s="1">
        <v>1</v>
      </c>
      <c r="D3197" s="1">
        <v>36</v>
      </c>
    </row>
    <row r="3198" spans="1:4" x14ac:dyDescent="0.25">
      <c r="A3198" s="16">
        <v>10720</v>
      </c>
      <c r="B3198" s="1">
        <v>1</v>
      </c>
      <c r="C3198" s="1">
        <v>2</v>
      </c>
      <c r="D3198" s="1">
        <v>33.6</v>
      </c>
    </row>
    <row r="3199" spans="1:4" x14ac:dyDescent="0.25">
      <c r="A3199" s="16">
        <v>10721</v>
      </c>
      <c r="B3199" s="1">
        <v>1</v>
      </c>
      <c r="C3199" s="1">
        <v>1</v>
      </c>
      <c r="D3199" s="1">
        <v>8</v>
      </c>
    </row>
    <row r="3200" spans="1:4" x14ac:dyDescent="0.25">
      <c r="A3200" s="16">
        <v>10722</v>
      </c>
      <c r="B3200" s="1">
        <v>1</v>
      </c>
      <c r="C3200" s="1">
        <v>1</v>
      </c>
      <c r="D3200" s="1">
        <v>16.8</v>
      </c>
    </row>
    <row r="3201" spans="1:4" x14ac:dyDescent="0.25">
      <c r="A3201" s="16">
        <v>10723</v>
      </c>
      <c r="B3201" s="1">
        <v>1</v>
      </c>
      <c r="C3201" s="1">
        <v>1</v>
      </c>
      <c r="D3201" s="1">
        <v>6</v>
      </c>
    </row>
    <row r="3202" spans="1:4" x14ac:dyDescent="0.25">
      <c r="A3202" s="16">
        <v>10724</v>
      </c>
      <c r="B3202" s="1">
        <v>1</v>
      </c>
      <c r="C3202" s="1">
        <v>1</v>
      </c>
      <c r="D3202" s="1">
        <v>16.8</v>
      </c>
    </row>
    <row r="3203" spans="1:4" x14ac:dyDescent="0.25">
      <c r="A3203" s="16">
        <v>10725</v>
      </c>
      <c r="B3203" s="1">
        <v>1</v>
      </c>
      <c r="C3203" s="1">
        <v>1</v>
      </c>
      <c r="D3203" s="1">
        <v>14</v>
      </c>
    </row>
    <row r="3204" spans="1:4" x14ac:dyDescent="0.25">
      <c r="A3204" s="16">
        <v>10726</v>
      </c>
      <c r="B3204" s="1">
        <v>1</v>
      </c>
      <c r="C3204" s="1">
        <v>2</v>
      </c>
      <c r="D3204" s="1">
        <v>33.6</v>
      </c>
    </row>
    <row r="3205" spans="1:4" x14ac:dyDescent="0.25">
      <c r="A3205" s="16">
        <v>10727</v>
      </c>
      <c r="B3205" s="1">
        <v>1</v>
      </c>
      <c r="C3205" s="1">
        <v>1</v>
      </c>
      <c r="D3205" s="1">
        <v>7.6</v>
      </c>
    </row>
    <row r="3206" spans="1:4" x14ac:dyDescent="0.25">
      <c r="A3206" s="16">
        <v>10728</v>
      </c>
      <c r="B3206" s="1">
        <v>1</v>
      </c>
      <c r="C3206" s="1">
        <v>1</v>
      </c>
      <c r="D3206" s="1">
        <v>16.8</v>
      </c>
    </row>
    <row r="3207" spans="1:4" x14ac:dyDescent="0.25">
      <c r="A3207" s="16">
        <v>10729</v>
      </c>
      <c r="B3207" s="1">
        <v>1</v>
      </c>
      <c r="C3207" s="1">
        <v>1</v>
      </c>
      <c r="D3207" s="1">
        <v>6</v>
      </c>
    </row>
    <row r="3208" spans="1:4" x14ac:dyDescent="0.25">
      <c r="A3208" s="16">
        <v>10730</v>
      </c>
      <c r="B3208" s="1">
        <v>1</v>
      </c>
      <c r="C3208" s="1">
        <v>2</v>
      </c>
      <c r="D3208" s="1">
        <v>33.6</v>
      </c>
    </row>
    <row r="3209" spans="1:4" x14ac:dyDescent="0.25">
      <c r="A3209" s="16">
        <v>10731</v>
      </c>
      <c r="B3209" s="1">
        <v>1</v>
      </c>
      <c r="C3209" s="1">
        <v>1</v>
      </c>
      <c r="D3209" s="1">
        <v>7.6</v>
      </c>
    </row>
    <row r="3210" spans="1:4" x14ac:dyDescent="0.25">
      <c r="A3210" s="16">
        <v>10732</v>
      </c>
      <c r="B3210" s="1">
        <v>1</v>
      </c>
      <c r="C3210" s="1">
        <v>1</v>
      </c>
      <c r="D3210" s="1">
        <v>14</v>
      </c>
    </row>
    <row r="3211" spans="1:4" x14ac:dyDescent="0.25">
      <c r="A3211" s="16">
        <v>10733</v>
      </c>
      <c r="B3211" s="1">
        <v>1</v>
      </c>
      <c r="C3211" s="1">
        <v>1</v>
      </c>
      <c r="D3211" s="1">
        <v>16.8</v>
      </c>
    </row>
    <row r="3212" spans="1:4" x14ac:dyDescent="0.25">
      <c r="A3212" s="16">
        <v>10734</v>
      </c>
      <c r="B3212" s="1">
        <v>1</v>
      </c>
      <c r="C3212" s="1">
        <v>2</v>
      </c>
      <c r="D3212" s="1">
        <v>5.6</v>
      </c>
    </row>
    <row r="3213" spans="1:4" x14ac:dyDescent="0.25">
      <c r="A3213" s="16">
        <v>10735</v>
      </c>
      <c r="B3213" s="1">
        <v>1</v>
      </c>
      <c r="C3213" s="1">
        <v>1</v>
      </c>
      <c r="D3213" s="1">
        <v>6</v>
      </c>
    </row>
    <row r="3214" spans="1:4" x14ac:dyDescent="0.25">
      <c r="A3214" s="16">
        <v>10736</v>
      </c>
      <c r="B3214" s="1">
        <v>1</v>
      </c>
      <c r="C3214" s="1">
        <v>1</v>
      </c>
      <c r="D3214" s="1">
        <v>16.8</v>
      </c>
    </row>
    <row r="3215" spans="1:4" x14ac:dyDescent="0.25">
      <c r="A3215" s="16">
        <v>10737</v>
      </c>
      <c r="B3215" s="1">
        <v>1</v>
      </c>
      <c r="C3215" s="1">
        <v>1</v>
      </c>
      <c r="D3215" s="1">
        <v>8</v>
      </c>
    </row>
    <row r="3216" spans="1:4" x14ac:dyDescent="0.25">
      <c r="A3216" s="16">
        <v>10738</v>
      </c>
      <c r="B3216" s="1">
        <v>1</v>
      </c>
      <c r="C3216" s="1">
        <v>1</v>
      </c>
      <c r="D3216" s="1">
        <v>14</v>
      </c>
    </row>
    <row r="3217" spans="1:4" x14ac:dyDescent="0.25">
      <c r="A3217" s="16">
        <v>10739</v>
      </c>
      <c r="B3217" s="1">
        <v>1</v>
      </c>
      <c r="C3217" s="1">
        <v>2</v>
      </c>
      <c r="D3217" s="1">
        <v>33.6</v>
      </c>
    </row>
    <row r="3218" spans="1:4" x14ac:dyDescent="0.25">
      <c r="A3218" s="16">
        <v>10740</v>
      </c>
      <c r="B3218" s="1">
        <v>1</v>
      </c>
      <c r="C3218" s="1">
        <v>1</v>
      </c>
      <c r="D3218" s="1">
        <v>36</v>
      </c>
    </row>
    <row r="3219" spans="1:4" x14ac:dyDescent="0.25">
      <c r="A3219" s="16">
        <v>10741</v>
      </c>
      <c r="B3219" s="1">
        <v>1</v>
      </c>
      <c r="C3219" s="1">
        <v>1</v>
      </c>
      <c r="D3219" s="1">
        <v>16.8</v>
      </c>
    </row>
    <row r="3220" spans="1:4" x14ac:dyDescent="0.25">
      <c r="A3220" s="16">
        <v>10742</v>
      </c>
      <c r="B3220" s="1">
        <v>1</v>
      </c>
      <c r="C3220" s="1">
        <v>1</v>
      </c>
      <c r="D3220" s="1">
        <v>7.6</v>
      </c>
    </row>
    <row r="3221" spans="1:4" x14ac:dyDescent="0.25">
      <c r="A3221" s="16">
        <v>10743</v>
      </c>
      <c r="B3221" s="1">
        <v>1</v>
      </c>
      <c r="C3221" s="1">
        <v>2</v>
      </c>
      <c r="D3221" s="1">
        <v>33.6</v>
      </c>
    </row>
    <row r="3222" spans="1:4" x14ac:dyDescent="0.25">
      <c r="A3222" s="16">
        <v>10744</v>
      </c>
      <c r="B3222" s="1">
        <v>1</v>
      </c>
      <c r="C3222" s="1">
        <v>2</v>
      </c>
      <c r="D3222" s="1">
        <v>4.8</v>
      </c>
    </row>
    <row r="3223" spans="1:4" x14ac:dyDescent="0.25">
      <c r="A3223" s="16">
        <v>10745</v>
      </c>
      <c r="B3223" s="1">
        <v>1</v>
      </c>
      <c r="C3223" s="1">
        <v>1</v>
      </c>
      <c r="D3223" s="1">
        <v>16.8</v>
      </c>
    </row>
    <row r="3224" spans="1:4" x14ac:dyDescent="0.25">
      <c r="A3224" s="16">
        <v>10746</v>
      </c>
      <c r="B3224" s="1">
        <v>1</v>
      </c>
      <c r="C3224" s="1">
        <v>1</v>
      </c>
      <c r="D3224" s="1">
        <v>6</v>
      </c>
    </row>
    <row r="3225" spans="1:4" x14ac:dyDescent="0.25">
      <c r="A3225" s="16">
        <v>10747</v>
      </c>
      <c r="B3225" s="1">
        <v>1</v>
      </c>
      <c r="C3225" s="1">
        <v>1</v>
      </c>
      <c r="D3225" s="1">
        <v>16.8</v>
      </c>
    </row>
    <row r="3226" spans="1:4" x14ac:dyDescent="0.25">
      <c r="A3226" s="16">
        <v>10748</v>
      </c>
      <c r="B3226" s="1">
        <v>1</v>
      </c>
      <c r="C3226" s="1">
        <v>1</v>
      </c>
      <c r="D3226" s="1">
        <v>14</v>
      </c>
    </row>
    <row r="3227" spans="1:4" x14ac:dyDescent="0.25">
      <c r="A3227" s="16">
        <v>10749</v>
      </c>
      <c r="B3227" s="1">
        <v>1</v>
      </c>
      <c r="C3227" s="1">
        <v>3</v>
      </c>
      <c r="D3227" s="1">
        <v>8.3999999999999986</v>
      </c>
    </row>
    <row r="3228" spans="1:4" x14ac:dyDescent="0.25">
      <c r="A3228" s="16">
        <v>10750</v>
      </c>
      <c r="B3228" s="1">
        <v>1</v>
      </c>
      <c r="C3228" s="1">
        <v>1</v>
      </c>
      <c r="D3228" s="1">
        <v>16.8</v>
      </c>
    </row>
    <row r="3229" spans="1:4" x14ac:dyDescent="0.25">
      <c r="A3229" s="16">
        <v>10751</v>
      </c>
      <c r="B3229" s="1">
        <v>1</v>
      </c>
      <c r="C3229" s="1">
        <v>1</v>
      </c>
      <c r="D3229" s="1">
        <v>36</v>
      </c>
    </row>
    <row r="3230" spans="1:4" x14ac:dyDescent="0.25">
      <c r="A3230" s="16">
        <v>10752</v>
      </c>
      <c r="B3230" s="1">
        <v>1</v>
      </c>
      <c r="C3230" s="1">
        <v>2</v>
      </c>
      <c r="D3230" s="1">
        <v>33.6</v>
      </c>
    </row>
    <row r="3231" spans="1:4" x14ac:dyDescent="0.25">
      <c r="A3231" s="16">
        <v>10753</v>
      </c>
      <c r="B3231" s="1">
        <v>1</v>
      </c>
      <c r="C3231" s="1">
        <v>1</v>
      </c>
      <c r="D3231" s="1">
        <v>8</v>
      </c>
    </row>
    <row r="3232" spans="1:4" x14ac:dyDescent="0.25">
      <c r="A3232" s="16">
        <v>10754</v>
      </c>
      <c r="B3232" s="1">
        <v>1</v>
      </c>
      <c r="C3232" s="1">
        <v>1</v>
      </c>
      <c r="D3232" s="1">
        <v>16.8</v>
      </c>
    </row>
    <row r="3233" spans="1:4" x14ac:dyDescent="0.25">
      <c r="A3233" s="16">
        <v>10755</v>
      </c>
      <c r="B3233" s="1">
        <v>1</v>
      </c>
      <c r="C3233" s="1">
        <v>1</v>
      </c>
      <c r="D3233" s="1">
        <v>7.6</v>
      </c>
    </row>
    <row r="3234" spans="1:4" x14ac:dyDescent="0.25">
      <c r="A3234" s="16">
        <v>10756</v>
      </c>
      <c r="B3234" s="1">
        <v>1</v>
      </c>
      <c r="C3234" s="1">
        <v>2</v>
      </c>
      <c r="D3234" s="1">
        <v>33.6</v>
      </c>
    </row>
    <row r="3235" spans="1:4" x14ac:dyDescent="0.25">
      <c r="A3235" s="16">
        <v>10757</v>
      </c>
      <c r="B3235" s="1">
        <v>1</v>
      </c>
      <c r="C3235" s="1">
        <v>1</v>
      </c>
      <c r="D3235" s="1">
        <v>14</v>
      </c>
    </row>
    <row r="3236" spans="1:4" x14ac:dyDescent="0.25">
      <c r="A3236" s="16">
        <v>10758</v>
      </c>
      <c r="B3236" s="1">
        <v>1</v>
      </c>
      <c r="C3236" s="1">
        <v>1</v>
      </c>
      <c r="D3236" s="1">
        <v>16.8</v>
      </c>
    </row>
    <row r="3237" spans="1:4" x14ac:dyDescent="0.25">
      <c r="A3237" s="16">
        <v>10759</v>
      </c>
      <c r="B3237" s="1">
        <v>1</v>
      </c>
      <c r="C3237" s="1">
        <v>1</v>
      </c>
      <c r="D3237" s="1">
        <v>6</v>
      </c>
    </row>
    <row r="3238" spans="1:4" x14ac:dyDescent="0.25">
      <c r="A3238" s="16">
        <v>10760</v>
      </c>
      <c r="B3238" s="1">
        <v>1</v>
      </c>
      <c r="C3238" s="1">
        <v>1</v>
      </c>
      <c r="D3238" s="1">
        <v>16.8</v>
      </c>
    </row>
    <row r="3239" spans="1:4" x14ac:dyDescent="0.25">
      <c r="A3239" s="16">
        <v>10761</v>
      </c>
      <c r="B3239" s="1">
        <v>1</v>
      </c>
      <c r="C3239" s="1">
        <v>2</v>
      </c>
      <c r="D3239" s="1">
        <v>4.8</v>
      </c>
    </row>
    <row r="3240" spans="1:4" x14ac:dyDescent="0.25">
      <c r="A3240" s="16">
        <v>10762</v>
      </c>
      <c r="B3240" s="1">
        <v>1</v>
      </c>
      <c r="C3240" s="1">
        <v>1</v>
      </c>
      <c r="D3240" s="1">
        <v>16.8</v>
      </c>
    </row>
    <row r="3241" spans="1:4" x14ac:dyDescent="0.25">
      <c r="A3241" s="16">
        <v>10763</v>
      </c>
      <c r="B3241" s="1">
        <v>1</v>
      </c>
      <c r="C3241" s="1">
        <v>1</v>
      </c>
      <c r="D3241" s="1">
        <v>36</v>
      </c>
    </row>
    <row r="3242" spans="1:4" x14ac:dyDescent="0.25">
      <c r="A3242" s="16">
        <v>10764</v>
      </c>
      <c r="B3242" s="1">
        <v>1</v>
      </c>
      <c r="C3242" s="1">
        <v>2</v>
      </c>
      <c r="D3242" s="1">
        <v>33.6</v>
      </c>
    </row>
    <row r="3243" spans="1:4" x14ac:dyDescent="0.25">
      <c r="A3243" s="16">
        <v>10765</v>
      </c>
      <c r="B3243" s="1">
        <v>1</v>
      </c>
      <c r="C3243" s="1">
        <v>3</v>
      </c>
      <c r="D3243" s="1">
        <v>8.3999999999999986</v>
      </c>
    </row>
    <row r="3244" spans="1:4" x14ac:dyDescent="0.25">
      <c r="A3244" s="16">
        <v>10766</v>
      </c>
      <c r="B3244" s="1">
        <v>1</v>
      </c>
      <c r="C3244" s="1">
        <v>1</v>
      </c>
      <c r="D3244" s="1">
        <v>14</v>
      </c>
    </row>
    <row r="3245" spans="1:4" x14ac:dyDescent="0.25">
      <c r="A3245" s="16">
        <v>10767</v>
      </c>
      <c r="B3245" s="1">
        <v>1</v>
      </c>
      <c r="C3245" s="1">
        <v>1</v>
      </c>
      <c r="D3245" s="1">
        <v>16.8</v>
      </c>
    </row>
    <row r="3246" spans="1:4" x14ac:dyDescent="0.25">
      <c r="A3246" s="16">
        <v>10768</v>
      </c>
      <c r="B3246" s="1">
        <v>1</v>
      </c>
      <c r="C3246" s="1">
        <v>1</v>
      </c>
      <c r="D3246" s="1">
        <v>7.6</v>
      </c>
    </row>
    <row r="3247" spans="1:4" x14ac:dyDescent="0.25">
      <c r="A3247" s="16">
        <v>10769</v>
      </c>
      <c r="B3247" s="1">
        <v>1</v>
      </c>
      <c r="C3247" s="1">
        <v>2</v>
      </c>
      <c r="D3247" s="1">
        <v>33.6</v>
      </c>
    </row>
    <row r="3248" spans="1:4" x14ac:dyDescent="0.25">
      <c r="A3248" s="16">
        <v>10770</v>
      </c>
      <c r="B3248" s="1">
        <v>1</v>
      </c>
      <c r="C3248" s="1">
        <v>1</v>
      </c>
      <c r="D3248" s="1">
        <v>6</v>
      </c>
    </row>
    <row r="3249" spans="1:4" x14ac:dyDescent="0.25">
      <c r="A3249" s="16">
        <v>10771</v>
      </c>
      <c r="B3249" s="1">
        <v>1</v>
      </c>
      <c r="C3249" s="1">
        <v>1</v>
      </c>
      <c r="D3249" s="1">
        <v>16.8</v>
      </c>
    </row>
    <row r="3250" spans="1:4" x14ac:dyDescent="0.25">
      <c r="A3250" s="16">
        <v>10772</v>
      </c>
      <c r="B3250" s="1">
        <v>1</v>
      </c>
      <c r="C3250" s="1">
        <v>2</v>
      </c>
      <c r="D3250" s="1">
        <v>4.8</v>
      </c>
    </row>
    <row r="3251" spans="1:4" x14ac:dyDescent="0.25">
      <c r="A3251" s="16">
        <v>10773</v>
      </c>
      <c r="B3251" s="1">
        <v>1</v>
      </c>
      <c r="C3251" s="1">
        <v>1</v>
      </c>
      <c r="D3251" s="1">
        <v>16.8</v>
      </c>
    </row>
    <row r="3252" spans="1:4" x14ac:dyDescent="0.25">
      <c r="A3252" s="16">
        <v>10774</v>
      </c>
      <c r="B3252" s="1">
        <v>1</v>
      </c>
      <c r="C3252" s="1">
        <v>1</v>
      </c>
      <c r="D3252" s="1">
        <v>8</v>
      </c>
    </row>
    <row r="3253" spans="1:4" x14ac:dyDescent="0.25">
      <c r="A3253" s="16">
        <v>10775</v>
      </c>
      <c r="B3253" s="1">
        <v>1</v>
      </c>
      <c r="C3253" s="1">
        <v>2</v>
      </c>
      <c r="D3253" s="1">
        <v>33.6</v>
      </c>
    </row>
    <row r="3254" spans="1:4" x14ac:dyDescent="0.25">
      <c r="A3254" s="16">
        <v>10776</v>
      </c>
      <c r="B3254" s="1">
        <v>1</v>
      </c>
      <c r="C3254" s="1">
        <v>1</v>
      </c>
      <c r="D3254" s="1">
        <v>7.6</v>
      </c>
    </row>
    <row r="3255" spans="1:4" x14ac:dyDescent="0.25">
      <c r="A3255" s="16">
        <v>10777</v>
      </c>
      <c r="B3255" s="1">
        <v>1</v>
      </c>
      <c r="C3255" s="1">
        <v>1</v>
      </c>
      <c r="D3255" s="1">
        <v>16.8</v>
      </c>
    </row>
    <row r="3256" spans="1:4" x14ac:dyDescent="0.25">
      <c r="A3256" s="16">
        <v>10778</v>
      </c>
      <c r="B3256" s="1">
        <v>1</v>
      </c>
      <c r="C3256" s="1">
        <v>1</v>
      </c>
      <c r="D3256" s="1">
        <v>14</v>
      </c>
    </row>
    <row r="3257" spans="1:4" x14ac:dyDescent="0.25">
      <c r="A3257" s="16">
        <v>10779</v>
      </c>
      <c r="B3257" s="1">
        <v>1</v>
      </c>
      <c r="C3257" s="1">
        <v>1</v>
      </c>
      <c r="D3257" s="1">
        <v>16.8</v>
      </c>
    </row>
    <row r="3258" spans="1:4" x14ac:dyDescent="0.25">
      <c r="A3258" s="16">
        <v>10780</v>
      </c>
      <c r="B3258" s="1">
        <v>1</v>
      </c>
      <c r="C3258" s="1">
        <v>2</v>
      </c>
      <c r="D3258" s="1">
        <v>5.6</v>
      </c>
    </row>
    <row r="3259" spans="1:4" x14ac:dyDescent="0.25">
      <c r="A3259" s="16">
        <v>10781</v>
      </c>
      <c r="B3259" s="1">
        <v>1</v>
      </c>
      <c r="C3259" s="1">
        <v>1</v>
      </c>
      <c r="D3259" s="1">
        <v>16.8</v>
      </c>
    </row>
    <row r="3260" spans="1:4" x14ac:dyDescent="0.25">
      <c r="A3260" s="16">
        <v>10782</v>
      </c>
      <c r="B3260" s="1">
        <v>1</v>
      </c>
      <c r="C3260" s="1">
        <v>1</v>
      </c>
      <c r="D3260" s="1">
        <v>6</v>
      </c>
    </row>
    <row r="3261" spans="1:4" x14ac:dyDescent="0.25">
      <c r="A3261" s="16">
        <v>10783</v>
      </c>
      <c r="B3261" s="1">
        <v>1</v>
      </c>
      <c r="C3261" s="1">
        <v>1</v>
      </c>
      <c r="D3261" s="1">
        <v>16.8</v>
      </c>
    </row>
    <row r="3262" spans="1:4" x14ac:dyDescent="0.25">
      <c r="A3262" s="16">
        <v>10784</v>
      </c>
      <c r="B3262" s="1">
        <v>1</v>
      </c>
      <c r="C3262" s="1">
        <v>1</v>
      </c>
      <c r="D3262" s="1">
        <v>14</v>
      </c>
    </row>
    <row r="3263" spans="1:4" x14ac:dyDescent="0.25">
      <c r="A3263" s="16">
        <v>10785</v>
      </c>
      <c r="B3263" s="1">
        <v>1</v>
      </c>
      <c r="C3263" s="1">
        <v>1</v>
      </c>
      <c r="D3263" s="1">
        <v>16.8</v>
      </c>
    </row>
    <row r="3264" spans="1:4" x14ac:dyDescent="0.25">
      <c r="A3264" s="16">
        <v>10786</v>
      </c>
      <c r="B3264" s="1">
        <v>1</v>
      </c>
      <c r="C3264" s="1">
        <v>1</v>
      </c>
      <c r="D3264" s="1">
        <v>36</v>
      </c>
    </row>
    <row r="3265" spans="1:4" x14ac:dyDescent="0.25">
      <c r="A3265" s="16">
        <v>10787</v>
      </c>
      <c r="B3265" s="1">
        <v>1</v>
      </c>
      <c r="C3265" s="1">
        <v>1</v>
      </c>
      <c r="D3265" s="1">
        <v>16.8</v>
      </c>
    </row>
    <row r="3266" spans="1:4" x14ac:dyDescent="0.25">
      <c r="A3266" s="16">
        <v>10788</v>
      </c>
      <c r="B3266" s="1">
        <v>1</v>
      </c>
      <c r="C3266" s="1">
        <v>1</v>
      </c>
      <c r="D3266" s="1">
        <v>7.6</v>
      </c>
    </row>
    <row r="3267" spans="1:4" x14ac:dyDescent="0.25">
      <c r="A3267" s="16">
        <v>10789</v>
      </c>
      <c r="B3267" s="1">
        <v>1</v>
      </c>
      <c r="C3267" s="1">
        <v>1</v>
      </c>
      <c r="D3267" s="1">
        <v>16.8</v>
      </c>
    </row>
    <row r="3268" spans="1:4" x14ac:dyDescent="0.25">
      <c r="A3268" s="16">
        <v>10790</v>
      </c>
      <c r="B3268" s="1">
        <v>1</v>
      </c>
      <c r="C3268" s="1">
        <v>1</v>
      </c>
      <c r="D3268" s="1">
        <v>6</v>
      </c>
    </row>
    <row r="3269" spans="1:4" x14ac:dyDescent="0.25">
      <c r="A3269" s="16">
        <v>10791</v>
      </c>
      <c r="B3269" s="1">
        <v>1</v>
      </c>
      <c r="C3269" s="1">
        <v>2</v>
      </c>
      <c r="D3269" s="1">
        <v>33.6</v>
      </c>
    </row>
    <row r="3270" spans="1:4" x14ac:dyDescent="0.25">
      <c r="A3270" s="16">
        <v>10792</v>
      </c>
      <c r="B3270" s="1">
        <v>1</v>
      </c>
      <c r="C3270" s="1">
        <v>2</v>
      </c>
      <c r="D3270" s="1">
        <v>4.8</v>
      </c>
    </row>
    <row r="3271" spans="1:4" x14ac:dyDescent="0.25">
      <c r="A3271" s="16">
        <v>10793</v>
      </c>
      <c r="B3271" s="1">
        <v>1</v>
      </c>
      <c r="C3271" s="1">
        <v>1</v>
      </c>
      <c r="D3271" s="1">
        <v>16.8</v>
      </c>
    </row>
    <row r="3272" spans="1:4" x14ac:dyDescent="0.25">
      <c r="A3272" s="16">
        <v>10794</v>
      </c>
      <c r="B3272" s="1">
        <v>1</v>
      </c>
      <c r="C3272" s="1">
        <v>1</v>
      </c>
      <c r="D3272" s="1">
        <v>8</v>
      </c>
    </row>
    <row r="3273" spans="1:4" x14ac:dyDescent="0.25">
      <c r="A3273" s="16">
        <v>10795</v>
      </c>
      <c r="B3273" s="1">
        <v>1</v>
      </c>
      <c r="C3273" s="1">
        <v>1</v>
      </c>
      <c r="D3273" s="1">
        <v>16.8</v>
      </c>
    </row>
    <row r="3274" spans="1:4" x14ac:dyDescent="0.25">
      <c r="A3274" s="16">
        <v>10796</v>
      </c>
      <c r="B3274" s="1">
        <v>1</v>
      </c>
      <c r="C3274" s="1">
        <v>1</v>
      </c>
      <c r="D3274" s="1">
        <v>8</v>
      </c>
    </row>
    <row r="3275" spans="1:4" x14ac:dyDescent="0.25">
      <c r="A3275" s="16">
        <v>10797</v>
      </c>
      <c r="B3275" s="1">
        <v>1</v>
      </c>
      <c r="C3275" s="1">
        <v>1</v>
      </c>
      <c r="D3275" s="1">
        <v>16.8</v>
      </c>
    </row>
    <row r="3276" spans="1:4" x14ac:dyDescent="0.25">
      <c r="A3276" s="16">
        <v>10798</v>
      </c>
      <c r="B3276" s="1">
        <v>1</v>
      </c>
      <c r="C3276" s="1">
        <v>1</v>
      </c>
      <c r="D3276" s="1">
        <v>14</v>
      </c>
    </row>
    <row r="3277" spans="1:4" x14ac:dyDescent="0.25">
      <c r="A3277" s="16">
        <v>10799</v>
      </c>
      <c r="B3277" s="1">
        <v>1</v>
      </c>
      <c r="C3277" s="1">
        <v>1</v>
      </c>
      <c r="D3277" s="1">
        <v>16.8</v>
      </c>
    </row>
    <row r="3278" spans="1:4" x14ac:dyDescent="0.25">
      <c r="A3278" s="16">
        <v>10800</v>
      </c>
      <c r="B3278" s="1">
        <v>1</v>
      </c>
      <c r="C3278" s="1">
        <v>1</v>
      </c>
      <c r="D3278" s="1">
        <v>7.6</v>
      </c>
    </row>
    <row r="3279" spans="1:4" x14ac:dyDescent="0.25">
      <c r="A3279" s="16">
        <v>10801</v>
      </c>
      <c r="B3279" s="1">
        <v>1</v>
      </c>
      <c r="C3279" s="1">
        <v>2</v>
      </c>
      <c r="D3279" s="1">
        <v>33.6</v>
      </c>
    </row>
    <row r="3280" spans="1:4" x14ac:dyDescent="0.25">
      <c r="A3280" s="16">
        <v>10802</v>
      </c>
      <c r="B3280" s="1">
        <v>1</v>
      </c>
      <c r="C3280" s="1">
        <v>1</v>
      </c>
      <c r="D3280" s="1">
        <v>36</v>
      </c>
    </row>
    <row r="3281" spans="1:4" x14ac:dyDescent="0.25">
      <c r="A3281" s="16">
        <v>10803</v>
      </c>
      <c r="B3281" s="1">
        <v>1</v>
      </c>
      <c r="C3281" s="1">
        <v>1</v>
      </c>
      <c r="D3281" s="1">
        <v>16.8</v>
      </c>
    </row>
    <row r="3282" spans="1:4" x14ac:dyDescent="0.25">
      <c r="A3282" s="16">
        <v>10804</v>
      </c>
      <c r="B3282" s="1">
        <v>1</v>
      </c>
      <c r="C3282" s="1">
        <v>1</v>
      </c>
      <c r="D3282" s="1">
        <v>6</v>
      </c>
    </row>
    <row r="3283" spans="1:4" x14ac:dyDescent="0.25">
      <c r="A3283" s="16">
        <v>10805</v>
      </c>
      <c r="B3283" s="1">
        <v>1</v>
      </c>
      <c r="C3283" s="1">
        <v>2</v>
      </c>
      <c r="D3283" s="1">
        <v>33.6</v>
      </c>
    </row>
    <row r="3284" spans="1:4" x14ac:dyDescent="0.25">
      <c r="A3284" s="16">
        <v>10806</v>
      </c>
      <c r="B3284" s="1">
        <v>1</v>
      </c>
      <c r="C3284" s="1">
        <v>1</v>
      </c>
      <c r="D3284" s="1">
        <v>7.6</v>
      </c>
    </row>
    <row r="3285" spans="1:4" x14ac:dyDescent="0.25">
      <c r="A3285" s="16">
        <v>10807</v>
      </c>
      <c r="B3285" s="1">
        <v>1</v>
      </c>
      <c r="C3285" s="1">
        <v>1</v>
      </c>
      <c r="D3285" s="1">
        <v>14</v>
      </c>
    </row>
    <row r="3286" spans="1:4" x14ac:dyDescent="0.25">
      <c r="A3286" s="16">
        <v>10808</v>
      </c>
      <c r="B3286" s="1">
        <v>1</v>
      </c>
      <c r="C3286" s="1">
        <v>1</v>
      </c>
      <c r="D3286" s="1">
        <v>16.8</v>
      </c>
    </row>
    <row r="3287" spans="1:4" x14ac:dyDescent="0.25">
      <c r="A3287" s="16">
        <v>10809</v>
      </c>
      <c r="B3287" s="1">
        <v>1</v>
      </c>
      <c r="C3287" s="1">
        <v>2</v>
      </c>
      <c r="D3287" s="1">
        <v>5.6</v>
      </c>
    </row>
    <row r="3288" spans="1:4" x14ac:dyDescent="0.25">
      <c r="A3288" s="16">
        <v>10810</v>
      </c>
      <c r="B3288" s="1">
        <v>1</v>
      </c>
      <c r="C3288" s="1">
        <v>1</v>
      </c>
      <c r="D3288" s="1">
        <v>6</v>
      </c>
    </row>
    <row r="3289" spans="1:4" x14ac:dyDescent="0.25">
      <c r="A3289" s="16">
        <v>10811</v>
      </c>
      <c r="B3289" s="1">
        <v>1</v>
      </c>
      <c r="C3289" s="1">
        <v>1</v>
      </c>
      <c r="D3289" s="1">
        <v>16.8</v>
      </c>
    </row>
    <row r="3290" spans="1:4" x14ac:dyDescent="0.25">
      <c r="A3290" s="16">
        <v>10812</v>
      </c>
      <c r="B3290" s="1">
        <v>1</v>
      </c>
      <c r="C3290" s="1">
        <v>1</v>
      </c>
      <c r="D3290" s="1">
        <v>8</v>
      </c>
    </row>
    <row r="3291" spans="1:4" x14ac:dyDescent="0.25">
      <c r="A3291" s="16">
        <v>10813</v>
      </c>
      <c r="B3291" s="1">
        <v>1</v>
      </c>
      <c r="C3291" s="1">
        <v>1</v>
      </c>
      <c r="D3291" s="1">
        <v>14</v>
      </c>
    </row>
    <row r="3292" spans="1:4" x14ac:dyDescent="0.25">
      <c r="A3292" s="16">
        <v>10814</v>
      </c>
      <c r="B3292" s="1">
        <v>1</v>
      </c>
      <c r="C3292" s="1">
        <v>2</v>
      </c>
      <c r="D3292" s="1">
        <v>33.6</v>
      </c>
    </row>
    <row r="3293" spans="1:4" x14ac:dyDescent="0.25">
      <c r="A3293" s="16">
        <v>10815</v>
      </c>
      <c r="B3293" s="1">
        <v>1</v>
      </c>
      <c r="C3293" s="1">
        <v>1</v>
      </c>
      <c r="D3293" s="1">
        <v>36</v>
      </c>
    </row>
    <row r="3294" spans="1:4" x14ac:dyDescent="0.25">
      <c r="A3294" s="16">
        <v>10816</v>
      </c>
      <c r="B3294" s="1">
        <v>1</v>
      </c>
      <c r="C3294" s="1">
        <v>1</v>
      </c>
      <c r="D3294" s="1">
        <v>16.8</v>
      </c>
    </row>
    <row r="3295" spans="1:4" x14ac:dyDescent="0.25">
      <c r="A3295" s="16">
        <v>10817</v>
      </c>
      <c r="B3295" s="1">
        <v>1</v>
      </c>
      <c r="C3295" s="1">
        <v>1</v>
      </c>
      <c r="D3295" s="1">
        <v>7.6</v>
      </c>
    </row>
    <row r="3296" spans="1:4" x14ac:dyDescent="0.25">
      <c r="A3296" s="16">
        <v>10818</v>
      </c>
      <c r="B3296" s="1">
        <v>1</v>
      </c>
      <c r="C3296" s="1">
        <v>2</v>
      </c>
      <c r="D3296" s="1">
        <v>33.6</v>
      </c>
    </row>
    <row r="3297" spans="1:4" x14ac:dyDescent="0.25">
      <c r="A3297" s="16">
        <v>10819</v>
      </c>
      <c r="B3297" s="1">
        <v>1</v>
      </c>
      <c r="C3297" s="1">
        <v>2</v>
      </c>
      <c r="D3297" s="1">
        <v>4.8</v>
      </c>
    </row>
    <row r="3298" spans="1:4" x14ac:dyDescent="0.25">
      <c r="A3298" s="16">
        <v>10820</v>
      </c>
      <c r="B3298" s="1">
        <v>1</v>
      </c>
      <c r="C3298" s="1">
        <v>1</v>
      </c>
      <c r="D3298" s="1">
        <v>16.8</v>
      </c>
    </row>
    <row r="3299" spans="1:4" x14ac:dyDescent="0.25">
      <c r="A3299" s="16">
        <v>10821</v>
      </c>
      <c r="B3299" s="1">
        <v>1</v>
      </c>
      <c r="C3299" s="1">
        <v>1</v>
      </c>
      <c r="D3299" s="1">
        <v>6</v>
      </c>
    </row>
    <row r="3300" spans="1:4" x14ac:dyDescent="0.25">
      <c r="A3300" s="16">
        <v>10822</v>
      </c>
      <c r="B3300" s="1">
        <v>1</v>
      </c>
      <c r="C3300" s="1">
        <v>1</v>
      </c>
      <c r="D3300" s="1">
        <v>16.8</v>
      </c>
    </row>
    <row r="3301" spans="1:4" x14ac:dyDescent="0.25">
      <c r="A3301" s="16">
        <v>10823</v>
      </c>
      <c r="B3301" s="1">
        <v>1</v>
      </c>
      <c r="C3301" s="1">
        <v>1</v>
      </c>
      <c r="D3301" s="1">
        <v>14</v>
      </c>
    </row>
    <row r="3302" spans="1:4" x14ac:dyDescent="0.25">
      <c r="A3302" s="16">
        <v>10824</v>
      </c>
      <c r="B3302" s="1">
        <v>1</v>
      </c>
      <c r="C3302" s="1">
        <v>3</v>
      </c>
      <c r="D3302" s="1">
        <v>8.3999999999999986</v>
      </c>
    </row>
    <row r="3303" spans="1:4" x14ac:dyDescent="0.25">
      <c r="A3303" s="16">
        <v>10825</v>
      </c>
      <c r="B3303" s="1">
        <v>1</v>
      </c>
      <c r="C3303" s="1">
        <v>1</v>
      </c>
      <c r="D3303" s="1">
        <v>16.8</v>
      </c>
    </row>
    <row r="3304" spans="1:4" x14ac:dyDescent="0.25">
      <c r="A3304" s="16">
        <v>10826</v>
      </c>
      <c r="B3304" s="1">
        <v>1</v>
      </c>
      <c r="C3304" s="1">
        <v>1</v>
      </c>
      <c r="D3304" s="1">
        <v>36</v>
      </c>
    </row>
    <row r="3305" spans="1:4" x14ac:dyDescent="0.25">
      <c r="A3305" s="16">
        <v>10827</v>
      </c>
      <c r="B3305" s="1">
        <v>1</v>
      </c>
      <c r="C3305" s="1">
        <v>2</v>
      </c>
      <c r="D3305" s="1">
        <v>33.6</v>
      </c>
    </row>
    <row r="3306" spans="1:4" x14ac:dyDescent="0.25">
      <c r="A3306" s="16">
        <v>10828</v>
      </c>
      <c r="B3306" s="1">
        <v>1</v>
      </c>
      <c r="C3306" s="1">
        <v>1</v>
      </c>
      <c r="D3306" s="1">
        <v>8</v>
      </c>
    </row>
    <row r="3307" spans="1:4" x14ac:dyDescent="0.25">
      <c r="A3307" s="16">
        <v>10829</v>
      </c>
      <c r="B3307" s="1">
        <v>1</v>
      </c>
      <c r="C3307" s="1">
        <v>1</v>
      </c>
      <c r="D3307" s="1">
        <v>16.8</v>
      </c>
    </row>
    <row r="3308" spans="1:4" x14ac:dyDescent="0.25">
      <c r="A3308" s="16">
        <v>10830</v>
      </c>
      <c r="B3308" s="1">
        <v>1</v>
      </c>
      <c r="C3308" s="1">
        <v>1</v>
      </c>
      <c r="D3308" s="1">
        <v>7.6</v>
      </c>
    </row>
    <row r="3309" spans="1:4" x14ac:dyDescent="0.25">
      <c r="A3309" s="16">
        <v>10831</v>
      </c>
      <c r="B3309" s="1">
        <v>1</v>
      </c>
      <c r="C3309" s="1">
        <v>2</v>
      </c>
      <c r="D3309" s="1">
        <v>33.6</v>
      </c>
    </row>
    <row r="3310" spans="1:4" x14ac:dyDescent="0.25">
      <c r="A3310" s="16">
        <v>10832</v>
      </c>
      <c r="B3310" s="1">
        <v>1</v>
      </c>
      <c r="C3310" s="1">
        <v>1</v>
      </c>
      <c r="D3310" s="1">
        <v>14</v>
      </c>
    </row>
    <row r="3311" spans="1:4" x14ac:dyDescent="0.25">
      <c r="A3311" s="16">
        <v>10833</v>
      </c>
      <c r="B3311" s="1">
        <v>1</v>
      </c>
      <c r="C3311" s="1">
        <v>1</v>
      </c>
      <c r="D3311" s="1">
        <v>16.8</v>
      </c>
    </row>
    <row r="3312" spans="1:4" x14ac:dyDescent="0.25">
      <c r="A3312" s="16">
        <v>10834</v>
      </c>
      <c r="B3312" s="1">
        <v>1</v>
      </c>
      <c r="C3312" s="1">
        <v>1</v>
      </c>
      <c r="D3312" s="1">
        <v>6</v>
      </c>
    </row>
    <row r="3313" spans="1:4" x14ac:dyDescent="0.25">
      <c r="A3313" s="16">
        <v>10835</v>
      </c>
      <c r="B3313" s="1">
        <v>1</v>
      </c>
      <c r="C3313" s="1">
        <v>1</v>
      </c>
      <c r="D3313" s="1">
        <v>16.8</v>
      </c>
    </row>
    <row r="3314" spans="1:4" x14ac:dyDescent="0.25">
      <c r="A3314" s="16">
        <v>10836</v>
      </c>
      <c r="B3314" s="1">
        <v>1</v>
      </c>
      <c r="C3314" s="1">
        <v>2</v>
      </c>
      <c r="D3314" s="1">
        <v>4.8</v>
      </c>
    </row>
    <row r="3315" spans="1:4" x14ac:dyDescent="0.25">
      <c r="A3315" s="16">
        <v>10837</v>
      </c>
      <c r="B3315" s="1">
        <v>1</v>
      </c>
      <c r="C3315" s="1">
        <v>1</v>
      </c>
      <c r="D3315" s="1">
        <v>16.8</v>
      </c>
    </row>
    <row r="3316" spans="1:4" x14ac:dyDescent="0.25">
      <c r="A3316" s="16">
        <v>10838</v>
      </c>
      <c r="B3316" s="1">
        <v>1</v>
      </c>
      <c r="C3316" s="1">
        <v>1</v>
      </c>
      <c r="D3316" s="1">
        <v>36</v>
      </c>
    </row>
    <row r="3317" spans="1:4" x14ac:dyDescent="0.25">
      <c r="A3317" s="16">
        <v>10839</v>
      </c>
      <c r="B3317" s="1">
        <v>1</v>
      </c>
      <c r="C3317" s="1">
        <v>2</v>
      </c>
      <c r="D3317" s="1">
        <v>33.6</v>
      </c>
    </row>
    <row r="3318" spans="1:4" x14ac:dyDescent="0.25">
      <c r="A3318" s="16">
        <v>10840</v>
      </c>
      <c r="B3318" s="1">
        <v>1</v>
      </c>
      <c r="C3318" s="1">
        <v>3</v>
      </c>
      <c r="D3318" s="1">
        <v>8.3999999999999986</v>
      </c>
    </row>
    <row r="3319" spans="1:4" x14ac:dyDescent="0.25">
      <c r="A3319" s="16">
        <v>10841</v>
      </c>
      <c r="B3319" s="1">
        <v>1</v>
      </c>
      <c r="C3319" s="1">
        <v>1</v>
      </c>
      <c r="D3319" s="1">
        <v>14</v>
      </c>
    </row>
    <row r="3320" spans="1:4" x14ac:dyDescent="0.25">
      <c r="A3320" s="16">
        <v>10842</v>
      </c>
      <c r="B3320" s="1">
        <v>1</v>
      </c>
      <c r="C3320" s="1">
        <v>1</v>
      </c>
      <c r="D3320" s="1">
        <v>16.8</v>
      </c>
    </row>
    <row r="3321" spans="1:4" x14ac:dyDescent="0.25">
      <c r="A3321" s="16">
        <v>10843</v>
      </c>
      <c r="B3321" s="1">
        <v>1</v>
      </c>
      <c r="C3321" s="1">
        <v>1</v>
      </c>
      <c r="D3321" s="1">
        <v>7.6</v>
      </c>
    </row>
    <row r="3322" spans="1:4" x14ac:dyDescent="0.25">
      <c r="A3322" s="16">
        <v>10844</v>
      </c>
      <c r="B3322" s="1">
        <v>1</v>
      </c>
      <c r="C3322" s="1">
        <v>2</v>
      </c>
      <c r="D3322" s="1">
        <v>33.6</v>
      </c>
    </row>
    <row r="3323" spans="1:4" x14ac:dyDescent="0.25">
      <c r="A3323" s="16">
        <v>10845</v>
      </c>
      <c r="B3323" s="1">
        <v>1</v>
      </c>
      <c r="C3323" s="1">
        <v>1</v>
      </c>
      <c r="D3323" s="1">
        <v>6</v>
      </c>
    </row>
    <row r="3324" spans="1:4" x14ac:dyDescent="0.25">
      <c r="A3324" s="16">
        <v>10846</v>
      </c>
      <c r="B3324" s="1">
        <v>1</v>
      </c>
      <c r="C3324" s="1">
        <v>1</v>
      </c>
      <c r="D3324" s="1">
        <v>16.8</v>
      </c>
    </row>
    <row r="3325" spans="1:4" x14ac:dyDescent="0.25">
      <c r="A3325" s="16">
        <v>10847</v>
      </c>
      <c r="B3325" s="1">
        <v>1</v>
      </c>
      <c r="C3325" s="1">
        <v>1</v>
      </c>
      <c r="D3325" s="1">
        <v>14</v>
      </c>
    </row>
    <row r="3326" spans="1:4" x14ac:dyDescent="0.25">
      <c r="A3326" s="16">
        <v>10848</v>
      </c>
      <c r="B3326" s="1">
        <v>1</v>
      </c>
      <c r="C3326" s="1">
        <v>2</v>
      </c>
      <c r="D3326" s="1">
        <v>4.8</v>
      </c>
    </row>
    <row r="3327" spans="1:4" x14ac:dyDescent="0.25">
      <c r="A3327" s="16">
        <v>10849</v>
      </c>
      <c r="B3327" s="1">
        <v>1</v>
      </c>
      <c r="C3327" s="1">
        <v>1</v>
      </c>
      <c r="D3327" s="1">
        <v>16.8</v>
      </c>
    </row>
    <row r="3328" spans="1:4" x14ac:dyDescent="0.25">
      <c r="A3328" s="16">
        <v>10850</v>
      </c>
      <c r="B3328" s="1">
        <v>1</v>
      </c>
      <c r="C3328" s="1">
        <v>1</v>
      </c>
      <c r="D3328" s="1">
        <v>8</v>
      </c>
    </row>
    <row r="3329" spans="1:4" x14ac:dyDescent="0.25">
      <c r="A3329" s="16">
        <v>10851</v>
      </c>
      <c r="B3329" s="1">
        <v>1</v>
      </c>
      <c r="C3329" s="1">
        <v>2</v>
      </c>
      <c r="D3329" s="1">
        <v>33.6</v>
      </c>
    </row>
    <row r="3330" spans="1:4" x14ac:dyDescent="0.25">
      <c r="A3330" s="16">
        <v>10852</v>
      </c>
      <c r="B3330" s="1">
        <v>1</v>
      </c>
      <c r="C3330" s="1">
        <v>1</v>
      </c>
      <c r="D3330" s="1">
        <v>7.6</v>
      </c>
    </row>
    <row r="3331" spans="1:4" x14ac:dyDescent="0.25">
      <c r="A3331" s="16">
        <v>10853</v>
      </c>
      <c r="B3331" s="1">
        <v>1</v>
      </c>
      <c r="C3331" s="1">
        <v>1</v>
      </c>
      <c r="D3331" s="1">
        <v>16.8</v>
      </c>
    </row>
    <row r="3332" spans="1:4" x14ac:dyDescent="0.25">
      <c r="A3332" s="16">
        <v>10854</v>
      </c>
      <c r="B3332" s="1">
        <v>1</v>
      </c>
      <c r="C3332" s="1">
        <v>1</v>
      </c>
      <c r="D3332" s="1">
        <v>14</v>
      </c>
    </row>
    <row r="3333" spans="1:4" x14ac:dyDescent="0.25">
      <c r="A3333" s="16">
        <v>10855</v>
      </c>
      <c r="B3333" s="1">
        <v>1</v>
      </c>
      <c r="C3333" s="1">
        <v>1</v>
      </c>
      <c r="D3333" s="1">
        <v>16.8</v>
      </c>
    </row>
    <row r="3334" spans="1:4" x14ac:dyDescent="0.25">
      <c r="A3334" s="16">
        <v>10856</v>
      </c>
      <c r="B3334" s="1">
        <v>1</v>
      </c>
      <c r="C3334" s="1">
        <v>2</v>
      </c>
      <c r="D3334" s="1">
        <v>5.6</v>
      </c>
    </row>
    <row r="3335" spans="1:4" x14ac:dyDescent="0.25">
      <c r="A3335" s="16">
        <v>10857</v>
      </c>
      <c r="B3335" s="1">
        <v>1</v>
      </c>
      <c r="C3335" s="1">
        <v>1</v>
      </c>
      <c r="D3335" s="1">
        <v>16.8</v>
      </c>
    </row>
    <row r="3336" spans="1:4" x14ac:dyDescent="0.25">
      <c r="A3336" s="16">
        <v>10858</v>
      </c>
      <c r="B3336" s="1">
        <v>1</v>
      </c>
      <c r="C3336" s="1">
        <v>1</v>
      </c>
      <c r="D3336" s="1">
        <v>6</v>
      </c>
    </row>
    <row r="3337" spans="1:4" x14ac:dyDescent="0.25">
      <c r="A3337" s="16">
        <v>10859</v>
      </c>
      <c r="B3337" s="1">
        <v>1</v>
      </c>
      <c r="C3337" s="1">
        <v>1</v>
      </c>
      <c r="D3337" s="1">
        <v>16.8</v>
      </c>
    </row>
    <row r="3338" spans="1:4" x14ac:dyDescent="0.25">
      <c r="A3338" s="16">
        <v>10860</v>
      </c>
      <c r="B3338" s="1">
        <v>1</v>
      </c>
      <c r="C3338" s="1">
        <v>1</v>
      </c>
      <c r="D3338" s="1">
        <v>14</v>
      </c>
    </row>
    <row r="3339" spans="1:4" x14ac:dyDescent="0.25">
      <c r="A3339" s="16">
        <v>10861</v>
      </c>
      <c r="B3339" s="1">
        <v>1</v>
      </c>
      <c r="C3339" s="1">
        <v>1</v>
      </c>
      <c r="D3339" s="1">
        <v>36</v>
      </c>
    </row>
    <row r="3340" spans="1:4" x14ac:dyDescent="0.25">
      <c r="A3340" s="16">
        <v>10862</v>
      </c>
      <c r="B3340" s="1">
        <v>1</v>
      </c>
      <c r="C3340" s="1">
        <v>2</v>
      </c>
      <c r="D3340" s="1">
        <v>33.6</v>
      </c>
    </row>
    <row r="3341" spans="1:4" x14ac:dyDescent="0.25">
      <c r="A3341" s="16">
        <v>10863</v>
      </c>
      <c r="B3341" s="1">
        <v>1</v>
      </c>
      <c r="C3341" s="1">
        <v>1</v>
      </c>
      <c r="D3341" s="1">
        <v>8</v>
      </c>
    </row>
    <row r="3342" spans="1:4" x14ac:dyDescent="0.25">
      <c r="A3342" s="16">
        <v>10864</v>
      </c>
      <c r="B3342" s="1">
        <v>1</v>
      </c>
      <c r="C3342" s="1">
        <v>1</v>
      </c>
      <c r="D3342" s="1">
        <v>16.8</v>
      </c>
    </row>
    <row r="3343" spans="1:4" x14ac:dyDescent="0.25">
      <c r="A3343" s="16">
        <v>10865</v>
      </c>
      <c r="B3343" s="1">
        <v>1</v>
      </c>
      <c r="C3343" s="1">
        <v>2</v>
      </c>
      <c r="D3343" s="1">
        <v>4.8</v>
      </c>
    </row>
    <row r="3344" spans="1:4" x14ac:dyDescent="0.25">
      <c r="A3344" s="16">
        <v>10866</v>
      </c>
      <c r="B3344" s="1">
        <v>1</v>
      </c>
      <c r="C3344" s="1">
        <v>1</v>
      </c>
      <c r="D3344" s="1">
        <v>16.8</v>
      </c>
    </row>
    <row r="3345" spans="1:4" x14ac:dyDescent="0.25">
      <c r="A3345" s="16">
        <v>10867</v>
      </c>
      <c r="B3345" s="1">
        <v>1</v>
      </c>
      <c r="C3345" s="1">
        <v>1</v>
      </c>
      <c r="D3345" s="1">
        <v>6</v>
      </c>
    </row>
    <row r="3346" spans="1:4" x14ac:dyDescent="0.25">
      <c r="A3346" s="16">
        <v>10868</v>
      </c>
      <c r="B3346" s="1">
        <v>1</v>
      </c>
      <c r="C3346" s="1">
        <v>2</v>
      </c>
      <c r="D3346" s="1">
        <v>33.6</v>
      </c>
    </row>
    <row r="3347" spans="1:4" x14ac:dyDescent="0.25">
      <c r="A3347" s="16">
        <v>10869</v>
      </c>
      <c r="B3347" s="1">
        <v>1</v>
      </c>
      <c r="C3347" s="1">
        <v>1</v>
      </c>
      <c r="D3347" s="1">
        <v>7.6</v>
      </c>
    </row>
    <row r="3348" spans="1:4" x14ac:dyDescent="0.25">
      <c r="A3348" s="16">
        <v>10870</v>
      </c>
      <c r="B3348" s="1">
        <v>1</v>
      </c>
      <c r="C3348" s="1">
        <v>1</v>
      </c>
      <c r="D3348" s="1">
        <v>16.8</v>
      </c>
    </row>
    <row r="3349" spans="1:4" x14ac:dyDescent="0.25">
      <c r="A3349" s="16">
        <v>10871</v>
      </c>
      <c r="B3349" s="1">
        <v>1</v>
      </c>
      <c r="C3349" s="1">
        <v>1</v>
      </c>
      <c r="D3349" s="1">
        <v>14</v>
      </c>
    </row>
    <row r="3350" spans="1:4" x14ac:dyDescent="0.25">
      <c r="A3350" s="16">
        <v>10872</v>
      </c>
      <c r="B3350" s="1">
        <v>1</v>
      </c>
      <c r="C3350" s="1">
        <v>1</v>
      </c>
      <c r="D3350" s="1">
        <v>36</v>
      </c>
    </row>
    <row r="3351" spans="1:4" x14ac:dyDescent="0.25">
      <c r="A3351" s="16">
        <v>10873</v>
      </c>
      <c r="B3351" s="1">
        <v>1</v>
      </c>
      <c r="C3351" s="1">
        <v>1</v>
      </c>
      <c r="D3351" s="1">
        <v>16.8</v>
      </c>
    </row>
    <row r="3352" spans="1:4" x14ac:dyDescent="0.25">
      <c r="A3352" s="16">
        <v>10874</v>
      </c>
      <c r="B3352" s="1">
        <v>1</v>
      </c>
      <c r="C3352" s="1">
        <v>1</v>
      </c>
      <c r="D3352" s="1">
        <v>6</v>
      </c>
    </row>
    <row r="3353" spans="1:4" x14ac:dyDescent="0.25">
      <c r="A3353" s="16">
        <v>10875</v>
      </c>
      <c r="B3353" s="1">
        <v>1</v>
      </c>
      <c r="C3353" s="1">
        <v>2</v>
      </c>
      <c r="D3353" s="1">
        <v>33.6</v>
      </c>
    </row>
    <row r="3354" spans="1:4" x14ac:dyDescent="0.25">
      <c r="A3354" s="16">
        <v>10876</v>
      </c>
      <c r="B3354" s="1">
        <v>1</v>
      </c>
      <c r="C3354" s="1">
        <v>1</v>
      </c>
      <c r="D3354" s="1">
        <v>7.6</v>
      </c>
    </row>
    <row r="3355" spans="1:4" x14ac:dyDescent="0.25">
      <c r="A3355" s="16">
        <v>10877</v>
      </c>
      <c r="B3355" s="1">
        <v>1</v>
      </c>
      <c r="C3355" s="1">
        <v>1</v>
      </c>
      <c r="D3355" s="1">
        <v>16.8</v>
      </c>
    </row>
    <row r="3356" spans="1:4" x14ac:dyDescent="0.25">
      <c r="A3356" s="16">
        <v>10878</v>
      </c>
      <c r="B3356" s="1">
        <v>1</v>
      </c>
      <c r="C3356" s="1">
        <v>2</v>
      </c>
      <c r="D3356" s="1">
        <v>4.8</v>
      </c>
    </row>
    <row r="3357" spans="1:4" x14ac:dyDescent="0.25">
      <c r="A3357" s="16">
        <v>10879</v>
      </c>
      <c r="B3357" s="1">
        <v>1</v>
      </c>
      <c r="C3357" s="1">
        <v>1</v>
      </c>
      <c r="D3357" s="1">
        <v>16.8</v>
      </c>
    </row>
    <row r="3358" spans="1:4" x14ac:dyDescent="0.25">
      <c r="A3358" s="16">
        <v>10880</v>
      </c>
      <c r="B3358" s="1">
        <v>1</v>
      </c>
      <c r="C3358" s="1">
        <v>3</v>
      </c>
      <c r="D3358" s="1">
        <v>8.3999999999999986</v>
      </c>
    </row>
    <row r="3359" spans="1:4" x14ac:dyDescent="0.25">
      <c r="A3359" s="16">
        <v>10881</v>
      </c>
      <c r="B3359" s="1">
        <v>1</v>
      </c>
      <c r="C3359" s="1">
        <v>1</v>
      </c>
      <c r="D3359" s="1">
        <v>16.8</v>
      </c>
    </row>
    <row r="3360" spans="1:4" x14ac:dyDescent="0.25">
      <c r="A3360" s="16">
        <v>10882</v>
      </c>
      <c r="B3360" s="1">
        <v>1</v>
      </c>
      <c r="C3360" s="1">
        <v>1</v>
      </c>
      <c r="D3360" s="1">
        <v>6</v>
      </c>
    </row>
    <row r="3361" spans="1:4" x14ac:dyDescent="0.25">
      <c r="A3361" s="16">
        <v>10883</v>
      </c>
      <c r="B3361" s="1">
        <v>1</v>
      </c>
      <c r="C3361" s="1">
        <v>1</v>
      </c>
      <c r="D3361" s="1">
        <v>16.8</v>
      </c>
    </row>
    <row r="3362" spans="1:4" x14ac:dyDescent="0.25">
      <c r="A3362" s="16">
        <v>10884</v>
      </c>
      <c r="B3362" s="1">
        <v>1</v>
      </c>
      <c r="C3362" s="1">
        <v>1</v>
      </c>
      <c r="D3362" s="1">
        <v>14</v>
      </c>
    </row>
    <row r="3363" spans="1:4" x14ac:dyDescent="0.25">
      <c r="A3363" s="16">
        <v>10885</v>
      </c>
      <c r="B3363" s="1">
        <v>1</v>
      </c>
      <c r="C3363" s="1">
        <v>1</v>
      </c>
      <c r="D3363" s="1">
        <v>36</v>
      </c>
    </row>
    <row r="3364" spans="1:4" x14ac:dyDescent="0.25">
      <c r="A3364" s="16">
        <v>10886</v>
      </c>
      <c r="B3364" s="1">
        <v>1</v>
      </c>
      <c r="C3364" s="1">
        <v>2</v>
      </c>
      <c r="D3364" s="1">
        <v>33.6</v>
      </c>
    </row>
    <row r="3365" spans="1:4" x14ac:dyDescent="0.25">
      <c r="A3365" s="16">
        <v>10887</v>
      </c>
      <c r="B3365" s="1">
        <v>1</v>
      </c>
      <c r="C3365" s="1">
        <v>1</v>
      </c>
      <c r="D3365" s="1">
        <v>8</v>
      </c>
    </row>
    <row r="3366" spans="1:4" x14ac:dyDescent="0.25">
      <c r="A3366" s="16">
        <v>10888</v>
      </c>
      <c r="B3366" s="1">
        <v>1</v>
      </c>
      <c r="C3366" s="1">
        <v>1</v>
      </c>
      <c r="D3366" s="1">
        <v>16.8</v>
      </c>
    </row>
    <row r="3367" spans="1:4" x14ac:dyDescent="0.25">
      <c r="A3367" s="16">
        <v>10889</v>
      </c>
      <c r="B3367" s="1">
        <v>1</v>
      </c>
      <c r="C3367" s="1">
        <v>1</v>
      </c>
      <c r="D3367" s="1">
        <v>7.6</v>
      </c>
    </row>
    <row r="3368" spans="1:4" x14ac:dyDescent="0.25">
      <c r="A3368" s="16">
        <v>10890</v>
      </c>
      <c r="B3368" s="1">
        <v>1</v>
      </c>
      <c r="C3368" s="1">
        <v>2</v>
      </c>
      <c r="D3368" s="1">
        <v>33.6</v>
      </c>
    </row>
    <row r="3369" spans="1:4" x14ac:dyDescent="0.25">
      <c r="A3369" s="16">
        <v>10891</v>
      </c>
      <c r="B3369" s="1">
        <v>1</v>
      </c>
      <c r="C3369" s="1">
        <v>1</v>
      </c>
      <c r="D3369" s="1">
        <v>6</v>
      </c>
    </row>
    <row r="3370" spans="1:4" x14ac:dyDescent="0.25">
      <c r="A3370" s="16">
        <v>10892</v>
      </c>
      <c r="B3370" s="1">
        <v>1</v>
      </c>
      <c r="C3370" s="1">
        <v>1</v>
      </c>
      <c r="D3370" s="1">
        <v>16.8</v>
      </c>
    </row>
    <row r="3371" spans="1:4" x14ac:dyDescent="0.25">
      <c r="A3371" s="16">
        <v>10893</v>
      </c>
      <c r="B3371" s="1">
        <v>1</v>
      </c>
      <c r="C3371" s="1">
        <v>1</v>
      </c>
      <c r="D3371" s="1">
        <v>14</v>
      </c>
    </row>
    <row r="3372" spans="1:4" x14ac:dyDescent="0.25">
      <c r="A3372" s="16">
        <v>10894</v>
      </c>
      <c r="B3372" s="1">
        <v>1</v>
      </c>
      <c r="C3372" s="1">
        <v>1</v>
      </c>
      <c r="D3372" s="1">
        <v>36</v>
      </c>
    </row>
    <row r="3373" spans="1:4" x14ac:dyDescent="0.25">
      <c r="A3373" s="16">
        <v>10895</v>
      </c>
      <c r="B3373" s="1">
        <v>1</v>
      </c>
      <c r="C3373" s="1">
        <v>1</v>
      </c>
      <c r="D3373" s="1">
        <v>16.8</v>
      </c>
    </row>
    <row r="3374" spans="1:4" x14ac:dyDescent="0.25">
      <c r="A3374" s="16">
        <v>10896</v>
      </c>
      <c r="B3374" s="1">
        <v>1</v>
      </c>
      <c r="C3374" s="1">
        <v>2</v>
      </c>
      <c r="D3374" s="1">
        <v>5.6</v>
      </c>
    </row>
    <row r="3375" spans="1:4" x14ac:dyDescent="0.25">
      <c r="A3375" s="16">
        <v>10897</v>
      </c>
      <c r="B3375" s="1">
        <v>1</v>
      </c>
      <c r="C3375" s="1">
        <v>2</v>
      </c>
      <c r="D3375" s="1">
        <v>33.6</v>
      </c>
    </row>
    <row r="3376" spans="1:4" x14ac:dyDescent="0.25">
      <c r="A3376" s="16">
        <v>10898</v>
      </c>
      <c r="B3376" s="1">
        <v>1</v>
      </c>
      <c r="C3376" s="1">
        <v>1</v>
      </c>
      <c r="D3376" s="1">
        <v>7.6</v>
      </c>
    </row>
    <row r="3377" spans="1:4" x14ac:dyDescent="0.25">
      <c r="A3377" s="16">
        <v>10899</v>
      </c>
      <c r="B3377" s="1">
        <v>1</v>
      </c>
      <c r="C3377" s="1">
        <v>1</v>
      </c>
      <c r="D3377" s="1">
        <v>16.8</v>
      </c>
    </row>
    <row r="3378" spans="1:4" x14ac:dyDescent="0.25">
      <c r="A3378" s="16">
        <v>10900</v>
      </c>
      <c r="B3378" s="1">
        <v>1</v>
      </c>
      <c r="C3378" s="1">
        <v>2</v>
      </c>
      <c r="D3378" s="1">
        <v>4.8</v>
      </c>
    </row>
    <row r="3379" spans="1:4" x14ac:dyDescent="0.25">
      <c r="A3379" s="16">
        <v>10901</v>
      </c>
      <c r="B3379" s="1">
        <v>1</v>
      </c>
      <c r="C3379" s="1">
        <v>1</v>
      </c>
      <c r="D3379" s="1">
        <v>16.8</v>
      </c>
    </row>
    <row r="3380" spans="1:4" x14ac:dyDescent="0.25">
      <c r="A3380" s="16">
        <v>10902</v>
      </c>
      <c r="B3380" s="1">
        <v>1</v>
      </c>
      <c r="C3380" s="1">
        <v>1</v>
      </c>
      <c r="D3380" s="1">
        <v>6</v>
      </c>
    </row>
    <row r="3381" spans="1:4" x14ac:dyDescent="0.25">
      <c r="A3381" s="16">
        <v>10903</v>
      </c>
      <c r="B3381" s="1">
        <v>1</v>
      </c>
      <c r="C3381" s="1">
        <v>1</v>
      </c>
      <c r="D3381" s="1">
        <v>16.8</v>
      </c>
    </row>
    <row r="3382" spans="1:4" x14ac:dyDescent="0.25">
      <c r="A3382" s="16">
        <v>10904</v>
      </c>
      <c r="B3382" s="1">
        <v>1</v>
      </c>
      <c r="C3382" s="1">
        <v>1</v>
      </c>
      <c r="D3382" s="1">
        <v>14</v>
      </c>
    </row>
    <row r="3383" spans="1:4" x14ac:dyDescent="0.25">
      <c r="A3383" s="16">
        <v>10905</v>
      </c>
      <c r="B3383" s="1">
        <v>1</v>
      </c>
      <c r="C3383" s="1">
        <v>2</v>
      </c>
      <c r="D3383" s="1">
        <v>33.6</v>
      </c>
    </row>
    <row r="3384" spans="1:4" x14ac:dyDescent="0.25">
      <c r="A3384" s="16">
        <v>10906</v>
      </c>
      <c r="B3384" s="1">
        <v>1</v>
      </c>
      <c r="C3384" s="1">
        <v>1</v>
      </c>
      <c r="D3384" s="1">
        <v>36</v>
      </c>
    </row>
    <row r="3385" spans="1:4" x14ac:dyDescent="0.25">
      <c r="A3385" s="16">
        <v>10907</v>
      </c>
      <c r="B3385" s="1">
        <v>1</v>
      </c>
      <c r="C3385" s="1">
        <v>1</v>
      </c>
      <c r="D3385" s="1">
        <v>16.8</v>
      </c>
    </row>
    <row r="3386" spans="1:4" x14ac:dyDescent="0.25">
      <c r="A3386" s="16">
        <v>10908</v>
      </c>
      <c r="B3386" s="1">
        <v>1</v>
      </c>
      <c r="C3386" s="1">
        <v>1</v>
      </c>
      <c r="D3386" s="1">
        <v>8</v>
      </c>
    </row>
    <row r="3387" spans="1:4" x14ac:dyDescent="0.25">
      <c r="A3387" s="16">
        <v>10909</v>
      </c>
      <c r="B3387" s="1">
        <v>1</v>
      </c>
      <c r="C3387" s="1">
        <v>1</v>
      </c>
      <c r="D3387" s="1">
        <v>16.8</v>
      </c>
    </row>
    <row r="3388" spans="1:4" x14ac:dyDescent="0.25">
      <c r="A3388" s="16">
        <v>10910</v>
      </c>
      <c r="B3388" s="1">
        <v>1</v>
      </c>
      <c r="C3388" s="1">
        <v>1</v>
      </c>
      <c r="D3388" s="1">
        <v>7.6</v>
      </c>
    </row>
    <row r="3389" spans="1:4" x14ac:dyDescent="0.25">
      <c r="A3389" s="16">
        <v>10911</v>
      </c>
      <c r="B3389" s="1">
        <v>1</v>
      </c>
      <c r="C3389" s="1">
        <v>2</v>
      </c>
      <c r="D3389" s="1">
        <v>33.6</v>
      </c>
    </row>
    <row r="3390" spans="1:4" x14ac:dyDescent="0.25">
      <c r="A3390" s="16">
        <v>10912</v>
      </c>
      <c r="B3390" s="1">
        <v>1</v>
      </c>
      <c r="C3390" s="1">
        <v>1</v>
      </c>
      <c r="D3390" s="1">
        <v>6</v>
      </c>
    </row>
    <row r="3391" spans="1:4" x14ac:dyDescent="0.25">
      <c r="A3391" s="16">
        <v>10913</v>
      </c>
      <c r="B3391" s="1">
        <v>1</v>
      </c>
      <c r="C3391" s="1">
        <v>1</v>
      </c>
      <c r="D3391" s="1">
        <v>16.8</v>
      </c>
    </row>
    <row r="3392" spans="1:4" x14ac:dyDescent="0.25">
      <c r="A3392" s="16">
        <v>10914</v>
      </c>
      <c r="B3392" s="1">
        <v>1</v>
      </c>
      <c r="C3392" s="1">
        <v>1</v>
      </c>
      <c r="D3392" s="1">
        <v>14</v>
      </c>
    </row>
    <row r="3393" spans="1:4" x14ac:dyDescent="0.25">
      <c r="A3393" s="16">
        <v>10915</v>
      </c>
      <c r="B3393" s="1">
        <v>1</v>
      </c>
      <c r="C3393" s="1">
        <v>3</v>
      </c>
      <c r="D3393" s="1">
        <v>8.3999999999999986</v>
      </c>
    </row>
    <row r="3394" spans="1:4" x14ac:dyDescent="0.25">
      <c r="A3394" s="16">
        <v>10916</v>
      </c>
      <c r="B3394" s="1">
        <v>1</v>
      </c>
      <c r="C3394" s="1">
        <v>2</v>
      </c>
      <c r="D3394" s="1">
        <v>33.6</v>
      </c>
    </row>
    <row r="3395" spans="1:4" x14ac:dyDescent="0.25">
      <c r="A3395" s="16">
        <v>10917</v>
      </c>
      <c r="B3395" s="1">
        <v>1</v>
      </c>
      <c r="C3395" s="1">
        <v>1</v>
      </c>
      <c r="D3395" s="1">
        <v>36</v>
      </c>
    </row>
    <row r="3396" spans="1:4" x14ac:dyDescent="0.25">
      <c r="A3396" s="16">
        <v>10918</v>
      </c>
      <c r="B3396" s="1">
        <v>1</v>
      </c>
      <c r="C3396" s="1">
        <v>1</v>
      </c>
      <c r="D3396" s="1">
        <v>16.8</v>
      </c>
    </row>
    <row r="3397" spans="1:4" x14ac:dyDescent="0.25">
      <c r="A3397" s="16">
        <v>10919</v>
      </c>
      <c r="B3397" s="1">
        <v>1</v>
      </c>
      <c r="C3397" s="1">
        <v>1</v>
      </c>
      <c r="D3397" s="1">
        <v>7.6</v>
      </c>
    </row>
    <row r="3398" spans="1:4" x14ac:dyDescent="0.25">
      <c r="A3398" s="16">
        <v>10920</v>
      </c>
      <c r="B3398" s="1">
        <v>1</v>
      </c>
      <c r="C3398" s="1">
        <v>1</v>
      </c>
      <c r="D3398" s="1">
        <v>16.8</v>
      </c>
    </row>
    <row r="3399" spans="1:4" x14ac:dyDescent="0.25">
      <c r="A3399" s="16">
        <v>10921</v>
      </c>
      <c r="B3399" s="1">
        <v>1</v>
      </c>
      <c r="C3399" s="1">
        <v>1</v>
      </c>
      <c r="D3399" s="1">
        <v>6</v>
      </c>
    </row>
    <row r="3400" spans="1:4" x14ac:dyDescent="0.25">
      <c r="A3400" s="16">
        <v>10922</v>
      </c>
      <c r="B3400" s="1">
        <v>1</v>
      </c>
      <c r="C3400" s="1">
        <v>1</v>
      </c>
      <c r="D3400" s="1">
        <v>16.8</v>
      </c>
    </row>
    <row r="3401" spans="1:4" x14ac:dyDescent="0.25">
      <c r="A3401" s="16">
        <v>10923</v>
      </c>
      <c r="B3401" s="1">
        <v>1</v>
      </c>
      <c r="C3401" s="1">
        <v>1</v>
      </c>
      <c r="D3401" s="1">
        <v>14</v>
      </c>
    </row>
    <row r="3402" spans="1:4" x14ac:dyDescent="0.25">
      <c r="A3402" s="16">
        <v>10924</v>
      </c>
      <c r="B3402" s="1">
        <v>1</v>
      </c>
      <c r="C3402" s="1">
        <v>2</v>
      </c>
      <c r="D3402" s="1">
        <v>33.6</v>
      </c>
    </row>
    <row r="3403" spans="1:4" x14ac:dyDescent="0.25">
      <c r="A3403" s="16">
        <v>10925</v>
      </c>
      <c r="B3403" s="1">
        <v>1</v>
      </c>
      <c r="C3403" s="1">
        <v>1</v>
      </c>
      <c r="D3403" s="1">
        <v>8</v>
      </c>
    </row>
    <row r="3404" spans="1:4" x14ac:dyDescent="0.25">
      <c r="A3404" s="16">
        <v>10926</v>
      </c>
      <c r="B3404" s="1">
        <v>1</v>
      </c>
      <c r="C3404" s="1">
        <v>1</v>
      </c>
      <c r="D3404" s="1">
        <v>16.8</v>
      </c>
    </row>
    <row r="3405" spans="1:4" x14ac:dyDescent="0.25">
      <c r="A3405" s="16">
        <v>10927</v>
      </c>
      <c r="B3405" s="1">
        <v>1</v>
      </c>
      <c r="C3405" s="1">
        <v>1</v>
      </c>
      <c r="D3405" s="1">
        <v>36</v>
      </c>
    </row>
    <row r="3406" spans="1:4" x14ac:dyDescent="0.25">
      <c r="A3406" s="16">
        <v>10928</v>
      </c>
      <c r="B3406" s="1">
        <v>1</v>
      </c>
      <c r="C3406" s="1">
        <v>2</v>
      </c>
      <c r="D3406" s="1">
        <v>33.6</v>
      </c>
    </row>
    <row r="3407" spans="1:4" x14ac:dyDescent="0.25">
      <c r="A3407" s="16">
        <v>10929</v>
      </c>
      <c r="B3407" s="1">
        <v>1</v>
      </c>
      <c r="C3407" s="1">
        <v>1</v>
      </c>
      <c r="D3407" s="1">
        <v>8</v>
      </c>
    </row>
    <row r="3408" spans="1:4" x14ac:dyDescent="0.25">
      <c r="A3408" s="16">
        <v>10930</v>
      </c>
      <c r="B3408" s="1">
        <v>1</v>
      </c>
      <c r="C3408" s="1">
        <v>1</v>
      </c>
      <c r="D3408" s="1">
        <v>16.8</v>
      </c>
    </row>
    <row r="3409" spans="1:4" x14ac:dyDescent="0.25">
      <c r="A3409" s="16">
        <v>10931</v>
      </c>
      <c r="B3409" s="1">
        <v>1</v>
      </c>
      <c r="C3409" s="1">
        <v>1</v>
      </c>
      <c r="D3409" s="1">
        <v>7.6</v>
      </c>
    </row>
    <row r="3410" spans="1:4" x14ac:dyDescent="0.25">
      <c r="A3410" s="16">
        <v>10932</v>
      </c>
      <c r="B3410" s="1">
        <v>1</v>
      </c>
      <c r="C3410" s="1">
        <v>1</v>
      </c>
      <c r="D3410" s="1">
        <v>16.8</v>
      </c>
    </row>
    <row r="3411" spans="1:4" x14ac:dyDescent="0.25">
      <c r="A3411" s="16">
        <v>10933</v>
      </c>
      <c r="B3411" s="1">
        <v>1</v>
      </c>
      <c r="C3411" s="1">
        <v>1</v>
      </c>
      <c r="D3411" s="1">
        <v>6</v>
      </c>
    </row>
    <row r="3412" spans="1:4" x14ac:dyDescent="0.25">
      <c r="A3412" s="16">
        <v>10934</v>
      </c>
      <c r="B3412" s="1">
        <v>1</v>
      </c>
      <c r="C3412" s="1">
        <v>1</v>
      </c>
      <c r="D3412" s="1">
        <v>16.8</v>
      </c>
    </row>
    <row r="3413" spans="1:4" x14ac:dyDescent="0.25">
      <c r="A3413" s="16">
        <v>10935</v>
      </c>
      <c r="B3413" s="1">
        <v>1</v>
      </c>
      <c r="C3413" s="1">
        <v>1</v>
      </c>
      <c r="D3413" s="1">
        <v>14</v>
      </c>
    </row>
    <row r="3414" spans="1:4" x14ac:dyDescent="0.25">
      <c r="A3414" s="16">
        <v>10936</v>
      </c>
      <c r="B3414" s="1">
        <v>1</v>
      </c>
      <c r="C3414" s="1">
        <v>1</v>
      </c>
      <c r="D3414" s="1">
        <v>36</v>
      </c>
    </row>
    <row r="3415" spans="1:4" x14ac:dyDescent="0.25">
      <c r="A3415" s="16">
        <v>10937</v>
      </c>
      <c r="B3415" s="1">
        <v>1</v>
      </c>
      <c r="C3415" s="1">
        <v>2</v>
      </c>
      <c r="D3415" s="1">
        <v>33.6</v>
      </c>
    </row>
    <row r="3416" spans="1:4" x14ac:dyDescent="0.25">
      <c r="A3416" s="16">
        <v>10938</v>
      </c>
      <c r="B3416" s="1">
        <v>1</v>
      </c>
      <c r="C3416" s="1">
        <v>2</v>
      </c>
      <c r="D3416" s="1">
        <v>5.6</v>
      </c>
    </row>
    <row r="3417" spans="1:4" x14ac:dyDescent="0.25">
      <c r="A3417" s="16">
        <v>10939</v>
      </c>
      <c r="B3417" s="1">
        <v>1</v>
      </c>
      <c r="C3417" s="1">
        <v>2</v>
      </c>
      <c r="D3417" s="1">
        <v>4.8</v>
      </c>
    </row>
    <row r="3418" spans="1:4" x14ac:dyDescent="0.25">
      <c r="A3418" s="16">
        <v>10940</v>
      </c>
      <c r="B3418" s="1">
        <v>1</v>
      </c>
      <c r="C3418" s="1">
        <v>1</v>
      </c>
      <c r="D3418" s="1">
        <v>36</v>
      </c>
    </row>
    <row r="3419" spans="1:4" x14ac:dyDescent="0.25">
      <c r="A3419" s="16">
        <v>10941</v>
      </c>
      <c r="B3419" s="1">
        <v>1</v>
      </c>
      <c r="C3419" s="1">
        <v>1</v>
      </c>
      <c r="D3419" s="1">
        <v>14</v>
      </c>
    </row>
    <row r="3420" spans="1:4" x14ac:dyDescent="0.25">
      <c r="A3420" s="16">
        <v>10942</v>
      </c>
      <c r="B3420" s="1">
        <v>1</v>
      </c>
      <c r="C3420" s="1">
        <v>1</v>
      </c>
      <c r="D3420" s="1">
        <v>28</v>
      </c>
    </row>
    <row r="3421" spans="1:4" x14ac:dyDescent="0.25">
      <c r="A3421" s="16">
        <v>10943</v>
      </c>
      <c r="B3421" s="1">
        <v>1</v>
      </c>
      <c r="C3421" s="1">
        <v>1</v>
      </c>
      <c r="D3421" s="1">
        <v>6</v>
      </c>
    </row>
    <row r="3422" spans="1:4" x14ac:dyDescent="0.25">
      <c r="A3422" s="16">
        <v>10944</v>
      </c>
      <c r="B3422" s="1">
        <v>1</v>
      </c>
      <c r="C3422" s="1">
        <v>1</v>
      </c>
      <c r="D3422" s="1">
        <v>9.1999999999999993</v>
      </c>
    </row>
    <row r="3423" spans="1:4" x14ac:dyDescent="0.25">
      <c r="A3423" s="16">
        <v>10945</v>
      </c>
      <c r="B3423" s="1">
        <v>1</v>
      </c>
      <c r="C3423" s="1">
        <v>1</v>
      </c>
      <c r="D3423" s="1">
        <v>8</v>
      </c>
    </row>
    <row r="3424" spans="1:4" x14ac:dyDescent="0.25">
      <c r="A3424" s="16">
        <v>10946</v>
      </c>
      <c r="B3424" s="1">
        <v>1</v>
      </c>
      <c r="C3424" s="1">
        <v>1</v>
      </c>
      <c r="D3424" s="1">
        <v>10</v>
      </c>
    </row>
    <row r="3425" spans="1:4" x14ac:dyDescent="0.25">
      <c r="A3425" s="16">
        <v>10947</v>
      </c>
      <c r="B3425" s="1">
        <v>1</v>
      </c>
      <c r="C3425" s="1">
        <v>1</v>
      </c>
      <c r="D3425" s="1">
        <v>7.6</v>
      </c>
    </row>
    <row r="3426" spans="1:4" x14ac:dyDescent="0.25">
      <c r="A3426" s="16">
        <v>10948</v>
      </c>
      <c r="B3426" s="1">
        <v>1</v>
      </c>
      <c r="C3426" s="1">
        <v>1</v>
      </c>
      <c r="D3426" s="1">
        <v>8</v>
      </c>
    </row>
    <row r="3427" spans="1:4" x14ac:dyDescent="0.25">
      <c r="A3427" s="16">
        <v>10949</v>
      </c>
      <c r="B3427" s="1">
        <v>2</v>
      </c>
      <c r="C3427" s="1">
        <v>4</v>
      </c>
      <c r="D3427" s="1">
        <v>32.799999999999997</v>
      </c>
    </row>
    <row r="3428" spans="1:4" x14ac:dyDescent="0.25">
      <c r="A3428" s="16">
        <v>10950</v>
      </c>
      <c r="B3428" s="1">
        <v>1</v>
      </c>
      <c r="C3428" s="1">
        <v>3</v>
      </c>
      <c r="D3428" s="1">
        <v>8.3999999999999986</v>
      </c>
    </row>
    <row r="3429" spans="1:4" x14ac:dyDescent="0.25">
      <c r="A3429" s="16">
        <v>10951</v>
      </c>
      <c r="B3429" s="1">
        <v>1</v>
      </c>
      <c r="C3429" s="1">
        <v>1</v>
      </c>
      <c r="D3429" s="1">
        <v>19.600000000000001</v>
      </c>
    </row>
    <row r="3430" spans="1:4" x14ac:dyDescent="0.25">
      <c r="A3430" s="16">
        <v>10952</v>
      </c>
      <c r="B3430" s="1">
        <v>1</v>
      </c>
      <c r="C3430" s="1">
        <v>2</v>
      </c>
      <c r="D3430" s="1">
        <v>12</v>
      </c>
    </row>
    <row r="3431" spans="1:4" x14ac:dyDescent="0.25">
      <c r="A3431" s="16">
        <v>10953</v>
      </c>
      <c r="B3431" s="1">
        <v>1</v>
      </c>
      <c r="C3431" s="1">
        <v>1</v>
      </c>
      <c r="D3431" s="1">
        <v>11.2</v>
      </c>
    </row>
    <row r="3432" spans="1:4" x14ac:dyDescent="0.25">
      <c r="A3432" s="16">
        <v>10954</v>
      </c>
      <c r="B3432" s="1">
        <v>1</v>
      </c>
      <c r="C3432" s="1">
        <v>1</v>
      </c>
      <c r="D3432" s="1">
        <v>36</v>
      </c>
    </row>
    <row r="3433" spans="1:4" x14ac:dyDescent="0.25">
      <c r="A3433" s="16">
        <v>10955</v>
      </c>
      <c r="B3433" s="1">
        <v>1</v>
      </c>
      <c r="C3433" s="1">
        <v>1</v>
      </c>
      <c r="D3433" s="1">
        <v>8.8000000000000007</v>
      </c>
    </row>
    <row r="3434" spans="1:4" x14ac:dyDescent="0.25">
      <c r="A3434" s="16">
        <v>10956</v>
      </c>
      <c r="B3434" s="1">
        <v>1</v>
      </c>
      <c r="C3434" s="1">
        <v>1</v>
      </c>
      <c r="D3434" s="1">
        <v>35.200000000000003</v>
      </c>
    </row>
    <row r="3435" spans="1:4" x14ac:dyDescent="0.25">
      <c r="A3435" s="16">
        <v>10957</v>
      </c>
      <c r="B3435" s="1">
        <v>1</v>
      </c>
      <c r="C3435" s="1">
        <v>1</v>
      </c>
      <c r="D3435" s="1">
        <v>51.64</v>
      </c>
    </row>
    <row r="3436" spans="1:4" x14ac:dyDescent="0.25">
      <c r="A3436" s="16">
        <v>10958</v>
      </c>
      <c r="B3436" s="1">
        <v>1</v>
      </c>
      <c r="C3436" s="1">
        <v>1</v>
      </c>
      <c r="D3436" s="1">
        <v>75.64</v>
      </c>
    </row>
    <row r="3437" spans="1:4" x14ac:dyDescent="0.25">
      <c r="A3437" s="16">
        <v>10959</v>
      </c>
      <c r="B3437" s="1">
        <v>1</v>
      </c>
      <c r="C3437" s="1">
        <v>1</v>
      </c>
      <c r="D3437" s="1">
        <v>7.6</v>
      </c>
    </row>
    <row r="3438" spans="1:4" x14ac:dyDescent="0.25">
      <c r="A3438" s="16">
        <v>10960</v>
      </c>
      <c r="B3438" s="1">
        <v>1</v>
      </c>
      <c r="C3438" s="1">
        <v>1</v>
      </c>
      <c r="D3438" s="1">
        <v>6.4</v>
      </c>
    </row>
    <row r="3439" spans="1:4" x14ac:dyDescent="0.25">
      <c r="A3439" s="16">
        <v>10961</v>
      </c>
      <c r="B3439" s="1">
        <v>1</v>
      </c>
      <c r="C3439" s="1">
        <v>1</v>
      </c>
      <c r="D3439" s="1">
        <v>14</v>
      </c>
    </row>
    <row r="3440" spans="1:4" x14ac:dyDescent="0.25">
      <c r="A3440" s="16">
        <v>10962</v>
      </c>
      <c r="B3440" s="1">
        <v>2</v>
      </c>
      <c r="C3440" s="1">
        <v>4</v>
      </c>
      <c r="D3440" s="1">
        <v>20.799999999999997</v>
      </c>
    </row>
    <row r="3441" spans="1:4" x14ac:dyDescent="0.25">
      <c r="A3441" s="16">
        <v>10963</v>
      </c>
      <c r="B3441" s="1">
        <v>1</v>
      </c>
      <c r="C3441" s="1">
        <v>1</v>
      </c>
      <c r="D3441" s="1">
        <v>6.4</v>
      </c>
    </row>
    <row r="3442" spans="1:4" x14ac:dyDescent="0.25">
      <c r="A3442" s="16">
        <v>10964</v>
      </c>
      <c r="B3442" s="1">
        <v>1</v>
      </c>
      <c r="C3442" s="1">
        <v>1</v>
      </c>
      <c r="D3442" s="1">
        <v>10</v>
      </c>
    </row>
    <row r="3443" spans="1:4" x14ac:dyDescent="0.25">
      <c r="A3443" s="16">
        <v>10965</v>
      </c>
      <c r="B3443" s="1">
        <v>1</v>
      </c>
      <c r="C3443" s="1">
        <v>1</v>
      </c>
      <c r="D3443" s="1">
        <v>14</v>
      </c>
    </row>
    <row r="3444" spans="1:4" x14ac:dyDescent="0.25">
      <c r="A3444" s="16">
        <v>10966</v>
      </c>
      <c r="B3444" s="1">
        <v>1</v>
      </c>
      <c r="C3444" s="1">
        <v>1</v>
      </c>
      <c r="D3444" s="1">
        <v>33.200000000000003</v>
      </c>
    </row>
    <row r="3445" spans="1:4" x14ac:dyDescent="0.25">
      <c r="A3445" s="16">
        <v>10967</v>
      </c>
      <c r="B3445" s="1">
        <v>1</v>
      </c>
      <c r="C3445" s="1">
        <v>1</v>
      </c>
      <c r="D3445" s="1">
        <v>20</v>
      </c>
    </row>
    <row r="3446" spans="1:4" x14ac:dyDescent="0.25">
      <c r="A3446" s="16">
        <v>10968</v>
      </c>
      <c r="B3446" s="1">
        <v>1</v>
      </c>
      <c r="C3446" s="1">
        <v>1</v>
      </c>
      <c r="D3446" s="1">
        <v>51.64</v>
      </c>
    </row>
    <row r="3447" spans="1:4" x14ac:dyDescent="0.25">
      <c r="A3447" s="16">
        <v>10969</v>
      </c>
      <c r="B3447" s="1">
        <v>1</v>
      </c>
      <c r="C3447" s="1">
        <v>1</v>
      </c>
      <c r="D3447" s="1">
        <v>51.64</v>
      </c>
    </row>
    <row r="3448" spans="1:4" x14ac:dyDescent="0.25">
      <c r="A3448" s="16">
        <v>10970</v>
      </c>
      <c r="B3448" s="1">
        <v>1</v>
      </c>
      <c r="C3448" s="1">
        <v>1</v>
      </c>
      <c r="D3448" s="1">
        <v>6.8</v>
      </c>
    </row>
    <row r="3449" spans="1:4" x14ac:dyDescent="0.25">
      <c r="A3449" s="16">
        <v>10971</v>
      </c>
      <c r="B3449" s="1">
        <v>1</v>
      </c>
      <c r="C3449" s="1">
        <v>1</v>
      </c>
      <c r="D3449" s="1">
        <v>22</v>
      </c>
    </row>
    <row r="3450" spans="1:4" x14ac:dyDescent="0.25">
      <c r="A3450" s="16">
        <v>10972</v>
      </c>
      <c r="B3450" s="1">
        <v>1</v>
      </c>
      <c r="C3450" s="1">
        <v>1</v>
      </c>
      <c r="D3450" s="1">
        <v>20</v>
      </c>
    </row>
    <row r="3451" spans="1:4" x14ac:dyDescent="0.25">
      <c r="A3451" s="16">
        <v>10973</v>
      </c>
      <c r="B3451" s="1">
        <v>1</v>
      </c>
      <c r="C3451" s="1">
        <v>1</v>
      </c>
      <c r="D3451" s="1">
        <v>12</v>
      </c>
    </row>
    <row r="3452" spans="1:4" x14ac:dyDescent="0.25">
      <c r="A3452" s="16">
        <v>10974</v>
      </c>
      <c r="B3452" s="1">
        <v>1</v>
      </c>
      <c r="C3452" s="1">
        <v>1</v>
      </c>
      <c r="D3452" s="1">
        <v>59.64</v>
      </c>
    </row>
    <row r="3453" spans="1:4" x14ac:dyDescent="0.25">
      <c r="A3453" s="16">
        <v>10975</v>
      </c>
      <c r="B3453" s="1">
        <v>1</v>
      </c>
      <c r="C3453" s="1">
        <v>1</v>
      </c>
      <c r="D3453" s="1">
        <v>12</v>
      </c>
    </row>
    <row r="3454" spans="1:4" x14ac:dyDescent="0.25">
      <c r="A3454" s="16">
        <v>10976</v>
      </c>
      <c r="B3454" s="1">
        <v>1</v>
      </c>
      <c r="C3454" s="1">
        <v>2</v>
      </c>
      <c r="D3454" s="1">
        <v>9.6</v>
      </c>
    </row>
    <row r="3455" spans="1:4" x14ac:dyDescent="0.25">
      <c r="A3455" s="16">
        <v>10977</v>
      </c>
      <c r="B3455" s="1">
        <v>1</v>
      </c>
      <c r="C3455" s="1">
        <v>1</v>
      </c>
      <c r="D3455" s="1">
        <v>6</v>
      </c>
    </row>
    <row r="3456" spans="1:4" x14ac:dyDescent="0.25">
      <c r="A3456" s="16">
        <v>10978</v>
      </c>
      <c r="B3456" s="1">
        <v>1</v>
      </c>
      <c r="C3456" s="1">
        <v>1</v>
      </c>
      <c r="D3456" s="1">
        <v>8</v>
      </c>
    </row>
    <row r="3457" spans="1:4" x14ac:dyDescent="0.25">
      <c r="A3457" s="16">
        <v>10979</v>
      </c>
      <c r="B3457" s="1">
        <v>1</v>
      </c>
      <c r="C3457" s="1">
        <v>1</v>
      </c>
      <c r="D3457" s="1">
        <v>10</v>
      </c>
    </row>
    <row r="3458" spans="1:4" x14ac:dyDescent="0.25">
      <c r="A3458" s="16">
        <v>10980</v>
      </c>
      <c r="B3458" s="1">
        <v>1</v>
      </c>
      <c r="C3458" s="1">
        <v>1</v>
      </c>
      <c r="D3458" s="1">
        <v>9.6</v>
      </c>
    </row>
    <row r="3459" spans="1:4" x14ac:dyDescent="0.25">
      <c r="A3459" s="16">
        <v>10981</v>
      </c>
      <c r="B3459" s="1">
        <v>1</v>
      </c>
      <c r="C3459" s="1">
        <v>1</v>
      </c>
      <c r="D3459" s="1">
        <v>13.6</v>
      </c>
    </row>
    <row r="3460" spans="1:4" x14ac:dyDescent="0.25">
      <c r="A3460" s="16">
        <v>10982</v>
      </c>
      <c r="B3460" s="1">
        <v>1</v>
      </c>
      <c r="C3460" s="1">
        <v>1</v>
      </c>
      <c r="D3460" s="1">
        <v>75.64</v>
      </c>
    </row>
    <row r="3461" spans="1:4" x14ac:dyDescent="0.25">
      <c r="A3461" s="16">
        <v>10983</v>
      </c>
      <c r="B3461" s="1">
        <v>1</v>
      </c>
      <c r="C3461" s="1">
        <v>1</v>
      </c>
      <c r="D3461" s="1">
        <v>51.64</v>
      </c>
    </row>
    <row r="3462" spans="1:4" x14ac:dyDescent="0.25">
      <c r="A3462" s="16">
        <v>10984</v>
      </c>
      <c r="B3462" s="1">
        <v>1</v>
      </c>
      <c r="C3462" s="1">
        <v>1</v>
      </c>
      <c r="D3462" s="1">
        <v>22</v>
      </c>
    </row>
    <row r="3463" spans="1:4" x14ac:dyDescent="0.25">
      <c r="A3463" s="16">
        <v>10985</v>
      </c>
      <c r="B3463" s="1">
        <v>1</v>
      </c>
      <c r="C3463" s="1">
        <v>1</v>
      </c>
      <c r="D3463" s="1">
        <v>10</v>
      </c>
    </row>
    <row r="3464" spans="1:4" x14ac:dyDescent="0.25">
      <c r="A3464" s="16">
        <v>10986</v>
      </c>
      <c r="B3464" s="1">
        <v>1</v>
      </c>
      <c r="C3464" s="1">
        <v>1</v>
      </c>
      <c r="D3464" s="1">
        <v>5.2</v>
      </c>
    </row>
    <row r="3465" spans="1:4" x14ac:dyDescent="0.25">
      <c r="A3465" s="16">
        <v>10987</v>
      </c>
      <c r="B3465" s="1">
        <v>1</v>
      </c>
      <c r="C3465" s="1">
        <v>1</v>
      </c>
      <c r="D3465" s="1">
        <v>18</v>
      </c>
    </row>
    <row r="3466" spans="1:4" x14ac:dyDescent="0.25">
      <c r="A3466" s="16">
        <v>10988</v>
      </c>
      <c r="B3466" s="1">
        <v>1</v>
      </c>
      <c r="C3466" s="1">
        <v>1</v>
      </c>
      <c r="D3466" s="1">
        <v>11.6</v>
      </c>
    </row>
    <row r="3467" spans="1:4" x14ac:dyDescent="0.25">
      <c r="A3467" s="16">
        <v>10989</v>
      </c>
      <c r="B3467" s="1">
        <v>1</v>
      </c>
      <c r="C3467" s="1">
        <v>1</v>
      </c>
      <c r="D3467" s="1">
        <v>16</v>
      </c>
    </row>
    <row r="3468" spans="1:4" x14ac:dyDescent="0.25">
      <c r="A3468" s="16">
        <v>10990</v>
      </c>
      <c r="B3468" s="1">
        <v>1</v>
      </c>
      <c r="C3468" s="1">
        <v>1</v>
      </c>
      <c r="D3468" s="1">
        <v>8</v>
      </c>
    </row>
    <row r="3469" spans="1:4" x14ac:dyDescent="0.25">
      <c r="A3469" s="16">
        <v>10991</v>
      </c>
      <c r="B3469" s="1">
        <v>1</v>
      </c>
      <c r="C3469" s="1">
        <v>1</v>
      </c>
      <c r="D3469" s="1">
        <v>59.64</v>
      </c>
    </row>
    <row r="3470" spans="1:4" x14ac:dyDescent="0.25">
      <c r="A3470" s="16">
        <v>10992</v>
      </c>
      <c r="B3470" s="1">
        <v>1</v>
      </c>
      <c r="C3470" s="1">
        <v>1</v>
      </c>
      <c r="D3470" s="1">
        <v>43.64</v>
      </c>
    </row>
    <row r="3471" spans="1:4" x14ac:dyDescent="0.25">
      <c r="A3471" s="16">
        <v>10993</v>
      </c>
      <c r="B3471" s="1">
        <v>1</v>
      </c>
      <c r="C3471" s="1">
        <v>1</v>
      </c>
      <c r="D3471" s="1">
        <v>63.64</v>
      </c>
    </row>
    <row r="3472" spans="1:4" x14ac:dyDescent="0.25">
      <c r="A3472" s="16">
        <v>10994</v>
      </c>
      <c r="B3472" s="1">
        <v>1</v>
      </c>
      <c r="C3472" s="1">
        <v>1</v>
      </c>
      <c r="D3472" s="1">
        <v>18</v>
      </c>
    </row>
    <row r="3473" spans="1:4" x14ac:dyDescent="0.25">
      <c r="A3473" s="16">
        <v>10995</v>
      </c>
      <c r="B3473" s="1">
        <v>1</v>
      </c>
      <c r="C3473" s="1">
        <v>1</v>
      </c>
      <c r="D3473" s="1">
        <v>20</v>
      </c>
    </row>
    <row r="3474" spans="1:4" x14ac:dyDescent="0.25">
      <c r="A3474" s="16">
        <v>10996</v>
      </c>
      <c r="B3474" s="1">
        <v>1</v>
      </c>
      <c r="C3474" s="1">
        <v>1</v>
      </c>
      <c r="D3474" s="1">
        <v>20.8</v>
      </c>
    </row>
    <row r="3475" spans="1:4" x14ac:dyDescent="0.25">
      <c r="A3475" s="16">
        <v>10997</v>
      </c>
      <c r="B3475" s="1">
        <v>1</v>
      </c>
      <c r="C3475" s="1">
        <v>1</v>
      </c>
      <c r="D3475" s="1">
        <v>14</v>
      </c>
    </row>
    <row r="3476" spans="1:4" x14ac:dyDescent="0.25">
      <c r="A3476" s="16">
        <v>10998</v>
      </c>
      <c r="B3476" s="1">
        <v>1</v>
      </c>
      <c r="C3476" s="1">
        <v>1</v>
      </c>
      <c r="D3476" s="1">
        <v>36</v>
      </c>
    </row>
    <row r="3477" spans="1:4" x14ac:dyDescent="0.25">
      <c r="A3477" s="16">
        <v>10999</v>
      </c>
      <c r="B3477" s="1">
        <v>1</v>
      </c>
      <c r="C3477" s="1">
        <v>2</v>
      </c>
      <c r="D3477" s="1">
        <v>5.6</v>
      </c>
    </row>
    <row r="3478" spans="1:4" x14ac:dyDescent="0.25">
      <c r="A3478" s="16">
        <v>11000</v>
      </c>
      <c r="B3478" s="1">
        <v>1</v>
      </c>
      <c r="C3478" s="1">
        <v>1</v>
      </c>
      <c r="D3478" s="1">
        <v>14</v>
      </c>
    </row>
    <row r="3479" spans="1:4" x14ac:dyDescent="0.25">
      <c r="A3479" s="16">
        <v>11001</v>
      </c>
      <c r="B3479" s="1">
        <v>1</v>
      </c>
      <c r="C3479" s="1">
        <v>1</v>
      </c>
      <c r="D3479" s="1">
        <v>20</v>
      </c>
    </row>
    <row r="3480" spans="1:4" x14ac:dyDescent="0.25">
      <c r="A3480" s="16">
        <v>11002</v>
      </c>
      <c r="B3480" s="1">
        <v>1</v>
      </c>
      <c r="C3480" s="1">
        <v>1</v>
      </c>
      <c r="D3480" s="1">
        <v>33.200000000000003</v>
      </c>
    </row>
    <row r="3481" spans="1:4" x14ac:dyDescent="0.25">
      <c r="A3481" s="16">
        <v>11003</v>
      </c>
      <c r="B3481" s="1">
        <v>1</v>
      </c>
      <c r="C3481" s="1">
        <v>1</v>
      </c>
      <c r="D3481" s="1">
        <v>9.6</v>
      </c>
    </row>
    <row r="3482" spans="1:4" x14ac:dyDescent="0.25">
      <c r="A3482" s="16">
        <v>11004</v>
      </c>
      <c r="B3482" s="1">
        <v>1</v>
      </c>
      <c r="C3482" s="1">
        <v>1</v>
      </c>
      <c r="D3482" s="1">
        <v>26</v>
      </c>
    </row>
    <row r="3483" spans="1:4" x14ac:dyDescent="0.25">
      <c r="A3483" s="16">
        <v>11005</v>
      </c>
      <c r="B3483" s="1">
        <v>1</v>
      </c>
      <c r="C3483" s="1">
        <v>1</v>
      </c>
      <c r="D3483" s="1">
        <v>8</v>
      </c>
    </row>
    <row r="3484" spans="1:4" x14ac:dyDescent="0.25">
      <c r="A3484" s="16">
        <v>11006</v>
      </c>
      <c r="B3484" s="1">
        <v>1</v>
      </c>
      <c r="C3484" s="1">
        <v>1</v>
      </c>
      <c r="D3484" s="1">
        <v>8.8000000000000007</v>
      </c>
    </row>
    <row r="3485" spans="1:4" x14ac:dyDescent="0.25">
      <c r="A3485" s="16">
        <v>11007</v>
      </c>
      <c r="B3485" s="1">
        <v>1</v>
      </c>
      <c r="C3485" s="1">
        <v>1</v>
      </c>
      <c r="D3485" s="1">
        <v>7.6</v>
      </c>
    </row>
    <row r="3486" spans="1:4" x14ac:dyDescent="0.25">
      <c r="A3486" s="16">
        <v>11008</v>
      </c>
      <c r="B3486" s="1">
        <v>1</v>
      </c>
      <c r="C3486" s="1">
        <v>1</v>
      </c>
      <c r="D3486" s="1">
        <v>6.4</v>
      </c>
    </row>
    <row r="3487" spans="1:4" x14ac:dyDescent="0.25">
      <c r="A3487" s="16">
        <v>11009</v>
      </c>
      <c r="B3487" s="1">
        <v>1</v>
      </c>
      <c r="C3487" s="1">
        <v>3</v>
      </c>
      <c r="D3487" s="1">
        <v>5.5200000000000005</v>
      </c>
    </row>
    <row r="3488" spans="1:4" x14ac:dyDescent="0.25">
      <c r="A3488" s="16">
        <v>11010</v>
      </c>
      <c r="B3488" s="1">
        <v>1</v>
      </c>
      <c r="C3488" s="1">
        <v>4</v>
      </c>
      <c r="D3488" s="1">
        <v>8</v>
      </c>
    </row>
    <row r="3489" spans="1:4" x14ac:dyDescent="0.25">
      <c r="A3489" s="16">
        <v>11011</v>
      </c>
      <c r="B3489" s="1">
        <v>1</v>
      </c>
      <c r="C3489" s="1">
        <v>1</v>
      </c>
      <c r="D3489" s="1">
        <v>28</v>
      </c>
    </row>
    <row r="3490" spans="1:4" x14ac:dyDescent="0.25">
      <c r="A3490" s="16">
        <v>11012</v>
      </c>
      <c r="B3490" s="1">
        <v>1</v>
      </c>
      <c r="C3490" s="1">
        <v>1</v>
      </c>
      <c r="D3490" s="1">
        <v>51.64</v>
      </c>
    </row>
    <row r="3491" spans="1:4" x14ac:dyDescent="0.25">
      <c r="A3491" s="16">
        <v>11013</v>
      </c>
      <c r="B3491" s="1">
        <v>1</v>
      </c>
      <c r="C3491" s="1">
        <v>1</v>
      </c>
      <c r="D3491" s="1">
        <v>51.64</v>
      </c>
    </row>
    <row r="3492" spans="1:4" x14ac:dyDescent="0.25">
      <c r="A3492" s="16">
        <v>11014</v>
      </c>
      <c r="B3492" s="1">
        <v>1</v>
      </c>
      <c r="C3492" s="1">
        <v>2</v>
      </c>
      <c r="D3492" s="1">
        <v>16</v>
      </c>
    </row>
    <row r="3493" spans="1:4" x14ac:dyDescent="0.25">
      <c r="A3493" s="16">
        <v>11015</v>
      </c>
      <c r="B3493" s="1">
        <v>1</v>
      </c>
      <c r="C3493" s="1">
        <v>1</v>
      </c>
      <c r="D3493" s="1">
        <v>9.6</v>
      </c>
    </row>
    <row r="3494" spans="1:4" x14ac:dyDescent="0.25">
      <c r="A3494" s="16">
        <v>11016</v>
      </c>
      <c r="B3494" s="1">
        <v>1</v>
      </c>
      <c r="C3494" s="1">
        <v>1</v>
      </c>
      <c r="D3494" s="1">
        <v>36</v>
      </c>
    </row>
    <row r="3495" spans="1:4" x14ac:dyDescent="0.25">
      <c r="A3495" s="16">
        <v>11017</v>
      </c>
      <c r="B3495" s="1">
        <v>1</v>
      </c>
      <c r="C3495" s="1">
        <v>1</v>
      </c>
      <c r="D3495" s="1">
        <v>8</v>
      </c>
    </row>
    <row r="3496" spans="1:4" x14ac:dyDescent="0.25">
      <c r="A3496" s="16">
        <v>11018</v>
      </c>
      <c r="B3496" s="1">
        <v>1</v>
      </c>
      <c r="C3496" s="1">
        <v>1</v>
      </c>
      <c r="D3496" s="1">
        <v>14</v>
      </c>
    </row>
    <row r="3497" spans="1:4" x14ac:dyDescent="0.25">
      <c r="A3497" s="16">
        <v>11019</v>
      </c>
      <c r="B3497" s="1">
        <v>1</v>
      </c>
      <c r="C3497" s="1">
        <v>1</v>
      </c>
      <c r="D3497" s="1">
        <v>9.1999999999999993</v>
      </c>
    </row>
    <row r="3498" spans="1:4" x14ac:dyDescent="0.25">
      <c r="A3498" s="16">
        <v>11020</v>
      </c>
      <c r="B3498" s="1">
        <v>1</v>
      </c>
      <c r="C3498" s="1">
        <v>2</v>
      </c>
      <c r="D3498" s="1">
        <v>5.6</v>
      </c>
    </row>
    <row r="3499" spans="1:4" x14ac:dyDescent="0.25">
      <c r="A3499" s="16">
        <v>11021</v>
      </c>
      <c r="B3499" s="1">
        <v>1</v>
      </c>
      <c r="C3499" s="1">
        <v>1</v>
      </c>
      <c r="D3499" s="1">
        <v>6</v>
      </c>
    </row>
    <row r="3500" spans="1:4" x14ac:dyDescent="0.25">
      <c r="A3500" s="16">
        <v>11022</v>
      </c>
      <c r="B3500" s="1">
        <v>1</v>
      </c>
      <c r="C3500" s="1">
        <v>1</v>
      </c>
      <c r="D3500" s="1">
        <v>20</v>
      </c>
    </row>
    <row r="3501" spans="1:4" x14ac:dyDescent="0.25">
      <c r="A3501" s="16">
        <v>11023</v>
      </c>
      <c r="B3501" s="1">
        <v>1</v>
      </c>
      <c r="C3501" s="1">
        <v>1</v>
      </c>
      <c r="D3501" s="1">
        <v>20</v>
      </c>
    </row>
    <row r="3502" spans="1:4" x14ac:dyDescent="0.25">
      <c r="A3502" s="16">
        <v>11024</v>
      </c>
      <c r="B3502" s="1">
        <v>1</v>
      </c>
      <c r="C3502" s="1">
        <v>1</v>
      </c>
      <c r="D3502" s="1">
        <v>38</v>
      </c>
    </row>
    <row r="3503" spans="1:4" x14ac:dyDescent="0.25">
      <c r="A3503" s="16">
        <v>11025</v>
      </c>
      <c r="B3503" s="1">
        <v>1</v>
      </c>
      <c r="C3503" s="1">
        <v>1</v>
      </c>
      <c r="D3503" s="1">
        <v>40</v>
      </c>
    </row>
    <row r="3504" spans="1:4" x14ac:dyDescent="0.25">
      <c r="A3504" s="16">
        <v>11026</v>
      </c>
      <c r="B3504" s="1">
        <v>1</v>
      </c>
      <c r="C3504" s="1">
        <v>1</v>
      </c>
      <c r="D3504" s="1">
        <v>51.64</v>
      </c>
    </row>
    <row r="3505" spans="1:4" x14ac:dyDescent="0.25">
      <c r="A3505" s="16">
        <v>11027</v>
      </c>
      <c r="B3505" s="1">
        <v>1</v>
      </c>
      <c r="C3505" s="1">
        <v>1</v>
      </c>
      <c r="D3505" s="1">
        <v>9.1999999999999993</v>
      </c>
    </row>
    <row r="3506" spans="1:4" x14ac:dyDescent="0.25">
      <c r="A3506" s="16">
        <v>11028</v>
      </c>
      <c r="B3506" s="1">
        <v>1</v>
      </c>
      <c r="C3506" s="1">
        <v>1</v>
      </c>
      <c r="D3506" s="1">
        <v>7.2</v>
      </c>
    </row>
    <row r="3507" spans="1:4" x14ac:dyDescent="0.25">
      <c r="A3507" s="16">
        <v>11029</v>
      </c>
      <c r="B3507" s="1">
        <v>1</v>
      </c>
      <c r="C3507" s="1">
        <v>2</v>
      </c>
      <c r="D3507" s="1">
        <v>8</v>
      </c>
    </row>
    <row r="3508" spans="1:4" x14ac:dyDescent="0.25">
      <c r="A3508" s="16">
        <v>11030</v>
      </c>
      <c r="B3508" s="1">
        <v>1</v>
      </c>
      <c r="C3508" s="1">
        <v>1</v>
      </c>
      <c r="D3508" s="1">
        <v>40</v>
      </c>
    </row>
    <row r="3509" spans="1:4" x14ac:dyDescent="0.25">
      <c r="A3509" s="16">
        <v>11031</v>
      </c>
      <c r="B3509" s="1">
        <v>1</v>
      </c>
      <c r="C3509" s="1">
        <v>1</v>
      </c>
      <c r="D3509" s="1">
        <v>8.8000000000000007</v>
      </c>
    </row>
    <row r="3510" spans="1:4" x14ac:dyDescent="0.25">
      <c r="A3510" s="16">
        <v>11032</v>
      </c>
      <c r="B3510" s="1">
        <v>1</v>
      </c>
      <c r="C3510" s="1">
        <v>1</v>
      </c>
      <c r="D3510" s="1">
        <v>10</v>
      </c>
    </row>
    <row r="3511" spans="1:4" x14ac:dyDescent="0.25">
      <c r="A3511" s="16">
        <v>11033</v>
      </c>
      <c r="B3511" s="1">
        <v>1</v>
      </c>
      <c r="C3511" s="1">
        <v>1</v>
      </c>
      <c r="D3511" s="1">
        <v>28</v>
      </c>
    </row>
    <row r="3512" spans="1:4" x14ac:dyDescent="0.25">
      <c r="A3512" s="16">
        <v>11034</v>
      </c>
      <c r="B3512" s="1">
        <v>1</v>
      </c>
      <c r="C3512" s="1">
        <v>1</v>
      </c>
      <c r="D3512" s="1">
        <v>40</v>
      </c>
    </row>
    <row r="3513" spans="1:4" x14ac:dyDescent="0.25">
      <c r="A3513" s="16">
        <v>11035</v>
      </c>
      <c r="B3513" s="1">
        <v>1</v>
      </c>
      <c r="C3513" s="1">
        <v>1</v>
      </c>
      <c r="D3513" s="1">
        <v>8</v>
      </c>
    </row>
    <row r="3514" spans="1:4" x14ac:dyDescent="0.25">
      <c r="A3514" s="16">
        <v>11036</v>
      </c>
      <c r="B3514" s="1">
        <v>1</v>
      </c>
      <c r="C3514" s="1">
        <v>2</v>
      </c>
      <c r="D3514" s="1">
        <v>5.6</v>
      </c>
    </row>
    <row r="3515" spans="1:4" x14ac:dyDescent="0.25">
      <c r="A3515" s="16">
        <v>11037</v>
      </c>
      <c r="B3515" s="1">
        <v>1</v>
      </c>
      <c r="C3515" s="1">
        <v>1</v>
      </c>
      <c r="D3515" s="1">
        <v>14</v>
      </c>
    </row>
    <row r="3516" spans="1:4" x14ac:dyDescent="0.25">
      <c r="A3516" s="16">
        <v>11038</v>
      </c>
      <c r="B3516" s="1">
        <v>1</v>
      </c>
      <c r="C3516" s="1">
        <v>1</v>
      </c>
      <c r="D3516" s="1">
        <v>36</v>
      </c>
    </row>
    <row r="3517" spans="1:4" x14ac:dyDescent="0.25">
      <c r="A3517" s="16">
        <v>11039</v>
      </c>
      <c r="B3517" s="1">
        <v>1</v>
      </c>
      <c r="C3517" s="1">
        <v>1</v>
      </c>
      <c r="D3517" s="1">
        <v>9.6</v>
      </c>
    </row>
    <row r="3518" spans="1:4" x14ac:dyDescent="0.25">
      <c r="A3518" s="16">
        <v>11040</v>
      </c>
      <c r="B3518" s="1">
        <v>1</v>
      </c>
      <c r="C3518" s="1">
        <v>1</v>
      </c>
      <c r="D3518" s="1">
        <v>28</v>
      </c>
    </row>
    <row r="3519" spans="1:4" x14ac:dyDescent="0.25">
      <c r="A3519" s="16">
        <v>11041</v>
      </c>
      <c r="B3519" s="1">
        <v>1</v>
      </c>
      <c r="C3519" s="1">
        <v>2</v>
      </c>
      <c r="D3519" s="1">
        <v>12</v>
      </c>
    </row>
    <row r="3520" spans="1:4" x14ac:dyDescent="0.25">
      <c r="A3520" s="16">
        <v>11042</v>
      </c>
      <c r="B3520" s="1">
        <v>1</v>
      </c>
      <c r="C3520" s="1">
        <v>1</v>
      </c>
      <c r="D3520" s="1">
        <v>9.1999999999999993</v>
      </c>
    </row>
    <row r="3521" spans="1:4" x14ac:dyDescent="0.25">
      <c r="A3521" s="16">
        <v>11043</v>
      </c>
      <c r="B3521" s="1">
        <v>1</v>
      </c>
      <c r="C3521" s="1">
        <v>1</v>
      </c>
      <c r="D3521" s="1">
        <v>8</v>
      </c>
    </row>
    <row r="3522" spans="1:4" x14ac:dyDescent="0.25">
      <c r="A3522" s="16">
        <v>11044</v>
      </c>
      <c r="B3522" s="1">
        <v>1</v>
      </c>
      <c r="C3522" s="1">
        <v>2</v>
      </c>
      <c r="D3522" s="1">
        <v>4.8</v>
      </c>
    </row>
    <row r="3523" spans="1:4" x14ac:dyDescent="0.25">
      <c r="A3523" s="16">
        <v>11045</v>
      </c>
      <c r="B3523" s="1">
        <v>1</v>
      </c>
      <c r="C3523" s="1">
        <v>1</v>
      </c>
      <c r="D3523" s="1">
        <v>7.6</v>
      </c>
    </row>
    <row r="3524" spans="1:4" x14ac:dyDescent="0.25">
      <c r="A3524" s="16">
        <v>11046</v>
      </c>
      <c r="B3524" s="1">
        <v>1</v>
      </c>
      <c r="C3524" s="1">
        <v>1</v>
      </c>
      <c r="D3524" s="1">
        <v>40</v>
      </c>
    </row>
    <row r="3525" spans="1:4" x14ac:dyDescent="0.25">
      <c r="A3525" s="16">
        <v>11047</v>
      </c>
      <c r="B3525" s="1">
        <v>1</v>
      </c>
      <c r="C3525" s="1">
        <v>1</v>
      </c>
      <c r="D3525" s="1">
        <v>8</v>
      </c>
    </row>
    <row r="3526" spans="1:4" x14ac:dyDescent="0.25">
      <c r="A3526" s="16">
        <v>11048</v>
      </c>
      <c r="B3526" s="1">
        <v>1</v>
      </c>
      <c r="C3526" s="1">
        <v>1</v>
      </c>
      <c r="D3526" s="1">
        <v>14</v>
      </c>
    </row>
    <row r="3527" spans="1:4" x14ac:dyDescent="0.25">
      <c r="A3527" s="16">
        <v>11049</v>
      </c>
      <c r="B3527" s="1">
        <v>1</v>
      </c>
      <c r="C3527" s="1">
        <v>1</v>
      </c>
      <c r="D3527" s="1">
        <v>14</v>
      </c>
    </row>
    <row r="3528" spans="1:4" x14ac:dyDescent="0.25">
      <c r="A3528" s="16">
        <v>11050</v>
      </c>
      <c r="B3528" s="1">
        <v>1</v>
      </c>
      <c r="C3528" s="1">
        <v>1</v>
      </c>
      <c r="D3528" s="1">
        <v>40</v>
      </c>
    </row>
    <row r="3529" spans="1:4" x14ac:dyDescent="0.25">
      <c r="A3529" s="16">
        <v>11051</v>
      </c>
      <c r="B3529" s="1">
        <v>1</v>
      </c>
      <c r="C3529" s="1">
        <v>1</v>
      </c>
      <c r="D3529" s="1">
        <v>6.4</v>
      </c>
    </row>
    <row r="3530" spans="1:4" x14ac:dyDescent="0.25">
      <c r="A3530" s="16">
        <v>11052</v>
      </c>
      <c r="B3530" s="1">
        <v>1</v>
      </c>
      <c r="C3530" s="1">
        <v>1</v>
      </c>
      <c r="D3530" s="1">
        <v>13.6</v>
      </c>
    </row>
    <row r="3531" spans="1:4" x14ac:dyDescent="0.25">
      <c r="A3531" s="16">
        <v>11053</v>
      </c>
      <c r="B3531" s="1">
        <v>1</v>
      </c>
      <c r="C3531" s="1">
        <v>1</v>
      </c>
      <c r="D3531" s="1">
        <v>51.64</v>
      </c>
    </row>
    <row r="3532" spans="1:4" x14ac:dyDescent="0.25">
      <c r="A3532" s="16">
        <v>11054</v>
      </c>
      <c r="B3532" s="1">
        <v>1</v>
      </c>
      <c r="C3532" s="1">
        <v>3</v>
      </c>
      <c r="D3532" s="1">
        <v>8.3999999999999986</v>
      </c>
    </row>
    <row r="3533" spans="1:4" x14ac:dyDescent="0.25">
      <c r="A3533" s="16">
        <v>11055</v>
      </c>
      <c r="B3533" s="1">
        <v>1</v>
      </c>
      <c r="C3533" s="1">
        <v>1</v>
      </c>
      <c r="D3533" s="1">
        <v>6</v>
      </c>
    </row>
    <row r="3534" spans="1:4" x14ac:dyDescent="0.25">
      <c r="A3534" s="16">
        <v>11056</v>
      </c>
      <c r="B3534" s="1">
        <v>1</v>
      </c>
      <c r="C3534" s="1">
        <v>3</v>
      </c>
      <c r="D3534" s="1">
        <v>5.5200000000000005</v>
      </c>
    </row>
    <row r="3535" spans="1:4" x14ac:dyDescent="0.25">
      <c r="A3535" s="16">
        <v>11057</v>
      </c>
      <c r="B3535" s="1">
        <v>1</v>
      </c>
      <c r="C3535" s="1">
        <v>1</v>
      </c>
      <c r="D3535" s="1">
        <v>9.6</v>
      </c>
    </row>
    <row r="3536" spans="1:4" x14ac:dyDescent="0.25">
      <c r="A3536" s="16">
        <v>11058</v>
      </c>
      <c r="B3536" s="1">
        <v>1</v>
      </c>
      <c r="C3536" s="1">
        <v>1</v>
      </c>
      <c r="D3536" s="1">
        <v>33.200000000000003</v>
      </c>
    </row>
    <row r="3537" spans="1:4" x14ac:dyDescent="0.25">
      <c r="A3537" s="16">
        <v>11059</v>
      </c>
      <c r="B3537" s="1">
        <v>1</v>
      </c>
      <c r="C3537" s="1">
        <v>1</v>
      </c>
      <c r="D3537" s="1">
        <v>6.8</v>
      </c>
    </row>
    <row r="3538" spans="1:4" x14ac:dyDescent="0.25">
      <c r="A3538" s="16">
        <v>11060</v>
      </c>
      <c r="B3538" s="1">
        <v>1</v>
      </c>
      <c r="C3538" s="1">
        <v>2</v>
      </c>
      <c r="D3538" s="1">
        <v>16</v>
      </c>
    </row>
    <row r="3539" spans="1:4" x14ac:dyDescent="0.25">
      <c r="A3539" s="16">
        <v>11061</v>
      </c>
      <c r="B3539" s="1">
        <v>2</v>
      </c>
      <c r="C3539" s="1">
        <v>3</v>
      </c>
      <c r="D3539" s="1">
        <v>20.799999999999997</v>
      </c>
    </row>
    <row r="3540" spans="1:4" x14ac:dyDescent="0.25">
      <c r="A3540" s="16">
        <v>11062</v>
      </c>
      <c r="B3540" s="1">
        <v>1</v>
      </c>
      <c r="C3540" s="1">
        <v>1</v>
      </c>
      <c r="D3540" s="1">
        <v>51.64</v>
      </c>
    </row>
    <row r="3541" spans="1:4" x14ac:dyDescent="0.25">
      <c r="A3541" s="16">
        <v>11063</v>
      </c>
      <c r="B3541" s="1">
        <v>1</v>
      </c>
      <c r="C3541" s="1">
        <v>1</v>
      </c>
      <c r="D3541" s="1">
        <v>51.64</v>
      </c>
    </row>
    <row r="3542" spans="1:4" x14ac:dyDescent="0.25">
      <c r="A3542" s="16">
        <v>11064</v>
      </c>
      <c r="B3542" s="1">
        <v>1</v>
      </c>
      <c r="C3542" s="1">
        <v>1</v>
      </c>
      <c r="D3542" s="1">
        <v>28</v>
      </c>
    </row>
    <row r="3543" spans="1:4" x14ac:dyDescent="0.25">
      <c r="A3543" s="16">
        <v>11065</v>
      </c>
      <c r="B3543" s="1">
        <v>1</v>
      </c>
      <c r="C3543" s="1">
        <v>1</v>
      </c>
      <c r="D3543" s="1">
        <v>7.6</v>
      </c>
    </row>
    <row r="3544" spans="1:4" x14ac:dyDescent="0.25">
      <c r="A3544" s="16">
        <v>11066</v>
      </c>
      <c r="B3544" s="1">
        <v>1</v>
      </c>
      <c r="C3544" s="1">
        <v>1</v>
      </c>
      <c r="D3544" s="1">
        <v>10</v>
      </c>
    </row>
    <row r="3545" spans="1:4" x14ac:dyDescent="0.25">
      <c r="A3545" s="16">
        <v>11067</v>
      </c>
      <c r="B3545" s="1">
        <v>1</v>
      </c>
      <c r="C3545" s="1">
        <v>2</v>
      </c>
      <c r="D3545" s="1">
        <v>4.8</v>
      </c>
    </row>
    <row r="3546" spans="1:4" x14ac:dyDescent="0.25">
      <c r="A3546" s="16">
        <v>11068</v>
      </c>
      <c r="B3546" s="1">
        <v>1</v>
      </c>
      <c r="C3546" s="1">
        <v>1</v>
      </c>
      <c r="D3546" s="1">
        <v>36</v>
      </c>
    </row>
    <row r="3547" spans="1:4" x14ac:dyDescent="0.25">
      <c r="A3547" s="16">
        <v>11069</v>
      </c>
      <c r="B3547" s="1">
        <v>1</v>
      </c>
      <c r="C3547" s="1">
        <v>1</v>
      </c>
      <c r="D3547" s="1">
        <v>14</v>
      </c>
    </row>
    <row r="3548" spans="1:4" x14ac:dyDescent="0.25">
      <c r="A3548" s="16">
        <v>11070</v>
      </c>
      <c r="B3548" s="1">
        <v>1</v>
      </c>
      <c r="C3548" s="1">
        <v>1</v>
      </c>
      <c r="D3548" s="1">
        <v>14</v>
      </c>
    </row>
    <row r="3549" spans="1:4" x14ac:dyDescent="0.25">
      <c r="A3549" s="16">
        <v>11071</v>
      </c>
      <c r="B3549" s="1">
        <v>1</v>
      </c>
      <c r="C3549" s="1">
        <v>2</v>
      </c>
      <c r="D3549" s="1">
        <v>5.6</v>
      </c>
    </row>
    <row r="3550" spans="1:4" x14ac:dyDescent="0.25">
      <c r="A3550" s="16">
        <v>11072</v>
      </c>
      <c r="B3550" s="1">
        <v>1</v>
      </c>
      <c r="C3550" s="1">
        <v>1</v>
      </c>
      <c r="D3550" s="1">
        <v>6</v>
      </c>
    </row>
    <row r="3551" spans="1:4" x14ac:dyDescent="0.25">
      <c r="A3551" s="16">
        <v>11073</v>
      </c>
      <c r="B3551" s="1">
        <v>1</v>
      </c>
      <c r="C3551" s="1">
        <v>1</v>
      </c>
      <c r="D3551" s="1">
        <v>51.64</v>
      </c>
    </row>
    <row r="3552" spans="1:4" x14ac:dyDescent="0.25">
      <c r="A3552" s="16">
        <v>11074</v>
      </c>
      <c r="B3552" s="1">
        <v>1</v>
      </c>
      <c r="C3552" s="1">
        <v>1</v>
      </c>
      <c r="D3552" s="1">
        <v>51.64</v>
      </c>
    </row>
    <row r="3553" spans="1:4" x14ac:dyDescent="0.25">
      <c r="A3553" s="16">
        <v>11075</v>
      </c>
      <c r="B3553" s="1">
        <v>1</v>
      </c>
      <c r="C3553" s="1">
        <v>1</v>
      </c>
      <c r="D3553" s="1">
        <v>13.6</v>
      </c>
    </row>
    <row r="3554" spans="1:4" x14ac:dyDescent="0.25">
      <c r="A3554" s="16">
        <v>11076</v>
      </c>
      <c r="B3554" s="1">
        <v>1</v>
      </c>
      <c r="C3554" s="1">
        <v>1</v>
      </c>
      <c r="D3554" s="1">
        <v>59.64</v>
      </c>
    </row>
    <row r="3555" spans="1:4" x14ac:dyDescent="0.25">
      <c r="A3555" s="16">
        <v>11077</v>
      </c>
      <c r="B3555" s="1">
        <v>1</v>
      </c>
      <c r="C3555" s="1">
        <v>1</v>
      </c>
      <c r="D3555" s="1">
        <v>40</v>
      </c>
    </row>
    <row r="3556" spans="1:4" x14ac:dyDescent="0.25">
      <c r="A3556" s="16">
        <v>11078</v>
      </c>
      <c r="B3556" s="1">
        <v>2</v>
      </c>
      <c r="C3556" s="1">
        <v>3</v>
      </c>
      <c r="D3556" s="1">
        <v>37.200000000000003</v>
      </c>
    </row>
    <row r="3557" spans="1:4" x14ac:dyDescent="0.25">
      <c r="A3557" s="16">
        <v>11079</v>
      </c>
      <c r="B3557" s="1">
        <v>1</v>
      </c>
      <c r="C3557" s="1">
        <v>1</v>
      </c>
      <c r="D3557" s="1">
        <v>10</v>
      </c>
    </row>
    <row r="3558" spans="1:4" x14ac:dyDescent="0.25">
      <c r="A3558" s="16">
        <v>11080</v>
      </c>
      <c r="B3558" s="1">
        <v>1</v>
      </c>
      <c r="C3558" s="1">
        <v>1</v>
      </c>
      <c r="D3558" s="1">
        <v>5.2</v>
      </c>
    </row>
    <row r="3559" spans="1:4" x14ac:dyDescent="0.25">
      <c r="A3559" s="16">
        <v>11081</v>
      </c>
      <c r="B3559" s="1">
        <v>1</v>
      </c>
      <c r="C3559" s="1">
        <v>1</v>
      </c>
      <c r="D3559" s="1">
        <v>6.4</v>
      </c>
    </row>
    <row r="3560" spans="1:4" x14ac:dyDescent="0.25">
      <c r="A3560" s="16">
        <v>11082</v>
      </c>
      <c r="B3560" s="1">
        <v>1</v>
      </c>
      <c r="C3560" s="1">
        <v>1</v>
      </c>
      <c r="D3560" s="1">
        <v>6.8</v>
      </c>
    </row>
    <row r="3561" spans="1:4" x14ac:dyDescent="0.25">
      <c r="A3561" s="16">
        <v>11083</v>
      </c>
      <c r="B3561" s="1">
        <v>1</v>
      </c>
      <c r="C3561" s="1">
        <v>1</v>
      </c>
      <c r="D3561" s="1">
        <v>75.64</v>
      </c>
    </row>
    <row r="3562" spans="1:4" x14ac:dyDescent="0.25">
      <c r="A3562" s="16">
        <v>11084</v>
      </c>
      <c r="B3562" s="1">
        <v>1</v>
      </c>
      <c r="C3562" s="1">
        <v>1</v>
      </c>
      <c r="D3562" s="1">
        <v>28</v>
      </c>
    </row>
    <row r="3563" spans="1:4" x14ac:dyDescent="0.25">
      <c r="A3563" s="16">
        <v>11085</v>
      </c>
      <c r="B3563" s="1">
        <v>1</v>
      </c>
      <c r="C3563" s="1">
        <v>1</v>
      </c>
      <c r="D3563" s="1">
        <v>6</v>
      </c>
    </row>
    <row r="3564" spans="1:4" x14ac:dyDescent="0.25">
      <c r="A3564" s="16">
        <v>11086</v>
      </c>
      <c r="B3564" s="1">
        <v>1</v>
      </c>
      <c r="C3564" s="1">
        <v>1</v>
      </c>
      <c r="D3564" s="1">
        <v>8</v>
      </c>
    </row>
    <row r="3565" spans="1:4" x14ac:dyDescent="0.25">
      <c r="A3565" s="16">
        <v>11087</v>
      </c>
      <c r="B3565" s="1">
        <v>1</v>
      </c>
      <c r="C3565" s="1">
        <v>1</v>
      </c>
      <c r="D3565" s="1">
        <v>14</v>
      </c>
    </row>
    <row r="3566" spans="1:4" x14ac:dyDescent="0.25">
      <c r="A3566" s="16">
        <v>11088</v>
      </c>
      <c r="B3566" s="1">
        <v>1</v>
      </c>
      <c r="C3566" s="1">
        <v>1</v>
      </c>
      <c r="D3566" s="1">
        <v>12</v>
      </c>
    </row>
    <row r="3567" spans="1:4" x14ac:dyDescent="0.25">
      <c r="A3567" s="16">
        <v>11089</v>
      </c>
      <c r="B3567" s="1">
        <v>1</v>
      </c>
      <c r="C3567" s="1">
        <v>1</v>
      </c>
      <c r="D3567" s="1">
        <v>40</v>
      </c>
    </row>
    <row r="3568" spans="1:4" x14ac:dyDescent="0.25">
      <c r="A3568" s="16">
        <v>11090</v>
      </c>
      <c r="B3568" s="1">
        <v>1</v>
      </c>
      <c r="C3568" s="1">
        <v>2</v>
      </c>
      <c r="D3568" s="1">
        <v>5.6</v>
      </c>
    </row>
    <row r="3569" spans="1:4" x14ac:dyDescent="0.25">
      <c r="A3569" s="16">
        <v>11091</v>
      </c>
      <c r="B3569" s="1">
        <v>1</v>
      </c>
      <c r="C3569" s="1">
        <v>1</v>
      </c>
      <c r="D3569" s="1">
        <v>7.6</v>
      </c>
    </row>
    <row r="3570" spans="1:4" x14ac:dyDescent="0.25">
      <c r="A3570" s="16">
        <v>11092</v>
      </c>
      <c r="B3570" s="1">
        <v>1</v>
      </c>
      <c r="C3570" s="1">
        <v>1</v>
      </c>
      <c r="D3570" s="1">
        <v>38</v>
      </c>
    </row>
    <row r="3571" spans="1:4" x14ac:dyDescent="0.25">
      <c r="A3571" s="16">
        <v>11093</v>
      </c>
      <c r="B3571" s="1">
        <v>1</v>
      </c>
      <c r="C3571" s="1">
        <v>1</v>
      </c>
      <c r="D3571" s="1">
        <v>8</v>
      </c>
    </row>
    <row r="3572" spans="1:4" x14ac:dyDescent="0.25">
      <c r="A3572" s="16">
        <v>11094</v>
      </c>
      <c r="B3572" s="1">
        <v>1</v>
      </c>
      <c r="C3572" s="1">
        <v>2</v>
      </c>
      <c r="D3572" s="1">
        <v>3.68</v>
      </c>
    </row>
    <row r="3573" spans="1:4" x14ac:dyDescent="0.25">
      <c r="A3573" s="16">
        <v>11095</v>
      </c>
      <c r="B3573" s="1">
        <v>2</v>
      </c>
      <c r="C3573" s="1">
        <v>3</v>
      </c>
      <c r="D3573" s="1">
        <v>48</v>
      </c>
    </row>
    <row r="3574" spans="1:4" x14ac:dyDescent="0.25">
      <c r="A3574" s="16">
        <v>11096</v>
      </c>
      <c r="B3574" s="1">
        <v>1</v>
      </c>
      <c r="C3574" s="1">
        <v>1</v>
      </c>
      <c r="D3574" s="1">
        <v>20</v>
      </c>
    </row>
    <row r="3575" spans="1:4" x14ac:dyDescent="0.25">
      <c r="A3575" s="16">
        <v>11097</v>
      </c>
      <c r="B3575" s="1">
        <v>1</v>
      </c>
      <c r="C3575" s="1">
        <v>1</v>
      </c>
      <c r="D3575" s="1">
        <v>51.64</v>
      </c>
    </row>
    <row r="3576" spans="1:4" x14ac:dyDescent="0.25">
      <c r="A3576" s="16">
        <v>11098</v>
      </c>
      <c r="B3576" s="1">
        <v>1</v>
      </c>
      <c r="C3576" s="1">
        <v>1</v>
      </c>
      <c r="D3576" s="1">
        <v>11.2</v>
      </c>
    </row>
    <row r="3577" spans="1:4" x14ac:dyDescent="0.25">
      <c r="A3577" s="16">
        <v>11099</v>
      </c>
      <c r="B3577" s="1">
        <v>1</v>
      </c>
      <c r="C3577" s="1">
        <v>1</v>
      </c>
      <c r="D3577" s="1">
        <v>22</v>
      </c>
    </row>
    <row r="3578" spans="1:4" x14ac:dyDescent="0.25">
      <c r="A3578" s="16">
        <v>11100</v>
      </c>
      <c r="B3578" s="1">
        <v>1</v>
      </c>
      <c r="C3578" s="1">
        <v>1</v>
      </c>
      <c r="D3578" s="1">
        <v>9.1999999999999993</v>
      </c>
    </row>
    <row r="3579" spans="1:4" x14ac:dyDescent="0.25">
      <c r="A3579" s="16">
        <v>11101</v>
      </c>
      <c r="B3579" s="1">
        <v>1</v>
      </c>
      <c r="C3579" s="1">
        <v>1</v>
      </c>
      <c r="D3579" s="1">
        <v>10</v>
      </c>
    </row>
    <row r="3580" spans="1:4" x14ac:dyDescent="0.25">
      <c r="A3580" s="16">
        <v>11102</v>
      </c>
      <c r="B3580" s="1">
        <v>1</v>
      </c>
      <c r="C3580" s="1">
        <v>1</v>
      </c>
      <c r="D3580" s="1">
        <v>6</v>
      </c>
    </row>
    <row r="3581" spans="1:4" x14ac:dyDescent="0.25">
      <c r="A3581" s="16">
        <v>11103</v>
      </c>
      <c r="B3581" s="1">
        <v>1</v>
      </c>
      <c r="C3581" s="1">
        <v>1</v>
      </c>
      <c r="D3581" s="1">
        <v>63.64</v>
      </c>
    </row>
    <row r="3582" spans="1:4" x14ac:dyDescent="0.25">
      <c r="A3582" s="16">
        <v>11104</v>
      </c>
      <c r="B3582" s="1">
        <v>1</v>
      </c>
      <c r="C3582" s="1">
        <v>1</v>
      </c>
      <c r="D3582" s="1">
        <v>14</v>
      </c>
    </row>
    <row r="3583" spans="1:4" x14ac:dyDescent="0.25">
      <c r="A3583" s="16">
        <v>11105</v>
      </c>
      <c r="B3583" s="1">
        <v>1</v>
      </c>
      <c r="C3583" s="1">
        <v>2</v>
      </c>
      <c r="D3583" s="1">
        <v>5.6</v>
      </c>
    </row>
    <row r="3584" spans="1:4" x14ac:dyDescent="0.25">
      <c r="A3584" s="16">
        <v>11106</v>
      </c>
      <c r="B3584" s="1">
        <v>1</v>
      </c>
      <c r="C3584" s="1">
        <v>1</v>
      </c>
      <c r="D3584" s="1">
        <v>6</v>
      </c>
    </row>
    <row r="3585" spans="1:4" x14ac:dyDescent="0.25">
      <c r="A3585" s="16">
        <v>11107</v>
      </c>
      <c r="B3585" s="1">
        <v>1</v>
      </c>
      <c r="C3585" s="1">
        <v>1</v>
      </c>
      <c r="D3585" s="1">
        <v>28</v>
      </c>
    </row>
    <row r="3586" spans="1:4" x14ac:dyDescent="0.25">
      <c r="A3586" s="16">
        <v>11108</v>
      </c>
      <c r="B3586" s="1">
        <v>1</v>
      </c>
      <c r="C3586" s="1">
        <v>1</v>
      </c>
      <c r="D3586" s="1">
        <v>75.64</v>
      </c>
    </row>
    <row r="3587" spans="1:4" x14ac:dyDescent="0.25">
      <c r="A3587" s="16">
        <v>11109</v>
      </c>
      <c r="B3587" s="1">
        <v>1</v>
      </c>
      <c r="C3587" s="1">
        <v>1</v>
      </c>
      <c r="D3587" s="1">
        <v>59.64</v>
      </c>
    </row>
    <row r="3588" spans="1:4" x14ac:dyDescent="0.25">
      <c r="A3588" s="16">
        <v>11110</v>
      </c>
      <c r="B3588" s="1">
        <v>1</v>
      </c>
      <c r="C3588" s="1">
        <v>1</v>
      </c>
      <c r="D3588" s="1">
        <v>7.6</v>
      </c>
    </row>
    <row r="3589" spans="1:4" x14ac:dyDescent="0.25">
      <c r="A3589" s="16">
        <v>11111</v>
      </c>
      <c r="B3589" s="1">
        <v>1</v>
      </c>
      <c r="C3589" s="1">
        <v>1</v>
      </c>
      <c r="D3589" s="1">
        <v>12</v>
      </c>
    </row>
    <row r="3590" spans="1:4" x14ac:dyDescent="0.25">
      <c r="A3590" s="16">
        <v>11112</v>
      </c>
      <c r="B3590" s="1">
        <v>1</v>
      </c>
      <c r="C3590" s="1">
        <v>1</v>
      </c>
      <c r="D3590" s="1">
        <v>40</v>
      </c>
    </row>
    <row r="3591" spans="1:4" x14ac:dyDescent="0.25">
      <c r="A3591" s="16">
        <v>11113</v>
      </c>
      <c r="B3591" s="1">
        <v>1</v>
      </c>
      <c r="C3591" s="1">
        <v>1</v>
      </c>
      <c r="D3591" s="1">
        <v>14</v>
      </c>
    </row>
    <row r="3592" spans="1:4" x14ac:dyDescent="0.25">
      <c r="A3592" s="16">
        <v>11114</v>
      </c>
      <c r="B3592" s="1">
        <v>1</v>
      </c>
      <c r="C3592" s="1">
        <v>4</v>
      </c>
      <c r="D3592" s="1">
        <v>7.36</v>
      </c>
    </row>
    <row r="3593" spans="1:4" x14ac:dyDescent="0.25">
      <c r="A3593" s="16">
        <v>11115</v>
      </c>
      <c r="B3593" s="1">
        <v>1</v>
      </c>
      <c r="C3593" s="1">
        <v>1</v>
      </c>
      <c r="D3593" s="1">
        <v>8</v>
      </c>
    </row>
    <row r="3594" spans="1:4" x14ac:dyDescent="0.25">
      <c r="A3594" s="16">
        <v>11116</v>
      </c>
      <c r="B3594" s="1">
        <v>2</v>
      </c>
      <c r="C3594" s="1">
        <v>4</v>
      </c>
      <c r="D3594" s="1">
        <v>17.600000000000001</v>
      </c>
    </row>
    <row r="3595" spans="1:4" x14ac:dyDescent="0.25">
      <c r="A3595" s="16">
        <v>11117</v>
      </c>
      <c r="B3595" s="1">
        <v>1</v>
      </c>
      <c r="C3595" s="1">
        <v>1</v>
      </c>
      <c r="D3595" s="1">
        <v>8.8000000000000007</v>
      </c>
    </row>
    <row r="3596" spans="1:4" x14ac:dyDescent="0.25">
      <c r="A3596" s="16">
        <v>11118</v>
      </c>
      <c r="B3596" s="1">
        <v>1</v>
      </c>
      <c r="C3596" s="1">
        <v>1</v>
      </c>
      <c r="D3596" s="1">
        <v>20</v>
      </c>
    </row>
    <row r="3597" spans="1:4" x14ac:dyDescent="0.25">
      <c r="A3597" s="16">
        <v>11119</v>
      </c>
      <c r="B3597" s="1">
        <v>1</v>
      </c>
      <c r="C3597" s="1">
        <v>1</v>
      </c>
      <c r="D3597" s="1">
        <v>51.64</v>
      </c>
    </row>
    <row r="3598" spans="1:4" x14ac:dyDescent="0.25">
      <c r="A3598" s="16">
        <v>11120</v>
      </c>
      <c r="B3598" s="1">
        <v>1</v>
      </c>
      <c r="C3598" s="1">
        <v>1</v>
      </c>
      <c r="D3598" s="1">
        <v>6.4</v>
      </c>
    </row>
    <row r="3599" spans="1:4" x14ac:dyDescent="0.25">
      <c r="A3599" s="16">
        <v>11121</v>
      </c>
      <c r="B3599" s="1">
        <v>1</v>
      </c>
      <c r="C3599" s="1">
        <v>1</v>
      </c>
      <c r="D3599" s="1">
        <v>20</v>
      </c>
    </row>
    <row r="3600" spans="1:4" x14ac:dyDescent="0.25">
      <c r="A3600" s="16">
        <v>11122</v>
      </c>
      <c r="B3600" s="1">
        <v>1</v>
      </c>
      <c r="C3600" s="1">
        <v>1</v>
      </c>
      <c r="D3600" s="1">
        <v>14</v>
      </c>
    </row>
    <row r="3601" spans="1:4" x14ac:dyDescent="0.25">
      <c r="A3601" s="16">
        <v>11123</v>
      </c>
      <c r="B3601" s="1">
        <v>1</v>
      </c>
      <c r="C3601" s="1">
        <v>1</v>
      </c>
      <c r="D3601" s="1">
        <v>38</v>
      </c>
    </row>
    <row r="3602" spans="1:4" x14ac:dyDescent="0.25">
      <c r="A3602" s="16">
        <v>11124</v>
      </c>
      <c r="B3602" s="1">
        <v>1</v>
      </c>
      <c r="C3602" s="1">
        <v>1</v>
      </c>
      <c r="D3602" s="1">
        <v>8</v>
      </c>
    </row>
    <row r="3603" spans="1:4" x14ac:dyDescent="0.25">
      <c r="A3603" s="16">
        <v>11125</v>
      </c>
      <c r="B3603" s="1">
        <v>1</v>
      </c>
      <c r="C3603" s="1">
        <v>1</v>
      </c>
      <c r="D3603" s="1">
        <v>36</v>
      </c>
    </row>
    <row r="3604" spans="1:4" x14ac:dyDescent="0.25">
      <c r="A3604" s="16">
        <v>11126</v>
      </c>
      <c r="B3604" s="1">
        <v>1</v>
      </c>
      <c r="C3604" s="1">
        <v>1</v>
      </c>
      <c r="D3604" s="1">
        <v>6</v>
      </c>
    </row>
    <row r="3605" spans="1:4" x14ac:dyDescent="0.25">
      <c r="A3605" s="16">
        <v>11127</v>
      </c>
      <c r="B3605" s="1">
        <v>1</v>
      </c>
      <c r="C3605" s="1">
        <v>1</v>
      </c>
      <c r="D3605" s="1">
        <v>11.2</v>
      </c>
    </row>
    <row r="3606" spans="1:4" x14ac:dyDescent="0.25">
      <c r="A3606" s="16">
        <v>11128</v>
      </c>
      <c r="B3606" s="1">
        <v>1</v>
      </c>
      <c r="C3606" s="1">
        <v>2</v>
      </c>
      <c r="D3606" s="1">
        <v>5.6</v>
      </c>
    </row>
    <row r="3607" spans="1:4" x14ac:dyDescent="0.25">
      <c r="A3607" s="16">
        <v>11129</v>
      </c>
      <c r="B3607" s="1">
        <v>1</v>
      </c>
      <c r="C3607" s="1">
        <v>1</v>
      </c>
      <c r="D3607" s="1">
        <v>6</v>
      </c>
    </row>
    <row r="3608" spans="1:4" x14ac:dyDescent="0.25">
      <c r="A3608" s="16">
        <v>11130</v>
      </c>
      <c r="B3608" s="1">
        <v>1</v>
      </c>
      <c r="C3608" s="1">
        <v>1</v>
      </c>
      <c r="D3608" s="1">
        <v>28</v>
      </c>
    </row>
    <row r="3609" spans="1:4" x14ac:dyDescent="0.25">
      <c r="A3609" s="16">
        <v>11131</v>
      </c>
      <c r="B3609" s="1">
        <v>1</v>
      </c>
      <c r="C3609" s="1">
        <v>1</v>
      </c>
      <c r="D3609" s="1">
        <v>51.64</v>
      </c>
    </row>
    <row r="3610" spans="1:4" x14ac:dyDescent="0.25">
      <c r="A3610" s="16">
        <v>11132</v>
      </c>
      <c r="B3610" s="1">
        <v>1</v>
      </c>
      <c r="C3610" s="1">
        <v>2</v>
      </c>
      <c r="D3610" s="1">
        <v>5.6</v>
      </c>
    </row>
    <row r="3611" spans="1:4" x14ac:dyDescent="0.25">
      <c r="A3611" s="16">
        <v>11133</v>
      </c>
      <c r="B3611" s="1">
        <v>1</v>
      </c>
      <c r="C3611" s="1">
        <v>1</v>
      </c>
      <c r="D3611" s="1">
        <v>14</v>
      </c>
    </row>
    <row r="3612" spans="1:4" x14ac:dyDescent="0.25">
      <c r="A3612" s="16">
        <v>11134</v>
      </c>
      <c r="B3612" s="1">
        <v>1</v>
      </c>
      <c r="C3612" s="1">
        <v>1</v>
      </c>
      <c r="D3612" s="1">
        <v>36</v>
      </c>
    </row>
    <row r="3613" spans="1:4" x14ac:dyDescent="0.25">
      <c r="A3613" s="16">
        <v>11135</v>
      </c>
      <c r="B3613" s="1">
        <v>1</v>
      </c>
      <c r="C3613" s="1">
        <v>1</v>
      </c>
      <c r="D3613" s="1">
        <v>9.6</v>
      </c>
    </row>
    <row r="3614" spans="1:4" x14ac:dyDescent="0.25">
      <c r="A3614" s="16">
        <v>11136</v>
      </c>
      <c r="B3614" s="1">
        <v>1</v>
      </c>
      <c r="C3614" s="1">
        <v>1</v>
      </c>
      <c r="D3614" s="1">
        <v>28</v>
      </c>
    </row>
    <row r="3615" spans="1:4" x14ac:dyDescent="0.25">
      <c r="A3615" s="16">
        <v>11137</v>
      </c>
      <c r="B3615" s="1">
        <v>1</v>
      </c>
      <c r="C3615" s="1">
        <v>2</v>
      </c>
      <c r="D3615" s="1">
        <v>12</v>
      </c>
    </row>
    <row r="3616" spans="1:4" x14ac:dyDescent="0.25">
      <c r="A3616" s="16">
        <v>11138</v>
      </c>
      <c r="B3616" s="1">
        <v>1</v>
      </c>
      <c r="C3616" s="1">
        <v>1</v>
      </c>
      <c r="D3616" s="1">
        <v>9.1999999999999993</v>
      </c>
    </row>
    <row r="3617" spans="1:4" x14ac:dyDescent="0.25">
      <c r="A3617" s="16">
        <v>11139</v>
      </c>
      <c r="B3617" s="1">
        <v>1</v>
      </c>
      <c r="C3617" s="1">
        <v>1</v>
      </c>
      <c r="D3617" s="1">
        <v>8</v>
      </c>
    </row>
    <row r="3618" spans="1:4" x14ac:dyDescent="0.25">
      <c r="A3618" s="16">
        <v>11140</v>
      </c>
      <c r="B3618" s="1">
        <v>1</v>
      </c>
      <c r="C3618" s="1">
        <v>2</v>
      </c>
      <c r="D3618" s="1">
        <v>4.8</v>
      </c>
    </row>
    <row r="3619" spans="1:4" x14ac:dyDescent="0.25">
      <c r="A3619" s="16">
        <v>11141</v>
      </c>
      <c r="B3619" s="1">
        <v>1</v>
      </c>
      <c r="C3619" s="1">
        <v>1</v>
      </c>
      <c r="D3619" s="1">
        <v>7.6</v>
      </c>
    </row>
    <row r="3620" spans="1:4" x14ac:dyDescent="0.25">
      <c r="A3620" s="16">
        <v>11142</v>
      </c>
      <c r="B3620" s="1">
        <v>2</v>
      </c>
      <c r="C3620" s="1">
        <v>4</v>
      </c>
      <c r="D3620" s="1">
        <v>45.52</v>
      </c>
    </row>
    <row r="3621" spans="1:4" x14ac:dyDescent="0.25">
      <c r="A3621" s="16">
        <v>11143</v>
      </c>
      <c r="B3621" s="1">
        <v>1</v>
      </c>
      <c r="C3621" s="1">
        <v>1</v>
      </c>
      <c r="D3621" s="1">
        <v>8</v>
      </c>
    </row>
    <row r="3622" spans="1:4" x14ac:dyDescent="0.25">
      <c r="A3622" s="16">
        <v>11144</v>
      </c>
      <c r="B3622" s="1">
        <v>1</v>
      </c>
      <c r="C3622" s="1">
        <v>1</v>
      </c>
      <c r="D3622" s="1">
        <v>14</v>
      </c>
    </row>
    <row r="3623" spans="1:4" x14ac:dyDescent="0.25">
      <c r="A3623" s="16">
        <v>11145</v>
      </c>
      <c r="B3623" s="1">
        <v>1</v>
      </c>
      <c r="C3623" s="1">
        <v>1</v>
      </c>
      <c r="D3623" s="1">
        <v>14</v>
      </c>
    </row>
    <row r="3624" spans="1:4" x14ac:dyDescent="0.25">
      <c r="A3624" s="16">
        <v>11146</v>
      </c>
      <c r="B3624" s="1">
        <v>1</v>
      </c>
      <c r="C3624" s="1">
        <v>1</v>
      </c>
      <c r="D3624" s="1">
        <v>40</v>
      </c>
    </row>
    <row r="3625" spans="1:4" x14ac:dyDescent="0.25">
      <c r="A3625" s="16">
        <v>11147</v>
      </c>
      <c r="B3625" s="1">
        <v>1</v>
      </c>
      <c r="C3625" s="1">
        <v>1</v>
      </c>
      <c r="D3625" s="1">
        <v>6.4</v>
      </c>
    </row>
    <row r="3626" spans="1:4" x14ac:dyDescent="0.25">
      <c r="A3626" s="16">
        <v>11148</v>
      </c>
      <c r="B3626" s="1">
        <v>1</v>
      </c>
      <c r="C3626" s="1">
        <v>1</v>
      </c>
      <c r="D3626" s="1">
        <v>13.6</v>
      </c>
    </row>
    <row r="3627" spans="1:4" x14ac:dyDescent="0.25">
      <c r="A3627" s="16">
        <v>11149</v>
      </c>
      <c r="B3627" s="1">
        <v>1</v>
      </c>
      <c r="C3627" s="1">
        <v>1</v>
      </c>
      <c r="D3627" s="1">
        <v>51.64</v>
      </c>
    </row>
    <row r="3628" spans="1:4" x14ac:dyDescent="0.25">
      <c r="A3628" s="16">
        <v>11150</v>
      </c>
      <c r="B3628" s="1">
        <v>1</v>
      </c>
      <c r="C3628" s="1">
        <v>3</v>
      </c>
      <c r="D3628" s="1">
        <v>8.3999999999999986</v>
      </c>
    </row>
    <row r="3629" spans="1:4" x14ac:dyDescent="0.25">
      <c r="A3629" s="16">
        <v>11151</v>
      </c>
      <c r="B3629" s="1">
        <v>1</v>
      </c>
      <c r="C3629" s="1">
        <v>1</v>
      </c>
      <c r="D3629" s="1">
        <v>6</v>
      </c>
    </row>
    <row r="3630" spans="1:4" x14ac:dyDescent="0.25">
      <c r="A3630" s="16">
        <v>11152</v>
      </c>
      <c r="B3630" s="1">
        <v>1</v>
      </c>
      <c r="C3630" s="1">
        <v>2</v>
      </c>
      <c r="D3630" s="1">
        <v>3.68</v>
      </c>
    </row>
    <row r="3631" spans="1:4" x14ac:dyDescent="0.25">
      <c r="A3631" s="16">
        <v>11153</v>
      </c>
      <c r="B3631" s="1">
        <v>1</v>
      </c>
      <c r="C3631" s="1">
        <v>1</v>
      </c>
      <c r="D3631" s="1">
        <v>6.8</v>
      </c>
    </row>
    <row r="3632" spans="1:4" x14ac:dyDescent="0.25">
      <c r="A3632" s="16">
        <v>11154</v>
      </c>
      <c r="B3632" s="1">
        <v>1</v>
      </c>
      <c r="C3632" s="1">
        <v>1</v>
      </c>
      <c r="D3632" s="1">
        <v>51.64</v>
      </c>
    </row>
    <row r="3633" spans="1:4" x14ac:dyDescent="0.25">
      <c r="A3633" s="16">
        <v>11155</v>
      </c>
      <c r="B3633" s="1">
        <v>1</v>
      </c>
      <c r="C3633" s="1">
        <v>1</v>
      </c>
      <c r="D3633" s="1">
        <v>38</v>
      </c>
    </row>
    <row r="3634" spans="1:4" x14ac:dyDescent="0.25">
      <c r="A3634" s="16">
        <v>11156</v>
      </c>
      <c r="B3634" s="1">
        <v>1</v>
      </c>
      <c r="C3634" s="1">
        <v>1</v>
      </c>
      <c r="D3634" s="1">
        <v>10</v>
      </c>
    </row>
    <row r="3635" spans="1:4" x14ac:dyDescent="0.25">
      <c r="A3635" s="16">
        <v>11157</v>
      </c>
      <c r="B3635" s="1">
        <v>2</v>
      </c>
      <c r="C3635" s="1">
        <v>3</v>
      </c>
      <c r="D3635" s="1">
        <v>41.6</v>
      </c>
    </row>
    <row r="3636" spans="1:4" x14ac:dyDescent="0.25">
      <c r="A3636" s="16">
        <v>11158</v>
      </c>
      <c r="B3636" s="1">
        <v>1</v>
      </c>
      <c r="C3636" s="1">
        <v>1</v>
      </c>
      <c r="D3636" s="1">
        <v>7.6</v>
      </c>
    </row>
    <row r="3637" spans="1:4" x14ac:dyDescent="0.25">
      <c r="A3637" s="16">
        <v>11159</v>
      </c>
      <c r="B3637" s="1">
        <v>1</v>
      </c>
      <c r="C3637" s="1">
        <v>1</v>
      </c>
      <c r="D3637" s="1">
        <v>75.64</v>
      </c>
    </row>
    <row r="3638" spans="1:4" x14ac:dyDescent="0.25">
      <c r="A3638" s="16">
        <v>11160</v>
      </c>
      <c r="B3638" s="1">
        <v>1</v>
      </c>
      <c r="C3638" s="1">
        <v>1</v>
      </c>
      <c r="D3638" s="1">
        <v>14</v>
      </c>
    </row>
    <row r="3639" spans="1:4" x14ac:dyDescent="0.25">
      <c r="A3639" s="16">
        <v>11161</v>
      </c>
      <c r="B3639" s="1">
        <v>1</v>
      </c>
      <c r="C3639" s="1">
        <v>1</v>
      </c>
      <c r="D3639" s="1">
        <v>8</v>
      </c>
    </row>
    <row r="3640" spans="1:4" x14ac:dyDescent="0.25">
      <c r="A3640" s="16">
        <v>11162</v>
      </c>
      <c r="B3640" s="1">
        <v>1</v>
      </c>
      <c r="C3640" s="1">
        <v>1</v>
      </c>
      <c r="D3640" s="1">
        <v>12</v>
      </c>
    </row>
    <row r="3641" spans="1:4" x14ac:dyDescent="0.25">
      <c r="A3641" s="16">
        <v>11163</v>
      </c>
      <c r="B3641" s="1">
        <v>1</v>
      </c>
      <c r="C3641" s="1">
        <v>1</v>
      </c>
      <c r="D3641" s="1">
        <v>40</v>
      </c>
    </row>
    <row r="3642" spans="1:4" x14ac:dyDescent="0.25">
      <c r="A3642" s="16">
        <v>11164</v>
      </c>
      <c r="B3642" s="1">
        <v>1</v>
      </c>
      <c r="C3642" s="1">
        <v>1</v>
      </c>
      <c r="D3642" s="1">
        <v>22</v>
      </c>
    </row>
    <row r="3643" spans="1:4" x14ac:dyDescent="0.25">
      <c r="A3643" s="16">
        <v>11165</v>
      </c>
      <c r="B3643" s="1">
        <v>1</v>
      </c>
      <c r="C3643" s="1">
        <v>1</v>
      </c>
      <c r="D3643" s="1">
        <v>9.1999999999999993</v>
      </c>
    </row>
    <row r="3644" spans="1:4" x14ac:dyDescent="0.25">
      <c r="A3644" s="16">
        <v>11166</v>
      </c>
      <c r="B3644" s="1">
        <v>1</v>
      </c>
      <c r="C3644" s="1">
        <v>1</v>
      </c>
      <c r="D3644" s="1">
        <v>7.2</v>
      </c>
    </row>
    <row r="3645" spans="1:4" x14ac:dyDescent="0.25">
      <c r="A3645" s="16">
        <v>11167</v>
      </c>
      <c r="B3645" s="1">
        <v>1</v>
      </c>
      <c r="C3645" s="1">
        <v>2</v>
      </c>
      <c r="D3645" s="1">
        <v>8</v>
      </c>
    </row>
    <row r="3646" spans="1:4" x14ac:dyDescent="0.25">
      <c r="A3646" s="16">
        <v>11168</v>
      </c>
      <c r="B3646" s="1">
        <v>1</v>
      </c>
      <c r="C3646" s="1">
        <v>1</v>
      </c>
      <c r="D3646" s="1">
        <v>40</v>
      </c>
    </row>
    <row r="3647" spans="1:4" x14ac:dyDescent="0.25">
      <c r="A3647" s="16">
        <v>11169</v>
      </c>
      <c r="B3647" s="1">
        <v>1</v>
      </c>
      <c r="C3647" s="1">
        <v>1</v>
      </c>
      <c r="D3647" s="1">
        <v>10</v>
      </c>
    </row>
    <row r="3648" spans="1:4" x14ac:dyDescent="0.25">
      <c r="A3648" s="16">
        <v>11170</v>
      </c>
      <c r="B3648" s="1">
        <v>1</v>
      </c>
      <c r="C3648" s="1">
        <v>1</v>
      </c>
      <c r="D3648" s="1">
        <v>6</v>
      </c>
    </row>
    <row r="3649" spans="1:4" x14ac:dyDescent="0.25">
      <c r="A3649" s="16">
        <v>11171</v>
      </c>
      <c r="B3649" s="1">
        <v>1</v>
      </c>
      <c r="C3649" s="1">
        <v>2</v>
      </c>
      <c r="D3649" s="1">
        <v>5.6</v>
      </c>
    </row>
    <row r="3650" spans="1:4" x14ac:dyDescent="0.25">
      <c r="A3650" s="16">
        <v>11172</v>
      </c>
      <c r="B3650" s="1">
        <v>1</v>
      </c>
      <c r="C3650" s="1">
        <v>1</v>
      </c>
      <c r="D3650" s="1">
        <v>6</v>
      </c>
    </row>
    <row r="3651" spans="1:4" x14ac:dyDescent="0.25">
      <c r="A3651" s="16">
        <v>11173</v>
      </c>
      <c r="B3651" s="1">
        <v>1</v>
      </c>
      <c r="C3651" s="1">
        <v>1</v>
      </c>
      <c r="D3651" s="1">
        <v>28</v>
      </c>
    </row>
    <row r="3652" spans="1:4" x14ac:dyDescent="0.25">
      <c r="A3652" s="16">
        <v>11174</v>
      </c>
      <c r="B3652" s="1">
        <v>2</v>
      </c>
      <c r="C3652" s="1">
        <v>4</v>
      </c>
      <c r="D3652" s="1">
        <v>32.799999999999997</v>
      </c>
    </row>
    <row r="3653" spans="1:4" x14ac:dyDescent="0.25">
      <c r="A3653" s="16">
        <v>11175</v>
      </c>
      <c r="B3653" s="1">
        <v>1</v>
      </c>
      <c r="C3653" s="1">
        <v>1</v>
      </c>
      <c r="D3653" s="1">
        <v>10</v>
      </c>
    </row>
    <row r="3654" spans="1:4" x14ac:dyDescent="0.25">
      <c r="A3654" s="16">
        <v>11176</v>
      </c>
      <c r="B3654" s="1">
        <v>1</v>
      </c>
      <c r="C3654" s="1">
        <v>1</v>
      </c>
      <c r="D3654" s="1">
        <v>36</v>
      </c>
    </row>
    <row r="3655" spans="1:4" x14ac:dyDescent="0.25">
      <c r="A3655" s="16">
        <v>11177</v>
      </c>
      <c r="B3655" s="1">
        <v>1</v>
      </c>
      <c r="C3655" s="1">
        <v>1</v>
      </c>
      <c r="D3655" s="1">
        <v>6.8</v>
      </c>
    </row>
    <row r="3656" spans="1:4" x14ac:dyDescent="0.25">
      <c r="A3656" s="16">
        <v>11178</v>
      </c>
      <c r="B3656" s="1">
        <v>1</v>
      </c>
      <c r="C3656" s="1">
        <v>1</v>
      </c>
      <c r="D3656" s="1">
        <v>7.6</v>
      </c>
    </row>
    <row r="3657" spans="1:4" x14ac:dyDescent="0.25">
      <c r="A3657" s="16">
        <v>11179</v>
      </c>
      <c r="B3657" s="1">
        <v>1</v>
      </c>
      <c r="C3657" s="1">
        <v>1</v>
      </c>
      <c r="D3657" s="1">
        <v>75.64</v>
      </c>
    </row>
    <row r="3658" spans="1:4" x14ac:dyDescent="0.25">
      <c r="A3658" s="16">
        <v>11180</v>
      </c>
      <c r="B3658" s="1">
        <v>1</v>
      </c>
      <c r="C3658" s="1">
        <v>1</v>
      </c>
      <c r="D3658" s="1">
        <v>51.64</v>
      </c>
    </row>
    <row r="3659" spans="1:4" x14ac:dyDescent="0.25">
      <c r="A3659" s="16">
        <v>11181</v>
      </c>
      <c r="B3659" s="1">
        <v>1</v>
      </c>
      <c r="C3659" s="1">
        <v>1</v>
      </c>
      <c r="D3659" s="1">
        <v>8</v>
      </c>
    </row>
    <row r="3660" spans="1:4" x14ac:dyDescent="0.25">
      <c r="A3660" s="16">
        <v>11182</v>
      </c>
      <c r="B3660" s="1">
        <v>1</v>
      </c>
      <c r="C3660" s="1">
        <v>3</v>
      </c>
      <c r="D3660" s="1">
        <v>5.5200000000000005</v>
      </c>
    </row>
    <row r="3661" spans="1:4" x14ac:dyDescent="0.25">
      <c r="A3661" s="16">
        <v>11183</v>
      </c>
      <c r="B3661" s="1">
        <v>1</v>
      </c>
      <c r="C3661" s="1">
        <v>1</v>
      </c>
      <c r="D3661" s="1">
        <v>9.6</v>
      </c>
    </row>
    <row r="3662" spans="1:4" x14ac:dyDescent="0.25">
      <c r="A3662" s="16">
        <v>11184</v>
      </c>
      <c r="B3662" s="1">
        <v>1</v>
      </c>
      <c r="C3662" s="1">
        <v>2</v>
      </c>
      <c r="D3662" s="1">
        <v>12</v>
      </c>
    </row>
    <row r="3663" spans="1:4" x14ac:dyDescent="0.25">
      <c r="A3663" s="16">
        <v>11185</v>
      </c>
      <c r="B3663" s="1">
        <v>1</v>
      </c>
      <c r="C3663" s="1">
        <v>2</v>
      </c>
      <c r="D3663" s="1">
        <v>5.6</v>
      </c>
    </row>
    <row r="3664" spans="1:4" x14ac:dyDescent="0.25">
      <c r="A3664" s="16">
        <v>11186</v>
      </c>
      <c r="B3664" s="1">
        <v>1</v>
      </c>
      <c r="C3664" s="1">
        <v>1</v>
      </c>
      <c r="D3664" s="1">
        <v>28</v>
      </c>
    </row>
    <row r="3665" spans="1:4" x14ac:dyDescent="0.25">
      <c r="A3665" s="16">
        <v>11187</v>
      </c>
      <c r="B3665" s="1">
        <v>1</v>
      </c>
      <c r="C3665" s="1">
        <v>1</v>
      </c>
      <c r="D3665" s="1">
        <v>14</v>
      </c>
    </row>
    <row r="3666" spans="1:4" x14ac:dyDescent="0.25">
      <c r="A3666" s="16">
        <v>11188</v>
      </c>
      <c r="B3666" s="1">
        <v>1</v>
      </c>
      <c r="C3666" s="1">
        <v>1</v>
      </c>
      <c r="D3666" s="1">
        <v>40</v>
      </c>
    </row>
    <row r="3667" spans="1:4" x14ac:dyDescent="0.25">
      <c r="A3667" s="16">
        <v>11189</v>
      </c>
      <c r="B3667" s="1">
        <v>1</v>
      </c>
      <c r="C3667" s="1">
        <v>1</v>
      </c>
      <c r="D3667" s="1">
        <v>40</v>
      </c>
    </row>
    <row r="3668" spans="1:4" x14ac:dyDescent="0.25">
      <c r="A3668" s="16">
        <v>11190</v>
      </c>
      <c r="B3668" s="1">
        <v>1</v>
      </c>
      <c r="C3668" s="1">
        <v>1</v>
      </c>
      <c r="D3668" s="1">
        <v>6.4</v>
      </c>
    </row>
    <row r="3669" spans="1:4" x14ac:dyDescent="0.25">
      <c r="A3669" s="16">
        <v>11191</v>
      </c>
      <c r="B3669" s="1">
        <v>1</v>
      </c>
      <c r="C3669" s="1">
        <v>1</v>
      </c>
      <c r="D3669" s="1">
        <v>7.6</v>
      </c>
    </row>
    <row r="3670" spans="1:4" x14ac:dyDescent="0.25">
      <c r="A3670" s="16">
        <v>11192</v>
      </c>
      <c r="B3670" s="1">
        <v>1</v>
      </c>
      <c r="C3670" s="1">
        <v>1</v>
      </c>
      <c r="D3670" s="1">
        <v>12</v>
      </c>
    </row>
    <row r="3671" spans="1:4" x14ac:dyDescent="0.25">
      <c r="A3671" s="16">
        <v>11193</v>
      </c>
      <c r="B3671" s="1">
        <v>1</v>
      </c>
      <c r="C3671" s="1">
        <v>1</v>
      </c>
      <c r="D3671" s="1">
        <v>8</v>
      </c>
    </row>
    <row r="3672" spans="1:4" x14ac:dyDescent="0.25">
      <c r="A3672" s="16">
        <v>11194</v>
      </c>
      <c r="B3672" s="1">
        <v>1</v>
      </c>
      <c r="C3672" s="1">
        <v>3</v>
      </c>
      <c r="D3672" s="1">
        <v>8.3999999999999986</v>
      </c>
    </row>
    <row r="3673" spans="1:4" x14ac:dyDescent="0.25">
      <c r="A3673" s="16">
        <v>11195</v>
      </c>
      <c r="B3673" s="1">
        <v>1</v>
      </c>
      <c r="C3673" s="1">
        <v>1</v>
      </c>
      <c r="D3673" s="1">
        <v>6</v>
      </c>
    </row>
    <row r="3674" spans="1:4" x14ac:dyDescent="0.25">
      <c r="A3674" s="16">
        <v>11196</v>
      </c>
      <c r="B3674" s="1">
        <v>1</v>
      </c>
      <c r="C3674" s="1">
        <v>1</v>
      </c>
      <c r="D3674" s="1">
        <v>51.64</v>
      </c>
    </row>
    <row r="3675" spans="1:4" x14ac:dyDescent="0.25">
      <c r="A3675" s="16">
        <v>11197</v>
      </c>
      <c r="B3675" s="1">
        <v>1</v>
      </c>
      <c r="C3675" s="1">
        <v>1</v>
      </c>
      <c r="D3675" s="1">
        <v>38</v>
      </c>
    </row>
    <row r="3676" spans="1:4" x14ac:dyDescent="0.25">
      <c r="A3676" s="16">
        <v>11198</v>
      </c>
      <c r="B3676" s="1">
        <v>1</v>
      </c>
      <c r="C3676" s="1">
        <v>1</v>
      </c>
      <c r="D3676" s="1">
        <v>10</v>
      </c>
    </row>
    <row r="3677" spans="1:4" x14ac:dyDescent="0.25">
      <c r="A3677" s="16">
        <v>11199</v>
      </c>
      <c r="B3677" s="1">
        <v>2</v>
      </c>
      <c r="C3677" s="1">
        <v>2</v>
      </c>
      <c r="D3677" s="1">
        <v>44</v>
      </c>
    </row>
    <row r="3678" spans="1:4" x14ac:dyDescent="0.25">
      <c r="A3678" s="16">
        <v>11200</v>
      </c>
      <c r="B3678" s="1">
        <v>1</v>
      </c>
      <c r="C3678" s="1">
        <v>1</v>
      </c>
      <c r="D3678" s="1">
        <v>14</v>
      </c>
    </row>
    <row r="3679" spans="1:4" x14ac:dyDescent="0.25">
      <c r="A3679" s="16">
        <v>11201</v>
      </c>
      <c r="B3679" s="1">
        <v>1</v>
      </c>
      <c r="C3679" s="1">
        <v>1</v>
      </c>
      <c r="D3679" s="1">
        <v>7.6</v>
      </c>
    </row>
    <row r="3680" spans="1:4" x14ac:dyDescent="0.25">
      <c r="A3680" s="16">
        <v>11202</v>
      </c>
      <c r="B3680" s="1">
        <v>1</v>
      </c>
      <c r="C3680" s="1">
        <v>1</v>
      </c>
      <c r="D3680" s="1">
        <v>7.2</v>
      </c>
    </row>
    <row r="3681" spans="1:4" x14ac:dyDescent="0.25">
      <c r="A3681" s="16">
        <v>11203</v>
      </c>
      <c r="B3681" s="1">
        <v>1</v>
      </c>
      <c r="C3681" s="1">
        <v>1</v>
      </c>
      <c r="D3681" s="1">
        <v>51.64</v>
      </c>
    </row>
    <row r="3682" spans="1:4" x14ac:dyDescent="0.25">
      <c r="A3682" s="16">
        <v>11204</v>
      </c>
      <c r="B3682" s="1">
        <v>1</v>
      </c>
      <c r="C3682" s="1">
        <v>1</v>
      </c>
      <c r="D3682" s="1">
        <v>75.64</v>
      </c>
    </row>
    <row r="3683" spans="1:4" x14ac:dyDescent="0.25">
      <c r="A3683" s="16">
        <v>11205</v>
      </c>
      <c r="B3683" s="1">
        <v>1</v>
      </c>
      <c r="C3683" s="1">
        <v>1</v>
      </c>
      <c r="D3683" s="1">
        <v>40</v>
      </c>
    </row>
    <row r="3684" spans="1:4" x14ac:dyDescent="0.25">
      <c r="A3684" s="16">
        <v>11206</v>
      </c>
      <c r="B3684" s="1">
        <v>1</v>
      </c>
      <c r="C3684" s="1">
        <v>1</v>
      </c>
      <c r="D3684" s="1">
        <v>14</v>
      </c>
    </row>
    <row r="3685" spans="1:4" x14ac:dyDescent="0.25">
      <c r="A3685" s="16">
        <v>11207</v>
      </c>
      <c r="B3685" s="1">
        <v>1</v>
      </c>
      <c r="C3685" s="1">
        <v>2</v>
      </c>
      <c r="D3685" s="1">
        <v>5.6</v>
      </c>
    </row>
    <row r="3686" spans="1:4" x14ac:dyDescent="0.25">
      <c r="A3686" s="16">
        <v>11208</v>
      </c>
      <c r="B3686" s="1">
        <v>1</v>
      </c>
      <c r="C3686" s="1">
        <v>2</v>
      </c>
      <c r="D3686" s="1">
        <v>12</v>
      </c>
    </row>
    <row r="3687" spans="1:4" x14ac:dyDescent="0.25">
      <c r="A3687" s="16">
        <v>11209</v>
      </c>
      <c r="B3687" s="1">
        <v>1</v>
      </c>
      <c r="C3687" s="1">
        <v>1</v>
      </c>
      <c r="D3687" s="1">
        <v>9.1999999999999993</v>
      </c>
    </row>
    <row r="3688" spans="1:4" x14ac:dyDescent="0.25">
      <c r="A3688" s="16">
        <v>11210</v>
      </c>
      <c r="B3688" s="1">
        <v>1</v>
      </c>
      <c r="C3688" s="1">
        <v>1</v>
      </c>
      <c r="D3688" s="1">
        <v>40</v>
      </c>
    </row>
    <row r="3689" spans="1:4" x14ac:dyDescent="0.25">
      <c r="A3689" s="16">
        <v>11211</v>
      </c>
      <c r="B3689" s="1">
        <v>1</v>
      </c>
      <c r="C3689" s="1">
        <v>1</v>
      </c>
      <c r="D3689" s="1">
        <v>6.4</v>
      </c>
    </row>
    <row r="3690" spans="1:4" x14ac:dyDescent="0.25">
      <c r="A3690" s="16">
        <v>11212</v>
      </c>
      <c r="B3690" s="1">
        <v>1</v>
      </c>
      <c r="C3690" s="1">
        <v>1</v>
      </c>
      <c r="D3690" s="1">
        <v>10</v>
      </c>
    </row>
    <row r="3691" spans="1:4" x14ac:dyDescent="0.25">
      <c r="A3691" s="16">
        <v>11213</v>
      </c>
      <c r="B3691" s="1">
        <v>1</v>
      </c>
      <c r="C3691" s="1">
        <v>2</v>
      </c>
      <c r="D3691" s="1">
        <v>3.68</v>
      </c>
    </row>
    <row r="3692" spans="1:4" x14ac:dyDescent="0.25">
      <c r="A3692" s="16">
        <v>11214</v>
      </c>
      <c r="B3692" s="1">
        <v>1</v>
      </c>
      <c r="C3692" s="1">
        <v>1</v>
      </c>
      <c r="D3692" s="1">
        <v>36</v>
      </c>
    </row>
    <row r="3693" spans="1:4" x14ac:dyDescent="0.25">
      <c r="A3693" s="16">
        <v>11215</v>
      </c>
      <c r="B3693" s="1">
        <v>1</v>
      </c>
      <c r="C3693" s="1">
        <v>1</v>
      </c>
      <c r="D3693" s="1">
        <v>12</v>
      </c>
    </row>
    <row r="3694" spans="1:4" x14ac:dyDescent="0.25">
      <c r="A3694" s="16">
        <v>11216</v>
      </c>
      <c r="B3694" s="1">
        <v>1</v>
      </c>
      <c r="C3694" s="1">
        <v>1</v>
      </c>
      <c r="D3694" s="1">
        <v>8</v>
      </c>
    </row>
    <row r="3695" spans="1:4" x14ac:dyDescent="0.25">
      <c r="A3695" s="16">
        <v>11217</v>
      </c>
      <c r="B3695" s="1">
        <v>1</v>
      </c>
      <c r="C3695" s="1">
        <v>1</v>
      </c>
      <c r="D3695" s="1">
        <v>14</v>
      </c>
    </row>
    <row r="3696" spans="1:4" x14ac:dyDescent="0.25">
      <c r="A3696" s="16">
        <v>11218</v>
      </c>
      <c r="B3696" s="1">
        <v>1</v>
      </c>
      <c r="C3696" s="1">
        <v>2</v>
      </c>
      <c r="D3696" s="1">
        <v>5.6</v>
      </c>
    </row>
    <row r="3697" spans="1:4" x14ac:dyDescent="0.25">
      <c r="A3697" s="16">
        <v>11219</v>
      </c>
      <c r="B3697" s="1">
        <v>1</v>
      </c>
      <c r="C3697" s="1">
        <v>1</v>
      </c>
      <c r="D3697" s="1">
        <v>6</v>
      </c>
    </row>
    <row r="3698" spans="1:4" x14ac:dyDescent="0.25">
      <c r="A3698" s="16">
        <v>11220</v>
      </c>
      <c r="B3698" s="1">
        <v>1</v>
      </c>
      <c r="C3698" s="1">
        <v>1</v>
      </c>
      <c r="D3698" s="1">
        <v>6</v>
      </c>
    </row>
    <row r="3699" spans="1:4" x14ac:dyDescent="0.25">
      <c r="A3699" s="16">
        <v>11221</v>
      </c>
      <c r="B3699" s="1">
        <v>1</v>
      </c>
      <c r="C3699" s="1">
        <v>1</v>
      </c>
      <c r="D3699" s="1">
        <v>28</v>
      </c>
    </row>
    <row r="3700" spans="1:4" x14ac:dyDescent="0.25">
      <c r="A3700" s="16">
        <v>11222</v>
      </c>
      <c r="B3700" s="1">
        <v>1</v>
      </c>
      <c r="C3700" s="1">
        <v>1</v>
      </c>
      <c r="D3700" s="1">
        <v>40</v>
      </c>
    </row>
    <row r="3701" spans="1:4" x14ac:dyDescent="0.25">
      <c r="A3701" s="16">
        <v>11223</v>
      </c>
      <c r="B3701" s="1">
        <v>1</v>
      </c>
      <c r="C3701" s="1">
        <v>1</v>
      </c>
      <c r="D3701" s="1">
        <v>38</v>
      </c>
    </row>
    <row r="3702" spans="1:4" x14ac:dyDescent="0.25">
      <c r="A3702" s="16">
        <v>11224</v>
      </c>
      <c r="B3702" s="1">
        <v>1</v>
      </c>
      <c r="C3702" s="1">
        <v>1</v>
      </c>
      <c r="D3702" s="1">
        <v>7.6</v>
      </c>
    </row>
    <row r="3703" spans="1:4" x14ac:dyDescent="0.25">
      <c r="A3703" s="16">
        <v>11225</v>
      </c>
      <c r="B3703" s="1">
        <v>1</v>
      </c>
      <c r="C3703" s="1">
        <v>1</v>
      </c>
      <c r="D3703" s="1">
        <v>20</v>
      </c>
    </row>
    <row r="3704" spans="1:4" x14ac:dyDescent="0.25">
      <c r="A3704" s="16">
        <v>11226</v>
      </c>
      <c r="B3704" s="1">
        <v>1</v>
      </c>
      <c r="C3704" s="1">
        <v>2</v>
      </c>
      <c r="D3704" s="1">
        <v>4.8</v>
      </c>
    </row>
    <row r="3705" spans="1:4" x14ac:dyDescent="0.25">
      <c r="A3705" s="16">
        <v>11227</v>
      </c>
      <c r="B3705" s="1">
        <v>1</v>
      </c>
      <c r="C3705" s="1">
        <v>1</v>
      </c>
      <c r="D3705" s="1">
        <v>8</v>
      </c>
    </row>
    <row r="3706" spans="1:4" x14ac:dyDescent="0.25">
      <c r="A3706" s="16">
        <v>11228</v>
      </c>
      <c r="B3706" s="1">
        <v>1</v>
      </c>
      <c r="C3706" s="1">
        <v>2</v>
      </c>
      <c r="D3706" s="1">
        <v>5.6</v>
      </c>
    </row>
    <row r="3707" spans="1:4" x14ac:dyDescent="0.25">
      <c r="A3707" s="16">
        <v>11229</v>
      </c>
      <c r="B3707" s="1">
        <v>1</v>
      </c>
      <c r="C3707" s="1">
        <v>1</v>
      </c>
      <c r="D3707" s="1">
        <v>14</v>
      </c>
    </row>
    <row r="3708" spans="1:4" x14ac:dyDescent="0.25">
      <c r="A3708" s="16">
        <v>11230</v>
      </c>
      <c r="B3708" s="1">
        <v>1</v>
      </c>
      <c r="C3708" s="1">
        <v>1</v>
      </c>
      <c r="D3708" s="1">
        <v>36</v>
      </c>
    </row>
    <row r="3709" spans="1:4" x14ac:dyDescent="0.25">
      <c r="A3709" s="16">
        <v>11231</v>
      </c>
      <c r="B3709" s="1">
        <v>1</v>
      </c>
      <c r="C3709" s="1">
        <v>1</v>
      </c>
      <c r="D3709" s="1">
        <v>9.6</v>
      </c>
    </row>
    <row r="3710" spans="1:4" x14ac:dyDescent="0.25">
      <c r="A3710" s="16">
        <v>11232</v>
      </c>
      <c r="B3710" s="1">
        <v>1</v>
      </c>
      <c r="C3710" s="1">
        <v>1</v>
      </c>
      <c r="D3710" s="1">
        <v>28</v>
      </c>
    </row>
    <row r="3711" spans="1:4" x14ac:dyDescent="0.25">
      <c r="A3711" s="16">
        <v>11233</v>
      </c>
      <c r="B3711" s="1">
        <v>1</v>
      </c>
      <c r="C3711" s="1">
        <v>1</v>
      </c>
      <c r="D3711" s="1">
        <v>6</v>
      </c>
    </row>
    <row r="3712" spans="1:4" x14ac:dyDescent="0.25">
      <c r="A3712" s="16">
        <v>11234</v>
      </c>
      <c r="B3712" s="1">
        <v>1</v>
      </c>
      <c r="C3712" s="1">
        <v>1</v>
      </c>
      <c r="D3712" s="1">
        <v>9.1999999999999993</v>
      </c>
    </row>
    <row r="3713" spans="1:4" x14ac:dyDescent="0.25">
      <c r="A3713" s="16">
        <v>11235</v>
      </c>
      <c r="B3713" s="1">
        <v>1</v>
      </c>
      <c r="C3713" s="1">
        <v>1</v>
      </c>
      <c r="D3713" s="1">
        <v>8</v>
      </c>
    </row>
    <row r="3714" spans="1:4" x14ac:dyDescent="0.25">
      <c r="A3714" s="16">
        <v>11236</v>
      </c>
      <c r="B3714" s="1">
        <v>2</v>
      </c>
      <c r="C3714" s="1">
        <v>4</v>
      </c>
      <c r="D3714" s="1">
        <v>8.48</v>
      </c>
    </row>
    <row r="3715" spans="1:4" x14ac:dyDescent="0.25">
      <c r="A3715" s="16">
        <v>11237</v>
      </c>
      <c r="B3715" s="1">
        <v>1</v>
      </c>
      <c r="C3715" s="1">
        <v>1</v>
      </c>
      <c r="D3715" s="1">
        <v>7.6</v>
      </c>
    </row>
    <row r="3716" spans="1:4" x14ac:dyDescent="0.25">
      <c r="A3716" s="16">
        <v>11238</v>
      </c>
      <c r="B3716" s="1">
        <v>1</v>
      </c>
      <c r="C3716" s="1">
        <v>1</v>
      </c>
      <c r="D3716" s="1">
        <v>40</v>
      </c>
    </row>
    <row r="3717" spans="1:4" x14ac:dyDescent="0.25">
      <c r="A3717" s="16">
        <v>11239</v>
      </c>
      <c r="B3717" s="1">
        <v>1</v>
      </c>
      <c r="C3717" s="1">
        <v>1</v>
      </c>
      <c r="D3717" s="1">
        <v>8</v>
      </c>
    </row>
    <row r="3718" spans="1:4" x14ac:dyDescent="0.25">
      <c r="A3718" s="16">
        <v>11240</v>
      </c>
      <c r="B3718" s="1">
        <v>1</v>
      </c>
      <c r="C3718" s="1">
        <v>1</v>
      </c>
      <c r="D3718" s="1">
        <v>14</v>
      </c>
    </row>
    <row r="3719" spans="1:4" x14ac:dyDescent="0.25">
      <c r="A3719" s="16">
        <v>11241</v>
      </c>
      <c r="B3719" s="1">
        <v>1</v>
      </c>
      <c r="C3719" s="1">
        <v>1</v>
      </c>
      <c r="D3719" s="1">
        <v>14</v>
      </c>
    </row>
    <row r="3720" spans="1:4" x14ac:dyDescent="0.25">
      <c r="A3720" s="16">
        <v>11242</v>
      </c>
      <c r="B3720" s="1">
        <v>1</v>
      </c>
      <c r="C3720" s="1">
        <v>1</v>
      </c>
      <c r="D3720" s="1">
        <v>40</v>
      </c>
    </row>
    <row r="3721" spans="1:4" x14ac:dyDescent="0.25">
      <c r="A3721" s="16">
        <v>11243</v>
      </c>
      <c r="B3721" s="1">
        <v>1</v>
      </c>
      <c r="C3721" s="1">
        <v>1</v>
      </c>
      <c r="D3721" s="1">
        <v>6.4</v>
      </c>
    </row>
    <row r="3722" spans="1:4" x14ac:dyDescent="0.25">
      <c r="A3722" s="16">
        <v>11244</v>
      </c>
      <c r="B3722" s="1">
        <v>1</v>
      </c>
      <c r="C3722" s="1">
        <v>1</v>
      </c>
      <c r="D3722" s="1">
        <v>13.6</v>
      </c>
    </row>
    <row r="3723" spans="1:4" x14ac:dyDescent="0.25">
      <c r="A3723" s="16">
        <v>11245</v>
      </c>
      <c r="B3723" s="1">
        <v>1</v>
      </c>
      <c r="C3723" s="1">
        <v>1</v>
      </c>
      <c r="D3723" s="1">
        <v>51.64</v>
      </c>
    </row>
    <row r="3724" spans="1:4" x14ac:dyDescent="0.25">
      <c r="A3724" s="16">
        <v>11246</v>
      </c>
      <c r="B3724" s="1">
        <v>1</v>
      </c>
      <c r="C3724" s="1">
        <v>3</v>
      </c>
      <c r="D3724" s="1">
        <v>8.3999999999999986</v>
      </c>
    </row>
    <row r="3725" spans="1:4" x14ac:dyDescent="0.25">
      <c r="A3725" s="16">
        <v>11247</v>
      </c>
      <c r="B3725" s="1">
        <v>1</v>
      </c>
      <c r="C3725" s="1">
        <v>1</v>
      </c>
      <c r="D3725" s="1">
        <v>6</v>
      </c>
    </row>
    <row r="3726" spans="1:4" x14ac:dyDescent="0.25">
      <c r="A3726" s="16">
        <v>11248</v>
      </c>
      <c r="B3726" s="1">
        <v>1</v>
      </c>
      <c r="C3726" s="1">
        <v>1</v>
      </c>
      <c r="D3726" s="1">
        <v>14</v>
      </c>
    </row>
    <row r="3727" spans="1:4" x14ac:dyDescent="0.25">
      <c r="A3727" s="16">
        <v>11249</v>
      </c>
      <c r="B3727" s="1">
        <v>1</v>
      </c>
      <c r="C3727" s="1">
        <v>1</v>
      </c>
      <c r="D3727" s="1">
        <v>51.64</v>
      </c>
    </row>
    <row r="3728" spans="1:4" x14ac:dyDescent="0.25">
      <c r="A3728" s="16">
        <v>11250</v>
      </c>
      <c r="B3728" s="1">
        <v>2</v>
      </c>
      <c r="C3728" s="1">
        <v>2</v>
      </c>
      <c r="D3728" s="1">
        <v>46</v>
      </c>
    </row>
    <row r="3729" spans="1:4" x14ac:dyDescent="0.25">
      <c r="A3729" s="16">
        <v>11251</v>
      </c>
      <c r="B3729" s="1">
        <v>1</v>
      </c>
      <c r="C3729" s="1">
        <v>1</v>
      </c>
      <c r="D3729" s="1">
        <v>10</v>
      </c>
    </row>
    <row r="3730" spans="1:4" x14ac:dyDescent="0.25">
      <c r="A3730" s="16">
        <v>11252</v>
      </c>
      <c r="B3730" s="1">
        <v>1</v>
      </c>
      <c r="C3730" s="1">
        <v>1</v>
      </c>
      <c r="D3730" s="1">
        <v>36</v>
      </c>
    </row>
    <row r="3731" spans="1:4" x14ac:dyDescent="0.25">
      <c r="A3731" s="16">
        <v>11253</v>
      </c>
      <c r="B3731" s="1">
        <v>1</v>
      </c>
      <c r="C3731" s="1">
        <v>1</v>
      </c>
      <c r="D3731" s="1">
        <v>6.8</v>
      </c>
    </row>
    <row r="3732" spans="1:4" x14ac:dyDescent="0.25">
      <c r="A3732" s="16">
        <v>11254</v>
      </c>
      <c r="B3732" s="1">
        <v>1</v>
      </c>
      <c r="C3732" s="1">
        <v>1</v>
      </c>
      <c r="D3732" s="1">
        <v>7.6</v>
      </c>
    </row>
    <row r="3733" spans="1:4" x14ac:dyDescent="0.25">
      <c r="A3733" s="16">
        <v>11255</v>
      </c>
      <c r="B3733" s="1">
        <v>1</v>
      </c>
      <c r="C3733" s="1">
        <v>1</v>
      </c>
      <c r="D3733" s="1">
        <v>75.64</v>
      </c>
    </row>
    <row r="3734" spans="1:4" x14ac:dyDescent="0.25">
      <c r="A3734" s="16">
        <v>11256</v>
      </c>
      <c r="B3734" s="1">
        <v>1</v>
      </c>
      <c r="C3734" s="1">
        <v>1</v>
      </c>
      <c r="D3734" s="1">
        <v>14</v>
      </c>
    </row>
    <row r="3735" spans="1:4" x14ac:dyDescent="0.25">
      <c r="A3735" s="16">
        <v>11257</v>
      </c>
      <c r="B3735" s="1">
        <v>1</v>
      </c>
      <c r="C3735" s="1">
        <v>1</v>
      </c>
      <c r="D3735" s="1">
        <v>8</v>
      </c>
    </row>
    <row r="3736" spans="1:4" x14ac:dyDescent="0.25">
      <c r="A3736" s="16">
        <v>11258</v>
      </c>
      <c r="B3736" s="1">
        <v>1</v>
      </c>
      <c r="C3736" s="1">
        <v>1</v>
      </c>
      <c r="D3736" s="1">
        <v>12</v>
      </c>
    </row>
    <row r="3737" spans="1:4" x14ac:dyDescent="0.25">
      <c r="A3737" s="16">
        <v>11259</v>
      </c>
      <c r="B3737" s="1">
        <v>1</v>
      </c>
      <c r="C3737" s="1">
        <v>1</v>
      </c>
      <c r="D3737" s="1">
        <v>40</v>
      </c>
    </row>
    <row r="3738" spans="1:4" x14ac:dyDescent="0.25">
      <c r="A3738" s="16">
        <v>11260</v>
      </c>
      <c r="B3738" s="1">
        <v>1</v>
      </c>
      <c r="C3738" s="1">
        <v>1</v>
      </c>
      <c r="D3738" s="1">
        <v>22</v>
      </c>
    </row>
    <row r="3739" spans="1:4" x14ac:dyDescent="0.25">
      <c r="A3739" s="16">
        <v>11261</v>
      </c>
      <c r="B3739" s="1">
        <v>1</v>
      </c>
      <c r="C3739" s="1">
        <v>1</v>
      </c>
      <c r="D3739" s="1">
        <v>9.1999999999999993</v>
      </c>
    </row>
    <row r="3740" spans="1:4" x14ac:dyDescent="0.25">
      <c r="A3740" s="16">
        <v>11262</v>
      </c>
      <c r="B3740" s="1">
        <v>1</v>
      </c>
      <c r="C3740" s="1">
        <v>1</v>
      </c>
      <c r="D3740" s="1">
        <v>7.2</v>
      </c>
    </row>
    <row r="3741" spans="1:4" x14ac:dyDescent="0.25">
      <c r="A3741" s="16">
        <v>11263</v>
      </c>
      <c r="B3741" s="1">
        <v>1</v>
      </c>
      <c r="C3741" s="1">
        <v>2</v>
      </c>
      <c r="D3741" s="1">
        <v>8</v>
      </c>
    </row>
    <row r="3742" spans="1:4" x14ac:dyDescent="0.25">
      <c r="A3742" s="16">
        <v>11264</v>
      </c>
      <c r="B3742" s="1">
        <v>1</v>
      </c>
      <c r="C3742" s="1">
        <v>1</v>
      </c>
      <c r="D3742" s="1">
        <v>20</v>
      </c>
    </row>
    <row r="3743" spans="1:4" x14ac:dyDescent="0.25">
      <c r="A3743" s="16">
        <v>11265</v>
      </c>
      <c r="B3743" s="1">
        <v>1</v>
      </c>
      <c r="C3743" s="1">
        <v>1</v>
      </c>
      <c r="D3743" s="1">
        <v>28</v>
      </c>
    </row>
    <row r="3744" spans="1:4" x14ac:dyDescent="0.25">
      <c r="A3744" s="16">
        <v>11266</v>
      </c>
      <c r="B3744" s="1">
        <v>2</v>
      </c>
      <c r="C3744" s="1">
        <v>2</v>
      </c>
      <c r="D3744" s="1">
        <v>12.4</v>
      </c>
    </row>
    <row r="3745" spans="1:4" x14ac:dyDescent="0.25">
      <c r="A3745" s="16">
        <v>11267</v>
      </c>
      <c r="B3745" s="1">
        <v>1</v>
      </c>
      <c r="C3745" s="1">
        <v>1</v>
      </c>
      <c r="D3745" s="1">
        <v>14</v>
      </c>
    </row>
    <row r="3746" spans="1:4" x14ac:dyDescent="0.25">
      <c r="A3746" s="16">
        <v>11268</v>
      </c>
      <c r="B3746" s="1">
        <v>1</v>
      </c>
      <c r="C3746" s="1">
        <v>2</v>
      </c>
      <c r="D3746" s="1">
        <v>5.6</v>
      </c>
    </row>
    <row r="3747" spans="1:4" x14ac:dyDescent="0.25">
      <c r="A3747" s="16">
        <v>11269</v>
      </c>
      <c r="B3747" s="1">
        <v>1</v>
      </c>
      <c r="C3747" s="1">
        <v>1</v>
      </c>
      <c r="D3747" s="1">
        <v>63.64</v>
      </c>
    </row>
    <row r="3748" spans="1:4" x14ac:dyDescent="0.25">
      <c r="A3748" s="16">
        <v>11270</v>
      </c>
      <c r="B3748" s="1">
        <v>1</v>
      </c>
      <c r="C3748" s="1">
        <v>1</v>
      </c>
      <c r="D3748" s="1">
        <v>20</v>
      </c>
    </row>
    <row r="3749" spans="1:4" x14ac:dyDescent="0.25">
      <c r="A3749" s="16">
        <v>11271</v>
      </c>
      <c r="B3749" s="1">
        <v>1</v>
      </c>
      <c r="C3749" s="1">
        <v>1</v>
      </c>
      <c r="D3749" s="1">
        <v>8</v>
      </c>
    </row>
    <row r="3750" spans="1:4" x14ac:dyDescent="0.25">
      <c r="A3750" s="16">
        <v>11272</v>
      </c>
      <c r="B3750" s="1">
        <v>1</v>
      </c>
      <c r="C3750" s="1">
        <v>2</v>
      </c>
      <c r="D3750" s="1">
        <v>5.6</v>
      </c>
    </row>
    <row r="3751" spans="1:4" x14ac:dyDescent="0.25">
      <c r="A3751" s="16">
        <v>11273</v>
      </c>
      <c r="B3751" s="1">
        <v>1</v>
      </c>
      <c r="C3751" s="1">
        <v>1</v>
      </c>
      <c r="D3751" s="1">
        <v>6</v>
      </c>
    </row>
    <row r="3752" spans="1:4" x14ac:dyDescent="0.25">
      <c r="A3752" s="16">
        <v>11274</v>
      </c>
      <c r="B3752" s="1">
        <v>1</v>
      </c>
      <c r="C3752" s="1">
        <v>1</v>
      </c>
      <c r="D3752" s="1">
        <v>8</v>
      </c>
    </row>
    <row r="3753" spans="1:4" x14ac:dyDescent="0.25">
      <c r="A3753" s="16">
        <v>11275</v>
      </c>
      <c r="B3753" s="1">
        <v>1</v>
      </c>
      <c r="C3753" s="1">
        <v>1</v>
      </c>
      <c r="D3753" s="1">
        <v>14</v>
      </c>
    </row>
    <row r="3754" spans="1:4" x14ac:dyDescent="0.25">
      <c r="A3754" s="16">
        <v>11276</v>
      </c>
      <c r="B3754" s="1">
        <v>1</v>
      </c>
      <c r="C3754" s="1">
        <v>1</v>
      </c>
      <c r="D3754" s="1">
        <v>20</v>
      </c>
    </row>
    <row r="3755" spans="1:4" x14ac:dyDescent="0.25">
      <c r="A3755" s="16">
        <v>11277</v>
      </c>
      <c r="B3755" s="1">
        <v>1</v>
      </c>
      <c r="C3755" s="1">
        <v>1</v>
      </c>
      <c r="D3755" s="1">
        <v>40</v>
      </c>
    </row>
    <row r="3756" spans="1:4" x14ac:dyDescent="0.25">
      <c r="A3756" s="16">
        <v>11278</v>
      </c>
      <c r="B3756" s="1">
        <v>1</v>
      </c>
      <c r="C3756" s="1">
        <v>2</v>
      </c>
      <c r="D3756" s="1">
        <v>4.8</v>
      </c>
    </row>
    <row r="3757" spans="1:4" x14ac:dyDescent="0.25">
      <c r="A3757" s="16">
        <v>11279</v>
      </c>
      <c r="B3757" s="1">
        <v>1</v>
      </c>
      <c r="C3757" s="1">
        <v>1</v>
      </c>
      <c r="D3757" s="1">
        <v>28</v>
      </c>
    </row>
    <row r="3758" spans="1:4" x14ac:dyDescent="0.25">
      <c r="A3758" s="16">
        <v>11280</v>
      </c>
      <c r="B3758" s="1">
        <v>1</v>
      </c>
      <c r="C3758" s="1">
        <v>1</v>
      </c>
      <c r="D3758" s="1">
        <v>8</v>
      </c>
    </row>
    <row r="3759" spans="1:4" x14ac:dyDescent="0.25">
      <c r="A3759" s="16">
        <v>11281</v>
      </c>
      <c r="B3759" s="1">
        <v>1</v>
      </c>
      <c r="C3759" s="1">
        <v>1</v>
      </c>
      <c r="D3759" s="1">
        <v>7.6</v>
      </c>
    </row>
    <row r="3760" spans="1:4" x14ac:dyDescent="0.25">
      <c r="A3760" s="16">
        <v>11282</v>
      </c>
      <c r="B3760" s="1">
        <v>1</v>
      </c>
      <c r="C3760" s="1">
        <v>1</v>
      </c>
      <c r="D3760" s="1">
        <v>36</v>
      </c>
    </row>
    <row r="3761" spans="1:4" x14ac:dyDescent="0.25">
      <c r="A3761" s="16">
        <v>11283</v>
      </c>
      <c r="B3761" s="1">
        <v>1</v>
      </c>
      <c r="C3761" s="1">
        <v>1</v>
      </c>
      <c r="D3761" s="1">
        <v>40</v>
      </c>
    </row>
    <row r="3762" spans="1:4" x14ac:dyDescent="0.25">
      <c r="A3762" s="16">
        <v>11284</v>
      </c>
      <c r="B3762" s="1">
        <v>1</v>
      </c>
      <c r="C3762" s="1">
        <v>1</v>
      </c>
      <c r="D3762" s="1">
        <v>6.4</v>
      </c>
    </row>
    <row r="3763" spans="1:4" x14ac:dyDescent="0.25">
      <c r="A3763" s="16">
        <v>11285</v>
      </c>
      <c r="B3763" s="1">
        <v>1</v>
      </c>
      <c r="C3763" s="1">
        <v>3</v>
      </c>
      <c r="D3763" s="1">
        <v>8.3999999999999986</v>
      </c>
    </row>
    <row r="3764" spans="1:4" x14ac:dyDescent="0.25">
      <c r="A3764" s="16">
        <v>11286</v>
      </c>
      <c r="B3764" s="1">
        <v>1</v>
      </c>
      <c r="C3764" s="1">
        <v>2</v>
      </c>
      <c r="D3764" s="1">
        <v>3.68</v>
      </c>
    </row>
    <row r="3765" spans="1:4" x14ac:dyDescent="0.25">
      <c r="A3765" s="16">
        <v>11287</v>
      </c>
      <c r="B3765" s="1">
        <v>1</v>
      </c>
      <c r="C3765" s="1">
        <v>1</v>
      </c>
      <c r="D3765" s="1">
        <v>2.8</v>
      </c>
    </row>
    <row r="3766" spans="1:4" x14ac:dyDescent="0.25">
      <c r="A3766" s="16">
        <v>11288</v>
      </c>
      <c r="B3766" s="1">
        <v>1</v>
      </c>
      <c r="C3766" s="1">
        <v>1</v>
      </c>
      <c r="D3766" s="1">
        <v>6.8</v>
      </c>
    </row>
    <row r="3767" spans="1:4" x14ac:dyDescent="0.25">
      <c r="A3767" s="16">
        <v>11289</v>
      </c>
      <c r="B3767" s="1">
        <v>1</v>
      </c>
      <c r="C3767" s="1">
        <v>1</v>
      </c>
      <c r="D3767" s="1">
        <v>51.64</v>
      </c>
    </row>
    <row r="3768" spans="1:4" x14ac:dyDescent="0.25">
      <c r="A3768" s="16">
        <v>11290</v>
      </c>
      <c r="B3768" s="1">
        <v>1</v>
      </c>
      <c r="C3768" s="1">
        <v>2</v>
      </c>
      <c r="D3768" s="1">
        <v>12</v>
      </c>
    </row>
    <row r="3769" spans="1:4" x14ac:dyDescent="0.25">
      <c r="A3769" s="16">
        <v>11291</v>
      </c>
      <c r="B3769" s="1">
        <v>1</v>
      </c>
      <c r="C3769" s="1">
        <v>1</v>
      </c>
      <c r="D3769" s="1">
        <v>6</v>
      </c>
    </row>
    <row r="3770" spans="1:4" x14ac:dyDescent="0.25">
      <c r="A3770" s="16">
        <v>11292</v>
      </c>
      <c r="B3770" s="1">
        <v>1</v>
      </c>
      <c r="C3770" s="1">
        <v>1</v>
      </c>
      <c r="D3770" s="1">
        <v>10</v>
      </c>
    </row>
    <row r="3771" spans="1:4" x14ac:dyDescent="0.25">
      <c r="A3771" s="16">
        <v>11293</v>
      </c>
      <c r="B3771" s="1">
        <v>1</v>
      </c>
      <c r="C3771" s="1">
        <v>1</v>
      </c>
      <c r="D3771" s="1">
        <v>8</v>
      </c>
    </row>
    <row r="3772" spans="1:4" x14ac:dyDescent="0.25">
      <c r="A3772" s="16">
        <v>11294</v>
      </c>
      <c r="B3772" s="1">
        <v>1</v>
      </c>
      <c r="C3772" s="1">
        <v>1</v>
      </c>
      <c r="D3772" s="1">
        <v>75.64</v>
      </c>
    </row>
    <row r="3773" spans="1:4" x14ac:dyDescent="0.25">
      <c r="A3773" s="16">
        <v>11295</v>
      </c>
      <c r="B3773" s="1">
        <v>1</v>
      </c>
      <c r="C3773" s="1">
        <v>1</v>
      </c>
      <c r="D3773" s="1">
        <v>8</v>
      </c>
    </row>
    <row r="3774" spans="1:4" x14ac:dyDescent="0.25">
      <c r="A3774" s="16">
        <v>11296</v>
      </c>
      <c r="B3774" s="1">
        <v>1</v>
      </c>
      <c r="C3774" s="1">
        <v>2</v>
      </c>
      <c r="D3774" s="1">
        <v>8</v>
      </c>
    </row>
    <row r="3775" spans="1:4" x14ac:dyDescent="0.25">
      <c r="A3775" s="16">
        <v>11297</v>
      </c>
      <c r="B3775" s="1">
        <v>1</v>
      </c>
      <c r="C3775" s="1">
        <v>1</v>
      </c>
      <c r="D3775" s="1">
        <v>14</v>
      </c>
    </row>
    <row r="3776" spans="1:4" x14ac:dyDescent="0.25">
      <c r="A3776" s="16">
        <v>11298</v>
      </c>
      <c r="B3776" s="1">
        <v>1</v>
      </c>
      <c r="C3776" s="1">
        <v>1</v>
      </c>
      <c r="D3776" s="1">
        <v>7.6</v>
      </c>
    </row>
    <row r="3777" spans="1:4" x14ac:dyDescent="0.25">
      <c r="A3777" s="16">
        <v>11299</v>
      </c>
      <c r="B3777" s="1">
        <v>1</v>
      </c>
      <c r="C3777" s="1">
        <v>1</v>
      </c>
      <c r="D3777" s="1">
        <v>51.64</v>
      </c>
    </row>
    <row r="3778" spans="1:4" x14ac:dyDescent="0.25">
      <c r="A3778" s="16">
        <v>11300</v>
      </c>
      <c r="B3778" s="1">
        <v>1</v>
      </c>
      <c r="C3778" s="1">
        <v>1</v>
      </c>
      <c r="D3778" s="1">
        <v>20</v>
      </c>
    </row>
    <row r="3779" spans="1:4" x14ac:dyDescent="0.25">
      <c r="A3779" s="16">
        <v>11301</v>
      </c>
      <c r="B3779" s="1">
        <v>1</v>
      </c>
      <c r="C3779" s="1">
        <v>1</v>
      </c>
      <c r="D3779" s="1">
        <v>36</v>
      </c>
    </row>
    <row r="3780" spans="1:4" x14ac:dyDescent="0.25">
      <c r="A3780" s="16">
        <v>11302</v>
      </c>
      <c r="B3780" s="1">
        <v>1</v>
      </c>
      <c r="C3780" s="1">
        <v>1</v>
      </c>
      <c r="D3780" s="1">
        <v>12</v>
      </c>
    </row>
    <row r="3781" spans="1:4" x14ac:dyDescent="0.25">
      <c r="A3781" s="16">
        <v>11303</v>
      </c>
      <c r="B3781" s="1">
        <v>1</v>
      </c>
      <c r="C3781" s="1">
        <v>3</v>
      </c>
      <c r="D3781" s="1">
        <v>8.3999999999999986</v>
      </c>
    </row>
    <row r="3782" spans="1:4" x14ac:dyDescent="0.25">
      <c r="A3782" s="16">
        <v>11304</v>
      </c>
      <c r="B3782" s="1">
        <v>1</v>
      </c>
      <c r="C3782" s="1">
        <v>3</v>
      </c>
      <c r="D3782" s="1">
        <v>5.5200000000000005</v>
      </c>
    </row>
    <row r="3783" spans="1:4" x14ac:dyDescent="0.25">
      <c r="A3783" s="16">
        <v>11305</v>
      </c>
      <c r="B3783" s="1">
        <v>1</v>
      </c>
      <c r="C3783" s="1">
        <v>1</v>
      </c>
      <c r="D3783" s="1">
        <v>8</v>
      </c>
    </row>
    <row r="3784" spans="1:4" x14ac:dyDescent="0.25">
      <c r="A3784" s="16">
        <v>11306</v>
      </c>
      <c r="B3784" s="1">
        <v>1</v>
      </c>
      <c r="C3784" s="1">
        <v>1</v>
      </c>
      <c r="D3784" s="1">
        <v>6</v>
      </c>
    </row>
    <row r="3785" spans="1:4" x14ac:dyDescent="0.25">
      <c r="A3785" s="16">
        <v>11307</v>
      </c>
      <c r="B3785" s="1">
        <v>1</v>
      </c>
      <c r="C3785" s="1">
        <v>1</v>
      </c>
      <c r="D3785" s="1">
        <v>9.6</v>
      </c>
    </row>
    <row r="3786" spans="1:4" x14ac:dyDescent="0.25">
      <c r="A3786" s="16">
        <v>11308</v>
      </c>
      <c r="B3786" s="1">
        <v>1</v>
      </c>
      <c r="C3786" s="1">
        <v>1</v>
      </c>
      <c r="D3786" s="1">
        <v>14</v>
      </c>
    </row>
    <row r="3787" spans="1:4" x14ac:dyDescent="0.25">
      <c r="A3787" s="16">
        <v>11309</v>
      </c>
      <c r="B3787" s="1">
        <v>1</v>
      </c>
      <c r="C3787" s="1">
        <v>1</v>
      </c>
      <c r="D3787" s="1">
        <v>40</v>
      </c>
    </row>
    <row r="3788" spans="1:4" x14ac:dyDescent="0.25">
      <c r="A3788" s="16">
        <v>11310</v>
      </c>
      <c r="B3788" s="1">
        <v>1</v>
      </c>
      <c r="C3788" s="1">
        <v>1</v>
      </c>
      <c r="D3788" s="1">
        <v>36</v>
      </c>
    </row>
    <row r="3789" spans="1:4" x14ac:dyDescent="0.25">
      <c r="A3789" s="16">
        <v>11311</v>
      </c>
      <c r="B3789" s="1">
        <v>1</v>
      </c>
      <c r="C3789" s="1">
        <v>1</v>
      </c>
      <c r="D3789" s="1">
        <v>14</v>
      </c>
    </row>
    <row r="3790" spans="1:4" x14ac:dyDescent="0.25">
      <c r="A3790" s="16">
        <v>11312</v>
      </c>
      <c r="B3790" s="1">
        <v>1</v>
      </c>
      <c r="C3790" s="1">
        <v>2</v>
      </c>
      <c r="D3790" s="1">
        <v>5.6</v>
      </c>
    </row>
    <row r="3791" spans="1:4" x14ac:dyDescent="0.25">
      <c r="A3791" s="16">
        <v>11313</v>
      </c>
      <c r="B3791" s="1">
        <v>1</v>
      </c>
      <c r="C3791" s="1">
        <v>1</v>
      </c>
      <c r="D3791" s="1">
        <v>6</v>
      </c>
    </row>
    <row r="3792" spans="1:4" x14ac:dyDescent="0.25">
      <c r="A3792" s="16">
        <v>11314</v>
      </c>
      <c r="B3792" s="1">
        <v>1</v>
      </c>
      <c r="C3792" s="1">
        <v>1</v>
      </c>
      <c r="D3792" s="1">
        <v>51.64</v>
      </c>
    </row>
    <row r="3793" spans="1:4" x14ac:dyDescent="0.25">
      <c r="A3793" s="16">
        <v>11315</v>
      </c>
      <c r="B3793" s="1">
        <v>1</v>
      </c>
      <c r="C3793" s="1">
        <v>1</v>
      </c>
      <c r="D3793" s="1">
        <v>8</v>
      </c>
    </row>
    <row r="3794" spans="1:4" x14ac:dyDescent="0.25">
      <c r="A3794" s="16">
        <v>11316</v>
      </c>
      <c r="B3794" s="1">
        <v>1</v>
      </c>
      <c r="C3794" s="1">
        <v>2</v>
      </c>
      <c r="D3794" s="1">
        <v>3.68</v>
      </c>
    </row>
    <row r="3795" spans="1:4" x14ac:dyDescent="0.25">
      <c r="A3795" s="16">
        <v>11317</v>
      </c>
      <c r="B3795" s="1">
        <v>1</v>
      </c>
      <c r="C3795" s="1">
        <v>1</v>
      </c>
      <c r="D3795" s="1">
        <v>7.6</v>
      </c>
    </row>
    <row r="3796" spans="1:4" x14ac:dyDescent="0.25">
      <c r="A3796" s="16">
        <v>11318</v>
      </c>
      <c r="B3796" s="1">
        <v>1</v>
      </c>
      <c r="C3796" s="1">
        <v>1</v>
      </c>
      <c r="D3796" s="1">
        <v>8</v>
      </c>
    </row>
    <row r="3797" spans="1:4" x14ac:dyDescent="0.25">
      <c r="A3797" s="16">
        <v>11319</v>
      </c>
      <c r="B3797" s="1">
        <v>1</v>
      </c>
      <c r="C3797" s="1">
        <v>2</v>
      </c>
      <c r="D3797" s="1">
        <v>12</v>
      </c>
    </row>
    <row r="3798" spans="1:4" x14ac:dyDescent="0.25">
      <c r="A3798" s="16">
        <v>11320</v>
      </c>
      <c r="B3798" s="1">
        <v>1</v>
      </c>
      <c r="C3798" s="1">
        <v>1</v>
      </c>
      <c r="D3798" s="1">
        <v>2.8</v>
      </c>
    </row>
    <row r="3799" spans="1:4" x14ac:dyDescent="0.25">
      <c r="A3799" s="16">
        <v>11321</v>
      </c>
      <c r="B3799" s="1">
        <v>1</v>
      </c>
      <c r="C3799" s="1">
        <v>1</v>
      </c>
      <c r="D3799" s="1">
        <v>14</v>
      </c>
    </row>
    <row r="3800" spans="1:4" x14ac:dyDescent="0.25">
      <c r="A3800" s="16">
        <v>11322</v>
      </c>
      <c r="B3800" s="1">
        <v>1</v>
      </c>
      <c r="C3800" s="1">
        <v>1</v>
      </c>
      <c r="D3800" s="1">
        <v>6</v>
      </c>
    </row>
    <row r="3801" spans="1:4" x14ac:dyDescent="0.25">
      <c r="A3801" s="16">
        <v>11323</v>
      </c>
      <c r="B3801" s="1">
        <v>1</v>
      </c>
      <c r="C3801" s="1">
        <v>3</v>
      </c>
      <c r="D3801" s="1">
        <v>8.3999999999999986</v>
      </c>
    </row>
    <row r="3802" spans="1:4" x14ac:dyDescent="0.25">
      <c r="A3802" s="16">
        <v>11324</v>
      </c>
      <c r="B3802" s="1">
        <v>1</v>
      </c>
      <c r="C3802" s="1">
        <v>1</v>
      </c>
      <c r="D3802" s="1">
        <v>14</v>
      </c>
    </row>
    <row r="3803" spans="1:4" x14ac:dyDescent="0.25">
      <c r="A3803" s="16">
        <v>11325</v>
      </c>
      <c r="B3803" s="1">
        <v>1</v>
      </c>
      <c r="C3803" s="1">
        <v>1</v>
      </c>
      <c r="D3803" s="1">
        <v>8</v>
      </c>
    </row>
    <row r="3804" spans="1:4" x14ac:dyDescent="0.25">
      <c r="A3804" s="16">
        <v>11326</v>
      </c>
      <c r="B3804" s="1">
        <v>1</v>
      </c>
      <c r="C3804" s="1">
        <v>2</v>
      </c>
      <c r="D3804" s="1">
        <v>12.8</v>
      </c>
    </row>
    <row r="3805" spans="1:4" x14ac:dyDescent="0.25">
      <c r="A3805" s="16">
        <v>11327</v>
      </c>
      <c r="B3805" s="1">
        <v>1</v>
      </c>
      <c r="C3805" s="1">
        <v>3</v>
      </c>
      <c r="D3805" s="1">
        <v>7.1999999999999993</v>
      </c>
    </row>
    <row r="3806" spans="1:4" x14ac:dyDescent="0.25">
      <c r="A3806" s="16">
        <v>11328</v>
      </c>
      <c r="B3806" s="1">
        <v>1</v>
      </c>
      <c r="C3806" s="1">
        <v>1</v>
      </c>
      <c r="D3806" s="1">
        <v>8</v>
      </c>
    </row>
    <row r="3807" spans="1:4" x14ac:dyDescent="0.25">
      <c r="A3807" s="16">
        <v>11329</v>
      </c>
      <c r="B3807" s="1">
        <v>1</v>
      </c>
      <c r="C3807" s="1">
        <v>1</v>
      </c>
      <c r="D3807" s="1">
        <v>6.8</v>
      </c>
    </row>
    <row r="3808" spans="1:4" x14ac:dyDescent="0.25">
      <c r="A3808" s="16">
        <v>11330</v>
      </c>
      <c r="B3808" s="1">
        <v>1</v>
      </c>
      <c r="C3808" s="1">
        <v>2</v>
      </c>
      <c r="D3808" s="1">
        <v>3.68</v>
      </c>
    </row>
    <row r="3809" spans="1:4" x14ac:dyDescent="0.25">
      <c r="A3809" s="16">
        <v>11331</v>
      </c>
      <c r="B3809" s="1">
        <v>1</v>
      </c>
      <c r="C3809" s="1">
        <v>1</v>
      </c>
      <c r="D3809" s="1">
        <v>36</v>
      </c>
    </row>
    <row r="3810" spans="1:4" x14ac:dyDescent="0.25">
      <c r="A3810" s="16">
        <v>11332</v>
      </c>
      <c r="B3810" s="1">
        <v>1</v>
      </c>
      <c r="C3810" s="1">
        <v>2</v>
      </c>
      <c r="D3810" s="1">
        <v>5.6</v>
      </c>
    </row>
    <row r="3811" spans="1:4" x14ac:dyDescent="0.25">
      <c r="A3811" s="16">
        <v>11333</v>
      </c>
      <c r="B3811" s="1">
        <v>1</v>
      </c>
      <c r="C3811" s="1">
        <v>1</v>
      </c>
      <c r="D3811" s="1">
        <v>6</v>
      </c>
    </row>
    <row r="3812" spans="1:4" x14ac:dyDescent="0.25">
      <c r="A3812" s="16">
        <v>11334</v>
      </c>
      <c r="B3812" s="1">
        <v>1</v>
      </c>
      <c r="C3812" s="1">
        <v>1</v>
      </c>
      <c r="D3812" s="1">
        <v>40</v>
      </c>
    </row>
    <row r="3813" spans="1:4" x14ac:dyDescent="0.25">
      <c r="A3813" s="16">
        <v>11335</v>
      </c>
      <c r="B3813" s="1">
        <v>1</v>
      </c>
      <c r="C3813" s="1">
        <v>1</v>
      </c>
      <c r="D3813" s="1">
        <v>51.64</v>
      </c>
    </row>
    <row r="3814" spans="1:4" x14ac:dyDescent="0.25">
      <c r="A3814" s="16">
        <v>11336</v>
      </c>
      <c r="B3814" s="1">
        <v>1</v>
      </c>
      <c r="C3814" s="1">
        <v>1</v>
      </c>
      <c r="D3814" s="1">
        <v>7.6</v>
      </c>
    </row>
    <row r="3815" spans="1:4" x14ac:dyDescent="0.25">
      <c r="A3815" s="16">
        <v>11337</v>
      </c>
      <c r="B3815" s="1">
        <v>1</v>
      </c>
      <c r="C3815" s="1">
        <v>4</v>
      </c>
      <c r="D3815" s="1">
        <v>11.2</v>
      </c>
    </row>
    <row r="3816" spans="1:4" x14ac:dyDescent="0.25">
      <c r="A3816" s="16">
        <v>11338</v>
      </c>
      <c r="B3816" s="1">
        <v>1</v>
      </c>
      <c r="C3816" s="1">
        <v>1</v>
      </c>
      <c r="D3816" s="1">
        <v>14</v>
      </c>
    </row>
    <row r="3817" spans="1:4" x14ac:dyDescent="0.25">
      <c r="A3817" s="16">
        <v>11339</v>
      </c>
      <c r="B3817" s="1">
        <v>1</v>
      </c>
      <c r="C3817" s="1">
        <v>2</v>
      </c>
      <c r="D3817" s="1">
        <v>4.8</v>
      </c>
    </row>
    <row r="3818" spans="1:4" x14ac:dyDescent="0.25">
      <c r="A3818" s="16">
        <v>11340</v>
      </c>
      <c r="B3818" s="1">
        <v>1</v>
      </c>
      <c r="C3818" s="1">
        <v>1</v>
      </c>
      <c r="D3818" s="1">
        <v>8</v>
      </c>
    </row>
    <row r="3819" spans="1:4" x14ac:dyDescent="0.25">
      <c r="A3819" s="16">
        <v>11341</v>
      </c>
      <c r="B3819" s="1">
        <v>1</v>
      </c>
      <c r="C3819" s="1">
        <v>1</v>
      </c>
      <c r="D3819" s="1">
        <v>6</v>
      </c>
    </row>
    <row r="3820" spans="1:4" x14ac:dyDescent="0.25">
      <c r="A3820" s="16">
        <v>11342</v>
      </c>
      <c r="B3820" s="1">
        <v>1</v>
      </c>
      <c r="C3820" s="1">
        <v>3</v>
      </c>
      <c r="D3820" s="1">
        <v>8.3999999999999986</v>
      </c>
    </row>
    <row r="3821" spans="1:4" x14ac:dyDescent="0.25">
      <c r="A3821" s="16">
        <v>11343</v>
      </c>
      <c r="B3821" s="1">
        <v>1</v>
      </c>
      <c r="C3821" s="1">
        <v>1</v>
      </c>
      <c r="D3821" s="1">
        <v>1.84</v>
      </c>
    </row>
    <row r="3822" spans="1:4" x14ac:dyDescent="0.25">
      <c r="A3822" s="16">
        <v>11344</v>
      </c>
      <c r="B3822" s="1">
        <v>1</v>
      </c>
      <c r="C3822" s="1">
        <v>1</v>
      </c>
      <c r="D3822" s="1">
        <v>36</v>
      </c>
    </row>
    <row r="3823" spans="1:4" x14ac:dyDescent="0.25">
      <c r="A3823" s="16">
        <v>11345</v>
      </c>
      <c r="B3823" s="1">
        <v>1</v>
      </c>
      <c r="C3823" s="1">
        <v>1</v>
      </c>
      <c r="D3823" s="1">
        <v>40</v>
      </c>
    </row>
    <row r="3824" spans="1:4" x14ac:dyDescent="0.25">
      <c r="A3824" s="16">
        <v>11346</v>
      </c>
      <c r="B3824" s="1">
        <v>1</v>
      </c>
      <c r="C3824" s="1">
        <v>1</v>
      </c>
      <c r="D3824" s="1">
        <v>8</v>
      </c>
    </row>
    <row r="3825" spans="1:4" x14ac:dyDescent="0.25">
      <c r="A3825" s="16">
        <v>11347</v>
      </c>
      <c r="B3825" s="1">
        <v>1</v>
      </c>
      <c r="C3825" s="1">
        <v>1</v>
      </c>
      <c r="D3825" s="1">
        <v>6.4</v>
      </c>
    </row>
    <row r="3826" spans="1:4" x14ac:dyDescent="0.25">
      <c r="A3826" s="16">
        <v>11348</v>
      </c>
      <c r="B3826" s="1">
        <v>1</v>
      </c>
      <c r="C3826" s="1">
        <v>1</v>
      </c>
      <c r="D3826" s="1">
        <v>7.6</v>
      </c>
    </row>
    <row r="3827" spans="1:4" x14ac:dyDescent="0.25">
      <c r="A3827" s="16">
        <v>11349</v>
      </c>
      <c r="B3827" s="1">
        <v>1</v>
      </c>
      <c r="C3827" s="1">
        <v>3</v>
      </c>
      <c r="D3827" s="1">
        <v>8.3999999999999986</v>
      </c>
    </row>
    <row r="3828" spans="1:4" x14ac:dyDescent="0.25">
      <c r="A3828" s="16">
        <v>11350</v>
      </c>
      <c r="B3828" s="1">
        <v>1</v>
      </c>
      <c r="C3828" s="1">
        <v>1</v>
      </c>
      <c r="D3828" s="1">
        <v>4</v>
      </c>
    </row>
    <row r="3829" spans="1:4" x14ac:dyDescent="0.25">
      <c r="A3829" s="16">
        <v>11351</v>
      </c>
      <c r="B3829" s="1">
        <v>1</v>
      </c>
      <c r="C3829" s="1">
        <v>1</v>
      </c>
      <c r="D3829" s="1">
        <v>8</v>
      </c>
    </row>
    <row r="3830" spans="1:4" x14ac:dyDescent="0.25">
      <c r="A3830" s="16">
        <v>11352</v>
      </c>
      <c r="B3830" s="1">
        <v>1</v>
      </c>
      <c r="C3830" s="1">
        <v>1</v>
      </c>
      <c r="D3830" s="1">
        <v>51.64</v>
      </c>
    </row>
    <row r="3831" spans="1:4" x14ac:dyDescent="0.25">
      <c r="A3831" s="16">
        <v>11353</v>
      </c>
      <c r="B3831" s="1">
        <v>1</v>
      </c>
      <c r="C3831" s="1">
        <v>1</v>
      </c>
      <c r="D3831" s="1">
        <v>6</v>
      </c>
    </row>
    <row r="3832" spans="1:4" x14ac:dyDescent="0.25">
      <c r="A3832" s="16">
        <v>11354</v>
      </c>
      <c r="B3832" s="1">
        <v>1</v>
      </c>
      <c r="C3832" s="1">
        <v>2</v>
      </c>
      <c r="D3832" s="1">
        <v>5.6</v>
      </c>
    </row>
    <row r="3833" spans="1:4" x14ac:dyDescent="0.25">
      <c r="A3833" s="16">
        <v>11355</v>
      </c>
      <c r="B3833" s="1">
        <v>1</v>
      </c>
      <c r="C3833" s="1">
        <v>1</v>
      </c>
      <c r="D3833" s="1">
        <v>14</v>
      </c>
    </row>
    <row r="3834" spans="1:4" x14ac:dyDescent="0.25">
      <c r="A3834" s="16">
        <v>11356</v>
      </c>
      <c r="B3834" s="1">
        <v>1</v>
      </c>
      <c r="C3834" s="1">
        <v>1</v>
      </c>
      <c r="D3834" s="1">
        <v>40</v>
      </c>
    </row>
    <row r="3835" spans="1:4" x14ac:dyDescent="0.25">
      <c r="A3835" s="16">
        <v>11357</v>
      </c>
      <c r="B3835" s="1">
        <v>1</v>
      </c>
      <c r="C3835" s="1">
        <v>1</v>
      </c>
      <c r="D3835" s="1">
        <v>7.6</v>
      </c>
    </row>
    <row r="3836" spans="1:4" x14ac:dyDescent="0.25">
      <c r="A3836" s="16">
        <v>11358</v>
      </c>
      <c r="B3836" s="1">
        <v>1</v>
      </c>
      <c r="C3836" s="1">
        <v>1</v>
      </c>
      <c r="D3836" s="1">
        <v>6</v>
      </c>
    </row>
    <row r="3837" spans="1:4" x14ac:dyDescent="0.25">
      <c r="A3837" s="16">
        <v>11359</v>
      </c>
      <c r="B3837" s="1">
        <v>1</v>
      </c>
      <c r="C3837" s="1">
        <v>1</v>
      </c>
      <c r="D3837" s="1">
        <v>6.4</v>
      </c>
    </row>
    <row r="3838" spans="1:4" x14ac:dyDescent="0.25">
      <c r="A3838" s="16">
        <v>11360</v>
      </c>
      <c r="B3838" s="1">
        <v>1</v>
      </c>
      <c r="C3838" s="1">
        <v>2</v>
      </c>
      <c r="D3838" s="1">
        <v>3.68</v>
      </c>
    </row>
    <row r="3839" spans="1:4" x14ac:dyDescent="0.25">
      <c r="A3839" s="16">
        <v>11361</v>
      </c>
      <c r="B3839" s="1">
        <v>1</v>
      </c>
      <c r="C3839" s="1">
        <v>1</v>
      </c>
      <c r="D3839" s="1">
        <v>8</v>
      </c>
    </row>
    <row r="3840" spans="1:4" x14ac:dyDescent="0.25">
      <c r="A3840" s="16">
        <v>11362</v>
      </c>
      <c r="B3840" s="1">
        <v>1</v>
      </c>
      <c r="C3840" s="1">
        <v>2</v>
      </c>
      <c r="D3840" s="1">
        <v>5.6</v>
      </c>
    </row>
    <row r="3841" spans="1:4" x14ac:dyDescent="0.25">
      <c r="A3841" s="16">
        <v>11363</v>
      </c>
      <c r="B3841" s="1">
        <v>1</v>
      </c>
      <c r="C3841" s="1">
        <v>1</v>
      </c>
      <c r="D3841" s="1">
        <v>14</v>
      </c>
    </row>
    <row r="3842" spans="1:4" x14ac:dyDescent="0.25">
      <c r="A3842" s="16">
        <v>11364</v>
      </c>
      <c r="B3842" s="1">
        <v>1</v>
      </c>
      <c r="C3842" s="1">
        <v>1</v>
      </c>
      <c r="D3842" s="1">
        <v>40</v>
      </c>
    </row>
    <row r="3843" spans="1:4" x14ac:dyDescent="0.25">
      <c r="A3843" s="16">
        <v>11365</v>
      </c>
      <c r="B3843" s="1">
        <v>1</v>
      </c>
      <c r="C3843" s="1">
        <v>1</v>
      </c>
      <c r="D3843" s="1">
        <v>2.8</v>
      </c>
    </row>
    <row r="3844" spans="1:4" x14ac:dyDescent="0.25">
      <c r="A3844" s="16">
        <v>11366</v>
      </c>
      <c r="B3844" s="1">
        <v>1</v>
      </c>
      <c r="C3844" s="1">
        <v>2</v>
      </c>
      <c r="D3844" s="1">
        <v>12</v>
      </c>
    </row>
    <row r="3845" spans="1:4" x14ac:dyDescent="0.25">
      <c r="A3845" s="16">
        <v>11367</v>
      </c>
      <c r="B3845" s="1">
        <v>1</v>
      </c>
      <c r="C3845" s="1">
        <v>1</v>
      </c>
      <c r="D3845" s="1">
        <v>8</v>
      </c>
    </row>
    <row r="3846" spans="1:4" x14ac:dyDescent="0.25">
      <c r="A3846" s="16">
        <v>11368</v>
      </c>
      <c r="B3846" s="1">
        <v>1</v>
      </c>
      <c r="C3846" s="1">
        <v>1</v>
      </c>
      <c r="D3846" s="1">
        <v>2.4</v>
      </c>
    </row>
    <row r="3847" spans="1:4" x14ac:dyDescent="0.25">
      <c r="A3847" s="16">
        <v>11369</v>
      </c>
      <c r="B3847" s="1">
        <v>1</v>
      </c>
      <c r="C3847" s="1">
        <v>1</v>
      </c>
      <c r="D3847" s="1">
        <v>36</v>
      </c>
    </row>
    <row r="3848" spans="1:4" x14ac:dyDescent="0.25">
      <c r="A3848" s="16">
        <v>11370</v>
      </c>
      <c r="B3848" s="1">
        <v>1</v>
      </c>
      <c r="C3848" s="1">
        <v>1</v>
      </c>
      <c r="D3848" s="1">
        <v>14</v>
      </c>
    </row>
    <row r="3849" spans="1:4" x14ac:dyDescent="0.25">
      <c r="A3849" s="16">
        <v>11371</v>
      </c>
      <c r="B3849" s="1">
        <v>1</v>
      </c>
      <c r="C3849" s="1">
        <v>2</v>
      </c>
      <c r="D3849" s="1">
        <v>5.6</v>
      </c>
    </row>
    <row r="3850" spans="1:4" x14ac:dyDescent="0.25">
      <c r="A3850" s="16">
        <v>11372</v>
      </c>
      <c r="B3850" s="1">
        <v>1</v>
      </c>
      <c r="C3850" s="1">
        <v>1</v>
      </c>
      <c r="D3850" s="1">
        <v>7.2</v>
      </c>
    </row>
    <row r="3851" spans="1:4" x14ac:dyDescent="0.25">
      <c r="A3851" s="16">
        <v>11373</v>
      </c>
      <c r="B3851" s="1">
        <v>1</v>
      </c>
      <c r="C3851" s="1">
        <v>4</v>
      </c>
      <c r="D3851" s="1">
        <v>11.2</v>
      </c>
    </row>
    <row r="3852" spans="1:4" x14ac:dyDescent="0.25">
      <c r="A3852" s="16">
        <v>11374</v>
      </c>
      <c r="B3852" s="1">
        <v>1</v>
      </c>
      <c r="C3852" s="1">
        <v>2</v>
      </c>
      <c r="D3852" s="1">
        <v>12</v>
      </c>
    </row>
    <row r="3853" spans="1:4" x14ac:dyDescent="0.25">
      <c r="A3853" s="16">
        <v>11375</v>
      </c>
      <c r="B3853" s="1">
        <v>1</v>
      </c>
      <c r="C3853" s="1">
        <v>1</v>
      </c>
      <c r="D3853" s="1">
        <v>42</v>
      </c>
    </row>
    <row r="3854" spans="1:4" x14ac:dyDescent="0.25">
      <c r="A3854" s="16">
        <v>11376</v>
      </c>
      <c r="B3854" s="1">
        <v>1</v>
      </c>
      <c r="C3854" s="1">
        <v>1</v>
      </c>
      <c r="D3854" s="1">
        <v>8.8000000000000007</v>
      </c>
    </row>
    <row r="3855" spans="1:4" x14ac:dyDescent="0.25">
      <c r="A3855" s="16">
        <v>11377</v>
      </c>
      <c r="B3855" s="1">
        <v>1</v>
      </c>
      <c r="C3855" s="1">
        <v>6</v>
      </c>
      <c r="D3855" s="1">
        <v>14.399999999999999</v>
      </c>
    </row>
    <row r="3856" spans="1:4" x14ac:dyDescent="0.25">
      <c r="A3856" s="16">
        <v>11378</v>
      </c>
      <c r="B3856" s="1">
        <v>1</v>
      </c>
      <c r="C3856" s="1">
        <v>1</v>
      </c>
      <c r="D3856" s="1">
        <v>8</v>
      </c>
    </row>
    <row r="3857" spans="1:4" x14ac:dyDescent="0.25">
      <c r="A3857" s="16">
        <v>11379</v>
      </c>
      <c r="B3857" s="1">
        <v>1</v>
      </c>
      <c r="C3857" s="1">
        <v>2</v>
      </c>
      <c r="D3857" s="1">
        <v>25.6</v>
      </c>
    </row>
    <row r="3858" spans="1:4" x14ac:dyDescent="0.25">
      <c r="A3858" s="16">
        <v>11380</v>
      </c>
      <c r="B3858" s="1">
        <v>1</v>
      </c>
      <c r="C3858" s="1">
        <v>1</v>
      </c>
      <c r="D3858" s="1">
        <v>40</v>
      </c>
    </row>
    <row r="3859" spans="1:4" x14ac:dyDescent="0.25">
      <c r="A3859" s="16">
        <v>11381</v>
      </c>
      <c r="B3859" s="1">
        <v>1</v>
      </c>
      <c r="C3859" s="1">
        <v>1</v>
      </c>
      <c r="D3859" s="1">
        <v>7.6</v>
      </c>
    </row>
    <row r="3860" spans="1:4" x14ac:dyDescent="0.25">
      <c r="A3860" s="16">
        <v>11382</v>
      </c>
      <c r="B3860" s="1">
        <v>1</v>
      </c>
      <c r="C3860" s="1">
        <v>3</v>
      </c>
      <c r="D3860" s="1">
        <v>8.3999999999999986</v>
      </c>
    </row>
    <row r="3861" spans="1:4" x14ac:dyDescent="0.25">
      <c r="A3861" s="16">
        <v>11383</v>
      </c>
      <c r="B3861" s="1">
        <v>1</v>
      </c>
      <c r="C3861" s="1">
        <v>1</v>
      </c>
      <c r="D3861" s="1">
        <v>36</v>
      </c>
    </row>
    <row r="3862" spans="1:4" x14ac:dyDescent="0.25">
      <c r="A3862" s="16">
        <v>11384</v>
      </c>
      <c r="B3862" s="1">
        <v>1</v>
      </c>
      <c r="C3862" s="1">
        <v>5</v>
      </c>
      <c r="D3862" s="1">
        <v>9.2000000000000011</v>
      </c>
    </row>
    <row r="3863" spans="1:4" x14ac:dyDescent="0.25">
      <c r="A3863" s="16">
        <v>11385</v>
      </c>
      <c r="B3863" s="1">
        <v>1</v>
      </c>
      <c r="C3863" s="1">
        <v>1</v>
      </c>
      <c r="D3863" s="1">
        <v>11.2</v>
      </c>
    </row>
    <row r="3864" spans="1:4" x14ac:dyDescent="0.25">
      <c r="A3864" s="16">
        <v>11386</v>
      </c>
      <c r="B3864" s="1">
        <v>1</v>
      </c>
      <c r="C3864" s="1">
        <v>1</v>
      </c>
      <c r="D3864" s="1">
        <v>19.600000000000001</v>
      </c>
    </row>
    <row r="3865" spans="1:4" x14ac:dyDescent="0.25">
      <c r="A3865" s="16">
        <v>11387</v>
      </c>
      <c r="B3865" s="1">
        <v>1</v>
      </c>
      <c r="C3865" s="1">
        <v>1</v>
      </c>
      <c r="D3865" s="1">
        <v>7.6</v>
      </c>
    </row>
    <row r="3866" spans="1:4" x14ac:dyDescent="0.25">
      <c r="A3866" s="16">
        <v>11388</v>
      </c>
      <c r="B3866" s="1">
        <v>1</v>
      </c>
      <c r="C3866" s="1">
        <v>1</v>
      </c>
      <c r="D3866" s="1">
        <v>7.2</v>
      </c>
    </row>
    <row r="3867" spans="1:4" x14ac:dyDescent="0.25">
      <c r="A3867" s="16">
        <v>11389</v>
      </c>
      <c r="B3867" s="1">
        <v>1</v>
      </c>
      <c r="C3867" s="1">
        <v>1</v>
      </c>
      <c r="D3867" s="1">
        <v>79.64</v>
      </c>
    </row>
    <row r="3868" spans="1:4" x14ac:dyDescent="0.25">
      <c r="A3868" s="16">
        <v>11390</v>
      </c>
      <c r="B3868" s="1">
        <v>1</v>
      </c>
      <c r="C3868" s="1">
        <v>1</v>
      </c>
      <c r="D3868" s="1">
        <v>42</v>
      </c>
    </row>
    <row r="3869" spans="1:4" x14ac:dyDescent="0.25">
      <c r="A3869" s="16">
        <v>11391</v>
      </c>
      <c r="B3869" s="1">
        <v>1</v>
      </c>
      <c r="C3869" s="1">
        <v>2</v>
      </c>
      <c r="D3869" s="1">
        <v>19.2</v>
      </c>
    </row>
    <row r="3870" spans="1:4" x14ac:dyDescent="0.25">
      <c r="A3870" s="16">
        <v>11392</v>
      </c>
      <c r="B3870" s="1">
        <v>1</v>
      </c>
      <c r="C3870" s="1">
        <v>1</v>
      </c>
      <c r="D3870" s="1">
        <v>10</v>
      </c>
    </row>
    <row r="3871" spans="1:4" x14ac:dyDescent="0.25">
      <c r="A3871" s="16">
        <v>11393</v>
      </c>
      <c r="B3871" s="1">
        <v>1</v>
      </c>
      <c r="C3871" s="1">
        <v>1</v>
      </c>
      <c r="D3871" s="1">
        <v>6</v>
      </c>
    </row>
    <row r="3872" spans="1:4" x14ac:dyDescent="0.25">
      <c r="A3872" s="16">
        <v>11394</v>
      </c>
      <c r="B3872" s="1">
        <v>1</v>
      </c>
      <c r="C3872" s="1">
        <v>1</v>
      </c>
      <c r="D3872" s="1">
        <v>10.4</v>
      </c>
    </row>
    <row r="3873" spans="1:4" x14ac:dyDescent="0.25">
      <c r="A3873" s="16">
        <v>11395</v>
      </c>
      <c r="B3873" s="1">
        <v>1</v>
      </c>
      <c r="C3873" s="1">
        <v>1</v>
      </c>
      <c r="D3873" s="1">
        <v>6</v>
      </c>
    </row>
    <row r="3874" spans="1:4" x14ac:dyDescent="0.25">
      <c r="A3874" s="16">
        <v>11396</v>
      </c>
      <c r="B3874" s="1">
        <v>1</v>
      </c>
      <c r="C3874" s="1">
        <v>1</v>
      </c>
      <c r="D3874" s="1">
        <v>79.64</v>
      </c>
    </row>
    <row r="3875" spans="1:4" x14ac:dyDescent="0.25">
      <c r="A3875" s="16">
        <v>11397</v>
      </c>
      <c r="B3875" s="1">
        <v>1</v>
      </c>
      <c r="C3875" s="1">
        <v>2</v>
      </c>
      <c r="D3875" s="1">
        <v>5.6</v>
      </c>
    </row>
    <row r="3876" spans="1:4" x14ac:dyDescent="0.25">
      <c r="A3876" s="16">
        <v>11398</v>
      </c>
      <c r="B3876" s="1">
        <v>1</v>
      </c>
      <c r="C3876" s="1">
        <v>1</v>
      </c>
      <c r="D3876" s="1">
        <v>59.64</v>
      </c>
    </row>
    <row r="3877" spans="1:4" x14ac:dyDescent="0.25">
      <c r="A3877" s="16">
        <v>11399</v>
      </c>
      <c r="B3877" s="1">
        <v>1</v>
      </c>
      <c r="C3877" s="1">
        <v>1</v>
      </c>
      <c r="D3877" s="1">
        <v>51.64</v>
      </c>
    </row>
    <row r="3878" spans="1:4" x14ac:dyDescent="0.25">
      <c r="A3878" s="16">
        <v>11400</v>
      </c>
      <c r="B3878" s="1">
        <v>1</v>
      </c>
      <c r="C3878" s="1">
        <v>1</v>
      </c>
      <c r="D3878" s="1">
        <v>6</v>
      </c>
    </row>
    <row r="3879" spans="1:4" x14ac:dyDescent="0.25">
      <c r="A3879" s="16">
        <v>11401</v>
      </c>
      <c r="B3879" s="1">
        <v>1</v>
      </c>
      <c r="C3879" s="1">
        <v>1</v>
      </c>
      <c r="D3879" s="1">
        <v>36</v>
      </c>
    </row>
    <row r="3880" spans="1:4" x14ac:dyDescent="0.25">
      <c r="A3880" s="16">
        <v>11402</v>
      </c>
      <c r="B3880" s="1">
        <v>1</v>
      </c>
      <c r="C3880" s="1">
        <v>1</v>
      </c>
      <c r="D3880" s="1">
        <v>8.8000000000000007</v>
      </c>
    </row>
    <row r="3881" spans="1:4" x14ac:dyDescent="0.25">
      <c r="A3881" s="16">
        <v>11403</v>
      </c>
      <c r="B3881" s="1">
        <v>1</v>
      </c>
      <c r="C3881" s="1">
        <v>3</v>
      </c>
      <c r="D3881" s="1">
        <v>14.399999999999999</v>
      </c>
    </row>
    <row r="3882" spans="1:4" x14ac:dyDescent="0.25">
      <c r="A3882" s="16">
        <v>11404</v>
      </c>
      <c r="B3882" s="1">
        <v>1</v>
      </c>
      <c r="C3882" s="1">
        <v>1</v>
      </c>
      <c r="D3882" s="1">
        <v>8</v>
      </c>
    </row>
    <row r="3883" spans="1:4" x14ac:dyDescent="0.25">
      <c r="A3883" s="16">
        <v>11405</v>
      </c>
      <c r="B3883" s="1">
        <v>1</v>
      </c>
      <c r="C3883" s="1">
        <v>1</v>
      </c>
      <c r="D3883" s="1">
        <v>16</v>
      </c>
    </row>
    <row r="3884" spans="1:4" x14ac:dyDescent="0.25">
      <c r="A3884" s="16">
        <v>11406</v>
      </c>
      <c r="B3884" s="1">
        <v>1</v>
      </c>
      <c r="C3884" s="1">
        <v>2</v>
      </c>
      <c r="D3884" s="1">
        <v>8</v>
      </c>
    </row>
    <row r="3885" spans="1:4" x14ac:dyDescent="0.25">
      <c r="A3885" s="16">
        <v>11407</v>
      </c>
      <c r="B3885" s="1">
        <v>1</v>
      </c>
      <c r="C3885" s="1">
        <v>1</v>
      </c>
      <c r="D3885" s="1">
        <v>10</v>
      </c>
    </row>
    <row r="3886" spans="1:4" x14ac:dyDescent="0.25">
      <c r="A3886" s="16">
        <v>11408</v>
      </c>
      <c r="B3886" s="1">
        <v>1</v>
      </c>
      <c r="C3886" s="1">
        <v>4</v>
      </c>
      <c r="D3886" s="1">
        <v>9.6</v>
      </c>
    </row>
    <row r="3887" spans="1:4" x14ac:dyDescent="0.25">
      <c r="A3887" s="16">
        <v>11409</v>
      </c>
      <c r="B3887" s="1">
        <v>1</v>
      </c>
      <c r="C3887" s="1">
        <v>1</v>
      </c>
      <c r="D3887" s="1">
        <v>10</v>
      </c>
    </row>
    <row r="3888" spans="1:4" x14ac:dyDescent="0.25">
      <c r="A3888" s="16">
        <v>11410</v>
      </c>
      <c r="B3888" s="1">
        <v>1</v>
      </c>
      <c r="C3888" s="1">
        <v>1</v>
      </c>
      <c r="D3888" s="1">
        <v>51.64</v>
      </c>
    </row>
    <row r="3889" spans="1:4" x14ac:dyDescent="0.25">
      <c r="A3889" s="16">
        <v>11411</v>
      </c>
      <c r="B3889" s="1">
        <v>1</v>
      </c>
      <c r="C3889" s="1">
        <v>1</v>
      </c>
      <c r="D3889" s="1">
        <v>5.2</v>
      </c>
    </row>
    <row r="3890" spans="1:4" x14ac:dyDescent="0.25">
      <c r="A3890" s="16">
        <v>11412</v>
      </c>
      <c r="B3890" s="1">
        <v>1</v>
      </c>
      <c r="C3890" s="1">
        <v>2</v>
      </c>
      <c r="D3890" s="1">
        <v>5.6</v>
      </c>
    </row>
    <row r="3891" spans="1:4" x14ac:dyDescent="0.25">
      <c r="A3891" s="16">
        <v>11413</v>
      </c>
      <c r="B3891" s="1">
        <v>1</v>
      </c>
      <c r="C3891" s="1">
        <v>1</v>
      </c>
      <c r="D3891" s="1">
        <v>12</v>
      </c>
    </row>
    <row r="3892" spans="1:4" x14ac:dyDescent="0.25">
      <c r="A3892" s="16">
        <v>11414</v>
      </c>
      <c r="B3892" s="1">
        <v>1</v>
      </c>
      <c r="C3892" s="1">
        <v>1</v>
      </c>
      <c r="D3892" s="1">
        <v>22</v>
      </c>
    </row>
    <row r="3893" spans="1:4" x14ac:dyDescent="0.25">
      <c r="A3893" s="16">
        <v>11415</v>
      </c>
      <c r="B3893" s="1">
        <v>1</v>
      </c>
      <c r="C3893" s="1">
        <v>1</v>
      </c>
      <c r="D3893" s="1">
        <v>36</v>
      </c>
    </row>
    <row r="3894" spans="1:4" x14ac:dyDescent="0.25">
      <c r="A3894" s="16">
        <v>11416</v>
      </c>
      <c r="B3894" s="1">
        <v>1</v>
      </c>
      <c r="C3894" s="1">
        <v>2</v>
      </c>
      <c r="D3894" s="1">
        <v>12</v>
      </c>
    </row>
    <row r="3895" spans="1:4" x14ac:dyDescent="0.25">
      <c r="A3895" s="16">
        <v>11417</v>
      </c>
      <c r="B3895" s="1">
        <v>1</v>
      </c>
      <c r="C3895" s="1">
        <v>1</v>
      </c>
      <c r="D3895" s="1">
        <v>51.64</v>
      </c>
    </row>
    <row r="3896" spans="1:4" x14ac:dyDescent="0.25">
      <c r="A3896" s="16">
        <v>11418</v>
      </c>
      <c r="B3896" s="1">
        <v>1</v>
      </c>
      <c r="C3896" s="1">
        <v>1</v>
      </c>
      <c r="D3896" s="1">
        <v>13.6</v>
      </c>
    </row>
    <row r="3897" spans="1:4" x14ac:dyDescent="0.25">
      <c r="A3897" s="16">
        <v>11419</v>
      </c>
      <c r="B3897" s="1">
        <v>1</v>
      </c>
      <c r="C3897" s="1">
        <v>1</v>
      </c>
      <c r="D3897" s="1">
        <v>20</v>
      </c>
    </row>
    <row r="3898" spans="1:4" x14ac:dyDescent="0.25">
      <c r="A3898" s="16">
        <v>11420</v>
      </c>
      <c r="B3898" s="1">
        <v>1</v>
      </c>
      <c r="C3898" s="1">
        <v>1</v>
      </c>
      <c r="D3898" s="1">
        <v>20</v>
      </c>
    </row>
    <row r="3899" spans="1:4" x14ac:dyDescent="0.25">
      <c r="A3899" s="16">
        <v>11421</v>
      </c>
      <c r="B3899" s="1">
        <v>1</v>
      </c>
      <c r="C3899" s="1">
        <v>1</v>
      </c>
      <c r="D3899" s="1">
        <v>59.64</v>
      </c>
    </row>
    <row r="3900" spans="1:4" x14ac:dyDescent="0.25">
      <c r="A3900" s="16">
        <v>11422</v>
      </c>
      <c r="B3900" s="1">
        <v>1</v>
      </c>
      <c r="C3900" s="1">
        <v>2</v>
      </c>
      <c r="D3900" s="1">
        <v>8</v>
      </c>
    </row>
    <row r="3901" spans="1:4" x14ac:dyDescent="0.25">
      <c r="A3901" s="16">
        <v>11423</v>
      </c>
      <c r="B3901" s="1">
        <v>1</v>
      </c>
      <c r="C3901" s="1">
        <v>1</v>
      </c>
      <c r="D3901" s="1">
        <v>20</v>
      </c>
    </row>
    <row r="3902" spans="1:4" x14ac:dyDescent="0.25">
      <c r="A3902" s="16">
        <v>11424</v>
      </c>
      <c r="B3902" s="1">
        <v>1</v>
      </c>
      <c r="C3902" s="1">
        <v>1</v>
      </c>
      <c r="D3902" s="1">
        <v>10</v>
      </c>
    </row>
    <row r="3903" spans="1:4" x14ac:dyDescent="0.25">
      <c r="A3903" s="16">
        <v>11425</v>
      </c>
      <c r="B3903" s="1">
        <v>1</v>
      </c>
      <c r="C3903" s="1">
        <v>1</v>
      </c>
      <c r="D3903" s="1">
        <v>42</v>
      </c>
    </row>
    <row r="3904" spans="1:4" x14ac:dyDescent="0.25">
      <c r="A3904" s="16">
        <v>11426</v>
      </c>
      <c r="B3904" s="1">
        <v>1</v>
      </c>
      <c r="C3904" s="1">
        <v>1</v>
      </c>
      <c r="D3904" s="1">
        <v>8.8000000000000007</v>
      </c>
    </row>
    <row r="3905" spans="1:4" x14ac:dyDescent="0.25">
      <c r="A3905" s="16">
        <v>11427</v>
      </c>
      <c r="B3905" s="1">
        <v>1</v>
      </c>
      <c r="C3905" s="1">
        <v>1</v>
      </c>
      <c r="D3905" s="1">
        <v>6</v>
      </c>
    </row>
    <row r="3906" spans="1:4" x14ac:dyDescent="0.25">
      <c r="A3906" s="16">
        <v>11428</v>
      </c>
      <c r="B3906" s="1">
        <v>1</v>
      </c>
      <c r="C3906" s="1">
        <v>1</v>
      </c>
      <c r="D3906" s="1">
        <v>75.64</v>
      </c>
    </row>
    <row r="3907" spans="1:4" x14ac:dyDescent="0.25">
      <c r="A3907" s="16">
        <v>11429</v>
      </c>
      <c r="B3907" s="1">
        <v>1</v>
      </c>
      <c r="C3907" s="1">
        <v>1</v>
      </c>
      <c r="D3907" s="1">
        <v>6</v>
      </c>
    </row>
    <row r="3908" spans="1:4" x14ac:dyDescent="0.25">
      <c r="A3908" s="16">
        <v>11430</v>
      </c>
      <c r="B3908" s="1">
        <v>1</v>
      </c>
      <c r="C3908" s="1">
        <v>1</v>
      </c>
      <c r="D3908" s="1">
        <v>51.64</v>
      </c>
    </row>
    <row r="3909" spans="1:4" x14ac:dyDescent="0.25">
      <c r="A3909" s="16">
        <v>11431</v>
      </c>
      <c r="B3909" s="1">
        <v>1</v>
      </c>
      <c r="C3909" s="1">
        <v>1</v>
      </c>
      <c r="D3909" s="1">
        <v>51.64</v>
      </c>
    </row>
    <row r="3910" spans="1:4" x14ac:dyDescent="0.25">
      <c r="A3910" s="16">
        <v>11432</v>
      </c>
      <c r="B3910" s="1">
        <v>1</v>
      </c>
      <c r="C3910" s="1">
        <v>1</v>
      </c>
      <c r="D3910" s="1">
        <v>7.6</v>
      </c>
    </row>
    <row r="3911" spans="1:4" x14ac:dyDescent="0.25">
      <c r="A3911" s="16">
        <v>11433</v>
      </c>
      <c r="B3911" s="1">
        <v>1</v>
      </c>
      <c r="C3911" s="1">
        <v>1</v>
      </c>
      <c r="D3911" s="1">
        <v>8</v>
      </c>
    </row>
    <row r="3912" spans="1:4" x14ac:dyDescent="0.25">
      <c r="A3912" s="16">
        <v>11434</v>
      </c>
      <c r="B3912" s="1">
        <v>1</v>
      </c>
      <c r="C3912" s="1">
        <v>1</v>
      </c>
      <c r="D3912" s="1">
        <v>26</v>
      </c>
    </row>
    <row r="3913" spans="1:4" x14ac:dyDescent="0.25">
      <c r="A3913" s="16">
        <v>11435</v>
      </c>
      <c r="B3913" s="1">
        <v>1</v>
      </c>
      <c r="C3913" s="1">
        <v>1</v>
      </c>
      <c r="D3913" s="1">
        <v>11.6</v>
      </c>
    </row>
    <row r="3914" spans="1:4" x14ac:dyDescent="0.25">
      <c r="A3914" s="16">
        <v>11436</v>
      </c>
      <c r="B3914" s="1">
        <v>1</v>
      </c>
      <c r="C3914" s="1">
        <v>5</v>
      </c>
      <c r="D3914" s="1">
        <v>10</v>
      </c>
    </row>
    <row r="3915" spans="1:4" x14ac:dyDescent="0.25">
      <c r="A3915" s="16">
        <v>11437</v>
      </c>
      <c r="B3915" s="1">
        <v>1</v>
      </c>
      <c r="C3915" s="1">
        <v>1</v>
      </c>
      <c r="D3915" s="1">
        <v>6</v>
      </c>
    </row>
    <row r="3916" spans="1:4" x14ac:dyDescent="0.25">
      <c r="A3916" s="16">
        <v>11438</v>
      </c>
      <c r="B3916" s="1">
        <v>1</v>
      </c>
      <c r="C3916" s="1">
        <v>2</v>
      </c>
      <c r="D3916" s="1">
        <v>12.8</v>
      </c>
    </row>
    <row r="3917" spans="1:4" x14ac:dyDescent="0.25">
      <c r="A3917" s="16">
        <v>11439</v>
      </c>
      <c r="B3917" s="1">
        <v>1</v>
      </c>
      <c r="C3917" s="1">
        <v>1</v>
      </c>
      <c r="D3917" s="1">
        <v>8.8000000000000007</v>
      </c>
    </row>
    <row r="3918" spans="1:4" x14ac:dyDescent="0.25">
      <c r="A3918" s="16">
        <v>11440</v>
      </c>
      <c r="B3918" s="1">
        <v>1</v>
      </c>
      <c r="C3918" s="1">
        <v>3</v>
      </c>
      <c r="D3918" s="1">
        <v>14.399999999999999</v>
      </c>
    </row>
    <row r="3919" spans="1:4" x14ac:dyDescent="0.25">
      <c r="A3919" s="16">
        <v>11441</v>
      </c>
      <c r="B3919" s="1">
        <v>1</v>
      </c>
      <c r="C3919" s="1">
        <v>1</v>
      </c>
      <c r="D3919" s="1">
        <v>75.64</v>
      </c>
    </row>
    <row r="3920" spans="1:4" x14ac:dyDescent="0.25">
      <c r="A3920" s="16">
        <v>11442</v>
      </c>
      <c r="B3920" s="1">
        <v>1</v>
      </c>
      <c r="C3920" s="1">
        <v>3</v>
      </c>
      <c r="D3920" s="1">
        <v>8.3999999999999986</v>
      </c>
    </row>
    <row r="3921" spans="1:4" x14ac:dyDescent="0.25">
      <c r="A3921" s="16">
        <v>11443</v>
      </c>
      <c r="B3921" s="1">
        <v>1</v>
      </c>
      <c r="C3921" s="1">
        <v>1</v>
      </c>
      <c r="D3921" s="1">
        <v>7.6</v>
      </c>
    </row>
    <row r="3922" spans="1:4" x14ac:dyDescent="0.25">
      <c r="A3922" s="16">
        <v>11444</v>
      </c>
      <c r="B3922" s="1">
        <v>1</v>
      </c>
      <c r="C3922" s="1">
        <v>1</v>
      </c>
      <c r="D3922" s="1">
        <v>6</v>
      </c>
    </row>
    <row r="3923" spans="1:4" x14ac:dyDescent="0.25">
      <c r="A3923" s="16">
        <v>11445</v>
      </c>
      <c r="B3923" s="1">
        <v>1</v>
      </c>
      <c r="C3923" s="1">
        <v>1</v>
      </c>
      <c r="D3923" s="1">
        <v>9.1999999999999993</v>
      </c>
    </row>
    <row r="3924" spans="1:4" x14ac:dyDescent="0.25">
      <c r="A3924" s="16">
        <v>11446</v>
      </c>
      <c r="B3924" s="1">
        <v>1</v>
      </c>
      <c r="C3924" s="1">
        <v>2</v>
      </c>
      <c r="D3924" s="1">
        <v>5.6</v>
      </c>
    </row>
    <row r="3925" spans="1:4" x14ac:dyDescent="0.25">
      <c r="A3925" s="16">
        <v>11447</v>
      </c>
      <c r="B3925" s="1">
        <v>2</v>
      </c>
      <c r="C3925" s="1">
        <v>3</v>
      </c>
      <c r="D3925" s="1">
        <v>20.8</v>
      </c>
    </row>
    <row r="3926" spans="1:4" x14ac:dyDescent="0.25">
      <c r="A3926" s="16">
        <v>11448</v>
      </c>
      <c r="B3926" s="1">
        <v>1</v>
      </c>
      <c r="C3926" s="1">
        <v>3</v>
      </c>
      <c r="D3926" s="1">
        <v>8.3999999999999986</v>
      </c>
    </row>
    <row r="3927" spans="1:4" x14ac:dyDescent="0.25">
      <c r="A3927" s="16">
        <v>11449</v>
      </c>
      <c r="B3927" s="1">
        <v>1</v>
      </c>
      <c r="C3927" s="1">
        <v>1</v>
      </c>
      <c r="D3927" s="1">
        <v>16</v>
      </c>
    </row>
    <row r="3928" spans="1:4" x14ac:dyDescent="0.25">
      <c r="A3928" s="16">
        <v>11450</v>
      </c>
      <c r="B3928" s="1">
        <v>1</v>
      </c>
      <c r="C3928" s="1">
        <v>1</v>
      </c>
      <c r="D3928" s="1">
        <v>7.2</v>
      </c>
    </row>
    <row r="3929" spans="1:4" x14ac:dyDescent="0.25">
      <c r="A3929" s="16">
        <v>11451</v>
      </c>
      <c r="B3929" s="1">
        <v>1</v>
      </c>
      <c r="C3929" s="1">
        <v>1</v>
      </c>
      <c r="D3929" s="1">
        <v>59.64</v>
      </c>
    </row>
    <row r="3930" spans="1:4" x14ac:dyDescent="0.25">
      <c r="A3930" s="16">
        <v>11452</v>
      </c>
      <c r="B3930" s="1">
        <v>1</v>
      </c>
      <c r="C3930" s="1">
        <v>2</v>
      </c>
      <c r="D3930" s="1">
        <v>25.6</v>
      </c>
    </row>
    <row r="3931" spans="1:4" x14ac:dyDescent="0.25">
      <c r="A3931" s="16">
        <v>11453</v>
      </c>
      <c r="B3931" s="1">
        <v>1</v>
      </c>
      <c r="C3931" s="1">
        <v>1</v>
      </c>
      <c r="D3931" s="1">
        <v>7.6</v>
      </c>
    </row>
    <row r="3932" spans="1:4" x14ac:dyDescent="0.25">
      <c r="A3932" s="16">
        <v>11454</v>
      </c>
      <c r="B3932" s="1">
        <v>1</v>
      </c>
      <c r="C3932" s="1">
        <v>1</v>
      </c>
      <c r="D3932" s="1">
        <v>8</v>
      </c>
    </row>
    <row r="3933" spans="1:4" x14ac:dyDescent="0.25">
      <c r="A3933" s="16">
        <v>11455</v>
      </c>
      <c r="B3933" s="1">
        <v>1</v>
      </c>
      <c r="C3933" s="1">
        <v>1</v>
      </c>
      <c r="D3933" s="1">
        <v>11.6</v>
      </c>
    </row>
    <row r="3934" spans="1:4" x14ac:dyDescent="0.25">
      <c r="A3934" s="16">
        <v>11456</v>
      </c>
      <c r="B3934" s="1">
        <v>1</v>
      </c>
      <c r="C3934" s="1">
        <v>1</v>
      </c>
      <c r="D3934" s="1">
        <v>36</v>
      </c>
    </row>
    <row r="3935" spans="1:4" x14ac:dyDescent="0.25">
      <c r="A3935" s="16">
        <v>11457</v>
      </c>
      <c r="B3935" s="1">
        <v>1</v>
      </c>
      <c r="C3935" s="1">
        <v>1</v>
      </c>
      <c r="D3935" s="1">
        <v>9.1999999999999993</v>
      </c>
    </row>
    <row r="3936" spans="1:4" x14ac:dyDescent="0.25">
      <c r="A3936" s="16">
        <v>11458</v>
      </c>
      <c r="B3936" s="1">
        <v>1</v>
      </c>
      <c r="C3936" s="1">
        <v>2</v>
      </c>
      <c r="D3936" s="1">
        <v>9.6</v>
      </c>
    </row>
    <row r="3937" spans="1:4" x14ac:dyDescent="0.25">
      <c r="A3937" s="16">
        <v>11459</v>
      </c>
      <c r="B3937" s="1">
        <v>1</v>
      </c>
      <c r="C3937" s="1">
        <v>1</v>
      </c>
      <c r="D3937" s="1">
        <v>51.64</v>
      </c>
    </row>
    <row r="3938" spans="1:4" x14ac:dyDescent="0.25">
      <c r="A3938" s="16">
        <v>11460</v>
      </c>
      <c r="B3938" s="1">
        <v>1</v>
      </c>
      <c r="C3938" s="1">
        <v>2</v>
      </c>
      <c r="D3938" s="1">
        <v>18.399999999999999</v>
      </c>
    </row>
    <row r="3939" spans="1:4" x14ac:dyDescent="0.25">
      <c r="A3939" s="16">
        <v>11461</v>
      </c>
      <c r="B3939" s="1">
        <v>1</v>
      </c>
      <c r="C3939" s="1">
        <v>3</v>
      </c>
      <c r="D3939" s="1">
        <v>8.3999999999999986</v>
      </c>
    </row>
    <row r="3940" spans="1:4" x14ac:dyDescent="0.25">
      <c r="A3940" s="16">
        <v>11462</v>
      </c>
      <c r="B3940" s="1">
        <v>1</v>
      </c>
      <c r="C3940" s="1">
        <v>1</v>
      </c>
      <c r="D3940" s="1">
        <v>26</v>
      </c>
    </row>
    <row r="3941" spans="1:4" x14ac:dyDescent="0.25">
      <c r="A3941" s="16">
        <v>11463</v>
      </c>
      <c r="B3941" s="1">
        <v>1</v>
      </c>
      <c r="C3941" s="1">
        <v>1</v>
      </c>
      <c r="D3941" s="1">
        <v>20</v>
      </c>
    </row>
    <row r="3942" spans="1:4" x14ac:dyDescent="0.25">
      <c r="A3942" s="16">
        <v>11464</v>
      </c>
      <c r="B3942" s="1">
        <v>1</v>
      </c>
      <c r="C3942" s="1">
        <v>1</v>
      </c>
      <c r="D3942" s="1">
        <v>7.6</v>
      </c>
    </row>
    <row r="3943" spans="1:4" x14ac:dyDescent="0.25">
      <c r="A3943" s="16">
        <v>11465</v>
      </c>
      <c r="B3943" s="1">
        <v>1</v>
      </c>
      <c r="C3943" s="1">
        <v>1</v>
      </c>
      <c r="D3943" s="1">
        <v>51.64</v>
      </c>
    </row>
    <row r="3944" spans="1:4" x14ac:dyDescent="0.25">
      <c r="A3944" s="16">
        <v>11466</v>
      </c>
      <c r="B3944" s="1">
        <v>1</v>
      </c>
      <c r="C3944" s="1">
        <v>1</v>
      </c>
      <c r="D3944" s="1">
        <v>6</v>
      </c>
    </row>
    <row r="3945" spans="1:4" x14ac:dyDescent="0.25">
      <c r="A3945" s="16">
        <v>11467</v>
      </c>
      <c r="B3945" s="1">
        <v>1</v>
      </c>
      <c r="C3945" s="1">
        <v>1</v>
      </c>
      <c r="D3945" s="1">
        <v>7.2</v>
      </c>
    </row>
    <row r="3946" spans="1:4" x14ac:dyDescent="0.25">
      <c r="A3946" s="16">
        <v>11468</v>
      </c>
      <c r="B3946" s="1">
        <v>1</v>
      </c>
      <c r="C3946" s="1">
        <v>1</v>
      </c>
      <c r="D3946" s="1">
        <v>8</v>
      </c>
    </row>
    <row r="3947" spans="1:4" x14ac:dyDescent="0.25">
      <c r="A3947" s="16">
        <v>11469</v>
      </c>
      <c r="B3947" s="1">
        <v>2</v>
      </c>
      <c r="C3947" s="1">
        <v>2</v>
      </c>
      <c r="D3947" s="1">
        <v>24</v>
      </c>
    </row>
    <row r="3948" spans="1:4" x14ac:dyDescent="0.25">
      <c r="A3948" s="16">
        <v>11470</v>
      </c>
      <c r="B3948" s="1">
        <v>1</v>
      </c>
      <c r="C3948" s="1">
        <v>1</v>
      </c>
      <c r="D3948" s="1">
        <v>51.64</v>
      </c>
    </row>
    <row r="3949" spans="1:4" x14ac:dyDescent="0.25">
      <c r="A3949" s="16">
        <v>11471</v>
      </c>
      <c r="B3949" s="1">
        <v>1</v>
      </c>
      <c r="C3949" s="1">
        <v>1</v>
      </c>
      <c r="D3949" s="1">
        <v>8</v>
      </c>
    </row>
    <row r="3950" spans="1:4" x14ac:dyDescent="0.25">
      <c r="A3950" s="16">
        <v>11472</v>
      </c>
      <c r="B3950" s="1">
        <v>1</v>
      </c>
      <c r="C3950" s="1">
        <v>1</v>
      </c>
      <c r="D3950" s="1">
        <v>7.6</v>
      </c>
    </row>
    <row r="3951" spans="1:4" x14ac:dyDescent="0.25">
      <c r="A3951" s="16">
        <v>11473</v>
      </c>
      <c r="B3951" s="1">
        <v>1</v>
      </c>
      <c r="C3951" s="1">
        <v>1</v>
      </c>
      <c r="D3951" s="1">
        <v>5.2</v>
      </c>
    </row>
    <row r="3952" spans="1:4" x14ac:dyDescent="0.25">
      <c r="A3952" s="16">
        <v>11474</v>
      </c>
      <c r="B3952" s="1">
        <v>1</v>
      </c>
      <c r="C3952" s="1">
        <v>1</v>
      </c>
      <c r="D3952" s="1">
        <v>8.8000000000000007</v>
      </c>
    </row>
    <row r="3953" spans="1:4" x14ac:dyDescent="0.25">
      <c r="A3953" s="16">
        <v>11475</v>
      </c>
      <c r="B3953" s="1">
        <v>1</v>
      </c>
      <c r="C3953" s="1">
        <v>1</v>
      </c>
      <c r="D3953" s="1">
        <v>6</v>
      </c>
    </row>
    <row r="3954" spans="1:4" x14ac:dyDescent="0.25">
      <c r="A3954" s="16">
        <v>11476</v>
      </c>
      <c r="B3954" s="1">
        <v>1</v>
      </c>
      <c r="C3954" s="1">
        <v>4</v>
      </c>
      <c r="D3954" s="1">
        <v>9.6</v>
      </c>
    </row>
    <row r="3955" spans="1:4" x14ac:dyDescent="0.25">
      <c r="A3955" s="16">
        <v>11477</v>
      </c>
      <c r="B3955" s="1">
        <v>1</v>
      </c>
      <c r="C3955" s="1">
        <v>1</v>
      </c>
      <c r="D3955" s="1">
        <v>79.64</v>
      </c>
    </row>
    <row r="3956" spans="1:4" x14ac:dyDescent="0.25">
      <c r="A3956" s="16">
        <v>11478</v>
      </c>
      <c r="B3956" s="1">
        <v>1</v>
      </c>
      <c r="C3956" s="1">
        <v>2</v>
      </c>
      <c r="D3956" s="1">
        <v>5.6</v>
      </c>
    </row>
    <row r="3957" spans="1:4" x14ac:dyDescent="0.25">
      <c r="A3957" s="16">
        <v>11479</v>
      </c>
      <c r="B3957" s="1">
        <v>1</v>
      </c>
      <c r="C3957" s="1">
        <v>1</v>
      </c>
      <c r="D3957" s="1">
        <v>10</v>
      </c>
    </row>
    <row r="3958" spans="1:4" x14ac:dyDescent="0.25">
      <c r="A3958" s="16">
        <v>11480</v>
      </c>
      <c r="B3958" s="1">
        <v>1</v>
      </c>
      <c r="C3958" s="1">
        <v>1</v>
      </c>
      <c r="D3958" s="1">
        <v>42</v>
      </c>
    </row>
    <row r="3959" spans="1:4" x14ac:dyDescent="0.25">
      <c r="A3959" s="16">
        <v>11481</v>
      </c>
      <c r="B3959" s="1">
        <v>1</v>
      </c>
      <c r="C3959" s="1">
        <v>1</v>
      </c>
      <c r="D3959" s="1">
        <v>8</v>
      </c>
    </row>
    <row r="3960" spans="1:4" x14ac:dyDescent="0.25">
      <c r="A3960" s="16">
        <v>11482</v>
      </c>
      <c r="B3960" s="1">
        <v>1</v>
      </c>
      <c r="C3960" s="1">
        <v>1</v>
      </c>
      <c r="D3960" s="1">
        <v>9.1999999999999993</v>
      </c>
    </row>
    <row r="3961" spans="1:4" x14ac:dyDescent="0.25">
      <c r="A3961" s="16">
        <v>11483</v>
      </c>
      <c r="B3961" s="1">
        <v>1</v>
      </c>
      <c r="C3961" s="1">
        <v>1</v>
      </c>
      <c r="D3961" s="1">
        <v>8</v>
      </c>
    </row>
    <row r="3962" spans="1:4" x14ac:dyDescent="0.25">
      <c r="A3962" s="16">
        <v>11484</v>
      </c>
      <c r="B3962" s="1">
        <v>1</v>
      </c>
      <c r="C3962" s="1">
        <v>3</v>
      </c>
      <c r="D3962" s="1">
        <v>8.3999999999999986</v>
      </c>
    </row>
    <row r="3963" spans="1:4" x14ac:dyDescent="0.25">
      <c r="A3963" s="16">
        <v>11485</v>
      </c>
      <c r="B3963" s="1">
        <v>1</v>
      </c>
      <c r="C3963" s="1">
        <v>2</v>
      </c>
      <c r="D3963" s="1">
        <v>12.8</v>
      </c>
    </row>
    <row r="3964" spans="1:4" x14ac:dyDescent="0.25">
      <c r="A3964" s="16">
        <v>11486</v>
      </c>
      <c r="B3964" s="1">
        <v>1</v>
      </c>
      <c r="C3964" s="1">
        <v>2</v>
      </c>
      <c r="D3964" s="1">
        <v>25.6</v>
      </c>
    </row>
    <row r="3965" spans="1:4" x14ac:dyDescent="0.25">
      <c r="A3965" s="16">
        <v>11487</v>
      </c>
      <c r="B3965" s="1">
        <v>1</v>
      </c>
      <c r="C3965" s="1">
        <v>1</v>
      </c>
      <c r="D3965" s="1">
        <v>51.64</v>
      </c>
    </row>
    <row r="3966" spans="1:4" x14ac:dyDescent="0.25">
      <c r="A3966" s="16">
        <v>11488</v>
      </c>
      <c r="B3966" s="1">
        <v>1</v>
      </c>
      <c r="C3966" s="1">
        <v>1</v>
      </c>
      <c r="D3966" s="1">
        <v>6</v>
      </c>
    </row>
    <row r="3967" spans="1:4" x14ac:dyDescent="0.25">
      <c r="A3967" s="16">
        <v>11489</v>
      </c>
      <c r="B3967" s="1">
        <v>1</v>
      </c>
      <c r="C3967" s="1">
        <v>1</v>
      </c>
      <c r="D3967" s="1">
        <v>40</v>
      </c>
    </row>
    <row r="3968" spans="1:4" x14ac:dyDescent="0.25">
      <c r="A3968" s="16">
        <v>11490</v>
      </c>
      <c r="B3968" s="1">
        <v>1</v>
      </c>
      <c r="C3968" s="1">
        <v>1</v>
      </c>
      <c r="D3968" s="1">
        <v>22</v>
      </c>
    </row>
    <row r="3969" spans="1:4" x14ac:dyDescent="0.25">
      <c r="A3969" s="16">
        <v>11491</v>
      </c>
      <c r="B3969" s="1">
        <v>1</v>
      </c>
      <c r="C3969" s="1">
        <v>1</v>
      </c>
      <c r="D3969" s="1">
        <v>6</v>
      </c>
    </row>
    <row r="3970" spans="1:4" x14ac:dyDescent="0.25">
      <c r="A3970" s="16">
        <v>11492</v>
      </c>
      <c r="B3970" s="1">
        <v>1</v>
      </c>
      <c r="C3970" s="1">
        <v>1</v>
      </c>
      <c r="D3970" s="1">
        <v>51.64</v>
      </c>
    </row>
    <row r="3971" spans="1:4" x14ac:dyDescent="0.25">
      <c r="A3971" s="16">
        <v>11493</v>
      </c>
      <c r="B3971" s="1">
        <v>1</v>
      </c>
      <c r="C3971" s="1">
        <v>1</v>
      </c>
      <c r="D3971" s="1">
        <v>26</v>
      </c>
    </row>
    <row r="3972" spans="1:4" x14ac:dyDescent="0.25">
      <c r="A3972" s="16">
        <v>11494</v>
      </c>
      <c r="B3972" s="1">
        <v>1</v>
      </c>
      <c r="C3972" s="1">
        <v>3</v>
      </c>
      <c r="D3972" s="1">
        <v>8.3999999999999986</v>
      </c>
    </row>
    <row r="3973" spans="1:4" x14ac:dyDescent="0.25">
      <c r="A3973" s="16">
        <v>11495</v>
      </c>
      <c r="B3973" s="1">
        <v>1</v>
      </c>
      <c r="C3973" s="1">
        <v>1</v>
      </c>
      <c r="D3973" s="1">
        <v>8.8000000000000007</v>
      </c>
    </row>
    <row r="3974" spans="1:4" x14ac:dyDescent="0.25">
      <c r="A3974" s="16">
        <v>11496</v>
      </c>
      <c r="B3974" s="1">
        <v>1</v>
      </c>
      <c r="C3974" s="1">
        <v>1</v>
      </c>
      <c r="D3974" s="1">
        <v>10</v>
      </c>
    </row>
    <row r="3975" spans="1:4" x14ac:dyDescent="0.25">
      <c r="A3975" s="16">
        <v>11497</v>
      </c>
      <c r="B3975" s="1">
        <v>1</v>
      </c>
      <c r="C3975" s="1">
        <v>1</v>
      </c>
      <c r="D3975" s="1">
        <v>75.64</v>
      </c>
    </row>
    <row r="3976" spans="1:4" x14ac:dyDescent="0.25">
      <c r="A3976" s="16">
        <v>11498</v>
      </c>
      <c r="B3976" s="1">
        <v>1</v>
      </c>
      <c r="C3976" s="1">
        <v>1</v>
      </c>
      <c r="D3976" s="1">
        <v>59.64</v>
      </c>
    </row>
    <row r="3977" spans="1:4" x14ac:dyDescent="0.25">
      <c r="A3977" s="16">
        <v>11499</v>
      </c>
      <c r="B3977" s="1">
        <v>1</v>
      </c>
      <c r="C3977" s="1">
        <v>1</v>
      </c>
      <c r="D3977" s="1">
        <v>20</v>
      </c>
    </row>
    <row r="3978" spans="1:4" x14ac:dyDescent="0.25">
      <c r="A3978" s="16">
        <v>11500</v>
      </c>
      <c r="B3978" s="1">
        <v>1</v>
      </c>
      <c r="C3978" s="1">
        <v>2</v>
      </c>
      <c r="D3978" s="1">
        <v>5.6</v>
      </c>
    </row>
    <row r="3979" spans="1:4" x14ac:dyDescent="0.25">
      <c r="A3979" s="16">
        <v>11501</v>
      </c>
      <c r="B3979" s="1">
        <v>1</v>
      </c>
      <c r="C3979" s="1">
        <v>1</v>
      </c>
      <c r="D3979" s="1">
        <v>9.6</v>
      </c>
    </row>
    <row r="3980" spans="1:4" x14ac:dyDescent="0.25">
      <c r="A3980" s="16">
        <v>11502</v>
      </c>
      <c r="B3980" s="1">
        <v>1</v>
      </c>
      <c r="C3980" s="1">
        <v>1</v>
      </c>
      <c r="D3980" s="1">
        <v>8</v>
      </c>
    </row>
    <row r="3981" spans="1:4" x14ac:dyDescent="0.25">
      <c r="A3981" s="16">
        <v>11503</v>
      </c>
      <c r="B3981" s="1">
        <v>1</v>
      </c>
      <c r="C3981" s="1">
        <v>1</v>
      </c>
      <c r="D3981" s="1">
        <v>11.6</v>
      </c>
    </row>
    <row r="3982" spans="1:4" x14ac:dyDescent="0.25">
      <c r="A3982" s="16">
        <v>11504</v>
      </c>
      <c r="B3982" s="1">
        <v>1</v>
      </c>
      <c r="C3982" s="1">
        <v>2</v>
      </c>
      <c r="D3982" s="1">
        <v>10.4</v>
      </c>
    </row>
    <row r="3983" spans="1:4" x14ac:dyDescent="0.25">
      <c r="A3983" s="16">
        <v>11505</v>
      </c>
      <c r="B3983" s="1">
        <v>1</v>
      </c>
      <c r="C3983" s="1">
        <v>1</v>
      </c>
      <c r="D3983" s="1">
        <v>10</v>
      </c>
    </row>
    <row r="3984" spans="1:4" x14ac:dyDescent="0.25">
      <c r="A3984" s="16">
        <v>11506</v>
      </c>
      <c r="B3984" s="1">
        <v>1</v>
      </c>
      <c r="C3984" s="1">
        <v>1</v>
      </c>
      <c r="D3984" s="1">
        <v>7.2</v>
      </c>
    </row>
    <row r="3985" spans="1:4" x14ac:dyDescent="0.25">
      <c r="A3985" s="16">
        <v>11507</v>
      </c>
      <c r="B3985" s="1">
        <v>1</v>
      </c>
      <c r="C3985" s="1">
        <v>1</v>
      </c>
      <c r="D3985" s="1">
        <v>6</v>
      </c>
    </row>
    <row r="3986" spans="1:4" x14ac:dyDescent="0.25">
      <c r="A3986" s="16">
        <v>11508</v>
      </c>
      <c r="B3986" s="1">
        <v>1</v>
      </c>
      <c r="C3986" s="1">
        <v>1</v>
      </c>
      <c r="D3986" s="1">
        <v>7.2</v>
      </c>
    </row>
    <row r="3987" spans="1:4" x14ac:dyDescent="0.25">
      <c r="A3987" s="16">
        <v>11509</v>
      </c>
      <c r="B3987" s="1">
        <v>1</v>
      </c>
      <c r="C3987" s="1">
        <v>1</v>
      </c>
      <c r="D3987" s="1">
        <v>18</v>
      </c>
    </row>
    <row r="3988" spans="1:4" x14ac:dyDescent="0.25">
      <c r="A3988" s="16">
        <v>11510</v>
      </c>
      <c r="B3988" s="1">
        <v>1</v>
      </c>
      <c r="C3988" s="1">
        <v>1</v>
      </c>
      <c r="D3988" s="1">
        <v>8.8000000000000007</v>
      </c>
    </row>
    <row r="3989" spans="1:4" x14ac:dyDescent="0.25">
      <c r="A3989" s="16">
        <v>11511</v>
      </c>
      <c r="B3989" s="1">
        <v>1</v>
      </c>
      <c r="C3989" s="1">
        <v>1</v>
      </c>
      <c r="D3989" s="1">
        <v>36</v>
      </c>
    </row>
    <row r="3990" spans="1:4" x14ac:dyDescent="0.25">
      <c r="A3990" s="16">
        <v>11512</v>
      </c>
      <c r="B3990" s="1">
        <v>1</v>
      </c>
      <c r="C3990" s="1">
        <v>1</v>
      </c>
      <c r="D3990" s="1">
        <v>8</v>
      </c>
    </row>
    <row r="3991" spans="1:4" x14ac:dyDescent="0.25">
      <c r="A3991" s="16">
        <v>11513</v>
      </c>
      <c r="B3991" s="1">
        <v>2</v>
      </c>
      <c r="C3991" s="1">
        <v>5</v>
      </c>
      <c r="D3991" s="1">
        <v>20.399999999999999</v>
      </c>
    </row>
    <row r="3992" spans="1:4" x14ac:dyDescent="0.25">
      <c r="A3992" s="16">
        <v>11514</v>
      </c>
      <c r="B3992" s="1">
        <v>1</v>
      </c>
      <c r="C3992" s="1">
        <v>1</v>
      </c>
      <c r="D3992" s="1">
        <v>59.64</v>
      </c>
    </row>
    <row r="3993" spans="1:4" x14ac:dyDescent="0.25">
      <c r="A3993" s="16">
        <v>11515</v>
      </c>
      <c r="B3993" s="1">
        <v>1</v>
      </c>
      <c r="C3993" s="1">
        <v>1</v>
      </c>
      <c r="D3993" s="1">
        <v>7.6</v>
      </c>
    </row>
    <row r="3994" spans="1:4" x14ac:dyDescent="0.25">
      <c r="A3994" s="16">
        <v>11516</v>
      </c>
      <c r="B3994" s="1">
        <v>1</v>
      </c>
      <c r="C3994" s="1">
        <v>1</v>
      </c>
      <c r="D3994" s="1">
        <v>75.64</v>
      </c>
    </row>
    <row r="3995" spans="1:4" x14ac:dyDescent="0.25">
      <c r="A3995" s="16">
        <v>11517</v>
      </c>
      <c r="B3995" s="1">
        <v>1</v>
      </c>
      <c r="C3995" s="1">
        <v>1</v>
      </c>
      <c r="D3995" s="1">
        <v>8.8000000000000007</v>
      </c>
    </row>
    <row r="3996" spans="1:4" x14ac:dyDescent="0.25">
      <c r="A3996" s="16">
        <v>11518</v>
      </c>
      <c r="B3996" s="1">
        <v>1</v>
      </c>
      <c r="C3996" s="1">
        <v>1</v>
      </c>
      <c r="D3996" s="1">
        <v>7.6</v>
      </c>
    </row>
    <row r="3997" spans="1:4" x14ac:dyDescent="0.25">
      <c r="A3997" s="16">
        <v>11519</v>
      </c>
      <c r="B3997" s="1">
        <v>2</v>
      </c>
      <c r="C3997" s="1">
        <v>3</v>
      </c>
      <c r="D3997" s="1">
        <v>11.6</v>
      </c>
    </row>
    <row r="3998" spans="1:4" x14ac:dyDescent="0.25">
      <c r="A3998" s="16">
        <v>11520</v>
      </c>
      <c r="B3998" s="1">
        <v>1</v>
      </c>
      <c r="C3998" s="1">
        <v>1</v>
      </c>
      <c r="D3998" s="1">
        <v>8.8000000000000007</v>
      </c>
    </row>
    <row r="3999" spans="1:4" x14ac:dyDescent="0.25">
      <c r="A3999" s="16">
        <v>11521</v>
      </c>
      <c r="B3999" s="1">
        <v>1</v>
      </c>
      <c r="C3999" s="1">
        <v>1</v>
      </c>
      <c r="D3999" s="1">
        <v>36</v>
      </c>
    </row>
    <row r="4000" spans="1:4" x14ac:dyDescent="0.25">
      <c r="A4000" s="16">
        <v>11522</v>
      </c>
      <c r="B4000" s="1">
        <v>1</v>
      </c>
      <c r="C4000" s="1">
        <v>1</v>
      </c>
      <c r="D4000" s="1">
        <v>75.64</v>
      </c>
    </row>
    <row r="4001" spans="1:4" x14ac:dyDescent="0.25">
      <c r="A4001" s="16">
        <v>11523</v>
      </c>
      <c r="B4001" s="1">
        <v>1</v>
      </c>
      <c r="C4001" s="1">
        <v>1</v>
      </c>
      <c r="D4001" s="1">
        <v>7.6</v>
      </c>
    </row>
    <row r="4002" spans="1:4" x14ac:dyDescent="0.25">
      <c r="A4002" s="16">
        <v>11524</v>
      </c>
      <c r="B4002" s="1">
        <v>1</v>
      </c>
      <c r="C4002" s="1">
        <v>1</v>
      </c>
      <c r="D4002" s="1">
        <v>40</v>
      </c>
    </row>
    <row r="4003" spans="1:4" x14ac:dyDescent="0.25">
      <c r="A4003" s="16">
        <v>11525</v>
      </c>
      <c r="B4003" s="1">
        <v>1</v>
      </c>
      <c r="C4003" s="1">
        <v>1</v>
      </c>
      <c r="D4003" s="1">
        <v>8</v>
      </c>
    </row>
    <row r="4004" spans="1:4" x14ac:dyDescent="0.25">
      <c r="A4004" s="16">
        <v>11526</v>
      </c>
      <c r="B4004" s="1">
        <v>1</v>
      </c>
      <c r="C4004" s="1">
        <v>2</v>
      </c>
      <c r="D4004" s="1">
        <v>15.2</v>
      </c>
    </row>
    <row r="4005" spans="1:4" x14ac:dyDescent="0.25">
      <c r="A4005" s="16">
        <v>11527</v>
      </c>
      <c r="B4005" s="1">
        <v>1</v>
      </c>
      <c r="C4005" s="1">
        <v>4</v>
      </c>
      <c r="D4005" s="1">
        <v>9.6</v>
      </c>
    </row>
    <row r="4006" spans="1:4" x14ac:dyDescent="0.25">
      <c r="A4006" s="16">
        <v>11528</v>
      </c>
      <c r="B4006" s="1">
        <v>1</v>
      </c>
      <c r="C4006" s="1">
        <v>3</v>
      </c>
      <c r="D4006" s="1">
        <v>8.3999999999999986</v>
      </c>
    </row>
    <row r="4007" spans="1:4" x14ac:dyDescent="0.25">
      <c r="A4007" s="16">
        <v>11529</v>
      </c>
      <c r="B4007" s="1">
        <v>1</v>
      </c>
      <c r="C4007" s="1">
        <v>1</v>
      </c>
      <c r="D4007" s="1">
        <v>8</v>
      </c>
    </row>
    <row r="4008" spans="1:4" x14ac:dyDescent="0.25">
      <c r="A4008" s="16">
        <v>11530</v>
      </c>
      <c r="B4008" s="1">
        <v>1</v>
      </c>
      <c r="C4008" s="1">
        <v>2</v>
      </c>
      <c r="D4008" s="1">
        <v>12</v>
      </c>
    </row>
    <row r="4009" spans="1:4" x14ac:dyDescent="0.25">
      <c r="A4009" s="16">
        <v>11531</v>
      </c>
      <c r="B4009" s="1">
        <v>1</v>
      </c>
      <c r="C4009" s="1">
        <v>1</v>
      </c>
      <c r="D4009" s="1">
        <v>6.4</v>
      </c>
    </row>
    <row r="4010" spans="1:4" x14ac:dyDescent="0.25">
      <c r="A4010" s="16">
        <v>11532</v>
      </c>
      <c r="B4010" s="1">
        <v>1</v>
      </c>
      <c r="C4010" s="1">
        <v>2</v>
      </c>
      <c r="D4010" s="1">
        <v>9.6</v>
      </c>
    </row>
    <row r="4011" spans="1:4" x14ac:dyDescent="0.25">
      <c r="A4011" s="16">
        <v>11533</v>
      </c>
      <c r="B4011" s="1">
        <v>1</v>
      </c>
      <c r="C4011" s="1">
        <v>1</v>
      </c>
      <c r="D4011" s="1">
        <v>8</v>
      </c>
    </row>
    <row r="4012" spans="1:4" x14ac:dyDescent="0.25">
      <c r="A4012" s="16">
        <v>11534</v>
      </c>
      <c r="B4012" s="1">
        <v>1</v>
      </c>
      <c r="C4012" s="1">
        <v>1</v>
      </c>
      <c r="D4012" s="1">
        <v>18</v>
      </c>
    </row>
    <row r="4013" spans="1:4" x14ac:dyDescent="0.25">
      <c r="A4013" s="16">
        <v>11535</v>
      </c>
      <c r="B4013" s="1">
        <v>1</v>
      </c>
      <c r="C4013" s="1">
        <v>1</v>
      </c>
      <c r="D4013" s="1">
        <v>7.2</v>
      </c>
    </row>
    <row r="4014" spans="1:4" x14ac:dyDescent="0.25">
      <c r="A4014" s="16">
        <v>11536</v>
      </c>
      <c r="B4014" s="1">
        <v>1</v>
      </c>
      <c r="C4014" s="1">
        <v>3</v>
      </c>
      <c r="D4014" s="1">
        <v>8.3999999999999986</v>
      </c>
    </row>
    <row r="4015" spans="1:4" x14ac:dyDescent="0.25">
      <c r="A4015" s="16">
        <v>11537</v>
      </c>
      <c r="B4015" s="1">
        <v>1</v>
      </c>
      <c r="C4015" s="1">
        <v>1</v>
      </c>
      <c r="D4015" s="1">
        <v>6</v>
      </c>
    </row>
    <row r="4016" spans="1:4" x14ac:dyDescent="0.25">
      <c r="A4016" s="16">
        <v>11538</v>
      </c>
      <c r="B4016" s="1">
        <v>1</v>
      </c>
      <c r="C4016" s="1">
        <v>1</v>
      </c>
      <c r="D4016" s="1">
        <v>8.8000000000000007</v>
      </c>
    </row>
    <row r="4017" spans="1:4" x14ac:dyDescent="0.25">
      <c r="A4017" s="16">
        <v>11539</v>
      </c>
      <c r="B4017" s="1">
        <v>1</v>
      </c>
      <c r="C4017" s="1">
        <v>1</v>
      </c>
      <c r="D4017" s="1">
        <v>7.6</v>
      </c>
    </row>
    <row r="4018" spans="1:4" x14ac:dyDescent="0.25">
      <c r="A4018" s="16">
        <v>11540</v>
      </c>
      <c r="B4018" s="1">
        <v>1</v>
      </c>
      <c r="C4018" s="1">
        <v>2</v>
      </c>
      <c r="D4018" s="1">
        <v>18.399999999999999</v>
      </c>
    </row>
    <row r="4019" spans="1:4" x14ac:dyDescent="0.25">
      <c r="A4019" s="16">
        <v>11541</v>
      </c>
      <c r="B4019" s="1">
        <v>1</v>
      </c>
      <c r="C4019" s="1">
        <v>1</v>
      </c>
      <c r="D4019" s="1">
        <v>11.6</v>
      </c>
    </row>
    <row r="4020" spans="1:4" x14ac:dyDescent="0.25">
      <c r="A4020" s="16">
        <v>11542</v>
      </c>
      <c r="B4020" s="1">
        <v>1</v>
      </c>
      <c r="C4020" s="1">
        <v>1</v>
      </c>
      <c r="D4020" s="1">
        <v>10</v>
      </c>
    </row>
    <row r="4021" spans="1:4" x14ac:dyDescent="0.25">
      <c r="A4021" s="16">
        <v>11543</v>
      </c>
      <c r="B4021" s="1">
        <v>1</v>
      </c>
      <c r="C4021" s="1">
        <v>1</v>
      </c>
      <c r="D4021" s="1">
        <v>26</v>
      </c>
    </row>
    <row r="4022" spans="1:4" x14ac:dyDescent="0.25">
      <c r="A4022" s="16">
        <v>11544</v>
      </c>
      <c r="B4022" s="1">
        <v>1</v>
      </c>
      <c r="C4022" s="1">
        <v>1</v>
      </c>
      <c r="D4022" s="1">
        <v>36</v>
      </c>
    </row>
    <row r="4023" spans="1:4" x14ac:dyDescent="0.25">
      <c r="A4023" s="16">
        <v>11545</v>
      </c>
      <c r="B4023" s="1">
        <v>1</v>
      </c>
      <c r="C4023" s="1">
        <v>2</v>
      </c>
      <c r="D4023" s="1">
        <v>5.6</v>
      </c>
    </row>
    <row r="4024" spans="1:4" x14ac:dyDescent="0.25">
      <c r="A4024" s="16">
        <v>11546</v>
      </c>
      <c r="B4024" s="1">
        <v>1</v>
      </c>
      <c r="C4024" s="1">
        <v>1</v>
      </c>
      <c r="D4024" s="1">
        <v>6</v>
      </c>
    </row>
    <row r="4025" spans="1:4" x14ac:dyDescent="0.25">
      <c r="A4025" s="16">
        <v>11547</v>
      </c>
      <c r="B4025" s="1">
        <v>1</v>
      </c>
      <c r="C4025" s="1">
        <v>1</v>
      </c>
      <c r="D4025" s="1">
        <v>9.1999999999999993</v>
      </c>
    </row>
    <row r="4026" spans="1:4" x14ac:dyDescent="0.25">
      <c r="A4026" s="16">
        <v>11548</v>
      </c>
      <c r="B4026" s="1">
        <v>1</v>
      </c>
      <c r="C4026" s="1">
        <v>1</v>
      </c>
      <c r="D4026" s="1">
        <v>51.64</v>
      </c>
    </row>
    <row r="4027" spans="1:4" x14ac:dyDescent="0.25">
      <c r="A4027" s="16">
        <v>11549</v>
      </c>
      <c r="B4027" s="1">
        <v>1</v>
      </c>
      <c r="C4027" s="1">
        <v>4</v>
      </c>
      <c r="D4027" s="1">
        <v>9.6</v>
      </c>
    </row>
    <row r="4028" spans="1:4" x14ac:dyDescent="0.25">
      <c r="A4028" s="16">
        <v>11550</v>
      </c>
      <c r="B4028" s="1">
        <v>1</v>
      </c>
      <c r="C4028" s="1">
        <v>1</v>
      </c>
      <c r="D4028" s="1">
        <v>8.8000000000000007</v>
      </c>
    </row>
    <row r="4029" spans="1:4" x14ac:dyDescent="0.25">
      <c r="A4029" s="16">
        <v>11551</v>
      </c>
      <c r="B4029" s="1">
        <v>1</v>
      </c>
      <c r="C4029" s="1">
        <v>1</v>
      </c>
      <c r="D4029" s="1">
        <v>10</v>
      </c>
    </row>
    <row r="4030" spans="1:4" x14ac:dyDescent="0.25">
      <c r="A4030" s="16">
        <v>11552</v>
      </c>
      <c r="B4030" s="1">
        <v>1</v>
      </c>
      <c r="C4030" s="1">
        <v>2</v>
      </c>
      <c r="D4030" s="1">
        <v>15.2</v>
      </c>
    </row>
    <row r="4031" spans="1:4" x14ac:dyDescent="0.25">
      <c r="A4031" s="16">
        <v>11553</v>
      </c>
      <c r="B4031" s="1">
        <v>1</v>
      </c>
      <c r="C4031" s="1">
        <v>1</v>
      </c>
      <c r="D4031" s="1">
        <v>79.64</v>
      </c>
    </row>
    <row r="4032" spans="1:4" x14ac:dyDescent="0.25">
      <c r="A4032" s="16">
        <v>11554</v>
      </c>
      <c r="B4032" s="1">
        <v>1</v>
      </c>
      <c r="C4032" s="1">
        <v>3</v>
      </c>
      <c r="D4032" s="1">
        <v>8.3999999999999986</v>
      </c>
    </row>
    <row r="4033" spans="1:4" x14ac:dyDescent="0.25">
      <c r="A4033" s="16">
        <v>11555</v>
      </c>
      <c r="B4033" s="1">
        <v>1</v>
      </c>
      <c r="C4033" s="1">
        <v>1</v>
      </c>
      <c r="D4033" s="1">
        <v>59.64</v>
      </c>
    </row>
    <row r="4034" spans="1:4" x14ac:dyDescent="0.25">
      <c r="A4034" s="16">
        <v>11556</v>
      </c>
      <c r="B4034" s="1">
        <v>1</v>
      </c>
      <c r="C4034" s="1">
        <v>1</v>
      </c>
      <c r="D4034" s="1">
        <v>20</v>
      </c>
    </row>
    <row r="4035" spans="1:4" x14ac:dyDescent="0.25">
      <c r="A4035" s="16">
        <v>11557</v>
      </c>
      <c r="B4035" s="1">
        <v>1</v>
      </c>
      <c r="C4035" s="1">
        <v>1</v>
      </c>
      <c r="D4035" s="1">
        <v>8</v>
      </c>
    </row>
    <row r="4036" spans="1:4" x14ac:dyDescent="0.25">
      <c r="A4036" s="16">
        <v>11558</v>
      </c>
      <c r="B4036" s="1">
        <v>1</v>
      </c>
      <c r="C4036" s="1">
        <v>1</v>
      </c>
      <c r="D4036" s="1">
        <v>20</v>
      </c>
    </row>
    <row r="4037" spans="1:4" x14ac:dyDescent="0.25">
      <c r="A4037" s="16">
        <v>11559</v>
      </c>
      <c r="B4037" s="1">
        <v>1</v>
      </c>
      <c r="C4037" s="1">
        <v>1</v>
      </c>
      <c r="D4037" s="1">
        <v>8</v>
      </c>
    </row>
    <row r="4038" spans="1:4" x14ac:dyDescent="0.25">
      <c r="A4038" s="16">
        <v>11560</v>
      </c>
      <c r="B4038" s="1">
        <v>1</v>
      </c>
      <c r="C4038" s="1">
        <v>1</v>
      </c>
      <c r="D4038" s="1">
        <v>59.64</v>
      </c>
    </row>
    <row r="4039" spans="1:4" x14ac:dyDescent="0.25">
      <c r="A4039" s="16">
        <v>11561</v>
      </c>
      <c r="B4039" s="1">
        <v>1</v>
      </c>
      <c r="C4039" s="1">
        <v>2</v>
      </c>
      <c r="D4039" s="1">
        <v>12</v>
      </c>
    </row>
    <row r="4040" spans="1:4" x14ac:dyDescent="0.25">
      <c r="A4040" s="16">
        <v>11562</v>
      </c>
      <c r="B4040" s="1">
        <v>1</v>
      </c>
      <c r="C4040" s="1">
        <v>1</v>
      </c>
      <c r="D4040" s="1">
        <v>51.64</v>
      </c>
    </row>
    <row r="4041" spans="1:4" x14ac:dyDescent="0.25">
      <c r="A4041" s="16">
        <v>11563</v>
      </c>
      <c r="B4041" s="1">
        <v>1</v>
      </c>
      <c r="C4041" s="1">
        <v>3</v>
      </c>
      <c r="D4041" s="1">
        <v>8.3999999999999986</v>
      </c>
    </row>
    <row r="4042" spans="1:4" x14ac:dyDescent="0.25">
      <c r="A4042" s="16">
        <v>11564</v>
      </c>
      <c r="B4042" s="1">
        <v>1</v>
      </c>
      <c r="C4042" s="1">
        <v>1</v>
      </c>
      <c r="D4042" s="1">
        <v>9.6</v>
      </c>
    </row>
    <row r="4043" spans="1:4" x14ac:dyDescent="0.25">
      <c r="A4043" s="16">
        <v>11565</v>
      </c>
      <c r="B4043" s="1">
        <v>1</v>
      </c>
      <c r="C4043" s="1">
        <v>1</v>
      </c>
      <c r="D4043" s="1">
        <v>7.6</v>
      </c>
    </row>
    <row r="4044" spans="1:4" x14ac:dyDescent="0.25">
      <c r="A4044" s="16">
        <v>11566</v>
      </c>
      <c r="B4044" s="1">
        <v>1</v>
      </c>
      <c r="C4044" s="1">
        <v>1</v>
      </c>
      <c r="D4044" s="1">
        <v>10.4</v>
      </c>
    </row>
    <row r="4045" spans="1:4" x14ac:dyDescent="0.25">
      <c r="A4045" s="16">
        <v>11567</v>
      </c>
      <c r="B4045" s="1">
        <v>1</v>
      </c>
      <c r="C4045" s="1">
        <v>1</v>
      </c>
      <c r="D4045" s="1">
        <v>11.6</v>
      </c>
    </row>
    <row r="4046" spans="1:4" x14ac:dyDescent="0.25">
      <c r="A4046" s="16">
        <v>11568</v>
      </c>
      <c r="B4046" s="1">
        <v>1</v>
      </c>
      <c r="C4046" s="1">
        <v>1</v>
      </c>
      <c r="D4046" s="1">
        <v>8</v>
      </c>
    </row>
    <row r="4047" spans="1:4" x14ac:dyDescent="0.25">
      <c r="A4047" s="16">
        <v>11569</v>
      </c>
      <c r="B4047" s="1">
        <v>1</v>
      </c>
      <c r="C4047" s="1">
        <v>1</v>
      </c>
      <c r="D4047" s="1">
        <v>10</v>
      </c>
    </row>
    <row r="4048" spans="1:4" x14ac:dyDescent="0.25">
      <c r="A4048" s="16">
        <v>11570</v>
      </c>
      <c r="B4048" s="1">
        <v>1</v>
      </c>
      <c r="C4048" s="1">
        <v>1</v>
      </c>
      <c r="D4048" s="1">
        <v>6</v>
      </c>
    </row>
    <row r="4049" spans="1:4" x14ac:dyDescent="0.25">
      <c r="A4049" s="16">
        <v>11571</v>
      </c>
      <c r="B4049" s="1">
        <v>1</v>
      </c>
      <c r="C4049" s="1">
        <v>1</v>
      </c>
      <c r="D4049" s="1">
        <v>8.8000000000000007</v>
      </c>
    </row>
    <row r="4050" spans="1:4" x14ac:dyDescent="0.25">
      <c r="A4050" s="16">
        <v>11572</v>
      </c>
      <c r="B4050" s="1">
        <v>1</v>
      </c>
      <c r="C4050" s="1">
        <v>2</v>
      </c>
      <c r="D4050" s="1">
        <v>5.6</v>
      </c>
    </row>
    <row r="4051" spans="1:4" x14ac:dyDescent="0.25">
      <c r="A4051" s="16">
        <v>11573</v>
      </c>
      <c r="B4051" s="1">
        <v>1</v>
      </c>
      <c r="C4051" s="1">
        <v>1</v>
      </c>
      <c r="D4051" s="1">
        <v>13.6</v>
      </c>
    </row>
    <row r="4052" spans="1:4" x14ac:dyDescent="0.25">
      <c r="A4052" s="16">
        <v>11574</v>
      </c>
      <c r="B4052" s="1">
        <v>1</v>
      </c>
      <c r="C4052" s="1">
        <v>1</v>
      </c>
      <c r="D4052" s="1">
        <v>7.6</v>
      </c>
    </row>
    <row r="4053" spans="1:4" x14ac:dyDescent="0.25">
      <c r="A4053" s="16">
        <v>11575</v>
      </c>
      <c r="B4053" s="1">
        <v>1</v>
      </c>
      <c r="C4053" s="1">
        <v>3</v>
      </c>
      <c r="D4053" s="1">
        <v>7.1999999999999993</v>
      </c>
    </row>
    <row r="4054" spans="1:4" x14ac:dyDescent="0.25">
      <c r="A4054" s="16">
        <v>11576</v>
      </c>
      <c r="B4054" s="1">
        <v>1</v>
      </c>
      <c r="C4054" s="1">
        <v>2</v>
      </c>
      <c r="D4054" s="1">
        <v>12</v>
      </c>
    </row>
    <row r="4055" spans="1:4" x14ac:dyDescent="0.25">
      <c r="A4055" s="16">
        <v>11577</v>
      </c>
      <c r="B4055" s="1">
        <v>1</v>
      </c>
      <c r="C4055" s="1">
        <v>1</v>
      </c>
      <c r="D4055" s="1">
        <v>7.6</v>
      </c>
    </row>
    <row r="4056" spans="1:4" x14ac:dyDescent="0.25">
      <c r="A4056" s="16">
        <v>11578</v>
      </c>
      <c r="B4056" s="1">
        <v>1</v>
      </c>
      <c r="C4056" s="1">
        <v>1</v>
      </c>
      <c r="D4056" s="1">
        <v>20</v>
      </c>
    </row>
    <row r="4057" spans="1:4" x14ac:dyDescent="0.25">
      <c r="A4057" s="16">
        <v>11579</v>
      </c>
      <c r="B4057" s="1">
        <v>1</v>
      </c>
      <c r="C4057" s="1">
        <v>1</v>
      </c>
      <c r="D4057" s="1">
        <v>75.64</v>
      </c>
    </row>
    <row r="4058" spans="1:4" x14ac:dyDescent="0.25">
      <c r="A4058" s="16">
        <v>11580</v>
      </c>
      <c r="B4058" s="1">
        <v>1</v>
      </c>
      <c r="C4058" s="1">
        <v>1</v>
      </c>
      <c r="D4058" s="1">
        <v>8.8000000000000007</v>
      </c>
    </row>
    <row r="4059" spans="1:4" x14ac:dyDescent="0.25">
      <c r="A4059" s="16">
        <v>11581</v>
      </c>
      <c r="B4059" s="1">
        <v>1</v>
      </c>
      <c r="C4059" s="1">
        <v>1</v>
      </c>
      <c r="D4059" s="1">
        <v>6</v>
      </c>
    </row>
    <row r="4060" spans="1:4" x14ac:dyDescent="0.25">
      <c r="A4060" s="16">
        <v>11582</v>
      </c>
      <c r="B4060" s="1">
        <v>1</v>
      </c>
      <c r="C4060" s="1">
        <v>3</v>
      </c>
      <c r="D4060" s="1">
        <v>8.3999999999999986</v>
      </c>
    </row>
    <row r="4061" spans="1:4" x14ac:dyDescent="0.25">
      <c r="A4061" s="16">
        <v>11583</v>
      </c>
      <c r="B4061" s="1">
        <v>1</v>
      </c>
      <c r="C4061" s="1">
        <v>1</v>
      </c>
      <c r="D4061" s="1">
        <v>13.6</v>
      </c>
    </row>
    <row r="4062" spans="1:4" x14ac:dyDescent="0.25">
      <c r="A4062" s="16">
        <v>11584</v>
      </c>
      <c r="B4062" s="1">
        <v>1</v>
      </c>
      <c r="C4062" s="1">
        <v>1</v>
      </c>
      <c r="D4062" s="1">
        <v>8</v>
      </c>
    </row>
    <row r="4063" spans="1:4" x14ac:dyDescent="0.25">
      <c r="A4063" s="16">
        <v>11585</v>
      </c>
      <c r="B4063" s="1">
        <v>1</v>
      </c>
      <c r="C4063" s="1">
        <v>1</v>
      </c>
      <c r="D4063" s="1">
        <v>6</v>
      </c>
    </row>
    <row r="4064" spans="1:4" x14ac:dyDescent="0.25">
      <c r="A4064" s="16">
        <v>11586</v>
      </c>
      <c r="B4064" s="1">
        <v>1</v>
      </c>
      <c r="C4064" s="1">
        <v>1</v>
      </c>
      <c r="D4064" s="1">
        <v>11.6</v>
      </c>
    </row>
    <row r="4065" spans="1:4" x14ac:dyDescent="0.25">
      <c r="A4065" s="16">
        <v>11587</v>
      </c>
      <c r="B4065" s="1">
        <v>1</v>
      </c>
      <c r="C4065" s="1">
        <v>1</v>
      </c>
      <c r="D4065" s="1">
        <v>59.64</v>
      </c>
    </row>
    <row r="4066" spans="1:4" x14ac:dyDescent="0.25">
      <c r="A4066" s="16">
        <v>11588</v>
      </c>
      <c r="B4066" s="1">
        <v>1</v>
      </c>
      <c r="C4066" s="1">
        <v>1</v>
      </c>
      <c r="D4066" s="1">
        <v>8</v>
      </c>
    </row>
    <row r="4067" spans="1:4" x14ac:dyDescent="0.25">
      <c r="A4067" s="16">
        <v>11589</v>
      </c>
      <c r="B4067" s="1">
        <v>1</v>
      </c>
      <c r="C4067" s="1">
        <v>1</v>
      </c>
      <c r="D4067" s="1">
        <v>6</v>
      </c>
    </row>
    <row r="4068" spans="1:4" x14ac:dyDescent="0.25">
      <c r="A4068" s="16">
        <v>11590</v>
      </c>
      <c r="B4068" s="1">
        <v>1</v>
      </c>
      <c r="C4068" s="1">
        <v>1</v>
      </c>
      <c r="D4068" s="1">
        <v>8</v>
      </c>
    </row>
    <row r="4069" spans="1:4" x14ac:dyDescent="0.25">
      <c r="A4069" s="16">
        <v>11591</v>
      </c>
      <c r="B4069" s="1">
        <v>1</v>
      </c>
      <c r="C4069" s="1">
        <v>1</v>
      </c>
      <c r="D4069" s="1">
        <v>51.64</v>
      </c>
    </row>
    <row r="4070" spans="1:4" x14ac:dyDescent="0.25">
      <c r="A4070" s="16">
        <v>11592</v>
      </c>
      <c r="B4070" s="1">
        <v>1</v>
      </c>
      <c r="C4070" s="1">
        <v>2</v>
      </c>
      <c r="D4070" s="1">
        <v>5.6</v>
      </c>
    </row>
    <row r="4071" spans="1:4" x14ac:dyDescent="0.25">
      <c r="A4071" s="16">
        <v>11593</v>
      </c>
      <c r="B4071" s="1">
        <v>2</v>
      </c>
      <c r="C4071" s="1">
        <v>4</v>
      </c>
      <c r="D4071" s="1">
        <v>17.600000000000001</v>
      </c>
    </row>
    <row r="4072" spans="1:4" x14ac:dyDescent="0.25">
      <c r="A4072" s="16">
        <v>11594</v>
      </c>
      <c r="B4072" s="1">
        <v>1</v>
      </c>
      <c r="C4072" s="1">
        <v>1</v>
      </c>
      <c r="D4072" s="1">
        <v>8.8000000000000007</v>
      </c>
    </row>
    <row r="4073" spans="1:4" x14ac:dyDescent="0.25">
      <c r="A4073" s="16">
        <v>11595</v>
      </c>
      <c r="B4073" s="1">
        <v>1</v>
      </c>
      <c r="C4073" s="1">
        <v>1</v>
      </c>
      <c r="D4073" s="1">
        <v>26</v>
      </c>
    </row>
    <row r="4074" spans="1:4" x14ac:dyDescent="0.25">
      <c r="A4074" s="16">
        <v>11596</v>
      </c>
      <c r="B4074" s="1">
        <v>1</v>
      </c>
      <c r="C4074" s="1">
        <v>1</v>
      </c>
      <c r="D4074" s="1">
        <v>7.6</v>
      </c>
    </row>
    <row r="4075" spans="1:4" x14ac:dyDescent="0.25">
      <c r="A4075" s="16">
        <v>11597</v>
      </c>
      <c r="B4075" s="1">
        <v>1</v>
      </c>
      <c r="C4075" s="1">
        <v>1</v>
      </c>
      <c r="D4075" s="1">
        <v>36</v>
      </c>
    </row>
    <row r="4076" spans="1:4" x14ac:dyDescent="0.25">
      <c r="A4076" s="16">
        <v>11598</v>
      </c>
      <c r="B4076" s="1">
        <v>1</v>
      </c>
      <c r="C4076" s="1">
        <v>1</v>
      </c>
      <c r="D4076" s="1">
        <v>51.64</v>
      </c>
    </row>
    <row r="4077" spans="1:4" x14ac:dyDescent="0.25">
      <c r="A4077" s="16">
        <v>11599</v>
      </c>
      <c r="B4077" s="1">
        <v>1</v>
      </c>
      <c r="C4077" s="1">
        <v>1</v>
      </c>
      <c r="D4077" s="1">
        <v>75.64</v>
      </c>
    </row>
    <row r="4078" spans="1:4" x14ac:dyDescent="0.25">
      <c r="A4078" s="16">
        <v>11600</v>
      </c>
      <c r="B4078" s="1">
        <v>1</v>
      </c>
      <c r="C4078" s="1">
        <v>1</v>
      </c>
      <c r="D4078" s="1">
        <v>9.6</v>
      </c>
    </row>
    <row r="4079" spans="1:4" x14ac:dyDescent="0.25">
      <c r="A4079" s="16">
        <v>11601</v>
      </c>
      <c r="B4079" s="1">
        <v>1</v>
      </c>
      <c r="C4079" s="1">
        <v>1</v>
      </c>
      <c r="D4079" s="1">
        <v>7.6</v>
      </c>
    </row>
    <row r="4080" spans="1:4" x14ac:dyDescent="0.25">
      <c r="A4080" s="16">
        <v>11602</v>
      </c>
      <c r="B4080" s="1">
        <v>1</v>
      </c>
      <c r="C4080" s="1">
        <v>1</v>
      </c>
      <c r="D4080" s="1">
        <v>8.8000000000000007</v>
      </c>
    </row>
    <row r="4081" spans="1:4" x14ac:dyDescent="0.25">
      <c r="A4081" s="16">
        <v>11603</v>
      </c>
      <c r="B4081" s="1">
        <v>1</v>
      </c>
      <c r="C4081" s="1">
        <v>1</v>
      </c>
      <c r="D4081" s="1">
        <v>79.64</v>
      </c>
    </row>
    <row r="4082" spans="1:4" x14ac:dyDescent="0.25">
      <c r="A4082" s="16">
        <v>11604</v>
      </c>
      <c r="B4082" s="1">
        <v>1</v>
      </c>
      <c r="C4082" s="1">
        <v>1</v>
      </c>
      <c r="D4082" s="1">
        <v>10</v>
      </c>
    </row>
    <row r="4083" spans="1:4" x14ac:dyDescent="0.25">
      <c r="A4083" s="16">
        <v>11605</v>
      </c>
      <c r="B4083" s="1">
        <v>1</v>
      </c>
      <c r="C4083" s="1">
        <v>1</v>
      </c>
      <c r="D4083" s="1">
        <v>51.64</v>
      </c>
    </row>
    <row r="4084" spans="1:4" x14ac:dyDescent="0.25">
      <c r="A4084" s="16">
        <v>11606</v>
      </c>
      <c r="B4084" s="1">
        <v>1</v>
      </c>
      <c r="C4084" s="1">
        <v>2</v>
      </c>
      <c r="D4084" s="1">
        <v>12</v>
      </c>
    </row>
    <row r="4085" spans="1:4" x14ac:dyDescent="0.25">
      <c r="A4085" s="16">
        <v>11607</v>
      </c>
      <c r="B4085" s="1">
        <v>1</v>
      </c>
      <c r="C4085" s="1">
        <v>3</v>
      </c>
      <c r="D4085" s="1">
        <v>8.3999999999999986</v>
      </c>
    </row>
    <row r="4086" spans="1:4" x14ac:dyDescent="0.25">
      <c r="A4086" s="16">
        <v>11608</v>
      </c>
      <c r="B4086" s="1">
        <v>1</v>
      </c>
      <c r="C4086" s="1">
        <v>1</v>
      </c>
      <c r="D4086" s="1">
        <v>8</v>
      </c>
    </row>
    <row r="4087" spans="1:4" x14ac:dyDescent="0.25">
      <c r="A4087" s="16">
        <v>11609</v>
      </c>
      <c r="B4087" s="1">
        <v>1</v>
      </c>
      <c r="C4087" s="1">
        <v>2</v>
      </c>
      <c r="D4087" s="1">
        <v>25.6</v>
      </c>
    </row>
    <row r="4088" spans="1:4" x14ac:dyDescent="0.25">
      <c r="A4088" s="16">
        <v>11610</v>
      </c>
      <c r="B4088" s="1">
        <v>1</v>
      </c>
      <c r="C4088" s="1">
        <v>1</v>
      </c>
      <c r="D4088" s="1">
        <v>7.6</v>
      </c>
    </row>
    <row r="4089" spans="1:4" x14ac:dyDescent="0.25">
      <c r="A4089" s="16">
        <v>11611</v>
      </c>
      <c r="B4089" s="1">
        <v>1</v>
      </c>
      <c r="C4089" s="1">
        <v>1</v>
      </c>
      <c r="D4089" s="1">
        <v>11.6</v>
      </c>
    </row>
    <row r="4090" spans="1:4" x14ac:dyDescent="0.25">
      <c r="A4090" s="16">
        <v>11612</v>
      </c>
      <c r="B4090" s="1">
        <v>1</v>
      </c>
      <c r="C4090" s="1">
        <v>1</v>
      </c>
      <c r="D4090" s="1">
        <v>13.6</v>
      </c>
    </row>
    <row r="4091" spans="1:4" x14ac:dyDescent="0.25">
      <c r="A4091" s="16">
        <v>11613</v>
      </c>
      <c r="B4091" s="1">
        <v>1</v>
      </c>
      <c r="C4091" s="1">
        <v>1</v>
      </c>
      <c r="D4091" s="1">
        <v>51.64</v>
      </c>
    </row>
    <row r="4092" spans="1:4" x14ac:dyDescent="0.25">
      <c r="A4092" s="16">
        <v>11614</v>
      </c>
      <c r="B4092" s="1">
        <v>1</v>
      </c>
      <c r="C4092" s="1">
        <v>1</v>
      </c>
      <c r="D4092" s="1">
        <v>7.2</v>
      </c>
    </row>
    <row r="4093" spans="1:4" x14ac:dyDescent="0.25">
      <c r="A4093" s="16">
        <v>11615</v>
      </c>
      <c r="B4093" s="1">
        <v>1</v>
      </c>
      <c r="C4093" s="1">
        <v>1</v>
      </c>
      <c r="D4093" s="1">
        <v>6</v>
      </c>
    </row>
    <row r="4094" spans="1:4" x14ac:dyDescent="0.25">
      <c r="A4094" s="16">
        <v>11616</v>
      </c>
      <c r="B4094" s="1">
        <v>1</v>
      </c>
      <c r="C4094" s="1">
        <v>3</v>
      </c>
      <c r="D4094" s="1">
        <v>8.3999999999999986</v>
      </c>
    </row>
    <row r="4095" spans="1:4" x14ac:dyDescent="0.25">
      <c r="A4095" s="16">
        <v>11617</v>
      </c>
      <c r="B4095" s="1">
        <v>1</v>
      </c>
      <c r="C4095" s="1">
        <v>1</v>
      </c>
      <c r="D4095" s="1">
        <v>8</v>
      </c>
    </row>
    <row r="4096" spans="1:4" x14ac:dyDescent="0.25">
      <c r="A4096" s="16">
        <v>11618</v>
      </c>
      <c r="B4096" s="1">
        <v>1</v>
      </c>
      <c r="C4096" s="1">
        <v>1</v>
      </c>
      <c r="D4096" s="1">
        <v>7.6</v>
      </c>
    </row>
    <row r="4097" spans="1:4" x14ac:dyDescent="0.25">
      <c r="A4097" s="16">
        <v>11619</v>
      </c>
      <c r="B4097" s="1">
        <v>1</v>
      </c>
      <c r="C4097" s="1">
        <v>1</v>
      </c>
      <c r="D4097" s="1">
        <v>36</v>
      </c>
    </row>
    <row r="4098" spans="1:4" x14ac:dyDescent="0.25">
      <c r="A4098" s="16">
        <v>11620</v>
      </c>
      <c r="B4098" s="1">
        <v>1</v>
      </c>
      <c r="C4098" s="1">
        <v>4</v>
      </c>
      <c r="D4098" s="1">
        <v>7.36</v>
      </c>
    </row>
    <row r="4099" spans="1:4" x14ac:dyDescent="0.25">
      <c r="A4099" s="16">
        <v>11621</v>
      </c>
      <c r="B4099" s="1">
        <v>1</v>
      </c>
      <c r="C4099" s="1">
        <v>3</v>
      </c>
      <c r="D4099" s="1">
        <v>7.1999999999999993</v>
      </c>
    </row>
    <row r="4100" spans="1:4" x14ac:dyDescent="0.25">
      <c r="A4100" s="16">
        <v>11622</v>
      </c>
      <c r="B4100" s="1">
        <v>1</v>
      </c>
      <c r="C4100" s="1">
        <v>1</v>
      </c>
      <c r="D4100" s="1">
        <v>7.6</v>
      </c>
    </row>
    <row r="4101" spans="1:4" x14ac:dyDescent="0.25">
      <c r="A4101" s="16">
        <v>11623</v>
      </c>
      <c r="B4101" s="1">
        <v>1</v>
      </c>
      <c r="C4101" s="1">
        <v>2</v>
      </c>
      <c r="D4101" s="1">
        <v>5.6</v>
      </c>
    </row>
    <row r="4102" spans="1:4" x14ac:dyDescent="0.25">
      <c r="A4102" s="16">
        <v>11624</v>
      </c>
      <c r="B4102" s="1">
        <v>1</v>
      </c>
      <c r="C4102" s="1">
        <v>1</v>
      </c>
      <c r="D4102" s="1">
        <v>8.8000000000000007</v>
      </c>
    </row>
    <row r="4103" spans="1:4" x14ac:dyDescent="0.25">
      <c r="A4103" s="16">
        <v>11625</v>
      </c>
      <c r="B4103" s="1">
        <v>1</v>
      </c>
      <c r="C4103" s="1">
        <v>1</v>
      </c>
      <c r="D4103" s="1">
        <v>26</v>
      </c>
    </row>
    <row r="4104" spans="1:4" x14ac:dyDescent="0.25">
      <c r="A4104" s="16">
        <v>11626</v>
      </c>
      <c r="B4104" s="1">
        <v>1</v>
      </c>
      <c r="C4104" s="1">
        <v>1</v>
      </c>
      <c r="D4104" s="1">
        <v>8</v>
      </c>
    </row>
    <row r="4105" spans="1:4" x14ac:dyDescent="0.25">
      <c r="A4105" s="16">
        <v>11627</v>
      </c>
      <c r="B4105" s="1">
        <v>1</v>
      </c>
      <c r="C4105" s="1">
        <v>1</v>
      </c>
      <c r="D4105" s="1">
        <v>6</v>
      </c>
    </row>
    <row r="4106" spans="1:4" x14ac:dyDescent="0.25">
      <c r="A4106" s="16">
        <v>11628</v>
      </c>
      <c r="B4106" s="1">
        <v>1</v>
      </c>
      <c r="C4106" s="1">
        <v>2</v>
      </c>
      <c r="D4106" s="1">
        <v>5.6</v>
      </c>
    </row>
    <row r="4107" spans="1:4" x14ac:dyDescent="0.25">
      <c r="A4107" s="16">
        <v>11629</v>
      </c>
      <c r="B4107" s="1">
        <v>1</v>
      </c>
      <c r="C4107" s="1">
        <v>1</v>
      </c>
      <c r="D4107" s="1">
        <v>13.6</v>
      </c>
    </row>
    <row r="4108" spans="1:4" x14ac:dyDescent="0.25">
      <c r="A4108" s="16">
        <v>11630</v>
      </c>
      <c r="B4108" s="1">
        <v>1</v>
      </c>
      <c r="C4108" s="1">
        <v>1</v>
      </c>
      <c r="D4108" s="1">
        <v>10</v>
      </c>
    </row>
    <row r="4109" spans="1:4" x14ac:dyDescent="0.25">
      <c r="A4109" s="16">
        <v>11631</v>
      </c>
      <c r="B4109" s="1">
        <v>1</v>
      </c>
      <c r="C4109" s="1">
        <v>1</v>
      </c>
      <c r="D4109" s="1">
        <v>12.8</v>
      </c>
    </row>
    <row r="4110" spans="1:4" x14ac:dyDescent="0.25">
      <c r="A4110" s="16">
        <v>11632</v>
      </c>
      <c r="B4110" s="1">
        <v>1</v>
      </c>
      <c r="C4110" s="1">
        <v>2</v>
      </c>
      <c r="D4110" s="1">
        <v>12</v>
      </c>
    </row>
    <row r="4111" spans="1:4" x14ac:dyDescent="0.25">
      <c r="A4111" s="16">
        <v>11633</v>
      </c>
      <c r="B4111" s="1">
        <v>1</v>
      </c>
      <c r="C4111" s="1">
        <v>1</v>
      </c>
      <c r="D4111" s="1">
        <v>8</v>
      </c>
    </row>
    <row r="4112" spans="1:4" x14ac:dyDescent="0.25">
      <c r="A4112" s="16">
        <v>11634</v>
      </c>
      <c r="B4112" s="1">
        <v>1</v>
      </c>
      <c r="C4112" s="1">
        <v>4</v>
      </c>
      <c r="D4112" s="1">
        <v>9.6</v>
      </c>
    </row>
    <row r="4113" spans="1:4" x14ac:dyDescent="0.25">
      <c r="A4113" s="16">
        <v>11635</v>
      </c>
      <c r="B4113" s="1">
        <v>1</v>
      </c>
      <c r="C4113" s="1">
        <v>1</v>
      </c>
      <c r="D4113" s="1">
        <v>7.6</v>
      </c>
    </row>
    <row r="4114" spans="1:4" x14ac:dyDescent="0.25">
      <c r="A4114" s="16">
        <v>11636</v>
      </c>
      <c r="B4114" s="1">
        <v>1</v>
      </c>
      <c r="C4114" s="1">
        <v>3</v>
      </c>
      <c r="D4114" s="1">
        <v>8.3999999999999986</v>
      </c>
    </row>
    <row r="4115" spans="1:4" x14ac:dyDescent="0.25">
      <c r="A4115" s="16">
        <v>11637</v>
      </c>
      <c r="B4115" s="1">
        <v>1</v>
      </c>
      <c r="C4115" s="1">
        <v>1</v>
      </c>
      <c r="D4115" s="1">
        <v>26</v>
      </c>
    </row>
    <row r="4116" spans="1:4" x14ac:dyDescent="0.25">
      <c r="A4116" s="16">
        <v>11638</v>
      </c>
      <c r="B4116" s="1">
        <v>1</v>
      </c>
      <c r="C4116" s="1">
        <v>5</v>
      </c>
      <c r="D4116" s="1">
        <v>9.2000000000000011</v>
      </c>
    </row>
    <row r="4117" spans="1:4" x14ac:dyDescent="0.25">
      <c r="A4117" s="16">
        <v>11639</v>
      </c>
      <c r="B4117" s="1">
        <v>1</v>
      </c>
      <c r="C4117" s="1">
        <v>1</v>
      </c>
      <c r="D4117" s="1">
        <v>7.6</v>
      </c>
    </row>
    <row r="4118" spans="1:4" x14ac:dyDescent="0.25">
      <c r="A4118" s="16">
        <v>11640</v>
      </c>
      <c r="B4118" s="1">
        <v>1</v>
      </c>
      <c r="C4118" s="1">
        <v>1</v>
      </c>
      <c r="D4118" s="1">
        <v>6</v>
      </c>
    </row>
    <row r="4119" spans="1:4" x14ac:dyDescent="0.25">
      <c r="A4119" s="16">
        <v>11641</v>
      </c>
      <c r="B4119" s="1">
        <v>1</v>
      </c>
      <c r="C4119" s="1">
        <v>1</v>
      </c>
      <c r="D4119" s="1">
        <v>8.8000000000000007</v>
      </c>
    </row>
    <row r="4120" spans="1:4" x14ac:dyDescent="0.25">
      <c r="A4120" s="16">
        <v>11642</v>
      </c>
      <c r="B4120" s="1">
        <v>1</v>
      </c>
      <c r="C4120" s="1">
        <v>3</v>
      </c>
      <c r="D4120" s="1">
        <v>7.1999999999999993</v>
      </c>
    </row>
    <row r="4121" spans="1:4" x14ac:dyDescent="0.25">
      <c r="A4121" s="16">
        <v>11643</v>
      </c>
      <c r="B4121" s="1">
        <v>1</v>
      </c>
      <c r="C4121" s="1">
        <v>2</v>
      </c>
      <c r="D4121" s="1">
        <v>15.2</v>
      </c>
    </row>
    <row r="4122" spans="1:4" x14ac:dyDescent="0.25">
      <c r="A4122" s="16">
        <v>11644</v>
      </c>
      <c r="B4122" s="1">
        <v>1</v>
      </c>
      <c r="C4122" s="1">
        <v>2</v>
      </c>
      <c r="D4122" s="1">
        <v>5.6</v>
      </c>
    </row>
    <row r="4123" spans="1:4" x14ac:dyDescent="0.25">
      <c r="A4123" s="16">
        <v>11645</v>
      </c>
      <c r="B4123" s="1">
        <v>1</v>
      </c>
      <c r="C4123" s="1">
        <v>1</v>
      </c>
      <c r="D4123" s="1">
        <v>9.6</v>
      </c>
    </row>
    <row r="4124" spans="1:4" x14ac:dyDescent="0.25">
      <c r="A4124" s="16">
        <v>11646</v>
      </c>
      <c r="B4124" s="1">
        <v>1</v>
      </c>
      <c r="C4124" s="1">
        <v>3</v>
      </c>
      <c r="D4124" s="1">
        <v>8.3999999999999986</v>
      </c>
    </row>
    <row r="4125" spans="1:4" x14ac:dyDescent="0.25">
      <c r="A4125" s="16">
        <v>11647</v>
      </c>
      <c r="B4125" s="1">
        <v>1</v>
      </c>
      <c r="C4125" s="1">
        <v>2</v>
      </c>
      <c r="D4125" s="1">
        <v>12</v>
      </c>
    </row>
    <row r="4126" spans="1:4" x14ac:dyDescent="0.25">
      <c r="A4126" s="16">
        <v>11648</v>
      </c>
      <c r="B4126" s="1">
        <v>1</v>
      </c>
      <c r="C4126" s="1">
        <v>1</v>
      </c>
      <c r="D4126" s="1">
        <v>8</v>
      </c>
    </row>
    <row r="4127" spans="1:4" x14ac:dyDescent="0.25">
      <c r="A4127" s="16">
        <v>11649</v>
      </c>
      <c r="B4127" s="1">
        <v>1</v>
      </c>
      <c r="C4127" s="1">
        <v>4</v>
      </c>
      <c r="D4127" s="1">
        <v>7.36</v>
      </c>
    </row>
    <row r="4128" spans="1:4" x14ac:dyDescent="0.25">
      <c r="A4128" s="16">
        <v>11650</v>
      </c>
      <c r="B4128" s="1">
        <v>1</v>
      </c>
      <c r="C4128" s="1">
        <v>1</v>
      </c>
      <c r="D4128" s="1">
        <v>10</v>
      </c>
    </row>
    <row r="4129" spans="1:4" x14ac:dyDescent="0.25">
      <c r="A4129" s="16">
        <v>11651</v>
      </c>
      <c r="B4129" s="1">
        <v>1</v>
      </c>
      <c r="C4129" s="1">
        <v>1</v>
      </c>
      <c r="D4129" s="1">
        <v>51.64</v>
      </c>
    </row>
    <row r="4130" spans="1:4" x14ac:dyDescent="0.25">
      <c r="A4130" s="16">
        <v>11652</v>
      </c>
      <c r="B4130" s="1">
        <v>1</v>
      </c>
      <c r="C4130" s="1">
        <v>1</v>
      </c>
      <c r="D4130" s="1">
        <v>7.2</v>
      </c>
    </row>
    <row r="4131" spans="1:4" x14ac:dyDescent="0.25">
      <c r="A4131" s="16">
        <v>11653</v>
      </c>
      <c r="B4131" s="1">
        <v>1</v>
      </c>
      <c r="C4131" s="1">
        <v>1</v>
      </c>
      <c r="D4131" s="1">
        <v>7.6</v>
      </c>
    </row>
    <row r="4132" spans="1:4" x14ac:dyDescent="0.25">
      <c r="A4132" s="16">
        <v>11654</v>
      </c>
      <c r="B4132" s="1">
        <v>1</v>
      </c>
      <c r="C4132" s="1">
        <v>2</v>
      </c>
      <c r="D4132" s="1">
        <v>5.6</v>
      </c>
    </row>
    <row r="4133" spans="1:4" x14ac:dyDescent="0.25">
      <c r="A4133" s="16">
        <v>11655</v>
      </c>
      <c r="B4133" s="1">
        <v>1</v>
      </c>
      <c r="C4133" s="1">
        <v>2</v>
      </c>
      <c r="D4133" s="1">
        <v>12</v>
      </c>
    </row>
    <row r="4134" spans="1:4" x14ac:dyDescent="0.25">
      <c r="A4134" s="16">
        <v>11656</v>
      </c>
      <c r="B4134" s="1">
        <v>1</v>
      </c>
      <c r="C4134" s="1">
        <v>1</v>
      </c>
      <c r="D4134" s="1">
        <v>13.6</v>
      </c>
    </row>
    <row r="4135" spans="1:4" x14ac:dyDescent="0.25">
      <c r="A4135" s="16">
        <v>11657</v>
      </c>
      <c r="B4135" s="1">
        <v>1</v>
      </c>
      <c r="C4135" s="1">
        <v>1</v>
      </c>
      <c r="D4135" s="1">
        <v>7.6</v>
      </c>
    </row>
    <row r="4136" spans="1:4" x14ac:dyDescent="0.25">
      <c r="A4136" s="16">
        <v>11658</v>
      </c>
      <c r="B4136" s="1">
        <v>1</v>
      </c>
      <c r="C4136" s="1">
        <v>1</v>
      </c>
      <c r="D4136" s="1">
        <v>36</v>
      </c>
    </row>
    <row r="4137" spans="1:4" x14ac:dyDescent="0.25">
      <c r="A4137" s="16">
        <v>11659</v>
      </c>
      <c r="B4137" s="1">
        <v>1</v>
      </c>
      <c r="C4137" s="1">
        <v>4</v>
      </c>
      <c r="D4137" s="1">
        <v>9.6</v>
      </c>
    </row>
    <row r="4138" spans="1:4" x14ac:dyDescent="0.25">
      <c r="A4138" s="16">
        <v>11660</v>
      </c>
      <c r="B4138" s="1">
        <v>1</v>
      </c>
      <c r="C4138" s="1">
        <v>1</v>
      </c>
      <c r="D4138" s="1">
        <v>7.6</v>
      </c>
    </row>
    <row r="4139" spans="1:4" x14ac:dyDescent="0.25">
      <c r="A4139" s="16">
        <v>11661</v>
      </c>
      <c r="B4139" s="1">
        <v>1</v>
      </c>
      <c r="C4139" s="1">
        <v>3</v>
      </c>
      <c r="D4139" s="1">
        <v>8.3999999999999986</v>
      </c>
    </row>
    <row r="4140" spans="1:4" x14ac:dyDescent="0.25">
      <c r="A4140" s="16">
        <v>11662</v>
      </c>
      <c r="B4140" s="1">
        <v>1</v>
      </c>
      <c r="C4140" s="1">
        <v>2</v>
      </c>
      <c r="D4140" s="1">
        <v>12</v>
      </c>
    </row>
    <row r="4141" spans="1:4" x14ac:dyDescent="0.25">
      <c r="A4141" s="16">
        <v>11663</v>
      </c>
      <c r="B4141" s="1">
        <v>1</v>
      </c>
      <c r="C4141" s="1">
        <v>1</v>
      </c>
      <c r="D4141" s="1">
        <v>8</v>
      </c>
    </row>
    <row r="4142" spans="1:4" x14ac:dyDescent="0.25">
      <c r="A4142" s="16">
        <v>11664</v>
      </c>
      <c r="B4142" s="1">
        <v>1</v>
      </c>
      <c r="C4142" s="1">
        <v>1</v>
      </c>
      <c r="D4142" s="1">
        <v>13.6</v>
      </c>
    </row>
    <row r="4143" spans="1:4" x14ac:dyDescent="0.25">
      <c r="A4143" s="16">
        <v>11665</v>
      </c>
      <c r="B4143" s="1">
        <v>1</v>
      </c>
      <c r="C4143" s="1">
        <v>1</v>
      </c>
      <c r="D4143" s="1">
        <v>26</v>
      </c>
    </row>
    <row r="4144" spans="1:4" x14ac:dyDescent="0.25">
      <c r="A4144" s="16">
        <v>11666</v>
      </c>
      <c r="B4144" s="1">
        <v>1</v>
      </c>
      <c r="C4144" s="1">
        <v>1</v>
      </c>
      <c r="D4144" s="1">
        <v>7.6</v>
      </c>
    </row>
    <row r="4145" spans="1:4" x14ac:dyDescent="0.25">
      <c r="A4145" s="16">
        <v>11667</v>
      </c>
      <c r="B4145" s="1">
        <v>1</v>
      </c>
      <c r="C4145" s="1">
        <v>1</v>
      </c>
      <c r="D4145" s="1">
        <v>20</v>
      </c>
    </row>
    <row r="4146" spans="1:4" x14ac:dyDescent="0.25">
      <c r="A4146" s="16">
        <v>11668</v>
      </c>
      <c r="B4146" s="1">
        <v>1</v>
      </c>
      <c r="C4146" s="1">
        <v>2</v>
      </c>
      <c r="D4146" s="1">
        <v>12</v>
      </c>
    </row>
    <row r="4147" spans="1:4" x14ac:dyDescent="0.25">
      <c r="A4147" s="16">
        <v>11669</v>
      </c>
      <c r="B4147" s="1">
        <v>1</v>
      </c>
      <c r="C4147" s="1">
        <v>3</v>
      </c>
      <c r="D4147" s="1">
        <v>8.3999999999999986</v>
      </c>
    </row>
    <row r="4148" spans="1:4" x14ac:dyDescent="0.25">
      <c r="A4148" s="16">
        <v>11670</v>
      </c>
      <c r="B4148" s="1">
        <v>1</v>
      </c>
      <c r="C4148" s="1">
        <v>1</v>
      </c>
      <c r="D4148" s="1">
        <v>36</v>
      </c>
    </row>
    <row r="4149" spans="1:4" x14ac:dyDescent="0.25">
      <c r="A4149" s="16">
        <v>11671</v>
      </c>
      <c r="B4149" s="1">
        <v>1</v>
      </c>
      <c r="C4149" s="1">
        <v>4</v>
      </c>
      <c r="D4149" s="1">
        <v>9.6</v>
      </c>
    </row>
    <row r="4150" spans="1:4" x14ac:dyDescent="0.25">
      <c r="A4150" s="16">
        <v>11672</v>
      </c>
      <c r="B4150" s="1">
        <v>1</v>
      </c>
      <c r="C4150" s="1">
        <v>5</v>
      </c>
      <c r="D4150" s="1">
        <v>9.2000000000000011</v>
      </c>
    </row>
    <row r="4151" spans="1:4" x14ac:dyDescent="0.25">
      <c r="A4151" s="16">
        <v>11673</v>
      </c>
      <c r="B4151" s="1">
        <v>1</v>
      </c>
      <c r="C4151" s="1">
        <v>2</v>
      </c>
      <c r="D4151" s="1">
        <v>5.6</v>
      </c>
    </row>
    <row r="4152" spans="1:4" x14ac:dyDescent="0.25">
      <c r="A4152" s="16">
        <v>11674</v>
      </c>
      <c r="B4152" s="1">
        <v>1</v>
      </c>
      <c r="C4152" s="1">
        <v>1</v>
      </c>
      <c r="D4152" s="1">
        <v>8.8000000000000007</v>
      </c>
    </row>
    <row r="4153" spans="1:4" x14ac:dyDescent="0.25">
      <c r="A4153" s="16">
        <v>11675</v>
      </c>
      <c r="B4153" s="1">
        <v>1</v>
      </c>
      <c r="C4153" s="1">
        <v>2</v>
      </c>
      <c r="D4153" s="1">
        <v>12</v>
      </c>
    </row>
    <row r="4154" spans="1:4" x14ac:dyDescent="0.25">
      <c r="A4154" s="16">
        <v>11676</v>
      </c>
      <c r="B4154" s="1">
        <v>1</v>
      </c>
      <c r="C4154" s="1">
        <v>1</v>
      </c>
      <c r="D4154" s="1">
        <v>8</v>
      </c>
    </row>
    <row r="4155" spans="1:4" x14ac:dyDescent="0.25">
      <c r="A4155" s="16">
        <v>11677</v>
      </c>
      <c r="B4155" s="1">
        <v>1</v>
      </c>
      <c r="C4155" s="1">
        <v>1</v>
      </c>
      <c r="D4155" s="1">
        <v>13.6</v>
      </c>
    </row>
    <row r="4156" spans="1:4" x14ac:dyDescent="0.25">
      <c r="A4156" s="16">
        <v>11678</v>
      </c>
      <c r="B4156" s="1">
        <v>1</v>
      </c>
      <c r="C4156" s="1">
        <v>1</v>
      </c>
      <c r="D4156" s="1">
        <v>7.2</v>
      </c>
    </row>
    <row r="4157" spans="1:4" x14ac:dyDescent="0.25">
      <c r="A4157" s="16">
        <v>11679</v>
      </c>
      <c r="B4157" s="1">
        <v>1</v>
      </c>
      <c r="C4157" s="1">
        <v>1</v>
      </c>
      <c r="D4157" s="1">
        <v>7.6</v>
      </c>
    </row>
    <row r="4158" spans="1:4" x14ac:dyDescent="0.25">
      <c r="A4158" s="16">
        <v>11680</v>
      </c>
      <c r="B4158" s="1">
        <v>1</v>
      </c>
      <c r="C4158" s="1">
        <v>3</v>
      </c>
      <c r="D4158" s="1">
        <v>8.3999999999999986</v>
      </c>
    </row>
    <row r="4159" spans="1:4" x14ac:dyDescent="0.25">
      <c r="A4159" s="16">
        <v>11681</v>
      </c>
      <c r="B4159" s="1">
        <v>1</v>
      </c>
      <c r="C4159" s="1">
        <v>2</v>
      </c>
      <c r="D4159" s="1">
        <v>12</v>
      </c>
    </row>
    <row r="4160" spans="1:4" x14ac:dyDescent="0.25">
      <c r="A4160" s="16">
        <v>11682</v>
      </c>
      <c r="B4160" s="1">
        <v>1</v>
      </c>
      <c r="C4160" s="1">
        <v>2</v>
      </c>
      <c r="D4160" s="1">
        <v>25.6</v>
      </c>
    </row>
    <row r="4161" spans="1:4" x14ac:dyDescent="0.25">
      <c r="A4161" s="16">
        <v>11683</v>
      </c>
      <c r="B4161" s="1">
        <v>1</v>
      </c>
      <c r="C4161" s="1">
        <v>1</v>
      </c>
      <c r="D4161" s="1">
        <v>7.6</v>
      </c>
    </row>
    <row r="4162" spans="1:4" x14ac:dyDescent="0.25">
      <c r="A4162" s="16">
        <v>11684</v>
      </c>
      <c r="B4162" s="1">
        <v>1</v>
      </c>
      <c r="C4162" s="1">
        <v>5</v>
      </c>
      <c r="D4162" s="1">
        <v>9.2000000000000011</v>
      </c>
    </row>
    <row r="4163" spans="1:4" x14ac:dyDescent="0.25">
      <c r="A4163" s="16">
        <v>11685</v>
      </c>
      <c r="B4163" s="1">
        <v>1</v>
      </c>
      <c r="C4163" s="1">
        <v>1</v>
      </c>
      <c r="D4163" s="1">
        <v>7.6</v>
      </c>
    </row>
    <row r="4164" spans="1:4" x14ac:dyDescent="0.25">
      <c r="A4164" s="16">
        <v>11686</v>
      </c>
      <c r="B4164" s="1">
        <v>1</v>
      </c>
      <c r="C4164" s="1">
        <v>1</v>
      </c>
      <c r="D4164" s="1">
        <v>8.8000000000000007</v>
      </c>
    </row>
    <row r="4165" spans="1:4" x14ac:dyDescent="0.25">
      <c r="A4165" s="16">
        <v>11687</v>
      </c>
      <c r="B4165" s="1">
        <v>1</v>
      </c>
      <c r="C4165" s="1">
        <v>3</v>
      </c>
      <c r="D4165" s="1">
        <v>7.1999999999999993</v>
      </c>
    </row>
    <row r="4166" spans="1:4" x14ac:dyDescent="0.25">
      <c r="A4166" s="16">
        <v>11688</v>
      </c>
      <c r="B4166" s="1">
        <v>1</v>
      </c>
      <c r="C4166" s="1">
        <v>2</v>
      </c>
      <c r="D4166" s="1">
        <v>12</v>
      </c>
    </row>
    <row r="4167" spans="1:4" x14ac:dyDescent="0.25">
      <c r="A4167" s="16">
        <v>11689</v>
      </c>
      <c r="B4167" s="1">
        <v>1</v>
      </c>
      <c r="C4167" s="1">
        <v>3</v>
      </c>
      <c r="D4167" s="1">
        <v>8.3999999999999986</v>
      </c>
    </row>
    <row r="4168" spans="1:4" x14ac:dyDescent="0.25">
      <c r="A4168" s="16">
        <v>11690</v>
      </c>
      <c r="B4168" s="1">
        <v>1</v>
      </c>
      <c r="C4168" s="1">
        <v>1</v>
      </c>
      <c r="D4168" s="1">
        <v>8</v>
      </c>
    </row>
    <row r="4169" spans="1:4" x14ac:dyDescent="0.25">
      <c r="A4169" s="16">
        <v>11691</v>
      </c>
      <c r="B4169" s="1">
        <v>1</v>
      </c>
      <c r="C4169" s="1">
        <v>1</v>
      </c>
      <c r="D4169" s="1">
        <v>13.6</v>
      </c>
    </row>
    <row r="4170" spans="1:4" x14ac:dyDescent="0.25">
      <c r="A4170" s="16">
        <v>11692</v>
      </c>
      <c r="B4170" s="1">
        <v>1</v>
      </c>
      <c r="C4170" s="1">
        <v>1</v>
      </c>
      <c r="D4170" s="1">
        <v>26</v>
      </c>
    </row>
    <row r="4171" spans="1:4" x14ac:dyDescent="0.25">
      <c r="A4171" s="16">
        <v>11693</v>
      </c>
      <c r="B4171" s="1">
        <v>1</v>
      </c>
      <c r="C4171" s="1">
        <v>1</v>
      </c>
      <c r="D4171" s="1">
        <v>7.6</v>
      </c>
    </row>
    <row r="4172" spans="1:4" x14ac:dyDescent="0.25">
      <c r="A4172" s="16">
        <v>11694</v>
      </c>
      <c r="B4172" s="1">
        <v>1</v>
      </c>
      <c r="C4172" s="1">
        <v>2</v>
      </c>
      <c r="D4172" s="1">
        <v>5.6</v>
      </c>
    </row>
    <row r="4173" spans="1:4" x14ac:dyDescent="0.25">
      <c r="A4173" s="16">
        <v>11695</v>
      </c>
      <c r="B4173" s="1">
        <v>1</v>
      </c>
      <c r="C4173" s="1">
        <v>1</v>
      </c>
      <c r="D4173" s="1">
        <v>6</v>
      </c>
    </row>
    <row r="4174" spans="1:4" x14ac:dyDescent="0.25">
      <c r="A4174" s="16">
        <v>11696</v>
      </c>
      <c r="B4174" s="1">
        <v>1</v>
      </c>
      <c r="C4174" s="1">
        <v>1</v>
      </c>
      <c r="D4174" s="1">
        <v>8</v>
      </c>
    </row>
    <row r="4175" spans="1:4" x14ac:dyDescent="0.25">
      <c r="A4175" s="16">
        <v>11697</v>
      </c>
      <c r="B4175" s="1">
        <v>1</v>
      </c>
      <c r="C4175" s="1">
        <v>4</v>
      </c>
      <c r="D4175" s="1">
        <v>7.36</v>
      </c>
    </row>
    <row r="4176" spans="1:4" x14ac:dyDescent="0.25">
      <c r="A4176" s="16">
        <v>11698</v>
      </c>
      <c r="B4176" s="1">
        <v>1</v>
      </c>
      <c r="C4176" s="1">
        <v>1</v>
      </c>
      <c r="D4176" s="1">
        <v>7.6</v>
      </c>
    </row>
    <row r="4177" spans="1:4" x14ac:dyDescent="0.25">
      <c r="A4177" s="16">
        <v>11699</v>
      </c>
      <c r="B4177" s="1">
        <v>2</v>
      </c>
      <c r="C4177" s="1">
        <v>3</v>
      </c>
      <c r="D4177" s="1">
        <v>11.6</v>
      </c>
    </row>
    <row r="4178" spans="1:4" x14ac:dyDescent="0.25">
      <c r="A4178" s="16">
        <v>11700</v>
      </c>
      <c r="B4178" s="1">
        <v>1</v>
      </c>
      <c r="C4178" s="1">
        <v>1</v>
      </c>
      <c r="D4178" s="1">
        <v>8.8000000000000007</v>
      </c>
    </row>
    <row r="4179" spans="1:4" x14ac:dyDescent="0.25">
      <c r="A4179" s="16">
        <v>11701</v>
      </c>
      <c r="B4179" s="1">
        <v>1</v>
      </c>
      <c r="C4179" s="1">
        <v>1</v>
      </c>
      <c r="D4179" s="1">
        <v>36</v>
      </c>
    </row>
    <row r="4180" spans="1:4" x14ac:dyDescent="0.25">
      <c r="A4180" s="16">
        <v>11702</v>
      </c>
      <c r="B4180" s="1">
        <v>1</v>
      </c>
      <c r="C4180" s="1">
        <v>3</v>
      </c>
      <c r="D4180" s="1">
        <v>7.1999999999999993</v>
      </c>
    </row>
    <row r="4181" spans="1:4" x14ac:dyDescent="0.25">
      <c r="A4181" s="16">
        <v>11703</v>
      </c>
      <c r="B4181" s="1">
        <v>1</v>
      </c>
      <c r="C4181" s="1">
        <v>1</v>
      </c>
      <c r="D4181" s="1">
        <v>7.6</v>
      </c>
    </row>
    <row r="4182" spans="1:4" x14ac:dyDescent="0.25">
      <c r="A4182" s="16">
        <v>11704</v>
      </c>
      <c r="B4182" s="1">
        <v>1</v>
      </c>
      <c r="C4182" s="1">
        <v>1</v>
      </c>
      <c r="D4182" s="1">
        <v>8</v>
      </c>
    </row>
    <row r="4183" spans="1:4" x14ac:dyDescent="0.25">
      <c r="A4183" s="16">
        <v>11705</v>
      </c>
      <c r="B4183" s="1">
        <v>1</v>
      </c>
      <c r="C4183" s="1">
        <v>1</v>
      </c>
      <c r="D4183" s="1">
        <v>7.6</v>
      </c>
    </row>
    <row r="4184" spans="1:4" x14ac:dyDescent="0.25">
      <c r="A4184" s="16">
        <v>11706</v>
      </c>
      <c r="B4184" s="1">
        <v>1</v>
      </c>
      <c r="C4184" s="1">
        <v>1</v>
      </c>
      <c r="D4184" s="1">
        <v>7.2</v>
      </c>
    </row>
    <row r="4185" spans="1:4" x14ac:dyDescent="0.25">
      <c r="A4185" s="16">
        <v>11707</v>
      </c>
      <c r="B4185" s="1">
        <v>1</v>
      </c>
      <c r="C4185" s="1">
        <v>2</v>
      </c>
      <c r="D4185" s="1">
        <v>5.6</v>
      </c>
    </row>
    <row r="4186" spans="1:4" x14ac:dyDescent="0.25">
      <c r="A4186" s="16">
        <v>11708</v>
      </c>
      <c r="B4186" s="1">
        <v>1</v>
      </c>
      <c r="C4186" s="1">
        <v>2</v>
      </c>
      <c r="D4186" s="1">
        <v>12</v>
      </c>
    </row>
    <row r="4187" spans="1:4" x14ac:dyDescent="0.25">
      <c r="A4187" s="16">
        <v>11709</v>
      </c>
      <c r="B4187" s="1">
        <v>1</v>
      </c>
      <c r="C4187" s="1">
        <v>1</v>
      </c>
      <c r="D4187" s="1">
        <v>75.64</v>
      </c>
    </row>
    <row r="4188" spans="1:4" x14ac:dyDescent="0.25">
      <c r="A4188" s="16">
        <v>11710</v>
      </c>
      <c r="B4188" s="1">
        <v>1</v>
      </c>
      <c r="C4188" s="1">
        <v>3</v>
      </c>
      <c r="D4188" s="1">
        <v>7.1999999999999993</v>
      </c>
    </row>
    <row r="4189" spans="1:4" x14ac:dyDescent="0.25">
      <c r="A4189" s="16">
        <v>11711</v>
      </c>
      <c r="B4189" s="1">
        <v>1</v>
      </c>
      <c r="C4189" s="1">
        <v>4</v>
      </c>
      <c r="D4189" s="1">
        <v>7.36</v>
      </c>
    </row>
    <row r="4190" spans="1:4" x14ac:dyDescent="0.25">
      <c r="A4190" s="16">
        <v>11712</v>
      </c>
      <c r="B4190" s="1">
        <v>1</v>
      </c>
      <c r="C4190" s="1">
        <v>2</v>
      </c>
      <c r="D4190" s="1">
        <v>15.2</v>
      </c>
    </row>
    <row r="4191" spans="1:4" x14ac:dyDescent="0.25">
      <c r="A4191" s="16">
        <v>11713</v>
      </c>
      <c r="B4191" s="1">
        <v>1</v>
      </c>
      <c r="C4191" s="1">
        <v>1</v>
      </c>
      <c r="D4191" s="1">
        <v>10</v>
      </c>
    </row>
    <row r="4192" spans="1:4" x14ac:dyDescent="0.25">
      <c r="A4192" s="16">
        <v>11714</v>
      </c>
      <c r="B4192" s="1">
        <v>1</v>
      </c>
      <c r="C4192" s="1">
        <v>1</v>
      </c>
      <c r="D4192" s="1">
        <v>8</v>
      </c>
    </row>
    <row r="4193" spans="1:4" x14ac:dyDescent="0.25">
      <c r="A4193" s="16">
        <v>11715</v>
      </c>
      <c r="B4193" s="1">
        <v>1</v>
      </c>
      <c r="C4193" s="1">
        <v>1</v>
      </c>
      <c r="D4193" s="1">
        <v>9.6</v>
      </c>
    </row>
    <row r="4194" spans="1:4" x14ac:dyDescent="0.25">
      <c r="A4194" s="16">
        <v>11716</v>
      </c>
      <c r="B4194" s="1">
        <v>1</v>
      </c>
      <c r="C4194" s="1">
        <v>1</v>
      </c>
      <c r="D4194" s="1">
        <v>13.6</v>
      </c>
    </row>
    <row r="4195" spans="1:4" x14ac:dyDescent="0.25">
      <c r="A4195" s="16">
        <v>11717</v>
      </c>
      <c r="B4195" s="1">
        <v>1</v>
      </c>
      <c r="C4195" s="1">
        <v>3</v>
      </c>
      <c r="D4195" s="1">
        <v>8.3999999999999986</v>
      </c>
    </row>
    <row r="4196" spans="1:4" x14ac:dyDescent="0.25">
      <c r="A4196" s="16">
        <v>11718</v>
      </c>
      <c r="B4196" s="1">
        <v>1</v>
      </c>
      <c r="C4196" s="1">
        <v>1</v>
      </c>
      <c r="D4196" s="1">
        <v>6</v>
      </c>
    </row>
    <row r="4197" spans="1:4" x14ac:dyDescent="0.25">
      <c r="A4197" s="16">
        <v>11719</v>
      </c>
      <c r="B4197" s="1">
        <v>1</v>
      </c>
      <c r="C4197" s="1">
        <v>1</v>
      </c>
      <c r="D4197" s="1">
        <v>8.8000000000000007</v>
      </c>
    </row>
    <row r="4198" spans="1:4" x14ac:dyDescent="0.25">
      <c r="A4198" s="16">
        <v>11720</v>
      </c>
      <c r="B4198" s="1">
        <v>1</v>
      </c>
      <c r="C4198" s="1">
        <v>1</v>
      </c>
      <c r="D4198" s="1">
        <v>7.6</v>
      </c>
    </row>
    <row r="4199" spans="1:4" x14ac:dyDescent="0.25">
      <c r="A4199" s="16">
        <v>11721</v>
      </c>
      <c r="B4199" s="1">
        <v>1</v>
      </c>
      <c r="C4199" s="1">
        <v>1</v>
      </c>
      <c r="D4199" s="1">
        <v>7.6</v>
      </c>
    </row>
    <row r="4200" spans="1:4" x14ac:dyDescent="0.25">
      <c r="A4200" s="16">
        <v>11722</v>
      </c>
      <c r="B4200" s="1">
        <v>1</v>
      </c>
      <c r="C4200" s="1">
        <v>1</v>
      </c>
      <c r="D4200" s="1">
        <v>26</v>
      </c>
    </row>
    <row r="4201" spans="1:4" x14ac:dyDescent="0.25">
      <c r="A4201" s="16">
        <v>11723</v>
      </c>
      <c r="B4201" s="1">
        <v>1</v>
      </c>
      <c r="C4201" s="1">
        <v>1</v>
      </c>
      <c r="D4201" s="1">
        <v>51.64</v>
      </c>
    </row>
    <row r="4202" spans="1:4" x14ac:dyDescent="0.25">
      <c r="A4202" s="16">
        <v>11724</v>
      </c>
      <c r="B4202" s="1">
        <v>1</v>
      </c>
      <c r="C4202" s="1">
        <v>1</v>
      </c>
      <c r="D4202" s="1">
        <v>36</v>
      </c>
    </row>
    <row r="4203" spans="1:4" x14ac:dyDescent="0.25">
      <c r="A4203" s="16">
        <v>11725</v>
      </c>
      <c r="B4203" s="1">
        <v>1</v>
      </c>
      <c r="C4203" s="1">
        <v>1</v>
      </c>
      <c r="D4203" s="1">
        <v>8</v>
      </c>
    </row>
    <row r="4204" spans="1:4" x14ac:dyDescent="0.25">
      <c r="A4204" s="16">
        <v>11726</v>
      </c>
      <c r="B4204" s="1">
        <v>1</v>
      </c>
      <c r="C4204" s="1">
        <v>5</v>
      </c>
      <c r="D4204" s="1">
        <v>9.2000000000000011</v>
      </c>
    </row>
    <row r="4205" spans="1:4" x14ac:dyDescent="0.25">
      <c r="A4205" s="16">
        <v>11727</v>
      </c>
      <c r="B4205" s="1">
        <v>1</v>
      </c>
      <c r="C4205" s="1">
        <v>3</v>
      </c>
      <c r="D4205" s="1">
        <v>8.3999999999999986</v>
      </c>
    </row>
    <row r="4206" spans="1:4" x14ac:dyDescent="0.25">
      <c r="A4206" s="16">
        <v>11728</v>
      </c>
      <c r="B4206" s="1">
        <v>1</v>
      </c>
      <c r="C4206" s="1">
        <v>2</v>
      </c>
      <c r="D4206" s="1">
        <v>12</v>
      </c>
    </row>
    <row r="4207" spans="1:4" x14ac:dyDescent="0.25">
      <c r="A4207" s="16">
        <v>11729</v>
      </c>
      <c r="B4207" s="1">
        <v>1</v>
      </c>
      <c r="C4207" s="1">
        <v>1</v>
      </c>
      <c r="D4207" s="1">
        <v>8.8000000000000007</v>
      </c>
    </row>
    <row r="4208" spans="1:4" x14ac:dyDescent="0.25">
      <c r="A4208" s="16">
        <v>11730</v>
      </c>
      <c r="B4208" s="1">
        <v>1</v>
      </c>
      <c r="C4208" s="1">
        <v>1</v>
      </c>
      <c r="D4208" s="1">
        <v>13.6</v>
      </c>
    </row>
    <row r="4209" spans="1:4" x14ac:dyDescent="0.25">
      <c r="A4209" s="16">
        <v>11731</v>
      </c>
      <c r="B4209" s="1">
        <v>1</v>
      </c>
      <c r="C4209" s="1">
        <v>1</v>
      </c>
      <c r="D4209" s="1">
        <v>7.6</v>
      </c>
    </row>
    <row r="4210" spans="1:4" x14ac:dyDescent="0.25">
      <c r="A4210" s="16">
        <v>11732</v>
      </c>
      <c r="B4210" s="1">
        <v>1</v>
      </c>
      <c r="C4210" s="1">
        <v>2</v>
      </c>
      <c r="D4210" s="1">
        <v>5.6</v>
      </c>
    </row>
    <row r="4211" spans="1:4" x14ac:dyDescent="0.25">
      <c r="A4211" s="16">
        <v>11733</v>
      </c>
      <c r="B4211" s="1">
        <v>1</v>
      </c>
      <c r="C4211" s="1">
        <v>1</v>
      </c>
      <c r="D4211" s="1">
        <v>6</v>
      </c>
    </row>
    <row r="4212" spans="1:4" x14ac:dyDescent="0.25">
      <c r="A4212" s="16">
        <v>11734</v>
      </c>
      <c r="B4212" s="1">
        <v>1</v>
      </c>
      <c r="C4212" s="1">
        <v>1</v>
      </c>
      <c r="D4212" s="1">
        <v>7.2</v>
      </c>
    </row>
    <row r="4213" spans="1:4" x14ac:dyDescent="0.25">
      <c r="A4213" s="16">
        <v>11735</v>
      </c>
      <c r="B4213" s="1">
        <v>1</v>
      </c>
      <c r="C4213" s="1">
        <v>3</v>
      </c>
      <c r="D4213" s="1">
        <v>8.3999999999999986</v>
      </c>
    </row>
    <row r="4214" spans="1:4" x14ac:dyDescent="0.25">
      <c r="A4214" s="16">
        <v>11736</v>
      </c>
      <c r="B4214" s="1">
        <v>1</v>
      </c>
      <c r="C4214" s="1">
        <v>2</v>
      </c>
      <c r="D4214" s="1">
        <v>12</v>
      </c>
    </row>
    <row r="4215" spans="1:4" x14ac:dyDescent="0.25">
      <c r="A4215" s="16">
        <v>11737</v>
      </c>
      <c r="B4215" s="1">
        <v>1</v>
      </c>
      <c r="C4215" s="1">
        <v>1</v>
      </c>
      <c r="D4215" s="1">
        <v>8</v>
      </c>
    </row>
    <row r="4216" spans="1:4" x14ac:dyDescent="0.25">
      <c r="A4216" s="16">
        <v>11738</v>
      </c>
      <c r="B4216" s="1">
        <v>1</v>
      </c>
      <c r="C4216" s="1">
        <v>1</v>
      </c>
      <c r="D4216" s="1">
        <v>13.6</v>
      </c>
    </row>
    <row r="4217" spans="1:4" x14ac:dyDescent="0.25">
      <c r="A4217" s="16">
        <v>11739</v>
      </c>
      <c r="B4217" s="1">
        <v>1</v>
      </c>
      <c r="C4217" s="1">
        <v>1</v>
      </c>
      <c r="D4217" s="1">
        <v>7.6</v>
      </c>
    </row>
    <row r="4218" spans="1:4" x14ac:dyDescent="0.25">
      <c r="A4218" s="16">
        <v>11740</v>
      </c>
      <c r="B4218" s="1">
        <v>1</v>
      </c>
      <c r="C4218" s="1">
        <v>1</v>
      </c>
      <c r="D4218" s="1">
        <v>36</v>
      </c>
    </row>
    <row r="4219" spans="1:4" x14ac:dyDescent="0.25">
      <c r="A4219" s="16">
        <v>11741</v>
      </c>
      <c r="B4219" s="1">
        <v>1</v>
      </c>
      <c r="C4219" s="1">
        <v>4</v>
      </c>
      <c r="D4219" s="1">
        <v>9.6</v>
      </c>
    </row>
    <row r="4220" spans="1:4" x14ac:dyDescent="0.25">
      <c r="A4220" s="16">
        <v>11742</v>
      </c>
      <c r="B4220" s="1">
        <v>1</v>
      </c>
      <c r="C4220" s="1">
        <v>1</v>
      </c>
      <c r="D4220" s="1">
        <v>7.6</v>
      </c>
    </row>
    <row r="4221" spans="1:4" x14ac:dyDescent="0.25">
      <c r="A4221" s="16">
        <v>11743</v>
      </c>
      <c r="B4221" s="1">
        <v>1</v>
      </c>
      <c r="C4221" s="1">
        <v>1</v>
      </c>
      <c r="D4221" s="1">
        <v>6</v>
      </c>
    </row>
    <row r="4222" spans="1:4" x14ac:dyDescent="0.25">
      <c r="A4222" s="16">
        <v>11744</v>
      </c>
      <c r="B4222" s="1">
        <v>1</v>
      </c>
      <c r="C4222" s="1">
        <v>1</v>
      </c>
      <c r="D4222" s="1">
        <v>8.8000000000000007</v>
      </c>
    </row>
    <row r="4223" spans="1:4" x14ac:dyDescent="0.25">
      <c r="A4223" s="16">
        <v>11745</v>
      </c>
      <c r="B4223" s="1">
        <v>1</v>
      </c>
      <c r="C4223" s="1">
        <v>2</v>
      </c>
      <c r="D4223" s="1">
        <v>5.6</v>
      </c>
    </row>
    <row r="4224" spans="1:4" x14ac:dyDescent="0.25">
      <c r="A4224" s="16">
        <v>11746</v>
      </c>
      <c r="B4224" s="1">
        <v>1</v>
      </c>
      <c r="C4224" s="1">
        <v>1</v>
      </c>
      <c r="D4224" s="1">
        <v>7.6</v>
      </c>
    </row>
    <row r="4225" spans="1:4" x14ac:dyDescent="0.25">
      <c r="A4225" s="16">
        <v>11747</v>
      </c>
      <c r="B4225" s="1">
        <v>1</v>
      </c>
      <c r="C4225" s="1">
        <v>4</v>
      </c>
      <c r="D4225" s="1">
        <v>7.36</v>
      </c>
    </row>
    <row r="4226" spans="1:4" x14ac:dyDescent="0.25">
      <c r="A4226" s="16">
        <v>11748</v>
      </c>
      <c r="B4226" s="1">
        <v>1</v>
      </c>
      <c r="C4226" s="1">
        <v>1</v>
      </c>
      <c r="D4226" s="1">
        <v>8</v>
      </c>
    </row>
    <row r="4227" spans="1:4" x14ac:dyDescent="0.25">
      <c r="A4227" s="16">
        <v>11749</v>
      </c>
      <c r="B4227" s="1">
        <v>1</v>
      </c>
      <c r="C4227" s="1">
        <v>2</v>
      </c>
      <c r="D4227" s="1">
        <v>12</v>
      </c>
    </row>
    <row r="4228" spans="1:4" x14ac:dyDescent="0.25">
      <c r="A4228" s="16">
        <v>11750</v>
      </c>
      <c r="B4228" s="1">
        <v>1</v>
      </c>
      <c r="C4228" s="1">
        <v>3</v>
      </c>
      <c r="D4228" s="1">
        <v>8.3999999999999986</v>
      </c>
    </row>
    <row r="4229" spans="1:4" x14ac:dyDescent="0.25">
      <c r="A4229" s="16">
        <v>11751</v>
      </c>
      <c r="B4229" s="1">
        <v>1</v>
      </c>
      <c r="C4229" s="1">
        <v>1</v>
      </c>
      <c r="D4229" s="1">
        <v>7.6</v>
      </c>
    </row>
    <row r="4230" spans="1:4" x14ac:dyDescent="0.25">
      <c r="A4230" s="16">
        <v>11752</v>
      </c>
      <c r="B4230" s="1">
        <v>1</v>
      </c>
      <c r="C4230" s="1">
        <v>1</v>
      </c>
      <c r="D4230" s="1">
        <v>13.6</v>
      </c>
    </row>
    <row r="4231" spans="1:4" x14ac:dyDescent="0.25">
      <c r="A4231" s="16">
        <v>11753</v>
      </c>
      <c r="B4231" s="1">
        <v>1</v>
      </c>
      <c r="C4231" s="1">
        <v>1</v>
      </c>
      <c r="D4231" s="1">
        <v>10</v>
      </c>
    </row>
    <row r="4232" spans="1:4" x14ac:dyDescent="0.25">
      <c r="A4232" s="16">
        <v>11754</v>
      </c>
      <c r="B4232" s="1">
        <v>1</v>
      </c>
      <c r="C4232" s="1">
        <v>3</v>
      </c>
      <c r="D4232" s="1">
        <v>7.1999999999999993</v>
      </c>
    </row>
    <row r="4233" spans="1:4" x14ac:dyDescent="0.25">
      <c r="A4233" s="16">
        <v>11755</v>
      </c>
      <c r="B4233" s="1">
        <v>1</v>
      </c>
      <c r="C4233" s="1">
        <v>4</v>
      </c>
      <c r="D4233" s="1">
        <v>7.36</v>
      </c>
    </row>
    <row r="4234" spans="1:4" x14ac:dyDescent="0.25">
      <c r="A4234" s="16">
        <v>11756</v>
      </c>
      <c r="B4234" s="1">
        <v>1</v>
      </c>
      <c r="C4234" s="1">
        <v>2</v>
      </c>
      <c r="D4234" s="1">
        <v>12</v>
      </c>
    </row>
    <row r="4235" spans="1:4" x14ac:dyDescent="0.25">
      <c r="A4235" s="16">
        <v>11757</v>
      </c>
      <c r="B4235" s="1">
        <v>1</v>
      </c>
      <c r="C4235" s="1">
        <v>1</v>
      </c>
      <c r="D4235" s="1">
        <v>8.8000000000000007</v>
      </c>
    </row>
    <row r="4236" spans="1:4" x14ac:dyDescent="0.25">
      <c r="A4236" s="16">
        <v>11758</v>
      </c>
      <c r="B4236" s="1">
        <v>1</v>
      </c>
      <c r="C4236" s="1">
        <v>1</v>
      </c>
      <c r="D4236" s="1">
        <v>7.6</v>
      </c>
    </row>
    <row r="4237" spans="1:4" x14ac:dyDescent="0.25">
      <c r="A4237" s="16">
        <v>11759</v>
      </c>
      <c r="B4237" s="1">
        <v>1</v>
      </c>
      <c r="C4237" s="1">
        <v>1</v>
      </c>
      <c r="D4237" s="1">
        <v>51.64</v>
      </c>
    </row>
    <row r="4238" spans="1:4" x14ac:dyDescent="0.25">
      <c r="A4238" s="16">
        <v>11760</v>
      </c>
      <c r="B4238" s="1">
        <v>1</v>
      </c>
      <c r="C4238" s="1">
        <v>1</v>
      </c>
      <c r="D4238" s="1">
        <v>36</v>
      </c>
    </row>
    <row r="4239" spans="1:4" x14ac:dyDescent="0.25">
      <c r="A4239" s="16">
        <v>11761</v>
      </c>
      <c r="B4239" s="1">
        <v>1</v>
      </c>
      <c r="C4239" s="1">
        <v>1</v>
      </c>
      <c r="D4239" s="1">
        <v>8</v>
      </c>
    </row>
    <row r="4240" spans="1:4" x14ac:dyDescent="0.25">
      <c r="A4240" s="16">
        <v>11762</v>
      </c>
      <c r="B4240" s="1">
        <v>1</v>
      </c>
      <c r="C4240" s="1">
        <v>1</v>
      </c>
      <c r="D4240" s="1">
        <v>9.6</v>
      </c>
    </row>
    <row r="4241" spans="1:4" x14ac:dyDescent="0.25">
      <c r="A4241" s="16">
        <v>11763</v>
      </c>
      <c r="B4241" s="1">
        <v>1</v>
      </c>
      <c r="C4241" s="1">
        <v>5</v>
      </c>
      <c r="D4241" s="1">
        <v>9.2000000000000011</v>
      </c>
    </row>
    <row r="4242" spans="1:4" x14ac:dyDescent="0.25">
      <c r="A4242" s="16">
        <v>11764</v>
      </c>
      <c r="B4242" s="1">
        <v>1</v>
      </c>
      <c r="C4242" s="1">
        <v>3</v>
      </c>
      <c r="D4242" s="1">
        <v>8.3999999999999986</v>
      </c>
    </row>
    <row r="4243" spans="1:4" x14ac:dyDescent="0.25">
      <c r="A4243" s="16">
        <v>11765</v>
      </c>
      <c r="B4243" s="1">
        <v>1</v>
      </c>
      <c r="C4243" s="1">
        <v>2</v>
      </c>
      <c r="D4243" s="1">
        <v>12</v>
      </c>
    </row>
    <row r="4244" spans="1:4" x14ac:dyDescent="0.25">
      <c r="A4244" s="16">
        <v>11766</v>
      </c>
      <c r="B4244" s="1">
        <v>1</v>
      </c>
      <c r="C4244" s="1">
        <v>1</v>
      </c>
      <c r="D4244" s="1">
        <v>8.8000000000000007</v>
      </c>
    </row>
    <row r="4245" spans="1:4" x14ac:dyDescent="0.25">
      <c r="A4245" s="16">
        <v>11767</v>
      </c>
      <c r="B4245" s="1">
        <v>1</v>
      </c>
      <c r="C4245" s="1">
        <v>1</v>
      </c>
      <c r="D4245" s="1">
        <v>13.6</v>
      </c>
    </row>
    <row r="4246" spans="1:4" x14ac:dyDescent="0.25">
      <c r="A4246" s="16">
        <v>11768</v>
      </c>
      <c r="B4246" s="1">
        <v>1</v>
      </c>
      <c r="C4246" s="1">
        <v>1</v>
      </c>
      <c r="D4246" s="1">
        <v>7.6</v>
      </c>
    </row>
    <row r="4247" spans="1:4" x14ac:dyDescent="0.25">
      <c r="A4247" s="16">
        <v>11769</v>
      </c>
      <c r="B4247" s="1">
        <v>1</v>
      </c>
      <c r="C4247" s="1">
        <v>1</v>
      </c>
      <c r="D4247" s="1">
        <v>7.6</v>
      </c>
    </row>
    <row r="4248" spans="1:4" x14ac:dyDescent="0.25">
      <c r="A4248" s="16">
        <v>11770</v>
      </c>
      <c r="B4248" s="1">
        <v>1</v>
      </c>
      <c r="C4248" s="1">
        <v>1</v>
      </c>
      <c r="D4248" s="1">
        <v>26</v>
      </c>
    </row>
    <row r="4249" spans="1:4" x14ac:dyDescent="0.25">
      <c r="A4249" s="16">
        <v>11771</v>
      </c>
      <c r="B4249" s="1">
        <v>1</v>
      </c>
      <c r="C4249" s="1">
        <v>2</v>
      </c>
      <c r="D4249" s="1">
        <v>5.6</v>
      </c>
    </row>
    <row r="4250" spans="1:4" x14ac:dyDescent="0.25">
      <c r="A4250" s="16">
        <v>11772</v>
      </c>
      <c r="B4250" s="1">
        <v>1</v>
      </c>
      <c r="C4250" s="1">
        <v>2</v>
      </c>
      <c r="D4250" s="1">
        <v>12</v>
      </c>
    </row>
    <row r="4251" spans="1:4" x14ac:dyDescent="0.25">
      <c r="A4251" s="16">
        <v>11773</v>
      </c>
      <c r="B4251" s="1">
        <v>1</v>
      </c>
      <c r="C4251" s="1">
        <v>1</v>
      </c>
      <c r="D4251" s="1">
        <v>8.8000000000000007</v>
      </c>
    </row>
    <row r="4252" spans="1:4" x14ac:dyDescent="0.25">
      <c r="A4252" s="16">
        <v>11774</v>
      </c>
      <c r="B4252" s="1">
        <v>1</v>
      </c>
      <c r="C4252" s="1">
        <v>1</v>
      </c>
      <c r="D4252" s="1">
        <v>8</v>
      </c>
    </row>
    <row r="4253" spans="1:4" x14ac:dyDescent="0.25">
      <c r="A4253" s="16">
        <v>11775</v>
      </c>
      <c r="B4253" s="1">
        <v>1</v>
      </c>
      <c r="C4253" s="1">
        <v>4</v>
      </c>
      <c r="D4253" s="1">
        <v>9.6</v>
      </c>
    </row>
    <row r="4254" spans="1:4" x14ac:dyDescent="0.25">
      <c r="A4254" s="16">
        <v>11776</v>
      </c>
      <c r="B4254" s="1">
        <v>1</v>
      </c>
      <c r="C4254" s="1">
        <v>4</v>
      </c>
      <c r="D4254" s="1">
        <v>7.36</v>
      </c>
    </row>
    <row r="4255" spans="1:4" x14ac:dyDescent="0.25">
      <c r="A4255" s="16">
        <v>11777</v>
      </c>
      <c r="B4255" s="1">
        <v>1</v>
      </c>
      <c r="C4255" s="1">
        <v>1</v>
      </c>
      <c r="D4255" s="1">
        <v>7.6</v>
      </c>
    </row>
    <row r="4256" spans="1:4" x14ac:dyDescent="0.25">
      <c r="A4256" s="16">
        <v>11778</v>
      </c>
      <c r="B4256" s="1">
        <v>1</v>
      </c>
      <c r="C4256" s="1">
        <v>3</v>
      </c>
      <c r="D4256" s="1">
        <v>8.3999999999999986</v>
      </c>
    </row>
    <row r="4257" spans="1:4" x14ac:dyDescent="0.25">
      <c r="A4257" s="16">
        <v>11779</v>
      </c>
      <c r="B4257" s="1">
        <v>1</v>
      </c>
      <c r="C4257" s="1">
        <v>1</v>
      </c>
      <c r="D4257" s="1">
        <v>6</v>
      </c>
    </row>
    <row r="4258" spans="1:4" x14ac:dyDescent="0.25">
      <c r="A4258" s="16">
        <v>11780</v>
      </c>
      <c r="B4258" s="1">
        <v>1</v>
      </c>
      <c r="C4258" s="1">
        <v>1</v>
      </c>
      <c r="D4258" s="1">
        <v>36</v>
      </c>
    </row>
    <row r="4259" spans="1:4" x14ac:dyDescent="0.25">
      <c r="A4259" s="16">
        <v>11781</v>
      </c>
      <c r="B4259" s="1">
        <v>1</v>
      </c>
      <c r="C4259" s="1">
        <v>1</v>
      </c>
      <c r="D4259" s="1">
        <v>13.6</v>
      </c>
    </row>
    <row r="4260" spans="1:4" x14ac:dyDescent="0.25">
      <c r="A4260" s="16">
        <v>11782</v>
      </c>
      <c r="B4260" s="1">
        <v>1</v>
      </c>
      <c r="C4260" s="1">
        <v>1</v>
      </c>
      <c r="D4260" s="1">
        <v>7.6</v>
      </c>
    </row>
    <row r="4261" spans="1:4" x14ac:dyDescent="0.25">
      <c r="A4261" s="16">
        <v>11783</v>
      </c>
      <c r="B4261" s="1">
        <v>1</v>
      </c>
      <c r="C4261" s="1">
        <v>1</v>
      </c>
      <c r="D4261" s="1">
        <v>8.8000000000000007</v>
      </c>
    </row>
    <row r="4262" spans="1:4" x14ac:dyDescent="0.25">
      <c r="A4262" s="16">
        <v>11784</v>
      </c>
      <c r="B4262" s="1">
        <v>1</v>
      </c>
      <c r="C4262" s="1">
        <v>1</v>
      </c>
      <c r="D4262" s="1">
        <v>7.6</v>
      </c>
    </row>
    <row r="4263" spans="1:4" x14ac:dyDescent="0.25">
      <c r="A4263" s="16">
        <v>11785</v>
      </c>
      <c r="B4263" s="1">
        <v>1</v>
      </c>
      <c r="C4263" s="1">
        <v>2</v>
      </c>
      <c r="D4263" s="1">
        <v>5.6</v>
      </c>
    </row>
    <row r="4264" spans="1:4" x14ac:dyDescent="0.25">
      <c r="A4264" s="16">
        <v>11786</v>
      </c>
      <c r="B4264" s="1">
        <v>1</v>
      </c>
      <c r="C4264" s="1">
        <v>2</v>
      </c>
      <c r="D4264" s="1">
        <v>12</v>
      </c>
    </row>
    <row r="4265" spans="1:4" x14ac:dyDescent="0.25">
      <c r="A4265" s="16">
        <v>11787</v>
      </c>
      <c r="B4265" s="1">
        <v>1</v>
      </c>
      <c r="C4265" s="1">
        <v>1</v>
      </c>
      <c r="D4265" s="1">
        <v>8</v>
      </c>
    </row>
    <row r="4266" spans="1:4" x14ac:dyDescent="0.25">
      <c r="A4266" s="16">
        <v>11788</v>
      </c>
      <c r="B4266" s="1">
        <v>1</v>
      </c>
      <c r="C4266" s="1">
        <v>3</v>
      </c>
      <c r="D4266" s="1">
        <v>8.3999999999999986</v>
      </c>
    </row>
    <row r="4267" spans="1:4" x14ac:dyDescent="0.25">
      <c r="A4267" s="16">
        <v>11789</v>
      </c>
      <c r="B4267" s="1">
        <v>1</v>
      </c>
      <c r="C4267" s="1">
        <v>2</v>
      </c>
      <c r="D4267" s="1">
        <v>12</v>
      </c>
    </row>
    <row r="4268" spans="1:4" x14ac:dyDescent="0.25">
      <c r="A4268" s="16">
        <v>11790</v>
      </c>
      <c r="B4268" s="1">
        <v>1</v>
      </c>
      <c r="C4268" s="1">
        <v>1</v>
      </c>
      <c r="D4268" s="1">
        <v>8.8000000000000007</v>
      </c>
    </row>
    <row r="4269" spans="1:4" x14ac:dyDescent="0.25">
      <c r="A4269" s="16">
        <v>11791</v>
      </c>
      <c r="B4269" s="1">
        <v>1</v>
      </c>
      <c r="C4269" s="1">
        <v>1</v>
      </c>
      <c r="D4269" s="1">
        <v>8</v>
      </c>
    </row>
    <row r="4270" spans="1:4" x14ac:dyDescent="0.25">
      <c r="A4270" s="16">
        <v>11792</v>
      </c>
      <c r="B4270" s="1">
        <v>1</v>
      </c>
      <c r="C4270" s="1">
        <v>3</v>
      </c>
      <c r="D4270" s="1">
        <v>7.1999999999999993</v>
      </c>
    </row>
    <row r="4271" spans="1:4" x14ac:dyDescent="0.25">
      <c r="A4271" s="16">
        <v>11793</v>
      </c>
      <c r="B4271" s="1">
        <v>1</v>
      </c>
      <c r="C4271" s="1">
        <v>5</v>
      </c>
      <c r="D4271" s="1">
        <v>9.2000000000000011</v>
      </c>
    </row>
    <row r="4272" spans="1:4" x14ac:dyDescent="0.25">
      <c r="A4272" s="16">
        <v>11794</v>
      </c>
      <c r="B4272" s="1">
        <v>1</v>
      </c>
      <c r="C4272" s="1">
        <v>1</v>
      </c>
      <c r="D4272" s="1">
        <v>36</v>
      </c>
    </row>
    <row r="4273" spans="1:4" x14ac:dyDescent="0.25">
      <c r="A4273" s="16">
        <v>11795</v>
      </c>
      <c r="B4273" s="1">
        <v>1</v>
      </c>
      <c r="C4273" s="1">
        <v>1</v>
      </c>
      <c r="D4273" s="1">
        <v>7.6</v>
      </c>
    </row>
    <row r="4274" spans="1:4" x14ac:dyDescent="0.25">
      <c r="A4274" s="16">
        <v>11796</v>
      </c>
      <c r="B4274" s="1">
        <v>1</v>
      </c>
      <c r="C4274" s="1">
        <v>2</v>
      </c>
      <c r="D4274" s="1">
        <v>5.6</v>
      </c>
    </row>
    <row r="4275" spans="1:4" x14ac:dyDescent="0.25">
      <c r="A4275" s="16">
        <v>11797</v>
      </c>
      <c r="B4275" s="1">
        <v>1</v>
      </c>
      <c r="C4275" s="1">
        <v>1</v>
      </c>
      <c r="D4275" s="1">
        <v>6</v>
      </c>
    </row>
    <row r="4276" spans="1:4" x14ac:dyDescent="0.25">
      <c r="A4276" s="16">
        <v>11798</v>
      </c>
      <c r="B4276" s="1">
        <v>1</v>
      </c>
      <c r="C4276" s="1">
        <v>1</v>
      </c>
      <c r="D4276" s="1">
        <v>8.8000000000000007</v>
      </c>
    </row>
    <row r="4277" spans="1:4" x14ac:dyDescent="0.25">
      <c r="A4277" s="16">
        <v>11799</v>
      </c>
      <c r="B4277" s="1">
        <v>1</v>
      </c>
      <c r="C4277" s="1">
        <v>1</v>
      </c>
      <c r="D4277" s="1">
        <v>13.6</v>
      </c>
    </row>
    <row r="4278" spans="1:4" x14ac:dyDescent="0.25">
      <c r="A4278" s="16">
        <v>11800</v>
      </c>
      <c r="B4278" s="1">
        <v>1</v>
      </c>
      <c r="C4278" s="1">
        <v>1</v>
      </c>
      <c r="D4278" s="1">
        <v>7.6</v>
      </c>
    </row>
    <row r="4279" spans="1:4" x14ac:dyDescent="0.25">
      <c r="A4279" s="16">
        <v>11801</v>
      </c>
      <c r="B4279" s="1">
        <v>1</v>
      </c>
      <c r="C4279" s="1">
        <v>1</v>
      </c>
      <c r="D4279" s="1">
        <v>36</v>
      </c>
    </row>
    <row r="4280" spans="1:4" x14ac:dyDescent="0.25">
      <c r="A4280" s="16">
        <v>11802</v>
      </c>
      <c r="B4280" s="1">
        <v>1</v>
      </c>
      <c r="C4280" s="1">
        <v>4</v>
      </c>
      <c r="D4280" s="1">
        <v>7.36</v>
      </c>
    </row>
    <row r="4281" spans="1:4" x14ac:dyDescent="0.25">
      <c r="A4281" s="16">
        <v>11803</v>
      </c>
      <c r="B4281" s="1">
        <v>1</v>
      </c>
      <c r="C4281" s="1">
        <v>3</v>
      </c>
      <c r="D4281" s="1">
        <v>8.3999999999999986</v>
      </c>
    </row>
    <row r="4282" spans="1:4" x14ac:dyDescent="0.25">
      <c r="A4282" s="16">
        <v>11804</v>
      </c>
      <c r="B4282" s="1">
        <v>1</v>
      </c>
      <c r="C4282" s="1">
        <v>2</v>
      </c>
      <c r="D4282" s="1">
        <v>12</v>
      </c>
    </row>
    <row r="4283" spans="1:4" x14ac:dyDescent="0.25">
      <c r="A4283" s="16">
        <v>11805</v>
      </c>
      <c r="B4283" s="1">
        <v>1</v>
      </c>
      <c r="C4283" s="1">
        <v>1</v>
      </c>
      <c r="D4283" s="1">
        <v>8.8000000000000007</v>
      </c>
    </row>
    <row r="4284" spans="1:4" x14ac:dyDescent="0.25">
      <c r="A4284" s="16">
        <v>11806</v>
      </c>
      <c r="B4284" s="1">
        <v>1</v>
      </c>
      <c r="C4284" s="1">
        <v>1</v>
      </c>
      <c r="D4284" s="1">
        <v>8</v>
      </c>
    </row>
    <row r="4285" spans="1:4" x14ac:dyDescent="0.25">
      <c r="A4285" s="16">
        <v>11807</v>
      </c>
      <c r="B4285" s="1">
        <v>1</v>
      </c>
      <c r="C4285" s="1">
        <v>1</v>
      </c>
      <c r="D4285" s="1">
        <v>7.6</v>
      </c>
    </row>
    <row r="4286" spans="1:4" x14ac:dyDescent="0.25">
      <c r="A4286" s="16">
        <v>11808</v>
      </c>
      <c r="B4286" s="1">
        <v>1</v>
      </c>
      <c r="C4286" s="1">
        <v>2</v>
      </c>
      <c r="D4286" s="1">
        <v>4.8</v>
      </c>
    </row>
    <row r="4287" spans="1:4" x14ac:dyDescent="0.25">
      <c r="A4287" s="16">
        <v>11809</v>
      </c>
      <c r="B4287" s="1">
        <v>1</v>
      </c>
      <c r="C4287" s="1">
        <v>1</v>
      </c>
      <c r="D4287" s="1">
        <v>7.6</v>
      </c>
    </row>
    <row r="4288" spans="1:4" x14ac:dyDescent="0.25">
      <c r="A4288" s="16">
        <v>11810</v>
      </c>
      <c r="B4288" s="1">
        <v>1</v>
      </c>
      <c r="C4288" s="1">
        <v>1</v>
      </c>
      <c r="D4288" s="1">
        <v>36</v>
      </c>
    </row>
    <row r="4289" spans="1:4" x14ac:dyDescent="0.25">
      <c r="A4289" s="16">
        <v>11811</v>
      </c>
      <c r="B4289" s="1">
        <v>1</v>
      </c>
      <c r="C4289" s="1">
        <v>3</v>
      </c>
      <c r="D4289" s="1">
        <v>8.3999999999999986</v>
      </c>
    </row>
    <row r="4290" spans="1:4" x14ac:dyDescent="0.25">
      <c r="A4290" s="16">
        <v>11812</v>
      </c>
      <c r="B4290" s="1">
        <v>1</v>
      </c>
      <c r="C4290" s="1">
        <v>1</v>
      </c>
      <c r="D4290" s="1">
        <v>6</v>
      </c>
    </row>
    <row r="4291" spans="1:4" x14ac:dyDescent="0.25">
      <c r="A4291" s="16">
        <v>11813</v>
      </c>
      <c r="B4291" s="1">
        <v>1</v>
      </c>
      <c r="C4291" s="1">
        <v>1</v>
      </c>
      <c r="D4291" s="1">
        <v>13.6</v>
      </c>
    </row>
    <row r="4292" spans="1:4" x14ac:dyDescent="0.25">
      <c r="A4292" s="16">
        <v>11814</v>
      </c>
      <c r="B4292" s="1">
        <v>1</v>
      </c>
      <c r="C4292" s="1">
        <v>1</v>
      </c>
      <c r="D4292" s="1">
        <v>7.6</v>
      </c>
    </row>
    <row r="4293" spans="1:4" x14ac:dyDescent="0.25">
      <c r="A4293" s="16">
        <v>11815</v>
      </c>
      <c r="B4293" s="1">
        <v>1</v>
      </c>
      <c r="C4293" s="1">
        <v>1</v>
      </c>
      <c r="D4293" s="1">
        <v>8</v>
      </c>
    </row>
    <row r="4294" spans="1:4" x14ac:dyDescent="0.25">
      <c r="A4294" s="16">
        <v>11816</v>
      </c>
      <c r="B4294" s="1">
        <v>1</v>
      </c>
      <c r="C4294" s="1">
        <v>4</v>
      </c>
      <c r="D4294" s="1">
        <v>7.36</v>
      </c>
    </row>
    <row r="4295" spans="1:4" x14ac:dyDescent="0.25">
      <c r="A4295" s="16">
        <v>11817</v>
      </c>
      <c r="B4295" s="1">
        <v>1</v>
      </c>
      <c r="C4295" s="1">
        <v>2</v>
      </c>
      <c r="D4295" s="1">
        <v>5.6</v>
      </c>
    </row>
    <row r="4296" spans="1:4" x14ac:dyDescent="0.25">
      <c r="A4296" s="16">
        <v>11818</v>
      </c>
      <c r="B4296" s="1">
        <v>1</v>
      </c>
      <c r="C4296" s="1">
        <v>2</v>
      </c>
      <c r="D4296" s="1">
        <v>12</v>
      </c>
    </row>
    <row r="4297" spans="1:4" x14ac:dyDescent="0.25">
      <c r="A4297" s="16">
        <v>11819</v>
      </c>
      <c r="B4297" s="1">
        <v>1</v>
      </c>
      <c r="C4297" s="1">
        <v>1</v>
      </c>
      <c r="D4297" s="1">
        <v>8.8000000000000007</v>
      </c>
    </row>
    <row r="4298" spans="1:4" x14ac:dyDescent="0.25">
      <c r="A4298" s="16">
        <v>11820</v>
      </c>
      <c r="B4298" s="1">
        <v>1</v>
      </c>
      <c r="C4298" s="1">
        <v>1</v>
      </c>
      <c r="D4298" s="1">
        <v>13.6</v>
      </c>
    </row>
    <row r="4299" spans="1:4" x14ac:dyDescent="0.25">
      <c r="A4299" s="16">
        <v>11821</v>
      </c>
      <c r="B4299" s="1">
        <v>1</v>
      </c>
      <c r="C4299" s="1">
        <v>1</v>
      </c>
      <c r="D4299" s="1">
        <v>7.6</v>
      </c>
    </row>
    <row r="4300" spans="1:4" x14ac:dyDescent="0.25">
      <c r="A4300" s="16">
        <v>11822</v>
      </c>
      <c r="B4300" s="1">
        <v>1</v>
      </c>
      <c r="C4300" s="1">
        <v>1</v>
      </c>
      <c r="D4300" s="1">
        <v>26</v>
      </c>
    </row>
    <row r="4301" spans="1:4" x14ac:dyDescent="0.25">
      <c r="A4301" s="16">
        <v>11823</v>
      </c>
      <c r="B4301" s="1">
        <v>1</v>
      </c>
      <c r="C4301" s="1">
        <v>2</v>
      </c>
      <c r="D4301" s="1">
        <v>5.6</v>
      </c>
    </row>
    <row r="4302" spans="1:4" x14ac:dyDescent="0.25">
      <c r="A4302" s="16">
        <v>11824</v>
      </c>
      <c r="B4302" s="1">
        <v>1</v>
      </c>
      <c r="C4302" s="1">
        <v>1</v>
      </c>
      <c r="D4302" s="1">
        <v>6</v>
      </c>
    </row>
    <row r="4303" spans="1:4" x14ac:dyDescent="0.25">
      <c r="A4303" s="16">
        <v>11825</v>
      </c>
      <c r="B4303" s="1">
        <v>1</v>
      </c>
      <c r="C4303" s="1">
        <v>1</v>
      </c>
      <c r="D4303" s="1">
        <v>8.8000000000000007</v>
      </c>
    </row>
    <row r="4304" spans="1:4" x14ac:dyDescent="0.25">
      <c r="A4304" s="16">
        <v>11826</v>
      </c>
      <c r="B4304" s="1">
        <v>1</v>
      </c>
      <c r="C4304" s="1">
        <v>1</v>
      </c>
      <c r="D4304" s="1">
        <v>7.6</v>
      </c>
    </row>
    <row r="4305" spans="1:4" x14ac:dyDescent="0.25">
      <c r="A4305" s="16">
        <v>11827</v>
      </c>
      <c r="B4305" s="1">
        <v>1</v>
      </c>
      <c r="C4305" s="1">
        <v>3</v>
      </c>
      <c r="D4305" s="1">
        <v>7.1999999999999993</v>
      </c>
    </row>
    <row r="4306" spans="1:4" x14ac:dyDescent="0.25">
      <c r="A4306" s="16">
        <v>11828</v>
      </c>
      <c r="B4306" s="1">
        <v>1</v>
      </c>
      <c r="C4306" s="1">
        <v>5</v>
      </c>
      <c r="D4306" s="1">
        <v>9.2000000000000011</v>
      </c>
    </row>
    <row r="4307" spans="1:4" x14ac:dyDescent="0.25">
      <c r="A4307" s="16">
        <v>11829</v>
      </c>
      <c r="B4307" s="1">
        <v>1</v>
      </c>
      <c r="C4307" s="1">
        <v>1</v>
      </c>
      <c r="D4307" s="1">
        <v>8</v>
      </c>
    </row>
    <row r="4308" spans="1:4" x14ac:dyDescent="0.25">
      <c r="A4308" s="16">
        <v>11830</v>
      </c>
      <c r="B4308" s="1">
        <v>1</v>
      </c>
      <c r="C4308" s="1">
        <v>1</v>
      </c>
      <c r="D4308" s="1">
        <v>36</v>
      </c>
    </row>
    <row r="4309" spans="1:4" x14ac:dyDescent="0.25">
      <c r="A4309" s="16">
        <v>11831</v>
      </c>
      <c r="B4309" s="1">
        <v>1</v>
      </c>
      <c r="C4309" s="1">
        <v>1</v>
      </c>
      <c r="D4309" s="1">
        <v>7.6</v>
      </c>
    </row>
    <row r="4310" spans="1:4" x14ac:dyDescent="0.25">
      <c r="A4310" s="16">
        <v>11832</v>
      </c>
      <c r="B4310" s="1">
        <v>1</v>
      </c>
      <c r="C4310" s="1">
        <v>1</v>
      </c>
      <c r="D4310" s="1">
        <v>13.6</v>
      </c>
    </row>
    <row r="4311" spans="1:4" x14ac:dyDescent="0.25">
      <c r="A4311" s="16">
        <v>11833</v>
      </c>
      <c r="B4311" s="1">
        <v>1</v>
      </c>
      <c r="C4311" s="1">
        <v>1</v>
      </c>
      <c r="D4311" s="1">
        <v>51.64</v>
      </c>
    </row>
    <row r="4312" spans="1:4" x14ac:dyDescent="0.25">
      <c r="A4312" s="16">
        <v>11834</v>
      </c>
      <c r="B4312" s="1">
        <v>1</v>
      </c>
      <c r="C4312" s="1">
        <v>2</v>
      </c>
      <c r="D4312" s="1">
        <v>5.6</v>
      </c>
    </row>
    <row r="4313" spans="1:4" x14ac:dyDescent="0.25">
      <c r="A4313" s="16">
        <v>11835</v>
      </c>
      <c r="B4313" s="1">
        <v>1</v>
      </c>
      <c r="C4313" s="1">
        <v>2</v>
      </c>
      <c r="D4313" s="1">
        <v>12</v>
      </c>
    </row>
    <row r="4314" spans="1:4" x14ac:dyDescent="0.25">
      <c r="A4314" s="16">
        <v>11836</v>
      </c>
      <c r="B4314" s="1">
        <v>1</v>
      </c>
      <c r="C4314" s="1">
        <v>1</v>
      </c>
      <c r="D4314" s="1">
        <v>8.8000000000000007</v>
      </c>
    </row>
    <row r="4315" spans="1:4" x14ac:dyDescent="0.25">
      <c r="A4315" s="16">
        <v>11837</v>
      </c>
      <c r="B4315" s="1">
        <v>1</v>
      </c>
      <c r="C4315" s="1">
        <v>1</v>
      </c>
      <c r="D4315" s="1">
        <v>26</v>
      </c>
    </row>
    <row r="4316" spans="1:4" x14ac:dyDescent="0.25">
      <c r="A4316" s="16">
        <v>11838</v>
      </c>
      <c r="B4316" s="1">
        <v>1</v>
      </c>
      <c r="C4316" s="1">
        <v>1</v>
      </c>
      <c r="D4316" s="1">
        <v>7.6</v>
      </c>
    </row>
    <row r="4317" spans="1:4" x14ac:dyDescent="0.25">
      <c r="A4317" s="16">
        <v>11839</v>
      </c>
      <c r="B4317" s="1">
        <v>1</v>
      </c>
      <c r="C4317" s="1">
        <v>4</v>
      </c>
      <c r="D4317" s="1">
        <v>9.6</v>
      </c>
    </row>
    <row r="4318" spans="1:4" x14ac:dyDescent="0.25">
      <c r="A4318" s="16">
        <v>11840</v>
      </c>
      <c r="B4318" s="1">
        <v>1</v>
      </c>
      <c r="C4318" s="1">
        <v>3</v>
      </c>
      <c r="D4318" s="1">
        <v>8.3999999999999986</v>
      </c>
    </row>
    <row r="4319" spans="1:4" x14ac:dyDescent="0.25">
      <c r="A4319" s="16">
        <v>11841</v>
      </c>
      <c r="B4319" s="1">
        <v>1</v>
      </c>
      <c r="C4319" s="1">
        <v>2</v>
      </c>
      <c r="D4319" s="1">
        <v>12</v>
      </c>
    </row>
    <row r="4320" spans="1:4" x14ac:dyDescent="0.25">
      <c r="A4320" s="16">
        <v>11842</v>
      </c>
      <c r="B4320" s="1">
        <v>1</v>
      </c>
      <c r="C4320" s="1">
        <v>1</v>
      </c>
      <c r="D4320" s="1">
        <v>8.8000000000000007</v>
      </c>
    </row>
    <row r="4321" spans="1:4" x14ac:dyDescent="0.25">
      <c r="A4321" s="16">
        <v>11843</v>
      </c>
      <c r="B4321" s="1">
        <v>1</v>
      </c>
      <c r="C4321" s="1">
        <v>1</v>
      </c>
      <c r="D4321" s="1">
        <v>8</v>
      </c>
    </row>
    <row r="4322" spans="1:4" x14ac:dyDescent="0.25">
      <c r="A4322" s="16">
        <v>11844</v>
      </c>
      <c r="B4322" s="1">
        <v>1</v>
      </c>
      <c r="C4322" s="1">
        <v>4</v>
      </c>
      <c r="D4322" s="1">
        <v>7.36</v>
      </c>
    </row>
    <row r="4323" spans="1:4" x14ac:dyDescent="0.25">
      <c r="A4323" s="16">
        <v>11845</v>
      </c>
      <c r="B4323" s="1">
        <v>1</v>
      </c>
      <c r="C4323" s="1">
        <v>2</v>
      </c>
      <c r="D4323" s="1">
        <v>5.6</v>
      </c>
    </row>
    <row r="4324" spans="1:4" x14ac:dyDescent="0.25">
      <c r="A4324" s="16">
        <v>11846</v>
      </c>
      <c r="B4324" s="1">
        <v>1</v>
      </c>
      <c r="C4324" s="1">
        <v>1</v>
      </c>
      <c r="D4324" s="1">
        <v>6</v>
      </c>
    </row>
    <row r="4325" spans="1:4" x14ac:dyDescent="0.25">
      <c r="A4325" s="16">
        <v>11847</v>
      </c>
      <c r="B4325" s="1">
        <v>1</v>
      </c>
      <c r="C4325" s="1">
        <v>1</v>
      </c>
      <c r="D4325" s="1">
        <v>36</v>
      </c>
    </row>
    <row r="4326" spans="1:4" x14ac:dyDescent="0.25">
      <c r="A4326" s="16">
        <v>11848</v>
      </c>
      <c r="B4326" s="1">
        <v>1</v>
      </c>
      <c r="C4326" s="1">
        <v>1</v>
      </c>
      <c r="D4326" s="1">
        <v>13.6</v>
      </c>
    </row>
    <row r="4327" spans="1:4" x14ac:dyDescent="0.25">
      <c r="A4327" s="16">
        <v>11849</v>
      </c>
      <c r="B4327" s="1">
        <v>1</v>
      </c>
      <c r="C4327" s="1">
        <v>1</v>
      </c>
      <c r="D4327" s="1">
        <v>7.6</v>
      </c>
    </row>
    <row r="4328" spans="1:4" x14ac:dyDescent="0.25">
      <c r="A4328" s="16">
        <v>11850</v>
      </c>
      <c r="B4328" s="1">
        <v>1</v>
      </c>
      <c r="C4328" s="1">
        <v>1</v>
      </c>
      <c r="D4328" s="1">
        <v>9.6</v>
      </c>
    </row>
    <row r="4329" spans="1:4" x14ac:dyDescent="0.25">
      <c r="A4329" s="16">
        <v>11851</v>
      </c>
      <c r="B4329" s="1">
        <v>1</v>
      </c>
      <c r="C4329" s="1">
        <v>2</v>
      </c>
      <c r="D4329" s="1">
        <v>5.6</v>
      </c>
    </row>
    <row r="4330" spans="1:4" x14ac:dyDescent="0.25">
      <c r="A4330" s="16">
        <v>11852</v>
      </c>
      <c r="B4330" s="1">
        <v>1</v>
      </c>
      <c r="C4330" s="1">
        <v>2</v>
      </c>
      <c r="D4330" s="1">
        <v>12</v>
      </c>
    </row>
    <row r="4331" spans="1:4" x14ac:dyDescent="0.25">
      <c r="A4331" s="16">
        <v>11853</v>
      </c>
      <c r="B4331" s="1">
        <v>1</v>
      </c>
      <c r="C4331" s="1">
        <v>1</v>
      </c>
      <c r="D4331" s="1">
        <v>8.8000000000000007</v>
      </c>
    </row>
    <row r="4332" spans="1:4" x14ac:dyDescent="0.25">
      <c r="A4332" s="16">
        <v>11854</v>
      </c>
      <c r="B4332" s="1">
        <v>1</v>
      </c>
      <c r="C4332" s="1">
        <v>4</v>
      </c>
      <c r="D4332" s="1">
        <v>7.36</v>
      </c>
    </row>
    <row r="4333" spans="1:4" x14ac:dyDescent="0.25">
      <c r="A4333" s="16">
        <v>11855</v>
      </c>
      <c r="B4333" s="1">
        <v>1</v>
      </c>
      <c r="C4333" s="1">
        <v>1</v>
      </c>
      <c r="D4333" s="1">
        <v>36</v>
      </c>
    </row>
    <row r="4334" spans="1:4" x14ac:dyDescent="0.25">
      <c r="A4334" s="16">
        <v>11856</v>
      </c>
      <c r="B4334" s="1">
        <v>1</v>
      </c>
      <c r="C4334" s="1">
        <v>1</v>
      </c>
      <c r="D4334" s="1">
        <v>26</v>
      </c>
    </row>
    <row r="4335" spans="1:4" x14ac:dyDescent="0.25">
      <c r="A4335" s="16">
        <v>11857</v>
      </c>
      <c r="B4335" s="1">
        <v>1</v>
      </c>
      <c r="C4335" s="1">
        <v>1</v>
      </c>
      <c r="D4335" s="1">
        <v>7.6</v>
      </c>
    </row>
    <row r="4336" spans="1:4" x14ac:dyDescent="0.25">
      <c r="A4336" s="16">
        <v>11858</v>
      </c>
      <c r="B4336" s="1">
        <v>1</v>
      </c>
      <c r="C4336" s="1">
        <v>3</v>
      </c>
      <c r="D4336" s="1">
        <v>8.3999999999999986</v>
      </c>
    </row>
    <row r="4337" spans="1:4" x14ac:dyDescent="0.25">
      <c r="A4337" s="16">
        <v>11859</v>
      </c>
      <c r="B4337" s="1">
        <v>1</v>
      </c>
      <c r="C4337" s="1">
        <v>2</v>
      </c>
      <c r="D4337" s="1">
        <v>12</v>
      </c>
    </row>
    <row r="4338" spans="1:4" x14ac:dyDescent="0.25">
      <c r="A4338" s="16">
        <v>11860</v>
      </c>
      <c r="B4338" s="1">
        <v>1</v>
      </c>
      <c r="C4338" s="1">
        <v>1</v>
      </c>
      <c r="D4338" s="1">
        <v>8.8000000000000007</v>
      </c>
    </row>
    <row r="4339" spans="1:4" x14ac:dyDescent="0.25">
      <c r="A4339" s="16">
        <v>11861</v>
      </c>
      <c r="B4339" s="1">
        <v>1</v>
      </c>
      <c r="C4339" s="1">
        <v>1</v>
      </c>
      <c r="D4339" s="1">
        <v>13.6</v>
      </c>
    </row>
    <row r="4340" spans="1:4" x14ac:dyDescent="0.25">
      <c r="A4340" s="16">
        <v>11862</v>
      </c>
      <c r="B4340" s="1">
        <v>1</v>
      </c>
      <c r="C4340" s="1">
        <v>4</v>
      </c>
      <c r="D4340" s="1">
        <v>9.6</v>
      </c>
    </row>
    <row r="4341" spans="1:4" x14ac:dyDescent="0.25">
      <c r="A4341" s="16">
        <v>11863</v>
      </c>
      <c r="B4341" s="1">
        <v>1</v>
      </c>
      <c r="C4341" s="1">
        <v>5</v>
      </c>
      <c r="D4341" s="1">
        <v>9.2000000000000011</v>
      </c>
    </row>
    <row r="4342" spans="1:4" x14ac:dyDescent="0.25">
      <c r="A4342" s="16">
        <v>11864</v>
      </c>
      <c r="B4342" s="1">
        <v>1</v>
      </c>
      <c r="C4342" s="1">
        <v>1</v>
      </c>
      <c r="D4342" s="1">
        <v>36</v>
      </c>
    </row>
    <row r="4343" spans="1:4" x14ac:dyDescent="0.25">
      <c r="A4343" s="16">
        <v>11865</v>
      </c>
      <c r="B4343" s="1">
        <v>1</v>
      </c>
      <c r="C4343" s="1">
        <v>1</v>
      </c>
      <c r="D4343" s="1">
        <v>8</v>
      </c>
    </row>
    <row r="4344" spans="1:4" x14ac:dyDescent="0.25">
      <c r="A4344" s="16">
        <v>11866</v>
      </c>
      <c r="B4344" s="1">
        <v>1</v>
      </c>
      <c r="C4344" s="1">
        <v>1</v>
      </c>
      <c r="D4344" s="1">
        <v>7.6</v>
      </c>
    </row>
    <row r="4345" spans="1:4" x14ac:dyDescent="0.25">
      <c r="A4345" s="16">
        <v>11867</v>
      </c>
      <c r="B4345" s="1">
        <v>1</v>
      </c>
      <c r="C4345" s="1">
        <v>1</v>
      </c>
      <c r="D4345" s="1">
        <v>7.6</v>
      </c>
    </row>
    <row r="4346" spans="1:4" x14ac:dyDescent="0.25">
      <c r="A4346" s="16">
        <v>11868</v>
      </c>
      <c r="B4346" s="1">
        <v>1</v>
      </c>
      <c r="C4346" s="1">
        <v>2</v>
      </c>
      <c r="D4346" s="1">
        <v>5.6</v>
      </c>
    </row>
    <row r="4347" spans="1:4" x14ac:dyDescent="0.25">
      <c r="A4347" s="16">
        <v>11869</v>
      </c>
      <c r="B4347" s="1">
        <v>1</v>
      </c>
      <c r="C4347" s="1">
        <v>1</v>
      </c>
      <c r="D4347" s="1">
        <v>6</v>
      </c>
    </row>
    <row r="4348" spans="1:4" x14ac:dyDescent="0.25">
      <c r="A4348" s="16">
        <v>11870</v>
      </c>
      <c r="B4348" s="1">
        <v>1</v>
      </c>
      <c r="C4348" s="1">
        <v>1</v>
      </c>
      <c r="D4348" s="1">
        <v>8.8000000000000007</v>
      </c>
    </row>
    <row r="4349" spans="1:4" x14ac:dyDescent="0.25">
      <c r="A4349" s="16">
        <v>11871</v>
      </c>
      <c r="B4349" s="1">
        <v>1</v>
      </c>
      <c r="C4349" s="1">
        <v>5</v>
      </c>
      <c r="D4349" s="1">
        <v>9.2000000000000011</v>
      </c>
    </row>
    <row r="4350" spans="1:4" x14ac:dyDescent="0.25">
      <c r="A4350" s="16">
        <v>11872</v>
      </c>
      <c r="B4350" s="1">
        <v>1</v>
      </c>
      <c r="C4350" s="1">
        <v>1</v>
      </c>
      <c r="D4350" s="1">
        <v>13.6</v>
      </c>
    </row>
    <row r="4351" spans="1:4" x14ac:dyDescent="0.25">
      <c r="A4351" s="16">
        <v>11873</v>
      </c>
      <c r="B4351" s="1">
        <v>1</v>
      </c>
      <c r="C4351" s="1">
        <v>1</v>
      </c>
      <c r="D4351" s="1">
        <v>36</v>
      </c>
    </row>
    <row r="4352" spans="1:4" x14ac:dyDescent="0.25">
      <c r="A4352" s="16">
        <v>11874</v>
      </c>
      <c r="B4352" s="1">
        <v>1</v>
      </c>
      <c r="C4352" s="1">
        <v>1</v>
      </c>
      <c r="D4352" s="1">
        <v>26</v>
      </c>
    </row>
    <row r="4353" spans="1:4" x14ac:dyDescent="0.25">
      <c r="A4353" s="16">
        <v>11875</v>
      </c>
      <c r="B4353" s="1">
        <v>1</v>
      </c>
      <c r="C4353" s="1">
        <v>1</v>
      </c>
      <c r="D4353" s="1">
        <v>7.6</v>
      </c>
    </row>
    <row r="4354" spans="1:4" x14ac:dyDescent="0.25">
      <c r="A4354" s="16">
        <v>11876</v>
      </c>
      <c r="B4354" s="1">
        <v>1</v>
      </c>
      <c r="C4354" s="1">
        <v>2</v>
      </c>
      <c r="D4354" s="1">
        <v>5.6</v>
      </c>
    </row>
    <row r="4355" spans="1:4" x14ac:dyDescent="0.25">
      <c r="A4355" s="16">
        <v>11877</v>
      </c>
      <c r="B4355" s="1">
        <v>1</v>
      </c>
      <c r="C4355" s="1">
        <v>2</v>
      </c>
      <c r="D4355" s="1">
        <v>12</v>
      </c>
    </row>
    <row r="4356" spans="1:4" x14ac:dyDescent="0.25">
      <c r="A4356" s="16">
        <v>11878</v>
      </c>
      <c r="B4356" s="1">
        <v>1</v>
      </c>
      <c r="C4356" s="1">
        <v>1</v>
      </c>
      <c r="D4356" s="1">
        <v>8.8000000000000007</v>
      </c>
    </row>
    <row r="4357" spans="1:4" x14ac:dyDescent="0.25">
      <c r="A4357" s="16">
        <v>11879</v>
      </c>
      <c r="B4357" s="1">
        <v>1</v>
      </c>
      <c r="C4357" s="1">
        <v>3</v>
      </c>
      <c r="D4357" s="1">
        <v>7.1999999999999993</v>
      </c>
    </row>
    <row r="4358" spans="1:4" x14ac:dyDescent="0.25">
      <c r="A4358" s="16">
        <v>11880</v>
      </c>
      <c r="B4358" s="1">
        <v>1</v>
      </c>
      <c r="C4358" s="1">
        <v>4</v>
      </c>
      <c r="D4358" s="1">
        <v>7.36</v>
      </c>
    </row>
    <row r="4359" spans="1:4" x14ac:dyDescent="0.25">
      <c r="A4359" s="16">
        <v>11881</v>
      </c>
      <c r="B4359" s="1">
        <v>1</v>
      </c>
      <c r="C4359" s="1">
        <v>1</v>
      </c>
      <c r="D4359" s="1">
        <v>8</v>
      </c>
    </row>
    <row r="4360" spans="1:4" x14ac:dyDescent="0.25">
      <c r="A4360" s="16">
        <v>11882</v>
      </c>
      <c r="B4360" s="1">
        <v>1</v>
      </c>
      <c r="C4360" s="1">
        <v>1</v>
      </c>
      <c r="D4360" s="1">
        <v>36</v>
      </c>
    </row>
    <row r="4361" spans="1:4" x14ac:dyDescent="0.25">
      <c r="A4361" s="16">
        <v>11883</v>
      </c>
      <c r="B4361" s="1">
        <v>1</v>
      </c>
      <c r="C4361" s="1">
        <v>1</v>
      </c>
      <c r="D4361" s="1">
        <v>7.6</v>
      </c>
    </row>
    <row r="4362" spans="1:4" x14ac:dyDescent="0.25">
      <c r="A4362" s="16">
        <v>11884</v>
      </c>
      <c r="B4362" s="1">
        <v>1</v>
      </c>
      <c r="C4362" s="1">
        <v>2</v>
      </c>
      <c r="D4362" s="1">
        <v>5.6</v>
      </c>
    </row>
    <row r="4363" spans="1:4" x14ac:dyDescent="0.25">
      <c r="A4363" s="16">
        <v>11885</v>
      </c>
      <c r="B4363" s="1">
        <v>1</v>
      </c>
      <c r="C4363" s="1">
        <v>2</v>
      </c>
      <c r="D4363" s="1">
        <v>12</v>
      </c>
    </row>
    <row r="4364" spans="1:4" x14ac:dyDescent="0.25">
      <c r="A4364" s="16">
        <v>11886</v>
      </c>
      <c r="B4364" s="1">
        <v>1</v>
      </c>
      <c r="C4364" s="1">
        <v>1</v>
      </c>
      <c r="D4364" s="1">
        <v>8.8000000000000007</v>
      </c>
    </row>
    <row r="4365" spans="1:4" x14ac:dyDescent="0.25">
      <c r="A4365" s="16">
        <v>11887</v>
      </c>
      <c r="B4365" s="1">
        <v>1</v>
      </c>
      <c r="C4365" s="1">
        <v>1</v>
      </c>
      <c r="D4365" s="1">
        <v>7.6</v>
      </c>
    </row>
    <row r="4366" spans="1:4" x14ac:dyDescent="0.25">
      <c r="A4366" s="16">
        <v>11888</v>
      </c>
      <c r="B4366" s="1">
        <v>1</v>
      </c>
      <c r="C4366" s="1">
        <v>1</v>
      </c>
      <c r="D4366" s="1">
        <v>36</v>
      </c>
    </row>
    <row r="4367" spans="1:4" x14ac:dyDescent="0.25">
      <c r="A4367" s="16">
        <v>11889</v>
      </c>
      <c r="B4367" s="1">
        <v>1</v>
      </c>
      <c r="C4367" s="1">
        <v>1</v>
      </c>
      <c r="D4367" s="1">
        <v>13.6</v>
      </c>
    </row>
    <row r="4368" spans="1:4" x14ac:dyDescent="0.25">
      <c r="A4368" s="16">
        <v>11890</v>
      </c>
      <c r="B4368" s="1">
        <v>1</v>
      </c>
      <c r="C4368" s="1">
        <v>1</v>
      </c>
      <c r="D4368" s="1">
        <v>7.6</v>
      </c>
    </row>
    <row r="4369" spans="1:4" x14ac:dyDescent="0.25">
      <c r="A4369" s="16">
        <v>11891</v>
      </c>
      <c r="B4369" s="1">
        <v>1</v>
      </c>
      <c r="C4369" s="1">
        <v>4</v>
      </c>
      <c r="D4369" s="1">
        <v>7.36</v>
      </c>
    </row>
    <row r="4370" spans="1:4" x14ac:dyDescent="0.25">
      <c r="A4370" s="16">
        <v>11892</v>
      </c>
      <c r="B4370" s="1">
        <v>1</v>
      </c>
      <c r="C4370" s="1">
        <v>4</v>
      </c>
      <c r="D4370" s="1">
        <v>9.6</v>
      </c>
    </row>
    <row r="4371" spans="1:4" x14ac:dyDescent="0.25">
      <c r="A4371" s="16">
        <v>11893</v>
      </c>
      <c r="B4371" s="1">
        <v>1</v>
      </c>
      <c r="C4371" s="1">
        <v>2</v>
      </c>
      <c r="D4371" s="1">
        <v>12</v>
      </c>
    </row>
    <row r="4372" spans="1:4" x14ac:dyDescent="0.25">
      <c r="A4372" s="16">
        <v>11894</v>
      </c>
      <c r="B4372" s="1">
        <v>1</v>
      </c>
      <c r="C4372" s="1">
        <v>3</v>
      </c>
      <c r="D4372" s="1">
        <v>8.3999999999999986</v>
      </c>
    </row>
    <row r="4373" spans="1:4" x14ac:dyDescent="0.25">
      <c r="A4373" s="16">
        <v>11895</v>
      </c>
      <c r="B4373" s="1">
        <v>1</v>
      </c>
      <c r="C4373" s="1">
        <v>1</v>
      </c>
      <c r="D4373" s="1">
        <v>8.8000000000000007</v>
      </c>
    </row>
    <row r="4374" spans="1:4" x14ac:dyDescent="0.25">
      <c r="A4374" s="16">
        <v>11896</v>
      </c>
      <c r="B4374" s="1">
        <v>1</v>
      </c>
      <c r="C4374" s="1">
        <v>1</v>
      </c>
      <c r="D4374" s="1">
        <v>7.6</v>
      </c>
    </row>
    <row r="4375" spans="1:4" x14ac:dyDescent="0.25">
      <c r="A4375" s="16">
        <v>11897</v>
      </c>
      <c r="B4375" s="1">
        <v>1</v>
      </c>
      <c r="C4375" s="1">
        <v>1</v>
      </c>
      <c r="D4375" s="1">
        <v>8</v>
      </c>
    </row>
    <row r="4376" spans="1:4" x14ac:dyDescent="0.25">
      <c r="A4376" s="16">
        <v>11898</v>
      </c>
      <c r="B4376" s="1">
        <v>1</v>
      </c>
      <c r="C4376" s="1">
        <v>2</v>
      </c>
      <c r="D4376" s="1">
        <v>5.6</v>
      </c>
    </row>
    <row r="4377" spans="1:4" x14ac:dyDescent="0.25">
      <c r="A4377" s="16">
        <v>11899</v>
      </c>
      <c r="B4377" s="1">
        <v>1</v>
      </c>
      <c r="C4377" s="1">
        <v>1</v>
      </c>
      <c r="D4377" s="1">
        <v>6</v>
      </c>
    </row>
    <row r="4378" spans="1:4" x14ac:dyDescent="0.25">
      <c r="A4378" s="16">
        <v>11900</v>
      </c>
      <c r="B4378" s="1">
        <v>1</v>
      </c>
      <c r="C4378" s="1">
        <v>1</v>
      </c>
      <c r="D4378" s="1">
        <v>8.8000000000000007</v>
      </c>
    </row>
    <row r="4379" spans="1:4" x14ac:dyDescent="0.25">
      <c r="A4379" s="16">
        <v>11901</v>
      </c>
      <c r="B4379" s="1">
        <v>1</v>
      </c>
      <c r="C4379" s="1">
        <v>1</v>
      </c>
      <c r="D4379" s="1">
        <v>36</v>
      </c>
    </row>
    <row r="4380" spans="1:4" x14ac:dyDescent="0.25">
      <c r="A4380" s="16">
        <v>11902</v>
      </c>
      <c r="B4380" s="1">
        <v>1</v>
      </c>
      <c r="C4380" s="1">
        <v>5</v>
      </c>
      <c r="D4380" s="1">
        <v>9.2000000000000011</v>
      </c>
    </row>
    <row r="4381" spans="1:4" x14ac:dyDescent="0.25">
      <c r="A4381" s="16">
        <v>11903</v>
      </c>
      <c r="B4381" s="1">
        <v>1</v>
      </c>
      <c r="C4381" s="1">
        <v>1</v>
      </c>
      <c r="D4381" s="1">
        <v>13.6</v>
      </c>
    </row>
    <row r="4382" spans="1:4" x14ac:dyDescent="0.25">
      <c r="A4382" s="16">
        <v>11904</v>
      </c>
      <c r="B4382" s="1">
        <v>1</v>
      </c>
      <c r="C4382" s="1">
        <v>1</v>
      </c>
      <c r="D4382" s="1">
        <v>7.6</v>
      </c>
    </row>
    <row r="4383" spans="1:4" x14ac:dyDescent="0.25">
      <c r="A4383" s="16">
        <v>11905</v>
      </c>
      <c r="B4383" s="1">
        <v>1</v>
      </c>
      <c r="C4383" s="1">
        <v>3</v>
      </c>
      <c r="D4383" s="1">
        <v>7.1999999999999993</v>
      </c>
    </row>
    <row r="4384" spans="1:4" x14ac:dyDescent="0.25">
      <c r="A4384" s="16">
        <v>11906</v>
      </c>
      <c r="B4384" s="1">
        <v>1</v>
      </c>
      <c r="C4384" s="1">
        <v>1</v>
      </c>
      <c r="D4384" s="1">
        <v>8</v>
      </c>
    </row>
    <row r="4385" spans="1:4" x14ac:dyDescent="0.25">
      <c r="A4385" s="16">
        <v>11907</v>
      </c>
      <c r="B4385" s="1">
        <v>1</v>
      </c>
      <c r="C4385" s="1">
        <v>1</v>
      </c>
      <c r="D4385" s="1">
        <v>7.6</v>
      </c>
    </row>
    <row r="4386" spans="1:4" x14ac:dyDescent="0.25">
      <c r="A4386" s="16">
        <v>11908</v>
      </c>
      <c r="B4386" s="1">
        <v>1</v>
      </c>
      <c r="C4386" s="1">
        <v>2</v>
      </c>
      <c r="D4386" s="1">
        <v>5.6</v>
      </c>
    </row>
    <row r="4387" spans="1:4" x14ac:dyDescent="0.25">
      <c r="A4387" s="16">
        <v>11909</v>
      </c>
      <c r="B4387" s="1">
        <v>1</v>
      </c>
      <c r="C4387" s="1">
        <v>2</v>
      </c>
      <c r="D4387" s="1">
        <v>12</v>
      </c>
    </row>
    <row r="4388" spans="1:4" x14ac:dyDescent="0.25">
      <c r="A4388" s="16">
        <v>11910</v>
      </c>
      <c r="B4388" s="1">
        <v>1</v>
      </c>
      <c r="C4388" s="1">
        <v>1</v>
      </c>
      <c r="D4388" s="1">
        <v>8.8000000000000007</v>
      </c>
    </row>
    <row r="4389" spans="1:4" x14ac:dyDescent="0.25">
      <c r="A4389" s="16">
        <v>11911</v>
      </c>
      <c r="B4389" s="1">
        <v>1</v>
      </c>
      <c r="C4389" s="1">
        <v>4</v>
      </c>
      <c r="D4389" s="1">
        <v>7.36</v>
      </c>
    </row>
    <row r="4390" spans="1:4" x14ac:dyDescent="0.25">
      <c r="A4390" s="16">
        <v>11912</v>
      </c>
      <c r="B4390" s="1">
        <v>1</v>
      </c>
      <c r="C4390" s="1">
        <v>1</v>
      </c>
      <c r="D4390" s="1">
        <v>8</v>
      </c>
    </row>
    <row r="4391" spans="1:4" x14ac:dyDescent="0.25">
      <c r="A4391" s="16">
        <v>11913</v>
      </c>
      <c r="B4391" s="1">
        <v>1</v>
      </c>
      <c r="C4391" s="1">
        <v>1</v>
      </c>
      <c r="D4391" s="1">
        <v>36</v>
      </c>
    </row>
    <row r="4392" spans="1:4" x14ac:dyDescent="0.25">
      <c r="A4392" s="16">
        <v>11914</v>
      </c>
      <c r="B4392" s="1">
        <v>1</v>
      </c>
      <c r="C4392" s="1">
        <v>3</v>
      </c>
      <c r="D4392" s="1">
        <v>7.1999999999999993</v>
      </c>
    </row>
    <row r="4393" spans="1:4" x14ac:dyDescent="0.25">
      <c r="A4393" s="16">
        <v>11915</v>
      </c>
      <c r="B4393" s="1">
        <v>1</v>
      </c>
      <c r="C4393" s="1">
        <v>2</v>
      </c>
      <c r="D4393" s="1">
        <v>5.6</v>
      </c>
    </row>
    <row r="4394" spans="1:4" x14ac:dyDescent="0.25">
      <c r="A4394" s="16">
        <v>11916</v>
      </c>
      <c r="B4394" s="1">
        <v>1</v>
      </c>
      <c r="C4394" s="1">
        <v>1</v>
      </c>
      <c r="D4394" s="1">
        <v>6</v>
      </c>
    </row>
    <row r="4395" spans="1:4" x14ac:dyDescent="0.25">
      <c r="A4395" s="16">
        <v>11917</v>
      </c>
      <c r="B4395" s="1">
        <v>1</v>
      </c>
      <c r="C4395" s="1">
        <v>1</v>
      </c>
      <c r="D4395" s="1">
        <v>51.64</v>
      </c>
    </row>
    <row r="4396" spans="1:4" x14ac:dyDescent="0.25">
      <c r="A4396" s="16">
        <v>11918</v>
      </c>
      <c r="B4396" s="1">
        <v>1</v>
      </c>
      <c r="C4396" s="1">
        <v>1</v>
      </c>
      <c r="D4396" s="1">
        <v>7.6</v>
      </c>
    </row>
    <row r="4397" spans="1:4" x14ac:dyDescent="0.25">
      <c r="A4397" s="16">
        <v>11919</v>
      </c>
      <c r="B4397" s="1">
        <v>1</v>
      </c>
      <c r="C4397" s="1">
        <v>1</v>
      </c>
      <c r="D4397" s="1">
        <v>13.6</v>
      </c>
    </row>
    <row r="4398" spans="1:4" x14ac:dyDescent="0.25">
      <c r="A4398" s="16">
        <v>11920</v>
      </c>
      <c r="B4398" s="1">
        <v>1</v>
      </c>
      <c r="C4398" s="1">
        <v>1</v>
      </c>
      <c r="D4398" s="1">
        <v>36</v>
      </c>
    </row>
    <row r="4399" spans="1:4" x14ac:dyDescent="0.25">
      <c r="A4399" s="16">
        <v>11921</v>
      </c>
      <c r="B4399" s="1">
        <v>1</v>
      </c>
      <c r="C4399" s="1">
        <v>3</v>
      </c>
      <c r="D4399" s="1">
        <v>7.1999999999999993</v>
      </c>
    </row>
    <row r="4400" spans="1:4" x14ac:dyDescent="0.25">
      <c r="A4400" s="16">
        <v>11922</v>
      </c>
      <c r="B4400" s="1">
        <v>1</v>
      </c>
      <c r="C4400" s="1">
        <v>5</v>
      </c>
      <c r="D4400" s="1">
        <v>9.2000000000000011</v>
      </c>
    </row>
    <row r="4401" spans="1:4" x14ac:dyDescent="0.25">
      <c r="A4401" s="16">
        <v>11923</v>
      </c>
      <c r="B4401" s="1">
        <v>1</v>
      </c>
      <c r="C4401" s="1">
        <v>2</v>
      </c>
      <c r="D4401" s="1">
        <v>5.6</v>
      </c>
    </row>
    <row r="4402" spans="1:4" x14ac:dyDescent="0.25">
      <c r="A4402" s="16">
        <v>11924</v>
      </c>
      <c r="B4402" s="1">
        <v>1</v>
      </c>
      <c r="C4402" s="1">
        <v>2</v>
      </c>
      <c r="D4402" s="1">
        <v>12</v>
      </c>
    </row>
    <row r="4403" spans="1:4" x14ac:dyDescent="0.25">
      <c r="A4403" s="16">
        <v>11925</v>
      </c>
      <c r="B4403" s="1">
        <v>1</v>
      </c>
      <c r="C4403" s="1">
        <v>1</v>
      </c>
      <c r="D4403" s="1">
        <v>8.8000000000000007</v>
      </c>
    </row>
    <row r="4404" spans="1:4" x14ac:dyDescent="0.25">
      <c r="A4404" s="16">
        <v>11926</v>
      </c>
      <c r="B4404" s="1">
        <v>1</v>
      </c>
      <c r="C4404" s="1">
        <v>1</v>
      </c>
      <c r="D4404" s="1">
        <v>7.6</v>
      </c>
    </row>
    <row r="4405" spans="1:4" x14ac:dyDescent="0.25">
      <c r="A4405" s="16">
        <v>11927</v>
      </c>
      <c r="B4405" s="1">
        <v>1</v>
      </c>
      <c r="C4405" s="1">
        <v>1</v>
      </c>
      <c r="D4405" s="1">
        <v>13.6</v>
      </c>
    </row>
    <row r="4406" spans="1:4" x14ac:dyDescent="0.25">
      <c r="A4406" s="16">
        <v>11928</v>
      </c>
      <c r="B4406" s="1">
        <v>1</v>
      </c>
      <c r="C4406" s="1">
        <v>1</v>
      </c>
      <c r="D4406" s="1">
        <v>36</v>
      </c>
    </row>
    <row r="4407" spans="1:4" x14ac:dyDescent="0.25">
      <c r="A4407" s="16">
        <v>11929</v>
      </c>
      <c r="B4407" s="1">
        <v>1</v>
      </c>
      <c r="C4407" s="1">
        <v>1</v>
      </c>
      <c r="D4407" s="1">
        <v>7.6</v>
      </c>
    </row>
    <row r="4408" spans="1:4" x14ac:dyDescent="0.25">
      <c r="A4408" s="16">
        <v>11930</v>
      </c>
      <c r="B4408" s="1">
        <v>1</v>
      </c>
      <c r="C4408" s="1">
        <v>1</v>
      </c>
      <c r="D4408" s="1">
        <v>8</v>
      </c>
    </row>
    <row r="4409" spans="1:4" x14ac:dyDescent="0.25">
      <c r="A4409" s="16">
        <v>11931</v>
      </c>
      <c r="B4409" s="1">
        <v>1</v>
      </c>
      <c r="C4409" s="1">
        <v>5</v>
      </c>
      <c r="D4409" s="1">
        <v>9.2000000000000011</v>
      </c>
    </row>
    <row r="4410" spans="1:4" x14ac:dyDescent="0.25">
      <c r="A4410" s="16">
        <v>11932</v>
      </c>
      <c r="B4410" s="1">
        <v>1</v>
      </c>
      <c r="C4410" s="1">
        <v>3</v>
      </c>
      <c r="D4410" s="1">
        <v>7.1999999999999993</v>
      </c>
    </row>
    <row r="4411" spans="1:4" x14ac:dyDescent="0.25">
      <c r="A4411" s="16">
        <v>11933</v>
      </c>
      <c r="B4411" s="1">
        <v>1</v>
      </c>
      <c r="C4411" s="1">
        <v>1</v>
      </c>
      <c r="D4411" s="1">
        <v>36</v>
      </c>
    </row>
    <row r="4412" spans="1:4" x14ac:dyDescent="0.25">
      <c r="A4412" s="16">
        <v>11934</v>
      </c>
      <c r="B4412" s="1">
        <v>1</v>
      </c>
      <c r="C4412" s="1">
        <v>1</v>
      </c>
      <c r="D4412" s="1">
        <v>6</v>
      </c>
    </row>
    <row r="4413" spans="1:4" x14ac:dyDescent="0.25">
      <c r="A4413" s="16">
        <v>11935</v>
      </c>
      <c r="B4413" s="1">
        <v>1</v>
      </c>
      <c r="C4413" s="1">
        <v>1</v>
      </c>
      <c r="D4413" s="1">
        <v>8.8000000000000007</v>
      </c>
    </row>
    <row r="4414" spans="1:4" x14ac:dyDescent="0.25">
      <c r="A4414" s="16">
        <v>11936</v>
      </c>
      <c r="B4414" s="1">
        <v>1</v>
      </c>
      <c r="C4414" s="1">
        <v>1</v>
      </c>
      <c r="D4414" s="1">
        <v>7.6</v>
      </c>
    </row>
    <row r="4415" spans="1:4" x14ac:dyDescent="0.25">
      <c r="A4415" s="16">
        <v>11937</v>
      </c>
      <c r="B4415" s="1">
        <v>1</v>
      </c>
      <c r="C4415" s="1">
        <v>4</v>
      </c>
      <c r="D4415" s="1">
        <v>7.36</v>
      </c>
    </row>
    <row r="4416" spans="1:4" x14ac:dyDescent="0.25">
      <c r="A4416" s="16">
        <v>11938</v>
      </c>
      <c r="B4416" s="1">
        <v>1</v>
      </c>
      <c r="C4416" s="1">
        <v>3</v>
      </c>
      <c r="D4416" s="1">
        <v>8.3999999999999986</v>
      </c>
    </row>
    <row r="4417" spans="1:4" x14ac:dyDescent="0.25">
      <c r="A4417" s="16">
        <v>11939</v>
      </c>
      <c r="B4417" s="1">
        <v>1</v>
      </c>
      <c r="C4417" s="1">
        <v>2</v>
      </c>
      <c r="D4417" s="1">
        <v>12</v>
      </c>
    </row>
    <row r="4418" spans="1:4" x14ac:dyDescent="0.25">
      <c r="A4418" s="16">
        <v>11940</v>
      </c>
      <c r="B4418" s="1">
        <v>1</v>
      </c>
      <c r="C4418" s="1">
        <v>1</v>
      </c>
      <c r="D4418" s="1">
        <v>8.8000000000000007</v>
      </c>
    </row>
    <row r="4419" spans="1:4" x14ac:dyDescent="0.25">
      <c r="A4419" s="16">
        <v>11941</v>
      </c>
      <c r="B4419" s="1">
        <v>1</v>
      </c>
      <c r="C4419" s="1">
        <v>5</v>
      </c>
      <c r="D4419" s="1">
        <v>9.2000000000000011</v>
      </c>
    </row>
    <row r="4420" spans="1:4" x14ac:dyDescent="0.25">
      <c r="A4420" s="16">
        <v>11942</v>
      </c>
      <c r="B4420" s="1">
        <v>1</v>
      </c>
      <c r="C4420" s="1">
        <v>1</v>
      </c>
      <c r="D4420" s="1">
        <v>13.6</v>
      </c>
    </row>
    <row r="4421" spans="1:4" x14ac:dyDescent="0.25">
      <c r="A4421" s="16">
        <v>11943</v>
      </c>
      <c r="B4421" s="1">
        <v>1</v>
      </c>
      <c r="C4421" s="1">
        <v>1</v>
      </c>
      <c r="D4421" s="1">
        <v>36</v>
      </c>
    </row>
    <row r="4422" spans="1:4" x14ac:dyDescent="0.25">
      <c r="A4422" s="16">
        <v>11944</v>
      </c>
      <c r="B4422" s="1">
        <v>1</v>
      </c>
      <c r="C4422" s="1">
        <v>1</v>
      </c>
      <c r="D4422" s="1">
        <v>7.6</v>
      </c>
    </row>
    <row r="4423" spans="1:4" x14ac:dyDescent="0.25">
      <c r="A4423" s="16">
        <v>11945</v>
      </c>
      <c r="B4423" s="1">
        <v>1</v>
      </c>
      <c r="C4423" s="1">
        <v>3</v>
      </c>
      <c r="D4423" s="1">
        <v>7.1999999999999993</v>
      </c>
    </row>
    <row r="4424" spans="1:4" x14ac:dyDescent="0.25">
      <c r="A4424" s="16">
        <v>11946</v>
      </c>
      <c r="B4424" s="1">
        <v>1</v>
      </c>
      <c r="C4424" s="1">
        <v>1</v>
      </c>
      <c r="D4424" s="1">
        <v>6</v>
      </c>
    </row>
    <row r="4425" spans="1:4" x14ac:dyDescent="0.25">
      <c r="A4425" s="16">
        <v>11947</v>
      </c>
      <c r="B4425" s="1">
        <v>1</v>
      </c>
      <c r="C4425" s="1">
        <v>2</v>
      </c>
      <c r="D4425" s="1">
        <v>5.6</v>
      </c>
    </row>
    <row r="4426" spans="1:4" x14ac:dyDescent="0.25">
      <c r="A4426" s="16">
        <v>11948</v>
      </c>
      <c r="B4426" s="1">
        <v>1</v>
      </c>
      <c r="C4426" s="1">
        <v>1</v>
      </c>
      <c r="D4426" s="1">
        <v>8.8000000000000007</v>
      </c>
    </row>
    <row r="4427" spans="1:4" x14ac:dyDescent="0.25">
      <c r="A4427" s="16">
        <v>11949</v>
      </c>
      <c r="B4427" s="1">
        <v>1</v>
      </c>
      <c r="C4427" s="1">
        <v>1</v>
      </c>
      <c r="D4427" s="1">
        <v>7.6</v>
      </c>
    </row>
    <row r="4428" spans="1:4" x14ac:dyDescent="0.25">
      <c r="A4428" s="16">
        <v>11950</v>
      </c>
      <c r="B4428" s="1">
        <v>1</v>
      </c>
      <c r="C4428" s="1">
        <v>5</v>
      </c>
      <c r="D4428" s="1">
        <v>9.2000000000000011</v>
      </c>
    </row>
    <row r="4429" spans="1:4" x14ac:dyDescent="0.25">
      <c r="A4429" s="16">
        <v>11951</v>
      </c>
      <c r="B4429" s="1">
        <v>1</v>
      </c>
      <c r="C4429" s="1">
        <v>1</v>
      </c>
      <c r="D4429" s="1">
        <v>13.6</v>
      </c>
    </row>
    <row r="4430" spans="1:4" x14ac:dyDescent="0.25">
      <c r="A4430" s="16">
        <v>11952</v>
      </c>
      <c r="B4430" s="1">
        <v>1</v>
      </c>
      <c r="C4430" s="1">
        <v>1</v>
      </c>
      <c r="D4430" s="1">
        <v>36</v>
      </c>
    </row>
    <row r="4431" spans="1:4" x14ac:dyDescent="0.25">
      <c r="A4431" s="16">
        <v>11953</v>
      </c>
      <c r="B4431" s="1">
        <v>1</v>
      </c>
      <c r="C4431" s="1">
        <v>1</v>
      </c>
      <c r="D4431" s="1">
        <v>8</v>
      </c>
    </row>
    <row r="4432" spans="1:4" x14ac:dyDescent="0.25">
      <c r="A4432" s="16">
        <v>11954</v>
      </c>
      <c r="B4432" s="1">
        <v>1</v>
      </c>
      <c r="C4432" s="1">
        <v>1</v>
      </c>
      <c r="D4432" s="1">
        <v>7.6</v>
      </c>
    </row>
    <row r="4433" spans="1:4" x14ac:dyDescent="0.25">
      <c r="A4433" s="16">
        <v>11955</v>
      </c>
      <c r="B4433" s="1">
        <v>1</v>
      </c>
      <c r="C4433" s="1">
        <v>3</v>
      </c>
      <c r="D4433" s="1">
        <v>7.1999999999999993</v>
      </c>
    </row>
    <row r="4434" spans="1:4" x14ac:dyDescent="0.25">
      <c r="A4434" s="16">
        <v>11956</v>
      </c>
      <c r="B4434" s="1">
        <v>1</v>
      </c>
      <c r="C4434" s="1">
        <v>3</v>
      </c>
      <c r="D4434" s="1">
        <v>8.3999999999999986</v>
      </c>
    </row>
    <row r="4435" spans="1:4" x14ac:dyDescent="0.25">
      <c r="A4435" s="16">
        <v>11957</v>
      </c>
      <c r="B4435" s="1">
        <v>1</v>
      </c>
      <c r="C4435" s="1">
        <v>2</v>
      </c>
      <c r="D4435" s="1">
        <v>12</v>
      </c>
    </row>
    <row r="4436" spans="1:4" x14ac:dyDescent="0.25">
      <c r="A4436" s="16">
        <v>11958</v>
      </c>
      <c r="B4436" s="1">
        <v>1</v>
      </c>
      <c r="C4436" s="1">
        <v>1</v>
      </c>
      <c r="D4436" s="1">
        <v>8.8000000000000007</v>
      </c>
    </row>
    <row r="4437" spans="1:4" x14ac:dyDescent="0.25">
      <c r="A4437" s="16">
        <v>11959</v>
      </c>
      <c r="B4437" s="1">
        <v>1</v>
      </c>
      <c r="C4437" s="1">
        <v>4</v>
      </c>
      <c r="D4437" s="1">
        <v>7.36</v>
      </c>
    </row>
    <row r="4438" spans="1:4" x14ac:dyDescent="0.25">
      <c r="A4438" s="16">
        <v>11960</v>
      </c>
      <c r="B4438" s="1">
        <v>1</v>
      </c>
      <c r="C4438" s="1">
        <v>1</v>
      </c>
      <c r="D4438" s="1">
        <v>36</v>
      </c>
    </row>
    <row r="4439" spans="1:4" x14ac:dyDescent="0.25">
      <c r="A4439" s="16">
        <v>11961</v>
      </c>
      <c r="B4439" s="1">
        <v>1</v>
      </c>
      <c r="C4439" s="1">
        <v>1</v>
      </c>
      <c r="D4439" s="1">
        <v>8</v>
      </c>
    </row>
    <row r="4440" spans="1:4" x14ac:dyDescent="0.25">
      <c r="A4440" s="16">
        <v>11962</v>
      </c>
      <c r="B4440" s="1">
        <v>1</v>
      </c>
      <c r="C4440" s="1">
        <v>1</v>
      </c>
      <c r="D4440" s="1">
        <v>7.6</v>
      </c>
    </row>
    <row r="4441" spans="1:4" x14ac:dyDescent="0.25">
      <c r="A4441" s="16">
        <v>11963</v>
      </c>
      <c r="B4441" s="1">
        <v>1</v>
      </c>
      <c r="C4441" s="1">
        <v>3</v>
      </c>
      <c r="D4441" s="1">
        <v>7.1999999999999993</v>
      </c>
    </row>
    <row r="4442" spans="1:4" x14ac:dyDescent="0.25">
      <c r="A4442" s="16">
        <v>11964</v>
      </c>
      <c r="B4442" s="1">
        <v>1</v>
      </c>
      <c r="C4442" s="1">
        <v>1</v>
      </c>
      <c r="D4442" s="1">
        <v>7.6</v>
      </c>
    </row>
    <row r="4443" spans="1:4" x14ac:dyDescent="0.25">
      <c r="A4443" s="16">
        <v>11965</v>
      </c>
      <c r="B4443" s="1">
        <v>1</v>
      </c>
      <c r="C4443" s="1">
        <v>1</v>
      </c>
      <c r="D4443" s="1">
        <v>13.6</v>
      </c>
    </row>
    <row r="4444" spans="1:4" x14ac:dyDescent="0.25">
      <c r="A4444" s="16">
        <v>11966</v>
      </c>
      <c r="B4444" s="1">
        <v>1</v>
      </c>
      <c r="C4444" s="1">
        <v>1</v>
      </c>
      <c r="D4444" s="1">
        <v>36</v>
      </c>
    </row>
    <row r="4445" spans="1:4" x14ac:dyDescent="0.25">
      <c r="A4445" s="16">
        <v>11967</v>
      </c>
      <c r="B4445" s="1">
        <v>1</v>
      </c>
      <c r="C4445" s="1">
        <v>2</v>
      </c>
      <c r="D4445" s="1">
        <v>12</v>
      </c>
    </row>
    <row r="4446" spans="1:4" x14ac:dyDescent="0.25">
      <c r="A4446" s="16">
        <v>11968</v>
      </c>
      <c r="B4446" s="1">
        <v>1</v>
      </c>
      <c r="C4446" s="1">
        <v>2</v>
      </c>
      <c r="D4446" s="1">
        <v>5.6</v>
      </c>
    </row>
    <row r="4447" spans="1:4" x14ac:dyDescent="0.25">
      <c r="A4447" s="16">
        <v>11969</v>
      </c>
      <c r="B4447" s="1">
        <v>1</v>
      </c>
      <c r="C4447" s="1">
        <v>4</v>
      </c>
      <c r="D4447" s="1">
        <v>7.36</v>
      </c>
    </row>
    <row r="4448" spans="1:4" x14ac:dyDescent="0.25">
      <c r="A4448" s="16">
        <v>11970</v>
      </c>
      <c r="B4448" s="1">
        <v>1</v>
      </c>
      <c r="C4448" s="1">
        <v>1</v>
      </c>
      <c r="D4448" s="1">
        <v>8.8000000000000007</v>
      </c>
    </row>
    <row r="4449" spans="1:4" x14ac:dyDescent="0.25">
      <c r="A4449" s="16">
        <v>11971</v>
      </c>
      <c r="B4449" s="1">
        <v>1</v>
      </c>
      <c r="C4449" s="1">
        <v>1</v>
      </c>
      <c r="D4449" s="1">
        <v>26</v>
      </c>
    </row>
    <row r="4450" spans="1:4" x14ac:dyDescent="0.25">
      <c r="A4450" s="16">
        <v>11972</v>
      </c>
      <c r="B4450" s="1">
        <v>1</v>
      </c>
      <c r="C4450" s="1">
        <v>1</v>
      </c>
      <c r="D4450" s="1">
        <v>7.6</v>
      </c>
    </row>
    <row r="4451" spans="1:4" x14ac:dyDescent="0.25">
      <c r="A4451" s="16">
        <v>11973</v>
      </c>
      <c r="B4451" s="1">
        <v>1</v>
      </c>
      <c r="C4451" s="1">
        <v>3</v>
      </c>
      <c r="D4451" s="1">
        <v>8.3999999999999986</v>
      </c>
    </row>
    <row r="4452" spans="1:4" x14ac:dyDescent="0.25">
      <c r="A4452" s="16">
        <v>11974</v>
      </c>
      <c r="B4452" s="1">
        <v>1</v>
      </c>
      <c r="C4452" s="1">
        <v>2</v>
      </c>
      <c r="D4452" s="1">
        <v>12</v>
      </c>
    </row>
    <row r="4453" spans="1:4" x14ac:dyDescent="0.25">
      <c r="A4453" s="16">
        <v>11975</v>
      </c>
      <c r="B4453" s="1">
        <v>1</v>
      </c>
      <c r="C4453" s="1">
        <v>1</v>
      </c>
      <c r="D4453" s="1">
        <v>8.8000000000000007</v>
      </c>
    </row>
    <row r="4454" spans="1:4" x14ac:dyDescent="0.25">
      <c r="A4454" s="16">
        <v>11976</v>
      </c>
      <c r="B4454" s="1">
        <v>1</v>
      </c>
      <c r="C4454" s="1">
        <v>5</v>
      </c>
      <c r="D4454" s="1">
        <v>9.2000000000000011</v>
      </c>
    </row>
    <row r="4455" spans="1:4" x14ac:dyDescent="0.25">
      <c r="A4455" s="16">
        <v>11977</v>
      </c>
      <c r="B4455" s="1">
        <v>1</v>
      </c>
      <c r="C4455" s="1">
        <v>1</v>
      </c>
      <c r="D4455" s="1">
        <v>36</v>
      </c>
    </row>
    <row r="4456" spans="1:4" x14ac:dyDescent="0.25">
      <c r="A4456" s="16">
        <v>11978</v>
      </c>
      <c r="B4456" s="1">
        <v>1</v>
      </c>
      <c r="C4456" s="1">
        <v>1</v>
      </c>
      <c r="D4456" s="1">
        <v>13.6</v>
      </c>
    </row>
    <row r="4457" spans="1:4" x14ac:dyDescent="0.25">
      <c r="A4457" s="16">
        <v>11979</v>
      </c>
      <c r="B4457" s="1">
        <v>1</v>
      </c>
      <c r="C4457" s="1">
        <v>1</v>
      </c>
      <c r="D4457" s="1">
        <v>7.6</v>
      </c>
    </row>
    <row r="4458" spans="1:4" x14ac:dyDescent="0.25">
      <c r="A4458" s="16">
        <v>11980</v>
      </c>
      <c r="B4458" s="1">
        <v>1</v>
      </c>
      <c r="C4458" s="1">
        <v>1</v>
      </c>
      <c r="D4458" s="1">
        <v>8</v>
      </c>
    </row>
    <row r="4459" spans="1:4" x14ac:dyDescent="0.25">
      <c r="A4459" s="16">
        <v>11981</v>
      </c>
      <c r="B4459" s="1">
        <v>1</v>
      </c>
      <c r="C4459" s="1">
        <v>1</v>
      </c>
      <c r="D4459" s="1">
        <v>7.6</v>
      </c>
    </row>
    <row r="4460" spans="1:4" x14ac:dyDescent="0.25">
      <c r="A4460" s="16">
        <v>11982</v>
      </c>
      <c r="B4460" s="1">
        <v>1</v>
      </c>
      <c r="C4460" s="1">
        <v>3</v>
      </c>
      <c r="D4460" s="1">
        <v>7.1999999999999993</v>
      </c>
    </row>
    <row r="4461" spans="1:4" x14ac:dyDescent="0.25">
      <c r="A4461" s="16">
        <v>11983</v>
      </c>
      <c r="B4461" s="1">
        <v>1</v>
      </c>
      <c r="C4461" s="1">
        <v>2</v>
      </c>
      <c r="D4461" s="1">
        <v>5.6</v>
      </c>
    </row>
    <row r="4462" spans="1:4" x14ac:dyDescent="0.25">
      <c r="A4462" s="16">
        <v>11984</v>
      </c>
      <c r="B4462" s="1">
        <v>1</v>
      </c>
      <c r="C4462" s="1">
        <v>2</v>
      </c>
      <c r="D4462" s="1">
        <v>12</v>
      </c>
    </row>
    <row r="4463" spans="1:4" x14ac:dyDescent="0.25">
      <c r="A4463" s="16">
        <v>11985</v>
      </c>
      <c r="B4463" s="1">
        <v>1</v>
      </c>
      <c r="C4463" s="1">
        <v>1</v>
      </c>
      <c r="D4463" s="1">
        <v>8.8000000000000007</v>
      </c>
    </row>
    <row r="4464" spans="1:4" x14ac:dyDescent="0.25">
      <c r="A4464" s="16">
        <v>11986</v>
      </c>
      <c r="B4464" s="1">
        <v>1</v>
      </c>
      <c r="C4464" s="1">
        <v>4</v>
      </c>
      <c r="D4464" s="1">
        <v>7.36</v>
      </c>
    </row>
    <row r="4465" spans="1:4" x14ac:dyDescent="0.25">
      <c r="A4465" s="16">
        <v>11987</v>
      </c>
      <c r="B4465" s="1">
        <v>1</v>
      </c>
      <c r="C4465" s="1">
        <v>1</v>
      </c>
      <c r="D4465" s="1">
        <v>36</v>
      </c>
    </row>
    <row r="4466" spans="1:4" x14ac:dyDescent="0.25">
      <c r="A4466" s="16">
        <v>11988</v>
      </c>
      <c r="B4466" s="1">
        <v>1</v>
      </c>
      <c r="C4466" s="1">
        <v>1</v>
      </c>
      <c r="D4466" s="1">
        <v>13.6</v>
      </c>
    </row>
    <row r="4467" spans="1:4" x14ac:dyDescent="0.25">
      <c r="A4467" s="16">
        <v>11989</v>
      </c>
      <c r="B4467" s="1">
        <v>1</v>
      </c>
      <c r="C4467" s="1">
        <v>1</v>
      </c>
      <c r="D4467" s="1">
        <v>7.6</v>
      </c>
    </row>
    <row r="4468" spans="1:4" x14ac:dyDescent="0.25">
      <c r="A4468" s="16">
        <v>11990</v>
      </c>
      <c r="B4468" s="1">
        <v>1</v>
      </c>
      <c r="C4468" s="1">
        <v>1</v>
      </c>
      <c r="D4468" s="1">
        <v>8</v>
      </c>
    </row>
    <row r="4469" spans="1:4" x14ac:dyDescent="0.25">
      <c r="A4469" s="16">
        <v>11991</v>
      </c>
      <c r="B4469" s="1">
        <v>1</v>
      </c>
      <c r="C4469" s="1">
        <v>1</v>
      </c>
      <c r="D4469" s="1">
        <v>7.6</v>
      </c>
    </row>
    <row r="4470" spans="1:4" x14ac:dyDescent="0.25">
      <c r="A4470" s="16">
        <v>11992</v>
      </c>
      <c r="B4470" s="1">
        <v>1</v>
      </c>
      <c r="C4470" s="1">
        <v>3</v>
      </c>
      <c r="D4470" s="1">
        <v>7.1999999999999993</v>
      </c>
    </row>
    <row r="4471" spans="1:4" x14ac:dyDescent="0.25">
      <c r="A4471" s="16">
        <v>11993</v>
      </c>
      <c r="B4471" s="1">
        <v>1</v>
      </c>
      <c r="C4471" s="1">
        <v>2</v>
      </c>
      <c r="D4471" s="1">
        <v>5.6</v>
      </c>
    </row>
    <row r="4472" spans="1:4" x14ac:dyDescent="0.25">
      <c r="A4472" s="16">
        <v>11994</v>
      </c>
      <c r="B4472" s="1">
        <v>1</v>
      </c>
      <c r="C4472" s="1">
        <v>1</v>
      </c>
      <c r="D4472" s="1">
        <v>6</v>
      </c>
    </row>
    <row r="4473" spans="1:4" x14ac:dyDescent="0.25">
      <c r="A4473" s="16">
        <v>11995</v>
      </c>
      <c r="B4473" s="1">
        <v>1</v>
      </c>
      <c r="C4473" s="1">
        <v>1</v>
      </c>
      <c r="D4473" s="1">
        <v>8.8000000000000007</v>
      </c>
    </row>
    <row r="4474" spans="1:4" x14ac:dyDescent="0.25">
      <c r="A4474" s="16">
        <v>11996</v>
      </c>
      <c r="B4474" s="1">
        <v>1</v>
      </c>
      <c r="C4474" s="1">
        <v>1</v>
      </c>
      <c r="D4474" s="1">
        <v>36</v>
      </c>
    </row>
    <row r="4475" spans="1:4" x14ac:dyDescent="0.25">
      <c r="A4475" s="16">
        <v>11997</v>
      </c>
      <c r="B4475" s="1">
        <v>1</v>
      </c>
      <c r="C4475" s="1">
        <v>4</v>
      </c>
      <c r="D4475" s="1">
        <v>7.36</v>
      </c>
    </row>
    <row r="4476" spans="1:4" x14ac:dyDescent="0.25">
      <c r="A4476" s="16">
        <v>11998</v>
      </c>
      <c r="B4476" s="1">
        <v>1</v>
      </c>
      <c r="C4476" s="1">
        <v>1</v>
      </c>
      <c r="D4476" s="1">
        <v>13.6</v>
      </c>
    </row>
    <row r="4477" spans="1:4" x14ac:dyDescent="0.25">
      <c r="A4477" s="16">
        <v>11999</v>
      </c>
      <c r="B4477" s="1">
        <v>1</v>
      </c>
      <c r="C4477" s="1">
        <v>1</v>
      </c>
      <c r="D4477" s="1">
        <v>7.6</v>
      </c>
    </row>
    <row r="4478" spans="1:4" x14ac:dyDescent="0.25">
      <c r="A4478" s="16">
        <v>12000</v>
      </c>
      <c r="B4478" s="1">
        <v>1</v>
      </c>
      <c r="C4478" s="1">
        <v>1</v>
      </c>
      <c r="D4478" s="1">
        <v>8</v>
      </c>
    </row>
    <row r="4479" spans="1:4" x14ac:dyDescent="0.25">
      <c r="A4479" s="16">
        <v>12001</v>
      </c>
      <c r="B4479" s="1">
        <v>1</v>
      </c>
      <c r="C4479" s="1">
        <v>1</v>
      </c>
      <c r="D4479" s="1">
        <v>7.6</v>
      </c>
    </row>
    <row r="4480" spans="1:4" x14ac:dyDescent="0.25">
      <c r="A4480" s="16">
        <v>12002</v>
      </c>
      <c r="B4480" s="1">
        <v>1</v>
      </c>
      <c r="C4480" s="1">
        <v>3</v>
      </c>
      <c r="D4480" s="1">
        <v>7.1999999999999993</v>
      </c>
    </row>
    <row r="4481" spans="1:4" x14ac:dyDescent="0.25">
      <c r="A4481" s="16">
        <v>12003</v>
      </c>
      <c r="B4481" s="1">
        <v>1</v>
      </c>
      <c r="C4481" s="1">
        <v>3</v>
      </c>
      <c r="D4481" s="1">
        <v>8.3999999999999986</v>
      </c>
    </row>
    <row r="4482" spans="1:4" x14ac:dyDescent="0.25">
      <c r="A4482" s="16">
        <v>12004</v>
      </c>
      <c r="B4482" s="1">
        <v>1</v>
      </c>
      <c r="C4482" s="1">
        <v>1</v>
      </c>
      <c r="D4482" s="1">
        <v>6</v>
      </c>
    </row>
    <row r="4483" spans="1:4" x14ac:dyDescent="0.25">
      <c r="A4483" s="16">
        <v>12005</v>
      </c>
      <c r="B4483" s="1">
        <v>1</v>
      </c>
      <c r="C4483" s="1">
        <v>1</v>
      </c>
      <c r="D4483" s="1">
        <v>8.8000000000000007</v>
      </c>
    </row>
    <row r="4484" spans="1:4" x14ac:dyDescent="0.25">
      <c r="A4484" s="16">
        <v>12006</v>
      </c>
      <c r="B4484" s="1">
        <v>1</v>
      </c>
      <c r="C4484" s="1">
        <v>4</v>
      </c>
      <c r="D4484" s="1">
        <v>7.36</v>
      </c>
    </row>
    <row r="4485" spans="1:4" x14ac:dyDescent="0.25">
      <c r="A4485" s="16">
        <v>12007</v>
      </c>
      <c r="B4485" s="1">
        <v>1</v>
      </c>
      <c r="C4485" s="1">
        <v>1</v>
      </c>
      <c r="D4485" s="1">
        <v>36</v>
      </c>
    </row>
    <row r="4486" spans="1:4" x14ac:dyDescent="0.25">
      <c r="A4486" s="16">
        <v>12008</v>
      </c>
      <c r="B4486" s="1">
        <v>1</v>
      </c>
      <c r="C4486" s="1">
        <v>1</v>
      </c>
      <c r="D4486" s="1">
        <v>13.6</v>
      </c>
    </row>
    <row r="4487" spans="1:4" x14ac:dyDescent="0.25">
      <c r="A4487" s="16">
        <v>12009</v>
      </c>
      <c r="B4487" s="1">
        <v>1</v>
      </c>
      <c r="C4487" s="1">
        <v>1</v>
      </c>
      <c r="D4487" s="1">
        <v>7.6</v>
      </c>
    </row>
    <row r="4488" spans="1:4" x14ac:dyDescent="0.25">
      <c r="A4488" s="16">
        <v>12010</v>
      </c>
      <c r="B4488" s="1">
        <v>1</v>
      </c>
      <c r="C4488" s="1">
        <v>1</v>
      </c>
      <c r="D4488" s="1">
        <v>7.6</v>
      </c>
    </row>
    <row r="4489" spans="1:4" x14ac:dyDescent="0.25">
      <c r="A4489" s="16">
        <v>12011</v>
      </c>
      <c r="B4489" s="1">
        <v>1</v>
      </c>
      <c r="C4489" s="1">
        <v>2</v>
      </c>
      <c r="D4489" s="1">
        <v>5.6</v>
      </c>
    </row>
    <row r="4490" spans="1:4" x14ac:dyDescent="0.25">
      <c r="A4490" s="16">
        <v>12012</v>
      </c>
      <c r="B4490" s="1">
        <v>1</v>
      </c>
      <c r="C4490" s="1">
        <v>2</v>
      </c>
      <c r="D4490" s="1">
        <v>12</v>
      </c>
    </row>
    <row r="4491" spans="1:4" x14ac:dyDescent="0.25">
      <c r="A4491" s="16">
        <v>12013</v>
      </c>
      <c r="B4491" s="1">
        <v>1</v>
      </c>
      <c r="C4491" s="1">
        <v>1</v>
      </c>
      <c r="D4491" s="1">
        <v>8.8000000000000007</v>
      </c>
    </row>
    <row r="4492" spans="1:4" x14ac:dyDescent="0.25">
      <c r="A4492" s="16">
        <v>12014</v>
      </c>
      <c r="B4492" s="1">
        <v>1</v>
      </c>
      <c r="C4492" s="1">
        <v>5</v>
      </c>
      <c r="D4492" s="1">
        <v>9.2000000000000011</v>
      </c>
    </row>
    <row r="4493" spans="1:4" x14ac:dyDescent="0.25">
      <c r="A4493" s="16">
        <v>12015</v>
      </c>
      <c r="B4493" s="1">
        <v>1</v>
      </c>
      <c r="C4493" s="1">
        <v>1</v>
      </c>
      <c r="D4493" s="1">
        <v>36</v>
      </c>
    </row>
    <row r="4494" spans="1:4" x14ac:dyDescent="0.25">
      <c r="A4494" s="16">
        <v>12016</v>
      </c>
      <c r="B4494" s="1">
        <v>1</v>
      </c>
      <c r="C4494" s="1">
        <v>1</v>
      </c>
      <c r="D4494" s="1">
        <v>13.6</v>
      </c>
    </row>
    <row r="4495" spans="1:4" x14ac:dyDescent="0.25">
      <c r="A4495" s="16">
        <v>12017</v>
      </c>
      <c r="B4495" s="1">
        <v>1</v>
      </c>
      <c r="C4495" s="1">
        <v>1</v>
      </c>
      <c r="D4495" s="1">
        <v>7.6</v>
      </c>
    </row>
    <row r="4496" spans="1:4" x14ac:dyDescent="0.25">
      <c r="A4496" s="16">
        <v>12018</v>
      </c>
      <c r="B4496" s="1">
        <v>1</v>
      </c>
      <c r="C4496" s="1">
        <v>3</v>
      </c>
      <c r="D4496" s="1">
        <v>7.1999999999999993</v>
      </c>
    </row>
    <row r="4497" spans="1:4" x14ac:dyDescent="0.25">
      <c r="A4497" s="16">
        <v>12019</v>
      </c>
      <c r="B4497" s="1">
        <v>1</v>
      </c>
      <c r="C4497" s="1">
        <v>1</v>
      </c>
      <c r="D4497" s="1">
        <v>8</v>
      </c>
    </row>
    <row r="4498" spans="1:4" x14ac:dyDescent="0.25">
      <c r="A4498" s="16">
        <v>12020</v>
      </c>
      <c r="B4498" s="1">
        <v>1</v>
      </c>
      <c r="C4498" s="1">
        <v>2</v>
      </c>
      <c r="D4498" s="1">
        <v>5.6</v>
      </c>
    </row>
    <row r="4499" spans="1:4" x14ac:dyDescent="0.25">
      <c r="A4499" s="16">
        <v>12021</v>
      </c>
      <c r="B4499" s="1">
        <v>1</v>
      </c>
      <c r="C4499" s="1">
        <v>2</v>
      </c>
      <c r="D4499" s="1">
        <v>12</v>
      </c>
    </row>
    <row r="4500" spans="1:4" x14ac:dyDescent="0.25">
      <c r="A4500" s="16">
        <v>12022</v>
      </c>
      <c r="B4500" s="1">
        <v>1</v>
      </c>
      <c r="C4500" s="1">
        <v>1</v>
      </c>
      <c r="D4500" s="1">
        <v>8.8000000000000007</v>
      </c>
    </row>
    <row r="4501" spans="1:4" x14ac:dyDescent="0.25">
      <c r="A4501" s="16">
        <v>12023</v>
      </c>
      <c r="B4501" s="1">
        <v>1</v>
      </c>
      <c r="C4501" s="1">
        <v>4</v>
      </c>
      <c r="D4501" s="1">
        <v>7.36</v>
      </c>
    </row>
    <row r="4502" spans="1:4" x14ac:dyDescent="0.25">
      <c r="A4502" s="16">
        <v>12024</v>
      </c>
      <c r="B4502" s="1">
        <v>1</v>
      </c>
      <c r="C4502" s="1">
        <v>1</v>
      </c>
      <c r="D4502" s="1">
        <v>13.6</v>
      </c>
    </row>
    <row r="4503" spans="1:4" x14ac:dyDescent="0.25">
      <c r="A4503" s="16">
        <v>12025</v>
      </c>
      <c r="B4503" s="1">
        <v>1</v>
      </c>
      <c r="C4503" s="1">
        <v>1</v>
      </c>
      <c r="D4503" s="1">
        <v>36</v>
      </c>
    </row>
    <row r="4504" spans="1:4" x14ac:dyDescent="0.25">
      <c r="A4504" s="16">
        <v>12026</v>
      </c>
      <c r="B4504" s="1">
        <v>1</v>
      </c>
      <c r="C4504" s="1">
        <v>1</v>
      </c>
      <c r="D4504" s="1">
        <v>7.6</v>
      </c>
    </row>
    <row r="4505" spans="1:4" x14ac:dyDescent="0.25">
      <c r="A4505" s="16">
        <v>12027</v>
      </c>
      <c r="B4505" s="1">
        <v>1</v>
      </c>
      <c r="C4505" s="1">
        <v>1</v>
      </c>
      <c r="D4505" s="1">
        <v>8</v>
      </c>
    </row>
    <row r="4506" spans="1:4" x14ac:dyDescent="0.25">
      <c r="A4506" s="16">
        <v>12028</v>
      </c>
      <c r="B4506" s="1">
        <v>1</v>
      </c>
      <c r="C4506" s="1">
        <v>1</v>
      </c>
      <c r="D4506" s="1">
        <v>7.6</v>
      </c>
    </row>
    <row r="4507" spans="1:4" x14ac:dyDescent="0.25">
      <c r="A4507" s="16">
        <v>12029</v>
      </c>
      <c r="B4507" s="1">
        <v>1</v>
      </c>
      <c r="C4507" s="1">
        <v>3</v>
      </c>
      <c r="D4507" s="1">
        <v>8.3999999999999986</v>
      </c>
    </row>
    <row r="4508" spans="1:4" x14ac:dyDescent="0.25">
      <c r="A4508" s="16">
        <v>12030</v>
      </c>
      <c r="B4508" s="1">
        <v>1</v>
      </c>
      <c r="C4508" s="1">
        <v>2</v>
      </c>
      <c r="D4508" s="1">
        <v>12</v>
      </c>
    </row>
    <row r="4509" spans="1:4" x14ac:dyDescent="0.25">
      <c r="A4509" s="16">
        <v>12031</v>
      </c>
      <c r="B4509" s="1">
        <v>1</v>
      </c>
      <c r="C4509" s="1">
        <v>1</v>
      </c>
      <c r="D4509" s="1">
        <v>8.8000000000000007</v>
      </c>
    </row>
    <row r="4510" spans="1:4" x14ac:dyDescent="0.25">
      <c r="A4510" s="16">
        <v>12032</v>
      </c>
      <c r="B4510" s="1">
        <v>1</v>
      </c>
      <c r="C4510" s="1">
        <v>1</v>
      </c>
      <c r="D4510" s="1">
        <v>36</v>
      </c>
    </row>
    <row r="4511" spans="1:4" x14ac:dyDescent="0.25">
      <c r="A4511" s="16">
        <v>12033</v>
      </c>
      <c r="B4511" s="1">
        <v>1</v>
      </c>
      <c r="C4511" s="1">
        <v>5</v>
      </c>
      <c r="D4511" s="1">
        <v>9.2000000000000011</v>
      </c>
    </row>
    <row r="4512" spans="1:4" x14ac:dyDescent="0.25">
      <c r="A4512" s="16">
        <v>12034</v>
      </c>
      <c r="B4512" s="1">
        <v>1</v>
      </c>
      <c r="C4512" s="1">
        <v>1</v>
      </c>
      <c r="D4512" s="1">
        <v>13.6</v>
      </c>
    </row>
    <row r="4513" spans="1:4" x14ac:dyDescent="0.25">
      <c r="A4513" s="16">
        <v>12035</v>
      </c>
      <c r="B4513" s="1">
        <v>1</v>
      </c>
      <c r="C4513" s="1">
        <v>1</v>
      </c>
      <c r="D4513" s="1">
        <v>7.6</v>
      </c>
    </row>
    <row r="4514" spans="1:4" x14ac:dyDescent="0.25">
      <c r="A4514" s="16">
        <v>12036</v>
      </c>
      <c r="B4514" s="1">
        <v>1</v>
      </c>
      <c r="C4514" s="1">
        <v>1</v>
      </c>
      <c r="D4514" s="1">
        <v>8</v>
      </c>
    </row>
    <row r="4515" spans="1:4" x14ac:dyDescent="0.25">
      <c r="A4515" s="16">
        <v>12037</v>
      </c>
      <c r="B4515" s="1">
        <v>1</v>
      </c>
      <c r="C4515" s="1">
        <v>1</v>
      </c>
      <c r="D4515" s="1">
        <v>7.6</v>
      </c>
    </row>
    <row r="4516" spans="1:4" x14ac:dyDescent="0.25">
      <c r="A4516" s="16">
        <v>12038</v>
      </c>
      <c r="B4516" s="1">
        <v>1</v>
      </c>
      <c r="C4516" s="1">
        <v>3</v>
      </c>
      <c r="D4516" s="1">
        <v>7.1999999999999993</v>
      </c>
    </row>
    <row r="4517" spans="1:4" x14ac:dyDescent="0.25">
      <c r="A4517" s="16">
        <v>12039</v>
      </c>
      <c r="B4517" s="1">
        <v>1</v>
      </c>
      <c r="C4517" s="1">
        <v>2</v>
      </c>
      <c r="D4517" s="1">
        <v>5.6</v>
      </c>
    </row>
    <row r="4518" spans="1:4" x14ac:dyDescent="0.25">
      <c r="A4518" s="16">
        <v>12040</v>
      </c>
      <c r="B4518" s="1">
        <v>1</v>
      </c>
      <c r="C4518" s="1">
        <v>1</v>
      </c>
      <c r="D4518" s="1">
        <v>6</v>
      </c>
    </row>
    <row r="4519" spans="1:4" x14ac:dyDescent="0.25">
      <c r="A4519" s="16">
        <v>12041</v>
      </c>
      <c r="B4519" s="1">
        <v>1</v>
      </c>
      <c r="C4519" s="1">
        <v>1</v>
      </c>
      <c r="D4519" s="1">
        <v>8.8000000000000007</v>
      </c>
    </row>
    <row r="4520" spans="1:4" x14ac:dyDescent="0.25">
      <c r="A4520" s="16">
        <v>12042</v>
      </c>
      <c r="B4520" s="1">
        <v>1</v>
      </c>
      <c r="C4520" s="1">
        <v>4</v>
      </c>
      <c r="D4520" s="1">
        <v>7.36</v>
      </c>
    </row>
    <row r="4521" spans="1:4" x14ac:dyDescent="0.25">
      <c r="A4521" s="16">
        <v>12043</v>
      </c>
      <c r="B4521" s="1">
        <v>1</v>
      </c>
      <c r="C4521" s="1">
        <v>1</v>
      </c>
      <c r="D4521" s="1">
        <v>13.6</v>
      </c>
    </row>
    <row r="4522" spans="1:4" x14ac:dyDescent="0.25">
      <c r="A4522" s="16">
        <v>12044</v>
      </c>
      <c r="B4522" s="1">
        <v>1</v>
      </c>
      <c r="C4522" s="1">
        <v>1</v>
      </c>
      <c r="D4522" s="1">
        <v>36</v>
      </c>
    </row>
    <row r="4523" spans="1:4" x14ac:dyDescent="0.25">
      <c r="A4523" s="16">
        <v>12045</v>
      </c>
      <c r="B4523" s="1">
        <v>1</v>
      </c>
      <c r="C4523" s="1">
        <v>1</v>
      </c>
      <c r="D4523" s="1">
        <v>7.6</v>
      </c>
    </row>
    <row r="4524" spans="1:4" x14ac:dyDescent="0.25">
      <c r="A4524" s="16">
        <v>12046</v>
      </c>
      <c r="B4524" s="1">
        <v>1</v>
      </c>
      <c r="C4524" s="1">
        <v>1</v>
      </c>
      <c r="D4524" s="1">
        <v>7.6</v>
      </c>
    </row>
    <row r="4525" spans="1:4" x14ac:dyDescent="0.25">
      <c r="A4525" s="16">
        <v>12047</v>
      </c>
      <c r="B4525" s="1">
        <v>1</v>
      </c>
      <c r="C4525" s="1">
        <v>1</v>
      </c>
      <c r="D4525" s="1">
        <v>8</v>
      </c>
    </row>
    <row r="4526" spans="1:4" x14ac:dyDescent="0.25">
      <c r="A4526" s="16">
        <v>12048</v>
      </c>
      <c r="B4526" s="1">
        <v>1</v>
      </c>
      <c r="C4526" s="1">
        <v>2</v>
      </c>
      <c r="D4526" s="1">
        <v>5.6</v>
      </c>
    </row>
    <row r="4527" spans="1:4" x14ac:dyDescent="0.25">
      <c r="A4527" s="16">
        <v>12049</v>
      </c>
      <c r="B4527" s="1">
        <v>1</v>
      </c>
      <c r="C4527" s="1">
        <v>2</v>
      </c>
      <c r="D4527" s="1">
        <v>12</v>
      </c>
    </row>
    <row r="4528" spans="1:4" x14ac:dyDescent="0.25">
      <c r="A4528" s="16">
        <v>12050</v>
      </c>
      <c r="B4528" s="1">
        <v>1</v>
      </c>
      <c r="C4528" s="1">
        <v>1</v>
      </c>
      <c r="D4528" s="1">
        <v>8.8000000000000007</v>
      </c>
    </row>
    <row r="4529" spans="1:4" x14ac:dyDescent="0.25">
      <c r="A4529" s="16">
        <v>12051</v>
      </c>
      <c r="B4529" s="1">
        <v>1</v>
      </c>
      <c r="C4529" s="1">
        <v>1</v>
      </c>
      <c r="D4529" s="1">
        <v>36</v>
      </c>
    </row>
    <row r="4530" spans="1:4" x14ac:dyDescent="0.25">
      <c r="A4530" s="16">
        <v>12052</v>
      </c>
      <c r="B4530" s="1">
        <v>1</v>
      </c>
      <c r="C4530" s="1">
        <v>5</v>
      </c>
      <c r="D4530" s="1">
        <v>9.2000000000000011</v>
      </c>
    </row>
    <row r="4531" spans="1:4" x14ac:dyDescent="0.25">
      <c r="A4531" s="16">
        <v>12053</v>
      </c>
      <c r="B4531" s="1">
        <v>1</v>
      </c>
      <c r="C4531" s="1">
        <v>1</v>
      </c>
      <c r="D4531" s="1">
        <v>13.6</v>
      </c>
    </row>
    <row r="4532" spans="1:4" x14ac:dyDescent="0.25">
      <c r="A4532" s="16">
        <v>12054</v>
      </c>
      <c r="B4532" s="1">
        <v>1</v>
      </c>
      <c r="C4532" s="1">
        <v>1</v>
      </c>
      <c r="D4532" s="1">
        <v>7.6</v>
      </c>
    </row>
    <row r="4533" spans="1:4" x14ac:dyDescent="0.25">
      <c r="A4533" s="16">
        <v>12055</v>
      </c>
      <c r="B4533" s="1">
        <v>1</v>
      </c>
      <c r="C4533" s="1">
        <v>1</v>
      </c>
      <c r="D4533" s="1">
        <v>8</v>
      </c>
    </row>
    <row r="4534" spans="1:4" x14ac:dyDescent="0.25">
      <c r="A4534" s="16">
        <v>12056</v>
      </c>
      <c r="B4534" s="1">
        <v>1</v>
      </c>
      <c r="C4534" s="1">
        <v>1</v>
      </c>
      <c r="D4534" s="1">
        <v>7.6</v>
      </c>
    </row>
    <row r="4535" spans="1:4" x14ac:dyDescent="0.25">
      <c r="A4535" s="16">
        <v>12057</v>
      </c>
      <c r="B4535" s="1">
        <v>1</v>
      </c>
      <c r="C4535" s="1">
        <v>3</v>
      </c>
      <c r="D4535" s="1">
        <v>7.1999999999999993</v>
      </c>
    </row>
    <row r="4536" spans="1:4" x14ac:dyDescent="0.25">
      <c r="A4536" s="16">
        <v>12058</v>
      </c>
      <c r="B4536" s="1">
        <v>1</v>
      </c>
      <c r="C4536" s="1">
        <v>2</v>
      </c>
      <c r="D4536" s="1">
        <v>5.6</v>
      </c>
    </row>
    <row r="4537" spans="1:4" x14ac:dyDescent="0.25">
      <c r="A4537" s="16">
        <v>12059</v>
      </c>
      <c r="B4537" s="1">
        <v>1</v>
      </c>
      <c r="C4537" s="1">
        <v>1</v>
      </c>
      <c r="D4537" s="1">
        <v>6</v>
      </c>
    </row>
    <row r="4538" spans="1:4" x14ac:dyDescent="0.25">
      <c r="A4538" s="16">
        <v>12060</v>
      </c>
      <c r="B4538" s="1">
        <v>1</v>
      </c>
      <c r="C4538" s="1">
        <v>1</v>
      </c>
      <c r="D4538" s="1">
        <v>8.8000000000000007</v>
      </c>
    </row>
    <row r="4539" spans="1:4" x14ac:dyDescent="0.25">
      <c r="A4539" s="16">
        <v>12061</v>
      </c>
      <c r="B4539" s="1">
        <v>1</v>
      </c>
      <c r="C4539" s="1">
        <v>4</v>
      </c>
      <c r="D4539" s="1">
        <v>7.36</v>
      </c>
    </row>
    <row r="4540" spans="1:4" x14ac:dyDescent="0.25">
      <c r="A4540" s="16">
        <v>12062</v>
      </c>
      <c r="B4540" s="1">
        <v>1</v>
      </c>
      <c r="C4540" s="1">
        <v>1</v>
      </c>
      <c r="D4540" s="1">
        <v>13.6</v>
      </c>
    </row>
    <row r="4541" spans="1:4" x14ac:dyDescent="0.25">
      <c r="A4541" s="16">
        <v>12063</v>
      </c>
      <c r="B4541" s="1">
        <v>1</v>
      </c>
      <c r="C4541" s="1">
        <v>1</v>
      </c>
      <c r="D4541" s="1">
        <v>36</v>
      </c>
    </row>
    <row r="4542" spans="1:4" x14ac:dyDescent="0.25">
      <c r="A4542" s="16">
        <v>12064</v>
      </c>
      <c r="B4542" s="1">
        <v>1</v>
      </c>
      <c r="C4542" s="1">
        <v>1</v>
      </c>
      <c r="D4542" s="1">
        <v>7.6</v>
      </c>
    </row>
    <row r="4543" spans="1:4" x14ac:dyDescent="0.25">
      <c r="A4543" s="16">
        <v>12065</v>
      </c>
      <c r="B4543" s="1">
        <v>1</v>
      </c>
      <c r="C4543" s="1">
        <v>1</v>
      </c>
      <c r="D4543" s="1">
        <v>7.6</v>
      </c>
    </row>
    <row r="4544" spans="1:4" x14ac:dyDescent="0.25">
      <c r="A4544" s="16">
        <v>12066</v>
      </c>
      <c r="B4544" s="1">
        <v>1</v>
      </c>
      <c r="C4544" s="1">
        <v>1</v>
      </c>
      <c r="D4544" s="1">
        <v>8</v>
      </c>
    </row>
    <row r="4545" spans="1:4" x14ac:dyDescent="0.25">
      <c r="A4545" s="16">
        <v>12067</v>
      </c>
      <c r="B4545" s="1">
        <v>1</v>
      </c>
      <c r="C4545" s="1">
        <v>4</v>
      </c>
      <c r="D4545" s="1">
        <v>7.36</v>
      </c>
    </row>
    <row r="4546" spans="1:4" x14ac:dyDescent="0.25">
      <c r="A4546" s="16">
        <v>12068</v>
      </c>
      <c r="B4546" s="1">
        <v>1</v>
      </c>
      <c r="C4546" s="1">
        <v>3</v>
      </c>
      <c r="D4546" s="1">
        <v>8.3999999999999986</v>
      </c>
    </row>
    <row r="4547" spans="1:4" x14ac:dyDescent="0.25">
      <c r="A4547" s="16">
        <v>12069</v>
      </c>
      <c r="B4547" s="1">
        <v>1</v>
      </c>
      <c r="C4547" s="1">
        <v>2</v>
      </c>
      <c r="D4547" s="1">
        <v>12</v>
      </c>
    </row>
    <row r="4548" spans="1:4" x14ac:dyDescent="0.25">
      <c r="A4548" s="16">
        <v>12070</v>
      </c>
      <c r="B4548" s="1">
        <v>1</v>
      </c>
      <c r="C4548" s="1">
        <v>1</v>
      </c>
      <c r="D4548" s="1">
        <v>8.8000000000000007</v>
      </c>
    </row>
    <row r="4549" spans="1:4" x14ac:dyDescent="0.25">
      <c r="A4549" s="16">
        <v>12071</v>
      </c>
      <c r="B4549" s="1">
        <v>1</v>
      </c>
      <c r="C4549" s="1">
        <v>1</v>
      </c>
      <c r="D4549" s="1">
        <v>36</v>
      </c>
    </row>
    <row r="4550" spans="1:4" x14ac:dyDescent="0.25">
      <c r="A4550" s="16">
        <v>12072</v>
      </c>
      <c r="B4550" s="1">
        <v>1</v>
      </c>
      <c r="C4550" s="1">
        <v>5</v>
      </c>
      <c r="D4550" s="1">
        <v>9.2000000000000011</v>
      </c>
    </row>
    <row r="4551" spans="1:4" x14ac:dyDescent="0.25">
      <c r="A4551" s="16">
        <v>12073</v>
      </c>
      <c r="B4551" s="1">
        <v>1</v>
      </c>
      <c r="C4551" s="1">
        <v>1</v>
      </c>
      <c r="D4551" s="1">
        <v>13.6</v>
      </c>
    </row>
    <row r="4552" spans="1:4" x14ac:dyDescent="0.25">
      <c r="A4552" s="16">
        <v>12074</v>
      </c>
      <c r="B4552" s="1">
        <v>1</v>
      </c>
      <c r="C4552" s="1">
        <v>1</v>
      </c>
      <c r="D4552" s="1">
        <v>7.6</v>
      </c>
    </row>
    <row r="4553" spans="1:4" x14ac:dyDescent="0.25">
      <c r="A4553" s="16">
        <v>12075</v>
      </c>
      <c r="B4553" s="1">
        <v>1</v>
      </c>
      <c r="C4553" s="1">
        <v>1</v>
      </c>
      <c r="D4553" s="1">
        <v>8</v>
      </c>
    </row>
    <row r="4554" spans="1:4" x14ac:dyDescent="0.25">
      <c r="A4554" s="16">
        <v>12076</v>
      </c>
      <c r="B4554" s="1">
        <v>1</v>
      </c>
      <c r="C4554" s="1">
        <v>1</v>
      </c>
      <c r="D4554" s="1">
        <v>7.6</v>
      </c>
    </row>
    <row r="4555" spans="1:4" x14ac:dyDescent="0.25">
      <c r="A4555" s="16">
        <v>12077</v>
      </c>
      <c r="B4555" s="1">
        <v>1</v>
      </c>
      <c r="C4555" s="1">
        <v>3</v>
      </c>
      <c r="D4555" s="1">
        <v>7.1999999999999993</v>
      </c>
    </row>
    <row r="4556" spans="1:4" x14ac:dyDescent="0.25">
      <c r="A4556" s="16">
        <v>12078</v>
      </c>
      <c r="B4556" s="1">
        <v>1</v>
      </c>
      <c r="C4556" s="1">
        <v>2</v>
      </c>
      <c r="D4556" s="1">
        <v>5.6</v>
      </c>
    </row>
    <row r="4557" spans="1:4" x14ac:dyDescent="0.25">
      <c r="A4557" s="16">
        <v>12079</v>
      </c>
      <c r="B4557" s="1">
        <v>1</v>
      </c>
      <c r="C4557" s="1">
        <v>2</v>
      </c>
      <c r="D4557" s="1">
        <v>12</v>
      </c>
    </row>
    <row r="4558" spans="1:4" x14ac:dyDescent="0.25">
      <c r="A4558" s="16">
        <v>12080</v>
      </c>
      <c r="B4558" s="1">
        <v>1</v>
      </c>
      <c r="C4558" s="1">
        <v>1</v>
      </c>
      <c r="D4558" s="1">
        <v>8.8000000000000007</v>
      </c>
    </row>
    <row r="4559" spans="1:4" x14ac:dyDescent="0.25">
      <c r="A4559" s="16">
        <v>12081</v>
      </c>
      <c r="B4559" s="1">
        <v>1</v>
      </c>
      <c r="C4559" s="1">
        <v>4</v>
      </c>
      <c r="D4559" s="1">
        <v>7.36</v>
      </c>
    </row>
    <row r="4560" spans="1:4" x14ac:dyDescent="0.25">
      <c r="A4560" s="16">
        <v>12082</v>
      </c>
      <c r="B4560" s="1">
        <v>1</v>
      </c>
      <c r="C4560" s="1">
        <v>1</v>
      </c>
      <c r="D4560" s="1">
        <v>36</v>
      </c>
    </row>
    <row r="4561" spans="1:4" x14ac:dyDescent="0.25">
      <c r="A4561" s="16">
        <v>12083</v>
      </c>
      <c r="B4561" s="1">
        <v>1</v>
      </c>
      <c r="C4561" s="1">
        <v>1</v>
      </c>
      <c r="D4561" s="1">
        <v>13.6</v>
      </c>
    </row>
    <row r="4562" spans="1:4" x14ac:dyDescent="0.25">
      <c r="A4562" s="16">
        <v>12084</v>
      </c>
      <c r="B4562" s="1">
        <v>1</v>
      </c>
      <c r="C4562" s="1">
        <v>1</v>
      </c>
      <c r="D4562" s="1">
        <v>7.6</v>
      </c>
    </row>
    <row r="4563" spans="1:4" x14ac:dyDescent="0.25">
      <c r="A4563" s="16">
        <v>12085</v>
      </c>
      <c r="B4563" s="1">
        <v>1</v>
      </c>
      <c r="C4563" s="1">
        <v>1</v>
      </c>
      <c r="D4563" s="1">
        <v>8</v>
      </c>
    </row>
    <row r="4564" spans="1:4" x14ac:dyDescent="0.25">
      <c r="A4564" s="16">
        <v>12086</v>
      </c>
      <c r="B4564" s="1">
        <v>1</v>
      </c>
      <c r="C4564" s="1">
        <v>1</v>
      </c>
      <c r="D4564" s="1">
        <v>7.6</v>
      </c>
    </row>
    <row r="4565" spans="1:4" x14ac:dyDescent="0.25">
      <c r="A4565" s="16">
        <v>12087</v>
      </c>
      <c r="B4565" s="1">
        <v>1</v>
      </c>
      <c r="C4565" s="1">
        <v>3</v>
      </c>
      <c r="D4565" s="1">
        <v>7.1999999999999993</v>
      </c>
    </row>
    <row r="4566" spans="1:4" x14ac:dyDescent="0.25">
      <c r="A4566" s="16">
        <v>12088</v>
      </c>
      <c r="B4566" s="1">
        <v>1</v>
      </c>
      <c r="C4566" s="1">
        <v>2</v>
      </c>
      <c r="D4566" s="1">
        <v>5.6</v>
      </c>
    </row>
    <row r="4567" spans="1:4" x14ac:dyDescent="0.25">
      <c r="A4567" s="16">
        <v>12089</v>
      </c>
      <c r="B4567" s="1">
        <v>1</v>
      </c>
      <c r="C4567" s="1">
        <v>1</v>
      </c>
      <c r="D4567" s="1">
        <v>6</v>
      </c>
    </row>
    <row r="4568" spans="1:4" x14ac:dyDescent="0.25">
      <c r="A4568" s="16">
        <v>12090</v>
      </c>
      <c r="B4568" s="1">
        <v>1</v>
      </c>
      <c r="C4568" s="1">
        <v>1</v>
      </c>
      <c r="D4568" s="1">
        <v>8.8000000000000007</v>
      </c>
    </row>
    <row r="4569" spans="1:4" x14ac:dyDescent="0.25">
      <c r="A4569" s="16">
        <v>12091</v>
      </c>
      <c r="B4569" s="1">
        <v>1</v>
      </c>
      <c r="C4569" s="1">
        <v>4</v>
      </c>
      <c r="D4569" s="1">
        <v>7.36</v>
      </c>
    </row>
    <row r="4570" spans="1:4" x14ac:dyDescent="0.25">
      <c r="A4570" s="16">
        <v>12092</v>
      </c>
      <c r="B4570" s="1">
        <v>1</v>
      </c>
      <c r="C4570" s="1">
        <v>1</v>
      </c>
      <c r="D4570" s="1">
        <v>36</v>
      </c>
    </row>
    <row r="4571" spans="1:4" x14ac:dyDescent="0.25">
      <c r="A4571" s="16">
        <v>12093</v>
      </c>
      <c r="B4571" s="1">
        <v>1</v>
      </c>
      <c r="C4571" s="1">
        <v>1</v>
      </c>
      <c r="D4571" s="1">
        <v>13.6</v>
      </c>
    </row>
    <row r="4572" spans="1:4" x14ac:dyDescent="0.25">
      <c r="A4572" s="16">
        <v>12094</v>
      </c>
      <c r="B4572" s="1">
        <v>1</v>
      </c>
      <c r="C4572" s="1">
        <v>1</v>
      </c>
      <c r="D4572" s="1">
        <v>7.6</v>
      </c>
    </row>
    <row r="4573" spans="1:4" x14ac:dyDescent="0.25">
      <c r="A4573" s="16">
        <v>12095</v>
      </c>
      <c r="B4573" s="1">
        <v>1</v>
      </c>
      <c r="C4573" s="1">
        <v>1</v>
      </c>
      <c r="D4573" s="1">
        <v>7.6</v>
      </c>
    </row>
    <row r="4574" spans="1:4" x14ac:dyDescent="0.25">
      <c r="A4574" s="16">
        <v>12096</v>
      </c>
      <c r="B4574" s="1">
        <v>1</v>
      </c>
      <c r="C4574" s="1">
        <v>1</v>
      </c>
      <c r="D4574" s="1">
        <v>8</v>
      </c>
    </row>
    <row r="4575" spans="1:4" x14ac:dyDescent="0.25">
      <c r="A4575" s="16">
        <v>12097</v>
      </c>
      <c r="B4575" s="1">
        <v>1</v>
      </c>
      <c r="C4575" s="1">
        <v>3</v>
      </c>
      <c r="D4575" s="1">
        <v>7.1999999999999993</v>
      </c>
    </row>
    <row r="4576" spans="1:4" x14ac:dyDescent="0.25">
      <c r="A4576" s="16">
        <v>12098</v>
      </c>
      <c r="B4576" s="1">
        <v>1</v>
      </c>
      <c r="C4576" s="1">
        <v>2</v>
      </c>
      <c r="D4576" s="1">
        <v>5.6</v>
      </c>
    </row>
    <row r="4577" spans="1:4" x14ac:dyDescent="0.25">
      <c r="A4577" s="16">
        <v>12099</v>
      </c>
      <c r="B4577" s="1">
        <v>1</v>
      </c>
      <c r="C4577" s="1">
        <v>1</v>
      </c>
      <c r="D4577" s="1">
        <v>6</v>
      </c>
    </row>
    <row r="4578" spans="1:4" x14ac:dyDescent="0.25">
      <c r="A4578" s="16">
        <v>12100</v>
      </c>
      <c r="B4578" s="1">
        <v>1</v>
      </c>
      <c r="C4578" s="1">
        <v>1</v>
      </c>
      <c r="D4578" s="1">
        <v>8.8000000000000007</v>
      </c>
    </row>
    <row r="4579" spans="1:4" x14ac:dyDescent="0.25">
      <c r="A4579" s="16">
        <v>12101</v>
      </c>
      <c r="B4579" s="1">
        <v>1</v>
      </c>
      <c r="C4579" s="1">
        <v>5</v>
      </c>
      <c r="D4579" s="1">
        <v>9.2000000000000011</v>
      </c>
    </row>
    <row r="4580" spans="1:4" x14ac:dyDescent="0.25">
      <c r="A4580" s="16">
        <v>12102</v>
      </c>
      <c r="B4580" s="1">
        <v>1</v>
      </c>
      <c r="C4580" s="1">
        <v>1</v>
      </c>
      <c r="D4580" s="1">
        <v>36</v>
      </c>
    </row>
    <row r="4581" spans="1:4" x14ac:dyDescent="0.25">
      <c r="A4581" s="16">
        <v>12103</v>
      </c>
      <c r="B4581" s="1">
        <v>1</v>
      </c>
      <c r="C4581" s="1">
        <v>1</v>
      </c>
      <c r="D4581" s="1">
        <v>13.6</v>
      </c>
    </row>
    <row r="4582" spans="1:4" x14ac:dyDescent="0.25">
      <c r="A4582" s="16">
        <v>12104</v>
      </c>
      <c r="B4582" s="1">
        <v>1</v>
      </c>
      <c r="C4582" s="1">
        <v>1</v>
      </c>
      <c r="D4582" s="1">
        <v>7.6</v>
      </c>
    </row>
    <row r="4583" spans="1:4" x14ac:dyDescent="0.25">
      <c r="A4583" s="16">
        <v>12105</v>
      </c>
      <c r="B4583" s="1">
        <v>1</v>
      </c>
      <c r="C4583" s="1">
        <v>1</v>
      </c>
      <c r="D4583" s="1">
        <v>7.6</v>
      </c>
    </row>
    <row r="4584" spans="1:4" x14ac:dyDescent="0.25">
      <c r="A4584" s="16">
        <v>12106</v>
      </c>
      <c r="B4584" s="1">
        <v>1</v>
      </c>
      <c r="C4584" s="1">
        <v>3</v>
      </c>
      <c r="D4584" s="1">
        <v>7.1999999999999993</v>
      </c>
    </row>
    <row r="4585" spans="1:4" x14ac:dyDescent="0.25">
      <c r="A4585" s="16">
        <v>12107</v>
      </c>
      <c r="B4585" s="1">
        <v>1</v>
      </c>
      <c r="C4585" s="1">
        <v>2</v>
      </c>
      <c r="D4585" s="1">
        <v>5.6</v>
      </c>
    </row>
    <row r="4586" spans="1:4" x14ac:dyDescent="0.25">
      <c r="A4586" s="16">
        <v>12108</v>
      </c>
      <c r="B4586" s="1">
        <v>1</v>
      </c>
      <c r="C4586" s="1">
        <v>2</v>
      </c>
      <c r="D4586" s="1">
        <v>12</v>
      </c>
    </row>
    <row r="4587" spans="1:4" x14ac:dyDescent="0.25">
      <c r="A4587" s="16">
        <v>12109</v>
      </c>
      <c r="B4587" s="1">
        <v>1</v>
      </c>
      <c r="C4587" s="1">
        <v>1</v>
      </c>
      <c r="D4587" s="1">
        <v>8.8000000000000007</v>
      </c>
    </row>
    <row r="4588" spans="1:4" x14ac:dyDescent="0.25">
      <c r="A4588" s="16">
        <v>12110</v>
      </c>
      <c r="B4588" s="1">
        <v>1</v>
      </c>
      <c r="C4588" s="1">
        <v>4</v>
      </c>
      <c r="D4588" s="1">
        <v>7.36</v>
      </c>
    </row>
    <row r="4589" spans="1:4" x14ac:dyDescent="0.25">
      <c r="A4589" s="16">
        <v>12111</v>
      </c>
      <c r="B4589" s="1">
        <v>1</v>
      </c>
      <c r="C4589" s="1">
        <v>1</v>
      </c>
      <c r="D4589" s="1">
        <v>36</v>
      </c>
    </row>
    <row r="4590" spans="1:4" x14ac:dyDescent="0.25">
      <c r="A4590" s="16">
        <v>12112</v>
      </c>
      <c r="B4590" s="1">
        <v>1</v>
      </c>
      <c r="C4590" s="1">
        <v>1</v>
      </c>
      <c r="D4590" s="1">
        <v>13.6</v>
      </c>
    </row>
    <row r="4591" spans="1:4" x14ac:dyDescent="0.25">
      <c r="A4591" s="16">
        <v>12113</v>
      </c>
      <c r="B4591" s="1">
        <v>1</v>
      </c>
      <c r="C4591" s="1">
        <v>1</v>
      </c>
      <c r="D4591" s="1">
        <v>7.6</v>
      </c>
    </row>
    <row r="4592" spans="1:4" x14ac:dyDescent="0.25">
      <c r="A4592" s="16">
        <v>12114</v>
      </c>
      <c r="B4592" s="1">
        <v>1</v>
      </c>
      <c r="C4592" s="1">
        <v>1</v>
      </c>
      <c r="D4592" s="1">
        <v>7.6</v>
      </c>
    </row>
    <row r="4593" spans="1:4" x14ac:dyDescent="0.25">
      <c r="A4593" s="16">
        <v>12115</v>
      </c>
      <c r="B4593" s="1">
        <v>1</v>
      </c>
      <c r="C4593" s="1">
        <v>1</v>
      </c>
      <c r="D4593" s="1">
        <v>8</v>
      </c>
    </row>
    <row r="4594" spans="1:4" x14ac:dyDescent="0.25">
      <c r="A4594" s="16">
        <v>12116</v>
      </c>
      <c r="B4594" s="1">
        <v>1</v>
      </c>
      <c r="C4594" s="1">
        <v>3</v>
      </c>
      <c r="D4594" s="1">
        <v>7.1999999999999993</v>
      </c>
    </row>
    <row r="4595" spans="1:4" x14ac:dyDescent="0.25">
      <c r="A4595" s="16">
        <v>12117</v>
      </c>
      <c r="B4595" s="1">
        <v>1</v>
      </c>
      <c r="C4595" s="1">
        <v>3</v>
      </c>
      <c r="D4595" s="1">
        <v>8.3999999999999986</v>
      </c>
    </row>
    <row r="4596" spans="1:4" x14ac:dyDescent="0.25">
      <c r="A4596" s="16">
        <v>12118</v>
      </c>
      <c r="B4596" s="1">
        <v>1</v>
      </c>
      <c r="C4596" s="1">
        <v>2</v>
      </c>
      <c r="D4596" s="1">
        <v>12</v>
      </c>
    </row>
    <row r="4597" spans="1:4" x14ac:dyDescent="0.25">
      <c r="A4597" s="16">
        <v>12119</v>
      </c>
      <c r="B4597" s="1">
        <v>1</v>
      </c>
      <c r="C4597" s="1">
        <v>1</v>
      </c>
      <c r="D4597" s="1">
        <v>8.8000000000000007</v>
      </c>
    </row>
    <row r="4598" spans="1:4" x14ac:dyDescent="0.25">
      <c r="A4598" s="16">
        <v>12120</v>
      </c>
      <c r="B4598" s="1">
        <v>1</v>
      </c>
      <c r="C4598" s="1">
        <v>4</v>
      </c>
      <c r="D4598" s="1">
        <v>7.36</v>
      </c>
    </row>
    <row r="4599" spans="1:4" x14ac:dyDescent="0.25">
      <c r="A4599" s="16">
        <v>12121</v>
      </c>
      <c r="B4599" s="1">
        <v>1</v>
      </c>
      <c r="C4599" s="1">
        <v>1</v>
      </c>
      <c r="D4599" s="1">
        <v>36</v>
      </c>
    </row>
    <row r="4600" spans="1:4" x14ac:dyDescent="0.25">
      <c r="A4600" s="16">
        <v>12122</v>
      </c>
      <c r="B4600" s="1">
        <v>1</v>
      </c>
      <c r="C4600" s="1">
        <v>1</v>
      </c>
      <c r="D4600" s="1">
        <v>13.6</v>
      </c>
    </row>
    <row r="4601" spans="1:4" x14ac:dyDescent="0.25">
      <c r="A4601" s="16">
        <v>12123</v>
      </c>
      <c r="B4601" s="1">
        <v>1</v>
      </c>
      <c r="C4601" s="1">
        <v>1</v>
      </c>
      <c r="D4601" s="1">
        <v>7.6</v>
      </c>
    </row>
    <row r="4602" spans="1:4" x14ac:dyDescent="0.25">
      <c r="A4602" s="16">
        <v>12124</v>
      </c>
      <c r="B4602" s="1">
        <v>1</v>
      </c>
      <c r="C4602" s="1">
        <v>1</v>
      </c>
      <c r="D4602" s="1">
        <v>7.6</v>
      </c>
    </row>
    <row r="4603" spans="1:4" x14ac:dyDescent="0.25">
      <c r="A4603" s="16">
        <v>12125</v>
      </c>
      <c r="B4603" s="1">
        <v>1</v>
      </c>
      <c r="C4603" s="1">
        <v>1</v>
      </c>
      <c r="D4603" s="1">
        <v>8</v>
      </c>
    </row>
    <row r="4604" spans="1:4" x14ac:dyDescent="0.25">
      <c r="A4604" s="16">
        <v>12126</v>
      </c>
      <c r="B4604" s="1">
        <v>1</v>
      </c>
      <c r="C4604" s="1">
        <v>2</v>
      </c>
      <c r="D4604" s="1">
        <v>5.6</v>
      </c>
    </row>
    <row r="4605" spans="1:4" x14ac:dyDescent="0.25">
      <c r="A4605" s="16">
        <v>12127</v>
      </c>
      <c r="B4605" s="1">
        <v>1</v>
      </c>
      <c r="C4605" s="1">
        <v>1</v>
      </c>
      <c r="D4605" s="1">
        <v>6</v>
      </c>
    </row>
    <row r="4606" spans="1:4" x14ac:dyDescent="0.25">
      <c r="A4606" s="16">
        <v>12128</v>
      </c>
      <c r="B4606" s="1">
        <v>1</v>
      </c>
      <c r="C4606" s="1">
        <v>1</v>
      </c>
      <c r="D4606" s="1">
        <v>8.8000000000000007</v>
      </c>
    </row>
    <row r="4607" spans="1:4" x14ac:dyDescent="0.25">
      <c r="A4607" s="16">
        <v>12129</v>
      </c>
      <c r="B4607" s="1">
        <v>1</v>
      </c>
      <c r="C4607" s="1">
        <v>4</v>
      </c>
      <c r="D4607" s="1">
        <v>7.36</v>
      </c>
    </row>
    <row r="4608" spans="1:4" x14ac:dyDescent="0.25">
      <c r="A4608" s="16">
        <v>12130</v>
      </c>
      <c r="B4608" s="1">
        <v>1</v>
      </c>
      <c r="C4608" s="1">
        <v>2</v>
      </c>
      <c r="D4608" s="1">
        <v>5.6</v>
      </c>
    </row>
    <row r="4609" spans="1:4" x14ac:dyDescent="0.25">
      <c r="A4609" s="16">
        <v>12131</v>
      </c>
      <c r="B4609" s="1">
        <v>1</v>
      </c>
      <c r="C4609" s="1">
        <v>1</v>
      </c>
      <c r="D4609" s="1">
        <v>6</v>
      </c>
    </row>
    <row r="4610" spans="1:4" x14ac:dyDescent="0.25">
      <c r="A4610" s="16">
        <v>12132</v>
      </c>
      <c r="B4610" s="1">
        <v>1</v>
      </c>
      <c r="C4610" s="1">
        <v>1</v>
      </c>
      <c r="D4610" s="1">
        <v>8.8000000000000007</v>
      </c>
    </row>
    <row r="4611" spans="1:4" x14ac:dyDescent="0.25">
      <c r="A4611" s="16">
        <v>12133</v>
      </c>
      <c r="B4611" s="1">
        <v>1</v>
      </c>
      <c r="C4611" s="1">
        <v>1</v>
      </c>
      <c r="D4611" s="1">
        <v>19.600000000000001</v>
      </c>
    </row>
    <row r="4612" spans="1:4" x14ac:dyDescent="0.25">
      <c r="A4612" s="16">
        <v>12134</v>
      </c>
      <c r="B4612" s="1">
        <v>1</v>
      </c>
      <c r="C4612" s="1">
        <v>1</v>
      </c>
      <c r="D4612" s="1">
        <v>42</v>
      </c>
    </row>
    <row r="4613" spans="1:4" x14ac:dyDescent="0.25">
      <c r="A4613" s="16">
        <v>12135</v>
      </c>
      <c r="B4613" s="1">
        <v>1</v>
      </c>
      <c r="C4613" s="1">
        <v>2</v>
      </c>
      <c r="D4613" s="1">
        <v>18.399999999999999</v>
      </c>
    </row>
    <row r="4614" spans="1:4" x14ac:dyDescent="0.25">
      <c r="A4614" s="16">
        <v>12136</v>
      </c>
      <c r="B4614" s="1">
        <v>1</v>
      </c>
      <c r="C4614" s="1">
        <v>1</v>
      </c>
      <c r="D4614" s="1">
        <v>13.6</v>
      </c>
    </row>
    <row r="4615" spans="1:4" x14ac:dyDescent="0.25">
      <c r="A4615" s="16">
        <v>12137</v>
      </c>
      <c r="B4615" s="1">
        <v>1</v>
      </c>
      <c r="C4615" s="1">
        <v>1</v>
      </c>
      <c r="D4615" s="1">
        <v>47.64</v>
      </c>
    </row>
    <row r="4616" spans="1:4" x14ac:dyDescent="0.25">
      <c r="A4616" s="16">
        <v>12138</v>
      </c>
      <c r="B4616" s="1">
        <v>1</v>
      </c>
      <c r="C4616" s="1">
        <v>1</v>
      </c>
      <c r="D4616" s="1">
        <v>40</v>
      </c>
    </row>
    <row r="4617" spans="1:4" x14ac:dyDescent="0.25">
      <c r="A4617" s="16">
        <v>12139</v>
      </c>
      <c r="B4617" s="1">
        <v>1</v>
      </c>
      <c r="C4617" s="1">
        <v>1</v>
      </c>
      <c r="D4617" s="1">
        <v>22</v>
      </c>
    </row>
    <row r="4618" spans="1:4" x14ac:dyDescent="0.25">
      <c r="A4618" s="16">
        <v>12140</v>
      </c>
      <c r="B4618" s="1">
        <v>1</v>
      </c>
      <c r="C4618" s="1">
        <v>1</v>
      </c>
      <c r="D4618" s="1">
        <v>51.64</v>
      </c>
    </row>
    <row r="4619" spans="1:4" x14ac:dyDescent="0.25">
      <c r="A4619" s="16">
        <v>12141</v>
      </c>
      <c r="B4619" s="1">
        <v>1</v>
      </c>
      <c r="C4619" s="1">
        <v>1</v>
      </c>
      <c r="D4619" s="1">
        <v>28</v>
      </c>
    </row>
    <row r="4620" spans="1:4" x14ac:dyDescent="0.25">
      <c r="A4620" s="16">
        <v>12142</v>
      </c>
      <c r="B4620" s="1">
        <v>1</v>
      </c>
      <c r="C4620" s="1">
        <v>1</v>
      </c>
      <c r="D4620" s="1">
        <v>59.64</v>
      </c>
    </row>
    <row r="4621" spans="1:4" x14ac:dyDescent="0.25">
      <c r="A4621" s="16">
        <v>12143</v>
      </c>
      <c r="B4621" s="1">
        <v>1</v>
      </c>
      <c r="C4621" s="1">
        <v>1</v>
      </c>
      <c r="D4621" s="1">
        <v>8</v>
      </c>
    </row>
    <row r="4622" spans="1:4" x14ac:dyDescent="0.25">
      <c r="A4622" s="16">
        <v>12144</v>
      </c>
      <c r="B4622" s="1">
        <v>1</v>
      </c>
      <c r="C4622" s="1">
        <v>1</v>
      </c>
      <c r="D4622" s="1">
        <v>10</v>
      </c>
    </row>
    <row r="4623" spans="1:4" x14ac:dyDescent="0.25">
      <c r="A4623" s="16">
        <v>12145</v>
      </c>
      <c r="B4623" s="1">
        <v>1</v>
      </c>
      <c r="C4623" s="1">
        <v>1</v>
      </c>
      <c r="D4623" s="1">
        <v>18</v>
      </c>
    </row>
    <row r="4624" spans="1:4" x14ac:dyDescent="0.25">
      <c r="A4624" s="16">
        <v>12146</v>
      </c>
      <c r="B4624" s="1">
        <v>1</v>
      </c>
      <c r="C4624" s="1">
        <v>1</v>
      </c>
      <c r="D4624" s="1">
        <v>26</v>
      </c>
    </row>
    <row r="4625" spans="1:4" x14ac:dyDescent="0.25">
      <c r="A4625" s="16">
        <v>12147</v>
      </c>
      <c r="B4625" s="1">
        <v>1</v>
      </c>
      <c r="C4625" s="1">
        <v>1</v>
      </c>
      <c r="D4625" s="1">
        <v>14</v>
      </c>
    </row>
    <row r="4626" spans="1:4" x14ac:dyDescent="0.25">
      <c r="A4626" s="16">
        <v>12148</v>
      </c>
      <c r="B4626" s="1">
        <v>1</v>
      </c>
      <c r="C4626" s="1">
        <v>1</v>
      </c>
      <c r="D4626" s="1">
        <v>75.64</v>
      </c>
    </row>
    <row r="4627" spans="1:4" x14ac:dyDescent="0.25">
      <c r="A4627" s="16">
        <v>12149</v>
      </c>
      <c r="B4627" s="1">
        <v>1</v>
      </c>
      <c r="C4627" s="1">
        <v>1</v>
      </c>
      <c r="D4627" s="1">
        <v>20</v>
      </c>
    </row>
    <row r="4628" spans="1:4" x14ac:dyDescent="0.25">
      <c r="A4628" s="16">
        <v>12150</v>
      </c>
      <c r="B4628" s="1">
        <v>1</v>
      </c>
      <c r="C4628" s="1">
        <v>2</v>
      </c>
      <c r="D4628" s="1">
        <v>15.2</v>
      </c>
    </row>
    <row r="4629" spans="1:4" x14ac:dyDescent="0.25">
      <c r="A4629" s="16">
        <v>12151</v>
      </c>
      <c r="B4629" s="1">
        <v>1</v>
      </c>
      <c r="C4629" s="1">
        <v>1</v>
      </c>
      <c r="D4629" s="1">
        <v>33.200000000000003</v>
      </c>
    </row>
    <row r="4630" spans="1:4" x14ac:dyDescent="0.25">
      <c r="A4630" s="16">
        <v>12152</v>
      </c>
      <c r="B4630" s="1">
        <v>1</v>
      </c>
      <c r="C4630" s="1">
        <v>1</v>
      </c>
      <c r="D4630" s="1">
        <v>4</v>
      </c>
    </row>
    <row r="4631" spans="1:4" x14ac:dyDescent="0.25">
      <c r="A4631" s="16">
        <v>12153</v>
      </c>
      <c r="B4631" s="1">
        <v>1</v>
      </c>
      <c r="C4631" s="1">
        <v>1</v>
      </c>
      <c r="D4631" s="1">
        <v>51.64</v>
      </c>
    </row>
    <row r="4632" spans="1:4" x14ac:dyDescent="0.25">
      <c r="A4632" s="16">
        <v>12154</v>
      </c>
      <c r="B4632" s="1">
        <v>1</v>
      </c>
      <c r="C4632" s="1">
        <v>1</v>
      </c>
      <c r="D4632" s="1">
        <v>20</v>
      </c>
    </row>
    <row r="4633" spans="1:4" x14ac:dyDescent="0.25">
      <c r="A4633" s="16">
        <v>12155</v>
      </c>
      <c r="B4633" s="1">
        <v>1</v>
      </c>
      <c r="C4633" s="1">
        <v>1</v>
      </c>
      <c r="D4633" s="1">
        <v>7.6</v>
      </c>
    </row>
    <row r="4634" spans="1:4" x14ac:dyDescent="0.25">
      <c r="A4634" s="16">
        <v>12156</v>
      </c>
      <c r="B4634" s="1">
        <v>1</v>
      </c>
      <c r="C4634" s="1">
        <v>1</v>
      </c>
      <c r="D4634" s="1">
        <v>7.2</v>
      </c>
    </row>
    <row r="4635" spans="1:4" x14ac:dyDescent="0.25">
      <c r="A4635" s="16">
        <v>12157</v>
      </c>
      <c r="B4635" s="1">
        <v>1</v>
      </c>
      <c r="C4635" s="1">
        <v>1</v>
      </c>
      <c r="D4635" s="1">
        <v>14</v>
      </c>
    </row>
    <row r="4636" spans="1:4" x14ac:dyDescent="0.25">
      <c r="A4636" s="16">
        <v>12158</v>
      </c>
      <c r="B4636" s="1">
        <v>1</v>
      </c>
      <c r="C4636" s="1">
        <v>1</v>
      </c>
      <c r="D4636" s="1">
        <v>11.2</v>
      </c>
    </row>
    <row r="4637" spans="1:4" x14ac:dyDescent="0.25">
      <c r="A4637" s="16">
        <v>12159</v>
      </c>
      <c r="B4637" s="1">
        <v>1</v>
      </c>
      <c r="C4637" s="1">
        <v>3</v>
      </c>
      <c r="D4637" s="1">
        <v>7.1999999999999993</v>
      </c>
    </row>
    <row r="4638" spans="1:4" x14ac:dyDescent="0.25">
      <c r="A4638" s="16">
        <v>12160</v>
      </c>
      <c r="B4638" s="1">
        <v>1</v>
      </c>
      <c r="C4638" s="1">
        <v>1</v>
      </c>
      <c r="D4638" s="1">
        <v>59.64</v>
      </c>
    </row>
    <row r="4639" spans="1:4" x14ac:dyDescent="0.25">
      <c r="A4639" s="16">
        <v>12161</v>
      </c>
      <c r="B4639" s="1">
        <v>1</v>
      </c>
      <c r="C4639" s="1">
        <v>1</v>
      </c>
      <c r="D4639" s="1">
        <v>18</v>
      </c>
    </row>
    <row r="4640" spans="1:4" x14ac:dyDescent="0.25">
      <c r="A4640" s="16">
        <v>12162</v>
      </c>
      <c r="B4640" s="1">
        <v>1</v>
      </c>
      <c r="C4640" s="1">
        <v>1</v>
      </c>
      <c r="D4640" s="1">
        <v>11.6</v>
      </c>
    </row>
    <row r="4641" spans="1:4" x14ac:dyDescent="0.25">
      <c r="A4641" s="16">
        <v>12163</v>
      </c>
      <c r="B4641" s="1">
        <v>1</v>
      </c>
      <c r="C4641" s="1">
        <v>1</v>
      </c>
      <c r="D4641" s="1">
        <v>9.6</v>
      </c>
    </row>
    <row r="4642" spans="1:4" x14ac:dyDescent="0.25">
      <c r="A4642" s="16">
        <v>12164</v>
      </c>
      <c r="B4642" s="1">
        <v>1</v>
      </c>
      <c r="C4642" s="1">
        <v>1</v>
      </c>
      <c r="D4642" s="1">
        <v>36</v>
      </c>
    </row>
    <row r="4643" spans="1:4" x14ac:dyDescent="0.25">
      <c r="A4643" s="16">
        <v>12165</v>
      </c>
      <c r="B4643" s="1">
        <v>1</v>
      </c>
      <c r="C4643" s="1">
        <v>1</v>
      </c>
      <c r="D4643" s="1">
        <v>51.64</v>
      </c>
    </row>
    <row r="4644" spans="1:4" x14ac:dyDescent="0.25">
      <c r="A4644" s="16">
        <v>12166</v>
      </c>
      <c r="B4644" s="1">
        <v>1</v>
      </c>
      <c r="C4644" s="1">
        <v>1</v>
      </c>
      <c r="D4644" s="1">
        <v>59.64</v>
      </c>
    </row>
    <row r="4645" spans="1:4" x14ac:dyDescent="0.25">
      <c r="A4645" s="16">
        <v>12167</v>
      </c>
      <c r="B4645" s="1">
        <v>1</v>
      </c>
      <c r="C4645" s="1">
        <v>1</v>
      </c>
      <c r="D4645" s="1">
        <v>8</v>
      </c>
    </row>
    <row r="4646" spans="1:4" x14ac:dyDescent="0.25">
      <c r="A4646" s="16">
        <v>12168</v>
      </c>
      <c r="B4646" s="1">
        <v>1</v>
      </c>
      <c r="C4646" s="1">
        <v>1</v>
      </c>
      <c r="D4646" s="1">
        <v>12</v>
      </c>
    </row>
    <row r="4647" spans="1:4" x14ac:dyDescent="0.25">
      <c r="A4647" s="16">
        <v>12169</v>
      </c>
      <c r="B4647" s="1">
        <v>1</v>
      </c>
      <c r="C4647" s="1">
        <v>1</v>
      </c>
      <c r="D4647" s="1">
        <v>13.6</v>
      </c>
    </row>
    <row r="4648" spans="1:4" x14ac:dyDescent="0.25">
      <c r="A4648" s="16">
        <v>12170</v>
      </c>
      <c r="B4648" s="1">
        <v>1</v>
      </c>
      <c r="C4648" s="1">
        <v>3</v>
      </c>
      <c r="D4648" s="1">
        <v>8.3999999999999986</v>
      </c>
    </row>
    <row r="4649" spans="1:4" x14ac:dyDescent="0.25">
      <c r="A4649" s="16">
        <v>12171</v>
      </c>
      <c r="B4649" s="1">
        <v>1</v>
      </c>
      <c r="C4649" s="1">
        <v>2</v>
      </c>
      <c r="D4649" s="1">
        <v>8</v>
      </c>
    </row>
    <row r="4650" spans="1:4" x14ac:dyDescent="0.25">
      <c r="A4650" s="16">
        <v>12172</v>
      </c>
      <c r="B4650" s="1">
        <v>1</v>
      </c>
      <c r="C4650" s="1">
        <v>1</v>
      </c>
      <c r="D4650" s="1">
        <v>36</v>
      </c>
    </row>
    <row r="4651" spans="1:4" x14ac:dyDescent="0.25">
      <c r="A4651" s="16">
        <v>12173</v>
      </c>
      <c r="B4651" s="1">
        <v>1</v>
      </c>
      <c r="C4651" s="1">
        <v>1</v>
      </c>
      <c r="D4651" s="1">
        <v>10</v>
      </c>
    </row>
    <row r="4652" spans="1:4" x14ac:dyDescent="0.25">
      <c r="A4652" s="16">
        <v>12174</v>
      </c>
      <c r="B4652" s="1">
        <v>1</v>
      </c>
      <c r="C4652" s="1">
        <v>1</v>
      </c>
      <c r="D4652" s="1">
        <v>7.2</v>
      </c>
    </row>
    <row r="4653" spans="1:4" x14ac:dyDescent="0.25">
      <c r="A4653" s="16">
        <v>12175</v>
      </c>
      <c r="B4653" s="1">
        <v>1</v>
      </c>
      <c r="C4653" s="1">
        <v>1</v>
      </c>
      <c r="D4653" s="1">
        <v>51.64</v>
      </c>
    </row>
    <row r="4654" spans="1:4" x14ac:dyDescent="0.25">
      <c r="A4654" s="16">
        <v>12176</v>
      </c>
      <c r="B4654" s="1">
        <v>1</v>
      </c>
      <c r="C4654" s="1">
        <v>1</v>
      </c>
      <c r="D4654" s="1">
        <v>43.64</v>
      </c>
    </row>
    <row r="4655" spans="1:4" x14ac:dyDescent="0.25">
      <c r="A4655" s="16">
        <v>12177</v>
      </c>
      <c r="B4655" s="1">
        <v>1</v>
      </c>
      <c r="C4655" s="1">
        <v>1</v>
      </c>
      <c r="D4655" s="1">
        <v>79.64</v>
      </c>
    </row>
    <row r="4656" spans="1:4" x14ac:dyDescent="0.25">
      <c r="A4656" s="16">
        <v>12178</v>
      </c>
      <c r="B4656" s="1">
        <v>1</v>
      </c>
      <c r="C4656" s="1">
        <v>1</v>
      </c>
      <c r="D4656" s="1">
        <v>9.1999999999999993</v>
      </c>
    </row>
    <row r="4657" spans="1:4" x14ac:dyDescent="0.25">
      <c r="A4657" s="16">
        <v>12179</v>
      </c>
      <c r="B4657" s="1">
        <v>1</v>
      </c>
      <c r="C4657" s="1">
        <v>1</v>
      </c>
      <c r="D4657" s="1">
        <v>20</v>
      </c>
    </row>
    <row r="4658" spans="1:4" x14ac:dyDescent="0.25">
      <c r="A4658" s="16">
        <v>12180</v>
      </c>
      <c r="B4658" s="1">
        <v>1</v>
      </c>
      <c r="C4658" s="1">
        <v>1</v>
      </c>
      <c r="D4658" s="1">
        <v>8</v>
      </c>
    </row>
    <row r="4659" spans="1:4" x14ac:dyDescent="0.25">
      <c r="A4659" s="16">
        <v>12181</v>
      </c>
      <c r="B4659" s="1">
        <v>1</v>
      </c>
      <c r="C4659" s="1">
        <v>1</v>
      </c>
      <c r="D4659" s="1">
        <v>36</v>
      </c>
    </row>
    <row r="4660" spans="1:4" x14ac:dyDescent="0.25">
      <c r="A4660" s="16">
        <v>12182</v>
      </c>
      <c r="B4660" s="1">
        <v>1</v>
      </c>
      <c r="C4660" s="1">
        <v>1</v>
      </c>
      <c r="D4660" s="1">
        <v>9.6</v>
      </c>
    </row>
    <row r="4661" spans="1:4" x14ac:dyDescent="0.25">
      <c r="A4661" s="16">
        <v>12183</v>
      </c>
      <c r="B4661" s="1">
        <v>1</v>
      </c>
      <c r="C4661" s="1">
        <v>2</v>
      </c>
      <c r="D4661" s="1">
        <v>15.2</v>
      </c>
    </row>
    <row r="4662" spans="1:4" x14ac:dyDescent="0.25">
      <c r="A4662" s="16">
        <v>12184</v>
      </c>
      <c r="B4662" s="1">
        <v>1</v>
      </c>
      <c r="C4662" s="1">
        <v>1</v>
      </c>
      <c r="D4662" s="1">
        <v>36</v>
      </c>
    </row>
    <row r="4663" spans="1:4" x14ac:dyDescent="0.25">
      <c r="A4663" s="16">
        <v>12185</v>
      </c>
      <c r="B4663" s="1">
        <v>1</v>
      </c>
      <c r="C4663" s="1">
        <v>1</v>
      </c>
      <c r="D4663" s="1">
        <v>9.6</v>
      </c>
    </row>
    <row r="4664" spans="1:4" x14ac:dyDescent="0.25">
      <c r="A4664" s="16">
        <v>12186</v>
      </c>
      <c r="B4664" s="1">
        <v>1</v>
      </c>
      <c r="C4664" s="1">
        <v>1</v>
      </c>
      <c r="D4664" s="1">
        <v>40</v>
      </c>
    </row>
    <row r="4665" spans="1:4" x14ac:dyDescent="0.25">
      <c r="A4665" s="16">
        <v>12187</v>
      </c>
      <c r="B4665" s="1">
        <v>1</v>
      </c>
      <c r="C4665" s="1">
        <v>1</v>
      </c>
      <c r="D4665" s="1">
        <v>40</v>
      </c>
    </row>
    <row r="4666" spans="1:4" x14ac:dyDescent="0.25">
      <c r="A4666" s="16">
        <v>12188</v>
      </c>
      <c r="B4666" s="1">
        <v>1</v>
      </c>
      <c r="C4666" s="1">
        <v>1</v>
      </c>
      <c r="D4666" s="1">
        <v>14</v>
      </c>
    </row>
    <row r="4667" spans="1:4" x14ac:dyDescent="0.25">
      <c r="A4667" s="16">
        <v>12189</v>
      </c>
      <c r="B4667" s="1">
        <v>1</v>
      </c>
      <c r="C4667" s="1">
        <v>1</v>
      </c>
      <c r="D4667" s="1">
        <v>8.8000000000000007</v>
      </c>
    </row>
    <row r="4668" spans="1:4" x14ac:dyDescent="0.25">
      <c r="A4668" s="16">
        <v>12190</v>
      </c>
      <c r="B4668" s="1">
        <v>1</v>
      </c>
      <c r="C4668" s="1">
        <v>1</v>
      </c>
      <c r="D4668" s="1">
        <v>11.2</v>
      </c>
    </row>
    <row r="4669" spans="1:4" x14ac:dyDescent="0.25">
      <c r="A4669" s="16">
        <v>12191</v>
      </c>
      <c r="B4669" s="1">
        <v>1</v>
      </c>
      <c r="C4669" s="1">
        <v>2</v>
      </c>
      <c r="D4669" s="1">
        <v>4.8</v>
      </c>
    </row>
    <row r="4670" spans="1:4" x14ac:dyDescent="0.25">
      <c r="A4670" s="16">
        <v>12192</v>
      </c>
      <c r="B4670" s="1">
        <v>1</v>
      </c>
      <c r="C4670" s="1">
        <v>1</v>
      </c>
      <c r="D4670" s="1">
        <v>10</v>
      </c>
    </row>
    <row r="4671" spans="1:4" x14ac:dyDescent="0.25">
      <c r="A4671" s="16">
        <v>12193</v>
      </c>
      <c r="B4671" s="1">
        <v>1</v>
      </c>
      <c r="C4671" s="1">
        <v>1</v>
      </c>
      <c r="D4671" s="1">
        <v>18</v>
      </c>
    </row>
    <row r="4672" spans="1:4" x14ac:dyDescent="0.25">
      <c r="A4672" s="16">
        <v>12194</v>
      </c>
      <c r="B4672" s="1">
        <v>1</v>
      </c>
      <c r="C4672" s="1">
        <v>1</v>
      </c>
      <c r="D4672" s="1">
        <v>28</v>
      </c>
    </row>
    <row r="4673" spans="1:4" x14ac:dyDescent="0.25">
      <c r="A4673" s="16">
        <v>12195</v>
      </c>
      <c r="B4673" s="1">
        <v>1</v>
      </c>
      <c r="C4673" s="1">
        <v>1</v>
      </c>
      <c r="D4673" s="1">
        <v>22</v>
      </c>
    </row>
    <row r="4674" spans="1:4" x14ac:dyDescent="0.25">
      <c r="A4674" s="16">
        <v>12196</v>
      </c>
      <c r="B4674" s="1">
        <v>1</v>
      </c>
      <c r="C4674" s="1">
        <v>1</v>
      </c>
      <c r="D4674" s="1">
        <v>79.64</v>
      </c>
    </row>
    <row r="4675" spans="1:4" x14ac:dyDescent="0.25">
      <c r="A4675" s="16">
        <v>12197</v>
      </c>
      <c r="B4675" s="1">
        <v>1</v>
      </c>
      <c r="C4675" s="1">
        <v>1</v>
      </c>
      <c r="D4675" s="1">
        <v>20</v>
      </c>
    </row>
    <row r="4676" spans="1:4" x14ac:dyDescent="0.25">
      <c r="A4676" s="16">
        <v>12198</v>
      </c>
      <c r="B4676" s="1">
        <v>1</v>
      </c>
      <c r="C4676" s="1">
        <v>1</v>
      </c>
      <c r="D4676" s="1">
        <v>13.6</v>
      </c>
    </row>
    <row r="4677" spans="1:4" x14ac:dyDescent="0.25">
      <c r="A4677" s="16">
        <v>12199</v>
      </c>
      <c r="B4677" s="1">
        <v>1</v>
      </c>
      <c r="C4677" s="1">
        <v>1</v>
      </c>
      <c r="D4677" s="1">
        <v>9.6</v>
      </c>
    </row>
    <row r="4678" spans="1:4" x14ac:dyDescent="0.25">
      <c r="A4678" s="16">
        <v>12200</v>
      </c>
      <c r="B4678" s="1">
        <v>1</v>
      </c>
      <c r="C4678" s="1">
        <v>1</v>
      </c>
      <c r="D4678" s="1">
        <v>36</v>
      </c>
    </row>
    <row r="4679" spans="1:4" x14ac:dyDescent="0.25">
      <c r="A4679" s="16">
        <v>12201</v>
      </c>
      <c r="B4679" s="1">
        <v>1</v>
      </c>
      <c r="C4679" s="1">
        <v>1</v>
      </c>
      <c r="D4679" s="1">
        <v>51.64</v>
      </c>
    </row>
    <row r="4680" spans="1:4" x14ac:dyDescent="0.25">
      <c r="A4680" s="16">
        <v>12202</v>
      </c>
      <c r="B4680" s="1">
        <v>1</v>
      </c>
      <c r="C4680" s="1">
        <v>1</v>
      </c>
      <c r="D4680" s="1">
        <v>36</v>
      </c>
    </row>
    <row r="4681" spans="1:4" x14ac:dyDescent="0.25">
      <c r="A4681" s="16">
        <v>12203</v>
      </c>
      <c r="B4681" s="1">
        <v>1</v>
      </c>
      <c r="C4681" s="1">
        <v>1</v>
      </c>
      <c r="D4681" s="1">
        <v>8</v>
      </c>
    </row>
    <row r="4682" spans="1:4" x14ac:dyDescent="0.25">
      <c r="A4682" s="16">
        <v>12204</v>
      </c>
      <c r="B4682" s="1">
        <v>1</v>
      </c>
      <c r="C4682" s="1">
        <v>1</v>
      </c>
      <c r="D4682" s="1">
        <v>4</v>
      </c>
    </row>
    <row r="4683" spans="1:4" x14ac:dyDescent="0.25">
      <c r="A4683" s="16">
        <v>12205</v>
      </c>
      <c r="B4683" s="1">
        <v>1</v>
      </c>
      <c r="C4683" s="1">
        <v>4</v>
      </c>
      <c r="D4683" s="1">
        <v>7.36</v>
      </c>
    </row>
    <row r="4684" spans="1:4" x14ac:dyDescent="0.25">
      <c r="A4684" s="16">
        <v>12206</v>
      </c>
      <c r="B4684" s="1">
        <v>1</v>
      </c>
      <c r="C4684" s="1">
        <v>1</v>
      </c>
      <c r="D4684" s="1">
        <v>10</v>
      </c>
    </row>
    <row r="4685" spans="1:4" x14ac:dyDescent="0.25">
      <c r="A4685" s="16">
        <v>12207</v>
      </c>
      <c r="B4685" s="1">
        <v>1</v>
      </c>
      <c r="C4685" s="1">
        <v>1</v>
      </c>
      <c r="D4685" s="1">
        <v>37.6</v>
      </c>
    </row>
    <row r="4686" spans="1:4" x14ac:dyDescent="0.25">
      <c r="A4686" s="16">
        <v>12208</v>
      </c>
      <c r="B4686" s="1">
        <v>1</v>
      </c>
      <c r="C4686" s="1">
        <v>1</v>
      </c>
      <c r="D4686" s="1">
        <v>6.4</v>
      </c>
    </row>
    <row r="4687" spans="1:4" x14ac:dyDescent="0.25">
      <c r="A4687" s="16">
        <v>12209</v>
      </c>
      <c r="B4687" s="1">
        <v>1</v>
      </c>
      <c r="C4687" s="1">
        <v>1</v>
      </c>
      <c r="D4687" s="1">
        <v>8</v>
      </c>
    </row>
    <row r="4688" spans="1:4" x14ac:dyDescent="0.25">
      <c r="A4688" s="16">
        <v>12210</v>
      </c>
      <c r="B4688" s="1">
        <v>2</v>
      </c>
      <c r="C4688" s="1">
        <v>3</v>
      </c>
      <c r="D4688" s="1">
        <v>15.2</v>
      </c>
    </row>
    <row r="4689" spans="1:4" x14ac:dyDescent="0.25">
      <c r="A4689" s="16">
        <v>12211</v>
      </c>
      <c r="B4689" s="1">
        <v>1</v>
      </c>
      <c r="C4689" s="1">
        <v>1</v>
      </c>
      <c r="D4689" s="1">
        <v>59.64</v>
      </c>
    </row>
    <row r="4690" spans="1:4" x14ac:dyDescent="0.25">
      <c r="A4690" s="16">
        <v>12212</v>
      </c>
      <c r="B4690" s="1">
        <v>1</v>
      </c>
      <c r="C4690" s="1">
        <v>1</v>
      </c>
      <c r="D4690" s="1">
        <v>28</v>
      </c>
    </row>
    <row r="4691" spans="1:4" x14ac:dyDescent="0.25">
      <c r="A4691" s="16">
        <v>12213</v>
      </c>
      <c r="B4691" s="1">
        <v>1</v>
      </c>
      <c r="C4691" s="1">
        <v>1</v>
      </c>
      <c r="D4691" s="1">
        <v>20</v>
      </c>
    </row>
    <row r="4692" spans="1:4" x14ac:dyDescent="0.25">
      <c r="A4692" s="16">
        <v>12214</v>
      </c>
      <c r="B4692" s="1">
        <v>1</v>
      </c>
      <c r="C4692" s="1">
        <v>1</v>
      </c>
      <c r="D4692" s="1">
        <v>11.6</v>
      </c>
    </row>
    <row r="4693" spans="1:4" x14ac:dyDescent="0.25">
      <c r="A4693" s="16">
        <v>12215</v>
      </c>
      <c r="B4693" s="1">
        <v>1</v>
      </c>
      <c r="C4693" s="1">
        <v>1</v>
      </c>
      <c r="D4693" s="1">
        <v>18</v>
      </c>
    </row>
    <row r="4694" spans="1:4" x14ac:dyDescent="0.25">
      <c r="A4694" s="16">
        <v>12216</v>
      </c>
      <c r="B4694" s="1">
        <v>1</v>
      </c>
      <c r="C4694" s="1">
        <v>2</v>
      </c>
      <c r="D4694" s="1">
        <v>27.2</v>
      </c>
    </row>
    <row r="4695" spans="1:4" x14ac:dyDescent="0.25">
      <c r="A4695" s="16">
        <v>12217</v>
      </c>
      <c r="B4695" s="1">
        <v>1</v>
      </c>
      <c r="C4695" s="1">
        <v>4</v>
      </c>
      <c r="D4695" s="1">
        <v>7.36</v>
      </c>
    </row>
    <row r="4696" spans="1:4" x14ac:dyDescent="0.25">
      <c r="A4696" s="16">
        <v>12218</v>
      </c>
      <c r="B4696" s="1">
        <v>1</v>
      </c>
      <c r="C4696" s="1">
        <v>3</v>
      </c>
      <c r="D4696" s="1">
        <v>8.3999999999999986</v>
      </c>
    </row>
    <row r="4697" spans="1:4" x14ac:dyDescent="0.25">
      <c r="A4697" s="16">
        <v>12219</v>
      </c>
      <c r="B4697" s="1">
        <v>1</v>
      </c>
      <c r="C4697" s="1">
        <v>2</v>
      </c>
      <c r="D4697" s="1">
        <v>12</v>
      </c>
    </row>
    <row r="4698" spans="1:4" x14ac:dyDescent="0.25">
      <c r="A4698" s="16">
        <v>12220</v>
      </c>
      <c r="B4698" s="1">
        <v>1</v>
      </c>
      <c r="C4698" s="1">
        <v>1</v>
      </c>
      <c r="D4698" s="1">
        <v>8.8000000000000007</v>
      </c>
    </row>
    <row r="4699" spans="1:4" x14ac:dyDescent="0.25">
      <c r="A4699" s="16">
        <v>12221</v>
      </c>
      <c r="B4699" s="1">
        <v>1</v>
      </c>
      <c r="C4699" s="1">
        <v>1</v>
      </c>
      <c r="D4699" s="1">
        <v>42</v>
      </c>
    </row>
    <row r="4700" spans="1:4" x14ac:dyDescent="0.25">
      <c r="A4700" s="16">
        <v>12222</v>
      </c>
      <c r="B4700" s="1">
        <v>1</v>
      </c>
      <c r="C4700" s="1">
        <v>2</v>
      </c>
      <c r="D4700" s="1">
        <v>18.399999999999999</v>
      </c>
    </row>
    <row r="4701" spans="1:4" x14ac:dyDescent="0.25">
      <c r="A4701" s="16">
        <v>12223</v>
      </c>
      <c r="B4701" s="1">
        <v>1</v>
      </c>
      <c r="C4701" s="1">
        <v>1</v>
      </c>
      <c r="D4701" s="1">
        <v>20</v>
      </c>
    </row>
    <row r="4702" spans="1:4" x14ac:dyDescent="0.25">
      <c r="A4702" s="16">
        <v>12224</v>
      </c>
      <c r="B4702" s="1">
        <v>1</v>
      </c>
      <c r="C4702" s="1">
        <v>1</v>
      </c>
      <c r="D4702" s="1">
        <v>11.2</v>
      </c>
    </row>
    <row r="4703" spans="1:4" x14ac:dyDescent="0.25">
      <c r="A4703" s="16">
        <v>12225</v>
      </c>
      <c r="B4703" s="1">
        <v>1</v>
      </c>
      <c r="C4703" s="1">
        <v>1</v>
      </c>
      <c r="D4703" s="1">
        <v>20</v>
      </c>
    </row>
    <row r="4704" spans="1:4" x14ac:dyDescent="0.25">
      <c r="A4704" s="16">
        <v>12226</v>
      </c>
      <c r="B4704" s="1">
        <v>1</v>
      </c>
      <c r="C4704" s="1">
        <v>3</v>
      </c>
      <c r="D4704" s="1">
        <v>6</v>
      </c>
    </row>
    <row r="4705" spans="1:4" x14ac:dyDescent="0.25">
      <c r="A4705" s="16">
        <v>12227</v>
      </c>
      <c r="B4705" s="1">
        <v>1</v>
      </c>
      <c r="C4705" s="1">
        <v>1</v>
      </c>
      <c r="D4705" s="1">
        <v>8</v>
      </c>
    </row>
    <row r="4706" spans="1:4" x14ac:dyDescent="0.25">
      <c r="A4706" s="16">
        <v>12228</v>
      </c>
      <c r="B4706" s="1">
        <v>1</v>
      </c>
      <c r="C4706" s="1">
        <v>1</v>
      </c>
      <c r="D4706" s="1">
        <v>40</v>
      </c>
    </row>
    <row r="4707" spans="1:4" x14ac:dyDescent="0.25">
      <c r="A4707" s="16">
        <v>12229</v>
      </c>
      <c r="B4707" s="1">
        <v>1</v>
      </c>
      <c r="C4707" s="1">
        <v>1</v>
      </c>
      <c r="D4707" s="1">
        <v>7.6</v>
      </c>
    </row>
    <row r="4708" spans="1:4" x14ac:dyDescent="0.25">
      <c r="A4708" s="16">
        <v>12230</v>
      </c>
      <c r="B4708" s="1">
        <v>1</v>
      </c>
      <c r="C4708" s="1">
        <v>1</v>
      </c>
      <c r="D4708" s="1">
        <v>20</v>
      </c>
    </row>
    <row r="4709" spans="1:4" x14ac:dyDescent="0.25">
      <c r="A4709" s="16">
        <v>12231</v>
      </c>
      <c r="B4709" s="1">
        <v>1</v>
      </c>
      <c r="C4709" s="1">
        <v>1</v>
      </c>
      <c r="D4709" s="1">
        <v>51.64</v>
      </c>
    </row>
    <row r="4710" spans="1:4" x14ac:dyDescent="0.25">
      <c r="A4710" s="16">
        <v>12232</v>
      </c>
      <c r="B4710" s="1">
        <v>1</v>
      </c>
      <c r="C4710" s="1">
        <v>1</v>
      </c>
      <c r="D4710" s="1">
        <v>8</v>
      </c>
    </row>
    <row r="4711" spans="1:4" x14ac:dyDescent="0.25">
      <c r="A4711" s="16">
        <v>12233</v>
      </c>
      <c r="B4711" s="1">
        <v>1</v>
      </c>
      <c r="C4711" s="1">
        <v>1</v>
      </c>
      <c r="D4711" s="1">
        <v>10</v>
      </c>
    </row>
    <row r="4712" spans="1:4" x14ac:dyDescent="0.25">
      <c r="A4712" s="16">
        <v>12234</v>
      </c>
      <c r="B4712" s="1">
        <v>1</v>
      </c>
      <c r="C4712" s="1">
        <v>2</v>
      </c>
      <c r="D4712" s="1">
        <v>4.8</v>
      </c>
    </row>
    <row r="4713" spans="1:4" x14ac:dyDescent="0.25">
      <c r="A4713" s="16">
        <v>12235</v>
      </c>
      <c r="B4713" s="1">
        <v>1</v>
      </c>
      <c r="C4713" s="1">
        <v>1</v>
      </c>
      <c r="D4713" s="1">
        <v>13.6</v>
      </c>
    </row>
    <row r="4714" spans="1:4" x14ac:dyDescent="0.25">
      <c r="A4714" s="16">
        <v>12236</v>
      </c>
      <c r="B4714" s="1">
        <v>1</v>
      </c>
      <c r="C4714" s="1">
        <v>3</v>
      </c>
      <c r="D4714" s="1">
        <v>5.5200000000000005</v>
      </c>
    </row>
    <row r="4715" spans="1:4" x14ac:dyDescent="0.25">
      <c r="A4715" s="16">
        <v>12237</v>
      </c>
      <c r="B4715" s="1">
        <v>1</v>
      </c>
      <c r="C4715" s="1">
        <v>1</v>
      </c>
      <c r="D4715" s="1">
        <v>4</v>
      </c>
    </row>
    <row r="4716" spans="1:4" x14ac:dyDescent="0.25">
      <c r="A4716" s="16">
        <v>12238</v>
      </c>
      <c r="B4716" s="1">
        <v>1</v>
      </c>
      <c r="C4716" s="1">
        <v>4</v>
      </c>
      <c r="D4716" s="1">
        <v>8</v>
      </c>
    </row>
    <row r="4717" spans="1:4" x14ac:dyDescent="0.25">
      <c r="A4717" s="16">
        <v>12239</v>
      </c>
      <c r="B4717" s="1">
        <v>1</v>
      </c>
      <c r="C4717" s="1">
        <v>1</v>
      </c>
      <c r="D4717" s="1">
        <v>8</v>
      </c>
    </row>
    <row r="4718" spans="1:4" x14ac:dyDescent="0.25">
      <c r="A4718" s="16">
        <v>12240</v>
      </c>
      <c r="B4718" s="1">
        <v>1</v>
      </c>
      <c r="C4718" s="1">
        <v>2</v>
      </c>
      <c r="D4718" s="1">
        <v>4.8</v>
      </c>
    </row>
    <row r="4719" spans="1:4" x14ac:dyDescent="0.25">
      <c r="A4719" s="16">
        <v>12241</v>
      </c>
      <c r="B4719" s="1">
        <v>1</v>
      </c>
      <c r="C4719" s="1">
        <v>1</v>
      </c>
      <c r="D4719" s="1">
        <v>59.64</v>
      </c>
    </row>
    <row r="4720" spans="1:4" x14ac:dyDescent="0.25">
      <c r="A4720" s="16">
        <v>12242</v>
      </c>
      <c r="B4720" s="1">
        <v>1</v>
      </c>
      <c r="C4720" s="1">
        <v>1</v>
      </c>
      <c r="D4720" s="1">
        <v>18</v>
      </c>
    </row>
    <row r="4721" spans="1:4" x14ac:dyDescent="0.25">
      <c r="A4721" s="16">
        <v>12243</v>
      </c>
      <c r="B4721" s="1">
        <v>1</v>
      </c>
      <c r="C4721" s="1">
        <v>1</v>
      </c>
      <c r="D4721" s="1">
        <v>51.64</v>
      </c>
    </row>
    <row r="4722" spans="1:4" x14ac:dyDescent="0.25">
      <c r="A4722" s="16">
        <v>12244</v>
      </c>
      <c r="B4722" s="1">
        <v>1</v>
      </c>
      <c r="C4722" s="1">
        <v>1</v>
      </c>
      <c r="D4722" s="1">
        <v>22</v>
      </c>
    </row>
    <row r="4723" spans="1:4" x14ac:dyDescent="0.25">
      <c r="A4723" s="16">
        <v>12245</v>
      </c>
      <c r="B4723" s="1">
        <v>1</v>
      </c>
      <c r="C4723" s="1">
        <v>1</v>
      </c>
      <c r="D4723" s="1">
        <v>18.8</v>
      </c>
    </row>
    <row r="4724" spans="1:4" x14ac:dyDescent="0.25">
      <c r="A4724" s="16">
        <v>12246</v>
      </c>
      <c r="B4724" s="1">
        <v>1</v>
      </c>
      <c r="C4724" s="1">
        <v>1</v>
      </c>
      <c r="D4724" s="1">
        <v>26</v>
      </c>
    </row>
    <row r="4725" spans="1:4" x14ac:dyDescent="0.25">
      <c r="A4725" s="16">
        <v>12247</v>
      </c>
      <c r="B4725" s="1">
        <v>1</v>
      </c>
      <c r="C4725" s="1">
        <v>1</v>
      </c>
      <c r="D4725" s="1">
        <v>28</v>
      </c>
    </row>
    <row r="4726" spans="1:4" x14ac:dyDescent="0.25">
      <c r="A4726" s="16">
        <v>12248</v>
      </c>
      <c r="B4726" s="1">
        <v>1</v>
      </c>
      <c r="C4726" s="1">
        <v>1</v>
      </c>
      <c r="D4726" s="1">
        <v>7.6</v>
      </c>
    </row>
    <row r="4727" spans="1:4" x14ac:dyDescent="0.25">
      <c r="A4727" s="16">
        <v>12249</v>
      </c>
      <c r="B4727" s="1">
        <v>1</v>
      </c>
      <c r="C4727" s="1">
        <v>2</v>
      </c>
      <c r="D4727" s="1">
        <v>15.2</v>
      </c>
    </row>
    <row r="4728" spans="1:4" x14ac:dyDescent="0.25">
      <c r="A4728" s="16">
        <v>12250</v>
      </c>
      <c r="B4728" s="1">
        <v>1</v>
      </c>
      <c r="C4728" s="1">
        <v>1</v>
      </c>
      <c r="D4728" s="1">
        <v>8.8000000000000007</v>
      </c>
    </row>
    <row r="4729" spans="1:4" x14ac:dyDescent="0.25">
      <c r="A4729" s="16">
        <v>12251</v>
      </c>
      <c r="B4729" s="1">
        <v>1</v>
      </c>
      <c r="C4729" s="1">
        <v>1</v>
      </c>
      <c r="D4729" s="1">
        <v>5.2</v>
      </c>
    </row>
    <row r="4730" spans="1:4" x14ac:dyDescent="0.25">
      <c r="A4730" s="16">
        <v>12252</v>
      </c>
      <c r="B4730" s="1">
        <v>1</v>
      </c>
      <c r="C4730" s="1">
        <v>3</v>
      </c>
      <c r="D4730" s="1">
        <v>8.3999999999999986</v>
      </c>
    </row>
    <row r="4731" spans="1:4" x14ac:dyDescent="0.25">
      <c r="A4731" s="16">
        <v>12253</v>
      </c>
      <c r="B4731" s="1">
        <v>1</v>
      </c>
      <c r="C4731" s="1">
        <v>1</v>
      </c>
      <c r="D4731" s="1">
        <v>6</v>
      </c>
    </row>
    <row r="4732" spans="1:4" x14ac:dyDescent="0.25">
      <c r="A4732" s="16">
        <v>12254</v>
      </c>
      <c r="B4732" s="1">
        <v>1</v>
      </c>
      <c r="C4732" s="1">
        <v>1</v>
      </c>
      <c r="D4732" s="1">
        <v>10</v>
      </c>
    </row>
    <row r="4733" spans="1:4" x14ac:dyDescent="0.25">
      <c r="A4733" s="16">
        <v>12255</v>
      </c>
      <c r="B4733" s="1">
        <v>1</v>
      </c>
      <c r="C4733" s="1">
        <v>1</v>
      </c>
      <c r="D4733" s="1">
        <v>9.6</v>
      </c>
    </row>
    <row r="4734" spans="1:4" x14ac:dyDescent="0.25">
      <c r="A4734" s="16">
        <v>12256</v>
      </c>
      <c r="B4734" s="1">
        <v>1</v>
      </c>
      <c r="C4734" s="1">
        <v>1</v>
      </c>
      <c r="D4734" s="1">
        <v>37.6</v>
      </c>
    </row>
    <row r="4735" spans="1:4" x14ac:dyDescent="0.25">
      <c r="A4735" s="16">
        <v>12257</v>
      </c>
      <c r="B4735" s="1">
        <v>1</v>
      </c>
      <c r="C4735" s="1">
        <v>1</v>
      </c>
      <c r="D4735" s="1">
        <v>79.64</v>
      </c>
    </row>
    <row r="4736" spans="1:4" x14ac:dyDescent="0.25">
      <c r="A4736" s="16">
        <v>12258</v>
      </c>
      <c r="B4736" s="1">
        <v>1</v>
      </c>
      <c r="C4736" s="1">
        <v>1</v>
      </c>
      <c r="D4736" s="1">
        <v>13.6</v>
      </c>
    </row>
    <row r="4737" spans="1:4" x14ac:dyDescent="0.25">
      <c r="A4737" s="16">
        <v>12259</v>
      </c>
      <c r="B4737" s="1">
        <v>1</v>
      </c>
      <c r="C4737" s="1">
        <v>1</v>
      </c>
      <c r="D4737" s="1">
        <v>42</v>
      </c>
    </row>
    <row r="4738" spans="1:4" x14ac:dyDescent="0.25">
      <c r="A4738" s="16">
        <v>12260</v>
      </c>
      <c r="B4738" s="1">
        <v>1</v>
      </c>
      <c r="C4738" s="1">
        <v>1</v>
      </c>
      <c r="D4738" s="1">
        <v>36</v>
      </c>
    </row>
    <row r="4739" spans="1:4" x14ac:dyDescent="0.25">
      <c r="A4739" s="16">
        <v>12261</v>
      </c>
      <c r="B4739" s="1">
        <v>1</v>
      </c>
      <c r="C4739" s="1">
        <v>1</v>
      </c>
      <c r="D4739" s="1">
        <v>59.64</v>
      </c>
    </row>
    <row r="4740" spans="1:4" x14ac:dyDescent="0.25">
      <c r="A4740" s="16">
        <v>12262</v>
      </c>
      <c r="B4740" s="1">
        <v>1</v>
      </c>
      <c r="C4740" s="1">
        <v>1</v>
      </c>
      <c r="D4740" s="1">
        <v>59.64</v>
      </c>
    </row>
    <row r="4741" spans="1:4" x14ac:dyDescent="0.25">
      <c r="A4741" s="16">
        <v>12263</v>
      </c>
      <c r="B4741" s="1">
        <v>1</v>
      </c>
      <c r="C4741" s="1">
        <v>1</v>
      </c>
      <c r="D4741" s="1">
        <v>11.6</v>
      </c>
    </row>
    <row r="4742" spans="1:4" x14ac:dyDescent="0.25">
      <c r="A4742" s="16">
        <v>12264</v>
      </c>
      <c r="B4742" s="1">
        <v>1</v>
      </c>
      <c r="C4742" s="1">
        <v>1</v>
      </c>
      <c r="D4742" s="1">
        <v>22</v>
      </c>
    </row>
    <row r="4743" spans="1:4" x14ac:dyDescent="0.25">
      <c r="A4743" s="16">
        <v>12265</v>
      </c>
      <c r="B4743" s="1">
        <v>1</v>
      </c>
      <c r="C4743" s="1">
        <v>1</v>
      </c>
      <c r="D4743" s="1">
        <v>20</v>
      </c>
    </row>
    <row r="4744" spans="1:4" x14ac:dyDescent="0.25">
      <c r="A4744" s="16">
        <v>12266</v>
      </c>
      <c r="B4744" s="1">
        <v>1</v>
      </c>
      <c r="C4744" s="1">
        <v>2</v>
      </c>
      <c r="D4744" s="1">
        <v>9.6</v>
      </c>
    </row>
    <row r="4745" spans="1:4" x14ac:dyDescent="0.25">
      <c r="A4745" s="16">
        <v>12267</v>
      </c>
      <c r="B4745" s="1">
        <v>1</v>
      </c>
      <c r="C4745" s="1">
        <v>1</v>
      </c>
      <c r="D4745" s="1">
        <v>11.2</v>
      </c>
    </row>
    <row r="4746" spans="1:4" x14ac:dyDescent="0.25">
      <c r="A4746" s="16">
        <v>12268</v>
      </c>
      <c r="B4746" s="1">
        <v>1</v>
      </c>
      <c r="C4746" s="1">
        <v>1</v>
      </c>
      <c r="D4746" s="1">
        <v>19.600000000000001</v>
      </c>
    </row>
    <row r="4747" spans="1:4" x14ac:dyDescent="0.25">
      <c r="A4747" s="16">
        <v>12269</v>
      </c>
      <c r="B4747" s="1">
        <v>1</v>
      </c>
      <c r="C4747" s="1">
        <v>1</v>
      </c>
      <c r="D4747" s="1">
        <v>20.8</v>
      </c>
    </row>
    <row r="4748" spans="1:4" x14ac:dyDescent="0.25">
      <c r="A4748" s="16">
        <v>12270</v>
      </c>
      <c r="B4748" s="1">
        <v>1</v>
      </c>
      <c r="C4748" s="1">
        <v>1</v>
      </c>
      <c r="D4748" s="1">
        <v>7.6</v>
      </c>
    </row>
    <row r="4749" spans="1:4" x14ac:dyDescent="0.25">
      <c r="A4749" s="16">
        <v>12271</v>
      </c>
      <c r="B4749" s="1">
        <v>1</v>
      </c>
      <c r="C4749" s="1">
        <v>1</v>
      </c>
      <c r="D4749" s="1">
        <v>40</v>
      </c>
    </row>
    <row r="4750" spans="1:4" x14ac:dyDescent="0.25">
      <c r="A4750" s="16">
        <v>12272</v>
      </c>
      <c r="B4750" s="1">
        <v>1</v>
      </c>
      <c r="C4750" s="1">
        <v>1</v>
      </c>
      <c r="D4750" s="1">
        <v>10</v>
      </c>
    </row>
    <row r="4751" spans="1:4" x14ac:dyDescent="0.25">
      <c r="A4751" s="16">
        <v>12273</v>
      </c>
      <c r="B4751" s="1">
        <v>1</v>
      </c>
      <c r="C4751" s="1">
        <v>1</v>
      </c>
      <c r="D4751" s="1">
        <v>4</v>
      </c>
    </row>
    <row r="4752" spans="1:4" x14ac:dyDescent="0.25">
      <c r="A4752" s="16">
        <v>12274</v>
      </c>
      <c r="B4752" s="1">
        <v>1</v>
      </c>
      <c r="C4752" s="1">
        <v>1</v>
      </c>
      <c r="D4752" s="1">
        <v>8</v>
      </c>
    </row>
    <row r="4753" spans="1:4" x14ac:dyDescent="0.25">
      <c r="A4753" s="16">
        <v>12275</v>
      </c>
      <c r="B4753" s="1">
        <v>1</v>
      </c>
      <c r="C4753" s="1">
        <v>1</v>
      </c>
      <c r="D4753" s="1">
        <v>9.6</v>
      </c>
    </row>
    <row r="4754" spans="1:4" x14ac:dyDescent="0.25">
      <c r="A4754" s="16">
        <v>12276</v>
      </c>
      <c r="B4754" s="1">
        <v>1</v>
      </c>
      <c r="C4754" s="1">
        <v>1</v>
      </c>
      <c r="D4754" s="1">
        <v>35.200000000000003</v>
      </c>
    </row>
    <row r="4755" spans="1:4" x14ac:dyDescent="0.25">
      <c r="A4755" s="16">
        <v>12277</v>
      </c>
      <c r="B4755" s="1">
        <v>1</v>
      </c>
      <c r="C4755" s="1">
        <v>1</v>
      </c>
      <c r="D4755" s="1">
        <v>7.2</v>
      </c>
    </row>
    <row r="4756" spans="1:4" x14ac:dyDescent="0.25">
      <c r="A4756" s="16">
        <v>12278</v>
      </c>
      <c r="B4756" s="1">
        <v>1</v>
      </c>
      <c r="C4756" s="1">
        <v>1</v>
      </c>
      <c r="D4756" s="1">
        <v>20</v>
      </c>
    </row>
    <row r="4757" spans="1:4" x14ac:dyDescent="0.25">
      <c r="A4757" s="16">
        <v>12279</v>
      </c>
      <c r="B4757" s="1">
        <v>1</v>
      </c>
      <c r="C4757" s="1">
        <v>1</v>
      </c>
      <c r="D4757" s="1">
        <v>7.6</v>
      </c>
    </row>
    <row r="4758" spans="1:4" x14ac:dyDescent="0.25">
      <c r="A4758" s="16">
        <v>12280</v>
      </c>
      <c r="B4758" s="1">
        <v>1</v>
      </c>
      <c r="C4758" s="1">
        <v>1</v>
      </c>
      <c r="D4758" s="1">
        <v>8</v>
      </c>
    </row>
    <row r="4759" spans="1:4" x14ac:dyDescent="0.25">
      <c r="A4759" s="16">
        <v>12281</v>
      </c>
      <c r="B4759" s="1">
        <v>1</v>
      </c>
      <c r="C4759" s="1">
        <v>1</v>
      </c>
      <c r="D4759" s="1">
        <v>2.4</v>
      </c>
    </row>
    <row r="4760" spans="1:4" x14ac:dyDescent="0.25">
      <c r="A4760" s="16">
        <v>12282</v>
      </c>
      <c r="B4760" s="1">
        <v>1</v>
      </c>
      <c r="C4760" s="1">
        <v>1</v>
      </c>
      <c r="D4760" s="1">
        <v>51.64</v>
      </c>
    </row>
    <row r="4761" spans="1:4" x14ac:dyDescent="0.25">
      <c r="A4761" s="16">
        <v>12283</v>
      </c>
      <c r="B4761" s="1">
        <v>1</v>
      </c>
      <c r="C4761" s="1">
        <v>1</v>
      </c>
      <c r="D4761" s="1">
        <v>11.6</v>
      </c>
    </row>
    <row r="4762" spans="1:4" x14ac:dyDescent="0.25">
      <c r="A4762" s="16">
        <v>12284</v>
      </c>
      <c r="B4762" s="1">
        <v>1</v>
      </c>
      <c r="C4762" s="1">
        <v>2</v>
      </c>
      <c r="D4762" s="1">
        <v>4</v>
      </c>
    </row>
    <row r="4763" spans="1:4" x14ac:dyDescent="0.25">
      <c r="A4763" s="16">
        <v>12285</v>
      </c>
      <c r="B4763" s="1">
        <v>1</v>
      </c>
      <c r="C4763" s="1">
        <v>1</v>
      </c>
      <c r="D4763" s="1">
        <v>36</v>
      </c>
    </row>
    <row r="4764" spans="1:4" x14ac:dyDescent="0.25">
      <c r="A4764" s="16">
        <v>12286</v>
      </c>
      <c r="B4764" s="1">
        <v>1</v>
      </c>
      <c r="C4764" s="1">
        <v>1</v>
      </c>
      <c r="D4764" s="1">
        <v>7.6</v>
      </c>
    </row>
    <row r="4765" spans="1:4" x14ac:dyDescent="0.25">
      <c r="A4765" s="16">
        <v>12287</v>
      </c>
      <c r="B4765" s="1">
        <v>1</v>
      </c>
      <c r="C4765" s="1">
        <v>1</v>
      </c>
      <c r="D4765" s="1">
        <v>51.64</v>
      </c>
    </row>
    <row r="4766" spans="1:4" x14ac:dyDescent="0.25">
      <c r="A4766" s="16">
        <v>12288</v>
      </c>
      <c r="B4766" s="1">
        <v>1</v>
      </c>
      <c r="C4766" s="1">
        <v>1</v>
      </c>
      <c r="D4766" s="1">
        <v>51.64</v>
      </c>
    </row>
    <row r="4767" spans="1:4" x14ac:dyDescent="0.25">
      <c r="A4767" s="16">
        <v>12289</v>
      </c>
      <c r="B4767" s="1">
        <v>1</v>
      </c>
      <c r="C4767" s="1">
        <v>1</v>
      </c>
      <c r="D4767" s="1">
        <v>20</v>
      </c>
    </row>
    <row r="4768" spans="1:4" x14ac:dyDescent="0.25">
      <c r="A4768" s="16">
        <v>12290</v>
      </c>
      <c r="B4768" s="1">
        <v>1</v>
      </c>
      <c r="C4768" s="1">
        <v>1</v>
      </c>
      <c r="D4768" s="1">
        <v>8.8000000000000007</v>
      </c>
    </row>
    <row r="4769" spans="1:4" x14ac:dyDescent="0.25">
      <c r="A4769" s="16">
        <v>12291</v>
      </c>
      <c r="B4769" s="1">
        <v>1</v>
      </c>
      <c r="C4769" s="1">
        <v>1</v>
      </c>
      <c r="D4769" s="1">
        <v>18</v>
      </c>
    </row>
    <row r="4770" spans="1:4" x14ac:dyDescent="0.25">
      <c r="A4770" s="16">
        <v>12292</v>
      </c>
      <c r="B4770" s="1">
        <v>1</v>
      </c>
      <c r="C4770" s="1">
        <v>1</v>
      </c>
      <c r="D4770" s="1">
        <v>42</v>
      </c>
    </row>
    <row r="4771" spans="1:4" x14ac:dyDescent="0.25">
      <c r="A4771" s="16">
        <v>12293</v>
      </c>
      <c r="B4771" s="1">
        <v>1</v>
      </c>
      <c r="C4771" s="1">
        <v>1</v>
      </c>
      <c r="D4771" s="1">
        <v>4</v>
      </c>
    </row>
    <row r="4772" spans="1:4" x14ac:dyDescent="0.25">
      <c r="A4772" s="16">
        <v>12294</v>
      </c>
      <c r="B4772" s="1">
        <v>1</v>
      </c>
      <c r="C4772" s="1">
        <v>1</v>
      </c>
      <c r="D4772" s="1">
        <v>7.6</v>
      </c>
    </row>
    <row r="4773" spans="1:4" x14ac:dyDescent="0.25">
      <c r="A4773" s="16">
        <v>12295</v>
      </c>
      <c r="B4773" s="1">
        <v>1</v>
      </c>
      <c r="C4773" s="1">
        <v>1</v>
      </c>
      <c r="D4773" s="1">
        <v>11.2</v>
      </c>
    </row>
    <row r="4774" spans="1:4" x14ac:dyDescent="0.25">
      <c r="A4774" s="16">
        <v>12296</v>
      </c>
      <c r="B4774" s="1">
        <v>1</v>
      </c>
      <c r="C4774" s="1">
        <v>1</v>
      </c>
      <c r="D4774" s="1">
        <v>8</v>
      </c>
    </row>
    <row r="4775" spans="1:4" x14ac:dyDescent="0.25">
      <c r="A4775" s="16">
        <v>12297</v>
      </c>
      <c r="B4775" s="1">
        <v>1</v>
      </c>
      <c r="C4775" s="1">
        <v>2</v>
      </c>
      <c r="D4775" s="1">
        <v>19.2</v>
      </c>
    </row>
    <row r="4776" spans="1:4" x14ac:dyDescent="0.25">
      <c r="A4776" s="16">
        <v>12298</v>
      </c>
      <c r="B4776" s="1">
        <v>1</v>
      </c>
      <c r="C4776" s="1">
        <v>1</v>
      </c>
      <c r="D4776" s="1">
        <v>26</v>
      </c>
    </row>
    <row r="4777" spans="1:4" x14ac:dyDescent="0.25">
      <c r="A4777" s="16">
        <v>12299</v>
      </c>
      <c r="B4777" s="1">
        <v>1</v>
      </c>
      <c r="C4777" s="1">
        <v>1</v>
      </c>
      <c r="D4777" s="1">
        <v>13.6</v>
      </c>
    </row>
    <row r="4778" spans="1:4" x14ac:dyDescent="0.25">
      <c r="A4778" s="16">
        <v>12300</v>
      </c>
      <c r="B4778" s="1">
        <v>1</v>
      </c>
      <c r="C4778" s="1">
        <v>1</v>
      </c>
      <c r="D4778" s="1">
        <v>14</v>
      </c>
    </row>
    <row r="4779" spans="1:4" x14ac:dyDescent="0.25">
      <c r="A4779" s="16">
        <v>12301</v>
      </c>
      <c r="B4779" s="1">
        <v>1</v>
      </c>
      <c r="C4779" s="1">
        <v>1</v>
      </c>
      <c r="D4779" s="1">
        <v>51.64</v>
      </c>
    </row>
    <row r="4780" spans="1:4" x14ac:dyDescent="0.25">
      <c r="A4780" s="16">
        <v>12302</v>
      </c>
      <c r="B4780" s="1">
        <v>1</v>
      </c>
      <c r="C4780" s="1">
        <v>1</v>
      </c>
      <c r="D4780" s="1">
        <v>6</v>
      </c>
    </row>
    <row r="4781" spans="1:4" x14ac:dyDescent="0.25">
      <c r="A4781" s="16">
        <v>12303</v>
      </c>
      <c r="B4781" s="1">
        <v>1</v>
      </c>
      <c r="C4781" s="1">
        <v>1</v>
      </c>
      <c r="D4781" s="1">
        <v>12</v>
      </c>
    </row>
    <row r="4782" spans="1:4" x14ac:dyDescent="0.25">
      <c r="A4782" s="16">
        <v>12304</v>
      </c>
      <c r="B4782" s="1">
        <v>1</v>
      </c>
      <c r="C4782" s="1">
        <v>1</v>
      </c>
      <c r="D4782" s="1">
        <v>8.8000000000000007</v>
      </c>
    </row>
    <row r="4783" spans="1:4" x14ac:dyDescent="0.25">
      <c r="A4783" s="16">
        <v>12305</v>
      </c>
      <c r="B4783" s="1">
        <v>1</v>
      </c>
      <c r="C4783" s="1">
        <v>1</v>
      </c>
      <c r="D4783" s="1">
        <v>10</v>
      </c>
    </row>
    <row r="4784" spans="1:4" x14ac:dyDescent="0.25">
      <c r="A4784" s="16">
        <v>12306</v>
      </c>
      <c r="B4784" s="1">
        <v>1</v>
      </c>
      <c r="C4784" s="1">
        <v>1</v>
      </c>
      <c r="D4784" s="1">
        <v>79.64</v>
      </c>
    </row>
    <row r="4785" spans="1:4" x14ac:dyDescent="0.25">
      <c r="A4785" s="16">
        <v>12307</v>
      </c>
      <c r="B4785" s="1">
        <v>1</v>
      </c>
      <c r="C4785" s="1">
        <v>1</v>
      </c>
      <c r="D4785" s="1">
        <v>43.64</v>
      </c>
    </row>
    <row r="4786" spans="1:4" x14ac:dyDescent="0.25">
      <c r="A4786" s="16">
        <v>12308</v>
      </c>
      <c r="B4786" s="1">
        <v>1</v>
      </c>
      <c r="C4786" s="1">
        <v>3</v>
      </c>
      <c r="D4786" s="1">
        <v>7.1999999999999993</v>
      </c>
    </row>
    <row r="4787" spans="1:4" x14ac:dyDescent="0.25">
      <c r="A4787" s="16">
        <v>12309</v>
      </c>
      <c r="B4787" s="1">
        <v>1</v>
      </c>
      <c r="C4787" s="1">
        <v>1</v>
      </c>
      <c r="D4787" s="1">
        <v>51.64</v>
      </c>
    </row>
    <row r="4788" spans="1:4" x14ac:dyDescent="0.25">
      <c r="A4788" s="16">
        <v>12310</v>
      </c>
      <c r="B4788" s="1">
        <v>1</v>
      </c>
      <c r="C4788" s="1">
        <v>2</v>
      </c>
      <c r="D4788" s="1">
        <v>5.6</v>
      </c>
    </row>
    <row r="4789" spans="1:4" x14ac:dyDescent="0.25">
      <c r="A4789" s="16">
        <v>12311</v>
      </c>
      <c r="B4789" s="1">
        <v>1</v>
      </c>
      <c r="C4789" s="1">
        <v>1</v>
      </c>
      <c r="D4789" s="1">
        <v>11.6</v>
      </c>
    </row>
    <row r="4790" spans="1:4" x14ac:dyDescent="0.25">
      <c r="A4790" s="16">
        <v>12312</v>
      </c>
      <c r="B4790" s="1">
        <v>1</v>
      </c>
      <c r="C4790" s="1">
        <v>1</v>
      </c>
      <c r="D4790" s="1">
        <v>36</v>
      </c>
    </row>
    <row r="4791" spans="1:4" x14ac:dyDescent="0.25">
      <c r="A4791" s="16">
        <v>12313</v>
      </c>
      <c r="B4791" s="1">
        <v>1</v>
      </c>
      <c r="C4791" s="1">
        <v>1</v>
      </c>
      <c r="D4791" s="1">
        <v>59.64</v>
      </c>
    </row>
    <row r="4792" spans="1:4" x14ac:dyDescent="0.25">
      <c r="A4792" s="16">
        <v>12314</v>
      </c>
      <c r="B4792" s="1">
        <v>1</v>
      </c>
      <c r="C4792" s="1">
        <v>1</v>
      </c>
      <c r="D4792" s="1">
        <v>11.2</v>
      </c>
    </row>
    <row r="4793" spans="1:4" x14ac:dyDescent="0.25">
      <c r="A4793" s="16">
        <v>12315</v>
      </c>
      <c r="B4793" s="1">
        <v>1</v>
      </c>
      <c r="C4793" s="1">
        <v>1</v>
      </c>
      <c r="D4793" s="1">
        <v>22</v>
      </c>
    </row>
    <row r="4794" spans="1:4" x14ac:dyDescent="0.25">
      <c r="A4794" s="16">
        <v>12316</v>
      </c>
      <c r="B4794" s="1">
        <v>1</v>
      </c>
      <c r="C4794" s="1">
        <v>1</v>
      </c>
      <c r="D4794" s="1">
        <v>20.8</v>
      </c>
    </row>
    <row r="4795" spans="1:4" x14ac:dyDescent="0.25">
      <c r="A4795" s="16">
        <v>12317</v>
      </c>
      <c r="B4795" s="1">
        <v>1</v>
      </c>
      <c r="C4795" s="1">
        <v>1</v>
      </c>
      <c r="D4795" s="1">
        <v>40</v>
      </c>
    </row>
    <row r="4796" spans="1:4" x14ac:dyDescent="0.25">
      <c r="A4796" s="16">
        <v>12318</v>
      </c>
      <c r="B4796" s="1">
        <v>1</v>
      </c>
      <c r="C4796" s="1">
        <v>1</v>
      </c>
      <c r="D4796" s="1">
        <v>51.64</v>
      </c>
    </row>
    <row r="4797" spans="1:4" x14ac:dyDescent="0.25">
      <c r="A4797" s="16">
        <v>12319</v>
      </c>
      <c r="B4797" s="1">
        <v>1</v>
      </c>
      <c r="C4797" s="1">
        <v>3</v>
      </c>
      <c r="D4797" s="1">
        <v>6</v>
      </c>
    </row>
    <row r="4798" spans="1:4" x14ac:dyDescent="0.25">
      <c r="A4798" s="16">
        <v>12320</v>
      </c>
      <c r="B4798" s="1">
        <v>1</v>
      </c>
      <c r="C4798" s="1">
        <v>2</v>
      </c>
      <c r="D4798" s="1">
        <v>12</v>
      </c>
    </row>
    <row r="4799" spans="1:4" x14ac:dyDescent="0.25">
      <c r="A4799" s="16">
        <v>12321</v>
      </c>
      <c r="B4799" s="1">
        <v>1</v>
      </c>
      <c r="C4799" s="1">
        <v>3</v>
      </c>
      <c r="D4799" s="1">
        <v>8.3999999999999986</v>
      </c>
    </row>
    <row r="4800" spans="1:4" x14ac:dyDescent="0.25">
      <c r="A4800" s="16">
        <v>12322</v>
      </c>
      <c r="B4800" s="1">
        <v>1</v>
      </c>
      <c r="C4800" s="1">
        <v>1</v>
      </c>
      <c r="D4800" s="1">
        <v>19.600000000000001</v>
      </c>
    </row>
    <row r="4801" spans="1:4" x14ac:dyDescent="0.25">
      <c r="A4801" s="16">
        <v>12323</v>
      </c>
      <c r="B4801" s="1">
        <v>1</v>
      </c>
      <c r="C4801" s="1">
        <v>1</v>
      </c>
      <c r="D4801" s="1">
        <v>59.64</v>
      </c>
    </row>
    <row r="4802" spans="1:4" x14ac:dyDescent="0.25">
      <c r="A4802" s="16">
        <v>12324</v>
      </c>
      <c r="B4802" s="1">
        <v>1</v>
      </c>
      <c r="C4802" s="1">
        <v>1</v>
      </c>
      <c r="D4802" s="1">
        <v>18.8</v>
      </c>
    </row>
    <row r="4803" spans="1:4" x14ac:dyDescent="0.25">
      <c r="A4803" s="16">
        <v>12325</v>
      </c>
      <c r="B4803" s="1">
        <v>1</v>
      </c>
      <c r="C4803" s="1">
        <v>1</v>
      </c>
      <c r="D4803" s="1">
        <v>26</v>
      </c>
    </row>
    <row r="4804" spans="1:4" x14ac:dyDescent="0.25">
      <c r="A4804" s="16">
        <v>12326</v>
      </c>
      <c r="B4804" s="1">
        <v>1</v>
      </c>
      <c r="C4804" s="1">
        <v>1</v>
      </c>
      <c r="D4804" s="1">
        <v>22</v>
      </c>
    </row>
    <row r="4805" spans="1:4" x14ac:dyDescent="0.25">
      <c r="A4805" s="16">
        <v>12327</v>
      </c>
      <c r="B4805" s="1">
        <v>1</v>
      </c>
      <c r="C4805" s="1">
        <v>1</v>
      </c>
      <c r="D4805" s="1">
        <v>7.6</v>
      </c>
    </row>
    <row r="4806" spans="1:4" x14ac:dyDescent="0.25">
      <c r="A4806" s="16">
        <v>12328</v>
      </c>
      <c r="B4806" s="1">
        <v>1</v>
      </c>
      <c r="C4806" s="1">
        <v>1</v>
      </c>
      <c r="D4806" s="1">
        <v>8.8000000000000007</v>
      </c>
    </row>
    <row r="4807" spans="1:4" x14ac:dyDescent="0.25">
      <c r="A4807" s="16">
        <v>12329</v>
      </c>
      <c r="B4807" s="1">
        <v>1</v>
      </c>
      <c r="C4807" s="1">
        <v>1</v>
      </c>
      <c r="D4807" s="1">
        <v>20</v>
      </c>
    </row>
    <row r="4808" spans="1:4" x14ac:dyDescent="0.25">
      <c r="A4808" s="16">
        <v>12330</v>
      </c>
      <c r="B4808" s="1">
        <v>1</v>
      </c>
      <c r="C4808" s="1">
        <v>1</v>
      </c>
      <c r="D4808" s="1">
        <v>79.64</v>
      </c>
    </row>
    <row r="4809" spans="1:4" x14ac:dyDescent="0.25">
      <c r="A4809" s="16">
        <v>12331</v>
      </c>
      <c r="B4809" s="1">
        <v>1</v>
      </c>
      <c r="C4809" s="1">
        <v>1</v>
      </c>
      <c r="D4809" s="1">
        <v>37.6</v>
      </c>
    </row>
    <row r="4810" spans="1:4" x14ac:dyDescent="0.25">
      <c r="A4810" s="16">
        <v>12332</v>
      </c>
      <c r="B4810" s="1">
        <v>1</v>
      </c>
      <c r="C4810" s="1">
        <v>1</v>
      </c>
      <c r="D4810" s="1">
        <v>13.6</v>
      </c>
    </row>
    <row r="4811" spans="1:4" x14ac:dyDescent="0.25">
      <c r="A4811" s="16">
        <v>12333</v>
      </c>
      <c r="B4811" s="1">
        <v>1</v>
      </c>
      <c r="C4811" s="1">
        <v>1</v>
      </c>
      <c r="D4811" s="1">
        <v>42</v>
      </c>
    </row>
    <row r="4812" spans="1:4" x14ac:dyDescent="0.25">
      <c r="A4812" s="16">
        <v>12334</v>
      </c>
      <c r="B4812" s="1">
        <v>1</v>
      </c>
      <c r="C4812" s="1">
        <v>1</v>
      </c>
      <c r="D4812" s="1">
        <v>36</v>
      </c>
    </row>
    <row r="4813" spans="1:4" x14ac:dyDescent="0.25">
      <c r="A4813" s="16">
        <v>12335</v>
      </c>
      <c r="B4813" s="1">
        <v>1</v>
      </c>
      <c r="C4813" s="1">
        <v>4</v>
      </c>
      <c r="D4813" s="1">
        <v>7.36</v>
      </c>
    </row>
    <row r="4814" spans="1:4" x14ac:dyDescent="0.25">
      <c r="A4814" s="16">
        <v>12336</v>
      </c>
      <c r="B4814" s="1">
        <v>1</v>
      </c>
      <c r="C4814" s="1">
        <v>1</v>
      </c>
      <c r="D4814" s="1">
        <v>11.2</v>
      </c>
    </row>
    <row r="4815" spans="1:4" x14ac:dyDescent="0.25">
      <c r="A4815" s="16">
        <v>12337</v>
      </c>
      <c r="B4815" s="1">
        <v>1</v>
      </c>
      <c r="C4815" s="1">
        <v>1</v>
      </c>
      <c r="D4815" s="1">
        <v>10</v>
      </c>
    </row>
    <row r="4816" spans="1:4" x14ac:dyDescent="0.25">
      <c r="A4816" s="16">
        <v>12338</v>
      </c>
      <c r="B4816" s="1">
        <v>1</v>
      </c>
      <c r="C4816" s="1">
        <v>1</v>
      </c>
      <c r="D4816" s="1">
        <v>10</v>
      </c>
    </row>
    <row r="4817" spans="1:4" x14ac:dyDescent="0.25">
      <c r="A4817" s="16">
        <v>12339</v>
      </c>
      <c r="B4817" s="1">
        <v>1</v>
      </c>
      <c r="C4817" s="1">
        <v>1</v>
      </c>
      <c r="D4817" s="1">
        <v>7.2</v>
      </c>
    </row>
    <row r="4818" spans="1:4" x14ac:dyDescent="0.25">
      <c r="A4818" s="16">
        <v>12340</v>
      </c>
      <c r="B4818" s="1">
        <v>1</v>
      </c>
      <c r="C4818" s="1">
        <v>1</v>
      </c>
      <c r="D4818" s="1">
        <v>59.64</v>
      </c>
    </row>
    <row r="4819" spans="1:4" x14ac:dyDescent="0.25">
      <c r="A4819" s="16">
        <v>12341</v>
      </c>
      <c r="B4819" s="1">
        <v>1</v>
      </c>
      <c r="C4819" s="1">
        <v>1</v>
      </c>
      <c r="D4819" s="1">
        <v>75.64</v>
      </c>
    </row>
    <row r="4820" spans="1:4" x14ac:dyDescent="0.25">
      <c r="A4820" s="16">
        <v>12342</v>
      </c>
      <c r="B4820" s="1">
        <v>1</v>
      </c>
      <c r="C4820" s="1">
        <v>1</v>
      </c>
      <c r="D4820" s="1">
        <v>51.64</v>
      </c>
    </row>
    <row r="4821" spans="1:4" x14ac:dyDescent="0.25">
      <c r="A4821" s="16">
        <v>12343</v>
      </c>
      <c r="B4821" s="1">
        <v>1</v>
      </c>
      <c r="C4821" s="1">
        <v>2</v>
      </c>
      <c r="D4821" s="1">
        <v>9.6</v>
      </c>
    </row>
    <row r="4822" spans="1:4" x14ac:dyDescent="0.25">
      <c r="A4822" s="16">
        <v>12344</v>
      </c>
      <c r="B4822" s="1">
        <v>1</v>
      </c>
      <c r="C4822" s="1">
        <v>1</v>
      </c>
      <c r="D4822" s="1">
        <v>51.64</v>
      </c>
    </row>
    <row r="4823" spans="1:4" x14ac:dyDescent="0.25">
      <c r="A4823" s="16">
        <v>12345</v>
      </c>
      <c r="B4823" s="1">
        <v>1</v>
      </c>
      <c r="C4823" s="1">
        <v>1</v>
      </c>
      <c r="D4823" s="1">
        <v>2.4</v>
      </c>
    </row>
    <row r="4824" spans="1:4" x14ac:dyDescent="0.25">
      <c r="A4824" s="16">
        <v>12346</v>
      </c>
      <c r="B4824" s="1">
        <v>1</v>
      </c>
      <c r="C4824" s="1">
        <v>1</v>
      </c>
      <c r="D4824" s="1">
        <v>7.2</v>
      </c>
    </row>
    <row r="4825" spans="1:4" x14ac:dyDescent="0.25">
      <c r="A4825" s="16">
        <v>12347</v>
      </c>
      <c r="B4825" s="1">
        <v>1</v>
      </c>
      <c r="C4825" s="1">
        <v>1</v>
      </c>
      <c r="D4825" s="1">
        <v>59.64</v>
      </c>
    </row>
    <row r="4826" spans="1:4" x14ac:dyDescent="0.25">
      <c r="A4826" s="16">
        <v>12348</v>
      </c>
      <c r="B4826" s="1">
        <v>1</v>
      </c>
      <c r="C4826" s="1">
        <v>1</v>
      </c>
      <c r="D4826" s="1">
        <v>8</v>
      </c>
    </row>
    <row r="4827" spans="1:4" x14ac:dyDescent="0.25">
      <c r="A4827" s="16">
        <v>12349</v>
      </c>
      <c r="B4827" s="1">
        <v>1</v>
      </c>
      <c r="C4827" s="1">
        <v>1</v>
      </c>
      <c r="D4827" s="1">
        <v>36</v>
      </c>
    </row>
    <row r="4828" spans="1:4" x14ac:dyDescent="0.25">
      <c r="A4828" s="16">
        <v>12350</v>
      </c>
      <c r="B4828" s="1">
        <v>1</v>
      </c>
      <c r="C4828" s="1">
        <v>1</v>
      </c>
      <c r="D4828" s="1">
        <v>59.64</v>
      </c>
    </row>
    <row r="4829" spans="1:4" x14ac:dyDescent="0.25">
      <c r="A4829" s="16">
        <v>12351</v>
      </c>
      <c r="B4829" s="1">
        <v>1</v>
      </c>
      <c r="C4829" s="1">
        <v>1</v>
      </c>
      <c r="D4829" s="1">
        <v>8</v>
      </c>
    </row>
    <row r="4830" spans="1:4" x14ac:dyDescent="0.25">
      <c r="A4830" s="16">
        <v>12352</v>
      </c>
      <c r="B4830" s="1">
        <v>1</v>
      </c>
      <c r="C4830" s="1">
        <v>1</v>
      </c>
      <c r="D4830" s="1">
        <v>18</v>
      </c>
    </row>
    <row r="4831" spans="1:4" x14ac:dyDescent="0.25">
      <c r="A4831" s="16">
        <v>12353</v>
      </c>
      <c r="B4831" s="1">
        <v>1</v>
      </c>
      <c r="C4831" s="1">
        <v>1</v>
      </c>
      <c r="D4831" s="1">
        <v>8</v>
      </c>
    </row>
    <row r="4832" spans="1:4" x14ac:dyDescent="0.25">
      <c r="A4832" s="16">
        <v>12354</v>
      </c>
      <c r="B4832" s="1">
        <v>1</v>
      </c>
      <c r="C4832" s="1">
        <v>1</v>
      </c>
      <c r="D4832" s="1">
        <v>7.6</v>
      </c>
    </row>
    <row r="4833" spans="1:4" x14ac:dyDescent="0.25">
      <c r="A4833" s="16">
        <v>12355</v>
      </c>
      <c r="B4833" s="1">
        <v>1</v>
      </c>
      <c r="C4833" s="1">
        <v>1</v>
      </c>
      <c r="D4833" s="1">
        <v>20</v>
      </c>
    </row>
    <row r="4834" spans="1:4" x14ac:dyDescent="0.25">
      <c r="A4834" s="16">
        <v>12356</v>
      </c>
      <c r="B4834" s="1">
        <v>1</v>
      </c>
      <c r="C4834" s="1">
        <v>1</v>
      </c>
      <c r="D4834" s="1">
        <v>10</v>
      </c>
    </row>
    <row r="4835" spans="1:4" x14ac:dyDescent="0.25">
      <c r="A4835" s="16">
        <v>12357</v>
      </c>
      <c r="B4835" s="1">
        <v>1</v>
      </c>
      <c r="C4835" s="1">
        <v>1</v>
      </c>
      <c r="D4835" s="1">
        <v>7.2</v>
      </c>
    </row>
    <row r="4836" spans="1:4" x14ac:dyDescent="0.25">
      <c r="A4836" s="16">
        <v>12358</v>
      </c>
      <c r="B4836" s="1">
        <v>1</v>
      </c>
      <c r="C4836" s="1">
        <v>1</v>
      </c>
      <c r="D4836" s="1">
        <v>51.64</v>
      </c>
    </row>
    <row r="4837" spans="1:4" x14ac:dyDescent="0.25">
      <c r="A4837" s="16">
        <v>12359</v>
      </c>
      <c r="B4837" s="1">
        <v>1</v>
      </c>
      <c r="C4837" s="1">
        <v>3</v>
      </c>
      <c r="D4837" s="1">
        <v>5.5200000000000005</v>
      </c>
    </row>
    <row r="4838" spans="1:4" x14ac:dyDescent="0.25">
      <c r="A4838" s="16">
        <v>12360</v>
      </c>
      <c r="B4838" s="1">
        <v>1</v>
      </c>
      <c r="C4838" s="1">
        <v>1</v>
      </c>
      <c r="D4838" s="1">
        <v>42</v>
      </c>
    </row>
    <row r="4839" spans="1:4" x14ac:dyDescent="0.25">
      <c r="A4839" s="16">
        <v>12361</v>
      </c>
      <c r="B4839" s="1">
        <v>1</v>
      </c>
      <c r="C4839" s="1">
        <v>1</v>
      </c>
      <c r="D4839" s="1">
        <v>47.64</v>
      </c>
    </row>
    <row r="4840" spans="1:4" x14ac:dyDescent="0.25">
      <c r="A4840" s="16">
        <v>12362</v>
      </c>
      <c r="B4840" s="1">
        <v>1</v>
      </c>
      <c r="C4840" s="1">
        <v>1</v>
      </c>
      <c r="D4840" s="1">
        <v>13.6</v>
      </c>
    </row>
    <row r="4841" spans="1:4" x14ac:dyDescent="0.25">
      <c r="A4841" s="16">
        <v>12363</v>
      </c>
      <c r="B4841" s="1">
        <v>1</v>
      </c>
      <c r="C4841" s="1">
        <v>2</v>
      </c>
      <c r="D4841" s="1">
        <v>4.8</v>
      </c>
    </row>
    <row r="4842" spans="1:4" x14ac:dyDescent="0.25">
      <c r="A4842" s="16">
        <v>12364</v>
      </c>
      <c r="B4842" s="1">
        <v>1</v>
      </c>
      <c r="C4842" s="1">
        <v>3</v>
      </c>
      <c r="D4842" s="1">
        <v>8.3999999999999986</v>
      </c>
    </row>
    <row r="4843" spans="1:4" x14ac:dyDescent="0.25">
      <c r="A4843" s="16">
        <v>12365</v>
      </c>
      <c r="B4843" s="1">
        <v>1</v>
      </c>
      <c r="C4843" s="1">
        <v>2</v>
      </c>
      <c r="D4843" s="1">
        <v>12</v>
      </c>
    </row>
    <row r="4844" spans="1:4" x14ac:dyDescent="0.25">
      <c r="A4844" s="16">
        <v>12366</v>
      </c>
      <c r="B4844" s="1">
        <v>1</v>
      </c>
      <c r="C4844" s="1">
        <v>1</v>
      </c>
      <c r="D4844" s="1">
        <v>8.8000000000000007</v>
      </c>
    </row>
    <row r="4845" spans="1:4" x14ac:dyDescent="0.25">
      <c r="A4845" s="16">
        <v>12367</v>
      </c>
      <c r="B4845" s="1">
        <v>1</v>
      </c>
      <c r="C4845" s="1">
        <v>1</v>
      </c>
      <c r="D4845" s="1">
        <v>8</v>
      </c>
    </row>
    <row r="4846" spans="1:4" x14ac:dyDescent="0.25">
      <c r="A4846" s="16">
        <v>12368</v>
      </c>
      <c r="B4846" s="1">
        <v>1</v>
      </c>
      <c r="C4846" s="1">
        <v>1</v>
      </c>
      <c r="D4846" s="1">
        <v>11.2</v>
      </c>
    </row>
    <row r="4847" spans="1:4" x14ac:dyDescent="0.25">
      <c r="A4847" s="16">
        <v>12369</v>
      </c>
      <c r="B4847" s="1">
        <v>1</v>
      </c>
      <c r="C4847" s="1">
        <v>1</v>
      </c>
      <c r="D4847" s="1">
        <v>79.64</v>
      </c>
    </row>
    <row r="4848" spans="1:4" x14ac:dyDescent="0.25">
      <c r="A4848" s="16">
        <v>12370</v>
      </c>
      <c r="B4848" s="1">
        <v>1</v>
      </c>
      <c r="C4848" s="1">
        <v>1</v>
      </c>
      <c r="D4848" s="1">
        <v>18</v>
      </c>
    </row>
    <row r="4849" spans="1:4" x14ac:dyDescent="0.25">
      <c r="A4849" s="16">
        <v>12371</v>
      </c>
      <c r="B4849" s="1">
        <v>1</v>
      </c>
      <c r="C4849" s="1">
        <v>1</v>
      </c>
      <c r="D4849" s="1">
        <v>8</v>
      </c>
    </row>
    <row r="4850" spans="1:4" x14ac:dyDescent="0.25">
      <c r="A4850" s="16">
        <v>12372</v>
      </c>
      <c r="B4850" s="1">
        <v>1</v>
      </c>
      <c r="C4850" s="1">
        <v>3</v>
      </c>
      <c r="D4850" s="1">
        <v>6</v>
      </c>
    </row>
    <row r="4851" spans="1:4" x14ac:dyDescent="0.25">
      <c r="A4851" s="16">
        <v>12373</v>
      </c>
      <c r="B4851" s="1">
        <v>1</v>
      </c>
      <c r="C4851" s="1">
        <v>1</v>
      </c>
      <c r="D4851" s="1">
        <v>13.6</v>
      </c>
    </row>
    <row r="4852" spans="1:4" x14ac:dyDescent="0.25">
      <c r="A4852" s="16">
        <v>12374</v>
      </c>
      <c r="B4852" s="1">
        <v>1</v>
      </c>
      <c r="C4852" s="1">
        <v>1</v>
      </c>
      <c r="D4852" s="1">
        <v>26</v>
      </c>
    </row>
    <row r="4853" spans="1:4" x14ac:dyDescent="0.25">
      <c r="A4853" s="16">
        <v>12375</v>
      </c>
      <c r="B4853" s="1">
        <v>1</v>
      </c>
      <c r="C4853" s="1">
        <v>1</v>
      </c>
      <c r="D4853" s="1">
        <v>59.64</v>
      </c>
    </row>
    <row r="4854" spans="1:4" x14ac:dyDescent="0.25">
      <c r="A4854" s="16">
        <v>12376</v>
      </c>
      <c r="B4854" s="1">
        <v>1</v>
      </c>
      <c r="C4854" s="1">
        <v>1</v>
      </c>
      <c r="D4854" s="1">
        <v>36</v>
      </c>
    </row>
    <row r="4855" spans="1:4" x14ac:dyDescent="0.25">
      <c r="A4855" s="16">
        <v>12377</v>
      </c>
      <c r="B4855" s="1">
        <v>1</v>
      </c>
      <c r="C4855" s="1">
        <v>1</v>
      </c>
      <c r="D4855" s="1">
        <v>42</v>
      </c>
    </row>
    <row r="4856" spans="1:4" x14ac:dyDescent="0.25">
      <c r="A4856" s="16">
        <v>12378</v>
      </c>
      <c r="B4856" s="1">
        <v>1</v>
      </c>
      <c r="C4856" s="1">
        <v>1</v>
      </c>
      <c r="D4856" s="1">
        <v>2.4</v>
      </c>
    </row>
    <row r="4857" spans="1:4" x14ac:dyDescent="0.25">
      <c r="A4857" s="16">
        <v>12379</v>
      </c>
      <c r="B4857" s="1">
        <v>1</v>
      </c>
      <c r="C4857" s="1">
        <v>3</v>
      </c>
      <c r="D4857" s="1">
        <v>5.5200000000000005</v>
      </c>
    </row>
    <row r="4858" spans="1:4" x14ac:dyDescent="0.25">
      <c r="A4858" s="16">
        <v>12380</v>
      </c>
      <c r="B4858" s="1">
        <v>1</v>
      </c>
      <c r="C4858" s="1">
        <v>2</v>
      </c>
      <c r="D4858" s="1">
        <v>5.6</v>
      </c>
    </row>
    <row r="4859" spans="1:4" x14ac:dyDescent="0.25">
      <c r="A4859" s="16">
        <v>12381</v>
      </c>
      <c r="B4859" s="1">
        <v>1</v>
      </c>
      <c r="C4859" s="1">
        <v>1</v>
      </c>
      <c r="D4859" s="1">
        <v>6</v>
      </c>
    </row>
    <row r="4860" spans="1:4" x14ac:dyDescent="0.25">
      <c r="A4860" s="16">
        <v>12382</v>
      </c>
      <c r="B4860" s="1">
        <v>1</v>
      </c>
      <c r="C4860" s="1">
        <v>1</v>
      </c>
      <c r="D4860" s="1">
        <v>8.8000000000000007</v>
      </c>
    </row>
    <row r="4861" spans="1:4" x14ac:dyDescent="0.25">
      <c r="A4861" s="16">
        <v>12383</v>
      </c>
      <c r="B4861" s="1">
        <v>1</v>
      </c>
      <c r="C4861" s="1">
        <v>1</v>
      </c>
      <c r="D4861" s="1">
        <v>20</v>
      </c>
    </row>
    <row r="4862" spans="1:4" x14ac:dyDescent="0.25">
      <c r="A4862" s="16">
        <v>12384</v>
      </c>
      <c r="B4862" s="1">
        <v>1</v>
      </c>
      <c r="C4862" s="1">
        <v>1</v>
      </c>
      <c r="D4862" s="1">
        <v>51.64</v>
      </c>
    </row>
    <row r="4863" spans="1:4" x14ac:dyDescent="0.25">
      <c r="A4863" s="16">
        <v>12385</v>
      </c>
      <c r="B4863" s="1">
        <v>1</v>
      </c>
      <c r="C4863" s="1">
        <v>1</v>
      </c>
      <c r="D4863" s="1">
        <v>11.6</v>
      </c>
    </row>
    <row r="4864" spans="1:4" x14ac:dyDescent="0.25">
      <c r="A4864" s="16">
        <v>12386</v>
      </c>
      <c r="B4864" s="1">
        <v>1</v>
      </c>
      <c r="C4864" s="1">
        <v>1</v>
      </c>
      <c r="D4864" s="1">
        <v>11.2</v>
      </c>
    </row>
    <row r="4865" spans="1:4" x14ac:dyDescent="0.25">
      <c r="A4865" s="16">
        <v>12387</v>
      </c>
      <c r="B4865" s="1">
        <v>1</v>
      </c>
      <c r="C4865" s="1">
        <v>1</v>
      </c>
      <c r="D4865" s="1">
        <v>4.8</v>
      </c>
    </row>
    <row r="4866" spans="1:4" x14ac:dyDescent="0.25">
      <c r="A4866" s="16">
        <v>12388</v>
      </c>
      <c r="B4866" s="1">
        <v>1</v>
      </c>
      <c r="C4866" s="1">
        <v>1</v>
      </c>
      <c r="D4866" s="1">
        <v>59.64</v>
      </c>
    </row>
    <row r="4867" spans="1:4" x14ac:dyDescent="0.25">
      <c r="A4867" s="16">
        <v>12389</v>
      </c>
      <c r="B4867" s="1">
        <v>1</v>
      </c>
      <c r="C4867" s="1">
        <v>1</v>
      </c>
      <c r="D4867" s="1">
        <v>8</v>
      </c>
    </row>
    <row r="4868" spans="1:4" x14ac:dyDescent="0.25">
      <c r="A4868" s="16">
        <v>12390</v>
      </c>
      <c r="B4868" s="1">
        <v>1</v>
      </c>
      <c r="C4868" s="1">
        <v>1</v>
      </c>
      <c r="D4868" s="1">
        <v>19.600000000000001</v>
      </c>
    </row>
    <row r="4869" spans="1:4" x14ac:dyDescent="0.25">
      <c r="A4869" s="16">
        <v>12391</v>
      </c>
      <c r="B4869" s="1">
        <v>1</v>
      </c>
      <c r="C4869" s="1">
        <v>1</v>
      </c>
      <c r="D4869" s="1">
        <v>8</v>
      </c>
    </row>
    <row r="4870" spans="1:4" x14ac:dyDescent="0.25">
      <c r="A4870" s="16">
        <v>12392</v>
      </c>
      <c r="B4870" s="1">
        <v>1</v>
      </c>
      <c r="C4870" s="1">
        <v>1</v>
      </c>
      <c r="D4870" s="1">
        <v>13.6</v>
      </c>
    </row>
    <row r="4871" spans="1:4" x14ac:dyDescent="0.25">
      <c r="A4871" s="16">
        <v>12393</v>
      </c>
      <c r="B4871" s="1">
        <v>1</v>
      </c>
      <c r="C4871" s="1">
        <v>1</v>
      </c>
      <c r="D4871" s="1">
        <v>79.64</v>
      </c>
    </row>
    <row r="4872" spans="1:4" x14ac:dyDescent="0.25">
      <c r="A4872" s="16">
        <v>12394</v>
      </c>
      <c r="B4872" s="1">
        <v>1</v>
      </c>
      <c r="C4872" s="1">
        <v>2</v>
      </c>
      <c r="D4872" s="1">
        <v>15.2</v>
      </c>
    </row>
    <row r="4873" spans="1:4" x14ac:dyDescent="0.25">
      <c r="A4873" s="16">
        <v>12395</v>
      </c>
      <c r="B4873" s="1">
        <v>1</v>
      </c>
      <c r="C4873" s="1">
        <v>1</v>
      </c>
      <c r="D4873" s="1">
        <v>47.64</v>
      </c>
    </row>
    <row r="4874" spans="1:4" x14ac:dyDescent="0.25">
      <c r="A4874" s="16">
        <v>12396</v>
      </c>
      <c r="B4874" s="1">
        <v>1</v>
      </c>
      <c r="C4874" s="1">
        <v>1</v>
      </c>
      <c r="D4874" s="1">
        <v>75.64</v>
      </c>
    </row>
    <row r="4875" spans="1:4" x14ac:dyDescent="0.25">
      <c r="A4875" s="16">
        <v>12397</v>
      </c>
      <c r="B4875" s="1">
        <v>1</v>
      </c>
      <c r="C4875" s="1">
        <v>1</v>
      </c>
      <c r="D4875" s="1">
        <v>26</v>
      </c>
    </row>
    <row r="4876" spans="1:4" x14ac:dyDescent="0.25">
      <c r="A4876" s="16">
        <v>12398</v>
      </c>
      <c r="B4876" s="1">
        <v>1</v>
      </c>
      <c r="C4876" s="1">
        <v>1</v>
      </c>
      <c r="D4876" s="1">
        <v>20</v>
      </c>
    </row>
    <row r="4877" spans="1:4" x14ac:dyDescent="0.25">
      <c r="A4877" s="16">
        <v>12399</v>
      </c>
      <c r="B4877" s="1">
        <v>1</v>
      </c>
      <c r="C4877" s="1">
        <v>3</v>
      </c>
      <c r="D4877" s="1">
        <v>8.3999999999999986</v>
      </c>
    </row>
    <row r="4878" spans="1:4" x14ac:dyDescent="0.25">
      <c r="A4878" s="16">
        <v>12400</v>
      </c>
      <c r="B4878" s="1">
        <v>1</v>
      </c>
      <c r="C4878" s="1">
        <v>2</v>
      </c>
      <c r="D4878" s="1">
        <v>12</v>
      </c>
    </row>
    <row r="4879" spans="1:4" x14ac:dyDescent="0.25">
      <c r="A4879" s="16">
        <v>12401</v>
      </c>
      <c r="B4879" s="1">
        <v>1</v>
      </c>
      <c r="C4879" s="1">
        <v>1</v>
      </c>
      <c r="D4879" s="1">
        <v>8.8000000000000007</v>
      </c>
    </row>
    <row r="4880" spans="1:4" x14ac:dyDescent="0.25">
      <c r="A4880" s="16">
        <v>12402</v>
      </c>
      <c r="B4880" s="1">
        <v>1</v>
      </c>
      <c r="C4880" s="1">
        <v>1</v>
      </c>
      <c r="D4880" s="1">
        <v>36</v>
      </c>
    </row>
    <row r="4881" spans="1:4" x14ac:dyDescent="0.25">
      <c r="A4881" s="16">
        <v>12403</v>
      </c>
      <c r="B4881" s="1">
        <v>1</v>
      </c>
      <c r="C4881" s="1">
        <v>4</v>
      </c>
      <c r="D4881" s="1">
        <v>7.36</v>
      </c>
    </row>
    <row r="4882" spans="1:4" x14ac:dyDescent="0.25">
      <c r="A4882" s="16">
        <v>12404</v>
      </c>
      <c r="B4882" s="1">
        <v>1</v>
      </c>
      <c r="C4882" s="1">
        <v>1</v>
      </c>
      <c r="D4882" s="1">
        <v>13.6</v>
      </c>
    </row>
    <row r="4883" spans="1:4" x14ac:dyDescent="0.25">
      <c r="A4883" s="16">
        <v>12405</v>
      </c>
      <c r="B4883" s="1">
        <v>1</v>
      </c>
      <c r="C4883" s="1">
        <v>1</v>
      </c>
      <c r="D4883" s="1">
        <v>42</v>
      </c>
    </row>
    <row r="4884" spans="1:4" x14ac:dyDescent="0.25">
      <c r="A4884" s="16">
        <v>12406</v>
      </c>
      <c r="B4884" s="1">
        <v>1</v>
      </c>
      <c r="C4884" s="1">
        <v>1</v>
      </c>
      <c r="D4884" s="1">
        <v>59.64</v>
      </c>
    </row>
    <row r="4885" spans="1:4" x14ac:dyDescent="0.25">
      <c r="A4885" s="16">
        <v>12407</v>
      </c>
      <c r="B4885" s="1">
        <v>1</v>
      </c>
      <c r="C4885" s="1">
        <v>1</v>
      </c>
      <c r="D4885" s="1">
        <v>59.64</v>
      </c>
    </row>
    <row r="4886" spans="1:4" x14ac:dyDescent="0.25">
      <c r="A4886" s="16">
        <v>12408</v>
      </c>
      <c r="B4886" s="1">
        <v>1</v>
      </c>
      <c r="C4886" s="1">
        <v>1</v>
      </c>
      <c r="D4886" s="1">
        <v>8</v>
      </c>
    </row>
    <row r="4887" spans="1:4" x14ac:dyDescent="0.25">
      <c r="A4887" s="16">
        <v>12409</v>
      </c>
      <c r="B4887" s="1">
        <v>1</v>
      </c>
      <c r="C4887" s="1">
        <v>1</v>
      </c>
      <c r="D4887" s="1">
        <v>22</v>
      </c>
    </row>
    <row r="4888" spans="1:4" x14ac:dyDescent="0.25">
      <c r="A4888" s="16">
        <v>12410</v>
      </c>
      <c r="B4888" s="1">
        <v>1</v>
      </c>
      <c r="C4888" s="1">
        <v>1</v>
      </c>
      <c r="D4888" s="1">
        <v>19.600000000000001</v>
      </c>
    </row>
    <row r="4889" spans="1:4" x14ac:dyDescent="0.25">
      <c r="A4889" s="16">
        <v>12411</v>
      </c>
      <c r="B4889" s="1">
        <v>1</v>
      </c>
      <c r="C4889" s="1">
        <v>1</v>
      </c>
      <c r="D4889" s="1">
        <v>47.64</v>
      </c>
    </row>
    <row r="4890" spans="1:4" x14ac:dyDescent="0.25">
      <c r="A4890" s="16">
        <v>12412</v>
      </c>
      <c r="B4890" s="1">
        <v>1</v>
      </c>
      <c r="C4890" s="1">
        <v>1</v>
      </c>
      <c r="D4890" s="1">
        <v>11.2</v>
      </c>
    </row>
    <row r="4891" spans="1:4" x14ac:dyDescent="0.25">
      <c r="A4891" s="16">
        <v>12413</v>
      </c>
      <c r="B4891" s="1">
        <v>1</v>
      </c>
      <c r="C4891" s="1">
        <v>1</v>
      </c>
      <c r="D4891" s="1">
        <v>7.2</v>
      </c>
    </row>
    <row r="4892" spans="1:4" x14ac:dyDescent="0.25">
      <c r="A4892" s="16">
        <v>12414</v>
      </c>
      <c r="B4892" s="1">
        <v>1</v>
      </c>
      <c r="C4892" s="1">
        <v>1</v>
      </c>
      <c r="D4892" s="1">
        <v>79.64</v>
      </c>
    </row>
    <row r="4893" spans="1:4" x14ac:dyDescent="0.25">
      <c r="A4893" s="16">
        <v>12415</v>
      </c>
      <c r="B4893" s="1">
        <v>1</v>
      </c>
      <c r="C4893" s="1">
        <v>1</v>
      </c>
      <c r="D4893" s="1">
        <v>4</v>
      </c>
    </row>
    <row r="4894" spans="1:4" x14ac:dyDescent="0.25">
      <c r="A4894" s="16">
        <v>12416</v>
      </c>
      <c r="B4894" s="1">
        <v>1</v>
      </c>
      <c r="C4894" s="1">
        <v>2</v>
      </c>
      <c r="D4894" s="1">
        <v>5.6</v>
      </c>
    </row>
    <row r="4895" spans="1:4" x14ac:dyDescent="0.25">
      <c r="A4895" s="16">
        <v>12417</v>
      </c>
      <c r="B4895" s="1">
        <v>1</v>
      </c>
      <c r="C4895" s="1">
        <v>1</v>
      </c>
      <c r="D4895" s="1">
        <v>6</v>
      </c>
    </row>
    <row r="4896" spans="1:4" x14ac:dyDescent="0.25">
      <c r="A4896" s="16">
        <v>12418</v>
      </c>
      <c r="B4896" s="1">
        <v>1</v>
      </c>
      <c r="C4896" s="1">
        <v>1</v>
      </c>
      <c r="D4896" s="1">
        <v>8.8000000000000007</v>
      </c>
    </row>
    <row r="4897" spans="1:4" x14ac:dyDescent="0.25">
      <c r="A4897" s="16">
        <v>12419</v>
      </c>
      <c r="B4897" s="1">
        <v>1</v>
      </c>
      <c r="C4897" s="1">
        <v>1</v>
      </c>
      <c r="D4897" s="1">
        <v>18</v>
      </c>
    </row>
    <row r="4898" spans="1:4" x14ac:dyDescent="0.25">
      <c r="A4898" s="16">
        <v>12420</v>
      </c>
      <c r="B4898" s="1">
        <v>1</v>
      </c>
      <c r="C4898" s="1">
        <v>2</v>
      </c>
      <c r="D4898" s="1">
        <v>4.8</v>
      </c>
    </row>
    <row r="4899" spans="1:4" x14ac:dyDescent="0.25">
      <c r="A4899" s="16">
        <v>12421</v>
      </c>
      <c r="B4899" s="1">
        <v>1</v>
      </c>
      <c r="C4899" s="1">
        <v>3</v>
      </c>
      <c r="D4899" s="1">
        <v>6</v>
      </c>
    </row>
    <row r="4900" spans="1:4" x14ac:dyDescent="0.25">
      <c r="A4900" s="16">
        <v>12422</v>
      </c>
      <c r="B4900" s="1">
        <v>1</v>
      </c>
      <c r="C4900" s="1">
        <v>1</v>
      </c>
      <c r="D4900" s="1">
        <v>51.64</v>
      </c>
    </row>
    <row r="4901" spans="1:4" x14ac:dyDescent="0.25">
      <c r="A4901" s="16">
        <v>12423</v>
      </c>
      <c r="B4901" s="1">
        <v>1</v>
      </c>
      <c r="C4901" s="1">
        <v>1</v>
      </c>
      <c r="D4901" s="1">
        <v>20</v>
      </c>
    </row>
    <row r="4902" spans="1:4" x14ac:dyDescent="0.25">
      <c r="A4902" s="16">
        <v>12424</v>
      </c>
      <c r="B4902" s="1">
        <v>1</v>
      </c>
      <c r="C4902" s="1">
        <v>1</v>
      </c>
      <c r="D4902" s="1">
        <v>10</v>
      </c>
    </row>
    <row r="4903" spans="1:4" x14ac:dyDescent="0.25">
      <c r="A4903" s="16">
        <v>12425</v>
      </c>
      <c r="B4903" s="1">
        <v>1</v>
      </c>
      <c r="C4903" s="1">
        <v>1</v>
      </c>
      <c r="D4903" s="1">
        <v>7.2</v>
      </c>
    </row>
    <row r="4904" spans="1:4" x14ac:dyDescent="0.25">
      <c r="A4904" s="16">
        <v>12426</v>
      </c>
      <c r="B4904" s="1">
        <v>1</v>
      </c>
      <c r="C4904" s="1">
        <v>1</v>
      </c>
      <c r="D4904" s="1">
        <v>51.64</v>
      </c>
    </row>
    <row r="4905" spans="1:4" x14ac:dyDescent="0.25">
      <c r="A4905" s="16">
        <v>12427</v>
      </c>
      <c r="B4905" s="1">
        <v>1</v>
      </c>
      <c r="C4905" s="1">
        <v>2</v>
      </c>
      <c r="D4905" s="1">
        <v>3.68</v>
      </c>
    </row>
    <row r="4906" spans="1:4" x14ac:dyDescent="0.25">
      <c r="A4906" s="16">
        <v>12428</v>
      </c>
      <c r="B4906" s="1">
        <v>1</v>
      </c>
      <c r="C4906" s="1">
        <v>1</v>
      </c>
      <c r="D4906" s="1">
        <v>13.6</v>
      </c>
    </row>
    <row r="4907" spans="1:4" x14ac:dyDescent="0.25">
      <c r="A4907" s="16">
        <v>12429</v>
      </c>
      <c r="B4907" s="1">
        <v>1</v>
      </c>
      <c r="C4907" s="1">
        <v>1</v>
      </c>
      <c r="D4907" s="1">
        <v>35.200000000000003</v>
      </c>
    </row>
    <row r="4908" spans="1:4" x14ac:dyDescent="0.25">
      <c r="A4908" s="16">
        <v>12430</v>
      </c>
      <c r="B4908" s="1">
        <v>1</v>
      </c>
      <c r="C4908" s="1">
        <v>1</v>
      </c>
      <c r="D4908" s="1">
        <v>47.64</v>
      </c>
    </row>
    <row r="4909" spans="1:4" x14ac:dyDescent="0.25">
      <c r="A4909" s="16">
        <v>12431</v>
      </c>
      <c r="B4909" s="1">
        <v>1</v>
      </c>
      <c r="C4909" s="1">
        <v>1</v>
      </c>
      <c r="D4909" s="1">
        <v>13.6</v>
      </c>
    </row>
    <row r="4910" spans="1:4" x14ac:dyDescent="0.25">
      <c r="A4910" s="16">
        <v>12432</v>
      </c>
      <c r="B4910" s="1">
        <v>1</v>
      </c>
      <c r="C4910" s="1">
        <v>1</v>
      </c>
      <c r="D4910" s="1">
        <v>11.2</v>
      </c>
    </row>
    <row r="4911" spans="1:4" x14ac:dyDescent="0.25">
      <c r="A4911" s="16">
        <v>12433</v>
      </c>
      <c r="B4911" s="1">
        <v>1</v>
      </c>
      <c r="C4911" s="1">
        <v>1</v>
      </c>
      <c r="D4911" s="1">
        <v>42</v>
      </c>
    </row>
    <row r="4912" spans="1:4" x14ac:dyDescent="0.25">
      <c r="A4912" s="16">
        <v>12434</v>
      </c>
      <c r="B4912" s="1">
        <v>1</v>
      </c>
      <c r="C4912" s="1">
        <v>1</v>
      </c>
      <c r="D4912" s="1">
        <v>59.64</v>
      </c>
    </row>
    <row r="4913" spans="1:4" x14ac:dyDescent="0.25">
      <c r="A4913" s="16">
        <v>12435</v>
      </c>
      <c r="B4913" s="1">
        <v>1</v>
      </c>
      <c r="C4913" s="1">
        <v>1</v>
      </c>
      <c r="D4913" s="1">
        <v>19.600000000000001</v>
      </c>
    </row>
    <row r="4914" spans="1:4" x14ac:dyDescent="0.25">
      <c r="A4914" s="16">
        <v>12436</v>
      </c>
      <c r="B4914" s="1">
        <v>1</v>
      </c>
      <c r="C4914" s="1">
        <v>1</v>
      </c>
      <c r="D4914" s="1">
        <v>7.6</v>
      </c>
    </row>
    <row r="4915" spans="1:4" x14ac:dyDescent="0.25">
      <c r="A4915" s="16">
        <v>12437</v>
      </c>
      <c r="B4915" s="1">
        <v>1</v>
      </c>
      <c r="C4915" s="1">
        <v>1</v>
      </c>
      <c r="D4915" s="1">
        <v>8.8000000000000007</v>
      </c>
    </row>
    <row r="4916" spans="1:4" x14ac:dyDescent="0.25">
      <c r="A4916" s="16">
        <v>12438</v>
      </c>
      <c r="B4916" s="1">
        <v>1</v>
      </c>
      <c r="C4916" s="1">
        <v>1</v>
      </c>
      <c r="D4916" s="1">
        <v>22</v>
      </c>
    </row>
    <row r="4917" spans="1:4" x14ac:dyDescent="0.25">
      <c r="A4917" s="16">
        <v>12439</v>
      </c>
      <c r="B4917" s="1">
        <v>1</v>
      </c>
      <c r="C4917" s="1">
        <v>1</v>
      </c>
      <c r="D4917" s="1">
        <v>59.64</v>
      </c>
    </row>
    <row r="4918" spans="1:4" x14ac:dyDescent="0.25">
      <c r="A4918" s="16">
        <v>12440</v>
      </c>
      <c r="B4918" s="1">
        <v>1</v>
      </c>
      <c r="C4918" s="1">
        <v>1</v>
      </c>
      <c r="D4918" s="1">
        <v>8</v>
      </c>
    </row>
    <row r="4919" spans="1:4" x14ac:dyDescent="0.25">
      <c r="A4919" s="16">
        <v>12441</v>
      </c>
      <c r="B4919" s="1">
        <v>1</v>
      </c>
      <c r="C4919" s="1">
        <v>1</v>
      </c>
      <c r="D4919" s="1">
        <v>51.64</v>
      </c>
    </row>
    <row r="4920" spans="1:4" x14ac:dyDescent="0.25">
      <c r="A4920" s="16">
        <v>12442</v>
      </c>
      <c r="B4920" s="1">
        <v>1</v>
      </c>
      <c r="C4920" s="1">
        <v>2</v>
      </c>
      <c r="D4920" s="1">
        <v>4.8</v>
      </c>
    </row>
    <row r="4921" spans="1:4" x14ac:dyDescent="0.25">
      <c r="A4921" s="16">
        <v>12443</v>
      </c>
      <c r="B4921" s="1">
        <v>1</v>
      </c>
      <c r="C4921" s="1">
        <v>3</v>
      </c>
      <c r="D4921" s="1">
        <v>5.5200000000000005</v>
      </c>
    </row>
    <row r="4922" spans="1:4" x14ac:dyDescent="0.25">
      <c r="A4922" s="16">
        <v>12444</v>
      </c>
      <c r="B4922" s="1">
        <v>1</v>
      </c>
      <c r="C4922" s="1">
        <v>2</v>
      </c>
      <c r="D4922" s="1">
        <v>5.6</v>
      </c>
    </row>
    <row r="4923" spans="1:4" x14ac:dyDescent="0.25">
      <c r="A4923" s="16">
        <v>12445</v>
      </c>
      <c r="B4923" s="1">
        <v>1</v>
      </c>
      <c r="C4923" s="1">
        <v>1</v>
      </c>
      <c r="D4923" s="1">
        <v>6</v>
      </c>
    </row>
    <row r="4924" spans="1:4" x14ac:dyDescent="0.25">
      <c r="A4924" s="16">
        <v>12446</v>
      </c>
      <c r="B4924" s="1">
        <v>1</v>
      </c>
      <c r="C4924" s="1">
        <v>1</v>
      </c>
      <c r="D4924" s="1">
        <v>8.8000000000000007</v>
      </c>
    </row>
    <row r="4925" spans="1:4" x14ac:dyDescent="0.25">
      <c r="A4925" s="16">
        <v>12447</v>
      </c>
      <c r="B4925" s="1">
        <v>1</v>
      </c>
      <c r="C4925" s="1">
        <v>1</v>
      </c>
      <c r="D4925" s="1">
        <v>20</v>
      </c>
    </row>
    <row r="4926" spans="1:4" x14ac:dyDescent="0.25">
      <c r="A4926" s="16">
        <v>12448</v>
      </c>
      <c r="B4926" s="1">
        <v>1</v>
      </c>
      <c r="C4926" s="1">
        <v>1</v>
      </c>
      <c r="D4926" s="1">
        <v>26</v>
      </c>
    </row>
    <row r="4927" spans="1:4" x14ac:dyDescent="0.25">
      <c r="A4927" s="16">
        <v>12449</v>
      </c>
      <c r="B4927" s="1">
        <v>1</v>
      </c>
      <c r="C4927" s="1">
        <v>1</v>
      </c>
      <c r="D4927" s="1">
        <v>18</v>
      </c>
    </row>
    <row r="4928" spans="1:4" x14ac:dyDescent="0.25">
      <c r="A4928" s="16">
        <v>12450</v>
      </c>
      <c r="B4928" s="1">
        <v>1</v>
      </c>
      <c r="C4928" s="1">
        <v>4</v>
      </c>
      <c r="D4928" s="1">
        <v>7.36</v>
      </c>
    </row>
    <row r="4929" spans="1:4" x14ac:dyDescent="0.25">
      <c r="A4929" s="16">
        <v>12451</v>
      </c>
      <c r="B4929" s="1">
        <v>1</v>
      </c>
      <c r="C4929" s="1">
        <v>1</v>
      </c>
      <c r="D4929" s="1">
        <v>19.600000000000001</v>
      </c>
    </row>
    <row r="4930" spans="1:4" x14ac:dyDescent="0.25">
      <c r="A4930" s="16">
        <v>12452</v>
      </c>
      <c r="B4930" s="1">
        <v>1</v>
      </c>
      <c r="C4930" s="1">
        <v>1</v>
      </c>
      <c r="D4930" s="1">
        <v>13.6</v>
      </c>
    </row>
    <row r="4931" spans="1:4" x14ac:dyDescent="0.25">
      <c r="A4931" s="16">
        <v>12453</v>
      </c>
      <c r="B4931" s="1">
        <v>1</v>
      </c>
      <c r="C4931" s="1">
        <v>1</v>
      </c>
      <c r="D4931" s="1">
        <v>42</v>
      </c>
    </row>
    <row r="4932" spans="1:4" x14ac:dyDescent="0.25">
      <c r="A4932" s="16">
        <v>12454</v>
      </c>
      <c r="B4932" s="1">
        <v>1</v>
      </c>
      <c r="C4932" s="1">
        <v>1</v>
      </c>
      <c r="D4932" s="1">
        <v>11.2</v>
      </c>
    </row>
    <row r="4933" spans="1:4" x14ac:dyDescent="0.25">
      <c r="A4933" s="16">
        <v>12455</v>
      </c>
      <c r="B4933" s="1">
        <v>1</v>
      </c>
      <c r="C4933" s="1">
        <v>2</v>
      </c>
      <c r="D4933" s="1">
        <v>5.6</v>
      </c>
    </row>
    <row r="4934" spans="1:4" x14ac:dyDescent="0.25">
      <c r="A4934" s="16">
        <v>12456</v>
      </c>
      <c r="B4934" s="1">
        <v>1</v>
      </c>
      <c r="C4934" s="1">
        <v>1</v>
      </c>
      <c r="D4934" s="1">
        <v>6</v>
      </c>
    </row>
    <row r="4935" spans="1:4" x14ac:dyDescent="0.25">
      <c r="A4935" s="16">
        <v>12457</v>
      </c>
      <c r="B4935" s="1">
        <v>1</v>
      </c>
      <c r="C4935" s="1">
        <v>1</v>
      </c>
      <c r="D4935" s="1">
        <v>7.2</v>
      </c>
    </row>
    <row r="4936" spans="1:4" x14ac:dyDescent="0.25">
      <c r="A4936" s="16">
        <v>12458</v>
      </c>
      <c r="B4936" s="1">
        <v>1</v>
      </c>
      <c r="C4936" s="1">
        <v>3</v>
      </c>
      <c r="D4936" s="1">
        <v>7.1999999999999993</v>
      </c>
    </row>
    <row r="4937" spans="1:4" x14ac:dyDescent="0.25">
      <c r="A4937" s="16">
        <v>12459</v>
      </c>
      <c r="B4937" s="1">
        <v>1</v>
      </c>
      <c r="C4937" s="1">
        <v>1</v>
      </c>
      <c r="D4937" s="1">
        <v>10</v>
      </c>
    </row>
    <row r="4938" spans="1:4" x14ac:dyDescent="0.25">
      <c r="A4938" s="16">
        <v>12460</v>
      </c>
      <c r="B4938" s="1">
        <v>1</v>
      </c>
      <c r="C4938" s="1">
        <v>1</v>
      </c>
      <c r="D4938" s="1">
        <v>47.64</v>
      </c>
    </row>
    <row r="4939" spans="1:4" x14ac:dyDescent="0.25">
      <c r="A4939" s="16">
        <v>12461</v>
      </c>
      <c r="B4939" s="1">
        <v>1</v>
      </c>
      <c r="C4939" s="1">
        <v>1</v>
      </c>
      <c r="D4939" s="1">
        <v>4.8</v>
      </c>
    </row>
    <row r="4940" spans="1:4" x14ac:dyDescent="0.25">
      <c r="A4940" s="16">
        <v>12462</v>
      </c>
      <c r="B4940" s="1">
        <v>1</v>
      </c>
      <c r="C4940" s="1">
        <v>1</v>
      </c>
      <c r="D4940" s="1">
        <v>36</v>
      </c>
    </row>
    <row r="4941" spans="1:4" x14ac:dyDescent="0.25">
      <c r="A4941" s="16">
        <v>12463</v>
      </c>
      <c r="B4941" s="1">
        <v>1</v>
      </c>
      <c r="C4941" s="1">
        <v>1</v>
      </c>
      <c r="D4941" s="1">
        <v>51.64</v>
      </c>
    </row>
    <row r="4942" spans="1:4" x14ac:dyDescent="0.25">
      <c r="A4942" s="16">
        <v>12464</v>
      </c>
      <c r="B4942" s="1">
        <v>1</v>
      </c>
      <c r="C4942" s="1">
        <v>1</v>
      </c>
      <c r="D4942" s="1">
        <v>13.6</v>
      </c>
    </row>
    <row r="4943" spans="1:4" x14ac:dyDescent="0.25">
      <c r="A4943" s="16">
        <v>12465</v>
      </c>
      <c r="B4943" s="1">
        <v>1</v>
      </c>
      <c r="C4943" s="1">
        <v>1</v>
      </c>
      <c r="D4943" s="1">
        <v>2.8</v>
      </c>
    </row>
    <row r="4944" spans="1:4" x14ac:dyDescent="0.25">
      <c r="A4944" s="16">
        <v>12466</v>
      </c>
      <c r="B4944" s="1">
        <v>1</v>
      </c>
      <c r="C4944" s="1">
        <v>2</v>
      </c>
      <c r="D4944" s="1">
        <v>3.68</v>
      </c>
    </row>
    <row r="4945" spans="1:4" x14ac:dyDescent="0.25">
      <c r="A4945" s="16">
        <v>12467</v>
      </c>
      <c r="B4945" s="1">
        <v>1</v>
      </c>
      <c r="C4945" s="1">
        <v>1</v>
      </c>
      <c r="D4945" s="1">
        <v>8</v>
      </c>
    </row>
    <row r="4946" spans="1:4" x14ac:dyDescent="0.25">
      <c r="A4946" s="16">
        <v>12468</v>
      </c>
      <c r="B4946" s="1">
        <v>1</v>
      </c>
      <c r="C4946" s="1">
        <v>1</v>
      </c>
      <c r="D4946" s="1">
        <v>35.200000000000003</v>
      </c>
    </row>
    <row r="4947" spans="1:4" x14ac:dyDescent="0.25">
      <c r="A4947" s="16">
        <v>12469</v>
      </c>
      <c r="B4947" s="1">
        <v>1</v>
      </c>
      <c r="C4947" s="1">
        <v>1</v>
      </c>
      <c r="D4947" s="1">
        <v>7.6</v>
      </c>
    </row>
    <row r="4948" spans="1:4" x14ac:dyDescent="0.25">
      <c r="A4948" s="16">
        <v>12470</v>
      </c>
      <c r="B4948" s="1">
        <v>1</v>
      </c>
      <c r="C4948" s="1">
        <v>1</v>
      </c>
      <c r="D4948" s="1">
        <v>8</v>
      </c>
    </row>
    <row r="4949" spans="1:4" x14ac:dyDescent="0.25">
      <c r="A4949" s="16">
        <v>12471</v>
      </c>
      <c r="B4949" s="1">
        <v>1</v>
      </c>
      <c r="C4949" s="1">
        <v>1</v>
      </c>
      <c r="D4949" s="1">
        <v>26</v>
      </c>
    </row>
    <row r="4950" spans="1:4" x14ac:dyDescent="0.25">
      <c r="A4950" s="16">
        <v>12472</v>
      </c>
      <c r="B4950" s="1">
        <v>1</v>
      </c>
      <c r="C4950" s="1">
        <v>3</v>
      </c>
      <c r="D4950" s="1">
        <v>6</v>
      </c>
    </row>
    <row r="4951" spans="1:4" x14ac:dyDescent="0.25">
      <c r="A4951" s="16">
        <v>12473</v>
      </c>
      <c r="B4951" s="1">
        <v>1</v>
      </c>
      <c r="C4951" s="1">
        <v>1</v>
      </c>
      <c r="D4951" s="1">
        <v>10</v>
      </c>
    </row>
    <row r="4952" spans="1:4" x14ac:dyDescent="0.25">
      <c r="A4952" s="16">
        <v>12474</v>
      </c>
      <c r="B4952" s="1">
        <v>1</v>
      </c>
      <c r="C4952" s="1">
        <v>1</v>
      </c>
      <c r="D4952" s="1">
        <v>7.6</v>
      </c>
    </row>
    <row r="4953" spans="1:4" x14ac:dyDescent="0.25">
      <c r="A4953" s="16">
        <v>12475</v>
      </c>
      <c r="B4953" s="1">
        <v>1</v>
      </c>
      <c r="C4953" s="1">
        <v>1</v>
      </c>
      <c r="D4953" s="1">
        <v>13.6</v>
      </c>
    </row>
    <row r="4954" spans="1:4" x14ac:dyDescent="0.25">
      <c r="A4954" s="16">
        <v>12476</v>
      </c>
      <c r="B4954" s="1">
        <v>1</v>
      </c>
      <c r="C4954" s="1">
        <v>2</v>
      </c>
      <c r="D4954" s="1">
        <v>5.6</v>
      </c>
    </row>
    <row r="4955" spans="1:4" x14ac:dyDescent="0.25">
      <c r="A4955" s="16">
        <v>12477</v>
      </c>
      <c r="B4955" s="1">
        <v>1</v>
      </c>
      <c r="C4955" s="1">
        <v>1</v>
      </c>
      <c r="D4955" s="1">
        <v>6</v>
      </c>
    </row>
    <row r="4956" spans="1:4" x14ac:dyDescent="0.25">
      <c r="A4956" s="16">
        <v>12478</v>
      </c>
      <c r="B4956" s="1">
        <v>1</v>
      </c>
      <c r="C4956" s="1">
        <v>1</v>
      </c>
      <c r="D4956" s="1">
        <v>7.2</v>
      </c>
    </row>
    <row r="4957" spans="1:4" x14ac:dyDescent="0.25">
      <c r="A4957" s="16">
        <v>12479</v>
      </c>
      <c r="B4957" s="1">
        <v>1</v>
      </c>
      <c r="C4957" s="1">
        <v>1</v>
      </c>
      <c r="D4957" s="1">
        <v>59.64</v>
      </c>
    </row>
    <row r="4958" spans="1:4" x14ac:dyDescent="0.25">
      <c r="A4958" s="16">
        <v>12480</v>
      </c>
      <c r="B4958" s="1">
        <v>1</v>
      </c>
      <c r="C4958" s="1">
        <v>1</v>
      </c>
      <c r="D4958" s="1">
        <v>20</v>
      </c>
    </row>
    <row r="4959" spans="1:4" x14ac:dyDescent="0.25">
      <c r="A4959" s="16">
        <v>12481</v>
      </c>
      <c r="B4959" s="1">
        <v>1</v>
      </c>
      <c r="C4959" s="1">
        <v>1</v>
      </c>
      <c r="D4959" s="1">
        <v>59.64</v>
      </c>
    </row>
    <row r="4960" spans="1:4" x14ac:dyDescent="0.25">
      <c r="A4960" s="16">
        <v>12482</v>
      </c>
      <c r="B4960" s="1">
        <v>1</v>
      </c>
      <c r="C4960" s="1">
        <v>1</v>
      </c>
      <c r="D4960" s="1">
        <v>47.64</v>
      </c>
    </row>
    <row r="4961" spans="1:4" x14ac:dyDescent="0.25">
      <c r="A4961" s="16">
        <v>12483</v>
      </c>
      <c r="B4961" s="1">
        <v>1</v>
      </c>
      <c r="C4961" s="1">
        <v>3</v>
      </c>
      <c r="D4961" s="1">
        <v>7.1999999999999993</v>
      </c>
    </row>
    <row r="4962" spans="1:4" x14ac:dyDescent="0.25">
      <c r="A4962" s="16">
        <v>12484</v>
      </c>
      <c r="B4962" s="1">
        <v>1</v>
      </c>
      <c r="C4962" s="1">
        <v>2</v>
      </c>
      <c r="D4962" s="1">
        <v>5.6</v>
      </c>
    </row>
    <row r="4963" spans="1:4" x14ac:dyDescent="0.25">
      <c r="A4963" s="16">
        <v>12485</v>
      </c>
      <c r="B4963" s="1">
        <v>1</v>
      </c>
      <c r="C4963" s="1">
        <v>1</v>
      </c>
      <c r="D4963" s="1">
        <v>6</v>
      </c>
    </row>
    <row r="4964" spans="1:4" x14ac:dyDescent="0.25">
      <c r="A4964" s="16">
        <v>12486</v>
      </c>
      <c r="B4964" s="1">
        <v>1</v>
      </c>
      <c r="C4964" s="1">
        <v>1</v>
      </c>
      <c r="D4964" s="1">
        <v>8.8000000000000007</v>
      </c>
    </row>
    <row r="4965" spans="1:4" x14ac:dyDescent="0.25">
      <c r="A4965" s="16">
        <v>12487</v>
      </c>
      <c r="B4965" s="1">
        <v>1</v>
      </c>
      <c r="C4965" s="1">
        <v>3</v>
      </c>
      <c r="D4965" s="1">
        <v>5.5200000000000005</v>
      </c>
    </row>
    <row r="4966" spans="1:4" x14ac:dyDescent="0.25">
      <c r="A4966" s="16">
        <v>12488</v>
      </c>
      <c r="B4966" s="1">
        <v>1</v>
      </c>
      <c r="C4966" s="1">
        <v>1</v>
      </c>
      <c r="D4966" s="1">
        <v>8</v>
      </c>
    </row>
    <row r="4967" spans="1:4" x14ac:dyDescent="0.25">
      <c r="A4967" s="16">
        <v>12489</v>
      </c>
      <c r="B4967" s="1">
        <v>1</v>
      </c>
      <c r="C4967" s="1">
        <v>1</v>
      </c>
      <c r="D4967" s="1">
        <v>19.600000000000001</v>
      </c>
    </row>
    <row r="4968" spans="1:4" x14ac:dyDescent="0.25">
      <c r="A4968" s="16">
        <v>12490</v>
      </c>
      <c r="B4968" s="1">
        <v>1</v>
      </c>
      <c r="C4968" s="1">
        <v>1</v>
      </c>
      <c r="D4968" s="1">
        <v>36</v>
      </c>
    </row>
    <row r="4969" spans="1:4" x14ac:dyDescent="0.25">
      <c r="A4969" s="16">
        <v>12491</v>
      </c>
      <c r="B4969" s="1">
        <v>1</v>
      </c>
      <c r="C4969" s="1">
        <v>1</v>
      </c>
      <c r="D4969" s="1">
        <v>13.6</v>
      </c>
    </row>
    <row r="4970" spans="1:4" x14ac:dyDescent="0.25">
      <c r="A4970" s="16">
        <v>12492</v>
      </c>
      <c r="B4970" s="1">
        <v>1</v>
      </c>
      <c r="C4970" s="1">
        <v>1</v>
      </c>
      <c r="D4970" s="1">
        <v>18.8</v>
      </c>
    </row>
    <row r="4971" spans="1:4" x14ac:dyDescent="0.25">
      <c r="A4971" s="16">
        <v>12493</v>
      </c>
      <c r="B4971" s="1">
        <v>1</v>
      </c>
      <c r="C4971" s="1">
        <v>1</v>
      </c>
      <c r="D4971" s="1">
        <v>51.64</v>
      </c>
    </row>
    <row r="4972" spans="1:4" x14ac:dyDescent="0.25">
      <c r="A4972" s="16">
        <v>12494</v>
      </c>
      <c r="B4972" s="1">
        <v>1</v>
      </c>
      <c r="C4972" s="1">
        <v>1</v>
      </c>
      <c r="D4972" s="1">
        <v>8</v>
      </c>
    </row>
    <row r="4973" spans="1:4" x14ac:dyDescent="0.25">
      <c r="A4973" s="16">
        <v>12495</v>
      </c>
      <c r="B4973" s="1">
        <v>1</v>
      </c>
      <c r="C4973" s="1">
        <v>1</v>
      </c>
      <c r="D4973" s="1">
        <v>20</v>
      </c>
    </row>
    <row r="4974" spans="1:4" x14ac:dyDescent="0.25">
      <c r="A4974" s="16">
        <v>12496</v>
      </c>
      <c r="B4974" s="1">
        <v>1</v>
      </c>
      <c r="C4974" s="1">
        <v>1</v>
      </c>
      <c r="D4974" s="1">
        <v>7.6</v>
      </c>
    </row>
    <row r="4975" spans="1:4" x14ac:dyDescent="0.25">
      <c r="A4975" s="16">
        <v>12497</v>
      </c>
      <c r="B4975" s="1">
        <v>1</v>
      </c>
      <c r="C4975" s="1">
        <v>2</v>
      </c>
      <c r="D4975" s="1">
        <v>4.8</v>
      </c>
    </row>
    <row r="4976" spans="1:4" x14ac:dyDescent="0.25">
      <c r="A4976" s="16">
        <v>12498</v>
      </c>
      <c r="B4976" s="1">
        <v>1</v>
      </c>
      <c r="C4976" s="1">
        <v>2</v>
      </c>
      <c r="D4976" s="1">
        <v>5.6</v>
      </c>
    </row>
    <row r="4977" spans="1:4" x14ac:dyDescent="0.25">
      <c r="A4977" s="16">
        <v>12499</v>
      </c>
      <c r="B4977" s="1">
        <v>1</v>
      </c>
      <c r="C4977" s="1">
        <v>1</v>
      </c>
      <c r="D4977" s="1">
        <v>6</v>
      </c>
    </row>
    <row r="4978" spans="1:4" x14ac:dyDescent="0.25">
      <c r="A4978" s="16">
        <v>12500</v>
      </c>
      <c r="B4978" s="1">
        <v>1</v>
      </c>
      <c r="C4978" s="1">
        <v>1</v>
      </c>
      <c r="D4978" s="1">
        <v>8.8000000000000007</v>
      </c>
    </row>
    <row r="4979" spans="1:4" x14ac:dyDescent="0.25">
      <c r="A4979" s="16">
        <v>12501</v>
      </c>
      <c r="B4979" s="1">
        <v>1</v>
      </c>
      <c r="C4979" s="1">
        <v>3</v>
      </c>
      <c r="D4979" s="1">
        <v>6</v>
      </c>
    </row>
    <row r="4980" spans="1:4" x14ac:dyDescent="0.25">
      <c r="A4980" s="16">
        <v>12502</v>
      </c>
      <c r="B4980" s="1">
        <v>1</v>
      </c>
      <c r="C4980" s="1">
        <v>1</v>
      </c>
      <c r="D4980" s="1">
        <v>4</v>
      </c>
    </row>
    <row r="4981" spans="1:4" x14ac:dyDescent="0.25">
      <c r="A4981" s="16">
        <v>12503</v>
      </c>
      <c r="B4981" s="1">
        <v>1</v>
      </c>
      <c r="C4981" s="1">
        <v>2</v>
      </c>
      <c r="D4981" s="1">
        <v>5.6</v>
      </c>
    </row>
    <row r="4982" spans="1:4" x14ac:dyDescent="0.25">
      <c r="A4982" s="16">
        <v>12504</v>
      </c>
      <c r="B4982" s="1">
        <v>1</v>
      </c>
      <c r="C4982" s="1">
        <v>1</v>
      </c>
      <c r="D4982" s="1">
        <v>7.6</v>
      </c>
    </row>
    <row r="4983" spans="1:4" x14ac:dyDescent="0.25">
      <c r="A4983" s="16">
        <v>12505</v>
      </c>
      <c r="B4983" s="1">
        <v>1</v>
      </c>
      <c r="C4983" s="1">
        <v>2</v>
      </c>
      <c r="D4983" s="1">
        <v>5.6</v>
      </c>
    </row>
    <row r="4984" spans="1:4" x14ac:dyDescent="0.25">
      <c r="A4984" s="16">
        <v>12506</v>
      </c>
      <c r="B4984" s="1">
        <v>1</v>
      </c>
      <c r="C4984" s="1">
        <v>1</v>
      </c>
      <c r="D4984" s="1">
        <v>6</v>
      </c>
    </row>
    <row r="4985" spans="1:4" x14ac:dyDescent="0.25">
      <c r="A4985" s="16">
        <v>12507</v>
      </c>
      <c r="B4985" s="1">
        <v>1</v>
      </c>
      <c r="C4985" s="1">
        <v>1</v>
      </c>
      <c r="D4985" s="1">
        <v>8.8000000000000007</v>
      </c>
    </row>
    <row r="4986" spans="1:4" x14ac:dyDescent="0.25">
      <c r="A4986" s="16">
        <v>12508</v>
      </c>
      <c r="B4986" s="1">
        <v>1</v>
      </c>
      <c r="C4986" s="1">
        <v>1</v>
      </c>
      <c r="D4986" s="1">
        <v>19.600000000000001</v>
      </c>
    </row>
    <row r="4987" spans="1:4" x14ac:dyDescent="0.25">
      <c r="A4987" s="16">
        <v>12509</v>
      </c>
      <c r="B4987" s="1">
        <v>1</v>
      </c>
      <c r="C4987" s="1">
        <v>1</v>
      </c>
      <c r="D4987" s="1">
        <v>36</v>
      </c>
    </row>
    <row r="4988" spans="1:4" x14ac:dyDescent="0.25">
      <c r="A4988" s="16">
        <v>12510</v>
      </c>
      <c r="B4988" s="1">
        <v>1</v>
      </c>
      <c r="C4988" s="1">
        <v>1</v>
      </c>
      <c r="D4988" s="1">
        <v>40</v>
      </c>
    </row>
    <row r="4989" spans="1:4" x14ac:dyDescent="0.25">
      <c r="A4989" s="16">
        <v>12511</v>
      </c>
      <c r="B4989" s="1">
        <v>1</v>
      </c>
      <c r="C4989" s="1">
        <v>1</v>
      </c>
      <c r="D4989" s="1">
        <v>51.64</v>
      </c>
    </row>
    <row r="4990" spans="1:4" x14ac:dyDescent="0.25">
      <c r="A4990" s="16">
        <v>12512</v>
      </c>
      <c r="B4990" s="1">
        <v>1</v>
      </c>
      <c r="C4990" s="1">
        <v>1</v>
      </c>
      <c r="D4990" s="1">
        <v>11.6</v>
      </c>
    </row>
    <row r="4991" spans="1:4" x14ac:dyDescent="0.25">
      <c r="A4991" s="16">
        <v>12513</v>
      </c>
      <c r="B4991" s="1">
        <v>1</v>
      </c>
      <c r="C4991" s="1">
        <v>1</v>
      </c>
      <c r="D4991" s="1">
        <v>10</v>
      </c>
    </row>
    <row r="4992" spans="1:4" x14ac:dyDescent="0.25">
      <c r="A4992" s="16">
        <v>12514</v>
      </c>
      <c r="B4992" s="1">
        <v>1</v>
      </c>
      <c r="C4992" s="1">
        <v>1</v>
      </c>
      <c r="D4992" s="1">
        <v>10</v>
      </c>
    </row>
    <row r="4993" spans="1:4" x14ac:dyDescent="0.25">
      <c r="A4993" s="16">
        <v>12515</v>
      </c>
      <c r="B4993" s="1">
        <v>1</v>
      </c>
      <c r="C4993" s="1">
        <v>1</v>
      </c>
      <c r="D4993" s="1">
        <v>13.6</v>
      </c>
    </row>
    <row r="4994" spans="1:4" x14ac:dyDescent="0.25">
      <c r="A4994" s="16">
        <v>12516</v>
      </c>
      <c r="B4994" s="1">
        <v>1</v>
      </c>
      <c r="C4994" s="1">
        <v>3</v>
      </c>
      <c r="D4994" s="1">
        <v>5.5200000000000005</v>
      </c>
    </row>
    <row r="4995" spans="1:4" x14ac:dyDescent="0.25">
      <c r="A4995" s="16">
        <v>12517</v>
      </c>
      <c r="B4995" s="1">
        <v>1</v>
      </c>
      <c r="C4995" s="1">
        <v>2</v>
      </c>
      <c r="D4995" s="1">
        <v>4.8</v>
      </c>
    </row>
    <row r="4996" spans="1:4" x14ac:dyDescent="0.25">
      <c r="A4996" s="16">
        <v>12518</v>
      </c>
      <c r="B4996" s="1">
        <v>1</v>
      </c>
      <c r="C4996" s="1">
        <v>1</v>
      </c>
      <c r="D4996" s="1">
        <v>42</v>
      </c>
    </row>
    <row r="4997" spans="1:4" x14ac:dyDescent="0.25">
      <c r="A4997" s="16">
        <v>12519</v>
      </c>
      <c r="B4997" s="1">
        <v>1</v>
      </c>
      <c r="C4997" s="1">
        <v>1</v>
      </c>
      <c r="D4997" s="1">
        <v>51.64</v>
      </c>
    </row>
    <row r="4998" spans="1:4" x14ac:dyDescent="0.25">
      <c r="A4998" s="16">
        <v>12520</v>
      </c>
      <c r="B4998" s="1">
        <v>1</v>
      </c>
      <c r="C4998" s="1">
        <v>1</v>
      </c>
      <c r="D4998" s="1">
        <v>20</v>
      </c>
    </row>
    <row r="4999" spans="1:4" x14ac:dyDescent="0.25">
      <c r="A4999" s="16">
        <v>12521</v>
      </c>
      <c r="B4999" s="1">
        <v>1</v>
      </c>
      <c r="C4999" s="1">
        <v>1</v>
      </c>
      <c r="D4999" s="1">
        <v>11.2</v>
      </c>
    </row>
    <row r="5000" spans="1:4" x14ac:dyDescent="0.25">
      <c r="A5000" s="16">
        <v>12522</v>
      </c>
      <c r="B5000" s="1">
        <v>1</v>
      </c>
      <c r="C5000" s="1">
        <v>1</v>
      </c>
      <c r="D5000" s="1">
        <v>59.64</v>
      </c>
    </row>
    <row r="5001" spans="1:4" x14ac:dyDescent="0.25">
      <c r="A5001" s="16">
        <v>12523</v>
      </c>
      <c r="B5001" s="1">
        <v>1</v>
      </c>
      <c r="C5001" s="1">
        <v>3</v>
      </c>
      <c r="D5001" s="1">
        <v>6</v>
      </c>
    </row>
    <row r="5002" spans="1:4" x14ac:dyDescent="0.25">
      <c r="A5002" s="16">
        <v>12524</v>
      </c>
      <c r="B5002" s="1">
        <v>1</v>
      </c>
      <c r="C5002" s="1">
        <v>2</v>
      </c>
      <c r="D5002" s="1">
        <v>5.6</v>
      </c>
    </row>
    <row r="5003" spans="1:4" x14ac:dyDescent="0.25">
      <c r="A5003" s="16">
        <v>12525</v>
      </c>
      <c r="B5003" s="1">
        <v>1</v>
      </c>
      <c r="C5003" s="1">
        <v>1</v>
      </c>
      <c r="D5003" s="1">
        <v>6</v>
      </c>
    </row>
    <row r="5004" spans="1:4" x14ac:dyDescent="0.25">
      <c r="A5004" s="16">
        <v>12526</v>
      </c>
      <c r="B5004" s="1">
        <v>1</v>
      </c>
      <c r="C5004" s="1">
        <v>1</v>
      </c>
      <c r="D5004" s="1">
        <v>8.8000000000000007</v>
      </c>
    </row>
    <row r="5005" spans="1:4" x14ac:dyDescent="0.25">
      <c r="A5005" s="16">
        <v>12527</v>
      </c>
      <c r="B5005" s="1">
        <v>1</v>
      </c>
      <c r="C5005" s="1">
        <v>1</v>
      </c>
      <c r="D5005" s="1">
        <v>7.6</v>
      </c>
    </row>
    <row r="5006" spans="1:4" x14ac:dyDescent="0.25">
      <c r="A5006" s="16">
        <v>12528</v>
      </c>
      <c r="B5006" s="1">
        <v>1</v>
      </c>
      <c r="C5006" s="1">
        <v>1</v>
      </c>
      <c r="D5006" s="1">
        <v>19.600000000000001</v>
      </c>
    </row>
    <row r="5007" spans="1:4" x14ac:dyDescent="0.25">
      <c r="A5007" s="16">
        <v>12529</v>
      </c>
      <c r="B5007" s="1">
        <v>1</v>
      </c>
      <c r="C5007" s="1">
        <v>1</v>
      </c>
      <c r="D5007" s="1">
        <v>36</v>
      </c>
    </row>
    <row r="5008" spans="1:4" x14ac:dyDescent="0.25">
      <c r="A5008" s="16">
        <v>12530</v>
      </c>
      <c r="B5008" s="1">
        <v>1</v>
      </c>
      <c r="C5008" s="1">
        <v>1</v>
      </c>
      <c r="D5008" s="1">
        <v>22</v>
      </c>
    </row>
    <row r="5009" spans="1:4" x14ac:dyDescent="0.25">
      <c r="A5009" s="16">
        <v>12531</v>
      </c>
      <c r="B5009" s="1">
        <v>1</v>
      </c>
      <c r="C5009" s="1">
        <v>1</v>
      </c>
      <c r="D5009" s="1">
        <v>18</v>
      </c>
    </row>
    <row r="5010" spans="1:4" x14ac:dyDescent="0.25">
      <c r="A5010" s="16">
        <v>12532</v>
      </c>
      <c r="B5010" s="1">
        <v>1</v>
      </c>
      <c r="C5010" s="1">
        <v>1</v>
      </c>
      <c r="D5010" s="1">
        <v>51.64</v>
      </c>
    </row>
    <row r="5011" spans="1:4" x14ac:dyDescent="0.25">
      <c r="A5011" s="16">
        <v>12533</v>
      </c>
      <c r="B5011" s="1">
        <v>1</v>
      </c>
      <c r="C5011" s="1">
        <v>1</v>
      </c>
      <c r="D5011" s="1">
        <v>11.6</v>
      </c>
    </row>
    <row r="5012" spans="1:4" x14ac:dyDescent="0.25">
      <c r="A5012" s="16">
        <v>12534</v>
      </c>
      <c r="B5012" s="1">
        <v>1</v>
      </c>
      <c r="C5012" s="1">
        <v>2</v>
      </c>
      <c r="D5012" s="1">
        <v>3.68</v>
      </c>
    </row>
    <row r="5013" spans="1:4" x14ac:dyDescent="0.25">
      <c r="A5013" s="16">
        <v>12535</v>
      </c>
      <c r="B5013" s="1">
        <v>1</v>
      </c>
      <c r="C5013" s="1">
        <v>1</v>
      </c>
      <c r="D5013" s="1">
        <v>4</v>
      </c>
    </row>
    <row r="5014" spans="1:4" x14ac:dyDescent="0.25">
      <c r="A5014" s="16">
        <v>12536</v>
      </c>
      <c r="B5014" s="1">
        <v>1</v>
      </c>
      <c r="C5014" s="1">
        <v>1</v>
      </c>
      <c r="D5014" s="1">
        <v>13.6</v>
      </c>
    </row>
    <row r="5015" spans="1:4" x14ac:dyDescent="0.25">
      <c r="A5015" s="16">
        <v>12537</v>
      </c>
      <c r="B5015" s="1">
        <v>1</v>
      </c>
      <c r="C5015" s="1">
        <v>1</v>
      </c>
      <c r="D5015" s="1">
        <v>35.200000000000003</v>
      </c>
    </row>
    <row r="5016" spans="1:4" x14ac:dyDescent="0.25">
      <c r="A5016" s="16">
        <v>12538</v>
      </c>
      <c r="B5016" s="1">
        <v>1</v>
      </c>
      <c r="C5016" s="1">
        <v>1</v>
      </c>
      <c r="D5016" s="1">
        <v>26</v>
      </c>
    </row>
    <row r="5017" spans="1:4" x14ac:dyDescent="0.25">
      <c r="A5017" s="16">
        <v>12539</v>
      </c>
      <c r="B5017" s="1">
        <v>1</v>
      </c>
      <c r="C5017" s="1">
        <v>1</v>
      </c>
      <c r="D5017" s="1">
        <v>20</v>
      </c>
    </row>
    <row r="5018" spans="1:4" x14ac:dyDescent="0.25">
      <c r="A5018" s="16">
        <v>12540</v>
      </c>
      <c r="B5018" s="1">
        <v>1</v>
      </c>
      <c r="C5018" s="1">
        <v>1</v>
      </c>
      <c r="D5018" s="1">
        <v>7.6</v>
      </c>
    </row>
    <row r="5019" spans="1:4" x14ac:dyDescent="0.25">
      <c r="A5019" s="16">
        <v>12541</v>
      </c>
      <c r="B5019" s="1">
        <v>1</v>
      </c>
      <c r="C5019" s="1">
        <v>1</v>
      </c>
      <c r="D5019" s="1">
        <v>8</v>
      </c>
    </row>
    <row r="5020" spans="1:4" x14ac:dyDescent="0.25">
      <c r="A5020" s="16">
        <v>12542</v>
      </c>
      <c r="B5020" s="1">
        <v>1</v>
      </c>
      <c r="C5020" s="1">
        <v>1</v>
      </c>
      <c r="D5020" s="1">
        <v>7.6</v>
      </c>
    </row>
    <row r="5021" spans="1:4" x14ac:dyDescent="0.25">
      <c r="A5021" s="16">
        <v>12543</v>
      </c>
      <c r="B5021" s="1">
        <v>1</v>
      </c>
      <c r="C5021" s="1">
        <v>1</v>
      </c>
      <c r="D5021" s="1">
        <v>47.64</v>
      </c>
    </row>
    <row r="5022" spans="1:4" x14ac:dyDescent="0.25">
      <c r="A5022" s="16">
        <v>12544</v>
      </c>
      <c r="B5022" s="1">
        <v>1</v>
      </c>
      <c r="C5022" s="1">
        <v>1</v>
      </c>
      <c r="D5022" s="1">
        <v>8</v>
      </c>
    </row>
    <row r="5023" spans="1:4" x14ac:dyDescent="0.25">
      <c r="A5023" s="16">
        <v>12545</v>
      </c>
      <c r="B5023" s="1">
        <v>1</v>
      </c>
      <c r="C5023" s="1">
        <v>1</v>
      </c>
      <c r="D5023" s="1">
        <v>6</v>
      </c>
    </row>
    <row r="5024" spans="1:4" x14ac:dyDescent="0.25">
      <c r="A5024" s="16">
        <v>12546</v>
      </c>
      <c r="B5024" s="1">
        <v>1</v>
      </c>
      <c r="C5024" s="1">
        <v>2</v>
      </c>
      <c r="D5024" s="1">
        <v>5.6</v>
      </c>
    </row>
    <row r="5025" spans="1:4" x14ac:dyDescent="0.25">
      <c r="A5025" s="16">
        <v>12547</v>
      </c>
      <c r="B5025" s="1">
        <v>1</v>
      </c>
      <c r="C5025" s="1">
        <v>1</v>
      </c>
      <c r="D5025" s="1">
        <v>59.64</v>
      </c>
    </row>
    <row r="5026" spans="1:4" x14ac:dyDescent="0.25">
      <c r="A5026" s="16">
        <v>12548</v>
      </c>
      <c r="B5026" s="1">
        <v>1</v>
      </c>
      <c r="C5026" s="1">
        <v>1</v>
      </c>
      <c r="D5026" s="1">
        <v>7.2</v>
      </c>
    </row>
    <row r="5027" spans="1:4" x14ac:dyDescent="0.25">
      <c r="A5027" s="16">
        <v>12549</v>
      </c>
      <c r="B5027" s="1">
        <v>1</v>
      </c>
      <c r="C5027" s="1">
        <v>1</v>
      </c>
      <c r="D5027" s="1">
        <v>20</v>
      </c>
    </row>
    <row r="5028" spans="1:4" x14ac:dyDescent="0.25">
      <c r="A5028" s="16">
        <v>12550</v>
      </c>
      <c r="B5028" s="1">
        <v>1</v>
      </c>
      <c r="C5028" s="1">
        <v>1</v>
      </c>
      <c r="D5028" s="1">
        <v>13.6</v>
      </c>
    </row>
    <row r="5029" spans="1:4" x14ac:dyDescent="0.25">
      <c r="A5029" s="16">
        <v>12551</v>
      </c>
      <c r="B5029" s="1">
        <v>1</v>
      </c>
      <c r="C5029" s="1">
        <v>1</v>
      </c>
      <c r="D5029" s="1">
        <v>79.64</v>
      </c>
    </row>
    <row r="5030" spans="1:4" x14ac:dyDescent="0.25">
      <c r="A5030" s="16">
        <v>12552</v>
      </c>
      <c r="B5030" s="1">
        <v>1</v>
      </c>
      <c r="C5030" s="1">
        <v>1</v>
      </c>
      <c r="D5030" s="1">
        <v>51.64</v>
      </c>
    </row>
    <row r="5031" spans="1:4" x14ac:dyDescent="0.25">
      <c r="A5031" s="16">
        <v>12553</v>
      </c>
      <c r="B5031" s="1">
        <v>1</v>
      </c>
      <c r="C5031" s="1">
        <v>1</v>
      </c>
      <c r="D5031" s="1">
        <v>7.6</v>
      </c>
    </row>
    <row r="5032" spans="1:4" x14ac:dyDescent="0.25">
      <c r="A5032" s="16">
        <v>12554</v>
      </c>
      <c r="B5032" s="1">
        <v>1</v>
      </c>
      <c r="C5032" s="1">
        <v>1</v>
      </c>
      <c r="D5032" s="1">
        <v>11.2</v>
      </c>
    </row>
    <row r="5033" spans="1:4" x14ac:dyDescent="0.25">
      <c r="A5033" s="16">
        <v>12555</v>
      </c>
      <c r="B5033" s="1">
        <v>1</v>
      </c>
      <c r="C5033" s="1">
        <v>4</v>
      </c>
      <c r="D5033" s="1">
        <v>8</v>
      </c>
    </row>
    <row r="5034" spans="1:4" x14ac:dyDescent="0.25">
      <c r="A5034" s="16">
        <v>12556</v>
      </c>
      <c r="B5034" s="1">
        <v>1</v>
      </c>
      <c r="C5034" s="1">
        <v>2</v>
      </c>
      <c r="D5034" s="1">
        <v>4.8</v>
      </c>
    </row>
    <row r="5035" spans="1:4" x14ac:dyDescent="0.25">
      <c r="A5035" s="16">
        <v>12557</v>
      </c>
      <c r="B5035" s="1">
        <v>1</v>
      </c>
      <c r="C5035" s="1">
        <v>3</v>
      </c>
      <c r="D5035" s="1">
        <v>5.5200000000000005</v>
      </c>
    </row>
    <row r="5036" spans="1:4" x14ac:dyDescent="0.25">
      <c r="A5036" s="16">
        <v>12558</v>
      </c>
      <c r="B5036" s="1">
        <v>1</v>
      </c>
      <c r="C5036" s="1">
        <v>2</v>
      </c>
      <c r="D5036" s="1">
        <v>5.6</v>
      </c>
    </row>
    <row r="5037" spans="1:4" x14ac:dyDescent="0.25">
      <c r="A5037" s="16">
        <v>12559</v>
      </c>
      <c r="B5037" s="1">
        <v>1</v>
      </c>
      <c r="C5037" s="1">
        <v>1</v>
      </c>
      <c r="D5037" s="1">
        <v>6</v>
      </c>
    </row>
    <row r="5038" spans="1:4" x14ac:dyDescent="0.25">
      <c r="A5038" s="16">
        <v>12560</v>
      </c>
      <c r="B5038" s="1">
        <v>1</v>
      </c>
      <c r="C5038" s="1">
        <v>1</v>
      </c>
      <c r="D5038" s="1">
        <v>8.8000000000000007</v>
      </c>
    </row>
    <row r="5039" spans="1:4" x14ac:dyDescent="0.25">
      <c r="A5039" s="16">
        <v>12561</v>
      </c>
      <c r="B5039" s="1">
        <v>1</v>
      </c>
      <c r="C5039" s="1">
        <v>1</v>
      </c>
      <c r="D5039" s="1">
        <v>42</v>
      </c>
    </row>
    <row r="5040" spans="1:4" x14ac:dyDescent="0.25">
      <c r="A5040" s="16">
        <v>12562</v>
      </c>
      <c r="B5040" s="1">
        <v>1</v>
      </c>
      <c r="C5040" s="1">
        <v>1</v>
      </c>
      <c r="D5040" s="1">
        <v>59.64</v>
      </c>
    </row>
    <row r="5041" spans="1:4" x14ac:dyDescent="0.25">
      <c r="A5041" s="16">
        <v>12563</v>
      </c>
      <c r="B5041" s="1">
        <v>1</v>
      </c>
      <c r="C5041" s="1">
        <v>1</v>
      </c>
      <c r="D5041" s="1">
        <v>8</v>
      </c>
    </row>
    <row r="5042" spans="1:4" x14ac:dyDescent="0.25">
      <c r="A5042" s="16">
        <v>12564</v>
      </c>
      <c r="B5042" s="1">
        <v>1</v>
      </c>
      <c r="C5042" s="1">
        <v>1</v>
      </c>
      <c r="D5042" s="1">
        <v>36</v>
      </c>
    </row>
    <row r="5043" spans="1:4" x14ac:dyDescent="0.25">
      <c r="A5043" s="16">
        <v>12565</v>
      </c>
      <c r="B5043" s="1">
        <v>1</v>
      </c>
      <c r="C5043" s="1">
        <v>1</v>
      </c>
      <c r="D5043" s="1">
        <v>8</v>
      </c>
    </row>
    <row r="5044" spans="1:4" x14ac:dyDescent="0.25">
      <c r="A5044" s="16">
        <v>12566</v>
      </c>
      <c r="B5044" s="1">
        <v>1</v>
      </c>
      <c r="C5044" s="1">
        <v>1</v>
      </c>
      <c r="D5044" s="1">
        <v>40</v>
      </c>
    </row>
    <row r="5045" spans="1:4" x14ac:dyDescent="0.25">
      <c r="A5045" s="16">
        <v>12567</v>
      </c>
      <c r="B5045" s="1">
        <v>1</v>
      </c>
      <c r="C5045" s="1">
        <v>2</v>
      </c>
      <c r="D5045" s="1">
        <v>5.6</v>
      </c>
    </row>
    <row r="5046" spans="1:4" x14ac:dyDescent="0.25">
      <c r="A5046" s="16">
        <v>12568</v>
      </c>
      <c r="B5046" s="1">
        <v>2</v>
      </c>
      <c r="C5046" s="1">
        <v>2</v>
      </c>
      <c r="D5046" s="1">
        <v>16</v>
      </c>
    </row>
    <row r="5047" spans="1:4" x14ac:dyDescent="0.25">
      <c r="A5047" s="16">
        <v>12569</v>
      </c>
      <c r="B5047" s="1">
        <v>1</v>
      </c>
      <c r="C5047" s="1">
        <v>1</v>
      </c>
      <c r="D5047" s="1">
        <v>42</v>
      </c>
    </row>
    <row r="5048" spans="1:4" x14ac:dyDescent="0.25">
      <c r="A5048" s="16">
        <v>12570</v>
      </c>
      <c r="B5048" s="1">
        <v>1</v>
      </c>
      <c r="C5048" s="1">
        <v>3</v>
      </c>
      <c r="D5048" s="1">
        <v>6</v>
      </c>
    </row>
    <row r="5049" spans="1:4" x14ac:dyDescent="0.25">
      <c r="A5049" s="16">
        <v>12571</v>
      </c>
      <c r="B5049" s="1">
        <v>1</v>
      </c>
      <c r="C5049" s="1">
        <v>1</v>
      </c>
      <c r="D5049" s="1">
        <v>51.64</v>
      </c>
    </row>
    <row r="5050" spans="1:4" x14ac:dyDescent="0.25">
      <c r="A5050" s="16">
        <v>12572</v>
      </c>
      <c r="B5050" s="1">
        <v>1</v>
      </c>
      <c r="C5050" s="1">
        <v>1</v>
      </c>
      <c r="D5050" s="1">
        <v>8</v>
      </c>
    </row>
    <row r="5051" spans="1:4" x14ac:dyDescent="0.25">
      <c r="A5051" s="16">
        <v>12573</v>
      </c>
      <c r="B5051" s="1">
        <v>1</v>
      </c>
      <c r="C5051" s="1">
        <v>1</v>
      </c>
      <c r="D5051" s="1">
        <v>6.8</v>
      </c>
    </row>
    <row r="5052" spans="1:4" x14ac:dyDescent="0.25">
      <c r="A5052" s="16">
        <v>12574</v>
      </c>
      <c r="B5052" s="1">
        <v>1</v>
      </c>
      <c r="C5052" s="1">
        <v>1</v>
      </c>
      <c r="D5052" s="1">
        <v>20</v>
      </c>
    </row>
    <row r="5053" spans="1:4" x14ac:dyDescent="0.25">
      <c r="A5053" s="16">
        <v>12575</v>
      </c>
      <c r="B5053" s="1">
        <v>1</v>
      </c>
      <c r="C5053" s="1">
        <v>1</v>
      </c>
      <c r="D5053" s="1">
        <v>8</v>
      </c>
    </row>
    <row r="5054" spans="1:4" x14ac:dyDescent="0.25">
      <c r="A5054" s="16">
        <v>12576</v>
      </c>
      <c r="B5054" s="1">
        <v>1</v>
      </c>
      <c r="C5054" s="1">
        <v>2</v>
      </c>
      <c r="D5054" s="1">
        <v>12.8</v>
      </c>
    </row>
    <row r="5055" spans="1:4" x14ac:dyDescent="0.25">
      <c r="A5055" s="16">
        <v>12577</v>
      </c>
      <c r="B5055" s="1">
        <v>1</v>
      </c>
      <c r="C5055" s="1">
        <v>1</v>
      </c>
      <c r="D5055" s="1">
        <v>40</v>
      </c>
    </row>
    <row r="5056" spans="1:4" x14ac:dyDescent="0.25">
      <c r="A5056" s="16">
        <v>12578</v>
      </c>
      <c r="B5056" s="1">
        <v>1</v>
      </c>
      <c r="C5056" s="1">
        <v>1</v>
      </c>
      <c r="D5056" s="1">
        <v>4</v>
      </c>
    </row>
    <row r="5057" spans="1:4" x14ac:dyDescent="0.25">
      <c r="A5057" s="16">
        <v>12579</v>
      </c>
      <c r="B5057" s="1">
        <v>1</v>
      </c>
      <c r="C5057" s="1">
        <v>1</v>
      </c>
      <c r="D5057" s="1">
        <v>51.64</v>
      </c>
    </row>
    <row r="5058" spans="1:4" x14ac:dyDescent="0.25">
      <c r="A5058" s="16">
        <v>12580</v>
      </c>
      <c r="B5058" s="1">
        <v>1</v>
      </c>
      <c r="C5058" s="1">
        <v>1</v>
      </c>
      <c r="D5058" s="1">
        <v>7.2</v>
      </c>
    </row>
    <row r="5059" spans="1:4" x14ac:dyDescent="0.25">
      <c r="A5059" s="16">
        <v>12581</v>
      </c>
      <c r="B5059" s="1">
        <v>1</v>
      </c>
      <c r="C5059" s="1">
        <v>1</v>
      </c>
      <c r="D5059" s="1">
        <v>75.64</v>
      </c>
    </row>
    <row r="5060" spans="1:4" x14ac:dyDescent="0.25">
      <c r="A5060" s="16">
        <v>12582</v>
      </c>
      <c r="B5060" s="1">
        <v>1</v>
      </c>
      <c r="C5060" s="1">
        <v>1</v>
      </c>
      <c r="D5060" s="1">
        <v>26</v>
      </c>
    </row>
    <row r="5061" spans="1:4" x14ac:dyDescent="0.25">
      <c r="A5061" s="16">
        <v>12583</v>
      </c>
      <c r="B5061" s="1">
        <v>1</v>
      </c>
      <c r="C5061" s="1">
        <v>1</v>
      </c>
      <c r="D5061" s="1">
        <v>7.6</v>
      </c>
    </row>
    <row r="5062" spans="1:4" x14ac:dyDescent="0.25">
      <c r="A5062" s="16">
        <v>12584</v>
      </c>
      <c r="B5062" s="1">
        <v>1</v>
      </c>
      <c r="C5062" s="1">
        <v>1</v>
      </c>
      <c r="D5062" s="1">
        <v>7.2</v>
      </c>
    </row>
    <row r="5063" spans="1:4" x14ac:dyDescent="0.25">
      <c r="A5063" s="16">
        <v>12585</v>
      </c>
      <c r="B5063" s="1">
        <v>1</v>
      </c>
      <c r="C5063" s="1">
        <v>1</v>
      </c>
      <c r="D5063" s="1">
        <v>36</v>
      </c>
    </row>
    <row r="5064" spans="1:4" x14ac:dyDescent="0.25">
      <c r="A5064" s="16">
        <v>12586</v>
      </c>
      <c r="B5064" s="1">
        <v>1</v>
      </c>
      <c r="C5064" s="1">
        <v>1</v>
      </c>
      <c r="D5064" s="1">
        <v>10</v>
      </c>
    </row>
    <row r="5065" spans="1:4" x14ac:dyDescent="0.25">
      <c r="A5065" s="16">
        <v>12587</v>
      </c>
      <c r="B5065" s="1">
        <v>1</v>
      </c>
      <c r="C5065" s="1">
        <v>1</v>
      </c>
      <c r="D5065" s="1">
        <v>7.6</v>
      </c>
    </row>
    <row r="5066" spans="1:4" x14ac:dyDescent="0.25">
      <c r="A5066" s="16">
        <v>12588</v>
      </c>
      <c r="B5066" s="1">
        <v>1</v>
      </c>
      <c r="C5066" s="1">
        <v>1</v>
      </c>
      <c r="D5066" s="1">
        <v>8.8000000000000007</v>
      </c>
    </row>
    <row r="5067" spans="1:4" x14ac:dyDescent="0.25">
      <c r="A5067" s="16">
        <v>12589</v>
      </c>
      <c r="B5067" s="1">
        <v>1</v>
      </c>
      <c r="C5067" s="1">
        <v>2</v>
      </c>
      <c r="D5067" s="1">
        <v>7.2</v>
      </c>
    </row>
    <row r="5068" spans="1:4" x14ac:dyDescent="0.25">
      <c r="A5068" s="16">
        <v>12590</v>
      </c>
      <c r="B5068" s="1">
        <v>1</v>
      </c>
      <c r="C5068" s="1">
        <v>1</v>
      </c>
      <c r="D5068" s="1">
        <v>6</v>
      </c>
    </row>
    <row r="5069" spans="1:4" x14ac:dyDescent="0.25">
      <c r="A5069" s="16">
        <v>12591</v>
      </c>
      <c r="B5069" s="1">
        <v>1</v>
      </c>
      <c r="C5069" s="1">
        <v>1</v>
      </c>
      <c r="D5069" s="1">
        <v>11.2</v>
      </c>
    </row>
    <row r="5070" spans="1:4" x14ac:dyDescent="0.25">
      <c r="A5070" s="16">
        <v>12592</v>
      </c>
      <c r="B5070" s="1">
        <v>1</v>
      </c>
      <c r="C5070" s="1">
        <v>1</v>
      </c>
      <c r="D5070" s="1">
        <v>10</v>
      </c>
    </row>
    <row r="5071" spans="1:4" x14ac:dyDescent="0.25">
      <c r="A5071" s="16">
        <v>12593</v>
      </c>
      <c r="B5071" s="1">
        <v>1</v>
      </c>
      <c r="C5071" s="1">
        <v>1</v>
      </c>
      <c r="D5071" s="1">
        <v>19.600000000000001</v>
      </c>
    </row>
    <row r="5072" spans="1:4" x14ac:dyDescent="0.25">
      <c r="A5072" s="16">
        <v>12594</v>
      </c>
      <c r="B5072" s="1">
        <v>1</v>
      </c>
      <c r="C5072" s="1">
        <v>1</v>
      </c>
      <c r="D5072" s="1">
        <v>16</v>
      </c>
    </row>
    <row r="5073" spans="1:4" x14ac:dyDescent="0.25">
      <c r="A5073" s="16">
        <v>12595</v>
      </c>
      <c r="B5073" s="1">
        <v>1</v>
      </c>
      <c r="C5073" s="1">
        <v>1</v>
      </c>
      <c r="D5073" s="1">
        <v>33.200000000000003</v>
      </c>
    </row>
    <row r="5074" spans="1:4" x14ac:dyDescent="0.25">
      <c r="A5074" s="16">
        <v>12596</v>
      </c>
      <c r="B5074" s="1">
        <v>1</v>
      </c>
      <c r="C5074" s="1">
        <v>1</v>
      </c>
      <c r="D5074" s="1">
        <v>14</v>
      </c>
    </row>
    <row r="5075" spans="1:4" x14ac:dyDescent="0.25">
      <c r="A5075" s="16">
        <v>12597</v>
      </c>
      <c r="B5075" s="1">
        <v>1</v>
      </c>
      <c r="C5075" s="1">
        <v>1</v>
      </c>
      <c r="D5075" s="1">
        <v>8</v>
      </c>
    </row>
    <row r="5076" spans="1:4" x14ac:dyDescent="0.25">
      <c r="A5076" s="16">
        <v>12598</v>
      </c>
      <c r="B5076" s="1">
        <v>1</v>
      </c>
      <c r="C5076" s="1">
        <v>1</v>
      </c>
      <c r="D5076" s="1">
        <v>22</v>
      </c>
    </row>
    <row r="5077" spans="1:4" x14ac:dyDescent="0.25">
      <c r="A5077" s="16">
        <v>12599</v>
      </c>
      <c r="B5077" s="1">
        <v>1</v>
      </c>
      <c r="C5077" s="1">
        <v>1</v>
      </c>
      <c r="D5077" s="1">
        <v>59.64</v>
      </c>
    </row>
    <row r="5078" spans="1:4" x14ac:dyDescent="0.25">
      <c r="A5078" s="16">
        <v>12600</v>
      </c>
      <c r="B5078" s="1">
        <v>1</v>
      </c>
      <c r="C5078" s="1">
        <v>3</v>
      </c>
      <c r="D5078" s="1">
        <v>6</v>
      </c>
    </row>
    <row r="5079" spans="1:4" x14ac:dyDescent="0.25">
      <c r="A5079" s="16">
        <v>12601</v>
      </c>
      <c r="B5079" s="1">
        <v>1</v>
      </c>
      <c r="C5079" s="1">
        <v>2</v>
      </c>
      <c r="D5079" s="1">
        <v>4.8</v>
      </c>
    </row>
    <row r="5080" spans="1:4" x14ac:dyDescent="0.25">
      <c r="A5080" s="16">
        <v>12602</v>
      </c>
      <c r="B5080" s="1">
        <v>1</v>
      </c>
      <c r="C5080" s="1">
        <v>1</v>
      </c>
      <c r="D5080" s="1">
        <v>7.6</v>
      </c>
    </row>
    <row r="5081" spans="1:4" x14ac:dyDescent="0.25">
      <c r="A5081" s="16">
        <v>12603</v>
      </c>
      <c r="B5081" s="1">
        <v>1</v>
      </c>
      <c r="C5081" s="1">
        <v>1</v>
      </c>
      <c r="D5081" s="1">
        <v>37.6</v>
      </c>
    </row>
    <row r="5082" spans="1:4" x14ac:dyDescent="0.25">
      <c r="A5082" s="16">
        <v>12604</v>
      </c>
      <c r="B5082" s="1">
        <v>1</v>
      </c>
      <c r="C5082" s="1">
        <v>1</v>
      </c>
      <c r="D5082" s="1">
        <v>6</v>
      </c>
    </row>
    <row r="5083" spans="1:4" x14ac:dyDescent="0.25">
      <c r="A5083" s="16">
        <v>12605</v>
      </c>
      <c r="B5083" s="1">
        <v>1</v>
      </c>
      <c r="C5083" s="1">
        <v>1</v>
      </c>
      <c r="D5083" s="1">
        <v>13.6</v>
      </c>
    </row>
    <row r="5084" spans="1:4" x14ac:dyDescent="0.25">
      <c r="A5084" s="16">
        <v>12606</v>
      </c>
      <c r="B5084" s="1">
        <v>1</v>
      </c>
      <c r="C5084" s="1">
        <v>1</v>
      </c>
      <c r="D5084" s="1">
        <v>20</v>
      </c>
    </row>
    <row r="5085" spans="1:4" x14ac:dyDescent="0.25">
      <c r="A5085" s="16">
        <v>12607</v>
      </c>
      <c r="B5085" s="1">
        <v>1</v>
      </c>
      <c r="C5085" s="1">
        <v>1</v>
      </c>
      <c r="D5085" s="1">
        <v>10</v>
      </c>
    </row>
    <row r="5086" spans="1:4" x14ac:dyDescent="0.25">
      <c r="A5086" s="16">
        <v>12608</v>
      </c>
      <c r="B5086" s="1">
        <v>1</v>
      </c>
      <c r="C5086" s="1">
        <v>1</v>
      </c>
      <c r="D5086" s="1">
        <v>79.64</v>
      </c>
    </row>
    <row r="5087" spans="1:4" x14ac:dyDescent="0.25">
      <c r="A5087" s="16">
        <v>12609</v>
      </c>
      <c r="B5087" s="1">
        <v>1</v>
      </c>
      <c r="C5087" s="1">
        <v>1</v>
      </c>
      <c r="D5087" s="1">
        <v>5.2</v>
      </c>
    </row>
    <row r="5088" spans="1:4" x14ac:dyDescent="0.25">
      <c r="A5088" s="16">
        <v>12610</v>
      </c>
      <c r="B5088" s="1">
        <v>1</v>
      </c>
      <c r="C5088" s="1">
        <v>1</v>
      </c>
      <c r="D5088" s="1">
        <v>7.6</v>
      </c>
    </row>
    <row r="5089" spans="1:4" x14ac:dyDescent="0.25">
      <c r="A5089" s="16">
        <v>12611</v>
      </c>
      <c r="B5089" s="1">
        <v>1</v>
      </c>
      <c r="C5089" s="1">
        <v>1</v>
      </c>
      <c r="D5089" s="1">
        <v>7.2</v>
      </c>
    </row>
    <row r="5090" spans="1:4" x14ac:dyDescent="0.25">
      <c r="A5090" s="16">
        <v>12612</v>
      </c>
      <c r="B5090" s="1">
        <v>1</v>
      </c>
      <c r="C5090" s="1">
        <v>1</v>
      </c>
      <c r="D5090" s="1">
        <v>6.4</v>
      </c>
    </row>
    <row r="5091" spans="1:4" x14ac:dyDescent="0.25">
      <c r="A5091" s="16">
        <v>12613</v>
      </c>
      <c r="B5091" s="1">
        <v>1</v>
      </c>
      <c r="C5091" s="1">
        <v>1</v>
      </c>
      <c r="D5091" s="1">
        <v>18</v>
      </c>
    </row>
    <row r="5092" spans="1:4" x14ac:dyDescent="0.25">
      <c r="A5092" s="16">
        <v>12614</v>
      </c>
      <c r="B5092" s="1">
        <v>1</v>
      </c>
      <c r="C5092" s="1">
        <v>1</v>
      </c>
      <c r="D5092" s="1">
        <v>36</v>
      </c>
    </row>
    <row r="5093" spans="1:4" x14ac:dyDescent="0.25">
      <c r="A5093" s="16">
        <v>12615</v>
      </c>
      <c r="B5093" s="1">
        <v>1</v>
      </c>
      <c r="C5093" s="1">
        <v>1</v>
      </c>
      <c r="D5093" s="1">
        <v>20</v>
      </c>
    </row>
    <row r="5094" spans="1:4" x14ac:dyDescent="0.25">
      <c r="A5094" s="16">
        <v>12616</v>
      </c>
      <c r="B5094" s="1">
        <v>1</v>
      </c>
      <c r="C5094" s="1">
        <v>1</v>
      </c>
      <c r="D5094" s="1">
        <v>51.64</v>
      </c>
    </row>
    <row r="5095" spans="1:4" x14ac:dyDescent="0.25">
      <c r="A5095" s="16">
        <v>12617</v>
      </c>
      <c r="B5095" s="1">
        <v>1</v>
      </c>
      <c r="C5095" s="1">
        <v>1</v>
      </c>
      <c r="D5095" s="1">
        <v>20</v>
      </c>
    </row>
    <row r="5096" spans="1:4" x14ac:dyDescent="0.25">
      <c r="A5096" s="16">
        <v>12618</v>
      </c>
      <c r="B5096" s="1">
        <v>1</v>
      </c>
      <c r="C5096" s="1">
        <v>1</v>
      </c>
      <c r="D5096" s="1">
        <v>12</v>
      </c>
    </row>
    <row r="5097" spans="1:4" x14ac:dyDescent="0.25">
      <c r="A5097" s="16">
        <v>12619</v>
      </c>
      <c r="B5097" s="1">
        <v>1</v>
      </c>
      <c r="C5097" s="1">
        <v>1</v>
      </c>
      <c r="D5097" s="1">
        <v>11.2</v>
      </c>
    </row>
    <row r="5098" spans="1:4" x14ac:dyDescent="0.25">
      <c r="A5098" s="16">
        <v>12620</v>
      </c>
      <c r="B5098" s="1">
        <v>1</v>
      </c>
      <c r="C5098" s="1">
        <v>1</v>
      </c>
      <c r="D5098" s="1">
        <v>42</v>
      </c>
    </row>
    <row r="5099" spans="1:4" x14ac:dyDescent="0.25">
      <c r="A5099" s="16">
        <v>12621</v>
      </c>
      <c r="B5099" s="1">
        <v>1</v>
      </c>
      <c r="C5099" s="1">
        <v>3</v>
      </c>
      <c r="D5099" s="1">
        <v>8.3999999999999986</v>
      </c>
    </row>
    <row r="5100" spans="1:4" x14ac:dyDescent="0.25">
      <c r="A5100" s="16">
        <v>12622</v>
      </c>
      <c r="B5100" s="1">
        <v>1</v>
      </c>
      <c r="C5100" s="1">
        <v>1</v>
      </c>
      <c r="D5100" s="1">
        <v>22</v>
      </c>
    </row>
    <row r="5101" spans="1:4" x14ac:dyDescent="0.25">
      <c r="A5101" s="16">
        <v>12623</v>
      </c>
      <c r="B5101" s="1">
        <v>1</v>
      </c>
      <c r="C5101" s="1">
        <v>1</v>
      </c>
      <c r="D5101" s="1">
        <v>59.64</v>
      </c>
    </row>
    <row r="5102" spans="1:4" x14ac:dyDescent="0.25">
      <c r="A5102" s="16">
        <v>12624</v>
      </c>
      <c r="B5102" s="1">
        <v>1</v>
      </c>
      <c r="C5102" s="1">
        <v>1</v>
      </c>
      <c r="D5102" s="1">
        <v>36</v>
      </c>
    </row>
    <row r="5103" spans="1:4" x14ac:dyDescent="0.25">
      <c r="A5103" s="16">
        <v>12625</v>
      </c>
      <c r="B5103" s="1">
        <v>1</v>
      </c>
      <c r="C5103" s="1">
        <v>1</v>
      </c>
      <c r="D5103" s="1">
        <v>8.8000000000000007</v>
      </c>
    </row>
    <row r="5104" spans="1:4" x14ac:dyDescent="0.25">
      <c r="A5104" s="16">
        <v>12626</v>
      </c>
      <c r="B5104" s="1">
        <v>1</v>
      </c>
      <c r="C5104" s="1">
        <v>1</v>
      </c>
      <c r="D5104" s="1">
        <v>5.2</v>
      </c>
    </row>
    <row r="5105" spans="1:4" x14ac:dyDescent="0.25">
      <c r="A5105" s="16">
        <v>12627</v>
      </c>
      <c r="B5105" s="1">
        <v>1</v>
      </c>
      <c r="C5105" s="1">
        <v>1</v>
      </c>
      <c r="D5105" s="1">
        <v>9.1999999999999993</v>
      </c>
    </row>
    <row r="5106" spans="1:4" x14ac:dyDescent="0.25">
      <c r="A5106" s="16">
        <v>12628</v>
      </c>
      <c r="B5106" s="1">
        <v>1</v>
      </c>
      <c r="C5106" s="1">
        <v>2</v>
      </c>
      <c r="D5106" s="1">
        <v>15.2</v>
      </c>
    </row>
    <row r="5107" spans="1:4" x14ac:dyDescent="0.25">
      <c r="A5107" s="16">
        <v>12629</v>
      </c>
      <c r="B5107" s="1">
        <v>1</v>
      </c>
      <c r="C5107" s="1">
        <v>1</v>
      </c>
      <c r="D5107" s="1">
        <v>40</v>
      </c>
    </row>
    <row r="5108" spans="1:4" x14ac:dyDescent="0.25">
      <c r="A5108" s="16">
        <v>12630</v>
      </c>
      <c r="B5108" s="1">
        <v>1</v>
      </c>
      <c r="C5108" s="1">
        <v>1</v>
      </c>
      <c r="D5108" s="1">
        <v>8</v>
      </c>
    </row>
    <row r="5109" spans="1:4" x14ac:dyDescent="0.25">
      <c r="A5109" s="16">
        <v>12631</v>
      </c>
      <c r="B5109" s="1">
        <v>1</v>
      </c>
      <c r="C5109" s="1">
        <v>1</v>
      </c>
      <c r="D5109" s="1">
        <v>38</v>
      </c>
    </row>
    <row r="5110" spans="1:4" x14ac:dyDescent="0.25">
      <c r="A5110" s="16">
        <v>12632</v>
      </c>
      <c r="B5110" s="1">
        <v>1</v>
      </c>
      <c r="C5110" s="1">
        <v>1</v>
      </c>
      <c r="D5110" s="1">
        <v>59.64</v>
      </c>
    </row>
    <row r="5111" spans="1:4" x14ac:dyDescent="0.25">
      <c r="A5111" s="16">
        <v>12633</v>
      </c>
      <c r="B5111" s="1">
        <v>1</v>
      </c>
      <c r="C5111" s="1">
        <v>1</v>
      </c>
      <c r="D5111" s="1">
        <v>11.6</v>
      </c>
    </row>
    <row r="5112" spans="1:4" x14ac:dyDescent="0.25">
      <c r="A5112" s="16">
        <v>12634</v>
      </c>
      <c r="B5112" s="1">
        <v>1</v>
      </c>
      <c r="C5112" s="1">
        <v>1</v>
      </c>
      <c r="D5112" s="1">
        <v>3.6</v>
      </c>
    </row>
    <row r="5113" spans="1:4" x14ac:dyDescent="0.25">
      <c r="A5113" s="16">
        <v>12635</v>
      </c>
      <c r="B5113" s="1">
        <v>1</v>
      </c>
      <c r="C5113" s="1">
        <v>3</v>
      </c>
      <c r="D5113" s="1">
        <v>8.3999999999999986</v>
      </c>
    </row>
    <row r="5114" spans="1:4" x14ac:dyDescent="0.25">
      <c r="A5114" s="16">
        <v>12636</v>
      </c>
      <c r="B5114" s="1">
        <v>1</v>
      </c>
      <c r="C5114" s="1">
        <v>1</v>
      </c>
      <c r="D5114" s="1">
        <v>6.8</v>
      </c>
    </row>
    <row r="5115" spans="1:4" x14ac:dyDescent="0.25">
      <c r="A5115" s="16">
        <v>12637</v>
      </c>
      <c r="B5115" s="1">
        <v>1</v>
      </c>
      <c r="C5115" s="1">
        <v>2</v>
      </c>
      <c r="D5115" s="1">
        <v>9.6</v>
      </c>
    </row>
    <row r="5116" spans="1:4" x14ac:dyDescent="0.25">
      <c r="A5116" s="16">
        <v>12638</v>
      </c>
      <c r="B5116" s="1">
        <v>1</v>
      </c>
      <c r="C5116" s="1">
        <v>1</v>
      </c>
      <c r="D5116" s="1">
        <v>10</v>
      </c>
    </row>
    <row r="5117" spans="1:4" x14ac:dyDescent="0.25">
      <c r="A5117" s="16">
        <v>12639</v>
      </c>
      <c r="B5117" s="1">
        <v>1</v>
      </c>
      <c r="C5117" s="1">
        <v>1</v>
      </c>
      <c r="D5117" s="1">
        <v>42</v>
      </c>
    </row>
    <row r="5118" spans="1:4" x14ac:dyDescent="0.25">
      <c r="A5118" s="16">
        <v>12640</v>
      </c>
      <c r="B5118" s="1">
        <v>1</v>
      </c>
      <c r="C5118" s="1">
        <v>1</v>
      </c>
      <c r="D5118" s="1">
        <v>7.2</v>
      </c>
    </row>
    <row r="5119" spans="1:4" x14ac:dyDescent="0.25">
      <c r="A5119" s="16">
        <v>12641</v>
      </c>
      <c r="B5119" s="1">
        <v>1</v>
      </c>
      <c r="C5119" s="1">
        <v>1</v>
      </c>
      <c r="D5119" s="1">
        <v>6</v>
      </c>
    </row>
    <row r="5120" spans="1:4" x14ac:dyDescent="0.25">
      <c r="A5120" s="16">
        <v>12642</v>
      </c>
      <c r="B5120" s="1">
        <v>1</v>
      </c>
      <c r="C5120" s="1">
        <v>1</v>
      </c>
      <c r="D5120" s="1">
        <v>11.2</v>
      </c>
    </row>
    <row r="5121" spans="1:4" x14ac:dyDescent="0.25">
      <c r="A5121" s="16">
        <v>12643</v>
      </c>
      <c r="B5121" s="1">
        <v>1</v>
      </c>
      <c r="C5121" s="1">
        <v>1</v>
      </c>
      <c r="D5121" s="1">
        <v>10</v>
      </c>
    </row>
    <row r="5122" spans="1:4" x14ac:dyDescent="0.25">
      <c r="A5122" s="16">
        <v>12644</v>
      </c>
      <c r="B5122" s="1">
        <v>1</v>
      </c>
      <c r="C5122" s="1">
        <v>1</v>
      </c>
      <c r="D5122" s="1">
        <v>2.4</v>
      </c>
    </row>
    <row r="5123" spans="1:4" x14ac:dyDescent="0.25">
      <c r="A5123" s="16">
        <v>12645</v>
      </c>
      <c r="B5123" s="1">
        <v>1</v>
      </c>
      <c r="C5123" s="1">
        <v>1</v>
      </c>
      <c r="D5123" s="1">
        <v>10</v>
      </c>
    </row>
    <row r="5124" spans="1:4" x14ac:dyDescent="0.25">
      <c r="A5124" s="16">
        <v>12646</v>
      </c>
      <c r="B5124" s="1">
        <v>1</v>
      </c>
      <c r="C5124" s="1">
        <v>1</v>
      </c>
      <c r="D5124" s="1">
        <v>8</v>
      </c>
    </row>
    <row r="5125" spans="1:4" x14ac:dyDescent="0.25">
      <c r="A5125" s="16">
        <v>12647</v>
      </c>
      <c r="B5125" s="1">
        <v>1</v>
      </c>
      <c r="C5125" s="1">
        <v>1</v>
      </c>
      <c r="D5125" s="1">
        <v>51.64</v>
      </c>
    </row>
    <row r="5126" spans="1:4" x14ac:dyDescent="0.25">
      <c r="A5126" s="16">
        <v>12648</v>
      </c>
      <c r="B5126" s="1">
        <v>1</v>
      </c>
      <c r="C5126" s="1">
        <v>2</v>
      </c>
      <c r="D5126" s="1">
        <v>4</v>
      </c>
    </row>
    <row r="5127" spans="1:4" x14ac:dyDescent="0.25">
      <c r="A5127" s="16">
        <v>12649</v>
      </c>
      <c r="B5127" s="1">
        <v>1</v>
      </c>
      <c r="C5127" s="1">
        <v>1</v>
      </c>
      <c r="D5127" s="1">
        <v>7.6</v>
      </c>
    </row>
    <row r="5128" spans="1:4" x14ac:dyDescent="0.25">
      <c r="A5128" s="16">
        <v>12650</v>
      </c>
      <c r="B5128" s="1">
        <v>1</v>
      </c>
      <c r="C5128" s="1">
        <v>1</v>
      </c>
      <c r="D5128" s="1">
        <v>8</v>
      </c>
    </row>
    <row r="5129" spans="1:4" x14ac:dyDescent="0.25">
      <c r="A5129" s="16">
        <v>12651</v>
      </c>
      <c r="B5129" s="1">
        <v>1</v>
      </c>
      <c r="C5129" s="1">
        <v>1</v>
      </c>
      <c r="D5129" s="1">
        <v>51.64</v>
      </c>
    </row>
    <row r="5130" spans="1:4" x14ac:dyDescent="0.25">
      <c r="A5130" s="16">
        <v>12652</v>
      </c>
      <c r="B5130" s="1">
        <v>1</v>
      </c>
      <c r="C5130" s="1">
        <v>2</v>
      </c>
      <c r="D5130" s="1">
        <v>12</v>
      </c>
    </row>
    <row r="5131" spans="1:4" x14ac:dyDescent="0.25">
      <c r="A5131" s="16">
        <v>12653</v>
      </c>
      <c r="B5131" s="1">
        <v>1</v>
      </c>
      <c r="C5131" s="1">
        <v>1</v>
      </c>
      <c r="D5131" s="1">
        <v>36</v>
      </c>
    </row>
    <row r="5132" spans="1:4" x14ac:dyDescent="0.25">
      <c r="A5132" s="16">
        <v>12654</v>
      </c>
      <c r="B5132" s="1">
        <v>1</v>
      </c>
      <c r="C5132" s="1">
        <v>1</v>
      </c>
      <c r="D5132" s="1">
        <v>13.6</v>
      </c>
    </row>
    <row r="5133" spans="1:4" x14ac:dyDescent="0.25">
      <c r="A5133" s="16">
        <v>12655</v>
      </c>
      <c r="B5133" s="1">
        <v>1</v>
      </c>
      <c r="C5133" s="1">
        <v>1</v>
      </c>
      <c r="D5133" s="1">
        <v>20</v>
      </c>
    </row>
    <row r="5134" spans="1:4" x14ac:dyDescent="0.25">
      <c r="A5134" s="16">
        <v>12656</v>
      </c>
      <c r="B5134" s="1">
        <v>1</v>
      </c>
      <c r="C5134" s="1">
        <v>2</v>
      </c>
      <c r="D5134" s="1">
        <v>9.6</v>
      </c>
    </row>
    <row r="5135" spans="1:4" x14ac:dyDescent="0.25">
      <c r="A5135" s="16">
        <v>12657</v>
      </c>
      <c r="B5135" s="1">
        <v>1</v>
      </c>
      <c r="C5135" s="1">
        <v>1</v>
      </c>
      <c r="D5135" s="1">
        <v>26</v>
      </c>
    </row>
    <row r="5136" spans="1:4" x14ac:dyDescent="0.25">
      <c r="A5136" s="16">
        <v>12658</v>
      </c>
      <c r="B5136" s="1">
        <v>1</v>
      </c>
      <c r="C5136" s="1">
        <v>1</v>
      </c>
      <c r="D5136" s="1">
        <v>8</v>
      </c>
    </row>
    <row r="5137" spans="1:4" x14ac:dyDescent="0.25">
      <c r="A5137" s="16">
        <v>12659</v>
      </c>
      <c r="B5137" s="1">
        <v>1</v>
      </c>
      <c r="C5137" s="1">
        <v>1</v>
      </c>
      <c r="D5137" s="1">
        <v>6.4</v>
      </c>
    </row>
    <row r="5138" spans="1:4" x14ac:dyDescent="0.25">
      <c r="A5138" s="16">
        <v>12660</v>
      </c>
      <c r="B5138" s="1">
        <v>1</v>
      </c>
      <c r="C5138" s="1">
        <v>1</v>
      </c>
      <c r="D5138" s="1">
        <v>8</v>
      </c>
    </row>
    <row r="5139" spans="1:4" x14ac:dyDescent="0.25">
      <c r="A5139" s="16">
        <v>12661</v>
      </c>
      <c r="B5139" s="1">
        <v>1</v>
      </c>
      <c r="C5139" s="1">
        <v>2</v>
      </c>
      <c r="D5139" s="1">
        <v>4.8</v>
      </c>
    </row>
    <row r="5140" spans="1:4" x14ac:dyDescent="0.25">
      <c r="A5140" s="16">
        <v>12662</v>
      </c>
      <c r="B5140" s="1">
        <v>1</v>
      </c>
      <c r="C5140" s="1">
        <v>1</v>
      </c>
      <c r="D5140" s="1">
        <v>51.64</v>
      </c>
    </row>
    <row r="5141" spans="1:4" x14ac:dyDescent="0.25">
      <c r="A5141" s="16">
        <v>12663</v>
      </c>
      <c r="B5141" s="1">
        <v>1</v>
      </c>
      <c r="C5141" s="1">
        <v>3</v>
      </c>
      <c r="D5141" s="1">
        <v>8.3999999999999986</v>
      </c>
    </row>
    <row r="5142" spans="1:4" x14ac:dyDescent="0.25">
      <c r="A5142" s="16">
        <v>12664</v>
      </c>
      <c r="B5142" s="1">
        <v>1</v>
      </c>
      <c r="C5142" s="1">
        <v>1</v>
      </c>
      <c r="D5142" s="1">
        <v>22</v>
      </c>
    </row>
    <row r="5143" spans="1:4" x14ac:dyDescent="0.25">
      <c r="A5143" s="16">
        <v>12665</v>
      </c>
      <c r="B5143" s="1">
        <v>1</v>
      </c>
      <c r="C5143" s="1">
        <v>1</v>
      </c>
      <c r="D5143" s="1">
        <v>10</v>
      </c>
    </row>
    <row r="5144" spans="1:4" x14ac:dyDescent="0.25">
      <c r="A5144" s="16">
        <v>12666</v>
      </c>
      <c r="B5144" s="1">
        <v>1</v>
      </c>
      <c r="C5144" s="1">
        <v>1</v>
      </c>
      <c r="D5144" s="1">
        <v>7.6</v>
      </c>
    </row>
    <row r="5145" spans="1:4" x14ac:dyDescent="0.25">
      <c r="A5145" s="16">
        <v>12667</v>
      </c>
      <c r="B5145" s="1">
        <v>1</v>
      </c>
      <c r="C5145" s="1">
        <v>1</v>
      </c>
      <c r="D5145" s="1">
        <v>5.2</v>
      </c>
    </row>
    <row r="5146" spans="1:4" x14ac:dyDescent="0.25">
      <c r="A5146" s="16">
        <v>12668</v>
      </c>
      <c r="B5146" s="1">
        <v>1</v>
      </c>
      <c r="C5146" s="1">
        <v>1</v>
      </c>
      <c r="D5146" s="1">
        <v>51.64</v>
      </c>
    </row>
    <row r="5147" spans="1:4" x14ac:dyDescent="0.25">
      <c r="A5147" s="16">
        <v>12669</v>
      </c>
      <c r="B5147" s="1">
        <v>1</v>
      </c>
      <c r="C5147" s="1">
        <v>3</v>
      </c>
      <c r="D5147" s="1">
        <v>7.1999999999999993</v>
      </c>
    </row>
    <row r="5148" spans="1:4" x14ac:dyDescent="0.25">
      <c r="A5148" s="16">
        <v>12670</v>
      </c>
      <c r="B5148" s="1">
        <v>1</v>
      </c>
      <c r="C5148" s="1">
        <v>1</v>
      </c>
      <c r="D5148" s="1">
        <v>36</v>
      </c>
    </row>
    <row r="5149" spans="1:4" x14ac:dyDescent="0.25">
      <c r="A5149" s="16">
        <v>12671</v>
      </c>
      <c r="B5149" s="1">
        <v>1</v>
      </c>
      <c r="C5149" s="1">
        <v>1</v>
      </c>
      <c r="D5149" s="1">
        <v>8</v>
      </c>
    </row>
    <row r="5150" spans="1:4" x14ac:dyDescent="0.25">
      <c r="A5150" s="16">
        <v>12672</v>
      </c>
      <c r="B5150" s="1">
        <v>1</v>
      </c>
      <c r="C5150" s="1">
        <v>1</v>
      </c>
      <c r="D5150" s="1">
        <v>13.6</v>
      </c>
    </row>
    <row r="5151" spans="1:4" x14ac:dyDescent="0.25">
      <c r="A5151" s="16">
        <v>12673</v>
      </c>
      <c r="B5151" s="1">
        <v>1</v>
      </c>
      <c r="C5151" s="1">
        <v>1</v>
      </c>
      <c r="D5151" s="1">
        <v>59.64</v>
      </c>
    </row>
    <row r="5152" spans="1:4" x14ac:dyDescent="0.25">
      <c r="A5152" s="16">
        <v>12674</v>
      </c>
      <c r="B5152" s="1">
        <v>1</v>
      </c>
      <c r="C5152" s="1">
        <v>1</v>
      </c>
      <c r="D5152" s="1">
        <v>20</v>
      </c>
    </row>
    <row r="5153" spans="1:4" x14ac:dyDescent="0.25">
      <c r="A5153" s="16">
        <v>12675</v>
      </c>
      <c r="B5153" s="1">
        <v>1</v>
      </c>
      <c r="C5153" s="1">
        <v>1</v>
      </c>
      <c r="D5153" s="1">
        <v>36</v>
      </c>
    </row>
    <row r="5154" spans="1:4" x14ac:dyDescent="0.25">
      <c r="A5154" s="16">
        <v>12676</v>
      </c>
      <c r="B5154" s="1">
        <v>1</v>
      </c>
      <c r="C5154" s="1">
        <v>1</v>
      </c>
      <c r="D5154" s="1">
        <v>7.2</v>
      </c>
    </row>
    <row r="5155" spans="1:4" x14ac:dyDescent="0.25">
      <c r="A5155" s="16">
        <v>12677</v>
      </c>
      <c r="B5155" s="1">
        <v>1</v>
      </c>
      <c r="C5155" s="1">
        <v>1</v>
      </c>
      <c r="D5155" s="1">
        <v>42</v>
      </c>
    </row>
    <row r="5156" spans="1:4" x14ac:dyDescent="0.25">
      <c r="A5156" s="16">
        <v>12678</v>
      </c>
      <c r="B5156" s="1">
        <v>1</v>
      </c>
      <c r="C5156" s="1">
        <v>2</v>
      </c>
      <c r="D5156" s="1">
        <v>5.6</v>
      </c>
    </row>
    <row r="5157" spans="1:4" x14ac:dyDescent="0.25">
      <c r="A5157" s="16">
        <v>12679</v>
      </c>
      <c r="B5157" s="1">
        <v>1</v>
      </c>
      <c r="C5157" s="1">
        <v>1</v>
      </c>
      <c r="D5157" s="1">
        <v>11.2</v>
      </c>
    </row>
    <row r="5158" spans="1:4" x14ac:dyDescent="0.25">
      <c r="A5158" s="16">
        <v>12680</v>
      </c>
      <c r="B5158" s="1">
        <v>1</v>
      </c>
      <c r="C5158" s="1">
        <v>1</v>
      </c>
      <c r="D5158" s="1">
        <v>6.4</v>
      </c>
    </row>
    <row r="5159" spans="1:4" x14ac:dyDescent="0.25">
      <c r="A5159" s="16">
        <v>12681</v>
      </c>
      <c r="B5159" s="1">
        <v>1</v>
      </c>
      <c r="C5159" s="1">
        <v>1</v>
      </c>
      <c r="D5159" s="1">
        <v>20</v>
      </c>
    </row>
    <row r="5160" spans="1:4" x14ac:dyDescent="0.25">
      <c r="A5160" s="16">
        <v>12682</v>
      </c>
      <c r="B5160" s="1">
        <v>1</v>
      </c>
      <c r="C5160" s="1">
        <v>1</v>
      </c>
      <c r="D5160" s="1">
        <v>7.2</v>
      </c>
    </row>
    <row r="5161" spans="1:4" x14ac:dyDescent="0.25">
      <c r="A5161" s="16">
        <v>12683</v>
      </c>
      <c r="B5161" s="1">
        <v>1</v>
      </c>
      <c r="C5161" s="1">
        <v>1</v>
      </c>
      <c r="D5161" s="1">
        <v>6</v>
      </c>
    </row>
    <row r="5162" spans="1:4" x14ac:dyDescent="0.25">
      <c r="A5162" s="16">
        <v>12684</v>
      </c>
      <c r="B5162" s="1">
        <v>1</v>
      </c>
      <c r="C5162" s="1">
        <v>1</v>
      </c>
      <c r="D5162" s="1">
        <v>8</v>
      </c>
    </row>
    <row r="5163" spans="1:4" x14ac:dyDescent="0.25">
      <c r="A5163" s="16">
        <v>12685</v>
      </c>
      <c r="B5163" s="1">
        <v>1</v>
      </c>
      <c r="C5163" s="1">
        <v>2</v>
      </c>
      <c r="D5163" s="1">
        <v>4.8</v>
      </c>
    </row>
    <row r="5164" spans="1:4" x14ac:dyDescent="0.25">
      <c r="A5164" s="16">
        <v>12686</v>
      </c>
      <c r="B5164" s="1">
        <v>1</v>
      </c>
      <c r="C5164" s="1">
        <v>1</v>
      </c>
      <c r="D5164" s="1">
        <v>13.6</v>
      </c>
    </row>
    <row r="5165" spans="1:4" x14ac:dyDescent="0.25">
      <c r="A5165" s="16">
        <v>12687</v>
      </c>
      <c r="B5165" s="1">
        <v>1</v>
      </c>
      <c r="C5165" s="1">
        <v>1</v>
      </c>
      <c r="D5165" s="1">
        <v>51.64</v>
      </c>
    </row>
    <row r="5166" spans="1:4" x14ac:dyDescent="0.25">
      <c r="A5166" s="16">
        <v>12688</v>
      </c>
      <c r="B5166" s="1">
        <v>1</v>
      </c>
      <c r="C5166" s="1">
        <v>1</v>
      </c>
      <c r="D5166" s="1">
        <v>7.6</v>
      </c>
    </row>
    <row r="5167" spans="1:4" x14ac:dyDescent="0.25">
      <c r="A5167" s="16">
        <v>12689</v>
      </c>
      <c r="B5167" s="1">
        <v>1</v>
      </c>
      <c r="C5167" s="1">
        <v>1</v>
      </c>
      <c r="D5167" s="1">
        <v>6.8</v>
      </c>
    </row>
    <row r="5168" spans="1:4" x14ac:dyDescent="0.25">
      <c r="A5168" s="16">
        <v>12690</v>
      </c>
      <c r="B5168" s="1">
        <v>1</v>
      </c>
      <c r="C5168" s="1">
        <v>3</v>
      </c>
      <c r="D5168" s="1">
        <v>8.3999999999999986</v>
      </c>
    </row>
    <row r="5169" spans="1:4" x14ac:dyDescent="0.25">
      <c r="A5169" s="16">
        <v>12691</v>
      </c>
      <c r="B5169" s="1">
        <v>1</v>
      </c>
      <c r="C5169" s="1">
        <v>1</v>
      </c>
      <c r="D5169" s="1">
        <v>22</v>
      </c>
    </row>
    <row r="5170" spans="1:4" x14ac:dyDescent="0.25">
      <c r="A5170" s="16">
        <v>12692</v>
      </c>
      <c r="B5170" s="1">
        <v>1</v>
      </c>
      <c r="C5170" s="1">
        <v>2</v>
      </c>
      <c r="D5170" s="1">
        <v>12</v>
      </c>
    </row>
    <row r="5171" spans="1:4" x14ac:dyDescent="0.25">
      <c r="A5171" s="16">
        <v>12693</v>
      </c>
      <c r="B5171" s="1">
        <v>1</v>
      </c>
      <c r="C5171" s="1">
        <v>1</v>
      </c>
      <c r="D5171" s="1">
        <v>10</v>
      </c>
    </row>
    <row r="5172" spans="1:4" x14ac:dyDescent="0.25">
      <c r="A5172" s="16">
        <v>12694</v>
      </c>
      <c r="B5172" s="1">
        <v>1</v>
      </c>
      <c r="C5172" s="1">
        <v>2</v>
      </c>
      <c r="D5172" s="1">
        <v>4</v>
      </c>
    </row>
    <row r="5173" spans="1:4" x14ac:dyDescent="0.25">
      <c r="A5173" s="16">
        <v>12695</v>
      </c>
      <c r="B5173" s="1">
        <v>1</v>
      </c>
      <c r="C5173" s="1">
        <v>2</v>
      </c>
      <c r="D5173" s="1">
        <v>4.8</v>
      </c>
    </row>
    <row r="5174" spans="1:4" x14ac:dyDescent="0.25">
      <c r="A5174" s="16">
        <v>12696</v>
      </c>
      <c r="B5174" s="1">
        <v>1</v>
      </c>
      <c r="C5174" s="1">
        <v>1</v>
      </c>
      <c r="D5174" s="1">
        <v>36</v>
      </c>
    </row>
    <row r="5175" spans="1:4" x14ac:dyDescent="0.25">
      <c r="A5175" s="16">
        <v>12697</v>
      </c>
      <c r="B5175" s="1">
        <v>1</v>
      </c>
      <c r="C5175" s="1">
        <v>1</v>
      </c>
      <c r="D5175" s="1">
        <v>8</v>
      </c>
    </row>
    <row r="5176" spans="1:4" x14ac:dyDescent="0.25">
      <c r="A5176" s="16">
        <v>12698</v>
      </c>
      <c r="B5176" s="1">
        <v>1</v>
      </c>
      <c r="C5176" s="1">
        <v>1</v>
      </c>
      <c r="D5176" s="1">
        <v>8</v>
      </c>
    </row>
    <row r="5177" spans="1:4" x14ac:dyDescent="0.25">
      <c r="A5177" s="16">
        <v>12699</v>
      </c>
      <c r="B5177" s="1">
        <v>1</v>
      </c>
      <c r="C5177" s="1">
        <v>1</v>
      </c>
      <c r="D5177" s="1">
        <v>7.6</v>
      </c>
    </row>
    <row r="5178" spans="1:4" x14ac:dyDescent="0.25">
      <c r="A5178" s="16">
        <v>12700</v>
      </c>
      <c r="B5178" s="1">
        <v>1</v>
      </c>
      <c r="C5178" s="1">
        <v>2</v>
      </c>
      <c r="D5178" s="1">
        <v>5.6</v>
      </c>
    </row>
    <row r="5179" spans="1:4" x14ac:dyDescent="0.25">
      <c r="A5179" s="16">
        <v>12701</v>
      </c>
      <c r="B5179" s="1">
        <v>1</v>
      </c>
      <c r="C5179" s="1">
        <v>1</v>
      </c>
      <c r="D5179" s="1">
        <v>6</v>
      </c>
    </row>
    <row r="5180" spans="1:4" x14ac:dyDescent="0.25">
      <c r="A5180" s="16">
        <v>12702</v>
      </c>
      <c r="B5180" s="1">
        <v>1</v>
      </c>
      <c r="C5180" s="1">
        <v>1</v>
      </c>
      <c r="D5180" s="1">
        <v>38</v>
      </c>
    </row>
    <row r="5181" spans="1:4" x14ac:dyDescent="0.25">
      <c r="A5181" s="16">
        <v>12703</v>
      </c>
      <c r="B5181" s="1">
        <v>1</v>
      </c>
      <c r="C5181" s="1">
        <v>1</v>
      </c>
      <c r="D5181" s="1">
        <v>14</v>
      </c>
    </row>
    <row r="5182" spans="1:4" x14ac:dyDescent="0.25">
      <c r="A5182" s="16">
        <v>12704</v>
      </c>
      <c r="B5182" s="1">
        <v>1</v>
      </c>
      <c r="C5182" s="1">
        <v>3</v>
      </c>
      <c r="D5182" s="1">
        <v>8.3999999999999986</v>
      </c>
    </row>
    <row r="5183" spans="1:4" x14ac:dyDescent="0.25">
      <c r="A5183" s="16">
        <v>12705</v>
      </c>
      <c r="B5183" s="1">
        <v>1</v>
      </c>
      <c r="C5183" s="1">
        <v>2</v>
      </c>
      <c r="D5183" s="1">
        <v>12</v>
      </c>
    </row>
    <row r="5184" spans="1:4" x14ac:dyDescent="0.25">
      <c r="A5184" s="16">
        <v>12706</v>
      </c>
      <c r="B5184" s="1">
        <v>1</v>
      </c>
      <c r="C5184" s="1">
        <v>1</v>
      </c>
      <c r="D5184" s="1">
        <v>36</v>
      </c>
    </row>
    <row r="5185" spans="1:4" x14ac:dyDescent="0.25">
      <c r="A5185" s="16">
        <v>12707</v>
      </c>
      <c r="B5185" s="1">
        <v>1</v>
      </c>
      <c r="C5185" s="1">
        <v>1</v>
      </c>
      <c r="D5185" s="1">
        <v>51.64</v>
      </c>
    </row>
    <row r="5186" spans="1:4" x14ac:dyDescent="0.25">
      <c r="A5186" s="16">
        <v>12708</v>
      </c>
      <c r="B5186" s="1">
        <v>1</v>
      </c>
      <c r="C5186" s="1">
        <v>1</v>
      </c>
      <c r="D5186" s="1">
        <v>51.64</v>
      </c>
    </row>
    <row r="5187" spans="1:4" x14ac:dyDescent="0.25">
      <c r="A5187" s="16">
        <v>12709</v>
      </c>
      <c r="B5187" s="1">
        <v>1</v>
      </c>
      <c r="C5187" s="1">
        <v>1</v>
      </c>
      <c r="D5187" s="1">
        <v>7.2</v>
      </c>
    </row>
    <row r="5188" spans="1:4" x14ac:dyDescent="0.25">
      <c r="A5188" s="16">
        <v>12710</v>
      </c>
      <c r="B5188" s="1">
        <v>1</v>
      </c>
      <c r="C5188" s="1">
        <v>1</v>
      </c>
      <c r="D5188" s="1">
        <v>8</v>
      </c>
    </row>
    <row r="5189" spans="1:4" x14ac:dyDescent="0.25">
      <c r="A5189" s="16">
        <v>12711</v>
      </c>
      <c r="B5189" s="1">
        <v>1</v>
      </c>
      <c r="C5189" s="1">
        <v>3</v>
      </c>
      <c r="D5189" s="1">
        <v>8.3999999999999986</v>
      </c>
    </row>
    <row r="5190" spans="1:4" x14ac:dyDescent="0.25">
      <c r="A5190" s="16">
        <v>12712</v>
      </c>
      <c r="B5190" s="1">
        <v>1</v>
      </c>
      <c r="C5190" s="1">
        <v>2</v>
      </c>
      <c r="D5190" s="1">
        <v>12</v>
      </c>
    </row>
    <row r="5191" spans="1:4" x14ac:dyDescent="0.25">
      <c r="A5191" s="16">
        <v>12713</v>
      </c>
      <c r="B5191" s="1">
        <v>1</v>
      </c>
      <c r="C5191" s="1">
        <v>1</v>
      </c>
      <c r="D5191" s="1">
        <v>8</v>
      </c>
    </row>
    <row r="5192" spans="1:4" x14ac:dyDescent="0.25">
      <c r="A5192" s="16">
        <v>12714</v>
      </c>
      <c r="B5192" s="1">
        <v>1</v>
      </c>
      <c r="C5192" s="1">
        <v>1</v>
      </c>
      <c r="D5192" s="1">
        <v>51.64</v>
      </c>
    </row>
    <row r="5193" spans="1:4" x14ac:dyDescent="0.25">
      <c r="A5193" s="16">
        <v>12715</v>
      </c>
      <c r="B5193" s="1">
        <v>1</v>
      </c>
      <c r="C5193" s="1">
        <v>1</v>
      </c>
      <c r="D5193" s="1">
        <v>42</v>
      </c>
    </row>
    <row r="5194" spans="1:4" x14ac:dyDescent="0.25">
      <c r="A5194" s="16">
        <v>12716</v>
      </c>
      <c r="B5194" s="1">
        <v>1</v>
      </c>
      <c r="C5194" s="1">
        <v>1</v>
      </c>
      <c r="D5194" s="1">
        <v>36</v>
      </c>
    </row>
    <row r="5195" spans="1:4" x14ac:dyDescent="0.25">
      <c r="A5195" s="16">
        <v>12717</v>
      </c>
      <c r="B5195" s="1">
        <v>1</v>
      </c>
      <c r="C5195" s="1">
        <v>3</v>
      </c>
      <c r="D5195" s="1">
        <v>7.1999999999999993</v>
      </c>
    </row>
    <row r="5196" spans="1:4" x14ac:dyDescent="0.25">
      <c r="A5196" s="16">
        <v>12718</v>
      </c>
      <c r="B5196" s="1">
        <v>1</v>
      </c>
      <c r="C5196" s="1">
        <v>1</v>
      </c>
      <c r="D5196" s="1">
        <v>51.64</v>
      </c>
    </row>
    <row r="5197" spans="1:4" x14ac:dyDescent="0.25">
      <c r="A5197" s="16">
        <v>12719</v>
      </c>
      <c r="B5197" s="1">
        <v>1</v>
      </c>
      <c r="C5197" s="1">
        <v>1</v>
      </c>
      <c r="D5197" s="1">
        <v>51.64</v>
      </c>
    </row>
    <row r="5198" spans="1:4" x14ac:dyDescent="0.25">
      <c r="A5198" s="16">
        <v>12720</v>
      </c>
      <c r="B5198" s="1">
        <v>1</v>
      </c>
      <c r="C5198" s="1">
        <v>1</v>
      </c>
      <c r="D5198" s="1">
        <v>20</v>
      </c>
    </row>
    <row r="5199" spans="1:4" x14ac:dyDescent="0.25">
      <c r="A5199" s="16">
        <v>12721</v>
      </c>
      <c r="B5199" s="1">
        <v>1</v>
      </c>
      <c r="C5199" s="1">
        <v>1</v>
      </c>
      <c r="D5199" s="1">
        <v>36</v>
      </c>
    </row>
    <row r="5200" spans="1:4" x14ac:dyDescent="0.25">
      <c r="A5200" s="16">
        <v>12722</v>
      </c>
      <c r="B5200" s="1">
        <v>1</v>
      </c>
      <c r="C5200" s="1">
        <v>1</v>
      </c>
      <c r="D5200" s="1">
        <v>14</v>
      </c>
    </row>
    <row r="5201" spans="1:4" x14ac:dyDescent="0.25">
      <c r="A5201" s="16">
        <v>12723</v>
      </c>
      <c r="B5201" s="1">
        <v>1</v>
      </c>
      <c r="C5201" s="1">
        <v>1</v>
      </c>
      <c r="D5201" s="1">
        <v>8</v>
      </c>
    </row>
    <row r="5202" spans="1:4" x14ac:dyDescent="0.25">
      <c r="A5202" s="16">
        <v>12724</v>
      </c>
      <c r="B5202" s="1">
        <v>1</v>
      </c>
      <c r="C5202" s="1">
        <v>1</v>
      </c>
      <c r="D5202" s="1">
        <v>6</v>
      </c>
    </row>
    <row r="5203" spans="1:4" x14ac:dyDescent="0.25">
      <c r="A5203" s="16">
        <v>12725</v>
      </c>
      <c r="B5203" s="1">
        <v>1</v>
      </c>
      <c r="C5203" s="1">
        <v>3</v>
      </c>
      <c r="D5203" s="1">
        <v>8.3999999999999986</v>
      </c>
    </row>
    <row r="5204" spans="1:4" x14ac:dyDescent="0.25">
      <c r="A5204" s="16">
        <v>12726</v>
      </c>
      <c r="B5204" s="1">
        <v>1</v>
      </c>
      <c r="C5204" s="1">
        <v>1</v>
      </c>
      <c r="D5204" s="1">
        <v>7.2</v>
      </c>
    </row>
    <row r="5205" spans="1:4" x14ac:dyDescent="0.25">
      <c r="A5205" s="16">
        <v>12727</v>
      </c>
      <c r="B5205" s="1">
        <v>1</v>
      </c>
      <c r="C5205" s="1">
        <v>1</v>
      </c>
      <c r="D5205" s="1">
        <v>36</v>
      </c>
    </row>
    <row r="5206" spans="1:4" x14ac:dyDescent="0.25">
      <c r="A5206" s="16">
        <v>12728</v>
      </c>
      <c r="B5206" s="1">
        <v>1</v>
      </c>
      <c r="C5206" s="1">
        <v>1</v>
      </c>
      <c r="D5206" s="1">
        <v>8</v>
      </c>
    </row>
    <row r="5207" spans="1:4" x14ac:dyDescent="0.25">
      <c r="A5207" s="16">
        <v>12729</v>
      </c>
      <c r="B5207" s="1">
        <v>1</v>
      </c>
      <c r="C5207" s="1">
        <v>1</v>
      </c>
      <c r="D5207" s="1">
        <v>51.64</v>
      </c>
    </row>
    <row r="5208" spans="1:4" x14ac:dyDescent="0.25">
      <c r="A5208" s="16">
        <v>12730</v>
      </c>
      <c r="B5208" s="1">
        <v>1</v>
      </c>
      <c r="C5208" s="1">
        <v>2</v>
      </c>
      <c r="D5208" s="1">
        <v>5.6</v>
      </c>
    </row>
    <row r="5209" spans="1:4" x14ac:dyDescent="0.25">
      <c r="A5209" s="16">
        <v>12731</v>
      </c>
      <c r="B5209" s="1">
        <v>1</v>
      </c>
      <c r="C5209" s="1">
        <v>1</v>
      </c>
      <c r="D5209" s="1">
        <v>6</v>
      </c>
    </row>
    <row r="5210" spans="1:4" x14ac:dyDescent="0.25">
      <c r="A5210" s="16">
        <v>12732</v>
      </c>
      <c r="B5210" s="1">
        <v>1</v>
      </c>
      <c r="C5210" s="1">
        <v>1</v>
      </c>
      <c r="D5210" s="1">
        <v>7.2</v>
      </c>
    </row>
    <row r="5211" spans="1:4" x14ac:dyDescent="0.25">
      <c r="A5211" s="16">
        <v>12733</v>
      </c>
      <c r="B5211" s="1">
        <v>1</v>
      </c>
      <c r="C5211" s="1">
        <v>1</v>
      </c>
      <c r="D5211" s="1">
        <v>7.6</v>
      </c>
    </row>
    <row r="5212" spans="1:4" x14ac:dyDescent="0.25">
      <c r="A5212" s="16">
        <v>12734</v>
      </c>
      <c r="B5212" s="1">
        <v>1</v>
      </c>
      <c r="C5212" s="1">
        <v>1</v>
      </c>
      <c r="D5212" s="1">
        <v>38</v>
      </c>
    </row>
    <row r="5213" spans="1:4" x14ac:dyDescent="0.25">
      <c r="A5213" s="16">
        <v>12735</v>
      </c>
      <c r="B5213" s="1">
        <v>1</v>
      </c>
      <c r="C5213" s="1">
        <v>1</v>
      </c>
      <c r="D5213" s="1">
        <v>51.64</v>
      </c>
    </row>
    <row r="5214" spans="1:4" x14ac:dyDescent="0.25">
      <c r="A5214" s="16">
        <v>12736</v>
      </c>
      <c r="B5214" s="1">
        <v>1</v>
      </c>
      <c r="C5214" s="1">
        <v>1</v>
      </c>
      <c r="D5214" s="1">
        <v>7.6</v>
      </c>
    </row>
    <row r="5215" spans="1:4" x14ac:dyDescent="0.25">
      <c r="A5215" s="16">
        <v>12737</v>
      </c>
      <c r="B5215" s="1">
        <v>1</v>
      </c>
      <c r="C5215" s="1">
        <v>2</v>
      </c>
      <c r="D5215" s="1">
        <v>4.8</v>
      </c>
    </row>
    <row r="5216" spans="1:4" x14ac:dyDescent="0.25">
      <c r="A5216" s="16">
        <v>12738</v>
      </c>
      <c r="B5216" s="1">
        <v>1</v>
      </c>
      <c r="C5216" s="1">
        <v>1</v>
      </c>
      <c r="D5216" s="1">
        <v>51.64</v>
      </c>
    </row>
    <row r="5217" spans="1:4" x14ac:dyDescent="0.25">
      <c r="A5217" s="16">
        <v>12739</v>
      </c>
      <c r="B5217" s="1">
        <v>1</v>
      </c>
      <c r="C5217" s="1">
        <v>1</v>
      </c>
      <c r="D5217" s="1">
        <v>22</v>
      </c>
    </row>
    <row r="5218" spans="1:4" x14ac:dyDescent="0.25">
      <c r="A5218" s="16">
        <v>12740</v>
      </c>
      <c r="B5218" s="1">
        <v>1</v>
      </c>
      <c r="C5218" s="1">
        <v>1</v>
      </c>
      <c r="D5218" s="1">
        <v>10</v>
      </c>
    </row>
    <row r="5219" spans="1:4" x14ac:dyDescent="0.25">
      <c r="A5219" s="16">
        <v>12741</v>
      </c>
      <c r="B5219" s="1">
        <v>1</v>
      </c>
      <c r="C5219" s="1">
        <v>2</v>
      </c>
      <c r="D5219" s="1">
        <v>5.6</v>
      </c>
    </row>
    <row r="5220" spans="1:4" x14ac:dyDescent="0.25">
      <c r="A5220" s="16">
        <v>12742</v>
      </c>
      <c r="B5220" s="1">
        <v>1</v>
      </c>
      <c r="C5220" s="1">
        <v>1</v>
      </c>
      <c r="D5220" s="1">
        <v>8</v>
      </c>
    </row>
    <row r="5221" spans="1:4" x14ac:dyDescent="0.25">
      <c r="A5221" s="16">
        <v>12743</v>
      </c>
      <c r="B5221" s="1">
        <v>1</v>
      </c>
      <c r="C5221" s="1">
        <v>1</v>
      </c>
      <c r="D5221" s="1">
        <v>8.8000000000000007</v>
      </c>
    </row>
    <row r="5222" spans="1:4" x14ac:dyDescent="0.25">
      <c r="A5222" s="16">
        <v>12744</v>
      </c>
      <c r="B5222" s="1">
        <v>1</v>
      </c>
      <c r="C5222" s="1">
        <v>1</v>
      </c>
      <c r="D5222" s="1">
        <v>20</v>
      </c>
    </row>
    <row r="5223" spans="1:4" x14ac:dyDescent="0.25">
      <c r="A5223" s="16">
        <v>12745</v>
      </c>
      <c r="B5223" s="1">
        <v>1</v>
      </c>
      <c r="C5223" s="1">
        <v>1</v>
      </c>
      <c r="D5223" s="1">
        <v>36</v>
      </c>
    </row>
    <row r="5224" spans="1:4" x14ac:dyDescent="0.25">
      <c r="A5224" s="16">
        <v>12746</v>
      </c>
      <c r="B5224" s="1">
        <v>1</v>
      </c>
      <c r="C5224" s="1">
        <v>1</v>
      </c>
      <c r="D5224" s="1">
        <v>8</v>
      </c>
    </row>
    <row r="5225" spans="1:4" x14ac:dyDescent="0.25">
      <c r="A5225" s="16">
        <v>12747</v>
      </c>
      <c r="B5225" s="1">
        <v>1</v>
      </c>
      <c r="C5225" s="1">
        <v>1</v>
      </c>
      <c r="D5225" s="1">
        <v>6</v>
      </c>
    </row>
    <row r="5226" spans="1:4" x14ac:dyDescent="0.25">
      <c r="A5226" s="16">
        <v>12748</v>
      </c>
      <c r="B5226" s="1">
        <v>1</v>
      </c>
      <c r="C5226" s="1">
        <v>1</v>
      </c>
      <c r="D5226" s="1">
        <v>11.2</v>
      </c>
    </row>
    <row r="5227" spans="1:4" x14ac:dyDescent="0.25">
      <c r="A5227" s="16">
        <v>12749</v>
      </c>
      <c r="B5227" s="1">
        <v>1</v>
      </c>
      <c r="C5227" s="1">
        <v>1</v>
      </c>
      <c r="D5227" s="1">
        <v>13.6</v>
      </c>
    </row>
    <row r="5228" spans="1:4" x14ac:dyDescent="0.25">
      <c r="A5228" s="16">
        <v>12750</v>
      </c>
      <c r="B5228" s="1">
        <v>1</v>
      </c>
      <c r="C5228" s="1">
        <v>1</v>
      </c>
      <c r="D5228" s="1">
        <v>14</v>
      </c>
    </row>
    <row r="5229" spans="1:4" x14ac:dyDescent="0.25">
      <c r="A5229" s="16">
        <v>12751</v>
      </c>
      <c r="B5229" s="1">
        <v>1</v>
      </c>
      <c r="C5229" s="1">
        <v>3</v>
      </c>
      <c r="D5229" s="1">
        <v>8.3999999999999986</v>
      </c>
    </row>
    <row r="5230" spans="1:4" x14ac:dyDescent="0.25">
      <c r="A5230" s="16">
        <v>12752</v>
      </c>
      <c r="B5230" s="1">
        <v>1</v>
      </c>
      <c r="C5230" s="1">
        <v>2</v>
      </c>
      <c r="D5230" s="1">
        <v>4.8</v>
      </c>
    </row>
    <row r="5231" spans="1:4" x14ac:dyDescent="0.25">
      <c r="A5231" s="16">
        <v>12753</v>
      </c>
      <c r="B5231" s="1">
        <v>1</v>
      </c>
      <c r="C5231" s="1">
        <v>1</v>
      </c>
      <c r="D5231" s="1">
        <v>51.64</v>
      </c>
    </row>
    <row r="5232" spans="1:4" x14ac:dyDescent="0.25">
      <c r="A5232" s="16">
        <v>12754</v>
      </c>
      <c r="B5232" s="1">
        <v>1</v>
      </c>
      <c r="C5232" s="1">
        <v>1</v>
      </c>
      <c r="D5232" s="1">
        <v>8</v>
      </c>
    </row>
    <row r="5233" spans="1:4" x14ac:dyDescent="0.25">
      <c r="A5233" s="16">
        <v>12755</v>
      </c>
      <c r="B5233" s="1">
        <v>1</v>
      </c>
      <c r="C5233" s="1">
        <v>1</v>
      </c>
      <c r="D5233" s="1">
        <v>8.8000000000000007</v>
      </c>
    </row>
    <row r="5234" spans="1:4" x14ac:dyDescent="0.25">
      <c r="A5234" s="16">
        <v>12756</v>
      </c>
      <c r="B5234" s="1">
        <v>1</v>
      </c>
      <c r="C5234" s="1">
        <v>1</v>
      </c>
      <c r="D5234" s="1">
        <v>5.2</v>
      </c>
    </row>
    <row r="5235" spans="1:4" x14ac:dyDescent="0.25">
      <c r="A5235" s="16">
        <v>12757</v>
      </c>
      <c r="B5235" s="1">
        <v>1</v>
      </c>
      <c r="C5235" s="1">
        <v>1</v>
      </c>
      <c r="D5235" s="1">
        <v>22</v>
      </c>
    </row>
    <row r="5236" spans="1:4" x14ac:dyDescent="0.25">
      <c r="A5236" s="16">
        <v>12758</v>
      </c>
      <c r="B5236" s="1">
        <v>1</v>
      </c>
      <c r="C5236" s="1">
        <v>1</v>
      </c>
      <c r="D5236" s="1">
        <v>51.64</v>
      </c>
    </row>
    <row r="5237" spans="1:4" x14ac:dyDescent="0.25">
      <c r="A5237" s="16">
        <v>12759</v>
      </c>
      <c r="B5237" s="1">
        <v>1</v>
      </c>
      <c r="C5237" s="1">
        <v>1</v>
      </c>
      <c r="D5237" s="1">
        <v>42</v>
      </c>
    </row>
    <row r="5238" spans="1:4" x14ac:dyDescent="0.25">
      <c r="A5238" s="16">
        <v>12760</v>
      </c>
      <c r="B5238" s="1">
        <v>1</v>
      </c>
      <c r="C5238" s="1">
        <v>1</v>
      </c>
      <c r="D5238" s="1">
        <v>51.64</v>
      </c>
    </row>
    <row r="5239" spans="1:4" x14ac:dyDescent="0.25">
      <c r="A5239" s="16">
        <v>12761</v>
      </c>
      <c r="B5239" s="1">
        <v>1</v>
      </c>
      <c r="C5239" s="1">
        <v>1</v>
      </c>
      <c r="D5239" s="1">
        <v>8</v>
      </c>
    </row>
    <row r="5240" spans="1:4" x14ac:dyDescent="0.25">
      <c r="A5240" s="16">
        <v>12762</v>
      </c>
      <c r="B5240" s="1">
        <v>1</v>
      </c>
      <c r="C5240" s="1">
        <v>1</v>
      </c>
      <c r="D5240" s="1">
        <v>14</v>
      </c>
    </row>
    <row r="5241" spans="1:4" x14ac:dyDescent="0.25">
      <c r="A5241" s="16">
        <v>12763</v>
      </c>
      <c r="B5241" s="1">
        <v>1</v>
      </c>
      <c r="C5241" s="1">
        <v>1</v>
      </c>
      <c r="D5241" s="1">
        <v>6</v>
      </c>
    </row>
    <row r="5242" spans="1:4" x14ac:dyDescent="0.25">
      <c r="A5242" s="16">
        <v>12764</v>
      </c>
      <c r="B5242" s="1">
        <v>1</v>
      </c>
      <c r="C5242" s="1">
        <v>2</v>
      </c>
      <c r="D5242" s="1">
        <v>5.6</v>
      </c>
    </row>
    <row r="5243" spans="1:4" x14ac:dyDescent="0.25">
      <c r="A5243" s="16">
        <v>12765</v>
      </c>
      <c r="B5243" s="1">
        <v>1</v>
      </c>
      <c r="C5243" s="1">
        <v>2</v>
      </c>
      <c r="D5243" s="1">
        <v>4.8</v>
      </c>
    </row>
    <row r="5244" spans="1:4" x14ac:dyDescent="0.25">
      <c r="A5244" s="16">
        <v>12766</v>
      </c>
      <c r="B5244" s="1">
        <v>1</v>
      </c>
      <c r="C5244" s="1">
        <v>1</v>
      </c>
      <c r="D5244" s="1">
        <v>8</v>
      </c>
    </row>
    <row r="5245" spans="1:4" x14ac:dyDescent="0.25">
      <c r="A5245" s="16">
        <v>12767</v>
      </c>
      <c r="B5245" s="1">
        <v>1</v>
      </c>
      <c r="C5245" s="1">
        <v>1</v>
      </c>
      <c r="D5245" s="1">
        <v>51.64</v>
      </c>
    </row>
    <row r="5246" spans="1:4" x14ac:dyDescent="0.25">
      <c r="A5246" s="16">
        <v>12768</v>
      </c>
      <c r="B5246" s="1">
        <v>1</v>
      </c>
      <c r="C5246" s="1">
        <v>1</v>
      </c>
      <c r="D5246" s="1">
        <v>8.8000000000000007</v>
      </c>
    </row>
    <row r="5247" spans="1:4" x14ac:dyDescent="0.25">
      <c r="A5247" s="16">
        <v>12769</v>
      </c>
      <c r="B5247" s="1">
        <v>1</v>
      </c>
      <c r="C5247" s="1">
        <v>2</v>
      </c>
      <c r="D5247" s="1">
        <v>9.6</v>
      </c>
    </row>
    <row r="5248" spans="1:4" x14ac:dyDescent="0.25">
      <c r="A5248" s="16">
        <v>12770</v>
      </c>
      <c r="B5248" s="1">
        <v>1</v>
      </c>
      <c r="C5248" s="1">
        <v>1</v>
      </c>
      <c r="D5248" s="1">
        <v>8</v>
      </c>
    </row>
    <row r="5249" spans="1:4" x14ac:dyDescent="0.25">
      <c r="A5249" s="16">
        <v>12771</v>
      </c>
      <c r="B5249" s="1">
        <v>1</v>
      </c>
      <c r="C5249" s="1">
        <v>1</v>
      </c>
      <c r="D5249" s="1">
        <v>10</v>
      </c>
    </row>
    <row r="5250" spans="1:4" x14ac:dyDescent="0.25">
      <c r="A5250" s="16">
        <v>12772</v>
      </c>
      <c r="B5250" s="1">
        <v>1</v>
      </c>
      <c r="C5250" s="1">
        <v>1</v>
      </c>
      <c r="D5250" s="1">
        <v>26</v>
      </c>
    </row>
    <row r="5251" spans="1:4" x14ac:dyDescent="0.25">
      <c r="A5251" s="16">
        <v>12773</v>
      </c>
      <c r="B5251" s="1">
        <v>1</v>
      </c>
      <c r="C5251" s="1">
        <v>1</v>
      </c>
      <c r="D5251" s="1">
        <v>40</v>
      </c>
    </row>
    <row r="5252" spans="1:4" x14ac:dyDescent="0.25">
      <c r="A5252" s="16">
        <v>12774</v>
      </c>
      <c r="B5252" s="1">
        <v>1</v>
      </c>
      <c r="C5252" s="1">
        <v>1</v>
      </c>
      <c r="D5252" s="1">
        <v>8</v>
      </c>
    </row>
    <row r="5253" spans="1:4" x14ac:dyDescent="0.25">
      <c r="A5253" s="16">
        <v>12775</v>
      </c>
      <c r="B5253" s="1">
        <v>1</v>
      </c>
      <c r="C5253" s="1">
        <v>1</v>
      </c>
      <c r="D5253" s="1">
        <v>59.64</v>
      </c>
    </row>
    <row r="5254" spans="1:4" x14ac:dyDescent="0.25">
      <c r="A5254" s="16">
        <v>12776</v>
      </c>
      <c r="B5254" s="1">
        <v>1</v>
      </c>
      <c r="C5254" s="1">
        <v>1</v>
      </c>
      <c r="D5254" s="1">
        <v>7.6</v>
      </c>
    </row>
    <row r="5255" spans="1:4" x14ac:dyDescent="0.25">
      <c r="A5255" s="16">
        <v>12777</v>
      </c>
      <c r="B5255" s="1">
        <v>1</v>
      </c>
      <c r="C5255" s="1">
        <v>1</v>
      </c>
      <c r="D5255" s="1">
        <v>6</v>
      </c>
    </row>
    <row r="5256" spans="1:4" x14ac:dyDescent="0.25">
      <c r="A5256" s="16">
        <v>12778</v>
      </c>
      <c r="B5256" s="1">
        <v>1</v>
      </c>
      <c r="C5256" s="1">
        <v>2</v>
      </c>
      <c r="D5256" s="1">
        <v>5.6</v>
      </c>
    </row>
    <row r="5257" spans="1:4" x14ac:dyDescent="0.25">
      <c r="A5257" s="16">
        <v>12779</v>
      </c>
      <c r="B5257" s="1">
        <v>1</v>
      </c>
      <c r="C5257" s="1">
        <v>1</v>
      </c>
      <c r="D5257" s="1">
        <v>51.64</v>
      </c>
    </row>
    <row r="5258" spans="1:4" x14ac:dyDescent="0.25">
      <c r="A5258" s="16">
        <v>12780</v>
      </c>
      <c r="B5258" s="1">
        <v>1</v>
      </c>
      <c r="C5258" s="1">
        <v>1</v>
      </c>
      <c r="D5258" s="1">
        <v>51.64</v>
      </c>
    </row>
    <row r="5259" spans="1:4" x14ac:dyDescent="0.25">
      <c r="A5259" s="16">
        <v>12781</v>
      </c>
      <c r="B5259" s="1">
        <v>1</v>
      </c>
      <c r="C5259" s="1">
        <v>3</v>
      </c>
      <c r="D5259" s="1">
        <v>7.1999999999999993</v>
      </c>
    </row>
    <row r="5260" spans="1:4" x14ac:dyDescent="0.25">
      <c r="A5260" s="16">
        <v>12782</v>
      </c>
      <c r="B5260" s="1">
        <v>1</v>
      </c>
      <c r="C5260" s="1">
        <v>1</v>
      </c>
      <c r="D5260" s="1">
        <v>8</v>
      </c>
    </row>
    <row r="5261" spans="1:4" x14ac:dyDescent="0.25">
      <c r="A5261" s="16">
        <v>12783</v>
      </c>
      <c r="B5261" s="1">
        <v>1</v>
      </c>
      <c r="C5261" s="1">
        <v>1</v>
      </c>
      <c r="D5261" s="1">
        <v>8.8000000000000007</v>
      </c>
    </row>
    <row r="5262" spans="1:4" x14ac:dyDescent="0.25">
      <c r="A5262" s="16">
        <v>12784</v>
      </c>
      <c r="B5262" s="1">
        <v>1</v>
      </c>
      <c r="C5262" s="1">
        <v>2</v>
      </c>
      <c r="D5262" s="1">
        <v>8</v>
      </c>
    </row>
    <row r="5263" spans="1:4" x14ac:dyDescent="0.25">
      <c r="A5263" s="16">
        <v>12785</v>
      </c>
      <c r="B5263" s="1">
        <v>1</v>
      </c>
      <c r="C5263" s="1">
        <v>1</v>
      </c>
      <c r="D5263" s="1">
        <v>7.6</v>
      </c>
    </row>
    <row r="5264" spans="1:4" x14ac:dyDescent="0.25">
      <c r="A5264" s="16">
        <v>12786</v>
      </c>
      <c r="B5264" s="1">
        <v>1</v>
      </c>
      <c r="C5264" s="1">
        <v>2</v>
      </c>
      <c r="D5264" s="1">
        <v>12</v>
      </c>
    </row>
    <row r="5265" spans="1:4" x14ac:dyDescent="0.25">
      <c r="A5265" s="16">
        <v>12787</v>
      </c>
      <c r="B5265" s="1">
        <v>1</v>
      </c>
      <c r="C5265" s="1">
        <v>2</v>
      </c>
      <c r="D5265" s="1">
        <v>5.6</v>
      </c>
    </row>
    <row r="5266" spans="1:4" x14ac:dyDescent="0.25">
      <c r="A5266" s="16">
        <v>12788</v>
      </c>
      <c r="B5266" s="1">
        <v>1</v>
      </c>
      <c r="C5266" s="1">
        <v>1</v>
      </c>
      <c r="D5266" s="1">
        <v>20</v>
      </c>
    </row>
    <row r="5267" spans="1:4" x14ac:dyDescent="0.25">
      <c r="A5267" s="16">
        <v>12789</v>
      </c>
      <c r="B5267" s="1">
        <v>1</v>
      </c>
      <c r="C5267" s="1">
        <v>1</v>
      </c>
      <c r="D5267" s="1">
        <v>51.64</v>
      </c>
    </row>
    <row r="5268" spans="1:4" x14ac:dyDescent="0.25">
      <c r="A5268" s="16">
        <v>12790</v>
      </c>
      <c r="B5268" s="1">
        <v>1</v>
      </c>
      <c r="C5268" s="1">
        <v>1</v>
      </c>
      <c r="D5268" s="1">
        <v>51.64</v>
      </c>
    </row>
    <row r="5269" spans="1:4" x14ac:dyDescent="0.25">
      <c r="A5269" s="16">
        <v>12791</v>
      </c>
      <c r="B5269" s="1">
        <v>1</v>
      </c>
      <c r="C5269" s="1">
        <v>1</v>
      </c>
      <c r="D5269" s="1">
        <v>26</v>
      </c>
    </row>
    <row r="5270" spans="1:4" x14ac:dyDescent="0.25">
      <c r="A5270" s="16">
        <v>12792</v>
      </c>
      <c r="B5270" s="1">
        <v>1</v>
      </c>
      <c r="C5270" s="1">
        <v>1</v>
      </c>
      <c r="D5270" s="1">
        <v>8</v>
      </c>
    </row>
    <row r="5271" spans="1:4" x14ac:dyDescent="0.25">
      <c r="A5271" s="16">
        <v>12793</v>
      </c>
      <c r="B5271" s="1">
        <v>1</v>
      </c>
      <c r="C5271" s="1">
        <v>1</v>
      </c>
      <c r="D5271" s="1">
        <v>8.8000000000000007</v>
      </c>
    </row>
    <row r="5272" spans="1:4" x14ac:dyDescent="0.25">
      <c r="A5272" s="16">
        <v>12794</v>
      </c>
      <c r="B5272" s="1">
        <v>1</v>
      </c>
      <c r="C5272" s="1">
        <v>3</v>
      </c>
      <c r="D5272" s="1">
        <v>7.1999999999999993</v>
      </c>
    </row>
    <row r="5273" spans="1:4" x14ac:dyDescent="0.25">
      <c r="A5273" s="16">
        <v>12795</v>
      </c>
      <c r="B5273" s="1">
        <v>1</v>
      </c>
      <c r="C5273" s="1">
        <v>2</v>
      </c>
      <c r="D5273" s="1">
        <v>5.6</v>
      </c>
    </row>
    <row r="5274" spans="1:4" x14ac:dyDescent="0.25">
      <c r="A5274" s="16">
        <v>12796</v>
      </c>
      <c r="B5274" s="1">
        <v>1</v>
      </c>
      <c r="C5274" s="1">
        <v>1</v>
      </c>
      <c r="D5274" s="1">
        <v>6</v>
      </c>
    </row>
    <row r="5275" spans="1:4" x14ac:dyDescent="0.25">
      <c r="A5275" s="16">
        <v>12797</v>
      </c>
      <c r="B5275" s="1">
        <v>1</v>
      </c>
      <c r="C5275" s="1">
        <v>1</v>
      </c>
      <c r="D5275" s="1">
        <v>8</v>
      </c>
    </row>
    <row r="5276" spans="1:4" x14ac:dyDescent="0.25">
      <c r="A5276" s="16">
        <v>12798</v>
      </c>
      <c r="B5276" s="1">
        <v>1</v>
      </c>
      <c r="C5276" s="1">
        <v>1</v>
      </c>
      <c r="D5276" s="1">
        <v>51.64</v>
      </c>
    </row>
    <row r="5277" spans="1:4" x14ac:dyDescent="0.25">
      <c r="A5277" s="16">
        <v>12799</v>
      </c>
      <c r="B5277" s="1">
        <v>1</v>
      </c>
      <c r="C5277" s="1">
        <v>1</v>
      </c>
      <c r="D5277" s="1">
        <v>42</v>
      </c>
    </row>
    <row r="5278" spans="1:4" x14ac:dyDescent="0.25">
      <c r="A5278" s="16">
        <v>12800</v>
      </c>
      <c r="B5278" s="1">
        <v>1</v>
      </c>
      <c r="C5278" s="1">
        <v>1</v>
      </c>
      <c r="D5278" s="1">
        <v>51.64</v>
      </c>
    </row>
    <row r="5279" spans="1:4" x14ac:dyDescent="0.25">
      <c r="A5279" s="16">
        <v>12801</v>
      </c>
      <c r="B5279" s="1">
        <v>1</v>
      </c>
      <c r="C5279" s="1">
        <v>1</v>
      </c>
      <c r="D5279" s="1">
        <v>6</v>
      </c>
    </row>
    <row r="5280" spans="1:4" x14ac:dyDescent="0.25">
      <c r="A5280" s="16">
        <v>12802</v>
      </c>
      <c r="B5280" s="1">
        <v>1</v>
      </c>
      <c r="C5280" s="1">
        <v>2</v>
      </c>
      <c r="D5280" s="1">
        <v>15.2</v>
      </c>
    </row>
    <row r="5281" spans="1:4" x14ac:dyDescent="0.25">
      <c r="A5281" s="16">
        <v>12803</v>
      </c>
      <c r="B5281" s="1">
        <v>1</v>
      </c>
      <c r="C5281" s="1">
        <v>1</v>
      </c>
      <c r="D5281" s="1">
        <v>22</v>
      </c>
    </row>
    <row r="5282" spans="1:4" x14ac:dyDescent="0.25">
      <c r="A5282" s="16">
        <v>12804</v>
      </c>
      <c r="B5282" s="1">
        <v>1</v>
      </c>
      <c r="C5282" s="1">
        <v>1</v>
      </c>
      <c r="D5282" s="1">
        <v>7.2</v>
      </c>
    </row>
    <row r="5283" spans="1:4" x14ac:dyDescent="0.25">
      <c r="A5283" s="16">
        <v>12805</v>
      </c>
      <c r="B5283" s="1">
        <v>1</v>
      </c>
      <c r="C5283" s="1">
        <v>1</v>
      </c>
      <c r="D5283" s="1">
        <v>14</v>
      </c>
    </row>
    <row r="5284" spans="1:4" x14ac:dyDescent="0.25">
      <c r="A5284" s="16">
        <v>12806</v>
      </c>
      <c r="B5284" s="1">
        <v>1</v>
      </c>
      <c r="C5284" s="1">
        <v>1</v>
      </c>
      <c r="D5284" s="1">
        <v>40</v>
      </c>
    </row>
    <row r="5285" spans="1:4" x14ac:dyDescent="0.25">
      <c r="A5285" s="16">
        <v>12807</v>
      </c>
      <c r="B5285" s="1">
        <v>1</v>
      </c>
      <c r="C5285" s="1">
        <v>1</v>
      </c>
      <c r="D5285" s="1">
        <v>8</v>
      </c>
    </row>
    <row r="5286" spans="1:4" x14ac:dyDescent="0.25">
      <c r="A5286" s="16">
        <v>12808</v>
      </c>
      <c r="B5286" s="1">
        <v>1</v>
      </c>
      <c r="C5286" s="1">
        <v>2</v>
      </c>
      <c r="D5286" s="1">
        <v>5.6</v>
      </c>
    </row>
    <row r="5287" spans="1:4" x14ac:dyDescent="0.25">
      <c r="A5287" s="16">
        <v>12809</v>
      </c>
      <c r="B5287" s="1">
        <v>1</v>
      </c>
      <c r="C5287" s="1">
        <v>2</v>
      </c>
      <c r="D5287" s="1">
        <v>4.8</v>
      </c>
    </row>
    <row r="5288" spans="1:4" x14ac:dyDescent="0.25">
      <c r="A5288" s="16">
        <v>12810</v>
      </c>
      <c r="B5288" s="1">
        <v>1</v>
      </c>
      <c r="C5288" s="1">
        <v>1</v>
      </c>
      <c r="D5288" s="1">
        <v>51.64</v>
      </c>
    </row>
    <row r="5289" spans="1:4" x14ac:dyDescent="0.25">
      <c r="A5289" s="16">
        <v>12811</v>
      </c>
      <c r="B5289" s="1">
        <v>1</v>
      </c>
      <c r="C5289" s="1">
        <v>1</v>
      </c>
      <c r="D5289" s="1">
        <v>51.64</v>
      </c>
    </row>
    <row r="5290" spans="1:4" x14ac:dyDescent="0.25">
      <c r="A5290" s="16">
        <v>12812</v>
      </c>
      <c r="B5290" s="1">
        <v>1</v>
      </c>
      <c r="C5290" s="1">
        <v>1</v>
      </c>
      <c r="D5290" s="1">
        <v>36</v>
      </c>
    </row>
    <row r="5291" spans="1:4" x14ac:dyDescent="0.25">
      <c r="A5291" s="16">
        <v>12813</v>
      </c>
      <c r="B5291" s="1">
        <v>1</v>
      </c>
      <c r="C5291" s="1">
        <v>1</v>
      </c>
      <c r="D5291" s="1">
        <v>7.6</v>
      </c>
    </row>
    <row r="5292" spans="1:4" x14ac:dyDescent="0.25">
      <c r="A5292" s="16">
        <v>12814</v>
      </c>
      <c r="B5292" s="1">
        <v>1</v>
      </c>
      <c r="C5292" s="1">
        <v>3</v>
      </c>
      <c r="D5292" s="1">
        <v>7.1999999999999993</v>
      </c>
    </row>
    <row r="5293" spans="1:4" x14ac:dyDescent="0.25">
      <c r="A5293" s="16">
        <v>12815</v>
      </c>
      <c r="B5293" s="1">
        <v>1</v>
      </c>
      <c r="C5293" s="1">
        <v>1</v>
      </c>
      <c r="D5293" s="1">
        <v>8</v>
      </c>
    </row>
    <row r="5294" spans="1:4" x14ac:dyDescent="0.25">
      <c r="A5294" s="16">
        <v>12816</v>
      </c>
      <c r="B5294" s="1">
        <v>1</v>
      </c>
      <c r="C5294" s="1">
        <v>1</v>
      </c>
      <c r="D5294" s="1">
        <v>8.8000000000000007</v>
      </c>
    </row>
    <row r="5295" spans="1:4" x14ac:dyDescent="0.25">
      <c r="A5295" s="16">
        <v>12817</v>
      </c>
      <c r="B5295" s="1">
        <v>1</v>
      </c>
      <c r="C5295" s="1">
        <v>1</v>
      </c>
      <c r="D5295" s="1">
        <v>7.6</v>
      </c>
    </row>
    <row r="5296" spans="1:4" x14ac:dyDescent="0.25">
      <c r="A5296" s="16">
        <v>12818</v>
      </c>
      <c r="B5296" s="1">
        <v>1</v>
      </c>
      <c r="C5296" s="1">
        <v>1</v>
      </c>
      <c r="D5296" s="1">
        <v>26</v>
      </c>
    </row>
    <row r="5297" spans="1:4" x14ac:dyDescent="0.25">
      <c r="A5297" s="16">
        <v>12819</v>
      </c>
      <c r="B5297" s="1">
        <v>1</v>
      </c>
      <c r="C5297" s="1">
        <v>1</v>
      </c>
      <c r="D5297" s="1">
        <v>51.64</v>
      </c>
    </row>
    <row r="5298" spans="1:4" x14ac:dyDescent="0.25">
      <c r="A5298" s="16">
        <v>12820</v>
      </c>
      <c r="B5298" s="1">
        <v>1</v>
      </c>
      <c r="C5298" s="1">
        <v>3</v>
      </c>
      <c r="D5298" s="1">
        <v>8.3999999999999986</v>
      </c>
    </row>
    <row r="5299" spans="1:4" x14ac:dyDescent="0.25">
      <c r="A5299" s="16">
        <v>12821</v>
      </c>
      <c r="B5299" s="1">
        <v>1</v>
      </c>
      <c r="C5299" s="1">
        <v>1</v>
      </c>
      <c r="D5299" s="1">
        <v>6</v>
      </c>
    </row>
    <row r="5300" spans="1:4" x14ac:dyDescent="0.25">
      <c r="A5300" s="16">
        <v>12822</v>
      </c>
      <c r="B5300" s="1">
        <v>1</v>
      </c>
      <c r="C5300" s="1">
        <v>1</v>
      </c>
      <c r="D5300" s="1">
        <v>8</v>
      </c>
    </row>
    <row r="5301" spans="1:4" x14ac:dyDescent="0.25">
      <c r="A5301" s="16">
        <v>12823</v>
      </c>
      <c r="B5301" s="1">
        <v>1</v>
      </c>
      <c r="C5301" s="1">
        <v>2</v>
      </c>
      <c r="D5301" s="1">
        <v>4.8</v>
      </c>
    </row>
    <row r="5302" spans="1:4" x14ac:dyDescent="0.25">
      <c r="A5302" s="16">
        <v>12824</v>
      </c>
      <c r="B5302" s="1">
        <v>1</v>
      </c>
      <c r="C5302" s="1">
        <v>1</v>
      </c>
      <c r="D5302" s="1">
        <v>4</v>
      </c>
    </row>
    <row r="5303" spans="1:4" x14ac:dyDescent="0.25">
      <c r="A5303" s="16">
        <v>12825</v>
      </c>
      <c r="B5303" s="1">
        <v>1</v>
      </c>
      <c r="C5303" s="1">
        <v>1</v>
      </c>
      <c r="D5303" s="1">
        <v>11.2</v>
      </c>
    </row>
    <row r="5304" spans="1:4" x14ac:dyDescent="0.25">
      <c r="A5304" s="16">
        <v>12826</v>
      </c>
      <c r="B5304" s="1">
        <v>1</v>
      </c>
      <c r="C5304" s="1">
        <v>2</v>
      </c>
      <c r="D5304" s="1">
        <v>5.6</v>
      </c>
    </row>
    <row r="5305" spans="1:4" x14ac:dyDescent="0.25">
      <c r="A5305" s="16">
        <v>12827</v>
      </c>
      <c r="B5305" s="1">
        <v>1</v>
      </c>
      <c r="C5305" s="1">
        <v>1</v>
      </c>
      <c r="D5305" s="1">
        <v>51.64</v>
      </c>
    </row>
    <row r="5306" spans="1:4" x14ac:dyDescent="0.25">
      <c r="A5306" s="16">
        <v>12828</v>
      </c>
      <c r="B5306" s="1">
        <v>1</v>
      </c>
      <c r="C5306" s="1">
        <v>1</v>
      </c>
      <c r="D5306" s="1">
        <v>6</v>
      </c>
    </row>
    <row r="5307" spans="1:4" x14ac:dyDescent="0.25">
      <c r="A5307" s="16">
        <v>12829</v>
      </c>
      <c r="B5307" s="1">
        <v>1</v>
      </c>
      <c r="C5307" s="1">
        <v>1</v>
      </c>
      <c r="D5307" s="1">
        <v>8</v>
      </c>
    </row>
    <row r="5308" spans="1:4" x14ac:dyDescent="0.25">
      <c r="A5308" s="16">
        <v>12830</v>
      </c>
      <c r="B5308" s="1">
        <v>1</v>
      </c>
      <c r="C5308" s="1">
        <v>1</v>
      </c>
      <c r="D5308" s="1">
        <v>51.64</v>
      </c>
    </row>
    <row r="5309" spans="1:4" x14ac:dyDescent="0.25">
      <c r="A5309" s="16">
        <v>12831</v>
      </c>
      <c r="B5309" s="1">
        <v>1</v>
      </c>
      <c r="C5309" s="1">
        <v>1</v>
      </c>
      <c r="D5309" s="1">
        <v>8.8000000000000007</v>
      </c>
    </row>
    <row r="5310" spans="1:4" x14ac:dyDescent="0.25">
      <c r="A5310" s="16">
        <v>12832</v>
      </c>
      <c r="B5310" s="1">
        <v>1</v>
      </c>
      <c r="C5310" s="1">
        <v>1</v>
      </c>
      <c r="D5310" s="1">
        <v>8</v>
      </c>
    </row>
    <row r="5311" spans="1:4" x14ac:dyDescent="0.25">
      <c r="A5311" s="16">
        <v>12833</v>
      </c>
      <c r="B5311" s="1">
        <v>1</v>
      </c>
      <c r="C5311" s="1">
        <v>2</v>
      </c>
      <c r="D5311" s="1">
        <v>4.8</v>
      </c>
    </row>
    <row r="5312" spans="1:4" x14ac:dyDescent="0.25">
      <c r="A5312" s="16">
        <v>12834</v>
      </c>
      <c r="B5312" s="1">
        <v>1</v>
      </c>
      <c r="C5312" s="1">
        <v>1</v>
      </c>
      <c r="D5312" s="1">
        <v>6</v>
      </c>
    </row>
    <row r="5313" spans="1:4" x14ac:dyDescent="0.25">
      <c r="A5313" s="16">
        <v>12835</v>
      </c>
      <c r="B5313" s="1">
        <v>1</v>
      </c>
      <c r="C5313" s="1">
        <v>1</v>
      </c>
      <c r="D5313" s="1">
        <v>36</v>
      </c>
    </row>
    <row r="5314" spans="1:4" x14ac:dyDescent="0.25">
      <c r="A5314" s="16">
        <v>12836</v>
      </c>
      <c r="B5314" s="1">
        <v>1</v>
      </c>
      <c r="C5314" s="1">
        <v>1</v>
      </c>
      <c r="D5314" s="1">
        <v>42</v>
      </c>
    </row>
    <row r="5315" spans="1:4" x14ac:dyDescent="0.25">
      <c r="A5315" s="16">
        <v>12837</v>
      </c>
      <c r="B5315" s="1">
        <v>1</v>
      </c>
      <c r="C5315" s="1">
        <v>1</v>
      </c>
      <c r="D5315" s="1">
        <v>51.64</v>
      </c>
    </row>
    <row r="5316" spans="1:4" x14ac:dyDescent="0.25">
      <c r="A5316" s="16">
        <v>12838</v>
      </c>
      <c r="B5316" s="1">
        <v>1</v>
      </c>
      <c r="C5316" s="1">
        <v>1</v>
      </c>
      <c r="D5316" s="1">
        <v>14</v>
      </c>
    </row>
    <row r="5317" spans="1:4" x14ac:dyDescent="0.25">
      <c r="A5317" s="16">
        <v>12839</v>
      </c>
      <c r="B5317" s="1">
        <v>1</v>
      </c>
      <c r="C5317" s="1">
        <v>1</v>
      </c>
      <c r="D5317" s="1">
        <v>8</v>
      </c>
    </row>
    <row r="5318" spans="1:4" x14ac:dyDescent="0.25">
      <c r="A5318" s="16">
        <v>12840</v>
      </c>
      <c r="B5318" s="1">
        <v>1</v>
      </c>
      <c r="C5318" s="1">
        <v>2</v>
      </c>
      <c r="D5318" s="1">
        <v>5.6</v>
      </c>
    </row>
    <row r="5319" spans="1:4" x14ac:dyDescent="0.25">
      <c r="A5319" s="16">
        <v>12841</v>
      </c>
      <c r="B5319" s="1">
        <v>1</v>
      </c>
      <c r="C5319" s="1">
        <v>1</v>
      </c>
      <c r="D5319" s="1">
        <v>7.6</v>
      </c>
    </row>
    <row r="5320" spans="1:4" x14ac:dyDescent="0.25">
      <c r="A5320" s="16">
        <v>12842</v>
      </c>
      <c r="B5320" s="1">
        <v>1</v>
      </c>
      <c r="C5320" s="1">
        <v>1</v>
      </c>
      <c r="D5320" s="1">
        <v>51.64</v>
      </c>
    </row>
    <row r="5321" spans="1:4" x14ac:dyDescent="0.25">
      <c r="A5321" s="16">
        <v>12843</v>
      </c>
      <c r="B5321" s="1">
        <v>1</v>
      </c>
      <c r="C5321" s="1">
        <v>3</v>
      </c>
      <c r="D5321" s="1">
        <v>7.1999999999999993</v>
      </c>
    </row>
    <row r="5322" spans="1:4" x14ac:dyDescent="0.25">
      <c r="A5322" s="16">
        <v>12844</v>
      </c>
      <c r="B5322" s="1">
        <v>1</v>
      </c>
      <c r="C5322" s="1">
        <v>1</v>
      </c>
      <c r="D5322" s="1">
        <v>8</v>
      </c>
    </row>
    <row r="5323" spans="1:4" x14ac:dyDescent="0.25">
      <c r="A5323" s="16">
        <v>12845</v>
      </c>
      <c r="B5323" s="1">
        <v>1</v>
      </c>
      <c r="C5323" s="1">
        <v>1</v>
      </c>
      <c r="D5323" s="1">
        <v>8.8000000000000007</v>
      </c>
    </row>
    <row r="5324" spans="1:4" x14ac:dyDescent="0.25">
      <c r="A5324" s="16">
        <v>12846</v>
      </c>
      <c r="B5324" s="1">
        <v>1</v>
      </c>
      <c r="C5324" s="1">
        <v>2</v>
      </c>
      <c r="D5324" s="1">
        <v>5.6</v>
      </c>
    </row>
    <row r="5325" spans="1:4" x14ac:dyDescent="0.25">
      <c r="A5325" s="16">
        <v>12847</v>
      </c>
      <c r="B5325" s="1">
        <v>1</v>
      </c>
      <c r="C5325" s="1">
        <v>1</v>
      </c>
      <c r="D5325" s="1">
        <v>6</v>
      </c>
    </row>
    <row r="5326" spans="1:4" x14ac:dyDescent="0.25">
      <c r="A5326" s="16">
        <v>12848</v>
      </c>
      <c r="B5326" s="1">
        <v>1</v>
      </c>
      <c r="C5326" s="1">
        <v>1</v>
      </c>
      <c r="D5326" s="1">
        <v>51.64</v>
      </c>
    </row>
    <row r="5327" spans="1:4" x14ac:dyDescent="0.25">
      <c r="A5327" s="16">
        <v>12849</v>
      </c>
      <c r="B5327" s="1">
        <v>1</v>
      </c>
      <c r="C5327" s="1">
        <v>1</v>
      </c>
      <c r="D5327" s="1">
        <v>7.6</v>
      </c>
    </row>
    <row r="5328" spans="1:4" x14ac:dyDescent="0.25">
      <c r="A5328" s="16">
        <v>12850</v>
      </c>
      <c r="B5328" s="1">
        <v>1</v>
      </c>
      <c r="C5328" s="1">
        <v>1</v>
      </c>
      <c r="D5328" s="1">
        <v>40</v>
      </c>
    </row>
    <row r="5329" spans="1:4" x14ac:dyDescent="0.25">
      <c r="A5329" s="16">
        <v>12851</v>
      </c>
      <c r="B5329" s="1">
        <v>1</v>
      </c>
      <c r="C5329" s="1">
        <v>1</v>
      </c>
      <c r="D5329" s="1">
        <v>36</v>
      </c>
    </row>
    <row r="5330" spans="1:4" x14ac:dyDescent="0.25">
      <c r="A5330" s="16">
        <v>12852</v>
      </c>
      <c r="B5330" s="1">
        <v>1</v>
      </c>
      <c r="C5330" s="1">
        <v>1</v>
      </c>
      <c r="D5330" s="1">
        <v>8</v>
      </c>
    </row>
    <row r="5331" spans="1:4" x14ac:dyDescent="0.25">
      <c r="A5331" s="16">
        <v>12853</v>
      </c>
      <c r="B5331" s="1">
        <v>1</v>
      </c>
      <c r="C5331" s="1">
        <v>1</v>
      </c>
      <c r="D5331" s="1">
        <v>7.2</v>
      </c>
    </row>
    <row r="5332" spans="1:4" x14ac:dyDescent="0.25">
      <c r="A5332" s="16">
        <v>12854</v>
      </c>
      <c r="B5332" s="1">
        <v>1</v>
      </c>
      <c r="C5332" s="1">
        <v>2</v>
      </c>
      <c r="D5332" s="1">
        <v>4.8</v>
      </c>
    </row>
    <row r="5333" spans="1:4" x14ac:dyDescent="0.25">
      <c r="A5333" s="16">
        <v>12855</v>
      </c>
      <c r="B5333" s="1">
        <v>1</v>
      </c>
      <c r="C5333" s="1">
        <v>1</v>
      </c>
      <c r="D5333" s="1">
        <v>8</v>
      </c>
    </row>
    <row r="5334" spans="1:4" x14ac:dyDescent="0.25">
      <c r="A5334" s="16">
        <v>12856</v>
      </c>
      <c r="B5334" s="1">
        <v>1</v>
      </c>
      <c r="C5334" s="1">
        <v>1</v>
      </c>
      <c r="D5334" s="1">
        <v>51.64</v>
      </c>
    </row>
    <row r="5335" spans="1:4" x14ac:dyDescent="0.25">
      <c r="A5335" s="16">
        <v>12857</v>
      </c>
      <c r="B5335" s="1">
        <v>1</v>
      </c>
      <c r="C5335" s="1">
        <v>1</v>
      </c>
      <c r="D5335" s="1">
        <v>51.64</v>
      </c>
    </row>
    <row r="5336" spans="1:4" x14ac:dyDescent="0.25">
      <c r="A5336" s="16">
        <v>12858</v>
      </c>
      <c r="B5336" s="1">
        <v>1</v>
      </c>
      <c r="C5336" s="1">
        <v>3</v>
      </c>
      <c r="D5336" s="1">
        <v>8.3999999999999986</v>
      </c>
    </row>
    <row r="5337" spans="1:4" x14ac:dyDescent="0.25">
      <c r="A5337" s="16">
        <v>12859</v>
      </c>
      <c r="B5337" s="1">
        <v>1</v>
      </c>
      <c r="C5337" s="1">
        <v>1</v>
      </c>
      <c r="D5337" s="1">
        <v>6</v>
      </c>
    </row>
    <row r="5338" spans="1:4" x14ac:dyDescent="0.25">
      <c r="A5338" s="16">
        <v>12860</v>
      </c>
      <c r="B5338" s="1">
        <v>1</v>
      </c>
      <c r="C5338" s="1">
        <v>1</v>
      </c>
      <c r="D5338" s="1">
        <v>8</v>
      </c>
    </row>
    <row r="5339" spans="1:4" x14ac:dyDescent="0.25">
      <c r="A5339" s="16">
        <v>12861</v>
      </c>
      <c r="B5339" s="1">
        <v>1</v>
      </c>
      <c r="C5339" s="1">
        <v>3</v>
      </c>
      <c r="D5339" s="1">
        <v>8.3999999999999986</v>
      </c>
    </row>
    <row r="5340" spans="1:4" x14ac:dyDescent="0.25">
      <c r="A5340" s="16">
        <v>12862</v>
      </c>
      <c r="B5340" s="1">
        <v>1</v>
      </c>
      <c r="C5340" s="1">
        <v>1</v>
      </c>
      <c r="D5340" s="1">
        <v>6</v>
      </c>
    </row>
    <row r="5341" spans="1:4" x14ac:dyDescent="0.25">
      <c r="A5341" s="16">
        <v>12863</v>
      </c>
      <c r="B5341" s="1">
        <v>1</v>
      </c>
      <c r="C5341" s="1">
        <v>1</v>
      </c>
      <c r="D5341" s="1">
        <v>51.64</v>
      </c>
    </row>
    <row r="5342" spans="1:4" x14ac:dyDescent="0.25">
      <c r="A5342" s="16">
        <v>12864</v>
      </c>
      <c r="B5342" s="1">
        <v>1</v>
      </c>
      <c r="C5342" s="1">
        <v>1</v>
      </c>
      <c r="D5342" s="1">
        <v>8</v>
      </c>
    </row>
    <row r="5343" spans="1:4" x14ac:dyDescent="0.25">
      <c r="A5343" s="16">
        <v>12865</v>
      </c>
      <c r="B5343" s="1">
        <v>1</v>
      </c>
      <c r="C5343" s="1">
        <v>1</v>
      </c>
      <c r="D5343" s="1">
        <v>51.64</v>
      </c>
    </row>
    <row r="5344" spans="1:4" x14ac:dyDescent="0.25">
      <c r="A5344" s="16">
        <v>12866</v>
      </c>
      <c r="B5344" s="1">
        <v>1</v>
      </c>
      <c r="C5344" s="1">
        <v>1</v>
      </c>
      <c r="D5344" s="1">
        <v>42</v>
      </c>
    </row>
    <row r="5345" spans="1:4" x14ac:dyDescent="0.25">
      <c r="A5345" s="16">
        <v>12867</v>
      </c>
      <c r="B5345" s="1">
        <v>1</v>
      </c>
      <c r="C5345" s="1">
        <v>1</v>
      </c>
      <c r="D5345" s="1">
        <v>14</v>
      </c>
    </row>
    <row r="5346" spans="1:4" x14ac:dyDescent="0.25">
      <c r="A5346" s="16">
        <v>12868</v>
      </c>
      <c r="B5346" s="1">
        <v>1</v>
      </c>
      <c r="C5346" s="1">
        <v>1</v>
      </c>
      <c r="D5346" s="1">
        <v>8.8000000000000007</v>
      </c>
    </row>
    <row r="5347" spans="1:4" x14ac:dyDescent="0.25">
      <c r="A5347" s="16">
        <v>12869</v>
      </c>
      <c r="B5347" s="1">
        <v>1</v>
      </c>
      <c r="C5347" s="1">
        <v>1</v>
      </c>
      <c r="D5347" s="1">
        <v>26</v>
      </c>
    </row>
    <row r="5348" spans="1:4" x14ac:dyDescent="0.25">
      <c r="A5348" s="16">
        <v>12870</v>
      </c>
      <c r="B5348" s="1">
        <v>1</v>
      </c>
      <c r="C5348" s="1">
        <v>2</v>
      </c>
      <c r="D5348" s="1">
        <v>4.8</v>
      </c>
    </row>
    <row r="5349" spans="1:4" x14ac:dyDescent="0.25">
      <c r="A5349" s="16">
        <v>12871</v>
      </c>
      <c r="B5349" s="1">
        <v>1</v>
      </c>
      <c r="C5349" s="1">
        <v>1</v>
      </c>
      <c r="D5349" s="1">
        <v>7.6</v>
      </c>
    </row>
    <row r="5350" spans="1:4" x14ac:dyDescent="0.25">
      <c r="A5350" s="16">
        <v>12872</v>
      </c>
      <c r="B5350" s="1">
        <v>1</v>
      </c>
      <c r="C5350" s="1">
        <v>1</v>
      </c>
      <c r="D5350" s="1">
        <v>51.64</v>
      </c>
    </row>
    <row r="5351" spans="1:4" x14ac:dyDescent="0.25">
      <c r="A5351" s="16">
        <v>12873</v>
      </c>
      <c r="B5351" s="1">
        <v>1</v>
      </c>
      <c r="C5351" s="1">
        <v>1</v>
      </c>
      <c r="D5351" s="1">
        <v>40</v>
      </c>
    </row>
    <row r="5352" spans="1:4" x14ac:dyDescent="0.25">
      <c r="A5352" s="16">
        <v>12874</v>
      </c>
      <c r="B5352" s="1">
        <v>1</v>
      </c>
      <c r="C5352" s="1">
        <v>1</v>
      </c>
      <c r="D5352" s="1">
        <v>10</v>
      </c>
    </row>
    <row r="5353" spans="1:4" x14ac:dyDescent="0.25">
      <c r="A5353" s="16">
        <v>12875</v>
      </c>
      <c r="B5353" s="1">
        <v>1</v>
      </c>
      <c r="C5353" s="1">
        <v>1</v>
      </c>
      <c r="D5353" s="1">
        <v>7.2</v>
      </c>
    </row>
    <row r="5354" spans="1:4" x14ac:dyDescent="0.25">
      <c r="A5354" s="16">
        <v>12876</v>
      </c>
      <c r="B5354" s="1">
        <v>1</v>
      </c>
      <c r="C5354" s="1">
        <v>1</v>
      </c>
      <c r="D5354" s="1">
        <v>51.64</v>
      </c>
    </row>
    <row r="5355" spans="1:4" x14ac:dyDescent="0.25">
      <c r="A5355" s="16">
        <v>12877</v>
      </c>
      <c r="B5355" s="1">
        <v>1</v>
      </c>
      <c r="C5355" s="1">
        <v>1</v>
      </c>
      <c r="D5355" s="1">
        <v>6</v>
      </c>
    </row>
    <row r="5356" spans="1:4" x14ac:dyDescent="0.25">
      <c r="A5356" s="16">
        <v>12878</v>
      </c>
      <c r="B5356" s="1">
        <v>1</v>
      </c>
      <c r="C5356" s="1">
        <v>1</v>
      </c>
      <c r="D5356" s="1">
        <v>8</v>
      </c>
    </row>
    <row r="5357" spans="1:4" x14ac:dyDescent="0.25">
      <c r="A5357" s="16">
        <v>12879</v>
      </c>
      <c r="B5357" s="1">
        <v>1</v>
      </c>
      <c r="C5357" s="1">
        <v>3</v>
      </c>
      <c r="D5357" s="1">
        <v>8.3999999999999986</v>
      </c>
    </row>
    <row r="5358" spans="1:4" x14ac:dyDescent="0.25">
      <c r="A5358" s="16">
        <v>12880</v>
      </c>
      <c r="B5358" s="1">
        <v>1</v>
      </c>
      <c r="C5358" s="1">
        <v>1</v>
      </c>
      <c r="D5358" s="1">
        <v>14</v>
      </c>
    </row>
    <row r="5359" spans="1:4" x14ac:dyDescent="0.25">
      <c r="A5359" s="16">
        <v>12881</v>
      </c>
      <c r="B5359" s="1">
        <v>1</v>
      </c>
      <c r="C5359" s="1">
        <v>1</v>
      </c>
      <c r="D5359" s="1">
        <v>8</v>
      </c>
    </row>
    <row r="5360" spans="1:4" x14ac:dyDescent="0.25">
      <c r="A5360" s="16">
        <v>12882</v>
      </c>
      <c r="B5360" s="1">
        <v>1</v>
      </c>
      <c r="C5360" s="1">
        <v>1</v>
      </c>
      <c r="D5360" s="1">
        <v>6</v>
      </c>
    </row>
    <row r="5361" spans="1:4" x14ac:dyDescent="0.25">
      <c r="A5361" s="16">
        <v>12883</v>
      </c>
      <c r="B5361" s="1">
        <v>1</v>
      </c>
      <c r="C5361" s="1">
        <v>1</v>
      </c>
      <c r="D5361" s="1">
        <v>51.64</v>
      </c>
    </row>
    <row r="5362" spans="1:4" x14ac:dyDescent="0.25">
      <c r="A5362" s="16">
        <v>12884</v>
      </c>
      <c r="B5362" s="1">
        <v>1</v>
      </c>
      <c r="C5362" s="1">
        <v>1</v>
      </c>
      <c r="D5362" s="1">
        <v>7.6</v>
      </c>
    </row>
    <row r="5363" spans="1:4" x14ac:dyDescent="0.25">
      <c r="A5363" s="16">
        <v>12885</v>
      </c>
      <c r="B5363" s="1">
        <v>1</v>
      </c>
      <c r="C5363" s="1">
        <v>1</v>
      </c>
      <c r="D5363" s="1">
        <v>8.8000000000000007</v>
      </c>
    </row>
    <row r="5364" spans="1:4" x14ac:dyDescent="0.25">
      <c r="A5364" s="16">
        <v>12886</v>
      </c>
      <c r="B5364" s="1">
        <v>1</v>
      </c>
      <c r="C5364" s="1">
        <v>2</v>
      </c>
      <c r="D5364" s="1">
        <v>15.2</v>
      </c>
    </row>
    <row r="5365" spans="1:4" x14ac:dyDescent="0.25">
      <c r="A5365" s="16">
        <v>12887</v>
      </c>
      <c r="B5365" s="1">
        <v>1</v>
      </c>
      <c r="C5365" s="1">
        <v>2</v>
      </c>
      <c r="D5365" s="1">
        <v>4.8</v>
      </c>
    </row>
    <row r="5366" spans="1:4" x14ac:dyDescent="0.25">
      <c r="A5366" s="16">
        <v>12888</v>
      </c>
      <c r="B5366" s="1">
        <v>1</v>
      </c>
      <c r="C5366" s="1">
        <v>1</v>
      </c>
      <c r="D5366" s="1">
        <v>8</v>
      </c>
    </row>
    <row r="5367" spans="1:4" x14ac:dyDescent="0.25">
      <c r="A5367" s="16">
        <v>12889</v>
      </c>
      <c r="B5367" s="1">
        <v>1</v>
      </c>
      <c r="C5367" s="1">
        <v>1</v>
      </c>
      <c r="D5367" s="1">
        <v>51.64</v>
      </c>
    </row>
    <row r="5368" spans="1:4" x14ac:dyDescent="0.25">
      <c r="A5368" s="16">
        <v>12890</v>
      </c>
      <c r="B5368" s="1">
        <v>1</v>
      </c>
      <c r="C5368" s="1">
        <v>1</v>
      </c>
      <c r="D5368" s="1">
        <v>36</v>
      </c>
    </row>
    <row r="5369" spans="1:4" x14ac:dyDescent="0.25">
      <c r="A5369" s="16">
        <v>12891</v>
      </c>
      <c r="B5369" s="1">
        <v>1</v>
      </c>
      <c r="C5369" s="1">
        <v>1</v>
      </c>
      <c r="D5369" s="1">
        <v>8</v>
      </c>
    </row>
    <row r="5370" spans="1:4" x14ac:dyDescent="0.25">
      <c r="A5370" s="16">
        <v>12892</v>
      </c>
      <c r="B5370" s="1">
        <v>1</v>
      </c>
      <c r="C5370" s="1">
        <v>1</v>
      </c>
      <c r="D5370" s="1">
        <v>8</v>
      </c>
    </row>
    <row r="5371" spans="1:4" x14ac:dyDescent="0.25">
      <c r="A5371" s="16">
        <v>12893</v>
      </c>
      <c r="B5371" s="1">
        <v>1</v>
      </c>
      <c r="C5371" s="1">
        <v>2</v>
      </c>
      <c r="D5371" s="1">
        <v>5.6</v>
      </c>
    </row>
    <row r="5372" spans="1:4" x14ac:dyDescent="0.25">
      <c r="A5372" s="16">
        <v>12894</v>
      </c>
      <c r="B5372" s="1">
        <v>1</v>
      </c>
      <c r="C5372" s="1">
        <v>1</v>
      </c>
      <c r="D5372" s="1">
        <v>51.64</v>
      </c>
    </row>
    <row r="5373" spans="1:4" x14ac:dyDescent="0.25">
      <c r="A5373" s="16">
        <v>12895</v>
      </c>
      <c r="B5373" s="1">
        <v>1</v>
      </c>
      <c r="C5373" s="1">
        <v>1</v>
      </c>
      <c r="D5373" s="1">
        <v>6</v>
      </c>
    </row>
    <row r="5374" spans="1:4" x14ac:dyDescent="0.25">
      <c r="A5374" s="16">
        <v>12896</v>
      </c>
      <c r="B5374" s="1">
        <v>1</v>
      </c>
      <c r="C5374" s="1">
        <v>1</v>
      </c>
      <c r="D5374" s="1">
        <v>40</v>
      </c>
    </row>
    <row r="5375" spans="1:4" x14ac:dyDescent="0.25">
      <c r="A5375" s="16">
        <v>12897</v>
      </c>
      <c r="B5375" s="1">
        <v>1</v>
      </c>
      <c r="C5375" s="1">
        <v>1</v>
      </c>
      <c r="D5375" s="1">
        <v>8.8000000000000007</v>
      </c>
    </row>
    <row r="5376" spans="1:4" x14ac:dyDescent="0.25">
      <c r="A5376" s="16">
        <v>12898</v>
      </c>
      <c r="B5376" s="1">
        <v>1</v>
      </c>
      <c r="C5376" s="1">
        <v>1</v>
      </c>
      <c r="D5376" s="1">
        <v>7.6</v>
      </c>
    </row>
    <row r="5377" spans="1:4" x14ac:dyDescent="0.25">
      <c r="A5377" s="16">
        <v>12899</v>
      </c>
      <c r="B5377" s="1">
        <v>1</v>
      </c>
      <c r="C5377" s="1">
        <v>1</v>
      </c>
      <c r="D5377" s="1">
        <v>10</v>
      </c>
    </row>
    <row r="5378" spans="1:4" x14ac:dyDescent="0.25">
      <c r="A5378" s="16">
        <v>12900</v>
      </c>
      <c r="B5378" s="1">
        <v>1</v>
      </c>
      <c r="C5378" s="1">
        <v>3</v>
      </c>
      <c r="D5378" s="1">
        <v>8.3999999999999986</v>
      </c>
    </row>
    <row r="5379" spans="1:4" x14ac:dyDescent="0.25">
      <c r="A5379" s="16">
        <v>12901</v>
      </c>
      <c r="B5379" s="1">
        <v>1</v>
      </c>
      <c r="C5379" s="1">
        <v>1</v>
      </c>
      <c r="D5379" s="1">
        <v>22</v>
      </c>
    </row>
    <row r="5380" spans="1:4" x14ac:dyDescent="0.25">
      <c r="A5380" s="16">
        <v>12902</v>
      </c>
      <c r="B5380" s="1">
        <v>1</v>
      </c>
      <c r="C5380" s="1">
        <v>1</v>
      </c>
      <c r="D5380" s="1">
        <v>51.64</v>
      </c>
    </row>
    <row r="5381" spans="1:4" x14ac:dyDescent="0.25">
      <c r="A5381" s="16">
        <v>12903</v>
      </c>
      <c r="B5381" s="1">
        <v>1</v>
      </c>
      <c r="C5381" s="1">
        <v>1</v>
      </c>
      <c r="D5381" s="1">
        <v>36</v>
      </c>
    </row>
    <row r="5382" spans="1:4" x14ac:dyDescent="0.25">
      <c r="A5382" s="16">
        <v>12904</v>
      </c>
      <c r="B5382" s="1">
        <v>1</v>
      </c>
      <c r="C5382" s="1">
        <v>1</v>
      </c>
      <c r="D5382" s="1">
        <v>6</v>
      </c>
    </row>
    <row r="5383" spans="1:4" x14ac:dyDescent="0.25">
      <c r="A5383" s="16">
        <v>12905</v>
      </c>
      <c r="B5383" s="1">
        <v>1</v>
      </c>
      <c r="C5383" s="1">
        <v>1</v>
      </c>
      <c r="D5383" s="1">
        <v>8</v>
      </c>
    </row>
    <row r="5384" spans="1:4" x14ac:dyDescent="0.25">
      <c r="A5384" s="16">
        <v>12906</v>
      </c>
      <c r="B5384" s="1">
        <v>1</v>
      </c>
      <c r="C5384" s="1">
        <v>2</v>
      </c>
      <c r="D5384" s="1">
        <v>15.2</v>
      </c>
    </row>
    <row r="5385" spans="1:4" x14ac:dyDescent="0.25">
      <c r="A5385" s="16">
        <v>12907</v>
      </c>
      <c r="B5385" s="1">
        <v>1</v>
      </c>
      <c r="C5385" s="1">
        <v>2</v>
      </c>
      <c r="D5385" s="1">
        <v>4.8</v>
      </c>
    </row>
    <row r="5386" spans="1:4" x14ac:dyDescent="0.25">
      <c r="A5386" s="16">
        <v>12908</v>
      </c>
      <c r="B5386" s="1">
        <v>1</v>
      </c>
      <c r="C5386" s="1">
        <v>1</v>
      </c>
      <c r="D5386" s="1">
        <v>42</v>
      </c>
    </row>
    <row r="5387" spans="1:4" x14ac:dyDescent="0.25">
      <c r="A5387" s="16">
        <v>12909</v>
      </c>
      <c r="B5387" s="1">
        <v>1</v>
      </c>
      <c r="C5387" s="1">
        <v>1</v>
      </c>
      <c r="D5387" s="1">
        <v>51.64</v>
      </c>
    </row>
    <row r="5388" spans="1:4" x14ac:dyDescent="0.25">
      <c r="A5388" s="16">
        <v>12910</v>
      </c>
      <c r="B5388" s="1">
        <v>1</v>
      </c>
      <c r="C5388" s="1">
        <v>1</v>
      </c>
      <c r="D5388" s="1">
        <v>8</v>
      </c>
    </row>
    <row r="5389" spans="1:4" x14ac:dyDescent="0.25">
      <c r="A5389" s="16">
        <v>12911</v>
      </c>
      <c r="B5389" s="1">
        <v>1</v>
      </c>
      <c r="C5389" s="1">
        <v>1</v>
      </c>
      <c r="D5389" s="1">
        <v>6</v>
      </c>
    </row>
    <row r="5390" spans="1:4" x14ac:dyDescent="0.25">
      <c r="A5390" s="16">
        <v>12912</v>
      </c>
      <c r="B5390" s="1">
        <v>1</v>
      </c>
      <c r="C5390" s="1">
        <v>1</v>
      </c>
      <c r="D5390" s="1">
        <v>51.64</v>
      </c>
    </row>
    <row r="5391" spans="1:4" x14ac:dyDescent="0.25">
      <c r="A5391" s="16">
        <v>12913</v>
      </c>
      <c r="B5391" s="1">
        <v>1</v>
      </c>
      <c r="C5391" s="1">
        <v>1</v>
      </c>
      <c r="D5391" s="1">
        <v>14</v>
      </c>
    </row>
    <row r="5392" spans="1:4" x14ac:dyDescent="0.25">
      <c r="A5392" s="16">
        <v>12914</v>
      </c>
      <c r="B5392" s="1">
        <v>1</v>
      </c>
      <c r="C5392" s="1">
        <v>3</v>
      </c>
      <c r="D5392" s="1">
        <v>8.3999999999999986</v>
      </c>
    </row>
    <row r="5393" spans="1:4" x14ac:dyDescent="0.25">
      <c r="A5393" s="16">
        <v>12915</v>
      </c>
      <c r="B5393" s="1">
        <v>1</v>
      </c>
      <c r="C5393" s="1">
        <v>1</v>
      </c>
      <c r="D5393" s="1">
        <v>8.8000000000000007</v>
      </c>
    </row>
    <row r="5394" spans="1:4" x14ac:dyDescent="0.25">
      <c r="A5394" s="16">
        <v>12916</v>
      </c>
      <c r="B5394" s="1">
        <v>1</v>
      </c>
      <c r="C5394" s="1">
        <v>1</v>
      </c>
      <c r="D5394" s="1">
        <v>36</v>
      </c>
    </row>
    <row r="5395" spans="1:4" x14ac:dyDescent="0.25">
      <c r="A5395" s="16">
        <v>12917</v>
      </c>
      <c r="B5395" s="1">
        <v>1</v>
      </c>
      <c r="C5395" s="1">
        <v>1</v>
      </c>
      <c r="D5395" s="1">
        <v>51.64</v>
      </c>
    </row>
    <row r="5396" spans="1:4" x14ac:dyDescent="0.25">
      <c r="A5396" s="16">
        <v>12918</v>
      </c>
      <c r="B5396" s="1">
        <v>1</v>
      </c>
      <c r="C5396" s="1">
        <v>1</v>
      </c>
      <c r="D5396" s="1">
        <v>7.6</v>
      </c>
    </row>
    <row r="5397" spans="1:4" x14ac:dyDescent="0.25">
      <c r="A5397" s="16">
        <v>12919</v>
      </c>
      <c r="B5397" s="1">
        <v>1</v>
      </c>
      <c r="C5397" s="1">
        <v>1</v>
      </c>
      <c r="D5397" s="1">
        <v>6</v>
      </c>
    </row>
    <row r="5398" spans="1:4" x14ac:dyDescent="0.25">
      <c r="A5398" s="16">
        <v>12920</v>
      </c>
      <c r="B5398" s="1">
        <v>1</v>
      </c>
      <c r="C5398" s="1">
        <v>2</v>
      </c>
      <c r="D5398" s="1">
        <v>4.8</v>
      </c>
    </row>
    <row r="5399" spans="1:4" x14ac:dyDescent="0.25">
      <c r="A5399" s="16">
        <v>12921</v>
      </c>
      <c r="B5399" s="1">
        <v>1</v>
      </c>
      <c r="C5399" s="1">
        <v>1</v>
      </c>
      <c r="D5399" s="1">
        <v>26</v>
      </c>
    </row>
    <row r="5400" spans="1:4" x14ac:dyDescent="0.25">
      <c r="A5400" s="16">
        <v>12922</v>
      </c>
      <c r="B5400" s="1">
        <v>1</v>
      </c>
      <c r="C5400" s="1">
        <v>1</v>
      </c>
      <c r="D5400" s="1">
        <v>8</v>
      </c>
    </row>
    <row r="5401" spans="1:4" x14ac:dyDescent="0.25">
      <c r="A5401" s="16">
        <v>12923</v>
      </c>
      <c r="B5401" s="1">
        <v>1</v>
      </c>
      <c r="C5401" s="1">
        <v>1</v>
      </c>
      <c r="D5401" s="1">
        <v>51.64</v>
      </c>
    </row>
    <row r="5402" spans="1:4" x14ac:dyDescent="0.25">
      <c r="A5402" s="16">
        <v>12924</v>
      </c>
      <c r="B5402" s="1">
        <v>1</v>
      </c>
      <c r="C5402" s="1">
        <v>3</v>
      </c>
      <c r="D5402" s="1">
        <v>8.3999999999999986</v>
      </c>
    </row>
    <row r="5403" spans="1:4" x14ac:dyDescent="0.25">
      <c r="A5403" s="16">
        <v>12925</v>
      </c>
      <c r="B5403" s="1">
        <v>1</v>
      </c>
      <c r="C5403" s="1">
        <v>1</v>
      </c>
      <c r="D5403" s="1">
        <v>6</v>
      </c>
    </row>
    <row r="5404" spans="1:4" x14ac:dyDescent="0.25">
      <c r="A5404" s="16">
        <v>12926</v>
      </c>
      <c r="B5404" s="1">
        <v>1</v>
      </c>
      <c r="C5404" s="1">
        <v>1</v>
      </c>
      <c r="D5404" s="1">
        <v>40</v>
      </c>
    </row>
    <row r="5405" spans="1:4" x14ac:dyDescent="0.25">
      <c r="A5405" s="16">
        <v>12927</v>
      </c>
      <c r="B5405" s="1">
        <v>1</v>
      </c>
      <c r="C5405" s="1">
        <v>1</v>
      </c>
      <c r="D5405" s="1">
        <v>8.8000000000000007</v>
      </c>
    </row>
    <row r="5406" spans="1:4" x14ac:dyDescent="0.25">
      <c r="A5406" s="16">
        <v>12928</v>
      </c>
      <c r="B5406" s="1">
        <v>1</v>
      </c>
      <c r="C5406" s="1">
        <v>1</v>
      </c>
      <c r="D5406" s="1">
        <v>8</v>
      </c>
    </row>
    <row r="5407" spans="1:4" x14ac:dyDescent="0.25">
      <c r="A5407" s="16">
        <v>12929</v>
      </c>
      <c r="B5407" s="1">
        <v>1</v>
      </c>
      <c r="C5407" s="1">
        <v>1</v>
      </c>
      <c r="D5407" s="1">
        <v>42</v>
      </c>
    </row>
    <row r="5408" spans="1:4" x14ac:dyDescent="0.25">
      <c r="A5408" s="16">
        <v>12930</v>
      </c>
      <c r="B5408" s="1">
        <v>1</v>
      </c>
      <c r="C5408" s="1">
        <v>1</v>
      </c>
      <c r="D5408" s="1">
        <v>51.64</v>
      </c>
    </row>
    <row r="5409" spans="1:4" x14ac:dyDescent="0.25">
      <c r="A5409" s="16">
        <v>12931</v>
      </c>
      <c r="B5409" s="1">
        <v>1</v>
      </c>
      <c r="C5409" s="1">
        <v>2</v>
      </c>
      <c r="D5409" s="1">
        <v>5.6</v>
      </c>
    </row>
    <row r="5410" spans="1:4" x14ac:dyDescent="0.25">
      <c r="A5410" s="16">
        <v>12932</v>
      </c>
      <c r="B5410" s="1">
        <v>1</v>
      </c>
      <c r="C5410" s="1">
        <v>1</v>
      </c>
      <c r="D5410" s="1">
        <v>6</v>
      </c>
    </row>
    <row r="5411" spans="1:4" x14ac:dyDescent="0.25">
      <c r="A5411" s="16">
        <v>12933</v>
      </c>
      <c r="B5411" s="1">
        <v>1</v>
      </c>
      <c r="C5411" s="1">
        <v>1</v>
      </c>
      <c r="D5411" s="1">
        <v>51.64</v>
      </c>
    </row>
    <row r="5412" spans="1:4" x14ac:dyDescent="0.25">
      <c r="A5412" s="16">
        <v>12934</v>
      </c>
      <c r="B5412" s="1">
        <v>1</v>
      </c>
      <c r="C5412" s="1">
        <v>1</v>
      </c>
      <c r="D5412" s="1">
        <v>8.8000000000000007</v>
      </c>
    </row>
    <row r="5413" spans="1:4" x14ac:dyDescent="0.25">
      <c r="A5413" s="16">
        <v>12935</v>
      </c>
      <c r="B5413" s="1">
        <v>1</v>
      </c>
      <c r="C5413" s="1">
        <v>1</v>
      </c>
      <c r="D5413" s="1">
        <v>14</v>
      </c>
    </row>
    <row r="5414" spans="1:4" x14ac:dyDescent="0.25">
      <c r="A5414" s="16">
        <v>12936</v>
      </c>
      <c r="B5414" s="1">
        <v>1</v>
      </c>
      <c r="C5414" s="1">
        <v>3</v>
      </c>
      <c r="D5414" s="1">
        <v>8.3999999999999986</v>
      </c>
    </row>
    <row r="5415" spans="1:4" x14ac:dyDescent="0.25">
      <c r="A5415" s="16">
        <v>12937</v>
      </c>
      <c r="B5415" s="1">
        <v>1</v>
      </c>
      <c r="C5415" s="1">
        <v>1</v>
      </c>
      <c r="D5415" s="1">
        <v>6</v>
      </c>
    </row>
    <row r="5416" spans="1:4" x14ac:dyDescent="0.25">
      <c r="A5416" s="16">
        <v>12938</v>
      </c>
      <c r="B5416" s="1">
        <v>1</v>
      </c>
      <c r="C5416" s="1">
        <v>1</v>
      </c>
      <c r="D5416" s="1">
        <v>51.64</v>
      </c>
    </row>
    <row r="5417" spans="1:4" x14ac:dyDescent="0.25">
      <c r="A5417" s="16">
        <v>12939</v>
      </c>
      <c r="B5417" s="1">
        <v>1</v>
      </c>
      <c r="C5417" s="1">
        <v>1</v>
      </c>
      <c r="D5417" s="1">
        <v>8</v>
      </c>
    </row>
    <row r="5418" spans="1:4" x14ac:dyDescent="0.25">
      <c r="A5418" s="16">
        <v>12940</v>
      </c>
      <c r="B5418" s="1">
        <v>1</v>
      </c>
      <c r="C5418" s="1">
        <v>1</v>
      </c>
      <c r="D5418" s="1">
        <v>51.64</v>
      </c>
    </row>
    <row r="5419" spans="1:4" x14ac:dyDescent="0.25">
      <c r="A5419" s="16">
        <v>12941</v>
      </c>
      <c r="B5419" s="1">
        <v>1</v>
      </c>
      <c r="C5419" s="1">
        <v>1</v>
      </c>
      <c r="D5419" s="1">
        <v>14</v>
      </c>
    </row>
    <row r="5420" spans="1:4" x14ac:dyDescent="0.25">
      <c r="A5420" s="16">
        <v>12942</v>
      </c>
      <c r="B5420" s="1">
        <v>1</v>
      </c>
      <c r="C5420" s="1">
        <v>1</v>
      </c>
      <c r="D5420" s="1">
        <v>8.8000000000000007</v>
      </c>
    </row>
    <row r="5421" spans="1:4" x14ac:dyDescent="0.25">
      <c r="A5421" s="16">
        <v>12943</v>
      </c>
      <c r="B5421" s="1">
        <v>1</v>
      </c>
      <c r="C5421" s="1">
        <v>3</v>
      </c>
      <c r="D5421" s="1">
        <v>8.3999999999999986</v>
      </c>
    </row>
    <row r="5422" spans="1:4" x14ac:dyDescent="0.25">
      <c r="A5422" s="16">
        <v>12944</v>
      </c>
      <c r="B5422" s="1">
        <v>1</v>
      </c>
      <c r="C5422" s="1">
        <v>1</v>
      </c>
      <c r="D5422" s="1">
        <v>6</v>
      </c>
    </row>
    <row r="5423" spans="1:4" x14ac:dyDescent="0.25">
      <c r="A5423" s="16">
        <v>12945</v>
      </c>
      <c r="B5423" s="1">
        <v>1</v>
      </c>
      <c r="C5423" s="1">
        <v>1</v>
      </c>
      <c r="D5423" s="1">
        <v>36</v>
      </c>
    </row>
    <row r="5424" spans="1:4" x14ac:dyDescent="0.25">
      <c r="A5424" s="16">
        <v>12946</v>
      </c>
      <c r="B5424" s="1">
        <v>1</v>
      </c>
      <c r="C5424" s="1">
        <v>1</v>
      </c>
      <c r="D5424" s="1">
        <v>8</v>
      </c>
    </row>
    <row r="5425" spans="1:4" x14ac:dyDescent="0.25">
      <c r="A5425" s="16">
        <v>12947</v>
      </c>
      <c r="B5425" s="1">
        <v>1</v>
      </c>
      <c r="C5425" s="1">
        <v>1</v>
      </c>
      <c r="D5425" s="1">
        <v>10</v>
      </c>
    </row>
    <row r="5426" spans="1:4" x14ac:dyDescent="0.25">
      <c r="A5426" s="16">
        <v>12948</v>
      </c>
      <c r="B5426" s="1">
        <v>1</v>
      </c>
      <c r="C5426" s="1">
        <v>1</v>
      </c>
      <c r="D5426" s="1">
        <v>8</v>
      </c>
    </row>
    <row r="5427" spans="1:4" x14ac:dyDescent="0.25">
      <c r="A5427" s="16">
        <v>12949</v>
      </c>
      <c r="B5427" s="1">
        <v>1</v>
      </c>
      <c r="C5427" s="1">
        <v>1</v>
      </c>
      <c r="D5427" s="1">
        <v>51.64</v>
      </c>
    </row>
    <row r="5428" spans="1:4" x14ac:dyDescent="0.25">
      <c r="A5428" s="16">
        <v>12950</v>
      </c>
      <c r="B5428" s="1">
        <v>1</v>
      </c>
      <c r="C5428" s="1">
        <v>1</v>
      </c>
      <c r="D5428" s="1">
        <v>51.64</v>
      </c>
    </row>
    <row r="5429" spans="1:4" x14ac:dyDescent="0.25">
      <c r="A5429" s="16">
        <v>12951</v>
      </c>
      <c r="B5429" s="1">
        <v>1</v>
      </c>
      <c r="C5429" s="1">
        <v>2</v>
      </c>
      <c r="D5429" s="1">
        <v>15.2</v>
      </c>
    </row>
    <row r="5430" spans="1:4" x14ac:dyDescent="0.25">
      <c r="A5430" s="16">
        <v>12952</v>
      </c>
      <c r="B5430" s="1">
        <v>1</v>
      </c>
      <c r="C5430" s="1">
        <v>3</v>
      </c>
      <c r="D5430" s="1">
        <v>8.3999999999999986</v>
      </c>
    </row>
    <row r="5431" spans="1:4" x14ac:dyDescent="0.25">
      <c r="A5431" s="16">
        <v>12953</v>
      </c>
      <c r="B5431" s="1">
        <v>1</v>
      </c>
      <c r="C5431" s="1">
        <v>1</v>
      </c>
      <c r="D5431" s="1">
        <v>6</v>
      </c>
    </row>
    <row r="5432" spans="1:4" x14ac:dyDescent="0.25">
      <c r="A5432" s="16">
        <v>12954</v>
      </c>
      <c r="B5432" s="1">
        <v>1</v>
      </c>
      <c r="C5432" s="1">
        <v>2</v>
      </c>
      <c r="D5432" s="1">
        <v>4.8</v>
      </c>
    </row>
    <row r="5433" spans="1:4" x14ac:dyDescent="0.25">
      <c r="A5433" s="16">
        <v>12955</v>
      </c>
      <c r="B5433" s="1">
        <v>1</v>
      </c>
      <c r="C5433" s="1">
        <v>1</v>
      </c>
      <c r="D5433" s="1">
        <v>8</v>
      </c>
    </row>
    <row r="5434" spans="1:4" x14ac:dyDescent="0.25">
      <c r="A5434" s="16">
        <v>12956</v>
      </c>
      <c r="B5434" s="1">
        <v>1</v>
      </c>
      <c r="C5434" s="1">
        <v>1</v>
      </c>
      <c r="D5434" s="1">
        <v>8.8000000000000007</v>
      </c>
    </row>
    <row r="5435" spans="1:4" x14ac:dyDescent="0.25">
      <c r="A5435" s="16">
        <v>12957</v>
      </c>
      <c r="B5435" s="1">
        <v>1</v>
      </c>
      <c r="C5435" s="1">
        <v>1</v>
      </c>
      <c r="D5435" s="1">
        <v>36</v>
      </c>
    </row>
    <row r="5436" spans="1:4" x14ac:dyDescent="0.25">
      <c r="A5436" s="16">
        <v>12958</v>
      </c>
      <c r="B5436" s="1">
        <v>1</v>
      </c>
      <c r="C5436" s="1">
        <v>1</v>
      </c>
      <c r="D5436" s="1">
        <v>42</v>
      </c>
    </row>
    <row r="5437" spans="1:4" x14ac:dyDescent="0.25">
      <c r="A5437" s="16">
        <v>12959</v>
      </c>
      <c r="B5437" s="1">
        <v>1</v>
      </c>
      <c r="C5437" s="1">
        <v>1</v>
      </c>
      <c r="D5437" s="1">
        <v>51.64</v>
      </c>
    </row>
    <row r="5438" spans="1:4" x14ac:dyDescent="0.25">
      <c r="A5438" s="16">
        <v>12960</v>
      </c>
      <c r="B5438" s="1">
        <v>1</v>
      </c>
      <c r="C5438" s="1">
        <v>1</v>
      </c>
      <c r="D5438" s="1">
        <v>6</v>
      </c>
    </row>
    <row r="5439" spans="1:4" x14ac:dyDescent="0.25">
      <c r="A5439" s="16">
        <v>12961</v>
      </c>
      <c r="B5439" s="1">
        <v>1</v>
      </c>
      <c r="C5439" s="1">
        <v>2</v>
      </c>
      <c r="D5439" s="1">
        <v>5.6</v>
      </c>
    </row>
    <row r="5440" spans="1:4" x14ac:dyDescent="0.25">
      <c r="A5440" s="16">
        <v>12962</v>
      </c>
      <c r="B5440" s="1">
        <v>1</v>
      </c>
      <c r="C5440" s="1">
        <v>1</v>
      </c>
      <c r="D5440" s="1">
        <v>51.64</v>
      </c>
    </row>
    <row r="5441" spans="1:4" x14ac:dyDescent="0.25">
      <c r="A5441" s="16">
        <v>12963</v>
      </c>
      <c r="B5441" s="1">
        <v>1</v>
      </c>
      <c r="C5441" s="1">
        <v>3</v>
      </c>
      <c r="D5441" s="1">
        <v>7.1999999999999993</v>
      </c>
    </row>
    <row r="5442" spans="1:4" x14ac:dyDescent="0.25">
      <c r="A5442" s="16">
        <v>12964</v>
      </c>
      <c r="B5442" s="1">
        <v>1</v>
      </c>
      <c r="C5442" s="1">
        <v>1</v>
      </c>
      <c r="D5442" s="1">
        <v>8</v>
      </c>
    </row>
    <row r="5443" spans="1:4" x14ac:dyDescent="0.25">
      <c r="A5443" s="16">
        <v>12965</v>
      </c>
      <c r="B5443" s="1">
        <v>1</v>
      </c>
      <c r="C5443" s="1">
        <v>1</v>
      </c>
      <c r="D5443" s="1">
        <v>8.8000000000000007</v>
      </c>
    </row>
    <row r="5444" spans="1:4" x14ac:dyDescent="0.25">
      <c r="A5444" s="16">
        <v>12966</v>
      </c>
      <c r="B5444" s="1">
        <v>1</v>
      </c>
      <c r="C5444" s="1">
        <v>1</v>
      </c>
      <c r="D5444" s="1">
        <v>14</v>
      </c>
    </row>
    <row r="5445" spans="1:4" x14ac:dyDescent="0.25">
      <c r="A5445" s="16">
        <v>12967</v>
      </c>
      <c r="B5445" s="1">
        <v>1</v>
      </c>
      <c r="C5445" s="1">
        <v>1</v>
      </c>
      <c r="D5445" s="1">
        <v>40</v>
      </c>
    </row>
    <row r="5446" spans="1:4" x14ac:dyDescent="0.25">
      <c r="A5446" s="16">
        <v>12968</v>
      </c>
      <c r="B5446" s="1">
        <v>1</v>
      </c>
      <c r="C5446" s="1">
        <v>1</v>
      </c>
      <c r="D5446" s="1">
        <v>10</v>
      </c>
    </row>
    <row r="5447" spans="1:4" x14ac:dyDescent="0.25">
      <c r="A5447" s="16">
        <v>12969</v>
      </c>
      <c r="B5447" s="1">
        <v>1</v>
      </c>
      <c r="C5447" s="1">
        <v>1</v>
      </c>
      <c r="D5447" s="1">
        <v>8</v>
      </c>
    </row>
    <row r="5448" spans="1:4" x14ac:dyDescent="0.25">
      <c r="A5448" s="16">
        <v>12970</v>
      </c>
      <c r="B5448" s="1">
        <v>1</v>
      </c>
      <c r="C5448" s="1">
        <v>3</v>
      </c>
      <c r="D5448" s="1">
        <v>8.3999999999999986</v>
      </c>
    </row>
    <row r="5449" spans="1:4" x14ac:dyDescent="0.25">
      <c r="A5449" s="16">
        <v>12971</v>
      </c>
      <c r="B5449" s="1">
        <v>1</v>
      </c>
      <c r="C5449" s="1">
        <v>1</v>
      </c>
      <c r="D5449" s="1">
        <v>6</v>
      </c>
    </row>
    <row r="5450" spans="1:4" x14ac:dyDescent="0.25">
      <c r="A5450" s="16">
        <v>12972</v>
      </c>
      <c r="B5450" s="1">
        <v>1</v>
      </c>
      <c r="C5450" s="1">
        <v>2</v>
      </c>
      <c r="D5450" s="1">
        <v>4.8</v>
      </c>
    </row>
    <row r="5451" spans="1:4" x14ac:dyDescent="0.25">
      <c r="A5451" s="16">
        <v>12973</v>
      </c>
      <c r="B5451" s="1">
        <v>1</v>
      </c>
      <c r="C5451" s="1">
        <v>1</v>
      </c>
      <c r="D5451" s="1">
        <v>51.64</v>
      </c>
    </row>
    <row r="5452" spans="1:4" x14ac:dyDescent="0.25">
      <c r="A5452" s="16">
        <v>12974</v>
      </c>
      <c r="B5452" s="1">
        <v>1</v>
      </c>
      <c r="C5452" s="1">
        <v>1</v>
      </c>
      <c r="D5452" s="1">
        <v>51.64</v>
      </c>
    </row>
    <row r="5453" spans="1:4" x14ac:dyDescent="0.25">
      <c r="A5453" s="16">
        <v>12975</v>
      </c>
      <c r="B5453" s="1">
        <v>1</v>
      </c>
      <c r="C5453" s="1">
        <v>1</v>
      </c>
      <c r="D5453" s="1">
        <v>8</v>
      </c>
    </row>
    <row r="5454" spans="1:4" x14ac:dyDescent="0.25">
      <c r="A5454" s="16">
        <v>12976</v>
      </c>
      <c r="B5454" s="1">
        <v>1</v>
      </c>
      <c r="C5454" s="1">
        <v>1</v>
      </c>
      <c r="D5454" s="1">
        <v>8.8000000000000007</v>
      </c>
    </row>
    <row r="5455" spans="1:4" x14ac:dyDescent="0.25">
      <c r="A5455" s="16">
        <v>12977</v>
      </c>
      <c r="B5455" s="1">
        <v>1</v>
      </c>
      <c r="C5455" s="1">
        <v>3</v>
      </c>
      <c r="D5455" s="1">
        <v>8.3999999999999986</v>
      </c>
    </row>
    <row r="5456" spans="1:4" x14ac:dyDescent="0.25">
      <c r="A5456" s="16">
        <v>12978</v>
      </c>
      <c r="B5456" s="1">
        <v>1</v>
      </c>
      <c r="C5456" s="1">
        <v>1</v>
      </c>
      <c r="D5456" s="1">
        <v>6</v>
      </c>
    </row>
    <row r="5457" spans="1:4" x14ac:dyDescent="0.25">
      <c r="A5457" s="16">
        <v>12979</v>
      </c>
      <c r="B5457" s="1">
        <v>1</v>
      </c>
      <c r="C5457" s="1">
        <v>1</v>
      </c>
      <c r="D5457" s="1">
        <v>36</v>
      </c>
    </row>
    <row r="5458" spans="1:4" x14ac:dyDescent="0.25">
      <c r="A5458" s="16">
        <v>12980</v>
      </c>
      <c r="B5458" s="1">
        <v>1</v>
      </c>
      <c r="C5458" s="1">
        <v>1</v>
      </c>
      <c r="D5458" s="1">
        <v>8</v>
      </c>
    </row>
    <row r="5459" spans="1:4" x14ac:dyDescent="0.25">
      <c r="A5459" s="16">
        <v>12981</v>
      </c>
      <c r="B5459" s="1">
        <v>1</v>
      </c>
      <c r="C5459" s="1">
        <v>1</v>
      </c>
      <c r="D5459" s="1">
        <v>40</v>
      </c>
    </row>
    <row r="5460" spans="1:4" x14ac:dyDescent="0.25">
      <c r="A5460" s="16">
        <v>12982</v>
      </c>
      <c r="B5460" s="1">
        <v>1</v>
      </c>
      <c r="C5460" s="1">
        <v>1</v>
      </c>
      <c r="D5460" s="1">
        <v>7.6</v>
      </c>
    </row>
    <row r="5461" spans="1:4" x14ac:dyDescent="0.25">
      <c r="A5461" s="16">
        <v>12983</v>
      </c>
      <c r="B5461" s="1">
        <v>1</v>
      </c>
      <c r="C5461" s="1">
        <v>2</v>
      </c>
      <c r="D5461" s="1">
        <v>4.8</v>
      </c>
    </row>
    <row r="5462" spans="1:4" x14ac:dyDescent="0.25">
      <c r="A5462" s="16">
        <v>12984</v>
      </c>
      <c r="B5462" s="1">
        <v>1</v>
      </c>
      <c r="C5462" s="1">
        <v>1</v>
      </c>
      <c r="D5462" s="1">
        <v>51.64</v>
      </c>
    </row>
    <row r="5463" spans="1:4" x14ac:dyDescent="0.25">
      <c r="A5463" s="16">
        <v>12985</v>
      </c>
      <c r="B5463" s="1">
        <v>1</v>
      </c>
      <c r="C5463" s="1">
        <v>3</v>
      </c>
      <c r="D5463" s="1">
        <v>8.3999999999999986</v>
      </c>
    </row>
    <row r="5464" spans="1:4" x14ac:dyDescent="0.25">
      <c r="A5464" s="16">
        <v>12986</v>
      </c>
      <c r="B5464" s="1">
        <v>1</v>
      </c>
      <c r="C5464" s="1">
        <v>1</v>
      </c>
      <c r="D5464" s="1">
        <v>6</v>
      </c>
    </row>
    <row r="5465" spans="1:4" x14ac:dyDescent="0.25">
      <c r="A5465" s="16">
        <v>12987</v>
      </c>
      <c r="B5465" s="1">
        <v>1</v>
      </c>
      <c r="C5465" s="1">
        <v>1</v>
      </c>
      <c r="D5465" s="1">
        <v>8.8000000000000007</v>
      </c>
    </row>
    <row r="5466" spans="1:4" x14ac:dyDescent="0.25">
      <c r="A5466" s="16">
        <v>12988</v>
      </c>
      <c r="B5466" s="1">
        <v>1</v>
      </c>
      <c r="C5466" s="1">
        <v>2</v>
      </c>
      <c r="D5466" s="1">
        <v>5.6</v>
      </c>
    </row>
    <row r="5467" spans="1:4" x14ac:dyDescent="0.25">
      <c r="A5467" s="16">
        <v>12989</v>
      </c>
      <c r="B5467" s="1">
        <v>1</v>
      </c>
      <c r="C5467" s="1">
        <v>2</v>
      </c>
      <c r="D5467" s="1">
        <v>4.8</v>
      </c>
    </row>
    <row r="5468" spans="1:4" x14ac:dyDescent="0.25">
      <c r="A5468" s="16">
        <v>12990</v>
      </c>
      <c r="B5468" s="1">
        <v>1</v>
      </c>
      <c r="C5468" s="1">
        <v>1</v>
      </c>
      <c r="D5468" s="1">
        <v>51.64</v>
      </c>
    </row>
    <row r="5469" spans="1:4" x14ac:dyDescent="0.25">
      <c r="A5469" s="16">
        <v>12991</v>
      </c>
      <c r="B5469" s="1">
        <v>1</v>
      </c>
      <c r="C5469" s="1">
        <v>1</v>
      </c>
      <c r="D5469" s="1">
        <v>51.64</v>
      </c>
    </row>
    <row r="5470" spans="1:4" x14ac:dyDescent="0.25">
      <c r="A5470" s="16">
        <v>12992</v>
      </c>
      <c r="B5470" s="1">
        <v>1</v>
      </c>
      <c r="C5470" s="1">
        <v>1</v>
      </c>
      <c r="D5470" s="1">
        <v>8</v>
      </c>
    </row>
    <row r="5471" spans="1:4" x14ac:dyDescent="0.25">
      <c r="A5471" s="16">
        <v>12993</v>
      </c>
      <c r="B5471" s="1">
        <v>1</v>
      </c>
      <c r="C5471" s="1">
        <v>3</v>
      </c>
      <c r="D5471" s="1">
        <v>8.3999999999999986</v>
      </c>
    </row>
    <row r="5472" spans="1:4" x14ac:dyDescent="0.25">
      <c r="A5472" s="16">
        <v>12994</v>
      </c>
      <c r="B5472" s="1">
        <v>1</v>
      </c>
      <c r="C5472" s="1">
        <v>1</v>
      </c>
      <c r="D5472" s="1">
        <v>6</v>
      </c>
    </row>
    <row r="5473" spans="1:4" x14ac:dyDescent="0.25">
      <c r="A5473" s="16">
        <v>12995</v>
      </c>
      <c r="B5473" s="1">
        <v>1</v>
      </c>
      <c r="C5473" s="1">
        <v>2</v>
      </c>
      <c r="D5473" s="1">
        <v>4.8</v>
      </c>
    </row>
    <row r="5474" spans="1:4" x14ac:dyDescent="0.25">
      <c r="A5474" s="16">
        <v>12996</v>
      </c>
      <c r="B5474" s="1">
        <v>1</v>
      </c>
      <c r="C5474" s="1">
        <v>1</v>
      </c>
      <c r="D5474" s="1">
        <v>8.8000000000000007</v>
      </c>
    </row>
    <row r="5475" spans="1:4" x14ac:dyDescent="0.25">
      <c r="A5475" s="16">
        <v>12997</v>
      </c>
      <c r="B5475" s="1">
        <v>1</v>
      </c>
      <c r="C5475" s="1">
        <v>1</v>
      </c>
      <c r="D5475" s="1">
        <v>36</v>
      </c>
    </row>
    <row r="5476" spans="1:4" x14ac:dyDescent="0.25">
      <c r="A5476" s="16">
        <v>12998</v>
      </c>
      <c r="B5476" s="1">
        <v>1</v>
      </c>
      <c r="C5476" s="1">
        <v>1</v>
      </c>
      <c r="D5476" s="1">
        <v>42</v>
      </c>
    </row>
    <row r="5477" spans="1:4" x14ac:dyDescent="0.25">
      <c r="A5477" s="16">
        <v>12999</v>
      </c>
      <c r="B5477" s="1">
        <v>1</v>
      </c>
      <c r="C5477" s="1">
        <v>1</v>
      </c>
      <c r="D5477" s="1">
        <v>51.64</v>
      </c>
    </row>
    <row r="5478" spans="1:4" x14ac:dyDescent="0.25">
      <c r="A5478" s="16">
        <v>13000</v>
      </c>
      <c r="B5478" s="1">
        <v>1</v>
      </c>
      <c r="C5478" s="1">
        <v>1</v>
      </c>
      <c r="D5478" s="1">
        <v>14</v>
      </c>
    </row>
    <row r="5479" spans="1:4" x14ac:dyDescent="0.25">
      <c r="A5479" s="16">
        <v>13001</v>
      </c>
      <c r="B5479" s="1">
        <v>1</v>
      </c>
      <c r="C5479" s="1">
        <v>3</v>
      </c>
      <c r="D5479" s="1">
        <v>8.3999999999999986</v>
      </c>
    </row>
    <row r="5480" spans="1:4" x14ac:dyDescent="0.25">
      <c r="A5480" s="16">
        <v>13002</v>
      </c>
      <c r="B5480" s="1">
        <v>1</v>
      </c>
      <c r="C5480" s="1">
        <v>1</v>
      </c>
      <c r="D5480" s="1">
        <v>6</v>
      </c>
    </row>
    <row r="5481" spans="1:4" x14ac:dyDescent="0.25">
      <c r="A5481" s="16">
        <v>13003</v>
      </c>
      <c r="B5481" s="1">
        <v>1</v>
      </c>
      <c r="C5481" s="1">
        <v>1</v>
      </c>
      <c r="D5481" s="1">
        <v>8.8000000000000007</v>
      </c>
    </row>
    <row r="5482" spans="1:4" x14ac:dyDescent="0.25">
      <c r="A5482" s="16">
        <v>13004</v>
      </c>
      <c r="B5482" s="1">
        <v>1</v>
      </c>
      <c r="C5482" s="1">
        <v>1</v>
      </c>
      <c r="D5482" s="1">
        <v>8</v>
      </c>
    </row>
    <row r="5483" spans="1:4" x14ac:dyDescent="0.25">
      <c r="A5483" s="16">
        <v>13005</v>
      </c>
      <c r="B5483" s="1">
        <v>1</v>
      </c>
      <c r="C5483" s="1">
        <v>1</v>
      </c>
      <c r="D5483" s="1">
        <v>8</v>
      </c>
    </row>
    <row r="5484" spans="1:4" x14ac:dyDescent="0.25">
      <c r="A5484" s="16">
        <v>13006</v>
      </c>
      <c r="B5484" s="1">
        <v>1</v>
      </c>
      <c r="C5484" s="1">
        <v>1</v>
      </c>
      <c r="D5484" s="1">
        <v>51.64</v>
      </c>
    </row>
    <row r="5485" spans="1:4" x14ac:dyDescent="0.25">
      <c r="A5485" s="16">
        <v>13007</v>
      </c>
      <c r="B5485" s="1">
        <v>1</v>
      </c>
      <c r="C5485" s="1">
        <v>2</v>
      </c>
      <c r="D5485" s="1">
        <v>5.6</v>
      </c>
    </row>
    <row r="5486" spans="1:4" x14ac:dyDescent="0.25">
      <c r="A5486" s="16">
        <v>13008</v>
      </c>
      <c r="B5486" s="1">
        <v>1</v>
      </c>
      <c r="C5486" s="1">
        <v>3</v>
      </c>
      <c r="D5486" s="1">
        <v>7.1999999999999993</v>
      </c>
    </row>
    <row r="5487" spans="1:4" x14ac:dyDescent="0.25">
      <c r="A5487" s="16">
        <v>13009</v>
      </c>
      <c r="B5487" s="1">
        <v>1</v>
      </c>
      <c r="C5487" s="1">
        <v>1</v>
      </c>
      <c r="D5487" s="1">
        <v>8</v>
      </c>
    </row>
    <row r="5488" spans="1:4" x14ac:dyDescent="0.25">
      <c r="A5488" s="16">
        <v>13010</v>
      </c>
      <c r="B5488" s="1">
        <v>1</v>
      </c>
      <c r="C5488" s="1">
        <v>1</v>
      </c>
      <c r="D5488" s="1">
        <v>51.64</v>
      </c>
    </row>
    <row r="5489" spans="1:4" x14ac:dyDescent="0.25">
      <c r="A5489" s="16">
        <v>13011</v>
      </c>
      <c r="B5489" s="1">
        <v>1</v>
      </c>
      <c r="C5489" s="1">
        <v>2</v>
      </c>
      <c r="D5489" s="1">
        <v>5.6</v>
      </c>
    </row>
    <row r="5490" spans="1:4" x14ac:dyDescent="0.25">
      <c r="A5490" s="16">
        <v>13012</v>
      </c>
      <c r="B5490" s="1">
        <v>1</v>
      </c>
      <c r="C5490" s="1">
        <v>1</v>
      </c>
      <c r="D5490" s="1">
        <v>6</v>
      </c>
    </row>
    <row r="5491" spans="1:4" x14ac:dyDescent="0.25">
      <c r="A5491" s="16">
        <v>13013</v>
      </c>
      <c r="B5491" s="1">
        <v>1</v>
      </c>
      <c r="C5491" s="1">
        <v>1</v>
      </c>
      <c r="D5491" s="1">
        <v>8.8000000000000007</v>
      </c>
    </row>
    <row r="5492" spans="1:4" x14ac:dyDescent="0.25">
      <c r="A5492" s="16">
        <v>13014</v>
      </c>
      <c r="B5492" s="1">
        <v>1</v>
      </c>
      <c r="C5492" s="1">
        <v>1</v>
      </c>
      <c r="D5492" s="1">
        <v>8</v>
      </c>
    </row>
    <row r="5493" spans="1:4" x14ac:dyDescent="0.25">
      <c r="A5493" s="16">
        <v>13015</v>
      </c>
      <c r="B5493" s="1">
        <v>1</v>
      </c>
      <c r="C5493" s="1">
        <v>1</v>
      </c>
      <c r="D5493" s="1">
        <v>51.64</v>
      </c>
    </row>
    <row r="5494" spans="1:4" x14ac:dyDescent="0.25">
      <c r="A5494" s="16">
        <v>13016</v>
      </c>
      <c r="B5494" s="1">
        <v>1</v>
      </c>
      <c r="C5494" s="1">
        <v>1</v>
      </c>
      <c r="D5494" s="1">
        <v>51.64</v>
      </c>
    </row>
    <row r="5495" spans="1:4" x14ac:dyDescent="0.25">
      <c r="A5495" s="16">
        <v>13017</v>
      </c>
      <c r="B5495" s="1">
        <v>1</v>
      </c>
      <c r="C5495" s="1">
        <v>1</v>
      </c>
      <c r="D5495" s="1">
        <v>6</v>
      </c>
    </row>
    <row r="5496" spans="1:4" x14ac:dyDescent="0.25">
      <c r="A5496" s="16">
        <v>13018</v>
      </c>
      <c r="B5496" s="1">
        <v>1</v>
      </c>
      <c r="C5496" s="1">
        <v>3</v>
      </c>
      <c r="D5496" s="1">
        <v>8.3999999999999986</v>
      </c>
    </row>
    <row r="5497" spans="1:4" x14ac:dyDescent="0.25">
      <c r="A5497" s="16">
        <v>13019</v>
      </c>
      <c r="B5497" s="1">
        <v>1</v>
      </c>
      <c r="C5497" s="1">
        <v>1</v>
      </c>
      <c r="D5497" s="1">
        <v>7.6</v>
      </c>
    </row>
    <row r="5498" spans="1:4" x14ac:dyDescent="0.25">
      <c r="A5498" s="16">
        <v>13020</v>
      </c>
      <c r="B5498" s="1">
        <v>1</v>
      </c>
      <c r="C5498" s="1">
        <v>2</v>
      </c>
      <c r="D5498" s="1">
        <v>4.8</v>
      </c>
    </row>
    <row r="5499" spans="1:4" x14ac:dyDescent="0.25">
      <c r="A5499" s="16">
        <v>13021</v>
      </c>
      <c r="B5499" s="1">
        <v>1</v>
      </c>
      <c r="C5499" s="1">
        <v>1</v>
      </c>
      <c r="D5499" s="1">
        <v>42</v>
      </c>
    </row>
    <row r="5500" spans="1:4" x14ac:dyDescent="0.25">
      <c r="A5500" s="16">
        <v>13022</v>
      </c>
      <c r="B5500" s="1">
        <v>1</v>
      </c>
      <c r="C5500" s="1">
        <v>1</v>
      </c>
      <c r="D5500" s="1">
        <v>8</v>
      </c>
    </row>
    <row r="5501" spans="1:4" x14ac:dyDescent="0.25">
      <c r="A5501" s="16">
        <v>13023</v>
      </c>
      <c r="B5501" s="1">
        <v>1</v>
      </c>
      <c r="C5501" s="1">
        <v>1</v>
      </c>
      <c r="D5501" s="1">
        <v>8.8000000000000007</v>
      </c>
    </row>
    <row r="5502" spans="1:4" x14ac:dyDescent="0.25">
      <c r="A5502" s="16">
        <v>13024</v>
      </c>
      <c r="B5502" s="1">
        <v>1</v>
      </c>
      <c r="C5502" s="1">
        <v>1</v>
      </c>
      <c r="D5502" s="1">
        <v>51.64</v>
      </c>
    </row>
    <row r="5503" spans="1:4" x14ac:dyDescent="0.25">
      <c r="A5503" s="16">
        <v>13025</v>
      </c>
      <c r="B5503" s="1">
        <v>1</v>
      </c>
      <c r="C5503" s="1">
        <v>2</v>
      </c>
      <c r="D5503" s="1">
        <v>5.6</v>
      </c>
    </row>
    <row r="5504" spans="1:4" x14ac:dyDescent="0.25">
      <c r="A5504" s="16">
        <v>13026</v>
      </c>
      <c r="B5504" s="1">
        <v>1</v>
      </c>
      <c r="C5504" s="1">
        <v>1</v>
      </c>
      <c r="D5504" s="1">
        <v>6</v>
      </c>
    </row>
    <row r="5505" spans="1:4" x14ac:dyDescent="0.25">
      <c r="A5505" s="16">
        <v>13027</v>
      </c>
      <c r="B5505" s="1">
        <v>1</v>
      </c>
      <c r="C5505" s="1">
        <v>1</v>
      </c>
      <c r="D5505" s="1">
        <v>36</v>
      </c>
    </row>
    <row r="5506" spans="1:4" x14ac:dyDescent="0.25">
      <c r="A5506" s="16">
        <v>13028</v>
      </c>
      <c r="B5506" s="1">
        <v>1</v>
      </c>
      <c r="C5506" s="1">
        <v>1</v>
      </c>
      <c r="D5506" s="1">
        <v>51.64</v>
      </c>
    </row>
    <row r="5507" spans="1:4" x14ac:dyDescent="0.25">
      <c r="A5507" s="16">
        <v>13029</v>
      </c>
      <c r="B5507" s="1">
        <v>1</v>
      </c>
      <c r="C5507" s="1">
        <v>1</v>
      </c>
      <c r="D5507" s="1">
        <v>10</v>
      </c>
    </row>
    <row r="5508" spans="1:4" x14ac:dyDescent="0.25">
      <c r="A5508" s="16">
        <v>13030</v>
      </c>
      <c r="B5508" s="1">
        <v>1</v>
      </c>
      <c r="C5508" s="1">
        <v>1</v>
      </c>
      <c r="D5508" s="1">
        <v>14</v>
      </c>
    </row>
    <row r="5509" spans="1:4" x14ac:dyDescent="0.25">
      <c r="A5509" s="16">
        <v>13031</v>
      </c>
      <c r="B5509" s="1">
        <v>1</v>
      </c>
      <c r="C5509" s="1">
        <v>2</v>
      </c>
      <c r="D5509" s="1">
        <v>4.8</v>
      </c>
    </row>
    <row r="5510" spans="1:4" x14ac:dyDescent="0.25">
      <c r="A5510" s="16">
        <v>13032</v>
      </c>
      <c r="B5510" s="1">
        <v>1</v>
      </c>
      <c r="C5510" s="1">
        <v>3</v>
      </c>
      <c r="D5510" s="1">
        <v>8.3999999999999986</v>
      </c>
    </row>
    <row r="5511" spans="1:4" x14ac:dyDescent="0.25">
      <c r="A5511" s="16">
        <v>13033</v>
      </c>
      <c r="B5511" s="1">
        <v>1</v>
      </c>
      <c r="C5511" s="1">
        <v>1</v>
      </c>
      <c r="D5511" s="1">
        <v>8.8000000000000007</v>
      </c>
    </row>
    <row r="5512" spans="1:4" x14ac:dyDescent="0.25">
      <c r="A5512" s="16">
        <v>13034</v>
      </c>
      <c r="B5512" s="1">
        <v>1</v>
      </c>
      <c r="C5512" s="1">
        <v>1</v>
      </c>
      <c r="D5512" s="1">
        <v>8</v>
      </c>
    </row>
    <row r="5513" spans="1:4" x14ac:dyDescent="0.25">
      <c r="A5513" s="16">
        <v>13035</v>
      </c>
      <c r="B5513" s="1">
        <v>1</v>
      </c>
      <c r="C5513" s="1">
        <v>1</v>
      </c>
      <c r="D5513" s="1">
        <v>51.64</v>
      </c>
    </row>
    <row r="5514" spans="1:4" x14ac:dyDescent="0.25">
      <c r="A5514" s="16">
        <v>13036</v>
      </c>
      <c r="B5514" s="1">
        <v>1</v>
      </c>
      <c r="C5514" s="1">
        <v>1</v>
      </c>
      <c r="D5514" s="1">
        <v>42</v>
      </c>
    </row>
    <row r="5515" spans="1:4" x14ac:dyDescent="0.25">
      <c r="A5515" s="16">
        <v>13037</v>
      </c>
      <c r="B5515" s="1">
        <v>1</v>
      </c>
      <c r="C5515" s="1">
        <v>2</v>
      </c>
      <c r="D5515" s="1">
        <v>15.2</v>
      </c>
    </row>
    <row r="5516" spans="1:4" x14ac:dyDescent="0.25">
      <c r="A5516" s="16">
        <v>13038</v>
      </c>
      <c r="B5516" s="1">
        <v>1</v>
      </c>
      <c r="C5516" s="1">
        <v>1</v>
      </c>
      <c r="D5516" s="1">
        <v>51.64</v>
      </c>
    </row>
    <row r="5517" spans="1:4" x14ac:dyDescent="0.25">
      <c r="A5517" s="16">
        <v>13039</v>
      </c>
      <c r="B5517" s="1">
        <v>1</v>
      </c>
      <c r="C5517" s="1">
        <v>1</v>
      </c>
      <c r="D5517" s="1">
        <v>6</v>
      </c>
    </row>
    <row r="5518" spans="1:4" x14ac:dyDescent="0.25">
      <c r="A5518" s="16">
        <v>13040</v>
      </c>
      <c r="B5518" s="1">
        <v>1</v>
      </c>
      <c r="C5518" s="1">
        <v>3</v>
      </c>
      <c r="D5518" s="1">
        <v>8.3999999999999986</v>
      </c>
    </row>
    <row r="5519" spans="1:4" x14ac:dyDescent="0.25">
      <c r="A5519" s="16">
        <v>13041</v>
      </c>
      <c r="B5519" s="1">
        <v>1</v>
      </c>
      <c r="C5519" s="1">
        <v>2</v>
      </c>
      <c r="D5519" s="1">
        <v>4.8</v>
      </c>
    </row>
    <row r="5520" spans="1:4" x14ac:dyDescent="0.25">
      <c r="A5520" s="16">
        <v>13042</v>
      </c>
      <c r="B5520" s="1">
        <v>1</v>
      </c>
      <c r="C5520" s="1">
        <v>1</v>
      </c>
      <c r="D5520" s="1">
        <v>8.8000000000000007</v>
      </c>
    </row>
    <row r="5521" spans="1:4" x14ac:dyDescent="0.25">
      <c r="A5521" s="16">
        <v>13043</v>
      </c>
      <c r="B5521" s="1">
        <v>1</v>
      </c>
      <c r="C5521" s="1">
        <v>1</v>
      </c>
      <c r="D5521" s="1">
        <v>8</v>
      </c>
    </row>
    <row r="5522" spans="1:4" x14ac:dyDescent="0.25">
      <c r="A5522" s="16">
        <v>13044</v>
      </c>
      <c r="B5522" s="1">
        <v>1</v>
      </c>
      <c r="C5522" s="1">
        <v>1</v>
      </c>
      <c r="D5522" s="1">
        <v>51.64</v>
      </c>
    </row>
    <row r="5523" spans="1:4" x14ac:dyDescent="0.25">
      <c r="A5523" s="16">
        <v>13045</v>
      </c>
      <c r="B5523" s="1">
        <v>1</v>
      </c>
      <c r="C5523" s="1">
        <v>1</v>
      </c>
      <c r="D5523" s="1">
        <v>6</v>
      </c>
    </row>
    <row r="5524" spans="1:4" x14ac:dyDescent="0.25">
      <c r="A5524" s="16">
        <v>13046</v>
      </c>
      <c r="B5524" s="1">
        <v>1</v>
      </c>
      <c r="C5524" s="1">
        <v>2</v>
      </c>
      <c r="D5524" s="1">
        <v>5.6</v>
      </c>
    </row>
    <row r="5525" spans="1:4" x14ac:dyDescent="0.25">
      <c r="A5525" s="16">
        <v>13047</v>
      </c>
      <c r="B5525" s="1">
        <v>1</v>
      </c>
      <c r="C5525" s="1">
        <v>3</v>
      </c>
      <c r="D5525" s="1">
        <v>7.1999999999999993</v>
      </c>
    </row>
    <row r="5526" spans="1:4" x14ac:dyDescent="0.25">
      <c r="A5526" s="16">
        <v>13048</v>
      </c>
      <c r="B5526" s="1">
        <v>1</v>
      </c>
      <c r="C5526" s="1">
        <v>1</v>
      </c>
      <c r="D5526" s="1">
        <v>51.64</v>
      </c>
    </row>
    <row r="5527" spans="1:4" x14ac:dyDescent="0.25">
      <c r="A5527" s="16">
        <v>13049</v>
      </c>
      <c r="B5527" s="1">
        <v>1</v>
      </c>
      <c r="C5527" s="1">
        <v>1</v>
      </c>
      <c r="D5527" s="1">
        <v>36</v>
      </c>
    </row>
    <row r="5528" spans="1:4" x14ac:dyDescent="0.25">
      <c r="A5528" s="16">
        <v>13050</v>
      </c>
      <c r="B5528" s="1">
        <v>1</v>
      </c>
      <c r="C5528" s="1">
        <v>1</v>
      </c>
      <c r="D5528" s="1">
        <v>10</v>
      </c>
    </row>
    <row r="5529" spans="1:4" x14ac:dyDescent="0.25">
      <c r="A5529" s="16">
        <v>13051</v>
      </c>
      <c r="B5529" s="1">
        <v>1</v>
      </c>
      <c r="C5529" s="1">
        <v>1</v>
      </c>
      <c r="D5529" s="1">
        <v>8</v>
      </c>
    </row>
    <row r="5530" spans="1:4" x14ac:dyDescent="0.25">
      <c r="A5530" s="16">
        <v>13052</v>
      </c>
      <c r="B5530" s="1">
        <v>1</v>
      </c>
      <c r="C5530" s="1">
        <v>1</v>
      </c>
      <c r="D5530" s="1">
        <v>6</v>
      </c>
    </row>
    <row r="5531" spans="1:4" x14ac:dyDescent="0.25">
      <c r="A5531" s="16">
        <v>13053</v>
      </c>
      <c r="B5531" s="1">
        <v>1</v>
      </c>
      <c r="C5531" s="1">
        <v>2</v>
      </c>
      <c r="D5531" s="1">
        <v>5.6</v>
      </c>
    </row>
    <row r="5532" spans="1:4" x14ac:dyDescent="0.25">
      <c r="A5532" s="16">
        <v>13054</v>
      </c>
      <c r="B5532" s="1">
        <v>1</v>
      </c>
      <c r="C5532" s="1">
        <v>1</v>
      </c>
      <c r="D5532" s="1">
        <v>8.8000000000000007</v>
      </c>
    </row>
    <row r="5533" spans="1:4" x14ac:dyDescent="0.25">
      <c r="A5533" s="16">
        <v>13055</v>
      </c>
      <c r="B5533" s="1">
        <v>1</v>
      </c>
      <c r="C5533" s="1">
        <v>1</v>
      </c>
      <c r="D5533" s="1">
        <v>51.64</v>
      </c>
    </row>
    <row r="5534" spans="1:4" x14ac:dyDescent="0.25">
      <c r="A5534" s="16">
        <v>13056</v>
      </c>
      <c r="B5534" s="1">
        <v>1</v>
      </c>
      <c r="C5534" s="1">
        <v>1</v>
      </c>
      <c r="D5534" s="1">
        <v>42</v>
      </c>
    </row>
    <row r="5535" spans="1:4" x14ac:dyDescent="0.25">
      <c r="A5535" s="16">
        <v>13057</v>
      </c>
      <c r="B5535" s="1">
        <v>1</v>
      </c>
      <c r="C5535" s="1">
        <v>2</v>
      </c>
      <c r="D5535" s="1">
        <v>4.8</v>
      </c>
    </row>
    <row r="5536" spans="1:4" x14ac:dyDescent="0.25">
      <c r="A5536" s="16">
        <v>13058</v>
      </c>
      <c r="B5536" s="1">
        <v>1</v>
      </c>
      <c r="C5536" s="1">
        <v>1</v>
      </c>
      <c r="D5536" s="1">
        <v>7.6</v>
      </c>
    </row>
    <row r="5537" spans="1:4" x14ac:dyDescent="0.25">
      <c r="A5537" s="16">
        <v>13059</v>
      </c>
      <c r="B5537" s="1">
        <v>1</v>
      </c>
      <c r="C5537" s="1">
        <v>1</v>
      </c>
      <c r="D5537" s="1">
        <v>8</v>
      </c>
    </row>
    <row r="5538" spans="1:4" x14ac:dyDescent="0.25">
      <c r="A5538" s="16">
        <v>13060</v>
      </c>
      <c r="B5538" s="1">
        <v>1</v>
      </c>
      <c r="C5538" s="1">
        <v>1</v>
      </c>
      <c r="D5538" s="1">
        <v>51.64</v>
      </c>
    </row>
    <row r="5539" spans="1:4" x14ac:dyDescent="0.25">
      <c r="A5539" s="16">
        <v>13061</v>
      </c>
      <c r="B5539" s="1">
        <v>1</v>
      </c>
      <c r="C5539" s="1">
        <v>2</v>
      </c>
      <c r="D5539" s="1">
        <v>5.6</v>
      </c>
    </row>
    <row r="5540" spans="1:4" x14ac:dyDescent="0.25">
      <c r="A5540" s="16">
        <v>13062</v>
      </c>
      <c r="B5540" s="1">
        <v>1</v>
      </c>
      <c r="C5540" s="1">
        <v>1</v>
      </c>
      <c r="D5540" s="1">
        <v>6</v>
      </c>
    </row>
    <row r="5541" spans="1:4" x14ac:dyDescent="0.25">
      <c r="A5541" s="16">
        <v>13063</v>
      </c>
      <c r="B5541" s="1">
        <v>1</v>
      </c>
      <c r="C5541" s="1">
        <v>1</v>
      </c>
      <c r="D5541" s="1">
        <v>8.8000000000000007</v>
      </c>
    </row>
    <row r="5542" spans="1:4" x14ac:dyDescent="0.25">
      <c r="A5542" s="16">
        <v>13064</v>
      </c>
      <c r="B5542" s="1">
        <v>1</v>
      </c>
      <c r="C5542" s="1">
        <v>1</v>
      </c>
      <c r="D5542" s="1">
        <v>8</v>
      </c>
    </row>
    <row r="5543" spans="1:4" x14ac:dyDescent="0.25">
      <c r="A5543" s="16">
        <v>13065</v>
      </c>
      <c r="B5543" s="1">
        <v>1</v>
      </c>
      <c r="C5543" s="1">
        <v>1</v>
      </c>
      <c r="D5543" s="1">
        <v>51.64</v>
      </c>
    </row>
    <row r="5544" spans="1:4" x14ac:dyDescent="0.25">
      <c r="A5544" s="16">
        <v>13066</v>
      </c>
      <c r="B5544" s="1">
        <v>1</v>
      </c>
      <c r="C5544" s="1">
        <v>1</v>
      </c>
      <c r="D5544" s="1">
        <v>10</v>
      </c>
    </row>
    <row r="5545" spans="1:4" x14ac:dyDescent="0.25">
      <c r="A5545" s="16">
        <v>13067</v>
      </c>
      <c r="B5545" s="1">
        <v>1</v>
      </c>
      <c r="C5545" s="1">
        <v>1</v>
      </c>
      <c r="D5545" s="1">
        <v>36</v>
      </c>
    </row>
    <row r="5546" spans="1:4" x14ac:dyDescent="0.25">
      <c r="A5546" s="16">
        <v>13068</v>
      </c>
      <c r="B5546" s="1">
        <v>1</v>
      </c>
      <c r="C5546" s="1">
        <v>3</v>
      </c>
      <c r="D5546" s="1">
        <v>8.3999999999999986</v>
      </c>
    </row>
    <row r="5547" spans="1:4" x14ac:dyDescent="0.25">
      <c r="A5547" s="16">
        <v>13069</v>
      </c>
      <c r="B5547" s="1">
        <v>1</v>
      </c>
      <c r="C5547" s="1">
        <v>1</v>
      </c>
      <c r="D5547" s="1">
        <v>6</v>
      </c>
    </row>
    <row r="5548" spans="1:4" x14ac:dyDescent="0.25">
      <c r="A5548" s="16">
        <v>13070</v>
      </c>
      <c r="B5548" s="1">
        <v>1</v>
      </c>
      <c r="C5548" s="1">
        <v>1</v>
      </c>
      <c r="D5548" s="1">
        <v>51.64</v>
      </c>
    </row>
    <row r="5549" spans="1:4" x14ac:dyDescent="0.25">
      <c r="A5549" s="16">
        <v>13071</v>
      </c>
      <c r="B5549" s="1">
        <v>1</v>
      </c>
      <c r="C5549" s="1">
        <v>1</v>
      </c>
      <c r="D5549" s="1">
        <v>8</v>
      </c>
    </row>
    <row r="5550" spans="1:4" x14ac:dyDescent="0.25">
      <c r="A5550" s="16">
        <v>13072</v>
      </c>
      <c r="B5550" s="1">
        <v>1</v>
      </c>
      <c r="C5550" s="1">
        <v>1</v>
      </c>
      <c r="D5550" s="1">
        <v>8.8000000000000007</v>
      </c>
    </row>
    <row r="5551" spans="1:4" x14ac:dyDescent="0.25">
      <c r="A5551" s="16">
        <v>13073</v>
      </c>
      <c r="B5551" s="1">
        <v>1</v>
      </c>
      <c r="C5551" s="1">
        <v>3</v>
      </c>
      <c r="D5551" s="1">
        <v>8.3999999999999986</v>
      </c>
    </row>
    <row r="5552" spans="1:4" x14ac:dyDescent="0.25">
      <c r="A5552" s="16">
        <v>13074</v>
      </c>
      <c r="B5552" s="1">
        <v>1</v>
      </c>
      <c r="C5552" s="1">
        <v>2</v>
      </c>
      <c r="D5552" s="1">
        <v>4.8</v>
      </c>
    </row>
    <row r="5553" spans="1:4" x14ac:dyDescent="0.25">
      <c r="A5553" s="16">
        <v>13075</v>
      </c>
      <c r="B5553" s="1">
        <v>1</v>
      </c>
      <c r="C5553" s="1">
        <v>1</v>
      </c>
      <c r="D5553" s="1">
        <v>51.64</v>
      </c>
    </row>
    <row r="5554" spans="1:4" x14ac:dyDescent="0.25">
      <c r="A5554" s="16">
        <v>13076</v>
      </c>
      <c r="B5554" s="1">
        <v>1</v>
      </c>
      <c r="C5554" s="1">
        <v>1</v>
      </c>
      <c r="D5554" s="1">
        <v>51.64</v>
      </c>
    </row>
    <row r="5555" spans="1:4" x14ac:dyDescent="0.25">
      <c r="A5555" s="16">
        <v>13077</v>
      </c>
      <c r="B5555" s="1">
        <v>1</v>
      </c>
      <c r="C5555" s="1">
        <v>1</v>
      </c>
      <c r="D5555" s="1">
        <v>7.6</v>
      </c>
    </row>
    <row r="5556" spans="1:4" x14ac:dyDescent="0.25">
      <c r="A5556" s="16">
        <v>13078</v>
      </c>
      <c r="B5556" s="1">
        <v>1</v>
      </c>
      <c r="C5556" s="1">
        <v>1</v>
      </c>
      <c r="D5556" s="1">
        <v>42</v>
      </c>
    </row>
    <row r="5557" spans="1:4" x14ac:dyDescent="0.25">
      <c r="A5557" s="16">
        <v>13079</v>
      </c>
      <c r="B5557" s="1">
        <v>1</v>
      </c>
      <c r="C5557" s="1">
        <v>2</v>
      </c>
      <c r="D5557" s="1">
        <v>4.8</v>
      </c>
    </row>
    <row r="5558" spans="1:4" x14ac:dyDescent="0.25">
      <c r="A5558" s="16">
        <v>13080</v>
      </c>
      <c r="B5558" s="1">
        <v>1</v>
      </c>
      <c r="C5558" s="1">
        <v>2</v>
      </c>
      <c r="D5558" s="1">
        <v>5.6</v>
      </c>
    </row>
    <row r="5559" spans="1:4" x14ac:dyDescent="0.25">
      <c r="A5559" s="16">
        <v>13081</v>
      </c>
      <c r="B5559" s="1">
        <v>1</v>
      </c>
      <c r="C5559" s="1">
        <v>1</v>
      </c>
      <c r="D5559" s="1">
        <v>6</v>
      </c>
    </row>
    <row r="5560" spans="1:4" x14ac:dyDescent="0.25">
      <c r="A5560" s="16">
        <v>13082</v>
      </c>
      <c r="B5560" s="1">
        <v>1</v>
      </c>
      <c r="C5560" s="1">
        <v>1</v>
      </c>
      <c r="D5560" s="1">
        <v>8.8000000000000007</v>
      </c>
    </row>
    <row r="5561" spans="1:4" x14ac:dyDescent="0.25">
      <c r="A5561" s="16">
        <v>13083</v>
      </c>
      <c r="B5561" s="1">
        <v>1</v>
      </c>
      <c r="C5561" s="1">
        <v>1</v>
      </c>
      <c r="D5561" s="1">
        <v>8</v>
      </c>
    </row>
    <row r="5562" spans="1:4" x14ac:dyDescent="0.25">
      <c r="A5562" s="16">
        <v>13084</v>
      </c>
      <c r="B5562" s="1">
        <v>1</v>
      </c>
      <c r="C5562" s="1">
        <v>1</v>
      </c>
      <c r="D5562" s="1">
        <v>51.64</v>
      </c>
    </row>
    <row r="5563" spans="1:4" x14ac:dyDescent="0.25">
      <c r="A5563" s="16">
        <v>13085</v>
      </c>
      <c r="B5563" s="1">
        <v>1</v>
      </c>
      <c r="C5563" s="1">
        <v>1</v>
      </c>
      <c r="D5563" s="1">
        <v>51.64</v>
      </c>
    </row>
    <row r="5564" spans="1:4" x14ac:dyDescent="0.25">
      <c r="A5564" s="16">
        <v>13086</v>
      </c>
      <c r="B5564" s="1">
        <v>1</v>
      </c>
      <c r="C5564" s="1">
        <v>3</v>
      </c>
      <c r="D5564" s="1">
        <v>8.3999999999999986</v>
      </c>
    </row>
    <row r="5565" spans="1:4" x14ac:dyDescent="0.25">
      <c r="A5565" s="16">
        <v>13087</v>
      </c>
      <c r="B5565" s="1">
        <v>1</v>
      </c>
      <c r="C5565" s="1">
        <v>1</v>
      </c>
      <c r="D5565" s="1">
        <v>6</v>
      </c>
    </row>
    <row r="5566" spans="1:4" x14ac:dyDescent="0.25">
      <c r="A5566" s="16">
        <v>13088</v>
      </c>
      <c r="B5566" s="1">
        <v>1</v>
      </c>
      <c r="C5566" s="1">
        <v>1</v>
      </c>
      <c r="D5566" s="1">
        <v>51.64</v>
      </c>
    </row>
    <row r="5567" spans="1:4" x14ac:dyDescent="0.25">
      <c r="A5567" s="16">
        <v>13089</v>
      </c>
      <c r="B5567" s="1">
        <v>1</v>
      </c>
      <c r="C5567" s="1">
        <v>1</v>
      </c>
      <c r="D5567" s="1">
        <v>8.8000000000000007</v>
      </c>
    </row>
    <row r="5568" spans="1:4" x14ac:dyDescent="0.25">
      <c r="A5568" s="16">
        <v>13090</v>
      </c>
      <c r="B5568" s="1">
        <v>1</v>
      </c>
      <c r="C5568" s="1">
        <v>1</v>
      </c>
      <c r="D5568" s="1">
        <v>8</v>
      </c>
    </row>
    <row r="5569" spans="1:4" x14ac:dyDescent="0.25">
      <c r="A5569" s="16">
        <v>13091</v>
      </c>
      <c r="B5569" s="1">
        <v>1</v>
      </c>
      <c r="C5569" s="1">
        <v>1</v>
      </c>
      <c r="D5569" s="1">
        <v>51.64</v>
      </c>
    </row>
    <row r="5570" spans="1:4" x14ac:dyDescent="0.25">
      <c r="A5570" s="16">
        <v>13092</v>
      </c>
      <c r="B5570" s="1">
        <v>1</v>
      </c>
      <c r="C5570" s="1">
        <v>3</v>
      </c>
      <c r="D5570" s="1">
        <v>8.3999999999999986</v>
      </c>
    </row>
    <row r="5571" spans="1:4" x14ac:dyDescent="0.25">
      <c r="A5571" s="16">
        <v>13093</v>
      </c>
      <c r="B5571" s="1">
        <v>1</v>
      </c>
      <c r="C5571" s="1">
        <v>1</v>
      </c>
      <c r="D5571" s="1">
        <v>6</v>
      </c>
    </row>
    <row r="5572" spans="1:4" x14ac:dyDescent="0.25">
      <c r="A5572" s="16">
        <v>13094</v>
      </c>
      <c r="B5572" s="1">
        <v>1</v>
      </c>
      <c r="C5572" s="1">
        <v>2</v>
      </c>
      <c r="D5572" s="1">
        <v>4.8</v>
      </c>
    </row>
    <row r="5573" spans="1:4" x14ac:dyDescent="0.25">
      <c r="A5573" s="16">
        <v>13095</v>
      </c>
      <c r="B5573" s="1">
        <v>1</v>
      </c>
      <c r="C5573" s="1">
        <v>1</v>
      </c>
      <c r="D5573" s="1">
        <v>42</v>
      </c>
    </row>
    <row r="5574" spans="1:4" x14ac:dyDescent="0.25">
      <c r="A5574" s="16">
        <v>13096</v>
      </c>
      <c r="B5574" s="1">
        <v>1</v>
      </c>
      <c r="C5574" s="1">
        <v>1</v>
      </c>
      <c r="D5574" s="1">
        <v>7.6</v>
      </c>
    </row>
    <row r="5575" spans="1:4" x14ac:dyDescent="0.25">
      <c r="A5575" s="16">
        <v>13097</v>
      </c>
      <c r="B5575" s="1">
        <v>1</v>
      </c>
      <c r="C5575" s="1">
        <v>1</v>
      </c>
      <c r="D5575" s="1">
        <v>36</v>
      </c>
    </row>
    <row r="5576" spans="1:4" x14ac:dyDescent="0.25">
      <c r="A5576" s="16">
        <v>13098</v>
      </c>
      <c r="B5576" s="1">
        <v>1</v>
      </c>
      <c r="C5576" s="1">
        <v>1</v>
      </c>
      <c r="D5576" s="1">
        <v>51.64</v>
      </c>
    </row>
    <row r="5577" spans="1:4" x14ac:dyDescent="0.25">
      <c r="A5577" s="16">
        <v>13099</v>
      </c>
      <c r="B5577" s="1">
        <v>1</v>
      </c>
      <c r="C5577" s="1">
        <v>1</v>
      </c>
      <c r="D5577" s="1">
        <v>8</v>
      </c>
    </row>
    <row r="5578" spans="1:4" x14ac:dyDescent="0.25">
      <c r="A5578" s="16">
        <v>13100</v>
      </c>
      <c r="B5578" s="1">
        <v>1</v>
      </c>
      <c r="C5578" s="1">
        <v>2</v>
      </c>
      <c r="D5578" s="1">
        <v>5.6</v>
      </c>
    </row>
    <row r="5579" spans="1:4" x14ac:dyDescent="0.25">
      <c r="A5579" s="16">
        <v>13101</v>
      </c>
      <c r="B5579" s="1">
        <v>1</v>
      </c>
      <c r="C5579" s="1">
        <v>1</v>
      </c>
      <c r="D5579" s="1">
        <v>6</v>
      </c>
    </row>
    <row r="5580" spans="1:4" x14ac:dyDescent="0.25">
      <c r="A5580" s="16">
        <v>13102</v>
      </c>
      <c r="B5580" s="1">
        <v>1</v>
      </c>
      <c r="C5580" s="1">
        <v>2</v>
      </c>
      <c r="D5580" s="1">
        <v>4.8</v>
      </c>
    </row>
    <row r="5581" spans="1:4" x14ac:dyDescent="0.25">
      <c r="A5581" s="16">
        <v>13103</v>
      </c>
      <c r="B5581" s="1">
        <v>1</v>
      </c>
      <c r="C5581" s="1">
        <v>1</v>
      </c>
      <c r="D5581" s="1">
        <v>51.64</v>
      </c>
    </row>
    <row r="5582" spans="1:4" x14ac:dyDescent="0.25">
      <c r="A5582" s="16">
        <v>13104</v>
      </c>
      <c r="B5582" s="1">
        <v>1</v>
      </c>
      <c r="C5582" s="1">
        <v>1</v>
      </c>
      <c r="D5582" s="1">
        <v>10</v>
      </c>
    </row>
    <row r="5583" spans="1:4" x14ac:dyDescent="0.25">
      <c r="A5583" s="16">
        <v>13105</v>
      </c>
      <c r="B5583" s="1">
        <v>1</v>
      </c>
      <c r="C5583" s="1">
        <v>1</v>
      </c>
      <c r="D5583" s="1">
        <v>7.6</v>
      </c>
    </row>
    <row r="5584" spans="1:4" x14ac:dyDescent="0.25">
      <c r="A5584" s="16">
        <v>13106</v>
      </c>
      <c r="B5584" s="1">
        <v>1</v>
      </c>
      <c r="C5584" s="1">
        <v>2</v>
      </c>
      <c r="D5584" s="1">
        <v>4.8</v>
      </c>
    </row>
    <row r="5585" spans="1:4" x14ac:dyDescent="0.25">
      <c r="A5585" s="16">
        <v>13107</v>
      </c>
      <c r="B5585" s="1">
        <v>1</v>
      </c>
      <c r="C5585" s="1">
        <v>1</v>
      </c>
      <c r="D5585" s="1">
        <v>51.64</v>
      </c>
    </row>
    <row r="5586" spans="1:4" x14ac:dyDescent="0.25">
      <c r="A5586" s="16">
        <v>13108</v>
      </c>
      <c r="B5586" s="1">
        <v>1</v>
      </c>
      <c r="C5586" s="1">
        <v>3</v>
      </c>
      <c r="D5586" s="1">
        <v>8.3999999999999986</v>
      </c>
    </row>
    <row r="5587" spans="1:4" x14ac:dyDescent="0.25">
      <c r="A5587" s="16">
        <v>13109</v>
      </c>
      <c r="B5587" s="1">
        <v>1</v>
      </c>
      <c r="C5587" s="1">
        <v>1</v>
      </c>
      <c r="D5587" s="1">
        <v>6</v>
      </c>
    </row>
    <row r="5588" spans="1:4" x14ac:dyDescent="0.25">
      <c r="A5588" s="16">
        <v>13110</v>
      </c>
      <c r="B5588" s="1">
        <v>1</v>
      </c>
      <c r="C5588" s="1">
        <v>1</v>
      </c>
      <c r="D5588" s="1">
        <v>8.8000000000000007</v>
      </c>
    </row>
    <row r="5589" spans="1:4" x14ac:dyDescent="0.25">
      <c r="A5589" s="16">
        <v>13111</v>
      </c>
      <c r="B5589" s="1">
        <v>1</v>
      </c>
      <c r="C5589" s="1">
        <v>1</v>
      </c>
      <c r="D5589" s="1">
        <v>8</v>
      </c>
    </row>
    <row r="5590" spans="1:4" x14ac:dyDescent="0.25">
      <c r="A5590" s="16">
        <v>13112</v>
      </c>
      <c r="B5590" s="1">
        <v>1</v>
      </c>
      <c r="C5590" s="1">
        <v>1</v>
      </c>
      <c r="D5590" s="1">
        <v>51.64</v>
      </c>
    </row>
    <row r="5591" spans="1:4" x14ac:dyDescent="0.25">
      <c r="A5591" s="16">
        <v>13113</v>
      </c>
      <c r="B5591" s="1">
        <v>1</v>
      </c>
      <c r="C5591" s="1">
        <v>1</v>
      </c>
      <c r="D5591" s="1">
        <v>6</v>
      </c>
    </row>
    <row r="5592" spans="1:4" x14ac:dyDescent="0.25">
      <c r="A5592" s="16">
        <v>13114</v>
      </c>
      <c r="B5592" s="1">
        <v>1</v>
      </c>
      <c r="C5592" s="1">
        <v>2</v>
      </c>
      <c r="D5592" s="1">
        <v>4.8</v>
      </c>
    </row>
    <row r="5593" spans="1:4" x14ac:dyDescent="0.25">
      <c r="A5593" s="16">
        <v>13115</v>
      </c>
      <c r="B5593" s="1">
        <v>2</v>
      </c>
      <c r="C5593" s="1">
        <v>3</v>
      </c>
      <c r="D5593" s="1">
        <v>47.6</v>
      </c>
    </row>
    <row r="5594" spans="1:4" x14ac:dyDescent="0.25">
      <c r="A5594" s="16">
        <v>13116</v>
      </c>
      <c r="B5594" s="1">
        <v>2</v>
      </c>
      <c r="C5594" s="1">
        <v>2</v>
      </c>
      <c r="D5594" s="1">
        <v>13.6</v>
      </c>
    </row>
    <row r="5595" spans="1:4" x14ac:dyDescent="0.25">
      <c r="A5595" s="16">
        <v>13117</v>
      </c>
      <c r="B5595" s="1">
        <v>2</v>
      </c>
      <c r="C5595" s="1">
        <v>2</v>
      </c>
      <c r="D5595" s="1">
        <v>59.64</v>
      </c>
    </row>
    <row r="5596" spans="1:4" x14ac:dyDescent="0.25">
      <c r="A5596" s="16">
        <v>13118</v>
      </c>
      <c r="B5596" s="1">
        <v>2</v>
      </c>
      <c r="C5596" s="1">
        <v>4</v>
      </c>
      <c r="D5596" s="1">
        <v>16.399999999999999</v>
      </c>
    </row>
    <row r="5597" spans="1:4" x14ac:dyDescent="0.25">
      <c r="A5597" s="16">
        <v>13119</v>
      </c>
      <c r="B5597" s="1">
        <v>2</v>
      </c>
      <c r="C5597" s="1">
        <v>2</v>
      </c>
      <c r="D5597" s="1">
        <v>103.28</v>
      </c>
    </row>
    <row r="5598" spans="1:4" x14ac:dyDescent="0.25">
      <c r="A5598" s="16">
        <v>13120</v>
      </c>
      <c r="B5598" s="1">
        <v>2</v>
      </c>
      <c r="C5598" s="1">
        <v>2</v>
      </c>
      <c r="D5598" s="1">
        <v>61.64</v>
      </c>
    </row>
    <row r="5599" spans="1:4" x14ac:dyDescent="0.25">
      <c r="A5599" s="16">
        <v>13121</v>
      </c>
      <c r="B5599" s="1">
        <v>2</v>
      </c>
      <c r="C5599" s="1">
        <v>3</v>
      </c>
      <c r="D5599" s="1">
        <v>23.2</v>
      </c>
    </row>
    <row r="5600" spans="1:4" x14ac:dyDescent="0.25">
      <c r="A5600" s="16">
        <v>13122</v>
      </c>
      <c r="B5600" s="1">
        <v>2</v>
      </c>
      <c r="C5600" s="1">
        <v>4</v>
      </c>
      <c r="D5600" s="1">
        <v>13.2</v>
      </c>
    </row>
    <row r="5601" spans="1:4" x14ac:dyDescent="0.25">
      <c r="A5601" s="16">
        <v>13123</v>
      </c>
      <c r="B5601" s="1">
        <v>2</v>
      </c>
      <c r="C5601" s="1">
        <v>4</v>
      </c>
      <c r="D5601" s="1">
        <v>49.2</v>
      </c>
    </row>
    <row r="5602" spans="1:4" x14ac:dyDescent="0.25">
      <c r="A5602" s="16">
        <v>13124</v>
      </c>
      <c r="B5602" s="1">
        <v>2</v>
      </c>
      <c r="C5602" s="1">
        <v>3</v>
      </c>
      <c r="D5602" s="1">
        <v>41.6</v>
      </c>
    </row>
    <row r="5603" spans="1:4" x14ac:dyDescent="0.25">
      <c r="A5603" s="16">
        <v>13125</v>
      </c>
      <c r="B5603" s="1">
        <v>2</v>
      </c>
      <c r="C5603" s="1">
        <v>4</v>
      </c>
      <c r="D5603" s="1">
        <v>17.2</v>
      </c>
    </row>
    <row r="5604" spans="1:4" x14ac:dyDescent="0.25">
      <c r="A5604" s="16">
        <v>13126</v>
      </c>
      <c r="B5604" s="1">
        <v>2</v>
      </c>
      <c r="C5604" s="1">
        <v>2</v>
      </c>
      <c r="D5604" s="1">
        <v>18</v>
      </c>
    </row>
    <row r="5605" spans="1:4" x14ac:dyDescent="0.25">
      <c r="A5605" s="16">
        <v>13127</v>
      </c>
      <c r="B5605" s="1">
        <v>2</v>
      </c>
      <c r="C5605" s="1">
        <v>2</v>
      </c>
      <c r="D5605" s="1">
        <v>13.6</v>
      </c>
    </row>
    <row r="5606" spans="1:4" x14ac:dyDescent="0.25">
      <c r="A5606" s="16">
        <v>13128</v>
      </c>
      <c r="B5606" s="1">
        <v>2</v>
      </c>
      <c r="C5606" s="1">
        <v>2</v>
      </c>
      <c r="D5606" s="1">
        <v>93.64</v>
      </c>
    </row>
    <row r="5607" spans="1:4" x14ac:dyDescent="0.25">
      <c r="A5607" s="16">
        <v>13129</v>
      </c>
      <c r="B5607" s="1">
        <v>2</v>
      </c>
      <c r="C5607" s="1">
        <v>4</v>
      </c>
      <c r="D5607" s="1">
        <v>60.04</v>
      </c>
    </row>
    <row r="5608" spans="1:4" x14ac:dyDescent="0.25">
      <c r="A5608" s="16">
        <v>13130</v>
      </c>
      <c r="B5608" s="1">
        <v>2</v>
      </c>
      <c r="C5608" s="1">
        <v>2</v>
      </c>
      <c r="D5608" s="1">
        <v>44</v>
      </c>
    </row>
    <row r="5609" spans="1:4" x14ac:dyDescent="0.25">
      <c r="A5609" s="16">
        <v>13131</v>
      </c>
      <c r="B5609" s="1">
        <v>2</v>
      </c>
      <c r="C5609" s="1">
        <v>2</v>
      </c>
      <c r="D5609" s="1">
        <v>60.44</v>
      </c>
    </row>
    <row r="5610" spans="1:4" x14ac:dyDescent="0.25">
      <c r="A5610" s="16">
        <v>13132</v>
      </c>
      <c r="B5610" s="1">
        <v>2</v>
      </c>
      <c r="C5610" s="1">
        <v>3</v>
      </c>
      <c r="D5610" s="1">
        <v>56.44</v>
      </c>
    </row>
    <row r="5611" spans="1:4" x14ac:dyDescent="0.25">
      <c r="A5611" s="16">
        <v>13133</v>
      </c>
      <c r="B5611" s="1">
        <v>2</v>
      </c>
      <c r="C5611" s="1">
        <v>4</v>
      </c>
      <c r="D5611" s="1">
        <v>16.399999999999999</v>
      </c>
    </row>
    <row r="5612" spans="1:4" x14ac:dyDescent="0.25">
      <c r="A5612" s="16">
        <v>13134</v>
      </c>
      <c r="B5612" s="1">
        <v>2</v>
      </c>
      <c r="C5612" s="1">
        <v>2</v>
      </c>
      <c r="D5612" s="1">
        <v>14.8</v>
      </c>
    </row>
    <row r="5613" spans="1:4" x14ac:dyDescent="0.25">
      <c r="A5613" s="16">
        <v>13135</v>
      </c>
      <c r="B5613" s="1">
        <v>2</v>
      </c>
      <c r="C5613" s="1">
        <v>4</v>
      </c>
      <c r="D5613" s="1">
        <v>10.399999999999999</v>
      </c>
    </row>
    <row r="5614" spans="1:4" x14ac:dyDescent="0.25">
      <c r="A5614" s="16">
        <v>13136</v>
      </c>
      <c r="B5614" s="1">
        <v>2</v>
      </c>
      <c r="C5614" s="1">
        <v>2</v>
      </c>
      <c r="D5614" s="1">
        <v>42</v>
      </c>
    </row>
    <row r="5615" spans="1:4" x14ac:dyDescent="0.25">
      <c r="A5615" s="16">
        <v>13137</v>
      </c>
      <c r="B5615" s="1">
        <v>2</v>
      </c>
      <c r="C5615" s="1">
        <v>2</v>
      </c>
      <c r="D5615" s="1">
        <v>103.28</v>
      </c>
    </row>
    <row r="5616" spans="1:4" x14ac:dyDescent="0.25">
      <c r="A5616" s="16">
        <v>13138</v>
      </c>
      <c r="B5616" s="1">
        <v>2</v>
      </c>
      <c r="C5616" s="1">
        <v>2</v>
      </c>
      <c r="D5616" s="1">
        <v>15.6</v>
      </c>
    </row>
    <row r="5617" spans="1:4" x14ac:dyDescent="0.25">
      <c r="A5617" s="16">
        <v>13139</v>
      </c>
      <c r="B5617" s="1">
        <v>2</v>
      </c>
      <c r="C5617" s="1">
        <v>2</v>
      </c>
      <c r="D5617" s="1">
        <v>59.64</v>
      </c>
    </row>
    <row r="5618" spans="1:4" x14ac:dyDescent="0.25">
      <c r="A5618" s="16">
        <v>13140</v>
      </c>
      <c r="B5618" s="1">
        <v>2</v>
      </c>
      <c r="C5618" s="1">
        <v>4</v>
      </c>
      <c r="D5618" s="1">
        <v>18.399999999999999</v>
      </c>
    </row>
    <row r="5619" spans="1:4" x14ac:dyDescent="0.25">
      <c r="A5619" s="16">
        <v>13141</v>
      </c>
      <c r="B5619" s="1">
        <v>1</v>
      </c>
      <c r="C5619" s="1">
        <v>1</v>
      </c>
      <c r="D5619" s="1">
        <v>7.6</v>
      </c>
    </row>
    <row r="5620" spans="1:4" x14ac:dyDescent="0.25">
      <c r="A5620" s="16">
        <v>13142</v>
      </c>
      <c r="B5620" s="1">
        <v>1</v>
      </c>
      <c r="C5620" s="1">
        <v>3</v>
      </c>
      <c r="D5620" s="1">
        <v>7.1999999999999993</v>
      </c>
    </row>
    <row r="5621" spans="1:4" x14ac:dyDescent="0.25">
      <c r="A5621" s="16">
        <v>13143</v>
      </c>
      <c r="B5621" s="1">
        <v>1</v>
      </c>
      <c r="C5621" s="1">
        <v>1</v>
      </c>
      <c r="D5621" s="1">
        <v>42</v>
      </c>
    </row>
    <row r="5622" spans="1:4" x14ac:dyDescent="0.25">
      <c r="A5622" s="16">
        <v>13144</v>
      </c>
      <c r="B5622" s="1">
        <v>1</v>
      </c>
      <c r="C5622" s="1">
        <v>2</v>
      </c>
      <c r="D5622" s="1">
        <v>5.6</v>
      </c>
    </row>
    <row r="5623" spans="1:4" x14ac:dyDescent="0.25">
      <c r="A5623" s="16">
        <v>13145</v>
      </c>
      <c r="B5623" s="1">
        <v>1</v>
      </c>
      <c r="C5623" s="1">
        <v>1</v>
      </c>
      <c r="D5623" s="1">
        <v>8.8000000000000007</v>
      </c>
    </row>
    <row r="5624" spans="1:4" x14ac:dyDescent="0.25">
      <c r="A5624" s="16">
        <v>13146</v>
      </c>
      <c r="B5624" s="1">
        <v>1</v>
      </c>
      <c r="C5624" s="1">
        <v>1</v>
      </c>
      <c r="D5624" s="1">
        <v>8</v>
      </c>
    </row>
    <row r="5625" spans="1:4" x14ac:dyDescent="0.25">
      <c r="A5625" s="16">
        <v>13147</v>
      </c>
      <c r="B5625" s="1">
        <v>1</v>
      </c>
      <c r="C5625" s="1">
        <v>1</v>
      </c>
      <c r="D5625" s="1">
        <v>6</v>
      </c>
    </row>
    <row r="5626" spans="1:4" x14ac:dyDescent="0.25">
      <c r="A5626" s="16">
        <v>13148</v>
      </c>
      <c r="B5626" s="1">
        <v>1</v>
      </c>
      <c r="C5626" s="1">
        <v>1</v>
      </c>
      <c r="D5626" s="1">
        <v>51.64</v>
      </c>
    </row>
    <row r="5627" spans="1:4" x14ac:dyDescent="0.25">
      <c r="A5627" s="16">
        <v>13149</v>
      </c>
      <c r="B5627" s="1">
        <v>1</v>
      </c>
      <c r="C5627" s="1">
        <v>2</v>
      </c>
      <c r="D5627" s="1">
        <v>5.6</v>
      </c>
    </row>
    <row r="5628" spans="1:4" x14ac:dyDescent="0.25">
      <c r="A5628" s="16">
        <v>13150</v>
      </c>
      <c r="B5628" s="1">
        <v>1</v>
      </c>
      <c r="C5628" s="1">
        <v>1</v>
      </c>
      <c r="D5628" s="1">
        <v>36</v>
      </c>
    </row>
    <row r="5629" spans="1:4" x14ac:dyDescent="0.25">
      <c r="A5629" s="16">
        <v>13151</v>
      </c>
      <c r="B5629" s="1">
        <v>1</v>
      </c>
      <c r="C5629" s="1">
        <v>1</v>
      </c>
      <c r="D5629" s="1">
        <v>51.64</v>
      </c>
    </row>
    <row r="5630" spans="1:4" x14ac:dyDescent="0.25">
      <c r="A5630" s="16">
        <v>13152</v>
      </c>
      <c r="B5630" s="1">
        <v>1</v>
      </c>
      <c r="C5630" s="1">
        <v>2</v>
      </c>
      <c r="D5630" s="1">
        <v>4.8</v>
      </c>
    </row>
    <row r="5631" spans="1:4" x14ac:dyDescent="0.25">
      <c r="A5631" s="16">
        <v>13153</v>
      </c>
      <c r="B5631" s="1">
        <v>1</v>
      </c>
      <c r="C5631" s="1">
        <v>1</v>
      </c>
      <c r="D5631" s="1">
        <v>8</v>
      </c>
    </row>
    <row r="5632" spans="1:4" x14ac:dyDescent="0.25">
      <c r="A5632" s="16">
        <v>13154</v>
      </c>
      <c r="B5632" s="1">
        <v>1</v>
      </c>
      <c r="C5632" s="1">
        <v>1</v>
      </c>
      <c r="D5632" s="1">
        <v>10</v>
      </c>
    </row>
    <row r="5633" spans="1:4" x14ac:dyDescent="0.25">
      <c r="A5633" s="16">
        <v>13155</v>
      </c>
      <c r="B5633" s="1">
        <v>1</v>
      </c>
      <c r="C5633" s="1">
        <v>3</v>
      </c>
      <c r="D5633" s="1">
        <v>8.3999999999999986</v>
      </c>
    </row>
    <row r="5634" spans="1:4" x14ac:dyDescent="0.25">
      <c r="A5634" s="16">
        <v>13156</v>
      </c>
      <c r="B5634" s="1">
        <v>1</v>
      </c>
      <c r="C5634" s="1">
        <v>1</v>
      </c>
      <c r="D5634" s="1">
        <v>6</v>
      </c>
    </row>
    <row r="5635" spans="1:4" x14ac:dyDescent="0.25">
      <c r="A5635" s="16">
        <v>13157</v>
      </c>
      <c r="B5635" s="1">
        <v>1</v>
      </c>
      <c r="C5635" s="1">
        <v>2</v>
      </c>
      <c r="D5635" s="1">
        <v>4.8</v>
      </c>
    </row>
    <row r="5636" spans="1:4" x14ac:dyDescent="0.25">
      <c r="A5636" s="16">
        <v>13158</v>
      </c>
      <c r="B5636" s="1">
        <v>1</v>
      </c>
      <c r="C5636" s="1">
        <v>1</v>
      </c>
      <c r="D5636" s="1">
        <v>51.64</v>
      </c>
    </row>
    <row r="5637" spans="1:4" x14ac:dyDescent="0.25">
      <c r="A5637" s="16">
        <v>13159</v>
      </c>
      <c r="B5637" s="1">
        <v>1</v>
      </c>
      <c r="C5637" s="1">
        <v>1</v>
      </c>
      <c r="D5637" s="1">
        <v>51.64</v>
      </c>
    </row>
    <row r="5638" spans="1:4" x14ac:dyDescent="0.25">
      <c r="A5638" s="16">
        <v>13160</v>
      </c>
      <c r="B5638" s="1">
        <v>1</v>
      </c>
      <c r="C5638" s="1">
        <v>2</v>
      </c>
      <c r="D5638" s="1">
        <v>5.6</v>
      </c>
    </row>
    <row r="5639" spans="1:4" x14ac:dyDescent="0.25">
      <c r="A5639" s="16">
        <v>13161</v>
      </c>
      <c r="B5639" s="1">
        <v>1</v>
      </c>
      <c r="C5639" s="1">
        <v>1</v>
      </c>
      <c r="D5639" s="1">
        <v>8.8000000000000007</v>
      </c>
    </row>
    <row r="5640" spans="1:4" x14ac:dyDescent="0.25">
      <c r="A5640" s="16">
        <v>13162</v>
      </c>
      <c r="B5640" s="1">
        <v>1</v>
      </c>
      <c r="C5640" s="1">
        <v>1</v>
      </c>
      <c r="D5640" s="1">
        <v>7.6</v>
      </c>
    </row>
    <row r="5641" spans="1:4" x14ac:dyDescent="0.25">
      <c r="A5641" s="16">
        <v>13163</v>
      </c>
      <c r="B5641" s="1">
        <v>1</v>
      </c>
      <c r="C5641" s="1">
        <v>1</v>
      </c>
      <c r="D5641" s="1">
        <v>8</v>
      </c>
    </row>
    <row r="5642" spans="1:4" x14ac:dyDescent="0.25">
      <c r="A5642" s="16">
        <v>13164</v>
      </c>
      <c r="B5642" s="1">
        <v>1</v>
      </c>
      <c r="C5642" s="1">
        <v>1</v>
      </c>
      <c r="D5642" s="1">
        <v>42</v>
      </c>
    </row>
    <row r="5643" spans="1:4" x14ac:dyDescent="0.25">
      <c r="A5643" s="16">
        <v>13165</v>
      </c>
      <c r="B5643" s="1">
        <v>1</v>
      </c>
      <c r="C5643" s="1">
        <v>1</v>
      </c>
      <c r="D5643" s="1">
        <v>51.64</v>
      </c>
    </row>
    <row r="5644" spans="1:4" x14ac:dyDescent="0.25">
      <c r="A5644" s="16">
        <v>13166</v>
      </c>
      <c r="B5644" s="1">
        <v>1</v>
      </c>
      <c r="C5644" s="1">
        <v>3</v>
      </c>
      <c r="D5644" s="1">
        <v>8.3999999999999986</v>
      </c>
    </row>
    <row r="5645" spans="1:4" x14ac:dyDescent="0.25">
      <c r="A5645" s="16">
        <v>13167</v>
      </c>
      <c r="B5645" s="1">
        <v>1</v>
      </c>
      <c r="C5645" s="1">
        <v>1</v>
      </c>
      <c r="D5645" s="1">
        <v>6</v>
      </c>
    </row>
    <row r="5646" spans="1:4" x14ac:dyDescent="0.25">
      <c r="A5646" s="16">
        <v>13168</v>
      </c>
      <c r="B5646" s="1">
        <v>1</v>
      </c>
      <c r="C5646" s="1">
        <v>1</v>
      </c>
      <c r="D5646" s="1">
        <v>8</v>
      </c>
    </row>
    <row r="5647" spans="1:4" x14ac:dyDescent="0.25">
      <c r="A5647" s="16">
        <v>13169</v>
      </c>
      <c r="B5647" s="1">
        <v>1</v>
      </c>
      <c r="C5647" s="1">
        <v>1</v>
      </c>
      <c r="D5647" s="1">
        <v>8.8000000000000007</v>
      </c>
    </row>
    <row r="5648" spans="1:4" x14ac:dyDescent="0.25">
      <c r="A5648" s="16">
        <v>13170</v>
      </c>
      <c r="B5648" s="1">
        <v>1</v>
      </c>
      <c r="C5648" s="1">
        <v>2</v>
      </c>
      <c r="D5648" s="1">
        <v>5.6</v>
      </c>
    </row>
    <row r="5649" spans="1:4" x14ac:dyDescent="0.25">
      <c r="A5649" s="16">
        <v>13171</v>
      </c>
      <c r="B5649" s="1">
        <v>1</v>
      </c>
      <c r="C5649" s="1">
        <v>1</v>
      </c>
      <c r="D5649" s="1">
        <v>51.64</v>
      </c>
    </row>
    <row r="5650" spans="1:4" x14ac:dyDescent="0.25">
      <c r="A5650" s="16">
        <v>13172</v>
      </c>
      <c r="B5650" s="1">
        <v>1</v>
      </c>
      <c r="C5650" s="1">
        <v>3</v>
      </c>
      <c r="D5650" s="1">
        <v>7.1999999999999993</v>
      </c>
    </row>
    <row r="5651" spans="1:4" x14ac:dyDescent="0.25">
      <c r="A5651" s="16">
        <v>13173</v>
      </c>
      <c r="B5651" s="1">
        <v>1</v>
      </c>
      <c r="C5651" s="1">
        <v>1</v>
      </c>
      <c r="D5651" s="1">
        <v>10</v>
      </c>
    </row>
    <row r="5652" spans="1:4" x14ac:dyDescent="0.25">
      <c r="A5652" s="16">
        <v>13174</v>
      </c>
      <c r="B5652" s="1">
        <v>1</v>
      </c>
      <c r="C5652" s="1">
        <v>1</v>
      </c>
      <c r="D5652" s="1">
        <v>14</v>
      </c>
    </row>
    <row r="5653" spans="1:4" x14ac:dyDescent="0.25">
      <c r="A5653" s="16">
        <v>13175</v>
      </c>
      <c r="B5653" s="1">
        <v>1</v>
      </c>
      <c r="C5653" s="1">
        <v>2</v>
      </c>
      <c r="D5653" s="1">
        <v>5.6</v>
      </c>
    </row>
    <row r="5654" spans="1:4" x14ac:dyDescent="0.25">
      <c r="A5654" s="16">
        <v>13176</v>
      </c>
      <c r="B5654" s="1">
        <v>1</v>
      </c>
      <c r="C5654" s="1">
        <v>1</v>
      </c>
      <c r="D5654" s="1">
        <v>6</v>
      </c>
    </row>
    <row r="5655" spans="1:4" x14ac:dyDescent="0.25">
      <c r="A5655" s="16">
        <v>13177</v>
      </c>
      <c r="B5655" s="1">
        <v>1</v>
      </c>
      <c r="C5655" s="1">
        <v>1</v>
      </c>
      <c r="D5655" s="1">
        <v>51.64</v>
      </c>
    </row>
    <row r="5656" spans="1:4" x14ac:dyDescent="0.25">
      <c r="A5656" s="16">
        <v>13178</v>
      </c>
      <c r="B5656" s="1">
        <v>1</v>
      </c>
      <c r="C5656" s="1">
        <v>1</v>
      </c>
      <c r="D5656" s="1">
        <v>8</v>
      </c>
    </row>
    <row r="5657" spans="1:4" x14ac:dyDescent="0.25">
      <c r="A5657" s="16">
        <v>13179</v>
      </c>
      <c r="B5657" s="1">
        <v>1</v>
      </c>
      <c r="C5657" s="1">
        <v>1</v>
      </c>
      <c r="D5657" s="1">
        <v>51.64</v>
      </c>
    </row>
    <row r="5658" spans="1:4" x14ac:dyDescent="0.25">
      <c r="A5658" s="16">
        <v>13180</v>
      </c>
      <c r="B5658" s="1">
        <v>1</v>
      </c>
      <c r="C5658" s="1">
        <v>1</v>
      </c>
      <c r="D5658" s="1">
        <v>10</v>
      </c>
    </row>
    <row r="5659" spans="1:4" x14ac:dyDescent="0.25">
      <c r="A5659" s="16">
        <v>13181</v>
      </c>
      <c r="B5659" s="1">
        <v>1</v>
      </c>
      <c r="C5659" s="1">
        <v>2</v>
      </c>
      <c r="D5659" s="1">
        <v>15.2</v>
      </c>
    </row>
    <row r="5660" spans="1:4" x14ac:dyDescent="0.25">
      <c r="A5660" s="16">
        <v>13182</v>
      </c>
      <c r="B5660" s="1">
        <v>1</v>
      </c>
      <c r="C5660" s="1">
        <v>2</v>
      </c>
      <c r="D5660" s="1">
        <v>4.8</v>
      </c>
    </row>
    <row r="5661" spans="1:4" x14ac:dyDescent="0.25">
      <c r="A5661" s="16">
        <v>13183</v>
      </c>
      <c r="B5661" s="1">
        <v>1</v>
      </c>
      <c r="C5661" s="1">
        <v>1</v>
      </c>
      <c r="D5661" s="1">
        <v>42</v>
      </c>
    </row>
    <row r="5662" spans="1:4" x14ac:dyDescent="0.25">
      <c r="A5662" s="16">
        <v>13184</v>
      </c>
      <c r="B5662" s="1">
        <v>1</v>
      </c>
      <c r="C5662" s="1">
        <v>3</v>
      </c>
      <c r="D5662" s="1">
        <v>8.3999999999999986</v>
      </c>
    </row>
    <row r="5663" spans="1:4" x14ac:dyDescent="0.25">
      <c r="A5663" s="16">
        <v>13185</v>
      </c>
      <c r="B5663" s="1">
        <v>1</v>
      </c>
      <c r="C5663" s="1">
        <v>1</v>
      </c>
      <c r="D5663" s="1">
        <v>8.8000000000000007</v>
      </c>
    </row>
    <row r="5664" spans="1:4" x14ac:dyDescent="0.25">
      <c r="A5664" s="16">
        <v>13186</v>
      </c>
      <c r="B5664" s="1">
        <v>1</v>
      </c>
      <c r="C5664" s="1">
        <v>1</v>
      </c>
      <c r="D5664" s="1">
        <v>8</v>
      </c>
    </row>
    <row r="5665" spans="1:4" x14ac:dyDescent="0.25">
      <c r="A5665" s="16">
        <v>13187</v>
      </c>
      <c r="B5665" s="1">
        <v>1</v>
      </c>
      <c r="C5665" s="1">
        <v>1</v>
      </c>
      <c r="D5665" s="1">
        <v>6</v>
      </c>
    </row>
    <row r="5666" spans="1:4" x14ac:dyDescent="0.25">
      <c r="A5666" s="16">
        <v>13188</v>
      </c>
      <c r="B5666" s="1">
        <v>1</v>
      </c>
      <c r="C5666" s="1">
        <v>1</v>
      </c>
      <c r="D5666" s="1">
        <v>51.64</v>
      </c>
    </row>
    <row r="5667" spans="1:4" x14ac:dyDescent="0.25">
      <c r="A5667" s="16">
        <v>13189</v>
      </c>
      <c r="B5667" s="1">
        <v>1</v>
      </c>
      <c r="C5667" s="1">
        <v>3</v>
      </c>
      <c r="D5667" s="1">
        <v>8.3999999999999986</v>
      </c>
    </row>
    <row r="5668" spans="1:4" x14ac:dyDescent="0.25">
      <c r="A5668" s="16">
        <v>13190</v>
      </c>
      <c r="B5668" s="1">
        <v>1</v>
      </c>
      <c r="C5668" s="1">
        <v>1</v>
      </c>
      <c r="D5668" s="1">
        <v>36</v>
      </c>
    </row>
    <row r="5669" spans="1:4" x14ac:dyDescent="0.25">
      <c r="A5669" s="16">
        <v>13191</v>
      </c>
      <c r="B5669" s="1">
        <v>1</v>
      </c>
      <c r="C5669" s="1">
        <v>1</v>
      </c>
      <c r="D5669" s="1">
        <v>51.64</v>
      </c>
    </row>
    <row r="5670" spans="1:4" x14ac:dyDescent="0.25">
      <c r="A5670" s="16">
        <v>13192</v>
      </c>
      <c r="B5670" s="1">
        <v>1</v>
      </c>
      <c r="C5670" s="1">
        <v>3</v>
      </c>
      <c r="D5670" s="1">
        <v>7.1999999999999993</v>
      </c>
    </row>
    <row r="5671" spans="1:4" x14ac:dyDescent="0.25">
      <c r="A5671" s="16">
        <v>13193</v>
      </c>
      <c r="B5671" s="1">
        <v>1</v>
      </c>
      <c r="C5671" s="1">
        <v>1</v>
      </c>
      <c r="D5671" s="1">
        <v>10</v>
      </c>
    </row>
    <row r="5672" spans="1:4" x14ac:dyDescent="0.25">
      <c r="A5672" s="16">
        <v>13194</v>
      </c>
      <c r="B5672" s="1">
        <v>1</v>
      </c>
      <c r="C5672" s="1">
        <v>1</v>
      </c>
      <c r="D5672" s="1">
        <v>14</v>
      </c>
    </row>
    <row r="5673" spans="1:4" x14ac:dyDescent="0.25">
      <c r="A5673" s="16">
        <v>13195</v>
      </c>
      <c r="B5673" s="1">
        <v>1</v>
      </c>
      <c r="C5673" s="1">
        <v>3</v>
      </c>
      <c r="D5673" s="1">
        <v>8.3999999999999986</v>
      </c>
    </row>
    <row r="5674" spans="1:4" x14ac:dyDescent="0.25">
      <c r="A5674" s="16">
        <v>13196</v>
      </c>
      <c r="B5674" s="1">
        <v>1</v>
      </c>
      <c r="C5674" s="1">
        <v>1</v>
      </c>
      <c r="D5674" s="1">
        <v>6</v>
      </c>
    </row>
    <row r="5675" spans="1:4" x14ac:dyDescent="0.25">
      <c r="A5675" s="16">
        <v>13197</v>
      </c>
      <c r="B5675" s="1">
        <v>1</v>
      </c>
      <c r="C5675" s="1">
        <v>1</v>
      </c>
      <c r="D5675" s="1">
        <v>51.64</v>
      </c>
    </row>
    <row r="5676" spans="1:4" x14ac:dyDescent="0.25">
      <c r="A5676" s="16">
        <v>13198</v>
      </c>
      <c r="B5676" s="1">
        <v>1</v>
      </c>
      <c r="C5676" s="1">
        <v>1</v>
      </c>
      <c r="D5676" s="1">
        <v>8</v>
      </c>
    </row>
    <row r="5677" spans="1:4" x14ac:dyDescent="0.25">
      <c r="A5677" s="16">
        <v>13199</v>
      </c>
      <c r="B5677" s="1">
        <v>1</v>
      </c>
      <c r="C5677" s="1">
        <v>1</v>
      </c>
      <c r="D5677" s="1">
        <v>51.64</v>
      </c>
    </row>
    <row r="5678" spans="1:4" x14ac:dyDescent="0.25">
      <c r="A5678" s="16">
        <v>13200</v>
      </c>
      <c r="B5678" s="1">
        <v>1</v>
      </c>
      <c r="C5678" s="1">
        <v>1</v>
      </c>
      <c r="D5678" s="1">
        <v>10</v>
      </c>
    </row>
    <row r="5679" spans="1:4" x14ac:dyDescent="0.25">
      <c r="A5679" s="16">
        <v>13201</v>
      </c>
      <c r="B5679" s="1">
        <v>1</v>
      </c>
      <c r="C5679" s="1">
        <v>1</v>
      </c>
      <c r="D5679" s="1">
        <v>7.6</v>
      </c>
    </row>
    <row r="5680" spans="1:4" x14ac:dyDescent="0.25">
      <c r="A5680" s="16">
        <v>13202</v>
      </c>
      <c r="B5680" s="1">
        <v>1</v>
      </c>
      <c r="C5680" s="1">
        <v>2</v>
      </c>
      <c r="D5680" s="1">
        <v>4.8</v>
      </c>
    </row>
    <row r="5681" spans="1:4" x14ac:dyDescent="0.25">
      <c r="A5681" s="16">
        <v>13203</v>
      </c>
      <c r="B5681" s="1">
        <v>1</v>
      </c>
      <c r="C5681" s="1">
        <v>1</v>
      </c>
      <c r="D5681" s="1">
        <v>42</v>
      </c>
    </row>
    <row r="5682" spans="1:4" x14ac:dyDescent="0.25">
      <c r="A5682" s="16">
        <v>13204</v>
      </c>
      <c r="B5682" s="1">
        <v>1</v>
      </c>
      <c r="C5682" s="1">
        <v>2</v>
      </c>
      <c r="D5682" s="1">
        <v>5.6</v>
      </c>
    </row>
    <row r="5683" spans="1:4" x14ac:dyDescent="0.25">
      <c r="A5683" s="16">
        <v>13205</v>
      </c>
      <c r="B5683" s="1">
        <v>1</v>
      </c>
      <c r="C5683" s="1">
        <v>1</v>
      </c>
      <c r="D5683" s="1">
        <v>8.8000000000000007</v>
      </c>
    </row>
    <row r="5684" spans="1:4" x14ac:dyDescent="0.25">
      <c r="A5684" s="16">
        <v>13206</v>
      </c>
      <c r="B5684" s="1">
        <v>1</v>
      </c>
      <c r="C5684" s="1">
        <v>1</v>
      </c>
      <c r="D5684" s="1">
        <v>8</v>
      </c>
    </row>
    <row r="5685" spans="1:4" x14ac:dyDescent="0.25">
      <c r="A5685" s="16">
        <v>13207</v>
      </c>
      <c r="B5685" s="1">
        <v>1</v>
      </c>
      <c r="C5685" s="1">
        <v>1</v>
      </c>
      <c r="D5685" s="1">
        <v>6</v>
      </c>
    </row>
    <row r="5686" spans="1:4" x14ac:dyDescent="0.25">
      <c r="A5686" s="16">
        <v>13208</v>
      </c>
      <c r="B5686" s="1">
        <v>1</v>
      </c>
      <c r="C5686" s="1">
        <v>1</v>
      </c>
      <c r="D5686" s="1">
        <v>51.64</v>
      </c>
    </row>
    <row r="5687" spans="1:4" x14ac:dyDescent="0.25">
      <c r="A5687" s="16">
        <v>13209</v>
      </c>
      <c r="B5687" s="1">
        <v>1</v>
      </c>
      <c r="C5687" s="1">
        <v>3</v>
      </c>
      <c r="D5687" s="1">
        <v>8.3999999999999986</v>
      </c>
    </row>
    <row r="5688" spans="1:4" x14ac:dyDescent="0.25">
      <c r="A5688" s="16">
        <v>13210</v>
      </c>
      <c r="B5688" s="1">
        <v>1</v>
      </c>
      <c r="C5688" s="1">
        <v>1</v>
      </c>
      <c r="D5688" s="1">
        <v>6</v>
      </c>
    </row>
    <row r="5689" spans="1:4" x14ac:dyDescent="0.25">
      <c r="A5689" s="16">
        <v>13211</v>
      </c>
      <c r="B5689" s="1">
        <v>1</v>
      </c>
      <c r="C5689" s="1">
        <v>2</v>
      </c>
      <c r="D5689" s="1">
        <v>5.6</v>
      </c>
    </row>
    <row r="5690" spans="1:4" x14ac:dyDescent="0.25">
      <c r="A5690" s="16">
        <v>13212</v>
      </c>
      <c r="B5690" s="1">
        <v>1</v>
      </c>
      <c r="C5690" s="1">
        <v>1</v>
      </c>
      <c r="D5690" s="1">
        <v>8</v>
      </c>
    </row>
    <row r="5691" spans="1:4" x14ac:dyDescent="0.25">
      <c r="A5691" s="16">
        <v>13213</v>
      </c>
      <c r="B5691" s="1">
        <v>1</v>
      </c>
      <c r="C5691" s="1">
        <v>1</v>
      </c>
      <c r="D5691" s="1">
        <v>8.8000000000000007</v>
      </c>
    </row>
    <row r="5692" spans="1:4" x14ac:dyDescent="0.25">
      <c r="A5692" s="16">
        <v>13214</v>
      </c>
      <c r="B5692" s="1">
        <v>1</v>
      </c>
      <c r="C5692" s="1">
        <v>1</v>
      </c>
      <c r="D5692" s="1">
        <v>51.64</v>
      </c>
    </row>
    <row r="5693" spans="1:4" x14ac:dyDescent="0.25">
      <c r="A5693" s="16">
        <v>13215</v>
      </c>
      <c r="B5693" s="1">
        <v>1</v>
      </c>
      <c r="C5693" s="1">
        <v>2</v>
      </c>
      <c r="D5693" s="1">
        <v>4.8</v>
      </c>
    </row>
    <row r="5694" spans="1:4" x14ac:dyDescent="0.25">
      <c r="A5694" s="16">
        <v>13216</v>
      </c>
      <c r="B5694" s="1">
        <v>1</v>
      </c>
      <c r="C5694" s="1">
        <v>3</v>
      </c>
      <c r="D5694" s="1">
        <v>8.3999999999999986</v>
      </c>
    </row>
    <row r="5695" spans="1:4" x14ac:dyDescent="0.25">
      <c r="A5695" s="16">
        <v>13217</v>
      </c>
      <c r="B5695" s="1">
        <v>1</v>
      </c>
      <c r="C5695" s="1">
        <v>1</v>
      </c>
      <c r="D5695" s="1">
        <v>6</v>
      </c>
    </row>
    <row r="5696" spans="1:4" x14ac:dyDescent="0.25">
      <c r="A5696" s="16">
        <v>13218</v>
      </c>
      <c r="B5696" s="1">
        <v>1</v>
      </c>
      <c r="C5696" s="1">
        <v>1</v>
      </c>
      <c r="D5696" s="1">
        <v>51.64</v>
      </c>
    </row>
    <row r="5697" spans="1:4" x14ac:dyDescent="0.25">
      <c r="A5697" s="16">
        <v>13219</v>
      </c>
      <c r="B5697" s="1">
        <v>1</v>
      </c>
      <c r="C5697" s="1">
        <v>1</v>
      </c>
      <c r="D5697" s="1">
        <v>42</v>
      </c>
    </row>
    <row r="5698" spans="1:4" x14ac:dyDescent="0.25">
      <c r="A5698" s="16">
        <v>13220</v>
      </c>
      <c r="B5698" s="1">
        <v>1</v>
      </c>
      <c r="C5698" s="1">
        <v>1</v>
      </c>
      <c r="D5698" s="1">
        <v>7.6</v>
      </c>
    </row>
    <row r="5699" spans="1:4" x14ac:dyDescent="0.25">
      <c r="A5699" s="16">
        <v>13221</v>
      </c>
      <c r="B5699" s="1">
        <v>1</v>
      </c>
      <c r="C5699" s="1">
        <v>1</v>
      </c>
      <c r="D5699" s="1">
        <v>10</v>
      </c>
    </row>
    <row r="5700" spans="1:4" x14ac:dyDescent="0.25">
      <c r="A5700" s="16">
        <v>13222</v>
      </c>
      <c r="B5700" s="1">
        <v>1</v>
      </c>
      <c r="C5700" s="1">
        <v>1</v>
      </c>
      <c r="D5700" s="1">
        <v>36</v>
      </c>
    </row>
    <row r="5701" spans="1:4" x14ac:dyDescent="0.25">
      <c r="A5701" s="16">
        <v>13223</v>
      </c>
      <c r="B5701" s="1">
        <v>1</v>
      </c>
      <c r="C5701" s="1">
        <v>3</v>
      </c>
      <c r="D5701" s="1">
        <v>8.3999999999999986</v>
      </c>
    </row>
    <row r="5702" spans="1:4" x14ac:dyDescent="0.25">
      <c r="A5702" s="16">
        <v>13224</v>
      </c>
      <c r="B5702" s="1">
        <v>1</v>
      </c>
      <c r="C5702" s="1">
        <v>1</v>
      </c>
      <c r="D5702" s="1">
        <v>6</v>
      </c>
    </row>
    <row r="5703" spans="1:4" x14ac:dyDescent="0.25">
      <c r="A5703" s="16">
        <v>13225</v>
      </c>
      <c r="B5703" s="1">
        <v>1</v>
      </c>
      <c r="C5703" s="1">
        <v>1</v>
      </c>
      <c r="D5703" s="1">
        <v>51.64</v>
      </c>
    </row>
    <row r="5704" spans="1:4" x14ac:dyDescent="0.25">
      <c r="A5704" s="16">
        <v>13226</v>
      </c>
      <c r="B5704" s="1">
        <v>1</v>
      </c>
      <c r="C5704" s="1">
        <v>1</v>
      </c>
      <c r="D5704" s="1">
        <v>8</v>
      </c>
    </row>
    <row r="5705" spans="1:4" x14ac:dyDescent="0.25">
      <c r="A5705" s="16">
        <v>13227</v>
      </c>
      <c r="B5705" s="1">
        <v>1</v>
      </c>
      <c r="C5705" s="1">
        <v>1</v>
      </c>
      <c r="D5705" s="1">
        <v>51.64</v>
      </c>
    </row>
    <row r="5706" spans="1:4" x14ac:dyDescent="0.25">
      <c r="A5706" s="16">
        <v>13228</v>
      </c>
      <c r="B5706" s="1">
        <v>1</v>
      </c>
      <c r="C5706" s="1">
        <v>1</v>
      </c>
      <c r="D5706" s="1">
        <v>7.6</v>
      </c>
    </row>
    <row r="5707" spans="1:4" x14ac:dyDescent="0.25">
      <c r="A5707" s="16">
        <v>13229</v>
      </c>
      <c r="B5707" s="1">
        <v>1</v>
      </c>
      <c r="C5707" s="1">
        <v>2</v>
      </c>
      <c r="D5707" s="1">
        <v>4.8</v>
      </c>
    </row>
    <row r="5708" spans="1:4" x14ac:dyDescent="0.25">
      <c r="A5708" s="16">
        <v>13230</v>
      </c>
      <c r="B5708" s="1">
        <v>1</v>
      </c>
      <c r="C5708" s="1">
        <v>1</v>
      </c>
      <c r="D5708" s="1">
        <v>42</v>
      </c>
    </row>
    <row r="5709" spans="1:4" x14ac:dyDescent="0.25">
      <c r="A5709" s="16">
        <v>13231</v>
      </c>
      <c r="B5709" s="1">
        <v>1</v>
      </c>
      <c r="C5709" s="1">
        <v>1</v>
      </c>
      <c r="D5709" s="1">
        <v>10</v>
      </c>
    </row>
    <row r="5710" spans="1:4" x14ac:dyDescent="0.25">
      <c r="A5710" s="16">
        <v>13232</v>
      </c>
      <c r="B5710" s="1">
        <v>1</v>
      </c>
      <c r="C5710" s="1">
        <v>1</v>
      </c>
      <c r="D5710" s="1">
        <v>14</v>
      </c>
    </row>
    <row r="5711" spans="1:4" x14ac:dyDescent="0.25">
      <c r="A5711" s="16">
        <v>13233</v>
      </c>
      <c r="B5711" s="1">
        <v>1</v>
      </c>
      <c r="C5711" s="1">
        <v>3</v>
      </c>
      <c r="D5711" s="1">
        <v>8.3999999999999986</v>
      </c>
    </row>
    <row r="5712" spans="1:4" x14ac:dyDescent="0.25">
      <c r="A5712" s="16">
        <v>13234</v>
      </c>
      <c r="B5712" s="1">
        <v>1</v>
      </c>
      <c r="C5712" s="1">
        <v>1</v>
      </c>
      <c r="D5712" s="1">
        <v>8.8000000000000007</v>
      </c>
    </row>
    <row r="5713" spans="1:4" x14ac:dyDescent="0.25">
      <c r="A5713" s="16">
        <v>13235</v>
      </c>
      <c r="B5713" s="1">
        <v>1</v>
      </c>
      <c r="C5713" s="1">
        <v>1</v>
      </c>
      <c r="D5713" s="1">
        <v>8</v>
      </c>
    </row>
    <row r="5714" spans="1:4" x14ac:dyDescent="0.25">
      <c r="A5714" s="16">
        <v>13236</v>
      </c>
      <c r="B5714" s="1">
        <v>1</v>
      </c>
      <c r="C5714" s="1">
        <v>1</v>
      </c>
      <c r="D5714" s="1">
        <v>51.64</v>
      </c>
    </row>
    <row r="5715" spans="1:4" x14ac:dyDescent="0.25">
      <c r="A5715" s="16">
        <v>13237</v>
      </c>
      <c r="B5715" s="1">
        <v>1</v>
      </c>
      <c r="C5715" s="1">
        <v>2</v>
      </c>
      <c r="D5715" s="1">
        <v>4.8</v>
      </c>
    </row>
    <row r="5716" spans="1:4" x14ac:dyDescent="0.25">
      <c r="A5716" s="16">
        <v>13238</v>
      </c>
      <c r="B5716" s="1">
        <v>1</v>
      </c>
      <c r="C5716" s="1">
        <v>1</v>
      </c>
      <c r="D5716" s="1">
        <v>36</v>
      </c>
    </row>
    <row r="5717" spans="1:4" x14ac:dyDescent="0.25">
      <c r="A5717" s="16">
        <v>13239</v>
      </c>
      <c r="B5717" s="1">
        <v>1</v>
      </c>
      <c r="C5717" s="1">
        <v>1</v>
      </c>
      <c r="D5717" s="1">
        <v>6</v>
      </c>
    </row>
    <row r="5718" spans="1:4" x14ac:dyDescent="0.25">
      <c r="A5718" s="16">
        <v>13240</v>
      </c>
      <c r="B5718" s="1">
        <v>1</v>
      </c>
      <c r="C5718" s="1">
        <v>3</v>
      </c>
      <c r="D5718" s="1">
        <v>8.3999999999999986</v>
      </c>
    </row>
    <row r="5719" spans="1:4" x14ac:dyDescent="0.25">
      <c r="A5719" s="16">
        <v>13241</v>
      </c>
      <c r="B5719" s="1">
        <v>1</v>
      </c>
      <c r="C5719" s="1">
        <v>1</v>
      </c>
      <c r="D5719" s="1">
        <v>7.6</v>
      </c>
    </row>
    <row r="5720" spans="1:4" x14ac:dyDescent="0.25">
      <c r="A5720" s="16">
        <v>13242</v>
      </c>
      <c r="B5720" s="1">
        <v>1</v>
      </c>
      <c r="C5720" s="1">
        <v>1</v>
      </c>
      <c r="D5720" s="1">
        <v>8</v>
      </c>
    </row>
    <row r="5721" spans="1:4" x14ac:dyDescent="0.25">
      <c r="A5721" s="16">
        <v>13243</v>
      </c>
      <c r="B5721" s="1">
        <v>1</v>
      </c>
      <c r="C5721" s="1">
        <v>1</v>
      </c>
      <c r="D5721" s="1">
        <v>42</v>
      </c>
    </row>
    <row r="5722" spans="1:4" x14ac:dyDescent="0.25">
      <c r="A5722" s="16">
        <v>13244</v>
      </c>
      <c r="B5722" s="1">
        <v>1</v>
      </c>
      <c r="C5722" s="1">
        <v>2</v>
      </c>
      <c r="D5722" s="1">
        <v>4.8</v>
      </c>
    </row>
    <row r="5723" spans="1:4" x14ac:dyDescent="0.25">
      <c r="A5723" s="16">
        <v>13245</v>
      </c>
      <c r="B5723" s="1">
        <v>1</v>
      </c>
      <c r="C5723" s="1">
        <v>1</v>
      </c>
      <c r="D5723" s="1">
        <v>10</v>
      </c>
    </row>
    <row r="5724" spans="1:4" x14ac:dyDescent="0.25">
      <c r="A5724" s="16">
        <v>13246</v>
      </c>
      <c r="B5724" s="1">
        <v>1</v>
      </c>
      <c r="C5724" s="1">
        <v>1</v>
      </c>
      <c r="D5724" s="1">
        <v>6</v>
      </c>
    </row>
    <row r="5725" spans="1:4" x14ac:dyDescent="0.25">
      <c r="A5725" s="16">
        <v>13247</v>
      </c>
      <c r="B5725" s="1">
        <v>1</v>
      </c>
      <c r="C5725" s="1">
        <v>3</v>
      </c>
      <c r="D5725" s="1">
        <v>8.3999999999999986</v>
      </c>
    </row>
    <row r="5726" spans="1:4" x14ac:dyDescent="0.25">
      <c r="A5726" s="16">
        <v>13248</v>
      </c>
      <c r="B5726" s="1">
        <v>1</v>
      </c>
      <c r="C5726" s="1">
        <v>1</v>
      </c>
      <c r="D5726" s="1">
        <v>8.8000000000000007</v>
      </c>
    </row>
    <row r="5727" spans="1:4" x14ac:dyDescent="0.25">
      <c r="A5727" s="16">
        <v>13249</v>
      </c>
      <c r="B5727" s="1">
        <v>1</v>
      </c>
      <c r="C5727" s="1">
        <v>1</v>
      </c>
      <c r="D5727" s="1">
        <v>8</v>
      </c>
    </row>
    <row r="5728" spans="1:4" x14ac:dyDescent="0.25">
      <c r="A5728" s="16">
        <v>13250</v>
      </c>
      <c r="B5728" s="1">
        <v>1</v>
      </c>
      <c r="C5728" s="1">
        <v>1</v>
      </c>
      <c r="D5728" s="1">
        <v>51.64</v>
      </c>
    </row>
    <row r="5729" spans="1:4" x14ac:dyDescent="0.25">
      <c r="A5729" s="16">
        <v>13251</v>
      </c>
      <c r="B5729" s="1">
        <v>1</v>
      </c>
      <c r="C5729" s="1">
        <v>1</v>
      </c>
      <c r="D5729" s="1">
        <v>14</v>
      </c>
    </row>
    <row r="5730" spans="1:4" x14ac:dyDescent="0.25">
      <c r="A5730" s="16">
        <v>13252</v>
      </c>
      <c r="B5730" s="1">
        <v>1</v>
      </c>
      <c r="C5730" s="1">
        <v>3</v>
      </c>
      <c r="D5730" s="1">
        <v>8.3999999999999986</v>
      </c>
    </row>
    <row r="5731" spans="1:4" x14ac:dyDescent="0.25">
      <c r="A5731" s="16">
        <v>13253</v>
      </c>
      <c r="B5731" s="1">
        <v>1</v>
      </c>
      <c r="C5731" s="1">
        <v>1</v>
      </c>
      <c r="D5731" s="1">
        <v>6</v>
      </c>
    </row>
    <row r="5732" spans="1:4" x14ac:dyDescent="0.25">
      <c r="A5732" s="16">
        <v>13254</v>
      </c>
      <c r="B5732" s="1">
        <v>1</v>
      </c>
      <c r="C5732" s="1">
        <v>1</v>
      </c>
      <c r="D5732" s="1">
        <v>51.64</v>
      </c>
    </row>
    <row r="5733" spans="1:4" x14ac:dyDescent="0.25">
      <c r="A5733" s="16">
        <v>13255</v>
      </c>
      <c r="B5733" s="1">
        <v>1</v>
      </c>
      <c r="C5733" s="1">
        <v>1</v>
      </c>
      <c r="D5733" s="1">
        <v>8</v>
      </c>
    </row>
    <row r="5734" spans="1:4" x14ac:dyDescent="0.25">
      <c r="A5734" s="16">
        <v>13256</v>
      </c>
      <c r="B5734" s="1">
        <v>1</v>
      </c>
      <c r="C5734" s="1">
        <v>1</v>
      </c>
      <c r="D5734" s="1">
        <v>51.64</v>
      </c>
    </row>
    <row r="5735" spans="1:4" x14ac:dyDescent="0.25">
      <c r="A5735" s="16">
        <v>13257</v>
      </c>
      <c r="B5735" s="1">
        <v>1</v>
      </c>
      <c r="C5735" s="1">
        <v>2</v>
      </c>
      <c r="D5735" s="1">
        <v>4.8</v>
      </c>
    </row>
    <row r="5736" spans="1:4" x14ac:dyDescent="0.25">
      <c r="A5736" s="16">
        <v>13258</v>
      </c>
      <c r="B5736" s="1">
        <v>1</v>
      </c>
      <c r="C5736" s="1">
        <v>1</v>
      </c>
      <c r="D5736" s="1">
        <v>42</v>
      </c>
    </row>
    <row r="5737" spans="1:4" x14ac:dyDescent="0.25">
      <c r="A5737" s="16">
        <v>13259</v>
      </c>
      <c r="B5737" s="1">
        <v>1</v>
      </c>
      <c r="C5737" s="1">
        <v>1</v>
      </c>
      <c r="D5737" s="1">
        <v>10</v>
      </c>
    </row>
    <row r="5738" spans="1:4" x14ac:dyDescent="0.25">
      <c r="A5738" s="16">
        <v>13260</v>
      </c>
      <c r="B5738" s="1">
        <v>1</v>
      </c>
      <c r="C5738" s="1">
        <v>1</v>
      </c>
      <c r="D5738" s="1">
        <v>7.6</v>
      </c>
    </row>
    <row r="5739" spans="1:4" x14ac:dyDescent="0.25">
      <c r="A5739" s="16">
        <v>13261</v>
      </c>
      <c r="B5739" s="1">
        <v>1</v>
      </c>
      <c r="C5739" s="1">
        <v>2</v>
      </c>
      <c r="D5739" s="1">
        <v>5.6</v>
      </c>
    </row>
    <row r="5740" spans="1:4" x14ac:dyDescent="0.25">
      <c r="A5740" s="16">
        <v>13262</v>
      </c>
      <c r="B5740" s="1">
        <v>1</v>
      </c>
      <c r="C5740" s="1">
        <v>1</v>
      </c>
      <c r="D5740" s="1">
        <v>8.8000000000000007</v>
      </c>
    </row>
    <row r="5741" spans="1:4" x14ac:dyDescent="0.25">
      <c r="A5741" s="16">
        <v>13263</v>
      </c>
      <c r="B5741" s="1">
        <v>1</v>
      </c>
      <c r="C5741" s="1">
        <v>1</v>
      </c>
      <c r="D5741" s="1">
        <v>8</v>
      </c>
    </row>
    <row r="5742" spans="1:4" x14ac:dyDescent="0.25">
      <c r="A5742" s="16">
        <v>13264</v>
      </c>
      <c r="B5742" s="1">
        <v>1</v>
      </c>
      <c r="C5742" s="1">
        <v>1</v>
      </c>
      <c r="D5742" s="1">
        <v>51.64</v>
      </c>
    </row>
    <row r="5743" spans="1:4" x14ac:dyDescent="0.25">
      <c r="A5743" s="16">
        <v>13265</v>
      </c>
      <c r="B5743" s="1">
        <v>1</v>
      </c>
      <c r="C5743" s="1">
        <v>2</v>
      </c>
      <c r="D5743" s="1">
        <v>4.8</v>
      </c>
    </row>
    <row r="5744" spans="1:4" x14ac:dyDescent="0.25">
      <c r="A5744" s="16">
        <v>13266</v>
      </c>
      <c r="B5744" s="1">
        <v>1</v>
      </c>
      <c r="C5744" s="1">
        <v>1</v>
      </c>
      <c r="D5744" s="1">
        <v>36</v>
      </c>
    </row>
    <row r="5745" spans="1:4" x14ac:dyDescent="0.25">
      <c r="A5745" s="16">
        <v>13267</v>
      </c>
      <c r="B5745" s="1">
        <v>1</v>
      </c>
      <c r="C5745" s="1">
        <v>3</v>
      </c>
      <c r="D5745" s="1">
        <v>8.3999999999999986</v>
      </c>
    </row>
    <row r="5746" spans="1:4" x14ac:dyDescent="0.25">
      <c r="A5746" s="16">
        <v>13268</v>
      </c>
      <c r="B5746" s="1">
        <v>1</v>
      </c>
      <c r="C5746" s="1">
        <v>1</v>
      </c>
      <c r="D5746" s="1">
        <v>6</v>
      </c>
    </row>
    <row r="5747" spans="1:4" x14ac:dyDescent="0.25">
      <c r="A5747" s="16">
        <v>13269</v>
      </c>
      <c r="B5747" s="1">
        <v>1</v>
      </c>
      <c r="C5747" s="1">
        <v>1</v>
      </c>
      <c r="D5747" s="1">
        <v>51.64</v>
      </c>
    </row>
    <row r="5748" spans="1:4" x14ac:dyDescent="0.25">
      <c r="A5748" s="16">
        <v>13270</v>
      </c>
      <c r="B5748" s="1">
        <v>1</v>
      </c>
      <c r="C5748" s="1">
        <v>1</v>
      </c>
      <c r="D5748" s="1">
        <v>8</v>
      </c>
    </row>
    <row r="5749" spans="1:4" x14ac:dyDescent="0.25">
      <c r="A5749" s="16">
        <v>13271</v>
      </c>
      <c r="B5749" s="1">
        <v>1</v>
      </c>
      <c r="C5749" s="1">
        <v>1</v>
      </c>
      <c r="D5749" s="1">
        <v>51.64</v>
      </c>
    </row>
    <row r="5750" spans="1:4" x14ac:dyDescent="0.25">
      <c r="A5750" s="16">
        <v>13272</v>
      </c>
      <c r="B5750" s="1">
        <v>1</v>
      </c>
      <c r="C5750" s="1">
        <v>1</v>
      </c>
      <c r="D5750" s="1">
        <v>10</v>
      </c>
    </row>
    <row r="5751" spans="1:4" x14ac:dyDescent="0.25">
      <c r="A5751" s="16">
        <v>13273</v>
      </c>
      <c r="B5751" s="1">
        <v>1</v>
      </c>
      <c r="C5751" s="1">
        <v>1</v>
      </c>
      <c r="D5751" s="1">
        <v>7.6</v>
      </c>
    </row>
    <row r="5752" spans="1:4" x14ac:dyDescent="0.25">
      <c r="A5752" s="16">
        <v>13274</v>
      </c>
      <c r="B5752" s="1">
        <v>1</v>
      </c>
      <c r="C5752" s="1">
        <v>2</v>
      </c>
      <c r="D5752" s="1">
        <v>4.8</v>
      </c>
    </row>
    <row r="5753" spans="1:4" x14ac:dyDescent="0.25">
      <c r="A5753" s="16">
        <v>13275</v>
      </c>
      <c r="B5753" s="1">
        <v>1</v>
      </c>
      <c r="C5753" s="1">
        <v>1</v>
      </c>
      <c r="D5753" s="1">
        <v>42</v>
      </c>
    </row>
    <row r="5754" spans="1:4" x14ac:dyDescent="0.25">
      <c r="A5754" s="16">
        <v>13276</v>
      </c>
      <c r="B5754" s="1">
        <v>1</v>
      </c>
      <c r="C5754" s="1">
        <v>3</v>
      </c>
      <c r="D5754" s="1">
        <v>8.3999999999999986</v>
      </c>
    </row>
    <row r="5755" spans="1:4" x14ac:dyDescent="0.25">
      <c r="A5755" s="16">
        <v>13277</v>
      </c>
      <c r="B5755" s="1">
        <v>1</v>
      </c>
      <c r="C5755" s="1">
        <v>1</v>
      </c>
      <c r="D5755" s="1">
        <v>8.8000000000000007</v>
      </c>
    </row>
    <row r="5756" spans="1:4" x14ac:dyDescent="0.25">
      <c r="A5756" s="16">
        <v>13278</v>
      </c>
      <c r="B5756" s="1">
        <v>1</v>
      </c>
      <c r="C5756" s="1">
        <v>1</v>
      </c>
      <c r="D5756" s="1">
        <v>8</v>
      </c>
    </row>
    <row r="5757" spans="1:4" x14ac:dyDescent="0.25">
      <c r="A5757" s="16">
        <v>13279</v>
      </c>
      <c r="B5757" s="1">
        <v>1</v>
      </c>
      <c r="C5757" s="1">
        <v>1</v>
      </c>
      <c r="D5757" s="1">
        <v>51.64</v>
      </c>
    </row>
    <row r="5758" spans="1:4" x14ac:dyDescent="0.25">
      <c r="A5758" s="16">
        <v>13280</v>
      </c>
      <c r="B5758" s="1">
        <v>1</v>
      </c>
      <c r="C5758" s="1">
        <v>2</v>
      </c>
      <c r="D5758" s="1">
        <v>4.8</v>
      </c>
    </row>
    <row r="5759" spans="1:4" x14ac:dyDescent="0.25">
      <c r="A5759" s="16">
        <v>13281</v>
      </c>
      <c r="B5759" s="1">
        <v>1</v>
      </c>
      <c r="C5759" s="1">
        <v>1</v>
      </c>
      <c r="D5759" s="1">
        <v>10</v>
      </c>
    </row>
    <row r="5760" spans="1:4" x14ac:dyDescent="0.25">
      <c r="A5760" s="16">
        <v>13282</v>
      </c>
      <c r="B5760" s="1">
        <v>1</v>
      </c>
      <c r="C5760" s="1">
        <v>1</v>
      </c>
      <c r="D5760" s="1">
        <v>14</v>
      </c>
    </row>
    <row r="5761" spans="1:4" x14ac:dyDescent="0.25">
      <c r="A5761" s="16">
        <v>13283</v>
      </c>
      <c r="B5761" s="1">
        <v>1</v>
      </c>
      <c r="C5761" s="1">
        <v>2</v>
      </c>
      <c r="D5761" s="1">
        <v>5.6</v>
      </c>
    </row>
    <row r="5762" spans="1:4" x14ac:dyDescent="0.25">
      <c r="A5762" s="16">
        <v>13284</v>
      </c>
      <c r="B5762" s="1">
        <v>1</v>
      </c>
      <c r="C5762" s="1">
        <v>1</v>
      </c>
      <c r="D5762" s="1">
        <v>6</v>
      </c>
    </row>
    <row r="5763" spans="1:4" x14ac:dyDescent="0.25">
      <c r="A5763" s="16">
        <v>13285</v>
      </c>
      <c r="B5763" s="1">
        <v>1</v>
      </c>
      <c r="C5763" s="1">
        <v>3</v>
      </c>
      <c r="D5763" s="1">
        <v>8.3999999999999986</v>
      </c>
    </row>
    <row r="5764" spans="1:4" x14ac:dyDescent="0.25">
      <c r="A5764" s="16">
        <v>13286</v>
      </c>
      <c r="B5764" s="1">
        <v>1</v>
      </c>
      <c r="C5764" s="1">
        <v>1</v>
      </c>
      <c r="D5764" s="1">
        <v>6</v>
      </c>
    </row>
    <row r="5765" spans="1:4" x14ac:dyDescent="0.25">
      <c r="A5765" s="16">
        <v>13287</v>
      </c>
      <c r="B5765" s="1">
        <v>1</v>
      </c>
      <c r="C5765" s="1">
        <v>1</v>
      </c>
      <c r="D5765" s="1">
        <v>51.64</v>
      </c>
    </row>
    <row r="5766" spans="1:4" x14ac:dyDescent="0.25">
      <c r="A5766" s="16">
        <v>13288</v>
      </c>
      <c r="B5766" s="1">
        <v>1</v>
      </c>
      <c r="C5766" s="1">
        <v>1</v>
      </c>
      <c r="D5766" s="1">
        <v>8</v>
      </c>
    </row>
    <row r="5767" spans="1:4" x14ac:dyDescent="0.25">
      <c r="A5767" s="16">
        <v>13289</v>
      </c>
      <c r="B5767" s="1">
        <v>1</v>
      </c>
      <c r="C5767" s="1">
        <v>1</v>
      </c>
      <c r="D5767" s="1">
        <v>51.64</v>
      </c>
    </row>
    <row r="5768" spans="1:4" x14ac:dyDescent="0.25">
      <c r="A5768" s="16">
        <v>13290</v>
      </c>
      <c r="B5768" s="1">
        <v>1</v>
      </c>
      <c r="C5768" s="1">
        <v>1</v>
      </c>
      <c r="D5768" s="1">
        <v>7.6</v>
      </c>
    </row>
    <row r="5769" spans="1:4" x14ac:dyDescent="0.25">
      <c r="A5769" s="16">
        <v>13291</v>
      </c>
      <c r="B5769" s="1">
        <v>1</v>
      </c>
      <c r="C5769" s="1">
        <v>2</v>
      </c>
      <c r="D5769" s="1">
        <v>4.8</v>
      </c>
    </row>
    <row r="5770" spans="1:4" x14ac:dyDescent="0.25">
      <c r="A5770" s="16">
        <v>13292</v>
      </c>
      <c r="B5770" s="1">
        <v>1</v>
      </c>
      <c r="C5770" s="1">
        <v>1</v>
      </c>
      <c r="D5770" s="1">
        <v>42</v>
      </c>
    </row>
    <row r="5771" spans="1:4" x14ac:dyDescent="0.25">
      <c r="A5771" s="16">
        <v>13293</v>
      </c>
      <c r="B5771" s="1">
        <v>1</v>
      </c>
      <c r="C5771" s="1">
        <v>1</v>
      </c>
      <c r="D5771" s="1">
        <v>10</v>
      </c>
    </row>
    <row r="5772" spans="1:4" x14ac:dyDescent="0.25">
      <c r="A5772" s="16">
        <v>13294</v>
      </c>
      <c r="B5772" s="1">
        <v>1</v>
      </c>
      <c r="C5772" s="1">
        <v>1</v>
      </c>
      <c r="D5772" s="1">
        <v>14</v>
      </c>
    </row>
    <row r="5773" spans="1:4" x14ac:dyDescent="0.25">
      <c r="A5773" s="16">
        <v>13295</v>
      </c>
      <c r="B5773" s="1">
        <v>1</v>
      </c>
      <c r="C5773" s="1">
        <v>2</v>
      </c>
      <c r="D5773" s="1">
        <v>5.6</v>
      </c>
    </row>
    <row r="5774" spans="1:4" x14ac:dyDescent="0.25">
      <c r="A5774" s="16">
        <v>13296</v>
      </c>
      <c r="B5774" s="1">
        <v>1</v>
      </c>
      <c r="C5774" s="1">
        <v>1</v>
      </c>
      <c r="D5774" s="1">
        <v>8.8000000000000007</v>
      </c>
    </row>
    <row r="5775" spans="1:4" x14ac:dyDescent="0.25">
      <c r="A5775" s="16">
        <v>13297</v>
      </c>
      <c r="B5775" s="1">
        <v>1</v>
      </c>
      <c r="C5775" s="1">
        <v>1</v>
      </c>
      <c r="D5775" s="1">
        <v>8</v>
      </c>
    </row>
    <row r="5776" spans="1:4" x14ac:dyDescent="0.25">
      <c r="A5776" s="16">
        <v>13298</v>
      </c>
      <c r="B5776" s="1">
        <v>1</v>
      </c>
      <c r="C5776" s="1">
        <v>1</v>
      </c>
      <c r="D5776" s="1">
        <v>51.64</v>
      </c>
    </row>
    <row r="5777" spans="1:4" x14ac:dyDescent="0.25">
      <c r="A5777" s="16">
        <v>13299</v>
      </c>
      <c r="B5777" s="1">
        <v>1</v>
      </c>
      <c r="C5777" s="1">
        <v>3</v>
      </c>
      <c r="D5777" s="1">
        <v>7.1999999999999993</v>
      </c>
    </row>
    <row r="5778" spans="1:4" x14ac:dyDescent="0.25">
      <c r="A5778" s="16">
        <v>13300</v>
      </c>
      <c r="B5778" s="1">
        <v>1</v>
      </c>
      <c r="C5778" s="1">
        <v>1</v>
      </c>
      <c r="D5778" s="1">
        <v>36</v>
      </c>
    </row>
    <row r="5779" spans="1:4" x14ac:dyDescent="0.25">
      <c r="A5779" s="16">
        <v>13301</v>
      </c>
      <c r="B5779" s="1">
        <v>1</v>
      </c>
      <c r="C5779" s="1">
        <v>1</v>
      </c>
      <c r="D5779" s="1">
        <v>6</v>
      </c>
    </row>
    <row r="5780" spans="1:4" x14ac:dyDescent="0.25">
      <c r="A5780" s="16">
        <v>13302</v>
      </c>
      <c r="B5780" s="1">
        <v>1</v>
      </c>
      <c r="C5780" s="1">
        <v>3</v>
      </c>
      <c r="D5780" s="1">
        <v>8.3999999999999986</v>
      </c>
    </row>
    <row r="5781" spans="1:4" x14ac:dyDescent="0.25">
      <c r="A5781" s="16">
        <v>13303</v>
      </c>
      <c r="B5781" s="1">
        <v>1</v>
      </c>
      <c r="C5781" s="1">
        <v>1</v>
      </c>
      <c r="D5781" s="1">
        <v>8</v>
      </c>
    </row>
    <row r="5782" spans="1:4" x14ac:dyDescent="0.25">
      <c r="A5782" s="16">
        <v>13304</v>
      </c>
      <c r="B5782" s="1">
        <v>1</v>
      </c>
      <c r="C5782" s="1">
        <v>1</v>
      </c>
      <c r="D5782" s="1">
        <v>51.64</v>
      </c>
    </row>
    <row r="5783" spans="1:4" x14ac:dyDescent="0.25">
      <c r="A5783" s="16">
        <v>13305</v>
      </c>
      <c r="B5783" s="1">
        <v>1</v>
      </c>
      <c r="C5783" s="1">
        <v>1</v>
      </c>
      <c r="D5783" s="1">
        <v>51.64</v>
      </c>
    </row>
    <row r="5784" spans="1:4" x14ac:dyDescent="0.25">
      <c r="A5784" s="16">
        <v>13306</v>
      </c>
      <c r="B5784" s="1">
        <v>1</v>
      </c>
      <c r="C5784" s="1">
        <v>3</v>
      </c>
      <c r="D5784" s="1">
        <v>8.3999999999999986</v>
      </c>
    </row>
    <row r="5785" spans="1:4" x14ac:dyDescent="0.25">
      <c r="A5785" s="16">
        <v>13307</v>
      </c>
      <c r="B5785" s="1">
        <v>1</v>
      </c>
      <c r="C5785" s="1">
        <v>1</v>
      </c>
      <c r="D5785" s="1">
        <v>6</v>
      </c>
    </row>
    <row r="5786" spans="1:4" x14ac:dyDescent="0.25">
      <c r="A5786" s="16">
        <v>13308</v>
      </c>
      <c r="B5786" s="1">
        <v>1</v>
      </c>
      <c r="C5786" s="1">
        <v>1</v>
      </c>
      <c r="D5786" s="1">
        <v>8.8000000000000007</v>
      </c>
    </row>
    <row r="5787" spans="1:4" x14ac:dyDescent="0.25">
      <c r="A5787" s="16">
        <v>13309</v>
      </c>
      <c r="B5787" s="1">
        <v>1</v>
      </c>
      <c r="C5787" s="1">
        <v>1</v>
      </c>
      <c r="D5787" s="1">
        <v>8</v>
      </c>
    </row>
    <row r="5788" spans="1:4" x14ac:dyDescent="0.25">
      <c r="A5788" s="16">
        <v>13310</v>
      </c>
      <c r="B5788" s="1">
        <v>1</v>
      </c>
      <c r="C5788" s="1">
        <v>1</v>
      </c>
      <c r="D5788" s="1">
        <v>7.6</v>
      </c>
    </row>
    <row r="5789" spans="1:4" x14ac:dyDescent="0.25">
      <c r="A5789" s="16">
        <v>13311</v>
      </c>
      <c r="B5789" s="1">
        <v>1</v>
      </c>
      <c r="C5789" s="1">
        <v>2</v>
      </c>
      <c r="D5789" s="1">
        <v>4.8</v>
      </c>
    </row>
    <row r="5790" spans="1:4" x14ac:dyDescent="0.25">
      <c r="A5790" s="16">
        <v>13312</v>
      </c>
      <c r="B5790" s="1">
        <v>1</v>
      </c>
      <c r="C5790" s="1">
        <v>1</v>
      </c>
      <c r="D5790" s="1">
        <v>42</v>
      </c>
    </row>
    <row r="5791" spans="1:4" x14ac:dyDescent="0.25">
      <c r="A5791" s="16">
        <v>13313</v>
      </c>
      <c r="B5791" s="1">
        <v>1</v>
      </c>
      <c r="C5791" s="1">
        <v>1</v>
      </c>
      <c r="D5791" s="1">
        <v>10</v>
      </c>
    </row>
    <row r="5792" spans="1:4" x14ac:dyDescent="0.25">
      <c r="A5792" s="16">
        <v>13314</v>
      </c>
      <c r="B5792" s="1">
        <v>1</v>
      </c>
      <c r="C5792" s="1">
        <v>1</v>
      </c>
      <c r="D5792" s="1">
        <v>14</v>
      </c>
    </row>
    <row r="5793" spans="1:4" x14ac:dyDescent="0.25">
      <c r="A5793" s="16">
        <v>13315</v>
      </c>
      <c r="B5793" s="1">
        <v>1</v>
      </c>
      <c r="C5793" s="1">
        <v>3</v>
      </c>
      <c r="D5793" s="1">
        <v>8.3999999999999986</v>
      </c>
    </row>
    <row r="5794" spans="1:4" x14ac:dyDescent="0.25">
      <c r="A5794" s="16">
        <v>13316</v>
      </c>
      <c r="B5794" s="1">
        <v>1</v>
      </c>
      <c r="C5794" s="1">
        <v>1</v>
      </c>
      <c r="D5794" s="1">
        <v>6</v>
      </c>
    </row>
    <row r="5795" spans="1:4" x14ac:dyDescent="0.25">
      <c r="A5795" s="16">
        <v>13317</v>
      </c>
      <c r="B5795" s="1">
        <v>1</v>
      </c>
      <c r="C5795" s="1">
        <v>1</v>
      </c>
      <c r="D5795" s="1">
        <v>51.64</v>
      </c>
    </row>
    <row r="5796" spans="1:4" x14ac:dyDescent="0.25">
      <c r="A5796" s="16">
        <v>13318</v>
      </c>
      <c r="B5796" s="1">
        <v>1</v>
      </c>
      <c r="C5796" s="1">
        <v>1</v>
      </c>
      <c r="D5796" s="1">
        <v>8</v>
      </c>
    </row>
    <row r="5797" spans="1:4" x14ac:dyDescent="0.25">
      <c r="A5797" s="16">
        <v>13319</v>
      </c>
      <c r="B5797" s="1">
        <v>1</v>
      </c>
      <c r="C5797" s="1">
        <v>1</v>
      </c>
      <c r="D5797" s="1">
        <v>51.64</v>
      </c>
    </row>
    <row r="5798" spans="1:4" x14ac:dyDescent="0.25">
      <c r="A5798" s="16">
        <v>13320</v>
      </c>
      <c r="B5798" s="1">
        <v>1</v>
      </c>
      <c r="C5798" s="1">
        <v>2</v>
      </c>
      <c r="D5798" s="1">
        <v>4.8</v>
      </c>
    </row>
    <row r="5799" spans="1:4" x14ac:dyDescent="0.25">
      <c r="A5799" s="16">
        <v>13321</v>
      </c>
      <c r="B5799" s="1">
        <v>1</v>
      </c>
      <c r="C5799" s="1">
        <v>3</v>
      </c>
      <c r="D5799" s="1">
        <v>8.3999999999999986</v>
      </c>
    </row>
    <row r="5800" spans="1:4" x14ac:dyDescent="0.25">
      <c r="A5800" s="16">
        <v>13322</v>
      </c>
      <c r="B5800" s="1">
        <v>1</v>
      </c>
      <c r="C5800" s="1">
        <v>1</v>
      </c>
      <c r="D5800" s="1">
        <v>6</v>
      </c>
    </row>
    <row r="5801" spans="1:4" x14ac:dyDescent="0.25">
      <c r="A5801" s="16">
        <v>13323</v>
      </c>
      <c r="B5801" s="1">
        <v>1</v>
      </c>
      <c r="C5801" s="1">
        <v>1</v>
      </c>
      <c r="D5801" s="1">
        <v>8.8000000000000007</v>
      </c>
    </row>
    <row r="5802" spans="1:4" x14ac:dyDescent="0.25">
      <c r="A5802" s="16">
        <v>13324</v>
      </c>
      <c r="B5802" s="1">
        <v>1</v>
      </c>
      <c r="C5802" s="1">
        <v>1</v>
      </c>
      <c r="D5802" s="1">
        <v>8</v>
      </c>
    </row>
    <row r="5803" spans="1:4" x14ac:dyDescent="0.25">
      <c r="A5803" s="16">
        <v>13325</v>
      </c>
      <c r="B5803" s="1">
        <v>1</v>
      </c>
      <c r="C5803" s="1">
        <v>1</v>
      </c>
      <c r="D5803" s="1">
        <v>7.6</v>
      </c>
    </row>
    <row r="5804" spans="1:4" x14ac:dyDescent="0.25">
      <c r="A5804" s="16">
        <v>13326</v>
      </c>
      <c r="B5804" s="1">
        <v>1</v>
      </c>
      <c r="C5804" s="1">
        <v>2</v>
      </c>
      <c r="D5804" s="1">
        <v>4.8</v>
      </c>
    </row>
    <row r="5805" spans="1:4" x14ac:dyDescent="0.25">
      <c r="A5805" s="16">
        <v>13327</v>
      </c>
      <c r="B5805" s="1">
        <v>1</v>
      </c>
      <c r="C5805" s="1">
        <v>1</v>
      </c>
      <c r="D5805" s="1">
        <v>42</v>
      </c>
    </row>
    <row r="5806" spans="1:4" x14ac:dyDescent="0.25">
      <c r="A5806" s="16">
        <v>13328</v>
      </c>
      <c r="B5806" s="1">
        <v>1</v>
      </c>
      <c r="C5806" s="1">
        <v>1</v>
      </c>
      <c r="D5806" s="1">
        <v>10</v>
      </c>
    </row>
    <row r="5807" spans="1:4" x14ac:dyDescent="0.25">
      <c r="A5807" s="16">
        <v>13329</v>
      </c>
      <c r="B5807" s="1">
        <v>1</v>
      </c>
      <c r="C5807" s="1">
        <v>1</v>
      </c>
      <c r="D5807" s="1">
        <v>14</v>
      </c>
    </row>
    <row r="5808" spans="1:4" x14ac:dyDescent="0.25">
      <c r="A5808" s="16">
        <v>13330</v>
      </c>
      <c r="B5808" s="1">
        <v>1</v>
      </c>
      <c r="C5808" s="1">
        <v>2</v>
      </c>
      <c r="D5808" s="1">
        <v>5.6</v>
      </c>
    </row>
    <row r="5809" spans="1:4" x14ac:dyDescent="0.25">
      <c r="A5809" s="16">
        <v>13331</v>
      </c>
      <c r="B5809" s="1">
        <v>1</v>
      </c>
      <c r="C5809" s="1">
        <v>1</v>
      </c>
      <c r="D5809" s="1">
        <v>8.8000000000000007</v>
      </c>
    </row>
    <row r="5810" spans="1:4" x14ac:dyDescent="0.25">
      <c r="A5810" s="16">
        <v>13332</v>
      </c>
      <c r="B5810" s="1">
        <v>1</v>
      </c>
      <c r="C5810" s="1">
        <v>1</v>
      </c>
      <c r="D5810" s="1">
        <v>8</v>
      </c>
    </row>
    <row r="5811" spans="1:4" x14ac:dyDescent="0.25">
      <c r="A5811" s="16">
        <v>13333</v>
      </c>
      <c r="B5811" s="1">
        <v>1</v>
      </c>
      <c r="C5811" s="1">
        <v>1</v>
      </c>
      <c r="D5811" s="1">
        <v>51.64</v>
      </c>
    </row>
    <row r="5812" spans="1:4" x14ac:dyDescent="0.25">
      <c r="A5812" s="16">
        <v>13334</v>
      </c>
      <c r="B5812" s="1">
        <v>1</v>
      </c>
      <c r="C5812" s="1">
        <v>1</v>
      </c>
      <c r="D5812" s="1">
        <v>6</v>
      </c>
    </row>
    <row r="5813" spans="1:4" x14ac:dyDescent="0.25">
      <c r="A5813" s="16">
        <v>13335</v>
      </c>
      <c r="B5813" s="1">
        <v>1</v>
      </c>
      <c r="C5813" s="1">
        <v>3</v>
      </c>
      <c r="D5813" s="1">
        <v>8.3999999999999986</v>
      </c>
    </row>
    <row r="5814" spans="1:4" x14ac:dyDescent="0.25">
      <c r="A5814" s="16">
        <v>13336</v>
      </c>
      <c r="B5814" s="1">
        <v>1</v>
      </c>
      <c r="C5814" s="1">
        <v>1</v>
      </c>
      <c r="D5814" s="1">
        <v>51.64</v>
      </c>
    </row>
    <row r="5815" spans="1:4" x14ac:dyDescent="0.25">
      <c r="A5815" s="16">
        <v>13337</v>
      </c>
      <c r="B5815" s="1">
        <v>1</v>
      </c>
      <c r="C5815" s="1">
        <v>1</v>
      </c>
      <c r="D5815" s="1">
        <v>36</v>
      </c>
    </row>
    <row r="5816" spans="1:4" x14ac:dyDescent="0.25">
      <c r="A5816" s="16">
        <v>13338</v>
      </c>
      <c r="B5816" s="1">
        <v>1</v>
      </c>
      <c r="C5816" s="1">
        <v>1</v>
      </c>
      <c r="D5816" s="1">
        <v>10</v>
      </c>
    </row>
    <row r="5817" spans="1:4" x14ac:dyDescent="0.25">
      <c r="A5817" s="16">
        <v>13339</v>
      </c>
      <c r="B5817" s="1">
        <v>1</v>
      </c>
      <c r="C5817" s="1">
        <v>1</v>
      </c>
      <c r="D5817" s="1">
        <v>7.6</v>
      </c>
    </row>
    <row r="5818" spans="1:4" x14ac:dyDescent="0.25">
      <c r="A5818" s="16">
        <v>13340</v>
      </c>
      <c r="B5818" s="1">
        <v>1</v>
      </c>
      <c r="C5818" s="1">
        <v>2</v>
      </c>
      <c r="D5818" s="1">
        <v>4.8</v>
      </c>
    </row>
    <row r="5819" spans="1:4" x14ac:dyDescent="0.25">
      <c r="A5819" s="16">
        <v>13341</v>
      </c>
      <c r="B5819" s="1">
        <v>1</v>
      </c>
      <c r="C5819" s="1">
        <v>1</v>
      </c>
      <c r="D5819" s="1">
        <v>42</v>
      </c>
    </row>
    <row r="5820" spans="1:4" x14ac:dyDescent="0.25">
      <c r="A5820" s="16">
        <v>13342</v>
      </c>
      <c r="B5820" s="1">
        <v>1</v>
      </c>
      <c r="C5820" s="1">
        <v>3</v>
      </c>
      <c r="D5820" s="1">
        <v>8.3999999999999986</v>
      </c>
    </row>
    <row r="5821" spans="1:4" x14ac:dyDescent="0.25">
      <c r="A5821" s="16">
        <v>13343</v>
      </c>
      <c r="B5821" s="1">
        <v>1</v>
      </c>
      <c r="C5821" s="1">
        <v>1</v>
      </c>
      <c r="D5821" s="1">
        <v>6</v>
      </c>
    </row>
    <row r="5822" spans="1:4" x14ac:dyDescent="0.25">
      <c r="A5822" s="16">
        <v>13344</v>
      </c>
      <c r="B5822" s="1">
        <v>1</v>
      </c>
      <c r="C5822" s="1">
        <v>1</v>
      </c>
      <c r="D5822" s="1">
        <v>8.8000000000000007</v>
      </c>
    </row>
    <row r="5823" spans="1:4" x14ac:dyDescent="0.25">
      <c r="A5823" s="16">
        <v>13345</v>
      </c>
      <c r="B5823" s="1">
        <v>1</v>
      </c>
      <c r="C5823" s="1">
        <v>1</v>
      </c>
      <c r="D5823" s="1">
        <v>8</v>
      </c>
    </row>
    <row r="5824" spans="1:4" x14ac:dyDescent="0.25">
      <c r="A5824" s="16">
        <v>13346</v>
      </c>
      <c r="B5824" s="1">
        <v>1</v>
      </c>
      <c r="C5824" s="1">
        <v>1</v>
      </c>
      <c r="D5824" s="1">
        <v>51.64</v>
      </c>
    </row>
    <row r="5825" spans="1:4" x14ac:dyDescent="0.25">
      <c r="A5825" s="16">
        <v>13347</v>
      </c>
      <c r="B5825" s="1">
        <v>1</v>
      </c>
      <c r="C5825" s="1">
        <v>1</v>
      </c>
      <c r="D5825" s="1">
        <v>7.6</v>
      </c>
    </row>
    <row r="5826" spans="1:4" x14ac:dyDescent="0.25">
      <c r="A5826" s="16">
        <v>13348</v>
      </c>
      <c r="B5826" s="1">
        <v>1</v>
      </c>
      <c r="C5826" s="1">
        <v>2</v>
      </c>
      <c r="D5826" s="1">
        <v>4.8</v>
      </c>
    </row>
    <row r="5827" spans="1:4" x14ac:dyDescent="0.25">
      <c r="A5827" s="16">
        <v>13349</v>
      </c>
      <c r="B5827" s="1">
        <v>1</v>
      </c>
      <c r="C5827" s="1">
        <v>1</v>
      </c>
      <c r="D5827" s="1">
        <v>10</v>
      </c>
    </row>
    <row r="5828" spans="1:4" x14ac:dyDescent="0.25">
      <c r="A5828" s="16">
        <v>13350</v>
      </c>
      <c r="B5828" s="1">
        <v>1</v>
      </c>
      <c r="C5828" s="1">
        <v>2</v>
      </c>
      <c r="D5828" s="1">
        <v>5.6</v>
      </c>
    </row>
    <row r="5829" spans="1:4" x14ac:dyDescent="0.25">
      <c r="A5829" s="16">
        <v>13351</v>
      </c>
      <c r="B5829" s="1">
        <v>1</v>
      </c>
      <c r="C5829" s="1">
        <v>1</v>
      </c>
      <c r="D5829" s="1">
        <v>6</v>
      </c>
    </row>
    <row r="5830" spans="1:4" x14ac:dyDescent="0.25">
      <c r="A5830" s="16">
        <v>13352</v>
      </c>
      <c r="B5830" s="1">
        <v>1</v>
      </c>
      <c r="C5830" s="1">
        <v>1</v>
      </c>
      <c r="D5830" s="1">
        <v>8</v>
      </c>
    </row>
    <row r="5831" spans="1:4" x14ac:dyDescent="0.25">
      <c r="A5831" s="16">
        <v>13353</v>
      </c>
      <c r="B5831" s="1">
        <v>1</v>
      </c>
      <c r="C5831" s="1">
        <v>1</v>
      </c>
      <c r="D5831" s="1">
        <v>42</v>
      </c>
    </row>
    <row r="5832" spans="1:4" x14ac:dyDescent="0.25">
      <c r="A5832" s="16">
        <v>13354</v>
      </c>
      <c r="B5832" s="1">
        <v>1</v>
      </c>
      <c r="C5832" s="1">
        <v>1</v>
      </c>
      <c r="D5832" s="1">
        <v>51.64</v>
      </c>
    </row>
    <row r="5833" spans="1:4" x14ac:dyDescent="0.25">
      <c r="A5833" s="16">
        <v>13355</v>
      </c>
      <c r="B5833" s="1">
        <v>1</v>
      </c>
      <c r="C5833" s="1">
        <v>1</v>
      </c>
      <c r="D5833" s="1">
        <v>51.64</v>
      </c>
    </row>
    <row r="5834" spans="1:4" x14ac:dyDescent="0.25">
      <c r="A5834" s="16">
        <v>13356</v>
      </c>
      <c r="B5834" s="1">
        <v>1</v>
      </c>
      <c r="C5834" s="1">
        <v>3</v>
      </c>
      <c r="D5834" s="1">
        <v>8.3999999999999986</v>
      </c>
    </row>
    <row r="5835" spans="1:4" x14ac:dyDescent="0.25">
      <c r="A5835" s="16">
        <v>13357</v>
      </c>
      <c r="B5835" s="1">
        <v>1</v>
      </c>
      <c r="C5835" s="1">
        <v>1</v>
      </c>
      <c r="D5835" s="1">
        <v>6</v>
      </c>
    </row>
    <row r="5836" spans="1:4" x14ac:dyDescent="0.25">
      <c r="A5836" s="16">
        <v>13358</v>
      </c>
      <c r="B5836" s="1">
        <v>1</v>
      </c>
      <c r="C5836" s="1">
        <v>1</v>
      </c>
      <c r="D5836" s="1">
        <v>8.8000000000000007</v>
      </c>
    </row>
    <row r="5837" spans="1:4" x14ac:dyDescent="0.25">
      <c r="A5837" s="16">
        <v>13359</v>
      </c>
      <c r="B5837" s="1">
        <v>1</v>
      </c>
      <c r="C5837" s="1">
        <v>1</v>
      </c>
      <c r="D5837" s="1">
        <v>8</v>
      </c>
    </row>
    <row r="5838" spans="1:4" x14ac:dyDescent="0.25">
      <c r="A5838" s="16">
        <v>13360</v>
      </c>
      <c r="B5838" s="1">
        <v>1</v>
      </c>
      <c r="C5838" s="1">
        <v>1</v>
      </c>
      <c r="D5838" s="1">
        <v>7.6</v>
      </c>
    </row>
    <row r="5839" spans="1:4" x14ac:dyDescent="0.25">
      <c r="A5839" s="16">
        <v>13361</v>
      </c>
      <c r="B5839" s="1">
        <v>1</v>
      </c>
      <c r="C5839" s="1">
        <v>3</v>
      </c>
      <c r="D5839" s="1">
        <v>7.1999999999999993</v>
      </c>
    </row>
    <row r="5840" spans="1:4" x14ac:dyDescent="0.25">
      <c r="A5840" s="16">
        <v>13362</v>
      </c>
      <c r="B5840" s="1">
        <v>1</v>
      </c>
      <c r="C5840" s="1">
        <v>1</v>
      </c>
      <c r="D5840" s="1">
        <v>42</v>
      </c>
    </row>
    <row r="5841" spans="1:4" x14ac:dyDescent="0.25">
      <c r="A5841" s="16">
        <v>13363</v>
      </c>
      <c r="B5841" s="1">
        <v>1</v>
      </c>
      <c r="C5841" s="1">
        <v>1</v>
      </c>
      <c r="D5841" s="1">
        <v>10</v>
      </c>
    </row>
    <row r="5842" spans="1:4" x14ac:dyDescent="0.25">
      <c r="A5842" s="16">
        <v>13364</v>
      </c>
      <c r="B5842" s="1">
        <v>1</v>
      </c>
      <c r="C5842" s="1">
        <v>2</v>
      </c>
      <c r="D5842" s="1">
        <v>5.6</v>
      </c>
    </row>
    <row r="5843" spans="1:4" x14ac:dyDescent="0.25">
      <c r="A5843" s="16">
        <v>13365</v>
      </c>
      <c r="B5843" s="1">
        <v>1</v>
      </c>
      <c r="C5843" s="1">
        <v>1</v>
      </c>
      <c r="D5843" s="1">
        <v>6</v>
      </c>
    </row>
    <row r="5844" spans="1:4" x14ac:dyDescent="0.25">
      <c r="A5844" s="16">
        <v>13366</v>
      </c>
      <c r="B5844" s="1">
        <v>1</v>
      </c>
      <c r="C5844" s="1">
        <v>1</v>
      </c>
      <c r="D5844" s="1">
        <v>8</v>
      </c>
    </row>
    <row r="5845" spans="1:4" x14ac:dyDescent="0.25">
      <c r="A5845" s="16">
        <v>13367</v>
      </c>
      <c r="B5845" s="1">
        <v>1</v>
      </c>
      <c r="C5845" s="1">
        <v>1</v>
      </c>
      <c r="D5845" s="1">
        <v>51.64</v>
      </c>
    </row>
    <row r="5846" spans="1:4" x14ac:dyDescent="0.25">
      <c r="A5846" s="16">
        <v>13368</v>
      </c>
      <c r="B5846" s="1">
        <v>1</v>
      </c>
      <c r="C5846" s="1">
        <v>1</v>
      </c>
      <c r="D5846" s="1">
        <v>51.64</v>
      </c>
    </row>
    <row r="5847" spans="1:4" x14ac:dyDescent="0.25">
      <c r="A5847" s="16">
        <v>13369</v>
      </c>
      <c r="B5847" s="1">
        <v>1</v>
      </c>
      <c r="C5847" s="1">
        <v>3</v>
      </c>
      <c r="D5847" s="1">
        <v>8.3999999999999986</v>
      </c>
    </row>
    <row r="5848" spans="1:4" x14ac:dyDescent="0.25">
      <c r="A5848" s="16">
        <v>13370</v>
      </c>
      <c r="B5848" s="1">
        <v>1</v>
      </c>
      <c r="C5848" s="1">
        <v>1</v>
      </c>
      <c r="D5848" s="1">
        <v>6</v>
      </c>
    </row>
    <row r="5849" spans="1:4" x14ac:dyDescent="0.25">
      <c r="A5849" s="16">
        <v>13371</v>
      </c>
      <c r="B5849" s="1">
        <v>1</v>
      </c>
      <c r="C5849" s="1">
        <v>1</v>
      </c>
      <c r="D5849" s="1">
        <v>8.8000000000000007</v>
      </c>
    </row>
    <row r="5850" spans="1:4" x14ac:dyDescent="0.25">
      <c r="A5850" s="16">
        <v>13372</v>
      </c>
      <c r="B5850" s="1">
        <v>1</v>
      </c>
      <c r="C5850" s="1">
        <v>1</v>
      </c>
      <c r="D5850" s="1">
        <v>8</v>
      </c>
    </row>
    <row r="5851" spans="1:4" x14ac:dyDescent="0.25">
      <c r="A5851" s="16">
        <v>13373</v>
      </c>
      <c r="B5851" s="1">
        <v>1</v>
      </c>
      <c r="C5851" s="1">
        <v>1</v>
      </c>
      <c r="D5851" s="1">
        <v>7.6</v>
      </c>
    </row>
    <row r="5852" spans="1:4" x14ac:dyDescent="0.25">
      <c r="A5852" s="16">
        <v>13374</v>
      </c>
      <c r="B5852" s="1">
        <v>1</v>
      </c>
      <c r="C5852" s="1">
        <v>2</v>
      </c>
      <c r="D5852" s="1">
        <v>4.8</v>
      </c>
    </row>
    <row r="5853" spans="1:4" x14ac:dyDescent="0.25">
      <c r="A5853" s="16">
        <v>13375</v>
      </c>
      <c r="B5853" s="1">
        <v>1</v>
      </c>
      <c r="C5853" s="1">
        <v>1</v>
      </c>
      <c r="D5853" s="1">
        <v>42</v>
      </c>
    </row>
    <row r="5854" spans="1:4" x14ac:dyDescent="0.25">
      <c r="A5854" s="16">
        <v>13376</v>
      </c>
      <c r="B5854" s="1">
        <v>1</v>
      </c>
      <c r="C5854" s="1">
        <v>1</v>
      </c>
      <c r="D5854" s="1">
        <v>10</v>
      </c>
    </row>
    <row r="5855" spans="1:4" x14ac:dyDescent="0.25">
      <c r="A5855" s="16">
        <v>13377</v>
      </c>
      <c r="B5855" s="1">
        <v>1</v>
      </c>
      <c r="C5855" s="1">
        <v>1</v>
      </c>
      <c r="D5855" s="1">
        <v>14</v>
      </c>
    </row>
    <row r="5856" spans="1:4" x14ac:dyDescent="0.25">
      <c r="A5856" s="16">
        <v>13378</v>
      </c>
      <c r="B5856" s="1">
        <v>1</v>
      </c>
      <c r="C5856" s="1">
        <v>3</v>
      </c>
      <c r="D5856" s="1">
        <v>8.3999999999999986</v>
      </c>
    </row>
    <row r="5857" spans="1:4" x14ac:dyDescent="0.25">
      <c r="A5857" s="16">
        <v>13379</v>
      </c>
      <c r="B5857" s="1">
        <v>1</v>
      </c>
      <c r="C5857" s="1">
        <v>1</v>
      </c>
      <c r="D5857" s="1">
        <v>6</v>
      </c>
    </row>
    <row r="5858" spans="1:4" x14ac:dyDescent="0.25">
      <c r="A5858" s="16">
        <v>13380</v>
      </c>
      <c r="B5858" s="1">
        <v>1</v>
      </c>
      <c r="C5858" s="1">
        <v>1</v>
      </c>
      <c r="D5858" s="1">
        <v>8.8000000000000007</v>
      </c>
    </row>
    <row r="5859" spans="1:4" x14ac:dyDescent="0.25">
      <c r="A5859" s="16">
        <v>13381</v>
      </c>
      <c r="B5859" s="1">
        <v>1</v>
      </c>
      <c r="C5859" s="1">
        <v>1</v>
      </c>
      <c r="D5859" s="1">
        <v>8</v>
      </c>
    </row>
    <row r="5860" spans="1:4" x14ac:dyDescent="0.25">
      <c r="A5860" s="16">
        <v>13382</v>
      </c>
      <c r="B5860" s="1">
        <v>1</v>
      </c>
      <c r="C5860" s="1">
        <v>1</v>
      </c>
      <c r="D5860" s="1">
        <v>51.64</v>
      </c>
    </row>
    <row r="5861" spans="1:4" x14ac:dyDescent="0.25">
      <c r="A5861" s="16">
        <v>13383</v>
      </c>
      <c r="B5861" s="1">
        <v>1</v>
      </c>
      <c r="C5861" s="1">
        <v>2</v>
      </c>
      <c r="D5861" s="1">
        <v>4.8</v>
      </c>
    </row>
    <row r="5862" spans="1:4" x14ac:dyDescent="0.25">
      <c r="A5862" s="16">
        <v>13384</v>
      </c>
      <c r="B5862" s="1">
        <v>1</v>
      </c>
      <c r="C5862" s="1">
        <v>1</v>
      </c>
      <c r="D5862" s="1">
        <v>42</v>
      </c>
    </row>
    <row r="5863" spans="1:4" x14ac:dyDescent="0.25">
      <c r="A5863" s="16">
        <v>13385</v>
      </c>
      <c r="B5863" s="1">
        <v>1</v>
      </c>
      <c r="C5863" s="1">
        <v>1</v>
      </c>
      <c r="D5863" s="1">
        <v>10</v>
      </c>
    </row>
    <row r="5864" spans="1:4" x14ac:dyDescent="0.25">
      <c r="A5864" s="16">
        <v>13386</v>
      </c>
      <c r="B5864" s="1">
        <v>1</v>
      </c>
      <c r="C5864" s="1">
        <v>1</v>
      </c>
      <c r="D5864" s="1">
        <v>7.6</v>
      </c>
    </row>
    <row r="5865" spans="1:4" x14ac:dyDescent="0.25">
      <c r="A5865" s="16">
        <v>13387</v>
      </c>
      <c r="B5865" s="1">
        <v>1</v>
      </c>
      <c r="C5865" s="1">
        <v>3</v>
      </c>
      <c r="D5865" s="1">
        <v>7.1999999999999993</v>
      </c>
    </row>
    <row r="5866" spans="1:4" x14ac:dyDescent="0.25">
      <c r="A5866" s="16">
        <v>13388</v>
      </c>
      <c r="B5866" s="1">
        <v>1</v>
      </c>
      <c r="C5866" s="1">
        <v>1</v>
      </c>
      <c r="D5866" s="1">
        <v>36</v>
      </c>
    </row>
    <row r="5867" spans="1:4" x14ac:dyDescent="0.25">
      <c r="A5867" s="16">
        <v>13389</v>
      </c>
      <c r="B5867" s="1">
        <v>1</v>
      </c>
      <c r="C5867" s="1">
        <v>3</v>
      </c>
      <c r="D5867" s="1">
        <v>8.3999999999999986</v>
      </c>
    </row>
    <row r="5868" spans="1:4" x14ac:dyDescent="0.25">
      <c r="A5868" s="16">
        <v>13390</v>
      </c>
      <c r="B5868" s="1">
        <v>1</v>
      </c>
      <c r="C5868" s="1">
        <v>1</v>
      </c>
      <c r="D5868" s="1">
        <v>6</v>
      </c>
    </row>
    <row r="5869" spans="1:4" x14ac:dyDescent="0.25">
      <c r="A5869" s="16">
        <v>13391</v>
      </c>
      <c r="B5869" s="1">
        <v>1</v>
      </c>
      <c r="C5869" s="1">
        <v>1</v>
      </c>
      <c r="D5869" s="1">
        <v>8</v>
      </c>
    </row>
    <row r="5870" spans="1:4" x14ac:dyDescent="0.25">
      <c r="A5870" s="16">
        <v>13392</v>
      </c>
      <c r="B5870" s="1">
        <v>1</v>
      </c>
      <c r="C5870" s="1">
        <v>1</v>
      </c>
      <c r="D5870" s="1">
        <v>51.64</v>
      </c>
    </row>
    <row r="5871" spans="1:4" x14ac:dyDescent="0.25">
      <c r="A5871" s="16">
        <v>13393</v>
      </c>
      <c r="B5871" s="1">
        <v>1</v>
      </c>
      <c r="C5871" s="1">
        <v>1</v>
      </c>
      <c r="D5871" s="1">
        <v>51.64</v>
      </c>
    </row>
    <row r="5872" spans="1:4" x14ac:dyDescent="0.25">
      <c r="A5872" s="16">
        <v>13394</v>
      </c>
      <c r="B5872" s="1">
        <v>1</v>
      </c>
      <c r="C5872" s="1">
        <v>3</v>
      </c>
      <c r="D5872" s="1">
        <v>8.3999999999999986</v>
      </c>
    </row>
    <row r="5873" spans="1:4" x14ac:dyDescent="0.25">
      <c r="A5873" s="16">
        <v>13395</v>
      </c>
      <c r="B5873" s="1">
        <v>1</v>
      </c>
      <c r="C5873" s="1">
        <v>1</v>
      </c>
      <c r="D5873" s="1">
        <v>6</v>
      </c>
    </row>
    <row r="5874" spans="1:4" x14ac:dyDescent="0.25">
      <c r="A5874" s="16">
        <v>13396</v>
      </c>
      <c r="B5874" s="1">
        <v>1</v>
      </c>
      <c r="C5874" s="1">
        <v>1</v>
      </c>
      <c r="D5874" s="1">
        <v>8.8000000000000007</v>
      </c>
    </row>
    <row r="5875" spans="1:4" x14ac:dyDescent="0.25">
      <c r="A5875" s="16">
        <v>13397</v>
      </c>
      <c r="B5875" s="1">
        <v>1</v>
      </c>
      <c r="C5875" s="1">
        <v>1</v>
      </c>
      <c r="D5875" s="1">
        <v>8</v>
      </c>
    </row>
    <row r="5876" spans="1:4" x14ac:dyDescent="0.25">
      <c r="A5876" s="16">
        <v>13398</v>
      </c>
      <c r="B5876" s="1">
        <v>1</v>
      </c>
      <c r="C5876" s="1">
        <v>1</v>
      </c>
      <c r="D5876" s="1">
        <v>51.64</v>
      </c>
    </row>
    <row r="5877" spans="1:4" x14ac:dyDescent="0.25">
      <c r="A5877" s="16">
        <v>13399</v>
      </c>
      <c r="B5877" s="1">
        <v>1</v>
      </c>
      <c r="C5877" s="1">
        <v>2</v>
      </c>
      <c r="D5877" s="1">
        <v>4.8</v>
      </c>
    </row>
    <row r="5878" spans="1:4" x14ac:dyDescent="0.25">
      <c r="A5878" s="16">
        <v>13400</v>
      </c>
      <c r="B5878" s="1">
        <v>1</v>
      </c>
      <c r="C5878" s="1">
        <v>1</v>
      </c>
      <c r="D5878" s="1">
        <v>42</v>
      </c>
    </row>
    <row r="5879" spans="1:4" x14ac:dyDescent="0.25">
      <c r="A5879" s="16">
        <v>13401</v>
      </c>
      <c r="B5879" s="1">
        <v>1</v>
      </c>
      <c r="C5879" s="1">
        <v>1</v>
      </c>
      <c r="D5879" s="1">
        <v>10</v>
      </c>
    </row>
    <row r="5880" spans="1:4" x14ac:dyDescent="0.25">
      <c r="A5880" s="16">
        <v>13402</v>
      </c>
      <c r="B5880" s="1">
        <v>1</v>
      </c>
      <c r="C5880" s="1">
        <v>1</v>
      </c>
      <c r="D5880" s="1">
        <v>14</v>
      </c>
    </row>
    <row r="5881" spans="1:4" x14ac:dyDescent="0.25">
      <c r="A5881" s="16">
        <v>13403</v>
      </c>
      <c r="B5881" s="1">
        <v>1</v>
      </c>
      <c r="C5881" s="1">
        <v>2</v>
      </c>
      <c r="D5881" s="1">
        <v>5.6</v>
      </c>
    </row>
    <row r="5882" spans="1:4" x14ac:dyDescent="0.25">
      <c r="A5882" s="16">
        <v>13404</v>
      </c>
      <c r="B5882" s="1">
        <v>1</v>
      </c>
      <c r="C5882" s="1">
        <v>1</v>
      </c>
      <c r="D5882" s="1">
        <v>6</v>
      </c>
    </row>
    <row r="5883" spans="1:4" x14ac:dyDescent="0.25">
      <c r="A5883" s="16">
        <v>13405</v>
      </c>
      <c r="B5883" s="1">
        <v>1</v>
      </c>
      <c r="C5883" s="1">
        <v>1</v>
      </c>
      <c r="D5883" s="1">
        <v>8</v>
      </c>
    </row>
    <row r="5884" spans="1:4" x14ac:dyDescent="0.25">
      <c r="A5884" s="16">
        <v>13406</v>
      </c>
      <c r="B5884" s="1">
        <v>1</v>
      </c>
      <c r="C5884" s="1">
        <v>1</v>
      </c>
      <c r="D5884" s="1">
        <v>51.64</v>
      </c>
    </row>
    <row r="5885" spans="1:4" x14ac:dyDescent="0.25">
      <c r="A5885" s="16">
        <v>13407</v>
      </c>
      <c r="B5885" s="1">
        <v>1</v>
      </c>
      <c r="C5885" s="1">
        <v>1</v>
      </c>
      <c r="D5885" s="1">
        <v>51.64</v>
      </c>
    </row>
    <row r="5886" spans="1:4" x14ac:dyDescent="0.25">
      <c r="A5886" s="16">
        <v>13408</v>
      </c>
      <c r="B5886" s="1">
        <v>1</v>
      </c>
      <c r="C5886" s="1">
        <v>3</v>
      </c>
      <c r="D5886" s="1">
        <v>8.3999999999999986</v>
      </c>
    </row>
    <row r="5887" spans="1:4" x14ac:dyDescent="0.25">
      <c r="A5887" s="16">
        <v>13409</v>
      </c>
      <c r="B5887" s="1">
        <v>1</v>
      </c>
      <c r="C5887" s="1">
        <v>1</v>
      </c>
      <c r="D5887" s="1">
        <v>6</v>
      </c>
    </row>
    <row r="5888" spans="1:4" x14ac:dyDescent="0.25">
      <c r="A5888" s="16">
        <v>13410</v>
      </c>
      <c r="B5888" s="1">
        <v>1</v>
      </c>
      <c r="C5888" s="1">
        <v>1</v>
      </c>
      <c r="D5888" s="1">
        <v>8.8000000000000007</v>
      </c>
    </row>
    <row r="5889" spans="1:7" x14ac:dyDescent="0.25">
      <c r="A5889" s="16">
        <v>13411</v>
      </c>
      <c r="B5889" s="1">
        <v>1</v>
      </c>
      <c r="C5889" s="1">
        <v>1</v>
      </c>
      <c r="D5889" s="1">
        <v>8</v>
      </c>
    </row>
    <row r="5890" spans="1:7" x14ac:dyDescent="0.25">
      <c r="A5890" s="16">
        <v>13412</v>
      </c>
      <c r="B5890" s="1">
        <v>1</v>
      </c>
      <c r="C5890" s="1">
        <v>1</v>
      </c>
      <c r="D5890" s="1">
        <v>7.6</v>
      </c>
    </row>
    <row r="5891" spans="1:7" x14ac:dyDescent="0.25">
      <c r="A5891" s="16" t="s">
        <v>1338</v>
      </c>
      <c r="B5891" s="1">
        <v>5952</v>
      </c>
      <c r="C5891" s="1">
        <v>8753</v>
      </c>
      <c r="D5891" s="1">
        <v>96671.000000001572</v>
      </c>
    </row>
    <row r="5892" spans="1:7" x14ac:dyDescent="0.25">
      <c r="F5892" t="s">
        <v>1342</v>
      </c>
      <c r="G5892" s="18">
        <f>AVERAGE(B4:B5890)</f>
        <v>1.0110412773908612</v>
      </c>
    </row>
    <row r="5893" spans="1:7" x14ac:dyDescent="0.25">
      <c r="F5893" t="s">
        <v>1343</v>
      </c>
      <c r="G5893" s="10">
        <f>AVERAGE(D4:D5890)</f>
        <v>16.421097333107113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F204-73E8-4338-B9BC-BDF1BA7C92C8}">
  <dimension ref="A3:B21"/>
  <sheetViews>
    <sheetView workbookViewId="0">
      <selection activeCell="B24" sqref="B24"/>
    </sheetView>
  </sheetViews>
  <sheetFormatPr defaultRowHeight="15" x14ac:dyDescent="0.25"/>
  <cols>
    <col min="1" max="1" width="22.7109375" bestFit="1" customWidth="1"/>
    <col min="2" max="2" width="19.7109375" bestFit="1" customWidth="1"/>
  </cols>
  <sheetData>
    <row r="3" spans="1:2" x14ac:dyDescent="0.25">
      <c r="A3" s="15" t="s">
        <v>1337</v>
      </c>
      <c r="B3" t="s">
        <v>1340</v>
      </c>
    </row>
    <row r="4" spans="1:2" x14ac:dyDescent="0.25">
      <c r="A4" s="19">
        <v>45658</v>
      </c>
      <c r="B4" s="1">
        <v>5604.4000000000005</v>
      </c>
    </row>
    <row r="5" spans="1:2" x14ac:dyDescent="0.25">
      <c r="A5" s="19">
        <v>45689</v>
      </c>
      <c r="B5" s="1">
        <v>5533.0400000000063</v>
      </c>
    </row>
    <row r="6" spans="1:2" x14ac:dyDescent="0.25">
      <c r="A6" s="19">
        <v>45717</v>
      </c>
      <c r="B6" s="1">
        <v>6461.6000000000076</v>
      </c>
    </row>
    <row r="7" spans="1:2" x14ac:dyDescent="0.25">
      <c r="A7" s="19">
        <v>45748</v>
      </c>
      <c r="B7" s="1">
        <v>6259.2000000000126</v>
      </c>
    </row>
    <row r="8" spans="1:2" x14ac:dyDescent="0.25">
      <c r="A8" s="19">
        <v>45778</v>
      </c>
      <c r="B8" s="1">
        <v>6700.0000000000118</v>
      </c>
    </row>
    <row r="9" spans="1:2" x14ac:dyDescent="0.25">
      <c r="A9" s="19">
        <v>45809</v>
      </c>
      <c r="B9" s="1">
        <v>5270.3600000000033</v>
      </c>
    </row>
    <row r="10" spans="1:2" x14ac:dyDescent="0.25">
      <c r="A10" s="19">
        <v>45839</v>
      </c>
      <c r="B10" s="1">
        <v>15220.799999999943</v>
      </c>
    </row>
    <row r="11" spans="1:2" x14ac:dyDescent="0.25">
      <c r="A11" s="19">
        <v>45870</v>
      </c>
      <c r="B11" s="1">
        <v>6873.2800000000079</v>
      </c>
    </row>
    <row r="12" spans="1:2" x14ac:dyDescent="0.25">
      <c r="A12" s="19">
        <v>45901</v>
      </c>
      <c r="B12" s="1">
        <v>7349.4800000000178</v>
      </c>
    </row>
    <row r="13" spans="1:2" x14ac:dyDescent="0.25">
      <c r="A13" s="19">
        <v>45931</v>
      </c>
      <c r="B13" s="1">
        <v>5174.3600000000033</v>
      </c>
    </row>
    <row r="14" spans="1:2" x14ac:dyDescent="0.25">
      <c r="A14" s="19">
        <v>45962</v>
      </c>
      <c r="B14" s="1">
        <v>12225.16000000002</v>
      </c>
    </row>
    <row r="15" spans="1:2" x14ac:dyDescent="0.25">
      <c r="A15" s="19">
        <v>45992</v>
      </c>
      <c r="B15" s="1">
        <v>13999.319999999962</v>
      </c>
    </row>
    <row r="16" spans="1:2" x14ac:dyDescent="0.25">
      <c r="A16" s="19" t="s">
        <v>1338</v>
      </c>
      <c r="B16" s="1">
        <v>96671</v>
      </c>
    </row>
    <row r="19" spans="1:2" x14ac:dyDescent="0.25">
      <c r="A19" t="s">
        <v>1354</v>
      </c>
      <c r="B19" s="32" cm="1">
        <f t="array" ref="B19">AVERAGE(IF(MONTH(A4:A15)&lt;&gt;7,B4:B15))</f>
        <v>7404.5636363636413</v>
      </c>
    </row>
    <row r="20" spans="1:2" x14ac:dyDescent="0.25">
      <c r="A20" t="s">
        <v>1353</v>
      </c>
      <c r="B20">
        <v>15220.8</v>
      </c>
    </row>
    <row r="21" spans="1:2" ht="31.9" customHeight="1" x14ac:dyDescent="0.25">
      <c r="A21" s="31" t="s">
        <v>1355</v>
      </c>
      <c r="B21" s="32">
        <f>B20/(B19/100)</f>
        <v>205.55971624379052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2782-9D1F-4E89-B4EF-FE61F442EE77}">
  <dimension ref="A3:B7"/>
  <sheetViews>
    <sheetView workbookViewId="0">
      <selection activeCell="E26" sqref="E26"/>
    </sheetView>
  </sheetViews>
  <sheetFormatPr defaultRowHeight="15" x14ac:dyDescent="0.25"/>
  <cols>
    <col min="1" max="1" width="19.28515625" bestFit="1" customWidth="1"/>
    <col min="2" max="2" width="19.7109375" bestFit="1" customWidth="1"/>
  </cols>
  <sheetData>
    <row r="3" spans="1:2" x14ac:dyDescent="0.25">
      <c r="A3" s="15" t="s">
        <v>1337</v>
      </c>
      <c r="B3" t="s">
        <v>1340</v>
      </c>
    </row>
    <row r="4" spans="1:2" x14ac:dyDescent="0.25">
      <c r="A4" s="16" t="s">
        <v>1344</v>
      </c>
      <c r="B4" s="20">
        <v>2.8413484912745229E-2</v>
      </c>
    </row>
    <row r="5" spans="1:2" x14ac:dyDescent="0.25">
      <c r="A5" s="16" t="s">
        <v>1345</v>
      </c>
      <c r="B5" s="20">
        <v>0.34866754248947396</v>
      </c>
    </row>
    <row r="6" spans="1:2" x14ac:dyDescent="0.25">
      <c r="A6" s="16" t="s">
        <v>1346</v>
      </c>
      <c r="B6" s="20">
        <v>0.62291897259778084</v>
      </c>
    </row>
    <row r="7" spans="1:2" x14ac:dyDescent="0.25">
      <c r="A7" s="16" t="s">
        <v>1338</v>
      </c>
      <c r="B7" s="20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A284-A2A9-4D3C-91ED-EACB179C88C9}">
  <dimension ref="A3:C94"/>
  <sheetViews>
    <sheetView workbookViewId="0">
      <selection activeCell="A3" sqref="A3"/>
    </sheetView>
  </sheetViews>
  <sheetFormatPr defaultRowHeight="15" x14ac:dyDescent="0.25"/>
  <cols>
    <col min="1" max="1" width="46.7109375" bestFit="1" customWidth="1"/>
    <col min="2" max="2" width="19.7109375" bestFit="1" customWidth="1"/>
    <col min="3" max="3" width="15.140625" bestFit="1" customWidth="1"/>
  </cols>
  <sheetData>
    <row r="3" spans="1:3" x14ac:dyDescent="0.25">
      <c r="A3" s="15" t="s">
        <v>1337</v>
      </c>
      <c r="B3" t="s">
        <v>1340</v>
      </c>
      <c r="C3" t="s">
        <v>1339</v>
      </c>
    </row>
    <row r="4" spans="1:3" x14ac:dyDescent="0.25">
      <c r="A4" s="16" t="s">
        <v>60</v>
      </c>
      <c r="B4" s="1">
        <v>15660</v>
      </c>
      <c r="C4" s="1">
        <v>435</v>
      </c>
    </row>
    <row r="5" spans="1:3" x14ac:dyDescent="0.25">
      <c r="A5" s="16" t="s">
        <v>393</v>
      </c>
      <c r="B5" s="1">
        <v>10012.800000000028</v>
      </c>
      <c r="C5" s="1">
        <v>586</v>
      </c>
    </row>
    <row r="6" spans="1:3" x14ac:dyDescent="0.25">
      <c r="A6" s="16" t="s">
        <v>35</v>
      </c>
      <c r="B6" s="1">
        <v>7014</v>
      </c>
      <c r="C6" s="1">
        <v>501</v>
      </c>
    </row>
    <row r="7" spans="1:3" x14ac:dyDescent="0.25">
      <c r="A7" s="16" t="s">
        <v>16</v>
      </c>
      <c r="B7" s="1">
        <v>5966.800000000002</v>
      </c>
      <c r="C7" s="1">
        <v>2131</v>
      </c>
    </row>
    <row r="8" spans="1:3" x14ac:dyDescent="0.25">
      <c r="A8" s="16" t="s">
        <v>132</v>
      </c>
      <c r="B8" s="1">
        <v>5525.4800000000059</v>
      </c>
      <c r="C8" s="1">
        <v>107</v>
      </c>
    </row>
    <row r="9" spans="1:3" x14ac:dyDescent="0.25">
      <c r="A9" s="16" t="s">
        <v>11</v>
      </c>
      <c r="B9" s="1">
        <v>5112</v>
      </c>
      <c r="C9" s="1">
        <v>852</v>
      </c>
    </row>
    <row r="10" spans="1:3" x14ac:dyDescent="0.25">
      <c r="A10" s="16" t="s">
        <v>637</v>
      </c>
      <c r="B10" s="1">
        <v>4492.6799999999994</v>
      </c>
      <c r="C10" s="1">
        <v>87</v>
      </c>
    </row>
    <row r="11" spans="1:3" x14ac:dyDescent="0.25">
      <c r="A11" s="16" t="s">
        <v>25</v>
      </c>
      <c r="B11" s="1">
        <v>4449.1999999999935</v>
      </c>
      <c r="C11" s="1">
        <v>227</v>
      </c>
    </row>
    <row r="12" spans="1:3" x14ac:dyDescent="0.25">
      <c r="A12" s="16" t="s">
        <v>20</v>
      </c>
      <c r="B12" s="1">
        <v>3696.0000000000268</v>
      </c>
      <c r="C12" s="1">
        <v>420</v>
      </c>
    </row>
    <row r="13" spans="1:3" x14ac:dyDescent="0.25">
      <c r="A13" s="16" t="s">
        <v>28</v>
      </c>
      <c r="B13" s="1">
        <v>2562</v>
      </c>
      <c r="C13" s="1">
        <v>61</v>
      </c>
    </row>
    <row r="14" spans="1:3" x14ac:dyDescent="0.25">
      <c r="A14" s="16" t="s">
        <v>47</v>
      </c>
      <c r="B14" s="1">
        <v>2366.4000000000046</v>
      </c>
      <c r="C14" s="1">
        <v>986</v>
      </c>
    </row>
    <row r="15" spans="1:3" x14ac:dyDescent="0.25">
      <c r="A15" s="16" t="s">
        <v>79</v>
      </c>
      <c r="B15" s="1">
        <v>2248</v>
      </c>
      <c r="C15" s="1">
        <v>281</v>
      </c>
    </row>
    <row r="16" spans="1:3" x14ac:dyDescent="0.25">
      <c r="A16" s="16" t="s">
        <v>52</v>
      </c>
      <c r="B16" s="1">
        <v>2006.3999999999903</v>
      </c>
      <c r="C16" s="1">
        <v>264</v>
      </c>
    </row>
    <row r="17" spans="1:3" x14ac:dyDescent="0.25">
      <c r="A17" s="16" t="s">
        <v>43</v>
      </c>
      <c r="B17" s="1">
        <v>1824</v>
      </c>
      <c r="C17" s="1">
        <v>228</v>
      </c>
    </row>
    <row r="18" spans="1:3" x14ac:dyDescent="0.25">
      <c r="A18" s="16" t="s">
        <v>65</v>
      </c>
      <c r="B18" s="1">
        <v>1808.7999999999954</v>
      </c>
      <c r="C18" s="1">
        <v>238</v>
      </c>
    </row>
    <row r="19" spans="1:3" x14ac:dyDescent="0.25">
      <c r="A19" s="16" t="s">
        <v>320</v>
      </c>
      <c r="B19" s="1">
        <v>1342.6400000000006</v>
      </c>
      <c r="C19" s="1">
        <v>26</v>
      </c>
    </row>
    <row r="20" spans="1:3" x14ac:dyDescent="0.25">
      <c r="A20" s="16" t="s">
        <v>68</v>
      </c>
      <c r="B20" s="1">
        <v>1332</v>
      </c>
      <c r="C20" s="1">
        <v>37</v>
      </c>
    </row>
    <row r="21" spans="1:3" x14ac:dyDescent="0.25">
      <c r="A21" s="16" t="s">
        <v>138</v>
      </c>
      <c r="B21" s="1">
        <v>1194.6000000000001</v>
      </c>
      <c r="C21" s="1">
        <v>15</v>
      </c>
    </row>
    <row r="22" spans="1:3" x14ac:dyDescent="0.25">
      <c r="A22" s="16" t="s">
        <v>143</v>
      </c>
      <c r="B22" s="1">
        <v>1144</v>
      </c>
      <c r="C22" s="1">
        <v>44</v>
      </c>
    </row>
    <row r="23" spans="1:3" x14ac:dyDescent="0.25">
      <c r="A23" s="16" t="s">
        <v>682</v>
      </c>
      <c r="B23" s="1">
        <v>1080</v>
      </c>
      <c r="C23" s="1">
        <v>27</v>
      </c>
    </row>
    <row r="24" spans="1:3" x14ac:dyDescent="0.25">
      <c r="A24" s="16" t="s">
        <v>655</v>
      </c>
      <c r="B24" s="1">
        <v>1047.200000000001</v>
      </c>
      <c r="C24" s="1">
        <v>77</v>
      </c>
    </row>
    <row r="25" spans="1:3" x14ac:dyDescent="0.25">
      <c r="A25" s="16" t="s">
        <v>657</v>
      </c>
      <c r="B25" s="1">
        <v>983.31999999999994</v>
      </c>
      <c r="C25" s="1">
        <v>13</v>
      </c>
    </row>
    <row r="26" spans="1:3" x14ac:dyDescent="0.25">
      <c r="A26" s="16" t="s">
        <v>663</v>
      </c>
      <c r="B26" s="1">
        <v>954.2399999999999</v>
      </c>
      <c r="C26" s="1">
        <v>16</v>
      </c>
    </row>
    <row r="27" spans="1:3" x14ac:dyDescent="0.25">
      <c r="A27" s="16" t="s">
        <v>649</v>
      </c>
      <c r="B27" s="1">
        <v>954.2399999999999</v>
      </c>
      <c r="C27" s="1">
        <v>16</v>
      </c>
    </row>
    <row r="28" spans="1:3" x14ac:dyDescent="0.25">
      <c r="A28" s="16" t="s">
        <v>268</v>
      </c>
      <c r="B28" s="1">
        <v>680</v>
      </c>
      <c r="C28" s="1">
        <v>34</v>
      </c>
    </row>
    <row r="29" spans="1:3" x14ac:dyDescent="0.25">
      <c r="A29" s="16" t="s">
        <v>363</v>
      </c>
      <c r="B29" s="1">
        <v>610</v>
      </c>
      <c r="C29" s="1">
        <v>61</v>
      </c>
    </row>
    <row r="30" spans="1:3" x14ac:dyDescent="0.25">
      <c r="A30" s="16" t="s">
        <v>638</v>
      </c>
      <c r="B30" s="1">
        <v>605.12</v>
      </c>
      <c r="C30" s="1">
        <v>8</v>
      </c>
    </row>
    <row r="31" spans="1:3" x14ac:dyDescent="0.25">
      <c r="A31" s="16" t="s">
        <v>353</v>
      </c>
      <c r="B31" s="1">
        <v>596.4</v>
      </c>
      <c r="C31" s="1">
        <v>10</v>
      </c>
    </row>
    <row r="32" spans="1:3" x14ac:dyDescent="0.25">
      <c r="A32" s="16" t="s">
        <v>674</v>
      </c>
      <c r="B32" s="1">
        <v>559.3599999999999</v>
      </c>
      <c r="C32" s="1">
        <v>304</v>
      </c>
    </row>
    <row r="33" spans="1:3" x14ac:dyDescent="0.25">
      <c r="A33" s="16" t="s">
        <v>330</v>
      </c>
      <c r="B33" s="1">
        <v>520</v>
      </c>
      <c r="C33" s="1">
        <v>13</v>
      </c>
    </row>
    <row r="34" spans="1:3" x14ac:dyDescent="0.25">
      <c r="A34" s="16" t="s">
        <v>146</v>
      </c>
      <c r="B34" s="1">
        <v>432</v>
      </c>
      <c r="C34" s="1">
        <v>24</v>
      </c>
    </row>
    <row r="35" spans="1:3" x14ac:dyDescent="0.25">
      <c r="A35" s="16" t="s">
        <v>332</v>
      </c>
      <c r="B35" s="1">
        <v>428.75999999999993</v>
      </c>
      <c r="C35" s="1">
        <v>9</v>
      </c>
    </row>
    <row r="36" spans="1:3" x14ac:dyDescent="0.25">
      <c r="A36" s="16" t="s">
        <v>328</v>
      </c>
      <c r="B36" s="1">
        <v>396</v>
      </c>
      <c r="C36" s="1">
        <v>18</v>
      </c>
    </row>
    <row r="37" spans="1:3" x14ac:dyDescent="0.25">
      <c r="A37" s="16" t="s">
        <v>681</v>
      </c>
      <c r="B37" s="1">
        <v>380</v>
      </c>
      <c r="C37" s="1">
        <v>10</v>
      </c>
    </row>
    <row r="38" spans="1:3" x14ac:dyDescent="0.25">
      <c r="A38" s="16" t="s">
        <v>45</v>
      </c>
      <c r="B38" s="1">
        <v>369.5999999999998</v>
      </c>
      <c r="C38" s="1">
        <v>33</v>
      </c>
    </row>
    <row r="39" spans="1:3" x14ac:dyDescent="0.25">
      <c r="A39" s="16" t="s">
        <v>685</v>
      </c>
      <c r="B39" s="1">
        <v>360</v>
      </c>
      <c r="C39" s="1">
        <v>9</v>
      </c>
    </row>
    <row r="40" spans="1:3" x14ac:dyDescent="0.25">
      <c r="A40" s="16" t="s">
        <v>318</v>
      </c>
      <c r="B40" s="1">
        <v>316.79999999999995</v>
      </c>
      <c r="C40" s="1">
        <v>9</v>
      </c>
    </row>
    <row r="41" spans="1:3" x14ac:dyDescent="0.25">
      <c r="A41" s="16" t="s">
        <v>41</v>
      </c>
      <c r="B41" s="1">
        <v>295.19999999999976</v>
      </c>
      <c r="C41" s="1">
        <v>41</v>
      </c>
    </row>
    <row r="42" spans="1:3" x14ac:dyDescent="0.25">
      <c r="A42" s="16" t="s">
        <v>345</v>
      </c>
      <c r="B42" s="1">
        <v>260</v>
      </c>
      <c r="C42" s="1">
        <v>13</v>
      </c>
    </row>
    <row r="43" spans="1:3" x14ac:dyDescent="0.25">
      <c r="A43" s="16" t="s">
        <v>757</v>
      </c>
      <c r="B43" s="1">
        <v>238.92000000000002</v>
      </c>
      <c r="C43" s="1">
        <v>3</v>
      </c>
    </row>
    <row r="44" spans="1:3" x14ac:dyDescent="0.25">
      <c r="A44" s="16" t="s">
        <v>314</v>
      </c>
      <c r="B44" s="1">
        <v>232.39999999999998</v>
      </c>
      <c r="C44" s="1">
        <v>7</v>
      </c>
    </row>
    <row r="45" spans="1:3" x14ac:dyDescent="0.25">
      <c r="A45" s="16" t="s">
        <v>355</v>
      </c>
      <c r="B45" s="1">
        <v>225.6</v>
      </c>
      <c r="C45" s="1">
        <v>6</v>
      </c>
    </row>
    <row r="46" spans="1:3" x14ac:dyDescent="0.25">
      <c r="A46" s="16" t="s">
        <v>341</v>
      </c>
      <c r="B46" s="1">
        <v>208.79999999999993</v>
      </c>
      <c r="C46" s="1">
        <v>18</v>
      </c>
    </row>
    <row r="47" spans="1:3" x14ac:dyDescent="0.25">
      <c r="A47" s="16" t="s">
        <v>323</v>
      </c>
      <c r="B47" s="1">
        <v>206.56</v>
      </c>
      <c r="C47" s="1">
        <v>4</v>
      </c>
    </row>
    <row r="48" spans="1:3" x14ac:dyDescent="0.25">
      <c r="A48" s="16" t="s">
        <v>31</v>
      </c>
      <c r="B48" s="1">
        <v>202.4</v>
      </c>
      <c r="C48" s="1">
        <v>22</v>
      </c>
    </row>
    <row r="49" spans="1:3" x14ac:dyDescent="0.25">
      <c r="A49" s="16" t="s">
        <v>680</v>
      </c>
      <c r="B49" s="1">
        <v>200</v>
      </c>
      <c r="C49" s="1">
        <v>10</v>
      </c>
    </row>
    <row r="50" spans="1:3" x14ac:dyDescent="0.25">
      <c r="A50" s="16" t="s">
        <v>136</v>
      </c>
      <c r="B50" s="1">
        <v>196</v>
      </c>
      <c r="C50" s="1">
        <v>7</v>
      </c>
    </row>
    <row r="51" spans="1:3" x14ac:dyDescent="0.25">
      <c r="A51" s="16" t="s">
        <v>665</v>
      </c>
      <c r="B51" s="1">
        <v>190.92000000000002</v>
      </c>
      <c r="C51" s="1">
        <v>3</v>
      </c>
    </row>
    <row r="52" spans="1:3" x14ac:dyDescent="0.25">
      <c r="A52" s="16" t="s">
        <v>304</v>
      </c>
      <c r="B52" s="1">
        <v>179.20000000000007</v>
      </c>
      <c r="C52" s="1">
        <v>28</v>
      </c>
    </row>
    <row r="53" spans="1:3" x14ac:dyDescent="0.25">
      <c r="A53" s="16" t="s">
        <v>327</v>
      </c>
      <c r="B53" s="1">
        <v>176</v>
      </c>
      <c r="C53" s="1">
        <v>8</v>
      </c>
    </row>
    <row r="54" spans="1:3" x14ac:dyDescent="0.25">
      <c r="A54" s="16" t="s">
        <v>360</v>
      </c>
      <c r="B54" s="1">
        <v>174.56</v>
      </c>
      <c r="C54" s="1">
        <v>4</v>
      </c>
    </row>
    <row r="55" spans="1:3" x14ac:dyDescent="0.25">
      <c r="A55" s="16" t="s">
        <v>652</v>
      </c>
      <c r="B55" s="1">
        <v>160</v>
      </c>
      <c r="C55" s="1">
        <v>20</v>
      </c>
    </row>
    <row r="56" spans="1:3" x14ac:dyDescent="0.25">
      <c r="A56" s="16" t="s">
        <v>55</v>
      </c>
      <c r="B56" s="1">
        <v>160</v>
      </c>
      <c r="C56" s="1">
        <v>40</v>
      </c>
    </row>
    <row r="57" spans="1:3" x14ac:dyDescent="0.25">
      <c r="A57" s="16" t="s">
        <v>307</v>
      </c>
      <c r="B57" s="1">
        <v>153.59999999999997</v>
      </c>
      <c r="C57" s="1">
        <v>16</v>
      </c>
    </row>
    <row r="58" spans="1:3" x14ac:dyDescent="0.25">
      <c r="A58" s="16" t="s">
        <v>749</v>
      </c>
      <c r="B58" s="1">
        <v>140.80000000000001</v>
      </c>
      <c r="C58" s="1">
        <v>11</v>
      </c>
    </row>
    <row r="59" spans="1:3" x14ac:dyDescent="0.25">
      <c r="A59" s="16" t="s">
        <v>266</v>
      </c>
      <c r="B59" s="1">
        <v>126</v>
      </c>
      <c r="C59" s="1">
        <v>21</v>
      </c>
    </row>
    <row r="60" spans="1:3" x14ac:dyDescent="0.25">
      <c r="A60" s="16" t="s">
        <v>659</v>
      </c>
      <c r="B60" s="1">
        <v>120</v>
      </c>
      <c r="C60" s="1">
        <v>12</v>
      </c>
    </row>
    <row r="61" spans="1:3" x14ac:dyDescent="0.25">
      <c r="A61" s="16" t="s">
        <v>316</v>
      </c>
      <c r="B61" s="1">
        <v>120</v>
      </c>
      <c r="C61" s="1">
        <v>12</v>
      </c>
    </row>
    <row r="62" spans="1:3" x14ac:dyDescent="0.25">
      <c r="A62" s="16" t="s">
        <v>206</v>
      </c>
      <c r="B62" s="1">
        <v>118</v>
      </c>
      <c r="C62" s="1">
        <v>59</v>
      </c>
    </row>
    <row r="63" spans="1:3" x14ac:dyDescent="0.25">
      <c r="A63" s="16" t="s">
        <v>640</v>
      </c>
      <c r="B63" s="1">
        <v>112</v>
      </c>
      <c r="C63" s="1">
        <v>8</v>
      </c>
    </row>
    <row r="64" spans="1:3" x14ac:dyDescent="0.25">
      <c r="A64" s="16" t="s">
        <v>671</v>
      </c>
      <c r="B64" s="1">
        <v>105.6</v>
      </c>
      <c r="C64" s="1">
        <v>11</v>
      </c>
    </row>
    <row r="65" spans="1:3" x14ac:dyDescent="0.25">
      <c r="A65" s="16" t="s">
        <v>305</v>
      </c>
      <c r="B65" s="1">
        <v>101.99999999999997</v>
      </c>
      <c r="C65" s="1">
        <v>15</v>
      </c>
    </row>
    <row r="66" spans="1:3" x14ac:dyDescent="0.25">
      <c r="A66" s="16" t="s">
        <v>325</v>
      </c>
      <c r="B66" s="1">
        <v>100</v>
      </c>
      <c r="C66" s="1">
        <v>10</v>
      </c>
    </row>
    <row r="67" spans="1:3" x14ac:dyDescent="0.25">
      <c r="A67" s="16" t="s">
        <v>647</v>
      </c>
      <c r="B67" s="1">
        <v>96</v>
      </c>
      <c r="C67" s="1">
        <v>8</v>
      </c>
    </row>
    <row r="68" spans="1:3" x14ac:dyDescent="0.25">
      <c r="A68" s="16" t="s">
        <v>149</v>
      </c>
      <c r="B68" s="1">
        <v>94</v>
      </c>
      <c r="C68" s="1">
        <v>5</v>
      </c>
    </row>
    <row r="69" spans="1:3" x14ac:dyDescent="0.25">
      <c r="A69" s="16" t="s">
        <v>57</v>
      </c>
      <c r="B69" s="1">
        <v>92.000000000000014</v>
      </c>
      <c r="C69" s="1">
        <v>10</v>
      </c>
    </row>
    <row r="70" spans="1:3" x14ac:dyDescent="0.25">
      <c r="A70" s="16" t="s">
        <v>651</v>
      </c>
      <c r="B70" s="1">
        <v>76.799999999999983</v>
      </c>
      <c r="C70" s="1">
        <v>16</v>
      </c>
    </row>
    <row r="71" spans="1:3" x14ac:dyDescent="0.25">
      <c r="A71" s="16" t="s">
        <v>38</v>
      </c>
      <c r="B71" s="1">
        <v>72</v>
      </c>
      <c r="C71" s="1">
        <v>6</v>
      </c>
    </row>
    <row r="72" spans="1:3" x14ac:dyDescent="0.25">
      <c r="A72" s="16" t="s">
        <v>668</v>
      </c>
      <c r="B72" s="1">
        <v>62.400000000000006</v>
      </c>
      <c r="C72" s="1">
        <v>3</v>
      </c>
    </row>
    <row r="73" spans="1:3" x14ac:dyDescent="0.25">
      <c r="A73" s="16" t="s">
        <v>667</v>
      </c>
      <c r="B73" s="1">
        <v>60</v>
      </c>
      <c r="C73" s="1">
        <v>3</v>
      </c>
    </row>
    <row r="74" spans="1:3" x14ac:dyDescent="0.25">
      <c r="A74" s="16" t="s">
        <v>343</v>
      </c>
      <c r="B74" s="1">
        <v>54</v>
      </c>
      <c r="C74" s="1">
        <v>3</v>
      </c>
    </row>
    <row r="75" spans="1:3" x14ac:dyDescent="0.25">
      <c r="A75" s="16" t="s">
        <v>352</v>
      </c>
      <c r="B75" s="1">
        <v>52</v>
      </c>
      <c r="C75" s="1">
        <v>5</v>
      </c>
    </row>
    <row r="76" spans="1:3" x14ac:dyDescent="0.25">
      <c r="A76" s="16" t="s">
        <v>760</v>
      </c>
      <c r="B76" s="1">
        <v>48</v>
      </c>
      <c r="C76" s="1">
        <v>10</v>
      </c>
    </row>
    <row r="77" spans="1:3" x14ac:dyDescent="0.25">
      <c r="A77" s="16" t="s">
        <v>762</v>
      </c>
      <c r="B77" s="1">
        <v>48</v>
      </c>
      <c r="C77" s="1">
        <v>3</v>
      </c>
    </row>
    <row r="78" spans="1:3" x14ac:dyDescent="0.25">
      <c r="A78" s="16" t="s">
        <v>302</v>
      </c>
      <c r="B78" s="1">
        <v>40</v>
      </c>
      <c r="C78" s="1">
        <v>5</v>
      </c>
    </row>
    <row r="79" spans="1:3" x14ac:dyDescent="0.25">
      <c r="A79" s="16" t="s">
        <v>1177</v>
      </c>
      <c r="B79" s="1">
        <v>38</v>
      </c>
      <c r="C79" s="1">
        <v>5</v>
      </c>
    </row>
    <row r="80" spans="1:3" x14ac:dyDescent="0.25">
      <c r="A80" s="16" t="s">
        <v>1005</v>
      </c>
      <c r="B80" s="1">
        <v>36</v>
      </c>
      <c r="C80" s="1">
        <v>3</v>
      </c>
    </row>
    <row r="81" spans="1:3" x14ac:dyDescent="0.25">
      <c r="A81" s="16" t="s">
        <v>1175</v>
      </c>
      <c r="B81" s="1">
        <v>36</v>
      </c>
      <c r="C81" s="1">
        <v>5</v>
      </c>
    </row>
    <row r="82" spans="1:3" x14ac:dyDescent="0.25">
      <c r="A82" s="16" t="s">
        <v>335</v>
      </c>
      <c r="B82" s="1">
        <v>32</v>
      </c>
      <c r="C82" s="1">
        <v>5</v>
      </c>
    </row>
    <row r="83" spans="1:3" x14ac:dyDescent="0.25">
      <c r="A83" s="16" t="s">
        <v>765</v>
      </c>
      <c r="B83" s="1">
        <v>31.2</v>
      </c>
      <c r="C83" s="1">
        <v>6</v>
      </c>
    </row>
    <row r="84" spans="1:3" x14ac:dyDescent="0.25">
      <c r="A84" s="16" t="s">
        <v>660</v>
      </c>
      <c r="B84" s="1">
        <v>26</v>
      </c>
      <c r="C84" s="1">
        <v>5</v>
      </c>
    </row>
    <row r="85" spans="1:3" x14ac:dyDescent="0.25">
      <c r="A85" s="16" t="s">
        <v>312</v>
      </c>
      <c r="B85" s="1">
        <v>24</v>
      </c>
      <c r="C85" s="1">
        <v>2</v>
      </c>
    </row>
    <row r="86" spans="1:3" x14ac:dyDescent="0.25">
      <c r="A86" s="16" t="s">
        <v>362</v>
      </c>
      <c r="B86" s="1">
        <v>24</v>
      </c>
      <c r="C86" s="1">
        <v>3</v>
      </c>
    </row>
    <row r="87" spans="1:3" x14ac:dyDescent="0.25">
      <c r="A87" s="16" t="s">
        <v>139</v>
      </c>
      <c r="B87" s="1">
        <v>20.8</v>
      </c>
      <c r="C87" s="1">
        <v>1</v>
      </c>
    </row>
    <row r="88" spans="1:3" x14ac:dyDescent="0.25">
      <c r="A88" s="16" t="s">
        <v>662</v>
      </c>
      <c r="B88" s="1">
        <v>16</v>
      </c>
      <c r="C88" s="1">
        <v>1</v>
      </c>
    </row>
    <row r="89" spans="1:3" x14ac:dyDescent="0.25">
      <c r="A89" s="16" t="s">
        <v>310</v>
      </c>
      <c r="B89" s="1">
        <v>14</v>
      </c>
      <c r="C89" s="1">
        <v>7</v>
      </c>
    </row>
    <row r="90" spans="1:3" x14ac:dyDescent="0.25">
      <c r="A90" s="16" t="s">
        <v>339</v>
      </c>
      <c r="B90" s="1">
        <v>12</v>
      </c>
      <c r="C90" s="1">
        <v>2</v>
      </c>
    </row>
    <row r="91" spans="1:3" x14ac:dyDescent="0.25">
      <c r="A91" s="16" t="s">
        <v>1179</v>
      </c>
      <c r="B91" s="1">
        <v>10.8</v>
      </c>
      <c r="C91" s="1">
        <v>3</v>
      </c>
    </row>
    <row r="92" spans="1:3" x14ac:dyDescent="0.25">
      <c r="A92" s="16" t="s">
        <v>1186</v>
      </c>
      <c r="B92" s="1">
        <v>10</v>
      </c>
      <c r="C92" s="1">
        <v>1</v>
      </c>
    </row>
    <row r="93" spans="1:3" x14ac:dyDescent="0.25">
      <c r="A93" s="16" t="s">
        <v>654</v>
      </c>
      <c r="B93" s="1">
        <v>9.6</v>
      </c>
      <c r="C93" s="1">
        <v>1</v>
      </c>
    </row>
    <row r="94" spans="1:3" x14ac:dyDescent="0.25">
      <c r="A94" s="16" t="s">
        <v>1338</v>
      </c>
      <c r="B94" s="1">
        <v>96671.000000000058</v>
      </c>
      <c r="C94" s="1">
        <v>8753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4691-2B6D-447D-9099-5E39FD898679}">
  <dimension ref="A1:F55"/>
  <sheetViews>
    <sheetView workbookViewId="0">
      <selection activeCell="L34" sqref="L34"/>
    </sheetView>
  </sheetViews>
  <sheetFormatPr defaultRowHeight="15" x14ac:dyDescent="0.25"/>
  <cols>
    <col min="1" max="1" width="41.85546875" bestFit="1" customWidth="1"/>
    <col min="2" max="2" width="13" bestFit="1" customWidth="1"/>
    <col min="6" max="6" width="9.5703125" bestFit="1" customWidth="1"/>
  </cols>
  <sheetData>
    <row r="1" spans="1:6" x14ac:dyDescent="0.25">
      <c r="A1" s="15" t="s">
        <v>1336</v>
      </c>
      <c r="B1" t="s">
        <v>1345</v>
      </c>
    </row>
    <row r="2" spans="1:6" x14ac:dyDescent="0.25">
      <c r="D2" t="s">
        <v>1348</v>
      </c>
      <c r="F2" t="s">
        <v>1349</v>
      </c>
    </row>
    <row r="3" spans="1:6" x14ac:dyDescent="0.25">
      <c r="A3" s="15" t="s">
        <v>1337</v>
      </c>
      <c r="B3" t="s">
        <v>1347</v>
      </c>
      <c r="D3" t="s">
        <v>1346</v>
      </c>
      <c r="E3">
        <v>32</v>
      </c>
      <c r="F3" s="17">
        <f>E3/$E$6*100</f>
        <v>35.555555555555557</v>
      </c>
    </row>
    <row r="4" spans="1:6" x14ac:dyDescent="0.25">
      <c r="A4" s="16" t="s">
        <v>353</v>
      </c>
      <c r="B4" s="1">
        <v>10</v>
      </c>
      <c r="D4" t="s">
        <v>1345</v>
      </c>
      <c r="E4">
        <v>51</v>
      </c>
      <c r="F4" s="17">
        <f t="shared" ref="F4:F5" si="0">E4/$E$6*100</f>
        <v>56.666666666666664</v>
      </c>
    </row>
    <row r="5" spans="1:6" x14ac:dyDescent="0.25">
      <c r="A5" s="16" t="s">
        <v>268</v>
      </c>
      <c r="B5" s="1">
        <v>34</v>
      </c>
      <c r="D5" t="s">
        <v>1344</v>
      </c>
      <c r="E5">
        <v>7</v>
      </c>
      <c r="F5" s="17">
        <f t="shared" si="0"/>
        <v>7.7777777777777777</v>
      </c>
    </row>
    <row r="6" spans="1:6" x14ac:dyDescent="0.25">
      <c r="A6" s="16" t="s">
        <v>139</v>
      </c>
      <c r="B6" s="1">
        <v>1</v>
      </c>
      <c r="D6" t="s">
        <v>1350</v>
      </c>
      <c r="E6">
        <f>SUM(E3:E5)</f>
        <v>90</v>
      </c>
    </row>
    <row r="7" spans="1:6" x14ac:dyDescent="0.25">
      <c r="A7" s="16" t="s">
        <v>320</v>
      </c>
      <c r="B7" s="1">
        <v>26</v>
      </c>
    </row>
    <row r="8" spans="1:6" x14ac:dyDescent="0.25">
      <c r="A8" s="16" t="s">
        <v>323</v>
      </c>
      <c r="B8" s="1">
        <v>4</v>
      </c>
    </row>
    <row r="9" spans="1:6" x14ac:dyDescent="0.25">
      <c r="A9" s="16" t="s">
        <v>681</v>
      </c>
      <c r="B9" s="1">
        <v>10</v>
      </c>
    </row>
    <row r="10" spans="1:6" x14ac:dyDescent="0.25">
      <c r="A10" s="16" t="s">
        <v>318</v>
      </c>
      <c r="B10" s="1">
        <v>9</v>
      </c>
    </row>
    <row r="11" spans="1:6" x14ac:dyDescent="0.25">
      <c r="A11" s="16" t="s">
        <v>28</v>
      </c>
      <c r="B11" s="1">
        <v>61</v>
      </c>
    </row>
    <row r="12" spans="1:6" x14ac:dyDescent="0.25">
      <c r="A12" s="16" t="s">
        <v>314</v>
      </c>
      <c r="B12" s="1">
        <v>7</v>
      </c>
    </row>
    <row r="13" spans="1:6" ht="15" customHeight="1" x14ac:dyDescent="0.25">
      <c r="A13" s="16" t="s">
        <v>685</v>
      </c>
      <c r="B13" s="1">
        <v>9</v>
      </c>
    </row>
    <row r="14" spans="1:6" x14ac:dyDescent="0.25">
      <c r="A14" s="16" t="s">
        <v>68</v>
      </c>
      <c r="B14" s="1">
        <v>37</v>
      </c>
    </row>
    <row r="15" spans="1:6" x14ac:dyDescent="0.25">
      <c r="A15" s="16" t="s">
        <v>266</v>
      </c>
      <c r="B15" s="1">
        <v>19</v>
      </c>
    </row>
    <row r="16" spans="1:6" x14ac:dyDescent="0.25">
      <c r="A16" s="16" t="s">
        <v>660</v>
      </c>
      <c r="B16" s="1">
        <v>4</v>
      </c>
    </row>
    <row r="17" spans="1:2" x14ac:dyDescent="0.25">
      <c r="A17" s="16" t="s">
        <v>362</v>
      </c>
      <c r="B17" s="1">
        <v>3</v>
      </c>
    </row>
    <row r="18" spans="1:2" x14ac:dyDescent="0.25">
      <c r="A18" s="16" t="s">
        <v>352</v>
      </c>
      <c r="B18" s="1">
        <v>5</v>
      </c>
    </row>
    <row r="19" spans="1:2" x14ac:dyDescent="0.25">
      <c r="A19" s="16" t="s">
        <v>659</v>
      </c>
      <c r="B19" s="1">
        <v>12</v>
      </c>
    </row>
    <row r="20" spans="1:2" x14ac:dyDescent="0.25">
      <c r="A20" s="16" t="s">
        <v>57</v>
      </c>
      <c r="B20" s="1">
        <v>10</v>
      </c>
    </row>
    <row r="21" spans="1:2" x14ac:dyDescent="0.25">
      <c r="A21" s="16" t="s">
        <v>302</v>
      </c>
      <c r="B21" s="1">
        <v>5</v>
      </c>
    </row>
    <row r="22" spans="1:2" x14ac:dyDescent="0.25">
      <c r="A22" s="16" t="s">
        <v>674</v>
      </c>
      <c r="B22" s="1">
        <v>80</v>
      </c>
    </row>
    <row r="23" spans="1:2" x14ac:dyDescent="0.25">
      <c r="A23" s="16" t="s">
        <v>47</v>
      </c>
      <c r="B23" s="1">
        <v>403</v>
      </c>
    </row>
    <row r="24" spans="1:2" x14ac:dyDescent="0.25">
      <c r="A24" s="16" t="s">
        <v>206</v>
      </c>
      <c r="B24" s="1">
        <v>18</v>
      </c>
    </row>
    <row r="25" spans="1:2" x14ac:dyDescent="0.25">
      <c r="A25" s="16" t="s">
        <v>310</v>
      </c>
      <c r="B25" s="1">
        <v>2</v>
      </c>
    </row>
    <row r="26" spans="1:2" x14ac:dyDescent="0.25">
      <c r="A26" s="16" t="s">
        <v>760</v>
      </c>
      <c r="B26" s="1">
        <v>4</v>
      </c>
    </row>
    <row r="27" spans="1:2" x14ac:dyDescent="0.25">
      <c r="A27" s="16" t="s">
        <v>651</v>
      </c>
      <c r="B27" s="1">
        <v>9</v>
      </c>
    </row>
    <row r="28" spans="1:2" x14ac:dyDescent="0.25">
      <c r="A28" s="16" t="s">
        <v>55</v>
      </c>
      <c r="B28" s="1">
        <v>25</v>
      </c>
    </row>
    <row r="29" spans="1:2" x14ac:dyDescent="0.25">
      <c r="A29" s="16" t="s">
        <v>652</v>
      </c>
      <c r="B29" s="1">
        <v>20</v>
      </c>
    </row>
    <row r="30" spans="1:2" x14ac:dyDescent="0.25">
      <c r="A30" s="16" t="s">
        <v>316</v>
      </c>
      <c r="B30" s="1">
        <v>12</v>
      </c>
    </row>
    <row r="31" spans="1:2" x14ac:dyDescent="0.25">
      <c r="A31" s="16" t="s">
        <v>647</v>
      </c>
      <c r="B31" s="1">
        <v>8</v>
      </c>
    </row>
    <row r="32" spans="1:2" x14ac:dyDescent="0.25">
      <c r="A32" s="16" t="s">
        <v>312</v>
      </c>
      <c r="B32" s="1">
        <v>2</v>
      </c>
    </row>
    <row r="33" spans="1:2" x14ac:dyDescent="0.25">
      <c r="A33" s="16" t="s">
        <v>360</v>
      </c>
      <c r="B33" s="1">
        <v>4</v>
      </c>
    </row>
    <row r="34" spans="1:2" x14ac:dyDescent="0.25">
      <c r="A34" s="16" t="s">
        <v>637</v>
      </c>
      <c r="B34" s="1">
        <v>87</v>
      </c>
    </row>
    <row r="35" spans="1:2" x14ac:dyDescent="0.25">
      <c r="A35" s="16" t="s">
        <v>655</v>
      </c>
      <c r="B35" s="1">
        <v>76</v>
      </c>
    </row>
    <row r="36" spans="1:2" x14ac:dyDescent="0.25">
      <c r="A36" s="16" t="s">
        <v>35</v>
      </c>
      <c r="B36" s="1">
        <v>418</v>
      </c>
    </row>
    <row r="37" spans="1:2" x14ac:dyDescent="0.25">
      <c r="A37" s="16" t="s">
        <v>749</v>
      </c>
      <c r="B37" s="1">
        <v>6</v>
      </c>
    </row>
    <row r="38" spans="1:2" x14ac:dyDescent="0.25">
      <c r="A38" s="16" t="s">
        <v>45</v>
      </c>
      <c r="B38" s="1">
        <v>30</v>
      </c>
    </row>
    <row r="39" spans="1:2" x14ac:dyDescent="0.25">
      <c r="A39" s="16" t="s">
        <v>149</v>
      </c>
      <c r="B39" s="1">
        <v>5</v>
      </c>
    </row>
    <row r="40" spans="1:2" x14ac:dyDescent="0.25">
      <c r="A40" s="16" t="s">
        <v>680</v>
      </c>
      <c r="B40" s="1">
        <v>10</v>
      </c>
    </row>
    <row r="41" spans="1:2" x14ac:dyDescent="0.25">
      <c r="A41" s="16" t="s">
        <v>662</v>
      </c>
      <c r="B41" s="1">
        <v>1</v>
      </c>
    </row>
    <row r="42" spans="1:2" x14ac:dyDescent="0.25">
      <c r="A42" s="16" t="s">
        <v>79</v>
      </c>
      <c r="B42" s="1">
        <v>279</v>
      </c>
    </row>
    <row r="43" spans="1:2" x14ac:dyDescent="0.25">
      <c r="A43" s="16" t="s">
        <v>143</v>
      </c>
      <c r="B43" s="1">
        <v>44</v>
      </c>
    </row>
    <row r="44" spans="1:2" x14ac:dyDescent="0.25">
      <c r="A44" s="16" t="s">
        <v>1177</v>
      </c>
      <c r="B44" s="1">
        <v>5</v>
      </c>
    </row>
    <row r="45" spans="1:2" x14ac:dyDescent="0.25">
      <c r="A45" s="16" t="s">
        <v>41</v>
      </c>
      <c r="B45" s="1">
        <v>41</v>
      </c>
    </row>
    <row r="46" spans="1:2" x14ac:dyDescent="0.25">
      <c r="A46" s="16" t="s">
        <v>1005</v>
      </c>
      <c r="B46" s="1">
        <v>3</v>
      </c>
    </row>
    <row r="47" spans="1:2" x14ac:dyDescent="0.25">
      <c r="A47" s="16" t="s">
        <v>638</v>
      </c>
      <c r="B47" s="1">
        <v>8</v>
      </c>
    </row>
    <row r="48" spans="1:2" x14ac:dyDescent="0.25">
      <c r="A48" s="16" t="s">
        <v>663</v>
      </c>
      <c r="B48" s="1">
        <v>16</v>
      </c>
    </row>
    <row r="49" spans="1:2" x14ac:dyDescent="0.25">
      <c r="A49" s="16" t="s">
        <v>757</v>
      </c>
      <c r="B49" s="1">
        <v>3</v>
      </c>
    </row>
    <row r="50" spans="1:2" x14ac:dyDescent="0.25">
      <c r="A50" s="16" t="s">
        <v>657</v>
      </c>
      <c r="B50" s="1">
        <v>13</v>
      </c>
    </row>
    <row r="51" spans="1:2" x14ac:dyDescent="0.25">
      <c r="A51" s="16" t="s">
        <v>649</v>
      </c>
      <c r="B51" s="1">
        <v>16</v>
      </c>
    </row>
    <row r="52" spans="1:2" x14ac:dyDescent="0.25">
      <c r="A52" s="16" t="s">
        <v>325</v>
      </c>
      <c r="B52" s="1">
        <v>10</v>
      </c>
    </row>
    <row r="53" spans="1:2" x14ac:dyDescent="0.25">
      <c r="A53" s="16" t="s">
        <v>31</v>
      </c>
      <c r="B53" s="1">
        <v>15</v>
      </c>
    </row>
    <row r="54" spans="1:2" x14ac:dyDescent="0.25">
      <c r="A54" s="16" t="s">
        <v>671</v>
      </c>
      <c r="B54" s="1">
        <v>9</v>
      </c>
    </row>
    <row r="55" spans="1:2" x14ac:dyDescent="0.25">
      <c r="A55" s="16" t="s">
        <v>1338</v>
      </c>
      <c r="B55" s="1">
        <v>1948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D10-28F8-4A81-A3BF-58545CE4D106}">
  <dimension ref="A3:C18"/>
  <sheetViews>
    <sheetView workbookViewId="0">
      <selection activeCell="G25" sqref="G25"/>
    </sheetView>
  </sheetViews>
  <sheetFormatPr defaultRowHeight="15" x14ac:dyDescent="0.25"/>
  <cols>
    <col min="1" max="1" width="39.42578125" bestFit="1" customWidth="1"/>
    <col min="2" max="2" width="15.140625" bestFit="1" customWidth="1"/>
    <col min="3" max="3" width="19.7109375" bestFit="1" customWidth="1"/>
  </cols>
  <sheetData>
    <row r="3" spans="1:3" x14ac:dyDescent="0.25">
      <c r="A3" s="15" t="s">
        <v>1337</v>
      </c>
      <c r="B3" t="s">
        <v>1339</v>
      </c>
      <c r="C3" t="s">
        <v>1340</v>
      </c>
    </row>
    <row r="4" spans="1:3" x14ac:dyDescent="0.25">
      <c r="A4" s="16" t="s">
        <v>393</v>
      </c>
      <c r="B4" s="1">
        <v>571</v>
      </c>
      <c r="C4" s="1">
        <v>9592.8000000000284</v>
      </c>
    </row>
    <row r="5" spans="1:3" x14ac:dyDescent="0.25">
      <c r="A5" s="16" t="s">
        <v>60</v>
      </c>
      <c r="B5" s="1">
        <v>57</v>
      </c>
      <c r="C5" s="1">
        <v>2052</v>
      </c>
    </row>
    <row r="6" spans="1:3" x14ac:dyDescent="0.25">
      <c r="A6" s="16" t="s">
        <v>35</v>
      </c>
      <c r="B6" s="1">
        <v>81</v>
      </c>
      <c r="C6" s="1">
        <v>1134</v>
      </c>
    </row>
    <row r="7" spans="1:3" x14ac:dyDescent="0.25">
      <c r="A7" s="16" t="s">
        <v>11</v>
      </c>
      <c r="B7" s="1">
        <v>86</v>
      </c>
      <c r="C7" s="1">
        <v>516</v>
      </c>
    </row>
    <row r="8" spans="1:3" x14ac:dyDescent="0.25">
      <c r="A8" s="16" t="s">
        <v>16</v>
      </c>
      <c r="B8" s="1">
        <v>180</v>
      </c>
      <c r="C8" s="1">
        <v>503.99999999999977</v>
      </c>
    </row>
    <row r="9" spans="1:3" x14ac:dyDescent="0.25">
      <c r="A9" s="16" t="s">
        <v>65</v>
      </c>
      <c r="B9" s="1">
        <v>61</v>
      </c>
      <c r="C9" s="1">
        <v>463.60000000000048</v>
      </c>
    </row>
    <row r="10" spans="1:3" x14ac:dyDescent="0.25">
      <c r="A10" s="16" t="s">
        <v>79</v>
      </c>
      <c r="B10" s="1">
        <v>35</v>
      </c>
      <c r="C10" s="1">
        <v>280</v>
      </c>
    </row>
    <row r="11" spans="1:3" x14ac:dyDescent="0.25">
      <c r="A11" s="16" t="s">
        <v>47</v>
      </c>
      <c r="B11" s="1">
        <v>103</v>
      </c>
      <c r="C11" s="1">
        <v>247.20000000000024</v>
      </c>
    </row>
    <row r="12" spans="1:3" x14ac:dyDescent="0.25">
      <c r="A12" s="16" t="s">
        <v>43</v>
      </c>
      <c r="B12" s="1">
        <v>26</v>
      </c>
      <c r="C12" s="1">
        <v>208</v>
      </c>
    </row>
    <row r="13" spans="1:3" x14ac:dyDescent="0.25">
      <c r="A13" s="16" t="s">
        <v>25</v>
      </c>
      <c r="B13" s="1">
        <v>6</v>
      </c>
      <c r="C13" s="1">
        <v>117.6</v>
      </c>
    </row>
    <row r="14" spans="1:3" x14ac:dyDescent="0.25">
      <c r="A14" s="16" t="s">
        <v>318</v>
      </c>
      <c r="B14" s="1">
        <v>1</v>
      </c>
      <c r="C14" s="1">
        <v>35.200000000000003</v>
      </c>
    </row>
    <row r="15" spans="1:3" x14ac:dyDescent="0.25">
      <c r="A15" s="16" t="s">
        <v>52</v>
      </c>
      <c r="B15" s="1">
        <v>4</v>
      </c>
      <c r="C15" s="1">
        <v>30.4</v>
      </c>
    </row>
    <row r="16" spans="1:3" x14ac:dyDescent="0.25">
      <c r="A16" s="16" t="s">
        <v>345</v>
      </c>
      <c r="B16" s="1">
        <v>1</v>
      </c>
      <c r="C16" s="1">
        <v>20</v>
      </c>
    </row>
    <row r="17" spans="1:3" x14ac:dyDescent="0.25">
      <c r="A17" s="16" t="s">
        <v>316</v>
      </c>
      <c r="B17" s="1">
        <v>2</v>
      </c>
      <c r="C17" s="1">
        <v>20</v>
      </c>
    </row>
    <row r="18" spans="1:3" x14ac:dyDescent="0.25">
      <c r="A18" s="16" t="s">
        <v>1338</v>
      </c>
      <c r="B18" s="1">
        <v>1214</v>
      </c>
      <c r="C18" s="1">
        <v>15220.800000000028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A40A-6879-4E87-94C4-6A74BA956841}">
  <dimension ref="A3:C9"/>
  <sheetViews>
    <sheetView workbookViewId="0">
      <selection activeCell="H25" sqref="H25"/>
    </sheetView>
  </sheetViews>
  <sheetFormatPr defaultRowHeight="15" x14ac:dyDescent="0.25"/>
  <cols>
    <col min="1" max="1" width="19.28515625" bestFit="1" customWidth="1"/>
    <col min="2" max="2" width="27.42578125" bestFit="1" customWidth="1"/>
  </cols>
  <sheetData>
    <row r="3" spans="1:3" x14ac:dyDescent="0.25">
      <c r="A3" s="15" t="s">
        <v>1337</v>
      </c>
      <c r="B3" t="s">
        <v>1351</v>
      </c>
    </row>
    <row r="4" spans="1:3" x14ac:dyDescent="0.25">
      <c r="A4" s="16">
        <v>1</v>
      </c>
      <c r="B4" s="1">
        <v>7</v>
      </c>
      <c r="C4" s="10"/>
    </row>
    <row r="5" spans="1:3" x14ac:dyDescent="0.25">
      <c r="A5" s="16">
        <v>2</v>
      </c>
      <c r="B5" s="1">
        <v>18</v>
      </c>
    </row>
    <row r="6" spans="1:3" x14ac:dyDescent="0.25">
      <c r="A6" s="16">
        <v>3</v>
      </c>
      <c r="B6" s="1">
        <v>109</v>
      </c>
    </row>
    <row r="7" spans="1:3" x14ac:dyDescent="0.25">
      <c r="A7" s="16">
        <v>4</v>
      </c>
      <c r="B7" s="1">
        <v>594</v>
      </c>
    </row>
    <row r="8" spans="1:3" x14ac:dyDescent="0.25">
      <c r="A8" s="16">
        <v>5</v>
      </c>
      <c r="B8" s="1">
        <v>569</v>
      </c>
    </row>
    <row r="9" spans="1:3" x14ac:dyDescent="0.25">
      <c r="A9" s="16" t="s">
        <v>1338</v>
      </c>
      <c r="B9" s="1">
        <v>1297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285E-1A97-4D3C-B0AD-299F1E77EF54}">
  <dimension ref="A3:C94"/>
  <sheetViews>
    <sheetView workbookViewId="0">
      <selection activeCell="F18" sqref="F18"/>
    </sheetView>
  </sheetViews>
  <sheetFormatPr defaultRowHeight="15" x14ac:dyDescent="0.25"/>
  <cols>
    <col min="1" max="1" width="48" bestFit="1" customWidth="1"/>
    <col min="2" max="2" width="30.42578125" bestFit="1" customWidth="1"/>
    <col min="3" max="3" width="28.28515625" bestFit="1" customWidth="1"/>
  </cols>
  <sheetData>
    <row r="3" spans="1:3" x14ac:dyDescent="0.25">
      <c r="A3" s="15" t="s">
        <v>1337</v>
      </c>
      <c r="B3" t="s">
        <v>1352</v>
      </c>
      <c r="C3" t="s">
        <v>1351</v>
      </c>
    </row>
    <row r="4" spans="1:3" x14ac:dyDescent="0.25">
      <c r="A4" s="16" t="s">
        <v>149</v>
      </c>
      <c r="B4" s="1">
        <v>5</v>
      </c>
      <c r="C4" s="1">
        <v>5</v>
      </c>
    </row>
    <row r="5" spans="1:3" x14ac:dyDescent="0.25">
      <c r="A5" s="16" t="s">
        <v>671</v>
      </c>
      <c r="B5" s="1">
        <v>5</v>
      </c>
      <c r="C5" s="1">
        <v>9</v>
      </c>
    </row>
    <row r="6" spans="1:3" x14ac:dyDescent="0.25">
      <c r="A6" s="16" t="s">
        <v>757</v>
      </c>
      <c r="B6" s="1">
        <v>5</v>
      </c>
      <c r="C6" s="1">
        <v>3</v>
      </c>
    </row>
    <row r="7" spans="1:3" x14ac:dyDescent="0.25">
      <c r="A7" s="16" t="s">
        <v>139</v>
      </c>
      <c r="B7" s="1">
        <v>5</v>
      </c>
      <c r="C7" s="1">
        <v>1</v>
      </c>
    </row>
    <row r="8" spans="1:3" x14ac:dyDescent="0.25">
      <c r="A8" s="16" t="s">
        <v>665</v>
      </c>
      <c r="B8" s="1">
        <v>5</v>
      </c>
      <c r="C8" s="1">
        <v>3</v>
      </c>
    </row>
    <row r="9" spans="1:3" x14ac:dyDescent="0.25">
      <c r="A9" s="16" t="s">
        <v>136</v>
      </c>
      <c r="B9" s="1">
        <v>5</v>
      </c>
      <c r="C9" s="1">
        <v>7</v>
      </c>
    </row>
    <row r="10" spans="1:3" x14ac:dyDescent="0.25">
      <c r="A10" s="16" t="s">
        <v>638</v>
      </c>
      <c r="B10" s="1">
        <v>5</v>
      </c>
      <c r="C10" s="1">
        <v>8</v>
      </c>
    </row>
    <row r="11" spans="1:3" x14ac:dyDescent="0.25">
      <c r="A11" s="16" t="s">
        <v>335</v>
      </c>
      <c r="B11" s="1">
        <v>5</v>
      </c>
      <c r="C11" s="1">
        <v>4</v>
      </c>
    </row>
    <row r="12" spans="1:3" x14ac:dyDescent="0.25">
      <c r="A12" s="16" t="s">
        <v>660</v>
      </c>
      <c r="B12" s="1">
        <v>5</v>
      </c>
      <c r="C12" s="1">
        <v>4</v>
      </c>
    </row>
    <row r="13" spans="1:3" x14ac:dyDescent="0.25">
      <c r="A13" s="16" t="s">
        <v>362</v>
      </c>
      <c r="B13" s="1">
        <v>5</v>
      </c>
      <c r="C13" s="1">
        <v>3</v>
      </c>
    </row>
    <row r="14" spans="1:3" x14ac:dyDescent="0.25">
      <c r="A14" s="16" t="s">
        <v>649</v>
      </c>
      <c r="B14" s="1">
        <v>4.7142857142857144</v>
      </c>
      <c r="C14" s="1">
        <v>16</v>
      </c>
    </row>
    <row r="15" spans="1:3" x14ac:dyDescent="0.25">
      <c r="A15" s="16" t="s">
        <v>320</v>
      </c>
      <c r="B15" s="1">
        <v>4.7058823529411766</v>
      </c>
      <c r="C15" s="1">
        <v>26</v>
      </c>
    </row>
    <row r="16" spans="1:3" x14ac:dyDescent="0.25">
      <c r="A16" s="16" t="s">
        <v>143</v>
      </c>
      <c r="B16" s="1">
        <v>4.7037037037037033</v>
      </c>
      <c r="C16" s="1">
        <v>44</v>
      </c>
    </row>
    <row r="17" spans="1:3" x14ac:dyDescent="0.25">
      <c r="A17" s="16" t="s">
        <v>138</v>
      </c>
      <c r="B17" s="1">
        <v>4.7</v>
      </c>
      <c r="C17" s="1">
        <v>15</v>
      </c>
    </row>
    <row r="18" spans="1:3" x14ac:dyDescent="0.25">
      <c r="A18" s="16" t="s">
        <v>637</v>
      </c>
      <c r="B18" s="1">
        <v>4.6818181818181817</v>
      </c>
      <c r="C18" s="1">
        <v>87</v>
      </c>
    </row>
    <row r="19" spans="1:3" x14ac:dyDescent="0.25">
      <c r="A19" s="16" t="s">
        <v>657</v>
      </c>
      <c r="B19" s="1">
        <v>4.666666666666667</v>
      </c>
      <c r="C19" s="1">
        <v>13</v>
      </c>
    </row>
    <row r="20" spans="1:3" x14ac:dyDescent="0.25">
      <c r="A20" s="16" t="s">
        <v>353</v>
      </c>
      <c r="B20" s="1">
        <v>4.666666666666667</v>
      </c>
      <c r="C20" s="1">
        <v>10</v>
      </c>
    </row>
    <row r="21" spans="1:3" x14ac:dyDescent="0.25">
      <c r="A21" s="16" t="s">
        <v>652</v>
      </c>
      <c r="B21" s="1">
        <v>4.666666666666667</v>
      </c>
      <c r="C21" s="1">
        <v>20</v>
      </c>
    </row>
    <row r="22" spans="1:3" x14ac:dyDescent="0.25">
      <c r="A22" s="16" t="s">
        <v>681</v>
      </c>
      <c r="B22" s="1">
        <v>4.666666666666667</v>
      </c>
      <c r="C22" s="1">
        <v>10</v>
      </c>
    </row>
    <row r="23" spans="1:3" x14ac:dyDescent="0.25">
      <c r="A23" s="16" t="s">
        <v>318</v>
      </c>
      <c r="B23" s="1">
        <v>4.666666666666667</v>
      </c>
      <c r="C23" s="1">
        <v>9</v>
      </c>
    </row>
    <row r="24" spans="1:3" x14ac:dyDescent="0.25">
      <c r="A24" s="16" t="s">
        <v>28</v>
      </c>
      <c r="B24" s="1">
        <v>4.6363636363636367</v>
      </c>
      <c r="C24" s="1">
        <v>61</v>
      </c>
    </row>
    <row r="25" spans="1:3" x14ac:dyDescent="0.25">
      <c r="A25" s="16" t="s">
        <v>663</v>
      </c>
      <c r="B25" s="1">
        <v>4.625</v>
      </c>
      <c r="C25" s="1">
        <v>16</v>
      </c>
    </row>
    <row r="26" spans="1:3" x14ac:dyDescent="0.25">
      <c r="A26" s="16" t="s">
        <v>685</v>
      </c>
      <c r="B26" s="1">
        <v>4.5999999999999996</v>
      </c>
      <c r="C26" s="1">
        <v>9</v>
      </c>
    </row>
    <row r="27" spans="1:3" x14ac:dyDescent="0.25">
      <c r="A27" s="16" t="s">
        <v>640</v>
      </c>
      <c r="B27" s="1">
        <v>4.5999999999999996</v>
      </c>
      <c r="C27" s="1">
        <v>8</v>
      </c>
    </row>
    <row r="28" spans="1:3" x14ac:dyDescent="0.25">
      <c r="A28" s="16" t="s">
        <v>393</v>
      </c>
      <c r="B28" s="1">
        <v>4.5934065934065931</v>
      </c>
      <c r="C28" s="1">
        <v>464</v>
      </c>
    </row>
    <row r="29" spans="1:3" x14ac:dyDescent="0.25">
      <c r="A29" s="16" t="s">
        <v>132</v>
      </c>
      <c r="B29" s="1">
        <v>4.5588235294117645</v>
      </c>
      <c r="C29" s="1">
        <v>107</v>
      </c>
    </row>
    <row r="30" spans="1:3" x14ac:dyDescent="0.25">
      <c r="A30" s="16" t="s">
        <v>674</v>
      </c>
      <c r="B30" s="1">
        <v>4.5454545454545459</v>
      </c>
      <c r="C30" s="1">
        <v>80</v>
      </c>
    </row>
    <row r="31" spans="1:3" x14ac:dyDescent="0.25">
      <c r="A31" s="16" t="s">
        <v>323</v>
      </c>
      <c r="B31" s="1">
        <v>4.5</v>
      </c>
      <c r="C31" s="1">
        <v>4</v>
      </c>
    </row>
    <row r="32" spans="1:3" x14ac:dyDescent="0.25">
      <c r="A32" s="16" t="s">
        <v>352</v>
      </c>
      <c r="B32" s="1">
        <v>4.5</v>
      </c>
      <c r="C32" s="1">
        <v>5</v>
      </c>
    </row>
    <row r="33" spans="1:3" x14ac:dyDescent="0.25">
      <c r="A33" s="16" t="s">
        <v>330</v>
      </c>
      <c r="B33" s="1">
        <v>4.5</v>
      </c>
      <c r="C33" s="1">
        <v>13</v>
      </c>
    </row>
    <row r="34" spans="1:3" x14ac:dyDescent="0.25">
      <c r="A34" s="16" t="s">
        <v>682</v>
      </c>
      <c r="B34" s="1">
        <v>4.5</v>
      </c>
      <c r="C34" s="1">
        <v>27</v>
      </c>
    </row>
    <row r="35" spans="1:3" x14ac:dyDescent="0.25">
      <c r="A35" s="16" t="s">
        <v>206</v>
      </c>
      <c r="B35" s="1">
        <v>4.5</v>
      </c>
      <c r="C35" s="1">
        <v>18</v>
      </c>
    </row>
    <row r="36" spans="1:3" x14ac:dyDescent="0.25">
      <c r="A36" s="16" t="s">
        <v>343</v>
      </c>
      <c r="B36" s="1">
        <v>4.5</v>
      </c>
      <c r="C36" s="1">
        <v>3</v>
      </c>
    </row>
    <row r="37" spans="1:3" x14ac:dyDescent="0.25">
      <c r="A37" s="16" t="s">
        <v>60</v>
      </c>
      <c r="B37" s="1">
        <v>4.4622641509433958</v>
      </c>
      <c r="C37" s="1">
        <v>435</v>
      </c>
    </row>
    <row r="38" spans="1:3" x14ac:dyDescent="0.25">
      <c r="A38" s="16" t="s">
        <v>20</v>
      </c>
      <c r="B38" s="1">
        <v>4.4444444444444446</v>
      </c>
      <c r="C38" s="1">
        <v>420</v>
      </c>
    </row>
    <row r="39" spans="1:3" x14ac:dyDescent="0.25">
      <c r="A39" s="16" t="s">
        <v>25</v>
      </c>
      <c r="B39" s="1">
        <v>4.4230769230769234</v>
      </c>
      <c r="C39" s="1">
        <v>227</v>
      </c>
    </row>
    <row r="40" spans="1:3" x14ac:dyDescent="0.25">
      <c r="A40" s="16" t="s">
        <v>16</v>
      </c>
      <c r="B40" s="1">
        <v>4.4228187919463089</v>
      </c>
      <c r="C40" s="1">
        <v>668</v>
      </c>
    </row>
    <row r="41" spans="1:3" x14ac:dyDescent="0.25">
      <c r="A41" s="16" t="s">
        <v>35</v>
      </c>
      <c r="B41" s="1">
        <v>4.4130434782608692</v>
      </c>
      <c r="C41" s="1">
        <v>418</v>
      </c>
    </row>
    <row r="42" spans="1:3" x14ac:dyDescent="0.25">
      <c r="A42" s="16" t="s">
        <v>146</v>
      </c>
      <c r="B42" s="1">
        <v>4.4000000000000004</v>
      </c>
      <c r="C42" s="1">
        <v>24</v>
      </c>
    </row>
    <row r="43" spans="1:3" x14ac:dyDescent="0.25">
      <c r="A43" s="16" t="s">
        <v>57</v>
      </c>
      <c r="B43" s="1">
        <v>4.4000000000000004</v>
      </c>
      <c r="C43" s="1">
        <v>10</v>
      </c>
    </row>
    <row r="44" spans="1:3" x14ac:dyDescent="0.25">
      <c r="A44" s="16" t="s">
        <v>41</v>
      </c>
      <c r="B44" s="1">
        <v>4.3636363636363633</v>
      </c>
      <c r="C44" s="1">
        <v>41</v>
      </c>
    </row>
    <row r="45" spans="1:3" x14ac:dyDescent="0.25">
      <c r="A45" s="16" t="s">
        <v>749</v>
      </c>
      <c r="B45" s="1">
        <v>4.333333333333333</v>
      </c>
      <c r="C45" s="1">
        <v>6</v>
      </c>
    </row>
    <row r="46" spans="1:3" x14ac:dyDescent="0.25">
      <c r="A46" s="16" t="s">
        <v>31</v>
      </c>
      <c r="B46" s="1">
        <v>4.333333333333333</v>
      </c>
      <c r="C46" s="1">
        <v>15</v>
      </c>
    </row>
    <row r="47" spans="1:3" x14ac:dyDescent="0.25">
      <c r="A47" s="16" t="s">
        <v>655</v>
      </c>
      <c r="B47" s="1">
        <v>4.333333333333333</v>
      </c>
      <c r="C47" s="1">
        <v>76</v>
      </c>
    </row>
    <row r="48" spans="1:3" x14ac:dyDescent="0.25">
      <c r="A48" s="16" t="s">
        <v>65</v>
      </c>
      <c r="B48" s="1">
        <v>4.3043478260869561</v>
      </c>
      <c r="C48" s="1">
        <v>221</v>
      </c>
    </row>
    <row r="49" spans="1:3" x14ac:dyDescent="0.25">
      <c r="A49" s="16" t="s">
        <v>68</v>
      </c>
      <c r="B49" s="1">
        <v>4.2857142857142856</v>
      </c>
      <c r="C49" s="1">
        <v>37</v>
      </c>
    </row>
    <row r="50" spans="1:3" x14ac:dyDescent="0.25">
      <c r="A50" s="16" t="s">
        <v>316</v>
      </c>
      <c r="B50" s="1">
        <v>4.25</v>
      </c>
      <c r="C50" s="1">
        <v>12</v>
      </c>
    </row>
    <row r="51" spans="1:3" x14ac:dyDescent="0.25">
      <c r="A51" s="16" t="s">
        <v>11</v>
      </c>
      <c r="B51" s="1">
        <v>4.223140495867769</v>
      </c>
      <c r="C51" s="1">
        <v>646</v>
      </c>
    </row>
    <row r="52" spans="1:3" x14ac:dyDescent="0.25">
      <c r="A52" s="16" t="s">
        <v>659</v>
      </c>
      <c r="B52" s="1">
        <v>4.2</v>
      </c>
      <c r="C52" s="1">
        <v>12</v>
      </c>
    </row>
    <row r="53" spans="1:3" x14ac:dyDescent="0.25">
      <c r="A53" s="16" t="s">
        <v>266</v>
      </c>
      <c r="B53" s="1">
        <v>4.166666666666667</v>
      </c>
      <c r="C53" s="1">
        <v>19</v>
      </c>
    </row>
    <row r="54" spans="1:3" x14ac:dyDescent="0.25">
      <c r="A54" s="16" t="s">
        <v>307</v>
      </c>
      <c r="B54" s="1">
        <v>4.1428571428571432</v>
      </c>
      <c r="C54" s="1">
        <v>16</v>
      </c>
    </row>
    <row r="55" spans="1:3" x14ac:dyDescent="0.25">
      <c r="A55" s="16" t="s">
        <v>304</v>
      </c>
      <c r="B55" s="1">
        <v>4.125</v>
      </c>
      <c r="C55" s="1">
        <v>24</v>
      </c>
    </row>
    <row r="56" spans="1:3" x14ac:dyDescent="0.25">
      <c r="A56" s="16" t="s">
        <v>52</v>
      </c>
      <c r="B56" s="1">
        <v>4.117647058823529</v>
      </c>
      <c r="C56" s="1">
        <v>264</v>
      </c>
    </row>
    <row r="57" spans="1:3" x14ac:dyDescent="0.25">
      <c r="A57" s="16" t="s">
        <v>268</v>
      </c>
      <c r="B57" s="1">
        <v>4.0909090909090908</v>
      </c>
      <c r="C57" s="1">
        <v>34</v>
      </c>
    </row>
    <row r="58" spans="1:3" x14ac:dyDescent="0.25">
      <c r="A58" s="16" t="s">
        <v>327</v>
      </c>
      <c r="B58" s="1">
        <v>4</v>
      </c>
      <c r="C58" s="1">
        <v>8</v>
      </c>
    </row>
    <row r="59" spans="1:3" x14ac:dyDescent="0.25">
      <c r="A59" s="16" t="s">
        <v>55</v>
      </c>
      <c r="B59" s="1">
        <v>4</v>
      </c>
      <c r="C59" s="1">
        <v>25</v>
      </c>
    </row>
    <row r="60" spans="1:3" x14ac:dyDescent="0.25">
      <c r="A60" s="16" t="s">
        <v>314</v>
      </c>
      <c r="B60" s="1">
        <v>4</v>
      </c>
      <c r="C60" s="1">
        <v>7</v>
      </c>
    </row>
    <row r="61" spans="1:3" x14ac:dyDescent="0.25">
      <c r="A61" s="16" t="s">
        <v>341</v>
      </c>
      <c r="B61" s="1">
        <v>4</v>
      </c>
      <c r="C61" s="1">
        <v>18</v>
      </c>
    </row>
    <row r="62" spans="1:3" x14ac:dyDescent="0.25">
      <c r="A62" s="16" t="s">
        <v>38</v>
      </c>
      <c r="B62" s="1">
        <v>4</v>
      </c>
      <c r="C62" s="1">
        <v>6</v>
      </c>
    </row>
    <row r="63" spans="1:3" x14ac:dyDescent="0.25">
      <c r="A63" s="16" t="s">
        <v>312</v>
      </c>
      <c r="B63" s="1">
        <v>4</v>
      </c>
      <c r="C63" s="1">
        <v>2</v>
      </c>
    </row>
    <row r="64" spans="1:3" x14ac:dyDescent="0.25">
      <c r="A64" s="16" t="s">
        <v>45</v>
      </c>
      <c r="B64" s="1">
        <v>4</v>
      </c>
      <c r="C64" s="1">
        <v>30</v>
      </c>
    </row>
    <row r="65" spans="1:3" x14ac:dyDescent="0.25">
      <c r="A65" s="16" t="s">
        <v>328</v>
      </c>
      <c r="B65" s="1">
        <v>4</v>
      </c>
      <c r="C65" s="1">
        <v>18</v>
      </c>
    </row>
    <row r="66" spans="1:3" x14ac:dyDescent="0.25">
      <c r="A66" s="16" t="s">
        <v>332</v>
      </c>
      <c r="B66" s="1">
        <v>4</v>
      </c>
      <c r="C66" s="1">
        <v>9</v>
      </c>
    </row>
    <row r="67" spans="1:3" x14ac:dyDescent="0.25">
      <c r="A67" s="16" t="s">
        <v>760</v>
      </c>
      <c r="B67" s="1">
        <v>4</v>
      </c>
      <c r="C67" s="1">
        <v>4</v>
      </c>
    </row>
    <row r="68" spans="1:3" x14ac:dyDescent="0.25">
      <c r="A68" s="16" t="s">
        <v>79</v>
      </c>
      <c r="B68" s="1">
        <v>3.9705882352941178</v>
      </c>
      <c r="C68" s="1">
        <v>279</v>
      </c>
    </row>
    <row r="69" spans="1:3" x14ac:dyDescent="0.25">
      <c r="A69" s="16" t="s">
        <v>43</v>
      </c>
      <c r="B69" s="1">
        <v>3.8627450980392157</v>
      </c>
      <c r="C69" s="1">
        <v>228</v>
      </c>
    </row>
    <row r="70" spans="1:3" x14ac:dyDescent="0.25">
      <c r="A70" s="16" t="s">
        <v>325</v>
      </c>
      <c r="B70" s="1">
        <v>3.6666666666666665</v>
      </c>
      <c r="C70" s="1">
        <v>10</v>
      </c>
    </row>
    <row r="71" spans="1:3" x14ac:dyDescent="0.25">
      <c r="A71" s="16" t="s">
        <v>355</v>
      </c>
      <c r="B71" s="1">
        <v>3.6666666666666665</v>
      </c>
      <c r="C71" s="1">
        <v>6</v>
      </c>
    </row>
    <row r="72" spans="1:3" x14ac:dyDescent="0.25">
      <c r="A72" s="16" t="s">
        <v>47</v>
      </c>
      <c r="B72" s="1">
        <v>3.5555555555555554</v>
      </c>
      <c r="C72" s="1">
        <v>403</v>
      </c>
    </row>
    <row r="73" spans="1:3" x14ac:dyDescent="0.25">
      <c r="A73" s="16" t="s">
        <v>363</v>
      </c>
      <c r="B73" s="1">
        <v>3.5454545454545454</v>
      </c>
      <c r="C73" s="1">
        <v>61</v>
      </c>
    </row>
    <row r="74" spans="1:3" x14ac:dyDescent="0.25">
      <c r="A74" s="16" t="s">
        <v>305</v>
      </c>
      <c r="B74" s="1">
        <v>3.5</v>
      </c>
      <c r="C74" s="1">
        <v>15</v>
      </c>
    </row>
    <row r="75" spans="1:3" x14ac:dyDescent="0.25">
      <c r="A75" s="16" t="s">
        <v>651</v>
      </c>
      <c r="B75" s="1">
        <v>3.5</v>
      </c>
      <c r="C75" s="1">
        <v>9</v>
      </c>
    </row>
    <row r="76" spans="1:3" x14ac:dyDescent="0.25">
      <c r="A76" s="16" t="s">
        <v>1005</v>
      </c>
      <c r="B76" s="1">
        <v>3.3333333333333335</v>
      </c>
      <c r="C76" s="1">
        <v>3</v>
      </c>
    </row>
    <row r="77" spans="1:3" x14ac:dyDescent="0.25">
      <c r="A77" s="16" t="s">
        <v>1175</v>
      </c>
      <c r="B77" s="1">
        <v>3</v>
      </c>
      <c r="C77" s="1">
        <v>5</v>
      </c>
    </row>
    <row r="78" spans="1:3" x14ac:dyDescent="0.25">
      <c r="A78" s="16" t="s">
        <v>302</v>
      </c>
      <c r="B78" s="1">
        <v>3</v>
      </c>
      <c r="C78" s="1">
        <v>5</v>
      </c>
    </row>
    <row r="79" spans="1:3" x14ac:dyDescent="0.25">
      <c r="A79" s="16" t="s">
        <v>345</v>
      </c>
      <c r="B79" s="1">
        <v>1.6153846153846154</v>
      </c>
      <c r="C79" s="1">
        <v>13</v>
      </c>
    </row>
    <row r="80" spans="1:3" x14ac:dyDescent="0.25">
      <c r="A80" s="16" t="s">
        <v>647</v>
      </c>
      <c r="B80" s="1" t="s">
        <v>1359</v>
      </c>
      <c r="C80" s="1">
        <v>8</v>
      </c>
    </row>
    <row r="81" spans="1:3" x14ac:dyDescent="0.25">
      <c r="A81" s="16" t="s">
        <v>667</v>
      </c>
      <c r="B81" s="1" t="s">
        <v>1359</v>
      </c>
      <c r="C81" s="1">
        <v>3</v>
      </c>
    </row>
    <row r="82" spans="1:3" x14ac:dyDescent="0.25">
      <c r="A82" s="16" t="s">
        <v>654</v>
      </c>
      <c r="B82" s="1" t="s">
        <v>1359</v>
      </c>
      <c r="C82" s="1">
        <v>1</v>
      </c>
    </row>
    <row r="83" spans="1:3" x14ac:dyDescent="0.25">
      <c r="A83" s="16" t="s">
        <v>680</v>
      </c>
      <c r="B83" s="1" t="s">
        <v>1359</v>
      </c>
      <c r="C83" s="1">
        <v>10</v>
      </c>
    </row>
    <row r="84" spans="1:3" x14ac:dyDescent="0.25">
      <c r="A84" s="16" t="s">
        <v>668</v>
      </c>
      <c r="B84" s="1" t="s">
        <v>1359</v>
      </c>
      <c r="C84" s="1">
        <v>3</v>
      </c>
    </row>
    <row r="85" spans="1:3" x14ac:dyDescent="0.25">
      <c r="A85" s="16" t="s">
        <v>1186</v>
      </c>
      <c r="B85" s="1" t="s">
        <v>1359</v>
      </c>
      <c r="C85" s="1">
        <v>1</v>
      </c>
    </row>
    <row r="86" spans="1:3" x14ac:dyDescent="0.25">
      <c r="A86" s="16" t="s">
        <v>1177</v>
      </c>
      <c r="B86" s="1" t="s">
        <v>1359</v>
      </c>
      <c r="C86" s="1">
        <v>5</v>
      </c>
    </row>
    <row r="87" spans="1:3" x14ac:dyDescent="0.25">
      <c r="A87" s="16" t="s">
        <v>339</v>
      </c>
      <c r="B87" s="1" t="s">
        <v>1359</v>
      </c>
      <c r="C87" s="1">
        <v>2</v>
      </c>
    </row>
    <row r="88" spans="1:3" x14ac:dyDescent="0.25">
      <c r="A88" s="16" t="s">
        <v>310</v>
      </c>
      <c r="B88" s="1" t="s">
        <v>1359</v>
      </c>
      <c r="C88" s="1">
        <v>2</v>
      </c>
    </row>
    <row r="89" spans="1:3" x14ac:dyDescent="0.25">
      <c r="A89" s="16" t="s">
        <v>1179</v>
      </c>
      <c r="B89" s="1" t="s">
        <v>1359</v>
      </c>
      <c r="C89" s="1">
        <v>2</v>
      </c>
    </row>
    <row r="90" spans="1:3" x14ac:dyDescent="0.25">
      <c r="A90" s="16" t="s">
        <v>360</v>
      </c>
      <c r="B90" s="1" t="s">
        <v>1359</v>
      </c>
      <c r="C90" s="1">
        <v>4</v>
      </c>
    </row>
    <row r="91" spans="1:3" x14ac:dyDescent="0.25">
      <c r="A91" s="16" t="s">
        <v>765</v>
      </c>
      <c r="B91" s="1" t="s">
        <v>1359</v>
      </c>
      <c r="C91" s="1">
        <v>6</v>
      </c>
    </row>
    <row r="92" spans="1:3" x14ac:dyDescent="0.25">
      <c r="A92" s="16" t="s">
        <v>662</v>
      </c>
      <c r="B92" s="1" t="s">
        <v>1359</v>
      </c>
      <c r="C92" s="1">
        <v>1</v>
      </c>
    </row>
    <row r="93" spans="1:3" x14ac:dyDescent="0.25">
      <c r="A93" s="16" t="s">
        <v>762</v>
      </c>
      <c r="B93" s="1" t="s">
        <v>1359</v>
      </c>
      <c r="C93" s="1">
        <v>3</v>
      </c>
    </row>
    <row r="94" spans="1:3" x14ac:dyDescent="0.25">
      <c r="A94" s="16" t="s">
        <v>1338</v>
      </c>
      <c r="B94" s="1">
        <v>4.3107170393215108</v>
      </c>
      <c r="C94" s="1">
        <v>5952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A3B7-7F30-4F8A-B653-72BC11A1BB2E}">
  <dimension ref="A1:O14"/>
  <sheetViews>
    <sheetView workbookViewId="0">
      <selection activeCell="I25" sqref="I25"/>
    </sheetView>
  </sheetViews>
  <sheetFormatPr defaultRowHeight="15" x14ac:dyDescent="0.25"/>
  <cols>
    <col min="2" max="2" width="14.140625" bestFit="1" customWidth="1"/>
    <col min="7" max="7" width="8.28515625" bestFit="1" customWidth="1"/>
    <col min="9" max="9" width="64.7109375" bestFit="1" customWidth="1"/>
  </cols>
  <sheetData>
    <row r="1" spans="1:15" x14ac:dyDescent="0.25">
      <c r="A1" s="3" t="s">
        <v>0</v>
      </c>
      <c r="B1" s="29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0" t="s">
        <v>9</v>
      </c>
      <c r="K1" s="4" t="s">
        <v>10</v>
      </c>
      <c r="L1" s="4" t="s">
        <v>1333</v>
      </c>
      <c r="M1" s="4" t="s">
        <v>1334</v>
      </c>
      <c r="N1" s="4" t="s">
        <v>1335</v>
      </c>
      <c r="O1" s="9" t="s">
        <v>1336</v>
      </c>
    </row>
    <row r="2" spans="1:15" x14ac:dyDescent="0.25">
      <c r="A2" s="5">
        <v>9800</v>
      </c>
      <c r="B2" s="21">
        <v>4059012345683</v>
      </c>
      <c r="C2" s="22" t="s">
        <v>345</v>
      </c>
      <c r="D2" s="22" t="s">
        <v>26</v>
      </c>
      <c r="E2" s="22" t="s">
        <v>27</v>
      </c>
      <c r="F2" s="6">
        <v>20</v>
      </c>
      <c r="G2" s="6">
        <v>1</v>
      </c>
      <c r="H2" s="22" t="s">
        <v>48</v>
      </c>
      <c r="I2" s="22" t="s">
        <v>346</v>
      </c>
      <c r="J2" s="23">
        <v>45820</v>
      </c>
      <c r="K2" s="6">
        <v>1</v>
      </c>
      <c r="L2" s="22">
        <v>20</v>
      </c>
      <c r="M2" s="22">
        <v>2</v>
      </c>
      <c r="N2" s="24">
        <v>45809</v>
      </c>
      <c r="O2" s="13" t="s">
        <v>1346</v>
      </c>
    </row>
    <row r="3" spans="1:15" x14ac:dyDescent="0.25">
      <c r="A3" s="7">
        <v>10504</v>
      </c>
      <c r="B3" s="25">
        <v>4059012345683</v>
      </c>
      <c r="C3" s="26" t="s">
        <v>345</v>
      </c>
      <c r="D3" s="26" t="s">
        <v>26</v>
      </c>
      <c r="E3" s="26" t="s">
        <v>27</v>
      </c>
      <c r="F3" s="8">
        <v>20</v>
      </c>
      <c r="G3" s="8">
        <v>1</v>
      </c>
      <c r="H3" s="26" t="s">
        <v>48</v>
      </c>
      <c r="I3" s="26" t="s">
        <v>500</v>
      </c>
      <c r="J3" s="27">
        <v>45869</v>
      </c>
      <c r="K3" s="8">
        <v>1</v>
      </c>
      <c r="L3" s="26">
        <v>20</v>
      </c>
      <c r="M3" s="26">
        <v>2</v>
      </c>
      <c r="N3" s="28">
        <v>45839</v>
      </c>
      <c r="O3" s="14" t="s">
        <v>1346</v>
      </c>
    </row>
    <row r="4" spans="1:15" x14ac:dyDescent="0.25">
      <c r="A4" s="5">
        <v>10972</v>
      </c>
      <c r="B4" s="21">
        <v>4059012345683</v>
      </c>
      <c r="C4" s="22" t="s">
        <v>345</v>
      </c>
      <c r="D4" s="22" t="s">
        <v>26</v>
      </c>
      <c r="E4" s="22" t="s">
        <v>27</v>
      </c>
      <c r="F4" s="6">
        <v>20</v>
      </c>
      <c r="G4" s="6">
        <v>1</v>
      </c>
      <c r="H4" s="22" t="s">
        <v>48</v>
      </c>
      <c r="I4" s="22" t="s">
        <v>646</v>
      </c>
      <c r="J4" s="23">
        <v>45871</v>
      </c>
      <c r="K4" s="6">
        <v>1</v>
      </c>
      <c r="L4" s="22">
        <v>20</v>
      </c>
      <c r="M4" s="22">
        <v>2</v>
      </c>
      <c r="N4" s="24">
        <v>45870</v>
      </c>
      <c r="O4" s="13" t="s">
        <v>1346</v>
      </c>
    </row>
    <row r="5" spans="1:15" x14ac:dyDescent="0.25">
      <c r="A5" s="7">
        <v>11022</v>
      </c>
      <c r="B5" s="25">
        <v>4059012345683</v>
      </c>
      <c r="C5" s="26" t="s">
        <v>345</v>
      </c>
      <c r="D5" s="26" t="s">
        <v>26</v>
      </c>
      <c r="E5" s="26" t="s">
        <v>27</v>
      </c>
      <c r="F5" s="8">
        <v>20</v>
      </c>
      <c r="G5" s="8">
        <v>1</v>
      </c>
      <c r="H5" s="26" t="s">
        <v>63</v>
      </c>
      <c r="I5" s="26" t="s">
        <v>679</v>
      </c>
      <c r="J5" s="27">
        <v>45873</v>
      </c>
      <c r="K5" s="8">
        <v>1</v>
      </c>
      <c r="L5" s="26">
        <v>20</v>
      </c>
      <c r="M5" s="26">
        <v>1</v>
      </c>
      <c r="N5" s="28">
        <v>45870</v>
      </c>
      <c r="O5" s="14" t="s">
        <v>1346</v>
      </c>
    </row>
    <row r="6" spans="1:15" x14ac:dyDescent="0.25">
      <c r="A6" s="5">
        <v>11096</v>
      </c>
      <c r="B6" s="21">
        <v>4059012345683</v>
      </c>
      <c r="C6" s="22" t="s">
        <v>345</v>
      </c>
      <c r="D6" s="22" t="s">
        <v>26</v>
      </c>
      <c r="E6" s="22" t="s">
        <v>27</v>
      </c>
      <c r="F6" s="6">
        <v>20</v>
      </c>
      <c r="G6" s="6">
        <v>1</v>
      </c>
      <c r="H6" s="22" t="s">
        <v>63</v>
      </c>
      <c r="I6" s="22" t="s">
        <v>689</v>
      </c>
      <c r="J6" s="23">
        <v>45876</v>
      </c>
      <c r="K6" s="6">
        <v>1</v>
      </c>
      <c r="L6" s="22">
        <v>20</v>
      </c>
      <c r="M6" s="22">
        <v>1</v>
      </c>
      <c r="N6" s="24">
        <v>45870</v>
      </c>
      <c r="O6" s="13" t="s">
        <v>1346</v>
      </c>
    </row>
    <row r="7" spans="1:15" x14ac:dyDescent="0.25">
      <c r="A7" s="7">
        <v>11121</v>
      </c>
      <c r="B7" s="25">
        <v>4059012345683</v>
      </c>
      <c r="C7" s="26" t="s">
        <v>345</v>
      </c>
      <c r="D7" s="26" t="s">
        <v>26</v>
      </c>
      <c r="E7" s="26" t="s">
        <v>27</v>
      </c>
      <c r="F7" s="8">
        <v>20</v>
      </c>
      <c r="G7" s="8">
        <v>1</v>
      </c>
      <c r="H7" s="26" t="s">
        <v>48</v>
      </c>
      <c r="I7" s="26" t="s">
        <v>15</v>
      </c>
      <c r="J7" s="27">
        <v>45877</v>
      </c>
      <c r="K7" s="8">
        <v>0</v>
      </c>
      <c r="L7" s="26">
        <v>20</v>
      </c>
      <c r="M7" s="26">
        <v>2</v>
      </c>
      <c r="N7" s="28">
        <v>45870</v>
      </c>
      <c r="O7" s="14" t="s">
        <v>1346</v>
      </c>
    </row>
    <row r="8" spans="1:15" x14ac:dyDescent="0.25">
      <c r="A8" s="5">
        <v>11264</v>
      </c>
      <c r="B8" s="21">
        <v>4059012345683</v>
      </c>
      <c r="C8" s="22" t="s">
        <v>345</v>
      </c>
      <c r="D8" s="22" t="s">
        <v>26</v>
      </c>
      <c r="E8" s="22" t="s">
        <v>27</v>
      </c>
      <c r="F8" s="6">
        <v>20</v>
      </c>
      <c r="G8" s="6">
        <v>1</v>
      </c>
      <c r="H8" s="22" t="s">
        <v>63</v>
      </c>
      <c r="I8" s="22" t="s">
        <v>722</v>
      </c>
      <c r="J8" s="23">
        <v>45889</v>
      </c>
      <c r="K8" s="6">
        <v>1</v>
      </c>
      <c r="L8" s="22">
        <v>20</v>
      </c>
      <c r="M8" s="22">
        <v>1</v>
      </c>
      <c r="N8" s="24">
        <v>45870</v>
      </c>
      <c r="O8" s="13" t="s">
        <v>1346</v>
      </c>
    </row>
    <row r="9" spans="1:15" x14ac:dyDescent="0.25">
      <c r="A9" s="7">
        <v>11300</v>
      </c>
      <c r="B9" s="25">
        <v>4059012345683</v>
      </c>
      <c r="C9" s="26" t="s">
        <v>345</v>
      </c>
      <c r="D9" s="26" t="s">
        <v>26</v>
      </c>
      <c r="E9" s="26" t="s">
        <v>27</v>
      </c>
      <c r="F9" s="8">
        <v>20</v>
      </c>
      <c r="G9" s="8">
        <v>1</v>
      </c>
      <c r="H9" s="26" t="s">
        <v>48</v>
      </c>
      <c r="I9" s="26" t="s">
        <v>731</v>
      </c>
      <c r="J9" s="27">
        <v>45903</v>
      </c>
      <c r="K9" s="8">
        <v>1</v>
      </c>
      <c r="L9" s="26">
        <v>20</v>
      </c>
      <c r="M9" s="26">
        <v>2</v>
      </c>
      <c r="N9" s="28">
        <v>45901</v>
      </c>
      <c r="O9" s="14" t="s">
        <v>1346</v>
      </c>
    </row>
    <row r="10" spans="1:15" x14ac:dyDescent="0.25">
      <c r="A10" s="5">
        <v>11419</v>
      </c>
      <c r="B10" s="21">
        <v>4059012345683</v>
      </c>
      <c r="C10" s="22" t="s">
        <v>345</v>
      </c>
      <c r="D10" s="22" t="s">
        <v>26</v>
      </c>
      <c r="E10" s="22" t="s">
        <v>27</v>
      </c>
      <c r="F10" s="6">
        <v>20</v>
      </c>
      <c r="G10" s="6">
        <v>1</v>
      </c>
      <c r="H10" s="22" t="s">
        <v>48</v>
      </c>
      <c r="I10" s="22" t="s">
        <v>770</v>
      </c>
      <c r="J10" s="23">
        <v>45912</v>
      </c>
      <c r="K10" s="6">
        <v>1</v>
      </c>
      <c r="L10" s="22">
        <v>20</v>
      </c>
      <c r="M10" s="22">
        <v>2</v>
      </c>
      <c r="N10" s="24">
        <v>45901</v>
      </c>
      <c r="O10" s="13" t="s">
        <v>1346</v>
      </c>
    </row>
    <row r="11" spans="1:15" x14ac:dyDescent="0.25">
      <c r="A11" s="7">
        <v>11463</v>
      </c>
      <c r="B11" s="25">
        <v>4059012345683</v>
      </c>
      <c r="C11" s="26" t="s">
        <v>345</v>
      </c>
      <c r="D11" s="26" t="s">
        <v>26</v>
      </c>
      <c r="E11" s="26" t="s">
        <v>27</v>
      </c>
      <c r="F11" s="8">
        <v>20</v>
      </c>
      <c r="G11" s="8">
        <v>1</v>
      </c>
      <c r="H11" s="26" t="s">
        <v>63</v>
      </c>
      <c r="I11" s="26" t="s">
        <v>787</v>
      </c>
      <c r="J11" s="27">
        <v>45916</v>
      </c>
      <c r="K11" s="8">
        <v>1</v>
      </c>
      <c r="L11" s="26">
        <v>20</v>
      </c>
      <c r="M11" s="26">
        <v>1</v>
      </c>
      <c r="N11" s="28">
        <v>45901</v>
      </c>
      <c r="O11" s="14" t="s">
        <v>1346</v>
      </c>
    </row>
    <row r="12" spans="1:15" x14ac:dyDescent="0.25">
      <c r="A12" s="5">
        <v>11556</v>
      </c>
      <c r="B12" s="21">
        <v>4059012345683</v>
      </c>
      <c r="C12" s="22" t="s">
        <v>345</v>
      </c>
      <c r="D12" s="22" t="s">
        <v>26</v>
      </c>
      <c r="E12" s="22" t="s">
        <v>27</v>
      </c>
      <c r="F12" s="6">
        <v>20</v>
      </c>
      <c r="G12" s="6">
        <v>1</v>
      </c>
      <c r="H12" s="22" t="s">
        <v>48</v>
      </c>
      <c r="I12" s="22" t="s">
        <v>822</v>
      </c>
      <c r="J12" s="23">
        <v>45925</v>
      </c>
      <c r="K12" s="6">
        <v>1</v>
      </c>
      <c r="L12" s="22">
        <v>20</v>
      </c>
      <c r="M12" s="22">
        <v>2</v>
      </c>
      <c r="N12" s="24">
        <v>45901</v>
      </c>
      <c r="O12" s="13" t="s">
        <v>1346</v>
      </c>
    </row>
    <row r="13" spans="1:15" x14ac:dyDescent="0.25">
      <c r="A13" s="7">
        <v>11578</v>
      </c>
      <c r="B13" s="25">
        <v>4059012345683</v>
      </c>
      <c r="C13" s="26" t="s">
        <v>345</v>
      </c>
      <c r="D13" s="26" t="s">
        <v>26</v>
      </c>
      <c r="E13" s="26" t="s">
        <v>27</v>
      </c>
      <c r="F13" s="8">
        <v>20</v>
      </c>
      <c r="G13" s="8">
        <v>1</v>
      </c>
      <c r="H13" s="26" t="s">
        <v>48</v>
      </c>
      <c r="I13" s="26" t="s">
        <v>829</v>
      </c>
      <c r="J13" s="27">
        <v>45927</v>
      </c>
      <c r="K13" s="8">
        <v>1</v>
      </c>
      <c r="L13" s="26">
        <v>20</v>
      </c>
      <c r="M13" s="26">
        <v>2</v>
      </c>
      <c r="N13" s="28">
        <v>45901</v>
      </c>
      <c r="O13" s="14" t="s">
        <v>1346</v>
      </c>
    </row>
    <row r="14" spans="1:15" x14ac:dyDescent="0.25">
      <c r="A14" s="5">
        <v>11667</v>
      </c>
      <c r="B14" s="21">
        <v>4059012345683</v>
      </c>
      <c r="C14" s="22" t="s">
        <v>345</v>
      </c>
      <c r="D14" s="22" t="s">
        <v>26</v>
      </c>
      <c r="E14" s="22" t="s">
        <v>27</v>
      </c>
      <c r="F14" s="6">
        <v>20</v>
      </c>
      <c r="G14" s="6">
        <v>1</v>
      </c>
      <c r="H14" s="22" t="s">
        <v>63</v>
      </c>
      <c r="I14" s="22" t="s">
        <v>854</v>
      </c>
      <c r="J14" s="23">
        <v>45930</v>
      </c>
      <c r="K14" s="6">
        <v>1</v>
      </c>
      <c r="L14" s="22">
        <v>20</v>
      </c>
      <c r="M14" s="22">
        <v>1</v>
      </c>
      <c r="N14" s="24">
        <v>45901</v>
      </c>
      <c r="O14" s="13" t="s">
        <v>1346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A3200-1175-4A68-8850-A70C95F0A96F}">
  <dimension ref="A1:E3712"/>
  <sheetViews>
    <sheetView workbookViewId="0">
      <selection activeCell="G8" sqref="G8"/>
    </sheetView>
  </sheetViews>
  <sheetFormatPr defaultRowHeight="15" x14ac:dyDescent="0.25"/>
  <cols>
    <col min="1" max="1" width="17.42578125" bestFit="1" customWidth="1"/>
    <col min="2" max="2" width="14.7109375" bestFit="1" customWidth="1"/>
    <col min="5" max="5" width="12" bestFit="1" customWidth="1"/>
  </cols>
  <sheetData>
    <row r="1" spans="1:5" x14ac:dyDescent="0.25">
      <c r="A1" t="s">
        <v>1356</v>
      </c>
      <c r="B1" t="s">
        <v>1357</v>
      </c>
      <c r="D1" t="s">
        <v>1358</v>
      </c>
      <c r="E1">
        <f>TTEST(A2:A1949,B2:B3712,2,2)</f>
        <v>5.3537547879270462E-3</v>
      </c>
    </row>
    <row r="2" spans="1:5" x14ac:dyDescent="0.25">
      <c r="A2" s="1">
        <v>42</v>
      </c>
      <c r="B2" s="1">
        <v>6</v>
      </c>
    </row>
    <row r="3" spans="1:5" x14ac:dyDescent="0.25">
      <c r="A3" s="1">
        <v>18.399999999999999</v>
      </c>
      <c r="B3" s="1">
        <v>8.3999999999999986</v>
      </c>
    </row>
    <row r="4" spans="1:5" x14ac:dyDescent="0.25">
      <c r="A4" s="1">
        <v>28</v>
      </c>
      <c r="B4" s="1">
        <v>8.8000000000000007</v>
      </c>
    </row>
    <row r="5" spans="1:5" x14ac:dyDescent="0.25">
      <c r="A5" s="1">
        <v>7.2</v>
      </c>
      <c r="B5" s="1">
        <v>19.600000000000001</v>
      </c>
    </row>
    <row r="6" spans="1:5" x14ac:dyDescent="0.25">
      <c r="A6" s="1">
        <v>22.4</v>
      </c>
      <c r="B6" s="1">
        <v>11.2</v>
      </c>
    </row>
    <row r="7" spans="1:5" x14ac:dyDescent="0.25">
      <c r="A7" s="1">
        <v>7.1999999999999993</v>
      </c>
      <c r="B7" s="1">
        <v>12</v>
      </c>
    </row>
    <row r="8" spans="1:5" x14ac:dyDescent="0.25">
      <c r="A8" s="1">
        <v>28</v>
      </c>
      <c r="B8" s="1">
        <v>8</v>
      </c>
    </row>
    <row r="9" spans="1:5" x14ac:dyDescent="0.25">
      <c r="A9" s="1">
        <v>42</v>
      </c>
      <c r="B9" s="1">
        <v>14</v>
      </c>
    </row>
    <row r="10" spans="1:5" x14ac:dyDescent="0.25">
      <c r="A10" s="1">
        <v>12</v>
      </c>
      <c r="B10" s="1">
        <v>6</v>
      </c>
    </row>
    <row r="11" spans="1:5" x14ac:dyDescent="0.25">
      <c r="A11" s="1">
        <v>9.1999999999999993</v>
      </c>
      <c r="B11" s="1">
        <v>5.6</v>
      </c>
    </row>
    <row r="12" spans="1:5" x14ac:dyDescent="0.25">
      <c r="A12" s="1">
        <v>22.4</v>
      </c>
      <c r="B12" s="1">
        <v>6</v>
      </c>
    </row>
    <row r="13" spans="1:5" x14ac:dyDescent="0.25">
      <c r="A13" s="1">
        <v>4.8</v>
      </c>
      <c r="B13" s="1">
        <v>8.8000000000000007</v>
      </c>
    </row>
    <row r="14" spans="1:5" x14ac:dyDescent="0.25">
      <c r="A14" s="1">
        <v>28</v>
      </c>
      <c r="B14" s="1">
        <v>11.2</v>
      </c>
    </row>
    <row r="15" spans="1:5" x14ac:dyDescent="0.25">
      <c r="A15" s="1">
        <v>36</v>
      </c>
      <c r="B15" s="1">
        <v>19.600000000000001</v>
      </c>
    </row>
    <row r="16" spans="1:5" x14ac:dyDescent="0.25">
      <c r="A16" s="1">
        <v>4.8</v>
      </c>
      <c r="B16" s="1">
        <v>36</v>
      </c>
    </row>
    <row r="17" spans="1:2" x14ac:dyDescent="0.25">
      <c r="A17" s="1">
        <v>36</v>
      </c>
      <c r="B17" s="1">
        <v>11.2</v>
      </c>
    </row>
    <row r="18" spans="1:2" x14ac:dyDescent="0.25">
      <c r="A18" s="1">
        <v>22.4</v>
      </c>
      <c r="B18" s="1">
        <v>12</v>
      </c>
    </row>
    <row r="19" spans="1:2" x14ac:dyDescent="0.25">
      <c r="A19" s="1">
        <v>14</v>
      </c>
      <c r="B19" s="1">
        <v>8.3999999999999986</v>
      </c>
    </row>
    <row r="20" spans="1:2" x14ac:dyDescent="0.25">
      <c r="A20" s="1">
        <v>8</v>
      </c>
      <c r="B20" s="1">
        <v>19.600000000000001</v>
      </c>
    </row>
    <row r="21" spans="1:2" x14ac:dyDescent="0.25">
      <c r="A21" s="1">
        <v>7.2</v>
      </c>
      <c r="B21" s="1">
        <v>7.6</v>
      </c>
    </row>
    <row r="22" spans="1:2" x14ac:dyDescent="0.25">
      <c r="A22" s="1">
        <v>4.8</v>
      </c>
      <c r="B22" s="1">
        <v>8.8000000000000007</v>
      </c>
    </row>
    <row r="23" spans="1:2" x14ac:dyDescent="0.25">
      <c r="A23" s="1">
        <v>36</v>
      </c>
      <c r="B23" s="1">
        <v>14</v>
      </c>
    </row>
    <row r="24" spans="1:2" x14ac:dyDescent="0.25">
      <c r="A24" s="1">
        <v>28</v>
      </c>
      <c r="B24" s="1">
        <v>6</v>
      </c>
    </row>
    <row r="25" spans="1:2" x14ac:dyDescent="0.25">
      <c r="A25" s="1">
        <v>8</v>
      </c>
      <c r="B25" s="1">
        <v>8.3999999999999986</v>
      </c>
    </row>
    <row r="26" spans="1:2" x14ac:dyDescent="0.25">
      <c r="A26" s="1">
        <v>14</v>
      </c>
      <c r="B26" s="1">
        <v>12</v>
      </c>
    </row>
    <row r="27" spans="1:2" x14ac:dyDescent="0.25">
      <c r="A27" s="1">
        <v>36</v>
      </c>
      <c r="B27" s="1">
        <v>19.600000000000001</v>
      </c>
    </row>
    <row r="28" spans="1:2" x14ac:dyDescent="0.25">
      <c r="A28" s="1">
        <v>4.8</v>
      </c>
      <c r="B28" s="1">
        <v>11.2</v>
      </c>
    </row>
    <row r="29" spans="1:2" x14ac:dyDescent="0.25">
      <c r="A29" s="1">
        <v>7.1999999999999993</v>
      </c>
      <c r="B29" s="1">
        <v>12</v>
      </c>
    </row>
    <row r="30" spans="1:2" x14ac:dyDescent="0.25">
      <c r="A30" s="1">
        <v>11.2</v>
      </c>
      <c r="B30" s="1">
        <v>8.8000000000000007</v>
      </c>
    </row>
    <row r="31" spans="1:2" x14ac:dyDescent="0.25">
      <c r="A31" s="1">
        <v>8</v>
      </c>
      <c r="B31" s="1">
        <v>7.6</v>
      </c>
    </row>
    <row r="32" spans="1:2" x14ac:dyDescent="0.25">
      <c r="A32" s="1">
        <v>7.2</v>
      </c>
      <c r="B32" s="1">
        <v>11.2</v>
      </c>
    </row>
    <row r="33" spans="1:2" x14ac:dyDescent="0.25">
      <c r="A33" s="1">
        <v>7.1999999999999993</v>
      </c>
      <c r="B33" s="1">
        <v>6</v>
      </c>
    </row>
    <row r="34" spans="1:2" x14ac:dyDescent="0.25">
      <c r="A34" s="1">
        <v>14</v>
      </c>
      <c r="B34" s="1">
        <v>8</v>
      </c>
    </row>
    <row r="35" spans="1:2" x14ac:dyDescent="0.25">
      <c r="A35" s="1">
        <v>8</v>
      </c>
      <c r="B35" s="1">
        <v>8.3999999999999986</v>
      </c>
    </row>
    <row r="36" spans="1:2" x14ac:dyDescent="0.25">
      <c r="A36" s="1">
        <v>7.1999999999999993</v>
      </c>
      <c r="B36" s="1">
        <v>19.600000000000001</v>
      </c>
    </row>
    <row r="37" spans="1:2" x14ac:dyDescent="0.25">
      <c r="A37" s="1">
        <v>36</v>
      </c>
      <c r="B37" s="1">
        <v>12</v>
      </c>
    </row>
    <row r="38" spans="1:2" x14ac:dyDescent="0.25">
      <c r="A38" s="1">
        <v>28</v>
      </c>
      <c r="B38" s="1">
        <v>12</v>
      </c>
    </row>
    <row r="39" spans="1:2" x14ac:dyDescent="0.25">
      <c r="A39" s="1">
        <v>4.8</v>
      </c>
      <c r="B39" s="1">
        <v>11.2</v>
      </c>
    </row>
    <row r="40" spans="1:2" x14ac:dyDescent="0.25">
      <c r="A40" s="1">
        <v>7.1999999999999993</v>
      </c>
      <c r="B40" s="1">
        <v>7.6</v>
      </c>
    </row>
    <row r="41" spans="1:2" x14ac:dyDescent="0.25">
      <c r="A41" s="1">
        <v>14</v>
      </c>
      <c r="B41" s="1">
        <v>6</v>
      </c>
    </row>
    <row r="42" spans="1:2" x14ac:dyDescent="0.25">
      <c r="A42" s="1">
        <v>7.1999999999999993</v>
      </c>
      <c r="B42" s="1">
        <v>36</v>
      </c>
    </row>
    <row r="43" spans="1:2" x14ac:dyDescent="0.25">
      <c r="A43" s="1">
        <v>36</v>
      </c>
      <c r="B43" s="1">
        <v>8.3999999999999986</v>
      </c>
    </row>
    <row r="44" spans="1:2" x14ac:dyDescent="0.25">
      <c r="A44" s="1">
        <v>8</v>
      </c>
      <c r="B44" s="1">
        <v>19.600000000000001</v>
      </c>
    </row>
    <row r="45" spans="1:2" x14ac:dyDescent="0.25">
      <c r="A45" s="1">
        <v>8</v>
      </c>
      <c r="B45" s="1">
        <v>14</v>
      </c>
    </row>
    <row r="46" spans="1:2" x14ac:dyDescent="0.25">
      <c r="A46" s="1">
        <v>4.8</v>
      </c>
      <c r="B46" s="1">
        <v>6</v>
      </c>
    </row>
    <row r="47" spans="1:2" x14ac:dyDescent="0.25">
      <c r="A47" s="1">
        <v>14</v>
      </c>
      <c r="B47" s="1">
        <v>8.8000000000000007</v>
      </c>
    </row>
    <row r="48" spans="1:2" x14ac:dyDescent="0.25">
      <c r="A48" s="1">
        <v>8</v>
      </c>
      <c r="B48" s="1">
        <v>8.3999999999999986</v>
      </c>
    </row>
    <row r="49" spans="1:2" x14ac:dyDescent="0.25">
      <c r="A49" s="1">
        <v>4.8</v>
      </c>
      <c r="B49" s="1">
        <v>7.6</v>
      </c>
    </row>
    <row r="50" spans="1:2" x14ac:dyDescent="0.25">
      <c r="A50" s="1">
        <v>4.8</v>
      </c>
      <c r="B50" s="1">
        <v>12</v>
      </c>
    </row>
    <row r="51" spans="1:2" x14ac:dyDescent="0.25">
      <c r="A51" s="1">
        <v>14</v>
      </c>
      <c r="B51" s="1">
        <v>19.600000000000001</v>
      </c>
    </row>
    <row r="52" spans="1:2" x14ac:dyDescent="0.25">
      <c r="A52" s="1">
        <v>8</v>
      </c>
      <c r="B52" s="1">
        <v>8.3999999999999986</v>
      </c>
    </row>
    <row r="53" spans="1:2" x14ac:dyDescent="0.25">
      <c r="A53" s="1">
        <v>7.1999999999999993</v>
      </c>
      <c r="B53" s="1">
        <v>6</v>
      </c>
    </row>
    <row r="54" spans="1:2" x14ac:dyDescent="0.25">
      <c r="A54" s="1">
        <v>14</v>
      </c>
      <c r="B54" s="1">
        <v>19.600000000000001</v>
      </c>
    </row>
    <row r="55" spans="1:2" x14ac:dyDescent="0.25">
      <c r="A55" s="1">
        <v>8</v>
      </c>
      <c r="B55" s="1">
        <v>11.2</v>
      </c>
    </row>
    <row r="56" spans="1:2" x14ac:dyDescent="0.25">
      <c r="A56" s="1">
        <v>7.1999999999999993</v>
      </c>
      <c r="B56" s="1">
        <v>6</v>
      </c>
    </row>
    <row r="57" spans="1:2" x14ac:dyDescent="0.25">
      <c r="A57" s="1">
        <v>14</v>
      </c>
      <c r="B57" s="1">
        <v>14</v>
      </c>
    </row>
    <row r="58" spans="1:2" x14ac:dyDescent="0.25">
      <c r="A58" s="1">
        <v>8</v>
      </c>
      <c r="B58" s="1">
        <v>36</v>
      </c>
    </row>
    <row r="59" spans="1:2" x14ac:dyDescent="0.25">
      <c r="A59" s="1">
        <v>7.1999999999999993</v>
      </c>
      <c r="B59" s="1">
        <v>19.600000000000001</v>
      </c>
    </row>
    <row r="60" spans="1:2" x14ac:dyDescent="0.25">
      <c r="A60" s="1">
        <v>14</v>
      </c>
      <c r="B60" s="1">
        <v>5.6</v>
      </c>
    </row>
    <row r="61" spans="1:2" x14ac:dyDescent="0.25">
      <c r="A61" s="1">
        <v>8</v>
      </c>
      <c r="B61" s="1">
        <v>12</v>
      </c>
    </row>
    <row r="62" spans="1:2" x14ac:dyDescent="0.25">
      <c r="A62" s="1">
        <v>7.1999999999999993</v>
      </c>
      <c r="B62" s="1">
        <v>36</v>
      </c>
    </row>
    <row r="63" spans="1:2" x14ac:dyDescent="0.25">
      <c r="A63" s="1">
        <v>14</v>
      </c>
      <c r="B63" s="1">
        <v>8.3999999999999986</v>
      </c>
    </row>
    <row r="64" spans="1:2" x14ac:dyDescent="0.25">
      <c r="A64" s="1">
        <v>8</v>
      </c>
      <c r="B64" s="1">
        <v>6</v>
      </c>
    </row>
    <row r="65" spans="1:2" x14ac:dyDescent="0.25">
      <c r="A65" s="1">
        <v>14</v>
      </c>
      <c r="B65" s="1">
        <v>8.8000000000000007</v>
      </c>
    </row>
    <row r="66" spans="1:2" x14ac:dyDescent="0.25">
      <c r="A66" s="1">
        <v>7.1999999999999993</v>
      </c>
      <c r="B66" s="1">
        <v>11.2</v>
      </c>
    </row>
    <row r="67" spans="1:2" x14ac:dyDescent="0.25">
      <c r="A67" s="1">
        <v>36</v>
      </c>
      <c r="B67" s="1">
        <v>6</v>
      </c>
    </row>
    <row r="68" spans="1:2" x14ac:dyDescent="0.25">
      <c r="A68" s="1">
        <v>8</v>
      </c>
      <c r="B68" s="1">
        <v>19.600000000000001</v>
      </c>
    </row>
    <row r="69" spans="1:2" x14ac:dyDescent="0.25">
      <c r="A69" s="1">
        <v>8</v>
      </c>
      <c r="B69" s="1">
        <v>14</v>
      </c>
    </row>
    <row r="70" spans="1:2" x14ac:dyDescent="0.25">
      <c r="A70" s="1">
        <v>4.8</v>
      </c>
      <c r="B70" s="1">
        <v>6</v>
      </c>
    </row>
    <row r="71" spans="1:2" x14ac:dyDescent="0.25">
      <c r="A71" s="1">
        <v>14</v>
      </c>
      <c r="B71" s="1">
        <v>36</v>
      </c>
    </row>
    <row r="72" spans="1:2" x14ac:dyDescent="0.25">
      <c r="A72" s="1">
        <v>8</v>
      </c>
      <c r="B72" s="1">
        <v>11.2</v>
      </c>
    </row>
    <row r="73" spans="1:2" x14ac:dyDescent="0.25">
      <c r="A73" s="1">
        <v>14</v>
      </c>
      <c r="B73" s="1">
        <v>12</v>
      </c>
    </row>
    <row r="74" spans="1:2" x14ac:dyDescent="0.25">
      <c r="A74" s="1">
        <v>7.1999999999999993</v>
      </c>
      <c r="B74" s="1">
        <v>8.8000000000000007</v>
      </c>
    </row>
    <row r="75" spans="1:2" x14ac:dyDescent="0.25">
      <c r="A75" s="1">
        <v>36</v>
      </c>
      <c r="B75" s="1">
        <v>19.600000000000001</v>
      </c>
    </row>
    <row r="76" spans="1:2" x14ac:dyDescent="0.25">
      <c r="A76" s="1">
        <v>8</v>
      </c>
      <c r="B76" s="1">
        <v>14</v>
      </c>
    </row>
    <row r="77" spans="1:2" x14ac:dyDescent="0.25">
      <c r="A77" s="1">
        <v>8</v>
      </c>
      <c r="B77" s="1">
        <v>6</v>
      </c>
    </row>
    <row r="78" spans="1:2" x14ac:dyDescent="0.25">
      <c r="A78" s="1">
        <v>4.8</v>
      </c>
      <c r="B78" s="1">
        <v>36</v>
      </c>
    </row>
    <row r="79" spans="1:2" x14ac:dyDescent="0.25">
      <c r="A79" s="1">
        <v>7.1999999999999993</v>
      </c>
      <c r="B79" s="1">
        <v>8.3999999999999986</v>
      </c>
    </row>
    <row r="80" spans="1:2" x14ac:dyDescent="0.25">
      <c r="A80" s="1">
        <v>14</v>
      </c>
      <c r="B80" s="1">
        <v>19.600000000000001</v>
      </c>
    </row>
    <row r="81" spans="1:2" x14ac:dyDescent="0.25">
      <c r="A81" s="1">
        <v>8</v>
      </c>
      <c r="B81" s="1">
        <v>12</v>
      </c>
    </row>
    <row r="82" spans="1:2" x14ac:dyDescent="0.25">
      <c r="A82" s="1">
        <v>7.1999999999999993</v>
      </c>
      <c r="B82" s="1">
        <v>14</v>
      </c>
    </row>
    <row r="83" spans="1:2" x14ac:dyDescent="0.25">
      <c r="A83" s="1">
        <v>14</v>
      </c>
      <c r="B83" s="1">
        <v>8.8000000000000007</v>
      </c>
    </row>
    <row r="84" spans="1:2" x14ac:dyDescent="0.25">
      <c r="A84" s="1">
        <v>8</v>
      </c>
      <c r="B84" s="1">
        <v>12</v>
      </c>
    </row>
    <row r="85" spans="1:2" x14ac:dyDescent="0.25">
      <c r="A85" s="1">
        <v>7.1999999999999993</v>
      </c>
      <c r="B85" s="1">
        <v>19.600000000000001</v>
      </c>
    </row>
    <row r="86" spans="1:2" x14ac:dyDescent="0.25">
      <c r="A86" s="1">
        <v>14</v>
      </c>
      <c r="B86" s="1">
        <v>7.6</v>
      </c>
    </row>
    <row r="87" spans="1:2" x14ac:dyDescent="0.25">
      <c r="A87" s="1">
        <v>8</v>
      </c>
      <c r="B87" s="1">
        <v>36</v>
      </c>
    </row>
    <row r="88" spans="1:2" x14ac:dyDescent="0.25">
      <c r="A88" s="1">
        <v>7.1999999999999993</v>
      </c>
      <c r="B88" s="1">
        <v>36</v>
      </c>
    </row>
    <row r="89" spans="1:2" x14ac:dyDescent="0.25">
      <c r="A89" s="1">
        <v>14</v>
      </c>
      <c r="B89" s="1">
        <v>8.3999999999999986</v>
      </c>
    </row>
    <row r="90" spans="1:2" x14ac:dyDescent="0.25">
      <c r="A90" s="1">
        <v>8</v>
      </c>
      <c r="B90" s="1">
        <v>12</v>
      </c>
    </row>
    <row r="91" spans="1:2" x14ac:dyDescent="0.25">
      <c r="A91" s="1">
        <v>14</v>
      </c>
      <c r="B91" s="1">
        <v>8.3999999999999986</v>
      </c>
    </row>
    <row r="92" spans="1:2" x14ac:dyDescent="0.25">
      <c r="A92" s="1">
        <v>8</v>
      </c>
      <c r="B92" s="1">
        <v>8.8000000000000007</v>
      </c>
    </row>
    <row r="93" spans="1:2" x14ac:dyDescent="0.25">
      <c r="A93" s="1">
        <v>7.1999999999999993</v>
      </c>
      <c r="B93" s="1">
        <v>7.6</v>
      </c>
    </row>
    <row r="94" spans="1:2" x14ac:dyDescent="0.25">
      <c r="A94" s="1">
        <v>14</v>
      </c>
      <c r="B94" s="1">
        <v>11.2</v>
      </c>
    </row>
    <row r="95" spans="1:2" x14ac:dyDescent="0.25">
      <c r="A95" s="1">
        <v>8</v>
      </c>
      <c r="B95" s="1">
        <v>12</v>
      </c>
    </row>
    <row r="96" spans="1:2" x14ac:dyDescent="0.25">
      <c r="A96" s="1">
        <v>7.1999999999999993</v>
      </c>
      <c r="B96" s="1">
        <v>36</v>
      </c>
    </row>
    <row r="97" spans="1:2" x14ac:dyDescent="0.25">
      <c r="A97" s="1">
        <v>14</v>
      </c>
      <c r="B97" s="1">
        <v>8.3999999999999986</v>
      </c>
    </row>
    <row r="98" spans="1:2" x14ac:dyDescent="0.25">
      <c r="A98" s="1">
        <v>8</v>
      </c>
      <c r="B98" s="1">
        <v>6</v>
      </c>
    </row>
    <row r="99" spans="1:2" x14ac:dyDescent="0.25">
      <c r="A99" s="1">
        <v>7.1999999999999993</v>
      </c>
      <c r="B99" s="1">
        <v>8.8000000000000007</v>
      </c>
    </row>
    <row r="100" spans="1:2" x14ac:dyDescent="0.25">
      <c r="A100" s="1">
        <v>14</v>
      </c>
      <c r="B100" s="1">
        <v>8.3999999999999986</v>
      </c>
    </row>
    <row r="101" spans="1:2" x14ac:dyDescent="0.25">
      <c r="A101" s="1">
        <v>8</v>
      </c>
      <c r="B101" s="1">
        <v>6</v>
      </c>
    </row>
    <row r="102" spans="1:2" x14ac:dyDescent="0.25">
      <c r="A102" s="1">
        <v>7.1999999999999993</v>
      </c>
      <c r="B102" s="1">
        <v>36</v>
      </c>
    </row>
    <row r="103" spans="1:2" x14ac:dyDescent="0.25">
      <c r="A103" s="1">
        <v>14</v>
      </c>
      <c r="B103" s="1">
        <v>19.600000000000001</v>
      </c>
    </row>
    <row r="104" spans="1:2" x14ac:dyDescent="0.25">
      <c r="A104" s="1">
        <v>8</v>
      </c>
      <c r="B104" s="1">
        <v>11.2</v>
      </c>
    </row>
    <row r="105" spans="1:2" x14ac:dyDescent="0.25">
      <c r="A105" s="1">
        <v>7.1999999999999993</v>
      </c>
      <c r="B105" s="1">
        <v>12</v>
      </c>
    </row>
    <row r="106" spans="1:2" x14ac:dyDescent="0.25">
      <c r="A106" s="1">
        <v>14</v>
      </c>
      <c r="B106" s="1">
        <v>36</v>
      </c>
    </row>
    <row r="107" spans="1:2" x14ac:dyDescent="0.25">
      <c r="A107" s="1">
        <v>28</v>
      </c>
      <c r="B107" s="1">
        <v>8.3999999999999986</v>
      </c>
    </row>
    <row r="108" spans="1:2" x14ac:dyDescent="0.25">
      <c r="A108" s="1">
        <v>7.1999999999999993</v>
      </c>
      <c r="B108" s="1">
        <v>12</v>
      </c>
    </row>
    <row r="109" spans="1:2" x14ac:dyDescent="0.25">
      <c r="A109" s="1">
        <v>8</v>
      </c>
      <c r="B109" s="1">
        <v>7.6</v>
      </c>
    </row>
    <row r="110" spans="1:2" x14ac:dyDescent="0.25">
      <c r="A110" s="1">
        <v>14</v>
      </c>
      <c r="B110" s="1">
        <v>14</v>
      </c>
    </row>
    <row r="111" spans="1:2" x14ac:dyDescent="0.25">
      <c r="A111" s="1">
        <v>4.8</v>
      </c>
      <c r="B111" s="1">
        <v>12</v>
      </c>
    </row>
    <row r="112" spans="1:2" x14ac:dyDescent="0.25">
      <c r="A112" s="1">
        <v>8</v>
      </c>
      <c r="B112" s="1">
        <v>8.8000000000000007</v>
      </c>
    </row>
    <row r="113" spans="1:2" x14ac:dyDescent="0.25">
      <c r="A113" s="1">
        <v>28</v>
      </c>
      <c r="B113" s="1">
        <v>8.3999999999999986</v>
      </c>
    </row>
    <row r="114" spans="1:2" x14ac:dyDescent="0.25">
      <c r="A114" s="1">
        <v>4.8</v>
      </c>
      <c r="B114" s="1">
        <v>6</v>
      </c>
    </row>
    <row r="115" spans="1:2" x14ac:dyDescent="0.25">
      <c r="A115" s="1">
        <v>8</v>
      </c>
      <c r="B115" s="1">
        <v>36</v>
      </c>
    </row>
    <row r="116" spans="1:2" x14ac:dyDescent="0.25">
      <c r="A116" s="1">
        <v>14</v>
      </c>
      <c r="B116" s="1">
        <v>19.600000000000001</v>
      </c>
    </row>
    <row r="117" spans="1:2" x14ac:dyDescent="0.25">
      <c r="A117" s="1">
        <v>8</v>
      </c>
      <c r="B117" s="1">
        <v>11.2</v>
      </c>
    </row>
    <row r="118" spans="1:2" x14ac:dyDescent="0.25">
      <c r="A118" s="1">
        <v>14</v>
      </c>
      <c r="B118" s="1">
        <v>12</v>
      </c>
    </row>
    <row r="119" spans="1:2" x14ac:dyDescent="0.25">
      <c r="A119" s="1">
        <v>4.8</v>
      </c>
      <c r="B119" s="1">
        <v>36</v>
      </c>
    </row>
    <row r="120" spans="1:2" x14ac:dyDescent="0.25">
      <c r="A120" s="1">
        <v>8</v>
      </c>
      <c r="B120" s="1">
        <v>14</v>
      </c>
    </row>
    <row r="121" spans="1:2" x14ac:dyDescent="0.25">
      <c r="A121" s="1">
        <v>14</v>
      </c>
      <c r="B121" s="1">
        <v>12</v>
      </c>
    </row>
    <row r="122" spans="1:2" x14ac:dyDescent="0.25">
      <c r="A122" s="1">
        <v>8</v>
      </c>
      <c r="B122" s="1">
        <v>8.8000000000000007</v>
      </c>
    </row>
    <row r="123" spans="1:2" x14ac:dyDescent="0.25">
      <c r="A123" s="1">
        <v>28</v>
      </c>
      <c r="B123" s="1">
        <v>8.3999999999999986</v>
      </c>
    </row>
    <row r="124" spans="1:2" x14ac:dyDescent="0.25">
      <c r="A124" s="1">
        <v>4.8</v>
      </c>
      <c r="B124" s="1">
        <v>6</v>
      </c>
    </row>
    <row r="125" spans="1:2" x14ac:dyDescent="0.25">
      <c r="A125" s="1">
        <v>14</v>
      </c>
      <c r="B125" s="1">
        <v>36</v>
      </c>
    </row>
    <row r="126" spans="1:2" x14ac:dyDescent="0.25">
      <c r="A126" s="1">
        <v>4.8</v>
      </c>
      <c r="B126" s="1">
        <v>19.600000000000001</v>
      </c>
    </row>
    <row r="127" spans="1:2" x14ac:dyDescent="0.25">
      <c r="A127" s="1">
        <v>8</v>
      </c>
      <c r="B127" s="1">
        <v>11.2</v>
      </c>
    </row>
    <row r="128" spans="1:2" x14ac:dyDescent="0.25">
      <c r="A128" s="1">
        <v>14</v>
      </c>
      <c r="B128" s="1">
        <v>12</v>
      </c>
    </row>
    <row r="129" spans="1:2" x14ac:dyDescent="0.25">
      <c r="A129" s="1">
        <v>8</v>
      </c>
      <c r="B129" s="1">
        <v>36</v>
      </c>
    </row>
    <row r="130" spans="1:2" x14ac:dyDescent="0.25">
      <c r="A130" s="1">
        <v>14</v>
      </c>
      <c r="B130" s="1">
        <v>14</v>
      </c>
    </row>
    <row r="131" spans="1:2" x14ac:dyDescent="0.25">
      <c r="A131" s="1">
        <v>7.1999999999999993</v>
      </c>
      <c r="B131" s="1">
        <v>12</v>
      </c>
    </row>
    <row r="132" spans="1:2" x14ac:dyDescent="0.25">
      <c r="A132" s="1">
        <v>8</v>
      </c>
      <c r="B132" s="1">
        <v>8.8000000000000007</v>
      </c>
    </row>
    <row r="133" spans="1:2" x14ac:dyDescent="0.25">
      <c r="A133" s="1">
        <v>14</v>
      </c>
      <c r="B133" s="1">
        <v>8.3999999999999986</v>
      </c>
    </row>
    <row r="134" spans="1:2" x14ac:dyDescent="0.25">
      <c r="A134" s="1">
        <v>4.8</v>
      </c>
      <c r="B134" s="1">
        <v>6</v>
      </c>
    </row>
    <row r="135" spans="1:2" x14ac:dyDescent="0.25">
      <c r="A135" s="1">
        <v>8</v>
      </c>
      <c r="B135" s="1">
        <v>36</v>
      </c>
    </row>
    <row r="136" spans="1:2" x14ac:dyDescent="0.25">
      <c r="A136" s="1">
        <v>14</v>
      </c>
      <c r="B136" s="1">
        <v>19.600000000000001</v>
      </c>
    </row>
    <row r="137" spans="1:2" x14ac:dyDescent="0.25">
      <c r="A137" s="1">
        <v>7.1999999999999993</v>
      </c>
      <c r="B137" s="1">
        <v>11.2</v>
      </c>
    </row>
    <row r="138" spans="1:2" x14ac:dyDescent="0.25">
      <c r="A138" s="1">
        <v>8</v>
      </c>
      <c r="B138" s="1">
        <v>12</v>
      </c>
    </row>
    <row r="139" spans="1:2" x14ac:dyDescent="0.25">
      <c r="A139" s="1">
        <v>28</v>
      </c>
      <c r="B139" s="1">
        <v>36</v>
      </c>
    </row>
    <row r="140" spans="1:2" x14ac:dyDescent="0.25">
      <c r="A140" s="1">
        <v>7.1999999999999993</v>
      </c>
      <c r="B140" s="1">
        <v>14</v>
      </c>
    </row>
    <row r="141" spans="1:2" x14ac:dyDescent="0.25">
      <c r="A141" s="1">
        <v>8</v>
      </c>
      <c r="B141" s="1">
        <v>12</v>
      </c>
    </row>
    <row r="142" spans="1:2" x14ac:dyDescent="0.25">
      <c r="A142" s="1">
        <v>42</v>
      </c>
      <c r="B142" s="1">
        <v>8.8000000000000007</v>
      </c>
    </row>
    <row r="143" spans="1:2" x14ac:dyDescent="0.25">
      <c r="A143" s="1">
        <v>20.8</v>
      </c>
      <c r="B143" s="1">
        <v>8.3999999999999986</v>
      </c>
    </row>
    <row r="144" spans="1:2" x14ac:dyDescent="0.25">
      <c r="A144" s="1">
        <v>14</v>
      </c>
      <c r="B144" s="1">
        <v>6</v>
      </c>
    </row>
    <row r="145" spans="1:2" x14ac:dyDescent="0.25">
      <c r="A145" s="1">
        <v>26</v>
      </c>
      <c r="B145" s="1">
        <v>36</v>
      </c>
    </row>
    <row r="146" spans="1:2" x14ac:dyDescent="0.25">
      <c r="A146" s="1">
        <v>14</v>
      </c>
      <c r="B146" s="1">
        <v>19.600000000000001</v>
      </c>
    </row>
    <row r="147" spans="1:2" x14ac:dyDescent="0.25">
      <c r="A147" s="1">
        <v>7.1999999999999993</v>
      </c>
      <c r="B147" s="1">
        <v>11.2</v>
      </c>
    </row>
    <row r="148" spans="1:2" x14ac:dyDescent="0.25">
      <c r="A148" s="1">
        <v>8</v>
      </c>
      <c r="B148" s="1">
        <v>12</v>
      </c>
    </row>
    <row r="149" spans="1:2" x14ac:dyDescent="0.25">
      <c r="A149" s="1">
        <v>18.8</v>
      </c>
      <c r="B149" s="1">
        <v>36</v>
      </c>
    </row>
    <row r="150" spans="1:2" x14ac:dyDescent="0.25">
      <c r="A150" s="1">
        <v>14</v>
      </c>
      <c r="B150" s="1">
        <v>14</v>
      </c>
    </row>
    <row r="151" spans="1:2" x14ac:dyDescent="0.25">
      <c r="A151" s="1">
        <v>7.1999999999999993</v>
      </c>
      <c r="B151" s="1">
        <v>12</v>
      </c>
    </row>
    <row r="152" spans="1:2" x14ac:dyDescent="0.25">
      <c r="A152" s="1">
        <v>14</v>
      </c>
      <c r="B152" s="1">
        <v>8.8000000000000007</v>
      </c>
    </row>
    <row r="153" spans="1:2" x14ac:dyDescent="0.25">
      <c r="A153" s="1">
        <v>26</v>
      </c>
      <c r="B153" s="1">
        <v>8.3999999999999986</v>
      </c>
    </row>
    <row r="154" spans="1:2" x14ac:dyDescent="0.25">
      <c r="A154" s="1">
        <v>14</v>
      </c>
      <c r="B154" s="1">
        <v>6</v>
      </c>
    </row>
    <row r="155" spans="1:2" x14ac:dyDescent="0.25">
      <c r="A155" s="1">
        <v>28</v>
      </c>
      <c r="B155" s="1">
        <v>36</v>
      </c>
    </row>
    <row r="156" spans="1:2" x14ac:dyDescent="0.25">
      <c r="A156" s="1">
        <v>18.8</v>
      </c>
      <c r="B156" s="1">
        <v>19.600000000000001</v>
      </c>
    </row>
    <row r="157" spans="1:2" x14ac:dyDescent="0.25">
      <c r="A157" s="1">
        <v>14</v>
      </c>
      <c r="B157" s="1">
        <v>14</v>
      </c>
    </row>
    <row r="158" spans="1:2" x14ac:dyDescent="0.25">
      <c r="A158" s="1">
        <v>4.8</v>
      </c>
      <c r="B158" s="1">
        <v>12</v>
      </c>
    </row>
    <row r="159" spans="1:2" x14ac:dyDescent="0.25">
      <c r="A159" s="1">
        <v>8</v>
      </c>
      <c r="B159" s="1">
        <v>36</v>
      </c>
    </row>
    <row r="160" spans="1:2" x14ac:dyDescent="0.25">
      <c r="A160" s="1">
        <v>26</v>
      </c>
      <c r="B160" s="1">
        <v>8.3999999999999986</v>
      </c>
    </row>
    <row r="161" spans="1:2" x14ac:dyDescent="0.25">
      <c r="A161" s="1">
        <v>14</v>
      </c>
      <c r="B161" s="1">
        <v>12</v>
      </c>
    </row>
    <row r="162" spans="1:2" x14ac:dyDescent="0.25">
      <c r="A162" s="1">
        <v>8</v>
      </c>
      <c r="B162" s="1">
        <v>8.8000000000000007</v>
      </c>
    </row>
    <row r="163" spans="1:2" x14ac:dyDescent="0.25">
      <c r="A163" s="1">
        <v>14</v>
      </c>
      <c r="B163" s="1">
        <v>7.6</v>
      </c>
    </row>
    <row r="164" spans="1:2" x14ac:dyDescent="0.25">
      <c r="A164" s="1">
        <v>14</v>
      </c>
      <c r="B164" s="1">
        <v>11.2</v>
      </c>
    </row>
    <row r="165" spans="1:2" x14ac:dyDescent="0.25">
      <c r="A165" s="1">
        <v>14</v>
      </c>
      <c r="B165" s="1">
        <v>12</v>
      </c>
    </row>
    <row r="166" spans="1:2" x14ac:dyDescent="0.25">
      <c r="A166" s="1">
        <v>4.8</v>
      </c>
      <c r="B166" s="1">
        <v>36</v>
      </c>
    </row>
    <row r="167" spans="1:2" x14ac:dyDescent="0.25">
      <c r="A167" s="1">
        <v>8</v>
      </c>
      <c r="B167" s="1">
        <v>8.3999999999999986</v>
      </c>
    </row>
    <row r="168" spans="1:2" x14ac:dyDescent="0.25">
      <c r="A168" s="1">
        <v>14</v>
      </c>
      <c r="B168" s="1">
        <v>6</v>
      </c>
    </row>
    <row r="169" spans="1:2" x14ac:dyDescent="0.25">
      <c r="A169" s="1">
        <v>4.8</v>
      </c>
      <c r="B169" s="1">
        <v>8.8000000000000007</v>
      </c>
    </row>
    <row r="170" spans="1:2" x14ac:dyDescent="0.25">
      <c r="A170" s="1">
        <v>14</v>
      </c>
      <c r="B170" s="1">
        <v>8.3999999999999986</v>
      </c>
    </row>
    <row r="171" spans="1:2" x14ac:dyDescent="0.25">
      <c r="A171" s="1">
        <v>26</v>
      </c>
      <c r="B171" s="1">
        <v>6</v>
      </c>
    </row>
    <row r="172" spans="1:2" x14ac:dyDescent="0.25">
      <c r="A172" s="1">
        <v>28</v>
      </c>
      <c r="B172" s="1">
        <v>36</v>
      </c>
    </row>
    <row r="173" spans="1:2" x14ac:dyDescent="0.25">
      <c r="A173" s="1">
        <v>4.8</v>
      </c>
      <c r="B173" s="1">
        <v>19.600000000000001</v>
      </c>
    </row>
    <row r="174" spans="1:2" x14ac:dyDescent="0.25">
      <c r="A174" s="1">
        <v>8</v>
      </c>
      <c r="B174" s="1">
        <v>14</v>
      </c>
    </row>
    <row r="175" spans="1:2" x14ac:dyDescent="0.25">
      <c r="A175" s="1">
        <v>14</v>
      </c>
      <c r="B175" s="1">
        <v>12</v>
      </c>
    </row>
    <row r="176" spans="1:2" x14ac:dyDescent="0.25">
      <c r="A176" s="1">
        <v>8</v>
      </c>
      <c r="B176" s="1">
        <v>36</v>
      </c>
    </row>
    <row r="177" spans="1:2" x14ac:dyDescent="0.25">
      <c r="A177" s="1">
        <v>26</v>
      </c>
      <c r="B177" s="1">
        <v>8.3999999999999986</v>
      </c>
    </row>
    <row r="178" spans="1:2" x14ac:dyDescent="0.25">
      <c r="A178" s="1">
        <v>28</v>
      </c>
      <c r="B178" s="1">
        <v>12</v>
      </c>
    </row>
    <row r="179" spans="1:2" x14ac:dyDescent="0.25">
      <c r="A179" s="1">
        <v>7.1999999999999993</v>
      </c>
      <c r="B179" s="1">
        <v>8.8000000000000007</v>
      </c>
    </row>
    <row r="180" spans="1:2" x14ac:dyDescent="0.25">
      <c r="A180" s="1">
        <v>14</v>
      </c>
      <c r="B180" s="1">
        <v>7.6</v>
      </c>
    </row>
    <row r="181" spans="1:2" x14ac:dyDescent="0.25">
      <c r="A181" s="1">
        <v>8</v>
      </c>
      <c r="B181" s="1">
        <v>11.2</v>
      </c>
    </row>
    <row r="182" spans="1:2" x14ac:dyDescent="0.25">
      <c r="A182" s="1">
        <v>28</v>
      </c>
      <c r="B182" s="1">
        <v>12</v>
      </c>
    </row>
    <row r="183" spans="1:2" x14ac:dyDescent="0.25">
      <c r="A183" s="1">
        <v>26</v>
      </c>
      <c r="B183" s="1">
        <v>36</v>
      </c>
    </row>
    <row r="184" spans="1:2" x14ac:dyDescent="0.25">
      <c r="A184" s="1">
        <v>14</v>
      </c>
      <c r="B184" s="1">
        <v>8.3999999999999986</v>
      </c>
    </row>
    <row r="185" spans="1:2" x14ac:dyDescent="0.25">
      <c r="A185" s="1">
        <v>7.1999999999999993</v>
      </c>
      <c r="B185" s="1">
        <v>12</v>
      </c>
    </row>
    <row r="186" spans="1:2" x14ac:dyDescent="0.25">
      <c r="A186" s="1">
        <v>8</v>
      </c>
      <c r="B186" s="1">
        <v>7.6</v>
      </c>
    </row>
    <row r="187" spans="1:2" x14ac:dyDescent="0.25">
      <c r="A187" s="1">
        <v>28</v>
      </c>
      <c r="B187" s="1">
        <v>14</v>
      </c>
    </row>
    <row r="188" spans="1:2" x14ac:dyDescent="0.25">
      <c r="A188" s="1">
        <v>14</v>
      </c>
      <c r="B188" s="1">
        <v>12</v>
      </c>
    </row>
    <row r="189" spans="1:2" x14ac:dyDescent="0.25">
      <c r="A189" s="1">
        <v>8</v>
      </c>
      <c r="B189" s="1">
        <v>8.8000000000000007</v>
      </c>
    </row>
    <row r="190" spans="1:2" x14ac:dyDescent="0.25">
      <c r="A190" s="1">
        <v>14</v>
      </c>
      <c r="B190" s="1">
        <v>8.3999999999999986</v>
      </c>
    </row>
    <row r="191" spans="1:2" x14ac:dyDescent="0.25">
      <c r="A191" s="1">
        <v>4.8</v>
      </c>
      <c r="B191" s="1">
        <v>6</v>
      </c>
    </row>
    <row r="192" spans="1:2" x14ac:dyDescent="0.25">
      <c r="A192" s="1">
        <v>14</v>
      </c>
      <c r="B192" s="1">
        <v>36</v>
      </c>
    </row>
    <row r="193" spans="1:2" x14ac:dyDescent="0.25">
      <c r="A193" s="1">
        <v>8</v>
      </c>
      <c r="B193" s="1">
        <v>19.600000000000001</v>
      </c>
    </row>
    <row r="194" spans="1:2" x14ac:dyDescent="0.25">
      <c r="A194" s="1">
        <v>14</v>
      </c>
      <c r="B194" s="1">
        <v>11.2</v>
      </c>
    </row>
    <row r="195" spans="1:2" x14ac:dyDescent="0.25">
      <c r="A195" s="1">
        <v>8</v>
      </c>
      <c r="B195" s="1">
        <v>12</v>
      </c>
    </row>
    <row r="196" spans="1:2" x14ac:dyDescent="0.25">
      <c r="A196" s="1">
        <v>26</v>
      </c>
      <c r="B196" s="1">
        <v>36</v>
      </c>
    </row>
    <row r="197" spans="1:2" x14ac:dyDescent="0.25">
      <c r="A197" s="1">
        <v>28</v>
      </c>
      <c r="B197" s="1">
        <v>14</v>
      </c>
    </row>
    <row r="198" spans="1:2" x14ac:dyDescent="0.25">
      <c r="A198" s="1">
        <v>4.8</v>
      </c>
      <c r="B198" s="1">
        <v>12</v>
      </c>
    </row>
    <row r="199" spans="1:2" x14ac:dyDescent="0.25">
      <c r="A199" s="1">
        <v>8</v>
      </c>
      <c r="B199" s="1">
        <v>8.8000000000000007</v>
      </c>
    </row>
    <row r="200" spans="1:2" x14ac:dyDescent="0.25">
      <c r="A200" s="1">
        <v>14</v>
      </c>
      <c r="B200" s="1">
        <v>8.3999999999999986</v>
      </c>
    </row>
    <row r="201" spans="1:2" x14ac:dyDescent="0.25">
      <c r="A201" s="1">
        <v>28</v>
      </c>
      <c r="B201" s="1">
        <v>6</v>
      </c>
    </row>
    <row r="202" spans="1:2" x14ac:dyDescent="0.25">
      <c r="A202" s="1">
        <v>7.1999999999999993</v>
      </c>
      <c r="B202" s="1">
        <v>36</v>
      </c>
    </row>
    <row r="203" spans="1:2" x14ac:dyDescent="0.25">
      <c r="A203" s="1">
        <v>8</v>
      </c>
      <c r="B203" s="1">
        <v>19.600000000000001</v>
      </c>
    </row>
    <row r="204" spans="1:2" x14ac:dyDescent="0.25">
      <c r="A204" s="1">
        <v>26</v>
      </c>
      <c r="B204" s="1">
        <v>11.2</v>
      </c>
    </row>
    <row r="205" spans="1:2" x14ac:dyDescent="0.25">
      <c r="A205" s="1">
        <v>14</v>
      </c>
      <c r="B205" s="1">
        <v>12</v>
      </c>
    </row>
    <row r="206" spans="1:2" x14ac:dyDescent="0.25">
      <c r="A206" s="1">
        <v>8</v>
      </c>
      <c r="B206" s="1">
        <v>36</v>
      </c>
    </row>
    <row r="207" spans="1:2" x14ac:dyDescent="0.25">
      <c r="A207" s="1">
        <v>14</v>
      </c>
      <c r="B207" s="1">
        <v>14</v>
      </c>
    </row>
    <row r="208" spans="1:2" x14ac:dyDescent="0.25">
      <c r="A208" s="1">
        <v>28</v>
      </c>
      <c r="B208" s="1">
        <v>12</v>
      </c>
    </row>
    <row r="209" spans="1:2" x14ac:dyDescent="0.25">
      <c r="A209" s="1">
        <v>7.1999999999999993</v>
      </c>
      <c r="B209" s="1">
        <v>8.8000000000000007</v>
      </c>
    </row>
    <row r="210" spans="1:2" x14ac:dyDescent="0.25">
      <c r="A210" s="1">
        <v>14</v>
      </c>
      <c r="B210" s="1">
        <v>8.3999999999999986</v>
      </c>
    </row>
    <row r="211" spans="1:2" x14ac:dyDescent="0.25">
      <c r="A211" s="1">
        <v>8</v>
      </c>
      <c r="B211" s="1">
        <v>6</v>
      </c>
    </row>
    <row r="212" spans="1:2" x14ac:dyDescent="0.25">
      <c r="A212" s="1">
        <v>14</v>
      </c>
      <c r="B212" s="1">
        <v>36</v>
      </c>
    </row>
    <row r="213" spans="1:2" x14ac:dyDescent="0.25">
      <c r="A213" s="1">
        <v>28</v>
      </c>
      <c r="B213" s="1">
        <v>19.600000000000001</v>
      </c>
    </row>
    <row r="214" spans="1:2" x14ac:dyDescent="0.25">
      <c r="A214" s="1">
        <v>4.8</v>
      </c>
      <c r="B214" s="1">
        <v>11.2</v>
      </c>
    </row>
    <row r="215" spans="1:2" x14ac:dyDescent="0.25">
      <c r="A215" s="1">
        <v>14</v>
      </c>
      <c r="B215" s="1">
        <v>12</v>
      </c>
    </row>
    <row r="216" spans="1:2" x14ac:dyDescent="0.25">
      <c r="A216" s="1">
        <v>8</v>
      </c>
      <c r="B216" s="1">
        <v>36</v>
      </c>
    </row>
    <row r="217" spans="1:2" x14ac:dyDescent="0.25">
      <c r="A217" s="1">
        <v>14</v>
      </c>
      <c r="B217" s="1">
        <v>14</v>
      </c>
    </row>
    <row r="218" spans="1:2" x14ac:dyDescent="0.25">
      <c r="A218" s="1">
        <v>28</v>
      </c>
      <c r="B218" s="1">
        <v>12</v>
      </c>
    </row>
    <row r="219" spans="1:2" x14ac:dyDescent="0.25">
      <c r="A219" s="1">
        <v>8</v>
      </c>
      <c r="B219" s="1">
        <v>8.8000000000000007</v>
      </c>
    </row>
    <row r="220" spans="1:2" x14ac:dyDescent="0.25">
      <c r="A220" s="1">
        <v>14</v>
      </c>
      <c r="B220" s="1">
        <v>8.3999999999999986</v>
      </c>
    </row>
    <row r="221" spans="1:2" x14ac:dyDescent="0.25">
      <c r="A221" s="1">
        <v>7.1999999999999993</v>
      </c>
      <c r="B221" s="1">
        <v>6</v>
      </c>
    </row>
    <row r="222" spans="1:2" x14ac:dyDescent="0.25">
      <c r="A222" s="1">
        <v>26</v>
      </c>
      <c r="B222" s="1">
        <v>36</v>
      </c>
    </row>
    <row r="223" spans="1:2" x14ac:dyDescent="0.25">
      <c r="A223" s="1">
        <v>28</v>
      </c>
      <c r="B223" s="1">
        <v>19.600000000000001</v>
      </c>
    </row>
    <row r="224" spans="1:2" x14ac:dyDescent="0.25">
      <c r="A224" s="1">
        <v>8</v>
      </c>
      <c r="B224" s="1">
        <v>11.2</v>
      </c>
    </row>
    <row r="225" spans="1:2" x14ac:dyDescent="0.25">
      <c r="A225" s="1">
        <v>28</v>
      </c>
      <c r="B225" s="1">
        <v>12</v>
      </c>
    </row>
    <row r="226" spans="1:2" x14ac:dyDescent="0.25">
      <c r="A226" s="1">
        <v>28</v>
      </c>
      <c r="B226" s="1">
        <v>8.8000000000000007</v>
      </c>
    </row>
    <row r="227" spans="1:2" x14ac:dyDescent="0.25">
      <c r="A227" s="1">
        <v>4.8</v>
      </c>
      <c r="B227" s="1">
        <v>8.3999999999999986</v>
      </c>
    </row>
    <row r="228" spans="1:2" x14ac:dyDescent="0.25">
      <c r="A228" s="1">
        <v>8</v>
      </c>
      <c r="B228" s="1">
        <v>6</v>
      </c>
    </row>
    <row r="229" spans="1:2" x14ac:dyDescent="0.25">
      <c r="A229" s="1">
        <v>28</v>
      </c>
      <c r="B229" s="1">
        <v>36</v>
      </c>
    </row>
    <row r="230" spans="1:2" x14ac:dyDescent="0.25">
      <c r="A230" s="1">
        <v>14</v>
      </c>
      <c r="B230" s="1">
        <v>19.600000000000001</v>
      </c>
    </row>
    <row r="231" spans="1:2" x14ac:dyDescent="0.25">
      <c r="A231" s="1">
        <v>4.8</v>
      </c>
      <c r="B231" s="1">
        <v>11.2</v>
      </c>
    </row>
    <row r="232" spans="1:2" x14ac:dyDescent="0.25">
      <c r="A232" s="1">
        <v>8</v>
      </c>
      <c r="B232" s="1">
        <v>12</v>
      </c>
    </row>
    <row r="233" spans="1:2" x14ac:dyDescent="0.25">
      <c r="A233" s="1">
        <v>26</v>
      </c>
      <c r="B233" s="1">
        <v>36</v>
      </c>
    </row>
    <row r="234" spans="1:2" x14ac:dyDescent="0.25">
      <c r="A234" s="1">
        <v>14</v>
      </c>
      <c r="B234" s="1">
        <v>14</v>
      </c>
    </row>
    <row r="235" spans="1:2" x14ac:dyDescent="0.25">
      <c r="A235" s="1">
        <v>8</v>
      </c>
      <c r="B235" s="1">
        <v>12</v>
      </c>
    </row>
    <row r="236" spans="1:2" x14ac:dyDescent="0.25">
      <c r="A236" s="1">
        <v>28</v>
      </c>
      <c r="B236" s="1">
        <v>8.8000000000000007</v>
      </c>
    </row>
    <row r="237" spans="1:2" x14ac:dyDescent="0.25">
      <c r="A237" s="1">
        <v>4.8</v>
      </c>
      <c r="B237" s="1">
        <v>8.3999999999999986</v>
      </c>
    </row>
    <row r="238" spans="1:2" x14ac:dyDescent="0.25">
      <c r="A238" s="1">
        <v>14</v>
      </c>
      <c r="B238" s="1">
        <v>6</v>
      </c>
    </row>
    <row r="239" spans="1:2" x14ac:dyDescent="0.25">
      <c r="A239" s="1">
        <v>8</v>
      </c>
      <c r="B239" s="1">
        <v>36</v>
      </c>
    </row>
    <row r="240" spans="1:2" x14ac:dyDescent="0.25">
      <c r="A240" s="1">
        <v>14</v>
      </c>
      <c r="B240" s="1">
        <v>19.600000000000001</v>
      </c>
    </row>
    <row r="241" spans="1:2" x14ac:dyDescent="0.25">
      <c r="A241" s="1">
        <v>14</v>
      </c>
      <c r="B241" s="1">
        <v>11.2</v>
      </c>
    </row>
    <row r="242" spans="1:2" x14ac:dyDescent="0.25">
      <c r="A242" s="1">
        <v>4.8</v>
      </c>
      <c r="B242" s="1">
        <v>12</v>
      </c>
    </row>
    <row r="243" spans="1:2" x14ac:dyDescent="0.25">
      <c r="A243" s="1">
        <v>8</v>
      </c>
      <c r="B243" s="1">
        <v>36</v>
      </c>
    </row>
    <row r="244" spans="1:2" x14ac:dyDescent="0.25">
      <c r="A244" s="1">
        <v>14</v>
      </c>
      <c r="B244" s="1">
        <v>14</v>
      </c>
    </row>
    <row r="245" spans="1:2" x14ac:dyDescent="0.25">
      <c r="A245" s="1">
        <v>14</v>
      </c>
      <c r="B245" s="1">
        <v>12</v>
      </c>
    </row>
    <row r="246" spans="1:2" x14ac:dyDescent="0.25">
      <c r="A246" s="1">
        <v>4.8</v>
      </c>
      <c r="B246" s="1">
        <v>8.8000000000000007</v>
      </c>
    </row>
    <row r="247" spans="1:2" x14ac:dyDescent="0.25">
      <c r="A247" s="1">
        <v>8</v>
      </c>
      <c r="B247" s="1">
        <v>8.3999999999999986</v>
      </c>
    </row>
    <row r="248" spans="1:2" x14ac:dyDescent="0.25">
      <c r="A248" s="1">
        <v>14</v>
      </c>
      <c r="B248" s="1">
        <v>6</v>
      </c>
    </row>
    <row r="249" spans="1:2" x14ac:dyDescent="0.25">
      <c r="A249" s="1">
        <v>8</v>
      </c>
      <c r="B249" s="1">
        <v>36</v>
      </c>
    </row>
    <row r="250" spans="1:2" x14ac:dyDescent="0.25">
      <c r="A250" s="1">
        <v>26</v>
      </c>
      <c r="B250" s="1">
        <v>19.600000000000001</v>
      </c>
    </row>
    <row r="251" spans="1:2" x14ac:dyDescent="0.25">
      <c r="A251" s="1">
        <v>28</v>
      </c>
      <c r="B251" s="1">
        <v>11.2</v>
      </c>
    </row>
    <row r="252" spans="1:2" x14ac:dyDescent="0.25">
      <c r="A252" s="1">
        <v>7.1999999999999993</v>
      </c>
      <c r="B252" s="1">
        <v>12</v>
      </c>
    </row>
    <row r="253" spans="1:2" x14ac:dyDescent="0.25">
      <c r="A253" s="1">
        <v>14</v>
      </c>
      <c r="B253" s="1">
        <v>36</v>
      </c>
    </row>
    <row r="254" spans="1:2" x14ac:dyDescent="0.25">
      <c r="A254" s="1">
        <v>8</v>
      </c>
      <c r="B254" s="1">
        <v>14</v>
      </c>
    </row>
    <row r="255" spans="1:2" x14ac:dyDescent="0.25">
      <c r="A255" s="1">
        <v>14</v>
      </c>
      <c r="B255" s="1">
        <v>12</v>
      </c>
    </row>
    <row r="256" spans="1:2" x14ac:dyDescent="0.25">
      <c r="A256" s="1">
        <v>14</v>
      </c>
      <c r="B256" s="1">
        <v>8.8000000000000007</v>
      </c>
    </row>
    <row r="257" spans="1:2" x14ac:dyDescent="0.25">
      <c r="A257" s="1">
        <v>4.8</v>
      </c>
      <c r="B257" s="1">
        <v>8.3999999999999986</v>
      </c>
    </row>
    <row r="258" spans="1:2" x14ac:dyDescent="0.25">
      <c r="A258" s="1">
        <v>8</v>
      </c>
      <c r="B258" s="1">
        <v>6</v>
      </c>
    </row>
    <row r="259" spans="1:2" x14ac:dyDescent="0.25">
      <c r="A259" s="1">
        <v>28</v>
      </c>
      <c r="B259" s="1">
        <v>36</v>
      </c>
    </row>
    <row r="260" spans="1:2" x14ac:dyDescent="0.25">
      <c r="A260" s="1">
        <v>14</v>
      </c>
      <c r="B260" s="1">
        <v>19.600000000000001</v>
      </c>
    </row>
    <row r="261" spans="1:2" x14ac:dyDescent="0.25">
      <c r="A261" s="1">
        <v>8</v>
      </c>
      <c r="B261" s="1">
        <v>11.2</v>
      </c>
    </row>
    <row r="262" spans="1:2" x14ac:dyDescent="0.25">
      <c r="A262" s="1">
        <v>28</v>
      </c>
      <c r="B262" s="1">
        <v>12</v>
      </c>
    </row>
    <row r="263" spans="1:2" x14ac:dyDescent="0.25">
      <c r="A263" s="1">
        <v>14</v>
      </c>
      <c r="B263" s="1">
        <v>36</v>
      </c>
    </row>
    <row r="264" spans="1:2" x14ac:dyDescent="0.25">
      <c r="A264" s="1">
        <v>4.8</v>
      </c>
      <c r="B264" s="1">
        <v>14</v>
      </c>
    </row>
    <row r="265" spans="1:2" x14ac:dyDescent="0.25">
      <c r="A265" s="1">
        <v>8</v>
      </c>
      <c r="B265" s="1">
        <v>12</v>
      </c>
    </row>
    <row r="266" spans="1:2" x14ac:dyDescent="0.25">
      <c r="A266" s="1">
        <v>14</v>
      </c>
      <c r="B266" s="1">
        <v>8.8000000000000007</v>
      </c>
    </row>
    <row r="267" spans="1:2" x14ac:dyDescent="0.25">
      <c r="A267" s="1">
        <v>28</v>
      </c>
      <c r="B267" s="1">
        <v>8.3999999999999986</v>
      </c>
    </row>
    <row r="268" spans="1:2" x14ac:dyDescent="0.25">
      <c r="A268" s="1">
        <v>4.8</v>
      </c>
      <c r="B268" s="1">
        <v>6</v>
      </c>
    </row>
    <row r="269" spans="1:2" x14ac:dyDescent="0.25">
      <c r="A269" s="1">
        <v>8</v>
      </c>
      <c r="B269" s="1">
        <v>36</v>
      </c>
    </row>
    <row r="270" spans="1:2" x14ac:dyDescent="0.25">
      <c r="A270" s="1">
        <v>14</v>
      </c>
      <c r="B270" s="1">
        <v>19.600000000000001</v>
      </c>
    </row>
    <row r="271" spans="1:2" x14ac:dyDescent="0.25">
      <c r="A271" s="1">
        <v>14</v>
      </c>
      <c r="B271" s="1">
        <v>11.2</v>
      </c>
    </row>
    <row r="272" spans="1:2" x14ac:dyDescent="0.25">
      <c r="A272" s="1">
        <v>8</v>
      </c>
      <c r="B272" s="1">
        <v>12</v>
      </c>
    </row>
    <row r="273" spans="1:2" x14ac:dyDescent="0.25">
      <c r="A273" s="1">
        <v>28</v>
      </c>
      <c r="B273" s="1">
        <v>36</v>
      </c>
    </row>
    <row r="274" spans="1:2" x14ac:dyDescent="0.25">
      <c r="A274" s="1">
        <v>4.8</v>
      </c>
      <c r="B274" s="1">
        <v>14</v>
      </c>
    </row>
    <row r="275" spans="1:2" x14ac:dyDescent="0.25">
      <c r="A275" s="1">
        <v>8</v>
      </c>
      <c r="B275" s="1">
        <v>12</v>
      </c>
    </row>
    <row r="276" spans="1:2" x14ac:dyDescent="0.25">
      <c r="A276" s="1">
        <v>14</v>
      </c>
      <c r="B276" s="1">
        <v>8.8000000000000007</v>
      </c>
    </row>
    <row r="277" spans="1:2" x14ac:dyDescent="0.25">
      <c r="A277" s="1">
        <v>14</v>
      </c>
      <c r="B277" s="1">
        <v>11.2</v>
      </c>
    </row>
    <row r="278" spans="1:2" x14ac:dyDescent="0.25">
      <c r="A278" s="1">
        <v>8</v>
      </c>
      <c r="B278" s="1">
        <v>12</v>
      </c>
    </row>
    <row r="279" spans="1:2" x14ac:dyDescent="0.25">
      <c r="A279" s="1">
        <v>28</v>
      </c>
      <c r="B279" s="1">
        <v>8.8000000000000007</v>
      </c>
    </row>
    <row r="280" spans="1:2" x14ac:dyDescent="0.25">
      <c r="A280" s="1">
        <v>14</v>
      </c>
      <c r="B280" s="1">
        <v>36</v>
      </c>
    </row>
    <row r="281" spans="1:2" x14ac:dyDescent="0.25">
      <c r="A281" s="1">
        <v>4.8</v>
      </c>
      <c r="B281" s="1">
        <v>19.600000000000001</v>
      </c>
    </row>
    <row r="282" spans="1:2" x14ac:dyDescent="0.25">
      <c r="A282" s="1">
        <v>8</v>
      </c>
      <c r="B282" s="1">
        <v>7.6</v>
      </c>
    </row>
    <row r="283" spans="1:2" x14ac:dyDescent="0.25">
      <c r="A283" s="1">
        <v>28</v>
      </c>
      <c r="B283" s="1">
        <v>14</v>
      </c>
    </row>
    <row r="284" spans="1:2" x14ac:dyDescent="0.25">
      <c r="A284" s="1">
        <v>14</v>
      </c>
      <c r="B284" s="1">
        <v>6</v>
      </c>
    </row>
    <row r="285" spans="1:2" x14ac:dyDescent="0.25">
      <c r="A285" s="1">
        <v>8</v>
      </c>
      <c r="B285" s="1">
        <v>8.8000000000000007</v>
      </c>
    </row>
    <row r="286" spans="1:2" x14ac:dyDescent="0.25">
      <c r="A286" s="1">
        <v>14</v>
      </c>
      <c r="B286" s="1">
        <v>36</v>
      </c>
    </row>
    <row r="287" spans="1:2" x14ac:dyDescent="0.25">
      <c r="A287" s="1">
        <v>14</v>
      </c>
      <c r="B287" s="1">
        <v>19.600000000000001</v>
      </c>
    </row>
    <row r="288" spans="1:2" x14ac:dyDescent="0.25">
      <c r="A288" s="1">
        <v>4.8</v>
      </c>
      <c r="B288" s="1">
        <v>6</v>
      </c>
    </row>
    <row r="289" spans="1:2" x14ac:dyDescent="0.25">
      <c r="A289" s="1">
        <v>8</v>
      </c>
      <c r="B289" s="1">
        <v>11.2</v>
      </c>
    </row>
    <row r="290" spans="1:2" x14ac:dyDescent="0.25">
      <c r="A290" s="1">
        <v>28</v>
      </c>
      <c r="B290" s="1">
        <v>36</v>
      </c>
    </row>
    <row r="291" spans="1:2" x14ac:dyDescent="0.25">
      <c r="A291" s="1">
        <v>14</v>
      </c>
      <c r="B291" s="1">
        <v>7.6</v>
      </c>
    </row>
    <row r="292" spans="1:2" x14ac:dyDescent="0.25">
      <c r="A292" s="1">
        <v>4.8</v>
      </c>
      <c r="B292" s="1">
        <v>14</v>
      </c>
    </row>
    <row r="293" spans="1:2" x14ac:dyDescent="0.25">
      <c r="A293" s="1">
        <v>8</v>
      </c>
      <c r="B293" s="1">
        <v>12</v>
      </c>
    </row>
    <row r="294" spans="1:2" x14ac:dyDescent="0.25">
      <c r="A294" s="1">
        <v>28</v>
      </c>
      <c r="B294" s="1">
        <v>8.8000000000000007</v>
      </c>
    </row>
    <row r="295" spans="1:2" x14ac:dyDescent="0.25">
      <c r="A295" s="1">
        <v>28</v>
      </c>
      <c r="B295" s="1">
        <v>36</v>
      </c>
    </row>
    <row r="296" spans="1:2" x14ac:dyDescent="0.25">
      <c r="A296" s="1">
        <v>14</v>
      </c>
      <c r="B296" s="1">
        <v>8.3999999999999986</v>
      </c>
    </row>
    <row r="297" spans="1:2" x14ac:dyDescent="0.25">
      <c r="A297" s="1">
        <v>28</v>
      </c>
      <c r="B297" s="1">
        <v>12</v>
      </c>
    </row>
    <row r="298" spans="1:2" x14ac:dyDescent="0.25">
      <c r="A298" s="1">
        <v>8</v>
      </c>
      <c r="B298" s="1">
        <v>8.8000000000000007</v>
      </c>
    </row>
    <row r="299" spans="1:2" x14ac:dyDescent="0.25">
      <c r="A299" s="1">
        <v>14</v>
      </c>
      <c r="B299" s="1">
        <v>8.3999999999999986</v>
      </c>
    </row>
    <row r="300" spans="1:2" x14ac:dyDescent="0.25">
      <c r="A300" s="1">
        <v>4.8</v>
      </c>
      <c r="B300" s="1">
        <v>6</v>
      </c>
    </row>
    <row r="301" spans="1:2" x14ac:dyDescent="0.25">
      <c r="A301" s="1">
        <v>8</v>
      </c>
      <c r="B301" s="1">
        <v>36</v>
      </c>
    </row>
    <row r="302" spans="1:2" x14ac:dyDescent="0.25">
      <c r="A302" s="1">
        <v>14</v>
      </c>
      <c r="B302" s="1">
        <v>19.600000000000001</v>
      </c>
    </row>
    <row r="303" spans="1:2" x14ac:dyDescent="0.25">
      <c r="A303" s="1">
        <v>28</v>
      </c>
      <c r="B303" s="1">
        <v>11.2</v>
      </c>
    </row>
    <row r="304" spans="1:2" x14ac:dyDescent="0.25">
      <c r="A304" s="1">
        <v>8</v>
      </c>
      <c r="B304" s="1">
        <v>6</v>
      </c>
    </row>
    <row r="305" spans="1:2" x14ac:dyDescent="0.25">
      <c r="A305" s="1">
        <v>14</v>
      </c>
      <c r="B305" s="1">
        <v>8.8000000000000007</v>
      </c>
    </row>
    <row r="306" spans="1:2" x14ac:dyDescent="0.25">
      <c r="A306" s="1">
        <v>28</v>
      </c>
      <c r="B306" s="1">
        <v>36</v>
      </c>
    </row>
    <row r="307" spans="1:2" x14ac:dyDescent="0.25">
      <c r="A307" s="1">
        <v>4.8</v>
      </c>
      <c r="B307" s="1">
        <v>7.6</v>
      </c>
    </row>
    <row r="308" spans="1:2" x14ac:dyDescent="0.25">
      <c r="A308" s="1">
        <v>8</v>
      </c>
      <c r="B308" s="1">
        <v>11.2</v>
      </c>
    </row>
    <row r="309" spans="1:2" x14ac:dyDescent="0.25">
      <c r="A309" s="1">
        <v>14</v>
      </c>
      <c r="B309" s="1">
        <v>12</v>
      </c>
    </row>
    <row r="310" spans="1:2" x14ac:dyDescent="0.25">
      <c r="A310" s="1">
        <v>28</v>
      </c>
      <c r="B310" s="1">
        <v>8.8000000000000007</v>
      </c>
    </row>
    <row r="311" spans="1:2" x14ac:dyDescent="0.25">
      <c r="A311" s="1">
        <v>8</v>
      </c>
      <c r="B311" s="1">
        <v>36</v>
      </c>
    </row>
    <row r="312" spans="1:2" x14ac:dyDescent="0.25">
      <c r="A312" s="1">
        <v>14</v>
      </c>
      <c r="B312" s="1">
        <v>14</v>
      </c>
    </row>
    <row r="313" spans="1:2" x14ac:dyDescent="0.25">
      <c r="A313" s="1">
        <v>28</v>
      </c>
      <c r="B313" s="1">
        <v>6</v>
      </c>
    </row>
    <row r="314" spans="1:2" x14ac:dyDescent="0.25">
      <c r="A314" s="1">
        <v>4.8</v>
      </c>
      <c r="B314" s="1">
        <v>8.8000000000000007</v>
      </c>
    </row>
    <row r="315" spans="1:2" x14ac:dyDescent="0.25">
      <c r="A315" s="1">
        <v>8</v>
      </c>
      <c r="B315" s="1">
        <v>36</v>
      </c>
    </row>
    <row r="316" spans="1:2" x14ac:dyDescent="0.25">
      <c r="A316" s="1">
        <v>14</v>
      </c>
      <c r="B316" s="1">
        <v>19.600000000000001</v>
      </c>
    </row>
    <row r="317" spans="1:2" x14ac:dyDescent="0.25">
      <c r="A317" s="1">
        <v>28</v>
      </c>
      <c r="B317" s="1">
        <v>8.3999999999999986</v>
      </c>
    </row>
    <row r="318" spans="1:2" x14ac:dyDescent="0.25">
      <c r="A318" s="1">
        <v>8</v>
      </c>
      <c r="B318" s="1">
        <v>12</v>
      </c>
    </row>
    <row r="319" spans="1:2" x14ac:dyDescent="0.25">
      <c r="A319" s="1">
        <v>4.8</v>
      </c>
      <c r="B319" s="1">
        <v>8.8000000000000007</v>
      </c>
    </row>
    <row r="320" spans="1:2" x14ac:dyDescent="0.25">
      <c r="A320" s="1">
        <v>14</v>
      </c>
      <c r="B320" s="1">
        <v>36</v>
      </c>
    </row>
    <row r="321" spans="1:2" x14ac:dyDescent="0.25">
      <c r="A321" s="1">
        <v>8</v>
      </c>
      <c r="B321" s="1">
        <v>19.600000000000001</v>
      </c>
    </row>
    <row r="322" spans="1:2" x14ac:dyDescent="0.25">
      <c r="A322" s="1">
        <v>7.1999999999999993</v>
      </c>
      <c r="B322" s="1">
        <v>11.2</v>
      </c>
    </row>
    <row r="323" spans="1:2" x14ac:dyDescent="0.25">
      <c r="A323" s="1">
        <v>42</v>
      </c>
      <c r="B323" s="1">
        <v>12</v>
      </c>
    </row>
    <row r="324" spans="1:2" x14ac:dyDescent="0.25">
      <c r="A324" s="1">
        <v>18.399999999999999</v>
      </c>
      <c r="B324" s="1">
        <v>8.8000000000000007</v>
      </c>
    </row>
    <row r="325" spans="1:2" x14ac:dyDescent="0.25">
      <c r="A325" s="1">
        <v>28</v>
      </c>
      <c r="B325" s="1">
        <v>36</v>
      </c>
    </row>
    <row r="326" spans="1:2" x14ac:dyDescent="0.25">
      <c r="A326" s="1">
        <v>8</v>
      </c>
      <c r="B326" s="1">
        <v>7.6</v>
      </c>
    </row>
    <row r="327" spans="1:2" x14ac:dyDescent="0.25">
      <c r="A327" s="1">
        <v>4.8</v>
      </c>
      <c r="B327" s="1">
        <v>8.3999999999999986</v>
      </c>
    </row>
    <row r="328" spans="1:2" x14ac:dyDescent="0.25">
      <c r="A328" s="1">
        <v>14</v>
      </c>
      <c r="B328" s="1">
        <v>6</v>
      </c>
    </row>
    <row r="329" spans="1:2" x14ac:dyDescent="0.25">
      <c r="A329" s="1">
        <v>28</v>
      </c>
      <c r="B329" s="1">
        <v>8.8000000000000007</v>
      </c>
    </row>
    <row r="330" spans="1:2" x14ac:dyDescent="0.25">
      <c r="A330" s="1">
        <v>4.8</v>
      </c>
      <c r="B330" s="1">
        <v>36</v>
      </c>
    </row>
    <row r="331" spans="1:2" x14ac:dyDescent="0.25">
      <c r="A331" s="1">
        <v>8</v>
      </c>
      <c r="B331" s="1">
        <v>19.600000000000001</v>
      </c>
    </row>
    <row r="332" spans="1:2" x14ac:dyDescent="0.25">
      <c r="A332" s="1">
        <v>14</v>
      </c>
      <c r="B332" s="1">
        <v>8.3999999999999986</v>
      </c>
    </row>
    <row r="333" spans="1:2" x14ac:dyDescent="0.25">
      <c r="A333" s="1">
        <v>28</v>
      </c>
      <c r="B333" s="1">
        <v>12</v>
      </c>
    </row>
    <row r="334" spans="1:2" x14ac:dyDescent="0.25">
      <c r="A334" s="1">
        <v>7.1999999999999993</v>
      </c>
      <c r="B334" s="1">
        <v>8.8000000000000007</v>
      </c>
    </row>
    <row r="335" spans="1:2" x14ac:dyDescent="0.25">
      <c r="A335" s="1">
        <v>8</v>
      </c>
      <c r="B335" s="1">
        <v>36</v>
      </c>
    </row>
    <row r="336" spans="1:2" x14ac:dyDescent="0.25">
      <c r="A336" s="1">
        <v>42</v>
      </c>
      <c r="B336" s="1">
        <v>19.600000000000001</v>
      </c>
    </row>
    <row r="337" spans="1:2" x14ac:dyDescent="0.25">
      <c r="A337" s="1">
        <v>8</v>
      </c>
      <c r="B337" s="1">
        <v>7.6</v>
      </c>
    </row>
    <row r="338" spans="1:2" x14ac:dyDescent="0.25">
      <c r="A338" s="1">
        <v>18.399999999999999</v>
      </c>
      <c r="B338" s="1">
        <v>8.3999999999999986</v>
      </c>
    </row>
    <row r="339" spans="1:2" x14ac:dyDescent="0.25">
      <c r="A339" s="1">
        <v>4.8</v>
      </c>
      <c r="B339" s="1">
        <v>12</v>
      </c>
    </row>
    <row r="340" spans="1:2" x14ac:dyDescent="0.25">
      <c r="A340" s="1">
        <v>14</v>
      </c>
      <c r="B340" s="1">
        <v>14</v>
      </c>
    </row>
    <row r="341" spans="1:2" x14ac:dyDescent="0.25">
      <c r="A341" s="1">
        <v>8</v>
      </c>
      <c r="B341" s="1">
        <v>6</v>
      </c>
    </row>
    <row r="342" spans="1:2" x14ac:dyDescent="0.25">
      <c r="A342" s="1">
        <v>14</v>
      </c>
      <c r="B342" s="1">
        <v>8.8000000000000007</v>
      </c>
    </row>
    <row r="343" spans="1:2" x14ac:dyDescent="0.25">
      <c r="A343" s="1">
        <v>4.8</v>
      </c>
      <c r="B343" s="1">
        <v>36</v>
      </c>
    </row>
    <row r="344" spans="1:2" x14ac:dyDescent="0.25">
      <c r="A344" s="1">
        <v>28</v>
      </c>
      <c r="B344" s="1">
        <v>51.64</v>
      </c>
    </row>
    <row r="345" spans="1:2" x14ac:dyDescent="0.25">
      <c r="A345" s="1">
        <v>8</v>
      </c>
      <c r="B345" s="1">
        <v>28</v>
      </c>
    </row>
    <row r="346" spans="1:2" x14ac:dyDescent="0.25">
      <c r="A346" s="1">
        <v>7.1999999999999993</v>
      </c>
      <c r="B346" s="1">
        <v>79.64</v>
      </c>
    </row>
    <row r="347" spans="1:2" x14ac:dyDescent="0.25">
      <c r="A347" s="1">
        <v>14</v>
      </c>
      <c r="B347" s="1">
        <v>8.3999999999999986</v>
      </c>
    </row>
    <row r="348" spans="1:2" x14ac:dyDescent="0.25">
      <c r="A348" s="1">
        <v>8</v>
      </c>
      <c r="B348" s="1">
        <v>6</v>
      </c>
    </row>
    <row r="349" spans="1:2" x14ac:dyDescent="0.25">
      <c r="A349" s="1">
        <v>28</v>
      </c>
      <c r="B349" s="1">
        <v>7.6</v>
      </c>
    </row>
    <row r="350" spans="1:2" x14ac:dyDescent="0.25">
      <c r="A350" s="1">
        <v>8</v>
      </c>
      <c r="B350" s="1">
        <v>11.2</v>
      </c>
    </row>
    <row r="351" spans="1:2" x14ac:dyDescent="0.25">
      <c r="A351" s="1">
        <v>4.8</v>
      </c>
      <c r="B351" s="1">
        <v>12</v>
      </c>
    </row>
    <row r="352" spans="1:2" x14ac:dyDescent="0.25">
      <c r="A352" s="1">
        <v>14</v>
      </c>
      <c r="B352" s="1">
        <v>8.8000000000000007</v>
      </c>
    </row>
    <row r="353" spans="1:2" x14ac:dyDescent="0.25">
      <c r="A353" s="1">
        <v>8</v>
      </c>
      <c r="B353" s="1">
        <v>18</v>
      </c>
    </row>
    <row r="354" spans="1:2" x14ac:dyDescent="0.25">
      <c r="A354" s="1">
        <v>7.1999999999999993</v>
      </c>
      <c r="B354" s="1">
        <v>8.3999999999999986</v>
      </c>
    </row>
    <row r="355" spans="1:2" x14ac:dyDescent="0.25">
      <c r="A355" s="1">
        <v>28</v>
      </c>
      <c r="B355" s="1">
        <v>6</v>
      </c>
    </row>
    <row r="356" spans="1:2" x14ac:dyDescent="0.25">
      <c r="A356" s="1">
        <v>8</v>
      </c>
      <c r="B356" s="1">
        <v>8.8000000000000007</v>
      </c>
    </row>
    <row r="357" spans="1:2" x14ac:dyDescent="0.25">
      <c r="A357" s="1">
        <v>7.1999999999999993</v>
      </c>
      <c r="B357" s="1">
        <v>11.2</v>
      </c>
    </row>
    <row r="358" spans="1:2" x14ac:dyDescent="0.25">
      <c r="A358" s="1">
        <v>14</v>
      </c>
      <c r="B358" s="1">
        <v>36</v>
      </c>
    </row>
    <row r="359" spans="1:2" x14ac:dyDescent="0.25">
      <c r="A359" s="1">
        <v>8</v>
      </c>
      <c r="B359" s="1">
        <v>51.64</v>
      </c>
    </row>
    <row r="360" spans="1:2" x14ac:dyDescent="0.25">
      <c r="A360" s="1">
        <v>4.8</v>
      </c>
      <c r="B360" s="1">
        <v>28</v>
      </c>
    </row>
    <row r="361" spans="1:2" x14ac:dyDescent="0.25">
      <c r="A361" s="1">
        <v>28</v>
      </c>
      <c r="B361" s="1">
        <v>79.64</v>
      </c>
    </row>
    <row r="362" spans="1:2" x14ac:dyDescent="0.25">
      <c r="A362" s="1">
        <v>8</v>
      </c>
      <c r="B362" s="1">
        <v>8.3999999999999986</v>
      </c>
    </row>
    <row r="363" spans="1:2" x14ac:dyDescent="0.25">
      <c r="A363" s="1">
        <v>7.1999999999999993</v>
      </c>
      <c r="B363" s="1">
        <v>6</v>
      </c>
    </row>
    <row r="364" spans="1:2" x14ac:dyDescent="0.25">
      <c r="A364" s="1">
        <v>14</v>
      </c>
      <c r="B364" s="1">
        <v>8.8000000000000007</v>
      </c>
    </row>
    <row r="365" spans="1:2" x14ac:dyDescent="0.25">
      <c r="A365" s="1">
        <v>8</v>
      </c>
      <c r="B365" s="1">
        <v>36</v>
      </c>
    </row>
    <row r="366" spans="1:2" x14ac:dyDescent="0.25">
      <c r="A366" s="1">
        <v>7.1999999999999993</v>
      </c>
      <c r="B366" s="1">
        <v>11.2</v>
      </c>
    </row>
    <row r="367" spans="1:2" x14ac:dyDescent="0.25">
      <c r="A367" s="1">
        <v>28</v>
      </c>
      <c r="B367" s="1">
        <v>12</v>
      </c>
    </row>
    <row r="368" spans="1:2" x14ac:dyDescent="0.25">
      <c r="A368" s="1">
        <v>8</v>
      </c>
      <c r="B368" s="1">
        <v>8.8000000000000007</v>
      </c>
    </row>
    <row r="369" spans="1:2" x14ac:dyDescent="0.25">
      <c r="A369" s="1">
        <v>4.8</v>
      </c>
      <c r="B369" s="1">
        <v>18</v>
      </c>
    </row>
    <row r="370" spans="1:2" x14ac:dyDescent="0.25">
      <c r="A370" s="1">
        <v>28</v>
      </c>
      <c r="B370" s="1">
        <v>8.3999999999999986</v>
      </c>
    </row>
    <row r="371" spans="1:2" x14ac:dyDescent="0.25">
      <c r="A371" s="1">
        <v>8</v>
      </c>
      <c r="B371" s="1">
        <v>6</v>
      </c>
    </row>
    <row r="372" spans="1:2" x14ac:dyDescent="0.25">
      <c r="A372" s="1">
        <v>7.1999999999999993</v>
      </c>
      <c r="B372" s="1">
        <v>8.8000000000000007</v>
      </c>
    </row>
    <row r="373" spans="1:2" x14ac:dyDescent="0.25">
      <c r="A373" s="1">
        <v>14</v>
      </c>
      <c r="B373" s="1">
        <v>11.2</v>
      </c>
    </row>
    <row r="374" spans="1:2" x14ac:dyDescent="0.25">
      <c r="A374" s="1">
        <v>7.1999999999999993</v>
      </c>
      <c r="B374" s="1">
        <v>12</v>
      </c>
    </row>
    <row r="375" spans="1:2" x14ac:dyDescent="0.25">
      <c r="A375" s="1">
        <v>8</v>
      </c>
      <c r="B375" s="1">
        <v>8.8000000000000007</v>
      </c>
    </row>
    <row r="376" spans="1:2" x14ac:dyDescent="0.25">
      <c r="A376" s="1">
        <v>28</v>
      </c>
      <c r="B376" s="1">
        <v>51.64</v>
      </c>
    </row>
    <row r="377" spans="1:2" x14ac:dyDescent="0.25">
      <c r="A377" s="1">
        <v>8</v>
      </c>
      <c r="B377" s="1">
        <v>28</v>
      </c>
    </row>
    <row r="378" spans="1:2" x14ac:dyDescent="0.25">
      <c r="A378" s="1">
        <v>4.8</v>
      </c>
      <c r="B378" s="1">
        <v>79.64</v>
      </c>
    </row>
    <row r="379" spans="1:2" x14ac:dyDescent="0.25">
      <c r="A379" s="1">
        <v>14</v>
      </c>
      <c r="B379" s="1">
        <v>8.3999999999999986</v>
      </c>
    </row>
    <row r="380" spans="1:2" x14ac:dyDescent="0.25">
      <c r="A380" s="1">
        <v>8</v>
      </c>
      <c r="B380" s="1">
        <v>6</v>
      </c>
    </row>
    <row r="381" spans="1:2" x14ac:dyDescent="0.25">
      <c r="A381" s="1">
        <v>7.1999999999999993</v>
      </c>
      <c r="B381" s="1">
        <v>8.8000000000000007</v>
      </c>
    </row>
    <row r="382" spans="1:2" x14ac:dyDescent="0.25">
      <c r="A382" s="1">
        <v>14</v>
      </c>
      <c r="B382" s="1">
        <v>14</v>
      </c>
    </row>
    <row r="383" spans="1:2" x14ac:dyDescent="0.25">
      <c r="A383" s="1">
        <v>8</v>
      </c>
      <c r="B383" s="1">
        <v>36</v>
      </c>
    </row>
    <row r="384" spans="1:2" x14ac:dyDescent="0.25">
      <c r="A384" s="1">
        <v>4.8</v>
      </c>
      <c r="B384" s="1">
        <v>18</v>
      </c>
    </row>
    <row r="385" spans="1:2" x14ac:dyDescent="0.25">
      <c r="A385" s="1">
        <v>28</v>
      </c>
      <c r="B385" s="1">
        <v>8.3999999999999986</v>
      </c>
    </row>
    <row r="386" spans="1:2" x14ac:dyDescent="0.25">
      <c r="A386" s="1">
        <v>8</v>
      </c>
      <c r="B386" s="1">
        <v>12</v>
      </c>
    </row>
    <row r="387" spans="1:2" x14ac:dyDescent="0.25">
      <c r="A387" s="1">
        <v>7.1999999999999993</v>
      </c>
      <c r="B387" s="1">
        <v>8.8000000000000007</v>
      </c>
    </row>
    <row r="388" spans="1:2" x14ac:dyDescent="0.25">
      <c r="A388" s="1">
        <v>28</v>
      </c>
      <c r="B388" s="1">
        <v>36</v>
      </c>
    </row>
    <row r="389" spans="1:2" x14ac:dyDescent="0.25">
      <c r="A389" s="1">
        <v>28</v>
      </c>
      <c r="B389" s="1">
        <v>19.600000000000001</v>
      </c>
    </row>
    <row r="390" spans="1:2" x14ac:dyDescent="0.25">
      <c r="A390" s="1">
        <v>8</v>
      </c>
      <c r="B390" s="1">
        <v>11.2</v>
      </c>
    </row>
    <row r="391" spans="1:2" x14ac:dyDescent="0.25">
      <c r="A391" s="1">
        <v>7.1999999999999993</v>
      </c>
      <c r="B391" s="1">
        <v>6</v>
      </c>
    </row>
    <row r="392" spans="1:2" x14ac:dyDescent="0.25">
      <c r="A392" s="1">
        <v>14</v>
      </c>
      <c r="B392" s="1">
        <v>8.8000000000000007</v>
      </c>
    </row>
    <row r="393" spans="1:2" x14ac:dyDescent="0.25">
      <c r="A393" s="1">
        <v>8</v>
      </c>
      <c r="B393" s="1">
        <v>36</v>
      </c>
    </row>
    <row r="394" spans="1:2" x14ac:dyDescent="0.25">
      <c r="A394" s="1">
        <v>4.8</v>
      </c>
      <c r="B394" s="1">
        <v>8.3999999999999986</v>
      </c>
    </row>
    <row r="395" spans="1:2" x14ac:dyDescent="0.25">
      <c r="A395" s="1">
        <v>28</v>
      </c>
      <c r="B395" s="1">
        <v>12</v>
      </c>
    </row>
    <row r="396" spans="1:2" x14ac:dyDescent="0.25">
      <c r="A396" s="1">
        <v>8</v>
      </c>
      <c r="B396" s="1">
        <v>8.8000000000000007</v>
      </c>
    </row>
    <row r="397" spans="1:2" x14ac:dyDescent="0.25">
      <c r="A397" s="1">
        <v>7.1999999999999993</v>
      </c>
      <c r="B397" s="1">
        <v>14</v>
      </c>
    </row>
    <row r="398" spans="1:2" x14ac:dyDescent="0.25">
      <c r="A398" s="1">
        <v>14</v>
      </c>
      <c r="B398" s="1">
        <v>12</v>
      </c>
    </row>
    <row r="399" spans="1:2" x14ac:dyDescent="0.25">
      <c r="A399" s="1">
        <v>8</v>
      </c>
      <c r="B399" s="1">
        <v>8.8000000000000007</v>
      </c>
    </row>
    <row r="400" spans="1:2" x14ac:dyDescent="0.25">
      <c r="A400" s="1">
        <v>7.1999999999999993</v>
      </c>
      <c r="B400" s="1">
        <v>36</v>
      </c>
    </row>
    <row r="401" spans="1:2" x14ac:dyDescent="0.25">
      <c r="A401" s="1">
        <v>28</v>
      </c>
      <c r="B401" s="1">
        <v>19.600000000000001</v>
      </c>
    </row>
    <row r="402" spans="1:2" x14ac:dyDescent="0.25">
      <c r="A402" s="1">
        <v>8</v>
      </c>
      <c r="B402" s="1">
        <v>8.3999999999999986</v>
      </c>
    </row>
    <row r="403" spans="1:2" x14ac:dyDescent="0.25">
      <c r="A403" s="1">
        <v>4.8</v>
      </c>
      <c r="B403" s="1">
        <v>6</v>
      </c>
    </row>
    <row r="404" spans="1:2" x14ac:dyDescent="0.25">
      <c r="A404" s="1">
        <v>28</v>
      </c>
      <c r="B404" s="1">
        <v>8.8000000000000007</v>
      </c>
    </row>
    <row r="405" spans="1:2" x14ac:dyDescent="0.25">
      <c r="A405" s="1">
        <v>28</v>
      </c>
      <c r="B405" s="1">
        <v>11.2</v>
      </c>
    </row>
    <row r="406" spans="1:2" x14ac:dyDescent="0.25">
      <c r="A406" s="1">
        <v>8</v>
      </c>
      <c r="B406" s="1">
        <v>12</v>
      </c>
    </row>
    <row r="407" spans="1:2" x14ac:dyDescent="0.25">
      <c r="A407" s="1">
        <v>7.1999999999999993</v>
      </c>
      <c r="B407" s="1">
        <v>8.8000000000000007</v>
      </c>
    </row>
    <row r="408" spans="1:2" x14ac:dyDescent="0.25">
      <c r="A408" s="1">
        <v>14</v>
      </c>
      <c r="B408" s="1">
        <v>18</v>
      </c>
    </row>
    <row r="409" spans="1:2" x14ac:dyDescent="0.25">
      <c r="A409" s="1">
        <v>8</v>
      </c>
      <c r="B409" s="1">
        <v>8.3999999999999986</v>
      </c>
    </row>
    <row r="410" spans="1:2" x14ac:dyDescent="0.25">
      <c r="A410" s="1">
        <v>7.1999999999999993</v>
      </c>
      <c r="B410" s="1">
        <v>6</v>
      </c>
    </row>
    <row r="411" spans="1:2" x14ac:dyDescent="0.25">
      <c r="A411" s="1">
        <v>14</v>
      </c>
      <c r="B411" s="1">
        <v>8.8000000000000007</v>
      </c>
    </row>
    <row r="412" spans="1:2" x14ac:dyDescent="0.25">
      <c r="A412" s="1">
        <v>8</v>
      </c>
      <c r="B412" s="1">
        <v>36</v>
      </c>
    </row>
    <row r="413" spans="1:2" x14ac:dyDescent="0.25">
      <c r="A413" s="1">
        <v>4.8</v>
      </c>
      <c r="B413" s="1">
        <v>19.600000000000001</v>
      </c>
    </row>
    <row r="414" spans="1:2" x14ac:dyDescent="0.25">
      <c r="A414" s="1">
        <v>14</v>
      </c>
      <c r="B414" s="1">
        <v>8.3999999999999986</v>
      </c>
    </row>
    <row r="415" spans="1:2" x14ac:dyDescent="0.25">
      <c r="A415" s="1">
        <v>8</v>
      </c>
      <c r="B415" s="1">
        <v>12</v>
      </c>
    </row>
    <row r="416" spans="1:2" x14ac:dyDescent="0.25">
      <c r="A416" s="1">
        <v>4.8</v>
      </c>
      <c r="B416" s="1">
        <v>8.8000000000000007</v>
      </c>
    </row>
    <row r="417" spans="1:2" x14ac:dyDescent="0.25">
      <c r="A417" s="1">
        <v>14</v>
      </c>
      <c r="B417" s="1">
        <v>36</v>
      </c>
    </row>
    <row r="418" spans="1:2" x14ac:dyDescent="0.25">
      <c r="A418" s="1">
        <v>8</v>
      </c>
      <c r="B418" s="1">
        <v>18</v>
      </c>
    </row>
    <row r="419" spans="1:2" x14ac:dyDescent="0.25">
      <c r="A419" s="1">
        <v>4.8</v>
      </c>
      <c r="B419" s="1">
        <v>14</v>
      </c>
    </row>
    <row r="420" spans="1:2" x14ac:dyDescent="0.25">
      <c r="A420" s="1">
        <v>14</v>
      </c>
      <c r="B420" s="1">
        <v>12</v>
      </c>
    </row>
    <row r="421" spans="1:2" x14ac:dyDescent="0.25">
      <c r="A421" s="1">
        <v>8</v>
      </c>
      <c r="B421" s="1">
        <v>8.8000000000000007</v>
      </c>
    </row>
    <row r="422" spans="1:2" x14ac:dyDescent="0.25">
      <c r="A422" s="1">
        <v>7.1999999999999993</v>
      </c>
      <c r="B422" s="1">
        <v>36</v>
      </c>
    </row>
    <row r="423" spans="1:2" x14ac:dyDescent="0.25">
      <c r="A423" s="1">
        <v>14</v>
      </c>
      <c r="B423" s="1">
        <v>11.2</v>
      </c>
    </row>
    <row r="424" spans="1:2" x14ac:dyDescent="0.25">
      <c r="A424" s="1">
        <v>8</v>
      </c>
      <c r="B424" s="1">
        <v>6</v>
      </c>
    </row>
    <row r="425" spans="1:2" x14ac:dyDescent="0.25">
      <c r="A425" s="1">
        <v>4.8</v>
      </c>
      <c r="B425" s="1">
        <v>8.8000000000000007</v>
      </c>
    </row>
    <row r="426" spans="1:2" x14ac:dyDescent="0.25">
      <c r="A426" s="1">
        <v>28</v>
      </c>
      <c r="B426" s="1">
        <v>36</v>
      </c>
    </row>
    <row r="427" spans="1:2" x14ac:dyDescent="0.25">
      <c r="A427" s="1">
        <v>8</v>
      </c>
      <c r="B427" s="1">
        <v>19.600000000000001</v>
      </c>
    </row>
    <row r="428" spans="1:2" x14ac:dyDescent="0.25">
      <c r="A428" s="1">
        <v>7.1999999999999993</v>
      </c>
      <c r="B428" s="1">
        <v>14</v>
      </c>
    </row>
    <row r="429" spans="1:2" x14ac:dyDescent="0.25">
      <c r="A429" s="1">
        <v>14</v>
      </c>
      <c r="B429" s="1">
        <v>12</v>
      </c>
    </row>
    <row r="430" spans="1:2" x14ac:dyDescent="0.25">
      <c r="A430" s="1">
        <v>8</v>
      </c>
      <c r="B430" s="1">
        <v>8.8000000000000007</v>
      </c>
    </row>
    <row r="431" spans="1:2" x14ac:dyDescent="0.25">
      <c r="A431" s="1">
        <v>4.8</v>
      </c>
      <c r="B431" s="1">
        <v>18</v>
      </c>
    </row>
    <row r="432" spans="1:2" x14ac:dyDescent="0.25">
      <c r="A432" s="1">
        <v>14</v>
      </c>
      <c r="B432" s="1">
        <v>8.3999999999999986</v>
      </c>
    </row>
    <row r="433" spans="1:2" x14ac:dyDescent="0.25">
      <c r="A433" s="1">
        <v>8</v>
      </c>
      <c r="B433" s="1">
        <v>6</v>
      </c>
    </row>
    <row r="434" spans="1:2" x14ac:dyDescent="0.25">
      <c r="A434" s="1">
        <v>4.8</v>
      </c>
      <c r="B434" s="1">
        <v>8.8000000000000007</v>
      </c>
    </row>
    <row r="435" spans="1:2" x14ac:dyDescent="0.25">
      <c r="A435" s="1">
        <v>14</v>
      </c>
      <c r="B435" s="1">
        <v>36</v>
      </c>
    </row>
    <row r="436" spans="1:2" x14ac:dyDescent="0.25">
      <c r="A436" s="1">
        <v>8</v>
      </c>
      <c r="B436" s="1">
        <v>19.600000000000001</v>
      </c>
    </row>
    <row r="437" spans="1:2" x14ac:dyDescent="0.25">
      <c r="A437" s="1">
        <v>7.1999999999999993</v>
      </c>
      <c r="B437" s="1">
        <v>11.2</v>
      </c>
    </row>
    <row r="438" spans="1:2" x14ac:dyDescent="0.25">
      <c r="A438" s="1">
        <v>14</v>
      </c>
      <c r="B438" s="1">
        <v>12</v>
      </c>
    </row>
    <row r="439" spans="1:2" x14ac:dyDescent="0.25">
      <c r="A439" s="1">
        <v>8</v>
      </c>
      <c r="B439" s="1">
        <v>8.8000000000000007</v>
      </c>
    </row>
    <row r="440" spans="1:2" x14ac:dyDescent="0.25">
      <c r="A440" s="1">
        <v>7.1999999999999993</v>
      </c>
      <c r="B440" s="1">
        <v>36</v>
      </c>
    </row>
    <row r="441" spans="1:2" x14ac:dyDescent="0.25">
      <c r="A441" s="1">
        <v>14</v>
      </c>
      <c r="B441" s="1">
        <v>8.3999999999999986</v>
      </c>
    </row>
    <row r="442" spans="1:2" x14ac:dyDescent="0.25">
      <c r="A442" s="1">
        <v>8</v>
      </c>
      <c r="B442" s="1">
        <v>6</v>
      </c>
    </row>
    <row r="443" spans="1:2" x14ac:dyDescent="0.25">
      <c r="A443" s="1">
        <v>4.8</v>
      </c>
      <c r="B443" s="1">
        <v>8.8000000000000007</v>
      </c>
    </row>
    <row r="444" spans="1:2" x14ac:dyDescent="0.25">
      <c r="A444" s="1">
        <v>14</v>
      </c>
      <c r="B444" s="1">
        <v>36</v>
      </c>
    </row>
    <row r="445" spans="1:2" x14ac:dyDescent="0.25">
      <c r="A445" s="1">
        <v>8</v>
      </c>
      <c r="B445" s="1">
        <v>19.600000000000001</v>
      </c>
    </row>
    <row r="446" spans="1:2" x14ac:dyDescent="0.25">
      <c r="A446" s="1">
        <v>4.8</v>
      </c>
      <c r="B446" s="1">
        <v>8.3999999999999986</v>
      </c>
    </row>
    <row r="447" spans="1:2" x14ac:dyDescent="0.25">
      <c r="A447" s="1">
        <v>14</v>
      </c>
      <c r="B447" s="1">
        <v>12</v>
      </c>
    </row>
    <row r="448" spans="1:2" x14ac:dyDescent="0.25">
      <c r="A448" s="1">
        <v>8</v>
      </c>
      <c r="B448" s="1">
        <v>8.8000000000000007</v>
      </c>
    </row>
    <row r="449" spans="1:2" x14ac:dyDescent="0.25">
      <c r="A449" s="1">
        <v>7.1999999999999993</v>
      </c>
      <c r="B449" s="1">
        <v>36</v>
      </c>
    </row>
    <row r="450" spans="1:2" x14ac:dyDescent="0.25">
      <c r="A450" s="1">
        <v>14</v>
      </c>
      <c r="B450" s="1">
        <v>11.2</v>
      </c>
    </row>
    <row r="451" spans="1:2" x14ac:dyDescent="0.25">
      <c r="A451" s="1">
        <v>8</v>
      </c>
      <c r="B451" s="1">
        <v>12</v>
      </c>
    </row>
    <row r="452" spans="1:2" x14ac:dyDescent="0.25">
      <c r="A452" s="1">
        <v>4.8</v>
      </c>
      <c r="B452" s="1">
        <v>8.8000000000000007</v>
      </c>
    </row>
    <row r="453" spans="1:2" x14ac:dyDescent="0.25">
      <c r="A453" s="1">
        <v>14</v>
      </c>
      <c r="B453" s="1">
        <v>36</v>
      </c>
    </row>
    <row r="454" spans="1:2" x14ac:dyDescent="0.25">
      <c r="A454" s="1">
        <v>8</v>
      </c>
      <c r="B454" s="1">
        <v>19.600000000000001</v>
      </c>
    </row>
    <row r="455" spans="1:2" x14ac:dyDescent="0.25">
      <c r="A455" s="1">
        <v>4.8</v>
      </c>
      <c r="B455" s="1">
        <v>8.3999999999999986</v>
      </c>
    </row>
    <row r="456" spans="1:2" x14ac:dyDescent="0.25">
      <c r="A456" s="1">
        <v>14</v>
      </c>
      <c r="B456" s="1">
        <v>12</v>
      </c>
    </row>
    <row r="457" spans="1:2" x14ac:dyDescent="0.25">
      <c r="A457" s="1">
        <v>8</v>
      </c>
      <c r="B457" s="1">
        <v>8.8000000000000007</v>
      </c>
    </row>
    <row r="458" spans="1:2" x14ac:dyDescent="0.25">
      <c r="A458" s="1">
        <v>4.8</v>
      </c>
      <c r="B458" s="1">
        <v>36</v>
      </c>
    </row>
    <row r="459" spans="1:2" x14ac:dyDescent="0.25">
      <c r="A459" s="1">
        <v>14</v>
      </c>
      <c r="B459" s="1">
        <v>18</v>
      </c>
    </row>
    <row r="460" spans="1:2" x14ac:dyDescent="0.25">
      <c r="A460" s="1">
        <v>8</v>
      </c>
      <c r="B460" s="1">
        <v>8.3999999999999986</v>
      </c>
    </row>
    <row r="461" spans="1:2" x14ac:dyDescent="0.25">
      <c r="A461" s="1">
        <v>4.8</v>
      </c>
      <c r="B461" s="1">
        <v>6</v>
      </c>
    </row>
    <row r="462" spans="1:2" x14ac:dyDescent="0.25">
      <c r="A462" s="1">
        <v>14</v>
      </c>
      <c r="B462" s="1">
        <v>8.8000000000000007</v>
      </c>
    </row>
    <row r="463" spans="1:2" x14ac:dyDescent="0.25">
      <c r="A463" s="1">
        <v>8</v>
      </c>
      <c r="B463" s="1">
        <v>36</v>
      </c>
    </row>
    <row r="464" spans="1:2" x14ac:dyDescent="0.25">
      <c r="A464" s="1">
        <v>7.1999999999999993</v>
      </c>
      <c r="B464" s="1">
        <v>19.600000000000001</v>
      </c>
    </row>
    <row r="465" spans="1:2" x14ac:dyDescent="0.25">
      <c r="A465" s="1">
        <v>14</v>
      </c>
      <c r="B465" s="1">
        <v>14</v>
      </c>
    </row>
    <row r="466" spans="1:2" x14ac:dyDescent="0.25">
      <c r="A466" s="1">
        <v>8</v>
      </c>
      <c r="B466" s="1">
        <v>12</v>
      </c>
    </row>
    <row r="467" spans="1:2" x14ac:dyDescent="0.25">
      <c r="A467" s="1">
        <v>4.8</v>
      </c>
      <c r="B467" s="1">
        <v>8.8000000000000007</v>
      </c>
    </row>
    <row r="468" spans="1:2" x14ac:dyDescent="0.25">
      <c r="A468" s="1">
        <v>14</v>
      </c>
      <c r="B468" s="1">
        <v>36</v>
      </c>
    </row>
    <row r="469" spans="1:2" x14ac:dyDescent="0.25">
      <c r="A469" s="1">
        <v>8</v>
      </c>
      <c r="B469" s="1">
        <v>8.3999999999999986</v>
      </c>
    </row>
    <row r="470" spans="1:2" x14ac:dyDescent="0.25">
      <c r="A470" s="1">
        <v>4.8</v>
      </c>
      <c r="B470" s="1">
        <v>12</v>
      </c>
    </row>
    <row r="471" spans="1:2" x14ac:dyDescent="0.25">
      <c r="A471" s="1">
        <v>14</v>
      </c>
      <c r="B471" s="1">
        <v>8.8000000000000007</v>
      </c>
    </row>
    <row r="472" spans="1:2" x14ac:dyDescent="0.25">
      <c r="A472" s="1">
        <v>8</v>
      </c>
      <c r="B472" s="1">
        <v>36</v>
      </c>
    </row>
    <row r="473" spans="1:2" x14ac:dyDescent="0.25">
      <c r="A473" s="1">
        <v>7.1999999999999993</v>
      </c>
      <c r="B473" s="1">
        <v>11.2</v>
      </c>
    </row>
    <row r="474" spans="1:2" x14ac:dyDescent="0.25">
      <c r="A474" s="1">
        <v>14</v>
      </c>
      <c r="B474" s="1">
        <v>12</v>
      </c>
    </row>
    <row r="475" spans="1:2" x14ac:dyDescent="0.25">
      <c r="A475" s="1">
        <v>8</v>
      </c>
      <c r="B475" s="1">
        <v>8.8000000000000007</v>
      </c>
    </row>
    <row r="476" spans="1:2" x14ac:dyDescent="0.25">
      <c r="A476" s="1">
        <v>7.1999999999999993</v>
      </c>
      <c r="B476" s="1">
        <v>36</v>
      </c>
    </row>
    <row r="477" spans="1:2" x14ac:dyDescent="0.25">
      <c r="A477" s="1">
        <v>14</v>
      </c>
      <c r="B477" s="1">
        <v>19.600000000000001</v>
      </c>
    </row>
    <row r="478" spans="1:2" x14ac:dyDescent="0.25">
      <c r="A478" s="1">
        <v>8</v>
      </c>
      <c r="B478" s="1">
        <v>8.3999999999999986</v>
      </c>
    </row>
    <row r="479" spans="1:2" x14ac:dyDescent="0.25">
      <c r="A479" s="1">
        <v>7.1999999999999993</v>
      </c>
      <c r="B479" s="1">
        <v>12</v>
      </c>
    </row>
    <row r="480" spans="1:2" x14ac:dyDescent="0.25">
      <c r="A480" s="1">
        <v>14</v>
      </c>
      <c r="B480" s="1">
        <v>8.8000000000000007</v>
      </c>
    </row>
    <row r="481" spans="1:2" x14ac:dyDescent="0.25">
      <c r="A481" s="1">
        <v>8</v>
      </c>
      <c r="B481" s="1">
        <v>36</v>
      </c>
    </row>
    <row r="482" spans="1:2" x14ac:dyDescent="0.25">
      <c r="A482" s="1">
        <v>7.1999999999999993</v>
      </c>
      <c r="B482" s="1">
        <v>14</v>
      </c>
    </row>
    <row r="483" spans="1:2" x14ac:dyDescent="0.25">
      <c r="A483" s="1">
        <v>14</v>
      </c>
      <c r="B483" s="1">
        <v>6</v>
      </c>
    </row>
    <row r="484" spans="1:2" x14ac:dyDescent="0.25">
      <c r="A484" s="1">
        <v>8</v>
      </c>
      <c r="B484" s="1">
        <v>8.8000000000000007</v>
      </c>
    </row>
    <row r="485" spans="1:2" x14ac:dyDescent="0.25">
      <c r="A485" s="1">
        <v>4.8</v>
      </c>
      <c r="B485" s="1">
        <v>36</v>
      </c>
    </row>
    <row r="486" spans="1:2" x14ac:dyDescent="0.25">
      <c r="A486" s="1">
        <v>14</v>
      </c>
      <c r="B486" s="1">
        <v>11.2</v>
      </c>
    </row>
    <row r="487" spans="1:2" x14ac:dyDescent="0.25">
      <c r="A487" s="1">
        <v>8</v>
      </c>
      <c r="B487" s="1">
        <v>12</v>
      </c>
    </row>
    <row r="488" spans="1:2" x14ac:dyDescent="0.25">
      <c r="A488" s="1">
        <v>7.1999999999999993</v>
      </c>
      <c r="B488" s="1">
        <v>8.8000000000000007</v>
      </c>
    </row>
    <row r="489" spans="1:2" x14ac:dyDescent="0.25">
      <c r="A489" s="1">
        <v>14</v>
      </c>
      <c r="B489" s="1">
        <v>36</v>
      </c>
    </row>
    <row r="490" spans="1:2" x14ac:dyDescent="0.25">
      <c r="A490" s="1">
        <v>8</v>
      </c>
      <c r="B490" s="1">
        <v>19.600000000000001</v>
      </c>
    </row>
    <row r="491" spans="1:2" x14ac:dyDescent="0.25">
      <c r="A491" s="1">
        <v>4.8</v>
      </c>
      <c r="B491" s="1">
        <v>8.3999999999999986</v>
      </c>
    </row>
    <row r="492" spans="1:2" x14ac:dyDescent="0.25">
      <c r="A492" s="1">
        <v>14</v>
      </c>
      <c r="B492" s="1">
        <v>6</v>
      </c>
    </row>
    <row r="493" spans="1:2" x14ac:dyDescent="0.25">
      <c r="A493" s="1">
        <v>8</v>
      </c>
      <c r="B493" s="1">
        <v>8.8000000000000007</v>
      </c>
    </row>
    <row r="494" spans="1:2" x14ac:dyDescent="0.25">
      <c r="A494" s="1">
        <v>4.8</v>
      </c>
      <c r="B494" s="1">
        <v>36</v>
      </c>
    </row>
    <row r="495" spans="1:2" x14ac:dyDescent="0.25">
      <c r="A495" s="1">
        <v>6</v>
      </c>
      <c r="B495" s="1">
        <v>8.3999999999999986</v>
      </c>
    </row>
    <row r="496" spans="1:2" x14ac:dyDescent="0.25">
      <c r="A496" s="1">
        <v>7.2</v>
      </c>
      <c r="B496" s="1">
        <v>6</v>
      </c>
    </row>
    <row r="497" spans="1:2" x14ac:dyDescent="0.25">
      <c r="A497" s="1">
        <v>20</v>
      </c>
      <c r="B497" s="1">
        <v>8.8000000000000007</v>
      </c>
    </row>
    <row r="498" spans="1:2" x14ac:dyDescent="0.25">
      <c r="A498" s="1">
        <v>28</v>
      </c>
      <c r="B498" s="1">
        <v>36</v>
      </c>
    </row>
    <row r="499" spans="1:2" x14ac:dyDescent="0.25">
      <c r="A499" s="1">
        <v>8</v>
      </c>
      <c r="B499" s="1">
        <v>14</v>
      </c>
    </row>
    <row r="500" spans="1:2" x14ac:dyDescent="0.25">
      <c r="A500" s="1">
        <v>7.1999999999999993</v>
      </c>
      <c r="B500" s="1">
        <v>6</v>
      </c>
    </row>
    <row r="501" spans="1:2" x14ac:dyDescent="0.25">
      <c r="A501" s="1">
        <v>28</v>
      </c>
      <c r="B501" s="1">
        <v>8.8000000000000007</v>
      </c>
    </row>
    <row r="502" spans="1:2" x14ac:dyDescent="0.25">
      <c r="A502" s="1">
        <v>8</v>
      </c>
      <c r="B502" s="1">
        <v>36</v>
      </c>
    </row>
    <row r="503" spans="1:2" x14ac:dyDescent="0.25">
      <c r="A503" s="1">
        <v>4.8</v>
      </c>
      <c r="B503" s="1">
        <v>19.600000000000001</v>
      </c>
    </row>
    <row r="504" spans="1:2" x14ac:dyDescent="0.25">
      <c r="A504" s="1">
        <v>14</v>
      </c>
      <c r="B504" s="1">
        <v>8.3999999999999986</v>
      </c>
    </row>
    <row r="505" spans="1:2" x14ac:dyDescent="0.25">
      <c r="A505" s="1">
        <v>8</v>
      </c>
      <c r="B505" s="1">
        <v>6</v>
      </c>
    </row>
    <row r="506" spans="1:2" x14ac:dyDescent="0.25">
      <c r="A506" s="1">
        <v>7.1999999999999993</v>
      </c>
      <c r="B506" s="1">
        <v>8.8000000000000007</v>
      </c>
    </row>
    <row r="507" spans="1:2" x14ac:dyDescent="0.25">
      <c r="A507" s="1">
        <v>28</v>
      </c>
      <c r="B507" s="1">
        <v>36</v>
      </c>
    </row>
    <row r="508" spans="1:2" x14ac:dyDescent="0.25">
      <c r="A508" s="1">
        <v>8</v>
      </c>
      <c r="B508" s="1">
        <v>11.2</v>
      </c>
    </row>
    <row r="509" spans="1:2" x14ac:dyDescent="0.25">
      <c r="A509" s="1">
        <v>4.8</v>
      </c>
      <c r="B509" s="1">
        <v>12</v>
      </c>
    </row>
    <row r="510" spans="1:2" x14ac:dyDescent="0.25">
      <c r="A510" s="1">
        <v>14</v>
      </c>
      <c r="B510" s="1">
        <v>8.8000000000000007</v>
      </c>
    </row>
    <row r="511" spans="1:2" x14ac:dyDescent="0.25">
      <c r="A511" s="1">
        <v>8</v>
      </c>
      <c r="B511" s="1">
        <v>36</v>
      </c>
    </row>
    <row r="512" spans="1:2" x14ac:dyDescent="0.25">
      <c r="A512" s="1">
        <v>7.1999999999999993</v>
      </c>
      <c r="B512" s="1">
        <v>8.3999999999999986</v>
      </c>
    </row>
    <row r="513" spans="1:2" x14ac:dyDescent="0.25">
      <c r="A513" s="1">
        <v>14</v>
      </c>
      <c r="B513" s="1">
        <v>12</v>
      </c>
    </row>
    <row r="514" spans="1:2" x14ac:dyDescent="0.25">
      <c r="A514" s="1">
        <v>8</v>
      </c>
      <c r="B514" s="1">
        <v>8.8000000000000007</v>
      </c>
    </row>
    <row r="515" spans="1:2" x14ac:dyDescent="0.25">
      <c r="A515" s="1">
        <v>4.8</v>
      </c>
      <c r="B515" s="1">
        <v>18</v>
      </c>
    </row>
    <row r="516" spans="1:2" x14ac:dyDescent="0.25">
      <c r="A516" s="1">
        <v>14</v>
      </c>
      <c r="B516" s="1">
        <v>14</v>
      </c>
    </row>
    <row r="517" spans="1:2" x14ac:dyDescent="0.25">
      <c r="A517" s="1">
        <v>8</v>
      </c>
      <c r="B517" s="1">
        <v>6</v>
      </c>
    </row>
    <row r="518" spans="1:2" x14ac:dyDescent="0.25">
      <c r="A518" s="1">
        <v>4.8</v>
      </c>
      <c r="B518" s="1">
        <v>8.8000000000000007</v>
      </c>
    </row>
    <row r="519" spans="1:2" x14ac:dyDescent="0.25">
      <c r="A519" s="1">
        <v>28</v>
      </c>
      <c r="B519" s="1">
        <v>36</v>
      </c>
    </row>
    <row r="520" spans="1:2" x14ac:dyDescent="0.25">
      <c r="A520" s="1">
        <v>8</v>
      </c>
      <c r="B520" s="1">
        <v>19.600000000000001</v>
      </c>
    </row>
    <row r="521" spans="1:2" x14ac:dyDescent="0.25">
      <c r="A521" s="1">
        <v>4.8</v>
      </c>
      <c r="B521" s="1">
        <v>8.3999999999999986</v>
      </c>
    </row>
    <row r="522" spans="1:2" x14ac:dyDescent="0.25">
      <c r="A522" s="1">
        <v>14</v>
      </c>
      <c r="B522" s="1">
        <v>6</v>
      </c>
    </row>
    <row r="523" spans="1:2" x14ac:dyDescent="0.25">
      <c r="A523" s="1">
        <v>8</v>
      </c>
      <c r="B523" s="1">
        <v>8.8000000000000007</v>
      </c>
    </row>
    <row r="524" spans="1:2" x14ac:dyDescent="0.25">
      <c r="A524" s="1">
        <v>4.8</v>
      </c>
      <c r="B524" s="1">
        <v>36</v>
      </c>
    </row>
    <row r="525" spans="1:2" x14ac:dyDescent="0.25">
      <c r="A525" s="1">
        <v>14</v>
      </c>
      <c r="B525" s="1">
        <v>11.2</v>
      </c>
    </row>
    <row r="526" spans="1:2" x14ac:dyDescent="0.25">
      <c r="A526" s="1">
        <v>8</v>
      </c>
      <c r="B526" s="1">
        <v>12</v>
      </c>
    </row>
    <row r="527" spans="1:2" x14ac:dyDescent="0.25">
      <c r="A527" s="1">
        <v>4.8</v>
      </c>
      <c r="B527" s="1">
        <v>8.8000000000000007</v>
      </c>
    </row>
    <row r="528" spans="1:2" x14ac:dyDescent="0.25">
      <c r="A528" s="1">
        <v>28</v>
      </c>
      <c r="B528" s="1">
        <v>36</v>
      </c>
    </row>
    <row r="529" spans="1:2" x14ac:dyDescent="0.25">
      <c r="A529" s="1">
        <v>8</v>
      </c>
      <c r="B529" s="1">
        <v>19.600000000000001</v>
      </c>
    </row>
    <row r="530" spans="1:2" x14ac:dyDescent="0.25">
      <c r="A530" s="1">
        <v>7.1999999999999993</v>
      </c>
      <c r="B530" s="1">
        <v>8.3999999999999986</v>
      </c>
    </row>
    <row r="531" spans="1:2" x14ac:dyDescent="0.25">
      <c r="A531" s="1">
        <v>14</v>
      </c>
      <c r="B531" s="1">
        <v>12</v>
      </c>
    </row>
    <row r="532" spans="1:2" x14ac:dyDescent="0.25">
      <c r="A532" s="1">
        <v>8</v>
      </c>
      <c r="B532" s="1">
        <v>8.8000000000000007</v>
      </c>
    </row>
    <row r="533" spans="1:2" x14ac:dyDescent="0.25">
      <c r="A533" s="1">
        <v>7.1999999999999993</v>
      </c>
      <c r="B533" s="1">
        <v>36</v>
      </c>
    </row>
    <row r="534" spans="1:2" x14ac:dyDescent="0.25">
      <c r="A534" s="1">
        <v>14</v>
      </c>
      <c r="B534" s="1">
        <v>11.2</v>
      </c>
    </row>
    <row r="535" spans="1:2" x14ac:dyDescent="0.25">
      <c r="A535" s="1">
        <v>8</v>
      </c>
      <c r="B535" s="1">
        <v>6</v>
      </c>
    </row>
    <row r="536" spans="1:2" x14ac:dyDescent="0.25">
      <c r="A536" s="1">
        <v>7.1999999999999993</v>
      </c>
      <c r="B536" s="1">
        <v>8.8000000000000007</v>
      </c>
    </row>
    <row r="537" spans="1:2" x14ac:dyDescent="0.25">
      <c r="A537" s="1">
        <v>28</v>
      </c>
      <c r="B537" s="1">
        <v>36</v>
      </c>
    </row>
    <row r="538" spans="1:2" x14ac:dyDescent="0.25">
      <c r="A538" s="1">
        <v>8</v>
      </c>
      <c r="B538" s="1">
        <v>14</v>
      </c>
    </row>
    <row r="539" spans="1:2" x14ac:dyDescent="0.25">
      <c r="A539" s="1">
        <v>7.1999999999999993</v>
      </c>
      <c r="B539" s="1">
        <v>6</v>
      </c>
    </row>
    <row r="540" spans="1:2" x14ac:dyDescent="0.25">
      <c r="A540" s="1">
        <v>14</v>
      </c>
      <c r="B540" s="1">
        <v>8.8000000000000007</v>
      </c>
    </row>
    <row r="541" spans="1:2" x14ac:dyDescent="0.25">
      <c r="A541" s="1">
        <v>8</v>
      </c>
      <c r="B541" s="1">
        <v>36</v>
      </c>
    </row>
    <row r="542" spans="1:2" x14ac:dyDescent="0.25">
      <c r="A542" s="1">
        <v>7.1999999999999993</v>
      </c>
      <c r="B542" s="1">
        <v>19.600000000000001</v>
      </c>
    </row>
    <row r="543" spans="1:2" x14ac:dyDescent="0.25">
      <c r="A543" s="1">
        <v>28</v>
      </c>
      <c r="B543" s="1">
        <v>8.3999999999999986</v>
      </c>
    </row>
    <row r="544" spans="1:2" x14ac:dyDescent="0.25">
      <c r="A544" s="1">
        <v>8</v>
      </c>
      <c r="B544" s="1">
        <v>6</v>
      </c>
    </row>
    <row r="545" spans="1:2" x14ac:dyDescent="0.25">
      <c r="A545" s="1">
        <v>7.1999999999999993</v>
      </c>
      <c r="B545" s="1">
        <v>8.8000000000000007</v>
      </c>
    </row>
    <row r="546" spans="1:2" x14ac:dyDescent="0.25">
      <c r="A546" s="1">
        <v>14</v>
      </c>
      <c r="B546" s="1">
        <v>36</v>
      </c>
    </row>
    <row r="547" spans="1:2" x14ac:dyDescent="0.25">
      <c r="A547" s="1">
        <v>8</v>
      </c>
      <c r="B547" s="1">
        <v>11.2</v>
      </c>
    </row>
    <row r="548" spans="1:2" x14ac:dyDescent="0.25">
      <c r="A548" s="1">
        <v>7.1999999999999993</v>
      </c>
      <c r="B548" s="1">
        <v>6</v>
      </c>
    </row>
    <row r="549" spans="1:2" x14ac:dyDescent="0.25">
      <c r="A549" s="1">
        <v>28</v>
      </c>
      <c r="B549" s="1">
        <v>8.8000000000000007</v>
      </c>
    </row>
    <row r="550" spans="1:2" x14ac:dyDescent="0.25">
      <c r="A550" s="1">
        <v>8</v>
      </c>
      <c r="B550" s="1">
        <v>36</v>
      </c>
    </row>
    <row r="551" spans="1:2" x14ac:dyDescent="0.25">
      <c r="A551" s="1">
        <v>7.1999999999999993</v>
      </c>
      <c r="B551" s="1">
        <v>19.600000000000001</v>
      </c>
    </row>
    <row r="552" spans="1:2" x14ac:dyDescent="0.25">
      <c r="A552" s="1">
        <v>14</v>
      </c>
      <c r="B552" s="1">
        <v>8.3999999999999986</v>
      </c>
    </row>
    <row r="553" spans="1:2" x14ac:dyDescent="0.25">
      <c r="A553" s="1">
        <v>8</v>
      </c>
      <c r="B553" s="1">
        <v>12</v>
      </c>
    </row>
    <row r="554" spans="1:2" x14ac:dyDescent="0.25">
      <c r="A554" s="1">
        <v>4.8</v>
      </c>
      <c r="B554" s="1">
        <v>8.8000000000000007</v>
      </c>
    </row>
    <row r="555" spans="1:2" x14ac:dyDescent="0.25">
      <c r="A555" s="1">
        <v>28</v>
      </c>
      <c r="B555" s="1">
        <v>36</v>
      </c>
    </row>
    <row r="556" spans="1:2" x14ac:dyDescent="0.25">
      <c r="A556" s="1">
        <v>8</v>
      </c>
      <c r="B556" s="1">
        <v>11.2</v>
      </c>
    </row>
    <row r="557" spans="1:2" x14ac:dyDescent="0.25">
      <c r="A557" s="1">
        <v>4.8</v>
      </c>
      <c r="B557" s="1">
        <v>6</v>
      </c>
    </row>
    <row r="558" spans="1:2" x14ac:dyDescent="0.25">
      <c r="A558" s="1">
        <v>14</v>
      </c>
      <c r="B558" s="1">
        <v>8.8000000000000007</v>
      </c>
    </row>
    <row r="559" spans="1:2" x14ac:dyDescent="0.25">
      <c r="A559" s="1">
        <v>8</v>
      </c>
      <c r="B559" s="1">
        <v>36</v>
      </c>
    </row>
    <row r="560" spans="1:2" x14ac:dyDescent="0.25">
      <c r="A560" s="1">
        <v>7.1999999999999993</v>
      </c>
      <c r="B560" s="1">
        <v>19.600000000000001</v>
      </c>
    </row>
    <row r="561" spans="1:2" x14ac:dyDescent="0.25">
      <c r="A561" s="1">
        <v>14</v>
      </c>
      <c r="B561" s="1">
        <v>8.3999999999999986</v>
      </c>
    </row>
    <row r="562" spans="1:2" x14ac:dyDescent="0.25">
      <c r="A562" s="1">
        <v>8</v>
      </c>
      <c r="B562" s="1">
        <v>12</v>
      </c>
    </row>
    <row r="563" spans="1:2" x14ac:dyDescent="0.25">
      <c r="A563" s="1">
        <v>7.1999999999999993</v>
      </c>
      <c r="B563" s="1">
        <v>8.8000000000000007</v>
      </c>
    </row>
    <row r="564" spans="1:2" x14ac:dyDescent="0.25">
      <c r="A564" s="1">
        <v>28</v>
      </c>
      <c r="B564" s="1">
        <v>36</v>
      </c>
    </row>
    <row r="565" spans="1:2" x14ac:dyDescent="0.25">
      <c r="A565" s="1">
        <v>14</v>
      </c>
      <c r="B565" s="1">
        <v>14</v>
      </c>
    </row>
    <row r="566" spans="1:2" x14ac:dyDescent="0.25">
      <c r="A566" s="1">
        <v>8</v>
      </c>
      <c r="B566" s="1">
        <v>6</v>
      </c>
    </row>
    <row r="567" spans="1:2" x14ac:dyDescent="0.25">
      <c r="A567" s="1">
        <v>4.8</v>
      </c>
      <c r="B567" s="1">
        <v>8.8000000000000007</v>
      </c>
    </row>
    <row r="568" spans="1:2" x14ac:dyDescent="0.25">
      <c r="A568" s="1">
        <v>28</v>
      </c>
      <c r="B568" s="1">
        <v>36</v>
      </c>
    </row>
    <row r="569" spans="1:2" x14ac:dyDescent="0.25">
      <c r="A569" s="1">
        <v>8</v>
      </c>
      <c r="B569" s="1">
        <v>19.600000000000001</v>
      </c>
    </row>
    <row r="570" spans="1:2" x14ac:dyDescent="0.25">
      <c r="A570" s="1">
        <v>7.1999999999999993</v>
      </c>
      <c r="B570" s="1">
        <v>8.3999999999999986</v>
      </c>
    </row>
    <row r="571" spans="1:2" x14ac:dyDescent="0.25">
      <c r="A571" s="1">
        <v>14</v>
      </c>
      <c r="B571" s="1">
        <v>11.2</v>
      </c>
    </row>
    <row r="572" spans="1:2" x14ac:dyDescent="0.25">
      <c r="A572" s="1">
        <v>8</v>
      </c>
      <c r="B572" s="1">
        <v>6</v>
      </c>
    </row>
    <row r="573" spans="1:2" x14ac:dyDescent="0.25">
      <c r="A573" s="1">
        <v>4.8</v>
      </c>
      <c r="B573" s="1">
        <v>8.8000000000000007</v>
      </c>
    </row>
    <row r="574" spans="1:2" x14ac:dyDescent="0.25">
      <c r="A574" s="1">
        <v>14</v>
      </c>
      <c r="B574" s="1">
        <v>36</v>
      </c>
    </row>
    <row r="575" spans="1:2" x14ac:dyDescent="0.25">
      <c r="A575" s="1">
        <v>8</v>
      </c>
      <c r="B575" s="1">
        <v>8.3999999999999986</v>
      </c>
    </row>
    <row r="576" spans="1:2" x14ac:dyDescent="0.25">
      <c r="A576" s="1">
        <v>4.8</v>
      </c>
      <c r="B576" s="1">
        <v>12</v>
      </c>
    </row>
    <row r="577" spans="1:2" x14ac:dyDescent="0.25">
      <c r="A577" s="1">
        <v>14</v>
      </c>
      <c r="B577" s="1">
        <v>8.8000000000000007</v>
      </c>
    </row>
    <row r="578" spans="1:2" x14ac:dyDescent="0.25">
      <c r="A578" s="1">
        <v>8</v>
      </c>
      <c r="B578" s="1">
        <v>36</v>
      </c>
    </row>
    <row r="579" spans="1:2" x14ac:dyDescent="0.25">
      <c r="A579" s="1">
        <v>7.1999999999999993</v>
      </c>
      <c r="B579" s="1">
        <v>11.2</v>
      </c>
    </row>
    <row r="580" spans="1:2" x14ac:dyDescent="0.25">
      <c r="A580" s="1">
        <v>28</v>
      </c>
      <c r="B580" s="1">
        <v>12</v>
      </c>
    </row>
    <row r="581" spans="1:2" x14ac:dyDescent="0.25">
      <c r="A581" s="1">
        <v>8</v>
      </c>
      <c r="B581" s="1">
        <v>8.8000000000000007</v>
      </c>
    </row>
    <row r="582" spans="1:2" x14ac:dyDescent="0.25">
      <c r="A582" s="1">
        <v>4.8</v>
      </c>
      <c r="B582" s="1">
        <v>36</v>
      </c>
    </row>
    <row r="583" spans="1:2" x14ac:dyDescent="0.25">
      <c r="A583" s="1">
        <v>28</v>
      </c>
      <c r="B583" s="1">
        <v>19.600000000000001</v>
      </c>
    </row>
    <row r="584" spans="1:2" x14ac:dyDescent="0.25">
      <c r="A584" s="1">
        <v>8</v>
      </c>
      <c r="B584" s="1">
        <v>14</v>
      </c>
    </row>
    <row r="585" spans="1:2" x14ac:dyDescent="0.25">
      <c r="A585" s="1">
        <v>4.8</v>
      </c>
      <c r="B585" s="1">
        <v>12</v>
      </c>
    </row>
    <row r="586" spans="1:2" x14ac:dyDescent="0.25">
      <c r="A586" s="1">
        <v>14</v>
      </c>
      <c r="B586" s="1">
        <v>8.8000000000000007</v>
      </c>
    </row>
    <row r="587" spans="1:2" x14ac:dyDescent="0.25">
      <c r="A587" s="1">
        <v>8</v>
      </c>
      <c r="B587" s="1">
        <v>36</v>
      </c>
    </row>
    <row r="588" spans="1:2" x14ac:dyDescent="0.25">
      <c r="A588" s="1">
        <v>4.8</v>
      </c>
      <c r="B588" s="1">
        <v>11.2</v>
      </c>
    </row>
    <row r="589" spans="1:2" x14ac:dyDescent="0.25">
      <c r="A589" s="1">
        <v>14</v>
      </c>
      <c r="B589" s="1">
        <v>6</v>
      </c>
    </row>
    <row r="590" spans="1:2" x14ac:dyDescent="0.25">
      <c r="A590" s="1">
        <v>8</v>
      </c>
      <c r="B590" s="1">
        <v>8.8000000000000007</v>
      </c>
    </row>
    <row r="591" spans="1:2" x14ac:dyDescent="0.25">
      <c r="A591" s="1">
        <v>7.1999999999999993</v>
      </c>
      <c r="B591" s="1">
        <v>36</v>
      </c>
    </row>
    <row r="592" spans="1:2" x14ac:dyDescent="0.25">
      <c r="A592" s="1">
        <v>14</v>
      </c>
      <c r="B592" s="1">
        <v>19.600000000000001</v>
      </c>
    </row>
    <row r="593" spans="1:2" x14ac:dyDescent="0.25">
      <c r="A593" s="1">
        <v>8</v>
      </c>
      <c r="B593" s="1">
        <v>8.3999999999999986</v>
      </c>
    </row>
    <row r="594" spans="1:2" x14ac:dyDescent="0.25">
      <c r="A594" s="1">
        <v>7.1999999999999993</v>
      </c>
      <c r="B594" s="1">
        <v>12</v>
      </c>
    </row>
    <row r="595" spans="1:2" x14ac:dyDescent="0.25">
      <c r="A595" s="1">
        <v>14</v>
      </c>
      <c r="B595" s="1">
        <v>8.8000000000000007</v>
      </c>
    </row>
    <row r="596" spans="1:2" x14ac:dyDescent="0.25">
      <c r="A596" s="1">
        <v>8</v>
      </c>
      <c r="B596" s="1">
        <v>36</v>
      </c>
    </row>
    <row r="597" spans="1:2" x14ac:dyDescent="0.25">
      <c r="A597" s="1">
        <v>4.8</v>
      </c>
      <c r="B597" s="1">
        <v>14</v>
      </c>
    </row>
    <row r="598" spans="1:2" x14ac:dyDescent="0.25">
      <c r="A598" s="1">
        <v>14</v>
      </c>
      <c r="B598" s="1">
        <v>6</v>
      </c>
    </row>
    <row r="599" spans="1:2" x14ac:dyDescent="0.25">
      <c r="A599" s="1">
        <v>8</v>
      </c>
      <c r="B599" s="1">
        <v>8.8000000000000007</v>
      </c>
    </row>
    <row r="600" spans="1:2" x14ac:dyDescent="0.25">
      <c r="A600" s="1">
        <v>4.8</v>
      </c>
      <c r="B600" s="1">
        <v>36</v>
      </c>
    </row>
    <row r="601" spans="1:2" x14ac:dyDescent="0.25">
      <c r="A601" s="1">
        <v>28</v>
      </c>
      <c r="B601" s="1">
        <v>19.600000000000001</v>
      </c>
    </row>
    <row r="602" spans="1:2" x14ac:dyDescent="0.25">
      <c r="A602" s="1">
        <v>8</v>
      </c>
      <c r="B602" s="1">
        <v>11.2</v>
      </c>
    </row>
    <row r="603" spans="1:2" x14ac:dyDescent="0.25">
      <c r="A603" s="1">
        <v>4.8</v>
      </c>
      <c r="B603" s="1">
        <v>12</v>
      </c>
    </row>
    <row r="604" spans="1:2" x14ac:dyDescent="0.25">
      <c r="A604" s="1">
        <v>14</v>
      </c>
      <c r="B604" s="1">
        <v>8.8000000000000007</v>
      </c>
    </row>
    <row r="605" spans="1:2" x14ac:dyDescent="0.25">
      <c r="A605" s="1">
        <v>8</v>
      </c>
      <c r="B605" s="1">
        <v>36</v>
      </c>
    </row>
    <row r="606" spans="1:2" x14ac:dyDescent="0.25">
      <c r="A606" s="1">
        <v>4.8</v>
      </c>
      <c r="B606" s="1">
        <v>8.3999999999999986</v>
      </c>
    </row>
    <row r="607" spans="1:2" x14ac:dyDescent="0.25">
      <c r="A607" s="1">
        <v>28</v>
      </c>
      <c r="B607" s="1">
        <v>12</v>
      </c>
    </row>
    <row r="608" spans="1:2" x14ac:dyDescent="0.25">
      <c r="A608" s="1">
        <v>8</v>
      </c>
      <c r="B608" s="1">
        <v>8.8000000000000007</v>
      </c>
    </row>
    <row r="609" spans="1:2" x14ac:dyDescent="0.25">
      <c r="A609" s="1">
        <v>4.8</v>
      </c>
      <c r="B609" s="1">
        <v>36</v>
      </c>
    </row>
    <row r="610" spans="1:2" x14ac:dyDescent="0.25">
      <c r="A610" s="1">
        <v>14</v>
      </c>
      <c r="B610" s="1">
        <v>19.600000000000001</v>
      </c>
    </row>
    <row r="611" spans="1:2" x14ac:dyDescent="0.25">
      <c r="A611" s="1">
        <v>8</v>
      </c>
      <c r="B611" s="1">
        <v>11.2</v>
      </c>
    </row>
    <row r="612" spans="1:2" x14ac:dyDescent="0.25">
      <c r="A612" s="1">
        <v>7.1999999999999993</v>
      </c>
      <c r="B612" s="1">
        <v>12</v>
      </c>
    </row>
    <row r="613" spans="1:2" x14ac:dyDescent="0.25">
      <c r="A613" s="1">
        <v>14</v>
      </c>
      <c r="B613" s="1">
        <v>8.8000000000000007</v>
      </c>
    </row>
    <row r="614" spans="1:2" x14ac:dyDescent="0.25">
      <c r="A614" s="1">
        <v>8</v>
      </c>
      <c r="B614" s="1">
        <v>36</v>
      </c>
    </row>
    <row r="615" spans="1:2" x14ac:dyDescent="0.25">
      <c r="A615" s="1">
        <v>7.1999999999999993</v>
      </c>
      <c r="B615" s="1">
        <v>11.2</v>
      </c>
    </row>
    <row r="616" spans="1:2" x14ac:dyDescent="0.25">
      <c r="A616" s="1">
        <v>28</v>
      </c>
      <c r="B616" s="1">
        <v>12</v>
      </c>
    </row>
    <row r="617" spans="1:2" x14ac:dyDescent="0.25">
      <c r="A617" s="1">
        <v>8</v>
      </c>
      <c r="B617" s="1">
        <v>8.8000000000000007</v>
      </c>
    </row>
    <row r="618" spans="1:2" x14ac:dyDescent="0.25">
      <c r="A618" s="1">
        <v>4.8</v>
      </c>
      <c r="B618" s="1">
        <v>36</v>
      </c>
    </row>
    <row r="619" spans="1:2" x14ac:dyDescent="0.25">
      <c r="A619" s="1">
        <v>14</v>
      </c>
      <c r="B619" s="1">
        <v>19.600000000000001</v>
      </c>
    </row>
    <row r="620" spans="1:2" x14ac:dyDescent="0.25">
      <c r="A620" s="1">
        <v>8</v>
      </c>
      <c r="B620" s="1">
        <v>8.3999999999999986</v>
      </c>
    </row>
    <row r="621" spans="1:2" x14ac:dyDescent="0.25">
      <c r="A621" s="1">
        <v>4.8</v>
      </c>
      <c r="B621" s="1">
        <v>12</v>
      </c>
    </row>
    <row r="622" spans="1:2" x14ac:dyDescent="0.25">
      <c r="A622" s="1">
        <v>14</v>
      </c>
      <c r="B622" s="1">
        <v>8.8000000000000007</v>
      </c>
    </row>
    <row r="623" spans="1:2" x14ac:dyDescent="0.25">
      <c r="A623" s="1">
        <v>8</v>
      </c>
      <c r="B623" s="1">
        <v>36</v>
      </c>
    </row>
    <row r="624" spans="1:2" x14ac:dyDescent="0.25">
      <c r="A624" s="1">
        <v>7.1999999999999993</v>
      </c>
      <c r="B624" s="1">
        <v>8.3999999999999986</v>
      </c>
    </row>
    <row r="625" spans="1:2" x14ac:dyDescent="0.25">
      <c r="A625" s="1">
        <v>14</v>
      </c>
      <c r="B625" s="1">
        <v>12</v>
      </c>
    </row>
    <row r="626" spans="1:2" x14ac:dyDescent="0.25">
      <c r="A626" s="1">
        <v>8</v>
      </c>
      <c r="B626" s="1">
        <v>8.8000000000000007</v>
      </c>
    </row>
    <row r="627" spans="1:2" x14ac:dyDescent="0.25">
      <c r="A627" s="1">
        <v>7.1999999999999993</v>
      </c>
      <c r="B627" s="1">
        <v>36</v>
      </c>
    </row>
    <row r="628" spans="1:2" x14ac:dyDescent="0.25">
      <c r="A628" s="1">
        <v>14</v>
      </c>
      <c r="B628" s="1">
        <v>19.600000000000001</v>
      </c>
    </row>
    <row r="629" spans="1:2" x14ac:dyDescent="0.25">
      <c r="A629" s="1">
        <v>8</v>
      </c>
      <c r="B629" s="1">
        <v>14</v>
      </c>
    </row>
    <row r="630" spans="1:2" x14ac:dyDescent="0.25">
      <c r="A630" s="1">
        <v>4.8</v>
      </c>
      <c r="B630" s="1">
        <v>6</v>
      </c>
    </row>
    <row r="631" spans="1:2" x14ac:dyDescent="0.25">
      <c r="A631" s="1">
        <v>28</v>
      </c>
      <c r="B631" s="1">
        <v>8.8000000000000007</v>
      </c>
    </row>
    <row r="632" spans="1:2" x14ac:dyDescent="0.25">
      <c r="A632" s="1">
        <v>8</v>
      </c>
      <c r="B632" s="1">
        <v>36</v>
      </c>
    </row>
    <row r="633" spans="1:2" x14ac:dyDescent="0.25">
      <c r="A633" s="1">
        <v>7.1999999999999993</v>
      </c>
      <c r="B633" s="1">
        <v>19.600000000000001</v>
      </c>
    </row>
    <row r="634" spans="1:2" x14ac:dyDescent="0.25">
      <c r="A634" s="1">
        <v>14</v>
      </c>
      <c r="B634" s="1">
        <v>11.2</v>
      </c>
    </row>
    <row r="635" spans="1:2" x14ac:dyDescent="0.25">
      <c r="A635" s="1">
        <v>8</v>
      </c>
      <c r="B635" s="1">
        <v>12</v>
      </c>
    </row>
    <row r="636" spans="1:2" x14ac:dyDescent="0.25">
      <c r="A636" s="1">
        <v>4.8</v>
      </c>
      <c r="B636" s="1">
        <v>8.8000000000000007</v>
      </c>
    </row>
    <row r="637" spans="1:2" x14ac:dyDescent="0.25">
      <c r="A637" s="1">
        <v>14</v>
      </c>
      <c r="B637" s="1">
        <v>36</v>
      </c>
    </row>
    <row r="638" spans="1:2" x14ac:dyDescent="0.25">
      <c r="A638" s="1">
        <v>8</v>
      </c>
      <c r="B638" s="1">
        <v>8.3999999999999986</v>
      </c>
    </row>
    <row r="639" spans="1:2" x14ac:dyDescent="0.25">
      <c r="A639" s="1">
        <v>4.8</v>
      </c>
      <c r="B639" s="1">
        <v>6</v>
      </c>
    </row>
    <row r="640" spans="1:2" x14ac:dyDescent="0.25">
      <c r="A640" s="1">
        <v>14</v>
      </c>
      <c r="B640" s="1">
        <v>8.8000000000000007</v>
      </c>
    </row>
    <row r="641" spans="1:2" x14ac:dyDescent="0.25">
      <c r="A641" s="1">
        <v>8</v>
      </c>
      <c r="B641" s="1">
        <v>36</v>
      </c>
    </row>
    <row r="642" spans="1:2" x14ac:dyDescent="0.25">
      <c r="A642" s="1">
        <v>7.1999999999999993</v>
      </c>
      <c r="B642" s="1">
        <v>19.600000000000001</v>
      </c>
    </row>
    <row r="643" spans="1:2" x14ac:dyDescent="0.25">
      <c r="A643" s="1">
        <v>14</v>
      </c>
      <c r="B643" s="1">
        <v>11.2</v>
      </c>
    </row>
    <row r="644" spans="1:2" x14ac:dyDescent="0.25">
      <c r="A644" s="1">
        <v>8</v>
      </c>
      <c r="B644" s="1">
        <v>12</v>
      </c>
    </row>
    <row r="645" spans="1:2" x14ac:dyDescent="0.25">
      <c r="A645" s="1">
        <v>7.1999999999999993</v>
      </c>
      <c r="B645" s="1">
        <v>8.8000000000000007</v>
      </c>
    </row>
    <row r="646" spans="1:2" x14ac:dyDescent="0.25">
      <c r="A646" s="1">
        <v>14</v>
      </c>
      <c r="B646" s="1">
        <v>36</v>
      </c>
    </row>
    <row r="647" spans="1:2" x14ac:dyDescent="0.25">
      <c r="A647" s="1">
        <v>8</v>
      </c>
      <c r="B647" s="1">
        <v>11.2</v>
      </c>
    </row>
    <row r="648" spans="1:2" x14ac:dyDescent="0.25">
      <c r="A648" s="1">
        <v>4.8</v>
      </c>
      <c r="B648" s="1">
        <v>12</v>
      </c>
    </row>
    <row r="649" spans="1:2" x14ac:dyDescent="0.25">
      <c r="A649" s="1">
        <v>14</v>
      </c>
      <c r="B649" s="1">
        <v>8.8000000000000007</v>
      </c>
    </row>
    <row r="650" spans="1:2" x14ac:dyDescent="0.25">
      <c r="A650" s="1">
        <v>8</v>
      </c>
      <c r="B650" s="1">
        <v>36</v>
      </c>
    </row>
    <row r="651" spans="1:2" x14ac:dyDescent="0.25">
      <c r="A651" s="1">
        <v>4.8</v>
      </c>
      <c r="B651" s="1">
        <v>19.600000000000001</v>
      </c>
    </row>
    <row r="652" spans="1:2" x14ac:dyDescent="0.25">
      <c r="A652" s="1">
        <v>14</v>
      </c>
      <c r="B652" s="1">
        <v>8.3999999999999986</v>
      </c>
    </row>
    <row r="653" spans="1:2" x14ac:dyDescent="0.25">
      <c r="A653" s="1">
        <v>8</v>
      </c>
      <c r="B653" s="1">
        <v>12</v>
      </c>
    </row>
    <row r="654" spans="1:2" x14ac:dyDescent="0.25">
      <c r="A654" s="1">
        <v>7.1999999999999993</v>
      </c>
      <c r="B654" s="1">
        <v>8.8000000000000007</v>
      </c>
    </row>
    <row r="655" spans="1:2" x14ac:dyDescent="0.25">
      <c r="A655" s="1">
        <v>14</v>
      </c>
      <c r="B655" s="1">
        <v>36</v>
      </c>
    </row>
    <row r="656" spans="1:2" x14ac:dyDescent="0.25">
      <c r="A656" s="1">
        <v>8</v>
      </c>
      <c r="B656" s="1">
        <v>14</v>
      </c>
    </row>
    <row r="657" spans="1:2" x14ac:dyDescent="0.25">
      <c r="A657" s="1">
        <v>4.8</v>
      </c>
      <c r="B657" s="1">
        <v>12</v>
      </c>
    </row>
    <row r="658" spans="1:2" x14ac:dyDescent="0.25">
      <c r="A658" s="1">
        <v>14</v>
      </c>
      <c r="B658" s="1">
        <v>8.8000000000000007</v>
      </c>
    </row>
    <row r="659" spans="1:2" x14ac:dyDescent="0.25">
      <c r="A659" s="1">
        <v>8</v>
      </c>
      <c r="B659" s="1">
        <v>36</v>
      </c>
    </row>
    <row r="660" spans="1:2" x14ac:dyDescent="0.25">
      <c r="A660" s="1">
        <v>7.1999999999999993</v>
      </c>
      <c r="B660" s="1">
        <v>19.600000000000001</v>
      </c>
    </row>
    <row r="661" spans="1:2" x14ac:dyDescent="0.25">
      <c r="A661" s="1">
        <v>14</v>
      </c>
      <c r="B661" s="1">
        <v>8.3999999999999986</v>
      </c>
    </row>
    <row r="662" spans="1:2" x14ac:dyDescent="0.25">
      <c r="A662" s="1">
        <v>8</v>
      </c>
      <c r="B662" s="1">
        <v>12</v>
      </c>
    </row>
    <row r="663" spans="1:2" x14ac:dyDescent="0.25">
      <c r="A663" s="1">
        <v>7.1999999999999993</v>
      </c>
      <c r="B663" s="1">
        <v>8.8000000000000007</v>
      </c>
    </row>
    <row r="664" spans="1:2" x14ac:dyDescent="0.25">
      <c r="A664" s="1">
        <v>14</v>
      </c>
      <c r="B664" s="1">
        <v>36</v>
      </c>
    </row>
    <row r="665" spans="1:2" x14ac:dyDescent="0.25">
      <c r="A665" s="1">
        <v>8</v>
      </c>
      <c r="B665" s="1">
        <v>14</v>
      </c>
    </row>
    <row r="666" spans="1:2" x14ac:dyDescent="0.25">
      <c r="A666" s="1">
        <v>4.8</v>
      </c>
      <c r="B666" s="1">
        <v>12</v>
      </c>
    </row>
    <row r="667" spans="1:2" x14ac:dyDescent="0.25">
      <c r="A667" s="1">
        <v>14</v>
      </c>
      <c r="B667" s="1">
        <v>8.8000000000000007</v>
      </c>
    </row>
    <row r="668" spans="1:2" x14ac:dyDescent="0.25">
      <c r="A668" s="1">
        <v>8</v>
      </c>
      <c r="B668" s="1">
        <v>36</v>
      </c>
    </row>
    <row r="669" spans="1:2" x14ac:dyDescent="0.25">
      <c r="A669" s="1">
        <v>4.8</v>
      </c>
      <c r="B669" s="1">
        <v>19.600000000000001</v>
      </c>
    </row>
    <row r="670" spans="1:2" x14ac:dyDescent="0.25">
      <c r="A670" s="1">
        <v>14</v>
      </c>
      <c r="B670" s="1">
        <v>11.2</v>
      </c>
    </row>
    <row r="671" spans="1:2" x14ac:dyDescent="0.25">
      <c r="A671" s="1">
        <v>8</v>
      </c>
      <c r="B671" s="1">
        <v>12</v>
      </c>
    </row>
    <row r="672" spans="1:2" x14ac:dyDescent="0.25">
      <c r="A672" s="1">
        <v>7.1999999999999993</v>
      </c>
      <c r="B672" s="1">
        <v>8.8000000000000007</v>
      </c>
    </row>
    <row r="673" spans="1:2" x14ac:dyDescent="0.25">
      <c r="A673" s="1">
        <v>14</v>
      </c>
      <c r="B673" s="1">
        <v>36</v>
      </c>
    </row>
    <row r="674" spans="1:2" x14ac:dyDescent="0.25">
      <c r="A674" s="1">
        <v>8</v>
      </c>
      <c r="B674" s="1">
        <v>8.3999999999999986</v>
      </c>
    </row>
    <row r="675" spans="1:2" x14ac:dyDescent="0.25">
      <c r="A675" s="1">
        <v>4.8</v>
      </c>
      <c r="B675" s="1">
        <v>6</v>
      </c>
    </row>
    <row r="676" spans="1:2" x14ac:dyDescent="0.25">
      <c r="A676" s="1">
        <v>14</v>
      </c>
      <c r="B676" s="1">
        <v>8.8000000000000007</v>
      </c>
    </row>
    <row r="677" spans="1:2" x14ac:dyDescent="0.25">
      <c r="A677" s="1">
        <v>8</v>
      </c>
      <c r="B677" s="1">
        <v>36</v>
      </c>
    </row>
    <row r="678" spans="1:2" x14ac:dyDescent="0.25">
      <c r="A678" s="1">
        <v>4.8</v>
      </c>
      <c r="B678" s="1">
        <v>19.600000000000001</v>
      </c>
    </row>
    <row r="679" spans="1:2" x14ac:dyDescent="0.25">
      <c r="A679" s="1">
        <v>14</v>
      </c>
      <c r="B679" s="1">
        <v>11.2</v>
      </c>
    </row>
    <row r="680" spans="1:2" x14ac:dyDescent="0.25">
      <c r="A680" s="1">
        <v>8</v>
      </c>
      <c r="B680" s="1">
        <v>12</v>
      </c>
    </row>
    <row r="681" spans="1:2" x14ac:dyDescent="0.25">
      <c r="A681" s="1">
        <v>4.8</v>
      </c>
      <c r="B681" s="1">
        <v>8.8000000000000007</v>
      </c>
    </row>
    <row r="682" spans="1:2" x14ac:dyDescent="0.25">
      <c r="A682" s="1">
        <v>28</v>
      </c>
      <c r="B682" s="1">
        <v>36</v>
      </c>
    </row>
    <row r="683" spans="1:2" x14ac:dyDescent="0.25">
      <c r="A683" s="1">
        <v>8</v>
      </c>
      <c r="B683" s="1">
        <v>8.3999999999999986</v>
      </c>
    </row>
    <row r="684" spans="1:2" x14ac:dyDescent="0.25">
      <c r="A684" s="1">
        <v>7.1999999999999993</v>
      </c>
      <c r="B684" s="1">
        <v>12</v>
      </c>
    </row>
    <row r="685" spans="1:2" x14ac:dyDescent="0.25">
      <c r="A685" s="1">
        <v>14</v>
      </c>
      <c r="B685" s="1">
        <v>8.8000000000000007</v>
      </c>
    </row>
    <row r="686" spans="1:2" x14ac:dyDescent="0.25">
      <c r="A686" s="1">
        <v>8</v>
      </c>
      <c r="B686" s="1">
        <v>36</v>
      </c>
    </row>
    <row r="687" spans="1:2" x14ac:dyDescent="0.25">
      <c r="A687" s="1">
        <v>4.8</v>
      </c>
      <c r="B687" s="1">
        <v>11.2</v>
      </c>
    </row>
    <row r="688" spans="1:2" x14ac:dyDescent="0.25">
      <c r="A688" s="1">
        <v>6</v>
      </c>
      <c r="B688" s="1">
        <v>12</v>
      </c>
    </row>
    <row r="689" spans="1:2" x14ac:dyDescent="0.25">
      <c r="A689" s="1">
        <v>8</v>
      </c>
      <c r="B689" s="1">
        <v>8.8000000000000007</v>
      </c>
    </row>
    <row r="690" spans="1:2" x14ac:dyDescent="0.25">
      <c r="A690" s="1">
        <v>14</v>
      </c>
      <c r="B690" s="1">
        <v>36</v>
      </c>
    </row>
    <row r="691" spans="1:2" x14ac:dyDescent="0.25">
      <c r="A691" s="1">
        <v>8</v>
      </c>
      <c r="B691" s="1">
        <v>14</v>
      </c>
    </row>
    <row r="692" spans="1:2" x14ac:dyDescent="0.25">
      <c r="A692" s="1">
        <v>8</v>
      </c>
      <c r="B692" s="1">
        <v>12</v>
      </c>
    </row>
    <row r="693" spans="1:2" x14ac:dyDescent="0.25">
      <c r="A693" s="1">
        <v>42</v>
      </c>
      <c r="B693" s="1">
        <v>8.8000000000000007</v>
      </c>
    </row>
    <row r="694" spans="1:2" x14ac:dyDescent="0.25">
      <c r="A694" s="1">
        <v>12</v>
      </c>
      <c r="B694" s="1">
        <v>36</v>
      </c>
    </row>
    <row r="695" spans="1:2" x14ac:dyDescent="0.25">
      <c r="A695" s="1">
        <v>14</v>
      </c>
      <c r="B695" s="1">
        <v>19.600000000000001</v>
      </c>
    </row>
    <row r="696" spans="1:2" x14ac:dyDescent="0.25">
      <c r="A696" s="1">
        <v>8</v>
      </c>
      <c r="B696" s="1">
        <v>8.3999999999999986</v>
      </c>
    </row>
    <row r="697" spans="1:2" x14ac:dyDescent="0.25">
      <c r="A697" s="1">
        <v>7.1999999999999993</v>
      </c>
      <c r="B697" s="1">
        <v>12</v>
      </c>
    </row>
    <row r="698" spans="1:2" x14ac:dyDescent="0.25">
      <c r="A698" s="1">
        <v>33.200000000000003</v>
      </c>
      <c r="B698" s="1">
        <v>8.8000000000000007</v>
      </c>
    </row>
    <row r="699" spans="1:2" x14ac:dyDescent="0.25">
      <c r="A699" s="1">
        <v>10</v>
      </c>
      <c r="B699" s="1">
        <v>36</v>
      </c>
    </row>
    <row r="700" spans="1:2" x14ac:dyDescent="0.25">
      <c r="A700" s="1">
        <v>35.200000000000003</v>
      </c>
      <c r="B700" s="1">
        <v>19.600000000000001</v>
      </c>
    </row>
    <row r="701" spans="1:2" x14ac:dyDescent="0.25">
      <c r="A701" s="1">
        <v>20</v>
      </c>
      <c r="B701" s="1">
        <v>11.2</v>
      </c>
    </row>
    <row r="702" spans="1:2" x14ac:dyDescent="0.25">
      <c r="A702" s="1">
        <v>51.64</v>
      </c>
      <c r="B702" s="1">
        <v>12</v>
      </c>
    </row>
    <row r="703" spans="1:2" x14ac:dyDescent="0.25">
      <c r="A703" s="1">
        <v>14</v>
      </c>
      <c r="B703" s="1">
        <v>8.8000000000000007</v>
      </c>
    </row>
    <row r="704" spans="1:2" x14ac:dyDescent="0.25">
      <c r="A704" s="1">
        <v>8</v>
      </c>
      <c r="B704" s="1">
        <v>36</v>
      </c>
    </row>
    <row r="705" spans="1:2" x14ac:dyDescent="0.25">
      <c r="A705" s="1">
        <v>4.8</v>
      </c>
      <c r="B705" s="1">
        <v>14</v>
      </c>
    </row>
    <row r="706" spans="1:2" x14ac:dyDescent="0.25">
      <c r="A706" s="1">
        <v>51.64</v>
      </c>
      <c r="B706" s="1">
        <v>6</v>
      </c>
    </row>
    <row r="707" spans="1:2" x14ac:dyDescent="0.25">
      <c r="A707" s="1">
        <v>10</v>
      </c>
      <c r="B707" s="1">
        <v>8.8000000000000007</v>
      </c>
    </row>
    <row r="708" spans="1:2" x14ac:dyDescent="0.25">
      <c r="A708" s="1">
        <v>14</v>
      </c>
      <c r="B708" s="1">
        <v>36</v>
      </c>
    </row>
    <row r="709" spans="1:2" x14ac:dyDescent="0.25">
      <c r="A709" s="1">
        <v>8</v>
      </c>
      <c r="B709" s="1">
        <v>19.600000000000001</v>
      </c>
    </row>
    <row r="710" spans="1:2" x14ac:dyDescent="0.25">
      <c r="A710" s="1">
        <v>4.8</v>
      </c>
      <c r="B710" s="1">
        <v>8.3999999999999986</v>
      </c>
    </row>
    <row r="711" spans="1:2" x14ac:dyDescent="0.25">
      <c r="A711" s="1">
        <v>7.2</v>
      </c>
      <c r="B711" s="1">
        <v>12</v>
      </c>
    </row>
    <row r="712" spans="1:2" x14ac:dyDescent="0.25">
      <c r="A712" s="1">
        <v>11.2</v>
      </c>
      <c r="B712" s="1">
        <v>8.8000000000000007</v>
      </c>
    </row>
    <row r="713" spans="1:2" x14ac:dyDescent="0.25">
      <c r="A713" s="1">
        <v>14</v>
      </c>
      <c r="B713" s="1">
        <v>36</v>
      </c>
    </row>
    <row r="714" spans="1:2" x14ac:dyDescent="0.25">
      <c r="A714" s="1">
        <v>8</v>
      </c>
      <c r="B714" s="1">
        <v>11.2</v>
      </c>
    </row>
    <row r="715" spans="1:2" x14ac:dyDescent="0.25">
      <c r="A715" s="1">
        <v>7.1999999999999993</v>
      </c>
      <c r="B715" s="1">
        <v>12</v>
      </c>
    </row>
    <row r="716" spans="1:2" x14ac:dyDescent="0.25">
      <c r="A716" s="1">
        <v>6</v>
      </c>
      <c r="B716" s="1">
        <v>8.8000000000000007</v>
      </c>
    </row>
    <row r="717" spans="1:2" x14ac:dyDescent="0.25">
      <c r="A717" s="1">
        <v>8</v>
      </c>
      <c r="B717" s="1">
        <v>36</v>
      </c>
    </row>
    <row r="718" spans="1:2" x14ac:dyDescent="0.25">
      <c r="A718" s="1">
        <v>33.200000000000003</v>
      </c>
      <c r="B718" s="1">
        <v>19.600000000000001</v>
      </c>
    </row>
    <row r="719" spans="1:2" x14ac:dyDescent="0.25">
      <c r="A719" s="1">
        <v>10.4</v>
      </c>
      <c r="B719" s="1">
        <v>8.3999999999999986</v>
      </c>
    </row>
    <row r="720" spans="1:2" x14ac:dyDescent="0.25">
      <c r="A720" s="1">
        <v>59.64</v>
      </c>
      <c r="B720" s="1">
        <v>12</v>
      </c>
    </row>
    <row r="721" spans="1:2" x14ac:dyDescent="0.25">
      <c r="A721" s="1">
        <v>8</v>
      </c>
      <c r="B721" s="1">
        <v>8.8000000000000007</v>
      </c>
    </row>
    <row r="722" spans="1:2" x14ac:dyDescent="0.25">
      <c r="A722" s="1">
        <v>14</v>
      </c>
      <c r="B722" s="1">
        <v>36</v>
      </c>
    </row>
    <row r="723" spans="1:2" x14ac:dyDescent="0.25">
      <c r="A723" s="1">
        <v>8</v>
      </c>
      <c r="B723" s="1">
        <v>14</v>
      </c>
    </row>
    <row r="724" spans="1:2" x14ac:dyDescent="0.25">
      <c r="A724" s="1">
        <v>7.1999999999999993</v>
      </c>
      <c r="B724" s="1">
        <v>6</v>
      </c>
    </row>
    <row r="725" spans="1:2" x14ac:dyDescent="0.25">
      <c r="A725" s="1">
        <v>43.64</v>
      </c>
      <c r="B725" s="1">
        <v>8.8000000000000007</v>
      </c>
    </row>
    <row r="726" spans="1:2" x14ac:dyDescent="0.25">
      <c r="A726" s="1">
        <v>6</v>
      </c>
      <c r="B726" s="1">
        <v>36</v>
      </c>
    </row>
    <row r="727" spans="1:2" x14ac:dyDescent="0.25">
      <c r="A727" s="1">
        <v>7.2</v>
      </c>
      <c r="B727" s="1">
        <v>19.600000000000001</v>
      </c>
    </row>
    <row r="728" spans="1:2" x14ac:dyDescent="0.25">
      <c r="A728" s="1">
        <v>51.64</v>
      </c>
      <c r="B728" s="1">
        <v>8.3999999999999986</v>
      </c>
    </row>
    <row r="729" spans="1:2" x14ac:dyDescent="0.25">
      <c r="A729" s="1">
        <v>8</v>
      </c>
      <c r="B729" s="1">
        <v>12</v>
      </c>
    </row>
    <row r="730" spans="1:2" x14ac:dyDescent="0.25">
      <c r="A730" s="1">
        <v>14</v>
      </c>
      <c r="B730" s="1">
        <v>8.8000000000000007</v>
      </c>
    </row>
    <row r="731" spans="1:2" x14ac:dyDescent="0.25">
      <c r="A731" s="1">
        <v>8</v>
      </c>
      <c r="B731" s="1">
        <v>36</v>
      </c>
    </row>
    <row r="732" spans="1:2" x14ac:dyDescent="0.25">
      <c r="A732" s="1">
        <v>7.1999999999999993</v>
      </c>
      <c r="B732" s="1">
        <v>11.2</v>
      </c>
    </row>
    <row r="733" spans="1:2" x14ac:dyDescent="0.25">
      <c r="A733" s="1">
        <v>14</v>
      </c>
      <c r="B733" s="1">
        <v>12</v>
      </c>
    </row>
    <row r="734" spans="1:2" x14ac:dyDescent="0.25">
      <c r="A734" s="1">
        <v>8</v>
      </c>
      <c r="B734" s="1">
        <v>8.8000000000000007</v>
      </c>
    </row>
    <row r="735" spans="1:2" x14ac:dyDescent="0.25">
      <c r="A735" s="1">
        <v>4.8</v>
      </c>
      <c r="B735" s="1">
        <v>36</v>
      </c>
    </row>
    <row r="736" spans="1:2" x14ac:dyDescent="0.25">
      <c r="A736" s="1">
        <v>6</v>
      </c>
      <c r="B736" s="1">
        <v>19.600000000000001</v>
      </c>
    </row>
    <row r="737" spans="1:2" x14ac:dyDescent="0.25">
      <c r="A737" s="1">
        <v>8</v>
      </c>
      <c r="B737" s="1">
        <v>8.3999999999999986</v>
      </c>
    </row>
    <row r="738" spans="1:2" x14ac:dyDescent="0.25">
      <c r="A738" s="1">
        <v>14</v>
      </c>
      <c r="B738" s="1">
        <v>12</v>
      </c>
    </row>
    <row r="739" spans="1:2" x14ac:dyDescent="0.25">
      <c r="A739" s="1">
        <v>8</v>
      </c>
      <c r="B739" s="1">
        <v>8.8000000000000007</v>
      </c>
    </row>
    <row r="740" spans="1:2" x14ac:dyDescent="0.25">
      <c r="A740" s="1">
        <v>4.8</v>
      </c>
      <c r="B740" s="1">
        <v>36</v>
      </c>
    </row>
    <row r="741" spans="1:2" x14ac:dyDescent="0.25">
      <c r="A741" s="1">
        <v>10</v>
      </c>
      <c r="B741" s="1">
        <v>11.2</v>
      </c>
    </row>
    <row r="742" spans="1:2" x14ac:dyDescent="0.25">
      <c r="A742" s="1">
        <v>14</v>
      </c>
      <c r="B742" s="1">
        <v>12</v>
      </c>
    </row>
    <row r="743" spans="1:2" x14ac:dyDescent="0.25">
      <c r="A743" s="1">
        <v>8</v>
      </c>
      <c r="B743" s="1">
        <v>8.8000000000000007</v>
      </c>
    </row>
    <row r="744" spans="1:2" x14ac:dyDescent="0.25">
      <c r="A744" s="1">
        <v>7.1999999999999993</v>
      </c>
      <c r="B744" s="1">
        <v>6</v>
      </c>
    </row>
    <row r="745" spans="1:2" x14ac:dyDescent="0.25">
      <c r="A745" s="1">
        <v>6</v>
      </c>
      <c r="B745" s="1">
        <v>11.2</v>
      </c>
    </row>
    <row r="746" spans="1:2" x14ac:dyDescent="0.25">
      <c r="A746" s="1">
        <v>8</v>
      </c>
      <c r="B746" s="1">
        <v>36</v>
      </c>
    </row>
    <row r="747" spans="1:2" x14ac:dyDescent="0.25">
      <c r="A747" s="1">
        <v>35.200000000000003</v>
      </c>
      <c r="B747" s="1">
        <v>19.600000000000001</v>
      </c>
    </row>
    <row r="748" spans="1:2" x14ac:dyDescent="0.25">
      <c r="A748" s="1">
        <v>10.4</v>
      </c>
      <c r="B748" s="1">
        <v>6</v>
      </c>
    </row>
    <row r="749" spans="1:2" x14ac:dyDescent="0.25">
      <c r="A749" s="1">
        <v>59.64</v>
      </c>
      <c r="B749" s="1">
        <v>8.3999999999999986</v>
      </c>
    </row>
    <row r="750" spans="1:2" x14ac:dyDescent="0.25">
      <c r="A750" s="1">
        <v>8</v>
      </c>
      <c r="B750" s="1">
        <v>8.8000000000000007</v>
      </c>
    </row>
    <row r="751" spans="1:2" x14ac:dyDescent="0.25">
      <c r="A751" s="1">
        <v>14</v>
      </c>
      <c r="B751" s="1">
        <v>36</v>
      </c>
    </row>
    <row r="752" spans="1:2" x14ac:dyDescent="0.25">
      <c r="A752" s="1">
        <v>8</v>
      </c>
      <c r="B752" s="1">
        <v>19.600000000000001</v>
      </c>
    </row>
    <row r="753" spans="1:2" x14ac:dyDescent="0.25">
      <c r="A753" s="1">
        <v>7.1999999999999993</v>
      </c>
      <c r="B753" s="1">
        <v>11.2</v>
      </c>
    </row>
    <row r="754" spans="1:2" x14ac:dyDescent="0.25">
      <c r="A754" s="1">
        <v>6</v>
      </c>
      <c r="B754" s="1">
        <v>6</v>
      </c>
    </row>
    <row r="755" spans="1:2" x14ac:dyDescent="0.25">
      <c r="A755" s="1">
        <v>7.2</v>
      </c>
      <c r="B755" s="1">
        <v>8.8000000000000007</v>
      </c>
    </row>
    <row r="756" spans="1:2" x14ac:dyDescent="0.25">
      <c r="A756" s="1">
        <v>51.64</v>
      </c>
      <c r="B756" s="1">
        <v>36</v>
      </c>
    </row>
    <row r="757" spans="1:2" x14ac:dyDescent="0.25">
      <c r="A757" s="1">
        <v>8</v>
      </c>
      <c r="B757" s="1">
        <v>19.600000000000001</v>
      </c>
    </row>
    <row r="758" spans="1:2" x14ac:dyDescent="0.25">
      <c r="A758" s="1">
        <v>14</v>
      </c>
      <c r="B758" s="1">
        <v>14</v>
      </c>
    </row>
    <row r="759" spans="1:2" x14ac:dyDescent="0.25">
      <c r="A759" s="1">
        <v>8</v>
      </c>
      <c r="B759" s="1">
        <v>12</v>
      </c>
    </row>
    <row r="760" spans="1:2" x14ac:dyDescent="0.25">
      <c r="A760" s="1">
        <v>4.8</v>
      </c>
      <c r="B760" s="1">
        <v>8.8000000000000007</v>
      </c>
    </row>
    <row r="761" spans="1:2" x14ac:dyDescent="0.25">
      <c r="A761" s="1">
        <v>10</v>
      </c>
      <c r="B761" s="1">
        <v>36</v>
      </c>
    </row>
    <row r="762" spans="1:2" x14ac:dyDescent="0.25">
      <c r="A762" s="1">
        <v>35.200000000000003</v>
      </c>
      <c r="B762" s="1">
        <v>11.2</v>
      </c>
    </row>
    <row r="763" spans="1:2" x14ac:dyDescent="0.25">
      <c r="A763" s="1">
        <v>20</v>
      </c>
      <c r="B763" s="1">
        <v>6</v>
      </c>
    </row>
    <row r="764" spans="1:2" x14ac:dyDescent="0.25">
      <c r="A764" s="1">
        <v>51.64</v>
      </c>
      <c r="B764" s="1">
        <v>8.8000000000000007</v>
      </c>
    </row>
    <row r="765" spans="1:2" x14ac:dyDescent="0.25">
      <c r="A765" s="1">
        <v>14</v>
      </c>
      <c r="B765" s="1">
        <v>36</v>
      </c>
    </row>
    <row r="766" spans="1:2" x14ac:dyDescent="0.25">
      <c r="A766" s="1">
        <v>8</v>
      </c>
      <c r="B766" s="1">
        <v>19.600000000000001</v>
      </c>
    </row>
    <row r="767" spans="1:2" x14ac:dyDescent="0.25">
      <c r="A767" s="1">
        <v>7.1999999999999993</v>
      </c>
      <c r="B767" s="1">
        <v>8.3999999999999986</v>
      </c>
    </row>
    <row r="768" spans="1:2" x14ac:dyDescent="0.25">
      <c r="A768" s="1">
        <v>14</v>
      </c>
      <c r="B768" s="1">
        <v>12</v>
      </c>
    </row>
    <row r="769" spans="1:2" x14ac:dyDescent="0.25">
      <c r="A769" s="1">
        <v>8</v>
      </c>
      <c r="B769" s="1">
        <v>8.8000000000000007</v>
      </c>
    </row>
    <row r="770" spans="1:2" x14ac:dyDescent="0.25">
      <c r="A770" s="1">
        <v>4.8</v>
      </c>
      <c r="B770" s="1">
        <v>36</v>
      </c>
    </row>
    <row r="771" spans="1:2" x14ac:dyDescent="0.25">
      <c r="A771" s="1">
        <v>14</v>
      </c>
      <c r="B771" s="1">
        <v>11.2</v>
      </c>
    </row>
    <row r="772" spans="1:2" x14ac:dyDescent="0.25">
      <c r="A772" s="1">
        <v>8</v>
      </c>
      <c r="B772" s="1">
        <v>6</v>
      </c>
    </row>
    <row r="773" spans="1:2" x14ac:dyDescent="0.25">
      <c r="A773" s="1">
        <v>4.8</v>
      </c>
      <c r="B773" s="1">
        <v>8.8000000000000007</v>
      </c>
    </row>
    <row r="774" spans="1:2" x14ac:dyDescent="0.25">
      <c r="A774" s="1">
        <v>14</v>
      </c>
      <c r="B774" s="1">
        <v>36</v>
      </c>
    </row>
    <row r="775" spans="1:2" x14ac:dyDescent="0.25">
      <c r="A775" s="1">
        <v>8</v>
      </c>
      <c r="B775" s="1">
        <v>19.600000000000001</v>
      </c>
    </row>
    <row r="776" spans="1:2" x14ac:dyDescent="0.25">
      <c r="A776" s="1">
        <v>7.1999999999999993</v>
      </c>
      <c r="B776" s="1">
        <v>14</v>
      </c>
    </row>
    <row r="777" spans="1:2" x14ac:dyDescent="0.25">
      <c r="A777" s="1">
        <v>28</v>
      </c>
      <c r="B777" s="1">
        <v>12</v>
      </c>
    </row>
    <row r="778" spans="1:2" x14ac:dyDescent="0.25">
      <c r="A778" s="1">
        <v>8</v>
      </c>
      <c r="B778" s="1">
        <v>8.8000000000000007</v>
      </c>
    </row>
    <row r="779" spans="1:2" x14ac:dyDescent="0.25">
      <c r="A779" s="1">
        <v>4.8</v>
      </c>
      <c r="B779" s="1">
        <v>6</v>
      </c>
    </row>
    <row r="780" spans="1:2" x14ac:dyDescent="0.25">
      <c r="A780" s="1">
        <v>14</v>
      </c>
      <c r="B780" s="1">
        <v>8.3999999999999986</v>
      </c>
    </row>
    <row r="781" spans="1:2" x14ac:dyDescent="0.25">
      <c r="A781" s="1">
        <v>8</v>
      </c>
      <c r="B781" s="1">
        <v>8.8000000000000007</v>
      </c>
    </row>
    <row r="782" spans="1:2" x14ac:dyDescent="0.25">
      <c r="A782" s="1">
        <v>7.1999999999999993</v>
      </c>
      <c r="B782" s="1">
        <v>36</v>
      </c>
    </row>
    <row r="783" spans="1:2" x14ac:dyDescent="0.25">
      <c r="A783" s="1">
        <v>14</v>
      </c>
      <c r="B783" s="1">
        <v>19.600000000000001</v>
      </c>
    </row>
    <row r="784" spans="1:2" x14ac:dyDescent="0.25">
      <c r="A784" s="1">
        <v>8</v>
      </c>
      <c r="B784" s="1">
        <v>14</v>
      </c>
    </row>
    <row r="785" spans="1:2" x14ac:dyDescent="0.25">
      <c r="A785" s="1">
        <v>4.8</v>
      </c>
      <c r="B785" s="1">
        <v>12</v>
      </c>
    </row>
    <row r="786" spans="1:2" x14ac:dyDescent="0.25">
      <c r="A786" s="1">
        <v>14</v>
      </c>
      <c r="B786" s="1">
        <v>8.8000000000000007</v>
      </c>
    </row>
    <row r="787" spans="1:2" x14ac:dyDescent="0.25">
      <c r="A787" s="1">
        <v>8</v>
      </c>
      <c r="B787" s="1">
        <v>36</v>
      </c>
    </row>
    <row r="788" spans="1:2" x14ac:dyDescent="0.25">
      <c r="A788" s="1">
        <v>7.1999999999999993</v>
      </c>
      <c r="B788" s="1">
        <v>8.3999999999999986</v>
      </c>
    </row>
    <row r="789" spans="1:2" x14ac:dyDescent="0.25">
      <c r="A789" s="1">
        <v>14</v>
      </c>
      <c r="B789" s="1">
        <v>6</v>
      </c>
    </row>
    <row r="790" spans="1:2" x14ac:dyDescent="0.25">
      <c r="A790" s="1">
        <v>8</v>
      </c>
      <c r="B790" s="1">
        <v>8.8000000000000007</v>
      </c>
    </row>
    <row r="791" spans="1:2" x14ac:dyDescent="0.25">
      <c r="A791" s="1">
        <v>7.1999999999999993</v>
      </c>
      <c r="B791" s="1">
        <v>36</v>
      </c>
    </row>
    <row r="792" spans="1:2" x14ac:dyDescent="0.25">
      <c r="A792" s="1">
        <v>14</v>
      </c>
      <c r="B792" s="1">
        <v>19.600000000000001</v>
      </c>
    </row>
    <row r="793" spans="1:2" x14ac:dyDescent="0.25">
      <c r="A793" s="1">
        <v>8</v>
      </c>
      <c r="B793" s="1">
        <v>11.2</v>
      </c>
    </row>
    <row r="794" spans="1:2" x14ac:dyDescent="0.25">
      <c r="A794" s="1">
        <v>7.1999999999999993</v>
      </c>
      <c r="B794" s="1">
        <v>6</v>
      </c>
    </row>
    <row r="795" spans="1:2" x14ac:dyDescent="0.25">
      <c r="A795" s="1">
        <v>14</v>
      </c>
      <c r="B795" s="1">
        <v>8.8000000000000007</v>
      </c>
    </row>
    <row r="796" spans="1:2" x14ac:dyDescent="0.25">
      <c r="A796" s="1">
        <v>8</v>
      </c>
      <c r="B796" s="1">
        <v>36</v>
      </c>
    </row>
    <row r="797" spans="1:2" x14ac:dyDescent="0.25">
      <c r="A797" s="1">
        <v>7.1999999999999993</v>
      </c>
      <c r="B797" s="1">
        <v>14</v>
      </c>
    </row>
    <row r="798" spans="1:2" x14ac:dyDescent="0.25">
      <c r="A798" s="1">
        <v>14</v>
      </c>
      <c r="B798" s="1">
        <v>6</v>
      </c>
    </row>
    <row r="799" spans="1:2" x14ac:dyDescent="0.25">
      <c r="A799" s="1">
        <v>14</v>
      </c>
      <c r="B799" s="1">
        <v>8.8000000000000007</v>
      </c>
    </row>
    <row r="800" spans="1:2" x14ac:dyDescent="0.25">
      <c r="A800" s="1">
        <v>7.1999999999999993</v>
      </c>
      <c r="B800" s="1">
        <v>36</v>
      </c>
    </row>
    <row r="801" spans="1:2" x14ac:dyDescent="0.25">
      <c r="A801" s="1">
        <v>14</v>
      </c>
      <c r="B801" s="1">
        <v>19.600000000000001</v>
      </c>
    </row>
    <row r="802" spans="1:2" x14ac:dyDescent="0.25">
      <c r="A802" s="1">
        <v>8</v>
      </c>
      <c r="B802" s="1">
        <v>11.2</v>
      </c>
    </row>
    <row r="803" spans="1:2" x14ac:dyDescent="0.25">
      <c r="A803" s="1">
        <v>28</v>
      </c>
      <c r="B803" s="1">
        <v>12</v>
      </c>
    </row>
    <row r="804" spans="1:2" x14ac:dyDescent="0.25">
      <c r="A804" s="1">
        <v>7.1999999999999993</v>
      </c>
      <c r="B804" s="1">
        <v>8.8000000000000007</v>
      </c>
    </row>
    <row r="805" spans="1:2" x14ac:dyDescent="0.25">
      <c r="A805" s="1">
        <v>14</v>
      </c>
      <c r="B805" s="1">
        <v>36</v>
      </c>
    </row>
    <row r="806" spans="1:2" x14ac:dyDescent="0.25">
      <c r="A806" s="1">
        <v>4.8</v>
      </c>
      <c r="B806" s="1">
        <v>19.600000000000001</v>
      </c>
    </row>
    <row r="807" spans="1:2" x14ac:dyDescent="0.25">
      <c r="A807" s="1">
        <v>8</v>
      </c>
      <c r="B807" s="1">
        <v>8.3999999999999986</v>
      </c>
    </row>
    <row r="808" spans="1:2" x14ac:dyDescent="0.25">
      <c r="A808" s="1">
        <v>4.8</v>
      </c>
      <c r="B808" s="1">
        <v>6</v>
      </c>
    </row>
    <row r="809" spans="1:2" x14ac:dyDescent="0.25">
      <c r="A809" s="1">
        <v>14</v>
      </c>
      <c r="B809" s="1">
        <v>8.8000000000000007</v>
      </c>
    </row>
    <row r="810" spans="1:2" x14ac:dyDescent="0.25">
      <c r="A810" s="1">
        <v>14</v>
      </c>
      <c r="B810" s="1">
        <v>36</v>
      </c>
    </row>
    <row r="811" spans="1:2" x14ac:dyDescent="0.25">
      <c r="A811" s="1">
        <v>7.1999999999999993</v>
      </c>
      <c r="B811" s="1">
        <v>19.600000000000001</v>
      </c>
    </row>
    <row r="812" spans="1:2" x14ac:dyDescent="0.25">
      <c r="A812" s="1">
        <v>8</v>
      </c>
      <c r="B812" s="1">
        <v>14</v>
      </c>
    </row>
    <row r="813" spans="1:2" x14ac:dyDescent="0.25">
      <c r="A813" s="1">
        <v>14</v>
      </c>
      <c r="B813" s="1">
        <v>12</v>
      </c>
    </row>
    <row r="814" spans="1:2" x14ac:dyDescent="0.25">
      <c r="A814" s="1">
        <v>7.1999999999999993</v>
      </c>
      <c r="B814" s="1">
        <v>8.8000000000000007</v>
      </c>
    </row>
    <row r="815" spans="1:2" x14ac:dyDescent="0.25">
      <c r="A815" s="1">
        <v>8</v>
      </c>
      <c r="B815" s="1">
        <v>36</v>
      </c>
    </row>
    <row r="816" spans="1:2" x14ac:dyDescent="0.25">
      <c r="A816" s="1">
        <v>28</v>
      </c>
      <c r="B816" s="1">
        <v>19.600000000000001</v>
      </c>
    </row>
    <row r="817" spans="1:2" x14ac:dyDescent="0.25">
      <c r="A817" s="1">
        <v>4.8</v>
      </c>
      <c r="B817" s="1">
        <v>11.2</v>
      </c>
    </row>
    <row r="818" spans="1:2" x14ac:dyDescent="0.25">
      <c r="A818" s="1">
        <v>14</v>
      </c>
      <c r="B818" s="1">
        <v>6</v>
      </c>
    </row>
    <row r="819" spans="1:2" x14ac:dyDescent="0.25">
      <c r="A819" s="1">
        <v>7.1999999999999993</v>
      </c>
      <c r="B819" s="1">
        <v>8.8000000000000007</v>
      </c>
    </row>
    <row r="820" spans="1:2" x14ac:dyDescent="0.25">
      <c r="A820" s="1">
        <v>8</v>
      </c>
      <c r="B820" s="1">
        <v>36</v>
      </c>
    </row>
    <row r="821" spans="1:2" x14ac:dyDescent="0.25">
      <c r="A821" s="1">
        <v>14</v>
      </c>
      <c r="B821" s="1">
        <v>19.600000000000001</v>
      </c>
    </row>
    <row r="822" spans="1:2" x14ac:dyDescent="0.25">
      <c r="A822" s="1">
        <v>14</v>
      </c>
      <c r="B822" s="1">
        <v>8.3999999999999986</v>
      </c>
    </row>
    <row r="823" spans="1:2" x14ac:dyDescent="0.25">
      <c r="A823" s="1">
        <v>4.8</v>
      </c>
      <c r="B823" s="1">
        <v>6</v>
      </c>
    </row>
    <row r="824" spans="1:2" x14ac:dyDescent="0.25">
      <c r="A824" s="1">
        <v>14</v>
      </c>
      <c r="B824" s="1">
        <v>8.8000000000000007</v>
      </c>
    </row>
    <row r="825" spans="1:2" x14ac:dyDescent="0.25">
      <c r="A825" s="1">
        <v>4.8</v>
      </c>
      <c r="B825" s="1">
        <v>36</v>
      </c>
    </row>
    <row r="826" spans="1:2" x14ac:dyDescent="0.25">
      <c r="A826" s="1">
        <v>14</v>
      </c>
      <c r="B826" s="1">
        <v>19.600000000000001</v>
      </c>
    </row>
    <row r="827" spans="1:2" x14ac:dyDescent="0.25">
      <c r="A827" s="1">
        <v>8</v>
      </c>
      <c r="B827" s="1">
        <v>11.2</v>
      </c>
    </row>
    <row r="828" spans="1:2" x14ac:dyDescent="0.25">
      <c r="A828" s="1">
        <v>7.1999999999999993</v>
      </c>
      <c r="B828" s="1">
        <v>6</v>
      </c>
    </row>
    <row r="829" spans="1:2" x14ac:dyDescent="0.25">
      <c r="A829" s="1">
        <v>28</v>
      </c>
      <c r="B829" s="1">
        <v>8.8000000000000007</v>
      </c>
    </row>
    <row r="830" spans="1:2" x14ac:dyDescent="0.25">
      <c r="A830" s="1">
        <v>14</v>
      </c>
      <c r="B830" s="1">
        <v>36</v>
      </c>
    </row>
    <row r="831" spans="1:2" x14ac:dyDescent="0.25">
      <c r="A831" s="1">
        <v>8</v>
      </c>
      <c r="B831" s="1">
        <v>19.600000000000001</v>
      </c>
    </row>
    <row r="832" spans="1:2" x14ac:dyDescent="0.25">
      <c r="A832" s="1">
        <v>4.8</v>
      </c>
      <c r="B832" s="1">
        <v>14</v>
      </c>
    </row>
    <row r="833" spans="1:2" x14ac:dyDescent="0.25">
      <c r="A833" s="1">
        <v>14</v>
      </c>
      <c r="B833" s="1">
        <v>6</v>
      </c>
    </row>
    <row r="834" spans="1:2" x14ac:dyDescent="0.25">
      <c r="A834" s="1">
        <v>14</v>
      </c>
      <c r="B834" s="1">
        <v>8.8000000000000007</v>
      </c>
    </row>
    <row r="835" spans="1:2" x14ac:dyDescent="0.25">
      <c r="A835" s="1">
        <v>8</v>
      </c>
      <c r="B835" s="1">
        <v>36</v>
      </c>
    </row>
    <row r="836" spans="1:2" x14ac:dyDescent="0.25">
      <c r="A836" s="1">
        <v>4.8</v>
      </c>
      <c r="B836" s="1">
        <v>6</v>
      </c>
    </row>
    <row r="837" spans="1:2" x14ac:dyDescent="0.25">
      <c r="A837" s="1">
        <v>14</v>
      </c>
      <c r="B837" s="1">
        <v>8.3999999999999986</v>
      </c>
    </row>
    <row r="838" spans="1:2" x14ac:dyDescent="0.25">
      <c r="A838" s="1">
        <v>4.8</v>
      </c>
      <c r="B838" s="1">
        <v>8.8000000000000007</v>
      </c>
    </row>
    <row r="839" spans="1:2" x14ac:dyDescent="0.25">
      <c r="A839" s="1">
        <v>8</v>
      </c>
      <c r="B839" s="1">
        <v>36</v>
      </c>
    </row>
    <row r="840" spans="1:2" x14ac:dyDescent="0.25">
      <c r="A840" s="1">
        <v>14</v>
      </c>
      <c r="B840" s="1">
        <v>19.600000000000001</v>
      </c>
    </row>
    <row r="841" spans="1:2" x14ac:dyDescent="0.25">
      <c r="A841" s="1">
        <v>8</v>
      </c>
      <c r="B841" s="1">
        <v>11.2</v>
      </c>
    </row>
    <row r="842" spans="1:2" x14ac:dyDescent="0.25">
      <c r="A842" s="1">
        <v>14</v>
      </c>
      <c r="B842" s="1">
        <v>6</v>
      </c>
    </row>
    <row r="843" spans="1:2" x14ac:dyDescent="0.25">
      <c r="A843" s="1">
        <v>7.1999999999999993</v>
      </c>
      <c r="B843" s="1">
        <v>8.8000000000000007</v>
      </c>
    </row>
    <row r="844" spans="1:2" x14ac:dyDescent="0.25">
      <c r="A844" s="1">
        <v>14</v>
      </c>
      <c r="B844" s="1">
        <v>36</v>
      </c>
    </row>
    <row r="845" spans="1:2" x14ac:dyDescent="0.25">
      <c r="A845" s="1">
        <v>8</v>
      </c>
      <c r="B845" s="1">
        <v>19.600000000000001</v>
      </c>
    </row>
    <row r="846" spans="1:2" x14ac:dyDescent="0.25">
      <c r="A846" s="1">
        <v>4.8</v>
      </c>
      <c r="B846" s="1">
        <v>8.3999999999999986</v>
      </c>
    </row>
    <row r="847" spans="1:2" x14ac:dyDescent="0.25">
      <c r="A847" s="1">
        <v>14</v>
      </c>
      <c r="B847" s="1">
        <v>6</v>
      </c>
    </row>
    <row r="848" spans="1:2" x14ac:dyDescent="0.25">
      <c r="A848" s="1">
        <v>8</v>
      </c>
      <c r="B848" s="1">
        <v>8.8000000000000007</v>
      </c>
    </row>
    <row r="849" spans="1:2" x14ac:dyDescent="0.25">
      <c r="A849" s="1">
        <v>8</v>
      </c>
      <c r="B849" s="1">
        <v>36</v>
      </c>
    </row>
    <row r="850" spans="1:2" x14ac:dyDescent="0.25">
      <c r="A850" s="1">
        <v>14</v>
      </c>
      <c r="B850" s="1">
        <v>19.600000000000001</v>
      </c>
    </row>
    <row r="851" spans="1:2" x14ac:dyDescent="0.25">
      <c r="A851" s="1">
        <v>4.8</v>
      </c>
      <c r="B851" s="1">
        <v>11.2</v>
      </c>
    </row>
    <row r="852" spans="1:2" x14ac:dyDescent="0.25">
      <c r="A852" s="1">
        <v>14</v>
      </c>
      <c r="B852" s="1">
        <v>12</v>
      </c>
    </row>
    <row r="853" spans="1:2" x14ac:dyDescent="0.25">
      <c r="A853" s="1">
        <v>8</v>
      </c>
      <c r="B853" s="1">
        <v>8.8000000000000007</v>
      </c>
    </row>
    <row r="854" spans="1:2" x14ac:dyDescent="0.25">
      <c r="A854" s="1">
        <v>4.8</v>
      </c>
      <c r="B854" s="1">
        <v>36</v>
      </c>
    </row>
    <row r="855" spans="1:2" x14ac:dyDescent="0.25">
      <c r="A855" s="1">
        <v>14</v>
      </c>
      <c r="B855" s="1">
        <v>19.600000000000001</v>
      </c>
    </row>
    <row r="856" spans="1:2" x14ac:dyDescent="0.25">
      <c r="A856" s="1">
        <v>8</v>
      </c>
      <c r="B856" s="1">
        <v>8.3999999999999986</v>
      </c>
    </row>
    <row r="857" spans="1:2" x14ac:dyDescent="0.25">
      <c r="A857" s="1">
        <v>14</v>
      </c>
      <c r="B857" s="1">
        <v>6</v>
      </c>
    </row>
    <row r="858" spans="1:2" x14ac:dyDescent="0.25">
      <c r="A858" s="1">
        <v>4.8</v>
      </c>
      <c r="B858" s="1">
        <v>8.8000000000000007</v>
      </c>
    </row>
    <row r="859" spans="1:2" x14ac:dyDescent="0.25">
      <c r="A859" s="1">
        <v>14</v>
      </c>
      <c r="B859" s="1">
        <v>36</v>
      </c>
    </row>
    <row r="860" spans="1:2" x14ac:dyDescent="0.25">
      <c r="A860" s="1">
        <v>8</v>
      </c>
      <c r="B860" s="1">
        <v>19.600000000000001</v>
      </c>
    </row>
    <row r="861" spans="1:2" x14ac:dyDescent="0.25">
      <c r="A861" s="1">
        <v>14</v>
      </c>
      <c r="B861" s="1">
        <v>14</v>
      </c>
    </row>
    <row r="862" spans="1:2" x14ac:dyDescent="0.25">
      <c r="A862" s="1">
        <v>8</v>
      </c>
      <c r="B862" s="1">
        <v>12</v>
      </c>
    </row>
    <row r="863" spans="1:2" x14ac:dyDescent="0.25">
      <c r="A863" s="1">
        <v>4.8</v>
      </c>
      <c r="B863" s="1">
        <v>8.8000000000000007</v>
      </c>
    </row>
    <row r="864" spans="1:2" x14ac:dyDescent="0.25">
      <c r="A864" s="1">
        <v>10</v>
      </c>
      <c r="B864" s="1">
        <v>36</v>
      </c>
    </row>
    <row r="865" spans="1:2" x14ac:dyDescent="0.25">
      <c r="A865" s="1">
        <v>14</v>
      </c>
      <c r="B865" s="1">
        <v>8.3999999999999986</v>
      </c>
    </row>
    <row r="866" spans="1:2" x14ac:dyDescent="0.25">
      <c r="A866" s="1">
        <v>8</v>
      </c>
      <c r="B866" s="1">
        <v>6</v>
      </c>
    </row>
    <row r="867" spans="1:2" x14ac:dyDescent="0.25">
      <c r="A867" s="1">
        <v>4.8</v>
      </c>
      <c r="B867" s="1">
        <v>8.8000000000000007</v>
      </c>
    </row>
    <row r="868" spans="1:2" x14ac:dyDescent="0.25">
      <c r="A868" s="1">
        <v>14</v>
      </c>
      <c r="B868" s="1">
        <v>36</v>
      </c>
    </row>
    <row r="869" spans="1:2" x14ac:dyDescent="0.25">
      <c r="A869" s="1">
        <v>10</v>
      </c>
      <c r="B869" s="1">
        <v>19.600000000000001</v>
      </c>
    </row>
    <row r="870" spans="1:2" x14ac:dyDescent="0.25">
      <c r="A870" s="1">
        <v>8</v>
      </c>
      <c r="B870" s="1">
        <v>14</v>
      </c>
    </row>
    <row r="871" spans="1:2" x14ac:dyDescent="0.25">
      <c r="A871" s="1">
        <v>14</v>
      </c>
      <c r="B871" s="1">
        <v>6</v>
      </c>
    </row>
    <row r="872" spans="1:2" x14ac:dyDescent="0.25">
      <c r="A872" s="1">
        <v>35.200000000000003</v>
      </c>
      <c r="B872" s="1">
        <v>8.8000000000000007</v>
      </c>
    </row>
    <row r="873" spans="1:2" x14ac:dyDescent="0.25">
      <c r="A873" s="1">
        <v>14</v>
      </c>
      <c r="B873" s="1">
        <v>36</v>
      </c>
    </row>
    <row r="874" spans="1:2" x14ac:dyDescent="0.25">
      <c r="A874" s="1">
        <v>8</v>
      </c>
      <c r="B874" s="1">
        <v>19.600000000000001</v>
      </c>
    </row>
    <row r="875" spans="1:2" x14ac:dyDescent="0.25">
      <c r="A875" s="1">
        <v>4.8</v>
      </c>
      <c r="B875" s="1">
        <v>8.3999999999999986</v>
      </c>
    </row>
    <row r="876" spans="1:2" x14ac:dyDescent="0.25">
      <c r="A876" s="1">
        <v>14</v>
      </c>
      <c r="B876" s="1">
        <v>6</v>
      </c>
    </row>
    <row r="877" spans="1:2" x14ac:dyDescent="0.25">
      <c r="A877" s="1">
        <v>8</v>
      </c>
      <c r="B877" s="1">
        <v>8.8000000000000007</v>
      </c>
    </row>
    <row r="878" spans="1:2" x14ac:dyDescent="0.25">
      <c r="A878" s="1">
        <v>4.8</v>
      </c>
      <c r="B878" s="1">
        <v>36</v>
      </c>
    </row>
    <row r="879" spans="1:2" x14ac:dyDescent="0.25">
      <c r="A879" s="1">
        <v>14</v>
      </c>
      <c r="B879" s="1">
        <v>19.600000000000001</v>
      </c>
    </row>
    <row r="880" spans="1:2" x14ac:dyDescent="0.25">
      <c r="A880" s="1">
        <v>4.8</v>
      </c>
      <c r="B880" s="1">
        <v>11.2</v>
      </c>
    </row>
    <row r="881" spans="1:2" x14ac:dyDescent="0.25">
      <c r="A881" s="1">
        <v>14</v>
      </c>
      <c r="B881" s="1">
        <v>6</v>
      </c>
    </row>
    <row r="882" spans="1:2" x14ac:dyDescent="0.25">
      <c r="A882" s="1">
        <v>8</v>
      </c>
      <c r="B882" s="1">
        <v>8.8000000000000007</v>
      </c>
    </row>
    <row r="883" spans="1:2" x14ac:dyDescent="0.25">
      <c r="A883" s="1">
        <v>4.8</v>
      </c>
      <c r="B883" s="1">
        <v>36</v>
      </c>
    </row>
    <row r="884" spans="1:2" x14ac:dyDescent="0.25">
      <c r="A884" s="1">
        <v>14</v>
      </c>
      <c r="B884" s="1">
        <v>19.600000000000001</v>
      </c>
    </row>
    <row r="885" spans="1:2" x14ac:dyDescent="0.25">
      <c r="A885" s="1">
        <v>2.4</v>
      </c>
      <c r="B885" s="1">
        <v>8.3999999999999986</v>
      </c>
    </row>
    <row r="886" spans="1:2" x14ac:dyDescent="0.25">
      <c r="A886" s="1">
        <v>14</v>
      </c>
      <c r="B886" s="1">
        <v>6</v>
      </c>
    </row>
    <row r="887" spans="1:2" x14ac:dyDescent="0.25">
      <c r="A887" s="1">
        <v>8</v>
      </c>
      <c r="B887" s="1">
        <v>8.8000000000000007</v>
      </c>
    </row>
    <row r="888" spans="1:2" x14ac:dyDescent="0.25">
      <c r="A888" s="1">
        <v>2.4</v>
      </c>
      <c r="B888" s="1">
        <v>36</v>
      </c>
    </row>
    <row r="889" spans="1:2" x14ac:dyDescent="0.25">
      <c r="A889" s="1">
        <v>14</v>
      </c>
      <c r="B889" s="1">
        <v>19.600000000000001</v>
      </c>
    </row>
    <row r="890" spans="1:2" x14ac:dyDescent="0.25">
      <c r="A890" s="1">
        <v>4.8</v>
      </c>
      <c r="B890" s="1">
        <v>11.2</v>
      </c>
    </row>
    <row r="891" spans="1:2" x14ac:dyDescent="0.25">
      <c r="A891" s="1">
        <v>14</v>
      </c>
      <c r="B891" s="1">
        <v>6</v>
      </c>
    </row>
    <row r="892" spans="1:2" x14ac:dyDescent="0.25">
      <c r="A892" s="1">
        <v>14</v>
      </c>
      <c r="B892" s="1">
        <v>8.8000000000000007</v>
      </c>
    </row>
    <row r="893" spans="1:2" x14ac:dyDescent="0.25">
      <c r="A893" s="1">
        <v>8</v>
      </c>
      <c r="B893" s="1">
        <v>36</v>
      </c>
    </row>
    <row r="894" spans="1:2" x14ac:dyDescent="0.25">
      <c r="A894" s="1">
        <v>4.8</v>
      </c>
      <c r="B894" s="1">
        <v>8.3999999999999986</v>
      </c>
    </row>
    <row r="895" spans="1:2" x14ac:dyDescent="0.25">
      <c r="A895" s="1">
        <v>14</v>
      </c>
      <c r="B895" s="1">
        <v>12</v>
      </c>
    </row>
    <row r="896" spans="1:2" x14ac:dyDescent="0.25">
      <c r="A896" s="1">
        <v>4.8</v>
      </c>
      <c r="B896" s="1">
        <v>8.8000000000000007</v>
      </c>
    </row>
    <row r="897" spans="1:2" x14ac:dyDescent="0.25">
      <c r="A897" s="1">
        <v>14</v>
      </c>
      <c r="B897" s="1">
        <v>36</v>
      </c>
    </row>
    <row r="898" spans="1:2" x14ac:dyDescent="0.25">
      <c r="A898" s="1">
        <v>8</v>
      </c>
      <c r="B898" s="1">
        <v>19.600000000000001</v>
      </c>
    </row>
    <row r="899" spans="1:2" x14ac:dyDescent="0.25">
      <c r="A899" s="1">
        <v>4.8</v>
      </c>
      <c r="B899" s="1">
        <v>11.2</v>
      </c>
    </row>
    <row r="900" spans="1:2" x14ac:dyDescent="0.25">
      <c r="A900" s="1">
        <v>14</v>
      </c>
      <c r="B900" s="1">
        <v>6</v>
      </c>
    </row>
    <row r="901" spans="1:2" x14ac:dyDescent="0.25">
      <c r="A901" s="1">
        <v>14</v>
      </c>
      <c r="B901" s="1">
        <v>8.8000000000000007</v>
      </c>
    </row>
    <row r="902" spans="1:2" x14ac:dyDescent="0.25">
      <c r="A902" s="1">
        <v>4.8</v>
      </c>
      <c r="B902" s="1">
        <v>36</v>
      </c>
    </row>
    <row r="903" spans="1:2" x14ac:dyDescent="0.25">
      <c r="A903" s="1">
        <v>14</v>
      </c>
      <c r="B903" s="1">
        <v>19.600000000000001</v>
      </c>
    </row>
    <row r="904" spans="1:2" x14ac:dyDescent="0.25">
      <c r="A904" s="1">
        <v>8</v>
      </c>
      <c r="B904" s="1">
        <v>14</v>
      </c>
    </row>
    <row r="905" spans="1:2" x14ac:dyDescent="0.25">
      <c r="A905" s="1">
        <v>4.8</v>
      </c>
      <c r="B905" s="1">
        <v>12</v>
      </c>
    </row>
    <row r="906" spans="1:2" x14ac:dyDescent="0.25">
      <c r="A906" s="1">
        <v>14</v>
      </c>
      <c r="B906" s="1">
        <v>8.8000000000000007</v>
      </c>
    </row>
    <row r="907" spans="1:2" x14ac:dyDescent="0.25">
      <c r="A907" s="1">
        <v>4.8</v>
      </c>
      <c r="B907" s="1">
        <v>36</v>
      </c>
    </row>
    <row r="908" spans="1:2" x14ac:dyDescent="0.25">
      <c r="A908" s="1">
        <v>14</v>
      </c>
      <c r="B908" s="1">
        <v>19.600000000000001</v>
      </c>
    </row>
    <row r="909" spans="1:2" x14ac:dyDescent="0.25">
      <c r="A909" s="1">
        <v>8</v>
      </c>
      <c r="B909" s="1">
        <v>11.2</v>
      </c>
    </row>
    <row r="910" spans="1:2" x14ac:dyDescent="0.25">
      <c r="A910" s="1">
        <v>4.8</v>
      </c>
      <c r="B910" s="1">
        <v>6</v>
      </c>
    </row>
    <row r="911" spans="1:2" x14ac:dyDescent="0.25">
      <c r="A911" s="1">
        <v>14</v>
      </c>
      <c r="B911" s="1">
        <v>8.8000000000000007</v>
      </c>
    </row>
    <row r="912" spans="1:2" x14ac:dyDescent="0.25">
      <c r="A912" s="1">
        <v>4.8</v>
      </c>
      <c r="B912" s="1">
        <v>36</v>
      </c>
    </row>
    <row r="913" spans="1:2" x14ac:dyDescent="0.25">
      <c r="A913" s="1">
        <v>14</v>
      </c>
      <c r="B913" s="1">
        <v>19.600000000000001</v>
      </c>
    </row>
    <row r="914" spans="1:2" x14ac:dyDescent="0.25">
      <c r="A914" s="1">
        <v>8</v>
      </c>
      <c r="B914" s="1">
        <v>14</v>
      </c>
    </row>
    <row r="915" spans="1:2" x14ac:dyDescent="0.25">
      <c r="A915" s="1">
        <v>14</v>
      </c>
      <c r="B915" s="1">
        <v>12</v>
      </c>
    </row>
    <row r="916" spans="1:2" x14ac:dyDescent="0.25">
      <c r="A916" s="1">
        <v>14</v>
      </c>
      <c r="B916" s="1">
        <v>8.8000000000000007</v>
      </c>
    </row>
    <row r="917" spans="1:2" x14ac:dyDescent="0.25">
      <c r="A917" s="1">
        <v>4.8</v>
      </c>
      <c r="B917" s="1">
        <v>36</v>
      </c>
    </row>
    <row r="918" spans="1:2" x14ac:dyDescent="0.25">
      <c r="A918" s="1">
        <v>14</v>
      </c>
      <c r="B918" s="1">
        <v>19.600000000000001</v>
      </c>
    </row>
    <row r="919" spans="1:2" x14ac:dyDescent="0.25">
      <c r="A919" s="1">
        <v>8</v>
      </c>
      <c r="B919" s="1">
        <v>11.2</v>
      </c>
    </row>
    <row r="920" spans="1:2" x14ac:dyDescent="0.25">
      <c r="A920" s="1">
        <v>4.8</v>
      </c>
      <c r="B920" s="1">
        <v>6</v>
      </c>
    </row>
    <row r="921" spans="1:2" x14ac:dyDescent="0.25">
      <c r="A921" s="1">
        <v>14</v>
      </c>
      <c r="B921" s="1">
        <v>8.8000000000000007</v>
      </c>
    </row>
    <row r="922" spans="1:2" x14ac:dyDescent="0.25">
      <c r="A922" s="1">
        <v>4.8</v>
      </c>
      <c r="B922" s="1">
        <v>36</v>
      </c>
    </row>
    <row r="923" spans="1:2" x14ac:dyDescent="0.25">
      <c r="A923" s="1">
        <v>14</v>
      </c>
      <c r="B923" s="1">
        <v>19.600000000000001</v>
      </c>
    </row>
    <row r="924" spans="1:2" x14ac:dyDescent="0.25">
      <c r="A924" s="1">
        <v>8</v>
      </c>
      <c r="B924" s="1">
        <v>8.3999999999999986</v>
      </c>
    </row>
    <row r="925" spans="1:2" x14ac:dyDescent="0.25">
      <c r="A925" s="1">
        <v>14</v>
      </c>
      <c r="B925" s="1">
        <v>6</v>
      </c>
    </row>
    <row r="926" spans="1:2" x14ac:dyDescent="0.25">
      <c r="A926" s="1">
        <v>14</v>
      </c>
      <c r="B926" s="1">
        <v>8.8000000000000007</v>
      </c>
    </row>
    <row r="927" spans="1:2" x14ac:dyDescent="0.25">
      <c r="A927" s="1">
        <v>14</v>
      </c>
      <c r="B927" s="1">
        <v>36</v>
      </c>
    </row>
    <row r="928" spans="1:2" x14ac:dyDescent="0.25">
      <c r="A928" s="1">
        <v>4.8</v>
      </c>
      <c r="B928" s="1">
        <v>19.600000000000001</v>
      </c>
    </row>
    <row r="929" spans="1:2" x14ac:dyDescent="0.25">
      <c r="A929" s="1">
        <v>14</v>
      </c>
      <c r="B929" s="1">
        <v>14</v>
      </c>
    </row>
    <row r="930" spans="1:2" x14ac:dyDescent="0.25">
      <c r="A930" s="1">
        <v>8</v>
      </c>
      <c r="B930" s="1">
        <v>6</v>
      </c>
    </row>
    <row r="931" spans="1:2" x14ac:dyDescent="0.25">
      <c r="A931" s="1">
        <v>14</v>
      </c>
      <c r="B931" s="1">
        <v>8.8000000000000007</v>
      </c>
    </row>
    <row r="932" spans="1:2" x14ac:dyDescent="0.25">
      <c r="A932" s="1">
        <v>4.8</v>
      </c>
      <c r="B932" s="1">
        <v>36</v>
      </c>
    </row>
    <row r="933" spans="1:2" x14ac:dyDescent="0.25">
      <c r="A933" s="1">
        <v>14</v>
      </c>
      <c r="B933" s="1">
        <v>19.600000000000001</v>
      </c>
    </row>
    <row r="934" spans="1:2" x14ac:dyDescent="0.25">
      <c r="A934" s="1">
        <v>4.8</v>
      </c>
      <c r="B934" s="1">
        <v>14</v>
      </c>
    </row>
    <row r="935" spans="1:2" x14ac:dyDescent="0.25">
      <c r="A935" s="1">
        <v>14</v>
      </c>
      <c r="B935" s="1">
        <v>6</v>
      </c>
    </row>
    <row r="936" spans="1:2" x14ac:dyDescent="0.25">
      <c r="A936" s="1">
        <v>14</v>
      </c>
      <c r="B936" s="1">
        <v>8.8000000000000007</v>
      </c>
    </row>
    <row r="937" spans="1:2" x14ac:dyDescent="0.25">
      <c r="A937" s="1">
        <v>4.8</v>
      </c>
      <c r="B937" s="1">
        <v>36</v>
      </c>
    </row>
    <row r="938" spans="1:2" x14ac:dyDescent="0.25">
      <c r="A938" s="1">
        <v>8</v>
      </c>
      <c r="B938" s="1">
        <v>19.600000000000001</v>
      </c>
    </row>
    <row r="939" spans="1:2" x14ac:dyDescent="0.25">
      <c r="A939" s="1">
        <v>14</v>
      </c>
      <c r="B939" s="1">
        <v>11.2</v>
      </c>
    </row>
    <row r="940" spans="1:2" x14ac:dyDescent="0.25">
      <c r="A940" s="1">
        <v>14</v>
      </c>
      <c r="B940" s="1">
        <v>6</v>
      </c>
    </row>
    <row r="941" spans="1:2" x14ac:dyDescent="0.25">
      <c r="A941" s="1">
        <v>14</v>
      </c>
      <c r="B941" s="1">
        <v>8.8000000000000007</v>
      </c>
    </row>
    <row r="942" spans="1:2" x14ac:dyDescent="0.25">
      <c r="A942" s="1">
        <v>4.8</v>
      </c>
      <c r="B942" s="1">
        <v>36</v>
      </c>
    </row>
    <row r="943" spans="1:2" x14ac:dyDescent="0.25">
      <c r="A943" s="1">
        <v>14</v>
      </c>
      <c r="B943" s="1">
        <v>19.600000000000001</v>
      </c>
    </row>
    <row r="944" spans="1:2" x14ac:dyDescent="0.25">
      <c r="A944" s="1">
        <v>8</v>
      </c>
      <c r="B944" s="1">
        <v>8.3999999999999986</v>
      </c>
    </row>
    <row r="945" spans="1:2" x14ac:dyDescent="0.25">
      <c r="A945" s="1">
        <v>14</v>
      </c>
      <c r="B945" s="1">
        <v>6</v>
      </c>
    </row>
    <row r="946" spans="1:2" x14ac:dyDescent="0.25">
      <c r="A946" s="1">
        <v>4.8</v>
      </c>
      <c r="B946" s="1">
        <v>8.8000000000000007</v>
      </c>
    </row>
    <row r="947" spans="1:2" x14ac:dyDescent="0.25">
      <c r="A947" s="1">
        <v>14</v>
      </c>
      <c r="B947" s="1">
        <v>36</v>
      </c>
    </row>
    <row r="948" spans="1:2" x14ac:dyDescent="0.25">
      <c r="A948" s="1">
        <v>14</v>
      </c>
      <c r="B948" s="1">
        <v>19.600000000000001</v>
      </c>
    </row>
    <row r="949" spans="1:2" x14ac:dyDescent="0.25">
      <c r="A949" s="1">
        <v>4.8</v>
      </c>
      <c r="B949" s="1">
        <v>14</v>
      </c>
    </row>
    <row r="950" spans="1:2" x14ac:dyDescent="0.25">
      <c r="A950" s="1">
        <v>14</v>
      </c>
      <c r="B950" s="1">
        <v>12</v>
      </c>
    </row>
    <row r="951" spans="1:2" x14ac:dyDescent="0.25">
      <c r="A951" s="1">
        <v>14</v>
      </c>
      <c r="B951" s="1">
        <v>8.8000000000000007</v>
      </c>
    </row>
    <row r="952" spans="1:2" x14ac:dyDescent="0.25">
      <c r="A952" s="1">
        <v>8</v>
      </c>
      <c r="B952" s="1">
        <v>36</v>
      </c>
    </row>
    <row r="953" spans="1:2" x14ac:dyDescent="0.25">
      <c r="A953" s="1">
        <v>4.8</v>
      </c>
      <c r="B953" s="1">
        <v>19.600000000000001</v>
      </c>
    </row>
    <row r="954" spans="1:2" x14ac:dyDescent="0.25">
      <c r="A954" s="1">
        <v>14</v>
      </c>
      <c r="B954" s="1">
        <v>11.2</v>
      </c>
    </row>
    <row r="955" spans="1:2" x14ac:dyDescent="0.25">
      <c r="A955" s="1">
        <v>4.8</v>
      </c>
      <c r="B955" s="1">
        <v>6</v>
      </c>
    </row>
    <row r="956" spans="1:2" x14ac:dyDescent="0.25">
      <c r="A956" s="1">
        <v>14</v>
      </c>
      <c r="B956" s="1">
        <v>8.8000000000000007</v>
      </c>
    </row>
    <row r="957" spans="1:2" x14ac:dyDescent="0.25">
      <c r="A957" s="1">
        <v>14</v>
      </c>
      <c r="B957" s="1">
        <v>36</v>
      </c>
    </row>
    <row r="958" spans="1:2" x14ac:dyDescent="0.25">
      <c r="A958" s="1">
        <v>4.8</v>
      </c>
      <c r="B958" s="1">
        <v>19.600000000000001</v>
      </c>
    </row>
    <row r="959" spans="1:2" x14ac:dyDescent="0.25">
      <c r="A959" s="1">
        <v>14</v>
      </c>
      <c r="B959" s="1">
        <v>14</v>
      </c>
    </row>
    <row r="960" spans="1:2" x14ac:dyDescent="0.25">
      <c r="A960" s="1">
        <v>14</v>
      </c>
      <c r="B960" s="1">
        <v>6</v>
      </c>
    </row>
    <row r="961" spans="1:2" x14ac:dyDescent="0.25">
      <c r="A961" s="1">
        <v>14</v>
      </c>
      <c r="B961" s="1">
        <v>8.8000000000000007</v>
      </c>
    </row>
    <row r="962" spans="1:2" x14ac:dyDescent="0.25">
      <c r="A962" s="1">
        <v>8</v>
      </c>
      <c r="B962" s="1">
        <v>36</v>
      </c>
    </row>
    <row r="963" spans="1:2" x14ac:dyDescent="0.25">
      <c r="A963" s="1">
        <v>14</v>
      </c>
      <c r="B963" s="1">
        <v>19.600000000000001</v>
      </c>
    </row>
    <row r="964" spans="1:2" x14ac:dyDescent="0.25">
      <c r="A964" s="1">
        <v>4.8</v>
      </c>
      <c r="B964" s="1">
        <v>8.3999999999999986</v>
      </c>
    </row>
    <row r="965" spans="1:2" x14ac:dyDescent="0.25">
      <c r="A965" s="1">
        <v>14</v>
      </c>
      <c r="B965" s="1">
        <v>6</v>
      </c>
    </row>
    <row r="966" spans="1:2" x14ac:dyDescent="0.25">
      <c r="A966" s="1">
        <v>9.1999999999999993</v>
      </c>
      <c r="B966" s="1">
        <v>8.8000000000000007</v>
      </c>
    </row>
    <row r="967" spans="1:2" x14ac:dyDescent="0.25">
      <c r="A967" s="1">
        <v>10</v>
      </c>
      <c r="B967" s="1">
        <v>36</v>
      </c>
    </row>
    <row r="968" spans="1:2" x14ac:dyDescent="0.25">
      <c r="A968" s="1">
        <v>8</v>
      </c>
      <c r="B968" s="1">
        <v>19.600000000000001</v>
      </c>
    </row>
    <row r="969" spans="1:2" x14ac:dyDescent="0.25">
      <c r="A969" s="1">
        <v>28</v>
      </c>
      <c r="B969" s="1">
        <v>11.2</v>
      </c>
    </row>
    <row r="970" spans="1:2" x14ac:dyDescent="0.25">
      <c r="A970" s="1">
        <v>4.8</v>
      </c>
      <c r="B970" s="1">
        <v>6</v>
      </c>
    </row>
    <row r="971" spans="1:2" x14ac:dyDescent="0.25">
      <c r="A971" s="1">
        <v>11.2</v>
      </c>
      <c r="B971" s="1">
        <v>8.8000000000000007</v>
      </c>
    </row>
    <row r="972" spans="1:2" x14ac:dyDescent="0.25">
      <c r="A972" s="1">
        <v>35.200000000000003</v>
      </c>
      <c r="B972" s="1">
        <v>36</v>
      </c>
    </row>
    <row r="973" spans="1:2" x14ac:dyDescent="0.25">
      <c r="A973" s="1">
        <v>51.64</v>
      </c>
      <c r="B973" s="1">
        <v>19.600000000000001</v>
      </c>
    </row>
    <row r="974" spans="1:2" x14ac:dyDescent="0.25">
      <c r="A974" s="1">
        <v>75.64</v>
      </c>
      <c r="B974" s="1">
        <v>8.3999999999999986</v>
      </c>
    </row>
    <row r="975" spans="1:2" x14ac:dyDescent="0.25">
      <c r="A975" s="1">
        <v>10</v>
      </c>
      <c r="B975" s="1">
        <v>6</v>
      </c>
    </row>
    <row r="976" spans="1:2" x14ac:dyDescent="0.25">
      <c r="A976" s="1">
        <v>14</v>
      </c>
      <c r="B976" s="1">
        <v>8.8000000000000007</v>
      </c>
    </row>
    <row r="977" spans="1:2" x14ac:dyDescent="0.25">
      <c r="A977" s="1">
        <v>33.200000000000003</v>
      </c>
      <c r="B977" s="1">
        <v>36</v>
      </c>
    </row>
    <row r="978" spans="1:2" x14ac:dyDescent="0.25">
      <c r="A978" s="1">
        <v>20</v>
      </c>
      <c r="B978" s="1">
        <v>19.600000000000001</v>
      </c>
    </row>
    <row r="979" spans="1:2" x14ac:dyDescent="0.25">
      <c r="A979" s="1">
        <v>51.64</v>
      </c>
      <c r="B979" s="1">
        <v>14</v>
      </c>
    </row>
    <row r="980" spans="1:2" x14ac:dyDescent="0.25">
      <c r="A980" s="1">
        <v>51.64</v>
      </c>
      <c r="B980" s="1">
        <v>6</v>
      </c>
    </row>
    <row r="981" spans="1:2" x14ac:dyDescent="0.25">
      <c r="A981" s="1">
        <v>12</v>
      </c>
      <c r="B981" s="1">
        <v>8.8000000000000007</v>
      </c>
    </row>
    <row r="982" spans="1:2" x14ac:dyDescent="0.25">
      <c r="A982" s="1">
        <v>59.64</v>
      </c>
      <c r="B982" s="1">
        <v>36</v>
      </c>
    </row>
    <row r="983" spans="1:2" x14ac:dyDescent="0.25">
      <c r="A983" s="1">
        <v>9.6</v>
      </c>
      <c r="B983" s="1">
        <v>19.600000000000001</v>
      </c>
    </row>
    <row r="984" spans="1:2" x14ac:dyDescent="0.25">
      <c r="A984" s="1">
        <v>6</v>
      </c>
      <c r="B984" s="1">
        <v>11.2</v>
      </c>
    </row>
    <row r="985" spans="1:2" x14ac:dyDescent="0.25">
      <c r="A985" s="1">
        <v>8</v>
      </c>
      <c r="B985" s="1">
        <v>6</v>
      </c>
    </row>
    <row r="986" spans="1:2" x14ac:dyDescent="0.25">
      <c r="A986" s="1">
        <v>13.6</v>
      </c>
      <c r="B986" s="1">
        <v>8.8000000000000007</v>
      </c>
    </row>
    <row r="987" spans="1:2" x14ac:dyDescent="0.25">
      <c r="A987" s="1">
        <v>75.64</v>
      </c>
      <c r="B987" s="1">
        <v>36</v>
      </c>
    </row>
    <row r="988" spans="1:2" x14ac:dyDescent="0.25">
      <c r="A988" s="1">
        <v>10</v>
      </c>
      <c r="B988" s="1">
        <v>19.600000000000001</v>
      </c>
    </row>
    <row r="989" spans="1:2" x14ac:dyDescent="0.25">
      <c r="A989" s="1">
        <v>5.2</v>
      </c>
      <c r="B989" s="1">
        <v>8.3999999999999986</v>
      </c>
    </row>
    <row r="990" spans="1:2" x14ac:dyDescent="0.25">
      <c r="A990" s="1">
        <v>16</v>
      </c>
      <c r="B990" s="1">
        <v>6</v>
      </c>
    </row>
    <row r="991" spans="1:2" x14ac:dyDescent="0.25">
      <c r="A991" s="1">
        <v>8</v>
      </c>
      <c r="B991" s="1">
        <v>8.8000000000000007</v>
      </c>
    </row>
    <row r="992" spans="1:2" x14ac:dyDescent="0.25">
      <c r="A992" s="1">
        <v>59.64</v>
      </c>
      <c r="B992" s="1">
        <v>36</v>
      </c>
    </row>
    <row r="993" spans="1:2" x14ac:dyDescent="0.25">
      <c r="A993" s="1">
        <v>43.64</v>
      </c>
      <c r="B993" s="1">
        <v>19.600000000000001</v>
      </c>
    </row>
    <row r="994" spans="1:2" x14ac:dyDescent="0.25">
      <c r="A994" s="1">
        <v>14</v>
      </c>
      <c r="B994" s="1">
        <v>14</v>
      </c>
    </row>
    <row r="995" spans="1:2" x14ac:dyDescent="0.25">
      <c r="A995" s="1">
        <v>20</v>
      </c>
      <c r="B995" s="1">
        <v>6</v>
      </c>
    </row>
    <row r="996" spans="1:2" x14ac:dyDescent="0.25">
      <c r="A996" s="1">
        <v>33.200000000000003</v>
      </c>
      <c r="B996" s="1">
        <v>8.8000000000000007</v>
      </c>
    </row>
    <row r="997" spans="1:2" x14ac:dyDescent="0.25">
      <c r="A997" s="1">
        <v>9.6</v>
      </c>
      <c r="B997" s="1">
        <v>36</v>
      </c>
    </row>
    <row r="998" spans="1:2" x14ac:dyDescent="0.25">
      <c r="A998" s="1">
        <v>26</v>
      </c>
      <c r="B998" s="1">
        <v>19.600000000000001</v>
      </c>
    </row>
    <row r="999" spans="1:2" x14ac:dyDescent="0.25">
      <c r="A999" s="1">
        <v>8</v>
      </c>
      <c r="B999" s="1">
        <v>11.2</v>
      </c>
    </row>
    <row r="1000" spans="1:2" x14ac:dyDescent="0.25">
      <c r="A1000" s="1">
        <v>5.5200000000000005</v>
      </c>
      <c r="B1000" s="1">
        <v>6</v>
      </c>
    </row>
    <row r="1001" spans="1:2" x14ac:dyDescent="0.25">
      <c r="A1001" s="1">
        <v>8</v>
      </c>
      <c r="B1001" s="1">
        <v>8.8000000000000007</v>
      </c>
    </row>
    <row r="1002" spans="1:2" x14ac:dyDescent="0.25">
      <c r="A1002" s="1">
        <v>51.64</v>
      </c>
      <c r="B1002" s="1">
        <v>36</v>
      </c>
    </row>
    <row r="1003" spans="1:2" x14ac:dyDescent="0.25">
      <c r="A1003" s="1">
        <v>51.64</v>
      </c>
      <c r="B1003" s="1">
        <v>19.600000000000001</v>
      </c>
    </row>
    <row r="1004" spans="1:2" x14ac:dyDescent="0.25">
      <c r="A1004" s="1">
        <v>16</v>
      </c>
      <c r="B1004" s="1">
        <v>14</v>
      </c>
    </row>
    <row r="1005" spans="1:2" x14ac:dyDescent="0.25">
      <c r="A1005" s="1">
        <v>14</v>
      </c>
      <c r="B1005" s="1">
        <v>6</v>
      </c>
    </row>
    <row r="1006" spans="1:2" x14ac:dyDescent="0.25">
      <c r="A1006" s="1">
        <v>9.1999999999999993</v>
      </c>
      <c r="B1006" s="1">
        <v>8.8000000000000007</v>
      </c>
    </row>
    <row r="1007" spans="1:2" x14ac:dyDescent="0.25">
      <c r="A1007" s="1">
        <v>20</v>
      </c>
      <c r="B1007" s="1">
        <v>36</v>
      </c>
    </row>
    <row r="1008" spans="1:2" x14ac:dyDescent="0.25">
      <c r="A1008" s="1">
        <v>38</v>
      </c>
      <c r="B1008" s="1">
        <v>19.600000000000001</v>
      </c>
    </row>
    <row r="1009" spans="1:2" x14ac:dyDescent="0.25">
      <c r="A1009" s="1">
        <v>9.1999999999999993</v>
      </c>
      <c r="B1009" s="1">
        <v>11.2</v>
      </c>
    </row>
    <row r="1010" spans="1:2" x14ac:dyDescent="0.25">
      <c r="A1010" s="1">
        <v>7.2</v>
      </c>
      <c r="B1010" s="1">
        <v>6</v>
      </c>
    </row>
    <row r="1011" spans="1:2" x14ac:dyDescent="0.25">
      <c r="A1011" s="1">
        <v>8</v>
      </c>
      <c r="B1011" s="1">
        <v>8.8000000000000007</v>
      </c>
    </row>
    <row r="1012" spans="1:2" x14ac:dyDescent="0.25">
      <c r="A1012" s="1">
        <v>40</v>
      </c>
      <c r="B1012" s="1">
        <v>36</v>
      </c>
    </row>
    <row r="1013" spans="1:2" x14ac:dyDescent="0.25">
      <c r="A1013" s="1">
        <v>10</v>
      </c>
      <c r="B1013" s="1">
        <v>19.600000000000001</v>
      </c>
    </row>
    <row r="1014" spans="1:2" x14ac:dyDescent="0.25">
      <c r="A1014" s="1">
        <v>8</v>
      </c>
      <c r="B1014" s="1">
        <v>14</v>
      </c>
    </row>
    <row r="1015" spans="1:2" x14ac:dyDescent="0.25">
      <c r="A1015" s="1">
        <v>14</v>
      </c>
      <c r="B1015" s="1">
        <v>6</v>
      </c>
    </row>
    <row r="1016" spans="1:2" x14ac:dyDescent="0.25">
      <c r="A1016" s="1">
        <v>9.6</v>
      </c>
      <c r="B1016" s="1">
        <v>8.8000000000000007</v>
      </c>
    </row>
    <row r="1017" spans="1:2" x14ac:dyDescent="0.25">
      <c r="A1017" s="1">
        <v>9.1999999999999993</v>
      </c>
      <c r="B1017" s="1">
        <v>36</v>
      </c>
    </row>
    <row r="1018" spans="1:2" x14ac:dyDescent="0.25">
      <c r="A1018" s="1">
        <v>8</v>
      </c>
      <c r="B1018" s="1">
        <v>19.600000000000001</v>
      </c>
    </row>
    <row r="1019" spans="1:2" x14ac:dyDescent="0.25">
      <c r="A1019" s="1">
        <v>4.8</v>
      </c>
      <c r="B1019" s="1">
        <v>11.2</v>
      </c>
    </row>
    <row r="1020" spans="1:2" x14ac:dyDescent="0.25">
      <c r="A1020" s="1">
        <v>40</v>
      </c>
      <c r="B1020" s="1">
        <v>6</v>
      </c>
    </row>
    <row r="1021" spans="1:2" x14ac:dyDescent="0.25">
      <c r="A1021" s="1">
        <v>14</v>
      </c>
      <c r="B1021" s="1">
        <v>8.8000000000000007</v>
      </c>
    </row>
    <row r="1022" spans="1:2" x14ac:dyDescent="0.25">
      <c r="A1022" s="1">
        <v>13.6</v>
      </c>
      <c r="B1022" s="1">
        <v>36</v>
      </c>
    </row>
    <row r="1023" spans="1:2" x14ac:dyDescent="0.25">
      <c r="A1023" s="1">
        <v>5.5200000000000005</v>
      </c>
      <c r="B1023" s="1">
        <v>19.600000000000001</v>
      </c>
    </row>
    <row r="1024" spans="1:2" x14ac:dyDescent="0.25">
      <c r="A1024" s="1">
        <v>33.200000000000003</v>
      </c>
      <c r="B1024" s="1">
        <v>11.2</v>
      </c>
    </row>
    <row r="1025" spans="1:2" x14ac:dyDescent="0.25">
      <c r="A1025" s="1">
        <v>16</v>
      </c>
      <c r="B1025" s="1">
        <v>6</v>
      </c>
    </row>
    <row r="1026" spans="1:2" x14ac:dyDescent="0.25">
      <c r="A1026" s="1">
        <v>11.2</v>
      </c>
      <c r="B1026" s="1">
        <v>8.8000000000000007</v>
      </c>
    </row>
    <row r="1027" spans="1:2" x14ac:dyDescent="0.25">
      <c r="A1027" s="1">
        <v>9.6</v>
      </c>
      <c r="B1027" s="1">
        <v>36</v>
      </c>
    </row>
    <row r="1028" spans="1:2" x14ac:dyDescent="0.25">
      <c r="A1028" s="1">
        <v>51.64</v>
      </c>
      <c r="B1028" s="1">
        <v>19.600000000000001</v>
      </c>
    </row>
    <row r="1029" spans="1:2" x14ac:dyDescent="0.25">
      <c r="A1029" s="1">
        <v>51.64</v>
      </c>
      <c r="B1029" s="1">
        <v>6</v>
      </c>
    </row>
    <row r="1030" spans="1:2" x14ac:dyDescent="0.25">
      <c r="A1030" s="1">
        <v>10</v>
      </c>
      <c r="B1030" s="1">
        <v>8.8000000000000007</v>
      </c>
    </row>
    <row r="1031" spans="1:2" x14ac:dyDescent="0.25">
      <c r="A1031" s="1">
        <v>4.8</v>
      </c>
      <c r="B1031" s="1">
        <v>36</v>
      </c>
    </row>
    <row r="1032" spans="1:2" x14ac:dyDescent="0.25">
      <c r="A1032" s="1">
        <v>14</v>
      </c>
      <c r="B1032" s="1">
        <v>19.600000000000001</v>
      </c>
    </row>
    <row r="1033" spans="1:2" x14ac:dyDescent="0.25">
      <c r="A1033" s="1">
        <v>51.64</v>
      </c>
      <c r="B1033" s="1">
        <v>11.2</v>
      </c>
    </row>
    <row r="1034" spans="1:2" x14ac:dyDescent="0.25">
      <c r="A1034" s="1">
        <v>13.6</v>
      </c>
      <c r="B1034" s="1">
        <v>6</v>
      </c>
    </row>
    <row r="1035" spans="1:2" x14ac:dyDescent="0.25">
      <c r="A1035" s="1">
        <v>59.64</v>
      </c>
      <c r="B1035" s="1">
        <v>8.8000000000000007</v>
      </c>
    </row>
    <row r="1036" spans="1:2" x14ac:dyDescent="0.25">
      <c r="A1036" s="1">
        <v>9.1999999999999993</v>
      </c>
      <c r="B1036" s="1">
        <v>36</v>
      </c>
    </row>
    <row r="1037" spans="1:2" x14ac:dyDescent="0.25">
      <c r="A1037" s="1">
        <v>28</v>
      </c>
      <c r="B1037" s="1">
        <v>11.2</v>
      </c>
    </row>
    <row r="1038" spans="1:2" x14ac:dyDescent="0.25">
      <c r="A1038" s="1">
        <v>10</v>
      </c>
      <c r="B1038" s="1">
        <v>6</v>
      </c>
    </row>
    <row r="1039" spans="1:2" x14ac:dyDescent="0.25">
      <c r="A1039" s="1">
        <v>5.2</v>
      </c>
      <c r="B1039" s="1">
        <v>8.8000000000000007</v>
      </c>
    </row>
    <row r="1040" spans="1:2" x14ac:dyDescent="0.25">
      <c r="A1040" s="1">
        <v>75.64</v>
      </c>
      <c r="B1040" s="1">
        <v>36</v>
      </c>
    </row>
    <row r="1041" spans="1:2" x14ac:dyDescent="0.25">
      <c r="A1041" s="1">
        <v>14</v>
      </c>
      <c r="B1041" s="1">
        <v>19.600000000000001</v>
      </c>
    </row>
    <row r="1042" spans="1:2" x14ac:dyDescent="0.25">
      <c r="A1042" s="1">
        <v>12</v>
      </c>
      <c r="B1042" s="1">
        <v>8.3999999999999986</v>
      </c>
    </row>
    <row r="1043" spans="1:2" x14ac:dyDescent="0.25">
      <c r="A1043" s="1">
        <v>38</v>
      </c>
      <c r="B1043" s="1">
        <v>6</v>
      </c>
    </row>
    <row r="1044" spans="1:2" x14ac:dyDescent="0.25">
      <c r="A1044" s="1">
        <v>8</v>
      </c>
      <c r="B1044" s="1">
        <v>12</v>
      </c>
    </row>
    <row r="1045" spans="1:2" x14ac:dyDescent="0.25">
      <c r="A1045" s="1">
        <v>3.68</v>
      </c>
      <c r="B1045" s="1">
        <v>8</v>
      </c>
    </row>
    <row r="1046" spans="1:2" x14ac:dyDescent="0.25">
      <c r="A1046" s="1">
        <v>51.64</v>
      </c>
      <c r="B1046" s="1">
        <v>14</v>
      </c>
    </row>
    <row r="1047" spans="1:2" x14ac:dyDescent="0.25">
      <c r="A1047" s="1">
        <v>11.2</v>
      </c>
      <c r="B1047" s="1">
        <v>6</v>
      </c>
    </row>
    <row r="1048" spans="1:2" x14ac:dyDescent="0.25">
      <c r="A1048" s="1">
        <v>9.1999999999999993</v>
      </c>
      <c r="B1048" s="1">
        <v>8.8000000000000007</v>
      </c>
    </row>
    <row r="1049" spans="1:2" x14ac:dyDescent="0.25">
      <c r="A1049" s="1">
        <v>10</v>
      </c>
      <c r="B1049" s="1">
        <v>36</v>
      </c>
    </row>
    <row r="1050" spans="1:2" x14ac:dyDescent="0.25">
      <c r="A1050" s="1">
        <v>6</v>
      </c>
      <c r="B1050" s="1">
        <v>19.600000000000001</v>
      </c>
    </row>
    <row r="1051" spans="1:2" x14ac:dyDescent="0.25">
      <c r="A1051" s="1">
        <v>14</v>
      </c>
      <c r="B1051" s="1">
        <v>8.3999999999999986</v>
      </c>
    </row>
    <row r="1052" spans="1:2" x14ac:dyDescent="0.25">
      <c r="A1052" s="1">
        <v>75.64</v>
      </c>
      <c r="B1052" s="1">
        <v>6</v>
      </c>
    </row>
    <row r="1053" spans="1:2" x14ac:dyDescent="0.25">
      <c r="A1053" s="1">
        <v>59.64</v>
      </c>
      <c r="B1053" s="1">
        <v>8.8000000000000007</v>
      </c>
    </row>
    <row r="1054" spans="1:2" x14ac:dyDescent="0.25">
      <c r="A1054" s="1">
        <v>12</v>
      </c>
      <c r="B1054" s="1">
        <v>36</v>
      </c>
    </row>
    <row r="1055" spans="1:2" x14ac:dyDescent="0.25">
      <c r="A1055" s="1">
        <v>7.36</v>
      </c>
      <c r="B1055" s="1">
        <v>19.600000000000001</v>
      </c>
    </row>
    <row r="1056" spans="1:2" x14ac:dyDescent="0.25">
      <c r="A1056" s="1">
        <v>20</v>
      </c>
      <c r="B1056" s="1">
        <v>11.2</v>
      </c>
    </row>
    <row r="1057" spans="1:2" x14ac:dyDescent="0.25">
      <c r="A1057" s="1">
        <v>51.64</v>
      </c>
      <c r="B1057" s="1">
        <v>6</v>
      </c>
    </row>
    <row r="1058" spans="1:2" x14ac:dyDescent="0.25">
      <c r="A1058" s="1">
        <v>14</v>
      </c>
      <c r="B1058" s="1">
        <v>8.8000000000000007</v>
      </c>
    </row>
    <row r="1059" spans="1:2" x14ac:dyDescent="0.25">
      <c r="A1059" s="1">
        <v>38</v>
      </c>
      <c r="B1059" s="1">
        <v>36</v>
      </c>
    </row>
    <row r="1060" spans="1:2" x14ac:dyDescent="0.25">
      <c r="A1060" s="1">
        <v>8</v>
      </c>
      <c r="B1060" s="1">
        <v>19.600000000000001</v>
      </c>
    </row>
    <row r="1061" spans="1:2" x14ac:dyDescent="0.25">
      <c r="A1061" s="1">
        <v>11.2</v>
      </c>
      <c r="B1061" s="1">
        <v>14</v>
      </c>
    </row>
    <row r="1062" spans="1:2" x14ac:dyDescent="0.25">
      <c r="A1062" s="1">
        <v>6</v>
      </c>
      <c r="B1062" s="1">
        <v>6</v>
      </c>
    </row>
    <row r="1063" spans="1:2" x14ac:dyDescent="0.25">
      <c r="A1063" s="1">
        <v>51.64</v>
      </c>
      <c r="B1063" s="1">
        <v>8.8000000000000007</v>
      </c>
    </row>
    <row r="1064" spans="1:2" x14ac:dyDescent="0.25">
      <c r="A1064" s="1">
        <v>14</v>
      </c>
      <c r="B1064" s="1">
        <v>36</v>
      </c>
    </row>
    <row r="1065" spans="1:2" x14ac:dyDescent="0.25">
      <c r="A1065" s="1">
        <v>9.6</v>
      </c>
      <c r="B1065" s="1">
        <v>19.600000000000001</v>
      </c>
    </row>
    <row r="1066" spans="1:2" x14ac:dyDescent="0.25">
      <c r="A1066" s="1">
        <v>9.1999999999999993</v>
      </c>
      <c r="B1066" s="1">
        <v>8.3999999999999986</v>
      </c>
    </row>
    <row r="1067" spans="1:2" x14ac:dyDescent="0.25">
      <c r="A1067" s="1">
        <v>8</v>
      </c>
      <c r="B1067" s="1">
        <v>6</v>
      </c>
    </row>
    <row r="1068" spans="1:2" x14ac:dyDescent="0.25">
      <c r="A1068" s="1">
        <v>4.8</v>
      </c>
      <c r="B1068" s="1">
        <v>8.8000000000000007</v>
      </c>
    </row>
    <row r="1069" spans="1:2" x14ac:dyDescent="0.25">
      <c r="A1069" s="1">
        <v>5.5200000000000005</v>
      </c>
      <c r="B1069" s="1">
        <v>36</v>
      </c>
    </row>
    <row r="1070" spans="1:2" x14ac:dyDescent="0.25">
      <c r="A1070" s="1">
        <v>40</v>
      </c>
      <c r="B1070" s="1">
        <v>19.600000000000001</v>
      </c>
    </row>
    <row r="1071" spans="1:2" x14ac:dyDescent="0.25">
      <c r="A1071" s="1">
        <v>14</v>
      </c>
      <c r="B1071" s="1">
        <v>11.2</v>
      </c>
    </row>
    <row r="1072" spans="1:2" x14ac:dyDescent="0.25">
      <c r="A1072" s="1">
        <v>13.6</v>
      </c>
      <c r="B1072" s="1">
        <v>6</v>
      </c>
    </row>
    <row r="1073" spans="1:2" x14ac:dyDescent="0.25">
      <c r="A1073" s="1">
        <v>3.68</v>
      </c>
      <c r="B1073" s="1">
        <v>8.8000000000000007</v>
      </c>
    </row>
    <row r="1074" spans="1:2" x14ac:dyDescent="0.25">
      <c r="A1074" s="1">
        <v>51.64</v>
      </c>
      <c r="B1074" s="1">
        <v>36</v>
      </c>
    </row>
    <row r="1075" spans="1:2" x14ac:dyDescent="0.25">
      <c r="A1075" s="1">
        <v>38</v>
      </c>
      <c r="B1075" s="1">
        <v>19.600000000000001</v>
      </c>
    </row>
    <row r="1076" spans="1:2" x14ac:dyDescent="0.25">
      <c r="A1076" s="1">
        <v>10</v>
      </c>
      <c r="B1076" s="1">
        <v>8.3999999999999986</v>
      </c>
    </row>
    <row r="1077" spans="1:2" x14ac:dyDescent="0.25">
      <c r="A1077" s="1">
        <v>75.64</v>
      </c>
      <c r="B1077" s="1">
        <v>6</v>
      </c>
    </row>
    <row r="1078" spans="1:2" x14ac:dyDescent="0.25">
      <c r="A1078" s="1">
        <v>14</v>
      </c>
      <c r="B1078" s="1">
        <v>8.8000000000000007</v>
      </c>
    </row>
    <row r="1079" spans="1:2" x14ac:dyDescent="0.25">
      <c r="A1079" s="1">
        <v>12</v>
      </c>
      <c r="B1079" s="1">
        <v>36</v>
      </c>
    </row>
    <row r="1080" spans="1:2" x14ac:dyDescent="0.25">
      <c r="A1080" s="1">
        <v>9.1999999999999993</v>
      </c>
      <c r="B1080" s="1">
        <v>19.600000000000001</v>
      </c>
    </row>
    <row r="1081" spans="1:2" x14ac:dyDescent="0.25">
      <c r="A1081" s="1">
        <v>7.2</v>
      </c>
      <c r="B1081" s="1">
        <v>11.2</v>
      </c>
    </row>
    <row r="1082" spans="1:2" x14ac:dyDescent="0.25">
      <c r="A1082" s="1">
        <v>8</v>
      </c>
      <c r="B1082" s="1">
        <v>6</v>
      </c>
    </row>
    <row r="1083" spans="1:2" x14ac:dyDescent="0.25">
      <c r="A1083" s="1">
        <v>40</v>
      </c>
      <c r="B1083" s="1">
        <v>8.8000000000000007</v>
      </c>
    </row>
    <row r="1084" spans="1:2" x14ac:dyDescent="0.25">
      <c r="A1084" s="1">
        <v>10</v>
      </c>
      <c r="B1084" s="1">
        <v>36</v>
      </c>
    </row>
    <row r="1085" spans="1:2" x14ac:dyDescent="0.25">
      <c r="A1085" s="1">
        <v>6</v>
      </c>
      <c r="B1085" s="1">
        <v>19.600000000000001</v>
      </c>
    </row>
    <row r="1086" spans="1:2" x14ac:dyDescent="0.25">
      <c r="A1086" s="1">
        <v>28</v>
      </c>
      <c r="B1086" s="1">
        <v>8.3999999999999986</v>
      </c>
    </row>
    <row r="1087" spans="1:2" x14ac:dyDescent="0.25">
      <c r="A1087" s="1">
        <v>4.8</v>
      </c>
      <c r="B1087" s="1">
        <v>6</v>
      </c>
    </row>
    <row r="1088" spans="1:2" x14ac:dyDescent="0.25">
      <c r="A1088" s="1">
        <v>10</v>
      </c>
      <c r="B1088" s="1">
        <v>8.8000000000000007</v>
      </c>
    </row>
    <row r="1089" spans="1:2" x14ac:dyDescent="0.25">
      <c r="A1089" s="1">
        <v>75.64</v>
      </c>
      <c r="B1089" s="1">
        <v>36</v>
      </c>
    </row>
    <row r="1090" spans="1:2" x14ac:dyDescent="0.25">
      <c r="A1090" s="1">
        <v>8</v>
      </c>
      <c r="B1090" s="1">
        <v>19.600000000000001</v>
      </c>
    </row>
    <row r="1091" spans="1:2" x14ac:dyDescent="0.25">
      <c r="A1091" s="1">
        <v>5.5200000000000005</v>
      </c>
      <c r="B1091" s="1">
        <v>14</v>
      </c>
    </row>
    <row r="1092" spans="1:2" x14ac:dyDescent="0.25">
      <c r="A1092" s="1">
        <v>14</v>
      </c>
      <c r="B1092" s="1">
        <v>6</v>
      </c>
    </row>
    <row r="1093" spans="1:2" x14ac:dyDescent="0.25">
      <c r="A1093" s="1">
        <v>40</v>
      </c>
      <c r="B1093" s="1">
        <v>8.8000000000000007</v>
      </c>
    </row>
    <row r="1094" spans="1:2" x14ac:dyDescent="0.25">
      <c r="A1094" s="1">
        <v>12</v>
      </c>
      <c r="B1094" s="1">
        <v>36</v>
      </c>
    </row>
    <row r="1095" spans="1:2" x14ac:dyDescent="0.25">
      <c r="A1095" s="1">
        <v>51.64</v>
      </c>
      <c r="B1095" s="1">
        <v>19.600000000000001</v>
      </c>
    </row>
    <row r="1096" spans="1:2" x14ac:dyDescent="0.25">
      <c r="A1096" s="1">
        <v>38</v>
      </c>
      <c r="B1096" s="1">
        <v>8.3999999999999986</v>
      </c>
    </row>
    <row r="1097" spans="1:2" x14ac:dyDescent="0.25">
      <c r="A1097" s="1">
        <v>10</v>
      </c>
      <c r="B1097" s="1">
        <v>6</v>
      </c>
    </row>
    <row r="1098" spans="1:2" x14ac:dyDescent="0.25">
      <c r="A1098" s="1">
        <v>8</v>
      </c>
      <c r="B1098" s="1">
        <v>8.8000000000000007</v>
      </c>
    </row>
    <row r="1099" spans="1:2" x14ac:dyDescent="0.25">
      <c r="A1099" s="1">
        <v>14</v>
      </c>
      <c r="B1099" s="1">
        <v>36</v>
      </c>
    </row>
    <row r="1100" spans="1:2" x14ac:dyDescent="0.25">
      <c r="A1100" s="1">
        <v>7.2</v>
      </c>
      <c r="B1100" s="1">
        <v>19.600000000000001</v>
      </c>
    </row>
    <row r="1101" spans="1:2" x14ac:dyDescent="0.25">
      <c r="A1101" s="1">
        <v>75.64</v>
      </c>
      <c r="B1101" s="1">
        <v>11.2</v>
      </c>
    </row>
    <row r="1102" spans="1:2" x14ac:dyDescent="0.25">
      <c r="A1102" s="1">
        <v>14</v>
      </c>
      <c r="B1102" s="1">
        <v>6</v>
      </c>
    </row>
    <row r="1103" spans="1:2" x14ac:dyDescent="0.25">
      <c r="A1103" s="1">
        <v>9.1999999999999993</v>
      </c>
      <c r="B1103" s="1">
        <v>8.8000000000000007</v>
      </c>
    </row>
    <row r="1104" spans="1:2" x14ac:dyDescent="0.25">
      <c r="A1104" s="1">
        <v>40</v>
      </c>
      <c r="B1104" s="1">
        <v>36</v>
      </c>
    </row>
    <row r="1105" spans="1:2" x14ac:dyDescent="0.25">
      <c r="A1105" s="1">
        <v>10</v>
      </c>
      <c r="B1105" s="1">
        <v>19.600000000000001</v>
      </c>
    </row>
    <row r="1106" spans="1:2" x14ac:dyDescent="0.25">
      <c r="A1106" s="1">
        <v>3.68</v>
      </c>
      <c r="B1106" s="1">
        <v>8.3999999999999986</v>
      </c>
    </row>
    <row r="1107" spans="1:2" x14ac:dyDescent="0.25">
      <c r="A1107" s="1">
        <v>12</v>
      </c>
      <c r="B1107" s="1">
        <v>6</v>
      </c>
    </row>
    <row r="1108" spans="1:2" x14ac:dyDescent="0.25">
      <c r="A1108" s="1">
        <v>14</v>
      </c>
      <c r="B1108" s="1">
        <v>8.8000000000000007</v>
      </c>
    </row>
    <row r="1109" spans="1:2" x14ac:dyDescent="0.25">
      <c r="A1109" s="1">
        <v>6</v>
      </c>
      <c r="B1109" s="1">
        <v>36</v>
      </c>
    </row>
    <row r="1110" spans="1:2" x14ac:dyDescent="0.25">
      <c r="A1110" s="1">
        <v>38</v>
      </c>
      <c r="B1110" s="1">
        <v>19.600000000000001</v>
      </c>
    </row>
    <row r="1111" spans="1:2" x14ac:dyDescent="0.25">
      <c r="A1111" s="1">
        <v>20</v>
      </c>
      <c r="B1111" s="1">
        <v>11.2</v>
      </c>
    </row>
    <row r="1112" spans="1:2" x14ac:dyDescent="0.25">
      <c r="A1112" s="1">
        <v>4.8</v>
      </c>
      <c r="B1112" s="1">
        <v>6</v>
      </c>
    </row>
    <row r="1113" spans="1:2" x14ac:dyDescent="0.25">
      <c r="A1113" s="1">
        <v>8</v>
      </c>
      <c r="B1113" s="1">
        <v>8.8000000000000007</v>
      </c>
    </row>
    <row r="1114" spans="1:2" x14ac:dyDescent="0.25">
      <c r="A1114" s="1">
        <v>14</v>
      </c>
      <c r="B1114" s="1">
        <v>36</v>
      </c>
    </row>
    <row r="1115" spans="1:2" x14ac:dyDescent="0.25">
      <c r="A1115" s="1">
        <v>9.6</v>
      </c>
      <c r="B1115" s="1">
        <v>19.600000000000001</v>
      </c>
    </row>
    <row r="1116" spans="1:2" x14ac:dyDescent="0.25">
      <c r="A1116" s="1">
        <v>9.1999999999999993</v>
      </c>
      <c r="B1116" s="1">
        <v>8.3999999999999986</v>
      </c>
    </row>
    <row r="1117" spans="1:2" x14ac:dyDescent="0.25">
      <c r="A1117" s="1">
        <v>8</v>
      </c>
      <c r="B1117" s="1">
        <v>6</v>
      </c>
    </row>
    <row r="1118" spans="1:2" x14ac:dyDescent="0.25">
      <c r="A1118" s="1">
        <v>4.8</v>
      </c>
      <c r="B1118" s="1">
        <v>8.8000000000000007</v>
      </c>
    </row>
    <row r="1119" spans="1:2" x14ac:dyDescent="0.25">
      <c r="A1119" s="1">
        <v>3.68</v>
      </c>
      <c r="B1119" s="1">
        <v>36</v>
      </c>
    </row>
    <row r="1120" spans="1:2" x14ac:dyDescent="0.25">
      <c r="A1120" s="1">
        <v>40</v>
      </c>
      <c r="B1120" s="1">
        <v>19.600000000000001</v>
      </c>
    </row>
    <row r="1121" spans="1:2" x14ac:dyDescent="0.25">
      <c r="A1121" s="1">
        <v>14</v>
      </c>
      <c r="B1121" s="1">
        <v>8.3999999999999986</v>
      </c>
    </row>
    <row r="1122" spans="1:2" x14ac:dyDescent="0.25">
      <c r="A1122" s="1">
        <v>13.6</v>
      </c>
      <c r="B1122" s="1">
        <v>6</v>
      </c>
    </row>
    <row r="1123" spans="1:2" x14ac:dyDescent="0.25">
      <c r="A1123" s="1">
        <v>14</v>
      </c>
      <c r="B1123" s="1">
        <v>8.8000000000000007</v>
      </c>
    </row>
    <row r="1124" spans="1:2" x14ac:dyDescent="0.25">
      <c r="A1124" s="1">
        <v>51.64</v>
      </c>
      <c r="B1124" s="1">
        <v>36</v>
      </c>
    </row>
    <row r="1125" spans="1:2" x14ac:dyDescent="0.25">
      <c r="A1125" s="1">
        <v>8</v>
      </c>
      <c r="B1125" s="1">
        <v>19.600000000000001</v>
      </c>
    </row>
    <row r="1126" spans="1:2" x14ac:dyDescent="0.25">
      <c r="A1126" s="1">
        <v>38</v>
      </c>
      <c r="B1126" s="1">
        <v>11.2</v>
      </c>
    </row>
    <row r="1127" spans="1:2" x14ac:dyDescent="0.25">
      <c r="A1127" s="1">
        <v>10</v>
      </c>
      <c r="B1127" s="1">
        <v>6</v>
      </c>
    </row>
    <row r="1128" spans="1:2" x14ac:dyDescent="0.25">
      <c r="A1128" s="1">
        <v>75.64</v>
      </c>
      <c r="B1128" s="1">
        <v>8.8000000000000007</v>
      </c>
    </row>
    <row r="1129" spans="1:2" x14ac:dyDescent="0.25">
      <c r="A1129" s="1">
        <v>14</v>
      </c>
      <c r="B1129" s="1">
        <v>36</v>
      </c>
    </row>
    <row r="1130" spans="1:2" x14ac:dyDescent="0.25">
      <c r="A1130" s="1">
        <v>12</v>
      </c>
      <c r="B1130" s="1">
        <v>19.600000000000001</v>
      </c>
    </row>
    <row r="1131" spans="1:2" x14ac:dyDescent="0.25">
      <c r="A1131" s="1">
        <v>9.1999999999999993</v>
      </c>
      <c r="B1131" s="1">
        <v>8.3999999999999986</v>
      </c>
    </row>
    <row r="1132" spans="1:2" x14ac:dyDescent="0.25">
      <c r="A1132" s="1">
        <v>7.2</v>
      </c>
      <c r="B1132" s="1">
        <v>6</v>
      </c>
    </row>
    <row r="1133" spans="1:2" x14ac:dyDescent="0.25">
      <c r="A1133" s="1">
        <v>8</v>
      </c>
      <c r="B1133" s="1">
        <v>8.8000000000000007</v>
      </c>
    </row>
    <row r="1134" spans="1:2" x14ac:dyDescent="0.25">
      <c r="A1134" s="1">
        <v>14</v>
      </c>
      <c r="B1134" s="1">
        <v>36</v>
      </c>
    </row>
    <row r="1135" spans="1:2" x14ac:dyDescent="0.25">
      <c r="A1135" s="1">
        <v>20</v>
      </c>
      <c r="B1135" s="1">
        <v>19.600000000000001</v>
      </c>
    </row>
    <row r="1136" spans="1:2" x14ac:dyDescent="0.25">
      <c r="A1136" s="1">
        <v>14</v>
      </c>
      <c r="B1136" s="1">
        <v>11.2</v>
      </c>
    </row>
    <row r="1137" spans="1:2" x14ac:dyDescent="0.25">
      <c r="A1137" s="1">
        <v>20</v>
      </c>
      <c r="B1137" s="1">
        <v>6</v>
      </c>
    </row>
    <row r="1138" spans="1:2" x14ac:dyDescent="0.25">
      <c r="A1138" s="1">
        <v>4.8</v>
      </c>
      <c r="B1138" s="1">
        <v>8.8000000000000007</v>
      </c>
    </row>
    <row r="1139" spans="1:2" x14ac:dyDescent="0.25">
      <c r="A1139" s="1">
        <v>8</v>
      </c>
      <c r="B1139" s="1">
        <v>36</v>
      </c>
    </row>
    <row r="1140" spans="1:2" x14ac:dyDescent="0.25">
      <c r="A1140" s="1">
        <v>40</v>
      </c>
      <c r="B1140" s="1">
        <v>19.600000000000001</v>
      </c>
    </row>
    <row r="1141" spans="1:2" x14ac:dyDescent="0.25">
      <c r="A1141" s="1">
        <v>3.68</v>
      </c>
      <c r="B1141" s="1">
        <v>11.2</v>
      </c>
    </row>
    <row r="1142" spans="1:2" x14ac:dyDescent="0.25">
      <c r="A1142" s="1">
        <v>51.64</v>
      </c>
      <c r="B1142" s="1">
        <v>6</v>
      </c>
    </row>
    <row r="1143" spans="1:2" x14ac:dyDescent="0.25">
      <c r="A1143" s="1">
        <v>6</v>
      </c>
      <c r="B1143" s="1">
        <v>8.8000000000000007</v>
      </c>
    </row>
    <row r="1144" spans="1:2" x14ac:dyDescent="0.25">
      <c r="A1144" s="1">
        <v>10</v>
      </c>
      <c r="B1144" s="1">
        <v>36</v>
      </c>
    </row>
    <row r="1145" spans="1:2" x14ac:dyDescent="0.25">
      <c r="A1145" s="1">
        <v>75.64</v>
      </c>
      <c r="B1145" s="1">
        <v>19.600000000000001</v>
      </c>
    </row>
    <row r="1146" spans="1:2" x14ac:dyDescent="0.25">
      <c r="A1146" s="1">
        <v>8</v>
      </c>
      <c r="B1146" s="1">
        <v>8.3999999999999986</v>
      </c>
    </row>
    <row r="1147" spans="1:2" x14ac:dyDescent="0.25">
      <c r="A1147" s="1">
        <v>8</v>
      </c>
      <c r="B1147" s="1">
        <v>6</v>
      </c>
    </row>
    <row r="1148" spans="1:2" x14ac:dyDescent="0.25">
      <c r="A1148" s="1">
        <v>14</v>
      </c>
      <c r="B1148" s="1">
        <v>8.8000000000000007</v>
      </c>
    </row>
    <row r="1149" spans="1:2" x14ac:dyDescent="0.25">
      <c r="A1149" s="1">
        <v>12</v>
      </c>
      <c r="B1149" s="1">
        <v>36</v>
      </c>
    </row>
    <row r="1150" spans="1:2" x14ac:dyDescent="0.25">
      <c r="A1150" s="1">
        <v>5.5200000000000005</v>
      </c>
      <c r="B1150" s="1">
        <v>19.600000000000001</v>
      </c>
    </row>
    <row r="1151" spans="1:2" x14ac:dyDescent="0.25">
      <c r="A1151" s="1">
        <v>9.6</v>
      </c>
      <c r="B1151" s="1">
        <v>8.3999999999999986</v>
      </c>
    </row>
    <row r="1152" spans="1:2" x14ac:dyDescent="0.25">
      <c r="A1152" s="1">
        <v>14</v>
      </c>
      <c r="B1152" s="1">
        <v>6</v>
      </c>
    </row>
    <row r="1153" spans="1:2" x14ac:dyDescent="0.25">
      <c r="A1153" s="1">
        <v>14</v>
      </c>
      <c r="B1153" s="1">
        <v>8.8000000000000007</v>
      </c>
    </row>
    <row r="1154" spans="1:2" x14ac:dyDescent="0.25">
      <c r="A1154" s="1">
        <v>51.64</v>
      </c>
      <c r="B1154" s="1">
        <v>36</v>
      </c>
    </row>
    <row r="1155" spans="1:2" x14ac:dyDescent="0.25">
      <c r="A1155" s="1">
        <v>8</v>
      </c>
      <c r="B1155" s="1">
        <v>19.600000000000001</v>
      </c>
    </row>
    <row r="1156" spans="1:2" x14ac:dyDescent="0.25">
      <c r="A1156" s="1">
        <v>3.68</v>
      </c>
      <c r="B1156" s="1">
        <v>11.2</v>
      </c>
    </row>
    <row r="1157" spans="1:2" x14ac:dyDescent="0.25">
      <c r="A1157" s="1">
        <v>14</v>
      </c>
      <c r="B1157" s="1">
        <v>6</v>
      </c>
    </row>
    <row r="1158" spans="1:2" x14ac:dyDescent="0.25">
      <c r="A1158" s="1">
        <v>14</v>
      </c>
      <c r="B1158" s="1">
        <v>8.8000000000000007</v>
      </c>
    </row>
    <row r="1159" spans="1:2" x14ac:dyDescent="0.25">
      <c r="A1159" s="1">
        <v>8</v>
      </c>
      <c r="B1159" s="1">
        <v>36</v>
      </c>
    </row>
    <row r="1160" spans="1:2" x14ac:dyDescent="0.25">
      <c r="A1160" s="1">
        <v>7.1999999999999993</v>
      </c>
      <c r="B1160" s="1">
        <v>19.600000000000001</v>
      </c>
    </row>
    <row r="1161" spans="1:2" x14ac:dyDescent="0.25">
      <c r="A1161" s="1">
        <v>3.68</v>
      </c>
      <c r="B1161" s="1">
        <v>11.2</v>
      </c>
    </row>
    <row r="1162" spans="1:2" x14ac:dyDescent="0.25">
      <c r="A1162" s="1">
        <v>51.64</v>
      </c>
      <c r="B1162" s="1">
        <v>6</v>
      </c>
    </row>
    <row r="1163" spans="1:2" x14ac:dyDescent="0.25">
      <c r="A1163" s="1">
        <v>14</v>
      </c>
      <c r="B1163" s="1">
        <v>8.8000000000000007</v>
      </c>
    </row>
    <row r="1164" spans="1:2" x14ac:dyDescent="0.25">
      <c r="A1164" s="1">
        <v>4.8</v>
      </c>
      <c r="B1164" s="1">
        <v>36</v>
      </c>
    </row>
    <row r="1165" spans="1:2" x14ac:dyDescent="0.25">
      <c r="A1165" s="1">
        <v>1.84</v>
      </c>
      <c r="B1165" s="1">
        <v>19.600000000000001</v>
      </c>
    </row>
    <row r="1166" spans="1:2" x14ac:dyDescent="0.25">
      <c r="A1166" s="1">
        <v>40</v>
      </c>
      <c r="B1166" s="1">
        <v>8.3999999999999986</v>
      </c>
    </row>
    <row r="1167" spans="1:2" x14ac:dyDescent="0.25">
      <c r="A1167" s="1">
        <v>8</v>
      </c>
      <c r="B1167" s="1">
        <v>6</v>
      </c>
    </row>
    <row r="1168" spans="1:2" x14ac:dyDescent="0.25">
      <c r="A1168" s="1">
        <v>4</v>
      </c>
      <c r="B1168" s="1">
        <v>8.8000000000000007</v>
      </c>
    </row>
    <row r="1169" spans="1:2" x14ac:dyDescent="0.25">
      <c r="A1169" s="1">
        <v>51.64</v>
      </c>
      <c r="B1169" s="1">
        <v>36</v>
      </c>
    </row>
    <row r="1170" spans="1:2" x14ac:dyDescent="0.25">
      <c r="A1170" s="1">
        <v>14</v>
      </c>
      <c r="B1170" s="1">
        <v>19.600000000000001</v>
      </c>
    </row>
    <row r="1171" spans="1:2" x14ac:dyDescent="0.25">
      <c r="A1171" s="1">
        <v>3.68</v>
      </c>
      <c r="B1171" s="1">
        <v>8.3999999999999986</v>
      </c>
    </row>
    <row r="1172" spans="1:2" x14ac:dyDescent="0.25">
      <c r="A1172" s="1">
        <v>14</v>
      </c>
      <c r="B1172" s="1">
        <v>6</v>
      </c>
    </row>
    <row r="1173" spans="1:2" x14ac:dyDescent="0.25">
      <c r="A1173" s="1">
        <v>2.4</v>
      </c>
      <c r="B1173" s="1">
        <v>8.8000000000000007</v>
      </c>
    </row>
    <row r="1174" spans="1:2" x14ac:dyDescent="0.25">
      <c r="A1174" s="1">
        <v>14</v>
      </c>
      <c r="B1174" s="1">
        <v>36</v>
      </c>
    </row>
    <row r="1175" spans="1:2" x14ac:dyDescent="0.25">
      <c r="A1175" s="1">
        <v>7.2</v>
      </c>
      <c r="B1175" s="1">
        <v>19.600000000000001</v>
      </c>
    </row>
    <row r="1176" spans="1:2" x14ac:dyDescent="0.25">
      <c r="A1176" s="1">
        <v>42</v>
      </c>
      <c r="B1176" s="1">
        <v>11.2</v>
      </c>
    </row>
    <row r="1177" spans="1:2" x14ac:dyDescent="0.25">
      <c r="A1177" s="1">
        <v>14.399999999999999</v>
      </c>
      <c r="B1177" s="1">
        <v>6</v>
      </c>
    </row>
    <row r="1178" spans="1:2" x14ac:dyDescent="0.25">
      <c r="A1178" s="1">
        <v>25.6</v>
      </c>
      <c r="B1178" s="1">
        <v>8.8000000000000007</v>
      </c>
    </row>
    <row r="1179" spans="1:2" x14ac:dyDescent="0.25">
      <c r="A1179" s="1">
        <v>9.2000000000000011</v>
      </c>
      <c r="B1179" s="1">
        <v>36</v>
      </c>
    </row>
    <row r="1180" spans="1:2" x14ac:dyDescent="0.25">
      <c r="A1180" s="1">
        <v>11.2</v>
      </c>
      <c r="B1180" s="1">
        <v>19.600000000000001</v>
      </c>
    </row>
    <row r="1181" spans="1:2" x14ac:dyDescent="0.25">
      <c r="A1181" s="1">
        <v>7.2</v>
      </c>
      <c r="B1181" s="1">
        <v>8.3999999999999986</v>
      </c>
    </row>
    <row r="1182" spans="1:2" x14ac:dyDescent="0.25">
      <c r="A1182" s="1">
        <v>42</v>
      </c>
      <c r="B1182" s="1">
        <v>6</v>
      </c>
    </row>
    <row r="1183" spans="1:2" x14ac:dyDescent="0.25">
      <c r="A1183" s="1">
        <v>19.2</v>
      </c>
      <c r="B1183" s="1">
        <v>8.8000000000000007</v>
      </c>
    </row>
    <row r="1184" spans="1:2" x14ac:dyDescent="0.25">
      <c r="A1184" s="1">
        <v>6</v>
      </c>
      <c r="B1184" s="1">
        <v>36</v>
      </c>
    </row>
    <row r="1185" spans="1:2" x14ac:dyDescent="0.25">
      <c r="A1185" s="1">
        <v>10.4</v>
      </c>
      <c r="B1185" s="1">
        <v>19.600000000000001</v>
      </c>
    </row>
    <row r="1186" spans="1:2" x14ac:dyDescent="0.25">
      <c r="A1186" s="1">
        <v>79.64</v>
      </c>
      <c r="B1186" s="1">
        <v>11.2</v>
      </c>
    </row>
    <row r="1187" spans="1:2" x14ac:dyDescent="0.25">
      <c r="A1187" s="1">
        <v>59.64</v>
      </c>
      <c r="B1187" s="1">
        <v>6</v>
      </c>
    </row>
    <row r="1188" spans="1:2" x14ac:dyDescent="0.25">
      <c r="A1188" s="1">
        <v>51.64</v>
      </c>
      <c r="B1188" s="1">
        <v>8.8000000000000007</v>
      </c>
    </row>
    <row r="1189" spans="1:2" x14ac:dyDescent="0.25">
      <c r="A1189" s="1">
        <v>36</v>
      </c>
      <c r="B1189" s="1">
        <v>36</v>
      </c>
    </row>
    <row r="1190" spans="1:2" x14ac:dyDescent="0.25">
      <c r="A1190" s="1">
        <v>14.399999999999999</v>
      </c>
      <c r="B1190" s="1">
        <v>19.600000000000001</v>
      </c>
    </row>
    <row r="1191" spans="1:2" x14ac:dyDescent="0.25">
      <c r="A1191" s="1">
        <v>8</v>
      </c>
      <c r="B1191" s="1">
        <v>8.3999999999999986</v>
      </c>
    </row>
    <row r="1192" spans="1:2" x14ac:dyDescent="0.25">
      <c r="A1192" s="1">
        <v>9.6</v>
      </c>
      <c r="B1192" s="1">
        <v>6</v>
      </c>
    </row>
    <row r="1193" spans="1:2" x14ac:dyDescent="0.25">
      <c r="A1193" s="1">
        <v>10</v>
      </c>
      <c r="B1193" s="1">
        <v>8.8000000000000007</v>
      </c>
    </row>
    <row r="1194" spans="1:2" x14ac:dyDescent="0.25">
      <c r="A1194" s="1">
        <v>12</v>
      </c>
      <c r="B1194" s="1">
        <v>36</v>
      </c>
    </row>
    <row r="1195" spans="1:2" x14ac:dyDescent="0.25">
      <c r="A1195" s="1">
        <v>51.64</v>
      </c>
      <c r="B1195" s="1">
        <v>19.600000000000001</v>
      </c>
    </row>
    <row r="1196" spans="1:2" x14ac:dyDescent="0.25">
      <c r="A1196" s="1">
        <v>13.6</v>
      </c>
      <c r="B1196" s="1">
        <v>11.2</v>
      </c>
    </row>
    <row r="1197" spans="1:2" x14ac:dyDescent="0.25">
      <c r="A1197" s="1">
        <v>20</v>
      </c>
      <c r="B1197" s="1">
        <v>6</v>
      </c>
    </row>
    <row r="1198" spans="1:2" x14ac:dyDescent="0.25">
      <c r="A1198" s="1">
        <v>59.64</v>
      </c>
      <c r="B1198" s="1">
        <v>8.8000000000000007</v>
      </c>
    </row>
    <row r="1199" spans="1:2" x14ac:dyDescent="0.25">
      <c r="A1199" s="1">
        <v>8</v>
      </c>
      <c r="B1199" s="1">
        <v>36</v>
      </c>
    </row>
    <row r="1200" spans="1:2" x14ac:dyDescent="0.25">
      <c r="A1200" s="1">
        <v>20</v>
      </c>
      <c r="B1200" s="1">
        <v>19.600000000000001</v>
      </c>
    </row>
    <row r="1201" spans="1:2" x14ac:dyDescent="0.25">
      <c r="A1201" s="1">
        <v>42</v>
      </c>
      <c r="B1201" s="1">
        <v>11.2</v>
      </c>
    </row>
    <row r="1202" spans="1:2" x14ac:dyDescent="0.25">
      <c r="A1202" s="1">
        <v>75.64</v>
      </c>
      <c r="B1202" s="1">
        <v>8.8000000000000007</v>
      </c>
    </row>
    <row r="1203" spans="1:2" x14ac:dyDescent="0.25">
      <c r="A1203" s="1">
        <v>51.64</v>
      </c>
      <c r="B1203" s="1">
        <v>36</v>
      </c>
    </row>
    <row r="1204" spans="1:2" x14ac:dyDescent="0.25">
      <c r="A1204" s="1">
        <v>51.64</v>
      </c>
      <c r="B1204" s="1">
        <v>19.600000000000001</v>
      </c>
    </row>
    <row r="1205" spans="1:2" x14ac:dyDescent="0.25">
      <c r="A1205" s="1">
        <v>8</v>
      </c>
      <c r="B1205" s="1">
        <v>8.3999999999999986</v>
      </c>
    </row>
    <row r="1206" spans="1:2" x14ac:dyDescent="0.25">
      <c r="A1206" s="1">
        <v>26</v>
      </c>
      <c r="B1206" s="1">
        <v>6</v>
      </c>
    </row>
    <row r="1207" spans="1:2" x14ac:dyDescent="0.25">
      <c r="A1207" s="1">
        <v>10</v>
      </c>
      <c r="B1207" s="1">
        <v>8.8000000000000007</v>
      </c>
    </row>
    <row r="1208" spans="1:2" x14ac:dyDescent="0.25">
      <c r="A1208" s="1">
        <v>14.399999999999999</v>
      </c>
      <c r="B1208" s="1">
        <v>36</v>
      </c>
    </row>
    <row r="1209" spans="1:2" x14ac:dyDescent="0.25">
      <c r="A1209" s="1">
        <v>75.64</v>
      </c>
      <c r="B1209" s="1">
        <v>19.600000000000001</v>
      </c>
    </row>
    <row r="1210" spans="1:2" x14ac:dyDescent="0.25">
      <c r="A1210" s="1">
        <v>9.1999999999999993</v>
      </c>
      <c r="B1210" s="1">
        <v>14</v>
      </c>
    </row>
    <row r="1211" spans="1:2" x14ac:dyDescent="0.25">
      <c r="A1211" s="1">
        <v>7.2</v>
      </c>
      <c r="B1211" s="1">
        <v>6</v>
      </c>
    </row>
    <row r="1212" spans="1:2" x14ac:dyDescent="0.25">
      <c r="A1212" s="1">
        <v>59.64</v>
      </c>
      <c r="B1212" s="1">
        <v>8.8000000000000007</v>
      </c>
    </row>
    <row r="1213" spans="1:2" x14ac:dyDescent="0.25">
      <c r="A1213" s="1">
        <v>25.6</v>
      </c>
      <c r="B1213" s="1">
        <v>36</v>
      </c>
    </row>
    <row r="1214" spans="1:2" x14ac:dyDescent="0.25">
      <c r="A1214" s="1">
        <v>9.1999999999999993</v>
      </c>
      <c r="B1214" s="1">
        <v>19.600000000000001</v>
      </c>
    </row>
    <row r="1215" spans="1:2" x14ac:dyDescent="0.25">
      <c r="A1215" s="1">
        <v>9.6</v>
      </c>
      <c r="B1215" s="1">
        <v>8.3999999999999986</v>
      </c>
    </row>
    <row r="1216" spans="1:2" x14ac:dyDescent="0.25">
      <c r="A1216" s="1">
        <v>18.399999999999999</v>
      </c>
      <c r="B1216" s="1">
        <v>6</v>
      </c>
    </row>
    <row r="1217" spans="1:2" x14ac:dyDescent="0.25">
      <c r="A1217" s="1">
        <v>26</v>
      </c>
      <c r="B1217" s="1">
        <v>8.8000000000000007</v>
      </c>
    </row>
    <row r="1218" spans="1:2" x14ac:dyDescent="0.25">
      <c r="A1218" s="1">
        <v>51.64</v>
      </c>
      <c r="B1218" s="1">
        <v>36</v>
      </c>
    </row>
    <row r="1219" spans="1:2" x14ac:dyDescent="0.25">
      <c r="A1219" s="1">
        <v>7.2</v>
      </c>
      <c r="B1219" s="1">
        <v>19.600000000000001</v>
      </c>
    </row>
    <row r="1220" spans="1:2" x14ac:dyDescent="0.25">
      <c r="A1220" s="1">
        <v>8</v>
      </c>
      <c r="B1220" s="1">
        <v>11.2</v>
      </c>
    </row>
    <row r="1221" spans="1:2" x14ac:dyDescent="0.25">
      <c r="A1221" s="1">
        <v>51.64</v>
      </c>
      <c r="B1221" s="1">
        <v>6</v>
      </c>
    </row>
    <row r="1222" spans="1:2" x14ac:dyDescent="0.25">
      <c r="A1222" s="1">
        <v>5.2</v>
      </c>
      <c r="B1222" s="1">
        <v>8.8000000000000007</v>
      </c>
    </row>
    <row r="1223" spans="1:2" x14ac:dyDescent="0.25">
      <c r="A1223" s="1">
        <v>9.6</v>
      </c>
      <c r="B1223" s="1">
        <v>36</v>
      </c>
    </row>
    <row r="1224" spans="1:2" x14ac:dyDescent="0.25">
      <c r="A1224" s="1">
        <v>79.64</v>
      </c>
      <c r="B1224" s="1">
        <v>19.600000000000001</v>
      </c>
    </row>
    <row r="1225" spans="1:2" x14ac:dyDescent="0.25">
      <c r="A1225" s="1">
        <v>42</v>
      </c>
      <c r="B1225" s="1">
        <v>11.2</v>
      </c>
    </row>
    <row r="1226" spans="1:2" x14ac:dyDescent="0.25">
      <c r="A1226" s="1">
        <v>9.1999999999999993</v>
      </c>
      <c r="B1226" s="1">
        <v>6</v>
      </c>
    </row>
    <row r="1227" spans="1:2" x14ac:dyDescent="0.25">
      <c r="A1227" s="1">
        <v>8</v>
      </c>
      <c r="B1227" s="1">
        <v>8.8000000000000007</v>
      </c>
    </row>
    <row r="1228" spans="1:2" x14ac:dyDescent="0.25">
      <c r="A1228" s="1">
        <v>25.6</v>
      </c>
      <c r="B1228" s="1">
        <v>36</v>
      </c>
    </row>
    <row r="1229" spans="1:2" x14ac:dyDescent="0.25">
      <c r="A1229" s="1">
        <v>51.64</v>
      </c>
      <c r="B1229" s="1">
        <v>19.600000000000001</v>
      </c>
    </row>
    <row r="1230" spans="1:2" x14ac:dyDescent="0.25">
      <c r="A1230" s="1">
        <v>26</v>
      </c>
      <c r="B1230" s="1">
        <v>8.3999999999999986</v>
      </c>
    </row>
    <row r="1231" spans="1:2" x14ac:dyDescent="0.25">
      <c r="A1231" s="1">
        <v>75.64</v>
      </c>
      <c r="B1231" s="1">
        <v>6</v>
      </c>
    </row>
    <row r="1232" spans="1:2" x14ac:dyDescent="0.25">
      <c r="A1232" s="1">
        <v>59.64</v>
      </c>
      <c r="B1232" s="1">
        <v>8.8000000000000007</v>
      </c>
    </row>
    <row r="1233" spans="1:2" x14ac:dyDescent="0.25">
      <c r="A1233" s="1">
        <v>20</v>
      </c>
      <c r="B1233" s="1">
        <v>36</v>
      </c>
    </row>
    <row r="1234" spans="1:2" x14ac:dyDescent="0.25">
      <c r="A1234" s="1">
        <v>10.4</v>
      </c>
      <c r="B1234" s="1">
        <v>19.600000000000001</v>
      </c>
    </row>
    <row r="1235" spans="1:2" x14ac:dyDescent="0.25">
      <c r="A1235" s="1">
        <v>10</v>
      </c>
      <c r="B1235" s="1">
        <v>11.2</v>
      </c>
    </row>
    <row r="1236" spans="1:2" x14ac:dyDescent="0.25">
      <c r="A1236" s="1">
        <v>7.2</v>
      </c>
      <c r="B1236" s="1">
        <v>6</v>
      </c>
    </row>
    <row r="1237" spans="1:2" x14ac:dyDescent="0.25">
      <c r="A1237" s="1">
        <v>7.2</v>
      </c>
      <c r="B1237" s="1">
        <v>8.8000000000000007</v>
      </c>
    </row>
    <row r="1238" spans="1:2" x14ac:dyDescent="0.25">
      <c r="A1238" s="1">
        <v>59.64</v>
      </c>
      <c r="B1238" s="1">
        <v>36</v>
      </c>
    </row>
    <row r="1239" spans="1:2" x14ac:dyDescent="0.25">
      <c r="A1239" s="1">
        <v>75.64</v>
      </c>
      <c r="B1239" s="1">
        <v>19.600000000000001</v>
      </c>
    </row>
    <row r="1240" spans="1:2" x14ac:dyDescent="0.25">
      <c r="A1240" s="1">
        <v>75.64</v>
      </c>
      <c r="B1240" s="1">
        <v>8.3999999999999986</v>
      </c>
    </row>
    <row r="1241" spans="1:2" x14ac:dyDescent="0.25">
      <c r="A1241" s="1">
        <v>9.6</v>
      </c>
      <c r="B1241" s="1">
        <v>6</v>
      </c>
    </row>
    <row r="1242" spans="1:2" x14ac:dyDescent="0.25">
      <c r="A1242" s="1">
        <v>8</v>
      </c>
      <c r="B1242" s="1">
        <v>8.8000000000000007</v>
      </c>
    </row>
    <row r="1243" spans="1:2" x14ac:dyDescent="0.25">
      <c r="A1243" s="1">
        <v>9.6</v>
      </c>
      <c r="B1243" s="1">
        <v>36</v>
      </c>
    </row>
    <row r="1244" spans="1:2" x14ac:dyDescent="0.25">
      <c r="A1244" s="1">
        <v>8</v>
      </c>
      <c r="B1244" s="1">
        <v>19.600000000000001</v>
      </c>
    </row>
    <row r="1245" spans="1:2" x14ac:dyDescent="0.25">
      <c r="A1245" s="1">
        <v>7.2</v>
      </c>
      <c r="B1245" s="1">
        <v>11.2</v>
      </c>
    </row>
    <row r="1246" spans="1:2" x14ac:dyDescent="0.25">
      <c r="A1246" s="1">
        <v>18.399999999999999</v>
      </c>
      <c r="B1246" s="1">
        <v>6</v>
      </c>
    </row>
    <row r="1247" spans="1:2" x14ac:dyDescent="0.25">
      <c r="A1247" s="1">
        <v>26</v>
      </c>
      <c r="B1247" s="1">
        <v>8.8000000000000007</v>
      </c>
    </row>
    <row r="1248" spans="1:2" x14ac:dyDescent="0.25">
      <c r="A1248" s="1">
        <v>9.1999999999999993</v>
      </c>
      <c r="B1248" s="1">
        <v>36</v>
      </c>
    </row>
    <row r="1249" spans="1:2" x14ac:dyDescent="0.25">
      <c r="A1249" s="1">
        <v>51.64</v>
      </c>
      <c r="B1249" s="1">
        <v>19.600000000000001</v>
      </c>
    </row>
    <row r="1250" spans="1:2" x14ac:dyDescent="0.25">
      <c r="A1250" s="1">
        <v>9.6</v>
      </c>
      <c r="B1250" s="1">
        <v>8.3999999999999986</v>
      </c>
    </row>
    <row r="1251" spans="1:2" x14ac:dyDescent="0.25">
      <c r="A1251" s="1">
        <v>59.64</v>
      </c>
      <c r="B1251" s="1">
        <v>6</v>
      </c>
    </row>
    <row r="1252" spans="1:2" x14ac:dyDescent="0.25">
      <c r="A1252" s="1">
        <v>20</v>
      </c>
      <c r="B1252" s="1">
        <v>8.8000000000000007</v>
      </c>
    </row>
    <row r="1253" spans="1:2" x14ac:dyDescent="0.25">
      <c r="A1253" s="1">
        <v>59.64</v>
      </c>
      <c r="B1253" s="1">
        <v>36</v>
      </c>
    </row>
    <row r="1254" spans="1:2" x14ac:dyDescent="0.25">
      <c r="A1254" s="1">
        <v>10.4</v>
      </c>
      <c r="B1254" s="1">
        <v>19.600000000000001</v>
      </c>
    </row>
    <row r="1255" spans="1:2" x14ac:dyDescent="0.25">
      <c r="A1255" s="1">
        <v>8</v>
      </c>
      <c r="B1255" s="1">
        <v>11.2</v>
      </c>
    </row>
    <row r="1256" spans="1:2" x14ac:dyDescent="0.25">
      <c r="A1256" s="1">
        <v>13.6</v>
      </c>
      <c r="B1256" s="1">
        <v>6</v>
      </c>
    </row>
    <row r="1257" spans="1:2" x14ac:dyDescent="0.25">
      <c r="A1257" s="1">
        <v>7.1999999999999993</v>
      </c>
      <c r="B1257" s="1">
        <v>8.8000000000000007</v>
      </c>
    </row>
    <row r="1258" spans="1:2" x14ac:dyDescent="0.25">
      <c r="A1258" s="1">
        <v>75.64</v>
      </c>
      <c r="B1258" s="1">
        <v>36</v>
      </c>
    </row>
    <row r="1259" spans="1:2" x14ac:dyDescent="0.25">
      <c r="A1259" s="1">
        <v>13.6</v>
      </c>
      <c r="B1259" s="1">
        <v>19.600000000000001</v>
      </c>
    </row>
    <row r="1260" spans="1:2" x14ac:dyDescent="0.25">
      <c r="A1260" s="1">
        <v>6</v>
      </c>
      <c r="B1260" s="1">
        <v>8.3999999999999986</v>
      </c>
    </row>
    <row r="1261" spans="1:2" x14ac:dyDescent="0.25">
      <c r="A1261" s="1">
        <v>59.64</v>
      </c>
      <c r="B1261" s="1">
        <v>6</v>
      </c>
    </row>
    <row r="1262" spans="1:2" x14ac:dyDescent="0.25">
      <c r="A1262" s="1">
        <v>8</v>
      </c>
      <c r="B1262" s="1">
        <v>8.8000000000000007</v>
      </c>
    </row>
    <row r="1263" spans="1:2" x14ac:dyDescent="0.25">
      <c r="A1263" s="1">
        <v>51.64</v>
      </c>
      <c r="B1263" s="1">
        <v>36</v>
      </c>
    </row>
    <row r="1264" spans="1:2" x14ac:dyDescent="0.25">
      <c r="A1264" s="1">
        <v>26</v>
      </c>
      <c r="B1264" s="1">
        <v>19.600000000000001</v>
      </c>
    </row>
    <row r="1265" spans="1:2" x14ac:dyDescent="0.25">
      <c r="A1265" s="1">
        <v>75.64</v>
      </c>
      <c r="B1265" s="1">
        <v>11.2</v>
      </c>
    </row>
    <row r="1266" spans="1:2" x14ac:dyDescent="0.25">
      <c r="A1266" s="1">
        <v>51.64</v>
      </c>
      <c r="B1266" s="1">
        <v>6</v>
      </c>
    </row>
    <row r="1267" spans="1:2" x14ac:dyDescent="0.25">
      <c r="A1267" s="1">
        <v>25.6</v>
      </c>
      <c r="B1267" s="1">
        <v>8.8000000000000007</v>
      </c>
    </row>
    <row r="1268" spans="1:2" x14ac:dyDescent="0.25">
      <c r="A1268" s="1">
        <v>13.6</v>
      </c>
      <c r="B1268" s="1">
        <v>36</v>
      </c>
    </row>
    <row r="1269" spans="1:2" x14ac:dyDescent="0.25">
      <c r="A1269" s="1">
        <v>7.2</v>
      </c>
      <c r="B1269" s="1">
        <v>19.600000000000001</v>
      </c>
    </row>
    <row r="1270" spans="1:2" x14ac:dyDescent="0.25">
      <c r="A1270" s="1">
        <v>7.36</v>
      </c>
      <c r="B1270" s="1">
        <v>8.3999999999999986</v>
      </c>
    </row>
    <row r="1271" spans="1:2" x14ac:dyDescent="0.25">
      <c r="A1271" s="1">
        <v>7.1999999999999993</v>
      </c>
      <c r="B1271" s="1">
        <v>6</v>
      </c>
    </row>
    <row r="1272" spans="1:2" x14ac:dyDescent="0.25">
      <c r="A1272" s="1">
        <v>26</v>
      </c>
      <c r="B1272" s="1">
        <v>8.8000000000000007</v>
      </c>
    </row>
    <row r="1273" spans="1:2" x14ac:dyDescent="0.25">
      <c r="A1273" s="1">
        <v>8</v>
      </c>
      <c r="B1273" s="1">
        <v>36</v>
      </c>
    </row>
    <row r="1274" spans="1:2" x14ac:dyDescent="0.25">
      <c r="A1274" s="1">
        <v>13.6</v>
      </c>
      <c r="B1274" s="1">
        <v>19.600000000000001</v>
      </c>
    </row>
    <row r="1275" spans="1:2" x14ac:dyDescent="0.25">
      <c r="A1275" s="1">
        <v>12.8</v>
      </c>
      <c r="B1275" s="1">
        <v>8.3999999999999986</v>
      </c>
    </row>
    <row r="1276" spans="1:2" x14ac:dyDescent="0.25">
      <c r="A1276" s="1">
        <v>9.6</v>
      </c>
      <c r="B1276" s="1">
        <v>6</v>
      </c>
    </row>
    <row r="1277" spans="1:2" x14ac:dyDescent="0.25">
      <c r="A1277" s="1">
        <v>26</v>
      </c>
      <c r="B1277" s="1">
        <v>8.8000000000000007</v>
      </c>
    </row>
    <row r="1278" spans="1:2" x14ac:dyDescent="0.25">
      <c r="A1278" s="1">
        <v>9.2000000000000011</v>
      </c>
      <c r="B1278" s="1">
        <v>36</v>
      </c>
    </row>
    <row r="1279" spans="1:2" x14ac:dyDescent="0.25">
      <c r="A1279" s="1">
        <v>7.1999999999999993</v>
      </c>
      <c r="B1279" s="1">
        <v>19.600000000000001</v>
      </c>
    </row>
    <row r="1280" spans="1:2" x14ac:dyDescent="0.25">
      <c r="A1280" s="1">
        <v>7.36</v>
      </c>
      <c r="B1280" s="1">
        <v>11.2</v>
      </c>
    </row>
    <row r="1281" spans="1:2" x14ac:dyDescent="0.25">
      <c r="A1281" s="1">
        <v>51.64</v>
      </c>
      <c r="B1281" s="1">
        <v>6</v>
      </c>
    </row>
    <row r="1282" spans="1:2" x14ac:dyDescent="0.25">
      <c r="A1282" s="1">
        <v>7.2</v>
      </c>
      <c r="B1282" s="1">
        <v>8.8000000000000007</v>
      </c>
    </row>
    <row r="1283" spans="1:2" x14ac:dyDescent="0.25">
      <c r="A1283" s="1">
        <v>13.6</v>
      </c>
      <c r="B1283" s="1">
        <v>36</v>
      </c>
    </row>
    <row r="1284" spans="1:2" x14ac:dyDescent="0.25">
      <c r="A1284" s="1">
        <v>9.6</v>
      </c>
      <c r="B1284" s="1">
        <v>19.600000000000001</v>
      </c>
    </row>
    <row r="1285" spans="1:2" x14ac:dyDescent="0.25">
      <c r="A1285" s="1">
        <v>13.6</v>
      </c>
      <c r="B1285" s="1">
        <v>8.3999999999999986</v>
      </c>
    </row>
    <row r="1286" spans="1:2" x14ac:dyDescent="0.25">
      <c r="A1286" s="1">
        <v>26</v>
      </c>
      <c r="B1286" s="1">
        <v>6</v>
      </c>
    </row>
    <row r="1287" spans="1:2" x14ac:dyDescent="0.25">
      <c r="A1287" s="1">
        <v>9.6</v>
      </c>
      <c r="B1287" s="1">
        <v>8.8000000000000007</v>
      </c>
    </row>
    <row r="1288" spans="1:2" x14ac:dyDescent="0.25">
      <c r="A1288" s="1">
        <v>9.2000000000000011</v>
      </c>
      <c r="B1288" s="1">
        <v>36</v>
      </c>
    </row>
    <row r="1289" spans="1:2" x14ac:dyDescent="0.25">
      <c r="A1289" s="1">
        <v>13.6</v>
      </c>
      <c r="B1289" s="1">
        <v>19.600000000000001</v>
      </c>
    </row>
    <row r="1290" spans="1:2" x14ac:dyDescent="0.25">
      <c r="A1290" s="1">
        <v>7.2</v>
      </c>
      <c r="B1290" s="1">
        <v>11.2</v>
      </c>
    </row>
    <row r="1291" spans="1:2" x14ac:dyDescent="0.25">
      <c r="A1291" s="1">
        <v>25.6</v>
      </c>
      <c r="B1291" s="1">
        <v>6</v>
      </c>
    </row>
    <row r="1292" spans="1:2" x14ac:dyDescent="0.25">
      <c r="A1292" s="1">
        <v>9.2000000000000011</v>
      </c>
      <c r="B1292" s="1">
        <v>8.8000000000000007</v>
      </c>
    </row>
    <row r="1293" spans="1:2" x14ac:dyDescent="0.25">
      <c r="A1293" s="1">
        <v>7.1999999999999993</v>
      </c>
      <c r="B1293" s="1">
        <v>36</v>
      </c>
    </row>
    <row r="1294" spans="1:2" x14ac:dyDescent="0.25">
      <c r="A1294" s="1">
        <v>13.6</v>
      </c>
      <c r="B1294" s="1">
        <v>19.600000000000001</v>
      </c>
    </row>
    <row r="1295" spans="1:2" x14ac:dyDescent="0.25">
      <c r="A1295" s="1">
        <v>26</v>
      </c>
      <c r="B1295" s="1">
        <v>8.3999999999999986</v>
      </c>
    </row>
    <row r="1296" spans="1:2" x14ac:dyDescent="0.25">
      <c r="A1296" s="1">
        <v>7.36</v>
      </c>
      <c r="B1296" s="1">
        <v>6</v>
      </c>
    </row>
    <row r="1297" spans="1:2" x14ac:dyDescent="0.25">
      <c r="A1297" s="1">
        <v>7.1999999999999993</v>
      </c>
      <c r="B1297" s="1">
        <v>8.8000000000000007</v>
      </c>
    </row>
    <row r="1298" spans="1:2" x14ac:dyDescent="0.25">
      <c r="A1298" s="1">
        <v>7.2</v>
      </c>
      <c r="B1298" s="1">
        <v>36</v>
      </c>
    </row>
    <row r="1299" spans="1:2" x14ac:dyDescent="0.25">
      <c r="A1299" s="1">
        <v>75.64</v>
      </c>
      <c r="B1299" s="1">
        <v>19.600000000000001</v>
      </c>
    </row>
    <row r="1300" spans="1:2" x14ac:dyDescent="0.25">
      <c r="A1300" s="1">
        <v>7.1999999999999993</v>
      </c>
      <c r="B1300" s="1">
        <v>11.2</v>
      </c>
    </row>
    <row r="1301" spans="1:2" x14ac:dyDescent="0.25">
      <c r="A1301" s="1">
        <v>7.36</v>
      </c>
      <c r="B1301" s="1">
        <v>6</v>
      </c>
    </row>
    <row r="1302" spans="1:2" x14ac:dyDescent="0.25">
      <c r="A1302" s="1">
        <v>13.6</v>
      </c>
      <c r="B1302" s="1">
        <v>8.8000000000000007</v>
      </c>
    </row>
    <row r="1303" spans="1:2" x14ac:dyDescent="0.25">
      <c r="A1303" s="1">
        <v>26</v>
      </c>
      <c r="B1303" s="1">
        <v>36</v>
      </c>
    </row>
    <row r="1304" spans="1:2" x14ac:dyDescent="0.25">
      <c r="A1304" s="1">
        <v>51.64</v>
      </c>
      <c r="B1304" s="1">
        <v>19.600000000000001</v>
      </c>
    </row>
    <row r="1305" spans="1:2" x14ac:dyDescent="0.25">
      <c r="A1305" s="1">
        <v>9.2000000000000011</v>
      </c>
      <c r="B1305" s="1">
        <v>8.3999999999999986</v>
      </c>
    </row>
    <row r="1306" spans="1:2" x14ac:dyDescent="0.25">
      <c r="A1306" s="1">
        <v>13.6</v>
      </c>
      <c r="B1306" s="1">
        <v>6</v>
      </c>
    </row>
    <row r="1307" spans="1:2" x14ac:dyDescent="0.25">
      <c r="A1307" s="1">
        <v>7.2</v>
      </c>
      <c r="B1307" s="1">
        <v>8.8000000000000007</v>
      </c>
    </row>
    <row r="1308" spans="1:2" x14ac:dyDescent="0.25">
      <c r="A1308" s="1">
        <v>13.6</v>
      </c>
      <c r="B1308" s="1">
        <v>36</v>
      </c>
    </row>
    <row r="1309" spans="1:2" x14ac:dyDescent="0.25">
      <c r="A1309" s="1">
        <v>9.6</v>
      </c>
      <c r="B1309" s="1">
        <v>19.600000000000001</v>
      </c>
    </row>
    <row r="1310" spans="1:2" x14ac:dyDescent="0.25">
      <c r="A1310" s="1">
        <v>7.36</v>
      </c>
      <c r="B1310" s="1">
        <v>8.3999999999999986</v>
      </c>
    </row>
    <row r="1311" spans="1:2" x14ac:dyDescent="0.25">
      <c r="A1311" s="1">
        <v>13.6</v>
      </c>
      <c r="B1311" s="1">
        <v>6</v>
      </c>
    </row>
    <row r="1312" spans="1:2" x14ac:dyDescent="0.25">
      <c r="A1312" s="1">
        <v>7.1999999999999993</v>
      </c>
      <c r="B1312" s="1">
        <v>8.8000000000000007</v>
      </c>
    </row>
    <row r="1313" spans="1:2" x14ac:dyDescent="0.25">
      <c r="A1313" s="1">
        <v>7.36</v>
      </c>
      <c r="B1313" s="1">
        <v>36</v>
      </c>
    </row>
    <row r="1314" spans="1:2" x14ac:dyDescent="0.25">
      <c r="A1314" s="1">
        <v>51.64</v>
      </c>
      <c r="B1314" s="1">
        <v>19.600000000000001</v>
      </c>
    </row>
    <row r="1315" spans="1:2" x14ac:dyDescent="0.25">
      <c r="A1315" s="1">
        <v>9.2000000000000011</v>
      </c>
      <c r="B1315" s="1">
        <v>8.3999999999999986</v>
      </c>
    </row>
    <row r="1316" spans="1:2" x14ac:dyDescent="0.25">
      <c r="A1316" s="1">
        <v>13.6</v>
      </c>
      <c r="B1316" s="1">
        <v>8.3999999999999986</v>
      </c>
    </row>
    <row r="1317" spans="1:2" x14ac:dyDescent="0.25">
      <c r="A1317" s="1">
        <v>26</v>
      </c>
      <c r="B1317" s="1">
        <v>6</v>
      </c>
    </row>
    <row r="1318" spans="1:2" x14ac:dyDescent="0.25">
      <c r="A1318" s="1">
        <v>9.6</v>
      </c>
      <c r="B1318" s="1">
        <v>8.8000000000000007</v>
      </c>
    </row>
    <row r="1319" spans="1:2" x14ac:dyDescent="0.25">
      <c r="A1319" s="1">
        <v>7.36</v>
      </c>
      <c r="B1319" s="1">
        <v>36</v>
      </c>
    </row>
    <row r="1320" spans="1:2" x14ac:dyDescent="0.25">
      <c r="A1320" s="1">
        <v>13.6</v>
      </c>
      <c r="B1320" s="1">
        <v>19.600000000000001</v>
      </c>
    </row>
    <row r="1321" spans="1:2" x14ac:dyDescent="0.25">
      <c r="A1321" s="1">
        <v>7.1999999999999993</v>
      </c>
      <c r="B1321" s="1">
        <v>11.2</v>
      </c>
    </row>
    <row r="1322" spans="1:2" x14ac:dyDescent="0.25">
      <c r="A1322" s="1">
        <v>9.2000000000000011</v>
      </c>
      <c r="B1322" s="1">
        <v>6</v>
      </c>
    </row>
    <row r="1323" spans="1:2" x14ac:dyDescent="0.25">
      <c r="A1323" s="1">
        <v>13.6</v>
      </c>
      <c r="B1323" s="1">
        <v>8.8000000000000007</v>
      </c>
    </row>
    <row r="1324" spans="1:2" x14ac:dyDescent="0.25">
      <c r="A1324" s="1">
        <v>7.36</v>
      </c>
      <c r="B1324" s="1">
        <v>36</v>
      </c>
    </row>
    <row r="1325" spans="1:2" x14ac:dyDescent="0.25">
      <c r="A1325" s="1">
        <v>4.8</v>
      </c>
      <c r="B1325" s="1">
        <v>19.600000000000001</v>
      </c>
    </row>
    <row r="1326" spans="1:2" x14ac:dyDescent="0.25">
      <c r="A1326" s="1">
        <v>13.6</v>
      </c>
      <c r="B1326" s="1">
        <v>8.3999999999999986</v>
      </c>
    </row>
    <row r="1327" spans="1:2" x14ac:dyDescent="0.25">
      <c r="A1327" s="1">
        <v>7.36</v>
      </c>
      <c r="B1327" s="1">
        <v>6</v>
      </c>
    </row>
    <row r="1328" spans="1:2" x14ac:dyDescent="0.25">
      <c r="A1328" s="1">
        <v>13.6</v>
      </c>
      <c r="B1328" s="1">
        <v>8.8000000000000007</v>
      </c>
    </row>
    <row r="1329" spans="1:2" x14ac:dyDescent="0.25">
      <c r="A1329" s="1">
        <v>26</v>
      </c>
      <c r="B1329" s="1">
        <v>36</v>
      </c>
    </row>
    <row r="1330" spans="1:2" x14ac:dyDescent="0.25">
      <c r="A1330" s="1">
        <v>7.1999999999999993</v>
      </c>
      <c r="B1330" s="1">
        <v>19.600000000000001</v>
      </c>
    </row>
    <row r="1331" spans="1:2" x14ac:dyDescent="0.25">
      <c r="A1331" s="1">
        <v>9.2000000000000011</v>
      </c>
      <c r="B1331" s="1">
        <v>11.2</v>
      </c>
    </row>
    <row r="1332" spans="1:2" x14ac:dyDescent="0.25">
      <c r="A1332" s="1">
        <v>13.6</v>
      </c>
      <c r="B1332" s="1">
        <v>6</v>
      </c>
    </row>
    <row r="1333" spans="1:2" x14ac:dyDescent="0.25">
      <c r="A1333" s="1">
        <v>51.64</v>
      </c>
      <c r="B1333" s="1">
        <v>8.8000000000000007</v>
      </c>
    </row>
    <row r="1334" spans="1:2" x14ac:dyDescent="0.25">
      <c r="A1334" s="1">
        <v>26</v>
      </c>
      <c r="B1334" s="1">
        <v>36</v>
      </c>
    </row>
    <row r="1335" spans="1:2" x14ac:dyDescent="0.25">
      <c r="A1335" s="1">
        <v>9.6</v>
      </c>
      <c r="B1335" s="1">
        <v>19.600000000000001</v>
      </c>
    </row>
    <row r="1336" spans="1:2" x14ac:dyDescent="0.25">
      <c r="A1336" s="1">
        <v>7.36</v>
      </c>
      <c r="B1336" s="1">
        <v>11.2</v>
      </c>
    </row>
    <row r="1337" spans="1:2" x14ac:dyDescent="0.25">
      <c r="A1337" s="1">
        <v>13.6</v>
      </c>
      <c r="B1337" s="1">
        <v>6</v>
      </c>
    </row>
    <row r="1338" spans="1:2" x14ac:dyDescent="0.25">
      <c r="A1338" s="1">
        <v>7.36</v>
      </c>
      <c r="B1338" s="1">
        <v>8.8000000000000007</v>
      </c>
    </row>
    <row r="1339" spans="1:2" x14ac:dyDescent="0.25">
      <c r="A1339" s="1">
        <v>26</v>
      </c>
      <c r="B1339" s="1">
        <v>36</v>
      </c>
    </row>
    <row r="1340" spans="1:2" x14ac:dyDescent="0.25">
      <c r="A1340" s="1">
        <v>13.6</v>
      </c>
      <c r="B1340" s="1">
        <v>19.600000000000001</v>
      </c>
    </row>
    <row r="1341" spans="1:2" x14ac:dyDescent="0.25">
      <c r="A1341" s="1">
        <v>9.6</v>
      </c>
      <c r="B1341" s="1">
        <v>8.3999999999999986</v>
      </c>
    </row>
    <row r="1342" spans="1:2" x14ac:dyDescent="0.25">
      <c r="A1342" s="1">
        <v>9.2000000000000011</v>
      </c>
      <c r="B1342" s="1">
        <v>6</v>
      </c>
    </row>
    <row r="1343" spans="1:2" x14ac:dyDescent="0.25">
      <c r="A1343" s="1">
        <v>9.2000000000000011</v>
      </c>
      <c r="B1343" s="1">
        <v>8.8000000000000007</v>
      </c>
    </row>
    <row r="1344" spans="1:2" x14ac:dyDescent="0.25">
      <c r="A1344" s="1">
        <v>13.6</v>
      </c>
      <c r="B1344" s="1">
        <v>36</v>
      </c>
    </row>
    <row r="1345" spans="1:2" x14ac:dyDescent="0.25">
      <c r="A1345" s="1">
        <v>26</v>
      </c>
      <c r="B1345" s="1">
        <v>19.600000000000001</v>
      </c>
    </row>
    <row r="1346" spans="1:2" x14ac:dyDescent="0.25">
      <c r="A1346" s="1">
        <v>7.1999999999999993</v>
      </c>
      <c r="B1346" s="1">
        <v>8.3999999999999986</v>
      </c>
    </row>
    <row r="1347" spans="1:2" x14ac:dyDescent="0.25">
      <c r="A1347" s="1">
        <v>7.36</v>
      </c>
      <c r="B1347" s="1">
        <v>6</v>
      </c>
    </row>
    <row r="1348" spans="1:2" x14ac:dyDescent="0.25">
      <c r="A1348" s="1">
        <v>13.6</v>
      </c>
      <c r="B1348" s="1">
        <v>8.8000000000000007</v>
      </c>
    </row>
    <row r="1349" spans="1:2" x14ac:dyDescent="0.25">
      <c r="A1349" s="1">
        <v>7.36</v>
      </c>
      <c r="B1349" s="1">
        <v>36</v>
      </c>
    </row>
    <row r="1350" spans="1:2" x14ac:dyDescent="0.25">
      <c r="A1350" s="1">
        <v>9.6</v>
      </c>
      <c r="B1350" s="1">
        <v>19.600000000000001</v>
      </c>
    </row>
    <row r="1351" spans="1:2" x14ac:dyDescent="0.25">
      <c r="A1351" s="1">
        <v>9.2000000000000011</v>
      </c>
      <c r="B1351" s="1">
        <v>11.2</v>
      </c>
    </row>
    <row r="1352" spans="1:2" x14ac:dyDescent="0.25">
      <c r="A1352" s="1">
        <v>13.6</v>
      </c>
      <c r="B1352" s="1">
        <v>6</v>
      </c>
    </row>
    <row r="1353" spans="1:2" x14ac:dyDescent="0.25">
      <c r="A1353" s="1">
        <v>7.1999999999999993</v>
      </c>
      <c r="B1353" s="1">
        <v>8.8000000000000007</v>
      </c>
    </row>
    <row r="1354" spans="1:2" x14ac:dyDescent="0.25">
      <c r="A1354" s="1">
        <v>7.36</v>
      </c>
      <c r="B1354" s="1">
        <v>36</v>
      </c>
    </row>
    <row r="1355" spans="1:2" x14ac:dyDescent="0.25">
      <c r="A1355" s="1">
        <v>7.1999999999999993</v>
      </c>
      <c r="B1355" s="1">
        <v>19.600000000000001</v>
      </c>
    </row>
    <row r="1356" spans="1:2" x14ac:dyDescent="0.25">
      <c r="A1356" s="1">
        <v>51.64</v>
      </c>
      <c r="B1356" s="1">
        <v>8.3999999999999986</v>
      </c>
    </row>
    <row r="1357" spans="1:2" x14ac:dyDescent="0.25">
      <c r="A1357" s="1">
        <v>13.6</v>
      </c>
      <c r="B1357" s="1">
        <v>6</v>
      </c>
    </row>
    <row r="1358" spans="1:2" x14ac:dyDescent="0.25">
      <c r="A1358" s="1">
        <v>7.1999999999999993</v>
      </c>
      <c r="B1358" s="1">
        <v>8.8000000000000007</v>
      </c>
    </row>
    <row r="1359" spans="1:2" x14ac:dyDescent="0.25">
      <c r="A1359" s="1">
        <v>9.2000000000000011</v>
      </c>
      <c r="B1359" s="1">
        <v>11.2</v>
      </c>
    </row>
    <row r="1360" spans="1:2" x14ac:dyDescent="0.25">
      <c r="A1360" s="1">
        <v>13.6</v>
      </c>
      <c r="B1360" s="1">
        <v>6</v>
      </c>
    </row>
    <row r="1361" spans="1:2" x14ac:dyDescent="0.25">
      <c r="A1361" s="1">
        <v>9.2000000000000011</v>
      </c>
      <c r="B1361" s="1">
        <v>8.8000000000000007</v>
      </c>
    </row>
    <row r="1362" spans="1:2" x14ac:dyDescent="0.25">
      <c r="A1362" s="1">
        <v>7.1999999999999993</v>
      </c>
      <c r="B1362" s="1">
        <v>36</v>
      </c>
    </row>
    <row r="1363" spans="1:2" x14ac:dyDescent="0.25">
      <c r="A1363" s="1">
        <v>7.36</v>
      </c>
      <c r="B1363" s="1">
        <v>19.600000000000001</v>
      </c>
    </row>
    <row r="1364" spans="1:2" x14ac:dyDescent="0.25">
      <c r="A1364" s="1">
        <v>9.2000000000000011</v>
      </c>
      <c r="B1364" s="1">
        <v>8.3999999999999986</v>
      </c>
    </row>
    <row r="1365" spans="1:2" x14ac:dyDescent="0.25">
      <c r="A1365" s="1">
        <v>13.6</v>
      </c>
      <c r="B1365" s="1">
        <v>12</v>
      </c>
    </row>
    <row r="1366" spans="1:2" x14ac:dyDescent="0.25">
      <c r="A1366" s="1">
        <v>7.1999999999999993</v>
      </c>
      <c r="B1366" s="1">
        <v>6.4</v>
      </c>
    </row>
    <row r="1367" spans="1:2" x14ac:dyDescent="0.25">
      <c r="A1367" s="1">
        <v>9.2000000000000011</v>
      </c>
      <c r="B1367" s="1">
        <v>6.8</v>
      </c>
    </row>
    <row r="1368" spans="1:2" x14ac:dyDescent="0.25">
      <c r="A1368" s="1">
        <v>13.6</v>
      </c>
      <c r="B1368" s="1">
        <v>14</v>
      </c>
    </row>
    <row r="1369" spans="1:2" x14ac:dyDescent="0.25">
      <c r="A1369" s="1">
        <v>7.1999999999999993</v>
      </c>
      <c r="B1369" s="1">
        <v>36</v>
      </c>
    </row>
    <row r="1370" spans="1:2" x14ac:dyDescent="0.25">
      <c r="A1370" s="1">
        <v>7.36</v>
      </c>
      <c r="B1370" s="1">
        <v>9.6</v>
      </c>
    </row>
    <row r="1371" spans="1:2" x14ac:dyDescent="0.25">
      <c r="A1371" s="1">
        <v>7.1999999999999993</v>
      </c>
      <c r="B1371" s="1">
        <v>12</v>
      </c>
    </row>
    <row r="1372" spans="1:2" x14ac:dyDescent="0.25">
      <c r="A1372" s="1">
        <v>13.6</v>
      </c>
      <c r="B1372" s="1">
        <v>5.6</v>
      </c>
    </row>
    <row r="1373" spans="1:2" x14ac:dyDescent="0.25">
      <c r="A1373" s="1">
        <v>7.36</v>
      </c>
      <c r="B1373" s="1">
        <v>6</v>
      </c>
    </row>
    <row r="1374" spans="1:2" x14ac:dyDescent="0.25">
      <c r="A1374" s="1">
        <v>26</v>
      </c>
      <c r="B1374" s="1">
        <v>8.8000000000000007</v>
      </c>
    </row>
    <row r="1375" spans="1:2" x14ac:dyDescent="0.25">
      <c r="A1375" s="1">
        <v>9.2000000000000011</v>
      </c>
      <c r="B1375" s="1">
        <v>36</v>
      </c>
    </row>
    <row r="1376" spans="1:2" x14ac:dyDescent="0.25">
      <c r="A1376" s="1">
        <v>13.6</v>
      </c>
      <c r="B1376" s="1">
        <v>19.600000000000001</v>
      </c>
    </row>
    <row r="1377" spans="1:2" x14ac:dyDescent="0.25">
      <c r="A1377" s="1">
        <v>7.1999999999999993</v>
      </c>
      <c r="B1377" s="1">
        <v>14</v>
      </c>
    </row>
    <row r="1378" spans="1:2" x14ac:dyDescent="0.25">
      <c r="A1378" s="1">
        <v>7.36</v>
      </c>
      <c r="B1378" s="1">
        <v>6</v>
      </c>
    </row>
    <row r="1379" spans="1:2" x14ac:dyDescent="0.25">
      <c r="A1379" s="1">
        <v>13.6</v>
      </c>
      <c r="B1379" s="1">
        <v>8.3999999999999986</v>
      </c>
    </row>
    <row r="1380" spans="1:2" x14ac:dyDescent="0.25">
      <c r="A1380" s="1">
        <v>7.1999999999999993</v>
      </c>
      <c r="B1380" s="1">
        <v>12</v>
      </c>
    </row>
    <row r="1381" spans="1:2" x14ac:dyDescent="0.25">
      <c r="A1381" s="1">
        <v>7.36</v>
      </c>
      <c r="B1381" s="1">
        <v>8.8000000000000007</v>
      </c>
    </row>
    <row r="1382" spans="1:2" x14ac:dyDescent="0.25">
      <c r="A1382" s="1">
        <v>13.6</v>
      </c>
      <c r="B1382" s="1">
        <v>36</v>
      </c>
    </row>
    <row r="1383" spans="1:2" x14ac:dyDescent="0.25">
      <c r="A1383" s="1">
        <v>7.1999999999999993</v>
      </c>
      <c r="B1383" s="1">
        <v>19.600000000000001</v>
      </c>
    </row>
    <row r="1384" spans="1:2" x14ac:dyDescent="0.25">
      <c r="A1384" s="1">
        <v>7.36</v>
      </c>
      <c r="B1384" s="1">
        <v>11.2</v>
      </c>
    </row>
    <row r="1385" spans="1:2" x14ac:dyDescent="0.25">
      <c r="A1385" s="1">
        <v>13.6</v>
      </c>
      <c r="B1385" s="1">
        <v>6</v>
      </c>
    </row>
    <row r="1386" spans="1:2" x14ac:dyDescent="0.25">
      <c r="A1386" s="1">
        <v>9.2000000000000011</v>
      </c>
      <c r="B1386" s="1">
        <v>12</v>
      </c>
    </row>
    <row r="1387" spans="1:2" x14ac:dyDescent="0.25">
      <c r="A1387" s="1">
        <v>13.6</v>
      </c>
      <c r="B1387" s="1">
        <v>22</v>
      </c>
    </row>
    <row r="1388" spans="1:2" x14ac:dyDescent="0.25">
      <c r="A1388" s="1">
        <v>7.1999999999999993</v>
      </c>
      <c r="B1388" s="1">
        <v>22</v>
      </c>
    </row>
    <row r="1389" spans="1:2" x14ac:dyDescent="0.25">
      <c r="A1389" s="1">
        <v>7.36</v>
      </c>
      <c r="B1389" s="1">
        <v>40</v>
      </c>
    </row>
    <row r="1390" spans="1:2" x14ac:dyDescent="0.25">
      <c r="A1390" s="1">
        <v>13.6</v>
      </c>
      <c r="B1390" s="1">
        <v>8.3999999999999986</v>
      </c>
    </row>
    <row r="1391" spans="1:2" x14ac:dyDescent="0.25">
      <c r="A1391" s="1">
        <v>9.2000000000000011</v>
      </c>
      <c r="B1391" s="1">
        <v>6</v>
      </c>
    </row>
    <row r="1392" spans="1:2" x14ac:dyDescent="0.25">
      <c r="A1392" s="1">
        <v>13.6</v>
      </c>
      <c r="B1392" s="1">
        <v>8.8000000000000007</v>
      </c>
    </row>
    <row r="1393" spans="1:2" x14ac:dyDescent="0.25">
      <c r="A1393" s="1">
        <v>7.1999999999999993</v>
      </c>
      <c r="B1393" s="1">
        <v>36</v>
      </c>
    </row>
    <row r="1394" spans="1:2" x14ac:dyDescent="0.25">
      <c r="A1394" s="1">
        <v>7.36</v>
      </c>
      <c r="B1394" s="1">
        <v>11.6</v>
      </c>
    </row>
    <row r="1395" spans="1:2" x14ac:dyDescent="0.25">
      <c r="A1395" s="1">
        <v>13.6</v>
      </c>
      <c r="B1395" s="1">
        <v>18</v>
      </c>
    </row>
    <row r="1396" spans="1:2" x14ac:dyDescent="0.25">
      <c r="A1396" s="1">
        <v>9.2000000000000011</v>
      </c>
      <c r="B1396" s="1">
        <v>9.6</v>
      </c>
    </row>
    <row r="1397" spans="1:2" x14ac:dyDescent="0.25">
      <c r="A1397" s="1">
        <v>13.6</v>
      </c>
      <c r="B1397" s="1">
        <v>18</v>
      </c>
    </row>
    <row r="1398" spans="1:2" x14ac:dyDescent="0.25">
      <c r="A1398" s="1">
        <v>7.1999999999999993</v>
      </c>
      <c r="B1398" s="1">
        <v>20</v>
      </c>
    </row>
    <row r="1399" spans="1:2" x14ac:dyDescent="0.25">
      <c r="A1399" s="1">
        <v>7.36</v>
      </c>
      <c r="B1399" s="1">
        <v>11.2</v>
      </c>
    </row>
    <row r="1400" spans="1:2" x14ac:dyDescent="0.25">
      <c r="A1400" s="1">
        <v>13.6</v>
      </c>
      <c r="B1400" s="1">
        <v>6</v>
      </c>
    </row>
    <row r="1401" spans="1:2" x14ac:dyDescent="0.25">
      <c r="A1401" s="1">
        <v>7.36</v>
      </c>
      <c r="B1401" s="1">
        <v>8.8000000000000007</v>
      </c>
    </row>
    <row r="1402" spans="1:2" x14ac:dyDescent="0.25">
      <c r="A1402" s="1">
        <v>9.2000000000000011</v>
      </c>
      <c r="B1402" s="1">
        <v>36</v>
      </c>
    </row>
    <row r="1403" spans="1:2" x14ac:dyDescent="0.25">
      <c r="A1403" s="1">
        <v>13.6</v>
      </c>
      <c r="B1403" s="1">
        <v>19.600000000000001</v>
      </c>
    </row>
    <row r="1404" spans="1:2" x14ac:dyDescent="0.25">
      <c r="A1404" s="1">
        <v>7.1999999999999993</v>
      </c>
      <c r="B1404" s="1">
        <v>8.3999999999999986</v>
      </c>
    </row>
    <row r="1405" spans="1:2" x14ac:dyDescent="0.25">
      <c r="A1405" s="1">
        <v>7.36</v>
      </c>
      <c r="B1405" s="1">
        <v>6</v>
      </c>
    </row>
    <row r="1406" spans="1:2" x14ac:dyDescent="0.25">
      <c r="A1406" s="1">
        <v>13.6</v>
      </c>
      <c r="B1406" s="1">
        <v>6.4</v>
      </c>
    </row>
    <row r="1407" spans="1:2" x14ac:dyDescent="0.25">
      <c r="A1407" s="1">
        <v>7.1999999999999993</v>
      </c>
      <c r="B1407" s="1">
        <v>6.8</v>
      </c>
    </row>
    <row r="1408" spans="1:2" x14ac:dyDescent="0.25">
      <c r="A1408" s="1">
        <v>7.36</v>
      </c>
      <c r="B1408" s="1">
        <v>8</v>
      </c>
    </row>
    <row r="1409" spans="1:2" x14ac:dyDescent="0.25">
      <c r="A1409" s="1">
        <v>13.6</v>
      </c>
      <c r="B1409" s="1">
        <v>7.6</v>
      </c>
    </row>
    <row r="1410" spans="1:2" x14ac:dyDescent="0.25">
      <c r="A1410" s="1">
        <v>7.1999999999999993</v>
      </c>
      <c r="B1410" s="1">
        <v>11.2</v>
      </c>
    </row>
    <row r="1411" spans="1:2" x14ac:dyDescent="0.25">
      <c r="A1411" s="1">
        <v>9.2000000000000011</v>
      </c>
      <c r="B1411" s="1">
        <v>6</v>
      </c>
    </row>
    <row r="1412" spans="1:2" x14ac:dyDescent="0.25">
      <c r="A1412" s="1">
        <v>13.6</v>
      </c>
      <c r="B1412" s="1">
        <v>8.8000000000000007</v>
      </c>
    </row>
    <row r="1413" spans="1:2" x14ac:dyDescent="0.25">
      <c r="A1413" s="1">
        <v>7.1999999999999993</v>
      </c>
      <c r="B1413" s="1">
        <v>36</v>
      </c>
    </row>
    <row r="1414" spans="1:2" x14ac:dyDescent="0.25">
      <c r="A1414" s="1">
        <v>7.36</v>
      </c>
      <c r="B1414" s="1">
        <v>19.600000000000001</v>
      </c>
    </row>
    <row r="1415" spans="1:2" x14ac:dyDescent="0.25">
      <c r="A1415" s="1">
        <v>13.6</v>
      </c>
      <c r="B1415" s="1">
        <v>14</v>
      </c>
    </row>
    <row r="1416" spans="1:2" x14ac:dyDescent="0.25">
      <c r="A1416" s="1">
        <v>7.1999999999999993</v>
      </c>
      <c r="B1416" s="1">
        <v>6</v>
      </c>
    </row>
    <row r="1417" spans="1:2" x14ac:dyDescent="0.25">
      <c r="A1417" s="1">
        <v>7.36</v>
      </c>
      <c r="B1417" s="1">
        <v>10</v>
      </c>
    </row>
    <row r="1418" spans="1:2" x14ac:dyDescent="0.25">
      <c r="A1418" s="1">
        <v>13.6</v>
      </c>
      <c r="B1418" s="1">
        <v>11.2</v>
      </c>
    </row>
    <row r="1419" spans="1:2" x14ac:dyDescent="0.25">
      <c r="A1419" s="1">
        <v>7.36</v>
      </c>
      <c r="B1419" s="1">
        <v>6</v>
      </c>
    </row>
    <row r="1420" spans="1:2" x14ac:dyDescent="0.25">
      <c r="A1420" s="1">
        <v>42</v>
      </c>
      <c r="B1420" s="1">
        <v>8.8000000000000007</v>
      </c>
    </row>
    <row r="1421" spans="1:2" x14ac:dyDescent="0.25">
      <c r="A1421" s="1">
        <v>18.399999999999999</v>
      </c>
      <c r="B1421" s="1">
        <v>36</v>
      </c>
    </row>
    <row r="1422" spans="1:2" x14ac:dyDescent="0.25">
      <c r="A1422" s="1">
        <v>13.6</v>
      </c>
      <c r="B1422" s="1">
        <v>19.600000000000001</v>
      </c>
    </row>
    <row r="1423" spans="1:2" x14ac:dyDescent="0.25">
      <c r="A1423" s="1">
        <v>59.64</v>
      </c>
      <c r="B1423" s="1">
        <v>11.2</v>
      </c>
    </row>
    <row r="1424" spans="1:2" x14ac:dyDescent="0.25">
      <c r="A1424" s="1">
        <v>26</v>
      </c>
      <c r="B1424" s="1">
        <v>6</v>
      </c>
    </row>
    <row r="1425" spans="1:2" x14ac:dyDescent="0.25">
      <c r="A1425" s="1">
        <v>75.64</v>
      </c>
      <c r="B1425" s="1">
        <v>8.8000000000000007</v>
      </c>
    </row>
    <row r="1426" spans="1:2" x14ac:dyDescent="0.25">
      <c r="A1426" s="1">
        <v>33.200000000000003</v>
      </c>
      <c r="B1426" s="1">
        <v>36</v>
      </c>
    </row>
    <row r="1427" spans="1:2" x14ac:dyDescent="0.25">
      <c r="A1427" s="1">
        <v>4</v>
      </c>
      <c r="B1427" s="1">
        <v>19.600000000000001</v>
      </c>
    </row>
    <row r="1428" spans="1:2" x14ac:dyDescent="0.25">
      <c r="A1428" s="1">
        <v>51.64</v>
      </c>
      <c r="B1428" s="1">
        <v>8.3999999999999986</v>
      </c>
    </row>
    <row r="1429" spans="1:2" x14ac:dyDescent="0.25">
      <c r="A1429" s="1">
        <v>20</v>
      </c>
      <c r="B1429" s="1">
        <v>6</v>
      </c>
    </row>
    <row r="1430" spans="1:2" x14ac:dyDescent="0.25">
      <c r="A1430" s="1">
        <v>7.2</v>
      </c>
      <c r="B1430" s="1">
        <v>6.4</v>
      </c>
    </row>
    <row r="1431" spans="1:2" x14ac:dyDescent="0.25">
      <c r="A1431" s="1">
        <v>14</v>
      </c>
      <c r="B1431" s="1">
        <v>6.8</v>
      </c>
    </row>
    <row r="1432" spans="1:2" x14ac:dyDescent="0.25">
      <c r="A1432" s="1">
        <v>11.2</v>
      </c>
      <c r="B1432" s="1">
        <v>8.3999999999999986</v>
      </c>
    </row>
    <row r="1433" spans="1:2" x14ac:dyDescent="0.25">
      <c r="A1433" s="1">
        <v>7.1999999999999993</v>
      </c>
      <c r="B1433" s="1">
        <v>12</v>
      </c>
    </row>
    <row r="1434" spans="1:2" x14ac:dyDescent="0.25">
      <c r="A1434" s="1">
        <v>59.64</v>
      </c>
      <c r="B1434" s="1">
        <v>8.8000000000000007</v>
      </c>
    </row>
    <row r="1435" spans="1:2" x14ac:dyDescent="0.25">
      <c r="A1435" s="1">
        <v>51.64</v>
      </c>
      <c r="B1435" s="1">
        <v>36</v>
      </c>
    </row>
    <row r="1436" spans="1:2" x14ac:dyDescent="0.25">
      <c r="A1436" s="1">
        <v>59.64</v>
      </c>
      <c r="B1436" s="1">
        <v>19.600000000000001</v>
      </c>
    </row>
    <row r="1437" spans="1:2" x14ac:dyDescent="0.25">
      <c r="A1437" s="1">
        <v>8</v>
      </c>
      <c r="B1437" s="1">
        <v>11.2</v>
      </c>
    </row>
    <row r="1438" spans="1:2" x14ac:dyDescent="0.25">
      <c r="A1438" s="1">
        <v>12</v>
      </c>
      <c r="B1438" s="1">
        <v>6</v>
      </c>
    </row>
    <row r="1439" spans="1:2" x14ac:dyDescent="0.25">
      <c r="A1439" s="1">
        <v>13.6</v>
      </c>
      <c r="B1439" s="1">
        <v>11.2</v>
      </c>
    </row>
    <row r="1440" spans="1:2" x14ac:dyDescent="0.25">
      <c r="A1440" s="1">
        <v>8</v>
      </c>
      <c r="B1440" s="1">
        <v>6</v>
      </c>
    </row>
    <row r="1441" spans="1:2" x14ac:dyDescent="0.25">
      <c r="A1441" s="1">
        <v>10</v>
      </c>
      <c r="B1441" s="1">
        <v>8.8000000000000007</v>
      </c>
    </row>
    <row r="1442" spans="1:2" x14ac:dyDescent="0.25">
      <c r="A1442" s="1">
        <v>7.2</v>
      </c>
      <c r="B1442" s="1">
        <v>36</v>
      </c>
    </row>
    <row r="1443" spans="1:2" x14ac:dyDescent="0.25">
      <c r="A1443" s="1">
        <v>43.64</v>
      </c>
      <c r="B1443" s="1">
        <v>19.600000000000001</v>
      </c>
    </row>
    <row r="1444" spans="1:2" x14ac:dyDescent="0.25">
      <c r="A1444" s="1">
        <v>9.1999999999999993</v>
      </c>
      <c r="B1444" s="1">
        <v>8.3999999999999986</v>
      </c>
    </row>
    <row r="1445" spans="1:2" x14ac:dyDescent="0.25">
      <c r="A1445" s="1">
        <v>20</v>
      </c>
      <c r="B1445" s="1">
        <v>12</v>
      </c>
    </row>
    <row r="1446" spans="1:2" x14ac:dyDescent="0.25">
      <c r="A1446" s="1">
        <v>8</v>
      </c>
      <c r="B1446" s="1">
        <v>6.4</v>
      </c>
    </row>
    <row r="1447" spans="1:2" x14ac:dyDescent="0.25">
      <c r="A1447" s="1">
        <v>36</v>
      </c>
      <c r="B1447" s="1">
        <v>6.8</v>
      </c>
    </row>
    <row r="1448" spans="1:2" x14ac:dyDescent="0.25">
      <c r="A1448" s="1">
        <v>9.6</v>
      </c>
      <c r="B1448" s="1">
        <v>8</v>
      </c>
    </row>
    <row r="1449" spans="1:2" x14ac:dyDescent="0.25">
      <c r="A1449" s="1">
        <v>14</v>
      </c>
      <c r="B1449" s="1">
        <v>7.6</v>
      </c>
    </row>
    <row r="1450" spans="1:2" x14ac:dyDescent="0.25">
      <c r="A1450" s="1">
        <v>11.2</v>
      </c>
      <c r="B1450" s="1">
        <v>14</v>
      </c>
    </row>
    <row r="1451" spans="1:2" x14ac:dyDescent="0.25">
      <c r="A1451" s="1">
        <v>4.8</v>
      </c>
      <c r="B1451" s="1">
        <v>6</v>
      </c>
    </row>
    <row r="1452" spans="1:2" x14ac:dyDescent="0.25">
      <c r="A1452" s="1">
        <v>20</v>
      </c>
      <c r="B1452" s="1">
        <v>8.8000000000000007</v>
      </c>
    </row>
    <row r="1453" spans="1:2" x14ac:dyDescent="0.25">
      <c r="A1453" s="1">
        <v>13.6</v>
      </c>
      <c r="B1453" s="1">
        <v>36</v>
      </c>
    </row>
    <row r="1454" spans="1:2" x14ac:dyDescent="0.25">
      <c r="A1454" s="1">
        <v>36</v>
      </c>
      <c r="B1454" s="1">
        <v>19.600000000000001</v>
      </c>
    </row>
    <row r="1455" spans="1:2" x14ac:dyDescent="0.25">
      <c r="A1455" s="1">
        <v>8</v>
      </c>
      <c r="B1455" s="1">
        <v>8.3999999999999986</v>
      </c>
    </row>
    <row r="1456" spans="1:2" x14ac:dyDescent="0.25">
      <c r="A1456" s="1">
        <v>4</v>
      </c>
      <c r="B1456" s="1">
        <v>12</v>
      </c>
    </row>
    <row r="1457" spans="1:2" x14ac:dyDescent="0.25">
      <c r="A1457" s="1">
        <v>7.36</v>
      </c>
      <c r="B1457" s="1">
        <v>10</v>
      </c>
    </row>
    <row r="1458" spans="1:2" x14ac:dyDescent="0.25">
      <c r="A1458" s="1">
        <v>10</v>
      </c>
      <c r="B1458" s="1">
        <v>11.2</v>
      </c>
    </row>
    <row r="1459" spans="1:2" x14ac:dyDescent="0.25">
      <c r="A1459" s="1">
        <v>8</v>
      </c>
      <c r="B1459" s="1">
        <v>6</v>
      </c>
    </row>
    <row r="1460" spans="1:2" x14ac:dyDescent="0.25">
      <c r="A1460" s="1">
        <v>10.4</v>
      </c>
      <c r="B1460" s="1">
        <v>8.8000000000000007</v>
      </c>
    </row>
    <row r="1461" spans="1:2" x14ac:dyDescent="0.25">
      <c r="A1461" s="1">
        <v>4.8</v>
      </c>
      <c r="B1461" s="1">
        <v>36</v>
      </c>
    </row>
    <row r="1462" spans="1:2" x14ac:dyDescent="0.25">
      <c r="A1462" s="1">
        <v>59.64</v>
      </c>
      <c r="B1462" s="1">
        <v>19.600000000000001</v>
      </c>
    </row>
    <row r="1463" spans="1:2" x14ac:dyDescent="0.25">
      <c r="A1463" s="1">
        <v>20</v>
      </c>
      <c r="B1463" s="1">
        <v>8.3999999999999986</v>
      </c>
    </row>
    <row r="1464" spans="1:2" x14ac:dyDescent="0.25">
      <c r="A1464" s="1">
        <v>27.2</v>
      </c>
      <c r="B1464" s="1">
        <v>6</v>
      </c>
    </row>
    <row r="1465" spans="1:2" x14ac:dyDescent="0.25">
      <c r="A1465" s="1">
        <v>7.36</v>
      </c>
      <c r="B1465" s="1">
        <v>11.2</v>
      </c>
    </row>
    <row r="1466" spans="1:2" x14ac:dyDescent="0.25">
      <c r="A1466" s="1">
        <v>42</v>
      </c>
      <c r="B1466" s="1">
        <v>6</v>
      </c>
    </row>
    <row r="1467" spans="1:2" x14ac:dyDescent="0.25">
      <c r="A1467" s="1">
        <v>18.399999999999999</v>
      </c>
      <c r="B1467" s="1">
        <v>8.8000000000000007</v>
      </c>
    </row>
    <row r="1468" spans="1:2" x14ac:dyDescent="0.25">
      <c r="A1468" s="1">
        <v>20</v>
      </c>
      <c r="B1468" s="1">
        <v>36</v>
      </c>
    </row>
    <row r="1469" spans="1:2" x14ac:dyDescent="0.25">
      <c r="A1469" s="1">
        <v>11.2</v>
      </c>
      <c r="B1469" s="1">
        <v>19.600000000000001</v>
      </c>
    </row>
    <row r="1470" spans="1:2" x14ac:dyDescent="0.25">
      <c r="A1470" s="1">
        <v>20</v>
      </c>
      <c r="B1470" s="1">
        <v>11.2</v>
      </c>
    </row>
    <row r="1471" spans="1:2" x14ac:dyDescent="0.25">
      <c r="A1471" s="1">
        <v>6</v>
      </c>
      <c r="B1471" s="1">
        <v>6</v>
      </c>
    </row>
    <row r="1472" spans="1:2" x14ac:dyDescent="0.25">
      <c r="A1472" s="1">
        <v>8</v>
      </c>
      <c r="B1472" s="1">
        <v>8.8000000000000007</v>
      </c>
    </row>
    <row r="1473" spans="1:2" x14ac:dyDescent="0.25">
      <c r="A1473" s="1">
        <v>4.8</v>
      </c>
      <c r="B1473" s="1">
        <v>36</v>
      </c>
    </row>
    <row r="1474" spans="1:2" x14ac:dyDescent="0.25">
      <c r="A1474" s="1">
        <v>13.6</v>
      </c>
      <c r="B1474" s="1">
        <v>19.600000000000001</v>
      </c>
    </row>
    <row r="1475" spans="1:2" x14ac:dyDescent="0.25">
      <c r="A1475" s="1">
        <v>5.5200000000000005</v>
      </c>
      <c r="B1475" s="1">
        <v>8.3999999999999986</v>
      </c>
    </row>
    <row r="1476" spans="1:2" x14ac:dyDescent="0.25">
      <c r="A1476" s="1">
        <v>4</v>
      </c>
      <c r="B1476" s="1">
        <v>6</v>
      </c>
    </row>
    <row r="1477" spans="1:2" x14ac:dyDescent="0.25">
      <c r="A1477" s="1">
        <v>8</v>
      </c>
      <c r="B1477" s="1">
        <v>8.8000000000000007</v>
      </c>
    </row>
    <row r="1478" spans="1:2" x14ac:dyDescent="0.25">
      <c r="A1478" s="1">
        <v>4.8</v>
      </c>
      <c r="B1478" s="1">
        <v>36</v>
      </c>
    </row>
    <row r="1479" spans="1:2" x14ac:dyDescent="0.25">
      <c r="A1479" s="1">
        <v>59.64</v>
      </c>
      <c r="B1479" s="1">
        <v>19.600000000000001</v>
      </c>
    </row>
    <row r="1480" spans="1:2" x14ac:dyDescent="0.25">
      <c r="A1480" s="1">
        <v>18.8</v>
      </c>
      <c r="B1480" s="1">
        <v>11.2</v>
      </c>
    </row>
    <row r="1481" spans="1:2" x14ac:dyDescent="0.25">
      <c r="A1481" s="1">
        <v>26</v>
      </c>
      <c r="B1481" s="1">
        <v>12</v>
      </c>
    </row>
    <row r="1482" spans="1:2" x14ac:dyDescent="0.25">
      <c r="A1482" s="1">
        <v>10</v>
      </c>
      <c r="B1482" s="1">
        <v>8.8000000000000007</v>
      </c>
    </row>
    <row r="1483" spans="1:2" x14ac:dyDescent="0.25">
      <c r="A1483" s="1">
        <v>13.6</v>
      </c>
      <c r="B1483" s="1">
        <v>36</v>
      </c>
    </row>
    <row r="1484" spans="1:2" x14ac:dyDescent="0.25">
      <c r="A1484" s="1">
        <v>42</v>
      </c>
      <c r="B1484" s="1">
        <v>19.600000000000001</v>
      </c>
    </row>
    <row r="1485" spans="1:2" x14ac:dyDescent="0.25">
      <c r="A1485" s="1">
        <v>59.64</v>
      </c>
      <c r="B1485" s="1">
        <v>8.3999999999999986</v>
      </c>
    </row>
    <row r="1486" spans="1:2" x14ac:dyDescent="0.25">
      <c r="A1486" s="1">
        <v>59.64</v>
      </c>
      <c r="B1486" s="1">
        <v>6</v>
      </c>
    </row>
    <row r="1487" spans="1:2" x14ac:dyDescent="0.25">
      <c r="A1487" s="1">
        <v>20</v>
      </c>
      <c r="B1487" s="1">
        <v>8.8000000000000007</v>
      </c>
    </row>
    <row r="1488" spans="1:2" x14ac:dyDescent="0.25">
      <c r="A1488" s="1">
        <v>9.6</v>
      </c>
      <c r="B1488" s="1">
        <v>36</v>
      </c>
    </row>
    <row r="1489" spans="1:2" x14ac:dyDescent="0.25">
      <c r="A1489" s="1">
        <v>11.2</v>
      </c>
      <c r="B1489" s="1">
        <v>19.600000000000001</v>
      </c>
    </row>
    <row r="1490" spans="1:2" x14ac:dyDescent="0.25">
      <c r="A1490" s="1">
        <v>10</v>
      </c>
      <c r="B1490" s="1">
        <v>11.2</v>
      </c>
    </row>
    <row r="1491" spans="1:2" x14ac:dyDescent="0.25">
      <c r="A1491" s="1">
        <v>4</v>
      </c>
      <c r="B1491" s="1">
        <v>6</v>
      </c>
    </row>
    <row r="1492" spans="1:2" x14ac:dyDescent="0.25">
      <c r="A1492" s="1">
        <v>8</v>
      </c>
      <c r="B1492" s="1">
        <v>8.8000000000000007</v>
      </c>
    </row>
    <row r="1493" spans="1:2" x14ac:dyDescent="0.25">
      <c r="A1493" s="1">
        <v>9.6</v>
      </c>
      <c r="B1493" s="1">
        <v>36</v>
      </c>
    </row>
    <row r="1494" spans="1:2" x14ac:dyDescent="0.25">
      <c r="A1494" s="1">
        <v>35.200000000000003</v>
      </c>
      <c r="B1494" s="1">
        <v>19.600000000000001</v>
      </c>
    </row>
    <row r="1495" spans="1:2" x14ac:dyDescent="0.25">
      <c r="A1495" s="1">
        <v>7.2</v>
      </c>
      <c r="B1495" s="1">
        <v>11.2</v>
      </c>
    </row>
    <row r="1496" spans="1:2" x14ac:dyDescent="0.25">
      <c r="A1496" s="1">
        <v>20</v>
      </c>
      <c r="B1496" s="1">
        <v>6</v>
      </c>
    </row>
    <row r="1497" spans="1:2" x14ac:dyDescent="0.25">
      <c r="A1497" s="1">
        <v>2.4</v>
      </c>
      <c r="B1497" s="1">
        <v>8.8000000000000007</v>
      </c>
    </row>
    <row r="1498" spans="1:2" x14ac:dyDescent="0.25">
      <c r="A1498" s="1">
        <v>4</v>
      </c>
      <c r="B1498" s="1">
        <v>36</v>
      </c>
    </row>
    <row r="1499" spans="1:2" x14ac:dyDescent="0.25">
      <c r="A1499" s="1">
        <v>36</v>
      </c>
      <c r="B1499" s="1">
        <v>19.600000000000001</v>
      </c>
    </row>
    <row r="1500" spans="1:2" x14ac:dyDescent="0.25">
      <c r="A1500" s="1">
        <v>51.64</v>
      </c>
      <c r="B1500" s="1">
        <v>8.3999999999999986</v>
      </c>
    </row>
    <row r="1501" spans="1:2" x14ac:dyDescent="0.25">
      <c r="A1501" s="1">
        <v>51.64</v>
      </c>
      <c r="B1501" s="1">
        <v>6</v>
      </c>
    </row>
    <row r="1502" spans="1:2" x14ac:dyDescent="0.25">
      <c r="A1502" s="1">
        <v>20</v>
      </c>
      <c r="B1502" s="1">
        <v>8.8000000000000007</v>
      </c>
    </row>
    <row r="1503" spans="1:2" x14ac:dyDescent="0.25">
      <c r="A1503" s="1">
        <v>42</v>
      </c>
      <c r="B1503" s="1">
        <v>36</v>
      </c>
    </row>
    <row r="1504" spans="1:2" x14ac:dyDescent="0.25">
      <c r="A1504" s="1">
        <v>4</v>
      </c>
      <c r="B1504" s="1">
        <v>19.600000000000001</v>
      </c>
    </row>
    <row r="1505" spans="1:2" x14ac:dyDescent="0.25">
      <c r="A1505" s="1">
        <v>11.2</v>
      </c>
      <c r="B1505" s="1">
        <v>11.2</v>
      </c>
    </row>
    <row r="1506" spans="1:2" x14ac:dyDescent="0.25">
      <c r="A1506" s="1">
        <v>19.2</v>
      </c>
      <c r="B1506" s="1">
        <v>6</v>
      </c>
    </row>
    <row r="1507" spans="1:2" x14ac:dyDescent="0.25">
      <c r="A1507" s="1">
        <v>26</v>
      </c>
      <c r="B1507" s="1">
        <v>8.8000000000000007</v>
      </c>
    </row>
    <row r="1508" spans="1:2" x14ac:dyDescent="0.25">
      <c r="A1508" s="1">
        <v>13.6</v>
      </c>
      <c r="B1508" s="1">
        <v>36</v>
      </c>
    </row>
    <row r="1509" spans="1:2" x14ac:dyDescent="0.25">
      <c r="A1509" s="1">
        <v>14</v>
      </c>
      <c r="B1509" s="1">
        <v>19.600000000000001</v>
      </c>
    </row>
    <row r="1510" spans="1:2" x14ac:dyDescent="0.25">
      <c r="A1510" s="1">
        <v>12</v>
      </c>
      <c r="B1510" s="1">
        <v>8.3999999999999986</v>
      </c>
    </row>
    <row r="1511" spans="1:2" x14ac:dyDescent="0.25">
      <c r="A1511" s="1">
        <v>79.64</v>
      </c>
      <c r="B1511" s="1">
        <v>6</v>
      </c>
    </row>
    <row r="1512" spans="1:2" x14ac:dyDescent="0.25">
      <c r="A1512" s="1">
        <v>43.64</v>
      </c>
      <c r="B1512" s="1">
        <v>8.8000000000000007</v>
      </c>
    </row>
    <row r="1513" spans="1:2" x14ac:dyDescent="0.25">
      <c r="A1513" s="1">
        <v>7.1999999999999993</v>
      </c>
      <c r="B1513" s="1">
        <v>36</v>
      </c>
    </row>
    <row r="1514" spans="1:2" x14ac:dyDescent="0.25">
      <c r="A1514" s="1">
        <v>51.64</v>
      </c>
      <c r="B1514" s="1">
        <v>19.600000000000001</v>
      </c>
    </row>
    <row r="1515" spans="1:2" x14ac:dyDescent="0.25">
      <c r="A1515" s="1">
        <v>36</v>
      </c>
      <c r="B1515" s="1">
        <v>11.2</v>
      </c>
    </row>
    <row r="1516" spans="1:2" x14ac:dyDescent="0.25">
      <c r="A1516" s="1">
        <v>59.64</v>
      </c>
      <c r="B1516" s="1">
        <v>6</v>
      </c>
    </row>
    <row r="1517" spans="1:2" x14ac:dyDescent="0.25">
      <c r="A1517" s="1">
        <v>11.2</v>
      </c>
      <c r="B1517" s="1">
        <v>8.8000000000000007</v>
      </c>
    </row>
    <row r="1518" spans="1:2" x14ac:dyDescent="0.25">
      <c r="A1518" s="1">
        <v>6</v>
      </c>
      <c r="B1518" s="1">
        <v>36</v>
      </c>
    </row>
    <row r="1519" spans="1:2" x14ac:dyDescent="0.25">
      <c r="A1519" s="1">
        <v>59.64</v>
      </c>
      <c r="B1519" s="1">
        <v>19.600000000000001</v>
      </c>
    </row>
    <row r="1520" spans="1:2" x14ac:dyDescent="0.25">
      <c r="A1520" s="1">
        <v>18.8</v>
      </c>
      <c r="B1520" s="1">
        <v>11.2</v>
      </c>
    </row>
    <row r="1521" spans="1:2" x14ac:dyDescent="0.25">
      <c r="A1521" s="1">
        <v>26</v>
      </c>
      <c r="B1521" s="1">
        <v>6</v>
      </c>
    </row>
    <row r="1522" spans="1:2" x14ac:dyDescent="0.25">
      <c r="A1522" s="1">
        <v>20</v>
      </c>
      <c r="B1522" s="1">
        <v>8.8000000000000007</v>
      </c>
    </row>
    <row r="1523" spans="1:2" x14ac:dyDescent="0.25">
      <c r="A1523" s="1">
        <v>13.6</v>
      </c>
      <c r="B1523" s="1">
        <v>16.8</v>
      </c>
    </row>
    <row r="1524" spans="1:2" x14ac:dyDescent="0.25">
      <c r="A1524" s="1">
        <v>42</v>
      </c>
      <c r="B1524" s="1">
        <v>33.6</v>
      </c>
    </row>
    <row r="1525" spans="1:2" x14ac:dyDescent="0.25">
      <c r="A1525" s="1">
        <v>7.36</v>
      </c>
      <c r="B1525" s="1">
        <v>16.8</v>
      </c>
    </row>
    <row r="1526" spans="1:2" x14ac:dyDescent="0.25">
      <c r="A1526" s="1">
        <v>11.2</v>
      </c>
      <c r="B1526" s="1">
        <v>50.400000000000006</v>
      </c>
    </row>
    <row r="1527" spans="1:2" x14ac:dyDescent="0.25">
      <c r="A1527" s="1">
        <v>10</v>
      </c>
      <c r="B1527" s="1">
        <v>16.8</v>
      </c>
    </row>
    <row r="1528" spans="1:2" x14ac:dyDescent="0.25">
      <c r="A1528" s="1">
        <v>7.2</v>
      </c>
      <c r="B1528" s="1">
        <v>8.3999999999999986</v>
      </c>
    </row>
    <row r="1529" spans="1:2" x14ac:dyDescent="0.25">
      <c r="A1529" s="1">
        <v>59.64</v>
      </c>
      <c r="B1529" s="1">
        <v>6</v>
      </c>
    </row>
    <row r="1530" spans="1:2" x14ac:dyDescent="0.25">
      <c r="A1530" s="1">
        <v>75.64</v>
      </c>
      <c r="B1530" s="1">
        <v>16.8</v>
      </c>
    </row>
    <row r="1531" spans="1:2" x14ac:dyDescent="0.25">
      <c r="A1531" s="1">
        <v>51.64</v>
      </c>
      <c r="B1531" s="1">
        <v>33.6</v>
      </c>
    </row>
    <row r="1532" spans="1:2" x14ac:dyDescent="0.25">
      <c r="A1532" s="1">
        <v>9.6</v>
      </c>
      <c r="B1532" s="1">
        <v>16.8</v>
      </c>
    </row>
    <row r="1533" spans="1:2" x14ac:dyDescent="0.25">
      <c r="A1533" s="1">
        <v>51.64</v>
      </c>
      <c r="B1533" s="1">
        <v>11.2</v>
      </c>
    </row>
    <row r="1534" spans="1:2" x14ac:dyDescent="0.25">
      <c r="A1534" s="1">
        <v>2.4</v>
      </c>
      <c r="B1534" s="1">
        <v>16.8</v>
      </c>
    </row>
    <row r="1535" spans="1:2" x14ac:dyDescent="0.25">
      <c r="A1535" s="1">
        <v>7.2</v>
      </c>
      <c r="B1535" s="1">
        <v>33.6</v>
      </c>
    </row>
    <row r="1536" spans="1:2" x14ac:dyDescent="0.25">
      <c r="A1536" s="1">
        <v>59.64</v>
      </c>
      <c r="B1536" s="1">
        <v>16.8</v>
      </c>
    </row>
    <row r="1537" spans="1:2" x14ac:dyDescent="0.25">
      <c r="A1537" s="1">
        <v>8</v>
      </c>
      <c r="B1537" s="1">
        <v>16.8</v>
      </c>
    </row>
    <row r="1538" spans="1:2" x14ac:dyDescent="0.25">
      <c r="A1538" s="1">
        <v>59.64</v>
      </c>
      <c r="B1538" s="1">
        <v>33.6</v>
      </c>
    </row>
    <row r="1539" spans="1:2" x14ac:dyDescent="0.25">
      <c r="A1539" s="1">
        <v>20</v>
      </c>
      <c r="B1539" s="1">
        <v>16.8</v>
      </c>
    </row>
    <row r="1540" spans="1:2" x14ac:dyDescent="0.25">
      <c r="A1540" s="1">
        <v>7.2</v>
      </c>
      <c r="B1540" s="1">
        <v>16.8</v>
      </c>
    </row>
    <row r="1541" spans="1:2" x14ac:dyDescent="0.25">
      <c r="A1541" s="1">
        <v>5.5200000000000005</v>
      </c>
      <c r="B1541" s="1">
        <v>8</v>
      </c>
    </row>
    <row r="1542" spans="1:2" x14ac:dyDescent="0.25">
      <c r="A1542" s="1">
        <v>42</v>
      </c>
      <c r="B1542" s="1">
        <v>16.8</v>
      </c>
    </row>
    <row r="1543" spans="1:2" x14ac:dyDescent="0.25">
      <c r="A1543" s="1">
        <v>13.6</v>
      </c>
      <c r="B1543" s="1">
        <v>12</v>
      </c>
    </row>
    <row r="1544" spans="1:2" x14ac:dyDescent="0.25">
      <c r="A1544" s="1">
        <v>4.8</v>
      </c>
      <c r="B1544" s="1">
        <v>33.6</v>
      </c>
    </row>
    <row r="1545" spans="1:2" x14ac:dyDescent="0.25">
      <c r="A1545" s="1">
        <v>8</v>
      </c>
      <c r="B1545" s="1">
        <v>19.600000000000001</v>
      </c>
    </row>
    <row r="1546" spans="1:2" x14ac:dyDescent="0.25">
      <c r="A1546" s="1">
        <v>11.2</v>
      </c>
      <c r="B1546" s="1">
        <v>16.8</v>
      </c>
    </row>
    <row r="1547" spans="1:2" x14ac:dyDescent="0.25">
      <c r="A1547" s="1">
        <v>6</v>
      </c>
      <c r="B1547" s="1">
        <v>16.8</v>
      </c>
    </row>
    <row r="1548" spans="1:2" x14ac:dyDescent="0.25">
      <c r="A1548" s="1">
        <v>13.6</v>
      </c>
      <c r="B1548" s="1">
        <v>8.3999999999999986</v>
      </c>
    </row>
    <row r="1549" spans="1:2" x14ac:dyDescent="0.25">
      <c r="A1549" s="1">
        <v>26</v>
      </c>
      <c r="B1549" s="1">
        <v>16.8</v>
      </c>
    </row>
    <row r="1550" spans="1:2" x14ac:dyDescent="0.25">
      <c r="A1550" s="1">
        <v>59.64</v>
      </c>
      <c r="B1550" s="1">
        <v>33.6</v>
      </c>
    </row>
    <row r="1551" spans="1:2" x14ac:dyDescent="0.25">
      <c r="A1551" s="1">
        <v>42</v>
      </c>
      <c r="B1551" s="1">
        <v>16.8</v>
      </c>
    </row>
    <row r="1552" spans="1:2" x14ac:dyDescent="0.25">
      <c r="A1552" s="1">
        <v>2.4</v>
      </c>
      <c r="B1552" s="1">
        <v>16.8</v>
      </c>
    </row>
    <row r="1553" spans="1:2" x14ac:dyDescent="0.25">
      <c r="A1553" s="1">
        <v>5.5200000000000005</v>
      </c>
      <c r="B1553" s="1">
        <v>16.8</v>
      </c>
    </row>
    <row r="1554" spans="1:2" x14ac:dyDescent="0.25">
      <c r="A1554" s="1">
        <v>20</v>
      </c>
      <c r="B1554" s="1">
        <v>16.8</v>
      </c>
    </row>
    <row r="1555" spans="1:2" x14ac:dyDescent="0.25">
      <c r="A1555" s="1">
        <v>11.2</v>
      </c>
      <c r="B1555" s="1">
        <v>6</v>
      </c>
    </row>
    <row r="1556" spans="1:2" x14ac:dyDescent="0.25">
      <c r="A1556" s="1">
        <v>4.8</v>
      </c>
      <c r="B1556" s="1">
        <v>16.8</v>
      </c>
    </row>
    <row r="1557" spans="1:2" x14ac:dyDescent="0.25">
      <c r="A1557" s="1">
        <v>59.64</v>
      </c>
      <c r="B1557" s="1">
        <v>5.6</v>
      </c>
    </row>
    <row r="1558" spans="1:2" x14ac:dyDescent="0.25">
      <c r="A1558" s="1">
        <v>8</v>
      </c>
      <c r="B1558" s="1">
        <v>16.8</v>
      </c>
    </row>
    <row r="1559" spans="1:2" x14ac:dyDescent="0.25">
      <c r="A1559" s="1">
        <v>13.6</v>
      </c>
      <c r="B1559" s="1">
        <v>7.6</v>
      </c>
    </row>
    <row r="1560" spans="1:2" x14ac:dyDescent="0.25">
      <c r="A1560" s="1">
        <v>75.64</v>
      </c>
      <c r="B1560" s="1">
        <v>16.8</v>
      </c>
    </row>
    <row r="1561" spans="1:2" x14ac:dyDescent="0.25">
      <c r="A1561" s="1">
        <v>26</v>
      </c>
      <c r="B1561" s="1">
        <v>33.6</v>
      </c>
    </row>
    <row r="1562" spans="1:2" x14ac:dyDescent="0.25">
      <c r="A1562" s="1">
        <v>20</v>
      </c>
      <c r="B1562" s="1">
        <v>36</v>
      </c>
    </row>
    <row r="1563" spans="1:2" x14ac:dyDescent="0.25">
      <c r="A1563" s="1">
        <v>7.36</v>
      </c>
      <c r="B1563" s="1">
        <v>16.8</v>
      </c>
    </row>
    <row r="1564" spans="1:2" x14ac:dyDescent="0.25">
      <c r="A1564" s="1">
        <v>13.6</v>
      </c>
      <c r="B1564" s="1">
        <v>16.8</v>
      </c>
    </row>
    <row r="1565" spans="1:2" x14ac:dyDescent="0.25">
      <c r="A1565" s="1">
        <v>42</v>
      </c>
      <c r="B1565" s="1">
        <v>8.3999999999999986</v>
      </c>
    </row>
    <row r="1566" spans="1:2" x14ac:dyDescent="0.25">
      <c r="A1566" s="1">
        <v>59.64</v>
      </c>
      <c r="B1566" s="1">
        <v>33.6</v>
      </c>
    </row>
    <row r="1567" spans="1:2" x14ac:dyDescent="0.25">
      <c r="A1567" s="1">
        <v>59.64</v>
      </c>
      <c r="B1567" s="1">
        <v>16.8</v>
      </c>
    </row>
    <row r="1568" spans="1:2" x14ac:dyDescent="0.25">
      <c r="A1568" s="1">
        <v>11.2</v>
      </c>
      <c r="B1568" s="1">
        <v>6</v>
      </c>
    </row>
    <row r="1569" spans="1:2" x14ac:dyDescent="0.25">
      <c r="A1569" s="1">
        <v>7.2</v>
      </c>
      <c r="B1569" s="1">
        <v>16.8</v>
      </c>
    </row>
    <row r="1570" spans="1:2" x14ac:dyDescent="0.25">
      <c r="A1570" s="1">
        <v>4</v>
      </c>
      <c r="B1570" s="1">
        <v>11.2</v>
      </c>
    </row>
    <row r="1571" spans="1:2" x14ac:dyDescent="0.25">
      <c r="A1571" s="1">
        <v>4.8</v>
      </c>
      <c r="B1571" s="1">
        <v>16.8</v>
      </c>
    </row>
    <row r="1572" spans="1:2" x14ac:dyDescent="0.25">
      <c r="A1572" s="1">
        <v>6</v>
      </c>
      <c r="B1572" s="1">
        <v>33.6</v>
      </c>
    </row>
    <row r="1573" spans="1:2" x14ac:dyDescent="0.25">
      <c r="A1573" s="1">
        <v>51.64</v>
      </c>
      <c r="B1573" s="1">
        <v>16.8</v>
      </c>
    </row>
    <row r="1574" spans="1:2" x14ac:dyDescent="0.25">
      <c r="A1574" s="1">
        <v>20</v>
      </c>
      <c r="B1574" s="1">
        <v>16.8</v>
      </c>
    </row>
    <row r="1575" spans="1:2" x14ac:dyDescent="0.25">
      <c r="A1575" s="1">
        <v>7.2</v>
      </c>
      <c r="B1575" s="1">
        <v>36</v>
      </c>
    </row>
    <row r="1576" spans="1:2" x14ac:dyDescent="0.25">
      <c r="A1576" s="1">
        <v>3.68</v>
      </c>
      <c r="B1576" s="1">
        <v>33.6</v>
      </c>
    </row>
    <row r="1577" spans="1:2" x14ac:dyDescent="0.25">
      <c r="A1577" s="1">
        <v>13.6</v>
      </c>
      <c r="B1577" s="1">
        <v>7.6</v>
      </c>
    </row>
    <row r="1578" spans="1:2" x14ac:dyDescent="0.25">
      <c r="A1578" s="1">
        <v>35.200000000000003</v>
      </c>
      <c r="B1578" s="1">
        <v>16.8</v>
      </c>
    </row>
    <row r="1579" spans="1:2" x14ac:dyDescent="0.25">
      <c r="A1579" s="1">
        <v>13.6</v>
      </c>
      <c r="B1579" s="1">
        <v>12</v>
      </c>
    </row>
    <row r="1580" spans="1:2" x14ac:dyDescent="0.25">
      <c r="A1580" s="1">
        <v>11.2</v>
      </c>
      <c r="B1580" s="1">
        <v>16.8</v>
      </c>
    </row>
    <row r="1581" spans="1:2" x14ac:dyDescent="0.25">
      <c r="A1581" s="1">
        <v>42</v>
      </c>
      <c r="B1581" s="1">
        <v>8.3999999999999986</v>
      </c>
    </row>
    <row r="1582" spans="1:2" x14ac:dyDescent="0.25">
      <c r="A1582" s="1">
        <v>59.64</v>
      </c>
      <c r="B1582" s="1">
        <v>16.8</v>
      </c>
    </row>
    <row r="1583" spans="1:2" x14ac:dyDescent="0.25">
      <c r="A1583" s="1">
        <v>59.64</v>
      </c>
      <c r="B1583" s="1">
        <v>16.8</v>
      </c>
    </row>
    <row r="1584" spans="1:2" x14ac:dyDescent="0.25">
      <c r="A1584" s="1">
        <v>51.64</v>
      </c>
      <c r="B1584" s="1">
        <v>33.6</v>
      </c>
    </row>
    <row r="1585" spans="1:2" x14ac:dyDescent="0.25">
      <c r="A1585" s="1">
        <v>4.8</v>
      </c>
      <c r="B1585" s="1">
        <v>16.8</v>
      </c>
    </row>
    <row r="1586" spans="1:2" x14ac:dyDescent="0.25">
      <c r="A1586" s="1">
        <v>5.5200000000000005</v>
      </c>
      <c r="B1586" s="1">
        <v>11.2</v>
      </c>
    </row>
    <row r="1587" spans="1:2" x14ac:dyDescent="0.25">
      <c r="A1587" s="1">
        <v>20</v>
      </c>
      <c r="B1587" s="1">
        <v>16.8</v>
      </c>
    </row>
    <row r="1588" spans="1:2" x14ac:dyDescent="0.25">
      <c r="A1588" s="1">
        <v>26</v>
      </c>
      <c r="B1588" s="1">
        <v>12</v>
      </c>
    </row>
    <row r="1589" spans="1:2" x14ac:dyDescent="0.25">
      <c r="A1589" s="1">
        <v>7.36</v>
      </c>
      <c r="B1589" s="1">
        <v>16.8</v>
      </c>
    </row>
    <row r="1590" spans="1:2" x14ac:dyDescent="0.25">
      <c r="A1590" s="1">
        <v>13.6</v>
      </c>
      <c r="B1590" s="1">
        <v>19.600000000000001</v>
      </c>
    </row>
    <row r="1591" spans="1:2" x14ac:dyDescent="0.25">
      <c r="A1591" s="1">
        <v>42</v>
      </c>
      <c r="B1591" s="1">
        <v>16.8</v>
      </c>
    </row>
    <row r="1592" spans="1:2" x14ac:dyDescent="0.25">
      <c r="A1592" s="1">
        <v>11.2</v>
      </c>
      <c r="B1592" s="1">
        <v>16.8</v>
      </c>
    </row>
    <row r="1593" spans="1:2" x14ac:dyDescent="0.25">
      <c r="A1593" s="1">
        <v>7.2</v>
      </c>
      <c r="B1593" s="1">
        <v>33.6</v>
      </c>
    </row>
    <row r="1594" spans="1:2" x14ac:dyDescent="0.25">
      <c r="A1594" s="1">
        <v>7.1999999999999993</v>
      </c>
      <c r="B1594" s="1">
        <v>8</v>
      </c>
    </row>
    <row r="1595" spans="1:2" x14ac:dyDescent="0.25">
      <c r="A1595" s="1">
        <v>4.8</v>
      </c>
      <c r="B1595" s="1">
        <v>16.8</v>
      </c>
    </row>
    <row r="1596" spans="1:2" x14ac:dyDescent="0.25">
      <c r="A1596" s="1">
        <v>13.6</v>
      </c>
      <c r="B1596" s="1">
        <v>7.6</v>
      </c>
    </row>
    <row r="1597" spans="1:2" x14ac:dyDescent="0.25">
      <c r="A1597" s="1">
        <v>3.68</v>
      </c>
      <c r="B1597" s="1">
        <v>16.8</v>
      </c>
    </row>
    <row r="1598" spans="1:2" x14ac:dyDescent="0.25">
      <c r="A1598" s="1">
        <v>8</v>
      </c>
      <c r="B1598" s="1">
        <v>6</v>
      </c>
    </row>
    <row r="1599" spans="1:2" x14ac:dyDescent="0.25">
      <c r="A1599" s="1">
        <v>35.200000000000003</v>
      </c>
      <c r="B1599" s="1">
        <v>33.6</v>
      </c>
    </row>
    <row r="1600" spans="1:2" x14ac:dyDescent="0.25">
      <c r="A1600" s="1">
        <v>26</v>
      </c>
      <c r="B1600" s="1">
        <v>8.3999999999999986</v>
      </c>
    </row>
    <row r="1601" spans="1:2" x14ac:dyDescent="0.25">
      <c r="A1601" s="1">
        <v>6</v>
      </c>
      <c r="B1601" s="1">
        <v>16.8</v>
      </c>
    </row>
    <row r="1602" spans="1:2" x14ac:dyDescent="0.25">
      <c r="A1602" s="1">
        <v>13.6</v>
      </c>
      <c r="B1602" s="1">
        <v>36</v>
      </c>
    </row>
    <row r="1603" spans="1:2" x14ac:dyDescent="0.25">
      <c r="A1603" s="1">
        <v>7.2</v>
      </c>
      <c r="B1603" s="1">
        <v>16.8</v>
      </c>
    </row>
    <row r="1604" spans="1:2" x14ac:dyDescent="0.25">
      <c r="A1604" s="1">
        <v>59.64</v>
      </c>
      <c r="B1604" s="1">
        <v>16.8</v>
      </c>
    </row>
    <row r="1605" spans="1:2" x14ac:dyDescent="0.25">
      <c r="A1605" s="1">
        <v>20</v>
      </c>
      <c r="B1605" s="1">
        <v>33.6</v>
      </c>
    </row>
    <row r="1606" spans="1:2" x14ac:dyDescent="0.25">
      <c r="A1606" s="1">
        <v>59.64</v>
      </c>
      <c r="B1606" s="1">
        <v>6</v>
      </c>
    </row>
    <row r="1607" spans="1:2" x14ac:dyDescent="0.25">
      <c r="A1607" s="1">
        <v>7.1999999999999993</v>
      </c>
      <c r="B1607" s="1">
        <v>16.8</v>
      </c>
    </row>
    <row r="1608" spans="1:2" x14ac:dyDescent="0.25">
      <c r="A1608" s="1">
        <v>5.5200000000000005</v>
      </c>
      <c r="B1608" s="1">
        <v>8.3999999999999986</v>
      </c>
    </row>
    <row r="1609" spans="1:2" x14ac:dyDescent="0.25">
      <c r="A1609" s="1">
        <v>13.6</v>
      </c>
      <c r="B1609" s="1">
        <v>16.8</v>
      </c>
    </row>
    <row r="1610" spans="1:2" x14ac:dyDescent="0.25">
      <c r="A1610" s="1">
        <v>18.8</v>
      </c>
      <c r="B1610" s="1">
        <v>6</v>
      </c>
    </row>
    <row r="1611" spans="1:2" x14ac:dyDescent="0.25">
      <c r="A1611" s="1">
        <v>20</v>
      </c>
      <c r="B1611" s="1">
        <v>33.6</v>
      </c>
    </row>
    <row r="1612" spans="1:2" x14ac:dyDescent="0.25">
      <c r="A1612" s="1">
        <v>4.8</v>
      </c>
      <c r="B1612" s="1">
        <v>16.8</v>
      </c>
    </row>
    <row r="1613" spans="1:2" x14ac:dyDescent="0.25">
      <c r="A1613" s="1">
        <v>6</v>
      </c>
      <c r="B1613" s="1">
        <v>16.8</v>
      </c>
    </row>
    <row r="1614" spans="1:2" x14ac:dyDescent="0.25">
      <c r="A1614" s="1">
        <v>4</v>
      </c>
      <c r="B1614" s="1">
        <v>36</v>
      </c>
    </row>
    <row r="1615" spans="1:2" x14ac:dyDescent="0.25">
      <c r="A1615" s="1">
        <v>10</v>
      </c>
      <c r="B1615" s="1">
        <v>33.6</v>
      </c>
    </row>
    <row r="1616" spans="1:2" x14ac:dyDescent="0.25">
      <c r="A1616" s="1">
        <v>13.6</v>
      </c>
      <c r="B1616" s="1">
        <v>11.2</v>
      </c>
    </row>
    <row r="1617" spans="1:2" x14ac:dyDescent="0.25">
      <c r="A1617" s="1">
        <v>5.5200000000000005</v>
      </c>
      <c r="B1617" s="1">
        <v>16.8</v>
      </c>
    </row>
    <row r="1618" spans="1:2" x14ac:dyDescent="0.25">
      <c r="A1618" s="1">
        <v>4.8</v>
      </c>
      <c r="B1618" s="1">
        <v>16.8</v>
      </c>
    </row>
    <row r="1619" spans="1:2" x14ac:dyDescent="0.25">
      <c r="A1619" s="1">
        <v>42</v>
      </c>
      <c r="B1619" s="1">
        <v>6</v>
      </c>
    </row>
    <row r="1620" spans="1:2" x14ac:dyDescent="0.25">
      <c r="A1620" s="1">
        <v>51.64</v>
      </c>
      <c r="B1620" s="1">
        <v>16.8</v>
      </c>
    </row>
    <row r="1621" spans="1:2" x14ac:dyDescent="0.25">
      <c r="A1621" s="1">
        <v>20</v>
      </c>
      <c r="B1621" s="1">
        <v>8.3999999999999986</v>
      </c>
    </row>
    <row r="1622" spans="1:2" x14ac:dyDescent="0.25">
      <c r="A1622" s="1">
        <v>11.2</v>
      </c>
      <c r="B1622" s="1">
        <v>33.6</v>
      </c>
    </row>
    <row r="1623" spans="1:2" x14ac:dyDescent="0.25">
      <c r="A1623" s="1">
        <v>59.64</v>
      </c>
      <c r="B1623" s="1">
        <v>16.8</v>
      </c>
    </row>
    <row r="1624" spans="1:2" x14ac:dyDescent="0.25">
      <c r="A1624" s="1">
        <v>6</v>
      </c>
      <c r="B1624" s="1">
        <v>19.600000000000001</v>
      </c>
    </row>
    <row r="1625" spans="1:2" x14ac:dyDescent="0.25">
      <c r="A1625" s="1">
        <v>3.68</v>
      </c>
      <c r="B1625" s="1">
        <v>16.8</v>
      </c>
    </row>
    <row r="1626" spans="1:2" x14ac:dyDescent="0.25">
      <c r="A1626" s="1">
        <v>4</v>
      </c>
      <c r="B1626" s="1">
        <v>7.6</v>
      </c>
    </row>
    <row r="1627" spans="1:2" x14ac:dyDescent="0.25">
      <c r="A1627" s="1">
        <v>13.6</v>
      </c>
      <c r="B1627" s="1">
        <v>33.6</v>
      </c>
    </row>
    <row r="1628" spans="1:2" x14ac:dyDescent="0.25">
      <c r="A1628" s="1">
        <v>35.200000000000003</v>
      </c>
      <c r="B1628" s="1">
        <v>16.8</v>
      </c>
    </row>
    <row r="1629" spans="1:2" x14ac:dyDescent="0.25">
      <c r="A1629" s="1">
        <v>26</v>
      </c>
      <c r="B1629" s="1">
        <v>16.8</v>
      </c>
    </row>
    <row r="1630" spans="1:2" x14ac:dyDescent="0.25">
      <c r="A1630" s="1">
        <v>20</v>
      </c>
      <c r="B1630" s="1">
        <v>11.2</v>
      </c>
    </row>
    <row r="1631" spans="1:2" x14ac:dyDescent="0.25">
      <c r="A1631" s="1">
        <v>59.64</v>
      </c>
      <c r="B1631" s="1">
        <v>16.8</v>
      </c>
    </row>
    <row r="1632" spans="1:2" x14ac:dyDescent="0.25">
      <c r="A1632" s="1">
        <v>7.2</v>
      </c>
      <c r="B1632" s="1">
        <v>6</v>
      </c>
    </row>
    <row r="1633" spans="1:2" x14ac:dyDescent="0.25">
      <c r="A1633" s="1">
        <v>20</v>
      </c>
      <c r="B1633" s="1">
        <v>16.8</v>
      </c>
    </row>
    <row r="1634" spans="1:2" x14ac:dyDescent="0.25">
      <c r="A1634" s="1">
        <v>13.6</v>
      </c>
      <c r="B1634" s="1">
        <v>5.6</v>
      </c>
    </row>
    <row r="1635" spans="1:2" x14ac:dyDescent="0.25">
      <c r="A1635" s="1">
        <v>11.2</v>
      </c>
      <c r="B1635" s="1">
        <v>16.8</v>
      </c>
    </row>
    <row r="1636" spans="1:2" x14ac:dyDescent="0.25">
      <c r="A1636" s="1">
        <v>8</v>
      </c>
      <c r="B1636" s="1">
        <v>16.8</v>
      </c>
    </row>
    <row r="1637" spans="1:2" x14ac:dyDescent="0.25">
      <c r="A1637" s="1">
        <v>4.8</v>
      </c>
      <c r="B1637" s="1">
        <v>7.6</v>
      </c>
    </row>
    <row r="1638" spans="1:2" x14ac:dyDescent="0.25">
      <c r="A1638" s="1">
        <v>5.5200000000000005</v>
      </c>
      <c r="B1638" s="1">
        <v>16.8</v>
      </c>
    </row>
    <row r="1639" spans="1:2" x14ac:dyDescent="0.25">
      <c r="A1639" s="1">
        <v>42</v>
      </c>
      <c r="B1639" s="1">
        <v>36</v>
      </c>
    </row>
    <row r="1640" spans="1:2" x14ac:dyDescent="0.25">
      <c r="A1640" s="1">
        <v>59.64</v>
      </c>
      <c r="B1640" s="1">
        <v>33.6</v>
      </c>
    </row>
    <row r="1641" spans="1:2" x14ac:dyDescent="0.25">
      <c r="A1641" s="1">
        <v>8</v>
      </c>
      <c r="B1641" s="1">
        <v>16.8</v>
      </c>
    </row>
    <row r="1642" spans="1:2" x14ac:dyDescent="0.25">
      <c r="A1642" s="1">
        <v>42</v>
      </c>
      <c r="B1642" s="1">
        <v>16.8</v>
      </c>
    </row>
    <row r="1643" spans="1:2" x14ac:dyDescent="0.25">
      <c r="A1643" s="1">
        <v>6</v>
      </c>
      <c r="B1643" s="1">
        <v>8.3999999999999986</v>
      </c>
    </row>
    <row r="1644" spans="1:2" x14ac:dyDescent="0.25">
      <c r="A1644" s="1">
        <v>51.64</v>
      </c>
      <c r="B1644" s="1">
        <v>33.6</v>
      </c>
    </row>
    <row r="1645" spans="1:2" x14ac:dyDescent="0.25">
      <c r="A1645" s="1">
        <v>20</v>
      </c>
      <c r="B1645" s="1">
        <v>6</v>
      </c>
    </row>
    <row r="1646" spans="1:2" x14ac:dyDescent="0.25">
      <c r="A1646" s="1">
        <v>8</v>
      </c>
      <c r="B1646" s="1">
        <v>16.8</v>
      </c>
    </row>
    <row r="1647" spans="1:2" x14ac:dyDescent="0.25">
      <c r="A1647" s="1">
        <v>4</v>
      </c>
      <c r="B1647" s="1">
        <v>36</v>
      </c>
    </row>
    <row r="1648" spans="1:2" x14ac:dyDescent="0.25">
      <c r="A1648" s="1">
        <v>7.2</v>
      </c>
      <c r="B1648" s="1">
        <v>16.8</v>
      </c>
    </row>
    <row r="1649" spans="1:2" x14ac:dyDescent="0.25">
      <c r="A1649" s="1">
        <v>75.64</v>
      </c>
      <c r="B1649" s="1">
        <v>11.2</v>
      </c>
    </row>
    <row r="1650" spans="1:2" x14ac:dyDescent="0.25">
      <c r="A1650" s="1">
        <v>26</v>
      </c>
      <c r="B1650" s="1">
        <v>33.6</v>
      </c>
    </row>
    <row r="1651" spans="1:2" x14ac:dyDescent="0.25">
      <c r="A1651" s="1">
        <v>10</v>
      </c>
      <c r="B1651" s="1">
        <v>16.8</v>
      </c>
    </row>
    <row r="1652" spans="1:2" x14ac:dyDescent="0.25">
      <c r="A1652" s="1">
        <v>7.6</v>
      </c>
      <c r="B1652" s="1">
        <v>16.8</v>
      </c>
    </row>
    <row r="1653" spans="1:2" x14ac:dyDescent="0.25">
      <c r="A1653" s="1">
        <v>11.2</v>
      </c>
      <c r="B1653" s="1">
        <v>7.6</v>
      </c>
    </row>
    <row r="1654" spans="1:2" x14ac:dyDescent="0.25">
      <c r="A1654" s="1">
        <v>10</v>
      </c>
      <c r="B1654" s="1">
        <v>16.8</v>
      </c>
    </row>
    <row r="1655" spans="1:2" x14ac:dyDescent="0.25">
      <c r="A1655" s="1">
        <v>33.200000000000003</v>
      </c>
      <c r="B1655" s="1">
        <v>16.8</v>
      </c>
    </row>
    <row r="1656" spans="1:2" x14ac:dyDescent="0.25">
      <c r="A1656" s="1">
        <v>14</v>
      </c>
      <c r="B1656" s="1">
        <v>8.3999999999999986</v>
      </c>
    </row>
    <row r="1657" spans="1:2" x14ac:dyDescent="0.25">
      <c r="A1657" s="1">
        <v>8</v>
      </c>
      <c r="B1657" s="1">
        <v>16.8</v>
      </c>
    </row>
    <row r="1658" spans="1:2" x14ac:dyDescent="0.25">
      <c r="A1658" s="1">
        <v>59.64</v>
      </c>
      <c r="B1658" s="1">
        <v>6</v>
      </c>
    </row>
    <row r="1659" spans="1:2" x14ac:dyDescent="0.25">
      <c r="A1659" s="1">
        <v>6</v>
      </c>
      <c r="B1659" s="1">
        <v>16.8</v>
      </c>
    </row>
    <row r="1660" spans="1:2" x14ac:dyDescent="0.25">
      <c r="A1660" s="1">
        <v>4.8</v>
      </c>
      <c r="B1660" s="1">
        <v>8.3999999999999986</v>
      </c>
    </row>
    <row r="1661" spans="1:2" x14ac:dyDescent="0.25">
      <c r="A1661" s="1">
        <v>6</v>
      </c>
      <c r="B1661" s="1">
        <v>33.6</v>
      </c>
    </row>
    <row r="1662" spans="1:2" x14ac:dyDescent="0.25">
      <c r="A1662" s="1">
        <v>13.6</v>
      </c>
      <c r="B1662" s="1">
        <v>36</v>
      </c>
    </row>
    <row r="1663" spans="1:2" x14ac:dyDescent="0.25">
      <c r="A1663" s="1">
        <v>20</v>
      </c>
      <c r="B1663" s="1">
        <v>16.8</v>
      </c>
    </row>
    <row r="1664" spans="1:2" x14ac:dyDescent="0.25">
      <c r="A1664" s="1">
        <v>7.2</v>
      </c>
      <c r="B1664" s="1">
        <v>16.8</v>
      </c>
    </row>
    <row r="1665" spans="1:2" x14ac:dyDescent="0.25">
      <c r="A1665" s="1">
        <v>36</v>
      </c>
      <c r="B1665" s="1">
        <v>8</v>
      </c>
    </row>
    <row r="1666" spans="1:2" x14ac:dyDescent="0.25">
      <c r="A1666" s="1">
        <v>20</v>
      </c>
      <c r="B1666" s="1">
        <v>16.8</v>
      </c>
    </row>
    <row r="1667" spans="1:2" x14ac:dyDescent="0.25">
      <c r="A1667" s="1">
        <v>20</v>
      </c>
      <c r="B1667" s="1">
        <v>12</v>
      </c>
    </row>
    <row r="1668" spans="1:2" x14ac:dyDescent="0.25">
      <c r="A1668" s="1">
        <v>12</v>
      </c>
      <c r="B1668" s="1">
        <v>33.6</v>
      </c>
    </row>
    <row r="1669" spans="1:2" x14ac:dyDescent="0.25">
      <c r="A1669" s="1">
        <v>11.2</v>
      </c>
      <c r="B1669" s="1">
        <v>16.8</v>
      </c>
    </row>
    <row r="1670" spans="1:2" x14ac:dyDescent="0.25">
      <c r="A1670" s="1">
        <v>42</v>
      </c>
      <c r="B1670" s="1">
        <v>8.3999999999999986</v>
      </c>
    </row>
    <row r="1671" spans="1:2" x14ac:dyDescent="0.25">
      <c r="A1671" s="1">
        <v>59.64</v>
      </c>
      <c r="B1671" s="1">
        <v>36</v>
      </c>
    </row>
    <row r="1672" spans="1:2" x14ac:dyDescent="0.25">
      <c r="A1672" s="1">
        <v>36</v>
      </c>
      <c r="B1672" s="1">
        <v>16.8</v>
      </c>
    </row>
    <row r="1673" spans="1:2" x14ac:dyDescent="0.25">
      <c r="A1673" s="1">
        <v>9.1999999999999993</v>
      </c>
      <c r="B1673" s="1">
        <v>12</v>
      </c>
    </row>
    <row r="1674" spans="1:2" x14ac:dyDescent="0.25">
      <c r="A1674" s="1">
        <v>38</v>
      </c>
      <c r="B1674" s="1">
        <v>33.6</v>
      </c>
    </row>
    <row r="1675" spans="1:2" x14ac:dyDescent="0.25">
      <c r="A1675" s="1">
        <v>59.64</v>
      </c>
      <c r="B1675" s="1">
        <v>16.8</v>
      </c>
    </row>
    <row r="1676" spans="1:2" x14ac:dyDescent="0.25">
      <c r="A1676" s="1">
        <v>9.6</v>
      </c>
      <c r="B1676" s="1">
        <v>7.6</v>
      </c>
    </row>
    <row r="1677" spans="1:2" x14ac:dyDescent="0.25">
      <c r="A1677" s="1">
        <v>10</v>
      </c>
      <c r="B1677" s="1">
        <v>16.8</v>
      </c>
    </row>
    <row r="1678" spans="1:2" x14ac:dyDescent="0.25">
      <c r="A1678" s="1">
        <v>42</v>
      </c>
      <c r="B1678" s="1">
        <v>36</v>
      </c>
    </row>
    <row r="1679" spans="1:2" x14ac:dyDescent="0.25">
      <c r="A1679" s="1">
        <v>11.2</v>
      </c>
      <c r="B1679" s="1">
        <v>16.8</v>
      </c>
    </row>
    <row r="1680" spans="1:2" x14ac:dyDescent="0.25">
      <c r="A1680" s="1">
        <v>10</v>
      </c>
      <c r="B1680" s="1">
        <v>16.8</v>
      </c>
    </row>
    <row r="1681" spans="1:2" x14ac:dyDescent="0.25">
      <c r="A1681" s="1">
        <v>2.4</v>
      </c>
      <c r="B1681" s="1">
        <v>5.6</v>
      </c>
    </row>
    <row r="1682" spans="1:2" x14ac:dyDescent="0.25">
      <c r="A1682" s="1">
        <v>51.64</v>
      </c>
      <c r="B1682" s="1">
        <v>33.6</v>
      </c>
    </row>
    <row r="1683" spans="1:2" x14ac:dyDescent="0.25">
      <c r="A1683" s="1">
        <v>4</v>
      </c>
      <c r="B1683" s="1">
        <v>6</v>
      </c>
    </row>
    <row r="1684" spans="1:2" x14ac:dyDescent="0.25">
      <c r="A1684" s="1">
        <v>12</v>
      </c>
      <c r="B1684" s="1">
        <v>16.8</v>
      </c>
    </row>
    <row r="1685" spans="1:2" x14ac:dyDescent="0.25">
      <c r="A1685" s="1">
        <v>13.6</v>
      </c>
      <c r="B1685" s="1">
        <v>36</v>
      </c>
    </row>
    <row r="1686" spans="1:2" x14ac:dyDescent="0.25">
      <c r="A1686" s="1">
        <v>20</v>
      </c>
      <c r="B1686" s="1">
        <v>16.8</v>
      </c>
    </row>
    <row r="1687" spans="1:2" x14ac:dyDescent="0.25">
      <c r="A1687" s="1">
        <v>9.6</v>
      </c>
      <c r="B1687" s="1">
        <v>16.8</v>
      </c>
    </row>
    <row r="1688" spans="1:2" x14ac:dyDescent="0.25">
      <c r="A1688" s="1">
        <v>26</v>
      </c>
      <c r="B1688" s="1">
        <v>8</v>
      </c>
    </row>
    <row r="1689" spans="1:2" x14ac:dyDescent="0.25">
      <c r="A1689" s="1">
        <v>8</v>
      </c>
      <c r="B1689" s="1">
        <v>33.6</v>
      </c>
    </row>
    <row r="1690" spans="1:2" x14ac:dyDescent="0.25">
      <c r="A1690" s="1">
        <v>4.8</v>
      </c>
      <c r="B1690" s="1">
        <v>7.6</v>
      </c>
    </row>
    <row r="1691" spans="1:2" x14ac:dyDescent="0.25">
      <c r="A1691" s="1">
        <v>10</v>
      </c>
      <c r="B1691" s="1">
        <v>16.8</v>
      </c>
    </row>
    <row r="1692" spans="1:2" x14ac:dyDescent="0.25">
      <c r="A1692" s="1">
        <v>51.64</v>
      </c>
      <c r="B1692" s="1">
        <v>6</v>
      </c>
    </row>
    <row r="1693" spans="1:2" x14ac:dyDescent="0.25">
      <c r="A1693" s="1">
        <v>7.1999999999999993</v>
      </c>
      <c r="B1693" s="1">
        <v>16.8</v>
      </c>
    </row>
    <row r="1694" spans="1:2" x14ac:dyDescent="0.25">
      <c r="A1694" s="1">
        <v>13.6</v>
      </c>
      <c r="B1694" s="1">
        <v>36</v>
      </c>
    </row>
    <row r="1695" spans="1:2" x14ac:dyDescent="0.25">
      <c r="A1695" s="1">
        <v>59.64</v>
      </c>
      <c r="B1695" s="1">
        <v>16.8</v>
      </c>
    </row>
    <row r="1696" spans="1:2" x14ac:dyDescent="0.25">
      <c r="A1696" s="1">
        <v>20</v>
      </c>
      <c r="B1696" s="1">
        <v>8.3999999999999986</v>
      </c>
    </row>
    <row r="1697" spans="1:2" x14ac:dyDescent="0.25">
      <c r="A1697" s="1">
        <v>42</v>
      </c>
      <c r="B1697" s="1">
        <v>16.8</v>
      </c>
    </row>
    <row r="1698" spans="1:2" x14ac:dyDescent="0.25">
      <c r="A1698" s="1">
        <v>11.2</v>
      </c>
      <c r="B1698" s="1">
        <v>33.6</v>
      </c>
    </row>
    <row r="1699" spans="1:2" x14ac:dyDescent="0.25">
      <c r="A1699" s="1">
        <v>20</v>
      </c>
      <c r="B1699" s="1">
        <v>6</v>
      </c>
    </row>
    <row r="1700" spans="1:2" x14ac:dyDescent="0.25">
      <c r="A1700" s="1">
        <v>7.2</v>
      </c>
      <c r="B1700" s="1">
        <v>16.8</v>
      </c>
    </row>
    <row r="1701" spans="1:2" x14ac:dyDescent="0.25">
      <c r="A1701" s="1">
        <v>4.8</v>
      </c>
      <c r="B1701" s="1">
        <v>16.8</v>
      </c>
    </row>
    <row r="1702" spans="1:2" x14ac:dyDescent="0.25">
      <c r="A1702" s="1">
        <v>13.6</v>
      </c>
      <c r="B1702" s="1">
        <v>16.8</v>
      </c>
    </row>
    <row r="1703" spans="1:2" x14ac:dyDescent="0.25">
      <c r="A1703" s="1">
        <v>12</v>
      </c>
      <c r="B1703" s="1">
        <v>36</v>
      </c>
    </row>
    <row r="1704" spans="1:2" x14ac:dyDescent="0.25">
      <c r="A1704" s="1">
        <v>4</v>
      </c>
      <c r="B1704" s="1">
        <v>16.8</v>
      </c>
    </row>
    <row r="1705" spans="1:2" x14ac:dyDescent="0.25">
      <c r="A1705" s="1">
        <v>4.8</v>
      </c>
      <c r="B1705" s="1">
        <v>7.6</v>
      </c>
    </row>
    <row r="1706" spans="1:2" x14ac:dyDescent="0.25">
      <c r="A1706" s="1">
        <v>8</v>
      </c>
      <c r="B1706" s="1">
        <v>16.8</v>
      </c>
    </row>
    <row r="1707" spans="1:2" x14ac:dyDescent="0.25">
      <c r="A1707" s="1">
        <v>38</v>
      </c>
      <c r="B1707" s="1">
        <v>8.3999999999999986</v>
      </c>
    </row>
    <row r="1708" spans="1:2" x14ac:dyDescent="0.25">
      <c r="A1708" s="1">
        <v>14</v>
      </c>
      <c r="B1708" s="1">
        <v>16.8</v>
      </c>
    </row>
    <row r="1709" spans="1:2" x14ac:dyDescent="0.25">
      <c r="A1709" s="1">
        <v>36</v>
      </c>
      <c r="B1709" s="1">
        <v>6</v>
      </c>
    </row>
    <row r="1710" spans="1:2" x14ac:dyDescent="0.25">
      <c r="A1710" s="1">
        <v>51.64</v>
      </c>
      <c r="B1710" s="1">
        <v>33.6</v>
      </c>
    </row>
    <row r="1711" spans="1:2" x14ac:dyDescent="0.25">
      <c r="A1711" s="1">
        <v>7.2</v>
      </c>
      <c r="B1711" s="1">
        <v>36</v>
      </c>
    </row>
    <row r="1712" spans="1:2" x14ac:dyDescent="0.25">
      <c r="A1712" s="1">
        <v>51.64</v>
      </c>
      <c r="B1712" s="1">
        <v>16.8</v>
      </c>
    </row>
    <row r="1713" spans="1:2" x14ac:dyDescent="0.25">
      <c r="A1713" s="1">
        <v>42</v>
      </c>
      <c r="B1713" s="1">
        <v>16.8</v>
      </c>
    </row>
    <row r="1714" spans="1:2" x14ac:dyDescent="0.25">
      <c r="A1714" s="1">
        <v>7.1999999999999993</v>
      </c>
      <c r="B1714" s="1">
        <v>33.6</v>
      </c>
    </row>
    <row r="1715" spans="1:2" x14ac:dyDescent="0.25">
      <c r="A1715" s="1">
        <v>51.64</v>
      </c>
      <c r="B1715" s="1">
        <v>8.3999999999999986</v>
      </c>
    </row>
    <row r="1716" spans="1:2" x14ac:dyDescent="0.25">
      <c r="A1716" s="1">
        <v>20</v>
      </c>
      <c r="B1716" s="1">
        <v>16.8</v>
      </c>
    </row>
    <row r="1717" spans="1:2" x14ac:dyDescent="0.25">
      <c r="A1717" s="1">
        <v>36</v>
      </c>
      <c r="B1717" s="1">
        <v>6</v>
      </c>
    </row>
    <row r="1718" spans="1:2" x14ac:dyDescent="0.25">
      <c r="A1718" s="1">
        <v>14</v>
      </c>
      <c r="B1718" s="1">
        <v>16.8</v>
      </c>
    </row>
    <row r="1719" spans="1:2" x14ac:dyDescent="0.25">
      <c r="A1719" s="1">
        <v>7.2</v>
      </c>
      <c r="B1719" s="1">
        <v>8.3999999999999986</v>
      </c>
    </row>
    <row r="1720" spans="1:2" x14ac:dyDescent="0.25">
      <c r="A1720" s="1">
        <v>36</v>
      </c>
      <c r="B1720" s="1">
        <v>33.6</v>
      </c>
    </row>
    <row r="1721" spans="1:2" x14ac:dyDescent="0.25">
      <c r="A1721" s="1">
        <v>8</v>
      </c>
      <c r="B1721" s="1">
        <v>16.8</v>
      </c>
    </row>
    <row r="1722" spans="1:2" x14ac:dyDescent="0.25">
      <c r="A1722" s="1">
        <v>38</v>
      </c>
      <c r="B1722" s="1">
        <v>16.8</v>
      </c>
    </row>
    <row r="1723" spans="1:2" x14ac:dyDescent="0.25">
      <c r="A1723" s="1">
        <v>51.64</v>
      </c>
      <c r="B1723" s="1">
        <v>7.6</v>
      </c>
    </row>
    <row r="1724" spans="1:2" x14ac:dyDescent="0.25">
      <c r="A1724" s="1">
        <v>4.8</v>
      </c>
      <c r="B1724" s="1">
        <v>33.6</v>
      </c>
    </row>
    <row r="1725" spans="1:2" x14ac:dyDescent="0.25">
      <c r="A1725" s="1">
        <v>10</v>
      </c>
      <c r="B1725" s="1">
        <v>16.8</v>
      </c>
    </row>
    <row r="1726" spans="1:2" x14ac:dyDescent="0.25">
      <c r="A1726" s="1">
        <v>8</v>
      </c>
      <c r="B1726" s="1">
        <v>36</v>
      </c>
    </row>
    <row r="1727" spans="1:2" x14ac:dyDescent="0.25">
      <c r="A1727" s="1">
        <v>20</v>
      </c>
      <c r="B1727" s="1">
        <v>16.8</v>
      </c>
    </row>
    <row r="1728" spans="1:2" x14ac:dyDescent="0.25">
      <c r="A1728" s="1">
        <v>11.2</v>
      </c>
      <c r="B1728" s="1">
        <v>12</v>
      </c>
    </row>
    <row r="1729" spans="1:2" x14ac:dyDescent="0.25">
      <c r="A1729" s="1">
        <v>13.6</v>
      </c>
      <c r="B1729" s="1">
        <v>16.8</v>
      </c>
    </row>
    <row r="1730" spans="1:2" x14ac:dyDescent="0.25">
      <c r="A1730" s="1">
        <v>14</v>
      </c>
      <c r="B1730" s="1">
        <v>8.3999999999999986</v>
      </c>
    </row>
    <row r="1731" spans="1:2" x14ac:dyDescent="0.25">
      <c r="A1731" s="1">
        <v>4.8</v>
      </c>
      <c r="B1731" s="1">
        <v>33.6</v>
      </c>
    </row>
    <row r="1732" spans="1:2" x14ac:dyDescent="0.25">
      <c r="A1732" s="1">
        <v>51.64</v>
      </c>
      <c r="B1732" s="1">
        <v>6</v>
      </c>
    </row>
    <row r="1733" spans="1:2" x14ac:dyDescent="0.25">
      <c r="A1733" s="1">
        <v>42</v>
      </c>
      <c r="B1733" s="1">
        <v>16.8</v>
      </c>
    </row>
    <row r="1734" spans="1:2" x14ac:dyDescent="0.25">
      <c r="A1734" s="1">
        <v>14</v>
      </c>
      <c r="B1734" s="1">
        <v>8.3999999999999986</v>
      </c>
    </row>
    <row r="1735" spans="1:2" x14ac:dyDescent="0.25">
      <c r="A1735" s="1">
        <v>4.8</v>
      </c>
      <c r="B1735" s="1">
        <v>33.6</v>
      </c>
    </row>
    <row r="1736" spans="1:2" x14ac:dyDescent="0.25">
      <c r="A1736" s="1">
        <v>9.6</v>
      </c>
      <c r="B1736" s="1">
        <v>7.6</v>
      </c>
    </row>
    <row r="1737" spans="1:2" x14ac:dyDescent="0.25">
      <c r="A1737" s="1">
        <v>8</v>
      </c>
      <c r="B1737" s="1">
        <v>16.8</v>
      </c>
    </row>
    <row r="1738" spans="1:2" x14ac:dyDescent="0.25">
      <c r="A1738" s="1">
        <v>26</v>
      </c>
      <c r="B1738" s="1">
        <v>16.8</v>
      </c>
    </row>
    <row r="1739" spans="1:2" x14ac:dyDescent="0.25">
      <c r="A1739" s="1">
        <v>59.64</v>
      </c>
      <c r="B1739" s="1">
        <v>36</v>
      </c>
    </row>
    <row r="1740" spans="1:2" x14ac:dyDescent="0.25">
      <c r="A1740" s="1">
        <v>51.64</v>
      </c>
      <c r="B1740" s="1">
        <v>16.8</v>
      </c>
    </row>
    <row r="1741" spans="1:2" x14ac:dyDescent="0.25">
      <c r="A1741" s="1">
        <v>7.1999999999999993</v>
      </c>
      <c r="B1741" s="1">
        <v>16.8</v>
      </c>
    </row>
    <row r="1742" spans="1:2" x14ac:dyDescent="0.25">
      <c r="A1742" s="1">
        <v>8</v>
      </c>
      <c r="B1742" s="1">
        <v>33.6</v>
      </c>
    </row>
    <row r="1743" spans="1:2" x14ac:dyDescent="0.25">
      <c r="A1743" s="1">
        <v>7.6</v>
      </c>
      <c r="B1743" s="1">
        <v>6</v>
      </c>
    </row>
    <row r="1744" spans="1:2" x14ac:dyDescent="0.25">
      <c r="A1744" s="1">
        <v>20</v>
      </c>
      <c r="B1744" s="1">
        <v>16.8</v>
      </c>
    </row>
    <row r="1745" spans="1:2" x14ac:dyDescent="0.25">
      <c r="A1745" s="1">
        <v>51.64</v>
      </c>
      <c r="B1745" s="1">
        <v>36</v>
      </c>
    </row>
    <row r="1746" spans="1:2" x14ac:dyDescent="0.25">
      <c r="A1746" s="1">
        <v>26</v>
      </c>
      <c r="B1746" s="1">
        <v>16.8</v>
      </c>
    </row>
    <row r="1747" spans="1:2" x14ac:dyDescent="0.25">
      <c r="A1747" s="1">
        <v>7.1999999999999993</v>
      </c>
      <c r="B1747" s="1">
        <v>7.6</v>
      </c>
    </row>
    <row r="1748" spans="1:2" x14ac:dyDescent="0.25">
      <c r="A1748" s="1">
        <v>51.64</v>
      </c>
      <c r="B1748" s="1">
        <v>33.6</v>
      </c>
    </row>
    <row r="1749" spans="1:2" x14ac:dyDescent="0.25">
      <c r="A1749" s="1">
        <v>42</v>
      </c>
      <c r="B1749" s="1">
        <v>16.8</v>
      </c>
    </row>
    <row r="1750" spans="1:2" x14ac:dyDescent="0.25">
      <c r="A1750" s="1">
        <v>6</v>
      </c>
      <c r="B1750" s="1">
        <v>8</v>
      </c>
    </row>
    <row r="1751" spans="1:2" x14ac:dyDescent="0.25">
      <c r="A1751" s="1">
        <v>7.2</v>
      </c>
      <c r="B1751" s="1">
        <v>16.8</v>
      </c>
    </row>
    <row r="1752" spans="1:2" x14ac:dyDescent="0.25">
      <c r="A1752" s="1">
        <v>14</v>
      </c>
      <c r="B1752" s="1">
        <v>8.3999999999999986</v>
      </c>
    </row>
    <row r="1753" spans="1:2" x14ac:dyDescent="0.25">
      <c r="A1753" s="1">
        <v>4.8</v>
      </c>
      <c r="B1753" s="1">
        <v>33.6</v>
      </c>
    </row>
    <row r="1754" spans="1:2" x14ac:dyDescent="0.25">
      <c r="A1754" s="1">
        <v>51.64</v>
      </c>
      <c r="B1754" s="1">
        <v>36</v>
      </c>
    </row>
    <row r="1755" spans="1:2" x14ac:dyDescent="0.25">
      <c r="A1755" s="1">
        <v>36</v>
      </c>
      <c r="B1755" s="1">
        <v>16.8</v>
      </c>
    </row>
    <row r="1756" spans="1:2" x14ac:dyDescent="0.25">
      <c r="A1756" s="1">
        <v>7.1999999999999993</v>
      </c>
      <c r="B1756" s="1">
        <v>12</v>
      </c>
    </row>
    <row r="1757" spans="1:2" x14ac:dyDescent="0.25">
      <c r="A1757" s="1">
        <v>7.6</v>
      </c>
      <c r="B1757" s="1">
        <v>16.8</v>
      </c>
    </row>
    <row r="1758" spans="1:2" x14ac:dyDescent="0.25">
      <c r="A1758" s="1">
        <v>26</v>
      </c>
      <c r="B1758" s="1">
        <v>33.6</v>
      </c>
    </row>
    <row r="1759" spans="1:2" x14ac:dyDescent="0.25">
      <c r="A1759" s="1">
        <v>4.8</v>
      </c>
      <c r="B1759" s="1">
        <v>7.6</v>
      </c>
    </row>
    <row r="1760" spans="1:2" x14ac:dyDescent="0.25">
      <c r="A1760" s="1">
        <v>4</v>
      </c>
      <c r="B1760" s="1">
        <v>16.8</v>
      </c>
    </row>
    <row r="1761" spans="1:2" x14ac:dyDescent="0.25">
      <c r="A1761" s="1">
        <v>11.2</v>
      </c>
      <c r="B1761" s="1">
        <v>16.8</v>
      </c>
    </row>
    <row r="1762" spans="1:2" x14ac:dyDescent="0.25">
      <c r="A1762" s="1">
        <v>51.64</v>
      </c>
      <c r="B1762" s="1">
        <v>36</v>
      </c>
    </row>
    <row r="1763" spans="1:2" x14ac:dyDescent="0.25">
      <c r="A1763" s="1">
        <v>4.8</v>
      </c>
      <c r="B1763" s="1">
        <v>16.8</v>
      </c>
    </row>
    <row r="1764" spans="1:2" x14ac:dyDescent="0.25">
      <c r="A1764" s="1">
        <v>42</v>
      </c>
      <c r="B1764" s="1">
        <v>16.8</v>
      </c>
    </row>
    <row r="1765" spans="1:2" x14ac:dyDescent="0.25">
      <c r="A1765" s="1">
        <v>51.64</v>
      </c>
      <c r="B1765" s="1">
        <v>6</v>
      </c>
    </row>
    <row r="1766" spans="1:2" x14ac:dyDescent="0.25">
      <c r="A1766" s="1">
        <v>14</v>
      </c>
      <c r="B1766" s="1">
        <v>16.8</v>
      </c>
    </row>
    <row r="1767" spans="1:2" x14ac:dyDescent="0.25">
      <c r="A1767" s="1">
        <v>51.64</v>
      </c>
      <c r="B1767" s="1">
        <v>5.6</v>
      </c>
    </row>
    <row r="1768" spans="1:2" x14ac:dyDescent="0.25">
      <c r="A1768" s="1">
        <v>7.1999999999999993</v>
      </c>
      <c r="B1768" s="1">
        <v>33.6</v>
      </c>
    </row>
    <row r="1769" spans="1:2" x14ac:dyDescent="0.25">
      <c r="A1769" s="1">
        <v>7.6</v>
      </c>
      <c r="B1769" s="1">
        <v>36</v>
      </c>
    </row>
    <row r="1770" spans="1:2" x14ac:dyDescent="0.25">
      <c r="A1770" s="1">
        <v>36</v>
      </c>
      <c r="B1770" s="1">
        <v>16.8</v>
      </c>
    </row>
    <row r="1771" spans="1:2" x14ac:dyDescent="0.25">
      <c r="A1771" s="1">
        <v>4.8</v>
      </c>
      <c r="B1771" s="1">
        <v>16.8</v>
      </c>
    </row>
    <row r="1772" spans="1:2" x14ac:dyDescent="0.25">
      <c r="A1772" s="1">
        <v>51.64</v>
      </c>
      <c r="B1772" s="1">
        <v>12</v>
      </c>
    </row>
    <row r="1773" spans="1:2" x14ac:dyDescent="0.25">
      <c r="A1773" s="1">
        <v>51.64</v>
      </c>
      <c r="B1773" s="1">
        <v>16.8</v>
      </c>
    </row>
    <row r="1774" spans="1:2" x14ac:dyDescent="0.25">
      <c r="A1774" s="1">
        <v>42</v>
      </c>
      <c r="B1774" s="1">
        <v>16.8</v>
      </c>
    </row>
    <row r="1775" spans="1:2" x14ac:dyDescent="0.25">
      <c r="A1775" s="1">
        <v>14</v>
      </c>
      <c r="B1775" s="1">
        <v>8</v>
      </c>
    </row>
    <row r="1776" spans="1:2" x14ac:dyDescent="0.25">
      <c r="A1776" s="1">
        <v>26</v>
      </c>
      <c r="B1776" s="1">
        <v>33.6</v>
      </c>
    </row>
    <row r="1777" spans="1:2" x14ac:dyDescent="0.25">
      <c r="A1777" s="1">
        <v>4.8</v>
      </c>
      <c r="B1777" s="1">
        <v>36</v>
      </c>
    </row>
    <row r="1778" spans="1:2" x14ac:dyDescent="0.25">
      <c r="A1778" s="1">
        <v>7.2</v>
      </c>
      <c r="B1778" s="1">
        <v>16.8</v>
      </c>
    </row>
    <row r="1779" spans="1:2" x14ac:dyDescent="0.25">
      <c r="A1779" s="1">
        <v>51.64</v>
      </c>
      <c r="B1779" s="1">
        <v>7.6</v>
      </c>
    </row>
    <row r="1780" spans="1:2" x14ac:dyDescent="0.25">
      <c r="A1780" s="1">
        <v>14</v>
      </c>
      <c r="B1780" s="1">
        <v>33.6</v>
      </c>
    </row>
    <row r="1781" spans="1:2" x14ac:dyDescent="0.25">
      <c r="A1781" s="1">
        <v>7.6</v>
      </c>
      <c r="B1781" s="1">
        <v>8.3999999999999986</v>
      </c>
    </row>
    <row r="1782" spans="1:2" x14ac:dyDescent="0.25">
      <c r="A1782" s="1">
        <v>4.8</v>
      </c>
      <c r="B1782" s="1">
        <v>16.8</v>
      </c>
    </row>
    <row r="1783" spans="1:2" x14ac:dyDescent="0.25">
      <c r="A1783" s="1">
        <v>36</v>
      </c>
      <c r="B1783" s="1">
        <v>6</v>
      </c>
    </row>
    <row r="1784" spans="1:2" x14ac:dyDescent="0.25">
      <c r="A1784" s="1">
        <v>8</v>
      </c>
      <c r="B1784" s="1">
        <v>16.8</v>
      </c>
    </row>
    <row r="1785" spans="1:2" x14ac:dyDescent="0.25">
      <c r="A1785" s="1">
        <v>51.64</v>
      </c>
      <c r="B1785" s="1">
        <v>16.8</v>
      </c>
    </row>
    <row r="1786" spans="1:2" x14ac:dyDescent="0.25">
      <c r="A1786" s="1">
        <v>51.64</v>
      </c>
      <c r="B1786" s="1">
        <v>36</v>
      </c>
    </row>
    <row r="1787" spans="1:2" x14ac:dyDescent="0.25">
      <c r="A1787" s="1">
        <v>4.8</v>
      </c>
      <c r="B1787" s="1">
        <v>33.6</v>
      </c>
    </row>
    <row r="1788" spans="1:2" x14ac:dyDescent="0.25">
      <c r="A1788" s="1">
        <v>42</v>
      </c>
      <c r="B1788" s="1">
        <v>16.8</v>
      </c>
    </row>
    <row r="1789" spans="1:2" x14ac:dyDescent="0.25">
      <c r="A1789" s="1">
        <v>51.64</v>
      </c>
      <c r="B1789" s="1">
        <v>12</v>
      </c>
    </row>
    <row r="1790" spans="1:2" x14ac:dyDescent="0.25">
      <c r="A1790" s="1">
        <v>14</v>
      </c>
      <c r="B1790" s="1">
        <v>16.8</v>
      </c>
    </row>
    <row r="1791" spans="1:2" x14ac:dyDescent="0.25">
      <c r="A1791" s="1">
        <v>36</v>
      </c>
      <c r="B1791" s="1">
        <v>33.6</v>
      </c>
    </row>
    <row r="1792" spans="1:2" x14ac:dyDescent="0.25">
      <c r="A1792" s="1">
        <v>51.64</v>
      </c>
      <c r="B1792" s="1">
        <v>8</v>
      </c>
    </row>
    <row r="1793" spans="1:2" x14ac:dyDescent="0.25">
      <c r="A1793" s="1">
        <v>4.8</v>
      </c>
      <c r="B1793" s="1">
        <v>16.8</v>
      </c>
    </row>
    <row r="1794" spans="1:2" x14ac:dyDescent="0.25">
      <c r="A1794" s="1">
        <v>26</v>
      </c>
      <c r="B1794" s="1">
        <v>16.8</v>
      </c>
    </row>
    <row r="1795" spans="1:2" x14ac:dyDescent="0.25">
      <c r="A1795" s="1">
        <v>51.64</v>
      </c>
      <c r="B1795" s="1">
        <v>8.3999999999999986</v>
      </c>
    </row>
    <row r="1796" spans="1:2" x14ac:dyDescent="0.25">
      <c r="A1796" s="1">
        <v>42</v>
      </c>
      <c r="B1796" s="1">
        <v>33.6</v>
      </c>
    </row>
    <row r="1797" spans="1:2" x14ac:dyDescent="0.25">
      <c r="A1797" s="1">
        <v>51.64</v>
      </c>
      <c r="B1797" s="1">
        <v>6</v>
      </c>
    </row>
    <row r="1798" spans="1:2" x14ac:dyDescent="0.25">
      <c r="A1798" s="1">
        <v>14</v>
      </c>
      <c r="B1798" s="1">
        <v>16.8</v>
      </c>
    </row>
    <row r="1799" spans="1:2" x14ac:dyDescent="0.25">
      <c r="A1799" s="1">
        <v>51.64</v>
      </c>
      <c r="B1799" s="1">
        <v>36</v>
      </c>
    </row>
    <row r="1800" spans="1:2" x14ac:dyDescent="0.25">
      <c r="A1800" s="1">
        <v>14</v>
      </c>
      <c r="B1800" s="1">
        <v>16.8</v>
      </c>
    </row>
    <row r="1801" spans="1:2" x14ac:dyDescent="0.25">
      <c r="A1801" s="1">
        <v>36</v>
      </c>
      <c r="B1801" s="1">
        <v>33.6</v>
      </c>
    </row>
    <row r="1802" spans="1:2" x14ac:dyDescent="0.25">
      <c r="A1802" s="1">
        <v>51.64</v>
      </c>
      <c r="B1802" s="1">
        <v>16.8</v>
      </c>
    </row>
    <row r="1803" spans="1:2" x14ac:dyDescent="0.25">
      <c r="A1803" s="1">
        <v>4.8</v>
      </c>
      <c r="B1803" s="1">
        <v>8</v>
      </c>
    </row>
    <row r="1804" spans="1:2" x14ac:dyDescent="0.25">
      <c r="A1804" s="1">
        <v>42</v>
      </c>
      <c r="B1804" s="1">
        <v>16.8</v>
      </c>
    </row>
    <row r="1805" spans="1:2" x14ac:dyDescent="0.25">
      <c r="A1805" s="1">
        <v>51.64</v>
      </c>
      <c r="B1805" s="1">
        <v>7.6</v>
      </c>
    </row>
    <row r="1806" spans="1:2" x14ac:dyDescent="0.25">
      <c r="A1806" s="1">
        <v>51.64</v>
      </c>
      <c r="B1806" s="1">
        <v>16.8</v>
      </c>
    </row>
    <row r="1807" spans="1:2" x14ac:dyDescent="0.25">
      <c r="A1807" s="1">
        <v>7.1999999999999993</v>
      </c>
      <c r="B1807" s="1">
        <v>36</v>
      </c>
    </row>
    <row r="1808" spans="1:2" x14ac:dyDescent="0.25">
      <c r="A1808" s="1">
        <v>14</v>
      </c>
      <c r="B1808" s="1">
        <v>16.8</v>
      </c>
    </row>
    <row r="1809" spans="1:2" x14ac:dyDescent="0.25">
      <c r="A1809" s="1">
        <v>4.8</v>
      </c>
      <c r="B1809" s="1">
        <v>8.3999999999999986</v>
      </c>
    </row>
    <row r="1810" spans="1:2" x14ac:dyDescent="0.25">
      <c r="A1810" s="1">
        <v>51.64</v>
      </c>
      <c r="B1810" s="1">
        <v>33.6</v>
      </c>
    </row>
    <row r="1811" spans="1:2" x14ac:dyDescent="0.25">
      <c r="A1811" s="1">
        <v>36</v>
      </c>
      <c r="B1811" s="1">
        <v>16.8</v>
      </c>
    </row>
    <row r="1812" spans="1:2" x14ac:dyDescent="0.25">
      <c r="A1812" s="1">
        <v>4.8</v>
      </c>
      <c r="B1812" s="1">
        <v>6</v>
      </c>
    </row>
    <row r="1813" spans="1:2" x14ac:dyDescent="0.25">
      <c r="A1813" s="1">
        <v>51.64</v>
      </c>
      <c r="B1813" s="1">
        <v>16.8</v>
      </c>
    </row>
    <row r="1814" spans="1:2" x14ac:dyDescent="0.25">
      <c r="A1814" s="1">
        <v>4.8</v>
      </c>
      <c r="B1814" s="1">
        <v>33.6</v>
      </c>
    </row>
    <row r="1815" spans="1:2" x14ac:dyDescent="0.25">
      <c r="A1815" s="1">
        <v>51.64</v>
      </c>
      <c r="B1815" s="1">
        <v>36</v>
      </c>
    </row>
    <row r="1816" spans="1:2" x14ac:dyDescent="0.25">
      <c r="A1816" s="1">
        <v>4.8</v>
      </c>
      <c r="B1816" s="1">
        <v>16.8</v>
      </c>
    </row>
    <row r="1817" spans="1:2" x14ac:dyDescent="0.25">
      <c r="A1817" s="1">
        <v>42</v>
      </c>
      <c r="B1817" s="1">
        <v>8.3999999999999986</v>
      </c>
    </row>
    <row r="1818" spans="1:2" x14ac:dyDescent="0.25">
      <c r="A1818" s="1">
        <v>51.64</v>
      </c>
      <c r="B1818" s="1">
        <v>16.8</v>
      </c>
    </row>
    <row r="1819" spans="1:2" x14ac:dyDescent="0.25">
      <c r="A1819" s="1">
        <v>14</v>
      </c>
      <c r="B1819" s="1">
        <v>7.6</v>
      </c>
    </row>
    <row r="1820" spans="1:2" x14ac:dyDescent="0.25">
      <c r="A1820" s="1">
        <v>7.1999999999999993</v>
      </c>
      <c r="B1820" s="1">
        <v>16.8</v>
      </c>
    </row>
    <row r="1821" spans="1:2" x14ac:dyDescent="0.25">
      <c r="A1821" s="1">
        <v>51.64</v>
      </c>
      <c r="B1821" s="1">
        <v>33.6</v>
      </c>
    </row>
    <row r="1822" spans="1:2" x14ac:dyDescent="0.25">
      <c r="A1822" s="1">
        <v>51.64</v>
      </c>
      <c r="B1822" s="1">
        <v>6</v>
      </c>
    </row>
    <row r="1823" spans="1:2" x14ac:dyDescent="0.25">
      <c r="A1823" s="1">
        <v>4.8</v>
      </c>
      <c r="B1823" s="1">
        <v>16.8</v>
      </c>
    </row>
    <row r="1824" spans="1:2" x14ac:dyDescent="0.25">
      <c r="A1824" s="1">
        <v>42</v>
      </c>
      <c r="B1824" s="1">
        <v>8</v>
      </c>
    </row>
    <row r="1825" spans="1:2" x14ac:dyDescent="0.25">
      <c r="A1825" s="1">
        <v>36</v>
      </c>
      <c r="B1825" s="1">
        <v>16.8</v>
      </c>
    </row>
    <row r="1826" spans="1:2" x14ac:dyDescent="0.25">
      <c r="A1826" s="1">
        <v>51.64</v>
      </c>
      <c r="B1826" s="1">
        <v>33.6</v>
      </c>
    </row>
    <row r="1827" spans="1:2" x14ac:dyDescent="0.25">
      <c r="A1827" s="1">
        <v>14</v>
      </c>
      <c r="B1827" s="1">
        <v>16.8</v>
      </c>
    </row>
    <row r="1828" spans="1:2" x14ac:dyDescent="0.25">
      <c r="A1828" s="1">
        <v>4.8</v>
      </c>
      <c r="B1828" s="1">
        <v>8.3999999999999986</v>
      </c>
    </row>
    <row r="1829" spans="1:2" x14ac:dyDescent="0.25">
      <c r="A1829" s="1">
        <v>42</v>
      </c>
      <c r="B1829" s="1">
        <v>16.8</v>
      </c>
    </row>
    <row r="1830" spans="1:2" x14ac:dyDescent="0.25">
      <c r="A1830" s="1">
        <v>51.64</v>
      </c>
      <c r="B1830" s="1">
        <v>36</v>
      </c>
    </row>
    <row r="1831" spans="1:2" x14ac:dyDescent="0.25">
      <c r="A1831" s="1">
        <v>4.8</v>
      </c>
      <c r="B1831" s="1">
        <v>33.6</v>
      </c>
    </row>
    <row r="1832" spans="1:2" x14ac:dyDescent="0.25">
      <c r="A1832" s="1">
        <v>7.1999999999999993</v>
      </c>
      <c r="B1832" s="1">
        <v>7.6</v>
      </c>
    </row>
    <row r="1833" spans="1:2" x14ac:dyDescent="0.25">
      <c r="A1833" s="1">
        <v>51.64</v>
      </c>
      <c r="B1833" s="1">
        <v>16.8</v>
      </c>
    </row>
    <row r="1834" spans="1:2" x14ac:dyDescent="0.25">
      <c r="A1834" s="1">
        <v>36</v>
      </c>
      <c r="B1834" s="1">
        <v>12</v>
      </c>
    </row>
    <row r="1835" spans="1:2" x14ac:dyDescent="0.25">
      <c r="A1835" s="1">
        <v>42</v>
      </c>
      <c r="B1835" s="1">
        <v>16.8</v>
      </c>
    </row>
    <row r="1836" spans="1:2" x14ac:dyDescent="0.25">
      <c r="A1836" s="1">
        <v>4.8</v>
      </c>
      <c r="B1836" s="1">
        <v>33.6</v>
      </c>
    </row>
    <row r="1837" spans="1:2" x14ac:dyDescent="0.25">
      <c r="A1837" s="1">
        <v>51.64</v>
      </c>
      <c r="B1837" s="1">
        <v>8</v>
      </c>
    </row>
    <row r="1838" spans="1:2" x14ac:dyDescent="0.25">
      <c r="A1838" s="1">
        <v>36</v>
      </c>
      <c r="B1838" s="1">
        <v>16.8</v>
      </c>
    </row>
    <row r="1839" spans="1:2" x14ac:dyDescent="0.25">
      <c r="A1839" s="1">
        <v>51.64</v>
      </c>
      <c r="B1839" s="1">
        <v>16.8</v>
      </c>
    </row>
    <row r="1840" spans="1:2" x14ac:dyDescent="0.25">
      <c r="A1840" s="1">
        <v>4.8</v>
      </c>
      <c r="B1840" s="1">
        <v>16.8</v>
      </c>
    </row>
    <row r="1841" spans="1:2" x14ac:dyDescent="0.25">
      <c r="A1841" s="1">
        <v>51.64</v>
      </c>
      <c r="B1841" s="1">
        <v>8.3999999999999986</v>
      </c>
    </row>
    <row r="1842" spans="1:2" x14ac:dyDescent="0.25">
      <c r="A1842" s="1">
        <v>42</v>
      </c>
      <c r="B1842" s="1">
        <v>16.8</v>
      </c>
    </row>
    <row r="1843" spans="1:2" x14ac:dyDescent="0.25">
      <c r="A1843" s="1">
        <v>4.8</v>
      </c>
      <c r="B1843" s="1">
        <v>6</v>
      </c>
    </row>
    <row r="1844" spans="1:2" x14ac:dyDescent="0.25">
      <c r="A1844" s="1">
        <v>51.64</v>
      </c>
      <c r="B1844" s="1">
        <v>16.8</v>
      </c>
    </row>
    <row r="1845" spans="1:2" x14ac:dyDescent="0.25">
      <c r="A1845" s="1">
        <v>51.64</v>
      </c>
      <c r="B1845" s="1">
        <v>36</v>
      </c>
    </row>
    <row r="1846" spans="1:2" x14ac:dyDescent="0.25">
      <c r="A1846" s="1">
        <v>4.8</v>
      </c>
      <c r="B1846" s="1">
        <v>33.6</v>
      </c>
    </row>
    <row r="1847" spans="1:2" x14ac:dyDescent="0.25">
      <c r="A1847" s="1">
        <v>42</v>
      </c>
      <c r="B1847" s="1">
        <v>16.8</v>
      </c>
    </row>
    <row r="1848" spans="1:2" x14ac:dyDescent="0.25">
      <c r="A1848" s="1">
        <v>51.64</v>
      </c>
      <c r="B1848" s="1">
        <v>16.8</v>
      </c>
    </row>
    <row r="1849" spans="1:2" x14ac:dyDescent="0.25">
      <c r="A1849" s="1">
        <v>4.8</v>
      </c>
      <c r="B1849" s="1">
        <v>7.6</v>
      </c>
    </row>
    <row r="1850" spans="1:2" x14ac:dyDescent="0.25">
      <c r="A1850" s="1">
        <v>4.8</v>
      </c>
      <c r="B1850" s="1">
        <v>33.6</v>
      </c>
    </row>
    <row r="1851" spans="1:2" x14ac:dyDescent="0.25">
      <c r="A1851" s="1">
        <v>51.64</v>
      </c>
      <c r="B1851" s="1">
        <v>36</v>
      </c>
    </row>
    <row r="1852" spans="1:2" x14ac:dyDescent="0.25">
      <c r="A1852" s="1">
        <v>4.8</v>
      </c>
      <c r="B1852" s="1">
        <v>16.8</v>
      </c>
    </row>
    <row r="1853" spans="1:2" x14ac:dyDescent="0.25">
      <c r="A1853" s="1">
        <v>42</v>
      </c>
      <c r="B1853" s="1">
        <v>8.3999999999999986</v>
      </c>
    </row>
    <row r="1854" spans="1:2" x14ac:dyDescent="0.25">
      <c r="A1854" s="1">
        <v>51.64</v>
      </c>
      <c r="B1854" s="1">
        <v>16.8</v>
      </c>
    </row>
    <row r="1855" spans="1:2" x14ac:dyDescent="0.25">
      <c r="A1855" s="1">
        <v>51.64</v>
      </c>
      <c r="B1855" s="1">
        <v>6</v>
      </c>
    </row>
    <row r="1856" spans="1:2" x14ac:dyDescent="0.25">
      <c r="A1856" s="1">
        <v>7.1999999999999993</v>
      </c>
      <c r="B1856" s="1">
        <v>33.6</v>
      </c>
    </row>
    <row r="1857" spans="1:2" x14ac:dyDescent="0.25">
      <c r="A1857" s="1">
        <v>42</v>
      </c>
      <c r="B1857" s="1">
        <v>16.8</v>
      </c>
    </row>
    <row r="1858" spans="1:2" x14ac:dyDescent="0.25">
      <c r="A1858" s="1">
        <v>7.1999999999999993</v>
      </c>
      <c r="B1858" s="1">
        <v>8.3999999999999986</v>
      </c>
    </row>
    <row r="1859" spans="1:2" x14ac:dyDescent="0.25">
      <c r="A1859" s="1">
        <v>36</v>
      </c>
      <c r="B1859" s="1">
        <v>33.6</v>
      </c>
    </row>
    <row r="1860" spans="1:2" x14ac:dyDescent="0.25">
      <c r="A1860" s="1">
        <v>51.64</v>
      </c>
      <c r="B1860" s="1">
        <v>6</v>
      </c>
    </row>
    <row r="1861" spans="1:2" x14ac:dyDescent="0.25">
      <c r="A1861" s="1">
        <v>42</v>
      </c>
      <c r="B1861" s="1">
        <v>16.8</v>
      </c>
    </row>
    <row r="1862" spans="1:2" x14ac:dyDescent="0.25">
      <c r="A1862" s="1">
        <v>51.64</v>
      </c>
      <c r="B1862" s="1">
        <v>16.8</v>
      </c>
    </row>
    <row r="1863" spans="1:2" x14ac:dyDescent="0.25">
      <c r="A1863" s="1">
        <v>36</v>
      </c>
      <c r="B1863" s="1">
        <v>36</v>
      </c>
    </row>
    <row r="1864" spans="1:2" x14ac:dyDescent="0.25">
      <c r="A1864" s="1">
        <v>4.8</v>
      </c>
      <c r="B1864" s="1">
        <v>16.8</v>
      </c>
    </row>
    <row r="1865" spans="1:2" x14ac:dyDescent="0.25">
      <c r="A1865" s="1">
        <v>4.8</v>
      </c>
      <c r="B1865" s="1">
        <v>16.8</v>
      </c>
    </row>
    <row r="1866" spans="1:2" x14ac:dyDescent="0.25">
      <c r="A1866" s="1">
        <v>51.64</v>
      </c>
      <c r="B1866" s="1">
        <v>33.6</v>
      </c>
    </row>
    <row r="1867" spans="1:2" x14ac:dyDescent="0.25">
      <c r="A1867" s="1">
        <v>51.64</v>
      </c>
      <c r="B1867" s="1">
        <v>7.6</v>
      </c>
    </row>
    <row r="1868" spans="1:2" x14ac:dyDescent="0.25">
      <c r="A1868" s="1">
        <v>7.1999999999999993</v>
      </c>
      <c r="B1868" s="1">
        <v>16.8</v>
      </c>
    </row>
    <row r="1869" spans="1:2" x14ac:dyDescent="0.25">
      <c r="A1869" s="1">
        <v>42</v>
      </c>
      <c r="B1869" s="1">
        <v>5.6</v>
      </c>
    </row>
    <row r="1870" spans="1:2" x14ac:dyDescent="0.25">
      <c r="A1870" s="1">
        <v>51.64</v>
      </c>
      <c r="B1870" s="1">
        <v>19.600000000000001</v>
      </c>
    </row>
    <row r="1871" spans="1:2" x14ac:dyDescent="0.25">
      <c r="A1871" s="1">
        <v>36</v>
      </c>
      <c r="B1871" s="1">
        <v>16.8</v>
      </c>
    </row>
    <row r="1872" spans="1:2" x14ac:dyDescent="0.25">
      <c r="A1872" s="1">
        <v>4.8</v>
      </c>
      <c r="B1872" s="1">
        <v>16.8</v>
      </c>
    </row>
    <row r="1873" spans="1:2" x14ac:dyDescent="0.25">
      <c r="A1873" s="1">
        <v>4.8</v>
      </c>
      <c r="B1873" s="1">
        <v>8</v>
      </c>
    </row>
    <row r="1874" spans="1:2" x14ac:dyDescent="0.25">
      <c r="A1874" s="1">
        <v>51.64</v>
      </c>
      <c r="B1874" s="1">
        <v>16.8</v>
      </c>
    </row>
    <row r="1875" spans="1:2" x14ac:dyDescent="0.25">
      <c r="A1875" s="1">
        <v>42</v>
      </c>
      <c r="B1875" s="1">
        <v>33.6</v>
      </c>
    </row>
    <row r="1876" spans="1:2" x14ac:dyDescent="0.25">
      <c r="A1876" s="1">
        <v>51.64</v>
      </c>
      <c r="B1876" s="1">
        <v>8.3999999999999986</v>
      </c>
    </row>
    <row r="1877" spans="1:2" x14ac:dyDescent="0.25">
      <c r="A1877" s="1">
        <v>7.1999999999999993</v>
      </c>
      <c r="B1877" s="1">
        <v>16.8</v>
      </c>
    </row>
    <row r="1878" spans="1:2" x14ac:dyDescent="0.25">
      <c r="A1878" s="1">
        <v>14</v>
      </c>
      <c r="B1878" s="1">
        <v>36</v>
      </c>
    </row>
    <row r="1879" spans="1:2" x14ac:dyDescent="0.25">
      <c r="A1879" s="1">
        <v>51.64</v>
      </c>
      <c r="B1879" s="1">
        <v>16.8</v>
      </c>
    </row>
    <row r="1880" spans="1:2" x14ac:dyDescent="0.25">
      <c r="A1880" s="1">
        <v>4.8</v>
      </c>
      <c r="B1880" s="1">
        <v>6</v>
      </c>
    </row>
    <row r="1881" spans="1:2" x14ac:dyDescent="0.25">
      <c r="A1881" s="1">
        <v>42</v>
      </c>
      <c r="B1881" s="1">
        <v>33.6</v>
      </c>
    </row>
    <row r="1882" spans="1:2" x14ac:dyDescent="0.25">
      <c r="A1882" s="1">
        <v>51.64</v>
      </c>
      <c r="B1882" s="1">
        <v>16.8</v>
      </c>
    </row>
    <row r="1883" spans="1:2" x14ac:dyDescent="0.25">
      <c r="A1883" s="1">
        <v>36</v>
      </c>
      <c r="B1883" s="1">
        <v>16.8</v>
      </c>
    </row>
    <row r="1884" spans="1:2" x14ac:dyDescent="0.25">
      <c r="A1884" s="1">
        <v>7.1999999999999993</v>
      </c>
      <c r="B1884" s="1">
        <v>7.6</v>
      </c>
    </row>
    <row r="1885" spans="1:2" x14ac:dyDescent="0.25">
      <c r="A1885" s="1">
        <v>14</v>
      </c>
      <c r="B1885" s="1">
        <v>16.8</v>
      </c>
    </row>
    <row r="1886" spans="1:2" x14ac:dyDescent="0.25">
      <c r="A1886" s="1">
        <v>51.64</v>
      </c>
      <c r="B1886" s="1">
        <v>16.8</v>
      </c>
    </row>
    <row r="1887" spans="1:2" x14ac:dyDescent="0.25">
      <c r="A1887" s="1">
        <v>4.8</v>
      </c>
      <c r="B1887" s="1">
        <v>19.600000000000001</v>
      </c>
    </row>
    <row r="1888" spans="1:2" x14ac:dyDescent="0.25">
      <c r="A1888" s="1">
        <v>42</v>
      </c>
      <c r="B1888" s="1">
        <v>33.6</v>
      </c>
    </row>
    <row r="1889" spans="1:2" x14ac:dyDescent="0.25">
      <c r="A1889" s="1">
        <v>51.64</v>
      </c>
      <c r="B1889" s="1">
        <v>8.3999999999999986</v>
      </c>
    </row>
    <row r="1890" spans="1:2" x14ac:dyDescent="0.25">
      <c r="A1890" s="1">
        <v>4.8</v>
      </c>
      <c r="B1890" s="1">
        <v>16.8</v>
      </c>
    </row>
    <row r="1891" spans="1:2" x14ac:dyDescent="0.25">
      <c r="A1891" s="1">
        <v>51.64</v>
      </c>
      <c r="B1891" s="1">
        <v>16.8</v>
      </c>
    </row>
    <row r="1892" spans="1:2" x14ac:dyDescent="0.25">
      <c r="A1892" s="1">
        <v>42</v>
      </c>
      <c r="B1892" s="1">
        <v>8</v>
      </c>
    </row>
    <row r="1893" spans="1:2" x14ac:dyDescent="0.25">
      <c r="A1893" s="1">
        <v>36</v>
      </c>
      <c r="B1893" s="1">
        <v>16.8</v>
      </c>
    </row>
    <row r="1894" spans="1:2" x14ac:dyDescent="0.25">
      <c r="A1894" s="1">
        <v>51.64</v>
      </c>
      <c r="B1894" s="1">
        <v>36</v>
      </c>
    </row>
    <row r="1895" spans="1:2" x14ac:dyDescent="0.25">
      <c r="A1895" s="1">
        <v>4.8</v>
      </c>
      <c r="B1895" s="1">
        <v>16.8</v>
      </c>
    </row>
    <row r="1896" spans="1:2" x14ac:dyDescent="0.25">
      <c r="A1896" s="1">
        <v>42</v>
      </c>
      <c r="B1896" s="1">
        <v>6</v>
      </c>
    </row>
    <row r="1897" spans="1:2" x14ac:dyDescent="0.25">
      <c r="A1897" s="1">
        <v>14</v>
      </c>
      <c r="B1897" s="1">
        <v>33.6</v>
      </c>
    </row>
    <row r="1898" spans="1:2" x14ac:dyDescent="0.25">
      <c r="A1898" s="1">
        <v>4.8</v>
      </c>
      <c r="B1898" s="1">
        <v>16.8</v>
      </c>
    </row>
    <row r="1899" spans="1:2" x14ac:dyDescent="0.25">
      <c r="A1899" s="1">
        <v>36</v>
      </c>
      <c r="B1899" s="1">
        <v>7.6</v>
      </c>
    </row>
    <row r="1900" spans="1:2" x14ac:dyDescent="0.25">
      <c r="A1900" s="1">
        <v>42</v>
      </c>
      <c r="B1900" s="1">
        <v>16.8</v>
      </c>
    </row>
    <row r="1901" spans="1:2" x14ac:dyDescent="0.25">
      <c r="A1901" s="1">
        <v>4.8</v>
      </c>
      <c r="B1901" s="1">
        <v>16.8</v>
      </c>
    </row>
    <row r="1902" spans="1:2" x14ac:dyDescent="0.25">
      <c r="A1902" s="1">
        <v>14</v>
      </c>
      <c r="B1902" s="1">
        <v>5.6</v>
      </c>
    </row>
    <row r="1903" spans="1:2" x14ac:dyDescent="0.25">
      <c r="A1903" s="1">
        <v>51.64</v>
      </c>
      <c r="B1903" s="1">
        <v>33.6</v>
      </c>
    </row>
    <row r="1904" spans="1:2" x14ac:dyDescent="0.25">
      <c r="A1904" s="1">
        <v>4.8</v>
      </c>
      <c r="B1904" s="1">
        <v>19.600000000000001</v>
      </c>
    </row>
    <row r="1905" spans="1:2" x14ac:dyDescent="0.25">
      <c r="A1905" s="1">
        <v>42</v>
      </c>
      <c r="B1905" s="1">
        <v>16.8</v>
      </c>
    </row>
    <row r="1906" spans="1:2" x14ac:dyDescent="0.25">
      <c r="A1906" s="1">
        <v>4.8</v>
      </c>
      <c r="B1906" s="1">
        <v>8</v>
      </c>
    </row>
    <row r="1907" spans="1:2" x14ac:dyDescent="0.25">
      <c r="A1907" s="1">
        <v>36</v>
      </c>
      <c r="B1907" s="1">
        <v>16.8</v>
      </c>
    </row>
    <row r="1908" spans="1:2" x14ac:dyDescent="0.25">
      <c r="A1908" s="1">
        <v>51.64</v>
      </c>
      <c r="B1908" s="1">
        <v>6</v>
      </c>
    </row>
    <row r="1909" spans="1:2" x14ac:dyDescent="0.25">
      <c r="A1909" s="1">
        <v>4.8</v>
      </c>
      <c r="B1909" s="1">
        <v>33.6</v>
      </c>
    </row>
    <row r="1910" spans="1:2" x14ac:dyDescent="0.25">
      <c r="A1910" s="1">
        <v>42</v>
      </c>
      <c r="B1910" s="1">
        <v>8.3999999999999986</v>
      </c>
    </row>
    <row r="1911" spans="1:2" x14ac:dyDescent="0.25">
      <c r="A1911" s="1">
        <v>4.8</v>
      </c>
      <c r="B1911" s="1">
        <v>16.8</v>
      </c>
    </row>
    <row r="1912" spans="1:2" x14ac:dyDescent="0.25">
      <c r="A1912" s="1">
        <v>14</v>
      </c>
      <c r="B1912" s="1">
        <v>16.8</v>
      </c>
    </row>
    <row r="1913" spans="1:2" x14ac:dyDescent="0.25">
      <c r="A1913" s="1">
        <v>51.64</v>
      </c>
      <c r="B1913" s="1">
        <v>7.6</v>
      </c>
    </row>
    <row r="1914" spans="1:2" x14ac:dyDescent="0.25">
      <c r="A1914" s="1">
        <v>4.8</v>
      </c>
      <c r="B1914" s="1">
        <v>33.6</v>
      </c>
    </row>
    <row r="1915" spans="1:2" x14ac:dyDescent="0.25">
      <c r="A1915" s="1">
        <v>42</v>
      </c>
      <c r="B1915" s="1">
        <v>16.8</v>
      </c>
    </row>
    <row r="1916" spans="1:2" x14ac:dyDescent="0.25">
      <c r="A1916" s="1">
        <v>14</v>
      </c>
      <c r="B1916" s="1">
        <v>20</v>
      </c>
    </row>
    <row r="1917" spans="1:2" x14ac:dyDescent="0.25">
      <c r="A1917" s="1">
        <v>7.1999999999999993</v>
      </c>
      <c r="B1917" s="1">
        <v>16.8</v>
      </c>
    </row>
    <row r="1918" spans="1:2" x14ac:dyDescent="0.25">
      <c r="A1918" s="1">
        <v>36</v>
      </c>
      <c r="B1918" s="1">
        <v>5.6</v>
      </c>
    </row>
    <row r="1919" spans="1:2" x14ac:dyDescent="0.25">
      <c r="A1919" s="1">
        <v>51.64</v>
      </c>
      <c r="B1919" s="1">
        <v>6</v>
      </c>
    </row>
    <row r="1920" spans="1:2" x14ac:dyDescent="0.25">
      <c r="A1920" s="1">
        <v>4.8</v>
      </c>
      <c r="B1920" s="1">
        <v>33.6</v>
      </c>
    </row>
    <row r="1921" spans="1:2" x14ac:dyDescent="0.25">
      <c r="A1921" s="1">
        <v>42</v>
      </c>
      <c r="B1921" s="1">
        <v>16.8</v>
      </c>
    </row>
    <row r="1922" spans="1:2" x14ac:dyDescent="0.25">
      <c r="A1922" s="1">
        <v>14</v>
      </c>
      <c r="B1922" s="1">
        <v>36</v>
      </c>
    </row>
    <row r="1923" spans="1:2" x14ac:dyDescent="0.25">
      <c r="A1923" s="1">
        <v>51.64</v>
      </c>
      <c r="B1923" s="1">
        <v>16.8</v>
      </c>
    </row>
    <row r="1924" spans="1:2" x14ac:dyDescent="0.25">
      <c r="A1924" s="1">
        <v>4.8</v>
      </c>
      <c r="B1924" s="1">
        <v>16.8</v>
      </c>
    </row>
    <row r="1925" spans="1:2" x14ac:dyDescent="0.25">
      <c r="A1925" s="1">
        <v>4.8</v>
      </c>
      <c r="B1925" s="1">
        <v>33.6</v>
      </c>
    </row>
    <row r="1926" spans="1:2" x14ac:dyDescent="0.25">
      <c r="A1926" s="1">
        <v>42</v>
      </c>
      <c r="B1926" s="1">
        <v>7.6</v>
      </c>
    </row>
    <row r="1927" spans="1:2" x14ac:dyDescent="0.25">
      <c r="A1927" s="1">
        <v>14</v>
      </c>
      <c r="B1927" s="1">
        <v>16.8</v>
      </c>
    </row>
    <row r="1928" spans="1:2" x14ac:dyDescent="0.25">
      <c r="A1928" s="1">
        <v>51.64</v>
      </c>
      <c r="B1928" s="1">
        <v>16.8</v>
      </c>
    </row>
    <row r="1929" spans="1:2" x14ac:dyDescent="0.25">
      <c r="A1929" s="1">
        <v>36</v>
      </c>
      <c r="B1929" s="1">
        <v>8.3999999999999986</v>
      </c>
    </row>
    <row r="1930" spans="1:2" x14ac:dyDescent="0.25">
      <c r="A1930" s="1">
        <v>4.8</v>
      </c>
      <c r="B1930" s="1">
        <v>16.8</v>
      </c>
    </row>
    <row r="1931" spans="1:2" x14ac:dyDescent="0.25">
      <c r="A1931" s="1">
        <v>42</v>
      </c>
      <c r="B1931" s="1">
        <v>33.6</v>
      </c>
    </row>
    <row r="1932" spans="1:2" x14ac:dyDescent="0.25">
      <c r="A1932" s="1">
        <v>4.8</v>
      </c>
      <c r="B1932" s="1">
        <v>6</v>
      </c>
    </row>
    <row r="1933" spans="1:2" x14ac:dyDescent="0.25">
      <c r="A1933" s="1">
        <v>42</v>
      </c>
      <c r="B1933" s="1">
        <v>16.8</v>
      </c>
    </row>
    <row r="1934" spans="1:2" x14ac:dyDescent="0.25">
      <c r="A1934" s="1">
        <v>51.64</v>
      </c>
      <c r="B1934" s="1">
        <v>8</v>
      </c>
    </row>
    <row r="1935" spans="1:2" x14ac:dyDescent="0.25">
      <c r="A1935" s="1">
        <v>7.1999999999999993</v>
      </c>
      <c r="B1935" s="1">
        <v>16.8</v>
      </c>
    </row>
    <row r="1936" spans="1:2" x14ac:dyDescent="0.25">
      <c r="A1936" s="1">
        <v>42</v>
      </c>
      <c r="B1936" s="1">
        <v>7.6</v>
      </c>
    </row>
    <row r="1937" spans="1:2" x14ac:dyDescent="0.25">
      <c r="A1937" s="1">
        <v>51.64</v>
      </c>
      <c r="B1937" s="1">
        <v>16.8</v>
      </c>
    </row>
    <row r="1938" spans="1:2" x14ac:dyDescent="0.25">
      <c r="A1938" s="1">
        <v>4.8</v>
      </c>
      <c r="B1938" s="1">
        <v>33.6</v>
      </c>
    </row>
    <row r="1939" spans="1:2" x14ac:dyDescent="0.25">
      <c r="A1939" s="1">
        <v>42</v>
      </c>
      <c r="B1939" s="1">
        <v>36</v>
      </c>
    </row>
    <row r="1940" spans="1:2" x14ac:dyDescent="0.25">
      <c r="A1940" s="1">
        <v>14</v>
      </c>
      <c r="B1940" s="1">
        <v>16.8</v>
      </c>
    </row>
    <row r="1941" spans="1:2" x14ac:dyDescent="0.25">
      <c r="A1941" s="1">
        <v>4.8</v>
      </c>
      <c r="B1941" s="1">
        <v>16.8</v>
      </c>
    </row>
    <row r="1942" spans="1:2" x14ac:dyDescent="0.25">
      <c r="A1942" s="1">
        <v>42</v>
      </c>
      <c r="B1942" s="1">
        <v>16.8</v>
      </c>
    </row>
    <row r="1943" spans="1:2" x14ac:dyDescent="0.25">
      <c r="A1943" s="1">
        <v>7.1999999999999993</v>
      </c>
      <c r="B1943" s="1">
        <v>6</v>
      </c>
    </row>
    <row r="1944" spans="1:2" x14ac:dyDescent="0.25">
      <c r="A1944" s="1">
        <v>36</v>
      </c>
      <c r="B1944" s="1">
        <v>33.6</v>
      </c>
    </row>
    <row r="1945" spans="1:2" x14ac:dyDescent="0.25">
      <c r="A1945" s="1">
        <v>51.64</v>
      </c>
      <c r="B1945" s="1">
        <v>7.6</v>
      </c>
    </row>
    <row r="1946" spans="1:2" x14ac:dyDescent="0.25">
      <c r="A1946" s="1">
        <v>4.8</v>
      </c>
      <c r="B1946" s="1">
        <v>16.8</v>
      </c>
    </row>
    <row r="1947" spans="1:2" x14ac:dyDescent="0.25">
      <c r="A1947" s="1">
        <v>42</v>
      </c>
      <c r="B1947" s="1">
        <v>16.8</v>
      </c>
    </row>
    <row r="1948" spans="1:2" x14ac:dyDescent="0.25">
      <c r="A1948" s="1">
        <v>14</v>
      </c>
      <c r="B1948" s="1">
        <v>5.6</v>
      </c>
    </row>
    <row r="1949" spans="1:2" x14ac:dyDescent="0.25">
      <c r="A1949" s="1">
        <v>51.64</v>
      </c>
      <c r="B1949" s="1">
        <v>16.8</v>
      </c>
    </row>
    <row r="1950" spans="1:2" x14ac:dyDescent="0.25">
      <c r="B1950" s="1">
        <v>16.8</v>
      </c>
    </row>
    <row r="1951" spans="1:2" x14ac:dyDescent="0.25">
      <c r="B1951" s="1">
        <v>7.6</v>
      </c>
    </row>
    <row r="1952" spans="1:2" x14ac:dyDescent="0.25">
      <c r="B1952" s="1">
        <v>33.6</v>
      </c>
    </row>
    <row r="1953" spans="2:2" x14ac:dyDescent="0.25">
      <c r="B1953" s="1">
        <v>16.8</v>
      </c>
    </row>
    <row r="1954" spans="2:2" x14ac:dyDescent="0.25">
      <c r="B1954" s="1">
        <v>36</v>
      </c>
    </row>
    <row r="1955" spans="2:2" x14ac:dyDescent="0.25">
      <c r="B1955" s="1">
        <v>16.8</v>
      </c>
    </row>
    <row r="1956" spans="2:2" x14ac:dyDescent="0.25">
      <c r="B1956" s="1">
        <v>33.6</v>
      </c>
    </row>
    <row r="1957" spans="2:2" x14ac:dyDescent="0.25">
      <c r="B1957" s="1">
        <v>16.8</v>
      </c>
    </row>
    <row r="1958" spans="2:2" x14ac:dyDescent="0.25">
      <c r="B1958" s="1">
        <v>6</v>
      </c>
    </row>
    <row r="1959" spans="2:2" x14ac:dyDescent="0.25">
      <c r="B1959" s="1">
        <v>16.8</v>
      </c>
    </row>
    <row r="1960" spans="2:2" x14ac:dyDescent="0.25">
      <c r="B1960" s="1">
        <v>33.6</v>
      </c>
    </row>
    <row r="1961" spans="2:2" x14ac:dyDescent="0.25">
      <c r="B1961" s="1">
        <v>7.6</v>
      </c>
    </row>
    <row r="1962" spans="2:2" x14ac:dyDescent="0.25">
      <c r="B1962" s="1">
        <v>16.8</v>
      </c>
    </row>
    <row r="1963" spans="2:2" x14ac:dyDescent="0.25">
      <c r="B1963" s="1">
        <v>8.3999999999999986</v>
      </c>
    </row>
    <row r="1964" spans="2:2" x14ac:dyDescent="0.25">
      <c r="B1964" s="1">
        <v>16.8</v>
      </c>
    </row>
    <row r="1965" spans="2:2" x14ac:dyDescent="0.25">
      <c r="B1965" s="1">
        <v>16.8</v>
      </c>
    </row>
    <row r="1966" spans="2:2" x14ac:dyDescent="0.25">
      <c r="B1966" s="1">
        <v>6</v>
      </c>
    </row>
    <row r="1967" spans="2:2" x14ac:dyDescent="0.25">
      <c r="B1967" s="1">
        <v>33.6</v>
      </c>
    </row>
    <row r="1968" spans="2:2" x14ac:dyDescent="0.25">
      <c r="B1968" s="1">
        <v>7.6</v>
      </c>
    </row>
    <row r="1969" spans="2:2" x14ac:dyDescent="0.25">
      <c r="B1969" s="1">
        <v>16.8</v>
      </c>
    </row>
    <row r="1970" spans="2:2" x14ac:dyDescent="0.25">
      <c r="B1970" s="1">
        <v>16.8</v>
      </c>
    </row>
    <row r="1971" spans="2:2" x14ac:dyDescent="0.25">
      <c r="B1971" s="1">
        <v>8</v>
      </c>
    </row>
    <row r="1972" spans="2:2" x14ac:dyDescent="0.25">
      <c r="B1972" s="1">
        <v>33.6</v>
      </c>
    </row>
    <row r="1973" spans="2:2" x14ac:dyDescent="0.25">
      <c r="B1973" s="1">
        <v>36</v>
      </c>
    </row>
    <row r="1974" spans="2:2" x14ac:dyDescent="0.25">
      <c r="B1974" s="1">
        <v>16.8</v>
      </c>
    </row>
    <row r="1975" spans="2:2" x14ac:dyDescent="0.25">
      <c r="B1975" s="1">
        <v>7.6</v>
      </c>
    </row>
    <row r="1976" spans="2:2" x14ac:dyDescent="0.25">
      <c r="B1976" s="1">
        <v>16.8</v>
      </c>
    </row>
    <row r="1977" spans="2:2" x14ac:dyDescent="0.25">
      <c r="B1977" s="1">
        <v>5.6</v>
      </c>
    </row>
    <row r="1978" spans="2:2" x14ac:dyDescent="0.25">
      <c r="B1978" s="1">
        <v>6</v>
      </c>
    </row>
    <row r="1979" spans="2:2" x14ac:dyDescent="0.25">
      <c r="B1979" s="1">
        <v>16.8</v>
      </c>
    </row>
    <row r="1980" spans="2:2" x14ac:dyDescent="0.25">
      <c r="B1980" s="1">
        <v>33.6</v>
      </c>
    </row>
    <row r="1981" spans="2:2" x14ac:dyDescent="0.25">
      <c r="B1981" s="1">
        <v>36</v>
      </c>
    </row>
    <row r="1982" spans="2:2" x14ac:dyDescent="0.25">
      <c r="B1982" s="1">
        <v>16.8</v>
      </c>
    </row>
    <row r="1983" spans="2:2" x14ac:dyDescent="0.25">
      <c r="B1983" s="1">
        <v>16.8</v>
      </c>
    </row>
    <row r="1984" spans="2:2" x14ac:dyDescent="0.25">
      <c r="B1984" s="1">
        <v>16.8</v>
      </c>
    </row>
    <row r="1985" spans="2:2" x14ac:dyDescent="0.25">
      <c r="B1985" s="1">
        <v>7.6</v>
      </c>
    </row>
    <row r="1986" spans="2:2" x14ac:dyDescent="0.25">
      <c r="B1986" s="1">
        <v>16.8</v>
      </c>
    </row>
    <row r="1987" spans="2:2" x14ac:dyDescent="0.25">
      <c r="B1987" s="1">
        <v>33.6</v>
      </c>
    </row>
    <row r="1988" spans="2:2" x14ac:dyDescent="0.25">
      <c r="B1988" s="1">
        <v>5.6</v>
      </c>
    </row>
    <row r="1989" spans="2:2" x14ac:dyDescent="0.25">
      <c r="B1989" s="1">
        <v>16.8</v>
      </c>
    </row>
    <row r="1990" spans="2:2" x14ac:dyDescent="0.25">
      <c r="B1990" s="1">
        <v>16.8</v>
      </c>
    </row>
    <row r="1991" spans="2:2" x14ac:dyDescent="0.25">
      <c r="B1991" s="1">
        <v>6</v>
      </c>
    </row>
    <row r="1992" spans="2:2" x14ac:dyDescent="0.25">
      <c r="B1992" s="1">
        <v>16.8</v>
      </c>
    </row>
    <row r="1993" spans="2:2" x14ac:dyDescent="0.25">
      <c r="B1993" s="1">
        <v>8</v>
      </c>
    </row>
    <row r="1994" spans="2:2" x14ac:dyDescent="0.25">
      <c r="B1994" s="1">
        <v>16.8</v>
      </c>
    </row>
    <row r="1995" spans="2:2" x14ac:dyDescent="0.25">
      <c r="B1995" s="1">
        <v>7.6</v>
      </c>
    </row>
    <row r="1996" spans="2:2" x14ac:dyDescent="0.25">
      <c r="B1996" s="1">
        <v>16.8</v>
      </c>
    </row>
    <row r="1997" spans="2:2" x14ac:dyDescent="0.25">
      <c r="B1997" s="1">
        <v>33.6</v>
      </c>
    </row>
    <row r="1998" spans="2:2" x14ac:dyDescent="0.25">
      <c r="B1998" s="1">
        <v>36</v>
      </c>
    </row>
    <row r="1999" spans="2:2" x14ac:dyDescent="0.25">
      <c r="B1999" s="1">
        <v>16.8</v>
      </c>
    </row>
    <row r="2000" spans="2:2" x14ac:dyDescent="0.25">
      <c r="B2000" s="1">
        <v>16.8</v>
      </c>
    </row>
    <row r="2001" spans="2:2" x14ac:dyDescent="0.25">
      <c r="B2001" s="1">
        <v>16.8</v>
      </c>
    </row>
    <row r="2002" spans="2:2" x14ac:dyDescent="0.25">
      <c r="B2002" s="1">
        <v>7.6</v>
      </c>
    </row>
    <row r="2003" spans="2:2" x14ac:dyDescent="0.25">
      <c r="B2003" s="1">
        <v>33.6</v>
      </c>
    </row>
    <row r="2004" spans="2:2" x14ac:dyDescent="0.25">
      <c r="B2004" s="1">
        <v>16.8</v>
      </c>
    </row>
    <row r="2005" spans="2:2" x14ac:dyDescent="0.25">
      <c r="B2005" s="1">
        <v>6</v>
      </c>
    </row>
    <row r="2006" spans="2:2" x14ac:dyDescent="0.25">
      <c r="B2006" s="1">
        <v>16.8</v>
      </c>
    </row>
    <row r="2007" spans="2:2" x14ac:dyDescent="0.25">
      <c r="B2007" s="1">
        <v>16.8</v>
      </c>
    </row>
    <row r="2008" spans="2:2" x14ac:dyDescent="0.25">
      <c r="B2008" s="1">
        <v>8.3999999999999986</v>
      </c>
    </row>
    <row r="2009" spans="2:2" x14ac:dyDescent="0.25">
      <c r="B2009" s="1">
        <v>33.6</v>
      </c>
    </row>
    <row r="2010" spans="2:2" x14ac:dyDescent="0.25">
      <c r="B2010" s="1">
        <v>16.8</v>
      </c>
    </row>
    <row r="2011" spans="2:2" x14ac:dyDescent="0.25">
      <c r="B2011" s="1">
        <v>6</v>
      </c>
    </row>
    <row r="2012" spans="2:2" x14ac:dyDescent="0.25">
      <c r="B2012" s="1">
        <v>33.6</v>
      </c>
    </row>
    <row r="2013" spans="2:2" x14ac:dyDescent="0.25">
      <c r="B2013" s="1">
        <v>7.6</v>
      </c>
    </row>
    <row r="2014" spans="2:2" x14ac:dyDescent="0.25">
      <c r="B2014" s="1">
        <v>16.8</v>
      </c>
    </row>
    <row r="2015" spans="2:2" x14ac:dyDescent="0.25">
      <c r="B2015" s="1">
        <v>16.8</v>
      </c>
    </row>
    <row r="2016" spans="2:2" x14ac:dyDescent="0.25">
      <c r="B2016" s="1">
        <v>36</v>
      </c>
    </row>
    <row r="2017" spans="2:2" x14ac:dyDescent="0.25">
      <c r="B2017" s="1">
        <v>33.6</v>
      </c>
    </row>
    <row r="2018" spans="2:2" x14ac:dyDescent="0.25">
      <c r="B2018" s="1">
        <v>16.8</v>
      </c>
    </row>
    <row r="2019" spans="2:2" x14ac:dyDescent="0.25">
      <c r="B2019" s="1">
        <v>16.8</v>
      </c>
    </row>
    <row r="2020" spans="2:2" x14ac:dyDescent="0.25">
      <c r="B2020" s="1">
        <v>6</v>
      </c>
    </row>
    <row r="2021" spans="2:2" x14ac:dyDescent="0.25">
      <c r="B2021" s="1">
        <v>33.6</v>
      </c>
    </row>
    <row r="2022" spans="2:2" x14ac:dyDescent="0.25">
      <c r="B2022" s="1">
        <v>7.6</v>
      </c>
    </row>
    <row r="2023" spans="2:2" x14ac:dyDescent="0.25">
      <c r="B2023" s="1">
        <v>16.8</v>
      </c>
    </row>
    <row r="2024" spans="2:2" x14ac:dyDescent="0.25">
      <c r="B2024" s="1">
        <v>16.8</v>
      </c>
    </row>
    <row r="2025" spans="2:2" x14ac:dyDescent="0.25">
      <c r="B2025" s="1">
        <v>8.3999999999999986</v>
      </c>
    </row>
    <row r="2026" spans="2:2" x14ac:dyDescent="0.25">
      <c r="B2026" s="1">
        <v>16.8</v>
      </c>
    </row>
    <row r="2027" spans="2:2" x14ac:dyDescent="0.25">
      <c r="B2027" s="1">
        <v>16.8</v>
      </c>
    </row>
    <row r="2028" spans="2:2" x14ac:dyDescent="0.25">
      <c r="B2028" s="1">
        <v>6</v>
      </c>
    </row>
    <row r="2029" spans="2:2" x14ac:dyDescent="0.25">
      <c r="B2029" s="1">
        <v>16.8</v>
      </c>
    </row>
    <row r="2030" spans="2:2" x14ac:dyDescent="0.25">
      <c r="B2030" s="1">
        <v>33.6</v>
      </c>
    </row>
    <row r="2031" spans="2:2" x14ac:dyDescent="0.25">
      <c r="B2031" s="1">
        <v>36</v>
      </c>
    </row>
    <row r="2032" spans="2:2" x14ac:dyDescent="0.25">
      <c r="B2032" s="1">
        <v>16.8</v>
      </c>
    </row>
    <row r="2033" spans="2:2" x14ac:dyDescent="0.25">
      <c r="B2033" s="1">
        <v>16.8</v>
      </c>
    </row>
    <row r="2034" spans="2:2" x14ac:dyDescent="0.25">
      <c r="B2034" s="1">
        <v>16.8</v>
      </c>
    </row>
    <row r="2035" spans="2:2" x14ac:dyDescent="0.25">
      <c r="B2035" s="1">
        <v>7.6</v>
      </c>
    </row>
    <row r="2036" spans="2:2" x14ac:dyDescent="0.25">
      <c r="B2036" s="1">
        <v>16.8</v>
      </c>
    </row>
    <row r="2037" spans="2:2" x14ac:dyDescent="0.25">
      <c r="B2037" s="1">
        <v>8.3999999999999986</v>
      </c>
    </row>
    <row r="2038" spans="2:2" x14ac:dyDescent="0.25">
      <c r="B2038" s="1">
        <v>33.6</v>
      </c>
    </row>
    <row r="2039" spans="2:2" x14ac:dyDescent="0.25">
      <c r="B2039" s="1">
        <v>6</v>
      </c>
    </row>
    <row r="2040" spans="2:2" x14ac:dyDescent="0.25">
      <c r="B2040" s="1">
        <v>16.8</v>
      </c>
    </row>
    <row r="2041" spans="2:2" x14ac:dyDescent="0.25">
      <c r="B2041" s="1">
        <v>16.8</v>
      </c>
    </row>
    <row r="2042" spans="2:2" x14ac:dyDescent="0.25">
      <c r="B2042" s="1">
        <v>7.6</v>
      </c>
    </row>
    <row r="2043" spans="2:2" x14ac:dyDescent="0.25">
      <c r="B2043" s="1">
        <v>33.6</v>
      </c>
    </row>
    <row r="2044" spans="2:2" x14ac:dyDescent="0.25">
      <c r="B2044" s="1">
        <v>8</v>
      </c>
    </row>
    <row r="2045" spans="2:2" x14ac:dyDescent="0.25">
      <c r="B2045" s="1">
        <v>16.8</v>
      </c>
    </row>
    <row r="2046" spans="2:2" x14ac:dyDescent="0.25">
      <c r="B2046" s="1">
        <v>16.8</v>
      </c>
    </row>
    <row r="2047" spans="2:2" x14ac:dyDescent="0.25">
      <c r="B2047" s="1">
        <v>6</v>
      </c>
    </row>
    <row r="2048" spans="2:2" x14ac:dyDescent="0.25">
      <c r="B2048" s="1">
        <v>33.6</v>
      </c>
    </row>
    <row r="2049" spans="2:2" x14ac:dyDescent="0.25">
      <c r="B2049" s="1">
        <v>7.6</v>
      </c>
    </row>
    <row r="2050" spans="2:2" x14ac:dyDescent="0.25">
      <c r="B2050" s="1">
        <v>16.8</v>
      </c>
    </row>
    <row r="2051" spans="2:2" x14ac:dyDescent="0.25">
      <c r="B2051" s="1">
        <v>16.8</v>
      </c>
    </row>
    <row r="2052" spans="2:2" x14ac:dyDescent="0.25">
      <c r="B2052" s="1">
        <v>36</v>
      </c>
    </row>
    <row r="2053" spans="2:2" x14ac:dyDescent="0.25">
      <c r="B2053" s="1">
        <v>16.8</v>
      </c>
    </row>
    <row r="2054" spans="2:2" x14ac:dyDescent="0.25">
      <c r="B2054" s="1">
        <v>8.3999999999999986</v>
      </c>
    </row>
    <row r="2055" spans="2:2" x14ac:dyDescent="0.25">
      <c r="B2055" s="1">
        <v>16.8</v>
      </c>
    </row>
    <row r="2056" spans="2:2" x14ac:dyDescent="0.25">
      <c r="B2056" s="1">
        <v>6</v>
      </c>
    </row>
    <row r="2057" spans="2:2" x14ac:dyDescent="0.25">
      <c r="B2057" s="1">
        <v>33.6</v>
      </c>
    </row>
    <row r="2058" spans="2:2" x14ac:dyDescent="0.25">
      <c r="B2058" s="1">
        <v>7.6</v>
      </c>
    </row>
    <row r="2059" spans="2:2" x14ac:dyDescent="0.25">
      <c r="B2059" s="1">
        <v>16.8</v>
      </c>
    </row>
    <row r="2060" spans="2:2" x14ac:dyDescent="0.25">
      <c r="B2060" s="1">
        <v>16.8</v>
      </c>
    </row>
    <row r="2061" spans="2:2" x14ac:dyDescent="0.25">
      <c r="B2061" s="1">
        <v>8</v>
      </c>
    </row>
    <row r="2062" spans="2:2" x14ac:dyDescent="0.25">
      <c r="B2062" s="1">
        <v>33.6</v>
      </c>
    </row>
    <row r="2063" spans="2:2" x14ac:dyDescent="0.25">
      <c r="B2063" s="1">
        <v>7.6</v>
      </c>
    </row>
    <row r="2064" spans="2:2" x14ac:dyDescent="0.25">
      <c r="B2064" s="1">
        <v>16.8</v>
      </c>
    </row>
    <row r="2065" spans="2:2" x14ac:dyDescent="0.25">
      <c r="B2065" s="1">
        <v>16.8</v>
      </c>
    </row>
    <row r="2066" spans="2:2" x14ac:dyDescent="0.25">
      <c r="B2066" s="1">
        <v>36</v>
      </c>
    </row>
    <row r="2067" spans="2:2" x14ac:dyDescent="0.25">
      <c r="B2067" s="1">
        <v>16.8</v>
      </c>
    </row>
    <row r="2068" spans="2:2" x14ac:dyDescent="0.25">
      <c r="B2068" s="1">
        <v>16.8</v>
      </c>
    </row>
    <row r="2069" spans="2:2" x14ac:dyDescent="0.25">
      <c r="B2069" s="1">
        <v>16.8</v>
      </c>
    </row>
    <row r="2070" spans="2:2" x14ac:dyDescent="0.25">
      <c r="B2070" s="1">
        <v>6</v>
      </c>
    </row>
    <row r="2071" spans="2:2" x14ac:dyDescent="0.25">
      <c r="B2071" s="1">
        <v>33.6</v>
      </c>
    </row>
    <row r="2072" spans="2:2" x14ac:dyDescent="0.25">
      <c r="B2072" s="1">
        <v>16.8</v>
      </c>
    </row>
    <row r="2073" spans="2:2" x14ac:dyDescent="0.25">
      <c r="B2073" s="1">
        <v>7.6</v>
      </c>
    </row>
    <row r="2074" spans="2:2" x14ac:dyDescent="0.25">
      <c r="B2074" s="1">
        <v>16.8</v>
      </c>
    </row>
    <row r="2075" spans="2:2" x14ac:dyDescent="0.25">
      <c r="B2075" s="1">
        <v>8.3999999999999986</v>
      </c>
    </row>
    <row r="2076" spans="2:2" x14ac:dyDescent="0.25">
      <c r="B2076" s="1">
        <v>16.8</v>
      </c>
    </row>
    <row r="2077" spans="2:2" x14ac:dyDescent="0.25">
      <c r="B2077" s="1">
        <v>16.8</v>
      </c>
    </row>
    <row r="2078" spans="2:2" x14ac:dyDescent="0.25">
      <c r="B2078" s="1">
        <v>6</v>
      </c>
    </row>
    <row r="2079" spans="2:2" x14ac:dyDescent="0.25">
      <c r="B2079" s="1">
        <v>33.6</v>
      </c>
    </row>
    <row r="2080" spans="2:2" x14ac:dyDescent="0.25">
      <c r="B2080" s="1">
        <v>7.6</v>
      </c>
    </row>
    <row r="2081" spans="2:2" x14ac:dyDescent="0.25">
      <c r="B2081" s="1">
        <v>16.8</v>
      </c>
    </row>
    <row r="2082" spans="2:2" x14ac:dyDescent="0.25">
      <c r="B2082" s="1">
        <v>16.8</v>
      </c>
    </row>
    <row r="2083" spans="2:2" x14ac:dyDescent="0.25">
      <c r="B2083" s="1">
        <v>36</v>
      </c>
    </row>
    <row r="2084" spans="2:2" x14ac:dyDescent="0.25">
      <c r="B2084" s="1">
        <v>33.6</v>
      </c>
    </row>
    <row r="2085" spans="2:2" x14ac:dyDescent="0.25">
      <c r="B2085" s="1">
        <v>16.8</v>
      </c>
    </row>
    <row r="2086" spans="2:2" x14ac:dyDescent="0.25">
      <c r="B2086" s="1">
        <v>6</v>
      </c>
    </row>
    <row r="2087" spans="2:2" x14ac:dyDescent="0.25">
      <c r="B2087" s="1">
        <v>16.8</v>
      </c>
    </row>
    <row r="2088" spans="2:2" x14ac:dyDescent="0.25">
      <c r="B2088" s="1">
        <v>33.6</v>
      </c>
    </row>
    <row r="2089" spans="2:2" x14ac:dyDescent="0.25">
      <c r="B2089" s="1">
        <v>7.6</v>
      </c>
    </row>
    <row r="2090" spans="2:2" x14ac:dyDescent="0.25">
      <c r="B2090" s="1">
        <v>16.8</v>
      </c>
    </row>
    <row r="2091" spans="2:2" x14ac:dyDescent="0.25">
      <c r="B2091" s="1">
        <v>6</v>
      </c>
    </row>
    <row r="2092" spans="2:2" x14ac:dyDescent="0.25">
      <c r="B2092" s="1">
        <v>33.6</v>
      </c>
    </row>
    <row r="2093" spans="2:2" x14ac:dyDescent="0.25">
      <c r="B2093" s="1">
        <v>7.6</v>
      </c>
    </row>
    <row r="2094" spans="2:2" x14ac:dyDescent="0.25">
      <c r="B2094" s="1">
        <v>16.8</v>
      </c>
    </row>
    <row r="2095" spans="2:2" x14ac:dyDescent="0.25">
      <c r="B2095" s="1">
        <v>5.6</v>
      </c>
    </row>
    <row r="2096" spans="2:2" x14ac:dyDescent="0.25">
      <c r="B2096" s="1">
        <v>6</v>
      </c>
    </row>
    <row r="2097" spans="2:2" x14ac:dyDescent="0.25">
      <c r="B2097" s="1">
        <v>16.8</v>
      </c>
    </row>
    <row r="2098" spans="2:2" x14ac:dyDescent="0.25">
      <c r="B2098" s="1">
        <v>8</v>
      </c>
    </row>
    <row r="2099" spans="2:2" x14ac:dyDescent="0.25">
      <c r="B2099" s="1">
        <v>33.6</v>
      </c>
    </row>
    <row r="2100" spans="2:2" x14ac:dyDescent="0.25">
      <c r="B2100" s="1">
        <v>36</v>
      </c>
    </row>
    <row r="2101" spans="2:2" x14ac:dyDescent="0.25">
      <c r="B2101" s="1">
        <v>16.8</v>
      </c>
    </row>
    <row r="2102" spans="2:2" x14ac:dyDescent="0.25">
      <c r="B2102" s="1">
        <v>7.6</v>
      </c>
    </row>
    <row r="2103" spans="2:2" x14ac:dyDescent="0.25">
      <c r="B2103" s="1">
        <v>33.6</v>
      </c>
    </row>
    <row r="2104" spans="2:2" x14ac:dyDescent="0.25">
      <c r="B2104" s="1">
        <v>16.8</v>
      </c>
    </row>
    <row r="2105" spans="2:2" x14ac:dyDescent="0.25">
      <c r="B2105" s="1">
        <v>6</v>
      </c>
    </row>
    <row r="2106" spans="2:2" x14ac:dyDescent="0.25">
      <c r="B2106" s="1">
        <v>16.8</v>
      </c>
    </row>
    <row r="2107" spans="2:2" x14ac:dyDescent="0.25">
      <c r="B2107" s="1">
        <v>8.3999999999999986</v>
      </c>
    </row>
    <row r="2108" spans="2:2" x14ac:dyDescent="0.25">
      <c r="B2108" s="1">
        <v>16.8</v>
      </c>
    </row>
    <row r="2109" spans="2:2" x14ac:dyDescent="0.25">
      <c r="B2109" s="1">
        <v>36</v>
      </c>
    </row>
    <row r="2110" spans="2:2" x14ac:dyDescent="0.25">
      <c r="B2110" s="1">
        <v>33.6</v>
      </c>
    </row>
    <row r="2111" spans="2:2" x14ac:dyDescent="0.25">
      <c r="B2111" s="1">
        <v>16.8</v>
      </c>
    </row>
    <row r="2112" spans="2:2" x14ac:dyDescent="0.25">
      <c r="B2112" s="1">
        <v>7.6</v>
      </c>
    </row>
    <row r="2113" spans="2:2" x14ac:dyDescent="0.25">
      <c r="B2113" s="1">
        <v>33.6</v>
      </c>
    </row>
    <row r="2114" spans="2:2" x14ac:dyDescent="0.25">
      <c r="B2114" s="1">
        <v>16.8</v>
      </c>
    </row>
    <row r="2115" spans="2:2" x14ac:dyDescent="0.25">
      <c r="B2115" s="1">
        <v>6</v>
      </c>
    </row>
    <row r="2116" spans="2:2" x14ac:dyDescent="0.25">
      <c r="B2116" s="1">
        <v>16.8</v>
      </c>
    </row>
    <row r="2117" spans="2:2" x14ac:dyDescent="0.25">
      <c r="B2117" s="1">
        <v>16.8</v>
      </c>
    </row>
    <row r="2118" spans="2:2" x14ac:dyDescent="0.25">
      <c r="B2118" s="1">
        <v>36</v>
      </c>
    </row>
    <row r="2119" spans="2:2" x14ac:dyDescent="0.25">
      <c r="B2119" s="1">
        <v>33.6</v>
      </c>
    </row>
    <row r="2120" spans="2:2" x14ac:dyDescent="0.25">
      <c r="B2120" s="1">
        <v>8.3999999999999986</v>
      </c>
    </row>
    <row r="2121" spans="2:2" x14ac:dyDescent="0.25">
      <c r="B2121" s="1">
        <v>16.8</v>
      </c>
    </row>
    <row r="2122" spans="2:2" x14ac:dyDescent="0.25">
      <c r="B2122" s="1">
        <v>7.6</v>
      </c>
    </row>
    <row r="2123" spans="2:2" x14ac:dyDescent="0.25">
      <c r="B2123" s="1">
        <v>33.6</v>
      </c>
    </row>
    <row r="2124" spans="2:2" x14ac:dyDescent="0.25">
      <c r="B2124" s="1">
        <v>6</v>
      </c>
    </row>
    <row r="2125" spans="2:2" x14ac:dyDescent="0.25">
      <c r="B2125" s="1">
        <v>16.8</v>
      </c>
    </row>
    <row r="2126" spans="2:2" x14ac:dyDescent="0.25">
      <c r="B2126" s="1">
        <v>16.8</v>
      </c>
    </row>
    <row r="2127" spans="2:2" x14ac:dyDescent="0.25">
      <c r="B2127" s="1">
        <v>8</v>
      </c>
    </row>
    <row r="2128" spans="2:2" x14ac:dyDescent="0.25">
      <c r="B2128" s="1">
        <v>33.6</v>
      </c>
    </row>
    <row r="2129" spans="2:2" x14ac:dyDescent="0.25">
      <c r="B2129" s="1">
        <v>7.6</v>
      </c>
    </row>
    <row r="2130" spans="2:2" x14ac:dyDescent="0.25">
      <c r="B2130" s="1">
        <v>16.8</v>
      </c>
    </row>
    <row r="2131" spans="2:2" x14ac:dyDescent="0.25">
      <c r="B2131" s="1">
        <v>16.8</v>
      </c>
    </row>
    <row r="2132" spans="2:2" x14ac:dyDescent="0.25">
      <c r="B2132" s="1">
        <v>5.6</v>
      </c>
    </row>
    <row r="2133" spans="2:2" x14ac:dyDescent="0.25">
      <c r="B2133" s="1">
        <v>16.8</v>
      </c>
    </row>
    <row r="2134" spans="2:2" x14ac:dyDescent="0.25">
      <c r="B2134" s="1">
        <v>6</v>
      </c>
    </row>
    <row r="2135" spans="2:2" x14ac:dyDescent="0.25">
      <c r="B2135" s="1">
        <v>16.8</v>
      </c>
    </row>
    <row r="2136" spans="2:2" x14ac:dyDescent="0.25">
      <c r="B2136" s="1">
        <v>16.8</v>
      </c>
    </row>
    <row r="2137" spans="2:2" x14ac:dyDescent="0.25">
      <c r="B2137" s="1">
        <v>36</v>
      </c>
    </row>
    <row r="2138" spans="2:2" x14ac:dyDescent="0.25">
      <c r="B2138" s="1">
        <v>16.8</v>
      </c>
    </row>
    <row r="2139" spans="2:2" x14ac:dyDescent="0.25">
      <c r="B2139" s="1">
        <v>7.6</v>
      </c>
    </row>
    <row r="2140" spans="2:2" x14ac:dyDescent="0.25">
      <c r="B2140" s="1">
        <v>16.8</v>
      </c>
    </row>
    <row r="2141" spans="2:2" x14ac:dyDescent="0.25">
      <c r="B2141" s="1">
        <v>6</v>
      </c>
    </row>
    <row r="2142" spans="2:2" x14ac:dyDescent="0.25">
      <c r="B2142" s="1">
        <v>33.6</v>
      </c>
    </row>
    <row r="2143" spans="2:2" x14ac:dyDescent="0.25">
      <c r="B2143" s="1">
        <v>16.8</v>
      </c>
    </row>
    <row r="2144" spans="2:2" x14ac:dyDescent="0.25">
      <c r="B2144" s="1">
        <v>16.8</v>
      </c>
    </row>
    <row r="2145" spans="2:2" x14ac:dyDescent="0.25">
      <c r="B2145" s="1">
        <v>8</v>
      </c>
    </row>
    <row r="2146" spans="2:2" x14ac:dyDescent="0.25">
      <c r="B2146" s="1">
        <v>16.8</v>
      </c>
    </row>
    <row r="2147" spans="2:2" x14ac:dyDescent="0.25">
      <c r="B2147" s="1">
        <v>16.8</v>
      </c>
    </row>
    <row r="2148" spans="2:2" x14ac:dyDescent="0.25">
      <c r="B2148" s="1">
        <v>7.6</v>
      </c>
    </row>
    <row r="2149" spans="2:2" x14ac:dyDescent="0.25">
      <c r="B2149" s="1">
        <v>33.6</v>
      </c>
    </row>
    <row r="2150" spans="2:2" x14ac:dyDescent="0.25">
      <c r="B2150" s="1">
        <v>36</v>
      </c>
    </row>
    <row r="2151" spans="2:2" x14ac:dyDescent="0.25">
      <c r="B2151" s="1">
        <v>16.8</v>
      </c>
    </row>
    <row r="2152" spans="2:2" x14ac:dyDescent="0.25">
      <c r="B2152" s="1">
        <v>6</v>
      </c>
    </row>
    <row r="2153" spans="2:2" x14ac:dyDescent="0.25">
      <c r="B2153" s="1">
        <v>33.6</v>
      </c>
    </row>
    <row r="2154" spans="2:2" x14ac:dyDescent="0.25">
      <c r="B2154" s="1">
        <v>7.6</v>
      </c>
    </row>
    <row r="2155" spans="2:2" x14ac:dyDescent="0.25">
      <c r="B2155" s="1">
        <v>16.8</v>
      </c>
    </row>
    <row r="2156" spans="2:2" x14ac:dyDescent="0.25">
      <c r="B2156" s="1">
        <v>5.6</v>
      </c>
    </row>
    <row r="2157" spans="2:2" x14ac:dyDescent="0.25">
      <c r="B2157" s="1">
        <v>6</v>
      </c>
    </row>
    <row r="2158" spans="2:2" x14ac:dyDescent="0.25">
      <c r="B2158" s="1">
        <v>16.8</v>
      </c>
    </row>
    <row r="2159" spans="2:2" x14ac:dyDescent="0.25">
      <c r="B2159" s="1">
        <v>8</v>
      </c>
    </row>
    <row r="2160" spans="2:2" x14ac:dyDescent="0.25">
      <c r="B2160" s="1">
        <v>33.6</v>
      </c>
    </row>
    <row r="2161" spans="2:2" x14ac:dyDescent="0.25">
      <c r="B2161" s="1">
        <v>36</v>
      </c>
    </row>
    <row r="2162" spans="2:2" x14ac:dyDescent="0.25">
      <c r="B2162" s="1">
        <v>16.8</v>
      </c>
    </row>
    <row r="2163" spans="2:2" x14ac:dyDescent="0.25">
      <c r="B2163" s="1">
        <v>7.6</v>
      </c>
    </row>
    <row r="2164" spans="2:2" x14ac:dyDescent="0.25">
      <c r="B2164" s="1">
        <v>33.6</v>
      </c>
    </row>
    <row r="2165" spans="2:2" x14ac:dyDescent="0.25">
      <c r="B2165" s="1">
        <v>16.8</v>
      </c>
    </row>
    <row r="2166" spans="2:2" x14ac:dyDescent="0.25">
      <c r="B2166" s="1">
        <v>6</v>
      </c>
    </row>
    <row r="2167" spans="2:2" x14ac:dyDescent="0.25">
      <c r="B2167" s="1">
        <v>16.8</v>
      </c>
    </row>
    <row r="2168" spans="2:2" x14ac:dyDescent="0.25">
      <c r="B2168" s="1">
        <v>8.3999999999999986</v>
      </c>
    </row>
    <row r="2169" spans="2:2" x14ac:dyDescent="0.25">
      <c r="B2169" s="1">
        <v>16.8</v>
      </c>
    </row>
    <row r="2170" spans="2:2" x14ac:dyDescent="0.25">
      <c r="B2170" s="1">
        <v>36</v>
      </c>
    </row>
    <row r="2171" spans="2:2" x14ac:dyDescent="0.25">
      <c r="B2171" s="1">
        <v>33.6</v>
      </c>
    </row>
    <row r="2172" spans="2:2" x14ac:dyDescent="0.25">
      <c r="B2172" s="1">
        <v>16.8</v>
      </c>
    </row>
    <row r="2173" spans="2:2" x14ac:dyDescent="0.25">
      <c r="B2173" s="1">
        <v>7.6</v>
      </c>
    </row>
    <row r="2174" spans="2:2" x14ac:dyDescent="0.25">
      <c r="B2174" s="1">
        <v>33.6</v>
      </c>
    </row>
    <row r="2175" spans="2:2" x14ac:dyDescent="0.25">
      <c r="B2175" s="1">
        <v>16.8</v>
      </c>
    </row>
    <row r="2176" spans="2:2" x14ac:dyDescent="0.25">
      <c r="B2176" s="1">
        <v>6</v>
      </c>
    </row>
    <row r="2177" spans="2:2" x14ac:dyDescent="0.25">
      <c r="B2177" s="1">
        <v>16.8</v>
      </c>
    </row>
    <row r="2178" spans="2:2" x14ac:dyDescent="0.25">
      <c r="B2178" s="1">
        <v>16.8</v>
      </c>
    </row>
    <row r="2179" spans="2:2" x14ac:dyDescent="0.25">
      <c r="B2179" s="1">
        <v>36</v>
      </c>
    </row>
    <row r="2180" spans="2:2" x14ac:dyDescent="0.25">
      <c r="B2180" s="1">
        <v>33.6</v>
      </c>
    </row>
    <row r="2181" spans="2:2" x14ac:dyDescent="0.25">
      <c r="B2181" s="1">
        <v>8.3999999999999986</v>
      </c>
    </row>
    <row r="2182" spans="2:2" x14ac:dyDescent="0.25">
      <c r="B2182" s="1">
        <v>16.8</v>
      </c>
    </row>
    <row r="2183" spans="2:2" x14ac:dyDescent="0.25">
      <c r="B2183" s="1">
        <v>7.6</v>
      </c>
    </row>
    <row r="2184" spans="2:2" x14ac:dyDescent="0.25">
      <c r="B2184" s="1">
        <v>33.6</v>
      </c>
    </row>
    <row r="2185" spans="2:2" x14ac:dyDescent="0.25">
      <c r="B2185" s="1">
        <v>6</v>
      </c>
    </row>
    <row r="2186" spans="2:2" x14ac:dyDescent="0.25">
      <c r="B2186" s="1">
        <v>16.8</v>
      </c>
    </row>
    <row r="2187" spans="2:2" x14ac:dyDescent="0.25">
      <c r="B2187" s="1">
        <v>16.8</v>
      </c>
    </row>
    <row r="2188" spans="2:2" x14ac:dyDescent="0.25">
      <c r="B2188" s="1">
        <v>8</v>
      </c>
    </row>
    <row r="2189" spans="2:2" x14ac:dyDescent="0.25">
      <c r="B2189" s="1">
        <v>33.6</v>
      </c>
    </row>
    <row r="2190" spans="2:2" x14ac:dyDescent="0.25">
      <c r="B2190" s="1">
        <v>7.6</v>
      </c>
    </row>
    <row r="2191" spans="2:2" x14ac:dyDescent="0.25">
      <c r="B2191" s="1">
        <v>16.8</v>
      </c>
    </row>
    <row r="2192" spans="2:2" x14ac:dyDescent="0.25">
      <c r="B2192" s="1">
        <v>16.8</v>
      </c>
    </row>
    <row r="2193" spans="2:2" x14ac:dyDescent="0.25">
      <c r="B2193" s="1">
        <v>5.6</v>
      </c>
    </row>
    <row r="2194" spans="2:2" x14ac:dyDescent="0.25">
      <c r="B2194" s="1">
        <v>16.8</v>
      </c>
    </row>
    <row r="2195" spans="2:2" x14ac:dyDescent="0.25">
      <c r="B2195" s="1">
        <v>6</v>
      </c>
    </row>
    <row r="2196" spans="2:2" x14ac:dyDescent="0.25">
      <c r="B2196" s="1">
        <v>16.8</v>
      </c>
    </row>
    <row r="2197" spans="2:2" x14ac:dyDescent="0.25">
      <c r="B2197" s="1">
        <v>36</v>
      </c>
    </row>
    <row r="2198" spans="2:2" x14ac:dyDescent="0.25">
      <c r="B2198" s="1">
        <v>33.6</v>
      </c>
    </row>
    <row r="2199" spans="2:2" x14ac:dyDescent="0.25">
      <c r="B2199" s="1">
        <v>16.8</v>
      </c>
    </row>
    <row r="2200" spans="2:2" x14ac:dyDescent="0.25">
      <c r="B2200" s="1">
        <v>16.8</v>
      </c>
    </row>
    <row r="2201" spans="2:2" x14ac:dyDescent="0.25">
      <c r="B2201" s="1">
        <v>6</v>
      </c>
    </row>
    <row r="2202" spans="2:2" x14ac:dyDescent="0.25">
      <c r="B2202" s="1">
        <v>33.6</v>
      </c>
    </row>
    <row r="2203" spans="2:2" x14ac:dyDescent="0.25">
      <c r="B2203" s="1">
        <v>7.6</v>
      </c>
    </row>
    <row r="2204" spans="2:2" x14ac:dyDescent="0.25">
      <c r="B2204" s="1">
        <v>16.8</v>
      </c>
    </row>
    <row r="2205" spans="2:2" x14ac:dyDescent="0.25">
      <c r="B2205" s="1">
        <v>36</v>
      </c>
    </row>
    <row r="2206" spans="2:2" x14ac:dyDescent="0.25">
      <c r="B2206" s="1">
        <v>16.8</v>
      </c>
    </row>
    <row r="2207" spans="2:2" x14ac:dyDescent="0.25">
      <c r="B2207" s="1">
        <v>6</v>
      </c>
    </row>
    <row r="2208" spans="2:2" x14ac:dyDescent="0.25">
      <c r="B2208" s="1">
        <v>33.6</v>
      </c>
    </row>
    <row r="2209" spans="2:2" x14ac:dyDescent="0.25">
      <c r="B2209" s="1">
        <v>7.6</v>
      </c>
    </row>
    <row r="2210" spans="2:2" x14ac:dyDescent="0.25">
      <c r="B2210" s="1">
        <v>16.8</v>
      </c>
    </row>
    <row r="2211" spans="2:2" x14ac:dyDescent="0.25">
      <c r="B2211" s="1">
        <v>16.8</v>
      </c>
    </row>
    <row r="2212" spans="2:2" x14ac:dyDescent="0.25">
      <c r="B2212" s="1">
        <v>8.3999999999999986</v>
      </c>
    </row>
    <row r="2213" spans="2:2" x14ac:dyDescent="0.25">
      <c r="B2213" s="1">
        <v>16.8</v>
      </c>
    </row>
    <row r="2214" spans="2:2" x14ac:dyDescent="0.25">
      <c r="B2214" s="1">
        <v>6</v>
      </c>
    </row>
    <row r="2215" spans="2:2" x14ac:dyDescent="0.25">
      <c r="B2215" s="1">
        <v>16.8</v>
      </c>
    </row>
    <row r="2216" spans="2:2" x14ac:dyDescent="0.25">
      <c r="B2216" s="1">
        <v>36</v>
      </c>
    </row>
    <row r="2217" spans="2:2" x14ac:dyDescent="0.25">
      <c r="B2217" s="1">
        <v>33.6</v>
      </c>
    </row>
    <row r="2218" spans="2:2" x14ac:dyDescent="0.25">
      <c r="B2218" s="1">
        <v>8</v>
      </c>
    </row>
    <row r="2219" spans="2:2" x14ac:dyDescent="0.25">
      <c r="B2219" s="1">
        <v>16.8</v>
      </c>
    </row>
    <row r="2220" spans="2:2" x14ac:dyDescent="0.25">
      <c r="B2220" s="1">
        <v>7.6</v>
      </c>
    </row>
    <row r="2221" spans="2:2" x14ac:dyDescent="0.25">
      <c r="B2221" s="1">
        <v>33.6</v>
      </c>
    </row>
    <row r="2222" spans="2:2" x14ac:dyDescent="0.25">
      <c r="B2222" s="1">
        <v>6</v>
      </c>
    </row>
    <row r="2223" spans="2:2" x14ac:dyDescent="0.25">
      <c r="B2223" s="1">
        <v>16.8</v>
      </c>
    </row>
    <row r="2224" spans="2:2" x14ac:dyDescent="0.25">
      <c r="B2224" s="1">
        <v>36</v>
      </c>
    </row>
    <row r="2225" spans="2:2" x14ac:dyDescent="0.25">
      <c r="B2225" s="1">
        <v>16.8</v>
      </c>
    </row>
    <row r="2226" spans="2:2" x14ac:dyDescent="0.25">
      <c r="B2226" s="1">
        <v>5.6</v>
      </c>
    </row>
    <row r="2227" spans="2:2" x14ac:dyDescent="0.25">
      <c r="B2227" s="1">
        <v>33.6</v>
      </c>
    </row>
    <row r="2228" spans="2:2" x14ac:dyDescent="0.25">
      <c r="B2228" s="1">
        <v>7.6</v>
      </c>
    </row>
    <row r="2229" spans="2:2" x14ac:dyDescent="0.25">
      <c r="B2229" s="1">
        <v>16.8</v>
      </c>
    </row>
    <row r="2230" spans="2:2" x14ac:dyDescent="0.25">
      <c r="B2230" s="1">
        <v>16.8</v>
      </c>
    </row>
    <row r="2231" spans="2:2" x14ac:dyDescent="0.25">
      <c r="B2231" s="1">
        <v>6</v>
      </c>
    </row>
    <row r="2232" spans="2:2" x14ac:dyDescent="0.25">
      <c r="B2232" s="1">
        <v>16.8</v>
      </c>
    </row>
    <row r="2233" spans="2:2" x14ac:dyDescent="0.25">
      <c r="B2233" s="1">
        <v>33.6</v>
      </c>
    </row>
    <row r="2234" spans="2:2" x14ac:dyDescent="0.25">
      <c r="B2234" s="1">
        <v>36</v>
      </c>
    </row>
    <row r="2235" spans="2:2" x14ac:dyDescent="0.25">
      <c r="B2235" s="1">
        <v>16.8</v>
      </c>
    </row>
    <row r="2236" spans="2:2" x14ac:dyDescent="0.25">
      <c r="B2236" s="1">
        <v>8</v>
      </c>
    </row>
    <row r="2237" spans="2:2" x14ac:dyDescent="0.25">
      <c r="B2237" s="1">
        <v>16.8</v>
      </c>
    </row>
    <row r="2238" spans="2:2" x14ac:dyDescent="0.25">
      <c r="B2238" s="1">
        <v>7.6</v>
      </c>
    </row>
    <row r="2239" spans="2:2" x14ac:dyDescent="0.25">
      <c r="B2239" s="1">
        <v>33.6</v>
      </c>
    </row>
    <row r="2240" spans="2:2" x14ac:dyDescent="0.25">
      <c r="B2240" s="1">
        <v>6</v>
      </c>
    </row>
    <row r="2241" spans="2:2" x14ac:dyDescent="0.25">
      <c r="B2241" s="1">
        <v>16.8</v>
      </c>
    </row>
    <row r="2242" spans="2:2" x14ac:dyDescent="0.25">
      <c r="B2242" s="1">
        <v>8.3999999999999986</v>
      </c>
    </row>
    <row r="2243" spans="2:2" x14ac:dyDescent="0.25">
      <c r="B2243" s="1">
        <v>33.6</v>
      </c>
    </row>
    <row r="2244" spans="2:2" x14ac:dyDescent="0.25">
      <c r="B2244" s="1">
        <v>36</v>
      </c>
    </row>
    <row r="2245" spans="2:2" x14ac:dyDescent="0.25">
      <c r="B2245" s="1">
        <v>16.8</v>
      </c>
    </row>
    <row r="2246" spans="2:2" x14ac:dyDescent="0.25">
      <c r="B2246" s="1">
        <v>7.6</v>
      </c>
    </row>
    <row r="2247" spans="2:2" x14ac:dyDescent="0.25">
      <c r="B2247" s="1">
        <v>16.8</v>
      </c>
    </row>
    <row r="2248" spans="2:2" x14ac:dyDescent="0.25">
      <c r="B2248" s="1">
        <v>6</v>
      </c>
    </row>
    <row r="2249" spans="2:2" x14ac:dyDescent="0.25">
      <c r="B2249" s="1">
        <v>16.8</v>
      </c>
    </row>
    <row r="2250" spans="2:2" x14ac:dyDescent="0.25">
      <c r="B2250" s="1">
        <v>33.6</v>
      </c>
    </row>
    <row r="2251" spans="2:2" x14ac:dyDescent="0.25">
      <c r="B2251" s="1">
        <v>8</v>
      </c>
    </row>
    <row r="2252" spans="2:2" x14ac:dyDescent="0.25">
      <c r="B2252" s="1">
        <v>16.8</v>
      </c>
    </row>
    <row r="2253" spans="2:2" x14ac:dyDescent="0.25">
      <c r="B2253" s="1">
        <v>36</v>
      </c>
    </row>
    <row r="2254" spans="2:2" x14ac:dyDescent="0.25">
      <c r="B2254" s="1">
        <v>33.6</v>
      </c>
    </row>
    <row r="2255" spans="2:2" x14ac:dyDescent="0.25">
      <c r="B2255" s="1">
        <v>16.8</v>
      </c>
    </row>
    <row r="2256" spans="2:2" x14ac:dyDescent="0.25">
      <c r="B2256" s="1">
        <v>7.6</v>
      </c>
    </row>
    <row r="2257" spans="2:2" x14ac:dyDescent="0.25">
      <c r="B2257" s="1">
        <v>16.8</v>
      </c>
    </row>
    <row r="2258" spans="2:2" x14ac:dyDescent="0.25">
      <c r="B2258" s="1">
        <v>6</v>
      </c>
    </row>
    <row r="2259" spans="2:2" x14ac:dyDescent="0.25">
      <c r="B2259" s="1">
        <v>16.8</v>
      </c>
    </row>
    <row r="2260" spans="2:2" x14ac:dyDescent="0.25">
      <c r="B2260" s="1">
        <v>36</v>
      </c>
    </row>
    <row r="2261" spans="2:2" x14ac:dyDescent="0.25">
      <c r="B2261" s="1">
        <v>33.6</v>
      </c>
    </row>
    <row r="2262" spans="2:2" x14ac:dyDescent="0.25">
      <c r="B2262" s="1">
        <v>5.6</v>
      </c>
    </row>
    <row r="2263" spans="2:2" x14ac:dyDescent="0.25">
      <c r="B2263" s="1">
        <v>36</v>
      </c>
    </row>
    <row r="2264" spans="2:2" x14ac:dyDescent="0.25">
      <c r="B2264" s="1">
        <v>28</v>
      </c>
    </row>
    <row r="2265" spans="2:2" x14ac:dyDescent="0.25">
      <c r="B2265" s="1">
        <v>6</v>
      </c>
    </row>
    <row r="2266" spans="2:2" x14ac:dyDescent="0.25">
      <c r="B2266" s="1">
        <v>8</v>
      </c>
    </row>
    <row r="2267" spans="2:2" x14ac:dyDescent="0.25">
      <c r="B2267" s="1">
        <v>7.6</v>
      </c>
    </row>
    <row r="2268" spans="2:2" x14ac:dyDescent="0.25">
      <c r="B2268" s="1">
        <v>8.3999999999999986</v>
      </c>
    </row>
    <row r="2269" spans="2:2" x14ac:dyDescent="0.25">
      <c r="B2269" s="1">
        <v>19.600000000000001</v>
      </c>
    </row>
    <row r="2270" spans="2:2" x14ac:dyDescent="0.25">
      <c r="B2270" s="1">
        <v>12</v>
      </c>
    </row>
    <row r="2271" spans="2:2" x14ac:dyDescent="0.25">
      <c r="B2271" s="1">
        <v>36</v>
      </c>
    </row>
    <row r="2272" spans="2:2" x14ac:dyDescent="0.25">
      <c r="B2272" s="1">
        <v>8.8000000000000007</v>
      </c>
    </row>
    <row r="2273" spans="2:2" x14ac:dyDescent="0.25">
      <c r="B2273" s="1">
        <v>14</v>
      </c>
    </row>
    <row r="2274" spans="2:2" x14ac:dyDescent="0.25">
      <c r="B2274" s="1">
        <v>15.2</v>
      </c>
    </row>
    <row r="2275" spans="2:2" x14ac:dyDescent="0.25">
      <c r="B2275" s="1">
        <v>5.6</v>
      </c>
    </row>
    <row r="2276" spans="2:2" x14ac:dyDescent="0.25">
      <c r="B2276" s="1">
        <v>6.4</v>
      </c>
    </row>
    <row r="2277" spans="2:2" x14ac:dyDescent="0.25">
      <c r="B2277" s="1">
        <v>6.8</v>
      </c>
    </row>
    <row r="2278" spans="2:2" x14ac:dyDescent="0.25">
      <c r="B2278" s="1">
        <v>22</v>
      </c>
    </row>
    <row r="2279" spans="2:2" x14ac:dyDescent="0.25">
      <c r="B2279" s="1">
        <v>20</v>
      </c>
    </row>
    <row r="2280" spans="2:2" x14ac:dyDescent="0.25">
      <c r="B2280" s="1">
        <v>12</v>
      </c>
    </row>
    <row r="2281" spans="2:2" x14ac:dyDescent="0.25">
      <c r="B2281" s="1">
        <v>10</v>
      </c>
    </row>
    <row r="2282" spans="2:2" x14ac:dyDescent="0.25">
      <c r="B2282" s="1">
        <v>9.6</v>
      </c>
    </row>
    <row r="2283" spans="2:2" x14ac:dyDescent="0.25">
      <c r="B2283" s="1">
        <v>51.64</v>
      </c>
    </row>
    <row r="2284" spans="2:2" x14ac:dyDescent="0.25">
      <c r="B2284" s="1">
        <v>22</v>
      </c>
    </row>
    <row r="2285" spans="2:2" x14ac:dyDescent="0.25">
      <c r="B2285" s="1">
        <v>18</v>
      </c>
    </row>
    <row r="2286" spans="2:2" x14ac:dyDescent="0.25">
      <c r="B2286" s="1">
        <v>11.6</v>
      </c>
    </row>
    <row r="2287" spans="2:2" x14ac:dyDescent="0.25">
      <c r="B2287" s="1">
        <v>63.64</v>
      </c>
    </row>
    <row r="2288" spans="2:2" x14ac:dyDescent="0.25">
      <c r="B2288" s="1">
        <v>18</v>
      </c>
    </row>
    <row r="2289" spans="2:2" x14ac:dyDescent="0.25">
      <c r="B2289" s="1">
        <v>20</v>
      </c>
    </row>
    <row r="2290" spans="2:2" x14ac:dyDescent="0.25">
      <c r="B2290" s="1">
        <v>20.8</v>
      </c>
    </row>
    <row r="2291" spans="2:2" x14ac:dyDescent="0.25">
      <c r="B2291" s="1">
        <v>14</v>
      </c>
    </row>
    <row r="2292" spans="2:2" x14ac:dyDescent="0.25">
      <c r="B2292" s="1">
        <v>36</v>
      </c>
    </row>
    <row r="2293" spans="2:2" x14ac:dyDescent="0.25">
      <c r="B2293" s="1">
        <v>5.6</v>
      </c>
    </row>
    <row r="2294" spans="2:2" x14ac:dyDescent="0.25">
      <c r="B2294" s="1">
        <v>8.8000000000000007</v>
      </c>
    </row>
    <row r="2295" spans="2:2" x14ac:dyDescent="0.25">
      <c r="B2295" s="1">
        <v>7.6</v>
      </c>
    </row>
    <row r="2296" spans="2:2" x14ac:dyDescent="0.25">
      <c r="B2296" s="1">
        <v>6.4</v>
      </c>
    </row>
    <row r="2297" spans="2:2" x14ac:dyDescent="0.25">
      <c r="B2297" s="1">
        <v>28</v>
      </c>
    </row>
    <row r="2298" spans="2:2" x14ac:dyDescent="0.25">
      <c r="B2298" s="1">
        <v>9.6</v>
      </c>
    </row>
    <row r="2299" spans="2:2" x14ac:dyDescent="0.25">
      <c r="B2299" s="1">
        <v>36</v>
      </c>
    </row>
    <row r="2300" spans="2:2" x14ac:dyDescent="0.25">
      <c r="B2300" s="1">
        <v>8</v>
      </c>
    </row>
    <row r="2301" spans="2:2" x14ac:dyDescent="0.25">
      <c r="B2301" s="1">
        <v>5.6</v>
      </c>
    </row>
    <row r="2302" spans="2:2" x14ac:dyDescent="0.25">
      <c r="B2302" s="1">
        <v>6</v>
      </c>
    </row>
    <row r="2303" spans="2:2" x14ac:dyDescent="0.25">
      <c r="B2303" s="1">
        <v>20</v>
      </c>
    </row>
    <row r="2304" spans="2:2" x14ac:dyDescent="0.25">
      <c r="B2304" s="1">
        <v>40</v>
      </c>
    </row>
    <row r="2305" spans="2:2" x14ac:dyDescent="0.25">
      <c r="B2305" s="1">
        <v>51.64</v>
      </c>
    </row>
    <row r="2306" spans="2:2" x14ac:dyDescent="0.25">
      <c r="B2306" s="1">
        <v>8.8000000000000007</v>
      </c>
    </row>
    <row r="2307" spans="2:2" x14ac:dyDescent="0.25">
      <c r="B2307" s="1">
        <v>28</v>
      </c>
    </row>
    <row r="2308" spans="2:2" x14ac:dyDescent="0.25">
      <c r="B2308" s="1">
        <v>40</v>
      </c>
    </row>
    <row r="2309" spans="2:2" x14ac:dyDescent="0.25">
      <c r="B2309" s="1">
        <v>5.6</v>
      </c>
    </row>
    <row r="2310" spans="2:2" x14ac:dyDescent="0.25">
      <c r="B2310" s="1">
        <v>36</v>
      </c>
    </row>
    <row r="2311" spans="2:2" x14ac:dyDescent="0.25">
      <c r="B2311" s="1">
        <v>28</v>
      </c>
    </row>
    <row r="2312" spans="2:2" x14ac:dyDescent="0.25">
      <c r="B2312" s="1">
        <v>12</v>
      </c>
    </row>
    <row r="2313" spans="2:2" x14ac:dyDescent="0.25">
      <c r="B2313" s="1">
        <v>7.6</v>
      </c>
    </row>
    <row r="2314" spans="2:2" x14ac:dyDescent="0.25">
      <c r="B2314" s="1">
        <v>8</v>
      </c>
    </row>
    <row r="2315" spans="2:2" x14ac:dyDescent="0.25">
      <c r="B2315" s="1">
        <v>14</v>
      </c>
    </row>
    <row r="2316" spans="2:2" x14ac:dyDescent="0.25">
      <c r="B2316" s="1">
        <v>40</v>
      </c>
    </row>
    <row r="2317" spans="2:2" x14ac:dyDescent="0.25">
      <c r="B2317" s="1">
        <v>6.4</v>
      </c>
    </row>
    <row r="2318" spans="2:2" x14ac:dyDescent="0.25">
      <c r="B2318" s="1">
        <v>51.64</v>
      </c>
    </row>
    <row r="2319" spans="2:2" x14ac:dyDescent="0.25">
      <c r="B2319" s="1">
        <v>8.3999999999999986</v>
      </c>
    </row>
    <row r="2320" spans="2:2" x14ac:dyDescent="0.25">
      <c r="B2320" s="1">
        <v>6</v>
      </c>
    </row>
    <row r="2321" spans="2:2" x14ac:dyDescent="0.25">
      <c r="B2321" s="1">
        <v>9.6</v>
      </c>
    </row>
    <row r="2322" spans="2:2" x14ac:dyDescent="0.25">
      <c r="B2322" s="1">
        <v>6.8</v>
      </c>
    </row>
    <row r="2323" spans="2:2" x14ac:dyDescent="0.25">
      <c r="B2323" s="1">
        <v>28</v>
      </c>
    </row>
    <row r="2324" spans="2:2" x14ac:dyDescent="0.25">
      <c r="B2324" s="1">
        <v>7.6</v>
      </c>
    </row>
    <row r="2325" spans="2:2" x14ac:dyDescent="0.25">
      <c r="B2325" s="1">
        <v>36</v>
      </c>
    </row>
    <row r="2326" spans="2:2" x14ac:dyDescent="0.25">
      <c r="B2326" s="1">
        <v>14</v>
      </c>
    </row>
    <row r="2327" spans="2:2" x14ac:dyDescent="0.25">
      <c r="B2327" s="1">
        <v>5.6</v>
      </c>
    </row>
    <row r="2328" spans="2:2" x14ac:dyDescent="0.25">
      <c r="B2328" s="1">
        <v>6</v>
      </c>
    </row>
    <row r="2329" spans="2:2" x14ac:dyDescent="0.25">
      <c r="B2329" s="1">
        <v>51.64</v>
      </c>
    </row>
    <row r="2330" spans="2:2" x14ac:dyDescent="0.25">
      <c r="B2330" s="1">
        <v>40</v>
      </c>
    </row>
    <row r="2331" spans="2:2" x14ac:dyDescent="0.25">
      <c r="B2331" s="1">
        <v>6.4</v>
      </c>
    </row>
    <row r="2332" spans="2:2" x14ac:dyDescent="0.25">
      <c r="B2332" s="1">
        <v>6.8</v>
      </c>
    </row>
    <row r="2333" spans="2:2" x14ac:dyDescent="0.25">
      <c r="B2333" s="1">
        <v>28</v>
      </c>
    </row>
    <row r="2334" spans="2:2" x14ac:dyDescent="0.25">
      <c r="B2334" s="1">
        <v>6</v>
      </c>
    </row>
    <row r="2335" spans="2:2" x14ac:dyDescent="0.25">
      <c r="B2335" s="1">
        <v>8</v>
      </c>
    </row>
    <row r="2336" spans="2:2" x14ac:dyDescent="0.25">
      <c r="B2336" s="1">
        <v>40</v>
      </c>
    </row>
    <row r="2337" spans="2:2" x14ac:dyDescent="0.25">
      <c r="B2337" s="1">
        <v>5.6</v>
      </c>
    </row>
    <row r="2338" spans="2:2" x14ac:dyDescent="0.25">
      <c r="B2338" s="1">
        <v>7.6</v>
      </c>
    </row>
    <row r="2339" spans="2:2" x14ac:dyDescent="0.25">
      <c r="B2339" s="1">
        <v>36</v>
      </c>
    </row>
    <row r="2340" spans="2:2" x14ac:dyDescent="0.25">
      <c r="B2340" s="1">
        <v>12</v>
      </c>
    </row>
    <row r="2341" spans="2:2" x14ac:dyDescent="0.25">
      <c r="B2341" s="1">
        <v>20</v>
      </c>
    </row>
    <row r="2342" spans="2:2" x14ac:dyDescent="0.25">
      <c r="B2342" s="1">
        <v>22</v>
      </c>
    </row>
    <row r="2343" spans="2:2" x14ac:dyDescent="0.25">
      <c r="B2343" s="1">
        <v>63.64</v>
      </c>
    </row>
    <row r="2344" spans="2:2" x14ac:dyDescent="0.25">
      <c r="B2344" s="1">
        <v>5.6</v>
      </c>
    </row>
    <row r="2345" spans="2:2" x14ac:dyDescent="0.25">
      <c r="B2345" s="1">
        <v>6</v>
      </c>
    </row>
    <row r="2346" spans="2:2" x14ac:dyDescent="0.25">
      <c r="B2346" s="1">
        <v>28</v>
      </c>
    </row>
    <row r="2347" spans="2:2" x14ac:dyDescent="0.25">
      <c r="B2347" s="1">
        <v>7.6</v>
      </c>
    </row>
    <row r="2348" spans="2:2" x14ac:dyDescent="0.25">
      <c r="B2348" s="1">
        <v>40</v>
      </c>
    </row>
    <row r="2349" spans="2:2" x14ac:dyDescent="0.25">
      <c r="B2349" s="1">
        <v>14</v>
      </c>
    </row>
    <row r="2350" spans="2:2" x14ac:dyDescent="0.25">
      <c r="B2350" s="1">
        <v>8</v>
      </c>
    </row>
    <row r="2351" spans="2:2" x14ac:dyDescent="0.25">
      <c r="B2351" s="1">
        <v>5.6</v>
      </c>
    </row>
    <row r="2352" spans="2:2" x14ac:dyDescent="0.25">
      <c r="B2352" s="1">
        <v>12</v>
      </c>
    </row>
    <row r="2353" spans="2:2" x14ac:dyDescent="0.25">
      <c r="B2353" s="1">
        <v>8.8000000000000007</v>
      </c>
    </row>
    <row r="2354" spans="2:2" x14ac:dyDescent="0.25">
      <c r="B2354" s="1">
        <v>6.4</v>
      </c>
    </row>
    <row r="2355" spans="2:2" x14ac:dyDescent="0.25">
      <c r="B2355" s="1">
        <v>20</v>
      </c>
    </row>
    <row r="2356" spans="2:2" x14ac:dyDescent="0.25">
      <c r="B2356" s="1">
        <v>36</v>
      </c>
    </row>
    <row r="2357" spans="2:2" x14ac:dyDescent="0.25">
      <c r="B2357" s="1">
        <v>6</v>
      </c>
    </row>
    <row r="2358" spans="2:2" x14ac:dyDescent="0.25">
      <c r="B2358" s="1">
        <v>5.6</v>
      </c>
    </row>
    <row r="2359" spans="2:2" x14ac:dyDescent="0.25">
      <c r="B2359" s="1">
        <v>28</v>
      </c>
    </row>
    <row r="2360" spans="2:2" x14ac:dyDescent="0.25">
      <c r="B2360" s="1">
        <v>5.6</v>
      </c>
    </row>
    <row r="2361" spans="2:2" x14ac:dyDescent="0.25">
      <c r="B2361" s="1">
        <v>36</v>
      </c>
    </row>
    <row r="2362" spans="2:2" x14ac:dyDescent="0.25">
      <c r="B2362" s="1">
        <v>28</v>
      </c>
    </row>
    <row r="2363" spans="2:2" x14ac:dyDescent="0.25">
      <c r="B2363" s="1">
        <v>12</v>
      </c>
    </row>
    <row r="2364" spans="2:2" x14ac:dyDescent="0.25">
      <c r="B2364" s="1">
        <v>7.6</v>
      </c>
    </row>
    <row r="2365" spans="2:2" x14ac:dyDescent="0.25">
      <c r="B2365" s="1">
        <v>8</v>
      </c>
    </row>
    <row r="2366" spans="2:2" x14ac:dyDescent="0.25">
      <c r="B2366" s="1">
        <v>14</v>
      </c>
    </row>
    <row r="2367" spans="2:2" x14ac:dyDescent="0.25">
      <c r="B2367" s="1">
        <v>40</v>
      </c>
    </row>
    <row r="2368" spans="2:2" x14ac:dyDescent="0.25">
      <c r="B2368" s="1">
        <v>6.4</v>
      </c>
    </row>
    <row r="2369" spans="2:2" x14ac:dyDescent="0.25">
      <c r="B2369" s="1">
        <v>51.64</v>
      </c>
    </row>
    <row r="2370" spans="2:2" x14ac:dyDescent="0.25">
      <c r="B2370" s="1">
        <v>8.3999999999999986</v>
      </c>
    </row>
    <row r="2371" spans="2:2" x14ac:dyDescent="0.25">
      <c r="B2371" s="1">
        <v>6</v>
      </c>
    </row>
    <row r="2372" spans="2:2" x14ac:dyDescent="0.25">
      <c r="B2372" s="1">
        <v>6.8</v>
      </c>
    </row>
    <row r="2373" spans="2:2" x14ac:dyDescent="0.25">
      <c r="B2373" s="1">
        <v>36</v>
      </c>
    </row>
    <row r="2374" spans="2:2" x14ac:dyDescent="0.25">
      <c r="B2374" s="1">
        <v>5.6</v>
      </c>
    </row>
    <row r="2375" spans="2:2" x14ac:dyDescent="0.25">
      <c r="B2375" s="1">
        <v>7.6</v>
      </c>
    </row>
    <row r="2376" spans="2:2" x14ac:dyDescent="0.25">
      <c r="B2376" s="1">
        <v>8</v>
      </c>
    </row>
    <row r="2377" spans="2:2" x14ac:dyDescent="0.25">
      <c r="B2377" s="1">
        <v>40</v>
      </c>
    </row>
    <row r="2378" spans="2:2" x14ac:dyDescent="0.25">
      <c r="B2378" s="1">
        <v>22</v>
      </c>
    </row>
    <row r="2379" spans="2:2" x14ac:dyDescent="0.25">
      <c r="B2379" s="1">
        <v>6</v>
      </c>
    </row>
    <row r="2380" spans="2:2" x14ac:dyDescent="0.25">
      <c r="B2380" s="1">
        <v>5.6</v>
      </c>
    </row>
    <row r="2381" spans="2:2" x14ac:dyDescent="0.25">
      <c r="B2381" s="1">
        <v>28</v>
      </c>
    </row>
    <row r="2382" spans="2:2" x14ac:dyDescent="0.25">
      <c r="B2382" s="1">
        <v>36</v>
      </c>
    </row>
    <row r="2383" spans="2:2" x14ac:dyDescent="0.25">
      <c r="B2383" s="1">
        <v>6.8</v>
      </c>
    </row>
    <row r="2384" spans="2:2" x14ac:dyDescent="0.25">
      <c r="B2384" s="1">
        <v>7.6</v>
      </c>
    </row>
    <row r="2385" spans="2:2" x14ac:dyDescent="0.25">
      <c r="B2385" s="1">
        <v>51.64</v>
      </c>
    </row>
    <row r="2386" spans="2:2" x14ac:dyDescent="0.25">
      <c r="B2386" s="1">
        <v>9.6</v>
      </c>
    </row>
    <row r="2387" spans="2:2" x14ac:dyDescent="0.25">
      <c r="B2387" s="1">
        <v>12</v>
      </c>
    </row>
    <row r="2388" spans="2:2" x14ac:dyDescent="0.25">
      <c r="B2388" s="1">
        <v>5.6</v>
      </c>
    </row>
    <row r="2389" spans="2:2" x14ac:dyDescent="0.25">
      <c r="B2389" s="1">
        <v>28</v>
      </c>
    </row>
    <row r="2390" spans="2:2" x14ac:dyDescent="0.25">
      <c r="B2390" s="1">
        <v>40</v>
      </c>
    </row>
    <row r="2391" spans="2:2" x14ac:dyDescent="0.25">
      <c r="B2391" s="1">
        <v>6.4</v>
      </c>
    </row>
    <row r="2392" spans="2:2" x14ac:dyDescent="0.25">
      <c r="B2392" s="1">
        <v>7.6</v>
      </c>
    </row>
    <row r="2393" spans="2:2" x14ac:dyDescent="0.25">
      <c r="B2393" s="1">
        <v>8</v>
      </c>
    </row>
    <row r="2394" spans="2:2" x14ac:dyDescent="0.25">
      <c r="B2394" s="1">
        <v>8.3999999999999986</v>
      </c>
    </row>
    <row r="2395" spans="2:2" x14ac:dyDescent="0.25">
      <c r="B2395" s="1">
        <v>6</v>
      </c>
    </row>
    <row r="2396" spans="2:2" x14ac:dyDescent="0.25">
      <c r="B2396" s="1">
        <v>36</v>
      </c>
    </row>
    <row r="2397" spans="2:2" x14ac:dyDescent="0.25">
      <c r="B2397" s="1">
        <v>7.6</v>
      </c>
    </row>
    <row r="2398" spans="2:2" x14ac:dyDescent="0.25">
      <c r="B2398" s="1">
        <v>51.64</v>
      </c>
    </row>
    <row r="2399" spans="2:2" x14ac:dyDescent="0.25">
      <c r="B2399" s="1">
        <v>40</v>
      </c>
    </row>
    <row r="2400" spans="2:2" x14ac:dyDescent="0.25">
      <c r="B2400" s="1">
        <v>5.6</v>
      </c>
    </row>
    <row r="2401" spans="2:2" x14ac:dyDescent="0.25">
      <c r="B2401" s="1">
        <v>12</v>
      </c>
    </row>
    <row r="2402" spans="2:2" x14ac:dyDescent="0.25">
      <c r="B2402" s="1">
        <v>6.4</v>
      </c>
    </row>
    <row r="2403" spans="2:2" x14ac:dyDescent="0.25">
      <c r="B2403" s="1">
        <v>36</v>
      </c>
    </row>
    <row r="2404" spans="2:2" x14ac:dyDescent="0.25">
      <c r="B2404" s="1">
        <v>8</v>
      </c>
    </row>
    <row r="2405" spans="2:2" x14ac:dyDescent="0.25">
      <c r="B2405" s="1">
        <v>5.6</v>
      </c>
    </row>
    <row r="2406" spans="2:2" x14ac:dyDescent="0.25">
      <c r="B2406" s="1">
        <v>6</v>
      </c>
    </row>
    <row r="2407" spans="2:2" x14ac:dyDescent="0.25">
      <c r="B2407" s="1">
        <v>28</v>
      </c>
    </row>
    <row r="2408" spans="2:2" x14ac:dyDescent="0.25">
      <c r="B2408" s="1">
        <v>40</v>
      </c>
    </row>
    <row r="2409" spans="2:2" x14ac:dyDescent="0.25">
      <c r="B2409" s="1">
        <v>7.6</v>
      </c>
    </row>
    <row r="2410" spans="2:2" x14ac:dyDescent="0.25">
      <c r="B2410" s="1">
        <v>5.6</v>
      </c>
    </row>
    <row r="2411" spans="2:2" x14ac:dyDescent="0.25">
      <c r="B2411" s="1">
        <v>36</v>
      </c>
    </row>
    <row r="2412" spans="2:2" x14ac:dyDescent="0.25">
      <c r="B2412" s="1">
        <v>28</v>
      </c>
    </row>
    <row r="2413" spans="2:2" x14ac:dyDescent="0.25">
      <c r="B2413" s="1">
        <v>6</v>
      </c>
    </row>
    <row r="2414" spans="2:2" x14ac:dyDescent="0.25">
      <c r="B2414" s="1">
        <v>7.6</v>
      </c>
    </row>
    <row r="2415" spans="2:2" x14ac:dyDescent="0.25">
      <c r="B2415" s="1">
        <v>8</v>
      </c>
    </row>
    <row r="2416" spans="2:2" x14ac:dyDescent="0.25">
      <c r="B2416" s="1">
        <v>14</v>
      </c>
    </row>
    <row r="2417" spans="2:2" x14ac:dyDescent="0.25">
      <c r="B2417" s="1">
        <v>40</v>
      </c>
    </row>
    <row r="2418" spans="2:2" x14ac:dyDescent="0.25">
      <c r="B2418" s="1">
        <v>6.4</v>
      </c>
    </row>
    <row r="2419" spans="2:2" x14ac:dyDescent="0.25">
      <c r="B2419" s="1">
        <v>51.64</v>
      </c>
    </row>
    <row r="2420" spans="2:2" x14ac:dyDescent="0.25">
      <c r="B2420" s="1">
        <v>8.3999999999999986</v>
      </c>
    </row>
    <row r="2421" spans="2:2" x14ac:dyDescent="0.25">
      <c r="B2421" s="1">
        <v>6</v>
      </c>
    </row>
    <row r="2422" spans="2:2" x14ac:dyDescent="0.25">
      <c r="B2422" s="1">
        <v>36</v>
      </c>
    </row>
    <row r="2423" spans="2:2" x14ac:dyDescent="0.25">
      <c r="B2423" s="1">
        <v>6.8</v>
      </c>
    </row>
    <row r="2424" spans="2:2" x14ac:dyDescent="0.25">
      <c r="B2424" s="1">
        <v>7.6</v>
      </c>
    </row>
    <row r="2425" spans="2:2" x14ac:dyDescent="0.25">
      <c r="B2425" s="1">
        <v>8</v>
      </c>
    </row>
    <row r="2426" spans="2:2" x14ac:dyDescent="0.25">
      <c r="B2426" s="1">
        <v>40</v>
      </c>
    </row>
    <row r="2427" spans="2:2" x14ac:dyDescent="0.25">
      <c r="B2427" s="1">
        <v>22</v>
      </c>
    </row>
    <row r="2428" spans="2:2" x14ac:dyDescent="0.25">
      <c r="B2428" s="1">
        <v>20</v>
      </c>
    </row>
    <row r="2429" spans="2:2" x14ac:dyDescent="0.25">
      <c r="B2429" s="1">
        <v>28</v>
      </c>
    </row>
    <row r="2430" spans="2:2" x14ac:dyDescent="0.25">
      <c r="B2430" s="1">
        <v>6</v>
      </c>
    </row>
    <row r="2431" spans="2:2" x14ac:dyDescent="0.25">
      <c r="B2431" s="1">
        <v>6.4</v>
      </c>
    </row>
    <row r="2432" spans="2:2" x14ac:dyDescent="0.25">
      <c r="B2432" s="1">
        <v>5.6</v>
      </c>
    </row>
    <row r="2433" spans="2:2" x14ac:dyDescent="0.25">
      <c r="B2433" s="1">
        <v>63.64</v>
      </c>
    </row>
    <row r="2434" spans="2:2" x14ac:dyDescent="0.25">
      <c r="B2434" s="1">
        <v>8</v>
      </c>
    </row>
    <row r="2435" spans="2:2" x14ac:dyDescent="0.25">
      <c r="B2435" s="1">
        <v>5.6</v>
      </c>
    </row>
    <row r="2436" spans="2:2" x14ac:dyDescent="0.25">
      <c r="B2436" s="1">
        <v>6</v>
      </c>
    </row>
    <row r="2437" spans="2:2" x14ac:dyDescent="0.25">
      <c r="B2437" s="1">
        <v>8</v>
      </c>
    </row>
    <row r="2438" spans="2:2" x14ac:dyDescent="0.25">
      <c r="B2438" s="1">
        <v>40</v>
      </c>
    </row>
    <row r="2439" spans="2:2" x14ac:dyDescent="0.25">
      <c r="B2439" s="1">
        <v>28</v>
      </c>
    </row>
    <row r="2440" spans="2:2" x14ac:dyDescent="0.25">
      <c r="B2440" s="1">
        <v>7.6</v>
      </c>
    </row>
    <row r="2441" spans="2:2" x14ac:dyDescent="0.25">
      <c r="B2441" s="1">
        <v>36</v>
      </c>
    </row>
    <row r="2442" spans="2:2" x14ac:dyDescent="0.25">
      <c r="B2442" s="1">
        <v>6.4</v>
      </c>
    </row>
    <row r="2443" spans="2:2" x14ac:dyDescent="0.25">
      <c r="B2443" s="1">
        <v>8.3999999999999986</v>
      </c>
    </row>
    <row r="2444" spans="2:2" x14ac:dyDescent="0.25">
      <c r="B2444" s="1">
        <v>2.8</v>
      </c>
    </row>
    <row r="2445" spans="2:2" x14ac:dyDescent="0.25">
      <c r="B2445" s="1">
        <v>6.8</v>
      </c>
    </row>
    <row r="2446" spans="2:2" x14ac:dyDescent="0.25">
      <c r="B2446" s="1">
        <v>12</v>
      </c>
    </row>
    <row r="2447" spans="2:2" x14ac:dyDescent="0.25">
      <c r="B2447" s="1">
        <v>8</v>
      </c>
    </row>
    <row r="2448" spans="2:2" x14ac:dyDescent="0.25">
      <c r="B2448" s="1">
        <v>7.6</v>
      </c>
    </row>
    <row r="2449" spans="2:2" x14ac:dyDescent="0.25">
      <c r="B2449" s="1">
        <v>51.64</v>
      </c>
    </row>
    <row r="2450" spans="2:2" x14ac:dyDescent="0.25">
      <c r="B2450" s="1">
        <v>20</v>
      </c>
    </row>
    <row r="2451" spans="2:2" x14ac:dyDescent="0.25">
      <c r="B2451" s="1">
        <v>36</v>
      </c>
    </row>
    <row r="2452" spans="2:2" x14ac:dyDescent="0.25">
      <c r="B2452" s="1">
        <v>8.3999999999999986</v>
      </c>
    </row>
    <row r="2453" spans="2:2" x14ac:dyDescent="0.25">
      <c r="B2453" s="1">
        <v>8</v>
      </c>
    </row>
    <row r="2454" spans="2:2" x14ac:dyDescent="0.25">
      <c r="B2454" s="1">
        <v>6</v>
      </c>
    </row>
    <row r="2455" spans="2:2" x14ac:dyDescent="0.25">
      <c r="B2455" s="1">
        <v>40</v>
      </c>
    </row>
    <row r="2456" spans="2:2" x14ac:dyDescent="0.25">
      <c r="B2456" s="1">
        <v>36</v>
      </c>
    </row>
    <row r="2457" spans="2:2" x14ac:dyDescent="0.25">
      <c r="B2457" s="1">
        <v>5.6</v>
      </c>
    </row>
    <row r="2458" spans="2:2" x14ac:dyDescent="0.25">
      <c r="B2458" s="1">
        <v>6</v>
      </c>
    </row>
    <row r="2459" spans="2:2" x14ac:dyDescent="0.25">
      <c r="B2459" s="1">
        <v>7.6</v>
      </c>
    </row>
    <row r="2460" spans="2:2" x14ac:dyDescent="0.25">
      <c r="B2460" s="1">
        <v>8</v>
      </c>
    </row>
    <row r="2461" spans="2:2" x14ac:dyDescent="0.25">
      <c r="B2461" s="1">
        <v>12</v>
      </c>
    </row>
    <row r="2462" spans="2:2" x14ac:dyDescent="0.25">
      <c r="B2462" s="1">
        <v>2.8</v>
      </c>
    </row>
    <row r="2463" spans="2:2" x14ac:dyDescent="0.25">
      <c r="B2463" s="1">
        <v>6</v>
      </c>
    </row>
    <row r="2464" spans="2:2" x14ac:dyDescent="0.25">
      <c r="B2464" s="1">
        <v>8.3999999999999986</v>
      </c>
    </row>
    <row r="2465" spans="2:2" x14ac:dyDescent="0.25">
      <c r="B2465" s="1">
        <v>12.8</v>
      </c>
    </row>
    <row r="2466" spans="2:2" x14ac:dyDescent="0.25">
      <c r="B2466" s="1">
        <v>8</v>
      </c>
    </row>
    <row r="2467" spans="2:2" x14ac:dyDescent="0.25">
      <c r="B2467" s="1">
        <v>6.8</v>
      </c>
    </row>
    <row r="2468" spans="2:2" x14ac:dyDescent="0.25">
      <c r="B2468" s="1">
        <v>36</v>
      </c>
    </row>
    <row r="2469" spans="2:2" x14ac:dyDescent="0.25">
      <c r="B2469" s="1">
        <v>5.6</v>
      </c>
    </row>
    <row r="2470" spans="2:2" x14ac:dyDescent="0.25">
      <c r="B2470" s="1">
        <v>6</v>
      </c>
    </row>
    <row r="2471" spans="2:2" x14ac:dyDescent="0.25">
      <c r="B2471" s="1">
        <v>40</v>
      </c>
    </row>
    <row r="2472" spans="2:2" x14ac:dyDescent="0.25">
      <c r="B2472" s="1">
        <v>7.6</v>
      </c>
    </row>
    <row r="2473" spans="2:2" x14ac:dyDescent="0.25">
      <c r="B2473" s="1">
        <v>11.2</v>
      </c>
    </row>
    <row r="2474" spans="2:2" x14ac:dyDescent="0.25">
      <c r="B2474" s="1">
        <v>8</v>
      </c>
    </row>
    <row r="2475" spans="2:2" x14ac:dyDescent="0.25">
      <c r="B2475" s="1">
        <v>6</v>
      </c>
    </row>
    <row r="2476" spans="2:2" x14ac:dyDescent="0.25">
      <c r="B2476" s="1">
        <v>8.3999999999999986</v>
      </c>
    </row>
    <row r="2477" spans="2:2" x14ac:dyDescent="0.25">
      <c r="B2477" s="1">
        <v>36</v>
      </c>
    </row>
    <row r="2478" spans="2:2" x14ac:dyDescent="0.25">
      <c r="B2478" s="1">
        <v>6.4</v>
      </c>
    </row>
    <row r="2479" spans="2:2" x14ac:dyDescent="0.25">
      <c r="B2479" s="1">
        <v>7.6</v>
      </c>
    </row>
    <row r="2480" spans="2:2" x14ac:dyDescent="0.25">
      <c r="B2480" s="1">
        <v>8.3999999999999986</v>
      </c>
    </row>
    <row r="2481" spans="2:2" x14ac:dyDescent="0.25">
      <c r="B2481" s="1">
        <v>8</v>
      </c>
    </row>
    <row r="2482" spans="2:2" x14ac:dyDescent="0.25">
      <c r="B2482" s="1">
        <v>6</v>
      </c>
    </row>
    <row r="2483" spans="2:2" x14ac:dyDescent="0.25">
      <c r="B2483" s="1">
        <v>5.6</v>
      </c>
    </row>
    <row r="2484" spans="2:2" x14ac:dyDescent="0.25">
      <c r="B2484" s="1">
        <v>40</v>
      </c>
    </row>
    <row r="2485" spans="2:2" x14ac:dyDescent="0.25">
      <c r="B2485" s="1">
        <v>7.6</v>
      </c>
    </row>
    <row r="2486" spans="2:2" x14ac:dyDescent="0.25">
      <c r="B2486" s="1">
        <v>6</v>
      </c>
    </row>
    <row r="2487" spans="2:2" x14ac:dyDescent="0.25">
      <c r="B2487" s="1">
        <v>6.4</v>
      </c>
    </row>
    <row r="2488" spans="2:2" x14ac:dyDescent="0.25">
      <c r="B2488" s="1">
        <v>8</v>
      </c>
    </row>
    <row r="2489" spans="2:2" x14ac:dyDescent="0.25">
      <c r="B2489" s="1">
        <v>5.6</v>
      </c>
    </row>
    <row r="2490" spans="2:2" x14ac:dyDescent="0.25">
      <c r="B2490" s="1">
        <v>40</v>
      </c>
    </row>
    <row r="2491" spans="2:2" x14ac:dyDescent="0.25">
      <c r="B2491" s="1">
        <v>2.8</v>
      </c>
    </row>
    <row r="2492" spans="2:2" x14ac:dyDescent="0.25">
      <c r="B2492" s="1">
        <v>12</v>
      </c>
    </row>
    <row r="2493" spans="2:2" x14ac:dyDescent="0.25">
      <c r="B2493" s="1">
        <v>8</v>
      </c>
    </row>
    <row r="2494" spans="2:2" x14ac:dyDescent="0.25">
      <c r="B2494" s="1">
        <v>36</v>
      </c>
    </row>
    <row r="2495" spans="2:2" x14ac:dyDescent="0.25">
      <c r="B2495" s="1">
        <v>5.6</v>
      </c>
    </row>
    <row r="2496" spans="2:2" x14ac:dyDescent="0.25">
      <c r="B2496" s="1">
        <v>11.2</v>
      </c>
    </row>
    <row r="2497" spans="2:2" x14ac:dyDescent="0.25">
      <c r="B2497" s="1">
        <v>12</v>
      </c>
    </row>
    <row r="2498" spans="2:2" x14ac:dyDescent="0.25">
      <c r="B2498" s="1">
        <v>8.8000000000000007</v>
      </c>
    </row>
    <row r="2499" spans="2:2" x14ac:dyDescent="0.25">
      <c r="B2499" s="1">
        <v>8</v>
      </c>
    </row>
    <row r="2500" spans="2:2" x14ac:dyDescent="0.25">
      <c r="B2500" s="1">
        <v>40</v>
      </c>
    </row>
    <row r="2501" spans="2:2" x14ac:dyDescent="0.25">
      <c r="B2501" s="1">
        <v>8.3999999999999986</v>
      </c>
    </row>
    <row r="2502" spans="2:2" x14ac:dyDescent="0.25">
      <c r="B2502" s="1">
        <v>36</v>
      </c>
    </row>
    <row r="2503" spans="2:2" x14ac:dyDescent="0.25">
      <c r="B2503" s="1">
        <v>19.600000000000001</v>
      </c>
    </row>
    <row r="2504" spans="2:2" x14ac:dyDescent="0.25">
      <c r="B2504" s="1">
        <v>7.6</v>
      </c>
    </row>
    <row r="2505" spans="2:2" x14ac:dyDescent="0.25">
      <c r="B2505" s="1">
        <v>79.64</v>
      </c>
    </row>
    <row r="2506" spans="2:2" x14ac:dyDescent="0.25">
      <c r="B2506" s="1">
        <v>10</v>
      </c>
    </row>
    <row r="2507" spans="2:2" x14ac:dyDescent="0.25">
      <c r="B2507" s="1">
        <v>6</v>
      </c>
    </row>
    <row r="2508" spans="2:2" x14ac:dyDescent="0.25">
      <c r="B2508" s="1">
        <v>5.6</v>
      </c>
    </row>
    <row r="2509" spans="2:2" x14ac:dyDescent="0.25">
      <c r="B2509" s="1">
        <v>6</v>
      </c>
    </row>
    <row r="2510" spans="2:2" x14ac:dyDescent="0.25">
      <c r="B2510" s="1">
        <v>8.8000000000000007</v>
      </c>
    </row>
    <row r="2511" spans="2:2" x14ac:dyDescent="0.25">
      <c r="B2511" s="1">
        <v>8</v>
      </c>
    </row>
    <row r="2512" spans="2:2" x14ac:dyDescent="0.25">
      <c r="B2512" s="1">
        <v>16</v>
      </c>
    </row>
    <row r="2513" spans="2:2" x14ac:dyDescent="0.25">
      <c r="B2513" s="1">
        <v>10</v>
      </c>
    </row>
    <row r="2514" spans="2:2" x14ac:dyDescent="0.25">
      <c r="B2514" s="1">
        <v>51.64</v>
      </c>
    </row>
    <row r="2515" spans="2:2" x14ac:dyDescent="0.25">
      <c r="B2515" s="1">
        <v>5.6</v>
      </c>
    </row>
    <row r="2516" spans="2:2" x14ac:dyDescent="0.25">
      <c r="B2516" s="1">
        <v>22</v>
      </c>
    </row>
    <row r="2517" spans="2:2" x14ac:dyDescent="0.25">
      <c r="B2517" s="1">
        <v>36</v>
      </c>
    </row>
    <row r="2518" spans="2:2" x14ac:dyDescent="0.25">
      <c r="B2518" s="1">
        <v>12</v>
      </c>
    </row>
    <row r="2519" spans="2:2" x14ac:dyDescent="0.25">
      <c r="B2519" s="1">
        <v>20</v>
      </c>
    </row>
    <row r="2520" spans="2:2" x14ac:dyDescent="0.25">
      <c r="B2520" s="1">
        <v>10</v>
      </c>
    </row>
    <row r="2521" spans="2:2" x14ac:dyDescent="0.25">
      <c r="B2521" s="1">
        <v>8.8000000000000007</v>
      </c>
    </row>
    <row r="2522" spans="2:2" x14ac:dyDescent="0.25">
      <c r="B2522" s="1">
        <v>6</v>
      </c>
    </row>
    <row r="2523" spans="2:2" x14ac:dyDescent="0.25">
      <c r="B2523" s="1">
        <v>6</v>
      </c>
    </row>
    <row r="2524" spans="2:2" x14ac:dyDescent="0.25">
      <c r="B2524" s="1">
        <v>7.6</v>
      </c>
    </row>
    <row r="2525" spans="2:2" x14ac:dyDescent="0.25">
      <c r="B2525" s="1">
        <v>11.6</v>
      </c>
    </row>
    <row r="2526" spans="2:2" x14ac:dyDescent="0.25">
      <c r="B2526" s="1">
        <v>6</v>
      </c>
    </row>
    <row r="2527" spans="2:2" x14ac:dyDescent="0.25">
      <c r="B2527" s="1">
        <v>12.8</v>
      </c>
    </row>
    <row r="2528" spans="2:2" x14ac:dyDescent="0.25">
      <c r="B2528" s="1">
        <v>8.8000000000000007</v>
      </c>
    </row>
    <row r="2529" spans="2:2" x14ac:dyDescent="0.25">
      <c r="B2529" s="1">
        <v>8.3999999999999986</v>
      </c>
    </row>
    <row r="2530" spans="2:2" x14ac:dyDescent="0.25">
      <c r="B2530" s="1">
        <v>6</v>
      </c>
    </row>
    <row r="2531" spans="2:2" x14ac:dyDescent="0.25">
      <c r="B2531" s="1">
        <v>5.6</v>
      </c>
    </row>
    <row r="2532" spans="2:2" x14ac:dyDescent="0.25">
      <c r="B2532" s="1">
        <v>12</v>
      </c>
    </row>
    <row r="2533" spans="2:2" x14ac:dyDescent="0.25">
      <c r="B2533" s="1">
        <v>8.8000000000000007</v>
      </c>
    </row>
    <row r="2534" spans="2:2" x14ac:dyDescent="0.25">
      <c r="B2534" s="1">
        <v>8.3999999999999986</v>
      </c>
    </row>
    <row r="2535" spans="2:2" x14ac:dyDescent="0.25">
      <c r="B2535" s="1">
        <v>16</v>
      </c>
    </row>
    <row r="2536" spans="2:2" x14ac:dyDescent="0.25">
      <c r="B2536" s="1">
        <v>8</v>
      </c>
    </row>
    <row r="2537" spans="2:2" x14ac:dyDescent="0.25">
      <c r="B2537" s="1">
        <v>11.6</v>
      </c>
    </row>
    <row r="2538" spans="2:2" x14ac:dyDescent="0.25">
      <c r="B2538" s="1">
        <v>36</v>
      </c>
    </row>
    <row r="2539" spans="2:2" x14ac:dyDescent="0.25">
      <c r="B2539" s="1">
        <v>51.64</v>
      </c>
    </row>
    <row r="2540" spans="2:2" x14ac:dyDescent="0.25">
      <c r="B2540" s="1">
        <v>8.3999999999999986</v>
      </c>
    </row>
    <row r="2541" spans="2:2" x14ac:dyDescent="0.25">
      <c r="B2541" s="1">
        <v>20</v>
      </c>
    </row>
    <row r="2542" spans="2:2" x14ac:dyDescent="0.25">
      <c r="B2542" s="1">
        <v>7.6</v>
      </c>
    </row>
    <row r="2543" spans="2:2" x14ac:dyDescent="0.25">
      <c r="B2543" s="1">
        <v>6</v>
      </c>
    </row>
    <row r="2544" spans="2:2" x14ac:dyDescent="0.25">
      <c r="B2544" s="1">
        <v>18</v>
      </c>
    </row>
    <row r="2545" spans="2:2" x14ac:dyDescent="0.25">
      <c r="B2545" s="1">
        <v>6</v>
      </c>
    </row>
    <row r="2546" spans="2:2" x14ac:dyDescent="0.25">
      <c r="B2546" s="1">
        <v>8</v>
      </c>
    </row>
    <row r="2547" spans="2:2" x14ac:dyDescent="0.25">
      <c r="B2547" s="1">
        <v>8.8000000000000007</v>
      </c>
    </row>
    <row r="2548" spans="2:2" x14ac:dyDescent="0.25">
      <c r="B2548" s="1">
        <v>6</v>
      </c>
    </row>
    <row r="2549" spans="2:2" x14ac:dyDescent="0.25">
      <c r="B2549" s="1">
        <v>5.6</v>
      </c>
    </row>
    <row r="2550" spans="2:2" x14ac:dyDescent="0.25">
      <c r="B2550" s="1">
        <v>10</v>
      </c>
    </row>
    <row r="2551" spans="2:2" x14ac:dyDescent="0.25">
      <c r="B2551" s="1">
        <v>8</v>
      </c>
    </row>
    <row r="2552" spans="2:2" x14ac:dyDescent="0.25">
      <c r="B2552" s="1">
        <v>8.3999999999999986</v>
      </c>
    </row>
    <row r="2553" spans="2:2" x14ac:dyDescent="0.25">
      <c r="B2553" s="1">
        <v>12.8</v>
      </c>
    </row>
    <row r="2554" spans="2:2" x14ac:dyDescent="0.25">
      <c r="B2554" s="1">
        <v>51.64</v>
      </c>
    </row>
    <row r="2555" spans="2:2" x14ac:dyDescent="0.25">
      <c r="B2555" s="1">
        <v>6</v>
      </c>
    </row>
    <row r="2556" spans="2:2" x14ac:dyDescent="0.25">
      <c r="B2556" s="1">
        <v>40</v>
      </c>
    </row>
    <row r="2557" spans="2:2" x14ac:dyDescent="0.25">
      <c r="B2557" s="1">
        <v>22</v>
      </c>
    </row>
    <row r="2558" spans="2:2" x14ac:dyDescent="0.25">
      <c r="B2558" s="1">
        <v>6</v>
      </c>
    </row>
    <row r="2559" spans="2:2" x14ac:dyDescent="0.25">
      <c r="B2559" s="1">
        <v>8.3999999999999986</v>
      </c>
    </row>
    <row r="2560" spans="2:2" x14ac:dyDescent="0.25">
      <c r="B2560" s="1">
        <v>8.8000000000000007</v>
      </c>
    </row>
    <row r="2561" spans="2:2" x14ac:dyDescent="0.25">
      <c r="B2561" s="1">
        <v>10</v>
      </c>
    </row>
    <row r="2562" spans="2:2" x14ac:dyDescent="0.25">
      <c r="B2562" s="1">
        <v>5.6</v>
      </c>
    </row>
    <row r="2563" spans="2:2" x14ac:dyDescent="0.25">
      <c r="B2563" s="1">
        <v>9.6</v>
      </c>
    </row>
    <row r="2564" spans="2:2" x14ac:dyDescent="0.25">
      <c r="B2564" s="1">
        <v>8</v>
      </c>
    </row>
    <row r="2565" spans="2:2" x14ac:dyDescent="0.25">
      <c r="B2565" s="1">
        <v>11.6</v>
      </c>
    </row>
    <row r="2566" spans="2:2" x14ac:dyDescent="0.25">
      <c r="B2566" s="1">
        <v>6</v>
      </c>
    </row>
    <row r="2567" spans="2:2" x14ac:dyDescent="0.25">
      <c r="B2567" s="1">
        <v>18</v>
      </c>
    </row>
    <row r="2568" spans="2:2" x14ac:dyDescent="0.25">
      <c r="B2568" s="1">
        <v>8.8000000000000007</v>
      </c>
    </row>
    <row r="2569" spans="2:2" x14ac:dyDescent="0.25">
      <c r="B2569" s="1">
        <v>36</v>
      </c>
    </row>
    <row r="2570" spans="2:2" x14ac:dyDescent="0.25">
      <c r="B2570" s="1">
        <v>8</v>
      </c>
    </row>
    <row r="2571" spans="2:2" x14ac:dyDescent="0.25">
      <c r="B2571" s="1">
        <v>8.3999999999999986</v>
      </c>
    </row>
    <row r="2572" spans="2:2" x14ac:dyDescent="0.25">
      <c r="B2572" s="1">
        <v>12</v>
      </c>
    </row>
    <row r="2573" spans="2:2" x14ac:dyDescent="0.25">
      <c r="B2573" s="1">
        <v>8.8000000000000007</v>
      </c>
    </row>
    <row r="2574" spans="2:2" x14ac:dyDescent="0.25">
      <c r="B2574" s="1">
        <v>7.6</v>
      </c>
    </row>
    <row r="2575" spans="2:2" x14ac:dyDescent="0.25">
      <c r="B2575" s="1">
        <v>6</v>
      </c>
    </row>
    <row r="2576" spans="2:2" x14ac:dyDescent="0.25">
      <c r="B2576" s="1">
        <v>5.6</v>
      </c>
    </row>
    <row r="2577" spans="2:2" x14ac:dyDescent="0.25">
      <c r="B2577" s="1">
        <v>8.8000000000000007</v>
      </c>
    </row>
    <row r="2578" spans="2:2" x14ac:dyDescent="0.25">
      <c r="B2578" s="1">
        <v>36</v>
      </c>
    </row>
    <row r="2579" spans="2:2" x14ac:dyDescent="0.25">
      <c r="B2579" s="1">
        <v>40</v>
      </c>
    </row>
    <row r="2580" spans="2:2" x14ac:dyDescent="0.25">
      <c r="B2580" s="1">
        <v>8</v>
      </c>
    </row>
    <row r="2581" spans="2:2" x14ac:dyDescent="0.25">
      <c r="B2581" s="1">
        <v>15.2</v>
      </c>
    </row>
    <row r="2582" spans="2:2" x14ac:dyDescent="0.25">
      <c r="B2582" s="1">
        <v>8.3999999999999986</v>
      </c>
    </row>
    <row r="2583" spans="2:2" x14ac:dyDescent="0.25">
      <c r="B2583" s="1">
        <v>12</v>
      </c>
    </row>
    <row r="2584" spans="2:2" x14ac:dyDescent="0.25">
      <c r="B2584" s="1">
        <v>6.4</v>
      </c>
    </row>
    <row r="2585" spans="2:2" x14ac:dyDescent="0.25">
      <c r="B2585" s="1">
        <v>18</v>
      </c>
    </row>
    <row r="2586" spans="2:2" x14ac:dyDescent="0.25">
      <c r="B2586" s="1">
        <v>8.3999999999999986</v>
      </c>
    </row>
    <row r="2587" spans="2:2" x14ac:dyDescent="0.25">
      <c r="B2587" s="1">
        <v>6</v>
      </c>
    </row>
    <row r="2588" spans="2:2" x14ac:dyDescent="0.25">
      <c r="B2588" s="1">
        <v>8.8000000000000007</v>
      </c>
    </row>
    <row r="2589" spans="2:2" x14ac:dyDescent="0.25">
      <c r="B2589" s="1">
        <v>7.6</v>
      </c>
    </row>
    <row r="2590" spans="2:2" x14ac:dyDescent="0.25">
      <c r="B2590" s="1">
        <v>11.6</v>
      </c>
    </row>
    <row r="2591" spans="2:2" x14ac:dyDescent="0.25">
      <c r="B2591" s="1">
        <v>10</v>
      </c>
    </row>
    <row r="2592" spans="2:2" x14ac:dyDescent="0.25">
      <c r="B2592" s="1">
        <v>36</v>
      </c>
    </row>
    <row r="2593" spans="2:2" x14ac:dyDescent="0.25">
      <c r="B2593" s="1">
        <v>5.6</v>
      </c>
    </row>
    <row r="2594" spans="2:2" x14ac:dyDescent="0.25">
      <c r="B2594" s="1">
        <v>6</v>
      </c>
    </row>
    <row r="2595" spans="2:2" x14ac:dyDescent="0.25">
      <c r="B2595" s="1">
        <v>8.8000000000000007</v>
      </c>
    </row>
    <row r="2596" spans="2:2" x14ac:dyDescent="0.25">
      <c r="B2596" s="1">
        <v>10</v>
      </c>
    </row>
    <row r="2597" spans="2:2" x14ac:dyDescent="0.25">
      <c r="B2597" s="1">
        <v>15.2</v>
      </c>
    </row>
    <row r="2598" spans="2:2" x14ac:dyDescent="0.25">
      <c r="B2598" s="1">
        <v>79.64</v>
      </c>
    </row>
    <row r="2599" spans="2:2" x14ac:dyDescent="0.25">
      <c r="B2599" s="1">
        <v>8.3999999999999986</v>
      </c>
    </row>
    <row r="2600" spans="2:2" x14ac:dyDescent="0.25">
      <c r="B2600" s="1">
        <v>20</v>
      </c>
    </row>
    <row r="2601" spans="2:2" x14ac:dyDescent="0.25">
      <c r="B2601" s="1">
        <v>8</v>
      </c>
    </row>
    <row r="2602" spans="2:2" x14ac:dyDescent="0.25">
      <c r="B2602" s="1">
        <v>8</v>
      </c>
    </row>
    <row r="2603" spans="2:2" x14ac:dyDescent="0.25">
      <c r="B2603" s="1">
        <v>12</v>
      </c>
    </row>
    <row r="2604" spans="2:2" x14ac:dyDescent="0.25">
      <c r="B2604" s="1">
        <v>51.64</v>
      </c>
    </row>
    <row r="2605" spans="2:2" x14ac:dyDescent="0.25">
      <c r="B2605" s="1">
        <v>8.3999999999999986</v>
      </c>
    </row>
    <row r="2606" spans="2:2" x14ac:dyDescent="0.25">
      <c r="B2606" s="1">
        <v>9.6</v>
      </c>
    </row>
    <row r="2607" spans="2:2" x14ac:dyDescent="0.25">
      <c r="B2607" s="1">
        <v>11.6</v>
      </c>
    </row>
    <row r="2608" spans="2:2" x14ac:dyDescent="0.25">
      <c r="B2608" s="1">
        <v>10</v>
      </c>
    </row>
    <row r="2609" spans="2:2" x14ac:dyDescent="0.25">
      <c r="B2609" s="1">
        <v>6</v>
      </c>
    </row>
    <row r="2610" spans="2:2" x14ac:dyDescent="0.25">
      <c r="B2610" s="1">
        <v>8.8000000000000007</v>
      </c>
    </row>
    <row r="2611" spans="2:2" x14ac:dyDescent="0.25">
      <c r="B2611" s="1">
        <v>5.6</v>
      </c>
    </row>
    <row r="2612" spans="2:2" x14ac:dyDescent="0.25">
      <c r="B2612" s="1">
        <v>7.6</v>
      </c>
    </row>
    <row r="2613" spans="2:2" x14ac:dyDescent="0.25">
      <c r="B2613" s="1">
        <v>12</v>
      </c>
    </row>
    <row r="2614" spans="2:2" x14ac:dyDescent="0.25">
      <c r="B2614" s="1">
        <v>20</v>
      </c>
    </row>
    <row r="2615" spans="2:2" x14ac:dyDescent="0.25">
      <c r="B2615" s="1">
        <v>8.8000000000000007</v>
      </c>
    </row>
    <row r="2616" spans="2:2" x14ac:dyDescent="0.25">
      <c r="B2616" s="1">
        <v>6</v>
      </c>
    </row>
    <row r="2617" spans="2:2" x14ac:dyDescent="0.25">
      <c r="B2617" s="1">
        <v>8.3999999999999986</v>
      </c>
    </row>
    <row r="2618" spans="2:2" x14ac:dyDescent="0.25">
      <c r="B2618" s="1">
        <v>8</v>
      </c>
    </row>
    <row r="2619" spans="2:2" x14ac:dyDescent="0.25">
      <c r="B2619" s="1">
        <v>11.6</v>
      </c>
    </row>
    <row r="2620" spans="2:2" x14ac:dyDescent="0.25">
      <c r="B2620" s="1">
        <v>6</v>
      </c>
    </row>
    <row r="2621" spans="2:2" x14ac:dyDescent="0.25">
      <c r="B2621" s="1">
        <v>8</v>
      </c>
    </row>
    <row r="2622" spans="2:2" x14ac:dyDescent="0.25">
      <c r="B2622" s="1">
        <v>5.6</v>
      </c>
    </row>
    <row r="2623" spans="2:2" x14ac:dyDescent="0.25">
      <c r="B2623" s="1">
        <v>12</v>
      </c>
    </row>
    <row r="2624" spans="2:2" x14ac:dyDescent="0.25">
      <c r="B2624" s="1">
        <v>5.6</v>
      </c>
    </row>
    <row r="2625" spans="2:2" x14ac:dyDescent="0.25">
      <c r="B2625" s="1">
        <v>8.8000000000000007</v>
      </c>
    </row>
    <row r="2626" spans="2:2" x14ac:dyDescent="0.25">
      <c r="B2626" s="1">
        <v>7.6</v>
      </c>
    </row>
    <row r="2627" spans="2:2" x14ac:dyDescent="0.25">
      <c r="B2627" s="1">
        <v>36</v>
      </c>
    </row>
    <row r="2628" spans="2:2" x14ac:dyDescent="0.25">
      <c r="B2628" s="1">
        <v>51.64</v>
      </c>
    </row>
    <row r="2629" spans="2:2" x14ac:dyDescent="0.25">
      <c r="B2629" s="1">
        <v>9.6</v>
      </c>
    </row>
    <row r="2630" spans="2:2" x14ac:dyDescent="0.25">
      <c r="B2630" s="1">
        <v>8.8000000000000007</v>
      </c>
    </row>
    <row r="2631" spans="2:2" x14ac:dyDescent="0.25">
      <c r="B2631" s="1">
        <v>79.64</v>
      </c>
    </row>
    <row r="2632" spans="2:2" x14ac:dyDescent="0.25">
      <c r="B2632" s="1">
        <v>10</v>
      </c>
    </row>
    <row r="2633" spans="2:2" x14ac:dyDescent="0.25">
      <c r="B2633" s="1">
        <v>12</v>
      </c>
    </row>
    <row r="2634" spans="2:2" x14ac:dyDescent="0.25">
      <c r="B2634" s="1">
        <v>8.3999999999999986</v>
      </c>
    </row>
    <row r="2635" spans="2:2" x14ac:dyDescent="0.25">
      <c r="B2635" s="1">
        <v>8</v>
      </c>
    </row>
    <row r="2636" spans="2:2" x14ac:dyDescent="0.25">
      <c r="B2636" s="1">
        <v>7.6</v>
      </c>
    </row>
    <row r="2637" spans="2:2" x14ac:dyDescent="0.25">
      <c r="B2637" s="1">
        <v>11.6</v>
      </c>
    </row>
    <row r="2638" spans="2:2" x14ac:dyDescent="0.25">
      <c r="B2638" s="1">
        <v>51.64</v>
      </c>
    </row>
    <row r="2639" spans="2:2" x14ac:dyDescent="0.25">
      <c r="B2639" s="1">
        <v>6</v>
      </c>
    </row>
    <row r="2640" spans="2:2" x14ac:dyDescent="0.25">
      <c r="B2640" s="1">
        <v>8.3999999999999986</v>
      </c>
    </row>
    <row r="2641" spans="2:2" x14ac:dyDescent="0.25">
      <c r="B2641" s="1">
        <v>8</v>
      </c>
    </row>
    <row r="2642" spans="2:2" x14ac:dyDescent="0.25">
      <c r="B2642" s="1">
        <v>36</v>
      </c>
    </row>
    <row r="2643" spans="2:2" x14ac:dyDescent="0.25">
      <c r="B2643" s="1">
        <v>7.6</v>
      </c>
    </row>
    <row r="2644" spans="2:2" x14ac:dyDescent="0.25">
      <c r="B2644" s="1">
        <v>5.6</v>
      </c>
    </row>
    <row r="2645" spans="2:2" x14ac:dyDescent="0.25">
      <c r="B2645" s="1">
        <v>8.8000000000000007</v>
      </c>
    </row>
    <row r="2646" spans="2:2" x14ac:dyDescent="0.25">
      <c r="B2646" s="1">
        <v>6</v>
      </c>
    </row>
    <row r="2647" spans="2:2" x14ac:dyDescent="0.25">
      <c r="B2647" s="1">
        <v>5.6</v>
      </c>
    </row>
    <row r="2648" spans="2:2" x14ac:dyDescent="0.25">
      <c r="B2648" s="1">
        <v>10</v>
      </c>
    </row>
    <row r="2649" spans="2:2" x14ac:dyDescent="0.25">
      <c r="B2649" s="1">
        <v>12</v>
      </c>
    </row>
    <row r="2650" spans="2:2" x14ac:dyDescent="0.25">
      <c r="B2650" s="1">
        <v>8</v>
      </c>
    </row>
    <row r="2651" spans="2:2" x14ac:dyDescent="0.25">
      <c r="B2651" s="1">
        <v>7.6</v>
      </c>
    </row>
    <row r="2652" spans="2:2" x14ac:dyDescent="0.25">
      <c r="B2652" s="1">
        <v>8.3999999999999986</v>
      </c>
    </row>
    <row r="2653" spans="2:2" x14ac:dyDescent="0.25">
      <c r="B2653" s="1">
        <v>6</v>
      </c>
    </row>
    <row r="2654" spans="2:2" x14ac:dyDescent="0.25">
      <c r="B2654" s="1">
        <v>8.8000000000000007</v>
      </c>
    </row>
    <row r="2655" spans="2:2" x14ac:dyDescent="0.25">
      <c r="B2655" s="1">
        <v>15.2</v>
      </c>
    </row>
    <row r="2656" spans="2:2" x14ac:dyDescent="0.25">
      <c r="B2656" s="1">
        <v>5.6</v>
      </c>
    </row>
    <row r="2657" spans="2:2" x14ac:dyDescent="0.25">
      <c r="B2657" s="1">
        <v>9.6</v>
      </c>
    </row>
    <row r="2658" spans="2:2" x14ac:dyDescent="0.25">
      <c r="B2658" s="1">
        <v>8.3999999999999986</v>
      </c>
    </row>
    <row r="2659" spans="2:2" x14ac:dyDescent="0.25">
      <c r="B2659" s="1">
        <v>12</v>
      </c>
    </row>
    <row r="2660" spans="2:2" x14ac:dyDescent="0.25">
      <c r="B2660" s="1">
        <v>8</v>
      </c>
    </row>
    <row r="2661" spans="2:2" x14ac:dyDescent="0.25">
      <c r="B2661" s="1">
        <v>10</v>
      </c>
    </row>
    <row r="2662" spans="2:2" x14ac:dyDescent="0.25">
      <c r="B2662" s="1">
        <v>7.6</v>
      </c>
    </row>
    <row r="2663" spans="2:2" x14ac:dyDescent="0.25">
      <c r="B2663" s="1">
        <v>5.6</v>
      </c>
    </row>
    <row r="2664" spans="2:2" x14ac:dyDescent="0.25">
      <c r="B2664" s="1">
        <v>12</v>
      </c>
    </row>
    <row r="2665" spans="2:2" x14ac:dyDescent="0.25">
      <c r="B2665" s="1">
        <v>36</v>
      </c>
    </row>
    <row r="2666" spans="2:2" x14ac:dyDescent="0.25">
      <c r="B2666" s="1">
        <v>7.6</v>
      </c>
    </row>
    <row r="2667" spans="2:2" x14ac:dyDescent="0.25">
      <c r="B2667" s="1">
        <v>8.3999999999999986</v>
      </c>
    </row>
    <row r="2668" spans="2:2" x14ac:dyDescent="0.25">
      <c r="B2668" s="1">
        <v>12</v>
      </c>
    </row>
    <row r="2669" spans="2:2" x14ac:dyDescent="0.25">
      <c r="B2669" s="1">
        <v>8</v>
      </c>
    </row>
    <row r="2670" spans="2:2" x14ac:dyDescent="0.25">
      <c r="B2670" s="1">
        <v>7.6</v>
      </c>
    </row>
    <row r="2671" spans="2:2" x14ac:dyDescent="0.25">
      <c r="B2671" s="1">
        <v>20</v>
      </c>
    </row>
    <row r="2672" spans="2:2" x14ac:dyDescent="0.25">
      <c r="B2672" s="1">
        <v>12</v>
      </c>
    </row>
    <row r="2673" spans="2:2" x14ac:dyDescent="0.25">
      <c r="B2673" s="1">
        <v>8.3999999999999986</v>
      </c>
    </row>
    <row r="2674" spans="2:2" x14ac:dyDescent="0.25">
      <c r="B2674" s="1">
        <v>36</v>
      </c>
    </row>
    <row r="2675" spans="2:2" x14ac:dyDescent="0.25">
      <c r="B2675" s="1">
        <v>5.6</v>
      </c>
    </row>
    <row r="2676" spans="2:2" x14ac:dyDescent="0.25">
      <c r="B2676" s="1">
        <v>8.8000000000000007</v>
      </c>
    </row>
    <row r="2677" spans="2:2" x14ac:dyDescent="0.25">
      <c r="B2677" s="1">
        <v>12</v>
      </c>
    </row>
    <row r="2678" spans="2:2" x14ac:dyDescent="0.25">
      <c r="B2678" s="1">
        <v>8</v>
      </c>
    </row>
    <row r="2679" spans="2:2" x14ac:dyDescent="0.25">
      <c r="B2679" s="1">
        <v>7.6</v>
      </c>
    </row>
    <row r="2680" spans="2:2" x14ac:dyDescent="0.25">
      <c r="B2680" s="1">
        <v>8.3999999999999986</v>
      </c>
    </row>
    <row r="2681" spans="2:2" x14ac:dyDescent="0.25">
      <c r="B2681" s="1">
        <v>12</v>
      </c>
    </row>
    <row r="2682" spans="2:2" x14ac:dyDescent="0.25">
      <c r="B2682" s="1">
        <v>7.6</v>
      </c>
    </row>
    <row r="2683" spans="2:2" x14ac:dyDescent="0.25">
      <c r="B2683" s="1">
        <v>8.8000000000000007</v>
      </c>
    </row>
    <row r="2684" spans="2:2" x14ac:dyDescent="0.25">
      <c r="B2684" s="1">
        <v>12</v>
      </c>
    </row>
    <row r="2685" spans="2:2" x14ac:dyDescent="0.25">
      <c r="B2685" s="1">
        <v>8.3999999999999986</v>
      </c>
    </row>
    <row r="2686" spans="2:2" x14ac:dyDescent="0.25">
      <c r="B2686" s="1">
        <v>8</v>
      </c>
    </row>
    <row r="2687" spans="2:2" x14ac:dyDescent="0.25">
      <c r="B2687" s="1">
        <v>7.6</v>
      </c>
    </row>
    <row r="2688" spans="2:2" x14ac:dyDescent="0.25">
      <c r="B2688" s="1">
        <v>5.6</v>
      </c>
    </row>
    <row r="2689" spans="2:2" x14ac:dyDescent="0.25">
      <c r="B2689" s="1">
        <v>6</v>
      </c>
    </row>
    <row r="2690" spans="2:2" x14ac:dyDescent="0.25">
      <c r="B2690" s="1">
        <v>8</v>
      </c>
    </row>
    <row r="2691" spans="2:2" x14ac:dyDescent="0.25">
      <c r="B2691" s="1">
        <v>6</v>
      </c>
    </row>
    <row r="2692" spans="2:2" x14ac:dyDescent="0.25">
      <c r="B2692" s="1">
        <v>5.6</v>
      </c>
    </row>
    <row r="2693" spans="2:2" x14ac:dyDescent="0.25">
      <c r="B2693" s="1">
        <v>8.8000000000000007</v>
      </c>
    </row>
    <row r="2694" spans="2:2" x14ac:dyDescent="0.25">
      <c r="B2694" s="1">
        <v>36</v>
      </c>
    </row>
    <row r="2695" spans="2:2" x14ac:dyDescent="0.25">
      <c r="B2695" s="1">
        <v>8</v>
      </c>
    </row>
    <row r="2696" spans="2:2" x14ac:dyDescent="0.25">
      <c r="B2696" s="1">
        <v>7.6</v>
      </c>
    </row>
    <row r="2697" spans="2:2" x14ac:dyDescent="0.25">
      <c r="B2697" s="1">
        <v>5.6</v>
      </c>
    </row>
    <row r="2698" spans="2:2" x14ac:dyDescent="0.25">
      <c r="B2698" s="1">
        <v>12</v>
      </c>
    </row>
    <row r="2699" spans="2:2" x14ac:dyDescent="0.25">
      <c r="B2699" s="1">
        <v>15.2</v>
      </c>
    </row>
    <row r="2700" spans="2:2" x14ac:dyDescent="0.25">
      <c r="B2700" s="1">
        <v>10</v>
      </c>
    </row>
    <row r="2701" spans="2:2" x14ac:dyDescent="0.25">
      <c r="B2701" s="1">
        <v>8</v>
      </c>
    </row>
    <row r="2702" spans="2:2" x14ac:dyDescent="0.25">
      <c r="B2702" s="1">
        <v>9.6</v>
      </c>
    </row>
    <row r="2703" spans="2:2" x14ac:dyDescent="0.25">
      <c r="B2703" s="1">
        <v>8.3999999999999986</v>
      </c>
    </row>
    <row r="2704" spans="2:2" x14ac:dyDescent="0.25">
      <c r="B2704" s="1">
        <v>6</v>
      </c>
    </row>
    <row r="2705" spans="2:2" x14ac:dyDescent="0.25">
      <c r="B2705" s="1">
        <v>8.8000000000000007</v>
      </c>
    </row>
    <row r="2706" spans="2:2" x14ac:dyDescent="0.25">
      <c r="B2706" s="1">
        <v>7.6</v>
      </c>
    </row>
    <row r="2707" spans="2:2" x14ac:dyDescent="0.25">
      <c r="B2707" s="1">
        <v>36</v>
      </c>
    </row>
    <row r="2708" spans="2:2" x14ac:dyDescent="0.25">
      <c r="B2708" s="1">
        <v>8</v>
      </c>
    </row>
    <row r="2709" spans="2:2" x14ac:dyDescent="0.25">
      <c r="B2709" s="1">
        <v>8.3999999999999986</v>
      </c>
    </row>
    <row r="2710" spans="2:2" x14ac:dyDescent="0.25">
      <c r="B2710" s="1">
        <v>12</v>
      </c>
    </row>
    <row r="2711" spans="2:2" x14ac:dyDescent="0.25">
      <c r="B2711" s="1">
        <v>8.8000000000000007</v>
      </c>
    </row>
    <row r="2712" spans="2:2" x14ac:dyDescent="0.25">
      <c r="B2712" s="1">
        <v>7.6</v>
      </c>
    </row>
    <row r="2713" spans="2:2" x14ac:dyDescent="0.25">
      <c r="B2713" s="1">
        <v>5.6</v>
      </c>
    </row>
    <row r="2714" spans="2:2" x14ac:dyDescent="0.25">
      <c r="B2714" s="1">
        <v>6</v>
      </c>
    </row>
    <row r="2715" spans="2:2" x14ac:dyDescent="0.25">
      <c r="B2715" s="1">
        <v>8.3999999999999986</v>
      </c>
    </row>
    <row r="2716" spans="2:2" x14ac:dyDescent="0.25">
      <c r="B2716" s="1">
        <v>12</v>
      </c>
    </row>
    <row r="2717" spans="2:2" x14ac:dyDescent="0.25">
      <c r="B2717" s="1">
        <v>8</v>
      </c>
    </row>
    <row r="2718" spans="2:2" x14ac:dyDescent="0.25">
      <c r="B2718" s="1">
        <v>7.6</v>
      </c>
    </row>
    <row r="2719" spans="2:2" x14ac:dyDescent="0.25">
      <c r="B2719" s="1">
        <v>36</v>
      </c>
    </row>
    <row r="2720" spans="2:2" x14ac:dyDescent="0.25">
      <c r="B2720" s="1">
        <v>6</v>
      </c>
    </row>
    <row r="2721" spans="2:2" x14ac:dyDescent="0.25">
      <c r="B2721" s="1">
        <v>8.8000000000000007</v>
      </c>
    </row>
    <row r="2722" spans="2:2" x14ac:dyDescent="0.25">
      <c r="B2722" s="1">
        <v>5.6</v>
      </c>
    </row>
    <row r="2723" spans="2:2" x14ac:dyDescent="0.25">
      <c r="B2723" s="1">
        <v>7.6</v>
      </c>
    </row>
    <row r="2724" spans="2:2" x14ac:dyDescent="0.25">
      <c r="B2724" s="1">
        <v>8</v>
      </c>
    </row>
    <row r="2725" spans="2:2" x14ac:dyDescent="0.25">
      <c r="B2725" s="1">
        <v>12</v>
      </c>
    </row>
    <row r="2726" spans="2:2" x14ac:dyDescent="0.25">
      <c r="B2726" s="1">
        <v>8.3999999999999986</v>
      </c>
    </row>
    <row r="2727" spans="2:2" x14ac:dyDescent="0.25">
      <c r="B2727" s="1">
        <v>7.6</v>
      </c>
    </row>
    <row r="2728" spans="2:2" x14ac:dyDescent="0.25">
      <c r="B2728" s="1">
        <v>10</v>
      </c>
    </row>
    <row r="2729" spans="2:2" x14ac:dyDescent="0.25">
      <c r="B2729" s="1">
        <v>12</v>
      </c>
    </row>
    <row r="2730" spans="2:2" x14ac:dyDescent="0.25">
      <c r="B2730" s="1">
        <v>8.8000000000000007</v>
      </c>
    </row>
    <row r="2731" spans="2:2" x14ac:dyDescent="0.25">
      <c r="B2731" s="1">
        <v>7.6</v>
      </c>
    </row>
    <row r="2732" spans="2:2" x14ac:dyDescent="0.25">
      <c r="B2732" s="1">
        <v>36</v>
      </c>
    </row>
    <row r="2733" spans="2:2" x14ac:dyDescent="0.25">
      <c r="B2733" s="1">
        <v>8</v>
      </c>
    </row>
    <row r="2734" spans="2:2" x14ac:dyDescent="0.25">
      <c r="B2734" s="1">
        <v>9.6</v>
      </c>
    </row>
    <row r="2735" spans="2:2" x14ac:dyDescent="0.25">
      <c r="B2735" s="1">
        <v>8.3999999999999986</v>
      </c>
    </row>
    <row r="2736" spans="2:2" x14ac:dyDescent="0.25">
      <c r="B2736" s="1">
        <v>12</v>
      </c>
    </row>
    <row r="2737" spans="2:2" x14ac:dyDescent="0.25">
      <c r="B2737" s="1">
        <v>8.8000000000000007</v>
      </c>
    </row>
    <row r="2738" spans="2:2" x14ac:dyDescent="0.25">
      <c r="B2738" s="1">
        <v>7.6</v>
      </c>
    </row>
    <row r="2739" spans="2:2" x14ac:dyDescent="0.25">
      <c r="B2739" s="1">
        <v>5.6</v>
      </c>
    </row>
    <row r="2740" spans="2:2" x14ac:dyDescent="0.25">
      <c r="B2740" s="1">
        <v>12</v>
      </c>
    </row>
    <row r="2741" spans="2:2" x14ac:dyDescent="0.25">
      <c r="B2741" s="1">
        <v>8.8000000000000007</v>
      </c>
    </row>
    <row r="2742" spans="2:2" x14ac:dyDescent="0.25">
      <c r="B2742" s="1">
        <v>8</v>
      </c>
    </row>
    <row r="2743" spans="2:2" x14ac:dyDescent="0.25">
      <c r="B2743" s="1">
        <v>7.6</v>
      </c>
    </row>
    <row r="2744" spans="2:2" x14ac:dyDescent="0.25">
      <c r="B2744" s="1">
        <v>8.3999999999999986</v>
      </c>
    </row>
    <row r="2745" spans="2:2" x14ac:dyDescent="0.25">
      <c r="B2745" s="1">
        <v>6</v>
      </c>
    </row>
    <row r="2746" spans="2:2" x14ac:dyDescent="0.25">
      <c r="B2746" s="1">
        <v>36</v>
      </c>
    </row>
    <row r="2747" spans="2:2" x14ac:dyDescent="0.25">
      <c r="B2747" s="1">
        <v>8.8000000000000007</v>
      </c>
    </row>
    <row r="2748" spans="2:2" x14ac:dyDescent="0.25">
      <c r="B2748" s="1">
        <v>7.6</v>
      </c>
    </row>
    <row r="2749" spans="2:2" x14ac:dyDescent="0.25">
      <c r="B2749" s="1">
        <v>5.6</v>
      </c>
    </row>
    <row r="2750" spans="2:2" x14ac:dyDescent="0.25">
      <c r="B2750" s="1">
        <v>12</v>
      </c>
    </row>
    <row r="2751" spans="2:2" x14ac:dyDescent="0.25">
      <c r="B2751" s="1">
        <v>8</v>
      </c>
    </row>
    <row r="2752" spans="2:2" x14ac:dyDescent="0.25">
      <c r="B2752" s="1">
        <v>8.3999999999999986</v>
      </c>
    </row>
    <row r="2753" spans="2:2" x14ac:dyDescent="0.25">
      <c r="B2753" s="1">
        <v>12</v>
      </c>
    </row>
    <row r="2754" spans="2:2" x14ac:dyDescent="0.25">
      <c r="B2754" s="1">
        <v>8.8000000000000007</v>
      </c>
    </row>
    <row r="2755" spans="2:2" x14ac:dyDescent="0.25">
      <c r="B2755" s="1">
        <v>8</v>
      </c>
    </row>
    <row r="2756" spans="2:2" x14ac:dyDescent="0.25">
      <c r="B2756" s="1">
        <v>36</v>
      </c>
    </row>
    <row r="2757" spans="2:2" x14ac:dyDescent="0.25">
      <c r="B2757" s="1">
        <v>5.6</v>
      </c>
    </row>
    <row r="2758" spans="2:2" x14ac:dyDescent="0.25">
      <c r="B2758" s="1">
        <v>6</v>
      </c>
    </row>
    <row r="2759" spans="2:2" x14ac:dyDescent="0.25">
      <c r="B2759" s="1">
        <v>8.8000000000000007</v>
      </c>
    </row>
    <row r="2760" spans="2:2" x14ac:dyDescent="0.25">
      <c r="B2760" s="1">
        <v>7.6</v>
      </c>
    </row>
    <row r="2761" spans="2:2" x14ac:dyDescent="0.25">
      <c r="B2761" s="1">
        <v>36</v>
      </c>
    </row>
    <row r="2762" spans="2:2" x14ac:dyDescent="0.25">
      <c r="B2762" s="1">
        <v>8.3999999999999986</v>
      </c>
    </row>
    <row r="2763" spans="2:2" x14ac:dyDescent="0.25">
      <c r="B2763" s="1">
        <v>12</v>
      </c>
    </row>
    <row r="2764" spans="2:2" x14ac:dyDescent="0.25">
      <c r="B2764" s="1">
        <v>8.8000000000000007</v>
      </c>
    </row>
    <row r="2765" spans="2:2" x14ac:dyDescent="0.25">
      <c r="B2765" s="1">
        <v>8</v>
      </c>
    </row>
    <row r="2766" spans="2:2" x14ac:dyDescent="0.25">
      <c r="B2766" s="1">
        <v>7.6</v>
      </c>
    </row>
    <row r="2767" spans="2:2" x14ac:dyDescent="0.25">
      <c r="B2767" s="1">
        <v>36</v>
      </c>
    </row>
    <row r="2768" spans="2:2" x14ac:dyDescent="0.25">
      <c r="B2768" s="1">
        <v>8.3999999999999986</v>
      </c>
    </row>
    <row r="2769" spans="2:2" x14ac:dyDescent="0.25">
      <c r="B2769" s="1">
        <v>6</v>
      </c>
    </row>
    <row r="2770" spans="2:2" x14ac:dyDescent="0.25">
      <c r="B2770" s="1">
        <v>8</v>
      </c>
    </row>
    <row r="2771" spans="2:2" x14ac:dyDescent="0.25">
      <c r="B2771" s="1">
        <v>5.6</v>
      </c>
    </row>
    <row r="2772" spans="2:2" x14ac:dyDescent="0.25">
      <c r="B2772" s="1">
        <v>12</v>
      </c>
    </row>
    <row r="2773" spans="2:2" x14ac:dyDescent="0.25">
      <c r="B2773" s="1">
        <v>8.8000000000000007</v>
      </c>
    </row>
    <row r="2774" spans="2:2" x14ac:dyDescent="0.25">
      <c r="B2774" s="1">
        <v>7.6</v>
      </c>
    </row>
    <row r="2775" spans="2:2" x14ac:dyDescent="0.25">
      <c r="B2775" s="1">
        <v>5.6</v>
      </c>
    </row>
    <row r="2776" spans="2:2" x14ac:dyDescent="0.25">
      <c r="B2776" s="1">
        <v>6</v>
      </c>
    </row>
    <row r="2777" spans="2:2" x14ac:dyDescent="0.25">
      <c r="B2777" s="1">
        <v>8.8000000000000007</v>
      </c>
    </row>
    <row r="2778" spans="2:2" x14ac:dyDescent="0.25">
      <c r="B2778" s="1">
        <v>7.6</v>
      </c>
    </row>
    <row r="2779" spans="2:2" x14ac:dyDescent="0.25">
      <c r="B2779" s="1">
        <v>8</v>
      </c>
    </row>
    <row r="2780" spans="2:2" x14ac:dyDescent="0.25">
      <c r="B2780" s="1">
        <v>36</v>
      </c>
    </row>
    <row r="2781" spans="2:2" x14ac:dyDescent="0.25">
      <c r="B2781" s="1">
        <v>5.6</v>
      </c>
    </row>
    <row r="2782" spans="2:2" x14ac:dyDescent="0.25">
      <c r="B2782" s="1">
        <v>12</v>
      </c>
    </row>
    <row r="2783" spans="2:2" x14ac:dyDescent="0.25">
      <c r="B2783" s="1">
        <v>8.8000000000000007</v>
      </c>
    </row>
    <row r="2784" spans="2:2" x14ac:dyDescent="0.25">
      <c r="B2784" s="1">
        <v>7.6</v>
      </c>
    </row>
    <row r="2785" spans="2:2" x14ac:dyDescent="0.25">
      <c r="B2785" s="1">
        <v>8.3999999999999986</v>
      </c>
    </row>
    <row r="2786" spans="2:2" x14ac:dyDescent="0.25">
      <c r="B2786" s="1">
        <v>12</v>
      </c>
    </row>
    <row r="2787" spans="2:2" x14ac:dyDescent="0.25">
      <c r="B2787" s="1">
        <v>8.8000000000000007</v>
      </c>
    </row>
    <row r="2788" spans="2:2" x14ac:dyDescent="0.25">
      <c r="B2788" s="1">
        <v>8</v>
      </c>
    </row>
    <row r="2789" spans="2:2" x14ac:dyDescent="0.25">
      <c r="B2789" s="1">
        <v>5.6</v>
      </c>
    </row>
    <row r="2790" spans="2:2" x14ac:dyDescent="0.25">
      <c r="B2790" s="1">
        <v>6</v>
      </c>
    </row>
    <row r="2791" spans="2:2" x14ac:dyDescent="0.25">
      <c r="B2791" s="1">
        <v>36</v>
      </c>
    </row>
    <row r="2792" spans="2:2" x14ac:dyDescent="0.25">
      <c r="B2792" s="1">
        <v>9.6</v>
      </c>
    </row>
    <row r="2793" spans="2:2" x14ac:dyDescent="0.25">
      <c r="B2793" s="1">
        <v>5.6</v>
      </c>
    </row>
    <row r="2794" spans="2:2" x14ac:dyDescent="0.25">
      <c r="B2794" s="1">
        <v>12</v>
      </c>
    </row>
    <row r="2795" spans="2:2" x14ac:dyDescent="0.25">
      <c r="B2795" s="1">
        <v>8.8000000000000007</v>
      </c>
    </row>
    <row r="2796" spans="2:2" x14ac:dyDescent="0.25">
      <c r="B2796" s="1">
        <v>36</v>
      </c>
    </row>
    <row r="2797" spans="2:2" x14ac:dyDescent="0.25">
      <c r="B2797" s="1">
        <v>7.6</v>
      </c>
    </row>
    <row r="2798" spans="2:2" x14ac:dyDescent="0.25">
      <c r="B2798" s="1">
        <v>8.3999999999999986</v>
      </c>
    </row>
    <row r="2799" spans="2:2" x14ac:dyDescent="0.25">
      <c r="B2799" s="1">
        <v>12</v>
      </c>
    </row>
    <row r="2800" spans="2:2" x14ac:dyDescent="0.25">
      <c r="B2800" s="1">
        <v>8.8000000000000007</v>
      </c>
    </row>
    <row r="2801" spans="2:2" x14ac:dyDescent="0.25">
      <c r="B2801" s="1">
        <v>36</v>
      </c>
    </row>
    <row r="2802" spans="2:2" x14ac:dyDescent="0.25">
      <c r="B2802" s="1">
        <v>8</v>
      </c>
    </row>
    <row r="2803" spans="2:2" x14ac:dyDescent="0.25">
      <c r="B2803" s="1">
        <v>7.6</v>
      </c>
    </row>
    <row r="2804" spans="2:2" x14ac:dyDescent="0.25">
      <c r="B2804" s="1">
        <v>5.6</v>
      </c>
    </row>
    <row r="2805" spans="2:2" x14ac:dyDescent="0.25">
      <c r="B2805" s="1">
        <v>6</v>
      </c>
    </row>
    <row r="2806" spans="2:2" x14ac:dyDescent="0.25">
      <c r="B2806" s="1">
        <v>8.8000000000000007</v>
      </c>
    </row>
    <row r="2807" spans="2:2" x14ac:dyDescent="0.25">
      <c r="B2807" s="1">
        <v>36</v>
      </c>
    </row>
    <row r="2808" spans="2:2" x14ac:dyDescent="0.25">
      <c r="B2808" s="1">
        <v>7.6</v>
      </c>
    </row>
    <row r="2809" spans="2:2" x14ac:dyDescent="0.25">
      <c r="B2809" s="1">
        <v>5.6</v>
      </c>
    </row>
    <row r="2810" spans="2:2" x14ac:dyDescent="0.25">
      <c r="B2810" s="1">
        <v>12</v>
      </c>
    </row>
    <row r="2811" spans="2:2" x14ac:dyDescent="0.25">
      <c r="B2811" s="1">
        <v>8.8000000000000007</v>
      </c>
    </row>
    <row r="2812" spans="2:2" x14ac:dyDescent="0.25">
      <c r="B2812" s="1">
        <v>8</v>
      </c>
    </row>
    <row r="2813" spans="2:2" x14ac:dyDescent="0.25">
      <c r="B2813" s="1">
        <v>36</v>
      </c>
    </row>
    <row r="2814" spans="2:2" x14ac:dyDescent="0.25">
      <c r="B2814" s="1">
        <v>5.6</v>
      </c>
    </row>
    <row r="2815" spans="2:2" x14ac:dyDescent="0.25">
      <c r="B2815" s="1">
        <v>12</v>
      </c>
    </row>
    <row r="2816" spans="2:2" x14ac:dyDescent="0.25">
      <c r="B2816" s="1">
        <v>8.8000000000000007</v>
      </c>
    </row>
    <row r="2817" spans="2:2" x14ac:dyDescent="0.25">
      <c r="B2817" s="1">
        <v>7.6</v>
      </c>
    </row>
    <row r="2818" spans="2:2" x14ac:dyDescent="0.25">
      <c r="B2818" s="1">
        <v>36</v>
      </c>
    </row>
    <row r="2819" spans="2:2" x14ac:dyDescent="0.25">
      <c r="B2819" s="1">
        <v>12</v>
      </c>
    </row>
    <row r="2820" spans="2:2" x14ac:dyDescent="0.25">
      <c r="B2820" s="1">
        <v>8.3999999999999986</v>
      </c>
    </row>
    <row r="2821" spans="2:2" x14ac:dyDescent="0.25">
      <c r="B2821" s="1">
        <v>8.8000000000000007</v>
      </c>
    </row>
    <row r="2822" spans="2:2" x14ac:dyDescent="0.25">
      <c r="B2822" s="1">
        <v>7.6</v>
      </c>
    </row>
    <row r="2823" spans="2:2" x14ac:dyDescent="0.25">
      <c r="B2823" s="1">
        <v>8</v>
      </c>
    </row>
    <row r="2824" spans="2:2" x14ac:dyDescent="0.25">
      <c r="B2824" s="1">
        <v>5.6</v>
      </c>
    </row>
    <row r="2825" spans="2:2" x14ac:dyDescent="0.25">
      <c r="B2825" s="1">
        <v>6</v>
      </c>
    </row>
    <row r="2826" spans="2:2" x14ac:dyDescent="0.25">
      <c r="B2826" s="1">
        <v>8.8000000000000007</v>
      </c>
    </row>
    <row r="2827" spans="2:2" x14ac:dyDescent="0.25">
      <c r="B2827" s="1">
        <v>36</v>
      </c>
    </row>
    <row r="2828" spans="2:2" x14ac:dyDescent="0.25">
      <c r="B2828" s="1">
        <v>8</v>
      </c>
    </row>
    <row r="2829" spans="2:2" x14ac:dyDescent="0.25">
      <c r="B2829" s="1">
        <v>7.6</v>
      </c>
    </row>
    <row r="2830" spans="2:2" x14ac:dyDescent="0.25">
      <c r="B2830" s="1">
        <v>5.6</v>
      </c>
    </row>
    <row r="2831" spans="2:2" x14ac:dyDescent="0.25">
      <c r="B2831" s="1">
        <v>12</v>
      </c>
    </row>
    <row r="2832" spans="2:2" x14ac:dyDescent="0.25">
      <c r="B2832" s="1">
        <v>8.8000000000000007</v>
      </c>
    </row>
    <row r="2833" spans="2:2" x14ac:dyDescent="0.25">
      <c r="B2833" s="1">
        <v>8</v>
      </c>
    </row>
    <row r="2834" spans="2:2" x14ac:dyDescent="0.25">
      <c r="B2834" s="1">
        <v>36</v>
      </c>
    </row>
    <row r="2835" spans="2:2" x14ac:dyDescent="0.25">
      <c r="B2835" s="1">
        <v>5.6</v>
      </c>
    </row>
    <row r="2836" spans="2:2" x14ac:dyDescent="0.25">
      <c r="B2836" s="1">
        <v>6</v>
      </c>
    </row>
    <row r="2837" spans="2:2" x14ac:dyDescent="0.25">
      <c r="B2837" s="1">
        <v>7.6</v>
      </c>
    </row>
    <row r="2838" spans="2:2" x14ac:dyDescent="0.25">
      <c r="B2838" s="1">
        <v>36</v>
      </c>
    </row>
    <row r="2839" spans="2:2" x14ac:dyDescent="0.25">
      <c r="B2839" s="1">
        <v>5.6</v>
      </c>
    </row>
    <row r="2840" spans="2:2" x14ac:dyDescent="0.25">
      <c r="B2840" s="1">
        <v>12</v>
      </c>
    </row>
    <row r="2841" spans="2:2" x14ac:dyDescent="0.25">
      <c r="B2841" s="1">
        <v>8.8000000000000007</v>
      </c>
    </row>
    <row r="2842" spans="2:2" x14ac:dyDescent="0.25">
      <c r="B2842" s="1">
        <v>36</v>
      </c>
    </row>
    <row r="2843" spans="2:2" x14ac:dyDescent="0.25">
      <c r="B2843" s="1">
        <v>7.6</v>
      </c>
    </row>
    <row r="2844" spans="2:2" x14ac:dyDescent="0.25">
      <c r="B2844" s="1">
        <v>8</v>
      </c>
    </row>
    <row r="2845" spans="2:2" x14ac:dyDescent="0.25">
      <c r="B2845" s="1">
        <v>36</v>
      </c>
    </row>
    <row r="2846" spans="2:2" x14ac:dyDescent="0.25">
      <c r="B2846" s="1">
        <v>6</v>
      </c>
    </row>
    <row r="2847" spans="2:2" x14ac:dyDescent="0.25">
      <c r="B2847" s="1">
        <v>8.8000000000000007</v>
      </c>
    </row>
    <row r="2848" spans="2:2" x14ac:dyDescent="0.25">
      <c r="B2848" s="1">
        <v>8.3999999999999986</v>
      </c>
    </row>
    <row r="2849" spans="2:2" x14ac:dyDescent="0.25">
      <c r="B2849" s="1">
        <v>12</v>
      </c>
    </row>
    <row r="2850" spans="2:2" x14ac:dyDescent="0.25">
      <c r="B2850" s="1">
        <v>8.8000000000000007</v>
      </c>
    </row>
    <row r="2851" spans="2:2" x14ac:dyDescent="0.25">
      <c r="B2851" s="1">
        <v>36</v>
      </c>
    </row>
    <row r="2852" spans="2:2" x14ac:dyDescent="0.25">
      <c r="B2852" s="1">
        <v>7.6</v>
      </c>
    </row>
    <row r="2853" spans="2:2" x14ac:dyDescent="0.25">
      <c r="B2853" s="1">
        <v>6</v>
      </c>
    </row>
    <row r="2854" spans="2:2" x14ac:dyDescent="0.25">
      <c r="B2854" s="1">
        <v>5.6</v>
      </c>
    </row>
    <row r="2855" spans="2:2" x14ac:dyDescent="0.25">
      <c r="B2855" s="1">
        <v>8.8000000000000007</v>
      </c>
    </row>
    <row r="2856" spans="2:2" x14ac:dyDescent="0.25">
      <c r="B2856" s="1">
        <v>36</v>
      </c>
    </row>
    <row r="2857" spans="2:2" x14ac:dyDescent="0.25">
      <c r="B2857" s="1">
        <v>8</v>
      </c>
    </row>
    <row r="2858" spans="2:2" x14ac:dyDescent="0.25">
      <c r="B2858" s="1">
        <v>7.6</v>
      </c>
    </row>
    <row r="2859" spans="2:2" x14ac:dyDescent="0.25">
      <c r="B2859" s="1">
        <v>8.3999999999999986</v>
      </c>
    </row>
    <row r="2860" spans="2:2" x14ac:dyDescent="0.25">
      <c r="B2860" s="1">
        <v>12</v>
      </c>
    </row>
    <row r="2861" spans="2:2" x14ac:dyDescent="0.25">
      <c r="B2861" s="1">
        <v>8.8000000000000007</v>
      </c>
    </row>
    <row r="2862" spans="2:2" x14ac:dyDescent="0.25">
      <c r="B2862" s="1">
        <v>36</v>
      </c>
    </row>
    <row r="2863" spans="2:2" x14ac:dyDescent="0.25">
      <c r="B2863" s="1">
        <v>8</v>
      </c>
    </row>
    <row r="2864" spans="2:2" x14ac:dyDescent="0.25">
      <c r="B2864" s="1">
        <v>7.6</v>
      </c>
    </row>
    <row r="2865" spans="2:2" x14ac:dyDescent="0.25">
      <c r="B2865" s="1">
        <v>36</v>
      </c>
    </row>
    <row r="2866" spans="2:2" x14ac:dyDescent="0.25">
      <c r="B2866" s="1">
        <v>12</v>
      </c>
    </row>
    <row r="2867" spans="2:2" x14ac:dyDescent="0.25">
      <c r="B2867" s="1">
        <v>5.6</v>
      </c>
    </row>
    <row r="2868" spans="2:2" x14ac:dyDescent="0.25">
      <c r="B2868" s="1">
        <v>8.8000000000000007</v>
      </c>
    </row>
    <row r="2869" spans="2:2" x14ac:dyDescent="0.25">
      <c r="B2869" s="1">
        <v>8.3999999999999986</v>
      </c>
    </row>
    <row r="2870" spans="2:2" x14ac:dyDescent="0.25">
      <c r="B2870" s="1">
        <v>12</v>
      </c>
    </row>
    <row r="2871" spans="2:2" x14ac:dyDescent="0.25">
      <c r="B2871" s="1">
        <v>8.8000000000000007</v>
      </c>
    </row>
    <row r="2872" spans="2:2" x14ac:dyDescent="0.25">
      <c r="B2872" s="1">
        <v>36</v>
      </c>
    </row>
    <row r="2873" spans="2:2" x14ac:dyDescent="0.25">
      <c r="B2873" s="1">
        <v>8</v>
      </c>
    </row>
    <row r="2874" spans="2:2" x14ac:dyDescent="0.25">
      <c r="B2874" s="1">
        <v>7.6</v>
      </c>
    </row>
    <row r="2875" spans="2:2" x14ac:dyDescent="0.25">
      <c r="B2875" s="1">
        <v>5.6</v>
      </c>
    </row>
    <row r="2876" spans="2:2" x14ac:dyDescent="0.25">
      <c r="B2876" s="1">
        <v>12</v>
      </c>
    </row>
    <row r="2877" spans="2:2" x14ac:dyDescent="0.25">
      <c r="B2877" s="1">
        <v>8.8000000000000007</v>
      </c>
    </row>
    <row r="2878" spans="2:2" x14ac:dyDescent="0.25">
      <c r="B2878" s="1">
        <v>36</v>
      </c>
    </row>
    <row r="2879" spans="2:2" x14ac:dyDescent="0.25">
      <c r="B2879" s="1">
        <v>8</v>
      </c>
    </row>
    <row r="2880" spans="2:2" x14ac:dyDescent="0.25">
      <c r="B2880" s="1">
        <v>7.6</v>
      </c>
    </row>
    <row r="2881" spans="2:2" x14ac:dyDescent="0.25">
      <c r="B2881" s="1">
        <v>5.6</v>
      </c>
    </row>
    <row r="2882" spans="2:2" x14ac:dyDescent="0.25">
      <c r="B2882" s="1">
        <v>6</v>
      </c>
    </row>
    <row r="2883" spans="2:2" x14ac:dyDescent="0.25">
      <c r="B2883" s="1">
        <v>8.8000000000000007</v>
      </c>
    </row>
    <row r="2884" spans="2:2" x14ac:dyDescent="0.25">
      <c r="B2884" s="1">
        <v>36</v>
      </c>
    </row>
    <row r="2885" spans="2:2" x14ac:dyDescent="0.25">
      <c r="B2885" s="1">
        <v>8</v>
      </c>
    </row>
    <row r="2886" spans="2:2" x14ac:dyDescent="0.25">
      <c r="B2886" s="1">
        <v>7.6</v>
      </c>
    </row>
    <row r="2887" spans="2:2" x14ac:dyDescent="0.25">
      <c r="B2887" s="1">
        <v>8.3999999999999986</v>
      </c>
    </row>
    <row r="2888" spans="2:2" x14ac:dyDescent="0.25">
      <c r="B2888" s="1">
        <v>6</v>
      </c>
    </row>
    <row r="2889" spans="2:2" x14ac:dyDescent="0.25">
      <c r="B2889" s="1">
        <v>8.8000000000000007</v>
      </c>
    </row>
    <row r="2890" spans="2:2" x14ac:dyDescent="0.25">
      <c r="B2890" s="1">
        <v>36</v>
      </c>
    </row>
    <row r="2891" spans="2:2" x14ac:dyDescent="0.25">
      <c r="B2891" s="1">
        <v>7.6</v>
      </c>
    </row>
    <row r="2892" spans="2:2" x14ac:dyDescent="0.25">
      <c r="B2892" s="1">
        <v>5.6</v>
      </c>
    </row>
    <row r="2893" spans="2:2" x14ac:dyDescent="0.25">
      <c r="B2893" s="1">
        <v>12</v>
      </c>
    </row>
    <row r="2894" spans="2:2" x14ac:dyDescent="0.25">
      <c r="B2894" s="1">
        <v>8.8000000000000007</v>
      </c>
    </row>
    <row r="2895" spans="2:2" x14ac:dyDescent="0.25">
      <c r="B2895" s="1">
        <v>36</v>
      </c>
    </row>
    <row r="2896" spans="2:2" x14ac:dyDescent="0.25">
      <c r="B2896" s="1">
        <v>7.6</v>
      </c>
    </row>
    <row r="2897" spans="2:2" x14ac:dyDescent="0.25">
      <c r="B2897" s="1">
        <v>8</v>
      </c>
    </row>
    <row r="2898" spans="2:2" x14ac:dyDescent="0.25">
      <c r="B2898" s="1">
        <v>5.6</v>
      </c>
    </row>
    <row r="2899" spans="2:2" x14ac:dyDescent="0.25">
      <c r="B2899" s="1">
        <v>12</v>
      </c>
    </row>
    <row r="2900" spans="2:2" x14ac:dyDescent="0.25">
      <c r="B2900" s="1">
        <v>8.8000000000000007</v>
      </c>
    </row>
    <row r="2901" spans="2:2" x14ac:dyDescent="0.25">
      <c r="B2901" s="1">
        <v>36</v>
      </c>
    </row>
    <row r="2902" spans="2:2" x14ac:dyDescent="0.25">
      <c r="B2902" s="1">
        <v>8</v>
      </c>
    </row>
    <row r="2903" spans="2:2" x14ac:dyDescent="0.25">
      <c r="B2903" s="1">
        <v>7.6</v>
      </c>
    </row>
    <row r="2904" spans="2:2" x14ac:dyDescent="0.25">
      <c r="B2904" s="1">
        <v>8.3999999999999986</v>
      </c>
    </row>
    <row r="2905" spans="2:2" x14ac:dyDescent="0.25">
      <c r="B2905" s="1">
        <v>12</v>
      </c>
    </row>
    <row r="2906" spans="2:2" x14ac:dyDescent="0.25">
      <c r="B2906" s="1">
        <v>8.8000000000000007</v>
      </c>
    </row>
    <row r="2907" spans="2:2" x14ac:dyDescent="0.25">
      <c r="B2907" s="1">
        <v>36</v>
      </c>
    </row>
    <row r="2908" spans="2:2" x14ac:dyDescent="0.25">
      <c r="B2908" s="1">
        <v>8</v>
      </c>
    </row>
    <row r="2909" spans="2:2" x14ac:dyDescent="0.25">
      <c r="B2909" s="1">
        <v>7.6</v>
      </c>
    </row>
    <row r="2910" spans="2:2" x14ac:dyDescent="0.25">
      <c r="B2910" s="1">
        <v>5.6</v>
      </c>
    </row>
    <row r="2911" spans="2:2" x14ac:dyDescent="0.25">
      <c r="B2911" s="1">
        <v>6</v>
      </c>
    </row>
    <row r="2912" spans="2:2" x14ac:dyDescent="0.25">
      <c r="B2912" s="1">
        <v>8.8000000000000007</v>
      </c>
    </row>
    <row r="2913" spans="2:2" x14ac:dyDescent="0.25">
      <c r="B2913" s="1">
        <v>36</v>
      </c>
    </row>
    <row r="2914" spans="2:2" x14ac:dyDescent="0.25">
      <c r="B2914" s="1">
        <v>7.6</v>
      </c>
    </row>
    <row r="2915" spans="2:2" x14ac:dyDescent="0.25">
      <c r="B2915" s="1">
        <v>8</v>
      </c>
    </row>
    <row r="2916" spans="2:2" x14ac:dyDescent="0.25">
      <c r="B2916" s="1">
        <v>5.6</v>
      </c>
    </row>
    <row r="2917" spans="2:2" x14ac:dyDescent="0.25">
      <c r="B2917" s="1">
        <v>12</v>
      </c>
    </row>
    <row r="2918" spans="2:2" x14ac:dyDescent="0.25">
      <c r="B2918" s="1">
        <v>8.8000000000000007</v>
      </c>
    </row>
    <row r="2919" spans="2:2" x14ac:dyDescent="0.25">
      <c r="B2919" s="1">
        <v>36</v>
      </c>
    </row>
    <row r="2920" spans="2:2" x14ac:dyDescent="0.25">
      <c r="B2920" s="1">
        <v>8</v>
      </c>
    </row>
    <row r="2921" spans="2:2" x14ac:dyDescent="0.25">
      <c r="B2921" s="1">
        <v>7.6</v>
      </c>
    </row>
    <row r="2922" spans="2:2" x14ac:dyDescent="0.25">
      <c r="B2922" s="1">
        <v>5.6</v>
      </c>
    </row>
    <row r="2923" spans="2:2" x14ac:dyDescent="0.25">
      <c r="B2923" s="1">
        <v>6</v>
      </c>
    </row>
    <row r="2924" spans="2:2" x14ac:dyDescent="0.25">
      <c r="B2924" s="1">
        <v>8.8000000000000007</v>
      </c>
    </row>
    <row r="2925" spans="2:2" x14ac:dyDescent="0.25">
      <c r="B2925" s="1">
        <v>36</v>
      </c>
    </row>
    <row r="2926" spans="2:2" x14ac:dyDescent="0.25">
      <c r="B2926" s="1">
        <v>7.6</v>
      </c>
    </row>
    <row r="2927" spans="2:2" x14ac:dyDescent="0.25">
      <c r="B2927" s="1">
        <v>8</v>
      </c>
    </row>
    <row r="2928" spans="2:2" x14ac:dyDescent="0.25">
      <c r="B2928" s="1">
        <v>8.3999999999999986</v>
      </c>
    </row>
    <row r="2929" spans="2:2" x14ac:dyDescent="0.25">
      <c r="B2929" s="1">
        <v>12</v>
      </c>
    </row>
    <row r="2930" spans="2:2" x14ac:dyDescent="0.25">
      <c r="B2930" s="1">
        <v>8.8000000000000007</v>
      </c>
    </row>
    <row r="2931" spans="2:2" x14ac:dyDescent="0.25">
      <c r="B2931" s="1">
        <v>36</v>
      </c>
    </row>
    <row r="2932" spans="2:2" x14ac:dyDescent="0.25">
      <c r="B2932" s="1">
        <v>8</v>
      </c>
    </row>
    <row r="2933" spans="2:2" x14ac:dyDescent="0.25">
      <c r="B2933" s="1">
        <v>7.6</v>
      </c>
    </row>
    <row r="2934" spans="2:2" x14ac:dyDescent="0.25">
      <c r="B2934" s="1">
        <v>5.6</v>
      </c>
    </row>
    <row r="2935" spans="2:2" x14ac:dyDescent="0.25">
      <c r="B2935" s="1">
        <v>12</v>
      </c>
    </row>
    <row r="2936" spans="2:2" x14ac:dyDescent="0.25">
      <c r="B2936" s="1">
        <v>8.8000000000000007</v>
      </c>
    </row>
    <row r="2937" spans="2:2" x14ac:dyDescent="0.25">
      <c r="B2937" s="1">
        <v>36</v>
      </c>
    </row>
    <row r="2938" spans="2:2" x14ac:dyDescent="0.25">
      <c r="B2938" s="1">
        <v>8</v>
      </c>
    </row>
    <row r="2939" spans="2:2" x14ac:dyDescent="0.25">
      <c r="B2939" s="1">
        <v>7.6</v>
      </c>
    </row>
    <row r="2940" spans="2:2" x14ac:dyDescent="0.25">
      <c r="B2940" s="1">
        <v>5.6</v>
      </c>
    </row>
    <row r="2941" spans="2:2" x14ac:dyDescent="0.25">
      <c r="B2941" s="1">
        <v>6</v>
      </c>
    </row>
    <row r="2942" spans="2:2" x14ac:dyDescent="0.25">
      <c r="B2942" s="1">
        <v>8.8000000000000007</v>
      </c>
    </row>
    <row r="2943" spans="2:2" x14ac:dyDescent="0.25">
      <c r="B2943" s="1">
        <v>36</v>
      </c>
    </row>
    <row r="2944" spans="2:2" x14ac:dyDescent="0.25">
      <c r="B2944" s="1">
        <v>7.6</v>
      </c>
    </row>
    <row r="2945" spans="2:2" x14ac:dyDescent="0.25">
      <c r="B2945" s="1">
        <v>8</v>
      </c>
    </row>
    <row r="2946" spans="2:2" x14ac:dyDescent="0.25">
      <c r="B2946" s="1">
        <v>5.6</v>
      </c>
    </row>
    <row r="2947" spans="2:2" x14ac:dyDescent="0.25">
      <c r="B2947" s="1">
        <v>6</v>
      </c>
    </row>
    <row r="2948" spans="2:2" x14ac:dyDescent="0.25">
      <c r="B2948" s="1">
        <v>8.8000000000000007</v>
      </c>
    </row>
    <row r="2949" spans="2:2" x14ac:dyDescent="0.25">
      <c r="B2949" s="1">
        <v>36</v>
      </c>
    </row>
    <row r="2950" spans="2:2" x14ac:dyDescent="0.25">
      <c r="B2950" s="1">
        <v>7.6</v>
      </c>
    </row>
    <row r="2951" spans="2:2" x14ac:dyDescent="0.25">
      <c r="B2951" s="1">
        <v>5.6</v>
      </c>
    </row>
    <row r="2952" spans="2:2" x14ac:dyDescent="0.25">
      <c r="B2952" s="1">
        <v>12</v>
      </c>
    </row>
    <row r="2953" spans="2:2" x14ac:dyDescent="0.25">
      <c r="B2953" s="1">
        <v>8.8000000000000007</v>
      </c>
    </row>
    <row r="2954" spans="2:2" x14ac:dyDescent="0.25">
      <c r="B2954" s="1">
        <v>36</v>
      </c>
    </row>
    <row r="2955" spans="2:2" x14ac:dyDescent="0.25">
      <c r="B2955" s="1">
        <v>7.6</v>
      </c>
    </row>
    <row r="2956" spans="2:2" x14ac:dyDescent="0.25">
      <c r="B2956" s="1">
        <v>8</v>
      </c>
    </row>
    <row r="2957" spans="2:2" x14ac:dyDescent="0.25">
      <c r="B2957" s="1">
        <v>8.3999999999999986</v>
      </c>
    </row>
    <row r="2958" spans="2:2" x14ac:dyDescent="0.25">
      <c r="B2958" s="1">
        <v>12</v>
      </c>
    </row>
    <row r="2959" spans="2:2" x14ac:dyDescent="0.25">
      <c r="B2959" s="1">
        <v>8.8000000000000007</v>
      </c>
    </row>
    <row r="2960" spans="2:2" x14ac:dyDescent="0.25">
      <c r="B2960" s="1">
        <v>36</v>
      </c>
    </row>
    <row r="2961" spans="2:2" x14ac:dyDescent="0.25">
      <c r="B2961" s="1">
        <v>7.6</v>
      </c>
    </row>
    <row r="2962" spans="2:2" x14ac:dyDescent="0.25">
      <c r="B2962" s="1">
        <v>8</v>
      </c>
    </row>
    <row r="2963" spans="2:2" x14ac:dyDescent="0.25">
      <c r="B2963" s="1">
        <v>5.6</v>
      </c>
    </row>
    <row r="2964" spans="2:2" x14ac:dyDescent="0.25">
      <c r="B2964" s="1">
        <v>6</v>
      </c>
    </row>
    <row r="2965" spans="2:2" x14ac:dyDescent="0.25">
      <c r="B2965" s="1">
        <v>8.8000000000000007</v>
      </c>
    </row>
    <row r="2966" spans="2:2" x14ac:dyDescent="0.25">
      <c r="B2966" s="1">
        <v>5.6</v>
      </c>
    </row>
    <row r="2967" spans="2:2" x14ac:dyDescent="0.25">
      <c r="B2967" s="1">
        <v>6</v>
      </c>
    </row>
    <row r="2968" spans="2:2" x14ac:dyDescent="0.25">
      <c r="B2968" s="1">
        <v>8.8000000000000007</v>
      </c>
    </row>
    <row r="2969" spans="2:2" x14ac:dyDescent="0.25">
      <c r="B2969" s="1">
        <v>19.600000000000001</v>
      </c>
    </row>
    <row r="2970" spans="2:2" x14ac:dyDescent="0.25">
      <c r="B2970" s="1">
        <v>40</v>
      </c>
    </row>
    <row r="2971" spans="2:2" x14ac:dyDescent="0.25">
      <c r="B2971" s="1">
        <v>22</v>
      </c>
    </row>
    <row r="2972" spans="2:2" x14ac:dyDescent="0.25">
      <c r="B2972" s="1">
        <v>51.64</v>
      </c>
    </row>
    <row r="2973" spans="2:2" x14ac:dyDescent="0.25">
      <c r="B2973" s="1">
        <v>28</v>
      </c>
    </row>
    <row r="2974" spans="2:2" x14ac:dyDescent="0.25">
      <c r="B2974" s="1">
        <v>8</v>
      </c>
    </row>
    <row r="2975" spans="2:2" x14ac:dyDescent="0.25">
      <c r="B2975" s="1">
        <v>10</v>
      </c>
    </row>
    <row r="2976" spans="2:2" x14ac:dyDescent="0.25">
      <c r="B2976" s="1">
        <v>18</v>
      </c>
    </row>
    <row r="2977" spans="2:2" x14ac:dyDescent="0.25">
      <c r="B2977" s="1">
        <v>14</v>
      </c>
    </row>
    <row r="2978" spans="2:2" x14ac:dyDescent="0.25">
      <c r="B2978" s="1">
        <v>20</v>
      </c>
    </row>
    <row r="2979" spans="2:2" x14ac:dyDescent="0.25">
      <c r="B2979" s="1">
        <v>15.2</v>
      </c>
    </row>
    <row r="2980" spans="2:2" x14ac:dyDescent="0.25">
      <c r="B2980" s="1">
        <v>18</v>
      </c>
    </row>
    <row r="2981" spans="2:2" x14ac:dyDescent="0.25">
      <c r="B2981" s="1">
        <v>11.6</v>
      </c>
    </row>
    <row r="2982" spans="2:2" x14ac:dyDescent="0.25">
      <c r="B2982" s="1">
        <v>9.6</v>
      </c>
    </row>
    <row r="2983" spans="2:2" x14ac:dyDescent="0.25">
      <c r="B2983" s="1">
        <v>36</v>
      </c>
    </row>
    <row r="2984" spans="2:2" x14ac:dyDescent="0.25">
      <c r="B2984" s="1">
        <v>8.3999999999999986</v>
      </c>
    </row>
    <row r="2985" spans="2:2" x14ac:dyDescent="0.25">
      <c r="B2985" s="1">
        <v>36</v>
      </c>
    </row>
    <row r="2986" spans="2:2" x14ac:dyDescent="0.25">
      <c r="B2986" s="1">
        <v>51.64</v>
      </c>
    </row>
    <row r="2987" spans="2:2" x14ac:dyDescent="0.25">
      <c r="B2987" s="1">
        <v>79.64</v>
      </c>
    </row>
    <row r="2988" spans="2:2" x14ac:dyDescent="0.25">
      <c r="B2988" s="1">
        <v>9.6</v>
      </c>
    </row>
    <row r="2989" spans="2:2" x14ac:dyDescent="0.25">
      <c r="B2989" s="1">
        <v>15.2</v>
      </c>
    </row>
    <row r="2990" spans="2:2" x14ac:dyDescent="0.25">
      <c r="B2990" s="1">
        <v>36</v>
      </c>
    </row>
    <row r="2991" spans="2:2" x14ac:dyDescent="0.25">
      <c r="B2991" s="1">
        <v>40</v>
      </c>
    </row>
    <row r="2992" spans="2:2" x14ac:dyDescent="0.25">
      <c r="B2992" s="1">
        <v>40</v>
      </c>
    </row>
    <row r="2993" spans="2:2" x14ac:dyDescent="0.25">
      <c r="B2993" s="1">
        <v>8.8000000000000007</v>
      </c>
    </row>
    <row r="2994" spans="2:2" x14ac:dyDescent="0.25">
      <c r="B2994" s="1">
        <v>10</v>
      </c>
    </row>
    <row r="2995" spans="2:2" x14ac:dyDescent="0.25">
      <c r="B2995" s="1">
        <v>18</v>
      </c>
    </row>
    <row r="2996" spans="2:2" x14ac:dyDescent="0.25">
      <c r="B2996" s="1">
        <v>28</v>
      </c>
    </row>
    <row r="2997" spans="2:2" x14ac:dyDescent="0.25">
      <c r="B2997" s="1">
        <v>22</v>
      </c>
    </row>
    <row r="2998" spans="2:2" x14ac:dyDescent="0.25">
      <c r="B2998" s="1">
        <v>79.64</v>
      </c>
    </row>
    <row r="2999" spans="2:2" x14ac:dyDescent="0.25">
      <c r="B2999" s="1">
        <v>9.6</v>
      </c>
    </row>
    <row r="3000" spans="2:2" x14ac:dyDescent="0.25">
      <c r="B3000" s="1">
        <v>36</v>
      </c>
    </row>
    <row r="3001" spans="2:2" x14ac:dyDescent="0.25">
      <c r="B3001" s="1">
        <v>51.64</v>
      </c>
    </row>
    <row r="3002" spans="2:2" x14ac:dyDescent="0.25">
      <c r="B3002" s="1">
        <v>28</v>
      </c>
    </row>
    <row r="3003" spans="2:2" x14ac:dyDescent="0.25">
      <c r="B3003" s="1">
        <v>11.6</v>
      </c>
    </row>
    <row r="3004" spans="2:2" x14ac:dyDescent="0.25">
      <c r="B3004" s="1">
        <v>18</v>
      </c>
    </row>
    <row r="3005" spans="2:2" x14ac:dyDescent="0.25">
      <c r="B3005" s="1">
        <v>8.3999999999999986</v>
      </c>
    </row>
    <row r="3006" spans="2:2" x14ac:dyDescent="0.25">
      <c r="B3006" s="1">
        <v>12</v>
      </c>
    </row>
    <row r="3007" spans="2:2" x14ac:dyDescent="0.25">
      <c r="B3007" s="1">
        <v>8.8000000000000007</v>
      </c>
    </row>
    <row r="3008" spans="2:2" x14ac:dyDescent="0.25">
      <c r="B3008" s="1">
        <v>40</v>
      </c>
    </row>
    <row r="3009" spans="2:2" x14ac:dyDescent="0.25">
      <c r="B3009" s="1">
        <v>7.6</v>
      </c>
    </row>
    <row r="3010" spans="2:2" x14ac:dyDescent="0.25">
      <c r="B3010" s="1">
        <v>20</v>
      </c>
    </row>
    <row r="3011" spans="2:2" x14ac:dyDescent="0.25">
      <c r="B3011" s="1">
        <v>51.64</v>
      </c>
    </row>
    <row r="3012" spans="2:2" x14ac:dyDescent="0.25">
      <c r="B3012" s="1">
        <v>8</v>
      </c>
    </row>
    <row r="3013" spans="2:2" x14ac:dyDescent="0.25">
      <c r="B3013" s="1">
        <v>10</v>
      </c>
    </row>
    <row r="3014" spans="2:2" x14ac:dyDescent="0.25">
      <c r="B3014" s="1">
        <v>8</v>
      </c>
    </row>
    <row r="3015" spans="2:2" x14ac:dyDescent="0.25">
      <c r="B3015" s="1">
        <v>18</v>
      </c>
    </row>
    <row r="3016" spans="2:2" x14ac:dyDescent="0.25">
      <c r="B3016" s="1">
        <v>51.64</v>
      </c>
    </row>
    <row r="3017" spans="2:2" x14ac:dyDescent="0.25">
      <c r="B3017" s="1">
        <v>22</v>
      </c>
    </row>
    <row r="3018" spans="2:2" x14ac:dyDescent="0.25">
      <c r="B3018" s="1">
        <v>28</v>
      </c>
    </row>
    <row r="3019" spans="2:2" x14ac:dyDescent="0.25">
      <c r="B3019" s="1">
        <v>15.2</v>
      </c>
    </row>
    <row r="3020" spans="2:2" x14ac:dyDescent="0.25">
      <c r="B3020" s="1">
        <v>8.8000000000000007</v>
      </c>
    </row>
    <row r="3021" spans="2:2" x14ac:dyDescent="0.25">
      <c r="B3021" s="1">
        <v>8.3999999999999986</v>
      </c>
    </row>
    <row r="3022" spans="2:2" x14ac:dyDescent="0.25">
      <c r="B3022" s="1">
        <v>6</v>
      </c>
    </row>
    <row r="3023" spans="2:2" x14ac:dyDescent="0.25">
      <c r="B3023" s="1">
        <v>9.6</v>
      </c>
    </row>
    <row r="3024" spans="2:2" x14ac:dyDescent="0.25">
      <c r="B3024" s="1">
        <v>79.64</v>
      </c>
    </row>
    <row r="3025" spans="2:2" x14ac:dyDescent="0.25">
      <c r="B3025" s="1">
        <v>36</v>
      </c>
    </row>
    <row r="3026" spans="2:2" x14ac:dyDescent="0.25">
      <c r="B3026" s="1">
        <v>11.6</v>
      </c>
    </row>
    <row r="3027" spans="2:2" x14ac:dyDescent="0.25">
      <c r="B3027" s="1">
        <v>22</v>
      </c>
    </row>
    <row r="3028" spans="2:2" x14ac:dyDescent="0.25">
      <c r="B3028" s="1">
        <v>19.600000000000001</v>
      </c>
    </row>
    <row r="3029" spans="2:2" x14ac:dyDescent="0.25">
      <c r="B3029" s="1">
        <v>20.8</v>
      </c>
    </row>
    <row r="3030" spans="2:2" x14ac:dyDescent="0.25">
      <c r="B3030" s="1">
        <v>7.6</v>
      </c>
    </row>
    <row r="3031" spans="2:2" x14ac:dyDescent="0.25">
      <c r="B3031" s="1">
        <v>40</v>
      </c>
    </row>
    <row r="3032" spans="2:2" x14ac:dyDescent="0.25">
      <c r="B3032" s="1">
        <v>7.6</v>
      </c>
    </row>
    <row r="3033" spans="2:2" x14ac:dyDescent="0.25">
      <c r="B3033" s="1">
        <v>8</v>
      </c>
    </row>
    <row r="3034" spans="2:2" x14ac:dyDescent="0.25">
      <c r="B3034" s="1">
        <v>51.64</v>
      </c>
    </row>
    <row r="3035" spans="2:2" x14ac:dyDescent="0.25">
      <c r="B3035" s="1">
        <v>11.6</v>
      </c>
    </row>
    <row r="3036" spans="2:2" x14ac:dyDescent="0.25">
      <c r="B3036" s="1">
        <v>8.8000000000000007</v>
      </c>
    </row>
    <row r="3037" spans="2:2" x14ac:dyDescent="0.25">
      <c r="B3037" s="1">
        <v>18</v>
      </c>
    </row>
    <row r="3038" spans="2:2" x14ac:dyDescent="0.25">
      <c r="B3038" s="1">
        <v>7.6</v>
      </c>
    </row>
    <row r="3039" spans="2:2" x14ac:dyDescent="0.25">
      <c r="B3039" s="1">
        <v>8</v>
      </c>
    </row>
    <row r="3040" spans="2:2" x14ac:dyDescent="0.25">
      <c r="B3040" s="1">
        <v>51.64</v>
      </c>
    </row>
    <row r="3041" spans="2:2" x14ac:dyDescent="0.25">
      <c r="B3041" s="1">
        <v>6</v>
      </c>
    </row>
    <row r="3042" spans="2:2" x14ac:dyDescent="0.25">
      <c r="B3042" s="1">
        <v>8.8000000000000007</v>
      </c>
    </row>
    <row r="3043" spans="2:2" x14ac:dyDescent="0.25">
      <c r="B3043" s="1">
        <v>10</v>
      </c>
    </row>
    <row r="3044" spans="2:2" x14ac:dyDescent="0.25">
      <c r="B3044" s="1">
        <v>5.6</v>
      </c>
    </row>
    <row r="3045" spans="2:2" x14ac:dyDescent="0.25">
      <c r="B3045" s="1">
        <v>11.6</v>
      </c>
    </row>
    <row r="3046" spans="2:2" x14ac:dyDescent="0.25">
      <c r="B3046" s="1">
        <v>22</v>
      </c>
    </row>
    <row r="3047" spans="2:2" x14ac:dyDescent="0.25">
      <c r="B3047" s="1">
        <v>20.8</v>
      </c>
    </row>
    <row r="3048" spans="2:2" x14ac:dyDescent="0.25">
      <c r="B3048" s="1">
        <v>40</v>
      </c>
    </row>
    <row r="3049" spans="2:2" x14ac:dyDescent="0.25">
      <c r="B3049" s="1">
        <v>51.64</v>
      </c>
    </row>
    <row r="3050" spans="2:2" x14ac:dyDescent="0.25">
      <c r="B3050" s="1">
        <v>12</v>
      </c>
    </row>
    <row r="3051" spans="2:2" x14ac:dyDescent="0.25">
      <c r="B3051" s="1">
        <v>8.3999999999999986</v>
      </c>
    </row>
    <row r="3052" spans="2:2" x14ac:dyDescent="0.25">
      <c r="B3052" s="1">
        <v>19.600000000000001</v>
      </c>
    </row>
    <row r="3053" spans="2:2" x14ac:dyDescent="0.25">
      <c r="B3053" s="1">
        <v>22</v>
      </c>
    </row>
    <row r="3054" spans="2:2" x14ac:dyDescent="0.25">
      <c r="B3054" s="1">
        <v>7.6</v>
      </c>
    </row>
    <row r="3055" spans="2:2" x14ac:dyDescent="0.25">
      <c r="B3055" s="1">
        <v>8.8000000000000007</v>
      </c>
    </row>
    <row r="3056" spans="2:2" x14ac:dyDescent="0.25">
      <c r="B3056" s="1">
        <v>79.64</v>
      </c>
    </row>
    <row r="3057" spans="2:2" x14ac:dyDescent="0.25">
      <c r="B3057" s="1">
        <v>36</v>
      </c>
    </row>
    <row r="3058" spans="2:2" x14ac:dyDescent="0.25">
      <c r="B3058" s="1">
        <v>10</v>
      </c>
    </row>
    <row r="3059" spans="2:2" x14ac:dyDescent="0.25">
      <c r="B3059" s="1">
        <v>36</v>
      </c>
    </row>
    <row r="3060" spans="2:2" x14ac:dyDescent="0.25">
      <c r="B3060" s="1">
        <v>8</v>
      </c>
    </row>
    <row r="3061" spans="2:2" x14ac:dyDescent="0.25">
      <c r="B3061" s="1">
        <v>18</v>
      </c>
    </row>
    <row r="3062" spans="2:2" x14ac:dyDescent="0.25">
      <c r="B3062" s="1">
        <v>8</v>
      </c>
    </row>
    <row r="3063" spans="2:2" x14ac:dyDescent="0.25">
      <c r="B3063" s="1">
        <v>7.6</v>
      </c>
    </row>
    <row r="3064" spans="2:2" x14ac:dyDescent="0.25">
      <c r="B3064" s="1">
        <v>10</v>
      </c>
    </row>
    <row r="3065" spans="2:2" x14ac:dyDescent="0.25">
      <c r="B3065" s="1">
        <v>51.64</v>
      </c>
    </row>
    <row r="3066" spans="2:2" x14ac:dyDescent="0.25">
      <c r="B3066" s="1">
        <v>8.3999999999999986</v>
      </c>
    </row>
    <row r="3067" spans="2:2" x14ac:dyDescent="0.25">
      <c r="B3067" s="1">
        <v>12</v>
      </c>
    </row>
    <row r="3068" spans="2:2" x14ac:dyDescent="0.25">
      <c r="B3068" s="1">
        <v>8.8000000000000007</v>
      </c>
    </row>
    <row r="3069" spans="2:2" x14ac:dyDescent="0.25">
      <c r="B3069" s="1">
        <v>79.64</v>
      </c>
    </row>
    <row r="3070" spans="2:2" x14ac:dyDescent="0.25">
      <c r="B3070" s="1">
        <v>18</v>
      </c>
    </row>
    <row r="3071" spans="2:2" x14ac:dyDescent="0.25">
      <c r="B3071" s="1">
        <v>8</v>
      </c>
    </row>
    <row r="3072" spans="2:2" x14ac:dyDescent="0.25">
      <c r="B3072" s="1">
        <v>36</v>
      </c>
    </row>
    <row r="3073" spans="2:2" x14ac:dyDescent="0.25">
      <c r="B3073" s="1">
        <v>5.6</v>
      </c>
    </row>
    <row r="3074" spans="2:2" x14ac:dyDescent="0.25">
      <c r="B3074" s="1">
        <v>6</v>
      </c>
    </row>
    <row r="3075" spans="2:2" x14ac:dyDescent="0.25">
      <c r="B3075" s="1">
        <v>8.8000000000000007</v>
      </c>
    </row>
    <row r="3076" spans="2:2" x14ac:dyDescent="0.25">
      <c r="B3076" s="1">
        <v>51.64</v>
      </c>
    </row>
    <row r="3077" spans="2:2" x14ac:dyDescent="0.25">
      <c r="B3077" s="1">
        <v>11.6</v>
      </c>
    </row>
    <row r="3078" spans="2:2" x14ac:dyDescent="0.25">
      <c r="B3078" s="1">
        <v>8</v>
      </c>
    </row>
    <row r="3079" spans="2:2" x14ac:dyDescent="0.25">
      <c r="B3079" s="1">
        <v>19.600000000000001</v>
      </c>
    </row>
    <row r="3080" spans="2:2" x14ac:dyDescent="0.25">
      <c r="B3080" s="1">
        <v>79.64</v>
      </c>
    </row>
    <row r="3081" spans="2:2" x14ac:dyDescent="0.25">
      <c r="B3081" s="1">
        <v>15.2</v>
      </c>
    </row>
    <row r="3082" spans="2:2" x14ac:dyDescent="0.25">
      <c r="B3082" s="1">
        <v>8.3999999999999986</v>
      </c>
    </row>
    <row r="3083" spans="2:2" x14ac:dyDescent="0.25">
      <c r="B3083" s="1">
        <v>12</v>
      </c>
    </row>
    <row r="3084" spans="2:2" x14ac:dyDescent="0.25">
      <c r="B3084" s="1">
        <v>8.8000000000000007</v>
      </c>
    </row>
    <row r="3085" spans="2:2" x14ac:dyDescent="0.25">
      <c r="B3085" s="1">
        <v>36</v>
      </c>
    </row>
    <row r="3086" spans="2:2" x14ac:dyDescent="0.25">
      <c r="B3086" s="1">
        <v>8</v>
      </c>
    </row>
    <row r="3087" spans="2:2" x14ac:dyDescent="0.25">
      <c r="B3087" s="1">
        <v>22</v>
      </c>
    </row>
    <row r="3088" spans="2:2" x14ac:dyDescent="0.25">
      <c r="B3088" s="1">
        <v>19.600000000000001</v>
      </c>
    </row>
    <row r="3089" spans="2:2" x14ac:dyDescent="0.25">
      <c r="B3089" s="1">
        <v>79.64</v>
      </c>
    </row>
    <row r="3090" spans="2:2" x14ac:dyDescent="0.25">
      <c r="B3090" s="1">
        <v>5.6</v>
      </c>
    </row>
    <row r="3091" spans="2:2" x14ac:dyDescent="0.25">
      <c r="B3091" s="1">
        <v>6</v>
      </c>
    </row>
    <row r="3092" spans="2:2" x14ac:dyDescent="0.25">
      <c r="B3092" s="1">
        <v>8.8000000000000007</v>
      </c>
    </row>
    <row r="3093" spans="2:2" x14ac:dyDescent="0.25">
      <c r="B3093" s="1">
        <v>18</v>
      </c>
    </row>
    <row r="3094" spans="2:2" x14ac:dyDescent="0.25">
      <c r="B3094" s="1">
        <v>10</v>
      </c>
    </row>
    <row r="3095" spans="2:2" x14ac:dyDescent="0.25">
      <c r="B3095" s="1">
        <v>51.64</v>
      </c>
    </row>
    <row r="3096" spans="2:2" x14ac:dyDescent="0.25">
      <c r="B3096" s="1">
        <v>19.600000000000001</v>
      </c>
    </row>
    <row r="3097" spans="2:2" x14ac:dyDescent="0.25">
      <c r="B3097" s="1">
        <v>7.6</v>
      </c>
    </row>
    <row r="3098" spans="2:2" x14ac:dyDescent="0.25">
      <c r="B3098" s="1">
        <v>8.8000000000000007</v>
      </c>
    </row>
    <row r="3099" spans="2:2" x14ac:dyDescent="0.25">
      <c r="B3099" s="1">
        <v>22</v>
      </c>
    </row>
    <row r="3100" spans="2:2" x14ac:dyDescent="0.25">
      <c r="B3100" s="1">
        <v>8</v>
      </c>
    </row>
    <row r="3101" spans="2:2" x14ac:dyDescent="0.25">
      <c r="B3101" s="1">
        <v>5.6</v>
      </c>
    </row>
    <row r="3102" spans="2:2" x14ac:dyDescent="0.25">
      <c r="B3102" s="1">
        <v>6</v>
      </c>
    </row>
    <row r="3103" spans="2:2" x14ac:dyDescent="0.25">
      <c r="B3103" s="1">
        <v>8.8000000000000007</v>
      </c>
    </row>
    <row r="3104" spans="2:2" x14ac:dyDescent="0.25">
      <c r="B3104" s="1">
        <v>18</v>
      </c>
    </row>
    <row r="3105" spans="2:2" x14ac:dyDescent="0.25">
      <c r="B3105" s="1">
        <v>19.600000000000001</v>
      </c>
    </row>
    <row r="3106" spans="2:2" x14ac:dyDescent="0.25">
      <c r="B3106" s="1">
        <v>5.6</v>
      </c>
    </row>
    <row r="3107" spans="2:2" x14ac:dyDescent="0.25">
      <c r="B3107" s="1">
        <v>6</v>
      </c>
    </row>
    <row r="3108" spans="2:2" x14ac:dyDescent="0.25">
      <c r="B3108" s="1">
        <v>10</v>
      </c>
    </row>
    <row r="3109" spans="2:2" x14ac:dyDescent="0.25">
      <c r="B3109" s="1">
        <v>36</v>
      </c>
    </row>
    <row r="3110" spans="2:2" x14ac:dyDescent="0.25">
      <c r="B3110" s="1">
        <v>51.64</v>
      </c>
    </row>
    <row r="3111" spans="2:2" x14ac:dyDescent="0.25">
      <c r="B3111" s="1">
        <v>2.8</v>
      </c>
    </row>
    <row r="3112" spans="2:2" x14ac:dyDescent="0.25">
      <c r="B3112" s="1">
        <v>7.6</v>
      </c>
    </row>
    <row r="3113" spans="2:2" x14ac:dyDescent="0.25">
      <c r="B3113" s="1">
        <v>8</v>
      </c>
    </row>
    <row r="3114" spans="2:2" x14ac:dyDescent="0.25">
      <c r="B3114" s="1">
        <v>10</v>
      </c>
    </row>
    <row r="3115" spans="2:2" x14ac:dyDescent="0.25">
      <c r="B3115" s="1">
        <v>5.6</v>
      </c>
    </row>
    <row r="3116" spans="2:2" x14ac:dyDescent="0.25">
      <c r="B3116" s="1">
        <v>6</v>
      </c>
    </row>
    <row r="3117" spans="2:2" x14ac:dyDescent="0.25">
      <c r="B3117" s="1">
        <v>5.6</v>
      </c>
    </row>
    <row r="3118" spans="2:2" x14ac:dyDescent="0.25">
      <c r="B3118" s="1">
        <v>6</v>
      </c>
    </row>
    <row r="3119" spans="2:2" x14ac:dyDescent="0.25">
      <c r="B3119" s="1">
        <v>8.8000000000000007</v>
      </c>
    </row>
    <row r="3120" spans="2:2" x14ac:dyDescent="0.25">
      <c r="B3120" s="1">
        <v>8</v>
      </c>
    </row>
    <row r="3121" spans="2:2" x14ac:dyDescent="0.25">
      <c r="B3121" s="1">
        <v>19.600000000000001</v>
      </c>
    </row>
    <row r="3122" spans="2:2" x14ac:dyDescent="0.25">
      <c r="B3122" s="1">
        <v>36</v>
      </c>
    </row>
    <row r="3123" spans="2:2" x14ac:dyDescent="0.25">
      <c r="B3123" s="1">
        <v>51.64</v>
      </c>
    </row>
    <row r="3124" spans="2:2" x14ac:dyDescent="0.25">
      <c r="B3124" s="1">
        <v>8</v>
      </c>
    </row>
    <row r="3125" spans="2:2" x14ac:dyDescent="0.25">
      <c r="B3125" s="1">
        <v>7.6</v>
      </c>
    </row>
    <row r="3126" spans="2:2" x14ac:dyDescent="0.25">
      <c r="B3126" s="1">
        <v>5.6</v>
      </c>
    </row>
    <row r="3127" spans="2:2" x14ac:dyDescent="0.25">
      <c r="B3127" s="1">
        <v>6</v>
      </c>
    </row>
    <row r="3128" spans="2:2" x14ac:dyDescent="0.25">
      <c r="B3128" s="1">
        <v>8.8000000000000007</v>
      </c>
    </row>
    <row r="3129" spans="2:2" x14ac:dyDescent="0.25">
      <c r="B3129" s="1">
        <v>5.6</v>
      </c>
    </row>
    <row r="3130" spans="2:2" x14ac:dyDescent="0.25">
      <c r="B3130" s="1">
        <v>7.6</v>
      </c>
    </row>
    <row r="3131" spans="2:2" x14ac:dyDescent="0.25">
      <c r="B3131" s="1">
        <v>5.6</v>
      </c>
    </row>
    <row r="3132" spans="2:2" x14ac:dyDescent="0.25">
      <c r="B3132" s="1">
        <v>6</v>
      </c>
    </row>
    <row r="3133" spans="2:2" x14ac:dyDescent="0.25">
      <c r="B3133" s="1">
        <v>8.8000000000000007</v>
      </c>
    </row>
    <row r="3134" spans="2:2" x14ac:dyDescent="0.25">
      <c r="B3134" s="1">
        <v>19.600000000000001</v>
      </c>
    </row>
    <row r="3135" spans="2:2" x14ac:dyDescent="0.25">
      <c r="B3135" s="1">
        <v>36</v>
      </c>
    </row>
    <row r="3136" spans="2:2" x14ac:dyDescent="0.25">
      <c r="B3136" s="1">
        <v>40</v>
      </c>
    </row>
    <row r="3137" spans="2:2" x14ac:dyDescent="0.25">
      <c r="B3137" s="1">
        <v>51.64</v>
      </c>
    </row>
    <row r="3138" spans="2:2" x14ac:dyDescent="0.25">
      <c r="B3138" s="1">
        <v>11.6</v>
      </c>
    </row>
    <row r="3139" spans="2:2" x14ac:dyDescent="0.25">
      <c r="B3139" s="1">
        <v>10</v>
      </c>
    </row>
    <row r="3140" spans="2:2" x14ac:dyDescent="0.25">
      <c r="B3140" s="1">
        <v>5.6</v>
      </c>
    </row>
    <row r="3141" spans="2:2" x14ac:dyDescent="0.25">
      <c r="B3141" s="1">
        <v>6</v>
      </c>
    </row>
    <row r="3142" spans="2:2" x14ac:dyDescent="0.25">
      <c r="B3142" s="1">
        <v>8.8000000000000007</v>
      </c>
    </row>
    <row r="3143" spans="2:2" x14ac:dyDescent="0.25">
      <c r="B3143" s="1">
        <v>7.6</v>
      </c>
    </row>
    <row r="3144" spans="2:2" x14ac:dyDescent="0.25">
      <c r="B3144" s="1">
        <v>19.600000000000001</v>
      </c>
    </row>
    <row r="3145" spans="2:2" x14ac:dyDescent="0.25">
      <c r="B3145" s="1">
        <v>36</v>
      </c>
    </row>
    <row r="3146" spans="2:2" x14ac:dyDescent="0.25">
      <c r="B3146" s="1">
        <v>22</v>
      </c>
    </row>
    <row r="3147" spans="2:2" x14ac:dyDescent="0.25">
      <c r="B3147" s="1">
        <v>18</v>
      </c>
    </row>
    <row r="3148" spans="2:2" x14ac:dyDescent="0.25">
      <c r="B3148" s="1">
        <v>51.64</v>
      </c>
    </row>
    <row r="3149" spans="2:2" x14ac:dyDescent="0.25">
      <c r="B3149" s="1">
        <v>11.6</v>
      </c>
    </row>
    <row r="3150" spans="2:2" x14ac:dyDescent="0.25">
      <c r="B3150" s="1">
        <v>7.6</v>
      </c>
    </row>
    <row r="3151" spans="2:2" x14ac:dyDescent="0.25">
      <c r="B3151" s="1">
        <v>8</v>
      </c>
    </row>
    <row r="3152" spans="2:2" x14ac:dyDescent="0.25">
      <c r="B3152" s="1">
        <v>8</v>
      </c>
    </row>
    <row r="3153" spans="2:2" x14ac:dyDescent="0.25">
      <c r="B3153" s="1">
        <v>6</v>
      </c>
    </row>
    <row r="3154" spans="2:2" x14ac:dyDescent="0.25">
      <c r="B3154" s="1">
        <v>5.6</v>
      </c>
    </row>
    <row r="3155" spans="2:2" x14ac:dyDescent="0.25">
      <c r="B3155" s="1">
        <v>79.64</v>
      </c>
    </row>
    <row r="3156" spans="2:2" x14ac:dyDescent="0.25">
      <c r="B3156" s="1">
        <v>51.64</v>
      </c>
    </row>
    <row r="3157" spans="2:2" x14ac:dyDescent="0.25">
      <c r="B3157" s="1">
        <v>7.6</v>
      </c>
    </row>
    <row r="3158" spans="2:2" x14ac:dyDescent="0.25">
      <c r="B3158" s="1">
        <v>5.6</v>
      </c>
    </row>
    <row r="3159" spans="2:2" x14ac:dyDescent="0.25">
      <c r="B3159" s="1">
        <v>6</v>
      </c>
    </row>
    <row r="3160" spans="2:2" x14ac:dyDescent="0.25">
      <c r="B3160" s="1">
        <v>8.8000000000000007</v>
      </c>
    </row>
    <row r="3161" spans="2:2" x14ac:dyDescent="0.25">
      <c r="B3161" s="1">
        <v>36</v>
      </c>
    </row>
    <row r="3162" spans="2:2" x14ac:dyDescent="0.25">
      <c r="B3162" s="1">
        <v>8</v>
      </c>
    </row>
    <row r="3163" spans="2:2" x14ac:dyDescent="0.25">
      <c r="B3163" s="1">
        <v>40</v>
      </c>
    </row>
    <row r="3164" spans="2:2" x14ac:dyDescent="0.25">
      <c r="B3164" s="1">
        <v>5.6</v>
      </c>
    </row>
    <row r="3165" spans="2:2" x14ac:dyDescent="0.25">
      <c r="B3165" s="1">
        <v>10</v>
      </c>
    </row>
    <row r="3166" spans="2:2" x14ac:dyDescent="0.25">
      <c r="B3166" s="1">
        <v>6</v>
      </c>
    </row>
    <row r="3167" spans="2:2" x14ac:dyDescent="0.25">
      <c r="B3167" s="1">
        <v>8</v>
      </c>
    </row>
    <row r="3168" spans="2:2" x14ac:dyDescent="0.25">
      <c r="B3168" s="1">
        <v>6.8</v>
      </c>
    </row>
    <row r="3169" spans="2:2" x14ac:dyDescent="0.25">
      <c r="B3169" s="1">
        <v>12.8</v>
      </c>
    </row>
    <row r="3170" spans="2:2" x14ac:dyDescent="0.25">
      <c r="B3170" s="1">
        <v>40</v>
      </c>
    </row>
    <row r="3171" spans="2:2" x14ac:dyDescent="0.25">
      <c r="B3171" s="1">
        <v>51.64</v>
      </c>
    </row>
    <row r="3172" spans="2:2" x14ac:dyDescent="0.25">
      <c r="B3172" s="1">
        <v>7.6</v>
      </c>
    </row>
    <row r="3173" spans="2:2" x14ac:dyDescent="0.25">
      <c r="B3173" s="1">
        <v>7.2</v>
      </c>
    </row>
    <row r="3174" spans="2:2" x14ac:dyDescent="0.25">
      <c r="B3174" s="1">
        <v>36</v>
      </c>
    </row>
    <row r="3175" spans="2:2" x14ac:dyDescent="0.25">
      <c r="B3175" s="1">
        <v>8.8000000000000007</v>
      </c>
    </row>
    <row r="3176" spans="2:2" x14ac:dyDescent="0.25">
      <c r="B3176" s="1">
        <v>19.600000000000001</v>
      </c>
    </row>
    <row r="3177" spans="2:2" x14ac:dyDescent="0.25">
      <c r="B3177" s="1">
        <v>16</v>
      </c>
    </row>
    <row r="3178" spans="2:2" x14ac:dyDescent="0.25">
      <c r="B3178" s="1">
        <v>22</v>
      </c>
    </row>
    <row r="3179" spans="2:2" x14ac:dyDescent="0.25">
      <c r="B3179" s="1">
        <v>10</v>
      </c>
    </row>
    <row r="3180" spans="2:2" x14ac:dyDescent="0.25">
      <c r="B3180" s="1">
        <v>79.64</v>
      </c>
    </row>
    <row r="3181" spans="2:2" x14ac:dyDescent="0.25">
      <c r="B3181" s="1">
        <v>18</v>
      </c>
    </row>
    <row r="3182" spans="2:2" x14ac:dyDescent="0.25">
      <c r="B3182" s="1">
        <v>51.64</v>
      </c>
    </row>
    <row r="3183" spans="2:2" x14ac:dyDescent="0.25">
      <c r="B3183" s="1">
        <v>8.3999999999999986</v>
      </c>
    </row>
    <row r="3184" spans="2:2" x14ac:dyDescent="0.25">
      <c r="B3184" s="1">
        <v>22</v>
      </c>
    </row>
    <row r="3185" spans="2:2" x14ac:dyDescent="0.25">
      <c r="B3185" s="1">
        <v>8.8000000000000007</v>
      </c>
    </row>
    <row r="3186" spans="2:2" x14ac:dyDescent="0.25">
      <c r="B3186" s="1">
        <v>15.2</v>
      </c>
    </row>
    <row r="3187" spans="2:2" x14ac:dyDescent="0.25">
      <c r="B3187" s="1">
        <v>40</v>
      </c>
    </row>
    <row r="3188" spans="2:2" x14ac:dyDescent="0.25">
      <c r="B3188" s="1">
        <v>8</v>
      </c>
    </row>
    <row r="3189" spans="2:2" x14ac:dyDescent="0.25">
      <c r="B3189" s="1">
        <v>11.6</v>
      </c>
    </row>
    <row r="3190" spans="2:2" x14ac:dyDescent="0.25">
      <c r="B3190" s="1">
        <v>8.3999999999999986</v>
      </c>
    </row>
    <row r="3191" spans="2:2" x14ac:dyDescent="0.25">
      <c r="B3191" s="1">
        <v>6.8</v>
      </c>
    </row>
    <row r="3192" spans="2:2" x14ac:dyDescent="0.25">
      <c r="B3192" s="1">
        <v>7.2</v>
      </c>
    </row>
    <row r="3193" spans="2:2" x14ac:dyDescent="0.25">
      <c r="B3193" s="1">
        <v>6</v>
      </c>
    </row>
    <row r="3194" spans="2:2" x14ac:dyDescent="0.25">
      <c r="B3194" s="1">
        <v>10</v>
      </c>
    </row>
    <row r="3195" spans="2:2" x14ac:dyDescent="0.25">
      <c r="B3195" s="1">
        <v>8</v>
      </c>
    </row>
    <row r="3196" spans="2:2" x14ac:dyDescent="0.25">
      <c r="B3196" s="1">
        <v>7.6</v>
      </c>
    </row>
    <row r="3197" spans="2:2" x14ac:dyDescent="0.25">
      <c r="B3197" s="1">
        <v>8</v>
      </c>
    </row>
    <row r="3198" spans="2:2" x14ac:dyDescent="0.25">
      <c r="B3198" s="1">
        <v>51.64</v>
      </c>
    </row>
    <row r="3199" spans="2:2" x14ac:dyDescent="0.25">
      <c r="B3199" s="1">
        <v>36</v>
      </c>
    </row>
    <row r="3200" spans="2:2" x14ac:dyDescent="0.25">
      <c r="B3200" s="1">
        <v>6.4</v>
      </c>
    </row>
    <row r="3201" spans="2:2" x14ac:dyDescent="0.25">
      <c r="B3201" s="1">
        <v>8</v>
      </c>
    </row>
    <row r="3202" spans="2:2" x14ac:dyDescent="0.25">
      <c r="B3202" s="1">
        <v>51.64</v>
      </c>
    </row>
    <row r="3203" spans="2:2" x14ac:dyDescent="0.25">
      <c r="B3203" s="1">
        <v>8.3999999999999986</v>
      </c>
    </row>
    <row r="3204" spans="2:2" x14ac:dyDescent="0.25">
      <c r="B3204" s="1">
        <v>22</v>
      </c>
    </row>
    <row r="3205" spans="2:2" x14ac:dyDescent="0.25">
      <c r="B3205" s="1">
        <v>36</v>
      </c>
    </row>
    <row r="3206" spans="2:2" x14ac:dyDescent="0.25">
      <c r="B3206" s="1">
        <v>8</v>
      </c>
    </row>
    <row r="3207" spans="2:2" x14ac:dyDescent="0.25">
      <c r="B3207" s="1">
        <v>36</v>
      </c>
    </row>
    <row r="3208" spans="2:2" x14ac:dyDescent="0.25">
      <c r="B3208" s="1">
        <v>7.2</v>
      </c>
    </row>
    <row r="3209" spans="2:2" x14ac:dyDescent="0.25">
      <c r="B3209" s="1">
        <v>5.6</v>
      </c>
    </row>
    <row r="3210" spans="2:2" x14ac:dyDescent="0.25">
      <c r="B3210" s="1">
        <v>6.4</v>
      </c>
    </row>
    <row r="3211" spans="2:2" x14ac:dyDescent="0.25">
      <c r="B3211" s="1">
        <v>6</v>
      </c>
    </row>
    <row r="3212" spans="2:2" x14ac:dyDescent="0.25">
      <c r="B3212" s="1">
        <v>8</v>
      </c>
    </row>
    <row r="3213" spans="2:2" x14ac:dyDescent="0.25">
      <c r="B3213" s="1">
        <v>51.64</v>
      </c>
    </row>
    <row r="3214" spans="2:2" x14ac:dyDescent="0.25">
      <c r="B3214" s="1">
        <v>6.8</v>
      </c>
    </row>
    <row r="3215" spans="2:2" x14ac:dyDescent="0.25">
      <c r="B3215" s="1">
        <v>8.3999999999999986</v>
      </c>
    </row>
    <row r="3216" spans="2:2" x14ac:dyDescent="0.25">
      <c r="B3216" s="1">
        <v>22</v>
      </c>
    </row>
    <row r="3217" spans="2:2" x14ac:dyDescent="0.25">
      <c r="B3217" s="1">
        <v>10</v>
      </c>
    </row>
    <row r="3218" spans="2:2" x14ac:dyDescent="0.25">
      <c r="B3218" s="1">
        <v>36</v>
      </c>
    </row>
    <row r="3219" spans="2:2" x14ac:dyDescent="0.25">
      <c r="B3219" s="1">
        <v>8</v>
      </c>
    </row>
    <row r="3220" spans="2:2" x14ac:dyDescent="0.25">
      <c r="B3220" s="1">
        <v>5.6</v>
      </c>
    </row>
    <row r="3221" spans="2:2" x14ac:dyDescent="0.25">
      <c r="B3221" s="1">
        <v>6</v>
      </c>
    </row>
    <row r="3222" spans="2:2" x14ac:dyDescent="0.25">
      <c r="B3222" s="1">
        <v>8.3999999999999986</v>
      </c>
    </row>
    <row r="3223" spans="2:2" x14ac:dyDescent="0.25">
      <c r="B3223" s="1">
        <v>12</v>
      </c>
    </row>
    <row r="3224" spans="2:2" x14ac:dyDescent="0.25">
      <c r="B3224" s="1">
        <v>51.64</v>
      </c>
    </row>
    <row r="3225" spans="2:2" x14ac:dyDescent="0.25">
      <c r="B3225" s="1">
        <v>8</v>
      </c>
    </row>
    <row r="3226" spans="2:2" x14ac:dyDescent="0.25">
      <c r="B3226" s="1">
        <v>8.3999999999999986</v>
      </c>
    </row>
    <row r="3227" spans="2:2" x14ac:dyDescent="0.25">
      <c r="B3227" s="1">
        <v>12</v>
      </c>
    </row>
    <row r="3228" spans="2:2" x14ac:dyDescent="0.25">
      <c r="B3228" s="1">
        <v>8</v>
      </c>
    </row>
    <row r="3229" spans="2:2" x14ac:dyDescent="0.25">
      <c r="B3229" s="1">
        <v>36</v>
      </c>
    </row>
    <row r="3230" spans="2:2" x14ac:dyDescent="0.25">
      <c r="B3230" s="1">
        <v>51.64</v>
      </c>
    </row>
    <row r="3231" spans="2:2" x14ac:dyDescent="0.25">
      <c r="B3231" s="1">
        <v>8</v>
      </c>
    </row>
    <row r="3232" spans="2:2" x14ac:dyDescent="0.25">
      <c r="B3232" s="1">
        <v>6</v>
      </c>
    </row>
    <row r="3233" spans="2:2" x14ac:dyDescent="0.25">
      <c r="B3233" s="1">
        <v>8.3999999999999986</v>
      </c>
    </row>
    <row r="3234" spans="2:2" x14ac:dyDescent="0.25">
      <c r="B3234" s="1">
        <v>51.64</v>
      </c>
    </row>
    <row r="3235" spans="2:2" x14ac:dyDescent="0.25">
      <c r="B3235" s="1">
        <v>5.6</v>
      </c>
    </row>
    <row r="3236" spans="2:2" x14ac:dyDescent="0.25">
      <c r="B3236" s="1">
        <v>6</v>
      </c>
    </row>
    <row r="3237" spans="2:2" x14ac:dyDescent="0.25">
      <c r="B3237" s="1">
        <v>7.2</v>
      </c>
    </row>
    <row r="3238" spans="2:2" x14ac:dyDescent="0.25">
      <c r="B3238" s="1">
        <v>7.6</v>
      </c>
    </row>
    <row r="3239" spans="2:2" x14ac:dyDescent="0.25">
      <c r="B3239" s="1">
        <v>51.64</v>
      </c>
    </row>
    <row r="3240" spans="2:2" x14ac:dyDescent="0.25">
      <c r="B3240" s="1">
        <v>22</v>
      </c>
    </row>
    <row r="3241" spans="2:2" x14ac:dyDescent="0.25">
      <c r="B3241" s="1">
        <v>5.6</v>
      </c>
    </row>
    <row r="3242" spans="2:2" x14ac:dyDescent="0.25">
      <c r="B3242" s="1">
        <v>8.8000000000000007</v>
      </c>
    </row>
    <row r="3243" spans="2:2" x14ac:dyDescent="0.25">
      <c r="B3243" s="1">
        <v>36</v>
      </c>
    </row>
    <row r="3244" spans="2:2" x14ac:dyDescent="0.25">
      <c r="B3244" s="1">
        <v>8</v>
      </c>
    </row>
    <row r="3245" spans="2:2" x14ac:dyDescent="0.25">
      <c r="B3245" s="1">
        <v>6</v>
      </c>
    </row>
    <row r="3246" spans="2:2" x14ac:dyDescent="0.25">
      <c r="B3246" s="1">
        <v>8.3999999999999986</v>
      </c>
    </row>
    <row r="3247" spans="2:2" x14ac:dyDescent="0.25">
      <c r="B3247" s="1">
        <v>51.64</v>
      </c>
    </row>
    <row r="3248" spans="2:2" x14ac:dyDescent="0.25">
      <c r="B3248" s="1">
        <v>8</v>
      </c>
    </row>
    <row r="3249" spans="2:2" x14ac:dyDescent="0.25">
      <c r="B3249" s="1">
        <v>8.8000000000000007</v>
      </c>
    </row>
    <row r="3250" spans="2:2" x14ac:dyDescent="0.25">
      <c r="B3250" s="1">
        <v>22</v>
      </c>
    </row>
    <row r="3251" spans="2:2" x14ac:dyDescent="0.25">
      <c r="B3251" s="1">
        <v>51.64</v>
      </c>
    </row>
    <row r="3252" spans="2:2" x14ac:dyDescent="0.25">
      <c r="B3252" s="1">
        <v>8</v>
      </c>
    </row>
    <row r="3253" spans="2:2" x14ac:dyDescent="0.25">
      <c r="B3253" s="1">
        <v>6</v>
      </c>
    </row>
    <row r="3254" spans="2:2" x14ac:dyDescent="0.25">
      <c r="B3254" s="1">
        <v>5.6</v>
      </c>
    </row>
    <row r="3255" spans="2:2" x14ac:dyDescent="0.25">
      <c r="B3255" s="1">
        <v>8</v>
      </c>
    </row>
    <row r="3256" spans="2:2" x14ac:dyDescent="0.25">
      <c r="B3256" s="1">
        <v>51.64</v>
      </c>
    </row>
    <row r="3257" spans="2:2" x14ac:dyDescent="0.25">
      <c r="B3257" s="1">
        <v>8.8000000000000007</v>
      </c>
    </row>
    <row r="3258" spans="2:2" x14ac:dyDescent="0.25">
      <c r="B3258" s="1">
        <v>10</v>
      </c>
    </row>
    <row r="3259" spans="2:2" x14ac:dyDescent="0.25">
      <c r="B3259" s="1">
        <v>40</v>
      </c>
    </row>
    <row r="3260" spans="2:2" x14ac:dyDescent="0.25">
      <c r="B3260" s="1">
        <v>8</v>
      </c>
    </row>
    <row r="3261" spans="2:2" x14ac:dyDescent="0.25">
      <c r="B3261" s="1">
        <v>7.6</v>
      </c>
    </row>
    <row r="3262" spans="2:2" x14ac:dyDescent="0.25">
      <c r="B3262" s="1">
        <v>6</v>
      </c>
    </row>
    <row r="3263" spans="2:2" x14ac:dyDescent="0.25">
      <c r="B3263" s="1">
        <v>5.6</v>
      </c>
    </row>
    <row r="3264" spans="2:2" x14ac:dyDescent="0.25">
      <c r="B3264" s="1">
        <v>51.64</v>
      </c>
    </row>
    <row r="3265" spans="2:2" x14ac:dyDescent="0.25">
      <c r="B3265" s="1">
        <v>8</v>
      </c>
    </row>
    <row r="3266" spans="2:2" x14ac:dyDescent="0.25">
      <c r="B3266" s="1">
        <v>8.8000000000000007</v>
      </c>
    </row>
    <row r="3267" spans="2:2" x14ac:dyDescent="0.25">
      <c r="B3267" s="1">
        <v>12</v>
      </c>
    </row>
    <row r="3268" spans="2:2" x14ac:dyDescent="0.25">
      <c r="B3268" s="1">
        <v>5.6</v>
      </c>
    </row>
    <row r="3269" spans="2:2" x14ac:dyDescent="0.25">
      <c r="B3269" s="1">
        <v>51.64</v>
      </c>
    </row>
    <row r="3270" spans="2:2" x14ac:dyDescent="0.25">
      <c r="B3270" s="1">
        <v>8</v>
      </c>
    </row>
    <row r="3271" spans="2:2" x14ac:dyDescent="0.25">
      <c r="B3271" s="1">
        <v>8.8000000000000007</v>
      </c>
    </row>
    <row r="3272" spans="2:2" x14ac:dyDescent="0.25">
      <c r="B3272" s="1">
        <v>5.6</v>
      </c>
    </row>
    <row r="3273" spans="2:2" x14ac:dyDescent="0.25">
      <c r="B3273" s="1">
        <v>6</v>
      </c>
    </row>
    <row r="3274" spans="2:2" x14ac:dyDescent="0.25">
      <c r="B3274" s="1">
        <v>8</v>
      </c>
    </row>
    <row r="3275" spans="2:2" x14ac:dyDescent="0.25">
      <c r="B3275" s="1">
        <v>51.64</v>
      </c>
    </row>
    <row r="3276" spans="2:2" x14ac:dyDescent="0.25">
      <c r="B3276" s="1">
        <v>15.2</v>
      </c>
    </row>
    <row r="3277" spans="2:2" x14ac:dyDescent="0.25">
      <c r="B3277" s="1">
        <v>22</v>
      </c>
    </row>
    <row r="3278" spans="2:2" x14ac:dyDescent="0.25">
      <c r="B3278" s="1">
        <v>40</v>
      </c>
    </row>
    <row r="3279" spans="2:2" x14ac:dyDescent="0.25">
      <c r="B3279" s="1">
        <v>8</v>
      </c>
    </row>
    <row r="3280" spans="2:2" x14ac:dyDescent="0.25">
      <c r="B3280" s="1">
        <v>5.6</v>
      </c>
    </row>
    <row r="3281" spans="2:2" x14ac:dyDescent="0.25">
      <c r="B3281" s="1">
        <v>51.64</v>
      </c>
    </row>
    <row r="3282" spans="2:2" x14ac:dyDescent="0.25">
      <c r="B3282" s="1">
        <v>7.6</v>
      </c>
    </row>
    <row r="3283" spans="2:2" x14ac:dyDescent="0.25">
      <c r="B3283" s="1">
        <v>8</v>
      </c>
    </row>
    <row r="3284" spans="2:2" x14ac:dyDescent="0.25">
      <c r="B3284" s="1">
        <v>8.8000000000000007</v>
      </c>
    </row>
    <row r="3285" spans="2:2" x14ac:dyDescent="0.25">
      <c r="B3285" s="1">
        <v>51.64</v>
      </c>
    </row>
    <row r="3286" spans="2:2" x14ac:dyDescent="0.25">
      <c r="B3286" s="1">
        <v>8.3999999999999986</v>
      </c>
    </row>
    <row r="3287" spans="2:2" x14ac:dyDescent="0.25">
      <c r="B3287" s="1">
        <v>6</v>
      </c>
    </row>
    <row r="3288" spans="2:2" x14ac:dyDescent="0.25">
      <c r="B3288" s="1">
        <v>8</v>
      </c>
    </row>
    <row r="3289" spans="2:2" x14ac:dyDescent="0.25">
      <c r="B3289" s="1">
        <v>5.6</v>
      </c>
    </row>
    <row r="3290" spans="2:2" x14ac:dyDescent="0.25">
      <c r="B3290" s="1">
        <v>6</v>
      </c>
    </row>
    <row r="3291" spans="2:2" x14ac:dyDescent="0.25">
      <c r="B3291" s="1">
        <v>8</v>
      </c>
    </row>
    <row r="3292" spans="2:2" x14ac:dyDescent="0.25">
      <c r="B3292" s="1">
        <v>51.64</v>
      </c>
    </row>
    <row r="3293" spans="2:2" x14ac:dyDescent="0.25">
      <c r="B3293" s="1">
        <v>8.8000000000000007</v>
      </c>
    </row>
    <row r="3294" spans="2:2" x14ac:dyDescent="0.25">
      <c r="B3294" s="1">
        <v>8</v>
      </c>
    </row>
    <row r="3295" spans="2:2" x14ac:dyDescent="0.25">
      <c r="B3295" s="1">
        <v>6</v>
      </c>
    </row>
    <row r="3296" spans="2:2" x14ac:dyDescent="0.25">
      <c r="B3296" s="1">
        <v>36</v>
      </c>
    </row>
    <row r="3297" spans="2:2" x14ac:dyDescent="0.25">
      <c r="B3297" s="1">
        <v>8</v>
      </c>
    </row>
    <row r="3298" spans="2:2" x14ac:dyDescent="0.25">
      <c r="B3298" s="1">
        <v>5.6</v>
      </c>
    </row>
    <row r="3299" spans="2:2" x14ac:dyDescent="0.25">
      <c r="B3299" s="1">
        <v>7.6</v>
      </c>
    </row>
    <row r="3300" spans="2:2" x14ac:dyDescent="0.25">
      <c r="B3300" s="1">
        <v>8</v>
      </c>
    </row>
    <row r="3301" spans="2:2" x14ac:dyDescent="0.25">
      <c r="B3301" s="1">
        <v>8.8000000000000007</v>
      </c>
    </row>
    <row r="3302" spans="2:2" x14ac:dyDescent="0.25">
      <c r="B3302" s="1">
        <v>5.6</v>
      </c>
    </row>
    <row r="3303" spans="2:2" x14ac:dyDescent="0.25">
      <c r="B3303" s="1">
        <v>6</v>
      </c>
    </row>
    <row r="3304" spans="2:2" x14ac:dyDescent="0.25">
      <c r="B3304" s="1">
        <v>51.64</v>
      </c>
    </row>
    <row r="3305" spans="2:2" x14ac:dyDescent="0.25">
      <c r="B3305" s="1">
        <v>40</v>
      </c>
    </row>
    <row r="3306" spans="2:2" x14ac:dyDescent="0.25">
      <c r="B3306" s="1">
        <v>8</v>
      </c>
    </row>
    <row r="3307" spans="2:2" x14ac:dyDescent="0.25">
      <c r="B3307" s="1">
        <v>7.2</v>
      </c>
    </row>
    <row r="3308" spans="2:2" x14ac:dyDescent="0.25">
      <c r="B3308" s="1">
        <v>8</v>
      </c>
    </row>
    <row r="3309" spans="2:2" x14ac:dyDescent="0.25">
      <c r="B3309" s="1">
        <v>51.64</v>
      </c>
    </row>
    <row r="3310" spans="2:2" x14ac:dyDescent="0.25">
      <c r="B3310" s="1">
        <v>8.3999999999999986</v>
      </c>
    </row>
    <row r="3311" spans="2:2" x14ac:dyDescent="0.25">
      <c r="B3311" s="1">
        <v>6</v>
      </c>
    </row>
    <row r="3312" spans="2:2" x14ac:dyDescent="0.25">
      <c r="B3312" s="1">
        <v>8</v>
      </c>
    </row>
    <row r="3313" spans="2:2" x14ac:dyDescent="0.25">
      <c r="B3313" s="1">
        <v>8.3999999999999986</v>
      </c>
    </row>
    <row r="3314" spans="2:2" x14ac:dyDescent="0.25">
      <c r="B3314" s="1">
        <v>6</v>
      </c>
    </row>
    <row r="3315" spans="2:2" x14ac:dyDescent="0.25">
      <c r="B3315" s="1">
        <v>8</v>
      </c>
    </row>
    <row r="3316" spans="2:2" x14ac:dyDescent="0.25">
      <c r="B3316" s="1">
        <v>51.64</v>
      </c>
    </row>
    <row r="3317" spans="2:2" x14ac:dyDescent="0.25">
      <c r="B3317" s="1">
        <v>8.8000000000000007</v>
      </c>
    </row>
    <row r="3318" spans="2:2" x14ac:dyDescent="0.25">
      <c r="B3318" s="1">
        <v>7.6</v>
      </c>
    </row>
    <row r="3319" spans="2:2" x14ac:dyDescent="0.25">
      <c r="B3319" s="1">
        <v>51.64</v>
      </c>
    </row>
    <row r="3320" spans="2:2" x14ac:dyDescent="0.25">
      <c r="B3320" s="1">
        <v>40</v>
      </c>
    </row>
    <row r="3321" spans="2:2" x14ac:dyDescent="0.25">
      <c r="B3321" s="1">
        <v>10</v>
      </c>
    </row>
    <row r="3322" spans="2:2" x14ac:dyDescent="0.25">
      <c r="B3322" s="1">
        <v>6</v>
      </c>
    </row>
    <row r="3323" spans="2:2" x14ac:dyDescent="0.25">
      <c r="B3323" s="1">
        <v>8</v>
      </c>
    </row>
    <row r="3324" spans="2:2" x14ac:dyDescent="0.25">
      <c r="B3324" s="1">
        <v>8.3999999999999986</v>
      </c>
    </row>
    <row r="3325" spans="2:2" x14ac:dyDescent="0.25">
      <c r="B3325" s="1">
        <v>8</v>
      </c>
    </row>
    <row r="3326" spans="2:2" x14ac:dyDescent="0.25">
      <c r="B3326" s="1">
        <v>6</v>
      </c>
    </row>
    <row r="3327" spans="2:2" x14ac:dyDescent="0.25">
      <c r="B3327" s="1">
        <v>51.64</v>
      </c>
    </row>
    <row r="3328" spans="2:2" x14ac:dyDescent="0.25">
      <c r="B3328" s="1">
        <v>8.8000000000000007</v>
      </c>
    </row>
    <row r="3329" spans="2:2" x14ac:dyDescent="0.25">
      <c r="B3329" s="1">
        <v>15.2</v>
      </c>
    </row>
    <row r="3330" spans="2:2" x14ac:dyDescent="0.25">
      <c r="B3330" s="1">
        <v>8</v>
      </c>
    </row>
    <row r="3331" spans="2:2" x14ac:dyDescent="0.25">
      <c r="B3331" s="1">
        <v>51.64</v>
      </c>
    </row>
    <row r="3332" spans="2:2" x14ac:dyDescent="0.25">
      <c r="B3332" s="1">
        <v>8</v>
      </c>
    </row>
    <row r="3333" spans="2:2" x14ac:dyDescent="0.25">
      <c r="B3333" s="1">
        <v>5.6</v>
      </c>
    </row>
    <row r="3334" spans="2:2" x14ac:dyDescent="0.25">
      <c r="B3334" s="1">
        <v>6</v>
      </c>
    </row>
    <row r="3335" spans="2:2" x14ac:dyDescent="0.25">
      <c r="B3335" s="1">
        <v>40</v>
      </c>
    </row>
    <row r="3336" spans="2:2" x14ac:dyDescent="0.25">
      <c r="B3336" s="1">
        <v>8.8000000000000007</v>
      </c>
    </row>
    <row r="3337" spans="2:2" x14ac:dyDescent="0.25">
      <c r="B3337" s="1">
        <v>10</v>
      </c>
    </row>
    <row r="3338" spans="2:2" x14ac:dyDescent="0.25">
      <c r="B3338" s="1">
        <v>8.3999999999999986</v>
      </c>
    </row>
    <row r="3339" spans="2:2" x14ac:dyDescent="0.25">
      <c r="B3339" s="1">
        <v>22</v>
      </c>
    </row>
    <row r="3340" spans="2:2" x14ac:dyDescent="0.25">
      <c r="B3340" s="1">
        <v>36</v>
      </c>
    </row>
    <row r="3341" spans="2:2" x14ac:dyDescent="0.25">
      <c r="B3341" s="1">
        <v>6</v>
      </c>
    </row>
    <row r="3342" spans="2:2" x14ac:dyDescent="0.25">
      <c r="B3342" s="1">
        <v>8</v>
      </c>
    </row>
    <row r="3343" spans="2:2" x14ac:dyDescent="0.25">
      <c r="B3343" s="1">
        <v>15.2</v>
      </c>
    </row>
    <row r="3344" spans="2:2" x14ac:dyDescent="0.25">
      <c r="B3344" s="1">
        <v>8</v>
      </c>
    </row>
    <row r="3345" spans="2:2" x14ac:dyDescent="0.25">
      <c r="B3345" s="1">
        <v>6</v>
      </c>
    </row>
    <row r="3346" spans="2:2" x14ac:dyDescent="0.25">
      <c r="B3346" s="1">
        <v>51.64</v>
      </c>
    </row>
    <row r="3347" spans="2:2" x14ac:dyDescent="0.25">
      <c r="B3347" s="1">
        <v>8.3999999999999986</v>
      </c>
    </row>
    <row r="3348" spans="2:2" x14ac:dyDescent="0.25">
      <c r="B3348" s="1">
        <v>8.8000000000000007</v>
      </c>
    </row>
    <row r="3349" spans="2:2" x14ac:dyDescent="0.25">
      <c r="B3349" s="1">
        <v>7.6</v>
      </c>
    </row>
    <row r="3350" spans="2:2" x14ac:dyDescent="0.25">
      <c r="B3350" s="1">
        <v>6</v>
      </c>
    </row>
    <row r="3351" spans="2:2" x14ac:dyDescent="0.25">
      <c r="B3351" s="1">
        <v>8</v>
      </c>
    </row>
    <row r="3352" spans="2:2" x14ac:dyDescent="0.25">
      <c r="B3352" s="1">
        <v>8.3999999999999986</v>
      </c>
    </row>
    <row r="3353" spans="2:2" x14ac:dyDescent="0.25">
      <c r="B3353" s="1">
        <v>6</v>
      </c>
    </row>
    <row r="3354" spans="2:2" x14ac:dyDescent="0.25">
      <c r="B3354" s="1">
        <v>40</v>
      </c>
    </row>
    <row r="3355" spans="2:2" x14ac:dyDescent="0.25">
      <c r="B3355" s="1">
        <v>8.8000000000000007</v>
      </c>
    </row>
    <row r="3356" spans="2:2" x14ac:dyDescent="0.25">
      <c r="B3356" s="1">
        <v>8</v>
      </c>
    </row>
    <row r="3357" spans="2:2" x14ac:dyDescent="0.25">
      <c r="B3357" s="1">
        <v>51.64</v>
      </c>
    </row>
    <row r="3358" spans="2:2" x14ac:dyDescent="0.25">
      <c r="B3358" s="1">
        <v>5.6</v>
      </c>
    </row>
    <row r="3359" spans="2:2" x14ac:dyDescent="0.25">
      <c r="B3359" s="1">
        <v>6</v>
      </c>
    </row>
    <row r="3360" spans="2:2" x14ac:dyDescent="0.25">
      <c r="B3360" s="1">
        <v>8.8000000000000007</v>
      </c>
    </row>
    <row r="3361" spans="2:2" x14ac:dyDescent="0.25">
      <c r="B3361" s="1">
        <v>8.3999999999999986</v>
      </c>
    </row>
    <row r="3362" spans="2:2" x14ac:dyDescent="0.25">
      <c r="B3362" s="1">
        <v>6</v>
      </c>
    </row>
    <row r="3363" spans="2:2" x14ac:dyDescent="0.25">
      <c r="B3363" s="1">
        <v>8</v>
      </c>
    </row>
    <row r="3364" spans="2:2" x14ac:dyDescent="0.25">
      <c r="B3364" s="1">
        <v>51.64</v>
      </c>
    </row>
    <row r="3365" spans="2:2" x14ac:dyDescent="0.25">
      <c r="B3365" s="1">
        <v>8.8000000000000007</v>
      </c>
    </row>
    <row r="3366" spans="2:2" x14ac:dyDescent="0.25">
      <c r="B3366" s="1">
        <v>8.3999999999999986</v>
      </c>
    </row>
    <row r="3367" spans="2:2" x14ac:dyDescent="0.25">
      <c r="B3367" s="1">
        <v>6</v>
      </c>
    </row>
    <row r="3368" spans="2:2" x14ac:dyDescent="0.25">
      <c r="B3368" s="1">
        <v>8</v>
      </c>
    </row>
    <row r="3369" spans="2:2" x14ac:dyDescent="0.25">
      <c r="B3369" s="1">
        <v>10</v>
      </c>
    </row>
    <row r="3370" spans="2:2" x14ac:dyDescent="0.25">
      <c r="B3370" s="1">
        <v>8</v>
      </c>
    </row>
    <row r="3371" spans="2:2" x14ac:dyDescent="0.25">
      <c r="B3371" s="1">
        <v>51.64</v>
      </c>
    </row>
    <row r="3372" spans="2:2" x14ac:dyDescent="0.25">
      <c r="B3372" s="1">
        <v>15.2</v>
      </c>
    </row>
    <row r="3373" spans="2:2" x14ac:dyDescent="0.25">
      <c r="B3373" s="1">
        <v>8.3999999999999986</v>
      </c>
    </row>
    <row r="3374" spans="2:2" x14ac:dyDescent="0.25">
      <c r="B3374" s="1">
        <v>6</v>
      </c>
    </row>
    <row r="3375" spans="2:2" x14ac:dyDescent="0.25">
      <c r="B3375" s="1">
        <v>8</v>
      </c>
    </row>
    <row r="3376" spans="2:2" x14ac:dyDescent="0.25">
      <c r="B3376" s="1">
        <v>8.8000000000000007</v>
      </c>
    </row>
    <row r="3377" spans="2:2" x14ac:dyDescent="0.25">
      <c r="B3377" s="1">
        <v>36</v>
      </c>
    </row>
    <row r="3378" spans="2:2" x14ac:dyDescent="0.25">
      <c r="B3378" s="1">
        <v>6</v>
      </c>
    </row>
    <row r="3379" spans="2:2" x14ac:dyDescent="0.25">
      <c r="B3379" s="1">
        <v>5.6</v>
      </c>
    </row>
    <row r="3380" spans="2:2" x14ac:dyDescent="0.25">
      <c r="B3380" s="1">
        <v>8</v>
      </c>
    </row>
    <row r="3381" spans="2:2" x14ac:dyDescent="0.25">
      <c r="B3381" s="1">
        <v>8.8000000000000007</v>
      </c>
    </row>
    <row r="3382" spans="2:2" x14ac:dyDescent="0.25">
      <c r="B3382" s="1">
        <v>40</v>
      </c>
    </row>
    <row r="3383" spans="2:2" x14ac:dyDescent="0.25">
      <c r="B3383" s="1">
        <v>10</v>
      </c>
    </row>
    <row r="3384" spans="2:2" x14ac:dyDescent="0.25">
      <c r="B3384" s="1">
        <v>8</v>
      </c>
    </row>
    <row r="3385" spans="2:2" x14ac:dyDescent="0.25">
      <c r="B3385" s="1">
        <v>8.3999999999999986</v>
      </c>
    </row>
    <row r="3386" spans="2:2" x14ac:dyDescent="0.25">
      <c r="B3386" s="1">
        <v>6</v>
      </c>
    </row>
    <row r="3387" spans="2:2" x14ac:dyDescent="0.25">
      <c r="B3387" s="1">
        <v>51.64</v>
      </c>
    </row>
    <row r="3388" spans="2:2" x14ac:dyDescent="0.25">
      <c r="B3388" s="1">
        <v>8</v>
      </c>
    </row>
    <row r="3389" spans="2:2" x14ac:dyDescent="0.25">
      <c r="B3389" s="1">
        <v>8.8000000000000007</v>
      </c>
    </row>
    <row r="3390" spans="2:2" x14ac:dyDescent="0.25">
      <c r="B3390" s="1">
        <v>8.3999999999999986</v>
      </c>
    </row>
    <row r="3391" spans="2:2" x14ac:dyDescent="0.25">
      <c r="B3391" s="1">
        <v>6</v>
      </c>
    </row>
    <row r="3392" spans="2:2" x14ac:dyDescent="0.25">
      <c r="B3392" s="1">
        <v>8</v>
      </c>
    </row>
    <row r="3393" spans="2:2" x14ac:dyDescent="0.25">
      <c r="B3393" s="1">
        <v>40</v>
      </c>
    </row>
    <row r="3394" spans="2:2" x14ac:dyDescent="0.25">
      <c r="B3394" s="1">
        <v>7.6</v>
      </c>
    </row>
    <row r="3395" spans="2:2" x14ac:dyDescent="0.25">
      <c r="B3395" s="1">
        <v>8.3999999999999986</v>
      </c>
    </row>
    <row r="3396" spans="2:2" x14ac:dyDescent="0.25">
      <c r="B3396" s="1">
        <v>6</v>
      </c>
    </row>
    <row r="3397" spans="2:2" x14ac:dyDescent="0.25">
      <c r="B3397" s="1">
        <v>8.8000000000000007</v>
      </c>
    </row>
    <row r="3398" spans="2:2" x14ac:dyDescent="0.25">
      <c r="B3398" s="1">
        <v>5.6</v>
      </c>
    </row>
    <row r="3399" spans="2:2" x14ac:dyDescent="0.25">
      <c r="B3399" s="1">
        <v>51.64</v>
      </c>
    </row>
    <row r="3400" spans="2:2" x14ac:dyDescent="0.25">
      <c r="B3400" s="1">
        <v>8</v>
      </c>
    </row>
    <row r="3401" spans="2:2" x14ac:dyDescent="0.25">
      <c r="B3401" s="1">
        <v>8.3999999999999986</v>
      </c>
    </row>
    <row r="3402" spans="2:2" x14ac:dyDescent="0.25">
      <c r="B3402" s="1">
        <v>6</v>
      </c>
    </row>
    <row r="3403" spans="2:2" x14ac:dyDescent="0.25">
      <c r="B3403" s="1">
        <v>8.8000000000000007</v>
      </c>
    </row>
    <row r="3404" spans="2:2" x14ac:dyDescent="0.25">
      <c r="B3404" s="1">
        <v>36</v>
      </c>
    </row>
    <row r="3405" spans="2:2" x14ac:dyDescent="0.25">
      <c r="B3405" s="1">
        <v>8.3999999999999986</v>
      </c>
    </row>
    <row r="3406" spans="2:2" x14ac:dyDescent="0.25">
      <c r="B3406" s="1">
        <v>6</v>
      </c>
    </row>
    <row r="3407" spans="2:2" x14ac:dyDescent="0.25">
      <c r="B3407" s="1">
        <v>8.8000000000000007</v>
      </c>
    </row>
    <row r="3408" spans="2:2" x14ac:dyDescent="0.25">
      <c r="B3408" s="1">
        <v>8</v>
      </c>
    </row>
    <row r="3409" spans="2:2" x14ac:dyDescent="0.25">
      <c r="B3409" s="1">
        <v>8</v>
      </c>
    </row>
    <row r="3410" spans="2:2" x14ac:dyDescent="0.25">
      <c r="B3410" s="1">
        <v>51.64</v>
      </c>
    </row>
    <row r="3411" spans="2:2" x14ac:dyDescent="0.25">
      <c r="B3411" s="1">
        <v>5.6</v>
      </c>
    </row>
    <row r="3412" spans="2:2" x14ac:dyDescent="0.25">
      <c r="B3412" s="1">
        <v>8</v>
      </c>
    </row>
    <row r="3413" spans="2:2" x14ac:dyDescent="0.25">
      <c r="B3413" s="1">
        <v>5.6</v>
      </c>
    </row>
    <row r="3414" spans="2:2" x14ac:dyDescent="0.25">
      <c r="B3414" s="1">
        <v>6</v>
      </c>
    </row>
    <row r="3415" spans="2:2" x14ac:dyDescent="0.25">
      <c r="B3415" s="1">
        <v>8.8000000000000007</v>
      </c>
    </row>
    <row r="3416" spans="2:2" x14ac:dyDescent="0.25">
      <c r="B3416" s="1">
        <v>8</v>
      </c>
    </row>
    <row r="3417" spans="2:2" x14ac:dyDescent="0.25">
      <c r="B3417" s="1">
        <v>51.64</v>
      </c>
    </row>
    <row r="3418" spans="2:2" x14ac:dyDescent="0.25">
      <c r="B3418" s="1">
        <v>6</v>
      </c>
    </row>
    <row r="3419" spans="2:2" x14ac:dyDescent="0.25">
      <c r="B3419" s="1">
        <v>8.3999999999999986</v>
      </c>
    </row>
    <row r="3420" spans="2:2" x14ac:dyDescent="0.25">
      <c r="B3420" s="1">
        <v>7.6</v>
      </c>
    </row>
    <row r="3421" spans="2:2" x14ac:dyDescent="0.25">
      <c r="B3421" s="1">
        <v>8</v>
      </c>
    </row>
    <row r="3422" spans="2:2" x14ac:dyDescent="0.25">
      <c r="B3422" s="1">
        <v>8.8000000000000007</v>
      </c>
    </row>
    <row r="3423" spans="2:2" x14ac:dyDescent="0.25">
      <c r="B3423" s="1">
        <v>51.64</v>
      </c>
    </row>
    <row r="3424" spans="2:2" x14ac:dyDescent="0.25">
      <c r="B3424" s="1">
        <v>5.6</v>
      </c>
    </row>
    <row r="3425" spans="2:2" x14ac:dyDescent="0.25">
      <c r="B3425" s="1">
        <v>6</v>
      </c>
    </row>
    <row r="3426" spans="2:2" x14ac:dyDescent="0.25">
      <c r="B3426" s="1">
        <v>10</v>
      </c>
    </row>
    <row r="3427" spans="2:2" x14ac:dyDescent="0.25">
      <c r="B3427" s="1">
        <v>8.3999999999999986</v>
      </c>
    </row>
    <row r="3428" spans="2:2" x14ac:dyDescent="0.25">
      <c r="B3428" s="1">
        <v>8.8000000000000007</v>
      </c>
    </row>
    <row r="3429" spans="2:2" x14ac:dyDescent="0.25">
      <c r="B3429" s="1">
        <v>8</v>
      </c>
    </row>
    <row r="3430" spans="2:2" x14ac:dyDescent="0.25">
      <c r="B3430" s="1">
        <v>51.64</v>
      </c>
    </row>
    <row r="3431" spans="2:2" x14ac:dyDescent="0.25">
      <c r="B3431" s="1">
        <v>15.2</v>
      </c>
    </row>
    <row r="3432" spans="2:2" x14ac:dyDescent="0.25">
      <c r="B3432" s="1">
        <v>6</v>
      </c>
    </row>
    <row r="3433" spans="2:2" x14ac:dyDescent="0.25">
      <c r="B3433" s="1">
        <v>8.3999999999999986</v>
      </c>
    </row>
    <row r="3434" spans="2:2" x14ac:dyDescent="0.25">
      <c r="B3434" s="1">
        <v>8.8000000000000007</v>
      </c>
    </row>
    <row r="3435" spans="2:2" x14ac:dyDescent="0.25">
      <c r="B3435" s="1">
        <v>8</v>
      </c>
    </row>
    <row r="3436" spans="2:2" x14ac:dyDescent="0.25">
      <c r="B3436" s="1">
        <v>51.64</v>
      </c>
    </row>
    <row r="3437" spans="2:2" x14ac:dyDescent="0.25">
      <c r="B3437" s="1">
        <v>6</v>
      </c>
    </row>
    <row r="3438" spans="2:2" x14ac:dyDescent="0.25">
      <c r="B3438" s="1">
        <v>5.6</v>
      </c>
    </row>
    <row r="3439" spans="2:2" x14ac:dyDescent="0.25">
      <c r="B3439" s="1">
        <v>10</v>
      </c>
    </row>
    <row r="3440" spans="2:2" x14ac:dyDescent="0.25">
      <c r="B3440" s="1">
        <v>8</v>
      </c>
    </row>
    <row r="3441" spans="2:2" x14ac:dyDescent="0.25">
      <c r="B3441" s="1">
        <v>6</v>
      </c>
    </row>
    <row r="3442" spans="2:2" x14ac:dyDescent="0.25">
      <c r="B3442" s="1">
        <v>5.6</v>
      </c>
    </row>
    <row r="3443" spans="2:2" x14ac:dyDescent="0.25">
      <c r="B3443" s="1">
        <v>8.8000000000000007</v>
      </c>
    </row>
    <row r="3444" spans="2:2" x14ac:dyDescent="0.25">
      <c r="B3444" s="1">
        <v>51.64</v>
      </c>
    </row>
    <row r="3445" spans="2:2" x14ac:dyDescent="0.25">
      <c r="B3445" s="1">
        <v>7.6</v>
      </c>
    </row>
    <row r="3446" spans="2:2" x14ac:dyDescent="0.25">
      <c r="B3446" s="1">
        <v>8</v>
      </c>
    </row>
    <row r="3447" spans="2:2" x14ac:dyDescent="0.25">
      <c r="B3447" s="1">
        <v>5.6</v>
      </c>
    </row>
    <row r="3448" spans="2:2" x14ac:dyDescent="0.25">
      <c r="B3448" s="1">
        <v>6</v>
      </c>
    </row>
    <row r="3449" spans="2:2" x14ac:dyDescent="0.25">
      <c r="B3449" s="1">
        <v>8.8000000000000007</v>
      </c>
    </row>
    <row r="3450" spans="2:2" x14ac:dyDescent="0.25">
      <c r="B3450" s="1">
        <v>8</v>
      </c>
    </row>
    <row r="3451" spans="2:2" x14ac:dyDescent="0.25">
      <c r="B3451" s="1">
        <v>51.64</v>
      </c>
    </row>
    <row r="3452" spans="2:2" x14ac:dyDescent="0.25">
      <c r="B3452" s="1">
        <v>10</v>
      </c>
    </row>
    <row r="3453" spans="2:2" x14ac:dyDescent="0.25">
      <c r="B3453" s="1">
        <v>8.3999999999999986</v>
      </c>
    </row>
    <row r="3454" spans="2:2" x14ac:dyDescent="0.25">
      <c r="B3454" s="1">
        <v>6</v>
      </c>
    </row>
    <row r="3455" spans="2:2" x14ac:dyDescent="0.25">
      <c r="B3455" s="1">
        <v>8</v>
      </c>
    </row>
    <row r="3456" spans="2:2" x14ac:dyDescent="0.25">
      <c r="B3456" s="1">
        <v>8.8000000000000007</v>
      </c>
    </row>
    <row r="3457" spans="2:2" x14ac:dyDescent="0.25">
      <c r="B3457" s="1">
        <v>8.3999999999999986</v>
      </c>
    </row>
    <row r="3458" spans="2:2" x14ac:dyDescent="0.25">
      <c r="B3458" s="1">
        <v>51.64</v>
      </c>
    </row>
    <row r="3459" spans="2:2" x14ac:dyDescent="0.25">
      <c r="B3459" s="1">
        <v>7.6</v>
      </c>
    </row>
    <row r="3460" spans="2:2" x14ac:dyDescent="0.25">
      <c r="B3460" s="1">
        <v>5.6</v>
      </c>
    </row>
    <row r="3461" spans="2:2" x14ac:dyDescent="0.25">
      <c r="B3461" s="1">
        <v>6</v>
      </c>
    </row>
    <row r="3462" spans="2:2" x14ac:dyDescent="0.25">
      <c r="B3462" s="1">
        <v>8.8000000000000007</v>
      </c>
    </row>
    <row r="3463" spans="2:2" x14ac:dyDescent="0.25">
      <c r="B3463" s="1">
        <v>8</v>
      </c>
    </row>
    <row r="3464" spans="2:2" x14ac:dyDescent="0.25">
      <c r="B3464" s="1">
        <v>51.64</v>
      </c>
    </row>
    <row r="3465" spans="2:2" x14ac:dyDescent="0.25">
      <c r="B3465" s="1">
        <v>8.3999999999999986</v>
      </c>
    </row>
    <row r="3466" spans="2:2" x14ac:dyDescent="0.25">
      <c r="B3466" s="1">
        <v>6</v>
      </c>
    </row>
    <row r="3467" spans="2:2" x14ac:dyDescent="0.25">
      <c r="B3467" s="1">
        <v>8.8000000000000007</v>
      </c>
    </row>
    <row r="3468" spans="2:2" x14ac:dyDescent="0.25">
      <c r="B3468" s="1">
        <v>8</v>
      </c>
    </row>
    <row r="3469" spans="2:2" x14ac:dyDescent="0.25">
      <c r="B3469" s="1">
        <v>51.64</v>
      </c>
    </row>
    <row r="3470" spans="2:2" x14ac:dyDescent="0.25">
      <c r="B3470" s="1">
        <v>8.3999999999999986</v>
      </c>
    </row>
    <row r="3471" spans="2:2" x14ac:dyDescent="0.25">
      <c r="B3471" s="1">
        <v>6</v>
      </c>
    </row>
    <row r="3472" spans="2:2" x14ac:dyDescent="0.25">
      <c r="B3472" s="1">
        <v>7.6</v>
      </c>
    </row>
    <row r="3473" spans="2:2" x14ac:dyDescent="0.25">
      <c r="B3473" s="1">
        <v>36</v>
      </c>
    </row>
    <row r="3474" spans="2:2" x14ac:dyDescent="0.25">
      <c r="B3474" s="1">
        <v>8</v>
      </c>
    </row>
    <row r="3475" spans="2:2" x14ac:dyDescent="0.25">
      <c r="B3475" s="1">
        <v>5.6</v>
      </c>
    </row>
    <row r="3476" spans="2:2" x14ac:dyDescent="0.25">
      <c r="B3476" s="1">
        <v>6</v>
      </c>
    </row>
    <row r="3477" spans="2:2" x14ac:dyDescent="0.25">
      <c r="B3477" s="1">
        <v>51.64</v>
      </c>
    </row>
    <row r="3478" spans="2:2" x14ac:dyDescent="0.25">
      <c r="B3478" s="1">
        <v>10</v>
      </c>
    </row>
    <row r="3479" spans="2:2" x14ac:dyDescent="0.25">
      <c r="B3479" s="1">
        <v>7.6</v>
      </c>
    </row>
    <row r="3480" spans="2:2" x14ac:dyDescent="0.25">
      <c r="B3480" s="1">
        <v>8.3999999999999986</v>
      </c>
    </row>
    <row r="3481" spans="2:2" x14ac:dyDescent="0.25">
      <c r="B3481" s="1">
        <v>6</v>
      </c>
    </row>
    <row r="3482" spans="2:2" x14ac:dyDescent="0.25">
      <c r="B3482" s="1">
        <v>8.8000000000000007</v>
      </c>
    </row>
    <row r="3483" spans="2:2" x14ac:dyDescent="0.25">
      <c r="B3483" s="1">
        <v>8</v>
      </c>
    </row>
    <row r="3484" spans="2:2" x14ac:dyDescent="0.25">
      <c r="B3484" s="1">
        <v>51.64</v>
      </c>
    </row>
    <row r="3485" spans="2:2" x14ac:dyDescent="0.25">
      <c r="B3485" s="1">
        <v>6</v>
      </c>
    </row>
    <row r="3486" spans="2:2" x14ac:dyDescent="0.25">
      <c r="B3486" s="1">
        <v>5.6</v>
      </c>
    </row>
    <row r="3487" spans="2:2" x14ac:dyDescent="0.25">
      <c r="B3487" s="1">
        <v>6</v>
      </c>
    </row>
    <row r="3488" spans="2:2" x14ac:dyDescent="0.25">
      <c r="B3488" s="1">
        <v>7.6</v>
      </c>
    </row>
    <row r="3489" spans="2:2" x14ac:dyDescent="0.25">
      <c r="B3489" s="1">
        <v>8</v>
      </c>
    </row>
    <row r="3490" spans="2:2" x14ac:dyDescent="0.25">
      <c r="B3490" s="1">
        <v>8</v>
      </c>
    </row>
    <row r="3491" spans="2:2" x14ac:dyDescent="0.25">
      <c r="B3491" s="1">
        <v>8.3999999999999986</v>
      </c>
    </row>
    <row r="3492" spans="2:2" x14ac:dyDescent="0.25">
      <c r="B3492" s="1">
        <v>51.64</v>
      </c>
    </row>
    <row r="3493" spans="2:2" x14ac:dyDescent="0.25">
      <c r="B3493" s="1">
        <v>51.64</v>
      </c>
    </row>
    <row r="3494" spans="2:2" x14ac:dyDescent="0.25">
      <c r="B3494" s="1">
        <v>10</v>
      </c>
    </row>
    <row r="3495" spans="2:2" x14ac:dyDescent="0.25">
      <c r="B3495" s="1">
        <v>15.2</v>
      </c>
    </row>
    <row r="3496" spans="2:2" x14ac:dyDescent="0.25">
      <c r="B3496" s="1">
        <v>8</v>
      </c>
    </row>
    <row r="3497" spans="2:2" x14ac:dyDescent="0.25">
      <c r="B3497" s="1">
        <v>6</v>
      </c>
    </row>
    <row r="3498" spans="2:2" x14ac:dyDescent="0.25">
      <c r="B3498" s="1">
        <v>5.6</v>
      </c>
    </row>
    <row r="3499" spans="2:2" x14ac:dyDescent="0.25">
      <c r="B3499" s="1">
        <v>8.8000000000000007</v>
      </c>
    </row>
    <row r="3500" spans="2:2" x14ac:dyDescent="0.25">
      <c r="B3500" s="1">
        <v>8.3999999999999986</v>
      </c>
    </row>
    <row r="3501" spans="2:2" x14ac:dyDescent="0.25">
      <c r="B3501" s="1">
        <v>10</v>
      </c>
    </row>
    <row r="3502" spans="2:2" x14ac:dyDescent="0.25">
      <c r="B3502" s="1">
        <v>8</v>
      </c>
    </row>
    <row r="3503" spans="2:2" x14ac:dyDescent="0.25">
      <c r="B3503" s="1">
        <v>7.6</v>
      </c>
    </row>
    <row r="3504" spans="2:2" x14ac:dyDescent="0.25">
      <c r="B3504" s="1">
        <v>6</v>
      </c>
    </row>
    <row r="3505" spans="2:2" x14ac:dyDescent="0.25">
      <c r="B3505" s="1">
        <v>8.3999999999999986</v>
      </c>
    </row>
    <row r="3506" spans="2:2" x14ac:dyDescent="0.25">
      <c r="B3506" s="1">
        <v>8</v>
      </c>
    </row>
    <row r="3507" spans="2:2" x14ac:dyDescent="0.25">
      <c r="B3507" s="1">
        <v>51.64</v>
      </c>
    </row>
    <row r="3508" spans="2:2" x14ac:dyDescent="0.25">
      <c r="B3508" s="1">
        <v>8.8000000000000007</v>
      </c>
    </row>
    <row r="3509" spans="2:2" x14ac:dyDescent="0.25">
      <c r="B3509" s="1">
        <v>51.64</v>
      </c>
    </row>
    <row r="3510" spans="2:2" x14ac:dyDescent="0.25">
      <c r="B3510" s="1">
        <v>8</v>
      </c>
    </row>
    <row r="3511" spans="2:2" x14ac:dyDescent="0.25">
      <c r="B3511" s="1">
        <v>8.3999999999999986</v>
      </c>
    </row>
    <row r="3512" spans="2:2" x14ac:dyDescent="0.25">
      <c r="B3512" s="1">
        <v>8.8000000000000007</v>
      </c>
    </row>
    <row r="3513" spans="2:2" x14ac:dyDescent="0.25">
      <c r="B3513" s="1">
        <v>6</v>
      </c>
    </row>
    <row r="3514" spans="2:2" x14ac:dyDescent="0.25">
      <c r="B3514" s="1">
        <v>5.6</v>
      </c>
    </row>
    <row r="3515" spans="2:2" x14ac:dyDescent="0.25">
      <c r="B3515" s="1">
        <v>36</v>
      </c>
    </row>
    <row r="3516" spans="2:2" x14ac:dyDescent="0.25">
      <c r="B3516" s="1">
        <v>6</v>
      </c>
    </row>
    <row r="3517" spans="2:2" x14ac:dyDescent="0.25">
      <c r="B3517" s="1">
        <v>8</v>
      </c>
    </row>
    <row r="3518" spans="2:2" x14ac:dyDescent="0.25">
      <c r="B3518" s="1">
        <v>7.6</v>
      </c>
    </row>
    <row r="3519" spans="2:2" x14ac:dyDescent="0.25">
      <c r="B3519" s="1">
        <v>51.64</v>
      </c>
    </row>
    <row r="3520" spans="2:2" x14ac:dyDescent="0.25">
      <c r="B3520" s="1">
        <v>8</v>
      </c>
    </row>
    <row r="3521" spans="2:2" x14ac:dyDescent="0.25">
      <c r="B3521" s="1">
        <v>8.3999999999999986</v>
      </c>
    </row>
    <row r="3522" spans="2:2" x14ac:dyDescent="0.25">
      <c r="B3522" s="1">
        <v>10</v>
      </c>
    </row>
    <row r="3523" spans="2:2" x14ac:dyDescent="0.25">
      <c r="B3523" s="1">
        <v>7.6</v>
      </c>
    </row>
    <row r="3524" spans="2:2" x14ac:dyDescent="0.25">
      <c r="B3524" s="1">
        <v>5.6</v>
      </c>
    </row>
    <row r="3525" spans="2:2" x14ac:dyDescent="0.25">
      <c r="B3525" s="1">
        <v>8.8000000000000007</v>
      </c>
    </row>
    <row r="3526" spans="2:2" x14ac:dyDescent="0.25">
      <c r="B3526" s="1">
        <v>8</v>
      </c>
    </row>
    <row r="3527" spans="2:2" x14ac:dyDescent="0.25">
      <c r="B3527" s="1">
        <v>6</v>
      </c>
    </row>
    <row r="3528" spans="2:2" x14ac:dyDescent="0.25">
      <c r="B3528" s="1">
        <v>5.6</v>
      </c>
    </row>
    <row r="3529" spans="2:2" x14ac:dyDescent="0.25">
      <c r="B3529" s="1">
        <v>51.64</v>
      </c>
    </row>
    <row r="3530" spans="2:2" x14ac:dyDescent="0.25">
      <c r="B3530" s="1">
        <v>8</v>
      </c>
    </row>
    <row r="3531" spans="2:2" x14ac:dyDescent="0.25">
      <c r="B3531" s="1">
        <v>10</v>
      </c>
    </row>
    <row r="3532" spans="2:2" x14ac:dyDescent="0.25">
      <c r="B3532" s="1">
        <v>8.3999999999999986</v>
      </c>
    </row>
    <row r="3533" spans="2:2" x14ac:dyDescent="0.25">
      <c r="B3533" s="1">
        <v>6</v>
      </c>
    </row>
    <row r="3534" spans="2:2" x14ac:dyDescent="0.25">
      <c r="B3534" s="1">
        <v>51.64</v>
      </c>
    </row>
    <row r="3535" spans="2:2" x14ac:dyDescent="0.25">
      <c r="B3535" s="1">
        <v>5.6</v>
      </c>
    </row>
    <row r="3536" spans="2:2" x14ac:dyDescent="0.25">
      <c r="B3536" s="1">
        <v>8.8000000000000007</v>
      </c>
    </row>
    <row r="3537" spans="2:2" x14ac:dyDescent="0.25">
      <c r="B3537" s="1">
        <v>7.6</v>
      </c>
    </row>
    <row r="3538" spans="2:2" x14ac:dyDescent="0.25">
      <c r="B3538" s="1">
        <v>8</v>
      </c>
    </row>
    <row r="3539" spans="2:2" x14ac:dyDescent="0.25">
      <c r="B3539" s="1">
        <v>8.3999999999999986</v>
      </c>
    </row>
    <row r="3540" spans="2:2" x14ac:dyDescent="0.25">
      <c r="B3540" s="1">
        <v>6</v>
      </c>
    </row>
    <row r="3541" spans="2:2" x14ac:dyDescent="0.25">
      <c r="B3541" s="1">
        <v>8</v>
      </c>
    </row>
    <row r="3542" spans="2:2" x14ac:dyDescent="0.25">
      <c r="B3542" s="1">
        <v>8.8000000000000007</v>
      </c>
    </row>
    <row r="3543" spans="2:2" x14ac:dyDescent="0.25">
      <c r="B3543" s="1">
        <v>5.6</v>
      </c>
    </row>
    <row r="3544" spans="2:2" x14ac:dyDescent="0.25">
      <c r="B3544" s="1">
        <v>51.64</v>
      </c>
    </row>
    <row r="3545" spans="2:2" x14ac:dyDescent="0.25">
      <c r="B3545" s="1">
        <v>10</v>
      </c>
    </row>
    <row r="3546" spans="2:2" x14ac:dyDescent="0.25">
      <c r="B3546" s="1">
        <v>5.6</v>
      </c>
    </row>
    <row r="3547" spans="2:2" x14ac:dyDescent="0.25">
      <c r="B3547" s="1">
        <v>6</v>
      </c>
    </row>
    <row r="3548" spans="2:2" x14ac:dyDescent="0.25">
      <c r="B3548" s="1">
        <v>8</v>
      </c>
    </row>
    <row r="3549" spans="2:2" x14ac:dyDescent="0.25">
      <c r="B3549" s="1">
        <v>51.64</v>
      </c>
    </row>
    <row r="3550" spans="2:2" x14ac:dyDescent="0.25">
      <c r="B3550" s="1">
        <v>10</v>
      </c>
    </row>
    <row r="3551" spans="2:2" x14ac:dyDescent="0.25">
      <c r="B3551" s="1">
        <v>15.2</v>
      </c>
    </row>
    <row r="3552" spans="2:2" x14ac:dyDescent="0.25">
      <c r="B3552" s="1">
        <v>8.3999999999999986</v>
      </c>
    </row>
    <row r="3553" spans="2:2" x14ac:dyDescent="0.25">
      <c r="B3553" s="1">
        <v>8.8000000000000007</v>
      </c>
    </row>
    <row r="3554" spans="2:2" x14ac:dyDescent="0.25">
      <c r="B3554" s="1">
        <v>8</v>
      </c>
    </row>
    <row r="3555" spans="2:2" x14ac:dyDescent="0.25">
      <c r="B3555" s="1">
        <v>6</v>
      </c>
    </row>
    <row r="3556" spans="2:2" x14ac:dyDescent="0.25">
      <c r="B3556" s="1">
        <v>8.3999999999999986</v>
      </c>
    </row>
    <row r="3557" spans="2:2" x14ac:dyDescent="0.25">
      <c r="B3557" s="1">
        <v>51.64</v>
      </c>
    </row>
    <row r="3558" spans="2:2" x14ac:dyDescent="0.25">
      <c r="B3558" s="1">
        <v>10</v>
      </c>
    </row>
    <row r="3559" spans="2:2" x14ac:dyDescent="0.25">
      <c r="B3559" s="1">
        <v>8.3999999999999986</v>
      </c>
    </row>
    <row r="3560" spans="2:2" x14ac:dyDescent="0.25">
      <c r="B3560" s="1">
        <v>6</v>
      </c>
    </row>
    <row r="3561" spans="2:2" x14ac:dyDescent="0.25">
      <c r="B3561" s="1">
        <v>8</v>
      </c>
    </row>
    <row r="3562" spans="2:2" x14ac:dyDescent="0.25">
      <c r="B3562" s="1">
        <v>51.64</v>
      </c>
    </row>
    <row r="3563" spans="2:2" x14ac:dyDescent="0.25">
      <c r="B3563" s="1">
        <v>10</v>
      </c>
    </row>
    <row r="3564" spans="2:2" x14ac:dyDescent="0.25">
      <c r="B3564" s="1">
        <v>7.6</v>
      </c>
    </row>
    <row r="3565" spans="2:2" x14ac:dyDescent="0.25">
      <c r="B3565" s="1">
        <v>5.6</v>
      </c>
    </row>
    <row r="3566" spans="2:2" x14ac:dyDescent="0.25">
      <c r="B3566" s="1">
        <v>8.8000000000000007</v>
      </c>
    </row>
    <row r="3567" spans="2:2" x14ac:dyDescent="0.25">
      <c r="B3567" s="1">
        <v>8</v>
      </c>
    </row>
    <row r="3568" spans="2:2" x14ac:dyDescent="0.25">
      <c r="B3568" s="1">
        <v>6</v>
      </c>
    </row>
    <row r="3569" spans="2:2" x14ac:dyDescent="0.25">
      <c r="B3569" s="1">
        <v>8.3999999999999986</v>
      </c>
    </row>
    <row r="3570" spans="2:2" x14ac:dyDescent="0.25">
      <c r="B3570" s="1">
        <v>6</v>
      </c>
    </row>
    <row r="3571" spans="2:2" x14ac:dyDescent="0.25">
      <c r="B3571" s="1">
        <v>5.6</v>
      </c>
    </row>
    <row r="3572" spans="2:2" x14ac:dyDescent="0.25">
      <c r="B3572" s="1">
        <v>8</v>
      </c>
    </row>
    <row r="3573" spans="2:2" x14ac:dyDescent="0.25">
      <c r="B3573" s="1">
        <v>8.8000000000000007</v>
      </c>
    </row>
    <row r="3574" spans="2:2" x14ac:dyDescent="0.25">
      <c r="B3574" s="1">
        <v>51.64</v>
      </c>
    </row>
    <row r="3575" spans="2:2" x14ac:dyDescent="0.25">
      <c r="B3575" s="1">
        <v>8.3999999999999986</v>
      </c>
    </row>
    <row r="3576" spans="2:2" x14ac:dyDescent="0.25">
      <c r="B3576" s="1">
        <v>6</v>
      </c>
    </row>
    <row r="3577" spans="2:2" x14ac:dyDescent="0.25">
      <c r="B3577" s="1">
        <v>7.6</v>
      </c>
    </row>
    <row r="3578" spans="2:2" x14ac:dyDescent="0.25">
      <c r="B3578" s="1">
        <v>10</v>
      </c>
    </row>
    <row r="3579" spans="2:2" x14ac:dyDescent="0.25">
      <c r="B3579" s="1">
        <v>8.3999999999999986</v>
      </c>
    </row>
    <row r="3580" spans="2:2" x14ac:dyDescent="0.25">
      <c r="B3580" s="1">
        <v>6</v>
      </c>
    </row>
    <row r="3581" spans="2:2" x14ac:dyDescent="0.25">
      <c r="B3581" s="1">
        <v>8</v>
      </c>
    </row>
    <row r="3582" spans="2:2" x14ac:dyDescent="0.25">
      <c r="B3582" s="1">
        <v>51.64</v>
      </c>
    </row>
    <row r="3583" spans="2:2" x14ac:dyDescent="0.25">
      <c r="B3583" s="1">
        <v>7.6</v>
      </c>
    </row>
    <row r="3584" spans="2:2" x14ac:dyDescent="0.25">
      <c r="B3584" s="1">
        <v>10</v>
      </c>
    </row>
    <row r="3585" spans="2:2" x14ac:dyDescent="0.25">
      <c r="B3585" s="1">
        <v>8.3999999999999986</v>
      </c>
    </row>
    <row r="3586" spans="2:2" x14ac:dyDescent="0.25">
      <c r="B3586" s="1">
        <v>8.8000000000000007</v>
      </c>
    </row>
    <row r="3587" spans="2:2" x14ac:dyDescent="0.25">
      <c r="B3587" s="1">
        <v>8</v>
      </c>
    </row>
    <row r="3588" spans="2:2" x14ac:dyDescent="0.25">
      <c r="B3588" s="1">
        <v>51.64</v>
      </c>
    </row>
    <row r="3589" spans="2:2" x14ac:dyDescent="0.25">
      <c r="B3589" s="1">
        <v>6</v>
      </c>
    </row>
    <row r="3590" spans="2:2" x14ac:dyDescent="0.25">
      <c r="B3590" s="1">
        <v>8.3999999999999986</v>
      </c>
    </row>
    <row r="3591" spans="2:2" x14ac:dyDescent="0.25">
      <c r="B3591" s="1">
        <v>7.6</v>
      </c>
    </row>
    <row r="3592" spans="2:2" x14ac:dyDescent="0.25">
      <c r="B3592" s="1">
        <v>8</v>
      </c>
    </row>
    <row r="3593" spans="2:2" x14ac:dyDescent="0.25">
      <c r="B3593" s="1">
        <v>10</v>
      </c>
    </row>
    <row r="3594" spans="2:2" x14ac:dyDescent="0.25">
      <c r="B3594" s="1">
        <v>6</v>
      </c>
    </row>
    <row r="3595" spans="2:2" x14ac:dyDescent="0.25">
      <c r="B3595" s="1">
        <v>8.3999999999999986</v>
      </c>
    </row>
    <row r="3596" spans="2:2" x14ac:dyDescent="0.25">
      <c r="B3596" s="1">
        <v>8.8000000000000007</v>
      </c>
    </row>
    <row r="3597" spans="2:2" x14ac:dyDescent="0.25">
      <c r="B3597" s="1">
        <v>8</v>
      </c>
    </row>
    <row r="3598" spans="2:2" x14ac:dyDescent="0.25">
      <c r="B3598" s="1">
        <v>51.64</v>
      </c>
    </row>
    <row r="3599" spans="2:2" x14ac:dyDescent="0.25">
      <c r="B3599" s="1">
        <v>8.3999999999999986</v>
      </c>
    </row>
    <row r="3600" spans="2:2" x14ac:dyDescent="0.25">
      <c r="B3600" s="1">
        <v>6</v>
      </c>
    </row>
    <row r="3601" spans="2:2" x14ac:dyDescent="0.25">
      <c r="B3601" s="1">
        <v>8</v>
      </c>
    </row>
    <row r="3602" spans="2:2" x14ac:dyDescent="0.25">
      <c r="B3602" s="1">
        <v>51.64</v>
      </c>
    </row>
    <row r="3603" spans="2:2" x14ac:dyDescent="0.25">
      <c r="B3603" s="1">
        <v>10</v>
      </c>
    </row>
    <row r="3604" spans="2:2" x14ac:dyDescent="0.25">
      <c r="B3604" s="1">
        <v>7.6</v>
      </c>
    </row>
    <row r="3605" spans="2:2" x14ac:dyDescent="0.25">
      <c r="B3605" s="1">
        <v>5.6</v>
      </c>
    </row>
    <row r="3606" spans="2:2" x14ac:dyDescent="0.25">
      <c r="B3606" s="1">
        <v>8.8000000000000007</v>
      </c>
    </row>
    <row r="3607" spans="2:2" x14ac:dyDescent="0.25">
      <c r="B3607" s="1">
        <v>8</v>
      </c>
    </row>
    <row r="3608" spans="2:2" x14ac:dyDescent="0.25">
      <c r="B3608" s="1">
        <v>51.64</v>
      </c>
    </row>
    <row r="3609" spans="2:2" x14ac:dyDescent="0.25">
      <c r="B3609" s="1">
        <v>8.3999999999999986</v>
      </c>
    </row>
    <row r="3610" spans="2:2" x14ac:dyDescent="0.25">
      <c r="B3610" s="1">
        <v>6</v>
      </c>
    </row>
    <row r="3611" spans="2:2" x14ac:dyDescent="0.25">
      <c r="B3611" s="1">
        <v>8</v>
      </c>
    </row>
    <row r="3612" spans="2:2" x14ac:dyDescent="0.25">
      <c r="B3612" s="1">
        <v>51.64</v>
      </c>
    </row>
    <row r="3613" spans="2:2" x14ac:dyDescent="0.25">
      <c r="B3613" s="1">
        <v>10</v>
      </c>
    </row>
    <row r="3614" spans="2:2" x14ac:dyDescent="0.25">
      <c r="B3614" s="1">
        <v>7.6</v>
      </c>
    </row>
    <row r="3615" spans="2:2" x14ac:dyDescent="0.25">
      <c r="B3615" s="1">
        <v>8.3999999999999986</v>
      </c>
    </row>
    <row r="3616" spans="2:2" x14ac:dyDescent="0.25">
      <c r="B3616" s="1">
        <v>8.8000000000000007</v>
      </c>
    </row>
    <row r="3617" spans="2:2" x14ac:dyDescent="0.25">
      <c r="B3617" s="1">
        <v>8</v>
      </c>
    </row>
    <row r="3618" spans="2:2" x14ac:dyDescent="0.25">
      <c r="B3618" s="1">
        <v>51.64</v>
      </c>
    </row>
    <row r="3619" spans="2:2" x14ac:dyDescent="0.25">
      <c r="B3619" s="1">
        <v>10</v>
      </c>
    </row>
    <row r="3620" spans="2:2" x14ac:dyDescent="0.25">
      <c r="B3620" s="1">
        <v>5.6</v>
      </c>
    </row>
    <row r="3621" spans="2:2" x14ac:dyDescent="0.25">
      <c r="B3621" s="1">
        <v>6</v>
      </c>
    </row>
    <row r="3622" spans="2:2" x14ac:dyDescent="0.25">
      <c r="B3622" s="1">
        <v>8.3999999999999986</v>
      </c>
    </row>
    <row r="3623" spans="2:2" x14ac:dyDescent="0.25">
      <c r="B3623" s="1">
        <v>6</v>
      </c>
    </row>
    <row r="3624" spans="2:2" x14ac:dyDescent="0.25">
      <c r="B3624" s="1">
        <v>8</v>
      </c>
    </row>
    <row r="3625" spans="2:2" x14ac:dyDescent="0.25">
      <c r="B3625" s="1">
        <v>51.64</v>
      </c>
    </row>
    <row r="3626" spans="2:2" x14ac:dyDescent="0.25">
      <c r="B3626" s="1">
        <v>7.6</v>
      </c>
    </row>
    <row r="3627" spans="2:2" x14ac:dyDescent="0.25">
      <c r="B3627" s="1">
        <v>10</v>
      </c>
    </row>
    <row r="3628" spans="2:2" x14ac:dyDescent="0.25">
      <c r="B3628" s="1">
        <v>5.6</v>
      </c>
    </row>
    <row r="3629" spans="2:2" x14ac:dyDescent="0.25">
      <c r="B3629" s="1">
        <v>8.8000000000000007</v>
      </c>
    </row>
    <row r="3630" spans="2:2" x14ac:dyDescent="0.25">
      <c r="B3630" s="1">
        <v>8</v>
      </c>
    </row>
    <row r="3631" spans="2:2" x14ac:dyDescent="0.25">
      <c r="B3631" s="1">
        <v>51.64</v>
      </c>
    </row>
    <row r="3632" spans="2:2" x14ac:dyDescent="0.25">
      <c r="B3632" s="1">
        <v>6</v>
      </c>
    </row>
    <row r="3633" spans="2:2" x14ac:dyDescent="0.25">
      <c r="B3633" s="1">
        <v>8.3999999999999986</v>
      </c>
    </row>
    <row r="3634" spans="2:2" x14ac:dyDescent="0.25">
      <c r="B3634" s="1">
        <v>8</v>
      </c>
    </row>
    <row r="3635" spans="2:2" x14ac:dyDescent="0.25">
      <c r="B3635" s="1">
        <v>51.64</v>
      </c>
    </row>
    <row r="3636" spans="2:2" x14ac:dyDescent="0.25">
      <c r="B3636" s="1">
        <v>8.3999999999999986</v>
      </c>
    </row>
    <row r="3637" spans="2:2" x14ac:dyDescent="0.25">
      <c r="B3637" s="1">
        <v>6</v>
      </c>
    </row>
    <row r="3638" spans="2:2" x14ac:dyDescent="0.25">
      <c r="B3638" s="1">
        <v>8.8000000000000007</v>
      </c>
    </row>
    <row r="3639" spans="2:2" x14ac:dyDescent="0.25">
      <c r="B3639" s="1">
        <v>8</v>
      </c>
    </row>
    <row r="3640" spans="2:2" x14ac:dyDescent="0.25">
      <c r="B3640" s="1">
        <v>7.6</v>
      </c>
    </row>
    <row r="3641" spans="2:2" x14ac:dyDescent="0.25">
      <c r="B3641" s="1">
        <v>10</v>
      </c>
    </row>
    <row r="3642" spans="2:2" x14ac:dyDescent="0.25">
      <c r="B3642" s="1">
        <v>8.3999999999999986</v>
      </c>
    </row>
    <row r="3643" spans="2:2" x14ac:dyDescent="0.25">
      <c r="B3643" s="1">
        <v>6</v>
      </c>
    </row>
    <row r="3644" spans="2:2" x14ac:dyDescent="0.25">
      <c r="B3644" s="1">
        <v>8</v>
      </c>
    </row>
    <row r="3645" spans="2:2" x14ac:dyDescent="0.25">
      <c r="B3645" s="1">
        <v>51.64</v>
      </c>
    </row>
    <row r="3646" spans="2:2" x14ac:dyDescent="0.25">
      <c r="B3646" s="1">
        <v>8.3999999999999986</v>
      </c>
    </row>
    <row r="3647" spans="2:2" x14ac:dyDescent="0.25">
      <c r="B3647" s="1">
        <v>6</v>
      </c>
    </row>
    <row r="3648" spans="2:2" x14ac:dyDescent="0.25">
      <c r="B3648" s="1">
        <v>8.8000000000000007</v>
      </c>
    </row>
    <row r="3649" spans="2:2" x14ac:dyDescent="0.25">
      <c r="B3649" s="1">
        <v>8</v>
      </c>
    </row>
    <row r="3650" spans="2:2" x14ac:dyDescent="0.25">
      <c r="B3650" s="1">
        <v>7.6</v>
      </c>
    </row>
    <row r="3651" spans="2:2" x14ac:dyDescent="0.25">
      <c r="B3651" s="1">
        <v>10</v>
      </c>
    </row>
    <row r="3652" spans="2:2" x14ac:dyDescent="0.25">
      <c r="B3652" s="1">
        <v>5.6</v>
      </c>
    </row>
    <row r="3653" spans="2:2" x14ac:dyDescent="0.25">
      <c r="B3653" s="1">
        <v>8.8000000000000007</v>
      </c>
    </row>
    <row r="3654" spans="2:2" x14ac:dyDescent="0.25">
      <c r="B3654" s="1">
        <v>8</v>
      </c>
    </row>
    <row r="3655" spans="2:2" x14ac:dyDescent="0.25">
      <c r="B3655" s="1">
        <v>51.64</v>
      </c>
    </row>
    <row r="3656" spans="2:2" x14ac:dyDescent="0.25">
      <c r="B3656" s="1">
        <v>6</v>
      </c>
    </row>
    <row r="3657" spans="2:2" x14ac:dyDescent="0.25">
      <c r="B3657" s="1">
        <v>8.3999999999999986</v>
      </c>
    </row>
    <row r="3658" spans="2:2" x14ac:dyDescent="0.25">
      <c r="B3658" s="1">
        <v>10</v>
      </c>
    </row>
    <row r="3659" spans="2:2" x14ac:dyDescent="0.25">
      <c r="B3659" s="1">
        <v>7.6</v>
      </c>
    </row>
    <row r="3660" spans="2:2" x14ac:dyDescent="0.25">
      <c r="B3660" s="1">
        <v>8.3999999999999986</v>
      </c>
    </row>
    <row r="3661" spans="2:2" x14ac:dyDescent="0.25">
      <c r="B3661" s="1">
        <v>6</v>
      </c>
    </row>
    <row r="3662" spans="2:2" x14ac:dyDescent="0.25">
      <c r="B3662" s="1">
        <v>8.8000000000000007</v>
      </c>
    </row>
    <row r="3663" spans="2:2" x14ac:dyDescent="0.25">
      <c r="B3663" s="1">
        <v>8</v>
      </c>
    </row>
    <row r="3664" spans="2:2" x14ac:dyDescent="0.25">
      <c r="B3664" s="1">
        <v>51.64</v>
      </c>
    </row>
    <row r="3665" spans="2:2" x14ac:dyDescent="0.25">
      <c r="B3665" s="1">
        <v>7.6</v>
      </c>
    </row>
    <row r="3666" spans="2:2" x14ac:dyDescent="0.25">
      <c r="B3666" s="1">
        <v>10</v>
      </c>
    </row>
    <row r="3667" spans="2:2" x14ac:dyDescent="0.25">
      <c r="B3667" s="1">
        <v>5.6</v>
      </c>
    </row>
    <row r="3668" spans="2:2" x14ac:dyDescent="0.25">
      <c r="B3668" s="1">
        <v>6</v>
      </c>
    </row>
    <row r="3669" spans="2:2" x14ac:dyDescent="0.25">
      <c r="B3669" s="1">
        <v>8</v>
      </c>
    </row>
    <row r="3670" spans="2:2" x14ac:dyDescent="0.25">
      <c r="B3670" s="1">
        <v>51.64</v>
      </c>
    </row>
    <row r="3671" spans="2:2" x14ac:dyDescent="0.25">
      <c r="B3671" s="1">
        <v>8.3999999999999986</v>
      </c>
    </row>
    <row r="3672" spans="2:2" x14ac:dyDescent="0.25">
      <c r="B3672" s="1">
        <v>6</v>
      </c>
    </row>
    <row r="3673" spans="2:2" x14ac:dyDescent="0.25">
      <c r="B3673" s="1">
        <v>8.8000000000000007</v>
      </c>
    </row>
    <row r="3674" spans="2:2" x14ac:dyDescent="0.25">
      <c r="B3674" s="1">
        <v>8</v>
      </c>
    </row>
    <row r="3675" spans="2:2" x14ac:dyDescent="0.25">
      <c r="B3675" s="1">
        <v>7.6</v>
      </c>
    </row>
    <row r="3676" spans="2:2" x14ac:dyDescent="0.25">
      <c r="B3676" s="1">
        <v>10</v>
      </c>
    </row>
    <row r="3677" spans="2:2" x14ac:dyDescent="0.25">
      <c r="B3677" s="1">
        <v>5.6</v>
      </c>
    </row>
    <row r="3678" spans="2:2" x14ac:dyDescent="0.25">
      <c r="B3678" s="1">
        <v>6</v>
      </c>
    </row>
    <row r="3679" spans="2:2" x14ac:dyDescent="0.25">
      <c r="B3679" s="1">
        <v>8</v>
      </c>
    </row>
    <row r="3680" spans="2:2" x14ac:dyDescent="0.25">
      <c r="B3680" s="1">
        <v>51.64</v>
      </c>
    </row>
    <row r="3681" spans="2:2" x14ac:dyDescent="0.25">
      <c r="B3681" s="1">
        <v>8.3999999999999986</v>
      </c>
    </row>
    <row r="3682" spans="2:2" x14ac:dyDescent="0.25">
      <c r="B3682" s="1">
        <v>6</v>
      </c>
    </row>
    <row r="3683" spans="2:2" x14ac:dyDescent="0.25">
      <c r="B3683" s="1">
        <v>8.8000000000000007</v>
      </c>
    </row>
    <row r="3684" spans="2:2" x14ac:dyDescent="0.25">
      <c r="B3684" s="1">
        <v>8</v>
      </c>
    </row>
    <row r="3685" spans="2:2" x14ac:dyDescent="0.25">
      <c r="B3685" s="1">
        <v>7.6</v>
      </c>
    </row>
    <row r="3686" spans="2:2" x14ac:dyDescent="0.25">
      <c r="B3686" s="1">
        <v>10</v>
      </c>
    </row>
    <row r="3687" spans="2:2" x14ac:dyDescent="0.25">
      <c r="B3687" s="1">
        <v>8.3999999999999986</v>
      </c>
    </row>
    <row r="3688" spans="2:2" x14ac:dyDescent="0.25">
      <c r="B3688" s="1">
        <v>6</v>
      </c>
    </row>
    <row r="3689" spans="2:2" x14ac:dyDescent="0.25">
      <c r="B3689" s="1">
        <v>8.8000000000000007</v>
      </c>
    </row>
    <row r="3690" spans="2:2" x14ac:dyDescent="0.25">
      <c r="B3690" s="1">
        <v>8</v>
      </c>
    </row>
    <row r="3691" spans="2:2" x14ac:dyDescent="0.25">
      <c r="B3691" s="1">
        <v>51.64</v>
      </c>
    </row>
    <row r="3692" spans="2:2" x14ac:dyDescent="0.25">
      <c r="B3692" s="1">
        <v>10</v>
      </c>
    </row>
    <row r="3693" spans="2:2" x14ac:dyDescent="0.25">
      <c r="B3693" s="1">
        <v>7.6</v>
      </c>
    </row>
    <row r="3694" spans="2:2" x14ac:dyDescent="0.25">
      <c r="B3694" s="1">
        <v>8.3999999999999986</v>
      </c>
    </row>
    <row r="3695" spans="2:2" x14ac:dyDescent="0.25">
      <c r="B3695" s="1">
        <v>6</v>
      </c>
    </row>
    <row r="3696" spans="2:2" x14ac:dyDescent="0.25">
      <c r="B3696" s="1">
        <v>8</v>
      </c>
    </row>
    <row r="3697" spans="2:2" x14ac:dyDescent="0.25">
      <c r="B3697" s="1">
        <v>51.64</v>
      </c>
    </row>
    <row r="3698" spans="2:2" x14ac:dyDescent="0.25">
      <c r="B3698" s="1">
        <v>8.3999999999999986</v>
      </c>
    </row>
    <row r="3699" spans="2:2" x14ac:dyDescent="0.25">
      <c r="B3699" s="1">
        <v>6</v>
      </c>
    </row>
    <row r="3700" spans="2:2" x14ac:dyDescent="0.25">
      <c r="B3700" s="1">
        <v>8.8000000000000007</v>
      </c>
    </row>
    <row r="3701" spans="2:2" x14ac:dyDescent="0.25">
      <c r="B3701" s="1">
        <v>8</v>
      </c>
    </row>
    <row r="3702" spans="2:2" x14ac:dyDescent="0.25">
      <c r="B3702" s="1">
        <v>51.64</v>
      </c>
    </row>
    <row r="3703" spans="2:2" x14ac:dyDescent="0.25">
      <c r="B3703" s="1">
        <v>10</v>
      </c>
    </row>
    <row r="3704" spans="2:2" x14ac:dyDescent="0.25">
      <c r="B3704" s="1">
        <v>5.6</v>
      </c>
    </row>
    <row r="3705" spans="2:2" x14ac:dyDescent="0.25">
      <c r="B3705" s="1">
        <v>6</v>
      </c>
    </row>
    <row r="3706" spans="2:2" x14ac:dyDescent="0.25">
      <c r="B3706" s="1">
        <v>8</v>
      </c>
    </row>
    <row r="3707" spans="2:2" x14ac:dyDescent="0.25">
      <c r="B3707" s="1">
        <v>51.64</v>
      </c>
    </row>
    <row r="3708" spans="2:2" x14ac:dyDescent="0.25">
      <c r="B3708" s="1">
        <v>8.3999999999999986</v>
      </c>
    </row>
    <row r="3709" spans="2:2" x14ac:dyDescent="0.25">
      <c r="B3709" s="1">
        <v>6</v>
      </c>
    </row>
    <row r="3710" spans="2:2" x14ac:dyDescent="0.25">
      <c r="B3710" s="1">
        <v>8.8000000000000007</v>
      </c>
    </row>
    <row r="3711" spans="2:2" x14ac:dyDescent="0.25">
      <c r="B3711" s="1">
        <v>8</v>
      </c>
    </row>
    <row r="3712" spans="2:2" x14ac:dyDescent="0.25">
      <c r="B3712" s="1">
        <v>7.6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66BD9-9455-40B8-AE46-90E9A786F1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12</vt:i4>
      </vt:variant>
    </vt:vector>
  </HeadingPairs>
  <TitlesOfParts>
    <vt:vector size="12" baseType="lpstr">
      <vt:lpstr>Data</vt:lpstr>
      <vt:lpstr>Data Júl</vt:lpstr>
      <vt:lpstr>Tržby</vt:lpstr>
      <vt:lpstr>Tržby mesiace</vt:lpstr>
      <vt:lpstr>Tržby zviera</vt:lpstr>
      <vt:lpstr>Tržby produkty</vt:lpstr>
      <vt:lpstr>Produkty zviera</vt:lpstr>
      <vt:lpstr>Produkty Júl</vt:lpstr>
      <vt:lpstr>Hodnotenie Histogram</vt:lpstr>
      <vt:lpstr>Produkty top-bottom</vt:lpstr>
      <vt:lpstr>Hodnotenie bottom produktov</vt:lpstr>
      <vt:lpstr>Ttest zviera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Loskova</dc:creator>
  <cp:lastModifiedBy>Zuzka</cp:lastModifiedBy>
  <dcterms:created xsi:type="dcterms:W3CDTF">2026-10-18T11:10:40Z</dcterms:created>
  <dcterms:modified xsi:type="dcterms:W3CDTF">2026-10-26T11:17:53Z</dcterms:modified>
</cp:coreProperties>
</file>